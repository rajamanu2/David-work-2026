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1b7b516ac84108" /></Relationships>
</file>

<file path=xl/workbook.xml><?xml version="1.0" encoding="utf-8"?>
<x:workbook xmlns:x="http://schemas.openxmlformats.org/spreadsheetml/2006/main">
  <x:sheets>
    <x:sheet xmlns:r="http://schemas.openxmlformats.org/officeDocument/2006/relationships" name="Executive Summary" sheetId="1" r:id="R7685394eb2af4134"/>
    <x:sheet xmlns:r="http://schemas.openxmlformats.org/officeDocument/2006/relationships" name="Flow Catalog" sheetId="2" r:id="Rc1c4a030948747fe"/>
    <x:sheet xmlns:r="http://schemas.openxmlformats.org/officeDocument/2006/relationships" name="Flow Versions" sheetId="3" r:id="Rb16db4df681e4ab9"/>
    <x:sheet xmlns:r="http://schemas.openxmlformats.org/officeDocument/2006/relationships" name="Flow Details" sheetId="4" r:id="Ra42f7f39a0294dde"/>
    <x:sheet xmlns:r="http://schemas.openxmlformats.org/officeDocument/2006/relationships" name="Consolidation Plan" sheetId="5" r:id="Rd01d01455c174abf"/>
    <x:sheet xmlns:r="http://schemas.openxmlformats.org/officeDocument/2006/relationships" name="Connections" sheetId="6" r:id="R4448ed0c52a646dc"/>
    <x:sheet xmlns:r="http://schemas.openxmlformats.org/officeDocument/2006/relationships" name="Object Map" sheetId="7" r:id="R8641cb9294dc404d"/>
    <x:sheet xmlns:r="http://schemas.openxmlformats.org/officeDocument/2006/relationships" name="Code Inventory" sheetId="8" r:id="R83ebb06d41ed4ad3"/>
    <x:sheet xmlns:r="http://schemas.openxmlformats.org/officeDocument/2006/relationships" name="Code Overlap" sheetId="9" r:id="Rfd8709dd223a4800"/>
    <x:sheet xmlns:r="http://schemas.openxmlformats.org/officeDocument/2006/relationships" name="Method &amp; Notes" sheetId="10" r:id="Rf86d2a231f9c425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hh:mm"/>
  </x:numFmts>
  <x:fonts count="9">
    <x:font>
      <x:sz val="11"/>
      <x:name val="Carlito"/>
    </x:font>
    <x:font>
      <x:b/>
      <x:sz val="16"/>
      <x:color rgb="FFFFFFFF"/>
      <x:name val="Carlito"/>
    </x:font>
    <x:font>
      <x:i/>
      <x:sz val="10"/>
      <x:color rgb="FF627482"/>
      <x:name val="Carlito"/>
    </x:font>
    <x:font>
      <x:b/>
      <x:sz val="11"/>
      <x:color rgb="FFFFFFFF"/>
      <x:name val="Carlito"/>
    </x:font>
    <x:font>
      <x:b/>
      <x:sz val="11"/>
      <x:color rgb="FF172B3A"/>
      <x:name val="Carlito"/>
    </x:font>
    <x:font>
      <x:sz val="10"/>
      <x:color rgb="FF172B3A"/>
      <x:name val="Carlito"/>
    </x:font>
    <x:font>
      <x:b/>
      <x:sz val="13"/>
      <x:color rgb="FF123B5D"/>
      <x:name val="Carlito"/>
    </x:font>
    <x:font>
      <x:sz val="9"/>
      <x:color rgb="FF172B3A"/>
      <x:name val="Carlito"/>
    </x:font>
    <x:font>
      <x:b/>
      <x:sz val="10"/>
      <x:color rgb="FFFFFFFF"/>
      <x:name val="Carlito"/>
    </x:font>
  </x:fonts>
  <x:fills count="7">
    <x:fill>
      <x:patternFill patternType="none"/>
    </x:fill>
    <x:fill>
      <x:patternFill patternType="gray125"/>
    </x:fill>
    <x:fill>
      <x:patternFill patternType="solid">
        <x:fgColor rgb="FF123B5D"/>
      </x:patternFill>
    </x:fill>
    <x:fill>
      <x:patternFill patternType="solid">
        <x:fgColor rgb="FFEAF3F8"/>
      </x:patternFill>
    </x:fill>
    <x:fill>
      <x:patternFill patternType="solid">
        <x:fgColor rgb="FF0F6B78"/>
      </x:patternFill>
    </x:fill>
    <x:fill>
      <x:patternFill patternType="solid">
        <x:fgColor rgb="FFDCEFF3"/>
      </x:patternFill>
    </x:fill>
    <x:fill>
      <x:patternFill patternType="solid">
        <x:fgColor rgb="FFF6F9FB"/>
      </x:patternFill>
    </x:fill>
  </x:fills>
  <x:borders count="14">
    <x:border/>
    <x:border>
      <x:left style="thin">
        <x:color rgb="FFD7E0E7"/>
      </x:left>
      <x:top style="thin">
        <x:color rgb="FFD7E0E7"/>
      </x:top>
      <x:bottom style="thin">
        <x:color rgb="FFD7E0E7"/>
      </x:bottom>
    </x:border>
    <x:border>
      <x:top style="thin">
        <x:color rgb="FFD7E0E7"/>
      </x:top>
      <x:bottom style="thin">
        <x:color rgb="FFD7E0E7"/>
      </x:bottom>
    </x:border>
    <x:border>
      <x:right style="thin">
        <x:color rgb="FFD7E0E7"/>
      </x:right>
      <x:top style="thin">
        <x:color rgb="FFD7E0E7"/>
      </x:top>
      <x:bottom style="thin">
        <x:color rgb="FFD7E0E7"/>
      </x:bottom>
    </x:border>
    <x:border>
      <x:right style="thin">
        <x:color rgb="FFD7E0E7"/>
      </x:right>
      <x:bottom style="thin">
        <x:color rgb="FFD7E0E7"/>
      </x:bottom>
    </x:border>
    <x:border>
      <x:left style="thin">
        <x:color rgb="FFD7E0E7"/>
      </x:left>
      <x:right style="thin">
        <x:color rgb="FFD7E0E7"/>
      </x:right>
      <x:bottom style="thin">
        <x:color rgb="FFD7E0E7"/>
      </x:bottom>
    </x:border>
    <x:border>
      <x:left style="thin">
        <x:color rgb="FFD7E0E7"/>
      </x:left>
      <x:bottom style="thin">
        <x:color rgb="FFD7E0E7"/>
      </x:bottom>
    </x:border>
    <x:border>
      <x:left style="thin">
        <x:color rgb="FFD7E0E7"/>
      </x:left>
      <x:right style="thin">
        <x:color rgb="FFD7E0E7"/>
      </x:right>
      <x:top style="thin">
        <x:color rgb="FFD7E0E7"/>
      </x:top>
      <x:bottom style="thin">
        <x:color rgb="FFD7E0E7"/>
      </x:bottom>
    </x:border>
    <x:border>
      <x:right style="thin">
        <x:color rgb="FFD7E0E7"/>
      </x:right>
      <x:top style="thin">
        <x:color rgb="FFD7E0E7"/>
      </x:top>
    </x:border>
    <x:border>
      <x:left style="thin">
        <x:color rgb="FFD7E0E7"/>
      </x:left>
      <x:right style="thin">
        <x:color rgb="FFD7E0E7"/>
      </x:right>
      <x:top style="thin">
        <x:color rgb="FFD7E0E7"/>
      </x:top>
    </x:border>
    <x:border>
      <x:left style="thin">
        <x:color rgb="FFD7E0E7"/>
      </x:left>
      <x:top style="thin">
        <x:color rgb="FFD7E0E7"/>
      </x:top>
    </x:border>
    <x:border>
      <x:left style="thin">
        <x:color rgb="FF0F6B78"/>
      </x:left>
      <x:top style="thin">
        <x:color rgb="FF0F6B78"/>
      </x:top>
      <x:bottom style="thin">
        <x:color rgb="FF0F6B78"/>
      </x:bottom>
    </x:border>
    <x:border>
      <x:top style="thin">
        <x:color rgb="FF0F6B78"/>
      </x:top>
      <x:bottom style="thin">
        <x:color rgb="FF0F6B78"/>
      </x:bottom>
    </x:border>
    <x:border>
      <x:right style="thin">
        <x:color rgb="FF0F6B78"/>
      </x:right>
      <x:top style="thin">
        <x:color rgb="FF0F6B78"/>
      </x:top>
      <x:bottom style="thin">
        <x:color rgb="FF0F6B78"/>
      </x:bottom>
    </x:border>
  </x:borders>
  <x:cellStyleXfs count="1">
    <x:xf numFmtId="0" fontId="0" fillId="0" borderId="0"/>
  </x:cellStyleXfs>
  <x:cellXfs count="1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3" xfId="0" applyNumberFormat="1" applyFont="1" applyFill="1" applyBorder="1"/>
    <x:xf numFmtId="0" fontId="5" fillId="6" borderId="7" xfId="0" applyNumberFormat="1" applyFont="1" applyFill="1" applyBorder="1"/>
    <x:xf numFmtId="0" fontId="5" fillId="6" borderId="1"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4" xfId="0" applyNumberFormat="1" applyFont="1" applyFill="1" applyBorder="1" applyAlignment="1">
      <x:alignment vertical="center"/>
    </x:xf>
    <x:xf numFmtId="0" fontId="5" fillId="6" borderId="5" xfId="0" applyNumberFormat="1" applyFont="1" applyFill="1" applyBorder="1" applyAlignment="1">
      <x:alignment vertical="center"/>
    </x:xf>
    <x:xf numFmtId="0" fontId="5" fillId="6" borderId="6" xfId="0" applyNumberFormat="1" applyFont="1" applyFill="1" applyBorder="1" applyAlignment="1">
      <x:alignment vertical="center"/>
    </x:xf>
    <x:xf numFmtId="0" fontId="5" fillId="6" borderId="3" xfId="0" applyNumberFormat="1" applyFont="1" applyFill="1" applyBorder="1" applyAlignment="1">
      <x:alignment vertical="center"/>
    </x:xf>
    <x:xf numFmtId="0" fontId="5" fillId="6" borderId="7" xfId="0" applyNumberFormat="1" applyFont="1" applyFill="1" applyBorder="1" applyAlignment="1">
      <x:alignment vertical="center"/>
    </x:xf>
    <x:xf numFmtId="0" fontId="5" fillId="6" borderId="1" xfId="0" applyNumberFormat="1" applyFont="1" applyFill="1" applyBorder="1" applyAlignment="1">
      <x:alignment vertical="center"/>
    </x:xf>
    <x:xf numFmtId="0" fontId="5" fillId="6" borderId="8" xfId="0" applyNumberFormat="1" applyFont="1" applyFill="1" applyBorder="1" applyAlignment="1">
      <x:alignment vertical="center"/>
    </x:xf>
    <x:xf numFmtId="0" fontId="5" fillId="6" borderId="9" xfId="0" applyNumberFormat="1" applyFont="1" applyFill="1" applyBorder="1" applyAlignment="1">
      <x:alignment vertical="center"/>
    </x:xf>
    <x:xf numFmtId="0" fontId="5" fillId="6" borderId="10" xfId="0" applyNumberFormat="1" applyFont="1" applyFill="1" applyBorder="1" applyAlignment="1">
      <x:alignment vertical="center"/>
    </x:xf>
    <x:xf numFmtId="0" fontId="5" fillId="3" borderId="5" xfId="0" applyNumberFormat="1" applyFont="1" applyFill="1" applyBorder="1" applyAlignment="1">
      <x:alignment vertical="center"/>
    </x:xf>
    <x:xf numFmtId="0" fontId="5" fillId="3" borderId="7" xfId="0" applyNumberFormat="1" applyFont="1" applyFill="1" applyBorder="1" applyAlignment="1">
      <x:alignment vertical="center"/>
    </x:xf>
    <x:xf numFmtId="0" fontId="5" fillId="3" borderId="9" xfId="0" applyNumberFormat="1" applyFont="1" applyFill="1" applyBorder="1" applyAlignment="1">
      <x:alignment vertical="center"/>
    </x:xf>
    <x:xf numFmtId="0" fontId="6" fillId="3" borderId="5" xfId="0" applyNumberFormat="1" applyFont="1" applyFill="1" applyBorder="1" applyAlignment="1">
      <x:alignment vertical="center"/>
    </x:xf>
    <x:xf numFmtId="0" fontId="6" fillId="3" borderId="7" xfId="0" applyNumberFormat="1" applyFont="1" applyFill="1" applyBorder="1" applyAlignment="1">
      <x:alignment vertical="center"/>
    </x:xf>
    <x:xf numFmtId="0" fontId="6" fillId="3" borderId="9" xfId="0" applyNumberFormat="1" applyFont="1" applyFill="1" applyBorder="1" applyAlignment="1">
      <x:alignment vertical="center"/>
    </x:xf>
    <x:xf numFmtId="200" fontId="6" fillId="3" borderId="5" xfId="0" applyNumberFormat="1" applyFont="1" applyFill="1" applyBorder="1" applyAlignment="1">
      <x:alignment vertical="center"/>
    </x:xf>
    <x:xf numFmtId="200" fontId="6" fillId="3" borderId="7" xfId="0" applyNumberFormat="1" applyFont="1" applyFill="1" applyBorder="1" applyAlignment="1">
      <x:alignment vertical="center"/>
    </x:xf>
    <x:xf numFmtId="200" fontId="6" fillId="3" borderId="9" xfId="0" applyNumberFormat="1" applyFont="1" applyFill="1" applyBorder="1" applyAlignment="1">
      <x:alignment vertical="center"/>
    </x:xf>
    <x:xf numFmtId="200" fontId="6" fillId="3" borderId="5" xfId="0" applyNumberFormat="1" applyFont="1" applyFill="1" applyBorder="1" applyAlignment="1">
      <x:alignment horizontal="center" vertical="center"/>
    </x:xf>
    <x:xf numFmtId="200" fontId="6" fillId="3" borderId="7" xfId="0" applyNumberFormat="1" applyFont="1" applyFill="1" applyBorder="1" applyAlignment="1">
      <x:alignment horizontal="center" vertical="center"/>
    </x:xf>
    <x:xf numFmtId="200" fontId="6" fillId="3" borderId="9" xfId="0" applyNumberFormat="1" applyFont="1" applyFill="1" applyBorder="1" applyAlignment="1">
      <x:alignment horizontal="center" vertical="center"/>
    </x:xf>
    <x:xf numFmtId="0" fontId="5" fillId="6" borderId="6"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5" fillId="6" borderId="10" xfId="0" applyNumberFormat="1" applyFont="1" applyFill="1" applyBorder="1" applyAlignment="1">
      <x:alignment vertical="center" wrapText="1"/>
    </x:xf>
    <x:xf numFmtId="0" fontId="4" fillId="5" borderId="0" xfId="0" applyNumberFormat="1" applyFont="1" applyFill="1" applyBorder="1" applyAlignment="1">
      <x:alignment wrapText="1"/>
    </x:xf>
    <x:xf numFmtId="0" fontId="7" fillId="0" borderId="0"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3" xfId="0" applyNumberFormat="1" applyFont="1" applyFill="1" applyBorder="1"/>
    <x:xf numFmtId="0" fontId="7" fillId="0" borderId="7" xfId="0" applyNumberFormat="1" applyFont="1" applyFill="1" applyBorder="1"/>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4" xfId="0" applyNumberFormat="1" applyFont="1" applyFill="1" applyBorder="1" applyAlignment="1">
      <x:alignment vertical="top"/>
    </x:xf>
    <x:xf numFmtId="0" fontId="7" fillId="0" borderId="5" xfId="0" applyNumberFormat="1" applyFont="1" applyFill="1" applyBorder="1" applyAlignment="1">
      <x:alignment vertical="top"/>
    </x:xf>
    <x:xf numFmtId="0" fontId="7" fillId="0" borderId="6" xfId="0" applyNumberFormat="1" applyFont="1" applyFill="1" applyBorder="1" applyAlignment="1">
      <x:alignment vertical="top"/>
    </x:xf>
    <x:xf numFmtId="0" fontId="7" fillId="0" borderId="3" xfId="0" applyNumberFormat="1" applyFont="1" applyFill="1" applyBorder="1" applyAlignment="1">
      <x:alignment vertical="top"/>
    </x:xf>
    <x:xf numFmtId="0" fontId="7" fillId="0" borderId="7" xfId="0" applyNumberFormat="1" applyFont="1" applyFill="1" applyBorder="1" applyAlignment="1">
      <x:alignment vertical="top"/>
    </x:xf>
    <x:xf numFmtId="0" fontId="7" fillId="0" borderId="1" xfId="0" applyNumberFormat="1" applyFont="1" applyFill="1" applyBorder="1" applyAlignment="1">
      <x:alignment vertical="top"/>
    </x:xf>
    <x:xf numFmtId="0" fontId="7" fillId="0" borderId="8" xfId="0" applyNumberFormat="1" applyFont="1" applyFill="1" applyBorder="1" applyAlignment="1">
      <x:alignment vertical="top"/>
    </x:xf>
    <x:xf numFmtId="0" fontId="7" fillId="0" borderId="9" xfId="0" applyNumberFormat="1" applyFont="1" applyFill="1" applyBorder="1" applyAlignment="1">
      <x:alignment vertical="top"/>
    </x:xf>
    <x:xf numFmtId="0" fontId="7" fillId="0" borderId="10" xfId="0" applyNumberFormat="1" applyFont="1" applyFill="1" applyBorder="1" applyAlignment="1">
      <x:alignment vertical="top"/>
    </x:xf>
    <x:xf numFmtId="0" fontId="7" fillId="0" borderId="6"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4" xfId="0" applyNumberFormat="1" applyFont="1" applyFill="1" applyBorder="1" applyAlignment="1">
      <x:alignment horizontal="center" vertical="top"/>
    </x:xf>
    <x:xf numFmtId="0" fontId="7" fillId="0" borderId="3" xfId="0" applyNumberFormat="1" applyFont="1" applyFill="1" applyBorder="1" applyAlignment="1">
      <x:alignment horizontal="center" vertical="top"/>
    </x:xf>
    <x:xf numFmtId="0" fontId="7" fillId="0" borderId="8" xfId="0" applyNumberFormat="1" applyFont="1" applyFill="1" applyBorder="1" applyAlignment="1">
      <x:alignment horizontal="center" vertical="top"/>
    </x:xf>
    <x:xf numFmtId="0" fontId="3" fillId="2" borderId="0" xfId="0" applyNumberFormat="1" applyFont="1" applyFill="1" applyBorder="1"/>
    <x:xf numFmtId="0" fontId="5" fillId="6" borderId="4"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1"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4" xfId="0" applyNumberFormat="1" applyFont="1" applyFill="1" applyBorder="1" applyAlignment="1">
      <x:alignment vertical="center" wrapText="1"/>
    </x:xf>
    <x:xf numFmtId="0" fontId="5" fillId="6" borderId="5" xfId="0" applyNumberFormat="1" applyFont="1" applyFill="1" applyBorder="1" applyAlignment="1">
      <x:alignment vertical="center" wrapText="1"/>
    </x:xf>
    <x:xf numFmtId="0" fontId="5" fillId="6" borderId="3" xfId="0" applyNumberFormat="1" applyFont="1" applyFill="1" applyBorder="1" applyAlignment="1">
      <x:alignment vertical="center" wrapText="1"/>
    </x:xf>
    <x:xf numFmtId="0" fontId="5" fillId="6" borderId="7" xfId="0" applyNumberFormat="1" applyFont="1" applyFill="1" applyBorder="1" applyAlignment="1">
      <x:alignment vertical="center" wrapText="1"/>
    </x:xf>
    <x:xf numFmtId="0" fontId="5" fillId="6" borderId="8" xfId="0" applyNumberFormat="1" applyFont="1" applyFill="1" applyBorder="1" applyAlignment="1">
      <x:alignment vertical="center" wrapText="1"/>
    </x:xf>
    <x:xf numFmtId="0" fontId="5" fillId="6" borderId="9"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5"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7" xfId="0" applyNumberFormat="1" applyFont="1" applyFill="1" applyBorder="1" applyAlignment="1">
      <x:alignment vertical="center" wrapText="1"/>
    </x:xf>
    <x:xf numFmtId="0" fontId="5" fillId="4" borderId="8" xfId="0" applyNumberFormat="1" applyFont="1" applyFill="1" applyBorder="1" applyAlignment="1">
      <x:alignment vertical="center" wrapText="1"/>
    </x:xf>
    <x:xf numFmtId="0" fontId="5" fillId="4" borderId="9" xfId="0" applyNumberFormat="1" applyFont="1" applyFill="1" applyBorder="1" applyAlignment="1">
      <x:alignment vertical="center"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8" fillId="4" borderId="3" xfId="0" applyNumberFormat="1" applyFont="1" applyFill="1" applyBorder="1" applyAlignment="1">
      <x:alignment vertical="center" wrapText="1"/>
    </x:xf>
    <x:xf numFmtId="0" fontId="8" fillId="4" borderId="7" xfId="0" applyNumberFormat="1" applyFont="1" applyFill="1" applyBorder="1" applyAlignment="1">
      <x:alignment vertical="center" wrapText="1"/>
    </x:xf>
    <x:xf numFmtId="0" fontId="8" fillId="4" borderId="8" xfId="0" applyNumberFormat="1" applyFont="1" applyFill="1" applyBorder="1" applyAlignment="1">
      <x:alignment vertical="center" wrapText="1"/>
    </x:xf>
    <x:xf numFmtId="0" fontId="8" fillId="4" borderId="9" xfId="0" applyNumberFormat="1" applyFont="1" applyFill="1" applyBorder="1" applyAlignment="1">
      <x:alignment vertical="center" wrapText="1"/>
    </x:xf>
    <x:xf numFmtId="0" fontId="8" fillId="4" borderId="0" xfId="0" applyNumberFormat="1" applyFont="1" applyFill="1" applyBorder="1"/>
    <x:xf numFmtId="0" fontId="8" fillId="4" borderId="11" xfId="0" applyNumberFormat="1" applyFont="1" applyFill="1" applyBorder="1"/>
    <x:xf numFmtId="0" fontId="8" fillId="4" borderId="12" xfId="0" applyNumberFormat="1" applyFont="1" applyFill="1" applyBorder="1"/>
    <x:xf numFmtId="0" fontId="8" fillId="4" borderId="13" xfId="0" applyNumberFormat="1" applyFont="1" applyFill="1" applyBorder="1"/>
    <x:xf numFmtId="0" fontId="8" fillId="4" borderId="11" xfId="0" applyNumberFormat="1" applyFont="1" applyFill="1" applyBorder="1" applyAlignment="1">
      <x:alignment wrapText="1"/>
    </x:xf>
    <x:xf numFmtId="0" fontId="8" fillId="4" borderId="12" xfId="0" applyNumberFormat="1" applyFont="1" applyFill="1" applyBorder="1" applyAlignment="1">
      <x:alignment wrapText="1"/>
    </x:xf>
    <x:xf numFmtId="0" fontId="8" fillId="4" borderId="13" xfId="0" applyNumberFormat="1" applyFont="1" applyFill="1" applyBorder="1" applyAlignment="1">
      <x:alignment wrapText="1"/>
    </x:xf>
    <x:xf numFmtId="0" fontId="8" fillId="4" borderId="11" xfId="0" applyNumberFormat="1" applyFont="1" applyFill="1" applyBorder="1" applyAlignment="1">
      <x:alignment horizontal="center" wrapText="1"/>
    </x:xf>
    <x:xf numFmtId="0" fontId="8" fillId="4" borderId="12" xfId="0" applyNumberFormat="1" applyFont="1" applyFill="1" applyBorder="1" applyAlignment="1">
      <x:alignment horizontal="center" wrapText="1"/>
    </x:xf>
    <x:xf numFmtId="0" fontId="8" fillId="4" borderId="13" xfId="0" applyNumberFormat="1" applyFont="1" applyFill="1" applyBorder="1" applyAlignment="1">
      <x:alignment horizontal="center" wrapText="1"/>
    </x:xf>
    <x:xf numFmtId="0" fontId="8" fillId="4" borderId="11" xfId="0" applyNumberFormat="1" applyFont="1" applyFill="1" applyBorder="1" applyAlignment="1">
      <x:alignment horizontal="center" vertical="center" wrapText="1"/>
    </x:xf>
    <x:xf numFmtId="0" fontId="8" fillId="4" borderId="12" xfId="0" applyNumberFormat="1" applyFont="1" applyFill="1" applyBorder="1" applyAlignment="1">
      <x:alignment horizontal="center" vertical="center" wrapText="1"/>
    </x:xf>
    <x:xf numFmtId="0" fontId="8" fillId="4" borderId="13" xfId="0" applyNumberFormat="1" applyFont="1" applyFill="1" applyBorder="1" applyAlignment="1">
      <x:alignment horizontal="center" vertical="center" wrapText="1"/>
    </x:xf>
    <x:xf numFmtId="0" fontId="7" fillId="0" borderId="0" xfId="0" applyNumberFormat="1" applyFont="1" applyFill="1" applyBorder="1" applyAlignment="1">
      <x:alignment vertical="top"/>
    </x:xf>
    <x:xf numFmtId="20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201" fontId="7" fillId="0" borderId="0"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7" fillId="0" borderId="0" xfId="0" applyNumberFormat="1" applyFont="1" applyFill="1" applyBorder="1">
      <x:extLst>
        <x:ext uri="{C7286773-470A-42A8-94C5-96B5CB345126}">
          <xfpb:xfComplement xmlns:xfpb="http://schemas.microsoft.com/office/spreadsheetml/2022/featurepropertybag" i="0"/>
        </x:ext>
      </x:extLst>
    </x:xf>
    <x:xf numFmtId="0" fontId="7"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wrapText="1"/>
    </x:xf>
    <x:xf numFmtId="0" fontId="5" fillId="6" borderId="4"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8" xfId="0" applyNumberFormat="1" applyFont="1" applyFill="1" applyBorder="1" applyAlignment="1">
      <x:alignment vertical="top" wrapText="1"/>
    </x:xf>
    <x:xf numFmtId="0" fontId="5" fillId="6" borderId="9" xfId="0" applyNumberFormat="1" applyFont="1" applyFill="1" applyBorder="1" applyAlignment="1">
      <x:alignment vertical="top" wrapText="1"/>
    </x:xf>
    <x:xf numFmtId="0" fontId="5" fillId="6" borderId="10" xfId="0" applyNumberFormat="1" applyFont="1" applyFill="1" applyBorder="1" applyAlignment="1">
      <x:alignment vertical="top" wrapText="1"/>
    </x:xf>
  </x:cellXfs>
  <x:cellStyles count="1">
    <x:cellStyle name="Normal" xfId="0"/>
  </x:cellStyles>
  <x:dxfs count="11">
    <x:dxf>
      <x:font>
        <x:b/>
        <x:color rgb="FF9A2424"/>
      </x:font>
      <x:fill>
        <x:patternFill patternType="solid">
          <x:bgColor rgb="FFFCE1E1"/>
        </x:patternFill>
      </x:fill>
    </x:dxf>
    <x:dxf>
      <x:font>
        <x:b/>
        <x:color rgb="FF8A5A00"/>
      </x:font>
      <x:fill>
        <x:patternFill patternType="solid">
          <x:bgColor rgb="FFFFF0CC"/>
        </x:patternFill>
      </x:fill>
    </x:dxf>
    <x:dxf>
      <x:font>
        <x:b/>
        <x:color rgb="FF1E6B36"/>
      </x:font>
      <x:fill>
        <x:patternFill patternType="solid">
          <x:bgColor rgb="FFDFF2E1"/>
        </x:patternFill>
      </x:fill>
    </x:dxf>
    <x:dxf>
      <x:font>
        <x:b/>
        <x:color rgb="FF627482"/>
      </x:font>
      <x:fill>
        <x:patternFill patternType="solid">
          <x:bgColor rgb="FFE9EEF2"/>
        </x:patternFill>
      </x:fill>
    </x:dxf>
    <x:dxf>
      <x:font>
        <x:b/>
        <x:color rgb="FF9A2424"/>
      </x:font>
      <x:fill>
        <x:patternFill patternType="solid">
          <x:bgColor rgb="FFFCE1E1"/>
        </x:patternFill>
      </x:fill>
    </x:dxf>
    <x:dxf>
      <x:font>
        <x:b/>
        <x:color rgb="FF1E6B36"/>
      </x:font>
      <x:fill>
        <x:patternFill patternType="solid">
          <x:bgColor rgb="FFDFF2E1"/>
        </x:patternFill>
      </x:fill>
    </x:dxf>
    <x:dxf>
      <x:font>
        <x:b/>
        <x:color rgb="FF8A5A00"/>
      </x:font>
      <x:fill>
        <x:patternFill patternType="solid">
          <x:bgColor rgb="FFFFF0CC"/>
        </x:patternFill>
      </x:fill>
    </x:dxf>
    <x:dxf>
      <x:font>
        <x:b/>
        <x:color rgb="FF9A2424"/>
      </x:font>
      <x:fill>
        <x:patternFill patternType="solid">
          <x:bgColor rgb="FFFCE1E1"/>
        </x:patternFill>
      </x:fill>
    </x:dxf>
    <x:dxf>
      <x:font>
        <x:b/>
        <x:color rgb="FF8A5A00"/>
      </x:font>
      <x:fill>
        <x:patternFill patternType="solid">
          <x:bgColor rgb="FFFFF0CC"/>
        </x:patternFill>
      </x:fill>
    </x:dxf>
    <x:dxf>
      <x:font>
        <x:b/>
        <x:color rgb="FF1E6B36"/>
      </x:font>
      <x:fill>
        <x:patternFill patternType="solid">
          <x:bgColor rgb="FFDFF2E1"/>
        </x:patternFill>
      </x:fill>
    </x:dxf>
    <x:dxf>
      <x:font>
        <x:b/>
        <x:color rgb="FF1E6B36"/>
      </x:font>
      <x:fill>
        <x:patternFill patternType="solid">
          <x:bgColor rgb="FFDFF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6190a39c254322" /><Relationship Type="http://schemas.openxmlformats.org/officeDocument/2006/relationships/theme" Target="/xl/theme/theme1.xml" Id="Raf6813461db74a82" /><Relationship Type="http://schemas.microsoft.com/office/2022/11/relationships/FeaturePropertyBag" Target="/xl/featurePropertyBag/featurePropertyBag.xml" Id="Rcdecb9b8ef6649a9" /><Relationship Type="http://schemas.openxmlformats.org/officeDocument/2006/relationships/sharedStrings" Target="/xl/sharedStrings.xml" Id="R2043760077f34907" /><Relationship Type="http://schemas.openxmlformats.org/officeDocument/2006/relationships/worksheet" Target="/xl/worksheets/sheet1.xml" Id="R7685394eb2af4134" /><Relationship Type="http://schemas.openxmlformats.org/officeDocument/2006/relationships/worksheet" Target="/xl/worksheets/sheet2.xml" Id="Rc1c4a030948747fe" /><Relationship Type="http://schemas.openxmlformats.org/officeDocument/2006/relationships/worksheet" Target="/xl/worksheets/sheet3.xml" Id="Rb16db4df681e4ab9" /><Relationship Type="http://schemas.openxmlformats.org/officeDocument/2006/relationships/worksheet" Target="/xl/worksheets/sheet4.xml" Id="Ra42f7f39a0294dde" /><Relationship Type="http://schemas.openxmlformats.org/officeDocument/2006/relationships/worksheet" Target="/xl/worksheets/sheet5.xml" Id="Rd01d01455c174abf" /><Relationship Type="http://schemas.openxmlformats.org/officeDocument/2006/relationships/worksheet" Target="/xl/worksheets/sheet6.xml" Id="R4448ed0c52a646dc" /><Relationship Type="http://schemas.openxmlformats.org/officeDocument/2006/relationships/worksheet" Target="/xl/worksheets/sheet7.xml" Id="R8641cb9294dc404d" /><Relationship Type="http://schemas.openxmlformats.org/officeDocument/2006/relationships/worksheet" Target="/xl/worksheets/sheet8.xml" Id="R83ebb06d41ed4ad3" /><Relationship Type="http://schemas.openxmlformats.org/officeDocument/2006/relationships/worksheet" Target="/xl/worksheets/sheet9.xml" Id="Rfd8709dd223a4800" /><Relationship Type="http://schemas.openxmlformats.org/officeDocument/2006/relationships/worksheet" Target="/xl/worksheets/sheet10.xml" Id="Rf86d2a231f9c425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lowCatalogTable" displayName="FlowCatalogTable" ref="A4:AD720" headerRowCount="1" totalsRowCount="0" totalsRowShown="0">
  <x:autoFilter ref="A4:AD720"/>
  <x:tableColumns count="30">
    <x:tableColumn id="1" name="Definition ID"/>
    <x:tableColumn id="2" name="API Name"/>
    <x:tableColumn id="3" name="Label"/>
    <x:tableColumn id="4" name="Active"/>
    <x:tableColumn id="5" name="Active Version"/>
    <x:tableColumn id="6" name="Latest Version"/>
    <x:tableColumn id="7" name="Active = Latest"/>
    <x:tableColumn id="8" name="Analysis Basis"/>
    <x:tableColumn id="9" name="Process Type"/>
    <x:tableColumn id="10" name="Start Object"/>
    <x:tableColumn id="11" name="Record Triggered"/>
    <x:tableColumn id="12" name="Record Event"/>
    <x:tableColumn id="13" name="Trigger Timing"/>
    <x:tableColumn id="14" name="Run Mode"/>
    <x:tableColumn id="15" name="Trigger Order"/>
    <x:tableColumn id="16" name="Scheduled Frequency"/>
    <x:tableColumn id="17" name="API Version"/>
    <x:tableColumn id="18" name="Managed State"/>
    <x:tableColumn id="19" name="Version Count"/>
    <x:tableColumn id="20" name="Total Elements"/>
    <x:tableColumn id="21" name="Objects Touched"/>
    <x:tableColumn id="22" name="Subflow Calls"/>
    <x:tableColumn id="23" name="Action Calls"/>
    <x:tableColumn id="24" name="Screen Components"/>
    <x:tableColumn id="25" name="Complexity (1-5)"/>
    <x:tableColumn id="26" name="Consolidation Signal"/>
    <x:tableColumn id="27" name="Last Modified"/>
    <x:tableColumn id="28" name="Last Modified By"/>
    <x:tableColumn id="29" name="Description"/>
    <x:tableColumn id="30" name="Risk Flags"/>
  </x:tableColumns>
  <x:tableStyleInfo name="TableStyleMedium2" showFirstColumn="0" showLastColumn="0" showRowStripes="1" showColumnStripes="0"/>
</x:table>
</file>

<file path=xl/tables/table2.xml><?xml version="1.0" encoding="utf-8"?>
<x:table xmlns:x="http://schemas.openxmlformats.org/spreadsheetml/2006/main" id="2" name="FlowVersionsTable" displayName="FlowVersionsTable" ref="A4:S3649" headerRowCount="1" totalsRowCount="0" totalsRowShown="0">
  <x:autoFilter ref="A4:S3649"/>
  <x:tableColumns count="19">
    <x:tableColumn id="1" name="Flow API Name"/>
    <x:tableColumn id="2" name="Definition ID"/>
    <x:tableColumn id="3" name="Version ID"/>
    <x:tableColumn id="4" name="Version"/>
    <x:tableColumn id="5" name="Status"/>
    <x:tableColumn id="6" name="Is Active Version"/>
    <x:tableColumn id="7" name="Is Latest Version"/>
    <x:tableColumn id="8" name="Process Type"/>
    <x:tableColumn id="9" name="API Version"/>
    <x:tableColumn id="10" name="Managed State"/>
    <x:tableColumn id="11" name="Is Template"/>
    <x:tableColumn id="12" name="Run Mode"/>
    <x:tableColumn id="13" name="Trigger Order"/>
    <x:tableColumn id="14" name="Created Date"/>
    <x:tableColumn id="15" name="Created By"/>
    <x:tableColumn id="16" name="Last Modified"/>
    <x:tableColumn id="17" name="Last Modified By"/>
    <x:tableColumn id="18" name="Label"/>
    <x:tableColumn id="19" name="Description"/>
  </x:tableColumns>
  <x:tableStyleInfo name="TableStyleMedium2" showFirstColumn="0" showLastColumn="0" showRowStripes="1" showColumnStripes="0"/>
</x:table>
</file>

<file path=xl/tables/table3.xml><?xml version="1.0" encoding="utf-8"?>
<x:table xmlns:x="http://schemas.openxmlformats.org/spreadsheetml/2006/main" id="3" name="FlowDetailsTable" displayName="FlowDetailsTable" ref="A4:AC720" headerRowCount="1" totalsRowCount="0" totalsRowShown="0">
  <x:autoFilter ref="A4:AC720"/>
  <x:tableColumns count="29">
    <x:tableColumn id="1" name="Definition ID"/>
    <x:tableColumn id="2" name="API Name"/>
    <x:tableColumn id="3" name="Active"/>
    <x:tableColumn id="4" name="Analysis Basis"/>
    <x:tableColumn id="5" name="Start Filters"/>
    <x:tableColumn id="6" name="Objects"/>
    <x:tableColumn id="7" name="Fields Referenced"/>
    <x:tableColumn id="8" name="Actions"/>
    <x:tableColumn id="9" name="Subflows"/>
    <x:tableColumn id="10" name="Screen Components"/>
    <x:tableColumn id="11" name="Total Elements"/>
    <x:tableColumn id="12" name="actionCalls"/>
    <x:tableColumn id="13" name="apexPluginCalls"/>
    <x:tableColumn id="14" name="assignments"/>
    <x:tableColumn id="15" name="collectionProcessors"/>
    <x:tableColumn id="16" name="customErrors"/>
    <x:tableColumn id="17" name="decisions"/>
    <x:tableColumn id="18" name="loops"/>
    <x:tableColumn id="19" name="orchestratedStages"/>
    <x:tableColumn id="20" name="recordCreates"/>
    <x:tableColumn id="21" name="recordDeletes"/>
    <x:tableColumn id="22" name="recordLookups"/>
    <x:tableColumn id="23" name="recordRollbacks"/>
    <x:tableColumn id="24" name="recordUpdates"/>
    <x:tableColumn id="25" name="screens"/>
    <x:tableColumn id="26" name="steps"/>
    <x:tableColumn id="27" name="subflows"/>
    <x:tableColumn id="28" name="transforms"/>
    <x:tableColumn id="29" name="waits"/>
  </x:tableColumns>
  <x:tableStyleInfo name="TableStyleMedium2" showFirstColumn="0" showLastColumn="0" showRowStripes="1" showColumnStripes="0"/>
</x:table>
</file>

<file path=xl/tables/table4.xml><?xml version="1.0" encoding="utf-8"?>
<x:table xmlns:x="http://schemas.openxmlformats.org/spreadsheetml/2006/main" id="4" name="ConsolidationPlanTable" displayName="ConsolidationPlanTable" ref="A4:K130" headerRowCount="1" totalsRowCount="0" totalsRowShown="0">
  <x:autoFilter ref="A4:K130"/>
  <x:tableColumns count="11">
    <x:tableColumn id="1" name="Priority"/>
    <x:tableColumn id="2" name="Object"/>
    <x:tableColumn id="3" name="Trigger Timing"/>
    <x:tableColumn id="4" name="Record Event"/>
    <x:tableColumn id="5" name="Active Flow Count"/>
    <x:tableColumn id="6" name="Apex Trigger Count"/>
    <x:tableColumn id="7" name="Active Flows"/>
    <x:tableColumn id="8" name="Apex Triggers"/>
    <x:tableColumn id="9" name="Recommended Target Pattern"/>
    <x:tableColumn id="10" name="Flow Orchestrator Fit"/>
    <x:tableColumn id="11" name="Next R&amp;D Step"/>
  </x:tableColumns>
  <x:tableStyleInfo name="TableStyleMedium2" showFirstColumn="0" showLastColumn="0" showRowStripes="1" showColumnStripes="0"/>
</x:table>
</file>

<file path=xl/tables/table5.xml><?xml version="1.0" encoding="utf-8"?>
<x:table xmlns:x="http://schemas.openxmlformats.org/spreadsheetml/2006/main" id="5" name="ConnectionsTable" displayName="ConnectionsTable" ref="A4:H529" headerRowCount="1" totalsRowCount="0" totalsRowShown="0">
  <x:autoFilter ref="A4:H529"/>
  <x:tableColumns count="8">
    <x:tableColumn id="1" name="Source Flow"/>
    <x:tableColumn id="2" name="Source Active"/>
    <x:tableColumn id="3" name="Analysis Basis"/>
    <x:tableColumn id="4" name="Connection Type"/>
    <x:tableColumn id="5" name="Element"/>
    <x:tableColumn id="6" name="Target"/>
    <x:tableColumn id="7" name="Target Found"/>
    <x:tableColumn id="8" name="Details"/>
  </x:tableColumns>
  <x:tableStyleInfo name="TableStyleMedium2" showFirstColumn="0" showLastColumn="0" showRowStripes="1" showColumnStripes="0"/>
</x:table>
</file>

<file path=xl/tables/table6.xml><?xml version="1.0" encoding="utf-8"?>
<x:table xmlns:x="http://schemas.openxmlformats.org/spreadsheetml/2006/main" id="6" name="ObjectMapTable" displayName="ObjectMapTable" ref="A4:H1559" headerRowCount="1" totalsRowCount="0" totalsRowShown="0">
  <x:autoFilter ref="A4:H1559"/>
  <x:tableColumns count="8">
    <x:tableColumn id="1" name="Definition ID"/>
    <x:tableColumn id="2" name="Flow API Name"/>
    <x:tableColumn id="3" name="Flow Active"/>
    <x:tableColumn id="4" name="Analysis Basis"/>
    <x:tableColumn id="5" name="Object"/>
    <x:tableColumn id="6" name="Roles"/>
    <x:tableColumn id="7" name="Start Object"/>
    <x:tableColumn id="8" name="Process Type"/>
  </x:tableColumns>
  <x:tableStyleInfo name="TableStyleMedium2" showFirstColumn="0" showLastColumn="0" showRowStripes="1" showColumnStripes="0"/>
</x:table>
</file>

<file path=xl/tables/table7.xml><?xml version="1.0" encoding="utf-8"?>
<x:table xmlns:x="http://schemas.openxmlformats.org/spreadsheetml/2006/main" id="7" name="CodeInventoryTable" displayName="CodeInventoryTable" ref="A4:J452" headerRowCount="1" totalsRowCount="0" totalsRowShown="0">
  <x:autoFilter ref="A4:J452"/>
  <x:tableColumns count="10">
    <x:tableColumn id="1" name="Component Type"/>
    <x:tableColumn id="2" name="Component"/>
    <x:tableColumn id="3" name="Status / Exposure"/>
    <x:tableColumn id="4" name="Primary Object"/>
    <x:tableColumn id="5" name="Events / Targets"/>
    <x:tableColumn id="6" name="Invocable / Flow Screen"/>
    <x:tableColumn id="7" name="Direct Flow References"/>
    <x:tableColumn id="8" name="Referenced Flows"/>
    <x:tableColumn id="9" name="Referenced Apex"/>
    <x:tableColumn id="10" name="Objects Referenced"/>
  </x:tableColumns>
  <x:tableStyleInfo name="TableStyleMedium2" showFirstColumn="0" showLastColumn="0" showRowStripes="1" showColumnStripes="0"/>
</x:table>
</file>

<file path=xl/tables/table8.xml><?xml version="1.0" encoding="utf-8"?>
<x:table xmlns:x="http://schemas.openxmlformats.org/spreadsheetml/2006/main" id="8" name="CodeOverlapTable" displayName="CodeOverlapTable" ref="A4:G62" headerRowCount="1" totalsRowCount="0" totalsRowShown="0">
  <x:autoFilter ref="A4:G62"/>
  <x:tableColumns count="7">
    <x:tableColumn id="1" name="Overlap Type"/>
    <x:tableColumn id="2" name="Object / Target"/>
    <x:tableColumn id="3" name="Code Component"/>
    <x:tableColumn id="4" name="Flow"/>
    <x:tableColumn id="5" name="Confidence"/>
    <x:tableColumn id="6" name="Risk"/>
    <x:tableColumn id="7" name="Recommend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f0243015954813" /></Relationships>
</file>

<file path=xl/worksheets/_rels/sheet3.xml.rels>&#65279;<?xml version="1.0" encoding="utf-8"?><Relationships xmlns="http://schemas.openxmlformats.org/package/2006/relationships"><Relationship Type="http://schemas.openxmlformats.org/officeDocument/2006/relationships/table" Target="/xl/tables/table2.xml" Id="R814120e7390a4c1a" /></Relationships>
</file>

<file path=xl/worksheets/_rels/sheet4.xml.rels>&#65279;<?xml version="1.0" encoding="utf-8"?><Relationships xmlns="http://schemas.openxmlformats.org/package/2006/relationships"><Relationship Type="http://schemas.openxmlformats.org/officeDocument/2006/relationships/table" Target="/xl/tables/table3.xml" Id="R3c387e35b6d04bd1" /></Relationships>
</file>

<file path=xl/worksheets/_rels/sheet5.xml.rels>&#65279;<?xml version="1.0" encoding="utf-8"?><Relationships xmlns="http://schemas.openxmlformats.org/package/2006/relationships"><Relationship Type="http://schemas.openxmlformats.org/officeDocument/2006/relationships/table" Target="/xl/tables/table4.xml" Id="R83918b84cf8f4411" /></Relationships>
</file>

<file path=xl/worksheets/_rels/sheet6.xml.rels>&#65279;<?xml version="1.0" encoding="utf-8"?><Relationships xmlns="http://schemas.openxmlformats.org/package/2006/relationships"><Relationship Type="http://schemas.openxmlformats.org/officeDocument/2006/relationships/table" Target="/xl/tables/table5.xml" Id="R6f20caddf3104cb7" /></Relationships>
</file>

<file path=xl/worksheets/_rels/sheet7.xml.rels>&#65279;<?xml version="1.0" encoding="utf-8"?><Relationships xmlns="http://schemas.openxmlformats.org/package/2006/relationships"><Relationship Type="http://schemas.openxmlformats.org/officeDocument/2006/relationships/table" Target="/xl/tables/table6.xml" Id="R836d2ca36f144c26" /></Relationships>
</file>

<file path=xl/worksheets/_rels/sheet8.xml.rels>&#65279;<?xml version="1.0" encoding="utf-8"?><Relationships xmlns="http://schemas.openxmlformats.org/package/2006/relationships"><Relationship Type="http://schemas.openxmlformats.org/officeDocument/2006/relationships/table" Target="/xl/tables/table7.xml" Id="R5995dd5fa08d49b1" /></Relationships>
</file>

<file path=xl/worksheets/_rels/sheet9.xml.rels>&#65279;<?xml version="1.0" encoding="utf-8"?><Relationships xmlns="http://schemas.openxmlformats.org/package/2006/relationships"><Relationship Type="http://schemas.openxmlformats.org/officeDocument/2006/relationships/table" Target="/xl/tables/table8.xml" Id="Ra259dbeacf2a48d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34" hidden="0" customWidth="1"/>
    <x:col min="4" max="4" width="3" hidden="0" customWidth="1"/>
    <x:col min="5" max="5" width="12" hidden="0" customWidth="1"/>
    <x:col min="6" max="6" width="19" hidden="0" customWidth="1"/>
    <x:col min="7" max="7" width="18" hidden="0" customWidth="1"/>
    <x:col min="8" max="8" width="16" hidden="0" customWidth="1"/>
    <x:col min="9" max="9" width="9" hidden="0" customWidth="1"/>
    <x:col min="10" max="10" width="9" hidden="0" customWidth="1"/>
    <x:col min="11" max="11" width="48" hidden="0" customWidth="1"/>
  </x:cols>
  <x:sheetData>
    <x:row r="1" ht="28" customHeight="1">
      <x:c r="A1" s="3" t="str">
        <x:v>Probo Medical — Flow Refactor &amp; Orchestration Analysis</x:v>
      </x:c>
      <x:c r="B1" s="3"/>
      <x:c r="C1" s="3"/>
      <x:c r="D1" s="3"/>
      <x:c r="E1" s="3"/>
      <x:c r="F1" s="3"/>
      <x:c r="G1" s="3"/>
      <x:c r="H1" s="3"/>
      <x:c r="I1" s="3"/>
      <x:c r="J1" s="3"/>
      <x:c r="K1" s="3"/>
    </x:row>
    <x:row r="2" ht="34" customHeight="1">
      <x:c r="A2" s="7" t="str">
        <x:v>Live production inventory as of 2026-08-25. Read-only analysis of Flow, Apex, Trigger, LWC, and Aura metadata; no Flow or code changes were made.</x:v>
      </x:c>
      <x:c r="B2" s="7"/>
      <x:c r="C2" s="7"/>
      <x:c r="D2" s="7"/>
      <x:c r="E2" s="7"/>
      <x:c r="F2" s="7"/>
      <x:c r="G2" s="7"/>
      <x:c r="H2" s="7"/>
      <x:c r="I2" s="7"/>
      <x:c r="J2" s="7"/>
      <x:c r="K2" s="7"/>
    </x:row>
    <x:row r="4">
      <x:c r="A4" s="9" t="str">
        <x:v>Live Org Coverage</x:v>
      </x:c>
      <x:c r="B4" s="9"/>
      <x:c r="C4" s="9"/>
      <x:c r="E4" s="9" t="str">
        <x:v>Highest-Priority Consolidation Lanes</x:v>
      </x:c>
      <x:c r="F4" s="9"/>
      <x:c r="G4" s="9"/>
      <x:c r="H4" s="9"/>
      <x:c r="I4" s="9"/>
      <x:c r="J4" s="9"/>
      <x:c r="K4" s="9"/>
    </x:row>
    <x:row r="5">
      <x:c r="A5" s="12" t="str">
        <x:v>Metric</x:v>
      </x:c>
      <x:c r="B5" s="13" t="str">
        <x:v>Value</x:v>
      </x:c>
      <x:c r="C5" s="14" t="str">
        <x:v>Why it matters</x:v>
      </x:c>
      <x:c r="E5" s="50" t="str">
        <x:v>Priority</x:v>
      </x:c>
      <x:c r="F5" s="50" t="str">
        <x:v>Object</x:v>
      </x:c>
      <x:c r="G5" s="50" t="str">
        <x:v>Timing</x:v>
      </x:c>
      <x:c r="H5" s="50" t="str">
        <x:v>Event</x:v>
      </x:c>
      <x:c r="I5" s="50" t="str">
        <x:v>Flows</x:v>
      </x:c>
      <x:c r="J5" s="50" t="str">
        <x:v>Apex</x:v>
      </x:c>
      <x:c r="K5" s="50" t="str">
        <x:v>Recommended target</x:v>
      </x:c>
    </x:row>
    <x:row r="6">
      <x:c r="A6" s="26" t="str">
        <x:v>Flow definitions</x:v>
      </x:c>
      <x:c r="B6" s="44" t="n">
        <x:f>COUNTA('Flow Catalog'!$B$5:$B$720)</x:f>
        <x:v>716</x:v>
      </x:c>
      <x:c r="C6" s="47" t="str">
        <x:v>All current Flow definitions, active and inactive</x:v>
      </x:c>
      <x:c r="E6" s="73" t="str">
        <x:v>High</x:v>
      </x:c>
      <x:c r="F6" s="62" t="str">
        <x:v>Opportunity</x:v>
      </x:c>
      <x:c r="G6" s="62" t="str">
        <x:v>RecordAfterSave</x:v>
      </x:c>
      <x:c r="H6" s="62" t="str">
        <x:v>Update</x:v>
      </x:c>
      <x:c r="I6" s="62" t="n">
        <x:v>26</x:v>
      </x:c>
      <x:c r="J6" s="62" t="n">
        <x:v>2</x:v>
      </x:c>
      <x:c r="K6" s="70" t="str">
        <x:v>One after-save entry Flow per object/event lane; route business domains to autolaunched Subflows and preserve async paths. Trace Apex trigger handlers in the same transaction before selecting the final owner for each rule.</x:v>
      </x:c>
    </x:row>
    <x:row r="7">
      <x:c r="A7" s="29" t="str">
        <x:v>Active definitions</x:v>
      </x:c>
      <x:c r="B7" s="45" t="n">
        <x:f>COUNTIF('Flow Catalog'!$D$5:$D$720,"Yes")</x:f>
        <x:v>525</x:v>
      </x:c>
      <x:c r="C7" s="48" t="str">
        <x:v>Authoritative ActiveVersionId is populated</x:v>
      </x:c>
      <x:c r="E7" s="74" t="str">
        <x:v>High</x:v>
      </x:c>
      <x:c r="F7" s="65" t="str">
        <x:v>ProductItem__c</x:v>
      </x:c>
      <x:c r="G7" s="65" t="str">
        <x:v>RecordAfterSave</x:v>
      </x:c>
      <x:c r="H7" s="65" t="str">
        <x:v>Update</x:v>
      </x:c>
      <x:c r="I7" s="65" t="n">
        <x:v>20</x:v>
      </x:c>
      <x:c r="J7" s="65" t="n">
        <x:v>2</x:v>
      </x:c>
      <x:c r="K7" s="71" t="str">
        <x:v>One after-save entry Flow per object/event lane; route business domains to autolaunched Subflows and preserve async paths. Trace Apex trigger handlers in the same transaction before selecting the final owner for each rule.</x:v>
      </x:c>
    </x:row>
    <x:row r="8">
      <x:c r="A8" s="29" t="str">
        <x:v>Active record-triggered flows</x:v>
      </x:c>
      <x:c r="B8" s="45" t="n">
        <x:f>COUNTIFS('Flow Catalog'!$D$5:$D$720,"Yes",'Flow Catalog'!$K$5:$K$720,"Yes")</x:f>
        <x:v>346</x:v>
      </x:c>
      <x:c r="C8" s="48" t="str">
        <x:v>Flows currently entering on a Salesforce object</x:v>
      </x:c>
      <x:c r="E8" s="74" t="str">
        <x:v>High</x:v>
      </x:c>
      <x:c r="F8" s="65" t="str">
        <x:v>WorkOrder</x:v>
      </x:c>
      <x:c r="G8" s="65" t="str">
        <x:v>RecordAfterSave</x:v>
      </x:c>
      <x:c r="H8" s="65" t="str">
        <x:v>Update</x:v>
      </x:c>
      <x:c r="I8" s="65" t="n">
        <x:v>19</x:v>
      </x:c>
      <x:c r="J8" s="65" t="n">
        <x:v>3</x:v>
      </x:c>
      <x:c r="K8" s="71" t="str">
        <x:v>One after-save entry Flow per object/event lane; route business domains to autolaunched Subflows and preserve async paths. Trace Apex trigger handlers in the same transaction before selecting the final owner for each rule.</x:v>
      </x:c>
    </x:row>
    <x:row r="9">
      <x:c r="A9" s="29" t="str">
        <x:v>Active differs from latest</x:v>
      </x:c>
      <x:c r="B9" s="45" t="n">
        <x:f>COUNTIFS('Flow Catalog'!$D$5:$D$720,"Yes",'Flow Catalog'!$G$5:$G$720,"No")</x:f>
        <x:v>33</x:v>
      </x:c>
      <x:c r="C9" s="48" t="str">
        <x:v>Latest draft is not the running version</x:v>
      </x:c>
      <x:c r="E9" s="74" t="str">
        <x:v>High</x:v>
      </x:c>
      <x:c r="F9" s="65" t="str">
        <x:v>ServiceAppointment</x:v>
      </x:c>
      <x:c r="G9" s="65" t="str">
        <x:v>RecordAfterSave</x:v>
      </x:c>
      <x:c r="H9" s="65" t="str">
        <x:v>Update</x:v>
      </x:c>
      <x:c r="I9" s="65" t="n">
        <x:v>18</x:v>
      </x:c>
      <x:c r="J9" s="65" t="n">
        <x:v>0</x:v>
      </x:c>
      <x:c r="K9" s="71" t="str">
        <x:v>One after-save entry Flow per object/event lane; route business domains to autolaunched Subflows and preserve async paths.</x:v>
      </x:c>
    </x:row>
    <x:row r="10">
      <x:c r="A10" s="29" t="str">
        <x:v>High-priority refactor lanes</x:v>
      </x:c>
      <x:c r="B10" s="45" t="n">
        <x:f>COUNTIF('Consolidation Plan'!$A$5:$A$130,"High")</x:f>
        <x:v>20</x:v>
      </x:c>
      <x:c r="C10" s="48" t="str">
        <x:v>Object/timing lanes with dense or coded overlap</x:v>
      </x:c>
      <x:c r="E10" s="74" t="str">
        <x:v>High</x:v>
      </x:c>
      <x:c r="F10" s="65" t="str">
        <x:v>ProductItem__c</x:v>
      </x:c>
      <x:c r="G10" s="65" t="str">
        <x:v>RecordAfterSave</x:v>
      </x:c>
      <x:c r="H10" s="65" t="str">
        <x:v>Create</x:v>
      </x:c>
      <x:c r="I10" s="65" t="n">
        <x:v>15</x:v>
      </x:c>
      <x:c r="J10" s="65" t="n">
        <x:v>2</x:v>
      </x:c>
      <x:c r="K10" s="71" t="str">
        <x:v>One after-save entry Flow per object/event lane; route business domains to autolaunched Subflows and preserve async paths. Trace Apex trigger handlers in the same transaction before selecting the final owner for each rule.</x:v>
      </x:c>
    </x:row>
    <x:row r="11">
      <x:c r="A11" s="29" t="str">
        <x:v>Subflow connections</x:v>
      </x:c>
      <x:c r="B11" s="45" t="n">
        <x:f>COUNTIF('Connections'!$D$5:$D$529,"Subflow")</x:f>
        <x:v>47</x:v>
      </x:c>
      <x:c r="C11" s="48" t="str">
        <x:v>Existing Flow-to-Flow reuse</x:v>
      </x:c>
      <x:c r="E11" s="74" t="str">
        <x:v>High</x:v>
      </x:c>
      <x:c r="F11" s="65" t="str">
        <x:v>ProductItem__c</x:v>
      </x:c>
      <x:c r="G11" s="65" t="str">
        <x:v>RecordBeforeDelete</x:v>
      </x:c>
      <x:c r="H11" s="65" t="str">
        <x:v>Delete</x:v>
      </x:c>
      <x:c r="I11" s="65" t="n">
        <x:v>14</x:v>
      </x:c>
      <x:c r="J11" s="65" t="n">
        <x:v>2</x:v>
      </x:c>
      <x:c r="K11" s="71" t="str">
        <x:v>One before-save entry Flow per object/event lane; consolidate field assignments and use Subflows for reusable calculations. Trace Apex trigger handlers in the same transaction before selecting the final owner for each rule.</x:v>
      </x:c>
    </x:row>
    <x:row r="12">
      <x:c r="A12" s="29" t="str">
        <x:v>Apex triggers</x:v>
      </x:c>
      <x:c r="B12" s="45" t="n">
        <x:f>COUNTIF('Code Inventory'!$A$5:$A$452,"Apex Trigger")</x:f>
        <x:v>45</x:v>
      </x:c>
      <x:c r="C12" s="48" t="str">
        <x:v>Coded object automation requiring joint transaction review</x:v>
      </x:c>
      <x:c r="E12" s="74" t="str">
        <x:v>High</x:v>
      </x:c>
      <x:c r="F12" s="65" t="str">
        <x:v>Opportunity</x:v>
      </x:c>
      <x:c r="G12" s="65" t="str">
        <x:v>RecordAfterSave</x:v>
      </x:c>
      <x:c r="H12" s="65" t="str">
        <x:v>CreateAndUpdate</x:v>
      </x:c>
      <x:c r="I12" s="65" t="n">
        <x:v>10</x:v>
      </x:c>
      <x:c r="J12" s="65" t="n">
        <x:v>2</x:v>
      </x:c>
      <x:c r="K12" s="71" t="str">
        <x:v>One after-save entry Flow per object/event lane; route business domains to autolaunched Subflows and preserve async paths. Trace Apex trigger handlers in the same transaction before selecting the final owner for each rule.</x:v>
      </x:c>
    </x:row>
    <x:row r="13">
      <x:c r="A13" s="32" t="str">
        <x:v>Orchestrator flows</x:v>
      </x:c>
      <x:c r="B13" s="46" t="n">
        <x:f>1</x:f>
        <x:v>1</x:v>
      </x:c>
      <x:c r="C13" s="49" t="str">
        <x:v>One exists and is currently inactive; Orchestrator is not a universal merge mechanism</x:v>
      </x:c>
      <x:c r="E13" s="74" t="str">
        <x:v>High</x:v>
      </x:c>
      <x:c r="F13" s="65" t="str">
        <x:v>WorkOrder</x:v>
      </x:c>
      <x:c r="G13" s="65" t="str">
        <x:v>RecordAfterSave</x:v>
      </x:c>
      <x:c r="H13" s="65" t="str">
        <x:v>CreateAndUpdate</x:v>
      </x:c>
      <x:c r="I13" s="65" t="n">
        <x:v>10</x:v>
      </x:c>
      <x:c r="J13" s="65" t="n">
        <x:v>3</x:v>
      </x:c>
      <x:c r="K13" s="71" t="str">
        <x:v>One after-save entry Flow per object/event lane; route business domains to autolaunched Subflows and preserve async paths. Trace Apex trigger handlers in the same transaction before selecting the final owner for each rule.</x:v>
      </x:c>
    </x:row>
    <x:row r="14">
      <x:c r="E14" s="74" t="str">
        <x:v>High</x:v>
      </x:c>
      <x:c r="F14" s="65" t="str">
        <x:v>Opportunity</x:v>
      </x:c>
      <x:c r="G14" s="65" t="str">
        <x:v>RecordAfterSave</x:v>
      </x:c>
      <x:c r="H14" s="65" t="str">
        <x:v>Create</x:v>
      </x:c>
      <x:c r="I14" s="65" t="n">
        <x:v>8</x:v>
      </x:c>
      <x:c r="J14" s="65" t="n">
        <x:v>2</x:v>
      </x:c>
      <x:c r="K14" s="71" t="str">
        <x:v>One after-save entry Flow per object/event lane; route business domains to autolaunched Subflows and preserve async paths. Trace Apex trigger handlers in the same transaction before selecting the final owner for each rule.</x:v>
      </x:c>
    </x:row>
    <x:row r="15">
      <x:c r="E15" s="75" t="str">
        <x:v>High</x:v>
      </x:c>
      <x:c r="F15" s="68" t="str">
        <x:v>ProductItem__c</x:v>
      </x:c>
      <x:c r="G15" s="68" t="str">
        <x:v>RecordAfterSave</x:v>
      </x:c>
      <x:c r="H15" s="68" t="str">
        <x:v>CreateAndUpdate</x:v>
      </x:c>
      <x:c r="I15" s="68" t="n">
        <x:v>6</x:v>
      </x:c>
      <x:c r="J15" s="68" t="n">
        <x:v>2</x:v>
      </x:c>
      <x:c r="K15" s="72" t="str">
        <x:v>One after-save entry Flow per object/event lane; route business domains to autolaunched Subflows and preserve async paths. Trace Apex trigger handlers in the same transaction before selecting the final owner for each rule.</x:v>
      </x:c>
    </x:row>
    <x:row r="16">
      <x:c r="A16" s="76" t="str">
        <x:v>Target Architecture Guardrails</x:v>
      </x:c>
      <x:c r="B16" s="76"/>
      <x:c r="C16" s="76"/>
      <x:c r="D16" s="76"/>
      <x:c r="E16" s="76"/>
      <x:c r="F16" s="76"/>
      <x:c r="G16" s="76"/>
      <x:c r="H16" s="76"/>
      <x:c r="I16" s="76"/>
      <x:c r="J16" s="76"/>
      <x:c r="K16" s="76"/>
    </x:row>
    <x:row r="17" ht="42" customHeight="1">
      <x:c r="A17" s="98" t="str">
        <x:v>Do not force every object into one universal Flow.</x:v>
      </x:c>
      <x:c r="B17" s="99"/>
      <x:c r="C17" s="99"/>
      <x:c r="D17" s="99"/>
      <x:c r="E17" s="87" t="str">
        <x:v>Separate before-save, after-save, delete, scheduled, and screen behavior because their transaction semantics differ.</x:v>
      </x:c>
      <x:c r="F17" s="87"/>
      <x:c r="G17" s="87"/>
      <x:c r="H17" s="87"/>
      <x:c r="I17" s="87"/>
      <x:c r="J17" s="87"/>
      <x:c r="K17" s="47"/>
    </x:row>
    <x:row r="18" ht="42" customHeight="1">
      <x:c r="A18" s="100" t="str">
        <x:v>Use one entry Flow per compatible object/timing/event lane.</x:v>
      </x:c>
      <x:c r="B18" s="101"/>
      <x:c r="C18" s="101"/>
      <x:c r="D18" s="101"/>
      <x:c r="E18" s="89" t="str">
        <x:v>Route business domains through autolaunched Subflows; preserve entry criteria, trigger order, async paths, and fault handling.</x:v>
      </x:c>
      <x:c r="F18" s="89"/>
      <x:c r="G18" s="89"/>
      <x:c r="H18" s="89"/>
      <x:c r="I18" s="89"/>
      <x:c r="J18" s="89"/>
      <x:c r="K18" s="48"/>
    </x:row>
    <x:row r="19" ht="42" customHeight="1">
      <x:c r="A19" s="100" t="str">
        <x:v>Treat Apex and LWC as architecture boundaries.</x:v>
      </x:c>
      <x:c r="B19" s="101"/>
      <x:c r="C19" s="101"/>
      <x:c r="D19" s="101"/>
      <x:c r="E19" s="89" t="str">
        <x:v>Trace Apex triggers and handlers on the same object; preserve Invocable Apex and Flow-screen component contracts during consolidation.</x:v>
      </x:c>
      <x:c r="F19" s="89"/>
      <x:c r="G19" s="89"/>
      <x:c r="H19" s="89"/>
      <x:c r="I19" s="89"/>
      <x:c r="J19" s="89"/>
      <x:c r="K19" s="48"/>
    </x:row>
    <x:row r="20" ht="42" customHeight="1">
      <x:c r="A20" s="100" t="str">
        <x:v>Use Flow Orchestrator selectively.</x:v>
      </x:c>
      <x:c r="B20" s="101"/>
      <x:c r="C20" s="101"/>
      <x:c r="D20" s="101"/>
      <x:c r="E20" s="89" t="str">
        <x:v>Use it for long-running, multi-user stages and approvals—not to combine same-transaction record automation.</x:v>
      </x:c>
      <x:c r="F20" s="89"/>
      <x:c r="G20" s="89"/>
      <x:c r="H20" s="89"/>
      <x:c r="I20" s="89"/>
      <x:c r="J20" s="89"/>
      <x:c r="K20" s="48"/>
    </x:row>
    <x:row r="21" ht="42" customHeight="1">
      <x:c r="A21" s="102" t="str">
        <x:v>Prototype and regression-test in a sandbox.</x:v>
      </x:c>
      <x:c r="B21" s="103"/>
      <x:c r="C21" s="103"/>
      <x:c r="D21" s="103"/>
      <x:c r="E21" s="91" t="str">
        <x:v>Create a rule matrix, choose ownership for every write/action, test bulk behavior and recursion, then migrate in controlled waves.</x:v>
      </x:c>
      <x:c r="F21" s="91"/>
      <x:c r="G21" s="91"/>
      <x:c r="H21" s="91"/>
      <x:c r="I21" s="91"/>
      <x:c r="J21" s="91"/>
      <x:c r="K21" s="49"/>
    </x:row>
  </x:sheetData>
  <x:mergeCells>
    <x:mergeCell ref="A1:K1"/>
    <x:mergeCell ref="A2:K2"/>
    <x:mergeCell ref="A4:C4"/>
    <x:mergeCell ref="E4:K4"/>
    <x:mergeCell ref="A16:K16"/>
    <x:mergeCell ref="A17:D17"/>
    <x:mergeCell ref="E17:K17"/>
    <x:mergeCell ref="A18:D18"/>
    <x:mergeCell ref="E18:K18"/>
    <x:mergeCell ref="A19:D19"/>
    <x:mergeCell ref="E19:K19"/>
    <x:mergeCell ref="A20:D20"/>
    <x:mergeCell ref="E20:K20"/>
    <x:mergeCell ref="A21:D21"/>
    <x:mergeCell ref="E21:K21"/>
  </x:mergeCells>
  <x:conditionalFormatting sqref="E6:E15">
    <x:cfRule type="containsText" dxfId="0" priority="1" operator="containsText" text="High"/>
    <x:cfRule type="containsText" dxfId="1" priority="2" operator="containsText" text="Medium"/>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36" hidden="0" customWidth="1"/>
    <x:col min="3" max="3" width="36" hidden="0" customWidth="1"/>
    <x:col min="4" max="4" width="9" hidden="0" customWidth="1"/>
    <x:col min="5" max="5" width="12" hidden="0" customWidth="1"/>
    <x:col min="6" max="6" width="12" hidden="0" customWidth="1"/>
    <x:col min="7" max="7" width="13" hidden="0" customWidth="1"/>
    <x:col min="8" max="8" width="30" hidden="0" customWidth="1"/>
    <x:col min="9" max="9" width="20" hidden="0" customWidth="1"/>
    <x:col min="10" max="10" width="22" hidden="0" customWidth="1"/>
    <x:col min="11" max="11" width="14" hidden="0" customWidth="1"/>
    <x:col min="12" max="12" width="18" hidden="0" customWidth="1"/>
    <x:col min="13" max="13" width="20" hidden="0" customWidth="1"/>
    <x:col min="14" max="14" width="18" hidden="0" customWidth="1"/>
    <x:col min="15" max="15" width="12" hidden="0" customWidth="1"/>
    <x:col min="16" max="16" width="17" hidden="0" customWidth="1"/>
    <x:col min="17" max="17" width="11" hidden="0" customWidth="1"/>
    <x:col min="18" max="18" width="14" hidden="0" customWidth="1"/>
    <x:col min="19" max="19" width="12" hidden="0" customWidth="1"/>
    <x:col min="20" max="20" width="12" hidden="0" customWidth="1"/>
    <x:col min="21" max="21" width="13" hidden="0" customWidth="1"/>
    <x:col min="22" max="22" width="12" hidden="0" customWidth="1"/>
    <x:col min="23" max="23" width="12" hidden="0" customWidth="1"/>
    <x:col min="24" max="24" width="14" hidden="0" customWidth="1"/>
    <x:col min="25" max="25" width="14" hidden="0" customWidth="1"/>
    <x:col min="26" max="26" width="18" hidden="0" customWidth="1"/>
    <x:col min="27" max="27" width="20" hidden="0" customWidth="1"/>
    <x:col min="28" max="28" width="20" hidden="0" customWidth="1"/>
    <x:col min="29" max="29" width="52" hidden="0" customWidth="1"/>
    <x:col min="30" max="30" width="38" hidden="0" customWidth="1"/>
  </x:cols>
  <x:sheetData>
    <x:row r="1" ht="28" customHeight="1">
      <x:c r="A1" s="3" t="str">
        <x:v>Flow Catalog — Definition-Level Inventory</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row>
    <x:row r="2" ht="34" customHeight="1">
      <x:c r="A2" s="7" t="str">
        <x:v>One row per live FlowDefinition. Active state comes from ActiveVersionId; analysis uses the active version when it differs from the latest draft.</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row>
    <x:row r="4" ht="36" customHeight="1">
      <x:c r="A4" s="114" t="str">
        <x:v>Definition ID</x:v>
      </x:c>
      <x:c r="B4" s="115" t="str">
        <x:v>API Name</x:v>
      </x:c>
      <x:c r="C4" s="115" t="str">
        <x:v>Label</x:v>
      </x:c>
      <x:c r="D4" s="115" t="str">
        <x:v>Active</x:v>
      </x:c>
      <x:c r="E4" s="115" t="str">
        <x:v>Active Version</x:v>
      </x:c>
      <x:c r="F4" s="115" t="str">
        <x:v>Latest Version</x:v>
      </x:c>
      <x:c r="G4" s="115" t="str">
        <x:v>Active = Latest</x:v>
      </x:c>
      <x:c r="H4" s="115" t="str">
        <x:v>Analysis Basis</x:v>
      </x:c>
      <x:c r="I4" s="115" t="str">
        <x:v>Process Type</x:v>
      </x:c>
      <x:c r="J4" s="115" t="str">
        <x:v>Start Object</x:v>
      </x:c>
      <x:c r="K4" s="115" t="str">
        <x:v>Record Triggered</x:v>
      </x:c>
      <x:c r="L4" s="115" t="str">
        <x:v>Record Event</x:v>
      </x:c>
      <x:c r="M4" s="115" t="str">
        <x:v>Trigger Timing</x:v>
      </x:c>
      <x:c r="N4" s="115" t="str">
        <x:v>Run Mode</x:v>
      </x:c>
      <x:c r="O4" s="115" t="str">
        <x:v>Trigger Order</x:v>
      </x:c>
      <x:c r="P4" s="115" t="str">
        <x:v>Scheduled Frequency</x:v>
      </x:c>
      <x:c r="Q4" s="115" t="str">
        <x:v>API Version</x:v>
      </x:c>
      <x:c r="R4" s="115" t="str">
        <x:v>Managed State</x:v>
      </x:c>
      <x:c r="S4" s="115" t="str">
        <x:v>Version Count</x:v>
      </x:c>
      <x:c r="T4" s="115" t="str">
        <x:v>Total Elements</x:v>
      </x:c>
      <x:c r="U4" s="115" t="str">
        <x:v>Objects Touched</x:v>
      </x:c>
      <x:c r="V4" s="115" t="str">
        <x:v>Subflow Calls</x:v>
      </x:c>
      <x:c r="W4" s="115" t="str">
        <x:v>Action Calls</x:v>
      </x:c>
      <x:c r="X4" s="115" t="str">
        <x:v>Screen Components</x:v>
      </x:c>
      <x:c r="Y4" s="115" t="str">
        <x:v>Complexity (1-5)</x:v>
      </x:c>
      <x:c r="Z4" s="115" t="str">
        <x:v>Consolidation Signal</x:v>
      </x:c>
      <x:c r="AA4" s="115" t="str">
        <x:v>Last Modified</x:v>
      </x:c>
      <x:c r="AB4" s="115" t="str">
        <x:v>Last Modified By</x:v>
      </x:c>
      <x:c r="AC4" s="115" t="str">
        <x:v>Description</x:v>
      </x:c>
      <x:c r="AD4" s="116" t="str">
        <x:v>Risk Flags</x:v>
      </x:c>
    </x:row>
    <x:row r="5" ht="34" customHeight="1">
      <x:c r="A5" s="117" t="str">
        <x:v>300Ro00000B1rQaIAJ</x:v>
      </x:c>
      <x:c r="B5" s="117" t="str">
        <x:v>Absorb_External_Repair_Screen_Flow</x:v>
      </x:c>
      <x:c r="C5" s="117" t="str">
        <x:v>Absorb External Repair Screen Flow</x:v>
      </x:c>
      <x:c r="D5" s="117" t="str">
        <x:v>Yes</x:v>
      </x:c>
      <x:c r="E5" s="118" t="n">
        <x:v>11</x:v>
      </x:c>
      <x:c r="F5" s="118" t="n">
        <x:v>11</x:v>
      </x:c>
      <x:c r="G5" s="117" t="str">
        <x:v>Yes</x:v>
      </x:c>
      <x:c r="H5" s="119" t="str">
        <x:v>Active v11 (Retrieved XML)</x:v>
      </x:c>
      <x:c r="I5" s="117" t="str">
        <x:v>Flow</x:v>
      </x:c>
      <x:c r="J5" s="117" t="str"/>
      <x:c r="K5" s="117" t="str">
        <x:v>No</x:v>
      </x:c>
      <x:c r="L5" s="117" t="str"/>
      <x:c r="M5" s="117" t="str"/>
      <x:c r="N5" s="117" t="str">
        <x:v>SystemModeWithoutSharing</x:v>
      </x:c>
      <x:c r="O5" s="117"/>
      <x:c r="P5" s="117" t="str"/>
      <x:c r="Q5" s="117" t="str">
        <x:v>60.0</x:v>
      </x:c>
      <x:c r="R5" s="117" t="str">
        <x:v>unmanaged</x:v>
      </x:c>
      <x:c r="S5" s="118" t="n">
        <x:v>11</x:v>
      </x:c>
      <x:c r="T5" s="118" t="n">
        <x:v>12</x:v>
      </x:c>
      <x:c r="U5" s="118" t="n">
        <x:v>7</x:v>
      </x:c>
      <x:c r="V5" s="118" t="n">
        <x:v>0</x:v>
      </x:c>
      <x:c r="W5" s="118" t="n">
        <x:v>0</x:v>
      </x:c>
      <x:c r="X5" s="118" t="n">
        <x:v>1</x:v>
      </x:c>
      <x:c r="Y5" s="118" t="n">
        <x:v>2</x:v>
      </x:c>
      <x:c r="Z5" s="117" t="str">
        <x:v>N/A</x:v>
      </x:c>
      <x:c r="AA5" s="120" t="n">
        <x:v>45687.75171296296</x:v>
      </x:c>
      <x:c r="AB5" s="117" t="str">
        <x:v>Jace Gentil</x:v>
      </x:c>
      <x:c r="AC5" s="119" t="str">
        <x:v>AM: Updated New IR ID throughout flow to use same ID</x:v>
      </x:c>
      <x:c r="AD5" s="119" t="str">
        <x:v>Touches many objects</x:v>
      </x:c>
    </x:row>
    <x:row r="6" ht="34" customHeight="1">
      <x:c r="A6" s="117" t="str">
        <x:v>3005b000000H3Y6AAK</x:v>
      </x:c>
      <x:c r="B6" s="117" t="str">
        <x:v>Account_Created_by_EU_UK</x:v>
      </x:c>
      <x:c r="C6" s="117" t="str">
        <x:v>Account Created by EU/UK</x:v>
      </x:c>
      <x:c r="D6" s="117" t="str">
        <x:v>Yes</x:v>
      </x:c>
      <x:c r="E6" s="118" t="n">
        <x:v>5</x:v>
      </x:c>
      <x:c r="F6" s="118" t="n">
        <x:v>5</x:v>
      </x:c>
      <x:c r="G6" s="117" t="str">
        <x:v>Yes</x:v>
      </x:c>
      <x:c r="H6" s="119" t="str">
        <x:v>Active v5 (Retrieved XML)</x:v>
      </x:c>
      <x:c r="I6" s="117" t="str">
        <x:v>AutoLaunchedFlow</x:v>
      </x:c>
      <x:c r="J6" s="117" t="str">
        <x:v>Account</x:v>
      </x:c>
      <x:c r="K6" s="117" t="str">
        <x:v>Yes</x:v>
      </x:c>
      <x:c r="L6" s="117" t="str">
        <x:v>Create</x:v>
      </x:c>
      <x:c r="M6" s="117" t="str">
        <x:v>RecordAfterSave</x:v>
      </x:c>
      <x:c r="N6" s="117"/>
      <x:c r="O6" s="117"/>
      <x:c r="P6" s="117" t="str"/>
      <x:c r="Q6" s="117" t="str">
        <x:v>54.0</x:v>
      </x:c>
      <x:c r="R6" s="117" t="str">
        <x:v>unmanaged</x:v>
      </x:c>
      <x:c r="S6" s="118" t="n">
        <x:v>5</x:v>
      </x:c>
      <x:c r="T6" s="118" t="n">
        <x:v>5</x:v>
      </x:c>
      <x:c r="U6" s="118" t="n">
        <x:v>1</x:v>
      </x:c>
      <x:c r="V6" s="118" t="n">
        <x:v>0</x:v>
      </x:c>
      <x:c r="W6" s="118" t="n">
        <x:v>0</x:v>
      </x:c>
      <x:c r="X6" s="118" t="n">
        <x:v>0</x:v>
      </x:c>
      <x:c r="Y6" s="118" t="n">
        <x:v>1</x:v>
      </x:c>
      <x:c r="Z6" s="117" t="str">
        <x:v>Isolated lane</x:v>
      </x:c>
      <x:c r="AA6" s="120" t="n">
        <x:v>45678.66763888889</x:v>
      </x:c>
      <x:c r="AB6" s="117" t="str">
        <x:v>Jon Kean</x:v>
      </x:c>
      <x:c r="AC6" s="119" t="str">
        <x:v>Marks a new account as created by EU/UK</x:v>
      </x:c>
      <x:c r="AD6" s="119" t="str"/>
    </x:row>
    <x:row r="7" ht="34" customHeight="1">
      <x:c r="A7" s="117" t="str">
        <x:v>3005b000000LJ6aAAG</x:v>
      </x:c>
      <x:c r="B7" s="117" t="str">
        <x:v>Account_Engagement_Bulk_Asset_Copy_Flow</x:v>
      </x:c>
      <x:c r="C7" s="117" t="str">
        <x:v>Account Engagement Bulk Asset Copy Flow</x:v>
      </x:c>
      <x:c r="D7" s="117" t="str">
        <x:v>Yes</x:v>
      </x:c>
      <x:c r="E7" s="118" t="n">
        <x:v>23</x:v>
      </x:c>
      <x:c r="F7" s="118" t="n">
        <x:v>23</x:v>
      </x:c>
      <x:c r="G7" s="117" t="str">
        <x:v>Yes</x:v>
      </x:c>
      <x:c r="H7" s="119" t="str">
        <x:v>Active v23 (Tooling metadata)</x:v>
      </x:c>
      <x:c r="I7" s="117" t="str">
        <x:v>Flow</x:v>
      </x:c>
      <x:c r="J7" s="117" t="str"/>
      <x:c r="K7" s="117" t="str">
        <x:v>No</x:v>
      </x:c>
      <x:c r="L7" s="117" t="str"/>
      <x:c r="M7" s="117" t="str"/>
      <x:c r="N7" s="117"/>
      <x:c r="O7" s="117"/>
      <x:c r="P7" s="117" t="str"/>
      <x:c r="Q7" s="117" t="n">
        <x:v>55</x:v>
      </x:c>
      <x:c r="R7" s="117" t="str">
        <x:v>installed</x:v>
      </x:c>
      <x:c r="S7" s="118" t="n">
        <x:v>12</x:v>
      </x:c>
      <x:c r="T7" s="118" t="n">
        <x:v>91</x:v>
      </x:c>
      <x:c r="U7" s="118" t="n">
        <x:v>1</x:v>
      </x:c>
      <x:c r="V7" s="118" t="n">
        <x:v>0</x:v>
      </x:c>
      <x:c r="W7" s="118" t="n">
        <x:v>38</x:v>
      </x:c>
      <x:c r="X7" s="118" t="n">
        <x:v>5</x:v>
      </x:c>
      <x:c r="Y7" s="118" t="n">
        <x:v>4</x:v>
      </x:c>
      <x:c r="Z7" s="117" t="str">
        <x:v>N/A</x:v>
      </x:c>
      <x:c r="AA7" s="120" t="n">
        <x:v>46239.47006944445</x:v>
      </x:c>
      <x:c r="AB7" s="117" t="str"/>
      <x:c r="AC7" s="119" t="str"/>
      <x:c r="AD7" s="119" t="str">
        <x:v>Active flow has no description; High element count</x:v>
      </x:c>
    </x:row>
    <x:row r="8" ht="34" customHeight="1">
      <x:c r="A8" s="117" t="str">
        <x:v>3005b00000113WCAAY</x:v>
      </x:c>
      <x:c r="B8" s="117" t="str">
        <x:v>Account_Engagement_Sandbox_Production_Bulk_Asset_Copy_Flow</x:v>
      </x:c>
      <x:c r="C8" s="117" t="str">
        <x:v>Account Engagement Sandbox-Production Bulk Asset Copy Flow</x:v>
      </x:c>
      <x:c r="D8" s="117" t="str">
        <x:v>Yes</x:v>
      </x:c>
      <x:c r="E8" s="118" t="n">
        <x:v>25</x:v>
      </x:c>
      <x:c r="F8" s="118" t="n">
        <x:v>25</x:v>
      </x:c>
      <x:c r="G8" s="117" t="str">
        <x:v>Yes</x:v>
      </x:c>
      <x:c r="H8" s="119" t="str">
        <x:v>Active v25 (Tooling metadata)</x:v>
      </x:c>
      <x:c r="I8" s="117" t="str">
        <x:v>Flow</x:v>
      </x:c>
      <x:c r="J8" s="117" t="str"/>
      <x:c r="K8" s="117" t="str">
        <x:v>No</x:v>
      </x:c>
      <x:c r="L8" s="117" t="str"/>
      <x:c r="M8" s="117" t="str"/>
      <x:c r="N8" s="117"/>
      <x:c r="O8" s="117"/>
      <x:c r="P8" s="117" t="str"/>
      <x:c r="Q8" s="117" t="n">
        <x:v>55</x:v>
      </x:c>
      <x:c r="R8" s="117" t="str">
        <x:v>installed</x:v>
      </x:c>
      <x:c r="S8" s="118" t="n">
        <x:v>11</x:v>
      </x:c>
      <x:c r="T8" s="118" t="n">
        <x:v>11</x:v>
      </x:c>
      <x:c r="U8" s="118" t="n">
        <x:v>0</x:v>
      </x:c>
      <x:c r="V8" s="118" t="n">
        <x:v>1</x:v>
      </x:c>
      <x:c r="W8" s="118" t="n">
        <x:v>4</x:v>
      </x:c>
      <x:c r="X8" s="118" t="n">
        <x:v>2</x:v>
      </x:c>
      <x:c r="Y8" s="118" t="n">
        <x:v>2</x:v>
      </x:c>
      <x:c r="Z8" s="117" t="str">
        <x:v>N/A</x:v>
      </x:c>
      <x:c r="AA8" s="120" t="n">
        <x:v>46239.47020833333</x:v>
      </x:c>
      <x:c r="AB8" s="117" t="str"/>
      <x:c r="AC8" s="119" t="str"/>
      <x:c r="AD8" s="119" t="str">
        <x:v>Active flow has no description</x:v>
      </x:c>
    </x:row>
    <x:row r="9" ht="34" customHeight="1">
      <x:c r="A9" s="117" t="str">
        <x:v>300Ro000007gsMaIAI</x:v>
      </x:c>
      <x:c r="B9" s="117" t="str">
        <x:v>AccountFieldUpdateFlow</x:v>
      </x:c>
      <x:c r="C9" s="117" t="str">
        <x:v>Account Field Update Flow</x:v>
      </x:c>
      <x:c r="D9" s="117" t="str">
        <x:v>Yes</x:v>
      </x:c>
      <x:c r="E9" s="118" t="n">
        <x:v>7</x:v>
      </x:c>
      <x:c r="F9" s="118" t="n">
        <x:v>7</x:v>
      </x:c>
      <x:c r="G9" s="117" t="str">
        <x:v>Yes</x:v>
      </x:c>
      <x:c r="H9" s="119" t="str">
        <x:v>Active v7 (Retrieved XML)</x:v>
      </x:c>
      <x:c r="I9" s="117" t="str">
        <x:v>AutoLaunchedFlow</x:v>
      </x:c>
      <x:c r="J9" s="117" t="str">
        <x:v>Account</x:v>
      </x:c>
      <x:c r="K9" s="117" t="str">
        <x:v>Yes</x:v>
      </x:c>
      <x:c r="L9" s="117" t="str">
        <x:v>CreateAndUpdate</x:v>
      </x:c>
      <x:c r="M9" s="117" t="str">
        <x:v>RecordAfterSave</x:v>
      </x:c>
      <x:c r="N9" s="117"/>
      <x:c r="O9" s="117"/>
      <x:c r="P9" s="117" t="str"/>
      <x:c r="Q9" s="117" t="str">
        <x:v>60.0</x:v>
      </x:c>
      <x:c r="R9" s="117" t="str">
        <x:v>unmanaged</x:v>
      </x:c>
      <x:c r="S9" s="118" t="n">
        <x:v>7</x:v>
      </x:c>
      <x:c r="T9" s="118" t="n">
        <x:v>7</x:v>
      </x:c>
      <x:c r="U9" s="118" t="n">
        <x:v>2</x:v>
      </x:c>
      <x:c r="V9" s="118" t="n">
        <x:v>0</x:v>
      </x:c>
      <x:c r="W9" s="118" t="n">
        <x:v>0</x:v>
      </x:c>
      <x:c r="X9" s="118" t="n">
        <x:v>0</x:v>
      </x:c>
      <x:c r="Y9" s="118" t="n">
        <x:v>1</x:v>
      </x:c>
      <x:c r="Z9" s="117" t="str">
        <x:v>Isolated lane</x:v>
      </x:c>
      <x:c r="AA9" s="120" t="n">
        <x:v>45879.86355324074</x:v>
      </x:c>
      <x:c r="AB9" s="117" t="str">
        <x:v>Sacha Pearce</x:v>
      </x:c>
      <x:c r="AC9" s="119" t="str"/>
      <x:c r="AD9" s="119" t="str">
        <x:v>Active flow has no description</x:v>
      </x:c>
    </x:row>
    <x:row r="10" ht="34" customHeight="1">
      <x:c r="A10" s="117" t="str">
        <x:v>3004O000000TiUyQAK</x:v>
      </x:c>
      <x:c r="B10" s="117" t="str">
        <x:v>Activate_Contracts_Access</x:v>
      </x:c>
      <x:c r="C10" s="117" t="str">
        <x:v>Activate Contracts Access</x:v>
      </x:c>
      <x:c r="D10" s="117" t="str">
        <x:v>No</x:v>
      </x:c>
      <x:c r="E10" s="118"/>
      <x:c r="F10" s="118" t="n">
        <x:v>1</x:v>
      </x:c>
      <x:c r="G10" s="117" t="str">
        <x:v>N/A</x:v>
      </x:c>
      <x:c r="H10" s="119" t="str">
        <x:v>Latest inactive v1 (Retrieved XML)</x:v>
      </x:c>
      <x:c r="I10" s="117" t="str">
        <x:v>Flow</x:v>
      </x:c>
      <x:c r="J10" s="117" t="str"/>
      <x:c r="K10" s="117" t="str">
        <x:v>No</x:v>
      </x:c>
      <x:c r="L10" s="117" t="str"/>
      <x:c r="M10" s="117" t="str"/>
      <x:c r="N10" s="117"/>
      <x:c r="O10" s="117"/>
      <x:c r="P10" s="117" t="str"/>
      <x:c r="Q10" s="117" t="str">
        <x:v>49.0</x:v>
      </x:c>
      <x:c r="R10" s="117" t="str">
        <x:v>unmanaged</x:v>
      </x:c>
      <x:c r="S10" s="118" t="n">
        <x:v>1</x:v>
      </x:c>
      <x:c r="T10" s="118" t="n">
        <x:v>1</x:v>
      </x:c>
      <x:c r="U10" s="118" t="n">
        <x:v>0</x:v>
      </x:c>
      <x:c r="V10" s="118" t="n">
        <x:v>0</x:v>
      </x:c>
      <x:c r="W10" s="118" t="n">
        <x:v>1</x:v>
      </x:c>
      <x:c r="X10" s="118" t="n">
        <x:v>0</x:v>
      </x:c>
      <x:c r="Y10" s="118" t="n">
        <x:v>1</x:v>
      </x:c>
      <x:c r="Z10" s="117" t="str">
        <x:v>N/A</x:v>
      </x:c>
      <x:c r="AA10" s="120" t="n">
        <x:v>43685.734988425924</x:v>
      </x:c>
      <x:c r="AB10" s="117" t="str">
        <x:v>Trent VanEmon</x:v>
      </x:c>
      <x:c r="AC10" s="119" t="str"/>
      <x:c r="AD10" s="119" t="str"/>
    </x:row>
    <x:row r="11" ht="34" customHeight="1">
      <x:c r="A11" s="117" t="str">
        <x:v>300Ro00000H90tRIAR</x:v>
      </x:c>
      <x:c r="B11" s="117" t="str">
        <x:v>Add_Coverage_Level_to_Service_Appointment_On_Creation</x:v>
      </x:c>
      <x:c r="C11" s="117" t="str">
        <x:v>Update Service Appointment and Work Order Information On Creation</x:v>
      </x:c>
      <x:c r="D11" s="117" t="str">
        <x:v>Yes</x:v>
      </x:c>
      <x:c r="E11" s="118" t="n">
        <x:v>28</x:v>
      </x:c>
      <x:c r="F11" s="118" t="n">
        <x:v>28</x:v>
      </x:c>
      <x:c r="G11" s="117" t="str">
        <x:v>Yes</x:v>
      </x:c>
      <x:c r="H11" s="119" t="str">
        <x:v>Active v28 (Retrieved XML)</x:v>
      </x:c>
      <x:c r="I11" s="117" t="str">
        <x:v>AutoLaunchedFlow</x:v>
      </x:c>
      <x:c r="J11" s="117" t="str">
        <x:v>ServiceAppointment</x:v>
      </x:c>
      <x:c r="K11" s="117" t="str">
        <x:v>Yes</x:v>
      </x:c>
      <x:c r="L11" s="117" t="str">
        <x:v>Create</x:v>
      </x:c>
      <x:c r="M11" s="117" t="str">
        <x:v>RecordAfterSave</x:v>
      </x:c>
      <x:c r="N11" s="117"/>
      <x:c r="O11" s="117"/>
      <x:c r="P11" s="117" t="str"/>
      <x:c r="Q11" s="117" t="str">
        <x:v>61.0</x:v>
      </x:c>
      <x:c r="R11" s="117" t="str">
        <x:v>unmanaged</x:v>
      </x:c>
      <x:c r="S11" s="118" t="n">
        <x:v>28</x:v>
      </x:c>
      <x:c r="T11" s="118" t="n">
        <x:v>26</x:v>
      </x:c>
      <x:c r="U11" s="118" t="n">
        <x:v>4</x:v>
      </x:c>
      <x:c r="V11" s="118" t="n">
        <x:v>0</x:v>
      </x:c>
      <x:c r="W11" s="118" t="n">
        <x:v>0</x:v>
      </x:c>
      <x:c r="X11" s="118" t="n">
        <x:v>0</x:v>
      </x:c>
      <x:c r="Y11" s="118" t="n">
        <x:v>3</x:v>
      </x:c>
      <x:c r="Z11" s="117" t="str">
        <x:v>Strong</x:v>
      </x:c>
      <x:c r="AA11" s="120" t="n">
        <x:v>46191.41259259259</x:v>
      </x:c>
      <x:c r="AB11" s="117" t="str">
        <x:v>Sacha Pearce</x:v>
      </x:c>
      <x:c r="AC11" s="119" t="str">
        <x:v>18/06/2026 - SP - Updating the Flow so that it only updates the "Location of Equipment" and address fields if they're blank.</x:v>
      </x:c>
      <x:c r="AD11" s="119" t="str">
        <x:v>Touches many objects</x:v>
      </x:c>
    </x:row>
    <x:row r="12" ht="34" customHeight="1">
      <x:c r="A12" s="117" t="str">
        <x:v>3005b00000113dIAAQ</x:v>
      </x:c>
      <x:c r="B12" s="117" t="str">
        <x:v>Add_Opportunity_Lines_to_Credit_Memo</x:v>
      </x:c>
      <x:c r="C12" s="117" t="str">
        <x:v>Add Opportunity Lines to Credit Memo</x:v>
      </x:c>
      <x:c r="D12" s="117" t="str">
        <x:v>No</x:v>
      </x:c>
      <x:c r="E12" s="118"/>
      <x:c r="F12" s="118" t="n">
        <x:v>12</x:v>
      </x:c>
      <x:c r="G12" s="117" t="str">
        <x:v>N/A</x:v>
      </x:c>
      <x:c r="H12" s="119" t="str">
        <x:v>Latest inactive v12 (Retrieved XML)</x:v>
      </x:c>
      <x:c r="I12" s="117" t="str">
        <x:v>Flow</x:v>
      </x:c>
      <x:c r="J12" s="117" t="str"/>
      <x:c r="K12" s="117" t="str">
        <x:v>No</x:v>
      </x:c>
      <x:c r="L12" s="117" t="str"/>
      <x:c r="M12" s="117" t="str"/>
      <x:c r="N12" s="117"/>
      <x:c r="O12" s="117"/>
      <x:c r="P12" s="117" t="str"/>
      <x:c r="Q12" s="117" t="str">
        <x:v>59.0</x:v>
      </x:c>
      <x:c r="R12" s="117" t="str">
        <x:v>unmanaged</x:v>
      </x:c>
      <x:c r="S12" s="118" t="n">
        <x:v>12</x:v>
      </x:c>
      <x:c r="T12" s="118" t="n">
        <x:v>17</x:v>
      </x:c>
      <x:c r="U12" s="118" t="n">
        <x:v>2</x:v>
      </x:c>
      <x:c r="V12" s="118" t="n">
        <x:v>0</x:v>
      </x:c>
      <x:c r="W12" s="118" t="n">
        <x:v>0</x:v>
      </x:c>
      <x:c r="X12" s="118" t="n">
        <x:v>1</x:v>
      </x:c>
      <x:c r="Y12" s="118" t="n">
        <x:v>2</x:v>
      </x:c>
      <x:c r="Z12" s="117" t="str">
        <x:v>N/A</x:v>
      </x:c>
      <x:c r="AA12" s="120" t="n">
        <x:v>45618.13167824074</x:v>
      </x:c>
      <x:c r="AB12" s="117" t="str">
        <x:v>Delegate</x:v>
      </x:c>
      <x:c r="AC12" s="119" t="str">
        <x:v>08/05/24 (BW) - Updated screen to not have Credit Memo Amount field on the layout for the UI table button</x:v>
      </x:c>
      <x:c r="AD12" s="119" t="str"/>
    </x:row>
    <x:row r="13" ht="34" customHeight="1">
      <x:c r="A13" s="117" t="str">
        <x:v>300Ro00000sB6FuIAK</x:v>
      </x:c>
      <x:c r="B13" s="117" t="str">
        <x:v>Add_Product_Record_Type_Name_to_Asset_Record</x:v>
      </x:c>
      <x:c r="C13" s="117" t="str">
        <x:v>Add Product Record Type Name to Asset Record</x:v>
      </x:c>
      <x:c r="D13" s="117" t="str">
        <x:v>Yes</x:v>
      </x:c>
      <x:c r="E13" s="118" t="n">
        <x:v>1</x:v>
      </x:c>
      <x:c r="F13" s="118" t="n">
        <x:v>1</x:v>
      </x:c>
      <x:c r="G13" s="117" t="str">
        <x:v>Yes</x:v>
      </x:c>
      <x:c r="H13" s="119" t="str">
        <x:v>Active v1 (Retrieved XML)</x:v>
      </x:c>
      <x:c r="I13" s="117" t="str">
        <x:v>AutoLaunchedFlow</x:v>
      </x:c>
      <x:c r="J13" s="117" t="str">
        <x:v>ProductItem__c</x:v>
      </x:c>
      <x:c r="K13" s="117" t="str">
        <x:v>Yes</x:v>
      </x:c>
      <x:c r="L13" s="117" t="str">
        <x:v>CreateAndUpdate</x:v>
      </x:c>
      <x:c r="M13" s="117" t="str">
        <x:v>RecordAfterSave</x:v>
      </x:c>
      <x:c r="N13" s="117"/>
      <x:c r="O13" s="117"/>
      <x:c r="P13" s="117" t="str"/>
      <x:c r="Q13" s="117" t="str">
        <x:v>66.0</x:v>
      </x:c>
      <x:c r="R13" s="117" t="str">
        <x:v>unmanaged</x:v>
      </x:c>
      <x:c r="S13" s="118" t="n">
        <x:v>1</x:v>
      </x:c>
      <x:c r="T13" s="118" t="n">
        <x:v>2</x:v>
      </x:c>
      <x:c r="U13" s="118" t="n">
        <x:v>1</x:v>
      </x:c>
      <x:c r="V13" s="118" t="n">
        <x:v>0</x:v>
      </x:c>
      <x:c r="W13" s="118" t="n">
        <x:v>0</x:v>
      </x:c>
      <x:c r="X13" s="118" t="n">
        <x:v>0</x:v>
      </x:c>
      <x:c r="Y13" s="118" t="n">
        <x:v>1</x:v>
      </x:c>
      <x:c r="Z13" s="117" t="str">
        <x:v>Strong</x:v>
      </x:c>
      <x:c r="AA13" s="120" t="n">
        <x:v>46086.72273148148</x:v>
      </x:c>
      <x:c r="AB13" s="117" t="str">
        <x:v>Steve Dodd</x:v>
      </x:c>
      <x:c r="AC13" s="119" t="str"/>
      <x:c r="AD13" s="119" t="str">
        <x:v>Active flow has no description</x:v>
      </x:c>
    </x:row>
    <x:row r="14" ht="34" customHeight="1">
      <x:c r="A14" s="117" t="str">
        <x:v>3004O000000LOvJQAW</x:v>
      </x:c>
      <x:c r="B14" s="117" t="str">
        <x:v>Advances</x:v>
      </x:c>
      <x:c r="C14" s="117" t="str">
        <x:v>Advances</x:v>
      </x:c>
      <x:c r="D14" s="117" t="str">
        <x:v>Yes</x:v>
      </x:c>
      <x:c r="E14" s="118" t="n">
        <x:v>1</x:v>
      </x:c>
      <x:c r="F14" s="118" t="n">
        <x:v>1</x:v>
      </x:c>
      <x:c r="G14" s="117" t="str">
        <x:v>Yes</x:v>
      </x:c>
      <x:c r="H14" s="119" t="str">
        <x:v>Active v1 (Retrieved XML)</x:v>
      </x:c>
      <x:c r="I14" s="117" t="str">
        <x:v>Flow</x:v>
      </x:c>
      <x:c r="J14" s="117" t="str"/>
      <x:c r="K14" s="117" t="str">
        <x:v>No</x:v>
      </x:c>
      <x:c r="L14" s="117" t="str"/>
      <x:c r="M14" s="117" t="str"/>
      <x:c r="N14" s="117"/>
      <x:c r="O14" s="117"/>
      <x:c r="P14" s="117" t="str"/>
      <x:c r="Q14" s="117" t="str">
        <x:v>50.0</x:v>
      </x:c>
      <x:c r="R14" s="117" t="str">
        <x:v>unmanaged</x:v>
      </x:c>
      <x:c r="S14" s="118" t="n">
        <x:v>1</x:v>
      </x:c>
      <x:c r="T14" s="118" t="n">
        <x:v>5</x:v>
      </x:c>
      <x:c r="U14" s="118" t="n">
        <x:v>1</x:v>
      </x:c>
      <x:c r="V14" s="118" t="n">
        <x:v>0</x:v>
      </x:c>
      <x:c r="W14" s="118" t="n">
        <x:v>0</x:v>
      </x:c>
      <x:c r="X14" s="118" t="n">
        <x:v>0</x:v>
      </x:c>
      <x:c r="Y14" s="118" t="n">
        <x:v>1</x:v>
      </x:c>
      <x:c r="Z14" s="117" t="str">
        <x:v>N/A</x:v>
      </x:c>
      <x:c r="AA14" s="120" t="n">
        <x:v>44217.87825231482</x:v>
      </x:c>
      <x:c r="AB14" s="117" t="str">
        <x:v>Delegate</x:v>
      </x:c>
      <x:c r="AC14" s="119" t="str">
        <x:v>Takes care of the addition of advances on an account.</x:v>
      </x:c>
      <x:c r="AD14" s="119" t="str"/>
    </x:row>
    <x:row r="15" ht="34" customHeight="1">
      <x:c r="A15" s="117" t="str">
        <x:v>300Ro00000LmhD9IAJ</x:v>
      </x:c>
      <x:c r="B15" s="117" t="str">
        <x:v>Alert_AR_for_Opp_Ready_to_Bill</x:v>
      </x:c>
      <x:c r="C15" s="117" t="str">
        <x:v>Alert AR and ASG for Opp Billing Status Change</x:v>
      </x:c>
      <x:c r="D15" s="117" t="str">
        <x:v>Yes</x:v>
      </x:c>
      <x:c r="E15" s="118" t="n">
        <x:v>10</x:v>
      </x:c>
      <x:c r="F15" s="118" t="n">
        <x:v>11</x:v>
      </x:c>
      <x:c r="G15" s="117" t="str">
        <x:v>No</x:v>
      </x:c>
      <x:c r="H15" s="119" t="str">
        <x:v>Active v10 (Tooling metadata)</x:v>
      </x:c>
      <x:c r="I15" s="117" t="str">
        <x:v>AutoLaunchedFlow</x:v>
      </x:c>
      <x:c r="J15" s="117" t="str">
        <x:v>Opportunity</x:v>
      </x:c>
      <x:c r="K15" s="117" t="str">
        <x:v>Yes</x:v>
      </x:c>
      <x:c r="L15" s="117" t="str">
        <x:v>Update</x:v>
      </x:c>
      <x:c r="M15" s="117" t="str">
        <x:v>RecordAfterSave</x:v>
      </x:c>
      <x:c r="N15" s="117"/>
      <x:c r="O15" s="117"/>
      <x:c r="P15" s="117" t="str"/>
      <x:c r="Q15" s="117" t="n">
        <x:v>61</x:v>
      </x:c>
      <x:c r="R15" s="117" t="str">
        <x:v>unmanaged</x:v>
      </x:c>
      <x:c r="S15" s="118" t="n">
        <x:v>11</x:v>
      </x:c>
      <x:c r="T15" s="118" t="n">
        <x:v>4</x:v>
      </x:c>
      <x:c r="U15" s="118" t="n">
        <x:v>1</x:v>
      </x:c>
      <x:c r="V15" s="118" t="n">
        <x:v>0</x:v>
      </x:c>
      <x:c r="W15" s="118" t="n">
        <x:v>2</x:v>
      </x:c>
      <x:c r="X15" s="118" t="n">
        <x:v>0</x:v>
      </x:c>
      <x:c r="Y15" s="118" t="n">
        <x:v>1</x:v>
      </x:c>
      <x:c r="Z15" s="117" t="str">
        <x:v>Strong</x:v>
      </x:c>
      <x:c r="AA15" s="120" t="n">
        <x:v>45768.51157407407</x:v>
      </x:c>
      <x:c r="AB15" s="117" t="str">
        <x:v>Delegate</x:v>
      </x:c>
      <x:c r="AC15" s="119" t="str">
        <x:v>04/21/2025 (BW) - Moved Invoice Sent and changed the entry criteria to fire whenever the billing status is changed</x:v>
      </x:c>
      <x:c r="AD15" s="119" t="str">
        <x:v>Active version differs from latest</x:v>
      </x:c>
    </x:row>
    <x:row r="16" ht="34" customHeight="1">
      <x:c r="A16" s="117" t="str">
        <x:v>3005b00000113hFAAQ</x:v>
      </x:c>
      <x:c r="B16" s="117" t="str">
        <x:v>Approved_CM_Memo_Alert_Task_Email_Send</x:v>
      </x:c>
      <x:c r="C16" s="117" t="str">
        <x:v>Approved CM Memo Alert Task Email Send</x:v>
      </x:c>
      <x:c r="D16" s="117" t="str">
        <x:v>Yes</x:v>
      </x:c>
      <x:c r="E16" s="118" t="n">
        <x:v>2</x:v>
      </x:c>
      <x:c r="F16" s="118" t="n">
        <x:v>2</x:v>
      </x:c>
      <x:c r="G16" s="117" t="str">
        <x:v>Yes</x:v>
      </x:c>
      <x:c r="H16" s="119" t="str">
        <x:v>Active v2 (Retrieved XML)</x:v>
      </x:c>
      <x:c r="I16" s="117" t="str">
        <x:v>AutoLaunchedFlow</x:v>
      </x:c>
      <x:c r="J16" s="117" t="str">
        <x:v>Task</x:v>
      </x:c>
      <x:c r="K16" s="117" t="str">
        <x:v>Yes</x:v>
      </x:c>
      <x:c r="L16" s="117" t="str">
        <x:v>Update</x:v>
      </x:c>
      <x:c r="M16" s="117" t="str">
        <x:v>RecordAfterSave</x:v>
      </x:c>
      <x:c r="N16" s="117"/>
      <x:c r="O16" s="117"/>
      <x:c r="P16" s="117" t="str"/>
      <x:c r="Q16" s="117" t="str">
        <x:v>59.0</x:v>
      </x:c>
      <x:c r="R16" s="117" t="str">
        <x:v>unmanaged</x:v>
      </x:c>
      <x:c r="S16" s="118" t="n">
        <x:v>2</x:v>
      </x:c>
      <x:c r="T16" s="118" t="n">
        <x:v>3</x:v>
      </x:c>
      <x:c r="U16" s="118" t="n">
        <x:v>2</x:v>
      </x:c>
      <x:c r="V16" s="118" t="n">
        <x:v>0</x:v>
      </x:c>
      <x:c r="W16" s="118" t="n">
        <x:v>1</x:v>
      </x:c>
      <x:c r="X16" s="118" t="n">
        <x:v>0</x:v>
      </x:c>
      <x:c r="Y16" s="118" t="n">
        <x:v>1</x:v>
      </x:c>
      <x:c r="Z16" s="117" t="str">
        <x:v>Isolated lane</x:v>
      </x:c>
      <x:c r="AA16" s="120" t="n">
        <x:v>45286.590208333335</x:v>
      </x:c>
      <x:c r="AB16" s="117" t="str">
        <x:v>Delegate</x:v>
      </x:c>
      <x:c r="AC16" s="119" t="str">
        <x:v>12/26/23 (BW) - Updated the email subject to be correctly formatted.</x:v>
      </x:c>
      <x:c r="AD16" s="119" t="str"/>
    </x:row>
    <x:row r="17" ht="34" customHeight="1">
      <x:c r="A17" s="117" t="str">
        <x:v>300Ro00000AQyqpIAD</x:v>
      </x:c>
      <x:c r="B17" s="117" t="str">
        <x:v>Approved_Repair_Update_Opportunity_Stage</x:v>
      </x:c>
      <x:c r="C17" s="117" t="str">
        <x:v>Approved Repair, Update Opportunity Stage</x:v>
      </x:c>
      <x:c r="D17" s="117" t="str">
        <x:v>No</x:v>
      </x:c>
      <x:c r="E17" s="118"/>
      <x:c r="F17" s="118" t="n">
        <x:v>2</x:v>
      </x:c>
      <x:c r="G17" s="117" t="str">
        <x:v>N/A</x:v>
      </x:c>
      <x:c r="H17" s="119" t="str">
        <x:v>Latest inactive v2 (Retrieved XML)</x:v>
      </x:c>
      <x:c r="I17" s="117" t="str">
        <x:v>AutoLaunchedFlow</x:v>
      </x:c>
      <x:c r="J17" s="117" t="str">
        <x:v>RMA__c</x:v>
      </x:c>
      <x:c r="K17" s="117" t="str">
        <x:v>No</x:v>
      </x:c>
      <x:c r="L17" s="117" t="str">
        <x:v>Update</x:v>
      </x:c>
      <x:c r="M17" s="117" t="str">
        <x:v>RecordAfterSave</x:v>
      </x:c>
      <x:c r="N17" s="117"/>
      <x:c r="O17" s="117"/>
      <x:c r="P17" s="117" t="str"/>
      <x:c r="Q17" s="117" t="str">
        <x:v>60.0</x:v>
      </x:c>
      <x:c r="R17" s="117" t="str">
        <x:v>unmanaged</x:v>
      </x:c>
      <x:c r="S17" s="118" t="n">
        <x:v>2</x:v>
      </x:c>
      <x:c r="T17" s="118" t="n">
        <x:v>2</x:v>
      </x:c>
      <x:c r="U17" s="118" t="n">
        <x:v>2</x:v>
      </x:c>
      <x:c r="V17" s="118" t="n">
        <x:v>0</x:v>
      </x:c>
      <x:c r="W17" s="118" t="n">
        <x:v>0</x:v>
      </x:c>
      <x:c r="X17" s="118" t="n">
        <x:v>0</x:v>
      </x:c>
      <x:c r="Y17" s="118" t="n">
        <x:v>1</x:v>
      </x:c>
      <x:c r="Z17" s="117" t="str">
        <x:v>N/A</x:v>
      </x:c>
      <x:c r="AA17" s="120" t="n">
        <x:v>45792.080092592594</x:v>
      </x:c>
      <x:c r="AB17" s="117" t="str">
        <x:v>Natalie Boger</x:v>
      </x:c>
      <x:c r="AC17" s="119" t="str">
        <x:v>05.14.25 - updating Opportunity stage to Repair Approved is already in apex code (P_OpportunityTriggerHandler). Deactivating. However, if it does need to exist in flow, added caveat for if current stage is Closed Lost - otherwise repairs turned exchange will be changed to Repair Approved stage instead of remaining in Closed Lost.</x:v>
      </x:c>
      <x:c r="AD17" s="119" t="str"/>
    </x:row>
    <x:row r="18" ht="34" customHeight="1">
      <x:c r="A18" s="117" t="str">
        <x:v>300Ro00000cQpMBIA0</x:v>
      </x:c>
      <x:c r="B18" s="117" t="str">
        <x:v>Asset_Automations</x:v>
      </x:c>
      <x:c r="C18" s="117" t="str">
        <x:v>Asset Automations</x:v>
      </x:c>
      <x:c r="D18" s="117" t="str">
        <x:v>Yes</x:v>
      </x:c>
      <x:c r="E18" s="118" t="n">
        <x:v>5</x:v>
      </x:c>
      <x:c r="F18" s="118" t="n">
        <x:v>5</x:v>
      </x:c>
      <x:c r="G18" s="117" t="str">
        <x:v>Yes</x:v>
      </x:c>
      <x:c r="H18" s="119" t="str">
        <x:v>Active v5 (Retrieved XML)</x:v>
      </x:c>
      <x:c r="I18" s="117" t="str">
        <x:v>AutoLaunchedFlow</x:v>
      </x:c>
      <x:c r="J18" s="117" t="str">
        <x:v>ProductItem__c</x:v>
      </x:c>
      <x:c r="K18" s="117" t="str">
        <x:v>Yes</x:v>
      </x:c>
      <x:c r="L18" s="117" t="str">
        <x:v>CreateAndUpdate</x:v>
      </x:c>
      <x:c r="M18" s="117" t="str">
        <x:v>RecordAfterSave</x:v>
      </x:c>
      <x:c r="N18" s="117"/>
      <x:c r="O18" s="117"/>
      <x:c r="P18" s="117" t="str"/>
      <x:c r="Q18" s="117" t="str">
        <x:v>64.0</x:v>
      </x:c>
      <x:c r="R18" s="117" t="str">
        <x:v>unmanaged</x:v>
      </x:c>
      <x:c r="S18" s="118" t="n">
        <x:v>5</x:v>
      </x:c>
      <x:c r="T18" s="118" t="n">
        <x:v>6</x:v>
      </x:c>
      <x:c r="U18" s="118" t="n">
        <x:v>1</x:v>
      </x:c>
      <x:c r="V18" s="118" t="n">
        <x:v>0</x:v>
      </x:c>
      <x:c r="W18" s="118" t="n">
        <x:v>0</x:v>
      </x:c>
      <x:c r="X18" s="118" t="n">
        <x:v>0</x:v>
      </x:c>
      <x:c r="Y18" s="118" t="n">
        <x:v>1</x:v>
      </x:c>
      <x:c r="Z18" s="117" t="str">
        <x:v>Strong</x:v>
      </x:c>
      <x:c r="AA18" s="120" t="n">
        <x:v>45940.358148148145</x:v>
      </x:c>
      <x:c r="AB18" s="117" t="str">
        <x:v>Sacha Pearce</x:v>
      </x:c>
      <x:c r="AC18" s="119" t="str">
        <x:v>01/10/2025 - SP - Adjusting the Set Cosmetic and Functional Rations to equals "Good" instead of "Good - New". This has been cleared with Quality.
09/10/2025 - SP - Adding the "Contains Used Assets" checkbox condition to the "New Asset From Vendor Approved Supplier and Not Used?" decision. Also reverting the previous change so items now show as "Good - New".</x:v>
      </x:c>
      <x:c r="AD18" s="119" t="str"/>
    </x:row>
    <x:row r="19" ht="34" customHeight="1">
      <x:c r="A19" s="117" t="str">
        <x:v>300Ro00000OMkxeIAD</x:v>
      </x:c>
      <x:c r="B19" s="117" t="str">
        <x:v>Asset_Check_in_Type</x:v>
      </x:c>
      <x:c r="C19" s="117" t="str">
        <x:v>Asset Check in Type</x:v>
      </x:c>
      <x:c r="D19" s="117" t="str">
        <x:v>Yes</x:v>
      </x:c>
      <x:c r="E19" s="118" t="n">
        <x:v>8</x:v>
      </x:c>
      <x:c r="F19" s="118" t="n">
        <x:v>8</x:v>
      </x:c>
      <x:c r="G19" s="117" t="str">
        <x:v>Yes</x:v>
      </x:c>
      <x:c r="H19" s="119" t="str">
        <x:v>Active v8 (Retrieved XML)</x:v>
      </x:c>
      <x:c r="I19" s="117" t="str">
        <x:v>AutoLaunchedFlow</x:v>
      </x:c>
      <x:c r="J19" s="117" t="str">
        <x:v>ProductItem__c</x:v>
      </x:c>
      <x:c r="K19" s="117" t="str">
        <x:v>Yes</x:v>
      </x:c>
      <x:c r="L19" s="117" t="str">
        <x:v>CreateAndUpdate</x:v>
      </x:c>
      <x:c r="M19" s="117" t="str">
        <x:v>RecordAfterSave</x:v>
      </x:c>
      <x:c r="N19" s="117"/>
      <x:c r="O19" s="117"/>
      <x:c r="P19" s="117" t="str"/>
      <x:c r="Q19" s="117" t="str">
        <x:v>62.0</x:v>
      </x:c>
      <x:c r="R19" s="117" t="str">
        <x:v>unmanaged</x:v>
      </x:c>
      <x:c r="S19" s="118" t="n">
        <x:v>8</x:v>
      </x:c>
      <x:c r="T19" s="118" t="n">
        <x:v>3</x:v>
      </x:c>
      <x:c r="U19" s="118" t="n">
        <x:v>2</x:v>
      </x:c>
      <x:c r="V19" s="118" t="n">
        <x:v>0</x:v>
      </x:c>
      <x:c r="W19" s="118" t="n">
        <x:v>0</x:v>
      </x:c>
      <x:c r="X19" s="118" t="n">
        <x:v>0</x:v>
      </x:c>
      <x:c r="Y19" s="118" t="n">
        <x:v>1</x:v>
      </x:c>
      <x:c r="Z19" s="117" t="str">
        <x:v>Strong</x:v>
      </x:c>
      <x:c r="AA19" s="120" t="n">
        <x:v>45657.72207175926</x:v>
      </x:c>
      <x:c r="AB19" s="117" t="str">
        <x:v>Delegate</x:v>
      </x:c>
      <x:c r="AC19" s="119" t="str"/>
      <x:c r="AD19" s="119" t="str">
        <x:v>Active flow has no description</x:v>
      </x:c>
    </x:row>
    <x:row r="20" ht="34" customHeight="1">
      <x:c r="A20" s="117" t="str">
        <x:v>300Ro00000xhuucIAA</x:v>
      </x:c>
      <x:c r="B20" s="117" t="str">
        <x:v>Asset_Creation_After_Save_Update_Product_Analytics</x:v>
      </x:c>
      <x:c r="C20" s="117" t="str">
        <x:v>Asset - Creation - After Save - Update Product Analytics</x:v>
      </x:c>
      <x:c r="D20" s="117" t="str">
        <x:v>Yes</x:v>
      </x:c>
      <x:c r="E20" s="118" t="n">
        <x:v>2</x:v>
      </x:c>
      <x:c r="F20" s="118" t="n">
        <x:v>2</x:v>
      </x:c>
      <x:c r="G20" s="117" t="str">
        <x:v>Yes</x:v>
      </x:c>
      <x:c r="H20" s="119" t="str">
        <x:v>Active v2 (Retrieved XML)</x:v>
      </x:c>
      <x:c r="I20" s="117" t="str">
        <x:v>AutoLaunchedFlow</x:v>
      </x:c>
      <x:c r="J20" s="117" t="str">
        <x:v>ProductItem__c</x:v>
      </x:c>
      <x:c r="K20" s="117" t="str">
        <x:v>Yes</x:v>
      </x:c>
      <x:c r="L20" s="117" t="str">
        <x:v>Create</x:v>
      </x:c>
      <x:c r="M20" s="117" t="str">
        <x:v>RecordAfterSave</x:v>
      </x:c>
      <x:c r="N20" s="117"/>
      <x:c r="O20" s="117"/>
      <x:c r="P20" s="117" t="str"/>
      <x:c r="Q20" s="117" t="str">
        <x:v>66.0</x:v>
      </x:c>
      <x:c r="R20" s="117" t="str">
        <x:v>unmanaged</x:v>
      </x:c>
      <x:c r="S20" s="118" t="n">
        <x:v>2</x:v>
      </x:c>
      <x:c r="T20" s="118" t="n">
        <x:v>3</x:v>
      </x:c>
      <x:c r="U20" s="118" t="n">
        <x:v>2</x:v>
      </x:c>
      <x:c r="V20" s="118" t="n">
        <x:v>0</x:v>
      </x:c>
      <x:c r="W20" s="118" t="n">
        <x:v>0</x:v>
      </x:c>
      <x:c r="X20" s="118" t="n">
        <x:v>0</x:v>
      </x:c>
      <x:c r="Y20" s="118" t="n">
        <x:v>1</x:v>
      </x:c>
      <x:c r="Z20" s="117" t="str">
        <x:v>Strong</x:v>
      </x:c>
      <x:c r="AA20" s="120" t="n">
        <x:v>46160.4465162037</x:v>
      </x:c>
      <x:c r="AB20" s="117" t="str">
        <x:v>Sacha Pearce</x:v>
      </x:c>
      <x:c r="AC20" s="119" t="str">
        <x:v>18/05/2026 - SP - Updating the Flow to run asynchronously.</x:v>
      </x:c>
      <x:c r="AD20" s="119" t="str"/>
    </x:row>
    <x:row r="21" ht="34" customHeight="1">
      <x:c r="A21" s="117" t="str">
        <x:v>300Ro00000z1ut3IAA</x:v>
      </x:c>
      <x:c r="B21" s="117" t="str">
        <x:v>Asset_Creation_After_Save_Update_Product_Name</x:v>
      </x:c>
      <x:c r="C21" s="117" t="str">
        <x:v>Asset - Creation - After Save - Update Product Name</x:v>
      </x:c>
      <x:c r="D21" s="117" t="str">
        <x:v>No</x:v>
      </x:c>
      <x:c r="E21" s="118"/>
      <x:c r="F21" s="118" t="n">
        <x:v>1</x:v>
      </x:c>
      <x:c r="G21" s="117" t="str">
        <x:v>N/A</x:v>
      </x:c>
      <x:c r="H21" s="119" t="str">
        <x:v>Latest inactive v1 (Retrieved XML)</x:v>
      </x:c>
      <x:c r="I21" s="117" t="str">
        <x:v>AutoLaunchedFlow</x:v>
      </x:c>
      <x:c r="J21" s="117" t="str">
        <x:v>ProductItem__c</x:v>
      </x:c>
      <x:c r="K21" s="117" t="str">
        <x:v>No</x:v>
      </x:c>
      <x:c r="L21" s="117" t="str">
        <x:v>Create</x:v>
      </x:c>
      <x:c r="M21" s="117" t="str">
        <x:v>RecordAfterSave</x:v>
      </x:c>
      <x:c r="N21" s="117"/>
      <x:c r="O21" s="117"/>
      <x:c r="P21" s="117" t="str"/>
      <x:c r="Q21" s="117" t="str">
        <x:v>66.0</x:v>
      </x:c>
      <x:c r="R21" s="117" t="str">
        <x:v>unmanaged</x:v>
      </x:c>
      <x:c r="S21" s="118" t="n">
        <x:v>1</x:v>
      </x:c>
      <x:c r="T21" s="118" t="n">
        <x:v>3</x:v>
      </x:c>
      <x:c r="U21" s="118" t="n">
        <x:v>2</x:v>
      </x:c>
      <x:c r="V21" s="118" t="n">
        <x:v>0</x:v>
      </x:c>
      <x:c r="W21" s="118" t="n">
        <x:v>0</x:v>
      </x:c>
      <x:c r="X21" s="118" t="n">
        <x:v>0</x:v>
      </x:c>
      <x:c r="Y21" s="118" t="n">
        <x:v>1</x:v>
      </x:c>
      <x:c r="Z21" s="117" t="str">
        <x:v>N/A</x:v>
      </x:c>
      <x:c r="AA21" s="120" t="n">
        <x:v>46175.43746527778</x:v>
      </x:c>
      <x:c r="AB21" s="117" t="str">
        <x:v>Sacha Pearce</x:v>
      </x:c>
      <x:c r="AC21" s="119" t="str"/>
      <x:c r="AD21" s="119" t="str"/>
    </x:row>
    <x:row r="22" ht="34" customHeight="1">
      <x:c r="A22" s="117" t="str">
        <x:v>300Ro00000xEy5aIAC</x:v>
      </x:c>
      <x:c r="B22" s="117" t="str">
        <x:v>Asset_Creation_Before_Save_Update_Product_Analytics</x:v>
      </x:c>
      <x:c r="C22" s="117" t="str">
        <x:v>Asset - Creation - Before Save - Update Product Analytics</x:v>
      </x:c>
      <x:c r="D22" s="117" t="str">
        <x:v>No</x:v>
      </x:c>
      <x:c r="E22" s="118"/>
      <x:c r="F22" s="118" t="n">
        <x:v>1</x:v>
      </x:c>
      <x:c r="G22" s="117" t="str">
        <x:v>N/A</x:v>
      </x:c>
      <x:c r="H22" s="119" t="str">
        <x:v>Latest inactive v1 (Retrieved XML)</x:v>
      </x:c>
      <x:c r="I22" s="117" t="str">
        <x:v>AutoLaunchedFlow</x:v>
      </x:c>
      <x:c r="J22" s="117" t="str">
        <x:v>ProductItem__c</x:v>
      </x:c>
      <x:c r="K22" s="117" t="str">
        <x:v>No</x:v>
      </x:c>
      <x:c r="L22" s="117" t="str">
        <x:v>Create</x:v>
      </x:c>
      <x:c r="M22" s="117" t="str">
        <x:v>RecordAfterSave</x:v>
      </x:c>
      <x:c r="N22" s="117"/>
      <x:c r="O22" s="117"/>
      <x:c r="P22" s="117" t="str"/>
      <x:c r="Q22" s="117" t="str">
        <x:v>66.0</x:v>
      </x:c>
      <x:c r="R22" s="117" t="str">
        <x:v>unmanaged</x:v>
      </x:c>
      <x:c r="S22" s="118" t="n">
        <x:v>1</x:v>
      </x:c>
      <x:c r="T22" s="118" t="n">
        <x:v>3</x:v>
      </x:c>
      <x:c r="U22" s="118" t="n">
        <x:v>2</x:v>
      </x:c>
      <x:c r="V22" s="118" t="n">
        <x:v>0</x:v>
      </x:c>
      <x:c r="W22" s="118" t="n">
        <x:v>0</x:v>
      </x:c>
      <x:c r="X22" s="118" t="n">
        <x:v>0</x:v>
      </x:c>
      <x:c r="Y22" s="118" t="n">
        <x:v>1</x:v>
      </x:c>
      <x:c r="Z22" s="117" t="str">
        <x:v>N/A</x:v>
      </x:c>
      <x:c r="AA22" s="120" t="n">
        <x:v>46160.44489583333</x:v>
      </x:c>
      <x:c r="AB22" s="117" t="str">
        <x:v>Sacha Pearce</x:v>
      </x:c>
      <x:c r="AC22" s="119" t="str"/>
      <x:c r="AD22" s="119" t="str"/>
    </x:row>
    <x:row r="23" ht="34" customHeight="1">
      <x:c r="A23" s="117" t="str">
        <x:v>300Ro00000KVlAaIAL</x:v>
      </x:c>
      <x:c r="B23" s="117" t="str">
        <x:v>Asset_Has_Files_Automated_Flow</x:v>
      </x:c>
      <x:c r="C23" s="117" t="str">
        <x:v>Asset Has Files Automated Flow</x:v>
      </x:c>
      <x:c r="D23" s="117" t="str">
        <x:v>No</x:v>
      </x:c>
      <x:c r="E23" s="118"/>
      <x:c r="F23" s="118" t="n">
        <x:v>5</x:v>
      </x:c>
      <x:c r="G23" s="117" t="str">
        <x:v>N/A</x:v>
      </x:c>
      <x:c r="H23" s="119" t="str">
        <x:v>Latest inactive v5 (Retrieved XML)</x:v>
      </x:c>
      <x:c r="I23" s="117" t="str">
        <x:v>AutoLaunchedFlow</x:v>
      </x:c>
      <x:c r="J23" s="117" t="str">
        <x:v>ProductItem__c</x:v>
      </x:c>
      <x:c r="K23" s="117" t="str">
        <x:v>No</x:v>
      </x:c>
      <x:c r="L23" s="117" t="str">
        <x:v>Update</x:v>
      </x:c>
      <x:c r="M23" s="117" t="str">
        <x:v>RecordAfterSave</x:v>
      </x:c>
      <x:c r="N23" s="117"/>
      <x:c r="O23" s="117"/>
      <x:c r="P23" s="117" t="str"/>
      <x:c r="Q23" s="117" t="str">
        <x:v>61.0</x:v>
      </x:c>
      <x:c r="R23" s="117" t="str">
        <x:v>unmanaged</x:v>
      </x:c>
      <x:c r="S23" s="118" t="n">
        <x:v>5</x:v>
      </x:c>
      <x:c r="T23" s="118" t="n">
        <x:v>6</x:v>
      </x:c>
      <x:c r="U23" s="118" t="n">
        <x:v>2</x:v>
      </x:c>
      <x:c r="V23" s="118" t="n">
        <x:v>0</x:v>
      </x:c>
      <x:c r="W23" s="118" t="n">
        <x:v>0</x:v>
      </x:c>
      <x:c r="X23" s="118" t="n">
        <x:v>0</x:v>
      </x:c>
      <x:c r="Y23" s="118" t="n">
        <x:v>1</x:v>
      </x:c>
      <x:c r="Z23" s="117" t="str">
        <x:v>N/A</x:v>
      </x:c>
      <x:c r="AA23" s="120" t="n">
        <x:v>45586.61719907408</x:v>
      </x:c>
      <x:c r="AB23" s="117" t="str">
        <x:v>Jace Gentil</x:v>
      </x:c>
      <x:c r="AC23" s="119" t="str"/>
      <x:c r="AD23" s="119" t="str"/>
    </x:row>
    <x:row r="24" ht="34" customHeight="1">
      <x:c r="A24" s="117" t="str">
        <x:v>300Ro00000xFCRyIAO</x:v>
      </x:c>
      <x:c r="B24" s="117" t="str">
        <x:v>Asset_Update_After_Save_Set_Product_Analytics_on_Product_Name_Change</x:v>
      </x:c>
      <x:c r="C24" s="117" t="str">
        <x:v>Asset - Update - After Save - Set Product Analytics on Product Name Change</x:v>
      </x:c>
      <x:c r="D24" s="117" t="str">
        <x:v>Yes</x:v>
      </x:c>
      <x:c r="E24" s="118" t="n">
        <x:v>2</x:v>
      </x:c>
      <x:c r="F24" s="118" t="n">
        <x:v>2</x:v>
      </x:c>
      <x:c r="G24" s="117" t="str">
        <x:v>Yes</x:v>
      </x:c>
      <x:c r="H24" s="119" t="str">
        <x:v>Active v2 (Retrieved XML)</x:v>
      </x:c>
      <x:c r="I24" s="117" t="str">
        <x:v>AutoLaunchedFlow</x:v>
      </x:c>
      <x:c r="J24" s="117" t="str">
        <x:v>ProductItem__c</x:v>
      </x:c>
      <x:c r="K24" s="117" t="str">
        <x:v>Yes</x:v>
      </x:c>
      <x:c r="L24" s="117" t="str">
        <x:v>Update</x:v>
      </x:c>
      <x:c r="M24" s="117" t="str">
        <x:v>RecordAfterSave</x:v>
      </x:c>
      <x:c r="N24" s="117"/>
      <x:c r="O24" s="117"/>
      <x:c r="P24" s="117" t="str"/>
      <x:c r="Q24" s="117" t="str">
        <x:v>66.0</x:v>
      </x:c>
      <x:c r="R24" s="117" t="str">
        <x:v>unmanaged</x:v>
      </x:c>
      <x:c r="S24" s="118" t="n">
        <x:v>2</x:v>
      </x:c>
      <x:c r="T24" s="118" t="n">
        <x:v>3</x:v>
      </x:c>
      <x:c r="U24" s="118" t="n">
        <x:v>2</x:v>
      </x:c>
      <x:c r="V24" s="118" t="n">
        <x:v>0</x:v>
      </x:c>
      <x:c r="W24" s="118" t="n">
        <x:v>0</x:v>
      </x:c>
      <x:c r="X24" s="118" t="n">
        <x:v>0</x:v>
      </x:c>
      <x:c r="Y24" s="118" t="n">
        <x:v>1</x:v>
      </x:c>
      <x:c r="Z24" s="117" t="str">
        <x:v>Strong</x:v>
      </x:c>
      <x:c r="AA24" s="120" t="n">
        <x:v>46176.320381944446</x:v>
      </x:c>
      <x:c r="AB24" s="117" t="str">
        <x:v>Sacha Pearce</x:v>
      </x:c>
      <x:c r="AC24" s="119" t="str">
        <x:v>03/06/2026 - SP - Updating the Flow to run asynchronously to help avoid SOQL limits being reached</x:v>
      </x:c>
      <x:c r="AD24" s="119" t="str"/>
    </x:row>
    <x:row r="25" ht="34" customHeight="1">
      <x:c r="A25" s="117" t="str">
        <x:v>3000B0000008l32QAA</x:v>
      </x:c>
      <x:c r="B25" s="117" t="str">
        <x:v>Assign_Lead_Owner</x:v>
      </x:c>
      <x:c r="C25" s="117" t="str">
        <x:v>Assign Lead Owner</x:v>
      </x:c>
      <x:c r="D25" s="117" t="str">
        <x:v>No</x:v>
      </x:c>
      <x:c r="E25" s="118"/>
      <x:c r="F25" s="118" t="n">
        <x:v>4</x:v>
      </x:c>
      <x:c r="G25" s="117" t="str">
        <x:v>N/A</x:v>
      </x:c>
      <x:c r="H25" s="119" t="str">
        <x:v>Latest inactive v4 (Retrieved XML)</x:v>
      </x:c>
      <x:c r="I25" s="117" t="str">
        <x:v>Workflow</x:v>
      </x:c>
      <x:c r="J25" s="117" t="str"/>
      <x:c r="K25" s="117" t="str">
        <x:v>No</x:v>
      </x:c>
      <x:c r="L25" s="117" t="str"/>
      <x:c r="M25" s="117" t="str"/>
      <x:c r="N25" s="117"/>
      <x:c r="O25" s="117"/>
      <x:c r="P25" s="117" t="str"/>
      <x:c r="Q25" s="117" t="str">
        <x:v>49.0</x:v>
      </x:c>
      <x:c r="R25" s="117" t="str">
        <x:v>unmanaged</x:v>
      </x:c>
      <x:c r="S25" s="118" t="n">
        <x:v>2</x:v>
      </x:c>
      <x:c r="T25" s="118" t="n">
        <x:v>3</x:v>
      </x:c>
      <x:c r="U25" s="118" t="n">
        <x:v>1</x:v>
      </x:c>
      <x:c r="V25" s="118" t="n">
        <x:v>0</x:v>
      </x:c>
      <x:c r="W25" s="118" t="n">
        <x:v>1</x:v>
      </x:c>
      <x:c r="X25" s="118" t="n">
        <x:v>0</x:v>
      </x:c>
      <x:c r="Y25" s="118" t="n">
        <x:v>1</x:v>
      </x:c>
      <x:c r="Z25" s="117" t="str">
        <x:v>N/A</x:v>
      </x:c>
      <x:c r="AA25" s="120" t="n">
        <x:v>43571.53203703704</x:v>
      </x:c>
      <x:c r="AB25" s="117" t="str">
        <x:v>Jace Gentil</x:v>
      </x:c>
      <x:c r="AC25" s="119" t="str">
        <x:v>Assigns New Lead to Already Exisitng Contact Owner</x:v>
      </x:c>
      <x:c r="AD25" s="119" t="str"/>
    </x:row>
    <x:row r="26" ht="34" customHeight="1">
      <x:c r="A26" s="117" t="str">
        <x:v>3000B0000008lA3QAI</x:v>
      </x:c>
      <x:c r="B26" s="117" t="str">
        <x:v>Assign_Lead_Owner_Account_Name_Company</x:v>
      </x:c>
      <x:c r="C26" s="117" t="str">
        <x:v>Assign Lead Owner - Account Name/Company</x:v>
      </x:c>
      <x:c r="D26" s="117" t="str">
        <x:v>No</x:v>
      </x:c>
      <x:c r="E26" s="118"/>
      <x:c r="F26" s="118" t="n">
        <x:v>1</x:v>
      </x:c>
      <x:c r="G26" s="117" t="str">
        <x:v>N/A</x:v>
      </x:c>
      <x:c r="H26" s="119" t="str">
        <x:v>Latest inactive v1 (Retrieved XML)</x:v>
      </x:c>
      <x:c r="I26" s="117" t="str">
        <x:v>Workflow</x:v>
      </x:c>
      <x:c r="J26" s="117" t="str"/>
      <x:c r="K26" s="117" t="str">
        <x:v>No</x:v>
      </x:c>
      <x:c r="L26" s="117" t="str"/>
      <x:c r="M26" s="117" t="str"/>
      <x:c r="N26" s="117"/>
      <x:c r="O26" s="117"/>
      <x:c r="P26" s="117" t="str"/>
      <x:c r="Q26" s="117" t="str">
        <x:v>49.0</x:v>
      </x:c>
      <x:c r="R26" s="117" t="str">
        <x:v>unmanaged</x:v>
      </x:c>
      <x:c r="S26" s="118" t="n">
        <x:v>1</x:v>
      </x:c>
      <x:c r="T26" s="118" t="n">
        <x:v>3</x:v>
      </x:c>
      <x:c r="U26" s="118" t="n">
        <x:v>1</x:v>
      </x:c>
      <x:c r="V26" s="118" t="n">
        <x:v>0</x:v>
      </x:c>
      <x:c r="W26" s="118" t="n">
        <x:v>1</x:v>
      </x:c>
      <x:c r="X26" s="118" t="n">
        <x:v>0</x:v>
      </x:c>
      <x:c r="Y26" s="118" t="n">
        <x:v>1</x:v>
      </x:c>
      <x:c r="Z26" s="117" t="str">
        <x:v>N/A</x:v>
      </x:c>
      <x:c r="AA26" s="120" t="n">
        <x:v>43755.241122685184</x:v>
      </x:c>
      <x:c r="AB26" s="117" t="str">
        <x:v>Jim Bartek</x:v>
      </x:c>
      <x:c r="AC26" s="119" t="str">
        <x:v>Checks if lead exists in salesforce via account name/company, then assigns to contact owner</x:v>
      </x:c>
      <x:c r="AD26" s="119" t="str"/>
    </x:row>
    <x:row r="27" ht="34" customHeight="1">
      <x:c r="A27" s="117" t="str">
        <x:v>3000B0000008l9yQAA</x:v>
      </x:c>
      <x:c r="B27" s="117" t="str">
        <x:v>Assign_Lead_Owner_Phone</x:v>
      </x:c>
      <x:c r="C27" s="117" t="str">
        <x:v>Assign Lead Owner - Phone</x:v>
      </x:c>
      <x:c r="D27" s="117" t="str">
        <x:v>No</x:v>
      </x:c>
      <x:c r="E27" s="118"/>
      <x:c r="F27" s="118" t="n">
        <x:v>1</x:v>
      </x:c>
      <x:c r="G27" s="117" t="str">
        <x:v>N/A</x:v>
      </x:c>
      <x:c r="H27" s="119" t="str">
        <x:v>Latest inactive v1 (Retrieved XML)</x:v>
      </x:c>
      <x:c r="I27" s="117" t="str">
        <x:v>Workflow</x:v>
      </x:c>
      <x:c r="J27" s="117" t="str"/>
      <x:c r="K27" s="117" t="str">
        <x:v>No</x:v>
      </x:c>
      <x:c r="L27" s="117" t="str"/>
      <x:c r="M27" s="117" t="str"/>
      <x:c r="N27" s="117"/>
      <x:c r="O27" s="117"/>
      <x:c r="P27" s="117" t="str"/>
      <x:c r="Q27" s="117" t="str">
        <x:v>49.0</x:v>
      </x:c>
      <x:c r="R27" s="117" t="str">
        <x:v>unmanaged</x:v>
      </x:c>
      <x:c r="S27" s="118" t="n">
        <x:v>1</x:v>
      </x:c>
      <x:c r="T27" s="118" t="n">
        <x:v>3</x:v>
      </x:c>
      <x:c r="U27" s="118" t="n">
        <x:v>1</x:v>
      </x:c>
      <x:c r="V27" s="118" t="n">
        <x:v>0</x:v>
      </x:c>
      <x:c r="W27" s="118" t="n">
        <x:v>1</x:v>
      </x:c>
      <x:c r="X27" s="118" t="n">
        <x:v>0</x:v>
      </x:c>
      <x:c r="Y27" s="118" t="n">
        <x:v>1</x:v>
      </x:c>
      <x:c r="Z27" s="117" t="str">
        <x:v>N/A</x:v>
      </x:c>
      <x:c r="AA27" s="120" t="n">
        <x:v>43755.241215277776</x:v>
      </x:c>
      <x:c r="AB27" s="117" t="str">
        <x:v>Jim Bartek</x:v>
      </x:c>
      <x:c r="AC27" s="119" t="str">
        <x:v>Checks if lead exists in salesforce via phone then assigns to contact owner</x:v>
      </x:c>
      <x:c r="AD27" s="119" t="str"/>
    </x:row>
    <x:row r="28" ht="34" customHeight="1">
      <x:c r="A28" s="117" t="str">
        <x:v>300Ro00000SgtMZIAZ</x:v>
      </x:c>
      <x:c r="B28" s="117" t="str">
        <x:v>Assigned_Resource_Create_OR_Update_Service_Event</x:v>
      </x:c>
      <x:c r="C28" s="117" t="str">
        <x:v>Assigned Resource - Create OR Update Service Event</x:v>
      </x:c>
      <x:c r="D28" s="117" t="str">
        <x:v>Yes</x:v>
      </x:c>
      <x:c r="E28" s="118" t="n">
        <x:v>6</x:v>
      </x:c>
      <x:c r="F28" s="118" t="n">
        <x:v>8</x:v>
      </x:c>
      <x:c r="G28" s="117" t="str">
        <x:v>No</x:v>
      </x:c>
      <x:c r="H28" s="119" t="str">
        <x:v>Active v6 (Tooling metadata)</x:v>
      </x:c>
      <x:c r="I28" s="117" t="str">
        <x:v>AutoLaunchedFlow</x:v>
      </x:c>
      <x:c r="J28" s="117" t="str">
        <x:v>AssignedResource</x:v>
      </x:c>
      <x:c r="K28" s="117" t="str">
        <x:v>Yes</x:v>
      </x:c>
      <x:c r="L28" s="117" t="str">
        <x:v>CreateAndUpdate</x:v>
      </x:c>
      <x:c r="M28" s="117" t="str">
        <x:v>RecordAfterSave</x:v>
      </x:c>
      <x:c r="N28" s="117"/>
      <x:c r="O28" s="117"/>
      <x:c r="P28" s="117" t="str"/>
      <x:c r="Q28" s="117" t="n">
        <x:v>63</x:v>
      </x:c>
      <x:c r="R28" s="117" t="str">
        <x:v>unmanaged</x:v>
      </x:c>
      <x:c r="S28" s="118" t="n">
        <x:v>8</x:v>
      </x:c>
      <x:c r="T28" s="118" t="n">
        <x:v>19</x:v>
      </x:c>
      <x:c r="U28" s="118" t="n">
        <x:v>6</x:v>
      </x:c>
      <x:c r="V28" s="118" t="n">
        <x:v>0</x:v>
      </x:c>
      <x:c r="W28" s="118" t="n">
        <x:v>0</x:v>
      </x:c>
      <x:c r="X28" s="118" t="n">
        <x:v>0</x:v>
      </x:c>
      <x:c r="Y28" s="118" t="n">
        <x:v>3</x:v>
      </x:c>
      <x:c r="Z28" s="117" t="str">
        <x:v>Review</x:v>
      </x:c>
      <x:c r="AA28" s="120" t="n">
        <x:v>46034.54914351852</x:v>
      </x:c>
      <x:c r="AB28" s="117" t="str">
        <x:v>Sacha Pearce</x:v>
      </x:c>
      <x:c r="AC28" s="119" t="str">
        <x:v>11/25/2025 (BW) - Updating this flow so it does not error if a crew is assigned</x:v>
      </x:c>
      <x:c r="AD28" s="119" t="str">
        <x:v>Active version differs from latest; Touches many objects</x:v>
      </x:c>
    </x:row>
    <x:row r="29" ht="34" customHeight="1">
      <x:c r="A29" s="117" t="str">
        <x:v>300Ro00000SgtMaIAJ</x:v>
      </x:c>
      <x:c r="B29" s="117" t="str">
        <x:v>Assigned_Resource_On_Delete_Find_and_Delete_Related_Event</x:v>
      </x:c>
      <x:c r="C29" s="117" t="str">
        <x:v>Assigned Resource - On Delete, Find and Delete Related Event</x:v>
      </x:c>
      <x:c r="D29" s="117" t="str">
        <x:v>Yes</x:v>
      </x:c>
      <x:c r="E29" s="118" t="n">
        <x:v>2</x:v>
      </x:c>
      <x:c r="F29" s="118" t="n">
        <x:v>2</x:v>
      </x:c>
      <x:c r="G29" s="117" t="str">
        <x:v>Yes</x:v>
      </x:c>
      <x:c r="H29" s="119" t="str">
        <x:v>Active v2 (Retrieved XML)</x:v>
      </x:c>
      <x:c r="I29" s="117" t="str">
        <x:v>AutoLaunchedFlow</x:v>
      </x:c>
      <x:c r="J29" s="117" t="str">
        <x:v>AssignedResource</x:v>
      </x:c>
      <x:c r="K29" s="117" t="str">
        <x:v>Yes</x:v>
      </x:c>
      <x:c r="L29" s="117" t="str">
        <x:v>Delete</x:v>
      </x:c>
      <x:c r="M29" s="117" t="str">
        <x:v>RecordBeforeDelete</x:v>
      </x:c>
      <x:c r="N29" s="117"/>
      <x:c r="O29" s="117"/>
      <x:c r="P29" s="117" t="str"/>
      <x:c r="Q29" s="117" t="str">
        <x:v>63.0</x:v>
      </x:c>
      <x:c r="R29" s="117" t="str">
        <x:v>unmanaged</x:v>
      </x:c>
      <x:c r="S29" s="118" t="n">
        <x:v>2</x:v>
      </x:c>
      <x:c r="T29" s="118" t="n">
        <x:v>4</x:v>
      </x:c>
      <x:c r="U29" s="118" t="n">
        <x:v>2</x:v>
      </x:c>
      <x:c r="V29" s="118" t="n">
        <x:v>0</x:v>
      </x:c>
      <x:c r="W29" s="118" t="n">
        <x:v>0</x:v>
      </x:c>
      <x:c r="X29" s="118" t="n">
        <x:v>0</x:v>
      </x:c>
      <x:c r="Y29" s="118" t="n">
        <x:v>1</x:v>
      </x:c>
      <x:c r="Z29" s="117" t="str">
        <x:v>Isolated lane</x:v>
      </x:c>
      <x:c r="AA29" s="120" t="n">
        <x:v>46055.100324074076</x:v>
      </x:c>
      <x:c r="AB29" s="117" t="str">
        <x:v>Delegate</x:v>
      </x:c>
      <x:c r="AC29" s="119" t="str">
        <x:v>03/14/2025 - Kyle/Jordan - Flow Separation updates</x:v>
      </x:c>
      <x:c r="AD29" s="119" t="str"/>
    </x:row>
    <x:row r="30" ht="34" customHeight="1">
      <x:c r="A30" s="117" t="str">
        <x:v>300Ro00000SgtMbIAJ</x:v>
      </x:c>
      <x:c r="B30" s="117" t="str">
        <x:v>Assigned_Resource_Trigger_Dispatch_Tech_Call</x:v>
      </x:c>
      <x:c r="C30" s="117" t="str">
        <x:v>Assigned Resource - Trigger - Dispatch Tech Call</x:v>
      </x:c>
      <x:c r="D30" s="117" t="str">
        <x:v>Yes</x:v>
      </x:c>
      <x:c r="E30" s="118" t="n">
        <x:v>1</x:v>
      </x:c>
      <x:c r="F30" s="118" t="n">
        <x:v>1</x:v>
      </x:c>
      <x:c r="G30" s="117" t="str">
        <x:v>Yes</x:v>
      </x:c>
      <x:c r="H30" s="119" t="str">
        <x:v>Active v1 (Retrieved XML)</x:v>
      </x:c>
      <x:c r="I30" s="117" t="str">
        <x:v>AutoLaunchedFlow</x:v>
      </x:c>
      <x:c r="J30" s="117" t="str">
        <x:v>AssignedResource</x:v>
      </x:c>
      <x:c r="K30" s="117" t="str">
        <x:v>Yes</x:v>
      </x:c>
      <x:c r="L30" s="117" t="str">
        <x:v>Create</x:v>
      </x:c>
      <x:c r="M30" s="117" t="str">
        <x:v>RecordAfterSave</x:v>
      </x:c>
      <x:c r="N30" s="117"/>
      <x:c r="O30" s="117"/>
      <x:c r="P30" s="117" t="str"/>
      <x:c r="Q30" s="117" t="str">
        <x:v>63.0</x:v>
      </x:c>
      <x:c r="R30" s="117" t="str">
        <x:v>unmanaged</x:v>
      </x:c>
      <x:c r="S30" s="118" t="n">
        <x:v>1</x:v>
      </x:c>
      <x:c r="T30" s="118" t="n">
        <x:v>3</x:v>
      </x:c>
      <x:c r="U30" s="118" t="n">
        <x:v>1</x:v>
      </x:c>
      <x:c r="V30" s="118" t="n">
        <x:v>0</x:v>
      </x:c>
      <x:c r="W30" s="118" t="n">
        <x:v>0</x:v>
      </x:c>
      <x:c r="X30" s="118" t="n">
        <x:v>0</x:v>
      </x:c>
      <x:c r="Y30" s="118" t="n">
        <x:v>1</x:v>
      </x:c>
      <x:c r="Z30" s="117" t="str">
        <x:v>Isolated lane</x:v>
      </x:c>
      <x:c r="AA30" s="120" t="n">
        <x:v>45730.77699074074</x:v>
      </x:c>
      <x:c r="AB30" s="117" t="str">
        <x:v>Delegate</x:v>
      </x:c>
      <x:c r="AC30" s="119" t="str">
        <x:v>03/13/2025 - Kyle/Delegate - Auto Dispatch support calls</x:v>
      </x:c>
      <x:c r="AD30" s="119" t="str"/>
    </x:row>
    <x:row r="31" ht="34" customHeight="1">
      <x:c r="A31" s="117" t="str">
        <x:v>300Ro00000SxTCLIA3</x:v>
      </x:c>
      <x:c r="B31" s="117" t="str">
        <x:v>Assigned_Resource_Trigger_Send_New_Resource_Dispatch_Email</x:v>
      </x:c>
      <x:c r="C31" s="117" t="str">
        <x:v>Assigned Resource - Trigger - Send New Resource Dispatch Email</x:v>
      </x:c>
      <x:c r="D31" s="117" t="str">
        <x:v>Yes</x:v>
      </x:c>
      <x:c r="E31" s="118" t="n">
        <x:v>2</x:v>
      </x:c>
      <x:c r="F31" s="118" t="n">
        <x:v>2</x:v>
      </x:c>
      <x:c r="G31" s="117" t="str">
        <x:v>Yes</x:v>
      </x:c>
      <x:c r="H31" s="119" t="str">
        <x:v>Active v2 (Retrieved XML)</x:v>
      </x:c>
      <x:c r="I31" s="117" t="str">
        <x:v>AutoLaunchedFlow</x:v>
      </x:c>
      <x:c r="J31" s="117" t="str">
        <x:v>AssignedResource</x:v>
      </x:c>
      <x:c r="K31" s="117" t="str">
        <x:v>Yes</x:v>
      </x:c>
      <x:c r="L31" s="117" t="str">
        <x:v>Update</x:v>
      </x:c>
      <x:c r="M31" s="117" t="str">
        <x:v>RecordAfterSave</x:v>
      </x:c>
      <x:c r="N31" s="117"/>
      <x:c r="O31" s="117"/>
      <x:c r="P31" s="117" t="str"/>
      <x:c r="Q31" s="117" t="str">
        <x:v>63.0</x:v>
      </x:c>
      <x:c r="R31" s="117" t="str">
        <x:v>unmanaged</x:v>
      </x:c>
      <x:c r="S31" s="118" t="n">
        <x:v>2</x:v>
      </x:c>
      <x:c r="T31" s="118" t="n">
        <x:v>6</x:v>
      </x:c>
      <x:c r="U31" s="118" t="n">
        <x:v>1</x:v>
      </x:c>
      <x:c r="V31" s="118" t="n">
        <x:v>0</x:v>
      </x:c>
      <x:c r="W31" s="118" t="n">
        <x:v>2</x:v>
      </x:c>
      <x:c r="X31" s="118" t="n">
        <x:v>0</x:v>
      </x:c>
      <x:c r="Y31" s="118" t="n">
        <x:v>1</x:v>
      </x:c>
      <x:c r="Z31" s="117" t="str">
        <x:v>Isolated lane</x:v>
      </x:c>
      <x:c r="AA31" s="120" t="n">
        <x:v>45736.5619212963</x:v>
      </x:c>
      <x:c r="AB31" s="117" t="str">
        <x:v>Delegate</x:v>
      </x:c>
      <x:c r="AC31" s="119" t="str">
        <x:v>03/20/2025 - Kyle/Delegate - When Assigned Resource is changed, and the Related Service Appointment is already dispatched, send an email to the new resource.
03/20/2025 - Adding in another email for prior resource</x:v>
      </x:c>
      <x:c r="AD31" s="119" t="str"/>
    </x:row>
    <x:row r="32" ht="34" customHeight="1">
      <x:c r="A32" s="117" t="str">
        <x:v>3005b000000H3WAAA0</x:v>
      </x:c>
      <x:c r="B32" s="117" t="str">
        <x:v>Auto_Close_Opps</x:v>
      </x:c>
      <x:c r="C32" s="117" t="str">
        <x:v>Auto Close Opps</x:v>
      </x:c>
      <x:c r="D32" s="117" t="str">
        <x:v>Yes</x:v>
      </x:c>
      <x:c r="E32" s="118" t="n">
        <x:v>1</x:v>
      </x:c>
      <x:c r="F32" s="118" t="n">
        <x:v>1</x:v>
      </x:c>
      <x:c r="G32" s="117" t="str">
        <x:v>Yes</x:v>
      </x:c>
      <x:c r="H32" s="119" t="str">
        <x:v>Active v1 (Retrieved XML)</x:v>
      </x:c>
      <x:c r="I32" s="117" t="str">
        <x:v>AutoLaunchedFlow</x:v>
      </x:c>
      <x:c r="J32" s="117" t="str">
        <x:v>Opportunity</x:v>
      </x:c>
      <x:c r="K32" s="117" t="str">
        <x:v>Yes</x:v>
      </x:c>
      <x:c r="L32" s="117" t="str"/>
      <x:c r="M32" s="117" t="str">
        <x:v>Scheduled</x:v>
      </x:c>
      <x:c r="N32" s="117"/>
      <x:c r="O32" s="117"/>
      <x:c r="P32" s="117" t="str">
        <x:v>Daily</x:v>
      </x:c>
      <x:c r="Q32" s="117" t="str">
        <x:v>54.0</x:v>
      </x:c>
      <x:c r="R32" s="117" t="str">
        <x:v>unmanaged</x:v>
      </x:c>
      <x:c r="S32" s="118" t="n">
        <x:v>1</x:v>
      </x:c>
      <x:c r="T32" s="118" t="n">
        <x:v>5</x:v>
      </x:c>
      <x:c r="U32" s="118" t="n">
        <x:v>1</x:v>
      </x:c>
      <x:c r="V32" s="118" t="n">
        <x:v>0</x:v>
      </x:c>
      <x:c r="W32" s="118" t="n">
        <x:v>0</x:v>
      </x:c>
      <x:c r="X32" s="118" t="n">
        <x:v>0</x:v>
      </x:c>
      <x:c r="Y32" s="118" t="n">
        <x:v>1</x:v>
      </x:c>
      <x:c r="Z32" s="117" t="str">
        <x:v>Review</x:v>
      </x:c>
      <x:c r="AA32" s="120" t="n">
        <x:v>44645.69070601852</x:v>
      </x:c>
      <x:c r="AB32" s="117" t="str">
        <x:v>Natalie Boger</x:v>
      </x:c>
      <x:c r="AC32" s="119" t="str"/>
      <x:c r="AD32" s="119" t="str">
        <x:v>Active flow has no description</x:v>
      </x:c>
    </x:row>
    <x:row r="33" ht="34" customHeight="1">
      <x:c r="A33" s="117" t="str">
        <x:v>3005b000000LGUKAA4</x:v>
      </x:c>
      <x:c r="B33" s="117" t="str">
        <x:v>Auto_Close_SWO_HWO_Scrap_Asset</x:v>
      </x:c>
      <x:c r="C33" s="117" t="str">
        <x:v>Auto-Close SWO/HWO Scrap Asset</x:v>
      </x:c>
      <x:c r="D33" s="117" t="str">
        <x:v>Yes</x:v>
      </x:c>
      <x:c r="E33" s="118" t="n">
        <x:v>2</x:v>
      </x:c>
      <x:c r="F33" s="118" t="n">
        <x:v>2</x:v>
      </x:c>
      <x:c r="G33" s="117" t="str">
        <x:v>Yes</x:v>
      </x:c>
      <x:c r="H33" s="119" t="str">
        <x:v>Active v2 (Retrieved XML)</x:v>
      </x:c>
      <x:c r="I33" s="117" t="str">
        <x:v>AutoLaunchedFlow</x:v>
      </x:c>
      <x:c r="J33" s="117" t="str">
        <x:v>Harvest_Work_Order__c</x:v>
      </x:c>
      <x:c r="K33" s="117" t="str">
        <x:v>Yes</x:v>
      </x:c>
      <x:c r="L33" s="117" t="str">
        <x:v>Update</x:v>
      </x:c>
      <x:c r="M33" s="117" t="str">
        <x:v>RecordAfterSave</x:v>
      </x:c>
      <x:c r="N33" s="117"/>
      <x:c r="O33" s="117"/>
      <x:c r="P33" s="117" t="str"/>
      <x:c r="Q33" s="117" t="str">
        <x:v>55.0</x:v>
      </x:c>
      <x:c r="R33" s="117" t="str">
        <x:v>unmanaged</x:v>
      </x:c>
      <x:c r="S33" s="118" t="n">
        <x:v>2</x:v>
      </x:c>
      <x:c r="T33" s="118" t="n">
        <x:v>5</x:v>
      </x:c>
      <x:c r="U33" s="118" t="n">
        <x:v>3</x:v>
      </x:c>
      <x:c r="V33" s="118" t="n">
        <x:v>0</x:v>
      </x:c>
      <x:c r="W33" s="118" t="n">
        <x:v>0</x:v>
      </x:c>
      <x:c r="X33" s="118" t="n">
        <x:v>0</x:v>
      </x:c>
      <x:c r="Y33" s="118" t="n">
        <x:v>2</x:v>
      </x:c>
      <x:c r="Z33" s="117" t="str">
        <x:v>Review</x:v>
      </x:c>
      <x:c r="AA33" s="120" t="n">
        <x:v>46138.44322916667</x:v>
      </x:c>
      <x:c r="AB33" s="117" t="str">
        <x:v>Sacha Pearce</x:v>
      </x:c>
      <x:c r="AC33" s="119" t="str">
        <x:v>23/04/2026 - SP - Updating Flow to mark the system as "Harvested" and "Sold".</x:v>
      </x:c>
      <x:c r="AD33" s="119" t="str"/>
    </x:row>
    <x:row r="34" ht="34" customHeight="1">
      <x:c r="A34" s="117" t="str">
        <x:v>3005b000000LHrKAAW</x:v>
      </x:c>
      <x:c r="B34" s="117" t="str">
        <x:v>Auto_Create_IR_When_Manually_PA_ing_Asset</x:v>
      </x:c>
      <x:c r="C34" s="117" t="str">
        <x:v>Auto-Create IR When Manually PA'ing Asset</x:v>
      </x:c>
      <x:c r="D34" s="117" t="str">
        <x:v>No</x:v>
      </x:c>
      <x:c r="E34" s="118"/>
      <x:c r="F34" s="118" t="n">
        <x:v>2</x:v>
      </x:c>
      <x:c r="G34" s="117" t="str">
        <x:v>N/A</x:v>
      </x:c>
      <x:c r="H34" s="119" t="str">
        <x:v>Latest inactive v2 (Retrieved XML)</x:v>
      </x:c>
      <x:c r="I34" s="117" t="str">
        <x:v>AutoLaunchedFlow</x:v>
      </x:c>
      <x:c r="J34" s="117" t="str">
        <x:v>ProductItem__c</x:v>
      </x:c>
      <x:c r="K34" s="117" t="str">
        <x:v>No</x:v>
      </x:c>
      <x:c r="L34" s="117" t="str">
        <x:v>Update</x:v>
      </x:c>
      <x:c r="M34" s="117" t="str">
        <x:v>RecordAfterSave</x:v>
      </x:c>
      <x:c r="N34" s="117"/>
      <x:c r="O34" s="117"/>
      <x:c r="P34" s="117" t="str"/>
      <x:c r="Q34" s="117" t="str">
        <x:v>56.0</x:v>
      </x:c>
      <x:c r="R34" s="117" t="str">
        <x:v>unmanaged</x:v>
      </x:c>
      <x:c r="S34" s="118" t="n">
        <x:v>2</x:v>
      </x:c>
      <x:c r="T34" s="118" t="n">
        <x:v>4</x:v>
      </x:c>
      <x:c r="U34" s="118" t="n">
        <x:v>2</x:v>
      </x:c>
      <x:c r="V34" s="118" t="n">
        <x:v>0</x:v>
      </x:c>
      <x:c r="W34" s="118" t="n">
        <x:v>0</x:v>
      </x:c>
      <x:c r="X34" s="118" t="n">
        <x:v>0</x:v>
      </x:c>
      <x:c r="Y34" s="118" t="n">
        <x:v>1</x:v>
      </x:c>
      <x:c r="Z34" s="117" t="str">
        <x:v>N/A</x:v>
      </x:c>
      <x:c r="AA34" s="120" t="n">
        <x:v>45684.630428240744</x:v>
      </x:c>
      <x:c r="AB34" s="117" t="str">
        <x:v>Delegate</x:v>
      </x:c>
      <x:c r="AC34" s="119" t="str"/>
      <x:c r="AD34" s="119" t="str"/>
    </x:row>
    <x:row r="35" ht="34" customHeight="1">
      <x:c r="A35" s="117" t="str">
        <x:v>300Ro00000UU24mIAD</x:v>
      </x:c>
      <x:c r="B35" s="117" t="str">
        <x:v>Auto_Create_Post_Repair_Eval_on_Opp</x:v>
      </x:c>
      <x:c r="C35" s="117" t="str">
        <x:v>Auto-Create Post Repair Eval on Opp</x:v>
      </x:c>
      <x:c r="D35" s="117" t="str">
        <x:v>Yes</x:v>
      </x:c>
      <x:c r="E35" s="118" t="n">
        <x:v>1</x:v>
      </x:c>
      <x:c r="F35" s="118" t="n">
        <x:v>1</x:v>
      </x:c>
      <x:c r="G35" s="117" t="str">
        <x:v>Yes</x:v>
      </x:c>
      <x:c r="H35" s="119" t="str">
        <x:v>Active v1 (Retrieved XML)</x:v>
      </x:c>
      <x:c r="I35" s="117" t="str">
        <x:v>AutoLaunchedFlow</x:v>
      </x:c>
      <x:c r="J35" s="117" t="str">
        <x:v>Opportunity</x:v>
      </x:c>
      <x:c r="K35" s="117" t="str">
        <x:v>Yes</x:v>
      </x:c>
      <x:c r="L35" s="117" t="str">
        <x:v>Update</x:v>
      </x:c>
      <x:c r="M35" s="117" t="str">
        <x:v>RecordAfterSave</x:v>
      </x:c>
      <x:c r="N35" s="117"/>
      <x:c r="O35" s="117"/>
      <x:c r="P35" s="117" t="str"/>
      <x:c r="Q35" s="117" t="str">
        <x:v>63.0</x:v>
      </x:c>
      <x:c r="R35" s="117" t="str">
        <x:v>unmanaged</x:v>
      </x:c>
      <x:c r="S35" s="118" t="n">
        <x:v>1</x:v>
      </x:c>
      <x:c r="T35" s="118" t="n">
        <x:v>3</x:v>
      </x:c>
      <x:c r="U35" s="118" t="n">
        <x:v>3</x:v>
      </x:c>
      <x:c r="V35" s="118" t="n">
        <x:v>0</x:v>
      </x:c>
      <x:c r="W35" s="118" t="n">
        <x:v>0</x:v>
      </x:c>
      <x:c r="X35" s="118" t="n">
        <x:v>0</x:v>
      </x:c>
      <x:c r="Y35" s="118" t="n">
        <x:v>2</x:v>
      </x:c>
      <x:c r="Z35" s="117" t="str">
        <x:v>Strong</x:v>
      </x:c>
      <x:c r="AA35" s="120" t="n">
        <x:v>45765.14910879629</x:v>
      </x:c>
      <x:c r="AB35" s="117" t="str">
        <x:v>Natalie Boger</x:v>
      </x:c>
      <x:c r="AC35" s="119" t="str"/>
      <x:c r="AD35" s="119" t="str">
        <x:v>Active flow has no description</x:v>
      </x:c>
    </x:row>
    <x:row r="36" ht="34" customHeight="1">
      <x:c r="A36" s="117" t="str">
        <x:v>3005b000000PzoUAAS</x:v>
      </x:c>
      <x:c r="B36" s="117" t="str">
        <x:v>Auto_Create_Refurb_System_Repair_from_Refurb_Test</x:v>
      </x:c>
      <x:c r="C36" s="117" t="str">
        <x:v>Auto-Create Refurb System Repair from Refurb Test</x:v>
      </x:c>
      <x:c r="D36" s="117" t="str">
        <x:v>Yes</x:v>
      </x:c>
      <x:c r="E36" s="118" t="n">
        <x:v>2</x:v>
      </x:c>
      <x:c r="F36" s="118" t="n">
        <x:v>3</x:v>
      </x:c>
      <x:c r="G36" s="117" t="str">
        <x:v>No</x:v>
      </x:c>
      <x:c r="H36" s="119" t="str">
        <x:v>Active v2 (Tooling metadata)</x:v>
      </x:c>
      <x:c r="I36" s="117" t="str">
        <x:v>AutoLaunchedFlow</x:v>
      </x:c>
      <x:c r="J36" s="117" t="str">
        <x:v>Refurb_Part_Request__c</x:v>
      </x:c>
      <x:c r="K36" s="117" t="str">
        <x:v>Yes</x:v>
      </x:c>
      <x:c r="L36" s="117" t="str">
        <x:v>Update</x:v>
      </x:c>
      <x:c r="M36" s="117" t="str">
        <x:v>RecordAfterSave</x:v>
      </x:c>
      <x:c r="N36" s="117"/>
      <x:c r="O36" s="117"/>
      <x:c r="P36" s="117" t="str"/>
      <x:c r="Q36" s="117" t="n">
        <x:v>57</x:v>
      </x:c>
      <x:c r="R36" s="117" t="str">
        <x:v>unmanaged</x:v>
      </x:c>
      <x:c r="S36" s="118" t="n">
        <x:v>3</x:v>
      </x:c>
      <x:c r="T36" s="118" t="n">
        <x:v>5</x:v>
      </x:c>
      <x:c r="U36" s="118" t="n">
        <x:v>3</x:v>
      </x:c>
      <x:c r="V36" s="118" t="n">
        <x:v>0</x:v>
      </x:c>
      <x:c r="W36" s="118" t="n">
        <x:v>0</x:v>
      </x:c>
      <x:c r="X36" s="118" t="n">
        <x:v>0</x:v>
      </x:c>
      <x:c r="Y36" s="118" t="n">
        <x:v>2</x:v>
      </x:c>
      <x:c r="Z36" s="117" t="str">
        <x:v>Review</x:v>
      </x:c>
      <x:c r="AA36" s="120" t="n">
        <x:v>45081.69709490741</x:v>
      </x:c>
      <x:c r="AB36" s="117" t="str">
        <x:v>Jace Gentil</x:v>
      </x:c>
      <x:c r="AC36" s="119" t="str"/>
      <x:c r="AD36" s="119" t="str">
        <x:v>Active version differs from latest; Active flow has no description</x:v>
      </x:c>
    </x:row>
    <x:row r="37" ht="34" customHeight="1">
      <x:c r="A37" s="117" t="str">
        <x:v>3005b000000H497AAC</x:v>
      </x:c>
      <x:c r="B37" s="117" t="str">
        <x:v>Auto_Create_Return_Opportunity_for_Exchange_Purchasing_Ops</x:v>
      </x:c>
      <x:c r="C37" s="117" t="str">
        <x:v>Auto Create Return Opportunity for Exchange Purchasing Ops</x:v>
      </x:c>
      <x:c r="D37" s="117" t="str">
        <x:v>Yes</x:v>
      </x:c>
      <x:c r="E37" s="118" t="n">
        <x:v>13</x:v>
      </x:c>
      <x:c r="F37" s="118" t="n">
        <x:v>13</x:v>
      </x:c>
      <x:c r="G37" s="117" t="str">
        <x:v>Yes</x:v>
      </x:c>
      <x:c r="H37" s="119" t="str">
        <x:v>Active v13 (Retrieved XML)</x:v>
      </x:c>
      <x:c r="I37" s="117" t="str">
        <x:v>AutoLaunchedFlow</x:v>
      </x:c>
      <x:c r="J37" s="117" t="str">
        <x:v>Opportunity</x:v>
      </x:c>
      <x:c r="K37" s="117" t="str">
        <x:v>Yes</x:v>
      </x:c>
      <x:c r="L37" s="117" t="str">
        <x:v>CreateAndUpdate</x:v>
      </x:c>
      <x:c r="M37" s="117" t="str">
        <x:v>RecordAfterSave</x:v>
      </x:c>
      <x:c r="N37" s="117"/>
      <x:c r="O37" s="117"/>
      <x:c r="P37" s="117" t="str"/>
      <x:c r="Q37" s="117" t="str">
        <x:v>55.0</x:v>
      </x:c>
      <x:c r="R37" s="117" t="str">
        <x:v>unmanaged</x:v>
      </x:c>
      <x:c r="S37" s="118" t="n">
        <x:v>13</x:v>
      </x:c>
      <x:c r="T37" s="118" t="n">
        <x:v>5</x:v>
      </x:c>
      <x:c r="U37" s="118" t="n">
        <x:v>1</x:v>
      </x:c>
      <x:c r="V37" s="118" t="n">
        <x:v>0</x:v>
      </x:c>
      <x:c r="W37" s="118" t="n">
        <x:v>0</x:v>
      </x:c>
      <x:c r="X37" s="118" t="n">
        <x:v>0</x:v>
      </x:c>
      <x:c r="Y37" s="118" t="n">
        <x:v>1</x:v>
      </x:c>
      <x:c r="Z37" s="117" t="str">
        <x:v>Strong</x:v>
      </x:c>
      <x:c r="AA37" s="120" t="n">
        <x:v>45425.8275</x:v>
      </x:c>
      <x:c r="AB37" s="117" t="str">
        <x:v>Jace Gentil</x:v>
      </x:c>
      <x:c r="AC37" s="119" t="str">
        <x:v>Automatically Create Return Opportunity for Exchange Purchasing Ops</x:v>
      </x:c>
      <x:c r="AD37" s="119" t="str"/>
    </x:row>
    <x:row r="38" ht="34" customHeight="1">
      <x:c r="A38" s="117" t="str">
        <x:v>300Ro00000REVFiIAP</x:v>
      </x:c>
      <x:c r="B38" s="117" t="str">
        <x:v>Auto_Create_RMAs_from_Service_Appointments_for_UK</x:v>
      </x:c>
      <x:c r="C38" s="117" t="str">
        <x:v>Create RMAs from Service Appointment &amp; Mark Items as Shipping Location - UK</x:v>
      </x:c>
      <x:c r="D38" s="117" t="str">
        <x:v>Yes</x:v>
      </x:c>
      <x:c r="E38" s="118" t="n">
        <x:v>7</x:v>
      </x:c>
      <x:c r="F38" s="118" t="n">
        <x:v>7</x:v>
      </x:c>
      <x:c r="G38" s="117" t="str">
        <x:v>Yes</x:v>
      </x:c>
      <x:c r="H38" s="119" t="str">
        <x:v>Active v7 (Retrieved XML)</x:v>
      </x:c>
      <x:c r="I38" s="117" t="str">
        <x:v>AutoLaunchedFlow</x:v>
      </x:c>
      <x:c r="J38" s="117" t="str">
        <x:v>ServiceAppointment</x:v>
      </x:c>
      <x:c r="K38" s="117" t="str">
        <x:v>Yes</x:v>
      </x:c>
      <x:c r="L38" s="117" t="str">
        <x:v>CreateAndUpdate</x:v>
      </x:c>
      <x:c r="M38" s="117" t="str">
        <x:v>RecordAfterSave</x:v>
      </x:c>
      <x:c r="N38" s="117"/>
      <x:c r="O38" s="117"/>
      <x:c r="P38" s="117" t="str"/>
      <x:c r="Q38" s="117" t="str">
        <x:v>56.0</x:v>
      </x:c>
      <x:c r="R38" s="117" t="str">
        <x:v>unmanaged</x:v>
      </x:c>
      <x:c r="S38" s="118" t="n">
        <x:v>7</x:v>
      </x:c>
      <x:c r="T38" s="118" t="n">
        <x:v>8</x:v>
      </x:c>
      <x:c r="U38" s="118" t="n">
        <x:v>3</x:v>
      </x:c>
      <x:c r="V38" s="118" t="n">
        <x:v>0</x:v>
      </x:c>
      <x:c r="W38" s="118" t="n">
        <x:v>0</x:v>
      </x:c>
      <x:c r="X38" s="118" t="n">
        <x:v>0</x:v>
      </x:c>
      <x:c r="Y38" s="118" t="n">
        <x:v>2</x:v>
      </x:c>
      <x:c r="Z38" s="117" t="str">
        <x:v>Strong</x:v>
      </x:c>
      <x:c r="AA38" s="120" t="n">
        <x:v>46178.894224537034</x:v>
      </x:c>
      <x:c r="AB38" s="117" t="str">
        <x:v>Delegate</x:v>
      </x:c>
      <x:c r="AC38" s="119" t="str">
        <x:v>06/05/2026 (BW) - Updating so the RMA is not generated automatically upon entering of a ship date in the US. This can still happen in the UK</x:v>
      </x:c>
      <x:c r="AD38" s="119" t="str"/>
    </x:row>
    <x:row r="39" ht="34" customHeight="1">
      <x:c r="A39" s="117" t="str">
        <x:v>3005b000000LGuSAAW</x:v>
      </x:c>
      <x:c r="B39" s="117" t="str">
        <x:v>Auto_Create_RMAs_from_Work_Orders_for_UK</x:v>
      </x:c>
      <x:c r="C39" s="117" t="str">
        <x:v>Auto-Create RMAs from Work Orders for UK</x:v>
      </x:c>
      <x:c r="D39" s="117" t="str">
        <x:v>Yes</x:v>
      </x:c>
      <x:c r="E39" s="118" t="n">
        <x:v>11</x:v>
      </x:c>
      <x:c r="F39" s="118" t="n">
        <x:v>11</x:v>
      </x:c>
      <x:c r="G39" s="117" t="str">
        <x:v>Yes</x:v>
      </x:c>
      <x:c r="H39" s="119" t="str">
        <x:v>Active v11 (Retrieved XML)</x:v>
      </x:c>
      <x:c r="I39" s="117" t="str">
        <x:v>AutoLaunchedFlow</x:v>
      </x:c>
      <x:c r="J39" s="117" t="str">
        <x:v>WorkOrder</x:v>
      </x:c>
      <x:c r="K39" s="117" t="str">
        <x:v>Yes</x:v>
      </x:c>
      <x:c r="L39" s="117" t="str">
        <x:v>CreateAndUpdate</x:v>
      </x:c>
      <x:c r="M39" s="117" t="str">
        <x:v>RecordAfterSave</x:v>
      </x:c>
      <x:c r="N39" s="117"/>
      <x:c r="O39" s="117"/>
      <x:c r="P39" s="117" t="str"/>
      <x:c r="Q39" s="117" t="str">
        <x:v>56.0</x:v>
      </x:c>
      <x:c r="R39" s="117" t="str">
        <x:v>unmanaged</x:v>
      </x:c>
      <x:c r="S39" s="118" t="n">
        <x:v>11</x:v>
      </x:c>
      <x:c r="T39" s="118" t="n">
        <x:v>5</x:v>
      </x:c>
      <x:c r="U39" s="118" t="n">
        <x:v>3</x:v>
      </x:c>
      <x:c r="V39" s="118" t="n">
        <x:v>0</x:v>
      </x:c>
      <x:c r="W39" s="118" t="n">
        <x:v>0</x:v>
      </x:c>
      <x:c r="X39" s="118" t="n">
        <x:v>0</x:v>
      </x:c>
      <x:c r="Y39" s="118" t="n">
        <x:v>2</x:v>
      </x:c>
      <x:c r="Z39" s="117" t="str">
        <x:v>Strong</x:v>
      </x:c>
      <x:c r="AA39" s="120" t="n">
        <x:v>46002.482939814814</x:v>
      </x:c>
      <x:c r="AB39" s="117" t="str">
        <x:v>Jon Kean</x:v>
      </x:c>
      <x:c r="AC39" s="119" t="str"/>
      <x:c r="AD39" s="119" t="str">
        <x:v>Active flow has no description</x:v>
      </x:c>
    </x:row>
    <x:row r="40" ht="34" customHeight="1">
      <x:c r="A40" s="117" t="str">
        <x:v>300Ro00000cwVgfIAE</x:v>
      </x:c>
      <x:c r="B40" s="117" t="str">
        <x:v>Autolaunched_Create_Service_or_Sales_Asset</x:v>
      </x:c>
      <x:c r="C40" s="117" t="str">
        <x:v>Autolaunched | Create Service or Sales Asset</x:v>
      </x:c>
      <x:c r="D40" s="117" t="str">
        <x:v>No</x:v>
      </x:c>
      <x:c r="E40" s="118"/>
      <x:c r="F40" s="118" t="n">
        <x:v>1</x:v>
      </x:c>
      <x:c r="G40" s="117" t="str">
        <x:v>N/A</x:v>
      </x:c>
      <x:c r="H40" s="119" t="str">
        <x:v>Latest inactive v1 (Retrieved XML)</x:v>
      </x:c>
      <x:c r="I40" s="117" t="str">
        <x:v>AutoLaunchedFlow</x:v>
      </x:c>
      <x:c r="J40" s="117" t="str"/>
      <x:c r="K40" s="117" t="str">
        <x:v>No</x:v>
      </x:c>
      <x:c r="L40" s="117" t="str"/>
      <x:c r="M40" s="117" t="str"/>
      <x:c r="N40" s="117"/>
      <x:c r="O40" s="117"/>
      <x:c r="P40" s="117" t="str"/>
      <x:c r="Q40" s="117" t="str">
        <x:v>62.0</x:v>
      </x:c>
      <x:c r="R40" s="117" t="str">
        <x:v>unmanaged</x:v>
      </x:c>
      <x:c r="S40" s="118" t="n">
        <x:v>1</x:v>
      </x:c>
      <x:c r="T40" s="118" t="n">
        <x:v>8</x:v>
      </x:c>
      <x:c r="U40" s="118" t="n">
        <x:v>2</x:v>
      </x:c>
      <x:c r="V40" s="118" t="n">
        <x:v>0</x:v>
      </x:c>
      <x:c r="W40" s="118" t="n">
        <x:v>0</x:v>
      </x:c>
      <x:c r="X40" s="118" t="n">
        <x:v>0</x:v>
      </x:c>
      <x:c r="Y40" s="118" t="n">
        <x:v>1</x:v>
      </x:c>
      <x:c r="Z40" s="117" t="str">
        <x:v>N/A</x:v>
      </x:c>
      <x:c r="AA40" s="120" t="n">
        <x:v>45884.74859953704</x:v>
      </x:c>
      <x:c r="AB40" s="117" t="str">
        <x:v>Delegate</x:v>
      </x:c>
      <x:c r="AC40" s="119" t="str">
        <x:v>09/16/2024 (BW) - Updated so that the account comes over now too</x:v>
      </x:c>
      <x:c r="AD40" s="119" t="str"/>
    </x:row>
    <x:row r="41" ht="34" customHeight="1">
      <x:c r="A41" s="117" t="str">
        <x:v>3005b000000LGdgAAG</x:v>
      </x:c>
      <x:c r="B41" s="117" t="str">
        <x:v>Automated_Collections_Template</x:v>
      </x:c>
      <x:c r="C41" s="117" t="str">
        <x:v>Chargent Automated Collections Template</x:v>
      </x:c>
      <x:c r="D41" s="117" t="str">
        <x:v>No</x:v>
      </x:c>
      <x:c r="E41" s="118"/>
      <x:c r="F41" s="118" t="n">
        <x:v>2</x:v>
      </x:c>
      <x:c r="G41" s="117" t="str">
        <x:v>N/A</x:v>
      </x:c>
      <x:c r="H41" s="119" t="str">
        <x:v>Latest inactive v2 (Tooling metadata)</x:v>
      </x:c>
      <x:c r="I41" s="117" t="str">
        <x:v>Flow</x:v>
      </x:c>
      <x:c r="J41" s="117" t="str"/>
      <x:c r="K41" s="117" t="str">
        <x:v>No</x:v>
      </x:c>
      <x:c r="L41" s="117" t="str"/>
      <x:c r="M41" s="117" t="str"/>
      <x:c r="N41" s="117"/>
      <x:c r="O41" s="117"/>
      <x:c r="P41" s="117" t="str"/>
      <x:c r="Q41" s="117" t="n">
        <x:v>63</x:v>
      </x:c>
      <x:c r="R41" s="117" t="str">
        <x:v>installed</x:v>
      </x:c>
      <x:c r="S41" s="118" t="n">
        <x:v>2</x:v>
      </x:c>
      <x:c r="T41" s="118" t="n">
        <x:v>10</x:v>
      </x:c>
      <x:c r="U41" s="118" t="n">
        <x:v>3</x:v>
      </x:c>
      <x:c r="V41" s="118" t="n">
        <x:v>0</x:v>
      </x:c>
      <x:c r="W41" s="118" t="n">
        <x:v>1</x:v>
      </x:c>
      <x:c r="X41" s="118" t="n">
        <x:v>0</x:v>
      </x:c>
      <x:c r="Y41" s="118" t="n">
        <x:v>2</x:v>
      </x:c>
      <x:c r="Z41" s="117" t="str">
        <x:v>N/A</x:v>
      </x:c>
      <x:c r="AA41" s="120" t="n">
        <x:v>45839.929756944446</x:v>
      </x:c>
      <x:c r="AB41" s="117" t="str"/>
      <x:c r="AC41" s="119" t="str">
        <x:v>This template serves as an example of how to trigger Chargent's Automated Collections feature for a list of Chargent Order records. It is not recommended that you use this flow directly. Instead, clone this Flow, then edit it to define the conditions as well as the AC Process to trigger to best suit your use-case.</x:v>
      </x:c>
      <x:c r="AD41" s="119" t="str"/>
    </x:row>
    <x:row r="42" ht="34" customHeight="1">
      <x:c r="A42" s="117" t="str">
        <x:v>3004O000000LOrqQAG</x:v>
      </x:c>
      <x:c r="B42" s="117" t="str">
        <x:v>AvaTax_Account_Update_AvaTax_Exemption_Message</x:v>
      </x:c>
      <x:c r="C42" s="117" t="str">
        <x:v>AvaTax Account - Update AvaTax Exemption Message</x:v>
      </x:c>
      <x:c r="D42" s="117" t="str">
        <x:v>No</x:v>
      </x:c>
      <x:c r="E42" s="118"/>
      <x:c r="F42" s="118" t="n">
        <x:v>2</x:v>
      </x:c>
      <x:c r="G42" s="117" t="str">
        <x:v>N/A</x:v>
      </x:c>
      <x:c r="H42" s="119" t="str">
        <x:v>Latest inactive v2 (Tooling metadata)</x:v>
      </x:c>
      <x:c r="I42" s="117" t="str">
        <x:v>Workflow</x:v>
      </x:c>
      <x:c r="J42" s="117" t="str"/>
      <x:c r="K42" s="117" t="str">
        <x:v>No</x:v>
      </x:c>
      <x:c r="L42" s="117" t="str"/>
      <x:c r="M42" s="117" t="str"/>
      <x:c r="N42" s="117"/>
      <x:c r="O42" s="117"/>
      <x:c r="P42" s="117" t="str"/>
      <x:c r="Q42" s="117" t="n">
        <x:v>49</x:v>
      </x:c>
      <x:c r="R42" s="117" t="str">
        <x:v>installed</x:v>
      </x:c>
      <x:c r="S42" s="118" t="n">
        <x:v>1</x:v>
      </x:c>
      <x:c r="T42" s="118" t="n">
        <x:v>9</x:v>
      </x:c>
      <x:c r="U42" s="118" t="n">
        <x:v>1</x:v>
      </x:c>
      <x:c r="V42" s="118" t="n">
        <x:v>0</x:v>
      </x:c>
      <x:c r="W42" s="118" t="n">
        <x:v>0</x:v>
      </x:c>
      <x:c r="X42" s="118" t="n">
        <x:v>0</x:v>
      </x:c>
      <x:c r="Y42" s="118" t="n">
        <x:v>1</x:v>
      </x:c>
      <x:c r="Z42" s="117" t="str">
        <x:v>N/A</x:v>
      </x:c>
      <x:c r="AA42" s="120" t="n">
        <x:v>45435.60729166667</x:v>
      </x:c>
      <x:c r="AB42" s="117" t="str">
        <x:v>Delegate</x:v>
      </x:c>
      <x:c r="AC42" s="119" t="str"/>
      <x:c r="AD42" s="119" t="str"/>
    </x:row>
    <x:row r="43" ht="34" customHeight="1">
      <x:c r="A43" s="117" t="str">
        <x:v>300Ro000007DpzxIAC</x:v>
      </x:c>
      <x:c r="B43" s="117" t="str">
        <x:v>AvaTax_Account_Update_AvaTax_Exemption_Message_Flow</x:v>
      </x:c>
      <x:c r="C43" s="117" t="str">
        <x:v>AvaTax Account - Update AvaTax Exemption Message Flow</x:v>
      </x:c>
      <x:c r="D43" s="117" t="str">
        <x:v>Yes</x:v>
      </x:c>
      <x:c r="E43" s="118" t="n">
        <x:v>1</x:v>
      </x:c>
      <x:c r="F43" s="118" t="n">
        <x:v>1</x:v>
      </x:c>
      <x:c r="G43" s="117" t="str">
        <x:v>Yes</x:v>
      </x:c>
      <x:c r="H43" s="119" t="str">
        <x:v>Active v1 (Tooling metadata)</x:v>
      </x:c>
      <x:c r="I43" s="117" t="str">
        <x:v>AutoLaunchedFlow</x:v>
      </x:c>
      <x:c r="J43" s="117" t="str">
        <x:v>Account</x:v>
      </x:c>
      <x:c r="K43" s="117" t="str">
        <x:v>Yes</x:v>
      </x:c>
      <x:c r="L43" s="117" t="str">
        <x:v>CreateAndUpdate</x:v>
      </x:c>
      <x:c r="M43" s="117" t="str">
        <x:v>RecordBeforeSave</x:v>
      </x:c>
      <x:c r="N43" s="117"/>
      <x:c r="O43" s="117"/>
      <x:c r="P43" s="117" t="str"/>
      <x:c r="Q43" s="117" t="n">
        <x:v>58</x:v>
      </x:c>
      <x:c r="R43" s="117" t="str">
        <x:v>installed</x:v>
      </x:c>
      <x:c r="S43" s="118" t="n">
        <x:v>1</x:v>
      </x:c>
      <x:c r="T43" s="118" t="n">
        <x:v>2</x:v>
      </x:c>
      <x:c r="U43" s="118" t="n">
        <x:v>1</x:v>
      </x:c>
      <x:c r="V43" s="118" t="n">
        <x:v>0</x:v>
      </x:c>
      <x:c r="W43" s="118" t="n">
        <x:v>0</x:v>
      </x:c>
      <x:c r="X43" s="118" t="n">
        <x:v>0</x:v>
      </x:c>
      <x:c r="Y43" s="118" t="n">
        <x:v>1</x:v>
      </x:c>
      <x:c r="Z43" s="117" t="str">
        <x:v>Isolated lane</x:v>
      </x:c>
      <x:c r="AA43" s="120" t="n">
        <x:v>45348.757893518516</x:v>
      </x:c>
      <x:c r="AB43" s="117" t="str">
        <x:v>Delegate</x:v>
      </x:c>
      <x:c r="AC43" s="119" t="str"/>
      <x:c r="AD43" s="119" t="str">
        <x:v>Active flow has no description</x:v>
      </x:c>
    </x:row>
    <x:row r="44" ht="34" customHeight="1">
      <x:c r="A44" s="117" t="str">
        <x:v>300Ro000010J2teIAC</x:v>
      </x:c>
      <x:c r="B44" s="117" t="str">
        <x:v>Avatax_Application_Log_Consumer</x:v>
      </x:c>
      <x:c r="C44" s="117" t="str">
        <x:v>Avatax Application Log Consumer</x:v>
      </x:c>
      <x:c r="D44" s="117" t="str">
        <x:v>Yes</x:v>
      </x:c>
      <x:c r="E44" s="118" t="n">
        <x:v>1</x:v>
      </x:c>
      <x:c r="F44" s="118" t="n">
        <x:v>1</x:v>
      </x:c>
      <x:c r="G44" s="117" t="str">
        <x:v>Yes</x:v>
      </x:c>
      <x:c r="H44" s="119" t="str">
        <x:v>Active v1 (Tooling metadata)</x:v>
      </x:c>
      <x:c r="I44" s="117" t="str">
        <x:v>AutoLaunchedFlow</x:v>
      </x:c>
      <x:c r="J44" s="117" t="str"/>
      <x:c r="K44" s="117" t="str">
        <x:v>No</x:v>
      </x:c>
      <x:c r="L44" s="117" t="str"/>
      <x:c r="M44" s="117" t="str"/>
      <x:c r="N44" s="117"/>
      <x:c r="O44" s="117"/>
      <x:c r="P44" s="117" t="str"/>
      <x:c r="Q44" s="117" t="n">
        <x:v>60</x:v>
      </x:c>
      <x:c r="R44" s="117" t="str">
        <x:v>installed</x:v>
      </x:c>
      <x:c r="S44" s="118" t="n">
        <x:v>1</x:v>
      </x:c>
      <x:c r="T44" s="118" t="n">
        <x:v>0</x:v>
      </x:c>
      <x:c r="U44" s="118" t="n">
        <x:v>0</x:v>
      </x:c>
      <x:c r="V44" s="118" t="n">
        <x:v>0</x:v>
      </x:c>
      <x:c r="W44" s="118" t="n">
        <x:v>0</x:v>
      </x:c>
      <x:c r="X44" s="118" t="n">
        <x:v>0</x:v>
      </x:c>
      <x:c r="Y44" s="118" t="n">
        <x:v>1</x:v>
      </x:c>
      <x:c r="Z44" s="117" t="str">
        <x:v>N/A</x:v>
      </x:c>
      <x:c r="AA44" s="120" t="n">
        <x:v>46189.94888888889</x:v>
      </x:c>
      <x:c r="AB44" s="117" t="str">
        <x:v>Mindy Bender</x:v>
      </x:c>
      <x:c r="AC44" s="119" t="str"/>
      <x:c r="AD44" s="119" t="str">
        <x:v>Active flow has no description</x:v>
      </x:c>
    </x:row>
    <x:row r="45" ht="34" customHeight="1">
      <x:c r="A45" s="117" t="str">
        <x:v>300Ro000007DpzyIAC</x:v>
      </x:c>
      <x:c r="B45" s="117" t="str">
        <x:v>AvaTax_Exemption_Certificate_Certificate_Status_Update</x:v>
      </x:c>
      <x:c r="C45" s="117" t="str">
        <x:v>AvaTax Exemption Certificate - Certificate Status Update</x:v>
      </x:c>
      <x:c r="D45" s="117" t="str">
        <x:v>Yes</x:v>
      </x:c>
      <x:c r="E45" s="118" t="n">
        <x:v>2</x:v>
      </x:c>
      <x:c r="F45" s="118" t="n">
        <x:v>2</x:v>
      </x:c>
      <x:c r="G45" s="117" t="str">
        <x:v>Yes</x:v>
      </x:c>
      <x:c r="H45" s="119" t="str">
        <x:v>Active v2 (Tooling metadata)</x:v>
      </x:c>
      <x:c r="I45" s="117" t="str">
        <x:v>AutoLaunchedFlow</x:v>
      </x:c>
      <x:c r="J45" s="117" t="str">
        <x:v>AVA_SFCLOUD__TaxExemptionCertificate__c</x:v>
      </x:c>
      <x:c r="K45" s="117" t="str">
        <x:v>Yes</x:v>
      </x:c>
      <x:c r="L45" s="117" t="str">
        <x:v>CreateAndUpdate</x:v>
      </x:c>
      <x:c r="M45" s="117" t="str">
        <x:v>RecordBeforeSave</x:v>
      </x:c>
      <x:c r="N45" s="117"/>
      <x:c r="O45" s="117"/>
      <x:c r="P45" s="117" t="str"/>
      <x:c r="Q45" s="117" t="n">
        <x:v>58</x:v>
      </x:c>
      <x:c r="R45" s="117" t="str">
        <x:v>installed</x:v>
      </x:c>
      <x:c r="S45" s="118" t="n">
        <x:v>1</x:v>
      </x:c>
      <x:c r="T45" s="118" t="n">
        <x:v>5</x:v>
      </x:c>
      <x:c r="U45" s="118" t="n">
        <x:v>1</x:v>
      </x:c>
      <x:c r="V45" s="118" t="n">
        <x:v>0</x:v>
      </x:c>
      <x:c r="W45" s="118" t="n">
        <x:v>0</x:v>
      </x:c>
      <x:c r="X45" s="118" t="n">
        <x:v>0</x:v>
      </x:c>
      <x:c r="Y45" s="118" t="n">
        <x:v>1</x:v>
      </x:c>
      <x:c r="Z45" s="117" t="str">
        <x:v>Isolated lane</x:v>
      </x:c>
      <x:c r="AA45" s="120" t="n">
        <x:v>45348.75790509259</x:v>
      </x:c>
      <x:c r="AB45" s="117" t="str">
        <x:v>Delegate</x:v>
      </x:c>
      <x:c r="AC45" s="119" t="str"/>
      <x:c r="AD45" s="119" t="str">
        <x:v>Active flow has no description</x:v>
      </x:c>
    </x:row>
    <x:row r="46" ht="34" customHeight="1">
      <x:c r="A46" s="117" t="str">
        <x:v>3004O000000LOrrQAG</x:v>
      </x:c>
      <x:c r="B46" s="117" t="str">
        <x:v>AvaTax_Exemption_Certificate_Update_Certificate_Status</x:v>
      </x:c>
      <x:c r="C46" s="117" t="str">
        <x:v>AvaTax Exemption Certificate - Update Certificate Status</x:v>
      </x:c>
      <x:c r="D46" s="117" t="str">
        <x:v>No</x:v>
      </x:c>
      <x:c r="E46" s="118"/>
      <x:c r="F46" s="118" t="n">
        <x:v>2</x:v>
      </x:c>
      <x:c r="G46" s="117" t="str">
        <x:v>N/A</x:v>
      </x:c>
      <x:c r="H46" s="119" t="str">
        <x:v>Latest inactive v2 (Tooling metadata)</x:v>
      </x:c>
      <x:c r="I46" s="117" t="str">
        <x:v>Workflow</x:v>
      </x:c>
      <x:c r="J46" s="117" t="str"/>
      <x:c r="K46" s="117" t="str">
        <x:v>No</x:v>
      </x:c>
      <x:c r="L46" s="117" t="str"/>
      <x:c r="M46" s="117" t="str"/>
      <x:c r="N46" s="117"/>
      <x:c r="O46" s="117"/>
      <x:c r="P46" s="117" t="str"/>
      <x:c r="Q46" s="117" t="n">
        <x:v>49</x:v>
      </x:c>
      <x:c r="R46" s="117" t="str">
        <x:v>installed</x:v>
      </x:c>
      <x:c r="S46" s="118" t="n">
        <x:v>1</x:v>
      </x:c>
      <x:c r="T46" s="118" t="n">
        <x:v>9</x:v>
      </x:c>
      <x:c r="U46" s="118" t="n">
        <x:v>1</x:v>
      </x:c>
      <x:c r="V46" s="118" t="n">
        <x:v>0</x:v>
      </x:c>
      <x:c r="W46" s="118" t="n">
        <x:v>0</x:v>
      </x:c>
      <x:c r="X46" s="118" t="n">
        <x:v>0</x:v>
      </x:c>
      <x:c r="Y46" s="118" t="n">
        <x:v>1</x:v>
      </x:c>
      <x:c r="Z46" s="117" t="str">
        <x:v>N/A</x:v>
      </x:c>
      <x:c r="AA46" s="120" t="n">
        <x:v>45070.736875</x:v>
      </x:c>
      <x:c r="AB46" s="117" t="str">
        <x:v>Delegate</x:v>
      </x:c>
      <x:c r="AC46" s="119" t="str"/>
      <x:c r="AD46" s="119" t="str"/>
    </x:row>
    <x:row r="47" ht="34" customHeight="1">
      <x:c r="A47" s="117" t="str">
        <x:v>3004O000000LOrsQAG</x:v>
      </x:c>
      <x:c r="B47" s="117" t="str">
        <x:v>AvaTax_Opportunity_Automatic_Tax_Calculation</x:v>
      </x:c>
      <x:c r="C47" s="117" t="str">
        <x:v>AvaTax Opportunity - Automatic Tax Calculation</x:v>
      </x:c>
      <x:c r="D47" s="117" t="str">
        <x:v>No</x:v>
      </x:c>
      <x:c r="E47" s="118"/>
      <x:c r="F47" s="118" t="n">
        <x:v>8</x:v>
      </x:c>
      <x:c r="G47" s="117" t="str">
        <x:v>N/A</x:v>
      </x:c>
      <x:c r="H47" s="119" t="str">
        <x:v>Latest inactive v8 (Tooling metadata)</x:v>
      </x:c>
      <x:c r="I47" s="117" t="str">
        <x:v>Workflow</x:v>
      </x:c>
      <x:c r="J47" s="117" t="str"/>
      <x:c r="K47" s="117" t="str">
        <x:v>No</x:v>
      </x:c>
      <x:c r="L47" s="117" t="str"/>
      <x:c r="M47" s="117" t="str"/>
      <x:c r="N47" s="117"/>
      <x:c r="O47" s="117"/>
      <x:c r="P47" s="117" t="str"/>
      <x:c r="Q47" s="117" t="n">
        <x:v>49</x:v>
      </x:c>
      <x:c r="R47" s="117" t="str">
        <x:v>installed</x:v>
      </x:c>
      <x:c r="S47" s="118" t="n">
        <x:v>2</x:v>
      </x:c>
      <x:c r="T47" s="118" t="n">
        <x:v>3</x:v>
      </x:c>
      <x:c r="U47" s="118" t="n">
        <x:v>1</x:v>
      </x:c>
      <x:c r="V47" s="118" t="n">
        <x:v>0</x:v>
      </x:c>
      <x:c r="W47" s="118" t="n">
        <x:v>1</x:v>
      </x:c>
      <x:c r="X47" s="118" t="n">
        <x:v>0</x:v>
      </x:c>
      <x:c r="Y47" s="118" t="n">
        <x:v>1</x:v>
      </x:c>
      <x:c r="Z47" s="117" t="str">
        <x:v>N/A</x:v>
      </x:c>
      <x:c r="AA47" s="120" t="n">
        <x:v>46189.96790509259</x:v>
      </x:c>
      <x:c r="AB47" s="117" t="str">
        <x:v>Mindy Bender</x:v>
      </x:c>
      <x:c r="AC47" s="119" t="str"/>
      <x:c r="AD47" s="119" t="str"/>
    </x:row>
    <x:row r="48" ht="34" customHeight="1">
      <x:c r="A48" s="117" t="str">
        <x:v>300Ro000007Dq0AIAS</x:v>
      </x:c>
      <x:c r="B48" s="117" t="str">
        <x:v>AvaTax_Opportunity_Automatic_Tax_Calculation_Flow</x:v>
      </x:c>
      <x:c r="C48" s="117" t="str">
        <x:v>AvaTax Opportunity - Automatic Tax Calculation Flow</x:v>
      </x:c>
      <x:c r="D48" s="117" t="str">
        <x:v>Yes</x:v>
      </x:c>
      <x:c r="E48" s="118" t="n">
        <x:v>6</x:v>
      </x:c>
      <x:c r="F48" s="118" t="n">
        <x:v>6</x:v>
      </x:c>
      <x:c r="G48" s="117" t="str">
        <x:v>Yes</x:v>
      </x:c>
      <x:c r="H48" s="119" t="str">
        <x:v>Active v6 (Tooling metadata)</x:v>
      </x:c>
      <x:c r="I48" s="117" t="str">
        <x:v>AutoLaunchedFlow</x:v>
      </x:c>
      <x:c r="J48" s="117" t="str">
        <x:v>Opportunity</x:v>
      </x:c>
      <x:c r="K48" s="117" t="str">
        <x:v>Yes</x:v>
      </x:c>
      <x:c r="L48" s="117" t="str">
        <x:v>CreateAndUpdate</x:v>
      </x:c>
      <x:c r="M48" s="117" t="str">
        <x:v>RecordAfterSave</x:v>
      </x:c>
      <x:c r="N48" s="117"/>
      <x:c r="O48" s="117"/>
      <x:c r="P48" s="117" t="str"/>
      <x:c r="Q48" s="117" t="n">
        <x:v>58</x:v>
      </x:c>
      <x:c r="R48" s="117" t="str">
        <x:v>installed</x:v>
      </x:c>
      <x:c r="S48" s="118" t="n">
        <x:v>2</x:v>
      </x:c>
      <x:c r="T48" s="118" t="n">
        <x:v>9</x:v>
      </x:c>
      <x:c r="U48" s="118" t="n">
        <x:v>3</x:v>
      </x:c>
      <x:c r="V48" s="118" t="n">
        <x:v>0</x:v>
      </x:c>
      <x:c r="W48" s="118" t="n">
        <x:v>2</x:v>
      </x:c>
      <x:c r="X48" s="118" t="n">
        <x:v>0</x:v>
      </x:c>
      <x:c r="Y48" s="118" t="n">
        <x:v>2</x:v>
      </x:c>
      <x:c r="Z48" s="117" t="str">
        <x:v>Strong</x:v>
      </x:c>
      <x:c r="AA48" s="120" t="n">
        <x:v>46189.96795138889</x:v>
      </x:c>
      <x:c r="AB48" s="117" t="str">
        <x:v>Mindy Bender</x:v>
      </x:c>
      <x:c r="AC48" s="119" t="str">
        <x:v>AvaTax Opportunity - Automatic Tax Calculation process using Check Automatic Tax Check Box criteria.</x:v>
      </x:c>
      <x:c r="AD48" s="119" t="str"/>
    </x:row>
    <x:row r="49" ht="34" customHeight="1">
      <x:c r="A49" s="117" t="str">
        <x:v>3004O000000LOrtQAG</x:v>
      </x:c>
      <x:c r="B49" s="117" t="str">
        <x:v>AvaTax_Opportunity_Existing_Update_Entity_Code_IOR</x:v>
      </x:c>
      <x:c r="C49" s="117" t="str">
        <x:v>AvaTax Opportunity Existing - Update Entity/Code, IOR</x:v>
      </x:c>
      <x:c r="D49" s="117" t="str">
        <x:v>No</x:v>
      </x:c>
      <x:c r="E49" s="118"/>
      <x:c r="F49" s="118" t="n">
        <x:v>4</x:v>
      </x:c>
      <x:c r="G49" s="117" t="str">
        <x:v>N/A</x:v>
      </x:c>
      <x:c r="H49" s="119" t="str">
        <x:v>Latest inactive v4 (Tooling metadata)</x:v>
      </x:c>
      <x:c r="I49" s="117" t="str">
        <x:v>Workflow</x:v>
      </x:c>
      <x:c r="J49" s="117" t="str"/>
      <x:c r="K49" s="117" t="str">
        <x:v>No</x:v>
      </x:c>
      <x:c r="L49" s="117" t="str"/>
      <x:c r="M49" s="117" t="str"/>
      <x:c r="N49" s="117"/>
      <x:c r="O49" s="117"/>
      <x:c r="P49" s="117" t="str"/>
      <x:c r="Q49" s="117" t="n">
        <x:v>49</x:v>
      </x:c>
      <x:c r="R49" s="117" t="str">
        <x:v>installed</x:v>
      </x:c>
      <x:c r="S49" s="118" t="n">
        <x:v>2</x:v>
      </x:c>
      <x:c r="T49" s="118" t="n">
        <x:v>3</x:v>
      </x:c>
      <x:c r="U49" s="118" t="n">
        <x:v>1</x:v>
      </x:c>
      <x:c r="V49" s="118" t="n">
        <x:v>0</x:v>
      </x:c>
      <x:c r="W49" s="118" t="n">
        <x:v>0</x:v>
      </x:c>
      <x:c r="X49" s="118" t="n">
        <x:v>0</x:v>
      </x:c>
      <x:c r="Y49" s="118" t="n">
        <x:v>1</x:v>
      </x:c>
      <x:c r="Z49" s="117" t="str">
        <x:v>N/A</x:v>
      </x:c>
      <x:c r="AA49" s="120" t="n">
        <x:v>46189.967465277776</x:v>
      </x:c>
      <x:c r="AB49" s="117" t="str">
        <x:v>Mindy Bender</x:v>
      </x:c>
      <x:c r="AC49" s="119" t="str"/>
      <x:c r="AD49" s="119" t="str"/>
    </x:row>
    <x:row r="50" ht="34" customHeight="1">
      <x:c r="A50" s="117" t="str">
        <x:v>300Ro000007DpzzIAC</x:v>
      </x:c>
      <x:c r="B50" s="117" t="str">
        <x:v>AvaTax_Opportunity_Existing_Update_Entity_Use_Code_IOR_Transport</x:v>
      </x:c>
      <x:c r="C50" s="117" t="str">
        <x:v>AvaTax Opportunity Existing - Update Entity Use Code, IOR,Transport</x:v>
      </x:c>
      <x:c r="D50" s="117" t="str">
        <x:v>Yes</x:v>
      </x:c>
      <x:c r="E50" s="118" t="n">
        <x:v>3</x:v>
      </x:c>
      <x:c r="F50" s="118" t="n">
        <x:v>3</x:v>
      </x:c>
      <x:c r="G50" s="117" t="str">
        <x:v>Yes</x:v>
      </x:c>
      <x:c r="H50" s="119" t="str">
        <x:v>Active v3 (Tooling metadata)</x:v>
      </x:c>
      <x:c r="I50" s="117" t="str">
        <x:v>AutoLaunchedFlow</x:v>
      </x:c>
      <x:c r="J50" s="117" t="str">
        <x:v>Opportunity</x:v>
      </x:c>
      <x:c r="K50" s="117" t="str">
        <x:v>Yes</x:v>
      </x:c>
      <x:c r="L50" s="117" t="str">
        <x:v>CreateAndUpdate</x:v>
      </x:c>
      <x:c r="M50" s="117" t="str">
        <x:v>RecordBeforeSave</x:v>
      </x:c>
      <x:c r="N50" s="117"/>
      <x:c r="O50" s="117"/>
      <x:c r="P50" s="117" t="str"/>
      <x:c r="Q50" s="117" t="n">
        <x:v>57</x:v>
      </x:c>
      <x:c r="R50" s="117" t="str">
        <x:v>installed</x:v>
      </x:c>
      <x:c r="S50" s="118" t="n">
        <x:v>1</x:v>
      </x:c>
      <x:c r="T50" s="118" t="n">
        <x:v>2</x:v>
      </x:c>
      <x:c r="U50" s="118" t="n">
        <x:v>1</x:v>
      </x:c>
      <x:c r="V50" s="118" t="n">
        <x:v>0</x:v>
      </x:c>
      <x:c r="W50" s="118" t="n">
        <x:v>0</x:v>
      </x:c>
      <x:c r="X50" s="118" t="n">
        <x:v>0</x:v>
      </x:c>
      <x:c r="Y50" s="118" t="n">
        <x:v>1</x:v>
      </x:c>
      <x:c r="Z50" s="117" t="str">
        <x:v>Review</x:v>
      </x:c>
      <x:c r="AA50" s="120" t="n">
        <x:v>45348.75791666667</x:v>
      </x:c>
      <x:c r="AB50" s="117" t="str">
        <x:v>Delegate</x:v>
      </x:c>
      <x:c r="AC50" s="119" t="str">
        <x:v>Update AvaTax Opportunity Entity Use Code, IOR,Transport</x:v>
      </x:c>
      <x:c r="AD50" s="119" t="str"/>
    </x:row>
    <x:row r="51" ht="34" customHeight="1">
      <x:c r="A51" s="117" t="str">
        <x:v>3004O000000LOruQAG</x:v>
      </x:c>
      <x:c r="B51" s="117" t="str">
        <x:v>AvaTax_Opportunity_New_Update_Entity_Code_IOR</x:v>
      </x:c>
      <x:c r="C51" s="117" t="str">
        <x:v>AvaTax Opportunity New - Update Entity/Code, IOR</x:v>
      </x:c>
      <x:c r="D51" s="117" t="str">
        <x:v>No</x:v>
      </x:c>
      <x:c r="E51" s="118"/>
      <x:c r="F51" s="118" t="n">
        <x:v>6</x:v>
      </x:c>
      <x:c r="G51" s="117" t="str">
        <x:v>N/A</x:v>
      </x:c>
      <x:c r="H51" s="119" t="str">
        <x:v>Latest inactive v6 (Tooling metadata)</x:v>
      </x:c>
      <x:c r="I51" s="117" t="str">
        <x:v>Workflow</x:v>
      </x:c>
      <x:c r="J51" s="117" t="str"/>
      <x:c r="K51" s="117" t="str">
        <x:v>No</x:v>
      </x:c>
      <x:c r="L51" s="117" t="str"/>
      <x:c r="M51" s="117" t="str"/>
      <x:c r="N51" s="117"/>
      <x:c r="O51" s="117"/>
      <x:c r="P51" s="117" t="str"/>
      <x:c r="Q51" s="117" t="n">
        <x:v>49</x:v>
      </x:c>
      <x:c r="R51" s="117" t="str">
        <x:v>installed</x:v>
      </x:c>
      <x:c r="S51" s="118" t="n">
        <x:v>2</x:v>
      </x:c>
      <x:c r="T51" s="118" t="n">
        <x:v>2</x:v>
      </x:c>
      <x:c r="U51" s="118" t="n">
        <x:v>1</x:v>
      </x:c>
      <x:c r="V51" s="118" t="n">
        <x:v>0</x:v>
      </x:c>
      <x:c r="W51" s="118" t="n">
        <x:v>0</x:v>
      </x:c>
      <x:c r="X51" s="118" t="n">
        <x:v>0</x:v>
      </x:c>
      <x:c r="Y51" s="118" t="n">
        <x:v>1</x:v>
      </x:c>
      <x:c r="Z51" s="117" t="str">
        <x:v>N/A</x:v>
      </x:c>
      <x:c r="AA51" s="120" t="n">
        <x:v>46189.967465277776</x:v>
      </x:c>
      <x:c r="AB51" s="117" t="str">
        <x:v>Mindy Bender</x:v>
      </x:c>
      <x:c r="AC51" s="119" t="str"/>
      <x:c r="AD51" s="119" t="str"/>
    </x:row>
    <x:row r="52" ht="34" customHeight="1">
      <x:c r="A52" s="117" t="str">
        <x:v>300Ro000007Dq00IAC</x:v>
      </x:c>
      <x:c r="B52" s="117" t="str">
        <x:v>AvaTax_Opportunity_New_Update_Entity_Code_IOR_Transport</x:v>
      </x:c>
      <x:c r="C52" s="117" t="str">
        <x:v>AvaTax Opportunity New - Update Entity/Code, IOR/Transport</x:v>
      </x:c>
      <x:c r="D52" s="117" t="str">
        <x:v>No</x:v>
      </x:c>
      <x:c r="E52" s="118"/>
      <x:c r="F52" s="118" t="n">
        <x:v>4</x:v>
      </x:c>
      <x:c r="G52" s="117" t="str">
        <x:v>N/A</x:v>
      </x:c>
      <x:c r="H52" s="119" t="str">
        <x:v>Latest inactive v4 (Tooling metadata)</x:v>
      </x:c>
      <x:c r="I52" s="117" t="str">
        <x:v>AutoLaunchedFlow</x:v>
      </x:c>
      <x:c r="J52" s="117" t="str">
        <x:v>Opportunity</x:v>
      </x:c>
      <x:c r="K52" s="117" t="str">
        <x:v>No</x:v>
      </x:c>
      <x:c r="L52" s="117" t="str">
        <x:v>Create</x:v>
      </x:c>
      <x:c r="M52" s="117" t="str">
        <x:v>RecordAfterSave</x:v>
      </x:c>
      <x:c r="N52" s="117"/>
      <x:c r="O52" s="117"/>
      <x:c r="P52" s="117" t="str"/>
      <x:c r="Q52" s="117" t="n">
        <x:v>58</x:v>
      </x:c>
      <x:c r="R52" s="117" t="str">
        <x:v>installed</x:v>
      </x:c>
      <x:c r="S52" s="118" t="n">
        <x:v>1</x:v>
      </x:c>
      <x:c r="T52" s="118" t="n">
        <x:v>2</x:v>
      </x:c>
      <x:c r="U52" s="118" t="n">
        <x:v>1</x:v>
      </x:c>
      <x:c r="V52" s="118" t="n">
        <x:v>0</x:v>
      </x:c>
      <x:c r="W52" s="118" t="n">
        <x:v>0</x:v>
      </x:c>
      <x:c r="X52" s="118" t="n">
        <x:v>0</x:v>
      </x:c>
      <x:c r="Y52" s="118" t="n">
        <x:v>1</x:v>
      </x:c>
      <x:c r="Z52" s="117" t="str">
        <x:v>N/A</x:v>
      </x:c>
      <x:c r="AA52" s="120" t="n">
        <x:v>46211.65991898148</x:v>
      </x:c>
      <x:c r="AB52" s="117" t="str">
        <x:v>Mindy Bender</x:v>
      </x:c>
      <x:c r="AC52" s="119" t="str">
        <x:v>AvaTax Opportunity New - Update Entity/Code, IOR process using Check Account ID criteria.</x:v>
      </x:c>
      <x:c r="AD52" s="119" t="str"/>
    </x:row>
    <x:row r="53" ht="34" customHeight="1">
      <x:c r="A53" s="117" t="str">
        <x:v>300Ro0000124QGrIAM</x:v>
      </x:c>
      <x:c r="B53" s="117" t="str">
        <x:v>AvaTax_Opportunity_New_Update_Entity_Code_IOR_Transport</x:v>
      </x:c>
      <x:c r="C53" s="117" t="str">
        <x:v>AvaTax Opportunity New - Update Entity/Code, IOR/Transport - V5</x:v>
      </x:c>
      <x:c r="D53" s="117" t="str">
        <x:v>Yes</x:v>
      </x:c>
      <x:c r="E53" s="118" t="n">
        <x:v>1</x:v>
      </x:c>
      <x:c r="F53" s="118" t="n">
        <x:v>1</x:v>
      </x:c>
      <x:c r="G53" s="117" t="str">
        <x:v>Yes</x:v>
      </x:c>
      <x:c r="H53" s="119" t="str">
        <x:v>Active v1 (Tooling metadata)</x:v>
      </x:c>
      <x:c r="I53" s="117" t="str">
        <x:v>AutoLaunchedFlow</x:v>
      </x:c>
      <x:c r="J53" s="117" t="str">
        <x:v>Opportunity</x:v>
      </x:c>
      <x:c r="K53" s="117" t="str">
        <x:v>Yes</x:v>
      </x:c>
      <x:c r="L53" s="117" t="str">
        <x:v>Create</x:v>
      </x:c>
      <x:c r="M53" s="117" t="str">
        <x:v>RecordAfterSave</x:v>
      </x:c>
      <x:c r="N53" s="117"/>
      <x:c r="O53" s="117"/>
      <x:c r="P53" s="117" t="str"/>
      <x:c r="Q53" s="117" t="n">
        <x:v>58</x:v>
      </x:c>
      <x:c r="R53" s="117" t="str">
        <x:v>unmanaged</x:v>
      </x:c>
      <x:c r="S53" s="118" t="n">
        <x:v>1</x:v>
      </x:c>
      <x:c r="T53" s="118" t="n">
        <x:v>2</x:v>
      </x:c>
      <x:c r="U53" s="118" t="n">
        <x:v>1</x:v>
      </x:c>
      <x:c r="V53" s="118" t="n">
        <x:v>0</x:v>
      </x:c>
      <x:c r="W53" s="118" t="n">
        <x:v>0</x:v>
      </x:c>
      <x:c r="X53" s="118" t="n">
        <x:v>0</x:v>
      </x:c>
      <x:c r="Y53" s="118" t="n">
        <x:v>1</x:v>
      </x:c>
      <x:c r="Z53" s="117" t="str">
        <x:v>Strong</x:v>
      </x:c>
      <x:c r="AA53" s="120" t="n">
        <x:v>46211.65987268519</x:v>
      </x:c>
      <x:c r="AB53" s="117" t="str">
        <x:v>Mindy Bender</x:v>
      </x:c>
      <x:c r="AC53" s="119" t="str">
        <x:v>Moved to run Asynchronously to ensure it doesn't error out when accounts are already updating</x:v>
      </x:c>
      <x:c r="AD53" s="119" t="str"/>
    </x:row>
    <x:row r="54" ht="34" customHeight="1">
      <x:c r="A54" s="117" t="str">
        <x:v>3004O000000LOrvQAG</x:v>
      </x:c>
      <x:c r="B54" s="117" t="str">
        <x:v>AvaTax_Opportunity_Product_Update_AvaTax_Product_Custom_Fields</x:v>
      </x:c>
      <x:c r="C54" s="117" t="str">
        <x:v>AvaTax Opportunity Product - Clear AvaTax Product Custom Fields</x:v>
      </x:c>
      <x:c r="D54" s="117" t="str">
        <x:v>No</x:v>
      </x:c>
      <x:c r="E54" s="118"/>
      <x:c r="F54" s="118" t="n">
        <x:v>3</x:v>
      </x:c>
      <x:c r="G54" s="117" t="str">
        <x:v>N/A</x:v>
      </x:c>
      <x:c r="H54" s="119" t="str">
        <x:v>Latest inactive v3 (Tooling metadata)</x:v>
      </x:c>
      <x:c r="I54" s="117" t="str">
        <x:v>Workflow</x:v>
      </x:c>
      <x:c r="J54" s="117" t="str"/>
      <x:c r="K54" s="117" t="str">
        <x:v>No</x:v>
      </x:c>
      <x:c r="L54" s="117" t="str"/>
      <x:c r="M54" s="117" t="str"/>
      <x:c r="N54" s="117"/>
      <x:c r="O54" s="117"/>
      <x:c r="P54" s="117" t="str"/>
      <x:c r="Q54" s="117" t="n">
        <x:v>49</x:v>
      </x:c>
      <x:c r="R54" s="117" t="str">
        <x:v>installed</x:v>
      </x:c>
      <x:c r="S54" s="118" t="n">
        <x:v>1</x:v>
      </x:c>
      <x:c r="T54" s="118" t="n">
        <x:v>2</x:v>
      </x:c>
      <x:c r="U54" s="118" t="n">
        <x:v>1</x:v>
      </x:c>
      <x:c r="V54" s="118" t="n">
        <x:v>0</x:v>
      </x:c>
      <x:c r="W54" s="118" t="n">
        <x:v>0</x:v>
      </x:c>
      <x:c r="X54" s="118" t="n">
        <x:v>0</x:v>
      </x:c>
      <x:c r="Y54" s="118" t="n">
        <x:v>1</x:v>
      </x:c>
      <x:c r="Z54" s="117" t="str">
        <x:v>N/A</x:v>
      </x:c>
      <x:c r="AA54" s="120" t="n">
        <x:v>45070.736921296295</x:v>
      </x:c>
      <x:c r="AB54" s="117" t="str">
        <x:v>Delegate</x:v>
      </x:c>
      <x:c r="AC54" s="119" t="str"/>
      <x:c r="AD54" s="119" t="str"/>
    </x:row>
    <x:row r="55" ht="34" customHeight="1">
      <x:c r="A55" s="117" t="str">
        <x:v>3004O000000LOrwQAG</x:v>
      </x:c>
      <x:c r="B55" s="117" t="str">
        <x:v>AvaTax_Opportunity_Update_AvaTax_Custom_Fields</x:v>
      </x:c>
      <x:c r="C55" s="117" t="str">
        <x:v>AvaTax Opportunity - Clear Header AvaTax Custom Fields</x:v>
      </x:c>
      <x:c r="D55" s="117" t="str">
        <x:v>No</x:v>
      </x:c>
      <x:c r="E55" s="118"/>
      <x:c r="F55" s="118" t="n">
        <x:v>6</x:v>
      </x:c>
      <x:c r="G55" s="117" t="str">
        <x:v>N/A</x:v>
      </x:c>
      <x:c r="H55" s="119" t="str">
        <x:v>Latest inactive v6 (Tooling metadata)</x:v>
      </x:c>
      <x:c r="I55" s="117" t="str">
        <x:v>Workflow</x:v>
      </x:c>
      <x:c r="J55" s="117" t="str"/>
      <x:c r="K55" s="117" t="str">
        <x:v>No</x:v>
      </x:c>
      <x:c r="L55" s="117" t="str"/>
      <x:c r="M55" s="117" t="str"/>
      <x:c r="N55" s="117"/>
      <x:c r="O55" s="117"/>
      <x:c r="P55" s="117" t="str"/>
      <x:c r="Q55" s="117" t="n">
        <x:v>49</x:v>
      </x:c>
      <x:c r="R55" s="117" t="str">
        <x:v>installed</x:v>
      </x:c>
      <x:c r="S55" s="118" t="n">
        <x:v>1</x:v>
      </x:c>
      <x:c r="T55" s="118" t="n">
        <x:v>2</x:v>
      </x:c>
      <x:c r="U55" s="118" t="n">
        <x:v>1</x:v>
      </x:c>
      <x:c r="V55" s="118" t="n">
        <x:v>0</x:v>
      </x:c>
      <x:c r="W55" s="118" t="n">
        <x:v>0</x:v>
      </x:c>
      <x:c r="X55" s="118" t="n">
        <x:v>0</x:v>
      </x:c>
      <x:c r="Y55" s="118" t="n">
        <x:v>1</x:v>
      </x:c>
      <x:c r="Z55" s="117" t="str">
        <x:v>N/A</x:v>
      </x:c>
      <x:c r="AA55" s="120" t="n">
        <x:v>45070.736921296295</x:v>
      </x:c>
      <x:c r="AB55" s="117" t="str">
        <x:v>Delegate</x:v>
      </x:c>
      <x:c r="AC55" s="119" t="str"/>
      <x:c r="AD55" s="119" t="str"/>
    </x:row>
    <x:row r="56" ht="34" customHeight="1">
      <x:c r="A56" s="117" t="str">
        <x:v>300Ro000007Dq01IAC</x:v>
      </x:c>
      <x:c r="B56" s="117" t="str">
        <x:v>AvaTax_Opportunity_Update_AvaTax_Message_and_Status</x:v>
      </x:c>
      <x:c r="C56" s="117" t="str">
        <x:v>AvaTax Opportunity-Update AvaTax Message and Status</x:v>
      </x:c>
      <x:c r="D56" s="117" t="str">
        <x:v>Yes</x:v>
      </x:c>
      <x:c r="E56" s="118" t="n">
        <x:v>1</x:v>
      </x:c>
      <x:c r="F56" s="118" t="n">
        <x:v>1</x:v>
      </x:c>
      <x:c r="G56" s="117" t="str">
        <x:v>Yes</x:v>
      </x:c>
      <x:c r="H56" s="119" t="str">
        <x:v>Active v1 (Tooling metadata)</x:v>
      </x:c>
      <x:c r="I56" s="117" t="str">
        <x:v>AutoLaunchedFlow</x:v>
      </x:c>
      <x:c r="J56" s="117" t="str">
        <x:v>Opportunity</x:v>
      </x:c>
      <x:c r="K56" s="117" t="str">
        <x:v>Yes</x:v>
      </x:c>
      <x:c r="L56" s="117" t="str">
        <x:v>CreateAndUpdate</x:v>
      </x:c>
      <x:c r="M56" s="117" t="str">
        <x:v>RecordBeforeSave</x:v>
      </x:c>
      <x:c r="N56" s="117"/>
      <x:c r="O56" s="117"/>
      <x:c r="P56" s="117" t="str"/>
      <x:c r="Q56" s="117" t="n">
        <x:v>57</x:v>
      </x:c>
      <x:c r="R56" s="117" t="str">
        <x:v>installed</x:v>
      </x:c>
      <x:c r="S56" s="118" t="n">
        <x:v>1</x:v>
      </x:c>
      <x:c r="T56" s="118" t="n">
        <x:v>2</x:v>
      </x:c>
      <x:c r="U56" s="118" t="n">
        <x:v>1</x:v>
      </x:c>
      <x:c r="V56" s="118" t="n">
        <x:v>0</x:v>
      </x:c>
      <x:c r="W56" s="118" t="n">
        <x:v>0</x:v>
      </x:c>
      <x:c r="X56" s="118" t="n">
        <x:v>0</x:v>
      </x:c>
      <x:c r="Y56" s="118" t="n">
        <x:v>1</x:v>
      </x:c>
      <x:c r="Z56" s="117" t="str">
        <x:v>Review</x:v>
      </x:c>
      <x:c r="AA56" s="120" t="n">
        <x:v>45348.75792824074</x:v>
      </x:c>
      <x:c r="AB56" s="117" t="str">
        <x:v>Delegate</x:v>
      </x:c>
      <x:c r="AC56" s="119" t="str"/>
      <x:c r="AD56" s="119" t="str">
        <x:v>Active flow has no description</x:v>
      </x:c>
    </x:row>
    <x:row r="57" ht="34" customHeight="1">
      <x:c r="A57" s="117" t="str">
        <x:v>3004O000000LOrxQAG</x:v>
      </x:c>
      <x:c r="B57" s="117" t="str">
        <x:v>AvaTax_Opportunity_Update_AvaTax_Message_Status</x:v>
      </x:c>
      <x:c r="C57" s="117" t="str">
        <x:v>AvaTax Opportunity - Update AvaTax Message &amp; Status</x:v>
      </x:c>
      <x:c r="D57" s="117" t="str">
        <x:v>No</x:v>
      </x:c>
      <x:c r="E57" s="118"/>
      <x:c r="F57" s="118" t="n">
        <x:v>4</x:v>
      </x:c>
      <x:c r="G57" s="117" t="str">
        <x:v>N/A</x:v>
      </x:c>
      <x:c r="H57" s="119" t="str">
        <x:v>Latest inactive v4 (Tooling metadata)</x:v>
      </x:c>
      <x:c r="I57" s="117" t="str">
        <x:v>Workflow</x:v>
      </x:c>
      <x:c r="J57" s="117" t="str"/>
      <x:c r="K57" s="117" t="str">
        <x:v>No</x:v>
      </x:c>
      <x:c r="L57" s="117" t="str"/>
      <x:c r="M57" s="117" t="str"/>
      <x:c r="N57" s="117"/>
      <x:c r="O57" s="117"/>
      <x:c r="P57" s="117" t="str"/>
      <x:c r="Q57" s="117" t="n">
        <x:v>49</x:v>
      </x:c>
      <x:c r="R57" s="117" t="str">
        <x:v>installed</x:v>
      </x:c>
      <x:c r="S57" s="118" t="n">
        <x:v>2</x:v>
      </x:c>
      <x:c r="T57" s="118" t="n">
        <x:v>13</x:v>
      </x:c>
      <x:c r="U57" s="118" t="n">
        <x:v>1</x:v>
      </x:c>
      <x:c r="V57" s="118" t="n">
        <x:v>0</x:v>
      </x:c>
      <x:c r="W57" s="118" t="n">
        <x:v>0</x:v>
      </x:c>
      <x:c r="X57" s="118" t="n">
        <x:v>0</x:v>
      </x:c>
      <x:c r="Y57" s="118" t="n">
        <x:v>1</x:v>
      </x:c>
      <x:c r="Z57" s="117" t="str">
        <x:v>N/A</x:v>
      </x:c>
      <x:c r="AA57" s="120" t="n">
        <x:v>45435.60743055555</x:v>
      </x:c>
      <x:c r="AB57" s="117" t="str">
        <x:v>Delegate</x:v>
      </x:c>
      <x:c r="AC57" s="119" t="str"/>
      <x:c r="AD57" s="119" t="str"/>
    </x:row>
    <x:row r="58" ht="34" customHeight="1">
      <x:c r="A58" s="117" t="str">
        <x:v>3004O000000LOryQAG</x:v>
      </x:c>
      <x:c r="B58" s="117" t="str">
        <x:v>AvaTax_Order_Automatic_Tax_Calculation</x:v>
      </x:c>
      <x:c r="C58" s="117" t="str">
        <x:v>AvaTax Order - Automatic Tax Calculation</x:v>
      </x:c>
      <x:c r="D58" s="117" t="str">
        <x:v>No</x:v>
      </x:c>
      <x:c r="E58" s="118"/>
      <x:c r="F58" s="118" t="n">
        <x:v>7</x:v>
      </x:c>
      <x:c r="G58" s="117" t="str">
        <x:v>N/A</x:v>
      </x:c>
      <x:c r="H58" s="119" t="str">
        <x:v>Latest inactive v7 (Tooling metadata)</x:v>
      </x:c>
      <x:c r="I58" s="117" t="str">
        <x:v>Workflow</x:v>
      </x:c>
      <x:c r="J58" s="117" t="str"/>
      <x:c r="K58" s="117" t="str">
        <x:v>No</x:v>
      </x:c>
      <x:c r="L58" s="117" t="str"/>
      <x:c r="M58" s="117" t="str"/>
      <x:c r="N58" s="117"/>
      <x:c r="O58" s="117"/>
      <x:c r="P58" s="117" t="str"/>
      <x:c r="Q58" s="117" t="n">
        <x:v>49</x:v>
      </x:c>
      <x:c r="R58" s="117" t="str">
        <x:v>installed</x:v>
      </x:c>
      <x:c r="S58" s="118" t="n">
        <x:v>2</x:v>
      </x:c>
      <x:c r="T58" s="118" t="n">
        <x:v>6</x:v>
      </x:c>
      <x:c r="U58" s="118" t="n">
        <x:v>1</x:v>
      </x:c>
      <x:c r="V58" s="118" t="n">
        <x:v>0</x:v>
      </x:c>
      <x:c r="W58" s="118" t="n">
        <x:v>2</x:v>
      </x:c>
      <x:c r="X58" s="118" t="n">
        <x:v>0</x:v>
      </x:c>
      <x:c r="Y58" s="118" t="n">
        <x:v>1</x:v>
      </x:c>
      <x:c r="Z58" s="117" t="str">
        <x:v>N/A</x:v>
      </x:c>
      <x:c r="AA58" s="120" t="n">
        <x:v>46189.96797453704</x:v>
      </x:c>
      <x:c r="AB58" s="117" t="str">
        <x:v>Mindy Bender</x:v>
      </x:c>
      <x:c r="AC58" s="119" t="str">
        <x:v>This process builder is used to set the message and status in the AvaTax Custom fields for the automatic tax calculation</x:v>
      </x:c>
      <x:c r="AD58" s="119" t="str"/>
    </x:row>
    <x:row r="59" ht="34" customHeight="1">
      <x:c r="A59" s="117" t="str">
        <x:v>300Ro000007Dq0BIAS</x:v>
      </x:c>
      <x:c r="B59" s="117" t="str">
        <x:v>AvaTax_Order_Automatic_Tax_Calculation_Flow</x:v>
      </x:c>
      <x:c r="C59" s="117" t="str">
        <x:v>AvaTax Order - Automatic Tax Calculation Flow</x:v>
      </x:c>
      <x:c r="D59" s="117" t="str">
        <x:v>Yes</x:v>
      </x:c>
      <x:c r="E59" s="118" t="n">
        <x:v>6</x:v>
      </x:c>
      <x:c r="F59" s="118" t="n">
        <x:v>6</x:v>
      </x:c>
      <x:c r="G59" s="117" t="str">
        <x:v>Yes</x:v>
      </x:c>
      <x:c r="H59" s="119" t="str">
        <x:v>Active v6 (Tooling metadata)</x:v>
      </x:c>
      <x:c r="I59" s="117" t="str">
        <x:v>AutoLaunchedFlow</x:v>
      </x:c>
      <x:c r="J59" s="117" t="str">
        <x:v>Order</x:v>
      </x:c>
      <x:c r="K59" s="117" t="str">
        <x:v>Yes</x:v>
      </x:c>
      <x:c r="L59" s="117" t="str">
        <x:v>CreateAndUpdate</x:v>
      </x:c>
      <x:c r="M59" s="117" t="str">
        <x:v>RecordAfterSave</x:v>
      </x:c>
      <x:c r="N59" s="117"/>
      <x:c r="O59" s="117"/>
      <x:c r="P59" s="117" t="str"/>
      <x:c r="Q59" s="117" t="n">
        <x:v>58</x:v>
      </x:c>
      <x:c r="R59" s="117" t="str">
        <x:v>installed</x:v>
      </x:c>
      <x:c r="S59" s="118" t="n">
        <x:v>2</x:v>
      </x:c>
      <x:c r="T59" s="118" t="n">
        <x:v>16</x:v>
      </x:c>
      <x:c r="U59" s="118" t="n">
        <x:v>3</x:v>
      </x:c>
      <x:c r="V59" s="118" t="n">
        <x:v>0</x:v>
      </x:c>
      <x:c r="W59" s="118" t="n">
        <x:v>4</x:v>
      </x:c>
      <x:c r="X59" s="118" t="n">
        <x:v>0</x:v>
      </x:c>
      <x:c r="Y59" s="118" t="n">
        <x:v>3</x:v>
      </x:c>
      <x:c r="Z59" s="117" t="str">
        <x:v>Isolated lane</x:v>
      </x:c>
      <x:c r="AA59" s="120" t="n">
        <x:v>46189.967986111114</x:v>
      </x:c>
      <x:c r="AB59" s="117" t="str">
        <x:v>Mindy Bender</x:v>
      </x:c>
      <x:c r="AC59" s="119" t="str">
        <x:v>AvaTax Order - Automatic Tax Calculation process using multiple criteria.
This process builder is used to set the message and status in the AvaTax Custom fields for the automatic tax calculation</x:v>
      </x:c>
      <x:c r="AD59" s="119" t="str"/>
    </x:row>
    <x:row r="60" ht="34" customHeight="1">
      <x:c r="A60" s="117" t="str">
        <x:v>3004O000000LOrzQAG</x:v>
      </x:c>
      <x:c r="B60" s="117" t="str">
        <x:v>AvaTax_Order_Clear_Header_AvaTax_Custom_Fields</x:v>
      </x:c>
      <x:c r="C60" s="117" t="str">
        <x:v>AvaTax Order - Clear Header AvaTax Custom Fields</x:v>
      </x:c>
      <x:c r="D60" s="117" t="str">
        <x:v>No</x:v>
      </x:c>
      <x:c r="E60" s="118"/>
      <x:c r="F60" s="118" t="n">
        <x:v>3</x:v>
      </x:c>
      <x:c r="G60" s="117" t="str">
        <x:v>N/A</x:v>
      </x:c>
      <x:c r="H60" s="119" t="str">
        <x:v>Latest inactive v3 (Tooling metadata)</x:v>
      </x:c>
      <x:c r="I60" s="117" t="str">
        <x:v>Workflow</x:v>
      </x:c>
      <x:c r="J60" s="117" t="str"/>
      <x:c r="K60" s="117" t="str">
        <x:v>No</x:v>
      </x:c>
      <x:c r="L60" s="117" t="str"/>
      <x:c r="M60" s="117" t="str"/>
      <x:c r="N60" s="117"/>
      <x:c r="O60" s="117"/>
      <x:c r="P60" s="117" t="str"/>
      <x:c r="Q60" s="117" t="n">
        <x:v>49</x:v>
      </x:c>
      <x:c r="R60" s="117" t="str">
        <x:v>installed</x:v>
      </x:c>
      <x:c r="S60" s="118" t="n">
        <x:v>1</x:v>
      </x:c>
      <x:c r="T60" s="118" t="n">
        <x:v>2</x:v>
      </x:c>
      <x:c r="U60" s="118" t="n">
        <x:v>1</x:v>
      </x:c>
      <x:c r="V60" s="118" t="n">
        <x:v>0</x:v>
      </x:c>
      <x:c r="W60" s="118" t="n">
        <x:v>0</x:v>
      </x:c>
      <x:c r="X60" s="118" t="n">
        <x:v>0</x:v>
      </x:c>
      <x:c r="Y60" s="118" t="n">
        <x:v>1</x:v>
      </x:c>
      <x:c r="Z60" s="117" t="str">
        <x:v>N/A</x:v>
      </x:c>
      <x:c r="AA60" s="120" t="n">
        <x:v>45070.73695601852</x:v>
      </x:c>
      <x:c r="AB60" s="117" t="str">
        <x:v>Delegate</x:v>
      </x:c>
      <x:c r="AC60" s="119" t="str">
        <x:v>This process builder is used to clear the AvaTax custom fields while cloning the transaction</x:v>
      </x:c>
      <x:c r="AD60" s="119" t="str"/>
    </x:row>
    <x:row r="61" ht="34" customHeight="1">
      <x:c r="A61" s="117" t="str">
        <x:v>3004O000000LOs0QAG</x:v>
      </x:c>
      <x:c r="B61" s="117" t="str">
        <x:v>AvaTax_Order_Copy_Origin_Data</x:v>
      </x:c>
      <x:c r="C61" s="117" t="str">
        <x:v>AvaTax Order - Update Origin Address</x:v>
      </x:c>
      <x:c r="D61" s="117" t="str">
        <x:v>No</x:v>
      </x:c>
      <x:c r="E61" s="118"/>
      <x:c r="F61" s="118" t="n">
        <x:v>2</x:v>
      </x:c>
      <x:c r="G61" s="117" t="str">
        <x:v>N/A</x:v>
      </x:c>
      <x:c r="H61" s="119" t="str">
        <x:v>Latest inactive v2 (Tooling metadata)</x:v>
      </x:c>
      <x:c r="I61" s="117" t="str">
        <x:v>Workflow</x:v>
      </x:c>
      <x:c r="J61" s="117" t="str"/>
      <x:c r="K61" s="117" t="str">
        <x:v>No</x:v>
      </x:c>
      <x:c r="L61" s="117" t="str"/>
      <x:c r="M61" s="117" t="str"/>
      <x:c r="N61" s="117"/>
      <x:c r="O61" s="117"/>
      <x:c r="P61" s="117" t="str"/>
      <x:c r="Q61" s="117" t="n">
        <x:v>49</x:v>
      </x:c>
      <x:c r="R61" s="117" t="str">
        <x:v>installed</x:v>
      </x:c>
      <x:c r="S61" s="118" t="n">
        <x:v>1</x:v>
      </x:c>
      <x:c r="T61" s="118" t="n">
        <x:v>4</x:v>
      </x:c>
      <x:c r="U61" s="118" t="n">
        <x:v>1</x:v>
      </x:c>
      <x:c r="V61" s="118" t="n">
        <x:v>0</x:v>
      </x:c>
      <x:c r="W61" s="118" t="n">
        <x:v>0</x:v>
      </x:c>
      <x:c r="X61" s="118" t="n">
        <x:v>0</x:v>
      </x:c>
      <x:c r="Y61" s="118" t="n">
        <x:v>1</x:v>
      </x:c>
      <x:c r="Z61" s="117" t="str">
        <x:v>N/A</x:v>
      </x:c>
      <x:c r="AA61" s="120" t="n">
        <x:v>45070.73695601852</x:v>
      </x:c>
      <x:c r="AB61" s="117" t="str">
        <x:v>Delegate</x:v>
      </x:c>
      <x:c r="AC61" s="119" t="str"/>
      <x:c r="AD61" s="119" t="str"/>
    </x:row>
    <x:row r="62" ht="34" customHeight="1">
      <x:c r="A62" s="117" t="str">
        <x:v>3004O000000LOs1QAG</x:v>
      </x:c>
      <x:c r="B62" s="117" t="str">
        <x:v>AvaTax_Order_Existing_Update_Entity_Code_IOR</x:v>
      </x:c>
      <x:c r="C62" s="117" t="str">
        <x:v>AvaTax Order Existing - Update Entity/Code, IOR</x:v>
      </x:c>
      <x:c r="D62" s="117" t="str">
        <x:v>No</x:v>
      </x:c>
      <x:c r="E62" s="118"/>
      <x:c r="F62" s="118" t="n">
        <x:v>3</x:v>
      </x:c>
      <x:c r="G62" s="117" t="str">
        <x:v>N/A</x:v>
      </x:c>
      <x:c r="H62" s="119" t="str">
        <x:v>Latest inactive v3 (Tooling metadata)</x:v>
      </x:c>
      <x:c r="I62" s="117" t="str">
        <x:v>Workflow</x:v>
      </x:c>
      <x:c r="J62" s="117" t="str"/>
      <x:c r="K62" s="117" t="str">
        <x:v>No</x:v>
      </x:c>
      <x:c r="L62" s="117" t="str"/>
      <x:c r="M62" s="117" t="str"/>
      <x:c r="N62" s="117"/>
      <x:c r="O62" s="117"/>
      <x:c r="P62" s="117" t="str"/>
      <x:c r="Q62" s="117" t="n">
        <x:v>49</x:v>
      </x:c>
      <x:c r="R62" s="117" t="str">
        <x:v>installed</x:v>
      </x:c>
      <x:c r="S62" s="118" t="n">
        <x:v>2</x:v>
      </x:c>
      <x:c r="T62" s="118" t="n">
        <x:v>3</x:v>
      </x:c>
      <x:c r="U62" s="118" t="n">
        <x:v>1</x:v>
      </x:c>
      <x:c r="V62" s="118" t="n">
        <x:v>0</x:v>
      </x:c>
      <x:c r="W62" s="118" t="n">
        <x:v>0</x:v>
      </x:c>
      <x:c r="X62" s="118" t="n">
        <x:v>0</x:v>
      </x:c>
      <x:c r="Y62" s="118" t="n">
        <x:v>1</x:v>
      </x:c>
      <x:c r="Z62" s="117" t="str">
        <x:v>N/A</x:v>
      </x:c>
      <x:c r="AA62" s="120" t="n">
        <x:v>46189.96748842593</x:v>
      </x:c>
      <x:c r="AB62" s="117" t="str">
        <x:v>Mindy Bender</x:v>
      </x:c>
      <x:c r="AC62" s="119" t="str"/>
      <x:c r="AD62" s="119" t="str"/>
    </x:row>
    <x:row r="63" ht="34" customHeight="1">
      <x:c r="A63" s="117" t="str">
        <x:v>300Ro000007Dq02IAC</x:v>
      </x:c>
      <x:c r="B63" s="117" t="str">
        <x:v>AvaTax_Order_Existing_Update_Entity_Code_IOR_Transport</x:v>
      </x:c>
      <x:c r="C63" s="117" t="str">
        <x:v>AvaTax Order Existing - Update Entity/Code,IOR,Transport</x:v>
      </x:c>
      <x:c r="D63" s="117" t="str">
        <x:v>Yes</x:v>
      </x:c>
      <x:c r="E63" s="118" t="n">
        <x:v>1</x:v>
      </x:c>
      <x:c r="F63" s="118" t="n">
        <x:v>1</x:v>
      </x:c>
      <x:c r="G63" s="117" t="str">
        <x:v>Yes</x:v>
      </x:c>
      <x:c r="H63" s="119" t="str">
        <x:v>Active v1 (Tooling metadata)</x:v>
      </x:c>
      <x:c r="I63" s="117" t="str">
        <x:v>AutoLaunchedFlow</x:v>
      </x:c>
      <x:c r="J63" s="117" t="str">
        <x:v>Order</x:v>
      </x:c>
      <x:c r="K63" s="117" t="str">
        <x:v>Yes</x:v>
      </x:c>
      <x:c r="L63" s="117" t="str">
        <x:v>CreateAndUpdate</x:v>
      </x:c>
      <x:c r="M63" s="117" t="str">
        <x:v>RecordBeforeSave</x:v>
      </x:c>
      <x:c r="N63" s="117"/>
      <x:c r="O63" s="117"/>
      <x:c r="P63" s="117" t="str"/>
      <x:c r="Q63" s="117" t="n">
        <x:v>58</x:v>
      </x:c>
      <x:c r="R63" s="117" t="str">
        <x:v>installed</x:v>
      </x:c>
      <x:c r="S63" s="118" t="n">
        <x:v>1</x:v>
      </x:c>
      <x:c r="T63" s="118" t="n">
        <x:v>2</x:v>
      </x:c>
      <x:c r="U63" s="118" t="n">
        <x:v>1</x:v>
      </x:c>
      <x:c r="V63" s="118" t="n">
        <x:v>0</x:v>
      </x:c>
      <x:c r="W63" s="118" t="n">
        <x:v>0</x:v>
      </x:c>
      <x:c r="X63" s="118" t="n">
        <x:v>0</x:v>
      </x:c>
      <x:c r="Y63" s="118" t="n">
        <x:v>1</x:v>
      </x:c>
      <x:c r="Z63" s="117" t="str">
        <x:v>Review</x:v>
      </x:c>
      <x:c r="AA63" s="120" t="n">
        <x:v>45348.757939814815</x:v>
      </x:c>
      <x:c r="AB63" s="117" t="str">
        <x:v>Delegate</x:v>
      </x:c>
      <x:c r="AC63" s="119" t="str">
        <x:v>Updating Order Existing/New - Update Entity/Code,IOR,Transport</x:v>
      </x:c>
      <x:c r="AD63" s="119" t="str"/>
    </x:row>
    <x:row r="64" ht="34" customHeight="1">
      <x:c r="A64" s="117" t="str">
        <x:v>3004O000000LOs2QAG</x:v>
      </x:c>
      <x:c r="B64" s="117" t="str">
        <x:v>AvaTax_Order_New_Update_Entity_Use_Code_IOR</x:v>
      </x:c>
      <x:c r="C64" s="117" t="str">
        <x:v>AvaTax Order New - Update Entity/Use Code, IOR</x:v>
      </x:c>
      <x:c r="D64" s="117" t="str">
        <x:v>No</x:v>
      </x:c>
      <x:c r="E64" s="118"/>
      <x:c r="F64" s="118" t="n">
        <x:v>3</x:v>
      </x:c>
      <x:c r="G64" s="117" t="str">
        <x:v>N/A</x:v>
      </x:c>
      <x:c r="H64" s="119" t="str">
        <x:v>Latest inactive v3 (Tooling metadata)</x:v>
      </x:c>
      <x:c r="I64" s="117" t="str">
        <x:v>Workflow</x:v>
      </x:c>
      <x:c r="J64" s="117" t="str"/>
      <x:c r="K64" s="117" t="str">
        <x:v>No</x:v>
      </x:c>
      <x:c r="L64" s="117" t="str"/>
      <x:c r="M64" s="117" t="str"/>
      <x:c r="N64" s="117"/>
      <x:c r="O64" s="117"/>
      <x:c r="P64" s="117" t="str"/>
      <x:c r="Q64" s="117" t="n">
        <x:v>49</x:v>
      </x:c>
      <x:c r="R64" s="117" t="str">
        <x:v>installed</x:v>
      </x:c>
      <x:c r="S64" s="118" t="n">
        <x:v>2</x:v>
      </x:c>
      <x:c r="T64" s="118" t="n">
        <x:v>2</x:v>
      </x:c>
      <x:c r="U64" s="118" t="n">
        <x:v>1</x:v>
      </x:c>
      <x:c r="V64" s="118" t="n">
        <x:v>0</x:v>
      </x:c>
      <x:c r="W64" s="118" t="n">
        <x:v>0</x:v>
      </x:c>
      <x:c r="X64" s="118" t="n">
        <x:v>0</x:v>
      </x:c>
      <x:c r="Y64" s="118" t="n">
        <x:v>1</x:v>
      </x:c>
      <x:c r="Z64" s="117" t="str">
        <x:v>N/A</x:v>
      </x:c>
      <x:c r="AA64" s="120" t="n">
        <x:v>46189.96748842593</x:v>
      </x:c>
      <x:c r="AB64" s="117" t="str">
        <x:v>Mindy Bender</x:v>
      </x:c>
      <x:c r="AC64" s="119" t="str"/>
      <x:c r="AD64" s="119" t="str"/>
    </x:row>
    <x:row r="65" ht="34" customHeight="1">
      <x:c r="A65" s="117" t="str">
        <x:v>300Ro000007Dq03IAC</x:v>
      </x:c>
      <x:c r="B65" s="117" t="str">
        <x:v>AvaTax_Order_New_Update_Entity_Use_Code_IOR_Transport_Flow</x:v>
      </x:c>
      <x:c r="C65" s="117" t="str">
        <x:v>AvaTax Order New - Update Entity/Use Code, IOR,Transport Flow</x:v>
      </x:c>
      <x:c r="D65" s="117" t="str">
        <x:v>Yes</x:v>
      </x:c>
      <x:c r="E65" s="118" t="n">
        <x:v>3</x:v>
      </x:c>
      <x:c r="F65" s="118" t="n">
        <x:v>3</x:v>
      </x:c>
      <x:c r="G65" s="117" t="str">
        <x:v>Yes</x:v>
      </x:c>
      <x:c r="H65" s="119" t="str">
        <x:v>Active v3 (Tooling metadata)</x:v>
      </x:c>
      <x:c r="I65" s="117" t="str">
        <x:v>AutoLaunchedFlow</x:v>
      </x:c>
      <x:c r="J65" s="117" t="str">
        <x:v>Order</x:v>
      </x:c>
      <x:c r="K65" s="117" t="str">
        <x:v>Yes</x:v>
      </x:c>
      <x:c r="L65" s="117" t="str">
        <x:v>Create</x:v>
      </x:c>
      <x:c r="M65" s="117" t="str">
        <x:v>RecordAfterSave</x:v>
      </x:c>
      <x:c r="N65" s="117"/>
      <x:c r="O65" s="117"/>
      <x:c r="P65" s="117" t="str"/>
      <x:c r="Q65" s="117" t="n">
        <x:v>58</x:v>
      </x:c>
      <x:c r="R65" s="117" t="str">
        <x:v>installed</x:v>
      </x:c>
      <x:c r="S65" s="118" t="n">
        <x:v>1</x:v>
      </x:c>
      <x:c r="T65" s="118" t="n">
        <x:v>2</x:v>
      </x:c>
      <x:c r="U65" s="118" t="n">
        <x:v>1</x:v>
      </x:c>
      <x:c r="V65" s="118" t="n">
        <x:v>0</x:v>
      </x:c>
      <x:c r="W65" s="118" t="n">
        <x:v>0</x:v>
      </x:c>
      <x:c r="X65" s="118" t="n">
        <x:v>0</x:v>
      </x:c>
      <x:c r="Y65" s="118" t="n">
        <x:v>1</x:v>
      </x:c>
      <x:c r="Z65" s="117" t="str">
        <x:v>Review</x:v>
      </x:c>
      <x:c r="AA65" s="120" t="n">
        <x:v>45348.75795138889</x:v>
      </x:c>
      <x:c r="AB65" s="117" t="str">
        <x:v>Delegate</x:v>
      </x:c>
      <x:c r="AC65" s="119" t="str">
        <x:v>Update AvaTax Order New - Update Entity/Use Code, IOR</x:v>
      </x:c>
      <x:c r="AD65" s="119" t="str"/>
    </x:row>
    <x:row r="66" ht="34" customHeight="1">
      <x:c r="A66" s="117" t="str">
        <x:v>3004O000000LOs3QAG</x:v>
      </x:c>
      <x:c r="B66" s="117" t="str">
        <x:v>AvaTax_Order_Product_Clear_Product_AvaTax_Custom_Fields</x:v>
      </x:c>
      <x:c r="C66" s="117" t="str">
        <x:v>AvaTax Order Product - Clear Product AvaTax Custom Fields</x:v>
      </x:c>
      <x:c r="D66" s="117" t="str">
        <x:v>No</x:v>
      </x:c>
      <x:c r="E66" s="118"/>
      <x:c r="F66" s="118" t="n">
        <x:v>2</x:v>
      </x:c>
      <x:c r="G66" s="117" t="str">
        <x:v>N/A</x:v>
      </x:c>
      <x:c r="H66" s="119" t="str">
        <x:v>Latest inactive v2 (Tooling metadata)</x:v>
      </x:c>
      <x:c r="I66" s="117" t="str">
        <x:v>Workflow</x:v>
      </x:c>
      <x:c r="J66" s="117" t="str"/>
      <x:c r="K66" s="117" t="str">
        <x:v>No</x:v>
      </x:c>
      <x:c r="L66" s="117" t="str"/>
      <x:c r="M66" s="117" t="str"/>
      <x:c r="N66" s="117"/>
      <x:c r="O66" s="117"/>
      <x:c r="P66" s="117" t="str"/>
      <x:c r="Q66" s="117" t="n">
        <x:v>49</x:v>
      </x:c>
      <x:c r="R66" s="117" t="str">
        <x:v>installed</x:v>
      </x:c>
      <x:c r="S66" s="118" t="n">
        <x:v>1</x:v>
      </x:c>
      <x:c r="T66" s="118" t="n">
        <x:v>2</x:v>
      </x:c>
      <x:c r="U66" s="118" t="n">
        <x:v>1</x:v>
      </x:c>
      <x:c r="V66" s="118" t="n">
        <x:v>0</x:v>
      </x:c>
      <x:c r="W66" s="118" t="n">
        <x:v>0</x:v>
      </x:c>
      <x:c r="X66" s="118" t="n">
        <x:v>0</x:v>
      </x:c>
      <x:c r="Y66" s="118" t="n">
        <x:v>1</x:v>
      </x:c>
      <x:c r="Z66" s="117" t="str">
        <x:v>N/A</x:v>
      </x:c>
      <x:c r="AA66" s="120" t="n">
        <x:v>45070.736967592595</x:v>
      </x:c>
      <x:c r="AB66" s="117" t="str">
        <x:v>Delegate</x:v>
      </x:c>
      <x:c r="AC66" s="119" t="str"/>
      <x:c r="AD66" s="119" t="str"/>
    </x:row>
    <x:row r="67" ht="34" customHeight="1">
      <x:c r="A67" s="117" t="str">
        <x:v>300Ro000007Dq04IAC</x:v>
      </x:c>
      <x:c r="B67" s="117" t="str">
        <x:v>AvaTax_Order_Update_AvaTax_Message_and_Status</x:v>
      </x:c>
      <x:c r="C67" s="117" t="str">
        <x:v>AvaTax Order - Update AvaTax Message and Status</x:v>
      </x:c>
      <x:c r="D67" s="117" t="str">
        <x:v>Yes</x:v>
      </x:c>
      <x:c r="E67" s="118" t="n">
        <x:v>1</x:v>
      </x:c>
      <x:c r="F67" s="118" t="n">
        <x:v>1</x:v>
      </x:c>
      <x:c r="G67" s="117" t="str">
        <x:v>Yes</x:v>
      </x:c>
      <x:c r="H67" s="119" t="str">
        <x:v>Active v1 (Tooling metadata)</x:v>
      </x:c>
      <x:c r="I67" s="117" t="str">
        <x:v>AutoLaunchedFlow</x:v>
      </x:c>
      <x:c r="J67" s="117" t="str">
        <x:v>Order</x:v>
      </x:c>
      <x:c r="K67" s="117" t="str">
        <x:v>Yes</x:v>
      </x:c>
      <x:c r="L67" s="117" t="str">
        <x:v>CreateAndUpdate</x:v>
      </x:c>
      <x:c r="M67" s="117" t="str">
        <x:v>RecordBeforeSave</x:v>
      </x:c>
      <x:c r="N67" s="117"/>
      <x:c r="O67" s="117"/>
      <x:c r="P67" s="117" t="str"/>
      <x:c r="Q67" s="117" t="n">
        <x:v>58</x:v>
      </x:c>
      <x:c r="R67" s="117" t="str">
        <x:v>installed</x:v>
      </x:c>
      <x:c r="S67" s="118" t="n">
        <x:v>1</x:v>
      </x:c>
      <x:c r="T67" s="118" t="n">
        <x:v>2</x:v>
      </x:c>
      <x:c r="U67" s="118" t="n">
        <x:v>1</x:v>
      </x:c>
      <x:c r="V67" s="118" t="n">
        <x:v>0</x:v>
      </x:c>
      <x:c r="W67" s="118" t="n">
        <x:v>0</x:v>
      </x:c>
      <x:c r="X67" s="118" t="n">
        <x:v>0</x:v>
      </x:c>
      <x:c r="Y67" s="118" t="n">
        <x:v>1</x:v>
      </x:c>
      <x:c r="Z67" s="117" t="str">
        <x:v>Review</x:v>
      </x:c>
      <x:c r="AA67" s="120" t="n">
        <x:v>45348.75795138889</x:v>
      </x:c>
      <x:c r="AB67" s="117" t="str">
        <x:v>Delegate</x:v>
      </x:c>
      <x:c r="AC67" s="119" t="str"/>
      <x:c r="AD67" s="119" t="str">
        <x:v>Active flow has no description</x:v>
      </x:c>
    </x:row>
    <x:row r="68" ht="34" customHeight="1">
      <x:c r="A68" s="117" t="str">
        <x:v>3004O000000LOs4QAG</x:v>
      </x:c>
      <x:c r="B68" s="117" t="str">
        <x:v>AvaTax_Order_Update_AvaTax_Message_Status</x:v>
      </x:c>
      <x:c r="C68" s="117" t="str">
        <x:v>AvaTax Order - Update AvaTax Message &amp; Status</x:v>
      </x:c>
      <x:c r="D68" s="117" t="str">
        <x:v>No</x:v>
      </x:c>
      <x:c r="E68" s="118"/>
      <x:c r="F68" s="118" t="n">
        <x:v>8</x:v>
      </x:c>
      <x:c r="G68" s="117" t="str">
        <x:v>N/A</x:v>
      </x:c>
      <x:c r="H68" s="119" t="str">
        <x:v>Latest inactive v8 (Tooling metadata)</x:v>
      </x:c>
      <x:c r="I68" s="117" t="str">
        <x:v>Workflow</x:v>
      </x:c>
      <x:c r="J68" s="117" t="str"/>
      <x:c r="K68" s="117" t="str">
        <x:v>No</x:v>
      </x:c>
      <x:c r="L68" s="117" t="str"/>
      <x:c r="M68" s="117" t="str"/>
      <x:c r="N68" s="117"/>
      <x:c r="O68" s="117"/>
      <x:c r="P68" s="117" t="str"/>
      <x:c r="Q68" s="117" t="n">
        <x:v>49</x:v>
      </x:c>
      <x:c r="R68" s="117" t="str">
        <x:v>installed</x:v>
      </x:c>
      <x:c r="S68" s="118" t="n">
        <x:v>1</x:v>
      </x:c>
      <x:c r="T68" s="118" t="n">
        <x:v>25</x:v>
      </x:c>
      <x:c r="U68" s="118" t="n">
        <x:v>1</x:v>
      </x:c>
      <x:c r="V68" s="118" t="n">
        <x:v>0</x:v>
      </x:c>
      <x:c r="W68" s="118" t="n">
        <x:v>0</x:v>
      </x:c>
      <x:c r="X68" s="118" t="n">
        <x:v>0</x:v>
      </x:c>
      <x:c r="Y68" s="118" t="n">
        <x:v>2</x:v>
      </x:c>
      <x:c r="Z68" s="117" t="str">
        <x:v>N/A</x:v>
      </x:c>
      <x:c r="AA68" s="120" t="n">
        <x:v>45070.736979166664</x:v>
      </x:c>
      <x:c r="AB68" s="117" t="str">
        <x:v>Delegate</x:v>
      </x:c>
      <x:c r="AC68" s="119" t="str">
        <x:v>This process builder is used to set the Sales Tax Not Current message in the AvaTax Message field</x:v>
      </x:c>
      <x:c r="AD68" s="119" t="str"/>
    </x:row>
    <x:row r="69" ht="34" customHeight="1">
      <x:c r="A69" s="117" t="str">
        <x:v>300Ro000007Dq05IAC</x:v>
      </x:c>
      <x:c r="B69" s="117" t="str">
        <x:v>AvaTax_Order_Update_Origin_Address_Flow</x:v>
      </x:c>
      <x:c r="C69" s="117" t="str">
        <x:v>AvaTax Order - Update Origin Address Flow</x:v>
      </x:c>
      <x:c r="D69" s="117" t="str">
        <x:v>Yes</x:v>
      </x:c>
      <x:c r="E69" s="118" t="n">
        <x:v>1</x:v>
      </x:c>
      <x:c r="F69" s="118" t="n">
        <x:v>1</x:v>
      </x:c>
      <x:c r="G69" s="117" t="str">
        <x:v>Yes</x:v>
      </x:c>
      <x:c r="H69" s="119" t="str">
        <x:v>Active v1 (Tooling metadata)</x:v>
      </x:c>
      <x:c r="I69" s="117" t="str">
        <x:v>AutoLaunchedFlow</x:v>
      </x:c>
      <x:c r="J69" s="117" t="str">
        <x:v>Order</x:v>
      </x:c>
      <x:c r="K69" s="117" t="str">
        <x:v>Yes</x:v>
      </x:c>
      <x:c r="L69" s="117" t="str">
        <x:v>Create</x:v>
      </x:c>
      <x:c r="M69" s="117" t="str">
        <x:v>RecordAfterSave</x:v>
      </x:c>
      <x:c r="N69" s="117"/>
      <x:c r="O69" s="117"/>
      <x:c r="P69" s="117" t="str"/>
      <x:c r="Q69" s="117" t="n">
        <x:v>58</x:v>
      </x:c>
      <x:c r="R69" s="117" t="str">
        <x:v>installed</x:v>
      </x:c>
      <x:c r="S69" s="118" t="n">
        <x:v>1</x:v>
      </x:c>
      <x:c r="T69" s="118" t="n">
        <x:v>5</x:v>
      </x:c>
      <x:c r="U69" s="118" t="n">
        <x:v>1</x:v>
      </x:c>
      <x:c r="V69" s="118" t="n">
        <x:v>0</x:v>
      </x:c>
      <x:c r="W69" s="118" t="n">
        <x:v>0</x:v>
      </x:c>
      <x:c r="X69" s="118" t="n">
        <x:v>0</x:v>
      </x:c>
      <x:c r="Y69" s="118" t="n">
        <x:v>1</x:v>
      </x:c>
      <x:c r="Z69" s="117" t="str">
        <x:v>Review</x:v>
      </x:c>
      <x:c r="AA69" s="120" t="n">
        <x:v>45348.75796296296</x:v>
      </x:c>
      <x:c r="AB69" s="117" t="str">
        <x:v>Delegate</x:v>
      </x:c>
      <x:c r="AC69" s="119" t="str">
        <x:v>AvaTax Order - Update Origin Address process using multiple criteria.</x:v>
      </x:c>
      <x:c r="AD69" s="119" t="str"/>
    </x:row>
    <x:row r="70" ht="34" customHeight="1">
      <x:c r="A70" s="117" t="str">
        <x:v>3004O000000LOs5QAG</x:v>
      </x:c>
      <x:c r="B70" s="117" t="str">
        <x:v>AvaTax_Quote_Automatic_Tax_Calculation</x:v>
      </x:c>
      <x:c r="C70" s="117" t="str">
        <x:v>AvaTax Quote - Automatic Tax Calculation</x:v>
      </x:c>
      <x:c r="D70" s="117" t="str">
        <x:v>No</x:v>
      </x:c>
      <x:c r="E70" s="118"/>
      <x:c r="F70" s="118" t="n">
        <x:v>5</x:v>
      </x:c>
      <x:c r="G70" s="117" t="str">
        <x:v>N/A</x:v>
      </x:c>
      <x:c r="H70" s="119" t="str">
        <x:v>Latest inactive v5 (Tooling metadata)</x:v>
      </x:c>
      <x:c r="I70" s="117" t="str">
        <x:v>Workflow</x:v>
      </x:c>
      <x:c r="J70" s="117" t="str"/>
      <x:c r="K70" s="117" t="str">
        <x:v>No</x:v>
      </x:c>
      <x:c r="L70" s="117" t="str"/>
      <x:c r="M70" s="117" t="str"/>
      <x:c r="N70" s="117"/>
      <x:c r="O70" s="117"/>
      <x:c r="P70" s="117" t="str"/>
      <x:c r="Q70" s="117" t="n">
        <x:v>49</x:v>
      </x:c>
      <x:c r="R70" s="117" t="str">
        <x:v>installed</x:v>
      </x:c>
      <x:c r="S70" s="118" t="n">
        <x:v>2</x:v>
      </x:c>
      <x:c r="T70" s="118" t="n">
        <x:v>3</x:v>
      </x:c>
      <x:c r="U70" s="118" t="n">
        <x:v>1</x:v>
      </x:c>
      <x:c r="V70" s="118" t="n">
        <x:v>0</x:v>
      </x:c>
      <x:c r="W70" s="118" t="n">
        <x:v>1</x:v>
      </x:c>
      <x:c r="X70" s="118" t="n">
        <x:v>0</x:v>
      </x:c>
      <x:c r="Y70" s="118" t="n">
        <x:v>1</x:v>
      </x:c>
      <x:c r="Z70" s="117" t="str">
        <x:v>N/A</x:v>
      </x:c>
      <x:c r="AA70" s="120" t="n">
        <x:v>46189.96800925926</x:v>
      </x:c>
      <x:c r="AB70" s="117" t="str">
        <x:v>Mindy Bender</x:v>
      </x:c>
      <x:c r="AC70" s="119" t="str"/>
      <x:c r="AD70" s="119" t="str"/>
    </x:row>
    <x:row r="71" ht="34" customHeight="1">
      <x:c r="A71" s="117" t="str">
        <x:v>300Ro000007Dq0CIAS</x:v>
      </x:c>
      <x:c r="B71" s="117" t="str">
        <x:v>AvaTax_Quote_Automatic_Tax_Calculation_Flow</x:v>
      </x:c>
      <x:c r="C71" s="117" t="str">
        <x:v>AvaTax Quote - Automatic Tax Calculation Flow</x:v>
      </x:c>
      <x:c r="D71" s="117" t="str">
        <x:v>Yes</x:v>
      </x:c>
      <x:c r="E71" s="118" t="n">
        <x:v>6</x:v>
      </x:c>
      <x:c r="F71" s="118" t="n">
        <x:v>6</x:v>
      </x:c>
      <x:c r="G71" s="117" t="str">
        <x:v>Yes</x:v>
      </x:c>
      <x:c r="H71" s="119" t="str">
        <x:v>Active v6 (Tooling metadata)</x:v>
      </x:c>
      <x:c r="I71" s="117" t="str">
        <x:v>AutoLaunchedFlow</x:v>
      </x:c>
      <x:c r="J71" s="117" t="str">
        <x:v>Quote</x:v>
      </x:c>
      <x:c r="K71" s="117" t="str">
        <x:v>Yes</x:v>
      </x:c>
      <x:c r="L71" s="117" t="str">
        <x:v>CreateAndUpdate</x:v>
      </x:c>
      <x:c r="M71" s="117" t="str">
        <x:v>RecordAfterSave</x:v>
      </x:c>
      <x:c r="N71" s="117"/>
      <x:c r="O71" s="117"/>
      <x:c r="P71" s="117" t="str"/>
      <x:c r="Q71" s="117" t="n">
        <x:v>57</x:v>
      </x:c>
      <x:c r="R71" s="117" t="str">
        <x:v>installed</x:v>
      </x:c>
      <x:c r="S71" s="118" t="n">
        <x:v>2</x:v>
      </x:c>
      <x:c r="T71" s="118" t="n">
        <x:v>9</x:v>
      </x:c>
      <x:c r="U71" s="118" t="n">
        <x:v>3</x:v>
      </x:c>
      <x:c r="V71" s="118" t="n">
        <x:v>0</x:v>
      </x:c>
      <x:c r="W71" s="118" t="n">
        <x:v>2</x:v>
      </x:c>
      <x:c r="X71" s="118" t="n">
        <x:v>0</x:v>
      </x:c>
      <x:c r="Y71" s="118" t="n">
        <x:v>2</x:v>
      </x:c>
      <x:c r="Z71" s="117" t="str">
        <x:v>Isolated lane</x:v>
      </x:c>
      <x:c r="AA71" s="120" t="n">
        <x:v>46189.96802083333</x:v>
      </x:c>
      <x:c r="AB71" s="117" t="str">
        <x:v>Mindy Bender</x:v>
      </x:c>
      <x:c r="AC71" s="119" t="str"/>
      <x:c r="AD71" s="119" t="str">
        <x:v>Active flow has no description</x:v>
      </x:c>
    </x:row>
    <x:row r="72" ht="34" customHeight="1">
      <x:c r="A72" s="117" t="str">
        <x:v>3004O000000LOs6QAG</x:v>
      </x:c>
      <x:c r="B72" s="117" t="str">
        <x:v>AvaTax_Quote_Existing_Update_Entity_Code_IOR</x:v>
      </x:c>
      <x:c r="C72" s="117" t="str">
        <x:v>AvaTax Quote Existing - Update Entity/Code, IOR</x:v>
      </x:c>
      <x:c r="D72" s="117" t="str">
        <x:v>No</x:v>
      </x:c>
      <x:c r="E72" s="118"/>
      <x:c r="F72" s="118" t="n">
        <x:v>4</x:v>
      </x:c>
      <x:c r="G72" s="117" t="str">
        <x:v>N/A</x:v>
      </x:c>
      <x:c r="H72" s="119" t="str">
        <x:v>Latest inactive v4 (Tooling metadata)</x:v>
      </x:c>
      <x:c r="I72" s="117" t="str">
        <x:v>Workflow</x:v>
      </x:c>
      <x:c r="J72" s="117" t="str"/>
      <x:c r="K72" s="117" t="str">
        <x:v>No</x:v>
      </x:c>
      <x:c r="L72" s="117" t="str"/>
      <x:c r="M72" s="117" t="str"/>
      <x:c r="N72" s="117"/>
      <x:c r="O72" s="117"/>
      <x:c r="P72" s="117" t="str"/>
      <x:c r="Q72" s="117" t="n">
        <x:v>49</x:v>
      </x:c>
      <x:c r="R72" s="117" t="str">
        <x:v>installed</x:v>
      </x:c>
      <x:c r="S72" s="118" t="n">
        <x:v>2</x:v>
      </x:c>
      <x:c r="T72" s="118" t="n">
        <x:v>3</x:v>
      </x:c>
      <x:c r="U72" s="118" t="n">
        <x:v>1</x:v>
      </x:c>
      <x:c r="V72" s="118" t="n">
        <x:v>0</x:v>
      </x:c>
      <x:c r="W72" s="118" t="n">
        <x:v>0</x:v>
      </x:c>
      <x:c r="X72" s="118" t="n">
        <x:v>0</x:v>
      </x:c>
      <x:c r="Y72" s="118" t="n">
        <x:v>1</x:v>
      </x:c>
      <x:c r="Z72" s="117" t="str">
        <x:v>N/A</x:v>
      </x:c>
      <x:c r="AA72" s="120" t="n">
        <x:v>46189.9675</x:v>
      </x:c>
      <x:c r="AB72" s="117" t="str">
        <x:v>Mindy Bender</x:v>
      </x:c>
      <x:c r="AC72" s="119" t="str"/>
      <x:c r="AD72" s="119" t="str"/>
    </x:row>
    <x:row r="73" ht="34" customHeight="1">
      <x:c r="A73" s="117" t="str">
        <x:v>300Ro000007Dq06IAC</x:v>
      </x:c>
      <x:c r="B73" s="117" t="str">
        <x:v>AvaTax_Quote_Existing_Update_Entity_Code_IOR_Transport</x:v>
      </x:c>
      <x:c r="C73" s="117" t="str">
        <x:v>AvaTax Quote Existing - Update Entity/Code, IOR,Transport</x:v>
      </x:c>
      <x:c r="D73" s="117" t="str">
        <x:v>Yes</x:v>
      </x:c>
      <x:c r="E73" s="118" t="n">
        <x:v>1</x:v>
      </x:c>
      <x:c r="F73" s="118" t="n">
        <x:v>1</x:v>
      </x:c>
      <x:c r="G73" s="117" t="str">
        <x:v>Yes</x:v>
      </x:c>
      <x:c r="H73" s="119" t="str">
        <x:v>Active v1 (Tooling metadata)</x:v>
      </x:c>
      <x:c r="I73" s="117" t="str">
        <x:v>AutoLaunchedFlow</x:v>
      </x:c>
      <x:c r="J73" s="117" t="str">
        <x:v>Quote</x:v>
      </x:c>
      <x:c r="K73" s="117" t="str">
        <x:v>Yes</x:v>
      </x:c>
      <x:c r="L73" s="117" t="str">
        <x:v>CreateAndUpdate</x:v>
      </x:c>
      <x:c r="M73" s="117" t="str">
        <x:v>RecordBeforeSave</x:v>
      </x:c>
      <x:c r="N73" s="117"/>
      <x:c r="O73" s="117"/>
      <x:c r="P73" s="117" t="str"/>
      <x:c r="Q73" s="117" t="n">
        <x:v>57</x:v>
      </x:c>
      <x:c r="R73" s="117" t="str">
        <x:v>installed</x:v>
      </x:c>
      <x:c r="S73" s="118" t="n">
        <x:v>1</x:v>
      </x:c>
      <x:c r="T73" s="118" t="n">
        <x:v>2</x:v>
      </x:c>
      <x:c r="U73" s="118" t="n">
        <x:v>1</x:v>
      </x:c>
      <x:c r="V73" s="118" t="n">
        <x:v>0</x:v>
      </x:c>
      <x:c r="W73" s="118" t="n">
        <x:v>0</x:v>
      </x:c>
      <x:c r="X73" s="118" t="n">
        <x:v>0</x:v>
      </x:c>
      <x:c r="Y73" s="118" t="n">
        <x:v>1</x:v>
      </x:c>
      <x:c r="Z73" s="117" t="str">
        <x:v>Review</x:v>
      </x:c>
      <x:c r="AA73" s="120" t="n">
        <x:v>45348.75797453704</x:v>
      </x:c>
      <x:c r="AB73" s="117" t="str">
        <x:v>Delegate</x:v>
      </x:c>
      <x:c r="AC73" s="119" t="str">
        <x:v>Updating Quote Existing/New - Update Entity/Code, IOR,Transport</x:v>
      </x:c>
      <x:c r="AD73" s="119" t="str"/>
    </x:row>
    <x:row r="74" ht="34" customHeight="1">
      <x:c r="A74" s="117" t="str">
        <x:v>3004O000000LOs7QAG</x:v>
      </x:c>
      <x:c r="B74" s="117" t="str">
        <x:v>AvaTax_Quote_New_Update_Entity_Code_IOR</x:v>
      </x:c>
      <x:c r="C74" s="117" t="str">
        <x:v>AvaTax Quote New - Update Entity/Code, IOR</x:v>
      </x:c>
      <x:c r="D74" s="117" t="str">
        <x:v>No</x:v>
      </x:c>
      <x:c r="E74" s="118"/>
      <x:c r="F74" s="118" t="n">
        <x:v>3</x:v>
      </x:c>
      <x:c r="G74" s="117" t="str">
        <x:v>N/A</x:v>
      </x:c>
      <x:c r="H74" s="119" t="str">
        <x:v>Latest inactive v3 (Tooling metadata)</x:v>
      </x:c>
      <x:c r="I74" s="117" t="str">
        <x:v>Workflow</x:v>
      </x:c>
      <x:c r="J74" s="117" t="str"/>
      <x:c r="K74" s="117" t="str">
        <x:v>No</x:v>
      </x:c>
      <x:c r="L74" s="117" t="str"/>
      <x:c r="M74" s="117" t="str"/>
      <x:c r="N74" s="117"/>
      <x:c r="O74" s="117"/>
      <x:c r="P74" s="117" t="str"/>
      <x:c r="Q74" s="117" t="n">
        <x:v>49</x:v>
      </x:c>
      <x:c r="R74" s="117" t="str">
        <x:v>installed</x:v>
      </x:c>
      <x:c r="S74" s="118" t="n">
        <x:v>2</x:v>
      </x:c>
      <x:c r="T74" s="118" t="n">
        <x:v>2</x:v>
      </x:c>
      <x:c r="U74" s="118" t="n">
        <x:v>1</x:v>
      </x:c>
      <x:c r="V74" s="118" t="n">
        <x:v>0</x:v>
      </x:c>
      <x:c r="W74" s="118" t="n">
        <x:v>0</x:v>
      </x:c>
      <x:c r="X74" s="118" t="n">
        <x:v>0</x:v>
      </x:c>
      <x:c r="Y74" s="118" t="n">
        <x:v>1</x:v>
      </x:c>
      <x:c r="Z74" s="117" t="str">
        <x:v>N/A</x:v>
      </x:c>
      <x:c r="AA74" s="120" t="n">
        <x:v>46189.967511574076</x:v>
      </x:c>
      <x:c r="AB74" s="117" t="str">
        <x:v>Mindy Bender</x:v>
      </x:c>
      <x:c r="AC74" s="119" t="str"/>
      <x:c r="AD74" s="119" t="str"/>
    </x:row>
    <x:row r="75" ht="34" customHeight="1">
      <x:c r="A75" s="117" t="str">
        <x:v>300Ro000007Dq07IAC</x:v>
      </x:c>
      <x:c r="B75" s="117" t="str">
        <x:v>AvaTax_Quote_New_Update_Entity_Code_IOR_Transport_Flow</x:v>
      </x:c>
      <x:c r="C75" s="117" t="str">
        <x:v>AvaTax Quote New - Update Entity/Code, IOR/Transport Flow</x:v>
      </x:c>
      <x:c r="D75" s="117" t="str">
        <x:v>Yes</x:v>
      </x:c>
      <x:c r="E75" s="118" t="n">
        <x:v>3</x:v>
      </x:c>
      <x:c r="F75" s="118" t="n">
        <x:v>3</x:v>
      </x:c>
      <x:c r="G75" s="117" t="str">
        <x:v>Yes</x:v>
      </x:c>
      <x:c r="H75" s="119" t="str">
        <x:v>Active v3 (Tooling metadata)</x:v>
      </x:c>
      <x:c r="I75" s="117" t="str">
        <x:v>AutoLaunchedFlow</x:v>
      </x:c>
      <x:c r="J75" s="117" t="str">
        <x:v>Quote</x:v>
      </x:c>
      <x:c r="K75" s="117" t="str">
        <x:v>Yes</x:v>
      </x:c>
      <x:c r="L75" s="117" t="str">
        <x:v>Create</x:v>
      </x:c>
      <x:c r="M75" s="117" t="str">
        <x:v>RecordAfterSave</x:v>
      </x:c>
      <x:c r="N75" s="117"/>
      <x:c r="O75" s="117"/>
      <x:c r="P75" s="117" t="str"/>
      <x:c r="Q75" s="117" t="n">
        <x:v>58</x:v>
      </x:c>
      <x:c r="R75" s="117" t="str">
        <x:v>installed</x:v>
      </x:c>
      <x:c r="S75" s="118" t="n">
        <x:v>1</x:v>
      </x:c>
      <x:c r="T75" s="118" t="n">
        <x:v>2</x:v>
      </x:c>
      <x:c r="U75" s="118" t="n">
        <x:v>1</x:v>
      </x:c>
      <x:c r="V75" s="118" t="n">
        <x:v>0</x:v>
      </x:c>
      <x:c r="W75" s="118" t="n">
        <x:v>0</x:v>
      </x:c>
      <x:c r="X75" s="118" t="n">
        <x:v>0</x:v>
      </x:c>
      <x:c r="Y75" s="118" t="n">
        <x:v>1</x:v>
      </x:c>
      <x:c r="Z75" s="117" t="str">
        <x:v>Review</x:v>
      </x:c>
      <x:c r="AA75" s="120" t="n">
        <x:v>45348.75798611111</x:v>
      </x:c>
      <x:c r="AB75" s="117" t="str">
        <x:v>Delegate</x:v>
      </x:c>
      <x:c r="AC75" s="119" t="str">
        <x:v>AvaTax Quote New - Update Entity/Code, IOR process using Check Account ID criteria.</x:v>
      </x:c>
      <x:c r="AD75" s="119" t="str"/>
    </x:row>
    <x:row r="76" ht="34" customHeight="1">
      <x:c r="A76" s="117" t="str">
        <x:v>3004O000000LOs8QAG</x:v>
      </x:c>
      <x:c r="B76" s="117" t="str">
        <x:v>AvaTax_Quote_Update_AvaTax_Message</x:v>
      </x:c>
      <x:c r="C76" s="117" t="str">
        <x:v>AvaTax Quote - Update AvaTax Message</x:v>
      </x:c>
      <x:c r="D76" s="117" t="str">
        <x:v>No</x:v>
      </x:c>
      <x:c r="E76" s="118"/>
      <x:c r="F76" s="118" t="n">
        <x:v>4</x:v>
      </x:c>
      <x:c r="G76" s="117" t="str">
        <x:v>N/A</x:v>
      </x:c>
      <x:c r="H76" s="119" t="str">
        <x:v>Latest inactive v4 (Tooling metadata)</x:v>
      </x:c>
      <x:c r="I76" s="117" t="str">
        <x:v>Workflow</x:v>
      </x:c>
      <x:c r="J76" s="117" t="str"/>
      <x:c r="K76" s="117" t="str">
        <x:v>No</x:v>
      </x:c>
      <x:c r="L76" s="117" t="str"/>
      <x:c r="M76" s="117" t="str"/>
      <x:c r="N76" s="117"/>
      <x:c r="O76" s="117"/>
      <x:c r="P76" s="117" t="str"/>
      <x:c r="Q76" s="117" t="n">
        <x:v>49</x:v>
      </x:c>
      <x:c r="R76" s="117" t="str">
        <x:v>installed</x:v>
      </x:c>
      <x:c r="S76" s="118" t="n">
        <x:v>1</x:v>
      </x:c>
      <x:c r="T76" s="118" t="n">
        <x:v>25</x:v>
      </x:c>
      <x:c r="U76" s="118" t="n">
        <x:v>1</x:v>
      </x:c>
      <x:c r="V76" s="118" t="n">
        <x:v>0</x:v>
      </x:c>
      <x:c r="W76" s="118" t="n">
        <x:v>0</x:v>
      </x:c>
      <x:c r="X76" s="118" t="n">
        <x:v>0</x:v>
      </x:c>
      <x:c r="Y76" s="118" t="n">
        <x:v>2</x:v>
      </x:c>
      <x:c r="Z76" s="117" t="str">
        <x:v>N/A</x:v>
      </x:c>
      <x:c r="AA76" s="120" t="n">
        <x:v>45070.73701388889</x:v>
      </x:c>
      <x:c r="AB76" s="117" t="str">
        <x:v>Delegate</x:v>
      </x:c>
      <x:c r="AC76" s="119" t="str"/>
      <x:c r="AD76" s="119" t="str"/>
    </x:row>
    <x:row r="77" ht="34" customHeight="1">
      <x:c r="A77" s="117" t="str">
        <x:v>300Ro000007Dq08IAC</x:v>
      </x:c>
      <x:c r="B77" s="117" t="str">
        <x:v>AvaTax_Quote_Update_AvaTax_Message_Flow</x:v>
      </x:c>
      <x:c r="C77" s="117" t="str">
        <x:v>AvaTax Quote - Update AvaTax Message Flow</x:v>
      </x:c>
      <x:c r="D77" s="117" t="str">
        <x:v>Yes</x:v>
      </x:c>
      <x:c r="E77" s="118" t="n">
        <x:v>1</x:v>
      </x:c>
      <x:c r="F77" s="118" t="n">
        <x:v>1</x:v>
      </x:c>
      <x:c r="G77" s="117" t="str">
        <x:v>Yes</x:v>
      </x:c>
      <x:c r="H77" s="119" t="str">
        <x:v>Active v1 (Tooling metadata)</x:v>
      </x:c>
      <x:c r="I77" s="117" t="str">
        <x:v>AutoLaunchedFlow</x:v>
      </x:c>
      <x:c r="J77" s="117" t="str">
        <x:v>Quote</x:v>
      </x:c>
      <x:c r="K77" s="117" t="str">
        <x:v>Yes</x:v>
      </x:c>
      <x:c r="L77" s="117" t="str">
        <x:v>CreateAndUpdate</x:v>
      </x:c>
      <x:c r="M77" s="117" t="str">
        <x:v>RecordBeforeSave</x:v>
      </x:c>
      <x:c r="N77" s="117"/>
      <x:c r="O77" s="117"/>
      <x:c r="P77" s="117" t="str"/>
      <x:c r="Q77" s="117" t="n">
        <x:v>58</x:v>
      </x:c>
      <x:c r="R77" s="117" t="str">
        <x:v>installed</x:v>
      </x:c>
      <x:c r="S77" s="118" t="n">
        <x:v>1</x:v>
      </x:c>
      <x:c r="T77" s="118" t="n">
        <x:v>2</x:v>
      </x:c>
      <x:c r="U77" s="118" t="n">
        <x:v>1</x:v>
      </x:c>
      <x:c r="V77" s="118" t="n">
        <x:v>0</x:v>
      </x:c>
      <x:c r="W77" s="118" t="n">
        <x:v>0</x:v>
      </x:c>
      <x:c r="X77" s="118" t="n">
        <x:v>0</x:v>
      </x:c>
      <x:c r="Y77" s="118" t="n">
        <x:v>1</x:v>
      </x:c>
      <x:c r="Z77" s="117" t="str">
        <x:v>Review</x:v>
      </x:c>
      <x:c r="AA77" s="120" t="n">
        <x:v>45348.75798611111</x:v>
      </x:c>
      <x:c r="AB77" s="117" t="str">
        <x:v>Delegate</x:v>
      </x:c>
      <x:c r="AC77" s="119" t="str">
        <x:v>AvaTax Quote - Update AvaTax Message process using Check AvaTax Related Fields criteria.</x:v>
      </x:c>
      <x:c r="AD77" s="119" t="str"/>
    </x:row>
    <x:row r="78" ht="34" customHeight="1">
      <x:c r="A78" s="117" t="str">
        <x:v>3004O000000LOs9QAG</x:v>
      </x:c>
      <x:c r="B78" s="117" t="str">
        <x:v>AvaTax_Quote_Update_Origin_Address</x:v>
      </x:c>
      <x:c r="C78" s="117" t="str">
        <x:v>AvaTax Quote - Update Origin Address</x:v>
      </x:c>
      <x:c r="D78" s="117" t="str">
        <x:v>No</x:v>
      </x:c>
      <x:c r="E78" s="118"/>
      <x:c r="F78" s="118" t="n">
        <x:v>2</x:v>
      </x:c>
      <x:c r="G78" s="117" t="str">
        <x:v>N/A</x:v>
      </x:c>
      <x:c r="H78" s="119" t="str">
        <x:v>Latest inactive v2 (Tooling metadata)</x:v>
      </x:c>
      <x:c r="I78" s="117" t="str">
        <x:v>Workflow</x:v>
      </x:c>
      <x:c r="J78" s="117" t="str"/>
      <x:c r="K78" s="117" t="str">
        <x:v>No</x:v>
      </x:c>
      <x:c r="L78" s="117" t="str"/>
      <x:c r="M78" s="117" t="str"/>
      <x:c r="N78" s="117"/>
      <x:c r="O78" s="117"/>
      <x:c r="P78" s="117" t="str"/>
      <x:c r="Q78" s="117" t="n">
        <x:v>49</x:v>
      </x:c>
      <x:c r="R78" s="117" t="str">
        <x:v>installed</x:v>
      </x:c>
      <x:c r="S78" s="118" t="n">
        <x:v>1</x:v>
      </x:c>
      <x:c r="T78" s="118" t="n">
        <x:v>2</x:v>
      </x:c>
      <x:c r="U78" s="118" t="n">
        <x:v>1</x:v>
      </x:c>
      <x:c r="V78" s="118" t="n">
        <x:v>0</x:v>
      </x:c>
      <x:c r="W78" s="118" t="n">
        <x:v>0</x:v>
      </x:c>
      <x:c r="X78" s="118" t="n">
        <x:v>0</x:v>
      </x:c>
      <x:c r="Y78" s="118" t="n">
        <x:v>1</x:v>
      </x:c>
      <x:c r="Z78" s="117" t="str">
        <x:v>N/A</x:v>
      </x:c>
      <x:c r="AA78" s="120" t="n">
        <x:v>45070.73701388889</x:v>
      </x:c>
      <x:c r="AB78" s="117" t="str">
        <x:v>Delegate</x:v>
      </x:c>
      <x:c r="AC78" s="119" t="str"/>
      <x:c r="AD78" s="119" t="str"/>
    </x:row>
    <x:row r="79" ht="34" customHeight="1">
      <x:c r="A79" s="117" t="str">
        <x:v>300Ro000007Dq09IAC</x:v>
      </x:c>
      <x:c r="B79" s="117" t="str">
        <x:v>AvaTax_Quote_Update_Origin_Address_Flow</x:v>
      </x:c>
      <x:c r="C79" s="117" t="str">
        <x:v>AvaTax Quote - Update Origin Address Flow</x:v>
      </x:c>
      <x:c r="D79" s="117" t="str">
        <x:v>Yes</x:v>
      </x:c>
      <x:c r="E79" s="118" t="n">
        <x:v>2</x:v>
      </x:c>
      <x:c r="F79" s="118" t="n">
        <x:v>2</x:v>
      </x:c>
      <x:c r="G79" s="117" t="str">
        <x:v>Yes</x:v>
      </x:c>
      <x:c r="H79" s="119" t="str">
        <x:v>Active v2 (Tooling metadata)</x:v>
      </x:c>
      <x:c r="I79" s="117" t="str">
        <x:v>AutoLaunchedFlow</x:v>
      </x:c>
      <x:c r="J79" s="117" t="str">
        <x:v>Quote</x:v>
      </x:c>
      <x:c r="K79" s="117" t="str">
        <x:v>Yes</x:v>
      </x:c>
      <x:c r="L79" s="117" t="str">
        <x:v>Create</x:v>
      </x:c>
      <x:c r="M79" s="117" t="str">
        <x:v>RecordAfterSave</x:v>
      </x:c>
      <x:c r="N79" s="117"/>
      <x:c r="O79" s="117"/>
      <x:c r="P79" s="117" t="str"/>
      <x:c r="Q79" s="117" t="n">
        <x:v>58</x:v>
      </x:c>
      <x:c r="R79" s="117" t="str">
        <x:v>installed</x:v>
      </x:c>
      <x:c r="S79" s="118" t="n">
        <x:v>1</x:v>
      </x:c>
      <x:c r="T79" s="118" t="n">
        <x:v>3</x:v>
      </x:c>
      <x:c r="U79" s="118" t="n">
        <x:v>1</x:v>
      </x:c>
      <x:c r="V79" s="118" t="n">
        <x:v>0</x:v>
      </x:c>
      <x:c r="W79" s="118" t="n">
        <x:v>0</x:v>
      </x:c>
      <x:c r="X79" s="118" t="n">
        <x:v>0</x:v>
      </x:c>
      <x:c r="Y79" s="118" t="n">
        <x:v>1</x:v>
      </x:c>
      <x:c r="Z79" s="117" t="str">
        <x:v>Review</x:v>
      </x:c>
      <x:c r="AA79" s="120" t="n">
        <x:v>45348.757997685185</x:v>
      </x:c>
      <x:c r="AB79" s="117" t="str">
        <x:v>Delegate</x:v>
      </x:c>
      <x:c r="AC79" s="119" t="str"/>
      <x:c r="AD79" s="119" t="str">
        <x:v>Active flow has no description</x:v>
      </x:c>
    </x:row>
    <x:row r="80" ht="34" customHeight="1">
      <x:c r="A80" s="117" t="str">
        <x:v>3005b000000H3goAAC</x:v>
      </x:c>
      <x:c r="B80" s="117" t="str">
        <x:v>Big_Iron_Purchasing_Opportunity_Updates_Alerts</x:v>
      </x:c>
      <x:c r="C80" s="117" t="str">
        <x:v>Big Iron Purchasing Opportunity Updates/Alerts</x:v>
      </x:c>
      <x:c r="D80" s="117" t="str">
        <x:v>Yes</x:v>
      </x:c>
      <x:c r="E80" s="118" t="n">
        <x:v>35</x:v>
      </x:c>
      <x:c r="F80" s="118" t="n">
        <x:v>35</x:v>
      </x:c>
      <x:c r="G80" s="117" t="str">
        <x:v>Yes</x:v>
      </x:c>
      <x:c r="H80" s="119" t="str">
        <x:v>Active v35 (Retrieved XML)</x:v>
      </x:c>
      <x:c r="I80" s="117" t="str">
        <x:v>AutoLaunchedFlow</x:v>
      </x:c>
      <x:c r="J80" s="117" t="str">
        <x:v>Opportunity</x:v>
      </x:c>
      <x:c r="K80" s="117" t="str">
        <x:v>Yes</x:v>
      </x:c>
      <x:c r="L80" s="117" t="str">
        <x:v>Update</x:v>
      </x:c>
      <x:c r="M80" s="117" t="str">
        <x:v>RecordAfterSave</x:v>
      </x:c>
      <x:c r="N80" s="117"/>
      <x:c r="O80" s="117"/>
      <x:c r="P80" s="117" t="str"/>
      <x:c r="Q80" s="117" t="str">
        <x:v>54.0</x:v>
      </x:c>
      <x:c r="R80" s="117" t="str">
        <x:v>unmanaged</x:v>
      </x:c>
      <x:c r="S80" s="118" t="n">
        <x:v>3</x:v>
      </x:c>
      <x:c r="T80" s="118" t="n">
        <x:v>8</x:v>
      </x:c>
      <x:c r="U80" s="118" t="n">
        <x:v>1</x:v>
      </x:c>
      <x:c r="V80" s="118" t="n">
        <x:v>0</x:v>
      </x:c>
      <x:c r="W80" s="118" t="n">
        <x:v>2</x:v>
      </x:c>
      <x:c r="X80" s="118" t="n">
        <x:v>0</x:v>
      </x:c>
      <x:c r="Y80" s="118" t="n">
        <x:v>1</x:v>
      </x:c>
      <x:c r="Z80" s="117" t="str">
        <x:v>Strong</x:v>
      </x:c>
      <x:c r="AA80" s="120" t="n">
        <x:v>45596.66306712963</x:v>
      </x:c>
      <x:c r="AB80" s="117" t="str">
        <x:v>Jon Kean</x:v>
      </x:c>
      <x:c r="AC80" s="119" t="str">
        <x:v>Simplified the flow due to process changes</x:v>
      </x:c>
      <x:c r="AD80" s="119" t="str"/>
    </x:row>
    <x:row r="81" ht="34" customHeight="1">
      <x:c r="A81" s="117" t="str">
        <x:v>300Ro00000RA9XBIA1</x:v>
      </x:c>
      <x:c r="B81" s="117" t="str">
        <x:v>Big_Iron_Removal_Date_Updated_Notification</x:v>
      </x:c>
      <x:c r="C81" s="117" t="str">
        <x:v>Big Iron Removal Date Updated Notification</x:v>
      </x:c>
      <x:c r="D81" s="117" t="str">
        <x:v>No</x:v>
      </x:c>
      <x:c r="E81" s="118"/>
      <x:c r="F81" s="118" t="n">
        <x:v>7</x:v>
      </x:c>
      <x:c r="G81" s="117" t="str">
        <x:v>N/A</x:v>
      </x:c>
      <x:c r="H81" s="119" t="str">
        <x:v>Latest inactive v7 (Retrieved XML)</x:v>
      </x:c>
      <x:c r="I81" s="117" t="str">
        <x:v>AutoLaunchedFlow</x:v>
      </x:c>
      <x:c r="J81" s="117" t="str">
        <x:v>Opportunity</x:v>
      </x:c>
      <x:c r="K81" s="117" t="str">
        <x:v>No</x:v>
      </x:c>
      <x:c r="L81" s="117" t="str">
        <x:v>Update</x:v>
      </x:c>
      <x:c r="M81" s="117" t="str">
        <x:v>RecordAfterSave</x:v>
      </x:c>
      <x:c r="N81" s="117"/>
      <x:c r="O81" s="117"/>
      <x:c r="P81" s="117" t="str"/>
      <x:c r="Q81" s="117" t="str">
        <x:v>62.0</x:v>
      </x:c>
      <x:c r="R81" s="117" t="str">
        <x:v>unmanaged</x:v>
      </x:c>
      <x:c r="S81" s="118" t="n">
        <x:v>7</x:v>
      </x:c>
      <x:c r="T81" s="118" t="n">
        <x:v>4</x:v>
      </x:c>
      <x:c r="U81" s="118" t="n">
        <x:v>2</x:v>
      </x:c>
      <x:c r="V81" s="118" t="n">
        <x:v>0</x:v>
      </x:c>
      <x:c r="W81" s="118" t="n">
        <x:v>1</x:v>
      </x:c>
      <x:c r="X81" s="118" t="n">
        <x:v>0</x:v>
      </x:c>
      <x:c r="Y81" s="118" t="n">
        <x:v>1</x:v>
      </x:c>
      <x:c r="Z81" s="117" t="str">
        <x:v>N/A</x:v>
      </x:c>
      <x:c r="AA81" s="120" t="n">
        <x:v>45826.37465277778</x:v>
      </x:c>
      <x:c r="AB81" s="117" t="str">
        <x:v>Sacha Pearce</x:v>
      </x:c>
      <x:c r="AC81" s="119" t="str">
        <x:v>This is to inform the user selling an Asset that the Removal Date has been updated.
18/06/2025 - SP - V7 - Amending entry criteria to include if the Expected Removal Date is changed.</x:v>
      </x:c>
      <x:c r="AD81" s="119" t="str"/>
    </x:row>
    <x:row r="82" ht="34" customHeight="1">
      <x:c r="A82" s="117" t="str">
        <x:v>3005b000000PywrAAC</x:v>
      </x:c>
      <x:c r="B82" s="117" t="str">
        <x:v>Big_Iron_Stock_Received_Notification</x:v>
      </x:c>
      <x:c r="C82" s="117" t="str">
        <x:v>Big Iron Stock Received Notification - EU</x:v>
      </x:c>
      <x:c r="D82" s="117" t="str">
        <x:v>No</x:v>
      </x:c>
      <x:c r="E82" s="118"/>
      <x:c r="F82" s="118" t="n">
        <x:v>11</x:v>
      </x:c>
      <x:c r="G82" s="117" t="str">
        <x:v>N/A</x:v>
      </x:c>
      <x:c r="H82" s="119" t="str">
        <x:v>Latest inactive v11 (Retrieved XML)</x:v>
      </x:c>
      <x:c r="I82" s="117" t="str">
        <x:v>AutoLaunchedFlow</x:v>
      </x:c>
      <x:c r="J82" s="117" t="str">
        <x:v>Move_Location__c</x:v>
      </x:c>
      <x:c r="K82" s="117" t="str">
        <x:v>No</x:v>
      </x:c>
      <x:c r="L82" s="117" t="str">
        <x:v>Update</x:v>
      </x:c>
      <x:c r="M82" s="117" t="str">
        <x:v>RecordAfterSave</x:v>
      </x:c>
      <x:c r="N82" s="117"/>
      <x:c r="O82" s="117"/>
      <x:c r="P82" s="117" t="str"/>
      <x:c r="Q82" s="117" t="str">
        <x:v>57.0</x:v>
      </x:c>
      <x:c r="R82" s="117" t="str">
        <x:v>unmanaged</x:v>
      </x:c>
      <x:c r="S82" s="118" t="n">
        <x:v>11</x:v>
      </x:c>
      <x:c r="T82" s="118" t="n">
        <x:v>2</x:v>
      </x:c>
      <x:c r="U82" s="118" t="n">
        <x:v>1</x:v>
      </x:c>
      <x:c r="V82" s="118" t="n">
        <x:v>0</x:v>
      </x:c>
      <x:c r="W82" s="118" t="n">
        <x:v>1</x:v>
      </x:c>
      <x:c r="X82" s="118" t="n">
        <x:v>0</x:v>
      </x:c>
      <x:c r="Y82" s="118" t="n">
        <x:v>1</x:v>
      </x:c>
      <x:c r="Z82" s="117" t="str">
        <x:v>N/A</x:v>
      </x:c>
      <x:c r="AA82" s="120" t="n">
        <x:v>44977.64710648148</x:v>
      </x:c>
      <x:c r="AB82" s="117" t="str">
        <x:v>Jordan Reeves</x:v>
      </x:c>
      <x:c r="AC82" s="119" t="str">
        <x:v>Notification for when Big Iron is received in to a Probo EU Controlled Location</x:v>
      </x:c>
      <x:c r="AD82" s="119" t="str"/>
    </x:row>
    <x:row r="83" ht="34" customHeight="1">
      <x:c r="A83" s="117" t="str">
        <x:v>300Ro00000EC7AbIAL</x:v>
      </x:c>
      <x:c r="B83" s="117" t="str">
        <x:v>BIPO_Closed_Lost_Notification</x:v>
      </x:c>
      <x:c r="C83" s="117" t="str">
        <x:v>BIPO Closed Lost Notification</x:v>
      </x:c>
      <x:c r="D83" s="117" t="str">
        <x:v>Yes</x:v>
      </x:c>
      <x:c r="E83" s="118" t="n">
        <x:v>6</x:v>
      </x:c>
      <x:c r="F83" s="118" t="n">
        <x:v>7</x:v>
      </x:c>
      <x:c r="G83" s="117" t="str">
        <x:v>No</x:v>
      </x:c>
      <x:c r="H83" s="119" t="str">
        <x:v>Active v6 (Tooling metadata)</x:v>
      </x:c>
      <x:c r="I83" s="117" t="str">
        <x:v>AutoLaunchedFlow</x:v>
      </x:c>
      <x:c r="J83" s="117" t="str">
        <x:v>Opportunity</x:v>
      </x:c>
      <x:c r="K83" s="117" t="str">
        <x:v>Yes</x:v>
      </x:c>
      <x:c r="L83" s="117" t="str">
        <x:v>Update</x:v>
      </x:c>
      <x:c r="M83" s="117" t="str">
        <x:v>RecordAfterSave</x:v>
      </x:c>
      <x:c r="N83" s="117"/>
      <x:c r="O83" s="117"/>
      <x:c r="P83" s="117" t="str"/>
      <x:c r="Q83" s="117" t="n">
        <x:v>61</x:v>
      </x:c>
      <x:c r="R83" s="117" t="str">
        <x:v>unmanaged</x:v>
      </x:c>
      <x:c r="S83" s="118" t="n">
        <x:v>7</x:v>
      </x:c>
      <x:c r="T83" s="118" t="n">
        <x:v>3</x:v>
      </x:c>
      <x:c r="U83" s="118" t="n">
        <x:v>1</x:v>
      </x:c>
      <x:c r="V83" s="118" t="n">
        <x:v>0</x:v>
      </x:c>
      <x:c r="W83" s="118" t="n">
        <x:v>1</x:v>
      </x:c>
      <x:c r="X83" s="118" t="n">
        <x:v>0</x:v>
      </x:c>
      <x:c r="Y83" s="118" t="n">
        <x:v>1</x:v>
      </x:c>
      <x:c r="Z83" s="117" t="str">
        <x:v>Strong</x:v>
      </x:c>
      <x:c r="AA83" s="120" t="n">
        <x:v>45470.55616898148</x:v>
      </x:c>
      <x:c r="AB83" s="117" t="str">
        <x:v>Jon Kean</x:v>
      </x:c>
      <x:c r="AC83" s="119" t="str">
        <x:v>20/05/2026 - SP - Updating entry condition to fire only when a record is updated to "Closed Lost".</x:v>
      </x:c>
      <x:c r="AD83" s="119" t="str">
        <x:v>Active version differs from latest; Active flow has no description</x:v>
      </x:c>
    </x:row>
    <x:row r="84" ht="34" customHeight="1">
      <x:c r="A84" s="117" t="str">
        <x:v>3005b000000PzsMAAS</x:v>
      </x:c>
      <x:c r="B84" s="117" t="str">
        <x:v>BIPO_Flow</x:v>
      </x:c>
      <x:c r="C84" s="117" t="str">
        <x:v>BIPO Flow</x:v>
      </x:c>
      <x:c r="D84" s="117" t="str">
        <x:v>No</x:v>
      </x:c>
      <x:c r="E84" s="118"/>
      <x:c r="F84" s="118" t="n">
        <x:v>1</x:v>
      </x:c>
      <x:c r="G84" s="117" t="str">
        <x:v>N/A</x:v>
      </x:c>
      <x:c r="H84" s="119" t="str">
        <x:v>Latest inactive v1 (Retrieved XML)</x:v>
      </x:c>
      <x:c r="I84" s="117" t="str">
        <x:v>Orchestrator</x:v>
      </x:c>
      <x:c r="J84" s="117" t="str">
        <x:v>Opportunity</x:v>
      </x:c>
      <x:c r="K84" s="117" t="str">
        <x:v>No</x:v>
      </x:c>
      <x:c r="L84" s="117" t="str">
        <x:v>CreateAndUpdate</x:v>
      </x:c>
      <x:c r="M84" s="117" t="str">
        <x:v>RecordAfterSave</x:v>
      </x:c>
      <x:c r="N84" s="117"/>
      <x:c r="O84" s="117"/>
      <x:c r="P84" s="117" t="str"/>
      <x:c r="Q84" s="117" t="str">
        <x:v>58.0</x:v>
      </x:c>
      <x:c r="R84" s="117" t="str">
        <x:v>unmanaged</x:v>
      </x:c>
      <x:c r="S84" s="118" t="n">
        <x:v>1</x:v>
      </x:c>
      <x:c r="T84" s="118" t="n">
        <x:v>2</x:v>
      </x:c>
      <x:c r="U84" s="118" t="n">
        <x:v>1</x:v>
      </x:c>
      <x:c r="V84" s="118" t="n">
        <x:v>0</x:v>
      </x:c>
      <x:c r="W84" s="118" t="n">
        <x:v>0</x:v>
      </x:c>
      <x:c r="X84" s="118" t="n">
        <x:v>0</x:v>
      </x:c>
      <x:c r="Y84" s="118" t="n">
        <x:v>1</x:v>
      </x:c>
      <x:c r="Z84" s="117" t="str">
        <x:v>N/A</x:v>
      </x:c>
      <x:c r="AA84" s="120" t="n">
        <x:v>45093.50141203704</x:v>
      </x:c>
      <x:c r="AB84" s="117" t="str">
        <x:v>Jon Kean</x:v>
      </x:c>
      <x:c r="AC84" s="119" t="str">
        <x:v>Big Iron Purchasing Opportunity flow, start to finish triggering all relevant users.</x:v>
      </x:c>
      <x:c r="AD84" s="119" t="str">
        <x:v>Orchestration metadata present</x:v>
      </x:c>
    </x:row>
    <x:row r="85" ht="34" customHeight="1">
      <x:c r="A85" s="117" t="str">
        <x:v>3005b00000113a4AAA</x:v>
      </x:c>
      <x:c r="B85" s="117" t="str">
        <x:v>BIPO_Update_Screen_Flow</x:v>
      </x:c>
      <x:c r="C85" s="117" t="str">
        <x:v>BIPO Update Screen Flow</x:v>
      </x:c>
      <x:c r="D85" s="117" t="str">
        <x:v>Yes</x:v>
      </x:c>
      <x:c r="E85" s="118" t="n">
        <x:v>6</x:v>
      </x:c>
      <x:c r="F85" s="118" t="n">
        <x:v>7</x:v>
      </x:c>
      <x:c r="G85" s="117" t="str">
        <x:v>No</x:v>
      </x:c>
      <x:c r="H85" s="119" t="str">
        <x:v>Active v6 (Tooling metadata)</x:v>
      </x:c>
      <x:c r="I85" s="117" t="str">
        <x:v>Flow</x:v>
      </x:c>
      <x:c r="J85" s="117" t="str"/>
      <x:c r="K85" s="117" t="str">
        <x:v>No</x:v>
      </x:c>
      <x:c r="L85" s="117" t="str"/>
      <x:c r="M85" s="117" t="str"/>
      <x:c r="N85" s="117" t="str">
        <x:v>SystemModeWithoutSharing</x:v>
      </x:c>
      <x:c r="O85" s="117"/>
      <x:c r="P85" s="117" t="str"/>
      <x:c r="Q85" s="117" t="n">
        <x:v>59</x:v>
      </x:c>
      <x:c r="R85" s="117" t="str">
        <x:v>unmanaged</x:v>
      </x:c>
      <x:c r="S85" s="118" t="n">
        <x:v>7</x:v>
      </x:c>
      <x:c r="T85" s="118" t="n">
        <x:v>4</x:v>
      </x:c>
      <x:c r="U85" s="118" t="n">
        <x:v>1</x:v>
      </x:c>
      <x:c r="V85" s="118" t="n">
        <x:v>0</x:v>
      </x:c>
      <x:c r="W85" s="118" t="n">
        <x:v>0</x:v>
      </x:c>
      <x:c r="X85" s="118" t="n">
        <x:v>0</x:v>
      </x:c>
      <x:c r="Y85" s="118" t="n">
        <x:v>1</x:v>
      </x:c>
      <x:c r="Z85" s="117" t="str">
        <x:v>N/A</x:v>
      </x:c>
      <x:c r="AA85" s="120" t="n">
        <x:v>45631.47386574074</x:v>
      </x:c>
      <x:c r="AB85" s="117" t="str">
        <x:v>Jon Kean</x:v>
      </x:c>
      <x:c r="AC85" s="119" t="str">
        <x:v>Used for a button that updates locked BIPO opportunities</x:v>
      </x:c>
      <x:c r="AD85" s="119" t="str">
        <x:v>Active version differs from latest</x:v>
      </x:c>
    </x:row>
    <x:row r="86" ht="34" customHeight="1">
      <x:c r="A86" s="117" t="str">
        <x:v>300Ro00000Pz0kgIAB</x:v>
      </x:c>
      <x:c r="B86" s="117" t="str">
        <x:v>C_ARM_Checklist</x:v>
      </x:c>
      <x:c r="C86" s="117" t="str">
        <x:v>C-ARM Checklist</x:v>
      </x:c>
      <x:c r="D86" s="117" t="str">
        <x:v>Yes</x:v>
      </x:c>
      <x:c r="E86" s="118" t="n">
        <x:v>32</x:v>
      </x:c>
      <x:c r="F86" s="118" t="n">
        <x:v>32</x:v>
      </x:c>
      <x:c r="G86" s="117" t="str">
        <x:v>Yes</x:v>
      </x:c>
      <x:c r="H86" s="119" t="str">
        <x:v>Active v32 (Retrieved XML)</x:v>
      </x:c>
      <x:c r="I86" s="117" t="str">
        <x:v>FieldServiceMobile</x:v>
      </x:c>
      <x:c r="J86" s="117" t="str"/>
      <x:c r="K86" s="117" t="str">
        <x:v>No</x:v>
      </x:c>
      <x:c r="L86" s="117" t="str"/>
      <x:c r="M86" s="117" t="str"/>
      <x:c r="N86" s="117"/>
      <x:c r="O86" s="117"/>
      <x:c r="P86" s="117" t="str"/>
      <x:c r="Q86" s="117"/>
      <x:c r="R86" s="117" t="str">
        <x:v>unmanaged</x:v>
      </x:c>
      <x:c r="S86" s="118" t="n">
        <x:v>32</x:v>
      </x:c>
      <x:c r="T86" s="118" t="n">
        <x:v>20</x:v>
      </x:c>
      <x:c r="U86" s="118" t="n">
        <x:v>3</x:v>
      </x:c>
      <x:c r="V86" s="118" t="n">
        <x:v>0</x:v>
      </x:c>
      <x:c r="W86" s="118" t="n">
        <x:v>0</x:v>
      </x:c>
      <x:c r="X86" s="118" t="n">
        <x:v>0</x:v>
      </x:c>
      <x:c r="Y86" s="118" t="n">
        <x:v>3</x:v>
      </x:c>
      <x:c r="Z86" s="117" t="str">
        <x:v>N/A</x:v>
      </x:c>
      <x:c r="AA86" s="120" t="n">
        <x:v>46220.61486111111</x:v>
      </x:c>
      <x:c r="AB86" s="117" t="str">
        <x:v>Sacha Pearce</x:v>
      </x:c>
      <x:c r="AC86" s="119" t="str">
        <x:v>17/07/2026 - SP - Updating the "Checklist Type" field to be set dynamically based on the Service Appointment's "Work Type".</x:v>
      </x:c>
      <x:c r="AD86" s="119" t="str"/>
    </x:row>
    <x:row r="87" ht="34" customHeight="1">
      <x:c r="A87" s="117" t="str">
        <x:v>3004O000000LOstQAG</x:v>
      </x:c>
      <x:c r="B87" s="117" t="str">
        <x:v>Calculate_Sales_Tax_on_Sales_Shipper</x:v>
      </x:c>
      <x:c r="C87" s="117" t="str">
        <x:v>Calculate Sales Tax on Sales Shipper</x:v>
      </x:c>
      <x:c r="D87" s="117" t="str">
        <x:v>No</x:v>
      </x:c>
      <x:c r="E87" s="118"/>
      <x:c r="F87" s="118" t="n">
        <x:v>2</x:v>
      </x:c>
      <x:c r="G87" s="117" t="str">
        <x:v>N/A</x:v>
      </x:c>
      <x:c r="H87" s="119" t="str">
        <x:v>Latest inactive v2 (Retrieved XML)</x:v>
      </x:c>
      <x:c r="I87" s="117" t="str">
        <x:v>Workflow</x:v>
      </x:c>
      <x:c r="J87" s="117" t="str"/>
      <x:c r="K87" s="117" t="str">
        <x:v>No</x:v>
      </x:c>
      <x:c r="L87" s="117" t="str"/>
      <x:c r="M87" s="117" t="str"/>
      <x:c r="N87" s="117"/>
      <x:c r="O87" s="117"/>
      <x:c r="P87" s="117" t="str"/>
      <x:c r="Q87" s="117" t="str">
        <x:v>50.0</x:v>
      </x:c>
      <x:c r="R87" s="117" t="str">
        <x:v>unmanaged</x:v>
      </x:c>
      <x:c r="S87" s="118" t="n">
        <x:v>2</x:v>
      </x:c>
      <x:c r="T87" s="118" t="n">
        <x:v>3</x:v>
      </x:c>
      <x:c r="U87" s="118" t="n">
        <x:v>1</x:v>
      </x:c>
      <x:c r="V87" s="118" t="n">
        <x:v>0</x:v>
      </x:c>
      <x:c r="W87" s="118" t="n">
        <x:v>0</x:v>
      </x:c>
      <x:c r="X87" s="118" t="n">
        <x:v>0</x:v>
      </x:c>
      <x:c r="Y87" s="118" t="n">
        <x:v>1</x:v>
      </x:c>
      <x:c r="Z87" s="117" t="str">
        <x:v>N/A</x:v>
      </x:c>
      <x:c r="AA87" s="120" t="n">
        <x:v>44200.60686342593</x:v>
      </x:c>
      <x:c r="AB87" s="117" t="str">
        <x:v>Trent VanEmon</x:v>
      </x:c>
      <x:c r="AC87" s="119" t="str"/>
      <x:c r="AD87" s="119" t="str"/>
    </x:row>
    <x:row r="88" ht="34" customHeight="1">
      <x:c r="A88" s="117" t="str">
        <x:v>3004O000000LOsZQAW</x:v>
      </x:c>
      <x:c r="B88" s="117" t="str">
        <x:v>Calculate_Tax_Automatically_on_Closed_Won</x:v>
      </x:c>
      <x:c r="C88" s="117" t="str">
        <x:v>Calculate Tax Automatically on Closed Won</x:v>
      </x:c>
      <x:c r="D88" s="117" t="str">
        <x:v>No</x:v>
      </x:c>
      <x:c r="E88" s="118"/>
      <x:c r="F88" s="118" t="n">
        <x:v>3</x:v>
      </x:c>
      <x:c r="G88" s="117" t="str">
        <x:v>N/A</x:v>
      </x:c>
      <x:c r="H88" s="119" t="str">
        <x:v>Latest inactive v3 (Retrieved XML)</x:v>
      </x:c>
      <x:c r="I88" s="117" t="str">
        <x:v>Workflow</x:v>
      </x:c>
      <x:c r="J88" s="117" t="str"/>
      <x:c r="K88" s="117" t="str">
        <x:v>No</x:v>
      </x:c>
      <x:c r="L88" s="117" t="str"/>
      <x:c r="M88" s="117" t="str"/>
      <x:c r="N88" s="117"/>
      <x:c r="O88" s="117"/>
      <x:c r="P88" s="117" t="str"/>
      <x:c r="Q88" s="117" t="str">
        <x:v>50.0</x:v>
      </x:c>
      <x:c r="R88" s="117" t="str">
        <x:v>unmanaged</x:v>
      </x:c>
      <x:c r="S88" s="118" t="n">
        <x:v>3</x:v>
      </x:c>
      <x:c r="T88" s="118" t="n">
        <x:v>3</x:v>
      </x:c>
      <x:c r="U88" s="118" t="n">
        <x:v>1</x:v>
      </x:c>
      <x:c r="V88" s="118" t="n">
        <x:v>0</x:v>
      </x:c>
      <x:c r="W88" s="118" t="n">
        <x:v>0</x:v>
      </x:c>
      <x:c r="X88" s="118" t="n">
        <x:v>0</x:v>
      </x:c>
      <x:c r="Y88" s="118" t="n">
        <x:v>1</x:v>
      </x:c>
      <x:c r="Z88" s="117" t="str">
        <x:v>N/A</x:v>
      </x:c>
      <x:c r="AA88" s="120" t="n">
        <x:v>44200.19261574074</x:v>
      </x:c>
      <x:c r="AB88" s="117" t="str">
        <x:v>Trent VanEmon</x:v>
      </x:c>
      <x:c r="AC88" s="119" t="str"/>
      <x:c r="AD88" s="119" t="str"/>
    </x:row>
    <x:row r="89" ht="34" customHeight="1">
      <x:c r="A89" s="117" t="str">
        <x:v>3004O000000LOsaQAG</x:v>
      </x:c>
      <x:c r="B89" s="117" t="str">
        <x:v>Calculate_Tax_when_Opp_Closed_Won</x:v>
      </x:c>
      <x:c r="C89" s="117" t="str">
        <x:v>Calculate Tax when Opp Closed Won</x:v>
      </x:c>
      <x:c r="D89" s="117" t="str">
        <x:v>No</x:v>
      </x:c>
      <x:c r="E89" s="118"/>
      <x:c r="F89" s="118" t="n">
        <x:v>1</x:v>
      </x:c>
      <x:c r="G89" s="117" t="str">
        <x:v>N/A</x:v>
      </x:c>
      <x:c r="H89" s="119" t="str">
        <x:v>Latest inactive v1 (Retrieved XML)</x:v>
      </x:c>
      <x:c r="I89" s="117" t="str">
        <x:v>Workflow</x:v>
      </x:c>
      <x:c r="J89" s="117" t="str"/>
      <x:c r="K89" s="117" t="str">
        <x:v>No</x:v>
      </x:c>
      <x:c r="L89" s="117" t="str"/>
      <x:c r="M89" s="117" t="str"/>
      <x:c r="N89" s="117"/>
      <x:c r="O89" s="117"/>
      <x:c r="P89" s="117" t="str"/>
      <x:c r="Q89" s="117" t="str">
        <x:v>50.0</x:v>
      </x:c>
      <x:c r="R89" s="117" t="str">
        <x:v>unmanaged</x:v>
      </x:c>
      <x:c r="S89" s="118" t="n">
        <x:v>1</x:v>
      </x:c>
      <x:c r="T89" s="118" t="n">
        <x:v>1</x:v>
      </x:c>
      <x:c r="U89" s="118" t="n">
        <x:v>1</x:v>
      </x:c>
      <x:c r="V89" s="118" t="n">
        <x:v>0</x:v>
      </x:c>
      <x:c r="W89" s="118" t="n">
        <x:v>0</x:v>
      </x:c>
      <x:c r="X89" s="118" t="n">
        <x:v>0</x:v>
      </x:c>
      <x:c r="Y89" s="118" t="n">
        <x:v>1</x:v>
      </x:c>
      <x:c r="Z89" s="117" t="str">
        <x:v>N/A</x:v>
      </x:c>
      <x:c r="AA89" s="120" t="n">
        <x:v>44199.74927083333</x:v>
      </x:c>
      <x:c r="AB89" s="117" t="str">
        <x:v>Delegate</x:v>
      </x:c>
      <x:c r="AC89" s="119" t="str"/>
      <x:c r="AD89" s="119" t="str"/>
    </x:row>
    <x:row r="90" ht="34" customHeight="1">
      <x:c r="A90" s="117" t="str">
        <x:v>300Ro00000hxAaTIAU</x:v>
      </x:c>
      <x:c r="B90" s="117" t="str">
        <x:v>Calibration_due_soon_30_days</x:v>
      </x:c>
      <x:c r="C90" s="117" t="str">
        <x:v>Calibration due soon - 30 days</x:v>
      </x:c>
      <x:c r="D90" s="117" t="str">
        <x:v>No</x:v>
      </x:c>
      <x:c r="E90" s="118"/>
      <x:c r="F90" s="118" t="n">
        <x:v>1</x:v>
      </x:c>
      <x:c r="G90" s="117" t="str">
        <x:v>N/A</x:v>
      </x:c>
      <x:c r="H90" s="119" t="str">
        <x:v>Latest inactive v1 (Retrieved XML)</x:v>
      </x:c>
      <x:c r="I90" s="117" t="str">
        <x:v>AutoLaunchedFlow</x:v>
      </x:c>
      <x:c r="J90" s="117" t="str">
        <x:v>Equipment__c</x:v>
      </x:c>
      <x:c r="K90" s="117" t="str">
        <x:v>No</x:v>
      </x:c>
      <x:c r="L90" s="117" t="str">
        <x:v>CreateAndUpdate</x:v>
      </x:c>
      <x:c r="M90" s="117" t="str">
        <x:v>RecordAfterSave</x:v>
      </x:c>
      <x:c r="N90" s="117"/>
      <x:c r="O90" s="117"/>
      <x:c r="P90" s="117" t="str"/>
      <x:c r="Q90" s="117" t="str">
        <x:v>64.0</x:v>
      </x:c>
      <x:c r="R90" s="117" t="str">
        <x:v>unmanaged</x:v>
      </x:c>
      <x:c r="S90" s="118" t="n">
        <x:v>1</x:v>
      </x:c>
      <x:c r="T90" s="118" t="n">
        <x:v>2</x:v>
      </x:c>
      <x:c r="U90" s="118" t="n">
        <x:v>1</x:v>
      </x:c>
      <x:c r="V90" s="118" t="n">
        <x:v>0</x:v>
      </x:c>
      <x:c r="W90" s="118" t="n">
        <x:v>1</x:v>
      </x:c>
      <x:c r="X90" s="118" t="n">
        <x:v>0</x:v>
      </x:c>
      <x:c r="Y90" s="118" t="n">
        <x:v>1</x:v>
      </x:c>
      <x:c r="Z90" s="117" t="str">
        <x:v>N/A</x:v>
      </x:c>
      <x:c r="AA90" s="120" t="n">
        <x:v>45937.49668981481</x:v>
      </x:c>
      <x:c r="AB90" s="117" t="str">
        <x:v>Michelle Steadman</x:v>
      </x:c>
      <x:c r="AC90" s="119" t="str">
        <x:v>Migrated from the: Calibration due soon - 30 days workflow rule
Workflow rule description: "</x:v>
      </x:c>
      <x:c r="AD90" s="119" t="str"/>
    </x:row>
    <x:row r="91" ht="34" customHeight="1">
      <x:c r="A91" s="117" t="str">
        <x:v>300Ro00000hx76MIAQ</x:v>
      </x:c>
      <x:c r="B91" s="117" t="str">
        <x:v>Calibration_due_soon_30_days_2</x:v>
      </x:c>
      <x:c r="C91" s="117" t="str">
        <x:v>Calibration due soon - 30 days_2</x:v>
      </x:c>
      <x:c r="D91" s="117" t="str">
        <x:v>No</x:v>
      </x:c>
      <x:c r="E91" s="118"/>
      <x:c r="F91" s="118" t="n">
        <x:v>1</x:v>
      </x:c>
      <x:c r="G91" s="117" t="str">
        <x:v>N/A</x:v>
      </x:c>
      <x:c r="H91" s="119" t="str">
        <x:v>Latest inactive v1 (Retrieved XML)</x:v>
      </x:c>
      <x:c r="I91" s="117" t="str">
        <x:v>AutoLaunchedFlow</x:v>
      </x:c>
      <x:c r="J91" s="117" t="str">
        <x:v>Equipment__c</x:v>
      </x:c>
      <x:c r="K91" s="117" t="str">
        <x:v>No</x:v>
      </x:c>
      <x:c r="L91" s="117" t="str">
        <x:v>CreateAndUpdate</x:v>
      </x:c>
      <x:c r="M91" s="117" t="str">
        <x:v>RecordAfterSave</x:v>
      </x:c>
      <x:c r="N91" s="117"/>
      <x:c r="O91" s="117"/>
      <x:c r="P91" s="117" t="str"/>
      <x:c r="Q91" s="117" t="str">
        <x:v>64.0</x:v>
      </x:c>
      <x:c r="R91" s="117" t="str">
        <x:v>unmanaged</x:v>
      </x:c>
      <x:c r="S91" s="118" t="n">
        <x:v>1</x:v>
      </x:c>
      <x:c r="T91" s="118" t="n">
        <x:v>2</x:v>
      </x:c>
      <x:c r="U91" s="118" t="n">
        <x:v>1</x:v>
      </x:c>
      <x:c r="V91" s="118" t="n">
        <x:v>0</x:v>
      </x:c>
      <x:c r="W91" s="118" t="n">
        <x:v>1</x:v>
      </x:c>
      <x:c r="X91" s="118" t="n">
        <x:v>0</x:v>
      </x:c>
      <x:c r="Y91" s="118" t="n">
        <x:v>1</x:v>
      </x:c>
      <x:c r="Z91" s="117" t="str">
        <x:v>N/A</x:v>
      </x:c>
      <x:c r="AA91" s="120" t="n">
        <x:v>45937.495787037034</x:v>
      </x:c>
      <x:c r="AB91" s="117" t="str">
        <x:v>Michelle Steadman</x:v>
      </x:c>
      <x:c r="AC91" s="119" t="str">
        <x:v>Migrated from the: Calibration due soon - 30 days workflow rule
Workflow rule description: "</x:v>
      </x:c>
      <x:c r="AD91" s="119" t="str"/>
    </x:row>
    <x:row r="92" ht="34" customHeight="1">
      <x:c r="A92" s="117" t="str">
        <x:v>300Ro00000hx9ZcIAI</x:v>
      </x:c>
      <x:c r="B92" s="117" t="str">
        <x:v>Calibration_due_soon_30_days_3</x:v>
      </x:c>
      <x:c r="C92" s="117" t="str">
        <x:v>Calibration due soon - 30 days_3</x:v>
      </x:c>
      <x:c r="D92" s="117" t="str">
        <x:v>Yes</x:v>
      </x:c>
      <x:c r="E92" s="118" t="n">
        <x:v>1</x:v>
      </x:c>
      <x:c r="F92" s="118" t="n">
        <x:v>1</x:v>
      </x:c>
      <x:c r="G92" s="117" t="str">
        <x:v>Yes</x:v>
      </x:c>
      <x:c r="H92" s="119" t="str">
        <x:v>Active v1 (Retrieved XML)</x:v>
      </x:c>
      <x:c r="I92" s="117" t="str">
        <x:v>AutoLaunchedFlow</x:v>
      </x:c>
      <x:c r="J92" s="117" t="str">
        <x:v>Equipment__c</x:v>
      </x:c>
      <x:c r="K92" s="117" t="str">
        <x:v>Yes</x:v>
      </x:c>
      <x:c r="L92" s="117" t="str">
        <x:v>CreateAndUpdate</x:v>
      </x:c>
      <x:c r="M92" s="117" t="str">
        <x:v>RecordAfterSave</x:v>
      </x:c>
      <x:c r="N92" s="117"/>
      <x:c r="O92" s="117"/>
      <x:c r="P92" s="117" t="str"/>
      <x:c r="Q92" s="117" t="str">
        <x:v>64.0</x:v>
      </x:c>
      <x:c r="R92" s="117" t="str">
        <x:v>unmanaged</x:v>
      </x:c>
      <x:c r="S92" s="118" t="n">
        <x:v>1</x:v>
      </x:c>
      <x:c r="T92" s="118" t="n">
        <x:v>2</x:v>
      </x:c>
      <x:c r="U92" s="118" t="n">
        <x:v>1</x:v>
      </x:c>
      <x:c r="V92" s="118" t="n">
        <x:v>0</x:v>
      </x:c>
      <x:c r="W92" s="118" t="n">
        <x:v>1</x:v>
      </x:c>
      <x:c r="X92" s="118" t="n">
        <x:v>0</x:v>
      </x:c>
      <x:c r="Y92" s="118" t="n">
        <x:v>1</x:v>
      </x:c>
      <x:c r="Z92" s="117" t="str">
        <x:v>Isolated lane</x:v>
      </x:c>
      <x:c r="AA92" s="120" t="n">
        <x:v>45937.49623842593</x:v>
      </x:c>
      <x:c r="AB92" s="117" t="str">
        <x:v>Michelle Steadman</x:v>
      </x:c>
      <x:c r="AC92" s="119" t="str">
        <x:v>Migrated from the: Calibration due soon - 30 days workflow rule
Workflow rule description: "</x:v>
      </x:c>
      <x:c r="AD92" s="119" t="str"/>
    </x:row>
    <x:row r="93" ht="34" customHeight="1">
      <x:c r="A93" s="117" t="str">
        <x:v>300Ro00000Pz0khIAB</x:v>
      </x:c>
      <x:c r="B93" s="117" t="str">
        <x:v>Cardio_Labs_Checklist</x:v>
      </x:c>
      <x:c r="C93" s="117" t="str">
        <x:v>Cardio Labs Checklist</x:v>
      </x:c>
      <x:c r="D93" s="117" t="str">
        <x:v>Yes</x:v>
      </x:c>
      <x:c r="E93" s="118" t="n">
        <x:v>8</x:v>
      </x:c>
      <x:c r="F93" s="118" t="n">
        <x:v>8</x:v>
      </x:c>
      <x:c r="G93" s="117" t="str">
        <x:v>Yes</x:v>
      </x:c>
      <x:c r="H93" s="119" t="str">
        <x:v>Active v8 (Retrieved XML)</x:v>
      </x:c>
      <x:c r="I93" s="117" t="str">
        <x:v>FieldServiceMobile</x:v>
      </x:c>
      <x:c r="J93" s="117" t="str"/>
      <x:c r="K93" s="117" t="str">
        <x:v>No</x:v>
      </x:c>
      <x:c r="L93" s="117" t="str"/>
      <x:c r="M93" s="117" t="str"/>
      <x:c r="N93" s="117"/>
      <x:c r="O93" s="117"/>
      <x:c r="P93" s="117" t="str"/>
      <x:c r="Q93" s="117"/>
      <x:c r="R93" s="117" t="str">
        <x:v>unmanaged</x:v>
      </x:c>
      <x:c r="S93" s="118" t="n">
        <x:v>8</x:v>
      </x:c>
      <x:c r="T93" s="118" t="n">
        <x:v>16</x:v>
      </x:c>
      <x:c r="U93" s="118" t="n">
        <x:v>2</x:v>
      </x:c>
      <x:c r="V93" s="118" t="n">
        <x:v>0</x:v>
      </x:c>
      <x:c r="W93" s="118" t="n">
        <x:v>0</x:v>
      </x:c>
      <x:c r="X93" s="118" t="n">
        <x:v>0</x:v>
      </x:c>
      <x:c r="Y93" s="118" t="n">
        <x:v>2</x:v>
      </x:c>
      <x:c r="Z93" s="117" t="str">
        <x:v>N/A</x:v>
      </x:c>
      <x:c r="AA93" s="120" t="n">
        <x:v>46072.46675925926</x:v>
      </x:c>
      <x:c r="AB93" s="117" t="str">
        <x:v>Sacha Pearce</x:v>
      </x:c>
      <x:c r="AC93" s="119" t="str">
        <x:v>03/19/2025 (BW) - Updated AEC Back-Up to AEC Cut Off
01/15/2026 - V5 - SP - Updating Flow to run with new FSL PPM configuration
01/23/2026 - V7 - SP - Introducing the "Cardio Labs Complete Screen"</x:v>
      </x:c>
      <x:c r="AD93" s="119" t="str"/>
    </x:row>
    <x:row r="94" ht="34" customHeight="1">
      <x:c r="A94" s="117" t="str">
        <x:v>300Ro00000tqEwyIAE</x:v>
      </x:c>
      <x:c r="B94" s="117" t="str">
        <x:v>Case_Creation_Created_by_Entity_and_Initial_Assignment_Record_Triggered_Flow</x:v>
      </x:c>
      <x:c r="C94" s="117" t="str">
        <x:v>Case - Creation - Created by Entity and Initial Assignment - Record-Triggered Flow</x:v>
      </x:c>
      <x:c r="D94" s="117" t="str">
        <x:v>Yes</x:v>
      </x:c>
      <x:c r="E94" s="118" t="n">
        <x:v>2</x:v>
      </x:c>
      <x:c r="F94" s="118" t="n">
        <x:v>2</x:v>
      </x:c>
      <x:c r="G94" s="117" t="str">
        <x:v>Yes</x:v>
      </x:c>
      <x:c r="H94" s="119" t="str">
        <x:v>Active v2 (Retrieved XML)</x:v>
      </x:c>
      <x:c r="I94" s="117" t="str">
        <x:v>AutoLaunchedFlow</x:v>
      </x:c>
      <x:c r="J94" s="117" t="str">
        <x:v>Case</x:v>
      </x:c>
      <x:c r="K94" s="117" t="str">
        <x:v>Yes</x:v>
      </x:c>
      <x:c r="L94" s="117" t="str">
        <x:v>Create</x:v>
      </x:c>
      <x:c r="M94" s="117" t="str">
        <x:v>RecordAfterSave</x:v>
      </x:c>
      <x:c r="N94" s="117"/>
      <x:c r="O94" s="117"/>
      <x:c r="P94" s="117" t="str"/>
      <x:c r="Q94" s="117" t="str">
        <x:v>66.0</x:v>
      </x:c>
      <x:c r="R94" s="117" t="str">
        <x:v>unmanaged</x:v>
      </x:c>
      <x:c r="S94" s="118" t="n">
        <x:v>2</x:v>
      </x:c>
      <x:c r="T94" s="118" t="n">
        <x:v>5</x:v>
      </x:c>
      <x:c r="U94" s="118" t="n">
        <x:v>1</x:v>
      </x:c>
      <x:c r="V94" s="118" t="n">
        <x:v>0</x:v>
      </x:c>
      <x:c r="W94" s="118" t="n">
        <x:v>0</x:v>
      </x:c>
      <x:c r="X94" s="118" t="n">
        <x:v>0</x:v>
      </x:c>
      <x:c r="Y94" s="118" t="n">
        <x:v>1</x:v>
      </x:c>
      <x:c r="Z94" s="117" t="str">
        <x:v>Review</x:v>
      </x:c>
      <x:c r="AA94" s="120" t="n">
        <x:v>46237.60888888889</x:v>
      </x:c>
      <x:c r="AB94" s="117" t="str">
        <x:v>Sacha Pearce</x:v>
      </x:c>
      <x:c r="AC94" s="119" t="str">
        <x:v>03/08/2026 - SP - Adding the ID of "0125b000000LWo1AAG" (Salesforce Case) into the Flow's entry conditions to prevent this running on Teams Cases.</x:v>
      </x:c>
      <x:c r="AD94" s="119" t="str"/>
    </x:row>
    <x:row r="95" ht="34" customHeight="1">
      <x:c r="A95" s="117" t="str">
        <x:v>3005b000000H3sLAAS</x:v>
      </x:c>
      <x:c r="B95" s="117" t="str">
        <x:v>Case_Online_Repair_Evaluation_Tool</x:v>
      </x:c>
      <x:c r="C95" s="117" t="str">
        <x:v>Case - Online Repair Evaluation Tool</x:v>
      </x:c>
      <x:c r="D95" s="117" t="str">
        <x:v>Yes</x:v>
      </x:c>
      <x:c r="E95" s="118" t="n">
        <x:v>13</x:v>
      </x:c>
      <x:c r="F95" s="118" t="n">
        <x:v>13</x:v>
      </x:c>
      <x:c r="G95" s="117" t="str">
        <x:v>Yes</x:v>
      </x:c>
      <x:c r="H95" s="119" t="str">
        <x:v>Active v13 (Retrieved XML)</x:v>
      </x:c>
      <x:c r="I95" s="117" t="str">
        <x:v>AutoLaunchedFlow</x:v>
      </x:c>
      <x:c r="J95" s="117" t="str">
        <x:v>Case</x:v>
      </x:c>
      <x:c r="K95" s="117" t="str">
        <x:v>Yes</x:v>
      </x:c>
      <x:c r="L95" s="117" t="str">
        <x:v>Create</x:v>
      </x:c>
      <x:c r="M95" s="117" t="str">
        <x:v>RecordAfterSave</x:v>
      </x:c>
      <x:c r="N95" s="117"/>
      <x:c r="O95" s="117"/>
      <x:c r="P95" s="117" t="str"/>
      <x:c r="Q95" s="117" t="str">
        <x:v>54.0</x:v>
      </x:c>
      <x:c r="R95" s="117" t="str">
        <x:v>unmanaged</x:v>
      </x:c>
      <x:c r="S95" s="118" t="n">
        <x:v>13</x:v>
      </x:c>
      <x:c r="T95" s="118" t="n">
        <x:v>10</x:v>
      </x:c>
      <x:c r="U95" s="118" t="n">
        <x:v>5</x:v>
      </x:c>
      <x:c r="V95" s="118" t="n">
        <x:v>0</x:v>
      </x:c>
      <x:c r="W95" s="118" t="n">
        <x:v>2</x:v>
      </x:c>
      <x:c r="X95" s="118" t="n">
        <x:v>0</x:v>
      </x:c>
      <x:c r="Y95" s="118" t="n">
        <x:v>2</x:v>
      </x:c>
      <x:c r="Z95" s="117" t="str">
        <x:v>Review</x:v>
      </x:c>
      <x:c r="AA95" s="120" t="n">
        <x:v>46183.23061342593</x:v>
      </x:c>
      <x:c r="AB95" s="117" t="str">
        <x:v>Natalie Boger</x:v>
      </x:c>
      <x:c r="AC95" s="119" t="str">
        <x:v>Fixed URL issue with Customer Form from site (related to FedEx shipping label). - NB 06.10.26</x:v>
      </x:c>
      <x:c r="AD95" s="119" t="str">
        <x:v>Touches many objects</x:v>
      </x:c>
    </x:row>
    <x:row r="96" ht="34" customHeight="1">
      <x:c r="A96" s="117" t="str">
        <x:v>3004O000000XhC6QAK</x:v>
      </x:c>
      <x:c r="B96" s="117" t="str">
        <x:v>Case_PB</x:v>
      </x:c>
      <x:c r="C96" s="117" t="str">
        <x:v>Case PB</x:v>
      </x:c>
      <x:c r="D96" s="117" t="str">
        <x:v>Yes</x:v>
      </x:c>
      <x:c r="E96" s="118" t="n">
        <x:v>23</x:v>
      </x:c>
      <x:c r="F96" s="118" t="n">
        <x:v>23</x:v>
      </x:c>
      <x:c r="G96" s="117" t="str">
        <x:v>Yes</x:v>
      </x:c>
      <x:c r="H96" s="119" t="str">
        <x:v>Active v23 (Retrieved XML)</x:v>
      </x:c>
      <x:c r="I96" s="117" t="str">
        <x:v>Workflow</x:v>
      </x:c>
      <x:c r="J96" s="117" t="str"/>
      <x:c r="K96" s="117" t="str">
        <x:v>No</x:v>
      </x:c>
      <x:c r="L96" s="117" t="str"/>
      <x:c r="M96" s="117" t="str"/>
      <x:c r="N96" s="117"/>
      <x:c r="O96" s="117"/>
      <x:c r="P96" s="117" t="str"/>
      <x:c r="Q96" s="117" t="str">
        <x:v>51.0</x:v>
      </x:c>
      <x:c r="R96" s="117" t="str">
        <x:v>unmanaged</x:v>
      </x:c>
      <x:c r="S96" s="118" t="n">
        <x:v>23</x:v>
      </x:c>
      <x:c r="T96" s="118" t="n">
        <x:v>24</x:v>
      </x:c>
      <x:c r="U96" s="118" t="n">
        <x:v>1</x:v>
      </x:c>
      <x:c r="V96" s="118" t="n">
        <x:v>0</x:v>
      </x:c>
      <x:c r="W96" s="118" t="n">
        <x:v>6</x:v>
      </x:c>
      <x:c r="X96" s="118" t="n">
        <x:v>0</x:v>
      </x:c>
      <x:c r="Y96" s="118" t="n">
        <x:v>3</x:v>
      </x:c>
      <x:c r="Z96" s="117" t="str">
        <x:v>N/A</x:v>
      </x:c>
      <x:c r="AA96" s="120" t="n">
        <x:v>45943.877488425926</x:v>
      </x:c>
      <x:c r="AB96" s="117" t="str">
        <x:v>Bill Hagarty</x:v>
      </x:c>
      <x:c r="AC96" s="119" t="str">
        <x:v>Actions that occur on case creation and modification</x:v>
      </x:c>
      <x:c r="AD96" s="119" t="str"/>
    </x:row>
    <x:row r="97" ht="34" customHeight="1">
      <x:c r="A97" s="117" t="str">
        <x:v>300Ro00000tqEwzIAE</x:v>
      </x:c>
      <x:c r="B97" s="117" t="str">
        <x:v>Case_Update_Case_Automations_Record_Triggered_Flow</x:v>
      </x:c>
      <x:c r="C97" s="117" t="str">
        <x:v>Case - Update - Case Automations - Record-Triggered Flow</x:v>
      </x:c>
      <x:c r="D97" s="117" t="str">
        <x:v>Yes</x:v>
      </x:c>
      <x:c r="E97" s="118" t="n">
        <x:v>3</x:v>
      </x:c>
      <x:c r="F97" s="118" t="n">
        <x:v>3</x:v>
      </x:c>
      <x:c r="G97" s="117" t="str">
        <x:v>Yes</x:v>
      </x:c>
      <x:c r="H97" s="119" t="str">
        <x:v>Active v3 (Retrieved XML)</x:v>
      </x:c>
      <x:c r="I97" s="117" t="str">
        <x:v>AutoLaunchedFlow</x:v>
      </x:c>
      <x:c r="J97" s="117" t="str">
        <x:v>Case</x:v>
      </x:c>
      <x:c r="K97" s="117" t="str">
        <x:v>Yes</x:v>
      </x:c>
      <x:c r="L97" s="117" t="str">
        <x:v>Update</x:v>
      </x:c>
      <x:c r="M97" s="117" t="str">
        <x:v>RecordAfterSave</x:v>
      </x:c>
      <x:c r="N97" s="117"/>
      <x:c r="O97" s="117"/>
      <x:c r="P97" s="117" t="str"/>
      <x:c r="Q97" s="117" t="str">
        <x:v>66.0</x:v>
      </x:c>
      <x:c r="R97" s="117" t="str">
        <x:v>unmanaged</x:v>
      </x:c>
      <x:c r="S97" s="118" t="n">
        <x:v>3</x:v>
      </x:c>
      <x:c r="T97" s="118" t="n">
        <x:v>9</x:v>
      </x:c>
      <x:c r="U97" s="118" t="n">
        <x:v>1</x:v>
      </x:c>
      <x:c r="V97" s="118" t="n">
        <x:v>0</x:v>
      </x:c>
      <x:c r="W97" s="118" t="n">
        <x:v>0</x:v>
      </x:c>
      <x:c r="X97" s="118" t="n">
        <x:v>0</x:v>
      </x:c>
      <x:c r="Y97" s="118" t="n">
        <x:v>1</x:v>
      </x:c>
      <x:c r="Z97" s="117" t="str">
        <x:v>Isolated lane</x:v>
      </x:c>
      <x:c r="AA97" s="120" t="n">
        <x:v>46126.53224537037</x:v>
      </x:c>
      <x:c r="AB97" s="117" t="str">
        <x:v>Sacha Pearce</x:v>
      </x:c>
      <x:c r="AC97" s="119" t="str">
        <x:v>14/04/2026 - SP - Ensuring the varAssignedTo is set in the "Set Status to Claimed" route</x:v>
      </x:c>
      <x:c r="AD97" s="119" t="str"/>
    </x:row>
    <x:row r="98" ht="34" customHeight="1">
      <x:c r="A98" s="117" t="str">
        <x:v>3005b000000H42uAAC</x:v>
      </x:c>
      <x:c r="B98" s="117" t="str">
        <x:v>Change_Contract_Line_Item_Product_UK</x:v>
      </x:c>
      <x:c r="C98" s="117" t="str">
        <x:v>Change Contract Line Item Product - UK</x:v>
      </x:c>
      <x:c r="D98" s="117" t="str">
        <x:v>Yes</x:v>
      </x:c>
      <x:c r="E98" s="118" t="n">
        <x:v>9</x:v>
      </x:c>
      <x:c r="F98" s="118" t="n">
        <x:v>9</x:v>
      </x:c>
      <x:c r="G98" s="117" t="str">
        <x:v>Yes</x:v>
      </x:c>
      <x:c r="H98" s="119" t="str">
        <x:v>Active v9 (Retrieved XML)</x:v>
      </x:c>
      <x:c r="I98" s="117" t="str">
        <x:v>Flow</x:v>
      </x:c>
      <x:c r="J98" s="117" t="str"/>
      <x:c r="K98" s="117" t="str">
        <x:v>No</x:v>
      </x:c>
      <x:c r="L98" s="117" t="str"/>
      <x:c r="M98" s="117" t="str"/>
      <x:c r="N98" s="117"/>
      <x:c r="O98" s="117"/>
      <x:c r="P98" s="117" t="str"/>
      <x:c r="Q98" s="117" t="str">
        <x:v>55.0</x:v>
      </x:c>
      <x:c r="R98" s="117" t="str">
        <x:v>unmanaged</x:v>
      </x:c>
      <x:c r="S98" s="118" t="n">
        <x:v>9</x:v>
      </x:c>
      <x:c r="T98" s="118" t="n">
        <x:v>13</x:v>
      </x:c>
      <x:c r="U98" s="118" t="n">
        <x:v>4</x:v>
      </x:c>
      <x:c r="V98" s="118" t="n">
        <x:v>0</x:v>
      </x:c>
      <x:c r="W98" s="118" t="n">
        <x:v>0</x:v>
      </x:c>
      <x:c r="X98" s="118" t="n">
        <x:v>1</x:v>
      </x:c>
      <x:c r="Y98" s="118" t="n">
        <x:v>2</x:v>
      </x:c>
      <x:c r="Z98" s="117" t="str">
        <x:v>N/A</x:v>
      </x:c>
      <x:c r="AA98" s="120" t="n">
        <x:v>45747.65130787037</x:v>
      </x:c>
      <x:c r="AB98" s="117" t="str">
        <x:v>Sacha Pearce</x:v>
      </x:c>
      <x:c r="AC98" s="119" t="str">
        <x:v>Added a completion screen at the end of the flow
Added Modality to CreateNewContractLineItem - SP 31/03/2025</x:v>
      </x:c>
      <x:c r="AD98" s="119" t="str">
        <x:v>Touches many objects</x:v>
      </x:c>
    </x:row>
    <x:row r="99" ht="34" customHeight="1">
      <x:c r="A99" s="117" t="str">
        <x:v>300Ro00000vlkEhIAI</x:v>
      </x:c>
      <x:c r="B99" s="117" t="str">
        <x:v>Change_Request_After_Update_Lifecycle_Automations</x:v>
      </x:c>
      <x:c r="C99" s="117" t="str">
        <x:v>Change Request - After Update - Lifecycle Automations</x:v>
      </x:c>
      <x:c r="D99" s="117" t="str">
        <x:v>Yes</x:v>
      </x:c>
      <x:c r="E99" s="118" t="n">
        <x:v>1</x:v>
      </x:c>
      <x:c r="F99" s="118" t="n">
        <x:v>1</x:v>
      </x:c>
      <x:c r="G99" s="117" t="str">
        <x:v>Yes</x:v>
      </x:c>
      <x:c r="H99" s="119" t="str">
        <x:v>Active v1 (Retrieved XML)</x:v>
      </x:c>
      <x:c r="I99" s="117" t="str">
        <x:v>AutoLaunchedFlow</x:v>
      </x:c>
      <x:c r="J99" s="117" t="str">
        <x:v>Change_Request__c</x:v>
      </x:c>
      <x:c r="K99" s="117" t="str">
        <x:v>Yes</x:v>
      </x:c>
      <x:c r="L99" s="117" t="str">
        <x:v>Update</x:v>
      </x:c>
      <x:c r="M99" s="117" t="str">
        <x:v>RecordAfterSave</x:v>
      </x:c>
      <x:c r="N99" s="117"/>
      <x:c r="O99" s="117"/>
      <x:c r="P99" s="117" t="str"/>
      <x:c r="Q99" s="117" t="str">
        <x:v>66.0</x:v>
      </x:c>
      <x:c r="R99" s="117" t="str">
        <x:v>unmanaged</x:v>
      </x:c>
      <x:c r="S99" s="118" t="n">
        <x:v>1</x:v>
      </x:c>
      <x:c r="T99" s="118" t="n">
        <x:v>3</x:v>
      </x:c>
      <x:c r="U99" s="118" t="n">
        <x:v>1</x:v>
      </x:c>
      <x:c r="V99" s="118" t="n">
        <x:v>0</x:v>
      </x:c>
      <x:c r="W99" s="118" t="n">
        <x:v>0</x:v>
      </x:c>
      <x:c r="X99" s="118" t="n">
        <x:v>0</x:v>
      </x:c>
      <x:c r="Y99" s="118" t="n">
        <x:v>1</x:v>
      </x:c>
      <x:c r="Z99" s="117" t="str">
        <x:v>Isolated lane</x:v>
      </x:c>
      <x:c r="AA99" s="120" t="n">
        <x:v>46134.343506944446</x:v>
      </x:c>
      <x:c r="AB99" s="117" t="str">
        <x:v>Sacha Pearce</x:v>
      </x:c>
      <x:c r="AC99" s="119" t="str">
        <x:v>22/04/2026 - SP - This Flow has been designed to update a Change Request's Related Document after the record has been marked as published.</x:v>
      </x:c>
      <x:c r="AD99" s="119" t="str"/>
    </x:row>
    <x:row r="100" ht="34" customHeight="1">
      <x:c r="A100" s="117" t="str">
        <x:v>300Ro00000tWVtzIAG</x:v>
      </x:c>
      <x:c r="B100" s="117" t="str">
        <x:v>Change_Request_Screen_Flow_Request_New_Document</x:v>
      </x:c>
      <x:c r="C100" s="117" t="str">
        <x:v>Change Request - Screen Flow - Request New Document</x:v>
      </x:c>
      <x:c r="D100" s="117" t="str">
        <x:v>Yes</x:v>
      </x:c>
      <x:c r="E100" s="118" t="n">
        <x:v>2</x:v>
      </x:c>
      <x:c r="F100" s="118" t="n">
        <x:v>2</x:v>
      </x:c>
      <x:c r="G100" s="117" t="str">
        <x:v>Yes</x:v>
      </x:c>
      <x:c r="H100" s="119" t="str">
        <x:v>Active v2 (Retrieved XML)</x:v>
      </x:c>
      <x:c r="I100" s="117" t="str">
        <x:v>Flow</x:v>
      </x:c>
      <x:c r="J100" s="117" t="str"/>
      <x:c r="K100" s="117" t="str">
        <x:v>No</x:v>
      </x:c>
      <x:c r="L100" s="117" t="str"/>
      <x:c r="M100" s="117" t="str"/>
      <x:c r="N100" s="117"/>
      <x:c r="O100" s="117"/>
      <x:c r="P100" s="117" t="str"/>
      <x:c r="Q100" s="117" t="str">
        <x:v>66.0</x:v>
      </x:c>
      <x:c r="R100" s="117" t="str">
        <x:v>unmanaged</x:v>
      </x:c>
      <x:c r="S100" s="118" t="n">
        <x:v>2</x:v>
      </x:c>
      <x:c r="T100" s="118" t="n">
        <x:v>10</x:v>
      </x:c>
      <x:c r="U100" s="118" t="n">
        <x:v>2</x:v>
      </x:c>
      <x:c r="V100" s="118" t="n">
        <x:v>0</x:v>
      </x:c>
      <x:c r="W100" s="118" t="n">
        <x:v>0</x:v>
      </x:c>
      <x:c r="X100" s="118" t="n">
        <x:v>1</x:v>
      </x:c>
      <x:c r="Y100" s="118" t="n">
        <x:v>1</x:v>
      </x:c>
      <x:c r="Z100" s="117" t="str">
        <x:v>N/A</x:v>
      </x:c>
      <x:c r="AA100" s="120" t="n">
        <x:v>46139.390023148146</x:v>
      </x:c>
      <x:c r="AB100" s="117" t="str">
        <x:v>Sacha Pearce</x:v>
      </x:c>
      <x:c r="AC100" s="119" t="str">
        <x:v>This is used by various team members to request that a new document is introduced into the QMS.</x:v>
      </x:c>
      <x:c r="AD100" s="119" t="str"/>
    </x:row>
    <x:row r="101" ht="34" customHeight="1">
      <x:c r="A101" s="117" t="str">
        <x:v>3005b000000H421AAC</x:v>
      </x:c>
      <x:c r="B101" s="117" t="str">
        <x:v>Charge_for_Removal_Update_Flow_for_Big_Iron_Equipment</x:v>
      </x:c>
      <x:c r="C101" s="117" t="str">
        <x:v>Charge for Removal Update Flow for Big Iron Equipment</x:v>
      </x:c>
      <x:c r="D101" s="117" t="str">
        <x:v>Yes</x:v>
      </x:c>
      <x:c r="E101" s="118" t="n">
        <x:v>2</x:v>
      </x:c>
      <x:c r="F101" s="118" t="n">
        <x:v>2</x:v>
      </x:c>
      <x:c r="G101" s="117" t="str">
        <x:v>Yes</x:v>
      </x:c>
      <x:c r="H101" s="119" t="str">
        <x:v>Active v2 (Retrieved XML)</x:v>
      </x:c>
      <x:c r="I101" s="117" t="str">
        <x:v>AutoLaunchedFlow</x:v>
      </x:c>
      <x:c r="J101" s="117" t="str">
        <x:v>ProductItem__c</x:v>
      </x:c>
      <x:c r="K101" s="117" t="str">
        <x:v>Yes</x:v>
      </x:c>
      <x:c r="L101" s="117" t="str">
        <x:v>Update</x:v>
      </x:c>
      <x:c r="M101" s="117" t="str">
        <x:v>RecordAfterSave</x:v>
      </x:c>
      <x:c r="N101" s="117"/>
      <x:c r="O101" s="117"/>
      <x:c r="P101" s="117" t="str"/>
      <x:c r="Q101" s="117" t="str">
        <x:v>55.0</x:v>
      </x:c>
      <x:c r="R101" s="117" t="str">
        <x:v>unmanaged</x:v>
      </x:c>
      <x:c r="S101" s="118" t="n">
        <x:v>2</x:v>
      </x:c>
      <x:c r="T101" s="118" t="n">
        <x:v>3</x:v>
      </x:c>
      <x:c r="U101" s="118" t="n">
        <x:v>2</x:v>
      </x:c>
      <x:c r="V101" s="118" t="n">
        <x:v>0</x:v>
      </x:c>
      <x:c r="W101" s="118" t="n">
        <x:v>0</x:v>
      </x:c>
      <x:c r="X101" s="118" t="n">
        <x:v>0</x:v>
      </x:c>
      <x:c r="Y101" s="118" t="n">
        <x:v>1</x:v>
      </x:c>
      <x:c r="Z101" s="117" t="str">
        <x:v>Strong</x:v>
      </x:c>
      <x:c r="AA101" s="120" t="n">
        <x:v>46176.332962962966</x:v>
      </x:c>
      <x:c r="AB101" s="117" t="str">
        <x:v>Sacha Pearce</x:v>
      </x:c>
      <x:c r="AC101" s="119" t="str">
        <x:v>03/06/2026 - SP - Updating the Flow to run asynchronously to help avoid SOQL limits.</x:v>
      </x:c>
      <x:c r="AD101" s="119" t="str"/>
    </x:row>
    <x:row r="102" ht="34" customHeight="1">
      <x:c r="A102" s="117" t="str">
        <x:v>300Ro00000yA4ZFIA0</x:v>
      </x:c>
      <x:c r="B102" s="117" t="str">
        <x:v>Cloned_Opportunity_Update_FSR_Attached_and_FSR_Not_Required_to_False</x:v>
      </x:c>
      <x:c r="C102" s="117" t="str">
        <x:v>Cloned Opportunity, Update FSR Attached and FSR Not Required to False</x:v>
      </x:c>
      <x:c r="D102" s="117" t="str">
        <x:v>Yes</x:v>
      </x:c>
      <x:c r="E102" s="118" t="n">
        <x:v>1</x:v>
      </x:c>
      <x:c r="F102" s="118" t="n">
        <x:v>1</x:v>
      </x:c>
      <x:c r="G102" s="117" t="str">
        <x:v>Yes</x:v>
      </x:c>
      <x:c r="H102" s="119" t="str">
        <x:v>Active v1 (Retrieved XML)</x:v>
      </x:c>
      <x:c r="I102" s="117" t="str">
        <x:v>AutoLaunchedFlow</x:v>
      </x:c>
      <x:c r="J102" s="117" t="str">
        <x:v>Opportunity</x:v>
      </x:c>
      <x:c r="K102" s="117" t="str">
        <x:v>Yes</x:v>
      </x:c>
      <x:c r="L102" s="117" t="str">
        <x:v>Create</x:v>
      </x:c>
      <x:c r="M102" s="117" t="str">
        <x:v>RecordAfterSave</x:v>
      </x:c>
      <x:c r="N102" s="117"/>
      <x:c r="O102" s="117"/>
      <x:c r="P102" s="117" t="str"/>
      <x:c r="Q102" s="117" t="str">
        <x:v>66.0</x:v>
      </x:c>
      <x:c r="R102" s="117" t="str">
        <x:v>unmanaged</x:v>
      </x:c>
      <x:c r="S102" s="118" t="n">
        <x:v>1</x:v>
      </x:c>
      <x:c r="T102" s="118" t="n">
        <x:v>2</x:v>
      </x:c>
      <x:c r="U102" s="118" t="n">
        <x:v>1</x:v>
      </x:c>
      <x:c r="V102" s="118" t="n">
        <x:v>0</x:v>
      </x:c>
      <x:c r="W102" s="118" t="n">
        <x:v>0</x:v>
      </x:c>
      <x:c r="X102" s="118" t="n">
        <x:v>0</x:v>
      </x:c>
      <x:c r="Y102" s="118" t="n">
        <x:v>1</x:v>
      </x:c>
      <x:c r="Z102" s="117" t="str">
        <x:v>Strong</x:v>
      </x:c>
      <x:c r="AA102" s="120" t="n">
        <x:v>46164.51793981482</x:v>
      </x:c>
      <x:c r="AB102" s="117" t="str">
        <x:v>Delegate</x:v>
      </x:c>
      <x:c r="AC102" s="119" t="str">
        <x:v>Sets FSR Not Required or FSR Attached to false upon cloning an opportunity</x:v>
      </x:c>
      <x:c r="AD102" s="119" t="str"/>
    </x:row>
    <x:row r="103" ht="34" customHeight="1">
      <x:c r="A103" s="117" t="str">
        <x:v>3005b000000H3h8AAC</x:v>
      </x:c>
      <x:c r="B103" s="117" t="str">
        <x:v>Close_Win_Charge_for_Removal_Op_Automatically</x:v>
      </x:c>
      <x:c r="C103" s="117" t="str">
        <x:v>Close Win Charge for Removal Op Automatically</x:v>
      </x:c>
      <x:c r="D103" s="117" t="str">
        <x:v>Yes</x:v>
      </x:c>
      <x:c r="E103" s="118" t="n">
        <x:v>3</x:v>
      </x:c>
      <x:c r="F103" s="118" t="n">
        <x:v>3</x:v>
      </x:c>
      <x:c r="G103" s="117" t="str">
        <x:v>Yes</x:v>
      </x:c>
      <x:c r="H103" s="119" t="str">
        <x:v>Active v3 (Retrieved XML)</x:v>
      </x:c>
      <x:c r="I103" s="117" t="str">
        <x:v>AutoLaunchedFlow</x:v>
      </x:c>
      <x:c r="J103" s="117" t="str">
        <x:v>Opportunity</x:v>
      </x:c>
      <x:c r="K103" s="117" t="str">
        <x:v>Yes</x:v>
      </x:c>
      <x:c r="L103" s="117" t="str">
        <x:v>Update</x:v>
      </x:c>
      <x:c r="M103" s="117" t="str">
        <x:v>RecordAfterSave</x:v>
      </x:c>
      <x:c r="N103" s="117"/>
      <x:c r="O103" s="117"/>
      <x:c r="P103" s="117" t="str"/>
      <x:c r="Q103" s="117" t="str">
        <x:v>54.0</x:v>
      </x:c>
      <x:c r="R103" s="117" t="str">
        <x:v>unmanaged</x:v>
      </x:c>
      <x:c r="S103" s="118" t="n">
        <x:v>3</x:v>
      </x:c>
      <x:c r="T103" s="118" t="n">
        <x:v>3</x:v>
      </x:c>
      <x:c r="U103" s="118" t="n">
        <x:v>1</x:v>
      </x:c>
      <x:c r="V103" s="118" t="n">
        <x:v>0</x:v>
      </x:c>
      <x:c r="W103" s="118" t="n">
        <x:v>0</x:v>
      </x:c>
      <x:c r="X103" s="118" t="n">
        <x:v>0</x:v>
      </x:c>
      <x:c r="Y103" s="118" t="n">
        <x:v>1</x:v>
      </x:c>
      <x:c r="Z103" s="117" t="str">
        <x:v>Strong</x:v>
      </x:c>
      <x:c r="AA103" s="120" t="n">
        <x:v>45425.831967592596</x:v>
      </x:c>
      <x:c r="AB103" s="117" t="str">
        <x:v>Jace Gentil</x:v>
      </x:c>
      <x:c r="AC103" s="119" t="str"/>
      <x:c r="AD103" s="119" t="str">
        <x:v>Active flow has no description</x:v>
      </x:c>
    </x:row>
    <x:row r="104" ht="34" customHeight="1">
      <x:c r="A104" s="117" t="str">
        <x:v>3005b00000113fZAAQ</x:v>
      </x:c>
      <x:c r="B104" s="117" t="str">
        <x:v>CM_Set_Initial_Credit_Memo_Amount_from_Lines</x:v>
      </x:c>
      <x:c r="C104" s="117" t="str">
        <x:v>CM - Set Initial Credit Memo Amount from Lines</x:v>
      </x:c>
      <x:c r="D104" s="117" t="str">
        <x:v>Yes</x:v>
      </x:c>
      <x:c r="E104" s="118" t="n">
        <x:v>1</x:v>
      </x:c>
      <x:c r="F104" s="118" t="n">
        <x:v>1</x:v>
      </x:c>
      <x:c r="G104" s="117" t="str">
        <x:v>Yes</x:v>
      </x:c>
      <x:c r="H104" s="119" t="str">
        <x:v>Active v1 (Retrieved XML)</x:v>
      </x:c>
      <x:c r="I104" s="117" t="str">
        <x:v>AutoLaunchedFlow</x:v>
      </x:c>
      <x:c r="J104" s="117" t="str">
        <x:v>Credit_Memo__c</x:v>
      </x:c>
      <x:c r="K104" s="117" t="str">
        <x:v>Yes</x:v>
      </x:c>
      <x:c r="L104" s="117" t="str">
        <x:v>CreateAndUpdate</x:v>
      </x:c>
      <x:c r="M104" s="117" t="str">
        <x:v>RecordAfterSave</x:v>
      </x:c>
      <x:c r="N104" s="117"/>
      <x:c r="O104" s="117"/>
      <x:c r="P104" s="117" t="str"/>
      <x:c r="Q104" s="117" t="str">
        <x:v>59.0</x:v>
      </x:c>
      <x:c r="R104" s="117" t="str">
        <x:v>unmanaged</x:v>
      </x:c>
      <x:c r="S104" s="118" t="n">
        <x:v>1</x:v>
      </x:c>
      <x:c r="T104" s="118" t="n">
        <x:v>6</x:v>
      </x:c>
      <x:c r="U104" s="118" t="n">
        <x:v>2</x:v>
      </x:c>
      <x:c r="V104" s="118" t="n">
        <x:v>0</x:v>
      </x:c>
      <x:c r="W104" s="118" t="n">
        <x:v>0</x:v>
      </x:c>
      <x:c r="X104" s="118" t="n">
        <x:v>0</x:v>
      </x:c>
      <x:c r="Y104" s="118" t="n">
        <x:v>1</x:v>
      </x:c>
      <x:c r="Z104" s="117" t="str">
        <x:v>Strong</x:v>
      </x:c>
      <x:c r="AA104" s="120" t="n">
        <x:v>45271.51951388889</x:v>
      </x:c>
      <x:c r="AB104" s="117" t="str">
        <x:v>Delegate</x:v>
      </x:c>
      <x:c r="AC104" s="119" t="str">
        <x:v>12/11/2023 (BW) - Runs the initial setting of the credit memo amount when the credit memo is selected to be based on the opportunity products.</x:v>
      </x:c>
      <x:c r="AD104" s="119" t="str"/>
    </x:row>
    <x:row r="105" ht="34" customHeight="1">
      <x:c r="A105" s="117" t="str">
        <x:v>3005b000000Pzl1AAC</x:v>
      </x:c>
      <x:c r="B105" s="117" t="str">
        <x:v>Coil_RMA_Update_Last_Test_Completed_Date_Flow</x:v>
      </x:c>
      <x:c r="C105" s="117" t="str">
        <x:v>Coil RMA Update Last Test Completed Date Flow</x:v>
      </x:c>
      <x:c r="D105" s="117" t="str">
        <x:v>Yes</x:v>
      </x:c>
      <x:c r="E105" s="118" t="n">
        <x:v>2</x:v>
      </x:c>
      <x:c r="F105" s="118" t="n">
        <x:v>2</x:v>
      </x:c>
      <x:c r="G105" s="117" t="str">
        <x:v>Yes</x:v>
      </x:c>
      <x:c r="H105" s="119" t="str">
        <x:v>Active v2 (Retrieved XML)</x:v>
      </x:c>
      <x:c r="I105" s="117" t="str">
        <x:v>AutoLaunchedFlow</x:v>
      </x:c>
      <x:c r="J105" s="117" t="str">
        <x:v>ProductItem__c</x:v>
      </x:c>
      <x:c r="K105" s="117" t="str">
        <x:v>Yes</x:v>
      </x:c>
      <x:c r="L105" s="117" t="str">
        <x:v>Update</x:v>
      </x:c>
      <x:c r="M105" s="117" t="str">
        <x:v>RecordAfterSave</x:v>
      </x:c>
      <x:c r="N105" s="117"/>
      <x:c r="O105" s="117"/>
      <x:c r="P105" s="117" t="str"/>
      <x:c r="Q105" s="117" t="str">
        <x:v>57.0</x:v>
      </x:c>
      <x:c r="R105" s="117" t="str">
        <x:v>unmanaged</x:v>
      </x:c>
      <x:c r="S105" s="118" t="n">
        <x:v>2</x:v>
      </x:c>
      <x:c r="T105" s="118" t="n">
        <x:v>3</x:v>
      </x:c>
      <x:c r="U105" s="118" t="n">
        <x:v>2</x:v>
      </x:c>
      <x:c r="V105" s="118" t="n">
        <x:v>0</x:v>
      </x:c>
      <x:c r="W105" s="118" t="n">
        <x:v>0</x:v>
      </x:c>
      <x:c r="X105" s="118" t="n">
        <x:v>0</x:v>
      </x:c>
      <x:c r="Y105" s="118" t="n">
        <x:v>1</x:v>
      </x:c>
      <x:c r="Z105" s="117" t="str">
        <x:v>Strong</x:v>
      </x:c>
      <x:c r="AA105" s="120" t="n">
        <x:v>45071.84302083333</x:v>
      </x:c>
      <x:c r="AB105" s="117" t="str">
        <x:v>Jace Gentil</x:v>
      </x:c>
      <x:c r="AC105" s="119" t="str"/>
      <x:c r="AD105" s="119" t="str">
        <x:v>Active flow has no description</x:v>
      </x:c>
    </x:row>
    <x:row r="106" ht="34" customHeight="1">
      <x:c r="A106" s="117" t="str">
        <x:v>300Ro00000OIdl5IAD</x:v>
      </x:c>
      <x:c r="B106" s="117" t="str">
        <x:v>Cold_Storage_Rig_In_Screen_Flow</x:v>
      </x:c>
      <x:c r="C106" s="117" t="str">
        <x:v>Cold Storage Rig In Screen Flow</x:v>
      </x:c>
      <x:c r="D106" s="117" t="str">
        <x:v>Yes</x:v>
      </x:c>
      <x:c r="E106" s="118" t="n">
        <x:v>3</x:v>
      </x:c>
      <x:c r="F106" s="118" t="n">
        <x:v>3</x:v>
      </x:c>
      <x:c r="G106" s="117" t="str">
        <x:v>Yes</x:v>
      </x:c>
      <x:c r="H106" s="119" t="str">
        <x:v>Active v3 (Retrieved XML)</x:v>
      </x:c>
      <x:c r="I106" s="117" t="str">
        <x:v>Flow</x:v>
      </x:c>
      <x:c r="J106" s="117" t="str"/>
      <x:c r="K106" s="117" t="str">
        <x:v>No</x:v>
      </x:c>
      <x:c r="L106" s="117" t="str"/>
      <x:c r="M106" s="117" t="str"/>
      <x:c r="N106" s="117" t="str">
        <x:v>DefaultMode</x:v>
      </x:c>
      <x:c r="O106" s="117"/>
      <x:c r="P106" s="117" t="str"/>
      <x:c r="Q106" s="117" t="str">
        <x:v>61.0</x:v>
      </x:c>
      <x:c r="R106" s="117" t="str">
        <x:v>unmanaged</x:v>
      </x:c>
      <x:c r="S106" s="118" t="n">
        <x:v>3</x:v>
      </x:c>
      <x:c r="T106" s="118" t="n">
        <x:v>5</x:v>
      </x:c>
      <x:c r="U106" s="118" t="n">
        <x:v>1</x:v>
      </x:c>
      <x:c r="V106" s="118" t="n">
        <x:v>0</x:v>
      </x:c>
      <x:c r="W106" s="118" t="n">
        <x:v>1</x:v>
      </x:c>
      <x:c r="X106" s="118" t="n">
        <x:v>0</x:v>
      </x:c>
      <x:c r="Y106" s="118" t="n">
        <x:v>1</x:v>
      </x:c>
      <x:c r="Z106" s="117" t="str">
        <x:v>N/A</x:v>
      </x:c>
      <x:c r="AA106" s="120" t="n">
        <x:v>45757.78870370371</x:v>
      </x:c>
      <x:c r="AB106" s="117" t="str">
        <x:v>Delegate</x:v>
      </x:c>
      <x:c r="AC106" s="119" t="str">
        <x:v>04/10/2025 (BW) - Reset the hyperlink on the Rig In email</x:v>
      </x:c>
      <x:c r="AD106" s="119" t="str"/>
    </x:row>
    <x:row r="107" ht="34" customHeight="1">
      <x:c r="A107" s="117" t="str">
        <x:v>300Ro00000F0LbkIAF</x:v>
      </x:c>
      <x:c r="B107" s="117" t="str">
        <x:v>Cold_Storage_Rig_Out_Screen_Flow</x:v>
      </x:c>
      <x:c r="C107" s="117" t="str">
        <x:v>Cold Storage Rig Out Screen Flow</x:v>
      </x:c>
      <x:c r="D107" s="117" t="str">
        <x:v>Yes</x:v>
      </x:c>
      <x:c r="E107" s="118" t="n">
        <x:v>9</x:v>
      </x:c>
      <x:c r="F107" s="118" t="n">
        <x:v>9</x:v>
      </x:c>
      <x:c r="G107" s="117" t="str">
        <x:v>Yes</x:v>
      </x:c>
      <x:c r="H107" s="119" t="str">
        <x:v>Active v9 (Retrieved XML)</x:v>
      </x:c>
      <x:c r="I107" s="117" t="str">
        <x:v>Flow</x:v>
      </x:c>
      <x:c r="J107" s="117" t="str"/>
      <x:c r="K107" s="117" t="str">
        <x:v>No</x:v>
      </x:c>
      <x:c r="L107" s="117" t="str"/>
      <x:c r="M107" s="117" t="str"/>
      <x:c r="N107" s="117" t="str">
        <x:v>DefaultMode</x:v>
      </x:c>
      <x:c r="O107" s="117"/>
      <x:c r="P107" s="117" t="str"/>
      <x:c r="Q107" s="117" t="str">
        <x:v>61.0</x:v>
      </x:c>
      <x:c r="R107" s="117" t="str">
        <x:v>unmanaged</x:v>
      </x:c>
      <x:c r="S107" s="118" t="n">
        <x:v>9</x:v>
      </x:c>
      <x:c r="T107" s="118" t="n">
        <x:v>6</x:v>
      </x:c>
      <x:c r="U107" s="118" t="n">
        <x:v>2</x:v>
      </x:c>
      <x:c r="V107" s="118" t="n">
        <x:v>0</x:v>
      </x:c>
      <x:c r="W107" s="118" t="n">
        <x:v>1</x:v>
      </x:c>
      <x:c r="X107" s="118" t="n">
        <x:v>0</x:v>
      </x:c>
      <x:c r="Y107" s="118" t="n">
        <x:v>1</x:v>
      </x:c>
      <x:c r="Z107" s="117" t="str">
        <x:v>N/A</x:v>
      </x:c>
      <x:c r="AA107" s="120" t="n">
        <x:v>45757.78905092592</x:v>
      </x:c>
      <x:c r="AB107" s="117" t="str">
        <x:v>Delegate</x:v>
      </x:c>
      <x:c r="AC107" s="119" t="str">
        <x:v>04/10/2025 (BW) - Reset the hyperlink on the Rig Out email</x:v>
      </x:c>
      <x:c r="AD107" s="119" t="str"/>
    </x:row>
    <x:row r="108" ht="34" customHeight="1">
      <x:c r="A108" s="117" t="str">
        <x:v>300Ro000007doaTIAQ</x:v>
      </x:c>
      <x:c r="B108" s="117" t="str">
        <x:v>Commission_Rollups</x:v>
      </x:c>
      <x:c r="C108" s="117" t="str">
        <x:v>Commission Rollups</x:v>
      </x:c>
      <x:c r="D108" s="117" t="str">
        <x:v>Yes</x:v>
      </x:c>
      <x:c r="E108" s="118" t="n">
        <x:v>2</x:v>
      </x:c>
      <x:c r="F108" s="118" t="n">
        <x:v>2</x:v>
      </x:c>
      <x:c r="G108" s="117" t="str">
        <x:v>Yes</x:v>
      </x:c>
      <x:c r="H108" s="119" t="str">
        <x:v>Active v2 (Retrieved XML)</x:v>
      </x:c>
      <x:c r="I108" s="117" t="str">
        <x:v>AutoLaunchedFlow</x:v>
      </x:c>
      <x:c r="J108" s="117" t="str">
        <x:v>Commission__c</x:v>
      </x:c>
      <x:c r="K108" s="117" t="str">
        <x:v>Yes</x:v>
      </x:c>
      <x:c r="L108" s="117" t="str">
        <x:v>CreateAndUpdate</x:v>
      </x:c>
      <x:c r="M108" s="117" t="str">
        <x:v>RecordAfterSave</x:v>
      </x:c>
      <x:c r="N108" s="117"/>
      <x:c r="O108" s="117"/>
      <x:c r="P108" s="117" t="str"/>
      <x:c r="Q108" s="117" t="str">
        <x:v>57.0</x:v>
      </x:c>
      <x:c r="R108" s="117" t="str">
        <x:v>unmanaged</x:v>
      </x:c>
      <x:c r="S108" s="118" t="n">
        <x:v>2</x:v>
      </x:c>
      <x:c r="T108" s="118" t="n">
        <x:v>15</x:v>
      </x:c>
      <x:c r="U108" s="118" t="n">
        <x:v>2</x:v>
      </x:c>
      <x:c r="V108" s="118" t="n">
        <x:v>0</x:v>
      </x:c>
      <x:c r="W108" s="118" t="n">
        <x:v>0</x:v>
      </x:c>
      <x:c r="X108" s="118" t="n">
        <x:v>0</x:v>
      </x:c>
      <x:c r="Y108" s="118" t="n">
        <x:v>2</x:v>
      </x:c>
      <x:c r="Z108" s="117" t="str">
        <x:v>Isolated lane</x:v>
      </x:c>
      <x:c r="AA108" s="120" t="n">
        <x:v>45413.04383101852</x:v>
      </x:c>
      <x:c r="AB108" s="117" t="str">
        <x:v>Delegate</x:v>
      </x:c>
      <x:c r="AC108" s="119" t="str">
        <x:v>04/30/24 - CDM - Added filters to remove blank Commission records with a Master Draw</x:v>
      </x:c>
      <x:c r="AD108" s="119" t="str"/>
    </x:row>
    <x:row r="109" ht="34" customHeight="1">
      <x:c r="A109" s="117" t="str">
        <x:v>300Ro00000yDFegIAG</x:v>
      </x:c>
      <x:c r="B109" s="117" t="str">
        <x:v>Contact_Asynchronous_on_create_Update_Account_Number_of_Contacts</x:v>
      </x:c>
      <x:c r="C109" s="117" t="str">
        <x:v>Contact | Asynchronous, on create, Update Account Number of Contacts</x:v>
      </x:c>
      <x:c r="D109" s="117" t="str">
        <x:v>Yes</x:v>
      </x:c>
      <x:c r="E109" s="118" t="n">
        <x:v>1</x:v>
      </x:c>
      <x:c r="F109" s="118" t="n">
        <x:v>1</x:v>
      </x:c>
      <x:c r="G109" s="117" t="str">
        <x:v>Yes</x:v>
      </x:c>
      <x:c r="H109" s="119" t="str">
        <x:v>Active v1 (Retrieved XML)</x:v>
      </x:c>
      <x:c r="I109" s="117" t="str">
        <x:v>AutoLaunchedFlow</x:v>
      </x:c>
      <x:c r="J109" s="117" t="str">
        <x:v>Contact</x:v>
      </x:c>
      <x:c r="K109" s="117" t="str">
        <x:v>Yes</x:v>
      </x:c>
      <x:c r="L109" s="117" t="str">
        <x:v>Create</x:v>
      </x:c>
      <x:c r="M109" s="117" t="str">
        <x:v>RecordAfterSave</x:v>
      </x:c>
      <x:c r="N109" s="117"/>
      <x:c r="O109" s="117"/>
      <x:c r="P109" s="117" t="str"/>
      <x:c r="Q109" s="117" t="str">
        <x:v>66.0</x:v>
      </x:c>
      <x:c r="R109" s="117" t="str">
        <x:v>unmanaged</x:v>
      </x:c>
      <x:c r="S109" s="118" t="n">
        <x:v>1</x:v>
      </x:c>
      <x:c r="T109" s="118" t="n">
        <x:v>4</x:v>
      </x:c>
      <x:c r="U109" s="118" t="n">
        <x:v>2</x:v>
      </x:c>
      <x:c r="V109" s="118" t="n">
        <x:v>0</x:v>
      </x:c>
      <x:c r="W109" s="118" t="n">
        <x:v>0</x:v>
      </x:c>
      <x:c r="X109" s="118" t="n">
        <x:v>0</x:v>
      </x:c>
      <x:c r="Y109" s="118" t="n">
        <x:v>1</x:v>
      </x:c>
      <x:c r="Z109" s="117" t="str">
        <x:v>Isolated lane</x:v>
      </x:c>
      <x:c r="AA109" s="120" t="n">
        <x:v>46168.703252314815</x:v>
      </x:c>
      <x:c r="AB109" s="117" t="str">
        <x:v>Delegate</x:v>
      </x:c>
      <x:c r="AC109" s="119" t="str">
        <x:v>05/22/26 (BW) – Replaces DLRS rule Account_Number_of_Contacts. On Contact creation, counts all Contacts related to the Account and writes the total to Account.Number_of_Contacts__c.</x:v>
      </x:c>
      <x:c r="AD109" s="119" t="str"/>
    </x:row>
    <x:row r="110" ht="34" customHeight="1">
      <x:c r="A110" s="117" t="str">
        <x:v>300Ro00000yDNE4IAO</x:v>
      </x:c>
      <x:c r="B110" s="117" t="str">
        <x:v>Contact_Asynchronous_on_delete_Update_Account_Number_of_Contacts</x:v>
      </x:c>
      <x:c r="C110" s="117" t="str">
        <x:v>Contact | Before delete, Update Account Number of Contacts</x:v>
      </x:c>
      <x:c r="D110" s="117" t="str">
        <x:v>Yes</x:v>
      </x:c>
      <x:c r="E110" s="118" t="n">
        <x:v>1</x:v>
      </x:c>
      <x:c r="F110" s="118" t="n">
        <x:v>1</x:v>
      </x:c>
      <x:c r="G110" s="117" t="str">
        <x:v>Yes</x:v>
      </x:c>
      <x:c r="H110" s="119" t="str">
        <x:v>Active v1 (Retrieved XML)</x:v>
      </x:c>
      <x:c r="I110" s="117" t="str">
        <x:v>AutoLaunchedFlow</x:v>
      </x:c>
      <x:c r="J110" s="117" t="str">
        <x:v>Contact</x:v>
      </x:c>
      <x:c r="K110" s="117" t="str">
        <x:v>Yes</x:v>
      </x:c>
      <x:c r="L110" s="117" t="str">
        <x:v>Delete</x:v>
      </x:c>
      <x:c r="M110" s="117" t="str">
        <x:v>RecordBeforeDelete</x:v>
      </x:c>
      <x:c r="N110" s="117"/>
      <x:c r="O110" s="117"/>
      <x:c r="P110" s="117" t="str"/>
      <x:c r="Q110" s="117" t="str">
        <x:v>66.0</x:v>
      </x:c>
      <x:c r="R110" s="117" t="str">
        <x:v>unmanaged</x:v>
      </x:c>
      <x:c r="S110" s="118" t="n">
        <x:v>1</x:v>
      </x:c>
      <x:c r="T110" s="118" t="n">
        <x:v>4</x:v>
      </x:c>
      <x:c r="U110" s="118" t="n">
        <x:v>2</x:v>
      </x:c>
      <x:c r="V110" s="118" t="n">
        <x:v>0</x:v>
      </x:c>
      <x:c r="W110" s="118" t="n">
        <x:v>0</x:v>
      </x:c>
      <x:c r="X110" s="118" t="n">
        <x:v>0</x:v>
      </x:c>
      <x:c r="Y110" s="118" t="n">
        <x:v>1</x:v>
      </x:c>
      <x:c r="Z110" s="117" t="str">
        <x:v>Isolated lane</x:v>
      </x:c>
      <x:c r="AA110" s="120" t="n">
        <x:v>46168.70450231482</x:v>
      </x:c>
      <x:c r="AB110" s="117" t="str">
        <x:v>Delegate</x:v>
      </x:c>
      <x:c r="AC110" s="119" t="str">
        <x:v>05/22/26 (BW) – Delete path for Account_Number_of_Contacts DLRS replacement. Runs before the Contact is deleted; excludes the being-deleted Contact from the re-query so Account.Number_of_Contacts__c is accurate after deletion.</x:v>
      </x:c>
      <x:c r="AD110" s="119" t="str"/>
    </x:row>
    <x:row r="111" ht="34" customHeight="1">
      <x:c r="A111" s="117" t="str">
        <x:v>300Ro00000yCrZ8IAK</x:v>
      </x:c>
      <x:c r="B111" s="117" t="str">
        <x:v>Contact_Asynchronous_on_update_Update_Account_Number_of_Contacts</x:v>
      </x:c>
      <x:c r="C111" s="117" t="str">
        <x:v>Contact | Asynchronous, on update, Update Account Number of Contacts</x:v>
      </x:c>
      <x:c r="D111" s="117" t="str">
        <x:v>Yes</x:v>
      </x:c>
      <x:c r="E111" s="118" t="n">
        <x:v>1</x:v>
      </x:c>
      <x:c r="F111" s="118" t="n">
        <x:v>1</x:v>
      </x:c>
      <x:c r="G111" s="117" t="str">
        <x:v>Yes</x:v>
      </x:c>
      <x:c r="H111" s="119" t="str">
        <x:v>Active v1 (Retrieved XML)</x:v>
      </x:c>
      <x:c r="I111" s="117" t="str">
        <x:v>AutoLaunchedFlow</x:v>
      </x:c>
      <x:c r="J111" s="117" t="str">
        <x:v>Contact</x:v>
      </x:c>
      <x:c r="K111" s="117" t="str">
        <x:v>Yes</x:v>
      </x:c>
      <x:c r="L111" s="117" t="str">
        <x:v>Update</x:v>
      </x:c>
      <x:c r="M111" s="117" t="str">
        <x:v>RecordAfterSave</x:v>
      </x:c>
      <x:c r="N111" s="117"/>
      <x:c r="O111" s="117"/>
      <x:c r="P111" s="117" t="str"/>
      <x:c r="Q111" s="117" t="str">
        <x:v>66.0</x:v>
      </x:c>
      <x:c r="R111" s="117" t="str">
        <x:v>unmanaged</x:v>
      </x:c>
      <x:c r="S111" s="118" t="n">
        <x:v>1</x:v>
      </x:c>
      <x:c r="T111" s="118" t="n">
        <x:v>9</x:v>
      </x:c>
      <x:c r="U111" s="118" t="n">
        <x:v>2</x:v>
      </x:c>
      <x:c r="V111" s="118" t="n">
        <x:v>0</x:v>
      </x:c>
      <x:c r="W111" s="118" t="n">
        <x:v>0</x:v>
      </x:c>
      <x:c r="X111" s="118" t="n">
        <x:v>0</x:v>
      </x:c>
      <x:c r="Y111" s="118" t="n">
        <x:v>1</x:v>
      </x:c>
      <x:c r="Z111" s="117" t="str">
        <x:v>Isolated lane</x:v>
      </x:c>
      <x:c r="AA111" s="120" t="n">
        <x:v>46168.72582175926</x:v>
      </x:c>
      <x:c r="AB111" s="117" t="str">
        <x:v>Delegate</x:v>
      </x:c>
      <x:c r="AC111" s="119" t="str">
        <x:v>05/22/26 (BW) – Update path for Account_Number_of_Contacts DLRS replacement. Fires when AccountId changes. Synchronous path recalculates the prior Account's contact count; async path recalculates the current Account's contact count. 05/26/26 (BW) – Fixed null-AccountId gap: removed NotEqualTo condition from Did_Account_Change (Flow evaluates null NotEqualTo value as false, causing the prior Account to be skipped when AccountId is cleared). Now only checks that a prior Account existed.</x:v>
      </x:c>
      <x:c r="AD111" s="119" t="str"/>
    </x:row>
    <x:row r="112" ht="34" customHeight="1">
      <x:c r="A112" s="117" t="str">
        <x:v>3004O000000XgXwQAK</x:v>
      </x:c>
      <x:c r="B112" s="117" t="str">
        <x:v>Contact_Master</x:v>
      </x:c>
      <x:c r="C112" s="117" t="str">
        <x:v>Contact - Master</x:v>
      </x:c>
      <x:c r="D112" s="117" t="str">
        <x:v>Yes</x:v>
      </x:c>
      <x:c r="E112" s="118" t="n">
        <x:v>3</x:v>
      </x:c>
      <x:c r="F112" s="118" t="n">
        <x:v>3</x:v>
      </x:c>
      <x:c r="G112" s="117" t="str">
        <x:v>Yes</x:v>
      </x:c>
      <x:c r="H112" s="119" t="str">
        <x:v>Active v3 (Retrieved XML)</x:v>
      </x:c>
      <x:c r="I112" s="117" t="str">
        <x:v>Workflow</x:v>
      </x:c>
      <x:c r="J112" s="117" t="str"/>
      <x:c r="K112" s="117" t="str">
        <x:v>No</x:v>
      </x:c>
      <x:c r="L112" s="117" t="str"/>
      <x:c r="M112" s="117" t="str"/>
      <x:c r="N112" s="117"/>
      <x:c r="O112" s="117"/>
      <x:c r="P112" s="117" t="str"/>
      <x:c r="Q112" s="117" t="str">
        <x:v>49.0</x:v>
      </x:c>
      <x:c r="R112" s="117" t="str">
        <x:v>unmanaged</x:v>
      </x:c>
      <x:c r="S112" s="118" t="n">
        <x:v>3</x:v>
      </x:c>
      <x:c r="T112" s="118" t="n">
        <x:v>2</x:v>
      </x:c>
      <x:c r="U112" s="118" t="n">
        <x:v>1</x:v>
      </x:c>
      <x:c r="V112" s="118" t="n">
        <x:v>0</x:v>
      </x:c>
      <x:c r="W112" s="118" t="n">
        <x:v>0</x:v>
      </x:c>
      <x:c r="X112" s="118" t="n">
        <x:v>0</x:v>
      </x:c>
      <x:c r="Y112" s="118" t="n">
        <x:v>1</x:v>
      </x:c>
      <x:c r="Z112" s="117" t="str">
        <x:v>N/A</x:v>
      </x:c>
      <x:c r="AA112" s="120" t="n">
        <x:v>45492.77238425926</x:v>
      </x:c>
      <x:c r="AB112" s="117" t="str">
        <x:v>Jace Gentil</x:v>
      </x:c>
      <x:c r="AC112" s="119" t="str">
        <x:v>This should be the only process builder that launches off the contact.  This can launch sub-processes or flows</x:v>
      </x:c>
      <x:c r="AD112" s="119" t="str"/>
    </x:row>
    <x:row r="113" ht="34" customHeight="1">
      <x:c r="A113" s="117" t="str">
        <x:v>3004O000000XgXxQAK</x:v>
      </x:c>
      <x:c r="B113" s="117" t="str">
        <x:v>Contact_New_Form_Submission</x:v>
      </x:c>
      <x:c r="C113" s="117" t="str">
        <x:v>Contact - New Form Submission</x:v>
      </x:c>
      <x:c r="D113" s="117" t="str">
        <x:v>No</x:v>
      </x:c>
      <x:c r="E113" s="118"/>
      <x:c r="F113" s="118" t="n">
        <x:v>6</x:v>
      </x:c>
      <x:c r="G113" s="117" t="str">
        <x:v>N/A</x:v>
      </x:c>
      <x:c r="H113" s="119" t="str">
        <x:v>Latest inactive v6 (Retrieved XML)</x:v>
      </x:c>
      <x:c r="I113" s="117" t="str">
        <x:v>AutoLaunchedFlow</x:v>
      </x:c>
      <x:c r="J113" s="117" t="str"/>
      <x:c r="K113" s="117" t="str">
        <x:v>No</x:v>
      </x:c>
      <x:c r="L113" s="117" t="str"/>
      <x:c r="M113" s="117" t="str"/>
      <x:c r="N113" s="117"/>
      <x:c r="O113" s="117"/>
      <x:c r="P113" s="117" t="str"/>
      <x:c r="Q113" s="117" t="str">
        <x:v>49.0</x:v>
      </x:c>
      <x:c r="R113" s="117" t="str">
        <x:v>unmanaged</x:v>
      </x:c>
      <x:c r="S113" s="118" t="n">
        <x:v>6</x:v>
      </x:c>
      <x:c r="T113" s="118" t="n">
        <x:v>12</x:v>
      </x:c>
      <x:c r="U113" s="118" t="n">
        <x:v>4</x:v>
      </x:c>
      <x:c r="V113" s="118" t="n">
        <x:v>0</x:v>
      </x:c>
      <x:c r="W113" s="118" t="n">
        <x:v>2</x:v>
      </x:c>
      <x:c r="X113" s="118" t="n">
        <x:v>0</x:v>
      </x:c>
      <x:c r="Y113" s="118" t="n">
        <x:v>2</x:v>
      </x:c>
      <x:c r="Z113" s="117" t="str">
        <x:v>N/A</x:v>
      </x:c>
      <x:c r="AA113" s="120" t="n">
        <x:v>45492.76206018519</x:v>
      </x:c>
      <x:c r="AB113" s="117" t="str">
        <x:v>Jace Gentil</x:v>
      </x:c>
      <x:c r="AC113" s="119" t="str"/>
      <x:c r="AD113" s="119" t="str">
        <x:v>Touches many objects</x:v>
      </x:c>
    </x:row>
    <x:row r="114" ht="34" customHeight="1">
      <x:c r="A114" s="117" t="str">
        <x:v>3005b000000H3T6AAK</x:v>
      </x:c>
      <x:c r="B114" s="117" t="str">
        <x:v>Contact_Set_Primary_Contact</x:v>
      </x:c>
      <x:c r="C114" s="117" t="str">
        <x:v>Contact - Set Primary Contact</x:v>
      </x:c>
      <x:c r="D114" s="117" t="str">
        <x:v>No</x:v>
      </x:c>
      <x:c r="E114" s="118"/>
      <x:c r="F114" s="118" t="n">
        <x:v>2</x:v>
      </x:c>
      <x:c r="G114" s="117" t="str">
        <x:v>N/A</x:v>
      </x:c>
      <x:c r="H114" s="119" t="str">
        <x:v>Latest inactive v2 (Retrieved XML)</x:v>
      </x:c>
      <x:c r="I114" s="117" t="str">
        <x:v>AutoLaunchedFlow</x:v>
      </x:c>
      <x:c r="J114" s="117" t="str">
        <x:v>Contact</x:v>
      </x:c>
      <x:c r="K114" s="117" t="str">
        <x:v>No</x:v>
      </x:c>
      <x:c r="L114" s="117" t="str">
        <x:v>Create</x:v>
      </x:c>
      <x:c r="M114" s="117" t="str">
        <x:v>RecordAfterSave</x:v>
      </x:c>
      <x:c r="N114" s="117"/>
      <x:c r="O114" s="117"/>
      <x:c r="P114" s="117" t="str"/>
      <x:c r="Q114" s="117" t="str">
        <x:v>54.0</x:v>
      </x:c>
      <x:c r="R114" s="117" t="str">
        <x:v>unmanaged</x:v>
      </x:c>
      <x:c r="S114" s="118" t="n">
        <x:v>2</x:v>
      </x:c>
      <x:c r="T114" s="118" t="n">
        <x:v>4</x:v>
      </x:c>
      <x:c r="U114" s="118" t="n">
        <x:v>1</x:v>
      </x:c>
      <x:c r="V114" s="118" t="n">
        <x:v>0</x:v>
      </x:c>
      <x:c r="W114" s="118" t="n">
        <x:v>0</x:v>
      </x:c>
      <x:c r="X114" s="118" t="n">
        <x:v>0</x:v>
      </x:c>
      <x:c r="Y114" s="118" t="n">
        <x:v>1</x:v>
      </x:c>
      <x:c r="Z114" s="117" t="str">
        <x:v>N/A</x:v>
      </x:c>
      <x:c r="AA114" s="120" t="n">
        <x:v>45092.83677083333</x:v>
      </x:c>
      <x:c r="AB114" s="117" t="str">
        <x:v>Jace Gentil</x:v>
      </x:c>
      <x:c r="AC114" s="119" t="str"/>
      <x:c r="AD114" s="119" t="str"/>
    </x:row>
    <x:row r="115" ht="34" customHeight="1">
      <x:c r="A115" s="117" t="str">
        <x:v>300Ro00000q8I1rIAE</x:v>
      </x:c>
      <x:c r="B115" s="117" t="str">
        <x:v>Contract_Line_Item_Calculate_Running_Coverage_Duration_Business_Hours</x:v>
      </x:c>
      <x:c r="C115" s="117" t="str">
        <x:v>Contract Line Item - Calculate Running Coverage Duration (Business Hours)</x:v>
      </x:c>
      <x:c r="D115" s="117" t="str">
        <x:v>No</x:v>
      </x:c>
      <x:c r="E115" s="118"/>
      <x:c r="F115" s="118" t="n">
        <x:v>1</x:v>
      </x:c>
      <x:c r="G115" s="117" t="str">
        <x:v>N/A</x:v>
      </x:c>
      <x:c r="H115" s="119" t="str">
        <x:v>Latest inactive v1 (Retrieved XML)</x:v>
      </x:c>
      <x:c r="I115" s="117" t="str">
        <x:v>AutoLaunchedFlow</x:v>
      </x:c>
      <x:c r="J115" s="117" t="str"/>
      <x:c r="K115" s="117" t="str">
        <x:v>No</x:v>
      </x:c>
      <x:c r="L115" s="117" t="str"/>
      <x:c r="M115" s="117" t="str">
        <x:v>Scheduled</x:v>
      </x:c>
      <x:c r="N115" s="117"/>
      <x:c r="O115" s="117"/>
      <x:c r="P115" s="117" t="str">
        <x:v>Daily</x:v>
      </x:c>
      <x:c r="Q115" s="117" t="str">
        <x:v>65.0</x:v>
      </x:c>
      <x:c r="R115" s="117" t="str">
        <x:v>unmanaged</x:v>
      </x:c>
      <x:c r="S115" s="118" t="n">
        <x:v>1</x:v>
      </x:c>
      <x:c r="T115" s="118" t="n">
        <x:v>7</x:v>
      </x:c>
      <x:c r="U115" s="118" t="n">
        <x:v>1</x:v>
      </x:c>
      <x:c r="V115" s="118" t="n">
        <x:v>0</x:v>
      </x:c>
      <x:c r="W115" s="118" t="n">
        <x:v>1</x:v>
      </x:c>
      <x:c r="X115" s="118" t="n">
        <x:v>0</x:v>
      </x:c>
      <x:c r="Y115" s="118" t="n">
        <x:v>1</x:v>
      </x:c>
      <x:c r="Z115" s="117" t="str">
        <x:v>N/A</x:v>
      </x:c>
      <x:c r="AA115" s="120" t="n">
        <x:v>46059.499456018515</x:v>
      </x:c>
      <x:c r="AB115" s="117" t="str">
        <x:v>Sacha Pearce</x:v>
      </x:c>
      <x:c r="AC115" s="119" t="str"/>
      <x:c r="AD115" s="119" t="str"/>
    </x:row>
    <x:row r="116" ht="34" customHeight="1">
      <x:c r="A116" s="117" t="str">
        <x:v>300Ro000013nZjxIAE</x:v>
      </x:c>
      <x:c r="B116" s="117" t="str">
        <x:v>Contract_Line_Item_Cancel_Work_Orders_on_Decommissioning</x:v>
      </x:c>
      <x:c r="C116" s="117" t="str">
        <x:v>Contract Line Item - Cancel Work Orders on Decommissioning</x:v>
      </x:c>
      <x:c r="D116" s="117" t="str">
        <x:v>Yes</x:v>
      </x:c>
      <x:c r="E116" s="118" t="n">
        <x:v>6</x:v>
      </x:c>
      <x:c r="F116" s="118" t="n">
        <x:v>6</x:v>
      </x:c>
      <x:c r="G116" s="117" t="str">
        <x:v>Yes</x:v>
      </x:c>
      <x:c r="H116" s="119" t="str">
        <x:v>Active v6 (Retrieved XML)</x:v>
      </x:c>
      <x:c r="I116" s="117" t="str">
        <x:v>AutoLaunchedFlow</x:v>
      </x:c>
      <x:c r="J116" s="117" t="str">
        <x:v>ContractLineItem</x:v>
      </x:c>
      <x:c r="K116" s="117" t="str">
        <x:v>Yes</x:v>
      </x:c>
      <x:c r="L116" s="117" t="str">
        <x:v>Update</x:v>
      </x:c>
      <x:c r="M116" s="117" t="str">
        <x:v>RecordAfterSave</x:v>
      </x:c>
      <x:c r="N116" s="117"/>
      <x:c r="O116" s="117"/>
      <x:c r="P116" s="117" t="str"/>
      <x:c r="Q116" s="117" t="str">
        <x:v>67.0</x:v>
      </x:c>
      <x:c r="R116" s="117" t="str">
        <x:v>unmanaged</x:v>
      </x:c>
      <x:c r="S116" s="118" t="n">
        <x:v>6</x:v>
      </x:c>
      <x:c r="T116" s="118" t="n">
        <x:v>11</x:v>
      </x:c>
      <x:c r="U116" s="118" t="n">
        <x:v>2</x:v>
      </x:c>
      <x:c r="V116" s="118" t="n">
        <x:v>0</x:v>
      </x:c>
      <x:c r="W116" s="118" t="n">
        <x:v>1</x:v>
      </x:c>
      <x:c r="X116" s="118" t="n">
        <x:v>0</x:v>
      </x:c>
      <x:c r="Y116" s="118" t="n">
        <x:v>1</x:v>
      </x:c>
      <x:c r="Z116" s="117" t="str">
        <x:v>Review</x:v>
      </x:c>
      <x:c r="AA116" s="120" t="n">
        <x:v>46233.5808912037</x:v>
      </x:c>
      <x:c r="AB116" s="117" t="str">
        <x:v>Sacha Pearce</x:v>
      </x:c>
      <x:c r="AC116" s="119" t="str">
        <x:v>30/07/2026 - SP - Adding descriptions into elements to help with Flow clarity and any future debugging.</x:v>
      </x:c>
      <x:c r="AD116" s="119" t="str"/>
    </x:row>
    <x:row r="117" ht="34" customHeight="1">
      <x:c r="A117" s="117" t="str">
        <x:v>300Ro00000xgwAVIAY</x:v>
      </x:c>
      <x:c r="B117" s="117" t="str">
        <x:v>Contract_Line_Item_Creation_or_Update_Set_Lifecycle_Status</x:v>
      </x:c>
      <x:c r="C117" s="117" t="str">
        <x:v>Contract Line Item - Creation or Update - Set Lifecycle Status</x:v>
      </x:c>
      <x:c r="D117" s="117" t="str">
        <x:v>Yes</x:v>
      </x:c>
      <x:c r="E117" s="118" t="n">
        <x:v>3</x:v>
      </x:c>
      <x:c r="F117" s="118" t="n">
        <x:v>3</x:v>
      </x:c>
      <x:c r="G117" s="117" t="str">
        <x:v>Yes</x:v>
      </x:c>
      <x:c r="H117" s="119" t="str">
        <x:v>Active v3 (Retrieved XML)</x:v>
      </x:c>
      <x:c r="I117" s="117" t="str">
        <x:v>AutoLaunchedFlow</x:v>
      </x:c>
      <x:c r="J117" s="117" t="str">
        <x:v>ContractLineItem</x:v>
      </x:c>
      <x:c r="K117" s="117" t="str">
        <x:v>Yes</x:v>
      </x:c>
      <x:c r="L117" s="117" t="str">
        <x:v>CreateAndUpdate</x:v>
      </x:c>
      <x:c r="M117" s="117" t="str">
        <x:v>RecordAfterSave</x:v>
      </x:c>
      <x:c r="N117" s="117"/>
      <x:c r="O117" s="117"/>
      <x:c r="P117" s="117" t="str"/>
      <x:c r="Q117" s="117" t="str">
        <x:v>66.0</x:v>
      </x:c>
      <x:c r="R117" s="117" t="str">
        <x:v>unmanaged</x:v>
      </x:c>
      <x:c r="S117" s="118" t="n">
        <x:v>3</x:v>
      </x:c>
      <x:c r="T117" s="118" t="n">
        <x:v>12</x:v>
      </x:c>
      <x:c r="U117" s="118" t="n">
        <x:v>1</x:v>
      </x:c>
      <x:c r="V117" s="118" t="n">
        <x:v>0</x:v>
      </x:c>
      <x:c r="W117" s="118" t="n">
        <x:v>0</x:v>
      </x:c>
      <x:c r="X117" s="118" t="n">
        <x:v>0</x:v>
      </x:c>
      <x:c r="Y117" s="118" t="n">
        <x:v>1</x:v>
      </x:c>
      <x:c r="Z117" s="117" t="str">
        <x:v>Review</x:v>
      </x:c>
      <x:c r="AA117" s="120" t="n">
        <x:v>46184.38144675926</x:v>
      </x:c>
      <x:c r="AB117" s="117" t="str">
        <x:v>Sacha Pearce</x:v>
      </x:c>
      <x:c r="AC117" s="119" t="str"/>
      <x:c r="AD117" s="119" t="str">
        <x:v>Active flow has no description</x:v>
      </x:c>
    </x:row>
    <x:row r="118" ht="34" customHeight="1">
      <x:c r="A118" s="117" t="str">
        <x:v>300Ro00000wU0CTIA0</x:v>
      </x:c>
      <x:c r="B118" s="117" t="str">
        <x:v>Contract_Line_Item_Edit_Multiple_Work_Orders_Screen_Flow</x:v>
      </x:c>
      <x:c r="C118" s="117" t="str">
        <x:v>Contract Line Item - Edit Multiple Work Orders - Screen Flow</x:v>
      </x:c>
      <x:c r="D118" s="117" t="str">
        <x:v>Yes</x:v>
      </x:c>
      <x:c r="E118" s="118" t="n">
        <x:v>2</x:v>
      </x:c>
      <x:c r="F118" s="118" t="n">
        <x:v>2</x:v>
      </x:c>
      <x:c r="G118" s="117" t="str">
        <x:v>Yes</x:v>
      </x:c>
      <x:c r="H118" s="119" t="str">
        <x:v>Active v2 (Retrieved XML)</x:v>
      </x:c>
      <x:c r="I118" s="117" t="str">
        <x:v>Flow</x:v>
      </x:c>
      <x:c r="J118" s="117" t="str"/>
      <x:c r="K118" s="117" t="str">
        <x:v>No</x:v>
      </x:c>
      <x:c r="L118" s="117" t="str"/>
      <x:c r="M118" s="117" t="str"/>
      <x:c r="N118" s="117"/>
      <x:c r="O118" s="117"/>
      <x:c r="P118" s="117" t="str"/>
      <x:c r="Q118" s="117" t="str">
        <x:v>66.0</x:v>
      </x:c>
      <x:c r="R118" s="117" t="str">
        <x:v>unmanaged</x:v>
      </x:c>
      <x:c r="S118" s="118" t="n">
        <x:v>2</x:v>
      </x:c>
      <x:c r="T118" s="118" t="n">
        <x:v>5</x:v>
      </x:c>
      <x:c r="U118" s="118" t="n">
        <x:v>2</x:v>
      </x:c>
      <x:c r="V118" s="118" t="n">
        <x:v>0</x:v>
      </x:c>
      <x:c r="W118" s="118" t="n">
        <x:v>0</x:v>
      </x:c>
      <x:c r="X118" s="118" t="n">
        <x:v>1</x:v>
      </x:c>
      <x:c r="Y118" s="118" t="n">
        <x:v>1</x:v>
      </x:c>
      <x:c r="Z118" s="117" t="str">
        <x:v>N/A</x:v>
      </x:c>
      <x:c r="AA118" s="120" t="n">
        <x:v>46143.53246527778</x:v>
      </x:c>
      <x:c r="AB118" s="117" t="str">
        <x:v>Sacha Pearce</x:v>
      </x:c>
      <x:c r="AC118" s="119" t="str">
        <x:v>01/05/20206 - SP - Making the "Datatable" columns fit the screen by preventing width changes.</x:v>
      </x:c>
      <x:c r="AD118" s="119" t="str"/>
    </x:row>
    <x:row r="119" ht="34" customHeight="1">
      <x:c r="A119" s="117" t="str">
        <x:v>300Ro00000qEJBNIA4</x:v>
      </x:c>
      <x:c r="B119" s="117" t="str">
        <x:v>Contract_Line_Item_Roll_Up_Downtime_Business_Hours</x:v>
      </x:c>
      <x:c r="C119" s="117" t="str">
        <x:v>Contract Line Item - Roll Up Downtime (Business Hours)</x:v>
      </x:c>
      <x:c r="D119" s="117" t="str">
        <x:v>Yes</x:v>
      </x:c>
      <x:c r="E119" s="118" t="n">
        <x:v>2</x:v>
      </x:c>
      <x:c r="F119" s="118" t="n">
        <x:v>2</x:v>
      </x:c>
      <x:c r="G119" s="117" t="str">
        <x:v>Yes</x:v>
      </x:c>
      <x:c r="H119" s="119" t="str">
        <x:v>Active v2 (Retrieved XML)</x:v>
      </x:c>
      <x:c r="I119" s="117" t="str">
        <x:v>AutoLaunchedFlow</x:v>
      </x:c>
      <x:c r="J119" s="117" t="str">
        <x:v>WorkOrder</x:v>
      </x:c>
      <x:c r="K119" s="117" t="str">
        <x:v>Yes</x:v>
      </x:c>
      <x:c r="L119" s="117" t="str">
        <x:v>CreateAndUpdate</x:v>
      </x:c>
      <x:c r="M119" s="117" t="str">
        <x:v>RecordAfterSave</x:v>
      </x:c>
      <x:c r="N119" s="117"/>
      <x:c r="O119" s="117"/>
      <x:c r="P119" s="117" t="str"/>
      <x:c r="Q119" s="117" t="str">
        <x:v>65.0</x:v>
      </x:c>
      <x:c r="R119" s="117" t="str">
        <x:v>unmanaged</x:v>
      </x:c>
      <x:c r="S119" s="118" t="n">
        <x:v>2</x:v>
      </x:c>
      <x:c r="T119" s="118" t="n">
        <x:v>5</x:v>
      </x:c>
      <x:c r="U119" s="118" t="n">
        <x:v>1</x:v>
      </x:c>
      <x:c r="V119" s="118" t="n">
        <x:v>0</x:v>
      </x:c>
      <x:c r="W119" s="118" t="n">
        <x:v>0</x:v>
      </x:c>
      <x:c r="X119" s="118" t="n">
        <x:v>0</x:v>
      </x:c>
      <x:c r="Y119" s="118" t="n">
        <x:v>1</x:v>
      </x:c>
      <x:c r="Z119" s="117" t="str">
        <x:v>Strong</x:v>
      </x:c>
      <x:c r="AA119" s="120" t="n">
        <x:v>46125.663449074076</x:v>
      </x:c>
      <x:c r="AB119" s="117" t="str">
        <x:v>Sacha Pearce</x:v>
      </x:c>
      <x:c r="AC119" s="119" t="str"/>
      <x:c r="AD119" s="119" t="str">
        <x:v>Active flow has no description</x:v>
      </x:c>
    </x:row>
    <x:row r="120" ht="34" customHeight="1">
      <x:c r="A120" s="117" t="str">
        <x:v>300Ro00000V6HVlIAN</x:v>
      </x:c>
      <x:c r="B120" s="117" t="str">
        <x:v>Contract_Line_Item_Trigger_Create_QA_Upon_Save</x:v>
      </x:c>
      <x:c r="C120" s="117" t="str">
        <x:v>Contract Line Item - Trigger - Create QA Upon Save</x:v>
      </x:c>
      <x:c r="D120" s="117" t="str">
        <x:v>Yes</x:v>
      </x:c>
      <x:c r="E120" s="118" t="n">
        <x:v>1</x:v>
      </x:c>
      <x:c r="F120" s="118" t="n">
        <x:v>1</x:v>
      </x:c>
      <x:c r="G120" s="117" t="str">
        <x:v>Yes</x:v>
      </x:c>
      <x:c r="H120" s="119" t="str">
        <x:v>Active v1 (Retrieved XML)</x:v>
      </x:c>
      <x:c r="I120" s="117" t="str">
        <x:v>AutoLaunchedFlow</x:v>
      </x:c>
      <x:c r="J120" s="117" t="str">
        <x:v>ContractLineItem</x:v>
      </x:c>
      <x:c r="K120" s="117" t="str">
        <x:v>Yes</x:v>
      </x:c>
      <x:c r="L120" s="117" t="str">
        <x:v>CreateAndUpdate</x:v>
      </x:c>
      <x:c r="M120" s="117" t="str">
        <x:v>RecordAfterSave</x:v>
      </x:c>
      <x:c r="N120" s="117"/>
      <x:c r="O120" s="117"/>
      <x:c r="P120" s="117" t="str"/>
      <x:c r="Q120" s="117" t="str">
        <x:v>63.0</x:v>
      </x:c>
      <x:c r="R120" s="117" t="str">
        <x:v>unmanaged</x:v>
      </x:c>
      <x:c r="S120" s="118" t="n">
        <x:v>1</x:v>
      </x:c>
      <x:c r="T120" s="118" t="n">
        <x:v>5</x:v>
      </x:c>
      <x:c r="U120" s="118" t="n">
        <x:v>4</x:v>
      </x:c>
      <x:c r="V120" s="118" t="n">
        <x:v>0</x:v>
      </x:c>
      <x:c r="W120" s="118" t="n">
        <x:v>0</x:v>
      </x:c>
      <x:c r="X120" s="118" t="n">
        <x:v>0</x:v>
      </x:c>
      <x:c r="Y120" s="118" t="n">
        <x:v>2</x:v>
      </x:c>
      <x:c r="Z120" s="117" t="str">
        <x:v>Review</x:v>
      </x:c>
      <x:c r="AA120" s="120" t="n">
        <x:v>45777.507893518516</x:v>
      </x:c>
      <x:c r="AB120" s="117" t="str">
        <x:v>Delegate</x:v>
      </x:c>
      <x:c r="AC120" s="119" t="str">
        <x:v>04/21/2025 - Kyle/Delegate - Upon save, create a QA Work order and corresponding service appointment for 3 months out
04/25/2025 - Kyle/Delegate - Error Handling</x:v>
      </x:c>
      <x:c r="AD120" s="119" t="str">
        <x:v>Touches many objects</x:v>
      </x:c>
    </x:row>
    <x:row r="121" ht="34" customHeight="1">
      <x:c r="A121" s="117" t="str">
        <x:v>300Ro00000gOxzdIAC</x:v>
      </x:c>
      <x:c r="B121" s="117" t="str">
        <x:v>Convert_Proforma</x:v>
      </x:c>
      <x:c r="C121" s="117" t="str">
        <x:v>Convert Proforma</x:v>
      </x:c>
      <x:c r="D121" s="117" t="str">
        <x:v>Yes</x:v>
      </x:c>
      <x:c r="E121" s="118" t="n">
        <x:v>1</x:v>
      </x:c>
      <x:c r="F121" s="118" t="n">
        <x:v>1</x:v>
      </x:c>
      <x:c r="G121" s="117" t="str">
        <x:v>Yes</x:v>
      </x:c>
      <x:c r="H121" s="119" t="str">
        <x:v>Active v1 (Retrieved XML)</x:v>
      </x:c>
      <x:c r="I121" s="117" t="str">
        <x:v>Flow</x:v>
      </x:c>
      <x:c r="J121" s="117" t="str"/>
      <x:c r="K121" s="117" t="str">
        <x:v>No</x:v>
      </x:c>
      <x:c r="L121" s="117" t="str"/>
      <x:c r="M121" s="117" t="str"/>
      <x:c r="N121" s="117"/>
      <x:c r="O121" s="117"/>
      <x:c r="P121" s="117" t="str"/>
      <x:c r="Q121" s="117" t="str">
        <x:v>64.0</x:v>
      </x:c>
      <x:c r="R121" s="117" t="str">
        <x:v>unmanaged</x:v>
      </x:c>
      <x:c r="S121" s="118" t="n">
        <x:v>1</x:v>
      </x:c>
      <x:c r="T121" s="118" t="n">
        <x:v>5</x:v>
      </x:c>
      <x:c r="U121" s="118" t="n">
        <x:v>1</x:v>
      </x:c>
      <x:c r="V121" s="118" t="n">
        <x:v>0</x:v>
      </x:c>
      <x:c r="W121" s="118" t="n">
        <x:v>0</x:v>
      </x:c>
      <x:c r="X121" s="118" t="n">
        <x:v>0</x:v>
      </x:c>
      <x:c r="Y121" s="118" t="n">
        <x:v>1</x:v>
      </x:c>
      <x:c r="Z121" s="117" t="str">
        <x:v>N/A</x:v>
      </x:c>
      <x:c r="AA121" s="120" t="n">
        <x:v>45922.858310185184</x:v>
      </x:c>
      <x:c r="AB121" s="117" t="str">
        <x:v>Bill Hagarty</x:v>
      </x:c>
      <x:c r="AC121" s="119" t="str">
        <x:v>With the Invoice &gt; Convert Proforma button, converts a Proforma Invoice to a Standard Invoice.</x:v>
      </x:c>
      <x:c r="AD121" s="119" t="str"/>
    </x:row>
    <x:row r="122" ht="34" customHeight="1">
      <x:c r="A122" s="117" t="str">
        <x:v>3005b000000Pz5oAAC</x:v>
      </x:c>
      <x:c r="B122" s="117" t="str">
        <x:v>Convert_PRR_to_Purchasing_Opportunity_Screen_Flow</x:v>
      </x:c>
      <x:c r="C122" s="117" t="str">
        <x:v>Convert PRR to Purchasing Opportunity Screen Flow</x:v>
      </x:c>
      <x:c r="D122" s="117" t="str">
        <x:v>Yes</x:v>
      </x:c>
      <x:c r="E122" s="118" t="n">
        <x:v>15</x:v>
      </x:c>
      <x:c r="F122" s="118" t="n">
        <x:v>15</x:v>
      </x:c>
      <x:c r="G122" s="117" t="str">
        <x:v>Yes</x:v>
      </x:c>
      <x:c r="H122" s="119" t="str">
        <x:v>Active v15 (Retrieved XML)</x:v>
      </x:c>
      <x:c r="I122" s="117" t="str">
        <x:v>Flow</x:v>
      </x:c>
      <x:c r="J122" s="117" t="str"/>
      <x:c r="K122" s="117" t="str">
        <x:v>No</x:v>
      </x:c>
      <x:c r="L122" s="117" t="str"/>
      <x:c r="M122" s="117" t="str"/>
      <x:c r="N122" s="117" t="str">
        <x:v>SystemModeWithoutSharing</x:v>
      </x:c>
      <x:c r="O122" s="117"/>
      <x:c r="P122" s="117" t="str"/>
      <x:c r="Q122" s="117" t="str">
        <x:v>57.0</x:v>
      </x:c>
      <x:c r="R122" s="117" t="str">
        <x:v>unmanaged</x:v>
      </x:c>
      <x:c r="S122" s="118" t="n">
        <x:v>15</x:v>
      </x:c>
      <x:c r="T122" s="118" t="n">
        <x:v>11</x:v>
      </x:c>
      <x:c r="U122" s="118" t="n">
        <x:v>7</x:v>
      </x:c>
      <x:c r="V122" s="118" t="n">
        <x:v>0</x:v>
      </x:c>
      <x:c r="W122" s="118" t="n">
        <x:v>0</x:v>
      </x:c>
      <x:c r="X122" s="118" t="n">
        <x:v>2</x:v>
      </x:c>
      <x:c r="Y122" s="118" t="n">
        <x:v>2</x:v>
      </x:c>
      <x:c r="Z122" s="117" t="str">
        <x:v>N/A</x:v>
      </x:c>
      <x:c r="AA122" s="120" t="n">
        <x:v>46182.67579861111</x:v>
      </x:c>
      <x:c r="AB122" s="117" t="str">
        <x:v>Mindy Bender</x:v>
      </x:c>
      <x:c r="AC122" s="119" t="str">
        <x:v>06/09/2026 - MPB - Updated flow to run by systems to bypass individual user limitations.</x:v>
      </x:c>
      <x:c r="AD122" s="119" t="str">
        <x:v>Touches many objects</x:v>
      </x:c>
    </x:row>
    <x:row r="123" ht="34" customHeight="1">
      <x:c r="A123" s="117" t="str">
        <x:v>3005b000000H1m1AAC</x:v>
      </x:c>
      <x:c r="B123" s="117" t="str">
        <x:v>Count_Invoice_Products</x:v>
      </x:c>
      <x:c r="C123" s="117" t="str">
        <x:v>Count Invoice Products</x:v>
      </x:c>
      <x:c r="D123" s="117" t="str">
        <x:v>No</x:v>
      </x:c>
      <x:c r="E123" s="118"/>
      <x:c r="F123" s="118" t="n">
        <x:v>2</x:v>
      </x:c>
      <x:c r="G123" s="117" t="str">
        <x:v>N/A</x:v>
      </x:c>
      <x:c r="H123" s="119" t="str">
        <x:v>Latest inactive v2 (Retrieved XML)</x:v>
      </x:c>
      <x:c r="I123" s="117" t="str">
        <x:v>AutoLaunchedFlow</x:v>
      </x:c>
      <x:c r="J123" s="117" t="str"/>
      <x:c r="K123" s="117" t="str">
        <x:v>No</x:v>
      </x:c>
      <x:c r="L123" s="117" t="str"/>
      <x:c r="M123" s="117" t="str"/>
      <x:c r="N123" s="117"/>
      <x:c r="O123" s="117"/>
      <x:c r="P123" s="117" t="str"/>
      <x:c r="Q123" s="117" t="str">
        <x:v>52.0</x:v>
      </x:c>
      <x:c r="R123" s="117" t="str">
        <x:v>unmanaged</x:v>
      </x:c>
      <x:c r="S123" s="118" t="n">
        <x:v>2</x:v>
      </x:c>
      <x:c r="T123" s="118" t="n">
        <x:v>6</x:v>
      </x:c>
      <x:c r="U123" s="118" t="n">
        <x:v>2</x:v>
      </x:c>
      <x:c r="V123" s="118" t="n">
        <x:v>0</x:v>
      </x:c>
      <x:c r="W123" s="118" t="n">
        <x:v>0</x:v>
      </x:c>
      <x:c r="X123" s="118" t="n">
        <x:v>0</x:v>
      </x:c>
      <x:c r="Y123" s="118" t="n">
        <x:v>1</x:v>
      </x:c>
      <x:c r="Z123" s="117" t="str">
        <x:v>N/A</x:v>
      </x:c>
      <x:c r="AA123" s="120" t="n">
        <x:v>45863.731203703705</x:v>
      </x:c>
      <x:c r="AB123" s="117" t="str">
        <x:v>Bill Hagarty</x:v>
      </x:c>
      <x:c r="AC123" s="119" t="str"/>
      <x:c r="AD123" s="119" t="str"/>
    </x:row>
    <x:row r="124" ht="34" customHeight="1">
      <x:c r="A124" s="117" t="str">
        <x:v>300Ro00000sOrovIAC</x:v>
      </x:c>
      <x:c r="B124" s="117" t="str">
        <x:v>Count_Return_Opportunities_on_a_Related_Opportunity</x:v>
      </x:c>
      <x:c r="C124" s="117" t="str">
        <x:v>Count Return Opportunities on a Related Opportunity</x:v>
      </x:c>
      <x:c r="D124" s="117" t="str">
        <x:v>Yes</x:v>
      </x:c>
      <x:c r="E124" s="118" t="n">
        <x:v>1</x:v>
      </x:c>
      <x:c r="F124" s="118" t="n">
        <x:v>1</x:v>
      </x:c>
      <x:c r="G124" s="117" t="str">
        <x:v>Yes</x:v>
      </x:c>
      <x:c r="H124" s="119" t="str">
        <x:v>Active v1 (Retrieved XML)</x:v>
      </x:c>
      <x:c r="I124" s="117" t="str">
        <x:v>AutoLaunchedFlow</x:v>
      </x:c>
      <x:c r="J124" s="117" t="str">
        <x:v>Opportunity</x:v>
      </x:c>
      <x:c r="K124" s="117" t="str">
        <x:v>Yes</x:v>
      </x:c>
      <x:c r="L124" s="117" t="str">
        <x:v>Create</x:v>
      </x:c>
      <x:c r="M124" s="117" t="str">
        <x:v>RecordAfterSave</x:v>
      </x:c>
      <x:c r="N124" s="117"/>
      <x:c r="O124" s="117"/>
      <x:c r="P124" s="117" t="str"/>
      <x:c r="Q124" s="117" t="str">
        <x:v>66.0</x:v>
      </x:c>
      <x:c r="R124" s="117" t="str">
        <x:v>unmanaged</x:v>
      </x:c>
      <x:c r="S124" s="118" t="n">
        <x:v>1</x:v>
      </x:c>
      <x:c r="T124" s="118" t="n">
        <x:v>6</x:v>
      </x:c>
      <x:c r="U124" s="118" t="n">
        <x:v>1</x:v>
      </x:c>
      <x:c r="V124" s="118" t="n">
        <x:v>0</x:v>
      </x:c>
      <x:c r="W124" s="118" t="n">
        <x:v>0</x:v>
      </x:c>
      <x:c r="X124" s="118" t="n">
        <x:v>0</x:v>
      </x:c>
      <x:c r="Y124" s="118" t="n">
        <x:v>1</x:v>
      </x:c>
      <x:c r="Z124" s="117" t="str">
        <x:v>Strong</x:v>
      </x:c>
      <x:c r="AA124" s="120" t="n">
        <x:v>46090.60349537037</x:v>
      </x:c>
      <x:c r="AB124" s="117" t="str">
        <x:v>Steve Dodd</x:v>
      </x:c>
      <x:c r="AC124" s="119" t="str">
        <x:v>Used to display the number of Return Opportunities related to an Opportunity on the page layout.</x:v>
      </x:c>
      <x:c r="AD124" s="119" t="str"/>
    </x:row>
    <x:row r="125" ht="34" customHeight="1">
      <x:c r="A125" s="117" t="str">
        <x:v>300Ro00000cnT4bIAE</x:v>
      </x:c>
      <x:c r="B125" s="117" t="str">
        <x:v>Create_and_Dispatch_Service_Appointment_from_FSL_App</x:v>
      </x:c>
      <x:c r="C125" s="117" t="str">
        <x:v>Create and Dispatch Service Appointment from FSL App</x:v>
      </x:c>
      <x:c r="D125" s="117" t="str">
        <x:v>Yes</x:v>
      </x:c>
      <x:c r="E125" s="118" t="n">
        <x:v>1</x:v>
      </x:c>
      <x:c r="F125" s="118" t="n">
        <x:v>1</x:v>
      </x:c>
      <x:c r="G125" s="117" t="str">
        <x:v>Yes</x:v>
      </x:c>
      <x:c r="H125" s="119" t="str">
        <x:v>Active v1 (Retrieved XML)</x:v>
      </x:c>
      <x:c r="I125" s="117" t="str">
        <x:v>FieldServiceMobile</x:v>
      </x:c>
      <x:c r="J125" s="117" t="str"/>
      <x:c r="K125" s="117" t="str">
        <x:v>No</x:v>
      </x:c>
      <x:c r="L125" s="117" t="str"/>
      <x:c r="M125" s="117" t="str"/>
      <x:c r="N125" s="117"/>
      <x:c r="O125" s="117"/>
      <x:c r="P125" s="117" t="str"/>
      <x:c r="Q125" s="117"/>
      <x:c r="R125" s="117" t="str">
        <x:v>unmanaged</x:v>
      </x:c>
      <x:c r="S125" s="118" t="n">
        <x:v>1</x:v>
      </x:c>
      <x:c r="T125" s="118" t="n">
        <x:v>7</x:v>
      </x:c>
      <x:c r="U125" s="118" t="n">
        <x:v>4</x:v>
      </x:c>
      <x:c r="V125" s="118" t="n">
        <x:v>0</x:v>
      </x:c>
      <x:c r="W125" s="118" t="n">
        <x:v>0</x:v>
      </x:c>
      <x:c r="X125" s="118" t="n">
        <x:v>0</x:v>
      </x:c>
      <x:c r="Y125" s="118" t="n">
        <x:v>2</x:v>
      </x:c>
      <x:c r="Z125" s="117" t="str">
        <x:v>N/A</x:v>
      </x:c>
      <x:c r="AA125" s="120" t="n">
        <x:v>45882.85215277778</x:v>
      </x:c>
      <x:c r="AB125" s="117" t="str">
        <x:v>Delegate</x:v>
      </x:c>
      <x:c r="AC125" s="119" t="str">
        <x:v>04/16/2025 (BW) - Creates and dispatches a service appointment from the field service mobile app.</x:v>
      </x:c>
      <x:c r="AD125" s="119" t="str">
        <x:v>Touches many objects</x:v>
      </x:c>
    </x:row>
    <x:row r="126" ht="34" customHeight="1">
      <x:c r="A126" s="117" t="str">
        <x:v>3004O000000LOsAQAW</x:v>
      </x:c>
      <x:c r="B126" s="117" t="str">
        <x:v>Create_Commission</x:v>
      </x:c>
      <x:c r="C126" s="117" t="str">
        <x:v>Create Commission</x:v>
      </x:c>
      <x:c r="D126" s="117" t="str">
        <x:v>Yes</x:v>
      </x:c>
      <x:c r="E126" s="118" t="n">
        <x:v>2</x:v>
      </x:c>
      <x:c r="F126" s="118" t="n">
        <x:v>2</x:v>
      </x:c>
      <x:c r="G126" s="117" t="str">
        <x:v>Yes</x:v>
      </x:c>
      <x:c r="H126" s="119" t="str">
        <x:v>Active v2 (Retrieved XML)</x:v>
      </x:c>
      <x:c r="I126" s="117" t="str">
        <x:v>AutoLaunchedFlow</x:v>
      </x:c>
      <x:c r="J126" s="117" t="str"/>
      <x:c r="K126" s="117" t="str">
        <x:v>No</x:v>
      </x:c>
      <x:c r="L126" s="117" t="str"/>
      <x:c r="M126" s="117" t="str"/>
      <x:c r="N126" s="117" t="str">
        <x:v>DefaultMode</x:v>
      </x:c>
      <x:c r="O126" s="117"/>
      <x:c r="P126" s="117" t="str"/>
      <x:c r="Q126" s="117" t="str">
        <x:v>50.0</x:v>
      </x:c>
      <x:c r="R126" s="117" t="str">
        <x:v>unmanaged</x:v>
      </x:c>
      <x:c r="S126" s="118" t="n">
        <x:v>2</x:v>
      </x:c>
      <x:c r="T126" s="118" t="n">
        <x:v>10</x:v>
      </x:c>
      <x:c r="U126" s="118" t="n">
        <x:v>4</x:v>
      </x:c>
      <x:c r="V126" s="118" t="n">
        <x:v>0</x:v>
      </x:c>
      <x:c r="W126" s="118" t="n">
        <x:v>0</x:v>
      </x:c>
      <x:c r="X126" s="118" t="n">
        <x:v>0</x:v>
      </x:c>
      <x:c r="Y126" s="118" t="n">
        <x:v>2</x:v>
      </x:c>
      <x:c r="Z126" s="117" t="str">
        <x:v>N/A</x:v>
      </x:c>
      <x:c r="AA126" s="120" t="n">
        <x:v>44199.858298611114</x:v>
      </x:c>
      <x:c r="AB126" s="117" t="str">
        <x:v>Trent VanEmon</x:v>
      </x:c>
      <x:c r="AC126" s="119" t="str">
        <x:v>Creates a commission record from an invoice</x:v>
      </x:c>
      <x:c r="AD126" s="119" t="str">
        <x:v>Touches many objects</x:v>
      </x:c>
    </x:row>
    <x:row r="127" ht="34" customHeight="1">
      <x:c r="A127" s="117" t="str">
        <x:v>3005b000000H1utAAC</x:v>
      </x:c>
      <x:c r="B127" s="117" t="str">
        <x:v>Create_contract_line_items_and_entitlements</x:v>
      </x:c>
      <x:c r="C127" s="117" t="str">
        <x:v>Create contract line items and entitlements</x:v>
      </x:c>
      <x:c r="D127" s="117" t="str">
        <x:v>Yes</x:v>
      </x:c>
      <x:c r="E127" s="118" t="n">
        <x:v>11</x:v>
      </x:c>
      <x:c r="F127" s="118" t="n">
        <x:v>11</x:v>
      </x:c>
      <x:c r="G127" s="117" t="str">
        <x:v>Yes</x:v>
      </x:c>
      <x:c r="H127" s="119" t="str">
        <x:v>Active v11 (Retrieved XML)</x:v>
      </x:c>
      <x:c r="I127" s="117" t="str">
        <x:v>Flow</x:v>
      </x:c>
      <x:c r="J127" s="117" t="str"/>
      <x:c r="K127" s="117" t="str">
        <x:v>No</x:v>
      </x:c>
      <x:c r="L127" s="117" t="str"/>
      <x:c r="M127" s="117" t="str"/>
      <x:c r="N127" s="117"/>
      <x:c r="O127" s="117"/>
      <x:c r="P127" s="117" t="str"/>
      <x:c r="Q127" s="117" t="str">
        <x:v>52.0</x:v>
      </x:c>
      <x:c r="R127" s="117" t="str">
        <x:v>unmanaged</x:v>
      </x:c>
      <x:c r="S127" s="118" t="n">
        <x:v>6</x:v>
      </x:c>
      <x:c r="T127" s="118" t="n">
        <x:v>20</x:v>
      </x:c>
      <x:c r="U127" s="118" t="n">
        <x:v>8</x:v>
      </x:c>
      <x:c r="V127" s="118" t="n">
        <x:v>0</x:v>
      </x:c>
      <x:c r="W127" s="118" t="n">
        <x:v>0</x:v>
      </x:c>
      <x:c r="X127" s="118" t="n">
        <x:v>1</x:v>
      </x:c>
      <x:c r="Y127" s="118" t="n">
        <x:v>3</x:v>
      </x:c>
      <x:c r="Z127" s="117" t="str">
        <x:v>N/A</x:v>
      </x:c>
      <x:c r="AA127" s="120" t="n">
        <x:v>44656.64709490741</x:v>
      </x:c>
      <x:c r="AB127" s="117" t="str">
        <x:v>Natalie Boger</x:v>
      </x:c>
      <x:c r="AC127" s="119" t="str">
        <x:v>From service contract through screen flow</x:v>
      </x:c>
      <x:c r="AD127" s="119" t="str">
        <x:v>Touches many objects</x:v>
      </x:c>
    </x:row>
    <x:row r="128" ht="34" customHeight="1">
      <x:c r="A128" s="117" t="str">
        <x:v>3005b000000H3leAAC</x:v>
      </x:c>
      <x:c r="B128" s="117" t="str">
        <x:v>Create_Contract_Line_Items_Entitlements_and_Work_Orders</x:v>
      </x:c>
      <x:c r="C128" s="117" t="str">
        <x:v>Create Contract Line Items, Entitlements, and Work Orders</x:v>
      </x:c>
      <x:c r="D128" s="117" t="str">
        <x:v>No</x:v>
      </x:c>
      <x:c r="E128" s="118"/>
      <x:c r="F128" s="118" t="n">
        <x:v>3</x:v>
      </x:c>
      <x:c r="G128" s="117" t="str">
        <x:v>N/A</x:v>
      </x:c>
      <x:c r="H128" s="119" t="str">
        <x:v>Latest inactive v3 (Retrieved XML)</x:v>
      </x:c>
      <x:c r="I128" s="117" t="str">
        <x:v>Flow</x:v>
      </x:c>
      <x:c r="J128" s="117" t="str"/>
      <x:c r="K128" s="117" t="str">
        <x:v>No</x:v>
      </x:c>
      <x:c r="L128" s="117" t="str"/>
      <x:c r="M128" s="117" t="str"/>
      <x:c r="N128" s="117"/>
      <x:c r="O128" s="117"/>
      <x:c r="P128" s="117" t="str"/>
      <x:c r="Q128" s="117" t="str">
        <x:v>52.0</x:v>
      </x:c>
      <x:c r="R128" s="117" t="str">
        <x:v>unmanaged</x:v>
      </x:c>
      <x:c r="S128" s="118" t="n">
        <x:v>3</x:v>
      </x:c>
      <x:c r="T128" s="118" t="n">
        <x:v>23</x:v>
      </x:c>
      <x:c r="U128" s="118" t="n">
        <x:v>8</x:v>
      </x:c>
      <x:c r="V128" s="118" t="n">
        <x:v>0</x:v>
      </x:c>
      <x:c r="W128" s="118" t="n">
        <x:v>0</x:v>
      </x:c>
      <x:c r="X128" s="118" t="n">
        <x:v>1</x:v>
      </x:c>
      <x:c r="Y128" s="118" t="n">
        <x:v>3</x:v>
      </x:c>
      <x:c r="Z128" s="117" t="str">
        <x:v>N/A</x:v>
      </x:c>
      <x:c r="AA128" s="120" t="n">
        <x:v>44788.99935185185</x:v>
      </x:c>
      <x:c r="AB128" s="117" t="str">
        <x:v>Jace Gentil</x:v>
      </x:c>
      <x:c r="AC128" s="119" t="str"/>
      <x:c r="AD128" s="119" t="str">
        <x:v>Touches many objects</x:v>
      </x:c>
    </x:row>
    <x:row r="129" ht="34" customHeight="1">
      <x:c r="A129" s="117" t="str">
        <x:v>3005b000000H3pgAAC</x:v>
      </x:c>
      <x:c r="B129" s="117" t="str">
        <x:v>Create_Contract_Line_Items_Entitlements_and_Work_Orders_V4</x:v>
      </x:c>
      <x:c r="C129" s="117" t="str">
        <x:v>Create Contract Line Items, Entitlements, and Work Orders V4</x:v>
      </x:c>
      <x:c r="D129" s="117" t="str">
        <x:v>Yes</x:v>
      </x:c>
      <x:c r="E129" s="118" t="n">
        <x:v>17</x:v>
      </x:c>
      <x:c r="F129" s="118" t="n">
        <x:v>24</x:v>
      </x:c>
      <x:c r="G129" s="117" t="str">
        <x:v>No</x:v>
      </x:c>
      <x:c r="H129" s="119" t="str">
        <x:v>Active v17 (Tooling metadata)</x:v>
      </x:c>
      <x:c r="I129" s="117" t="str">
        <x:v>Flow</x:v>
      </x:c>
      <x:c r="J129" s="117" t="str"/>
      <x:c r="K129" s="117" t="str">
        <x:v>No</x:v>
      </x:c>
      <x:c r="L129" s="117" t="str"/>
      <x:c r="M129" s="117" t="str"/>
      <x:c r="N129" s="117"/>
      <x:c r="O129" s="117"/>
      <x:c r="P129" s="117" t="str"/>
      <x:c r="Q129" s="117" t="n">
        <x:v>52</x:v>
      </x:c>
      <x:c r="R129" s="117" t="str">
        <x:v>unmanaged</x:v>
      </x:c>
      <x:c r="S129" s="118" t="n">
        <x:v>24</x:v>
      </x:c>
      <x:c r="T129" s="118" t="n">
        <x:v>27</x:v>
      </x:c>
      <x:c r="U129" s="118" t="n">
        <x:v>9</x:v>
      </x:c>
      <x:c r="V129" s="118" t="n">
        <x:v>0</x:v>
      </x:c>
      <x:c r="W129" s="118" t="n">
        <x:v>0</x:v>
      </x:c>
      <x:c r="X129" s="118" t="n">
        <x:v>1</x:v>
      </x:c>
      <x:c r="Y129" s="118" t="n">
        <x:v>3</x:v>
      </x:c>
      <x:c r="Z129" s="117" t="str">
        <x:v>N/A</x:v>
      </x:c>
      <x:c r="AA129" s="120" t="n">
        <x:v>46142.45556712963</x:v>
      </x:c>
      <x:c r="AB129" s="117" t="str">
        <x:v>Sacha Pearce</x:v>
      </x:c>
      <x:c r="AC129" s="119" t="str">
        <x:v>04/03/2026 - V17 - SP - Removing "Next Service Date" from the "Assign fields values to work order" Assignment element</x:v>
      </x:c>
      <x:c r="AD129" s="119" t="str">
        <x:v>Active version differs from latest; Touches many objects</x:v>
      </x:c>
    </x:row>
    <x:row r="130" ht="34" customHeight="1">
      <x:c r="A130" s="117" t="str">
        <x:v>3005b000000LJjmAAG</x:v>
      </x:c>
      <x:c r="B130" s="117" t="str">
        <x:v>Create_Core_Charge_Opportunity_from_RMA_Screen_Flow</x:v>
      </x:c>
      <x:c r="C130" s="117" t="str">
        <x:v>Create Core Charge Opportunity from RMA Screen Flow</x:v>
      </x:c>
      <x:c r="D130" s="117" t="str">
        <x:v>Yes</x:v>
      </x:c>
      <x:c r="E130" s="118" t="n">
        <x:v>4</x:v>
      </x:c>
      <x:c r="F130" s="118" t="n">
        <x:v>4</x:v>
      </x:c>
      <x:c r="G130" s="117" t="str">
        <x:v>Yes</x:v>
      </x:c>
      <x:c r="H130" s="119" t="str">
        <x:v>Active v4 (Retrieved XML)</x:v>
      </x:c>
      <x:c r="I130" s="117" t="str">
        <x:v>Flow</x:v>
      </x:c>
      <x:c r="J130" s="117" t="str"/>
      <x:c r="K130" s="117" t="str">
        <x:v>No</x:v>
      </x:c>
      <x:c r="L130" s="117" t="str"/>
      <x:c r="M130" s="117" t="str"/>
      <x:c r="N130" s="117"/>
      <x:c r="O130" s="117"/>
      <x:c r="P130" s="117" t="str"/>
      <x:c r="Q130" s="117" t="str">
        <x:v>58.0</x:v>
      </x:c>
      <x:c r="R130" s="117" t="str">
        <x:v>unmanaged</x:v>
      </x:c>
      <x:c r="S130" s="118" t="n">
        <x:v>4</x:v>
      </x:c>
      <x:c r="T130" s="118" t="n">
        <x:v>8</x:v>
      </x:c>
      <x:c r="U130" s="118" t="n">
        <x:v>3</x:v>
      </x:c>
      <x:c r="V130" s="118" t="n">
        <x:v>0</x:v>
      </x:c>
      <x:c r="W130" s="118" t="n">
        <x:v>0</x:v>
      </x:c>
      <x:c r="X130" s="118" t="n">
        <x:v>0</x:v>
      </x:c>
      <x:c r="Y130" s="118" t="n">
        <x:v>2</x:v>
      </x:c>
      <x:c r="Z130" s="117" t="str">
        <x:v>N/A</x:v>
      </x:c>
      <x:c r="AA130" s="120" t="n">
        <x:v>45693.8196875</x:v>
      </x:c>
      <x:c r="AB130" s="117" t="str">
        <x:v>Jace Gentil</x:v>
      </x:c>
      <x:c r="AC130" s="119" t="str"/>
      <x:c r="AD130" s="119" t="str">
        <x:v>Active flow has no description</x:v>
      </x:c>
    </x:row>
    <x:row r="131" ht="34" customHeight="1">
      <x:c r="A131" s="117" t="str">
        <x:v>3005b000000H2SbAAK</x:v>
      </x:c>
      <x:c r="B131" s="117" t="str">
        <x:v>Create_core_exchange_RMAs_from_Service_Fusion</x:v>
      </x:c>
      <x:c r="C131" s="117" t="str">
        <x:v>Create core exchange RMAs from Service Fusion</x:v>
      </x:c>
      <x:c r="D131" s="117" t="str">
        <x:v>Yes</x:v>
      </x:c>
      <x:c r="E131" s="118" t="n">
        <x:v>3</x:v>
      </x:c>
      <x:c r="F131" s="118" t="n">
        <x:v>3</x:v>
      </x:c>
      <x:c r="G131" s="117" t="str">
        <x:v>Yes</x:v>
      </x:c>
      <x:c r="H131" s="119" t="str">
        <x:v>Active v3 (Retrieved XML)</x:v>
      </x:c>
      <x:c r="I131" s="117" t="str">
        <x:v>AutoLaunchedFlow</x:v>
      </x:c>
      <x:c r="J131" s="117" t="str">
        <x:v>WorkOrder</x:v>
      </x:c>
      <x:c r="K131" s="117" t="str">
        <x:v>Yes</x:v>
      </x:c>
      <x:c r="L131" s="117" t="str">
        <x:v>CreateAndUpdate</x:v>
      </x:c>
      <x:c r="M131" s="117" t="str">
        <x:v>RecordAfterSave</x:v>
      </x:c>
      <x:c r="N131" s="117"/>
      <x:c r="O131" s="117"/>
      <x:c r="P131" s="117" t="str"/>
      <x:c r="Q131" s="117" t="str">
        <x:v>53.0</x:v>
      </x:c>
      <x:c r="R131" s="117" t="str">
        <x:v>unmanaged</x:v>
      </x:c>
      <x:c r="S131" s="118" t="n">
        <x:v>3</x:v>
      </x:c>
      <x:c r="T131" s="118" t="n">
        <x:v>7</x:v>
      </x:c>
      <x:c r="U131" s="118" t="n">
        <x:v>2</x:v>
      </x:c>
      <x:c r="V131" s="118" t="n">
        <x:v>0</x:v>
      </x:c>
      <x:c r="W131" s="118" t="n">
        <x:v>0</x:v>
      </x:c>
      <x:c r="X131" s="118" t="n">
        <x:v>0</x:v>
      </x:c>
      <x:c r="Y131" s="118" t="n">
        <x:v>1</x:v>
      </x:c>
      <x:c r="Z131" s="117" t="str">
        <x:v>Strong</x:v>
      </x:c>
      <x:c r="AA131" s="120" t="n">
        <x:v>45894.61216435185</x:v>
      </x:c>
      <x:c r="AB131" s="117" t="str">
        <x:v>Delegate</x:v>
      </x:c>
      <x:c r="AC131" s="119" t="str">
        <x:v>08/25/2025 (BW) - Updated the layout to the auto-layout</x:v>
      </x:c>
      <x:c r="AD131" s="119" t="str"/>
    </x:row>
    <x:row r="132" ht="34" customHeight="1">
      <x:c r="A132" s="117" t="str">
        <x:v>300Ro00000NaN2WIAV</x:v>
      </x:c>
      <x:c r="B132" s="117" t="str">
        <x:v>Create_Credit_Memo_From_Invoice</x:v>
      </x:c>
      <x:c r="C132" s="117" t="str">
        <x:v>Create Credit Memo From Invoice</x:v>
      </x:c>
      <x:c r="D132" s="117" t="str">
        <x:v>Yes</x:v>
      </x:c>
      <x:c r="E132" s="118" t="n">
        <x:v>9</x:v>
      </x:c>
      <x:c r="F132" s="118" t="n">
        <x:v>9</x:v>
      </x:c>
      <x:c r="G132" s="117" t="str">
        <x:v>Yes</x:v>
      </x:c>
      <x:c r="H132" s="119" t="str">
        <x:v>Active v9 (Retrieved XML)</x:v>
      </x:c>
      <x:c r="I132" s="117" t="str">
        <x:v>Flow</x:v>
      </x:c>
      <x:c r="J132" s="117" t="str"/>
      <x:c r="K132" s="117" t="str">
        <x:v>No</x:v>
      </x:c>
      <x:c r="L132" s="117" t="str"/>
      <x:c r="M132" s="117" t="str"/>
      <x:c r="N132" s="117"/>
      <x:c r="O132" s="117"/>
      <x:c r="P132" s="117" t="str"/>
      <x:c r="Q132" s="117" t="str">
        <x:v>62.0</x:v>
      </x:c>
      <x:c r="R132" s="117" t="str">
        <x:v>unmanaged</x:v>
      </x:c>
      <x:c r="S132" s="118" t="n">
        <x:v>9</x:v>
      </x:c>
      <x:c r="T132" s="118" t="n">
        <x:v>13</x:v>
      </x:c>
      <x:c r="U132" s="118" t="n">
        <x:v>4</x:v>
      </x:c>
      <x:c r="V132" s="118" t="n">
        <x:v>0</x:v>
      </x:c>
      <x:c r="W132" s="118" t="n">
        <x:v>0</x:v>
      </x:c>
      <x:c r="X132" s="118" t="n">
        <x:v>0</x:v>
      </x:c>
      <x:c r="Y132" s="118" t="n">
        <x:v>2</x:v>
      </x:c>
      <x:c r="Z132" s="117" t="str">
        <x:v>N/A</x:v>
      </x:c>
      <x:c r="AA132" s="120" t="n">
        <x:v>46024.63532407407</x:v>
      </x:c>
      <x:c r="AB132" s="117" t="str">
        <x:v>Delegate</x:v>
      </x:c>
      <x:c r="AC132" s="119" t="str">
        <x:v>12/31/2025 (BW) - Updating the Verbiage to be On-Approval</x:v>
      </x:c>
      <x:c r="AD132" s="119" t="str">
        <x:v>Touches many objects</x:v>
      </x:c>
    </x:row>
    <x:row r="133" ht="34" customHeight="1">
      <x:c r="A133" s="117" t="str">
        <x:v>300Ro00000B07T3IAJ</x:v>
      </x:c>
      <x:c r="B133" s="117" t="str">
        <x:v>Create_External_Repair_Testing_Opp_from_PO</x:v>
      </x:c>
      <x:c r="C133" s="117" t="str">
        <x:v>Create External Repair Testing Opp from PO</x:v>
      </x:c>
      <x:c r="D133" s="117" t="str">
        <x:v>Yes</x:v>
      </x:c>
      <x:c r="E133" s="118" t="n">
        <x:v>7</x:v>
      </x:c>
      <x:c r="F133" s="118" t="n">
        <x:v>7</x:v>
      </x:c>
      <x:c r="G133" s="117" t="str">
        <x:v>Yes</x:v>
      </x:c>
      <x:c r="H133" s="119" t="str">
        <x:v>Active v7 (Retrieved XML)</x:v>
      </x:c>
      <x:c r="I133" s="117" t="str">
        <x:v>Flow</x:v>
      </x:c>
      <x:c r="J133" s="117" t="str"/>
      <x:c r="K133" s="117" t="str">
        <x:v>No</x:v>
      </x:c>
      <x:c r="L133" s="117" t="str"/>
      <x:c r="M133" s="117" t="str"/>
      <x:c r="N133" s="117"/>
      <x:c r="O133" s="117"/>
      <x:c r="P133" s="117" t="str"/>
      <x:c r="Q133" s="117" t="str">
        <x:v>56.0</x:v>
      </x:c>
      <x:c r="R133" s="117" t="str">
        <x:v>unmanaged</x:v>
      </x:c>
      <x:c r="S133" s="118" t="n">
        <x:v>7</x:v>
      </x:c>
      <x:c r="T133" s="118" t="n">
        <x:v>12</x:v>
      </x:c>
      <x:c r="U133" s="118" t="n">
        <x:v>5</x:v>
      </x:c>
      <x:c r="V133" s="118" t="n">
        <x:v>0</x:v>
      </x:c>
      <x:c r="W133" s="118" t="n">
        <x:v>0</x:v>
      </x:c>
      <x:c r="X133" s="118" t="n">
        <x:v>1</x:v>
      </x:c>
      <x:c r="Y133" s="118" t="n">
        <x:v>2</x:v>
      </x:c>
      <x:c r="Z133" s="117" t="str">
        <x:v>N/A</x:v>
      </x:c>
      <x:c r="AA133" s="120" t="n">
        <x:v>45426.76349537037</x:v>
      </x:c>
      <x:c r="AB133" s="117" t="str">
        <x:v>Jace Gentil</x:v>
      </x:c>
      <x:c r="AC133" s="119" t="str"/>
      <x:c r="AD133" s="119" t="str">
        <x:v>Active flow has no description; Touches many objects</x:v>
      </x:c>
    </x:row>
    <x:row r="134" ht="34" customHeight="1">
      <x:c r="A134" s="117" t="str">
        <x:v>300Ro00000kseeBIAQ</x:v>
      </x:c>
      <x:c r="B134" s="117" t="str">
        <x:v>Create_Field_Service_Work_Order_in_Salesforce</x:v>
      </x:c>
      <x:c r="C134" s="117" t="str">
        <x:v>Create Field Service Work Order in Salesforce</x:v>
      </x:c>
      <x:c r="D134" s="117" t="str">
        <x:v>Yes</x:v>
      </x:c>
      <x:c r="E134" s="118" t="n">
        <x:v>9</x:v>
      </x:c>
      <x:c r="F134" s="118" t="n">
        <x:v>9</x:v>
      </x:c>
      <x:c r="G134" s="117" t="str">
        <x:v>Yes</x:v>
      </x:c>
      <x:c r="H134" s="119" t="str">
        <x:v>Active v9 (Retrieved XML)</x:v>
      </x:c>
      <x:c r="I134" s="117" t="str">
        <x:v>Flow</x:v>
      </x:c>
      <x:c r="J134" s="117" t="str"/>
      <x:c r="K134" s="117" t="str">
        <x:v>No</x:v>
      </x:c>
      <x:c r="L134" s="117" t="str"/>
      <x:c r="M134" s="117" t="str"/>
      <x:c r="N134" s="117"/>
      <x:c r="O134" s="117"/>
      <x:c r="P134" s="117" t="str"/>
      <x:c r="Q134" s="117" t="str">
        <x:v>65.0</x:v>
      </x:c>
      <x:c r="R134" s="117" t="str">
        <x:v>unmanaged</x:v>
      </x:c>
      <x:c r="S134" s="118" t="n">
        <x:v>5</x:v>
      </x:c>
      <x:c r="T134" s="118" t="n">
        <x:v>89</x:v>
      </x:c>
      <x:c r="U134" s="118" t="n">
        <x:v>16</x:v>
      </x:c>
      <x:c r="V134" s="118" t="n">
        <x:v>1</x:v>
      </x:c>
      <x:c r="W134" s="118" t="n">
        <x:v>2</x:v>
      </x:c>
      <x:c r="X134" s="118" t="n">
        <x:v>1</x:v>
      </x:c>
      <x:c r="Y134" s="118" t="n">
        <x:v>4</x:v>
      </x:c>
      <x:c r="Z134" s="117" t="str">
        <x:v>N/A</x:v>
      </x:c>
      <x:c r="AA134" s="120" t="n">
        <x:v>46028.79435185185</x:v>
      </x:c>
      <x:c r="AB134" s="117" t="str">
        <x:v>Delegate</x:v>
      </x:c>
      <x:c r="AC134" s="119" t="str">
        <x:v>12/29/2025 (KL) - Remaining Updates
12/23/2025 (BW) - Adding a fetch of the service contract to use it's details in the flow. Also added Coverage Type to the Billing Type default, to pull from the contract if there is one</x:v>
      </x:c>
      <x:c r="AD134" s="119" t="str">
        <x:v>High element count; Touches many objects</x:v>
      </x:c>
    </x:row>
    <x:row r="135" ht="34" customHeight="1">
      <x:c r="A135" s="117" t="str">
        <x:v>300jR000000BuwaQAC</x:v>
      </x:c>
      <x:c r="B135" s="117" t="str">
        <x:v>Create_FSL_Work_Order_on_SF_Objects</x:v>
      </x:c>
      <x:c r="C135" s="117" t="str">
        <x:v>Create FSL Work Order on SF Objects</x:v>
      </x:c>
      <x:c r="D135" s="117" t="str">
        <x:v>Yes</x:v>
      </x:c>
      <x:c r="E135" s="118" t="n">
        <x:v>7</x:v>
      </x:c>
      <x:c r="F135" s="118" t="n">
        <x:v>7</x:v>
      </x:c>
      <x:c r="G135" s="117" t="str">
        <x:v>Yes</x:v>
      </x:c>
      <x:c r="H135" s="119" t="str">
        <x:v>Active v7 (Retrieved XML)</x:v>
      </x:c>
      <x:c r="I135" s="117" t="str">
        <x:v>Flow</x:v>
      </x:c>
      <x:c r="J135" s="117" t="str"/>
      <x:c r="K135" s="117" t="str">
        <x:v>No</x:v>
      </x:c>
      <x:c r="L135" s="117" t="str"/>
      <x:c r="M135" s="117" t="str"/>
      <x:c r="N135" s="117"/>
      <x:c r="O135" s="117"/>
      <x:c r="P135" s="117" t="str"/>
      <x:c r="Q135" s="117" t="str">
        <x:v>67.0</x:v>
      </x:c>
      <x:c r="R135" s="117" t="str">
        <x:v>unmanaged</x:v>
      </x:c>
      <x:c r="S135" s="118" t="n">
        <x:v>7</x:v>
      </x:c>
      <x:c r="T135" s="118" t="n">
        <x:v>49</x:v>
      </x:c>
      <x:c r="U135" s="118" t="n">
        <x:v>17</x:v>
      </x:c>
      <x:c r="V135" s="118" t="n">
        <x:v>0</x:v>
      </x:c>
      <x:c r="W135" s="118" t="n">
        <x:v>2</x:v>
      </x:c>
      <x:c r="X135" s="118" t="n">
        <x:v>3</x:v>
      </x:c>
      <x:c r="Y135" s="118" t="n">
        <x:v>4</x:v>
      </x:c>
      <x:c r="Z135" s="117" t="str">
        <x:v>N/A</x:v>
      </x:c>
      <x:c r="AA135" s="120" t="n">
        <x:v>46258.78590277778</x:v>
      </x:c>
      <x:c r="AB135" s="117" t="str">
        <x:v>Mindy Bender</x:v>
      </x:c>
      <x:c r="AC135" s="119" t="str">
        <x:v>Create FSL Work Order with items prepopulated from Salesforce Objects</x:v>
      </x:c>
      <x:c r="AD135" s="119" t="str">
        <x:v>High element count; Touches many objects</x:v>
      </x:c>
    </x:row>
    <x:row r="136" ht="34" customHeight="1">
      <x:c r="A136" s="117" t="str">
        <x:v>3004O000000LNr1QAG</x:v>
      </x:c>
      <x:c r="B136" s="117" t="str">
        <x:v>Create_Generic_Asset2_from_Product2_Id</x:v>
      </x:c>
      <x:c r="C136" s="117" t="str">
        <x:v>Create Generic Asset2 from Product2 Id</x:v>
      </x:c>
      <x:c r="D136" s="117" t="str">
        <x:v>No</x:v>
      </x:c>
      <x:c r="E136" s="118"/>
      <x:c r="F136" s="118" t="n">
        <x:v>7</x:v>
      </x:c>
      <x:c r="G136" s="117" t="str">
        <x:v>N/A</x:v>
      </x:c>
      <x:c r="H136" s="119" t="str">
        <x:v>Latest inactive v7 (Retrieved XML)</x:v>
      </x:c>
      <x:c r="I136" s="117" t="str">
        <x:v>AutoLaunchedFlow</x:v>
      </x:c>
      <x:c r="J136" s="117" t="str"/>
      <x:c r="K136" s="117" t="str">
        <x:v>No</x:v>
      </x:c>
      <x:c r="L136" s="117" t="str"/>
      <x:c r="M136" s="117" t="str"/>
      <x:c r="N136" s="117"/>
      <x:c r="O136" s="117"/>
      <x:c r="P136" s="117" t="str"/>
      <x:c r="Q136" s="117" t="str">
        <x:v>49.0</x:v>
      </x:c>
      <x:c r="R136" s="117" t="str">
        <x:v>unmanaged</x:v>
      </x:c>
      <x:c r="S136" s="118" t="n">
        <x:v>7</x:v>
      </x:c>
      <x:c r="T136" s="118" t="n">
        <x:v>17</x:v>
      </x:c>
      <x:c r="U136" s="118" t="n">
        <x:v>4</x:v>
      </x:c>
      <x:c r="V136" s="118" t="n">
        <x:v>0</x:v>
      </x:c>
      <x:c r="W136" s="118" t="n">
        <x:v>0</x:v>
      </x:c>
      <x:c r="X136" s="118" t="n">
        <x:v>0</x:v>
      </x:c>
      <x:c r="Y136" s="118" t="n">
        <x:v>3</x:v>
      </x:c>
      <x:c r="Z136" s="117" t="str">
        <x:v>N/A</x:v>
      </x:c>
      <x:c r="AA136" s="120" t="n">
        <x:v>46197.299479166664</x:v>
      </x:c>
      <x:c r="AB136" s="117" t="str">
        <x:v>Natalie Boger</x:v>
      </x:c>
      <x:c r="AC136" s="119" t="str">
        <x:v>12/05/2026 - SP - Adding Create, Get, and Assignments to facilitate Product Analytics.</x:v>
      </x:c>
      <x:c r="AD136" s="119" t="str">
        <x:v>Touches many objects</x:v>
      </x:c>
    </x:row>
    <x:row r="137" ht="34" customHeight="1">
      <x:c r="A137" s="117" t="str">
        <x:v>300Ro00000blHOIIA2</x:v>
      </x:c>
      <x:c r="B137" s="117" t="str">
        <x:v>Create_IR_from_Opp</x:v>
      </x:c>
      <x:c r="C137" s="117" t="str">
        <x:v>Create IR from Opp</x:v>
      </x:c>
      <x:c r="D137" s="117" t="str">
        <x:v>Yes</x:v>
      </x:c>
      <x:c r="E137" s="118" t="n">
        <x:v>6</x:v>
      </x:c>
      <x:c r="F137" s="118" t="n">
        <x:v>7</x:v>
      </x:c>
      <x:c r="G137" s="117" t="str">
        <x:v>No</x:v>
      </x:c>
      <x:c r="H137" s="119" t="str">
        <x:v>Active v6 (Tooling metadata)</x:v>
      </x:c>
      <x:c r="I137" s="117" t="str">
        <x:v>Flow</x:v>
      </x:c>
      <x:c r="J137" s="117" t="str"/>
      <x:c r="K137" s="117" t="str">
        <x:v>No</x:v>
      </x:c>
      <x:c r="L137" s="117" t="str"/>
      <x:c r="M137" s="117" t="str"/>
      <x:c r="N137" s="117" t="str">
        <x:v>SystemModeWithoutSharing</x:v>
      </x:c>
      <x:c r="O137" s="117"/>
      <x:c r="P137" s="117" t="str"/>
      <x:c r="Q137" s="117" t="n">
        <x:v>56</x:v>
      </x:c>
      <x:c r="R137" s="117" t="str">
        <x:v>unmanaged</x:v>
      </x:c>
      <x:c r="S137" s="118" t="n">
        <x:v>6</x:v>
      </x:c>
      <x:c r="T137" s="118" t="n">
        <x:v>82</x:v>
      </x:c>
      <x:c r="U137" s="118" t="n">
        <x:v>6</x:v>
      </x:c>
      <x:c r="V137" s="118" t="n">
        <x:v>1</x:v>
      </x:c>
      <x:c r="W137" s="118" t="n">
        <x:v>2</x:v>
      </x:c>
      <x:c r="X137" s="118" t="n">
        <x:v>1</x:v>
      </x:c>
      <x:c r="Y137" s="118" t="n">
        <x:v>4</x:v>
      </x:c>
      <x:c r="Z137" s="117" t="str">
        <x:v>N/A</x:v>
      </x:c>
      <x:c r="AA137" s="120" t="n">
        <x:v>46102.92868055555</x:v>
      </x:c>
      <x:c r="AB137" s="117" t="str">
        <x:v>Delegate</x:v>
      </x:c>
      <x:c r="AC137" s="119" t="str">
        <x:v>7/31/25: Continuation of Create Item Receipt from Opp flow but hit V50 so had to create new flow. Updated IR product name - NB.
12/04/2025 - V2 - SP - Updating the Flow to run in "System Context Without Sharing - Access All Data". Before the "How to Run the Flow" field was blank.</x:v>
      </x:c>
      <x:c r="AD137" s="119" t="str">
        <x:v>Active version differs from latest; High element count; Touches many objects</x:v>
      </x:c>
    </x:row>
    <x:row r="138" ht="34" customHeight="1">
      <x:c r="A138" s="117" t="str">
        <x:v>3005b000000LHirAAG</x:v>
      </x:c>
      <x:c r="B138" s="117" t="str">
        <x:v>Create_Item_Receipt_from_Opp</x:v>
      </x:c>
      <x:c r="C138" s="117" t="str">
        <x:v>Create Item Receipt from Opp</x:v>
      </x:c>
      <x:c r="D138" s="117" t="str">
        <x:v>No</x:v>
      </x:c>
      <x:c r="E138" s="118"/>
      <x:c r="F138" s="118" t="n">
        <x:v>50</x:v>
      </x:c>
      <x:c r="G138" s="117" t="str">
        <x:v>N/A</x:v>
      </x:c>
      <x:c r="H138" s="119" t="str">
        <x:v>Latest inactive v50 (Retrieved XML)</x:v>
      </x:c>
      <x:c r="I138" s="117" t="str">
        <x:v>Flow</x:v>
      </x:c>
      <x:c r="J138" s="117" t="str"/>
      <x:c r="K138" s="117" t="str">
        <x:v>No</x:v>
      </x:c>
      <x:c r="L138" s="117" t="str"/>
      <x:c r="M138" s="117" t="str"/>
      <x:c r="N138" s="117"/>
      <x:c r="O138" s="117"/>
      <x:c r="P138" s="117" t="str"/>
      <x:c r="Q138" s="117" t="str">
        <x:v>56.0</x:v>
      </x:c>
      <x:c r="R138" s="117" t="str">
        <x:v>unmanaged</x:v>
      </x:c>
      <x:c r="S138" s="118" t="n">
        <x:v>50</x:v>
      </x:c>
      <x:c r="T138" s="118" t="n">
        <x:v>91</x:v>
      </x:c>
      <x:c r="U138" s="118" t="n">
        <x:v>6</x:v>
      </x:c>
      <x:c r="V138" s="118" t="n">
        <x:v>0</x:v>
      </x:c>
      <x:c r="W138" s="118" t="n">
        <x:v>2</x:v>
      </x:c>
      <x:c r="X138" s="118" t="n">
        <x:v>1</x:v>
      </x:c>
      <x:c r="Y138" s="118" t="n">
        <x:v>4</x:v>
      </x:c>
      <x:c r="Z138" s="117" t="str">
        <x:v>N/A</x:v>
      </x:c>
      <x:c r="AA138" s="120" t="n">
        <x:v>45884.80574074074</x:v>
      </x:c>
      <x:c r="AB138" s="117" t="str">
        <x:v>Sacha Pearce</x:v>
      </x:c>
      <x:c r="AC138" s="119" t="str">
        <x:v>NB: Fix URL in End Flow</x:v>
      </x:c>
      <x:c r="AD138" s="119" t="str">
        <x:v>High element count; Touches many objects</x:v>
      </x:c>
    </x:row>
    <x:row r="139" ht="34" customHeight="1">
      <x:c r="A139" s="117" t="str">
        <x:v>3004O000000LOsBQAW</x:v>
      </x:c>
      <x:c r="B139" s="117" t="str">
        <x:v>Create_Master_Draws</x:v>
      </x:c>
      <x:c r="C139" s="117" t="str">
        <x:v>Create Master Draws</x:v>
      </x:c>
      <x:c r="D139" s="117" t="str">
        <x:v>Yes</x:v>
      </x:c>
      <x:c r="E139" s="118" t="n">
        <x:v>2</x:v>
      </x:c>
      <x:c r="F139" s="118" t="n">
        <x:v>2</x:v>
      </x:c>
      <x:c r="G139" s="117" t="str">
        <x:v>Yes</x:v>
      </x:c>
      <x:c r="H139" s="119" t="str">
        <x:v>Active v2 (Retrieved XML)</x:v>
      </x:c>
      <x:c r="I139" s="117" t="str">
        <x:v>AutoLaunchedFlow</x:v>
      </x:c>
      <x:c r="J139" s="117" t="str">
        <x:v>User</x:v>
      </x:c>
      <x:c r="K139" s="117" t="str">
        <x:v>Yes</x:v>
      </x:c>
      <x:c r="L139" s="117" t="str"/>
      <x:c r="M139" s="117" t="str">
        <x:v>Scheduled</x:v>
      </x:c>
      <x:c r="N139" s="117"/>
      <x:c r="O139" s="117"/>
      <x:c r="P139" s="117" t="str">
        <x:v>Daily</x:v>
      </x:c>
      <x:c r="Q139" s="117" t="str">
        <x:v>50.0</x:v>
      </x:c>
      <x:c r="R139" s="117" t="str">
        <x:v>unmanaged</x:v>
      </x:c>
      <x:c r="S139" s="118" t="n">
        <x:v>2</x:v>
      </x:c>
      <x:c r="T139" s="118" t="n">
        <x:v>4</x:v>
      </x:c>
      <x:c r="U139" s="118" t="n">
        <x:v>2</x:v>
      </x:c>
      <x:c r="V139" s="118" t="n">
        <x:v>0</x:v>
      </x:c>
      <x:c r="W139" s="118" t="n">
        <x:v>0</x:v>
      </x:c>
      <x:c r="X139" s="118" t="n">
        <x:v>0</x:v>
      </x:c>
      <x:c r="Y139" s="118" t="n">
        <x:v>1</x:v>
      </x:c>
      <x:c r="Z139" s="117" t="str">
        <x:v>Isolated lane</x:v>
      </x:c>
      <x:c r="AA139" s="120" t="n">
        <x:v>44199.85832175926</x:v>
      </x:c>
      <x:c r="AB139" s="117" t="str">
        <x:v>Trent VanEmon</x:v>
      </x:c>
      <x:c r="AC139" s="119" t="str">
        <x:v>Creates the draws for reps for the upcoming month</x:v>
      </x:c>
      <x:c r="AD139" s="119" t="str"/>
    </x:row>
    <x:row r="140" ht="34" customHeight="1">
      <x:c r="A140" s="117" t="str">
        <x:v>3005b000000LHW7AAO</x:v>
      </x:c>
      <x:c r="B140" s="117" t="str">
        <x:v>Create_NEW_Lead_from_Existing_Contact</x:v>
      </x:c>
      <x:c r="C140" s="117" t="str">
        <x:v>Create NEW Lead from Existing Contact</x:v>
      </x:c>
      <x:c r="D140" s="117" t="str">
        <x:v>Yes</x:v>
      </x:c>
      <x:c r="E140" s="118" t="n">
        <x:v>10</x:v>
      </x:c>
      <x:c r="F140" s="118" t="n">
        <x:v>10</x:v>
      </x:c>
      <x:c r="G140" s="117" t="str">
        <x:v>Yes</x:v>
      </x:c>
      <x:c r="H140" s="119" t="str">
        <x:v>Active v10 (Retrieved XML)</x:v>
      </x:c>
      <x:c r="I140" s="117" t="str">
        <x:v>Flow</x:v>
      </x:c>
      <x:c r="J140" s="117" t="str"/>
      <x:c r="K140" s="117" t="str">
        <x:v>No</x:v>
      </x:c>
      <x:c r="L140" s="117" t="str"/>
      <x:c r="M140" s="117" t="str"/>
      <x:c r="N140" s="117"/>
      <x:c r="O140" s="117"/>
      <x:c r="P140" s="117" t="str"/>
      <x:c r="Q140" s="117" t="str">
        <x:v>56.0</x:v>
      </x:c>
      <x:c r="R140" s="117" t="str">
        <x:v>unmanaged</x:v>
      </x:c>
      <x:c r="S140" s="118" t="n">
        <x:v>10</x:v>
      </x:c>
      <x:c r="T140" s="118" t="n">
        <x:v>8</x:v>
      </x:c>
      <x:c r="U140" s="118" t="n">
        <x:v>2</x:v>
      </x:c>
      <x:c r="V140" s="118" t="n">
        <x:v>0</x:v>
      </x:c>
      <x:c r="W140" s="118" t="n">
        <x:v>0</x:v>
      </x:c>
      <x:c r="X140" s="118" t="n">
        <x:v>2</x:v>
      </x:c>
      <x:c r="Y140" s="118" t="n">
        <x:v>1</x:v>
      </x:c>
      <x:c r="Z140" s="117" t="str">
        <x:v>N/A</x:v>
      </x:c>
      <x:c r="AA140" s="120" t="n">
        <x:v>45139.74303240741</x:v>
      </x:c>
      <x:c r="AB140" s="117" t="str">
        <x:v>Jace Gentil</x:v>
      </x:c>
      <x:c r="AC140" s="119" t="str"/>
      <x:c r="AD140" s="119" t="str">
        <x:v>Active flow has no description</x:v>
      </x:c>
    </x:row>
    <x:row r="141" ht="34" customHeight="1">
      <x:c r="A141" s="117" t="str">
        <x:v>3005b000000H1zUAAS</x:v>
      </x:c>
      <x:c r="B141" s="117" t="str">
        <x:v>Create_new_service_contract_from_opp</x:v>
      </x:c>
      <x:c r="C141" s="117" t="str">
        <x:v>Create new service contract from opp</x:v>
      </x:c>
      <x:c r="D141" s="117" t="str">
        <x:v>Yes</x:v>
      </x:c>
      <x:c r="E141" s="118" t="n">
        <x:v>11</x:v>
      </x:c>
      <x:c r="F141" s="118" t="n">
        <x:v>11</x:v>
      </x:c>
      <x:c r="G141" s="117" t="str">
        <x:v>Yes</x:v>
      </x:c>
      <x:c r="H141" s="119" t="str">
        <x:v>Active v11 (Retrieved XML)</x:v>
      </x:c>
      <x:c r="I141" s="117" t="str">
        <x:v>Flow</x:v>
      </x:c>
      <x:c r="J141" s="117" t="str"/>
      <x:c r="K141" s="117" t="str">
        <x:v>No</x:v>
      </x:c>
      <x:c r="L141" s="117" t="str"/>
      <x:c r="M141" s="117" t="str"/>
      <x:c r="N141" s="117"/>
      <x:c r="O141" s="117"/>
      <x:c r="P141" s="117" t="str"/>
      <x:c r="Q141" s="117" t="str">
        <x:v>53.0</x:v>
      </x:c>
      <x:c r="R141" s="117" t="str">
        <x:v>unmanaged</x:v>
      </x:c>
      <x:c r="S141" s="118" t="n">
        <x:v>6</x:v>
      </x:c>
      <x:c r="T141" s="118" t="n">
        <x:v>8</x:v>
      </x:c>
      <x:c r="U141" s="118" t="n">
        <x:v>4</x:v>
      </x:c>
      <x:c r="V141" s="118" t="n">
        <x:v>0</x:v>
      </x:c>
      <x:c r="W141" s="118" t="n">
        <x:v>0</x:v>
      </x:c>
      <x:c r="X141" s="118" t="n">
        <x:v>0</x:v>
      </x:c>
      <x:c r="Y141" s="118" t="n">
        <x:v>2</x:v>
      </x:c>
      <x:c r="Z141" s="117" t="str">
        <x:v>N/A</x:v>
      </x:c>
      <x:c r="AA141" s="120" t="n">
        <x:v>46240.94568287037</x:v>
      </x:c>
      <x:c r="AB141" s="117" t="str">
        <x:v>Mindy Bender</x:v>
      </x:c>
      <x:c r="AC141" s="119" t="str">
        <x:v>8/6/26 - MPB - Adding formula to populate next invoice date.</x:v>
      </x:c>
      <x:c r="AD141" s="119" t="str">
        <x:v>Touches many objects</x:v>
      </x:c>
    </x:row>
    <x:row r="142" ht="34" customHeight="1">
      <x:c r="A142" s="117" t="str">
        <x:v>3005b000000H3plAAC</x:v>
      </x:c>
      <x:c r="B142" s="117" t="str">
        <x:v>Create_New_Service_Contract_from_Opp_UK</x:v>
      </x:c>
      <x:c r="C142" s="117" t="str">
        <x:v>Create New Service Contract from Opp - UK</x:v>
      </x:c>
      <x:c r="D142" s="117" t="str">
        <x:v>Yes</x:v>
      </x:c>
      <x:c r="E142" s="118" t="n">
        <x:v>27</x:v>
      </x:c>
      <x:c r="F142" s="118" t="n">
        <x:v>27</x:v>
      </x:c>
      <x:c r="G142" s="117" t="str">
        <x:v>Yes</x:v>
      </x:c>
      <x:c r="H142" s="119" t="str">
        <x:v>Active v27 (Retrieved XML)</x:v>
      </x:c>
      <x:c r="I142" s="117" t="str">
        <x:v>Flow</x:v>
      </x:c>
      <x:c r="J142" s="117" t="str"/>
      <x:c r="K142" s="117" t="str">
        <x:v>No</x:v>
      </x:c>
      <x:c r="L142" s="117" t="str"/>
      <x:c r="M142" s="117" t="str"/>
      <x:c r="N142" s="117"/>
      <x:c r="O142" s="117"/>
      <x:c r="P142" s="117" t="str"/>
      <x:c r="Q142" s="117" t="str">
        <x:v>53.0</x:v>
      </x:c>
      <x:c r="R142" s="117" t="str">
        <x:v>unmanaged</x:v>
      </x:c>
      <x:c r="S142" s="118" t="n">
        <x:v>27</x:v>
      </x:c>
      <x:c r="T142" s="118" t="n">
        <x:v>10</x:v>
      </x:c>
      <x:c r="U142" s="118" t="n">
        <x:v>5</x:v>
      </x:c>
      <x:c r="V142" s="118" t="n">
        <x:v>0</x:v>
      </x:c>
      <x:c r="W142" s="118" t="n">
        <x:v>0</x:v>
      </x:c>
      <x:c r="X142" s="118" t="n">
        <x:v>2</x:v>
      </x:c>
      <x:c r="Y142" s="118" t="n">
        <x:v>2</x:v>
      </x:c>
      <x:c r="Z142" s="117" t="str">
        <x:v>N/A</x:v>
      </x:c>
      <x:c r="AA142" s="120" t="n">
        <x:v>45908.42084490741</x:v>
      </x:c>
      <x:c r="AB142" s="117" t="str">
        <x:v>Sacha Pearce</x:v>
      </x:c>
      <x:c r="AC142" s="119" t="str">
        <x:v>Removed the the following fields:
PM visits
Number of probes
Legacy contract number
09/03/2025 - SP - Adding a Screen to block Service Contract creation when the Opportunity has not paid for, or hasn't been confirmed by finance as safe to proceed
09/04/2025 - SP - Removed prepay notification from the Service Contract Info Screen as the Flow now prevents users from creating Service Contracts where prepay deals haven't been paid or confirmed by finance.
09/08/2025 - SP - Adjusting Opportuniyt ID to equal recordId &gt; Opportunity ID in the first Get Records element. I believe this can be further simplified but ensuring continuity with this change.</x:v>
      </x:c>
      <x:c r="AD142" s="119" t="str">
        <x:v>Touches many objects</x:v>
      </x:c>
    </x:row>
    <x:row r="143" ht="34" customHeight="1">
      <x:c r="A143" s="117" t="str">
        <x:v>3005b000000PzxvAAC</x:v>
      </x:c>
      <x:c r="B143" s="117" t="str">
        <x:v>Create_Opportunity_from_KloudGin_Case</x:v>
      </x:c>
      <x:c r="C143" s="117" t="str">
        <x:v>Create Opportunity from KloudGin Case</x:v>
      </x:c>
      <x:c r="D143" s="117" t="str">
        <x:v>Yes</x:v>
      </x:c>
      <x:c r="E143" s="118" t="n">
        <x:v>16</x:v>
      </x:c>
      <x:c r="F143" s="118" t="n">
        <x:v>19</x:v>
      </x:c>
      <x:c r="G143" s="117" t="str">
        <x:v>No</x:v>
      </x:c>
      <x:c r="H143" s="119" t="str">
        <x:v>Active v16 (Tooling metadata)</x:v>
      </x:c>
      <x:c r="I143" s="117" t="str">
        <x:v>Flow</x:v>
      </x:c>
      <x:c r="J143" s="117" t="str"/>
      <x:c r="K143" s="117" t="str">
        <x:v>No</x:v>
      </x:c>
      <x:c r="L143" s="117" t="str"/>
      <x:c r="M143" s="117" t="str"/>
      <x:c r="N143" s="117"/>
      <x:c r="O143" s="117"/>
      <x:c r="P143" s="117" t="str"/>
      <x:c r="Q143" s="117" t="n">
        <x:v>58</x:v>
      </x:c>
      <x:c r="R143" s="117" t="str">
        <x:v>unmanaged</x:v>
      </x:c>
      <x:c r="S143" s="118" t="n">
        <x:v>19</x:v>
      </x:c>
      <x:c r="T143" s="118" t="n">
        <x:v>7</x:v>
      </x:c>
      <x:c r="U143" s="118" t="n">
        <x:v>3</x:v>
      </x:c>
      <x:c r="V143" s="118" t="n">
        <x:v>0</x:v>
      </x:c>
      <x:c r="W143" s="118" t="n">
        <x:v>0</x:v>
      </x:c>
      <x:c r="X143" s="118" t="n">
        <x:v>0</x:v>
      </x:c>
      <x:c r="Y143" s="118" t="n">
        <x:v>2</x:v>
      </x:c>
      <x:c r="Z143" s="117" t="str">
        <x:v>N/A</x:v>
      </x:c>
      <x:c r="AA143" s="120" t="n">
        <x:v>45161.79293981481</x:v>
      </x:c>
      <x:c r="AB143" s="117" t="str">
        <x:v>Jace Gentil</x:v>
      </x:c>
      <x:c r="AC143" s="119" t="str"/>
      <x:c r="AD143" s="119" t="str">
        <x:v>Active version differs from latest; Active flow has no description</x:v>
      </x:c>
    </x:row>
    <x:row r="144" ht="34" customHeight="1">
      <x:c r="A144" s="117" t="str">
        <x:v>3004O000000LOsbQAG</x:v>
      </x:c>
      <x:c r="B144" s="117" t="str">
        <x:v>Create_Order_and_Order_Products_from_Paid_Invoice</x:v>
      </x:c>
      <x:c r="C144" s="117" t="str">
        <x:v>Create Order and Order Products from Paid Invoice</x:v>
      </x:c>
      <x:c r="D144" s="117" t="str">
        <x:v>No</x:v>
      </x:c>
      <x:c r="E144" s="118"/>
      <x:c r="F144" s="118" t="n">
        <x:v>20</x:v>
      </x:c>
      <x:c r="G144" s="117" t="str">
        <x:v>N/A</x:v>
      </x:c>
      <x:c r="H144" s="119" t="str">
        <x:v>Latest inactive v20 (Retrieved XML)</x:v>
      </x:c>
      <x:c r="I144" s="117" t="str">
        <x:v>AutoLaunchedFlow</x:v>
      </x:c>
      <x:c r="J144" s="117" t="str"/>
      <x:c r="K144" s="117" t="str">
        <x:v>No</x:v>
      </x:c>
      <x:c r="L144" s="117" t="str"/>
      <x:c r="M144" s="117" t="str"/>
      <x:c r="N144" s="117"/>
      <x:c r="O144" s="117"/>
      <x:c r="P144" s="117" t="str"/>
      <x:c r="Q144" s="117" t="str">
        <x:v>50.0</x:v>
      </x:c>
      <x:c r="R144" s="117" t="str">
        <x:v>unmanaged</x:v>
      </x:c>
      <x:c r="S144" s="118" t="n">
        <x:v>20</x:v>
      </x:c>
      <x:c r="T144" s="118" t="n">
        <x:v>12</x:v>
      </x:c>
      <x:c r="U144" s="118" t="n">
        <x:v>5</x:v>
      </x:c>
      <x:c r="V144" s="118" t="n">
        <x:v>0</x:v>
      </x:c>
      <x:c r="W144" s="118" t="n">
        <x:v>0</x:v>
      </x:c>
      <x:c r="X144" s="118" t="n">
        <x:v>0</x:v>
      </x:c>
      <x:c r="Y144" s="118" t="n">
        <x:v>2</x:v>
      </x:c>
      <x:c r="Z144" s="117" t="str">
        <x:v>N/A</x:v>
      </x:c>
      <x:c r="AA144" s="120" t="n">
        <x:v>45478.79435185185</x:v>
      </x:c>
      <x:c r="AB144" s="117" t="str">
        <x:v>Delegate</x:v>
      </x:c>
      <x:c r="AC144" s="119" t="str"/>
      <x:c r="AD144" s="119" t="str">
        <x:v>Touches many objects</x:v>
      </x:c>
    </x:row>
    <x:row r="145" ht="34" customHeight="1">
      <x:c r="A145" s="117" t="str">
        <x:v>3005b000000H2QLAA0</x:v>
      </x:c>
      <x:c r="B145" s="117" t="str">
        <x:v>Create_part_requests_from_Service_Fusion</x:v>
      </x:c>
      <x:c r="C145" s="117" t="str">
        <x:v>Create part requests from Service Fusion</x:v>
      </x:c>
      <x:c r="D145" s="117" t="str">
        <x:v>Yes</x:v>
      </x:c>
      <x:c r="E145" s="118" t="n">
        <x:v>21</x:v>
      </x:c>
      <x:c r="F145" s="118" t="n">
        <x:v>22</x:v>
      </x:c>
      <x:c r="G145" s="117" t="str">
        <x:v>No</x:v>
      </x:c>
      <x:c r="H145" s="119" t="str">
        <x:v>Active v21 (Tooling metadata)</x:v>
      </x:c>
      <x:c r="I145" s="117" t="str">
        <x:v>AutoLaunchedFlow</x:v>
      </x:c>
      <x:c r="J145" s="117" t="str">
        <x:v>WorkOrder</x:v>
      </x:c>
      <x:c r="K145" s="117" t="str">
        <x:v>Yes</x:v>
      </x:c>
      <x:c r="L145" s="117" t="str">
        <x:v>CreateAndUpdate</x:v>
      </x:c>
      <x:c r="M145" s="117" t="str">
        <x:v>RecordAfterSave</x:v>
      </x:c>
      <x:c r="N145" s="117"/>
      <x:c r="O145" s="117"/>
      <x:c r="P145" s="117" t="str"/>
      <x:c r="Q145" s="117" t="n">
        <x:v>53</x:v>
      </x:c>
      <x:c r="R145" s="117" t="str">
        <x:v>unmanaged</x:v>
      </x:c>
      <x:c r="S145" s="118" t="n">
        <x:v>22</x:v>
      </x:c>
      <x:c r="T145" s="118" t="n">
        <x:v>28</x:v>
      </x:c>
      <x:c r="U145" s="118" t="n">
        <x:v>8</x:v>
      </x:c>
      <x:c r="V145" s="118" t="n">
        <x:v>0</x:v>
      </x:c>
      <x:c r="W145" s="118" t="n">
        <x:v>0</x:v>
      </x:c>
      <x:c r="X145" s="118" t="n">
        <x:v>0</x:v>
      </x:c>
      <x:c r="Y145" s="118" t="n">
        <x:v>3</x:v>
      </x:c>
      <x:c r="Z145" s="117" t="str">
        <x:v>Strong</x:v>
      </x:c>
      <x:c r="AA145" s="120" t="n">
        <x:v>44641.86082175926</x:v>
      </x:c>
      <x:c r="AB145" s="117" t="str">
        <x:v>Natalie Boger</x:v>
      </x:c>
      <x:c r="AC145" s="119" t="str">
        <x:v>07/29/2025 (BW) - Migrating to Asynchronous</x:v>
      </x:c>
      <x:c r="AD145" s="119" t="str">
        <x:v>Active version differs from latest; Active flow has no description; Touches many objects</x:v>
      </x:c>
    </x:row>
    <x:row r="146" ht="34" customHeight="1">
      <x:c r="A146" s="117" t="str">
        <x:v>3005b000000H3wSAAS</x:v>
      </x:c>
      <x:c r="B146" s="117" t="str">
        <x:v>Create_Pricing_Request_from_Work_Order_Opportunity</x:v>
      </x:c>
      <x:c r="C146" s="117" t="str">
        <x:v>Create Pricing Request from Work Order/Opportunity</x:v>
      </x:c>
      <x:c r="D146" s="117" t="str">
        <x:v>Yes</x:v>
      </x:c>
      <x:c r="E146" s="118" t="n">
        <x:v>6</x:v>
      </x:c>
      <x:c r="F146" s="118" t="n">
        <x:v>6</x:v>
      </x:c>
      <x:c r="G146" s="117" t="str">
        <x:v>Yes</x:v>
      </x:c>
      <x:c r="H146" s="119" t="str">
        <x:v>Active v6 (Retrieved XML)</x:v>
      </x:c>
      <x:c r="I146" s="117" t="str">
        <x:v>Flow</x:v>
      </x:c>
      <x:c r="J146" s="117" t="str"/>
      <x:c r="K146" s="117" t="str">
        <x:v>No</x:v>
      </x:c>
      <x:c r="L146" s="117" t="str"/>
      <x:c r="M146" s="117" t="str"/>
      <x:c r="N146" s="117"/>
      <x:c r="O146" s="117"/>
      <x:c r="P146" s="117" t="str"/>
      <x:c r="Q146" s="117" t="str">
        <x:v>54.0</x:v>
      </x:c>
      <x:c r="R146" s="117" t="str">
        <x:v>unmanaged</x:v>
      </x:c>
      <x:c r="S146" s="118" t="n">
        <x:v>6</x:v>
      </x:c>
      <x:c r="T146" s="118" t="n">
        <x:v>11</x:v>
      </x:c>
      <x:c r="U146" s="118" t="n">
        <x:v>6</x:v>
      </x:c>
      <x:c r="V146" s="118" t="n">
        <x:v>0</x:v>
      </x:c>
      <x:c r="W146" s="118" t="n">
        <x:v>2</x:v>
      </x:c>
      <x:c r="X146" s="118" t="n">
        <x:v>1</x:v>
      </x:c>
      <x:c r="Y146" s="118" t="n">
        <x:v>2</x:v>
      </x:c>
      <x:c r="Z146" s="117" t="str">
        <x:v>N/A</x:v>
      </x:c>
      <x:c r="AA146" s="120" t="n">
        <x:v>46091.38664351852</x:v>
      </x:c>
      <x:c r="AB146" s="117" t="str">
        <x:v>Sacha Pearce</x:v>
      </x:c>
      <x:c r="AC146" s="119" t="str">
        <x:v>10/03/2026 - V6 - SP - Updating to require a record is selected in the "Product Requesting Price For"</x:v>
      </x:c>
      <x:c r="AD146" s="119" t="str">
        <x:v>Touches many objects</x:v>
      </x:c>
    </x:row>
    <x:row r="147" ht="34" customHeight="1">
      <x:c r="A147" s="117" t="str">
        <x:v>3005b000000H4GSAA0</x:v>
      </x:c>
      <x:c r="B147" s="117" t="str">
        <x:v>Create_Project_on_Big_Iron_Purchasing_Opportunity_Flow</x:v>
      </x:c>
      <x:c r="C147" s="117" t="str">
        <x:v>Create Project on Big Iron Purchasing Opportunity Flow</x:v>
      </x:c>
      <x:c r="D147" s="117" t="str">
        <x:v>Yes</x:v>
      </x:c>
      <x:c r="E147" s="118" t="n">
        <x:v>11</x:v>
      </x:c>
      <x:c r="F147" s="118" t="n">
        <x:v>11</x:v>
      </x:c>
      <x:c r="G147" s="117" t="str">
        <x:v>Yes</x:v>
      </x:c>
      <x:c r="H147" s="119" t="str">
        <x:v>Active v11 (Retrieved XML)</x:v>
      </x:c>
      <x:c r="I147" s="117" t="str">
        <x:v>AutoLaunchedFlow</x:v>
      </x:c>
      <x:c r="J147" s="117" t="str">
        <x:v>Opportunity</x:v>
      </x:c>
      <x:c r="K147" s="117" t="str">
        <x:v>Yes</x:v>
      </x:c>
      <x:c r="L147" s="117" t="str">
        <x:v>CreateAndUpdate</x:v>
      </x:c>
      <x:c r="M147" s="117" t="str">
        <x:v>RecordAfterSave</x:v>
      </x:c>
      <x:c r="N147" s="117"/>
      <x:c r="O147" s="117"/>
      <x:c r="P147" s="117" t="str"/>
      <x:c r="Q147" s="117" t="str">
        <x:v>55.0</x:v>
      </x:c>
      <x:c r="R147" s="117" t="str">
        <x:v>unmanaged</x:v>
      </x:c>
      <x:c r="S147" s="118" t="n">
        <x:v>11</x:v>
      </x:c>
      <x:c r="T147" s="118" t="n">
        <x:v>7</x:v>
      </x:c>
      <x:c r="U147" s="118" t="n">
        <x:v>3</x:v>
      </x:c>
      <x:c r="V147" s="118" t="n">
        <x:v>0</x:v>
      </x:c>
      <x:c r="W147" s="118" t="n">
        <x:v>0</x:v>
      </x:c>
      <x:c r="X147" s="118" t="n">
        <x:v>0</x:v>
      </x:c>
      <x:c r="Y147" s="118" t="n">
        <x:v>2</x:v>
      </x:c>
      <x:c r="Z147" s="117" t="str">
        <x:v>Strong</x:v>
      </x:c>
      <x:c r="AA147" s="120" t="n">
        <x:v>45988.394270833334</x:v>
      </x:c>
      <x:c r="AB147" s="117" t="str">
        <x:v>Sacha Pearce</x:v>
      </x:c>
      <x:c r="AC147" s="119" t="str">
        <x:v>Changed recipient email from Lewis to Sacha
27/11/2025 - V11 - SP - Deleting email notification relating to Project creation as no users action it</x:v>
      </x:c>
      <x:c r="AD147" s="119" t="str"/>
    </x:row>
    <x:row r="148" ht="34" customHeight="1">
      <x:c r="A148" s="117" t="str">
        <x:v>300Ro00000CWp8dIAD</x:v>
      </x:c>
      <x:c r="B148" s="117" t="str">
        <x:v>Create_Project_on_Equipment_Storage_Opportunity_Creation</x:v>
      </x:c>
      <x:c r="C148" s="117" t="str">
        <x:v>Create Project on Equipment Storage Opportunity Creation</x:v>
      </x:c>
      <x:c r="D148" s="117" t="str">
        <x:v>Yes</x:v>
      </x:c>
      <x:c r="E148" s="118" t="n">
        <x:v>1</x:v>
      </x:c>
      <x:c r="F148" s="118" t="n">
        <x:v>1</x:v>
      </x:c>
      <x:c r="G148" s="117" t="str">
        <x:v>Yes</x:v>
      </x:c>
      <x:c r="H148" s="119" t="str">
        <x:v>Active v1 (Retrieved XML)</x:v>
      </x:c>
      <x:c r="I148" s="117" t="str">
        <x:v>AutoLaunchedFlow</x:v>
      </x:c>
      <x:c r="J148" s="117" t="str">
        <x:v>Opportunity</x:v>
      </x:c>
      <x:c r="K148" s="117" t="str">
        <x:v>Yes</x:v>
      </x:c>
      <x:c r="L148" s="117" t="str">
        <x:v>Create</x:v>
      </x:c>
      <x:c r="M148" s="117" t="str">
        <x:v>RecordAfterSave</x:v>
      </x:c>
      <x:c r="N148" s="117"/>
      <x:c r="O148" s="117"/>
      <x:c r="P148" s="117" t="str"/>
      <x:c r="Q148" s="117" t="str">
        <x:v>55.0</x:v>
      </x:c>
      <x:c r="R148" s="117" t="str">
        <x:v>unmanaged</x:v>
      </x:c>
      <x:c r="S148" s="118" t="n">
        <x:v>1</x:v>
      </x:c>
      <x:c r="T148" s="118" t="n">
        <x:v>3</x:v>
      </x:c>
      <x:c r="U148" s="118" t="n">
        <x:v>2</x:v>
      </x:c>
      <x:c r="V148" s="118" t="n">
        <x:v>0</x:v>
      </x:c>
      <x:c r="W148" s="118" t="n">
        <x:v>0</x:v>
      </x:c>
      <x:c r="X148" s="118" t="n">
        <x:v>0</x:v>
      </x:c>
      <x:c r="Y148" s="118" t="n">
        <x:v>1</x:v>
      </x:c>
      <x:c r="Z148" s="117" t="str">
        <x:v>Strong</x:v>
      </x:c>
      <x:c r="AA148" s="120" t="n">
        <x:v>45440.74922453704</x:v>
      </x:c>
      <x:c r="AB148" s="117" t="str">
        <x:v>Jace Gentil</x:v>
      </x:c>
      <x:c r="AC148" s="119" t="str"/>
      <x:c r="AD148" s="119" t="str">
        <x:v>Active flow has no description</x:v>
      </x:c>
    </x:row>
    <x:row r="149" ht="34" customHeight="1">
      <x:c r="A149" s="117" t="str">
        <x:v>3004O0000004ZtfQAE</x:v>
      </x:c>
      <x:c r="B149" s="117" t="str">
        <x:v>Create_Purchasing_Opp_from_Vendor_Sourcing_Record</x:v>
      </x:c>
      <x:c r="C149" s="117" t="str">
        <x:v>Create Purchasing Opp from Vendor Sourcing Record</x:v>
      </x:c>
      <x:c r="D149" s="117" t="str">
        <x:v>Yes</x:v>
      </x:c>
      <x:c r="E149" s="118" t="n">
        <x:v>3</x:v>
      </x:c>
      <x:c r="F149" s="118" t="n">
        <x:v>3</x:v>
      </x:c>
      <x:c r="G149" s="117" t="str">
        <x:v>Yes</x:v>
      </x:c>
      <x:c r="H149" s="119" t="str">
        <x:v>Active v3 (Retrieved XML)</x:v>
      </x:c>
      <x:c r="I149" s="117" t="str">
        <x:v>Flow</x:v>
      </x:c>
      <x:c r="J149" s="117" t="str"/>
      <x:c r="K149" s="117" t="str">
        <x:v>No</x:v>
      </x:c>
      <x:c r="L149" s="117" t="str"/>
      <x:c r="M149" s="117" t="str"/>
      <x:c r="N149" s="117"/>
      <x:c r="O149" s="117"/>
      <x:c r="P149" s="117" t="str"/>
      <x:c r="Q149" s="117" t="str">
        <x:v>49.0</x:v>
      </x:c>
      <x:c r="R149" s="117" t="str">
        <x:v>unmanaged</x:v>
      </x:c>
      <x:c r="S149" s="118" t="n">
        <x:v>3</x:v>
      </x:c>
      <x:c r="T149" s="118" t="n">
        <x:v>10</x:v>
      </x:c>
      <x:c r="U149" s="118" t="n">
        <x:v>4</x:v>
      </x:c>
      <x:c r="V149" s="118" t="n">
        <x:v>0</x:v>
      </x:c>
      <x:c r="W149" s="118" t="n">
        <x:v>1</x:v>
      </x:c>
      <x:c r="X149" s="118" t="n">
        <x:v>0</x:v>
      </x:c>
      <x:c r="Y149" s="118" t="n">
        <x:v>2</x:v>
      </x:c>
      <x:c r="Z149" s="117" t="str">
        <x:v>N/A</x:v>
      </x:c>
      <x:c r="AA149" s="120" t="n">
        <x:v>43581.69516203704</x:v>
      </x:c>
      <x:c r="AB149" s="117" t="str">
        <x:v>Jim Bartek</x:v>
      </x:c>
      <x:c r="AC149" s="119" t="str">
        <x:v>added email alert</x:v>
      </x:c>
      <x:c r="AD149" s="119" t="str">
        <x:v>Touches many objects</x:v>
      </x:c>
    </x:row>
    <x:row r="150" ht="34" customHeight="1">
      <x:c r="A150" s="117" t="str">
        <x:v>300Ro00000BmFOEIA3</x:v>
      </x:c>
      <x:c r="B150" s="117" t="str">
        <x:v>Create_Repair_Opportunity_from_Service_Contract_Flow</x:v>
      </x:c>
      <x:c r="C150" s="117" t="str">
        <x:v>Create Repair Opportunity from Service Contract Flow</x:v>
      </x:c>
      <x:c r="D150" s="117" t="str">
        <x:v>Yes</x:v>
      </x:c>
      <x:c r="E150" s="118" t="n">
        <x:v>10</x:v>
      </x:c>
      <x:c r="F150" s="118" t="n">
        <x:v>10</x:v>
      </x:c>
      <x:c r="G150" s="117" t="str">
        <x:v>Yes</x:v>
      </x:c>
      <x:c r="H150" s="119" t="str">
        <x:v>Active v10 (Retrieved XML)</x:v>
      </x:c>
      <x:c r="I150" s="117" t="str">
        <x:v>Flow</x:v>
      </x:c>
      <x:c r="J150" s="117" t="str"/>
      <x:c r="K150" s="117" t="str">
        <x:v>No</x:v>
      </x:c>
      <x:c r="L150" s="117" t="str"/>
      <x:c r="M150" s="117" t="str"/>
      <x:c r="N150" s="117" t="str">
        <x:v>SystemModeWithoutSharing</x:v>
      </x:c>
      <x:c r="O150" s="117"/>
      <x:c r="P150" s="117" t="str"/>
      <x:c r="Q150" s="117" t="str">
        <x:v>60.0</x:v>
      </x:c>
      <x:c r="R150" s="117" t="str">
        <x:v>unmanaged</x:v>
      </x:c>
      <x:c r="S150" s="118" t="n">
        <x:v>10</x:v>
      </x:c>
      <x:c r="T150" s="118" t="n">
        <x:v>10</x:v>
      </x:c>
      <x:c r="U150" s="118" t="n">
        <x:v>4</x:v>
      </x:c>
      <x:c r="V150" s="118" t="n">
        <x:v>0</x:v>
      </x:c>
      <x:c r="W150" s="118" t="n">
        <x:v>0</x:v>
      </x:c>
      <x:c r="X150" s="118" t="n">
        <x:v>0</x:v>
      </x:c>
      <x:c r="Y150" s="118" t="n">
        <x:v>2</x:v>
      </x:c>
      <x:c r="Z150" s="117" t="str">
        <x:v>N/A</x:v>
      </x:c>
      <x:c r="AA150" s="120" t="n">
        <x:v>45449.642233796294</x:v>
      </x:c>
      <x:c r="AB150" s="117" t="str">
        <x:v>Jace Gentil</x:v>
      </x:c>
      <x:c r="AC150" s="119" t="str"/>
      <x:c r="AD150" s="119" t="str">
        <x:v>Active flow has no description; Touches many objects</x:v>
      </x:c>
    </x:row>
    <x:row r="151" ht="34" customHeight="1">
      <x:c r="A151" s="117" t="str">
        <x:v>300Ro00000LVet7IAD</x:v>
      </x:c>
      <x:c r="B151" s="117" t="str">
        <x:v>Create_Restock_Fee_Opportunity_Screen_Flow</x:v>
      </x:c>
      <x:c r="C151" s="117" t="str">
        <x:v>Create Restock Fee Opportunity Screen Flow</x:v>
      </x:c>
      <x:c r="D151" s="117" t="str">
        <x:v>Yes</x:v>
      </x:c>
      <x:c r="E151" s="118" t="n">
        <x:v>2</x:v>
      </x:c>
      <x:c r="F151" s="118" t="n">
        <x:v>2</x:v>
      </x:c>
      <x:c r="G151" s="117" t="str">
        <x:v>Yes</x:v>
      </x:c>
      <x:c r="H151" s="119" t="str">
        <x:v>Active v2 (Retrieved XML)</x:v>
      </x:c>
      <x:c r="I151" s="117" t="str">
        <x:v>Flow</x:v>
      </x:c>
      <x:c r="J151" s="117" t="str"/>
      <x:c r="K151" s="117" t="str">
        <x:v>No</x:v>
      </x:c>
      <x:c r="L151" s="117" t="str"/>
      <x:c r="M151" s="117" t="str"/>
      <x:c r="N151" s="117"/>
      <x:c r="O151" s="117"/>
      <x:c r="P151" s="117" t="str"/>
      <x:c r="Q151" s="117" t="str">
        <x:v>58.0</x:v>
      </x:c>
      <x:c r="R151" s="117" t="str">
        <x:v>unmanaged</x:v>
      </x:c>
      <x:c r="S151" s="118" t="n">
        <x:v>2</x:v>
      </x:c>
      <x:c r="T151" s="118" t="n">
        <x:v>9</x:v>
      </x:c>
      <x:c r="U151" s="118" t="n">
        <x:v>3</x:v>
      </x:c>
      <x:c r="V151" s="118" t="n">
        <x:v>0</x:v>
      </x:c>
      <x:c r="W151" s="118" t="n">
        <x:v>0</x:v>
      </x:c>
      <x:c r="X151" s="118" t="n">
        <x:v>0</x:v>
      </x:c>
      <x:c r="Y151" s="118" t="n">
        <x:v>2</x:v>
      </x:c>
      <x:c r="Z151" s="117" t="str">
        <x:v>N/A</x:v>
      </x:c>
      <x:c r="AA151" s="120" t="n">
        <x:v>45693.811064814814</x:v>
      </x:c>
      <x:c r="AB151" s="117" t="str">
        <x:v>Jace Gentil</x:v>
      </x:c>
      <x:c r="AC151" s="119" t="str"/>
      <x:c r="AD151" s="119" t="str">
        <x:v>Active flow has no description</x:v>
      </x:c>
    </x:row>
    <x:row r="152" ht="34" customHeight="1">
      <x:c r="A152" s="117" t="str">
        <x:v>3005b000000PzFtAAK</x:v>
      </x:c>
      <x:c r="B152" s="117" t="str">
        <x:v>Create_Return_Op_from_Purchasing_Op</x:v>
      </x:c>
      <x:c r="C152" s="117" t="str">
        <x:v>Create Return Op from Purchasing Op</x:v>
      </x:c>
      <x:c r="D152" s="117" t="str">
        <x:v>Yes</x:v>
      </x:c>
      <x:c r="E152" s="118" t="n">
        <x:v>11</x:v>
      </x:c>
      <x:c r="F152" s="118" t="n">
        <x:v>11</x:v>
      </x:c>
      <x:c r="G152" s="117" t="str">
        <x:v>Yes</x:v>
      </x:c>
      <x:c r="H152" s="119" t="str">
        <x:v>Active v11 (Retrieved XML)</x:v>
      </x:c>
      <x:c r="I152" s="117" t="str">
        <x:v>Flow</x:v>
      </x:c>
      <x:c r="J152" s="117" t="str"/>
      <x:c r="K152" s="117" t="str">
        <x:v>No</x:v>
      </x:c>
      <x:c r="L152" s="117" t="str"/>
      <x:c r="M152" s="117" t="str"/>
      <x:c r="N152" s="117"/>
      <x:c r="O152" s="117"/>
      <x:c r="P152" s="117" t="str"/>
      <x:c r="Q152" s="117" t="str">
        <x:v>56.0</x:v>
      </x:c>
      <x:c r="R152" s="117" t="str">
        <x:v>unmanaged</x:v>
      </x:c>
      <x:c r="S152" s="118" t="n">
        <x:v>11</x:v>
      </x:c>
      <x:c r="T152" s="118" t="n">
        <x:v>28</x:v>
      </x:c>
      <x:c r="U152" s="118" t="n">
        <x:v>5</x:v>
      </x:c>
      <x:c r="V152" s="118" t="n">
        <x:v>0</x:v>
      </x:c>
      <x:c r="W152" s="118" t="n">
        <x:v>0</x:v>
      </x:c>
      <x:c r="X152" s="118" t="n">
        <x:v>2</x:v>
      </x:c>
      <x:c r="Y152" s="118" t="n">
        <x:v>3</x:v>
      </x:c>
      <x:c r="Z152" s="117" t="str">
        <x:v>N/A</x:v>
      </x:c>
      <x:c r="AA152" s="120" t="n">
        <x:v>45124.694756944446</x:v>
      </x:c>
      <x:c r="AB152" s="117" t="str">
        <x:v>Jace Gentil</x:v>
      </x:c>
      <x:c r="AC152" s="119" t="str"/>
      <x:c r="AD152" s="119" t="str">
        <x:v>Active flow has no description; Touches many objects</x:v>
      </x:c>
    </x:row>
    <x:row r="153" ht="34" customHeight="1">
      <x:c r="A153" s="117" t="str">
        <x:v>300Ro00000QRpykIAD</x:v>
      </x:c>
      <x:c r="B153" s="117" t="str">
        <x:v>Create_Return_Service_Appointment_Upon_Return_Site_Visit_Required</x:v>
      </x:c>
      <x:c r="C153" s="117" t="str">
        <x:v>Create Return Service Appointment Upon Return Site Visit Required</x:v>
      </x:c>
      <x:c r="D153" s="117" t="str">
        <x:v>Yes</x:v>
      </x:c>
      <x:c r="E153" s="118" t="n">
        <x:v>39</x:v>
      </x:c>
      <x:c r="F153" s="118" t="n">
        <x:v>39</x:v>
      </x:c>
      <x:c r="G153" s="117" t="str">
        <x:v>Yes</x:v>
      </x:c>
      <x:c r="H153" s="119" t="str">
        <x:v>Active v39 (Retrieved XML)</x:v>
      </x:c>
      <x:c r="I153" s="117" t="str">
        <x:v>AutoLaunchedFlow</x:v>
      </x:c>
      <x:c r="J153" s="117" t="str">
        <x:v>ServiceAppointment</x:v>
      </x:c>
      <x:c r="K153" s="117" t="str">
        <x:v>Yes</x:v>
      </x:c>
      <x:c r="L153" s="117" t="str">
        <x:v>Update</x:v>
      </x:c>
      <x:c r="M153" s="117" t="str">
        <x:v>RecordAfterSave</x:v>
      </x:c>
      <x:c r="N153" s="117"/>
      <x:c r="O153" s="117"/>
      <x:c r="P153" s="117" t="str"/>
      <x:c r="Q153" s="117" t="str">
        <x:v>62.0</x:v>
      </x:c>
      <x:c r="R153" s="117" t="str">
        <x:v>unmanaged</x:v>
      </x:c>
      <x:c r="S153" s="118" t="n">
        <x:v>26</x:v>
      </x:c>
      <x:c r="T153" s="118" t="n">
        <x:v>15</x:v>
      </x:c>
      <x:c r="U153" s="118" t="n">
        <x:v>2</x:v>
      </x:c>
      <x:c r="V153" s="118" t="n">
        <x:v>0</x:v>
      </x:c>
      <x:c r="W153" s="118" t="n">
        <x:v>1</x:v>
      </x:c>
      <x:c r="X153" s="118" t="n">
        <x:v>0</x:v>
      </x:c>
      <x:c r="Y153" s="118" t="n">
        <x:v>2</x:v>
      </x:c>
      <x:c r="Z153" s="117" t="str">
        <x:v>Strong</x:v>
      </x:c>
      <x:c r="AA153" s="120" t="n">
        <x:v>46232.39913194445</x:v>
      </x:c>
      <x:c r="AB153" s="117" t="str">
        <x:v>Sacha Pearce</x:v>
      </x:c>
      <x:c r="AC153" s="119" t="str">
        <x:v>29/07/2026 - SP - Updating the Flow to pull the Contract Line Item from the previous Service Appointment in the "Create New Service Appointment" create records element.</x:v>
      </x:c>
      <x:c r="AD153" s="119" t="str"/>
    </x:row>
    <x:row r="154" ht="34" customHeight="1">
      <x:c r="A154" s="117" t="str">
        <x:v>3005b000000H1muAAC</x:v>
      </x:c>
      <x:c r="B154" s="117" t="str">
        <x:v>Create_RMA_From_Customer_Portal</x:v>
      </x:c>
      <x:c r="C154" s="117" t="str">
        <x:v>Create RMA From Customer Portal</x:v>
      </x:c>
      <x:c r="D154" s="117" t="str">
        <x:v>No</x:v>
      </x:c>
      <x:c r="E154" s="118"/>
      <x:c r="F154" s="118" t="n">
        <x:v>1</x:v>
      </x:c>
      <x:c r="G154" s="117" t="str">
        <x:v>N/A</x:v>
      </x:c>
      <x:c r="H154" s="119" t="str">
        <x:v>Latest inactive v1 (Retrieved XML)</x:v>
      </x:c>
      <x:c r="I154" s="117" t="str">
        <x:v>Flow</x:v>
      </x:c>
      <x:c r="J154" s="117" t="str"/>
      <x:c r="K154" s="117" t="str">
        <x:v>No</x:v>
      </x:c>
      <x:c r="L154" s="117" t="str"/>
      <x:c r="M154" s="117" t="str"/>
      <x:c r="N154" s="117"/>
      <x:c r="O154" s="117"/>
      <x:c r="P154" s="117" t="str"/>
      <x:c r="Q154" s="117" t="str">
        <x:v>52.0</x:v>
      </x:c>
      <x:c r="R154" s="117" t="str">
        <x:v>unmanaged</x:v>
      </x:c>
      <x:c r="S154" s="118" t="n">
        <x:v>1</x:v>
      </x:c>
      <x:c r="T154" s="118" t="n">
        <x:v>3</x:v>
      </x:c>
      <x:c r="U154" s="118" t="n">
        <x:v>1</x:v>
      </x:c>
      <x:c r="V154" s="118" t="n">
        <x:v>0</x:v>
      </x:c>
      <x:c r="W154" s="118" t="n">
        <x:v>0</x:v>
      </x:c>
      <x:c r="X154" s="118" t="n">
        <x:v>1</x:v>
      </x:c>
      <x:c r="Y154" s="118" t="n">
        <x:v>1</x:v>
      </x:c>
      <x:c r="Z154" s="117" t="str">
        <x:v>N/A</x:v>
      </x:c>
      <x:c r="AA154" s="120" t="n">
        <x:v>44453.75959490741</x:v>
      </x:c>
      <x:c r="AB154" s="117" t="str">
        <x:v>Natalie Boger</x:v>
      </x:c>
      <x:c r="AC154" s="119" t="str"/>
      <x:c r="AD154" s="119" t="str"/>
    </x:row>
    <x:row r="155" ht="34" customHeight="1">
      <x:c r="A155" s="117" t="str">
        <x:v>3005b000000H3uHAAS</x:v>
      </x:c>
      <x:c r="B155" s="117" t="str">
        <x:v>Create_RMA_from_Work_Order</x:v>
      </x:c>
      <x:c r="C155" s="117" t="str">
        <x:v>Create RMA from Work Order</x:v>
      </x:c>
      <x:c r="D155" s="117" t="str">
        <x:v>Yes</x:v>
      </x:c>
      <x:c r="E155" s="118" t="n">
        <x:v>24</x:v>
      </x:c>
      <x:c r="F155" s="118" t="n">
        <x:v>25</x:v>
      </x:c>
      <x:c r="G155" s="117" t="str">
        <x:v>No</x:v>
      </x:c>
      <x:c r="H155" s="119" t="str">
        <x:v>Active v24 (Tooling metadata)</x:v>
      </x:c>
      <x:c r="I155" s="117" t="str">
        <x:v>Flow</x:v>
      </x:c>
      <x:c r="J155" s="117" t="str"/>
      <x:c r="K155" s="117" t="str">
        <x:v>No</x:v>
      </x:c>
      <x:c r="L155" s="117" t="str"/>
      <x:c r="M155" s="117" t="str"/>
      <x:c r="N155" s="117" t="str">
        <x:v>SystemModeWithoutSharing</x:v>
      </x:c>
      <x:c r="O155" s="117"/>
      <x:c r="P155" s="117" t="str"/>
      <x:c r="Q155" s="117" t="n">
        <x:v>54</x:v>
      </x:c>
      <x:c r="R155" s="117" t="str">
        <x:v>unmanaged</x:v>
      </x:c>
      <x:c r="S155" s="118" t="n">
        <x:v>25</x:v>
      </x:c>
      <x:c r="T155" s="118" t="n">
        <x:v>12</x:v>
      </x:c>
      <x:c r="U155" s="118" t="n">
        <x:v>5</x:v>
      </x:c>
      <x:c r="V155" s="118" t="n">
        <x:v>0</x:v>
      </x:c>
      <x:c r="W155" s="118" t="n">
        <x:v>0</x:v>
      </x:c>
      <x:c r="X155" s="118" t="n">
        <x:v>1</x:v>
      </x:c>
      <x:c r="Y155" s="118" t="n">
        <x:v>2</x:v>
      </x:c>
      <x:c r="Z155" s="117" t="str">
        <x:v>N/A</x:v>
      </x:c>
      <x:c r="AA155" s="120" t="n">
        <x:v>45731.91900462963</x:v>
      </x:c>
      <x:c r="AB155" s="117" t="str">
        <x:v>Delegate</x:v>
      </x:c>
      <x:c r="AC155" s="119" t="str">
        <x:v>Added missing primary RMA fields</x:v>
      </x:c>
      <x:c r="AD155" s="119" t="str">
        <x:v>Active version differs from latest; Touches many objects</x:v>
      </x:c>
    </x:row>
    <x:row r="156" ht="34" customHeight="1">
      <x:c r="A156" s="117" t="str">
        <x:v>300Ro00000Pz0kiIAB</x:v>
      </x:c>
      <x:c r="B156" s="117" t="str">
        <x:v>Create_SA_after_generating_Service_Appointment_return_visit</x:v>
      </x:c>
      <x:c r="C156" s="117" t="str">
        <x:v>Create SA after generating Service Appointment return visit</x:v>
      </x:c>
      <x:c r="D156" s="117" t="str">
        <x:v>No</x:v>
      </x:c>
      <x:c r="E156" s="118"/>
      <x:c r="F156" s="118" t="n">
        <x:v>2</x:v>
      </x:c>
      <x:c r="G156" s="117" t="str">
        <x:v>N/A</x:v>
      </x:c>
      <x:c r="H156" s="119" t="str">
        <x:v>Latest inactive v2 (Retrieved XML)</x:v>
      </x:c>
      <x:c r="I156" s="117" t="str">
        <x:v>AutoLaunchedFlow</x:v>
      </x:c>
      <x:c r="J156" s="117" t="str">
        <x:v>ServiceAppointment</x:v>
      </x:c>
      <x:c r="K156" s="117" t="str">
        <x:v>No</x:v>
      </x:c>
      <x:c r="L156" s="117" t="str">
        <x:v>Update</x:v>
      </x:c>
      <x:c r="M156" s="117" t="str">
        <x:v>RecordAfterSave</x:v>
      </x:c>
      <x:c r="N156" s="117"/>
      <x:c r="O156" s="117"/>
      <x:c r="P156" s="117" t="str"/>
      <x:c r="Q156" s="117" t="str">
        <x:v>62.0</x:v>
      </x:c>
      <x:c r="R156" s="117" t="str">
        <x:v>unmanaged</x:v>
      </x:c>
      <x:c r="S156" s="118" t="n">
        <x:v>1</x:v>
      </x:c>
      <x:c r="T156" s="118" t="n">
        <x:v>3</x:v>
      </x:c>
      <x:c r="U156" s="118" t="n">
        <x:v>1</x:v>
      </x:c>
      <x:c r="V156" s="118" t="n">
        <x:v>0</x:v>
      </x:c>
      <x:c r="W156" s="118" t="n">
        <x:v>0</x:v>
      </x:c>
      <x:c r="X156" s="118" t="n">
        <x:v>0</x:v>
      </x:c>
      <x:c r="Y156" s="118" t="n">
        <x:v>1</x:v>
      </x:c>
      <x:c r="Z156" s="117" t="str">
        <x:v>N/A</x:v>
      </x:c>
      <x:c r="AA156" s="120" t="n">
        <x:v>45754.728472222225</x:v>
      </x:c>
      <x:c r="AB156" s="117" t="str">
        <x:v>Delegate</x:v>
      </x:c>
      <x:c r="AC156" s="119" t="str">
        <x:v>04/07/2025 - Kyle - Internal Notes text to long text area conversion updates (understanding this flow is obsolete)</x:v>
      </x:c>
      <x:c r="AD156" s="119" t="str"/>
    </x:row>
    <x:row r="157" ht="34" customHeight="1">
      <x:c r="A157" s="117" t="str">
        <x:v>300Ro0000099RzwIAE</x:v>
      </x:c>
      <x:c r="B157" s="117" t="str">
        <x:v>Create_Sales_Opportunities_from_Training_Class</x:v>
      </x:c>
      <x:c r="C157" s="117" t="str">
        <x:v>Create Sales Opportunities from Training Class</x:v>
      </x:c>
      <x:c r="D157" s="117" t="str">
        <x:v>Yes</x:v>
      </x:c>
      <x:c r="E157" s="118" t="n">
        <x:v>12</x:v>
      </x:c>
      <x:c r="F157" s="118" t="n">
        <x:v>12</x:v>
      </x:c>
      <x:c r="G157" s="117" t="str">
        <x:v>Yes</x:v>
      </x:c>
      <x:c r="H157" s="119" t="str">
        <x:v>Active v12 (Retrieved XML)</x:v>
      </x:c>
      <x:c r="I157" s="117" t="str">
        <x:v>Flow</x:v>
      </x:c>
      <x:c r="J157" s="117" t="str"/>
      <x:c r="K157" s="117" t="str">
        <x:v>No</x:v>
      </x:c>
      <x:c r="L157" s="117" t="str"/>
      <x:c r="M157" s="117" t="str"/>
      <x:c r="N157" s="117" t="str">
        <x:v>SystemModeWithoutSharing</x:v>
      </x:c>
      <x:c r="O157" s="117"/>
      <x:c r="P157" s="117" t="str"/>
      <x:c r="Q157" s="117" t="str">
        <x:v>60.0</x:v>
      </x:c>
      <x:c r="R157" s="117" t="str">
        <x:v>unmanaged</x:v>
      </x:c>
      <x:c r="S157" s="118" t="n">
        <x:v>12</x:v>
      </x:c>
      <x:c r="T157" s="118" t="n">
        <x:v>11</x:v>
      </x:c>
      <x:c r="U157" s="118" t="n">
        <x:v>3</x:v>
      </x:c>
      <x:c r="V157" s="118" t="n">
        <x:v>0</x:v>
      </x:c>
      <x:c r="W157" s="118" t="n">
        <x:v>0</x:v>
      </x:c>
      <x:c r="X157" s="118" t="n">
        <x:v>1</x:v>
      </x:c>
      <x:c r="Y157" s="118" t="n">
        <x:v>2</x:v>
      </x:c>
      <x:c r="Z157" s="117" t="str">
        <x:v>N/A</x:v>
      </x:c>
      <x:c r="AA157" s="120" t="n">
        <x:v>45435.61087962963</x:v>
      </x:c>
      <x:c r="AB157" s="117" t="str">
        <x:v>Jace Gentil</x:v>
      </x:c>
      <x:c r="AC157" s="119" t="str"/>
      <x:c r="AD157" s="119" t="str">
        <x:v>Active flow has no description</x:v>
      </x:c>
    </x:row>
    <x:row r="158" ht="34" customHeight="1">
      <x:c r="A158" s="117" t="str">
        <x:v>300Ro00000H90tTIAR</x:v>
      </x:c>
      <x:c r="B158" s="117" t="str">
        <x:v>Create_Service_Calendar_Event_from_Service_Resource_UK</x:v>
      </x:c>
      <x:c r="C158" s="117" t="str">
        <x:v>Create Service Calendar Event from Service Resource - UK</x:v>
      </x:c>
      <x:c r="D158" s="117" t="str">
        <x:v>No</x:v>
      </x:c>
      <x:c r="E158" s="118"/>
      <x:c r="F158" s="118" t="n">
        <x:v>13</x:v>
      </x:c>
      <x:c r="G158" s="117" t="str">
        <x:v>N/A</x:v>
      </x:c>
      <x:c r="H158" s="119" t="str">
        <x:v>Latest inactive v13 (Retrieved XML)</x:v>
      </x:c>
      <x:c r="I158" s="117" t="str">
        <x:v>AutoLaunchedFlow</x:v>
      </x:c>
      <x:c r="J158" s="117" t="str">
        <x:v>AssignedResource</x:v>
      </x:c>
      <x:c r="K158" s="117" t="str">
        <x:v>No</x:v>
      </x:c>
      <x:c r="L158" s="117" t="str">
        <x:v>Create</x:v>
      </x:c>
      <x:c r="M158" s="117" t="str">
        <x:v>RecordAfterSave</x:v>
      </x:c>
      <x:c r="N158" s="117"/>
      <x:c r="O158" s="117"/>
      <x:c r="P158" s="117" t="str"/>
      <x:c r="Q158" s="117" t="str">
        <x:v>61.0</x:v>
      </x:c>
      <x:c r="R158" s="117" t="str">
        <x:v>unmanaged</x:v>
      </x:c>
      <x:c r="S158" s="118" t="n">
        <x:v>13</x:v>
      </x:c>
      <x:c r="T158" s="118" t="n">
        <x:v>8</x:v>
      </x:c>
      <x:c r="U158" s="118" t="n">
        <x:v>6</x:v>
      </x:c>
      <x:c r="V158" s="118" t="n">
        <x:v>0</x:v>
      </x:c>
      <x:c r="W158" s="118" t="n">
        <x:v>0</x:v>
      </x:c>
      <x:c r="X158" s="118" t="n">
        <x:v>0</x:v>
      </x:c>
      <x:c r="Y158" s="118" t="n">
        <x:v>2</x:v>
      </x:c>
      <x:c r="Z158" s="117" t="str">
        <x:v>N/A</x:v>
      </x:c>
      <x:c r="AA158" s="120" t="n">
        <x:v>45729.64256944445</x:v>
      </x:c>
      <x:c r="AB158" s="117" t="str">
        <x:v>Delegate</x:v>
      </x:c>
      <x:c r="AC158" s="119" t="str">
        <x:v>02/07/2025 (BW) - Assigning a resource schedules it, does not dispatch it though. That is done manually once the team locks them in
03/12/2024 - Kyle/Delegate - Updates requested in the last 30 days</x:v>
      </x:c>
      <x:c r="AD158" s="119" t="str">
        <x:v>Touches many objects</x:v>
      </x:c>
    </x:row>
    <x:row r="159" ht="34" customHeight="1">
      <x:c r="A159" s="117" t="str">
        <x:v>3005b000000H413AAC</x:v>
      </x:c>
      <x:c r="B159" s="117" t="str">
        <x:v>Create_Service_Calendar_Event_from_Work_Order_UK</x:v>
      </x:c>
      <x:c r="C159" s="117" t="str">
        <x:v>Create Service Calendar Event from Work Order - UK</x:v>
      </x:c>
      <x:c r="D159" s="117" t="str">
        <x:v>Yes</x:v>
      </x:c>
      <x:c r="E159" s="118" t="n">
        <x:v>23</x:v>
      </x:c>
      <x:c r="F159" s="118" t="n">
        <x:v>24</x:v>
      </x:c>
      <x:c r="G159" s="117" t="str">
        <x:v>No</x:v>
      </x:c>
      <x:c r="H159" s="119" t="str">
        <x:v>Active v23 (Tooling metadata)</x:v>
      </x:c>
      <x:c r="I159" s="117" t="str">
        <x:v>AutoLaunchedFlow</x:v>
      </x:c>
      <x:c r="J159" s="117" t="str">
        <x:v>WorkOrder</x:v>
      </x:c>
      <x:c r="K159" s="117" t="str">
        <x:v>Yes</x:v>
      </x:c>
      <x:c r="L159" s="117" t="str">
        <x:v>Update</x:v>
      </x:c>
      <x:c r="M159" s="117" t="str">
        <x:v>RecordAfterSave</x:v>
      </x:c>
      <x:c r="N159" s="117"/>
      <x:c r="O159" s="117"/>
      <x:c r="P159" s="117" t="str"/>
      <x:c r="Q159" s="117" t="n">
        <x:v>55</x:v>
      </x:c>
      <x:c r="R159" s="117" t="str">
        <x:v>unmanaged</x:v>
      </x:c>
      <x:c r="S159" s="118" t="n">
        <x:v>24</x:v>
      </x:c>
      <x:c r="T159" s="118" t="n">
        <x:v>18</x:v>
      </x:c>
      <x:c r="U159" s="118" t="n">
        <x:v>4</x:v>
      </x:c>
      <x:c r="V159" s="118" t="n">
        <x:v>0</x:v>
      </x:c>
      <x:c r="W159" s="118" t="n">
        <x:v>3</x:v>
      </x:c>
      <x:c r="X159" s="118" t="n">
        <x:v>0</x:v>
      </x:c>
      <x:c r="Y159" s="118" t="n">
        <x:v>3</x:v>
      </x:c>
      <x:c r="Z159" s="117" t="str">
        <x:v>Strong</x:v>
      </x:c>
      <x:c r="AA159" s="120" t="n">
        <x:v>45446.41753472222</x:v>
      </x:c>
      <x:c r="AB159" s="117" t="str">
        <x:v>Jon Kean</x:v>
      </x:c>
      <x:c r="AC159" s="119" t="str">
        <x:v>07/29/2025 (BW) - Migrating to asynchronous</x:v>
      </x:c>
      <x:c r="AD159" s="119" t="str">
        <x:v>Active version differs from latest; Active flow has no description; Touches many objects</x:v>
      </x:c>
    </x:row>
    <x:row r="160" ht="34" customHeight="1">
      <x:c r="A160" s="117" t="str">
        <x:v>3005b000000H4G3AAK</x:v>
      </x:c>
      <x:c r="B160" s="117" t="str">
        <x:v>Create_SF_Support_Case_V1</x:v>
      </x:c>
      <x:c r="C160" s="117" t="str">
        <x:v>Create SF Support Case V1</x:v>
      </x:c>
      <x:c r="D160" s="117" t="str">
        <x:v>Yes</x:v>
      </x:c>
      <x:c r="E160" s="118" t="n">
        <x:v>30</x:v>
      </x:c>
      <x:c r="F160" s="118" t="n">
        <x:v>30</x:v>
      </x:c>
      <x:c r="G160" s="117" t="str">
        <x:v>Yes</x:v>
      </x:c>
      <x:c r="H160" s="119" t="str">
        <x:v>Active v30 (Retrieved XML)</x:v>
      </x:c>
      <x:c r="I160" s="117" t="str">
        <x:v>Flow</x:v>
      </x:c>
      <x:c r="J160" s="117" t="str"/>
      <x:c r="K160" s="117" t="str">
        <x:v>No</x:v>
      </x:c>
      <x:c r="L160" s="117" t="str"/>
      <x:c r="M160" s="117" t="str"/>
      <x:c r="N160" s="117" t="str">
        <x:v>SystemModeWithoutSharing</x:v>
      </x:c>
      <x:c r="O160" s="117"/>
      <x:c r="P160" s="117" t="str"/>
      <x:c r="Q160" s="117" t="str">
        <x:v>55.0</x:v>
      </x:c>
      <x:c r="R160" s="117" t="str">
        <x:v>unmanaged</x:v>
      </x:c>
      <x:c r="S160" s="118" t="n">
        <x:v>16</x:v>
      </x:c>
      <x:c r="T160" s="118" t="n">
        <x:v>5</x:v>
      </x:c>
      <x:c r="U160" s="118" t="n">
        <x:v>1</x:v>
      </x:c>
      <x:c r="V160" s="118" t="n">
        <x:v>0</x:v>
      </x:c>
      <x:c r="W160" s="118" t="n">
        <x:v>0</x:v>
      </x:c>
      <x:c r="X160" s="118" t="n">
        <x:v>0</x:v>
      </x:c>
      <x:c r="Y160" s="118" t="n">
        <x:v>1</x:v>
      </x:c>
      <x:c r="Z160" s="117" t="str">
        <x:v>N/A</x:v>
      </x:c>
      <x:c r="AA160" s="120" t="n">
        <x:v>46079.65241898148</x:v>
      </x:c>
      <x:c r="AB160" s="117" t="str">
        <x:v>Sacha Pearce</x:v>
      </x:c>
      <x:c r="AC160" s="119" t="str">
        <x:v>Amended link to case</x:v>
      </x:c>
      <x:c r="AD160" s="119" t="str"/>
    </x:row>
    <x:row r="161" ht="34" customHeight="1">
      <x:c r="A161" s="117" t="str">
        <x:v>3005b000000H3rmAAC</x:v>
      </x:c>
      <x:c r="B161" s="117" t="str">
        <x:v>Create_shipment_from_customer_portal</x:v>
      </x:c>
      <x:c r="C161" s="117" t="str">
        <x:v>Create shipment from customer portal</x:v>
      </x:c>
      <x:c r="D161" s="117" t="str">
        <x:v>Yes</x:v>
      </x:c>
      <x:c r="E161" s="118" t="n">
        <x:v>19</x:v>
      </x:c>
      <x:c r="F161" s="118" t="n">
        <x:v>19</x:v>
      </x:c>
      <x:c r="G161" s="117" t="str">
        <x:v>Yes</x:v>
      </x:c>
      <x:c r="H161" s="119" t="str">
        <x:v>Active v19 (Retrieved XML)</x:v>
      </x:c>
      <x:c r="I161" s="117" t="str">
        <x:v>AutoLaunchedFlow</x:v>
      </x:c>
      <x:c r="J161" s="117" t="str">
        <x:v>RMA__c</x:v>
      </x:c>
      <x:c r="K161" s="117" t="str">
        <x:v>Yes</x:v>
      </x:c>
      <x:c r="L161" s="117" t="str">
        <x:v>CreateAndUpdate</x:v>
      </x:c>
      <x:c r="M161" s="117" t="str">
        <x:v>RecordAfterSave</x:v>
      </x:c>
      <x:c r="N161" s="117"/>
      <x:c r="O161" s="117"/>
      <x:c r="P161" s="117" t="str"/>
      <x:c r="Q161" s="117" t="str">
        <x:v>54.0</x:v>
      </x:c>
      <x:c r="R161" s="117" t="str">
        <x:v>unmanaged</x:v>
      </x:c>
      <x:c r="S161" s="118" t="n">
        <x:v>19</x:v>
      </x:c>
      <x:c r="T161" s="118" t="n">
        <x:v>6</x:v>
      </x:c>
      <x:c r="U161" s="118" t="n">
        <x:v>1</x:v>
      </x:c>
      <x:c r="V161" s="118" t="n">
        <x:v>0</x:v>
      </x:c>
      <x:c r="W161" s="118" t="n">
        <x:v>4</x:v>
      </x:c>
      <x:c r="X161" s="118" t="n">
        <x:v>0</x:v>
      </x:c>
      <x:c r="Y161" s="118" t="n">
        <x:v>1</x:v>
      </x:c>
      <x:c r="Z161" s="117" t="str">
        <x:v>Review</x:v>
      </x:c>
      <x:c r="AA161" s="120" t="n">
        <x:v>45454.655069444445</x:v>
      </x:c>
      <x:c r="AB161" s="117" t="str">
        <x:v>Natalie Boger</x:v>
      </x:c>
      <x:c r="AC161" s="119" t="str">
        <x:v>For repair RMA - sends email with label</x:v>
      </x:c>
      <x:c r="AD161" s="119" t="str"/>
    </x:row>
    <x:row r="162" ht="34" customHeight="1">
      <x:c r="A162" s="117" t="str">
        <x:v>3005b000000Pz9qAAC</x:v>
      </x:c>
      <x:c r="B162" s="117" t="str">
        <x:v>Create_Shipping_Product_on_US_Lead_Conversion_to_Op</x:v>
      </x:c>
      <x:c r="C162" s="117" t="str">
        <x:v>Create Shipping Product on US Lead Conversion to Op</x:v>
      </x:c>
      <x:c r="D162" s="117" t="str">
        <x:v>No</x:v>
      </x:c>
      <x:c r="E162" s="118"/>
      <x:c r="F162" s="118" t="n">
        <x:v>3</x:v>
      </x:c>
      <x:c r="G162" s="117" t="str">
        <x:v>N/A</x:v>
      </x:c>
      <x:c r="H162" s="119" t="str">
        <x:v>Latest inactive v3 (Retrieved XML)</x:v>
      </x:c>
      <x:c r="I162" s="117" t="str">
        <x:v>AutoLaunchedFlow</x:v>
      </x:c>
      <x:c r="J162" s="117" t="str">
        <x:v>Opportunity</x:v>
      </x:c>
      <x:c r="K162" s="117" t="str">
        <x:v>No</x:v>
      </x:c>
      <x:c r="L162" s="117" t="str">
        <x:v>Create</x:v>
      </x:c>
      <x:c r="M162" s="117" t="str">
        <x:v>RecordAfterSave</x:v>
      </x:c>
      <x:c r="N162" s="117"/>
      <x:c r="O162" s="117"/>
      <x:c r="P162" s="117" t="str"/>
      <x:c r="Q162" s="117" t="str">
        <x:v>57.0</x:v>
      </x:c>
      <x:c r="R162" s="117" t="str">
        <x:v>unmanaged</x:v>
      </x:c>
      <x:c r="S162" s="118" t="n">
        <x:v>3</x:v>
      </x:c>
      <x:c r="T162" s="118" t="n">
        <x:v>3</x:v>
      </x:c>
      <x:c r="U162" s="118" t="n">
        <x:v>3</x:v>
      </x:c>
      <x:c r="V162" s="118" t="n">
        <x:v>0</x:v>
      </x:c>
      <x:c r="W162" s="118" t="n">
        <x:v>0</x:v>
      </x:c>
      <x:c r="X162" s="118" t="n">
        <x:v>0</x:v>
      </x:c>
      <x:c r="Y162" s="118" t="n">
        <x:v>2</x:v>
      </x:c>
      <x:c r="Z162" s="117" t="str">
        <x:v>N/A</x:v>
      </x:c>
      <x:c r="AA162" s="120" t="n">
        <x:v>45425.62283564815</x:v>
      </x:c>
      <x:c r="AB162" s="117" t="str">
        <x:v>Jace Gentil</x:v>
      </x:c>
      <x:c r="AC162" s="119" t="str"/>
      <x:c r="AD162" s="119" t="str"/>
    </x:row>
    <x:row r="163" ht="34" customHeight="1">
      <x:c r="A163" s="117" t="str">
        <x:v>3005b000000LHrAAAW</x:v>
      </x:c>
      <x:c r="B163" s="117" t="str">
        <x:v>Create_Shipping_Product_on_US_Op_Creation</x:v>
      </x:c>
      <x:c r="C163" s="117" t="str">
        <x:v>Create Shipping Product on US Op Creation</x:v>
      </x:c>
      <x:c r="D163" s="117" t="str">
        <x:v>No</x:v>
      </x:c>
      <x:c r="E163" s="118"/>
      <x:c r="F163" s="118" t="n">
        <x:v>12</x:v>
      </x:c>
      <x:c r="G163" s="117" t="str">
        <x:v>N/A</x:v>
      </x:c>
      <x:c r="H163" s="119" t="str">
        <x:v>Latest inactive v12 (Retrieved XML)</x:v>
      </x:c>
      <x:c r="I163" s="117" t="str">
        <x:v>AutoLaunchedFlow</x:v>
      </x:c>
      <x:c r="J163" s="117" t="str">
        <x:v>Opportunity</x:v>
      </x:c>
      <x:c r="K163" s="117" t="str">
        <x:v>No</x:v>
      </x:c>
      <x:c r="L163" s="117" t="str">
        <x:v>Create</x:v>
      </x:c>
      <x:c r="M163" s="117" t="str">
        <x:v>RecordAfterSave</x:v>
      </x:c>
      <x:c r="N163" s="117"/>
      <x:c r="O163" s="117"/>
      <x:c r="P163" s="117" t="str"/>
      <x:c r="Q163" s="117" t="str">
        <x:v>56.0</x:v>
      </x:c>
      <x:c r="R163" s="117" t="str">
        <x:v>unmanaged</x:v>
      </x:c>
      <x:c r="S163" s="118" t="n">
        <x:v>12</x:v>
      </x:c>
      <x:c r="T163" s="118" t="n">
        <x:v>3</x:v>
      </x:c>
      <x:c r="U163" s="118" t="n">
        <x:v>3</x:v>
      </x:c>
      <x:c r="V163" s="118" t="n">
        <x:v>0</x:v>
      </x:c>
      <x:c r="W163" s="118" t="n">
        <x:v>0</x:v>
      </x:c>
      <x:c r="X163" s="118" t="n">
        <x:v>0</x:v>
      </x:c>
      <x:c r="Y163" s="118" t="n">
        <x:v>2</x:v>
      </x:c>
      <x:c r="Z163" s="117" t="str">
        <x:v>N/A</x:v>
      </x:c>
      <x:c r="AA163" s="120" t="n">
        <x:v>45423.520520833335</x:v>
      </x:c>
      <x:c r="AB163" s="117" t="str">
        <x:v>Jace Gentil</x:v>
      </x:c>
      <x:c r="AC163" s="119" t="str"/>
      <x:c r="AD163" s="119" t="str"/>
    </x:row>
    <x:row r="164" ht="34" customHeight="1">
      <x:c r="A164" s="117" t="str">
        <x:v>3005b000000H3qFAAS</x:v>
      </x:c>
      <x:c r="B164" s="117" t="str">
        <x:v>Create_Sourcing_Request_for_Parts_and_Probes</x:v>
      </x:c>
      <x:c r="C164" s="117" t="str">
        <x:v>Create Sourcing Request for Parts and Probes</x:v>
      </x:c>
      <x:c r="D164" s="117" t="str">
        <x:v>No</x:v>
      </x:c>
      <x:c r="E164" s="118"/>
      <x:c r="F164" s="118" t="n">
        <x:v>1</x:v>
      </x:c>
      <x:c r="G164" s="117" t="str">
        <x:v>N/A</x:v>
      </x:c>
      <x:c r="H164" s="119" t="str">
        <x:v>Latest inactive v1 (Retrieved XML)</x:v>
      </x:c>
      <x:c r="I164" s="117" t="str">
        <x:v>Flow</x:v>
      </x:c>
      <x:c r="J164" s="117" t="str"/>
      <x:c r="K164" s="117" t="str">
        <x:v>No</x:v>
      </x:c>
      <x:c r="L164" s="117" t="str"/>
      <x:c r="M164" s="117" t="str"/>
      <x:c r="N164" s="117"/>
      <x:c r="O164" s="117"/>
      <x:c r="P164" s="117" t="str"/>
      <x:c r="Q164" s="117" t="str">
        <x:v>49.0</x:v>
      </x:c>
      <x:c r="R164" s="117" t="str">
        <x:v>unmanaged</x:v>
      </x:c>
      <x:c r="S164" s="118" t="n">
        <x:v>1</x:v>
      </x:c>
      <x:c r="T164" s="118" t="n">
        <x:v>11</x:v>
      </x:c>
      <x:c r="U164" s="118" t="n">
        <x:v>4</x:v>
      </x:c>
      <x:c r="V164" s="118" t="n">
        <x:v>0</x:v>
      </x:c>
      <x:c r="W164" s="118" t="n">
        <x:v>1</x:v>
      </x:c>
      <x:c r="X164" s="118" t="n">
        <x:v>0</x:v>
      </x:c>
      <x:c r="Y164" s="118" t="n">
        <x:v>2</x:v>
      </x:c>
      <x:c r="Z164" s="117" t="str">
        <x:v>N/A</x:v>
      </x:c>
      <x:c r="AA164" s="120" t="n">
        <x:v>44700.850439814814</x:v>
      </x:c>
      <x:c r="AB164" s="117" t="str">
        <x:v>Jace Gentil</x:v>
      </x:c>
      <x:c r="AC164" s="119" t="str"/>
      <x:c r="AD164" s="119" t="str">
        <x:v>Touches many objects</x:v>
      </x:c>
    </x:row>
    <x:row r="165" ht="34" customHeight="1">
      <x:c r="A165" s="117" t="str">
        <x:v>3005b000000LJQkAAO</x:v>
      </x:c>
      <x:c r="B165" s="117" t="str">
        <x:v>Create_Souring_from_Pricing</x:v>
      </x:c>
      <x:c r="C165" s="117" t="str">
        <x:v>Create Souring from Pricing</x:v>
      </x:c>
      <x:c r="D165" s="117" t="str">
        <x:v>Yes</x:v>
      </x:c>
      <x:c r="E165" s="118" t="n">
        <x:v>29</x:v>
      </x:c>
      <x:c r="F165" s="118" t="n">
        <x:v>29</x:v>
      </x:c>
      <x:c r="G165" s="117" t="str">
        <x:v>Yes</x:v>
      </x:c>
      <x:c r="H165" s="119" t="str">
        <x:v>Active v29 (Retrieved XML)</x:v>
      </x:c>
      <x:c r="I165" s="117" t="str">
        <x:v>Flow</x:v>
      </x:c>
      <x:c r="J165" s="117" t="str"/>
      <x:c r="K165" s="117" t="str">
        <x:v>No</x:v>
      </x:c>
      <x:c r="L165" s="117" t="str"/>
      <x:c r="M165" s="117" t="str"/>
      <x:c r="N165" s="117" t="str">
        <x:v>SystemModeWithoutSharing</x:v>
      </x:c>
      <x:c r="O165" s="117"/>
      <x:c r="P165" s="117" t="str"/>
      <x:c r="Q165" s="117" t="str">
        <x:v>58.0</x:v>
      </x:c>
      <x:c r="R165" s="117" t="str">
        <x:v>unmanaged</x:v>
      </x:c>
      <x:c r="S165" s="118" t="n">
        <x:v>29</x:v>
      </x:c>
      <x:c r="T165" s="118" t="n">
        <x:v>12</x:v>
      </x:c>
      <x:c r="U165" s="118" t="n">
        <x:v>5</x:v>
      </x:c>
      <x:c r="V165" s="118" t="n">
        <x:v>0</x:v>
      </x:c>
      <x:c r="W165" s="118" t="n">
        <x:v>0</x:v>
      </x:c>
      <x:c r="X165" s="118" t="n">
        <x:v>0</x:v>
      </x:c>
      <x:c r="Y165" s="118" t="n">
        <x:v>2</x:v>
      </x:c>
      <x:c r="Z165" s="117" t="str">
        <x:v>N/A</x:v>
      </x:c>
      <x:c r="AA165" s="120" t="n">
        <x:v>46077.66392361111</x:v>
      </x:c>
      <x:c r="AB165" s="117" t="str">
        <x:v>Sacha Pearce</x:v>
      </x:c>
      <x:c r="AC165" s="119" t="str">
        <x:v>24/02/2026 - SP - Updaing Flow to run in system context</x:v>
      </x:c>
      <x:c r="AD165" s="119" t="str">
        <x:v>Touches many objects</x:v>
      </x:c>
    </x:row>
    <x:row r="166" ht="34" customHeight="1">
      <x:c r="A166" s="117" t="str">
        <x:v>300Ro00000UxU46IAF</x:v>
      </x:c>
      <x:c r="B166" s="117" t="str">
        <x:v>Create_Support_Engineer_Site_Visit</x:v>
      </x:c>
      <x:c r="C166" s="117" t="str">
        <x:v>Create Support Engineer Site Visit</x:v>
      </x:c>
      <x:c r="D166" s="117" t="str">
        <x:v>Yes</x:v>
      </x:c>
      <x:c r="E166" s="118" t="n">
        <x:v>5</x:v>
      </x:c>
      <x:c r="F166" s="118" t="n">
        <x:v>5</x:v>
      </x:c>
      <x:c r="G166" s="117" t="str">
        <x:v>Yes</x:v>
      </x:c>
      <x:c r="H166" s="119" t="str">
        <x:v>Active v5 (Retrieved XML)</x:v>
      </x:c>
      <x:c r="I166" s="117" t="str">
        <x:v>Flow</x:v>
      </x:c>
      <x:c r="J166" s="117" t="str"/>
      <x:c r="K166" s="117" t="str">
        <x:v>No</x:v>
      </x:c>
      <x:c r="L166" s="117" t="str"/>
      <x:c r="M166" s="117" t="str"/>
      <x:c r="N166" s="117"/>
      <x:c r="O166" s="117"/>
      <x:c r="P166" s="117" t="str"/>
      <x:c r="Q166" s="117" t="str">
        <x:v>63.0</x:v>
      </x:c>
      <x:c r="R166" s="117" t="str">
        <x:v>unmanaged</x:v>
      </x:c>
      <x:c r="S166" s="118" t="n">
        <x:v>5</x:v>
      </x:c>
      <x:c r="T166" s="118" t="n">
        <x:v>8</x:v>
      </x:c>
      <x:c r="U166" s="118" t="n">
        <x:v>1</x:v>
      </x:c>
      <x:c r="V166" s="118" t="n">
        <x:v>0</x:v>
      </x:c>
      <x:c r="W166" s="118" t="n">
        <x:v>0</x:v>
      </x:c>
      <x:c r="X166" s="118" t="n">
        <x:v>1</x:v>
      </x:c>
      <x:c r="Y166" s="118" t="n">
        <x:v>1</x:v>
      </x:c>
      <x:c r="Z166" s="117" t="str">
        <x:v>N/A</x:v>
      </x:c>
      <x:c r="AA166" s="120" t="n">
        <x:v>46191.375914351855</x:v>
      </x:c>
      <x:c r="AB166" s="117" t="str">
        <x:v>Sacha Pearce</x:v>
      </x:c>
      <x:c r="AC166" s="119" t="str">
        <x:v>18/06/2026 - SP - Updating to pull the "Location of Equipment" from the retrieved Service Appointment.</x:v>
      </x:c>
      <x:c r="AD166" s="119" t="str"/>
    </x:row>
    <x:row r="167" ht="34" customHeight="1">
      <x:c r="A167" s="117" t="str">
        <x:v>300Ro00000H90tUIAR</x:v>
      </x:c>
      <x:c r="B167" s="117" t="str">
        <x:v>Create_UK_FSL_Work_Order</x:v>
      </x:c>
      <x:c r="C167" s="117" t="str">
        <x:v>Create UK FSL Work Order</x:v>
      </x:c>
      <x:c r="D167" s="117" t="str">
        <x:v>Yes</x:v>
      </x:c>
      <x:c r="E167" s="118" t="n">
        <x:v>15</x:v>
      </x:c>
      <x:c r="F167" s="118" t="n">
        <x:v>15</x:v>
      </x:c>
      <x:c r="G167" s="117" t="str">
        <x:v>Yes</x:v>
      </x:c>
      <x:c r="H167" s="119" t="str">
        <x:v>Active v15 (Retrieved XML)</x:v>
      </x:c>
      <x:c r="I167" s="117" t="str">
        <x:v>Flow</x:v>
      </x:c>
      <x:c r="J167" s="117" t="str"/>
      <x:c r="K167" s="117" t="str">
        <x:v>No</x:v>
      </x:c>
      <x:c r="L167" s="117" t="str"/>
      <x:c r="M167" s="117" t="str"/>
      <x:c r="N167" s="117" t="str">
        <x:v>SystemModeWithoutSharing</x:v>
      </x:c>
      <x:c r="O167" s="117"/>
      <x:c r="P167" s="117" t="str"/>
      <x:c r="Q167" s="117" t="str">
        <x:v>61.0</x:v>
      </x:c>
      <x:c r="R167" s="117" t="str">
        <x:v>unmanaged</x:v>
      </x:c>
      <x:c r="S167" s="118" t="n">
        <x:v>15</x:v>
      </x:c>
      <x:c r="T167" s="118" t="n">
        <x:v>17</x:v>
      </x:c>
      <x:c r="U167" s="118" t="n">
        <x:v>3</x:v>
      </x:c>
      <x:c r="V167" s="118" t="n">
        <x:v>0</x:v>
      </x:c>
      <x:c r="W167" s="118" t="n">
        <x:v>0</x:v>
      </x:c>
      <x:c r="X167" s="118" t="n">
        <x:v>1</x:v>
      </x:c>
      <x:c r="Y167" s="118" t="n">
        <x:v>3</x:v>
      </x:c>
      <x:c r="Z167" s="117" t="str">
        <x:v>N/A</x:v>
      </x:c>
      <x:c r="AA167" s="120" t="n">
        <x:v>45896.33824074074</x:v>
      </x:c>
      <x:c r="AB167" s="117" t="str">
        <x:v>Sacha Pearce</x:v>
      </x:c>
      <x:c r="AC167" s="119" t="str">
        <x:v>05/07/2025 (BW) - Updated so that this pulls through the VAT exemption from the account
08/27/2025 (SP) - Added Contract Line Item to equal Work Order &gt; Contract Line Item &gt; Contract Line Item ID in Service Appointment generation. This has change has been made and tested in Sandbox</x:v>
      </x:c>
      <x:c r="AD167" s="119" t="str"/>
    </x:row>
    <x:row r="168" ht="34" customHeight="1">
      <x:c r="A168" s="117" t="str">
        <x:v>300Ro000011vzqVIAQ</x:v>
      </x:c>
      <x:c r="B168" s="117" t="str">
        <x:v>Create_UK_Warehouse_Request_Teams_Case_Screen_Flow</x:v>
      </x:c>
      <x:c r="C168" s="117" t="str">
        <x:v>Create UK Warehouse Request Teams Case - Screen Flow</x:v>
      </x:c>
      <x:c r="D168" s="117" t="str">
        <x:v>Yes</x:v>
      </x:c>
      <x:c r="E168" s="118" t="n">
        <x:v>1</x:v>
      </x:c>
      <x:c r="F168" s="118" t="n">
        <x:v>1</x:v>
      </x:c>
      <x:c r="G168" s="117" t="str">
        <x:v>Yes</x:v>
      </x:c>
      <x:c r="H168" s="119" t="str">
        <x:v>Active v1 (Retrieved XML)</x:v>
      </x:c>
      <x:c r="I168" s="117" t="str">
        <x:v>Flow</x:v>
      </x:c>
      <x:c r="J168" s="117" t="str"/>
      <x:c r="K168" s="117" t="str">
        <x:v>No</x:v>
      </x:c>
      <x:c r="L168" s="117" t="str"/>
      <x:c r="M168" s="117" t="str"/>
      <x:c r="N168" s="117"/>
      <x:c r="O168" s="117"/>
      <x:c r="P168" s="117" t="str"/>
      <x:c r="Q168" s="117" t="str">
        <x:v>67.0</x:v>
      </x:c>
      <x:c r="R168" s="117" t="str">
        <x:v>unmanaged</x:v>
      </x:c>
      <x:c r="S168" s="118" t="n">
        <x:v>1</x:v>
      </x:c>
      <x:c r="T168" s="118" t="n">
        <x:v>4</x:v>
      </x:c>
      <x:c r="U168" s="118" t="n">
        <x:v>2</x:v>
      </x:c>
      <x:c r="V168" s="118" t="n">
        <x:v>0</x:v>
      </x:c>
      <x:c r="W168" s="118" t="n">
        <x:v>0</x:v>
      </x:c>
      <x:c r="X168" s="118" t="n">
        <x:v>1</x:v>
      </x:c>
      <x:c r="Y168" s="118" t="n">
        <x:v>1</x:v>
      </x:c>
      <x:c r="Z168" s="117" t="str">
        <x:v>N/A</x:v>
      </x:c>
      <x:c r="AA168" s="120" t="n">
        <x:v>46210.37236111111</x:v>
      </x:c>
      <x:c r="AB168" s="117" t="str">
        <x:v>Sacha Pearce</x:v>
      </x:c>
      <x:c r="AC168" s="119" t="str"/>
      <x:c r="AD168" s="119" t="str">
        <x:v>Active flow has no description</x:v>
      </x:c>
    </x:row>
    <x:row r="169" ht="34" customHeight="1">
      <x:c r="A169" s="117" t="str">
        <x:v>300Ro00000cwVgiIAE</x:v>
      </x:c>
      <x:c r="B169" s="117" t="str">
        <x:v>Create_US_FSL_Work_Order</x:v>
      </x:c>
      <x:c r="C169" s="117" t="str">
        <x:v>Create US FSL Work Order from CLI</x:v>
      </x:c>
      <x:c r="D169" s="117" t="str">
        <x:v>Yes</x:v>
      </x:c>
      <x:c r="E169" s="118" t="n">
        <x:v>1</x:v>
      </x:c>
      <x:c r="F169" s="118" t="n">
        <x:v>1</x:v>
      </x:c>
      <x:c r="G169" s="117" t="str">
        <x:v>Yes</x:v>
      </x:c>
      <x:c r="H169" s="119" t="str">
        <x:v>Active v1 (Retrieved XML)</x:v>
      </x:c>
      <x:c r="I169" s="117" t="str">
        <x:v>Flow</x:v>
      </x:c>
      <x:c r="J169" s="117" t="str"/>
      <x:c r="K169" s="117" t="str">
        <x:v>No</x:v>
      </x:c>
      <x:c r="L169" s="117" t="str"/>
      <x:c r="M169" s="117" t="str"/>
      <x:c r="N169" s="117" t="str">
        <x:v>SystemModeWithoutSharing</x:v>
      </x:c>
      <x:c r="O169" s="117"/>
      <x:c r="P169" s="117" t="str"/>
      <x:c r="Q169" s="117" t="str">
        <x:v>61.0</x:v>
      </x:c>
      <x:c r="R169" s="117" t="str">
        <x:v>unmanaged</x:v>
      </x:c>
      <x:c r="S169" s="118" t="n">
        <x:v>1</x:v>
      </x:c>
      <x:c r="T169" s="118" t="n">
        <x:v>7</x:v>
      </x:c>
      <x:c r="U169" s="118" t="n">
        <x:v>3</x:v>
      </x:c>
      <x:c r="V169" s="118" t="n">
        <x:v>0</x:v>
      </x:c>
      <x:c r="W169" s="118" t="n">
        <x:v>0</x:v>
      </x:c>
      <x:c r="X169" s="118" t="n">
        <x:v>1</x:v>
      </x:c>
      <x:c r="Y169" s="118" t="n">
        <x:v>2</x:v>
      </x:c>
      <x:c r="Z169" s="117" t="str">
        <x:v>N/A</x:v>
      </x:c>
      <x:c r="AA169" s="120" t="n">
        <x:v>45888.79111111111</x:v>
      </x:c>
      <x:c r="AB169" s="117" t="str">
        <x:v>Delegate</x:v>
      </x:c>
      <x:c r="AC169" s="119" t="str"/>
      <x:c r="AD169" s="119" t="str">
        <x:v>Active flow has no description</x:v>
      </x:c>
    </x:row>
    <x:row r="170" ht="34" customHeight="1">
      <x:c r="A170" s="117" t="str">
        <x:v>300Ro00000cwVgjIAE</x:v>
      </x:c>
      <x:c r="B170" s="117" t="str">
        <x:v>Create_US_FSL_Work_Order_From_Service_Asset</x:v>
      </x:c>
      <x:c r="C170" s="117" t="str">
        <x:v>Create US FSL Work Order From Service Asset</x:v>
      </x:c>
      <x:c r="D170" s="117" t="str">
        <x:v>Yes</x:v>
      </x:c>
      <x:c r="E170" s="118" t="n">
        <x:v>1</x:v>
      </x:c>
      <x:c r="F170" s="118" t="n">
        <x:v>1</x:v>
      </x:c>
      <x:c r="G170" s="117" t="str">
        <x:v>Yes</x:v>
      </x:c>
      <x:c r="H170" s="119" t="str">
        <x:v>Active v1 (Retrieved XML)</x:v>
      </x:c>
      <x:c r="I170" s="117" t="str">
        <x:v>Flow</x:v>
      </x:c>
      <x:c r="J170" s="117" t="str"/>
      <x:c r="K170" s="117" t="str">
        <x:v>No</x:v>
      </x:c>
      <x:c r="L170" s="117" t="str"/>
      <x:c r="M170" s="117" t="str"/>
      <x:c r="N170" s="117" t="str">
        <x:v>SystemModeWithoutSharing</x:v>
      </x:c>
      <x:c r="O170" s="117"/>
      <x:c r="P170" s="117" t="str"/>
      <x:c r="Q170" s="117" t="str">
        <x:v>61.0</x:v>
      </x:c>
      <x:c r="R170" s="117" t="str">
        <x:v>unmanaged</x:v>
      </x:c>
      <x:c r="S170" s="118" t="n">
        <x:v>1</x:v>
      </x:c>
      <x:c r="T170" s="118" t="n">
        <x:v>8</x:v>
      </x:c>
      <x:c r="U170" s="118" t="n">
        <x:v>4</x:v>
      </x:c>
      <x:c r="V170" s="118" t="n">
        <x:v>0</x:v>
      </x:c>
      <x:c r="W170" s="118" t="n">
        <x:v>0</x:v>
      </x:c>
      <x:c r="X170" s="118" t="n">
        <x:v>2</x:v>
      </x:c>
      <x:c r="Y170" s="118" t="n">
        <x:v>2</x:v>
      </x:c>
      <x:c r="Z170" s="117" t="str">
        <x:v>N/A</x:v>
      </x:c>
      <x:c r="AA170" s="120" t="n">
        <x:v>45888.79148148148</x:v>
      </x:c>
      <x:c r="AB170" s="117" t="str">
        <x:v>Delegate</x:v>
      </x:c>
      <x:c r="AC170" s="119" t="str"/>
      <x:c r="AD170" s="119" t="str">
        <x:v>Active flow has no description; Touches many objects</x:v>
      </x:c>
    </x:row>
    <x:row r="171" ht="34" customHeight="1">
      <x:c r="A171" s="117" t="str">
        <x:v>3004O000000XhBDQA0</x:v>
      </x:c>
      <x:c r="B171" s="117" t="str">
        <x:v>Create_Warranty</x:v>
      </x:c>
      <x:c r="C171" s="117" t="str">
        <x:v>Create Warranty</x:v>
      </x:c>
      <x:c r="D171" s="117" t="str">
        <x:v>No</x:v>
      </x:c>
      <x:c r="E171" s="118"/>
      <x:c r="F171" s="118" t="n">
        <x:v>1</x:v>
      </x:c>
      <x:c r="G171" s="117" t="str">
        <x:v>N/A</x:v>
      </x:c>
      <x:c r="H171" s="119" t="str">
        <x:v>Latest inactive v1 (Retrieved XML)</x:v>
      </x:c>
      <x:c r="I171" s="117" t="str">
        <x:v>Flow</x:v>
      </x:c>
      <x:c r="J171" s="117" t="str"/>
      <x:c r="K171" s="117" t="str">
        <x:v>No</x:v>
      </x:c>
      <x:c r="L171" s="117" t="str"/>
      <x:c r="M171" s="117" t="str"/>
      <x:c r="N171" s="117"/>
      <x:c r="O171" s="117"/>
      <x:c r="P171" s="117" t="str"/>
      <x:c r="Q171" s="117" t="str">
        <x:v>51.0</x:v>
      </x:c>
      <x:c r="R171" s="117" t="str">
        <x:v>unmanaged</x:v>
      </x:c>
      <x:c r="S171" s="118" t="n">
        <x:v>1</x:v>
      </x:c>
      <x:c r="T171" s="118" t="n">
        <x:v>16</x:v>
      </x:c>
      <x:c r="U171" s="118" t="n">
        <x:v>4</x:v>
      </x:c>
      <x:c r="V171" s="118" t="n">
        <x:v>0</x:v>
      </x:c>
      <x:c r="W171" s="118" t="n">
        <x:v>0</x:v>
      </x:c>
      <x:c r="X171" s="118" t="n">
        <x:v>1</x:v>
      </x:c>
      <x:c r="Y171" s="118" t="n">
        <x:v>3</x:v>
      </x:c>
      <x:c r="Z171" s="117" t="str">
        <x:v>N/A</x:v>
      </x:c>
      <x:c r="AA171" s="120" t="n">
        <x:v>44315.83325231481</x:v>
      </x:c>
      <x:c r="AB171" s="117" t="str">
        <x:v>Delegate</x:v>
      </x:c>
      <x:c r="AC171" s="119" t="str"/>
      <x:c r="AD171" s="119" t="str">
        <x:v>Touches many objects</x:v>
      </x:c>
    </x:row>
    <x:row r="172" ht="34" customHeight="1">
      <x:c r="A172" s="117" t="str">
        <x:v>3004O000000XhBEQA0</x:v>
      </x:c>
      <x:c r="B172" s="117" t="str">
        <x:v>Create_Warranty_Auto</x:v>
      </x:c>
      <x:c r="C172" s="117" t="str">
        <x:v>Create Warranty Auto</x:v>
      </x:c>
      <x:c r="D172" s="117" t="str">
        <x:v>No</x:v>
      </x:c>
      <x:c r="E172" s="118"/>
      <x:c r="F172" s="118" t="n">
        <x:v>1</x:v>
      </x:c>
      <x:c r="G172" s="117" t="str">
        <x:v>N/A</x:v>
      </x:c>
      <x:c r="H172" s="119" t="str">
        <x:v>Latest inactive v1 (Retrieved XML)</x:v>
      </x:c>
      <x:c r="I172" s="117" t="str">
        <x:v>AutoLaunchedFlow</x:v>
      </x:c>
      <x:c r="J172" s="117" t="str"/>
      <x:c r="K172" s="117" t="str">
        <x:v>No</x:v>
      </x:c>
      <x:c r="L172" s="117" t="str"/>
      <x:c r="M172" s="117" t="str"/>
      <x:c r="N172" s="117"/>
      <x:c r="O172" s="117"/>
      <x:c r="P172" s="117" t="str"/>
      <x:c r="Q172" s="117" t="str">
        <x:v>51.0</x:v>
      </x:c>
      <x:c r="R172" s="117" t="str">
        <x:v>unmanaged</x:v>
      </x:c>
      <x:c r="S172" s="118" t="n">
        <x:v>1</x:v>
      </x:c>
      <x:c r="T172" s="118" t="n">
        <x:v>17</x:v>
      </x:c>
      <x:c r="U172" s="118" t="n">
        <x:v>4</x:v>
      </x:c>
      <x:c r="V172" s="118" t="n">
        <x:v>0</x:v>
      </x:c>
      <x:c r="W172" s="118" t="n">
        <x:v>0</x:v>
      </x:c>
      <x:c r="X172" s="118" t="n">
        <x:v>0</x:v>
      </x:c>
      <x:c r="Y172" s="118" t="n">
        <x:v>3</x:v>
      </x:c>
      <x:c r="Z172" s="117" t="str">
        <x:v>N/A</x:v>
      </x:c>
      <x:c r="AA172" s="120" t="n">
        <x:v>44315.83319444444</x:v>
      </x:c>
      <x:c r="AB172" s="117" t="str">
        <x:v>Delegate</x:v>
      </x:c>
      <x:c r="AC172" s="119" t="str">
        <x:v>Automatically creates a Warranty when conditions are met</x:v>
      </x:c>
      <x:c r="AD172" s="119" t="str">
        <x:v>Touches many objects</x:v>
      </x:c>
    </x:row>
    <x:row r="173" ht="34" customHeight="1">
      <x:c r="A173" s="117" t="str">
        <x:v>3004O000000XhBFQA0</x:v>
      </x:c>
      <x:c r="B173" s="117" t="str">
        <x:v>Create_Warranty_Claim</x:v>
      </x:c>
      <x:c r="C173" s="117" t="str">
        <x:v>Create Warranty Claim</x:v>
      </x:c>
      <x:c r="D173" s="117" t="str">
        <x:v>No</x:v>
      </x:c>
      <x:c r="E173" s="118"/>
      <x:c r="F173" s="118" t="n">
        <x:v>1</x:v>
      </x:c>
      <x:c r="G173" s="117" t="str">
        <x:v>N/A</x:v>
      </x:c>
      <x:c r="H173" s="119" t="str">
        <x:v>Latest inactive v1 (Retrieved XML)</x:v>
      </x:c>
      <x:c r="I173" s="117" t="str">
        <x:v>Flow</x:v>
      </x:c>
      <x:c r="J173" s="117" t="str"/>
      <x:c r="K173" s="117" t="str">
        <x:v>No</x:v>
      </x:c>
      <x:c r="L173" s="117" t="str"/>
      <x:c r="M173" s="117" t="str"/>
      <x:c r="N173" s="117"/>
      <x:c r="O173" s="117"/>
      <x:c r="P173" s="117" t="str"/>
      <x:c r="Q173" s="117" t="str">
        <x:v>51.0</x:v>
      </x:c>
      <x:c r="R173" s="117" t="str">
        <x:v>unmanaged</x:v>
      </x:c>
      <x:c r="S173" s="118" t="n">
        <x:v>1</x:v>
      </x:c>
      <x:c r="T173" s="118" t="n">
        <x:v>20</x:v>
      </x:c>
      <x:c r="U173" s="118" t="n">
        <x:v>5</x:v>
      </x:c>
      <x:c r="V173" s="118" t="n">
        <x:v>0</x:v>
      </x:c>
      <x:c r="W173" s="118" t="n">
        <x:v>0</x:v>
      </x:c>
      <x:c r="X173" s="118" t="n">
        <x:v>0</x:v>
      </x:c>
      <x:c r="Y173" s="118" t="n">
        <x:v>3</x:v>
      </x:c>
      <x:c r="Z173" s="117" t="str">
        <x:v>N/A</x:v>
      </x:c>
      <x:c r="AA173" s="120" t="n">
        <x:v>44315.83319444444</x:v>
      </x:c>
      <x:c r="AB173" s="117" t="str">
        <x:v>Delegate</x:v>
      </x:c>
      <x:c r="AC173" s="119" t="str"/>
      <x:c r="AD173" s="119" t="str">
        <x:v>Touches many objects</x:v>
      </x:c>
    </x:row>
    <x:row r="174" ht="34" customHeight="1">
      <x:c r="A174" s="117" t="str">
        <x:v>3005b000000H3dpAAC</x:v>
      </x:c>
      <x:c r="B174" s="117" t="str">
        <x:v>Create_Work_Order_From_Contract_Line_Item</x:v>
      </x:c>
      <x:c r="C174" s="117" t="str">
        <x:v>Create Work Order From Contract Line Item</x:v>
      </x:c>
      <x:c r="D174" s="117" t="str">
        <x:v>Yes</x:v>
      </x:c>
      <x:c r="E174" s="118" t="n">
        <x:v>8</x:v>
      </x:c>
      <x:c r="F174" s="118" t="n">
        <x:v>8</x:v>
      </x:c>
      <x:c r="G174" s="117" t="str">
        <x:v>Yes</x:v>
      </x:c>
      <x:c r="H174" s="119" t="str">
        <x:v>Active v8 (Retrieved XML)</x:v>
      </x:c>
      <x:c r="I174" s="117" t="str">
        <x:v>Flow</x:v>
      </x:c>
      <x:c r="J174" s="117" t="str"/>
      <x:c r="K174" s="117" t="str">
        <x:v>No</x:v>
      </x:c>
      <x:c r="L174" s="117" t="str"/>
      <x:c r="M174" s="117" t="str"/>
      <x:c r="N174" s="117"/>
      <x:c r="O174" s="117"/>
      <x:c r="P174" s="117" t="str"/>
      <x:c r="Q174" s="117" t="str">
        <x:v>54.0</x:v>
      </x:c>
      <x:c r="R174" s="117" t="str">
        <x:v>unmanaged</x:v>
      </x:c>
      <x:c r="S174" s="118" t="n">
        <x:v>8</x:v>
      </x:c>
      <x:c r="T174" s="118" t="n">
        <x:v>5</x:v>
      </x:c>
      <x:c r="U174" s="118" t="n">
        <x:v>3</x:v>
      </x:c>
      <x:c r="V174" s="118" t="n">
        <x:v>0</x:v>
      </x:c>
      <x:c r="W174" s="118" t="n">
        <x:v>0</x:v>
      </x:c>
      <x:c r="X174" s="118" t="n">
        <x:v>0</x:v>
      </x:c>
      <x:c r="Y174" s="118" t="n">
        <x:v>2</x:v>
      </x:c>
      <x:c r="Z174" s="117" t="str">
        <x:v>N/A</x:v>
      </x:c>
      <x:c r="AA174" s="120" t="n">
        <x:v>44741.441655092596</x:v>
      </x:c>
      <x:c r="AB174" s="117" t="str">
        <x:v>Jace Gentil</x:v>
      </x:c>
      <x:c r="AC174" s="119" t="str"/>
      <x:c r="AD174" s="119" t="str">
        <x:v>Active flow has no description</x:v>
      </x:c>
    </x:row>
    <x:row r="175" ht="34" customHeight="1">
      <x:c r="A175" s="117" t="str">
        <x:v>3005b000000Pzy0AAC</x:v>
      </x:c>
      <x:c r="B175" s="117" t="str">
        <x:v>Create_Work_Order_from_KloudGin_Case</x:v>
      </x:c>
      <x:c r="C175" s="117" t="str">
        <x:v>Create Work Order from KloudGin Case</x:v>
      </x:c>
      <x:c r="D175" s="117" t="str">
        <x:v>Yes</x:v>
      </x:c>
      <x:c r="E175" s="118" t="n">
        <x:v>7</x:v>
      </x:c>
      <x:c r="F175" s="118" t="n">
        <x:v>7</x:v>
      </x:c>
      <x:c r="G175" s="117" t="str">
        <x:v>Yes</x:v>
      </x:c>
      <x:c r="H175" s="119" t="str">
        <x:v>Active v7 (Retrieved XML)</x:v>
      </x:c>
      <x:c r="I175" s="117" t="str">
        <x:v>Flow</x:v>
      </x:c>
      <x:c r="J175" s="117" t="str"/>
      <x:c r="K175" s="117" t="str">
        <x:v>No</x:v>
      </x:c>
      <x:c r="L175" s="117" t="str"/>
      <x:c r="M175" s="117" t="str"/>
      <x:c r="N175" s="117"/>
      <x:c r="O175" s="117"/>
      <x:c r="P175" s="117" t="str"/>
      <x:c r="Q175" s="117" t="str">
        <x:v>58.0</x:v>
      </x:c>
      <x:c r="R175" s="117" t="str">
        <x:v>unmanaged</x:v>
      </x:c>
      <x:c r="S175" s="118" t="n">
        <x:v>7</x:v>
      </x:c>
      <x:c r="T175" s="118" t="n">
        <x:v>6</x:v>
      </x:c>
      <x:c r="U175" s="118" t="n">
        <x:v>3</x:v>
      </x:c>
      <x:c r="V175" s="118" t="n">
        <x:v>0</x:v>
      </x:c>
      <x:c r="W175" s="118" t="n">
        <x:v>0</x:v>
      </x:c>
      <x:c r="X175" s="118" t="n">
        <x:v>1</x:v>
      </x:c>
      <x:c r="Y175" s="118" t="n">
        <x:v>2</x:v>
      </x:c>
      <x:c r="Z175" s="117" t="str">
        <x:v>N/A</x:v>
      </x:c>
      <x:c r="AA175" s="120" t="n">
        <x:v>45177.530625</x:v>
      </x:c>
      <x:c r="AB175" s="117" t="str">
        <x:v>Jace Gentil</x:v>
      </x:c>
      <x:c r="AC175" s="119" t="str"/>
      <x:c r="AD175" s="119" t="str">
        <x:v>Active flow has no description</x:v>
      </x:c>
    </x:row>
    <x:row r="176" ht="34" customHeight="1">
      <x:c r="A176" s="117" t="str">
        <x:v>300Ro0000143LOUIA2</x:v>
      </x:c>
      <x:c r="B176" s="117" t="str">
        <x:v>Create_Work_Order_from_Service_Asset</x:v>
      </x:c>
      <x:c r="C176" s="117" t="str">
        <x:v>Create Work Order from Service Asset</x:v>
      </x:c>
      <x:c r="D176" s="117" t="str">
        <x:v>Yes</x:v>
      </x:c>
      <x:c r="E176" s="118" t="n">
        <x:v>7</x:v>
      </x:c>
      <x:c r="F176" s="118" t="n">
        <x:v>7</x:v>
      </x:c>
      <x:c r="G176" s="117" t="str">
        <x:v>Yes</x:v>
      </x:c>
      <x:c r="H176" s="119" t="str">
        <x:v>Active v7 (Retrieved XML)</x:v>
      </x:c>
      <x:c r="I176" s="117" t="str">
        <x:v>Flow</x:v>
      </x:c>
      <x:c r="J176" s="117" t="str"/>
      <x:c r="K176" s="117" t="str">
        <x:v>No</x:v>
      </x:c>
      <x:c r="L176" s="117" t="str"/>
      <x:c r="M176" s="117" t="str"/>
      <x:c r="N176" s="117"/>
      <x:c r="O176" s="117"/>
      <x:c r="P176" s="117" t="str"/>
      <x:c r="Q176" s="117" t="str">
        <x:v>67.0</x:v>
      </x:c>
      <x:c r="R176" s="117" t="str">
        <x:v>unmanaged</x:v>
      </x:c>
      <x:c r="S176" s="118" t="n">
        <x:v>7</x:v>
      </x:c>
      <x:c r="T176" s="118" t="n">
        <x:v>9</x:v>
      </x:c>
      <x:c r="U176" s="118" t="n">
        <x:v>3</x:v>
      </x:c>
      <x:c r="V176" s="118" t="n">
        <x:v>0</x:v>
      </x:c>
      <x:c r="W176" s="118" t="n">
        <x:v>0</x:v>
      </x:c>
      <x:c r="X176" s="118" t="n">
        <x:v>1</x:v>
      </x:c>
      <x:c r="Y176" s="118" t="n">
        <x:v>2</x:v>
      </x:c>
      <x:c r="Z176" s="117" t="str">
        <x:v>N/A</x:v>
      </x:c>
      <x:c r="AA176" s="120" t="n">
        <x:v>46239.86456018518</x:v>
      </x:c>
      <x:c r="AB176" s="117" t="str">
        <x:v>Mindy Bender</x:v>
      </x:c>
      <x:c r="AC176" s="119" t="str">
        <x:v>8/5 - Fixed Record Type to match choice</x:v>
      </x:c>
      <x:c r="AD176" s="119" t="str"/>
    </x:row>
    <x:row r="177" ht="34" customHeight="1">
      <x:c r="A177" s="117" t="str">
        <x:v>300Ro00000aDxwqIAC</x:v>
      </x:c>
      <x:c r="B177" s="117" t="str">
        <x:v>Create_Work_Orders_from_Contract_Renewal</x:v>
      </x:c>
      <x:c r="C177" s="117" t="str">
        <x:v>Create Work Orders from Contract Renewal</x:v>
      </x:c>
      <x:c r="D177" s="117" t="str">
        <x:v>Yes</x:v>
      </x:c>
      <x:c r="E177" s="118" t="n">
        <x:v>10</x:v>
      </x:c>
      <x:c r="F177" s="118" t="n">
        <x:v>11</x:v>
      </x:c>
      <x:c r="G177" s="117" t="str">
        <x:v>No</x:v>
      </x:c>
      <x:c r="H177" s="119" t="str">
        <x:v>Active v10 (Tooling metadata)</x:v>
      </x:c>
      <x:c r="I177" s="117" t="str">
        <x:v>AutoLaunchedFlow</x:v>
      </x:c>
      <x:c r="J177" s="117" t="str">
        <x:v>ServiceContract</x:v>
      </x:c>
      <x:c r="K177" s="117" t="str">
        <x:v>Yes</x:v>
      </x:c>
      <x:c r="L177" s="117" t="str">
        <x:v>Update</x:v>
      </x:c>
      <x:c r="M177" s="117" t="str">
        <x:v>RecordAfterSave</x:v>
      </x:c>
      <x:c r="N177" s="117"/>
      <x:c r="O177" s="117"/>
      <x:c r="P177" s="117" t="str"/>
      <x:c r="Q177" s="117" t="n">
        <x:v>64</x:v>
      </x:c>
      <x:c r="R177" s="117" t="str">
        <x:v>unmanaged</x:v>
      </x:c>
      <x:c r="S177" s="118" t="n">
        <x:v>11</x:v>
      </x:c>
      <x:c r="T177" s="118" t="n">
        <x:v>18</x:v>
      </x:c>
      <x:c r="U177" s="118" t="n">
        <x:v>4</x:v>
      </x:c>
      <x:c r="V177" s="118" t="n">
        <x:v>0</x:v>
      </x:c>
      <x:c r="W177" s="118" t="n">
        <x:v>0</x:v>
      </x:c>
      <x:c r="X177" s="118" t="n">
        <x:v>0</x:v>
      </x:c>
      <x:c r="Y177" s="118" t="n">
        <x:v>3</x:v>
      </x:c>
      <x:c r="Z177" s="117" t="str">
        <x:v>Review</x:v>
      </x:c>
      <x:c r="AA177" s="120" t="n">
        <x:v>46142.820069444446</x:v>
      </x:c>
      <x:c r="AB177" s="117" t="str">
        <x:v>Sacha Pearce</x:v>
      </x:c>
      <x:c r="AC177" s="119" t="str">
        <x:v>04/03/2026 - V5 - SP - Updating the Contract Line Items via colvarCLIsToUpdate.</x:v>
      </x:c>
      <x:c r="AD177" s="119" t="str">
        <x:v>Active version differs from latest; Touches many objects</x:v>
      </x:c>
    </x:row>
    <x:row r="178" ht="34" customHeight="1">
      <x:c r="A178" s="117" t="str">
        <x:v>3005b000000LHN0AAO</x:v>
      </x:c>
      <x:c r="B178" s="117" t="str">
        <x:v>CreateRenewalContractFromExistingUK_BETA</x:v>
      </x:c>
      <x:c r="C178" s="117" t="str">
        <x:v>CreateRenewalContractFromExistingUK - BETA</x:v>
      </x:c>
      <x:c r="D178" s="117" t="str">
        <x:v>No</x:v>
      </x:c>
      <x:c r="E178" s="118"/>
      <x:c r="F178" s="118" t="n">
        <x:v>1</x:v>
      </x:c>
      <x:c r="G178" s="117" t="str">
        <x:v>N/A</x:v>
      </x:c>
      <x:c r="H178" s="119" t="str">
        <x:v>Latest inactive v1 (Retrieved XML)</x:v>
      </x:c>
      <x:c r="I178" s="117" t="str">
        <x:v>Flow</x:v>
      </x:c>
      <x:c r="J178" s="117" t="str"/>
      <x:c r="K178" s="117" t="str">
        <x:v>No</x:v>
      </x:c>
      <x:c r="L178" s="117" t="str"/>
      <x:c r="M178" s="117" t="str"/>
      <x:c r="N178" s="117"/>
      <x:c r="O178" s="117"/>
      <x:c r="P178" s="117" t="str"/>
      <x:c r="Q178" s="117" t="str">
        <x:v>56.0</x:v>
      </x:c>
      <x:c r="R178" s="117" t="str">
        <x:v>unmanaged</x:v>
      </x:c>
      <x:c r="S178" s="118" t="n">
        <x:v>1</x:v>
      </x:c>
      <x:c r="T178" s="118" t="n">
        <x:v>24</x:v>
      </x:c>
      <x:c r="U178" s="118" t="n">
        <x:v>4</x:v>
      </x:c>
      <x:c r="V178" s="118" t="n">
        <x:v>0</x:v>
      </x:c>
      <x:c r="W178" s="118" t="n">
        <x:v>0</x:v>
      </x:c>
      <x:c r="X178" s="118" t="n">
        <x:v>3</x:v>
      </x:c>
      <x:c r="Y178" s="118" t="n">
        <x:v>3</x:v>
      </x:c>
      <x:c r="Z178" s="117" t="str">
        <x:v>N/A</x:v>
      </x:c>
      <x:c r="AA178" s="120" t="n">
        <x:v>44909.88730324074</x:v>
      </x:c>
      <x:c r="AB178" s="117" t="str">
        <x:v>Jace Gentil</x:v>
      </x:c>
      <x:c r="AC178" s="119" t="str"/>
      <x:c r="AD178" s="119" t="str">
        <x:v>Touches many objects</x:v>
      </x:c>
    </x:row>
    <x:row r="179" ht="34" customHeight="1">
      <x:c r="A179" s="117" t="str">
        <x:v>3004O0000000ZxZQAU</x:v>
      </x:c>
      <x:c r="B179" s="117" t="str">
        <x:v>Credit_Approval_Process</x:v>
      </x:c>
      <x:c r="C179" s="117" t="str">
        <x:v>Credit Approval Process</x:v>
      </x:c>
      <x:c r="D179" s="117" t="str">
        <x:v>Yes</x:v>
      </x:c>
      <x:c r="E179" s="118" t="n">
        <x:v>2</x:v>
      </x:c>
      <x:c r="F179" s="118" t="n">
        <x:v>2</x:v>
      </x:c>
      <x:c r="G179" s="117" t="str">
        <x:v>Yes</x:v>
      </x:c>
      <x:c r="H179" s="119" t="str">
        <x:v>Active v2 (Retrieved XML)</x:v>
      </x:c>
      <x:c r="I179" s="117" t="str">
        <x:v>Flow</x:v>
      </x:c>
      <x:c r="J179" s="117" t="str"/>
      <x:c r="K179" s="117" t="str">
        <x:v>No</x:v>
      </x:c>
      <x:c r="L179" s="117" t="str"/>
      <x:c r="M179" s="117" t="str"/>
      <x:c r="N179" s="117"/>
      <x:c r="O179" s="117"/>
      <x:c r="P179" s="117" t="str"/>
      <x:c r="Q179" s="117" t="str">
        <x:v>49.0</x:v>
      </x:c>
      <x:c r="R179" s="117" t="str">
        <x:v>unmanaged</x:v>
      </x:c>
      <x:c r="S179" s="118" t="n">
        <x:v>2</x:v>
      </x:c>
      <x:c r="T179" s="118" t="n">
        <x:v>5</x:v>
      </x:c>
      <x:c r="U179" s="118" t="n">
        <x:v>1</x:v>
      </x:c>
      <x:c r="V179" s="118" t="n">
        <x:v>0</x:v>
      </x:c>
      <x:c r="W179" s="118" t="n">
        <x:v>1</x:v>
      </x:c>
      <x:c r="X179" s="118" t="n">
        <x:v>1</x:v>
      </x:c>
      <x:c r="Y179" s="118" t="n">
        <x:v>1</x:v>
      </x:c>
      <x:c r="Z179" s="117" t="str">
        <x:v>N/A</x:v>
      </x:c>
      <x:c r="AA179" s="120" t="n">
        <x:v>44084.75009259259</x:v>
      </x:c>
      <x:c r="AB179" s="117" t="str">
        <x:v>Trent VanEmon</x:v>
      </x:c>
      <x:c r="AC179" s="119" t="str"/>
      <x:c r="AD179" s="119" t="str">
        <x:v>Active flow has no description</x:v>
      </x:c>
    </x:row>
    <x:row r="180" ht="34" customHeight="1">
      <x:c r="A180" s="117" t="str">
        <x:v>3004O000000LOr7QAG</x:v>
      </x:c>
      <x:c r="B180" s="117" t="str">
        <x:v>Credit_Memo</x:v>
      </x:c>
      <x:c r="C180" s="117" t="str">
        <x:v>Credit Memo</x:v>
      </x:c>
      <x:c r="D180" s="117" t="str">
        <x:v>No</x:v>
      </x:c>
      <x:c r="E180" s="118"/>
      <x:c r="F180" s="118" t="n">
        <x:v>17</x:v>
      </x:c>
      <x:c r="G180" s="117" t="str">
        <x:v>N/A</x:v>
      </x:c>
      <x:c r="H180" s="119" t="str">
        <x:v>Latest inactive v17 (Retrieved XML)</x:v>
      </x:c>
      <x:c r="I180" s="117" t="str">
        <x:v>Workflow</x:v>
      </x:c>
      <x:c r="J180" s="117" t="str"/>
      <x:c r="K180" s="117" t="str">
        <x:v>No</x:v>
      </x:c>
      <x:c r="L180" s="117" t="str"/>
      <x:c r="M180" s="117" t="str"/>
      <x:c r="N180" s="117"/>
      <x:c r="O180" s="117"/>
      <x:c r="P180" s="117" t="str"/>
      <x:c r="Q180" s="117" t="str">
        <x:v>50.0</x:v>
      </x:c>
      <x:c r="R180" s="117" t="str">
        <x:v>unmanaged</x:v>
      </x:c>
      <x:c r="S180" s="118" t="n">
        <x:v>17</x:v>
      </x:c>
      <x:c r="T180" s="118" t="n">
        <x:v>17</x:v>
      </x:c>
      <x:c r="U180" s="118" t="n">
        <x:v>4</x:v>
      </x:c>
      <x:c r="V180" s="118" t="n">
        <x:v>0</x:v>
      </x:c>
      <x:c r="W180" s="118" t="n">
        <x:v>2</x:v>
      </x:c>
      <x:c r="X180" s="118" t="n">
        <x:v>0</x:v>
      </x:c>
      <x:c r="Y180" s="118" t="n">
        <x:v>3</x:v>
      </x:c>
      <x:c r="Z180" s="117" t="str">
        <x:v>N/A</x:v>
      </x:c>
      <x:c r="AA180" s="120" t="n">
        <x:v>45302.82722222222</x:v>
      </x:c>
      <x:c r="AB180" s="117" t="str">
        <x:v>Delegate</x:v>
      </x:c>
      <x:c r="AC180" s="119" t="str">
        <x:v>AM: Converted to Flow (Credit Memo Automations) 1/11/24</x:v>
      </x:c>
      <x:c r="AD180" s="119" t="str">
        <x:v>Touches many objects</x:v>
      </x:c>
    </x:row>
    <x:row r="181" ht="34" customHeight="1">
      <x:c r="A181" s="117" t="str">
        <x:v>3005b00000113moAAA</x:v>
      </x:c>
      <x:c r="B181" s="117" t="str">
        <x:v>Credit_Memo_1</x:v>
      </x:c>
      <x:c r="C181" s="117" t="str">
        <x:v>Credit Memo Automations</x:v>
      </x:c>
      <x:c r="D181" s="117" t="str">
        <x:v>Yes</x:v>
      </x:c>
      <x:c r="E181" s="118" t="n">
        <x:v>5</x:v>
      </x:c>
      <x:c r="F181" s="118" t="n">
        <x:v>5</x:v>
      </x:c>
      <x:c r="G181" s="117" t="str">
        <x:v>Yes</x:v>
      </x:c>
      <x:c r="H181" s="119" t="str">
        <x:v>Active v5 (Retrieved XML)</x:v>
      </x:c>
      <x:c r="I181" s="117" t="str">
        <x:v>AutoLaunchedFlow</x:v>
      </x:c>
      <x:c r="J181" s="117" t="str">
        <x:v>Credit_Memo__c</x:v>
      </x:c>
      <x:c r="K181" s="117" t="str">
        <x:v>Yes</x:v>
      </x:c>
      <x:c r="L181" s="117" t="str">
        <x:v>CreateAndUpdate</x:v>
      </x:c>
      <x:c r="M181" s="117" t="str">
        <x:v>RecordAfterSave</x:v>
      </x:c>
      <x:c r="N181" s="117"/>
      <x:c r="O181" s="117"/>
      <x:c r="P181" s="117" t="str"/>
      <x:c r="Q181" s="117" t="str">
        <x:v>59.0</x:v>
      </x:c>
      <x:c r="R181" s="117" t="str">
        <x:v>unmanaged</x:v>
      </x:c>
      <x:c r="S181" s="118" t="n">
        <x:v>5</x:v>
      </x:c>
      <x:c r="T181" s="118" t="n">
        <x:v>17</x:v>
      </x:c>
      <x:c r="U181" s="118" t="n">
        <x:v>1</x:v>
      </x:c>
      <x:c r="V181" s="118" t="n">
        <x:v>0</x:v>
      </x:c>
      <x:c r="W181" s="118" t="n">
        <x:v>1</x:v>
      </x:c>
      <x:c r="X181" s="118" t="n">
        <x:v>0</x:v>
      </x:c>
      <x:c r="Y181" s="118" t="n">
        <x:v>2</x:v>
      </x:c>
      <x:c r="Z181" s="117" t="str">
        <x:v>Strong</x:v>
      </x:c>
      <x:c r="AA181" s="120" t="n">
        <x:v>46043.789976851855</x:v>
      </x:c>
      <x:c r="AB181" s="117" t="str">
        <x:v>Natalie Boger</x:v>
      </x:c>
      <x:c r="AC181" s="119" t="str">
        <x:v>12/29/2025 (BW) - Updating the invoice posting system to use the "Applied to Invoice" field on the credit memo as the destination for the application of the invoice
1/20/2026 (NB) - to allow for submission of autogenerated CMs for restocking fees, changed logic for submitted for approval.</x:v>
      </x:c>
      <x:c r="AD181" s="119" t="str"/>
    </x:row>
    <x:row r="182" ht="34" customHeight="1">
      <x:c r="A182" s="117" t="str">
        <x:v>3004O000000LOwWQAW</x:v>
      </x:c>
      <x:c r="B182" s="117" t="str">
        <x:v>Credit_Memo_Creation_Flow</x:v>
      </x:c>
      <x:c r="C182" s="117" t="str">
        <x:v>Credit Memo Creation Flow</x:v>
      </x:c>
      <x:c r="D182" s="117" t="str">
        <x:v>Yes</x:v>
      </x:c>
      <x:c r="E182" s="118" t="n">
        <x:v>1</x:v>
      </x:c>
      <x:c r="F182" s="118" t="n">
        <x:v>2</x:v>
      </x:c>
      <x:c r="G182" s="117" t="str">
        <x:v>No</x:v>
      </x:c>
      <x:c r="H182" s="119" t="str">
        <x:v>Active v1 (Tooling metadata)</x:v>
      </x:c>
      <x:c r="I182" s="117" t="str">
        <x:v>Flow</x:v>
      </x:c>
      <x:c r="J182" s="117" t="str"/>
      <x:c r="K182" s="117" t="str">
        <x:v>No</x:v>
      </x:c>
      <x:c r="L182" s="117" t="str"/>
      <x:c r="M182" s="117" t="str"/>
      <x:c r="N182" s="117"/>
      <x:c r="O182" s="117"/>
      <x:c r="P182" s="117" t="str"/>
      <x:c r="Q182" s="117" t="n">
        <x:v>50</x:v>
      </x:c>
      <x:c r="R182" s="117" t="str">
        <x:v>unmanaged</x:v>
      </x:c>
      <x:c r="S182" s="118" t="n">
        <x:v>2</x:v>
      </x:c>
      <x:c r="T182" s="118" t="n">
        <x:v>9</x:v>
      </x:c>
      <x:c r="U182" s="118" t="n">
        <x:v>4</x:v>
      </x:c>
      <x:c r="V182" s="118" t="n">
        <x:v>0</x:v>
      </x:c>
      <x:c r="W182" s="118" t="n">
        <x:v>0</x:v>
      </x:c>
      <x:c r="X182" s="118" t="n">
        <x:v>1</x:v>
      </x:c>
      <x:c r="Y182" s="118" t="n">
        <x:v>2</x:v>
      </x:c>
      <x:c r="Z182" s="117" t="str">
        <x:v>N/A</x:v>
      </x:c>
      <x:c r="AA182" s="120" t="n">
        <x:v>44232.57915509259</x:v>
      </x:c>
      <x:c r="AB182" s="117" t="str">
        <x:v>Delegate</x:v>
      </x:c>
      <x:c r="AC182" s="119" t="str"/>
      <x:c r="AD182" s="119" t="str">
        <x:v>Active version differs from latest; Active flow has no description; Touches many objects</x:v>
      </x:c>
    </x:row>
    <x:row r="183" ht="34" customHeight="1">
      <x:c r="A183" s="117" t="str">
        <x:v>300Ro00000JlbyvIAB</x:v>
      </x:c>
      <x:c r="B183" s="117" t="str">
        <x:v>Credit_Memo_Line_Item_On_Update_Sum_Credit_Memo_Total</x:v>
      </x:c>
      <x:c r="C183" s="117" t="str">
        <x:v>Credit Memo Line Item | On Update | Sum Credit Memo Total</x:v>
      </x:c>
      <x:c r="D183" s="117" t="str">
        <x:v>Yes</x:v>
      </x:c>
      <x:c r="E183" s="118" t="n">
        <x:v>1</x:v>
      </x:c>
      <x:c r="F183" s="118" t="n">
        <x:v>1</x:v>
      </x:c>
      <x:c r="G183" s="117" t="str">
        <x:v>Yes</x:v>
      </x:c>
      <x:c r="H183" s="119" t="str">
        <x:v>Active v1 (Retrieved XML)</x:v>
      </x:c>
      <x:c r="I183" s="117" t="str">
        <x:v>AutoLaunchedFlow</x:v>
      </x:c>
      <x:c r="J183" s="117" t="str">
        <x:v>Credit_Memo_Line_Item__c</x:v>
      </x:c>
      <x:c r="K183" s="117" t="str">
        <x:v>Yes</x:v>
      </x:c>
      <x:c r="L183" s="117" t="str">
        <x:v>CreateAndUpdate</x:v>
      </x:c>
      <x:c r="M183" s="117" t="str">
        <x:v>RecordAfterSave</x:v>
      </x:c>
      <x:c r="N183" s="117"/>
      <x:c r="O183" s="117"/>
      <x:c r="P183" s="117" t="str"/>
      <x:c r="Q183" s="117" t="str">
        <x:v>61.0</x:v>
      </x:c>
      <x:c r="R183" s="117" t="str">
        <x:v>unmanaged</x:v>
      </x:c>
      <x:c r="S183" s="118" t="n">
        <x:v>1</x:v>
      </x:c>
      <x:c r="T183" s="118" t="n">
        <x:v>6</x:v>
      </x:c>
      <x:c r="U183" s="118" t="n">
        <x:v>2</x:v>
      </x:c>
      <x:c r="V183" s="118" t="n">
        <x:v>0</x:v>
      </x:c>
      <x:c r="W183" s="118" t="n">
        <x:v>0</x:v>
      </x:c>
      <x:c r="X183" s="118" t="n">
        <x:v>0</x:v>
      </x:c>
      <x:c r="Y183" s="118" t="n">
        <x:v>1</x:v>
      </x:c>
      <x:c r="Z183" s="117" t="str">
        <x:v>Isolated lane</x:v>
      </x:c>
      <x:c r="AA183" s="120" t="n">
        <x:v>45560.63333333333</x:v>
      </x:c>
      <x:c r="AB183" s="117" t="str">
        <x:v>Delegate</x:v>
      </x:c>
      <x:c r="AC183" s="119" t="str">
        <x:v>08/26/2024 (BW) - Sets the total amount on the credit memo from the line items</x:v>
      </x:c>
      <x:c r="AD183" s="119" t="str"/>
    </x:row>
    <x:row r="184" ht="34" customHeight="1">
      <x:c r="A184" s="117" t="str">
        <x:v>300Ro00000JlbywIAB</x:v>
      </x:c>
      <x:c r="B184" s="117" t="str">
        <x:v>Credit_Memo_Lines_Add_to_Credit_Memo</x:v>
      </x:c>
      <x:c r="C184" s="117" t="str">
        <x:v>Credit Memo Lines - Add to Credit Memo</x:v>
      </x:c>
      <x:c r="D184" s="117" t="str">
        <x:v>Yes</x:v>
      </x:c>
      <x:c r="E184" s="118" t="n">
        <x:v>7</x:v>
      </x:c>
      <x:c r="F184" s="118" t="n">
        <x:v>7</x:v>
      </x:c>
      <x:c r="G184" s="117" t="str">
        <x:v>Yes</x:v>
      </x:c>
      <x:c r="H184" s="119" t="str">
        <x:v>Active v7 (Retrieved XML)</x:v>
      </x:c>
      <x:c r="I184" s="117" t="str">
        <x:v>Flow</x:v>
      </x:c>
      <x:c r="J184" s="117" t="str"/>
      <x:c r="K184" s="117" t="str">
        <x:v>No</x:v>
      </x:c>
      <x:c r="L184" s="117" t="str"/>
      <x:c r="M184" s="117" t="str"/>
      <x:c r="N184" s="117"/>
      <x:c r="O184" s="117"/>
      <x:c r="P184" s="117" t="str"/>
      <x:c r="Q184" s="117" t="str">
        <x:v>59.0</x:v>
      </x:c>
      <x:c r="R184" s="117" t="str">
        <x:v>unmanaged</x:v>
      </x:c>
      <x:c r="S184" s="118" t="n">
        <x:v>7</x:v>
      </x:c>
      <x:c r="T184" s="118" t="n">
        <x:v>43</x:v>
      </x:c>
      <x:c r="U184" s="118" t="n">
        <x:v>6</x:v>
      </x:c>
      <x:c r="V184" s="118" t="n">
        <x:v>0</x:v>
      </x:c>
      <x:c r="W184" s="118" t="n">
        <x:v>0</x:v>
      </x:c>
      <x:c r="X184" s="118" t="n">
        <x:v>1</x:v>
      </x:c>
      <x:c r="Y184" s="118" t="n">
        <x:v>4</x:v>
      </x:c>
      <x:c r="Z184" s="117" t="str">
        <x:v>N/A</x:v>
      </x:c>
      <x:c r="AA184" s="120" t="n">
        <x:v>46135.79701388889</x:v>
      </x:c>
      <x:c r="AB184" s="117" t="str">
        <x:v>Delegate</x:v>
      </x:c>
      <x:c r="AC184" s="119" t="str">
        <x:v>04/23/2026 (BW) - Added 12800--Reserve Account to the manual intacct accounts area</x:v>
      </x:c>
      <x:c r="AD184" s="119" t="str">
        <x:v>High element count; Touches many objects</x:v>
      </x:c>
    </x:row>
    <x:row r="185" ht="34" customHeight="1">
      <x:c r="A185" s="117" t="str">
        <x:v>300Ro00000H0rLzIAJ</x:v>
      </x:c>
      <x:c r="B185" s="117" t="str">
        <x:v>Credit_Memo_Sync_Notification</x:v>
      </x:c>
      <x:c r="C185" s="117" t="str">
        <x:v>Credit Memo Sync Notification</x:v>
      </x:c>
      <x:c r="D185" s="117" t="str">
        <x:v>Yes</x:v>
      </x:c>
      <x:c r="E185" s="118" t="n">
        <x:v>9</x:v>
      </x:c>
      <x:c r="F185" s="118" t="n">
        <x:v>9</x:v>
      </x:c>
      <x:c r="G185" s="117" t="str">
        <x:v>Yes</x:v>
      </x:c>
      <x:c r="H185" s="119" t="str">
        <x:v>Active v9 (Retrieved XML)</x:v>
      </x:c>
      <x:c r="I185" s="117" t="str">
        <x:v>AutoLaunchedFlow</x:v>
      </x:c>
      <x:c r="J185" s="117" t="str">
        <x:v>Credit_Memo__c</x:v>
      </x:c>
      <x:c r="K185" s="117" t="str">
        <x:v>Yes</x:v>
      </x:c>
      <x:c r="L185" s="117" t="str">
        <x:v>CreateAndUpdate</x:v>
      </x:c>
      <x:c r="M185" s="117" t="str">
        <x:v>RecordAfterSave</x:v>
      </x:c>
      <x:c r="N185" s="117"/>
      <x:c r="O185" s="117"/>
      <x:c r="P185" s="117" t="str"/>
      <x:c r="Q185" s="117" t="str">
        <x:v>61.0</x:v>
      </x:c>
      <x:c r="R185" s="117" t="str">
        <x:v>unmanaged</x:v>
      </x:c>
      <x:c r="S185" s="118" t="n">
        <x:v>9</x:v>
      </x:c>
      <x:c r="T185" s="118" t="n">
        <x:v>8</x:v>
      </x:c>
      <x:c r="U185" s="118" t="n">
        <x:v>2</x:v>
      </x:c>
      <x:c r="V185" s="118" t="n">
        <x:v>0</x:v>
      </x:c>
      <x:c r="W185" s="118" t="n">
        <x:v>3</x:v>
      </x:c>
      <x:c r="X185" s="118" t="n">
        <x:v>0</x:v>
      </x:c>
      <x:c r="Y185" s="118" t="n">
        <x:v>1</x:v>
      </x:c>
      <x:c r="Z185" s="117" t="str">
        <x:v>Strong</x:v>
      </x:c>
      <x:c r="AA185" s="120" t="n">
        <x:v>45888.530856481484</x:v>
      </x:c>
      <x:c r="AB185" s="117" t="str">
        <x:v>Bill Hagarty</x:v>
      </x:c>
      <x:c r="AC185" s="119" t="str">
        <x:v>06/25/25  Removed CC Megan Maddox on Email notification.</x:v>
      </x:c>
      <x:c r="AD185" s="119" t="str"/>
    </x:row>
    <x:row r="186" ht="34" customHeight="1">
      <x:c r="A186" s="117" t="str">
        <x:v>300Ro00000fBX4MIAW</x:v>
      </x:c>
      <x:c r="B186" s="117" t="str">
        <x:v>Credit_Memo_Sync_Retry</x:v>
      </x:c>
      <x:c r="C186" s="117" t="str">
        <x:v>Credit Memo Sync Retry</x:v>
      </x:c>
      <x:c r="D186" s="117" t="str">
        <x:v>Yes</x:v>
      </x:c>
      <x:c r="E186" s="118" t="n">
        <x:v>2</x:v>
      </x:c>
      <x:c r="F186" s="118" t="n">
        <x:v>2</x:v>
      </x:c>
      <x:c r="G186" s="117" t="str">
        <x:v>Yes</x:v>
      </x:c>
      <x:c r="H186" s="119" t="str">
        <x:v>Active v2 (Retrieved XML)</x:v>
      </x:c>
      <x:c r="I186" s="117" t="str">
        <x:v>AutoLaunchedFlow</x:v>
      </x:c>
      <x:c r="J186" s="117" t="str">
        <x:v>Credit_Memo__c</x:v>
      </x:c>
      <x:c r="K186" s="117" t="str">
        <x:v>Yes</x:v>
      </x:c>
      <x:c r="L186" s="117" t="str">
        <x:v>Update</x:v>
      </x:c>
      <x:c r="M186" s="117" t="str">
        <x:v>RecordAfterSave</x:v>
      </x:c>
      <x:c r="N186" s="117"/>
      <x:c r="O186" s="117"/>
      <x:c r="P186" s="117" t="str"/>
      <x:c r="Q186" s="117" t="str">
        <x:v>64.0</x:v>
      </x:c>
      <x:c r="R186" s="117" t="str">
        <x:v>unmanaged</x:v>
      </x:c>
      <x:c r="S186" s="118" t="n">
        <x:v>2</x:v>
      </x:c>
      <x:c r="T186" s="118" t="n">
        <x:v>3</x:v>
      </x:c>
      <x:c r="U186" s="118" t="n">
        <x:v>1</x:v>
      </x:c>
      <x:c r="V186" s="118" t="n">
        <x:v>0</x:v>
      </x:c>
      <x:c r="W186" s="118" t="n">
        <x:v>0</x:v>
      </x:c>
      <x:c r="X186" s="118" t="n">
        <x:v>0</x:v>
      </x:c>
      <x:c r="Y186" s="118" t="n">
        <x:v>1</x:v>
      </x:c>
      <x:c r="Z186" s="117" t="str">
        <x:v>Review</x:v>
      </x:c>
      <x:c r="AA186" s="120" t="n">
        <x:v>45954.48789351852</x:v>
      </x:c>
      <x:c r="AB186" s="117" t="str">
        <x:v>Delegate</x:v>
      </x:c>
      <x:c r="AC186" s="119" t="str">
        <x:v>When Credit Memo Intacct Sync fails, this flow will retry sync every 48 hours, for 5 attempts.</x:v>
      </x:c>
      <x:c r="AD186" s="119" t="str"/>
    </x:row>
    <x:row r="187" ht="34" customHeight="1">
      <x:c r="A187" s="117" t="str">
        <x:v>300Ro00000Pz0kfIAB</x:v>
      </x:c>
      <x:c r="B187" s="117" t="str">
        <x:v>CT_Checklist</x:v>
      </x:c>
      <x:c r="C187" s="117" t="str">
        <x:v>CT Checklist</x:v>
      </x:c>
      <x:c r="D187" s="117" t="str">
        <x:v>Yes</x:v>
      </x:c>
      <x:c r="E187" s="118" t="n">
        <x:v>7</x:v>
      </x:c>
      <x:c r="F187" s="118" t="n">
        <x:v>7</x:v>
      </x:c>
      <x:c r="G187" s="117" t="str">
        <x:v>Yes</x:v>
      </x:c>
      <x:c r="H187" s="119" t="str">
        <x:v>Active v7 (Retrieved XML)</x:v>
      </x:c>
      <x:c r="I187" s="117" t="str">
        <x:v>FieldServiceMobile</x:v>
      </x:c>
      <x:c r="J187" s="117" t="str"/>
      <x:c r="K187" s="117" t="str">
        <x:v>No</x:v>
      </x:c>
      <x:c r="L187" s="117" t="str"/>
      <x:c r="M187" s="117" t="str"/>
      <x:c r="N187" s="117"/>
      <x:c r="O187" s="117"/>
      <x:c r="P187" s="117" t="str"/>
      <x:c r="Q187" s="117"/>
      <x:c r="R187" s="117" t="str">
        <x:v>unmanaged</x:v>
      </x:c>
      <x:c r="S187" s="118" t="n">
        <x:v>7</x:v>
      </x:c>
      <x:c r="T187" s="118" t="n">
        <x:v>17</x:v>
      </x:c>
      <x:c r="U187" s="118" t="n">
        <x:v>3</x:v>
      </x:c>
      <x:c r="V187" s="118" t="n">
        <x:v>0</x:v>
      </x:c>
      <x:c r="W187" s="118" t="n">
        <x:v>0</x:v>
      </x:c>
      <x:c r="X187" s="118" t="n">
        <x:v>0</x:v>
      </x:c>
      <x:c r="Y187" s="118" t="n">
        <x:v>3</x:v>
      </x:c>
      <x:c r="Z187" s="117" t="str">
        <x:v>N/A</x:v>
      </x:c>
      <x:c r="AA187" s="120" t="n">
        <x:v>46072.4671875</x:v>
      </x:c>
      <x:c r="AB187" s="117" t="str">
        <x:v>Sacha Pearce</x:v>
      </x:c>
      <x:c r="AC187" s="119" t="str">
        <x:v>04/03/2025 (BW) - Updated the way this calculates to utilize the newer methodology
01/14/2025 - V5 - SP - Updating to store entries into specific fields and trigger the formmatted HTML generation Flow
23/01/2025 - V6 - SP - Updating to include the "CT Checklist Complete Screen"</x:v>
      </x:c>
      <x:c r="AD187" s="119" t="str"/>
    </x:row>
    <x:row r="188" ht="34" customHeight="1">
      <x:c r="A188" s="117" t="str">
        <x:v>3005b000000H3HjAAK</x:v>
      </x:c>
      <x:c r="B188" s="117" t="str">
        <x:v>Custom_Payment_Flow</x:v>
      </x:c>
      <x:c r="C188" s="117" t="str">
        <x:v>Custom Payment Flow</x:v>
      </x:c>
      <x:c r="D188" s="117" t="str">
        <x:v>Yes</x:v>
      </x:c>
      <x:c r="E188" s="118" t="n">
        <x:v>15</x:v>
      </x:c>
      <x:c r="F188" s="118" t="n">
        <x:v>15</x:v>
      </x:c>
      <x:c r="G188" s="117" t="str">
        <x:v>Yes</x:v>
      </x:c>
      <x:c r="H188" s="119" t="str">
        <x:v>Active v15 (Retrieved XML)</x:v>
      </x:c>
      <x:c r="I188" s="117" t="str">
        <x:v>Flow</x:v>
      </x:c>
      <x:c r="J188" s="117" t="str"/>
      <x:c r="K188" s="117" t="str">
        <x:v>No</x:v>
      </x:c>
      <x:c r="L188" s="117" t="str"/>
      <x:c r="M188" s="117" t="str"/>
      <x:c r="N188" s="117"/>
      <x:c r="O188" s="117"/>
      <x:c r="P188" s="117" t="str"/>
      <x:c r="Q188" s="117" t="str">
        <x:v>53.0</x:v>
      </x:c>
      <x:c r="R188" s="117" t="str">
        <x:v>unmanaged</x:v>
      </x:c>
      <x:c r="S188" s="118" t="n">
        <x:v>15</x:v>
      </x:c>
      <x:c r="T188" s="118" t="n">
        <x:v>8</x:v>
      </x:c>
      <x:c r="U188" s="118" t="n">
        <x:v>4</x:v>
      </x:c>
      <x:c r="V188" s="118" t="n">
        <x:v>0</x:v>
      </x:c>
      <x:c r="W188" s="118" t="n">
        <x:v>0</x:v>
      </x:c>
      <x:c r="X188" s="118" t="n">
        <x:v>0</x:v>
      </x:c>
      <x:c r="Y188" s="118" t="n">
        <x:v>2</x:v>
      </x:c>
      <x:c r="Z188" s="117" t="str">
        <x:v>N/A</x:v>
      </x:c>
      <x:c r="AA188" s="120" t="n">
        <x:v>45125.560960648145</x:v>
      </x:c>
      <x:c r="AB188" s="117" t="str">
        <x:v>Delegate</x:v>
      </x:c>
      <x:c r="AC188" s="119" t="str">
        <x:v>07/18/23 (BW) - Added Total Invoice Amount &amp; Services Fee addition to creation of the transaction record. These will be used in the Workato to split the payment to 2 different accounts.</x:v>
      </x:c>
      <x:c r="AD188" s="119" t="str">
        <x:v>Touches many objects</x:v>
      </x:c>
    </x:row>
    <x:row r="189" ht="34" customHeight="1">
      <x:c r="A189" s="117" t="str">
        <x:v>300Ro00000kKs8KIAS</x:v>
      </x:c>
      <x:c r="B189" s="117" t="str">
        <x:v>Customer_Receipt</x:v>
      </x:c>
      <x:c r="C189" s="117" t="str">
        <x:v>Customer Receipt</x:v>
      </x:c>
      <x:c r="D189" s="117" t="str">
        <x:v>No</x:v>
      </x:c>
      <x:c r="E189" s="118"/>
      <x:c r="F189" s="118" t="n">
        <x:v>1</x:v>
      </x:c>
      <x:c r="G189" s="117" t="str">
        <x:v>N/A</x:v>
      </x:c>
      <x:c r="H189" s="119" t="str">
        <x:v>Latest inactive v1 (Tooling metadata)</x:v>
      </x:c>
      <x:c r="I189" s="117" t="str">
        <x:v>AutoLaunchedFlow</x:v>
      </x:c>
      <x:c r="J189" s="117" t="str"/>
      <x:c r="K189" s="117" t="str">
        <x:v>No</x:v>
      </x:c>
      <x:c r="L189" s="117" t="str"/>
      <x:c r="M189" s="117" t="str"/>
      <x:c r="N189" s="117"/>
      <x:c r="O189" s="117"/>
      <x:c r="P189" s="117" t="str"/>
      <x:c r="Q189" s="117" t="n">
        <x:v>64</x:v>
      </x:c>
      <x:c r="R189" s="117" t="str">
        <x:v>installed</x:v>
      </x:c>
      <x:c r="S189" s="118" t="n">
        <x:v>1</x:v>
      </x:c>
      <x:c r="T189" s="118" t="n">
        <x:v>0</x:v>
      </x:c>
      <x:c r="U189" s="118" t="n">
        <x:v>0</x:v>
      </x:c>
      <x:c r="V189" s="118" t="n">
        <x:v>0</x:v>
      </x:c>
      <x:c r="W189" s="118" t="n">
        <x:v>0</x:v>
      </x:c>
      <x:c r="X189" s="118" t="n">
        <x:v>0</x:v>
      </x:c>
      <x:c r="Y189" s="118" t="n">
        <x:v>1</x:v>
      </x:c>
      <x:c r="Z189" s="117" t="str">
        <x:v>N/A</x:v>
      </x:c>
      <x:c r="AA189" s="120" t="n">
        <x:v>45965.977743055555</x:v>
      </x:c>
      <x:c r="AB189" s="117" t="str"/>
      <x:c r="AC189" s="119" t="str">
        <x:v>This rule fires on successful Chargent payment transactions.</x:v>
      </x:c>
      <x:c r="AD189" s="119" t="str"/>
    </x:row>
    <x:row r="190" ht="34" customHeight="1">
      <x:c r="A190" s="117" t="str">
        <x:v>3004O000000XgYBQA0</x:v>
      </x:c>
      <x:c r="B190" s="117" t="str">
        <x:v>Customer_Satisfaction_Survey</x:v>
      </x:c>
      <x:c r="C190" s="117" t="str">
        <x:v>Customer Satisfaction Survey</x:v>
      </x:c>
      <x:c r="D190" s="117" t="str">
        <x:v>No</x:v>
      </x:c>
      <x:c r="E190" s="118"/>
      <x:c r="F190" s="118" t="n">
        <x:v>1</x:v>
      </x:c>
      <x:c r="G190" s="117" t="str">
        <x:v>N/A</x:v>
      </x:c>
      <x:c r="H190" s="119" t="str">
        <x:v>Latest inactive v1 (Retrieved XML)</x:v>
      </x:c>
      <x:c r="I190" s="117" t="str">
        <x:v>Workflow</x:v>
      </x:c>
      <x:c r="J190" s="117" t="str"/>
      <x:c r="K190" s="117" t="str">
        <x:v>No</x:v>
      </x:c>
      <x:c r="L190" s="117" t="str"/>
      <x:c r="M190" s="117" t="str"/>
      <x:c r="N190" s="117"/>
      <x:c r="O190" s="117"/>
      <x:c r="P190" s="117" t="str"/>
      <x:c r="Q190" s="117" t="str">
        <x:v>49.0</x:v>
      </x:c>
      <x:c r="R190" s="117" t="str">
        <x:v>unmanaged</x:v>
      </x:c>
      <x:c r="S190" s="118" t="n">
        <x:v>1</x:v>
      </x:c>
      <x:c r="T190" s="118" t="n">
        <x:v>1</x:v>
      </x:c>
      <x:c r="U190" s="118" t="n">
        <x:v>0</x:v>
      </x:c>
      <x:c r="V190" s="118" t="n">
        <x:v>0</x:v>
      </x:c>
      <x:c r="W190" s="118" t="n">
        <x:v>0</x:v>
      </x:c>
      <x:c r="X190" s="118" t="n">
        <x:v>0</x:v>
      </x:c>
      <x:c r="Y190" s="118" t="n">
        <x:v>1</x:v>
      </x:c>
      <x:c r="Z190" s="117" t="str">
        <x:v>N/A</x:v>
      </x:c>
      <x:c r="AA190" s="120" t="n">
        <x:v>43997.85076388889</x:v>
      </x:c>
      <x:c r="AB190" s="117" t="str">
        <x:v>Trent VanEmon</x:v>
      </x:c>
      <x:c r="AC190" s="119" t="str"/>
      <x:c r="AD190" s="119" t="str"/>
    </x:row>
    <x:row r="191" ht="34" customHeight="1">
      <x:c r="A191" s="117" t="str">
        <x:v>300Ro00000VTASAIA5</x:v>
      </x:c>
      <x:c r="B191" s="117" t="str">
        <x:v>Daily_Update_Scheduled_Jobs_for_Today_to_Dispatched</x:v>
      </x:c>
      <x:c r="C191" s="117" t="str">
        <x:v>Daily: Update Scheduled Jobs for Today to Dispatched</x:v>
      </x:c>
      <x:c r="D191" s="117" t="str">
        <x:v>Yes</x:v>
      </x:c>
      <x:c r="E191" s="118" t="n">
        <x:v>1</x:v>
      </x:c>
      <x:c r="F191" s="118" t="n">
        <x:v>1</x:v>
      </x:c>
      <x:c r="G191" s="117" t="str">
        <x:v>Yes</x:v>
      </x:c>
      <x:c r="H191" s="119" t="str">
        <x:v>Active v1 (Retrieved XML)</x:v>
      </x:c>
      <x:c r="I191" s="117" t="str">
        <x:v>AutoLaunchedFlow</x:v>
      </x:c>
      <x:c r="J191" s="117" t="str">
        <x:v>ServiceAppointment</x:v>
      </x:c>
      <x:c r="K191" s="117" t="str">
        <x:v>Yes</x:v>
      </x:c>
      <x:c r="L191" s="117" t="str"/>
      <x:c r="M191" s="117" t="str">
        <x:v>Scheduled</x:v>
      </x:c>
      <x:c r="N191" s="117"/>
      <x:c r="O191" s="117"/>
      <x:c r="P191" s="117" t="str">
        <x:v>Daily</x:v>
      </x:c>
      <x:c r="Q191" s="117" t="str">
        <x:v>63.0</x:v>
      </x:c>
      <x:c r="R191" s="117" t="str">
        <x:v>unmanaged</x:v>
      </x:c>
      <x:c r="S191" s="118" t="n">
        <x:v>1</x:v>
      </x:c>
      <x:c r="T191" s="118" t="n">
        <x:v>3</x:v>
      </x:c>
      <x:c r="U191" s="118" t="n">
        <x:v>1</x:v>
      </x:c>
      <x:c r="V191" s="118" t="n">
        <x:v>0</x:v>
      </x:c>
      <x:c r="W191" s="118" t="n">
        <x:v>0</x:v>
      </x:c>
      <x:c r="X191" s="118" t="n">
        <x:v>0</x:v>
      </x:c>
      <x:c r="Y191" s="118" t="n">
        <x:v>1</x:v>
      </x:c>
      <x:c r="Z191" s="117" t="str">
        <x:v>Review</x:v>
      </x:c>
      <x:c r="AA191" s="120" t="n">
        <x:v>45784.53640046297</x:v>
      </x:c>
      <x:c r="AB191" s="117" t="str">
        <x:v>Delegate</x:v>
      </x:c>
      <x:c r="AC191" s="119" t="str">
        <x:v>05/07/2025 (BW) - Updates the scheduled service appointments for today to dispatched</x:v>
      </x:c>
      <x:c r="AD191" s="119" t="str"/>
    </x:row>
    <x:row r="192" ht="34" customHeight="1">
      <x:c r="A192" s="117" t="str">
        <x:v>3005b00000113a9AAA</x:v>
      </x:c>
      <x:c r="B192" s="117" t="str">
        <x:v>Datatable_Configuration_Wizard5</x:v>
      </x:c>
      <x:c r="C192" s="117" t="str">
        <x:v>Datatable Configuration Wizard</x:v>
      </x:c>
      <x:c r="D192" s="117" t="str">
        <x:v>Yes</x:v>
      </x:c>
      <x:c r="E192" s="118" t="n">
        <x:v>1</x:v>
      </x:c>
      <x:c r="F192" s="118" t="n">
        <x:v>1</x:v>
      </x:c>
      <x:c r="G192" s="117" t="str">
        <x:v>Yes</x:v>
      </x:c>
      <x:c r="H192" s="119" t="str">
        <x:v>Active v1 (Tooling metadata)</x:v>
      </x:c>
      <x:c r="I192" s="117" t="str">
        <x:v>Flow</x:v>
      </x:c>
      <x:c r="J192" s="117" t="str"/>
      <x:c r="K192" s="117" t="str">
        <x:v>No</x:v>
      </x:c>
      <x:c r="L192" s="117" t="str"/>
      <x:c r="M192" s="117" t="str"/>
      <x:c r="N192" s="117"/>
      <x:c r="O192" s="117"/>
      <x:c r="P192" s="117" t="str"/>
      <x:c r="Q192" s="117" t="n">
        <x:v>57</x:v>
      </x:c>
      <x:c r="R192" s="117" t="str">
        <x:v>unmanaged</x:v>
      </x:c>
      <x:c r="S192" s="118" t="n">
        <x:v>1</x:v>
      </x:c>
      <x:c r="T192" s="118" t="n">
        <x:v>49</x:v>
      </x:c>
      <x:c r="U192" s="118" t="n">
        <x:v>1</x:v>
      </x:c>
      <x:c r="V192" s="118" t="n">
        <x:v>0</x:v>
      </x:c>
      <x:c r="W192" s="118" t="n">
        <x:v>5</x:v>
      </x:c>
      <x:c r="X192" s="118" t="n">
        <x:v>5</x:v>
      </x:c>
      <x:c r="Y192" s="118" t="n">
        <x:v>4</x:v>
      </x:c>
      <x:c r="Z192" s="117" t="str">
        <x:v>N/A</x:v>
      </x:c>
      <x:c r="AA192" s="120" t="n">
        <x:v>45243.79630787037</x:v>
      </x:c>
      <x:c r="AB192" s="117" t="str">
        <x:v>Delegate</x:v>
      </x:c>
      <x:c r="AC192" s="119" t="str">
        <x:v>Flow designed to run inside of the datatable CPE to select and set component attributes by interacting with a sample datatable.</x:v>
      </x:c>
      <x:c r="AD192" s="119" t="str">
        <x:v>High element count</x:v>
      </x:c>
    </x:row>
    <x:row r="193" ht="34" customHeight="1">
      <x:c r="A193" s="117" t="str">
        <x:v>300Ro00000PEeQbIAL</x:v>
      </x:c>
      <x:c r="B193" s="117" t="str">
        <x:v>Dated_Exchange_Rates_Call_XE_API_for_Daily_Rates</x:v>
      </x:c>
      <x:c r="C193" s="117" t="str">
        <x:v>Dated Exchange Rates: Call XE API for Daily Rates</x:v>
      </x:c>
      <x:c r="D193" s="117" t="str">
        <x:v>Yes</x:v>
      </x:c>
      <x:c r="E193" s="118" t="n">
        <x:v>3</x:v>
      </x:c>
      <x:c r="F193" s="118" t="n">
        <x:v>3</x:v>
      </x:c>
      <x:c r="G193" s="117" t="str">
        <x:v>Yes</x:v>
      </x:c>
      <x:c r="H193" s="119" t="str">
        <x:v>Active v3 (Retrieved XML)</x:v>
      </x:c>
      <x:c r="I193" s="117" t="str">
        <x:v>AutoLaunchedFlow</x:v>
      </x:c>
      <x:c r="J193" s="117" t="str"/>
      <x:c r="K193" s="117" t="str">
        <x:v>No</x:v>
      </x:c>
      <x:c r="L193" s="117" t="str"/>
      <x:c r="M193" s="117" t="str">
        <x:v>Scheduled</x:v>
      </x:c>
      <x:c r="N193" s="117"/>
      <x:c r="O193" s="117"/>
      <x:c r="P193" s="117" t="str">
        <x:v>Daily</x:v>
      </x:c>
      <x:c r="Q193" s="117" t="str">
        <x:v>62.0</x:v>
      </x:c>
      <x:c r="R193" s="117" t="str">
        <x:v>unmanaged</x:v>
      </x:c>
      <x:c r="S193" s="118" t="n">
        <x:v>3</x:v>
      </x:c>
      <x:c r="T193" s="118" t="n">
        <x:v>8</x:v>
      </x:c>
      <x:c r="U193" s="118" t="n">
        <x:v>2</x:v>
      </x:c>
      <x:c r="V193" s="118" t="n">
        <x:v>0</x:v>
      </x:c>
      <x:c r="W193" s="118" t="n">
        <x:v>1</x:v>
      </x:c>
      <x:c r="X193" s="118" t="n">
        <x:v>0</x:v>
      </x:c>
      <x:c r="Y193" s="118" t="n">
        <x:v>1</x:v>
      </x:c>
      <x:c r="Z193" s="117" t="str">
        <x:v>N/A</x:v>
      </x:c>
      <x:c r="AA193" s="120" t="n">
        <x:v>46064.90940972222</x:v>
      </x:c>
      <x:c r="AB193" s="117" t="str">
        <x:v>Delegate</x:v>
      </x:c>
      <x:c r="AC193" s="119" t="str">
        <x:v>It uses HTTP Callout to get all active exchange rates for the org for the current day. Always converts from USD to whichever currency.
This flow does not consider the corporate currency for any updates.</x:v>
      </x:c>
      <x:c r="AD193" s="119" t="str"/>
    </x:row>
    <x:row r="194" ht="34" customHeight="1">
      <x:c r="A194" s="117" t="str">
        <x:v>300Ro000006NPyMIAW</x:v>
      </x:c>
      <x:c r="B194" s="117" t="str">
        <x:v>Davis_Medical_Shipping_Email_Alert_Flow</x:v>
      </x:c>
      <x:c r="C194" s="117" t="str">
        <x:v>Davis Medical Shipping Email Alert Flow</x:v>
      </x:c>
      <x:c r="D194" s="117" t="str">
        <x:v>Yes</x:v>
      </x:c>
      <x:c r="E194" s="118" t="n">
        <x:v>3</x:v>
      </x:c>
      <x:c r="F194" s="118" t="n">
        <x:v>3</x:v>
      </x:c>
      <x:c r="G194" s="117" t="str">
        <x:v>Yes</x:v>
      </x:c>
      <x:c r="H194" s="119" t="str">
        <x:v>Active v3 (Retrieved XML)</x:v>
      </x:c>
      <x:c r="I194" s="117" t="str">
        <x:v>AutoLaunchedFlow</x:v>
      </x:c>
      <x:c r="J194" s="117" t="str">
        <x:v>Opportunity</x:v>
      </x:c>
      <x:c r="K194" s="117" t="str">
        <x:v>Yes</x:v>
      </x:c>
      <x:c r="L194" s="117" t="str">
        <x:v>Update</x:v>
      </x:c>
      <x:c r="M194" s="117" t="str">
        <x:v>RecordAfterSave</x:v>
      </x:c>
      <x:c r="N194" s="117"/>
      <x:c r="O194" s="117"/>
      <x:c r="P194" s="117" t="str"/>
      <x:c r="Q194" s="117" t="str">
        <x:v>59.0</x:v>
      </x:c>
      <x:c r="R194" s="117" t="str">
        <x:v>unmanaged</x:v>
      </x:c>
      <x:c r="S194" s="118" t="n">
        <x:v>3</x:v>
      </x:c>
      <x:c r="T194" s="118" t="n">
        <x:v>3</x:v>
      </x:c>
      <x:c r="U194" s="118" t="n">
        <x:v>1</x:v>
      </x:c>
      <x:c r="V194" s="118" t="n">
        <x:v>0</x:v>
      </x:c>
      <x:c r="W194" s="118" t="n">
        <x:v>1</x:v>
      </x:c>
      <x:c r="X194" s="118" t="n">
        <x:v>0</x:v>
      </x:c>
      <x:c r="Y194" s="118" t="n">
        <x:v>1</x:v>
      </x:c>
      <x:c r="Z194" s="117" t="str">
        <x:v>Strong</x:v>
      </x:c>
      <x:c r="AA194" s="120" t="n">
        <x:v>46009.910949074074</x:v>
      </x:c>
      <x:c r="AB194" s="117" t="str">
        <x:v>Steve Dodd</x:v>
      </x:c>
      <x:c r="AC194" s="119" t="str"/>
      <x:c r="AD194" s="119" t="str">
        <x:v>Active flow has no description</x:v>
      </x:c>
    </x:row>
    <x:row r="195" ht="34" customHeight="1">
      <x:c r="A195" s="117" t="str">
        <x:v>3004O000000LOr8QAG</x:v>
      </x:c>
      <x:c r="B195" s="117" t="str">
        <x:v>Debit_Memo_Update</x:v>
      </x:c>
      <x:c r="C195" s="117" t="str">
        <x:v>Debit Memo Update</x:v>
      </x:c>
      <x:c r="D195" s="117" t="str">
        <x:v>No</x:v>
      </x:c>
      <x:c r="E195" s="118"/>
      <x:c r="F195" s="118" t="n">
        <x:v>2</x:v>
      </x:c>
      <x:c r="G195" s="117" t="str">
        <x:v>N/A</x:v>
      </x:c>
      <x:c r="H195" s="119" t="str">
        <x:v>Latest inactive v2 (Retrieved XML)</x:v>
      </x:c>
      <x:c r="I195" s="117" t="str">
        <x:v>Workflow</x:v>
      </x:c>
      <x:c r="J195" s="117" t="str"/>
      <x:c r="K195" s="117" t="str">
        <x:v>No</x:v>
      </x:c>
      <x:c r="L195" s="117" t="str"/>
      <x:c r="M195" s="117" t="str"/>
      <x:c r="N195" s="117"/>
      <x:c r="O195" s="117"/>
      <x:c r="P195" s="117" t="str"/>
      <x:c r="Q195" s="117" t="str">
        <x:v>50.0</x:v>
      </x:c>
      <x:c r="R195" s="117" t="str">
        <x:v>unmanaged</x:v>
      </x:c>
      <x:c r="S195" s="118" t="n">
        <x:v>2</x:v>
      </x:c>
      <x:c r="T195" s="118" t="n">
        <x:v>2</x:v>
      </x:c>
      <x:c r="U195" s="118" t="n">
        <x:v>1</x:v>
      </x:c>
      <x:c r="V195" s="118" t="n">
        <x:v>0</x:v>
      </x:c>
      <x:c r="W195" s="118" t="n">
        <x:v>0</x:v>
      </x:c>
      <x:c r="X195" s="118" t="n">
        <x:v>0</x:v>
      </x:c>
      <x:c r="Y195" s="118" t="n">
        <x:v>1</x:v>
      </x:c>
      <x:c r="Z195" s="117" t="str">
        <x:v>N/A</x:v>
      </x:c>
      <x:c r="AA195" s="120" t="n">
        <x:v>45600.20055555556</x:v>
      </x:c>
      <x:c r="AB195" s="117" t="str">
        <x:v>Delegate</x:v>
      </x:c>
      <x:c r="AC195" s="119" t="str"/>
      <x:c r="AD195" s="119" t="str"/>
    </x:row>
    <x:row r="196" ht="34" customHeight="1">
      <x:c r="A196" s="117" t="str">
        <x:v>300Ro000007doaUIAQ</x:v>
      </x:c>
      <x:c r="B196" s="117" t="str">
        <x:v>Debit_Memos_Rollup</x:v>
      </x:c>
      <x:c r="C196" s="117" t="str">
        <x:v>Debit Memos Rollup</x:v>
      </x:c>
      <x:c r="D196" s="117" t="str">
        <x:v>Yes</x:v>
      </x:c>
      <x:c r="E196" s="118" t="n">
        <x:v>1</x:v>
      </x:c>
      <x:c r="F196" s="118" t="n">
        <x:v>1</x:v>
      </x:c>
      <x:c r="G196" s="117" t="str">
        <x:v>Yes</x:v>
      </x:c>
      <x:c r="H196" s="119" t="str">
        <x:v>Active v1 (Retrieved XML)</x:v>
      </x:c>
      <x:c r="I196" s="117" t="str">
        <x:v>AutoLaunchedFlow</x:v>
      </x:c>
      <x:c r="J196" s="117" t="str">
        <x:v>Debit_Memos__c</x:v>
      </x:c>
      <x:c r="K196" s="117" t="str">
        <x:v>Yes</x:v>
      </x:c>
      <x:c r="L196" s="117" t="str">
        <x:v>CreateAndUpdate</x:v>
      </x:c>
      <x:c r="M196" s="117" t="str">
        <x:v>RecordAfterSave</x:v>
      </x:c>
      <x:c r="N196" s="117"/>
      <x:c r="O196" s="117"/>
      <x:c r="P196" s="117" t="str"/>
      <x:c r="Q196" s="117" t="str">
        <x:v>57.0</x:v>
      </x:c>
      <x:c r="R196" s="117" t="str">
        <x:v>unmanaged</x:v>
      </x:c>
      <x:c r="S196" s="118" t="n">
        <x:v>1</x:v>
      </x:c>
      <x:c r="T196" s="118" t="n">
        <x:v>6</x:v>
      </x:c>
      <x:c r="U196" s="118" t="n">
        <x:v>2</x:v>
      </x:c>
      <x:c r="V196" s="118" t="n">
        <x:v>0</x:v>
      </x:c>
      <x:c r="W196" s="118" t="n">
        <x:v>0</x:v>
      </x:c>
      <x:c r="X196" s="118" t="n">
        <x:v>0</x:v>
      </x:c>
      <x:c r="Y196" s="118" t="n">
        <x:v>1</x:v>
      </x:c>
      <x:c r="Z196" s="117" t="str">
        <x:v>Review</x:v>
      </x:c>
      <x:c r="AA196" s="120" t="n">
        <x:v>45618.034050925926</x:v>
      </x:c>
      <x:c r="AB196" s="117" t="str">
        <x:v>Delegate</x:v>
      </x:c>
      <x:c r="AC196" s="119" t="str"/>
      <x:c r="AD196" s="119" t="str">
        <x:v>Active flow has no description</x:v>
      </x:c>
    </x:row>
    <x:row r="197" ht="34" customHeight="1">
      <x:c r="A197" s="117" t="str">
        <x:v>300Ro00000kCnFSIA0</x:v>
      </x:c>
      <x:c r="B197" s="117" t="str">
        <x:v>Delete_Event_Autolaunched_Flow</x:v>
      </x:c>
      <x:c r="C197" s="117" t="str">
        <x:v>Delete Event Autolaunched Flow</x:v>
      </x:c>
      <x:c r="D197" s="117" t="str">
        <x:v>No</x:v>
      </x:c>
      <x:c r="E197" s="118"/>
      <x:c r="F197" s="118" t="n">
        <x:v>1</x:v>
      </x:c>
      <x:c r="G197" s="117" t="str">
        <x:v>N/A</x:v>
      </x:c>
      <x:c r="H197" s="119" t="str">
        <x:v>Latest inactive v1 (Retrieved XML)</x:v>
      </x:c>
      <x:c r="I197" s="117" t="str">
        <x:v>AutoLaunchedFlow</x:v>
      </x:c>
      <x:c r="J197" s="117" t="str"/>
      <x:c r="K197" s="117" t="str">
        <x:v>No</x:v>
      </x:c>
      <x:c r="L197" s="117" t="str"/>
      <x:c r="M197" s="117" t="str"/>
      <x:c r="N197" s="117"/>
      <x:c r="O197" s="117"/>
      <x:c r="P197" s="117" t="str"/>
      <x:c r="Q197" s="117" t="str">
        <x:v>65.0</x:v>
      </x:c>
      <x:c r="R197" s="117" t="str">
        <x:v>unmanaged</x:v>
      </x:c>
      <x:c r="S197" s="118" t="n">
        <x:v>1</x:v>
      </x:c>
      <x:c r="T197" s="118" t="n">
        <x:v>3</x:v>
      </x:c>
      <x:c r="U197" s="118" t="n">
        <x:v>1</x:v>
      </x:c>
      <x:c r="V197" s="118" t="n">
        <x:v>0</x:v>
      </x:c>
      <x:c r="W197" s="118" t="n">
        <x:v>0</x:v>
      </x:c>
      <x:c r="X197" s="118" t="n">
        <x:v>0</x:v>
      </x:c>
      <x:c r="Y197" s="118" t="n">
        <x:v>1</x:v>
      </x:c>
      <x:c r="Z197" s="117" t="str">
        <x:v>N/A</x:v>
      </x:c>
      <x:c r="AA197" s="120" t="n">
        <x:v>45989.40107638889</x:v>
      </x:c>
      <x:c r="AB197" s="117" t="str">
        <x:v>Sacha Pearce</x:v>
      </x:c>
      <x:c r="AC197" s="119" t="str">
        <x:v>03/11/2025 - SP - This Flow is to be triggered when Service Appointments are moved to "Scheduled" from "Dispatched" to delete the related Event and subsequent Outlook Calendar Appointment.</x:v>
      </x:c>
      <x:c r="AD197" s="119" t="str"/>
    </x:row>
    <x:row r="198" ht="34" customHeight="1">
      <x:c r="A198" s="117" t="str">
        <x:v>3005b000000PzHaAAK</x:v>
      </x:c>
      <x:c r="B198" s="117" t="str">
        <x:v>Delete_Select_Products_from_Opportunity_Screen_Flow</x:v>
      </x:c>
      <x:c r="C198" s="117" t="str">
        <x:v>Delete Select Products from Opportunity Screen Flow</x:v>
      </x:c>
      <x:c r="D198" s="117" t="str">
        <x:v>Yes</x:v>
      </x:c>
      <x:c r="E198" s="118" t="n">
        <x:v>1</x:v>
      </x:c>
      <x:c r="F198" s="118" t="n">
        <x:v>1</x:v>
      </x:c>
      <x:c r="G198" s="117" t="str">
        <x:v>Yes</x:v>
      </x:c>
      <x:c r="H198" s="119" t="str">
        <x:v>Active v1 (Retrieved XML)</x:v>
      </x:c>
      <x:c r="I198" s="117" t="str">
        <x:v>Flow</x:v>
      </x:c>
      <x:c r="J198" s="117" t="str"/>
      <x:c r="K198" s="117" t="str">
        <x:v>No</x:v>
      </x:c>
      <x:c r="L198" s="117" t="str"/>
      <x:c r="M198" s="117" t="str"/>
      <x:c r="N198" s="117"/>
      <x:c r="O198" s="117"/>
      <x:c r="P198" s="117" t="str"/>
      <x:c r="Q198" s="117" t="str">
        <x:v>57.0</x:v>
      </x:c>
      <x:c r="R198" s="117" t="str">
        <x:v>unmanaged</x:v>
      </x:c>
      <x:c r="S198" s="118" t="n">
        <x:v>1</x:v>
      </x:c>
      <x:c r="T198" s="118" t="n">
        <x:v>5</x:v>
      </x:c>
      <x:c r="U198" s="118" t="n">
        <x:v>1</x:v>
      </x:c>
      <x:c r="V198" s="118" t="n">
        <x:v>0</x:v>
      </x:c>
      <x:c r="W198" s="118" t="n">
        <x:v>0</x:v>
      </x:c>
      <x:c r="X198" s="118" t="n">
        <x:v>1</x:v>
      </x:c>
      <x:c r="Y198" s="118" t="n">
        <x:v>1</x:v>
      </x:c>
      <x:c r="Z198" s="117" t="str">
        <x:v>N/A</x:v>
      </x:c>
      <x:c r="AA198" s="120" t="n">
        <x:v>45030.80793981482</x:v>
      </x:c>
      <x:c r="AB198" s="117" t="str">
        <x:v>Jace Gentil</x:v>
      </x:c>
      <x:c r="AC198" s="119" t="str"/>
      <x:c r="AD198" s="119" t="str">
        <x:v>Active flow has no description</x:v>
      </x:c>
    </x:row>
    <x:row r="199" ht="34" customHeight="1">
      <x:c r="A199" s="117" t="str">
        <x:v>300Ro00000Pz0kkIAB</x:v>
      </x:c>
      <x:c r="B199" s="117" t="str">
        <x:v>Dental_Checklist</x:v>
      </x:c>
      <x:c r="C199" s="117" t="str">
        <x:v>Dental Checklist</x:v>
      </x:c>
      <x:c r="D199" s="117" t="str">
        <x:v>Yes</x:v>
      </x:c>
      <x:c r="E199" s="118" t="n">
        <x:v>8</x:v>
      </x:c>
      <x:c r="F199" s="118" t="n">
        <x:v>8</x:v>
      </x:c>
      <x:c r="G199" s="117" t="str">
        <x:v>Yes</x:v>
      </x:c>
      <x:c r="H199" s="119" t="str">
        <x:v>Active v8 (Retrieved XML)</x:v>
      </x:c>
      <x:c r="I199" s="117" t="str">
        <x:v>FieldServiceMobile</x:v>
      </x:c>
      <x:c r="J199" s="117" t="str"/>
      <x:c r="K199" s="117" t="str">
        <x:v>No</x:v>
      </x:c>
      <x:c r="L199" s="117" t="str"/>
      <x:c r="M199" s="117" t="str"/>
      <x:c r="N199" s="117"/>
      <x:c r="O199" s="117"/>
      <x:c r="P199" s="117" t="str"/>
      <x:c r="Q199" s="117"/>
      <x:c r="R199" s="117" t="str">
        <x:v>unmanaged</x:v>
      </x:c>
      <x:c r="S199" s="118" t="n">
        <x:v>8</x:v>
      </x:c>
      <x:c r="T199" s="118" t="n">
        <x:v>16</x:v>
      </x:c>
      <x:c r="U199" s="118" t="n">
        <x:v>2</x:v>
      </x:c>
      <x:c r="V199" s="118" t="n">
        <x:v>0</x:v>
      </x:c>
      <x:c r="W199" s="118" t="n">
        <x:v>0</x:v>
      </x:c>
      <x:c r="X199" s="118" t="n">
        <x:v>0</x:v>
      </x:c>
      <x:c r="Y199" s="118" t="n">
        <x:v>2</x:v>
      </x:c>
      <x:c r="Z199" s="117" t="str">
        <x:v>N/A</x:v>
      </x:c>
      <x:c r="AA199" s="120" t="n">
        <x:v>46072.46776620371</x:v>
      </x:c>
      <x:c r="AB199" s="117" t="str">
        <x:v>Sacha Pearce</x:v>
      </x:c>
      <x:c r="AC199" s="119" t="str">
        <x:v>04/04/2025 (BW) - Updating check sheets to use the newer functionality
01/18/2026 - V5 - SP - Updating to work with the new FSL formatting</x:v>
      </x:c>
      <x:c r="AD199" s="119" t="str"/>
    </x:row>
    <x:row r="200" ht="34" customHeight="1">
      <x:c r="A200" s="117" t="str">
        <x:v>300Ro00000Pz0kjIAB</x:v>
      </x:c>
      <x:c r="B200" s="117" t="str">
        <x:v>DEXA_Checklist</x:v>
      </x:c>
      <x:c r="C200" s="117" t="str">
        <x:v>DEXA Checklist</x:v>
      </x:c>
      <x:c r="D200" s="117" t="str">
        <x:v>Yes</x:v>
      </x:c>
      <x:c r="E200" s="118" t="n">
        <x:v>6</x:v>
      </x:c>
      <x:c r="F200" s="118" t="n">
        <x:v>6</x:v>
      </x:c>
      <x:c r="G200" s="117" t="str">
        <x:v>Yes</x:v>
      </x:c>
      <x:c r="H200" s="119" t="str">
        <x:v>Active v6 (Retrieved XML)</x:v>
      </x:c>
      <x:c r="I200" s="117" t="str">
        <x:v>FieldServiceMobile</x:v>
      </x:c>
      <x:c r="J200" s="117" t="str"/>
      <x:c r="K200" s="117" t="str">
        <x:v>No</x:v>
      </x:c>
      <x:c r="L200" s="117" t="str"/>
      <x:c r="M200" s="117" t="str"/>
      <x:c r="N200" s="117"/>
      <x:c r="O200" s="117"/>
      <x:c r="P200" s="117" t="str"/>
      <x:c r="Q200" s="117"/>
      <x:c r="R200" s="117" t="str">
        <x:v>unmanaged</x:v>
      </x:c>
      <x:c r="S200" s="118" t="n">
        <x:v>6</x:v>
      </x:c>
      <x:c r="T200" s="118" t="n">
        <x:v>16</x:v>
      </x:c>
      <x:c r="U200" s="118" t="n">
        <x:v>2</x:v>
      </x:c>
      <x:c r="V200" s="118" t="n">
        <x:v>0</x:v>
      </x:c>
      <x:c r="W200" s="118" t="n">
        <x:v>0</x:v>
      </x:c>
      <x:c r="X200" s="118" t="n">
        <x:v>0</x:v>
      </x:c>
      <x:c r="Y200" s="118" t="n">
        <x:v>2</x:v>
      </x:c>
      <x:c r="Z200" s="117" t="str">
        <x:v>N/A</x:v>
      </x:c>
      <x:c r="AA200" s="120" t="n">
        <x:v>46072.468090277776</x:v>
      </x:c>
      <x:c r="AB200" s="117" t="str">
        <x:v>Sacha Pearce</x:v>
      </x:c>
      <x:c r="AC200" s="119" t="str">
        <x:v>04/04/2025 (BW) - Updated the functionality to follow newer checksheet methodologies
21/01/2025 - V5 - SP - Upating to work with the new FSL formatting</x:v>
      </x:c>
      <x:c r="AD200" s="119" t="str"/>
    </x:row>
    <x:row r="201" ht="34" customHeight="1">
      <x:c r="A201" s="117" t="str">
        <x:v>300Ro00000tZphgIAC</x:v>
      </x:c>
      <x:c r="B201" s="117" t="str">
        <x:v>Disaster_Recovery_Project_Raise_Invoice_from_Charges</x:v>
      </x:c>
      <x:c r="C201" s="117" t="str">
        <x:v>Disaster Recovery Project - Raise Invoice from Charges</x:v>
      </x:c>
      <x:c r="D201" s="117" t="str">
        <x:v>Yes</x:v>
      </x:c>
      <x:c r="E201" s="118" t="n">
        <x:v>7</x:v>
      </x:c>
      <x:c r="F201" s="118" t="n">
        <x:v>7</x:v>
      </x:c>
      <x:c r="G201" s="117" t="str">
        <x:v>Yes</x:v>
      </x:c>
      <x:c r="H201" s="119" t="str">
        <x:v>Active v7 (Retrieved XML)</x:v>
      </x:c>
      <x:c r="I201" s="117" t="str">
        <x:v>Flow</x:v>
      </x:c>
      <x:c r="J201" s="117" t="str"/>
      <x:c r="K201" s="117" t="str">
        <x:v>No</x:v>
      </x:c>
      <x:c r="L201" s="117" t="str"/>
      <x:c r="M201" s="117" t="str"/>
      <x:c r="N201" s="117" t="str">
        <x:v>SystemModeWithoutSharing</x:v>
      </x:c>
      <x:c r="O201" s="117"/>
      <x:c r="P201" s="117" t="str"/>
      <x:c r="Q201" s="117" t="str">
        <x:v>66.0</x:v>
      </x:c>
      <x:c r="R201" s="117" t="str">
        <x:v>unmanaged</x:v>
      </x:c>
      <x:c r="S201" s="118" t="n">
        <x:v>7</x:v>
      </x:c>
      <x:c r="T201" s="118" t="n">
        <x:v>39</x:v>
      </x:c>
      <x:c r="U201" s="118" t="n">
        <x:v>6</x:v>
      </x:c>
      <x:c r="V201" s="118" t="n">
        <x:v>1</x:v>
      </x:c>
      <x:c r="W201" s="118" t="n">
        <x:v>0</x:v>
      </x:c>
      <x:c r="X201" s="118" t="n">
        <x:v>1</x:v>
      </x:c>
      <x:c r="Y201" s="118" t="n">
        <x:v>4</x:v>
      </x:c>
      <x:c r="Z201" s="117" t="str">
        <x:v>N/A</x:v>
      </x:c>
      <x:c r="AA201" s="120" t="n">
        <x:v>46247.554444444446</x:v>
      </x:c>
      <x:c r="AB201" s="117" t="str">
        <x:v>Sacha Pearce</x:v>
      </x:c>
      <x:c r="AC201" s="119" t="str">
        <x:v>04/08/2026 - SP - Amending the Flow to set the selected Project Charges's "Billing Status" to "Pending".</x:v>
      </x:c>
      <x:c r="AD201" s="119" t="str">
        <x:v>High element count; Touches many objects</x:v>
      </x:c>
    </x:row>
    <x:row r="202" ht="34" customHeight="1">
      <x:c r="A202" s="117" t="str">
        <x:v>300Ro00000sxBWfIAM</x:v>
      </x:c>
      <x:c r="B202" s="117" t="str">
        <x:v>Document_Review_Change_Control_Form_Screen_Flow</x:v>
      </x:c>
      <x:c r="C202" s="117" t="str">
        <x:v>Document Review - Change Control Form - Screen Flow - V4</x:v>
      </x:c>
      <x:c r="D202" s="117" t="str">
        <x:v>Yes</x:v>
      </x:c>
      <x:c r="E202" s="118" t="n">
        <x:v>4</x:v>
      </x:c>
      <x:c r="F202" s="118" t="n">
        <x:v>4</x:v>
      </x:c>
      <x:c r="G202" s="117" t="str">
        <x:v>Yes</x:v>
      </x:c>
      <x:c r="H202" s="119" t="str">
        <x:v>Active v4 (Retrieved XML)</x:v>
      </x:c>
      <x:c r="I202" s="117" t="str">
        <x:v>Flow</x:v>
      </x:c>
      <x:c r="J202" s="117" t="str"/>
      <x:c r="K202" s="117" t="str">
        <x:v>No</x:v>
      </x:c>
      <x:c r="L202" s="117" t="str"/>
      <x:c r="M202" s="117" t="str"/>
      <x:c r="N202" s="117"/>
      <x:c r="O202" s="117"/>
      <x:c r="P202" s="117" t="str"/>
      <x:c r="Q202" s="117" t="str">
        <x:v>66.0</x:v>
      </x:c>
      <x:c r="R202" s="117" t="str">
        <x:v>unmanaged</x:v>
      </x:c>
      <x:c r="S202" s="118" t="n">
        <x:v>4</x:v>
      </x:c>
      <x:c r="T202" s="118" t="n">
        <x:v>2</x:v>
      </x:c>
      <x:c r="U202" s="118" t="n">
        <x:v>0</x:v>
      </x:c>
      <x:c r="V202" s="118" t="n">
        <x:v>0</x:v>
      </x:c>
      <x:c r="W202" s="118" t="n">
        <x:v>0</x:v>
      </x:c>
      <x:c r="X202" s="118" t="n">
        <x:v>1</x:v>
      </x:c>
      <x:c r="Y202" s="118" t="n">
        <x:v>1</x:v>
      </x:c>
      <x:c r="Z202" s="117" t="str">
        <x:v>N/A</x:v>
      </x:c>
      <x:c r="AA202" s="120" t="n">
        <x:v>46111.47891203704</x:v>
      </x:c>
      <x:c r="AB202" s="117" t="str">
        <x:v>Michelle Steadman</x:v>
      </x:c>
      <x:c r="AC202" s="119" t="str">
        <x:v>Removing fields from being reqired.</x:v>
      </x:c>
      <x:c r="AD202" s="119" t="str"/>
    </x:row>
    <x:row r="203" ht="34" customHeight="1">
      <x:c r="A203" s="117" t="str">
        <x:v>300Ro00000sMu66IAC</x:v>
      </x:c>
      <x:c r="B203" s="117" t="str">
        <x:v>Document_Review_Status_Automation</x:v>
      </x:c>
      <x:c r="C203" s="117" t="str">
        <x:v>Document Review - Status Automation</x:v>
      </x:c>
      <x:c r="D203" s="117" t="str">
        <x:v>Yes</x:v>
      </x:c>
      <x:c r="E203" s="118" t="n">
        <x:v>3</x:v>
      </x:c>
      <x:c r="F203" s="118" t="n">
        <x:v>3</x:v>
      </x:c>
      <x:c r="G203" s="117" t="str">
        <x:v>Yes</x:v>
      </x:c>
      <x:c r="H203" s="119" t="str">
        <x:v>Active v3 (Retrieved XML)</x:v>
      </x:c>
      <x:c r="I203" s="117" t="str">
        <x:v>AutoLaunchedFlow</x:v>
      </x:c>
      <x:c r="J203" s="117" t="str">
        <x:v>Document_Review__c</x:v>
      </x:c>
      <x:c r="K203" s="117" t="str">
        <x:v>Yes</x:v>
      </x:c>
      <x:c r="L203" s="117" t="str">
        <x:v>CreateAndUpdate</x:v>
      </x:c>
      <x:c r="M203" s="117" t="str">
        <x:v>RecordAfterSave</x:v>
      </x:c>
      <x:c r="N203" s="117"/>
      <x:c r="O203" s="117"/>
      <x:c r="P203" s="117" t="str"/>
      <x:c r="Q203" s="117" t="str">
        <x:v>66.0</x:v>
      </x:c>
      <x:c r="R203" s="117" t="str">
        <x:v>unmanaged</x:v>
      </x:c>
      <x:c r="S203" s="118" t="n">
        <x:v>3</x:v>
      </x:c>
      <x:c r="T203" s="118" t="n">
        <x:v>4</x:v>
      </x:c>
      <x:c r="U203" s="118" t="n">
        <x:v>1</x:v>
      </x:c>
      <x:c r="V203" s="118" t="n">
        <x:v>0</x:v>
      </x:c>
      <x:c r="W203" s="118" t="n">
        <x:v>0</x:v>
      </x:c>
      <x:c r="X203" s="118" t="n">
        <x:v>0</x:v>
      </x:c>
      <x:c r="Y203" s="118" t="n">
        <x:v>1</x:v>
      </x:c>
      <x:c r="Z203" s="117" t="str">
        <x:v>Isolated lane</x:v>
      </x:c>
      <x:c r="AA203" s="120" t="n">
        <x:v>46139.400625</x:v>
      </x:c>
      <x:c r="AB203" s="117" t="str">
        <x:v>Sacha Pearce</x:v>
      </x:c>
      <x:c r="AC203" s="119" t="str"/>
      <x:c r="AD203" s="119" t="str">
        <x:v>Active flow has no description</x:v>
      </x:c>
    </x:row>
    <x:row r="204" ht="34" customHeight="1">
      <x:c r="A204" s="117" t="str">
        <x:v>300Ro000013yaGHIAY</x:v>
      </x:c>
      <x:c r="B204" s="117" t="str">
        <x:v>DRP_Aggregate_Project_Charge_Totals</x:v>
      </x:c>
      <x:c r="C204" s="117" t="str">
        <x:v>DRP - Aggregate Project Charge Totals</x:v>
      </x:c>
      <x:c r="D204" s="117" t="str">
        <x:v>Yes</x:v>
      </x:c>
      <x:c r="E204" s="118" t="n">
        <x:v>2</x:v>
      </x:c>
      <x:c r="F204" s="118" t="n">
        <x:v>2</x:v>
      </x:c>
      <x:c r="G204" s="117" t="str">
        <x:v>Yes</x:v>
      </x:c>
      <x:c r="H204" s="119" t="str">
        <x:v>Active v2 (Retrieved XML)</x:v>
      </x:c>
      <x:c r="I204" s="117" t="str">
        <x:v>AutoLaunchedFlow</x:v>
      </x:c>
      <x:c r="J204" s="117" t="str"/>
      <x:c r="K204" s="117" t="str">
        <x:v>No</x:v>
      </x:c>
      <x:c r="L204" s="117" t="str"/>
      <x:c r="M204" s="117" t="str"/>
      <x:c r="N204" s="117"/>
      <x:c r="O204" s="117"/>
      <x:c r="P204" s="117" t="str"/>
      <x:c r="Q204" s="117" t="str">
        <x:v>67.0</x:v>
      </x:c>
      <x:c r="R204" s="117" t="str">
        <x:v>unmanaged</x:v>
      </x:c>
      <x:c r="S204" s="118" t="n">
        <x:v>2</x:v>
      </x:c>
      <x:c r="T204" s="118" t="n">
        <x:v>3</x:v>
      </x:c>
      <x:c r="U204" s="118" t="n">
        <x:v>1</x:v>
      </x:c>
      <x:c r="V204" s="118" t="n">
        <x:v>0</x:v>
      </x:c>
      <x:c r="W204" s="118" t="n">
        <x:v>0</x:v>
      </x:c>
      <x:c r="X204" s="118" t="n">
        <x:v>0</x:v>
      </x:c>
      <x:c r="Y204" s="118" t="n">
        <x:v>1</x:v>
      </x:c>
      <x:c r="Z204" s="117" t="str">
        <x:v>N/A</x:v>
      </x:c>
      <x:c r="AA204" s="120" t="n">
        <x:v>46234.45269675926</x:v>
      </x:c>
      <x:c r="AB204" s="117" t="str">
        <x:v>Sacha Pearce</x:v>
      </x:c>
      <x:c r="AC204" s="119" t="str">
        <x:v>This Flow exists to aggregate each of the roll-up summary fields from a selection of Project Charges.</x:v>
      </x:c>
      <x:c r="AD204" s="119" t="str"/>
    </x:row>
    <x:row r="205" ht="34" customHeight="1">
      <x:c r="A205" s="117" t="str">
        <x:v>300Ro000013yjzLIAQ</x:v>
      </x:c>
      <x:c r="B205" s="117" t="str">
        <x:v>DRP_Create_Opportunity_and_Invoice_Records</x:v>
      </x:c>
      <x:c r="C205" s="117" t="str">
        <x:v>DRP - Create Opportunity and Invoice Records</x:v>
      </x:c>
      <x:c r="D205" s="117" t="str">
        <x:v>No</x:v>
      </x:c>
      <x:c r="E205" s="118"/>
      <x:c r="F205" s="118" t="n">
        <x:v>1</x:v>
      </x:c>
      <x:c r="G205" s="117" t="str">
        <x:v>N/A</x:v>
      </x:c>
      <x:c r="H205" s="119" t="str">
        <x:v>Latest inactive v1 (Retrieved XML)</x:v>
      </x:c>
      <x:c r="I205" s="117" t="str">
        <x:v>AutoLaunchedFlow</x:v>
      </x:c>
      <x:c r="J205" s="117" t="str"/>
      <x:c r="K205" s="117" t="str">
        <x:v>No</x:v>
      </x:c>
      <x:c r="L205" s="117" t="str"/>
      <x:c r="M205" s="117" t="str"/>
      <x:c r="N205" s="117"/>
      <x:c r="O205" s="117"/>
      <x:c r="P205" s="117" t="str"/>
      <x:c r="Q205" s="117" t="str">
        <x:v>67.0</x:v>
      </x:c>
      <x:c r="R205" s="117" t="str">
        <x:v>unmanaged</x:v>
      </x:c>
      <x:c r="S205" s="118" t="n">
        <x:v>1</x:v>
      </x:c>
      <x:c r="T205" s="118" t="n">
        <x:v>3</x:v>
      </x:c>
      <x:c r="U205" s="118" t="n">
        <x:v>1</x:v>
      </x:c>
      <x:c r="V205" s="118" t="n">
        <x:v>0</x:v>
      </x:c>
      <x:c r="W205" s="118" t="n">
        <x:v>0</x:v>
      </x:c>
      <x:c r="X205" s="118" t="n">
        <x:v>0</x:v>
      </x:c>
      <x:c r="Y205" s="118" t="n">
        <x:v>1</x:v>
      </x:c>
      <x:c r="Z205" s="117" t="str">
        <x:v>N/A</x:v>
      </x:c>
      <x:c r="AA205" s="120" t="n">
        <x:v>46234.418078703704</x:v>
      </x:c>
      <x:c r="AB205" s="117" t="str">
        <x:v>Sacha Pearce</x:v>
      </x:c>
      <x:c r="AC205" s="119" t="str"/>
      <x:c r="AD205" s="119" t="str"/>
    </x:row>
    <x:row r="206" ht="34" customHeight="1">
      <x:c r="A206" s="117" t="str">
        <x:v>300Ro00000tZphfIAC</x:v>
      </x:c>
      <x:c r="B206" s="117" t="str">
        <x:v>DRP_Create_Project_Charge_Line_Item</x:v>
      </x:c>
      <x:c r="C206" s="117" t="str">
        <x:v>DRP - Create Project Charge Line Item</x:v>
      </x:c>
      <x:c r="D206" s="117" t="str">
        <x:v>Yes</x:v>
      </x:c>
      <x:c r="E206" s="118" t="n">
        <x:v>3</x:v>
      </x:c>
      <x:c r="F206" s="118" t="n">
        <x:v>3</x:v>
      </x:c>
      <x:c r="G206" s="117" t="str">
        <x:v>Yes</x:v>
      </x:c>
      <x:c r="H206" s="119" t="str">
        <x:v>Active v3 (Retrieved XML)</x:v>
      </x:c>
      <x:c r="I206" s="117" t="str">
        <x:v>Flow</x:v>
      </x:c>
      <x:c r="J206" s="117" t="str"/>
      <x:c r="K206" s="117" t="str">
        <x:v>No</x:v>
      </x:c>
      <x:c r="L206" s="117" t="str"/>
      <x:c r="M206" s="117" t="str"/>
      <x:c r="N206" s="117" t="str">
        <x:v>SystemModeWithoutSharing</x:v>
      </x:c>
      <x:c r="O206" s="117"/>
      <x:c r="P206" s="117" t="str"/>
      <x:c r="Q206" s="117" t="str">
        <x:v>66.0</x:v>
      </x:c>
      <x:c r="R206" s="117" t="str">
        <x:v>unmanaged</x:v>
      </x:c>
      <x:c r="S206" s="118" t="n">
        <x:v>3</x:v>
      </x:c>
      <x:c r="T206" s="118" t="n">
        <x:v>26</x:v>
      </x:c>
      <x:c r="U206" s="118" t="n">
        <x:v>6</x:v>
      </x:c>
      <x:c r="V206" s="118" t="n">
        <x:v>0</x:v>
      </x:c>
      <x:c r="W206" s="118" t="n">
        <x:v>0</x:v>
      </x:c>
      <x:c r="X206" s="118" t="n">
        <x:v>1</x:v>
      </x:c>
      <x:c r="Y206" s="118" t="n">
        <x:v>3</x:v>
      </x:c>
      <x:c r="Z206" s="117" t="str">
        <x:v>N/A</x:v>
      </x:c>
      <x:c r="AA206" s="120" t="n">
        <x:v>46189.59028935185</x:v>
      </x:c>
      <x:c r="AB206" s="117" t="str">
        <x:v>Sacha Pearce</x:v>
      </x:c>
      <x:c r="AC206" s="119" t="str">
        <x:v>06/05/2026 - SP - Updating Flow to run in system context.</x:v>
      </x:c>
      <x:c r="AD206" s="119" t="str">
        <x:v>Touches many objects</x:v>
      </x:c>
    </x:row>
    <x:row r="207" ht="34" customHeight="1">
      <x:c r="A207" s="117" t="str">
        <x:v>300Ro00000tZphdIAC</x:v>
      </x:c>
      <x:c r="B207" s="117" t="str">
        <x:v>DRP_Override_Project_Charge_Line_Item_Revenue</x:v>
      </x:c>
      <x:c r="C207" s="117" t="str">
        <x:v>DRP - Override Project Charge Line Item Revenue</x:v>
      </x:c>
      <x:c r="D207" s="117" t="str">
        <x:v>Yes</x:v>
      </x:c>
      <x:c r="E207" s="118" t="n">
        <x:v>1</x:v>
      </x:c>
      <x:c r="F207" s="118" t="n">
        <x:v>1</x:v>
      </x:c>
      <x:c r="G207" s="117" t="str">
        <x:v>Yes</x:v>
      </x:c>
      <x:c r="H207" s="119" t="str">
        <x:v>Active v1 (Retrieved XML)</x:v>
      </x:c>
      <x:c r="I207" s="117" t="str">
        <x:v>Flow</x:v>
      </x:c>
      <x:c r="J207" s="117" t="str"/>
      <x:c r="K207" s="117" t="str">
        <x:v>No</x:v>
      </x:c>
      <x:c r="L207" s="117" t="str"/>
      <x:c r="M207" s="117" t="str"/>
      <x:c r="N207" s="117" t="str">
        <x:v>SystemModeWithoutSharing</x:v>
      </x:c>
      <x:c r="O207" s="117"/>
      <x:c r="P207" s="117" t="str"/>
      <x:c r="Q207" s="117" t="str">
        <x:v>66.0</x:v>
      </x:c>
      <x:c r="R207" s="117" t="str">
        <x:v>unmanaged</x:v>
      </x:c>
      <x:c r="S207" s="118" t="n">
        <x:v>1</x:v>
      </x:c>
      <x:c r="T207" s="118" t="n">
        <x:v>4</x:v>
      </x:c>
      <x:c r="U207" s="118" t="n">
        <x:v>1</x:v>
      </x:c>
      <x:c r="V207" s="118" t="n">
        <x:v>0</x:v>
      </x:c>
      <x:c r="W207" s="118" t="n">
        <x:v>0</x:v>
      </x:c>
      <x:c r="X207" s="118" t="n">
        <x:v>0</x:v>
      </x:c>
      <x:c r="Y207" s="118" t="n">
        <x:v>1</x:v>
      </x:c>
      <x:c r="Z207" s="117" t="str">
        <x:v>N/A</x:v>
      </x:c>
      <x:c r="AA207" s="120" t="n">
        <x:v>46121.37144675926</x:v>
      </x:c>
      <x:c r="AB207" s="117" t="str">
        <x:v>Sacha Pearce</x:v>
      </x:c>
      <x:c r="AC207" s="119" t="str"/>
      <x:c r="AD207" s="119" t="str">
        <x:v>Active flow has no description</x:v>
      </x:c>
    </x:row>
    <x:row r="208" ht="34" customHeight="1">
      <x:c r="A208" s="117" t="str">
        <x:v>300Ro0000149ADUIA2</x:v>
      </x:c>
      <x:c r="B208" s="117" t="str">
        <x:v>DRP_Submit_Project_Charges_for_Invoicing</x:v>
      </x:c>
      <x:c r="C208" s="117" t="str">
        <x:v>DRP - Submit Project Charges for Invoicing</x:v>
      </x:c>
      <x:c r="D208" s="117" t="str">
        <x:v>No</x:v>
      </x:c>
      <x:c r="E208" s="118"/>
      <x:c r="F208" s="118" t="n">
        <x:v>1</x:v>
      </x:c>
      <x:c r="G208" s="117" t="str">
        <x:v>N/A</x:v>
      </x:c>
      <x:c r="H208" s="119" t="str">
        <x:v>Latest inactive v1 (Retrieved XML)</x:v>
      </x:c>
      <x:c r="I208" s="117" t="str">
        <x:v>Flow</x:v>
      </x:c>
      <x:c r="J208" s="117" t="str"/>
      <x:c r="K208" s="117" t="str">
        <x:v>No</x:v>
      </x:c>
      <x:c r="L208" s="117" t="str"/>
      <x:c r="M208" s="117" t="str"/>
      <x:c r="N208" s="117" t="str">
        <x:v>SystemModeWithoutSharing</x:v>
      </x:c>
      <x:c r="O208" s="117"/>
      <x:c r="P208" s="117" t="str"/>
      <x:c r="Q208" s="117" t="str">
        <x:v>66.0</x:v>
      </x:c>
      <x:c r="R208" s="117" t="str">
        <x:v>unmanaged</x:v>
      </x:c>
      <x:c r="S208" s="118" t="n">
        <x:v>1</x:v>
      </x:c>
      <x:c r="T208" s="118" t="n">
        <x:v>9</x:v>
      </x:c>
      <x:c r="U208" s="118" t="n">
        <x:v>4</x:v>
      </x:c>
      <x:c r="V208" s="118" t="n">
        <x:v>0</x:v>
      </x:c>
      <x:c r="W208" s="118" t="n">
        <x:v>0</x:v>
      </x:c>
      <x:c r="X208" s="118" t="n">
        <x:v>1</x:v>
      </x:c>
      <x:c r="Y208" s="118" t="n">
        <x:v>2</x:v>
      </x:c>
      <x:c r="Z208" s="117" t="str">
        <x:v>N/A</x:v>
      </x:c>
      <x:c r="AA208" s="120" t="n">
        <x:v>46247.548680555556</x:v>
      </x:c>
      <x:c r="AB208" s="117" t="str">
        <x:v>Sacha Pearce</x:v>
      </x:c>
      <x:c r="AC208" s="119" t="str"/>
      <x:c r="AD208" s="119" t="str">
        <x:v>Touches many objects</x:v>
      </x:c>
    </x:row>
    <x:row r="209" ht="34" customHeight="1">
      <x:c r="A209" s="117" t="str">
        <x:v>300Ro00000tZpheIAC</x:v>
      </x:c>
      <x:c r="B209" s="117" t="str">
        <x:v>DRP_Update_Project_Charge_Line_Item_Values</x:v>
      </x:c>
      <x:c r="C209" s="117" t="str">
        <x:v>DRP - Update Project Charge Line Item Values</x:v>
      </x:c>
      <x:c r="D209" s="117" t="str">
        <x:v>Yes</x:v>
      </x:c>
      <x:c r="E209" s="118" t="n">
        <x:v>1</x:v>
      </x:c>
      <x:c r="F209" s="118" t="n">
        <x:v>1</x:v>
      </x:c>
      <x:c r="G209" s="117" t="str">
        <x:v>Yes</x:v>
      </x:c>
      <x:c r="H209" s="119" t="str">
        <x:v>Active v1 (Retrieved XML)</x:v>
      </x:c>
      <x:c r="I209" s="117" t="str">
        <x:v>AutoLaunchedFlow</x:v>
      </x:c>
      <x:c r="J209" s="117" t="str">
        <x:v>Project_Charge_Line_Item__c</x:v>
      </x:c>
      <x:c r="K209" s="117" t="str">
        <x:v>Yes</x:v>
      </x:c>
      <x:c r="L209" s="117" t="str">
        <x:v>Update</x:v>
      </x:c>
      <x:c r="M209" s="117" t="str">
        <x:v>RecordBeforeSave</x:v>
      </x:c>
      <x:c r="N209" s="117"/>
      <x:c r="O209" s="117"/>
      <x:c r="P209" s="117" t="str"/>
      <x:c r="Q209" s="117" t="str">
        <x:v>66.0</x:v>
      </x:c>
      <x:c r="R209" s="117" t="str">
        <x:v>unmanaged</x:v>
      </x:c>
      <x:c r="S209" s="118" t="n">
        <x:v>1</x:v>
      </x:c>
      <x:c r="T209" s="118" t="n">
        <x:v>10</x:v>
      </x:c>
      <x:c r="U209" s="118" t="n">
        <x:v>2</x:v>
      </x:c>
      <x:c r="V209" s="118" t="n">
        <x:v>0</x:v>
      </x:c>
      <x:c r="W209" s="118" t="n">
        <x:v>0</x:v>
      </x:c>
      <x:c r="X209" s="118" t="n">
        <x:v>0</x:v>
      </x:c>
      <x:c r="Y209" s="118" t="n">
        <x:v>1</x:v>
      </x:c>
      <x:c r="Z209" s="117" t="str">
        <x:v>Isolated lane</x:v>
      </x:c>
      <x:c r="AA209" s="120" t="n">
        <x:v>46121.37162037037</x:v>
      </x:c>
      <x:c r="AB209" s="117" t="str">
        <x:v>Sacha Pearce</x:v>
      </x:c>
      <x:c r="AC209" s="119" t="str"/>
      <x:c r="AD209" s="119" t="str">
        <x:v>Active flow has no description</x:v>
      </x:c>
    </x:row>
    <x:row r="210" ht="34" customHeight="1">
      <x:c r="A210" s="117" t="str">
        <x:v>3004O000000HGWiQAO</x:v>
      </x:c>
      <x:c r="B210" s="117" t="str">
        <x:v>e2a_Adding_e2a_email_on_Opportunity_record</x:v>
      </x:c>
      <x:c r="C210" s="117" t="str">
        <x:v>e2a - Adding e2a email on Opportunity record</x:v>
      </x:c>
      <x:c r="D210" s="117" t="str">
        <x:v>No</x:v>
      </x:c>
      <x:c r="E210" s="118"/>
      <x:c r="F210" s="118" t="n">
        <x:v>1</x:v>
      </x:c>
      <x:c r="G210" s="117" t="str">
        <x:v>N/A</x:v>
      </x:c>
      <x:c r="H210" s="119" t="str">
        <x:v>Latest inactive v1 (Retrieved XML)</x:v>
      </x:c>
      <x:c r="I210" s="117" t="str">
        <x:v>Workflow</x:v>
      </x:c>
      <x:c r="J210" s="117" t="str"/>
      <x:c r="K210" s="117" t="str">
        <x:v>No</x:v>
      </x:c>
      <x:c r="L210" s="117" t="str"/>
      <x:c r="M210" s="117" t="str"/>
      <x:c r="N210" s="117"/>
      <x:c r="O210" s="117"/>
      <x:c r="P210" s="117" t="str"/>
      <x:c r="Q210" s="117" t="str">
        <x:v>49.0</x:v>
      </x:c>
      <x:c r="R210" s="117" t="str">
        <x:v>unmanaged</x:v>
      </x:c>
      <x:c r="S210" s="118" t="n">
        <x:v>1</x:v>
      </x:c>
      <x:c r="T210" s="118" t="n">
        <x:v>2</x:v>
      </x:c>
      <x:c r="U210" s="118" t="n">
        <x:v>2</x:v>
      </x:c>
      <x:c r="V210" s="118" t="n">
        <x:v>0</x:v>
      </x:c>
      <x:c r="W210" s="118" t="n">
        <x:v>0</x:v>
      </x:c>
      <x:c r="X210" s="118" t="n">
        <x:v>0</x:v>
      </x:c>
      <x:c r="Y210" s="118" t="n">
        <x:v>1</x:v>
      </x:c>
      <x:c r="Z210" s="117" t="str">
        <x:v>N/A</x:v>
      </x:c>
      <x:c r="AA210" s="120" t="n">
        <x:v>44228.73673611111</x:v>
      </x:c>
      <x:c r="AB210" s="117" t="str">
        <x:v>Delegate</x:v>
      </x:c>
      <x:c r="AC210" s="119" t="str">
        <x:v>This process will add the opportunity ID in the e2a email so its visible on opportunities too</x:v>
      </x:c>
      <x:c r="AD210" s="119" t="str"/>
    </x:row>
    <x:row r="211" ht="34" customHeight="1">
      <x:c r="A211" s="117" t="str">
        <x:v>3004O0000008mCxQAI</x:v>
      </x:c>
      <x:c r="B211" s="117" t="str">
        <x:v>e2a_Create_an_opportunity_when_e2a_email_attaches_to_existing_contact</x:v>
      </x:c>
      <x:c r="C211" s="117" t="str">
        <x:v>e2a - Create an opportunity when e2a email attaches to existing contact v0.7</x:v>
      </x:c>
      <x:c r="D211" s="117" t="str">
        <x:v>Yes</x:v>
      </x:c>
      <x:c r="E211" s="118" t="n">
        <x:v>7</x:v>
      </x:c>
      <x:c r="F211" s="118" t="n">
        <x:v>7</x:v>
      </x:c>
      <x:c r="G211" s="117" t="str">
        <x:v>Yes</x:v>
      </x:c>
      <x:c r="H211" s="119" t="str">
        <x:v>Active v7 (Retrieved XML)</x:v>
      </x:c>
      <x:c r="I211" s="117" t="str">
        <x:v>Workflow</x:v>
      </x:c>
      <x:c r="J211" s="117" t="str"/>
      <x:c r="K211" s="117" t="str">
        <x:v>No</x:v>
      </x:c>
      <x:c r="L211" s="117" t="str"/>
      <x:c r="M211" s="117" t="str"/>
      <x:c r="N211" s="117"/>
      <x:c r="O211" s="117"/>
      <x:c r="P211" s="117" t="str"/>
      <x:c r="Q211" s="117" t="str">
        <x:v>49.0</x:v>
      </x:c>
      <x:c r="R211" s="117" t="str">
        <x:v>unmanaged</x:v>
      </x:c>
      <x:c r="S211" s="118" t="n">
        <x:v>7</x:v>
      </x:c>
      <x:c r="T211" s="118" t="n">
        <x:v>6</x:v>
      </x:c>
      <x:c r="U211" s="118" t="n">
        <x:v>3</x:v>
      </x:c>
      <x:c r="V211" s="118" t="n">
        <x:v>0</x:v>
      </x:c>
      <x:c r="W211" s="118" t="n">
        <x:v>0</x:v>
      </x:c>
      <x:c r="X211" s="118" t="n">
        <x:v>0</x:v>
      </x:c>
      <x:c r="Y211" s="118" t="n">
        <x:v>2</x:v>
      </x:c>
      <x:c r="Z211" s="117" t="str">
        <x:v>N/A</x:v>
      </x:c>
      <x:c r="AA211" s="120" t="n">
        <x:v>43985.680439814816</x:v>
      </x:c>
      <x:c r="AB211" s="117" t="str">
        <x:v>Trent VanEmon</x:v>
      </x:c>
      <x:c r="AC211" s="119" t="str"/>
      <x:c r="AD211" s="119" t="str">
        <x:v>Active flow has no description</x:v>
      </x:c>
    </x:row>
    <x:row r="212" ht="34" customHeight="1">
      <x:c r="A212" s="117" t="str">
        <x:v>300Ro00000kKs8LIAS</x:v>
      </x:c>
      <x:c r="B212" s="117" t="str">
        <x:v>Error_with_Recurring_Payment</x:v>
      </x:c>
      <x:c r="C212" s="117" t="str">
        <x:v>Error with Recurring Payment</x:v>
      </x:c>
      <x:c r="D212" s="117" t="str">
        <x:v>No</x:v>
      </x:c>
      <x:c r="E212" s="118"/>
      <x:c r="F212" s="118" t="n">
        <x:v>1</x:v>
      </x:c>
      <x:c r="G212" s="117" t="str">
        <x:v>N/A</x:v>
      </x:c>
      <x:c r="H212" s="119" t="str">
        <x:v>Latest inactive v1 (Tooling metadata)</x:v>
      </x:c>
      <x:c r="I212" s="117" t="str">
        <x:v>AutoLaunchedFlow</x:v>
      </x:c>
      <x:c r="J212" s="117" t="str"/>
      <x:c r="K212" s="117" t="str">
        <x:v>No</x:v>
      </x:c>
      <x:c r="L212" s="117" t="str"/>
      <x:c r="M212" s="117" t="str"/>
      <x:c r="N212" s="117"/>
      <x:c r="O212" s="117"/>
      <x:c r="P212" s="117" t="str"/>
      <x:c r="Q212" s="117" t="n">
        <x:v>64</x:v>
      </x:c>
      <x:c r="R212" s="117" t="str">
        <x:v>installed</x:v>
      </x:c>
      <x:c r="S212" s="118" t="n">
        <x:v>1</x:v>
      </x:c>
      <x:c r="T212" s="118" t="n">
        <x:v>0</x:v>
      </x:c>
      <x:c r="U212" s="118" t="n">
        <x:v>0</x:v>
      </x:c>
      <x:c r="V212" s="118" t="n">
        <x:v>0</x:v>
      </x:c>
      <x:c r="W212" s="118" t="n">
        <x:v>0</x:v>
      </x:c>
      <x:c r="X212" s="118" t="n">
        <x:v>0</x:v>
      </x:c>
      <x:c r="Y212" s="118" t="n">
        <x:v>1</x:v>
      </x:c>
      <x:c r="Z212" s="117" t="str">
        <x:v>N/A</x:v>
      </x:c>
      <x:c r="AA212" s="120" t="n">
        <x:v>45965.977743055555</x:v>
      </x:c>
      <x:c r="AB212" s="117" t="str"/>
      <x:c r="AC212" s="119" t="str">
        <x:v>This flow rule fires when a recurring transaction fails to be completed.</x:v>
      </x:c>
      <x:c r="AD212" s="119" t="str"/>
    </x:row>
    <x:row r="213" ht="34" customHeight="1">
      <x:c r="A213" s="117" t="str">
        <x:v>300Ro00000nAkF4IAK</x:v>
      </x:c>
      <x:c r="B213" s="117" t="str">
        <x:v>Fetch_Warranty_Length_on_Account</x:v>
      </x:c>
      <x:c r="C213" s="117" t="str">
        <x:v>Fetch Warranty Length on Account</x:v>
      </x:c>
      <x:c r="D213" s="117" t="str">
        <x:v>Yes</x:v>
      </x:c>
      <x:c r="E213" s="118" t="n">
        <x:v>1</x:v>
      </x:c>
      <x:c r="F213" s="118" t="n">
        <x:v>1</x:v>
      </x:c>
      <x:c r="G213" s="117" t="str">
        <x:v>Yes</x:v>
      </x:c>
      <x:c r="H213" s="119" t="str">
        <x:v>Active v1 (Retrieved XML)</x:v>
      </x:c>
      <x:c r="I213" s="117" t="str">
        <x:v>AutoLaunchedFlow</x:v>
      </x:c>
      <x:c r="J213" s="117" t="str"/>
      <x:c r="K213" s="117" t="str">
        <x:v>No</x:v>
      </x:c>
      <x:c r="L213" s="117" t="str"/>
      <x:c r="M213" s="117" t="str"/>
      <x:c r="N213" s="117"/>
      <x:c r="O213" s="117"/>
      <x:c r="P213" s="117" t="str"/>
      <x:c r="Q213" s="117" t="str">
        <x:v>65.0</x:v>
      </x:c>
      <x:c r="R213" s="117" t="str">
        <x:v>unmanaged</x:v>
      </x:c>
      <x:c r="S213" s="118" t="n">
        <x:v>1</x:v>
      </x:c>
      <x:c r="T213" s="118" t="n">
        <x:v>2</x:v>
      </x:c>
      <x:c r="U213" s="118" t="n">
        <x:v>1</x:v>
      </x:c>
      <x:c r="V213" s="118" t="n">
        <x:v>0</x:v>
      </x:c>
      <x:c r="W213" s="118" t="n">
        <x:v>0</x:v>
      </x:c>
      <x:c r="X213" s="118" t="n">
        <x:v>0</x:v>
      </x:c>
      <x:c r="Y213" s="118" t="n">
        <x:v>1</x:v>
      </x:c>
      <x:c r="Z213" s="117" t="str">
        <x:v>N/A</x:v>
      </x:c>
      <x:c r="AA213" s="120" t="n">
        <x:v>46013.874375</x:v>
      </x:c>
      <x:c r="AB213" s="117" t="str">
        <x:v>Delegate</x:v>
      </x:c>
      <x:c r="AC213" s="119" t="str">
        <x:v>12/22/2025 (BW) - Used in the create opportunity from work order flow to fetch the warranty length on the account</x:v>
      </x:c>
      <x:c r="AD213" s="119" t="str"/>
    </x:row>
    <x:row r="214" ht="34" customHeight="1">
      <x:c r="A214" s="117" t="str">
        <x:v>300Ro00000ugDleIAE</x:v>
      </x:c>
      <x:c r="B214" s="117" t="str">
        <x:v>Final_QC_Passed_Send_Email</x:v>
      </x:c>
      <x:c r="C214" s="117" t="str">
        <x:v>Final QC Passed - Send Email</x:v>
      </x:c>
      <x:c r="D214" s="117" t="str">
        <x:v>Yes</x:v>
      </x:c>
      <x:c r="E214" s="118" t="n">
        <x:v>3</x:v>
      </x:c>
      <x:c r="F214" s="118" t="n">
        <x:v>3</x:v>
      </x:c>
      <x:c r="G214" s="117" t="str">
        <x:v>Yes</x:v>
      </x:c>
      <x:c r="H214" s="119" t="str">
        <x:v>Active v3 (Retrieved XML)</x:v>
      </x:c>
      <x:c r="I214" s="117" t="str">
        <x:v>AutoLaunchedFlow</x:v>
      </x:c>
      <x:c r="J214" s="117" t="str">
        <x:v>ProductTest__c</x:v>
      </x:c>
      <x:c r="K214" s="117" t="str">
        <x:v>Yes</x:v>
      </x:c>
      <x:c r="L214" s="117" t="str">
        <x:v>CreateAndUpdate</x:v>
      </x:c>
      <x:c r="M214" s="117" t="str">
        <x:v>RecordAfterSave</x:v>
      </x:c>
      <x:c r="N214" s="117"/>
      <x:c r="O214" s="117"/>
      <x:c r="P214" s="117" t="str"/>
      <x:c r="Q214" s="117" t="str">
        <x:v>61.0</x:v>
      </x:c>
      <x:c r="R214" s="117" t="str">
        <x:v>unmanaged</x:v>
      </x:c>
      <x:c r="S214" s="118" t="n">
        <x:v>3</x:v>
      </x:c>
      <x:c r="T214" s="118" t="n">
        <x:v>2</x:v>
      </x:c>
      <x:c r="U214" s="118" t="n">
        <x:v>1</x:v>
      </x:c>
      <x:c r="V214" s="118" t="n">
        <x:v>0</x:v>
      </x:c>
      <x:c r="W214" s="118" t="n">
        <x:v>1</x:v>
      </x:c>
      <x:c r="X214" s="118" t="n">
        <x:v>0</x:v>
      </x:c>
      <x:c r="Y214" s="118" t="n">
        <x:v>1</x:v>
      </x:c>
      <x:c r="Z214" s="117" t="str">
        <x:v>Isolated lane</x:v>
      </x:c>
      <x:c r="AA214" s="120" t="n">
        <x:v>46163.82040509259</x:v>
      </x:c>
      <x:c r="AB214" s="117" t="str">
        <x:v>Natalie Boger</x:v>
      </x:c>
      <x:c r="AC214" s="119" t="str"/>
      <x:c r="AD214" s="119" t="str">
        <x:v>Active flow has no description</x:v>
      </x:c>
    </x:row>
    <x:row r="215" ht="34" customHeight="1">
      <x:c r="A215" s="117" t="str">
        <x:v>300Ro00000zhGklIAE</x:v>
      </x:c>
      <x:c r="B215" s="117" t="str">
        <x:v>Finalize_Loaner_Turned_Exchange_for_FSL</x:v>
      </x:c>
      <x:c r="C215" s="117" t="str">
        <x:v>Finalize Loaner Turned Exchange for FSL</x:v>
      </x:c>
      <x:c r="D215" s="117" t="str">
        <x:v>Yes</x:v>
      </x:c>
      <x:c r="E215" s="118" t="n">
        <x:v>3</x:v>
      </x:c>
      <x:c r="F215" s="118" t="n">
        <x:v>3</x:v>
      </x:c>
      <x:c r="G215" s="117" t="str">
        <x:v>Yes</x:v>
      </x:c>
      <x:c r="H215" s="119" t="str">
        <x:v>Active v3 (Retrieved XML)</x:v>
      </x:c>
      <x:c r="I215" s="117" t="str">
        <x:v>Flow</x:v>
      </x:c>
      <x:c r="J215" s="117" t="str"/>
      <x:c r="K215" s="117" t="str">
        <x:v>No</x:v>
      </x:c>
      <x:c r="L215" s="117" t="str"/>
      <x:c r="M215" s="117" t="str"/>
      <x:c r="N215" s="117"/>
      <x:c r="O215" s="117"/>
      <x:c r="P215" s="117" t="str"/>
      <x:c r="Q215" s="117" t="str">
        <x:v>66.0</x:v>
      </x:c>
      <x:c r="R215" s="117" t="str">
        <x:v>unmanaged</x:v>
      </x:c>
      <x:c r="S215" s="118" t="n">
        <x:v>3</x:v>
      </x:c>
      <x:c r="T215" s="118" t="n">
        <x:v>10</x:v>
      </x:c>
      <x:c r="U215" s="118" t="n">
        <x:v>2</x:v>
      </x:c>
      <x:c r="V215" s="118" t="n">
        <x:v>0</x:v>
      </x:c>
      <x:c r="W215" s="118" t="n">
        <x:v>0</x:v>
      </x:c>
      <x:c r="X215" s="118" t="n">
        <x:v>0</x:v>
      </x:c>
      <x:c r="Y215" s="118" t="n">
        <x:v>1</x:v>
      </x:c>
      <x:c r="Z215" s="117" t="str">
        <x:v>N/A</x:v>
      </x:c>
      <x:c r="AA215" s="120" t="n">
        <x:v>46190.91663194444</x:v>
      </x:c>
      <x:c r="AB215" s="117" t="str">
        <x:v>Mindy Bender</x:v>
      </x:c>
      <x:c r="AC215" s="119" t="str"/>
      <x:c r="AD215" s="119" t="str">
        <x:v>Active flow has no description</x:v>
      </x:c>
    </x:row>
    <x:row r="216" ht="34" customHeight="1">
      <x:c r="A216" s="117" t="str">
        <x:v>300Ro00000H8rdJIAR</x:v>
      </x:c>
      <x:c r="B216" s="117" t="str">
        <x:v>Fix_Schedule_Overlaps</x:v>
      </x:c>
      <x:c r="C216" s="117" t="str">
        <x:v>Fix Schedule Overlaps</x:v>
      </x:c>
      <x:c r="D216" s="117" t="str">
        <x:v>No</x:v>
      </x:c>
      <x:c r="E216" s="118"/>
      <x:c r="F216" s="118" t="n">
        <x:v>8</x:v>
      </x:c>
      <x:c r="G216" s="117" t="str">
        <x:v>N/A</x:v>
      </x:c>
      <x:c r="H216" s="119" t="str">
        <x:v>Latest inactive v8 (Tooling metadata)</x:v>
      </x:c>
      <x:c r="I216" s="117" t="str">
        <x:v>AutoLaunchedFlow</x:v>
      </x:c>
      <x:c r="J216" s="117" t="str"/>
      <x:c r="K216" s="117" t="str">
        <x:v>No</x:v>
      </x:c>
      <x:c r="L216" s="117" t="str"/>
      <x:c r="M216" s="117" t="str"/>
      <x:c r="N216" s="117"/>
      <x:c r="O216" s="117"/>
      <x:c r="P216" s="117" t="str"/>
      <x:c r="Q216" s="117" t="n">
        <x:v>59</x:v>
      </x:c>
      <x:c r="R216" s="117" t="str">
        <x:v>installed</x:v>
      </x:c>
      <x:c r="S216" s="118" t="n">
        <x:v>2</x:v>
      </x:c>
      <x:c r="T216" s="118" t="n">
        <x:v>7</x:v>
      </x:c>
      <x:c r="U216" s="118" t="n">
        <x:v>1</x:v>
      </x:c>
      <x:c r="V216" s="118" t="n">
        <x:v>0</x:v>
      </x:c>
      <x:c r="W216" s="118" t="n">
        <x:v>2</x:v>
      </x:c>
      <x:c r="X216" s="118" t="n">
        <x:v>0</x:v>
      </x:c>
      <x:c r="Y216" s="118" t="n">
        <x:v>1</x:v>
      </x:c>
      <x:c r="Z216" s="117" t="str">
        <x:v>N/A</x:v>
      </x:c>
      <x:c r="AA216" s="120" t="n">
        <x:v>45941.30975694444</x:v>
      </x:c>
      <x:c r="AB216" s="117" t="str"/>
      <x:c r="AC216" s="119" t="str">
        <x:v>Fixes the schedule when a service appointment ends later than expected.</x:v>
      </x:c>
      <x:c r="AD216" s="119" t="str"/>
    </x:row>
    <x:row r="217" ht="34" customHeight="1">
      <x:c r="A217" s="117" t="str">
        <x:v>300Ro00000nBqTjIAK</x:v>
      </x:c>
      <x:c r="B217" s="117" t="str">
        <x:v>Follow_Work_Order_Upon_Creation</x:v>
      </x:c>
      <x:c r="C217" s="117" t="str">
        <x:v>Follow Work Order Upon Creation</x:v>
      </x:c>
      <x:c r="D217" s="117" t="str">
        <x:v>Yes</x:v>
      </x:c>
      <x:c r="E217" s="118" t="n">
        <x:v>1</x:v>
      </x:c>
      <x:c r="F217" s="118" t="n">
        <x:v>1</x:v>
      </x:c>
      <x:c r="G217" s="117" t="str">
        <x:v>Yes</x:v>
      </x:c>
      <x:c r="H217" s="119" t="str">
        <x:v>Active v1 (Retrieved XML)</x:v>
      </x:c>
      <x:c r="I217" s="117" t="str">
        <x:v>AutoLaunchedFlow</x:v>
      </x:c>
      <x:c r="J217" s="117" t="str">
        <x:v>WorkOrder</x:v>
      </x:c>
      <x:c r="K217" s="117" t="str">
        <x:v>Yes</x:v>
      </x:c>
      <x:c r="L217" s="117" t="str">
        <x:v>Create</x:v>
      </x:c>
      <x:c r="M217" s="117" t="str">
        <x:v>RecordAfterSave</x:v>
      </x:c>
      <x:c r="N217" s="117"/>
      <x:c r="O217" s="117"/>
      <x:c r="P217" s="117" t="str"/>
      <x:c r="Q217" s="117" t="str">
        <x:v>65.0</x:v>
      </x:c>
      <x:c r="R217" s="117" t="str">
        <x:v>unmanaged</x:v>
      </x:c>
      <x:c r="S217" s="118" t="n">
        <x:v>1</x:v>
      </x:c>
      <x:c r="T217" s="118" t="n">
        <x:v>7</x:v>
      </x:c>
      <x:c r="U217" s="118" t="n">
        <x:v>2</x:v>
      </x:c>
      <x:c r="V217" s="118" t="n">
        <x:v>0</x:v>
      </x:c>
      <x:c r="W217" s="118" t="n">
        <x:v>0</x:v>
      </x:c>
      <x:c r="X217" s="118" t="n">
        <x:v>0</x:v>
      </x:c>
      <x:c r="Y217" s="118" t="n">
        <x:v>1</x:v>
      </x:c>
      <x:c r="Z217" s="117" t="str">
        <x:v>Strong</x:v>
      </x:c>
      <x:c r="AA217" s="120" t="n">
        <x:v>46014.066041666665</x:v>
      </x:c>
      <x:c r="AB217" s="117" t="str">
        <x:v>Delegate</x:v>
      </x:c>
      <x:c r="AC217" s="119" t="str">
        <x:v>12/22/2025 (BW) - Upon creation of the work order, follow it so alerts appear in the app for chatters</x:v>
      </x:c>
      <x:c r="AD217" s="119" t="str"/>
    </x:row>
    <x:row r="218" ht="34" customHeight="1">
      <x:c r="A218" s="117" t="str">
        <x:v>300Ro00000mouhpIAA</x:v>
      </x:c>
      <x:c r="B218" s="117" t="str">
        <x:v>FSL_Action_Quick_Quote_2</x:v>
      </x:c>
      <x:c r="C218" s="117" t="str">
        <x:v>FSL Action - Quick Quote</x:v>
      </x:c>
      <x:c r="D218" s="117" t="str">
        <x:v>Yes</x:v>
      </x:c>
      <x:c r="E218" s="118" t="n">
        <x:v>54</x:v>
      </x:c>
      <x:c r="F218" s="118" t="n">
        <x:v>54</x:v>
      </x:c>
      <x:c r="G218" s="117" t="str">
        <x:v>Yes</x:v>
      </x:c>
      <x:c r="H218" s="119" t="str">
        <x:v>Active v54 (Retrieved XML)</x:v>
      </x:c>
      <x:c r="I218" s="117" t="str">
        <x:v>FieldServiceMobile</x:v>
      </x:c>
      <x:c r="J218" s="117" t="str"/>
      <x:c r="K218" s="117" t="str">
        <x:v>No</x:v>
      </x:c>
      <x:c r="L218" s="117" t="str"/>
      <x:c r="M218" s="117" t="str"/>
      <x:c r="N218" s="117"/>
      <x:c r="O218" s="117"/>
      <x:c r="P218" s="117" t="str"/>
      <x:c r="Q218" s="117"/>
      <x:c r="R218" s="117" t="str">
        <x:v>unmanaged</x:v>
      </x:c>
      <x:c r="S218" s="118" t="n">
        <x:v>44</x:v>
      </x:c>
      <x:c r="T218" s="118" t="n">
        <x:v>73</x:v>
      </x:c>
      <x:c r="U218" s="118" t="n">
        <x:v>9</x:v>
      </x:c>
      <x:c r="V218" s="118" t="n">
        <x:v>1</x:v>
      </x:c>
      <x:c r="W218" s="118" t="n">
        <x:v>0</x:v>
      </x:c>
      <x:c r="X218" s="118" t="n">
        <x:v>0</x:v>
      </x:c>
      <x:c r="Y218" s="118" t="n">
        <x:v>4</x:v>
      </x:c>
      <x:c r="Z218" s="117" t="str">
        <x:v>N/A</x:v>
      </x:c>
      <x:c r="AA218" s="120" t="n">
        <x:v>46185.62689814815</x:v>
      </x:c>
      <x:c r="AB218" s="117" t="str">
        <x:v>Mindy Bender</x:v>
      </x:c>
      <x:c r="AC218" s="119" t="str">
        <x:v>06/12/2026 - MPB - Added Attn capture on manual entry</x:v>
      </x:c>
      <x:c r="AD218" s="119" t="str">
        <x:v>High element count; Touches many objects</x:v>
      </x:c>
    </x:row>
    <x:row r="219" ht="34" customHeight="1">
      <x:c r="A219" s="117" t="str">
        <x:v>300Ro00000QRjbbIAD</x:v>
      </x:c>
      <x:c r="B219" s="117" t="str">
        <x:v>FSL_App_Upload_Pictures_Screen_Flow</x:v>
      </x:c>
      <x:c r="C219" s="117" t="str">
        <x:v>FSL App Upload Pictures Screen Flow</x:v>
      </x:c>
      <x:c r="D219" s="117" t="str">
        <x:v>Yes</x:v>
      </x:c>
      <x:c r="E219" s="118" t="n">
        <x:v>2</x:v>
      </x:c>
      <x:c r="F219" s="118" t="n">
        <x:v>2</x:v>
      </x:c>
      <x:c r="G219" s="117" t="str">
        <x:v>Yes</x:v>
      </x:c>
      <x:c r="H219" s="119" t="str">
        <x:v>Active v2 (Retrieved XML)</x:v>
      </x:c>
      <x:c r="I219" s="117" t="str">
        <x:v>FieldServiceMobile</x:v>
      </x:c>
      <x:c r="J219" s="117" t="str"/>
      <x:c r="K219" s="117" t="str">
        <x:v>No</x:v>
      </x:c>
      <x:c r="L219" s="117" t="str"/>
      <x:c r="M219" s="117" t="str"/>
      <x:c r="N219" s="117"/>
      <x:c r="O219" s="117"/>
      <x:c r="P219" s="117" t="str"/>
      <x:c r="Q219" s="117"/>
      <x:c r="R219" s="117" t="str">
        <x:v>unmanaged</x:v>
      </x:c>
      <x:c r="S219" s="118" t="n">
        <x:v>2</x:v>
      </x:c>
      <x:c r="T219" s="118" t="n">
        <x:v>4</x:v>
      </x:c>
      <x:c r="U219" s="118" t="n">
        <x:v>2</x:v>
      </x:c>
      <x:c r="V219" s="118" t="n">
        <x:v>0</x:v>
      </x:c>
      <x:c r="W219" s="118" t="n">
        <x:v>0</x:v>
      </x:c>
      <x:c r="X219" s="118" t="n">
        <x:v>1</x:v>
      </x:c>
      <x:c r="Y219" s="118" t="n">
        <x:v>1</x:v>
      </x:c>
      <x:c r="Z219" s="117" t="str">
        <x:v>N/A</x:v>
      </x:c>
      <x:c r="AA219" s="120" t="n">
        <x:v>45735.537094907406</x:v>
      </x:c>
      <x:c r="AB219" s="117" t="str">
        <x:v>Delegate</x:v>
      </x:c>
      <x:c r="AC219" s="119" t="str">
        <x:v>03/19/2025 (BW) - Added an update to the last completed work steps</x:v>
      </x:c>
      <x:c r="AD219" s="119" t="str"/>
    </x:row>
    <x:row r="220" ht="34" customHeight="1">
      <x:c r="A220" s="117" t="str">
        <x:v>300Ro00000ydLuvIAE</x:v>
      </x:c>
      <x:c r="B220" s="117" t="str">
        <x:v>FSL_Close_Out_Service_Appointment_Field_Service_Mobile_Flow</x:v>
      </x:c>
      <x:c r="C220" s="117" t="str">
        <x:v>FSL - Close Out Service Appointment - Field Service Mobile Flow</x:v>
      </x:c>
      <x:c r="D220" s="117" t="str">
        <x:v>No</x:v>
      </x:c>
      <x:c r="E220" s="118"/>
      <x:c r="F220" s="118" t="n">
        <x:v>4</x:v>
      </x:c>
      <x:c r="G220" s="117" t="str">
        <x:v>N/A</x:v>
      </x:c>
      <x:c r="H220" s="119" t="str">
        <x:v>Latest inactive v4 (Retrieved XML)</x:v>
      </x:c>
      <x:c r="I220" s="117" t="str">
        <x:v>FieldServiceMobile</x:v>
      </x:c>
      <x:c r="J220" s="117" t="str"/>
      <x:c r="K220" s="117" t="str">
        <x:v>No</x:v>
      </x:c>
      <x:c r="L220" s="117" t="str"/>
      <x:c r="M220" s="117" t="str"/>
      <x:c r="N220" s="117"/>
      <x:c r="O220" s="117"/>
      <x:c r="P220" s="117" t="str"/>
      <x:c r="Q220" s="117"/>
      <x:c r="R220" s="117" t="str">
        <x:v>unmanaged</x:v>
      </x:c>
      <x:c r="S220" s="118" t="n">
        <x:v>4</x:v>
      </x:c>
      <x:c r="T220" s="118" t="n">
        <x:v>74</x:v>
      </x:c>
      <x:c r="U220" s="118" t="n">
        <x:v>13</x:v>
      </x:c>
      <x:c r="V220" s="118" t="n">
        <x:v>0</x:v>
      </x:c>
      <x:c r="W220" s="118" t="n">
        <x:v>2</x:v>
      </x:c>
      <x:c r="X220" s="118" t="n">
        <x:v>0</x:v>
      </x:c>
      <x:c r="Y220" s="118" t="n">
        <x:v>4</x:v>
      </x:c>
      <x:c r="Z220" s="117" t="str">
        <x:v>N/A</x:v>
      </x:c>
      <x:c r="AA220" s="120" t="n">
        <x:v>46184.58578703704</x:v>
      </x:c>
      <x:c r="AB220" s="117" t="str">
        <x:v>Sacha Pearce</x:v>
      </x:c>
      <x:c r="AC220" s="119" t="str">
        <x:v>Saving a new version to reduce the number of screens.</x:v>
      </x:c>
      <x:c r="AD220" s="119" t="str">
        <x:v>High element count; Touches many objects</x:v>
      </x:c>
    </x:row>
    <x:row r="221" ht="34" customHeight="1">
      <x:c r="A221" s="117" t="str">
        <x:v>300Ro00000sJizMIAS</x:v>
      </x:c>
      <x:c r="B221" s="117" t="str">
        <x:v>FSL_CR_Checklist</x:v>
      </x:c>
      <x:c r="C221" s="117" t="str">
        <x:v>FSL - CR Checklist</x:v>
      </x:c>
      <x:c r="D221" s="117" t="str">
        <x:v>Yes</x:v>
      </x:c>
      <x:c r="E221" s="118" t="n">
        <x:v>6</x:v>
      </x:c>
      <x:c r="F221" s="118" t="n">
        <x:v>6</x:v>
      </x:c>
      <x:c r="G221" s="117" t="str">
        <x:v>Yes</x:v>
      </x:c>
      <x:c r="H221" s="119" t="str">
        <x:v>Active v6 (Retrieved XML)</x:v>
      </x:c>
      <x:c r="I221" s="117" t="str">
        <x:v>FieldServiceMobile</x:v>
      </x:c>
      <x:c r="J221" s="117" t="str"/>
      <x:c r="K221" s="117" t="str">
        <x:v>No</x:v>
      </x:c>
      <x:c r="L221" s="117" t="str"/>
      <x:c r="M221" s="117" t="str"/>
      <x:c r="N221" s="117"/>
      <x:c r="O221" s="117"/>
      <x:c r="P221" s="117" t="str"/>
      <x:c r="Q221" s="117"/>
      <x:c r="R221" s="117" t="str">
        <x:v>unmanaged</x:v>
      </x:c>
      <x:c r="S221" s="118" t="n">
        <x:v>6</x:v>
      </x:c>
      <x:c r="T221" s="118" t="n">
        <x:v>16</x:v>
      </x:c>
      <x:c r="U221" s="118" t="n">
        <x:v>3</x:v>
      </x:c>
      <x:c r="V221" s="118" t="n">
        <x:v>0</x:v>
      </x:c>
      <x:c r="W221" s="118" t="n">
        <x:v>0</x:v>
      </x:c>
      <x:c r="X221" s="118" t="n">
        <x:v>0</x:v>
      </x:c>
      <x:c r="Y221" s="118" t="n">
        <x:v>3</x:v>
      </x:c>
      <x:c r="Z221" s="117" t="str">
        <x:v>N/A</x:v>
      </x:c>
      <x:c r="AA221" s="120" t="n">
        <x:v>46156.42938657408</x:v>
      </x:c>
      <x:c r="AB221" s="117" t="str">
        <x:v>Sacha Pearce</x:v>
      </x:c>
      <x:c r="AC221" s="119" t="str"/>
      <x:c r="AD221" s="119" t="str">
        <x:v>Active flow has no description</x:v>
      </x:c>
    </x:row>
    <x:row r="222" ht="34" customHeight="1">
      <x:c r="A222" s="117" t="str">
        <x:v>300Ro00000XP224IAD</x:v>
      </x:c>
      <x:c r="B222" s="117" t="str">
        <x:v>FSL_Engineer_Dispatched_Email_Alert</x:v>
      </x:c>
      <x:c r="C222" s="117" t="str">
        <x:v>FSL - Engineer Dispatched Email Alert</x:v>
      </x:c>
      <x:c r="D222" s="117" t="str">
        <x:v>Yes</x:v>
      </x:c>
      <x:c r="E222" s="118" t="n">
        <x:v>8</x:v>
      </x:c>
      <x:c r="F222" s="118" t="n">
        <x:v>8</x:v>
      </x:c>
      <x:c r="G222" s="117" t="str">
        <x:v>Yes</x:v>
      </x:c>
      <x:c r="H222" s="119" t="str">
        <x:v>Active v8 (Retrieved XML)</x:v>
      </x:c>
      <x:c r="I222" s="117" t="str">
        <x:v>AutoLaunchedFlow</x:v>
      </x:c>
      <x:c r="J222" s="117" t="str">
        <x:v>ServiceAppointment</x:v>
      </x:c>
      <x:c r="K222" s="117" t="str">
        <x:v>Yes</x:v>
      </x:c>
      <x:c r="L222" s="117" t="str">
        <x:v>Update</x:v>
      </x:c>
      <x:c r="M222" s="117" t="str">
        <x:v>RecordAfterSave</x:v>
      </x:c>
      <x:c r="N222" s="117"/>
      <x:c r="O222" s="117"/>
      <x:c r="P222" s="117" t="str"/>
      <x:c r="Q222" s="117" t="str">
        <x:v>63.0</x:v>
      </x:c>
      <x:c r="R222" s="117" t="str">
        <x:v>unmanaged</x:v>
      </x:c>
      <x:c r="S222" s="118" t="n">
        <x:v>8</x:v>
      </x:c>
      <x:c r="T222" s="118" t="n">
        <x:v>2</x:v>
      </x:c>
      <x:c r="U222" s="118" t="n">
        <x:v>1</x:v>
      </x:c>
      <x:c r="V222" s="118" t="n">
        <x:v>0</x:v>
      </x:c>
      <x:c r="W222" s="118" t="n">
        <x:v>1</x:v>
      </x:c>
      <x:c r="X222" s="118" t="n">
        <x:v>0</x:v>
      </x:c>
      <x:c r="Y222" s="118" t="n">
        <x:v>1</x:v>
      </x:c>
      <x:c r="Z222" s="117" t="str">
        <x:v>Strong</x:v>
      </x:c>
      <x:c r="AA222" s="120" t="n">
        <x:v>46036.37556712963</x:v>
      </x:c>
      <x:c r="AB222" s="117" t="str">
        <x:v>Sacha Pearce</x:v>
      </x:c>
      <x:c r="AC222" s="119" t="str">
        <x:v>11/06/2025 - V7 - Added Appointment Type is not equal to Tech Support Call in the entry conditions. Spoke to the Ultrasound Dispatch Team and they do not need to be notified when Tech Support Calls are set to Dispatched. Case 00008417 also reported that duplicate emails were being sent for Tech Support Calls so this should now be solved as well.
14/01/2025 - V8 - SP - Adding "Work Type" to the "Engineer DispatchedEmailTemplate" Text Template.</x:v>
      </x:c>
      <x:c r="AD222" s="119" t="str"/>
    </x:row>
    <x:row r="223" ht="34" customHeight="1">
      <x:c r="A223" s="117" t="str">
        <x:v>300Ro00000vEXZZIA4</x:v>
      </x:c>
      <x:c r="B223" s="117" t="str">
        <x:v>FSL_Field_Service_Mobile_Flow_Nuclear_Medicine_Checklist</x:v>
      </x:c>
      <x:c r="C223" s="117" t="str">
        <x:v>FSL - Field Service Mobile Flow - Nuclear Medicine Checklist</x:v>
      </x:c>
      <x:c r="D223" s="117" t="str">
        <x:v>No</x:v>
      </x:c>
      <x:c r="E223" s="118"/>
      <x:c r="F223" s="118" t="n">
        <x:v>2</x:v>
      </x:c>
      <x:c r="G223" s="117" t="str">
        <x:v>N/A</x:v>
      </x:c>
      <x:c r="H223" s="119" t="str">
        <x:v>Latest inactive v2 (Retrieved XML)</x:v>
      </x:c>
      <x:c r="I223" s="117" t="str">
        <x:v>FieldServiceMobile</x:v>
      </x:c>
      <x:c r="J223" s="117" t="str"/>
      <x:c r="K223" s="117" t="str">
        <x:v>No</x:v>
      </x:c>
      <x:c r="L223" s="117" t="str"/>
      <x:c r="M223" s="117" t="str"/>
      <x:c r="N223" s="117"/>
      <x:c r="O223" s="117"/>
      <x:c r="P223" s="117" t="str"/>
      <x:c r="Q223" s="117"/>
      <x:c r="R223" s="117" t="str">
        <x:v>unmanaged</x:v>
      </x:c>
      <x:c r="S223" s="118" t="n">
        <x:v>2</x:v>
      </x:c>
      <x:c r="T223" s="118" t="n">
        <x:v>17</x:v>
      </x:c>
      <x:c r="U223" s="118" t="n">
        <x:v>5</x:v>
      </x:c>
      <x:c r="V223" s="118" t="n">
        <x:v>0</x:v>
      </x:c>
      <x:c r="W223" s="118" t="n">
        <x:v>0</x:v>
      </x:c>
      <x:c r="X223" s="118" t="n">
        <x:v>0</x:v>
      </x:c>
      <x:c r="Y223" s="118" t="n">
        <x:v>3</x:v>
      </x:c>
      <x:c r="Z223" s="117" t="str">
        <x:v>N/A</x:v>
      </x:c>
      <x:c r="AA223" s="120" t="n">
        <x:v>46149.43409722222</x:v>
      </x:c>
      <x:c r="AB223" s="117" t="str">
        <x:v>Sacha Pearce</x:v>
      </x:c>
      <x:c r="AC223" s="119" t="str">
        <x:v>07/05/2026 - SP - Reducing the number of fields and sections.</x:v>
      </x:c>
      <x:c r="AD223" s="119" t="str">
        <x:v>Touches many objects</x:v>
      </x:c>
    </x:row>
    <x:row r="224" ht="34" customHeight="1">
      <x:c r="A224" s="117" t="str">
        <x:v>300Ro00000pEARxIAO</x:v>
      </x:c>
      <x:c r="B224" s="117" t="str">
        <x:v>FSL_Formatted_HTML_Service_Report_Update</x:v>
      </x:c>
      <x:c r="C224" s="117" t="str">
        <x:v>FSL - Formatted HTML Service Report Update</x:v>
      </x:c>
      <x:c r="D224" s="117" t="str">
        <x:v>Yes</x:v>
      </x:c>
      <x:c r="E224" s="118" t="n">
        <x:v>35</x:v>
      </x:c>
      <x:c r="F224" s="118" t="n">
        <x:v>35</x:v>
      </x:c>
      <x:c r="G224" s="117" t="str">
        <x:v>Yes</x:v>
      </x:c>
      <x:c r="H224" s="119" t="str">
        <x:v>Active v35 (Retrieved XML)</x:v>
      </x:c>
      <x:c r="I224" s="117" t="str">
        <x:v>AutoLaunchedFlow</x:v>
      </x:c>
      <x:c r="J224" s="117" t="str">
        <x:v>ServiceAppointment</x:v>
      </x:c>
      <x:c r="K224" s="117" t="str">
        <x:v>Yes</x:v>
      </x:c>
      <x:c r="L224" s="117" t="str">
        <x:v>Update</x:v>
      </x:c>
      <x:c r="M224" s="117" t="str">
        <x:v>RecordAfterSave</x:v>
      </x:c>
      <x:c r="N224" s="117"/>
      <x:c r="O224" s="117"/>
      <x:c r="P224" s="117" t="str"/>
      <x:c r="Q224" s="117" t="str">
        <x:v>65.0</x:v>
      </x:c>
      <x:c r="R224" s="117" t="str">
        <x:v>unmanaged</x:v>
      </x:c>
      <x:c r="S224" s="118" t="n">
        <x:v>34</x:v>
      </x:c>
      <x:c r="T224" s="118" t="n">
        <x:v>22</x:v>
      </x:c>
      <x:c r="U224" s="118" t="n">
        <x:v>3</x:v>
      </x:c>
      <x:c r="V224" s="118" t="n">
        <x:v>0</x:v>
      </x:c>
      <x:c r="W224" s="118" t="n">
        <x:v>0</x:v>
      </x:c>
      <x:c r="X224" s="118" t="n">
        <x:v>0</x:v>
      </x:c>
      <x:c r="Y224" s="118" t="n">
        <x:v>3</x:v>
      </x:c>
      <x:c r="Z224" s="117" t="str">
        <x:v>Strong</x:v>
      </x:c>
      <x:c r="AA224" s="120" t="n">
        <x:v>46231.39341435185</x:v>
      </x:c>
      <x:c r="AB224" s="117" t="str">
        <x:v>Sacha Pearce</x:v>
      </x:c>
      <x:c r="AC224" s="119" t="str">
        <x:v>21/03/2026 - SP - Adding Ultrasound Electrical Safety Test.</x:v>
      </x:c>
      <x:c r="AD224" s="119" t="str"/>
    </x:row>
    <x:row r="225" ht="34" customHeight="1">
      <x:c r="A225" s="117" t="str">
        <x:v>300Ro00000mjG6bIAE</x:v>
      </x:c>
      <x:c r="B225" s="117" t="str">
        <x:v>FSL_Formatted_Service_Report_Update</x:v>
      </x:c>
      <x:c r="C225" s="117" t="str">
        <x:v>FSL - Formatted Service Report Update</x:v>
      </x:c>
      <x:c r="D225" s="117" t="str">
        <x:v>No</x:v>
      </x:c>
      <x:c r="E225" s="118"/>
      <x:c r="F225" s="118" t="n">
        <x:v>51</x:v>
      </x:c>
      <x:c r="G225" s="117" t="str">
        <x:v>N/A</x:v>
      </x:c>
      <x:c r="H225" s="119" t="str">
        <x:v>Latest inactive v51 (Retrieved XML)</x:v>
      </x:c>
      <x:c r="I225" s="117" t="str">
        <x:v>AutoLaunchedFlow</x:v>
      </x:c>
      <x:c r="J225" s="117" t="str">
        <x:v>ServiceAppointment</x:v>
      </x:c>
      <x:c r="K225" s="117" t="str">
        <x:v>No</x:v>
      </x:c>
      <x:c r="L225" s="117" t="str">
        <x:v>Update</x:v>
      </x:c>
      <x:c r="M225" s="117" t="str">
        <x:v>RecordAfterSave</x:v>
      </x:c>
      <x:c r="N225" s="117"/>
      <x:c r="O225" s="117"/>
      <x:c r="P225" s="117" t="str"/>
      <x:c r="Q225" s="117" t="str">
        <x:v>65.0</x:v>
      </x:c>
      <x:c r="R225" s="117" t="str">
        <x:v>unmanaged</x:v>
      </x:c>
      <x:c r="S225" s="118" t="n">
        <x:v>50</x:v>
      </x:c>
      <x:c r="T225" s="118" t="n">
        <x:v>13</x:v>
      </x:c>
      <x:c r="U225" s="118" t="n">
        <x:v>1</x:v>
      </x:c>
      <x:c r="V225" s="118" t="n">
        <x:v>0</x:v>
      </x:c>
      <x:c r="W225" s="118" t="n">
        <x:v>0</x:v>
      </x:c>
      <x:c r="X225" s="118" t="n">
        <x:v>0</x:v>
      </x:c>
      <x:c r="Y225" s="118" t="n">
        <x:v>1</x:v>
      </x:c>
      <x:c r="Z225" s="117" t="str">
        <x:v>N/A</x:v>
      </x:c>
      <x:c r="AA225" s="120" t="n">
        <x:v>46049.397731481484</x:v>
      </x:c>
      <x:c r="AB225" s="117" t="str">
        <x:v>Sacha Pearce</x:v>
      </x:c>
      <x:c r="AC225"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c r="AD225" s="119" t="str"/>
    </x:row>
    <x:row r="226" ht="34" customHeight="1">
      <x:c r="A226" s="117" t="str">
        <x:v>300Ro00000S83DZIAZ</x:v>
      </x:c>
      <x:c r="B226" s="117" t="str">
        <x:v>FSL_Mobile_Create_Lead_Autolaunched</x:v>
      </x:c>
      <x:c r="C226" s="117" t="str">
        <x:v>FSL Mobile - Create Lead - Autolaunched</x:v>
      </x:c>
      <x:c r="D226" s="117" t="str">
        <x:v>Yes</x:v>
      </x:c>
      <x:c r="E226" s="118" t="n">
        <x:v>5</x:v>
      </x:c>
      <x:c r="F226" s="118" t="n">
        <x:v>6</x:v>
      </x:c>
      <x:c r="G226" s="117" t="str">
        <x:v>No</x:v>
      </x:c>
      <x:c r="H226" s="119" t="str">
        <x:v>Active v5 (Tooling metadata)</x:v>
      </x:c>
      <x:c r="I226" s="117" t="str">
        <x:v>FieldServiceMobile</x:v>
      </x:c>
      <x:c r="J226" s="117" t="str"/>
      <x:c r="K226" s="117" t="str">
        <x:v>No</x:v>
      </x:c>
      <x:c r="L226" s="117" t="str"/>
      <x:c r="M226" s="117" t="str"/>
      <x:c r="N226" s="117"/>
      <x:c r="O226" s="117"/>
      <x:c r="P226" s="117" t="str"/>
      <x:c r="Q226" s="117"/>
      <x:c r="R226" s="117" t="str">
        <x:v>unmanaged</x:v>
      </x:c>
      <x:c r="S226" s="118" t="n">
        <x:v>6</x:v>
      </x:c>
      <x:c r="T226" s="118" t="n">
        <x:v>11</x:v>
      </x:c>
      <x:c r="U226" s="118" t="n">
        <x:v>3</x:v>
      </x:c>
      <x:c r="V226" s="118" t="n">
        <x:v>0</x:v>
      </x:c>
      <x:c r="W226" s="118" t="n">
        <x:v>0</x:v>
      </x:c>
      <x:c r="X226" s="118" t="n">
        <x:v>0</x:v>
      </x:c>
      <x:c r="Y226" s="118" t="n">
        <x:v>2</x:v>
      </x:c>
      <x:c r="Z226" s="117" t="str">
        <x:v>N/A</x:v>
      </x:c>
      <x:c r="AA226" s="120" t="n">
        <x:v>46190.43109953704</x:v>
      </x:c>
      <x:c r="AB226" s="117" t="str">
        <x:v>Sacha Pearce</x:v>
      </x:c>
      <x:c r="AC226" s="119" t="str">
        <x:v>17/06/2026 - SP - Upating Flow by removing fields.</x:v>
      </x:c>
      <x:c r="AD226" s="119" t="str">
        <x:v>Active version differs from latest</x:v>
      </x:c>
    </x:row>
    <x:row r="227" ht="34" customHeight="1">
      <x:c r="A227" s="117" t="str">
        <x:v>300Ro00000cnT4mIAE</x:v>
      </x:c>
      <x:c r="B227" s="117" t="str">
        <x:v>FSL_Mobile_Create_Lead_US</x:v>
      </x:c>
      <x:c r="C227" s="117" t="str">
        <x:v>FSL Mobile - Create Lead US</x:v>
      </x:c>
      <x:c r="D227" s="117" t="str">
        <x:v>Yes</x:v>
      </x:c>
      <x:c r="E227" s="118" t="n">
        <x:v>34</x:v>
      </x:c>
      <x:c r="F227" s="118" t="n">
        <x:v>34</x:v>
      </x:c>
      <x:c r="G227" s="117" t="str">
        <x:v>Yes</x:v>
      </x:c>
      <x:c r="H227" s="119" t="str">
        <x:v>Active v34 (Retrieved XML)</x:v>
      </x:c>
      <x:c r="I227" s="117" t="str">
        <x:v>FieldServiceMobile</x:v>
      </x:c>
      <x:c r="J227" s="117" t="str"/>
      <x:c r="K227" s="117" t="str">
        <x:v>No</x:v>
      </x:c>
      <x:c r="L227" s="117" t="str"/>
      <x:c r="M227" s="117" t="str"/>
      <x:c r="N227" s="117"/>
      <x:c r="O227" s="117"/>
      <x:c r="P227" s="117" t="str"/>
      <x:c r="Q227" s="117"/>
      <x:c r="R227" s="117" t="str">
        <x:v>unmanaged</x:v>
      </x:c>
      <x:c r="S227" s="118" t="n">
        <x:v>2</x:v>
      </x:c>
      <x:c r="T227" s="118" t="n">
        <x:v>132</x:v>
      </x:c>
      <x:c r="U227" s="118" t="n">
        <x:v>12</x:v>
      </x:c>
      <x:c r="V227" s="118" t="n">
        <x:v>6</x:v>
      </x:c>
      <x:c r="W227" s="118" t="n">
        <x:v>2</x:v>
      </x:c>
      <x:c r="X227" s="118" t="n">
        <x:v>1</x:v>
      </x:c>
      <x:c r="Y227" s="118" t="n">
        <x:v>5</x:v>
      </x:c>
      <x:c r="Z227" s="117" t="str">
        <x:v>N/A</x:v>
      </x:c>
      <x:c r="AA227" s="120" t="n">
        <x:v>46056.56300925926</x:v>
      </x:c>
      <x:c r="AB227" s="117" t="str">
        <x:v>Delegate</x:v>
      </x:c>
      <x:c r="AC227" s="119" t="str">
        <x:v>02/03/3036 (BW) - Updating this flow so that it makes more sense with how the process goes today</x:v>
      </x:c>
      <x:c r="AD227" s="119" t="str">
        <x:v>High element count; Touches many objects</x:v>
      </x:c>
    </x:row>
    <x:row r="228" ht="34" customHeight="1">
      <x:c r="A228" s="117" t="str">
        <x:v>300Ro00000qOg6fIAC</x:v>
      </x:c>
      <x:c r="B228" s="117" t="str">
        <x:v>FSL_Mobile_End_Screen_for_FSL_PDF_Generation</x:v>
      </x:c>
      <x:c r="C228" s="117" t="str">
        <x:v>US FSL Mobile | End Screen for FSL PDF Generation</x:v>
      </x:c>
      <x:c r="D228" s="117" t="str">
        <x:v>Yes</x:v>
      </x:c>
      <x:c r="E228" s="118" t="n">
        <x:v>15</x:v>
      </x:c>
      <x:c r="F228" s="118" t="n">
        <x:v>15</x:v>
      </x:c>
      <x:c r="G228" s="117" t="str">
        <x:v>Yes</x:v>
      </x:c>
      <x:c r="H228" s="119" t="str">
        <x:v>Active v15 (Retrieved XML)</x:v>
      </x:c>
      <x:c r="I228" s="117" t="str">
        <x:v>FieldServiceMobile</x:v>
      </x:c>
      <x:c r="J228" s="117" t="str"/>
      <x:c r="K228" s="117" t="str">
        <x:v>No</x:v>
      </x:c>
      <x:c r="L228" s="117" t="str"/>
      <x:c r="M228" s="117" t="str"/>
      <x:c r="N228" s="117"/>
      <x:c r="O228" s="117"/>
      <x:c r="P228" s="117" t="str"/>
      <x:c r="Q228" s="117"/>
      <x:c r="R228" s="117" t="str">
        <x:v>unmanaged</x:v>
      </x:c>
      <x:c r="S228" s="118" t="n">
        <x:v>15</x:v>
      </x:c>
      <x:c r="T228" s="118" t="n">
        <x:v>14</x:v>
      </x:c>
      <x:c r="U228" s="118" t="n">
        <x:v>4</x:v>
      </x:c>
      <x:c r="V228" s="118" t="n">
        <x:v>0</x:v>
      </x:c>
      <x:c r="W228" s="118" t="n">
        <x:v>0</x:v>
      </x:c>
      <x:c r="X228" s="118" t="n">
        <x:v>0</x:v>
      </x:c>
      <x:c r="Y228" s="118" t="n">
        <x:v>2</x:v>
      </x:c>
      <x:c r="Z228" s="117" t="str">
        <x:v>N/A</x:v>
      </x:c>
      <x:c r="AA228" s="120" t="n">
        <x:v>46190.56930555555</x:v>
      </x:c>
      <x:c r="AB228" s="117" t="str">
        <x:v>Mindy Bender</x:v>
      </x:c>
      <x:c r="AC228" s="119" t="str">
        <x:v>06/17/2026 - MPB - Updated account name to pull from varAccountName so it updates Billing Account Name.</x:v>
      </x:c>
      <x:c r="AD228" s="119" t="str">
        <x:v>Touches many objects</x:v>
      </x:c>
    </x:row>
    <x:row r="229" ht="34" customHeight="1">
      <x:c r="A229" s="117" t="str">
        <x:v>300Ro00000pvIVtIAM</x:v>
      </x:c>
      <x:c r="B229" s="117" t="str">
        <x:v>FSL_Mobile_Service_Appointment_Closeout</x:v>
      </x:c>
      <x:c r="C229" s="117" t="str">
        <x:v>FSL Mobile - Service Appointment Closeout</x:v>
      </x:c>
      <x:c r="D229" s="117" t="str">
        <x:v>Yes</x:v>
      </x:c>
      <x:c r="E229" s="118" t="n">
        <x:v>1</x:v>
      </x:c>
      <x:c r="F229" s="118" t="n">
        <x:v>1</x:v>
      </x:c>
      <x:c r="G229" s="117" t="str">
        <x:v>Yes</x:v>
      </x:c>
      <x:c r="H229" s="119" t="str">
        <x:v>Active v1 (Retrieved XML)</x:v>
      </x:c>
      <x:c r="I229" s="117" t="str">
        <x:v>FieldServiceMobile</x:v>
      </x:c>
      <x:c r="J229" s="117" t="str"/>
      <x:c r="K229" s="117" t="str">
        <x:v>No</x:v>
      </x:c>
      <x:c r="L229" s="117" t="str"/>
      <x:c r="M229" s="117" t="str"/>
      <x:c r="N229" s="117"/>
      <x:c r="O229" s="117"/>
      <x:c r="P229" s="117" t="str"/>
      <x:c r="Q229" s="117"/>
      <x:c r="R229" s="117" t="str">
        <x:v>unmanaged</x:v>
      </x:c>
      <x:c r="S229" s="118" t="n">
        <x:v>1</x:v>
      </x:c>
      <x:c r="T229" s="118" t="n">
        <x:v>183</x:v>
      </x:c>
      <x:c r="U229" s="118" t="n">
        <x:v>12</x:v>
      </x:c>
      <x:c r="V229" s="118" t="n">
        <x:v>1</x:v>
      </x:c>
      <x:c r="W229" s="118" t="n">
        <x:v>2</x:v>
      </x:c>
      <x:c r="X229" s="118" t="n">
        <x:v>0</x:v>
      </x:c>
      <x:c r="Y229" s="118" t="n">
        <x:v>4</x:v>
      </x:c>
      <x:c r="Z229" s="117" t="str">
        <x:v>N/A</x:v>
      </x:c>
      <x:c r="AA229" s="120" t="n">
        <x:v>46057.42454861111</x:v>
      </x:c>
      <x:c r="AB229" s="117" t="str">
        <x:v>Sacha Pearce</x:v>
      </x:c>
      <x:c r="AC229" s="119" t="str">
        <x:v>This replaces the "Update Comments" Flow due to Flow version limits.</x:v>
      </x:c>
      <x:c r="AD229" s="119" t="str">
        <x:v>High element count; Touches many objects</x:v>
      </x:c>
    </x:row>
    <x:row r="230" ht="34" customHeight="1">
      <x:c r="A230" s="117" t="str">
        <x:v>300Ro00000cnT4nIAE</x:v>
      </x:c>
      <x:c r="B230" s="117" t="str">
        <x:v>FSL_Parts_Order</x:v>
      </x:c>
      <x:c r="C230" s="117" t="str">
        <x:v>FSL - Parts Order</x:v>
      </x:c>
      <x:c r="D230" s="117" t="str">
        <x:v>No</x:v>
      </x:c>
      <x:c r="E230" s="118"/>
      <x:c r="F230" s="118" t="n">
        <x:v>1</x:v>
      </x:c>
      <x:c r="G230" s="117" t="str">
        <x:v>N/A</x:v>
      </x:c>
      <x:c r="H230" s="119" t="str">
        <x:v>Latest inactive v1 (Retrieved XML)</x:v>
      </x:c>
      <x:c r="I230" s="117" t="str">
        <x:v>Flow</x:v>
      </x:c>
      <x:c r="J230" s="117" t="str"/>
      <x:c r="K230" s="117" t="str">
        <x:v>No</x:v>
      </x:c>
      <x:c r="L230" s="117" t="str"/>
      <x:c r="M230" s="117" t="str"/>
      <x:c r="N230" s="117"/>
      <x:c r="O230" s="117"/>
      <x:c r="P230" s="117" t="str"/>
      <x:c r="Q230" s="117" t="str">
        <x:v>63.0</x:v>
      </x:c>
      <x:c r="R230" s="117" t="str">
        <x:v>unmanaged</x:v>
      </x:c>
      <x:c r="S230" s="118" t="n">
        <x:v>1</x:v>
      </x:c>
      <x:c r="T230" s="118" t="n">
        <x:v>14</x:v>
      </x:c>
      <x:c r="U230" s="118" t="n">
        <x:v>5</x:v>
      </x:c>
      <x:c r="V230" s="118" t="n">
        <x:v>0</x:v>
      </x:c>
      <x:c r="W230" s="118" t="n">
        <x:v>0</x:v>
      </x:c>
      <x:c r="X230" s="118" t="n">
        <x:v>2</x:v>
      </x:c>
      <x:c r="Y230" s="118" t="n">
        <x:v>2</x:v>
      </x:c>
      <x:c r="Z230" s="117" t="str">
        <x:v>N/A</x:v>
      </x:c>
      <x:c r="AA230" s="120" t="n">
        <x:v>45882.8530787037</x:v>
      </x:c>
      <x:c r="AB230" s="117" t="str">
        <x:v>Delegate</x:v>
      </x:c>
      <x:c r="AC230" s="119" t="str"/>
      <x:c r="AD230" s="119" t="str">
        <x:v>Touches many objects</x:v>
      </x:c>
    </x:row>
    <x:row r="231" ht="34" customHeight="1">
      <x:c r="A231" s="117" t="str">
        <x:v>300Ro00000SQcUYIA1</x:v>
      </x:c>
      <x:c r="B231" s="117" t="str">
        <x:v>FSL_Screen_Flow_Update_Checksheet_Output_After_It_s_Been_Generated</x:v>
      </x:c>
      <x:c r="C231" s="117" t="str">
        <x:v>FSL Screen Flow: Update Checksheet Output After It's Been Generated</x:v>
      </x:c>
      <x:c r="D231" s="117" t="str">
        <x:v>Yes</x:v>
      </x:c>
      <x:c r="E231" s="118" t="n">
        <x:v>5</x:v>
      </x:c>
      <x:c r="F231" s="118" t="n">
        <x:v>6</x:v>
      </x:c>
      <x:c r="G231" s="117" t="str">
        <x:v>No</x:v>
      </x:c>
      <x:c r="H231" s="119" t="str">
        <x:v>Active v5 (Tooling metadata)</x:v>
      </x:c>
      <x:c r="I231" s="117" t="str">
        <x:v>FieldServiceMobile</x:v>
      </x:c>
      <x:c r="J231" s="117" t="str"/>
      <x:c r="K231" s="117" t="str">
        <x:v>No</x:v>
      </x:c>
      <x:c r="L231" s="117" t="str"/>
      <x:c r="M231" s="117" t="str"/>
      <x:c r="N231" s="117"/>
      <x:c r="O231" s="117"/>
      <x:c r="P231" s="117" t="str"/>
      <x:c r="Q231" s="117"/>
      <x:c r="R231" s="117" t="str">
        <x:v>unmanaged</x:v>
      </x:c>
      <x:c r="S231" s="118" t="n">
        <x:v>6</x:v>
      </x:c>
      <x:c r="T231" s="118" t="n">
        <x:v>4</x:v>
      </x:c>
      <x:c r="U231" s="118" t="n">
        <x:v>1</x:v>
      </x:c>
      <x:c r="V231" s="118" t="n">
        <x:v>0</x:v>
      </x:c>
      <x:c r="W231" s="118" t="n">
        <x:v>0</x:v>
      </x:c>
      <x:c r="X231" s="118" t="n">
        <x:v>0</x:v>
      </x:c>
      <x:c r="Y231" s="118" t="n">
        <x:v>1</x:v>
      </x:c>
      <x:c r="Z231" s="117" t="str">
        <x:v>N/A</x:v>
      </x:c>
      <x:c r="AA231" s="120" t="n">
        <x:v>45727.52707175926</x:v>
      </x:c>
      <x:c r="AB231" s="117" t="str">
        <x:v>Delegate</x:v>
      </x:c>
      <x:c r="AC231" s="119" t="str">
        <x:v>03/10/2025 (BW) - Allows technicians to update the checksheet output after it's been generated</x:v>
      </x:c>
      <x:c r="AD231" s="119" t="str">
        <x:v>Active version differs from latest</x:v>
      </x:c>
    </x:row>
    <x:row r="232" ht="34" customHeight="1">
      <x:c r="A232" s="117" t="str">
        <x:v>300Ro00000cnT4cIAE</x:v>
      </x:c>
      <x:c r="B232" s="117" t="str">
        <x:v>FSL_Screen_Request_Parts_on_WO</x:v>
      </x:c>
      <x:c r="C232" s="117" t="str">
        <x:v>FSL - Screen - Request Parts on WO</x:v>
      </x:c>
      <x:c r="D232" s="117" t="str">
        <x:v>Yes</x:v>
      </x:c>
      <x:c r="E232" s="118" t="n">
        <x:v>137</x:v>
      </x:c>
      <x:c r="F232" s="118" t="n">
        <x:v>137</x:v>
      </x:c>
      <x:c r="G232" s="117" t="str">
        <x:v>Yes</x:v>
      </x:c>
      <x:c r="H232" s="119" t="str">
        <x:v>Active v137 (Retrieved XML)</x:v>
      </x:c>
      <x:c r="I232" s="117" t="str">
        <x:v>FieldServiceMobile</x:v>
      </x:c>
      <x:c r="J232" s="117" t="str"/>
      <x:c r="K232" s="117" t="str">
        <x:v>No</x:v>
      </x:c>
      <x:c r="L232" s="117" t="str"/>
      <x:c r="M232" s="117" t="str"/>
      <x:c r="N232" s="117"/>
      <x:c r="O232" s="117"/>
      <x:c r="P232" s="117" t="str"/>
      <x:c r="Q232" s="117"/>
      <x:c r="R232" s="117" t="str">
        <x:v>unmanaged</x:v>
      </x:c>
      <x:c r="S232" s="118" t="n">
        <x:v>49</x:v>
      </x:c>
      <x:c r="T232" s="118" t="n">
        <x:v>155</x:v>
      </x:c>
      <x:c r="U232" s="118" t="n">
        <x:v>10</x:v>
      </x:c>
      <x:c r="V232" s="118" t="n">
        <x:v>0</x:v>
      </x:c>
      <x:c r="W232" s="118" t="n">
        <x:v>0</x:v>
      </x:c>
      <x:c r="X232" s="118" t="n">
        <x:v>0</x:v>
      </x:c>
      <x:c r="Y232" s="118" t="n">
        <x:v>4</x:v>
      </x:c>
      <x:c r="Z232" s="117" t="str">
        <x:v>N/A</x:v>
      </x:c>
      <x:c r="AA232" s="120" t="n">
        <x:v>46253.61754629629</x:v>
      </x:c>
      <x:c r="AB232" s="117" t="str">
        <x:v>Mindy Bender</x:v>
      </x:c>
      <x:c r="AC232" s="119" t="str">
        <x:v>08/19/2026 (MPB) - Make/Model not pulling through on part request</x:v>
      </x:c>
      <x:c r="AD232" s="119" t="str">
        <x:v>High element count; Touches many objects</x:v>
      </x:c>
    </x:row>
    <x:row r="233" ht="34" customHeight="1">
      <x:c r="A233" s="117" t="str">
        <x:v>300Ro00000SLPtAIAX</x:v>
      </x:c>
      <x:c r="B233" s="117" t="str">
        <x:v>FSL_Screen_SA_Closeout_on_Desktop</x:v>
      </x:c>
      <x:c r="C233" s="117" t="str">
        <x:v>FSL - Screen - SA Closeout on Desktop</x:v>
      </x:c>
      <x:c r="D233" s="117" t="str">
        <x:v>Yes</x:v>
      </x:c>
      <x:c r="E233" s="118" t="n">
        <x:v>18</x:v>
      </x:c>
      <x:c r="F233" s="118" t="n">
        <x:v>18</x:v>
      </x:c>
      <x:c r="G233" s="117" t="str">
        <x:v>Yes</x:v>
      </x:c>
      <x:c r="H233" s="119" t="str">
        <x:v>Active v18 (Retrieved XML)</x:v>
      </x:c>
      <x:c r="I233" s="117" t="str">
        <x:v>Flow</x:v>
      </x:c>
      <x:c r="J233" s="117" t="str"/>
      <x:c r="K233" s="117" t="str">
        <x:v>No</x:v>
      </x:c>
      <x:c r="L233" s="117" t="str"/>
      <x:c r="M233" s="117" t="str"/>
      <x:c r="N233" s="117"/>
      <x:c r="O233" s="117"/>
      <x:c r="P233" s="117" t="str"/>
      <x:c r="Q233" s="117" t="str">
        <x:v>49.0</x:v>
      </x:c>
      <x:c r="R233" s="117" t="str">
        <x:v>unmanaged</x:v>
      </x:c>
      <x:c r="S233" s="118" t="n">
        <x:v>8</x:v>
      </x:c>
      <x:c r="T233" s="118" t="n">
        <x:v>17</x:v>
      </x:c>
      <x:c r="U233" s="118" t="n">
        <x:v>2</x:v>
      </x:c>
      <x:c r="V233" s="118" t="n">
        <x:v>0</x:v>
      </x:c>
      <x:c r="W233" s="118" t="n">
        <x:v>0</x:v>
      </x:c>
      <x:c r="X233" s="118" t="n">
        <x:v>0</x:v>
      </x:c>
      <x:c r="Y233" s="118" t="n">
        <x:v>2</x:v>
      </x:c>
      <x:c r="Z233" s="117" t="str">
        <x:v>N/A</x:v>
      </x:c>
      <x:c r="AA233" s="120" t="n">
        <x:v>46230.595555555556</x:v>
      </x:c>
      <x:c r="AB233" s="117" t="str">
        <x:v>Sacha Pearce</x:v>
      </x:c>
      <x:c r="AC233" s="119" t="str">
        <x:v>07/27/2026 - SP - Amending the Flow to set the "Status" field to "Paperwork to be Sent" when the Work Order's "Modality" is not "Ultrasound".</x:v>
      </x:c>
      <x:c r="AD233" s="119" t="str"/>
    </x:row>
    <x:row r="234" ht="34" customHeight="1">
      <x:c r="A234" s="117" t="str">
        <x:v>300Ro00000srgJqIAI</x:v>
      </x:c>
      <x:c r="B234" s="117" t="str">
        <x:v>FSL_Service_Appointment_Collect_Assets</x:v>
      </x:c>
      <x:c r="C234" s="117" t="str">
        <x:v>FSL - Service Appointment - Collect Assets</x:v>
      </x:c>
      <x:c r="D234" s="117" t="str">
        <x:v>Yes</x:v>
      </x:c>
      <x:c r="E234" s="118" t="n">
        <x:v>19</x:v>
      </x:c>
      <x:c r="F234" s="118" t="n">
        <x:v>19</x:v>
      </x:c>
      <x:c r="G234" s="117" t="str">
        <x:v>Yes</x:v>
      </x:c>
      <x:c r="H234" s="119" t="str">
        <x:v>Active v19 (Retrieved XML)</x:v>
      </x:c>
      <x:c r="I234" s="117" t="str">
        <x:v>FieldServiceMobile</x:v>
      </x:c>
      <x:c r="J234" s="117" t="str"/>
      <x:c r="K234" s="117" t="str">
        <x:v>No</x:v>
      </x:c>
      <x:c r="L234" s="117" t="str"/>
      <x:c r="M234" s="117" t="str"/>
      <x:c r="N234" s="117"/>
      <x:c r="O234" s="117"/>
      <x:c r="P234" s="117" t="str"/>
      <x:c r="Q234" s="117"/>
      <x:c r="R234" s="117" t="str">
        <x:v>unmanaged</x:v>
      </x:c>
      <x:c r="S234" s="118" t="n">
        <x:v>19</x:v>
      </x:c>
      <x:c r="T234" s="118" t="n">
        <x:v>11</x:v>
      </x:c>
      <x:c r="U234" s="118" t="n">
        <x:v>3</x:v>
      </x:c>
      <x:c r="V234" s="118" t="n">
        <x:v>0</x:v>
      </x:c>
      <x:c r="W234" s="118" t="n">
        <x:v>0</x:v>
      </x:c>
      <x:c r="X234" s="118" t="n">
        <x:v>0</x:v>
      </x:c>
      <x:c r="Y234" s="118" t="n">
        <x:v>2</x:v>
      </x:c>
      <x:c r="Z234" s="117" t="str">
        <x:v>N/A</x:v>
      </x:c>
      <x:c r="AA234" s="120" t="n">
        <x:v>46106.86746527778</x:v>
      </x:c>
      <x:c r="AB234" s="117" t="str">
        <x:v>Sacha Pearce</x:v>
      </x:c>
      <x:c r="AC234" s="119" t="str">
        <x:v>25/03/2026 - SP - updating the "formulaAssetToAdd" to work on mobile</x:v>
      </x:c>
      <x:c r="AD234" s="119" t="str"/>
    </x:row>
    <x:row r="235" ht="34" customHeight="1">
      <x:c r="A235" s="117" t="str">
        <x:v>300Ro00000qOn88IAC</x:v>
      </x:c>
      <x:c r="B235" s="117" t="str">
        <x:v>FSL_Service_Appointment_Work_Order_Country_Checker</x:v>
      </x:c>
      <x:c r="C235" s="117" t="str">
        <x:v>FSL - Service Appointment - Work Order Country Checker</x:v>
      </x:c>
      <x:c r="D235" s="117" t="str">
        <x:v>Yes</x:v>
      </x:c>
      <x:c r="E235" s="118" t="n">
        <x:v>2</x:v>
      </x:c>
      <x:c r="F235" s="118" t="n">
        <x:v>2</x:v>
      </x:c>
      <x:c r="G235" s="117" t="str">
        <x:v>Yes</x:v>
      </x:c>
      <x:c r="H235" s="119" t="str">
        <x:v>Active v2 (Retrieved XML)</x:v>
      </x:c>
      <x:c r="I235" s="117" t="str">
        <x:v>AutoLaunchedFlow</x:v>
      </x:c>
      <x:c r="J235" s="117" t="str">
        <x:v>ServiceAppointment</x:v>
      </x:c>
      <x:c r="K235" s="117" t="str">
        <x:v>Yes</x:v>
      </x:c>
      <x:c r="L235" s="117" t="str">
        <x:v>Update</x:v>
      </x:c>
      <x:c r="M235" s="117" t="str">
        <x:v>RecordAfterSave</x:v>
      </x:c>
      <x:c r="N235" s="117"/>
      <x:c r="O235" s="117"/>
      <x:c r="P235" s="117" t="str"/>
      <x:c r="Q235" s="117" t="str">
        <x:v>65.0</x:v>
      </x:c>
      <x:c r="R235" s="117" t="str">
        <x:v>unmanaged</x:v>
      </x:c>
      <x:c r="S235" s="118" t="n">
        <x:v>2</x:v>
      </x:c>
      <x:c r="T235" s="118" t="n">
        <x:v>5</x:v>
      </x:c>
      <x:c r="U235" s="118" t="n">
        <x:v>3</x:v>
      </x:c>
      <x:c r="V235" s="118" t="n">
        <x:v>0</x:v>
      </x:c>
      <x:c r="W235" s="118" t="n">
        <x:v>0</x:v>
      </x:c>
      <x:c r="X235" s="118" t="n">
        <x:v>0</x:v>
      </x:c>
      <x:c r="Y235" s="118" t="n">
        <x:v>2</x:v>
      </x:c>
      <x:c r="Z235" s="117" t="str">
        <x:v>Strong</x:v>
      </x:c>
      <x:c r="AA235" s="120" t="n">
        <x:v>46100.71115740741</x:v>
      </x:c>
      <x:c r="AB235" s="117" t="str">
        <x:v>Sacha Pearce</x:v>
      </x:c>
      <x:c r="AC235" s="119" t="str">
        <x:v>This Flow exists to update the Work Order "Country" field when a Service Appointment is moved to "Dispatched". Currently the "Country" field defaults to "United States" which sends engineers based in the UK down the "United States" route when trying to close a Service Appointment.</x:v>
      </x:c>
      <x:c r="AD235" s="119" t="str"/>
    </x:row>
    <x:row r="236" ht="34" customHeight="1">
      <x:c r="A236" s="117" t="str">
        <x:v>300Ro00000otBqsIAE</x:v>
      </x:c>
      <x:c r="B236" s="117" t="str">
        <x:v>FSL_Set_Service_Report_Layout_ID_on_Checklist_Type_Update</x:v>
      </x:c>
      <x:c r="C236" s="117" t="str">
        <x:v>FSL - Set Service Report Layout ID on Checklist Type Update</x:v>
      </x:c>
      <x:c r="D236" s="117" t="str">
        <x:v>Yes</x:v>
      </x:c>
      <x:c r="E236" s="118" t="n">
        <x:v>16</x:v>
      </x:c>
      <x:c r="F236" s="118" t="n">
        <x:v>16</x:v>
      </x:c>
      <x:c r="G236" s="117" t="str">
        <x:v>Yes</x:v>
      </x:c>
      <x:c r="H236" s="119" t="str">
        <x:v>Active v16 (Retrieved XML)</x:v>
      </x:c>
      <x:c r="I236" s="117" t="str">
        <x:v>AutoLaunchedFlow</x:v>
      </x:c>
      <x:c r="J236" s="117" t="str">
        <x:v>ServiceAppointment</x:v>
      </x:c>
      <x:c r="K236" s="117" t="str">
        <x:v>Yes</x:v>
      </x:c>
      <x:c r="L236" s="117" t="str">
        <x:v>Update</x:v>
      </x:c>
      <x:c r="M236" s="117" t="str">
        <x:v>RecordAfterSave</x:v>
      </x:c>
      <x:c r="N236" s="117"/>
      <x:c r="O236" s="117"/>
      <x:c r="P236" s="117" t="str"/>
      <x:c r="Q236" s="117" t="str">
        <x:v>65.0</x:v>
      </x:c>
      <x:c r="R236" s="117" t="str">
        <x:v>unmanaged</x:v>
      </x:c>
      <x:c r="S236" s="118" t="n">
        <x:v>16</x:v>
      </x:c>
      <x:c r="T236" s="118" t="n">
        <x:v>4</x:v>
      </x:c>
      <x:c r="U236" s="118" t="n">
        <x:v>2</x:v>
      </x:c>
      <x:c r="V236" s="118" t="n">
        <x:v>0</x:v>
      </x:c>
      <x:c r="W236" s="118" t="n">
        <x:v>0</x:v>
      </x:c>
      <x:c r="X236" s="118" t="n">
        <x:v>0</x:v>
      </x:c>
      <x:c r="Y236" s="118" t="n">
        <x:v>1</x:v>
      </x:c>
      <x:c r="Z236" s="117" t="str">
        <x:v>Strong</x:v>
      </x:c>
      <x:c r="AA236" s="120" t="n">
        <x:v>46231.39041666667</x:v>
      </x:c>
      <x:c r="AB236" s="117" t="str">
        <x:v>Sacha Pearce</x:v>
      </x:c>
      <x:c r="AC236" s="119" t="str">
        <x:v>26/03/2026 - SP - Adding Ultrasound Electrical Safety Test.</x:v>
      </x:c>
      <x:c r="AD236" s="119" t="str"/>
    </x:row>
    <x:row r="237" ht="34" customHeight="1">
      <x:c r="A237" s="117" t="str">
        <x:v>300Ro00000n2BUtIAM</x:v>
      </x:c>
      <x:c r="B237" s="117" t="str">
        <x:v>FSL_Set_Service_Report_Layout_ID_on_Work_Orders</x:v>
      </x:c>
      <x:c r="C237" s="117" t="str">
        <x:v>FSL - Set Service Report Layout ID on Work Orders</x:v>
      </x:c>
      <x:c r="D237" s="117" t="str">
        <x:v>Yes</x:v>
      </x:c>
      <x:c r="E237" s="118" t="n">
        <x:v>7</x:v>
      </x:c>
      <x:c r="F237" s="118" t="n">
        <x:v>8</x:v>
      </x:c>
      <x:c r="G237" s="117" t="str">
        <x:v>No</x:v>
      </x:c>
      <x:c r="H237" s="119" t="str">
        <x:v>Active v7 (Tooling metadata)</x:v>
      </x:c>
      <x:c r="I237" s="117" t="str">
        <x:v>AutoLaunchedFlow</x:v>
      </x:c>
      <x:c r="J237" s="117" t="str">
        <x:v>WorkOrder</x:v>
      </x:c>
      <x:c r="K237" s="117" t="str">
        <x:v>Yes</x:v>
      </x:c>
      <x:c r="L237" s="117" t="str">
        <x:v>CreateAndUpdate</x:v>
      </x:c>
      <x:c r="M237" s="117" t="str">
        <x:v>RecordAfterSave</x:v>
      </x:c>
      <x:c r="N237" s="117"/>
      <x:c r="O237" s="117"/>
      <x:c r="P237" s="117" t="str"/>
      <x:c r="Q237" s="117" t="n">
        <x:v>65</x:v>
      </x:c>
      <x:c r="R237" s="117" t="str">
        <x:v>unmanaged</x:v>
      </x:c>
      <x:c r="S237" s="118" t="n">
        <x:v>8</x:v>
      </x:c>
      <x:c r="T237" s="118" t="n">
        <x:v>8</x:v>
      </x:c>
      <x:c r="U237" s="118" t="n">
        <x:v>3</x:v>
      </x:c>
      <x:c r="V237" s="118" t="n">
        <x:v>0</x:v>
      </x:c>
      <x:c r="W237" s="118" t="n">
        <x:v>0</x:v>
      </x:c>
      <x:c r="X237" s="118" t="n">
        <x:v>0</x:v>
      </x:c>
      <x:c r="Y237" s="118" t="n">
        <x:v>2</x:v>
      </x:c>
      <x:c r="Z237" s="117" t="str">
        <x:v>Strong</x:v>
      </x:c>
      <x:c r="AA237" s="120" t="n">
        <x:v>46036.89430555556</x:v>
      </x:c>
      <x:c r="AB237" s="117" t="str">
        <x:v>Sacha Pearce</x:v>
      </x:c>
      <x:c r="AC237" s="119" t="str">
        <x:v>06/01/2026 - V3 - SP - Adding "Service Report Template Name" to the "Update Work Order with Service Report Layout ID" element.
06/01/2026 - V4 - SP - Amending the entry criteria to trigger when the "Service Report Template Set" equals "false" instead of not equal to "true".
06/01/2026 - V5 - SP - Pulling "Name" in the "Get Ultrasound Service Report Layout" element to use for the "varServiceReportTemplateName" variable assignment.
13/01/2026 V4 (Sandbox Full) - Amending to match Production Flow
14/01/2025 - V7 (Production) - Amending the "Time Source" to be either when the record is created or updated</x:v>
      </x:c>
      <x:c r="AD237" s="119" t="str">
        <x:v>Active version differs from latest</x:v>
      </x:c>
    </x:row>
    <x:row r="238" ht="34" customHeight="1">
      <x:c r="A238" s="117" t="str">
        <x:v>300Ro000013byfhIAA</x:v>
      </x:c>
      <x:c r="B238" s="117" t="str">
        <x:v>FSL_Ultrasound_Electrical_Safety_Tests_Checklist</x:v>
      </x:c>
      <x:c r="C238" s="117" t="str">
        <x:v>FSL - Ultrasound Electrical Safety Tests Checklist</x:v>
      </x:c>
      <x:c r="D238" s="117" t="str">
        <x:v>Yes</x:v>
      </x:c>
      <x:c r="E238" s="118" t="n">
        <x:v>2</x:v>
      </x:c>
      <x:c r="F238" s="118" t="n">
        <x:v>2</x:v>
      </x:c>
      <x:c r="G238" s="117" t="str">
        <x:v>Yes</x:v>
      </x:c>
      <x:c r="H238" s="119" t="str">
        <x:v>Active v2 (Retrieved XML)</x:v>
      </x:c>
      <x:c r="I238" s="117" t="str">
        <x:v>FieldServiceMobile</x:v>
      </x:c>
      <x:c r="J238" s="117" t="str"/>
      <x:c r="K238" s="117" t="str">
        <x:v>No</x:v>
      </x:c>
      <x:c r="L238" s="117" t="str"/>
      <x:c r="M238" s="117" t="str"/>
      <x:c r="N238" s="117"/>
      <x:c r="O238" s="117"/>
      <x:c r="P238" s="117" t="str"/>
      <x:c r="Q238" s="117"/>
      <x:c r="R238" s="117" t="str">
        <x:v>unmanaged</x:v>
      </x:c>
      <x:c r="S238" s="118" t="n">
        <x:v>2</x:v>
      </x:c>
      <x:c r="T238" s="118" t="n">
        <x:v>15</x:v>
      </x:c>
      <x:c r="U238" s="118" t="n">
        <x:v>4</x:v>
      </x:c>
      <x:c r="V238" s="118" t="n">
        <x:v>0</x:v>
      </x:c>
      <x:c r="W238" s="118" t="n">
        <x:v>0</x:v>
      </x:c>
      <x:c r="X238" s="118" t="n">
        <x:v>0</x:v>
      </x:c>
      <x:c r="Y238" s="118" t="n">
        <x:v>3</x:v>
      </x:c>
      <x:c r="Z238" s="117" t="str">
        <x:v>N/A</x:v>
      </x:c>
      <x:c r="AA238" s="120" t="n">
        <x:v>46232.35805555555</x:v>
      </x:c>
      <x:c r="AB238" s="117" t="str">
        <x:v>Sacha Pearce</x:v>
      </x:c>
      <x:c r="AC238" s="119" t="str">
        <x:v>29/07/2026 - SP - Making the transducer and peripheral checks required.</x:v>
      </x:c>
      <x:c r="AD238" s="119" t="str">
        <x:v>Touches many objects</x:v>
      </x:c>
    </x:row>
    <x:row r="239" ht="34" customHeight="1">
      <x:c r="A239" s="117" t="str">
        <x:v>300Ro00000XP4yIIAT</x:v>
      </x:c>
      <x:c r="B239" s="117" t="str">
        <x:v>FSL_Update_Progress_Note_with_Parent_Recorod_Work_Order</x:v>
      </x:c>
      <x:c r="C239" s="117" t="str">
        <x:v>FSL - Update Progress Note with Parent Recorod/Work Order</x:v>
      </x:c>
      <x:c r="D239" s="117" t="str">
        <x:v>Yes</x:v>
      </x:c>
      <x:c r="E239" s="118" t="n">
        <x:v>1</x:v>
      </x:c>
      <x:c r="F239" s="118" t="n">
        <x:v>1</x:v>
      </x:c>
      <x:c r="G239" s="117" t="str">
        <x:v>Yes</x:v>
      </x:c>
      <x:c r="H239" s="119" t="str">
        <x:v>Active v1 (Retrieved XML)</x:v>
      </x:c>
      <x:c r="I239" s="117" t="str">
        <x:v>AutoLaunchedFlow</x:v>
      </x:c>
      <x:c r="J239" s="117" t="str">
        <x:v>Progress_Note__c</x:v>
      </x:c>
      <x:c r="K239" s="117" t="str">
        <x:v>Yes</x:v>
      </x:c>
      <x:c r="L239" s="117" t="str">
        <x:v>Create</x:v>
      </x:c>
      <x:c r="M239" s="117" t="str">
        <x:v>RecordBeforeSave</x:v>
      </x:c>
      <x:c r="N239" s="117"/>
      <x:c r="O239" s="117"/>
      <x:c r="P239" s="117" t="str"/>
      <x:c r="Q239" s="117" t="str">
        <x:v>63.0</x:v>
      </x:c>
      <x:c r="R239" s="117" t="str">
        <x:v>unmanaged</x:v>
      </x:c>
      <x:c r="S239" s="118" t="n">
        <x:v>1</x:v>
      </x:c>
      <x:c r="T239" s="118" t="n">
        <x:v>3</x:v>
      </x:c>
      <x:c r="U239" s="118" t="n">
        <x:v>2</x:v>
      </x:c>
      <x:c r="V239" s="118" t="n">
        <x:v>0</x:v>
      </x:c>
      <x:c r="W239" s="118" t="n">
        <x:v>0</x:v>
      </x:c>
      <x:c r="X239" s="118" t="n">
        <x:v>0</x:v>
      </x:c>
      <x:c r="Y239" s="118" t="n">
        <x:v>1</x:v>
      </x:c>
      <x:c r="Z239" s="117" t="str">
        <x:v>Isolated lane</x:v>
      </x:c>
      <x:c r="AA239" s="120" t="n">
        <x:v>45817.8184375</x:v>
      </x:c>
      <x:c r="AB239" s="117" t="str">
        <x:v>Sacha Pearce</x:v>
      </x:c>
      <x:c r="AC239" s="119" t="str"/>
      <x:c r="AD239" s="119" t="str">
        <x:v>Active flow has no description</x:v>
      </x:c>
    </x:row>
    <x:row r="240" ht="34" customHeight="1">
      <x:c r="A240" s="117" t="str">
        <x:v>300Ro00000qcb76IAA</x:v>
      </x:c>
      <x:c r="B240" s="117" t="str">
        <x:v>FSL_US_On_FSR_Attached_Update_Work_Order_to_Completed_WO</x:v>
      </x:c>
      <x:c r="C240" s="117" t="str">
        <x:v>FSL US: On FSR Attached | Update Work Order to Completed WO</x:v>
      </x:c>
      <x:c r="D240" s="117" t="str">
        <x:v>Yes</x:v>
      </x:c>
      <x:c r="E240" s="118" t="n">
        <x:v>1</x:v>
      </x:c>
      <x:c r="F240" s="118" t="n">
        <x:v>1</x:v>
      </x:c>
      <x:c r="G240" s="117" t="str">
        <x:v>Yes</x:v>
      </x:c>
      <x:c r="H240" s="119" t="str">
        <x:v>Active v1 (Retrieved XML)</x:v>
      </x:c>
      <x:c r="I240" s="117" t="str">
        <x:v>AutoLaunchedFlow</x:v>
      </x:c>
      <x:c r="J240" s="117" t="str">
        <x:v>WorkOrder</x:v>
      </x:c>
      <x:c r="K240" s="117" t="str">
        <x:v>Yes</x:v>
      </x:c>
      <x:c r="L240" s="117" t="str">
        <x:v>Update</x:v>
      </x:c>
      <x:c r="M240" s="117" t="str">
        <x:v>RecordAfterSave</x:v>
      </x:c>
      <x:c r="N240" s="117"/>
      <x:c r="O240" s="117"/>
      <x:c r="P240" s="117" t="str"/>
      <x:c r="Q240" s="117" t="str">
        <x:v>65.0</x:v>
      </x:c>
      <x:c r="R240" s="117" t="str">
        <x:v>unmanaged</x:v>
      </x:c>
      <x:c r="S240" s="118" t="n">
        <x:v>1</x:v>
      </x:c>
      <x:c r="T240" s="118" t="n">
        <x:v>2</x:v>
      </x:c>
      <x:c r="U240" s="118" t="n">
        <x:v>1</x:v>
      </x:c>
      <x:c r="V240" s="118" t="n">
        <x:v>0</x:v>
      </x:c>
      <x:c r="W240" s="118" t="n">
        <x:v>0</x:v>
      </x:c>
      <x:c r="X240" s="118" t="n">
        <x:v>0</x:v>
      </x:c>
      <x:c r="Y240" s="118" t="n">
        <x:v>1</x:v>
      </x:c>
      <x:c r="Z240" s="117" t="str">
        <x:v>Strong</x:v>
      </x:c>
      <x:c r="AA240" s="120" t="n">
        <x:v>46065.736967592595</x:v>
      </x:c>
      <x:c r="AB240" s="117" t="str">
        <x:v>Delegate</x:v>
      </x:c>
      <x:c r="AC240" s="119" t="str">
        <x:v>02/12/2026 (BW) - Update the work order to "WO Completed" status on marking of the FSR attached</x:v>
      </x:c>
      <x:c r="AD240" s="119" t="str"/>
    </x:row>
    <x:row r="241" ht="34" customHeight="1">
      <x:c r="A241" s="117" t="str">
        <x:v>300Ro00000phiq4IAA</x:v>
      </x:c>
      <x:c r="B241" s="117" t="str">
        <x:v>FSL_US_On_Submit_to_Shipping_Update_Status_to_Pending_Shipment</x:v>
      </x:c>
      <x:c r="C241" s="117" t="str">
        <x:v>FSL US: On Submit to Shipping | Update Status to Pending Shipment and Mark Assets as Reserved</x:v>
      </x:c>
      <x:c r="D241" s="117" t="str">
        <x:v>Yes</x:v>
      </x:c>
      <x:c r="E241" s="118" t="n">
        <x:v>3</x:v>
      </x:c>
      <x:c r="F241" s="118" t="n">
        <x:v>3</x:v>
      </x:c>
      <x:c r="G241" s="117" t="str">
        <x:v>Yes</x:v>
      </x:c>
      <x:c r="H241" s="119" t="str">
        <x:v>Active v3 (Retrieved XML)</x:v>
      </x:c>
      <x:c r="I241" s="117" t="str">
        <x:v>AutoLaunchedFlow</x:v>
      </x:c>
      <x:c r="J241" s="117" t="str">
        <x:v>WorkOrder</x:v>
      </x:c>
      <x:c r="K241" s="117" t="str">
        <x:v>Yes</x:v>
      </x:c>
      <x:c r="L241" s="117" t="str">
        <x:v>Update</x:v>
      </x:c>
      <x:c r="M241" s="117" t="str">
        <x:v>RecordAfterSave</x:v>
      </x:c>
      <x:c r="N241" s="117"/>
      <x:c r="O241" s="117"/>
      <x:c r="P241" s="117" t="str"/>
      <x:c r="Q241" s="117" t="str">
        <x:v>65.0</x:v>
      </x:c>
      <x:c r="R241" s="117" t="str">
        <x:v>unmanaged</x:v>
      </x:c>
      <x:c r="S241" s="118" t="n">
        <x:v>3</x:v>
      </x:c>
      <x:c r="T241" s="118" t="n">
        <x:v>9</x:v>
      </x:c>
      <x:c r="U241" s="118" t="n">
        <x:v>3</x:v>
      </x:c>
      <x:c r="V241" s="118" t="n">
        <x:v>0</x:v>
      </x:c>
      <x:c r="W241" s="118" t="n">
        <x:v>0</x:v>
      </x:c>
      <x:c r="X241" s="118" t="n">
        <x:v>0</x:v>
      </x:c>
      <x:c r="Y241" s="118" t="n">
        <x:v>2</x:v>
      </x:c>
      <x:c r="Z241" s="117" t="str">
        <x:v>Strong</x:v>
      </x:c>
      <x:c r="AA241" s="120" t="n">
        <x:v>46149.52997685185</x:v>
      </x:c>
      <x:c r="AB241" s="117" t="str">
        <x:v>Delegate</x:v>
      </x:c>
      <x:c r="AC241" s="119" t="str">
        <x:v>005/07/2026 (BW) - On submitting to shipping for the work order, reserve the assets</x:v>
      </x:c>
      <x:c r="AD241" s="119" t="str"/>
    </x:row>
    <x:row r="242" ht="34" customHeight="1">
      <x:c r="A242" s="117" t="str">
        <x:v>300Ro00000pheJSIAY</x:v>
      </x:c>
      <x:c r="B242" s="117" t="str">
        <x:v>FSL_US_On_Tracking_Update_Status_to_Parts_Probe_Shipped</x:v>
      </x:c>
      <x:c r="C242" s="117" t="str">
        <x:v>FSL US: On Tracking | Update Status to "Parts/Probe Shipped"</x:v>
      </x:c>
      <x:c r="D242" s="117" t="str">
        <x:v>Yes</x:v>
      </x:c>
      <x:c r="E242" s="118" t="n">
        <x:v>2</x:v>
      </x:c>
      <x:c r="F242" s="118" t="n">
        <x:v>2</x:v>
      </x:c>
      <x:c r="G242" s="117" t="str">
        <x:v>Yes</x:v>
      </x:c>
      <x:c r="H242" s="119" t="str">
        <x:v>Active v2 (Retrieved XML)</x:v>
      </x:c>
      <x:c r="I242" s="117" t="str">
        <x:v>AutoLaunchedFlow</x:v>
      </x:c>
      <x:c r="J242" s="117" t="str">
        <x:v>WorkOrder</x:v>
      </x:c>
      <x:c r="K242" s="117" t="str">
        <x:v>Yes</x:v>
      </x:c>
      <x:c r="L242" s="117" t="str">
        <x:v>Update</x:v>
      </x:c>
      <x:c r="M242" s="117" t="str">
        <x:v>RecordAfterSave</x:v>
      </x:c>
      <x:c r="N242" s="117"/>
      <x:c r="O242" s="117"/>
      <x:c r="P242" s="117" t="str"/>
      <x:c r="Q242" s="117" t="str">
        <x:v>65.0</x:v>
      </x:c>
      <x:c r="R242" s="117" t="str">
        <x:v>unmanaged</x:v>
      </x:c>
      <x:c r="S242" s="118" t="n">
        <x:v>2</x:v>
      </x:c>
      <x:c r="T242" s="118" t="n">
        <x:v>5</x:v>
      </x:c>
      <x:c r="U242" s="118" t="n">
        <x:v>2</x:v>
      </x:c>
      <x:c r="V242" s="118" t="n">
        <x:v>0</x:v>
      </x:c>
      <x:c r="W242" s="118" t="n">
        <x:v>0</x:v>
      </x:c>
      <x:c r="X242" s="118" t="n">
        <x:v>0</x:v>
      </x:c>
      <x:c r="Y242" s="118" t="n">
        <x:v>1</x:v>
      </x:c>
      <x:c r="Z242" s="117" t="str">
        <x:v>Strong</x:v>
      </x:c>
      <x:c r="AA242" s="120" t="n">
        <x:v>46104.89953703704</x:v>
      </x:c>
      <x:c r="AB242" s="117" t="str">
        <x:v>Delegate</x:v>
      </x:c>
      <x:c r="AC242" s="119" t="str">
        <x:v>03/23/2026 (BW) - Updated so that the addition of the tracking number updates the parts to enroute</x:v>
      </x:c>
      <x:c r="AD242" s="119" t="str"/>
    </x:row>
    <x:row r="243" ht="34" customHeight="1">
      <x:c r="A243" s="117" t="str">
        <x:v>300Ro00000skL5dIAE</x:v>
      </x:c>
      <x:c r="B243" s="117" t="str">
        <x:v>FSL_US_On_Update_of_Account_Update_Billing_Address_on_Work_Order</x:v>
      </x:c>
      <x:c r="C243" s="117" t="str">
        <x:v>FSL US: On Update of Account | Update Billing Address on Work Order</x:v>
      </x:c>
      <x:c r="D243" s="117" t="str">
        <x:v>Yes</x:v>
      </x:c>
      <x:c r="E243" s="118" t="n">
        <x:v>2</x:v>
      </x:c>
      <x:c r="F243" s="118" t="n">
        <x:v>2</x:v>
      </x:c>
      <x:c r="G243" s="117" t="str">
        <x:v>Yes</x:v>
      </x:c>
      <x:c r="H243" s="119" t="str">
        <x:v>Active v2 (Retrieved XML)</x:v>
      </x:c>
      <x:c r="I243" s="117" t="str">
        <x:v>AutoLaunchedFlow</x:v>
      </x:c>
      <x:c r="J243" s="117" t="str">
        <x:v>WorkOrder</x:v>
      </x:c>
      <x:c r="K243" s="117" t="str">
        <x:v>Yes</x:v>
      </x:c>
      <x:c r="L243" s="117" t="str">
        <x:v>CreateAndUpdate</x:v>
      </x:c>
      <x:c r="M243" s="117" t="str">
        <x:v>RecordAfterSave</x:v>
      </x:c>
      <x:c r="N243" s="117"/>
      <x:c r="O243" s="117"/>
      <x:c r="P243" s="117" t="str"/>
      <x:c r="Q243" s="117" t="str">
        <x:v>66.0</x:v>
      </x:c>
      <x:c r="R243" s="117" t="str">
        <x:v>unmanaged</x:v>
      </x:c>
      <x:c r="S243" s="118" t="n">
        <x:v>2</x:v>
      </x:c>
      <x:c r="T243" s="118" t="n">
        <x:v>2</x:v>
      </x:c>
      <x:c r="U243" s="118" t="n">
        <x:v>1</x:v>
      </x:c>
      <x:c r="V243" s="118" t="n">
        <x:v>0</x:v>
      </x:c>
      <x:c r="W243" s="118" t="n">
        <x:v>0</x:v>
      </x:c>
      <x:c r="X243" s="118" t="n">
        <x:v>0</x:v>
      </x:c>
      <x:c r="Y243" s="118" t="n">
        <x:v>1</x:v>
      </x:c>
      <x:c r="Z243" s="117" t="str">
        <x:v>Strong</x:v>
      </x:c>
      <x:c r="AA243" s="120" t="n">
        <x:v>46106.626435185186</x:v>
      </x:c>
      <x:c r="AB243" s="117" t="str">
        <x:v>Delegate</x:v>
      </x:c>
      <x:c r="AC243" s="119" t="str">
        <x:v>03/25/2026 (BW) - Updating the fields to also set the billing account name</x:v>
      </x:c>
      <x:c r="AD243" s="119" t="str"/>
    </x:row>
    <x:row r="244" ht="34" customHeight="1">
      <x:c r="A244" s="117" t="str">
        <x:v>300Ro00000tD805IAC</x:v>
      </x:c>
      <x:c r="B244" s="117" t="str">
        <x:v>FSL_US_Update_Work_Order_to_Repair_In_Progress</x:v>
      </x:c>
      <x:c r="C244" s="117" t="str">
        <x:v>FSL US: Update Work Order to "Repair In-Progress"</x:v>
      </x:c>
      <x:c r="D244" s="117" t="str">
        <x:v>Yes</x:v>
      </x:c>
      <x:c r="E244" s="118" t="n">
        <x:v>1</x:v>
      </x:c>
      <x:c r="F244" s="118" t="n">
        <x:v>1</x:v>
      </x:c>
      <x:c r="G244" s="117" t="str">
        <x:v>Yes</x:v>
      </x:c>
      <x:c r="H244" s="119" t="str">
        <x:v>Active v1 (Retrieved XML)</x:v>
      </x:c>
      <x:c r="I244" s="117" t="str">
        <x:v>AutoLaunchedFlow</x:v>
      </x:c>
      <x:c r="J244" s="117" t="str"/>
      <x:c r="K244" s="117" t="str">
        <x:v>No</x:v>
      </x:c>
      <x:c r="L244" s="117" t="str"/>
      <x:c r="M244" s="117" t="str"/>
      <x:c r="N244" s="117" t="str">
        <x:v>SystemModeWithoutSharing</x:v>
      </x:c>
      <x:c r="O244" s="117"/>
      <x:c r="P244" s="117" t="str"/>
      <x:c r="Q244" s="117" t="str">
        <x:v>66.0</x:v>
      </x:c>
      <x:c r="R244" s="117" t="str">
        <x:v>unmanaged</x:v>
      </x:c>
      <x:c r="S244" s="118" t="n">
        <x:v>1</x:v>
      </x:c>
      <x:c r="T244" s="118" t="n">
        <x:v>2</x:v>
      </x:c>
      <x:c r="U244" s="118" t="n">
        <x:v>1</x:v>
      </x:c>
      <x:c r="V244" s="118" t="n">
        <x:v>0</x:v>
      </x:c>
      <x:c r="W244" s="118" t="n">
        <x:v>0</x:v>
      </x:c>
      <x:c r="X244" s="118" t="n">
        <x:v>0</x:v>
      </x:c>
      <x:c r="Y244" s="118" t="n">
        <x:v>1</x:v>
      </x:c>
      <x:c r="Z244" s="117" t="str">
        <x:v>N/A</x:v>
      </x:c>
      <x:c r="AA244" s="120" t="n">
        <x:v>46100.678402777776</x:v>
      </x:c>
      <x:c r="AB244" s="117" t="str">
        <x:v>Delegate</x:v>
      </x:c>
      <x:c r="AC244" s="119" t="str">
        <x:v>03/19/2026 (BW) - Used to make the update to the work order outside of user context</x:v>
      </x:c>
      <x:c r="AD244" s="119" t="str"/>
    </x:row>
    <x:row r="245" ht="34" customHeight="1">
      <x:c r="A245" s="117" t="str">
        <x:v>300Ro00000kKs8GIAS</x:v>
      </x:c>
      <x:c r="B245" s="117" t="str">
        <x:v>Full_Payment</x:v>
      </x:c>
      <x:c r="C245" s="117" t="str">
        <x:v>Full Payment</x:v>
      </x:c>
      <x:c r="D245" s="117" t="str">
        <x:v>No</x:v>
      </x:c>
      <x:c r="E245" s="118"/>
      <x:c r="F245" s="118" t="n">
        <x:v>1</x:v>
      </x:c>
      <x:c r="G245" s="117" t="str">
        <x:v>N/A</x:v>
      </x:c>
      <x:c r="H245" s="119" t="str">
        <x:v>Latest inactive v1 (Tooling metadata)</x:v>
      </x:c>
      <x:c r="I245" s="117" t="str">
        <x:v>AutoLaunchedFlow</x:v>
      </x:c>
      <x:c r="J245" s="117" t="str"/>
      <x:c r="K245" s="117" t="str">
        <x:v>No</x:v>
      </x:c>
      <x:c r="L245" s="117" t="str"/>
      <x:c r="M245" s="117" t="str"/>
      <x:c r="N245" s="117"/>
      <x:c r="O245" s="117"/>
      <x:c r="P245" s="117" t="str"/>
      <x:c r="Q245" s="117" t="n">
        <x:v>64</x:v>
      </x:c>
      <x:c r="R245" s="117" t="str">
        <x:v>installed</x:v>
      </x:c>
      <x:c r="S245" s="118" t="n">
        <x:v>1</x:v>
      </x:c>
      <x:c r="T245" s="118" t="n">
        <x:v>0</x:v>
      </x:c>
      <x:c r="U245" s="118" t="n">
        <x:v>0</x:v>
      </x:c>
      <x:c r="V245" s="118" t="n">
        <x:v>0</x:v>
      </x:c>
      <x:c r="W245" s="118" t="n">
        <x:v>0</x:v>
      </x:c>
      <x:c r="X245" s="118" t="n">
        <x:v>0</x:v>
      </x:c>
      <x:c r="Y245" s="118" t="n">
        <x:v>1</x:v>
      </x:c>
      <x:c r="Z245" s="117" t="str">
        <x:v>N/A</x:v>
      </x:c>
      <x:c r="AA245" s="120" t="n">
        <x:v>45965.97741898148</x:v>
      </x:c>
      <x:c r="AB245" s="117" t="str"/>
      <x:c r="AC245" s="119" t="str">
        <x:v>This flow updates the Payment_Received__c field to 'Full' on ChargentOrder__c records when the Total__c equals the Transaction_Total__c, indicating a full payment has been received.</x:v>
      </x:c>
      <x:c r="AD245" s="119" t="str"/>
    </x:row>
    <x:row r="246" ht="34" customHeight="1">
      <x:c r="A246" s="117" t="str">
        <x:v>3004O000000Xh6cQAC</x:v>
      </x:c>
      <x:c r="B246" s="117" t="str">
        <x:v>Generate_Invoice_PDF_Flow</x:v>
      </x:c>
      <x:c r="C246" s="117" t="str">
        <x:v>Generate Invoice PDF Flow</x:v>
      </x:c>
      <x:c r="D246" s="117" t="str">
        <x:v>No</x:v>
      </x:c>
      <x:c r="E246" s="118"/>
      <x:c r="F246" s="118" t="n">
        <x:v>1</x:v>
      </x:c>
      <x:c r="G246" s="117" t="str">
        <x:v>N/A</x:v>
      </x:c>
      <x:c r="H246" s="119" t="str">
        <x:v>Latest inactive v1 (Retrieved XML)</x:v>
      </x:c>
      <x:c r="I246" s="117" t="str">
        <x:v>Flow</x:v>
      </x:c>
      <x:c r="J246" s="117" t="str"/>
      <x:c r="K246" s="117" t="str">
        <x:v>No</x:v>
      </x:c>
      <x:c r="L246" s="117" t="str"/>
      <x:c r="M246" s="117" t="str"/>
      <x:c r="N246" s="117"/>
      <x:c r="O246" s="117"/>
      <x:c r="P246" s="117" t="str"/>
      <x:c r="Q246" s="117" t="str">
        <x:v>51.0</x:v>
      </x:c>
      <x:c r="R246" s="117" t="str">
        <x:v>unmanaged</x:v>
      </x:c>
      <x:c r="S246" s="118" t="n">
        <x:v>1</x:v>
      </x:c>
      <x:c r="T246" s="118" t="n">
        <x:v>3</x:v>
      </x:c>
      <x:c r="U246" s="118" t="n">
        <x:v>1</x:v>
      </x:c>
      <x:c r="V246" s="118" t="n">
        <x:v>0</x:v>
      </x:c>
      <x:c r="W246" s="118" t="n">
        <x:v>1</x:v>
      </x:c>
      <x:c r="X246" s="118" t="n">
        <x:v>0</x:v>
      </x:c>
      <x:c r="Y246" s="118" t="n">
        <x:v>1</x:v>
      </x:c>
      <x:c r="Z246" s="117" t="str">
        <x:v>N/A</x:v>
      </x:c>
      <x:c r="AA246" s="120" t="n">
        <x:v>44286.08565972222</x:v>
      </x:c>
      <x:c r="AB246" s="117" t="str">
        <x:v>Delegate</x:v>
      </x:c>
      <x:c r="AC246" s="119" t="str"/>
      <x:c r="AD246" s="119" t="str"/>
    </x:row>
    <x:row r="247" ht="34" customHeight="1">
      <x:c r="A247" s="117" t="str">
        <x:v>300Ro00000y33GaIAI</x:v>
      </x:c>
      <x:c r="B247" s="117" t="str">
        <x:v>Generate_Mechanical_Services_Work_Order_Screen_Flow</x:v>
      </x:c>
      <x:c r="C247" s="117" t="str">
        <x:v>Generate Mechanical Services Work Order - Screen Flow</x:v>
      </x:c>
      <x:c r="D247" s="117" t="str">
        <x:v>No</x:v>
      </x:c>
      <x:c r="E247" s="118"/>
      <x:c r="F247" s="118" t="n">
        <x:v>1</x:v>
      </x:c>
      <x:c r="G247" s="117" t="str">
        <x:v>N/A</x:v>
      </x:c>
      <x:c r="H247" s="119" t="str">
        <x:v>Latest inactive v1 (Retrieved XML)</x:v>
      </x:c>
      <x:c r="I247" s="117" t="str">
        <x:v>Flow</x:v>
      </x:c>
      <x:c r="J247" s="117" t="str"/>
      <x:c r="K247" s="117" t="str">
        <x:v>No</x:v>
      </x:c>
      <x:c r="L247" s="117" t="str"/>
      <x:c r="M247" s="117" t="str"/>
      <x:c r="N247" s="117"/>
      <x:c r="O247" s="117"/>
      <x:c r="P247" s="117" t="str"/>
      <x:c r="Q247" s="117" t="str">
        <x:v>66.0</x:v>
      </x:c>
      <x:c r="R247" s="117" t="str">
        <x:v>unmanaged</x:v>
      </x:c>
      <x:c r="S247" s="118" t="n">
        <x:v>1</x:v>
      </x:c>
      <x:c r="T247" s="118" t="n">
        <x:v>21</x:v>
      </x:c>
      <x:c r="U247" s="118" t="n">
        <x:v>6</x:v>
      </x:c>
      <x:c r="V247" s="118" t="n">
        <x:v>0</x:v>
      </x:c>
      <x:c r="W247" s="118" t="n">
        <x:v>0</x:v>
      </x:c>
      <x:c r="X247" s="118" t="n">
        <x:v>1</x:v>
      </x:c>
      <x:c r="Y247" s="118" t="n">
        <x:v>3</x:v>
      </x:c>
      <x:c r="Z247" s="117" t="str">
        <x:v>N/A</x:v>
      </x:c>
      <x:c r="AA247" s="120" t="n">
        <x:v>46183.55866898148</x:v>
      </x:c>
      <x:c r="AB247" s="117" t="str">
        <x:v>Sacha Pearce</x:v>
      </x:c>
      <x:c r="AC247" s="119" t="str"/>
      <x:c r="AD247" s="119" t="str">
        <x:v>Touches many objects</x:v>
      </x:c>
    </x:row>
    <x:row r="248" ht="34" customHeight="1">
      <x:c r="A248" s="117" t="str">
        <x:v>300Ro00000FzvvKIAR</x:v>
      </x:c>
      <x:c r="B248" s="117" t="str">
        <x:v>Harvest_Work_Order_Cost_PA_Screen_Flow</x:v>
      </x:c>
      <x:c r="C248" s="117" t="str">
        <x:v>Harvest Work Order Cost PA Screen Flow</x:v>
      </x:c>
      <x:c r="D248" s="117" t="str">
        <x:v>Yes</x:v>
      </x:c>
      <x:c r="E248" s="118" t="n">
        <x:v>7</x:v>
      </x:c>
      <x:c r="F248" s="118" t="n">
        <x:v>7</x:v>
      </x:c>
      <x:c r="G248" s="117" t="str">
        <x:v>Yes</x:v>
      </x:c>
      <x:c r="H248" s="119" t="str">
        <x:v>Active v7 (Retrieved XML)</x:v>
      </x:c>
      <x:c r="I248" s="117" t="str">
        <x:v>Flow</x:v>
      </x:c>
      <x:c r="J248" s="117" t="str"/>
      <x:c r="K248" s="117" t="str">
        <x:v>No</x:v>
      </x:c>
      <x:c r="L248" s="117" t="str"/>
      <x:c r="M248" s="117" t="str"/>
      <x:c r="N248" s="117"/>
      <x:c r="O248" s="117"/>
      <x:c r="P248" s="117" t="str"/>
      <x:c r="Q248" s="117" t="str">
        <x:v>61.0</x:v>
      </x:c>
      <x:c r="R248" s="117" t="str">
        <x:v>unmanaged</x:v>
      </x:c>
      <x:c r="S248" s="118" t="n">
        <x:v>7</x:v>
      </x:c>
      <x:c r="T248" s="118" t="n">
        <x:v>12</x:v>
      </x:c>
      <x:c r="U248" s="118" t="n">
        <x:v>3</x:v>
      </x:c>
      <x:c r="V248" s="118" t="n">
        <x:v>0</x:v>
      </x:c>
      <x:c r="W248" s="118" t="n">
        <x:v>0</x:v>
      </x:c>
      <x:c r="X248" s="118" t="n">
        <x:v>1</x:v>
      </x:c>
      <x:c r="Y248" s="118" t="n">
        <x:v>2</x:v>
      </x:c>
      <x:c r="Z248" s="117" t="str">
        <x:v>N/A</x:v>
      </x:c>
      <x:c r="AA248" s="120" t="n">
        <x:v>45713.755381944444</x:v>
      </x:c>
      <x:c r="AB248" s="117" t="str">
        <x:v>Jace Gentil</x:v>
      </x:c>
      <x:c r="AC248" s="119" t="str"/>
      <x:c r="AD248" s="119" t="str">
        <x:v>Active flow has no description</x:v>
      </x:c>
    </x:row>
    <x:row r="249" ht="34" customHeight="1">
      <x:c r="A249" s="117" t="str">
        <x:v>300Ro00000w4O40IAE</x:v>
      </x:c>
      <x:c r="B249" s="117" t="str">
        <x:v>Harvest_Work_Order_Creation_Update_System_Work_Order_With_Harvest_Work_Order</x:v>
      </x:c>
      <x:c r="C249" s="117" t="str">
        <x:v>Harvest Work Order - Creation - Update System Work Order With Harvest Work Order</x:v>
      </x:c>
      <x:c r="D249" s="117" t="str">
        <x:v>Yes</x:v>
      </x:c>
      <x:c r="E249" s="118" t="n">
        <x:v>1</x:v>
      </x:c>
      <x:c r="F249" s="118" t="n">
        <x:v>1</x:v>
      </x:c>
      <x:c r="G249" s="117" t="str">
        <x:v>Yes</x:v>
      </x:c>
      <x:c r="H249" s="119" t="str">
        <x:v>Active v1 (Retrieved XML)</x:v>
      </x:c>
      <x:c r="I249" s="117" t="str">
        <x:v>AutoLaunchedFlow</x:v>
      </x:c>
      <x:c r="J249" s="117" t="str">
        <x:v>Harvest_Work_Order__c</x:v>
      </x:c>
      <x:c r="K249" s="117" t="str">
        <x:v>Yes</x:v>
      </x:c>
      <x:c r="L249" s="117" t="str">
        <x:v>CreateAndUpdate</x:v>
      </x:c>
      <x:c r="M249" s="117" t="str">
        <x:v>RecordAfterSave</x:v>
      </x:c>
      <x:c r="N249" s="117"/>
      <x:c r="O249" s="117"/>
      <x:c r="P249" s="117" t="str"/>
      <x:c r="Q249" s="117" t="str">
        <x:v>66.0</x:v>
      </x:c>
      <x:c r="R249" s="117" t="str">
        <x:v>unmanaged</x:v>
      </x:c>
      <x:c r="S249" s="118" t="n">
        <x:v>1</x:v>
      </x:c>
      <x:c r="T249" s="118" t="n">
        <x:v>2</x:v>
      </x:c>
      <x:c r="U249" s="118" t="n">
        <x:v>1</x:v>
      </x:c>
      <x:c r="V249" s="118" t="n">
        <x:v>0</x:v>
      </x:c>
      <x:c r="W249" s="118" t="n">
        <x:v>0</x:v>
      </x:c>
      <x:c r="X249" s="118" t="n">
        <x:v>0</x:v>
      </x:c>
      <x:c r="Y249" s="118" t="n">
        <x:v>1</x:v>
      </x:c>
      <x:c r="Z249" s="117" t="str">
        <x:v>Review</x:v>
      </x:c>
      <x:c r="AA249" s="120" t="n">
        <x:v>46138.44341435185</x:v>
      </x:c>
      <x:c r="AB249" s="117" t="str">
        <x:v>Sacha Pearce</x:v>
      </x:c>
      <x:c r="AC249" s="119" t="str"/>
      <x:c r="AD249" s="119" t="str">
        <x:v>Active flow has no description</x:v>
      </x:c>
    </x:row>
    <x:row r="250" ht="34" customHeight="1">
      <x:c r="A250" s="117" t="str">
        <x:v>3005b000000PzCkAAK</x:v>
      </x:c>
      <x:c r="B250" s="117" t="str">
        <x:v>Harvest_Work_Order_Roll_Up_Flow</x:v>
      </x:c>
      <x:c r="C250" s="117" t="str">
        <x:v>Harvest Work Order Roll-Up Flow</x:v>
      </x:c>
      <x:c r="D250" s="117" t="str">
        <x:v>Yes</x:v>
      </x:c>
      <x:c r="E250" s="118" t="n">
        <x:v>2</x:v>
      </x:c>
      <x:c r="F250" s="118" t="n">
        <x:v>2</x:v>
      </x:c>
      <x:c r="G250" s="117" t="str">
        <x:v>Yes</x:v>
      </x:c>
      <x:c r="H250" s="119" t="str">
        <x:v>Active v2 (Retrieved XML)</x:v>
      </x:c>
      <x:c r="I250" s="117" t="str">
        <x:v>AutoLaunchedFlow</x:v>
      </x:c>
      <x:c r="J250" s="117" t="str">
        <x:v>Harvest_Work_Order__c</x:v>
      </x:c>
      <x:c r="K250" s="117" t="str">
        <x:v>Yes</x:v>
      </x:c>
      <x:c r="L250" s="117" t="str">
        <x:v>Update</x:v>
      </x:c>
      <x:c r="M250" s="117" t="str">
        <x:v>RecordAfterSave</x:v>
      </x:c>
      <x:c r="N250" s="117"/>
      <x:c r="O250" s="117"/>
      <x:c r="P250" s="117" t="str"/>
      <x:c r="Q250" s="117" t="str">
        <x:v>57.0</x:v>
      </x:c>
      <x:c r="R250" s="117" t="str">
        <x:v>unmanaged</x:v>
      </x:c>
      <x:c r="S250" s="118" t="n">
        <x:v>2</x:v>
      </x:c>
      <x:c r="T250" s="118" t="n">
        <x:v>5</x:v>
      </x:c>
      <x:c r="U250" s="118" t="n">
        <x:v>2</x:v>
      </x:c>
      <x:c r="V250" s="118" t="n">
        <x:v>0</x:v>
      </x:c>
      <x:c r="W250" s="118" t="n">
        <x:v>0</x:v>
      </x:c>
      <x:c r="X250" s="118" t="n">
        <x:v>0</x:v>
      </x:c>
      <x:c r="Y250" s="118" t="n">
        <x:v>1</x:v>
      </x:c>
      <x:c r="Z250" s="117" t="str">
        <x:v>Review</x:v>
      </x:c>
      <x:c r="AA250" s="120" t="n">
        <x:v>45021.70704861111</x:v>
      </x:c>
      <x:c r="AB250" s="117" t="str">
        <x:v>Jace Gentil</x:v>
      </x:c>
      <x:c r="AC250" s="119" t="str"/>
      <x:c r="AD250" s="119" t="str">
        <x:v>Active flow has no description</x:v>
      </x:c>
    </x:row>
    <x:row r="251" ht="34" customHeight="1">
      <x:c r="A251" s="117" t="str">
        <x:v>300Ro000008sFGnIAM</x:v>
      </x:c>
      <x:c r="B251" s="117" t="str">
        <x:v>Harvest_Work_Order_to_System_Work_Order</x:v>
      </x:c>
      <x:c r="C251" s="117" t="str">
        <x:v>Harvest Work Order to System Work Order</x:v>
      </x:c>
      <x:c r="D251" s="117" t="str">
        <x:v>Yes</x:v>
      </x:c>
      <x:c r="E251" s="118" t="n">
        <x:v>4</x:v>
      </x:c>
      <x:c r="F251" s="118" t="n">
        <x:v>4</x:v>
      </x:c>
      <x:c r="G251" s="117" t="str">
        <x:v>Yes</x:v>
      </x:c>
      <x:c r="H251" s="119" t="str">
        <x:v>Active v4 (Retrieved XML)</x:v>
      </x:c>
      <x:c r="I251" s="117" t="str">
        <x:v>AutoLaunchedFlow</x:v>
      </x:c>
      <x:c r="J251" s="117" t="str">
        <x:v>Harvest_Work_Order__c</x:v>
      </x:c>
      <x:c r="K251" s="117" t="str">
        <x:v>Yes</x:v>
      </x:c>
      <x:c r="L251" s="117" t="str">
        <x:v>CreateAndUpdate</x:v>
      </x:c>
      <x:c r="M251" s="117" t="str">
        <x:v>RecordAfterSave</x:v>
      </x:c>
      <x:c r="N251" s="117"/>
      <x:c r="O251" s="117"/>
      <x:c r="P251" s="117" t="str"/>
      <x:c r="Q251" s="117" t="str">
        <x:v>57.0</x:v>
      </x:c>
      <x:c r="R251" s="117" t="str">
        <x:v>unmanaged</x:v>
      </x:c>
      <x:c r="S251" s="118" t="n">
        <x:v>4</x:v>
      </x:c>
      <x:c r="T251" s="118" t="n">
        <x:v>13</x:v>
      </x:c>
      <x:c r="U251" s="118" t="n">
        <x:v>2</x:v>
      </x:c>
      <x:c r="V251" s="118" t="n">
        <x:v>0</x:v>
      </x:c>
      <x:c r="W251" s="118" t="n">
        <x:v>0</x:v>
      </x:c>
      <x:c r="X251" s="118" t="n">
        <x:v>0</x:v>
      </x:c>
      <x:c r="Y251" s="118" t="n">
        <x:v>1</x:v>
      </x:c>
      <x:c r="Z251" s="117" t="str">
        <x:v>Review</x:v>
      </x:c>
      <x:c r="AA251" s="120" t="n">
        <x:v>45384.62181712963</x:v>
      </x:c>
      <x:c r="AB251" s="117" t="str">
        <x:v>Delegate</x:v>
      </x:c>
      <x:c r="AC251" s="119" t="str">
        <x:v>04/02/2024 CDM - Updated assignment node to pull in the current values from the triggering record.</x:v>
      </x:c>
      <x:c r="AD251" s="119" t="str"/>
    </x:row>
    <x:row r="252" ht="34" customHeight="1">
      <x:c r="A252" s="117" t="str">
        <x:v>3005b000000H3uqAAC</x:v>
      </x:c>
      <x:c r="B252" s="117" t="str">
        <x:v>Has_Files_Flow</x:v>
      </x:c>
      <x:c r="C252" s="117" t="str">
        <x:v>Has Files Flow</x:v>
      </x:c>
      <x:c r="D252" s="117" t="str">
        <x:v>No</x:v>
      </x:c>
      <x:c r="E252" s="118"/>
      <x:c r="F252" s="118" t="n">
        <x:v>1</x:v>
      </x:c>
      <x:c r="G252" s="117" t="str">
        <x:v>N/A</x:v>
      </x:c>
      <x:c r="H252" s="119" t="str">
        <x:v>Latest inactive v1 (Retrieved XML)</x:v>
      </x:c>
      <x:c r="I252" s="117" t="str">
        <x:v>AutoLaunchedFlow</x:v>
      </x:c>
      <x:c r="J252" s="117" t="str">
        <x:v>ProductItem__c</x:v>
      </x:c>
      <x:c r="K252" s="117" t="str">
        <x:v>No</x:v>
      </x:c>
      <x:c r="L252" s="117" t="str"/>
      <x:c r="M252" s="117" t="str">
        <x:v>Scheduled</x:v>
      </x:c>
      <x:c r="N252" s="117"/>
      <x:c r="O252" s="117"/>
      <x:c r="P252" s="117" t="str">
        <x:v>Once</x:v>
      </x:c>
      <x:c r="Q252" s="117" t="str">
        <x:v>54.0</x:v>
      </x:c>
      <x:c r="R252" s="117" t="str">
        <x:v>unmanaged</x:v>
      </x:c>
      <x:c r="S252" s="118" t="n">
        <x:v>1</x:v>
      </x:c>
      <x:c r="T252" s="118" t="n">
        <x:v>5</x:v>
      </x:c>
      <x:c r="U252" s="118" t="n">
        <x:v>2</x:v>
      </x:c>
      <x:c r="V252" s="118" t="n">
        <x:v>0</x:v>
      </x:c>
      <x:c r="W252" s="118" t="n">
        <x:v>0</x:v>
      </x:c>
      <x:c r="X252" s="118" t="n">
        <x:v>0</x:v>
      </x:c>
      <x:c r="Y252" s="118" t="n">
        <x:v>1</x:v>
      </x:c>
      <x:c r="Z252" s="117" t="str">
        <x:v>N/A</x:v>
      </x:c>
      <x:c r="AA252" s="120" t="n">
        <x:v>44719.51238425926</x:v>
      </x:c>
      <x:c r="AB252" s="117" t="str">
        <x:v>Delegate</x:v>
      </x:c>
      <x:c r="AC252" s="119" t="str"/>
      <x:c r="AD252" s="119" t="str"/>
    </x:row>
    <x:row r="253" ht="34" customHeight="1">
      <x:c r="A253" s="117" t="str">
        <x:v>300Ro00000wnmN8IAI</x:v>
      </x:c>
      <x:c r="B253" s="117" t="str">
        <x:v>If_FSR_Not_Required_FSR_Datestamp_Blank_at_Closed_Won_Set_FSR_Datestamp_to_Today</x:v>
      </x:c>
      <x:c r="C253" s="117" t="str">
        <x:v>If FSR Not Required checked true &amp; FSR Datestamp Blank at Closed Won | Set FSR Datestamp to Today</x:v>
      </x:c>
      <x:c r="D253" s="117" t="str">
        <x:v>Yes</x:v>
      </x:c>
      <x:c r="E253" s="118" t="n">
        <x:v>1</x:v>
      </x:c>
      <x:c r="F253" s="118" t="n">
        <x:v>1</x:v>
      </x:c>
      <x:c r="G253" s="117" t="str">
        <x:v>Yes</x:v>
      </x:c>
      <x:c r="H253" s="119" t="str">
        <x:v>Active v1 (Retrieved XML)</x:v>
      </x:c>
      <x:c r="I253" s="117" t="str">
        <x:v>AutoLaunchedFlow</x:v>
      </x:c>
      <x:c r="J253" s="117" t="str">
        <x:v>Opportunity</x:v>
      </x:c>
      <x:c r="K253" s="117" t="str">
        <x:v>Yes</x:v>
      </x:c>
      <x:c r="L253" s="117" t="str">
        <x:v>Update</x:v>
      </x:c>
      <x:c r="M253" s="117" t="str">
        <x:v>RecordBeforeSave</x:v>
      </x:c>
      <x:c r="N253" s="117"/>
      <x:c r="O253" s="117"/>
      <x:c r="P253" s="117" t="str"/>
      <x:c r="Q253" s="117" t="str">
        <x:v>66.0</x:v>
      </x:c>
      <x:c r="R253" s="117" t="str">
        <x:v>unmanaged</x:v>
      </x:c>
      <x:c r="S253" s="118" t="n">
        <x:v>1</x:v>
      </x:c>
      <x:c r="T253" s="118" t="n">
        <x:v>2</x:v>
      </x:c>
      <x:c r="U253" s="118" t="n">
        <x:v>1</x:v>
      </x:c>
      <x:c r="V253" s="118" t="n">
        <x:v>0</x:v>
      </x:c>
      <x:c r="W253" s="118" t="n">
        <x:v>0</x:v>
      </x:c>
      <x:c r="X253" s="118" t="n">
        <x:v>0</x:v>
      </x:c>
      <x:c r="Y253" s="118" t="n">
        <x:v>1</x:v>
      </x:c>
      <x:c r="Z253" s="117" t="str">
        <x:v>Review</x:v>
      </x:c>
      <x:c r="AA253" s="120" t="n">
        <x:v>46148.500914351855</x:v>
      </x:c>
      <x:c r="AB253" s="117" t="str">
        <x:v>Delegate</x:v>
      </x:c>
      <x:c r="AC253" s="119" t="str">
        <x:v>05/06/2026 (BW) - Sets the FSR Datestamp to today if FSR is not required is checked to true (on create) and the FSR datestamp is blank on close winning of the opportunity</x:v>
      </x:c>
      <x:c r="AD253" s="119" t="str"/>
    </x:row>
    <x:row r="254" ht="34" customHeight="1">
      <x:c r="A254" s="117" t="str">
        <x:v>300Ro00000Pz0klIAB</x:v>
      </x:c>
      <x:c r="B254" s="117" t="str">
        <x:v>Injector_Checklist</x:v>
      </x:c>
      <x:c r="C254" s="117" t="str">
        <x:v>Injector Checklist</x:v>
      </x:c>
      <x:c r="D254" s="117" t="str">
        <x:v>Yes</x:v>
      </x:c>
      <x:c r="E254" s="118" t="n">
        <x:v>4</x:v>
      </x:c>
      <x:c r="F254" s="118" t="n">
        <x:v>5</x:v>
      </x:c>
      <x:c r="G254" s="117" t="str">
        <x:v>No</x:v>
      </x:c>
      <x:c r="H254" s="119" t="str">
        <x:v>Active v4 (Tooling metadata)</x:v>
      </x:c>
      <x:c r="I254" s="117" t="str">
        <x:v>FieldServiceMobile</x:v>
      </x:c>
      <x:c r="J254" s="117" t="str"/>
      <x:c r="K254" s="117" t="str">
        <x:v>No</x:v>
      </x:c>
      <x:c r="L254" s="117" t="str"/>
      <x:c r="M254" s="117" t="str"/>
      <x:c r="N254" s="117"/>
      <x:c r="O254" s="117"/>
      <x:c r="P254" s="117" t="str"/>
      <x:c r="Q254" s="117"/>
      <x:c r="R254" s="117" t="str">
        <x:v>unmanaged</x:v>
      </x:c>
      <x:c r="S254" s="118" t="n">
        <x:v>5</x:v>
      </x:c>
      <x:c r="T254" s="118" t="n">
        <x:v>22</x:v>
      </x:c>
      <x:c r="U254" s="118" t="n">
        <x:v>2</x:v>
      </x:c>
      <x:c r="V254" s="118" t="n">
        <x:v>0</x:v>
      </x:c>
      <x:c r="W254" s="118" t="n">
        <x:v>0</x:v>
      </x:c>
      <x:c r="X254" s="118" t="n">
        <x:v>0</x:v>
      </x:c>
      <x:c r="Y254" s="118" t="n">
        <x:v>2</x:v>
      </x:c>
      <x:c r="Z254" s="117" t="str">
        <x:v>N/A</x:v>
      </x:c>
      <x:c r="AA254" s="120" t="n">
        <x:v>45743.0778125</x:v>
      </x:c>
      <x:c r="AB254" s="117" t="str">
        <x:v>Delegate</x:v>
      </x:c>
      <x:c r="AC254" s="119" t="str">
        <x:v>03/26/2025 (BW) - Updating this Injector Checklist to the newer methodology</x:v>
      </x:c>
      <x:c r="AD254" s="119" t="str">
        <x:v>Active version differs from latest</x:v>
      </x:c>
    </x:row>
    <x:row r="255" ht="34" customHeight="1">
      <x:c r="A255" s="117" t="str">
        <x:v>3005b000000PyxVAAS</x:v>
      </x:c>
      <x:c r="B255" s="117" t="str">
        <x:v>Inter_Company_Transfer_Address_Update_Op</x:v>
      </x:c>
      <x:c r="C255" s="117" t="str">
        <x:v>Inter-Company Transfer Address Update Op</x:v>
      </x:c>
      <x:c r="D255" s="117" t="str">
        <x:v>Yes</x:v>
      </x:c>
      <x:c r="E255" s="118" t="n">
        <x:v>2</x:v>
      </x:c>
      <x:c r="F255" s="118" t="n">
        <x:v>2</x:v>
      </x:c>
      <x:c r="G255" s="117" t="str">
        <x:v>Yes</x:v>
      </x:c>
      <x:c r="H255" s="119" t="str">
        <x:v>Active v2 (Retrieved XML)</x:v>
      </x:c>
      <x:c r="I255" s="117" t="str">
        <x:v>AutoLaunchedFlow</x:v>
      </x:c>
      <x:c r="J255" s="117" t="str">
        <x:v>Opportunity</x:v>
      </x:c>
      <x:c r="K255" s="117" t="str">
        <x:v>Yes</x:v>
      </x:c>
      <x:c r="L255" s="117" t="str">
        <x:v>CreateAndUpdate</x:v>
      </x:c>
      <x:c r="M255" s="117" t="str">
        <x:v>RecordAfterSave</x:v>
      </x:c>
      <x:c r="N255" s="117"/>
      <x:c r="O255" s="117"/>
      <x:c r="P255" s="117" t="str"/>
      <x:c r="Q255" s="117" t="str">
        <x:v>57.0</x:v>
      </x:c>
      <x:c r="R255" s="117" t="str">
        <x:v>unmanaged</x:v>
      </x:c>
      <x:c r="S255" s="118" t="n">
        <x:v>2</x:v>
      </x:c>
      <x:c r="T255" s="118" t="n">
        <x:v>5</x:v>
      </x:c>
      <x:c r="U255" s="118" t="n">
        <x:v>1</x:v>
      </x:c>
      <x:c r="V255" s="118" t="n">
        <x:v>0</x:v>
      </x:c>
      <x:c r="W255" s="118" t="n">
        <x:v>0</x:v>
      </x:c>
      <x:c r="X255" s="118" t="n">
        <x:v>0</x:v>
      </x:c>
      <x:c r="Y255" s="118" t="n">
        <x:v>1</x:v>
      </x:c>
      <x:c r="Z255" s="117" t="str">
        <x:v>Strong</x:v>
      </x:c>
      <x:c r="AA255" s="120" t="n">
        <x:v>45145.54005787037</x:v>
      </x:c>
      <x:c r="AB255" s="117" t="str">
        <x:v>Delegate</x:v>
      </x:c>
      <x:c r="AC255" s="119" t="str">
        <x:v>Added asynchronous path</x:v>
      </x:c>
      <x:c r="AD255" s="119" t="str"/>
    </x:row>
    <x:row r="256" ht="34" customHeight="1">
      <x:c r="A256" s="117" t="str">
        <x:v>300Ro00000rK6tzIAC</x:v>
      </x:c>
      <x:c r="B256" s="117" t="str">
        <x:v>Intercompany_Transfer_Automations</x:v>
      </x:c>
      <x:c r="C256" s="117" t="str">
        <x:v>Intercompany Transfer Automations</x:v>
      </x:c>
      <x:c r="D256" s="117" t="str">
        <x:v>Yes</x:v>
      </x:c>
      <x:c r="E256" s="118" t="n">
        <x:v>1</x:v>
      </x:c>
      <x:c r="F256" s="118" t="n">
        <x:v>1</x:v>
      </x:c>
      <x:c r="G256" s="117" t="str">
        <x:v>Yes</x:v>
      </x:c>
      <x:c r="H256" s="119" t="str">
        <x:v>Active v1 (Retrieved XML)</x:v>
      </x:c>
      <x:c r="I256" s="117" t="str">
        <x:v>AutoLaunchedFlow</x:v>
      </x:c>
      <x:c r="J256" s="117" t="str">
        <x:v>Intercompany_Transfer__c</x:v>
      </x:c>
      <x:c r="K256" s="117" t="str">
        <x:v>Yes</x:v>
      </x:c>
      <x:c r="L256" s="117" t="str">
        <x:v>Update</x:v>
      </x:c>
      <x:c r="M256" s="117" t="str">
        <x:v>RecordAfterSave</x:v>
      </x:c>
      <x:c r="N256" s="117"/>
      <x:c r="O256" s="117"/>
      <x:c r="P256" s="117" t="str"/>
      <x:c r="Q256" s="117" t="str">
        <x:v>66.0</x:v>
      </x:c>
      <x:c r="R256" s="117" t="str">
        <x:v>unmanaged</x:v>
      </x:c>
      <x:c r="S256" s="118" t="n">
        <x:v>1</x:v>
      </x:c>
      <x:c r="T256" s="118" t="n">
        <x:v>5</x:v>
      </x:c>
      <x:c r="U256" s="118" t="n">
        <x:v>1</x:v>
      </x:c>
      <x:c r="V256" s="118" t="n">
        <x:v>0</x:v>
      </x:c>
      <x:c r="W256" s="118" t="n">
        <x:v>0</x:v>
      </x:c>
      <x:c r="X256" s="118" t="n">
        <x:v>0</x:v>
      </x:c>
      <x:c r="Y256" s="118" t="n">
        <x:v>1</x:v>
      </x:c>
      <x:c r="Z256" s="117" t="str">
        <x:v>Isolated lane</x:v>
      </x:c>
      <x:c r="AA256" s="120" t="n">
        <x:v>46075.57782407408</x:v>
      </x:c>
      <x:c r="AB256" s="117" t="str">
        <x:v>Sacha Pearce</x:v>
      </x:c>
      <x:c r="AC256" s="119" t="str"/>
      <x:c r="AD256" s="119" t="str">
        <x:v>Active flow has no description</x:v>
      </x:c>
    </x:row>
    <x:row r="257" ht="34" customHeight="1">
      <x:c r="A257" s="117" t="str">
        <x:v>300Ro00000Pz0kmIAB</x:v>
      </x:c>
      <x:c r="B257" s="117" t="str">
        <x:v>IntraoralChecklist</x:v>
      </x:c>
      <x:c r="C257" s="117" t="str">
        <x:v>Intraoral Checklist</x:v>
      </x:c>
      <x:c r="D257" s="117" t="str">
        <x:v>Yes</x:v>
      </x:c>
      <x:c r="E257" s="118" t="n">
        <x:v>6</x:v>
      </x:c>
      <x:c r="F257" s="118" t="n">
        <x:v>6</x:v>
      </x:c>
      <x:c r="G257" s="117" t="str">
        <x:v>Yes</x:v>
      </x:c>
      <x:c r="H257" s="119" t="str">
        <x:v>Active v6 (Retrieved XML)</x:v>
      </x:c>
      <x:c r="I257" s="117" t="str">
        <x:v>FieldServiceMobile</x:v>
      </x:c>
      <x:c r="J257" s="117" t="str"/>
      <x:c r="K257" s="117" t="str">
        <x:v>No</x:v>
      </x:c>
      <x:c r="L257" s="117" t="str"/>
      <x:c r="M257" s="117" t="str"/>
      <x:c r="N257" s="117"/>
      <x:c r="O257" s="117"/>
      <x:c r="P257" s="117" t="str"/>
      <x:c r="Q257" s="117"/>
      <x:c r="R257" s="117" t="str">
        <x:v>unmanaged</x:v>
      </x:c>
      <x:c r="S257" s="118" t="n">
        <x:v>6</x:v>
      </x:c>
      <x:c r="T257" s="118" t="n">
        <x:v>16</x:v>
      </x:c>
      <x:c r="U257" s="118" t="n">
        <x:v>2</x:v>
      </x:c>
      <x:c r="V257" s="118" t="n">
        <x:v>0</x:v>
      </x:c>
      <x:c r="W257" s="118" t="n">
        <x:v>0</x:v>
      </x:c>
      <x:c r="X257" s="118" t="n">
        <x:v>0</x:v>
      </x:c>
      <x:c r="Y257" s="118" t="n">
        <x:v>2</x:v>
      </x:c>
      <x:c r="Z257" s="117" t="str">
        <x:v>N/A</x:v>
      </x:c>
      <x:c r="AA257" s="120" t="n">
        <x:v>46072.46399305556</x:v>
      </x:c>
      <x:c r="AB257" s="117" t="str">
        <x:v>Sacha Pearce</x:v>
      </x:c>
      <x:c r="AC257" s="119" t="str">
        <x:v>04/04/2025 (BW) - Updating the checksheet to use the newer methodologies
21/01/2025 - V5 - SP - Updating to match the new FSL formatting</x:v>
      </x:c>
      <x:c r="AD257" s="119" t="str"/>
    </x:row>
    <x:row r="258" ht="34" customHeight="1">
      <x:c r="A258" s="117" t="str">
        <x:v>3004O000000LOscQAG</x:v>
      </x:c>
      <x:c r="B258" s="117" t="str">
        <x:v>Inventory_Adjustment</x:v>
      </x:c>
      <x:c r="C258" s="117" t="str">
        <x:v>Inventory Adjustment</x:v>
      </x:c>
      <x:c r="D258" s="117" t="str">
        <x:v>No</x:v>
      </x:c>
      <x:c r="E258" s="118"/>
      <x:c r="F258" s="118" t="n">
        <x:v>1</x:v>
      </x:c>
      <x:c r="G258" s="117" t="str">
        <x:v>N/A</x:v>
      </x:c>
      <x:c r="H258" s="119" t="str">
        <x:v>Latest inactive v1 (Retrieved XML)</x:v>
      </x:c>
      <x:c r="I258" s="117" t="str">
        <x:v>Workflow</x:v>
      </x:c>
      <x:c r="J258" s="117" t="str"/>
      <x:c r="K258" s="117" t="str">
        <x:v>No</x:v>
      </x:c>
      <x:c r="L258" s="117" t="str"/>
      <x:c r="M258" s="117" t="str"/>
      <x:c r="N258" s="117"/>
      <x:c r="O258" s="117"/>
      <x:c r="P258" s="117" t="str"/>
      <x:c r="Q258" s="117" t="str">
        <x:v>50.0</x:v>
      </x:c>
      <x:c r="R258" s="117" t="str">
        <x:v>unmanaged</x:v>
      </x:c>
      <x:c r="S258" s="118" t="n">
        <x:v>1</x:v>
      </x:c>
      <x:c r="T258" s="118" t="n">
        <x:v>3</x:v>
      </x:c>
      <x:c r="U258" s="118" t="n">
        <x:v>2</x:v>
      </x:c>
      <x:c r="V258" s="118" t="n">
        <x:v>0</x:v>
      </x:c>
      <x:c r="W258" s="118" t="n">
        <x:v>0</x:v>
      </x:c>
      <x:c r="X258" s="118" t="n">
        <x:v>0</x:v>
      </x:c>
      <x:c r="Y258" s="118" t="n">
        <x:v>1</x:v>
      </x:c>
      <x:c r="Z258" s="117" t="str">
        <x:v>N/A</x:v>
      </x:c>
      <x:c r="AA258" s="120" t="n">
        <x:v>45600.200844907406</x:v>
      </x:c>
      <x:c r="AB258" s="117" t="str">
        <x:v>Delegate</x:v>
      </x:c>
      <x:c r="AC258" s="119" t="str"/>
      <x:c r="AD258" s="119" t="str"/>
    </x:row>
    <x:row r="259" ht="34" customHeight="1">
      <x:c r="A259" s="117" t="str">
        <x:v>3005b000000LHdDAAW</x:v>
      </x:c>
      <x:c r="B259" s="117" t="str">
        <x:v>Invoice_Automations</x:v>
      </x:c>
      <x:c r="C259" s="117" t="str">
        <x:v>Invoice Automations</x:v>
      </x:c>
      <x:c r="D259" s="117" t="str">
        <x:v>Yes</x:v>
      </x:c>
      <x:c r="E259" s="118" t="n">
        <x:v>26</x:v>
      </x:c>
      <x:c r="F259" s="118" t="n">
        <x:v>26</x:v>
      </x:c>
      <x:c r="G259" s="117" t="str">
        <x:v>Yes</x:v>
      </x:c>
      <x:c r="H259" s="119" t="str">
        <x:v>Active v26 (Retrieved XML)</x:v>
      </x:c>
      <x:c r="I259" s="117" t="str">
        <x:v>AutoLaunchedFlow</x:v>
      </x:c>
      <x:c r="J259" s="117" t="str">
        <x:v>Invoice__c</x:v>
      </x:c>
      <x:c r="K259" s="117" t="str">
        <x:v>Yes</x:v>
      </x:c>
      <x:c r="L259" s="117" t="str">
        <x:v>CreateAndUpdate</x:v>
      </x:c>
      <x:c r="M259" s="117" t="str">
        <x:v>RecordAfterSave</x:v>
      </x:c>
      <x:c r="N259" s="117"/>
      <x:c r="O259" s="117"/>
      <x:c r="P259" s="117" t="str"/>
      <x:c r="Q259" s="117" t="str">
        <x:v>56.0</x:v>
      </x:c>
      <x:c r="R259" s="117" t="str">
        <x:v>unmanaged</x:v>
      </x:c>
      <x:c r="S259" s="118" t="n">
        <x:v>25</x:v>
      </x:c>
      <x:c r="T259" s="118" t="n">
        <x:v>39</x:v>
      </x:c>
      <x:c r="U259" s="118" t="n">
        <x:v>7</x:v>
      </x:c>
      <x:c r="V259" s="118" t="n">
        <x:v>0</x:v>
      </x:c>
      <x:c r="W259" s="118" t="n">
        <x:v>0</x:v>
      </x:c>
      <x:c r="X259" s="118" t="n">
        <x:v>0</x:v>
      </x:c>
      <x:c r="Y259" s="118" t="n">
        <x:v>4</x:v>
      </x:c>
      <x:c r="Z259" s="117" t="str">
        <x:v>Review</x:v>
      </x:c>
      <x:c r="AA259" s="120" t="n">
        <x:v>46142.70002314815</x:v>
      </x:c>
      <x:c r="AB259" s="117" t="str">
        <x:v>Delegate</x:v>
      </x:c>
      <x:c r="AC259" s="119" t="str">
        <x:v>04/15/2026 (BW) - Updating so that it doesn't snag if the billing address is not the correct country designation</x:v>
      </x:c>
      <x:c r="AD259" s="119" t="str">
        <x:v>High element count; Touches many objects</x:v>
      </x:c>
    </x:row>
    <x:row r="260" ht="34" customHeight="1">
      <x:c r="A260" s="117" t="str">
        <x:v>300Ro00000VBIe8IAH</x:v>
      </x:c>
      <x:c r="B260" s="117" t="str">
        <x:v>Invoice_Create_Invoice_Line_Items</x:v>
      </x:c>
      <x:c r="C260" s="117" t="str">
        <x:v>Invoice - Create Invoice Line Items</x:v>
      </x:c>
      <x:c r="D260" s="117" t="str">
        <x:v>Yes</x:v>
      </x:c>
      <x:c r="E260" s="118" t="n">
        <x:v>4</x:v>
      </x:c>
      <x:c r="F260" s="118" t="n">
        <x:v>4</x:v>
      </x:c>
      <x:c r="G260" s="117" t="str">
        <x:v>Yes</x:v>
      </x:c>
      <x:c r="H260" s="119" t="str">
        <x:v>Active v4 (Retrieved XML)</x:v>
      </x:c>
      <x:c r="I260" s="117" t="str">
        <x:v>AutoLaunchedFlow</x:v>
      </x:c>
      <x:c r="J260" s="117" t="str">
        <x:v>Invoice__c</x:v>
      </x:c>
      <x:c r="K260" s="117" t="str">
        <x:v>Yes</x:v>
      </x:c>
      <x:c r="L260" s="117" t="str">
        <x:v>Create</x:v>
      </x:c>
      <x:c r="M260" s="117" t="str">
        <x:v>RecordAfterSave</x:v>
      </x:c>
      <x:c r="N260" s="117"/>
      <x:c r="O260" s="117"/>
      <x:c r="P260" s="117" t="str"/>
      <x:c r="Q260" s="117" t="str">
        <x:v>62.0</x:v>
      </x:c>
      <x:c r="R260" s="117" t="str">
        <x:v>unmanaged</x:v>
      </x:c>
      <x:c r="S260" s="118" t="n">
        <x:v>4</x:v>
      </x:c>
      <x:c r="T260" s="118" t="n">
        <x:v>14</x:v>
      </x:c>
      <x:c r="U260" s="118" t="n">
        <x:v>2</x:v>
      </x:c>
      <x:c r="V260" s="118" t="n">
        <x:v>0</x:v>
      </x:c>
      <x:c r="W260" s="118" t="n">
        <x:v>0</x:v>
      </x:c>
      <x:c r="X260" s="118" t="n">
        <x:v>0</x:v>
      </x:c>
      <x:c r="Y260" s="118" t="n">
        <x:v>1</x:v>
      </x:c>
      <x:c r="Z260" s="117" t="str">
        <x:v>Isolated lane</x:v>
      </x:c>
      <x:c r="AA260" s="120" t="n">
        <x:v>46142.69965277778</x:v>
      </x:c>
      <x:c r="AB260" s="117" t="str">
        <x:v>Delegate</x:v>
      </x:c>
      <x:c r="AC260" s="119" t="str">
        <x:v>03/17/2026 (BW) - Updated so that invoices don't get generated with Returned Cores/Unused/DOA parts</x:v>
      </x:c>
      <x:c r="AD260" s="119" t="str"/>
    </x:row>
    <x:row r="261" ht="34" customHeight="1">
      <x:c r="A261" s="117" t="str">
        <x:v>300Ro00000VTHYJIA5</x:v>
      </x:c>
      <x:c r="B261" s="117" t="str">
        <x:v>Invoice_Line_Item_On_Update_Sum_Invoice_Total_Sales_Price</x:v>
      </x:c>
      <x:c r="C261" s="117" t="str">
        <x:v>Invoice Line Item | On Update | Sum Invoice Total Sales Price</x:v>
      </x:c>
      <x:c r="D261" s="117" t="str">
        <x:v>Yes</x:v>
      </x:c>
      <x:c r="E261" s="118" t="n">
        <x:v>3</x:v>
      </x:c>
      <x:c r="F261" s="118" t="n">
        <x:v>3</x:v>
      </x:c>
      <x:c r="G261" s="117" t="str">
        <x:v>Yes</x:v>
      </x:c>
      <x:c r="H261" s="119" t="str">
        <x:v>Active v3 (Retrieved XML)</x:v>
      </x:c>
      <x:c r="I261" s="117" t="str">
        <x:v>AutoLaunchedFlow</x:v>
      </x:c>
      <x:c r="J261" s="117" t="str">
        <x:v>Invoice_Line_Item__c</x:v>
      </x:c>
      <x:c r="K261" s="117" t="str">
        <x:v>Yes</x:v>
      </x:c>
      <x:c r="L261" s="117" t="str">
        <x:v>CreateAndUpdate</x:v>
      </x:c>
      <x:c r="M261" s="117" t="str">
        <x:v>RecordAfterSave</x:v>
      </x:c>
      <x:c r="N261" s="117"/>
      <x:c r="O261" s="117"/>
      <x:c r="P261" s="117" t="str"/>
      <x:c r="Q261" s="117" t="str">
        <x:v>63.0</x:v>
      </x:c>
      <x:c r="R261" s="117" t="str">
        <x:v>unmanaged</x:v>
      </x:c>
      <x:c r="S261" s="118" t="n">
        <x:v>3</x:v>
      </x:c>
      <x:c r="T261" s="118" t="n">
        <x:v>6</x:v>
      </x:c>
      <x:c r="U261" s="118" t="n">
        <x:v>2</x:v>
      </x:c>
      <x:c r="V261" s="118" t="n">
        <x:v>0</x:v>
      </x:c>
      <x:c r="W261" s="118" t="n">
        <x:v>0</x:v>
      </x:c>
      <x:c r="X261" s="118" t="n">
        <x:v>0</x:v>
      </x:c>
      <x:c r="Y261" s="118" t="n">
        <x:v>1</x:v>
      </x:c>
      <x:c r="Z261" s="117" t="str">
        <x:v>Isolated lane</x:v>
      </x:c>
      <x:c r="AA261" s="120" t="n">
        <x:v>46227.34315972222</x:v>
      </x:c>
      <x:c r="AB261" s="117" t="str">
        <x:v>Sacha Pearce</x:v>
      </x:c>
      <x:c r="AC261" s="119" t="str">
        <x:v>24/07/2026 - Excluding the calculation for "Total Sales Price" when Invoices are made for Disaster Record Projects (related to the Opportunity named "Generic Opportunity for DRP").</x:v>
      </x:c>
      <x:c r="AD261" s="119" t="str"/>
    </x:row>
    <x:row r="262" ht="34" customHeight="1">
      <x:c r="A262" s="117" t="str">
        <x:v>3004O0000000ZuBQAU</x:v>
      </x:c>
      <x:c r="B262" s="117" t="str">
        <x:v>Invoice_Object</x:v>
      </x:c>
      <x:c r="C262" s="117" t="str">
        <x:v>Invoice Object</x:v>
      </x:c>
      <x:c r="D262" s="117" t="str">
        <x:v>Yes</x:v>
      </x:c>
      <x:c r="E262" s="118" t="n">
        <x:v>55</x:v>
      </x:c>
      <x:c r="F262" s="118" t="n">
        <x:v>55</x:v>
      </x:c>
      <x:c r="G262" s="117" t="str">
        <x:v>Yes</x:v>
      </x:c>
      <x:c r="H262" s="119" t="str">
        <x:v>Active v55 (Retrieved XML)</x:v>
      </x:c>
      <x:c r="I262" s="117" t="str">
        <x:v>Workflow</x:v>
      </x:c>
      <x:c r="J262" s="117" t="str"/>
      <x:c r="K262" s="117" t="str">
        <x:v>No</x:v>
      </x:c>
      <x:c r="L262" s="117" t="str"/>
      <x:c r="M262" s="117" t="str"/>
      <x:c r="N262" s="117"/>
      <x:c r="O262" s="117"/>
      <x:c r="P262" s="117" t="str"/>
      <x:c r="Q262" s="117" t="str">
        <x:v>49.0</x:v>
      </x:c>
      <x:c r="R262" s="117" t="str">
        <x:v>unmanaged</x:v>
      </x:c>
      <x:c r="S262" s="118" t="n">
        <x:v>14</x:v>
      </x:c>
      <x:c r="T262" s="118" t="n">
        <x:v>19</x:v>
      </x:c>
      <x:c r="U262" s="118" t="n">
        <x:v>3</x:v>
      </x:c>
      <x:c r="V262" s="118" t="n">
        <x:v>0</x:v>
      </x:c>
      <x:c r="W262" s="118" t="n">
        <x:v>1</x:v>
      </x:c>
      <x:c r="X262" s="118" t="n">
        <x:v>0</x:v>
      </x:c>
      <x:c r="Y262" s="118" t="n">
        <x:v>3</x:v>
      </x:c>
      <x:c r="Z262" s="117" t="str">
        <x:v>N/A</x:v>
      </x:c>
      <x:c r="AA262" s="120" t="n">
        <x:v>46142.69998842593</x:v>
      </x:c>
      <x:c r="AB262" s="117" t="str">
        <x:v>Delegate</x:v>
      </x:c>
      <x:c r="AC262" s="119" t="str">
        <x:v>04/03/2025 (BW) - Updated this process builder so that it correctly grabs the appropriate currency on invoice creation</x:v>
      </x:c>
      <x:c r="AD262" s="119" t="str"/>
    </x:row>
    <x:row r="263" ht="34" customHeight="1">
      <x:c r="A263" s="117" t="str">
        <x:v>300Ro00000yWAUkIAO</x:v>
      </x:c>
      <x:c r="B263" s="117" t="str">
        <x:v>Invoice_Re_sync_if_Errored</x:v>
      </x:c>
      <x:c r="C263" s="117" t="str">
        <x:v>Invoice - Re-sync if Errored</x:v>
      </x:c>
      <x:c r="D263" s="117" t="str">
        <x:v>Yes</x:v>
      </x:c>
      <x:c r="E263" s="118" t="n">
        <x:v>1</x:v>
      </x:c>
      <x:c r="F263" s="118" t="n">
        <x:v>1</x:v>
      </x:c>
      <x:c r="G263" s="117" t="str">
        <x:v>Yes</x:v>
      </x:c>
      <x:c r="H263" s="119" t="str">
        <x:v>Active v1 (Retrieved XML)</x:v>
      </x:c>
      <x:c r="I263" s="117" t="str">
        <x:v>AutoLaunchedFlow</x:v>
      </x:c>
      <x:c r="J263" s="117" t="str">
        <x:v>Invoice__c</x:v>
      </x:c>
      <x:c r="K263" s="117" t="str">
        <x:v>Yes</x:v>
      </x:c>
      <x:c r="L263" s="117" t="str"/>
      <x:c r="M263" s="117" t="str">
        <x:v>Scheduled</x:v>
      </x:c>
      <x:c r="N263" s="117"/>
      <x:c r="O263" s="117"/>
      <x:c r="P263" s="117" t="str">
        <x:v>Daily</x:v>
      </x:c>
      <x:c r="Q263" s="117" t="str">
        <x:v>65.0</x:v>
      </x:c>
      <x:c r="R263" s="117" t="str">
        <x:v>unmanaged</x:v>
      </x:c>
      <x:c r="S263" s="118" t="n">
        <x:v>1</x:v>
      </x:c>
      <x:c r="T263" s="118" t="n">
        <x:v>2</x:v>
      </x:c>
      <x:c r="U263" s="118" t="n">
        <x:v>1</x:v>
      </x:c>
      <x:c r="V263" s="118" t="n">
        <x:v>0</x:v>
      </x:c>
      <x:c r="W263" s="118" t="n">
        <x:v>0</x:v>
      </x:c>
      <x:c r="X263" s="118" t="n">
        <x:v>0</x:v>
      </x:c>
      <x:c r="Y263" s="118" t="n">
        <x:v>1</x:v>
      </x:c>
      <x:c r="Z263" s="117" t="str">
        <x:v>Isolated lane</x:v>
      </x:c>
      <x:c r="AA263" s="120" t="n">
        <x:v>46169.53236111111</x:v>
      </x:c>
      <x:c r="AB263" s="117" t="str">
        <x:v>Delegate</x:v>
      </x:c>
      <x:c r="AC263" s="119" t="str">
        <x:v>05/27/26 (BW) – Created scheduled daily flow to re-sync Invoice__c records stuck in Error status. Only processes invoices created after 1/1/2026.</x:v>
      </x:c>
      <x:c r="AD263" s="119" t="str"/>
    </x:row>
    <x:row r="264" ht="34" customHeight="1">
      <x:c r="A264" s="117" t="str">
        <x:v>300Ro000007doaWIAQ</x:v>
      </x:c>
      <x:c r="B264" s="117" t="str">
        <x:v>Invoice_Rollups</x:v>
      </x:c>
      <x:c r="C264" s="117" t="str">
        <x:v>Invoice to Loaner Rollups</x:v>
      </x:c>
      <x:c r="D264" s="117" t="str">
        <x:v>Yes</x:v>
      </x:c>
      <x:c r="E264" s="118" t="n">
        <x:v>2</x:v>
      </x:c>
      <x:c r="F264" s="118" t="n">
        <x:v>2</x:v>
      </x:c>
      <x:c r="G264" s="117" t="str">
        <x:v>Yes</x:v>
      </x:c>
      <x:c r="H264" s="119" t="str">
        <x:v>Active v2 (Retrieved XML)</x:v>
      </x:c>
      <x:c r="I264" s="117" t="str">
        <x:v>AutoLaunchedFlow</x:v>
      </x:c>
      <x:c r="J264" s="117" t="str">
        <x:v>Invoice__c</x:v>
      </x:c>
      <x:c r="K264" s="117" t="str">
        <x:v>Yes</x:v>
      </x:c>
      <x:c r="L264" s="117" t="str">
        <x:v>CreateAndUpdate</x:v>
      </x:c>
      <x:c r="M264" s="117" t="str">
        <x:v>RecordAfterSave</x:v>
      </x:c>
      <x:c r="N264" s="117"/>
      <x:c r="O264" s="117"/>
      <x:c r="P264" s="117" t="str"/>
      <x:c r="Q264" s="117" t="str">
        <x:v>57.0</x:v>
      </x:c>
      <x:c r="R264" s="117" t="str">
        <x:v>unmanaged</x:v>
      </x:c>
      <x:c r="S264" s="118" t="n">
        <x:v>2</x:v>
      </x:c>
      <x:c r="T264" s="118" t="n">
        <x:v>7</x:v>
      </x:c>
      <x:c r="U264" s="118" t="n">
        <x:v>2</x:v>
      </x:c>
      <x:c r="V264" s="118" t="n">
        <x:v>0</x:v>
      </x:c>
      <x:c r="W264" s="118" t="n">
        <x:v>0</x:v>
      </x:c>
      <x:c r="X264" s="118" t="n">
        <x:v>0</x:v>
      </x:c>
      <x:c r="Y264" s="118" t="n">
        <x:v>1</x:v>
      </x:c>
      <x:c r="Z264" s="117" t="str">
        <x:v>Review</x:v>
      </x:c>
      <x:c r="AA264" s="120" t="n">
        <x:v>46142.69969907407</x:v>
      </x:c>
      <x:c r="AB264" s="117" t="str">
        <x:v>Delegate</x:v>
      </x:c>
      <x:c r="AC264" s="119" t="str"/>
      <x:c r="AD264" s="119" t="str">
        <x:v>Active flow has no description</x:v>
      </x:c>
    </x:row>
    <x:row r="265" ht="34" customHeight="1">
      <x:c r="A265" s="117" t="str">
        <x:v>3004O000000LOvOQAW</x:v>
      </x:c>
      <x:c r="B265" s="117" t="str">
        <x:v>Invoice_Submission_Flow_V2</x:v>
      </x:c>
      <x:c r="C265" s="117" t="str">
        <x:v>Invoice Submission Flow V4</x:v>
      </x:c>
      <x:c r="D265" s="117" t="str">
        <x:v>Yes</x:v>
      </x:c>
      <x:c r="E265" s="118" t="n">
        <x:v>37</x:v>
      </x:c>
      <x:c r="F265" s="118" t="n">
        <x:v>37</x:v>
      </x:c>
      <x:c r="G265" s="117" t="str">
        <x:v>Yes</x:v>
      </x:c>
      <x:c r="H265" s="119" t="str">
        <x:v>Active v37 (Retrieved XML)</x:v>
      </x:c>
      <x:c r="I265" s="117" t="str">
        <x:v>Flow</x:v>
      </x:c>
      <x:c r="J265" s="117" t="str"/>
      <x:c r="K265" s="117" t="str">
        <x:v>No</x:v>
      </x:c>
      <x:c r="L265" s="117" t="str"/>
      <x:c r="M265" s="117" t="str"/>
      <x:c r="N265" s="117"/>
      <x:c r="O265" s="117"/>
      <x:c r="P265" s="117" t="str"/>
      <x:c r="Q265" s="117" t="str">
        <x:v>50.0</x:v>
      </x:c>
      <x:c r="R265" s="117" t="str">
        <x:v>unmanaged</x:v>
      </x:c>
      <x:c r="S265" s="118" t="n">
        <x:v>37</x:v>
      </x:c>
      <x:c r="T265" s="118" t="n">
        <x:v>67</x:v>
      </x:c>
      <x:c r="U265" s="118" t="n">
        <x:v>6</x:v>
      </x:c>
      <x:c r="V265" s="118" t="n">
        <x:v>1</x:v>
      </x:c>
      <x:c r="W265" s="118" t="n">
        <x:v>0</x:v>
      </x:c>
      <x:c r="X265" s="118" t="n">
        <x:v>0</x:v>
      </x:c>
      <x:c r="Y265" s="118" t="n">
        <x:v>4</x:v>
      </x:c>
      <x:c r="Z265" s="117" t="str">
        <x:v>N/A</x:v>
      </x:c>
      <x:c r="AA265" s="120" t="n">
        <x:v>46020.83331018518</x:v>
      </x:c>
      <x:c r="AB265" s="117" t="str">
        <x:v>Steve Dodd</x:v>
      </x:c>
      <x:c r="AC265" s="119" t="str">
        <x:v>9/23/25 (NB) - Instead of send invoice PDF action, linked subflow for send invoice PDF so updates made in that flow will carry over here</x:v>
      </x:c>
      <x:c r="AD265" s="119" t="str">
        <x:v>High element count; Touches many objects</x:v>
      </x:c>
    </x:row>
    <x:row r="266" ht="34" customHeight="1">
      <x:c r="A266" s="117" t="str">
        <x:v>300Ro00000FwcE1IAJ</x:v>
      </x:c>
      <x:c r="B266" s="117" t="str">
        <x:v>Invoice_Sync_Notification</x:v>
      </x:c>
      <x:c r="C266" s="117" t="str">
        <x:v>Invoice Sync Notification</x:v>
      </x:c>
      <x:c r="D266" s="117" t="str">
        <x:v>Yes</x:v>
      </x:c>
      <x:c r="E266" s="118" t="n">
        <x:v>12</x:v>
      </x:c>
      <x:c r="F266" s="118" t="n">
        <x:v>12</x:v>
      </x:c>
      <x:c r="G266" s="117" t="str">
        <x:v>Yes</x:v>
      </x:c>
      <x:c r="H266" s="119" t="str">
        <x:v>Active v12 (Retrieved XML)</x:v>
      </x:c>
      <x:c r="I266" s="117" t="str">
        <x:v>AutoLaunchedFlow</x:v>
      </x:c>
      <x:c r="J266" s="117" t="str">
        <x:v>Invoice__c</x:v>
      </x:c>
      <x:c r="K266" s="117" t="str">
        <x:v>Yes</x:v>
      </x:c>
      <x:c r="L266" s="117" t="str">
        <x:v>CreateAndUpdate</x:v>
      </x:c>
      <x:c r="M266" s="117" t="str">
        <x:v>RecordAfterSave</x:v>
      </x:c>
      <x:c r="N266" s="117"/>
      <x:c r="O266" s="117"/>
      <x:c r="P266" s="117" t="str"/>
      <x:c r="Q266" s="117" t="str">
        <x:v>61.0</x:v>
      </x:c>
      <x:c r="R266" s="117" t="str">
        <x:v>unmanaged</x:v>
      </x:c>
      <x:c r="S266" s="118" t="n">
        <x:v>12</x:v>
      </x:c>
      <x:c r="T266" s="118" t="n">
        <x:v>7</x:v>
      </x:c>
      <x:c r="U266" s="118" t="n">
        <x:v>2</x:v>
      </x:c>
      <x:c r="V266" s="118" t="n">
        <x:v>0</x:v>
      </x:c>
      <x:c r="W266" s="118" t="n">
        <x:v>2</x:v>
      </x:c>
      <x:c r="X266" s="118" t="n">
        <x:v>0</x:v>
      </x:c>
      <x:c r="Y266" s="118" t="n">
        <x:v>1</x:v>
      </x:c>
      <x:c r="Z266" s="117" t="str">
        <x:v>Review</x:v>
      </x:c>
      <x:c r="AA266" s="120" t="n">
        <x:v>46142.69967592593</x:v>
      </x:c>
      <x:c r="AB266" s="117" t="str">
        <x:v>Delegate</x:v>
      </x:c>
      <x:c r="AC266" s="119" t="str">
        <x:v>10/04/2026 - SP - Introducing entry conditions to exclude Invoices where the "Opportunity Entity" is either "Probo-UK" or "Probo-SAS". As these were automatically genereated in USD, we had team members sending invoices in incorrect currencies.</x:v>
      </x:c>
      <x:c r="AD266" s="119" t="str"/>
    </x:row>
    <x:row r="267" ht="34" customHeight="1">
      <x:c r="A267" s="117" t="str">
        <x:v>300Ro000008sBV0IAM</x:v>
      </x:c>
      <x:c r="B267" s="117" t="str">
        <x:v>Invoice_to_Harvest_Work_Order_Rollups</x:v>
      </x:c>
      <x:c r="C267" s="117" t="str">
        <x:v>Product Item to Harvest Work Order Rollups</x:v>
      </x:c>
      <x:c r="D267" s="117" t="str">
        <x:v>No</x:v>
      </x:c>
      <x:c r="E267" s="118"/>
      <x:c r="F267" s="118" t="n">
        <x:v>2</x:v>
      </x:c>
      <x:c r="G267" s="117" t="str">
        <x:v>N/A</x:v>
      </x:c>
      <x:c r="H267" s="119" t="str">
        <x:v>Latest inactive v2 (Retrieved XML)</x:v>
      </x:c>
      <x:c r="I267" s="117" t="str">
        <x:v>AutoLaunchedFlow</x:v>
      </x:c>
      <x:c r="J267" s="117" t="str">
        <x:v>ProductItem__c</x:v>
      </x:c>
      <x:c r="K267" s="117" t="str">
        <x:v>No</x:v>
      </x:c>
      <x:c r="L267" s="117" t="str">
        <x:v>CreateAndUpdate</x:v>
      </x:c>
      <x:c r="M267" s="117" t="str">
        <x:v>RecordAfterSave</x:v>
      </x:c>
      <x:c r="N267" s="117"/>
      <x:c r="O267" s="117"/>
      <x:c r="P267" s="117" t="str"/>
      <x:c r="Q267" s="117" t="str">
        <x:v>60.0</x:v>
      </x:c>
      <x:c r="R267" s="117" t="str">
        <x:v>unmanaged</x:v>
      </x:c>
      <x:c r="S267" s="118" t="n">
        <x:v>2</x:v>
      </x:c>
      <x:c r="T267" s="118" t="n">
        <x:v>6</x:v>
      </x:c>
      <x:c r="U267" s="118" t="n">
        <x:v>1</x:v>
      </x:c>
      <x:c r="V267" s="118" t="n">
        <x:v>0</x:v>
      </x:c>
      <x:c r="W267" s="118" t="n">
        <x:v>0</x:v>
      </x:c>
      <x:c r="X267" s="118" t="n">
        <x:v>0</x:v>
      </x:c>
      <x:c r="Y267" s="118" t="n">
        <x:v>1</x:v>
      </x:c>
      <x:c r="Z267" s="117" t="str">
        <x:v>N/A</x:v>
      </x:c>
      <x:c r="AA267" s="120" t="n">
        <x:v>45433.68821759259</x:v>
      </x:c>
      <x:c r="AB267" s="117" t="str">
        <x:v>Delegate</x:v>
      </x:c>
      <x:c r="AC267" s="119" t="str"/>
      <x:c r="AD267" s="119" t="str"/>
    </x:row>
    <x:row r="268" ht="34" customHeight="1">
      <x:c r="A268" s="117" t="str">
        <x:v>3005b000000LHanAAG</x:v>
      </x:c>
      <x:c r="B268" s="117" t="str">
        <x:v>Invoice_Updates_and_Alerts_Flow</x:v>
      </x:c>
      <x:c r="C268" s="117" t="str">
        <x:v>Invoice Updates and Alerts Flow</x:v>
      </x:c>
      <x:c r="D268" s="117" t="str">
        <x:v>No</x:v>
      </x:c>
      <x:c r="E268" s="118"/>
      <x:c r="F268" s="118" t="n">
        <x:v>1</x:v>
      </x:c>
      <x:c r="G268" s="117" t="str">
        <x:v>N/A</x:v>
      </x:c>
      <x:c r="H268" s="119" t="str">
        <x:v>Latest inactive v1 (Retrieved XML)</x:v>
      </x:c>
      <x:c r="I268" s="117" t="str">
        <x:v>AutoLaunchedFlow</x:v>
      </x:c>
      <x:c r="J268" s="117" t="str">
        <x:v>Invoice__c</x:v>
      </x:c>
      <x:c r="K268" s="117" t="str">
        <x:v>No</x:v>
      </x:c>
      <x:c r="L268" s="117" t="str">
        <x:v>Create</x:v>
      </x:c>
      <x:c r="M268" s="117" t="str">
        <x:v>RecordAfterSave</x:v>
      </x:c>
      <x:c r="N268" s="117"/>
      <x:c r="O268" s="117"/>
      <x:c r="P268" s="117" t="str"/>
      <x:c r="Q268" s="117" t="str">
        <x:v>56.0</x:v>
      </x:c>
      <x:c r="R268" s="117" t="str">
        <x:v>unmanaged</x:v>
      </x:c>
      <x:c r="S268" s="118" t="n">
        <x:v>1</x:v>
      </x:c>
      <x:c r="T268" s="118" t="n">
        <x:v>4</x:v>
      </x:c>
      <x:c r="U268" s="118" t="n">
        <x:v>1</x:v>
      </x:c>
      <x:c r="V268" s="118" t="n">
        <x:v>0</x:v>
      </x:c>
      <x:c r="W268" s="118" t="n">
        <x:v>1</x:v>
      </x:c>
      <x:c r="X268" s="118" t="n">
        <x:v>0</x:v>
      </x:c>
      <x:c r="Y268" s="118" t="n">
        <x:v>1</x:v>
      </x:c>
      <x:c r="Z268" s="117" t="str">
        <x:v>N/A</x:v>
      </x:c>
      <x:c r="AA268" s="120" t="n">
        <x:v>44932.84818287037</x:v>
      </x:c>
      <x:c r="AB268" s="117" t="str">
        <x:v>Jace Gentil</x:v>
      </x:c>
      <x:c r="AC268" s="119" t="str"/>
      <x:c r="AD268" s="119" t="str"/>
    </x:row>
    <x:row r="269" ht="34" customHeight="1">
      <x:c r="A269" s="117" t="str">
        <x:v>300Ro00000zKaXGIA0</x:v>
      </x:c>
      <x:c r="B269" s="117" t="str">
        <x:v>IR_Product_Before_Delete_Total_IR_Product_Cost_Roll_Up</x:v>
      </x:c>
      <x:c r="C269" s="117" t="str">
        <x:v>IR Product | Before Delete, Total IR Product Cost Roll Up</x:v>
      </x:c>
      <x:c r="D269" s="117" t="str">
        <x:v>Yes</x:v>
      </x:c>
      <x:c r="E269" s="118" t="n">
        <x:v>1</x:v>
      </x:c>
      <x:c r="F269" s="118" t="n">
        <x:v>1</x:v>
      </x:c>
      <x:c r="G269" s="117" t="str">
        <x:v>Yes</x:v>
      </x:c>
      <x:c r="H269" s="119" t="str">
        <x:v>Active v1 (Retrieved XML)</x:v>
      </x:c>
      <x:c r="I269" s="117" t="str">
        <x:v>AutoLaunchedFlow</x:v>
      </x:c>
      <x:c r="J269" s="117" t="str">
        <x:v>IR_Product__c</x:v>
      </x:c>
      <x:c r="K269" s="117" t="str">
        <x:v>Yes</x:v>
      </x:c>
      <x:c r="L269" s="117" t="str">
        <x:v>Delete</x:v>
      </x:c>
      <x:c r="M269" s="117" t="str">
        <x:v>RecordBeforeDelete</x:v>
      </x:c>
      <x:c r="N269" s="117"/>
      <x:c r="O269" s="117"/>
      <x:c r="P269" s="117" t="str"/>
      <x:c r="Q269" s="117" t="str">
        <x:v>66.0</x:v>
      </x:c>
      <x:c r="R269" s="117" t="str">
        <x:v>unmanaged</x:v>
      </x:c>
      <x:c r="S269" s="118" t="n">
        <x:v>1</x:v>
      </x:c>
      <x:c r="T269" s="118" t="n">
        <x:v>5</x:v>
      </x:c>
      <x:c r="U269" s="118" t="n">
        <x:v>2</x:v>
      </x:c>
      <x:c r="V269" s="118" t="n">
        <x:v>0</x:v>
      </x:c>
      <x:c r="W269" s="118" t="n">
        <x:v>0</x:v>
      </x:c>
      <x:c r="X269" s="118" t="n">
        <x:v>0</x:v>
      </x:c>
      <x:c r="Y269" s="118" t="n">
        <x:v>1</x:v>
      </x:c>
      <x:c r="Z269" s="117" t="str">
        <x:v>Isolated lane</x:v>
      </x:c>
      <x:c r="AA269" s="120" t="n">
        <x:v>46178.10765046296</x:v>
      </x:c>
      <x:c r="AB269" s="117" t="str">
        <x:v>Delegate</x:v>
      </x:c>
      <x:c r="AC269" s="119" t="str">
        <x:v>06/04/26 (GD) – DLRS-replacement: Total_IR_Product_Cost (before delete). Re-sums remaining IR_Product__c.Total_Cost__c onto Item_Receipt__c.Sum_of_IR_Product_Total_Cost__c before an IR Product is deleted. Excludes the record being deleted via Id != $Record.Id. Item_Receipt_Is_Null_Check prevents SOQL when Item_Receipt__c is blank.</x:v>
      </x:c>
      <x:c r="AD269" s="119" t="str"/>
    </x:row>
    <x:row r="270" ht="34" customHeight="1">
      <x:c r="A270" s="117" t="str">
        <x:v>300Ro00000zKaXHIA0</x:v>
      </x:c>
      <x:c r="B270" s="117" t="str">
        <x:v>IR_Product_on_create_Total_IR_Product_Cost_Roll_Up</x:v>
      </x:c>
      <x:c r="C270" s="117" t="str">
        <x:v>IR Product | On Create, Total IR Product Cost Roll Up</x:v>
      </x:c>
      <x:c r="D270" s="117" t="str">
        <x:v>Yes</x:v>
      </x:c>
      <x:c r="E270" s="118" t="n">
        <x:v>1</x:v>
      </x:c>
      <x:c r="F270" s="118" t="n">
        <x:v>1</x:v>
      </x:c>
      <x:c r="G270" s="117" t="str">
        <x:v>Yes</x:v>
      </x:c>
      <x:c r="H270" s="119" t="str">
        <x:v>Active v1 (Retrieved XML)</x:v>
      </x:c>
      <x:c r="I270" s="117" t="str">
        <x:v>AutoLaunchedFlow</x:v>
      </x:c>
      <x:c r="J270" s="117" t="str">
        <x:v>IR_Product__c</x:v>
      </x:c>
      <x:c r="K270" s="117" t="str">
        <x:v>Yes</x:v>
      </x:c>
      <x:c r="L270" s="117" t="str">
        <x:v>Create</x:v>
      </x:c>
      <x:c r="M270" s="117" t="str">
        <x:v>RecordAfterSave</x:v>
      </x:c>
      <x:c r="N270" s="117"/>
      <x:c r="O270" s="117"/>
      <x:c r="P270" s="117" t="str"/>
      <x:c r="Q270" s="117" t="str">
        <x:v>66.0</x:v>
      </x:c>
      <x:c r="R270" s="117" t="str">
        <x:v>unmanaged</x:v>
      </x:c>
      <x:c r="S270" s="118" t="n">
        <x:v>1</x:v>
      </x:c>
      <x:c r="T270" s="118" t="n">
        <x:v>9</x:v>
      </x:c>
      <x:c r="U270" s="118" t="n">
        <x:v>2</x:v>
      </x:c>
      <x:c r="V270" s="118" t="n">
        <x:v>0</x:v>
      </x:c>
      <x:c r="W270" s="118" t="n">
        <x:v>0</x:v>
      </x:c>
      <x:c r="X270" s="118" t="n">
        <x:v>0</x:v>
      </x:c>
      <x:c r="Y270" s="118" t="n">
        <x:v>1</x:v>
      </x:c>
      <x:c r="Z270" s="117" t="str">
        <x:v>Isolated lane</x:v>
      </x:c>
      <x:c r="AA270" s="120" t="n">
        <x:v>46178.107303240744</x:v>
      </x:c>
      <x:c r="AB270" s="117" t="str">
        <x:v>Delegate</x:v>
      </x:c>
      <x:c r="AC270" s="119" t="str">
        <x:v>06/04/26 (GD) – DLRS-replacement: Total_IR_Product_Cost (on create). Sync path recalculates Item_Receipt__c.Sum_of_IR_Product_Total_Cost__c immediately in the same transaction. Async path recalculates after commit for bulk accuracy.</x:v>
      </x:c>
      <x:c r="AD270" s="119" t="str"/>
    </x:row>
    <x:row r="271" ht="34" customHeight="1">
      <x:c r="A271" s="117" t="str">
        <x:v>300Ro00000zKaXIIA0</x:v>
      </x:c>
      <x:c r="B271" s="117" t="str">
        <x:v>IR_Product_on_update_Total_IR_Product_Cost_Roll_Up</x:v>
      </x:c>
      <x:c r="C271" s="117" t="str">
        <x:v>IR Product | On Update, Total IR Product Cost Roll Up</x:v>
      </x:c>
      <x:c r="D271" s="117" t="str">
        <x:v>Yes</x:v>
      </x:c>
      <x:c r="E271" s="118" t="n">
        <x:v>1</x:v>
      </x:c>
      <x:c r="F271" s="118" t="n">
        <x:v>1</x:v>
      </x:c>
      <x:c r="G271" s="117" t="str">
        <x:v>Yes</x:v>
      </x:c>
      <x:c r="H271" s="119" t="str">
        <x:v>Active v1 (Retrieved XML)</x:v>
      </x:c>
      <x:c r="I271" s="117" t="str">
        <x:v>AutoLaunchedFlow</x:v>
      </x:c>
      <x:c r="J271" s="117" t="str">
        <x:v>IR_Product__c</x:v>
      </x:c>
      <x:c r="K271" s="117" t="str">
        <x:v>Yes</x:v>
      </x:c>
      <x:c r="L271" s="117" t="str">
        <x:v>Update</x:v>
      </x:c>
      <x:c r="M271" s="117" t="str">
        <x:v>RecordAfterSave</x:v>
      </x:c>
      <x:c r="N271" s="117"/>
      <x:c r="O271" s="117"/>
      <x:c r="P271" s="117" t="str"/>
      <x:c r="Q271" s="117" t="str">
        <x:v>66.0</x:v>
      </x:c>
      <x:c r="R271" s="117" t="str">
        <x:v>unmanaged</x:v>
      </x:c>
      <x:c r="S271" s="118" t="n">
        <x:v>1</x:v>
      </x:c>
      <x:c r="T271" s="118" t="n">
        <x:v>9</x:v>
      </x:c>
      <x:c r="U271" s="118" t="n">
        <x:v>2</x:v>
      </x:c>
      <x:c r="V271" s="118" t="n">
        <x:v>0</x:v>
      </x:c>
      <x:c r="W271" s="118" t="n">
        <x:v>0</x:v>
      </x:c>
      <x:c r="X271" s="118" t="n">
        <x:v>0</x:v>
      </x:c>
      <x:c r="Y271" s="118" t="n">
        <x:v>1</x:v>
      </x:c>
      <x:c r="Z271" s="117" t="str">
        <x:v>Isolated lane</x:v>
      </x:c>
      <x:c r="AA271" s="120" t="n">
        <x:v>46178.10743055555</x:v>
      </x:c>
      <x:c r="AB271" s="117" t="str">
        <x:v>Delegate</x:v>
      </x:c>
      <x:c r="AC271" s="119" t="str">
        <x:v>06/04/26 (GD) – DLRS-replacement: Total_IR_Product_Cost (on update). Sync path uses $Record__Prior to recalculate the old parent when Item_Receipt__c is reparented. Async path recalculates the current parent on any qualifying change. Known gap: if Item_Receipt__c is cleared to null, the old parent is not recalculated.</x:v>
      </x:c>
      <x:c r="AD271" s="119" t="str"/>
    </x:row>
    <x:row r="272" ht="34" customHeight="1">
      <x:c r="A272" s="117" t="str">
        <x:v>300Ro00000NXcinIAD</x:v>
      </x:c>
      <x:c r="B272" s="117" t="str">
        <x:v>IR_Submit_to_Accounting</x:v>
      </x:c>
      <x:c r="C272" s="117" t="str">
        <x:v>IR Submit to Accounting</x:v>
      </x:c>
      <x:c r="D272" s="117" t="str">
        <x:v>Yes</x:v>
      </x:c>
      <x:c r="E272" s="118" t="n">
        <x:v>5</x:v>
      </x:c>
      <x:c r="F272" s="118" t="n">
        <x:v>5</x:v>
      </x:c>
      <x:c r="G272" s="117" t="str">
        <x:v>Yes</x:v>
      </x:c>
      <x:c r="H272" s="119" t="str">
        <x:v>Active v5 (Retrieved XML)</x:v>
      </x:c>
      <x:c r="I272" s="117" t="str">
        <x:v>Flow</x:v>
      </x:c>
      <x:c r="J272" s="117" t="str"/>
      <x:c r="K272" s="117" t="str">
        <x:v>No</x:v>
      </x:c>
      <x:c r="L272" s="117" t="str"/>
      <x:c r="M272" s="117" t="str"/>
      <x:c r="N272" s="117"/>
      <x:c r="O272" s="117"/>
      <x:c r="P272" s="117" t="str"/>
      <x:c r="Q272" s="117" t="str">
        <x:v>61.0</x:v>
      </x:c>
      <x:c r="R272" s="117" t="str">
        <x:v>unmanaged</x:v>
      </x:c>
      <x:c r="S272" s="118" t="n">
        <x:v>5</x:v>
      </x:c>
      <x:c r="T272" s="118" t="n">
        <x:v>2</x:v>
      </x:c>
      <x:c r="U272" s="118" t="n">
        <x:v>1</x:v>
      </x:c>
      <x:c r="V272" s="118" t="n">
        <x:v>0</x:v>
      </x:c>
      <x:c r="W272" s="118" t="n">
        <x:v>0</x:v>
      </x:c>
      <x:c r="X272" s="118" t="n">
        <x:v>0</x:v>
      </x:c>
      <x:c r="Y272" s="118" t="n">
        <x:v>1</x:v>
      </x:c>
      <x:c r="Z272" s="117" t="str">
        <x:v>N/A</x:v>
      </x:c>
      <x:c r="AA272" s="120" t="n">
        <x:v>45638.6559375</x:v>
      </x:c>
      <x:c r="AB272" s="117" t="str">
        <x:v>Delegate</x:v>
      </x:c>
      <x:c r="AC272" s="119" t="str">
        <x:v>AM: Removed Approval Process and Added sync directly to Intacct.</x:v>
      </x:c>
      <x:c r="AD272" s="119" t="str"/>
    </x:row>
    <x:row r="273" ht="34" customHeight="1">
      <x:c r="A273" s="117" t="str">
        <x:v>300Ro00000Pz0knIAB</x:v>
      </x:c>
      <x:c r="B273" s="117" t="str">
        <x:v>Iradimed_Infusion_Pump_Checklist</x:v>
      </x:c>
      <x:c r="C273" s="117" t="str">
        <x:v>Iradimed Infusion Pump Checklist</x:v>
      </x:c>
      <x:c r="D273" s="117" t="str">
        <x:v>Yes</x:v>
      </x:c>
      <x:c r="E273" s="118" t="n">
        <x:v>4</x:v>
      </x:c>
      <x:c r="F273" s="118" t="n">
        <x:v>4</x:v>
      </x:c>
      <x:c r="G273" s="117" t="str">
        <x:v>Yes</x:v>
      </x:c>
      <x:c r="H273" s="119" t="str">
        <x:v>Active v4 (Retrieved XML)</x:v>
      </x:c>
      <x:c r="I273" s="117" t="str">
        <x:v>FieldServiceMobile</x:v>
      </x:c>
      <x:c r="J273" s="117" t="str"/>
      <x:c r="K273" s="117" t="str">
        <x:v>No</x:v>
      </x:c>
      <x:c r="L273" s="117" t="str"/>
      <x:c r="M273" s="117" t="str"/>
      <x:c r="N273" s="117"/>
      <x:c r="O273" s="117"/>
      <x:c r="P273" s="117" t="str"/>
      <x:c r="Q273" s="117"/>
      <x:c r="R273" s="117" t="str">
        <x:v>unmanaged</x:v>
      </x:c>
      <x:c r="S273" s="118" t="n">
        <x:v>4</x:v>
      </x:c>
      <x:c r="T273" s="118" t="n">
        <x:v>16</x:v>
      </x:c>
      <x:c r="U273" s="118" t="n">
        <x:v>2</x:v>
      </x:c>
      <x:c r="V273" s="118" t="n">
        <x:v>0</x:v>
      </x:c>
      <x:c r="W273" s="118" t="n">
        <x:v>0</x:v>
      </x:c>
      <x:c r="X273" s="118" t="n">
        <x:v>0</x:v>
      </x:c>
      <x:c r="Y273" s="118" t="n">
        <x:v>2</x:v>
      </x:c>
      <x:c r="Z273" s="117" t="str">
        <x:v>N/A</x:v>
      </x:c>
      <x:c r="AA273" s="120" t="n">
        <x:v>45750.524097222224</x:v>
      </x:c>
      <x:c r="AB273" s="117" t="str">
        <x:v>Delegate</x:v>
      </x:c>
      <x:c r="AC273" s="119" t="str">
        <x:v>04/03/2025 (BW) - Updating to utilize newer functionality</x:v>
      </x:c>
      <x:c r="AD273" s="119" t="str"/>
    </x:row>
    <x:row r="274" ht="34" customHeight="1">
      <x:c r="A274" s="117" t="str">
        <x:v>300Ro00000Pz0koIAB</x:v>
      </x:c>
      <x:c r="B274" s="117" t="str">
        <x:v>Iradimed_Patient_Monitor_Checklist</x:v>
      </x:c>
      <x:c r="C274" s="117" t="str">
        <x:v>Iradimed Patient Monitor Checklist</x:v>
      </x:c>
      <x:c r="D274" s="117" t="str">
        <x:v>Yes</x:v>
      </x:c>
      <x:c r="E274" s="118" t="n">
        <x:v>4</x:v>
      </x:c>
      <x:c r="F274" s="118" t="n">
        <x:v>4</x:v>
      </x:c>
      <x:c r="G274" s="117" t="str">
        <x:v>Yes</x:v>
      </x:c>
      <x:c r="H274" s="119" t="str">
        <x:v>Active v4 (Retrieved XML)</x:v>
      </x:c>
      <x:c r="I274" s="117" t="str">
        <x:v>FieldServiceMobile</x:v>
      </x:c>
      <x:c r="J274" s="117" t="str"/>
      <x:c r="K274" s="117" t="str">
        <x:v>No</x:v>
      </x:c>
      <x:c r="L274" s="117" t="str"/>
      <x:c r="M274" s="117" t="str"/>
      <x:c r="N274" s="117"/>
      <x:c r="O274" s="117"/>
      <x:c r="P274" s="117" t="str"/>
      <x:c r="Q274" s="117"/>
      <x:c r="R274" s="117" t="str">
        <x:v>unmanaged</x:v>
      </x:c>
      <x:c r="S274" s="118" t="n">
        <x:v>4</x:v>
      </x:c>
      <x:c r="T274" s="118" t="n">
        <x:v>16</x:v>
      </x:c>
      <x:c r="U274" s="118" t="n">
        <x:v>2</x:v>
      </x:c>
      <x:c r="V274" s="118" t="n">
        <x:v>0</x:v>
      </x:c>
      <x:c r="W274" s="118" t="n">
        <x:v>0</x:v>
      </x:c>
      <x:c r="X274" s="118" t="n">
        <x:v>0</x:v>
      </x:c>
      <x:c r="Y274" s="118" t="n">
        <x:v>2</x:v>
      </x:c>
      <x:c r="Z274" s="117" t="str">
        <x:v>N/A</x:v>
      </x:c>
      <x:c r="AA274" s="120" t="n">
        <x:v>45750.545752314814</x:v>
      </x:c>
      <x:c r="AB274" s="117" t="str">
        <x:v>Delegate</x:v>
      </x:c>
      <x:c r="AC274" s="119" t="str">
        <x:v>04/03/2025 (BW) - Updated to use the newer method of checksheet management</x:v>
      </x:c>
      <x:c r="AD274" s="119" t="str"/>
    </x:row>
    <x:row r="275" ht="34" customHeight="1">
      <x:c r="A275" s="117" t="str">
        <x:v>3005b000000LI3kAAG</x:v>
      </x:c>
      <x:c r="B275" s="117" t="str">
        <x:v>Item_Receipt_Automations</x:v>
      </x:c>
      <x:c r="C275" s="117" t="str">
        <x:v>Item Receipt Automations</x:v>
      </x:c>
      <x:c r="D275" s="117" t="str">
        <x:v>Yes</x:v>
      </x:c>
      <x:c r="E275" s="118" t="n">
        <x:v>6</x:v>
      </x:c>
      <x:c r="F275" s="118" t="n">
        <x:v>6</x:v>
      </x:c>
      <x:c r="G275" s="117" t="str">
        <x:v>Yes</x:v>
      </x:c>
      <x:c r="H275" s="119" t="str">
        <x:v>Active v6 (Retrieved XML)</x:v>
      </x:c>
      <x:c r="I275" s="117" t="str">
        <x:v>AutoLaunchedFlow</x:v>
      </x:c>
      <x:c r="J275" s="117" t="str">
        <x:v>Item_Receipt__c</x:v>
      </x:c>
      <x:c r="K275" s="117" t="str">
        <x:v>Yes</x:v>
      </x:c>
      <x:c r="L275" s="117" t="str">
        <x:v>CreateAndUpdate</x:v>
      </x:c>
      <x:c r="M275" s="117" t="str">
        <x:v>RecordAfterSave</x:v>
      </x:c>
      <x:c r="N275" s="117"/>
      <x:c r="O275" s="117"/>
      <x:c r="P275" s="117" t="str"/>
      <x:c r="Q275" s="117" t="str">
        <x:v>57.0</x:v>
      </x:c>
      <x:c r="R275" s="117" t="str">
        <x:v>unmanaged</x:v>
      </x:c>
      <x:c r="S275" s="118" t="n">
        <x:v>6</x:v>
      </x:c>
      <x:c r="T275" s="118" t="n">
        <x:v>11</x:v>
      </x:c>
      <x:c r="U275" s="118" t="n">
        <x:v>3</x:v>
      </x:c>
      <x:c r="V275" s="118" t="n">
        <x:v>0</x:v>
      </x:c>
      <x:c r="W275" s="118" t="n">
        <x:v>0</x:v>
      </x:c>
      <x:c r="X275" s="118" t="n">
        <x:v>0</x:v>
      </x:c>
      <x:c r="Y275" s="118" t="n">
        <x:v>2</x:v>
      </x:c>
      <x:c r="Z275" s="117" t="str">
        <x:v>Isolated lane</x:v>
      </x:c>
      <x:c r="AA275" s="120" t="n">
        <x:v>45805.82487268518</x:v>
      </x:c>
      <x:c r="AB275" s="117" t="str">
        <x:v>Delegate</x:v>
      </x:c>
      <x:c r="AC275" s="119" t="str">
        <x:v>05/28/2025 (BW) - Updated this version to set the item receipt total on the opportunity when the item receipt is changed</x:v>
      </x:c>
      <x:c r="AD275" s="119" t="str"/>
    </x:row>
    <x:row r="276" ht="34" customHeight="1">
      <x:c r="A276" s="117" t="str">
        <x:v>300Ro00000qq4bBIAQ</x:v>
      </x:c>
      <x:c r="B276" s="117" t="str">
        <x:v>Item_Receipt_Error_Email_to_Activate_Vendor_for_Item_Receipt</x:v>
      </x:c>
      <x:c r="C276" s="117" t="str">
        <x:v>Item Receipt Error: Email to Activate Vendor for Item Receipt</x:v>
      </x:c>
      <x:c r="D276" s="117" t="str">
        <x:v>Yes</x:v>
      </x:c>
      <x:c r="E276" s="118" t="n">
        <x:v>3</x:v>
      </x:c>
      <x:c r="F276" s="118" t="n">
        <x:v>3</x:v>
      </x:c>
      <x:c r="G276" s="117" t="str">
        <x:v>Yes</x:v>
      </x:c>
      <x:c r="H276" s="119" t="str">
        <x:v>Active v3 (Retrieved XML)</x:v>
      </x:c>
      <x:c r="I276" s="117" t="str">
        <x:v>AutoLaunchedFlow</x:v>
      </x:c>
      <x:c r="J276" s="117" t="str">
        <x:v>Item_Receipt__c</x:v>
      </x:c>
      <x:c r="K276" s="117" t="str">
        <x:v>Yes</x:v>
      </x:c>
      <x:c r="L276" s="117" t="str"/>
      <x:c r="M276" s="117" t="str">
        <x:v>Scheduled</x:v>
      </x:c>
      <x:c r="N276" s="117"/>
      <x:c r="O276" s="117"/>
      <x:c r="P276" s="117" t="str">
        <x:v>Daily</x:v>
      </x:c>
      <x:c r="Q276" s="117" t="str">
        <x:v>65.0</x:v>
      </x:c>
      <x:c r="R276" s="117" t="str">
        <x:v>unmanaged</x:v>
      </x:c>
      <x:c r="S276" s="118" t="n">
        <x:v>3</x:v>
      </x:c>
      <x:c r="T276" s="118" t="n">
        <x:v>3</x:v>
      </x:c>
      <x:c r="U276" s="118" t="n">
        <x:v>1</x:v>
      </x:c>
      <x:c r="V276" s="118" t="n">
        <x:v>0</x:v>
      </x:c>
      <x:c r="W276" s="118" t="n">
        <x:v>1</x:v>
      </x:c>
      <x:c r="X276" s="118" t="n">
        <x:v>0</x:v>
      </x:c>
      <x:c r="Y276" s="118" t="n">
        <x:v>1</x:v>
      </x:c>
      <x:c r="Z276" s="117" t="str">
        <x:v>Review</x:v>
      </x:c>
      <x:c r="AA276" s="120" t="n">
        <x:v>46078.47818287037</x:v>
      </x:c>
      <x:c r="AB276" s="117" t="str">
        <x:v>Delegate</x:v>
      </x:c>
      <x:c r="AC276" s="119" t="str">
        <x:v>02/16/2026 (BW) - This email goes to Lori to get the vendor activated in Sage Intacct so we can sync over an item receipt</x:v>
      </x:c>
      <x:c r="AD276" s="119" t="str"/>
    </x:row>
    <x:row r="277" ht="34" customHeight="1">
      <x:c r="A277" s="117" t="str">
        <x:v>300Ro00000gqYztIAE</x:v>
      </x:c>
      <x:c r="B277" s="117" t="str">
        <x:v>Item_Receipt_Run_Trigger_Update_if_needed_for_Sync</x:v>
      </x:c>
      <x:c r="C277" s="117" t="str">
        <x:v>Item Receipt: Run Trigger Update if needed for Sync</x:v>
      </x:c>
      <x:c r="D277" s="117" t="str">
        <x:v>Yes</x:v>
      </x:c>
      <x:c r="E277" s="118" t="n">
        <x:v>8</x:v>
      </x:c>
      <x:c r="F277" s="118" t="n">
        <x:v>8</x:v>
      </x:c>
      <x:c r="G277" s="117" t="str">
        <x:v>Yes</x:v>
      </x:c>
      <x:c r="H277" s="119" t="str">
        <x:v>Active v8 (Retrieved XML)</x:v>
      </x:c>
      <x:c r="I277" s="117" t="str">
        <x:v>AutoLaunchedFlow</x:v>
      </x:c>
      <x:c r="J277" s="117" t="str">
        <x:v>Item_Receipt__c</x:v>
      </x:c>
      <x:c r="K277" s="117" t="str">
        <x:v>Yes</x:v>
      </x:c>
      <x:c r="L277" s="117" t="str"/>
      <x:c r="M277" s="117" t="str">
        <x:v>Scheduled</x:v>
      </x:c>
      <x:c r="N277" s="117"/>
      <x:c r="O277" s="117"/>
      <x:c r="P277" s="117" t="str">
        <x:v>Daily</x:v>
      </x:c>
      <x:c r="Q277" s="117" t="str">
        <x:v>64.0</x:v>
      </x:c>
      <x:c r="R277" s="117" t="str">
        <x:v>unmanaged</x:v>
      </x:c>
      <x:c r="S277" s="118" t="n">
        <x:v>8</x:v>
      </x:c>
      <x:c r="T277" s="118" t="n">
        <x:v>11</x:v>
      </x:c>
      <x:c r="U277" s="118" t="n">
        <x:v>2</x:v>
      </x:c>
      <x:c r="V277" s="118" t="n">
        <x:v>0</x:v>
      </x:c>
      <x:c r="W277" s="118" t="n">
        <x:v>1</x:v>
      </x:c>
      <x:c r="X277" s="118" t="n">
        <x:v>0</x:v>
      </x:c>
      <x:c r="Y277" s="118" t="n">
        <x:v>1</x:v>
      </x:c>
      <x:c r="Z277" s="117" t="str">
        <x:v>Review</x:v>
      </x:c>
      <x:c r="AA277" s="120" t="n">
        <x:v>46069.5684837963</x:v>
      </x:c>
      <x:c r="AB277" s="117" t="str">
        <x:v>Delegate</x:v>
      </x:c>
      <x:c r="AC277" s="119" t="str">
        <x:v>02/16/2026 (BW) - Updating this flow to re-sync if needed rather than running update</x:v>
      </x:c>
      <x:c r="AD277" s="119" t="str"/>
    </x:row>
    <x:row r="278" ht="34" customHeight="1">
      <x:c r="A278" s="117" t="str">
        <x:v>3005b000000PzvpAAC</x:v>
      </x:c>
      <x:c r="B278" s="117" t="str">
        <x:v>KloudGin_Case_Created_Email_Notification</x:v>
      </x:c>
      <x:c r="C278" s="117" t="str">
        <x:v>KloudGin Case Created Email Notification V2</x:v>
      </x:c>
      <x:c r="D278" s="117" t="str">
        <x:v>Yes</x:v>
      </x:c>
      <x:c r="E278" s="118" t="n">
        <x:v>28</x:v>
      </x:c>
      <x:c r="F278" s="118" t="n">
        <x:v>28</x:v>
      </x:c>
      <x:c r="G278" s="117" t="str">
        <x:v>Yes</x:v>
      </x:c>
      <x:c r="H278" s="119" t="str">
        <x:v>Active v28 (Retrieved XML)</x:v>
      </x:c>
      <x:c r="I278" s="117" t="str">
        <x:v>AutoLaunchedFlow</x:v>
      </x:c>
      <x:c r="J278" s="117" t="str">
        <x:v>Case</x:v>
      </x:c>
      <x:c r="K278" s="117" t="str">
        <x:v>Yes</x:v>
      </x:c>
      <x:c r="L278" s="117" t="str">
        <x:v>CreateAndUpdate</x:v>
      </x:c>
      <x:c r="M278" s="117" t="str">
        <x:v>RecordAfterSave</x:v>
      </x:c>
      <x:c r="N278" s="117"/>
      <x:c r="O278" s="117"/>
      <x:c r="P278" s="117" t="str"/>
      <x:c r="Q278" s="117" t="str">
        <x:v>58.0</x:v>
      </x:c>
      <x:c r="R278" s="117" t="str">
        <x:v>unmanaged</x:v>
      </x:c>
      <x:c r="S278" s="118" t="n">
        <x:v>24</x:v>
      </x:c>
      <x:c r="T278" s="118" t="n">
        <x:v>24</x:v>
      </x:c>
      <x:c r="U278" s="118" t="n">
        <x:v>2</x:v>
      </x:c>
      <x:c r="V278" s="118" t="n">
        <x:v>0</x:v>
      </x:c>
      <x:c r="W278" s="118" t="n">
        <x:v>3</x:v>
      </x:c>
      <x:c r="X278" s="118" t="n">
        <x:v>0</x:v>
      </x:c>
      <x:c r="Y278" s="118" t="n">
        <x:v>2</x:v>
      </x:c>
      <x:c r="Z278" s="117" t="str">
        <x:v>Review</x:v>
      </x:c>
      <x:c r="AA278" s="120" t="n">
        <x:v>45330.74556712963</x:v>
      </x:c>
      <x:c r="AB278" s="117" t="str">
        <x:v>Jace Gentil</x:v>
      </x:c>
      <x:c r="AC278" s="119" t="str"/>
      <x:c r="AD278" s="119" t="str">
        <x:v>Active flow has no description</x:v>
      </x:c>
    </x:row>
    <x:row r="279" ht="34" customHeight="1">
      <x:c r="A279" s="117" t="str">
        <x:v>3004O000000LOsdQAG</x:v>
      </x:c>
      <x:c r="B279" s="117" t="str">
        <x:v>Launch_Calculate_Tax_on_Closed_Won</x:v>
      </x:c>
      <x:c r="C279" s="117" t="str">
        <x:v>Launch Calculate Tax on Closed Won</x:v>
      </x:c>
      <x:c r="D279" s="117" t="str">
        <x:v>No</x:v>
      </x:c>
      <x:c r="E279" s="118"/>
      <x:c r="F279" s="118" t="n">
        <x:v>1</x:v>
      </x:c>
      <x:c r="G279" s="117" t="str">
        <x:v>N/A</x:v>
      </x:c>
      <x:c r="H279" s="119" t="str">
        <x:v>Latest inactive v1 (Retrieved XML)</x:v>
      </x:c>
      <x:c r="I279" s="117" t="str">
        <x:v>Workflow</x:v>
      </x:c>
      <x:c r="J279" s="117" t="str"/>
      <x:c r="K279" s="117" t="str">
        <x:v>No</x:v>
      </x:c>
      <x:c r="L279" s="117" t="str"/>
      <x:c r="M279" s="117" t="str"/>
      <x:c r="N279" s="117"/>
      <x:c r="O279" s="117"/>
      <x:c r="P279" s="117" t="str"/>
      <x:c r="Q279" s="117" t="str">
        <x:v>50.0</x:v>
      </x:c>
      <x:c r="R279" s="117" t="str">
        <x:v>unmanaged</x:v>
      </x:c>
      <x:c r="S279" s="118" t="n">
        <x:v>1</x:v>
      </x:c>
      <x:c r="T279" s="118" t="n">
        <x:v>1</x:v>
      </x:c>
      <x:c r="U279" s="118" t="n">
        <x:v>1</x:v>
      </x:c>
      <x:c r="V279" s="118" t="n">
        <x:v>0</x:v>
      </x:c>
      <x:c r="W279" s="118" t="n">
        <x:v>0</x:v>
      </x:c>
      <x:c r="X279" s="118" t="n">
        <x:v>0</x:v>
      </x:c>
      <x:c r="Y279" s="118" t="n">
        <x:v>1</x:v>
      </x:c>
      <x:c r="Z279" s="117" t="str">
        <x:v>N/A</x:v>
      </x:c>
      <x:c r="AA279" s="120" t="n">
        <x:v>44199.74930555555</x:v>
      </x:c>
      <x:c r="AB279" s="117" t="str">
        <x:v>Delegate</x:v>
      </x:c>
      <x:c r="AC279" s="119" t="str"/>
      <x:c r="AD279" s="119" t="str"/>
    </x:row>
    <x:row r="280" ht="34" customHeight="1">
      <x:c r="A280" s="117" t="str">
        <x:v>3005b000000LGhEAAW</x:v>
      </x:c>
      <x:c r="B280" s="117" t="str">
        <x:v>Lead_Assignment_Flow</x:v>
      </x:c>
      <x:c r="C280" s="117" t="str">
        <x:v>Lead Assignment Flow - NEW Logic</x:v>
      </x:c>
      <x:c r="D280" s="117" t="str">
        <x:v>No</x:v>
      </x:c>
      <x:c r="E280" s="118"/>
      <x:c r="F280" s="118" t="n">
        <x:v>38</x:v>
      </x:c>
      <x:c r="G280" s="117" t="str">
        <x:v>N/A</x:v>
      </x:c>
      <x:c r="H280" s="119" t="str">
        <x:v>Latest inactive v38 (Retrieved XML)</x:v>
      </x:c>
      <x:c r="I280" s="117" t="str">
        <x:v>AutoLaunchedFlow</x:v>
      </x:c>
      <x:c r="J280" s="117" t="str">
        <x:v>Lead</x:v>
      </x:c>
      <x:c r="K280" s="117" t="str">
        <x:v>No</x:v>
      </x:c>
      <x:c r="L280" s="117" t="str">
        <x:v>CreateAndUpdate</x:v>
      </x:c>
      <x:c r="M280" s="117" t="str">
        <x:v>RecordAfterSave</x:v>
      </x:c>
      <x:c r="N280" s="117"/>
      <x:c r="O280" s="117"/>
      <x:c r="P280" s="117" t="str"/>
      <x:c r="Q280" s="117" t="str">
        <x:v>56.0</x:v>
      </x:c>
      <x:c r="R280" s="117" t="str">
        <x:v>unmanaged</x:v>
      </x:c>
      <x:c r="S280" s="118" t="n">
        <x:v>38</x:v>
      </x:c>
      <x:c r="T280" s="118" t="n">
        <x:v>45</x:v>
      </x:c>
      <x:c r="U280" s="118" t="n">
        <x:v>2</x:v>
      </x:c>
      <x:c r="V280" s="118" t="n">
        <x:v>0</x:v>
      </x:c>
      <x:c r="W280" s="118" t="n">
        <x:v>2</x:v>
      </x:c>
      <x:c r="X280" s="118" t="n">
        <x:v>0</x:v>
      </x:c>
      <x:c r="Y280" s="118" t="n">
        <x:v>3</x:v>
      </x:c>
      <x:c r="Z280" s="117" t="str">
        <x:v>N/A</x:v>
      </x:c>
      <x:c r="AA280" s="120" t="n">
        <x:v>45418.56230324074</x:v>
      </x:c>
      <x:c r="AB280" s="117" t="str">
        <x:v>Jace Gentil</x:v>
      </x:c>
      <x:c r="AC280" s="119" t="str">
        <x:v>Testing no time delay</x:v>
      </x:c>
      <x:c r="AD280" s="119" t="str">
        <x:v>High element count</x:v>
      </x:c>
    </x:row>
    <x:row r="281" ht="34" customHeight="1">
      <x:c r="A281" s="117" t="str">
        <x:v>300Ro00000BDLWYIA5</x:v>
      </x:c>
      <x:c r="B281" s="117" t="str">
        <x:v>Lead_Assignment_Flow_New_Simpler_Logic</x:v>
      </x:c>
      <x:c r="C281" s="117" t="str">
        <x:v>Lead Assignment Flow - New Simpler Logic</x:v>
      </x:c>
      <x:c r="D281" s="117" t="str">
        <x:v>Yes</x:v>
      </x:c>
      <x:c r="E281" s="118" t="n">
        <x:v>8</x:v>
      </x:c>
      <x:c r="F281" s="118" t="n">
        <x:v>8</x:v>
      </x:c>
      <x:c r="G281" s="117" t="str">
        <x:v>Yes</x:v>
      </x:c>
      <x:c r="H281" s="119" t="str">
        <x:v>Active v8 (Retrieved XML)</x:v>
      </x:c>
      <x:c r="I281" s="117" t="str">
        <x:v>AutoLaunchedFlow</x:v>
      </x:c>
      <x:c r="J281" s="117" t="str">
        <x:v>Lead</x:v>
      </x:c>
      <x:c r="K281" s="117" t="str">
        <x:v>Yes</x:v>
      </x:c>
      <x:c r="L281" s="117" t="str">
        <x:v>CreateAndUpdate</x:v>
      </x:c>
      <x:c r="M281" s="117" t="str">
        <x:v>RecordAfterSave</x:v>
      </x:c>
      <x:c r="N281" s="117"/>
      <x:c r="O281" s="117"/>
      <x:c r="P281" s="117" t="str"/>
      <x:c r="Q281" s="117" t="str">
        <x:v>56.0</x:v>
      </x:c>
      <x:c r="R281" s="117" t="str">
        <x:v>unmanaged</x:v>
      </x:c>
      <x:c r="S281" s="118" t="n">
        <x:v>8</x:v>
      </x:c>
      <x:c r="T281" s="118" t="n">
        <x:v>30</x:v>
      </x:c>
      <x:c r="U281" s="118" t="n">
        <x:v>2</x:v>
      </x:c>
      <x:c r="V281" s="118" t="n">
        <x:v>0</x:v>
      </x:c>
      <x:c r="W281" s="118" t="n">
        <x:v>2</x:v>
      </x:c>
      <x:c r="X281" s="118" t="n">
        <x:v>0</x:v>
      </x:c>
      <x:c r="Y281" s="118" t="n">
        <x:v>2</x:v>
      </x:c>
      <x:c r="Z281" s="117" t="str">
        <x:v>Review</x:v>
      </x:c>
      <x:c r="AA281" s="120" t="n">
        <x:v>46126.55993055556</x:v>
      </x:c>
      <x:c r="AB281" s="117" t="str">
        <x:v>Mindy Bender</x:v>
      </x:c>
      <x:c r="AC281" s="119" t="str">
        <x:v>V8 - MPB - Added Customer Persona=Veterinarian to Lauren Fitzgerald lead queue</x:v>
      </x:c>
      <x:c r="AD281" s="119" t="str"/>
    </x:row>
    <x:row r="282" ht="34" customHeight="1">
      <x:c r="A282" s="117" t="str">
        <x:v>3004O000000Tia8QAC</x:v>
      </x:c>
      <x:c r="B282" s="117" t="str">
        <x:v>Lead_Check_for_existing</x:v>
      </x:c>
      <x:c r="C282" s="117" t="str">
        <x:v>Lead - Check for existing</x:v>
      </x:c>
      <x:c r="D282" s="117" t="str">
        <x:v>Yes</x:v>
      </x:c>
      <x:c r="E282" s="118" t="n">
        <x:v>1</x:v>
      </x:c>
      <x:c r="F282" s="118" t="n">
        <x:v>1</x:v>
      </x:c>
      <x:c r="G282" s="117" t="str">
        <x:v>Yes</x:v>
      </x:c>
      <x:c r="H282" s="119" t="str">
        <x:v>Active v1 (Retrieved XML)</x:v>
      </x:c>
      <x:c r="I282" s="117" t="str">
        <x:v>Workflow</x:v>
      </x:c>
      <x:c r="J282" s="117" t="str"/>
      <x:c r="K282" s="117" t="str">
        <x:v>No</x:v>
      </x:c>
      <x:c r="L282" s="117" t="str"/>
      <x:c r="M282" s="117" t="str"/>
      <x:c r="N282" s="117"/>
      <x:c r="O282" s="117"/>
      <x:c r="P282" s="117" t="str"/>
      <x:c r="Q282" s="117" t="str">
        <x:v>49.0</x:v>
      </x:c>
      <x:c r="R282" s="117" t="str">
        <x:v>unmanaged</x:v>
      </x:c>
      <x:c r="S282" s="118" t="n">
        <x:v>1</x:v>
      </x:c>
      <x:c r="T282" s="118" t="n">
        <x:v>6</x:v>
      </x:c>
      <x:c r="U282" s="118" t="n">
        <x:v>1</x:v>
      </x:c>
      <x:c r="V282" s="118" t="n">
        <x:v>0</x:v>
      </x:c>
      <x:c r="W282" s="118" t="n">
        <x:v>3</x:v>
      </x:c>
      <x:c r="X282" s="118" t="n">
        <x:v>0</x:v>
      </x:c>
      <x:c r="Y282" s="118" t="n">
        <x:v>1</x:v>
      </x:c>
      <x:c r="Z282" s="117" t="str">
        <x:v>N/A</x:v>
      </x:c>
      <x:c r="AA282" s="120" t="n">
        <x:v>43964.74560185185</x:v>
      </x:c>
      <x:c r="AB282" s="117" t="str">
        <x:v>Trent VanEmon</x:v>
      </x:c>
      <x:c r="AC282" s="119" t="str">
        <x:v>Checks if there is an existing account or contact for the lead</x:v>
      </x:c>
      <x:c r="AD282" s="119" t="str"/>
    </x:row>
    <x:row r="283" ht="34" customHeight="1">
      <x:c r="A283" s="117" t="str">
        <x:v>3004O000000Tia9QAC</x:v>
      </x:c>
      <x:c r="B283" s="117" t="str">
        <x:v>Lead_Check_for_existing_Account_Account_Name</x:v>
      </x:c>
      <x:c r="C283" s="117" t="str">
        <x:v>Lead - Check for existing Account - Account Name</x:v>
      </x:c>
      <x:c r="D283" s="117" t="str">
        <x:v>Yes</x:v>
      </x:c>
      <x:c r="E283" s="118" t="n">
        <x:v>2</x:v>
      </x:c>
      <x:c r="F283" s="118" t="n">
        <x:v>2</x:v>
      </x:c>
      <x:c r="G283" s="117" t="str">
        <x:v>Yes</x:v>
      </x:c>
      <x:c r="H283" s="119" t="str">
        <x:v>Active v2 (Retrieved XML)</x:v>
      </x:c>
      <x:c r="I283" s="117" t="str">
        <x:v>AutoLaunchedFlow</x:v>
      </x:c>
      <x:c r="J283" s="117" t="str"/>
      <x:c r="K283" s="117" t="str">
        <x:v>No</x:v>
      </x:c>
      <x:c r="L283" s="117" t="str"/>
      <x:c r="M283" s="117" t="str"/>
      <x:c r="N283" s="117"/>
      <x:c r="O283" s="117"/>
      <x:c r="P283" s="117" t="str"/>
      <x:c r="Q283" s="117" t="str">
        <x:v>49.0</x:v>
      </x:c>
      <x:c r="R283" s="117" t="str">
        <x:v>unmanaged</x:v>
      </x:c>
      <x:c r="S283" s="118" t="n">
        <x:v>2</x:v>
      </x:c>
      <x:c r="T283" s="118" t="n">
        <x:v>5</x:v>
      </x:c>
      <x:c r="U283" s="118" t="n">
        <x:v>2</x:v>
      </x:c>
      <x:c r="V283" s="118" t="n">
        <x:v>0</x:v>
      </x:c>
      <x:c r="W283" s="118" t="n">
        <x:v>0</x:v>
      </x:c>
      <x:c r="X283" s="118" t="n">
        <x:v>0</x:v>
      </x:c>
      <x:c r="Y283" s="118" t="n">
        <x:v>1</x:v>
      </x:c>
      <x:c r="Z283" s="117" t="str">
        <x:v>N/A</x:v>
      </x:c>
      <x:c r="AA283" s="120" t="n">
        <x:v>44056.5265625</x:v>
      </x:c>
      <x:c r="AB283" s="117" t="str">
        <x:v>Trent VanEmon</x:v>
      </x:c>
      <x:c r="AC283" s="119" t="str">
        <x:v>Checks a new lead against existing accounts via Account Name</x:v>
      </x:c>
      <x:c r="AD283" s="119" t="str"/>
    </x:row>
    <x:row r="284" ht="34" customHeight="1">
      <x:c r="A284" s="117" t="str">
        <x:v>3004O000000TiaAQAS</x:v>
      </x:c>
      <x:c r="B284" s="117" t="str">
        <x:v>Lead_Check_for_existing_contact_Email</x:v>
      </x:c>
      <x:c r="C284" s="117" t="str">
        <x:v>Lead - Check for existing contact - Email</x:v>
      </x:c>
      <x:c r="D284" s="117" t="str">
        <x:v>Yes</x:v>
      </x:c>
      <x:c r="E284" s="118" t="n">
        <x:v>3</x:v>
      </x:c>
      <x:c r="F284" s="118" t="n">
        <x:v>3</x:v>
      </x:c>
      <x:c r="G284" s="117" t="str">
        <x:v>Yes</x:v>
      </x:c>
      <x:c r="H284" s="119" t="str">
        <x:v>Active v3 (Retrieved XML)</x:v>
      </x:c>
      <x:c r="I284" s="117" t="str">
        <x:v>AutoLaunchedFlow</x:v>
      </x:c>
      <x:c r="J284" s="117" t="str"/>
      <x:c r="K284" s="117" t="str">
        <x:v>No</x:v>
      </x:c>
      <x:c r="L284" s="117" t="str"/>
      <x:c r="M284" s="117" t="str"/>
      <x:c r="N284" s="117"/>
      <x:c r="O284" s="117"/>
      <x:c r="P284" s="117" t="str"/>
      <x:c r="Q284" s="117" t="str">
        <x:v>49.0</x:v>
      </x:c>
      <x:c r="R284" s="117" t="str">
        <x:v>unmanaged</x:v>
      </x:c>
      <x:c r="S284" s="118" t="n">
        <x:v>3</x:v>
      </x:c>
      <x:c r="T284" s="118" t="n">
        <x:v>9</x:v>
      </x:c>
      <x:c r="U284" s="118" t="n">
        <x:v>2</x:v>
      </x:c>
      <x:c r="V284" s="118" t="n">
        <x:v>2</x:v>
      </x:c>
      <x:c r="W284" s="118" t="n">
        <x:v>0</x:v>
      </x:c>
      <x:c r="X284" s="118" t="n">
        <x:v>0</x:v>
      </x:c>
      <x:c r="Y284" s="118" t="n">
        <x:v>1</x:v>
      </x:c>
      <x:c r="Z284" s="117" t="str">
        <x:v>N/A</x:v>
      </x:c>
      <x:c r="AA284" s="120" t="n">
        <x:v>44056.52659722222</x:v>
      </x:c>
      <x:c r="AB284" s="117" t="str">
        <x:v>Trent VanEmon</x:v>
      </x:c>
      <x:c r="AC284" s="119" t="str">
        <x:v>Checks a new lead against existing contacts via email value</x:v>
      </x:c>
      <x:c r="AD284" s="119" t="str"/>
    </x:row>
    <x:row r="285" ht="34" customHeight="1">
      <x:c r="A285" s="117" t="str">
        <x:v>3004O000000TiaBQAS</x:v>
      </x:c>
      <x:c r="B285" s="117" t="str">
        <x:v>Lead_Check_for_existing_contact_Phone</x:v>
      </x:c>
      <x:c r="C285" s="117" t="str">
        <x:v>Lead - Check for existing contact - Phone</x:v>
      </x:c>
      <x:c r="D285" s="117" t="str">
        <x:v>Yes</x:v>
      </x:c>
      <x:c r="E285" s="118" t="n">
        <x:v>3</x:v>
      </x:c>
      <x:c r="F285" s="118" t="n">
        <x:v>3</x:v>
      </x:c>
      <x:c r="G285" s="117" t="str">
        <x:v>Yes</x:v>
      </x:c>
      <x:c r="H285" s="119" t="str">
        <x:v>Active v3 (Retrieved XML)</x:v>
      </x:c>
      <x:c r="I285" s="117" t="str">
        <x:v>AutoLaunchedFlow</x:v>
      </x:c>
      <x:c r="J285" s="117" t="str"/>
      <x:c r="K285" s="117" t="str">
        <x:v>No</x:v>
      </x:c>
      <x:c r="L285" s="117" t="str"/>
      <x:c r="M285" s="117" t="str"/>
      <x:c r="N285" s="117"/>
      <x:c r="O285" s="117"/>
      <x:c r="P285" s="117" t="str"/>
      <x:c r="Q285" s="117" t="str">
        <x:v>49.0</x:v>
      </x:c>
      <x:c r="R285" s="117" t="str">
        <x:v>unmanaged</x:v>
      </x:c>
      <x:c r="S285" s="118" t="n">
        <x:v>3</x:v>
      </x:c>
      <x:c r="T285" s="118" t="n">
        <x:v>7</x:v>
      </x:c>
      <x:c r="U285" s="118" t="n">
        <x:v>2</x:v>
      </x:c>
      <x:c r="V285" s="118" t="n">
        <x:v>1</x:v>
      </x:c>
      <x:c r="W285" s="118" t="n">
        <x:v>0</x:v>
      </x:c>
      <x:c r="X285" s="118" t="n">
        <x:v>0</x:v>
      </x:c>
      <x:c r="Y285" s="118" t="n">
        <x:v>1</x:v>
      </x:c>
      <x:c r="Z285" s="117" t="str">
        <x:v>N/A</x:v>
      </x:c>
      <x:c r="AA285" s="120" t="n">
        <x:v>44056.52662037037</x:v>
      </x:c>
      <x:c r="AB285" s="117" t="str">
        <x:v>Trent VanEmon</x:v>
      </x:c>
      <x:c r="AC285" s="119" t="str">
        <x:v>Checks a new lead against existing contacts via phone value</x:v>
      </x:c>
      <x:c r="AD285" s="119" t="str"/>
    </x:row>
    <x:row r="286" ht="34" customHeight="1">
      <x:c r="A286" s="117" t="str">
        <x:v>300Ro00000SJwEmIAL</x:v>
      </x:c>
      <x:c r="B286" s="117" t="str">
        <x:v>Lead_Gen_Lead_Notification_Flow</x:v>
      </x:c>
      <x:c r="C286" s="117" t="str">
        <x:v>Lead Gen Lead Notification Flow</x:v>
      </x:c>
      <x:c r="D286" s="117" t="str">
        <x:v>Yes</x:v>
      </x:c>
      <x:c r="E286" s="118" t="n">
        <x:v>4</x:v>
      </x:c>
      <x:c r="F286" s="118" t="n">
        <x:v>4</x:v>
      </x:c>
      <x:c r="G286" s="117" t="str">
        <x:v>Yes</x:v>
      </x:c>
      <x:c r="H286" s="119" t="str">
        <x:v>Active v4 (Retrieved XML)</x:v>
      </x:c>
      <x:c r="I286" s="117" t="str">
        <x:v>AutoLaunchedFlow</x:v>
      </x:c>
      <x:c r="J286" s="117" t="str">
        <x:v>Lead</x:v>
      </x:c>
      <x:c r="K286" s="117" t="str">
        <x:v>Yes</x:v>
      </x:c>
      <x:c r="L286" s="117" t="str">
        <x:v>Create</x:v>
      </x:c>
      <x:c r="M286" s="117" t="str">
        <x:v>RecordAfterSave</x:v>
      </x:c>
      <x:c r="N286" s="117"/>
      <x:c r="O286" s="117"/>
      <x:c r="P286" s="117" t="str"/>
      <x:c r="Q286" s="117" t="str">
        <x:v>63.0</x:v>
      </x:c>
      <x:c r="R286" s="117" t="str">
        <x:v>unmanaged</x:v>
      </x:c>
      <x:c r="S286" s="118" t="n">
        <x:v>4</x:v>
      </x:c>
      <x:c r="T286" s="118" t="n">
        <x:v>2</x:v>
      </x:c>
      <x:c r="U286" s="118" t="n">
        <x:v>1</x:v>
      </x:c>
      <x:c r="V286" s="118" t="n">
        <x:v>0</x:v>
      </x:c>
      <x:c r="W286" s="118" t="n">
        <x:v>1</x:v>
      </x:c>
      <x:c r="X286" s="118" t="n">
        <x:v>0</x:v>
      </x:c>
      <x:c r="Y286" s="118" t="n">
        <x:v>1</x:v>
      </x:c>
      <x:c r="Z286" s="117" t="str">
        <x:v>Review</x:v>
      </x:c>
      <x:c r="AA286" s="120" t="n">
        <x:v>45726.60655092593</x:v>
      </x:c>
      <x:c r="AB286" s="117" t="str">
        <x:v>Jace Gentil</x:v>
      </x:c>
      <x:c r="AC286" s="119" t="str"/>
      <x:c r="AD286" s="119" t="str">
        <x:v>Active flow has no description</x:v>
      </x:c>
    </x:row>
    <x:row r="287" ht="34" customHeight="1">
      <x:c r="A287" s="117" t="str">
        <x:v>300Ro00000qqeLIIAY</x:v>
      </x:c>
      <x:c r="B287" s="117" t="str">
        <x:v>Lead_Product_Type_Ultrasound_System_Rental</x:v>
      </x:c>
      <x:c r="C287" s="117" t="str">
        <x:v>Lead: Product Type - Ultrasound System Rental</x:v>
      </x:c>
      <x:c r="D287" s="117" t="str">
        <x:v>Yes</x:v>
      </x:c>
      <x:c r="E287" s="118" t="n">
        <x:v>2</x:v>
      </x:c>
      <x:c r="F287" s="118" t="n">
        <x:v>2</x:v>
      </x:c>
      <x:c r="G287" s="117" t="str">
        <x:v>Yes</x:v>
      </x:c>
      <x:c r="H287" s="119" t="str">
        <x:v>Active v2 (Retrieved XML)</x:v>
      </x:c>
      <x:c r="I287" s="117" t="str">
        <x:v>AutoLaunchedFlow</x:v>
      </x:c>
      <x:c r="J287" s="117" t="str">
        <x:v>Lead</x:v>
      </x:c>
      <x:c r="K287" s="117" t="str">
        <x:v>Yes</x:v>
      </x:c>
      <x:c r="L287" s="117" t="str">
        <x:v>CreateAndUpdate</x:v>
      </x:c>
      <x:c r="M287" s="117" t="str">
        <x:v>RecordAfterSave</x:v>
      </x:c>
      <x:c r="N287" s="117"/>
      <x:c r="O287" s="117"/>
      <x:c r="P287" s="117" t="str"/>
      <x:c r="Q287" s="117" t="str">
        <x:v>65.0</x:v>
      </x:c>
      <x:c r="R287" s="117" t="str">
        <x:v>unmanaged</x:v>
      </x:c>
      <x:c r="S287" s="118" t="n">
        <x:v>2</x:v>
      </x:c>
      <x:c r="T287" s="118" t="n">
        <x:v>2</x:v>
      </x:c>
      <x:c r="U287" s="118" t="n">
        <x:v>1</x:v>
      </x:c>
      <x:c r="V287" s="118" t="n">
        <x:v>0</x:v>
      </x:c>
      <x:c r="W287" s="118" t="n">
        <x:v>0</x:v>
      </x:c>
      <x:c r="X287" s="118" t="n">
        <x:v>0</x:v>
      </x:c>
      <x:c r="Y287" s="118" t="n">
        <x:v>1</x:v>
      </x:c>
      <x:c r="Z287" s="117" t="str">
        <x:v>Review</x:v>
      </x:c>
      <x:c r="AA287" s="120" t="n">
        <x:v>46070.62667824074</x:v>
      </x:c>
      <x:c r="AB287" s="117" t="str">
        <x:v>Steve Dodd</x:v>
      </x:c>
      <x:c r="AC287" s="119" t="str">
        <x:v>Assigns the Lead to the Terry Mascia Leads Queue (00G4O000003dLQU) if the Product Type selection = "Ultrasound System Rental"</x:v>
      </x:c>
      <x:c r="AD287" s="119" t="str"/>
    </x:row>
    <x:row r="288" ht="34" customHeight="1">
      <x:c r="A288" s="117" t="str">
        <x:v>300Ro00000e6lWiIAI</x:v>
      </x:c>
      <x:c r="B288" s="117" t="str">
        <x:v>Lead_Trigger_Notify_Ultrasound_Team_Upon_Creation</x:v>
      </x:c>
      <x:c r="C288" s="117" t="str">
        <x:v>Lead - Trigger - Notify Ultrasound Team Upon Creation</x:v>
      </x:c>
      <x:c r="D288" s="117" t="str">
        <x:v>Yes</x:v>
      </x:c>
      <x:c r="E288" s="118" t="n">
        <x:v>4</x:v>
      </x:c>
      <x:c r="F288" s="118" t="n">
        <x:v>4</x:v>
      </x:c>
      <x:c r="G288" s="117" t="str">
        <x:v>Yes</x:v>
      </x:c>
      <x:c r="H288" s="119" t="str">
        <x:v>Active v4 (Retrieved XML)</x:v>
      </x:c>
      <x:c r="I288" s="117" t="str">
        <x:v>AutoLaunchedFlow</x:v>
      </x:c>
      <x:c r="J288" s="117" t="str">
        <x:v>Lead</x:v>
      </x:c>
      <x:c r="K288" s="117" t="str">
        <x:v>Yes</x:v>
      </x:c>
      <x:c r="L288" s="117" t="str">
        <x:v>Create</x:v>
      </x:c>
      <x:c r="M288" s="117" t="str">
        <x:v>RecordAfterSave</x:v>
      </x:c>
      <x:c r="N288" s="117"/>
      <x:c r="O288" s="117"/>
      <x:c r="P288" s="117" t="str"/>
      <x:c r="Q288" s="117" t="str">
        <x:v>64.0</x:v>
      </x:c>
      <x:c r="R288" s="117" t="str">
        <x:v>unmanaged</x:v>
      </x:c>
      <x:c r="S288" s="118" t="n">
        <x:v>4</x:v>
      </x:c>
      <x:c r="T288" s="118" t="n">
        <x:v>11</x:v>
      </x:c>
      <x:c r="U288" s="118" t="n">
        <x:v>3</x:v>
      </x:c>
      <x:c r="V288" s="118" t="n">
        <x:v>0</x:v>
      </x:c>
      <x:c r="W288" s="118" t="n">
        <x:v>5</x:v>
      </x:c>
      <x:c r="X288" s="118" t="n">
        <x:v>0</x:v>
      </x:c>
      <x:c r="Y288" s="118" t="n">
        <x:v>3</x:v>
      </x:c>
      <x:c r="Z288" s="117" t="str">
        <x:v>Review</x:v>
      </x:c>
      <x:c r="AA288" s="120" t="n">
        <x:v>45904.62403935185</x:v>
      </x:c>
      <x:c r="AB288" s="117" t="str">
        <x:v>Delegate</x:v>
      </x:c>
      <x:c r="AC288" s="119" t="str">
        <x:v>9/02/2025 - Kyle/Delegate - Adding other templates for lead type</x:v>
      </x:c>
      <x:c r="AD288" s="119" t="str"/>
    </x:row>
    <x:row r="289" ht="34" customHeight="1">
      <x:c r="A289" s="117" t="str">
        <x:v>3005b000000LHS0AAO</x:v>
      </x:c>
      <x:c r="B289" s="117" t="str">
        <x:v>LeadStatusDateTrackers</x:v>
      </x:c>
      <x:c r="C289" s="117" t="str">
        <x:v>LeadStatusDateTrackers</x:v>
      </x:c>
      <x:c r="D289" s="117" t="str">
        <x:v>Yes</x:v>
      </x:c>
      <x:c r="E289" s="118" t="n">
        <x:v>1</x:v>
      </x:c>
      <x:c r="F289" s="118" t="n">
        <x:v>1</x:v>
      </x:c>
      <x:c r="G289" s="117" t="str">
        <x:v>Yes</x:v>
      </x:c>
      <x:c r="H289" s="119" t="str">
        <x:v>Active v1 (Retrieved XML)</x:v>
      </x:c>
      <x:c r="I289" s="117" t="str">
        <x:v>AutoLaunchedFlow</x:v>
      </x:c>
      <x:c r="J289" s="117" t="str">
        <x:v>Lead</x:v>
      </x:c>
      <x:c r="K289" s="117" t="str">
        <x:v>Yes</x:v>
      </x:c>
      <x:c r="L289" s="117" t="str">
        <x:v>Update</x:v>
      </x:c>
      <x:c r="M289" s="117" t="str">
        <x:v>RecordAfterSave</x:v>
      </x:c>
      <x:c r="N289" s="117"/>
      <x:c r="O289" s="117"/>
      <x:c r="P289" s="117" t="str"/>
      <x:c r="Q289" s="117" t="str">
        <x:v>56.0</x:v>
      </x:c>
      <x:c r="R289" s="117" t="str">
        <x:v>unmanaged</x:v>
      </x:c>
      <x:c r="S289" s="118" t="n">
        <x:v>1</x:v>
      </x:c>
      <x:c r="T289" s="118" t="n">
        <x:v>4</x:v>
      </x:c>
      <x:c r="U289" s="118" t="n">
        <x:v>1</x:v>
      </x:c>
      <x:c r="V289" s="118" t="n">
        <x:v>0</x:v>
      </x:c>
      <x:c r="W289" s="118" t="n">
        <x:v>0</x:v>
      </x:c>
      <x:c r="X289" s="118" t="n">
        <x:v>0</x:v>
      </x:c>
      <x:c r="Y289" s="118" t="n">
        <x:v>1</x:v>
      </x:c>
      <x:c r="Z289" s="117" t="str">
        <x:v>Isolated lane</x:v>
      </x:c>
      <x:c r="AA289" s="120" t="n">
        <x:v>44915.760358796295</x:v>
      </x:c>
      <x:c r="AB289" s="117" t="str">
        <x:v>Jace Gentil</x:v>
      </x:c>
      <x:c r="AC289" s="119" t="str"/>
      <x:c r="AD289" s="119" t="str">
        <x:v>Active flow has no description</x:v>
      </x:c>
    </x:row>
    <x:row r="290" ht="34" customHeight="1">
      <x:c r="A290" s="117" t="str">
        <x:v>300Ro00000zJbteIAC</x:v>
      </x:c>
      <x:c r="B290" s="117" t="str">
        <x:v>Loaner_Asset_Asynchronous_on_create_Loaner_Asset_Roll_Up</x:v>
      </x:c>
      <x:c r="C290" s="117" t="str">
        <x:v>Loaner Asset | Asynchronous, on create, Loaner Asset Roll Up</x:v>
      </x:c>
      <x:c r="D290" s="117" t="str">
        <x:v>Yes</x:v>
      </x:c>
      <x:c r="E290" s="118" t="n">
        <x:v>2</x:v>
      </x:c>
      <x:c r="F290" s="118" t="n">
        <x:v>2</x:v>
      </x:c>
      <x:c r="G290" s="117" t="str">
        <x:v>Yes</x:v>
      </x:c>
      <x:c r="H290" s="119" t="str">
        <x:v>Active v2 (Retrieved XML)</x:v>
      </x:c>
      <x:c r="I290" s="117" t="str">
        <x:v>AutoLaunchedFlow</x:v>
      </x:c>
      <x:c r="J290" s="117" t="str">
        <x:v>Loaner_Asset__c</x:v>
      </x:c>
      <x:c r="K290" s="117" t="str">
        <x:v>Yes</x:v>
      </x:c>
      <x:c r="L290" s="117" t="str">
        <x:v>Create</x:v>
      </x:c>
      <x:c r="M290" s="117" t="str">
        <x:v>RecordAfterSave</x:v>
      </x:c>
      <x:c r="N290" s="117"/>
      <x:c r="O290" s="117"/>
      <x:c r="P290" s="117" t="str"/>
      <x:c r="Q290" s="117" t="str">
        <x:v>66.0</x:v>
      </x:c>
      <x:c r="R290" s="117" t="str">
        <x:v>unmanaged</x:v>
      </x:c>
      <x:c r="S290" s="118" t="n">
        <x:v>2</x:v>
      </x:c>
      <x:c r="T290" s="118" t="n">
        <x:v>7</x:v>
      </x:c>
      <x:c r="U290" s="118" t="n">
        <x:v>2</x:v>
      </x:c>
      <x:c r="V290" s="118" t="n">
        <x:v>0</x:v>
      </x:c>
      <x:c r="W290" s="118" t="n">
        <x:v>0</x:v>
      </x:c>
      <x:c r="X290" s="118" t="n">
        <x:v>0</x:v>
      </x:c>
      <x:c r="Y290" s="118" t="n">
        <x:v>1</x:v>
      </x:c>
      <x:c r="Z290" s="117" t="str">
        <x:v>Review</x:v>
      </x:c>
      <x:c r="AA290" s="120" t="n">
        <x:v>46177.95140046296</x:v>
      </x:c>
      <x:c r="AB290" s="117" t="str">
        <x:v>Delegate</x:v>
      </x:c>
      <x:c r="AC290" s="119" t="str">
        <x:v>06/04/26 (GD) – DLRS-replacement: Loaner_Assets_Roll_Up (on create). Loop over Transform: no ConcatenateDistinct, formula field (ProductItem__r.Name), no delimiter/truncation control.</x:v>
      </x:c>
      <x:c r="AD290" s="119" t="str"/>
    </x:row>
    <x:row r="291" ht="34" customHeight="1">
      <x:c r="A291" s="117" t="str">
        <x:v>300Ro00000zEfplIAC</x:v>
      </x:c>
      <x:c r="B291" s="117" t="str">
        <x:v>Loaner_Asset_Asynchronous_on_create_Loaner_Location_Roll_Up</x:v>
      </x:c>
      <x:c r="C291" s="117" t="str">
        <x:v>Loaner Asset | Asynchronous, on create, Loaner Location Roll Up</x:v>
      </x:c>
      <x:c r="D291" s="117" t="str">
        <x:v>Yes</x:v>
      </x:c>
      <x:c r="E291" s="118" t="n">
        <x:v>1</x:v>
      </x:c>
      <x:c r="F291" s="118" t="n">
        <x:v>1</x:v>
      </x:c>
      <x:c r="G291" s="117" t="str">
        <x:v>Yes</x:v>
      </x:c>
      <x:c r="H291" s="119" t="str">
        <x:v>Active v1 (Retrieved XML)</x:v>
      </x:c>
      <x:c r="I291" s="117" t="str">
        <x:v>AutoLaunchedFlow</x:v>
      </x:c>
      <x:c r="J291" s="117" t="str">
        <x:v>Loaner_Asset__c</x:v>
      </x:c>
      <x:c r="K291" s="117" t="str">
        <x:v>Yes</x:v>
      </x:c>
      <x:c r="L291" s="117" t="str">
        <x:v>Create</x:v>
      </x:c>
      <x:c r="M291" s="117" t="str">
        <x:v>RecordAfterSave</x:v>
      </x:c>
      <x:c r="N291" s="117"/>
      <x:c r="O291" s="117"/>
      <x:c r="P291" s="117" t="str"/>
      <x:c r="Q291" s="117" t="str">
        <x:v>66.0</x:v>
      </x:c>
      <x:c r="R291" s="117" t="str">
        <x:v>unmanaged</x:v>
      </x:c>
      <x:c r="S291" s="118" t="n">
        <x:v>1</x:v>
      </x:c>
      <x:c r="T291" s="118" t="n">
        <x:v>7</x:v>
      </x:c>
      <x:c r="U291" s="118" t="n">
        <x:v>2</x:v>
      </x:c>
      <x:c r="V291" s="118" t="n">
        <x:v>0</x:v>
      </x:c>
      <x:c r="W291" s="118" t="n">
        <x:v>0</x:v>
      </x:c>
      <x:c r="X291" s="118" t="n">
        <x:v>0</x:v>
      </x:c>
      <x:c r="Y291" s="118" t="n">
        <x:v>1</x:v>
      </x:c>
      <x:c r="Z291" s="117" t="str">
        <x:v>Review</x:v>
      </x:c>
      <x:c r="AA291" s="120" t="n">
        <x:v>46177.163518518515</x:v>
      </x:c>
      <x:c r="AB291" s="117" t="str">
        <x:v>Delegate</x:v>
      </x:c>
      <x:c r="AC291" s="119" t="str">
        <x:v>06/03/26 (GD) – Replaces DLRS Loaner_Assets_Location rule. Concatenates distinct Loaner_Asset__c.Loaner_Location__c values (space-delimited) onto Loaner__c.Loaner_Location__c when a Loaner Asset is created. Loaner_Is_Null_Check decision prevents SOQL when Loaner__c is blank.</x:v>
      </x:c>
      <x:c r="AD291" s="119" t="str"/>
    </x:row>
    <x:row r="292" ht="34" customHeight="1">
      <x:c r="A292" s="117" t="str">
        <x:v>300Ro00000zKERvIAO</x:v>
      </x:c>
      <x:c r="B292" s="117" t="str">
        <x:v>Loaner_Asset_Asynchronous_on_create_Loaner_Serial_Roll_Up</x:v>
      </x:c>
      <x:c r="C292" s="117" t="str">
        <x:v>Loaner Asset | Asynchronous, on create, Loaner Serial Roll Up</x:v>
      </x:c>
      <x:c r="D292" s="117" t="str">
        <x:v>Yes</x:v>
      </x:c>
      <x:c r="E292" s="118" t="n">
        <x:v>1</x:v>
      </x:c>
      <x:c r="F292" s="118" t="n">
        <x:v>1</x:v>
      </x:c>
      <x:c r="G292" s="117" t="str">
        <x:v>Yes</x:v>
      </x:c>
      <x:c r="H292" s="119" t="str">
        <x:v>Active v1 (Retrieved XML)</x:v>
      </x:c>
      <x:c r="I292" s="117" t="str">
        <x:v>AutoLaunchedFlow</x:v>
      </x:c>
      <x:c r="J292" s="117" t="str">
        <x:v>Loaner_Asset__c</x:v>
      </x:c>
      <x:c r="K292" s="117" t="str">
        <x:v>Yes</x:v>
      </x:c>
      <x:c r="L292" s="117" t="str">
        <x:v>Create</x:v>
      </x:c>
      <x:c r="M292" s="117" t="str">
        <x:v>RecordAfterSave</x:v>
      </x:c>
      <x:c r="N292" s="117"/>
      <x:c r="O292" s="117"/>
      <x:c r="P292" s="117" t="str"/>
      <x:c r="Q292" s="117" t="str">
        <x:v>66.0</x:v>
      </x:c>
      <x:c r="R292" s="117" t="str">
        <x:v>unmanaged</x:v>
      </x:c>
      <x:c r="S292" s="118" t="n">
        <x:v>1</x:v>
      </x:c>
      <x:c r="T292" s="118" t="n">
        <x:v>6</x:v>
      </x:c>
      <x:c r="U292" s="118" t="n">
        <x:v>2</x:v>
      </x:c>
      <x:c r="V292" s="118" t="n">
        <x:v>0</x:v>
      </x:c>
      <x:c r="W292" s="118" t="n">
        <x:v>0</x:v>
      </x:c>
      <x:c r="X292" s="118" t="n">
        <x:v>0</x:v>
      </x:c>
      <x:c r="Y292" s="118" t="n">
        <x:v>1</x:v>
      </x:c>
      <x:c r="Z292" s="117" t="str">
        <x:v>Review</x:v>
      </x:c>
      <x:c r="AA292" s="120" t="n">
        <x:v>46178.004224537035</x:v>
      </x:c>
      <x:c r="AB292" s="117" t="str">
        <x:v>Delegate</x:v>
      </x:c>
      <x:c r="AC292" s="119" t="str">
        <x:v>06/04/26 (GD) – Replaces DLRS dlrs__LookupRollupSummary2.Loaner_Assets_Serial (on create). Concatenates Loaner_Serial__c from child Loaner_Asset__c records onto Loaner__c.Loaner_Serial__c. No delimiter; sorted by LastModifiedDate ASC; null serials excluded; 255-char truncation guard (adjust if Loaner_Serial__c on Loaner__c is longer). Runs async to stay outside the creating transaction. Bulk note: concurrent creates on the same parent may cause row-lock contention at very high volume.</x:v>
      </x:c>
      <x:c r="AD292" s="119" t="str"/>
    </x:row>
    <x:row r="293" ht="34" customHeight="1">
      <x:c r="A293" s="117" t="str">
        <x:v>300Ro00000zEfpmIAC</x:v>
      </x:c>
      <x:c r="B293" s="117" t="str">
        <x:v>Loaner_Asset_Asynchronous_on_update_Loaner_Location_Roll_Up</x:v>
      </x:c>
      <x:c r="C293" s="117" t="str">
        <x:v>Loaner Asset | Asynchronous, on update, Loaner Location Roll Up</x:v>
      </x:c>
      <x:c r="D293" s="117" t="str">
        <x:v>Yes</x:v>
      </x:c>
      <x:c r="E293" s="118" t="n">
        <x:v>1</x:v>
      </x:c>
      <x:c r="F293" s="118" t="n">
        <x:v>1</x:v>
      </x:c>
      <x:c r="G293" s="117" t="str">
        <x:v>Yes</x:v>
      </x:c>
      <x:c r="H293" s="119" t="str">
        <x:v>Active v1 (Retrieved XML)</x:v>
      </x:c>
      <x:c r="I293" s="117" t="str">
        <x:v>AutoLaunchedFlow</x:v>
      </x:c>
      <x:c r="J293" s="117" t="str">
        <x:v>Loaner_Asset__c</x:v>
      </x:c>
      <x:c r="K293" s="117" t="str">
        <x:v>Yes</x:v>
      </x:c>
      <x:c r="L293" s="117" t="str">
        <x:v>Update</x:v>
      </x:c>
      <x:c r="M293" s="117" t="str">
        <x:v>RecordAfterSave</x:v>
      </x:c>
      <x:c r="N293" s="117"/>
      <x:c r="O293" s="117"/>
      <x:c r="P293" s="117" t="str"/>
      <x:c r="Q293" s="117" t="str">
        <x:v>66.0</x:v>
      </x:c>
      <x:c r="R293" s="117" t="str">
        <x:v>unmanaged</x:v>
      </x:c>
      <x:c r="S293" s="118" t="n">
        <x:v>1</x:v>
      </x:c>
      <x:c r="T293" s="118" t="n">
        <x:v>7</x:v>
      </x:c>
      <x:c r="U293" s="118" t="n">
        <x:v>2</x:v>
      </x:c>
      <x:c r="V293" s="118" t="n">
        <x:v>0</x:v>
      </x:c>
      <x:c r="W293" s="118" t="n">
        <x:v>0</x:v>
      </x:c>
      <x:c r="X293" s="118" t="n">
        <x:v>0</x:v>
      </x:c>
      <x:c r="Y293" s="118" t="n">
        <x:v>1</x:v>
      </x:c>
      <x:c r="Z293" s="117" t="str">
        <x:v>Review</x:v>
      </x:c>
      <x:c r="AA293" s="120" t="n">
        <x:v>46177.16354166667</x:v>
      </x:c>
      <x:c r="AB293" s="117" t="str">
        <x:v>Delegate</x:v>
      </x:c>
      <x:c r="AC293" s="119" t="str">
        <x:v>06/03/26 (GD) – Replaces DLRS Loaner_Assets_Location rule. Recalculates Loaner__c.Loaner_Location__c when a Loaner Asset is reparented (Loaner__c changes). Concatenates distinct Loaner_Location__c values (space-delimited) for the new parent. Note: old parent is not recalculated — $Record__Prior is unavailable in async paths.</x:v>
      </x:c>
      <x:c r="AD293" s="119" t="str"/>
    </x:row>
    <x:row r="294" ht="34" customHeight="1">
      <x:c r="A294" s="117" t="str">
        <x:v>300Ro00000zJbtfIAC</x:v>
      </x:c>
      <x:c r="B294" s="117" t="str">
        <x:v>Loaner_Asset_Before_Delete_Loaner_Asset_Roll_Up</x:v>
      </x:c>
      <x:c r="C294" s="117" t="str">
        <x:v>Loaner Asset | Before Delete, Loaner Asset Roll Up</x:v>
      </x:c>
      <x:c r="D294" s="117" t="str">
        <x:v>Yes</x:v>
      </x:c>
      <x:c r="E294" s="118" t="n">
        <x:v>2</x:v>
      </x:c>
      <x:c r="F294" s="118" t="n">
        <x:v>2</x:v>
      </x:c>
      <x:c r="G294" s="117" t="str">
        <x:v>Yes</x:v>
      </x:c>
      <x:c r="H294" s="119" t="str">
        <x:v>Active v2 (Retrieved XML)</x:v>
      </x:c>
      <x:c r="I294" s="117" t="str">
        <x:v>AutoLaunchedFlow</x:v>
      </x:c>
      <x:c r="J294" s="117" t="str">
        <x:v>Loaner_Asset__c</x:v>
      </x:c>
      <x:c r="K294" s="117" t="str">
        <x:v>Yes</x:v>
      </x:c>
      <x:c r="L294" s="117" t="str">
        <x:v>Delete</x:v>
      </x:c>
      <x:c r="M294" s="117" t="str">
        <x:v>RecordBeforeDelete</x:v>
      </x:c>
      <x:c r="N294" s="117"/>
      <x:c r="O294" s="117"/>
      <x:c r="P294" s="117" t="str"/>
      <x:c r="Q294" s="117" t="str">
        <x:v>66.0</x:v>
      </x:c>
      <x:c r="R294" s="117" t="str">
        <x:v>unmanaged</x:v>
      </x:c>
      <x:c r="S294" s="118" t="n">
        <x:v>2</x:v>
      </x:c>
      <x:c r="T294" s="118" t="n">
        <x:v>7</x:v>
      </x:c>
      <x:c r="U294" s="118" t="n">
        <x:v>2</x:v>
      </x:c>
      <x:c r="V294" s="118" t="n">
        <x:v>0</x:v>
      </x:c>
      <x:c r="W294" s="118" t="n">
        <x:v>0</x:v>
      </x:c>
      <x:c r="X294" s="118" t="n">
        <x:v>0</x:v>
      </x:c>
      <x:c r="Y294" s="118" t="n">
        <x:v>1</x:v>
      </x:c>
      <x:c r="Z294" s="117" t="str">
        <x:v>Review</x:v>
      </x:c>
      <x:c r="AA294" s="120" t="n">
        <x:v>46177.9530787037</x:v>
      </x:c>
      <x:c r="AB294" s="117" t="str">
        <x:v>Delegate</x:v>
      </x:c>
      <x:c r="AC294" s="119" t="str">
        <x:v>06/04/26 (GD) – DLRS-replacement: Loaner_Assets_Roll_Up (before delete). Loop over Transform: no ConcatenateDistinct, formula field (ProductItem__r.Name), no delimiter/truncation control.</x:v>
      </x:c>
      <x:c r="AD294" s="119" t="str"/>
    </x:row>
    <x:row r="295" ht="34" customHeight="1">
      <x:c r="A295" s="117" t="str">
        <x:v>300Ro00000zEfpnIAC</x:v>
      </x:c>
      <x:c r="B295" s="117" t="str">
        <x:v>Loaner_Asset_Before_Delete_Loaner_Location_Roll_Up</x:v>
      </x:c>
      <x:c r="C295" s="117" t="str">
        <x:v>Loaner Asset | Before Delete, Loaner Location Roll Up</x:v>
      </x:c>
      <x:c r="D295" s="117" t="str">
        <x:v>Yes</x:v>
      </x:c>
      <x:c r="E295" s="118" t="n">
        <x:v>1</x:v>
      </x:c>
      <x:c r="F295" s="118" t="n">
        <x:v>1</x:v>
      </x:c>
      <x:c r="G295" s="117" t="str">
        <x:v>Yes</x:v>
      </x:c>
      <x:c r="H295" s="119" t="str">
        <x:v>Active v1 (Retrieved XML)</x:v>
      </x:c>
      <x:c r="I295" s="117" t="str">
        <x:v>AutoLaunchedFlow</x:v>
      </x:c>
      <x:c r="J295" s="117" t="str">
        <x:v>Loaner_Asset__c</x:v>
      </x:c>
      <x:c r="K295" s="117" t="str">
        <x:v>Yes</x:v>
      </x:c>
      <x:c r="L295" s="117" t="str">
        <x:v>Delete</x:v>
      </x:c>
      <x:c r="M295" s="117" t="str">
        <x:v>RecordBeforeDelete</x:v>
      </x:c>
      <x:c r="N295" s="117"/>
      <x:c r="O295" s="117"/>
      <x:c r="P295" s="117" t="str"/>
      <x:c r="Q295" s="117" t="str">
        <x:v>66.0</x:v>
      </x:c>
      <x:c r="R295" s="117" t="str">
        <x:v>unmanaged</x:v>
      </x:c>
      <x:c r="S295" s="118" t="n">
        <x:v>1</x:v>
      </x:c>
      <x:c r="T295" s="118" t="n">
        <x:v>7</x:v>
      </x:c>
      <x:c r="U295" s="118" t="n">
        <x:v>2</x:v>
      </x:c>
      <x:c r="V295" s="118" t="n">
        <x:v>0</x:v>
      </x:c>
      <x:c r="W295" s="118" t="n">
        <x:v>0</x:v>
      </x:c>
      <x:c r="X295" s="118" t="n">
        <x:v>0</x:v>
      </x:c>
      <x:c r="Y295" s="118" t="n">
        <x:v>1</x:v>
      </x:c>
      <x:c r="Z295" s="117" t="str">
        <x:v>Review</x:v>
      </x:c>
      <x:c r="AA295" s="120" t="n">
        <x:v>46177.16355324074</x:v>
      </x:c>
      <x:c r="AB295" s="117" t="str">
        <x:v>Delegate</x:v>
      </x:c>
      <x:c r="AC295" s="119" t="str">
        <x:v>06/03/26 (GD) – Replaces DLRS Loaner_Assets_Location rule. Re-concatenates remaining Loaner_Asset__c.Loaner_Location__c values (space-delimited) onto Loaner__c.Loaner_Location__c before a Loaner Asset is deleted. Excludes the record being deleted from the query. Loaner_Is_Null_Check prevents SOQL when Loaner__c is blank.</x:v>
      </x:c>
      <x:c r="AD295" s="119" t="str"/>
    </x:row>
    <x:row r="296" ht="34" customHeight="1">
      <x:c r="A296" s="117" t="str">
        <x:v>300Ro00000zKERwIAO</x:v>
      </x:c>
      <x:c r="B296" s="117" t="str">
        <x:v>Loaner_Asset_Before_Delete_Loaner_Serial_Roll_Up</x:v>
      </x:c>
      <x:c r="C296" s="117" t="str">
        <x:v>Loaner Asset | Before Delete, Loaner Serial Roll Up</x:v>
      </x:c>
      <x:c r="D296" s="117" t="str">
        <x:v>Yes</x:v>
      </x:c>
      <x:c r="E296" s="118" t="n">
        <x:v>1</x:v>
      </x:c>
      <x:c r="F296" s="118" t="n">
        <x:v>1</x:v>
      </x:c>
      <x:c r="G296" s="117" t="str">
        <x:v>Yes</x:v>
      </x:c>
      <x:c r="H296" s="119" t="str">
        <x:v>Active v1 (Retrieved XML)</x:v>
      </x:c>
      <x:c r="I296" s="117" t="str">
        <x:v>AutoLaunchedFlow</x:v>
      </x:c>
      <x:c r="J296" s="117" t="str">
        <x:v>Loaner_Asset__c</x:v>
      </x:c>
      <x:c r="K296" s="117" t="str">
        <x:v>Yes</x:v>
      </x:c>
      <x:c r="L296" s="117" t="str">
        <x:v>Delete</x:v>
      </x:c>
      <x:c r="M296" s="117" t="str">
        <x:v>RecordBeforeDelete</x:v>
      </x:c>
      <x:c r="N296" s="117"/>
      <x:c r="O296" s="117"/>
      <x:c r="P296" s="117" t="str"/>
      <x:c r="Q296" s="117" t="str">
        <x:v>66.0</x:v>
      </x:c>
      <x:c r="R296" s="117" t="str">
        <x:v>unmanaged</x:v>
      </x:c>
      <x:c r="S296" s="118" t="n">
        <x:v>1</x:v>
      </x:c>
      <x:c r="T296" s="118" t="n">
        <x:v>6</x:v>
      </x:c>
      <x:c r="U296" s="118" t="n">
        <x:v>2</x:v>
      </x:c>
      <x:c r="V296" s="118" t="n">
        <x:v>0</x:v>
      </x:c>
      <x:c r="W296" s="118" t="n">
        <x:v>0</x:v>
      </x:c>
      <x:c r="X296" s="118" t="n">
        <x:v>0</x:v>
      </x:c>
      <x:c r="Y296" s="118" t="n">
        <x:v>1</x:v>
      </x:c>
      <x:c r="Z296" s="117" t="str">
        <x:v>Review</x:v>
      </x:c>
      <x:c r="AA296" s="120" t="n">
        <x:v>46178.00418981481</x:v>
      </x:c>
      <x:c r="AB296" s="117" t="str">
        <x:v>Delegate</x:v>
      </x:c>
      <x:c r="AC296" s="119" t="str">
        <x:v>06/04/26 (GD) – Replaces DLRS dlrs__LookupRollupSummary2.Loaner_Assets_Serial (before delete). Recalculates Loaner__c.Loaner_Serial__c by concatenating Loaner_Serial__c from remaining child Loaner_Asset__c records (excluding the record being deleted). No delimiter; sorted by LastModifiedDate ASC; null serials excluded; 255-char truncation guard. When no siblings remain, writes blank (null) to the parent field. Runs synchronously; async paths are not supported in Before Delete context.</x:v>
      </x:c>
      <x:c r="AD296" s="119" t="str"/>
    </x:row>
    <x:row r="297" ht="34" customHeight="1">
      <x:c r="A297" s="117" t="str">
        <x:v>300Ro00000zJbtgIAC</x:v>
      </x:c>
      <x:c r="B297" s="117" t="str">
        <x:v>Loaner_Asset_on_update_Loaner_Asset_Roll_Up</x:v>
      </x:c>
      <x:c r="C297" s="117" t="str">
        <x:v>Loaner Asset | On Update, Loaner Asset Roll Up</x:v>
      </x:c>
      <x:c r="D297" s="117" t="str">
        <x:v>Yes</x:v>
      </x:c>
      <x:c r="E297" s="118" t="n">
        <x:v>2</x:v>
      </x:c>
      <x:c r="F297" s="118" t="n">
        <x:v>2</x:v>
      </x:c>
      <x:c r="G297" s="117" t="str">
        <x:v>Yes</x:v>
      </x:c>
      <x:c r="H297" s="119" t="str">
        <x:v>Active v2 (Retrieved XML)</x:v>
      </x:c>
      <x:c r="I297" s="117" t="str">
        <x:v>AutoLaunchedFlow</x:v>
      </x:c>
      <x:c r="J297" s="117" t="str">
        <x:v>Loaner_Asset__c</x:v>
      </x:c>
      <x:c r="K297" s="117" t="str">
        <x:v>Yes</x:v>
      </x:c>
      <x:c r="L297" s="117" t="str">
        <x:v>Update</x:v>
      </x:c>
      <x:c r="M297" s="117" t="str">
        <x:v>RecordAfterSave</x:v>
      </x:c>
      <x:c r="N297" s="117"/>
      <x:c r="O297" s="117"/>
      <x:c r="P297" s="117" t="str"/>
      <x:c r="Q297" s="117" t="str">
        <x:v>66.0</x:v>
      </x:c>
      <x:c r="R297" s="117" t="str">
        <x:v>unmanaged</x:v>
      </x:c>
      <x:c r="S297" s="118" t="n">
        <x:v>2</x:v>
      </x:c>
      <x:c r="T297" s="118" t="n">
        <x:v>19</x:v>
      </x:c>
      <x:c r="U297" s="118" t="n">
        <x:v>2</x:v>
      </x:c>
      <x:c r="V297" s="118" t="n">
        <x:v>0</x:v>
      </x:c>
      <x:c r="W297" s="118" t="n">
        <x:v>0</x:v>
      </x:c>
      <x:c r="X297" s="118" t="n">
        <x:v>0</x:v>
      </x:c>
      <x:c r="Y297" s="118" t="n">
        <x:v>2</x:v>
      </x:c>
      <x:c r="Z297" s="117" t="str">
        <x:v>Review</x:v>
      </x:c>
      <x:c r="AA297" s="120" t="n">
        <x:v>46177.95284722222</x:v>
      </x:c>
      <x:c r="AB297" s="117" t="str">
        <x:v>Delegate</x:v>
      </x:c>
      <x:c r="AC297" s="119" t="str">
        <x:v>06/04/26 (GD) – DLRS-replacement: Loaner_Assets_Roll_Up (on update). Sync path for $Record__Prior (old parent on reparent). Loop over Transform: no ConcatenateDistinct, formula field (ProductItem__r.Name), no delimiter/truncation control.</x:v>
      </x:c>
      <x:c r="AD297" s="119" t="str"/>
    </x:row>
    <x:row r="298" ht="34" customHeight="1">
      <x:c r="A298" s="117" t="str">
        <x:v>300Ro00000zKERxIAO</x:v>
      </x:c>
      <x:c r="B298" s="117" t="str">
        <x:v>Loaner_Asset_on_update_Loaner_Serial_Roll_Up</x:v>
      </x:c>
      <x:c r="C298" s="117" t="str">
        <x:v>Loaner Asset | On Update, Loaner Serial Roll Up</x:v>
      </x:c>
      <x:c r="D298" s="117" t="str">
        <x:v>Yes</x:v>
      </x:c>
      <x:c r="E298" s="118" t="n">
        <x:v>1</x:v>
      </x:c>
      <x:c r="F298" s="118" t="n">
        <x:v>1</x:v>
      </x:c>
      <x:c r="G298" s="117" t="str">
        <x:v>Yes</x:v>
      </x:c>
      <x:c r="H298" s="119" t="str">
        <x:v>Active v1 (Retrieved XML)</x:v>
      </x:c>
      <x:c r="I298" s="117" t="str">
        <x:v>AutoLaunchedFlow</x:v>
      </x:c>
      <x:c r="J298" s="117" t="str">
        <x:v>Loaner_Asset__c</x:v>
      </x:c>
      <x:c r="K298" s="117" t="str">
        <x:v>Yes</x:v>
      </x:c>
      <x:c r="L298" s="117" t="str">
        <x:v>Update</x:v>
      </x:c>
      <x:c r="M298" s="117" t="str">
        <x:v>RecordAfterSave</x:v>
      </x:c>
      <x:c r="N298" s="117"/>
      <x:c r="O298" s="117"/>
      <x:c r="P298" s="117" t="str"/>
      <x:c r="Q298" s="117" t="str">
        <x:v>66.0</x:v>
      </x:c>
      <x:c r="R298" s="117" t="str">
        <x:v>unmanaged</x:v>
      </x:c>
      <x:c r="S298" s="118" t="n">
        <x:v>1</x:v>
      </x:c>
      <x:c r="T298" s="118" t="n">
        <x:v>16</x:v>
      </x:c>
      <x:c r="U298" s="118" t="n">
        <x:v>2</x:v>
      </x:c>
      <x:c r="V298" s="118" t="n">
        <x:v>0</x:v>
      </x:c>
      <x:c r="W298" s="118" t="n">
        <x:v>0</x:v>
      </x:c>
      <x:c r="X298" s="118" t="n">
        <x:v>0</x:v>
      </x:c>
      <x:c r="Y298" s="118" t="n">
        <x:v>2</x:v>
      </x:c>
      <x:c r="Z298" s="117" t="str">
        <x:v>Review</x:v>
      </x:c>
      <x:c r="AA298" s="120" t="n">
        <x:v>46178.004212962966</x:v>
      </x:c>
      <x:c r="AB298" s="117" t="str">
        <x:v>Delegate</x:v>
      </x:c>
      <x:c r="AC298" s="119" t="str">
        <x:v>06/04/26 (GD) – Replaces DLRS dlrs__LookupRollupSummary2.Loaner_Assets_Serial (on update). Concatenates Loaner_Serial__c from child Loaner_Asset__c records onto Loaner__c.Loaner_Serial__c. No delimiter; sorted by LastModifiedDate ASC; null serials excluded; 255-char truncation guard. Handles reparenting: updates both new and old parent when Loaner__c changes. Known gap: if Loaner__c is cleared to null, the old parent is not recalculated (entry criteria require Loaner__c to be non-null post-update). Bulk note: concurrent updates on the same parent may cause row-lock contention at very high volume.</x:v>
      </x:c>
      <x:c r="AD298" s="119" t="str"/>
    </x:row>
    <x:row r="299" ht="34" customHeight="1">
      <x:c r="A299" s="117" t="str">
        <x:v>3005b000000LHaTAAW</x:v>
      </x:c>
      <x:c r="B299" s="117" t="str">
        <x:v>Loaner_Object_Updates_and_Alerts</x:v>
      </x:c>
      <x:c r="C299" s="117" t="str">
        <x:v>Loaner Object Updates and Alerts Flow</x:v>
      </x:c>
      <x:c r="D299" s="117" t="str">
        <x:v>Yes</x:v>
      </x:c>
      <x:c r="E299" s="118" t="n">
        <x:v>10</x:v>
      </x:c>
      <x:c r="F299" s="118" t="n">
        <x:v>10</x:v>
      </x:c>
      <x:c r="G299" s="117" t="str">
        <x:v>Yes</x:v>
      </x:c>
      <x:c r="H299" s="119" t="str">
        <x:v>Active v10 (Retrieved XML)</x:v>
      </x:c>
      <x:c r="I299" s="117" t="str">
        <x:v>AutoLaunchedFlow</x:v>
      </x:c>
      <x:c r="J299" s="117" t="str">
        <x:v>Loaner__c</x:v>
      </x:c>
      <x:c r="K299" s="117" t="str">
        <x:v>Yes</x:v>
      </x:c>
      <x:c r="L299" s="117" t="str">
        <x:v>CreateAndUpdate</x:v>
      </x:c>
      <x:c r="M299" s="117" t="str">
        <x:v>RecordAfterSave</x:v>
      </x:c>
      <x:c r="N299" s="117"/>
      <x:c r="O299" s="117"/>
      <x:c r="P299" s="117" t="str"/>
      <x:c r="Q299" s="117" t="str">
        <x:v>56.0</x:v>
      </x:c>
      <x:c r="R299" s="117" t="str">
        <x:v>unmanaged</x:v>
      </x:c>
      <x:c r="S299" s="118" t="n">
        <x:v>10</x:v>
      </x:c>
      <x:c r="T299" s="118" t="n">
        <x:v>15</x:v>
      </x:c>
      <x:c r="U299" s="118" t="n">
        <x:v>2</x:v>
      </x:c>
      <x:c r="V299" s="118" t="n">
        <x:v>0</x:v>
      </x:c>
      <x:c r="W299" s="118" t="n">
        <x:v>0</x:v>
      </x:c>
      <x:c r="X299" s="118" t="n">
        <x:v>0</x:v>
      </x:c>
      <x:c r="Y299" s="118" t="n">
        <x:v>2</x:v>
      </x:c>
      <x:c r="Z299" s="117" t="str">
        <x:v>Isolated lane</x:v>
      </x:c>
      <x:c r="AA299" s="120" t="n">
        <x:v>46028.961493055554</x:v>
      </x:c>
      <x:c r="AB299" s="117" t="str">
        <x:v>Delegate</x:v>
      </x:c>
      <x:c r="AC299" s="119" t="str">
        <x:v>01/06/2025 (BW) - On Creation of a loaner, checks to see if there is an address on the opportunity and if there is it uses that address ship location</x:v>
      </x:c>
      <x:c r="AD299" s="119" t="str"/>
    </x:row>
    <x:row r="300" ht="34" customHeight="1">
      <x:c r="A300" s="117" t="str">
        <x:v>3000B000000kEPIQA2</x:v>
      </x:c>
      <x:c r="B300" s="117" t="str">
        <x:v>Location_to_Scrap</x:v>
      </x:c>
      <x:c r="C300" s="117" t="str">
        <x:v>Location to Scrap</x:v>
      </x:c>
      <x:c r="D300" s="117" t="str">
        <x:v>No</x:v>
      </x:c>
      <x:c r="E300" s="118"/>
      <x:c r="F300" s="118" t="n">
        <x:v>1</x:v>
      </x:c>
      <x:c r="G300" s="117" t="str">
        <x:v>N/A</x:v>
      </x:c>
      <x:c r="H300" s="119" t="str">
        <x:v>Latest inactive v1 (Retrieved XML)</x:v>
      </x:c>
      <x:c r="I300" s="117" t="str">
        <x:v>Workflow</x:v>
      </x:c>
      <x:c r="J300" s="117" t="str"/>
      <x:c r="K300" s="117" t="str">
        <x:v>No</x:v>
      </x:c>
      <x:c r="L300" s="117" t="str"/>
      <x:c r="M300" s="117" t="str"/>
      <x:c r="N300" s="117"/>
      <x:c r="O300" s="117"/>
      <x:c r="P300" s="117" t="str"/>
      <x:c r="Q300" s="117" t="str">
        <x:v>49.0</x:v>
      </x:c>
      <x:c r="R300" s="117" t="str">
        <x:v>unmanaged</x:v>
      </x:c>
      <x:c r="S300" s="118" t="n">
        <x:v>1</x:v>
      </x:c>
      <x:c r="T300" s="118" t="n">
        <x:v>4</x:v>
      </x:c>
      <x:c r="U300" s="118" t="n">
        <x:v>1</x:v>
      </x:c>
      <x:c r="V300" s="118" t="n">
        <x:v>0</x:v>
      </x:c>
      <x:c r="W300" s="118" t="n">
        <x:v>0</x:v>
      </x:c>
      <x:c r="X300" s="118" t="n">
        <x:v>0</x:v>
      </x:c>
      <x:c r="Y300" s="118" t="n">
        <x:v>1</x:v>
      </x:c>
      <x:c r="Z300" s="117" t="str">
        <x:v>N/A</x:v>
      </x:c>
      <x:c r="AA300" s="120" t="n">
        <x:v>42816.89200231482</x:v>
      </x:c>
      <x:c r="AB300" s="117" t="str">
        <x:v>QC Admin</x:v>
      </x:c>
      <x:c r="AC300" s="119" t="str">
        <x:v>When probe is moved to scrap location, ratings get set to scrap and marked as sold</x:v>
      </x:c>
      <x:c r="AD300" s="119" t="str"/>
    </x:row>
    <x:row r="301" ht="34" customHeight="1">
      <x:c r="A301" s="117" t="str">
        <x:v>300Ro00000Pz0kqIAB</x:v>
      </x:c>
      <x:c r="B301" s="117" t="str">
        <x:v>Mammography_Checklist</x:v>
      </x:c>
      <x:c r="C301" s="117" t="str">
        <x:v>Mammography Checklist</x:v>
      </x:c>
      <x:c r="D301" s="117" t="str">
        <x:v>Yes</x:v>
      </x:c>
      <x:c r="E301" s="118" t="n">
        <x:v>10</x:v>
      </x:c>
      <x:c r="F301" s="118" t="n">
        <x:v>10</x:v>
      </x:c>
      <x:c r="G301" s="117" t="str">
        <x:v>Yes</x:v>
      </x:c>
      <x:c r="H301" s="119" t="str">
        <x:v>Active v10 (Retrieved XML)</x:v>
      </x:c>
      <x:c r="I301" s="117" t="str">
        <x:v>FieldServiceMobile</x:v>
      </x:c>
      <x:c r="J301" s="117" t="str"/>
      <x:c r="K301" s="117" t="str">
        <x:v>No</x:v>
      </x:c>
      <x:c r="L301" s="117" t="str"/>
      <x:c r="M301" s="117" t="str"/>
      <x:c r="N301" s="117"/>
      <x:c r="O301" s="117"/>
      <x:c r="P301" s="117" t="str"/>
      <x:c r="Q301" s="117"/>
      <x:c r="R301" s="117" t="str">
        <x:v>unmanaged</x:v>
      </x:c>
      <x:c r="S301" s="118" t="n">
        <x:v>10</x:v>
      </x:c>
      <x:c r="T301" s="118" t="n">
        <x:v>16</x:v>
      </x:c>
      <x:c r="U301" s="118" t="n">
        <x:v>2</x:v>
      </x:c>
      <x:c r="V301" s="118" t="n">
        <x:v>0</x:v>
      </x:c>
      <x:c r="W301" s="118" t="n">
        <x:v>0</x:v>
      </x:c>
      <x:c r="X301" s="118" t="n">
        <x:v>0</x:v>
      </x:c>
      <x:c r="Y301" s="118" t="n">
        <x:v>2</x:v>
      </x:c>
      <x:c r="Z301" s="117" t="str">
        <x:v>N/A</x:v>
      </x:c>
      <x:c r="AA301" s="120" t="n">
        <x:v>46072.46888888889</x:v>
      </x:c>
      <x:c r="AB301" s="117" t="str">
        <x:v>Sacha Pearce</x:v>
      </x:c>
      <x:c r="AC301" s="119" t="str">
        <x:v>04/01/2025 - Updating this to utilize the newer functionality for the checksheets
01/19/2026 - V9 - SP - Updating to operate under new FSL formatting</x:v>
      </x:c>
      <x:c r="AD301" s="119" t="str"/>
    </x:row>
    <x:row r="302" ht="34" customHeight="1">
      <x:c r="A302" s="117" t="str">
        <x:v>300Ro00000ncjmHIAQ</x:v>
      </x:c>
      <x:c r="B302" s="117" t="str">
        <x:v>Manually_Send_Credit_Memo_to_Client</x:v>
      </x:c>
      <x:c r="C302" s="117" t="str">
        <x:v>Manually Send Credit Memo to Client</x:v>
      </x:c>
      <x:c r="D302" s="117" t="str">
        <x:v>Yes</x:v>
      </x:c>
      <x:c r="E302" s="118" t="n">
        <x:v>3</x:v>
      </x:c>
      <x:c r="F302" s="118" t="n">
        <x:v>3</x:v>
      </x:c>
      <x:c r="G302" s="117" t="str">
        <x:v>Yes</x:v>
      </x:c>
      <x:c r="H302" s="119" t="str">
        <x:v>Active v3 (Retrieved XML)</x:v>
      </x:c>
      <x:c r="I302" s="117" t="str">
        <x:v>Flow</x:v>
      </x:c>
      <x:c r="J302" s="117" t="str"/>
      <x:c r="K302" s="117" t="str">
        <x:v>No</x:v>
      </x:c>
      <x:c r="L302" s="117" t="str"/>
      <x:c r="M302" s="117" t="str"/>
      <x:c r="N302" s="117"/>
      <x:c r="O302" s="117"/>
      <x:c r="P302" s="117" t="str"/>
      <x:c r="Q302" s="117" t="str">
        <x:v>65.0</x:v>
      </x:c>
      <x:c r="R302" s="117" t="str">
        <x:v>unmanaged</x:v>
      </x:c>
      <x:c r="S302" s="118" t="n">
        <x:v>3</x:v>
      </x:c>
      <x:c r="T302" s="118" t="n">
        <x:v>7</x:v>
      </x:c>
      <x:c r="U302" s="118" t="n">
        <x:v>1</x:v>
      </x:c>
      <x:c r="V302" s="118" t="n">
        <x:v>0</x:v>
      </x:c>
      <x:c r="W302" s="118" t="n">
        <x:v>2</x:v>
      </x:c>
      <x:c r="X302" s="118" t="n">
        <x:v>0</x:v>
      </x:c>
      <x:c r="Y302" s="118" t="n">
        <x:v>1</x:v>
      </x:c>
      <x:c r="Z302" s="117" t="str">
        <x:v>N/A</x:v>
      </x:c>
      <x:c r="AA302" s="120" t="n">
        <x:v>46107.54783564815</x:v>
      </x:c>
      <x:c r="AB302" s="117" t="str">
        <x:v>Delegate</x:v>
      </x:c>
      <x:c r="AC302" s="119" t="str">
        <x:v>01/02/2026 (BW) - Allows for the manual sending of a credit memo to a client</x:v>
      </x:c>
      <x:c r="AD302" s="119" t="str"/>
    </x:row>
    <x:row r="303" ht="34" customHeight="1">
      <x:c r="A303" s="117" t="str">
        <x:v>3005b000000PzFjAAK</x:v>
      </x:c>
      <x:c r="B303" s="117" t="str">
        <x:v>Mark_Asmer_Evaluation_Update_Email_Flow</x:v>
      </x:c>
      <x:c r="C303" s="117" t="str">
        <x:v>Mark Asmer Evaluation Update Email Flow</x:v>
      </x:c>
      <x:c r="D303" s="117" t="str">
        <x:v>Yes</x:v>
      </x:c>
      <x:c r="E303" s="118" t="n">
        <x:v>1</x:v>
      </x:c>
      <x:c r="F303" s="118" t="n">
        <x:v>1</x:v>
      </x:c>
      <x:c r="G303" s="117" t="str">
        <x:v>Yes</x:v>
      </x:c>
      <x:c r="H303" s="119" t="str">
        <x:v>Active v1 (Retrieved XML)</x:v>
      </x:c>
      <x:c r="I303" s="117" t="str">
        <x:v>AutoLaunchedFlow</x:v>
      </x:c>
      <x:c r="J303" s="117" t="str">
        <x:v>Evaluation_Natalie__c</x:v>
      </x:c>
      <x:c r="K303" s="117" t="str">
        <x:v>Yes</x:v>
      </x:c>
      <x:c r="L303" s="117" t="str">
        <x:v>CreateAndUpdate</x:v>
      </x:c>
      <x:c r="M303" s="117" t="str">
        <x:v>RecordAfterSave</x:v>
      </x:c>
      <x:c r="N303" s="117"/>
      <x:c r="O303" s="117"/>
      <x:c r="P303" s="117" t="str"/>
      <x:c r="Q303" s="117" t="str">
        <x:v>57.0</x:v>
      </x:c>
      <x:c r="R303" s="117" t="str">
        <x:v>unmanaged</x:v>
      </x:c>
      <x:c r="S303" s="118" t="n">
        <x:v>1</x:v>
      </x:c>
      <x:c r="T303" s="118" t="n">
        <x:v>2</x:v>
      </x:c>
      <x:c r="U303" s="118" t="n">
        <x:v>1</x:v>
      </x:c>
      <x:c r="V303" s="118" t="n">
        <x:v>0</x:v>
      </x:c>
      <x:c r="W303" s="118" t="n">
        <x:v>0</x:v>
      </x:c>
      <x:c r="X303" s="118" t="n">
        <x:v>0</x:v>
      </x:c>
      <x:c r="Y303" s="118" t="n">
        <x:v>1</x:v>
      </x:c>
      <x:c r="Z303" s="117" t="str">
        <x:v>Isolated lane</x:v>
      </x:c>
      <x:c r="AA303" s="120" t="n">
        <x:v>45028.71841435185</x:v>
      </x:c>
      <x:c r="AB303" s="117" t="str">
        <x:v>Jace Gentil</x:v>
      </x:c>
      <x:c r="AC303" s="119" t="str"/>
      <x:c r="AD303" s="119" t="str">
        <x:v>Active flow has no description</x:v>
      </x:c>
    </x:row>
    <x:row r="304" ht="34" customHeight="1">
      <x:c r="A304" s="117" t="str">
        <x:v>3005b000000H3gKAAS</x:v>
      </x:c>
      <x:c r="B304" s="117" t="str">
        <x:v>Mark_Closed_Lost_Big_Iron_Assets_as_PAd_and_Sold</x:v>
      </x:c>
      <x:c r="C304" s="117" t="str">
        <x:v>Mark Closed Lost Big Iron Assets as PAd and Sold</x:v>
      </x:c>
      <x:c r="D304" s="117" t="str">
        <x:v>Yes</x:v>
      </x:c>
      <x:c r="E304" s="118" t="n">
        <x:v>3</x:v>
      </x:c>
      <x:c r="F304" s="118" t="n">
        <x:v>3</x:v>
      </x:c>
      <x:c r="G304" s="117" t="str">
        <x:v>Yes</x:v>
      </x:c>
      <x:c r="H304" s="119" t="str">
        <x:v>Active v3 (Retrieved XML)</x:v>
      </x:c>
      <x:c r="I304" s="117" t="str">
        <x:v>AutoLaunchedFlow</x:v>
      </x:c>
      <x:c r="J304" s="117" t="str">
        <x:v>Opportunity</x:v>
      </x:c>
      <x:c r="K304" s="117" t="str">
        <x:v>Yes</x:v>
      </x:c>
      <x:c r="L304" s="117" t="str">
        <x:v>Update</x:v>
      </x:c>
      <x:c r="M304" s="117" t="str">
        <x:v>RecordAfterSave</x:v>
      </x:c>
      <x:c r="N304" s="117"/>
      <x:c r="O304" s="117"/>
      <x:c r="P304" s="117" t="str"/>
      <x:c r="Q304" s="117" t="str">
        <x:v>54.0</x:v>
      </x:c>
      <x:c r="R304" s="117" t="str">
        <x:v>unmanaged</x:v>
      </x:c>
      <x:c r="S304" s="118" t="n">
        <x:v>3</x:v>
      </x:c>
      <x:c r="T304" s="118" t="n">
        <x:v>4</x:v>
      </x:c>
      <x:c r="U304" s="118" t="n">
        <x:v>2</x:v>
      </x:c>
      <x:c r="V304" s="118" t="n">
        <x:v>0</x:v>
      </x:c>
      <x:c r="W304" s="118" t="n">
        <x:v>0</x:v>
      </x:c>
      <x:c r="X304" s="118" t="n">
        <x:v>0</x:v>
      </x:c>
      <x:c r="Y304" s="118" t="n">
        <x:v>1</x:v>
      </x:c>
      <x:c r="Z304" s="117" t="str">
        <x:v>Strong</x:v>
      </x:c>
      <x:c r="AA304" s="120" t="n">
        <x:v>45145.54986111111</x:v>
      </x:c>
      <x:c r="AB304" s="117" t="str">
        <x:v>Delegate</x:v>
      </x:c>
      <x:c r="AC304" s="119" t="str">
        <x:v>Added asynchronous path</x:v>
      </x:c>
      <x:c r="AD304" s="119" t="str"/>
    </x:row>
    <x:row r="305" ht="34" customHeight="1">
      <x:c r="A305" s="117" t="str">
        <x:v>300Ro00000qm9iRIAQ</x:v>
      </x:c>
      <x:c r="B305" s="117" t="str">
        <x:v>Mass_Move_Location_Screen_Flow</x:v>
      </x:c>
      <x:c r="C305" s="117" t="str">
        <x:v>Mass Move Location Screen Flow</x:v>
      </x:c>
      <x:c r="D305" s="117" t="str">
        <x:v>Yes</x:v>
      </x:c>
      <x:c r="E305" s="118" t="n">
        <x:v>5</x:v>
      </x:c>
      <x:c r="F305" s="118" t="n">
        <x:v>5</x:v>
      </x:c>
      <x:c r="G305" s="117" t="str">
        <x:v>Yes</x:v>
      </x:c>
      <x:c r="H305" s="119" t="str">
        <x:v>Active v5 (Retrieved XML)</x:v>
      </x:c>
      <x:c r="I305" s="117" t="str">
        <x:v>Flow</x:v>
      </x:c>
      <x:c r="J305" s="117" t="str"/>
      <x:c r="K305" s="117" t="str">
        <x:v>No</x:v>
      </x:c>
      <x:c r="L305" s="117" t="str"/>
      <x:c r="M305" s="117" t="str"/>
      <x:c r="N305" s="117" t="str">
        <x:v>SystemModeWithoutSharing</x:v>
      </x:c>
      <x:c r="O305" s="117"/>
      <x:c r="P305" s="117" t="str"/>
      <x:c r="Q305" s="117" t="str">
        <x:v>65.0</x:v>
      </x:c>
      <x:c r="R305" s="117" t="str">
        <x:v>unmanaged</x:v>
      </x:c>
      <x:c r="S305" s="118" t="n">
        <x:v>5</x:v>
      </x:c>
      <x:c r="T305" s="118" t="n">
        <x:v>15</x:v>
      </x:c>
      <x:c r="U305" s="118" t="n">
        <x:v>2</x:v>
      </x:c>
      <x:c r="V305" s="118" t="n">
        <x:v>0</x:v>
      </x:c>
      <x:c r="W305" s="118" t="n">
        <x:v>0</x:v>
      </x:c>
      <x:c r="X305" s="118" t="n">
        <x:v>1</x:v>
      </x:c>
      <x:c r="Y305" s="118" t="n">
        <x:v>2</x:v>
      </x:c>
      <x:c r="Z305" s="117" t="str">
        <x:v>N/A</x:v>
      </x:c>
      <x:c r="AA305" s="120" t="n">
        <x:v>46130.57579861111</x:v>
      </x:c>
      <x:c r="AB305" s="117" t="str">
        <x:v>Sacha Pearce</x:v>
      </x:c>
      <x:c r="AC305" s="119" t="str">
        <x:v>24/03/2026 - SP - Updating the Flow to recalculate the "Current Location" field on the related Assets. This is needed to ensure the "New Location Formula" is evaluted before the "MoveLocationUpdate" Apex Trigger updates the related Asset.</x:v>
      </x:c>
      <x:c r="AD305" s="119" t="str"/>
    </x:row>
    <x:row r="306" ht="34" customHeight="1">
      <x:c r="A306" s="117" t="str">
        <x:v>300Ro00000zK6USIA0</x:v>
      </x:c>
      <x:c r="B306" s="117" t="str">
        <x:v>MC_Shipment_Before_Delete_Delivered_Date_Roll_Up</x:v>
      </x:c>
      <x:c r="C306" s="117" t="str">
        <x:v>MC Shipment | Before Delete, Delivered Date Roll Up</x:v>
      </x:c>
      <x:c r="D306" s="117" t="str">
        <x:v>Yes</x:v>
      </x:c>
      <x:c r="E306" s="118" t="n">
        <x:v>1</x:v>
      </x:c>
      <x:c r="F306" s="118" t="n">
        <x:v>1</x:v>
      </x:c>
      <x:c r="G306" s="117" t="str">
        <x:v>Yes</x:v>
      </x:c>
      <x:c r="H306" s="119" t="str">
        <x:v>Active v1 (Retrieved XML)</x:v>
      </x:c>
      <x:c r="I306" s="117" t="str">
        <x:v>AutoLaunchedFlow</x:v>
      </x:c>
      <x:c r="J306" s="117" t="str">
        <x:v>zkmulti__MCShipment__c</x:v>
      </x:c>
      <x:c r="K306" s="117" t="str">
        <x:v>Yes</x:v>
      </x:c>
      <x:c r="L306" s="117" t="str">
        <x:v>Delete</x:v>
      </x:c>
      <x:c r="M306" s="117" t="str">
        <x:v>RecordBeforeDelete</x:v>
      </x:c>
      <x:c r="N306" s="117"/>
      <x:c r="O306" s="117"/>
      <x:c r="P306" s="117" t="str"/>
      <x:c r="Q306" s="117" t="str">
        <x:v>66.0</x:v>
      </x:c>
      <x:c r="R306" s="117" t="str">
        <x:v>unmanaged</x:v>
      </x:c>
      <x:c r="S306" s="118" t="n">
        <x:v>1</x:v>
      </x:c>
      <x:c r="T306" s="118" t="n">
        <x:v>7</x:v>
      </x:c>
      <x:c r="U306" s="118" t="n">
        <x:v>2</x:v>
      </x:c>
      <x:c r="V306" s="118" t="n">
        <x:v>0</x:v>
      </x:c>
      <x:c r="W306" s="118" t="n">
        <x:v>0</x:v>
      </x:c>
      <x:c r="X306" s="118" t="n">
        <x:v>0</x:v>
      </x:c>
      <x:c r="Y306" s="118" t="n">
        <x:v>1</x:v>
      </x:c>
      <x:c r="Z306" s="117" t="str">
        <x:v>Review</x:v>
      </x:c>
      <x:c r="AA306" s="120" t="n">
        <x:v>46178.028402777774</x:v>
      </x:c>
      <x:c r="AB306" s="117" t="str">
        <x:v>Delegate</x:v>
      </x:c>
      <x:c r="AC306" s="119" t="str">
        <x:v>06/04/26 (GD) – Replaces DLRS rollup 'Roll Up Delivered Date on Loaner' (before delete). Queries all remaining MCShipments for the triggered Loaner — the being-deleted record is excluded via Id != $Record.Id filter. Concatenates distinct Actual_Delivery_Date__c values (YYYY-MM-DD, comma-delimited) onto Loaner.Delivered_Date__c. Synchronous only; no async paths are supported in Before Delete flows. Distinct check uses anchored CONTAINS() pattern (",value,") to prevent substring false-positives.</x:v>
      </x:c>
      <x:c r="AD306" s="119" t="str"/>
    </x:row>
    <x:row r="307" ht="34" customHeight="1">
      <x:c r="A307" s="117" t="str">
        <x:v>300Ro00000zKZzNIAW</x:v>
      </x:c>
      <x:c r="B307" s="117" t="str">
        <x:v>MC_Shipment_Before_Delete_Ship_Date_Roll_Up</x:v>
      </x:c>
      <x:c r="C307" s="117" t="str">
        <x:v>MC Shipment | Before Delete, Ship Date Roll Up</x:v>
      </x:c>
      <x:c r="D307" s="117" t="str">
        <x:v>Yes</x:v>
      </x:c>
      <x:c r="E307" s="118" t="n">
        <x:v>1</x:v>
      </x:c>
      <x:c r="F307" s="118" t="n">
        <x:v>1</x:v>
      </x:c>
      <x:c r="G307" s="117" t="str">
        <x:v>Yes</x:v>
      </x:c>
      <x:c r="H307" s="119" t="str">
        <x:v>Active v1 (Retrieved XML)</x:v>
      </x:c>
      <x:c r="I307" s="117" t="str">
        <x:v>AutoLaunchedFlow</x:v>
      </x:c>
      <x:c r="J307" s="117" t="str">
        <x:v>zkmulti__MCShipment__c</x:v>
      </x:c>
      <x:c r="K307" s="117" t="str">
        <x:v>Yes</x:v>
      </x:c>
      <x:c r="L307" s="117" t="str">
        <x:v>Delete</x:v>
      </x:c>
      <x:c r="M307" s="117" t="str">
        <x:v>RecordBeforeDelete</x:v>
      </x:c>
      <x:c r="N307" s="117"/>
      <x:c r="O307" s="117"/>
      <x:c r="P307" s="117" t="str"/>
      <x:c r="Q307" s="117" t="str">
        <x:v>66.0</x:v>
      </x:c>
      <x:c r="R307" s="117" t="str">
        <x:v>unmanaged</x:v>
      </x:c>
      <x:c r="S307" s="118" t="n">
        <x:v>1</x:v>
      </x:c>
      <x:c r="T307" s="118" t="n">
        <x:v>7</x:v>
      </x:c>
      <x:c r="U307" s="118" t="n">
        <x:v>2</x:v>
      </x:c>
      <x:c r="V307" s="118" t="n">
        <x:v>0</x:v>
      </x:c>
      <x:c r="W307" s="118" t="n">
        <x:v>0</x:v>
      </x:c>
      <x:c r="X307" s="118" t="n">
        <x:v>0</x:v>
      </x:c>
      <x:c r="Y307" s="118" t="n">
        <x:v>1</x:v>
      </x:c>
      <x:c r="Z307" s="117" t="str">
        <x:v>Review</x:v>
      </x:c>
      <x:c r="AA307" s="120" t="n">
        <x:v>46178.08491898148</x:v>
      </x:c>
      <x:c r="AB307" s="117" t="str">
        <x:v>Delegate</x:v>
      </x:c>
      <x:c r="AC307" s="119" t="str">
        <x:v>06/04/26 (GD) – Replaces DLRS rollup 'Roll Up Loaner Ship Date' (before delete). Queries all remaining MCShipments for the triggered Loaner — the being-deleted record is excluded via Id != $Record.Id filter. Concatenates distinct Ship_Date__c values (YYYY-MM-DD, comma-delimited) onto Loaner.Ship_Date__c. Synchronous only; no async paths are supported in Before Delete flows. Distinct check uses anchored CONTAINS() pattern (",value,") to prevent substring false-positives.</x:v>
      </x:c>
      <x:c r="AD307" s="119" t="str"/>
    </x:row>
    <x:row r="308" ht="34" customHeight="1">
      <x:c r="A308" s="117" t="str">
        <x:v>300Ro00000zK6UTIA0</x:v>
      </x:c>
      <x:c r="B308" s="117" t="str">
        <x:v>MC_Shipment_on_create_Delivered_Date_Roll_Up</x:v>
      </x:c>
      <x:c r="C308" s="117" t="str">
        <x:v>MC Shipment | On Create, Delivered Date Roll Up</x:v>
      </x:c>
      <x:c r="D308" s="117" t="str">
        <x:v>Yes</x:v>
      </x:c>
      <x:c r="E308" s="118" t="n">
        <x:v>1</x:v>
      </x:c>
      <x:c r="F308" s="118" t="n">
        <x:v>1</x:v>
      </x:c>
      <x:c r="G308" s="117" t="str">
        <x:v>Yes</x:v>
      </x:c>
      <x:c r="H308" s="119" t="str">
        <x:v>Active v1 (Retrieved XML)</x:v>
      </x:c>
      <x:c r="I308" s="117" t="str">
        <x:v>AutoLaunchedFlow</x:v>
      </x:c>
      <x:c r="J308" s="117" t="str">
        <x:v>zkmulti__MCShipment__c</x:v>
      </x:c>
      <x:c r="K308" s="117" t="str">
        <x:v>Yes</x:v>
      </x:c>
      <x:c r="L308" s="117" t="str">
        <x:v>Create</x:v>
      </x:c>
      <x:c r="M308" s="117" t="str">
        <x:v>RecordAfterSave</x:v>
      </x:c>
      <x:c r="N308" s="117"/>
      <x:c r="O308" s="117"/>
      <x:c r="P308" s="117" t="str"/>
      <x:c r="Q308" s="117" t="str">
        <x:v>66.0</x:v>
      </x:c>
      <x:c r="R308" s="117" t="str">
        <x:v>unmanaged</x:v>
      </x:c>
      <x:c r="S308" s="118" t="n">
        <x:v>1</x:v>
      </x:c>
      <x:c r="T308" s="118" t="n">
        <x:v>7</x:v>
      </x:c>
      <x:c r="U308" s="118" t="n">
        <x:v>2</x:v>
      </x:c>
      <x:c r="V308" s="118" t="n">
        <x:v>0</x:v>
      </x:c>
      <x:c r="W308" s="118" t="n">
        <x:v>0</x:v>
      </x:c>
      <x:c r="X308" s="118" t="n">
        <x:v>0</x:v>
      </x:c>
      <x:c r="Y308" s="118" t="n">
        <x:v>1</x:v>
      </x:c>
      <x:c r="Z308" s="117" t="str">
        <x:v>Review</x:v>
      </x:c>
      <x:c r="AA308" s="120" t="n">
        <x:v>46178.02804398148</x:v>
      </x:c>
      <x:c r="AB308" s="117" t="str">
        <x:v>Delegate</x:v>
      </x:c>
      <x:c r="AC308" s="119" t="str">
        <x:v>06/04/26 (GD) – Replaces DLRS rollup 'Roll Up Delivered Date on Loaner' (on create). Queries all MCShipments for the triggered Loaner and concatenates distinct Actual_Delivery_Date__c values (YYYY-MM-DD, comma-delimited) onto Loaner.Delivered_Date__c. Distinct check uses anchored CONTAINS() pattern (",value,") to prevent substring false-positives. AggregateAllRows: false — soft-deleted rows excluded by default SOQL.</x:v>
      </x:c>
      <x:c r="AD308" s="119" t="str"/>
    </x:row>
    <x:row r="309" ht="34" customHeight="1">
      <x:c r="A309" s="117" t="str">
        <x:v>300Ro00000zKZzOIAW</x:v>
      </x:c>
      <x:c r="B309" s="117" t="str">
        <x:v>MC_Shipment_on_create_Ship_Date_Roll_Up</x:v>
      </x:c>
      <x:c r="C309" s="117" t="str">
        <x:v>MC Shipment | On Create, Ship Date Roll Up</x:v>
      </x:c>
      <x:c r="D309" s="117" t="str">
        <x:v>Yes</x:v>
      </x:c>
      <x:c r="E309" s="118" t="n">
        <x:v>1</x:v>
      </x:c>
      <x:c r="F309" s="118" t="n">
        <x:v>1</x:v>
      </x:c>
      <x:c r="G309" s="117" t="str">
        <x:v>Yes</x:v>
      </x:c>
      <x:c r="H309" s="119" t="str">
        <x:v>Active v1 (Retrieved XML)</x:v>
      </x:c>
      <x:c r="I309" s="117" t="str">
        <x:v>AutoLaunchedFlow</x:v>
      </x:c>
      <x:c r="J309" s="117" t="str">
        <x:v>zkmulti__MCShipment__c</x:v>
      </x:c>
      <x:c r="K309" s="117" t="str">
        <x:v>Yes</x:v>
      </x:c>
      <x:c r="L309" s="117" t="str">
        <x:v>Create</x:v>
      </x:c>
      <x:c r="M309" s="117" t="str">
        <x:v>RecordAfterSave</x:v>
      </x:c>
      <x:c r="N309" s="117"/>
      <x:c r="O309" s="117"/>
      <x:c r="P309" s="117" t="str"/>
      <x:c r="Q309" s="117" t="str">
        <x:v>66.0</x:v>
      </x:c>
      <x:c r="R309" s="117" t="str">
        <x:v>unmanaged</x:v>
      </x:c>
      <x:c r="S309" s="118" t="n">
        <x:v>1</x:v>
      </x:c>
      <x:c r="T309" s="118" t="n">
        <x:v>7</x:v>
      </x:c>
      <x:c r="U309" s="118" t="n">
        <x:v>2</x:v>
      </x:c>
      <x:c r="V309" s="118" t="n">
        <x:v>0</x:v>
      </x:c>
      <x:c r="W309" s="118" t="n">
        <x:v>0</x:v>
      </x:c>
      <x:c r="X309" s="118" t="n">
        <x:v>0</x:v>
      </x:c>
      <x:c r="Y309" s="118" t="n">
        <x:v>1</x:v>
      </x:c>
      <x:c r="Z309" s="117" t="str">
        <x:v>Review</x:v>
      </x:c>
      <x:c r="AA309" s="120" t="n">
        <x:v>46178.08414351852</x:v>
      </x:c>
      <x:c r="AB309" s="117" t="str">
        <x:v>Delegate</x:v>
      </x:c>
      <x:c r="AC309" s="119" t="str">
        <x:v>06/04/26 (GD) – Replaces DLRS rollup 'Roll Up Loaner Ship Date' (on create). Queries all MCShipments for the triggered Loaner and concatenates distinct Ship_Date__c values (YYYY-MM-DD, comma-delimited) onto Loaner.Ship_Date__c. Distinct check uses anchored CONTAINS() pattern (",value,") to prevent substring false-positives. AggregateAllRows: false — soft-deleted rows excluded by default SOQL.</x:v>
      </x:c>
      <x:c r="AD309" s="119" t="str"/>
    </x:row>
    <x:row r="310" ht="34" customHeight="1">
      <x:c r="A310" s="117" t="str">
        <x:v>300Ro00000zK6UUIA0</x:v>
      </x:c>
      <x:c r="B310" s="117" t="str">
        <x:v>MC_Shipment_on_update_Delivered_Date_Roll_Up</x:v>
      </x:c>
      <x:c r="C310" s="117" t="str">
        <x:v>MC Shipment | On Update, Delivered Date Roll Up</x:v>
      </x:c>
      <x:c r="D310" s="117" t="str">
        <x:v>Yes</x:v>
      </x:c>
      <x:c r="E310" s="118" t="n">
        <x:v>1</x:v>
      </x:c>
      <x:c r="F310" s="118" t="n">
        <x:v>1</x:v>
      </x:c>
      <x:c r="G310" s="117" t="str">
        <x:v>Yes</x:v>
      </x:c>
      <x:c r="H310" s="119" t="str">
        <x:v>Active v1 (Retrieved XML)</x:v>
      </x:c>
      <x:c r="I310" s="117" t="str">
        <x:v>AutoLaunchedFlow</x:v>
      </x:c>
      <x:c r="J310" s="117" t="str">
        <x:v>zkmulti__MCShipment__c</x:v>
      </x:c>
      <x:c r="K310" s="117" t="str">
        <x:v>Yes</x:v>
      </x:c>
      <x:c r="L310" s="117" t="str">
        <x:v>Update</x:v>
      </x:c>
      <x:c r="M310" s="117" t="str">
        <x:v>RecordAfterSave</x:v>
      </x:c>
      <x:c r="N310" s="117"/>
      <x:c r="O310" s="117"/>
      <x:c r="P310" s="117" t="str"/>
      <x:c r="Q310" s="117" t="str">
        <x:v>66.0</x:v>
      </x:c>
      <x:c r="R310" s="117" t="str">
        <x:v>unmanaged</x:v>
      </x:c>
      <x:c r="S310" s="118" t="n">
        <x:v>1</x:v>
      </x:c>
      <x:c r="T310" s="118" t="n">
        <x:v>19</x:v>
      </x:c>
      <x:c r="U310" s="118" t="n">
        <x:v>2</x:v>
      </x:c>
      <x:c r="V310" s="118" t="n">
        <x:v>0</x:v>
      </x:c>
      <x:c r="W310" s="118" t="n">
        <x:v>0</x:v>
      </x:c>
      <x:c r="X310" s="118" t="n">
        <x:v>0</x:v>
      </x:c>
      <x:c r="Y310" s="118" t="n">
        <x:v>2</x:v>
      </x:c>
      <x:c r="Z310" s="117" t="str">
        <x:v>Review</x:v>
      </x:c>
      <x:c r="AA310" s="120" t="n">
        <x:v>46178.02847222222</x:v>
      </x:c>
      <x:c r="AB310" s="117" t="str">
        <x:v>Delegate</x:v>
      </x:c>
      <x:c r="AC310" s="119" t="str">
        <x:v>06/04/26 (GD) – Replaces DLRS rollup 'Roll Up Delivered Date on Loaner' (on update). Handles delivery-date change on the same Loaner and Loaner reparenting (updates both old and new parent). Known gap matching org-wide pattern: if Loaner__c is changed to null the old parent is not updated (entry criteria require current Loaner__c to be non-null). Distinct check uses anchored CONTAINS() pattern (",value,") to prevent substring false-positives. $Record__Prior is used for old-parent lookup — only available in synchronous paths.</x:v>
      </x:c>
      <x:c r="AD310" s="119" t="str"/>
    </x:row>
    <x:row r="311" ht="34" customHeight="1">
      <x:c r="A311" s="117" t="str">
        <x:v>300Ro00000zKZzPIAW</x:v>
      </x:c>
      <x:c r="B311" s="117" t="str">
        <x:v>MC_Shipment_on_update_Ship_Date_Roll_Up</x:v>
      </x:c>
      <x:c r="C311" s="117" t="str">
        <x:v>MC Shipment | On Update, Ship Date Roll Up</x:v>
      </x:c>
      <x:c r="D311" s="117" t="str">
        <x:v>Yes</x:v>
      </x:c>
      <x:c r="E311" s="118" t="n">
        <x:v>1</x:v>
      </x:c>
      <x:c r="F311" s="118" t="n">
        <x:v>1</x:v>
      </x:c>
      <x:c r="G311" s="117" t="str">
        <x:v>Yes</x:v>
      </x:c>
      <x:c r="H311" s="119" t="str">
        <x:v>Active v1 (Retrieved XML)</x:v>
      </x:c>
      <x:c r="I311" s="117" t="str">
        <x:v>AutoLaunchedFlow</x:v>
      </x:c>
      <x:c r="J311" s="117" t="str">
        <x:v>zkmulti__MCShipment__c</x:v>
      </x:c>
      <x:c r="K311" s="117" t="str">
        <x:v>Yes</x:v>
      </x:c>
      <x:c r="L311" s="117" t="str">
        <x:v>Update</x:v>
      </x:c>
      <x:c r="M311" s="117" t="str">
        <x:v>RecordAfterSave</x:v>
      </x:c>
      <x:c r="N311" s="117"/>
      <x:c r="O311" s="117"/>
      <x:c r="P311" s="117" t="str"/>
      <x:c r="Q311" s="117" t="str">
        <x:v>66.0</x:v>
      </x:c>
      <x:c r="R311" s="117" t="str">
        <x:v>unmanaged</x:v>
      </x:c>
      <x:c r="S311" s="118" t="n">
        <x:v>1</x:v>
      </x:c>
      <x:c r="T311" s="118" t="n">
        <x:v>19</x:v>
      </x:c>
      <x:c r="U311" s="118" t="n">
        <x:v>2</x:v>
      </x:c>
      <x:c r="V311" s="118" t="n">
        <x:v>0</x:v>
      </x:c>
      <x:c r="W311" s="118" t="n">
        <x:v>0</x:v>
      </x:c>
      <x:c r="X311" s="118" t="n">
        <x:v>0</x:v>
      </x:c>
      <x:c r="Y311" s="118" t="n">
        <x:v>2</x:v>
      </x:c>
      <x:c r="Z311" s="117" t="str">
        <x:v>Review</x:v>
      </x:c>
      <x:c r="AA311" s="120" t="n">
        <x:v>46178.084444444445</x:v>
      </x:c>
      <x:c r="AB311" s="117" t="str">
        <x:v>Delegate</x:v>
      </x:c>
      <x:c r="AC311" s="119" t="str">
        <x:v>06/04/26 (GD) – Replaces DLRS rollup 'Roll Up Loaner Ship Date' (on update). Handles ship-date change on the same Loaner and Loaner reparenting (updates both old and new parent). Known gap matching org-wide pattern: if Loaner__c is changed to null the old parent is not updated (entry criteria require current Loaner__c to be non-null). Distinct check uses anchored CONTAINS() pattern (",value,") to prevent substring false-positives. $Record__Prior is used for old-parent lookup — only available in synchronous paths.</x:v>
      </x:c>
      <x:c r="AD311" s="119" t="str"/>
    </x:row>
    <x:row r="312" ht="34" customHeight="1">
      <x:c r="A312" s="117" t="str">
        <x:v>300Ro000007doaXIAQ</x:v>
      </x:c>
      <x:c r="B312" s="117" t="str">
        <x:v>MC_Shipment_Rollups</x:v>
      </x:c>
      <x:c r="C312" s="117" t="str">
        <x:v>Sum Loaner Shipping Cost Rollup</x:v>
      </x:c>
      <x:c r="D312" s="117" t="str">
        <x:v>Yes</x:v>
      </x:c>
      <x:c r="E312" s="118" t="n">
        <x:v>2</x:v>
      </x:c>
      <x:c r="F312" s="118" t="n">
        <x:v>2</x:v>
      </x:c>
      <x:c r="G312" s="117" t="str">
        <x:v>Yes</x:v>
      </x:c>
      <x:c r="H312" s="119" t="str">
        <x:v>Active v2 (Retrieved XML)</x:v>
      </x:c>
      <x:c r="I312" s="117" t="str">
        <x:v>AutoLaunchedFlow</x:v>
      </x:c>
      <x:c r="J312" s="117" t="str">
        <x:v>zkmulti__MCShipment__c</x:v>
      </x:c>
      <x:c r="K312" s="117" t="str">
        <x:v>Yes</x:v>
      </x:c>
      <x:c r="L312" s="117" t="str">
        <x:v>CreateAndUpdate</x:v>
      </x:c>
      <x:c r="M312" s="117" t="str">
        <x:v>RecordAfterSave</x:v>
      </x:c>
      <x:c r="N312" s="117"/>
      <x:c r="O312" s="117"/>
      <x:c r="P312" s="117" t="str"/>
      <x:c r="Q312" s="117" t="str">
        <x:v>57.0</x:v>
      </x:c>
      <x:c r="R312" s="117" t="str">
        <x:v>unmanaged</x:v>
      </x:c>
      <x:c r="S312" s="118" t="n">
        <x:v>2</x:v>
      </x:c>
      <x:c r="T312" s="118" t="n">
        <x:v>7</x:v>
      </x:c>
      <x:c r="U312" s="118" t="n">
        <x:v>2</x:v>
      </x:c>
      <x:c r="V312" s="118" t="n">
        <x:v>0</x:v>
      </x:c>
      <x:c r="W312" s="118" t="n">
        <x:v>0</x:v>
      </x:c>
      <x:c r="X312" s="118" t="n">
        <x:v>0</x:v>
      </x:c>
      <x:c r="Y312" s="118" t="n">
        <x:v>1</x:v>
      </x:c>
      <x:c r="Z312" s="117" t="str">
        <x:v>Review</x:v>
      </x:c>
      <x:c r="AA312" s="120" t="n">
        <x:v>45434.11304398148</x:v>
      </x:c>
      <x:c r="AB312" s="117" t="str">
        <x:v>Delegate</x:v>
      </x:c>
      <x:c r="AC312" s="119" t="str"/>
      <x:c r="AD312" s="119" t="str">
        <x:v>Active flow has no description</x:v>
      </x:c>
    </x:row>
    <x:row r="313" ht="34" customHeight="1">
      <x:c r="A313" s="117" t="str">
        <x:v>300Ro00000zKj13IAC</x:v>
      </x:c>
      <x:c r="B313" s="117" t="str">
        <x:v>MCShipment_Before_Delete_Tracking_to_Loaner_Roll_Up</x:v>
      </x:c>
      <x:c r="C313" s="117" t="str">
        <x:v>MCShipment | Before Delete, Tracking to Loaner Roll Up</x:v>
      </x:c>
      <x:c r="D313" s="117" t="str">
        <x:v>Yes</x:v>
      </x:c>
      <x:c r="E313" s="118" t="n">
        <x:v>1</x:v>
      </x:c>
      <x:c r="F313" s="118" t="n">
        <x:v>1</x:v>
      </x:c>
      <x:c r="G313" s="117" t="str">
        <x:v>Yes</x:v>
      </x:c>
      <x:c r="H313" s="119" t="str">
        <x:v>Active v1 (Retrieved XML)</x:v>
      </x:c>
      <x:c r="I313" s="117" t="str">
        <x:v>AutoLaunchedFlow</x:v>
      </x:c>
      <x:c r="J313" s="117" t="str">
        <x:v>zkmulti__MCShipment__c</x:v>
      </x:c>
      <x:c r="K313" s="117" t="str">
        <x:v>Yes</x:v>
      </x:c>
      <x:c r="L313" s="117" t="str">
        <x:v>Delete</x:v>
      </x:c>
      <x:c r="M313" s="117" t="str">
        <x:v>RecordBeforeDelete</x:v>
      </x:c>
      <x:c r="N313" s="117"/>
      <x:c r="O313" s="117"/>
      <x:c r="P313" s="117" t="str"/>
      <x:c r="Q313" s="117" t="str">
        <x:v>66.0</x:v>
      </x:c>
      <x:c r="R313" s="117" t="str">
        <x:v>unmanaged</x:v>
      </x:c>
      <x:c r="S313" s="118" t="n">
        <x:v>1</x:v>
      </x:c>
      <x:c r="T313" s="118" t="n">
        <x:v>6</x:v>
      </x:c>
      <x:c r="U313" s="118" t="n">
        <x:v>2</x:v>
      </x:c>
      <x:c r="V313" s="118" t="n">
        <x:v>0</x:v>
      </x:c>
      <x:c r="W313" s="118" t="n">
        <x:v>0</x:v>
      </x:c>
      <x:c r="X313" s="118" t="n">
        <x:v>0</x:v>
      </x:c>
      <x:c r="Y313" s="118" t="n">
        <x:v>1</x:v>
      </x:c>
      <x:c r="Z313" s="117" t="str">
        <x:v>Review</x:v>
      </x:c>
      <x:c r="AA313" s="120" t="n">
        <x:v>46178.12871527778</x:v>
      </x:c>
      <x:c r="AB313" s="117" t="str">
        <x:v>Delegate</x:v>
      </x:c>
      <x:c r="AC313" s="119" t="str">
        <x:v>06/04/26 (GD) – DLRS-replacement: Tracking_to_Loaner_Record (before delete, synchronous). No delimiter — tracking numbers concatenated directly with no separator (deviates from org comma standard). No CONTAINS-based dedup implemented (dedup pattern requires a comma delimiter to work safely). Revisit delimiter and dedup in a future iteration.</x:v>
      </x:c>
      <x:c r="AD313" s="119" t="str"/>
    </x:row>
    <x:row r="314" ht="34" customHeight="1">
      <x:c r="A314" s="117" t="str">
        <x:v>300Ro00000zKj14IAC</x:v>
      </x:c>
      <x:c r="B314" s="117" t="str">
        <x:v>MCShipment_on_create_Tracking_to_Loaner_Roll_Up</x:v>
      </x:c>
      <x:c r="C314" s="117" t="str">
        <x:v>MCShipment | On Create, Tracking to Loaner Roll Up</x:v>
      </x:c>
      <x:c r="D314" s="117" t="str">
        <x:v>Yes</x:v>
      </x:c>
      <x:c r="E314" s="118" t="n">
        <x:v>1</x:v>
      </x:c>
      <x:c r="F314" s="118" t="n">
        <x:v>1</x:v>
      </x:c>
      <x:c r="G314" s="117" t="str">
        <x:v>Yes</x:v>
      </x:c>
      <x:c r="H314" s="119" t="str">
        <x:v>Active v1 (Retrieved XML)</x:v>
      </x:c>
      <x:c r="I314" s="117" t="str">
        <x:v>AutoLaunchedFlow</x:v>
      </x:c>
      <x:c r="J314" s="117" t="str">
        <x:v>zkmulti__MCShipment__c</x:v>
      </x:c>
      <x:c r="K314" s="117" t="str">
        <x:v>Yes</x:v>
      </x:c>
      <x:c r="L314" s="117" t="str">
        <x:v>Create</x:v>
      </x:c>
      <x:c r="M314" s="117" t="str">
        <x:v>RecordAfterSave</x:v>
      </x:c>
      <x:c r="N314" s="117"/>
      <x:c r="O314" s="117"/>
      <x:c r="P314" s="117" t="str"/>
      <x:c r="Q314" s="117" t="str">
        <x:v>66.0</x:v>
      </x:c>
      <x:c r="R314" s="117" t="str">
        <x:v>unmanaged</x:v>
      </x:c>
      <x:c r="S314" s="118" t="n">
        <x:v>1</x:v>
      </x:c>
      <x:c r="T314" s="118" t="n">
        <x:v>6</x:v>
      </x:c>
      <x:c r="U314" s="118" t="n">
        <x:v>2</x:v>
      </x:c>
      <x:c r="V314" s="118" t="n">
        <x:v>0</x:v>
      </x:c>
      <x:c r="W314" s="118" t="n">
        <x:v>0</x:v>
      </x:c>
      <x:c r="X314" s="118" t="n">
        <x:v>0</x:v>
      </x:c>
      <x:c r="Y314" s="118" t="n">
        <x:v>1</x:v>
      </x:c>
      <x:c r="Z314" s="117" t="str">
        <x:v>Review</x:v>
      </x:c>
      <x:c r="AA314" s="120" t="n">
        <x:v>46178.12866898148</x:v>
      </x:c>
      <x:c r="AB314" s="117" t="str">
        <x:v>Delegate</x:v>
      </x:c>
      <x:c r="AC314" s="119" t="str">
        <x:v>06/04/26 (GD) – DLRS-replacement: Tracking_to_Loaner_Record (on create, async). No delimiter — tracking numbers concatenated directly with no separator (deviates from org comma standard). No CONTAINS-based dedup implemented (dedup pattern requires a comma delimiter to work safely). Revisit delimiter and dedup in a future iteration.</x:v>
      </x:c>
      <x:c r="AD314" s="119" t="str"/>
    </x:row>
    <x:row r="315" ht="34" customHeight="1">
      <x:c r="A315" s="117" t="str">
        <x:v>300Ro00000zKj15IAC</x:v>
      </x:c>
      <x:c r="B315" s="117" t="str">
        <x:v>MCShipment_on_update_Tracking_to_Loaner_Roll_Up</x:v>
      </x:c>
      <x:c r="C315" s="117" t="str">
        <x:v>MCShipment | On Update, Tracking to Loaner Roll Up</x:v>
      </x:c>
      <x:c r="D315" s="117" t="str">
        <x:v>Yes</x:v>
      </x:c>
      <x:c r="E315" s="118" t="n">
        <x:v>1</x:v>
      </x:c>
      <x:c r="F315" s="118" t="n">
        <x:v>1</x:v>
      </x:c>
      <x:c r="G315" s="117" t="str">
        <x:v>Yes</x:v>
      </x:c>
      <x:c r="H315" s="119" t="str">
        <x:v>Active v1 (Retrieved XML)</x:v>
      </x:c>
      <x:c r="I315" s="117" t="str">
        <x:v>AutoLaunchedFlow</x:v>
      </x:c>
      <x:c r="J315" s="117" t="str">
        <x:v>zkmulti__MCShipment__c</x:v>
      </x:c>
      <x:c r="K315" s="117" t="str">
        <x:v>Yes</x:v>
      </x:c>
      <x:c r="L315" s="117" t="str">
        <x:v>Update</x:v>
      </x:c>
      <x:c r="M315" s="117" t="str">
        <x:v>RecordAfterSave</x:v>
      </x:c>
      <x:c r="N315" s="117"/>
      <x:c r="O315" s="117"/>
      <x:c r="P315" s="117" t="str"/>
      <x:c r="Q315" s="117" t="str">
        <x:v>66.0</x:v>
      </x:c>
      <x:c r="R315" s="117" t="str">
        <x:v>unmanaged</x:v>
      </x:c>
      <x:c r="S315" s="118" t="n">
        <x:v>1</x:v>
      </x:c>
      <x:c r="T315" s="118" t="n">
        <x:v>16</x:v>
      </x:c>
      <x:c r="U315" s="118" t="n">
        <x:v>2</x:v>
      </x:c>
      <x:c r="V315" s="118" t="n">
        <x:v>0</x:v>
      </x:c>
      <x:c r="W315" s="118" t="n">
        <x:v>0</x:v>
      </x:c>
      <x:c r="X315" s="118" t="n">
        <x:v>0</x:v>
      </x:c>
      <x:c r="Y315" s="118" t="n">
        <x:v>2</x:v>
      </x:c>
      <x:c r="Z315" s="117" t="str">
        <x:v>Review</x:v>
      </x:c>
      <x:c r="AA315" s="120" t="n">
        <x:v>46178.12869212963</x:v>
      </x:c>
      <x:c r="AB315" s="117" t="str">
        <x:v>Delegate</x:v>
      </x:c>
      <x:c r="AC315" s="119" t="str">
        <x:v>06/04/26 (GD) – DLRS-replacement: Tracking_to_Loaner_Record (on update, synchronous). No delimiter — tracking numbers concatenated directly with no separator (deviates from org comma standard). No CONTAINS-based dedup implemented (dedup pattern requires a comma delimiter to work safely). Known gap: if Loaner__c changes to null, old parent is not recalculated (org-wide pattern). Revisit delimiter and dedup in a future iteration.</x:v>
      </x:c>
      <x:c r="AD315" s="119" t="str"/>
    </x:row>
    <x:row r="316" ht="34" customHeight="1">
      <x:c r="A316" s="117" t="str">
        <x:v>3005b000000H43JAAS</x:v>
      </x:c>
      <x:c r="B316" s="117" t="str">
        <x:v>Missing_Asset_Checkbox_Notification_on_Asset2</x:v>
      </x:c>
      <x:c r="C316" s="117" t="str">
        <x:v>Missing Asset Checkbox Notification on Asset2</x:v>
      </x:c>
      <x:c r="D316" s="117" t="str">
        <x:v>Yes</x:v>
      </x:c>
      <x:c r="E316" s="118" t="n">
        <x:v>2</x:v>
      </x:c>
      <x:c r="F316" s="118" t="n">
        <x:v>2</x:v>
      </x:c>
      <x:c r="G316" s="117" t="str">
        <x:v>Yes</x:v>
      </x:c>
      <x:c r="H316" s="119" t="str">
        <x:v>Active v2 (Retrieved XML)</x:v>
      </x:c>
      <x:c r="I316" s="117" t="str">
        <x:v>AutoLaunchedFlow</x:v>
      </x:c>
      <x:c r="J316" s="117" t="str">
        <x:v>ProductItem__c</x:v>
      </x:c>
      <x:c r="K316" s="117" t="str">
        <x:v>Yes</x:v>
      </x:c>
      <x:c r="L316" s="117" t="str">
        <x:v>Update</x:v>
      </x:c>
      <x:c r="M316" s="117" t="str">
        <x:v>RecordAfterSave</x:v>
      </x:c>
      <x:c r="N316" s="117"/>
      <x:c r="O316" s="117"/>
      <x:c r="P316" s="117" t="str"/>
      <x:c r="Q316" s="117" t="str">
        <x:v>55.0</x:v>
      </x:c>
      <x:c r="R316" s="117" t="str">
        <x:v>unmanaged</x:v>
      </x:c>
      <x:c r="S316" s="118" t="n">
        <x:v>2</x:v>
      </x:c>
      <x:c r="T316" s="118" t="n">
        <x:v>3</x:v>
      </x:c>
      <x:c r="U316" s="118" t="n">
        <x:v>2</x:v>
      </x:c>
      <x:c r="V316" s="118" t="n">
        <x:v>0</x:v>
      </x:c>
      <x:c r="W316" s="118" t="n">
        <x:v>1</x:v>
      </x:c>
      <x:c r="X316" s="118" t="n">
        <x:v>0</x:v>
      </x:c>
      <x:c r="Y316" s="118" t="n">
        <x:v>1</x:v>
      </x:c>
      <x:c r="Z316" s="117" t="str">
        <x:v>Strong</x:v>
      </x:c>
      <x:c r="AA316" s="120" t="n">
        <x:v>45548.62605324074</x:v>
      </x:c>
      <x:c r="AB316" s="117" t="str">
        <x:v>Jon Kean</x:v>
      </x:c>
      <x:c r="AC316" s="119" t="str"/>
      <x:c r="AD316" s="119" t="str">
        <x:v>Active flow has no description</x:v>
      </x:c>
    </x:row>
    <x:row r="317" ht="34" customHeight="1">
      <x:c r="A317" s="117" t="str">
        <x:v>3005b000000H1iiAAC</x:v>
      </x:c>
      <x:c r="B317" s="117" t="str">
        <x:v>MIUS_Stores_Shipping_Notification</x:v>
      </x:c>
      <x:c r="C317" s="117" t="str">
        <x:v>MIUS Stores Shipping Notification</x:v>
      </x:c>
      <x:c r="D317" s="117" t="str">
        <x:v>No</x:v>
      </x:c>
      <x:c r="E317" s="118"/>
      <x:c r="F317" s="118" t="n">
        <x:v>1</x:v>
      </x:c>
      <x:c r="G317" s="117" t="str">
        <x:v>N/A</x:v>
      </x:c>
      <x:c r="H317" s="119" t="str">
        <x:v>Latest inactive v1 (Retrieved XML)</x:v>
      </x:c>
      <x:c r="I317" s="117" t="str">
        <x:v>Workflow</x:v>
      </x:c>
      <x:c r="J317" s="117" t="str"/>
      <x:c r="K317" s="117" t="str">
        <x:v>No</x:v>
      </x:c>
      <x:c r="L317" s="117" t="str"/>
      <x:c r="M317" s="117" t="str"/>
      <x:c r="N317" s="117"/>
      <x:c r="O317" s="117"/>
      <x:c r="P317" s="117" t="str"/>
      <x:c r="Q317" s="117" t="str">
        <x:v>52.0</x:v>
      </x:c>
      <x:c r="R317" s="117" t="str">
        <x:v>unmanaged</x:v>
      </x:c>
      <x:c r="S317" s="118" t="n">
        <x:v>1</x:v>
      </x:c>
      <x:c r="T317" s="118" t="n">
        <x:v>2</x:v>
      </x:c>
      <x:c r="U317" s="118" t="n">
        <x:v>1</x:v>
      </x:c>
      <x:c r="V317" s="118" t="n">
        <x:v>0</x:v>
      </x:c>
      <x:c r="W317" s="118" t="n">
        <x:v>1</x:v>
      </x:c>
      <x:c r="X317" s="118" t="n">
        <x:v>0</x:v>
      </x:c>
      <x:c r="Y317" s="118" t="n">
        <x:v>1</x:v>
      </x:c>
      <x:c r="Z317" s="117" t="str">
        <x:v>N/A</x:v>
      </x:c>
      <x:c r="AA317" s="120" t="n">
        <x:v>44440.42866898148</x:v>
      </x:c>
      <x:c r="AB317" s="117" t="str">
        <x:v>Jace Gentil</x:v>
      </x:c>
      <x:c r="AC317" s="119" t="str">
        <x:v>Sends MIUS Stores and Stephen/Jordan an e-mail when equipment is shipped from the states to Gloucester/Bristol</x:v>
      </x:c>
      <x:c r="AD317" s="119" t="str"/>
    </x:row>
    <x:row r="318" ht="34" customHeight="1">
      <x:c r="A318" s="117" t="str">
        <x:v>300Ro00000cwVggIAE</x:v>
      </x:c>
      <x:c r="B318" s="117" t="str">
        <x:v>Mobile_Create_Work_Order_From_Account</x:v>
      </x:c>
      <x:c r="C318" s="117" t="str">
        <x:v>(Mobile) Create Work Order From Account</x:v>
      </x:c>
      <x:c r="D318" s="117" t="str">
        <x:v>Yes</x:v>
      </x:c>
      <x:c r="E318" s="118" t="n">
        <x:v>1</x:v>
      </x:c>
      <x:c r="F318" s="118" t="n">
        <x:v>1</x:v>
      </x:c>
      <x:c r="G318" s="117" t="str">
        <x:v>Yes</x:v>
      </x:c>
      <x:c r="H318" s="119" t="str">
        <x:v>Active v1 (Retrieved XML)</x:v>
      </x:c>
      <x:c r="I318" s="117" t="str">
        <x:v>FieldServiceMobile</x:v>
      </x:c>
      <x:c r="J318" s="117" t="str"/>
      <x:c r="K318" s="117" t="str">
        <x:v>No</x:v>
      </x:c>
      <x:c r="L318" s="117" t="str"/>
      <x:c r="M318" s="117" t="str"/>
      <x:c r="N318" s="117"/>
      <x:c r="O318" s="117"/>
      <x:c r="P318" s="117" t="str"/>
      <x:c r="Q318" s="117"/>
      <x:c r="R318" s="117" t="str">
        <x:v>unmanaged</x:v>
      </x:c>
      <x:c r="S318" s="118" t="n">
        <x:v>1</x:v>
      </x:c>
      <x:c r="T318" s="118" t="n">
        <x:v>6</x:v>
      </x:c>
      <x:c r="U318" s="118" t="n">
        <x:v>5</x:v>
      </x:c>
      <x:c r="V318" s="118" t="n">
        <x:v>0</x:v>
      </x:c>
      <x:c r="W318" s="118" t="n">
        <x:v>0</x:v>
      </x:c>
      <x:c r="X318" s="118" t="n">
        <x:v>0</x:v>
      </x:c>
      <x:c r="Y318" s="118" t="n">
        <x:v>2</x:v>
      </x:c>
      <x:c r="Z318" s="117" t="str">
        <x:v>N/A</x:v>
      </x:c>
      <x:c r="AA318" s="120" t="n">
        <x:v>45884.748611111114</x:v>
      </x:c>
      <x:c r="AB318" s="117" t="str">
        <x:v>Delegate</x:v>
      </x:c>
      <x:c r="AC318" s="119" t="str"/>
      <x:c r="AD318" s="119" t="str">
        <x:v>Active flow has no description; Touches many objects</x:v>
      </x:c>
    </x:row>
    <x:row r="319" ht="34" customHeight="1">
      <x:c r="A319" s="117" t="str">
        <x:v>300Ro00000cwVghIAE</x:v>
      </x:c>
      <x:c r="B319" s="117" t="str">
        <x:v>Mobile_Create_Work_Order_From_Contract_Line_Item</x:v>
      </x:c>
      <x:c r="C319" s="117" t="str">
        <x:v>(Mobile) Create Work Order From Contract Line Item</x:v>
      </x:c>
      <x:c r="D319" s="117" t="str">
        <x:v>Yes</x:v>
      </x:c>
      <x:c r="E319" s="118" t="n">
        <x:v>1</x:v>
      </x:c>
      <x:c r="F319" s="118" t="n">
        <x:v>1</x:v>
      </x:c>
      <x:c r="G319" s="117" t="str">
        <x:v>Yes</x:v>
      </x:c>
      <x:c r="H319" s="119" t="str">
        <x:v>Active v1 (Retrieved XML)</x:v>
      </x:c>
      <x:c r="I319" s="117" t="str">
        <x:v>FieldServiceMobile</x:v>
      </x:c>
      <x:c r="J319" s="117" t="str"/>
      <x:c r="K319" s="117" t="str">
        <x:v>No</x:v>
      </x:c>
      <x:c r="L319" s="117" t="str"/>
      <x:c r="M319" s="117" t="str"/>
      <x:c r="N319" s="117"/>
      <x:c r="O319" s="117"/>
      <x:c r="P319" s="117" t="str"/>
      <x:c r="Q319" s="117"/>
      <x:c r="R319" s="117" t="str">
        <x:v>unmanaged</x:v>
      </x:c>
      <x:c r="S319" s="118" t="n">
        <x:v>1</x:v>
      </x:c>
      <x:c r="T319" s="118" t="n">
        <x:v>7</x:v>
      </x:c>
      <x:c r="U319" s="118" t="n">
        <x:v>4</x:v>
      </x:c>
      <x:c r="V319" s="118" t="n">
        <x:v>0</x:v>
      </x:c>
      <x:c r="W319" s="118" t="n">
        <x:v>0</x:v>
      </x:c>
      <x:c r="X319" s="118" t="n">
        <x:v>0</x:v>
      </x:c>
      <x:c r="Y319" s="118" t="n">
        <x:v>2</x:v>
      </x:c>
      <x:c r="Z319" s="117" t="str">
        <x:v>N/A</x:v>
      </x:c>
      <x:c r="AA319" s="120" t="n">
        <x:v>45884.74863425926</x:v>
      </x:c>
      <x:c r="AB319" s="117" t="str">
        <x:v>Delegate</x:v>
      </x:c>
      <x:c r="AC319" s="119" t="str"/>
      <x:c r="AD319" s="119" t="str">
        <x:v>Active flow has no description; Touches many objects</x:v>
      </x:c>
    </x:row>
    <x:row r="320" ht="34" customHeight="1">
      <x:c r="A320" s="117" t="str">
        <x:v>300Ro00000Pz0krIAB</x:v>
      </x:c>
      <x:c r="B320" s="117" t="str">
        <x:v>Mobile_X_Ray_Checklist</x:v>
      </x:c>
      <x:c r="C320" s="117" t="str">
        <x:v>Mobile X-Ray Checklist</x:v>
      </x:c>
      <x:c r="D320" s="117" t="str">
        <x:v>Yes</x:v>
      </x:c>
      <x:c r="E320" s="118" t="n">
        <x:v>12</x:v>
      </x:c>
      <x:c r="F320" s="118" t="n">
        <x:v>12</x:v>
      </x:c>
      <x:c r="G320" s="117" t="str">
        <x:v>Yes</x:v>
      </x:c>
      <x:c r="H320" s="119" t="str">
        <x:v>Active v12 (Retrieved XML)</x:v>
      </x:c>
      <x:c r="I320" s="117" t="str">
        <x:v>FieldServiceMobile</x:v>
      </x:c>
      <x:c r="J320" s="117" t="str"/>
      <x:c r="K320" s="117" t="str">
        <x:v>No</x:v>
      </x:c>
      <x:c r="L320" s="117" t="str"/>
      <x:c r="M320" s="117" t="str"/>
      <x:c r="N320" s="117"/>
      <x:c r="O320" s="117"/>
      <x:c r="P320" s="117" t="str"/>
      <x:c r="Q320" s="117"/>
      <x:c r="R320" s="117" t="str">
        <x:v>unmanaged</x:v>
      </x:c>
      <x:c r="S320" s="118" t="n">
        <x:v>12</x:v>
      </x:c>
      <x:c r="T320" s="118" t="n">
        <x:v>16</x:v>
      </x:c>
      <x:c r="U320" s="118" t="n">
        <x:v>2</x:v>
      </x:c>
      <x:c r="V320" s="118" t="n">
        <x:v>0</x:v>
      </x:c>
      <x:c r="W320" s="118" t="n">
        <x:v>0</x:v>
      </x:c>
      <x:c r="X320" s="118" t="n">
        <x:v>0</x:v>
      </x:c>
      <x:c r="Y320" s="118" t="n">
        <x:v>2</x:v>
      </x:c>
      <x:c r="Z320" s="117" t="str">
        <x:v>N/A</x:v>
      </x:c>
      <x:c r="AA320" s="120" t="n">
        <x:v>46072.469375</x:v>
      </x:c>
      <x:c r="AB320" s="117" t="str">
        <x:v>Sacha Pearce</x:v>
      </x:c>
      <x:c r="AC320" s="119" t="str">
        <x:v>03/25/2025 (BW) - Updating the process to follow the new method of progressive updates and historical population of fields
25/01/2025 - V10 - SP - Updaing to match new FSL standards</x:v>
      </x:c>
      <x:c r="AD320" s="119" t="str"/>
    </x:row>
    <x:row r="321" ht="34" customHeight="1">
      <x:c r="A321" s="117" t="str">
        <x:v>300Ro00000RkPiDIAV</x:v>
      </x:c>
      <x:c r="B321" s="117" t="str">
        <x:v>MP_Test</x:v>
      </x:c>
      <x:c r="C321" s="117" t="str">
        <x:v>Intercompany Transaction</x:v>
      </x:c>
      <x:c r="D321" s="117" t="str">
        <x:v>No</x:v>
      </x:c>
      <x:c r="E321" s="118"/>
      <x:c r="F321" s="118" t="n">
        <x:v>7</x:v>
      </x:c>
      <x:c r="G321" s="117" t="str">
        <x:v>N/A</x:v>
      </x:c>
      <x:c r="H321" s="119" t="str">
        <x:v>Latest inactive v7 (Retrieved XML)</x:v>
      </x:c>
      <x:c r="I321" s="117" t="str">
        <x:v>AutoLaunchedFlow</x:v>
      </x:c>
      <x:c r="J321" s="117" t="str">
        <x:v>Intercompany_Transfer__c</x:v>
      </x:c>
      <x:c r="K321" s="117" t="str">
        <x:v>No</x:v>
      </x:c>
      <x:c r="L321" s="117" t="str">
        <x:v>Update</x:v>
      </x:c>
      <x:c r="M321" s="117" t="str">
        <x:v>RecordAfterSave</x:v>
      </x:c>
      <x:c r="N321" s="117"/>
      <x:c r="O321" s="117"/>
      <x:c r="P321" s="117" t="str"/>
      <x:c r="Q321" s="117" t="str">
        <x:v>62.0</x:v>
      </x:c>
      <x:c r="R321" s="117" t="str">
        <x:v>unmanaged</x:v>
      </x:c>
      <x:c r="S321" s="118" t="n">
        <x:v>7</x:v>
      </x:c>
      <x:c r="T321" s="118" t="n">
        <x:v>18</x:v>
      </x:c>
      <x:c r="U321" s="118" t="n">
        <x:v>7</x:v>
      </x:c>
      <x:c r="V321" s="118" t="n">
        <x:v>0</x:v>
      </x:c>
      <x:c r="W321" s="118" t="n">
        <x:v>0</x:v>
      </x:c>
      <x:c r="X321" s="118" t="n">
        <x:v>0</x:v>
      </x:c>
      <x:c r="Y321" s="118" t="n">
        <x:v>3</x:v>
      </x:c>
      <x:c r="Z321" s="117" t="str">
        <x:v>N/A</x:v>
      </x:c>
      <x:c r="AA321" s="120" t="n">
        <x:v>46075.5258912037</x:v>
      </x:c>
      <x:c r="AB321" s="117" t="str">
        <x:v>Sacha Pearce</x:v>
      </x:c>
      <x:c r="AC321" s="119" t="str">
        <x:v>V12 - Includes the Intercompany Transaction = True and Variables for Asset creation.
V13 - Updating for all varFinalAsset Assignments
V14 - Reducing number of fields for Assignments
V25- Added formulaInternalSalesOpportunityRecordId
V15 - Amending Accounts to be based off "Transfer To" and "Ship To" fields</x:v>
      </x:c>
      <x:c r="AD321" s="119" t="str">
        <x:v>Touches many objects</x:v>
      </x:c>
    </x:row>
    <x:row r="322" ht="34" customHeight="1">
      <x:c r="A322" s="117" t="str">
        <x:v>300Ro00000Pz0kpIAB</x:v>
      </x:c>
      <x:c r="B322" s="117" t="str">
        <x:v>MRI_Checklist</x:v>
      </x:c>
      <x:c r="C322" s="117" t="str">
        <x:v>MRI Checklist</x:v>
      </x:c>
      <x:c r="D322" s="117" t="str">
        <x:v>Yes</x:v>
      </x:c>
      <x:c r="E322" s="118" t="n">
        <x:v>3</x:v>
      </x:c>
      <x:c r="F322" s="118" t="n">
        <x:v>5</x:v>
      </x:c>
      <x:c r="G322" s="117" t="str">
        <x:v>No</x:v>
      </x:c>
      <x:c r="H322" s="119" t="str">
        <x:v>Active v3 (Tooling metadata)</x:v>
      </x:c>
      <x:c r="I322" s="117" t="str">
        <x:v>FieldServiceMobile</x:v>
      </x:c>
      <x:c r="J322" s="117" t="str"/>
      <x:c r="K322" s="117" t="str">
        <x:v>No</x:v>
      </x:c>
      <x:c r="L322" s="117" t="str"/>
      <x:c r="M322" s="117" t="str"/>
      <x:c r="N322" s="117"/>
      <x:c r="O322" s="117"/>
      <x:c r="P322" s="117" t="str"/>
      <x:c r="Q322" s="117"/>
      <x:c r="R322" s="117" t="str">
        <x:v>unmanaged</x:v>
      </x:c>
      <x:c r="S322" s="118" t="n">
        <x:v>5</x:v>
      </x:c>
      <x:c r="T322" s="118" t="n">
        <x:v>16</x:v>
      </x:c>
      <x:c r="U322" s="118" t="n">
        <x:v>2</x:v>
      </x:c>
      <x:c r="V322" s="118" t="n">
        <x:v>0</x:v>
      </x:c>
      <x:c r="W322" s="118" t="n">
        <x:v>0</x:v>
      </x:c>
      <x:c r="X322" s="118" t="n">
        <x:v>0</x:v>
      </x:c>
      <x:c r="Y322" s="118" t="n">
        <x:v>2</x:v>
      </x:c>
      <x:c r="Z322" s="117" t="str">
        <x:v>N/A</x:v>
      </x:c>
      <x:c r="AA322" s="120" t="n">
        <x:v>45686.50171296296</x:v>
      </x:c>
      <x:c r="AB322" s="117" t="str">
        <x:v>Delegate</x:v>
      </x:c>
      <x:c r="AC322" s="119" t="str">
        <x:v>01/29/2025 (BW) - Updated required fields</x:v>
      </x:c>
      <x:c r="AD322" s="119" t="str">
        <x:v>Active version differs from latest</x:v>
      </x:c>
    </x:row>
    <x:row r="323" ht="34" customHeight="1">
      <x:c r="A323" s="117" t="str">
        <x:v>3005b000000LJX2AAO</x:v>
      </x:c>
      <x:c r="B323" s="117" t="str">
        <x:v>New_BIAN</x:v>
      </x:c>
      <x:c r="C323" s="117" t="str">
        <x:v>EU - Asset notification</x:v>
      </x:c>
      <x:c r="D323" s="117" t="str">
        <x:v>No</x:v>
      </x:c>
      <x:c r="E323" s="118"/>
      <x:c r="F323" s="118" t="n">
        <x:v>2</x:v>
      </x:c>
      <x:c r="G323" s="117" t="str">
        <x:v>N/A</x:v>
      </x:c>
      <x:c r="H323" s="119" t="str">
        <x:v>Latest inactive v2 (Retrieved XML)</x:v>
      </x:c>
      <x:c r="I323" s="117" t="str">
        <x:v>AutoLaunchedFlow</x:v>
      </x:c>
      <x:c r="J323" s="117" t="str">
        <x:v>ProductItem__c</x:v>
      </x:c>
      <x:c r="K323" s="117" t="str">
        <x:v>No</x:v>
      </x:c>
      <x:c r="L323" s="117" t="str">
        <x:v>Update</x:v>
      </x:c>
      <x:c r="M323" s="117" t="str">
        <x:v>RecordAfterSave</x:v>
      </x:c>
      <x:c r="N323" s="117"/>
      <x:c r="O323" s="117"/>
      <x:c r="P323" s="117" t="str"/>
      <x:c r="Q323" s="117" t="str">
        <x:v>58.0</x:v>
      </x:c>
      <x:c r="R323" s="117" t="str">
        <x:v>unmanaged</x:v>
      </x:c>
      <x:c r="S323" s="118" t="n">
        <x:v>2</x:v>
      </x:c>
      <x:c r="T323" s="118" t="n">
        <x:v>5</x:v>
      </x:c>
      <x:c r="U323" s="118" t="n">
        <x:v>1</x:v>
      </x:c>
      <x:c r="V323" s="118" t="n">
        <x:v>0</x:v>
      </x:c>
      <x:c r="W323" s="118" t="n">
        <x:v>2</x:v>
      </x:c>
      <x:c r="X323" s="118" t="n">
        <x:v>0</x:v>
      </x:c>
      <x:c r="Y323" s="118" t="n">
        <x:v>1</x:v>
      </x:c>
      <x:c r="Z323" s="117" t="str">
        <x:v>N/A</x:v>
      </x:c>
      <x:c r="AA323" s="120" t="n">
        <x:v>45159.511967592596</x:v>
      </x:c>
      <x:c r="AB323" s="117" t="str">
        <x:v>Jon Kean</x:v>
      </x:c>
      <x:c r="AC323" s="119" t="str"/>
      <x:c r="AD323" s="119" t="str"/>
    </x:row>
    <x:row r="324" ht="34" customHeight="1">
      <x:c r="A324" s="117" t="str">
        <x:v>3005b000000H3duAAC</x:v>
      </x:c>
      <x:c r="B324" s="117" t="str">
        <x:v>New_Child_Work_Order_from_Work_Order</x:v>
      </x:c>
      <x:c r="C324" s="117" t="str">
        <x:v>New Child Work Order from Work Order</x:v>
      </x:c>
      <x:c r="D324" s="117" t="str">
        <x:v>Yes</x:v>
      </x:c>
      <x:c r="E324" s="118" t="n">
        <x:v>7</x:v>
      </x:c>
      <x:c r="F324" s="118" t="n">
        <x:v>7</x:v>
      </x:c>
      <x:c r="G324" s="117" t="str">
        <x:v>Yes</x:v>
      </x:c>
      <x:c r="H324" s="119" t="str">
        <x:v>Active v7 (Retrieved XML)</x:v>
      </x:c>
      <x:c r="I324" s="117" t="str">
        <x:v>Flow</x:v>
      </x:c>
      <x:c r="J324" s="117" t="str"/>
      <x:c r="K324" s="117" t="str">
        <x:v>No</x:v>
      </x:c>
      <x:c r="L324" s="117" t="str"/>
      <x:c r="M324" s="117" t="str"/>
      <x:c r="N324" s="117"/>
      <x:c r="O324" s="117"/>
      <x:c r="P324" s="117" t="str"/>
      <x:c r="Q324" s="117" t="str">
        <x:v>54.0</x:v>
      </x:c>
      <x:c r="R324" s="117" t="str">
        <x:v>unmanaged</x:v>
      </x:c>
      <x:c r="S324" s="118" t="n">
        <x:v>7</x:v>
      </x:c>
      <x:c r="T324" s="118" t="n">
        <x:v>6</x:v>
      </x:c>
      <x:c r="U324" s="118" t="n">
        <x:v>2</x:v>
      </x:c>
      <x:c r="V324" s="118" t="n">
        <x:v>0</x:v>
      </x:c>
      <x:c r="W324" s="118" t="n">
        <x:v>0</x:v>
      </x:c>
      <x:c r="X324" s="118" t="n">
        <x:v>0</x:v>
      </x:c>
      <x:c r="Y324" s="118" t="n">
        <x:v>1</x:v>
      </x:c>
      <x:c r="Z324" s="117" t="str">
        <x:v>N/A</x:v>
      </x:c>
      <x:c r="AA324" s="120" t="n">
        <x:v>45336.53123842592</x:v>
      </x:c>
      <x:c r="AB324" s="117" t="str">
        <x:v>Jon Kean</x:v>
      </x:c>
      <x:c r="AC324" s="119" t="str"/>
      <x:c r="AD324" s="119" t="str">
        <x:v>Active flow has no description</x:v>
      </x:c>
    </x:row>
    <x:row r="325" ht="34" customHeight="1">
      <x:c r="A325" s="117" t="str">
        <x:v>3005b000000H3xpAAC</x:v>
      </x:c>
      <x:c r="B325" s="117" t="str">
        <x:v>New_Move_Location_Flow_TEST</x:v>
      </x:c>
      <x:c r="C325" s="117" t="str">
        <x:v>New Move Location Flow - TEST</x:v>
      </x:c>
      <x:c r="D325" s="117" t="str">
        <x:v>No</x:v>
      </x:c>
      <x:c r="E325" s="118"/>
      <x:c r="F325" s="118" t="n">
        <x:v>1</x:v>
      </x:c>
      <x:c r="G325" s="117" t="str">
        <x:v>N/A</x:v>
      </x:c>
      <x:c r="H325" s="119" t="str">
        <x:v>Latest inactive v1 (Retrieved XML)</x:v>
      </x:c>
      <x:c r="I325" s="117" t="str">
        <x:v>Flow</x:v>
      </x:c>
      <x:c r="J325" s="117" t="str"/>
      <x:c r="K325" s="117" t="str">
        <x:v>No</x:v>
      </x:c>
      <x:c r="L325" s="117" t="str"/>
      <x:c r="M325" s="117" t="str"/>
      <x:c r="N325" s="117"/>
      <x:c r="O325" s="117"/>
      <x:c r="P325" s="117" t="str"/>
      <x:c r="Q325" s="117" t="str">
        <x:v>55.0</x:v>
      </x:c>
      <x:c r="R325" s="117" t="str">
        <x:v>unmanaged</x:v>
      </x:c>
      <x:c r="S325" s="118" t="n">
        <x:v>1</x:v>
      </x:c>
      <x:c r="T325" s="118" t="n">
        <x:v>2</x:v>
      </x:c>
      <x:c r="U325" s="118" t="n">
        <x:v>0</x:v>
      </x:c>
      <x:c r="V325" s="118" t="n">
        <x:v>0</x:v>
      </x:c>
      <x:c r="W325" s="118" t="n">
        <x:v>0</x:v>
      </x:c>
      <x:c r="X325" s="118" t="n">
        <x:v>0</x:v>
      </x:c>
      <x:c r="Y325" s="118" t="n">
        <x:v>1</x:v>
      </x:c>
      <x:c r="Z325" s="117" t="str">
        <x:v>N/A</x:v>
      </x:c>
      <x:c r="AA325" s="120" t="n">
        <x:v>44739.548483796294</x:v>
      </x:c>
      <x:c r="AB325" s="117" t="str">
        <x:v>Jace Gentil</x:v>
      </x:c>
      <x:c r="AC325" s="119" t="str"/>
      <x:c r="AD325" s="119" t="str"/>
    </x:row>
    <x:row r="326" ht="34" customHeight="1">
      <x:c r="A326" s="117" t="str">
        <x:v>3005b000000H42QAAS</x:v>
      </x:c>
      <x:c r="B326" s="117" t="str">
        <x:v>New_Move_Location_Screen_Flow</x:v>
      </x:c>
      <x:c r="C326" s="117" t="str">
        <x:v>New Move Location Screen Flow</x:v>
      </x:c>
      <x:c r="D326" s="117" t="str">
        <x:v>Yes</x:v>
      </x:c>
      <x:c r="E326" s="118" t="n">
        <x:v>38</x:v>
      </x:c>
      <x:c r="F326" s="118" t="n">
        <x:v>38</x:v>
      </x:c>
      <x:c r="G326" s="117" t="str">
        <x:v>Yes</x:v>
      </x:c>
      <x:c r="H326" s="119" t="str">
        <x:v>Active v38 (Retrieved XML)</x:v>
      </x:c>
      <x:c r="I326" s="117" t="str">
        <x:v>Flow</x:v>
      </x:c>
      <x:c r="J326" s="117" t="str"/>
      <x:c r="K326" s="117" t="str">
        <x:v>No</x:v>
      </x:c>
      <x:c r="L326" s="117" t="str"/>
      <x:c r="M326" s="117" t="str"/>
      <x:c r="N326" s="117"/>
      <x:c r="O326" s="117"/>
      <x:c r="P326" s="117" t="str"/>
      <x:c r="Q326" s="117" t="str">
        <x:v>55.0</x:v>
      </x:c>
      <x:c r="R326" s="117" t="str">
        <x:v>unmanaged</x:v>
      </x:c>
      <x:c r="S326" s="118" t="n">
        <x:v>38</x:v>
      </x:c>
      <x:c r="T326" s="118" t="n">
        <x:v>16</x:v>
      </x:c>
      <x:c r="U326" s="118" t="n">
        <x:v>2</x:v>
      </x:c>
      <x:c r="V326" s="118" t="n">
        <x:v>0</x:v>
      </x:c>
      <x:c r="W326" s="118" t="n">
        <x:v>0</x:v>
      </x:c>
      <x:c r="X326" s="118" t="n">
        <x:v>2</x:v>
      </x:c>
      <x:c r="Y326" s="118" t="n">
        <x:v>2</x:v>
      </x:c>
      <x:c r="Z326" s="117" t="str">
        <x:v>N/A</x:v>
      </x:c>
      <x:c r="AA326" s="120" t="n">
        <x:v>46246.42511574074</x:v>
      </x:c>
      <x:c r="AB326" s="117" t="str">
        <x:v>Sacha Pearce</x:v>
      </x:c>
      <x:c r="AC326" s="119" t="str">
        <x:v>19/06/2026 - SP - Introducing New Locations for Tampa</x:v>
      </x:c>
      <x:c r="AD326" s="119" t="str"/>
    </x:row>
    <x:row r="327" ht="34" customHeight="1">
      <x:c r="A327" s="117" t="str">
        <x:v>3004O0000008mBQQAY</x:v>
      </x:c>
      <x:c r="B327" s="117" t="str">
        <x:v>New_Opportunity_for_Existing_Contact_Form_Submissions</x:v>
      </x:c>
      <x:c r="C327" s="117" t="str">
        <x:v>New Opportunity for Existing Contact Form Submissions</x:v>
      </x:c>
      <x:c r="D327" s="117" t="str">
        <x:v>No</x:v>
      </x:c>
      <x:c r="E327" s="118"/>
      <x:c r="F327" s="118" t="n">
        <x:v>7</x:v>
      </x:c>
      <x:c r="G327" s="117" t="str">
        <x:v>N/A</x:v>
      </x:c>
      <x:c r="H327" s="119" t="str">
        <x:v>Latest inactive v7 (Retrieved XML)</x:v>
      </x:c>
      <x:c r="I327" s="117" t="str">
        <x:v>Workflow</x:v>
      </x:c>
      <x:c r="J327" s="117" t="str"/>
      <x:c r="K327" s="117" t="str">
        <x:v>No</x:v>
      </x:c>
      <x:c r="L327" s="117" t="str"/>
      <x:c r="M327" s="117" t="str"/>
      <x:c r="N327" s="117"/>
      <x:c r="O327" s="117"/>
      <x:c r="P327" s="117" t="str"/>
      <x:c r="Q327" s="117" t="str">
        <x:v>49.0</x:v>
      </x:c>
      <x:c r="R327" s="117" t="str">
        <x:v>unmanaged</x:v>
      </x:c>
      <x:c r="S327" s="118" t="n">
        <x:v>7</x:v>
      </x:c>
      <x:c r="T327" s="118" t="n">
        <x:v>4</x:v>
      </x:c>
      <x:c r="U327" s="118" t="n">
        <x:v>2</x:v>
      </x:c>
      <x:c r="V327" s="118" t="n">
        <x:v>0</x:v>
      </x:c>
      <x:c r="W327" s="118" t="n">
        <x:v>1</x:v>
      </x:c>
      <x:c r="X327" s="118" t="n">
        <x:v>0</x:v>
      </x:c>
      <x:c r="Y327" s="118" t="n">
        <x:v>1</x:v>
      </x:c>
      <x:c r="Z327" s="117" t="str">
        <x:v>N/A</x:v>
      </x:c>
      <x:c r="AA327" s="120" t="n">
        <x:v>43997.631273148145</x:v>
      </x:c>
      <x:c r="AB327" s="117" t="str">
        <x:v>Trent VanEmon</x:v>
      </x:c>
      <x:c r="AC327" s="119" t="str">
        <x:v>When an existing contact submits a new form inquiry an opportunity is created</x:v>
      </x:c>
      <x:c r="AD327" s="119" t="str"/>
    </x:row>
    <x:row r="328" ht="34" customHeight="1">
      <x:c r="A328" s="117" t="str">
        <x:v>3005b000000H3eJAAS</x:v>
      </x:c>
      <x:c r="B328" s="117" t="str">
        <x:v>New_Parts_Opportunity_From_Work_Orker</x:v>
      </x:c>
      <x:c r="C328" s="117" t="str">
        <x:v>New Parts/Probe Opportunity From Work Order</x:v>
      </x:c>
      <x:c r="D328" s="117" t="str">
        <x:v>Yes</x:v>
      </x:c>
      <x:c r="E328" s="118" t="n">
        <x:v>62</x:v>
      </x:c>
      <x:c r="F328" s="118" t="n">
        <x:v>62</x:v>
      </x:c>
      <x:c r="G328" s="117" t="str">
        <x:v>Yes</x:v>
      </x:c>
      <x:c r="H328" s="119" t="str">
        <x:v>Active v62 (Retrieved XML)</x:v>
      </x:c>
      <x:c r="I328" s="117" t="str">
        <x:v>Flow</x:v>
      </x:c>
      <x:c r="J328" s="117" t="str"/>
      <x:c r="K328" s="117" t="str">
        <x:v>No</x:v>
      </x:c>
      <x:c r="L328" s="117" t="str"/>
      <x:c r="M328" s="117" t="str"/>
      <x:c r="N328" s="117" t="str">
        <x:v>SystemModeWithoutSharing</x:v>
      </x:c>
      <x:c r="O328" s="117"/>
      <x:c r="P328" s="117" t="str"/>
      <x:c r="Q328" s="117" t="str">
        <x:v>65.0</x:v>
      </x:c>
      <x:c r="R328" s="117" t="str">
        <x:v>unmanaged</x:v>
      </x:c>
      <x:c r="S328" s="118" t="n">
        <x:v>50</x:v>
      </x:c>
      <x:c r="T328" s="118" t="n">
        <x:v>42</x:v>
      </x:c>
      <x:c r="U328" s="118" t="n">
        <x:v>8</x:v>
      </x:c>
      <x:c r="V328" s="118" t="n">
        <x:v>0</x:v>
      </x:c>
      <x:c r="W328" s="118" t="n">
        <x:v>0</x:v>
      </x:c>
      <x:c r="X328" s="118" t="n">
        <x:v>2</x:v>
      </x:c>
      <x:c r="Y328" s="118" t="n">
        <x:v>4</x:v>
      </x:c>
      <x:c r="Z328" s="117" t="str">
        <x:v>N/A</x:v>
      </x:c>
      <x:c r="AA328" s="120" t="n">
        <x:v>46247.34751157407</x:v>
      </x:c>
      <x:c r="AB328" s="117" t="str">
        <x:v>Sacha Pearce</x:v>
      </x:c>
      <x:c r="AC328" s="119" t="str">
        <x:v>08/13/2026 - V62 - SP - Updating the Flow to run in system context to prevent errors from hierarchies.</x:v>
      </x:c>
      <x:c r="AD328" s="119" t="str">
        <x:v>High element count; Touches many objects</x:v>
      </x:c>
    </x:row>
    <x:row r="329" ht="34" customHeight="1">
      <x:c r="A329" s="117" t="str">
        <x:v>3004O0000008mADQAY</x:v>
      </x:c>
      <x:c r="B329" s="117" t="str">
        <x:v>Notify_existing_contact_owner_of_email_inquiry_submission</x:v>
      </x:c>
      <x:c r="C329" s="117" t="str">
        <x:v>Notify existing contact owner of email inquiry submission v 0.4</x:v>
      </x:c>
      <x:c r="D329" s="117" t="str">
        <x:v>No</x:v>
      </x:c>
      <x:c r="E329" s="118"/>
      <x:c r="F329" s="118" t="n">
        <x:v>8</x:v>
      </x:c>
      <x:c r="G329" s="117" t="str">
        <x:v>N/A</x:v>
      </x:c>
      <x:c r="H329" s="119" t="str">
        <x:v>Latest inactive v8 (Retrieved XML)</x:v>
      </x:c>
      <x:c r="I329" s="117" t="str">
        <x:v>Workflow</x:v>
      </x:c>
      <x:c r="J329" s="117" t="str"/>
      <x:c r="K329" s="117" t="str">
        <x:v>No</x:v>
      </x:c>
      <x:c r="L329" s="117" t="str"/>
      <x:c r="M329" s="117" t="str"/>
      <x:c r="N329" s="117"/>
      <x:c r="O329" s="117"/>
      <x:c r="P329" s="117" t="str"/>
      <x:c r="Q329" s="117" t="str">
        <x:v>49.0</x:v>
      </x:c>
      <x:c r="R329" s="117" t="str">
        <x:v>unmanaged</x:v>
      </x:c>
      <x:c r="S329" s="118" t="n">
        <x:v>8</x:v>
      </x:c>
      <x:c r="T329" s="118" t="n">
        <x:v>12</x:v>
      </x:c>
      <x:c r="U329" s="118" t="n">
        <x:v>1</x:v>
      </x:c>
      <x:c r="V329" s="118" t="n">
        <x:v>0</x:v>
      </x:c>
      <x:c r="W329" s="118" t="n">
        <x:v>2</x:v>
      </x:c>
      <x:c r="X329" s="118" t="n">
        <x:v>0</x:v>
      </x:c>
      <x:c r="Y329" s="118" t="n">
        <x:v>1</x:v>
      </x:c>
      <x:c r="Z329" s="117" t="str">
        <x:v>N/A</x:v>
      </x:c>
      <x:c r="AA329" s="120" t="n">
        <x:v>44124.79157407407</x:v>
      </x:c>
      <x:c r="AB329" s="117" t="str">
        <x:v>Trent VanEmon</x:v>
      </x:c>
      <x:c r="AC329" s="119" t="str">
        <x:v>Notify existing contact owner of email inquiry submission</x:v>
      </x:c>
      <x:c r="AD329" s="119" t="str"/>
    </x:row>
    <x:row r="330" ht="34" customHeight="1">
      <x:c r="A330" s="117" t="str">
        <x:v>3004O000000TiVcQAK</x:v>
      </x:c>
      <x:c r="B330" s="117" t="str">
        <x:v>Notify_When_Asset_Goes_from_Good_to_Bad</x:v>
      </x:c>
      <x:c r="C330" s="117" t="str">
        <x:v>Notify When Asset Goes from Good to Bad</x:v>
      </x:c>
      <x:c r="D330" s="117" t="str">
        <x:v>No</x:v>
      </x:c>
      <x:c r="E330" s="118"/>
      <x:c r="F330" s="118" t="n">
        <x:v>1</x:v>
      </x:c>
      <x:c r="G330" s="117" t="str">
        <x:v>N/A</x:v>
      </x:c>
      <x:c r="H330" s="119" t="str">
        <x:v>Latest inactive v1 (Retrieved XML)</x:v>
      </x:c>
      <x:c r="I330" s="117" t="str">
        <x:v>Workflow</x:v>
      </x:c>
      <x:c r="J330" s="117" t="str"/>
      <x:c r="K330" s="117" t="str">
        <x:v>No</x:v>
      </x:c>
      <x:c r="L330" s="117" t="str"/>
      <x:c r="M330" s="117" t="str"/>
      <x:c r="N330" s="117"/>
      <x:c r="O330" s="117"/>
      <x:c r="P330" s="117" t="str"/>
      <x:c r="Q330" s="117" t="str">
        <x:v>49.0</x:v>
      </x:c>
      <x:c r="R330" s="117" t="str">
        <x:v>unmanaged</x:v>
      </x:c>
      <x:c r="S330" s="118" t="n">
        <x:v>1</x:v>
      </x:c>
      <x:c r="T330" s="118" t="n">
        <x:v>2</x:v>
      </x:c>
      <x:c r="U330" s="118" t="n">
        <x:v>1</x:v>
      </x:c>
      <x:c r="V330" s="118" t="n">
        <x:v>0</x:v>
      </x:c>
      <x:c r="W330" s="118" t="n">
        <x:v>1</x:v>
      </x:c>
      <x:c r="X330" s="118" t="n">
        <x:v>0</x:v>
      </x:c>
      <x:c r="Y330" s="118" t="n">
        <x:v>1</x:v>
      </x:c>
      <x:c r="Z330" s="117" t="str">
        <x:v>N/A</x:v>
      </x:c>
      <x:c r="AA330" s="120" t="n">
        <x:v>44260.156018518515</x:v>
      </x:c>
      <x:c r="AB330" s="117" t="str">
        <x:v>Delegate</x:v>
      </x:c>
      <x:c r="AC330" s="119" t="str">
        <x:v>Sends Jace and Adam a notification for when an Purchased Asset goes from "Good" to "Bad" functionally</x:v>
      </x:c>
      <x:c r="AD330" s="119" t="str"/>
    </x:row>
    <x:row r="331" ht="34" customHeight="1">
      <x:c r="A331" s="117" t="str">
        <x:v>3004O000000TiW1QAK</x:v>
      </x:c>
      <x:c r="B331" s="117" t="str">
        <x:v>Notify_When_Opportunity_Ships_without_Being_Close_Won</x:v>
      </x:c>
      <x:c r="C331" s="117" t="str">
        <x:v>Notify When Opportunity Ships without Being Close Won</x:v>
      </x:c>
      <x:c r="D331" s="117" t="str">
        <x:v>No</x:v>
      </x:c>
      <x:c r="E331" s="118"/>
      <x:c r="F331" s="118" t="n">
        <x:v>14</x:v>
      </x:c>
      <x:c r="G331" s="117" t="str">
        <x:v>N/A</x:v>
      </x:c>
      <x:c r="H331" s="119" t="str">
        <x:v>Latest inactive v14 (Retrieved XML)</x:v>
      </x:c>
      <x:c r="I331" s="117" t="str">
        <x:v>Workflow</x:v>
      </x:c>
      <x:c r="J331" s="117" t="str"/>
      <x:c r="K331" s="117" t="str">
        <x:v>No</x:v>
      </x:c>
      <x:c r="L331" s="117" t="str"/>
      <x:c r="M331" s="117" t="str"/>
      <x:c r="N331" s="117"/>
      <x:c r="O331" s="117"/>
      <x:c r="P331" s="117" t="str"/>
      <x:c r="Q331" s="117" t="str">
        <x:v>49.0</x:v>
      </x:c>
      <x:c r="R331" s="117" t="str">
        <x:v>unmanaged</x:v>
      </x:c>
      <x:c r="S331" s="118" t="n">
        <x:v>14</x:v>
      </x:c>
      <x:c r="T331" s="118" t="n">
        <x:v>2</x:v>
      </x:c>
      <x:c r="U331" s="118" t="n">
        <x:v>1</x:v>
      </x:c>
      <x:c r="V331" s="118" t="n">
        <x:v>0</x:v>
      </x:c>
      <x:c r="W331" s="118" t="n">
        <x:v>1</x:v>
      </x:c>
      <x:c r="X331" s="118" t="n">
        <x:v>0</x:v>
      </x:c>
      <x:c r="Y331" s="118" t="n">
        <x:v>1</x:v>
      </x:c>
      <x:c r="Z331" s="117" t="str">
        <x:v>N/A</x:v>
      </x:c>
      <x:c r="AA331" s="120" t="n">
        <x:v>44228.73650462963</x:v>
      </x:c>
      <x:c r="AB331" s="117" t="str">
        <x:v>Delegate</x:v>
      </x:c>
      <x:c r="AC331" s="119" t="str">
        <x:v>Notifys Adam when an opportunity ships without being closed won</x:v>
      </x:c>
      <x:c r="AD331" s="119" t="str"/>
    </x:row>
    <x:row r="332" ht="34" customHeight="1">
      <x:c r="A332" s="117" t="str">
        <x:v>300Ro00000QYP8LIAX</x:v>
      </x:c>
      <x:c r="B332" s="117" t="str">
        <x:v>On_Asset_Creation_Set_Currency_to_Purchasing_Opportunity_Currency</x:v>
      </x:c>
      <x:c r="C332" s="117" t="str">
        <x:v>On Asset Creation | Set Currency to Purchasing Opportunity Currency</x:v>
      </x:c>
      <x:c r="D332" s="117" t="str">
        <x:v>Yes</x:v>
      </x:c>
      <x:c r="E332" s="118" t="n">
        <x:v>1</x:v>
      </x:c>
      <x:c r="F332" s="118" t="n">
        <x:v>1</x:v>
      </x:c>
      <x:c r="G332" s="117" t="str">
        <x:v>Yes</x:v>
      </x:c>
      <x:c r="H332" s="119" t="str">
        <x:v>Active v1 (Retrieved XML)</x:v>
      </x:c>
      <x:c r="I332" s="117" t="str">
        <x:v>AutoLaunchedFlow</x:v>
      </x:c>
      <x:c r="J332" s="117" t="str">
        <x:v>ProductItem__c</x:v>
      </x:c>
      <x:c r="K332" s="117" t="str">
        <x:v>Yes</x:v>
      </x:c>
      <x:c r="L332" s="117" t="str">
        <x:v>Create</x:v>
      </x:c>
      <x:c r="M332" s="117" t="str">
        <x:v>RecordBeforeSave</x:v>
      </x:c>
      <x:c r="N332" s="117"/>
      <x:c r="O332" s="117"/>
      <x:c r="P332" s="117" t="str"/>
      <x:c r="Q332" s="117" t="str">
        <x:v>62.0</x:v>
      </x:c>
      <x:c r="R332" s="117" t="str">
        <x:v>unmanaged</x:v>
      </x:c>
      <x:c r="S332" s="118" t="n">
        <x:v>1</x:v>
      </x:c>
      <x:c r="T332" s="118" t="n">
        <x:v>3</x:v>
      </x:c>
      <x:c r="U332" s="118" t="n">
        <x:v>2</x:v>
      </x:c>
      <x:c r="V332" s="118" t="n">
        <x:v>0</x:v>
      </x:c>
      <x:c r="W332" s="118" t="n">
        <x:v>0</x:v>
      </x:c>
      <x:c r="X332" s="118" t="n">
        <x:v>0</x:v>
      </x:c>
      <x:c r="Y332" s="118" t="n">
        <x:v>1</x:v>
      </x:c>
      <x:c r="Z332" s="117" t="str">
        <x:v>Isolated lane</x:v>
      </x:c>
      <x:c r="AA332" s="120" t="n">
        <x:v>45691.47954861111</x:v>
      </x:c>
      <x:c r="AB332" s="117" t="str">
        <x:v>Delegate</x:v>
      </x:c>
      <x:c r="AC332" s="119" t="str">
        <x:v>01/24/2025 (BW) - Sets the currency of the asset to the purchasing opportunity currency upon creation of the asset</x:v>
      </x:c>
      <x:c r="AD332" s="119" t="str"/>
    </x:row>
    <x:row r="333" ht="34" customHeight="1">
      <x:c r="A333" s="117" t="str">
        <x:v>300Ro00000nuqvmIAA</x:v>
      </x:c>
      <x:c r="B333" s="117" t="str">
        <x:v>On_Create_Asynchronous_Update_RMA_with_Related_Work_Order</x:v>
      </x:c>
      <x:c r="C333" s="117" t="str">
        <x:v>On Create: Asynchronous Update RMA with Related Work Order</x:v>
      </x:c>
      <x:c r="D333" s="117" t="str">
        <x:v>Yes</x:v>
      </x:c>
      <x:c r="E333" s="118" t="n">
        <x:v>2</x:v>
      </x:c>
      <x:c r="F333" s="118" t="n">
        <x:v>2</x:v>
      </x:c>
      <x:c r="G333" s="117" t="str">
        <x:v>Yes</x:v>
      </x:c>
      <x:c r="H333" s="119" t="str">
        <x:v>Active v2 (Retrieved XML)</x:v>
      </x:c>
      <x:c r="I333" s="117" t="str">
        <x:v>AutoLaunchedFlow</x:v>
      </x:c>
      <x:c r="J333" s="117" t="str">
        <x:v>RMA__c</x:v>
      </x:c>
      <x:c r="K333" s="117" t="str">
        <x:v>Yes</x:v>
      </x:c>
      <x:c r="L333" s="117" t="str">
        <x:v>Create</x:v>
      </x:c>
      <x:c r="M333" s="117" t="str">
        <x:v>RecordAfterSave</x:v>
      </x:c>
      <x:c r="N333" s="117"/>
      <x:c r="O333" s="117"/>
      <x:c r="P333" s="117" t="str"/>
      <x:c r="Q333" s="117" t="str">
        <x:v>65.0</x:v>
      </x:c>
      <x:c r="R333" s="117" t="str">
        <x:v>unmanaged</x:v>
      </x:c>
      <x:c r="S333" s="118" t="n">
        <x:v>2</x:v>
      </x:c>
      <x:c r="T333" s="118" t="n">
        <x:v>3</x:v>
      </x:c>
      <x:c r="U333" s="118" t="n">
        <x:v>1</x:v>
      </x:c>
      <x:c r="V333" s="118" t="n">
        <x:v>0</x:v>
      </x:c>
      <x:c r="W333" s="118" t="n">
        <x:v>0</x:v>
      </x:c>
      <x:c r="X333" s="118" t="n">
        <x:v>0</x:v>
      </x:c>
      <x:c r="Y333" s="118" t="n">
        <x:v>1</x:v>
      </x:c>
      <x:c r="Z333" s="117" t="str">
        <x:v>Review</x:v>
      </x:c>
      <x:c r="AA333" s="120" t="n">
        <x:v>46126.67375</x:v>
      </x:c>
      <x:c r="AB333" s="117" t="str">
        <x:v>Delegate</x:v>
      </x:c>
      <x:c r="AC333" s="119" t="str">
        <x:v>04/14/2026 (BW) - Ensuring this only runs if there is not currently a work order attached to this RMA</x:v>
      </x:c>
      <x:c r="AD333" s="119" t="str"/>
    </x:row>
    <x:row r="334" ht="34" customHeight="1">
      <x:c r="A334" s="117" t="str">
        <x:v>300Ro00000REVFjIAP</x:v>
      </x:c>
      <x:c r="B334" s="117" t="str">
        <x:v>On_Create_of_SRI_Check_if_SA_status_needs_to_be_updated</x:v>
      </x:c>
      <x:c r="C334" s="117" t="str">
        <x:v>On Create of SRI | Check if SA status needs to be updated</x:v>
      </x:c>
      <x:c r="D334" s="117" t="str">
        <x:v>Yes</x:v>
      </x:c>
      <x:c r="E334" s="118" t="n">
        <x:v>1</x:v>
      </x:c>
      <x:c r="F334" s="118" t="n">
        <x:v>1</x:v>
      </x:c>
      <x:c r="G334" s="117" t="str">
        <x:v>Yes</x:v>
      </x:c>
      <x:c r="H334" s="119" t="str">
        <x:v>Active v1 (Retrieved XML)</x:v>
      </x:c>
      <x:c r="I334" s="117" t="str">
        <x:v>AutoLaunchedFlow</x:v>
      </x:c>
      <x:c r="J334" s="117" t="str">
        <x:v>Sourcing_Request_Item__c</x:v>
      </x:c>
      <x:c r="K334" s="117" t="str">
        <x:v>Yes</x:v>
      </x:c>
      <x:c r="L334" s="117" t="str">
        <x:v>Create</x:v>
      </x:c>
      <x:c r="M334" s="117" t="str">
        <x:v>RecordAfterSave</x:v>
      </x:c>
      <x:c r="N334" s="117"/>
      <x:c r="O334" s="117"/>
      <x:c r="P334" s="117" t="str"/>
      <x:c r="Q334" s="117" t="str">
        <x:v>62.0</x:v>
      </x:c>
      <x:c r="R334" s="117" t="str">
        <x:v>unmanaged</x:v>
      </x:c>
      <x:c r="S334" s="118" t="n">
        <x:v>1</x:v>
      </x:c>
      <x:c r="T334" s="118" t="n">
        <x:v>7</x:v>
      </x:c>
      <x:c r="U334" s="118" t="n">
        <x:v>3</x:v>
      </x:c>
      <x:c r="V334" s="118" t="n">
        <x:v>0</x:v>
      </x:c>
      <x:c r="W334" s="118" t="n">
        <x:v>0</x:v>
      </x:c>
      <x:c r="X334" s="118" t="n">
        <x:v>0</x:v>
      </x:c>
      <x:c r="Y334" s="118" t="n">
        <x:v>2</x:v>
      </x:c>
      <x:c r="Z334" s="117" t="str">
        <x:v>Review</x:v>
      </x:c>
      <x:c r="AA334" s="120" t="n">
        <x:v>45702.6030787037</x:v>
      </x:c>
      <x:c r="AB334" s="117" t="str">
        <x:v>Delegate</x:v>
      </x:c>
      <x:c r="AC334" s="119" t="str">
        <x:v>02/14/2025 (BW) - Updating API Version</x:v>
      </x:c>
      <x:c r="AD334" s="119" t="str"/>
    </x:row>
    <x:row r="335" ht="34" customHeight="1">
      <x:c r="A335" s="117" t="str">
        <x:v>300Ro00000xL7RAIA0</x:v>
      </x:c>
      <x:c r="B335" s="117" t="str">
        <x:v>On_Create_Parts_Sales_Value_Rollup</x:v>
      </x:c>
      <x:c r="C335" s="117" t="str">
        <x:v>On Create | Parts Sales Value Rollup</x:v>
      </x:c>
      <x:c r="D335" s="117" t="str">
        <x:v>Yes</x:v>
      </x:c>
      <x:c r="E335" s="118" t="n">
        <x:v>3</x:v>
      </x:c>
      <x:c r="F335" s="118" t="n">
        <x:v>3</x:v>
      </x:c>
      <x:c r="G335" s="117" t="str">
        <x:v>Yes</x:v>
      </x:c>
      <x:c r="H335" s="119" t="str">
        <x:v>Active v3 (Retrieved XML)</x:v>
      </x:c>
      <x:c r="I335" s="117" t="str">
        <x:v>AutoLaunchedFlow</x:v>
      </x:c>
      <x:c r="J335" s="117" t="str">
        <x:v>WorkOrderLineItem</x:v>
      </x:c>
      <x:c r="K335" s="117" t="str">
        <x:v>Yes</x:v>
      </x:c>
      <x:c r="L335" s="117" t="str">
        <x:v>Create</x:v>
      </x:c>
      <x:c r="M335" s="117" t="str">
        <x:v>RecordAfterSave</x:v>
      </x:c>
      <x:c r="N335" s="117"/>
      <x:c r="O335" s="117"/>
      <x:c r="P335" s="117" t="str"/>
      <x:c r="Q335" s="117" t="str">
        <x:v>57.0</x:v>
      </x:c>
      <x:c r="R335" s="117" t="str">
        <x:v>unmanaged</x:v>
      </x:c>
      <x:c r="S335" s="118" t="n">
        <x:v>3</x:v>
      </x:c>
      <x:c r="T335" s="118" t="n">
        <x:v>4</x:v>
      </x:c>
      <x:c r="U335" s="118" t="n">
        <x:v>3</x:v>
      </x:c>
      <x:c r="V335" s="118" t="n">
        <x:v>0</x:v>
      </x:c>
      <x:c r="W335" s="118" t="n">
        <x:v>0</x:v>
      </x:c>
      <x:c r="X335" s="118" t="n">
        <x:v>0</x:v>
      </x:c>
      <x:c r="Y335" s="118" t="n">
        <x:v>2</x:v>
      </x:c>
      <x:c r="Z335" s="117" t="str">
        <x:v>Review</x:v>
      </x:c>
      <x:c r="AA335" s="120" t="n">
        <x:v>46163.85041666667</x:v>
      </x:c>
      <x:c r="AB335" s="117" t="str">
        <x:v>Delegate</x:v>
      </x:c>
      <x:c r="AC335" s="119" t="str">
        <x:v>05/21/2026 (BW) - Updating this flow to use the transform element for summing</x:v>
      </x:c>
      <x:c r="AD335" s="119" t="str"/>
    </x:row>
    <x:row r="336" ht="34" customHeight="1">
      <x:c r="A336" s="117" t="str">
        <x:v>300Ro00000ialvCIAQ</x:v>
      </x:c>
      <x:c r="B336" s="117" t="str">
        <x:v>On_Create_Update_Opp_Record_Type_Name_on_RMA_Asset</x:v>
      </x:c>
      <x:c r="C336" s="117" t="str">
        <x:v>On Create | Update Opp Record Type Name on RMA Asset</x:v>
      </x:c>
      <x:c r="D336" s="117" t="str">
        <x:v>No</x:v>
      </x:c>
      <x:c r="E336" s="118"/>
      <x:c r="F336" s="118" t="n">
        <x:v>1</x:v>
      </x:c>
      <x:c r="G336" s="117" t="str">
        <x:v>N/A</x:v>
      </x:c>
      <x:c r="H336" s="119" t="str">
        <x:v>Latest inactive v1 (Retrieved XML)</x:v>
      </x:c>
      <x:c r="I336" s="117" t="str">
        <x:v>AutoLaunchedFlow</x:v>
      </x:c>
      <x:c r="J336" s="117" t="str">
        <x:v>RMA__c</x:v>
      </x:c>
      <x:c r="K336" s="117" t="str">
        <x:v>No</x:v>
      </x:c>
      <x:c r="L336" s="117" t="str">
        <x:v>Create</x:v>
      </x:c>
      <x:c r="M336" s="117" t="str">
        <x:v>RecordAfterSave</x:v>
      </x:c>
      <x:c r="N336" s="117"/>
      <x:c r="O336" s="117"/>
      <x:c r="P336" s="117" t="str"/>
      <x:c r="Q336" s="117" t="str">
        <x:v>65.0</x:v>
      </x:c>
      <x:c r="R336" s="117" t="str">
        <x:v>unmanaged</x:v>
      </x:c>
      <x:c r="S336" s="118" t="n">
        <x:v>1</x:v>
      </x:c>
      <x:c r="T336" s="118" t="n">
        <x:v>3</x:v>
      </x:c>
      <x:c r="U336" s="118" t="n">
        <x:v>1</x:v>
      </x:c>
      <x:c r="V336" s="118" t="n">
        <x:v>0</x:v>
      </x:c>
      <x:c r="W336" s="118" t="n">
        <x:v>0</x:v>
      </x:c>
      <x:c r="X336" s="118" t="n">
        <x:v>0</x:v>
      </x:c>
      <x:c r="Y336" s="118" t="n">
        <x:v>1</x:v>
      </x:c>
      <x:c r="Z336" s="117" t="str">
        <x:v>N/A</x:v>
      </x:c>
      <x:c r="AA336" s="120" t="n">
        <x:v>45947.57685185185</x:v>
      </x:c>
      <x:c r="AB336" s="117" t="str">
        <x:v>Delegate</x:v>
      </x:c>
      <x:c r="AC336" s="119" t="str">
        <x:v>10/17/2025 (BW) - Updates the Opportunity Record Type Name on RMA Assets if needed</x:v>
      </x:c>
      <x:c r="AD336" s="119" t="str"/>
    </x:row>
    <x:row r="337" ht="34" customHeight="1">
      <x:c r="A337" s="117" t="str">
        <x:v>300Ro00000vmC7nIAE</x:v>
      </x:c>
      <x:c r="B337" s="117" t="str">
        <x:v>On_Creation_of_Loaner_Set_Shipping_Account_to_Bill_Customer_Fedex_System</x:v>
      </x:c>
      <x:c r="C337" s="117" t="str">
        <x:v>On Creation of Loaner: Set Shipping Account to Bill (Customer Fedex System)</x:v>
      </x:c>
      <x:c r="D337" s="117" t="str">
        <x:v>Yes</x:v>
      </x:c>
      <x:c r="E337" s="118" t="n">
        <x:v>1</x:v>
      </x:c>
      <x:c r="F337" s="118" t="n">
        <x:v>1</x:v>
      </x:c>
      <x:c r="G337" s="117" t="str">
        <x:v>Yes</x:v>
      </x:c>
      <x:c r="H337" s="119" t="str">
        <x:v>Active v1 (Retrieved XML)</x:v>
      </x:c>
      <x:c r="I337" s="117" t="str">
        <x:v>AutoLaunchedFlow</x:v>
      </x:c>
      <x:c r="J337" s="117" t="str">
        <x:v>Loaner__c</x:v>
      </x:c>
      <x:c r="K337" s="117" t="str">
        <x:v>Yes</x:v>
      </x:c>
      <x:c r="L337" s="117" t="str">
        <x:v>Create</x:v>
      </x:c>
      <x:c r="M337" s="117" t="str">
        <x:v>RecordAfterSave</x:v>
      </x:c>
      <x:c r="N337" s="117"/>
      <x:c r="O337" s="117"/>
      <x:c r="P337" s="117" t="str"/>
      <x:c r="Q337" s="117" t="str">
        <x:v>66.0</x:v>
      </x:c>
      <x:c r="R337" s="117" t="str">
        <x:v>unmanaged</x:v>
      </x:c>
      <x:c r="S337" s="118" t="n">
        <x:v>1</x:v>
      </x:c>
      <x:c r="T337" s="118" t="n">
        <x:v>3</x:v>
      </x:c>
      <x:c r="U337" s="118" t="n">
        <x:v>1</x:v>
      </x:c>
      <x:c r="V337" s="118" t="n">
        <x:v>0</x:v>
      </x:c>
      <x:c r="W337" s="118" t="n">
        <x:v>0</x:v>
      </x:c>
      <x:c r="X337" s="118" t="n">
        <x:v>0</x:v>
      </x:c>
      <x:c r="Y337" s="118" t="n">
        <x:v>1</x:v>
      </x:c>
      <x:c r="Z337" s="117" t="str">
        <x:v>Review</x:v>
      </x:c>
      <x:c r="AA337" s="120" t="n">
        <x:v>46134.51997685185</x:v>
      </x:c>
      <x:c r="AB337" s="117" t="str">
        <x:v>Delegate</x:v>
      </x:c>
      <x:c r="AC337" s="119" t="str">
        <x:v>04/22/2026 (BW) - This sets the Shipping Account to Bill from the account</x:v>
      </x:c>
      <x:c r="AD337" s="119" t="str"/>
    </x:row>
    <x:row r="338" ht="34" customHeight="1">
      <x:c r="A338" s="117" t="str">
        <x:v>300Ro00000vmJp8IAE</x:v>
      </x:c>
      <x:c r="B338" s="117" t="str">
        <x:v>On_Creation_of_Opportunity_Set_Shipping_Account_to_Bill_Customer_Fedex_System</x:v>
      </x:c>
      <x:c r="C338" s="117" t="str">
        <x:v>On Creation of Opportunity: Set Shipping Account to Bill (Customer Fedex System)</x:v>
      </x:c>
      <x:c r="D338" s="117" t="str">
        <x:v>Yes</x:v>
      </x:c>
      <x:c r="E338" s="118" t="n">
        <x:v>1</x:v>
      </x:c>
      <x:c r="F338" s="118" t="n">
        <x:v>1</x:v>
      </x:c>
      <x:c r="G338" s="117" t="str">
        <x:v>Yes</x:v>
      </x:c>
      <x:c r="H338" s="119" t="str">
        <x:v>Active v1 (Retrieved XML)</x:v>
      </x:c>
      <x:c r="I338" s="117" t="str">
        <x:v>AutoLaunchedFlow</x:v>
      </x:c>
      <x:c r="J338" s="117" t="str">
        <x:v>Opportunity</x:v>
      </x:c>
      <x:c r="K338" s="117" t="str">
        <x:v>Yes</x:v>
      </x:c>
      <x:c r="L338" s="117" t="str">
        <x:v>Create</x:v>
      </x:c>
      <x:c r="M338" s="117" t="str">
        <x:v>RecordAfterSave</x:v>
      </x:c>
      <x:c r="N338" s="117"/>
      <x:c r="O338" s="117"/>
      <x:c r="P338" s="117" t="str"/>
      <x:c r="Q338" s="117" t="str">
        <x:v>66.0</x:v>
      </x:c>
      <x:c r="R338" s="117" t="str">
        <x:v>unmanaged</x:v>
      </x:c>
      <x:c r="S338" s="118" t="n">
        <x:v>1</x:v>
      </x:c>
      <x:c r="T338" s="118" t="n">
        <x:v>3</x:v>
      </x:c>
      <x:c r="U338" s="118" t="n">
        <x:v>1</x:v>
      </x:c>
      <x:c r="V338" s="118" t="n">
        <x:v>0</x:v>
      </x:c>
      <x:c r="W338" s="118" t="n">
        <x:v>0</x:v>
      </x:c>
      <x:c r="X338" s="118" t="n">
        <x:v>0</x:v>
      </x:c>
      <x:c r="Y338" s="118" t="n">
        <x:v>1</x:v>
      </x:c>
      <x:c r="Z338" s="117" t="str">
        <x:v>Strong</x:v>
      </x:c>
      <x:c r="AA338" s="120" t="n">
        <x:v>46134.49701388889</x:v>
      </x:c>
      <x:c r="AB338" s="117" t="str">
        <x:v>Delegate</x:v>
      </x:c>
      <x:c r="AC338" s="119" t="str">
        <x:v>04/22/2026 (BW) - This sets the Shipping Account to Bill from the account</x:v>
      </x:c>
      <x:c r="AD338" s="119" t="str"/>
    </x:row>
    <x:row r="339" ht="34" customHeight="1">
      <x:c r="A339" s="117" t="str">
        <x:v>300Ro00000vmQvUIAU</x:v>
      </x:c>
      <x:c r="B339" s="117" t="str">
        <x:v>On_Creation_of_Service_Appointment_Set_Shipping_Account_to_Bill_Customer_Fedex_S</x:v>
      </x:c>
      <x:c r="C339" s="117" t="str">
        <x:v>On Creation of Service Appointment: Set Shipping Account to Bill (Customer Fedex System)</x:v>
      </x:c>
      <x:c r="D339" s="117" t="str">
        <x:v>Yes</x:v>
      </x:c>
      <x:c r="E339" s="118" t="n">
        <x:v>1</x:v>
      </x:c>
      <x:c r="F339" s="118" t="n">
        <x:v>1</x:v>
      </x:c>
      <x:c r="G339" s="117" t="str">
        <x:v>Yes</x:v>
      </x:c>
      <x:c r="H339" s="119" t="str">
        <x:v>Active v1 (Retrieved XML)</x:v>
      </x:c>
      <x:c r="I339" s="117" t="str">
        <x:v>AutoLaunchedFlow</x:v>
      </x:c>
      <x:c r="J339" s="117" t="str">
        <x:v>ServiceAppointment</x:v>
      </x:c>
      <x:c r="K339" s="117" t="str">
        <x:v>Yes</x:v>
      </x:c>
      <x:c r="L339" s="117" t="str">
        <x:v>Create</x:v>
      </x:c>
      <x:c r="M339" s="117" t="str">
        <x:v>RecordAfterSave</x:v>
      </x:c>
      <x:c r="N339" s="117"/>
      <x:c r="O339" s="117"/>
      <x:c r="P339" s="117" t="str"/>
      <x:c r="Q339" s="117" t="str">
        <x:v>66.0</x:v>
      </x:c>
      <x:c r="R339" s="117" t="str">
        <x:v>unmanaged</x:v>
      </x:c>
      <x:c r="S339" s="118" t="n">
        <x:v>1</x:v>
      </x:c>
      <x:c r="T339" s="118" t="n">
        <x:v>3</x:v>
      </x:c>
      <x:c r="U339" s="118" t="n">
        <x:v>1</x:v>
      </x:c>
      <x:c r="V339" s="118" t="n">
        <x:v>0</x:v>
      </x:c>
      <x:c r="W339" s="118" t="n">
        <x:v>0</x:v>
      </x:c>
      <x:c r="X339" s="118" t="n">
        <x:v>0</x:v>
      </x:c>
      <x:c r="Y339" s="118" t="n">
        <x:v>1</x:v>
      </x:c>
      <x:c r="Z339" s="117" t="str">
        <x:v>Strong</x:v>
      </x:c>
      <x:c r="AA339" s="120" t="n">
        <x:v>46134.52446759259</x:v>
      </x:c>
      <x:c r="AB339" s="117" t="str">
        <x:v>Delegate</x:v>
      </x:c>
      <x:c r="AC339" s="119" t="str">
        <x:v>04/22/2026 (BW) - This sets the Shipping Account to Bill from the account</x:v>
      </x:c>
      <x:c r="AD339" s="119" t="str"/>
    </x:row>
    <x:row r="340" ht="34" customHeight="1">
      <x:c r="A340" s="117" t="str">
        <x:v>300Ro00000vmUXdIAM</x:v>
      </x:c>
      <x:c r="B340" s="117" t="str">
        <x:v>On_Creation_of_Work_Order_Set_Shipping_Account_to_Bill_Customer_Fedex_System</x:v>
      </x:c>
      <x:c r="C340" s="117" t="str">
        <x:v>On Account Setting of Work Order: Set Shipping Account to Bill (Customer Fedex System)</x:v>
      </x:c>
      <x:c r="D340" s="117" t="str">
        <x:v>Yes</x:v>
      </x:c>
      <x:c r="E340" s="118" t="n">
        <x:v>1</x:v>
      </x:c>
      <x:c r="F340" s="118" t="n">
        <x:v>1</x:v>
      </x:c>
      <x:c r="G340" s="117" t="str">
        <x:v>Yes</x:v>
      </x:c>
      <x:c r="H340" s="119" t="str">
        <x:v>Active v1 (Retrieved XML)</x:v>
      </x:c>
      <x:c r="I340" s="117" t="str">
        <x:v>AutoLaunchedFlow</x:v>
      </x:c>
      <x:c r="J340" s="117" t="str">
        <x:v>WorkOrder</x:v>
      </x:c>
      <x:c r="K340" s="117" t="str">
        <x:v>Yes</x:v>
      </x:c>
      <x:c r="L340" s="117" t="str">
        <x:v>Update</x:v>
      </x:c>
      <x:c r="M340" s="117" t="str">
        <x:v>RecordAfterSave</x:v>
      </x:c>
      <x:c r="N340" s="117"/>
      <x:c r="O340" s="117"/>
      <x:c r="P340" s="117" t="str"/>
      <x:c r="Q340" s="117" t="str">
        <x:v>66.0</x:v>
      </x:c>
      <x:c r="R340" s="117" t="str">
        <x:v>unmanaged</x:v>
      </x:c>
      <x:c r="S340" s="118" t="n">
        <x:v>1</x:v>
      </x:c>
      <x:c r="T340" s="118" t="n">
        <x:v>3</x:v>
      </x:c>
      <x:c r="U340" s="118" t="n">
        <x:v>1</x:v>
      </x:c>
      <x:c r="V340" s="118" t="n">
        <x:v>0</x:v>
      </x:c>
      <x:c r="W340" s="118" t="n">
        <x:v>0</x:v>
      </x:c>
      <x:c r="X340" s="118" t="n">
        <x:v>0</x:v>
      </x:c>
      <x:c r="Y340" s="118" t="n">
        <x:v>1</x:v>
      </x:c>
      <x:c r="Z340" s="117" t="str">
        <x:v>Strong</x:v>
      </x:c>
      <x:c r="AA340" s="120" t="n">
        <x:v>46134.51604166667</x:v>
      </x:c>
      <x:c r="AB340" s="117" t="str">
        <x:v>Delegate</x:v>
      </x:c>
      <x:c r="AC340" s="119" t="str">
        <x:v>04/22/2026 (BW) - This sets the Shipping Account to Bill from the account</x:v>
      </x:c>
      <x:c r="AD340" s="119" t="str"/>
    </x:row>
    <x:row r="341" ht="34" customHeight="1">
      <x:c r="A341" s="117" t="str">
        <x:v>300Ro00000vmMtSIAU</x:v>
      </x:c>
      <x:c r="B341" s="117" t="str">
        <x:v>On_Creation_of_Work_Order_Set_Shipping_Account_to_Bill_Customer_Fedex_System_1</x:v>
      </x:c>
      <x:c r="C341" s="117" t="str">
        <x:v>On Creation of Work Order: Set Shipping Account to Bill (Customer Fedex System)</x:v>
      </x:c>
      <x:c r="D341" s="117" t="str">
        <x:v>Yes</x:v>
      </x:c>
      <x:c r="E341" s="118" t="n">
        <x:v>1</x:v>
      </x:c>
      <x:c r="F341" s="118" t="n">
        <x:v>1</x:v>
      </x:c>
      <x:c r="G341" s="117" t="str">
        <x:v>Yes</x:v>
      </x:c>
      <x:c r="H341" s="119" t="str">
        <x:v>Active v1 (Retrieved XML)</x:v>
      </x:c>
      <x:c r="I341" s="117" t="str">
        <x:v>AutoLaunchedFlow</x:v>
      </x:c>
      <x:c r="J341" s="117" t="str">
        <x:v>WorkOrder</x:v>
      </x:c>
      <x:c r="K341" s="117" t="str">
        <x:v>Yes</x:v>
      </x:c>
      <x:c r="L341" s="117" t="str">
        <x:v>Create</x:v>
      </x:c>
      <x:c r="M341" s="117" t="str">
        <x:v>RecordAfterSave</x:v>
      </x:c>
      <x:c r="N341" s="117"/>
      <x:c r="O341" s="117"/>
      <x:c r="P341" s="117" t="str"/>
      <x:c r="Q341" s="117" t="str">
        <x:v>66.0</x:v>
      </x:c>
      <x:c r="R341" s="117" t="str">
        <x:v>unmanaged</x:v>
      </x:c>
      <x:c r="S341" s="118" t="n">
        <x:v>1</x:v>
      </x:c>
      <x:c r="T341" s="118" t="n">
        <x:v>3</x:v>
      </x:c>
      <x:c r="U341" s="118" t="n">
        <x:v>1</x:v>
      </x:c>
      <x:c r="V341" s="118" t="n">
        <x:v>0</x:v>
      </x:c>
      <x:c r="W341" s="118" t="n">
        <x:v>0</x:v>
      </x:c>
      <x:c r="X341" s="118" t="n">
        <x:v>0</x:v>
      </x:c>
      <x:c r="Y341" s="118" t="n">
        <x:v>1</x:v>
      </x:c>
      <x:c r="Z341" s="117" t="str">
        <x:v>Strong</x:v>
      </x:c>
      <x:c r="AA341" s="120" t="n">
        <x:v>46134.516909722224</x:v>
      </x:c>
      <x:c r="AB341" s="117" t="str">
        <x:v>Delegate</x:v>
      </x:c>
      <x:c r="AC341" s="119" t="str">
        <x:v>04/22/2026 (BW) - This sets the Shipping Account to Bill from the account</x:v>
      </x:c>
      <x:c r="AD341" s="119" t="str"/>
    </x:row>
    <x:row r="342" ht="34" customHeight="1">
      <x:c r="A342" s="117" t="str">
        <x:v>300Ro00000QzDmKIAV</x:v>
      </x:c>
      <x:c r="B342" s="117" t="str">
        <x:v>On_Deletion_Remove_Service_Resource_on_SA</x:v>
      </x:c>
      <x:c r="C342" s="117" t="str">
        <x:v>On Deletion | Remove Service Resource on SAR</x:v>
      </x:c>
      <x:c r="D342" s="117" t="str">
        <x:v>No</x:v>
      </x:c>
      <x:c r="E342" s="118"/>
      <x:c r="F342" s="118" t="n">
        <x:v>3</x:v>
      </x:c>
      <x:c r="G342" s="117" t="str">
        <x:v>N/A</x:v>
      </x:c>
      <x:c r="H342" s="119" t="str">
        <x:v>Latest inactive v3 (Retrieved XML)</x:v>
      </x:c>
      <x:c r="I342" s="117" t="str">
        <x:v>AutoLaunchedFlow</x:v>
      </x:c>
      <x:c r="J342" s="117" t="str">
        <x:v>AssignedResource</x:v>
      </x:c>
      <x:c r="K342" s="117" t="str">
        <x:v>No</x:v>
      </x:c>
      <x:c r="L342" s="117" t="str">
        <x:v>Delete</x:v>
      </x:c>
      <x:c r="M342" s="117" t="str">
        <x:v>RecordBeforeDelete</x:v>
      </x:c>
      <x:c r="N342" s="117"/>
      <x:c r="O342" s="117"/>
      <x:c r="P342" s="117" t="str"/>
      <x:c r="Q342" s="117" t="str">
        <x:v>62.0</x:v>
      </x:c>
      <x:c r="R342" s="117" t="str">
        <x:v>unmanaged</x:v>
      </x:c>
      <x:c r="S342" s="118" t="n">
        <x:v>3</x:v>
      </x:c>
      <x:c r="T342" s="118" t="n">
        <x:v>3</x:v>
      </x:c>
      <x:c r="U342" s="118" t="n">
        <x:v>2</x:v>
      </x:c>
      <x:c r="V342" s="118" t="n">
        <x:v>0</x:v>
      </x:c>
      <x:c r="W342" s="118" t="n">
        <x:v>0</x:v>
      </x:c>
      <x:c r="X342" s="118" t="n">
        <x:v>0</x:v>
      </x:c>
      <x:c r="Y342" s="118" t="n">
        <x:v>1</x:v>
      </x:c>
      <x:c r="Z342" s="117" t="str">
        <x:v>N/A</x:v>
      </x:c>
      <x:c r="AA342" s="120" t="n">
        <x:v>45730.730625</x:v>
      </x:c>
      <x:c r="AB342" s="117" t="str">
        <x:v>Delegate</x:v>
      </x:c>
      <x:c r="AC342" s="119" t="str">
        <x:v>02/10/2025 (BW) - On deletion of an SAR, this flow removes the individual from being listed on the service appointment
03/11/2025 - Kyle / Delegate Updates for error handling</x:v>
      </x:c>
      <x:c r="AD342" s="119" t="str"/>
    </x:row>
    <x:row r="343" ht="34" customHeight="1">
      <x:c r="A343" s="117" t="str">
        <x:v>300Ro00000vL6mQIAS</x:v>
      </x:c>
      <x:c r="B343" s="117" t="str">
        <x:v>On_Entry_of_Confirmation_Number_Send_Prepay_Received_Email</x:v>
      </x:c>
      <x:c r="C343" s="117" t="str">
        <x:v>On Entry of Confirmation Number, Send Prepay Received Email</x:v>
      </x:c>
      <x:c r="D343" s="117" t="str">
        <x:v>Yes</x:v>
      </x:c>
      <x:c r="E343" s="118" t="n">
        <x:v>3</x:v>
      </x:c>
      <x:c r="F343" s="118" t="n">
        <x:v>3</x:v>
      </x:c>
      <x:c r="G343" s="117" t="str">
        <x:v>Yes</x:v>
      </x:c>
      <x:c r="H343" s="119" t="str">
        <x:v>Active v3 (Retrieved XML)</x:v>
      </x:c>
      <x:c r="I343" s="117" t="str">
        <x:v>AutoLaunchedFlow</x:v>
      </x:c>
      <x:c r="J343" s="117" t="str">
        <x:v>Opportunity</x:v>
      </x:c>
      <x:c r="K343" s="117" t="str">
        <x:v>Yes</x:v>
      </x:c>
      <x:c r="L343" s="117" t="str">
        <x:v>Update</x:v>
      </x:c>
      <x:c r="M343" s="117" t="str">
        <x:v>RecordAfterSave</x:v>
      </x:c>
      <x:c r="N343" s="117"/>
      <x:c r="O343" s="117"/>
      <x:c r="P343" s="117" t="str"/>
      <x:c r="Q343" s="117" t="str">
        <x:v>66.0</x:v>
      </x:c>
      <x:c r="R343" s="117" t="str">
        <x:v>unmanaged</x:v>
      </x:c>
      <x:c r="S343" s="118" t="n">
        <x:v>3</x:v>
      </x:c>
      <x:c r="T343" s="118" t="n">
        <x:v>4</x:v>
      </x:c>
      <x:c r="U343" s="118" t="n">
        <x:v>1</x:v>
      </x:c>
      <x:c r="V343" s="118" t="n">
        <x:v>0</x:v>
      </x:c>
      <x:c r="W343" s="118" t="n">
        <x:v>2</x:v>
      </x:c>
      <x:c r="X343" s="118" t="n">
        <x:v>0</x:v>
      </x:c>
      <x:c r="Y343" s="118" t="n">
        <x:v>1</x:v>
      </x:c>
      <x:c r="Z343" s="117" t="str">
        <x:v>Strong</x:v>
      </x:c>
      <x:c r="AA343" s="120" t="n">
        <x:v>46128.63916666667</x:v>
      </x:c>
      <x:c r="AB343" s="117" t="str">
        <x:v>Delegate</x:v>
      </x:c>
      <x:c r="AC343" s="119" t="str">
        <x:v>04/16/2026 (BW) - Updated the chatter message going to the engineers</x:v>
      </x:c>
      <x:c r="AD343" s="119" t="str"/>
    </x:row>
    <x:row r="344" ht="34" customHeight="1">
      <x:c r="A344" s="117" t="str">
        <x:v>300Ro00000vo1ZZIAY</x:v>
      </x:c>
      <x:c r="B344" s="117" t="str">
        <x:v>On_Make_Model_or_Serial_Number_Change_Update_the_Opportunity</x:v>
      </x:c>
      <x:c r="C344" s="117" t="str">
        <x:v>On Make/Model change Update the Opportunity</x:v>
      </x:c>
      <x:c r="D344" s="117" t="str">
        <x:v>Yes</x:v>
      </x:c>
      <x:c r="E344" s="118" t="n">
        <x:v>2</x:v>
      </x:c>
      <x:c r="F344" s="118" t="n">
        <x:v>2</x:v>
      </x:c>
      <x:c r="G344" s="117" t="str">
        <x:v>Yes</x:v>
      </x:c>
      <x:c r="H344" s="119" t="str">
        <x:v>Active v2 (Retrieved XML)</x:v>
      </x:c>
      <x:c r="I344" s="117" t="str">
        <x:v>AutoLaunchedFlow</x:v>
      </x:c>
      <x:c r="J344" s="117" t="str">
        <x:v>WorkOrder</x:v>
      </x:c>
      <x:c r="K344" s="117" t="str">
        <x:v>Yes</x:v>
      </x:c>
      <x:c r="L344" s="117" t="str">
        <x:v>Update</x:v>
      </x:c>
      <x:c r="M344" s="117" t="str">
        <x:v>RecordAfterSave</x:v>
      </x:c>
      <x:c r="N344" s="117"/>
      <x:c r="O344" s="117"/>
      <x:c r="P344" s="117" t="str"/>
      <x:c r="Q344" s="117" t="str">
        <x:v>65.0</x:v>
      </x:c>
      <x:c r="R344" s="117" t="str">
        <x:v>unmanaged</x:v>
      </x:c>
      <x:c r="S344" s="118" t="n">
        <x:v>2</x:v>
      </x:c>
      <x:c r="T344" s="118" t="n">
        <x:v>4</x:v>
      </x:c>
      <x:c r="U344" s="118" t="n">
        <x:v>2</x:v>
      </x:c>
      <x:c r="V344" s="118" t="n">
        <x:v>0</x:v>
      </x:c>
      <x:c r="W344" s="118" t="n">
        <x:v>0</x:v>
      </x:c>
      <x:c r="X344" s="118" t="n">
        <x:v>0</x:v>
      </x:c>
      <x:c r="Y344" s="118" t="n">
        <x:v>1</x:v>
      </x:c>
      <x:c r="Z344" s="117" t="str">
        <x:v>Strong</x:v>
      </x:c>
      <x:c r="AA344" s="120" t="n">
        <x:v>46134.697060185186</x:v>
      </x:c>
      <x:c r="AB344" s="117" t="str">
        <x:v>Delegate</x:v>
      </x:c>
      <x:c r="AC344" s="119" t="str">
        <x:v>04/22/2026 (BW) - On Changing of the Make/Model, update the Opportunity</x:v>
      </x:c>
      <x:c r="AD344" s="119" t="str"/>
    </x:row>
    <x:row r="345" ht="34" customHeight="1">
      <x:c r="A345" s="117" t="str">
        <x:v>300Ro00000t0d06IAA</x:v>
      </x:c>
      <x:c r="B345" s="117" t="str">
        <x:v>On_New_WOLI_Update_Type_if_Probe_Repair_Opp</x:v>
      </x:c>
      <x:c r="C345" s="117" t="str">
        <x:v>On New WOLI, Update Type if Probe Repair Opp</x:v>
      </x:c>
      <x:c r="D345" s="117" t="str">
        <x:v>Yes</x:v>
      </x:c>
      <x:c r="E345" s="118" t="n">
        <x:v>6</x:v>
      </x:c>
      <x:c r="F345" s="118" t="n">
        <x:v>6</x:v>
      </x:c>
      <x:c r="G345" s="117" t="str">
        <x:v>Yes</x:v>
      </x:c>
      <x:c r="H345" s="119" t="str">
        <x:v>Active v6 (Retrieved XML)</x:v>
      </x:c>
      <x:c r="I345" s="117" t="str">
        <x:v>AutoLaunchedFlow</x:v>
      </x:c>
      <x:c r="J345" s="117" t="str">
        <x:v>WorkOrderLineItem</x:v>
      </x:c>
      <x:c r="K345" s="117" t="str">
        <x:v>Yes</x:v>
      </x:c>
      <x:c r="L345" s="117" t="str">
        <x:v>Create</x:v>
      </x:c>
      <x:c r="M345" s="117" t="str">
        <x:v>RecordAfterSave</x:v>
      </x:c>
      <x:c r="N345" s="117"/>
      <x:c r="O345" s="117"/>
      <x:c r="P345" s="117" t="str"/>
      <x:c r="Q345" s="117" t="str">
        <x:v>64.0</x:v>
      </x:c>
      <x:c r="R345" s="117" t="str">
        <x:v>unmanaged</x:v>
      </x:c>
      <x:c r="S345" s="118" t="n">
        <x:v>6</x:v>
      </x:c>
      <x:c r="T345" s="118" t="n">
        <x:v>7</x:v>
      </x:c>
      <x:c r="U345" s="118" t="n">
        <x:v>3</x:v>
      </x:c>
      <x:c r="V345" s="118" t="n">
        <x:v>0</x:v>
      </x:c>
      <x:c r="W345" s="118" t="n">
        <x:v>0</x:v>
      </x:c>
      <x:c r="X345" s="118" t="n">
        <x:v>0</x:v>
      </x:c>
      <x:c r="Y345" s="118" t="n">
        <x:v>2</x:v>
      </x:c>
      <x:c r="Z345" s="117" t="str">
        <x:v>Review</x:v>
      </x:c>
      <x:c r="AA345" s="120" t="n">
        <x:v>46114.55091435185</x:v>
      </x:c>
      <x:c r="AB345" s="117" t="str">
        <x:v>Delegate</x:v>
      </x:c>
      <x:c r="AC345" s="119" t="str">
        <x:v>04/02/2026 (BW) - Having this ignore if the line is labor/travel/shipping</x:v>
      </x:c>
      <x:c r="AD345" s="119" t="str"/>
    </x:row>
    <x:row r="346" ht="34" customHeight="1">
      <x:c r="A346" s="117" t="str">
        <x:v>300Ro00000vvGyaIAE</x:v>
      </x:c>
      <x:c r="B346" s="117" t="str">
        <x:v>On_Opportunity_Product_Creation_Run_Avg_Inventory_Life_Rollup</x:v>
      </x:c>
      <x:c r="C346" s="117" t="str">
        <x:v>On Opportunity Product Creation, Run Avg Inventory Life Rollup</x:v>
      </x:c>
      <x:c r="D346" s="117" t="str">
        <x:v>No</x:v>
      </x:c>
      <x:c r="E346" s="118"/>
      <x:c r="F346" s="118" t="n">
        <x:v>1</x:v>
      </x:c>
      <x:c r="G346" s="117" t="str">
        <x:v>N/A</x:v>
      </x:c>
      <x:c r="H346" s="119" t="str">
        <x:v>Latest inactive v1 (Retrieved XML)</x:v>
      </x:c>
      <x:c r="I346" s="117" t="str">
        <x:v>AutoLaunchedFlow</x:v>
      </x:c>
      <x:c r="J346" s="117" t="str">
        <x:v>OpportunityLineItem</x:v>
      </x:c>
      <x:c r="K346" s="117" t="str">
        <x:v>No</x:v>
      </x:c>
      <x:c r="L346" s="117" t="str">
        <x:v>Create</x:v>
      </x:c>
      <x:c r="M346" s="117" t="str">
        <x:v>RecordAfterSave</x:v>
      </x:c>
      <x:c r="N346" s="117"/>
      <x:c r="O346" s="117"/>
      <x:c r="P346" s="117" t="str"/>
      <x:c r="Q346" s="117" t="str">
        <x:v>66.0</x:v>
      </x:c>
      <x:c r="R346" s="117" t="str">
        <x:v>unmanaged</x:v>
      </x:c>
      <x:c r="S346" s="118" t="n">
        <x:v>1</x:v>
      </x:c>
      <x:c r="T346" s="118" t="n">
        <x:v>2</x:v>
      </x:c>
      <x:c r="U346" s="118" t="n">
        <x:v>1</x:v>
      </x:c>
      <x:c r="V346" s="118" t="n">
        <x:v>0</x:v>
      </x:c>
      <x:c r="W346" s="118" t="n">
        <x:v>1</x:v>
      </x:c>
      <x:c r="X346" s="118" t="n">
        <x:v>0</x:v>
      </x:c>
      <x:c r="Y346" s="118" t="n">
        <x:v>1</x:v>
      </x:c>
      <x:c r="Z346" s="117" t="str">
        <x:v>N/A</x:v>
      </x:c>
      <x:c r="AA346" s="120" t="n">
        <x:v>46157.598969907405</x:v>
      </x:c>
      <x:c r="AB346" s="117" t="str">
        <x:v>Delegate</x:v>
      </x:c>
      <x:c r="AC346" s="119" t="str">
        <x:v>04/23/2026 (BW) - Runs the Avg Inventory Life Rollup</x:v>
      </x:c>
      <x:c r="AD346" s="119" t="str"/>
    </x:row>
    <x:row r="347" ht="34" customHeight="1">
      <x:c r="A347" s="117" t="str">
        <x:v>300Ro00000vEvAWIA0</x:v>
      </x:c>
      <x:c r="B347" s="117" t="str">
        <x:v>On_Payment_of_Invoice_Update_Opportunity_to_Invoice_Paid</x:v>
      </x:c>
      <x:c r="C347" s="117" t="str">
        <x:v>On Payment Applied to Invoice, Control Invoice Paid Date on Opporutnity</x:v>
      </x:c>
      <x:c r="D347" s="117" t="str">
        <x:v>Yes</x:v>
      </x:c>
      <x:c r="E347" s="118" t="n">
        <x:v>3</x:v>
      </x:c>
      <x:c r="F347" s="118" t="n">
        <x:v>3</x:v>
      </x:c>
      <x:c r="G347" s="117" t="str">
        <x:v>Yes</x:v>
      </x:c>
      <x:c r="H347" s="119" t="str">
        <x:v>Active v3 (Retrieved XML)</x:v>
      </x:c>
      <x:c r="I347" s="117" t="str">
        <x:v>AutoLaunchedFlow</x:v>
      </x:c>
      <x:c r="J347" s="117" t="str">
        <x:v>Invoice__c</x:v>
      </x:c>
      <x:c r="K347" s="117" t="str">
        <x:v>Yes</x:v>
      </x:c>
      <x:c r="L347" s="117" t="str">
        <x:v>Update</x:v>
      </x:c>
      <x:c r="M347" s="117" t="str">
        <x:v>RecordAfterSave</x:v>
      </x:c>
      <x:c r="N347" s="117"/>
      <x:c r="O347" s="117"/>
      <x:c r="P347" s="117" t="str"/>
      <x:c r="Q347" s="117" t="str">
        <x:v>66.0</x:v>
      </x:c>
      <x:c r="R347" s="117" t="str">
        <x:v>unmanaged</x:v>
      </x:c>
      <x:c r="S347" s="118" t="n">
        <x:v>3</x:v>
      </x:c>
      <x:c r="T347" s="118" t="n">
        <x:v>5</x:v>
      </x:c>
      <x:c r="U347" s="118" t="n">
        <x:v>1</x:v>
      </x:c>
      <x:c r="V347" s="118" t="n">
        <x:v>0</x:v>
      </x:c>
      <x:c r="W347" s="118" t="n">
        <x:v>0</x:v>
      </x:c>
      <x:c r="X347" s="118" t="n">
        <x:v>0</x:v>
      </x:c>
      <x:c r="Y347" s="118" t="n">
        <x:v>1</x:v>
      </x:c>
      <x:c r="Z347" s="117" t="str">
        <x:v>Isolated lane</x:v>
      </x:c>
      <x:c r="AA347" s="120" t="n">
        <x:v>46142.69972222222</x:v>
      </x:c>
      <x:c r="AB347" s="117" t="str">
        <x:v>Delegate</x:v>
      </x:c>
      <x:c r="AC347" s="119" t="str">
        <x:v>04/15/2026 (BW) - Adding functionality to remove the invoice paid date on the opportunity if the payment is rolled back</x:v>
      </x:c>
      <x:c r="AD347" s="119" t="str"/>
    </x:row>
    <x:row r="348" ht="34" customHeight="1">
      <x:c r="A348" s="117" t="str">
        <x:v>300Ro00000VTizyIAD</x:v>
      </x:c>
      <x:c r="B348" s="117" t="str">
        <x:v>On_SA_Cancellation_Close_all_Open_Sourcing_Requests</x:v>
      </x:c>
      <x:c r="C348" s="117" t="str">
        <x:v>On SA Cancellation: Close all Open Sourcing Requests</x:v>
      </x:c>
      <x:c r="D348" s="117" t="str">
        <x:v>Yes</x:v>
      </x:c>
      <x:c r="E348" s="118" t="n">
        <x:v>2</x:v>
      </x:c>
      <x:c r="F348" s="118" t="n">
        <x:v>2</x:v>
      </x:c>
      <x:c r="G348" s="117" t="str">
        <x:v>Yes</x:v>
      </x:c>
      <x:c r="H348" s="119" t="str">
        <x:v>Active v2 (Retrieved XML)</x:v>
      </x:c>
      <x:c r="I348" s="117" t="str">
        <x:v>AutoLaunchedFlow</x:v>
      </x:c>
      <x:c r="J348" s="117" t="str">
        <x:v>ServiceAppointment</x:v>
      </x:c>
      <x:c r="K348" s="117" t="str">
        <x:v>Yes</x:v>
      </x:c>
      <x:c r="L348" s="117" t="str">
        <x:v>Update</x:v>
      </x:c>
      <x:c r="M348" s="117" t="str">
        <x:v>RecordAfterSave</x:v>
      </x:c>
      <x:c r="N348" s="117"/>
      <x:c r="O348" s="117"/>
      <x:c r="P348" s="117" t="str"/>
      <x:c r="Q348" s="117" t="str">
        <x:v>63.0</x:v>
      </x:c>
      <x:c r="R348" s="117" t="str">
        <x:v>unmanaged</x:v>
      </x:c>
      <x:c r="S348" s="118" t="n">
        <x:v>2</x:v>
      </x:c>
      <x:c r="T348" s="118" t="n">
        <x:v>4</x:v>
      </x:c>
      <x:c r="U348" s="118" t="n">
        <x:v>2</x:v>
      </x:c>
      <x:c r="V348" s="118" t="n">
        <x:v>0</x:v>
      </x:c>
      <x:c r="W348" s="118" t="n">
        <x:v>1</x:v>
      </x:c>
      <x:c r="X348" s="118" t="n">
        <x:v>0</x:v>
      </x:c>
      <x:c r="Y348" s="118" t="n">
        <x:v>1</x:v>
      </x:c>
      <x:c r="Z348" s="117" t="str">
        <x:v>Strong</x:v>
      </x:c>
      <x:c r="AA348" s="120" t="n">
        <x:v>46150.417083333334</x:v>
      </x:c>
      <x:c r="AB348" s="117" t="str">
        <x:v>Sacha Pearce</x:v>
      </x:c>
      <x:c r="AC348" s="119" t="str">
        <x:v>08/05/2026 - SP - Removing my email from the Send Email element.</x:v>
      </x:c>
      <x:c r="AD348" s="119" t="str"/>
    </x:row>
    <x:row r="349" ht="34" customHeight="1">
      <x:c r="A349" s="117" t="str">
        <x:v>300Ro00000vo6MLIAY</x:v>
      </x:c>
      <x:c r="B349" s="117" t="str">
        <x:v>On_Serial_Number_Change_Update_the_Opportunity</x:v>
      </x:c>
      <x:c r="C349" s="117" t="str">
        <x:v>On Serial Number Change, Update the Opportunity</x:v>
      </x:c>
      <x:c r="D349" s="117" t="str">
        <x:v>Yes</x:v>
      </x:c>
      <x:c r="E349" s="118" t="n">
        <x:v>1</x:v>
      </x:c>
      <x:c r="F349" s="118" t="n">
        <x:v>1</x:v>
      </x:c>
      <x:c r="G349" s="117" t="str">
        <x:v>Yes</x:v>
      </x:c>
      <x:c r="H349" s="119" t="str">
        <x:v>Active v1 (Retrieved XML)</x:v>
      </x:c>
      <x:c r="I349" s="117" t="str">
        <x:v>AutoLaunchedFlow</x:v>
      </x:c>
      <x:c r="J349" s="117" t="str">
        <x:v>WorkOrder</x:v>
      </x:c>
      <x:c r="K349" s="117" t="str">
        <x:v>Yes</x:v>
      </x:c>
      <x:c r="L349" s="117" t="str">
        <x:v>Update</x:v>
      </x:c>
      <x:c r="M349" s="117" t="str">
        <x:v>RecordAfterSave</x:v>
      </x:c>
      <x:c r="N349" s="117"/>
      <x:c r="O349" s="117"/>
      <x:c r="P349" s="117" t="str"/>
      <x:c r="Q349" s="117" t="str">
        <x:v>65.0</x:v>
      </x:c>
      <x:c r="R349" s="117" t="str">
        <x:v>unmanaged</x:v>
      </x:c>
      <x:c r="S349" s="118" t="n">
        <x:v>1</x:v>
      </x:c>
      <x:c r="T349" s="118" t="n">
        <x:v>4</x:v>
      </x:c>
      <x:c r="U349" s="118" t="n">
        <x:v>2</x:v>
      </x:c>
      <x:c r="V349" s="118" t="n">
        <x:v>0</x:v>
      </x:c>
      <x:c r="W349" s="118" t="n">
        <x:v>0</x:v>
      </x:c>
      <x:c r="X349" s="118" t="n">
        <x:v>0</x:v>
      </x:c>
      <x:c r="Y349" s="118" t="n">
        <x:v>1</x:v>
      </x:c>
      <x:c r="Z349" s="117" t="str">
        <x:v>Strong</x:v>
      </x:c>
      <x:c r="AA349" s="120" t="n">
        <x:v>46134.69836805556</x:v>
      </x:c>
      <x:c r="AB349" s="117" t="str">
        <x:v>Delegate</x:v>
      </x:c>
      <x:c r="AC349" s="119" t="str">
        <x:v>04/22/2026 (BW) - On change of the System Serial Number, Update the Opportunity's System Serial Number</x:v>
      </x:c>
      <x:c r="AD349" s="119" t="str"/>
    </x:row>
    <x:row r="350" ht="34" customHeight="1">
      <x:c r="A350" s="117" t="str">
        <x:v>300Ro00000oFvSfIAK</x:v>
      </x:c>
      <x:c r="B350" s="117" t="str">
        <x:v>On_Service_Appointment_Enable_Zenkraft_Shipping_Label_Creation</x:v>
      </x:c>
      <x:c r="C350" s="117" t="str">
        <x:v>On Service Appointment | Enable Zenkraft Shipping Label Creation</x:v>
      </x:c>
      <x:c r="D350" s="117" t="str">
        <x:v>No</x:v>
      </x:c>
      <x:c r="E350" s="118"/>
      <x:c r="F350" s="118" t="n">
        <x:v>1</x:v>
      </x:c>
      <x:c r="G350" s="117" t="str">
        <x:v>N/A</x:v>
      </x:c>
      <x:c r="H350" s="119" t="str">
        <x:v>Latest inactive v1 (Retrieved XML)</x:v>
      </x:c>
      <x:c r="I350" s="117" t="str">
        <x:v>Flow</x:v>
      </x:c>
      <x:c r="J350" s="117" t="str"/>
      <x:c r="K350" s="117" t="str">
        <x:v>No</x:v>
      </x:c>
      <x:c r="L350" s="117" t="str"/>
      <x:c r="M350" s="117" t="str"/>
      <x:c r="N350" s="117"/>
      <x:c r="O350" s="117"/>
      <x:c r="P350" s="117" t="str"/>
      <x:c r="Q350" s="117" t="str">
        <x:v>65.0</x:v>
      </x:c>
      <x:c r="R350" s="117" t="str">
        <x:v>unmanaged</x:v>
      </x:c>
      <x:c r="S350" s="118" t="n">
        <x:v>1</x:v>
      </x:c>
      <x:c r="T350" s="118" t="n">
        <x:v>3</x:v>
      </x:c>
      <x:c r="U350" s="118" t="n">
        <x:v>2</x:v>
      </x:c>
      <x:c r="V350" s="118" t="n">
        <x:v>0</x:v>
      </x:c>
      <x:c r="W350" s="118" t="n">
        <x:v>0</x:v>
      </x:c>
      <x:c r="X350" s="118" t="n">
        <x:v>0</x:v>
      </x:c>
      <x:c r="Y350" s="118" t="n">
        <x:v>1</x:v>
      </x:c>
      <x:c r="Z350" s="117" t="str">
        <x:v>N/A</x:v>
      </x:c>
      <x:c r="AA350" s="120" t="n">
        <x:v>46036.568125</x:v>
      </x:c>
      <x:c r="AB350" s="117" t="str">
        <x:v>Delegate</x:v>
      </x:c>
      <x:c r="AC350" s="119" t="str">
        <x:v>01/14/2026 (BW) - Enables the creation of the Zenkraft Shipping Label on Service Appointments</x:v>
      </x:c>
      <x:c r="AD350" s="119" t="str"/>
    </x:row>
    <x:row r="351" ht="34" customHeight="1">
      <x:c r="A351" s="117" t="str">
        <x:v>300Ro00000REVFkIAP</x:v>
      </x:c>
      <x:c r="B351" s="117" t="str">
        <x:v>On_Setting_of_Price_Update_Service_Appointment_to_Pending_Customer_Authorization</x:v>
      </x:c>
      <x:c r="C351" s="117" t="str">
        <x:v>On Setting of Price | Update Service Appointment to "Pending Customer Authorization</x:v>
      </x:c>
      <x:c r="D351" s="117" t="str">
        <x:v>No</x:v>
      </x:c>
      <x:c r="E351" s="118"/>
      <x:c r="F351" s="118" t="n">
        <x:v>1</x:v>
      </x:c>
      <x:c r="G351" s="117" t="str">
        <x:v>N/A</x:v>
      </x:c>
      <x:c r="H351" s="119" t="str">
        <x:v>Latest inactive v1 (Retrieved XML)</x:v>
      </x:c>
      <x:c r="I351" s="117" t="str">
        <x:v>AutoLaunchedFlow</x:v>
      </x:c>
      <x:c r="J351" s="117" t="str">
        <x:v>Pricing_Request__c</x:v>
      </x:c>
      <x:c r="K351" s="117" t="str">
        <x:v>No</x:v>
      </x:c>
      <x:c r="L351" s="117" t="str">
        <x:v>Update</x:v>
      </x:c>
      <x:c r="M351" s="117" t="str">
        <x:v>RecordAfterSave</x:v>
      </x:c>
      <x:c r="N351" s="117"/>
      <x:c r="O351" s="117"/>
      <x:c r="P351" s="117" t="str"/>
      <x:c r="Q351" s="117" t="str">
        <x:v>62.0</x:v>
      </x:c>
      <x:c r="R351" s="117" t="str">
        <x:v>unmanaged</x:v>
      </x:c>
      <x:c r="S351" s="118" t="n">
        <x:v>1</x:v>
      </x:c>
      <x:c r="T351" s="118" t="n">
        <x:v>9</x:v>
      </x:c>
      <x:c r="U351" s="118" t="n">
        <x:v>2</x:v>
      </x:c>
      <x:c r="V351" s="118" t="n">
        <x:v>0</x:v>
      </x:c>
      <x:c r="W351" s="118" t="n">
        <x:v>0</x:v>
      </x:c>
      <x:c r="X351" s="118" t="n">
        <x:v>0</x:v>
      </x:c>
      <x:c r="Y351" s="118" t="n">
        <x:v>1</x:v>
      </x:c>
      <x:c r="Z351" s="117" t="str">
        <x:v>N/A</x:v>
      </x:c>
      <x:c r="AA351" s="120" t="n">
        <x:v>46058.35585648148</x:v>
      </x:c>
      <x:c r="AB351" s="117" t="str">
        <x:v>Sacha Pearce</x:v>
      </x:c>
      <x:c r="AC351" s="119" t="str">
        <x:v>02/14/2025 (BW) - Updating API Version</x:v>
      </x:c>
      <x:c r="AD351" s="119" t="str"/>
    </x:row>
    <x:row r="352" ht="34" customHeight="1">
      <x:c r="A352" s="117" t="str">
        <x:v>300Ro00000vm5FvIAI</x:v>
      </x:c>
      <x:c r="B352" s="117" t="str">
        <x:v>On_Setting_of_Repair_Opportunity_Set_Shipping_Account_to_Bill_Customer_Fedex_Sys</x:v>
      </x:c>
      <x:c r="C352" s="117" t="str">
        <x:v>On Setting of Repair Opportunity: Set Shipping Account to Bill (Customer Fedex System)</x:v>
      </x:c>
      <x:c r="D352" s="117" t="str">
        <x:v>Yes</x:v>
      </x:c>
      <x:c r="E352" s="118" t="n">
        <x:v>1</x:v>
      </x:c>
      <x:c r="F352" s="118" t="n">
        <x:v>1</x:v>
      </x:c>
      <x:c r="G352" s="117" t="str">
        <x:v>Yes</x:v>
      </x:c>
      <x:c r="H352" s="119" t="str">
        <x:v>Active v1 (Retrieved XML)</x:v>
      </x:c>
      <x:c r="I352" s="117" t="str">
        <x:v>AutoLaunchedFlow</x:v>
      </x:c>
      <x:c r="J352" s="117" t="str">
        <x:v>Loaner__c</x:v>
      </x:c>
      <x:c r="K352" s="117" t="str">
        <x:v>Yes</x:v>
      </x:c>
      <x:c r="L352" s="117" t="str">
        <x:v>Update</x:v>
      </x:c>
      <x:c r="M352" s="117" t="str">
        <x:v>RecordAfterSave</x:v>
      </x:c>
      <x:c r="N352" s="117"/>
      <x:c r="O352" s="117"/>
      <x:c r="P352" s="117" t="str"/>
      <x:c r="Q352" s="117" t="str">
        <x:v>66.0</x:v>
      </x:c>
      <x:c r="R352" s="117" t="str">
        <x:v>unmanaged</x:v>
      </x:c>
      <x:c r="S352" s="118" t="n">
        <x:v>1</x:v>
      </x:c>
      <x:c r="T352" s="118" t="n">
        <x:v>3</x:v>
      </x:c>
      <x:c r="U352" s="118" t="n">
        <x:v>1</x:v>
      </x:c>
      <x:c r="V352" s="118" t="n">
        <x:v>0</x:v>
      </x:c>
      <x:c r="W352" s="118" t="n">
        <x:v>0</x:v>
      </x:c>
      <x:c r="X352" s="118" t="n">
        <x:v>0</x:v>
      </x:c>
      <x:c r="Y352" s="118" t="n">
        <x:v>1</x:v>
      </x:c>
      <x:c r="Z352" s="117" t="str">
        <x:v>Isolated lane</x:v>
      </x:c>
      <x:c r="AA352" s="120" t="n">
        <x:v>46134.520578703705</x:v>
      </x:c>
      <x:c r="AB352" s="117" t="str">
        <x:v>Delegate</x:v>
      </x:c>
      <x:c r="AC352" s="119" t="str">
        <x:v>04/22/2026 (BW) - This sets the Shipping Account to Bill from the account</x:v>
      </x:c>
      <x:c r="AD352" s="119" t="str"/>
    </x:row>
    <x:row r="353" ht="34" customHeight="1">
      <x:c r="A353" s="117" t="str">
        <x:v>300Ro00000REVFlIAP</x:v>
      </x:c>
      <x:c r="B353" s="117" t="str">
        <x:v>On_Submit_to_Shipping_Update_SA_to_Ready_to_Book</x:v>
      </x:c>
      <x:c r="C353" s="117" t="str">
        <x:v>On Submit to Shipping | Update SA to "Ready to Book"</x:v>
      </x:c>
      <x:c r="D353" s="117" t="str">
        <x:v>Yes</x:v>
      </x:c>
      <x:c r="E353" s="118" t="n">
        <x:v>1</x:v>
      </x:c>
      <x:c r="F353" s="118" t="n">
        <x:v>1</x:v>
      </x:c>
      <x:c r="G353" s="117" t="str">
        <x:v>Yes</x:v>
      </x:c>
      <x:c r="H353" s="119" t="str">
        <x:v>Active v1 (Retrieved XML)</x:v>
      </x:c>
      <x:c r="I353" s="117" t="str">
        <x:v>AutoLaunchedFlow</x:v>
      </x:c>
      <x:c r="J353" s="117" t="str">
        <x:v>ServiceAppointment</x:v>
      </x:c>
      <x:c r="K353" s="117" t="str">
        <x:v>Yes</x:v>
      </x:c>
      <x:c r="L353" s="117" t="str">
        <x:v>Update</x:v>
      </x:c>
      <x:c r="M353" s="117" t="str">
        <x:v>RecordBeforeSave</x:v>
      </x:c>
      <x:c r="N353" s="117"/>
      <x:c r="O353" s="117"/>
      <x:c r="P353" s="117" t="str"/>
      <x:c r="Q353" s="117" t="str">
        <x:v>62.0</x:v>
      </x:c>
      <x:c r="R353" s="117" t="str">
        <x:v>unmanaged</x:v>
      </x:c>
      <x:c r="S353" s="118" t="n">
        <x:v>1</x:v>
      </x:c>
      <x:c r="T353" s="118" t="n">
        <x:v>2</x:v>
      </x:c>
      <x:c r="U353" s="118" t="n">
        <x:v>1</x:v>
      </x:c>
      <x:c r="V353" s="118" t="n">
        <x:v>0</x:v>
      </x:c>
      <x:c r="W353" s="118" t="n">
        <x:v>0</x:v>
      </x:c>
      <x:c r="X353" s="118" t="n">
        <x:v>0</x:v>
      </x:c>
      <x:c r="Y353" s="118" t="n">
        <x:v>1</x:v>
      </x:c>
      <x:c r="Z353" s="117" t="str">
        <x:v>Review</x:v>
      </x:c>
      <x:c r="AA353" s="120" t="n">
        <x:v>45702.60040509259</x:v>
      </x:c>
      <x:c r="AB353" s="117" t="str">
        <x:v>Delegate</x:v>
      </x:c>
      <x:c r="AC353" s="119" t="str">
        <x:v>02/14/2025 (BW) - Updating API Version</x:v>
      </x:c>
      <x:c r="AD353" s="119" t="str"/>
    </x:row>
    <x:row r="354" ht="34" customHeight="1">
      <x:c r="A354" s="117" t="str">
        <x:v>300Ro00000vx4WjIAI</x:v>
      </x:c>
      <x:c r="B354" s="117" t="str">
        <x:v>On_Update_Completed_Undo_Update_Needed_Checkbox_and_Reset_Status</x:v>
      </x:c>
      <x:c r="C354" s="117" t="str">
        <x:v>On Update Completed - Undo Update Completed Status and Reset Status</x:v>
      </x:c>
      <x:c r="D354" s="117" t="str">
        <x:v>Yes</x:v>
      </x:c>
      <x:c r="E354" s="118" t="n">
        <x:v>2</x:v>
      </x:c>
      <x:c r="F354" s="118" t="n">
        <x:v>2</x:v>
      </x:c>
      <x:c r="G354" s="117" t="str">
        <x:v>Yes</x:v>
      </x:c>
      <x:c r="H354" s="119" t="str">
        <x:v>Active v2 (Retrieved XML)</x:v>
      </x:c>
      <x:c r="I354" s="117" t="str">
        <x:v>AutoLaunchedFlow</x:v>
      </x:c>
      <x:c r="J354" s="117" t="str">
        <x:v>WorkOrder</x:v>
      </x:c>
      <x:c r="K354" s="117" t="str">
        <x:v>Yes</x:v>
      </x:c>
      <x:c r="L354" s="117" t="str">
        <x:v>Update</x:v>
      </x:c>
      <x:c r="M354" s="117" t="str">
        <x:v>RecordAfterSave</x:v>
      </x:c>
      <x:c r="N354" s="117"/>
      <x:c r="O354" s="117"/>
      <x:c r="P354" s="117" t="str"/>
      <x:c r="Q354" s="117" t="str">
        <x:v>66.0</x:v>
      </x:c>
      <x:c r="R354" s="117" t="str">
        <x:v>unmanaged</x:v>
      </x:c>
      <x:c r="S354" s="118" t="n">
        <x:v>2</x:v>
      </x:c>
      <x:c r="T354" s="118" t="n">
        <x:v>5</x:v>
      </x:c>
      <x:c r="U354" s="118" t="n">
        <x:v>2</x:v>
      </x:c>
      <x:c r="V354" s="118" t="n">
        <x:v>0</x:v>
      </x:c>
      <x:c r="W354" s="118" t="n">
        <x:v>0</x:v>
      </x:c>
      <x:c r="X354" s="118" t="n">
        <x:v>0</x:v>
      </x:c>
      <x:c r="Y354" s="118" t="n">
        <x:v>1</x:v>
      </x:c>
      <x:c r="Z354" s="117" t="str">
        <x:v>Strong</x:v>
      </x:c>
      <x:c r="AA354" s="120" t="n">
        <x:v>46163.705879629626</x:v>
      </x:c>
      <x:c r="AB354" s="117" t="str">
        <x:v>Delegate</x:v>
      </x:c>
      <x:c r="AC354" s="119" t="str">
        <x:v>04/24/2026 (BW) - updates the "Update Completed" checkbox to be un-checked and returns the status to it's previous value.
05/21/2026 (BW) - removed NewValue filter on WorkOrderHistory lookup (platform does not allow filtering on polymorphic NewValue); sorts by CreatedDate DESC instead to get the most recent Status history entry.</x:v>
      </x:c>
      <x:c r="AD354" s="119" t="str"/>
    </x:row>
    <x:row r="355" ht="34" customHeight="1">
      <x:c r="A355" s="117" t="str">
        <x:v>300Ro00000cnT4eIAE</x:v>
      </x:c>
      <x:c r="B355" s="117" t="str">
        <x:v>On_Update_Line_Item_Swap_on_Opp_Updates_Information_on_the_WOLI</x:v>
      </x:c>
      <x:c r="C355" s="117" t="str">
        <x:v>On Update | Line Item Swap on Opp Updates Information on the WOLI</x:v>
      </x:c>
      <x:c r="D355" s="117" t="str">
        <x:v>No</x:v>
      </x:c>
      <x:c r="E355" s="118"/>
      <x:c r="F355" s="118" t="n">
        <x:v>6</x:v>
      </x:c>
      <x:c r="G355" s="117" t="str">
        <x:v>N/A</x:v>
      </x:c>
      <x:c r="H355" s="119" t="str">
        <x:v>Latest inactive v6 (Retrieved XML)</x:v>
      </x:c>
      <x:c r="I355" s="117" t="str">
        <x:v>AutoLaunchedFlow</x:v>
      </x:c>
      <x:c r="J355" s="117" t="str">
        <x:v>WorkOrderLineItem</x:v>
      </x:c>
      <x:c r="K355" s="117" t="str">
        <x:v>No</x:v>
      </x:c>
      <x:c r="L355" s="117" t="str">
        <x:v>Create</x:v>
      </x:c>
      <x:c r="M355" s="117" t="str">
        <x:v>RecordAfterSave</x:v>
      </x:c>
      <x:c r="N355" s="117"/>
      <x:c r="O355" s="117"/>
      <x:c r="P355" s="117" t="str"/>
      <x:c r="Q355" s="117" t="str">
        <x:v>64.0</x:v>
      </x:c>
      <x:c r="R355" s="117" t="str">
        <x:v>unmanaged</x:v>
      </x:c>
      <x:c r="S355" s="118" t="n">
        <x:v>6</x:v>
      </x:c>
      <x:c r="T355" s="118" t="n">
        <x:v>5</x:v>
      </x:c>
      <x:c r="U355" s="118" t="n">
        <x:v>3</x:v>
      </x:c>
      <x:c r="V355" s="118" t="n">
        <x:v>0</x:v>
      </x:c>
      <x:c r="W355" s="118" t="n">
        <x:v>1</x:v>
      </x:c>
      <x:c r="X355" s="118" t="n">
        <x:v>0</x:v>
      </x:c>
      <x:c r="Y355" s="118" t="n">
        <x:v>2</x:v>
      </x:c>
      <x:c r="Z355" s="117" t="str">
        <x:v>N/A</x:v>
      </x:c>
      <x:c r="AA355" s="120" t="n">
        <x:v>46098.58390046296</x:v>
      </x:c>
      <x:c r="AB355" s="117" t="str">
        <x:v>Delegate</x:v>
      </x:c>
      <x:c r="AC355" s="119" t="str">
        <x:v>02/26/2026 (BW) - Updated the behavior so that line intent is pulled appropriately</x:v>
      </x:c>
      <x:c r="AD355" s="119" t="str"/>
    </x:row>
    <x:row r="356" ht="34" customHeight="1">
      <x:c r="A356" s="117" t="str">
        <x:v>300Ro00000oEe0pIAC</x:v>
      </x:c>
      <x:c r="B356" s="117" t="str">
        <x:v>On_Update_of_Address_Update_Opportunity_Shipping_if_Needed</x:v>
      </x:c>
      <x:c r="C356" s="117" t="str">
        <x:v>On Update of Address | Update Opportunity Shipping if Needed</x:v>
      </x:c>
      <x:c r="D356" s="117" t="str">
        <x:v>Yes</x:v>
      </x:c>
      <x:c r="E356" s="118" t="n">
        <x:v>19</x:v>
      </x:c>
      <x:c r="F356" s="118" t="n">
        <x:v>19</x:v>
      </x:c>
      <x:c r="G356" s="117" t="str">
        <x:v>Yes</x:v>
      </x:c>
      <x:c r="H356" s="119" t="str">
        <x:v>Active v19 (Retrieved XML)</x:v>
      </x:c>
      <x:c r="I356" s="117" t="str">
        <x:v>AutoLaunchedFlow</x:v>
      </x:c>
      <x:c r="J356" s="117" t="str">
        <x:v>WorkOrder</x:v>
      </x:c>
      <x:c r="K356" s="117" t="str">
        <x:v>Yes</x:v>
      </x:c>
      <x:c r="L356" s="117" t="str">
        <x:v>Update</x:v>
      </x:c>
      <x:c r="M356" s="117" t="str">
        <x:v>RecordAfterSave</x:v>
      </x:c>
      <x:c r="N356" s="117"/>
      <x:c r="O356" s="117"/>
      <x:c r="P356" s="117" t="str"/>
      <x:c r="Q356" s="117" t="str">
        <x:v>65.0</x:v>
      </x:c>
      <x:c r="R356" s="117" t="str">
        <x:v>unmanaged</x:v>
      </x:c>
      <x:c r="S356" s="118" t="n">
        <x:v>19</x:v>
      </x:c>
      <x:c r="T356" s="118" t="n">
        <x:v>7</x:v>
      </x:c>
      <x:c r="U356" s="118" t="n">
        <x:v>2</x:v>
      </x:c>
      <x:c r="V356" s="118" t="n">
        <x:v>0</x:v>
      </x:c>
      <x:c r="W356" s="118" t="n">
        <x:v>0</x:v>
      </x:c>
      <x:c r="X356" s="118" t="n">
        <x:v>0</x:v>
      </x:c>
      <x:c r="Y356" s="118" t="n">
        <x:v>1</x:v>
      </x:c>
      <x:c r="Z356" s="117" t="str">
        <x:v>Strong</x:v>
      </x:c>
      <x:c r="AA356" s="120" t="n">
        <x:v>46169.62364583334</x:v>
      </x:c>
      <x:c r="AB356" s="117" t="str">
        <x:v>Delegate</x:v>
      </x:c>
      <x:c r="AC356" s="119" t="str">
        <x:v>05/27/2026 (BW) - Updating so that the flow doesn't error our by moving the initial update of the work order to a separate asynchronous flow.</x:v>
      </x:c>
      <x:c r="AD356" s="119" t="str"/>
    </x:row>
    <x:row r="357" ht="34" customHeight="1">
      <x:c r="A357" s="117" t="str">
        <x:v>300Ro00000cnT4gIAE</x:v>
      </x:c>
      <x:c r="B357" s="117" t="str">
        <x:v>On_Update_of_Shipping_Location_on_Work_Order_Update_Location_on_Open_Service_App</x:v>
      </x:c>
      <x:c r="C357" s="117" t="str">
        <x:v>On Update of Shipping Location on Work Order | Update Location on Open Service Appointments</x:v>
      </x:c>
      <x:c r="D357" s="117" t="str">
        <x:v>Yes</x:v>
      </x:c>
      <x:c r="E357" s="118" t="n">
        <x:v>7</x:v>
      </x:c>
      <x:c r="F357" s="118" t="n">
        <x:v>7</x:v>
      </x:c>
      <x:c r="G357" s="117" t="str">
        <x:v>Yes</x:v>
      </x:c>
      <x:c r="H357" s="119" t="str">
        <x:v>Active v7 (Retrieved XML)</x:v>
      </x:c>
      <x:c r="I357" s="117" t="str">
        <x:v>AutoLaunchedFlow</x:v>
      </x:c>
      <x:c r="J357" s="117" t="str">
        <x:v>WorkOrder</x:v>
      </x:c>
      <x:c r="K357" s="117" t="str">
        <x:v>Yes</x:v>
      </x:c>
      <x:c r="L357" s="117" t="str">
        <x:v>Update</x:v>
      </x:c>
      <x:c r="M357" s="117" t="str">
        <x:v>RecordAfterSave</x:v>
      </x:c>
      <x:c r="N357" s="117"/>
      <x:c r="O357" s="117"/>
      <x:c r="P357" s="117" t="str"/>
      <x:c r="Q357" s="117" t="str">
        <x:v>64.0</x:v>
      </x:c>
      <x:c r="R357" s="117" t="str">
        <x:v>unmanaged</x:v>
      </x:c>
      <x:c r="S357" s="118" t="n">
        <x:v>7</x:v>
      </x:c>
      <x:c r="T357" s="118" t="n">
        <x:v>3</x:v>
      </x:c>
      <x:c r="U357" s="118" t="n">
        <x:v>1</x:v>
      </x:c>
      <x:c r="V357" s="118" t="n">
        <x:v>0</x:v>
      </x:c>
      <x:c r="W357" s="118" t="n">
        <x:v>0</x:v>
      </x:c>
      <x:c r="X357" s="118" t="n">
        <x:v>0</x:v>
      </x:c>
      <x:c r="Y357" s="118" t="n">
        <x:v>1</x:v>
      </x:c>
      <x:c r="Z357" s="117" t="str">
        <x:v>Strong</x:v>
      </x:c>
      <x:c r="AA357" s="120" t="n">
        <x:v>46015.56263888889</x:v>
      </x:c>
      <x:c r="AB357" s="117" t="str">
        <x:v>Delegate</x:v>
      </x:c>
      <x:c r="AC357" s="119" t="str">
        <x:v>12/24/2025 (BW) - Updated this version so it sets the shipping address appropriately (Zip code needs to be updated)</x:v>
      </x:c>
      <x:c r="AD357" s="119" t="str"/>
    </x:row>
    <x:row r="358" ht="34" customHeight="1">
      <x:c r="A358" s="117" t="str">
        <x:v>300Ro00000cnT4fIAE</x:v>
      </x:c>
      <x:c r="B358" s="117" t="str">
        <x:v>On_Update_Update_Checkbox_on_WOLI</x:v>
      </x:c>
      <x:c r="C358" s="117" t="str">
        <x:v>On Update | Update Checkbox on WOLI</x:v>
      </x:c>
      <x:c r="D358" s="117" t="str">
        <x:v>No</x:v>
      </x:c>
      <x:c r="E358" s="118"/>
      <x:c r="F358" s="118" t="n">
        <x:v>1</x:v>
      </x:c>
      <x:c r="G358" s="117" t="str">
        <x:v>N/A</x:v>
      </x:c>
      <x:c r="H358" s="119" t="str">
        <x:v>Latest inactive v1 (Retrieved XML)</x:v>
      </x:c>
      <x:c r="I358" s="117" t="str">
        <x:v>AutoLaunchedFlow</x:v>
      </x:c>
      <x:c r="J358" s="117" t="str">
        <x:v>OpportunityLineItem</x:v>
      </x:c>
      <x:c r="K358" s="117" t="str">
        <x:v>No</x:v>
      </x:c>
      <x:c r="L358" s="117" t="str">
        <x:v>Update</x:v>
      </x:c>
      <x:c r="M358" s="117" t="str">
        <x:v>RecordAfterSave</x:v>
      </x:c>
      <x:c r="N358" s="117"/>
      <x:c r="O358" s="117"/>
      <x:c r="P358" s="117" t="str"/>
      <x:c r="Q358" s="117" t="str">
        <x:v>64.0</x:v>
      </x:c>
      <x:c r="R358" s="117" t="str">
        <x:v>unmanaged</x:v>
      </x:c>
      <x:c r="S358" s="118" t="n">
        <x:v>1</x:v>
      </x:c>
      <x:c r="T358" s="118" t="n">
        <x:v>3</x:v>
      </x:c>
      <x:c r="U358" s="118" t="n">
        <x:v>3</x:v>
      </x:c>
      <x:c r="V358" s="118" t="n">
        <x:v>0</x:v>
      </x:c>
      <x:c r="W358" s="118" t="n">
        <x:v>0</x:v>
      </x:c>
      <x:c r="X358" s="118" t="n">
        <x:v>0</x:v>
      </x:c>
      <x:c r="Y358" s="118" t="n">
        <x:v>2</x:v>
      </x:c>
      <x:c r="Z358" s="117" t="str">
        <x:v>N/A</x:v>
      </x:c>
      <x:c r="AA358" s="120" t="n">
        <x:v>46051.63494212963</x:v>
      </x:c>
      <x:c r="AB358" s="117" t="str">
        <x:v>Delegate</x:v>
      </x:c>
      <x:c r="AC358" s="119" t="str">
        <x:v>07/21/2025 (BW) - Updating this flow so that it swaps the product on the work order line item when swapped on the product</x:v>
      </x:c>
      <x:c r="AD358" s="119" t="str"/>
    </x:row>
    <x:row r="359" ht="34" customHeight="1">
      <x:c r="A359" s="117" t="str">
        <x:v>300Ro00000cnT4dIAE</x:v>
      </x:c>
      <x:c r="B359" s="117" t="str">
        <x:v>On_US_FSL_Lead_Conversion_Bring_Work_Order_Over_to_Contact_Account_Opportunity</x:v>
      </x:c>
      <x:c r="C359" s="117" t="str">
        <x:v>On Opportunity Creation, Grab Work Order Line Items</x:v>
      </x:c>
      <x:c r="D359" s="117" t="str">
        <x:v>Yes</x:v>
      </x:c>
      <x:c r="E359" s="118" t="n">
        <x:v>22</x:v>
      </x:c>
      <x:c r="F359" s="118" t="n">
        <x:v>22</x:v>
      </x:c>
      <x:c r="G359" s="117" t="str">
        <x:v>Yes</x:v>
      </x:c>
      <x:c r="H359" s="119" t="str">
        <x:v>Active v22 (Retrieved XML)</x:v>
      </x:c>
      <x:c r="I359" s="117" t="str">
        <x:v>AutoLaunchedFlow</x:v>
      </x:c>
      <x:c r="J359" s="117" t="str">
        <x:v>Opportunity</x:v>
      </x:c>
      <x:c r="K359" s="117" t="str">
        <x:v>Yes</x:v>
      </x:c>
      <x:c r="L359" s="117" t="str">
        <x:v>Create</x:v>
      </x:c>
      <x:c r="M359" s="117" t="str">
        <x:v>RecordAfterSave</x:v>
      </x:c>
      <x:c r="N359" s="117"/>
      <x:c r="O359" s="117"/>
      <x:c r="P359" s="117" t="str"/>
      <x:c r="Q359" s="117" t="str">
        <x:v>64.0</x:v>
      </x:c>
      <x:c r="R359" s="117" t="str">
        <x:v>unmanaged</x:v>
      </x:c>
      <x:c r="S359" s="118" t="n">
        <x:v>22</x:v>
      </x:c>
      <x:c r="T359" s="118" t="n">
        <x:v>26</x:v>
      </x:c>
      <x:c r="U359" s="118" t="n">
        <x:v>5</x:v>
      </x:c>
      <x:c r="V359" s="118" t="n">
        <x:v>0</x:v>
      </x:c>
      <x:c r="W359" s="118" t="n">
        <x:v>0</x:v>
      </x:c>
      <x:c r="X359" s="118" t="n">
        <x:v>0</x:v>
      </x:c>
      <x:c r="Y359" s="118" t="n">
        <x:v>3</x:v>
      </x:c>
      <x:c r="Z359" s="117" t="str">
        <x:v>Strong</x:v>
      </x:c>
      <x:c r="AA359" s="120" t="n">
        <x:v>46156.578043981484</x:v>
      </x:c>
      <x:c r="AB359" s="117" t="str">
        <x:v>Delegate</x:v>
      </x:c>
      <x:c r="AC359" s="119" t="str">
        <x:v>05/14/2026 (BW) - Updating so that it pulls all parts to move over</x:v>
      </x:c>
      <x:c r="AD359" s="119" t="str">
        <x:v>Touches many objects</x:v>
      </x:c>
    </x:row>
    <x:row r="360" ht="34" customHeight="1">
      <x:c r="A360" s="117" t="str">
        <x:v>300Ro00000iqyyLIAQ</x:v>
      </x:c>
      <x:c r="B360" s="117" t="str">
        <x:v>On_Vendor_Sourcing_Update_Update_Purchasing_Opportunity_on_Service_Appointment</x:v>
      </x:c>
      <x:c r="C360" s="117" t="str">
        <x:v>On Vendor Sourcing Update | Update Purchasing Opportunity on Service Appointment</x:v>
      </x:c>
      <x:c r="D360" s="117" t="str">
        <x:v>Yes</x:v>
      </x:c>
      <x:c r="E360" s="118" t="n">
        <x:v>1</x:v>
      </x:c>
      <x:c r="F360" s="118" t="n">
        <x:v>1</x:v>
      </x:c>
      <x:c r="G360" s="117" t="str">
        <x:v>Yes</x:v>
      </x:c>
      <x:c r="H360" s="119" t="str">
        <x:v>Active v1 (Retrieved XML)</x:v>
      </x:c>
      <x:c r="I360" s="117" t="str">
        <x:v>AutoLaunchedFlow</x:v>
      </x:c>
      <x:c r="J360" s="117" t="str">
        <x:v>Vendor_Sourcing__c</x:v>
      </x:c>
      <x:c r="K360" s="117" t="str">
        <x:v>Yes</x:v>
      </x:c>
      <x:c r="L360" s="117" t="str">
        <x:v>CreateAndUpdate</x:v>
      </x:c>
      <x:c r="M360" s="117" t="str">
        <x:v>RecordAfterSave</x:v>
      </x:c>
      <x:c r="N360" s="117"/>
      <x:c r="O360" s="117"/>
      <x:c r="P360" s="117" t="str"/>
      <x:c r="Q360" s="117" t="str">
        <x:v>65.0</x:v>
      </x:c>
      <x:c r="R360" s="117" t="str">
        <x:v>unmanaged</x:v>
      </x:c>
      <x:c r="S360" s="118" t="n">
        <x:v>1</x:v>
      </x:c>
      <x:c r="T360" s="118" t="n">
        <x:v>2</x:v>
      </x:c>
      <x:c r="U360" s="118" t="n">
        <x:v>1</x:v>
      </x:c>
      <x:c r="V360" s="118" t="n">
        <x:v>0</x:v>
      </x:c>
      <x:c r="W360" s="118" t="n">
        <x:v>0</x:v>
      </x:c>
      <x:c r="X360" s="118" t="n">
        <x:v>0</x:v>
      </x:c>
      <x:c r="Y360" s="118" t="n">
        <x:v>1</x:v>
      </x:c>
      <x:c r="Z360" s="117" t="str">
        <x:v>Isolated lane</x:v>
      </x:c>
      <x:c r="AA360" s="120" t="n">
        <x:v>45951.75983796296</x:v>
      </x:c>
      <x:c r="AB360" s="117" t="str">
        <x:v>Delegate</x:v>
      </x:c>
      <x:c r="AC360" s="119" t="str">
        <x:v>10/21/2025 (BW) - Updates the purchasing opportunity on the service appointment when the Vendor Sourcing gets a purchasing opportunity</x:v>
      </x:c>
      <x:c r="AD360" s="119" t="str"/>
    </x:row>
    <x:row r="361" ht="34" customHeight="1">
      <x:c r="A361" s="117" t="str">
        <x:v>300Ro00000cnT4oIAE</x:v>
      </x:c>
      <x:c r="B361" s="117" t="str">
        <x:v>On_Work_Order_Creation_Set_Chatter_Follow</x:v>
      </x:c>
      <x:c r="C361" s="117" t="str">
        <x:v>On Work Order Creation | Set Chatter Follow</x:v>
      </x:c>
      <x:c r="D361" s="117" t="str">
        <x:v>No</x:v>
      </x:c>
      <x:c r="E361" s="118"/>
      <x:c r="F361" s="118" t="n">
        <x:v>1</x:v>
      </x:c>
      <x:c r="G361" s="117" t="str">
        <x:v>N/A</x:v>
      </x:c>
      <x:c r="H361" s="119" t="str">
        <x:v>Latest inactive v1 (Retrieved XML)</x:v>
      </x:c>
      <x:c r="I361" s="117" t="str">
        <x:v>AutoLaunchedFlow</x:v>
      </x:c>
      <x:c r="J361" s="117" t="str">
        <x:v>WorkOrder</x:v>
      </x:c>
      <x:c r="K361" s="117" t="str">
        <x:v>No</x:v>
      </x:c>
      <x:c r="L361" s="117" t="str">
        <x:v>Create</x:v>
      </x:c>
      <x:c r="M361" s="117" t="str">
        <x:v>RecordAfterSave</x:v>
      </x:c>
      <x:c r="N361" s="117"/>
      <x:c r="O361" s="117"/>
      <x:c r="P361" s="117" t="str"/>
      <x:c r="Q361" s="117" t="str">
        <x:v>64.0</x:v>
      </x:c>
      <x:c r="R361" s="117" t="str">
        <x:v>unmanaged</x:v>
      </x:c>
      <x:c r="S361" s="118" t="n">
        <x:v>1</x:v>
      </x:c>
      <x:c r="T361" s="118" t="n">
        <x:v>2</x:v>
      </x:c>
      <x:c r="U361" s="118" t="n">
        <x:v>1</x:v>
      </x:c>
      <x:c r="V361" s="118" t="n">
        <x:v>0</x:v>
      </x:c>
      <x:c r="W361" s="118" t="n">
        <x:v>1</x:v>
      </x:c>
      <x:c r="X361" s="118" t="n">
        <x:v>0</x:v>
      </x:c>
      <x:c r="Y361" s="118" t="n">
        <x:v>1</x:v>
      </x:c>
      <x:c r="Z361" s="117" t="str">
        <x:v>N/A</x:v>
      </x:c>
      <x:c r="AA361" s="120" t="n">
        <x:v>45945.59307870371</x:v>
      </x:c>
      <x:c r="AB361" s="117" t="str">
        <x:v>Delegate</x:v>
      </x:c>
      <x:c r="AC361" s="119" t="str">
        <x:v>08/29/2025 (BW) - Sets the individual to follow the work order when they create it</x:v>
      </x:c>
      <x:c r="AD361" s="119" t="str"/>
    </x:row>
    <x:row r="362" ht="34" customHeight="1">
      <x:c r="A362" s="117" t="str">
        <x:v>300Ro00000pTM4dIAG</x:v>
      </x:c>
      <x:c r="B362" s="117" t="str">
        <x:v>On_Work_Order_Line_Item_Edit_Update_Unit_Price_Quantity</x:v>
      </x:c>
      <x:c r="C362" s="117" t="str">
        <x:v>On Work Order Line Item Edit | Update Unit Price &amp; Quantity</x:v>
      </x:c>
      <x:c r="D362" s="117" t="str">
        <x:v>No</x:v>
      </x:c>
      <x:c r="E362" s="118"/>
      <x:c r="F362" s="118" t="n">
        <x:v>2</x:v>
      </x:c>
      <x:c r="G362" s="117" t="str">
        <x:v>N/A</x:v>
      </x:c>
      <x:c r="H362" s="119" t="str">
        <x:v>Latest inactive v2 (Retrieved XML)</x:v>
      </x:c>
      <x:c r="I362" s="117" t="str">
        <x:v>AutoLaunchedFlow</x:v>
      </x:c>
      <x:c r="J362" s="117" t="str">
        <x:v>WorkOrderLineItem</x:v>
      </x:c>
      <x:c r="K362" s="117" t="str">
        <x:v>No</x:v>
      </x:c>
      <x:c r="L362" s="117" t="str">
        <x:v>Update</x:v>
      </x:c>
      <x:c r="M362" s="117" t="str">
        <x:v>RecordAfterSave</x:v>
      </x:c>
      <x:c r="N362" s="117"/>
      <x:c r="O362" s="117"/>
      <x:c r="P362" s="117" t="str"/>
      <x:c r="Q362" s="117" t="str">
        <x:v>65.0</x:v>
      </x:c>
      <x:c r="R362" s="117" t="str">
        <x:v>unmanaged</x:v>
      </x:c>
      <x:c r="S362" s="118" t="n">
        <x:v>2</x:v>
      </x:c>
      <x:c r="T362" s="118" t="n">
        <x:v>3</x:v>
      </x:c>
      <x:c r="U362" s="118" t="n">
        <x:v>1</x:v>
      </x:c>
      <x:c r="V362" s="118" t="n">
        <x:v>0</x:v>
      </x:c>
      <x:c r="W362" s="118" t="n">
        <x:v>0</x:v>
      </x:c>
      <x:c r="X362" s="118" t="n">
        <x:v>0</x:v>
      </x:c>
      <x:c r="Y362" s="118" t="n">
        <x:v>1</x:v>
      </x:c>
      <x:c r="Z362" s="117" t="str">
        <x:v>N/A</x:v>
      </x:c>
      <x:c r="AA362" s="120" t="n">
        <x:v>46078.87085648148</x:v>
      </x:c>
      <x:c r="AB362" s="117" t="str">
        <x:v>Delegate</x:v>
      </x:c>
      <x:c r="AC362" s="119" t="str">
        <x:v>01/29/2026 (BW) - When Unit Price and Quantity are changed on a work order line item, reciprocate the update on the opportunity product</x:v>
      </x:c>
      <x:c r="AD362" s="119" t="str"/>
    </x:row>
    <x:row r="363" ht="34" customHeight="1">
      <x:c r="A363" s="117" t="str">
        <x:v>3005b00000113mFAAQ</x:v>
      </x:c>
      <x:c r="B363" s="117" t="str">
        <x:v>Operations_Sheet_Screen_Flow</x:v>
      </x:c>
      <x:c r="C363" s="117" t="str">
        <x:v>Operations Sheet Screen Flow</x:v>
      </x:c>
      <x:c r="D363" s="117" t="str">
        <x:v>Yes</x:v>
      </x:c>
      <x:c r="E363" s="118" t="n">
        <x:v>15</x:v>
      </x:c>
      <x:c r="F363" s="118" t="n">
        <x:v>15</x:v>
      </x:c>
      <x:c r="G363" s="117" t="str">
        <x:v>Yes</x:v>
      </x:c>
      <x:c r="H363" s="119" t="str">
        <x:v>Active v15 (Retrieved XML)</x:v>
      </x:c>
      <x:c r="I363" s="117" t="str">
        <x:v>Flow</x:v>
      </x:c>
      <x:c r="J363" s="117" t="str"/>
      <x:c r="K363" s="117" t="str">
        <x:v>No</x:v>
      </x:c>
      <x:c r="L363" s="117" t="str"/>
      <x:c r="M363" s="117" t="str"/>
      <x:c r="N363" s="117" t="str">
        <x:v>SystemModeWithoutSharing</x:v>
      </x:c>
      <x:c r="O363" s="117"/>
      <x:c r="P363" s="117" t="str"/>
      <x:c r="Q363" s="117" t="str">
        <x:v>54.0</x:v>
      </x:c>
      <x:c r="R363" s="117" t="str">
        <x:v>unmanaged</x:v>
      </x:c>
      <x:c r="S363" s="118" t="n">
        <x:v>15</x:v>
      </x:c>
      <x:c r="T363" s="118" t="n">
        <x:v>11</x:v>
      </x:c>
      <x:c r="U363" s="118" t="n">
        <x:v>1</x:v>
      </x:c>
      <x:c r="V363" s="118" t="n">
        <x:v>0</x:v>
      </x:c>
      <x:c r="W363" s="118" t="n">
        <x:v>0</x:v>
      </x:c>
      <x:c r="X363" s="118" t="n">
        <x:v>0</x:v>
      </x:c>
      <x:c r="Y363" s="118" t="n">
        <x:v>1</x:v>
      </x:c>
      <x:c r="Z363" s="117" t="str">
        <x:v>N/A</x:v>
      </x:c>
      <x:c r="AA363" s="120" t="n">
        <x:v>45394.78028935185</x:v>
      </x:c>
      <x:c r="AB363" s="117" t="str">
        <x:v>Jace Gentil</x:v>
      </x:c>
      <x:c r="AC363" s="119" t="str"/>
      <x:c r="AD363" s="119" t="str">
        <x:v>Active flow has no description</x:v>
      </x:c>
    </x:row>
    <x:row r="364" ht="34" customHeight="1">
      <x:c r="A364" s="117" t="str">
        <x:v>300Ro00000rL43hIAC</x:v>
      </x:c>
      <x:c r="B364" s="117" t="str">
        <x:v>Opportunity_Asset_Management_Screen_Flow</x:v>
      </x:c>
      <x:c r="C364" s="117" t="str">
        <x:v>Opportunity Asset Management Screen Flow</x:v>
      </x:c>
      <x:c r="D364" s="117" t="str">
        <x:v>Yes</x:v>
      </x:c>
      <x:c r="E364" s="118" t="n">
        <x:v>9</x:v>
      </x:c>
      <x:c r="F364" s="118" t="n">
        <x:v>9</x:v>
      </x:c>
      <x:c r="G364" s="117" t="str">
        <x:v>Yes</x:v>
      </x:c>
      <x:c r="H364" s="119" t="str">
        <x:v>Active v9 (Retrieved XML)</x:v>
      </x:c>
      <x:c r="I364" s="117" t="str">
        <x:v>Flow</x:v>
      </x:c>
      <x:c r="J364" s="117" t="str"/>
      <x:c r="K364" s="117" t="str">
        <x:v>No</x:v>
      </x:c>
      <x:c r="L364" s="117" t="str"/>
      <x:c r="M364" s="117" t="str"/>
      <x:c r="N364" s="117" t="str">
        <x:v>SystemModeWithoutSharing</x:v>
      </x:c>
      <x:c r="O364" s="117"/>
      <x:c r="P364" s="117" t="str"/>
      <x:c r="Q364" s="117" t="str">
        <x:v>65.0</x:v>
      </x:c>
      <x:c r="R364" s="117" t="str">
        <x:v>unmanaged</x:v>
      </x:c>
      <x:c r="S364" s="118" t="n">
        <x:v>9</x:v>
      </x:c>
      <x:c r="T364" s="118" t="n">
        <x:v>29</x:v>
      </x:c>
      <x:c r="U364" s="118" t="n">
        <x:v>4</x:v>
      </x:c>
      <x:c r="V364" s="118" t="n">
        <x:v>0</x:v>
      </x:c>
      <x:c r="W364" s="118" t="n">
        <x:v>1</x:v>
      </x:c>
      <x:c r="X364" s="118" t="n">
        <x:v>2</x:v>
      </x:c>
      <x:c r="Y364" s="118" t="n">
        <x:v>3</x:v>
      </x:c>
      <x:c r="Z364" s="117" t="str">
        <x:v>N/A</x:v>
      </x:c>
      <x:c r="AA364" s="120" t="n">
        <x:v>46205.61173611111</x:v>
      </x:c>
      <x:c r="AB364" s="117" t="str">
        <x:v>Sacha Pearce</x:v>
      </x:c>
      <x:c r="AC364" s="119" t="str">
        <x:v>22/03/2026 - SP - Setting the Product Analytics (labelled Product Name) in the "Set Asset Fields" element.</x:v>
      </x:c>
      <x:c r="AD364" s="119" t="str">
        <x:v>Touches many objects</x:v>
      </x:c>
    </x:row>
    <x:row r="365" ht="34" customHeight="1">
      <x:c r="A365" s="117" t="str">
        <x:v>300Ro00000qqKG6IAM</x:v>
      </x:c>
      <x:c r="B365" s="117" t="str">
        <x:v>Opportunity_Asset_Mass_Move_Location_Screen_Flow</x:v>
      </x:c>
      <x:c r="C365" s="117" t="str">
        <x:v>Opportunity - Asset Mass Move Location Screen Flow</x:v>
      </x:c>
      <x:c r="D365" s="117" t="str">
        <x:v>No</x:v>
      </x:c>
      <x:c r="E365" s="118"/>
      <x:c r="F365" s="118" t="n">
        <x:v>2</x:v>
      </x:c>
      <x:c r="G365" s="117" t="str">
        <x:v>N/A</x:v>
      </x:c>
      <x:c r="H365" s="119" t="str">
        <x:v>Latest inactive v2 (Retrieved XML)</x:v>
      </x:c>
      <x:c r="I365" s="117" t="str">
        <x:v>Flow</x:v>
      </x:c>
      <x:c r="J365" s="117" t="str"/>
      <x:c r="K365" s="117" t="str">
        <x:v>No</x:v>
      </x:c>
      <x:c r="L365" s="117" t="str"/>
      <x:c r="M365" s="117" t="str"/>
      <x:c r="N365" s="117"/>
      <x:c r="O365" s="117"/>
      <x:c r="P365" s="117" t="str"/>
      <x:c r="Q365" s="117" t="str">
        <x:v>55.0</x:v>
      </x:c>
      <x:c r="R365" s="117" t="str">
        <x:v>unmanaged</x:v>
      </x:c>
      <x:c r="S365" s="118" t="n">
        <x:v>2</x:v>
      </x:c>
      <x:c r="T365" s="118" t="n">
        <x:v>9</x:v>
      </x:c>
      <x:c r="U365" s="118" t="n">
        <x:v>2</x:v>
      </x:c>
      <x:c r="V365" s="118" t="n">
        <x:v>0</x:v>
      </x:c>
      <x:c r="W365" s="118" t="n">
        <x:v>0</x:v>
      </x:c>
      <x:c r="X365" s="118" t="n">
        <x:v>2</x:v>
      </x:c>
      <x:c r="Y365" s="118" t="n">
        <x:v>1</x:v>
      </x:c>
      <x:c r="Z365" s="117" t="str">
        <x:v>N/A</x:v>
      </x:c>
      <x:c r="AA365" s="120" t="n">
        <x:v>46069.667175925926</x:v>
      </x:c>
      <x:c r="AB365" s="117" t="str">
        <x:v>Sacha Pearce</x:v>
      </x:c>
      <x:c r="AC365" s="119" t="str">
        <x:v>16/02/2026 - SP - Adding new logic into the "GetAssets" Get Records element so that Assets are also pulled if "recordId" is a sales Opportunity</x:v>
      </x:c>
      <x:c r="AD365" s="119" t="str"/>
    </x:row>
    <x:row r="366" ht="34" customHeight="1">
      <x:c r="A366" s="117" t="str">
        <x:v>300Ro00000xUsgvIAC</x:v>
      </x:c>
      <x:c r="B366" s="117" t="str">
        <x:v>Opportunity_Asynchronous_on_create_Update_Total_Cost_of_Project_POs</x:v>
      </x:c>
      <x:c r="C366" s="117" t="str">
        <x:v>Opportunity | Asynchronous, on create, Update Total Cost of Project POs</x:v>
      </x:c>
      <x:c r="D366" s="117" t="str">
        <x:v>Yes</x:v>
      </x:c>
      <x:c r="E366" s="118" t="n">
        <x:v>1</x:v>
      </x:c>
      <x:c r="F366" s="118" t="n">
        <x:v>1</x:v>
      </x:c>
      <x:c r="G366" s="117" t="str">
        <x:v>Yes</x:v>
      </x:c>
      <x:c r="H366" s="119" t="str">
        <x:v>Active v1 (Retrieved XML)</x:v>
      </x:c>
      <x:c r="I366" s="117" t="str">
        <x:v>AutoLaunchedFlow</x:v>
      </x:c>
      <x:c r="J366" s="117" t="str">
        <x:v>Opportunity</x:v>
      </x:c>
      <x:c r="K366" s="117" t="str">
        <x:v>Yes</x:v>
      </x:c>
      <x:c r="L366" s="117" t="str">
        <x:v>Create</x:v>
      </x:c>
      <x:c r="M366" s="117" t="str">
        <x:v>RecordAfterSave</x:v>
      </x:c>
      <x:c r="N366" s="117"/>
      <x:c r="O366" s="117"/>
      <x:c r="P366" s="117" t="str"/>
      <x:c r="Q366" s="117" t="str">
        <x:v>65.0</x:v>
      </x:c>
      <x:c r="R366" s="117" t="str">
        <x:v>unmanaged</x:v>
      </x:c>
      <x:c r="S366" s="118" t="n">
        <x:v>1</x:v>
      </x:c>
      <x:c r="T366" s="118" t="n">
        <x:v>4</x:v>
      </x:c>
      <x:c r="U366" s="118" t="n">
        <x:v>2</x:v>
      </x:c>
      <x:c r="V366" s="118" t="n">
        <x:v>0</x:v>
      </x:c>
      <x:c r="W366" s="118" t="n">
        <x:v>0</x:v>
      </x:c>
      <x:c r="X366" s="118" t="n">
        <x:v>0</x:v>
      </x:c>
      <x:c r="Y366" s="118" t="n">
        <x:v>1</x:v>
      </x:c>
      <x:c r="Z366" s="117" t="str">
        <x:v>Strong</x:v>
      </x:c>
      <x:c r="AA366" s="120" t="n">
        <x:v>46157.571875</x:v>
      </x:c>
      <x:c r="AB366" s="117" t="str">
        <x:v>Delegate</x:v>
      </x:c>
      <x:c r="AC366" s="119" t="str">
        <x:v>05/14/26 (BW) – Async replacement for DLRS Total_Cost_of_Project_POs rollup (create path). Sums Probo_s_Offer_Total__c across all Opportunities on the related Project and writes the result to Total_Cost_of_Related_PO_s__c.</x:v>
      </x:c>
      <x:c r="AD366" s="119" t="str"/>
    </x:row>
    <x:row r="367" ht="34" customHeight="1">
      <x:c r="A367" s="117" t="str">
        <x:v>300Ro00000xUsgwIAC</x:v>
      </x:c>
      <x:c r="B367" s="117" t="str">
        <x:v>Opportunity_Asynchronous_on_delete_Update_Total_Cost_of_Project_POs</x:v>
      </x:c>
      <x:c r="C367" s="117" t="str">
        <x:v>Opportunity | Before delete, Update Total Cost of Project POs</x:v>
      </x:c>
      <x:c r="D367" s="117" t="str">
        <x:v>Yes</x:v>
      </x:c>
      <x:c r="E367" s="118" t="n">
        <x:v>1</x:v>
      </x:c>
      <x:c r="F367" s="118" t="n">
        <x:v>1</x:v>
      </x:c>
      <x:c r="G367" s="117" t="str">
        <x:v>Yes</x:v>
      </x:c>
      <x:c r="H367" s="119" t="str">
        <x:v>Active v1 (Retrieved XML)</x:v>
      </x:c>
      <x:c r="I367" s="117" t="str">
        <x:v>AutoLaunchedFlow</x:v>
      </x:c>
      <x:c r="J367" s="117" t="str">
        <x:v>Opportunity</x:v>
      </x:c>
      <x:c r="K367" s="117" t="str">
        <x:v>Yes</x:v>
      </x:c>
      <x:c r="L367" s="117" t="str">
        <x:v>Delete</x:v>
      </x:c>
      <x:c r="M367" s="117" t="str">
        <x:v>RecordBeforeDelete</x:v>
      </x:c>
      <x:c r="N367" s="117"/>
      <x:c r="O367" s="117"/>
      <x:c r="P367" s="117" t="str"/>
      <x:c r="Q367" s="117" t="str">
        <x:v>65.0</x:v>
      </x:c>
      <x:c r="R367" s="117" t="str">
        <x:v>unmanaged</x:v>
      </x:c>
      <x:c r="S367" s="118" t="n">
        <x:v>1</x:v>
      </x:c>
      <x:c r="T367" s="118" t="n">
        <x:v>4</x:v>
      </x:c>
      <x:c r="U367" s="118" t="n">
        <x:v>2</x:v>
      </x:c>
      <x:c r="V367" s="118" t="n">
        <x:v>0</x:v>
      </x:c>
      <x:c r="W367" s="118" t="n">
        <x:v>0</x:v>
      </x:c>
      <x:c r="X367" s="118" t="n">
        <x:v>0</x:v>
      </x:c>
      <x:c r="Y367" s="118" t="n">
        <x:v>1</x:v>
      </x:c>
      <x:c r="Z367" s="117" t="str">
        <x:v>Isolated lane</x:v>
      </x:c>
      <x:c r="AA367" s="120" t="n">
        <x:v>46157.571863425925</x:v>
      </x:c>
      <x:c r="AB367" s="117" t="str">
        <x:v>Delegate</x:v>
      </x:c>
      <x:c r="AC367" s="119" t="str">
        <x:v>05/14/26 (BW) – Replacement for DLRS Total_Cost_of_Project_POs rollup (delete path). Runs synchronously before delete; excludes the being-deleted Opportunity from the re-query so the sum on the Project is correct after deletion.</x:v>
      </x:c>
      <x:c r="AD367" s="119" t="str"/>
    </x:row>
    <x:row r="368" ht="34" customHeight="1">
      <x:c r="A368" s="117" t="str">
        <x:v>300Ro00000xUsgxIAC</x:v>
      </x:c>
      <x:c r="B368" s="117" t="str">
        <x:v>Opportunity_Asynchronous_on_update_Update_Total_Cost_of_Project_POs</x:v>
      </x:c>
      <x:c r="C368" s="117" t="str">
        <x:v>Opportunity | Asynchronous, on update, Update Total Cost of Project POs</x:v>
      </x:c>
      <x:c r="D368" s="117" t="str">
        <x:v>Yes</x:v>
      </x:c>
      <x:c r="E368" s="118" t="n">
        <x:v>1</x:v>
      </x:c>
      <x:c r="F368" s="118" t="n">
        <x:v>1</x:v>
      </x:c>
      <x:c r="G368" s="117" t="str">
        <x:v>Yes</x:v>
      </x:c>
      <x:c r="H368" s="119" t="str">
        <x:v>Active v1 (Retrieved XML)</x:v>
      </x:c>
      <x:c r="I368" s="117" t="str">
        <x:v>AutoLaunchedFlow</x:v>
      </x:c>
      <x:c r="J368" s="117" t="str">
        <x:v>Opportunity</x:v>
      </x:c>
      <x:c r="K368" s="117" t="str">
        <x:v>Yes</x:v>
      </x:c>
      <x:c r="L368" s="117" t="str">
        <x:v>Update</x:v>
      </x:c>
      <x:c r="M368" s="117" t="str">
        <x:v>RecordAfterSave</x:v>
      </x:c>
      <x:c r="N368" s="117"/>
      <x:c r="O368" s="117"/>
      <x:c r="P368" s="117" t="str"/>
      <x:c r="Q368" s="117" t="str">
        <x:v>65.0</x:v>
      </x:c>
      <x:c r="R368" s="117" t="str">
        <x:v>unmanaged</x:v>
      </x:c>
      <x:c r="S368" s="118" t="n">
        <x:v>1</x:v>
      </x:c>
      <x:c r="T368" s="118" t="n">
        <x:v>9</x:v>
      </x:c>
      <x:c r="U368" s="118" t="n">
        <x:v>2</x:v>
      </x:c>
      <x:c r="V368" s="118" t="n">
        <x:v>0</x:v>
      </x:c>
      <x:c r="W368" s="118" t="n">
        <x:v>0</x:v>
      </x:c>
      <x:c r="X368" s="118" t="n">
        <x:v>0</x:v>
      </x:c>
      <x:c r="Y368" s="118" t="n">
        <x:v>1</x:v>
      </x:c>
      <x:c r="Z368" s="117" t="str">
        <x:v>Strong</x:v>
      </x:c>
      <x:c r="AA368" s="120" t="n">
        <x:v>46157.57184027778</x:v>
      </x:c>
      <x:c r="AB368" s="117" t="str">
        <x:v>Delegate</x:v>
      </x:c>
      <x:c r="AC368" s="119" t="str">
        <x:v>05/14/26 (BW) – Async replacement for DLRS Total_Cost_of_Project_POs rollup (update path). Fires when Related_Project__c or Probo_s_Offer_Total__c changes. Immediate path recalculates the prior Project when the lookup changes; async path recalculates the current Project.</x:v>
      </x:c>
      <x:c r="AD368" s="119" t="str"/>
    </x:row>
    <x:row r="369" ht="34" customHeight="1">
      <x:c r="A369" s="117" t="str">
        <x:v>300Ro00000fleLpIAI</x:v>
      </x:c>
      <x:c r="B369" s="117" t="str">
        <x:v>Opportunity_Automations</x:v>
      </x:c>
      <x:c r="C369" s="117" t="str">
        <x:v>Opportunity Automations</x:v>
      </x:c>
      <x:c r="D369" s="117" t="str">
        <x:v>Yes</x:v>
      </x:c>
      <x:c r="E369" s="118" t="n">
        <x:v>1</x:v>
      </x:c>
      <x:c r="F369" s="118" t="n">
        <x:v>1</x:v>
      </x:c>
      <x:c r="G369" s="117" t="str">
        <x:v>Yes</x:v>
      </x:c>
      <x:c r="H369" s="119" t="str">
        <x:v>Active v1 (Retrieved XML)</x:v>
      </x:c>
      <x:c r="I369" s="117" t="str">
        <x:v>AutoLaunchedFlow</x:v>
      </x:c>
      <x:c r="J369" s="117" t="str">
        <x:v>Opportunity</x:v>
      </x:c>
      <x:c r="K369" s="117" t="str">
        <x:v>Yes</x:v>
      </x:c>
      <x:c r="L369" s="117" t="str">
        <x:v>CreateAndUpdate</x:v>
      </x:c>
      <x:c r="M369" s="117" t="str">
        <x:v>RecordAfterSave</x:v>
      </x:c>
      <x:c r="N369" s="117"/>
      <x:c r="O369" s="117"/>
      <x:c r="P369" s="117" t="str"/>
      <x:c r="Q369" s="117" t="str">
        <x:v>64.0</x:v>
      </x:c>
      <x:c r="R369" s="117" t="str">
        <x:v>unmanaged</x:v>
      </x:c>
      <x:c r="S369" s="118" t="n">
        <x:v>1</x:v>
      </x:c>
      <x:c r="T369" s="118" t="n">
        <x:v>4</x:v>
      </x:c>
      <x:c r="U369" s="118" t="n">
        <x:v>1</x:v>
      </x:c>
      <x:c r="V369" s="118" t="n">
        <x:v>0</x:v>
      </x:c>
      <x:c r="W369" s="118" t="n">
        <x:v>0</x:v>
      </x:c>
      <x:c r="X369" s="118" t="n">
        <x:v>0</x:v>
      </x:c>
      <x:c r="Y369" s="118" t="n">
        <x:v>1</x:v>
      </x:c>
      <x:c r="Z369" s="117" t="str">
        <x:v>Strong</x:v>
      </x:c>
      <x:c r="AA369" s="120" t="n">
        <x:v>46090.616689814815</x:v>
      </x:c>
      <x:c r="AB369" s="117" t="str">
        <x:v>Steve Dodd</x:v>
      </x:c>
      <x:c r="AC369" s="119" t="str">
        <x:v>09/12/2025 - V4 - SP - Removed the Part Sales Opportunity path and adjusted the decision to look at the Opportunity Record Type's Developer Name
09/13/2025 - V5 - SP - Adjusting the Record Type Check to run only if the record that triggered the flow to run is updated to meet the condition requirements
09/13/2025 - V6 - SP - Adjusting the Rental Not Paid or Confirmed Custom Error Message
09/13/2025 - V7 - SP - Adjusting the description boxes on elements to improve clarity and understanding</x:v>
      </x:c>
      <x:c r="AD369" s="119" t="str"/>
    </x:row>
    <x:row r="370" ht="34" customHeight="1">
      <x:c r="A370" s="117" t="str">
        <x:v>3004O000000LOu6QAG</x:v>
      </x:c>
      <x:c r="B370" s="117" t="str">
        <x:v>Opportunity_Calculate_Tax_on_Amount_Change</x:v>
      </x:c>
      <x:c r="C370" s="117" t="str">
        <x:v>Opportunity - Calculate Tax on Amount Change</x:v>
      </x:c>
      <x:c r="D370" s="117" t="str">
        <x:v>No</x:v>
      </x:c>
      <x:c r="E370" s="118"/>
      <x:c r="F370" s="118" t="n">
        <x:v>1</x:v>
      </x:c>
      <x:c r="G370" s="117" t="str">
        <x:v>N/A</x:v>
      </x:c>
      <x:c r="H370" s="119" t="str">
        <x:v>Latest inactive v1 (Retrieved XML)</x:v>
      </x:c>
      <x:c r="I370" s="117" t="str">
        <x:v>Workflow</x:v>
      </x:c>
      <x:c r="J370" s="117" t="str"/>
      <x:c r="K370" s="117" t="str">
        <x:v>No</x:v>
      </x:c>
      <x:c r="L370" s="117" t="str"/>
      <x:c r="M370" s="117" t="str"/>
      <x:c r="N370" s="117"/>
      <x:c r="O370" s="117"/>
      <x:c r="P370" s="117" t="str"/>
      <x:c r="Q370" s="117" t="str">
        <x:v>50.0</x:v>
      </x:c>
      <x:c r="R370" s="117" t="str">
        <x:v>unmanaged</x:v>
      </x:c>
      <x:c r="S370" s="118" t="n">
        <x:v>1</x:v>
      </x:c>
      <x:c r="T370" s="118" t="n">
        <x:v>3</x:v>
      </x:c>
      <x:c r="U370" s="118" t="n">
        <x:v>1</x:v>
      </x:c>
      <x:c r="V370" s="118" t="n">
        <x:v>0</x:v>
      </x:c>
      <x:c r="W370" s="118" t="n">
        <x:v>0</x:v>
      </x:c>
      <x:c r="X370" s="118" t="n">
        <x:v>0</x:v>
      </x:c>
      <x:c r="Y370" s="118" t="n">
        <x:v>1</x:v>
      </x:c>
      <x:c r="Z370" s="117" t="str">
        <x:v>N/A</x:v>
      </x:c>
      <x:c r="AA370" s="120" t="n">
        <x:v>44229.783125</x:v>
      </x:c>
      <x:c r="AB370" s="117" t="str">
        <x:v>Delegate</x:v>
      </x:c>
      <x:c r="AC370" s="119" t="str">
        <x:v>Calculate Tax on amount change</x:v>
      </x:c>
      <x:c r="AD370" s="119" t="str"/>
    </x:row>
    <x:row r="371" ht="34" customHeight="1">
      <x:c r="A371" s="117" t="str">
        <x:v>300Ro00000h8pnpIAA</x:v>
      </x:c>
      <x:c r="B371" s="117" t="str">
        <x:v>Opportunity_Canadian_Entity</x:v>
      </x:c>
      <x:c r="C371" s="117" t="str">
        <x:v>Opportunity Canadian Entity</x:v>
      </x:c>
      <x:c r="D371" s="117" t="str">
        <x:v>No</x:v>
      </x:c>
      <x:c r="E371" s="118"/>
      <x:c r="F371" s="118" t="n">
        <x:v>3</x:v>
      </x:c>
      <x:c r="G371" s="117" t="str">
        <x:v>N/A</x:v>
      </x:c>
      <x:c r="H371" s="119" t="str">
        <x:v>Latest inactive v3 (Retrieved XML)</x:v>
      </x:c>
      <x:c r="I371" s="117" t="str">
        <x:v>AutoLaunchedFlow</x:v>
      </x:c>
      <x:c r="J371" s="117" t="str">
        <x:v>Opportunity</x:v>
      </x:c>
      <x:c r="K371" s="117" t="str">
        <x:v>No</x:v>
      </x:c>
      <x:c r="L371" s="117" t="str">
        <x:v>Update</x:v>
      </x:c>
      <x:c r="M371" s="117" t="str">
        <x:v>RecordAfterSave</x:v>
      </x:c>
      <x:c r="N371" s="117"/>
      <x:c r="O371" s="117"/>
      <x:c r="P371" s="117" t="str"/>
      <x:c r="Q371" s="117" t="str">
        <x:v>64.0</x:v>
      </x:c>
      <x:c r="R371" s="117" t="str">
        <x:v>unmanaged</x:v>
      </x:c>
      <x:c r="S371" s="118" t="n">
        <x:v>3</x:v>
      </x:c>
      <x:c r="T371" s="118" t="n">
        <x:v>8</x:v>
      </x:c>
      <x:c r="U371" s="118" t="n">
        <x:v>2</x:v>
      </x:c>
      <x:c r="V371" s="118" t="n">
        <x:v>0</x:v>
      </x:c>
      <x:c r="W371" s="118" t="n">
        <x:v>0</x:v>
      </x:c>
      <x:c r="X371" s="118" t="n">
        <x:v>0</x:v>
      </x:c>
      <x:c r="Y371" s="118" t="n">
        <x:v>1</x:v>
      </x:c>
      <x:c r="Z371" s="117" t="str">
        <x:v>N/A</x:v>
      </x:c>
      <x:c r="AA371" s="120" t="n">
        <x:v>46237.424988425926</x:v>
      </x:c>
      <x:c r="AB371" s="117" t="str">
        <x:v>Sacha Pearce</x:v>
      </x:c>
      <x:c r="AC371" s="119" t="str">
        <x:v>11/18/2025 (BW) - Added a "Lock for Recursive Update" system which provents the flow from triggering itself again.</x:v>
      </x:c>
      <x:c r="AD371" s="119" t="str"/>
    </x:row>
    <x:row r="372" ht="34" customHeight="1">
      <x:c r="A372" s="117" t="str">
        <x:v>3004O000000LOvxQAG</x:v>
      </x:c>
      <x:c r="B372" s="117" t="str">
        <x:v>Opportunity_Create_Processes</x:v>
      </x:c>
      <x:c r="C372" s="117" t="str">
        <x:v>Opportunity Create Processes</x:v>
      </x:c>
      <x:c r="D372" s="117" t="str">
        <x:v>No</x:v>
      </x:c>
      <x:c r="E372" s="118"/>
      <x:c r="F372" s="118" t="n">
        <x:v>4</x:v>
      </x:c>
      <x:c r="G372" s="117" t="str">
        <x:v>N/A</x:v>
      </x:c>
      <x:c r="H372" s="119" t="str">
        <x:v>Latest inactive v4 (Retrieved XML)</x:v>
      </x:c>
      <x:c r="I372" s="117" t="str">
        <x:v>Workflow</x:v>
      </x:c>
      <x:c r="J372" s="117" t="str"/>
      <x:c r="K372" s="117" t="str">
        <x:v>No</x:v>
      </x:c>
      <x:c r="L372" s="117" t="str"/>
      <x:c r="M372" s="117" t="str"/>
      <x:c r="N372" s="117"/>
      <x:c r="O372" s="117"/>
      <x:c r="P372" s="117" t="str"/>
      <x:c r="Q372" s="117" t="str">
        <x:v>49.0</x:v>
      </x:c>
      <x:c r="R372" s="117" t="str">
        <x:v>unmanaged</x:v>
      </x:c>
      <x:c r="S372" s="118" t="n">
        <x:v>4</x:v>
      </x:c>
      <x:c r="T372" s="118" t="n">
        <x:v>14</x:v>
      </x:c>
      <x:c r="U372" s="118" t="n">
        <x:v>1</x:v>
      </x:c>
      <x:c r="V372" s="118" t="n">
        <x:v>0</x:v>
      </x:c>
      <x:c r="W372" s="118" t="n">
        <x:v>2</x:v>
      </x:c>
      <x:c r="X372" s="118" t="n">
        <x:v>0</x:v>
      </x:c>
      <x:c r="Y372" s="118" t="n">
        <x:v>1</x:v>
      </x:c>
      <x:c r="Z372" s="117" t="str">
        <x:v>N/A</x:v>
      </x:c>
      <x:c r="AA372" s="120" t="n">
        <x:v>44349.914351851854</x:v>
      </x:c>
      <x:c r="AB372" s="117" t="str">
        <x:v>Delegate</x:v>
      </x:c>
      <x:c r="AC372" s="119" t="str">
        <x:v>Processes that run when an opportunity is created</x:v>
      </x:c>
      <x:c r="AD372" s="119" t="str"/>
    </x:row>
    <x:row r="373" ht="34" customHeight="1">
      <x:c r="A373" s="117" t="str">
        <x:v>3005b000000H1eMAAS</x:v>
      </x:c>
      <x:c r="B373" s="117" t="str">
        <x:v>Opportunity_Create_Warranty_Service_Contract</x:v>
      </x:c>
      <x:c r="C373" s="117" t="str">
        <x:v>Opportunity - Create Warranty Service Contract</x:v>
      </x:c>
      <x:c r="D373" s="117" t="str">
        <x:v>Yes</x:v>
      </x:c>
      <x:c r="E373" s="118" t="n">
        <x:v>16</x:v>
      </x:c>
      <x:c r="F373" s="118" t="n">
        <x:v>16</x:v>
      </x:c>
      <x:c r="G373" s="117" t="str">
        <x:v>Yes</x:v>
      </x:c>
      <x:c r="H373" s="119" t="str">
        <x:v>Active v16 (Retrieved XML)</x:v>
      </x:c>
      <x:c r="I373" s="117" t="str">
        <x:v>AutoLaunchedFlow</x:v>
      </x:c>
      <x:c r="J373" s="117" t="str">
        <x:v>Opportunity</x:v>
      </x:c>
      <x:c r="K373" s="117" t="str">
        <x:v>Yes</x:v>
      </x:c>
      <x:c r="L373" s="117" t="str">
        <x:v>Update</x:v>
      </x:c>
      <x:c r="M373" s="117" t="str">
        <x:v>RecordAfterSave</x:v>
      </x:c>
      <x:c r="N373" s="117"/>
      <x:c r="O373" s="117"/>
      <x:c r="P373" s="117" t="str"/>
      <x:c r="Q373" s="117" t="str">
        <x:v>52.0</x:v>
      </x:c>
      <x:c r="R373" s="117" t="str">
        <x:v>unmanaged</x:v>
      </x:c>
      <x:c r="S373" s="118" t="n">
        <x:v>16</x:v>
      </x:c>
      <x:c r="T373" s="118" t="n">
        <x:v>10</x:v>
      </x:c>
      <x:c r="U373" s="118" t="n">
        <x:v>7</x:v>
      </x:c>
      <x:c r="V373" s="118" t="n">
        <x:v>0</x:v>
      </x:c>
      <x:c r="W373" s="118" t="n">
        <x:v>0</x:v>
      </x:c>
      <x:c r="X373" s="118" t="n">
        <x:v>0</x:v>
      </x:c>
      <x:c r="Y373" s="118" t="n">
        <x:v>2</x:v>
      </x:c>
      <x:c r="Z373" s="117" t="str">
        <x:v>Strong</x:v>
      </x:c>
      <x:c r="AA373" s="120" t="n">
        <x:v>46178.638136574074</x:v>
      </x:c>
      <x:c r="AB373" s="117" t="str">
        <x:v>Delegate</x:v>
      </x:c>
      <x:c r="AC373" s="119" t="str">
        <x:v>05/22/2026 (BW) - Fixed the Shipping Country issue by adding an exception parameter for "US" to be changed to "United States"
06/05/2026 (BW) - Added StateTranslation__mdt lookup to convert 2-letter state abbreviations to full state names for Shipping and Billing state fields before creating the Service Contract</x:v>
      </x:c>
      <x:c r="AD373" s="119" t="str">
        <x:v>Touches many objects</x:v>
      </x:c>
    </x:row>
    <x:row r="374" ht="34" customHeight="1">
      <x:c r="A374" s="117" t="str">
        <x:v>300Ro00000wIHDtIAO</x:v>
      </x:c>
      <x:c r="B374" s="117" t="str">
        <x:v>Opportunity_Creation_and_Update_Set_Intercompany_Transaction_Opportunity_Name</x:v>
      </x:c>
      <x:c r="C374" s="117" t="str">
        <x:v>Opportunity - Creation and Update - Set Intercompany Transaction Opportunity Name</x:v>
      </x:c>
      <x:c r="D374" s="117" t="str">
        <x:v>Yes</x:v>
      </x:c>
      <x:c r="E374" s="118" t="n">
        <x:v>9</x:v>
      </x:c>
      <x:c r="F374" s="118" t="n">
        <x:v>9</x:v>
      </x:c>
      <x:c r="G374" s="117" t="str">
        <x:v>Yes</x:v>
      </x:c>
      <x:c r="H374" s="119" t="str">
        <x:v>Active v9 (Retrieved XML)</x:v>
      </x:c>
      <x:c r="I374" s="117" t="str">
        <x:v>AutoLaunchedFlow</x:v>
      </x:c>
      <x:c r="J374" s="117" t="str">
        <x:v>Opportunity</x:v>
      </x:c>
      <x:c r="K374" s="117" t="str">
        <x:v>Yes</x:v>
      </x:c>
      <x:c r="L374" s="117" t="str">
        <x:v>CreateAndUpdate</x:v>
      </x:c>
      <x:c r="M374" s="117" t="str">
        <x:v>RecordAfterSave</x:v>
      </x:c>
      <x:c r="N374" s="117"/>
      <x:c r="O374" s="117"/>
      <x:c r="P374" s="117" t="str"/>
      <x:c r="Q374" s="117" t="str">
        <x:v>66.0</x:v>
      </x:c>
      <x:c r="R374" s="117" t="str">
        <x:v>unmanaged</x:v>
      </x:c>
      <x:c r="S374" s="118" t="n">
        <x:v>9</x:v>
      </x:c>
      <x:c r="T374" s="118" t="n">
        <x:v>4</x:v>
      </x:c>
      <x:c r="U374" s="118" t="n">
        <x:v>2</x:v>
      </x:c>
      <x:c r="V374" s="118" t="n">
        <x:v>0</x:v>
      </x:c>
      <x:c r="W374" s="118" t="n">
        <x:v>0</x:v>
      </x:c>
      <x:c r="X374" s="118" t="n">
        <x:v>0</x:v>
      </x:c>
      <x:c r="Y374" s="118" t="n">
        <x:v>1</x:v>
      </x:c>
      <x:c r="Z374" s="117" t="str">
        <x:v>Strong</x:v>
      </x:c>
      <x:c r="AA374" s="120" t="n">
        <x:v>46218.36309027778</x:v>
      </x:c>
      <x:c r="AB374" s="117" t="str">
        <x:v>Sacha Pearce</x:v>
      </x:c>
      <x:c r="AC374" s="119" t="str">
        <x:v>15/06/2026 - SP - Excluding the "External Repair / Testing" Opportunity ID (012U00000001sNsIAI) and and Opportunities with the "Purchasing Opportunity Type" as "Sourcing" in the entry criteria.</x:v>
      </x:c>
      <x:c r="AD374" s="119" t="str"/>
    </x:row>
    <x:row r="375" ht="34" customHeight="1">
      <x:c r="A375" s="117" t="str">
        <x:v>300Ro00000wHiZaIAK</x:v>
      </x:c>
      <x:c r="B375" s="117" t="str">
        <x:v>Opportunity_Line_Item_Creation_or_Update_Set_Opportunity_Asset_Summary</x:v>
      </x:c>
      <x:c r="C375" s="117" t="str">
        <x:v>Opportunity Line Item - Creation or Update - Set Opportunity Asset Summary</x:v>
      </x:c>
      <x:c r="D375" s="117" t="str">
        <x:v>Yes</x:v>
      </x:c>
      <x:c r="E375" s="118" t="n">
        <x:v>6</x:v>
      </x:c>
      <x:c r="F375" s="118" t="n">
        <x:v>6</x:v>
      </x:c>
      <x:c r="G375" s="117" t="str">
        <x:v>Yes</x:v>
      </x:c>
      <x:c r="H375" s="119" t="str">
        <x:v>Active v6 (Retrieved XML)</x:v>
      </x:c>
      <x:c r="I375" s="117" t="str">
        <x:v>AutoLaunchedFlow</x:v>
      </x:c>
      <x:c r="J375" s="117" t="str">
        <x:v>Opportunity</x:v>
      </x:c>
      <x:c r="K375" s="117" t="str">
        <x:v>Yes</x:v>
      </x:c>
      <x:c r="L375" s="117" t="str">
        <x:v>CreateAndUpdate</x:v>
      </x:c>
      <x:c r="M375" s="117" t="str">
        <x:v>RecordAfterSave</x:v>
      </x:c>
      <x:c r="N375" s="117"/>
      <x:c r="O375" s="117"/>
      <x:c r="P375" s="117" t="str"/>
      <x:c r="Q375" s="117" t="str">
        <x:v>66.0</x:v>
      </x:c>
      <x:c r="R375" s="117" t="str">
        <x:v>unmanaged</x:v>
      </x:c>
      <x:c r="S375" s="118" t="n">
        <x:v>6</x:v>
      </x:c>
      <x:c r="T375" s="118" t="n">
        <x:v>6</x:v>
      </x:c>
      <x:c r="U375" s="118" t="n">
        <x:v>2</x:v>
      </x:c>
      <x:c r="V375" s="118" t="n">
        <x:v>0</x:v>
      </x:c>
      <x:c r="W375" s="118" t="n">
        <x:v>0</x:v>
      </x:c>
      <x:c r="X375" s="118" t="n">
        <x:v>0</x:v>
      </x:c>
      <x:c r="Y375" s="118" t="n">
        <x:v>1</x:v>
      </x:c>
      <x:c r="Z375" s="117" t="str">
        <x:v>Strong</x:v>
      </x:c>
      <x:c r="AA375" s="120" t="n">
        <x:v>46231.63334490741</x:v>
      </x:c>
      <x:c r="AB375" s="117" t="str">
        <x:v>Sacha Pearce</x:v>
      </x:c>
      <x:c r="AC375" s="119" t="str">
        <x:v>07/28/2026 - SP - Updating to run off the "Generate Asset Summary" checkbox for better functionality.</x:v>
      </x:c>
      <x:c r="AD375" s="119" t="str"/>
    </x:row>
    <x:row r="376" ht="34" customHeight="1">
      <x:c r="A376" s="117" t="str">
        <x:v>300Ro000013hrwWIAQ</x:v>
      </x:c>
      <x:c r="B376" s="117" t="str">
        <x:v>Opportunity_Line_Item_Creation_or_Update_Tick_Generate_Asset_Summary_Checkbox</x:v>
      </x:c>
      <x:c r="C376" s="117" t="str">
        <x:v>Opportunity Line Item - Creation or Update - Tick Generate Asset Summary Checkbox</x:v>
      </x:c>
      <x:c r="D376" s="117" t="str">
        <x:v>Yes</x:v>
      </x:c>
      <x:c r="E376" s="118" t="n">
        <x:v>4</x:v>
      </x:c>
      <x:c r="F376" s="118" t="n">
        <x:v>4</x:v>
      </x:c>
      <x:c r="G376" s="117" t="str">
        <x:v>Yes</x:v>
      </x:c>
      <x:c r="H376" s="119" t="str">
        <x:v>Active v4 (Retrieved XML)</x:v>
      </x:c>
      <x:c r="I376" s="117" t="str">
        <x:v>AutoLaunchedFlow</x:v>
      </x:c>
      <x:c r="J376" s="117" t="str">
        <x:v>OpportunityLineItem</x:v>
      </x:c>
      <x:c r="K376" s="117" t="str">
        <x:v>Yes</x:v>
      </x:c>
      <x:c r="L376" s="117" t="str">
        <x:v>Create</x:v>
      </x:c>
      <x:c r="M376" s="117" t="str">
        <x:v>RecordAfterSave</x:v>
      </x:c>
      <x:c r="N376" s="117"/>
      <x:c r="O376" s="117"/>
      <x:c r="P376" s="117" t="str"/>
      <x:c r="Q376" s="117" t="str">
        <x:v>66.0</x:v>
      </x:c>
      <x:c r="R376" s="117" t="str">
        <x:v>unmanaged</x:v>
      </x:c>
      <x:c r="S376" s="118" t="n">
        <x:v>4</x:v>
      </x:c>
      <x:c r="T376" s="118" t="n">
        <x:v>2</x:v>
      </x:c>
      <x:c r="U376" s="118" t="n">
        <x:v>1</x:v>
      </x:c>
      <x:c r="V376" s="118" t="n">
        <x:v>0</x:v>
      </x:c>
      <x:c r="W376" s="118" t="n">
        <x:v>0</x:v>
      </x:c>
      <x:c r="X376" s="118" t="n">
        <x:v>0</x:v>
      </x:c>
      <x:c r="Y376" s="118" t="n">
        <x:v>1</x:v>
      </x:c>
      <x:c r="Z376" s="117" t="str">
        <x:v>Strong</x:v>
      </x:c>
      <x:c r="AA376" s="120" t="n">
        <x:v>46237.41898148148</x:v>
      </x:c>
      <x:c r="AB376" s="117" t="str">
        <x:v>Sacha Pearce</x:v>
      </x:c>
      <x:c r="AC376" s="119" t="str">
        <x:v>29/07/2026 - SP - Updating Flow to run on creation.</x:v>
      </x:c>
      <x:c r="AD376" s="119" t="str"/>
    </x:row>
    <x:row r="377" ht="34" customHeight="1">
      <x:c r="A377" s="117" t="str">
        <x:v>300Ro00000wLIlNIAW</x:v>
      </x:c>
      <x:c r="B377" s="117" t="str">
        <x:v>Opportunity_Line_Item_On_Delete_Set_Opportunity_Asset_Summary</x:v>
      </x:c>
      <x:c r="C377" s="117" t="str">
        <x:v>Opportunity Line Item - On Delete - Set Opportunity Asset Summary</x:v>
      </x:c>
      <x:c r="D377" s="117" t="str">
        <x:v>Yes</x:v>
      </x:c>
      <x:c r="E377" s="118" t="n">
        <x:v>3</x:v>
      </x:c>
      <x:c r="F377" s="118" t="n">
        <x:v>3</x:v>
      </x:c>
      <x:c r="G377" s="117" t="str">
        <x:v>Yes</x:v>
      </x:c>
      <x:c r="H377" s="119" t="str">
        <x:v>Active v3 (Retrieved XML)</x:v>
      </x:c>
      <x:c r="I377" s="117" t="str">
        <x:v>AutoLaunchedFlow</x:v>
      </x:c>
      <x:c r="J377" s="117" t="str">
        <x:v>OpportunityLineItem</x:v>
      </x:c>
      <x:c r="K377" s="117" t="str">
        <x:v>Yes</x:v>
      </x:c>
      <x:c r="L377" s="117" t="str">
        <x:v>Delete</x:v>
      </x:c>
      <x:c r="M377" s="117" t="str">
        <x:v>RecordBeforeDelete</x:v>
      </x:c>
      <x:c r="N377" s="117"/>
      <x:c r="O377" s="117"/>
      <x:c r="P377" s="117" t="str"/>
      <x:c r="Q377" s="117" t="str">
        <x:v>66.0</x:v>
      </x:c>
      <x:c r="R377" s="117" t="str">
        <x:v>unmanaged</x:v>
      </x:c>
      <x:c r="S377" s="118" t="n">
        <x:v>3</x:v>
      </x:c>
      <x:c r="T377" s="118" t="n">
        <x:v>7</x:v>
      </x:c>
      <x:c r="U377" s="118" t="n">
        <x:v>1</x:v>
      </x:c>
      <x:c r="V377" s="118" t="n">
        <x:v>0</x:v>
      </x:c>
      <x:c r="W377" s="118" t="n">
        <x:v>0</x:v>
      </x:c>
      <x:c r="X377" s="118" t="n">
        <x:v>0</x:v>
      </x:c>
      <x:c r="Y377" s="118" t="n">
        <x:v>1</x:v>
      </x:c>
      <x:c r="Z377" s="117" t="str">
        <x:v>Review</x:v>
      </x:c>
      <x:c r="AA377" s="120" t="n">
        <x:v>46141.870405092595</x:v>
      </x:c>
      <x:c r="AB377" s="117" t="str">
        <x:v>Sacha Pearce</x:v>
      </x:c>
      <x:c r="AC377" s="119" t="str"/>
      <x:c r="AD377" s="119" t="str">
        <x:v>Active flow has no description</x:v>
      </x:c>
    </x:row>
    <x:row r="378" ht="34" customHeight="1">
      <x:c r="A378" s="117" t="str">
        <x:v>300Ro00000pErn3IAC</x:v>
      </x:c>
      <x:c r="B378" s="117" t="str">
        <x:v>Opportunity_Product_Ansynchronous_on_update_Update_WOLI_with_pricing_quantity</x:v>
      </x:c>
      <x:c r="C378" s="117" t="str">
        <x:v>Opportunity Product | Ansynchronous, on update, Update WOLI with pricing &amp; quantity</x:v>
      </x:c>
      <x:c r="D378" s="117" t="str">
        <x:v>Yes</x:v>
      </x:c>
      <x:c r="E378" s="118" t="n">
        <x:v>2</x:v>
      </x:c>
      <x:c r="F378" s="118" t="n">
        <x:v>2</x:v>
      </x:c>
      <x:c r="G378" s="117" t="str">
        <x:v>Yes</x:v>
      </x:c>
      <x:c r="H378" s="119" t="str">
        <x:v>Active v2 (Retrieved XML)</x:v>
      </x:c>
      <x:c r="I378" s="117" t="str">
        <x:v>AutoLaunchedFlow</x:v>
      </x:c>
      <x:c r="J378" s="117" t="str">
        <x:v>OpportunityLineItem</x:v>
      </x:c>
      <x:c r="K378" s="117" t="str">
        <x:v>Yes</x:v>
      </x:c>
      <x:c r="L378" s="117" t="str">
        <x:v>Update</x:v>
      </x:c>
      <x:c r="M378" s="117" t="str">
        <x:v>RecordAfterSave</x:v>
      </x:c>
      <x:c r="N378" s="117"/>
      <x:c r="O378" s="117"/>
      <x:c r="P378" s="117" t="str"/>
      <x:c r="Q378" s="117" t="str">
        <x:v>64.0</x:v>
      </x:c>
      <x:c r="R378" s="117" t="str">
        <x:v>unmanaged</x:v>
      </x:c>
      <x:c r="S378" s="118" t="n">
        <x:v>2</x:v>
      </x:c>
      <x:c r="T378" s="118" t="n">
        <x:v>2</x:v>
      </x:c>
      <x:c r="U378" s="118" t="n">
        <x:v>1</x:v>
      </x:c>
      <x:c r="V378" s="118" t="n">
        <x:v>0</x:v>
      </x:c>
      <x:c r="W378" s="118" t="n">
        <x:v>0</x:v>
      </x:c>
      <x:c r="X378" s="118" t="n">
        <x:v>0</x:v>
      </x:c>
      <x:c r="Y378" s="118" t="n">
        <x:v>1</x:v>
      </x:c>
      <x:c r="Z378" s="117" t="str">
        <x:v>Review</x:v>
      </x:c>
      <x:c r="AA378" s="120" t="n">
        <x:v>46049.54790509259</x:v>
      </x:c>
      <x:c r="AB378" s="117" t="str">
        <x:v>Delegate</x:v>
      </x:c>
      <x:c r="AC378" s="119" t="str">
        <x:v>01/27/2026 (BW) - On Opportunity Product update, set the WOLI information</x:v>
      </x:c>
      <x:c r="AD378" s="119" t="str"/>
    </x:row>
    <x:row r="379" ht="34" customHeight="1">
      <x:c r="A379" s="117" t="str">
        <x:v>300Ro00000cnT4hIAE</x:v>
      </x:c>
      <x:c r="B379" s="117" t="str">
        <x:v>Opportunity_Product_Asynchronous_on_create_update_WOLI_with_Opp_Product_if_Appli</x:v>
      </x:c>
      <x:c r="C379" s="117" t="str">
        <x:v>Opportunity Product | Asynchronous, on create, update WOLI with Opp Product if Applicable</x:v>
      </x:c>
      <x:c r="D379" s="117" t="str">
        <x:v>Yes</x:v>
      </x:c>
      <x:c r="E379" s="118" t="n">
        <x:v>2</x:v>
      </x:c>
      <x:c r="F379" s="118" t="n">
        <x:v>2</x:v>
      </x:c>
      <x:c r="G379" s="117" t="str">
        <x:v>Yes</x:v>
      </x:c>
      <x:c r="H379" s="119" t="str">
        <x:v>Active v2 (Retrieved XML)</x:v>
      </x:c>
      <x:c r="I379" s="117" t="str">
        <x:v>AutoLaunchedFlow</x:v>
      </x:c>
      <x:c r="J379" s="117" t="str">
        <x:v>OpportunityLineItem</x:v>
      </x:c>
      <x:c r="K379" s="117" t="str">
        <x:v>Yes</x:v>
      </x:c>
      <x:c r="L379" s="117" t="str">
        <x:v>Create</x:v>
      </x:c>
      <x:c r="M379" s="117" t="str">
        <x:v>RecordAfterSave</x:v>
      </x:c>
      <x:c r="N379" s="117"/>
      <x:c r="O379" s="117"/>
      <x:c r="P379" s="117" t="str"/>
      <x:c r="Q379" s="117" t="str">
        <x:v>64.0</x:v>
      </x:c>
      <x:c r="R379" s="117" t="str">
        <x:v>unmanaged</x:v>
      </x:c>
      <x:c r="S379" s="118" t="n">
        <x:v>2</x:v>
      </x:c>
      <x:c r="T379" s="118" t="n">
        <x:v>2</x:v>
      </x:c>
      <x:c r="U379" s="118" t="n">
        <x:v>1</x:v>
      </x:c>
      <x:c r="V379" s="118" t="n">
        <x:v>0</x:v>
      </x:c>
      <x:c r="W379" s="118" t="n">
        <x:v>0</x:v>
      </x:c>
      <x:c r="X379" s="118" t="n">
        <x:v>0</x:v>
      </x:c>
      <x:c r="Y379" s="118" t="n">
        <x:v>1</x:v>
      </x:c>
      <x:c r="Z379" s="117" t="str">
        <x:v>Strong</x:v>
      </x:c>
      <x:c r="AA379" s="120" t="n">
        <x:v>46049.54439814815</x:v>
      </x:c>
      <x:c r="AB379" s="117" t="str">
        <x:v>Delegate</x:v>
      </x:c>
      <x:c r="AC379" s="119" t="str">
        <x:v>01/27/2026 (BW) Updated so that the unit price and quantity come over from the opportunity as well</x:v>
      </x:c>
      <x:c r="AD379" s="119" t="str"/>
    </x:row>
    <x:row r="380" ht="34" customHeight="1">
      <x:c r="A380" s="117" t="str">
        <x:v>300Ro00000cnT4iIAE</x:v>
      </x:c>
      <x:c r="B380" s="117" t="str">
        <x:v>Opportunity_Product_On_Delete</x:v>
      </x:c>
      <x:c r="C380" s="117" t="str">
        <x:v>Opportunity Product | On Delete</x:v>
      </x:c>
      <x:c r="D380" s="117" t="str">
        <x:v>Yes</x:v>
      </x:c>
      <x:c r="E380" s="118" t="n">
        <x:v>1</x:v>
      </x:c>
      <x:c r="F380" s="118" t="n">
        <x:v>1</x:v>
      </x:c>
      <x:c r="G380" s="117" t="str">
        <x:v>Yes</x:v>
      </x:c>
      <x:c r="H380" s="119" t="str">
        <x:v>Active v1 (Retrieved XML)</x:v>
      </x:c>
      <x:c r="I380" s="117" t="str">
        <x:v>AutoLaunchedFlow</x:v>
      </x:c>
      <x:c r="J380" s="117" t="str">
        <x:v>OpportunityLineItem</x:v>
      </x:c>
      <x:c r="K380" s="117" t="str">
        <x:v>Yes</x:v>
      </x:c>
      <x:c r="L380" s="117" t="str">
        <x:v>Delete</x:v>
      </x:c>
      <x:c r="M380" s="117" t="str">
        <x:v>RecordBeforeDelete</x:v>
      </x:c>
      <x:c r="N380" s="117"/>
      <x:c r="O380" s="117"/>
      <x:c r="P380" s="117" t="str"/>
      <x:c r="Q380" s="117" t="str">
        <x:v>64.0</x:v>
      </x:c>
      <x:c r="R380" s="117" t="str">
        <x:v>unmanaged</x:v>
      </x:c>
      <x:c r="S380" s="118" t="n">
        <x:v>1</x:v>
      </x:c>
      <x:c r="T380" s="118" t="n">
        <x:v>3</x:v>
      </x:c>
      <x:c r="U380" s="118" t="n">
        <x:v>3</x:v>
      </x:c>
      <x:c r="V380" s="118" t="n">
        <x:v>0</x:v>
      </x:c>
      <x:c r="W380" s="118" t="n">
        <x:v>0</x:v>
      </x:c>
      <x:c r="X380" s="118" t="n">
        <x:v>0</x:v>
      </x:c>
      <x:c r="Y380" s="118" t="n">
        <x:v>2</x:v>
      </x:c>
      <x:c r="Z380" s="117" t="str">
        <x:v>Review</x:v>
      </x:c>
      <x:c r="AA380" s="120" t="n">
        <x:v>45883.0802662037</x:v>
      </x:c>
      <x:c r="AB380" s="117" t="str">
        <x:v>Delegate</x:v>
      </x:c>
      <x:c r="AC380" s="119" t="str">
        <x:v>07/18/2025 (BW) - Call the removal of the opportunity product myself</x:v>
      </x:c>
      <x:c r="AD380" s="119" t="str"/>
    </x:row>
    <x:row r="381" ht="34" customHeight="1">
      <x:c r="A381" s="117" t="str">
        <x:v>3005b000000Pz1DAAS</x:v>
      </x:c>
      <x:c r="B381" s="117" t="str">
        <x:v>Opportunity_Product_Rollups</x:v>
      </x:c>
      <x:c r="C381" s="117" t="str">
        <x:v>Opportunity Product Rollups - On Update</x:v>
      </x:c>
      <x:c r="D381" s="117" t="str">
        <x:v>Yes</x:v>
      </x:c>
      <x:c r="E381" s="118" t="n">
        <x:v>18</x:v>
      </x:c>
      <x:c r="F381" s="118" t="n">
        <x:v>18</x:v>
      </x:c>
      <x:c r="G381" s="117" t="str">
        <x:v>Yes</x:v>
      </x:c>
      <x:c r="H381" s="119" t="str">
        <x:v>Active v18 (Retrieved XML)</x:v>
      </x:c>
      <x:c r="I381" s="117" t="str">
        <x:v>AutoLaunchedFlow</x:v>
      </x:c>
      <x:c r="J381" s="117" t="str">
        <x:v>OpportunityLineItem</x:v>
      </x:c>
      <x:c r="K381" s="117" t="str">
        <x:v>Yes</x:v>
      </x:c>
      <x:c r="L381" s="117" t="str">
        <x:v>Update</x:v>
      </x:c>
      <x:c r="M381" s="117" t="str">
        <x:v>RecordAfterSave</x:v>
      </x:c>
      <x:c r="N381" s="117"/>
      <x:c r="O381" s="117"/>
      <x:c r="P381" s="117" t="str"/>
      <x:c r="Q381" s="117" t="str">
        <x:v>57.0</x:v>
      </x:c>
      <x:c r="R381" s="117" t="str">
        <x:v>unmanaged</x:v>
      </x:c>
      <x:c r="S381" s="118" t="n">
        <x:v>18</x:v>
      </x:c>
      <x:c r="T381" s="118" t="n">
        <x:v>86</x:v>
      </x:c>
      <x:c r="U381" s="118" t="n">
        <x:v>3</x:v>
      </x:c>
      <x:c r="V381" s="118" t="n">
        <x:v>0</x:v>
      </x:c>
      <x:c r="W381" s="118" t="n">
        <x:v>0</x:v>
      </x:c>
      <x:c r="X381" s="118" t="n">
        <x:v>0</x:v>
      </x:c>
      <x:c r="Y381" s="118" t="n">
        <x:v>4</x:v>
      </x:c>
      <x:c r="Z381" s="117" t="str">
        <x:v>Review</x:v>
      </x:c>
      <x:c r="AA381" s="120" t="n">
        <x:v>45645.07633101852</x:v>
      </x:c>
      <x:c r="AB381" s="117" t="str">
        <x:v>Natalie Boger</x:v>
      </x:c>
      <x:c r="AC381" s="119" t="str">
        <x:v>12/18/24 - updating decision tree for cold storage product to include storage in product name</x:v>
      </x:c>
      <x:c r="AD381" s="119" t="str">
        <x:v>High element count</x:v>
      </x:c>
    </x:row>
    <x:row r="382" ht="34" customHeight="1">
      <x:c r="A382" s="117" t="str">
        <x:v>3005b00000113QYAAY</x:v>
      </x:c>
      <x:c r="B382" s="117" t="str">
        <x:v>Opportunity_Product_Rollups_On_Create</x:v>
      </x:c>
      <x:c r="C382" s="117" t="str">
        <x:v>Opportunity Product Rollups - On Create</x:v>
      </x:c>
      <x:c r="D382" s="117" t="str">
        <x:v>Yes</x:v>
      </x:c>
      <x:c r="E382" s="118" t="n">
        <x:v>4</x:v>
      </x:c>
      <x:c r="F382" s="118" t="n">
        <x:v>4</x:v>
      </x:c>
      <x:c r="G382" s="117" t="str">
        <x:v>Yes</x:v>
      </x:c>
      <x:c r="H382" s="119" t="str">
        <x:v>Active v4 (Retrieved XML)</x:v>
      </x:c>
      <x:c r="I382" s="117" t="str">
        <x:v>AutoLaunchedFlow</x:v>
      </x:c>
      <x:c r="J382" s="117" t="str">
        <x:v>OpportunityLineItem</x:v>
      </x:c>
      <x:c r="K382" s="117" t="str">
        <x:v>Yes</x:v>
      </x:c>
      <x:c r="L382" s="117" t="str">
        <x:v>Create</x:v>
      </x:c>
      <x:c r="M382" s="117" t="str">
        <x:v>RecordAfterSave</x:v>
      </x:c>
      <x:c r="N382" s="117"/>
      <x:c r="O382" s="117"/>
      <x:c r="P382" s="117" t="str"/>
      <x:c r="Q382" s="117" t="str">
        <x:v>57.0</x:v>
      </x:c>
      <x:c r="R382" s="117" t="str">
        <x:v>unmanaged</x:v>
      </x:c>
      <x:c r="S382" s="118" t="n">
        <x:v>4</x:v>
      </x:c>
      <x:c r="T382" s="118" t="n">
        <x:v>81</x:v>
      </x:c>
      <x:c r="U382" s="118" t="n">
        <x:v>3</x:v>
      </x:c>
      <x:c r="V382" s="118" t="n">
        <x:v>0</x:v>
      </x:c>
      <x:c r="W382" s="118" t="n">
        <x:v>0</x:v>
      </x:c>
      <x:c r="X382" s="118" t="n">
        <x:v>0</x:v>
      </x:c>
      <x:c r="Y382" s="118" t="n">
        <x:v>4</x:v>
      </x:c>
      <x:c r="Z382" s="117" t="str">
        <x:v>Strong</x:v>
      </x:c>
      <x:c r="AA382" s="120" t="n">
        <x:v>45743.54785879629</x:v>
      </x:c>
      <x:c r="AB382" s="117" t="str">
        <x:v>Delegate</x:v>
      </x:c>
      <x:c r="AC382" s="119" t="str">
        <x:v>AM: Added Quantity Remaining = Quantity on create.</x:v>
      </x:c>
      <x:c r="AD382" s="119" t="str">
        <x:v>High element count</x:v>
      </x:c>
    </x:row>
    <x:row r="383" ht="34" customHeight="1">
      <x:c r="A383" s="117" t="str">
        <x:v>3005b000000LHqlAAG</x:v>
      </x:c>
      <x:c r="B383" s="117" t="str">
        <x:v>Opportunity_Product_Updates_Flow</x:v>
      </x:c>
      <x:c r="C383" s="117" t="str">
        <x:v>Opportunity Product Updates Flow</x:v>
      </x:c>
      <x:c r="D383" s="117" t="str">
        <x:v>Yes</x:v>
      </x:c>
      <x:c r="E383" s="118" t="n">
        <x:v>12</x:v>
      </x:c>
      <x:c r="F383" s="118" t="n">
        <x:v>13</x:v>
      </x:c>
      <x:c r="G383" s="117" t="str">
        <x:v>No</x:v>
      </x:c>
      <x:c r="H383" s="119" t="str">
        <x:v>Active v12 (Tooling metadata)</x:v>
      </x:c>
      <x:c r="I383" s="117" t="str">
        <x:v>AutoLaunchedFlow</x:v>
      </x:c>
      <x:c r="J383" s="117" t="str">
        <x:v>OpportunityLineItem</x:v>
      </x:c>
      <x:c r="K383" s="117" t="str">
        <x:v>Yes</x:v>
      </x:c>
      <x:c r="L383" s="117" t="str">
        <x:v>CreateAndUpdate</x:v>
      </x:c>
      <x:c r="M383" s="117" t="str">
        <x:v>RecordAfterSave</x:v>
      </x:c>
      <x:c r="N383" s="117"/>
      <x:c r="O383" s="117"/>
      <x:c r="P383" s="117" t="str"/>
      <x:c r="Q383" s="117" t="n">
        <x:v>56</x:v>
      </x:c>
      <x:c r="R383" s="117" t="str">
        <x:v>unmanaged</x:v>
      </x:c>
      <x:c r="S383" s="118" t="n">
        <x:v>13</x:v>
      </x:c>
      <x:c r="T383" s="118" t="n">
        <x:v>7</x:v>
      </x:c>
      <x:c r="U383" s="118" t="n">
        <x:v>1</x:v>
      </x:c>
      <x:c r="V383" s="118" t="n">
        <x:v>0</x:v>
      </x:c>
      <x:c r="W383" s="118" t="n">
        <x:v>0</x:v>
      </x:c>
      <x:c r="X383" s="118" t="n">
        <x:v>0</x:v>
      </x:c>
      <x:c r="Y383" s="118" t="n">
        <x:v>1</x:v>
      </x:c>
      <x:c r="Z383" s="117" t="str">
        <x:v>Review</x:v>
      </x:c>
      <x:c r="AA383" s="120" t="n">
        <x:v>45867.67270833333</x:v>
      </x:c>
      <x:c r="AB383" s="117" t="str">
        <x:v>Delegate</x:v>
      </x:c>
      <x:c r="AC383" s="119" t="str">
        <x:v>if quantity changes, update Quantity Remaining for purposes of IRs</x:v>
      </x:c>
      <x:c r="AD383" s="119" t="str">
        <x:v>Active version differs from latest</x:v>
      </x:c>
    </x:row>
    <x:row r="384" ht="34" customHeight="1">
      <x:c r="A384" s="117" t="str">
        <x:v>300Ro00000ia9zdIAA</x:v>
      </x:c>
      <x:c r="B384" s="117" t="str">
        <x:v>Opportunity_Resync_System</x:v>
      </x:c>
      <x:c r="C384" s="117" t="str">
        <x:v>Opportunity - Resync System</x:v>
      </x:c>
      <x:c r="D384" s="117" t="str">
        <x:v>Yes</x:v>
      </x:c>
      <x:c r="E384" s="118" t="n">
        <x:v>15</x:v>
      </x:c>
      <x:c r="F384" s="118" t="n">
        <x:v>15</x:v>
      </x:c>
      <x:c r="G384" s="117" t="str">
        <x:v>Yes</x:v>
      </x:c>
      <x:c r="H384" s="119" t="str">
        <x:v>Active v15 (Retrieved XML)</x:v>
      </x:c>
      <x:c r="I384" s="117" t="str">
        <x:v>AutoLaunchedFlow</x:v>
      </x:c>
      <x:c r="J384" s="117" t="str">
        <x:v>Opportunity</x:v>
      </x:c>
      <x:c r="K384" s="117" t="str">
        <x:v>Yes</x:v>
      </x:c>
      <x:c r="L384" s="117" t="str"/>
      <x:c r="M384" s="117" t="str">
        <x:v>Scheduled</x:v>
      </x:c>
      <x:c r="N384" s="117"/>
      <x:c r="O384" s="117"/>
      <x:c r="P384" s="117" t="str">
        <x:v>Daily</x:v>
      </x:c>
      <x:c r="Q384" s="117" t="str">
        <x:v>65.0</x:v>
      </x:c>
      <x:c r="R384" s="117" t="str">
        <x:v>unmanaged</x:v>
      </x:c>
      <x:c r="S384" s="118" t="n">
        <x:v>15</x:v>
      </x:c>
      <x:c r="T384" s="118" t="n">
        <x:v>10</x:v>
      </x:c>
      <x:c r="U384" s="118" t="n">
        <x:v>1</x:v>
      </x:c>
      <x:c r="V384" s="118" t="n">
        <x:v>0</x:v>
      </x:c>
      <x:c r="W384" s="118" t="n">
        <x:v>0</x:v>
      </x:c>
      <x:c r="X384" s="118" t="n">
        <x:v>0</x:v>
      </x:c>
      <x:c r="Y384" s="118" t="n">
        <x:v>1</x:v>
      </x:c>
      <x:c r="Z384" s="117" t="str">
        <x:v>Review</x:v>
      </x:c>
      <x:c r="AA384" s="120" t="n">
        <x:v>46164.510104166664</x:v>
      </x:c>
      <x:c r="AB384" s="117" t="str">
        <x:v>Delegate</x:v>
      </x:c>
      <x:c r="AC384" s="119" t="str">
        <x:v>05/19/2026 (BW) - Updating so that "Transaction requires a date" also triggers a re-sync</x:v>
      </x:c>
      <x:c r="AD384" s="119" t="str"/>
    </x:row>
    <x:row r="385" ht="34" customHeight="1">
      <x:c r="A385" s="117" t="str">
        <x:v>300Ro000007doaYIAQ</x:v>
      </x:c>
      <x:c r="B385" s="117" t="str">
        <x:v>Opportunity_Rollups</x:v>
      </x:c>
      <x:c r="C385" s="117" t="str">
        <x:v>Opportunity Rollups</x:v>
      </x:c>
      <x:c r="D385" s="117" t="str">
        <x:v>No</x:v>
      </x:c>
      <x:c r="E385" s="118"/>
      <x:c r="F385" s="118" t="n">
        <x:v>1</x:v>
      </x:c>
      <x:c r="G385" s="117" t="str">
        <x:v>N/A</x:v>
      </x:c>
      <x:c r="H385" s="119" t="str">
        <x:v>Latest inactive v1 (Retrieved XML)</x:v>
      </x:c>
      <x:c r="I385" s="117" t="str">
        <x:v>AutoLaunchedFlow</x:v>
      </x:c>
      <x:c r="J385" s="117" t="str">
        <x:v>Opportunity</x:v>
      </x:c>
      <x:c r="K385" s="117" t="str">
        <x:v>No</x:v>
      </x:c>
      <x:c r="L385" s="117" t="str">
        <x:v>CreateAndUpdate</x:v>
      </x:c>
      <x:c r="M385" s="117" t="str">
        <x:v>RecordAfterSave</x:v>
      </x:c>
      <x:c r="N385" s="117"/>
      <x:c r="O385" s="117"/>
      <x:c r="P385" s="117" t="str"/>
      <x:c r="Q385" s="117" t="str">
        <x:v>57.0</x:v>
      </x:c>
      <x:c r="R385" s="117" t="str">
        <x:v>unmanaged</x:v>
      </x:c>
      <x:c r="S385" s="118" t="n">
        <x:v>1</x:v>
      </x:c>
      <x:c r="T385" s="118" t="n">
        <x:v>11</x:v>
      </x:c>
      <x:c r="U385" s="118" t="n">
        <x:v>3</x:v>
      </x:c>
      <x:c r="V385" s="118" t="n">
        <x:v>0</x:v>
      </x:c>
      <x:c r="W385" s="118" t="n">
        <x:v>0</x:v>
      </x:c>
      <x:c r="X385" s="118" t="n">
        <x:v>0</x:v>
      </x:c>
      <x:c r="Y385" s="118" t="n">
        <x:v>2</x:v>
      </x:c>
      <x:c r="Z385" s="117" t="str">
        <x:v>N/A</x:v>
      </x:c>
      <x:c r="AA385" s="120" t="n">
        <x:v>45356.55144675926</x:v>
      </x:c>
      <x:c r="AB385" s="117" t="str">
        <x:v>Delegate</x:v>
      </x:c>
      <x:c r="AC385" s="119" t="str"/>
      <x:c r="AD385" s="119" t="str"/>
    </x:row>
    <x:row r="386" ht="34" customHeight="1">
      <x:c r="A386" s="117" t="str">
        <x:v>3005b000000PzJCAA0</x:v>
      </x:c>
      <x:c r="B386" s="117" t="str">
        <x:v>Opportunity_Update_Fields_Flow</x:v>
      </x:c>
      <x:c r="C386" s="117" t="str">
        <x:v>Opportunity Update Fields Flow</x:v>
      </x:c>
      <x:c r="D386" s="117" t="str">
        <x:v>No</x:v>
      </x:c>
      <x:c r="E386" s="118"/>
      <x:c r="F386" s="118" t="n">
        <x:v>12</x:v>
      </x:c>
      <x:c r="G386" s="117" t="str">
        <x:v>N/A</x:v>
      </x:c>
      <x:c r="H386" s="119" t="str">
        <x:v>Latest inactive v12 (Retrieved XML)</x:v>
      </x:c>
      <x:c r="I386" s="117" t="str">
        <x:v>AutoLaunchedFlow</x:v>
      </x:c>
      <x:c r="J386" s="117" t="str">
        <x:v>Opportunity</x:v>
      </x:c>
      <x:c r="K386" s="117" t="str">
        <x:v>No</x:v>
      </x:c>
      <x:c r="L386" s="117" t="str">
        <x:v>CreateAndUpdate</x:v>
      </x:c>
      <x:c r="M386" s="117" t="str">
        <x:v>RecordAfterSave</x:v>
      </x:c>
      <x:c r="N386" s="117"/>
      <x:c r="O386" s="117"/>
      <x:c r="P386" s="117" t="str"/>
      <x:c r="Q386" s="117" t="str">
        <x:v>57.0</x:v>
      </x:c>
      <x:c r="R386" s="117" t="str">
        <x:v>unmanaged</x:v>
      </x:c>
      <x:c r="S386" s="118" t="n">
        <x:v>12</x:v>
      </x:c>
      <x:c r="T386" s="118" t="n">
        <x:v>11</x:v>
      </x:c>
      <x:c r="U386" s="118" t="n">
        <x:v>2</x:v>
      </x:c>
      <x:c r="V386" s="118" t="n">
        <x:v>0</x:v>
      </x:c>
      <x:c r="W386" s="118" t="n">
        <x:v>0</x:v>
      </x:c>
      <x:c r="X386" s="118" t="n">
        <x:v>0</x:v>
      </x:c>
      <x:c r="Y386" s="118" t="n">
        <x:v>1</x:v>
      </x:c>
      <x:c r="Z386" s="117" t="str">
        <x:v>N/A</x:v>
      </x:c>
      <x:c r="AA386" s="120" t="n">
        <x:v>45036.55130787037</x:v>
      </x:c>
      <x:c r="AB386" s="117" t="str">
        <x:v>Jace Gentil</x:v>
      </x:c>
      <x:c r="AC386" s="119" t="str"/>
      <x:c r="AD386" s="119" t="str"/>
    </x:row>
    <x:row r="387" ht="34" customHeight="1">
      <x:c r="A387" s="117" t="str">
        <x:v>300Ro00000tF5irIAC</x:v>
      </x:c>
      <x:c r="B387" s="117" t="str">
        <x:v>Opportunity_Update_FSE_Email_Record_Triggered_Flow</x:v>
      </x:c>
      <x:c r="C387" s="117" t="str">
        <x:v>Opportunity - Update FSE Email - Record-Triggered Flow</x:v>
      </x:c>
      <x:c r="D387" s="117" t="str">
        <x:v>Yes</x:v>
      </x:c>
      <x:c r="E387" s="118" t="n">
        <x:v>2</x:v>
      </x:c>
      <x:c r="F387" s="118" t="n">
        <x:v>2</x:v>
      </x:c>
      <x:c r="G387" s="117" t="str">
        <x:v>Yes</x:v>
      </x:c>
      <x:c r="H387" s="119" t="str">
        <x:v>Active v2 (Retrieved XML)</x:v>
      </x:c>
      <x:c r="I387" s="117" t="str">
        <x:v>AutoLaunchedFlow</x:v>
      </x:c>
      <x:c r="J387" s="117" t="str">
        <x:v>Opportunity</x:v>
      </x:c>
      <x:c r="K387" s="117" t="str">
        <x:v>Yes</x:v>
      </x:c>
      <x:c r="L387" s="117" t="str">
        <x:v>CreateAndUpdate</x:v>
      </x:c>
      <x:c r="M387" s="117" t="str">
        <x:v>RecordAfterSave</x:v>
      </x:c>
      <x:c r="N387" s="117"/>
      <x:c r="O387" s="117"/>
      <x:c r="P387" s="117" t="str"/>
      <x:c r="Q387" s="117" t="str">
        <x:v>66.0</x:v>
      </x:c>
      <x:c r="R387" s="117" t="str">
        <x:v>unmanaged</x:v>
      </x:c>
      <x:c r="S387" s="118" t="n">
        <x:v>2</x:v>
      </x:c>
      <x:c r="T387" s="118" t="n">
        <x:v>5</x:v>
      </x:c>
      <x:c r="U387" s="118" t="n">
        <x:v>2</x:v>
      </x:c>
      <x:c r="V387" s="118" t="n">
        <x:v>0</x:v>
      </x:c>
      <x:c r="W387" s="118" t="n">
        <x:v>0</x:v>
      </x:c>
      <x:c r="X387" s="118" t="n">
        <x:v>0</x:v>
      </x:c>
      <x:c r="Y387" s="118" t="n">
        <x:v>1</x:v>
      </x:c>
      <x:c r="Z387" s="117" t="str">
        <x:v>Strong</x:v>
      </x:c>
      <x:c r="AA387" s="120" t="n">
        <x:v>46150.529953703706</x:v>
      </x:c>
      <x:c r="AB387" s="117" t="str">
        <x:v>Sacha Pearce</x:v>
      </x:c>
      <x:c r="AC387" s="119" t="str">
        <x:v>08/05/2026 - Updating Flow's logic by introducing the "Field Service Engineer Changed Check". This is to set the "FSE Email" on Opportunity creation. Currently Opportunities made for Accounts with a "Field Service Engineer" entered are sometimes returning incorrect emails.</x:v>
      </x:c>
      <x:c r="AD387" s="119" t="str"/>
    </x:row>
    <x:row r="388" ht="34" customHeight="1">
      <x:c r="A388" s="117" t="str">
        <x:v>3004O000000LOvyQAG</x:v>
      </x:c>
      <x:c r="B388" s="117" t="str">
        <x:v>Opportunity_Update_Processes</x:v>
      </x:c>
      <x:c r="C388" s="117" t="str">
        <x:v>PB: Opportunity</x:v>
      </x:c>
      <x:c r="D388" s="117" t="str">
        <x:v>Yes</x:v>
      </x:c>
      <x:c r="E388" s="118" t="n">
        <x:v>66</x:v>
      </x:c>
      <x:c r="F388" s="118" t="n">
        <x:v>66</x:v>
      </x:c>
      <x:c r="G388" s="117" t="str">
        <x:v>Yes</x:v>
      </x:c>
      <x:c r="H388" s="119" t="str">
        <x:v>Active v66 (Retrieved XML)</x:v>
      </x:c>
      <x:c r="I388" s="117" t="str">
        <x:v>Workflow</x:v>
      </x:c>
      <x:c r="J388" s="117" t="str"/>
      <x:c r="K388" s="117" t="str">
        <x:v>No</x:v>
      </x:c>
      <x:c r="L388" s="117" t="str"/>
      <x:c r="M388" s="117" t="str"/>
      <x:c r="N388" s="117"/>
      <x:c r="O388" s="117"/>
      <x:c r="P388" s="117" t="str"/>
      <x:c r="Q388" s="117" t="str">
        <x:v>49.0</x:v>
      </x:c>
      <x:c r="R388" s="117" t="str">
        <x:v>unmanaged</x:v>
      </x:c>
      <x:c r="S388" s="118" t="n">
        <x:v>19</x:v>
      </x:c>
      <x:c r="T388" s="118" t="n">
        <x:v>21</x:v>
      </x:c>
      <x:c r="U388" s="118" t="n">
        <x:v>2</x:v>
      </x:c>
      <x:c r="V388" s="118" t="n">
        <x:v>0</x:v>
      </x:c>
      <x:c r="W388" s="118" t="n">
        <x:v>6</x:v>
      </x:c>
      <x:c r="X388" s="118" t="n">
        <x:v>0</x:v>
      </x:c>
      <x:c r="Y388" s="118" t="n">
        <x:v>3</x:v>
      </x:c>
      <x:c r="Z388" s="117" t="str">
        <x:v>N/A</x:v>
      </x:c>
      <x:c r="AA388" s="120" t="n">
        <x:v>46128.529710648145</x:v>
      </x:c>
      <x:c r="AB388" s="117" t="str">
        <x:v>Delegate</x:v>
      </x:c>
      <x:c r="AC388" s="119" t="str">
        <x:v>Adding a chatter post to the owner of the work order that it's been pre-paid</x:v>
      </x:c>
      <x:c r="AD388" s="119" t="str"/>
    </x:row>
    <x:row r="389" ht="34" customHeight="1">
      <x:c r="A389" s="117" t="str">
        <x:v>300Ro00000xXpjKIAS</x:v>
      </x:c>
      <x:c r="B389" s="117" t="str">
        <x:v>OpportunityLineItem_Async_on_create_Update_Avg_Inventory_Life_on_Opportunity</x:v>
      </x:c>
      <x:c r="C389" s="117" t="str">
        <x:v>OpportunityLineItem | Async, on create, Update Avg Inventory Life on Opportunity</x:v>
      </x:c>
      <x:c r="D389" s="117" t="str">
        <x:v>Yes</x:v>
      </x:c>
      <x:c r="E389" s="118" t="n">
        <x:v>1</x:v>
      </x:c>
      <x:c r="F389" s="118" t="n">
        <x:v>1</x:v>
      </x:c>
      <x:c r="G389" s="117" t="str">
        <x:v>Yes</x:v>
      </x:c>
      <x:c r="H389" s="119" t="str">
        <x:v>Active v1 (Retrieved XML)</x:v>
      </x:c>
      <x:c r="I389" s="117" t="str">
        <x:v>AutoLaunchedFlow</x:v>
      </x:c>
      <x:c r="J389" s="117" t="str">
        <x:v>OpportunityLineItem</x:v>
      </x:c>
      <x:c r="K389" s="117" t="str">
        <x:v>Yes</x:v>
      </x:c>
      <x:c r="L389" s="117" t="str">
        <x:v>Create</x:v>
      </x:c>
      <x:c r="M389" s="117" t="str">
        <x:v>RecordAfterSave</x:v>
      </x:c>
      <x:c r="N389" s="117"/>
      <x:c r="O389" s="117"/>
      <x:c r="P389" s="117" t="str"/>
      <x:c r="Q389" s="117" t="str">
        <x:v>65.0</x:v>
      </x:c>
      <x:c r="R389" s="117" t="str">
        <x:v>unmanaged</x:v>
      </x:c>
      <x:c r="S389" s="118" t="n">
        <x:v>1</x:v>
      </x:c>
      <x:c r="T389" s="118" t="n">
        <x:v>5</x:v>
      </x:c>
      <x:c r="U389" s="118" t="n">
        <x:v>2</x:v>
      </x:c>
      <x:c r="V389" s="118" t="n">
        <x:v>0</x:v>
      </x:c>
      <x:c r="W389" s="118" t="n">
        <x:v>0</x:v>
      </x:c>
      <x:c r="X389" s="118" t="n">
        <x:v>0</x:v>
      </x:c>
      <x:c r="Y389" s="118" t="n">
        <x:v>1</x:v>
      </x:c>
      <x:c r="Z389" s="117" t="str">
        <x:v>Strong</x:v>
      </x:c>
      <x:c r="AA389" s="120" t="n">
        <x:v>46157.59815972222</x:v>
      </x:c>
      <x:c r="AB389" s="117" t="str">
        <x:v>Delegate</x:v>
      </x:c>
      <x:c r="AC389" s="119" t="str">
        <x:v>05/15/26 (BW) – Async replacement for DLRS Avg_Inventory_Life_Opp_Product rollup (create path). Averages Avg_Inventory_Life__c across all OpportunityLineItems on the related Opportunity and writes the result to Working_Capital_Usage_Days_Generic_Pur__c.</x:v>
      </x:c>
      <x:c r="AD389" s="119" t="str"/>
    </x:row>
    <x:row r="390" ht="34" customHeight="1">
      <x:c r="A390" s="117" t="str">
        <x:v>300Ro00000xXpjLIAS</x:v>
      </x:c>
      <x:c r="B390" s="117" t="str">
        <x:v>OpportunityLineItem_Async_on_update_Update_Avg_Inventory_Life_on_Opportunity</x:v>
      </x:c>
      <x:c r="C390" s="117" t="str">
        <x:v>OpportunityLineItem | Async, on update, Update Avg Inventory Life on Opportunity</x:v>
      </x:c>
      <x:c r="D390" s="117" t="str">
        <x:v>Yes</x:v>
      </x:c>
      <x:c r="E390" s="118" t="n">
        <x:v>1</x:v>
      </x:c>
      <x:c r="F390" s="118" t="n">
        <x:v>1</x:v>
      </x:c>
      <x:c r="G390" s="117" t="str">
        <x:v>Yes</x:v>
      </x:c>
      <x:c r="H390" s="119" t="str">
        <x:v>Active v1 (Retrieved XML)</x:v>
      </x:c>
      <x:c r="I390" s="117" t="str">
        <x:v>AutoLaunchedFlow</x:v>
      </x:c>
      <x:c r="J390" s="117" t="str">
        <x:v>OpportunityLineItem</x:v>
      </x:c>
      <x:c r="K390" s="117" t="str">
        <x:v>Yes</x:v>
      </x:c>
      <x:c r="L390" s="117" t="str">
        <x:v>Update</x:v>
      </x:c>
      <x:c r="M390" s="117" t="str">
        <x:v>RecordAfterSave</x:v>
      </x:c>
      <x:c r="N390" s="117"/>
      <x:c r="O390" s="117"/>
      <x:c r="P390" s="117" t="str"/>
      <x:c r="Q390" s="117" t="str">
        <x:v>65.0</x:v>
      </x:c>
      <x:c r="R390" s="117" t="str">
        <x:v>unmanaged</x:v>
      </x:c>
      <x:c r="S390" s="118" t="n">
        <x:v>1</x:v>
      </x:c>
      <x:c r="T390" s="118" t="n">
        <x:v>11</x:v>
      </x:c>
      <x:c r="U390" s="118" t="n">
        <x:v>2</x:v>
      </x:c>
      <x:c r="V390" s="118" t="n">
        <x:v>0</x:v>
      </x:c>
      <x:c r="W390" s="118" t="n">
        <x:v>0</x:v>
      </x:c>
      <x:c r="X390" s="118" t="n">
        <x:v>0</x:v>
      </x:c>
      <x:c r="Y390" s="118" t="n">
        <x:v>1</x:v>
      </x:c>
      <x:c r="Z390" s="117" t="str">
        <x:v>Review</x:v>
      </x:c>
      <x:c r="AA390" s="120" t="n">
        <x:v>46157.59813657407</x:v>
      </x:c>
      <x:c r="AB390" s="117" t="str">
        <x:v>Delegate</x:v>
      </x:c>
      <x:c r="AC390" s="119" t="str">
        <x:v>05/15/26 (BW) – Async replacement for DLRS Avg_Inventory_Life_Opp_Product rollup (update path). Fires when OpportunityId or Avg_Inventory_Life__c changes. Immediate path recalculates the prior Opportunity when the lookup changes; async path recalculates the current Opportunity.</x:v>
      </x:c>
      <x:c r="AD390" s="119" t="str"/>
    </x:row>
    <x:row r="391" ht="34" customHeight="1">
      <x:c r="A391" s="117" t="str">
        <x:v>300Ro00000xXpjMIAS</x:v>
      </x:c>
      <x:c r="B391" s="117" t="str">
        <x:v>OpportunityLineItem_Before_delete_Update_Avg_Inventory_Life_on_Opportunity</x:v>
      </x:c>
      <x:c r="C391" s="117" t="str">
        <x:v>OpportunityLineItem | Before delete, Update Avg Inventory Life on Opportunity</x:v>
      </x:c>
      <x:c r="D391" s="117" t="str">
        <x:v>Yes</x:v>
      </x:c>
      <x:c r="E391" s="118" t="n">
        <x:v>1</x:v>
      </x:c>
      <x:c r="F391" s="118" t="n">
        <x:v>1</x:v>
      </x:c>
      <x:c r="G391" s="117" t="str">
        <x:v>Yes</x:v>
      </x:c>
      <x:c r="H391" s="119" t="str">
        <x:v>Active v1 (Retrieved XML)</x:v>
      </x:c>
      <x:c r="I391" s="117" t="str">
        <x:v>AutoLaunchedFlow</x:v>
      </x:c>
      <x:c r="J391" s="117" t="str">
        <x:v>OpportunityLineItem</x:v>
      </x:c>
      <x:c r="K391" s="117" t="str">
        <x:v>Yes</x:v>
      </x:c>
      <x:c r="L391" s="117" t="str">
        <x:v>Delete</x:v>
      </x:c>
      <x:c r="M391" s="117" t="str">
        <x:v>RecordBeforeDelete</x:v>
      </x:c>
      <x:c r="N391" s="117"/>
      <x:c r="O391" s="117"/>
      <x:c r="P391" s="117" t="str"/>
      <x:c r="Q391" s="117" t="str">
        <x:v>65.0</x:v>
      </x:c>
      <x:c r="R391" s="117" t="str">
        <x:v>unmanaged</x:v>
      </x:c>
      <x:c r="S391" s="118" t="n">
        <x:v>1</x:v>
      </x:c>
      <x:c r="T391" s="118" t="n">
        <x:v>5</x:v>
      </x:c>
      <x:c r="U391" s="118" t="n">
        <x:v>2</x:v>
      </x:c>
      <x:c r="V391" s="118" t="n">
        <x:v>0</x:v>
      </x:c>
      <x:c r="W391" s="118" t="n">
        <x:v>0</x:v>
      </x:c>
      <x:c r="X391" s="118" t="n">
        <x:v>0</x:v>
      </x:c>
      <x:c r="Y391" s="118" t="n">
        <x:v>1</x:v>
      </x:c>
      <x:c r="Z391" s="117" t="str">
        <x:v>Review</x:v>
      </x:c>
      <x:c r="AA391" s="120" t="n">
        <x:v>46157.59811342593</x:v>
      </x:c>
      <x:c r="AB391" s="117" t="str">
        <x:v>Delegate</x:v>
      </x:c>
      <x:c r="AC391" s="119" t="str">
        <x:v>05/15/26 (BW) – Replacement for DLRS Avg_Inventory_Life_Opp_Product rollup (delete path). Runs synchronously before delete; excludes the being-deleted OpportunityLineItem from the re-query so the average on the Opportunity is correct after deletion.</x:v>
      </x:c>
      <x:c r="AD391" s="119" t="str"/>
    </x:row>
    <x:row r="392" ht="34" customHeight="1">
      <x:c r="A392" s="117" t="str">
        <x:v>3005b000000LHYwAAO</x:v>
      </x:c>
      <x:c r="B392" s="117" t="str">
        <x:v>Original_Time_Warranty_Loaner_Action_Approved_Update</x:v>
      </x:c>
      <x:c r="C392" s="117" t="str">
        <x:v>Original Time Warranty/Loaner Action Approved Update</x:v>
      </x:c>
      <x:c r="D392" s="117" t="str">
        <x:v>Yes</x:v>
      </x:c>
      <x:c r="E392" s="118" t="n">
        <x:v>13</x:v>
      </x:c>
      <x:c r="F392" s="118" t="n">
        <x:v>13</x:v>
      </x:c>
      <x:c r="G392" s="117" t="str">
        <x:v>Yes</x:v>
      </x:c>
      <x:c r="H392" s="119" t="str">
        <x:v>Active v13 (Retrieved XML)</x:v>
      </x:c>
      <x:c r="I392" s="117" t="str">
        <x:v>AutoLaunchedFlow</x:v>
      </x:c>
      <x:c r="J392" s="117" t="str">
        <x:v>RMA__c</x:v>
      </x:c>
      <x:c r="K392" s="117" t="str">
        <x:v>Yes</x:v>
      </x:c>
      <x:c r="L392" s="117" t="str">
        <x:v>Update</x:v>
      </x:c>
      <x:c r="M392" s="117" t="str">
        <x:v>RecordAfterSave</x:v>
      </x:c>
      <x:c r="N392" s="117"/>
      <x:c r="O392" s="117"/>
      <x:c r="P392" s="117" t="str"/>
      <x:c r="Q392" s="117" t="str">
        <x:v>56.0</x:v>
      </x:c>
      <x:c r="R392" s="117" t="str">
        <x:v>unmanaged</x:v>
      </x:c>
      <x:c r="S392" s="118" t="n">
        <x:v>13</x:v>
      </x:c>
      <x:c r="T392" s="118" t="n">
        <x:v>11</x:v>
      </x:c>
      <x:c r="U392" s="118" t="n">
        <x:v>2</x:v>
      </x:c>
      <x:c r="V392" s="118" t="n">
        <x:v>0</x:v>
      </x:c>
      <x:c r="W392" s="118" t="n">
        <x:v>1</x:v>
      </x:c>
      <x:c r="X392" s="118" t="n">
        <x:v>0</x:v>
      </x:c>
      <x:c r="Y392" s="118" t="n">
        <x:v>1</x:v>
      </x:c>
      <x:c r="Z392" s="117" t="str">
        <x:v>Strong</x:v>
      </x:c>
      <x:c r="AA392" s="120" t="n">
        <x:v>45365.54583333333</x:v>
      </x:c>
      <x:c r="AB392" s="117" t="str">
        <x:v>Jace Gentil</x:v>
      </x:c>
      <x:c r="AC392" s="119" t="str"/>
      <x:c r="AD392" s="119" t="str">
        <x:v>Active flow has no description</x:v>
      </x:c>
    </x:row>
    <x:row r="393" ht="34" customHeight="1">
      <x:c r="A393" s="117" t="str">
        <x:v>300Ro00000kKs8HIAS</x:v>
      </x:c>
      <x:c r="B393" s="117" t="str">
        <x:v>Partial_Payment</x:v>
      </x:c>
      <x:c r="C393" s="117" t="str">
        <x:v>Partial Payment</x:v>
      </x:c>
      <x:c r="D393" s="117" t="str">
        <x:v>No</x:v>
      </x:c>
      <x:c r="E393" s="118"/>
      <x:c r="F393" s="118" t="n">
        <x:v>1</x:v>
      </x:c>
      <x:c r="G393" s="117" t="str">
        <x:v>N/A</x:v>
      </x:c>
      <x:c r="H393" s="119" t="str">
        <x:v>Latest inactive v1 (Tooling metadata)</x:v>
      </x:c>
      <x:c r="I393" s="117" t="str">
        <x:v>AutoLaunchedFlow</x:v>
      </x:c>
      <x:c r="J393" s="117" t="str"/>
      <x:c r="K393" s="117" t="str">
        <x:v>No</x:v>
      </x:c>
      <x:c r="L393" s="117" t="str"/>
      <x:c r="M393" s="117" t="str"/>
      <x:c r="N393" s="117"/>
      <x:c r="O393" s="117"/>
      <x:c r="P393" s="117" t="str"/>
      <x:c r="Q393" s="117" t="n">
        <x:v>64</x:v>
      </x:c>
      <x:c r="R393" s="117" t="str">
        <x:v>installed</x:v>
      </x:c>
      <x:c r="S393" s="118" t="n">
        <x:v>1</x:v>
      </x:c>
      <x:c r="T393" s="118" t="n">
        <x:v>0</x:v>
      </x:c>
      <x:c r="U393" s="118" t="n">
        <x:v>0</x:v>
      </x:c>
      <x:c r="V393" s="118" t="n">
        <x:v>0</x:v>
      </x:c>
      <x:c r="W393" s="118" t="n">
        <x:v>0</x:v>
      </x:c>
      <x:c r="X393" s="118" t="n">
        <x:v>0</x:v>
      </x:c>
      <x:c r="Y393" s="118" t="n">
        <x:v>1</x:v>
      </x:c>
      <x:c r="Z393" s="117" t="str">
        <x:v>N/A</x:v>
      </x:c>
      <x:c r="AA393" s="120" t="n">
        <x:v>45965.977430555555</x:v>
      </x:c>
      <x:c r="AB393" s="117" t="str"/>
      <x:c r="AC393" s="119" t="str">
        <x:v>This flow updates the Payment_Received__c field to 'Partial' on ChargentOrder__c records when the Transaction_Total__c is greater than 0 and less than the Total__c, indicating a partial payment has been received.</x:v>
      </x:c>
      <x:c r="AD393" s="119" t="str"/>
    </x:row>
    <x:row r="394" ht="34" customHeight="1">
      <x:c r="A394" s="117" t="str">
        <x:v>3005b000000H3y9AAC</x:v>
      </x:c>
      <x:c r="B394" s="117" t="str">
        <x:v>Parts_Pool_10k_Alert_Flow</x:v>
      </x:c>
      <x:c r="C394" s="117" t="str">
        <x:v>Parts Pool &lt; 10k Alert Flow</x:v>
      </x:c>
      <x:c r="D394" s="117" t="str">
        <x:v>Yes</x:v>
      </x:c>
      <x:c r="E394" s="118" t="n">
        <x:v>1</x:v>
      </x:c>
      <x:c r="F394" s="118" t="n">
        <x:v>1</x:v>
      </x:c>
      <x:c r="G394" s="117" t="str">
        <x:v>Yes</x:v>
      </x:c>
      <x:c r="H394" s="119" t="str">
        <x:v>Active v1 (Retrieved XML)</x:v>
      </x:c>
      <x:c r="I394" s="117" t="str">
        <x:v>AutoLaunchedFlow</x:v>
      </x:c>
      <x:c r="J394" s="117" t="str">
        <x:v>ContractLineItem</x:v>
      </x:c>
      <x:c r="K394" s="117" t="str">
        <x:v>Yes</x:v>
      </x:c>
      <x:c r="L394" s="117" t="str">
        <x:v>Update</x:v>
      </x:c>
      <x:c r="M394" s="117" t="str">
        <x:v>RecordAfterSave</x:v>
      </x:c>
      <x:c r="N394" s="117"/>
      <x:c r="O394" s="117"/>
      <x:c r="P394" s="117" t="str"/>
      <x:c r="Q394" s="117" t="str">
        <x:v>55.0</x:v>
      </x:c>
      <x:c r="R394" s="117" t="str">
        <x:v>unmanaged</x:v>
      </x:c>
      <x:c r="S394" s="118" t="n">
        <x:v>1</x:v>
      </x:c>
      <x:c r="T394" s="118" t="n">
        <x:v>2</x:v>
      </x:c>
      <x:c r="U394" s="118" t="n">
        <x:v>1</x:v>
      </x:c>
      <x:c r="V394" s="118" t="n">
        <x:v>0</x:v>
      </x:c>
      <x:c r="W394" s="118" t="n">
        <x:v>1</x:v>
      </x:c>
      <x:c r="X394" s="118" t="n">
        <x:v>0</x:v>
      </x:c>
      <x:c r="Y394" s="118" t="n">
        <x:v>1</x:v>
      </x:c>
      <x:c r="Z394" s="117" t="str">
        <x:v>Review</x:v>
      </x:c>
      <x:c r="AA394" s="120" t="n">
        <x:v>44741.590104166666</x:v>
      </x:c>
      <x:c r="AB394" s="117" t="str">
        <x:v>Jace Gentil</x:v>
      </x:c>
      <x:c r="AC394" s="119" t="str"/>
      <x:c r="AD394" s="119" t="str">
        <x:v>Active flow has no description</x:v>
      </x:c>
    </x:row>
    <x:row r="395" ht="34" customHeight="1">
      <x:c r="A395" s="117" t="str">
        <x:v>3004O0000000a9zQAA</x:v>
      </x:c>
      <x:c r="B395" s="117" t="str">
        <x:v>Parts_Validation_Approval_Process</x:v>
      </x:c>
      <x:c r="C395" s="117" t="str">
        <x:v>Parts Validation Approval Process</x:v>
      </x:c>
      <x:c r="D395" s="117" t="str">
        <x:v>No</x:v>
      </x:c>
      <x:c r="E395" s="118"/>
      <x:c r="F395" s="118" t="n">
        <x:v>6</x:v>
      </x:c>
      <x:c r="G395" s="117" t="str">
        <x:v>N/A</x:v>
      </x:c>
      <x:c r="H395" s="119" t="str">
        <x:v>Latest inactive v6 (Retrieved XML)</x:v>
      </x:c>
      <x:c r="I395" s="117" t="str">
        <x:v>Workflow</x:v>
      </x:c>
      <x:c r="J395" s="117" t="str"/>
      <x:c r="K395" s="117" t="str">
        <x:v>No</x:v>
      </x:c>
      <x:c r="L395" s="117" t="str"/>
      <x:c r="M395" s="117" t="str"/>
      <x:c r="N395" s="117"/>
      <x:c r="O395" s="117"/>
      <x:c r="P395" s="117" t="str"/>
      <x:c r="Q395" s="117" t="str">
        <x:v>50.0</x:v>
      </x:c>
      <x:c r="R395" s="117" t="str">
        <x:v>unmanaged</x:v>
      </x:c>
      <x:c r="S395" s="118" t="n">
        <x:v>6</x:v>
      </x:c>
      <x:c r="T395" s="118" t="n">
        <x:v>2</x:v>
      </x:c>
      <x:c r="U395" s="118" t="n">
        <x:v>1</x:v>
      </x:c>
      <x:c r="V395" s="118" t="n">
        <x:v>0</x:v>
      </x:c>
      <x:c r="W395" s="118" t="n">
        <x:v>1</x:v>
      </x:c>
      <x:c r="X395" s="118" t="n">
        <x:v>0</x:v>
      </x:c>
      <x:c r="Y395" s="118" t="n">
        <x:v>1</x:v>
      </x:c>
      <x:c r="Z395" s="117" t="str">
        <x:v>N/A</x:v>
      </x:c>
      <x:c r="AA395" s="120" t="n">
        <x:v>45425.84238425926</x:v>
      </x:c>
      <x:c r="AB395" s="117" t="str">
        <x:v>Jace Gentil</x:v>
      </x:c>
      <x:c r="AC395" s="119" t="str"/>
      <x:c r="AD395" s="119" t="str"/>
    </x:row>
    <x:row r="396" ht="34" customHeight="1">
      <x:c r="A396" s="117" t="str">
        <x:v>300Ro00000BfBE6IAN</x:v>
      </x:c>
      <x:c r="B396" s="117" t="str">
        <x:v>Parts_Validation_Approval_Process_1</x:v>
      </x:c>
      <x:c r="C396" s="117" t="str">
        <x:v>Parts Validation Approval Process_1</x:v>
      </x:c>
      <x:c r="D396" s="117" t="str">
        <x:v>Yes</x:v>
      </x:c>
      <x:c r="E396" s="118" t="n">
        <x:v>4</x:v>
      </x:c>
      <x:c r="F396" s="118" t="n">
        <x:v>4</x:v>
      </x:c>
      <x:c r="G396" s="117" t="str">
        <x:v>Yes</x:v>
      </x:c>
      <x:c r="H396" s="119" t="str">
        <x:v>Active v4 (Retrieved XML)</x:v>
      </x:c>
      <x:c r="I396" s="117" t="str">
        <x:v>AutoLaunchedFlow</x:v>
      </x:c>
      <x:c r="J396" s="117" t="str">
        <x:v>Product2</x:v>
      </x:c>
      <x:c r="K396" s="117" t="str">
        <x:v>Yes</x:v>
      </x:c>
      <x:c r="L396" s="117" t="str">
        <x:v>Create</x:v>
      </x:c>
      <x:c r="M396" s="117" t="str">
        <x:v>RecordAfterSave</x:v>
      </x:c>
      <x:c r="N396" s="117"/>
      <x:c r="O396" s="117"/>
      <x:c r="P396" s="117" t="str"/>
      <x:c r="Q396" s="117" t="str">
        <x:v>60.0</x:v>
      </x:c>
      <x:c r="R396" s="117" t="str">
        <x:v>unmanaged</x:v>
      </x:c>
      <x:c r="S396" s="118" t="n">
        <x:v>4</x:v>
      </x:c>
      <x:c r="T396" s="118" t="n">
        <x:v>2</x:v>
      </x:c>
      <x:c r="U396" s="118" t="n">
        <x:v>1</x:v>
      </x:c>
      <x:c r="V396" s="118" t="n">
        <x:v>0</x:v>
      </x:c>
      <x:c r="W396" s="118" t="n">
        <x:v>1</x:v>
      </x:c>
      <x:c r="X396" s="118" t="n">
        <x:v>0</x:v>
      </x:c>
      <x:c r="Y396" s="118" t="n">
        <x:v>1</x:v>
      </x:c>
      <x:c r="Z396" s="117" t="str">
        <x:v>Review</x:v>
      </x:c>
      <x:c r="AA396" s="120" t="n">
        <x:v>45425.8512962963</x:v>
      </x:c>
      <x:c r="AB396" s="117" t="str">
        <x:v>Jace Gentil</x:v>
      </x:c>
      <x:c r="AC396" s="119" t="str">
        <x:v>Migrated from the Parts Validation Approval Process process using Part criteria.</x:v>
      </x:c>
      <x:c r="AD396" s="119" t="str"/>
    </x:row>
    <x:row r="397" ht="34" customHeight="1">
      <x:c r="A397" s="117" t="str">
        <x:v>3004O0000000a6CQAQ</x:v>
      </x:c>
      <x:c r="B397" s="117" t="str">
        <x:v>Parts_Validation_Process</x:v>
      </x:c>
      <x:c r="C397" s="117" t="str">
        <x:v>Parts Validation Process</x:v>
      </x:c>
      <x:c r="D397" s="117" t="str">
        <x:v>No</x:v>
      </x:c>
      <x:c r="E397" s="118"/>
      <x:c r="F397" s="118" t="n">
        <x:v>1</x:v>
      </x:c>
      <x:c r="G397" s="117" t="str">
        <x:v>N/A</x:v>
      </x:c>
      <x:c r="H397" s="119" t="str">
        <x:v>Latest inactive v1 (Retrieved XML)</x:v>
      </x:c>
      <x:c r="I397" s="117" t="str">
        <x:v>Workflow</x:v>
      </x:c>
      <x:c r="J397" s="117" t="str"/>
      <x:c r="K397" s="117" t="str">
        <x:v>No</x:v>
      </x:c>
      <x:c r="L397" s="117" t="str"/>
      <x:c r="M397" s="117" t="str"/>
      <x:c r="N397" s="117"/>
      <x:c r="O397" s="117"/>
      <x:c r="P397" s="117" t="str"/>
      <x:c r="Q397" s="117" t="str">
        <x:v>50.0</x:v>
      </x:c>
      <x:c r="R397" s="117" t="str">
        <x:v>unmanaged</x:v>
      </x:c>
      <x:c r="S397" s="118" t="n">
        <x:v>1</x:v>
      </x:c>
      <x:c r="T397" s="118" t="n">
        <x:v>1</x:v>
      </x:c>
      <x:c r="U397" s="118" t="n">
        <x:v>0</x:v>
      </x:c>
      <x:c r="V397" s="118" t="n">
        <x:v>0</x:v>
      </x:c>
      <x:c r="W397" s="118" t="n">
        <x:v>0</x:v>
      </x:c>
      <x:c r="X397" s="118" t="n">
        <x:v>0</x:v>
      </x:c>
      <x:c r="Y397" s="118" t="n">
        <x:v>1</x:v>
      </x:c>
      <x:c r="Z397" s="117" t="str">
        <x:v>N/A</x:v>
      </x:c>
      <x:c r="AA397" s="120" t="n">
        <x:v>44132.533900462964</x:v>
      </x:c>
      <x:c r="AB397" s="117" t="str">
        <x:v>Trent VanEmon</x:v>
      </x:c>
      <x:c r="AC397" s="119" t="str"/>
      <x:c r="AD397" s="119" t="str"/>
    </x:row>
    <x:row r="398" ht="34" customHeight="1">
      <x:c r="A398" s="117" t="str">
        <x:v>300Ro00000REVFoIAP</x:v>
      </x:c>
      <x:c r="B398" s="117" t="str">
        <x:v>PartsReadyForCollectionServiceAppointmentAlert</x:v>
      </x:c>
      <x:c r="C398" s="117" t="str">
        <x:v>PartsReadyForCollectionServiceAppointmentAlert</x:v>
      </x:c>
      <x:c r="D398" s="117" t="str">
        <x:v>Yes</x:v>
      </x:c>
      <x:c r="E398" s="118" t="n">
        <x:v>2</x:v>
      </x:c>
      <x:c r="F398" s="118" t="n">
        <x:v>2</x:v>
      </x:c>
      <x:c r="G398" s="117" t="str">
        <x:v>Yes</x:v>
      </x:c>
      <x:c r="H398" s="119" t="str">
        <x:v>Active v2 (Retrieved XML)</x:v>
      </x:c>
      <x:c r="I398" s="117" t="str">
        <x:v>AutoLaunchedFlow</x:v>
      </x:c>
      <x:c r="J398" s="117" t="str">
        <x:v>ServiceAppointment</x:v>
      </x:c>
      <x:c r="K398" s="117" t="str">
        <x:v>Yes</x:v>
      </x:c>
      <x:c r="L398" s="117" t="str">
        <x:v>Update</x:v>
      </x:c>
      <x:c r="M398" s="117" t="str">
        <x:v>RecordAfterSave</x:v>
      </x:c>
      <x:c r="N398" s="117"/>
      <x:c r="O398" s="117"/>
      <x:c r="P398" s="117" t="str"/>
      <x:c r="Q398" s="117" t="str">
        <x:v>56.0</x:v>
      </x:c>
      <x:c r="R398" s="117" t="str">
        <x:v>unmanaged</x:v>
      </x:c>
      <x:c r="S398" s="118" t="n">
        <x:v>2</x:v>
      </x:c>
      <x:c r="T398" s="118" t="n">
        <x:v>6</x:v>
      </x:c>
      <x:c r="U398" s="118" t="n">
        <x:v>3</x:v>
      </x:c>
      <x:c r="V398" s="118" t="n">
        <x:v>0</x:v>
      </x:c>
      <x:c r="W398" s="118" t="n">
        <x:v>1</x:v>
      </x:c>
      <x:c r="X398" s="118" t="n">
        <x:v>0</x:v>
      </x:c>
      <x:c r="Y398" s="118" t="n">
        <x:v>2</x:v>
      </x:c>
      <x:c r="Z398" s="117" t="str">
        <x:v>Strong</x:v>
      </x:c>
      <x:c r="AA398" s="120" t="n">
        <x:v>46161.57511574074</x:v>
      </x:c>
      <x:c r="AB398" s="117" t="str">
        <x:v>Sacha Pearce</x:v>
      </x:c>
      <x:c r="AC398" s="119" t="str">
        <x:v>19/05/2026 - SP - Updating the Flow to run on "Ship Date" entry instead of "Date Item Prepped"</x:v>
      </x:c>
      <x:c r="AD398" s="119" t="str"/>
    </x:row>
    <x:row r="399" ht="34" customHeight="1">
      <x:c r="A399" s="117" t="str">
        <x:v>3005b000000LHI0AAO</x:v>
      </x:c>
      <x:c r="B399" s="117" t="str">
        <x:v>PartsReadyForCollectionWorkOrderAlert</x:v>
      </x:c>
      <x:c r="C399" s="117" t="str">
        <x:v>PartsReadyForCollectionWorkOrderAlert</x:v>
      </x:c>
      <x:c r="D399" s="117" t="str">
        <x:v>Yes</x:v>
      </x:c>
      <x:c r="E399" s="118" t="n">
        <x:v>7</x:v>
      </x:c>
      <x:c r="F399" s="118" t="n">
        <x:v>7</x:v>
      </x:c>
      <x:c r="G399" s="117" t="str">
        <x:v>Yes</x:v>
      </x:c>
      <x:c r="H399" s="119" t="str">
        <x:v>Active v7 (Retrieved XML)</x:v>
      </x:c>
      <x:c r="I399" s="117" t="str">
        <x:v>AutoLaunchedFlow</x:v>
      </x:c>
      <x:c r="J399" s="117" t="str">
        <x:v>WorkOrder</x:v>
      </x:c>
      <x:c r="K399" s="117" t="str">
        <x:v>Yes</x:v>
      </x:c>
      <x:c r="L399" s="117" t="str">
        <x:v>Update</x:v>
      </x:c>
      <x:c r="M399" s="117" t="str">
        <x:v>RecordAfterSave</x:v>
      </x:c>
      <x:c r="N399" s="117"/>
      <x:c r="O399" s="117"/>
      <x:c r="P399" s="117" t="str"/>
      <x:c r="Q399" s="117" t="str">
        <x:v>56.0</x:v>
      </x:c>
      <x:c r="R399" s="117" t="str">
        <x:v>unmanaged</x:v>
      </x:c>
      <x:c r="S399" s="118" t="n">
        <x:v>7</x:v>
      </x:c>
      <x:c r="T399" s="118" t="n">
        <x:v>11</x:v>
      </x:c>
      <x:c r="U399" s="118" t="n">
        <x:v>2</x:v>
      </x:c>
      <x:c r="V399" s="118" t="n">
        <x:v>0</x:v>
      </x:c>
      <x:c r="W399" s="118" t="n">
        <x:v>1</x:v>
      </x:c>
      <x:c r="X399" s="118" t="n">
        <x:v>0</x:v>
      </x:c>
      <x:c r="Y399" s="118" t="n">
        <x:v>1</x:v>
      </x:c>
      <x:c r="Z399" s="117" t="str">
        <x:v>Strong</x:v>
      </x:c>
      <x:c r="AA399" s="120" t="n">
        <x:v>45702.380960648145</x:v>
      </x:c>
      <x:c r="AB399" s="117" t="str">
        <x:v>Jon Kean</x:v>
      </x:c>
      <x:c r="AC399" s="119" t="str"/>
      <x:c r="AD399" s="119" t="str">
        <x:v>Active flow has no description</x:v>
      </x:c>
    </x:row>
    <x:row r="400" ht="34" customHeight="1">
      <x:c r="A400" s="117" t="str">
        <x:v>300Ro00000kKs8MIAS</x:v>
      </x:c>
      <x:c r="B400" s="117" t="str">
        <x:v>Payment_Request_Email</x:v>
      </x:c>
      <x:c r="C400" s="117" t="str">
        <x:v>Payment Request Email</x:v>
      </x:c>
      <x:c r="D400" s="117" t="str">
        <x:v>No</x:v>
      </x:c>
      <x:c r="E400" s="118"/>
      <x:c r="F400" s="118" t="n">
        <x:v>1</x:v>
      </x:c>
      <x:c r="G400" s="117" t="str">
        <x:v>N/A</x:v>
      </x:c>
      <x:c r="H400" s="119" t="str">
        <x:v>Latest inactive v1 (Tooling metadata)</x:v>
      </x:c>
      <x:c r="I400" s="117" t="str">
        <x:v>AutoLaunchedFlow</x:v>
      </x:c>
      <x:c r="J400" s="117" t="str"/>
      <x:c r="K400" s="117" t="str">
        <x:v>No</x:v>
      </x:c>
      <x:c r="L400" s="117" t="str"/>
      <x:c r="M400" s="117" t="str"/>
      <x:c r="N400" s="117"/>
      <x:c r="O400" s="117"/>
      <x:c r="P400" s="117" t="str"/>
      <x:c r="Q400" s="117" t="n">
        <x:v>64</x:v>
      </x:c>
      <x:c r="R400" s="117" t="str">
        <x:v>installed</x:v>
      </x:c>
      <x:c r="S400" s="118" t="n">
        <x:v>1</x:v>
      </x:c>
      <x:c r="T400" s="118" t="n">
        <x:v>0</x:v>
      </x:c>
      <x:c r="U400" s="118" t="n">
        <x:v>0</x:v>
      </x:c>
      <x:c r="V400" s="118" t="n">
        <x:v>0</x:v>
      </x:c>
      <x:c r="W400" s="118" t="n">
        <x:v>0</x:v>
      </x:c>
      <x:c r="X400" s="118" t="n">
        <x:v>0</x:v>
      </x:c>
      <x:c r="Y400" s="118" t="n">
        <x:v>1</x:v>
      </x:c>
      <x:c r="Z400" s="117" t="str">
        <x:v>N/A</x:v>
      </x:c>
      <x:c r="AA400" s="120" t="n">
        <x:v>45965.97775462963</x:v>
      </x:c>
      <x:c r="AB400" s="117" t="str"/>
      <x:c r="AC400" s="119" t="str">
        <x:v>Send email when a Payment Request object is created or updated with the Send Payment Request Email is true and Status is not Paid</x:v>
      </x:c>
      <x:c r="AD400" s="119" t="str"/>
    </x:row>
    <x:row r="401" ht="34" customHeight="1">
      <x:c r="A401" s="117" t="str">
        <x:v>300Ro00000kKs8IIAS</x:v>
      </x:c>
      <x:c r="B401" s="117" t="str">
        <x:v>Payment_Status_Recurring</x:v>
      </x:c>
      <x:c r="C401" s="117" t="str">
        <x:v>Payment Status Recurring</x:v>
      </x:c>
      <x:c r="D401" s="117" t="str">
        <x:v>No</x:v>
      </x:c>
      <x:c r="E401" s="118"/>
      <x:c r="F401" s="118" t="n">
        <x:v>1</x:v>
      </x:c>
      <x:c r="G401" s="117" t="str">
        <x:v>N/A</x:v>
      </x:c>
      <x:c r="H401" s="119" t="str">
        <x:v>Latest inactive v1 (Tooling metadata)</x:v>
      </x:c>
      <x:c r="I401" s="117" t="str">
        <x:v>AutoLaunchedFlow</x:v>
      </x:c>
      <x:c r="J401" s="117" t="str"/>
      <x:c r="K401" s="117" t="str">
        <x:v>No</x:v>
      </x:c>
      <x:c r="L401" s="117" t="str"/>
      <x:c r="M401" s="117" t="str"/>
      <x:c r="N401" s="117"/>
      <x:c r="O401" s="117"/>
      <x:c r="P401" s="117" t="str"/>
      <x:c r="Q401" s="117" t="n">
        <x:v>64</x:v>
      </x:c>
      <x:c r="R401" s="117" t="str">
        <x:v>installed</x:v>
      </x:c>
      <x:c r="S401" s="118" t="n">
        <x:v>1</x:v>
      </x:c>
      <x:c r="T401" s="118" t="n">
        <x:v>0</x:v>
      </x:c>
      <x:c r="U401" s="118" t="n">
        <x:v>0</x:v>
      </x:c>
      <x:c r="V401" s="118" t="n">
        <x:v>0</x:v>
      </x:c>
      <x:c r="W401" s="118" t="n">
        <x:v>0</x:v>
      </x:c>
      <x:c r="X401" s="118" t="n">
        <x:v>0</x:v>
      </x:c>
      <x:c r="Y401" s="118" t="n">
        <x:v>1</x:v>
      </x:c>
      <x:c r="Z401" s="117" t="str">
        <x:v>N/A</x:v>
      </x:c>
      <x:c r="AA401" s="120" t="n">
        <x:v>45965.977430555555</x:v>
      </x:c>
      <x:c r="AB401" s="117" t="str"/>
      <x:c r="AC401" s="119" t="str">
        <x:v>This flow runs when the Chargent Payment Status field equals 'Recurring.' Use this flow to set any values that should be defined every time the Payment Status field is set to 'Recurring.'</x:v>
      </x:c>
      <x:c r="AD401" s="119" t="str"/>
    </x:row>
    <x:row r="402" ht="34" customHeight="1">
      <x:c r="A402" s="117" t="str">
        <x:v>3004O000000Xh3YQAS</x:v>
      </x:c>
      <x:c r="B402" s="117" t="str">
        <x:v>PB_Asset2</x:v>
      </x:c>
      <x:c r="C402" s="117" t="str">
        <x:v>PB: Asset2</x:v>
      </x:c>
      <x:c r="D402" s="117" t="str">
        <x:v>No</x:v>
      </x:c>
      <x:c r="E402" s="118"/>
      <x:c r="F402" s="118" t="n">
        <x:v>4</x:v>
      </x:c>
      <x:c r="G402" s="117" t="str">
        <x:v>N/A</x:v>
      </x:c>
      <x:c r="H402" s="119" t="str">
        <x:v>Latest inactive v4 (Retrieved XML)</x:v>
      </x:c>
      <x:c r="I402" s="117" t="str">
        <x:v>Workflow</x:v>
      </x:c>
      <x:c r="J402" s="117" t="str"/>
      <x:c r="K402" s="117" t="str">
        <x:v>No</x:v>
      </x:c>
      <x:c r="L402" s="117" t="str"/>
      <x:c r="M402" s="117" t="str"/>
      <x:c r="N402" s="117"/>
      <x:c r="O402" s="117"/>
      <x:c r="P402" s="117" t="str"/>
      <x:c r="Q402" s="117" t="str">
        <x:v>50.0</x:v>
      </x:c>
      <x:c r="R402" s="117" t="str">
        <x:v>unmanaged</x:v>
      </x:c>
      <x:c r="S402" s="118" t="n">
        <x:v>4</x:v>
      </x:c>
      <x:c r="T402" s="118" t="n">
        <x:v>8</x:v>
      </x:c>
      <x:c r="U402" s="118" t="n">
        <x:v>1</x:v>
      </x:c>
      <x:c r="V402" s="118" t="n">
        <x:v>0</x:v>
      </x:c>
      <x:c r="W402" s="118" t="n">
        <x:v>3</x:v>
      </x:c>
      <x:c r="X402" s="118" t="n">
        <x:v>0</x:v>
      </x:c>
      <x:c r="Y402" s="118" t="n">
        <x:v>1</x:v>
      </x:c>
      <x:c r="Z402" s="117" t="str">
        <x:v>N/A</x:v>
      </x:c>
      <x:c r="AA402" s="120" t="n">
        <x:v>44751.41998842593</x:v>
      </x:c>
      <x:c r="AB402" s="117" t="str">
        <x:v>Jace Gentil</x:v>
      </x:c>
      <x:c r="AC402" s="119" t="str">
        <x:v>Handles changes on the Asset2 object</x:v>
      </x:c>
      <x:c r="AD402" s="119" t="str"/>
    </x:row>
    <x:row r="403" ht="34" customHeight="1">
      <x:c r="A403" s="117" t="str">
        <x:v>3004O000000LOseQAG</x:v>
      </x:c>
      <x:c r="B403" s="117" t="str">
        <x:v>PB_Invoice</x:v>
      </x:c>
      <x:c r="C403" s="117" t="str">
        <x:v>PB: Invoice</x:v>
      </x:c>
      <x:c r="D403" s="117" t="str">
        <x:v>Yes</x:v>
      </x:c>
      <x:c r="E403" s="118" t="n">
        <x:v>21</x:v>
      </x:c>
      <x:c r="F403" s="118" t="n">
        <x:v>21</x:v>
      </x:c>
      <x:c r="G403" s="117" t="str">
        <x:v>Yes</x:v>
      </x:c>
      <x:c r="H403" s="119" t="str">
        <x:v>Active v21 (Retrieved XML)</x:v>
      </x:c>
      <x:c r="I403" s="117" t="str">
        <x:v>Workflow</x:v>
      </x:c>
      <x:c r="J403" s="117" t="str"/>
      <x:c r="K403" s="117" t="str">
        <x:v>No</x:v>
      </x:c>
      <x:c r="L403" s="117" t="str"/>
      <x:c r="M403" s="117" t="str"/>
      <x:c r="N403" s="117"/>
      <x:c r="O403" s="117"/>
      <x:c r="P403" s="117" t="str"/>
      <x:c r="Q403" s="117" t="str">
        <x:v>50.0</x:v>
      </x:c>
      <x:c r="R403" s="117" t="str">
        <x:v>unmanaged</x:v>
      </x:c>
      <x:c r="S403" s="118" t="n">
        <x:v>21</x:v>
      </x:c>
      <x:c r="T403" s="118" t="n">
        <x:v>18</x:v>
      </x:c>
      <x:c r="U403" s="118" t="n">
        <x:v>2</x:v>
      </x:c>
      <x:c r="V403" s="118" t="n">
        <x:v>0</x:v>
      </x:c>
      <x:c r="W403" s="118" t="n">
        <x:v>2</x:v>
      </x:c>
      <x:c r="X403" s="118" t="n">
        <x:v>0</x:v>
      </x:c>
      <x:c r="Y403" s="118" t="n">
        <x:v>2</x:v>
      </x:c>
      <x:c r="Z403" s="117" t="str">
        <x:v>N/A</x:v>
      </x:c>
      <x:c r="AA403" s="120" t="n">
        <x:v>46142.699791666666</x:v>
      </x:c>
      <x:c r="AB403" s="117" t="str">
        <x:v>Delegate</x:v>
      </x:c>
      <x:c r="AC403" s="119" t="str">
        <x:v>Removing the Invoice Paid Logic to migrate to flow</x:v>
      </x:c>
      <x:c r="AD403" s="119" t="str"/>
    </x:row>
    <x:row r="404" ht="34" customHeight="1">
      <x:c r="A404" s="117" t="str">
        <x:v>3004O000000XhK0QAK</x:v>
      </x:c>
      <x:c r="B404" s="117" t="str">
        <x:v>PB_Item_Receipt</x:v>
      </x:c>
      <x:c r="C404" s="117" t="str">
        <x:v>PB: Item Receipt</x:v>
      </x:c>
      <x:c r="D404" s="117" t="str">
        <x:v>Yes</x:v>
      </x:c>
      <x:c r="E404" s="118" t="n">
        <x:v>2</x:v>
      </x:c>
      <x:c r="F404" s="118" t="n">
        <x:v>2</x:v>
      </x:c>
      <x:c r="G404" s="117" t="str">
        <x:v>Yes</x:v>
      </x:c>
      <x:c r="H404" s="119" t="str">
        <x:v>Active v2 (Retrieved XML)</x:v>
      </x:c>
      <x:c r="I404" s="117" t="str">
        <x:v>Workflow</x:v>
      </x:c>
      <x:c r="J404" s="117" t="str"/>
      <x:c r="K404" s="117" t="str">
        <x:v>No</x:v>
      </x:c>
      <x:c r="L404" s="117" t="str"/>
      <x:c r="M404" s="117" t="str"/>
      <x:c r="N404" s="117"/>
      <x:c r="O404" s="117"/>
      <x:c r="P404" s="117" t="str"/>
      <x:c r="Q404" s="117" t="str">
        <x:v>52.0</x:v>
      </x:c>
      <x:c r="R404" s="117" t="str">
        <x:v>unmanaged</x:v>
      </x:c>
      <x:c r="S404" s="118" t="n">
        <x:v>2</x:v>
      </x:c>
      <x:c r="T404" s="118" t="n">
        <x:v>2</x:v>
      </x:c>
      <x:c r="U404" s="118" t="n">
        <x:v>1</x:v>
      </x:c>
      <x:c r="V404" s="118" t="n">
        <x:v>0</x:v>
      </x:c>
      <x:c r="W404" s="118" t="n">
        <x:v>0</x:v>
      </x:c>
      <x:c r="X404" s="118" t="n">
        <x:v>0</x:v>
      </x:c>
      <x:c r="Y404" s="118" t="n">
        <x:v>1</x:v>
      </x:c>
      <x:c r="Z404" s="117" t="str">
        <x:v>N/A</x:v>
      </x:c>
      <x:c r="AA404" s="120" t="n">
        <x:v>44407.73815972222</x:v>
      </x:c>
      <x:c r="AB404" s="117" t="str">
        <x:v>Delegate</x:v>
      </x:c>
      <x:c r="AC404" s="119" t="str"/>
      <x:c r="AD404" s="119" t="str">
        <x:v>Active flow has no description</x:v>
      </x:c>
    </x:row>
    <x:row r="405" ht="34" customHeight="1">
      <x:c r="A405" s="117" t="str">
        <x:v>3004O000000Xh3dQAC</x:v>
      </x:c>
      <x:c r="B405" s="117" t="str">
        <x:v>PB_Opportunity_Line_Items</x:v>
      </x:c>
      <x:c r="C405" s="117" t="str">
        <x:v>PB: Opportunity Line Items</x:v>
      </x:c>
      <x:c r="D405" s="117" t="str">
        <x:v>No</x:v>
      </x:c>
      <x:c r="E405" s="118"/>
      <x:c r="F405" s="118" t="n">
        <x:v>4</x:v>
      </x:c>
      <x:c r="G405" s="117" t="str">
        <x:v>N/A</x:v>
      </x:c>
      <x:c r="H405" s="119" t="str">
        <x:v>Latest inactive v4 (Retrieved XML)</x:v>
      </x:c>
      <x:c r="I405" s="117" t="str">
        <x:v>Workflow</x:v>
      </x:c>
      <x:c r="J405" s="117" t="str"/>
      <x:c r="K405" s="117" t="str">
        <x:v>No</x:v>
      </x:c>
      <x:c r="L405" s="117" t="str"/>
      <x:c r="M405" s="117" t="str"/>
      <x:c r="N405" s="117"/>
      <x:c r="O405" s="117"/>
      <x:c r="P405" s="117" t="str"/>
      <x:c r="Q405" s="117" t="str">
        <x:v>50.0</x:v>
      </x:c>
      <x:c r="R405" s="117" t="str">
        <x:v>unmanaged</x:v>
      </x:c>
      <x:c r="S405" s="118" t="n">
        <x:v>4</x:v>
      </x:c>
      <x:c r="T405" s="118" t="n">
        <x:v>4</x:v>
      </x:c>
      <x:c r="U405" s="118" t="n">
        <x:v>1</x:v>
      </x:c>
      <x:c r="V405" s="118" t="n">
        <x:v>0</x:v>
      </x:c>
      <x:c r="W405" s="118" t="n">
        <x:v>2</x:v>
      </x:c>
      <x:c r="X405" s="118" t="n">
        <x:v>0</x:v>
      </x:c>
      <x:c r="Y405" s="118" t="n">
        <x:v>1</x:v>
      </x:c>
      <x:c r="Z405" s="117" t="str">
        <x:v>N/A</x:v>
      </x:c>
      <x:c r="AA405" s="120" t="n">
        <x:v>45863.73111111111</x:v>
      </x:c>
      <x:c r="AB405" s="117" t="str">
        <x:v>Bill Hagarty</x:v>
      </x:c>
      <x:c r="AC405" s="119" t="str">
        <x:v>Handles changes on Opportunity Line Items</x:v>
      </x:c>
      <x:c r="AD405" s="119" t="str"/>
    </x:row>
    <x:row r="406" ht="34" customHeight="1">
      <x:c r="A406" s="117" t="str">
        <x:v>3004O000000LOsoQAG</x:v>
      </x:c>
      <x:c r="B406" s="117" t="str">
        <x:v>PB_Payment_Request</x:v>
      </x:c>
      <x:c r="C406" s="117" t="str">
        <x:v>PB: Payment Request</x:v>
      </x:c>
      <x:c r="D406" s="117" t="str">
        <x:v>Yes</x:v>
      </x:c>
      <x:c r="E406" s="118" t="n">
        <x:v>2</x:v>
      </x:c>
      <x:c r="F406" s="118" t="n">
        <x:v>2</x:v>
      </x:c>
      <x:c r="G406" s="117" t="str">
        <x:v>Yes</x:v>
      </x:c>
      <x:c r="H406" s="119" t="str">
        <x:v>Active v2 (Retrieved XML)</x:v>
      </x:c>
      <x:c r="I406" s="117" t="str">
        <x:v>Workflow</x:v>
      </x:c>
      <x:c r="J406" s="117" t="str"/>
      <x:c r="K406" s="117" t="str">
        <x:v>No</x:v>
      </x:c>
      <x:c r="L406" s="117" t="str"/>
      <x:c r="M406" s="117" t="str"/>
      <x:c r="N406" s="117"/>
      <x:c r="O406" s="117"/>
      <x:c r="P406" s="117" t="str"/>
      <x:c r="Q406" s="117" t="str">
        <x:v>50.0</x:v>
      </x:c>
      <x:c r="R406" s="117" t="str">
        <x:v>unmanaged</x:v>
      </x:c>
      <x:c r="S406" s="118" t="n">
        <x:v>2</x:v>
      </x:c>
      <x:c r="T406" s="118" t="n">
        <x:v>2</x:v>
      </x:c>
      <x:c r="U406" s="118" t="n">
        <x:v>2</x:v>
      </x:c>
      <x:c r="V406" s="118" t="n">
        <x:v>0</x:v>
      </x:c>
      <x:c r="W406" s="118" t="n">
        <x:v>0</x:v>
      </x:c>
      <x:c r="X406" s="118" t="n">
        <x:v>0</x:v>
      </x:c>
      <x:c r="Y406" s="118" t="n">
        <x:v>1</x:v>
      </x:c>
      <x:c r="Z406" s="117" t="str">
        <x:v>N/A</x:v>
      </x:c>
      <x:c r="AA406" s="120" t="n">
        <x:v>44229.657534722224</x:v>
      </x:c>
      <x:c r="AB406" s="117" t="str">
        <x:v>Delegate</x:v>
      </x:c>
      <x:c r="AC406" s="119" t="str">
        <x:v>Handles changes on the payment request object</x:v>
      </x:c>
      <x:c r="AD406" s="119" t="str"/>
    </x:row>
    <x:row r="407" ht="34" customHeight="1">
      <x:c r="A407" s="117" t="str">
        <x:v>3004O000000Xh55QAC</x:v>
      </x:c>
      <x:c r="B407" s="117" t="str">
        <x:v>PB_Product_Repair</x:v>
      </x:c>
      <x:c r="C407" s="117" t="str">
        <x:v>PB: Product Repair</x:v>
      </x:c>
      <x:c r="D407" s="117" t="str">
        <x:v>No</x:v>
      </x:c>
      <x:c r="E407" s="118"/>
      <x:c r="F407" s="118" t="n">
        <x:v>3</x:v>
      </x:c>
      <x:c r="G407" s="117" t="str">
        <x:v>N/A</x:v>
      </x:c>
      <x:c r="H407" s="119" t="str">
        <x:v>Latest inactive v3 (Retrieved XML)</x:v>
      </x:c>
      <x:c r="I407" s="117" t="str">
        <x:v>Workflow</x:v>
      </x:c>
      <x:c r="J407" s="117" t="str"/>
      <x:c r="K407" s="117" t="str">
        <x:v>No</x:v>
      </x:c>
      <x:c r="L407" s="117" t="str"/>
      <x:c r="M407" s="117" t="str"/>
      <x:c r="N407" s="117"/>
      <x:c r="O407" s="117"/>
      <x:c r="P407" s="117" t="str"/>
      <x:c r="Q407" s="117" t="str">
        <x:v>51.0</x:v>
      </x:c>
      <x:c r="R407" s="117" t="str">
        <x:v>unmanaged</x:v>
      </x:c>
      <x:c r="S407" s="118" t="n">
        <x:v>3</x:v>
      </x:c>
      <x:c r="T407" s="118" t="n">
        <x:v>4</x:v>
      </x:c>
      <x:c r="U407" s="118" t="n">
        <x:v>1</x:v>
      </x:c>
      <x:c r="V407" s="118" t="n">
        <x:v>0</x:v>
      </x:c>
      <x:c r="W407" s="118" t="n">
        <x:v>2</x:v>
      </x:c>
      <x:c r="X407" s="118" t="n">
        <x:v>0</x:v>
      </x:c>
      <x:c r="Y407" s="118" t="n">
        <x:v>1</x:v>
      </x:c>
      <x:c r="Z407" s="117" t="str">
        <x:v>N/A</x:v>
      </x:c>
      <x:c r="AA407" s="120" t="n">
        <x:v>45712.96207175926</x:v>
      </x:c>
      <x:c r="AB407" s="117" t="str">
        <x:v>Jace Gentil</x:v>
      </x:c>
      <x:c r="AC407" s="119" t="str">
        <x:v>Runs on Product Repair</x:v>
      </x:c>
      <x:c r="AD407" s="119" t="str"/>
    </x:row>
    <x:row r="408" ht="34" customHeight="1">
      <x:c r="A408" s="117" t="str">
        <x:v>3005b000000H1uuAAC</x:v>
      </x:c>
      <x:c r="B408" s="117" t="str">
        <x:v>PB_Service_Contract</x:v>
      </x:c>
      <x:c r="C408" s="117" t="str">
        <x:v>PB: Service Contract</x:v>
      </x:c>
      <x:c r="D408" s="117" t="str">
        <x:v>No</x:v>
      </x:c>
      <x:c r="E408" s="118"/>
      <x:c r="F408" s="118" t="n">
        <x:v>3</x:v>
      </x:c>
      <x:c r="G408" s="117" t="str">
        <x:v>N/A</x:v>
      </x:c>
      <x:c r="H408" s="119" t="str">
        <x:v>Latest inactive v3 (Retrieved XML)</x:v>
      </x:c>
      <x:c r="I408" s="117" t="str">
        <x:v>Workflow</x:v>
      </x:c>
      <x:c r="J408" s="117" t="str"/>
      <x:c r="K408" s="117" t="str">
        <x:v>No</x:v>
      </x:c>
      <x:c r="L408" s="117" t="str"/>
      <x:c r="M408" s="117" t="str"/>
      <x:c r="N408" s="117"/>
      <x:c r="O408" s="117"/>
      <x:c r="P408" s="117" t="str"/>
      <x:c r="Q408" s="117" t="str">
        <x:v>52.0</x:v>
      </x:c>
      <x:c r="R408" s="117" t="str">
        <x:v>unmanaged</x:v>
      </x:c>
      <x:c r="S408" s="118" t="n">
        <x:v>3</x:v>
      </x:c>
      <x:c r="T408" s="118" t="n">
        <x:v>22</x:v>
      </x:c>
      <x:c r="U408" s="118" t="n">
        <x:v>1</x:v>
      </x:c>
      <x:c r="V408" s="118" t="n">
        <x:v>0</x:v>
      </x:c>
      <x:c r="W408" s="118" t="n">
        <x:v>0</x:v>
      </x:c>
      <x:c r="X408" s="118" t="n">
        <x:v>0</x:v>
      </x:c>
      <x:c r="Y408" s="118" t="n">
        <x:v>2</x:v>
      </x:c>
      <x:c r="Z408" s="117" t="str">
        <x:v>N/A</x:v>
      </x:c>
      <x:c r="AA408" s="120" t="n">
        <x:v>44729.69244212963</x:v>
      </x:c>
      <x:c r="AB408" s="117" t="str">
        <x:v>Delegate</x:v>
      </x:c>
      <x:c r="AC408" s="119" t="str">
        <x:v>Handles processes on the Service Contract Object</x:v>
      </x:c>
      <x:c r="AD408" s="119" t="str"/>
    </x:row>
    <x:row r="409" ht="34" customHeight="1">
      <x:c r="A409" s="117" t="str">
        <x:v>3004O000000XhLhQAK</x:v>
      </x:c>
      <x:c r="B409" s="117" t="str">
        <x:v>PB_Task</x:v>
      </x:c>
      <x:c r="C409" s="117" t="str">
        <x:v>PB: Task</x:v>
      </x:c>
      <x:c r="D409" s="117" t="str">
        <x:v>Yes</x:v>
      </x:c>
      <x:c r="E409" s="118" t="n">
        <x:v>1</x:v>
      </x:c>
      <x:c r="F409" s="118" t="n">
        <x:v>1</x:v>
      </x:c>
      <x:c r="G409" s="117" t="str">
        <x:v>Yes</x:v>
      </x:c>
      <x:c r="H409" s="119" t="str">
        <x:v>Active v1 (Retrieved XML)</x:v>
      </x:c>
      <x:c r="I409" s="117" t="str">
        <x:v>Workflow</x:v>
      </x:c>
      <x:c r="J409" s="117" t="str"/>
      <x:c r="K409" s="117" t="str">
        <x:v>No</x:v>
      </x:c>
      <x:c r="L409" s="117" t="str"/>
      <x:c r="M409" s="117" t="str"/>
      <x:c r="N409" s="117"/>
      <x:c r="O409" s="117"/>
      <x:c r="P409" s="117" t="str"/>
      <x:c r="Q409" s="117" t="str">
        <x:v>52.0</x:v>
      </x:c>
      <x:c r="R409" s="117" t="str">
        <x:v>unmanaged</x:v>
      </x:c>
      <x:c r="S409" s="118" t="n">
        <x:v>1</x:v>
      </x:c>
      <x:c r="T409" s="118" t="n">
        <x:v>2</x:v>
      </x:c>
      <x:c r="U409" s="118" t="n">
        <x:v>1</x:v>
      </x:c>
      <x:c r="V409" s="118" t="n">
        <x:v>0</x:v>
      </x:c>
      <x:c r="W409" s="118" t="n">
        <x:v>1</x:v>
      </x:c>
      <x:c r="X409" s="118" t="n">
        <x:v>0</x:v>
      </x:c>
      <x:c r="Y409" s="118" t="n">
        <x:v>1</x:v>
      </x:c>
      <x:c r="Z409" s="117" t="str">
        <x:v>N/A</x:v>
      </x:c>
      <x:c r="AA409" s="120" t="n">
        <x:v>44414.648043981484</x:v>
      </x:c>
      <x:c r="AB409" s="117" t="str">
        <x:v>Delegate</x:v>
      </x:c>
      <x:c r="AC409" s="119" t="str"/>
      <x:c r="AD409" s="119" t="str">
        <x:v>Active flow has no description</x:v>
      </x:c>
    </x:row>
    <x:row r="410" ht="34" customHeight="1">
      <x:c r="A410" s="117" t="str">
        <x:v>3004O000000LOspQAG</x:v>
      </x:c>
      <x:c r="B410" s="117" t="str">
        <x:v>PB_Transaction</x:v>
      </x:c>
      <x:c r="C410" s="117" t="str">
        <x:v>PB: Transaction</x:v>
      </x:c>
      <x:c r="D410" s="117" t="str">
        <x:v>Yes</x:v>
      </x:c>
      <x:c r="E410" s="118" t="n">
        <x:v>7</x:v>
      </x:c>
      <x:c r="F410" s="118" t="n">
        <x:v>7</x:v>
      </x:c>
      <x:c r="G410" s="117" t="str">
        <x:v>Yes</x:v>
      </x:c>
      <x:c r="H410" s="119" t="str">
        <x:v>Active v7 (Retrieved XML)</x:v>
      </x:c>
      <x:c r="I410" s="117" t="str">
        <x:v>Workflow</x:v>
      </x:c>
      <x:c r="J410" s="117" t="str"/>
      <x:c r="K410" s="117" t="str">
        <x:v>No</x:v>
      </x:c>
      <x:c r="L410" s="117" t="str"/>
      <x:c r="M410" s="117" t="str"/>
      <x:c r="N410" s="117"/>
      <x:c r="O410" s="117"/>
      <x:c r="P410" s="117" t="str"/>
      <x:c r="Q410" s="117" t="str">
        <x:v>50.0</x:v>
      </x:c>
      <x:c r="R410" s="117" t="str">
        <x:v>unmanaged</x:v>
      </x:c>
      <x:c r="S410" s="118" t="n">
        <x:v>7</x:v>
      </x:c>
      <x:c r="T410" s="118" t="n">
        <x:v>8</x:v>
      </x:c>
      <x:c r="U410" s="118" t="n">
        <x:v>4</x:v>
      </x:c>
      <x:c r="V410" s="118" t="n">
        <x:v>0</x:v>
      </x:c>
      <x:c r="W410" s="118" t="n">
        <x:v>0</x:v>
      </x:c>
      <x:c r="X410" s="118" t="n">
        <x:v>0</x:v>
      </x:c>
      <x:c r="Y410" s="118" t="n">
        <x:v>2</x:v>
      </x:c>
      <x:c r="Z410" s="117" t="str">
        <x:v>N/A</x:v>
      </x:c>
      <x:c r="AA410" s="120" t="n">
        <x:v>44246.755</x:v>
      </x:c>
      <x:c r="AB410" s="117" t="str">
        <x:v>Delegate</x:v>
      </x:c>
      <x:c r="AC410" s="119" t="str"/>
      <x:c r="AD410" s="119" t="str">
        <x:v>Active flow has no description; Touches many objects</x:v>
      </x:c>
    </x:row>
    <x:row r="411" ht="34" customHeight="1">
      <x:c r="A411" s="117" t="str">
        <x:v>3005b000000H2TKAA0</x:v>
      </x:c>
      <x:c r="B411" s="117" t="str">
        <x:v>PB_Work_Order_Line_Item</x:v>
      </x:c>
      <x:c r="C411" s="117" t="str">
        <x:v>PB: Work Order Line Item</x:v>
      </x:c>
      <x:c r="D411" s="117" t="str">
        <x:v>No</x:v>
      </x:c>
      <x:c r="E411" s="118"/>
      <x:c r="F411" s="118" t="n">
        <x:v>1</x:v>
      </x:c>
      <x:c r="G411" s="117" t="str">
        <x:v>N/A</x:v>
      </x:c>
      <x:c r="H411" s="119" t="str">
        <x:v>Latest inactive v1 (Retrieved XML)</x:v>
      </x:c>
      <x:c r="I411" s="117" t="str">
        <x:v>Workflow</x:v>
      </x:c>
      <x:c r="J411" s="117" t="str"/>
      <x:c r="K411" s="117" t="str">
        <x:v>No</x:v>
      </x:c>
      <x:c r="L411" s="117" t="str"/>
      <x:c r="M411" s="117" t="str"/>
      <x:c r="N411" s="117"/>
      <x:c r="O411" s="117"/>
      <x:c r="P411" s="117" t="str"/>
      <x:c r="Q411" s="117" t="str">
        <x:v>53.0</x:v>
      </x:c>
      <x:c r="R411" s="117" t="str">
        <x:v>unmanaged</x:v>
      </x:c>
      <x:c r="S411" s="118" t="n">
        <x:v>1</x:v>
      </x:c>
      <x:c r="T411" s="118" t="n">
        <x:v>3</x:v>
      </x:c>
      <x:c r="U411" s="118" t="n">
        <x:v>2</x:v>
      </x:c>
      <x:c r="V411" s="118" t="n">
        <x:v>0</x:v>
      </x:c>
      <x:c r="W411" s="118" t="n">
        <x:v>0</x:v>
      </x:c>
      <x:c r="X411" s="118" t="n">
        <x:v>0</x:v>
      </x:c>
      <x:c r="Y411" s="118" t="n">
        <x:v>1</x:v>
      </x:c>
      <x:c r="Z411" s="117" t="str">
        <x:v>N/A</x:v>
      </x:c>
      <x:c r="AA411" s="120" t="n">
        <x:v>44540.69697916666</x:v>
      </x:c>
      <x:c r="AB411" s="117" t="str">
        <x:v>Delegate</x:v>
      </x:c>
      <x:c r="AC411" s="119" t="str">
        <x:v>Handles processes on the work order line item object</x:v>
      </x:c>
      <x:c r="AD411" s="119" t="str"/>
    </x:row>
    <x:row r="412" ht="34" customHeight="1">
      <x:c r="A412" s="117" t="str">
        <x:v>300Ro00000WbzIHIAZ</x:v>
      </x:c>
      <x:c r="B412" s="117" t="str">
        <x:v>Platform_Record_Triggered_Update_Intacct_Sync_Status</x:v>
      </x:c>
      <x:c r="C412" s="117" t="str">
        <x:v>Platform Record-Triggered: Update Intacct Sync Status</x:v>
      </x:c>
      <x:c r="D412" s="117" t="str">
        <x:v>No</x:v>
      </x:c>
      <x:c r="E412" s="118"/>
      <x:c r="F412" s="118" t="n">
        <x:v>2</x:v>
      </x:c>
      <x:c r="G412" s="117" t="str">
        <x:v>N/A</x:v>
      </x:c>
      <x:c r="H412" s="119" t="str">
        <x:v>Latest inactive v2 (Retrieved XML)</x:v>
      </x:c>
      <x:c r="I412" s="117" t="str">
        <x:v>AutoLaunchedFlow</x:v>
      </x:c>
      <x:c r="J412" s="117" t="str">
        <x:v>Update_Intacct_Sync_Status__e</x:v>
      </x:c>
      <x:c r="K412" s="117" t="str">
        <x:v>No</x:v>
      </x:c>
      <x:c r="L412" s="117" t="str"/>
      <x:c r="M412" s="117" t="str">
        <x:v>PlatformEvent</x:v>
      </x:c>
      <x:c r="N412" s="117"/>
      <x:c r="O412" s="117"/>
      <x:c r="P412" s="117" t="str"/>
      <x:c r="Q412" s="117" t="str">
        <x:v>60.0</x:v>
      </x:c>
      <x:c r="R412" s="117" t="str">
        <x:v>unmanaged</x:v>
      </x:c>
      <x:c r="S412" s="118" t="n">
        <x:v>2</x:v>
      </x:c>
      <x:c r="T412" s="118" t="n">
        <x:v>7</x:v>
      </x:c>
      <x:c r="U412" s="118" t="n">
        <x:v>2</x:v>
      </x:c>
      <x:c r="V412" s="118" t="n">
        <x:v>0</x:v>
      </x:c>
      <x:c r="W412" s="118" t="n">
        <x:v>0</x:v>
      </x:c>
      <x:c r="X412" s="118" t="n">
        <x:v>0</x:v>
      </x:c>
      <x:c r="Y412" s="118" t="n">
        <x:v>1</x:v>
      </x:c>
      <x:c r="Z412" s="117" t="str">
        <x:v>N/A</x:v>
      </x:c>
      <x:c r="AA412" s="120" t="n">
        <x:v>45888.60736111111</x:v>
      </x:c>
      <x:c r="AB412" s="117" t="str">
        <x:v>Delegate</x:v>
      </x:c>
      <x:c r="AC412" s="119" t="str">
        <x:v>06/26/2025 (BW) - Added an exception so that if an account is already synced, it will not sync it again.</x:v>
      </x:c>
      <x:c r="AD412" s="119" t="str"/>
    </x:row>
    <x:row r="413" ht="34" customHeight="1">
      <x:c r="A413" s="117" t="str">
        <x:v>3005b000000H4EgAAK</x:v>
      </x:c>
      <x:c r="B413" s="117" t="str">
        <x:v>PM_Task_Assigned_E_Mail_Alerts</x:v>
      </x:c>
      <x:c r="C413" s="117" t="str">
        <x:v>PM Task Assigned E-Mail Alerts</x:v>
      </x:c>
      <x:c r="D413" s="117" t="str">
        <x:v>Yes</x:v>
      </x:c>
      <x:c r="E413" s="118" t="n">
        <x:v>3</x:v>
      </x:c>
      <x:c r="F413" s="118" t="n">
        <x:v>3</x:v>
      </x:c>
      <x:c r="G413" s="117" t="str">
        <x:v>Yes</x:v>
      </x:c>
      <x:c r="H413" s="119" t="str">
        <x:v>Active v3 (Retrieved XML)</x:v>
      </x:c>
      <x:c r="I413" s="117" t="str">
        <x:v>AutoLaunchedFlow</x:v>
      </x:c>
      <x:c r="J413" s="117" t="str">
        <x:v>inov8__PMT_Task__c</x:v>
      </x:c>
      <x:c r="K413" s="117" t="str">
        <x:v>Yes</x:v>
      </x:c>
      <x:c r="L413" s="117" t="str">
        <x:v>CreateAndUpdate</x:v>
      </x:c>
      <x:c r="M413" s="117" t="str">
        <x:v>RecordAfterSave</x:v>
      </x:c>
      <x:c r="N413" s="117"/>
      <x:c r="O413" s="117"/>
      <x:c r="P413" s="117" t="str"/>
      <x:c r="Q413" s="117" t="str">
        <x:v>55.0</x:v>
      </x:c>
      <x:c r="R413" s="117" t="str">
        <x:v>unmanaged</x:v>
      </x:c>
      <x:c r="S413" s="118" t="n">
        <x:v>3</x:v>
      </x:c>
      <x:c r="T413" s="118" t="n">
        <x:v>4</x:v>
      </x:c>
      <x:c r="U413" s="118" t="n">
        <x:v>1</x:v>
      </x:c>
      <x:c r="V413" s="118" t="n">
        <x:v>0</x:v>
      </x:c>
      <x:c r="W413" s="118" t="n">
        <x:v>2</x:v>
      </x:c>
      <x:c r="X413" s="118" t="n">
        <x:v>0</x:v>
      </x:c>
      <x:c r="Y413" s="118" t="n">
        <x:v>1</x:v>
      </x:c>
      <x:c r="Z413" s="117" t="str">
        <x:v>Isolated lane</x:v>
      </x:c>
      <x:c r="AA413" s="120" t="n">
        <x:v>44819.132685185185</x:v>
      </x:c>
      <x:c r="AB413" s="117" t="str">
        <x:v>Jace Gentil</x:v>
      </x:c>
      <x:c r="AC413" s="119" t="str"/>
      <x:c r="AD413" s="119" t="str">
        <x:v>Active flow has no description</x:v>
      </x:c>
    </x:row>
    <x:row r="414" ht="34" customHeight="1">
      <x:c r="A414" s="117" t="str">
        <x:v>3005b000000H4EPAA0</x:v>
      </x:c>
      <x:c r="B414" s="117" t="str">
        <x:v>PMT_Create_Resource_Availability_on_User_activation1</x:v>
      </x:c>
      <x:c r="C414" s="117" t="str">
        <x:v>PMT - Create Resource Availability on User activation</x:v>
      </x:c>
      <x:c r="D414" s="117" t="str">
        <x:v>Yes</x:v>
      </x:c>
      <x:c r="E414" s="118" t="n">
        <x:v>1</x:v>
      </x:c>
      <x:c r="F414" s="118" t="n">
        <x:v>1</x:v>
      </x:c>
      <x:c r="G414" s="117" t="str">
        <x:v>Yes</x:v>
      </x:c>
      <x:c r="H414" s="119" t="str">
        <x:v>Active v1 (Tooling metadata)</x:v>
      </x:c>
      <x:c r="I414" s="117" t="str">
        <x:v>InvocableProcess</x:v>
      </x:c>
      <x:c r="J414" s="117" t="str"/>
      <x:c r="K414" s="117" t="str">
        <x:v>No</x:v>
      </x:c>
      <x:c r="L414" s="117" t="str"/>
      <x:c r="M414" s="117" t="str"/>
      <x:c r="N414" s="117"/>
      <x:c r="O414" s="117"/>
      <x:c r="P414" s="117" t="str"/>
      <x:c r="Q414" s="117" t="n">
        <x:v>50</x:v>
      </x:c>
      <x:c r="R414" s="117" t="str">
        <x:v>unmanaged</x:v>
      </x:c>
      <x:c r="S414" s="118" t="n">
        <x:v>1</x:v>
      </x:c>
      <x:c r="T414" s="118" t="n">
        <x:v>0</x:v>
      </x:c>
      <x:c r="U414" s="118" t="n">
        <x:v>0</x:v>
      </x:c>
      <x:c r="V414" s="118" t="n">
        <x:v>0</x:v>
      </x:c>
      <x:c r="W414" s="118" t="n">
        <x:v>0</x:v>
      </x:c>
      <x:c r="X414" s="118" t="n">
        <x:v>0</x:v>
      </x:c>
      <x:c r="Y414" s="118" t="n">
        <x:v>1</x:v>
      </x:c>
      <x:c r="Z414" s="117" t="str">
        <x:v>N/A</x:v>
      </x:c>
      <x:c r="AA414" s="120" t="n">
        <x:v>44818.56501157407</x:v>
      </x:c>
      <x:c r="AB414" s="117" t="str">
        <x:v>Delegate</x:v>
      </x:c>
      <x:c r="AC414" s="119" t="str"/>
      <x:c r="AD414" s="119" t="str">
        <x:v>Active flow has no description</x:v>
      </x:c>
    </x:row>
    <x:row r="415" ht="34" customHeight="1">
      <x:c r="A415" s="117" t="str">
        <x:v>3005b000000H4EMAA0</x:v>
      </x:c>
      <x:c r="B415" s="117" t="str">
        <x:v>PMT_Mass_update_Task_Assignee</x:v>
      </x:c>
      <x:c r="C415" s="117" t="str">
        <x:v>PMT Mass update Task Assignee</x:v>
      </x:c>
      <x:c r="D415" s="117" t="str">
        <x:v>Yes</x:v>
      </x:c>
      <x:c r="E415" s="118" t="n">
        <x:v>1</x:v>
      </x:c>
      <x:c r="F415" s="118" t="n">
        <x:v>1</x:v>
      </x:c>
      <x:c r="G415" s="117" t="str">
        <x:v>Yes</x:v>
      </x:c>
      <x:c r="H415" s="119" t="str">
        <x:v>Active v1 (Tooling metadata)</x:v>
      </x:c>
      <x:c r="I415" s="117" t="str">
        <x:v>Flow</x:v>
      </x:c>
      <x:c r="J415" s="117" t="str"/>
      <x:c r="K415" s="117" t="str">
        <x:v>No</x:v>
      </x:c>
      <x:c r="L415" s="117" t="str"/>
      <x:c r="M415" s="117" t="str"/>
      <x:c r="N415" s="117"/>
      <x:c r="O415" s="117"/>
      <x:c r="P415" s="117" t="str"/>
      <x:c r="Q415" s="117" t="n">
        <x:v>49</x:v>
      </x:c>
      <x:c r="R415" s="117" t="str">
        <x:v>unmanaged</x:v>
      </x:c>
      <x:c r="S415" s="118" t="n">
        <x:v>1</x:v>
      </x:c>
      <x:c r="T415" s="118" t="n">
        <x:v>0</x:v>
      </x:c>
      <x:c r="U415" s="118" t="n">
        <x:v>0</x:v>
      </x:c>
      <x:c r="V415" s="118" t="n">
        <x:v>0</x:v>
      </x:c>
      <x:c r="W415" s="118" t="n">
        <x:v>0</x:v>
      </x:c>
      <x:c r="X415" s="118" t="n">
        <x:v>0</x:v>
      </x:c>
      <x:c r="Y415" s="118" t="n">
        <x:v>1</x:v>
      </x:c>
      <x:c r="Z415" s="117" t="str">
        <x:v>N/A</x:v>
      </x:c>
      <x:c r="AA415" s="120" t="n">
        <x:v>44818.564467592594</x:v>
      </x:c>
      <x:c r="AB415" s="117" t="str">
        <x:v>Delegate</x:v>
      </x:c>
      <x:c r="AC415" s="119" t="str">
        <x:v>Flow active on Project to mass update PMT Task assignee in Task Datatable component due to component limitations on lookup edits.</x:v>
      </x:c>
      <x:c r="AD415" s="119" t="str"/>
    </x:row>
    <x:row r="416" ht="34" customHeight="1">
      <x:c r="A416" s="117" t="str">
        <x:v>3005b000000H4ENAA0</x:v>
      </x:c>
      <x:c r="B416" s="117" t="str">
        <x:v>PMT_Mass_update_Task_Status</x:v>
      </x:c>
      <x:c r="C416" s="117" t="str">
        <x:v>PMT Mass update Task Status</x:v>
      </x:c>
      <x:c r="D416" s="117" t="str">
        <x:v>Yes</x:v>
      </x:c>
      <x:c r="E416" s="118" t="n">
        <x:v>1</x:v>
      </x:c>
      <x:c r="F416" s="118" t="n">
        <x:v>1</x:v>
      </x:c>
      <x:c r="G416" s="117" t="str">
        <x:v>Yes</x:v>
      </x:c>
      <x:c r="H416" s="119" t="str">
        <x:v>Active v1 (Tooling metadata)</x:v>
      </x:c>
      <x:c r="I416" s="117" t="str">
        <x:v>Flow</x:v>
      </x:c>
      <x:c r="J416" s="117" t="str"/>
      <x:c r="K416" s="117" t="str">
        <x:v>No</x:v>
      </x:c>
      <x:c r="L416" s="117" t="str"/>
      <x:c r="M416" s="117" t="str"/>
      <x:c r="N416" s="117"/>
      <x:c r="O416" s="117"/>
      <x:c r="P416" s="117" t="str"/>
      <x:c r="Q416" s="117" t="n">
        <x:v>49</x:v>
      </x:c>
      <x:c r="R416" s="117" t="str">
        <x:v>unmanaged</x:v>
      </x:c>
      <x:c r="S416" s="118" t="n">
        <x:v>1</x:v>
      </x:c>
      <x:c r="T416" s="118" t="n">
        <x:v>0</x:v>
      </x:c>
      <x:c r="U416" s="118" t="n">
        <x:v>0</x:v>
      </x:c>
      <x:c r="V416" s="118" t="n">
        <x:v>0</x:v>
      </x:c>
      <x:c r="W416" s="118" t="n">
        <x:v>0</x:v>
      </x:c>
      <x:c r="X416" s="118" t="n">
        <x:v>0</x:v>
      </x:c>
      <x:c r="Y416" s="118" t="n">
        <x:v>1</x:v>
      </x:c>
      <x:c r="Z416" s="117" t="str">
        <x:v>N/A</x:v>
      </x:c>
      <x:c r="AA416" s="120" t="n">
        <x:v>44818.564467592594</x:v>
      </x:c>
      <x:c r="AB416" s="117" t="str">
        <x:v>Delegate</x:v>
      </x:c>
      <x:c r="AC416" s="119" t="str">
        <x:v>Flow on Project to update PMT Task status in Task Datatable component due to limitations on component picklist field edit.</x:v>
      </x:c>
      <x:c r="AD416" s="119" t="str"/>
    </x:row>
    <x:row r="417" ht="34" customHeight="1">
      <x:c r="A417" s="117" t="str">
        <x:v>3005b00000113aEAAQ</x:v>
      </x:c>
      <x:c r="B417" s="117" t="str">
        <x:v>PMT_Project_Templates</x:v>
      </x:c>
      <x:c r="C417" s="117" t="str">
        <x:v>PMT Project Templates</x:v>
      </x:c>
      <x:c r="D417" s="117" t="str">
        <x:v>Yes</x:v>
      </x:c>
      <x:c r="E417" s="118" t="n">
        <x:v>1</x:v>
      </x:c>
      <x:c r="F417" s="118" t="n">
        <x:v>1</x:v>
      </x:c>
      <x:c r="G417" s="117" t="str">
        <x:v>Yes</x:v>
      </x:c>
      <x:c r="H417" s="119" t="str">
        <x:v>Active v1 (Tooling metadata)</x:v>
      </x:c>
      <x:c r="I417" s="117" t="str">
        <x:v>Flow</x:v>
      </x:c>
      <x:c r="J417" s="117" t="str"/>
      <x:c r="K417" s="117" t="str">
        <x:v>No</x:v>
      </x:c>
      <x:c r="L417" s="117" t="str"/>
      <x:c r="M417" s="117" t="str"/>
      <x:c r="N417" s="117"/>
      <x:c r="O417" s="117"/>
      <x:c r="P417" s="117" t="str"/>
      <x:c r="Q417" s="117" t="n">
        <x:v>53</x:v>
      </x:c>
      <x:c r="R417" s="117" t="str">
        <x:v>unmanaged</x:v>
      </x:c>
      <x:c r="S417" s="118" t="n">
        <x:v>1</x:v>
      </x:c>
      <x:c r="T417" s="118" t="n">
        <x:v>0</x:v>
      </x:c>
      <x:c r="U417" s="118" t="n">
        <x:v>0</x:v>
      </x:c>
      <x:c r="V417" s="118" t="n">
        <x:v>0</x:v>
      </x:c>
      <x:c r="W417" s="118" t="n">
        <x:v>0</x:v>
      </x:c>
      <x:c r="X417" s="118" t="n">
        <x:v>0</x:v>
      </x:c>
      <x:c r="Y417" s="118" t="n">
        <x:v>1</x:v>
      </x:c>
      <x:c r="Z417" s="117" t="str">
        <x:v>N/A</x:v>
      </x:c>
      <x:c r="AA417" s="120" t="n">
        <x:v>45243.82341435185</x:v>
      </x:c>
      <x:c r="AB417" s="117" t="str">
        <x:v>Delegate</x:v>
      </x:c>
      <x:c r="AC417" s="119" t="str">
        <x:v>Flow to clone Projects/Phases/Tasks using "Use This Template" or "Clone Phases/Tasks" action on Project record</x:v>
      </x:c>
      <x:c r="AD417" s="119" t="str"/>
    </x:row>
    <x:row r="418" ht="34" customHeight="1">
      <x:c r="A418" s="117" t="str">
        <x:v>3005b000000H4EOAA0</x:v>
      </x:c>
      <x:c r="B418" s="117" t="str">
        <x:v>PMT_Update_Task_status_and_percentage_completion</x:v>
      </x:c>
      <x:c r="C418" s="117" t="str">
        <x:v>PMT - Update Task status and percentage completion</x:v>
      </x:c>
      <x:c r="D418" s="117" t="str">
        <x:v>Yes</x:v>
      </x:c>
      <x:c r="E418" s="118" t="n">
        <x:v>1</x:v>
      </x:c>
      <x:c r="F418" s="118" t="n">
        <x:v>1</x:v>
      </x:c>
      <x:c r="G418" s="117" t="str">
        <x:v>Yes</x:v>
      </x:c>
      <x:c r="H418" s="119" t="str">
        <x:v>Active v1 (Tooling metadata)</x:v>
      </x:c>
      <x:c r="I418" s="117" t="str">
        <x:v>Workflow</x:v>
      </x:c>
      <x:c r="J418" s="117" t="str"/>
      <x:c r="K418" s="117" t="str">
        <x:v>No</x:v>
      </x:c>
      <x:c r="L418" s="117" t="str"/>
      <x:c r="M418" s="117" t="str"/>
      <x:c r="N418" s="117"/>
      <x:c r="O418" s="117"/>
      <x:c r="P418" s="117" t="str"/>
      <x:c r="Q418" s="117" t="n">
        <x:v>49</x:v>
      </x:c>
      <x:c r="R418" s="117" t="str">
        <x:v>unmanaged</x:v>
      </x:c>
      <x:c r="S418" s="118" t="n">
        <x:v>1</x:v>
      </x:c>
      <x:c r="T418" s="118" t="n">
        <x:v>0</x:v>
      </x:c>
      <x:c r="U418" s="118" t="n">
        <x:v>0</x:v>
      </x:c>
      <x:c r="V418" s="118" t="n">
        <x:v>0</x:v>
      </x:c>
      <x:c r="W418" s="118" t="n">
        <x:v>0</x:v>
      </x:c>
      <x:c r="X418" s="118" t="n">
        <x:v>0</x:v>
      </x:c>
      <x:c r="Y418" s="118" t="n">
        <x:v>1</x:v>
      </x:c>
      <x:c r="Z418" s="117" t="str">
        <x:v>N/A</x:v>
      </x:c>
      <x:c r="AA418" s="120" t="n">
        <x:v>44818.56449074074</x:v>
      </x:c>
      <x:c r="AB418" s="117" t="str">
        <x:v>Delegate</x:v>
      </x:c>
      <x:c r="AC418" s="119" t="str">
        <x:v>Process keeps PMT task status and percentage completion in sync</x:v>
      </x:c>
      <x:c r="AD418" s="119" t="str"/>
    </x:row>
    <x:row r="419" ht="34" customHeight="1">
      <x:c r="A419" s="117" t="str">
        <x:v>3005b000000LHRgAAO</x:v>
      </x:c>
      <x:c r="B419" s="117" t="str">
        <x:v>PO_Bill_Automations</x:v>
      </x:c>
      <x:c r="C419" s="117" t="str">
        <x:v>PO Bill Automations</x:v>
      </x:c>
      <x:c r="D419" s="117" t="str">
        <x:v>Yes</x:v>
      </x:c>
      <x:c r="E419" s="118" t="n">
        <x:v>1</x:v>
      </x:c>
      <x:c r="F419" s="118" t="n">
        <x:v>2</x:v>
      </x:c>
      <x:c r="G419" s="117" t="str">
        <x:v>No</x:v>
      </x:c>
      <x:c r="H419" s="119" t="str">
        <x:v>Active v1 (Tooling metadata)</x:v>
      </x:c>
      <x:c r="I419" s="117" t="str">
        <x:v>AutoLaunchedFlow</x:v>
      </x:c>
      <x:c r="J419" s="117" t="str">
        <x:v>PO_Bill__c</x:v>
      </x:c>
      <x:c r="K419" s="117" t="str">
        <x:v>Yes</x:v>
      </x:c>
      <x:c r="L419" s="117" t="str">
        <x:v>CreateAndUpdate</x:v>
      </x:c>
      <x:c r="M419" s="117" t="str">
        <x:v>RecordAfterSave</x:v>
      </x:c>
      <x:c r="N419" s="117"/>
      <x:c r="O419" s="117"/>
      <x:c r="P419" s="117" t="str"/>
      <x:c r="Q419" s="117" t="n">
        <x:v>56</x:v>
      </x:c>
      <x:c r="R419" s="117" t="str">
        <x:v>unmanaged</x:v>
      </x:c>
      <x:c r="S419" s="118" t="n">
        <x:v>2</x:v>
      </x:c>
      <x:c r="T419" s="118" t="n">
        <x:v>4</x:v>
      </x:c>
      <x:c r="U419" s="118" t="n">
        <x:v>1</x:v>
      </x:c>
      <x:c r="V419" s="118" t="n">
        <x:v>0</x:v>
      </x:c>
      <x:c r="W419" s="118" t="n">
        <x:v>0</x:v>
      </x:c>
      <x:c r="X419" s="118" t="n">
        <x:v>0</x:v>
      </x:c>
      <x:c r="Y419" s="118" t="n">
        <x:v>1</x:v>
      </x:c>
      <x:c r="Z419" s="117" t="str">
        <x:v>Isolated lane</x:v>
      </x:c>
      <x:c r="AA419" s="120" t="n">
        <x:v>45483.56811342593</x:v>
      </x:c>
      <x:c r="AB419" s="117" t="str">
        <x:v>Delegate</x:v>
      </x:c>
      <x:c r="AC419" s="119" t="str"/>
      <x:c r="AD419" s="119" t="str">
        <x:v>Active version differs from latest; Active flow has no description</x:v>
      </x:c>
    </x:row>
    <x:row r="420" ht="34" customHeight="1">
      <x:c r="A420" s="117" t="str">
        <x:v>300Ro00000KtsfTIAR</x:v>
      </x:c>
      <x:c r="B420" s="117" t="str">
        <x:v>PO_Bill_Prevent_Deletion</x:v>
      </x:c>
      <x:c r="C420" s="117" t="str">
        <x:v>PO Bill Prevent Deletion</x:v>
      </x:c>
      <x:c r="D420" s="117" t="str">
        <x:v>Yes</x:v>
      </x:c>
      <x:c r="E420" s="118" t="n">
        <x:v>1</x:v>
      </x:c>
      <x:c r="F420" s="118" t="n">
        <x:v>1</x:v>
      </x:c>
      <x:c r="G420" s="117" t="str">
        <x:v>Yes</x:v>
      </x:c>
      <x:c r="H420" s="119" t="str">
        <x:v>Active v1 (Retrieved XML)</x:v>
      </x:c>
      <x:c r="I420" s="117" t="str">
        <x:v>AutoLaunchedFlow</x:v>
      </x:c>
      <x:c r="J420" s="117" t="str">
        <x:v>PO_Bill__c</x:v>
      </x:c>
      <x:c r="K420" s="117" t="str">
        <x:v>Yes</x:v>
      </x:c>
      <x:c r="L420" s="117" t="str">
        <x:v>Delete</x:v>
      </x:c>
      <x:c r="M420" s="117" t="str">
        <x:v>RecordBeforeDelete</x:v>
      </x:c>
      <x:c r="N420" s="117"/>
      <x:c r="O420" s="117"/>
      <x:c r="P420" s="117" t="str"/>
      <x:c r="Q420" s="117" t="str">
        <x:v>62.0</x:v>
      </x:c>
      <x:c r="R420" s="117" t="str">
        <x:v>unmanaged</x:v>
      </x:c>
      <x:c r="S420" s="118" t="n">
        <x:v>1</x:v>
      </x:c>
      <x:c r="T420" s="118" t="n">
        <x:v>3</x:v>
      </x:c>
      <x:c r="U420" s="118" t="n">
        <x:v>1</x:v>
      </x:c>
      <x:c r="V420" s="118" t="n">
        <x:v>0</x:v>
      </x:c>
      <x:c r="W420" s="118" t="n">
        <x:v>0</x:v>
      </x:c>
      <x:c r="X420" s="118" t="n">
        <x:v>0</x:v>
      </x:c>
      <x:c r="Y420" s="118" t="n">
        <x:v>1</x:v>
      </x:c>
      <x:c r="Z420" s="117" t="str">
        <x:v>Isolated lane</x:v>
      </x:c>
      <x:c r="AA420" s="120" t="n">
        <x:v>45581.38217592592</x:v>
      </x:c>
      <x:c r="AB420" s="117" t="str">
        <x:v>Jon Kean</x:v>
      </x:c>
      <x:c r="AC420" s="119" t="str">
        <x:v>Flow created to prevent non-admin users from deleting synced PO Bills</x:v>
      </x:c>
      <x:c r="AD420" s="119" t="str"/>
    </x:row>
    <x:row r="421" ht="34" customHeight="1">
      <x:c r="A421" s="117" t="str">
        <x:v>300Ro00000k2kfNIAQ</x:v>
      </x:c>
      <x:c r="B421" s="117" t="str">
        <x:v>PO_Bill_Resync_if_error_is_received</x:v>
      </x:c>
      <x:c r="C421" s="117" t="str">
        <x:v>PO Bill - Resync if error is received.</x:v>
      </x:c>
      <x:c r="D421" s="117" t="str">
        <x:v>Yes</x:v>
      </x:c>
      <x:c r="E421" s="118" t="n">
        <x:v>2</x:v>
      </x:c>
      <x:c r="F421" s="118" t="n">
        <x:v>2</x:v>
      </x:c>
      <x:c r="G421" s="117" t="str">
        <x:v>Yes</x:v>
      </x:c>
      <x:c r="H421" s="119" t="str">
        <x:v>Active v2 (Retrieved XML)</x:v>
      </x:c>
      <x:c r="I421" s="117" t="str">
        <x:v>AutoLaunchedFlow</x:v>
      </x:c>
      <x:c r="J421" s="117" t="str">
        <x:v>PO_Bill__c</x:v>
      </x:c>
      <x:c r="K421" s="117" t="str">
        <x:v>Yes</x:v>
      </x:c>
      <x:c r="L421" s="117" t="str"/>
      <x:c r="M421" s="117" t="str">
        <x:v>Scheduled</x:v>
      </x:c>
      <x:c r="N421" s="117"/>
      <x:c r="O421" s="117"/>
      <x:c r="P421" s="117" t="str">
        <x:v>Once</x:v>
      </x:c>
      <x:c r="Q421" s="117" t="str">
        <x:v>65.0</x:v>
      </x:c>
      <x:c r="R421" s="117" t="str">
        <x:v>unmanaged</x:v>
      </x:c>
      <x:c r="S421" s="118" t="n">
        <x:v>2</x:v>
      </x:c>
      <x:c r="T421" s="118" t="n">
        <x:v>3</x:v>
      </x:c>
      <x:c r="U421" s="118" t="n">
        <x:v>1</x:v>
      </x:c>
      <x:c r="V421" s="118" t="n">
        <x:v>0</x:v>
      </x:c>
      <x:c r="W421" s="118" t="n">
        <x:v>0</x:v>
      </x:c>
      <x:c r="X421" s="118" t="n">
        <x:v>0</x:v>
      </x:c>
      <x:c r="Y421" s="118" t="n">
        <x:v>1</x:v>
      </x:c>
      <x:c r="Z421" s="117" t="str">
        <x:v>Isolated lane</x:v>
      </x:c>
      <x:c r="AA421" s="120" t="n">
        <x:v>45961.49967592592</x:v>
      </x:c>
      <x:c r="AB421" s="117" t="str">
        <x:v>Delegate</x:v>
      </x:c>
      <x:c r="AC421" s="119" t="str">
        <x:v>10/31/2025 - Resyncs a PO Bill if there is a date that can be fixed</x:v>
      </x:c>
      <x:c r="AD421" s="119" t="str"/>
    </x:row>
    <x:row r="422" ht="34" customHeight="1">
      <x:c r="A422" s="117" t="str">
        <x:v>300Ro00000MYUv7IAH</x:v>
      </x:c>
      <x:c r="B422" s="117" t="str">
        <x:v>Prevent_Deletion_Credit_Memo</x:v>
      </x:c>
      <x:c r="C422" s="117" t="str">
        <x:v>Prevent Deletion - Credit Memo</x:v>
      </x:c>
      <x:c r="D422" s="117" t="str">
        <x:v>No</x:v>
      </x:c>
      <x:c r="E422" s="118"/>
      <x:c r="F422" s="118" t="n">
        <x:v>1</x:v>
      </x:c>
      <x:c r="G422" s="117" t="str">
        <x:v>N/A</x:v>
      </x:c>
      <x:c r="H422" s="119" t="str">
        <x:v>Latest inactive v1 (Retrieved XML)</x:v>
      </x:c>
      <x:c r="I422" s="117" t="str">
        <x:v>AutoLaunchedFlow</x:v>
      </x:c>
      <x:c r="J422" s="117" t="str">
        <x:v>Credit_Memo__c</x:v>
      </x:c>
      <x:c r="K422" s="117" t="str">
        <x:v>No</x:v>
      </x:c>
      <x:c r="L422" s="117" t="str">
        <x:v>Delete</x:v>
      </x:c>
      <x:c r="M422" s="117" t="str">
        <x:v>RecordBeforeDelete</x:v>
      </x:c>
      <x:c r="N422" s="117"/>
      <x:c r="O422" s="117"/>
      <x:c r="P422" s="117" t="str"/>
      <x:c r="Q422" s="117" t="str">
        <x:v>62.0</x:v>
      </x:c>
      <x:c r="R422" s="117" t="str">
        <x:v>unmanaged</x:v>
      </x:c>
      <x:c r="S422" s="118" t="n">
        <x:v>1</x:v>
      </x:c>
      <x:c r="T422" s="118" t="n">
        <x:v>3</x:v>
      </x:c>
      <x:c r="U422" s="118" t="n">
        <x:v>1</x:v>
      </x:c>
      <x:c r="V422" s="118" t="n">
        <x:v>0</x:v>
      </x:c>
      <x:c r="W422" s="118" t="n">
        <x:v>0</x:v>
      </x:c>
      <x:c r="X422" s="118" t="n">
        <x:v>0</x:v>
      </x:c>
      <x:c r="Y422" s="118" t="n">
        <x:v>1</x:v>
      </x:c>
      <x:c r="Z422" s="117" t="str">
        <x:v>N/A</x:v>
      </x:c>
      <x:c r="AA422" s="120" t="n">
        <x:v>45611.48193287037</x:v>
      </x:c>
      <x:c r="AB422" s="117" t="str">
        <x:v>Jon Kean</x:v>
      </x:c>
      <x:c r="AC422" s="119" t="str"/>
      <x:c r="AD422" s="119" t="str"/>
    </x:row>
    <x:row r="423" ht="34" customHeight="1">
      <x:c r="A423" s="117" t="str">
        <x:v>300Ro00000MYUv8IAH</x:v>
      </x:c>
      <x:c r="B423" s="117" t="str">
        <x:v>Prevent_Deletion_Debit_Memo</x:v>
      </x:c>
      <x:c r="C423" s="117" t="str">
        <x:v>Prevent Deletion - Debit Memo</x:v>
      </x:c>
      <x:c r="D423" s="117" t="str">
        <x:v>No</x:v>
      </x:c>
      <x:c r="E423" s="118"/>
      <x:c r="F423" s="118" t="n">
        <x:v>1</x:v>
      </x:c>
      <x:c r="G423" s="117" t="str">
        <x:v>N/A</x:v>
      </x:c>
      <x:c r="H423" s="119" t="str">
        <x:v>Latest inactive v1 (Retrieved XML)</x:v>
      </x:c>
      <x:c r="I423" s="117" t="str">
        <x:v>AutoLaunchedFlow</x:v>
      </x:c>
      <x:c r="J423" s="117" t="str">
        <x:v>Debit_Memos__c</x:v>
      </x:c>
      <x:c r="K423" s="117" t="str">
        <x:v>No</x:v>
      </x:c>
      <x:c r="L423" s="117" t="str">
        <x:v>Delete</x:v>
      </x:c>
      <x:c r="M423" s="117" t="str">
        <x:v>RecordBeforeDelete</x:v>
      </x:c>
      <x:c r="N423" s="117"/>
      <x:c r="O423" s="117"/>
      <x:c r="P423" s="117" t="str"/>
      <x:c r="Q423" s="117" t="str">
        <x:v>62.0</x:v>
      </x:c>
      <x:c r="R423" s="117" t="str">
        <x:v>unmanaged</x:v>
      </x:c>
      <x:c r="S423" s="118" t="n">
        <x:v>1</x:v>
      </x:c>
      <x:c r="T423" s="118" t="n">
        <x:v>3</x:v>
      </x:c>
      <x:c r="U423" s="118" t="n">
        <x:v>1</x:v>
      </x:c>
      <x:c r="V423" s="118" t="n">
        <x:v>0</x:v>
      </x:c>
      <x:c r="W423" s="118" t="n">
        <x:v>0</x:v>
      </x:c>
      <x:c r="X423" s="118" t="n">
        <x:v>0</x:v>
      </x:c>
      <x:c r="Y423" s="118" t="n">
        <x:v>1</x:v>
      </x:c>
      <x:c r="Z423" s="117" t="str">
        <x:v>N/A</x:v>
      </x:c>
      <x:c r="AA423" s="120" t="n">
        <x:v>45611.48193287037</x:v>
      </x:c>
      <x:c r="AB423" s="117" t="str">
        <x:v>Jon Kean</x:v>
      </x:c>
      <x:c r="AC423" s="119" t="str"/>
      <x:c r="AD423" s="119" t="str"/>
    </x:row>
    <x:row r="424" ht="34" customHeight="1">
      <x:c r="A424" s="117" t="str">
        <x:v>300Ro00000MYUv9IAH</x:v>
      </x:c>
      <x:c r="B424" s="117" t="str">
        <x:v>Prevent_Deletion_Inventory_Adjustment</x:v>
      </x:c>
      <x:c r="C424" s="117" t="str">
        <x:v>Prevent Deletion - Inventory Adjustment</x:v>
      </x:c>
      <x:c r="D424" s="117" t="str">
        <x:v>No</x:v>
      </x:c>
      <x:c r="E424" s="118"/>
      <x:c r="F424" s="118" t="n">
        <x:v>1</x:v>
      </x:c>
      <x:c r="G424" s="117" t="str">
        <x:v>N/A</x:v>
      </x:c>
      <x:c r="H424" s="119" t="str">
        <x:v>Latest inactive v1 (Retrieved XML)</x:v>
      </x:c>
      <x:c r="I424" s="117" t="str">
        <x:v>AutoLaunchedFlow</x:v>
      </x:c>
      <x:c r="J424" s="117" t="str">
        <x:v>Inventory_Adjustment__c</x:v>
      </x:c>
      <x:c r="K424" s="117" t="str">
        <x:v>No</x:v>
      </x:c>
      <x:c r="L424" s="117" t="str">
        <x:v>Delete</x:v>
      </x:c>
      <x:c r="M424" s="117" t="str">
        <x:v>RecordBeforeDelete</x:v>
      </x:c>
      <x:c r="N424" s="117"/>
      <x:c r="O424" s="117"/>
      <x:c r="P424" s="117" t="str"/>
      <x:c r="Q424" s="117" t="str">
        <x:v>62.0</x:v>
      </x:c>
      <x:c r="R424" s="117" t="str">
        <x:v>unmanaged</x:v>
      </x:c>
      <x:c r="S424" s="118" t="n">
        <x:v>1</x:v>
      </x:c>
      <x:c r="T424" s="118" t="n">
        <x:v>3</x:v>
      </x:c>
      <x:c r="U424" s="118" t="n">
        <x:v>1</x:v>
      </x:c>
      <x:c r="V424" s="118" t="n">
        <x:v>0</x:v>
      </x:c>
      <x:c r="W424" s="118" t="n">
        <x:v>0</x:v>
      </x:c>
      <x:c r="X424" s="118" t="n">
        <x:v>0</x:v>
      </x:c>
      <x:c r="Y424" s="118" t="n">
        <x:v>1</x:v>
      </x:c>
      <x:c r="Z424" s="117" t="str">
        <x:v>N/A</x:v>
      </x:c>
      <x:c r="AA424" s="120" t="n">
        <x:v>45611.481944444444</x:v>
      </x:c>
      <x:c r="AB424" s="117" t="str">
        <x:v>Jon Kean</x:v>
      </x:c>
      <x:c r="AC424" s="119" t="str"/>
      <x:c r="AD424" s="119" t="str"/>
    </x:row>
    <x:row r="425" ht="34" customHeight="1">
      <x:c r="A425" s="117" t="str">
        <x:v>300Ro00000MYUvAIAX</x:v>
      </x:c>
      <x:c r="B425" s="117" t="str">
        <x:v>Prevent_Deletion_Invoice</x:v>
      </x:c>
      <x:c r="C425" s="117" t="str">
        <x:v>Prevent Deletion - Invoice</x:v>
      </x:c>
      <x:c r="D425" s="117" t="str">
        <x:v>No</x:v>
      </x:c>
      <x:c r="E425" s="118"/>
      <x:c r="F425" s="118" t="n">
        <x:v>1</x:v>
      </x:c>
      <x:c r="G425" s="117" t="str">
        <x:v>N/A</x:v>
      </x:c>
      <x:c r="H425" s="119" t="str">
        <x:v>Latest inactive v1 (Retrieved XML)</x:v>
      </x:c>
      <x:c r="I425" s="117" t="str">
        <x:v>AutoLaunchedFlow</x:v>
      </x:c>
      <x:c r="J425" s="117" t="str">
        <x:v>Invoice__c</x:v>
      </x:c>
      <x:c r="K425" s="117" t="str">
        <x:v>No</x:v>
      </x:c>
      <x:c r="L425" s="117" t="str">
        <x:v>Delete</x:v>
      </x:c>
      <x:c r="M425" s="117" t="str">
        <x:v>RecordBeforeDelete</x:v>
      </x:c>
      <x:c r="N425" s="117"/>
      <x:c r="O425" s="117"/>
      <x:c r="P425" s="117" t="str"/>
      <x:c r="Q425" s="117" t="str">
        <x:v>62.0</x:v>
      </x:c>
      <x:c r="R425" s="117" t="str">
        <x:v>unmanaged</x:v>
      </x:c>
      <x:c r="S425" s="118" t="n">
        <x:v>1</x:v>
      </x:c>
      <x:c r="T425" s="118" t="n">
        <x:v>3</x:v>
      </x:c>
      <x:c r="U425" s="118" t="n">
        <x:v>1</x:v>
      </x:c>
      <x:c r="V425" s="118" t="n">
        <x:v>0</x:v>
      </x:c>
      <x:c r="W425" s="118" t="n">
        <x:v>0</x:v>
      </x:c>
      <x:c r="X425" s="118" t="n">
        <x:v>0</x:v>
      </x:c>
      <x:c r="Y425" s="118" t="n">
        <x:v>1</x:v>
      </x:c>
      <x:c r="Z425" s="117" t="str">
        <x:v>N/A</x:v>
      </x:c>
      <x:c r="AA425" s="120" t="n">
        <x:v>45611.481944444444</x:v>
      </x:c>
      <x:c r="AB425" s="117" t="str">
        <x:v>Jon Kean</x:v>
      </x:c>
      <x:c r="AC425" s="119" t="str"/>
      <x:c r="AD425" s="119" t="str"/>
    </x:row>
    <x:row r="426" ht="34" customHeight="1">
      <x:c r="A426" s="117" t="str">
        <x:v>300Ro00000MYUvBIAX</x:v>
      </x:c>
      <x:c r="B426" s="117" t="str">
        <x:v>Prevent_Deletion_Item_Receipt</x:v>
      </x:c>
      <x:c r="C426" s="117" t="str">
        <x:v>Prevent Deletion - Item Receipt</x:v>
      </x:c>
      <x:c r="D426" s="117" t="str">
        <x:v>No</x:v>
      </x:c>
      <x:c r="E426" s="118"/>
      <x:c r="F426" s="118" t="n">
        <x:v>1</x:v>
      </x:c>
      <x:c r="G426" s="117" t="str">
        <x:v>N/A</x:v>
      </x:c>
      <x:c r="H426" s="119" t="str">
        <x:v>Latest inactive v1 (Retrieved XML)</x:v>
      </x:c>
      <x:c r="I426" s="117" t="str">
        <x:v>AutoLaunchedFlow</x:v>
      </x:c>
      <x:c r="J426" s="117" t="str">
        <x:v>Item_Receipt__c</x:v>
      </x:c>
      <x:c r="K426" s="117" t="str">
        <x:v>No</x:v>
      </x:c>
      <x:c r="L426" s="117" t="str">
        <x:v>Delete</x:v>
      </x:c>
      <x:c r="M426" s="117" t="str">
        <x:v>RecordBeforeDelete</x:v>
      </x:c>
      <x:c r="N426" s="117"/>
      <x:c r="O426" s="117"/>
      <x:c r="P426" s="117" t="str"/>
      <x:c r="Q426" s="117" t="str">
        <x:v>62.0</x:v>
      </x:c>
      <x:c r="R426" s="117" t="str">
        <x:v>unmanaged</x:v>
      </x:c>
      <x:c r="S426" s="118" t="n">
        <x:v>1</x:v>
      </x:c>
      <x:c r="T426" s="118" t="n">
        <x:v>3</x:v>
      </x:c>
      <x:c r="U426" s="118" t="n">
        <x:v>1</x:v>
      </x:c>
      <x:c r="V426" s="118" t="n">
        <x:v>0</x:v>
      </x:c>
      <x:c r="W426" s="118" t="n">
        <x:v>0</x:v>
      </x:c>
      <x:c r="X426" s="118" t="n">
        <x:v>0</x:v>
      </x:c>
      <x:c r="Y426" s="118" t="n">
        <x:v>1</x:v>
      </x:c>
      <x:c r="Z426" s="117" t="str">
        <x:v>N/A</x:v>
      </x:c>
      <x:c r="AA426" s="120" t="n">
        <x:v>45611.481944444444</x:v>
      </x:c>
      <x:c r="AB426" s="117" t="str">
        <x:v>Jon Kean</x:v>
      </x:c>
      <x:c r="AC426" s="119" t="str"/>
      <x:c r="AD426" s="119" t="str"/>
    </x:row>
    <x:row r="427" ht="34" customHeight="1">
      <x:c r="A427" s="117" t="str">
        <x:v>300Ro00000MYUvCIAX</x:v>
      </x:c>
      <x:c r="B427" s="117" t="str">
        <x:v>Prevent_Deletion_Opportunity</x:v>
      </x:c>
      <x:c r="C427" s="117" t="str">
        <x:v>Prevent Deletion - Opportunity</x:v>
      </x:c>
      <x:c r="D427" s="117" t="str">
        <x:v>No</x:v>
      </x:c>
      <x:c r="E427" s="118"/>
      <x:c r="F427" s="118" t="n">
        <x:v>1</x:v>
      </x:c>
      <x:c r="G427" s="117" t="str">
        <x:v>N/A</x:v>
      </x:c>
      <x:c r="H427" s="119" t="str">
        <x:v>Latest inactive v1 (Retrieved XML)</x:v>
      </x:c>
      <x:c r="I427" s="117" t="str">
        <x:v>AutoLaunchedFlow</x:v>
      </x:c>
      <x:c r="J427" s="117" t="str">
        <x:v>Opportunity</x:v>
      </x:c>
      <x:c r="K427" s="117" t="str">
        <x:v>No</x:v>
      </x:c>
      <x:c r="L427" s="117" t="str">
        <x:v>Delete</x:v>
      </x:c>
      <x:c r="M427" s="117" t="str">
        <x:v>RecordBeforeDelete</x:v>
      </x:c>
      <x:c r="N427" s="117"/>
      <x:c r="O427" s="117"/>
      <x:c r="P427" s="117" t="str"/>
      <x:c r="Q427" s="117" t="str">
        <x:v>62.0</x:v>
      </x:c>
      <x:c r="R427" s="117" t="str">
        <x:v>unmanaged</x:v>
      </x:c>
      <x:c r="S427" s="118" t="n">
        <x:v>1</x:v>
      </x:c>
      <x:c r="T427" s="118" t="n">
        <x:v>3</x:v>
      </x:c>
      <x:c r="U427" s="118" t="n">
        <x:v>1</x:v>
      </x:c>
      <x:c r="V427" s="118" t="n">
        <x:v>0</x:v>
      </x:c>
      <x:c r="W427" s="118" t="n">
        <x:v>0</x:v>
      </x:c>
      <x:c r="X427" s="118" t="n">
        <x:v>0</x:v>
      </x:c>
      <x:c r="Y427" s="118" t="n">
        <x:v>1</x:v>
      </x:c>
      <x:c r="Z427" s="117" t="str">
        <x:v>N/A</x:v>
      </x:c>
      <x:c r="AA427" s="120" t="n">
        <x:v>45611.48196759259</x:v>
      </x:c>
      <x:c r="AB427" s="117" t="str">
        <x:v>Jon Kean</x:v>
      </x:c>
      <x:c r="AC427" s="119" t="str"/>
      <x:c r="AD427" s="119" t="str"/>
    </x:row>
    <x:row r="428" ht="34" customHeight="1">
      <x:c r="A428" s="117" t="str">
        <x:v>300Ro00000MYUvDIAX</x:v>
      </x:c>
      <x:c r="B428" s="117" t="str">
        <x:v>Prevent_Deletion_Purchasing_Return</x:v>
      </x:c>
      <x:c r="C428" s="117" t="str">
        <x:v>Prevent Deletion - Purchasing Return</x:v>
      </x:c>
      <x:c r="D428" s="117" t="str">
        <x:v>No</x:v>
      </x:c>
      <x:c r="E428" s="118"/>
      <x:c r="F428" s="118" t="n">
        <x:v>1</x:v>
      </x:c>
      <x:c r="G428" s="117" t="str">
        <x:v>N/A</x:v>
      </x:c>
      <x:c r="H428" s="119" t="str">
        <x:v>Latest inactive v1 (Retrieved XML)</x:v>
      </x:c>
      <x:c r="I428" s="117" t="str">
        <x:v>AutoLaunchedFlow</x:v>
      </x:c>
      <x:c r="J428" s="117" t="str">
        <x:v>Purchasing_Return__c</x:v>
      </x:c>
      <x:c r="K428" s="117" t="str">
        <x:v>No</x:v>
      </x:c>
      <x:c r="L428" s="117" t="str">
        <x:v>Delete</x:v>
      </x:c>
      <x:c r="M428" s="117" t="str">
        <x:v>RecordBeforeDelete</x:v>
      </x:c>
      <x:c r="N428" s="117"/>
      <x:c r="O428" s="117"/>
      <x:c r="P428" s="117" t="str"/>
      <x:c r="Q428" s="117" t="str">
        <x:v>62.0</x:v>
      </x:c>
      <x:c r="R428" s="117" t="str">
        <x:v>unmanaged</x:v>
      </x:c>
      <x:c r="S428" s="118" t="n">
        <x:v>1</x:v>
      </x:c>
      <x:c r="T428" s="118" t="n">
        <x:v>3</x:v>
      </x:c>
      <x:c r="U428" s="118" t="n">
        <x:v>1</x:v>
      </x:c>
      <x:c r="V428" s="118" t="n">
        <x:v>0</x:v>
      </x:c>
      <x:c r="W428" s="118" t="n">
        <x:v>0</x:v>
      </x:c>
      <x:c r="X428" s="118" t="n">
        <x:v>0</x:v>
      </x:c>
      <x:c r="Y428" s="118" t="n">
        <x:v>1</x:v>
      </x:c>
      <x:c r="Z428" s="117" t="str">
        <x:v>N/A</x:v>
      </x:c>
      <x:c r="AA428" s="120" t="n">
        <x:v>45611.48197916667</x:v>
      </x:c>
      <x:c r="AB428" s="117" t="str">
        <x:v>Jon Kean</x:v>
      </x:c>
      <x:c r="AC428" s="119" t="str"/>
      <x:c r="AD428" s="119" t="str"/>
    </x:row>
    <x:row r="429" ht="34" customHeight="1">
      <x:c r="A429" s="117" t="str">
        <x:v>300Ro00000MYUvEIAX</x:v>
      </x:c>
      <x:c r="B429" s="117" t="str">
        <x:v>Prevent_Deletion_RMA</x:v>
      </x:c>
      <x:c r="C429" s="117" t="str">
        <x:v>Prevent Deletion - RMA</x:v>
      </x:c>
      <x:c r="D429" s="117" t="str">
        <x:v>No</x:v>
      </x:c>
      <x:c r="E429" s="118"/>
      <x:c r="F429" s="118" t="n">
        <x:v>1</x:v>
      </x:c>
      <x:c r="G429" s="117" t="str">
        <x:v>N/A</x:v>
      </x:c>
      <x:c r="H429" s="119" t="str">
        <x:v>Latest inactive v1 (Retrieved XML)</x:v>
      </x:c>
      <x:c r="I429" s="117" t="str">
        <x:v>AutoLaunchedFlow</x:v>
      </x:c>
      <x:c r="J429" s="117" t="str">
        <x:v>RMA__c</x:v>
      </x:c>
      <x:c r="K429" s="117" t="str">
        <x:v>No</x:v>
      </x:c>
      <x:c r="L429" s="117" t="str">
        <x:v>Delete</x:v>
      </x:c>
      <x:c r="M429" s="117" t="str">
        <x:v>RecordBeforeDelete</x:v>
      </x:c>
      <x:c r="N429" s="117"/>
      <x:c r="O429" s="117"/>
      <x:c r="P429" s="117" t="str"/>
      <x:c r="Q429" s="117" t="str">
        <x:v>62.0</x:v>
      </x:c>
      <x:c r="R429" s="117" t="str">
        <x:v>unmanaged</x:v>
      </x:c>
      <x:c r="S429" s="118" t="n">
        <x:v>1</x:v>
      </x:c>
      <x:c r="T429" s="118" t="n">
        <x:v>3</x:v>
      </x:c>
      <x:c r="U429" s="118" t="n">
        <x:v>1</x:v>
      </x:c>
      <x:c r="V429" s="118" t="n">
        <x:v>0</x:v>
      </x:c>
      <x:c r="W429" s="118" t="n">
        <x:v>0</x:v>
      </x:c>
      <x:c r="X429" s="118" t="n">
        <x:v>0</x:v>
      </x:c>
      <x:c r="Y429" s="118" t="n">
        <x:v>1</x:v>
      </x:c>
      <x:c r="Z429" s="117" t="str">
        <x:v>N/A</x:v>
      </x:c>
      <x:c r="AA429" s="120" t="n">
        <x:v>45611.48197916667</x:v>
      </x:c>
      <x:c r="AB429" s="117" t="str">
        <x:v>Jon Kean</x:v>
      </x:c>
      <x:c r="AC429" s="119" t="str"/>
      <x:c r="AD429" s="119" t="str"/>
    </x:row>
    <x:row r="430" ht="34" customHeight="1">
      <x:c r="A430" s="117" t="str">
        <x:v>3005b000000Pz5KAAS</x:v>
      </x:c>
      <x:c r="B430" s="117" t="str">
        <x:v>Pricing_Request_Response_Notification_Flow</x:v>
      </x:c>
      <x:c r="C430" s="117" t="str">
        <x:v>Pricing Request Response Notification Flow</x:v>
      </x:c>
      <x:c r="D430" s="117" t="str">
        <x:v>Yes</x:v>
      </x:c>
      <x:c r="E430" s="118" t="n">
        <x:v>9</x:v>
      </x:c>
      <x:c r="F430" s="118" t="n">
        <x:v>9</x:v>
      </x:c>
      <x:c r="G430" s="117" t="str">
        <x:v>Yes</x:v>
      </x:c>
      <x:c r="H430" s="119" t="str">
        <x:v>Active v9 (Retrieved XML)</x:v>
      </x:c>
      <x:c r="I430" s="117" t="str">
        <x:v>AutoLaunchedFlow</x:v>
      </x:c>
      <x:c r="J430" s="117" t="str">
        <x:v>Pricing_Request_Response__c</x:v>
      </x:c>
      <x:c r="K430" s="117" t="str">
        <x:v>Yes</x:v>
      </x:c>
      <x:c r="L430" s="117" t="str">
        <x:v>Create</x:v>
      </x:c>
      <x:c r="M430" s="117" t="str">
        <x:v>RecordAfterSave</x:v>
      </x:c>
      <x:c r="N430" s="117"/>
      <x:c r="O430" s="117"/>
      <x:c r="P430" s="117" t="str"/>
      <x:c r="Q430" s="117" t="str">
        <x:v>57.0</x:v>
      </x:c>
      <x:c r="R430" s="117" t="str">
        <x:v>unmanaged</x:v>
      </x:c>
      <x:c r="S430" s="118" t="n">
        <x:v>9</x:v>
      </x:c>
      <x:c r="T430" s="118" t="n">
        <x:v>5</x:v>
      </x:c>
      <x:c r="U430" s="118" t="n">
        <x:v>1</x:v>
      </x:c>
      <x:c r="V430" s="118" t="n">
        <x:v>0</x:v>
      </x:c>
      <x:c r="W430" s="118" t="n">
        <x:v>2</x:v>
      </x:c>
      <x:c r="X430" s="118" t="n">
        <x:v>0</x:v>
      </x:c>
      <x:c r="Y430" s="118" t="n">
        <x:v>1</x:v>
      </x:c>
      <x:c r="Z430" s="117" t="str">
        <x:v>Isolated lane</x:v>
      </x:c>
      <x:c r="AA430" s="120" t="n">
        <x:v>45383.8500462963</x:v>
      </x:c>
      <x:c r="AB430" s="117" t="str">
        <x:v>Jace Gentil</x:v>
      </x:c>
      <x:c r="AC430" s="119" t="str"/>
      <x:c r="AD430" s="119" t="str">
        <x:v>Active flow has no description</x:v>
      </x:c>
    </x:row>
    <x:row r="431" ht="34" customHeight="1">
      <x:c r="A431" s="117" t="str">
        <x:v>300Ro00000VLr5uIAD</x:v>
      </x:c>
      <x:c r="B431" s="117" t="str">
        <x:v>Pricing_Request_Trigger_Update_Req_Opp_WO_SA</x:v>
      </x:c>
      <x:c r="C431" s="117" t="str">
        <x:v>Pricing Request - Trigger - Update Req. Opp WO/SA</x:v>
      </x:c>
      <x:c r="D431" s="117" t="str">
        <x:v>Yes</x:v>
      </x:c>
      <x:c r="E431" s="118" t="n">
        <x:v>1</x:v>
      </x:c>
      <x:c r="F431" s="118" t="n">
        <x:v>1</x:v>
      </x:c>
      <x:c r="G431" s="117" t="str">
        <x:v>Yes</x:v>
      </x:c>
      <x:c r="H431" s="119" t="str">
        <x:v>Active v1 (Retrieved XML)</x:v>
      </x:c>
      <x:c r="I431" s="117" t="str">
        <x:v>AutoLaunchedFlow</x:v>
      </x:c>
      <x:c r="J431" s="117" t="str">
        <x:v>Pricing_Request__c</x:v>
      </x:c>
      <x:c r="K431" s="117" t="str">
        <x:v>Yes</x:v>
      </x:c>
      <x:c r="L431" s="117" t="str">
        <x:v>CreateAndUpdate</x:v>
      </x:c>
      <x:c r="M431" s="117" t="str">
        <x:v>RecordAfterSave</x:v>
      </x:c>
      <x:c r="N431" s="117"/>
      <x:c r="O431" s="117"/>
      <x:c r="P431" s="117" t="str"/>
      <x:c r="Q431" s="117" t="str">
        <x:v>63.0</x:v>
      </x:c>
      <x:c r="R431" s="117" t="str">
        <x:v>unmanaged</x:v>
      </x:c>
      <x:c r="S431" s="118" t="n">
        <x:v>1</x:v>
      </x:c>
      <x:c r="T431" s="118" t="n">
        <x:v>4</x:v>
      </x:c>
      <x:c r="U431" s="118" t="n">
        <x:v>2</x:v>
      </x:c>
      <x:c r="V431" s="118" t="n">
        <x:v>0</x:v>
      </x:c>
      <x:c r="W431" s="118" t="n">
        <x:v>0</x:v>
      </x:c>
      <x:c r="X431" s="118" t="n">
        <x:v>0</x:v>
      </x:c>
      <x:c r="Y431" s="118" t="n">
        <x:v>1</x:v>
      </x:c>
      <x:c r="Z431" s="117" t="str">
        <x:v>Review</x:v>
      </x:c>
      <x:c r="AA431" s="120" t="n">
        <x:v>45782.621041666665</x:v>
      </x:c>
      <x:c r="AB431" s="117" t="str">
        <x:v>Delegate</x:v>
      </x:c>
      <x:c r="AC431" s="119" t="str">
        <x:v>04/30/2025 - Kyle - Update requesting Opp data when PR is created or updated</x:v>
      </x:c>
      <x:c r="AD431" s="119" t="str"/>
    </x:row>
    <x:row r="432" ht="34" customHeight="1">
      <x:c r="A432" s="117" t="str">
        <x:v>300Ro00000726mtIAA</x:v>
      </x:c>
      <x:c r="B432" s="117" t="str">
        <x:v>Probe_Loan_Calculation_Tool</x:v>
      </x:c>
      <x:c r="C432" s="117" t="str">
        <x:v>Probe Loan Calculation Tool</x:v>
      </x:c>
      <x:c r="D432" s="117" t="str">
        <x:v>Yes</x:v>
      </x:c>
      <x:c r="E432" s="118" t="n">
        <x:v>2</x:v>
      </x:c>
      <x:c r="F432" s="118" t="n">
        <x:v>2</x:v>
      </x:c>
      <x:c r="G432" s="117" t="str">
        <x:v>Yes</x:v>
      </x:c>
      <x:c r="H432" s="119" t="str">
        <x:v>Active v2 (Retrieved XML)</x:v>
      </x:c>
      <x:c r="I432" s="117" t="str">
        <x:v>Flow</x:v>
      </x:c>
      <x:c r="J432" s="117" t="str"/>
      <x:c r="K432" s="117" t="str">
        <x:v>No</x:v>
      </x:c>
      <x:c r="L432" s="117" t="str"/>
      <x:c r="M432" s="117" t="str"/>
      <x:c r="N432" s="117"/>
      <x:c r="O432" s="117"/>
      <x:c r="P432" s="117" t="str"/>
      <x:c r="Q432" s="117" t="str">
        <x:v>60.0</x:v>
      </x:c>
      <x:c r="R432" s="117" t="str">
        <x:v>unmanaged</x:v>
      </x:c>
      <x:c r="S432" s="118" t="n">
        <x:v>2</x:v>
      </x:c>
      <x:c r="T432" s="118" t="n">
        <x:v>7</x:v>
      </x:c>
      <x:c r="U432" s="118" t="n">
        <x:v>2</x:v>
      </x:c>
      <x:c r="V432" s="118" t="n">
        <x:v>0</x:v>
      </x:c>
      <x:c r="W432" s="118" t="n">
        <x:v>0</x:v>
      </x:c>
      <x:c r="X432" s="118" t="n">
        <x:v>0</x:v>
      </x:c>
      <x:c r="Y432" s="118" t="n">
        <x:v>1</x:v>
      </x:c>
      <x:c r="Z432" s="117" t="str">
        <x:v>N/A</x:v>
      </x:c>
      <x:c r="AA432" s="120" t="n">
        <x:v>45345.803460648145</x:v>
      </x:c>
      <x:c r="AB432" s="117" t="str">
        <x:v>Jace Gentil</x:v>
      </x:c>
      <x:c r="AC432" s="119" t="str"/>
      <x:c r="AD432" s="119" t="str">
        <x:v>Active flow has no description</x:v>
      </x:c>
    </x:row>
    <x:row r="433" ht="34" customHeight="1">
      <x:c r="A433" s="117" t="str">
        <x:v>300Ro0000075fUlIAI</x:v>
      </x:c>
      <x:c r="B433" s="117" t="str">
        <x:v>Probe_Loan_ROI_Calculations_FLow</x:v>
      </x:c>
      <x:c r="C433" s="117" t="str">
        <x:v>Probe Loan ROI Calculations FLow</x:v>
      </x:c>
      <x:c r="D433" s="117" t="str">
        <x:v>Yes</x:v>
      </x:c>
      <x:c r="E433" s="118" t="n">
        <x:v>6</x:v>
      </x:c>
      <x:c r="F433" s="118" t="n">
        <x:v>6</x:v>
      </x:c>
      <x:c r="G433" s="117" t="str">
        <x:v>Yes</x:v>
      </x:c>
      <x:c r="H433" s="119" t="str">
        <x:v>Active v6 (Retrieved XML)</x:v>
      </x:c>
      <x:c r="I433" s="117" t="str">
        <x:v>AutoLaunchedFlow</x:v>
      </x:c>
      <x:c r="J433" s="117" t="str">
        <x:v>ProductItem__c</x:v>
      </x:c>
      <x:c r="K433" s="117" t="str">
        <x:v>Yes</x:v>
      </x:c>
      <x:c r="L433" s="117" t="str">
        <x:v>Update</x:v>
      </x:c>
      <x:c r="M433" s="117" t="str">
        <x:v>RecordAfterSave</x:v>
      </x:c>
      <x:c r="N433" s="117"/>
      <x:c r="O433" s="117"/>
      <x:c r="P433" s="117" t="str"/>
      <x:c r="Q433" s="117" t="str">
        <x:v>60.0</x:v>
      </x:c>
      <x:c r="R433" s="117" t="str">
        <x:v>unmanaged</x:v>
      </x:c>
      <x:c r="S433" s="118" t="n">
        <x:v>6</x:v>
      </x:c>
      <x:c r="T433" s="118" t="n">
        <x:v>10</x:v>
      </x:c>
      <x:c r="U433" s="118" t="n">
        <x:v>2</x:v>
      </x:c>
      <x:c r="V433" s="118" t="n">
        <x:v>0</x:v>
      </x:c>
      <x:c r="W433" s="118" t="n">
        <x:v>0</x:v>
      </x:c>
      <x:c r="X433" s="118" t="n">
        <x:v>0</x:v>
      </x:c>
      <x:c r="Y433" s="118" t="n">
        <x:v>1</x:v>
      </x:c>
      <x:c r="Z433" s="117" t="str">
        <x:v>Strong</x:v>
      </x:c>
      <x:c r="AA433" s="120" t="n">
        <x:v>45846.49518518519</x:v>
      </x:c>
      <x:c r="AB433" s="117" t="str">
        <x:v>Delegate</x:v>
      </x:c>
      <x:c r="AC433" s="119" t="str">
        <x:v>07/08/2025 (BW) - Updating this back to the way it was before</x:v>
      </x:c>
      <x:c r="AD433" s="119" t="str"/>
    </x:row>
    <x:row r="434" ht="34" customHeight="1">
      <x:c r="A434" s="117" t="str">
        <x:v>3004O0000000aB7QAI</x:v>
      </x:c>
      <x:c r="B434" s="117" t="str">
        <x:v>Probe_Repair_Update_from_RMA</x:v>
      </x:c>
      <x:c r="C434" s="117" t="str">
        <x:v>PB: RMA</x:v>
      </x:c>
      <x:c r="D434" s="117" t="str">
        <x:v>Yes</x:v>
      </x:c>
      <x:c r="E434" s="118" t="n">
        <x:v>15</x:v>
      </x:c>
      <x:c r="F434" s="118" t="n">
        <x:v>15</x:v>
      </x:c>
      <x:c r="G434" s="117" t="str">
        <x:v>Yes</x:v>
      </x:c>
      <x:c r="H434" s="119" t="str">
        <x:v>Active v15 (Retrieved XML)</x:v>
      </x:c>
      <x:c r="I434" s="117" t="str">
        <x:v>Workflow</x:v>
      </x:c>
      <x:c r="J434" s="117" t="str"/>
      <x:c r="K434" s="117" t="str">
        <x:v>No</x:v>
      </x:c>
      <x:c r="L434" s="117" t="str"/>
      <x:c r="M434" s="117" t="str"/>
      <x:c r="N434" s="117"/>
      <x:c r="O434" s="117"/>
      <x:c r="P434" s="117" t="str"/>
      <x:c r="Q434" s="117" t="str">
        <x:v>50.0</x:v>
      </x:c>
      <x:c r="R434" s="117" t="str">
        <x:v>unmanaged</x:v>
      </x:c>
      <x:c r="S434" s="118" t="n">
        <x:v>15</x:v>
      </x:c>
      <x:c r="T434" s="118" t="n">
        <x:v>58</x:v>
      </x:c>
      <x:c r="U434" s="118" t="n">
        <x:v>1</x:v>
      </x:c>
      <x:c r="V434" s="118" t="n">
        <x:v>0</x:v>
      </x:c>
      <x:c r="W434" s="118" t="n">
        <x:v>22</x:v>
      </x:c>
      <x:c r="X434" s="118" t="n">
        <x:v>0</x:v>
      </x:c>
      <x:c r="Y434" s="118" t="n">
        <x:v>4</x:v>
      </x:c>
      <x:c r="Z434" s="117" t="str">
        <x:v>N/A</x:v>
      </x:c>
      <x:c r="AA434" s="120" t="n">
        <x:v>45765.14412037037</x:v>
      </x:c>
      <x:c r="AB434" s="117" t="str">
        <x:v>Natalie Boger</x:v>
      </x:c>
      <x:c r="AC434" s="119" t="str">
        <x:v>Handles changes on the RMA object</x:v>
      </x:c>
      <x:c r="AD434" s="119" t="str">
        <x:v>High element count</x:v>
      </x:c>
    </x:row>
    <x:row r="435" ht="34" customHeight="1">
      <x:c r="A435" s="117" t="str">
        <x:v>3005b000000LHHCAA4</x:v>
      </x:c>
      <x:c r="B435" s="117" t="str">
        <x:v>ProbeRepairOpportunityStageUpdates</x:v>
      </x:c>
      <x:c r="C435" s="117" t="str">
        <x:v>ProbeRepairOpportunityStageUpdates</x:v>
      </x:c>
      <x:c r="D435" s="117" t="str">
        <x:v>No</x:v>
      </x:c>
      <x:c r="E435" s="118"/>
      <x:c r="F435" s="118" t="n">
        <x:v>13</x:v>
      </x:c>
      <x:c r="G435" s="117" t="str">
        <x:v>N/A</x:v>
      </x:c>
      <x:c r="H435" s="119" t="str">
        <x:v>Latest inactive v13 (Retrieved XML)</x:v>
      </x:c>
      <x:c r="I435" s="117" t="str">
        <x:v>AutoLaunchedFlow</x:v>
      </x:c>
      <x:c r="J435" s="117" t="str">
        <x:v>Opportunity</x:v>
      </x:c>
      <x:c r="K435" s="117" t="str">
        <x:v>No</x:v>
      </x:c>
      <x:c r="L435" s="117" t="str">
        <x:v>Update</x:v>
      </x:c>
      <x:c r="M435" s="117" t="str">
        <x:v>RecordAfterSave</x:v>
      </x:c>
      <x:c r="N435" s="117"/>
      <x:c r="O435" s="117"/>
      <x:c r="P435" s="117" t="str"/>
      <x:c r="Q435" s="117" t="str">
        <x:v>56.0</x:v>
      </x:c>
      <x:c r="R435" s="117" t="str">
        <x:v>unmanaged</x:v>
      </x:c>
      <x:c r="S435" s="118" t="n">
        <x:v>13</x:v>
      </x:c>
      <x:c r="T435" s="118" t="n">
        <x:v>4</x:v>
      </x:c>
      <x:c r="U435" s="118" t="n">
        <x:v>2</x:v>
      </x:c>
      <x:c r="V435" s="118" t="n">
        <x:v>0</x:v>
      </x:c>
      <x:c r="W435" s="118" t="n">
        <x:v>0</x:v>
      </x:c>
      <x:c r="X435" s="118" t="n">
        <x:v>0</x:v>
      </x:c>
      <x:c r="Y435" s="118" t="n">
        <x:v>1</x:v>
      </x:c>
      <x:c r="Z435" s="117" t="str">
        <x:v>N/A</x:v>
      </x:c>
      <x:c r="AA435" s="120" t="n">
        <x:v>45145.541493055556</x:v>
      </x:c>
      <x:c r="AB435" s="117" t="str">
        <x:v>Delegate</x:v>
      </x:c>
      <x:c r="AC435" s="119" t="str">
        <x:v>Added asynchronous path</x:v>
      </x:c>
      <x:c r="AD435" s="119" t="str"/>
    </x:row>
    <x:row r="436" ht="34" customHeight="1">
      <x:c r="A436" s="117" t="str">
        <x:v>3004O000000LNqwQAG</x:v>
      </x:c>
      <x:c r="B436" s="117" t="str">
        <x:v>Product2_All</x:v>
      </x:c>
      <x:c r="C436" s="117" t="str">
        <x:v>Product2 - All</x:v>
      </x:c>
      <x:c r="D436" s="117" t="str">
        <x:v>No</x:v>
      </x:c>
      <x:c r="E436" s="118"/>
      <x:c r="F436" s="118" t="n">
        <x:v>7</x:v>
      </x:c>
      <x:c r="G436" s="117" t="str">
        <x:v>N/A</x:v>
      </x:c>
      <x:c r="H436" s="119" t="str">
        <x:v>Latest inactive v7 (Retrieved XML)</x:v>
      </x:c>
      <x:c r="I436" s="117" t="str">
        <x:v>Workflow</x:v>
      </x:c>
      <x:c r="J436" s="117" t="str"/>
      <x:c r="K436" s="117" t="str">
        <x:v>No</x:v>
      </x:c>
      <x:c r="L436" s="117" t="str"/>
      <x:c r="M436" s="117" t="str"/>
      <x:c r="N436" s="117"/>
      <x:c r="O436" s="117"/>
      <x:c r="P436" s="117" t="str"/>
      <x:c r="Q436" s="117" t="str">
        <x:v>49.0</x:v>
      </x:c>
      <x:c r="R436" s="117" t="str">
        <x:v>unmanaged</x:v>
      </x:c>
      <x:c r="S436" s="118" t="n">
        <x:v>7</x:v>
      </x:c>
      <x:c r="T436" s="118" t="n">
        <x:v>2</x:v>
      </x:c>
      <x:c r="U436" s="118" t="n">
        <x:v>1</x:v>
      </x:c>
      <x:c r="V436" s="118" t="n">
        <x:v>0</x:v>
      </x:c>
      <x:c r="W436" s="118" t="n">
        <x:v>1</x:v>
      </x:c>
      <x:c r="X436" s="118" t="n">
        <x:v>0</x:v>
      </x:c>
      <x:c r="Y436" s="118" t="n">
        <x:v>1</x:v>
      </x:c>
      <x:c r="Z436" s="117" t="str">
        <x:v>N/A</x:v>
      </x:c>
      <x:c r="AA436" s="120" t="n">
        <x:v>46197.29893518519</x:v>
      </x:c>
      <x:c r="AB436" s="117" t="str">
        <x:v>Natalie Boger</x:v>
      </x:c>
      <x:c r="AC436" s="119" t="str">
        <x:v>create Generic Asset for new Products</x:v>
      </x:c>
      <x:c r="AD436" s="119" t="str"/>
    </x:row>
    <x:row r="437" ht="34" customHeight="1">
      <x:c r="A437" s="117" t="str">
        <x:v>3005b000000LJC9AAO</x:v>
      </x:c>
      <x:c r="B437" s="117" t="str">
        <x:v>Product_Creation_Actions_Flow</x:v>
      </x:c>
      <x:c r="C437" s="117" t="str">
        <x:v>Product Creation Actions Flow</x:v>
      </x:c>
      <x:c r="D437" s="117" t="str">
        <x:v>Yes</x:v>
      </x:c>
      <x:c r="E437" s="118" t="n">
        <x:v>10</x:v>
      </x:c>
      <x:c r="F437" s="118" t="n">
        <x:v>10</x:v>
      </x:c>
      <x:c r="G437" s="117" t="str">
        <x:v>Yes</x:v>
      </x:c>
      <x:c r="H437" s="119" t="str">
        <x:v>Active v10 (Retrieved XML)</x:v>
      </x:c>
      <x:c r="I437" s="117" t="str">
        <x:v>AutoLaunchedFlow</x:v>
      </x:c>
      <x:c r="J437" s="117" t="str">
        <x:v>Product2</x:v>
      </x:c>
      <x:c r="K437" s="117" t="str">
        <x:v>Yes</x:v>
      </x:c>
      <x:c r="L437" s="117" t="str">
        <x:v>Create</x:v>
      </x:c>
      <x:c r="M437" s="117" t="str">
        <x:v>RecordAfterSave</x:v>
      </x:c>
      <x:c r="N437" s="117"/>
      <x:c r="O437" s="117"/>
      <x:c r="P437" s="117" t="str"/>
      <x:c r="Q437" s="117" t="str">
        <x:v>58.0</x:v>
      </x:c>
      <x:c r="R437" s="117" t="str">
        <x:v>unmanaged</x:v>
      </x:c>
      <x:c r="S437" s="118" t="n">
        <x:v>10</x:v>
      </x:c>
      <x:c r="T437" s="118" t="n">
        <x:v>2</x:v>
      </x:c>
      <x:c r="U437" s="118" t="n">
        <x:v>1</x:v>
      </x:c>
      <x:c r="V437" s="118" t="n">
        <x:v>0</x:v>
      </x:c>
      <x:c r="W437" s="118" t="n">
        <x:v>1</x:v>
      </x:c>
      <x:c r="X437" s="118" t="n">
        <x:v>0</x:v>
      </x:c>
      <x:c r="Y437" s="118" t="n">
        <x:v>1</x:v>
      </x:c>
      <x:c r="Z437" s="117" t="str">
        <x:v>Review</x:v>
      </x:c>
      <x:c r="AA437" s="120" t="n">
        <x:v>45435.618425925924</x:v>
      </x:c>
      <x:c r="AB437" s="117" t="str">
        <x:v>Jace Gentil</x:v>
      </x:c>
      <x:c r="AC437" s="119" t="str">
        <x:v>For actions to do on Product Creationi - Specifically the auto-submit for approval</x:v>
      </x:c>
      <x:c r="AD437" s="119" t="str"/>
    </x:row>
    <x:row r="438" ht="34" customHeight="1">
      <x:c r="A438" s="117" t="str">
        <x:v>300Ro000007doaZIAQ</x:v>
      </x:c>
      <x:c r="B438" s="117" t="str">
        <x:v>Product_Item_Rollups</x:v>
      </x:c>
      <x:c r="C438" s="117" t="str">
        <x:v>Product Item Rollups</x:v>
      </x:c>
      <x:c r="D438" s="117" t="str">
        <x:v>No</x:v>
      </x:c>
      <x:c r="E438" s="118"/>
      <x:c r="F438" s="118" t="n">
        <x:v>2</x:v>
      </x:c>
      <x:c r="G438" s="117" t="str">
        <x:v>N/A</x:v>
      </x:c>
      <x:c r="H438" s="119" t="str">
        <x:v>Latest inactive v2 (Retrieved XML)</x:v>
      </x:c>
      <x:c r="I438" s="117" t="str">
        <x:v>AutoLaunchedFlow</x:v>
      </x:c>
      <x:c r="J438" s="117" t="str">
        <x:v>ProductItem__c</x:v>
      </x:c>
      <x:c r="K438" s="117" t="str">
        <x:v>No</x:v>
      </x:c>
      <x:c r="L438" s="117" t="str">
        <x:v>CreateAndUpdate</x:v>
      </x:c>
      <x:c r="M438" s="117" t="str">
        <x:v>RecordAfterSave</x:v>
      </x:c>
      <x:c r="N438" s="117"/>
      <x:c r="O438" s="117"/>
      <x:c r="P438" s="117" t="str"/>
      <x:c r="Q438" s="117" t="str">
        <x:v>57.0</x:v>
      </x:c>
      <x:c r="R438" s="117" t="str">
        <x:v>unmanaged</x:v>
      </x:c>
      <x:c r="S438" s="118" t="n">
        <x:v>2</x:v>
      </x:c>
      <x:c r="T438" s="118" t="n">
        <x:v>30</x:v>
      </x:c>
      <x:c r="U438" s="118" t="n">
        <x:v>5</x:v>
      </x:c>
      <x:c r="V438" s="118" t="n">
        <x:v>0</x:v>
      </x:c>
      <x:c r="W438" s="118" t="n">
        <x:v>0</x:v>
      </x:c>
      <x:c r="X438" s="118" t="n">
        <x:v>0</x:v>
      </x:c>
      <x:c r="Y438" s="118" t="n">
        <x:v>3</x:v>
      </x:c>
      <x:c r="Z438" s="117" t="str">
        <x:v>N/A</x:v>
      </x:c>
      <x:c r="AA438" s="120" t="n">
        <x:v>45721.92222222222</x:v>
      </x:c>
      <x:c r="AB438" s="117" t="str">
        <x:v>Delegate</x:v>
      </x:c>
      <x:c r="AC438" s="119" t="str">
        <x:v>12/29/2024 (BW) - Updated total cost of unsold and sold to factor in changes to currency amounts. This should keep the two systems in sync</x:v>
      </x:c>
      <x:c r="AD438" s="119" t="str">
        <x:v>Touches many objects</x:v>
      </x:c>
    </x:row>
    <x:row r="439" ht="34" customHeight="1">
      <x:c r="A439" s="117" t="str">
        <x:v>3000B0000008l3gQAA</x:v>
      </x:c>
      <x:c r="B439" s="117" t="str">
        <x:v>Product_name_from_lead_to_opp</x:v>
      </x:c>
      <x:c r="C439" s="117" t="str">
        <x:v>PB: Contact</x:v>
      </x:c>
      <x:c r="D439" s="117" t="str">
        <x:v>Yes</x:v>
      </x:c>
      <x:c r="E439" s="118" t="n">
        <x:v>10</x:v>
      </x:c>
      <x:c r="F439" s="118" t="n">
        <x:v>11</x:v>
      </x:c>
      <x:c r="G439" s="117" t="str">
        <x:v>No</x:v>
      </x:c>
      <x:c r="H439" s="119" t="str">
        <x:v>Active v10 (Tooling metadata)</x:v>
      </x:c>
      <x:c r="I439" s="117" t="str">
        <x:v>Workflow</x:v>
      </x:c>
      <x:c r="J439" s="117" t="str"/>
      <x:c r="K439" s="117" t="str">
        <x:v>No</x:v>
      </x:c>
      <x:c r="L439" s="117" t="str"/>
      <x:c r="M439" s="117" t="str"/>
      <x:c r="N439" s="117"/>
      <x:c r="O439" s="117"/>
      <x:c r="P439" s="117" t="str"/>
      <x:c r="Q439" s="117" t="n">
        <x:v>49</x:v>
      </x:c>
      <x:c r="R439" s="117" t="str">
        <x:v>unmanaged</x:v>
      </x:c>
      <x:c r="S439" s="118" t="n">
        <x:v>9</x:v>
      </x:c>
      <x:c r="T439" s="118" t="n">
        <x:v>12</x:v>
      </x:c>
      <x:c r="U439" s="118" t="n">
        <x:v>2</x:v>
      </x:c>
      <x:c r="V439" s="118" t="n">
        <x:v>0</x:v>
      </x:c>
      <x:c r="W439" s="118" t="n">
        <x:v>0</x:v>
      </x:c>
      <x:c r="X439" s="118" t="n">
        <x:v>0</x:v>
      </x:c>
      <x:c r="Y439" s="118" t="n">
        <x:v>1</x:v>
      </x:c>
      <x:c r="Z439" s="117" t="str">
        <x:v>N/A</x:v>
      </x:c>
      <x:c r="AA439" s="120" t="n">
        <x:v>44865.62189814815</x:v>
      </x:c>
      <x:c r="AB439" s="117" t="str">
        <x:v>Delegate</x:v>
      </x:c>
      <x:c r="AC439" s="119" t="str">
        <x:v>Added functionality to mark if lead is created in UK/EU</x:v>
      </x:c>
      <x:c r="AD439" s="119" t="str">
        <x:v>Active version differs from latest</x:v>
      </x:c>
    </x:row>
    <x:row r="440" ht="34" customHeight="1">
      <x:c r="A440" s="117" t="str">
        <x:v>300Ro000010uR0GIAU</x:v>
      </x:c>
      <x:c r="B440" s="117" t="str">
        <x:v>Product_On_Creation</x:v>
      </x:c>
      <x:c r="C440" s="117" t="str">
        <x:v>Product - On Creation</x:v>
      </x:c>
      <x:c r="D440" s="117" t="str">
        <x:v>Yes</x:v>
      </x:c>
      <x:c r="E440" s="118" t="n">
        <x:v>2</x:v>
      </x:c>
      <x:c r="F440" s="118" t="n">
        <x:v>2</x:v>
      </x:c>
      <x:c r="G440" s="117" t="str">
        <x:v>Yes</x:v>
      </x:c>
      <x:c r="H440" s="119" t="str">
        <x:v>Active v2 (Retrieved XML)</x:v>
      </x:c>
      <x:c r="I440" s="117" t="str">
        <x:v>AutoLaunchedFlow</x:v>
      </x:c>
      <x:c r="J440" s="117" t="str">
        <x:v>Product2</x:v>
      </x:c>
      <x:c r="K440" s="117" t="str">
        <x:v>Yes</x:v>
      </x:c>
      <x:c r="L440" s="117" t="str">
        <x:v>Create</x:v>
      </x:c>
      <x:c r="M440" s="117" t="str">
        <x:v>RecordAfterSave</x:v>
      </x:c>
      <x:c r="N440" s="117"/>
      <x:c r="O440" s="117"/>
      <x:c r="P440" s="117" t="str"/>
      <x:c r="Q440" s="117" t="str">
        <x:v>66.0</x:v>
      </x:c>
      <x:c r="R440" s="117" t="str">
        <x:v>unmanaged</x:v>
      </x:c>
      <x:c r="S440" s="118" t="n">
        <x:v>2</x:v>
      </x:c>
      <x:c r="T440" s="118" t="n">
        <x:v>17</x:v>
      </x:c>
      <x:c r="U440" s="118" t="n">
        <x:v>4</x:v>
      </x:c>
      <x:c r="V440" s="118" t="n">
        <x:v>0</x:v>
      </x:c>
      <x:c r="W440" s="118" t="n">
        <x:v>0</x:v>
      </x:c>
      <x:c r="X440" s="118" t="n">
        <x:v>0</x:v>
      </x:c>
      <x:c r="Y440" s="118" t="n">
        <x:v>3</x:v>
      </x:c>
      <x:c r="Z440" s="117" t="str">
        <x:v>Review</x:v>
      </x:c>
      <x:c r="AA440" s="120" t="n">
        <x:v>46201.73780092593</x:v>
      </x:c>
      <x:c r="AB440" s="117" t="str">
        <x:v>Sacha Pearce</x:v>
      </x:c>
      <x:c r="AC440" s="119" t="str">
        <x:v>06/28/2026 - SP - Adding "Product Part Number" to the "Create Product Analytics" element.</x:v>
      </x:c>
      <x:c r="AD440" s="119" t="str">
        <x:v>Touches many objects</x:v>
      </x:c>
    </x:row>
    <x:row r="441" ht="34" customHeight="1">
      <x:c r="A441" s="117" t="str">
        <x:v>300Ro00000degLSIAY</x:v>
      </x:c>
      <x:c r="B441" s="117" t="str">
        <x:v>Product_Repair_Line_Item_Deletion</x:v>
      </x:c>
      <x:c r="C441" s="117" t="str">
        <x:v>Product Repair Line Item Deletion</x:v>
      </x:c>
      <x:c r="D441" s="117" t="str">
        <x:v>Yes</x:v>
      </x:c>
      <x:c r="E441" s="118" t="n">
        <x:v>1</x:v>
      </x:c>
      <x:c r="F441" s="118" t="n">
        <x:v>1</x:v>
      </x:c>
      <x:c r="G441" s="117" t="str">
        <x:v>Yes</x:v>
      </x:c>
      <x:c r="H441" s="119" t="str">
        <x:v>Active v1 (Retrieved XML)</x:v>
      </x:c>
      <x:c r="I441" s="117" t="str">
        <x:v>AutoLaunchedFlow</x:v>
      </x:c>
      <x:c r="J441" s="117" t="str">
        <x:v>Product_Repair_Line_Item__c</x:v>
      </x:c>
      <x:c r="K441" s="117" t="str">
        <x:v>Yes</x:v>
      </x:c>
      <x:c r="L441" s="117" t="str">
        <x:v>Delete</x:v>
      </x:c>
      <x:c r="M441" s="117" t="str">
        <x:v>RecordBeforeDelete</x:v>
      </x:c>
      <x:c r="N441" s="117"/>
      <x:c r="O441" s="117"/>
      <x:c r="P441" s="117" t="str"/>
      <x:c r="Q441" s="117" t="str">
        <x:v>64.0</x:v>
      </x:c>
      <x:c r="R441" s="117" t="str">
        <x:v>unmanaged</x:v>
      </x:c>
      <x:c r="S441" s="118" t="n">
        <x:v>1</x:v>
      </x:c>
      <x:c r="T441" s="118" t="n">
        <x:v>2</x:v>
      </x:c>
      <x:c r="U441" s="118" t="n">
        <x:v>1</x:v>
      </x:c>
      <x:c r="V441" s="118" t="n">
        <x:v>0</x:v>
      </x:c>
      <x:c r="W441" s="118" t="n">
        <x:v>0</x:v>
      </x:c>
      <x:c r="X441" s="118" t="n">
        <x:v>0</x:v>
      </x:c>
      <x:c r="Y441" s="118" t="n">
        <x:v>1</x:v>
      </x:c>
      <x:c r="Z441" s="117" t="str">
        <x:v>Isolated lane</x:v>
      </x:c>
      <x:c r="AA441" s="120" t="n">
        <x:v>45894.18413194444</x:v>
      </x:c>
      <x:c r="AB441" s="117" t="str">
        <x:v>Natalie Boger</x:v>
      </x:c>
      <x:c r="AC441" s="119" t="str"/>
      <x:c r="AD441" s="119" t="str">
        <x:v>Active flow has no description</x:v>
      </x:c>
    </x:row>
    <x:row r="442" ht="34" customHeight="1">
      <x:c r="A442" s="117" t="str">
        <x:v>300Ro00000xFMPfIAO</x:v>
      </x:c>
      <x:c r="B442" s="117" t="str">
        <x:v>Product_Scheduled_Build_Missing_Product_Analytics_Records</x:v>
      </x:c>
      <x:c r="C442" s="117" t="str">
        <x:v>Product - Scheduled - Build Missing Product Analytics Records</x:v>
      </x:c>
      <x:c r="D442" s="117" t="str">
        <x:v>No</x:v>
      </x:c>
      <x:c r="E442" s="118"/>
      <x:c r="F442" s="118" t="n">
        <x:v>1</x:v>
      </x:c>
      <x:c r="G442" s="117" t="str">
        <x:v>N/A</x:v>
      </x:c>
      <x:c r="H442" s="119" t="str">
        <x:v>Latest inactive v1 (Retrieved XML)</x:v>
      </x:c>
      <x:c r="I442" s="117" t="str">
        <x:v>AutoLaunchedFlow</x:v>
      </x:c>
      <x:c r="J442" s="117" t="str"/>
      <x:c r="K442" s="117" t="str">
        <x:v>No</x:v>
      </x:c>
      <x:c r="L442" s="117" t="str"/>
      <x:c r="M442" s="117" t="str">
        <x:v>Scheduled</x:v>
      </x:c>
      <x:c r="N442" s="117"/>
      <x:c r="O442" s="117"/>
      <x:c r="P442" s="117" t="str">
        <x:v>Daily</x:v>
      </x:c>
      <x:c r="Q442" s="117" t="str">
        <x:v>66.0</x:v>
      </x:c>
      <x:c r="R442" s="117" t="str">
        <x:v>unmanaged</x:v>
      </x:c>
      <x:c r="S442" s="118" t="n">
        <x:v>1</x:v>
      </x:c>
      <x:c r="T442" s="118" t="n">
        <x:v>8</x:v>
      </x:c>
      <x:c r="U442" s="118" t="n">
        <x:v>2</x:v>
      </x:c>
      <x:c r="V442" s="118" t="n">
        <x:v>0</x:v>
      </x:c>
      <x:c r="W442" s="118" t="n">
        <x:v>0</x:v>
      </x:c>
      <x:c r="X442" s="118" t="n">
        <x:v>0</x:v>
      </x:c>
      <x:c r="Y442" s="118" t="n">
        <x:v>1</x:v>
      </x:c>
      <x:c r="Z442" s="117" t="str">
        <x:v>N/A</x:v>
      </x:c>
      <x:c r="AA442" s="120" t="n">
        <x:v>46154.6127662037</x:v>
      </x:c>
      <x:c r="AB442" s="117" t="str">
        <x:v>Sacha Pearce</x:v>
      </x:c>
      <x:c r="AC442" s="119" t="str"/>
      <x:c r="AD442" s="119" t="str"/>
    </x:row>
    <x:row r="443" ht="34" customHeight="1">
      <x:c r="A443" s="117" t="str">
        <x:v>300Ro00000yRspoIAC</x:v>
      </x:c>
      <x:c r="B443" s="117" t="str">
        <x:v>ProductItem_Asynchronous_on_create_Estimated_Sales_Price_Roll_Up</x:v>
      </x:c>
      <x:c r="C443" s="117" t="str">
        <x:v>ProductItem | Asynchronous, on create, Estimated Sales Price Roll Up</x:v>
      </x:c>
      <x:c r="D443" s="117" t="str">
        <x:v>Yes</x:v>
      </x:c>
      <x:c r="E443" s="118" t="n">
        <x:v>3</x:v>
      </x:c>
      <x:c r="F443" s="118" t="n">
        <x:v>3</x:v>
      </x:c>
      <x:c r="G443" s="117" t="str">
        <x:v>Yes</x:v>
      </x:c>
      <x:c r="H443" s="119" t="str">
        <x:v>Active v3 (Retrieved XML)</x:v>
      </x:c>
      <x:c r="I443" s="117" t="str">
        <x:v>AutoLaunchedFlow</x:v>
      </x:c>
      <x:c r="J443" s="117" t="str">
        <x:v>ProductItem__c</x:v>
      </x:c>
      <x:c r="K443" s="117" t="str">
        <x:v>Yes</x:v>
      </x:c>
      <x:c r="L443" s="117" t="str">
        <x:v>Create</x:v>
      </x:c>
      <x:c r="M443" s="117" t="str">
        <x:v>RecordAfterSave</x:v>
      </x:c>
      <x:c r="N443" s="117"/>
      <x:c r="O443" s="117"/>
      <x:c r="P443" s="117" t="str"/>
      <x:c r="Q443" s="117" t="str">
        <x:v>57.0</x:v>
      </x:c>
      <x:c r="R443" s="117" t="str">
        <x:v>unmanaged</x:v>
      </x:c>
      <x:c r="S443" s="118" t="n">
        <x:v>3</x:v>
      </x:c>
      <x:c r="T443" s="118" t="n">
        <x:v>5</x:v>
      </x:c>
      <x:c r="U443" s="118" t="n">
        <x:v>2</x:v>
      </x:c>
      <x:c r="V443" s="118" t="n">
        <x:v>0</x:v>
      </x:c>
      <x:c r="W443" s="118" t="n">
        <x:v>0</x:v>
      </x:c>
      <x:c r="X443" s="118" t="n">
        <x:v>0</x:v>
      </x:c>
      <x:c r="Y443" s="118" t="n">
        <x:v>1</x:v>
      </x:c>
      <x:c r="Z443" s="117" t="str">
        <x:v>Strong</x:v>
      </x:c>
      <x:c r="AA443" s="120" t="n">
        <x:v>46169.50189814815</x:v>
      </x:c>
      <x:c r="AB443" s="117" t="str">
        <x:v>Delegate</x:v>
      </x:c>
      <x:c r="AC443" s="119" t="str">
        <x:v>05/27/26 (BW) – Updating so the purchasing opportunity is not null</x:v>
      </x:c>
      <x:c r="AD443" s="119" t="str"/>
    </x:row>
    <x:row r="444" ht="34" customHeight="1">
      <x:c r="A444" s="117" t="str">
        <x:v>300Ro00000yTV5xIAG</x:v>
      </x:c>
      <x:c r="B444" s="117" t="str">
        <x:v>ProductItem_Asynchronous_on_create_HWO_Total_Cost_Roll_Up</x:v>
      </x:c>
      <x:c r="C444" s="117" t="str">
        <x:v>ProductItem | Asynchronous, on create, HWO Total Cost Roll Up</x:v>
      </x:c>
      <x:c r="D444" s="117" t="str">
        <x:v>Yes</x:v>
      </x:c>
      <x:c r="E444" s="118" t="n">
        <x:v>3</x:v>
      </x:c>
      <x:c r="F444" s="118" t="n">
        <x:v>3</x:v>
      </x:c>
      <x:c r="G444" s="117" t="str">
        <x:v>Yes</x:v>
      </x:c>
      <x:c r="H444" s="119" t="str">
        <x:v>Active v3 (Retrieved XML)</x:v>
      </x:c>
      <x:c r="I444" s="117" t="str">
        <x:v>AutoLaunchedFlow</x:v>
      </x:c>
      <x:c r="J444" s="117" t="str">
        <x:v>ProductItem__c</x:v>
      </x:c>
      <x:c r="K444" s="117" t="str">
        <x:v>Yes</x:v>
      </x:c>
      <x:c r="L444" s="117" t="str">
        <x:v>Create</x:v>
      </x:c>
      <x:c r="M444" s="117" t="str">
        <x:v>RecordAfterSave</x:v>
      </x:c>
      <x:c r="N444" s="117"/>
      <x:c r="O444" s="117"/>
      <x:c r="P444" s="117" t="str"/>
      <x:c r="Q444" s="117" t="str">
        <x:v>57.0</x:v>
      </x:c>
      <x:c r="R444" s="117" t="str">
        <x:v>unmanaged</x:v>
      </x:c>
      <x:c r="S444" s="118" t="n">
        <x:v>3</x:v>
      </x:c>
      <x:c r="T444" s="118" t="n">
        <x:v>5</x:v>
      </x:c>
      <x:c r="U444" s="118" t="n">
        <x:v>2</x:v>
      </x:c>
      <x:c r="V444" s="118" t="n">
        <x:v>0</x:v>
      </x:c>
      <x:c r="W444" s="118" t="n">
        <x:v>0</x:v>
      </x:c>
      <x:c r="X444" s="118" t="n">
        <x:v>0</x:v>
      </x:c>
      <x:c r="Y444" s="118" t="n">
        <x:v>1</x:v>
      </x:c>
      <x:c r="Z444" s="117" t="str">
        <x:v>Strong</x:v>
      </x:c>
      <x:c r="AA444" s="120" t="n">
        <x:v>46169.50664351852</x:v>
      </x:c>
      <x:c r="AB444" s="117" t="str">
        <x:v>Delegate</x:v>
      </x:c>
      <x:c r="AC444" s="119" t="str">
        <x:v>05/27/26 (GD) - Stops this from firing if the Harvest Work Order is Null</x:v>
      </x:c>
      <x:c r="AD444" s="119" t="str"/>
    </x:row>
    <x:row r="445" ht="34" customHeight="1">
      <x:c r="A445" s="117" t="str">
        <x:v>300Ro00000yTWmlIAG</x:v>
      </x:c>
      <x:c r="B445" s="117" t="str">
        <x:v>ProductItem_Asynchronous_on_create_HWO_Total_Revenue_Roll_Up</x:v>
      </x:c>
      <x:c r="C445" s="117" t="str">
        <x:v>ProductItem | Asynchronous, on create, HWO Total Revenue Roll Up</x:v>
      </x:c>
      <x:c r="D445" s="117" t="str">
        <x:v>Yes</x:v>
      </x:c>
      <x:c r="E445" s="118" t="n">
        <x:v>3</x:v>
      </x:c>
      <x:c r="F445" s="118" t="n">
        <x:v>3</x:v>
      </x:c>
      <x:c r="G445" s="117" t="str">
        <x:v>Yes</x:v>
      </x:c>
      <x:c r="H445" s="119" t="str">
        <x:v>Active v3 (Retrieved XML)</x:v>
      </x:c>
      <x:c r="I445" s="117" t="str">
        <x:v>AutoLaunchedFlow</x:v>
      </x:c>
      <x:c r="J445" s="117" t="str">
        <x:v>ProductItem__c</x:v>
      </x:c>
      <x:c r="K445" s="117" t="str">
        <x:v>Yes</x:v>
      </x:c>
      <x:c r="L445" s="117" t="str">
        <x:v>Create</x:v>
      </x:c>
      <x:c r="M445" s="117" t="str">
        <x:v>RecordAfterSave</x:v>
      </x:c>
      <x:c r="N445" s="117"/>
      <x:c r="O445" s="117"/>
      <x:c r="P445" s="117" t="str"/>
      <x:c r="Q445" s="117" t="str">
        <x:v>57.0</x:v>
      </x:c>
      <x:c r="R445" s="117" t="str">
        <x:v>unmanaged</x:v>
      </x:c>
      <x:c r="S445" s="118" t="n">
        <x:v>3</x:v>
      </x:c>
      <x:c r="T445" s="118" t="n">
        <x:v>5</x:v>
      </x:c>
      <x:c r="U445" s="118" t="n">
        <x:v>2</x:v>
      </x:c>
      <x:c r="V445" s="118" t="n">
        <x:v>0</x:v>
      </x:c>
      <x:c r="W445" s="118" t="n">
        <x:v>0</x:v>
      </x:c>
      <x:c r="X445" s="118" t="n">
        <x:v>0</x:v>
      </x:c>
      <x:c r="Y445" s="118" t="n">
        <x:v>1</x:v>
      </x:c>
      <x:c r="Z445" s="117" t="str">
        <x:v>Strong</x:v>
      </x:c>
      <x:c r="AA445" s="120" t="n">
        <x:v>46169.505590277775</x:v>
      </x:c>
      <x:c r="AB445" s="117" t="str">
        <x:v>Delegate</x:v>
      </x:c>
      <x:c r="AC445" s="119" t="str">
        <x:v>05/27/26 (BW) - Updating so the Harvest Work Order can not be null</x:v>
      </x:c>
      <x:c r="AD445" s="119" t="str"/>
    </x:row>
    <x:row r="446" ht="34" customHeight="1">
      <x:c r="A446" s="117" t="str">
        <x:v>300Ro00000yXXXJIA4</x:v>
      </x:c>
      <x:c r="B446" s="117" t="str">
        <x:v>ProductItem_Asynchronous_on_create_Item_Receipt_Amount_Roll_Up</x:v>
      </x:c>
      <x:c r="C446" s="117" t="str">
        <x:v>ProductItem | Asynchronous, on create, Item Receipt Amount Roll Up</x:v>
      </x:c>
      <x:c r="D446" s="117" t="str">
        <x:v>Yes</x:v>
      </x:c>
      <x:c r="E446" s="118" t="n">
        <x:v>1</x:v>
      </x:c>
      <x:c r="F446" s="118" t="n">
        <x:v>1</x:v>
      </x:c>
      <x:c r="G446" s="117" t="str">
        <x:v>Yes</x:v>
      </x:c>
      <x:c r="H446" s="119" t="str">
        <x:v>Active v1 (Retrieved XML)</x:v>
      </x:c>
      <x:c r="I446" s="117" t="str">
        <x:v>AutoLaunchedFlow</x:v>
      </x:c>
      <x:c r="J446" s="117" t="str">
        <x:v>ProductItem__c</x:v>
      </x:c>
      <x:c r="K446" s="117" t="str">
        <x:v>Yes</x:v>
      </x:c>
      <x:c r="L446" s="117" t="str">
        <x:v>Create</x:v>
      </x:c>
      <x:c r="M446" s="117" t="str">
        <x:v>RecordAfterSave</x:v>
      </x:c>
      <x:c r="N446" s="117"/>
      <x:c r="O446" s="117"/>
      <x:c r="P446" s="117" t="str"/>
      <x:c r="Q446" s="117" t="str">
        <x:v>62.0</x:v>
      </x:c>
      <x:c r="R446" s="117" t="str">
        <x:v>unmanaged</x:v>
      </x:c>
      <x:c r="S446" s="118" t="n">
        <x:v>1</x:v>
      </x:c>
      <x:c r="T446" s="118" t="n">
        <x:v>5</x:v>
      </x:c>
      <x:c r="U446" s="118" t="n">
        <x:v>2</x:v>
      </x:c>
      <x:c r="V446" s="118" t="n">
        <x:v>0</x:v>
      </x:c>
      <x:c r="W446" s="118" t="n">
        <x:v>0</x:v>
      </x:c>
      <x:c r="X446" s="118" t="n">
        <x:v>0</x:v>
      </x:c>
      <x:c r="Y446" s="118" t="n">
        <x:v>1</x:v>
      </x:c>
      <x:c r="Z446" s="117" t="str">
        <x:v>Strong</x:v>
      </x:c>
      <x:c r="AA446" s="120" t="n">
        <x:v>46169.80960648148</x:v>
      </x:c>
      <x:c r="AB446" s="117" t="str">
        <x:v>Delegate</x:v>
      </x:c>
      <x:c r="AC446" s="119" t="str">
        <x:v>05/27/26 (BW) – Replaces DLRS Item_Receipt_Amount rule. Sums ProductItem__c.Cost__c onto Item_Receipt__c.Item_Receipt_Amount__c when a ProductItem is created. Item_Receipt_Is_Null_Check decision prevents SOQL when Item_Receipt__c is blank.</x:v>
      </x:c>
      <x:c r="AD446" s="119" t="str"/>
    </x:row>
    <x:row r="447" ht="34" customHeight="1">
      <x:c r="A447" s="117" t="str">
        <x:v>300Ro00000zEWo5IAG</x:v>
      </x:c>
      <x:c r="B447" s="117" t="str">
        <x:v>ProductItem_Asynchronous_on_create_Loaner_Asset_Number_Roll_Up</x:v>
      </x:c>
      <x:c r="C447" s="117" t="str">
        <x:v>ProductItem | Asynchronous, on create, Loaner Asset Number Roll Up</x:v>
      </x:c>
      <x:c r="D447" s="117" t="str">
        <x:v>Yes</x:v>
      </x:c>
      <x:c r="E447" s="118" t="n">
        <x:v>1</x:v>
      </x:c>
      <x:c r="F447" s="118" t="n">
        <x:v>1</x:v>
      </x:c>
      <x:c r="G447" s="117" t="str">
        <x:v>Yes</x:v>
      </x:c>
      <x:c r="H447" s="119" t="str">
        <x:v>Active v1 (Retrieved XML)</x:v>
      </x:c>
      <x:c r="I447" s="117" t="str">
        <x:v>AutoLaunchedFlow</x:v>
      </x:c>
      <x:c r="J447" s="117" t="str">
        <x:v>ProductItem__c</x:v>
      </x:c>
      <x:c r="K447" s="117" t="str">
        <x:v>Yes</x:v>
      </x:c>
      <x:c r="L447" s="117" t="str">
        <x:v>Create</x:v>
      </x:c>
      <x:c r="M447" s="117" t="str">
        <x:v>RecordAfterSave</x:v>
      </x:c>
      <x:c r="N447" s="117"/>
      <x:c r="O447" s="117"/>
      <x:c r="P447" s="117" t="str"/>
      <x:c r="Q447" s="117" t="str">
        <x:v>62.0</x:v>
      </x:c>
      <x:c r="R447" s="117" t="str">
        <x:v>unmanaged</x:v>
      </x:c>
      <x:c r="S447" s="118" t="n">
        <x:v>1</x:v>
      </x:c>
      <x:c r="T447" s="118" t="n">
        <x:v>9</x:v>
      </x:c>
      <x:c r="U447" s="118" t="n">
        <x:v>2</x:v>
      </x:c>
      <x:c r="V447" s="118" t="n">
        <x:v>0</x:v>
      </x:c>
      <x:c r="W447" s="118" t="n">
        <x:v>0</x:v>
      </x:c>
      <x:c r="X447" s="118" t="n">
        <x:v>0</x:v>
      </x:c>
      <x:c r="Y447" s="118" t="n">
        <x:v>1</x:v>
      </x:c>
      <x:c r="Z447" s="117" t="str">
        <x:v>Strong</x:v>
      </x:c>
      <x:c r="AA447" s="120" t="n">
        <x:v>46177.12162037037</x:v>
      </x:c>
      <x:c r="AB447" s="117" t="str">
        <x:v>Delegate</x:v>
      </x:c>
      <x:c r="AC447" s="119" t="str">
        <x:v>06/03/26 (GD) – Replaces DLRS Roll_Up_Asset_Numbers_to_Loaner rule on create. Concatenates distinct ProductItem__c.Name values onto Loaner__c.Loaner_Asset__c when a ProductItem is created with a Loaner. Entry criteria and Loaner_Is_Null_Check prevent SOQL when Loaner__c is blank. Writes null when result is empty.</x:v>
      </x:c>
      <x:c r="AD447" s="119" t="str"/>
    </x:row>
    <x:row r="448" ht="34" customHeight="1">
      <x:c r="A448" s="117" t="str">
        <x:v>300Ro00000yYvjAIAS</x:v>
      </x:c>
      <x:c r="B448" s="117" t="str">
        <x:v>ProductItem_Asynchronous_on_create_Loaner_Location_Roll_Up</x:v>
      </x:c>
      <x:c r="C448" s="117" t="str">
        <x:v>ProductItem | Asynchronous, on create, Loaner Location Roll Up</x:v>
      </x:c>
      <x:c r="D448" s="117" t="str">
        <x:v>Yes</x:v>
      </x:c>
      <x:c r="E448" s="118" t="n">
        <x:v>2</x:v>
      </x:c>
      <x:c r="F448" s="118" t="n">
        <x:v>2</x:v>
      </x:c>
      <x:c r="G448" s="117" t="str">
        <x:v>Yes</x:v>
      </x:c>
      <x:c r="H448" s="119" t="str">
        <x:v>Active v2 (Retrieved XML)</x:v>
      </x:c>
      <x:c r="I448" s="117" t="str">
        <x:v>AutoLaunchedFlow</x:v>
      </x:c>
      <x:c r="J448" s="117" t="str">
        <x:v>ProductItem__c</x:v>
      </x:c>
      <x:c r="K448" s="117" t="str">
        <x:v>Yes</x:v>
      </x:c>
      <x:c r="L448" s="117" t="str">
        <x:v>Create</x:v>
      </x:c>
      <x:c r="M448" s="117" t="str">
        <x:v>RecordAfterSave</x:v>
      </x:c>
      <x:c r="N448" s="117"/>
      <x:c r="O448" s="117"/>
      <x:c r="P448" s="117" t="str"/>
      <x:c r="Q448" s="117" t="str">
        <x:v>62.0</x:v>
      </x:c>
      <x:c r="R448" s="117" t="str">
        <x:v>unmanaged</x:v>
      </x:c>
      <x:c r="S448" s="118" t="n">
        <x:v>2</x:v>
      </x:c>
      <x:c r="T448" s="118" t="n">
        <x:v>7</x:v>
      </x:c>
      <x:c r="U448" s="118" t="n">
        <x:v>2</x:v>
      </x:c>
      <x:c r="V448" s="118" t="n">
        <x:v>0</x:v>
      </x:c>
      <x:c r="W448" s="118" t="n">
        <x:v>0</x:v>
      </x:c>
      <x:c r="X448" s="118" t="n">
        <x:v>0</x:v>
      </x:c>
      <x:c r="Y448" s="118" t="n">
        <x:v>1</x:v>
      </x:c>
      <x:c r="Z448" s="117" t="str">
        <x:v>Strong</x:v>
      </x:c>
      <x:c r="AA448" s="120" t="n">
        <x:v>46174.802083333336</x:v>
      </x:c>
      <x:c r="AB448" s="117" t="str">
        <x:v>Delegate</x:v>
      </x:c>
      <x:c r="AC448" s="119" t="str">
        <x:v>05/27/26 (GD) – Replaces DLRS Loaner_Location rule. Adds distinct ProductItem__c.Location__c onto Loaner__c.Loaner_Location__c when a ProductItem is created. Loaner_Is_Null_Check decision prevents SOQL when Loaner__c is blank.
06/01/26 (GD) – Added Loaner__c IsNull false entry criteria to prevent async scheduling on every ProductItem create when no Loaner is set.</x:v>
      </x:c>
      <x:c r="AD448" s="119" t="str"/>
    </x:row>
    <x:row r="449" ht="34" customHeight="1">
      <x:c r="A449" s="117" t="str">
        <x:v>300Ro00000ydLwWIAU</x:v>
      </x:c>
      <x:c r="B449" s="117" t="str">
        <x:v>ProductItem_Asynchronous_on_create_Loaner_Serial_Number_Roll_Up</x:v>
      </x:c>
      <x:c r="C449" s="117" t="str">
        <x:v>ProductItem | Asynchronous, on create, Loaner Serial Number Roll Up</x:v>
      </x:c>
      <x:c r="D449" s="117" t="str">
        <x:v>Yes</x:v>
      </x:c>
      <x:c r="E449" s="118" t="n">
        <x:v>2</x:v>
      </x:c>
      <x:c r="F449" s="118" t="n">
        <x:v>2</x:v>
      </x:c>
      <x:c r="G449" s="117" t="str">
        <x:v>Yes</x:v>
      </x:c>
      <x:c r="H449" s="119" t="str">
        <x:v>Active v2 (Retrieved XML)</x:v>
      </x:c>
      <x:c r="I449" s="117" t="str">
        <x:v>AutoLaunchedFlow</x:v>
      </x:c>
      <x:c r="J449" s="117" t="str">
        <x:v>ProductItem__c</x:v>
      </x:c>
      <x:c r="K449" s="117" t="str">
        <x:v>Yes</x:v>
      </x:c>
      <x:c r="L449" s="117" t="str">
        <x:v>Create</x:v>
      </x:c>
      <x:c r="M449" s="117" t="str">
        <x:v>RecordAfterSave</x:v>
      </x:c>
      <x:c r="N449" s="117"/>
      <x:c r="O449" s="117"/>
      <x:c r="P449" s="117" t="str"/>
      <x:c r="Q449" s="117" t="str">
        <x:v>62.0</x:v>
      </x:c>
      <x:c r="R449" s="117" t="str">
        <x:v>unmanaged</x:v>
      </x:c>
      <x:c r="S449" s="118" t="n">
        <x:v>2</x:v>
      </x:c>
      <x:c r="T449" s="118" t="n">
        <x:v>7</x:v>
      </x:c>
      <x:c r="U449" s="118" t="n">
        <x:v>2</x:v>
      </x:c>
      <x:c r="V449" s="118" t="n">
        <x:v>0</x:v>
      </x:c>
      <x:c r="W449" s="118" t="n">
        <x:v>0</x:v>
      </x:c>
      <x:c r="X449" s="118" t="n">
        <x:v>0</x:v>
      </x:c>
      <x:c r="Y449" s="118" t="n">
        <x:v>1</x:v>
      </x:c>
      <x:c r="Z449" s="117" t="str">
        <x:v>Strong</x:v>
      </x:c>
      <x:c r="AA449" s="120" t="n">
        <x:v>46174.802511574075</x:v>
      </x:c>
      <x:c r="AB449" s="117" t="str">
        <x:v>Delegate</x:v>
      </x:c>
      <x:c r="AC449" s="119" t="str">
        <x:v>05/28/26 (GD) – Replaces DLRS Loaner_Serial_Number rule. Concatenates ProductItem__c.Serial_No__c onto Loaner__c.Loaner_Serial__c when a ProductItem is created. Loaner_Is_Null_Check decision prevents SOQL when Loaner__c is blank.
06/01/26 (GD) – Added Loaner__c IsNull false entry criteria to prevent async scheduling on every ProductItem create when no Loaner is set.</x:v>
      </x:c>
      <x:c r="AD449" s="119" t="str"/>
    </x:row>
    <x:row r="450" ht="34" customHeight="1">
      <x:c r="A450" s="117" t="str">
        <x:v>300Ro00000ye8igIAA</x:v>
      </x:c>
      <x:c r="B450" s="117" t="str">
        <x:v>ProductItem_Asynchronous_on_create_Max_Bid_Roll_Up</x:v>
      </x:c>
      <x:c r="C450" s="117" t="str">
        <x:v>ProductItem | Asynchronous, on create, Max Bid Roll Up</x:v>
      </x:c>
      <x:c r="D450" s="117" t="str">
        <x:v>Yes</x:v>
      </x:c>
      <x:c r="E450" s="118" t="n">
        <x:v>1</x:v>
      </x:c>
      <x:c r="F450" s="118" t="n">
        <x:v>1</x:v>
      </x:c>
      <x:c r="G450" s="117" t="str">
        <x:v>Yes</x:v>
      </x:c>
      <x:c r="H450" s="119" t="str">
        <x:v>Active v1 (Retrieved XML)</x:v>
      </x:c>
      <x:c r="I450" s="117" t="str">
        <x:v>AutoLaunchedFlow</x:v>
      </x:c>
      <x:c r="J450" s="117" t="str">
        <x:v>ProductItem__c</x:v>
      </x:c>
      <x:c r="K450" s="117" t="str">
        <x:v>Yes</x:v>
      </x:c>
      <x:c r="L450" s="117" t="str">
        <x:v>Create</x:v>
      </x:c>
      <x:c r="M450" s="117" t="str">
        <x:v>RecordAfterSave</x:v>
      </x:c>
      <x:c r="N450" s="117"/>
      <x:c r="O450" s="117"/>
      <x:c r="P450" s="117" t="str"/>
      <x:c r="Q450" s="117" t="str">
        <x:v>57.0</x:v>
      </x:c>
      <x:c r="R450" s="117" t="str">
        <x:v>unmanaged</x:v>
      </x:c>
      <x:c r="S450" s="118" t="n">
        <x:v>1</x:v>
      </x:c>
      <x:c r="T450" s="118" t="n">
        <x:v>5</x:v>
      </x:c>
      <x:c r="U450" s="118" t="n">
        <x:v>2</x:v>
      </x:c>
      <x:c r="V450" s="118" t="n">
        <x:v>0</x:v>
      </x:c>
      <x:c r="W450" s="118" t="n">
        <x:v>0</x:v>
      </x:c>
      <x:c r="X450" s="118" t="n">
        <x:v>0</x:v>
      </x:c>
      <x:c r="Y450" s="118" t="n">
        <x:v>1</x:v>
      </x:c>
      <x:c r="Z450" s="117" t="str">
        <x:v>Strong</x:v>
      </x:c>
      <x:c r="AA450" s="120" t="n">
        <x:v>46170.6294212963</x:v>
      </x:c>
      <x:c r="AB450" s="117" t="str">
        <x:v>Delegate</x:v>
      </x:c>
      <x:c r="AC450" s="119" t="str">
        <x:v>05/28/26 (GD) – Created to replace the DLRS Max_Bid rollup (on create). Fires async after ProductItem__c create. Sums Max_Bid__c across all ProductItems on the Purchasing Opportunity and writes the total to Opportunity.Max_Bid__c.</x:v>
      </x:c>
      <x:c r="AD450" s="119" t="str"/>
    </x:row>
    <x:row r="451" ht="34" customHeight="1">
      <x:c r="A451" s="117" t="str">
        <x:v>300Ro00000yeuH3IAI</x:v>
      </x:c>
      <x:c r="B451" s="117" t="str">
        <x:v>ProductItem_Asynchronous_on_create_NumberCheckedIn_PO_Roll_Up</x:v>
      </x:c>
      <x:c r="C451" s="117" t="str">
        <x:v>ProductItem | Asynchronous, on create, Number of Checked In Items PO Roll Up</x:v>
      </x:c>
      <x:c r="D451" s="117" t="str">
        <x:v>Yes</x:v>
      </x:c>
      <x:c r="E451" s="118" t="n">
        <x:v>1</x:v>
      </x:c>
      <x:c r="F451" s="118" t="n">
        <x:v>1</x:v>
      </x:c>
      <x:c r="G451" s="117" t="str">
        <x:v>Yes</x:v>
      </x:c>
      <x:c r="H451" s="119" t="str">
        <x:v>Active v1 (Retrieved XML)</x:v>
      </x:c>
      <x:c r="I451" s="117" t="str">
        <x:v>AutoLaunchedFlow</x:v>
      </x:c>
      <x:c r="J451" s="117" t="str">
        <x:v>ProductItem__c</x:v>
      </x:c>
      <x:c r="K451" s="117" t="str">
        <x:v>Yes</x:v>
      </x:c>
      <x:c r="L451" s="117" t="str">
        <x:v>Create</x:v>
      </x:c>
      <x:c r="M451" s="117" t="str">
        <x:v>RecordAfterSave</x:v>
      </x:c>
      <x:c r="N451" s="117"/>
      <x:c r="O451" s="117"/>
      <x:c r="P451" s="117" t="str"/>
      <x:c r="Q451" s="117" t="str">
        <x:v>66.0</x:v>
      </x:c>
      <x:c r="R451" s="117" t="str">
        <x:v>unmanaged</x:v>
      </x:c>
      <x:c r="S451" s="118" t="n">
        <x:v>1</x:v>
      </x:c>
      <x:c r="T451" s="118" t="n">
        <x:v>4</x:v>
      </x:c>
      <x:c r="U451" s="118" t="n">
        <x:v>2</x:v>
      </x:c>
      <x:c r="V451" s="118" t="n">
        <x:v>0</x:v>
      </x:c>
      <x:c r="W451" s="118" t="n">
        <x:v>0</x:v>
      </x:c>
      <x:c r="X451" s="118" t="n">
        <x:v>0</x:v>
      </x:c>
      <x:c r="Y451" s="118" t="n">
        <x:v>1</x:v>
      </x:c>
      <x:c r="Z451" s="117" t="str">
        <x:v>Strong</x:v>
      </x:c>
      <x:c r="AA451" s="120" t="n">
        <x:v>46170.65025462963</x:v>
      </x:c>
      <x:c r="AB451" s="117" t="str">
        <x:v>Delegate</x:v>
      </x:c>
      <x:c r="AC451" s="119" t="str">
        <x:v>05/28/26 (GD) – Replaces DLRS rule NumberOfCheckedInItemsPO. On ProductItem creation, counts all ProductItems related to the Purchasing Opportunity and writes the total to Opportunity.Number_of_Checked_In_Items__c.</x:v>
      </x:c>
      <x:c r="AD451" s="119" t="str"/>
    </x:row>
    <x:row r="452" ht="34" customHeight="1">
      <x:c r="A452" s="117" t="str">
        <x:v>300Ro00000yyHEnIAM</x:v>
      </x:c>
      <x:c r="B452" s="117" t="str">
        <x:v>ProductItem_Asynchronous_on_create_Pur_Op_Total_Cost_of_Unsold_Assets_Roll_Up</x:v>
      </x:c>
      <x:c r="C452" s="117" t="str">
        <x:v>ProductItem | Asynchronous, on create, Pur Op Total Cost of Unsold Assets Roll Up</x:v>
      </x:c>
      <x:c r="D452" s="117" t="str">
        <x:v>Yes</x:v>
      </x:c>
      <x:c r="E452" s="118" t="n">
        <x:v>1</x:v>
      </x:c>
      <x:c r="F452" s="118" t="n">
        <x:v>1</x:v>
      </x:c>
      <x:c r="G452" s="117" t="str">
        <x:v>Yes</x:v>
      </x:c>
      <x:c r="H452" s="119" t="str">
        <x:v>Active v1 (Retrieved XML)</x:v>
      </x:c>
      <x:c r="I452" s="117" t="str">
        <x:v>AutoLaunchedFlow</x:v>
      </x:c>
      <x:c r="J452" s="117" t="str">
        <x:v>ProductItem__c</x:v>
      </x:c>
      <x:c r="K452" s="117" t="str">
        <x:v>Yes</x:v>
      </x:c>
      <x:c r="L452" s="117" t="str">
        <x:v>Create</x:v>
      </x:c>
      <x:c r="M452" s="117" t="str">
        <x:v>RecordAfterSave</x:v>
      </x:c>
      <x:c r="N452" s="117"/>
      <x:c r="O452" s="117"/>
      <x:c r="P452" s="117" t="str"/>
      <x:c r="Q452" s="117" t="str">
        <x:v>62.0</x:v>
      </x:c>
      <x:c r="R452" s="117" t="str">
        <x:v>unmanaged</x:v>
      </x:c>
      <x:c r="S452" s="118" t="n">
        <x:v>1</x:v>
      </x:c>
      <x:c r="T452" s="118" t="n">
        <x:v>5</x:v>
      </x:c>
      <x:c r="U452" s="118" t="n">
        <x:v>2</x:v>
      </x:c>
      <x:c r="V452" s="118" t="n">
        <x:v>0</x:v>
      </x:c>
      <x:c r="W452" s="118" t="n">
        <x:v>0</x:v>
      </x:c>
      <x:c r="X452" s="118" t="n">
        <x:v>0</x:v>
      </x:c>
      <x:c r="Y452" s="118" t="n">
        <x:v>1</x:v>
      </x:c>
      <x:c r="Z452" s="117" t="str">
        <x:v>Strong</x:v>
      </x:c>
      <x:c r="AA452" s="120" t="n">
        <x:v>46174.88429398148</x:v>
      </x:c>
      <x:c r="AB452" s="117" t="str">
        <x:v>Delegate</x:v>
      </x:c>
      <x:c r="AC452" s="119" t="str">
        <x:v>06/01/26 (GD) – Replaces DLRS TotalCostOfUnsoldAssetsPurchasing rule. On create, sums ProductItem__c.Cost__c where Sold__c = false onto Opportunity.Total_Cost_of_Unsold_Assets__c via Purchasing_Opportunity__c. Runs async after commit.</x:v>
      </x:c>
      <x:c r="AD452" s="119" t="str"/>
    </x:row>
    <x:row r="453" ht="34" customHeight="1">
      <x:c r="A453" s="117" t="str">
        <x:v>300Ro00000yyBCYIA2</x:v>
      </x:c>
      <x:c r="B453" s="117" t="str">
        <x:v>ProductItem_Asynchronous_on_create_Pur_Op_Total_Cost_Roll_Up</x:v>
      </x:c>
      <x:c r="C453" s="117" t="str">
        <x:v>ProductItem | Asynchronous, on create, Pur Op Total Cost Roll Up</x:v>
      </x:c>
      <x:c r="D453" s="117" t="str">
        <x:v>Yes</x:v>
      </x:c>
      <x:c r="E453" s="118" t="n">
        <x:v>1</x:v>
      </x:c>
      <x:c r="F453" s="118" t="n">
        <x:v>1</x:v>
      </x:c>
      <x:c r="G453" s="117" t="str">
        <x:v>Yes</x:v>
      </x:c>
      <x:c r="H453" s="119" t="str">
        <x:v>Active v1 (Retrieved XML)</x:v>
      </x:c>
      <x:c r="I453" s="117" t="str">
        <x:v>AutoLaunchedFlow</x:v>
      </x:c>
      <x:c r="J453" s="117" t="str">
        <x:v>ProductItem__c</x:v>
      </x:c>
      <x:c r="K453" s="117" t="str">
        <x:v>Yes</x:v>
      </x:c>
      <x:c r="L453" s="117" t="str">
        <x:v>Create</x:v>
      </x:c>
      <x:c r="M453" s="117" t="str">
        <x:v>RecordAfterSave</x:v>
      </x:c>
      <x:c r="N453" s="117"/>
      <x:c r="O453" s="117"/>
      <x:c r="P453" s="117" t="str"/>
      <x:c r="Q453" s="117" t="str">
        <x:v>62.0</x:v>
      </x:c>
      <x:c r="R453" s="117" t="str">
        <x:v>unmanaged</x:v>
      </x:c>
      <x:c r="S453" s="118" t="n">
        <x:v>1</x:v>
      </x:c>
      <x:c r="T453" s="118" t="n">
        <x:v>5</x:v>
      </x:c>
      <x:c r="U453" s="118" t="n">
        <x:v>2</x:v>
      </x:c>
      <x:c r="V453" s="118" t="n">
        <x:v>0</x:v>
      </x:c>
      <x:c r="W453" s="118" t="n">
        <x:v>0</x:v>
      </x:c>
      <x:c r="X453" s="118" t="n">
        <x:v>0</x:v>
      </x:c>
      <x:c r="Y453" s="118" t="n">
        <x:v>1</x:v>
      </x:c>
      <x:c r="Z453" s="117" t="str">
        <x:v>Strong</x:v>
      </x:c>
      <x:c r="AA453" s="120" t="n">
        <x:v>46174.781875</x:v>
      </x:c>
      <x:c r="AB453" s="117" t="str">
        <x:v>Delegate</x:v>
      </x:c>
      <x:c r="AC453" s="119" t="str">
        <x:v>06/01/26 (GD) – Replaces DLRS TotalCostOfAssetsOnPurchasingOp rule. On create, sums ProductItem__c.Cost__c onto Opportunity.Total_Cost_of_Assets__c via Purchasing_Opportunity__c. Runs async after commit.</x:v>
      </x:c>
      <x:c r="AD453" s="119" t="str"/>
    </x:row>
    <x:row r="454" ht="34" customHeight="1">
      <x:c r="A454" s="117" t="str">
        <x:v>300Ro00000yzeikIAA</x:v>
      </x:c>
      <x:c r="B454" s="117" t="str">
        <x:v>ProductItem_Asynchronous_on_create_Pur_Op_Working_Capital_Usage_Days_Roll_Up</x:v>
      </x:c>
      <x:c r="C454" s="117" t="str">
        <x:v>ProductItem | Asynchronous, on create, Pur Op Working Capital Usage Days Roll Up</x:v>
      </x:c>
      <x:c r="D454" s="117" t="str">
        <x:v>Yes</x:v>
      </x:c>
      <x:c r="E454" s="118" t="n">
        <x:v>1</x:v>
      </x:c>
      <x:c r="F454" s="118" t="n">
        <x:v>1</x:v>
      </x:c>
      <x:c r="G454" s="117" t="str">
        <x:v>Yes</x:v>
      </x:c>
      <x:c r="H454" s="119" t="str">
        <x:v>Active v1 (Retrieved XML)</x:v>
      </x:c>
      <x:c r="I454" s="117" t="str">
        <x:v>AutoLaunchedFlow</x:v>
      </x:c>
      <x:c r="J454" s="117" t="str">
        <x:v>ProductItem__c</x:v>
      </x:c>
      <x:c r="K454" s="117" t="str">
        <x:v>Yes</x:v>
      </x:c>
      <x:c r="L454" s="117" t="str">
        <x:v>Create</x:v>
      </x:c>
      <x:c r="M454" s="117" t="str">
        <x:v>RecordAfterSave</x:v>
      </x:c>
      <x:c r="N454" s="117"/>
      <x:c r="O454" s="117"/>
      <x:c r="P454" s="117" t="str"/>
      <x:c r="Q454" s="117" t="str">
        <x:v>62.0</x:v>
      </x:c>
      <x:c r="R454" s="117" t="str">
        <x:v>unmanaged</x:v>
      </x:c>
      <x:c r="S454" s="118" t="n">
        <x:v>1</x:v>
      </x:c>
      <x:c r="T454" s="118" t="n">
        <x:v>8</x:v>
      </x:c>
      <x:c r="U454" s="118" t="n">
        <x:v>2</x:v>
      </x:c>
      <x:c r="V454" s="118" t="n">
        <x:v>0</x:v>
      </x:c>
      <x:c r="W454" s="118" t="n">
        <x:v>0</x:v>
      </x:c>
      <x:c r="X454" s="118" t="n">
        <x:v>0</x:v>
      </x:c>
      <x:c r="Y454" s="118" t="n">
        <x:v>1</x:v>
      </x:c>
      <x:c r="Z454" s="117" t="str">
        <x:v>Strong</x:v>
      </x:c>
      <x:c r="AA454" s="120" t="n">
        <x:v>46174.95391203704</x:v>
      </x:c>
      <x:c r="AB454" s="117" t="str">
        <x:v>Delegate</x:v>
      </x:c>
      <x:c r="AC454" s="119" t="str">
        <x:v>06/01/26 (GD) – Replaces DLRS Working_Capital_Usage_Days_Roll_Up rule. On create, averages ProductItem__c.Working_Capital_Usage_Days__c onto Opportunity.Working_Capital_Usage_Days__c via Purchasing_Opportunity__c. Only processes records where Working_Capital_Usage_Days__c is not null. Sets parent to null when no qualifying records exist. Runs async after commit.</x:v>
      </x:c>
      <x:c r="AD454" s="119" t="str"/>
    </x:row>
    <x:row r="455" ht="34" customHeight="1">
      <x:c r="A455" s="117" t="str">
        <x:v>300Ro00000zDVIzIAO</x:v>
      </x:c>
      <x:c r="B455" s="117" t="str">
        <x:v>ProductItem_Asynchronous_on_create_Rental_Order_Price_Roll_Up</x:v>
      </x:c>
      <x:c r="C455" s="117" t="str">
        <x:v>ProductItem | Asynchronous, on create, Rental Order Price Roll Up</x:v>
      </x:c>
      <x:c r="D455" s="117" t="str">
        <x:v>Yes</x:v>
      </x:c>
      <x:c r="E455" s="118" t="n">
        <x:v>1</x:v>
      </x:c>
      <x:c r="F455" s="118" t="n">
        <x:v>1</x:v>
      </x:c>
      <x:c r="G455" s="117" t="str">
        <x:v>Yes</x:v>
      </x:c>
      <x:c r="H455" s="119" t="str">
        <x:v>Active v1 (Retrieved XML)</x:v>
      </x:c>
      <x:c r="I455" s="117" t="str">
        <x:v>AutoLaunchedFlow</x:v>
      </x:c>
      <x:c r="J455" s="117" t="str">
        <x:v>ProductItem__c</x:v>
      </x:c>
      <x:c r="K455" s="117" t="str">
        <x:v>Yes</x:v>
      </x:c>
      <x:c r="L455" s="117" t="str">
        <x:v>Create</x:v>
      </x:c>
      <x:c r="M455" s="117" t="str">
        <x:v>RecordAfterSave</x:v>
      </x:c>
      <x:c r="N455" s="117"/>
      <x:c r="O455" s="117"/>
      <x:c r="P455" s="117" t="str"/>
      <x:c r="Q455" s="117" t="str">
        <x:v>66.0</x:v>
      </x:c>
      <x:c r="R455" s="117" t="str">
        <x:v>unmanaged</x:v>
      </x:c>
      <x:c r="S455" s="118" t="n">
        <x:v>1</x:v>
      </x:c>
      <x:c r="T455" s="118" t="n">
        <x:v>5</x:v>
      </x:c>
      <x:c r="U455" s="118" t="n">
        <x:v>2</x:v>
      </x:c>
      <x:c r="V455" s="118" t="n">
        <x:v>0</x:v>
      </x:c>
      <x:c r="W455" s="118" t="n">
        <x:v>0</x:v>
      </x:c>
      <x:c r="X455" s="118" t="n">
        <x:v>0</x:v>
      </x:c>
      <x:c r="Y455" s="118" t="n">
        <x:v>1</x:v>
      </x:c>
      <x:c r="Z455" s="117" t="str">
        <x:v>Strong</x:v>
      </x:c>
      <x:c r="AA455" s="120" t="n">
        <x:v>46177.11332175926</x:v>
      </x:c>
      <x:c r="AB455" s="117" t="str">
        <x:v>Delegate</x:v>
      </x:c>
      <x:c r="AC455" s="119" t="str">
        <x:v>06/03/26 (GD) – Replaces DLRS Rental_Order_Price rule (on create). When a ProductItem__c is created with a Rental_Order__c populated, sums all sibling Sales_Price__c values and writes the total to Rental_Order__c.Rental_Amount__c. Runs asynchronously after commit.</x:v>
      </x:c>
      <x:c r="AD455" s="119" t="str"/>
    </x:row>
    <x:row r="456" ht="34" customHeight="1">
      <x:c r="A456" s="117" t="str">
        <x:v>300Ro00000yxeS0IAI</x:v>
      </x:c>
      <x:c r="B456" s="117" t="str">
        <x:v>ProductItem_Asynchronous_on_create_Starting_Bid_Roll_Up</x:v>
      </x:c>
      <x:c r="C456" s="117" t="str">
        <x:v>ProductItem | Asynchronous, on create, Starting Bid Roll Up</x:v>
      </x:c>
      <x:c r="D456" s="117" t="str">
        <x:v>Yes</x:v>
      </x:c>
      <x:c r="E456" s="118" t="n">
        <x:v>1</x:v>
      </x:c>
      <x:c r="F456" s="118" t="n">
        <x:v>1</x:v>
      </x:c>
      <x:c r="G456" s="117" t="str">
        <x:v>Yes</x:v>
      </x:c>
      <x:c r="H456" s="119" t="str">
        <x:v>Active v1 (Retrieved XML)</x:v>
      </x:c>
      <x:c r="I456" s="117" t="str">
        <x:v>AutoLaunchedFlow</x:v>
      </x:c>
      <x:c r="J456" s="117" t="str">
        <x:v>ProductItem__c</x:v>
      </x:c>
      <x:c r="K456" s="117" t="str">
        <x:v>Yes</x:v>
      </x:c>
      <x:c r="L456" s="117" t="str">
        <x:v>Create</x:v>
      </x:c>
      <x:c r="M456" s="117" t="str">
        <x:v>RecordAfterSave</x:v>
      </x:c>
      <x:c r="N456" s="117"/>
      <x:c r="O456" s="117"/>
      <x:c r="P456" s="117" t="str"/>
      <x:c r="Q456" s="117" t="str">
        <x:v>57.0</x:v>
      </x:c>
      <x:c r="R456" s="117" t="str">
        <x:v>unmanaged</x:v>
      </x:c>
      <x:c r="S456" s="118" t="n">
        <x:v>1</x:v>
      </x:c>
      <x:c r="T456" s="118" t="n">
        <x:v>5</x:v>
      </x:c>
      <x:c r="U456" s="118" t="n">
        <x:v>2</x:v>
      </x:c>
      <x:c r="V456" s="118" t="n">
        <x:v>0</x:v>
      </x:c>
      <x:c r="W456" s="118" t="n">
        <x:v>0</x:v>
      </x:c>
      <x:c r="X456" s="118" t="n">
        <x:v>0</x:v>
      </x:c>
      <x:c r="Y456" s="118" t="n">
        <x:v>1</x:v>
      </x:c>
      <x:c r="Z456" s="117" t="str">
        <x:v>Strong</x:v>
      </x:c>
      <x:c r="AA456" s="120" t="n">
        <x:v>46174.75163194445</x:v>
      </x:c>
      <x:c r="AB456" s="117" t="str">
        <x:v>Delegate</x:v>
      </x:c>
      <x:c r="AC456" s="119" t="str">
        <x:v>06/01/26 (GD) – Created to replace the DLRS Starting_Bid rollup (on create). Fires async after ProductItem__c create. Sums Starting_Bid__c across all ProductItems on the Purchasing Opportunity and writes the total to Opportunity.Starting_Bid__c.</x:v>
      </x:c>
      <x:c r="AD456" s="119" t="str"/>
    </x:row>
    <x:row r="457" ht="34" customHeight="1">
      <x:c r="A457" s="117" t="str">
        <x:v>300Ro00000yT0jdIAC</x:v>
      </x:c>
      <x:c r="B457" s="117" t="str">
        <x:v>ProductItem_Asynchronous_on_update_Estimated_Sales_Price_Roll_Up</x:v>
      </x:c>
      <x:c r="C457" s="117" t="str">
        <x:v>ProductItem | Asynchronous, on update, Estimated Sales Price Roll Up</x:v>
      </x:c>
      <x:c r="D457" s="117" t="str">
        <x:v>Yes</x:v>
      </x:c>
      <x:c r="E457" s="118" t="n">
        <x:v>1</x:v>
      </x:c>
      <x:c r="F457" s="118" t="n">
        <x:v>1</x:v>
      </x:c>
      <x:c r="G457" s="117" t="str">
        <x:v>Yes</x:v>
      </x:c>
      <x:c r="H457" s="119" t="str">
        <x:v>Active v1 (Retrieved XML)</x:v>
      </x:c>
      <x:c r="I457" s="117" t="str">
        <x:v>AutoLaunchedFlow</x:v>
      </x:c>
      <x:c r="J457" s="117" t="str">
        <x:v>ProductItem__c</x:v>
      </x:c>
      <x:c r="K457" s="117" t="str">
        <x:v>Yes</x:v>
      </x:c>
      <x:c r="L457" s="117" t="str">
        <x:v>Update</x:v>
      </x:c>
      <x:c r="M457" s="117" t="str">
        <x:v>RecordAfterSave</x:v>
      </x:c>
      <x:c r="N457" s="117"/>
      <x:c r="O457" s="117"/>
      <x:c r="P457" s="117" t="str"/>
      <x:c r="Q457" s="117" t="str">
        <x:v>57.0</x:v>
      </x:c>
      <x:c r="R457" s="117" t="str">
        <x:v>unmanaged</x:v>
      </x:c>
      <x:c r="S457" s="118" t="n">
        <x:v>1</x:v>
      </x:c>
      <x:c r="T457" s="118" t="n">
        <x:v>4</x:v>
      </x:c>
      <x:c r="U457" s="118" t="n">
        <x:v>2</x:v>
      </x:c>
      <x:c r="V457" s="118" t="n">
        <x:v>0</x:v>
      </x:c>
      <x:c r="W457" s="118" t="n">
        <x:v>0</x:v>
      </x:c>
      <x:c r="X457" s="118" t="n">
        <x:v>0</x:v>
      </x:c>
      <x:c r="Y457" s="118" t="n">
        <x:v>1</x:v>
      </x:c>
      <x:c r="Z457" s="117" t="str">
        <x:v>Strong</x:v>
      </x:c>
      <x:c r="AA457" s="120" t="n">
        <x:v>46168.902233796296</x:v>
      </x:c>
      <x:c r="AB457" s="117" t="str">
        <x:v>Delegate</x:v>
      </x:c>
      <x:c r="AC457" s="119" t="str">
        <x:v>05/26/26 (BW) – Update counterpart to the on-create Estimated Sales Price roll-up. Fires async when Estimated_Sales_Price__c changes; sums all ProductItems on the Purchasing Opportunity and writes the total to Opportunity.Estimated_Sales_Price__c.</x:v>
      </x:c>
      <x:c r="AD457" s="119" t="str"/>
    </x:row>
    <x:row r="458" ht="34" customHeight="1">
      <x:c r="A458" s="117" t="str">
        <x:v>300Ro00000yTV5yIAG</x:v>
      </x:c>
      <x:c r="B458" s="117" t="str">
        <x:v>ProductItem_Asynchronous_on_update_HWO_Total_Cost_Roll_Up</x:v>
      </x:c>
      <x:c r="C458" s="117" t="str">
        <x:v>ProductItem | Asynchronous, on update, HWO Total Cost Roll Up</x:v>
      </x:c>
      <x:c r="D458" s="117" t="str">
        <x:v>Yes</x:v>
      </x:c>
      <x:c r="E458" s="118" t="n">
        <x:v>3</x:v>
      </x:c>
      <x:c r="F458" s="118" t="n">
        <x:v>3</x:v>
      </x:c>
      <x:c r="G458" s="117" t="str">
        <x:v>Yes</x:v>
      </x:c>
      <x:c r="H458" s="119" t="str">
        <x:v>Active v3 (Retrieved XML)</x:v>
      </x:c>
      <x:c r="I458" s="117" t="str">
        <x:v>AutoLaunchedFlow</x:v>
      </x:c>
      <x:c r="J458" s="117" t="str">
        <x:v>ProductItem__c</x:v>
      </x:c>
      <x:c r="K458" s="117" t="str">
        <x:v>Yes</x:v>
      </x:c>
      <x:c r="L458" s="117" t="str">
        <x:v>Update</x:v>
      </x:c>
      <x:c r="M458" s="117" t="str">
        <x:v>RecordAfterSave</x:v>
      </x:c>
      <x:c r="N458" s="117"/>
      <x:c r="O458" s="117"/>
      <x:c r="P458" s="117" t="str"/>
      <x:c r="Q458" s="117" t="str">
        <x:v>57.0</x:v>
      </x:c>
      <x:c r="R458" s="117" t="str">
        <x:v>unmanaged</x:v>
      </x:c>
      <x:c r="S458" s="118" t="n">
        <x:v>3</x:v>
      </x:c>
      <x:c r="T458" s="118" t="n">
        <x:v>5</x:v>
      </x:c>
      <x:c r="U458" s="118" t="n">
        <x:v>2</x:v>
      </x:c>
      <x:c r="V458" s="118" t="n">
        <x:v>0</x:v>
      </x:c>
      <x:c r="W458" s="118" t="n">
        <x:v>0</x:v>
      </x:c>
      <x:c r="X458" s="118" t="n">
        <x:v>0</x:v>
      </x:c>
      <x:c r="Y458" s="118" t="n">
        <x:v>1</x:v>
      </x:c>
      <x:c r="Z458" s="117" t="str">
        <x:v>Strong</x:v>
      </x:c>
      <x:c r="AA458" s="120" t="n">
        <x:v>46169.52616898148</x:v>
      </x:c>
      <x:c r="AB458" s="117" t="str">
        <x:v>Delegate</x:v>
      </x:c>
      <x:c r="AC458" s="119" t="str">
        <x:v>05/27/2026 (BW) - Updating so that Harvest Work Order can not be null for this to fire</x:v>
      </x:c>
      <x:c r="AD458" s="119" t="str"/>
    </x:row>
    <x:row r="459" ht="34" customHeight="1">
      <x:c r="A459" s="117" t="str">
        <x:v>300Ro00000yTWmmIAG</x:v>
      </x:c>
      <x:c r="B459" s="117" t="str">
        <x:v>ProductItem_Asynchronous_on_update_HWO_Total_Revenue_Roll_Up</x:v>
      </x:c>
      <x:c r="C459" s="117" t="str">
        <x:v>ProductItem | Asynchronous, on update, HWO Total Revenue Roll Up</x:v>
      </x:c>
      <x:c r="D459" s="117" t="str">
        <x:v>Yes</x:v>
      </x:c>
      <x:c r="E459" s="118" t="n">
        <x:v>2</x:v>
      </x:c>
      <x:c r="F459" s="118" t="n">
        <x:v>2</x:v>
      </x:c>
      <x:c r="G459" s="117" t="str">
        <x:v>Yes</x:v>
      </x:c>
      <x:c r="H459" s="119" t="str">
        <x:v>Active v2 (Retrieved XML)</x:v>
      </x:c>
      <x:c r="I459" s="117" t="str">
        <x:v>AutoLaunchedFlow</x:v>
      </x:c>
      <x:c r="J459" s="117" t="str">
        <x:v>ProductItem__c</x:v>
      </x:c>
      <x:c r="K459" s="117" t="str">
        <x:v>Yes</x:v>
      </x:c>
      <x:c r="L459" s="117" t="str">
        <x:v>Update</x:v>
      </x:c>
      <x:c r="M459" s="117" t="str">
        <x:v>RecordAfterSave</x:v>
      </x:c>
      <x:c r="N459" s="117"/>
      <x:c r="O459" s="117"/>
      <x:c r="P459" s="117" t="str"/>
      <x:c r="Q459" s="117" t="str">
        <x:v>57.0</x:v>
      </x:c>
      <x:c r="R459" s="117" t="str">
        <x:v>unmanaged</x:v>
      </x:c>
      <x:c r="S459" s="118" t="n">
        <x:v>2</x:v>
      </x:c>
      <x:c r="T459" s="118" t="n">
        <x:v>5</x:v>
      </x:c>
      <x:c r="U459" s="118" t="n">
        <x:v>2</x:v>
      </x:c>
      <x:c r="V459" s="118" t="n">
        <x:v>0</x:v>
      </x:c>
      <x:c r="W459" s="118" t="n">
        <x:v>0</x:v>
      </x:c>
      <x:c r="X459" s="118" t="n">
        <x:v>0</x:v>
      </x:c>
      <x:c r="Y459" s="118" t="n">
        <x:v>1</x:v>
      </x:c>
      <x:c r="Z459" s="117" t="str">
        <x:v>Strong</x:v>
      </x:c>
      <x:c r="AA459" s="120" t="n">
        <x:v>46169.49704861111</x:v>
      </x:c>
      <x:c r="AB459" s="117" t="str">
        <x:v>Delegate</x:v>
      </x:c>
      <x:c r="AC459" s="119" t="str">
        <x:v>05/26/26 (BW) – Introducing the "Harvest Work Order Is Null Check" Decision element to avoid SOQL limits where the "Harvest Work Order" is blank.</x:v>
      </x:c>
      <x:c r="AD459" s="119" t="str"/>
    </x:row>
    <x:row r="460" ht="34" customHeight="1">
      <x:c r="A460" s="117" t="str">
        <x:v>300Ro00000yXXXKIA4</x:v>
      </x:c>
      <x:c r="B460" s="117" t="str">
        <x:v>ProductItem_Asynchronous_on_update_Item_Receipt_Amount_Roll_Up</x:v>
      </x:c>
      <x:c r="C460" s="117" t="str">
        <x:v>ProductItem | Asynchronous, on update, Item Receipt Amount Roll Up</x:v>
      </x:c>
      <x:c r="D460" s="117" t="str">
        <x:v>Yes</x:v>
      </x:c>
      <x:c r="E460" s="118" t="n">
        <x:v>1</x:v>
      </x:c>
      <x:c r="F460" s="118" t="n">
        <x:v>1</x:v>
      </x:c>
      <x:c r="G460" s="117" t="str">
        <x:v>Yes</x:v>
      </x:c>
      <x:c r="H460" s="119" t="str">
        <x:v>Active v1 (Retrieved XML)</x:v>
      </x:c>
      <x:c r="I460" s="117" t="str">
        <x:v>AutoLaunchedFlow</x:v>
      </x:c>
      <x:c r="J460" s="117" t="str">
        <x:v>ProductItem__c</x:v>
      </x:c>
      <x:c r="K460" s="117" t="str">
        <x:v>Yes</x:v>
      </x:c>
      <x:c r="L460" s="117" t="str">
        <x:v>Update</x:v>
      </x:c>
      <x:c r="M460" s="117" t="str">
        <x:v>RecordAfterSave</x:v>
      </x:c>
      <x:c r="N460" s="117"/>
      <x:c r="O460" s="117"/>
      <x:c r="P460" s="117" t="str"/>
      <x:c r="Q460" s="117" t="str">
        <x:v>62.0</x:v>
      </x:c>
      <x:c r="R460" s="117" t="str">
        <x:v>unmanaged</x:v>
      </x:c>
      <x:c r="S460" s="118" t="n">
        <x:v>1</x:v>
      </x:c>
      <x:c r="T460" s="118" t="n">
        <x:v>5</x:v>
      </x:c>
      <x:c r="U460" s="118" t="n">
        <x:v>2</x:v>
      </x:c>
      <x:c r="V460" s="118" t="n">
        <x:v>0</x:v>
      </x:c>
      <x:c r="W460" s="118" t="n">
        <x:v>0</x:v>
      </x:c>
      <x:c r="X460" s="118" t="n">
        <x:v>0</x:v>
      </x:c>
      <x:c r="Y460" s="118" t="n">
        <x:v>1</x:v>
      </x:c>
      <x:c r="Z460" s="117" t="str">
        <x:v>Strong</x:v>
      </x:c>
      <x:c r="AA460" s="120" t="n">
        <x:v>46169.814108796294</x:v>
      </x:c>
      <x:c r="AB460" s="117" t="str">
        <x:v>Delegate</x:v>
      </x:c>
      <x:c r="AC460" s="119" t="str">
        <x:v>05/27/26 (BW) – Replaces DLRS Item_Receipt_Amount rule. Sums ProductItem__c.Cost__c onto Item_Receipt__c.Item_Receipt_Amount__c when a ProductItem is updated. Item_Receipt_Is_Null_Check decision prevents SOQL when Item_Receipt__c is blank. Note: if Item_Receipt__c is reparented, the old parent is not recalculated — $Record__Prior is unavailable in async paths.</x:v>
      </x:c>
      <x:c r="AD460" s="119" t="str"/>
    </x:row>
    <x:row r="461" ht="34" customHeight="1">
      <x:c r="A461" s="117" t="str">
        <x:v>300Ro00000zEWo6IAG</x:v>
      </x:c>
      <x:c r="B461" s="117" t="str">
        <x:v>ProductItem_Asynchronous_on_update_Loaner_Asset_Number_Roll_Up</x:v>
      </x:c>
      <x:c r="C461" s="117" t="str">
        <x:v>ProductItem | Asynchronous, on update, Loaner Asset Number Roll Up</x:v>
      </x:c>
      <x:c r="D461" s="117" t="str">
        <x:v>Yes</x:v>
      </x:c>
      <x:c r="E461" s="118" t="n">
        <x:v>1</x:v>
      </x:c>
      <x:c r="F461" s="118" t="n">
        <x:v>1</x:v>
      </x:c>
      <x:c r="G461" s="117" t="str">
        <x:v>Yes</x:v>
      </x:c>
      <x:c r="H461" s="119" t="str">
        <x:v>Active v1 (Retrieved XML)</x:v>
      </x:c>
      <x:c r="I461" s="117" t="str">
        <x:v>AutoLaunchedFlow</x:v>
      </x:c>
      <x:c r="J461" s="117" t="str">
        <x:v>ProductItem__c</x:v>
      </x:c>
      <x:c r="K461" s="117" t="str">
        <x:v>Yes</x:v>
      </x:c>
      <x:c r="L461" s="117" t="str">
        <x:v>Update</x:v>
      </x:c>
      <x:c r="M461" s="117" t="str">
        <x:v>RecordAfterSave</x:v>
      </x:c>
      <x:c r="N461" s="117"/>
      <x:c r="O461" s="117"/>
      <x:c r="P461" s="117" t="str"/>
      <x:c r="Q461" s="117" t="str">
        <x:v>62.0</x:v>
      </x:c>
      <x:c r="R461" s="117" t="str">
        <x:v>unmanaged</x:v>
      </x:c>
      <x:c r="S461" s="118" t="n">
        <x:v>1</x:v>
      </x:c>
      <x:c r="T461" s="118" t="n">
        <x:v>9</x:v>
      </x:c>
      <x:c r="U461" s="118" t="n">
        <x:v>2</x:v>
      </x:c>
      <x:c r="V461" s="118" t="n">
        <x:v>0</x:v>
      </x:c>
      <x:c r="W461" s="118" t="n">
        <x:v>0</x:v>
      </x:c>
      <x:c r="X461" s="118" t="n">
        <x:v>0</x:v>
      </x:c>
      <x:c r="Y461" s="118" t="n">
        <x:v>1</x:v>
      </x:c>
      <x:c r="Z461" s="117" t="str">
        <x:v>Strong</x:v>
      </x:c>
      <x:c r="AA461" s="120" t="n">
        <x:v>46177.12164351852</x:v>
      </x:c>
      <x:c r="AB461" s="117" t="str">
        <x:v>Delegate</x:v>
      </x:c>
      <x:c r="AC461" s="119" t="str">
        <x:v>06/03/26 (GD) – Replaces DLRS Roll_Up_Asset_Numbers_to_Loaner rule on update. Recalculates Loaner__c.Loaner_Asset__c by re-concatenating distinct ProductItem__c.Name values when a ProductItem's Name or Loaner__c changes. Fires when Name or Loaner__c is changed and current Loaner__c is not null. Note: if Loaner__c is reparented, the old parent's rollup is not recalculated — $Record__Prior is unavailable in async paths. Writes null when result is empty.</x:v>
      </x:c>
      <x:c r="AD461" s="119" t="str"/>
    </x:row>
    <x:row r="462" ht="34" customHeight="1">
      <x:c r="A462" s="117" t="str">
        <x:v>300Ro00000yYvjBIAS</x:v>
      </x:c>
      <x:c r="B462" s="117" t="str">
        <x:v>ProductItem_Asynchronous_on_update_Loaner_Location_Roll_Up</x:v>
      </x:c>
      <x:c r="C462" s="117" t="str">
        <x:v>ProductItem | Asynchronous, on update, Loaner Location Roll Up</x:v>
      </x:c>
      <x:c r="D462" s="117" t="str">
        <x:v>Yes</x:v>
      </x:c>
      <x:c r="E462" s="118" t="n">
        <x:v>2</x:v>
      </x:c>
      <x:c r="F462" s="118" t="n">
        <x:v>2</x:v>
      </x:c>
      <x:c r="G462" s="117" t="str">
        <x:v>Yes</x:v>
      </x:c>
      <x:c r="H462" s="119" t="str">
        <x:v>Active v2 (Retrieved XML)</x:v>
      </x:c>
      <x:c r="I462" s="117" t="str">
        <x:v>AutoLaunchedFlow</x:v>
      </x:c>
      <x:c r="J462" s="117" t="str">
        <x:v>ProductItem__c</x:v>
      </x:c>
      <x:c r="K462" s="117" t="str">
        <x:v>Yes</x:v>
      </x:c>
      <x:c r="L462" s="117" t="str">
        <x:v>Update</x:v>
      </x:c>
      <x:c r="M462" s="117" t="str">
        <x:v>RecordAfterSave</x:v>
      </x:c>
      <x:c r="N462" s="117"/>
      <x:c r="O462" s="117"/>
      <x:c r="P462" s="117" t="str"/>
      <x:c r="Q462" s="117" t="str">
        <x:v>62.0</x:v>
      </x:c>
      <x:c r="R462" s="117" t="str">
        <x:v>unmanaged</x:v>
      </x:c>
      <x:c r="S462" s="118" t="n">
        <x:v>2</x:v>
      </x:c>
      <x:c r="T462" s="118" t="n">
        <x:v>7</x:v>
      </x:c>
      <x:c r="U462" s="118" t="n">
        <x:v>2</x:v>
      </x:c>
      <x:c r="V462" s="118" t="n">
        <x:v>0</x:v>
      </x:c>
      <x:c r="W462" s="118" t="n">
        <x:v>0</x:v>
      </x:c>
      <x:c r="X462" s="118" t="n">
        <x:v>0</x:v>
      </x:c>
      <x:c r="Y462" s="118" t="n">
        <x:v>1</x:v>
      </x:c>
      <x:c r="Z462" s="117" t="str">
        <x:v>Strong</x:v>
      </x:c>
      <x:c r="AA462" s="120" t="n">
        <x:v>46174.8028125</x:v>
      </x:c>
      <x:c r="AB462" s="117" t="str">
        <x:v>Delegate</x:v>
      </x:c>
      <x:c r="AC462" s="119" t="str">
        <x:v>05/27/26 (GD) – Replaces DLRS Loaner_Location rule. Adds distinct ProductItem__c.Location__c onto Loaner__c.Loaner_Location__c when a ProductItem is updated. Loaner_Is_Null_Check decision prevents SOQL when Loaner__c is blank. Note: if Loaner__c is reparented, the old parent is not recalculated — $Record__Prior is unavailable in async paths.
06/01/26 (GD) – Added Loaner__c IsNull false to entry criteria to prevent async scheduling when Location__c changes on a ProductItem with no Loaner.</x:v>
      </x:c>
      <x:c r="AD462" s="119" t="str"/>
    </x:row>
    <x:row r="463" ht="34" customHeight="1">
      <x:c r="A463" s="117" t="str">
        <x:v>300Ro00000ydLwXIAU</x:v>
      </x:c>
      <x:c r="B463" s="117" t="str">
        <x:v>ProductItem_Asynchronous_on_update_Loaner_Serial_Number_Roll_Up</x:v>
      </x:c>
      <x:c r="C463" s="117" t="str">
        <x:v>ProductItem | Asynchronous, on update, Loaner Serial Number Roll Up</x:v>
      </x:c>
      <x:c r="D463" s="117" t="str">
        <x:v>Yes</x:v>
      </x:c>
      <x:c r="E463" s="118" t="n">
        <x:v>2</x:v>
      </x:c>
      <x:c r="F463" s="118" t="n">
        <x:v>2</x:v>
      </x:c>
      <x:c r="G463" s="117" t="str">
        <x:v>Yes</x:v>
      </x:c>
      <x:c r="H463" s="119" t="str">
        <x:v>Active v2 (Retrieved XML)</x:v>
      </x:c>
      <x:c r="I463" s="117" t="str">
        <x:v>AutoLaunchedFlow</x:v>
      </x:c>
      <x:c r="J463" s="117" t="str">
        <x:v>ProductItem__c</x:v>
      </x:c>
      <x:c r="K463" s="117" t="str">
        <x:v>Yes</x:v>
      </x:c>
      <x:c r="L463" s="117" t="str">
        <x:v>Update</x:v>
      </x:c>
      <x:c r="M463" s="117" t="str">
        <x:v>RecordAfterSave</x:v>
      </x:c>
      <x:c r="N463" s="117"/>
      <x:c r="O463" s="117"/>
      <x:c r="P463" s="117" t="str"/>
      <x:c r="Q463" s="117" t="str">
        <x:v>62.0</x:v>
      </x:c>
      <x:c r="R463" s="117" t="str">
        <x:v>unmanaged</x:v>
      </x:c>
      <x:c r="S463" s="118" t="n">
        <x:v>2</x:v>
      </x:c>
      <x:c r="T463" s="118" t="n">
        <x:v>7</x:v>
      </x:c>
      <x:c r="U463" s="118" t="n">
        <x:v>2</x:v>
      </x:c>
      <x:c r="V463" s="118" t="n">
        <x:v>0</x:v>
      </x:c>
      <x:c r="W463" s="118" t="n">
        <x:v>0</x:v>
      </x:c>
      <x:c r="X463" s="118" t="n">
        <x:v>0</x:v>
      </x:c>
      <x:c r="Y463" s="118" t="n">
        <x:v>1</x:v>
      </x:c>
      <x:c r="Z463" s="117" t="str">
        <x:v>Strong</x:v>
      </x:c>
      <x:c r="AA463" s="120" t="n">
        <x:v>46174.803125</x:v>
      </x:c>
      <x:c r="AB463" s="117" t="str">
        <x:v>Delegate</x:v>
      </x:c>
      <x:c r="AC463" s="119" t="str">
        <x:v>05/28/26 (GD) – Replaces DLRS Loaner_Serial_Number rule. Recalculates Loaner__c.Loaner_Serial__c by re-concatenating ProductItem__c.Serial_No__c values when a ProductItem's serial number is updated. Loaner_Is_Null_Check decision prevents SOQL when Loaner__c is blank. Note: if Loaner__c is reparented, the old parent is not recalculated — $Record__Prior is unavailable in async paths.
06/01/26 (GD) – Added Loaner__c IsNull false to entry criteria to prevent async scheduling when Serial_No__c changes on a ProductItem with no Loaner.</x:v>
      </x:c>
      <x:c r="AD463" s="119" t="str"/>
    </x:row>
    <x:row r="464" ht="34" customHeight="1">
      <x:c r="A464" s="117" t="str">
        <x:v>300Ro00000ye8ihIAA</x:v>
      </x:c>
      <x:c r="B464" s="117" t="str">
        <x:v>ProductItem_Asynchronous_on_update_Max_Bid_Roll_Up</x:v>
      </x:c>
      <x:c r="C464" s="117" t="str">
        <x:v>ProductItem | Asynchronous, on update, Max Bid Roll Up</x:v>
      </x:c>
      <x:c r="D464" s="117" t="str">
        <x:v>Yes</x:v>
      </x:c>
      <x:c r="E464" s="118" t="n">
        <x:v>2</x:v>
      </x:c>
      <x:c r="F464" s="118" t="n">
        <x:v>2</x:v>
      </x:c>
      <x:c r="G464" s="117" t="str">
        <x:v>Yes</x:v>
      </x:c>
      <x:c r="H464" s="119" t="str">
        <x:v>Active v2 (Retrieved XML)</x:v>
      </x:c>
      <x:c r="I464" s="117" t="str">
        <x:v>AutoLaunchedFlow</x:v>
      </x:c>
      <x:c r="J464" s="117" t="str">
        <x:v>ProductItem__c</x:v>
      </x:c>
      <x:c r="K464" s="117" t="str">
        <x:v>Yes</x:v>
      </x:c>
      <x:c r="L464" s="117" t="str">
        <x:v>Update</x:v>
      </x:c>
      <x:c r="M464" s="117" t="str">
        <x:v>RecordAfterSave</x:v>
      </x:c>
      <x:c r="N464" s="117"/>
      <x:c r="O464" s="117"/>
      <x:c r="P464" s="117" t="str"/>
      <x:c r="Q464" s="117" t="str">
        <x:v>57.0</x:v>
      </x:c>
      <x:c r="R464" s="117" t="str">
        <x:v>unmanaged</x:v>
      </x:c>
      <x:c r="S464" s="118" t="n">
        <x:v>2</x:v>
      </x:c>
      <x:c r="T464" s="118" t="n">
        <x:v>4</x:v>
      </x:c>
      <x:c r="U464" s="118" t="n">
        <x:v>2</x:v>
      </x:c>
      <x:c r="V464" s="118" t="n">
        <x:v>0</x:v>
      </x:c>
      <x:c r="W464" s="118" t="n">
        <x:v>0</x:v>
      </x:c>
      <x:c r="X464" s="118" t="n">
        <x:v>0</x:v>
      </x:c>
      <x:c r="Y464" s="118" t="n">
        <x:v>1</x:v>
      </x:c>
      <x:c r="Z464" s="117" t="str">
        <x:v>Strong</x:v>
      </x:c>
      <x:c r="AA464" s="120" t="n">
        <x:v>46174.800729166665</x:v>
      </x:c>
      <x:c r="AB464" s="117" t="str">
        <x:v>Delegate</x:v>
      </x:c>
      <x:c r="AC464" s="119" t="str">
        <x:v>05/28/26 (GD) – Created to replace the DLRS Max_Bid rollup (on update). Fires async when Max_Bid__c changes. Sums Max_Bid__c across all ProductItems on the Purchasing Opportunity and writes the total to Opportunity.Max_Bid__c.
06/01/26 (GD) – Added Purchasing_Opportunity__c IsNull false to entry criteria to prevent async scheduling and SOQL errors when the lookup is blank.</x:v>
      </x:c>
      <x:c r="AD464" s="119" t="str"/>
    </x:row>
    <x:row r="465" ht="34" customHeight="1">
      <x:c r="A465" s="117" t="str">
        <x:v>300Ro00000yeuH4IAI</x:v>
      </x:c>
      <x:c r="B465" s="117" t="str">
        <x:v>ProductItem_Asynchronous_on_update_NumberCheckedIn_PO_Roll_Up</x:v>
      </x:c>
      <x:c r="C465" s="117" t="str">
        <x:v>ProductItem | Asynchronous, on update, Number of Checked In Items PO Roll Up</x:v>
      </x:c>
      <x:c r="D465" s="117" t="str">
        <x:v>Yes</x:v>
      </x:c>
      <x:c r="E465" s="118" t="n">
        <x:v>1</x:v>
      </x:c>
      <x:c r="F465" s="118" t="n">
        <x:v>1</x:v>
      </x:c>
      <x:c r="G465" s="117" t="str">
        <x:v>Yes</x:v>
      </x:c>
      <x:c r="H465" s="119" t="str">
        <x:v>Active v1 (Retrieved XML)</x:v>
      </x:c>
      <x:c r="I465" s="117" t="str">
        <x:v>AutoLaunchedFlow</x:v>
      </x:c>
      <x:c r="J465" s="117" t="str">
        <x:v>ProductItem__c</x:v>
      </x:c>
      <x:c r="K465" s="117" t="str">
        <x:v>Yes</x:v>
      </x:c>
      <x:c r="L465" s="117" t="str">
        <x:v>Update</x:v>
      </x:c>
      <x:c r="M465" s="117" t="str">
        <x:v>RecordAfterSave</x:v>
      </x:c>
      <x:c r="N465" s="117"/>
      <x:c r="O465" s="117"/>
      <x:c r="P465" s="117" t="str"/>
      <x:c r="Q465" s="117" t="str">
        <x:v>66.0</x:v>
      </x:c>
      <x:c r="R465" s="117" t="str">
        <x:v>unmanaged</x:v>
      </x:c>
      <x:c r="S465" s="118" t="n">
        <x:v>1</x:v>
      </x:c>
      <x:c r="T465" s="118" t="n">
        <x:v>9</x:v>
      </x:c>
      <x:c r="U465" s="118" t="n">
        <x:v>2</x:v>
      </x:c>
      <x:c r="V465" s="118" t="n">
        <x:v>0</x:v>
      </x:c>
      <x:c r="W465" s="118" t="n">
        <x:v>0</x:v>
      </x:c>
      <x:c r="X465" s="118" t="n">
        <x:v>0</x:v>
      </x:c>
      <x:c r="Y465" s="118" t="n">
        <x:v>1</x:v>
      </x:c>
      <x:c r="Z465" s="117" t="str">
        <x:v>Strong</x:v>
      </x:c>
      <x:c r="AA465" s="120" t="n">
        <x:v>46170.6502662037</x:v>
      </x:c>
      <x:c r="AB465" s="117" t="str">
        <x:v>Delegate</x:v>
      </x:c>
      <x:c r="AC465" s="119" t="str">
        <x:v>05/28/26 (GD) – Replaces DLRS rule NumberOfCheckedInItemsPO update path. Fires when Purchasing_Opportunity__c changes on ProductItem. Synchronous path recalculates the prior Opportunity count using $Record__Prior; async path recalculates the current Opportunity count.</x:v>
      </x:c>
      <x:c r="AD465" s="119" t="str"/>
    </x:row>
    <x:row r="466" ht="34" customHeight="1">
      <x:c r="A466" s="117" t="str">
        <x:v>300Ro00000yxeS1IAI</x:v>
      </x:c>
      <x:c r="B466" s="117" t="str">
        <x:v>ProductItem_Asynchronous_on_update_Starting_Bid_Roll_Up</x:v>
      </x:c>
      <x:c r="C466" s="117" t="str">
        <x:v>ProductItem | Asynchronous, on update, Starting Bid Roll Up</x:v>
      </x:c>
      <x:c r="D466" s="117" t="str">
        <x:v>Yes</x:v>
      </x:c>
      <x:c r="E466" s="118" t="n">
        <x:v>2</x:v>
      </x:c>
      <x:c r="F466" s="118" t="n">
        <x:v>2</x:v>
      </x:c>
      <x:c r="G466" s="117" t="str">
        <x:v>Yes</x:v>
      </x:c>
      <x:c r="H466" s="119" t="str">
        <x:v>Active v2 (Retrieved XML)</x:v>
      </x:c>
      <x:c r="I466" s="117" t="str">
        <x:v>AutoLaunchedFlow</x:v>
      </x:c>
      <x:c r="J466" s="117" t="str">
        <x:v>ProductItem__c</x:v>
      </x:c>
      <x:c r="K466" s="117" t="str">
        <x:v>Yes</x:v>
      </x:c>
      <x:c r="L466" s="117" t="str">
        <x:v>Update</x:v>
      </x:c>
      <x:c r="M466" s="117" t="str">
        <x:v>RecordAfterSave</x:v>
      </x:c>
      <x:c r="N466" s="117"/>
      <x:c r="O466" s="117"/>
      <x:c r="P466" s="117" t="str"/>
      <x:c r="Q466" s="117" t="str">
        <x:v>57.0</x:v>
      </x:c>
      <x:c r="R466" s="117" t="str">
        <x:v>unmanaged</x:v>
      </x:c>
      <x:c r="S466" s="118" t="n">
        <x:v>2</x:v>
      </x:c>
      <x:c r="T466" s="118" t="n">
        <x:v>4</x:v>
      </x:c>
      <x:c r="U466" s="118" t="n">
        <x:v>2</x:v>
      </x:c>
      <x:c r="V466" s="118" t="n">
        <x:v>0</x:v>
      </x:c>
      <x:c r="W466" s="118" t="n">
        <x:v>0</x:v>
      </x:c>
      <x:c r="X466" s="118" t="n">
        <x:v>0</x:v>
      </x:c>
      <x:c r="Y466" s="118" t="n">
        <x:v>1</x:v>
      </x:c>
      <x:c r="Z466" s="117" t="str">
        <x:v>Strong</x:v>
      </x:c>
      <x:c r="AA466" s="120" t="n">
        <x:v>46174.803391203706</x:v>
      </x:c>
      <x:c r="AB466" s="117" t="str">
        <x:v>Delegate</x:v>
      </x:c>
      <x:c r="AC466" s="119" t="str">
        <x:v>06/01/26 (GD) – Created to replace the DLRS Starting_Bid rollup (on update). Fires async when Starting_Bid__c changes. Sums Starting_Bid__c across all ProductItems on the Purchasing Opportunity and writes the total to Opportunity.Starting_Bid__c.
06/01/26 (GD) – Added Purchasing_Opportunity__c IsNull false to entry criteria to prevent async scheduling and SOQL errors when the lookup is blank.</x:v>
      </x:c>
      <x:c r="AD466" s="119" t="str"/>
    </x:row>
    <x:row r="467" ht="34" customHeight="1">
      <x:c r="A467" s="117" t="str">
        <x:v>300Ro00000yS5oeIAC</x:v>
      </x:c>
      <x:c r="B467" s="117" t="str">
        <x:v>ProductItem_Before_delete_Estimated_Sales_Price_Roll_Up</x:v>
      </x:c>
      <x:c r="C467" s="117" t="str">
        <x:v>ProductItem | Before delete, Estimated Sales Price Roll Up</x:v>
      </x:c>
      <x:c r="D467" s="117" t="str">
        <x:v>Yes</x:v>
      </x:c>
      <x:c r="E467" s="118" t="n">
        <x:v>2</x:v>
      </x:c>
      <x:c r="F467" s="118" t="n">
        <x:v>2</x:v>
      </x:c>
      <x:c r="G467" s="117" t="str">
        <x:v>Yes</x:v>
      </x:c>
      <x:c r="H467" s="119" t="str">
        <x:v>Active v2 (Retrieved XML)</x:v>
      </x:c>
      <x:c r="I467" s="117" t="str">
        <x:v>AutoLaunchedFlow</x:v>
      </x:c>
      <x:c r="J467" s="117" t="str">
        <x:v>ProductItem__c</x:v>
      </x:c>
      <x:c r="K467" s="117" t="str">
        <x:v>Yes</x:v>
      </x:c>
      <x:c r="L467" s="117" t="str">
        <x:v>Delete</x:v>
      </x:c>
      <x:c r="M467" s="117" t="str">
        <x:v>RecordBeforeDelete</x:v>
      </x:c>
      <x:c r="N467" s="117"/>
      <x:c r="O467" s="117"/>
      <x:c r="P467" s="117" t="str"/>
      <x:c r="Q467" s="117" t="str">
        <x:v>57.0</x:v>
      </x:c>
      <x:c r="R467" s="117" t="str">
        <x:v>unmanaged</x:v>
      </x:c>
      <x:c r="S467" s="118" t="n">
        <x:v>2</x:v>
      </x:c>
      <x:c r="T467" s="118" t="n">
        <x:v>5</x:v>
      </x:c>
      <x:c r="U467" s="118" t="n">
        <x:v>2</x:v>
      </x:c>
      <x:c r="V467" s="118" t="n">
        <x:v>0</x:v>
      </x:c>
      <x:c r="W467" s="118" t="n">
        <x:v>0</x:v>
      </x:c>
      <x:c r="X467" s="118" t="n">
        <x:v>0</x:v>
      </x:c>
      <x:c r="Y467" s="118" t="n">
        <x:v>1</x:v>
      </x:c>
      <x:c r="Z467" s="117" t="str">
        <x:v>Strong</x:v>
      </x:c>
      <x:c r="AA467" s="120" t="n">
        <x:v>46182.74570601852</x:v>
      </x:c>
      <x:c r="AB467" s="117" t="str">
        <x:v>Mindy Bender</x:v>
      </x:c>
      <x:c r="AC467" s="119" t="str">
        <x:v>06/09/2026 (MPB) - Added decision to only process the flow if the Purchasing Opportunity is present.
05/26/26 (BW) – Delete counterpart to the on-create Estimated Sales Price roll-up. Runs synchronously before delete (Salesforce does not support async after-delete flows). Queries remaining ProductItems on the Purchasing Opportunity (excluding the record being deleted) and writes the summed Estimated_Sales_Price__c to Opportunity.Estimated_Sales_Price__c.</x:v>
      </x:c>
      <x:c r="AD467" s="119" t="str"/>
    </x:row>
    <x:row r="468" ht="34" customHeight="1">
      <x:c r="A468" s="117" t="str">
        <x:v>300Ro00000yTV5zIAG</x:v>
      </x:c>
      <x:c r="B468" s="117" t="str">
        <x:v>ProductItem_Before_delete_HWO_Total_Cost_Roll_Up</x:v>
      </x:c>
      <x:c r="C468" s="117" t="str">
        <x:v>ProductItem | Before delete, HWO Total Cost Roll Up</x:v>
      </x:c>
      <x:c r="D468" s="117" t="str">
        <x:v>Yes</x:v>
      </x:c>
      <x:c r="E468" s="118" t="n">
        <x:v>2</x:v>
      </x:c>
      <x:c r="F468" s="118" t="n">
        <x:v>2</x:v>
      </x:c>
      <x:c r="G468" s="117" t="str">
        <x:v>Yes</x:v>
      </x:c>
      <x:c r="H468" s="119" t="str">
        <x:v>Active v2 (Retrieved XML)</x:v>
      </x:c>
      <x:c r="I468" s="117" t="str">
        <x:v>AutoLaunchedFlow</x:v>
      </x:c>
      <x:c r="J468" s="117" t="str">
        <x:v>ProductItem__c</x:v>
      </x:c>
      <x:c r="K468" s="117" t="str">
        <x:v>Yes</x:v>
      </x:c>
      <x:c r="L468" s="117" t="str">
        <x:v>Delete</x:v>
      </x:c>
      <x:c r="M468" s="117" t="str">
        <x:v>RecordBeforeDelete</x:v>
      </x:c>
      <x:c r="N468" s="117"/>
      <x:c r="O468" s="117"/>
      <x:c r="P468" s="117" t="str"/>
      <x:c r="Q468" s="117" t="str">
        <x:v>57.0</x:v>
      </x:c>
      <x:c r="R468" s="117" t="str">
        <x:v>unmanaged</x:v>
      </x:c>
      <x:c r="S468" s="118" t="n">
        <x:v>2</x:v>
      </x:c>
      <x:c r="T468" s="118" t="n">
        <x:v>5</x:v>
      </x:c>
      <x:c r="U468" s="118" t="n">
        <x:v>2</x:v>
      </x:c>
      <x:c r="V468" s="118" t="n">
        <x:v>0</x:v>
      </x:c>
      <x:c r="W468" s="118" t="n">
        <x:v>0</x:v>
      </x:c>
      <x:c r="X468" s="118" t="n">
        <x:v>0</x:v>
      </x:c>
      <x:c r="Y468" s="118" t="n">
        <x:v>1</x:v>
      </x:c>
      <x:c r="Z468" s="117" t="str">
        <x:v>Strong</x:v>
      </x:c>
      <x:c r="AA468" s="120" t="n">
        <x:v>46182.74178240741</x:v>
      </x:c>
      <x:c r="AB468" s="117" t="str">
        <x:v>Mindy Bender</x:v>
      </x:c>
      <x:c r="AC468" s="119" t="str">
        <x:v>06/09/26 (MPB) - Modified so get all records ONLY performs if there is a Harvest Work Order on the record
05/26/26 (BW) – Delete counterpart to the on-create HWO Total Cost roll-up. Runs synchronously before delete (Salesforce does not support async after-delete flows). Queries remaining ProductItems on the Harvest Work Order (excluding the record being deleted) and writes the summed Cost__c to Harvest_Work_Order__c.HWO_Total_Cost__c.</x:v>
      </x:c>
      <x:c r="AD468" s="119" t="str"/>
    </x:row>
    <x:row r="469" ht="34" customHeight="1">
      <x:c r="A469" s="117" t="str">
        <x:v>300Ro00000yTWmnIAG</x:v>
      </x:c>
      <x:c r="B469" s="117" t="str">
        <x:v>ProductItem_Before_delete_HWO_Total_Revenue_Roll_Up</x:v>
      </x:c>
      <x:c r="C469" s="117" t="str">
        <x:v>ProductItem | Before delete, HWO Total Revenue Roll Up</x:v>
      </x:c>
      <x:c r="D469" s="117" t="str">
        <x:v>Yes</x:v>
      </x:c>
      <x:c r="E469" s="118" t="n">
        <x:v>2</x:v>
      </x:c>
      <x:c r="F469" s="118" t="n">
        <x:v>2</x:v>
      </x:c>
      <x:c r="G469" s="117" t="str">
        <x:v>Yes</x:v>
      </x:c>
      <x:c r="H469" s="119" t="str">
        <x:v>Active v2 (Retrieved XML)</x:v>
      </x:c>
      <x:c r="I469" s="117" t="str">
        <x:v>AutoLaunchedFlow</x:v>
      </x:c>
      <x:c r="J469" s="117" t="str">
        <x:v>ProductItem__c</x:v>
      </x:c>
      <x:c r="K469" s="117" t="str">
        <x:v>Yes</x:v>
      </x:c>
      <x:c r="L469" s="117" t="str">
        <x:v>Delete</x:v>
      </x:c>
      <x:c r="M469" s="117" t="str">
        <x:v>RecordBeforeDelete</x:v>
      </x:c>
      <x:c r="N469" s="117"/>
      <x:c r="O469" s="117"/>
      <x:c r="P469" s="117" t="str"/>
      <x:c r="Q469" s="117" t="str">
        <x:v>57.0</x:v>
      </x:c>
      <x:c r="R469" s="117" t="str">
        <x:v>unmanaged</x:v>
      </x:c>
      <x:c r="S469" s="118" t="n">
        <x:v>2</x:v>
      </x:c>
      <x:c r="T469" s="118" t="n">
        <x:v>4</x:v>
      </x:c>
      <x:c r="U469" s="118" t="n">
        <x:v>2</x:v>
      </x:c>
      <x:c r="V469" s="118" t="n">
        <x:v>0</x:v>
      </x:c>
      <x:c r="W469" s="118" t="n">
        <x:v>0</x:v>
      </x:c>
      <x:c r="X469" s="118" t="n">
        <x:v>0</x:v>
      </x:c>
      <x:c r="Y469" s="118" t="n">
        <x:v>1</x:v>
      </x:c>
      <x:c r="Z469" s="117" t="str">
        <x:v>Strong</x:v>
      </x:c>
      <x:c r="AA469" s="120" t="n">
        <x:v>46174.762395833335</x:v>
      </x:c>
      <x:c r="AB469" s="117" t="str">
        <x:v>Delegate</x:v>
      </x:c>
      <x:c r="AC469" s="119" t="str">
        <x:v>05/26/26 (BW) – Delete counterpart to the on-create HWO Total Revenue roll-up. Runs synchronously before delete (Salesforce does not support async after-delete flows). Queries remaining ProductItems on the Harvest Work Order (excluding the record being deleted) and writes the summed Sales_Price__c to Harvest_Work_Order__c.HWO_Total_Revenue__c.
06/01/26 (GD) – Updated entry criteria</x:v>
      </x:c>
      <x:c r="AD469" s="119" t="str"/>
    </x:row>
    <x:row r="470" ht="34" customHeight="1">
      <x:c r="A470" s="117" t="str">
        <x:v>300Ro00000yXXXLIA4</x:v>
      </x:c>
      <x:c r="B470" s="117" t="str">
        <x:v>ProductItem_Before_Delete_Item_Receipt_Amount_Roll_Up</x:v>
      </x:c>
      <x:c r="C470" s="117" t="str">
        <x:v>ProductItem | Before Delete, Item Receipt Amount Roll Up</x:v>
      </x:c>
      <x:c r="D470" s="117" t="str">
        <x:v>Yes</x:v>
      </x:c>
      <x:c r="E470" s="118" t="n">
        <x:v>1</x:v>
      </x:c>
      <x:c r="F470" s="118" t="n">
        <x:v>1</x:v>
      </x:c>
      <x:c r="G470" s="117" t="str">
        <x:v>Yes</x:v>
      </x:c>
      <x:c r="H470" s="119" t="str">
        <x:v>Active v1 (Retrieved XML)</x:v>
      </x:c>
      <x:c r="I470" s="117" t="str">
        <x:v>AutoLaunchedFlow</x:v>
      </x:c>
      <x:c r="J470" s="117" t="str">
        <x:v>ProductItem__c</x:v>
      </x:c>
      <x:c r="K470" s="117" t="str">
        <x:v>Yes</x:v>
      </x:c>
      <x:c r="L470" s="117" t="str">
        <x:v>Delete</x:v>
      </x:c>
      <x:c r="M470" s="117" t="str">
        <x:v>RecordBeforeDelete</x:v>
      </x:c>
      <x:c r="N470" s="117"/>
      <x:c r="O470" s="117"/>
      <x:c r="P470" s="117" t="str"/>
      <x:c r="Q470" s="117" t="str">
        <x:v>62.0</x:v>
      </x:c>
      <x:c r="R470" s="117" t="str">
        <x:v>unmanaged</x:v>
      </x:c>
      <x:c r="S470" s="118" t="n">
        <x:v>1</x:v>
      </x:c>
      <x:c r="T470" s="118" t="n">
        <x:v>5</x:v>
      </x:c>
      <x:c r="U470" s="118" t="n">
        <x:v>2</x:v>
      </x:c>
      <x:c r="V470" s="118" t="n">
        <x:v>0</x:v>
      </x:c>
      <x:c r="W470" s="118" t="n">
        <x:v>0</x:v>
      </x:c>
      <x:c r="X470" s="118" t="n">
        <x:v>0</x:v>
      </x:c>
      <x:c r="Y470" s="118" t="n">
        <x:v>1</x:v>
      </x:c>
      <x:c r="Z470" s="117" t="str">
        <x:v>Strong</x:v>
      </x:c>
      <x:c r="AA470" s="120" t="n">
        <x:v>46169.81542824074</x:v>
      </x:c>
      <x:c r="AB470" s="117" t="str">
        <x:v>Delegate</x:v>
      </x:c>
      <x:c r="AC470" s="119" t="str">
        <x:v>05/27/26 (BW) – Replaces DLRS Item_Receipt_Amount rule. Re-sums remaining ProductItem__c.Cost__c onto Item_Receipt__c.Item_Receipt_Amount__c before a ProductItem is deleted. Excludes the record being deleted from the sum. Item_Receipt_Is_Null_Check decision prevents SOQL when Item_Receipt__c is blank.</x:v>
      </x:c>
      <x:c r="AD470" s="119" t="str"/>
    </x:row>
    <x:row r="471" ht="34" customHeight="1">
      <x:c r="A471" s="117" t="str">
        <x:v>300Ro00000zEWo7IAG</x:v>
      </x:c>
      <x:c r="B471" s="117" t="str">
        <x:v>ProductItem_Before_Delete_Loaner_Asset_Number_Roll_Up</x:v>
      </x:c>
      <x:c r="C471" s="117" t="str">
        <x:v>ProductItem | Before Delete, Loaner Asset Number Roll Up</x:v>
      </x:c>
      <x:c r="D471" s="117" t="str">
        <x:v>Yes</x:v>
      </x:c>
      <x:c r="E471" s="118" t="n">
        <x:v>1</x:v>
      </x:c>
      <x:c r="F471" s="118" t="n">
        <x:v>1</x:v>
      </x:c>
      <x:c r="G471" s="117" t="str">
        <x:v>Yes</x:v>
      </x:c>
      <x:c r="H471" s="119" t="str">
        <x:v>Active v1 (Retrieved XML)</x:v>
      </x:c>
      <x:c r="I471" s="117" t="str">
        <x:v>AutoLaunchedFlow</x:v>
      </x:c>
      <x:c r="J471" s="117" t="str">
        <x:v>ProductItem__c</x:v>
      </x:c>
      <x:c r="K471" s="117" t="str">
        <x:v>Yes</x:v>
      </x:c>
      <x:c r="L471" s="117" t="str">
        <x:v>Delete</x:v>
      </x:c>
      <x:c r="M471" s="117" t="str">
        <x:v>RecordBeforeDelete</x:v>
      </x:c>
      <x:c r="N471" s="117"/>
      <x:c r="O471" s="117"/>
      <x:c r="P471" s="117" t="str"/>
      <x:c r="Q471" s="117" t="str">
        <x:v>62.0</x:v>
      </x:c>
      <x:c r="R471" s="117" t="str">
        <x:v>unmanaged</x:v>
      </x:c>
      <x:c r="S471" s="118" t="n">
        <x:v>1</x:v>
      </x:c>
      <x:c r="T471" s="118" t="n">
        <x:v>9</x:v>
      </x:c>
      <x:c r="U471" s="118" t="n">
        <x:v>2</x:v>
      </x:c>
      <x:c r="V471" s="118" t="n">
        <x:v>0</x:v>
      </x:c>
      <x:c r="W471" s="118" t="n">
        <x:v>0</x:v>
      </x:c>
      <x:c r="X471" s="118" t="n">
        <x:v>0</x:v>
      </x:c>
      <x:c r="Y471" s="118" t="n">
        <x:v>1</x:v>
      </x:c>
      <x:c r="Z471" s="117" t="str">
        <x:v>Strong</x:v>
      </x:c>
      <x:c r="AA471" s="120" t="n">
        <x:v>46177.121666666666</x:v>
      </x:c>
      <x:c r="AB471" s="117" t="str">
        <x:v>Delegate</x:v>
      </x:c>
      <x:c r="AC471" s="119" t="str">
        <x:v>06/03/26 (GD) – Replaces DLRS Roll_Up_Asset_Numbers_to_Loaner rule on delete. Re-concatenates remaining distinct ProductItem__c.Name values onto Loaner__c.Loaner_Asset__c before a ProductItem is deleted. Excludes the record being deleted via Id != $Record.Id filter on the Get Records. Entry criteria and Loaner_Is_Null_Check prevent SOQL when Loaner__c is blank. Writes null when no items remain.</x:v>
      </x:c>
      <x:c r="AD471" s="119" t="str"/>
    </x:row>
    <x:row r="472" ht="34" customHeight="1">
      <x:c r="A472" s="117" t="str">
        <x:v>300Ro00000yYvjCIAS</x:v>
      </x:c>
      <x:c r="B472" s="117" t="str">
        <x:v>ProductItem_Before_Delete_Loaner_Location_Roll_Up</x:v>
      </x:c>
      <x:c r="C472" s="117" t="str">
        <x:v>ProductItem | Before Delete, Loaner Location Roll Up</x:v>
      </x:c>
      <x:c r="D472" s="117" t="str">
        <x:v>Yes</x:v>
      </x:c>
      <x:c r="E472" s="118" t="n">
        <x:v>2</x:v>
      </x:c>
      <x:c r="F472" s="118" t="n">
        <x:v>2</x:v>
      </x:c>
      <x:c r="G472" s="117" t="str">
        <x:v>Yes</x:v>
      </x:c>
      <x:c r="H472" s="119" t="str">
        <x:v>Active v2 (Retrieved XML)</x:v>
      </x:c>
      <x:c r="I472" s="117" t="str">
        <x:v>AutoLaunchedFlow</x:v>
      </x:c>
      <x:c r="J472" s="117" t="str">
        <x:v>ProductItem__c</x:v>
      </x:c>
      <x:c r="K472" s="117" t="str">
        <x:v>Yes</x:v>
      </x:c>
      <x:c r="L472" s="117" t="str">
        <x:v>Delete</x:v>
      </x:c>
      <x:c r="M472" s="117" t="str">
        <x:v>RecordBeforeDelete</x:v>
      </x:c>
      <x:c r="N472" s="117"/>
      <x:c r="O472" s="117"/>
      <x:c r="P472" s="117" t="str"/>
      <x:c r="Q472" s="117" t="str">
        <x:v>62.0</x:v>
      </x:c>
      <x:c r="R472" s="117" t="str">
        <x:v>unmanaged</x:v>
      </x:c>
      <x:c r="S472" s="118" t="n">
        <x:v>2</x:v>
      </x:c>
      <x:c r="T472" s="118" t="n">
        <x:v>7</x:v>
      </x:c>
      <x:c r="U472" s="118" t="n">
        <x:v>2</x:v>
      </x:c>
      <x:c r="V472" s="118" t="n">
        <x:v>0</x:v>
      </x:c>
      <x:c r="W472" s="118" t="n">
        <x:v>0</x:v>
      </x:c>
      <x:c r="X472" s="118" t="n">
        <x:v>0</x:v>
      </x:c>
      <x:c r="Y472" s="118" t="n">
        <x:v>1</x:v>
      </x:c>
      <x:c r="Z472" s="117" t="str">
        <x:v>Strong</x:v>
      </x:c>
      <x:c r="AA472" s="120" t="n">
        <x:v>46174.80363425926</x:v>
      </x:c>
      <x:c r="AB472" s="117" t="str">
        <x:v>Delegate</x:v>
      </x:c>
      <x:c r="AC472" s="119" t="str">
        <x:v>05/27/26 (GD) – Replaces DLRS Loaner_Location rule. Re-concatenates remaining ProductItem__c.Location__c onto Loaner__c.Loaner_Location__c before a ProductItem is deleted. Excludes the record being deleted from the concatenation. Loaner_Is_Null_Check decision prevents SOQL when Loaner__c is blank.
06/01/26 (GD) – Added Loaner__c IsNull false entry criteria to prevent execution on every ProductItem delete when no Loaner is set.</x:v>
      </x:c>
      <x:c r="AD472" s="119" t="str"/>
    </x:row>
    <x:row r="473" ht="34" customHeight="1">
      <x:c r="A473" s="117" t="str">
        <x:v>300Ro00000ydLwYIAU</x:v>
      </x:c>
      <x:c r="B473" s="117" t="str">
        <x:v>ProductItem_Before_Delete_Loaner_Serial_Number_Roll_Up</x:v>
      </x:c>
      <x:c r="C473" s="117" t="str">
        <x:v>ProductItem | Before Delete, Loaner Serial Number Roll Up</x:v>
      </x:c>
      <x:c r="D473" s="117" t="str">
        <x:v>Yes</x:v>
      </x:c>
      <x:c r="E473" s="118" t="n">
        <x:v>2</x:v>
      </x:c>
      <x:c r="F473" s="118" t="n">
        <x:v>2</x:v>
      </x:c>
      <x:c r="G473" s="117" t="str">
        <x:v>Yes</x:v>
      </x:c>
      <x:c r="H473" s="119" t="str">
        <x:v>Active v2 (Retrieved XML)</x:v>
      </x:c>
      <x:c r="I473" s="117" t="str">
        <x:v>AutoLaunchedFlow</x:v>
      </x:c>
      <x:c r="J473" s="117" t="str">
        <x:v>ProductItem__c</x:v>
      </x:c>
      <x:c r="K473" s="117" t="str">
        <x:v>Yes</x:v>
      </x:c>
      <x:c r="L473" s="117" t="str">
        <x:v>Delete</x:v>
      </x:c>
      <x:c r="M473" s="117" t="str">
        <x:v>RecordBeforeDelete</x:v>
      </x:c>
      <x:c r="N473" s="117"/>
      <x:c r="O473" s="117"/>
      <x:c r="P473" s="117" t="str"/>
      <x:c r="Q473" s="117" t="str">
        <x:v>62.0</x:v>
      </x:c>
      <x:c r="R473" s="117" t="str">
        <x:v>unmanaged</x:v>
      </x:c>
      <x:c r="S473" s="118" t="n">
        <x:v>2</x:v>
      </x:c>
      <x:c r="T473" s="118" t="n">
        <x:v>7</x:v>
      </x:c>
      <x:c r="U473" s="118" t="n">
        <x:v>2</x:v>
      </x:c>
      <x:c r="V473" s="118" t="n">
        <x:v>0</x:v>
      </x:c>
      <x:c r="W473" s="118" t="n">
        <x:v>0</x:v>
      </x:c>
      <x:c r="X473" s="118" t="n">
        <x:v>0</x:v>
      </x:c>
      <x:c r="Y473" s="118" t="n">
        <x:v>1</x:v>
      </x:c>
      <x:c r="Z473" s="117" t="str">
        <x:v>Strong</x:v>
      </x:c>
      <x:c r="AA473" s="120" t="n">
        <x:v>46174.80401620371</x:v>
      </x:c>
      <x:c r="AB473" s="117" t="str">
        <x:v>Delegate</x:v>
      </x:c>
      <x:c r="AC473" s="119" t="str">
        <x:v>05/28/26 (GD) – Replaces DLRS Loaner_Serial_Number rule. Re-concatenates remaining ProductItem__c.Serial_No__c onto Loaner__c.Loaner_Serial__c before a ProductItem is deleted. Excludes the record being deleted from the concatenation. Loaner_Is_Null_Check decision prevents SOQL when Loaner__c is blank.
06/01/26 (GD) – Added Loaner__c IsNull false entry criteria to prevent execution on every ProductItem delete when no Loaner is set.</x:v>
      </x:c>
      <x:c r="AD473" s="119" t="str"/>
    </x:row>
    <x:row r="474" ht="34" customHeight="1">
      <x:c r="A474" s="117" t="str">
        <x:v>300Ro00000ye8iiIAA</x:v>
      </x:c>
      <x:c r="B474" s="117" t="str">
        <x:v>ProductItem_Before_delete_Max_Bid_Roll_Up</x:v>
      </x:c>
      <x:c r="C474" s="117" t="str">
        <x:v>ProductItem | Before delete, Max Bid Roll Up</x:v>
      </x:c>
      <x:c r="D474" s="117" t="str">
        <x:v>Yes</x:v>
      </x:c>
      <x:c r="E474" s="118" t="n">
        <x:v>2</x:v>
      </x:c>
      <x:c r="F474" s="118" t="n">
        <x:v>2</x:v>
      </x:c>
      <x:c r="G474" s="117" t="str">
        <x:v>Yes</x:v>
      </x:c>
      <x:c r="H474" s="119" t="str">
        <x:v>Active v2 (Retrieved XML)</x:v>
      </x:c>
      <x:c r="I474" s="117" t="str">
        <x:v>AutoLaunchedFlow</x:v>
      </x:c>
      <x:c r="J474" s="117" t="str">
        <x:v>ProductItem__c</x:v>
      </x:c>
      <x:c r="K474" s="117" t="str">
        <x:v>Yes</x:v>
      </x:c>
      <x:c r="L474" s="117" t="str">
        <x:v>Delete</x:v>
      </x:c>
      <x:c r="M474" s="117" t="str">
        <x:v>RecordBeforeDelete</x:v>
      </x:c>
      <x:c r="N474" s="117"/>
      <x:c r="O474" s="117"/>
      <x:c r="P474" s="117" t="str"/>
      <x:c r="Q474" s="117" t="str">
        <x:v>57.0</x:v>
      </x:c>
      <x:c r="R474" s="117" t="str">
        <x:v>unmanaged</x:v>
      </x:c>
      <x:c r="S474" s="118" t="n">
        <x:v>2</x:v>
      </x:c>
      <x:c r="T474" s="118" t="n">
        <x:v>4</x:v>
      </x:c>
      <x:c r="U474" s="118" t="n">
        <x:v>2</x:v>
      </x:c>
      <x:c r="V474" s="118" t="n">
        <x:v>0</x:v>
      </x:c>
      <x:c r="W474" s="118" t="n">
        <x:v>0</x:v>
      </x:c>
      <x:c r="X474" s="118" t="n">
        <x:v>0</x:v>
      </x:c>
      <x:c r="Y474" s="118" t="n">
        <x:v>1</x:v>
      </x:c>
      <x:c r="Z474" s="117" t="str">
        <x:v>Strong</x:v>
      </x:c>
      <x:c r="AA474" s="120" t="n">
        <x:v>46174.75947916666</x:v>
      </x:c>
      <x:c r="AB474" s="117" t="str">
        <x:v>Delegate</x:v>
      </x:c>
      <x:c r="AC474" s="119" t="str">
        <x:v>05/28/26 (GD) – Created to replace the DLRS Max_Bid rollup (on delete). Runs synchronously before delete (Salesforce does not support async after-delete flows). Queries remaining ProductItems on the Purchasing Opportunity (excluding the record being deleted) and writes the summed Max_Bid__c to Opportunity.Max_Bid__c.
06/01/26 (GD) – Updated entry criteria</x:v>
      </x:c>
      <x:c r="AD474" s="119" t="str"/>
    </x:row>
    <x:row r="475" ht="34" customHeight="1">
      <x:c r="A475" s="117" t="str">
        <x:v>300Ro00000yeuH5IAI</x:v>
      </x:c>
      <x:c r="B475" s="117" t="str">
        <x:v>ProductItem_Before_delete_NumberCheckedIn_PO_Roll_Up</x:v>
      </x:c>
      <x:c r="C475" s="117" t="str">
        <x:v>ProductItem | Before delete, Number of Checked In Items PO Roll Up</x:v>
      </x:c>
      <x:c r="D475" s="117" t="str">
        <x:v>Yes</x:v>
      </x:c>
      <x:c r="E475" s="118" t="n">
        <x:v>1</x:v>
      </x:c>
      <x:c r="F475" s="118" t="n">
        <x:v>1</x:v>
      </x:c>
      <x:c r="G475" s="117" t="str">
        <x:v>Yes</x:v>
      </x:c>
      <x:c r="H475" s="119" t="str">
        <x:v>Active v1 (Retrieved XML)</x:v>
      </x:c>
      <x:c r="I475" s="117" t="str">
        <x:v>AutoLaunchedFlow</x:v>
      </x:c>
      <x:c r="J475" s="117" t="str">
        <x:v>ProductItem__c</x:v>
      </x:c>
      <x:c r="K475" s="117" t="str">
        <x:v>Yes</x:v>
      </x:c>
      <x:c r="L475" s="117" t="str">
        <x:v>Delete</x:v>
      </x:c>
      <x:c r="M475" s="117" t="str">
        <x:v>RecordBeforeDelete</x:v>
      </x:c>
      <x:c r="N475" s="117"/>
      <x:c r="O475" s="117"/>
      <x:c r="P475" s="117" t="str"/>
      <x:c r="Q475" s="117" t="str">
        <x:v>66.0</x:v>
      </x:c>
      <x:c r="R475" s="117" t="str">
        <x:v>unmanaged</x:v>
      </x:c>
      <x:c r="S475" s="118" t="n">
        <x:v>1</x:v>
      </x:c>
      <x:c r="T475" s="118" t="n">
        <x:v>4</x:v>
      </x:c>
      <x:c r="U475" s="118" t="n">
        <x:v>2</x:v>
      </x:c>
      <x:c r="V475" s="118" t="n">
        <x:v>0</x:v>
      </x:c>
      <x:c r="W475" s="118" t="n">
        <x:v>0</x:v>
      </x:c>
      <x:c r="X475" s="118" t="n">
        <x:v>0</x:v>
      </x:c>
      <x:c r="Y475" s="118" t="n">
        <x:v>1</x:v>
      </x:c>
      <x:c r="Z475" s="117" t="str">
        <x:v>Strong</x:v>
      </x:c>
      <x:c r="AA475" s="120" t="n">
        <x:v>46170.650300925925</x:v>
      </x:c>
      <x:c r="AB475" s="117" t="str">
        <x:v>Delegate</x:v>
      </x:c>
      <x:c r="AC475" s="119" t="str">
        <x:v>05/28/26 (GD) – Replaces DLRS rule NumberOfCheckedInItemsPO delete path. Runs before the ProductItem is deleted; excludes the being-deleted record from the re-query so Opportunity.Number_of_Checked_In_Items__c is accurate after deletion.</x:v>
      </x:c>
      <x:c r="AD475" s="119" t="str"/>
    </x:row>
    <x:row r="476" ht="34" customHeight="1">
      <x:c r="A476" s="117" t="str">
        <x:v>300Ro00000yyHEoIAM</x:v>
      </x:c>
      <x:c r="B476" s="117" t="str">
        <x:v>ProductItem_Before_Delete_Pur_Op_Total_Cost_of_Unsold_Assets_Roll_Up</x:v>
      </x:c>
      <x:c r="C476" s="117" t="str">
        <x:v>ProductItem | Before Delete, Pur Op Total Cost of Unsold Assets Roll Up</x:v>
      </x:c>
      <x:c r="D476" s="117" t="str">
        <x:v>Yes</x:v>
      </x:c>
      <x:c r="E476" s="118" t="n">
        <x:v>1</x:v>
      </x:c>
      <x:c r="F476" s="118" t="n">
        <x:v>1</x:v>
      </x:c>
      <x:c r="G476" s="117" t="str">
        <x:v>Yes</x:v>
      </x:c>
      <x:c r="H476" s="119" t="str">
        <x:v>Active v1 (Retrieved XML)</x:v>
      </x:c>
      <x:c r="I476" s="117" t="str">
        <x:v>AutoLaunchedFlow</x:v>
      </x:c>
      <x:c r="J476" s="117" t="str">
        <x:v>ProductItem__c</x:v>
      </x:c>
      <x:c r="K476" s="117" t="str">
        <x:v>Yes</x:v>
      </x:c>
      <x:c r="L476" s="117" t="str">
        <x:v>Delete</x:v>
      </x:c>
      <x:c r="M476" s="117" t="str">
        <x:v>RecordBeforeDelete</x:v>
      </x:c>
      <x:c r="N476" s="117"/>
      <x:c r="O476" s="117"/>
      <x:c r="P476" s="117" t="str"/>
      <x:c r="Q476" s="117" t="str">
        <x:v>62.0</x:v>
      </x:c>
      <x:c r="R476" s="117" t="str">
        <x:v>unmanaged</x:v>
      </x:c>
      <x:c r="S476" s="118" t="n">
        <x:v>1</x:v>
      </x:c>
      <x:c r="T476" s="118" t="n">
        <x:v>5</x:v>
      </x:c>
      <x:c r="U476" s="118" t="n">
        <x:v>2</x:v>
      </x:c>
      <x:c r="V476" s="118" t="n">
        <x:v>0</x:v>
      </x:c>
      <x:c r="W476" s="118" t="n">
        <x:v>0</x:v>
      </x:c>
      <x:c r="X476" s="118" t="n">
        <x:v>0</x:v>
      </x:c>
      <x:c r="Y476" s="118" t="n">
        <x:v>1</x:v>
      </x:c>
      <x:c r="Z476" s="117" t="str">
        <x:v>Strong</x:v>
      </x:c>
      <x:c r="AA476" s="120" t="n">
        <x:v>46174.884247685186</x:v>
      </x:c>
      <x:c r="AB476" s="117" t="str">
        <x:v>Delegate</x:v>
      </x:c>
      <x:c r="AC476" s="119" t="str">
        <x:v>06/01/26 (GD) – Replaces DLRS TotalCostOfUnsoldAssetsPurchasing rule. Before delete, re-sums remaining ProductItem__c.Cost__c where Sold__c = false onto Opportunity.Total_Cost_of_Unsold_Assets__c. Excludes the record being deleted. Entry criteria and null check prevent execution when Purchasing_Opportunity__c is blank or record was already sold.</x:v>
      </x:c>
      <x:c r="AD476" s="119" t="str"/>
    </x:row>
    <x:row r="477" ht="34" customHeight="1">
      <x:c r="A477" s="117" t="str">
        <x:v>300Ro00000yyBCZIA2</x:v>
      </x:c>
      <x:c r="B477" s="117" t="str">
        <x:v>ProductItem_Before_Delete_Pur_Op_Total_Cost_Roll_Up</x:v>
      </x:c>
      <x:c r="C477" s="117" t="str">
        <x:v>ProductItem | Before Delete, Pur Op Total Cost Roll Up</x:v>
      </x:c>
      <x:c r="D477" s="117" t="str">
        <x:v>Yes</x:v>
      </x:c>
      <x:c r="E477" s="118" t="n">
        <x:v>1</x:v>
      </x:c>
      <x:c r="F477" s="118" t="n">
        <x:v>1</x:v>
      </x:c>
      <x:c r="G477" s="117" t="str">
        <x:v>Yes</x:v>
      </x:c>
      <x:c r="H477" s="119" t="str">
        <x:v>Active v1 (Retrieved XML)</x:v>
      </x:c>
      <x:c r="I477" s="117" t="str">
        <x:v>AutoLaunchedFlow</x:v>
      </x:c>
      <x:c r="J477" s="117" t="str">
        <x:v>ProductItem__c</x:v>
      </x:c>
      <x:c r="K477" s="117" t="str">
        <x:v>Yes</x:v>
      </x:c>
      <x:c r="L477" s="117" t="str">
        <x:v>Delete</x:v>
      </x:c>
      <x:c r="M477" s="117" t="str">
        <x:v>RecordBeforeDelete</x:v>
      </x:c>
      <x:c r="N477" s="117"/>
      <x:c r="O477" s="117"/>
      <x:c r="P477" s="117" t="str"/>
      <x:c r="Q477" s="117" t="str">
        <x:v>62.0</x:v>
      </x:c>
      <x:c r="R477" s="117" t="str">
        <x:v>unmanaged</x:v>
      </x:c>
      <x:c r="S477" s="118" t="n">
        <x:v>1</x:v>
      </x:c>
      <x:c r="T477" s="118" t="n">
        <x:v>5</x:v>
      </x:c>
      <x:c r="U477" s="118" t="n">
        <x:v>2</x:v>
      </x:c>
      <x:c r="V477" s="118" t="n">
        <x:v>0</x:v>
      </x:c>
      <x:c r="W477" s="118" t="n">
        <x:v>0</x:v>
      </x:c>
      <x:c r="X477" s="118" t="n">
        <x:v>0</x:v>
      </x:c>
      <x:c r="Y477" s="118" t="n">
        <x:v>1</x:v>
      </x:c>
      <x:c r="Z477" s="117" t="str">
        <x:v>Strong</x:v>
      </x:c>
      <x:c r="AA477" s="120" t="n">
        <x:v>46174.78138888889</x:v>
      </x:c>
      <x:c r="AB477" s="117" t="str">
        <x:v>Delegate</x:v>
      </x:c>
      <x:c r="AC477" s="119" t="str">
        <x:v>06/01/26 (GD) – Replaces DLRS TotalCostOfAssetsOnPurchasingOp rule. Before delete, re-sums remaining ProductItem__c.Cost__c onto Opportunity.Total_Cost_of_Assets__c. Excludes the record being deleted from the sum. Entry criteria and Purchasing_Opportunity_Is_Null_Check prevent execution when Purchasing_Opportunity__c is blank.</x:v>
      </x:c>
      <x:c r="AD477" s="119" t="str"/>
    </x:row>
    <x:row r="478" ht="34" customHeight="1">
      <x:c r="A478" s="117" t="str">
        <x:v>300Ro00000yzeilIAA</x:v>
      </x:c>
      <x:c r="B478" s="117" t="str">
        <x:v>ProductItem_Before_Delete_Pur_Op_Working_Capital_Usage_Days_Roll_Up</x:v>
      </x:c>
      <x:c r="C478" s="117" t="str">
        <x:v>ProductItem | Before Delete, Pur Op Working Capital Usage Days Roll Up</x:v>
      </x:c>
      <x:c r="D478" s="117" t="str">
        <x:v>Yes</x:v>
      </x:c>
      <x:c r="E478" s="118" t="n">
        <x:v>1</x:v>
      </x:c>
      <x:c r="F478" s="118" t="n">
        <x:v>1</x:v>
      </x:c>
      <x:c r="G478" s="117" t="str">
        <x:v>Yes</x:v>
      </x:c>
      <x:c r="H478" s="119" t="str">
        <x:v>Active v1 (Retrieved XML)</x:v>
      </x:c>
      <x:c r="I478" s="117" t="str">
        <x:v>AutoLaunchedFlow</x:v>
      </x:c>
      <x:c r="J478" s="117" t="str">
        <x:v>ProductItem__c</x:v>
      </x:c>
      <x:c r="K478" s="117" t="str">
        <x:v>Yes</x:v>
      </x:c>
      <x:c r="L478" s="117" t="str">
        <x:v>Delete</x:v>
      </x:c>
      <x:c r="M478" s="117" t="str">
        <x:v>RecordBeforeDelete</x:v>
      </x:c>
      <x:c r="N478" s="117"/>
      <x:c r="O478" s="117"/>
      <x:c r="P478" s="117" t="str"/>
      <x:c r="Q478" s="117" t="str">
        <x:v>62.0</x:v>
      </x:c>
      <x:c r="R478" s="117" t="str">
        <x:v>unmanaged</x:v>
      </x:c>
      <x:c r="S478" s="118" t="n">
        <x:v>1</x:v>
      </x:c>
      <x:c r="T478" s="118" t="n">
        <x:v>8</x:v>
      </x:c>
      <x:c r="U478" s="118" t="n">
        <x:v>2</x:v>
      </x:c>
      <x:c r="V478" s="118" t="n">
        <x:v>0</x:v>
      </x:c>
      <x:c r="W478" s="118" t="n">
        <x:v>0</x:v>
      </x:c>
      <x:c r="X478" s="118" t="n">
        <x:v>0</x:v>
      </x:c>
      <x:c r="Y478" s="118" t="n">
        <x:v>1</x:v>
      </x:c>
      <x:c r="Z478" s="117" t="str">
        <x:v>Strong</x:v>
      </x:c>
      <x:c r="AA478" s="120" t="n">
        <x:v>46174.953877314816</x:v>
      </x:c>
      <x:c r="AB478" s="117" t="str">
        <x:v>Delegate</x:v>
      </x:c>
      <x:c r="AC478" s="119" t="str">
        <x:v>06/01/26 (GD) – Replaces DLRS Working_Capital_Usage_Days_Roll_Up rule. Before delete, re-averages remaining ProductItem__c.Working_Capital_Usage_Days__c onto Opportunity.Working_Capital_Usage_Days__c. Excludes the record being deleted and any records with null Working_Capital_Usage_Days__c. Sets parent to null when no qualifying records remain. Entry criteria and null check prevent execution when Purchasing_Opportunity__c is blank or the deleted record had no value in Working_Capital_Usage_Days__c.</x:v>
      </x:c>
      <x:c r="AD478" s="119" t="str"/>
    </x:row>
    <x:row r="479" ht="34" customHeight="1">
      <x:c r="A479" s="117" t="str">
        <x:v>300Ro00000zDVJ0IAO</x:v>
      </x:c>
      <x:c r="B479" s="117" t="str">
        <x:v>ProductItem_Before_delete_Rental_Order_Price_Roll_Up</x:v>
      </x:c>
      <x:c r="C479" s="117" t="str">
        <x:v>ProductItem | Before delete, Rental Order Price Roll Up</x:v>
      </x:c>
      <x:c r="D479" s="117" t="str">
        <x:v>Yes</x:v>
      </x:c>
      <x:c r="E479" s="118" t="n">
        <x:v>1</x:v>
      </x:c>
      <x:c r="F479" s="118" t="n">
        <x:v>1</x:v>
      </x:c>
      <x:c r="G479" s="117" t="str">
        <x:v>Yes</x:v>
      </x:c>
      <x:c r="H479" s="119" t="str">
        <x:v>Active v1 (Retrieved XML)</x:v>
      </x:c>
      <x:c r="I479" s="117" t="str">
        <x:v>AutoLaunchedFlow</x:v>
      </x:c>
      <x:c r="J479" s="117" t="str">
        <x:v>ProductItem__c</x:v>
      </x:c>
      <x:c r="K479" s="117" t="str">
        <x:v>Yes</x:v>
      </x:c>
      <x:c r="L479" s="117" t="str">
        <x:v>Delete</x:v>
      </x:c>
      <x:c r="M479" s="117" t="str">
        <x:v>RecordBeforeDelete</x:v>
      </x:c>
      <x:c r="N479" s="117"/>
      <x:c r="O479" s="117"/>
      <x:c r="P479" s="117" t="str"/>
      <x:c r="Q479" s="117" t="str">
        <x:v>66.0</x:v>
      </x:c>
      <x:c r="R479" s="117" t="str">
        <x:v>unmanaged</x:v>
      </x:c>
      <x:c r="S479" s="118" t="n">
        <x:v>1</x:v>
      </x:c>
      <x:c r="T479" s="118" t="n">
        <x:v>4</x:v>
      </x:c>
      <x:c r="U479" s="118" t="n">
        <x:v>2</x:v>
      </x:c>
      <x:c r="V479" s="118" t="n">
        <x:v>0</x:v>
      </x:c>
      <x:c r="W479" s="118" t="n">
        <x:v>0</x:v>
      </x:c>
      <x:c r="X479" s="118" t="n">
        <x:v>0</x:v>
      </x:c>
      <x:c r="Y479" s="118" t="n">
        <x:v>1</x:v>
      </x:c>
      <x:c r="Z479" s="117" t="str">
        <x:v>Strong</x:v>
      </x:c>
      <x:c r="AA479" s="120" t="n">
        <x:v>46177.11329861111</x:v>
      </x:c>
      <x:c r="AB479" s="117" t="str">
        <x:v>Delegate</x:v>
      </x:c>
      <x:c r="AC479" s="119" t="str">
        <x:v>06/03/26 (GD) – Replaces DLRS Rental_Order_Price rule (on delete). Runs synchronously before delete (Salesforce does not support async after-delete flows). Queries remaining ProductItems on the Rental Order (excluding the record being deleted) and writes the summed Sales_Price__c to Rental_Order__c.Rental_Amount__c. Entry criteria guards against null Rental_Order__c to avoid unnecessary SOQL.</x:v>
      </x:c>
      <x:c r="AD479" s="119" t="str"/>
    </x:row>
    <x:row r="480" ht="34" customHeight="1">
      <x:c r="A480" s="117" t="str">
        <x:v>300Ro00000yxeS2IAI</x:v>
      </x:c>
      <x:c r="B480" s="117" t="str">
        <x:v>ProductItem_Before_delete_Starting_Bid_Roll_Up</x:v>
      </x:c>
      <x:c r="C480" s="117" t="str">
        <x:v>ProductItem | Before delete, Starting Bid Roll Up</x:v>
      </x:c>
      <x:c r="D480" s="117" t="str">
        <x:v>Yes</x:v>
      </x:c>
      <x:c r="E480" s="118" t="n">
        <x:v>2</x:v>
      </x:c>
      <x:c r="F480" s="118" t="n">
        <x:v>2</x:v>
      </x:c>
      <x:c r="G480" s="117" t="str">
        <x:v>Yes</x:v>
      </x:c>
      <x:c r="H480" s="119" t="str">
        <x:v>Active v2 (Retrieved XML)</x:v>
      </x:c>
      <x:c r="I480" s="117" t="str">
        <x:v>AutoLaunchedFlow</x:v>
      </x:c>
      <x:c r="J480" s="117" t="str">
        <x:v>ProductItem__c</x:v>
      </x:c>
      <x:c r="K480" s="117" t="str">
        <x:v>Yes</x:v>
      </x:c>
      <x:c r="L480" s="117" t="str">
        <x:v>Delete</x:v>
      </x:c>
      <x:c r="M480" s="117" t="str">
        <x:v>RecordBeforeDelete</x:v>
      </x:c>
      <x:c r="N480" s="117"/>
      <x:c r="O480" s="117"/>
      <x:c r="P480" s="117" t="str"/>
      <x:c r="Q480" s="117" t="str">
        <x:v>57.0</x:v>
      </x:c>
      <x:c r="R480" s="117" t="str">
        <x:v>unmanaged</x:v>
      </x:c>
      <x:c r="S480" s="118" t="n">
        <x:v>2</x:v>
      </x:c>
      <x:c r="T480" s="118" t="n">
        <x:v>4</x:v>
      </x:c>
      <x:c r="U480" s="118" t="n">
        <x:v>2</x:v>
      </x:c>
      <x:c r="V480" s="118" t="n">
        <x:v>0</x:v>
      </x:c>
      <x:c r="W480" s="118" t="n">
        <x:v>0</x:v>
      </x:c>
      <x:c r="X480" s="118" t="n">
        <x:v>0</x:v>
      </x:c>
      <x:c r="Y480" s="118" t="n">
        <x:v>1</x:v>
      </x:c>
      <x:c r="Z480" s="117" t="str">
        <x:v>Strong</x:v>
      </x:c>
      <x:c r="AA480" s="120" t="n">
        <x:v>46174.75519675926</x:v>
      </x:c>
      <x:c r="AB480" s="117" t="str">
        <x:v>Delegate</x:v>
      </x:c>
      <x:c r="AC480" s="119" t="str">
        <x:v>06/01/26 (GD) – Created to replace the DLRS Starting_Bid rollup (on delete). Runs synchronously before delete. Queries remaining ProductItems on the Purchasing Opportunity (excluding the record being deleted) and writes the summed Starting_Bid__c to Opportunity.Starting_Bid__c.</x:v>
      </x:c>
      <x:c r="AD480" s="119" t="str"/>
    </x:row>
    <x:row r="481" ht="34" customHeight="1">
      <x:c r="A481" s="117" t="str">
        <x:v>300Ro00000yyHEpIAM</x:v>
      </x:c>
      <x:c r="B481" s="117" t="str">
        <x:v>ProductItem_on_update_Pur_Op_Total_Cost_of_Unsold_Assets_Roll_Up</x:v>
      </x:c>
      <x:c r="C481" s="117" t="str">
        <x:v>ProductItem | on update, Pur Op Total Cost of Unsold Assets Roll Up</x:v>
      </x:c>
      <x:c r="D481" s="117" t="str">
        <x:v>Yes</x:v>
      </x:c>
      <x:c r="E481" s="118" t="n">
        <x:v>2</x:v>
      </x:c>
      <x:c r="F481" s="118" t="n">
        <x:v>2</x:v>
      </x:c>
      <x:c r="G481" s="117" t="str">
        <x:v>Yes</x:v>
      </x:c>
      <x:c r="H481" s="119" t="str">
        <x:v>Active v2 (Retrieved XML)</x:v>
      </x:c>
      <x:c r="I481" s="117" t="str">
        <x:v>AutoLaunchedFlow</x:v>
      </x:c>
      <x:c r="J481" s="117" t="str">
        <x:v>ProductItem__c</x:v>
      </x:c>
      <x:c r="K481" s="117" t="str">
        <x:v>Yes</x:v>
      </x:c>
      <x:c r="L481" s="117" t="str">
        <x:v>Update</x:v>
      </x:c>
      <x:c r="M481" s="117" t="str">
        <x:v>RecordAfterSave</x:v>
      </x:c>
      <x:c r="N481" s="117"/>
      <x:c r="O481" s="117"/>
      <x:c r="P481" s="117" t="str"/>
      <x:c r="Q481" s="117" t="str">
        <x:v>62.0</x:v>
      </x:c>
      <x:c r="R481" s="117" t="str">
        <x:v>unmanaged</x:v>
      </x:c>
      <x:c r="S481" s="118" t="n">
        <x:v>2</x:v>
      </x:c>
      <x:c r="T481" s="118" t="n">
        <x:v>13</x:v>
      </x:c>
      <x:c r="U481" s="118" t="n">
        <x:v>2</x:v>
      </x:c>
      <x:c r="V481" s="118" t="n">
        <x:v>0</x:v>
      </x:c>
      <x:c r="W481" s="118" t="n">
        <x:v>4</x:v>
      </x:c>
      <x:c r="X481" s="118" t="n">
        <x:v>0</x:v>
      </x:c>
      <x:c r="Y481" s="118" t="n">
        <x:v>1</x:v>
      </x:c>
      <x:c r="Z481" s="117" t="str">
        <x:v>Strong</x:v>
      </x:c>
      <x:c r="AA481" s="120" t="n">
        <x:v>46199.193773148145</x:v>
      </x:c>
      <x:c r="AB481" s="117" t="str">
        <x:v>Natalie Boger</x:v>
      </x:c>
      <x:c r="AC481" s="119" t="str">
        <x:v>6.25.26 - Added bypass opp trigger invocable methods to avoid SOQL limit errors. NB</x:v>
      </x:c>
      <x:c r="AD481" s="119" t="str"/>
    </x:row>
    <x:row r="482" ht="34" customHeight="1">
      <x:c r="A482" s="117" t="str">
        <x:v>300Ro00000yyBCaIAM</x:v>
      </x:c>
      <x:c r="B482" s="117" t="str">
        <x:v>ProductItem_on_update_Pur_Op_Total_Cost_Roll_Up</x:v>
      </x:c>
      <x:c r="C482" s="117" t="str">
        <x:v>ProductItem | on update, Pur Op Total Cost Roll Up</x:v>
      </x:c>
      <x:c r="D482" s="117" t="str">
        <x:v>Yes</x:v>
      </x:c>
      <x:c r="E482" s="118" t="n">
        <x:v>1</x:v>
      </x:c>
      <x:c r="F482" s="118" t="n">
        <x:v>1</x:v>
      </x:c>
      <x:c r="G482" s="117" t="str">
        <x:v>Yes</x:v>
      </x:c>
      <x:c r="H482" s="119" t="str">
        <x:v>Active v1 (Retrieved XML)</x:v>
      </x:c>
      <x:c r="I482" s="117" t="str">
        <x:v>AutoLaunchedFlow</x:v>
      </x:c>
      <x:c r="J482" s="117" t="str">
        <x:v>ProductItem__c</x:v>
      </x:c>
      <x:c r="K482" s="117" t="str">
        <x:v>Yes</x:v>
      </x:c>
      <x:c r="L482" s="117" t="str">
        <x:v>Update</x:v>
      </x:c>
      <x:c r="M482" s="117" t="str">
        <x:v>RecordAfterSave</x:v>
      </x:c>
      <x:c r="N482" s="117"/>
      <x:c r="O482" s="117"/>
      <x:c r="P482" s="117" t="str"/>
      <x:c r="Q482" s="117" t="str">
        <x:v>62.0</x:v>
      </x:c>
      <x:c r="R482" s="117" t="str">
        <x:v>unmanaged</x:v>
      </x:c>
      <x:c r="S482" s="118" t="n">
        <x:v>1</x:v>
      </x:c>
      <x:c r="T482" s="118" t="n">
        <x:v>9</x:v>
      </x:c>
      <x:c r="U482" s="118" t="n">
        <x:v>2</x:v>
      </x:c>
      <x:c r="V482" s="118" t="n">
        <x:v>0</x:v>
      </x:c>
      <x:c r="W482" s="118" t="n">
        <x:v>0</x:v>
      </x:c>
      <x:c r="X482" s="118" t="n">
        <x:v>0</x:v>
      </x:c>
      <x:c r="Y482" s="118" t="n">
        <x:v>1</x:v>
      </x:c>
      <x:c r="Z482" s="117" t="str">
        <x:v>Strong</x:v>
      </x:c>
      <x:c r="AA482" s="120" t="n">
        <x:v>46174.781851851854</x:v>
      </x:c>
      <x:c r="AB482" s="117" t="str">
        <x:v>Delegate</x:v>
      </x:c>
      <x:c r="AC482" s="119" t="str">
        <x:v>06/01/26 (GD) – Replaces DLRS TotalCostOfAssetsOnPurchasingOp rule. On update when Cost__c or Purchasing_Opportunity__c changes, sums ProductItem__c.Cost__c onto Opportunity.Total_Cost_of_Assets__c. Runs synchronously to support reparenting via $Record__Prior. On reparent, updates both old and new Opportunity.</x:v>
      </x:c>
      <x:c r="AD482" s="119" t="str"/>
    </x:row>
    <x:row r="483" ht="34" customHeight="1">
      <x:c r="A483" s="117" t="str">
        <x:v>300Ro00000yzeimIAA</x:v>
      </x:c>
      <x:c r="B483" s="117" t="str">
        <x:v>ProductItem_on_update_Pur_Op_Working_Capital_Usage_Days_Roll_Up</x:v>
      </x:c>
      <x:c r="C483" s="117" t="str">
        <x:v>ProductItem | on update, Pur Op Working Capital Usage Days Roll Up</x:v>
      </x:c>
      <x:c r="D483" s="117" t="str">
        <x:v>Yes</x:v>
      </x:c>
      <x:c r="E483" s="118" t="n">
        <x:v>1</x:v>
      </x:c>
      <x:c r="F483" s="118" t="n">
        <x:v>1</x:v>
      </x:c>
      <x:c r="G483" s="117" t="str">
        <x:v>Yes</x:v>
      </x:c>
      <x:c r="H483" s="119" t="str">
        <x:v>Active v1 (Retrieved XML)</x:v>
      </x:c>
      <x:c r="I483" s="117" t="str">
        <x:v>AutoLaunchedFlow</x:v>
      </x:c>
      <x:c r="J483" s="117" t="str">
        <x:v>ProductItem__c</x:v>
      </x:c>
      <x:c r="K483" s="117" t="str">
        <x:v>Yes</x:v>
      </x:c>
      <x:c r="L483" s="117" t="str">
        <x:v>Update</x:v>
      </x:c>
      <x:c r="M483" s="117" t="str">
        <x:v>RecordAfterSave</x:v>
      </x:c>
      <x:c r="N483" s="117"/>
      <x:c r="O483" s="117"/>
      <x:c r="P483" s="117" t="str"/>
      <x:c r="Q483" s="117" t="str">
        <x:v>62.0</x:v>
      </x:c>
      <x:c r="R483" s="117" t="str">
        <x:v>unmanaged</x:v>
      </x:c>
      <x:c r="S483" s="118" t="n">
        <x:v>1</x:v>
      </x:c>
      <x:c r="T483" s="118" t="n">
        <x:v>15</x:v>
      </x:c>
      <x:c r="U483" s="118" t="n">
        <x:v>2</x:v>
      </x:c>
      <x:c r="V483" s="118" t="n">
        <x:v>0</x:v>
      </x:c>
      <x:c r="W483" s="118" t="n">
        <x:v>0</x:v>
      </x:c>
      <x:c r="X483" s="118" t="n">
        <x:v>0</x:v>
      </x:c>
      <x:c r="Y483" s="118" t="n">
        <x:v>2</x:v>
      </x:c>
      <x:c r="Z483" s="117" t="str">
        <x:v>Strong</x:v>
      </x:c>
      <x:c r="AA483" s="120" t="n">
        <x:v>46174.953888888886</x:v>
      </x:c>
      <x:c r="AB483" s="117" t="str">
        <x:v>Delegate</x:v>
      </x:c>
      <x:c r="AC483" s="119" t="str">
        <x:v>06/01/26 (GD) – Replaces DLRS Working_Capital_Usage_Days_Roll_Up rule. On update when Working_Capital_Usage_Days__c or Purchasing_Opportunity__c changes, averages ProductItem__c.Working_Capital_Usage_Days__c onto Opportunity.Working_Capital_Usage_Days__c. Only includes records where Working_Capital_Usage_Days__c is not null. Sets parent to null when no qualifying records exist. Runs synchronously to support reparenting via $Record__Prior. On reparent, updates both old and new Opportunity.</x:v>
      </x:c>
      <x:c r="AD483" s="119" t="str"/>
    </x:row>
    <x:row r="484" ht="34" customHeight="1">
      <x:c r="A484" s="117" t="str">
        <x:v>300Ro00000zDVJ1IAO</x:v>
      </x:c>
      <x:c r="B484" s="117" t="str">
        <x:v>ProductItem_on_update_Rental_Order_Price_Roll_Up</x:v>
      </x:c>
      <x:c r="C484" s="117" t="str">
        <x:v>ProductItem | on update, Rental Order Price Roll Up</x:v>
      </x:c>
      <x:c r="D484" s="117" t="str">
        <x:v>Yes</x:v>
      </x:c>
      <x:c r="E484" s="118" t="n">
        <x:v>1</x:v>
      </x:c>
      <x:c r="F484" s="118" t="n">
        <x:v>1</x:v>
      </x:c>
      <x:c r="G484" s="117" t="str">
        <x:v>Yes</x:v>
      </x:c>
      <x:c r="H484" s="119" t="str">
        <x:v>Active v1 (Retrieved XML)</x:v>
      </x:c>
      <x:c r="I484" s="117" t="str">
        <x:v>AutoLaunchedFlow</x:v>
      </x:c>
      <x:c r="J484" s="117" t="str">
        <x:v>ProductItem__c</x:v>
      </x:c>
      <x:c r="K484" s="117" t="str">
        <x:v>Yes</x:v>
      </x:c>
      <x:c r="L484" s="117" t="str">
        <x:v>Update</x:v>
      </x:c>
      <x:c r="M484" s="117" t="str">
        <x:v>RecordAfterSave</x:v>
      </x:c>
      <x:c r="N484" s="117"/>
      <x:c r="O484" s="117"/>
      <x:c r="P484" s="117" t="str"/>
      <x:c r="Q484" s="117" t="str">
        <x:v>66.0</x:v>
      </x:c>
      <x:c r="R484" s="117" t="str">
        <x:v>unmanaged</x:v>
      </x:c>
      <x:c r="S484" s="118" t="n">
        <x:v>1</x:v>
      </x:c>
      <x:c r="T484" s="118" t="n">
        <x:v>9</x:v>
      </x:c>
      <x:c r="U484" s="118" t="n">
        <x:v>2</x:v>
      </x:c>
      <x:c r="V484" s="118" t="n">
        <x:v>0</x:v>
      </x:c>
      <x:c r="W484" s="118" t="n">
        <x:v>0</x:v>
      </x:c>
      <x:c r="X484" s="118" t="n">
        <x:v>0</x:v>
      </x:c>
      <x:c r="Y484" s="118" t="n">
        <x:v>1</x:v>
      </x:c>
      <x:c r="Z484" s="117" t="str">
        <x:v>Strong</x:v>
      </x:c>
      <x:c r="AA484" s="120" t="n">
        <x:v>46177.11326388889</x:v>
      </x:c>
      <x:c r="AB484" s="117" t="str">
        <x:v>Delegate</x:v>
      </x:c>
      <x:c r="AC484" s="119" t="str">
        <x:v>06/03/26 (GD) – Replaces DLRS Rental_Order_Price rule (on update). When Sales_Price__c or Rental_Order__c changes, recalculates Rental_Order__c.Rental_Amount__c. Runs synchronously to support reparenting via $Record__Prior. On reparent, updates both the old and new Rental Order.</x:v>
      </x:c>
      <x:c r="AD484" s="119" t="str"/>
    </x:row>
    <x:row r="485" ht="34" customHeight="1">
      <x:c r="A485" s="117" t="str">
        <x:v>3005b000000LJCEAA4</x:v>
      </x:c>
      <x:c r="B485" s="117" t="str">
        <x:v>ProductUpdatesFlow</x:v>
      </x:c>
      <x:c r="C485" s="117" t="str">
        <x:v>ProductUpdatesFlow</x:v>
      </x:c>
      <x:c r="D485" s="117" t="str">
        <x:v>Yes</x:v>
      </x:c>
      <x:c r="E485" s="118" t="n">
        <x:v>14</x:v>
      </x:c>
      <x:c r="F485" s="118" t="n">
        <x:v>14</x:v>
      </x:c>
      <x:c r="G485" s="117" t="str">
        <x:v>Yes</x:v>
      </x:c>
      <x:c r="H485" s="119" t="str">
        <x:v>Active v14 (Retrieved XML)</x:v>
      </x:c>
      <x:c r="I485" s="117" t="str">
        <x:v>AutoLaunchedFlow</x:v>
      </x:c>
      <x:c r="J485" s="117" t="str">
        <x:v>Product2</x:v>
      </x:c>
      <x:c r="K485" s="117" t="str">
        <x:v>Yes</x:v>
      </x:c>
      <x:c r="L485" s="117" t="str">
        <x:v>Update</x:v>
      </x:c>
      <x:c r="M485" s="117" t="str">
        <x:v>RecordAfterSave</x:v>
      </x:c>
      <x:c r="N485" s="117"/>
      <x:c r="O485" s="117"/>
      <x:c r="P485" s="117" t="str"/>
      <x:c r="Q485" s="117" t="str">
        <x:v>58.0</x:v>
      </x:c>
      <x:c r="R485" s="117" t="str">
        <x:v>unmanaged</x:v>
      </x:c>
      <x:c r="S485" s="118" t="n">
        <x:v>14</x:v>
      </x:c>
      <x:c r="T485" s="118" t="n">
        <x:v>19</x:v>
      </x:c>
      <x:c r="U485" s="118" t="n">
        <x:v>2</x:v>
      </x:c>
      <x:c r="V485" s="118" t="n">
        <x:v>0</x:v>
      </x:c>
      <x:c r="W485" s="118" t="n">
        <x:v>0</x:v>
      </x:c>
      <x:c r="X485" s="118" t="n">
        <x:v>0</x:v>
      </x:c>
      <x:c r="Y485" s="118" t="n">
        <x:v>2</x:v>
      </x:c>
      <x:c r="Z485" s="117" t="str">
        <x:v>Isolated lane</x:v>
      </x:c>
      <x:c r="AA485" s="120" t="n">
        <x:v>46063.756898148145</x:v>
      </x:c>
      <x:c r="AB485" s="117" t="str">
        <x:v>Steve Dodd</x:v>
      </x:c>
      <x:c r="AC485" s="119" t="str">
        <x:v>08/13/2025 (BW) - Updated so that the system always creates pricebook entries for each pricebook, even if those are 0</x:v>
      </x:c>
      <x:c r="AD485" s="119" t="str"/>
    </x:row>
    <x:row r="486" ht="34" customHeight="1">
      <x:c r="A486" s="117" t="str">
        <x:v>300Ro000007doaaIAA</x:v>
      </x:c>
      <x:c r="B486" s="117" t="str">
        <x:v>Project_Expenses_Rollups</x:v>
      </x:c>
      <x:c r="C486" s="117" t="str">
        <x:v>Project Expenses Rollups</x:v>
      </x:c>
      <x:c r="D486" s="117" t="str">
        <x:v>Yes</x:v>
      </x:c>
      <x:c r="E486" s="118" t="n">
        <x:v>1</x:v>
      </x:c>
      <x:c r="F486" s="118" t="n">
        <x:v>1</x:v>
      </x:c>
      <x:c r="G486" s="117" t="str">
        <x:v>Yes</x:v>
      </x:c>
      <x:c r="H486" s="119" t="str">
        <x:v>Active v1 (Retrieved XML)</x:v>
      </x:c>
      <x:c r="I486" s="117" t="str">
        <x:v>AutoLaunchedFlow</x:v>
      </x:c>
      <x:c r="J486" s="117" t="str">
        <x:v>Project_Expense__c</x:v>
      </x:c>
      <x:c r="K486" s="117" t="str">
        <x:v>Yes</x:v>
      </x:c>
      <x:c r="L486" s="117" t="str">
        <x:v>CreateAndUpdate</x:v>
      </x:c>
      <x:c r="M486" s="117" t="str">
        <x:v>RecordAfterSave</x:v>
      </x:c>
      <x:c r="N486" s="117"/>
      <x:c r="O486" s="117"/>
      <x:c r="P486" s="117" t="str"/>
      <x:c r="Q486" s="117" t="str">
        <x:v>57.0</x:v>
      </x:c>
      <x:c r="R486" s="117" t="str">
        <x:v>unmanaged</x:v>
      </x:c>
      <x:c r="S486" s="118" t="n">
        <x:v>1</x:v>
      </x:c>
      <x:c r="T486" s="118" t="n">
        <x:v>7</x:v>
      </x:c>
      <x:c r="U486" s="118" t="n">
        <x:v>2</x:v>
      </x:c>
      <x:c r="V486" s="118" t="n">
        <x:v>0</x:v>
      </x:c>
      <x:c r="W486" s="118" t="n">
        <x:v>0</x:v>
      </x:c>
      <x:c r="X486" s="118" t="n">
        <x:v>0</x:v>
      </x:c>
      <x:c r="Y486" s="118" t="n">
        <x:v>1</x:v>
      </x:c>
      <x:c r="Z486" s="117" t="str">
        <x:v>Isolated lane</x:v>
      </x:c>
      <x:c r="AA486" s="120" t="n">
        <x:v>45448.09061342593</x:v>
      </x:c>
      <x:c r="AB486" s="117" t="str">
        <x:v>Delegate</x:v>
      </x:c>
      <x:c r="AC486" s="119" t="str"/>
      <x:c r="AD486" s="119" t="str">
        <x:v>Active flow has no description</x:v>
      </x:c>
    </x:row>
    <x:row r="487" ht="34" customHeight="1">
      <x:c r="A487" s="117" t="str">
        <x:v>3005b000000LHepAAG</x:v>
      </x:c>
      <x:c r="B487" s="117" t="str">
        <x:v>Project_Flow_to_Calculate_Removal_Shipping_Costs</x:v>
      </x:c>
      <x:c r="C487" s="117" t="str">
        <x:v>Project Flow to Calculate Removal/Shipping Costs</x:v>
      </x:c>
      <x:c r="D487" s="117" t="str">
        <x:v>No</x:v>
      </x:c>
      <x:c r="E487" s="118"/>
      <x:c r="F487" s="118" t="n">
        <x:v>1</x:v>
      </x:c>
      <x:c r="G487" s="117" t="str">
        <x:v>N/A</x:v>
      </x:c>
      <x:c r="H487" s="119" t="str">
        <x:v>Latest inactive v1 (Retrieved XML)</x:v>
      </x:c>
      <x:c r="I487" s="117" t="str">
        <x:v>AutoLaunchedFlow</x:v>
      </x:c>
      <x:c r="J487" s="117" t="str">
        <x:v>Project__c</x:v>
      </x:c>
      <x:c r="K487" s="117" t="str">
        <x:v>No</x:v>
      </x:c>
      <x:c r="L487" s="117" t="str">
        <x:v>CreateAndUpdate</x:v>
      </x:c>
      <x:c r="M487" s="117" t="str">
        <x:v>RecordAfterSave</x:v>
      </x:c>
      <x:c r="N487" s="117"/>
      <x:c r="O487" s="117"/>
      <x:c r="P487" s="117" t="str"/>
      <x:c r="Q487" s="117" t="str">
        <x:v>56.0</x:v>
      </x:c>
      <x:c r="R487" s="117" t="str">
        <x:v>unmanaged</x:v>
      </x:c>
      <x:c r="S487" s="118" t="n">
        <x:v>1</x:v>
      </x:c>
      <x:c r="T487" s="118" t="n">
        <x:v>35</x:v>
      </x:c>
      <x:c r="U487" s="118" t="n">
        <x:v>1</x:v>
      </x:c>
      <x:c r="V487" s="118" t="n">
        <x:v>0</x:v>
      </x:c>
      <x:c r="W487" s="118" t="n">
        <x:v>0</x:v>
      </x:c>
      <x:c r="X487" s="118" t="n">
        <x:v>0</x:v>
      </x:c>
      <x:c r="Y487" s="118" t="n">
        <x:v>3</x:v>
      </x:c>
      <x:c r="Z487" s="117" t="str">
        <x:v>N/A</x:v>
      </x:c>
      <x:c r="AA487" s="120" t="n">
        <x:v>44938.64350694444</x:v>
      </x:c>
      <x:c r="AB487" s="117" t="str">
        <x:v>Jace Gentil</x:v>
      </x:c>
      <x:c r="AC487" s="119" t="str"/>
      <x:c r="AD487" s="119" t="str">
        <x:v>High element count</x:v>
      </x:c>
    </x:row>
    <x:row r="488" ht="34" customHeight="1">
      <x:c r="A488" s="117" t="str">
        <x:v>300Ro000006dI4tIAE</x:v>
      </x:c>
      <x:c r="B488" s="117" t="str">
        <x:v>Purchasing_Opportunity_Field_Updates_Flow</x:v>
      </x:c>
      <x:c r="C488" s="117" t="str">
        <x:v>Purchasing Opportunity Field Updates Flow</x:v>
      </x:c>
      <x:c r="D488" s="117" t="str">
        <x:v>Yes</x:v>
      </x:c>
      <x:c r="E488" s="118" t="n">
        <x:v>15</x:v>
      </x:c>
      <x:c r="F488" s="118" t="n">
        <x:v>15</x:v>
      </x:c>
      <x:c r="G488" s="117" t="str">
        <x:v>Yes</x:v>
      </x:c>
      <x:c r="H488" s="119" t="str">
        <x:v>Active v15 (Retrieved XML)</x:v>
      </x:c>
      <x:c r="I488" s="117" t="str">
        <x:v>AutoLaunchedFlow</x:v>
      </x:c>
      <x:c r="J488" s="117" t="str">
        <x:v>Opportunity</x:v>
      </x:c>
      <x:c r="K488" s="117" t="str">
        <x:v>Yes</x:v>
      </x:c>
      <x:c r="L488" s="117" t="str">
        <x:v>Update</x:v>
      </x:c>
      <x:c r="M488" s="117" t="str">
        <x:v>RecordAfterSave</x:v>
      </x:c>
      <x:c r="N488" s="117"/>
      <x:c r="O488" s="117"/>
      <x:c r="P488" s="117" t="str"/>
      <x:c r="Q488" s="117" t="str">
        <x:v>60.0</x:v>
      </x:c>
      <x:c r="R488" s="117" t="str">
        <x:v>unmanaged</x:v>
      </x:c>
      <x:c r="S488" s="118" t="n">
        <x:v>15</x:v>
      </x:c>
      <x:c r="T488" s="118" t="n">
        <x:v>17</x:v>
      </x:c>
      <x:c r="U488" s="118" t="n">
        <x:v>3</x:v>
      </x:c>
      <x:c r="V488" s="118" t="n">
        <x:v>0</x:v>
      </x:c>
      <x:c r="W488" s="118" t="n">
        <x:v>0</x:v>
      </x:c>
      <x:c r="X488" s="118" t="n">
        <x:v>0</x:v>
      </x:c>
      <x:c r="Y488" s="118" t="n">
        <x:v>3</x:v>
      </x:c>
      <x:c r="Z488" s="117" t="str">
        <x:v>Strong</x:v>
      </x:c>
      <x:c r="AA488" s="120" t="n">
        <x:v>45831.803125</x:v>
      </x:c>
      <x:c r="AB488" s="117" t="str">
        <x:v>Bill Hagarty</x:v>
      </x:c>
      <x:c r="AC488" s="119" t="str">
        <x:v>Change entry criteria conditional logic from "AND( 6 OR 7) OR 8" to "AND( 6 OR 7 OR 8)"</x:v>
      </x:c>
      <x:c r="AD488" s="119" t="str"/>
    </x:row>
    <x:row r="489" ht="34" customHeight="1">
      <x:c r="A489" s="117" t="str">
        <x:v>3004O000000LOr9QAG</x:v>
      </x:c>
      <x:c r="B489" s="117" t="str">
        <x:v>Purchasing_Return_Update_Fields</x:v>
      </x:c>
      <x:c r="C489" s="117" t="str">
        <x:v>Purchasing Return Update Fields</x:v>
      </x:c>
      <x:c r="D489" s="117" t="str">
        <x:v>No</x:v>
      </x:c>
      <x:c r="E489" s="118"/>
      <x:c r="F489" s="118" t="n">
        <x:v>2</x:v>
      </x:c>
      <x:c r="G489" s="117" t="str">
        <x:v>N/A</x:v>
      </x:c>
      <x:c r="H489" s="119" t="str">
        <x:v>Latest inactive v2 (Retrieved XML)</x:v>
      </x:c>
      <x:c r="I489" s="117" t="str">
        <x:v>Workflow</x:v>
      </x:c>
      <x:c r="J489" s="117" t="str"/>
      <x:c r="K489" s="117" t="str">
        <x:v>No</x:v>
      </x:c>
      <x:c r="L489" s="117" t="str"/>
      <x:c r="M489" s="117" t="str"/>
      <x:c r="N489" s="117"/>
      <x:c r="O489" s="117"/>
      <x:c r="P489" s="117" t="str"/>
      <x:c r="Q489" s="117" t="str">
        <x:v>50.0</x:v>
      </x:c>
      <x:c r="R489" s="117" t="str">
        <x:v>unmanaged</x:v>
      </x:c>
      <x:c r="S489" s="118" t="n">
        <x:v>2</x:v>
      </x:c>
      <x:c r="T489" s="118" t="n">
        <x:v>8</x:v>
      </x:c>
      <x:c r="U489" s="118" t="n">
        <x:v>1</x:v>
      </x:c>
      <x:c r="V489" s="118" t="n">
        <x:v>0</x:v>
      </x:c>
      <x:c r="W489" s="118" t="n">
        <x:v>1</x:v>
      </x:c>
      <x:c r="X489" s="118" t="n">
        <x:v>0</x:v>
      </x:c>
      <x:c r="Y489" s="118" t="n">
        <x:v>1</x:v>
      </x:c>
      <x:c r="Z489" s="117" t="str">
        <x:v>N/A</x:v>
      </x:c>
      <x:c r="AA489" s="120" t="n">
        <x:v>45600.21026620371</x:v>
      </x:c>
      <x:c r="AB489" s="117" t="str">
        <x:v>Delegate</x:v>
      </x:c>
      <x:c r="AC489" s="119" t="str"/>
      <x:c r="AD489" s="119" t="str"/>
    </x:row>
    <x:row r="490" ht="34" customHeight="1">
      <x:c r="A490" s="117" t="str">
        <x:v>3005b000000H3hXAAS</x:v>
      </x:c>
      <x:c r="B490" s="117" t="str">
        <x:v>QA_Required_Auto_Update_from_Assets_for_UK</x:v>
      </x:c>
      <x:c r="C490" s="117" t="str">
        <x:v>QA Required Auto-Update from Assets for UK</x:v>
      </x:c>
      <x:c r="D490" s="117" t="str">
        <x:v>Yes</x:v>
      </x:c>
      <x:c r="E490" s="118" t="n">
        <x:v>4</x:v>
      </x:c>
      <x:c r="F490" s="118" t="n">
        <x:v>4</x:v>
      </x:c>
      <x:c r="G490" s="117" t="str">
        <x:v>Yes</x:v>
      </x:c>
      <x:c r="H490" s="119" t="str">
        <x:v>Active v4 (Retrieved XML)</x:v>
      </x:c>
      <x:c r="I490" s="117" t="str">
        <x:v>AutoLaunchedFlow</x:v>
      </x:c>
      <x:c r="J490" s="117" t="str">
        <x:v>ProductItem__c</x:v>
      </x:c>
      <x:c r="K490" s="117" t="str">
        <x:v>Yes</x:v>
      </x:c>
      <x:c r="L490" s="117" t="str">
        <x:v>Update</x:v>
      </x:c>
      <x:c r="M490" s="117" t="str">
        <x:v>RecordAfterSave</x:v>
      </x:c>
      <x:c r="N490" s="117"/>
      <x:c r="O490" s="117"/>
      <x:c r="P490" s="117" t="str"/>
      <x:c r="Q490" s="117" t="str">
        <x:v>54.0</x:v>
      </x:c>
      <x:c r="R490" s="117" t="str">
        <x:v>unmanaged</x:v>
      </x:c>
      <x:c r="S490" s="118" t="n">
        <x:v>4</x:v>
      </x:c>
      <x:c r="T490" s="118" t="n">
        <x:v>8</x:v>
      </x:c>
      <x:c r="U490" s="118" t="n">
        <x:v>2</x:v>
      </x:c>
      <x:c r="V490" s="118" t="n">
        <x:v>0</x:v>
      </x:c>
      <x:c r="W490" s="118" t="n">
        <x:v>0</x:v>
      </x:c>
      <x:c r="X490" s="118" t="n">
        <x:v>0</x:v>
      </x:c>
      <x:c r="Y490" s="118" t="n">
        <x:v>1</x:v>
      </x:c>
      <x:c r="Z490" s="117" t="str">
        <x:v>Strong</x:v>
      </x:c>
      <x:c r="AA490" s="120" t="n">
        <x:v>45405.479155092595</x:v>
      </x:c>
      <x:c r="AB490" s="117" t="str">
        <x:v>Delegate</x:v>
      </x:c>
      <x:c r="AC490" s="119" t="str">
        <x:v>04/23/24 (BW) - Updated this flow to run asynchronously and only run off the asset, not off the opportunity</x:v>
      </x:c>
      <x:c r="AD490" s="119" t="str"/>
    </x:row>
    <x:row r="491" ht="34" customHeight="1">
      <x:c r="A491" s="117" t="str">
        <x:v>3005b000000LGwJAAW</x:v>
      </x:c>
      <x:c r="B491" s="117" t="str">
        <x:v>Radiology_Basic_Product_Test_Screen_Flow_UK</x:v>
      </x:c>
      <x:c r="C491" s="117" t="str">
        <x:v>Radiology Basic Product Test Screen Flow - UK</x:v>
      </x:c>
      <x:c r="D491" s="117" t="str">
        <x:v>Yes</x:v>
      </x:c>
      <x:c r="E491" s="118" t="n">
        <x:v>11</x:v>
      </x:c>
      <x:c r="F491" s="118" t="n">
        <x:v>11</x:v>
      </x:c>
      <x:c r="G491" s="117" t="str">
        <x:v>Yes</x:v>
      </x:c>
      <x:c r="H491" s="119" t="str">
        <x:v>Active v11 (Retrieved XML)</x:v>
      </x:c>
      <x:c r="I491" s="117" t="str">
        <x:v>Flow</x:v>
      </x:c>
      <x:c r="J491" s="117" t="str"/>
      <x:c r="K491" s="117" t="str">
        <x:v>No</x:v>
      </x:c>
      <x:c r="L491" s="117" t="str"/>
      <x:c r="M491" s="117" t="str"/>
      <x:c r="N491" s="117"/>
      <x:c r="O491" s="117"/>
      <x:c r="P491" s="117" t="str"/>
      <x:c r="Q491" s="117" t="str">
        <x:v>56.0</x:v>
      </x:c>
      <x:c r="R491" s="117" t="str">
        <x:v>unmanaged</x:v>
      </x:c>
      <x:c r="S491" s="118" t="n">
        <x:v>11</x:v>
      </x:c>
      <x:c r="T491" s="118" t="n">
        <x:v>6</x:v>
      </x:c>
      <x:c r="U491" s="118" t="n">
        <x:v>2</x:v>
      </x:c>
      <x:c r="V491" s="118" t="n">
        <x:v>0</x:v>
      </x:c>
      <x:c r="W491" s="118" t="n">
        <x:v>0</x:v>
      </x:c>
      <x:c r="X491" s="118" t="n">
        <x:v>1</x:v>
      </x:c>
      <x:c r="Y491" s="118" t="n">
        <x:v>1</x:v>
      </x:c>
      <x:c r="Z491" s="117" t="str">
        <x:v>N/A</x:v>
      </x:c>
      <x:c r="AA491" s="120" t="n">
        <x:v>45686.372465277775</x:v>
      </x:c>
      <x:c r="AB491" s="117" t="str">
        <x:v>Jon Kean</x:v>
      </x:c>
      <x:c r="AC491" s="119" t="str"/>
      <x:c r="AD491" s="119" t="str">
        <x:v>Active flow has no description</x:v>
      </x:c>
    </x:row>
    <x:row r="492" ht="34" customHeight="1">
      <x:c r="A492" s="117" t="str">
        <x:v>3005b000000LHqCAAW</x:v>
      </x:c>
      <x:c r="B492" s="117" t="str">
        <x:v>Re_submit_for_Accounting_Approval</x:v>
      </x:c>
      <x:c r="C492" s="117" t="str">
        <x:v>Re-submit for Accounting Approval</x:v>
      </x:c>
      <x:c r="D492" s="117" t="str">
        <x:v>Yes</x:v>
      </x:c>
      <x:c r="E492" s="118" t="n">
        <x:v>1</x:v>
      </x:c>
      <x:c r="F492" s="118" t="n">
        <x:v>1</x:v>
      </x:c>
      <x:c r="G492" s="117" t="str">
        <x:v>Yes</x:v>
      </x:c>
      <x:c r="H492" s="119" t="str">
        <x:v>Active v1 (Retrieved XML)</x:v>
      </x:c>
      <x:c r="I492" s="117" t="str">
        <x:v>Flow</x:v>
      </x:c>
      <x:c r="J492" s="117" t="str"/>
      <x:c r="K492" s="117" t="str">
        <x:v>No</x:v>
      </x:c>
      <x:c r="L492" s="117" t="str"/>
      <x:c r="M492" s="117" t="str"/>
      <x:c r="N492" s="117"/>
      <x:c r="O492" s="117"/>
      <x:c r="P492" s="117" t="str"/>
      <x:c r="Q492" s="117" t="str">
        <x:v>56.0</x:v>
      </x:c>
      <x:c r="R492" s="117" t="str">
        <x:v>unmanaged</x:v>
      </x:c>
      <x:c r="S492" s="118" t="n">
        <x:v>1</x:v>
      </x:c>
      <x:c r="T492" s="118" t="n">
        <x:v>3</x:v>
      </x:c>
      <x:c r="U492" s="118" t="n">
        <x:v>0</x:v>
      </x:c>
      <x:c r="V492" s="118" t="n">
        <x:v>0</x:v>
      </x:c>
      <x:c r="W492" s="118" t="n">
        <x:v>1</x:v>
      </x:c>
      <x:c r="X492" s="118" t="n">
        <x:v>0</x:v>
      </x:c>
      <x:c r="Y492" s="118" t="n">
        <x:v>1</x:v>
      </x:c>
      <x:c r="Z492" s="117" t="str">
        <x:v>N/A</x:v>
      </x:c>
      <x:c r="AA492" s="120" t="n">
        <x:v>44951.78962962963</x:v>
      </x:c>
      <x:c r="AB492" s="117" t="str">
        <x:v>Delegate</x:v>
      </x:c>
      <x:c r="AC492" s="119" t="str"/>
      <x:c r="AD492" s="119" t="str">
        <x:v>Active flow has no description</x:v>
      </x:c>
    </x:row>
    <x:row r="493" ht="34" customHeight="1">
      <x:c r="A493" s="117" t="str">
        <x:v>300Ro00000d8DPqIAM</x:v>
      </x:c>
      <x:c r="B493" s="117" t="str">
        <x:v>Record_Triggered_Account_Prevent_Intacct_Sync_Status_Change</x:v>
      </x:c>
      <x:c r="C493" s="117" t="str">
        <x:v>Record-Triggered Account: Prevent Intacct Sync Status Change</x:v>
      </x:c>
      <x:c r="D493" s="117" t="str">
        <x:v>No</x:v>
      </x:c>
      <x:c r="E493" s="118"/>
      <x:c r="F493" s="118" t="n">
        <x:v>1</x:v>
      </x:c>
      <x:c r="G493" s="117" t="str">
        <x:v>N/A</x:v>
      </x:c>
      <x:c r="H493" s="119" t="str">
        <x:v>Latest inactive v1 (Retrieved XML)</x:v>
      </x:c>
      <x:c r="I493" s="117" t="str">
        <x:v>AutoLaunchedFlow</x:v>
      </x:c>
      <x:c r="J493" s="117" t="str">
        <x:v>Account</x:v>
      </x:c>
      <x:c r="K493" s="117" t="str">
        <x:v>No</x:v>
      </x:c>
      <x:c r="L493" s="117" t="str">
        <x:v>Update</x:v>
      </x:c>
      <x:c r="M493" s="117" t="str">
        <x:v>RecordAfterSave</x:v>
      </x:c>
      <x:c r="N493" s="117"/>
      <x:c r="O493" s="117" t="str">
        <x:v>1</x:v>
      </x:c>
      <x:c r="P493" s="117" t="str"/>
      <x:c r="Q493" s="117" t="str">
        <x:v>64.0</x:v>
      </x:c>
      <x:c r="R493" s="117" t="str">
        <x:v>unmanaged</x:v>
      </x:c>
      <x:c r="S493" s="118" t="n">
        <x:v>1</x:v>
      </x:c>
      <x:c r="T493" s="118" t="n">
        <x:v>4</x:v>
      </x:c>
      <x:c r="U493" s="118" t="n">
        <x:v>2</x:v>
      </x:c>
      <x:c r="V493" s="118" t="n">
        <x:v>0</x:v>
      </x:c>
      <x:c r="W493" s="118" t="n">
        <x:v>0</x:v>
      </x:c>
      <x:c r="X493" s="118" t="n">
        <x:v>0</x:v>
      </x:c>
      <x:c r="Y493" s="118" t="n">
        <x:v>1</x:v>
      </x:c>
      <x:c r="Z493" s="117" t="str">
        <x:v>N/A</x:v>
      </x:c>
      <x:c r="AA493" s="120" t="n">
        <x:v>45889.9346875</x:v>
      </x:c>
      <x:c r="AB493" s="117" t="str">
        <x:v>Delegate</x:v>
      </x:c>
      <x:c r="AC493" s="119" t="str">
        <x:v>Prevents a user from changing the Intacct Sync Status if they are not assigned to the 'Manage Intacct Synced Records' permission set.</x:v>
      </x:c>
      <x:c r="AD493" s="119" t="str"/>
    </x:row>
    <x:row r="494" ht="34" customHeight="1">
      <x:c r="A494" s="117" t="str">
        <x:v>300Ro00000WbzIIIAZ</x:v>
      </x:c>
      <x:c r="B494" s="117" t="str">
        <x:v>Record_Triggered_Account_Update_Intacct_Customer_Sync_Status</x:v>
      </x:c>
      <x:c r="C494" s="117" t="str">
        <x:v>Record Triggered Account: Update Intacct Customer Sync Status</x:v>
      </x:c>
      <x:c r="D494" s="117" t="str">
        <x:v>No</x:v>
      </x:c>
      <x:c r="E494" s="118"/>
      <x:c r="F494" s="118" t="n">
        <x:v>1</x:v>
      </x:c>
      <x:c r="G494" s="117" t="str">
        <x:v>N/A</x:v>
      </x:c>
      <x:c r="H494" s="119" t="str">
        <x:v>Latest inactive v1 (Retrieved XML)</x:v>
      </x:c>
      <x:c r="I494" s="117" t="str">
        <x:v>AutoLaunchedFlow</x:v>
      </x:c>
      <x:c r="J494" s="117" t="str">
        <x:v>Account</x:v>
      </x:c>
      <x:c r="K494" s="117" t="str">
        <x:v>No</x:v>
      </x:c>
      <x:c r="L494" s="117" t="str">
        <x:v>Update</x:v>
      </x:c>
      <x:c r="M494" s="117" t="str">
        <x:v>RecordAfterSave</x:v>
      </x:c>
      <x:c r="N494" s="117" t="str">
        <x:v>SystemModeWithoutSharing</x:v>
      </x:c>
      <x:c r="O494" s="117"/>
      <x:c r="P494" s="117" t="str"/>
      <x:c r="Q494" s="117" t="str">
        <x:v>60.0</x:v>
      </x:c>
      <x:c r="R494" s="117" t="str">
        <x:v>unmanaged</x:v>
      </x:c>
      <x:c r="S494" s="118" t="n">
        <x:v>1</x:v>
      </x:c>
      <x:c r="T494" s="118" t="n">
        <x:v>2</x:v>
      </x:c>
      <x:c r="U494" s="118" t="n">
        <x:v>2</x:v>
      </x:c>
      <x:c r="V494" s="118" t="n">
        <x:v>0</x:v>
      </x:c>
      <x:c r="W494" s="118" t="n">
        <x:v>0</x:v>
      </x:c>
      <x:c r="X494" s="118" t="n">
        <x:v>0</x:v>
      </x:c>
      <x:c r="Y494" s="118" t="n">
        <x:v>1</x:v>
      </x:c>
      <x:c r="Z494" s="117" t="str">
        <x:v>N/A</x:v>
      </x:c>
      <x:c r="AA494" s="120" t="n">
        <x:v>45888.60842592592</x:v>
      </x:c>
      <x:c r="AB494" s="117" t="str">
        <x:v>Delegate</x:v>
      </x:c>
      <x:c r="AC494" s="119" t="str"/>
      <x:c r="AD494" s="119" t="str"/>
    </x:row>
    <x:row r="495" ht="34" customHeight="1">
      <x:c r="A495" s="117" t="str">
        <x:v>300Ro00000d8DPrIAM</x:v>
      </x:c>
      <x:c r="B495" s="117" t="str">
        <x:v>Record_Triggered_Account_Update_Intacct_Sync_Status</x:v>
      </x:c>
      <x:c r="C495" s="117" t="str">
        <x:v>Record Triggered Account: Update Intacct Sync Status</x:v>
      </x:c>
      <x:c r="D495" s="117" t="str">
        <x:v>No</x:v>
      </x:c>
      <x:c r="E495" s="118"/>
      <x:c r="F495" s="118" t="n">
        <x:v>4</x:v>
      </x:c>
      <x:c r="G495" s="117" t="str">
        <x:v>N/A</x:v>
      </x:c>
      <x:c r="H495" s="119" t="str">
        <x:v>Latest inactive v4 (Retrieved XML)</x:v>
      </x:c>
      <x:c r="I495" s="117" t="str">
        <x:v>AutoLaunchedFlow</x:v>
      </x:c>
      <x:c r="J495" s="117" t="str">
        <x:v>Account</x:v>
      </x:c>
      <x:c r="K495" s="117" t="str">
        <x:v>No</x:v>
      </x:c>
      <x:c r="L495" s="117" t="str">
        <x:v>Update</x:v>
      </x:c>
      <x:c r="M495" s="117" t="str">
        <x:v>RecordAfterSave</x:v>
      </x:c>
      <x:c r="N495" s="117" t="str">
        <x:v>SystemModeWithoutSharing</x:v>
      </x:c>
      <x:c r="O495" s="117"/>
      <x:c r="P495" s="117" t="str"/>
      <x:c r="Q495" s="117" t="str">
        <x:v>60.0</x:v>
      </x:c>
      <x:c r="R495" s="117" t="str">
        <x:v>unmanaged</x:v>
      </x:c>
      <x:c r="S495" s="118" t="n">
        <x:v>4</x:v>
      </x:c>
      <x:c r="T495" s="118" t="n">
        <x:v>15</x:v>
      </x:c>
      <x:c r="U495" s="118" t="n">
        <x:v>2</x:v>
      </x:c>
      <x:c r="V495" s="118" t="n">
        <x:v>0</x:v>
      </x:c>
      <x:c r="W495" s="118" t="n">
        <x:v>0</x:v>
      </x:c>
      <x:c r="X495" s="118" t="n">
        <x:v>0</x:v>
      </x:c>
      <x:c r="Y495" s="118" t="n">
        <x:v>2</x:v>
      </x:c>
      <x:c r="Z495" s="117" t="str">
        <x:v>N/A</x:v>
      </x:c>
      <x:c r="AA495" s="120" t="n">
        <x:v>45889.969560185185</x:v>
      </x:c>
      <x:c r="AB495" s="117" t="str">
        <x:v>Delegate</x:v>
      </x:c>
      <x:c r="AC495" s="119" t="str"/>
      <x:c r="AD495" s="119" t="str"/>
    </x:row>
    <x:row r="496" ht="34" customHeight="1">
      <x:c r="A496" s="117" t="str">
        <x:v>300Ro00000dKR41IAG</x:v>
      </x:c>
      <x:c r="B496" s="117" t="str">
        <x:v>Record_Triggered_After_Account_Prevent_Intact_Sync_Status_Change</x:v>
      </x:c>
      <x:c r="C496" s="117" t="str">
        <x:v>Record-Triggered After Account: Prevent Intact Sync Status Change</x:v>
      </x:c>
      <x:c r="D496" s="117" t="str">
        <x:v>Yes</x:v>
      </x:c>
      <x:c r="E496" s="118" t="n">
        <x:v>4</x:v>
      </x:c>
      <x:c r="F496" s="118" t="n">
        <x:v>4</x:v>
      </x:c>
      <x:c r="G496" s="117" t="str">
        <x:v>Yes</x:v>
      </x:c>
      <x:c r="H496" s="119" t="str">
        <x:v>Active v4 (Retrieved XML)</x:v>
      </x:c>
      <x:c r="I496" s="117" t="str">
        <x:v>AutoLaunchedFlow</x:v>
      </x:c>
      <x:c r="J496" s="117" t="str">
        <x:v>Account</x:v>
      </x:c>
      <x:c r="K496" s="117" t="str">
        <x:v>Yes</x:v>
      </x:c>
      <x:c r="L496" s="117" t="str">
        <x:v>Update</x:v>
      </x:c>
      <x:c r="M496" s="117" t="str">
        <x:v>RecordAfterSave</x:v>
      </x:c>
      <x:c r="N496" s="117" t="str">
        <x:v>SystemModeWithoutSharing</x:v>
      </x:c>
      <x:c r="O496" s="117"/>
      <x:c r="P496" s="117" t="str"/>
      <x:c r="Q496" s="117" t="str">
        <x:v>60.0</x:v>
      </x:c>
      <x:c r="R496" s="117" t="str">
        <x:v>unmanaged</x:v>
      </x:c>
      <x:c r="S496" s="118" t="n">
        <x:v>4</x:v>
      </x:c>
      <x:c r="T496" s="118" t="n">
        <x:v>16</x:v>
      </x:c>
      <x:c r="U496" s="118" t="n">
        <x:v>2</x:v>
      </x:c>
      <x:c r="V496" s="118" t="n">
        <x:v>0</x:v>
      </x:c>
      <x:c r="W496" s="118" t="n">
        <x:v>1</x:v>
      </x:c>
      <x:c r="X496" s="118" t="n">
        <x:v>0</x:v>
      </x:c>
      <x:c r="Y496" s="118" t="n">
        <x:v>2</x:v>
      </x:c>
      <x:c r="Z496" s="117" t="str">
        <x:v>Isolated lane</x:v>
      </x:c>
      <x:c r="AA496" s="120" t="n">
        <x:v>45890.001238425924</x:v>
      </x:c>
      <x:c r="AB496" s="117" t="str">
        <x:v>Delegate</x:v>
      </x:c>
      <x:c r="AC496" s="119" t="str">
        <x:v>Prevents the Intacct Customer Sync Status and Intacct Vendor Sync Status from direct change or indirect change from other field updates.</x:v>
      </x:c>
      <x:c r="AD496" s="119" t="str"/>
    </x:row>
    <x:row r="497" ht="34" customHeight="1">
      <x:c r="A497" s="117" t="str">
        <x:v>300Ro00000GpZybIAF</x:v>
      </x:c>
      <x:c r="B497" s="117" t="str">
        <x:v>Record_Triggered_After_Address_Update_Related_Lookups</x:v>
      </x:c>
      <x:c r="C497" s="117" t="str">
        <x:v>Record-Triggered After Address: Update Related Lookups</x:v>
      </x:c>
      <x:c r="D497" s="117" t="str">
        <x:v>Yes</x:v>
      </x:c>
      <x:c r="E497" s="118" t="n">
        <x:v>3</x:v>
      </x:c>
      <x:c r="F497" s="118" t="n">
        <x:v>3</x:v>
      </x:c>
      <x:c r="G497" s="117" t="str">
        <x:v>Yes</x:v>
      </x:c>
      <x:c r="H497" s="119" t="str">
        <x:v>Active v3 (Retrieved XML)</x:v>
      </x:c>
      <x:c r="I497" s="117" t="str">
        <x:v>AutoLaunchedFlow</x:v>
      </x:c>
      <x:c r="J497" s="117" t="str">
        <x:v>Address</x:v>
      </x:c>
      <x:c r="K497" s="117" t="str">
        <x:v>Yes</x:v>
      </x:c>
      <x:c r="L497" s="117" t="str">
        <x:v>Update</x:v>
      </x:c>
      <x:c r="M497" s="117" t="str">
        <x:v>RecordAfterSave</x:v>
      </x:c>
      <x:c r="N497" s="117"/>
      <x:c r="O497" s="117"/>
      <x:c r="P497" s="117" t="str"/>
      <x:c r="Q497" s="117" t="str">
        <x:v>61.0</x:v>
      </x:c>
      <x:c r="R497" s="117" t="str">
        <x:v>unmanaged</x:v>
      </x:c>
      <x:c r="S497" s="118" t="n">
        <x:v>3</x:v>
      </x:c>
      <x:c r="T497" s="118" t="n">
        <x:v>9</x:v>
      </x:c>
      <x:c r="U497" s="118" t="n">
        <x:v>2</x:v>
      </x:c>
      <x:c r="V497" s="118" t="n">
        <x:v>0</x:v>
      </x:c>
      <x:c r="W497" s="118" t="n">
        <x:v>0</x:v>
      </x:c>
      <x:c r="X497" s="118" t="n">
        <x:v>0</x:v>
      </x:c>
      <x:c r="Y497" s="118" t="n">
        <x:v>1</x:v>
      </x:c>
      <x:c r="Z497" s="117" t="str">
        <x:v>Isolated lane</x:v>
      </x:c>
      <x:c r="AA497" s="120" t="n">
        <x:v>46149.90288194444</x:v>
      </x:c>
      <x:c r="AB497" s="117" t="str">
        <x:v>Mindy Bender</x:v>
      </x:c>
      <x:c r="AC497" s="119" t="str"/>
      <x:c r="AD497" s="119" t="str">
        <x:v>Active flow has no description</x:v>
      </x:c>
    </x:row>
    <x:row r="498" ht="34" customHeight="1">
      <x:c r="A498" s="117" t="str">
        <x:v>300Ro00000M9akLIAR</x:v>
      </x:c>
      <x:c r="B498" s="117" t="str">
        <x:v>Record_Triggered_After_Debit_Memo</x:v>
      </x:c>
      <x:c r="C498" s="117" t="str">
        <x:v>Record Triggered After: Debit Memo</x:v>
      </x:c>
      <x:c r="D498" s="117" t="str">
        <x:v>Yes</x:v>
      </x:c>
      <x:c r="E498" s="118" t="n">
        <x:v>1</x:v>
      </x:c>
      <x:c r="F498" s="118" t="n">
        <x:v>1</x:v>
      </x:c>
      <x:c r="G498" s="117" t="str">
        <x:v>Yes</x:v>
      </x:c>
      <x:c r="H498" s="119" t="str">
        <x:v>Active v1 (Retrieved XML)</x:v>
      </x:c>
      <x:c r="I498" s="117" t="str">
        <x:v>AutoLaunchedFlow</x:v>
      </x:c>
      <x:c r="J498" s="117" t="str">
        <x:v>Debit_Memos__c</x:v>
      </x:c>
      <x:c r="K498" s="117" t="str">
        <x:v>Yes</x:v>
      </x:c>
      <x:c r="L498" s="117" t="str">
        <x:v>CreateAndUpdate</x:v>
      </x:c>
      <x:c r="M498" s="117" t="str">
        <x:v>RecordAfterSave</x:v>
      </x:c>
      <x:c r="N498" s="117"/>
      <x:c r="O498" s="117"/>
      <x:c r="P498" s="117" t="str"/>
      <x:c r="Q498" s="117" t="str">
        <x:v>57.0</x:v>
      </x:c>
      <x:c r="R498" s="117" t="str">
        <x:v>unmanaged</x:v>
      </x:c>
      <x:c r="S498" s="118" t="n">
        <x:v>1</x:v>
      </x:c>
      <x:c r="T498" s="118" t="n">
        <x:v>14</x:v>
      </x:c>
      <x:c r="U498" s="118" t="n">
        <x:v>2</x:v>
      </x:c>
      <x:c r="V498" s="118" t="n">
        <x:v>0</x:v>
      </x:c>
      <x:c r="W498" s="118" t="n">
        <x:v>1</x:v>
      </x:c>
      <x:c r="X498" s="118" t="n">
        <x:v>0</x:v>
      </x:c>
      <x:c r="Y498" s="118" t="n">
        <x:v>1</x:v>
      </x:c>
      <x:c r="Z498" s="117" t="str">
        <x:v>Review</x:v>
      </x:c>
      <x:c r="AA498" s="120" t="n">
        <x:v>45604.03707175926</x:v>
      </x:c>
      <x:c r="AB498" s="117" t="str">
        <x:v>Delegate</x:v>
      </x:c>
      <x:c r="AC498" s="119" t="str"/>
      <x:c r="AD498" s="119" t="str">
        <x:v>Active flow has no description</x:v>
      </x:c>
    </x:row>
    <x:row r="499" ht="34" customHeight="1">
      <x:c r="A499" s="117" t="str">
        <x:v>300Ro00000LtI8NIAV</x:v>
      </x:c>
      <x:c r="B499" s="117" t="str">
        <x:v>Record_Triggered_After_Inventory_Adjustment</x:v>
      </x:c>
      <x:c r="C499" s="117" t="str">
        <x:v>Record-Triggered After: Inventory Adjustment</x:v>
      </x:c>
      <x:c r="D499" s="117" t="str">
        <x:v>Yes</x:v>
      </x:c>
      <x:c r="E499" s="118" t="n">
        <x:v>2</x:v>
      </x:c>
      <x:c r="F499" s="118" t="n">
        <x:v>2</x:v>
      </x:c>
      <x:c r="G499" s="117" t="str">
        <x:v>Yes</x:v>
      </x:c>
      <x:c r="H499" s="119" t="str">
        <x:v>Active v2 (Retrieved XML)</x:v>
      </x:c>
      <x:c r="I499" s="117" t="str">
        <x:v>AutoLaunchedFlow</x:v>
      </x:c>
      <x:c r="J499" s="117" t="str">
        <x:v>Inventory_Adjustment__c</x:v>
      </x:c>
      <x:c r="K499" s="117" t="str">
        <x:v>Yes</x:v>
      </x:c>
      <x:c r="L499" s="117" t="str">
        <x:v>CreateAndUpdate</x:v>
      </x:c>
      <x:c r="M499" s="117" t="str">
        <x:v>RecordAfterSave</x:v>
      </x:c>
      <x:c r="N499" s="117"/>
      <x:c r="O499" s="117"/>
      <x:c r="P499" s="117" t="str"/>
      <x:c r="Q499" s="117" t="str">
        <x:v>62.0</x:v>
      </x:c>
      <x:c r="R499" s="117" t="str">
        <x:v>unmanaged</x:v>
      </x:c>
      <x:c r="S499" s="118" t="n">
        <x:v>2</x:v>
      </x:c>
      <x:c r="T499" s="118" t="n">
        <x:v>12</x:v>
      </x:c>
      <x:c r="U499" s="118" t="n">
        <x:v>2</x:v>
      </x:c>
      <x:c r="V499" s="118" t="n">
        <x:v>0</x:v>
      </x:c>
      <x:c r="W499" s="118" t="n">
        <x:v>1</x:v>
      </x:c>
      <x:c r="X499" s="118" t="n">
        <x:v>0</x:v>
      </x:c>
      <x:c r="Y499" s="118" t="n">
        <x:v>1</x:v>
      </x:c>
      <x:c r="Z499" s="117" t="str">
        <x:v>Isolated lane</x:v>
      </x:c>
      <x:c r="AA499" s="120" t="n">
        <x:v>45600.20967592593</x:v>
      </x:c>
      <x:c r="AB499" s="117" t="str">
        <x:v>Delegate</x:v>
      </x:c>
      <x:c r="AC499" s="119" t="str"/>
      <x:c r="AD499" s="119" t="str">
        <x:v>Active flow has no description</x:v>
      </x:c>
    </x:row>
    <x:row r="500" ht="34" customHeight="1">
      <x:c r="A500" s="117" t="str">
        <x:v>300Ro00000LtJsOIAV</x:v>
      </x:c>
      <x:c r="B500" s="117" t="str">
        <x:v>Record_Triggered_After_Purchasing_Return</x:v>
      </x:c>
      <x:c r="C500" s="117" t="str">
        <x:v>Record-Triggered After: Purchasing Return</x:v>
      </x:c>
      <x:c r="D500" s="117" t="str">
        <x:v>Yes</x:v>
      </x:c>
      <x:c r="E500" s="118" t="n">
        <x:v>9</x:v>
      </x:c>
      <x:c r="F500" s="118" t="n">
        <x:v>9</x:v>
      </x:c>
      <x:c r="G500" s="117" t="str">
        <x:v>Yes</x:v>
      </x:c>
      <x:c r="H500" s="119" t="str">
        <x:v>Active v9 (Retrieved XML)</x:v>
      </x:c>
      <x:c r="I500" s="117" t="str">
        <x:v>AutoLaunchedFlow</x:v>
      </x:c>
      <x:c r="J500" s="117" t="str">
        <x:v>Purchasing_Return__c</x:v>
      </x:c>
      <x:c r="K500" s="117" t="str">
        <x:v>Yes</x:v>
      </x:c>
      <x:c r="L500" s="117" t="str">
        <x:v>CreateAndUpdate</x:v>
      </x:c>
      <x:c r="M500" s="117" t="str">
        <x:v>RecordAfterSave</x:v>
      </x:c>
      <x:c r="N500" s="117"/>
      <x:c r="O500" s="117"/>
      <x:c r="P500" s="117" t="str"/>
      <x:c r="Q500" s="117" t="str">
        <x:v>61.0</x:v>
      </x:c>
      <x:c r="R500" s="117" t="str">
        <x:v>unmanaged</x:v>
      </x:c>
      <x:c r="S500" s="118" t="n">
        <x:v>9</x:v>
      </x:c>
      <x:c r="T500" s="118" t="n">
        <x:v>13</x:v>
      </x:c>
      <x:c r="U500" s="118" t="n">
        <x:v>2</x:v>
      </x:c>
      <x:c r="V500" s="118" t="n">
        <x:v>1</x:v>
      </x:c>
      <x:c r="W500" s="118" t="n">
        <x:v>1</x:v>
      </x:c>
      <x:c r="X500" s="118" t="n">
        <x:v>0</x:v>
      </x:c>
      <x:c r="Y500" s="118" t="n">
        <x:v>1</x:v>
      </x:c>
      <x:c r="Z500" s="117" t="str">
        <x:v>Isolated lane</x:v>
      </x:c>
      <x:c r="AA500" s="120" t="n">
        <x:v>46216.64585648148</x:v>
      </x:c>
      <x:c r="AB500" s="117" t="str">
        <x:v>Mindy Bender</x:v>
      </x:c>
      <x:c r="AC500" s="119" t="str">
        <x:v>07/13/2026 - MPB - Updating to round the SumCost to prevent Intacct sync errors when there are 3 decimals.</x:v>
      </x:c>
      <x:c r="AD500" s="119" t="str"/>
    </x:row>
    <x:row r="501" ht="34" customHeight="1">
      <x:c r="A501" s="117" t="str">
        <x:v>300Ro00000ZiY6fIAF</x:v>
      </x:c>
      <x:c r="B501" s="117" t="str">
        <x:v>Record_Triggered_Location_After_Create_After_Update_Inactive_Changed</x:v>
      </x:c>
      <x:c r="C501" s="117" t="str">
        <x:v>Record-Triggered - Location - After Create, After Update: Inactive Changed</x:v>
      </x:c>
      <x:c r="D501" s="117" t="str">
        <x:v>Yes</x:v>
      </x:c>
      <x:c r="E501" s="118" t="n">
        <x:v>1</x:v>
      </x:c>
      <x:c r="F501" s="118" t="n">
        <x:v>1</x:v>
      </x:c>
      <x:c r="G501" s="117" t="str">
        <x:v>Yes</x:v>
      </x:c>
      <x:c r="H501" s="119" t="str">
        <x:v>Active v1 (Retrieved XML)</x:v>
      </x:c>
      <x:c r="I501" s="117" t="str">
        <x:v>AutoLaunchedFlow</x:v>
      </x:c>
      <x:c r="J501" s="117" t="str">
        <x:v>Location</x:v>
      </x:c>
      <x:c r="K501" s="117" t="str">
        <x:v>Yes</x:v>
      </x:c>
      <x:c r="L501" s="117" t="str">
        <x:v>CreateAndUpdate</x:v>
      </x:c>
      <x:c r="M501" s="117" t="str">
        <x:v>RecordAfterSave</x:v>
      </x:c>
      <x:c r="N501" s="117"/>
      <x:c r="O501" s="117"/>
      <x:c r="P501" s="117" t="str"/>
      <x:c r="Q501" s="117" t="str">
        <x:v>64.0</x:v>
      </x:c>
      <x:c r="R501" s="117" t="str">
        <x:v>unmanaged</x:v>
      </x:c>
      <x:c r="S501" s="118" t="n">
        <x:v>1</x:v>
      </x:c>
      <x:c r="T501" s="118" t="n">
        <x:v>2</x:v>
      </x:c>
      <x:c r="U501" s="118" t="n">
        <x:v>1</x:v>
      </x:c>
      <x:c r="V501" s="118" t="n">
        <x:v>0</x:v>
      </x:c>
      <x:c r="W501" s="118" t="n">
        <x:v>0</x:v>
      </x:c>
      <x:c r="X501" s="118" t="n">
        <x:v>0</x:v>
      </x:c>
      <x:c r="Y501" s="118" t="n">
        <x:v>1</x:v>
      </x:c>
      <x:c r="Z501" s="117" t="str">
        <x:v>Isolated lane</x:v>
      </x:c>
      <x:c r="AA501" s="120" t="n">
        <x:v>45846.00824074074</x:v>
      </x:c>
      <x:c r="AB501" s="117" t="str">
        <x:v>Delegate</x:v>
      </x:c>
      <x:c r="AC501" s="119" t="str">
        <x:v>Keeps the Inactive__c field in sync between parent (Location) and child (Address) records when changed on the parent.</x:v>
      </x:c>
      <x:c r="AD501" s="119" t="str"/>
    </x:row>
    <x:row r="502" ht="34" customHeight="1">
      <x:c r="A502" s="117" t="str">
        <x:v>300Ro00000GMXAcIAP</x:v>
      </x:c>
      <x:c r="B502" s="117" t="str">
        <x:v>Record_Triggered_Opportunity_Send_Tracking_Confirmation_for_WooCommerce_Orders</x:v>
      </x:c>
      <x:c r="C502" s="117" t="str">
        <x:v>Record-Triggered Opportunity: Send Tracking Confirmation for WooCommerce Orders</x:v>
      </x:c>
      <x:c r="D502" s="117" t="str">
        <x:v>Yes</x:v>
      </x:c>
      <x:c r="E502" s="118" t="n">
        <x:v>1</x:v>
      </x:c>
      <x:c r="F502" s="118" t="n">
        <x:v>1</x:v>
      </x:c>
      <x:c r="G502" s="117" t="str">
        <x:v>Yes</x:v>
      </x:c>
      <x:c r="H502" s="119" t="str">
        <x:v>Active v1 (Retrieved XML)</x:v>
      </x:c>
      <x:c r="I502" s="117" t="str">
        <x:v>AutoLaunchedFlow</x:v>
      </x:c>
      <x:c r="J502" s="117" t="str">
        <x:v>Opportunity</x:v>
      </x:c>
      <x:c r="K502" s="117" t="str">
        <x:v>Yes</x:v>
      </x:c>
      <x:c r="L502" s="117" t="str">
        <x:v>Update</x:v>
      </x:c>
      <x:c r="M502" s="117" t="str">
        <x:v>RecordAfterSave</x:v>
      </x:c>
      <x:c r="N502" s="117"/>
      <x:c r="O502" s="117"/>
      <x:c r="P502" s="117" t="str"/>
      <x:c r="Q502" s="117" t="str">
        <x:v>61.0</x:v>
      </x:c>
      <x:c r="R502" s="117" t="str">
        <x:v>unmanaged</x:v>
      </x:c>
      <x:c r="S502" s="118" t="n">
        <x:v>1</x:v>
      </x:c>
      <x:c r="T502" s="118" t="n">
        <x:v>2</x:v>
      </x:c>
      <x:c r="U502" s="118" t="n">
        <x:v>1</x:v>
      </x:c>
      <x:c r="V502" s="118" t="n">
        <x:v>0</x:v>
      </x:c>
      <x:c r="W502" s="118" t="n">
        <x:v>1</x:v>
      </x:c>
      <x:c r="X502" s="118" t="n">
        <x:v>0</x:v>
      </x:c>
      <x:c r="Y502" s="118" t="n">
        <x:v>1</x:v>
      </x:c>
      <x:c r="Z502" s="117" t="str">
        <x:v>Strong</x:v>
      </x:c>
      <x:c r="AA502" s="120" t="n">
        <x:v>45503.03413194444</x:v>
      </x:c>
      <x:c r="AB502" s="117" t="str">
        <x:v>Delegate</x:v>
      </x:c>
      <x:c r="AC502" s="119" t="str"/>
      <x:c r="AD502" s="119" t="str">
        <x:v>Active flow has no description</x:v>
      </x:c>
    </x:row>
    <x:row r="503" ht="34" customHeight="1">
      <x:c r="A503" s="117" t="str">
        <x:v>3004O000000LOsqQAG</x:v>
      </x:c>
      <x:c r="B503" s="117" t="str">
        <x:v>Recurring_Billing_Flow</x:v>
      </x:c>
      <x:c r="C503" s="117" t="str">
        <x:v>Recurring Billing Flow</x:v>
      </x:c>
      <x:c r="D503" s="117" t="str">
        <x:v>Yes</x:v>
      </x:c>
      <x:c r="E503" s="118" t="n">
        <x:v>11</x:v>
      </x:c>
      <x:c r="F503" s="118" t="n">
        <x:v>11</x:v>
      </x:c>
      <x:c r="G503" s="117" t="str">
        <x:v>Yes</x:v>
      </x:c>
      <x:c r="H503" s="119" t="str">
        <x:v>Active v11 (Retrieved XML)</x:v>
      </x:c>
      <x:c r="I503" s="117" t="str">
        <x:v>AutoLaunchedFlow</x:v>
      </x:c>
      <x:c r="J503" s="117" t="str">
        <x:v>ChargentOrders__ChargentOrder__c</x:v>
      </x:c>
      <x:c r="K503" s="117" t="str">
        <x:v>Yes</x:v>
      </x:c>
      <x:c r="L503" s="117" t="str"/>
      <x:c r="M503" s="117" t="str">
        <x:v>Scheduled</x:v>
      </x:c>
      <x:c r="N503" s="117"/>
      <x:c r="O503" s="117"/>
      <x:c r="P503" s="117" t="str">
        <x:v>Daily</x:v>
      </x:c>
      <x:c r="Q503" s="117" t="str">
        <x:v>50.0</x:v>
      </x:c>
      <x:c r="R503" s="117" t="str">
        <x:v>unmanaged</x:v>
      </x:c>
      <x:c r="S503" s="118" t="n">
        <x:v>11</x:v>
      </x:c>
      <x:c r="T503" s="118" t="n">
        <x:v>19</x:v>
      </x:c>
      <x:c r="U503" s="118" t="n">
        <x:v>4</x:v>
      </x:c>
      <x:c r="V503" s="118" t="n">
        <x:v>0</x:v>
      </x:c>
      <x:c r="W503" s="118" t="n">
        <x:v>0</x:v>
      </x:c>
      <x:c r="X503" s="118" t="n">
        <x:v>0</x:v>
      </x:c>
      <x:c r="Y503" s="118" t="n">
        <x:v>3</x:v>
      </x:c>
      <x:c r="Z503" s="117" t="str">
        <x:v>Isolated lane</x:v>
      </x:c>
      <x:c r="AA503" s="120" t="n">
        <x:v>44894.62229166667</x:v>
      </x:c>
      <x:c r="AB503" s="117" t="str">
        <x:v>Delegate</x:v>
      </x:c>
      <x:c r="AC503" s="119" t="str"/>
      <x:c r="AD503" s="119" t="str">
        <x:v>Active flow has no description; Touches many objects</x:v>
      </x:c>
    </x:row>
    <x:row r="504" ht="34" customHeight="1">
      <x:c r="A504" s="117" t="str">
        <x:v>3005b000000PzrOAAS</x:v>
      </x:c>
      <x:c r="B504" s="117" t="str">
        <x:v>Refurb_Part_Request_Field_Updates_Flow</x:v>
      </x:c>
      <x:c r="C504" s="117" t="str">
        <x:v>Refurb Part Request Field Updates Flow</x:v>
      </x:c>
      <x:c r="D504" s="117" t="str">
        <x:v>Yes</x:v>
      </x:c>
      <x:c r="E504" s="118" t="n">
        <x:v>16</x:v>
      </x:c>
      <x:c r="F504" s="118" t="n">
        <x:v>16</x:v>
      </x:c>
      <x:c r="G504" s="117" t="str">
        <x:v>Yes</x:v>
      </x:c>
      <x:c r="H504" s="119" t="str">
        <x:v>Active v16 (Retrieved XML)</x:v>
      </x:c>
      <x:c r="I504" s="117" t="str">
        <x:v>AutoLaunchedFlow</x:v>
      </x:c>
      <x:c r="J504" s="117" t="str">
        <x:v>Refurb_Part_Request__c</x:v>
      </x:c>
      <x:c r="K504" s="117" t="str">
        <x:v>Yes</x:v>
      </x:c>
      <x:c r="L504" s="117" t="str">
        <x:v>Update</x:v>
      </x:c>
      <x:c r="M504" s="117" t="str">
        <x:v>RecordAfterSave</x:v>
      </x:c>
      <x:c r="N504" s="117"/>
      <x:c r="O504" s="117"/>
      <x:c r="P504" s="117" t="str"/>
      <x:c r="Q504" s="117" t="str">
        <x:v>58.0</x:v>
      </x:c>
      <x:c r="R504" s="117" t="str">
        <x:v>unmanaged</x:v>
      </x:c>
      <x:c r="S504" s="118" t="n">
        <x:v>16</x:v>
      </x:c>
      <x:c r="T504" s="118" t="n">
        <x:v>21</x:v>
      </x:c>
      <x:c r="U504" s="118" t="n">
        <x:v>6</x:v>
      </x:c>
      <x:c r="V504" s="118" t="n">
        <x:v>0</x:v>
      </x:c>
      <x:c r="W504" s="118" t="n">
        <x:v>2</x:v>
      </x:c>
      <x:c r="X504" s="118" t="n">
        <x:v>0</x:v>
      </x:c>
      <x:c r="Y504" s="118" t="n">
        <x:v>3</x:v>
      </x:c>
      <x:c r="Z504" s="117" t="str">
        <x:v>Review</x:v>
      </x:c>
      <x:c r="AA504" s="120" t="n">
        <x:v>45299.826886574076</x:v>
      </x:c>
      <x:c r="AB504" s="117" t="str">
        <x:v>Jace Gentil</x:v>
      </x:c>
      <x:c r="AC504" s="119" t="str"/>
      <x:c r="AD504" s="119" t="str">
        <x:v>Active flow has no description; Touches many objects</x:v>
      </x:c>
    </x:row>
    <x:row r="505" ht="34" customHeight="1">
      <x:c r="A505" s="117" t="str">
        <x:v>3005b000000PyyOAAS</x:v>
      </x:c>
      <x:c r="B505" s="117" t="str">
        <x:v>Refurb_Test_Asset_Selection_Screen_Flow</x:v>
      </x:c>
      <x:c r="C505" s="117" t="str">
        <x:v>Refurb Test Asset Selection Screen Flow</x:v>
      </x:c>
      <x:c r="D505" s="117" t="str">
        <x:v>Yes</x:v>
      </x:c>
      <x:c r="E505" s="118" t="n">
        <x:v>18</x:v>
      </x:c>
      <x:c r="F505" s="118" t="n">
        <x:v>18</x:v>
      </x:c>
      <x:c r="G505" s="117" t="str">
        <x:v>Yes</x:v>
      </x:c>
      <x:c r="H505" s="119" t="str">
        <x:v>Active v18 (Retrieved XML)</x:v>
      </x:c>
      <x:c r="I505" s="117" t="str">
        <x:v>Flow</x:v>
      </x:c>
      <x:c r="J505" s="117" t="str"/>
      <x:c r="K505" s="117" t="str">
        <x:v>No</x:v>
      </x:c>
      <x:c r="L505" s="117" t="str"/>
      <x:c r="M505" s="117" t="str"/>
      <x:c r="N505" s="117"/>
      <x:c r="O505" s="117"/>
      <x:c r="P505" s="117" t="str"/>
      <x:c r="Q505" s="117" t="str">
        <x:v>57.0</x:v>
      </x:c>
      <x:c r="R505" s="117" t="str">
        <x:v>unmanaged</x:v>
      </x:c>
      <x:c r="S505" s="118" t="n">
        <x:v>18</x:v>
      </x:c>
      <x:c r="T505" s="118" t="n">
        <x:v>16</x:v>
      </x:c>
      <x:c r="U505" s="118" t="n">
        <x:v>3</x:v>
      </x:c>
      <x:c r="V505" s="118" t="n">
        <x:v>0</x:v>
      </x:c>
      <x:c r="W505" s="118" t="n">
        <x:v>2</x:v>
      </x:c>
      <x:c r="X505" s="118" t="n">
        <x:v>2</x:v>
      </x:c>
      <x:c r="Y505" s="118" t="n">
        <x:v>3</x:v>
      </x:c>
      <x:c r="Z505" s="117" t="str">
        <x:v>N/A</x:v>
      </x:c>
      <x:c r="AA505" s="120" t="n">
        <x:v>45146.42155092592</x:v>
      </x:c>
      <x:c r="AB505" s="117" t="str">
        <x:v>Jace Gentil</x:v>
      </x:c>
      <x:c r="AC505" s="119" t="str"/>
      <x:c r="AD505" s="119" t="str">
        <x:v>Active flow has no description</x:v>
      </x:c>
    </x:row>
    <x:row r="506" ht="34" customHeight="1">
      <x:c r="A506" s="117" t="str">
        <x:v>300Ro00000z7Z2mIAE</x:v>
      </x:c>
      <x:c r="B506" s="117" t="str">
        <x:v>Refurb_Test_Update_After_Save_Change_Owner_to_Engineer_on_Acceptance</x:v>
      </x:c>
      <x:c r="C506" s="117" t="str">
        <x:v>Refurb Test - Update - After Save - Change Owner to Engineer on Acceptance</x:v>
      </x:c>
      <x:c r="D506" s="117" t="str">
        <x:v>Yes</x:v>
      </x:c>
      <x:c r="E506" s="118" t="n">
        <x:v>1</x:v>
      </x:c>
      <x:c r="F506" s="118" t="n">
        <x:v>1</x:v>
      </x:c>
      <x:c r="G506" s="117" t="str">
        <x:v>Yes</x:v>
      </x:c>
      <x:c r="H506" s="119" t="str">
        <x:v>Active v1 (Retrieved XML)</x:v>
      </x:c>
      <x:c r="I506" s="117" t="str">
        <x:v>AutoLaunchedFlow</x:v>
      </x:c>
      <x:c r="J506" s="117" t="str">
        <x:v>Refurb_Test__c</x:v>
      </x:c>
      <x:c r="K506" s="117" t="str">
        <x:v>Yes</x:v>
      </x:c>
      <x:c r="L506" s="117" t="str">
        <x:v>Update</x:v>
      </x:c>
      <x:c r="M506" s="117" t="str">
        <x:v>RecordAfterSave</x:v>
      </x:c>
      <x:c r="N506" s="117"/>
      <x:c r="O506" s="117"/>
      <x:c r="P506" s="117" t="str"/>
      <x:c r="Q506" s="117" t="str">
        <x:v>66.0</x:v>
      </x:c>
      <x:c r="R506" s="117" t="str">
        <x:v>unmanaged</x:v>
      </x:c>
      <x:c r="S506" s="118" t="n">
        <x:v>1</x:v>
      </x:c>
      <x:c r="T506" s="118" t="n">
        <x:v>3</x:v>
      </x:c>
      <x:c r="U506" s="118" t="n">
        <x:v>1</x:v>
      </x:c>
      <x:c r="V506" s="118" t="n">
        <x:v>0</x:v>
      </x:c>
      <x:c r="W506" s="118" t="n">
        <x:v>0</x:v>
      </x:c>
      <x:c r="X506" s="118" t="n">
        <x:v>0</x:v>
      </x:c>
      <x:c r="Y506" s="118" t="n">
        <x:v>1</x:v>
      </x:c>
      <x:c r="Z506" s="117" t="str">
        <x:v>Review</x:v>
      </x:c>
      <x:c r="AA506" s="120" t="n">
        <x:v>46176.357569444444</x:v>
      </x:c>
      <x:c r="AB506" s="117" t="str">
        <x:v>Sacha Pearce</x:v>
      </x:c>
      <x:c r="AC506" s="119" t="str">
        <x:v>This Flow has been designed to update the "Owner" on Refurb Tests with the "Refrub Test - Lifecycle" Record Type when the "Status" is updated to "Workshop Investigation".</x:v>
      </x:c>
      <x:c r="AD506" s="119" t="str"/>
    </x:row>
    <x:row r="507" ht="34" customHeight="1">
      <x:c r="A507" s="117" t="str">
        <x:v>3005b000000PzoZAAS</x:v>
      </x:c>
      <x:c r="B507" s="117" t="str">
        <x:v>Refurb_Test_Update_Fields_FLow</x:v>
      </x:c>
      <x:c r="C507" s="117" t="str">
        <x:v>Refurb Test Update Fields FLow</x:v>
      </x:c>
      <x:c r="D507" s="117" t="str">
        <x:v>Yes</x:v>
      </x:c>
      <x:c r="E507" s="118" t="n">
        <x:v>10</x:v>
      </x:c>
      <x:c r="F507" s="118" t="n">
        <x:v>10</x:v>
      </x:c>
      <x:c r="G507" s="117" t="str">
        <x:v>Yes</x:v>
      </x:c>
      <x:c r="H507" s="119" t="str">
        <x:v>Active v10 (Retrieved XML)</x:v>
      </x:c>
      <x:c r="I507" s="117" t="str">
        <x:v>AutoLaunchedFlow</x:v>
      </x:c>
      <x:c r="J507" s="117" t="str">
        <x:v>Refurb_Test__c</x:v>
      </x:c>
      <x:c r="K507" s="117" t="str">
        <x:v>Yes</x:v>
      </x:c>
      <x:c r="L507" s="117" t="str">
        <x:v>Update</x:v>
      </x:c>
      <x:c r="M507" s="117" t="str">
        <x:v>RecordAfterSave</x:v>
      </x:c>
      <x:c r="N507" s="117"/>
      <x:c r="O507" s="117"/>
      <x:c r="P507" s="117" t="str"/>
      <x:c r="Q507" s="117" t="str">
        <x:v>57.0</x:v>
      </x:c>
      <x:c r="R507" s="117" t="str">
        <x:v>unmanaged</x:v>
      </x:c>
      <x:c r="S507" s="118" t="n">
        <x:v>10</x:v>
      </x:c>
      <x:c r="T507" s="118" t="n">
        <x:v>21</x:v>
      </x:c>
      <x:c r="U507" s="118" t="n">
        <x:v>2</x:v>
      </x:c>
      <x:c r="V507" s="118" t="n">
        <x:v>0</x:v>
      </x:c>
      <x:c r="W507" s="118" t="n">
        <x:v>0</x:v>
      </x:c>
      <x:c r="X507" s="118" t="n">
        <x:v>0</x:v>
      </x:c>
      <x:c r="Y507" s="118" t="n">
        <x:v>2</x:v>
      </x:c>
      <x:c r="Z507" s="117" t="str">
        <x:v>Review</x:v>
      </x:c>
      <x:c r="AA507" s="120" t="n">
        <x:v>46062.47394675926</x:v>
      </x:c>
      <x:c r="AB507" s="117" t="str">
        <x:v>Sacha Pearce</x:v>
      </x:c>
      <x:c r="AC507" s="119" t="str">
        <x:v>09/02/2026 - SP - Excluding the "Refurb Test - Lifecycle" Record Type (012Ro000005oXYzIAM) from the entry criteria</x:v>
      </x:c>
      <x:c r="AD507" s="119" t="str"/>
    </x:row>
    <x:row r="508" ht="34" customHeight="1">
      <x:c r="A508" s="117" t="str">
        <x:v>3005b000000PzkmAAC</x:v>
      </x:c>
      <x:c r="B508" s="117" t="str">
        <x:v>Register_System_Lead_with_Mindray_Button_Flow</x:v>
      </x:c>
      <x:c r="C508" s="117" t="str">
        <x:v>Register System Lead with Mindray Button Flow UPDATED</x:v>
      </x:c>
      <x:c r="D508" s="117" t="str">
        <x:v>Yes</x:v>
      </x:c>
      <x:c r="E508" s="118" t="n">
        <x:v>11</x:v>
      </x:c>
      <x:c r="F508" s="118" t="n">
        <x:v>11</x:v>
      </x:c>
      <x:c r="G508" s="117" t="str">
        <x:v>Yes</x:v>
      </x:c>
      <x:c r="H508" s="119" t="str">
        <x:v>Active v11 (Retrieved XML)</x:v>
      </x:c>
      <x:c r="I508" s="117" t="str">
        <x:v>Flow</x:v>
      </x:c>
      <x:c r="J508" s="117" t="str"/>
      <x:c r="K508" s="117" t="str">
        <x:v>No</x:v>
      </x:c>
      <x:c r="L508" s="117" t="str"/>
      <x:c r="M508" s="117" t="str"/>
      <x:c r="N508" s="117" t="str">
        <x:v>SystemModeWithoutSharing</x:v>
      </x:c>
      <x:c r="O508" s="117"/>
      <x:c r="P508" s="117" t="str"/>
      <x:c r="Q508" s="117" t="str">
        <x:v>57.0</x:v>
      </x:c>
      <x:c r="R508" s="117" t="str">
        <x:v>unmanaged</x:v>
      </x:c>
      <x:c r="S508" s="118" t="n">
        <x:v>11</x:v>
      </x:c>
      <x:c r="T508" s="118" t="n">
        <x:v>26</x:v>
      </x:c>
      <x:c r="U508" s="118" t="n">
        <x:v>4</x:v>
      </x:c>
      <x:c r="V508" s="118" t="n">
        <x:v>0</x:v>
      </x:c>
      <x:c r="W508" s="118" t="n">
        <x:v>4</x:v>
      </x:c>
      <x:c r="X508" s="118" t="n">
        <x:v>1</x:v>
      </x:c>
      <x:c r="Y508" s="118" t="n">
        <x:v>3</x:v>
      </x:c>
      <x:c r="Z508" s="117" t="str">
        <x:v>N/A</x:v>
      </x:c>
      <x:c r="AA508" s="120" t="n">
        <x:v>45996.6321875</x:v>
      </x:c>
      <x:c r="AB508" s="117" t="str">
        <x:v>Natalie Boger</x:v>
      </x:c>
      <x:c r="AC508" s="119" t="str">
        <x:v>12/5/25: swapped emails (removed H. Bai and added Bin Liu) for vet deals. NB</x:v>
      </x:c>
      <x:c r="AD508" s="119" t="str">
        <x:v>Touches many objects</x:v>
      </x:c>
    </x:row>
    <x:row r="509" ht="34" customHeight="1">
      <x:c r="A509" s="117" t="str">
        <x:v>3005b00000113h0AAA</x:v>
      </x:c>
      <x:c r="B509" s="117" t="str">
        <x:v>Rejecting_Credit_Memo_Request_Screen_Flow</x:v>
      </x:c>
      <x:c r="C509" s="117" t="str">
        <x:v>Rejecting Credit Memo Request Screen Flow</x:v>
      </x:c>
      <x:c r="D509" s="117" t="str">
        <x:v>Yes</x:v>
      </x:c>
      <x:c r="E509" s="118" t="n">
        <x:v>3</x:v>
      </x:c>
      <x:c r="F509" s="118" t="n">
        <x:v>3</x:v>
      </x:c>
      <x:c r="G509" s="117" t="str">
        <x:v>Yes</x:v>
      </x:c>
      <x:c r="H509" s="119" t="str">
        <x:v>Active v3 (Retrieved XML)</x:v>
      </x:c>
      <x:c r="I509" s="117" t="str">
        <x:v>Flow</x:v>
      </x:c>
      <x:c r="J509" s="117" t="str"/>
      <x:c r="K509" s="117" t="str">
        <x:v>No</x:v>
      </x:c>
      <x:c r="L509" s="117" t="str"/>
      <x:c r="M509" s="117" t="str"/>
      <x:c r="N509" s="117"/>
      <x:c r="O509" s="117"/>
      <x:c r="P509" s="117" t="str"/>
      <x:c r="Q509" s="117" t="str">
        <x:v>59.0</x:v>
      </x:c>
      <x:c r="R509" s="117" t="str">
        <x:v>unmanaged</x:v>
      </x:c>
      <x:c r="S509" s="118" t="n">
        <x:v>3</x:v>
      </x:c>
      <x:c r="T509" s="118" t="n">
        <x:v>6</x:v>
      </x:c>
      <x:c r="U509" s="118" t="n">
        <x:v>2</x:v>
      </x:c>
      <x:c r="V509" s="118" t="n">
        <x:v>0</x:v>
      </x:c>
      <x:c r="W509" s="118" t="n">
        <x:v>1</x:v>
      </x:c>
      <x:c r="X509" s="118" t="n">
        <x:v>0</x:v>
      </x:c>
      <x:c r="Y509" s="118" t="n">
        <x:v>1</x:v>
      </x:c>
      <x:c r="Z509" s="117" t="str">
        <x:v>N/A</x:v>
      </x:c>
      <x:c r="AA509" s="120" t="n">
        <x:v>45391.53462962963</x:v>
      </x:c>
      <x:c r="AB509" s="117" t="str">
        <x:v>Delegate</x:v>
      </x:c>
      <x:c r="AC509" s="119" t="str">
        <x:v>12/19/23 (BW) - Updates the status the task gets set to from "Completed" to "Rejected CM". This is to differentiate between a completed success and a completed rejected, as to allow for an email to be sent to the requestor upon completed success.</x:v>
      </x:c>
      <x:c r="AD509" s="119" t="str"/>
    </x:row>
    <x:row r="510" ht="34" customHeight="1">
      <x:c r="A510" s="117" t="str">
        <x:v>3004O000000LOsfQAG</x:v>
      </x:c>
      <x:c r="B510" s="117" t="str">
        <x:v>Rental_Order</x:v>
      </x:c>
      <x:c r="C510" s="117" t="str">
        <x:v>Rental Order</x:v>
      </x:c>
      <x:c r="D510" s="117" t="str">
        <x:v>Yes</x:v>
      </x:c>
      <x:c r="E510" s="118" t="n">
        <x:v>9</x:v>
      </x:c>
      <x:c r="F510" s="118" t="n">
        <x:v>9</x:v>
      </x:c>
      <x:c r="G510" s="117" t="str">
        <x:v>Yes</x:v>
      </x:c>
      <x:c r="H510" s="119" t="str">
        <x:v>Active v9 (Retrieved XML)</x:v>
      </x:c>
      <x:c r="I510" s="117" t="str">
        <x:v>Workflow</x:v>
      </x:c>
      <x:c r="J510" s="117" t="str"/>
      <x:c r="K510" s="117" t="str">
        <x:v>No</x:v>
      </x:c>
      <x:c r="L510" s="117" t="str"/>
      <x:c r="M510" s="117" t="str"/>
      <x:c r="N510" s="117"/>
      <x:c r="O510" s="117"/>
      <x:c r="P510" s="117" t="str"/>
      <x:c r="Q510" s="117" t="str">
        <x:v>50.0</x:v>
      </x:c>
      <x:c r="R510" s="117" t="str">
        <x:v>unmanaged</x:v>
      </x:c>
      <x:c r="S510" s="118" t="n">
        <x:v>2</x:v>
      </x:c>
      <x:c r="T510" s="118" t="n">
        <x:v>2</x:v>
      </x:c>
      <x:c r="U510" s="118" t="n">
        <x:v>1</x:v>
      </x:c>
      <x:c r="V510" s="118" t="n">
        <x:v>0</x:v>
      </x:c>
      <x:c r="W510" s="118" t="n">
        <x:v>0</x:v>
      </x:c>
      <x:c r="X510" s="118" t="n">
        <x:v>0</x:v>
      </x:c>
      <x:c r="Y510" s="118" t="n">
        <x:v>1</x:v>
      </x:c>
      <x:c r="Z510" s="117" t="str">
        <x:v>N/A</x:v>
      </x:c>
      <x:c r="AA510" s="120" t="n">
        <x:v>45502.90530092592</x:v>
      </x:c>
      <x:c r="AB510" s="117" t="str">
        <x:v>Delegate</x:v>
      </x:c>
      <x:c r="AC510" s="119" t="str"/>
      <x:c r="AD510" s="119" t="str">
        <x:v>Active flow has no description</x:v>
      </x:c>
    </x:row>
    <x:row r="511" ht="34" customHeight="1">
      <x:c r="A511" s="117" t="str">
        <x:v>3004O000000LOsgQAG</x:v>
      </x:c>
      <x:c r="B511" s="117" t="str">
        <x:v>Rental_Orders_create_RMA</x:v>
      </x:c>
      <x:c r="C511" s="117" t="str">
        <x:v>Rental Orders create RMA</x:v>
      </x:c>
      <x:c r="D511" s="117" t="str">
        <x:v>No</x:v>
      </x:c>
      <x:c r="E511" s="118"/>
      <x:c r="F511" s="118" t="n">
        <x:v>1</x:v>
      </x:c>
      <x:c r="G511" s="117" t="str">
        <x:v>N/A</x:v>
      </x:c>
      <x:c r="H511" s="119" t="str">
        <x:v>Latest inactive v1 (Retrieved XML)</x:v>
      </x:c>
      <x:c r="I511" s="117" t="str">
        <x:v>AutoLaunchedFlow</x:v>
      </x:c>
      <x:c r="J511" s="117" t="str"/>
      <x:c r="K511" s="117" t="str">
        <x:v>No</x:v>
      </x:c>
      <x:c r="L511" s="117" t="str"/>
      <x:c r="M511" s="117" t="str"/>
      <x:c r="N511" s="117"/>
      <x:c r="O511" s="117"/>
      <x:c r="P511" s="117" t="str"/>
      <x:c r="Q511" s="117" t="str">
        <x:v>50.0</x:v>
      </x:c>
      <x:c r="R511" s="117" t="str">
        <x:v>unmanaged</x:v>
      </x:c>
      <x:c r="S511" s="118" t="n">
        <x:v>1</x:v>
      </x:c>
      <x:c r="T511" s="118" t="n">
        <x:v>6</x:v>
      </x:c>
      <x:c r="U511" s="118" t="n">
        <x:v>3</x:v>
      </x:c>
      <x:c r="V511" s="118" t="n">
        <x:v>0</x:v>
      </x:c>
      <x:c r="W511" s="118" t="n">
        <x:v>0</x:v>
      </x:c>
      <x:c r="X511" s="118" t="n">
        <x:v>0</x:v>
      </x:c>
      <x:c r="Y511" s="118" t="n">
        <x:v>2</x:v>
      </x:c>
      <x:c r="Z511" s="117" t="str">
        <x:v>N/A</x:v>
      </x:c>
      <x:c r="AA511" s="120" t="n">
        <x:v>44199.74931712963</x:v>
      </x:c>
      <x:c r="AB511" s="117" t="str">
        <x:v>Delegate</x:v>
      </x:c>
      <x:c r="AC511" s="119" t="str"/>
      <x:c r="AD511" s="119" t="str"/>
    </x:row>
    <x:row r="512" ht="34" customHeight="1">
      <x:c r="A512" s="117" t="str">
        <x:v>3005b000000PzlkAAC</x:v>
      </x:c>
      <x:c r="B512" s="117" t="str">
        <x:v>Rep_Email_Field_Update_Flow</x:v>
      </x:c>
      <x:c r="C512" s="117" t="str">
        <x:v>Rep Email Field Update Flow</x:v>
      </x:c>
      <x:c r="D512" s="117" t="str">
        <x:v>Yes</x:v>
      </x:c>
      <x:c r="E512" s="118" t="n">
        <x:v>11</x:v>
      </x:c>
      <x:c r="F512" s="118" t="n">
        <x:v>11</x:v>
      </x:c>
      <x:c r="G512" s="117" t="str">
        <x:v>Yes</x:v>
      </x:c>
      <x:c r="H512" s="119" t="str">
        <x:v>Active v11 (Retrieved XML)</x:v>
      </x:c>
      <x:c r="I512" s="117" t="str">
        <x:v>AutoLaunchedFlow</x:v>
      </x:c>
      <x:c r="J512" s="117" t="str">
        <x:v>Opportunity</x:v>
      </x:c>
      <x:c r="K512" s="117" t="str">
        <x:v>Yes</x:v>
      </x:c>
      <x:c r="L512" s="117" t="str">
        <x:v>CreateAndUpdate</x:v>
      </x:c>
      <x:c r="M512" s="117" t="str">
        <x:v>RecordAfterSave</x:v>
      </x:c>
      <x:c r="N512" s="117"/>
      <x:c r="O512" s="117"/>
      <x:c r="P512" s="117" t="str"/>
      <x:c r="Q512" s="117" t="str">
        <x:v>57.0</x:v>
      </x:c>
      <x:c r="R512" s="117" t="str">
        <x:v>unmanaged</x:v>
      </x:c>
      <x:c r="S512" s="118" t="n">
        <x:v>7</x:v>
      </x:c>
      <x:c r="T512" s="118" t="n">
        <x:v>7</x:v>
      </x:c>
      <x:c r="U512" s="118" t="n">
        <x:v>2</x:v>
      </x:c>
      <x:c r="V512" s="118" t="n">
        <x:v>0</x:v>
      </x:c>
      <x:c r="W512" s="118" t="n">
        <x:v>0</x:v>
      </x:c>
      <x:c r="X512" s="118" t="n">
        <x:v>0</x:v>
      </x:c>
      <x:c r="Y512" s="118" t="n">
        <x:v>1</x:v>
      </x:c>
      <x:c r="Z512" s="117" t="str">
        <x:v>Strong</x:v>
      </x:c>
      <x:c r="AA512" s="120" t="n">
        <x:v>46175.6283912037</x:v>
      </x:c>
      <x:c r="AB512" s="117" t="str">
        <x:v>Sacha Pearce</x:v>
      </x:c>
      <x:c r="AC512" s="119" t="str">
        <x:v>06/02/2026 (SP) - Setting the Canadian email by pulling the User record of the entered "Sales Representative".</x:v>
      </x:c>
      <x:c r="AD512" s="119" t="str"/>
    </x:row>
    <x:row r="513" ht="34" customHeight="1">
      <x:c r="A513" s="117" t="str">
        <x:v>3004O000000LOrAQAW</x:v>
      </x:c>
      <x:c r="B513" s="117" t="str">
        <x:v>Return_to_Vendor_Create_DB</x:v>
      </x:c>
      <x:c r="C513" s="117" t="str">
        <x:v>Return to Vendor Create DB</x:v>
      </x:c>
      <x:c r="D513" s="117" t="str">
        <x:v>Yes</x:v>
      </x:c>
      <x:c r="E513" s="118" t="n">
        <x:v>6</x:v>
      </x:c>
      <x:c r="F513" s="118" t="n">
        <x:v>6</x:v>
      </x:c>
      <x:c r="G513" s="117" t="str">
        <x:v>Yes</x:v>
      </x:c>
      <x:c r="H513" s="119" t="str">
        <x:v>Active v6 (Retrieved XML)</x:v>
      </x:c>
      <x:c r="I513" s="117" t="str">
        <x:v>AutoLaunchedFlow</x:v>
      </x:c>
      <x:c r="J513" s="117" t="str"/>
      <x:c r="K513" s="117" t="str">
        <x:v>No</x:v>
      </x:c>
      <x:c r="L513" s="117" t="str"/>
      <x:c r="M513" s="117" t="str"/>
      <x:c r="N513" s="117"/>
      <x:c r="O513" s="117"/>
      <x:c r="P513" s="117" t="str"/>
      <x:c r="Q513" s="117" t="str">
        <x:v>50.0</x:v>
      </x:c>
      <x:c r="R513" s="117" t="str">
        <x:v>unmanaged</x:v>
      </x:c>
      <x:c r="S513" s="118" t="n">
        <x:v>6</x:v>
      </x:c>
      <x:c r="T513" s="118" t="n">
        <x:v>7</x:v>
      </x:c>
      <x:c r="U513" s="118" t="n">
        <x:v>4</x:v>
      </x:c>
      <x:c r="V513" s="118" t="n">
        <x:v>0</x:v>
      </x:c>
      <x:c r="W513" s="118" t="n">
        <x:v>0</x:v>
      </x:c>
      <x:c r="X513" s="118" t="n">
        <x:v>0</x:v>
      </x:c>
      <x:c r="Y513" s="118" t="n">
        <x:v>2</x:v>
      </x:c>
      <x:c r="Z513" s="117" t="str">
        <x:v>N/A</x:v>
      </x:c>
      <x:c r="AA513" s="120" t="n">
        <x:v>45614.77908564815</x:v>
      </x:c>
      <x:c r="AB513" s="117" t="str">
        <x:v>Delegate</x:v>
      </x:c>
      <x:c r="AC513" s="119" t="str"/>
      <x:c r="AD513" s="119" t="str">
        <x:v>Active flow has no description; Touches many objects</x:v>
      </x:c>
    </x:row>
    <x:row r="514" ht="34" customHeight="1">
      <x:c r="A514" s="117" t="str">
        <x:v>300Ro00000SjMhAIAV</x:v>
      </x:c>
      <x:c r="B514" s="117" t="str">
        <x:v>RMA_Automations</x:v>
      </x:c>
      <x:c r="C514" s="117" t="str">
        <x:v>RMA Automations</x:v>
      </x:c>
      <x:c r="D514" s="117" t="str">
        <x:v>Yes</x:v>
      </x:c>
      <x:c r="E514" s="118" t="n">
        <x:v>20</x:v>
      </x:c>
      <x:c r="F514" s="118" t="n">
        <x:v>20</x:v>
      </x:c>
      <x:c r="G514" s="117" t="str">
        <x:v>Yes</x:v>
      </x:c>
      <x:c r="H514" s="119" t="str">
        <x:v>Active v20 (Retrieved XML)</x:v>
      </x:c>
      <x:c r="I514" s="117" t="str">
        <x:v>AutoLaunchedFlow</x:v>
      </x:c>
      <x:c r="J514" s="117" t="str">
        <x:v>RMA__c</x:v>
      </x:c>
      <x:c r="K514" s="117" t="str">
        <x:v>Yes</x:v>
      </x:c>
      <x:c r="L514" s="117" t="str">
        <x:v>Update</x:v>
      </x:c>
      <x:c r="M514" s="117" t="str">
        <x:v>RecordAfterSave</x:v>
      </x:c>
      <x:c r="N514" s="117"/>
      <x:c r="O514" s="117"/>
      <x:c r="P514" s="117" t="str"/>
      <x:c r="Q514" s="117" t="str">
        <x:v>63.0</x:v>
      </x:c>
      <x:c r="R514" s="117" t="str">
        <x:v>unmanaged</x:v>
      </x:c>
      <x:c r="S514" s="118" t="n">
        <x:v>20</x:v>
      </x:c>
      <x:c r="T514" s="118" t="n">
        <x:v>18</x:v>
      </x:c>
      <x:c r="U514" s="118" t="n">
        <x:v>5</x:v>
      </x:c>
      <x:c r="V514" s="118" t="n">
        <x:v>0</x:v>
      </x:c>
      <x:c r="W514" s="118" t="n">
        <x:v>0</x:v>
      </x:c>
      <x:c r="X514" s="118" t="n">
        <x:v>0</x:v>
      </x:c>
      <x:c r="Y514" s="118" t="n">
        <x:v>3</x:v>
      </x:c>
      <x:c r="Z514" s="117" t="str">
        <x:v>Strong</x:v>
      </x:c>
      <x:c r="AA514" s="120" t="n">
        <x:v>46078.699583333335</x:v>
      </x:c>
      <x:c r="AB514" s="117" t="str">
        <x:v>Steve Dodd</x:v>
      </x:c>
      <x:c r="AC514" s="119" t="str">
        <x:v>Add Invoice to RMA
24/07/2025 - V13 - SP - Adding a Decision that looks at the Part Return Condition to assign an appropriate Functional Rating.
24/07/2025 - V14 - SP - Amended Asset changed to RMA Item Receive Date changed.
24/07/2025 - V15 - SP - Amended RMA ID to 0120B000000QxnDQAS
25/07/2025 - V16 - SP - Amended Assign Previous Functional Rating Element
25/07/2025 - V17 - SP - Added Get Records to Not Fitted route
25/07/2025 - V18 - SP - Adjusting the Part Not Fitted route to pull historical ratings
25/07/2025 - V19 - SP - Adjusting the Part Not Fitted route to pull historical ratings
25/07/2025 - V20 - SP - Adjusting the Part Not Fitted route to pull historical ratings</x:v>
      </x:c>
      <x:c r="AD514" s="119" t="str">
        <x:v>Touches many objects</x:v>
      </x:c>
    </x:row>
    <x:row r="515" ht="34" customHeight="1">
      <x:c r="A515" s="117" t="str">
        <x:v>300Ro00000yzHB6IAM</x:v>
      </x:c>
      <x:c r="B515" s="117" t="str">
        <x:v>RMA_Notify_Engineer_on_Probe_Repair_WO_Creation</x:v>
      </x:c>
      <x:c r="C515" s="117" t="str">
        <x:v>RMA | Notify Engineer on Probe Repair WO Creation</x:v>
      </x:c>
      <x:c r="D515" s="117" t="str">
        <x:v>Yes</x:v>
      </x:c>
      <x:c r="E515" s="118" t="n">
        <x:v>1</x:v>
      </x:c>
      <x:c r="F515" s="118" t="n">
        <x:v>1</x:v>
      </x:c>
      <x:c r="G515" s="117" t="str">
        <x:v>Yes</x:v>
      </x:c>
      <x:c r="H515" s="119" t="str">
        <x:v>Active v1 (Retrieved XML)</x:v>
      </x:c>
      <x:c r="I515" s="117" t="str">
        <x:v>AutoLaunchedFlow</x:v>
      </x:c>
      <x:c r="J515" s="117" t="str">
        <x:v>RMA__c</x:v>
      </x:c>
      <x:c r="K515" s="117" t="str">
        <x:v>Yes</x:v>
      </x:c>
      <x:c r="L515" s="117" t="str">
        <x:v>Create</x:v>
      </x:c>
      <x:c r="M515" s="117" t="str">
        <x:v>RecordAfterSave</x:v>
      </x:c>
      <x:c r="N515" s="117"/>
      <x:c r="O515" s="117"/>
      <x:c r="P515" s="117" t="str"/>
      <x:c r="Q515" s="117" t="str">
        <x:v>65.0</x:v>
      </x:c>
      <x:c r="R515" s="117" t="str">
        <x:v>unmanaged</x:v>
      </x:c>
      <x:c r="S515" s="118" t="n">
        <x:v>1</x:v>
      </x:c>
      <x:c r="T515" s="118" t="n">
        <x:v>4</x:v>
      </x:c>
      <x:c r="U515" s="118" t="n">
        <x:v>1</x:v>
      </x:c>
      <x:c r="V515" s="118" t="n">
        <x:v>0</x:v>
      </x:c>
      <x:c r="W515" s="118" t="n">
        <x:v>1</x:v>
      </x:c>
      <x:c r="X515" s="118" t="n">
        <x:v>0</x:v>
      </x:c>
      <x:c r="Y515" s="118" t="n">
        <x:v>1</x:v>
      </x:c>
      <x:c r="Z515" s="117" t="str">
        <x:v>Review</x:v>
      </x:c>
      <x:c r="AA515" s="120" t="n">
        <x:v>46174.88858796296</x:v>
      </x:c>
      <x:c r="AB515" s="117" t="str">
        <x:v>Delegate</x:v>
      </x:c>
      <x:c r="AC515" s="119" t="str">
        <x:v>06/01/26 (BW) – Created to send a mobile push notification to the engineer (WO owner) when an RMA is created on a Probe Repair Work Order; scoped to FSL Work Order record type, US country, and Probe Repair Opportunity record type only</x:v>
      </x:c>
      <x:c r="AD515" s="119" t="str"/>
    </x:row>
    <x:row r="516" ht="34" customHeight="1">
      <x:c r="A516" s="117" t="str">
        <x:v>300Ro00000pia8wIAA</x:v>
      </x:c>
      <x:c r="B516" s="117" t="str">
        <x:v>RMA_On_Setting_of_Date_Approved_to_Ship_update_Opportunity_Stage_to_Ready_to_Shi</x:v>
      </x:c>
      <x:c r="C516" s="117" t="str">
        <x:v>RMA | On Setting of "Date Approved to Ship", update Opportunity Stage to "Ready to Ship"</x:v>
      </x:c>
      <x:c r="D516" s="117" t="str">
        <x:v>Yes</x:v>
      </x:c>
      <x:c r="E516" s="118" t="n">
        <x:v>1</x:v>
      </x:c>
      <x:c r="F516" s="118" t="n">
        <x:v>1</x:v>
      </x:c>
      <x:c r="G516" s="117" t="str">
        <x:v>Yes</x:v>
      </x:c>
      <x:c r="H516" s="119" t="str">
        <x:v>Active v1 (Retrieved XML)</x:v>
      </x:c>
      <x:c r="I516" s="117" t="str">
        <x:v>AutoLaunchedFlow</x:v>
      </x:c>
      <x:c r="J516" s="117" t="str">
        <x:v>RMA__c</x:v>
      </x:c>
      <x:c r="K516" s="117" t="str">
        <x:v>Yes</x:v>
      </x:c>
      <x:c r="L516" s="117" t="str">
        <x:v>Update</x:v>
      </x:c>
      <x:c r="M516" s="117" t="str">
        <x:v>RecordAfterSave</x:v>
      </x:c>
      <x:c r="N516" s="117"/>
      <x:c r="O516" s="117"/>
      <x:c r="P516" s="117" t="str"/>
      <x:c r="Q516" s="117" t="str">
        <x:v>65.0</x:v>
      </x:c>
      <x:c r="R516" s="117" t="str">
        <x:v>unmanaged</x:v>
      </x:c>
      <x:c r="S516" s="118" t="n">
        <x:v>1</x:v>
      </x:c>
      <x:c r="T516" s="118" t="n">
        <x:v>3</x:v>
      </x:c>
      <x:c r="U516" s="118" t="n">
        <x:v>1</x:v>
      </x:c>
      <x:c r="V516" s="118" t="n">
        <x:v>0</x:v>
      </x:c>
      <x:c r="W516" s="118" t="n">
        <x:v>0</x:v>
      </x:c>
      <x:c r="X516" s="118" t="n">
        <x:v>0</x:v>
      </x:c>
      <x:c r="Y516" s="118" t="n">
        <x:v>1</x:v>
      </x:c>
      <x:c r="Z516" s="117" t="str">
        <x:v>Strong</x:v>
      </x:c>
      <x:c r="AA516" s="120" t="n">
        <x:v>46055.52930555555</x:v>
      </x:c>
      <x:c r="AB516" s="117" t="str">
        <x:v>Delegate</x:v>
      </x:c>
      <x:c r="AC516" s="119" t="str">
        <x:v>02/02/2026 (BW) - From Probe Repair Request, when RMA is set for "Date Approved to Ship", then automatically switch the stage to "ready to ship"</x:v>
      </x:c>
      <x:c r="AD516" s="119" t="str"/>
    </x:row>
    <x:row r="517" ht="34" customHeight="1">
      <x:c r="A517" s="117" t="str">
        <x:v>300Ro00000jezCXIAY</x:v>
      </x:c>
      <x:c r="B517" s="117" t="str">
        <x:v>RMA_Re_sync_RMA_if_Errored</x:v>
      </x:c>
      <x:c r="C517" s="117" t="str">
        <x:v>RMA - Re-sync RMA if Errored</x:v>
      </x:c>
      <x:c r="D517" s="117" t="str">
        <x:v>Yes</x:v>
      </x:c>
      <x:c r="E517" s="118" t="n">
        <x:v>1</x:v>
      </x:c>
      <x:c r="F517" s="118" t="n">
        <x:v>1</x:v>
      </x:c>
      <x:c r="G517" s="117" t="str">
        <x:v>Yes</x:v>
      </x:c>
      <x:c r="H517" s="119" t="str">
        <x:v>Active v1 (Retrieved XML)</x:v>
      </x:c>
      <x:c r="I517" s="117" t="str">
        <x:v>AutoLaunchedFlow</x:v>
      </x:c>
      <x:c r="J517" s="117" t="str">
        <x:v>RMA__c</x:v>
      </x:c>
      <x:c r="K517" s="117" t="str">
        <x:v>Yes</x:v>
      </x:c>
      <x:c r="L517" s="117" t="str"/>
      <x:c r="M517" s="117" t="str">
        <x:v>Scheduled</x:v>
      </x:c>
      <x:c r="N517" s="117"/>
      <x:c r="O517" s="117"/>
      <x:c r="P517" s="117" t="str">
        <x:v>Daily</x:v>
      </x:c>
      <x:c r="Q517" s="117" t="str">
        <x:v>65.0</x:v>
      </x:c>
      <x:c r="R517" s="117" t="str">
        <x:v>unmanaged</x:v>
      </x:c>
      <x:c r="S517" s="118" t="n">
        <x:v>1</x:v>
      </x:c>
      <x:c r="T517" s="118" t="n">
        <x:v>4</x:v>
      </x:c>
      <x:c r="U517" s="118" t="n">
        <x:v>2</x:v>
      </x:c>
      <x:c r="V517" s="118" t="n">
        <x:v>0</x:v>
      </x:c>
      <x:c r="W517" s="118" t="n">
        <x:v>0</x:v>
      </x:c>
      <x:c r="X517" s="118" t="n">
        <x:v>0</x:v>
      </x:c>
      <x:c r="Y517" s="118" t="n">
        <x:v>1</x:v>
      </x:c>
      <x:c r="Z517" s="117" t="str">
        <x:v>Isolated lane</x:v>
      </x:c>
      <x:c r="AA517" s="120" t="n">
        <x:v>45958.50848379629</x:v>
      </x:c>
      <x:c r="AB517" s="117" t="str">
        <x:v>Delegate</x:v>
      </x:c>
      <x:c r="AC517" s="119" t="str">
        <x:v>10/28/2025 (BW) - Resyncs the RMA if it's errored out</x:v>
      </x:c>
      <x:c r="AD517" s="119" t="str"/>
    </x:row>
    <x:row r="518" ht="34" customHeight="1">
      <x:c r="A518" s="117" t="str">
        <x:v>300Ro000007doabIAA</x:v>
      </x:c>
      <x:c r="B518" s="117" t="str">
        <x:v>RMA_Rollups</x:v>
      </x:c>
      <x:c r="C518" s="117" t="str">
        <x:v>Credit Memo Rollups</x:v>
      </x:c>
      <x:c r="D518" s="117" t="str">
        <x:v>Yes</x:v>
      </x:c>
      <x:c r="E518" s="118" t="n">
        <x:v>2</x:v>
      </x:c>
      <x:c r="F518" s="118" t="n">
        <x:v>2</x:v>
      </x:c>
      <x:c r="G518" s="117" t="str">
        <x:v>Yes</x:v>
      </x:c>
      <x:c r="H518" s="119" t="str">
        <x:v>Active v2 (Retrieved XML)</x:v>
      </x:c>
      <x:c r="I518" s="117" t="str">
        <x:v>AutoLaunchedFlow</x:v>
      </x:c>
      <x:c r="J518" s="117" t="str">
        <x:v>Credit_Memo__c</x:v>
      </x:c>
      <x:c r="K518" s="117" t="str">
        <x:v>Yes</x:v>
      </x:c>
      <x:c r="L518" s="117" t="str">
        <x:v>CreateAndUpdate</x:v>
      </x:c>
      <x:c r="M518" s="117" t="str">
        <x:v>RecordAfterSave</x:v>
      </x:c>
      <x:c r="N518" s="117"/>
      <x:c r="O518" s="117"/>
      <x:c r="P518" s="117" t="str"/>
      <x:c r="Q518" s="117" t="str">
        <x:v>58.0</x:v>
      </x:c>
      <x:c r="R518" s="117" t="str">
        <x:v>unmanaged</x:v>
      </x:c>
      <x:c r="S518" s="118" t="n">
        <x:v>2</x:v>
      </x:c>
      <x:c r="T518" s="118" t="n">
        <x:v>4</x:v>
      </x:c>
      <x:c r="U518" s="118" t="n">
        <x:v>2</x:v>
      </x:c>
      <x:c r="V518" s="118" t="n">
        <x:v>0</x:v>
      </x:c>
      <x:c r="W518" s="118" t="n">
        <x:v>0</x:v>
      </x:c>
      <x:c r="X518" s="118" t="n">
        <x:v>0</x:v>
      </x:c>
      <x:c r="Y518" s="118" t="n">
        <x:v>1</x:v>
      </x:c>
      <x:c r="Z518" s="117" t="str">
        <x:v>Strong</x:v>
      </x:c>
      <x:c r="AA518" s="120" t="n">
        <x:v>45359.70653935185</x:v>
      </x:c>
      <x:c r="AB518" s="117" t="str">
        <x:v>Delegate</x:v>
      </x:c>
      <x:c r="AC518" s="119" t="str">
        <x:v>03/08/2024 (CDM) - Updated to run async and removed loop element</x:v>
      </x:c>
      <x:c r="AD518" s="119" t="str"/>
    </x:row>
    <x:row r="519" ht="34" customHeight="1">
      <x:c r="A519" s="117" t="str">
        <x:v>3005b000000H3voAAC</x:v>
      </x:c>
      <x:c r="B519" s="117" t="str">
        <x:v>Sales_Sheet_Screen_Flow</x:v>
      </x:c>
      <x:c r="C519" s="117" t="str">
        <x:v>Sales Sheet Screen Flow</x:v>
      </x:c>
      <x:c r="D519" s="117" t="str">
        <x:v>Yes</x:v>
      </x:c>
      <x:c r="E519" s="118" t="n">
        <x:v>27</x:v>
      </x:c>
      <x:c r="F519" s="118" t="n">
        <x:v>27</x:v>
      </x:c>
      <x:c r="G519" s="117" t="str">
        <x:v>Yes</x:v>
      </x:c>
      <x:c r="H519" s="119" t="str">
        <x:v>Active v27 (Retrieved XML)</x:v>
      </x:c>
      <x:c r="I519" s="117" t="str">
        <x:v>Flow</x:v>
      </x:c>
      <x:c r="J519" s="117" t="str"/>
      <x:c r="K519" s="117" t="str">
        <x:v>No</x:v>
      </x:c>
      <x:c r="L519" s="117" t="str"/>
      <x:c r="M519" s="117" t="str"/>
      <x:c r="N519" s="117" t="str">
        <x:v>SystemModeWithoutSharing</x:v>
      </x:c>
      <x:c r="O519" s="117"/>
      <x:c r="P519" s="117" t="str"/>
      <x:c r="Q519" s="117" t="str">
        <x:v>54.0</x:v>
      </x:c>
      <x:c r="R519" s="117" t="str">
        <x:v>unmanaged</x:v>
      </x:c>
      <x:c r="S519" s="118" t="n">
        <x:v>27</x:v>
      </x:c>
      <x:c r="T519" s="118" t="n">
        <x:v>12</x:v>
      </x:c>
      <x:c r="U519" s="118" t="n">
        <x:v>1</x:v>
      </x:c>
      <x:c r="V519" s="118" t="n">
        <x:v>0</x:v>
      </x:c>
      <x:c r="W519" s="118" t="n">
        <x:v>0</x:v>
      </x:c>
      <x:c r="X519" s="118" t="n">
        <x:v>0</x:v>
      </x:c>
      <x:c r="Y519" s="118" t="n">
        <x:v>1</x:v>
      </x:c>
      <x:c r="Z519" s="117" t="str">
        <x:v>N/A</x:v>
      </x:c>
      <x:c r="AA519" s="120" t="n">
        <x:v>45667.43519675926</x:v>
      </x:c>
      <x:c r="AB519" s="117" t="str">
        <x:v>Jon Kean</x:v>
      </x:c>
      <x:c r="AC519" s="119" t="str"/>
      <x:c r="AD519" s="119" t="str">
        <x:v>Active flow has no description</x:v>
      </x:c>
    </x:row>
    <x:row r="520" ht="34" customHeight="1">
      <x:c r="A520" s="117" t="str">
        <x:v>3005b000000H4ElAAK</x:v>
      </x:c>
      <x:c r="B520" s="117" t="str">
        <x:v>Salesforce_Case_Notifications</x:v>
      </x:c>
      <x:c r="C520" s="117" t="str">
        <x:v>Salesforce Case Notifications</x:v>
      </x:c>
      <x:c r="D520" s="117" t="str">
        <x:v>Yes</x:v>
      </x:c>
      <x:c r="E520" s="118" t="n">
        <x:v>49</x:v>
      </x:c>
      <x:c r="F520" s="118" t="n">
        <x:v>49</x:v>
      </x:c>
      <x:c r="G520" s="117" t="str">
        <x:v>Yes</x:v>
      </x:c>
      <x:c r="H520" s="119" t="str">
        <x:v>Active v49 (Retrieved XML)</x:v>
      </x:c>
      <x:c r="I520" s="117" t="str">
        <x:v>AutoLaunchedFlow</x:v>
      </x:c>
      <x:c r="J520" s="117" t="str">
        <x:v>Case</x:v>
      </x:c>
      <x:c r="K520" s="117" t="str">
        <x:v>Yes</x:v>
      </x:c>
      <x:c r="L520" s="117" t="str">
        <x:v>CreateAndUpdate</x:v>
      </x:c>
      <x:c r="M520" s="117" t="str">
        <x:v>RecordAfterSave</x:v>
      </x:c>
      <x:c r="N520" s="117"/>
      <x:c r="O520" s="117"/>
      <x:c r="P520" s="117" t="str"/>
      <x:c r="Q520" s="117" t="str">
        <x:v>55.0</x:v>
      </x:c>
      <x:c r="R520" s="117" t="str">
        <x:v>unmanaged</x:v>
      </x:c>
      <x:c r="S520" s="118" t="n">
        <x:v>39</x:v>
      </x:c>
      <x:c r="T520" s="118" t="n">
        <x:v>17</x:v>
      </x:c>
      <x:c r="U520" s="118" t="n">
        <x:v>1</x:v>
      </x:c>
      <x:c r="V520" s="118" t="n">
        <x:v>0</x:v>
      </x:c>
      <x:c r="W520" s="118" t="n">
        <x:v>7</x:v>
      </x:c>
      <x:c r="X520" s="118" t="n">
        <x:v>0</x:v>
      </x:c>
      <x:c r="Y520" s="118" t="n">
        <x:v>3</x:v>
      </x:c>
      <x:c r="Z520" s="117" t="str">
        <x:v>Review</x:v>
      </x:c>
      <x:c r="AA520" s="120" t="n">
        <x:v>46237.61313657407</x:v>
      </x:c>
      <x:c r="AB520" s="117" t="str">
        <x:v>Sacha Pearce</x:v>
      </x:c>
      <x:c r="AC520" s="119" t="str">
        <x:v>03/08/2026 - SP - Updating the "Notify Teams Case Creator" decision route to only run when the "Status" equals "Closed" with the record's prior "Status" value not equalling "Closed".</x:v>
      </x:c>
      <x:c r="AD520" s="119" t="str"/>
    </x:row>
    <x:row r="521" ht="34" customHeight="1">
      <x:c r="A521" s="117" t="str">
        <x:v>300Ro00000VQapGIAT</x:v>
      </x:c>
      <x:c r="B521" s="117" t="str">
        <x:v>Save_QA_Certificate_as_PDF</x:v>
      </x:c>
      <x:c r="C521" s="117" t="str">
        <x:v>Save QA Certificate as PDF</x:v>
      </x:c>
      <x:c r="D521" s="117" t="str">
        <x:v>Yes</x:v>
      </x:c>
      <x:c r="E521" s="118" t="n">
        <x:v>1</x:v>
      </x:c>
      <x:c r="F521" s="118" t="n">
        <x:v>1</x:v>
      </x:c>
      <x:c r="G521" s="117" t="str">
        <x:v>Yes</x:v>
      </x:c>
      <x:c r="H521" s="119" t="str">
        <x:v>Active v1 (Retrieved XML)</x:v>
      </x:c>
      <x:c r="I521" s="117" t="str">
        <x:v>Flow</x:v>
      </x:c>
      <x:c r="J521" s="117" t="str"/>
      <x:c r="K521" s="117" t="str">
        <x:v>No</x:v>
      </x:c>
      <x:c r="L521" s="117" t="str"/>
      <x:c r="M521" s="117" t="str"/>
      <x:c r="N521" s="117" t="str">
        <x:v>SystemModeWithoutSharing</x:v>
      </x:c>
      <x:c r="O521" s="117"/>
      <x:c r="P521" s="117" t="str"/>
      <x:c r="Q521" s="117" t="str">
        <x:v>63.0</x:v>
      </x:c>
      <x:c r="R521" s="117" t="str">
        <x:v>unmanaged</x:v>
      </x:c>
      <x:c r="S521" s="118" t="n">
        <x:v>1</x:v>
      </x:c>
      <x:c r="T521" s="118" t="n">
        <x:v>4</x:v>
      </x:c>
      <x:c r="U521" s="118" t="n">
        <x:v>0</x:v>
      </x:c>
      <x:c r="V521" s="118" t="n">
        <x:v>0</x:v>
      </x:c>
      <x:c r="W521" s="118" t="n">
        <x:v>1</x:v>
      </x:c>
      <x:c r="X521" s="118" t="n">
        <x:v>0</x:v>
      </x:c>
      <x:c r="Y521" s="118" t="n">
        <x:v>1</x:v>
      </x:c>
      <x:c r="Z521" s="117" t="str">
        <x:v>N/A</x:v>
      </x:c>
      <x:c r="AA521" s="120" t="n">
        <x:v>45784.47673611111</x:v>
      </x:c>
      <x:c r="AB521" s="117" t="str">
        <x:v>Delegate</x:v>
      </x:c>
      <x:c r="AC521" s="119" t="str">
        <x:v>04/18/2025 (BW) - Save QA Certificate as a PDF (replacing an apex method that does not want to work)</x:v>
      </x:c>
      <x:c r="AD521" s="119" t="str"/>
    </x:row>
    <x:row r="522" ht="34" customHeight="1">
      <x:c r="A522" s="117" t="str">
        <x:v>300Ro00000REVFmIAP</x:v>
      </x:c>
      <x:c r="B522" s="117" t="str">
        <x:v>Scheduled_Flow_Clean_Up_Historical_Service_Appointments</x:v>
      </x:c>
      <x:c r="C522" s="117" t="str">
        <x:v>Scheduled Flow | Clean Up Historical Service Appointments</x:v>
      </x:c>
      <x:c r="D522" s="117" t="str">
        <x:v>Yes</x:v>
      </x:c>
      <x:c r="E522" s="118" t="n">
        <x:v>1</x:v>
      </x:c>
      <x:c r="F522" s="118" t="n">
        <x:v>1</x:v>
      </x:c>
      <x:c r="G522" s="117" t="str">
        <x:v>Yes</x:v>
      </x:c>
      <x:c r="H522" s="119" t="str">
        <x:v>Active v1 (Retrieved XML)</x:v>
      </x:c>
      <x:c r="I522" s="117" t="str">
        <x:v>AutoLaunchedFlow</x:v>
      </x:c>
      <x:c r="J522" s="117" t="str">
        <x:v>ServiceAppointment</x:v>
      </x:c>
      <x:c r="K522" s="117" t="str">
        <x:v>Yes</x:v>
      </x:c>
      <x:c r="L522" s="117" t="str"/>
      <x:c r="M522" s="117" t="str">
        <x:v>Scheduled</x:v>
      </x:c>
      <x:c r="N522" s="117"/>
      <x:c r="O522" s="117"/>
      <x:c r="P522" s="117" t="str">
        <x:v>Daily</x:v>
      </x:c>
      <x:c r="Q522" s="117" t="str">
        <x:v>62.0</x:v>
      </x:c>
      <x:c r="R522" s="117" t="str">
        <x:v>unmanaged</x:v>
      </x:c>
      <x:c r="S522" s="118" t="n">
        <x:v>1</x:v>
      </x:c>
      <x:c r="T522" s="118" t="n">
        <x:v>4</x:v>
      </x:c>
      <x:c r="U522" s="118" t="n">
        <x:v>2</x:v>
      </x:c>
      <x:c r="V522" s="118" t="n">
        <x:v>0</x:v>
      </x:c>
      <x:c r="W522" s="118" t="n">
        <x:v>0</x:v>
      </x:c>
      <x:c r="X522" s="118" t="n">
        <x:v>0</x:v>
      </x:c>
      <x:c r="Y522" s="118" t="n">
        <x:v>1</x:v>
      </x:c>
      <x:c r="Z522" s="117" t="str">
        <x:v>Review</x:v>
      </x:c>
      <x:c r="AA522" s="120" t="n">
        <x:v>45702.60037037037</x:v>
      </x:c>
      <x:c r="AB522" s="117" t="str">
        <x:v>Delegate</x:v>
      </x:c>
      <x:c r="AC522" s="119" t="str">
        <x:v>02/14/2025 (BW) - Updating API Version</x:v>
      </x:c>
      <x:c r="AD522" s="119" t="str"/>
    </x:row>
    <x:row r="523" ht="34" customHeight="1">
      <x:c r="A523" s="117" t="str">
        <x:v>300Ro00000SQVeNIAX</x:v>
      </x:c>
      <x:c r="B523" s="117" t="str">
        <x:v>Scheduled_Update_Earliest_Permitted_Start_Date_to_Show_in_Dispatch_Console_Prope</x:v>
      </x:c>
      <x:c r="C523" s="117" t="str">
        <x:v>Scheduled: Update Earliest Permitted Start Date to Show in Dispatch Console Properly</x:v>
      </x:c>
      <x:c r="D523" s="117" t="str">
        <x:v>Yes</x:v>
      </x:c>
      <x:c r="E523" s="118" t="n">
        <x:v>2</x:v>
      </x:c>
      <x:c r="F523" s="118" t="n">
        <x:v>2</x:v>
      </x:c>
      <x:c r="G523" s="117" t="str">
        <x:v>Yes</x:v>
      </x:c>
      <x:c r="H523" s="119" t="str">
        <x:v>Active v2 (Retrieved XML)</x:v>
      </x:c>
      <x:c r="I523" s="117" t="str">
        <x:v>AutoLaunchedFlow</x:v>
      </x:c>
      <x:c r="J523" s="117" t="str">
        <x:v>ServiceAppointment</x:v>
      </x:c>
      <x:c r="K523" s="117" t="str">
        <x:v>Yes</x:v>
      </x:c>
      <x:c r="L523" s="117" t="str"/>
      <x:c r="M523" s="117" t="str">
        <x:v>Scheduled</x:v>
      </x:c>
      <x:c r="N523" s="117"/>
      <x:c r="O523" s="117"/>
      <x:c r="P523" s="117" t="str">
        <x:v>Daily</x:v>
      </x:c>
      <x:c r="Q523" s="117" t="str">
        <x:v>63.0</x:v>
      </x:c>
      <x:c r="R523" s="117" t="str">
        <x:v>unmanaged</x:v>
      </x:c>
      <x:c r="S523" s="118" t="n">
        <x:v>2</x:v>
      </x:c>
      <x:c r="T523" s="118" t="n">
        <x:v>4</x:v>
      </x:c>
      <x:c r="U523" s="118" t="n">
        <x:v>1</x:v>
      </x:c>
      <x:c r="V523" s="118" t="n">
        <x:v>0</x:v>
      </x:c>
      <x:c r="W523" s="118" t="n">
        <x:v>0</x:v>
      </x:c>
      <x:c r="X523" s="118" t="n">
        <x:v>0</x:v>
      </x:c>
      <x:c r="Y523" s="118" t="n">
        <x:v>1</x:v>
      </x:c>
      <x:c r="Z523" s="117" t="str">
        <x:v>Review</x:v>
      </x:c>
      <x:c r="AA523" s="120" t="n">
        <x:v>45782.67581018519</x:v>
      </x:c>
      <x:c r="AB523" s="117" t="str">
        <x:v>Delegate</x:v>
      </x:c>
      <x:c r="AC523" s="119" t="str">
        <x:v>05/05/2025 (BW) - Updated the flow so that it doesn't error when trying to set the earliest start time</x:v>
      </x:c>
      <x:c r="AD523" s="119" t="str"/>
    </x:row>
    <x:row r="524" ht="34" customHeight="1">
      <x:c r="A524" s="117" t="str">
        <x:v>300Ro00000LtJsPIAV</x:v>
      </x:c>
      <x:c r="B524" s="117" t="str">
        <x:v>Screen_Flow_Add_Purchasing_Return</x:v>
      </x:c>
      <x:c r="C524" s="117" t="str">
        <x:v>Screen Flow: Add Purchasing Return</x:v>
      </x:c>
      <x:c r="D524" s="117" t="str">
        <x:v>Yes</x:v>
      </x:c>
      <x:c r="E524" s="118" t="n">
        <x:v>19</x:v>
      </x:c>
      <x:c r="F524" s="118" t="n">
        <x:v>20</x:v>
      </x:c>
      <x:c r="G524" s="117" t="str">
        <x:v>No</x:v>
      </x:c>
      <x:c r="H524" s="119" t="str">
        <x:v>Active v19 (Tooling metadata)</x:v>
      </x:c>
      <x:c r="I524" s="117" t="str">
        <x:v>Flow</x:v>
      </x:c>
      <x:c r="J524" s="117" t="str"/>
      <x:c r="K524" s="117" t="str">
        <x:v>No</x:v>
      </x:c>
      <x:c r="L524" s="117" t="str"/>
      <x:c r="M524" s="117" t="str"/>
      <x:c r="N524" s="117" t="str">
        <x:v>SystemModeWithoutSharing</x:v>
      </x:c>
      <x:c r="O524" s="117"/>
      <x:c r="P524" s="117" t="str"/>
      <x:c r="Q524" s="117" t="n">
        <x:v>62</x:v>
      </x:c>
      <x:c r="R524" s="117" t="str">
        <x:v>unmanaged</x:v>
      </x:c>
      <x:c r="S524" s="118" t="n">
        <x:v>20</x:v>
      </x:c>
      <x:c r="T524" s="118" t="n">
        <x:v>29</x:v>
      </x:c>
      <x:c r="U524" s="118" t="n">
        <x:v>4</x:v>
      </x:c>
      <x:c r="V524" s="118" t="n">
        <x:v>0</x:v>
      </x:c>
      <x:c r="W524" s="118" t="n">
        <x:v>0</x:v>
      </x:c>
      <x:c r="X524" s="118" t="n">
        <x:v>2</x:v>
      </x:c>
      <x:c r="Y524" s="118" t="n">
        <x:v>3</x:v>
      </x:c>
      <x:c r="Z524" s="117" t="str">
        <x:v>N/A</x:v>
      </x:c>
      <x:c r="AA524" s="120" t="n">
        <x:v>46198.38630787037</x:v>
      </x:c>
      <x:c r="AB524" s="117" t="str">
        <x:v>Sacha Pearce</x:v>
      </x:c>
      <x:c r="AC524" s="119" t="str">
        <x:v>25/06/2026 - SP - Introducing the "formulaSubmitToShipping" formula to return "FALSE" if the if Asset's "Ownership" field is "PROBO-UK".</x:v>
      </x:c>
      <x:c r="AD524" s="119" t="str">
        <x:v>Active version differs from latest; Touches many objects</x:v>
      </x:c>
    </x:row>
    <x:row r="525" ht="34" customHeight="1">
      <x:c r="A525" s="117" t="str">
        <x:v>300Ro00000XmLK7IAN</x:v>
      </x:c>
      <x:c r="B525" s="117" t="str">
        <x:v>Screen_Flow_Convert_TSLJ_to_Location_Address</x:v>
      </x:c>
      <x:c r="C525" s="117" t="str">
        <x:v>Screen Flow: Convert TSLJ to Location/Address</x:v>
      </x:c>
      <x:c r="D525" s="117" t="str">
        <x:v>Yes</x:v>
      </x:c>
      <x:c r="E525" s="118" t="n">
        <x:v>2</x:v>
      </x:c>
      <x:c r="F525" s="118" t="n">
        <x:v>2</x:v>
      </x:c>
      <x:c r="G525" s="117" t="str">
        <x:v>Yes</x:v>
      </x:c>
      <x:c r="H525" s="119" t="str">
        <x:v>Active v2 (Retrieved XML)</x:v>
      </x:c>
      <x:c r="I525" s="117" t="str">
        <x:v>Flow</x:v>
      </x:c>
      <x:c r="J525" s="117" t="str"/>
      <x:c r="K525" s="117" t="str">
        <x:v>No</x:v>
      </x:c>
      <x:c r="L525" s="117" t="str"/>
      <x:c r="M525" s="117" t="str"/>
      <x:c r="N525" s="117"/>
      <x:c r="O525" s="117"/>
      <x:c r="P525" s="117" t="str"/>
      <x:c r="Q525" s="117" t="str">
        <x:v>63.0</x:v>
      </x:c>
      <x:c r="R525" s="117" t="str">
        <x:v>unmanaged</x:v>
      </x:c>
      <x:c r="S525" s="118" t="n">
        <x:v>2</x:v>
      </x:c>
      <x:c r="T525" s="118" t="n">
        <x:v>10</x:v>
      </x:c>
      <x:c r="U525" s="118" t="n">
        <x:v>3</x:v>
      </x:c>
      <x:c r="V525" s="118" t="n">
        <x:v>0</x:v>
      </x:c>
      <x:c r="W525" s="118" t="n">
        <x:v>0</x:v>
      </x:c>
      <x:c r="X525" s="118" t="n">
        <x:v>0</x:v>
      </x:c>
      <x:c r="Y525" s="118" t="n">
        <x:v>2</x:v>
      </x:c>
      <x:c r="Z525" s="117" t="str">
        <x:v>N/A</x:v>
      </x:c>
      <x:c r="AA525" s="120" t="n">
        <x:v>45821.680439814816</x:v>
      </x:c>
      <x:c r="AB525" s="117" t="str">
        <x:v>Delegate</x:v>
      </x:c>
      <x:c r="AC525" s="119" t="str"/>
      <x:c r="AD525" s="119" t="str">
        <x:v>Active flow has no description</x:v>
      </x:c>
    </x:row>
    <x:row r="526" ht="34" customHeight="1">
      <x:c r="A526" s="117" t="str">
        <x:v>300Ro00000cwVgkIAE</x:v>
      </x:c>
      <x:c r="B526" s="117" t="str">
        <x:v>Screen_Flow_Create_New_Service_Asset_From_Work_Order</x:v>
      </x:c>
      <x:c r="C526" s="117" t="str">
        <x:v>Screen Flow | Create New Service Asset From Work Order</x:v>
      </x:c>
      <x:c r="D526" s="117" t="str">
        <x:v>Yes</x:v>
      </x:c>
      <x:c r="E526" s="118" t="n">
        <x:v>1</x:v>
      </x:c>
      <x:c r="F526" s="118" t="n">
        <x:v>1</x:v>
      </x:c>
      <x:c r="G526" s="117" t="str">
        <x:v>Yes</x:v>
      </x:c>
      <x:c r="H526" s="119" t="str">
        <x:v>Active v1 (Retrieved XML)</x:v>
      </x:c>
      <x:c r="I526" s="117" t="str">
        <x:v>Flow</x:v>
      </x:c>
      <x:c r="J526" s="117" t="str"/>
      <x:c r="K526" s="117" t="str">
        <x:v>No</x:v>
      </x:c>
      <x:c r="L526" s="117" t="str"/>
      <x:c r="M526" s="117" t="str"/>
      <x:c r="N526" s="117"/>
      <x:c r="O526" s="117"/>
      <x:c r="P526" s="117" t="str"/>
      <x:c r="Q526" s="117" t="str">
        <x:v>62.0</x:v>
      </x:c>
      <x:c r="R526" s="117" t="str">
        <x:v>unmanaged</x:v>
      </x:c>
      <x:c r="S526" s="118" t="n">
        <x:v>1</x:v>
      </x:c>
      <x:c r="T526" s="118" t="n">
        <x:v>6</x:v>
      </x:c>
      <x:c r="U526" s="118" t="n">
        <x:v>2</x:v>
      </x:c>
      <x:c r="V526" s="118" t="n">
        <x:v>0</x:v>
      </x:c>
      <x:c r="W526" s="118" t="n">
        <x:v>0</x:v>
      </x:c>
      <x:c r="X526" s="118" t="n">
        <x:v>1</x:v>
      </x:c>
      <x:c r="Y526" s="118" t="n">
        <x:v>1</x:v>
      </x:c>
      <x:c r="Z526" s="117" t="str">
        <x:v>N/A</x:v>
      </x:c>
      <x:c r="AA526" s="120" t="n">
        <x:v>45888.79201388889</x:v>
      </x:c>
      <x:c r="AB526" s="117" t="str">
        <x:v>Delegate</x:v>
      </x:c>
      <x:c r="AC526" s="119" t="str">
        <x:v>09/20/2024 (BW) - Added node to update the current work order with the new service asset ID</x:v>
      </x:c>
      <x:c r="AD526" s="119" t="str"/>
    </x:row>
    <x:row r="527" ht="34" customHeight="1">
      <x:c r="A527" s="117" t="str">
        <x:v>300Ro00000cwVglIAE</x:v>
      </x:c>
      <x:c r="B527" s="117" t="str">
        <x:v>Screen_Flow_Create_Sales_Asset_from_Service_Asset</x:v>
      </x:c>
      <x:c r="C527" s="117" t="str">
        <x:v>Screen Flow | Create Sales Asset from Service Asset</x:v>
      </x:c>
      <x:c r="D527" s="117" t="str">
        <x:v>No</x:v>
      </x:c>
      <x:c r="E527" s="118"/>
      <x:c r="F527" s="118" t="n">
        <x:v>1</x:v>
      </x:c>
      <x:c r="G527" s="117" t="str">
        <x:v>N/A</x:v>
      </x:c>
      <x:c r="H527" s="119" t="str">
        <x:v>Latest inactive v1 (Retrieved XML)</x:v>
      </x:c>
      <x:c r="I527" s="117" t="str">
        <x:v>Flow</x:v>
      </x:c>
      <x:c r="J527" s="117" t="str"/>
      <x:c r="K527" s="117" t="str">
        <x:v>No</x:v>
      </x:c>
      <x:c r="L527" s="117" t="str"/>
      <x:c r="M527" s="117" t="str"/>
      <x:c r="N527" s="117"/>
      <x:c r="O527" s="117"/>
      <x:c r="P527" s="117" t="str"/>
      <x:c r="Q527" s="117" t="str">
        <x:v>62.0</x:v>
      </x:c>
      <x:c r="R527" s="117" t="str">
        <x:v>unmanaged</x:v>
      </x:c>
      <x:c r="S527" s="118" t="n">
        <x:v>1</x:v>
      </x:c>
      <x:c r="T527" s="118" t="n">
        <x:v>9</x:v>
      </x:c>
      <x:c r="U527" s="118" t="n">
        <x:v>2</x:v>
      </x:c>
      <x:c r="V527" s="118" t="n">
        <x:v>1</x:v>
      </x:c>
      <x:c r="W527" s="118" t="n">
        <x:v>0</x:v>
      </x:c>
      <x:c r="X527" s="118" t="n">
        <x:v>1</x:v>
      </x:c>
      <x:c r="Y527" s="118" t="n">
        <x:v>1</x:v>
      </x:c>
      <x:c r="Z527" s="117" t="str">
        <x:v>N/A</x:v>
      </x:c>
      <x:c r="AA527" s="120" t="n">
        <x:v>45884.748761574076</x:v>
      </x:c>
      <x:c r="AB527" s="117" t="str">
        <x:v>Delegate</x:v>
      </x:c>
      <x:c r="AC527" s="119" t="str">
        <x:v>09/16/2024 (BW) - Creates a Sales Asset off of a Service Asset</x:v>
      </x:c>
      <x:c r="AD527" s="119" t="str"/>
    </x:row>
    <x:row r="528" ht="34" customHeight="1">
      <x:c r="A528" s="117" t="str">
        <x:v>300Ro00000cwVgmIAE</x:v>
      </x:c>
      <x:c r="B528" s="117" t="str">
        <x:v>Screen_Flow_Create_Service_Asset_from_Sales_Asset</x:v>
      </x:c>
      <x:c r="C528" s="117" t="str">
        <x:v>Screen Flow | Create Service Asset from Sales Asset</x:v>
      </x:c>
      <x:c r="D528" s="117" t="str">
        <x:v>No</x:v>
      </x:c>
      <x:c r="E528" s="118"/>
      <x:c r="F528" s="118" t="n">
        <x:v>1</x:v>
      </x:c>
      <x:c r="G528" s="117" t="str">
        <x:v>N/A</x:v>
      </x:c>
      <x:c r="H528" s="119" t="str">
        <x:v>Latest inactive v1 (Retrieved XML)</x:v>
      </x:c>
      <x:c r="I528" s="117" t="str">
        <x:v>Flow</x:v>
      </x:c>
      <x:c r="J528" s="117" t="str"/>
      <x:c r="K528" s="117" t="str">
        <x:v>No</x:v>
      </x:c>
      <x:c r="L528" s="117" t="str"/>
      <x:c r="M528" s="117" t="str"/>
      <x:c r="N528" s="117"/>
      <x:c r="O528" s="117"/>
      <x:c r="P528" s="117" t="str"/>
      <x:c r="Q528" s="117" t="str">
        <x:v>62.0</x:v>
      </x:c>
      <x:c r="R528" s="117" t="str">
        <x:v>unmanaged</x:v>
      </x:c>
      <x:c r="S528" s="118" t="n">
        <x:v>1</x:v>
      </x:c>
      <x:c r="T528" s="118" t="n">
        <x:v>7</x:v>
      </x:c>
      <x:c r="U528" s="118" t="n">
        <x:v>1</x:v>
      </x:c>
      <x:c r="V528" s="118" t="n">
        <x:v>1</x:v>
      </x:c>
      <x:c r="W528" s="118" t="n">
        <x:v>0</x:v>
      </x:c>
      <x:c r="X528" s="118" t="n">
        <x:v>1</x:v>
      </x:c>
      <x:c r="Y528" s="118" t="n">
        <x:v>1</x:v>
      </x:c>
      <x:c r="Z528" s="117" t="str">
        <x:v>N/A</x:v>
      </x:c>
      <x:c r="AA528" s="120" t="n">
        <x:v>45884.748773148145</x:v>
      </x:c>
      <x:c r="AB528" s="117" t="str">
        <x:v>Delegate</x:v>
      </x:c>
      <x:c r="AC528" s="119" t="str">
        <x:v>09/16/2024 (BW) - Added a portion so that a second service asset can not be created for the same sales asset</x:v>
      </x:c>
      <x:c r="AD528" s="119" t="str"/>
    </x:row>
    <x:row r="529" ht="34" customHeight="1">
      <x:c r="A529" s="117" t="str">
        <x:v>300Ro00000LtI8OIAV</x:v>
      </x:c>
      <x:c r="B529" s="117" t="str">
        <x:v>Screen_Flow_Scrap_Asset_on_System_Work_Order</x:v>
      </x:c>
      <x:c r="C529" s="117" t="str">
        <x:v>Screen Flow: Scrap Asset on System Work Order</x:v>
      </x:c>
      <x:c r="D529" s="117" t="str">
        <x:v>Yes</x:v>
      </x:c>
      <x:c r="E529" s="118" t="n">
        <x:v>1</x:v>
      </x:c>
      <x:c r="F529" s="118" t="n">
        <x:v>1</x:v>
      </x:c>
      <x:c r="G529" s="117" t="str">
        <x:v>Yes</x:v>
      </x:c>
      <x:c r="H529" s="119" t="str">
        <x:v>Active v1 (Retrieved XML)</x:v>
      </x:c>
      <x:c r="I529" s="117" t="str">
        <x:v>Flow</x:v>
      </x:c>
      <x:c r="J529" s="117" t="str"/>
      <x:c r="K529" s="117" t="str">
        <x:v>No</x:v>
      </x:c>
      <x:c r="L529" s="117" t="str"/>
      <x:c r="M529" s="117" t="str"/>
      <x:c r="N529" s="117"/>
      <x:c r="O529" s="117"/>
      <x:c r="P529" s="117" t="str"/>
      <x:c r="Q529" s="117" t="str">
        <x:v>62.0</x:v>
      </x:c>
      <x:c r="R529" s="117" t="str">
        <x:v>unmanaged</x:v>
      </x:c>
      <x:c r="S529" s="118" t="n">
        <x:v>1</x:v>
      </x:c>
      <x:c r="T529" s="118" t="n">
        <x:v>8</x:v>
      </x:c>
      <x:c r="U529" s="118" t="n">
        <x:v>2</x:v>
      </x:c>
      <x:c r="V529" s="118" t="n">
        <x:v>0</x:v>
      </x:c>
      <x:c r="W529" s="118" t="n">
        <x:v>3</x:v>
      </x:c>
      <x:c r="X529" s="118" t="n">
        <x:v>0</x:v>
      </x:c>
      <x:c r="Y529" s="118" t="n">
        <x:v>1</x:v>
      </x:c>
      <x:c r="Z529" s="117" t="str">
        <x:v>N/A</x:v>
      </x:c>
      <x:c r="AA529" s="120" t="n">
        <x:v>45600.197696759256</x:v>
      </x:c>
      <x:c r="AB529" s="117" t="str">
        <x:v>Delegate</x:v>
      </x:c>
      <x:c r="AC529" s="119" t="str"/>
      <x:c r="AD529" s="119" t="str">
        <x:v>Active flow has no description</x:v>
      </x:c>
    </x:row>
    <x:row r="530" ht="34" customHeight="1">
      <x:c r="A530" s="117" t="str">
        <x:v>300Ro00000tAYdSIAW</x:v>
      </x:c>
      <x:c r="B530" s="117" t="str">
        <x:v>Screen_Flow_Select_IR_Assets</x:v>
      </x:c>
      <x:c r="C530" s="117" t="str">
        <x:v>Screen Flow: Select IR Assets</x:v>
      </x:c>
      <x:c r="D530" s="117" t="str">
        <x:v>Yes</x:v>
      </x:c>
      <x:c r="E530" s="118" t="n">
        <x:v>4</x:v>
      </x:c>
      <x:c r="F530" s="118" t="n">
        <x:v>4</x:v>
      </x:c>
      <x:c r="G530" s="117" t="str">
        <x:v>Yes</x:v>
      </x:c>
      <x:c r="H530" s="119" t="str">
        <x:v>Active v4 (Retrieved XML)</x:v>
      </x:c>
      <x:c r="I530" s="117" t="str">
        <x:v>Flow</x:v>
      </x:c>
      <x:c r="J530" s="117" t="str"/>
      <x:c r="K530" s="117" t="str">
        <x:v>No</x:v>
      </x:c>
      <x:c r="L530" s="117" t="str"/>
      <x:c r="M530" s="117" t="str"/>
      <x:c r="N530" s="117"/>
      <x:c r="O530" s="117"/>
      <x:c r="P530" s="117" t="str"/>
      <x:c r="Q530" s="117" t="str">
        <x:v>66.0</x:v>
      </x:c>
      <x:c r="R530" s="117" t="str">
        <x:v>unmanaged</x:v>
      </x:c>
      <x:c r="S530" s="118" t="n">
        <x:v>1</x:v>
      </x:c>
      <x:c r="T530" s="118" t="n">
        <x:v>6</x:v>
      </x:c>
      <x:c r="U530" s="118" t="n">
        <x:v>1</x:v>
      </x:c>
      <x:c r="V530" s="118" t="n">
        <x:v>0</x:v>
      </x:c>
      <x:c r="W530" s="118" t="n">
        <x:v>2</x:v>
      </x:c>
      <x:c r="X530" s="118" t="n">
        <x:v>1</x:v>
      </x:c>
      <x:c r="Y530" s="118" t="n">
        <x:v>1</x:v>
      </x:c>
      <x:c r="Z530" s="117" t="str">
        <x:v>N/A</x:v>
      </x:c>
      <x:c r="AA530" s="120" t="n">
        <x:v>46102.92675925926</x:v>
      </x:c>
      <x:c r="AB530" s="117" t="str">
        <x:v>Delegate</x:v>
      </x:c>
      <x:c r="AC530" s="119" t="str"/>
      <x:c r="AD530" s="119" t="str">
        <x:v>Active flow has no description</x:v>
      </x:c>
    </x:row>
    <x:row r="531" ht="34" customHeight="1">
      <x:c r="A531" s="117" t="str">
        <x:v>300Ro00000ViqyjIAB</x:v>
      </x:c>
      <x:c r="B531" s="117" t="str">
        <x:v>Screen_Flow_Select_Products_to_Invoice_on_Equipment_Storage_Opps</x:v>
      </x:c>
      <x:c r="C531" s="117" t="str">
        <x:v>Screen Flow | Select Products to Invoice on Equipment Storage Opps</x:v>
      </x:c>
      <x:c r="D531" s="117" t="str">
        <x:v>Yes</x:v>
      </x:c>
      <x:c r="E531" s="118" t="n">
        <x:v>2</x:v>
      </x:c>
      <x:c r="F531" s="118" t="n">
        <x:v>2</x:v>
      </x:c>
      <x:c r="G531" s="117" t="str">
        <x:v>Yes</x:v>
      </x:c>
      <x:c r="H531" s="119" t="str">
        <x:v>Active v2 (Retrieved XML)</x:v>
      </x:c>
      <x:c r="I531" s="117" t="str">
        <x:v>Flow</x:v>
      </x:c>
      <x:c r="J531" s="117" t="str"/>
      <x:c r="K531" s="117" t="str">
        <x:v>No</x:v>
      </x:c>
      <x:c r="L531" s="117" t="str"/>
      <x:c r="M531" s="117" t="str"/>
      <x:c r="N531" s="117"/>
      <x:c r="O531" s="117"/>
      <x:c r="P531" s="117" t="str"/>
      <x:c r="Q531" s="117" t="str">
        <x:v>63.0</x:v>
      </x:c>
      <x:c r="R531" s="117" t="str">
        <x:v>unmanaged</x:v>
      </x:c>
      <x:c r="S531" s="118" t="n">
        <x:v>2</x:v>
      </x:c>
      <x:c r="T531" s="118" t="n">
        <x:v>30</x:v>
      </x:c>
      <x:c r="U531" s="118" t="n">
        <x:v>3</x:v>
      </x:c>
      <x:c r="V531" s="118" t="n">
        <x:v>0</x:v>
      </x:c>
      <x:c r="W531" s="118" t="n">
        <x:v>0</x:v>
      </x:c>
      <x:c r="X531" s="118" t="n">
        <x:v>2</x:v>
      </x:c>
      <x:c r="Y531" s="118" t="n">
        <x:v>3</x:v>
      </x:c>
      <x:c r="Z531" s="117" t="str">
        <x:v>N/A</x:v>
      </x:c>
      <x:c r="AA531" s="120" t="n">
        <x:v>45789.58305555556</x:v>
      </x:c>
      <x:c r="AB531" s="117" t="str">
        <x:v>Delegate</x:v>
      </x:c>
      <x:c r="AC531" s="119" t="str">
        <x:v>04/18/2025 (BW) - Updated the names of the fields in the screen</x:v>
      </x:c>
      <x:c r="AD531" s="119" t="str"/>
    </x:row>
    <x:row r="532" ht="34" customHeight="1">
      <x:c r="A532" s="117" t="str">
        <x:v>300Ro00000H90tSIAR</x:v>
      </x:c>
      <x:c r="B532" s="117" t="str">
        <x:v>Screen_Flow_Update_Classification_From_SA</x:v>
      </x:c>
      <x:c r="C532" s="117" t="str">
        <x:v>Screen Flow: Update Classification From SA</x:v>
      </x:c>
      <x:c r="D532" s="117" t="str">
        <x:v>Yes</x:v>
      </x:c>
      <x:c r="E532" s="118" t="n">
        <x:v>1</x:v>
      </x:c>
      <x:c r="F532" s="118" t="n">
        <x:v>1</x:v>
      </x:c>
      <x:c r="G532" s="117" t="str">
        <x:v>Yes</x:v>
      </x:c>
      <x:c r="H532" s="119" t="str">
        <x:v>Active v1 (Retrieved XML)</x:v>
      </x:c>
      <x:c r="I532" s="117" t="str">
        <x:v>Flow</x:v>
      </x:c>
      <x:c r="J532" s="117" t="str"/>
      <x:c r="K532" s="117" t="str">
        <x:v>No</x:v>
      </x:c>
      <x:c r="L532" s="117" t="str"/>
      <x:c r="M532" s="117" t="str"/>
      <x:c r="N532" s="117"/>
      <x:c r="O532" s="117"/>
      <x:c r="P532" s="117" t="str"/>
      <x:c r="Q532" s="117" t="str">
        <x:v>61.0</x:v>
      </x:c>
      <x:c r="R532" s="117" t="str">
        <x:v>unmanaged</x:v>
      </x:c>
      <x:c r="S532" s="118" t="n">
        <x:v>1</x:v>
      </x:c>
      <x:c r="T532" s="118" t="n">
        <x:v>9</x:v>
      </x:c>
      <x:c r="U532" s="118" t="n">
        <x:v>2</x:v>
      </x:c>
      <x:c r="V532" s="118" t="n">
        <x:v>0</x:v>
      </x:c>
      <x:c r="W532" s="118" t="n">
        <x:v>0</x:v>
      </x:c>
      <x:c r="X532" s="118" t="n">
        <x:v>0</x:v>
      </x:c>
      <x:c r="Y532" s="118" t="n">
        <x:v>1</x:v>
      </x:c>
      <x:c r="Z532" s="117" t="str">
        <x:v>N/A</x:v>
      </x:c>
      <x:c r="AA532" s="120" t="n">
        <x:v>45514.78563657407</x:v>
      </x:c>
      <x:c r="AB532" s="117" t="str">
        <x:v>Delegate</x:v>
      </x:c>
      <x:c r="AC532" s="119" t="str"/>
      <x:c r="AD532" s="119" t="str">
        <x:v>Active flow has no description</x:v>
      </x:c>
    </x:row>
    <x:row r="533" ht="34" customHeight="1">
      <x:c r="A533" s="117" t="str">
        <x:v>300Ro00000GpZycIAF</x:v>
      </x:c>
      <x:c r="B533" s="117" t="str">
        <x:v>Screen_Flow_Update_Shipping_FIelds</x:v>
      </x:c>
      <x:c r="C533" s="117" t="str">
        <x:v>Screen Flow: Update Shipping FIelds</x:v>
      </x:c>
      <x:c r="D533" s="117" t="str">
        <x:v>Yes</x:v>
      </x:c>
      <x:c r="E533" s="118" t="n">
        <x:v>2</x:v>
      </x:c>
      <x:c r="F533" s="118" t="n">
        <x:v>2</x:v>
      </x:c>
      <x:c r="G533" s="117" t="str">
        <x:v>Yes</x:v>
      </x:c>
      <x:c r="H533" s="119" t="str">
        <x:v>Active v2 (Retrieved XML)</x:v>
      </x:c>
      <x:c r="I533" s="117" t="str">
        <x:v>Flow</x:v>
      </x:c>
      <x:c r="J533" s="117" t="str"/>
      <x:c r="K533" s="117" t="str">
        <x:v>No</x:v>
      </x:c>
      <x:c r="L533" s="117" t="str"/>
      <x:c r="M533" s="117" t="str"/>
      <x:c r="N533" s="117"/>
      <x:c r="O533" s="117"/>
      <x:c r="P533" s="117" t="str"/>
      <x:c r="Q533" s="117" t="str">
        <x:v>61.0</x:v>
      </x:c>
      <x:c r="R533" s="117" t="str">
        <x:v>unmanaged</x:v>
      </x:c>
      <x:c r="S533" s="118" t="n">
        <x:v>2</x:v>
      </x:c>
      <x:c r="T533" s="118" t="n">
        <x:v>8</x:v>
      </x:c>
      <x:c r="U533" s="118" t="n">
        <x:v>3</x:v>
      </x:c>
      <x:c r="V533" s="118" t="n">
        <x:v>0</x:v>
      </x:c>
      <x:c r="W533" s="118" t="n">
        <x:v>0</x:v>
      </x:c>
      <x:c r="X533" s="118" t="n">
        <x:v>2</x:v>
      </x:c>
      <x:c r="Y533" s="118" t="n">
        <x:v>2</x:v>
      </x:c>
      <x:c r="Z533" s="117" t="str">
        <x:v>N/A</x:v>
      </x:c>
      <x:c r="AA533" s="120" t="n">
        <x:v>45510.241689814815</x:v>
      </x:c>
      <x:c r="AB533" s="117" t="str">
        <x:v>Delegate</x:v>
      </x:c>
      <x:c r="AC533" s="119" t="str"/>
      <x:c r="AD533" s="119" t="str">
        <x:v>Active flow has no description</x:v>
      </x:c>
    </x:row>
    <x:row r="534" ht="34" customHeight="1">
      <x:c r="A534" s="117" t="str">
        <x:v>300Ro00000U7G8UIAV</x:v>
      </x:c>
      <x:c r="B534" s="117" t="str">
        <x:v>Screen_Work_Order_Asset_Contract_Line_Update</x:v>
      </x:c>
      <x:c r="C534" s="117" t="str">
        <x:v>Screen - Work Order - Asset &amp; Contract Line Update</x:v>
      </x:c>
      <x:c r="D534" s="117" t="str">
        <x:v>Yes</x:v>
      </x:c>
      <x:c r="E534" s="118" t="n">
        <x:v>1</x:v>
      </x:c>
      <x:c r="F534" s="118" t="n">
        <x:v>2</x:v>
      </x:c>
      <x:c r="G534" s="117" t="str">
        <x:v>No</x:v>
      </x:c>
      <x:c r="H534" s="119" t="str">
        <x:v>Active v1 (Tooling metadata)</x:v>
      </x:c>
      <x:c r="I534" s="117" t="str">
        <x:v>Flow</x:v>
      </x:c>
      <x:c r="J534" s="117" t="str"/>
      <x:c r="K534" s="117" t="str">
        <x:v>No</x:v>
      </x:c>
      <x:c r="L534" s="117" t="str"/>
      <x:c r="M534" s="117" t="str"/>
      <x:c r="N534" s="117"/>
      <x:c r="O534" s="117"/>
      <x:c r="P534" s="117" t="str"/>
      <x:c r="Q534" s="117" t="n">
        <x:v>63</x:v>
      </x:c>
      <x:c r="R534" s="117" t="str">
        <x:v>unmanaged</x:v>
      </x:c>
      <x:c r="S534" s="118" t="n">
        <x:v>2</x:v>
      </x:c>
      <x:c r="T534" s="118" t="n">
        <x:v>39</x:v>
      </x:c>
      <x:c r="U534" s="118" t="n">
        <x:v>7</x:v>
      </x:c>
      <x:c r="V534" s="118" t="n">
        <x:v>0</x:v>
      </x:c>
      <x:c r="W534" s="118" t="n">
        <x:v>0</x:v>
      </x:c>
      <x:c r="X534" s="118" t="n">
        <x:v>1</x:v>
      </x:c>
      <x:c r="Y534" s="118" t="n">
        <x:v>4</x:v>
      </x:c>
      <x:c r="Z534" s="117" t="str">
        <x:v>N/A</x:v>
      </x:c>
      <x:c r="AA534" s="120" t="n">
        <x:v>45757.881203703706</x:v>
      </x:c>
      <x:c r="AB534" s="117" t="str">
        <x:v>Delegate</x:v>
      </x:c>
      <x:c r="AC534" s="119" t="str">
        <x:v>03/24/2025 - Kyle/Delegate - Button to be used on Work Order object to search for related asset associations and easily swap it from one contract line to correct contract line.
04/03/2025 - Kyle/Delegate - Continued updates and testing.
04/10/2025 - Kyle/Delegate - Updates to displayed data table from Sacha's requests</x:v>
      </x:c>
      <x:c r="AD534" s="119" t="str">
        <x:v>Active version differs from latest; High element count; Touches many objects</x:v>
      </x:c>
    </x:row>
    <x:row r="535" ht="34" customHeight="1">
      <x:c r="A535" s="117" t="str">
        <x:v>300Ro00000UfjBLIAZ</x:v>
      </x:c>
      <x:c r="B535" s="117" t="str">
        <x:v>Screen_Work_Order_Create_Tentative_SAs</x:v>
      </x:c>
      <x:c r="C535" s="117" t="str">
        <x:v>Screen - Work Order - Create Tentative SAs</x:v>
      </x:c>
      <x:c r="D535" s="117" t="str">
        <x:v>Yes</x:v>
      </x:c>
      <x:c r="E535" s="118" t="n">
        <x:v>1</x:v>
      </x:c>
      <x:c r="F535" s="118" t="n">
        <x:v>1</x:v>
      </x:c>
      <x:c r="G535" s="117" t="str">
        <x:v>Yes</x:v>
      </x:c>
      <x:c r="H535" s="119" t="str">
        <x:v>Active v1 (Retrieved XML)</x:v>
      </x:c>
      <x:c r="I535" s="117" t="str">
        <x:v>Flow</x:v>
      </x:c>
      <x:c r="J535" s="117" t="str"/>
      <x:c r="K535" s="117" t="str">
        <x:v>No</x:v>
      </x:c>
      <x:c r="L535" s="117" t="str"/>
      <x:c r="M535" s="117" t="str"/>
      <x:c r="N535" s="117"/>
      <x:c r="O535" s="117"/>
      <x:c r="P535" s="117" t="str"/>
      <x:c r="Q535" s="117" t="str">
        <x:v>63.0</x:v>
      </x:c>
      <x:c r="R535" s="117" t="str">
        <x:v>unmanaged</x:v>
      </x:c>
      <x:c r="S535" s="118" t="n">
        <x:v>1</x:v>
      </x:c>
      <x:c r="T535" s="118" t="n">
        <x:v>12</x:v>
      </x:c>
      <x:c r="U535" s="118" t="n">
        <x:v>5</x:v>
      </x:c>
      <x:c r="V535" s="118" t="n">
        <x:v>0</x:v>
      </x:c>
      <x:c r="W535" s="118" t="n">
        <x:v>0</x:v>
      </x:c>
      <x:c r="X535" s="118" t="n">
        <x:v>2</x:v>
      </x:c>
      <x:c r="Y535" s="118" t="n">
        <x:v>2</x:v>
      </x:c>
      <x:c r="Z535" s="117" t="str">
        <x:v>N/A</x:v>
      </x:c>
      <x:c r="AA535" s="120" t="n">
        <x:v>45771.540925925925</x:v>
      </x:c>
      <x:c r="AB535" s="117" t="str">
        <x:v>Delegate</x:v>
      </x:c>
      <x:c r="AC535" s="119" t="str">
        <x:v>04/17/2025 - Kyle/Delegate - Create placeholder Service Appointments based on Client scheduling needs</x:v>
      </x:c>
      <x:c r="AD535" s="119" t="str">
        <x:v>Touches many objects</x:v>
      </x:c>
    </x:row>
    <x:row r="536" ht="34" customHeight="1">
      <x:c r="A536" s="117" t="str">
        <x:v>300Ro00000uulooIAA</x:v>
      </x:c>
      <x:c r="B536" s="117" t="str">
        <x:v>Scrub_AvaTax_Exception_Code_from_New_Products</x:v>
      </x:c>
      <x:c r="C536" s="117" t="str">
        <x:v>Scrub AvaTax Exception Code from New Products</x:v>
      </x:c>
      <x:c r="D536" s="117" t="str">
        <x:v>Yes</x:v>
      </x:c>
      <x:c r="E536" s="118" t="n">
        <x:v>1</x:v>
      </x:c>
      <x:c r="F536" s="118" t="n">
        <x:v>1</x:v>
      </x:c>
      <x:c r="G536" s="117" t="str">
        <x:v>Yes</x:v>
      </x:c>
      <x:c r="H536" s="119" t="str">
        <x:v>Active v1 (Retrieved XML)</x:v>
      </x:c>
      <x:c r="I536" s="117" t="str">
        <x:v>AutoLaunchedFlow</x:v>
      </x:c>
      <x:c r="J536" s="117" t="str">
        <x:v>Product2</x:v>
      </x:c>
      <x:c r="K536" s="117" t="str">
        <x:v>Yes</x:v>
      </x:c>
      <x:c r="L536" s="117" t="str">
        <x:v>Create</x:v>
      </x:c>
      <x:c r="M536" s="117" t="str">
        <x:v>RecordBeforeSave</x:v>
      </x:c>
      <x:c r="N536" s="117"/>
      <x:c r="O536" s="117"/>
      <x:c r="P536" s="117" t="str"/>
      <x:c r="Q536" s="117" t="str">
        <x:v>66.0</x:v>
      </x:c>
      <x:c r="R536" s="117" t="str">
        <x:v>unmanaged</x:v>
      </x:c>
      <x:c r="S536" s="118" t="n">
        <x:v>1</x:v>
      </x:c>
      <x:c r="T536" s="118" t="n">
        <x:v>2</x:v>
      </x:c>
      <x:c r="U536" s="118" t="n">
        <x:v>1</x:v>
      </x:c>
      <x:c r="V536" s="118" t="n">
        <x:v>0</x:v>
      </x:c>
      <x:c r="W536" s="118" t="n">
        <x:v>0</x:v>
      </x:c>
      <x:c r="X536" s="118" t="n">
        <x:v>0</x:v>
      </x:c>
      <x:c r="Y536" s="118" t="n">
        <x:v>1</x:v>
      </x:c>
      <x:c r="Z536" s="117" t="str">
        <x:v>Isolated lane</x:v>
      </x:c>
      <x:c r="AA536" s="120" t="n">
        <x:v>46122.626979166664</x:v>
      </x:c>
      <x:c r="AB536" s="117" t="str">
        <x:v>Delegate</x:v>
      </x:c>
      <x:c r="AC536" s="119" t="str">
        <x:v>04/10/2026 (BW) - Ensures Cloned Products do not carry the same exemption codes</x:v>
      </x:c>
      <x:c r="AD536" s="119" t="str"/>
    </x:row>
    <x:row r="537" ht="34" customHeight="1">
      <x:c r="A537" s="117" t="str">
        <x:v>3000B0000008l9tQAA</x:v>
      </x:c>
      <x:c r="B537" s="117" t="str">
        <x:v>Search_Contacts_for_Account_Name_Company</x:v>
      </x:c>
      <x:c r="C537" s="117" t="str">
        <x:v>Search Contacts for Account Name/Company</x:v>
      </x:c>
      <x:c r="D537" s="117" t="str">
        <x:v>No</x:v>
      </x:c>
      <x:c r="E537" s="118"/>
      <x:c r="F537" s="118" t="n">
        <x:v>1</x:v>
      </x:c>
      <x:c r="G537" s="117" t="str">
        <x:v>N/A</x:v>
      </x:c>
      <x:c r="H537" s="119" t="str">
        <x:v>Latest inactive v1 (Retrieved XML)</x:v>
      </x:c>
      <x:c r="I537" s="117" t="str">
        <x:v>AutoLaunchedFlow</x:v>
      </x:c>
      <x:c r="J537" s="117" t="str"/>
      <x:c r="K537" s="117" t="str">
        <x:v>No</x:v>
      </x:c>
      <x:c r="L537" s="117" t="str"/>
      <x:c r="M537" s="117" t="str"/>
      <x:c r="N537" s="117"/>
      <x:c r="O537" s="117"/>
      <x:c r="P537" s="117" t="str"/>
      <x:c r="Q537" s="117" t="str">
        <x:v>49.0</x:v>
      </x:c>
      <x:c r="R537" s="117" t="str">
        <x:v>unmanaged</x:v>
      </x:c>
      <x:c r="S537" s="118" t="n">
        <x:v>1</x:v>
      </x:c>
      <x:c r="T537" s="118" t="n">
        <x:v>2</x:v>
      </x:c>
      <x:c r="U537" s="118" t="n">
        <x:v>2</x:v>
      </x:c>
      <x:c r="V537" s="118" t="n">
        <x:v>0</x:v>
      </x:c>
      <x:c r="W537" s="118" t="n">
        <x:v>0</x:v>
      </x:c>
      <x:c r="X537" s="118" t="n">
        <x:v>0</x:v>
      </x:c>
      <x:c r="Y537" s="118" t="n">
        <x:v>1</x:v>
      </x:c>
      <x:c r="Z537" s="117" t="str">
        <x:v>N/A</x:v>
      </x:c>
      <x:c r="AA537" s="120" t="n">
        <x:v>43755.24159722222</x:v>
      </x:c>
      <x:c r="AB537" s="117" t="str">
        <x:v>Jim Bartek</x:v>
      </x:c>
      <x:c r="AC537" s="119" t="str"/>
      <x:c r="AD537" s="119" t="str"/>
    </x:row>
    <x:row r="538" ht="34" customHeight="1">
      <x:c r="A538" s="117" t="str">
        <x:v>3000B0000008l2xQAA</x:v>
      </x:c>
      <x:c r="B538" s="117" t="str">
        <x:v>Search_Contacts_for_New_Lead_Email_Address</x:v>
      </x:c>
      <x:c r="C538" s="117" t="str">
        <x:v>Search Contacts for New Lead Email Address</x:v>
      </x:c>
      <x:c r="D538" s="117" t="str">
        <x:v>No</x:v>
      </x:c>
      <x:c r="E538" s="118"/>
      <x:c r="F538" s="118" t="n">
        <x:v>4</x:v>
      </x:c>
      <x:c r="G538" s="117" t="str">
        <x:v>N/A</x:v>
      </x:c>
      <x:c r="H538" s="119" t="str">
        <x:v>Latest inactive v4 (Retrieved XML)</x:v>
      </x:c>
      <x:c r="I538" s="117" t="str">
        <x:v>AutoLaunchedFlow</x:v>
      </x:c>
      <x:c r="J538" s="117" t="str"/>
      <x:c r="K538" s="117" t="str">
        <x:v>No</x:v>
      </x:c>
      <x:c r="L538" s="117" t="str"/>
      <x:c r="M538" s="117" t="str"/>
      <x:c r="N538" s="117"/>
      <x:c r="O538" s="117"/>
      <x:c r="P538" s="117" t="str"/>
      <x:c r="Q538" s="117" t="str">
        <x:v>49.0</x:v>
      </x:c>
      <x:c r="R538" s="117" t="str">
        <x:v>unmanaged</x:v>
      </x:c>
      <x:c r="S538" s="118" t="n">
        <x:v>4</x:v>
      </x:c>
      <x:c r="T538" s="118" t="n">
        <x:v>2</x:v>
      </x:c>
      <x:c r="U538" s="118" t="n">
        <x:v>2</x:v>
      </x:c>
      <x:c r="V538" s="118" t="n">
        <x:v>0</x:v>
      </x:c>
      <x:c r="W538" s="118" t="n">
        <x:v>0</x:v>
      </x:c>
      <x:c r="X538" s="118" t="n">
        <x:v>0</x:v>
      </x:c>
      <x:c r="Y538" s="118" t="n">
        <x:v>1</x:v>
      </x:c>
      <x:c r="Z538" s="117" t="str">
        <x:v>N/A</x:v>
      </x:c>
      <x:c r="AA538" s="120" t="n">
        <x:v>43755.241875</x:v>
      </x:c>
      <x:c r="AB538" s="117" t="str">
        <x:v>Jim Bartek</x:v>
      </x:c>
      <x:c r="AC538" s="119" t="str"/>
      <x:c r="AD538" s="119" t="str"/>
    </x:row>
    <x:row r="539" ht="34" customHeight="1">
      <x:c r="A539" s="117" t="str">
        <x:v>3000B0000008l9oQAA</x:v>
      </x:c>
      <x:c r="B539" s="117" t="str">
        <x:v>Search_Contacts_for_Phone_Number</x:v>
      </x:c>
      <x:c r="C539" s="117" t="str">
        <x:v>Search Contacts for Phone Number</x:v>
      </x:c>
      <x:c r="D539" s="117" t="str">
        <x:v>No</x:v>
      </x:c>
      <x:c r="E539" s="118"/>
      <x:c r="F539" s="118" t="n">
        <x:v>1</x:v>
      </x:c>
      <x:c r="G539" s="117" t="str">
        <x:v>N/A</x:v>
      </x:c>
      <x:c r="H539" s="119" t="str">
        <x:v>Latest inactive v1 (Retrieved XML)</x:v>
      </x:c>
      <x:c r="I539" s="117" t="str">
        <x:v>AutoLaunchedFlow</x:v>
      </x:c>
      <x:c r="J539" s="117" t="str"/>
      <x:c r="K539" s="117" t="str">
        <x:v>No</x:v>
      </x:c>
      <x:c r="L539" s="117" t="str"/>
      <x:c r="M539" s="117" t="str"/>
      <x:c r="N539" s="117"/>
      <x:c r="O539" s="117"/>
      <x:c r="P539" s="117" t="str"/>
      <x:c r="Q539" s="117" t="str">
        <x:v>49.0</x:v>
      </x:c>
      <x:c r="R539" s="117" t="str">
        <x:v>unmanaged</x:v>
      </x:c>
      <x:c r="S539" s="118" t="n">
        <x:v>1</x:v>
      </x:c>
      <x:c r="T539" s="118" t="n">
        <x:v>2</x:v>
      </x:c>
      <x:c r="U539" s="118" t="n">
        <x:v>2</x:v>
      </x:c>
      <x:c r="V539" s="118" t="n">
        <x:v>0</x:v>
      </x:c>
      <x:c r="W539" s="118" t="n">
        <x:v>0</x:v>
      </x:c>
      <x:c r="X539" s="118" t="n">
        <x:v>0</x:v>
      </x:c>
      <x:c r="Y539" s="118" t="n">
        <x:v>1</x:v>
      </x:c>
      <x:c r="Z539" s="117" t="str">
        <x:v>N/A</x:v>
      </x:c>
      <x:c r="AA539" s="120" t="n">
        <x:v>43755.24197916667</x:v>
      </x:c>
      <x:c r="AB539" s="117" t="str">
        <x:v>Jim Bartek</x:v>
      </x:c>
      <x:c r="AC539" s="119" t="str"/>
      <x:c r="AD539" s="119" t="str"/>
    </x:row>
    <x:row r="540" ht="34" customHeight="1">
      <x:c r="A540" s="117" t="str">
        <x:v>300Ro00000ugDlfIAE</x:v>
      </x:c>
      <x:c r="B540" s="117" t="str">
        <x:v>SelectRecommendedRepairs</x:v>
      </x:c>
      <x:c r="C540" s="117" t="str">
        <x:v>SelectRecommendedRepairs</x:v>
      </x:c>
      <x:c r="D540" s="117" t="str">
        <x:v>Yes</x:v>
      </x:c>
      <x:c r="E540" s="118" t="n">
        <x:v>1</x:v>
      </x:c>
      <x:c r="F540" s="118" t="n">
        <x:v>1</x:v>
      </x:c>
      <x:c r="G540" s="117" t="str">
        <x:v>Yes</x:v>
      </x:c>
      <x:c r="H540" s="119" t="str">
        <x:v>Active v1 (Retrieved XML)</x:v>
      </x:c>
      <x:c r="I540" s="117" t="str">
        <x:v>Flow</x:v>
      </x:c>
      <x:c r="J540" s="117" t="str"/>
      <x:c r="K540" s="117" t="str">
        <x:v>No</x:v>
      </x:c>
      <x:c r="L540" s="117" t="str"/>
      <x:c r="M540" s="117" t="str"/>
      <x:c r="N540" s="117"/>
      <x:c r="O540" s="117"/>
      <x:c r="P540" s="117" t="str"/>
      <x:c r="Q540" s="117" t="str">
        <x:v>65.0</x:v>
      </x:c>
      <x:c r="R540" s="117" t="str">
        <x:v>unmanaged</x:v>
      </x:c>
      <x:c r="S540" s="118" t="n">
        <x:v>1</x:v>
      </x:c>
      <x:c r="T540" s="118" t="n">
        <x:v>9</x:v>
      </x:c>
      <x:c r="U540" s="118" t="n">
        <x:v>1</x:v>
      </x:c>
      <x:c r="V540" s="118" t="n">
        <x:v>0</x:v>
      </x:c>
      <x:c r="W540" s="118" t="n">
        <x:v>0</x:v>
      </x:c>
      <x:c r="X540" s="118" t="n">
        <x:v>1</x:v>
      </x:c>
      <x:c r="Y540" s="118" t="n">
        <x:v>1</x:v>
      </x:c>
      <x:c r="Z540" s="117" t="str">
        <x:v>N/A</x:v>
      </x:c>
      <x:c r="AA540" s="120" t="n">
        <x:v>46120.21409722222</x:v>
      </x:c>
      <x:c r="AB540" s="117" t="str">
        <x:v>Natalie Boger</x:v>
      </x:c>
      <x:c r="AC540" s="119" t="str">
        <x:v>on Evaluation</x:v>
      </x:c>
      <x:c r="AD540" s="119" t="str"/>
    </x:row>
    <x:row r="541" ht="34" customHeight="1">
      <x:c r="A541" s="117" t="str">
        <x:v>300Ro00000kKs8NIAS</x:v>
      </x:c>
      <x:c r="B541" s="117" t="str">
        <x:v>Send_Account_Update_Email</x:v>
      </x:c>
      <x:c r="C541" s="117" t="str">
        <x:v>Send Account Update Email</x:v>
      </x:c>
      <x:c r="D541" s="117" t="str">
        <x:v>No</x:v>
      </x:c>
      <x:c r="E541" s="118"/>
      <x:c r="F541" s="118" t="n">
        <x:v>1</x:v>
      </x:c>
      <x:c r="G541" s="117" t="str">
        <x:v>N/A</x:v>
      </x:c>
      <x:c r="H541" s="119" t="str">
        <x:v>Latest inactive v1 (Tooling metadata)</x:v>
      </x:c>
      <x:c r="I541" s="117" t="str">
        <x:v>AutoLaunchedFlow</x:v>
      </x:c>
      <x:c r="J541" s="117" t="str"/>
      <x:c r="K541" s="117" t="str">
        <x:v>No</x:v>
      </x:c>
      <x:c r="L541" s="117" t="str"/>
      <x:c r="M541" s="117" t="str"/>
      <x:c r="N541" s="117"/>
      <x:c r="O541" s="117"/>
      <x:c r="P541" s="117" t="str"/>
      <x:c r="Q541" s="117" t="n">
        <x:v>64</x:v>
      </x:c>
      <x:c r="R541" s="117" t="str">
        <x:v>installed</x:v>
      </x:c>
      <x:c r="S541" s="118" t="n">
        <x:v>1</x:v>
      </x:c>
      <x:c r="T541" s="118" t="n">
        <x:v>0</x:v>
      </x:c>
      <x:c r="U541" s="118" t="n">
        <x:v>0</x:v>
      </x:c>
      <x:c r="V541" s="118" t="n">
        <x:v>0</x:v>
      </x:c>
      <x:c r="W541" s="118" t="n">
        <x:v>0</x:v>
      </x:c>
      <x:c r="X541" s="118" t="n">
        <x:v>0</x:v>
      </x:c>
      <x:c r="Y541" s="118" t="n">
        <x:v>1</x:v>
      </x:c>
      <x:c r="Z541" s="117" t="str">
        <x:v>N/A</x:v>
      </x:c>
      <x:c r="AA541" s="120" t="n">
        <x:v>45965.9777662037</x:v>
      </x:c>
      <x:c r="AB541" s="117" t="str"/>
      <x:c r="AC541" s="119" t="str">
        <x:v>Send account update email</x:v>
      </x:c>
      <x:c r="AD541" s="119" t="str"/>
    </x:row>
    <x:row r="542" ht="34" customHeight="1">
      <x:c r="A542" s="117" t="str">
        <x:v>3005b000000LJFiAAO</x:v>
      </x:c>
      <x:c r="B542" s="117" t="str">
        <x:v>Send_Better_Email_Testflow</x:v>
      </x:c>
      <x:c r="C542" s="117" t="str">
        <x:v>Send Better Email Testflow</x:v>
      </x:c>
      <x:c r="D542" s="117" t="str">
        <x:v>Yes</x:v>
      </x:c>
      <x:c r="E542" s="118" t="n">
        <x:v>1</x:v>
      </x:c>
      <x:c r="F542" s="118" t="n">
        <x:v>1</x:v>
      </x:c>
      <x:c r="G542" s="117" t="str">
        <x:v>Yes</x:v>
      </x:c>
      <x:c r="H542" s="119" t="str">
        <x:v>Active v1 (Tooling metadata)</x:v>
      </x:c>
      <x:c r="I542" s="117" t="str">
        <x:v>Flow</x:v>
      </x:c>
      <x:c r="J542" s="117" t="str"/>
      <x:c r="K542" s="117" t="str">
        <x:v>No</x:v>
      </x:c>
      <x:c r="L542" s="117" t="str"/>
      <x:c r="M542" s="117" t="str"/>
      <x:c r="N542" s="117"/>
      <x:c r="O542" s="117"/>
      <x:c r="P542" s="117" t="str"/>
      <x:c r="Q542" s="117" t="n">
        <x:v>49</x:v>
      </x:c>
      <x:c r="R542" s="117" t="str">
        <x:v>unmanaged</x:v>
      </x:c>
      <x:c r="S542" s="118" t="n">
        <x:v>1</x:v>
      </x:c>
      <x:c r="T542" s="118" t="n">
        <x:v>58</x:v>
      </x:c>
      <x:c r="U542" s="118" t="n">
        <x:v>6</x:v>
      </x:c>
      <x:c r="V542" s="118" t="n">
        <x:v>4</x:v>
      </x:c>
      <x:c r="W542" s="118" t="n">
        <x:v>9</x:v>
      </x:c>
      <x:c r="X542" s="118" t="n">
        <x:v>2</x:v>
      </x:c>
      <x:c r="Y542" s="118" t="n">
        <x:v>5</x:v>
      </x:c>
      <x:c r="Z542" s="117" t="str">
        <x:v>N/A</x:v>
      </x:c>
      <x:c r="AA542" s="120" t="n">
        <x:v>45127.77054398148</x:v>
      </x:c>
      <x:c r="AB542" s="117" t="str">
        <x:v>Jace Gentil</x:v>
      </x:c>
      <x:c r="AC542" s="119" t="str">
        <x:v>A series of 5 examples for testing and demonstrating Send Better Email Action Component</x:v>
      </x:c>
      <x:c r="AD542" s="119" t="str">
        <x:v>High element count; Touches many objects</x:v>
      </x:c>
    </x:row>
    <x:row r="543" ht="34" customHeight="1">
      <x:c r="A543" s="117" t="str">
        <x:v>300Ro00000nZYx4IAG</x:v>
      </x:c>
      <x:c r="B543" s="117" t="str">
        <x:v>Send_Credit_Memo_PDF_to_Customer</x:v>
      </x:c>
      <x:c r="C543" s="117" t="str">
        <x:v>Send Credit Memo PDF to Customer</x:v>
      </x:c>
      <x:c r="D543" s="117" t="str">
        <x:v>Yes</x:v>
      </x:c>
      <x:c r="E543" s="118" t="n">
        <x:v>3</x:v>
      </x:c>
      <x:c r="F543" s="118" t="n">
        <x:v>3</x:v>
      </x:c>
      <x:c r="G543" s="117" t="str">
        <x:v>Yes</x:v>
      </x:c>
      <x:c r="H543" s="119" t="str">
        <x:v>Active v3 (Retrieved XML)</x:v>
      </x:c>
      <x:c r="I543" s="117" t="str">
        <x:v>AutoLaunchedFlow</x:v>
      </x:c>
      <x:c r="J543" s="117" t="str">
        <x:v>Credit_Memo__c</x:v>
      </x:c>
      <x:c r="K543" s="117" t="str">
        <x:v>Yes</x:v>
      </x:c>
      <x:c r="L543" s="117" t="str">
        <x:v>Update</x:v>
      </x:c>
      <x:c r="M543" s="117" t="str">
        <x:v>RecordAfterSave</x:v>
      </x:c>
      <x:c r="N543" s="117"/>
      <x:c r="O543" s="117"/>
      <x:c r="P543" s="117" t="str"/>
      <x:c r="Q543" s="117" t="str">
        <x:v>65.0</x:v>
      </x:c>
      <x:c r="R543" s="117" t="str">
        <x:v>unmanaged</x:v>
      </x:c>
      <x:c r="S543" s="118" t="n">
        <x:v>3</x:v>
      </x:c>
      <x:c r="T543" s="118" t="n">
        <x:v>4</x:v>
      </x:c>
      <x:c r="U543" s="118" t="n">
        <x:v>1</x:v>
      </x:c>
      <x:c r="V543" s="118" t="n">
        <x:v>0</x:v>
      </x:c>
      <x:c r="W543" s="118" t="n">
        <x:v>2</x:v>
      </x:c>
      <x:c r="X543" s="118" t="n">
        <x:v>0</x:v>
      </x:c>
      <x:c r="Y543" s="118" t="n">
        <x:v>1</x:v>
      </x:c>
      <x:c r="Z543" s="117" t="str">
        <x:v>Review</x:v>
      </x:c>
      <x:c r="AA543" s="120" t="n">
        <x:v>46030.60400462963</x:v>
      </x:c>
      <x:c r="AB543" s="117" t="str">
        <x:v>Delegate</x:v>
      </x:c>
      <x:c r="AC543" s="119" t="str">
        <x:v>01/08/2026 (BW) - Updated the contact for Credit Memo Sending</x:v>
      </x:c>
      <x:c r="AD543" s="119" t="str"/>
    </x:row>
    <x:row r="544" ht="34" customHeight="1">
      <x:c r="A544" s="117" t="str">
        <x:v>300Ro00000H8rdKIAR</x:v>
      </x:c>
      <x:c r="B544" s="117" t="str">
        <x:v>Send_Email_For_Automated_Bundling_Failures</x:v>
      </x:c>
      <x:c r="C544" s="117" t="str">
        <x:v>Send Email For Automated Bundling Failures</x:v>
      </x:c>
      <x:c r="D544" s="117" t="str">
        <x:v>No</x:v>
      </x:c>
      <x:c r="E544" s="118"/>
      <x:c r="F544" s="118" t="n">
        <x:v>10</x:v>
      </x:c>
      <x:c r="G544" s="117" t="str">
        <x:v>N/A</x:v>
      </x:c>
      <x:c r="H544" s="119" t="str">
        <x:v>Latest inactive v10 (Tooling metadata)</x:v>
      </x:c>
      <x:c r="I544" s="117" t="str">
        <x:v>AutoLaunchedFlow</x:v>
      </x:c>
      <x:c r="J544" s="117" t="str"/>
      <x:c r="K544" s="117" t="str">
        <x:v>No</x:v>
      </x:c>
      <x:c r="L544" s="117" t="str"/>
      <x:c r="M544" s="117" t="str">
        <x:v>Scheduled</x:v>
      </x:c>
      <x:c r="N544" s="117"/>
      <x:c r="O544" s="117"/>
      <x:c r="P544" s="117" t="str">
        <x:v>Daily</x:v>
      </x:c>
      <x:c r="Q544" s="117" t="n">
        <x:v>59</x:v>
      </x:c>
      <x:c r="R544" s="117" t="str">
        <x:v>installed</x:v>
      </x:c>
      <x:c r="S544" s="118" t="n">
        <x:v>1</x:v>
      </x:c>
      <x:c r="T544" s="118" t="n">
        <x:v>6</x:v>
      </x:c>
      <x:c r="U544" s="118" t="n">
        <x:v>1</x:v>
      </x:c>
      <x:c r="V544" s="118" t="n">
        <x:v>0</x:v>
      </x:c>
      <x:c r="W544" s="118" t="n">
        <x:v>2</x:v>
      </x:c>
      <x:c r="X544" s="118" t="n">
        <x:v>0</x:v>
      </x:c>
      <x:c r="Y544" s="118" t="n">
        <x:v>1</x:v>
      </x:c>
      <x:c r="Z544" s="117" t="str">
        <x:v>N/A</x:v>
      </x:c>
      <x:c r="AA544" s="120" t="n">
        <x:v>45703.39630787037</x:v>
      </x:c>
      <x:c r="AB544" s="117" t="str"/>
      <x:c r="AC544" s="119" t="str">
        <x:v>Sends an email to the Field Service admin to notify them about failed Automated Bundling optimization requests.</x:v>
      </x:c>
      <x:c r="AD544" s="119" t="str"/>
    </x:row>
    <x:row r="545" ht="34" customHeight="1">
      <x:c r="A545" s="117" t="str">
        <x:v>3005b000000H3vUAAS</x:v>
      </x:c>
      <x:c r="B545" s="117" t="str">
        <x:v>Send_email_with_attachment_shipment</x:v>
      </x:c>
      <x:c r="C545" s="117" t="str">
        <x:v>Send email with attachment - shipment</x:v>
      </x:c>
      <x:c r="D545" s="117" t="str">
        <x:v>Yes</x:v>
      </x:c>
      <x:c r="E545" s="118" t="n">
        <x:v>11</x:v>
      </x:c>
      <x:c r="F545" s="118" t="n">
        <x:v>11</x:v>
      </x:c>
      <x:c r="G545" s="117" t="str">
        <x:v>Yes</x:v>
      </x:c>
      <x:c r="H545" s="119" t="str">
        <x:v>Active v11 (Retrieved XML)</x:v>
      </x:c>
      <x:c r="I545" s="117" t="str">
        <x:v>AutoLaunchedFlow</x:v>
      </x:c>
      <x:c r="J545" s="117" t="str">
        <x:v>zkmulti__MCShipment__c</x:v>
      </x:c>
      <x:c r="K545" s="117" t="str">
        <x:v>Yes</x:v>
      </x:c>
      <x:c r="L545" s="117" t="str">
        <x:v>CreateAndUpdate</x:v>
      </x:c>
      <x:c r="M545" s="117" t="str">
        <x:v>RecordAfterSave</x:v>
      </x:c>
      <x:c r="N545" s="117"/>
      <x:c r="O545" s="117"/>
      <x:c r="P545" s="117" t="str"/>
      <x:c r="Q545" s="117" t="str">
        <x:v>54.0</x:v>
      </x:c>
      <x:c r="R545" s="117" t="str">
        <x:v>unmanaged</x:v>
      </x:c>
      <x:c r="S545" s="118" t="n">
        <x:v>11</x:v>
      </x:c>
      <x:c r="T545" s="118" t="n">
        <x:v>4</x:v>
      </x:c>
      <x:c r="U545" s="118" t="n">
        <x:v>1</x:v>
      </x:c>
      <x:c r="V545" s="118" t="n">
        <x:v>0</x:v>
      </x:c>
      <x:c r="W545" s="118" t="n">
        <x:v>2</x:v>
      </x:c>
      <x:c r="X545" s="118" t="n">
        <x:v>0</x:v>
      </x:c>
      <x:c r="Y545" s="118" t="n">
        <x:v>1</x:v>
      </x:c>
      <x:c r="Z545" s="117" t="str">
        <x:v>Review</x:v>
      </x:c>
      <x:c r="AA545" s="120" t="n">
        <x:v>44880.772685185184</x:v>
      </x:c>
      <x:c r="AB545" s="117" t="str">
        <x:v>Natalie Boger</x:v>
      </x:c>
      <x:c r="AC545" s="119" t="str">
        <x:v>added UK option</x:v>
      </x:c>
      <x:c r="AD545" s="119" t="str"/>
    </x:row>
    <x:row r="546" ht="34" customHeight="1">
      <x:c r="A546" s="117" t="str">
        <x:v>3005b000000H3XNAA0</x:v>
      </x:c>
      <x:c r="B546" s="117" t="str">
        <x:v>Send_Email_Work_Order_PDF</x:v>
      </x:c>
      <x:c r="C546" s="117" t="str">
        <x:v>Send Email Work Order PDF</x:v>
      </x:c>
      <x:c r="D546" s="117" t="str">
        <x:v>Yes</x:v>
      </x:c>
      <x:c r="E546" s="118" t="n">
        <x:v>6</x:v>
      </x:c>
      <x:c r="F546" s="118" t="n">
        <x:v>6</x:v>
      </x:c>
      <x:c r="G546" s="117" t="str">
        <x:v>Yes</x:v>
      </x:c>
      <x:c r="H546" s="119" t="str">
        <x:v>Active v6 (Retrieved XML)</x:v>
      </x:c>
      <x:c r="I546" s="117" t="str">
        <x:v>AutoLaunchedFlow</x:v>
      </x:c>
      <x:c r="J546" s="117" t="str">
        <x:v>WorkOrder</x:v>
      </x:c>
      <x:c r="K546" s="117" t="str">
        <x:v>Yes</x:v>
      </x:c>
      <x:c r="L546" s="117" t="str">
        <x:v>CreateAndUpdate</x:v>
      </x:c>
      <x:c r="M546" s="117" t="str">
        <x:v>RecordAfterSave</x:v>
      </x:c>
      <x:c r="N546" s="117"/>
      <x:c r="O546" s="117"/>
      <x:c r="P546" s="117" t="str"/>
      <x:c r="Q546" s="117" t="str">
        <x:v>54.0</x:v>
      </x:c>
      <x:c r="R546" s="117" t="str">
        <x:v>unmanaged</x:v>
      </x:c>
      <x:c r="S546" s="118" t="n">
        <x:v>6</x:v>
      </x:c>
      <x:c r="T546" s="118" t="n">
        <x:v>3</x:v>
      </x:c>
      <x:c r="U546" s="118" t="n">
        <x:v>1</x:v>
      </x:c>
      <x:c r="V546" s="118" t="n">
        <x:v>0</x:v>
      </x:c>
      <x:c r="W546" s="118" t="n">
        <x:v>1</x:v>
      </x:c>
      <x:c r="X546" s="118" t="n">
        <x:v>0</x:v>
      </x:c>
      <x:c r="Y546" s="118" t="n">
        <x:v>1</x:v>
      </x:c>
      <x:c r="Z546" s="117" t="str">
        <x:v>Strong</x:v>
      </x:c>
      <x:c r="AA546" s="120" t="n">
        <x:v>44656.81575231482</x:v>
      </x:c>
      <x:c r="AB546" s="117" t="str">
        <x:v>Natalie Boger</x:v>
      </x:c>
      <x:c r="AC546" s="119" t="str"/>
      <x:c r="AD546" s="119" t="str">
        <x:v>Active flow has no description</x:v>
      </x:c>
    </x:row>
    <x:row r="547" ht="34" customHeight="1">
      <x:c r="A547" s="117" t="str">
        <x:v>3004O000000Xh6dQAC</x:v>
      </x:c>
      <x:c r="B547" s="117" t="str">
        <x:v>Send_Invoice_PDF_Email</x:v>
      </x:c>
      <x:c r="C547" s="117" t="str">
        <x:v>Send Invoice PDF Email</x:v>
      </x:c>
      <x:c r="D547" s="117" t="str">
        <x:v>Yes</x:v>
      </x:c>
      <x:c r="E547" s="118" t="n">
        <x:v>9</x:v>
      </x:c>
      <x:c r="F547" s="118" t="n">
        <x:v>9</x:v>
      </x:c>
      <x:c r="G547" s="117" t="str">
        <x:v>Yes</x:v>
      </x:c>
      <x:c r="H547" s="119" t="str">
        <x:v>Active v9 (Retrieved XML)</x:v>
      </x:c>
      <x:c r="I547" s="117" t="str">
        <x:v>Flow</x:v>
      </x:c>
      <x:c r="J547" s="117" t="str"/>
      <x:c r="K547" s="117" t="str">
        <x:v>No</x:v>
      </x:c>
      <x:c r="L547" s="117" t="str"/>
      <x:c r="M547" s="117" t="str"/>
      <x:c r="N547" s="117"/>
      <x:c r="O547" s="117"/>
      <x:c r="P547" s="117" t="str"/>
      <x:c r="Q547" s="117" t="str">
        <x:v>51.0</x:v>
      </x:c>
      <x:c r="R547" s="117" t="str">
        <x:v>unmanaged</x:v>
      </x:c>
      <x:c r="S547" s="118" t="n">
        <x:v>9</x:v>
      </x:c>
      <x:c r="T547" s="118" t="n">
        <x:v>17</x:v>
      </x:c>
      <x:c r="U547" s="118" t="n">
        <x:v>1</x:v>
      </x:c>
      <x:c r="V547" s="118" t="n">
        <x:v>0</x:v>
      </x:c>
      <x:c r="W547" s="118" t="n">
        <x:v>1</x:v>
      </x:c>
      <x:c r="X547" s="118" t="n">
        <x:v>1</x:v>
      </x:c>
      <x:c r="Y547" s="118" t="n">
        <x:v>2</x:v>
      </x:c>
      <x:c r="Z547" s="117" t="str">
        <x:v>N/A</x:v>
      </x:c>
      <x:c r="AA547" s="120" t="n">
        <x:v>45996.157002314816</x:v>
      </x:c>
      <x:c r="AB547" s="117" t="str">
        <x:v>Natalie Boger</x:v>
      </x:c>
      <x:c r="AC547" s="119" t="str">
        <x:v>12/4/25: Reverted to using recordId as text instead of record - added back in query for get invoice. This is to match the input/output requirements from the Invoice Submission Flow (which calls this as a subflow). NB</x:v>
      </x:c>
      <x:c r="AD547" s="119" t="str"/>
    </x:row>
    <x:row r="548" ht="34" customHeight="1">
      <x:c r="A548" s="117" t="str">
        <x:v>3005b000000H3J6AAK</x:v>
      </x:c>
      <x:c r="B548" s="117" t="str">
        <x:v>Send_Invoice_to_Lockstep_Flow</x:v>
      </x:c>
      <x:c r="C548" s="117" t="str">
        <x:v>Send Invoice to Lockstep Flow</x:v>
      </x:c>
      <x:c r="D548" s="117" t="str">
        <x:v>Yes</x:v>
      </x:c>
      <x:c r="E548" s="118" t="n">
        <x:v>1</x:v>
      </x:c>
      <x:c r="F548" s="118" t="n">
        <x:v>1</x:v>
      </x:c>
      <x:c r="G548" s="117" t="str">
        <x:v>Yes</x:v>
      </x:c>
      <x:c r="H548" s="119" t="str">
        <x:v>Active v1 (Retrieved XML)</x:v>
      </x:c>
      <x:c r="I548" s="117" t="str">
        <x:v>AutoLaunchedFlow</x:v>
      </x:c>
      <x:c r="J548" s="117" t="str"/>
      <x:c r="K548" s="117" t="str">
        <x:v>No</x:v>
      </x:c>
      <x:c r="L548" s="117" t="str"/>
      <x:c r="M548" s="117" t="str"/>
      <x:c r="N548" s="117"/>
      <x:c r="O548" s="117"/>
      <x:c r="P548" s="117" t="str"/>
      <x:c r="Q548" s="117" t="str">
        <x:v>54.0</x:v>
      </x:c>
      <x:c r="R548" s="117" t="str">
        <x:v>unmanaged</x:v>
      </x:c>
      <x:c r="S548" s="118" t="n">
        <x:v>1</x:v>
      </x:c>
      <x:c r="T548" s="118" t="n">
        <x:v>2</x:v>
      </x:c>
      <x:c r="U548" s="118" t="n">
        <x:v>0</x:v>
      </x:c>
      <x:c r="V548" s="118" t="n">
        <x:v>0</x:v>
      </x:c>
      <x:c r="W548" s="118" t="n">
        <x:v>1</x:v>
      </x:c>
      <x:c r="X548" s="118" t="n">
        <x:v>0</x:v>
      </x:c>
      <x:c r="Y548" s="118" t="n">
        <x:v>1</x:v>
      </x:c>
      <x:c r="Z548" s="117" t="str">
        <x:v>N/A</x:v>
      </x:c>
      <x:c r="AA548" s="120" t="n">
        <x:v>44606.774247685185</x:v>
      </x:c>
      <x:c r="AB548" s="117" t="str">
        <x:v>Delegate</x:v>
      </x:c>
      <x:c r="AC548" s="119" t="str"/>
      <x:c r="AD548" s="119" t="str">
        <x:v>Active flow has no description</x:v>
      </x:c>
    </x:row>
    <x:row r="549" ht="34" customHeight="1">
      <x:c r="A549" s="117" t="str">
        <x:v>300Ro00000UU24nIAD</x:v>
      </x:c>
      <x:c r="B549" s="117" t="str">
        <x:v>Send_Post_Repair_Evaluation_Email</x:v>
      </x:c>
      <x:c r="C549" s="117" t="str">
        <x:v>Send Post Repair Evaluation Email</x:v>
      </x:c>
      <x:c r="D549" s="117" t="str">
        <x:v>Yes</x:v>
      </x:c>
      <x:c r="E549" s="118" t="n">
        <x:v>1</x:v>
      </x:c>
      <x:c r="F549" s="118" t="n">
        <x:v>1</x:v>
      </x:c>
      <x:c r="G549" s="117" t="str">
        <x:v>Yes</x:v>
      </x:c>
      <x:c r="H549" s="119" t="str">
        <x:v>Active v1 (Retrieved XML)</x:v>
      </x:c>
      <x:c r="I549" s="117" t="str">
        <x:v>AutoLaunchedFlow</x:v>
      </x:c>
      <x:c r="J549" s="117" t="str">
        <x:v>Evaluation_Natalie__c</x:v>
      </x:c>
      <x:c r="K549" s="117" t="str">
        <x:v>Yes</x:v>
      </x:c>
      <x:c r="L549" s="117" t="str">
        <x:v>Create</x:v>
      </x:c>
      <x:c r="M549" s="117" t="str">
        <x:v>RecordAfterSave</x:v>
      </x:c>
      <x:c r="N549" s="117"/>
      <x:c r="O549" s="117"/>
      <x:c r="P549" s="117" t="str"/>
      <x:c r="Q549" s="117" t="str">
        <x:v>63.0</x:v>
      </x:c>
      <x:c r="R549" s="117" t="str">
        <x:v>unmanaged</x:v>
      </x:c>
      <x:c r="S549" s="118" t="n">
        <x:v>1</x:v>
      </x:c>
      <x:c r="T549" s="118" t="n">
        <x:v>6</x:v>
      </x:c>
      <x:c r="U549" s="118" t="n">
        <x:v>4</x:v>
      </x:c>
      <x:c r="V549" s="118" t="n">
        <x:v>0</x:v>
      </x:c>
      <x:c r="W549" s="118" t="n">
        <x:v>1</x:v>
      </x:c>
      <x:c r="X549" s="118" t="n">
        <x:v>0</x:v>
      </x:c>
      <x:c r="Y549" s="118" t="n">
        <x:v>2</x:v>
      </x:c>
      <x:c r="Z549" s="117" t="str">
        <x:v>Isolated lane</x:v>
      </x:c>
      <x:c r="AA549" s="120" t="n">
        <x:v>45765.14528935185</x:v>
      </x:c>
      <x:c r="AB549" s="117" t="str">
        <x:v>Natalie Boger</x:v>
      </x:c>
      <x:c r="AC549" s="119" t="str"/>
      <x:c r="AD549" s="119" t="str">
        <x:v>Active flow has no description; Touches many objects</x:v>
      </x:c>
    </x:row>
    <x:row r="550" ht="34" customHeight="1">
      <x:c r="A550" s="117" t="str">
        <x:v>300Ro00000kKs8OIAS</x:v>
      </x:c>
      <x:c r="B550" s="117" t="str">
        <x:v>Send_Sobject_Error_Email</x:v>
      </x:c>
      <x:c r="C550" s="117" t="str">
        <x:v>Send Sobject Error Email</x:v>
      </x:c>
      <x:c r="D550" s="117" t="str">
        <x:v>No</x:v>
      </x:c>
      <x:c r="E550" s="118"/>
      <x:c r="F550" s="118" t="n">
        <x:v>8</x:v>
      </x:c>
      <x:c r="G550" s="117" t="str">
        <x:v>N/A</x:v>
      </x:c>
      <x:c r="H550" s="119" t="str">
        <x:v>Latest inactive v8 (Tooling metadata)</x:v>
      </x:c>
      <x:c r="I550" s="117" t="str">
        <x:v>AutoLaunchedFlow</x:v>
      </x:c>
      <x:c r="J550" s="117" t="str"/>
      <x:c r="K550" s="117" t="str">
        <x:v>No</x:v>
      </x:c>
      <x:c r="L550" s="117" t="str"/>
      <x:c r="M550" s="117" t="str"/>
      <x:c r="N550" s="117"/>
      <x:c r="O550" s="117"/>
      <x:c r="P550" s="117" t="str"/>
      <x:c r="Q550" s="117" t="n">
        <x:v>64</x:v>
      </x:c>
      <x:c r="R550" s="117" t="str">
        <x:v>installed</x:v>
      </x:c>
      <x:c r="S550" s="118" t="n">
        <x:v>3</x:v>
      </x:c>
      <x:c r="T550" s="118" t="n">
        <x:v>0</x:v>
      </x:c>
      <x:c r="U550" s="118" t="n">
        <x:v>0</x:v>
      </x:c>
      <x:c r="V550" s="118" t="n">
        <x:v>0</x:v>
      </x:c>
      <x:c r="W550" s="118" t="n">
        <x:v>0</x:v>
      </x:c>
      <x:c r="X550" s="118" t="n">
        <x:v>0</x:v>
      </x:c>
      <x:c r="Y550" s="118" t="n">
        <x:v>1</x:v>
      </x:c>
      <x:c r="Z550" s="117" t="str">
        <x:v>N/A</x:v>
      </x:c>
      <x:c r="AA550" s="120" t="n">
        <x:v>46210.93581018518</x:v>
      </x:c>
      <x:c r="AB550" s="117" t="str"/>
      <x:c r="AC550" s="119" t="str">
        <x:v>Send error email</x:v>
      </x:c>
      <x:c r="AD550" s="119" t="str"/>
    </x:row>
    <x:row r="551" ht="34" customHeight="1">
      <x:c r="A551" s="117" t="str">
        <x:v>3005b000000H3qjAAC</x:v>
      </x:c>
      <x:c r="B551" s="117" t="str">
        <x:v>Send_Sourcing_Request_Mass_Email_UK</x:v>
      </x:c>
      <x:c r="C551" s="117" t="str">
        <x:v>Send Sourcing Request Mass Email - UK</x:v>
      </x:c>
      <x:c r="D551" s="117" t="str">
        <x:v>Yes</x:v>
      </x:c>
      <x:c r="E551" s="118" t="n">
        <x:v>1</x:v>
      </x:c>
      <x:c r="F551" s="118" t="n">
        <x:v>1</x:v>
      </x:c>
      <x:c r="G551" s="117" t="str">
        <x:v>Yes</x:v>
      </x:c>
      <x:c r="H551" s="119" t="str">
        <x:v>Active v1 (Retrieved XML)</x:v>
      </x:c>
      <x:c r="I551" s="117" t="str">
        <x:v>Flow</x:v>
      </x:c>
      <x:c r="J551" s="117" t="str"/>
      <x:c r="K551" s="117" t="str">
        <x:v>No</x:v>
      </x:c>
      <x:c r="L551" s="117" t="str"/>
      <x:c r="M551" s="117" t="str"/>
      <x:c r="N551" s="117"/>
      <x:c r="O551" s="117"/>
      <x:c r="P551" s="117" t="str"/>
      <x:c r="Q551" s="117" t="str">
        <x:v>54.0</x:v>
      </x:c>
      <x:c r="R551" s="117" t="str">
        <x:v>unmanaged</x:v>
      </x:c>
      <x:c r="S551" s="118" t="n">
        <x:v>1</x:v>
      </x:c>
      <x:c r="T551" s="118" t="n">
        <x:v>8</x:v>
      </x:c>
      <x:c r="U551" s="118" t="n">
        <x:v>4</x:v>
      </x:c>
      <x:c r="V551" s="118" t="n">
        <x:v>0</x:v>
      </x:c>
      <x:c r="W551" s="118" t="n">
        <x:v>1</x:v>
      </x:c>
      <x:c r="X551" s="118" t="n">
        <x:v>0</x:v>
      </x:c>
      <x:c r="Y551" s="118" t="n">
        <x:v>2</x:v>
      </x:c>
      <x:c r="Z551" s="117" t="str">
        <x:v>N/A</x:v>
      </x:c>
      <x:c r="AA551" s="120" t="n">
        <x:v>44701.6</x:v>
      </x:c>
      <x:c r="AB551" s="117" t="str">
        <x:v>Jace Gentil</x:v>
      </x:c>
      <x:c r="AC551" s="119" t="str"/>
      <x:c r="AD551" s="119" t="str">
        <x:v>Active flow has no description; Touches many objects</x:v>
      </x:c>
    </x:row>
    <x:row r="552" ht="34" customHeight="1">
      <x:c r="A552" s="117" t="str">
        <x:v>3005b000000LJFhAAO</x:v>
      </x:c>
      <x:c r="B552" s="117" t="str">
        <x:v>sendBetterEmail_Test_Create_Test_Templates_if_needed</x:v>
      </x:c>
      <x:c r="C552" s="117" t="str">
        <x:v>sendBetterEmail Test - Create Test Templates if Needed</x:v>
      </x:c>
      <x:c r="D552" s="117" t="str">
        <x:v>No</x:v>
      </x:c>
      <x:c r="E552" s="118"/>
      <x:c r="F552" s="118" t="n">
        <x:v>1</x:v>
      </x:c>
      <x:c r="G552" s="117" t="str">
        <x:v>N/A</x:v>
      </x:c>
      <x:c r="H552" s="119" t="str">
        <x:v>Latest inactive v1 (Tooling metadata)</x:v>
      </x:c>
      <x:c r="I552" s="117" t="str">
        <x:v>Flow</x:v>
      </x:c>
      <x:c r="J552" s="117" t="str"/>
      <x:c r="K552" s="117" t="str">
        <x:v>No</x:v>
      </x:c>
      <x:c r="L552" s="117" t="str"/>
      <x:c r="M552" s="117" t="str"/>
      <x:c r="N552" s="117"/>
      <x:c r="O552" s="117"/>
      <x:c r="P552" s="117" t="str"/>
      <x:c r="Q552" s="117" t="n">
        <x:v>49</x:v>
      </x:c>
      <x:c r="R552" s="117" t="str">
        <x:v>unmanaged</x:v>
      </x:c>
      <x:c r="S552" s="118" t="n">
        <x:v>1</x:v>
      </x:c>
      <x:c r="T552" s="118" t="n">
        <x:v>14</x:v>
      </x:c>
      <x:c r="U552" s="118" t="n">
        <x:v>1</x:v>
      </x:c>
      <x:c r="V552" s="118" t="n">
        <x:v>0</x:v>
      </x:c>
      <x:c r="W552" s="118" t="n">
        <x:v>0</x:v>
      </x:c>
      <x:c r="X552" s="118" t="n">
        <x:v>0</x:v>
      </x:c>
      <x:c r="Y552" s="118" t="n">
        <x:v>1</x:v>
      </x:c>
      <x:c r="Z552" s="117" t="str">
        <x:v>N/A</x:v>
      </x:c>
      <x:c r="AA552" s="120" t="n">
        <x:v>45127.7703587963</x:v>
      </x:c>
      <x:c r="AB552" s="117" t="str">
        <x:v>Jace Gentil</x:v>
      </x:c>
      <x:c r="AC552" s="119" t="str">
        <x:v>Flow to test if the templates named sendBetterEmaiTest have been created, and if not, create them</x:v>
      </x:c>
      <x:c r="AD552" s="119" t="str"/>
    </x:row>
    <x:row r="553" ht="34" customHeight="1">
      <x:c r="A553" s="117" t="str">
        <x:v>3004O000000LOxPQAW</x:v>
      </x:c>
      <x:c r="B553" s="117" t="str">
        <x:v>Service_Alert_60_Days_til_Exp_Alert</x:v>
      </x:c>
      <x:c r="C553" s="117" t="str">
        <x:v>Service Alert 60 Days til Exp. Alert</x:v>
      </x:c>
      <x:c r="D553" s="117" t="str">
        <x:v>Yes</x:v>
      </x:c>
      <x:c r="E553" s="118" t="n">
        <x:v>1</x:v>
      </x:c>
      <x:c r="F553" s="118" t="n">
        <x:v>1</x:v>
      </x:c>
      <x:c r="G553" s="117" t="str">
        <x:v>Yes</x:v>
      </x:c>
      <x:c r="H553" s="119" t="str">
        <x:v>Active v1 (Retrieved XML)</x:v>
      </x:c>
      <x:c r="I553" s="117" t="str">
        <x:v>AutoLaunchedFlow</x:v>
      </x:c>
      <x:c r="J553" s="117" t="str">
        <x:v>ServiceContract</x:v>
      </x:c>
      <x:c r="K553" s="117" t="str">
        <x:v>Yes</x:v>
      </x:c>
      <x:c r="L553" s="117" t="str"/>
      <x:c r="M553" s="117" t="str">
        <x:v>Scheduled</x:v>
      </x:c>
      <x:c r="N553" s="117"/>
      <x:c r="O553" s="117"/>
      <x:c r="P553" s="117" t="str">
        <x:v>Daily</x:v>
      </x:c>
      <x:c r="Q553" s="117" t="str">
        <x:v>51.0</x:v>
      </x:c>
      <x:c r="R553" s="117" t="str">
        <x:v>unmanaged</x:v>
      </x:c>
      <x:c r="S553" s="118" t="n">
        <x:v>1</x:v>
      </x:c>
      <x:c r="T553" s="118" t="n">
        <x:v>3</x:v>
      </x:c>
      <x:c r="U553" s="118" t="n">
        <x:v>1</x:v>
      </x:c>
      <x:c r="V553" s="118" t="n">
        <x:v>0</x:v>
      </x:c>
      <x:c r="W553" s="118" t="n">
        <x:v>1</x:v>
      </x:c>
      <x:c r="X553" s="118" t="n">
        <x:v>0</x:v>
      </x:c>
      <x:c r="Y553" s="118" t="n">
        <x:v>1</x:v>
      </x:c>
      <x:c r="Z553" s="117" t="str">
        <x:v>Review</x:v>
      </x:c>
      <x:c r="AA553" s="120" t="n">
        <x:v>44242.723333333335</x:v>
      </x:c>
      <x:c r="AB553" s="117" t="str">
        <x:v>Delegate</x:v>
      </x:c>
      <x:c r="AC553" s="119" t="str">
        <x:v>Sends an alert to fseorders@probomedical.com when a service contract comes within 60 days of expiring.</x:v>
      </x:c>
      <x:c r="AD553" s="119" t="str"/>
    </x:row>
    <x:row r="554" ht="34" customHeight="1">
      <x:c r="A554" s="117" t="str">
        <x:v>300Ro00000kCmCvIAK</x:v>
      </x:c>
      <x:c r="B554" s="117" t="str">
        <x:v>Service_Appointment_Automations</x:v>
      </x:c>
      <x:c r="C554" s="117" t="str">
        <x:v>Service Appointment Automations</x:v>
      </x:c>
      <x:c r="D554" s="117" t="str">
        <x:v>Yes</x:v>
      </x:c>
      <x:c r="E554" s="118" t="n">
        <x:v>5</x:v>
      </x:c>
      <x:c r="F554" s="118" t="n">
        <x:v>5</x:v>
      </x:c>
      <x:c r="G554" s="117" t="str">
        <x:v>Yes</x:v>
      </x:c>
      <x:c r="H554" s="119" t="str">
        <x:v>Active v5 (Retrieved XML)</x:v>
      </x:c>
      <x:c r="I554" s="117" t="str">
        <x:v>AutoLaunchedFlow</x:v>
      </x:c>
      <x:c r="J554" s="117" t="str">
        <x:v>ServiceAppointment</x:v>
      </x:c>
      <x:c r="K554" s="117" t="str">
        <x:v>Yes</x:v>
      </x:c>
      <x:c r="L554" s="117" t="str">
        <x:v>CreateAndUpdate</x:v>
      </x:c>
      <x:c r="M554" s="117" t="str">
        <x:v>RecordAfterSave</x:v>
      </x:c>
      <x:c r="N554" s="117"/>
      <x:c r="O554" s="117"/>
      <x:c r="P554" s="117" t="str"/>
      <x:c r="Q554" s="117" t="str">
        <x:v>65.0</x:v>
      </x:c>
      <x:c r="R554" s="117" t="str">
        <x:v>unmanaged</x:v>
      </x:c>
      <x:c r="S554" s="118" t="n">
        <x:v>5</x:v>
      </x:c>
      <x:c r="T554" s="118" t="n">
        <x:v>3</x:v>
      </x:c>
      <x:c r="U554" s="118" t="n">
        <x:v>2</x:v>
      </x:c>
      <x:c r="V554" s="118" t="n">
        <x:v>0</x:v>
      </x:c>
      <x:c r="W554" s="118" t="n">
        <x:v>0</x:v>
      </x:c>
      <x:c r="X554" s="118" t="n">
        <x:v>0</x:v>
      </x:c>
      <x:c r="Y554" s="118" t="n">
        <x:v>1</x:v>
      </x:c>
      <x:c r="Z554" s="117" t="str">
        <x:v>Strong</x:v>
      </x:c>
      <x:c r="AA554" s="120" t="n">
        <x:v>46133.44819444444</x:v>
      </x:c>
      <x:c r="AB554" s="117" t="str">
        <x:v>Sacha Pearce</x:v>
      </x:c>
      <x:c r="AC554" s="119" t="str">
        <x:v>21/04/2026 - SP - Adding "Pre-Contract Inspection (PCI)" into the "Service Appointment Scheduled Check" decision element.</x:v>
      </x:c>
      <x:c r="AD554" s="119" t="str"/>
    </x:row>
    <x:row r="555" ht="34" customHeight="1">
      <x:c r="A555" s="117" t="str">
        <x:v>300Ro00000v3vsAIAQ</x:v>
      </x:c>
      <x:c r="B555" s="117" t="str">
        <x:v>Service_Appointment_Calculate_Tech_Support_Response_Time_Business_Minutes</x:v>
      </x:c>
      <x:c r="C555" s="117" t="str">
        <x:v>Service Appointment - Calculate Tech Support Response Time (Business Minutes)</x:v>
      </x:c>
      <x:c r="D555" s="117" t="str">
        <x:v>Yes</x:v>
      </x:c>
      <x:c r="E555" s="118" t="n">
        <x:v>1</x:v>
      </x:c>
      <x:c r="F555" s="118" t="n">
        <x:v>1</x:v>
      </x:c>
      <x:c r="G555" s="117" t="str">
        <x:v>Yes</x:v>
      </x:c>
      <x:c r="H555" s="119" t="str">
        <x:v>Active v1 (Retrieved XML)</x:v>
      </x:c>
      <x:c r="I555" s="117" t="str">
        <x:v>AutoLaunchedFlow</x:v>
      </x:c>
      <x:c r="J555" s="117" t="str">
        <x:v>ServiceAppointment</x:v>
      </x:c>
      <x:c r="K555" s="117" t="str">
        <x:v>Yes</x:v>
      </x:c>
      <x:c r="L555" s="117" t="str">
        <x:v>CreateAndUpdate</x:v>
      </x:c>
      <x:c r="M555" s="117" t="str">
        <x:v>RecordAfterSave</x:v>
      </x:c>
      <x:c r="N555" s="117"/>
      <x:c r="O555" s="117"/>
      <x:c r="P555" s="117" t="str"/>
      <x:c r="Q555" s="117" t="str">
        <x:v>65.0</x:v>
      </x:c>
      <x:c r="R555" s="117" t="str">
        <x:v>unmanaged</x:v>
      </x:c>
      <x:c r="S555" s="118" t="n">
        <x:v>1</x:v>
      </x:c>
      <x:c r="T555" s="118" t="n">
        <x:v>4</x:v>
      </x:c>
      <x:c r="U555" s="118" t="n">
        <x:v>1</x:v>
      </x:c>
      <x:c r="V555" s="118" t="n">
        <x:v>0</x:v>
      </x:c>
      <x:c r="W555" s="118" t="n">
        <x:v>1</x:v>
      </x:c>
      <x:c r="X555" s="118" t="n">
        <x:v>0</x:v>
      </x:c>
      <x:c r="Y555" s="118" t="n">
        <x:v>1</x:v>
      </x:c>
      <x:c r="Z555" s="117" t="str">
        <x:v>Strong</x:v>
      </x:c>
      <x:c r="AA555" s="120" t="n">
        <x:v>46125.55601851852</x:v>
      </x:c>
      <x:c r="AB555" s="117" t="str">
        <x:v>Sacha Pearce</x:v>
      </x:c>
      <x:c r="AC555" s="119" t="str"/>
      <x:c r="AD555" s="119" t="str">
        <x:v>Active flow has no description</x:v>
      </x:c>
    </x:row>
    <x:row r="556" ht="34" customHeight="1">
      <x:c r="A556" s="117" t="str">
        <x:v>300Ro000014GODFIA4</x:v>
      </x:c>
      <x:c r="B556" s="117" t="str">
        <x:v>Service_Appointment_Creation_and_Update_Set_Contract_Line_Item</x:v>
      </x:c>
      <x:c r="C556" s="117" t="str">
        <x:v>Service Appointment - Creation and Update - Set Contract Line Item</x:v>
      </x:c>
      <x:c r="D556" s="117" t="str">
        <x:v>Yes</x:v>
      </x:c>
      <x:c r="E556" s="118" t="n">
        <x:v>3</x:v>
      </x:c>
      <x:c r="F556" s="118" t="n">
        <x:v>3</x:v>
      </x:c>
      <x:c r="G556" s="117" t="str">
        <x:v>Yes</x:v>
      </x:c>
      <x:c r="H556" s="119" t="str">
        <x:v>Active v3 (Retrieved XML)</x:v>
      </x:c>
      <x:c r="I556" s="117" t="str">
        <x:v>AutoLaunchedFlow</x:v>
      </x:c>
      <x:c r="J556" s="117" t="str">
        <x:v>ServiceAppointment</x:v>
      </x:c>
      <x:c r="K556" s="117" t="str">
        <x:v>Yes</x:v>
      </x:c>
      <x:c r="L556" s="117" t="str">
        <x:v>Create</x:v>
      </x:c>
      <x:c r="M556" s="117" t="str">
        <x:v>RecordAfterSave</x:v>
      </x:c>
      <x:c r="N556" s="117"/>
      <x:c r="O556" s="117"/>
      <x:c r="P556" s="117" t="str"/>
      <x:c r="Q556" s="117" t="str">
        <x:v>67.0</x:v>
      </x:c>
      <x:c r="R556" s="117" t="str">
        <x:v>unmanaged</x:v>
      </x:c>
      <x:c r="S556" s="118" t="n">
        <x:v>3</x:v>
      </x:c>
      <x:c r="T556" s="118" t="n">
        <x:v>4</x:v>
      </x:c>
      <x:c r="U556" s="118" t="n">
        <x:v>3</x:v>
      </x:c>
      <x:c r="V556" s="118" t="n">
        <x:v>0</x:v>
      </x:c>
      <x:c r="W556" s="118" t="n">
        <x:v>0</x:v>
      </x:c>
      <x:c r="X556" s="118" t="n">
        <x:v>0</x:v>
      </x:c>
      <x:c r="Y556" s="118" t="n">
        <x:v>2</x:v>
      </x:c>
      <x:c r="Z556" s="117" t="str">
        <x:v>Strong</x:v>
      </x:c>
      <x:c r="AA556" s="120" t="n">
        <x:v>46238.61085648148</x:v>
      </x:c>
      <x:c r="AB556" s="117" t="str">
        <x:v>Sacha Pearce</x:v>
      </x:c>
      <x:c r="AC556" s="119" t="str">
        <x:v>This Flow has been built to set the "Contract Line Item" field whenever a Service Appointment with the "Country" field as "United Kingdom" is updated or created without a "Contract Line Item" saved.</x:v>
      </x:c>
      <x:c r="AD556" s="119" t="str"/>
    </x:row>
    <x:row r="557" ht="34" customHeight="1">
      <x:c r="A557" s="117" t="str">
        <x:v>300Ro00000unJZAIA2</x:v>
      </x:c>
      <x:c r="B557" s="117" t="str">
        <x:v>Service_Appointment_Creation_or_Update_Work_Order_Service_Appointments_Counts</x:v>
      </x:c>
      <x:c r="C557" s="117" t="str">
        <x:v>Service Appointment - Creation or Update - Update Work Order Number of Service Appointments Counts</x:v>
      </x:c>
      <x:c r="D557" s="117" t="str">
        <x:v>Yes</x:v>
      </x:c>
      <x:c r="E557" s="118" t="n">
        <x:v>1</x:v>
      </x:c>
      <x:c r="F557" s="118" t="n">
        <x:v>1</x:v>
      </x:c>
      <x:c r="G557" s="117" t="str">
        <x:v>Yes</x:v>
      </x:c>
      <x:c r="H557" s="119" t="str">
        <x:v>Active v1 (Retrieved XML)</x:v>
      </x:c>
      <x:c r="I557" s="117" t="str">
        <x:v>AutoLaunchedFlow</x:v>
      </x:c>
      <x:c r="J557" s="117" t="str">
        <x:v>ServiceAppointment</x:v>
      </x:c>
      <x:c r="K557" s="117" t="str">
        <x:v>Yes</x:v>
      </x:c>
      <x:c r="L557" s="117" t="str">
        <x:v>CreateAndUpdate</x:v>
      </x:c>
      <x:c r="M557" s="117" t="str">
        <x:v>RecordAfterSave</x:v>
      </x:c>
      <x:c r="N557" s="117"/>
      <x:c r="O557" s="117"/>
      <x:c r="P557" s="117" t="str"/>
      <x:c r="Q557" s="117" t="str">
        <x:v>66.0</x:v>
      </x:c>
      <x:c r="R557" s="117" t="str">
        <x:v>unmanaged</x:v>
      </x:c>
      <x:c r="S557" s="118" t="n">
        <x:v>1</x:v>
      </x:c>
      <x:c r="T557" s="118" t="n">
        <x:v>14</x:v>
      </x:c>
      <x:c r="U557" s="118" t="n">
        <x:v>2</x:v>
      </x:c>
      <x:c r="V557" s="118" t="n">
        <x:v>0</x:v>
      </x:c>
      <x:c r="W557" s="118" t="n">
        <x:v>0</x:v>
      </x:c>
      <x:c r="X557" s="118" t="n">
        <x:v>0</x:v>
      </x:c>
      <x:c r="Y557" s="118" t="n">
        <x:v>1</x:v>
      </x:c>
      <x:c r="Z557" s="117" t="str">
        <x:v>Strong</x:v>
      </x:c>
      <x:c r="AA557" s="120" t="n">
        <x:v>46121.57790509259</x:v>
      </x:c>
      <x:c r="AB557" s="117" t="str">
        <x:v>Sacha Pearce</x:v>
      </x:c>
      <x:c r="AC557" s="119" t="str"/>
      <x:c r="AD557" s="119" t="str">
        <x:v>Active flow has no description</x:v>
      </x:c>
    </x:row>
    <x:row r="558" ht="34" customHeight="1">
      <x:c r="A558" s="117" t="str">
        <x:v>300Ro00000UfjBKIAZ</x:v>
      </x:c>
      <x:c r="B558" s="117" t="str">
        <x:v>Service_Appointment_Delete_Unneeded_Time_Blocks</x:v>
      </x:c>
      <x:c r="C558" s="117" t="str">
        <x:v>Service Appointment - Delete Unneeded Time Blocks</x:v>
      </x:c>
      <x:c r="D558" s="117" t="str">
        <x:v>Yes</x:v>
      </x:c>
      <x:c r="E558" s="118" t="n">
        <x:v>1</x:v>
      </x:c>
      <x:c r="F558" s="118" t="n">
        <x:v>1</x:v>
      </x:c>
      <x:c r="G558" s="117" t="str">
        <x:v>Yes</x:v>
      </x:c>
      <x:c r="H558" s="119" t="str">
        <x:v>Active v1 (Retrieved XML)</x:v>
      </x:c>
      <x:c r="I558" s="117" t="str">
        <x:v>AutoLaunchedFlow</x:v>
      </x:c>
      <x:c r="J558" s="117" t="str">
        <x:v>ServiceAppointment</x:v>
      </x:c>
      <x:c r="K558" s="117" t="str">
        <x:v>Yes</x:v>
      </x:c>
      <x:c r="L558" s="117" t="str">
        <x:v>Update</x:v>
      </x:c>
      <x:c r="M558" s="117" t="str">
        <x:v>RecordAfterSave</x:v>
      </x:c>
      <x:c r="N558" s="117"/>
      <x:c r="O558" s="117"/>
      <x:c r="P558" s="117" t="str"/>
      <x:c r="Q558" s="117" t="str">
        <x:v>63.0</x:v>
      </x:c>
      <x:c r="R558" s="117" t="str">
        <x:v>unmanaged</x:v>
      </x:c>
      <x:c r="S558" s="118" t="n">
        <x:v>1</x:v>
      </x:c>
      <x:c r="T558" s="118" t="n">
        <x:v>7</x:v>
      </x:c>
      <x:c r="U558" s="118" t="n">
        <x:v>2</x:v>
      </x:c>
      <x:c r="V558" s="118" t="n">
        <x:v>0</x:v>
      </x:c>
      <x:c r="W558" s="118" t="n">
        <x:v>0</x:v>
      </x:c>
      <x:c r="X558" s="118" t="n">
        <x:v>0</x:v>
      </x:c>
      <x:c r="Y558" s="118" t="n">
        <x:v>1</x:v>
      </x:c>
      <x:c r="Z558" s="117" t="str">
        <x:v>Strong</x:v>
      </x:c>
      <x:c r="AA558" s="120" t="n">
        <x:v>45771.541134259256</x:v>
      </x:c>
      <x:c r="AB558" s="117" t="str">
        <x:v>Delegate</x:v>
      </x:c>
      <x:c r="AC558" s="119" t="str">
        <x:v>04/18/2025 - Kyle/Delegate - When a time block Service Appointment is dispatched, cancel the unnecessary time block service appointments from that work order.</x:v>
      </x:c>
      <x:c r="AD558" s="119" t="str"/>
    </x:row>
    <x:row r="559" ht="34" customHeight="1">
      <x:c r="A559" s="117" t="str">
        <x:v>300Ro00000cnT4jIAE</x:v>
      </x:c>
      <x:c r="B559" s="117" t="str">
        <x:v>Service_Appointment_On_Shipment_Change_Lines_to_Enroute</x:v>
      </x:c>
      <x:c r="C559" s="117" t="str">
        <x:v>Service Appointment | On Shipment Change Lines to Enroute</x:v>
      </x:c>
      <x:c r="D559" s="117" t="str">
        <x:v>Yes</x:v>
      </x:c>
      <x:c r="E559" s="118" t="n">
        <x:v>2</x:v>
      </x:c>
      <x:c r="F559" s="118" t="n">
        <x:v>2</x:v>
      </x:c>
      <x:c r="G559" s="117" t="str">
        <x:v>Yes</x:v>
      </x:c>
      <x:c r="H559" s="119" t="str">
        <x:v>Active v2 (Retrieved XML)</x:v>
      </x:c>
      <x:c r="I559" s="117" t="str">
        <x:v>AutoLaunchedFlow</x:v>
      </x:c>
      <x:c r="J559" s="117" t="str">
        <x:v>ServiceAppointment</x:v>
      </x:c>
      <x:c r="K559" s="117" t="str">
        <x:v>Yes</x:v>
      </x:c>
      <x:c r="L559" s="117" t="str">
        <x:v>Update</x:v>
      </x:c>
      <x:c r="M559" s="117" t="str">
        <x:v>RecordAfterSave</x:v>
      </x:c>
      <x:c r="N559" s="117"/>
      <x:c r="O559" s="117"/>
      <x:c r="P559" s="117" t="str"/>
      <x:c r="Q559" s="117" t="str">
        <x:v>64.0</x:v>
      </x:c>
      <x:c r="R559" s="117" t="str">
        <x:v>unmanaged</x:v>
      </x:c>
      <x:c r="S559" s="118" t="n">
        <x:v>2</x:v>
      </x:c>
      <x:c r="T559" s="118" t="n">
        <x:v>3</x:v>
      </x:c>
      <x:c r="U559" s="118" t="n">
        <x:v>2</x:v>
      </x:c>
      <x:c r="V559" s="118" t="n">
        <x:v>0</x:v>
      </x:c>
      <x:c r="W559" s="118" t="n">
        <x:v>0</x:v>
      </x:c>
      <x:c r="X559" s="118" t="n">
        <x:v>0</x:v>
      </x:c>
      <x:c r="Y559" s="118" t="n">
        <x:v>1</x:v>
      </x:c>
      <x:c r="Z559" s="117" t="str">
        <x:v>Strong</x:v>
      </x:c>
      <x:c r="AA559" s="120" t="n">
        <x:v>45925.53019675926</x:v>
      </x:c>
      <x:c r="AB559" s="117" t="str">
        <x:v>Delegate</x:v>
      </x:c>
      <x:c r="AC559" s="119" t="str">
        <x:v>09/25/2025 (BW) - Updating so that it also sets the work order back to in-progress</x:v>
      </x:c>
      <x:c r="AD559" s="119" t="str"/>
    </x:row>
    <x:row r="560" ht="34" customHeight="1">
      <x:c r="A560" s="117" t="str">
        <x:v>300Ro00000cnT4kIAE</x:v>
      </x:c>
      <x:c r="B560" s="117" t="str">
        <x:v>Service_Appointment_On_Update_of_Ship_To_Date_Set_Address</x:v>
      </x:c>
      <x:c r="C560" s="117" t="str">
        <x:v>Service Appointment | On Update of Ship To Date, Set Address</x:v>
      </x:c>
      <x:c r="D560" s="117" t="str">
        <x:v>Yes</x:v>
      </x:c>
      <x:c r="E560" s="118" t="n">
        <x:v>1</x:v>
      </x:c>
      <x:c r="F560" s="118" t="n">
        <x:v>1</x:v>
      </x:c>
      <x:c r="G560" s="117" t="str">
        <x:v>Yes</x:v>
      </x:c>
      <x:c r="H560" s="119" t="str">
        <x:v>Active v1 (Retrieved XML)</x:v>
      </x:c>
      <x:c r="I560" s="117" t="str">
        <x:v>AutoLaunchedFlow</x:v>
      </x:c>
      <x:c r="J560" s="117" t="str">
        <x:v>ServiceAppointment</x:v>
      </x:c>
      <x:c r="K560" s="117" t="str">
        <x:v>Yes</x:v>
      </x:c>
      <x:c r="L560" s="117" t="str">
        <x:v>Update</x:v>
      </x:c>
      <x:c r="M560" s="117" t="str">
        <x:v>RecordAfterSave</x:v>
      </x:c>
      <x:c r="N560" s="117"/>
      <x:c r="O560" s="117"/>
      <x:c r="P560" s="117" t="str"/>
      <x:c r="Q560" s="117" t="str">
        <x:v>64.0</x:v>
      </x:c>
      <x:c r="R560" s="117" t="str">
        <x:v>unmanaged</x:v>
      </x:c>
      <x:c r="S560" s="118" t="n">
        <x:v>1</x:v>
      </x:c>
      <x:c r="T560" s="118" t="n">
        <x:v>4</x:v>
      </x:c>
      <x:c r="U560" s="118" t="n">
        <x:v>1</x:v>
      </x:c>
      <x:c r="V560" s="118" t="n">
        <x:v>0</x:v>
      </x:c>
      <x:c r="W560" s="118" t="n">
        <x:v>0</x:v>
      </x:c>
      <x:c r="X560" s="118" t="n">
        <x:v>0</x:v>
      </x:c>
      <x:c r="Y560" s="118" t="n">
        <x:v>1</x:v>
      </x:c>
      <x:c r="Z560" s="117" t="str">
        <x:v>Strong</x:v>
      </x:c>
      <x:c r="AA560" s="120" t="n">
        <x:v>45883.0628125</x:v>
      </x:c>
      <x:c r="AB560" s="117" t="str">
        <x:v>Delegate</x:v>
      </x:c>
      <x:c r="AC560" s="119" t="str">
        <x:v>07/24/2025 (BW) - Update the shipping address on the Service Appointment when populated or removed</x:v>
      </x:c>
      <x:c r="AD560" s="119" t="str"/>
    </x:row>
    <x:row r="561" ht="34" customHeight="1">
      <x:c r="A561" s="117" t="str">
        <x:v>300Ro00000SgtMcIAJ</x:v>
      </x:c>
      <x:c r="B561" s="117" t="str">
        <x:v>Service_Appointment_Status_Set_to_Canceled</x:v>
      </x:c>
      <x:c r="C561" s="117" t="str">
        <x:v>Service Appointment - Status Set to Canceled</x:v>
      </x:c>
      <x:c r="D561" s="117" t="str">
        <x:v>Yes</x:v>
      </x:c>
      <x:c r="E561" s="118" t="n">
        <x:v>1</x:v>
      </x:c>
      <x:c r="F561" s="118" t="n">
        <x:v>3</x:v>
      </x:c>
      <x:c r="G561" s="117" t="str">
        <x:v>No</x:v>
      </x:c>
      <x:c r="H561" s="119" t="str">
        <x:v>Active v1 (Tooling metadata)</x:v>
      </x:c>
      <x:c r="I561" s="117" t="str">
        <x:v>AutoLaunchedFlow</x:v>
      </x:c>
      <x:c r="J561" s="117" t="str">
        <x:v>ServiceAppointment</x:v>
      </x:c>
      <x:c r="K561" s="117" t="str">
        <x:v>Yes</x:v>
      </x:c>
      <x:c r="L561" s="117" t="str">
        <x:v>Update</x:v>
      </x:c>
      <x:c r="M561" s="117" t="str">
        <x:v>RecordAfterSave</x:v>
      </x:c>
      <x:c r="N561" s="117"/>
      <x:c r="O561" s="117"/>
      <x:c r="P561" s="117" t="str"/>
      <x:c r="Q561" s="117" t="n">
        <x:v>63</x:v>
      </x:c>
      <x:c r="R561" s="117" t="str">
        <x:v>unmanaged</x:v>
      </x:c>
      <x:c r="S561" s="118" t="n">
        <x:v>3</x:v>
      </x:c>
      <x:c r="T561" s="118" t="n">
        <x:v>3</x:v>
      </x:c>
      <x:c r="U561" s="118" t="n">
        <x:v>2</x:v>
      </x:c>
      <x:c r="V561" s="118" t="n">
        <x:v>0</x:v>
      </x:c>
      <x:c r="W561" s="118" t="n">
        <x:v>0</x:v>
      </x:c>
      <x:c r="X561" s="118" t="n">
        <x:v>0</x:v>
      </x:c>
      <x:c r="Y561" s="118" t="n">
        <x:v>1</x:v>
      </x:c>
      <x:c r="Z561" s="117" t="str">
        <x:v>Strong</x:v>
      </x:c>
      <x:c r="AA561" s="120" t="n">
        <x:v>45989.57371527778</x:v>
      </x:c>
      <x:c r="AB561" s="117" t="str">
        <x:v>Sacha Pearce</x:v>
      </x:c>
      <x:c r="AC561" s="119" t="str">
        <x:v>03/11/2025 - SP - Adding the "Get Event ID" and "Delete Event" elements to remove events from the Outlook calendars.
03/11/2025 - SP - Adjsuted the Flow to have a Subflow element to enable system-level view to facilitate the deletion of Events.</x:v>
      </x:c>
      <x:c r="AD561" s="119" t="str">
        <x:v>Active version differs from latest; Active flow has no description</x:v>
      </x:c>
    </x:row>
    <x:row r="562" ht="34" customHeight="1">
      <x:c r="A562" s="117" t="str">
        <x:v>300Ro00000SgtMdIAJ</x:v>
      </x:c>
      <x:c r="B562" s="117" t="str">
        <x:v>Service_Appointment_Trigger_If_SA_updated_update_event</x:v>
      </x:c>
      <x:c r="C562" s="117" t="str">
        <x:v>Service Appointment - Trigger - If SA updated, update event</x:v>
      </x:c>
      <x:c r="D562" s="117" t="str">
        <x:v>Yes</x:v>
      </x:c>
      <x:c r="E562" s="118" t="n">
        <x:v>1</x:v>
      </x:c>
      <x:c r="F562" s="118" t="n">
        <x:v>2</x:v>
      </x:c>
      <x:c r="G562" s="117" t="str">
        <x:v>No</x:v>
      </x:c>
      <x:c r="H562" s="119" t="str">
        <x:v>Active v1 (Tooling metadata)</x:v>
      </x:c>
      <x:c r="I562" s="117" t="str">
        <x:v>AutoLaunchedFlow</x:v>
      </x:c>
      <x:c r="J562" s="117" t="str">
        <x:v>ServiceAppointment</x:v>
      </x:c>
      <x:c r="K562" s="117" t="str">
        <x:v>Yes</x:v>
      </x:c>
      <x:c r="L562" s="117" t="str">
        <x:v>Update</x:v>
      </x:c>
      <x:c r="M562" s="117" t="str">
        <x:v>RecordAfterSave</x:v>
      </x:c>
      <x:c r="N562" s="117"/>
      <x:c r="O562" s="117"/>
      <x:c r="P562" s="117" t="str"/>
      <x:c r="Q562" s="117" t="n">
        <x:v>63</x:v>
      </x:c>
      <x:c r="R562" s="117" t="str">
        <x:v>unmanaged</x:v>
      </x:c>
      <x:c r="S562" s="118" t="n">
        <x:v>2</x:v>
      </x:c>
      <x:c r="T562" s="118" t="n">
        <x:v>7</x:v>
      </x:c>
      <x:c r="U562" s="118" t="n">
        <x:v>5</x:v>
      </x:c>
      <x:c r="V562" s="118" t="n">
        <x:v>0</x:v>
      </x:c>
      <x:c r="W562" s="118" t="n">
        <x:v>0</x:v>
      </x:c>
      <x:c r="X562" s="118" t="n">
        <x:v>0</x:v>
      </x:c>
      <x:c r="Y562" s="118" t="n">
        <x:v>2</x:v>
      </x:c>
      <x:c r="Z562" s="117" t="str">
        <x:v>Strong</x:v>
      </x:c>
      <x:c r="AA562" s="120" t="n">
        <x:v>45730.78662037037</x:v>
      </x:c>
      <x:c r="AB562" s="117" t="str">
        <x:v>Delegate</x:v>
      </x:c>
      <x:c r="AC562" s="119" t="str">
        <x:v>03/13/2025 - Kyle/Delegate - There is already a flow on Assigned resource to create and update the Service Event for the coordinator calendar when the AR record is created or updated. This flow aims to close the gap for when the Service Appointment is updated to maintain accuracy of the service event calendar.</x:v>
      </x:c>
      <x:c r="AD562" s="119" t="str">
        <x:v>Active version differs from latest; Touches many objects</x:v>
      </x:c>
    </x:row>
    <x:row r="563" ht="34" customHeight="1">
      <x:c r="A563" s="117" t="str">
        <x:v>300Ro00000SgtMeIAJ</x:v>
      </x:c>
      <x:c r="B563" s="117" t="str">
        <x:v>Service_Appointment_Trigger_Send_Email_to_AR_Upon_Dispatch</x:v>
      </x:c>
      <x:c r="C563" s="117" t="str">
        <x:v>Service Appointment - Trigger - Send Email to AR Upon Dispatch</x:v>
      </x:c>
      <x:c r="D563" s="117" t="str">
        <x:v>Yes</x:v>
      </x:c>
      <x:c r="E563" s="118" t="n">
        <x:v>5</x:v>
      </x:c>
      <x:c r="F563" s="118" t="n">
        <x:v>5</x:v>
      </x:c>
      <x:c r="G563" s="117" t="str">
        <x:v>Yes</x:v>
      </x:c>
      <x:c r="H563" s="119" t="str">
        <x:v>Active v5 (Retrieved XML)</x:v>
      </x:c>
      <x:c r="I563" s="117" t="str">
        <x:v>AutoLaunchedFlow</x:v>
      </x:c>
      <x:c r="J563" s="117" t="str">
        <x:v>ServiceAppointment</x:v>
      </x:c>
      <x:c r="K563" s="117" t="str">
        <x:v>Yes</x:v>
      </x:c>
      <x:c r="L563" s="117" t="str">
        <x:v>Update</x:v>
      </x:c>
      <x:c r="M563" s="117" t="str">
        <x:v>RecordAfterSave</x:v>
      </x:c>
      <x:c r="N563" s="117"/>
      <x:c r="O563" s="117"/>
      <x:c r="P563" s="117" t="str"/>
      <x:c r="Q563" s="117" t="str">
        <x:v>63.0</x:v>
      </x:c>
      <x:c r="R563" s="117" t="str">
        <x:v>unmanaged</x:v>
      </x:c>
      <x:c r="S563" s="118" t="n">
        <x:v>5</x:v>
      </x:c>
      <x:c r="T563" s="118" t="n">
        <x:v>7</x:v>
      </x:c>
      <x:c r="U563" s="118" t="n">
        <x:v>3</x:v>
      </x:c>
      <x:c r="V563" s="118" t="n">
        <x:v>0</x:v>
      </x:c>
      <x:c r="W563" s="118" t="n">
        <x:v>1</x:v>
      </x:c>
      <x:c r="X563" s="118" t="n">
        <x:v>0</x:v>
      </x:c>
      <x:c r="Y563" s="118" t="n">
        <x:v>2</x:v>
      </x:c>
      <x:c r="Z563" s="117" t="str">
        <x:v>Strong</x:v>
      </x:c>
      <x:c r="AA563" s="120" t="n">
        <x:v>46036.395520833335</x:v>
      </x:c>
      <x:c r="AB563" s="117" t="str">
        <x:v>Sacha Pearce</x:v>
      </x:c>
      <x:c r="AC563" s="119" t="str">
        <x:v>03/14/2025 - Kyle/Delegate - Adjustments to process call for email notification ONLY when SA is actually dispatched.
03/21/2025 - Kyle - Additional error handling
04/10/2025 - Kyle - Additional criteria to exclude subcontractor email notifications
01/14/2025 - V4 - SP - Amending "EmailBody" and notification to be formatted/processed as "Plain Text"
01/14/2025 - V5 - SP - Amending "EmailSubject" to be "Plain Text"</x:v>
      </x:c>
      <x:c r="AD563" s="119" t="str"/>
    </x:row>
    <x:row r="564" ht="34" customHeight="1">
      <x:c r="A564" s="117" t="str">
        <x:v>300Ro00000STzUgIAL</x:v>
      </x:c>
      <x:c r="B564" s="117" t="str">
        <x:v>Service_Appointment_Trigger_Update_Gantt_Label</x:v>
      </x:c>
      <x:c r="C564" s="117" t="str">
        <x:v>Service Appointment - Trigger - Update Gantt Label</x:v>
      </x:c>
      <x:c r="D564" s="117" t="str">
        <x:v>Yes</x:v>
      </x:c>
      <x:c r="E564" s="118" t="n">
        <x:v>6</x:v>
      </x:c>
      <x:c r="F564" s="118" t="n">
        <x:v>6</x:v>
      </x:c>
      <x:c r="G564" s="117" t="str">
        <x:v>Yes</x:v>
      </x:c>
      <x:c r="H564" s="119" t="str">
        <x:v>Active v6 (Retrieved XML)</x:v>
      </x:c>
      <x:c r="I564" s="117" t="str">
        <x:v>AutoLaunchedFlow</x:v>
      </x:c>
      <x:c r="J564" s="117" t="str">
        <x:v>ServiceAppointment</x:v>
      </x:c>
      <x:c r="K564" s="117" t="str">
        <x:v>Yes</x:v>
      </x:c>
      <x:c r="L564" s="117" t="str">
        <x:v>CreateAndUpdate</x:v>
      </x:c>
      <x:c r="M564" s="117" t="str">
        <x:v>RecordBeforeSave</x:v>
      </x:c>
      <x:c r="N564" s="117"/>
      <x:c r="O564" s="117"/>
      <x:c r="P564" s="117" t="str"/>
      <x:c r="Q564" s="117" t="str">
        <x:v>63.0</x:v>
      </x:c>
      <x:c r="R564" s="117" t="str">
        <x:v>unmanaged</x:v>
      </x:c>
      <x:c r="S564" s="118" t="n">
        <x:v>6</x:v>
      </x:c>
      <x:c r="T564" s="118" t="n">
        <x:v>7</x:v>
      </x:c>
      <x:c r="U564" s="118" t="n">
        <x:v>1</x:v>
      </x:c>
      <x:c r="V564" s="118" t="n">
        <x:v>0</x:v>
      </x:c>
      <x:c r="W564" s="118" t="n">
        <x:v>0</x:v>
      </x:c>
      <x:c r="X564" s="118" t="n">
        <x:v>0</x:v>
      </x:c>
      <x:c r="Y564" s="118" t="n">
        <x:v>1</x:v>
      </x:c>
      <x:c r="Z564" s="117" t="str">
        <x:v>Review</x:v>
      </x:c>
      <x:c r="AA564" s="120" t="n">
        <x:v>45775.595625</x:v>
      </x:c>
      <x:c r="AB564" s="117" t="str">
        <x:v>Delegate</x:v>
      </x:c>
      <x:c r="AC564" s="119" t="str">
        <x:v>03/10/2025 - Kyle/Delegate - Keep Gantt label Updated
03/12/2025 - Kyle/Delegate - Adding Gantt Icon updates
04/24/2025 - Kyle/Delegate - Adding Tentative Time block title info</x:v>
      </x:c>
      <x:c r="AD564" s="119" t="str"/>
    </x:row>
    <x:row r="565" ht="34" customHeight="1">
      <x:c r="A565" s="117" t="str">
        <x:v>300Ro00000RldXrIAJ</x:v>
      </x:c>
      <x:c r="B565" s="117" t="str">
        <x:v>Service_Appointment_Trigger_Update_Offsite_Appointment_Checkbox</x:v>
      </x:c>
      <x:c r="C565" s="117" t="str">
        <x:v>Service Appointment - Trigger - Update Offsite Appointment Checkbox</x:v>
      </x:c>
      <x:c r="D565" s="117" t="str">
        <x:v>Yes</x:v>
      </x:c>
      <x:c r="E565" s="118" t="n">
        <x:v>1</x:v>
      </x:c>
      <x:c r="F565" s="118" t="n">
        <x:v>1</x:v>
      </x:c>
      <x:c r="G565" s="117" t="str">
        <x:v>Yes</x:v>
      </x:c>
      <x:c r="H565" s="119" t="str">
        <x:v>Active v1 (Retrieved XML)</x:v>
      </x:c>
      <x:c r="I565" s="117" t="str">
        <x:v>AutoLaunchedFlow</x:v>
      </x:c>
      <x:c r="J565" s="117" t="str">
        <x:v>ServiceAppointment</x:v>
      </x:c>
      <x:c r="K565" s="117" t="str">
        <x:v>Yes</x:v>
      </x:c>
      <x:c r="L565" s="117" t="str">
        <x:v>CreateAndUpdate</x:v>
      </x:c>
      <x:c r="M565" s="117" t="str">
        <x:v>RecordBeforeSave</x:v>
      </x:c>
      <x:c r="N565" s="117"/>
      <x:c r="O565" s="117"/>
      <x:c r="P565" s="117" t="str"/>
      <x:c r="Q565" s="117" t="str">
        <x:v>63.0</x:v>
      </x:c>
      <x:c r="R565" s="117" t="str">
        <x:v>unmanaged</x:v>
      </x:c>
      <x:c r="S565" s="118" t="n">
        <x:v>1</x:v>
      </x:c>
      <x:c r="T565" s="118" t="n">
        <x:v>2</x:v>
      </x:c>
      <x:c r="U565" s="118" t="n">
        <x:v>1</x:v>
      </x:c>
      <x:c r="V565" s="118" t="n">
        <x:v>0</x:v>
      </x:c>
      <x:c r="W565" s="118" t="n">
        <x:v>0</x:v>
      </x:c>
      <x:c r="X565" s="118" t="n">
        <x:v>0</x:v>
      </x:c>
      <x:c r="Y565" s="118" t="n">
        <x:v>1</x:v>
      </x:c>
      <x:c r="Z565" s="117" t="str">
        <x:v>Review</x:v>
      </x:c>
      <x:c r="AA565" s="120" t="n">
        <x:v>45713.62216435185</x:v>
      </x:c>
      <x:c r="AB565" s="117" t="str">
        <x:v>Delegate</x:v>
      </x:c>
      <x:c r="AC565" s="119" t="str">
        <x:v>02/24/2024 - Kyle L @ Delegate - This flow guarantees that the "Offsite Appointment" Checkbox is marked "TRUE" when an SA is created or updated when the Appointment Type field value is "Tech Call".</x:v>
      </x:c>
      <x:c r="AD565" s="119" t="str"/>
    </x:row>
    <x:row r="566" ht="34" customHeight="1">
      <x:c r="A566" s="117" t="str">
        <x:v>300Ro00000wzNWEIA2</x:v>
      </x:c>
      <x:c r="B566" s="117" t="str">
        <x:v>Service_Appointment_Update_Set_Duration_on_Actual_Start_or_Actual_End_Change</x:v>
      </x:c>
      <x:c r="C566" s="117" t="str">
        <x:v>Service Appointment - Update - Set Duration on Actual Start or Actual End Change</x:v>
      </x:c>
      <x:c r="D566" s="117" t="str">
        <x:v>No</x:v>
      </x:c>
      <x:c r="E566" s="118"/>
      <x:c r="F566" s="118" t="n">
        <x:v>1</x:v>
      </x:c>
      <x:c r="G566" s="117" t="str">
        <x:v>N/A</x:v>
      </x:c>
      <x:c r="H566" s="119" t="str">
        <x:v>Latest inactive v1 (Retrieved XML)</x:v>
      </x:c>
      <x:c r="I566" s="117" t="str">
        <x:v>AutoLaunchedFlow</x:v>
      </x:c>
      <x:c r="J566" s="117" t="str">
        <x:v>ServiceAppointment</x:v>
      </x:c>
      <x:c r="K566" s="117" t="str">
        <x:v>No</x:v>
      </x:c>
      <x:c r="L566" s="117" t="str">
        <x:v>Update</x:v>
      </x:c>
      <x:c r="M566" s="117" t="str">
        <x:v>RecordAfterSave</x:v>
      </x:c>
      <x:c r="N566" s="117"/>
      <x:c r="O566" s="117"/>
      <x:c r="P566" s="117" t="str"/>
      <x:c r="Q566" s="117" t="str">
        <x:v>66.0</x:v>
      </x:c>
      <x:c r="R566" s="117" t="str">
        <x:v>unmanaged</x:v>
      </x:c>
      <x:c r="S566" s="118" t="n">
        <x:v>1</x:v>
      </x:c>
      <x:c r="T566" s="118" t="n">
        <x:v>3</x:v>
      </x:c>
      <x:c r="U566" s="118" t="n">
        <x:v>1</x:v>
      </x:c>
      <x:c r="V566" s="118" t="n">
        <x:v>0</x:v>
      </x:c>
      <x:c r="W566" s="118" t="n">
        <x:v>0</x:v>
      </x:c>
      <x:c r="X566" s="118" t="n">
        <x:v>0</x:v>
      </x:c>
      <x:c r="Y566" s="118" t="n">
        <x:v>1</x:v>
      </x:c>
      <x:c r="Z566" s="117" t="str">
        <x:v>N/A</x:v>
      </x:c>
      <x:c r="AA566" s="120" t="n">
        <x:v>46150.57425925926</x:v>
      </x:c>
      <x:c r="AB566" s="117" t="str">
        <x:v>Sacha Pearce</x:v>
      </x:c>
      <x:c r="AC566" s="119" t="str"/>
      <x:c r="AD566" s="119" t="str"/>
    </x:row>
    <x:row r="567" ht="34" customHeight="1">
      <x:c r="A567" s="117" t="str">
        <x:v>3005b000000H1uvAAC</x:v>
      </x:c>
      <x:c r="B567" s="117" t="str">
        <x:v>Service_Contract_Billing_Flow</x:v>
      </x:c>
      <x:c r="C567" s="117" t="str">
        <x:v>Service Contract Billing Flow</x:v>
      </x:c>
      <x:c r="D567" s="117" t="str">
        <x:v>No</x:v>
      </x:c>
      <x:c r="E567" s="118"/>
      <x:c r="F567" s="118" t="n">
        <x:v>10</x:v>
      </x:c>
      <x:c r="G567" s="117" t="str">
        <x:v>N/A</x:v>
      </x:c>
      <x:c r="H567" s="119" t="str">
        <x:v>Latest inactive v10 (Retrieved XML)</x:v>
      </x:c>
      <x:c r="I567" s="117" t="str">
        <x:v>AutoLaunchedFlow</x:v>
      </x:c>
      <x:c r="J567" s="117" t="str"/>
      <x:c r="K567" s="117" t="str">
        <x:v>No</x:v>
      </x:c>
      <x:c r="L567" s="117" t="str"/>
      <x:c r="M567" s="117" t="str"/>
      <x:c r="N567" s="117"/>
      <x:c r="O567" s="117"/>
      <x:c r="P567" s="117" t="str"/>
      <x:c r="Q567" s="117" t="str">
        <x:v>52.0</x:v>
      </x:c>
      <x:c r="R567" s="117" t="str">
        <x:v>unmanaged</x:v>
      </x:c>
      <x:c r="S567" s="118" t="n">
        <x:v>10</x:v>
      </x:c>
      <x:c r="T567" s="118" t="n">
        <x:v>39</x:v>
      </x:c>
      <x:c r="U567" s="118" t="n">
        <x:v>5</x:v>
      </x:c>
      <x:c r="V567" s="118" t="n">
        <x:v>0</x:v>
      </x:c>
      <x:c r="W567" s="118" t="n">
        <x:v>0</x:v>
      </x:c>
      <x:c r="X567" s="118" t="n">
        <x:v>0</x:v>
      </x:c>
      <x:c r="Y567" s="118" t="n">
        <x:v>4</x:v>
      </x:c>
      <x:c r="Z567" s="117" t="str">
        <x:v>N/A</x:v>
      </x:c>
      <x:c r="AA567" s="120" t="n">
        <x:v>44538.71664351852</x:v>
      </x:c>
      <x:c r="AB567" s="117" t="str">
        <x:v>Natalie Boger</x:v>
      </x:c>
      <x:c r="AC567" s="119" t="str"/>
      <x:c r="AD567" s="119" t="str">
        <x:v>High element count; Touches many objects</x:v>
      </x:c>
    </x:row>
    <x:row r="568" ht="34" customHeight="1">
      <x:c r="A568" s="117" t="str">
        <x:v>3005b000000H1uwAAC</x:v>
      </x:c>
      <x:c r="B568" s="117" t="str">
        <x:v>Service_Contract_Billing_Scheduling_Flow</x:v>
      </x:c>
      <x:c r="C568" s="117" t="str">
        <x:v>Service Contract Billing Scheduling Flow</x:v>
      </x:c>
      <x:c r="D568" s="117" t="str">
        <x:v>No</x:v>
      </x:c>
      <x:c r="E568" s="118"/>
      <x:c r="F568" s="118" t="n">
        <x:v>1</x:v>
      </x:c>
      <x:c r="G568" s="117" t="str">
        <x:v>N/A</x:v>
      </x:c>
      <x:c r="H568" s="119" t="str">
        <x:v>Latest inactive v1 (Retrieved XML)</x:v>
      </x:c>
      <x:c r="I568" s="117" t="str">
        <x:v>AutoLaunchedFlow</x:v>
      </x:c>
      <x:c r="J568" s="117" t="str">
        <x:v>ServiceContract</x:v>
      </x:c>
      <x:c r="K568" s="117" t="str">
        <x:v>No</x:v>
      </x:c>
      <x:c r="L568" s="117" t="str"/>
      <x:c r="M568" s="117" t="str">
        <x:v>Scheduled</x:v>
      </x:c>
      <x:c r="N568" s="117"/>
      <x:c r="O568" s="117"/>
      <x:c r="P568" s="117" t="str">
        <x:v>Daily</x:v>
      </x:c>
      <x:c r="Q568" s="117" t="str">
        <x:v>52.0</x:v>
      </x:c>
      <x:c r="R568" s="117" t="str">
        <x:v>unmanaged</x:v>
      </x:c>
      <x:c r="S568" s="118" t="n">
        <x:v>1</x:v>
      </x:c>
      <x:c r="T568" s="118" t="n">
        <x:v>3</x:v>
      </x:c>
      <x:c r="U568" s="118" t="n">
        <x:v>1</x:v>
      </x:c>
      <x:c r="V568" s="118" t="n">
        <x:v>1</x:v>
      </x:c>
      <x:c r="W568" s="118" t="n">
        <x:v>0</x:v>
      </x:c>
      <x:c r="X568" s="118" t="n">
        <x:v>0</x:v>
      </x:c>
      <x:c r="Y568" s="118" t="n">
        <x:v>1</x:v>
      </x:c>
      <x:c r="Z568" s="117" t="str">
        <x:v>N/A</x:v>
      </x:c>
      <x:c r="AA568" s="120" t="n">
        <x:v>44538.7175</x:v>
      </x:c>
      <x:c r="AB568" s="117" t="str">
        <x:v>Natalie Boger</x:v>
      </x:c>
      <x:c r="AC568" s="119" t="str"/>
      <x:c r="AD568" s="119" t="str"/>
    </x:row>
    <x:row r="569" ht="34" customHeight="1">
      <x:c r="A569" s="117" t="str">
        <x:v>300Ro00000ra4TLIAY</x:v>
      </x:c>
      <x:c r="B569" s="117" t="str">
        <x:v>Service_Contract_Calculate_Last_Quarter_Uptime</x:v>
      </x:c>
      <x:c r="C569" s="117" t="str">
        <x:v>Service Contract - Calculate Last Quarter Uptime</x:v>
      </x:c>
      <x:c r="D569" s="117" t="str">
        <x:v>Yes</x:v>
      </x:c>
      <x:c r="E569" s="118" t="n">
        <x:v>2</x:v>
      </x:c>
      <x:c r="F569" s="118" t="n">
        <x:v>2</x:v>
      </x:c>
      <x:c r="G569" s="117" t="str">
        <x:v>Yes</x:v>
      </x:c>
      <x:c r="H569" s="119" t="str">
        <x:v>Active v2 (Retrieved XML)</x:v>
      </x:c>
      <x:c r="I569" s="117" t="str">
        <x:v>Flow</x:v>
      </x:c>
      <x:c r="J569" s="117" t="str"/>
      <x:c r="K569" s="117" t="str">
        <x:v>No</x:v>
      </x:c>
      <x:c r="L569" s="117" t="str"/>
      <x:c r="M569" s="117" t="str"/>
      <x:c r="N569" s="117" t="str">
        <x:v>SystemModeWithoutSharing</x:v>
      </x:c>
      <x:c r="O569" s="117"/>
      <x:c r="P569" s="117" t="str"/>
      <x:c r="Q569" s="117" t="str">
        <x:v>65.0</x:v>
      </x:c>
      <x:c r="R569" s="117" t="str">
        <x:v>unmanaged</x:v>
      </x:c>
      <x:c r="S569" s="118" t="n">
        <x:v>2</x:v>
      </x:c>
      <x:c r="T569" s="118" t="n">
        <x:v>13</x:v>
      </x:c>
      <x:c r="U569" s="118" t="n">
        <x:v>2</x:v>
      </x:c>
      <x:c r="V569" s="118" t="n">
        <x:v>0</x:v>
      </x:c>
      <x:c r="W569" s="118" t="n">
        <x:v>1</x:v>
      </x:c>
      <x:c r="X569" s="118" t="n">
        <x:v>0</x:v>
      </x:c>
      <x:c r="Y569" s="118" t="n">
        <x:v>1</x:v>
      </x:c>
      <x:c r="Z569" s="117" t="str">
        <x:v>N/A</x:v>
      </x:c>
      <x:c r="AA569" s="120" t="n">
        <x:v>46204.84369212963</x:v>
      </x:c>
      <x:c r="AB569" s="117" t="str">
        <x:v>Sacha Pearce</x:v>
      </x:c>
      <x:c r="AC569" s="119" t="str">
        <x:v>01/07/2026 - SP - Updating the Flow to not use a get records element in the calculation loop as this was causing SOQL limits to be hit.</x:v>
      </x:c>
      <x:c r="AD569" s="119" t="str"/>
    </x:row>
    <x:row r="570" ht="34" customHeight="1">
      <x:c r="A570" s="117" t="str">
        <x:v>300Ro00000q8wfGIAQ</x:v>
      </x:c>
      <x:c r="B570" s="117" t="str">
        <x:v>Service_Contract_Calculate_Running_Coverage_Duration_Business_Hours_Screen_Flow</x:v>
      </x:c>
      <x:c r="C570" s="117" t="str">
        <x:v>Service Contract - Calculate Running Coverage Duration (Business Hours) Screen Flow</x:v>
      </x:c>
      <x:c r="D570" s="117" t="str">
        <x:v>Yes</x:v>
      </x:c>
      <x:c r="E570" s="118" t="n">
        <x:v>4</x:v>
      </x:c>
      <x:c r="F570" s="118" t="n">
        <x:v>4</x:v>
      </x:c>
      <x:c r="G570" s="117" t="str">
        <x:v>Yes</x:v>
      </x:c>
      <x:c r="H570" s="119" t="str">
        <x:v>Active v4 (Retrieved XML)</x:v>
      </x:c>
      <x:c r="I570" s="117" t="str">
        <x:v>Flow</x:v>
      </x:c>
      <x:c r="J570" s="117" t="str"/>
      <x:c r="K570" s="117" t="str">
        <x:v>No</x:v>
      </x:c>
      <x:c r="L570" s="117" t="str"/>
      <x:c r="M570" s="117" t="str"/>
      <x:c r="N570" s="117" t="str">
        <x:v>SystemModeWithoutSharing</x:v>
      </x:c>
      <x:c r="O570" s="117"/>
      <x:c r="P570" s="117" t="str"/>
      <x:c r="Q570" s="117" t="str">
        <x:v>65.0</x:v>
      </x:c>
      <x:c r="R570" s="117" t="str">
        <x:v>unmanaged</x:v>
      </x:c>
      <x:c r="S570" s="118" t="n">
        <x:v>4</x:v>
      </x:c>
      <x:c r="T570" s="118" t="n">
        <x:v>8</x:v>
      </x:c>
      <x:c r="U570" s="118" t="n">
        <x:v>1</x:v>
      </x:c>
      <x:c r="V570" s="118" t="n">
        <x:v>0</x:v>
      </x:c>
      <x:c r="W570" s="118" t="n">
        <x:v>1</x:v>
      </x:c>
      <x:c r="X570" s="118" t="n">
        <x:v>0</x:v>
      </x:c>
      <x:c r="Y570" s="118" t="n">
        <x:v>1</x:v>
      </x:c>
      <x:c r="Z570" s="117" t="str">
        <x:v>N/A</x:v>
      </x:c>
      <x:c r="AA570" s="120" t="n">
        <x:v>46125.65719907408</x:v>
      </x:c>
      <x:c r="AB570" s="117" t="str">
        <x:v>Sacha Pearce</x:v>
      </x:c>
      <x:c r="AC570" s="119" t="str"/>
      <x:c r="AD570" s="119" t="str">
        <x:v>Active flow has no description</x:v>
      </x:c>
    </x:row>
    <x:row r="571" ht="34" customHeight="1">
      <x:c r="A571" s="117" t="str">
        <x:v>300Ro00000v4CHtIAM</x:v>
      </x:c>
      <x:c r="B571" s="117" t="str">
        <x:v>Service_Contract_Confirm_Downtimes</x:v>
      </x:c>
      <x:c r="C571" s="117" t="str">
        <x:v>Service Contract - Confirm Downtimes</x:v>
      </x:c>
      <x:c r="D571" s="117" t="str">
        <x:v>Yes</x:v>
      </x:c>
      <x:c r="E571" s="118" t="n">
        <x:v>2</x:v>
      </x:c>
      <x:c r="F571" s="118" t="n">
        <x:v>2</x:v>
      </x:c>
      <x:c r="G571" s="117" t="str">
        <x:v>Yes</x:v>
      </x:c>
      <x:c r="H571" s="119" t="str">
        <x:v>Active v2 (Retrieved XML)</x:v>
      </x:c>
      <x:c r="I571" s="117" t="str">
        <x:v>Flow</x:v>
      </x:c>
      <x:c r="J571" s="117" t="str"/>
      <x:c r="K571" s="117" t="str">
        <x:v>No</x:v>
      </x:c>
      <x:c r="L571" s="117" t="str"/>
      <x:c r="M571" s="117" t="str"/>
      <x:c r="N571" s="117" t="str">
        <x:v>SystemModeWithoutSharing</x:v>
      </x:c>
      <x:c r="O571" s="117"/>
      <x:c r="P571" s="117" t="str"/>
      <x:c r="Q571" s="117" t="str">
        <x:v>65.0</x:v>
      </x:c>
      <x:c r="R571" s="117" t="str">
        <x:v>unmanaged</x:v>
      </x:c>
      <x:c r="S571" s="118" t="n">
        <x:v>2</x:v>
      </x:c>
      <x:c r="T571" s="118" t="n">
        <x:v>18</x:v>
      </x:c>
      <x:c r="U571" s="118" t="n">
        <x:v>3</x:v>
      </x:c>
      <x:c r="V571" s="118" t="n">
        <x:v>0</x:v>
      </x:c>
      <x:c r="W571" s="118" t="n">
        <x:v>0</x:v>
      </x:c>
      <x:c r="X571" s="118" t="n">
        <x:v>0</x:v>
      </x:c>
      <x:c r="Y571" s="118" t="n">
        <x:v>3</x:v>
      </x:c>
      <x:c r="Z571" s="117" t="str">
        <x:v>N/A</x:v>
      </x:c>
      <x:c r="AA571" s="120" t="n">
        <x:v>46125.64957175926</x:v>
      </x:c>
      <x:c r="AB571" s="117" t="str">
        <x:v>Sacha Pearce</x:v>
      </x:c>
      <x:c r="AC571" s="119" t="str"/>
      <x:c r="AD571" s="119" t="str">
        <x:v>Active flow has no description</x:v>
      </x:c>
    </x:row>
    <x:row r="572" ht="34" customHeight="1">
      <x:c r="A572" s="117" t="str">
        <x:v>300Ro00000wE1KhIAK</x:v>
      </x:c>
      <x:c r="B572" s="117" t="str">
        <x:v>Service_Contract_Create_Contract_Line_Item_Screen_Flow</x:v>
      </x:c>
      <x:c r="C572" s="117" t="str">
        <x:v>Service Contract - Create Contract Line Item - Screen Flow</x:v>
      </x:c>
      <x:c r="D572" s="117" t="str">
        <x:v>Yes</x:v>
      </x:c>
      <x:c r="E572" s="118" t="n">
        <x:v>4</x:v>
      </x:c>
      <x:c r="F572" s="118" t="n">
        <x:v>4</x:v>
      </x:c>
      <x:c r="G572" s="117" t="str">
        <x:v>Yes</x:v>
      </x:c>
      <x:c r="H572" s="119" t="str">
        <x:v>Active v4 (Retrieved XML)</x:v>
      </x:c>
      <x:c r="I572" s="117" t="str">
        <x:v>Flow</x:v>
      </x:c>
      <x:c r="J572" s="117" t="str"/>
      <x:c r="K572" s="117" t="str">
        <x:v>No</x:v>
      </x:c>
      <x:c r="L572" s="117" t="str"/>
      <x:c r="M572" s="117" t="str"/>
      <x:c r="N572" s="117"/>
      <x:c r="O572" s="117"/>
      <x:c r="P572" s="117" t="str"/>
      <x:c r="Q572" s="117" t="str">
        <x:v>52.0</x:v>
      </x:c>
      <x:c r="R572" s="117" t="str">
        <x:v>unmanaged</x:v>
      </x:c>
      <x:c r="S572" s="118" t="n">
        <x:v>4</x:v>
      </x:c>
      <x:c r="T572" s="118" t="n">
        <x:v>24</x:v>
      </x:c>
      <x:c r="U572" s="118" t="n">
        <x:v>11</x:v>
      </x:c>
      <x:c r="V572" s="118" t="n">
        <x:v>0</x:v>
      </x:c>
      <x:c r="W572" s="118" t="n">
        <x:v>0</x:v>
      </x:c>
      <x:c r="X572" s="118" t="n">
        <x:v>1</x:v>
      </x:c>
      <x:c r="Y572" s="118" t="n">
        <x:v>3</x:v>
      </x:c>
      <x:c r="Z572" s="117" t="str">
        <x:v>N/A</x:v>
      </x:c>
      <x:c r="AA572" s="120" t="n">
        <x:v>46141.37298611111</x:v>
      </x:c>
      <x:c r="AB572" s="117" t="str">
        <x:v>Sacha Pearce</x:v>
      </x:c>
      <x:c r="AC572" s="119" t="str">
        <x:v>29/04/2026 - SP - Saving new version to change logic.</x:v>
      </x:c>
      <x:c r="AD572" s="119" t="str">
        <x:v>Touches many objects</x:v>
      </x:c>
    </x:row>
    <x:row r="573" ht="34" customHeight="1">
      <x:c r="A573" s="117" t="str">
        <x:v>300Ro00000wDQ8DIAW</x:v>
      </x:c>
      <x:c r="B573" s="117" t="str">
        <x:v>Service_Contract_Create_Contract_Line_Items_Screen_Flow</x:v>
      </x:c>
      <x:c r="C573" s="117" t="str">
        <x:v>Service Contract  - Create Contract Line Items - Screen Flow</x:v>
      </x:c>
      <x:c r="D573" s="117" t="str">
        <x:v>No</x:v>
      </x:c>
      <x:c r="E573" s="118"/>
      <x:c r="F573" s="118" t="n">
        <x:v>1</x:v>
      </x:c>
      <x:c r="G573" s="117" t="str">
        <x:v>N/A</x:v>
      </x:c>
      <x:c r="H573" s="119" t="str">
        <x:v>Latest inactive v1 (Retrieved XML)</x:v>
      </x:c>
      <x:c r="I573" s="117" t="str">
        <x:v>Flow</x:v>
      </x:c>
      <x:c r="J573" s="117" t="str"/>
      <x:c r="K573" s="117" t="str">
        <x:v>No</x:v>
      </x:c>
      <x:c r="L573" s="117" t="str"/>
      <x:c r="M573" s="117" t="str"/>
      <x:c r="N573" s="117"/>
      <x:c r="O573" s="117"/>
      <x:c r="P573" s="117" t="str"/>
      <x:c r="Q573" s="117" t="str">
        <x:v>52.0</x:v>
      </x:c>
      <x:c r="R573" s="117" t="str">
        <x:v>unmanaged</x:v>
      </x:c>
      <x:c r="S573" s="118" t="n">
        <x:v>1</x:v>
      </x:c>
      <x:c r="T573" s="118" t="n">
        <x:v>29</x:v>
      </x:c>
      <x:c r="U573" s="118" t="n">
        <x:v>11</x:v>
      </x:c>
      <x:c r="V573" s="118" t="n">
        <x:v>0</x:v>
      </x:c>
      <x:c r="W573" s="118" t="n">
        <x:v>0</x:v>
      </x:c>
      <x:c r="X573" s="118" t="n">
        <x:v>1</x:v>
      </x:c>
      <x:c r="Y573" s="118" t="n">
        <x:v>3</x:v>
      </x:c>
      <x:c r="Z573" s="117" t="str">
        <x:v>N/A</x:v>
      </x:c>
      <x:c r="AA573" s="120" t="n">
        <x:v>46140.65440972222</x:v>
      </x:c>
      <x:c r="AB573" s="117" t="str">
        <x:v>Sacha Pearce</x:v>
      </x:c>
      <x:c r="AC573" s="119" t="str">
        <x:v>This has been developed to remove items that the UK do not use.</x:v>
      </x:c>
      <x:c r="AD573" s="119" t="str">
        <x:v>Touches many objects</x:v>
      </x:c>
    </x:row>
    <x:row r="574" ht="34" customHeight="1">
      <x:c r="A574" s="117" t="str">
        <x:v>300Ro00000Mkf0LIAR</x:v>
      </x:c>
      <x:c r="B574" s="117" t="str">
        <x:v>Service_Contract_Notification_Flow</x:v>
      </x:c>
      <x:c r="C574" s="117" t="str">
        <x:v>Service Contract Notification Flow</x:v>
      </x:c>
      <x:c r="D574" s="117" t="str">
        <x:v>Yes</x:v>
      </x:c>
      <x:c r="E574" s="118" t="n">
        <x:v>3</x:v>
      </x:c>
      <x:c r="F574" s="118" t="n">
        <x:v>3</x:v>
      </x:c>
      <x:c r="G574" s="117" t="str">
        <x:v>Yes</x:v>
      </x:c>
      <x:c r="H574" s="119" t="str">
        <x:v>Active v3 (Retrieved XML)</x:v>
      </x:c>
      <x:c r="I574" s="117" t="str">
        <x:v>AutoLaunchedFlow</x:v>
      </x:c>
      <x:c r="J574" s="117" t="str">
        <x:v>ServiceContract</x:v>
      </x:c>
      <x:c r="K574" s="117" t="str">
        <x:v>Yes</x:v>
      </x:c>
      <x:c r="L574" s="117" t="str">
        <x:v>Update</x:v>
      </x:c>
      <x:c r="M574" s="117" t="str">
        <x:v>RecordAfterSave</x:v>
      </x:c>
      <x:c r="N574" s="117"/>
      <x:c r="O574" s="117"/>
      <x:c r="P574" s="117" t="str"/>
      <x:c r="Q574" s="117" t="str">
        <x:v>56.0</x:v>
      </x:c>
      <x:c r="R574" s="117" t="str">
        <x:v>unmanaged</x:v>
      </x:c>
      <x:c r="S574" s="118" t="n">
        <x:v>3</x:v>
      </x:c>
      <x:c r="T574" s="118" t="n">
        <x:v>2</x:v>
      </x:c>
      <x:c r="U574" s="118" t="n">
        <x:v>1</x:v>
      </x:c>
      <x:c r="V574" s="118" t="n">
        <x:v>0</x:v>
      </x:c>
      <x:c r="W574" s="118" t="n">
        <x:v>1</x:v>
      </x:c>
      <x:c r="X574" s="118" t="n">
        <x:v>0</x:v>
      </x:c>
      <x:c r="Y574" s="118" t="n">
        <x:v>1</x:v>
      </x:c>
      <x:c r="Z574" s="117" t="str">
        <x:v>Review</x:v>
      </x:c>
      <x:c r="AA574" s="120" t="n">
        <x:v>45615.714166666665</x:v>
      </x:c>
      <x:c r="AB574" s="117" t="str">
        <x:v>Jace Gentil</x:v>
      </x:c>
      <x:c r="AC574" s="119" t="str"/>
      <x:c r="AD574" s="119" t="str">
        <x:v>Active flow has no description</x:v>
      </x:c>
    </x:row>
    <x:row r="575" ht="34" customHeight="1">
      <x:c r="A575" s="117" t="str">
        <x:v>300Ro00000Zp8kCIAR</x:v>
      </x:c>
      <x:c r="B575" s="117" t="str">
        <x:v>Service_Contract_Renewal</x:v>
      </x:c>
      <x:c r="C575" s="117" t="str">
        <x:v>Service Contract Renewal</x:v>
      </x:c>
      <x:c r="D575" s="117" t="str">
        <x:v>Yes</x:v>
      </x:c>
      <x:c r="E575" s="118" t="n">
        <x:v>18</x:v>
      </x:c>
      <x:c r="F575" s="118" t="n">
        <x:v>18</x:v>
      </x:c>
      <x:c r="G575" s="117" t="str">
        <x:v>Yes</x:v>
      </x:c>
      <x:c r="H575" s="119" t="str">
        <x:v>Active v18 (Retrieved XML)</x:v>
      </x:c>
      <x:c r="I575" s="117" t="str">
        <x:v>Flow</x:v>
      </x:c>
      <x:c r="J575" s="117" t="str"/>
      <x:c r="K575" s="117" t="str">
        <x:v>No</x:v>
      </x:c>
      <x:c r="L575" s="117" t="str"/>
      <x:c r="M575" s="117" t="str"/>
      <x:c r="N575" s="117"/>
      <x:c r="O575" s="117"/>
      <x:c r="P575" s="117" t="str"/>
      <x:c r="Q575" s="117" t="str">
        <x:v>64.0</x:v>
      </x:c>
      <x:c r="R575" s="117" t="str">
        <x:v>unmanaged</x:v>
      </x:c>
      <x:c r="S575" s="118" t="n">
        <x:v>18</x:v>
      </x:c>
      <x:c r="T575" s="118" t="n">
        <x:v>27</x:v>
      </x:c>
      <x:c r="U575" s="118" t="n">
        <x:v>6</x:v>
      </x:c>
      <x:c r="V575" s="118" t="n">
        <x:v>0</x:v>
      </x:c>
      <x:c r="W575" s="118" t="n">
        <x:v>0</x:v>
      </x:c>
      <x:c r="X575" s="118" t="n">
        <x:v>3</x:v>
      </x:c>
      <x:c r="Y575" s="118" t="n">
        <x:v>3</x:v>
      </x:c>
      <x:c r="Z575" s="117" t="str">
        <x:v>N/A</x:v>
      </x:c>
      <x:c r="AA575" s="120" t="n">
        <x:v>46209.4065162037</x:v>
      </x:c>
      <x:c r="AB575" s="117" t="str">
        <x:v>Sacha Pearce</x:v>
      </x:c>
      <x:c r="AC575" s="119" t="str">
        <x:v>06/07/2026 - SP - Adding fields from previous Contract Line Items into the new Contract Line Item. The fields being pulled contain information for network settings, transducers, peripherals and hardware etc.</x:v>
      </x:c>
      <x:c r="AD575" s="119" t="str">
        <x:v>Touches many objects</x:v>
      </x:c>
    </x:row>
    <x:row r="576" ht="34" customHeight="1">
      <x:c r="A576" s="117" t="str">
        <x:v>300Ro00000nsEpqIAE</x:v>
      </x:c>
      <x:c r="B576" s="117" t="str">
        <x:v>Service_Contract_Renewal_US1</x:v>
      </x:c>
      <x:c r="C576" s="117" t="str">
        <x:v>Service Contract Renewal US</x:v>
      </x:c>
      <x:c r="D576" s="117" t="str">
        <x:v>Yes</x:v>
      </x:c>
      <x:c r="E576" s="118" t="n">
        <x:v>11</x:v>
      </x:c>
      <x:c r="F576" s="118" t="n">
        <x:v>11</x:v>
      </x:c>
      <x:c r="G576" s="117" t="str">
        <x:v>Yes</x:v>
      </x:c>
      <x:c r="H576" s="119" t="str">
        <x:v>Active v11 (Retrieved XML)</x:v>
      </x:c>
      <x:c r="I576" s="117" t="str">
        <x:v>Flow</x:v>
      </x:c>
      <x:c r="J576" s="117" t="str"/>
      <x:c r="K576" s="117" t="str">
        <x:v>No</x:v>
      </x:c>
      <x:c r="L576" s="117" t="str"/>
      <x:c r="M576" s="117" t="str"/>
      <x:c r="N576" s="117"/>
      <x:c r="O576" s="117"/>
      <x:c r="P576" s="117" t="str"/>
      <x:c r="Q576" s="117" t="str">
        <x:v>64.0</x:v>
      </x:c>
      <x:c r="R576" s="117" t="str">
        <x:v>unmanaged</x:v>
      </x:c>
      <x:c r="S576" s="118" t="n">
        <x:v>11</x:v>
      </x:c>
      <x:c r="T576" s="118" t="n">
        <x:v>45</x:v>
      </x:c>
      <x:c r="U576" s="118" t="n">
        <x:v>9</x:v>
      </x:c>
      <x:c r="V576" s="118" t="n">
        <x:v>0</x:v>
      </x:c>
      <x:c r="W576" s="118" t="n">
        <x:v>0</x:v>
      </x:c>
      <x:c r="X576" s="118" t="n">
        <x:v>3</x:v>
      </x:c>
      <x:c r="Y576" s="118" t="n">
        <x:v>4</x:v>
      </x:c>
      <x:c r="Z576" s="117" t="str">
        <x:v>N/A</x:v>
      </x:c>
      <x:c r="AA576" s="120" t="n">
        <x:v>46139.686793981484</x:v>
      </x:c>
      <x:c r="AB576" s="117" t="str">
        <x:v>Mindy Bender</x:v>
      </x:c>
      <x:c r="AC576" s="119" t="str">
        <x:v>04/27/2026 - V11 - MPB - Added linking service contract to convert so can easily click when reviewing with TMs &amp; fixed Opp name to take from screen.</x:v>
      </x:c>
      <x:c r="AD576" s="119" t="str">
        <x:v>High element count; Touches many objects</x:v>
      </x:c>
    </x:row>
    <x:row r="577" ht="34" customHeight="1">
      <x:c r="A577" s="117" t="str">
        <x:v>300Ro00000PFWArIAP</x:v>
      </x:c>
      <x:c r="B577" s="117" t="str">
        <x:v>Service_Contract_Unlock_Flow</x:v>
      </x:c>
      <x:c r="C577" s="117" t="str">
        <x:v>Service Contract Unlock Flow</x:v>
      </x:c>
      <x:c r="D577" s="117" t="str">
        <x:v>Yes</x:v>
      </x:c>
      <x:c r="E577" s="118" t="n">
        <x:v>1</x:v>
      </x:c>
      <x:c r="F577" s="118" t="n">
        <x:v>1</x:v>
      </x:c>
      <x:c r="G577" s="117" t="str">
        <x:v>Yes</x:v>
      </x:c>
      <x:c r="H577" s="119" t="str">
        <x:v>Active v1 (Retrieved XML)</x:v>
      </x:c>
      <x:c r="I577" s="117" t="str">
        <x:v>AutoLaunchedFlow</x:v>
      </x:c>
      <x:c r="J577" s="117" t="str">
        <x:v>ServiceContract</x:v>
      </x:c>
      <x:c r="K577" s="117" t="str">
        <x:v>Yes</x:v>
      </x:c>
      <x:c r="L577" s="117" t="str">
        <x:v>Update</x:v>
      </x:c>
      <x:c r="M577" s="117" t="str">
        <x:v>RecordAfterSave</x:v>
      </x:c>
      <x:c r="N577" s="117"/>
      <x:c r="O577" s="117"/>
      <x:c r="P577" s="117" t="str"/>
      <x:c r="Q577" s="117" t="str">
        <x:v>62.0</x:v>
      </x:c>
      <x:c r="R577" s="117" t="str">
        <x:v>unmanaged</x:v>
      </x:c>
      <x:c r="S577" s="118" t="n">
        <x:v>1</x:v>
      </x:c>
      <x:c r="T577" s="118" t="n">
        <x:v>3</x:v>
      </x:c>
      <x:c r="U577" s="118" t="n">
        <x:v>1</x:v>
      </x:c>
      <x:c r="V577" s="118" t="n">
        <x:v>0</x:v>
      </x:c>
      <x:c r="W577" s="118" t="n">
        <x:v>1</x:v>
      </x:c>
      <x:c r="X577" s="118" t="n">
        <x:v>0</x:v>
      </x:c>
      <x:c r="Y577" s="118" t="n">
        <x:v>1</x:v>
      </x:c>
      <x:c r="Z577" s="117" t="str">
        <x:v>Review</x:v>
      </x:c>
      <x:c r="AA577" s="120" t="n">
        <x:v>45666.38353009259</x:v>
      </x:c>
      <x:c r="AB577" s="117" t="str">
        <x:v>Sacha Pearce</x:v>
      </x:c>
      <x:c r="AC577" s="119" t="str"/>
      <x:c r="AD577" s="119" t="str">
        <x:v>Active flow has no description</x:v>
      </x:c>
    </x:row>
    <x:row r="578" ht="34" customHeight="1">
      <x:c r="A578" s="117" t="str">
        <x:v>3005b000000LHjaAAG</x:v>
      </x:c>
      <x:c r="B578" s="117" t="str">
        <x:v>Service_Contract_Updates_Flow</x:v>
      </x:c>
      <x:c r="C578" s="117" t="str">
        <x:v>Service Contract Updates Flow</x:v>
      </x:c>
      <x:c r="D578" s="117" t="str">
        <x:v>Yes</x:v>
      </x:c>
      <x:c r="E578" s="118" t="n">
        <x:v>1</x:v>
      </x:c>
      <x:c r="F578" s="118" t="n">
        <x:v>4</x:v>
      </x:c>
      <x:c r="G578" s="117" t="str">
        <x:v>No</x:v>
      </x:c>
      <x:c r="H578" s="119" t="str">
        <x:v>Active v1 (Tooling metadata)</x:v>
      </x:c>
      <x:c r="I578" s="117" t="str">
        <x:v>AutoLaunchedFlow</x:v>
      </x:c>
      <x:c r="J578" s="117" t="str">
        <x:v>ServiceContract</x:v>
      </x:c>
      <x:c r="K578" s="117" t="str">
        <x:v>Yes</x:v>
      </x:c>
      <x:c r="L578" s="117" t="str">
        <x:v>CreateAndUpdate</x:v>
      </x:c>
      <x:c r="M578" s="117" t="str">
        <x:v>RecordAfterSave</x:v>
      </x:c>
      <x:c r="N578" s="117"/>
      <x:c r="O578" s="117"/>
      <x:c r="P578" s="117" t="str"/>
      <x:c r="Q578" s="117" t="n">
        <x:v>56</x:v>
      </x:c>
      <x:c r="R578" s="117" t="str">
        <x:v>unmanaged</x:v>
      </x:c>
      <x:c r="S578" s="118" t="n">
        <x:v>4</x:v>
      </x:c>
      <x:c r="T578" s="118" t="n">
        <x:v>3</x:v>
      </x:c>
      <x:c r="U578" s="118" t="n">
        <x:v>1</x:v>
      </x:c>
      <x:c r="V578" s="118" t="n">
        <x:v>0</x:v>
      </x:c>
      <x:c r="W578" s="118" t="n">
        <x:v>0</x:v>
      </x:c>
      <x:c r="X578" s="118" t="n">
        <x:v>0</x:v>
      </x:c>
      <x:c r="Y578" s="118" t="n">
        <x:v>1</x:v>
      </x:c>
      <x:c r="Z578" s="117" t="str">
        <x:v>Isolated lane</x:v>
      </x:c>
      <x:c r="AA578" s="120" t="n">
        <x:v>45615.68755787037</x:v>
      </x:c>
      <x:c r="AB578" s="117" t="str">
        <x:v>Jace Gentil</x:v>
      </x:c>
      <x:c r="AC578" s="119" t="str"/>
      <x:c r="AD578" s="119" t="str">
        <x:v>Active version differs from latest; Active flow has no description</x:v>
      </x:c>
    </x:row>
    <x:row r="579" ht="34" customHeight="1">
      <x:c r="A579" s="117" t="str">
        <x:v>3005b000000H3t4AAC</x:v>
      </x:c>
      <x:c r="B579" s="117" t="str">
        <x:v>Service_Contract_Updates_Status_Handler</x:v>
      </x:c>
      <x:c r="C579" s="117" t="str">
        <x:v>Service Contract - Updates - Status Handler</x:v>
      </x:c>
      <x:c r="D579" s="117" t="str">
        <x:v>Yes</x:v>
      </x:c>
      <x:c r="E579" s="118" t="n">
        <x:v>2</x:v>
      </x:c>
      <x:c r="F579" s="118" t="n">
        <x:v>2</x:v>
      </x:c>
      <x:c r="G579" s="117" t="str">
        <x:v>Yes</x:v>
      </x:c>
      <x:c r="H579" s="119" t="str">
        <x:v>Active v2 (Retrieved XML)</x:v>
      </x:c>
      <x:c r="I579" s="117" t="str">
        <x:v>AutoLaunchedFlow</x:v>
      </x:c>
      <x:c r="J579" s="117" t="str">
        <x:v>ServiceContract</x:v>
      </x:c>
      <x:c r="K579" s="117" t="str">
        <x:v>Yes</x:v>
      </x:c>
      <x:c r="L579" s="117" t="str"/>
      <x:c r="M579" s="117" t="str">
        <x:v>Scheduled</x:v>
      </x:c>
      <x:c r="N579" s="117"/>
      <x:c r="O579" s="117"/>
      <x:c r="P579" s="117" t="str">
        <x:v>Daily</x:v>
      </x:c>
      <x:c r="Q579" s="117" t="str">
        <x:v>54.0</x:v>
      </x:c>
      <x:c r="R579" s="117" t="str">
        <x:v>unmanaged</x:v>
      </x:c>
      <x:c r="S579" s="118" t="n">
        <x:v>2</x:v>
      </x:c>
      <x:c r="T579" s="118" t="n">
        <x:v>9</x:v>
      </x:c>
      <x:c r="U579" s="118" t="n">
        <x:v>1</x:v>
      </x:c>
      <x:c r="V579" s="118" t="n">
        <x:v>0</x:v>
      </x:c>
      <x:c r="W579" s="118" t="n">
        <x:v>0</x:v>
      </x:c>
      <x:c r="X579" s="118" t="n">
        <x:v>0</x:v>
      </x:c>
      <x:c r="Y579" s="118" t="n">
        <x:v>1</x:v>
      </x:c>
      <x:c r="Z579" s="117" t="str">
        <x:v>Review</x:v>
      </x:c>
      <x:c r="AA579" s="120" t="n">
        <x:v>44741.66415509259</x:v>
      </x:c>
      <x:c r="AB579" s="117" t="str">
        <x:v>Delegate</x:v>
      </x:c>
      <x:c r="AC579" s="119" t="str">
        <x:v>SN/NB - Made updates to expand outlier contract dates. Also added stipulation to check status when changing from active &gt; expired and vice versa.
This flow checks daily for active contracts. Updates the warranty and contract status according to the start and end dates respectively. Transitioned from "PB: Service Contract" Process Builder</x:v>
      </x:c>
      <x:c r="AD579" s="119" t="str"/>
    </x:row>
    <x:row r="580" ht="34" customHeight="1">
      <x:c r="A580" s="117" t="str">
        <x:v>3004O000000TiaDQAS</x:v>
      </x:c>
      <x:c r="B580" s="117" t="str">
        <x:v>Service_Work_Order_Part_Name_Lookup</x:v>
      </x:c>
      <x:c r="C580" s="117" t="str">
        <x:v>Service Work Order Line Item Part Used Info Lookup</x:v>
      </x:c>
      <x:c r="D580" s="117" t="str">
        <x:v>No</x:v>
      </x:c>
      <x:c r="E580" s="118"/>
      <x:c r="F580" s="118" t="n">
        <x:v>15</x:v>
      </x:c>
      <x:c r="G580" s="117" t="str">
        <x:v>N/A</x:v>
      </x:c>
      <x:c r="H580" s="119" t="str">
        <x:v>Latest inactive v15 (Retrieved XML)</x:v>
      </x:c>
      <x:c r="I580" s="117" t="str">
        <x:v>Workflow</x:v>
      </x:c>
      <x:c r="J580" s="117" t="str"/>
      <x:c r="K580" s="117" t="str">
        <x:v>No</x:v>
      </x:c>
      <x:c r="L580" s="117" t="str"/>
      <x:c r="M580" s="117" t="str"/>
      <x:c r="N580" s="117"/>
      <x:c r="O580" s="117"/>
      <x:c r="P580" s="117" t="str"/>
      <x:c r="Q580" s="117" t="str">
        <x:v>49.0</x:v>
      </x:c>
      <x:c r="R580" s="117" t="str">
        <x:v>unmanaged</x:v>
      </x:c>
      <x:c r="S580" s="118" t="n">
        <x:v>15</x:v>
      </x:c>
      <x:c r="T580" s="118" t="n">
        <x:v>5</x:v>
      </x:c>
      <x:c r="U580" s="118" t="n">
        <x:v>1</x:v>
      </x:c>
      <x:c r="V580" s="118" t="n">
        <x:v>0</x:v>
      </x:c>
      <x:c r="W580" s="118" t="n">
        <x:v>0</x:v>
      </x:c>
      <x:c r="X580" s="118" t="n">
        <x:v>0</x:v>
      </x:c>
      <x:c r="Y580" s="118" t="n">
        <x:v>1</x:v>
      </x:c>
      <x:c r="Z580" s="117" t="str">
        <x:v>N/A</x:v>
      </x:c>
      <x:c r="AA580" s="120" t="n">
        <x:v>44113.73553240741</x:v>
      </x:c>
      <x:c r="AB580" s="117" t="str">
        <x:v>Trent VanEmon</x:v>
      </x:c>
      <x:c r="AC580" s="119" t="str">
        <x:v>If asset is listed on WO line item, pull in the product name into the "part name" field.</x:v>
      </x:c>
      <x:c r="AD580" s="119" t="str"/>
    </x:row>
    <x:row r="581" ht="34" customHeight="1">
      <x:c r="A581" s="117" t="str">
        <x:v>300Ro00000n0wvxIAA</x:v>
      </x:c>
      <x:c r="B581" s="117" t="str">
        <x:v>Set_Entity_on_Opportunity_Creation</x:v>
      </x:c>
      <x:c r="C581" s="117" t="str">
        <x:v>Set Entity on Opportunity Creation</x:v>
      </x:c>
      <x:c r="D581" s="117" t="str">
        <x:v>Yes</x:v>
      </x:c>
      <x:c r="E581" s="118" t="n">
        <x:v>1</x:v>
      </x:c>
      <x:c r="F581" s="118" t="n">
        <x:v>1</x:v>
      </x:c>
      <x:c r="G581" s="117" t="str">
        <x:v>Yes</x:v>
      </x:c>
      <x:c r="H581" s="119" t="str">
        <x:v>Active v1 (Retrieved XML)</x:v>
      </x:c>
      <x:c r="I581" s="117" t="str">
        <x:v>AutoLaunchedFlow</x:v>
      </x:c>
      <x:c r="J581" s="117" t="str">
        <x:v>Opportunity</x:v>
      </x:c>
      <x:c r="K581" s="117" t="str">
        <x:v>Yes</x:v>
      </x:c>
      <x:c r="L581" s="117" t="str">
        <x:v>Create</x:v>
      </x:c>
      <x:c r="M581" s="117" t="str">
        <x:v>RecordAfterSave</x:v>
      </x:c>
      <x:c r="N581" s="117"/>
      <x:c r="O581" s="117"/>
      <x:c r="P581" s="117" t="str"/>
      <x:c r="Q581" s="117" t="str">
        <x:v>65.0</x:v>
      </x:c>
      <x:c r="R581" s="117" t="str">
        <x:v>unmanaged</x:v>
      </x:c>
      <x:c r="S581" s="118" t="n">
        <x:v>1</x:v>
      </x:c>
      <x:c r="T581" s="118" t="n">
        <x:v>2</x:v>
      </x:c>
      <x:c r="U581" s="118" t="n">
        <x:v>1</x:v>
      </x:c>
      <x:c r="V581" s="118" t="n">
        <x:v>0</x:v>
      </x:c>
      <x:c r="W581" s="118" t="n">
        <x:v>0</x:v>
      </x:c>
      <x:c r="X581" s="118" t="n">
        <x:v>0</x:v>
      </x:c>
      <x:c r="Y581" s="118" t="n">
        <x:v>1</x:v>
      </x:c>
      <x:c r="Z581" s="117" t="str">
        <x:v>Strong</x:v>
      </x:c>
      <x:c r="AA581" s="120" t="n">
        <x:v>46010.2202662037</x:v>
      </x:c>
      <x:c r="AB581" s="117" t="str">
        <x:v>Delegate</x:v>
      </x:c>
      <x:c r="AC581" s="119" t="str"/>
      <x:c r="AD581" s="119" t="str">
        <x:v>Active flow has no description</x:v>
      </x:c>
    </x:row>
    <x:row r="582" ht="34" customHeight="1">
      <x:c r="A582" s="117" t="str">
        <x:v>3000B0000004XbHQAU</x:v>
      </x:c>
      <x:c r="B582" s="117" t="str">
        <x:v>set_opportunity_field_to_product_Item</x:v>
      </x:c>
      <x:c r="C582" s="117" t="str">
        <x:v>set opportunity field to product Item</x:v>
      </x:c>
      <x:c r="D582" s="117" t="str">
        <x:v>No</x:v>
      </x:c>
      <x:c r="E582" s="118"/>
      <x:c r="F582" s="118" t="n">
        <x:v>5</x:v>
      </x:c>
      <x:c r="G582" s="117" t="str">
        <x:v>N/A</x:v>
      </x:c>
      <x:c r="H582" s="119" t="str">
        <x:v>Latest inactive v5 (Retrieved XML)</x:v>
      </x:c>
      <x:c r="I582" s="117" t="str">
        <x:v>Workflow</x:v>
      </x:c>
      <x:c r="J582" s="117" t="str"/>
      <x:c r="K582" s="117" t="str">
        <x:v>No</x:v>
      </x:c>
      <x:c r="L582" s="117" t="str"/>
      <x:c r="M582" s="117" t="str"/>
      <x:c r="N582" s="117"/>
      <x:c r="O582" s="117"/>
      <x:c r="P582" s="117" t="str"/>
      <x:c r="Q582" s="117" t="str">
        <x:v>49.0</x:v>
      </x:c>
      <x:c r="R582" s="117" t="str">
        <x:v>unmanaged</x:v>
      </x:c>
      <x:c r="S582" s="118" t="n">
        <x:v>5</x:v>
      </x:c>
      <x:c r="T582" s="118" t="n">
        <x:v>3</x:v>
      </x:c>
      <x:c r="U582" s="118" t="n">
        <x:v>2</x:v>
      </x:c>
      <x:c r="V582" s="118" t="n">
        <x:v>0</x:v>
      </x:c>
      <x:c r="W582" s="118" t="n">
        <x:v>0</x:v>
      </x:c>
      <x:c r="X582" s="118" t="n">
        <x:v>0</x:v>
      </x:c>
      <x:c r="Y582" s="118" t="n">
        <x:v>1</x:v>
      </x:c>
      <x:c r="Z582" s="117" t="str">
        <x:v>N/A</x:v>
      </x:c>
      <x:c r="AA582" s="120" t="n">
        <x:v>43454.11208333333</x:v>
      </x:c>
      <x:c r="AB582" s="117" t="str">
        <x:v>Jim Bartek</x:v>
      </x:c>
      <x:c r="AC582" s="119" t="str"/>
      <x:c r="AD582" s="119" t="str"/>
    </x:row>
    <x:row r="583" ht="34" customHeight="1">
      <x:c r="A583" s="117" t="str">
        <x:v>3005b000000H2LpAAK</x:v>
      </x:c>
      <x:c r="B583" s="117" t="str">
        <x:v>Set_Primary_Contact</x:v>
      </x:c>
      <x:c r="C583" s="117" t="str">
        <x:v>Account - Set Primary Contact</x:v>
      </x:c>
      <x:c r="D583" s="117" t="str">
        <x:v>No</x:v>
      </x:c>
      <x:c r="E583" s="118"/>
      <x:c r="F583" s="118" t="n">
        <x:v>5</x:v>
      </x:c>
      <x:c r="G583" s="117" t="str">
        <x:v>N/A</x:v>
      </x:c>
      <x:c r="H583" s="119" t="str">
        <x:v>Latest inactive v5 (Retrieved XML)</x:v>
      </x:c>
      <x:c r="I583" s="117" t="str">
        <x:v>AutoLaunchedFlow</x:v>
      </x:c>
      <x:c r="J583" s="117" t="str">
        <x:v>Account</x:v>
      </x:c>
      <x:c r="K583" s="117" t="str">
        <x:v>No</x:v>
      </x:c>
      <x:c r="L583" s="117" t="str">
        <x:v>Update</x:v>
      </x:c>
      <x:c r="M583" s="117" t="str">
        <x:v>RecordAfterSave</x:v>
      </x:c>
      <x:c r="N583" s="117"/>
      <x:c r="O583" s="117"/>
      <x:c r="P583" s="117" t="str"/>
      <x:c r="Q583" s="117" t="str">
        <x:v>53.0</x:v>
      </x:c>
      <x:c r="R583" s="117" t="str">
        <x:v>unmanaged</x:v>
      </x:c>
      <x:c r="S583" s="118" t="n">
        <x:v>5</x:v>
      </x:c>
      <x:c r="T583" s="118" t="n">
        <x:v>5</x:v>
      </x:c>
      <x:c r="U583" s="118" t="n">
        <x:v>2</x:v>
      </x:c>
      <x:c r="V583" s="118" t="n">
        <x:v>0</x:v>
      </x:c>
      <x:c r="W583" s="118" t="n">
        <x:v>0</x:v>
      </x:c>
      <x:c r="X583" s="118" t="n">
        <x:v>0</x:v>
      </x:c>
      <x:c r="Y583" s="118" t="n">
        <x:v>1</x:v>
      </x:c>
      <x:c r="Z583" s="117" t="str">
        <x:v>N/A</x:v>
      </x:c>
      <x:c r="AA583" s="120" t="n">
        <x:v>45092.83366898148</x:v>
      </x:c>
      <x:c r="AB583" s="117" t="str">
        <x:v>Jace Gentil</x:v>
      </x:c>
      <x:c r="AC583" s="119" t="str">
        <x:v>Set the newest Contact on an Account as Primary</x:v>
      </x:c>
      <x:c r="AD583" s="119" t="str"/>
    </x:row>
    <x:row r="584" ht="34" customHeight="1">
      <x:c r="A584" s="117" t="str">
        <x:v>300Ro00000WEzvgIAD</x:v>
      </x:c>
      <x:c r="B584" s="117" t="str">
        <x:v>Set_SA_Duration_for_Ultrasound_Work_Types</x:v>
      </x:c>
      <x:c r="C584" s="117" t="str">
        <x:v>Set SA Duration for Ultrasound Based on Work Type</x:v>
      </x:c>
      <x:c r="D584" s="117" t="str">
        <x:v>Yes</x:v>
      </x:c>
      <x:c r="E584" s="118" t="n">
        <x:v>6</x:v>
      </x:c>
      <x:c r="F584" s="118" t="n">
        <x:v>6</x:v>
      </x:c>
      <x:c r="G584" s="117" t="str">
        <x:v>Yes</x:v>
      </x:c>
      <x:c r="H584" s="119" t="str">
        <x:v>Active v6 (Retrieved XML)</x:v>
      </x:c>
      <x:c r="I584" s="117" t="str">
        <x:v>AutoLaunchedFlow</x:v>
      </x:c>
      <x:c r="J584" s="117" t="str">
        <x:v>ServiceAppointment</x:v>
      </x:c>
      <x:c r="K584" s="117" t="str">
        <x:v>Yes</x:v>
      </x:c>
      <x:c r="L584" s="117" t="str">
        <x:v>CreateAndUpdate</x:v>
      </x:c>
      <x:c r="M584" s="117" t="str">
        <x:v>RecordAfterSave</x:v>
      </x:c>
      <x:c r="N584" s="117"/>
      <x:c r="O584" s="117"/>
      <x:c r="P584" s="117" t="str"/>
      <x:c r="Q584" s="117" t="str">
        <x:v>63.0</x:v>
      </x:c>
      <x:c r="R584" s="117" t="str">
        <x:v>unmanaged</x:v>
      </x:c>
      <x:c r="S584" s="118" t="n">
        <x:v>6</x:v>
      </x:c>
      <x:c r="T584" s="118" t="n">
        <x:v>5</x:v>
      </x:c>
      <x:c r="U584" s="118" t="n">
        <x:v>1</x:v>
      </x:c>
      <x:c r="V584" s="118" t="n">
        <x:v>0</x:v>
      </x:c>
      <x:c r="W584" s="118" t="n">
        <x:v>0</x:v>
      </x:c>
      <x:c r="X584" s="118" t="n">
        <x:v>0</x:v>
      </x:c>
      <x:c r="Y584" s="118" t="n">
        <x:v>1</x:v>
      </x:c>
      <x:c r="Z584" s="117" t="str">
        <x:v>Strong</x:v>
      </x:c>
      <x:c r="AA584" s="120" t="n">
        <x:v>46150.55081018519</x:v>
      </x:c>
      <x:c r="AB584" s="117" t="str">
        <x:v>Sacha Pearce</x:v>
      </x:c>
      <x:c r="AC584" s="119" t="str">
        <x:v>08/05/2026 - SP - Updating the Flow to only run when the "Duration" field is null.</x:v>
      </x:c>
      <x:c r="AD584" s="119" t="str"/>
    </x:row>
    <x:row r="585" ht="34" customHeight="1">
      <x:c r="A585" s="117" t="str">
        <x:v>300Ro00000REVFnIAP</x:v>
      </x:c>
      <x:c r="B585" s="117" t="str">
        <x:v>Set_Service_Appointment_on_New_Work_Order_Line_Item</x:v>
      </x:c>
      <x:c r="C585" s="117" t="str">
        <x:v>Set Work Order Line Item Information on Creation</x:v>
      </x:c>
      <x:c r="D585" s="117" t="str">
        <x:v>Yes</x:v>
      </x:c>
      <x:c r="E585" s="118" t="n">
        <x:v>6</x:v>
      </x:c>
      <x:c r="F585" s="118" t="n">
        <x:v>6</x:v>
      </x:c>
      <x:c r="G585" s="117" t="str">
        <x:v>Yes</x:v>
      </x:c>
      <x:c r="H585" s="119" t="str">
        <x:v>Active v6 (Retrieved XML)</x:v>
      </x:c>
      <x:c r="I585" s="117" t="str">
        <x:v>AutoLaunchedFlow</x:v>
      </x:c>
      <x:c r="J585" s="117" t="str">
        <x:v>WorkOrderLineItem</x:v>
      </x:c>
      <x:c r="K585" s="117" t="str">
        <x:v>Yes</x:v>
      </x:c>
      <x:c r="L585" s="117" t="str">
        <x:v>Create</x:v>
      </x:c>
      <x:c r="M585" s="117" t="str">
        <x:v>RecordAfterSave</x:v>
      </x:c>
      <x:c r="N585" s="117"/>
      <x:c r="O585" s="117"/>
      <x:c r="P585" s="117" t="str"/>
      <x:c r="Q585" s="117" t="str">
        <x:v>62.0</x:v>
      </x:c>
      <x:c r="R585" s="117" t="str">
        <x:v>unmanaged</x:v>
      </x:c>
      <x:c r="S585" s="118" t="n">
        <x:v>6</x:v>
      </x:c>
      <x:c r="T585" s="118" t="n">
        <x:v>3</x:v>
      </x:c>
      <x:c r="U585" s="118" t="n">
        <x:v>2</x:v>
      </x:c>
      <x:c r="V585" s="118" t="n">
        <x:v>0</x:v>
      </x:c>
      <x:c r="W585" s="118" t="n">
        <x:v>0</x:v>
      </x:c>
      <x:c r="X585" s="118" t="n">
        <x:v>0</x:v>
      </x:c>
      <x:c r="Y585" s="118" t="n">
        <x:v>1</x:v>
      </x:c>
      <x:c r="Z585" s="117" t="str">
        <x:v>Review</x:v>
      </x:c>
      <x:c r="AA585" s="120" t="n">
        <x:v>46233.53875</x:v>
      </x:c>
      <x:c r="AB585" s="117" t="str">
        <x:v>Sacha Pearce</x:v>
      </x:c>
      <x:c r="AC585" s="119" t="str">
        <x:v>07/30/2026 - SP - Updating the "Get Most Recent Open Appointment" get records element to exclude Service Appointments with the "Appointment Type" field set to "Support Engineer Visit"</x:v>
      </x:c>
      <x:c r="AD585" s="119" t="str"/>
    </x:row>
    <x:row r="586" ht="34" customHeight="1">
      <x:c r="A586" s="117" t="str">
        <x:v>300Ro00000ghrtiIAA</x:v>
      </x:c>
      <x:c r="B586" s="117" t="str">
        <x:v>Set_Service_Appointment_on_RMA_when_Work_Order_Attached</x:v>
      </x:c>
      <x:c r="C586" s="117" t="str">
        <x:v>Set Service Appointment on RMA when Work Order Attached</x:v>
      </x:c>
      <x:c r="D586" s="117" t="str">
        <x:v>Yes</x:v>
      </x:c>
      <x:c r="E586" s="118" t="n">
        <x:v>1</x:v>
      </x:c>
      <x:c r="F586" s="118" t="n">
        <x:v>1</x:v>
      </x:c>
      <x:c r="G586" s="117" t="str">
        <x:v>Yes</x:v>
      </x:c>
      <x:c r="H586" s="119" t="str">
        <x:v>Active v1 (Retrieved XML)</x:v>
      </x:c>
      <x:c r="I586" s="117" t="str">
        <x:v>AutoLaunchedFlow</x:v>
      </x:c>
      <x:c r="J586" s="117" t="str">
        <x:v>RMA__c</x:v>
      </x:c>
      <x:c r="K586" s="117" t="str">
        <x:v>Yes</x:v>
      </x:c>
      <x:c r="L586" s="117" t="str">
        <x:v>Create</x:v>
      </x:c>
      <x:c r="M586" s="117" t="str">
        <x:v>RecordAfterSave</x:v>
      </x:c>
      <x:c r="N586" s="117"/>
      <x:c r="O586" s="117"/>
      <x:c r="P586" s="117" t="str"/>
      <x:c r="Q586" s="117" t="str">
        <x:v>64.0</x:v>
      </x:c>
      <x:c r="R586" s="117" t="str">
        <x:v>unmanaged</x:v>
      </x:c>
      <x:c r="S586" s="118" t="n">
        <x:v>1</x:v>
      </x:c>
      <x:c r="T586" s="118" t="n">
        <x:v>4</x:v>
      </x:c>
      <x:c r="U586" s="118" t="n">
        <x:v>2</x:v>
      </x:c>
      <x:c r="V586" s="118" t="n">
        <x:v>0</x:v>
      </x:c>
      <x:c r="W586" s="118" t="n">
        <x:v>0</x:v>
      </x:c>
      <x:c r="X586" s="118" t="n">
        <x:v>0</x:v>
      </x:c>
      <x:c r="Y586" s="118" t="n">
        <x:v>1</x:v>
      </x:c>
      <x:c r="Z586" s="117" t="str">
        <x:v>Review</x:v>
      </x:c>
      <x:c r="AA586" s="120" t="n">
        <x:v>45925.499756944446</x:v>
      </x:c>
      <x:c r="AB586" s="117" t="str">
        <x:v>Delegate</x:v>
      </x:c>
      <x:c r="AC586" s="119" t="str">
        <x:v>09/25/2025 (BW) - Sets the service appointment on the RMA when a work order is attached</x:v>
      </x:c>
      <x:c r="AD586" s="119" t="str"/>
    </x:row>
    <x:row r="587" ht="34" customHeight="1">
      <x:c r="A587" s="117" t="str">
        <x:v>3004O000000TiZ0QAK</x:v>
      </x:c>
      <x:c r="B587" s="117" t="str">
        <x:v>Set_Ship_Date_from_Shipment_Record</x:v>
      </x:c>
      <x:c r="C587" s="117" t="str">
        <x:v>Set Ship Date from Shipment Record</x:v>
      </x:c>
      <x:c r="D587" s="117" t="str">
        <x:v>Yes</x:v>
      </x:c>
      <x:c r="E587" s="118" t="n">
        <x:v>9</x:v>
      </x:c>
      <x:c r="F587" s="118" t="n">
        <x:v>10</x:v>
      </x:c>
      <x:c r="G587" s="117" t="str">
        <x:v>No</x:v>
      </x:c>
      <x:c r="H587" s="119" t="str">
        <x:v>Active v9 (Tooling metadata)</x:v>
      </x:c>
      <x:c r="I587" s="117" t="str">
        <x:v>Workflow</x:v>
      </x:c>
      <x:c r="J587" s="117" t="str"/>
      <x:c r="K587" s="117" t="str">
        <x:v>No</x:v>
      </x:c>
      <x:c r="L587" s="117" t="str"/>
      <x:c r="M587" s="117" t="str"/>
      <x:c r="N587" s="117"/>
      <x:c r="O587" s="117"/>
      <x:c r="P587" s="117" t="str"/>
      <x:c r="Q587" s="117" t="n">
        <x:v>49</x:v>
      </x:c>
      <x:c r="R587" s="117" t="str">
        <x:v>unmanaged</x:v>
      </x:c>
      <x:c r="S587" s="118" t="n">
        <x:v>10</x:v>
      </x:c>
      <x:c r="T587" s="118" t="n">
        <x:v>28</x:v>
      </x:c>
      <x:c r="U587" s="118" t="n">
        <x:v>3</x:v>
      </x:c>
      <x:c r="V587" s="118" t="n">
        <x:v>0</x:v>
      </x:c>
      <x:c r="W587" s="118" t="n">
        <x:v>0</x:v>
      </x:c>
      <x:c r="X587" s="118" t="n">
        <x:v>0</x:v>
      </x:c>
      <x:c r="Y587" s="118" t="n">
        <x:v>3</x:v>
      </x:c>
      <x:c r="Z587" s="117" t="str">
        <x:v>N/A</x:v>
      </x:c>
      <x:c r="AA587" s="120" t="n">
        <x:v>45139.09030092593</x:v>
      </x:c>
      <x:c r="AB587" s="117" t="str">
        <x:v>Natalie Boger</x:v>
      </x:c>
      <x:c r="AC587" s="119" t="str">
        <x:v>This process updates the shipment value on the opportunity when it is updated on the Zenkraft Shipment Record.</x:v>
      </x:c>
      <x:c r="AD587" s="119" t="str">
        <x:v>Active version differs from latest</x:v>
      </x:c>
    </x:row>
    <x:row r="588" ht="34" customHeight="1">
      <x:c r="A588" s="117" t="str">
        <x:v>300Ro00000uhVJiIAM</x:v>
      </x:c>
      <x:c r="B588" s="117" t="str">
        <x:v>Set_Shipping_Account_to_Bill_on_Opp_to_the_Account_s_Default_Shipping_Account</x:v>
      </x:c>
      <x:c r="C588" s="117" t="str">
        <x:v>Set Shipping Account to Bill on Opp to the Account's Default Shipping Account</x:v>
      </x:c>
      <x:c r="D588" s="117" t="str">
        <x:v>No</x:v>
      </x:c>
      <x:c r="E588" s="118"/>
      <x:c r="F588" s="118" t="n">
        <x:v>1</x:v>
      </x:c>
      <x:c r="G588" s="117" t="str">
        <x:v>N/A</x:v>
      </x:c>
      <x:c r="H588" s="119" t="str">
        <x:v>Latest inactive v1 (Retrieved XML)</x:v>
      </x:c>
      <x:c r="I588" s="117" t="str">
        <x:v>AutoLaunchedFlow</x:v>
      </x:c>
      <x:c r="J588" s="117" t="str">
        <x:v>Opportunity</x:v>
      </x:c>
      <x:c r="K588" s="117" t="str">
        <x:v>No</x:v>
      </x:c>
      <x:c r="L588" s="117" t="str">
        <x:v>Create</x:v>
      </x:c>
      <x:c r="M588" s="117" t="str">
        <x:v>RecordAfterSave</x:v>
      </x:c>
      <x:c r="N588" s="117"/>
      <x:c r="O588" s="117"/>
      <x:c r="P588" s="117" t="str"/>
      <x:c r="Q588" s="117" t="str">
        <x:v>66.0</x:v>
      </x:c>
      <x:c r="R588" s="117" t="str">
        <x:v>unmanaged</x:v>
      </x:c>
      <x:c r="S588" s="118" t="n">
        <x:v>1</x:v>
      </x:c>
      <x:c r="T588" s="118" t="n">
        <x:v>2</x:v>
      </x:c>
      <x:c r="U588" s="118" t="n">
        <x:v>1</x:v>
      </x:c>
      <x:c r="V588" s="118" t="n">
        <x:v>0</x:v>
      </x:c>
      <x:c r="W588" s="118" t="n">
        <x:v>0</x:v>
      </x:c>
      <x:c r="X588" s="118" t="n">
        <x:v>0</x:v>
      </x:c>
      <x:c r="Y588" s="118" t="n">
        <x:v>1</x:v>
      </x:c>
      <x:c r="Z588" s="117" t="str">
        <x:v>N/A</x:v>
      </x:c>
      <x:c r="AA588" s="120" t="n">
        <x:v>46134.50581018518</x:v>
      </x:c>
      <x:c r="AB588" s="117" t="str">
        <x:v>Delegate</x:v>
      </x:c>
      <x:c r="AC588" s="119" t="str">
        <x:v>04/08/2026 (BW) - Sets Shipping Account to Bill on Opp to the Account's Default Shipping Account</x:v>
      </x:c>
      <x:c r="AD588" s="119" t="str"/>
    </x:row>
    <x:row r="589" ht="34" customHeight="1">
      <x:c r="A589" s="117" t="str">
        <x:v>3004O000000XhLmQAK</x:v>
      </x:c>
      <x:c r="B589" s="117" t="str">
        <x:v>Set_Task_Ownership_from_Delegate_to_Opp_Owner</x:v>
      </x:c>
      <x:c r="C589" s="117" t="str">
        <x:v>Set Task Ownership from Delegate to Opp Owner</x:v>
      </x:c>
      <x:c r="D589" s="117" t="str">
        <x:v>Yes</x:v>
      </x:c>
      <x:c r="E589" s="118" t="n">
        <x:v>1</x:v>
      </x:c>
      <x:c r="F589" s="118" t="n">
        <x:v>1</x:v>
      </x:c>
      <x:c r="G589" s="117" t="str">
        <x:v>Yes</x:v>
      </x:c>
      <x:c r="H589" s="119" t="str">
        <x:v>Active v1 (Retrieved XML)</x:v>
      </x:c>
      <x:c r="I589" s="117" t="str">
        <x:v>AutoLaunchedFlow</x:v>
      </x:c>
      <x:c r="J589" s="117" t="str"/>
      <x:c r="K589" s="117" t="str">
        <x:v>No</x:v>
      </x:c>
      <x:c r="L589" s="117" t="str"/>
      <x:c r="M589" s="117" t="str"/>
      <x:c r="N589" s="117"/>
      <x:c r="O589" s="117"/>
      <x:c r="P589" s="117" t="str"/>
      <x:c r="Q589" s="117" t="str">
        <x:v>52.0</x:v>
      </x:c>
      <x:c r="R589" s="117" t="str">
        <x:v>unmanaged</x:v>
      </x:c>
      <x:c r="S589" s="118" t="n">
        <x:v>1</x:v>
      </x:c>
      <x:c r="T589" s="118" t="n">
        <x:v>3</x:v>
      </x:c>
      <x:c r="U589" s="118" t="n">
        <x:v>2</x:v>
      </x:c>
      <x:c r="V589" s="118" t="n">
        <x:v>0</x:v>
      </x:c>
      <x:c r="W589" s="118" t="n">
        <x:v>0</x:v>
      </x:c>
      <x:c r="X589" s="118" t="n">
        <x:v>0</x:v>
      </x:c>
      <x:c r="Y589" s="118" t="n">
        <x:v>1</x:v>
      </x:c>
      <x:c r="Z589" s="117" t="str">
        <x:v>N/A</x:v>
      </x:c>
      <x:c r="AA589" s="120" t="n">
        <x:v>44414.64405092593</x:v>
      </x:c>
      <x:c r="AB589" s="117" t="str">
        <x:v>Delegate</x:v>
      </x:c>
      <x:c r="AC589" s="119" t="str">
        <x:v>Sets the task ownership from delegate to the related opp owner if a Delegate task is related to an opp.</x:v>
      </x:c>
      <x:c r="AD589" s="119" t="str"/>
    </x:row>
    <x:row r="590" ht="34" customHeight="1">
      <x:c r="A590" s="117" t="str">
        <x:v>300Ro00000vFVp9IAG</x:v>
      </x:c>
      <x:c r="B590" s="117" t="str">
        <x:v>Sets_the_FSR_Datestamp_to_Today_when_FSR_Not_Required_or_FSR_Attached_is_Checked</x:v>
      </x:c>
      <x:c r="C590" s="117" t="str">
        <x:v>Sets the FSR Datestamp to Today when FSR Not Required or FSR Attached is Checked</x:v>
      </x:c>
      <x:c r="D590" s="117" t="str">
        <x:v>Yes</x:v>
      </x:c>
      <x:c r="E590" s="118" t="n">
        <x:v>1</x:v>
      </x:c>
      <x:c r="F590" s="118" t="n">
        <x:v>1</x:v>
      </x:c>
      <x:c r="G590" s="117" t="str">
        <x:v>Yes</x:v>
      </x:c>
      <x:c r="H590" s="119" t="str">
        <x:v>Active v1 (Retrieved XML)</x:v>
      </x:c>
      <x:c r="I590" s="117" t="str">
        <x:v>AutoLaunchedFlow</x:v>
      </x:c>
      <x:c r="J590" s="117" t="str">
        <x:v>Opportunity</x:v>
      </x:c>
      <x:c r="K590" s="117" t="str">
        <x:v>Yes</x:v>
      </x:c>
      <x:c r="L590" s="117" t="str">
        <x:v>Update</x:v>
      </x:c>
      <x:c r="M590" s="117" t="str">
        <x:v>RecordAfterSave</x:v>
      </x:c>
      <x:c r="N590" s="117"/>
      <x:c r="O590" s="117"/>
      <x:c r="P590" s="117" t="str"/>
      <x:c r="Q590" s="117" t="str">
        <x:v>66.0</x:v>
      </x:c>
      <x:c r="R590" s="117" t="str">
        <x:v>unmanaged</x:v>
      </x:c>
      <x:c r="S590" s="118" t="n">
        <x:v>1</x:v>
      </x:c>
      <x:c r="T590" s="118" t="n">
        <x:v>2</x:v>
      </x:c>
      <x:c r="U590" s="118" t="n">
        <x:v>1</x:v>
      </x:c>
      <x:c r="V590" s="118" t="n">
        <x:v>0</x:v>
      </x:c>
      <x:c r="W590" s="118" t="n">
        <x:v>0</x:v>
      </x:c>
      <x:c r="X590" s="118" t="n">
        <x:v>0</x:v>
      </x:c>
      <x:c r="Y590" s="118" t="n">
        <x:v>1</x:v>
      </x:c>
      <x:c r="Z590" s="117" t="str">
        <x:v>Strong</x:v>
      </x:c>
      <x:c r="AA590" s="120" t="n">
        <x:v>46127.600960648146</x:v>
      </x:c>
      <x:c r="AB590" s="117" t="str">
        <x:v>Delegate</x:v>
      </x:c>
      <x:c r="AC590" s="119" t="str">
        <x:v>04/15/2026 (BW) - Sets the FSR Datestamp to Today when FSR Not Required or FSR Attached is Checked</x:v>
      </x:c>
      <x:c r="AD590" s="119" t="str"/>
    </x:row>
    <x:row r="591" ht="34" customHeight="1">
      <x:c r="A591" s="117" t="str">
        <x:v>3005b000000LHrFAAW</x:v>
      </x:c>
      <x:c r="B591" s="117" t="str">
        <x:v>Shipping_Product_Price_Qty_on_Op_Update_Flow</x:v>
      </x:c>
      <x:c r="C591" s="117" t="str">
        <x:v>Shipping Product Price/Qty on Op Update Flow</x:v>
      </x:c>
      <x:c r="D591" s="117" t="str">
        <x:v>No</x:v>
      </x:c>
      <x:c r="E591" s="118"/>
      <x:c r="F591" s="118" t="n">
        <x:v>21</x:v>
      </x:c>
      <x:c r="G591" s="117" t="str">
        <x:v>N/A</x:v>
      </x:c>
      <x:c r="H591" s="119" t="str">
        <x:v>Latest inactive v21 (Retrieved XML)</x:v>
      </x:c>
      <x:c r="I591" s="117" t="str">
        <x:v>AutoLaunchedFlow</x:v>
      </x:c>
      <x:c r="J591" s="117" t="str">
        <x:v>Opportunity</x:v>
      </x:c>
      <x:c r="K591" s="117" t="str">
        <x:v>No</x:v>
      </x:c>
      <x:c r="L591" s="117" t="str">
        <x:v>Update</x:v>
      </x:c>
      <x:c r="M591" s="117" t="str">
        <x:v>RecordAfterSave</x:v>
      </x:c>
      <x:c r="N591" s="117"/>
      <x:c r="O591" s="117"/>
      <x:c r="P591" s="117" t="str"/>
      <x:c r="Q591" s="117" t="str">
        <x:v>56.0</x:v>
      </x:c>
      <x:c r="R591" s="117" t="str">
        <x:v>unmanaged</x:v>
      </x:c>
      <x:c r="S591" s="118" t="n">
        <x:v>20</x:v>
      </x:c>
      <x:c r="T591" s="118" t="n">
        <x:v>19</x:v>
      </x:c>
      <x:c r="U591" s="118" t="n">
        <x:v>2</x:v>
      </x:c>
      <x:c r="V591" s="118" t="n">
        <x:v>0</x:v>
      </x:c>
      <x:c r="W591" s="118" t="n">
        <x:v>0</x:v>
      </x:c>
      <x:c r="X591" s="118" t="n">
        <x:v>0</x:v>
      </x:c>
      <x:c r="Y591" s="118" t="n">
        <x:v>2</x:v>
      </x:c>
      <x:c r="Z591" s="117" t="str">
        <x:v>N/A</x:v>
      </x:c>
      <x:c r="AA591" s="120" t="n">
        <x:v>45423.52140046296</x:v>
      </x:c>
      <x:c r="AB591" s="117" t="str">
        <x:v>Jace Gentil</x:v>
      </x:c>
      <x:c r="AC591" s="119" t="str">
        <x:v>Added asynchronous path</x:v>
      </x:c>
      <x:c r="AD591" s="119" t="str"/>
    </x:row>
    <x:row r="592" ht="34" customHeight="1">
      <x:c r="A592" s="117" t="str">
        <x:v>3005b00000113ONAAY</x:v>
      </x:c>
      <x:c r="B592" s="117" t="str">
        <x:v>Smart_Payment_Routing_Flow_Template</x:v>
      </x:c>
      <x:c r="C592" s="117" t="str">
        <x:v>Smart Payment Routing Flow Template</x:v>
      </x:c>
      <x:c r="D592" s="117" t="str">
        <x:v>No</x:v>
      </x:c>
      <x:c r="E592" s="118"/>
      <x:c r="F592" s="118" t="n">
        <x:v>2</x:v>
      </x:c>
      <x:c r="G592" s="117" t="str">
        <x:v>N/A</x:v>
      </x:c>
      <x:c r="H592" s="119" t="str">
        <x:v>Latest inactive v2 (Tooling metadata)</x:v>
      </x:c>
      <x:c r="I592" s="117" t="str">
        <x:v>AutoLaunchedFlow</x:v>
      </x:c>
      <x:c r="J592" s="117" t="str"/>
      <x:c r="K592" s="117" t="str">
        <x:v>No</x:v>
      </x:c>
      <x:c r="L592" s="117" t="str"/>
      <x:c r="M592" s="117" t="str"/>
      <x:c r="N592" s="117"/>
      <x:c r="O592" s="117"/>
      <x:c r="P592" s="117" t="str"/>
      <x:c r="Q592" s="117" t="n">
        <x:v>63</x:v>
      </x:c>
      <x:c r="R592" s="117" t="str">
        <x:v>installed</x:v>
      </x:c>
      <x:c r="S592" s="118" t="n">
        <x:v>2</x:v>
      </x:c>
      <x:c r="T592" s="118" t="n">
        <x:v>4</x:v>
      </x:c>
      <x:c r="U592" s="118" t="n">
        <x:v>0</x:v>
      </x:c>
      <x:c r="V592" s="118" t="n">
        <x:v>0</x:v>
      </x:c>
      <x:c r="W592" s="118" t="n">
        <x:v>0</x:v>
      </x:c>
      <x:c r="X592" s="118" t="n">
        <x:v>0</x:v>
      </x:c>
      <x:c r="Y592" s="118" t="n">
        <x:v>1</x:v>
      </x:c>
      <x:c r="Z592" s="117" t="str">
        <x:v>N/A</x:v>
      </x:c>
      <x:c r="AA592" s="120" t="n">
        <x:v>45839.92318287037</x:v>
      </x:c>
      <x:c r="AB592" s="117" t="str"/>
      <x:c r="AC592" s="119" t="str">
        <x:v>This template is provisioned with all the variables users can play with in order to create conditionals/decision elements to determine which gateway to use by any Chargent operation (except Charge-Authorized a.k.a. Capture). It also has a simple use case example where a gateway is determined according to the billingState. So if the billingState is equals to 'California' the output variable 'routingGateway' is set with gatewayA Id, otherwise with gatewayB Id.</x:v>
      </x:c>
      <x:c r="AD592" s="119" t="str"/>
    </x:row>
    <x:row r="593" ht="34" customHeight="1">
      <x:c r="A593" s="117" t="str">
        <x:v>300Ro00000QFaIkIAL</x:v>
      </x:c>
      <x:c r="B593" s="117" t="str">
        <x:v>Sourcing_Request_Assignment_Flow</x:v>
      </x:c>
      <x:c r="C593" s="117" t="str">
        <x:v>Sourcing Request Assignment Flow</x:v>
      </x:c>
      <x:c r="D593" s="117" t="str">
        <x:v>Yes</x:v>
      </x:c>
      <x:c r="E593" s="118" t="n">
        <x:v>5</x:v>
      </x:c>
      <x:c r="F593" s="118" t="n">
        <x:v>5</x:v>
      </x:c>
      <x:c r="G593" s="117" t="str">
        <x:v>Yes</x:v>
      </x:c>
      <x:c r="H593" s="119" t="str">
        <x:v>Active v5 (Retrieved XML)</x:v>
      </x:c>
      <x:c r="I593" s="117" t="str">
        <x:v>AutoLaunchedFlow</x:v>
      </x:c>
      <x:c r="J593" s="117" t="str">
        <x:v>Sourcing_Request_Item__c</x:v>
      </x:c>
      <x:c r="K593" s="117" t="str">
        <x:v>Yes</x:v>
      </x:c>
      <x:c r="L593" s="117" t="str">
        <x:v>Create</x:v>
      </x:c>
      <x:c r="M593" s="117" t="str">
        <x:v>RecordAfterSave</x:v>
      </x:c>
      <x:c r="N593" s="117"/>
      <x:c r="O593" s="117"/>
      <x:c r="P593" s="117" t="str"/>
      <x:c r="Q593" s="117" t="str">
        <x:v>62.0</x:v>
      </x:c>
      <x:c r="R593" s="117" t="str">
        <x:v>unmanaged</x:v>
      </x:c>
      <x:c r="S593" s="118" t="n">
        <x:v>5</x:v>
      </x:c>
      <x:c r="T593" s="118" t="n">
        <x:v>17</x:v>
      </x:c>
      <x:c r="U593" s="118" t="n">
        <x:v>1</x:v>
      </x:c>
      <x:c r="V593" s="118" t="n">
        <x:v>0</x:v>
      </x:c>
      <x:c r="W593" s="118" t="n">
        <x:v>1</x:v>
      </x:c>
      <x:c r="X593" s="118" t="n">
        <x:v>0</x:v>
      </x:c>
      <x:c r="Y593" s="118" t="n">
        <x:v>2</x:v>
      </x:c>
      <x:c r="Z593" s="117" t="str">
        <x:v>Review</x:v>
      </x:c>
      <x:c r="AA593" s="120" t="n">
        <x:v>45685.69241898148</x:v>
      </x:c>
      <x:c r="AB593" s="117" t="str">
        <x:v>Jace Gentil</x:v>
      </x:c>
      <x:c r="AC593" s="119" t="str"/>
      <x:c r="AD593" s="119" t="str">
        <x:v>Active flow has no description</x:v>
      </x:c>
    </x:row>
    <x:row r="594" ht="34" customHeight="1">
      <x:c r="A594" s="117" t="str">
        <x:v>300Ro00000J1noaIAB</x:v>
      </x:c>
      <x:c r="B594" s="117" t="str">
        <x:v>Sourcing_Request_Creation_Flow</x:v>
      </x:c>
      <x:c r="C594" s="117" t="str">
        <x:v>Sourcing Request Creation Flow</x:v>
      </x:c>
      <x:c r="D594" s="117" t="str">
        <x:v>No</x:v>
      </x:c>
      <x:c r="E594" s="118"/>
      <x:c r="F594" s="118" t="n">
        <x:v>6</x:v>
      </x:c>
      <x:c r="G594" s="117" t="str">
        <x:v>N/A</x:v>
      </x:c>
      <x:c r="H594" s="119" t="str">
        <x:v>Latest inactive v6 (Retrieved XML)</x:v>
      </x:c>
      <x:c r="I594" s="117" t="str">
        <x:v>AutoLaunchedFlow</x:v>
      </x:c>
      <x:c r="J594" s="117" t="str">
        <x:v>Sourcing_Request_Item__c</x:v>
      </x:c>
      <x:c r="K594" s="117" t="str">
        <x:v>No</x:v>
      </x:c>
      <x:c r="L594" s="117" t="str">
        <x:v>Create</x:v>
      </x:c>
      <x:c r="M594" s="117" t="str">
        <x:v>RecordAfterSave</x:v>
      </x:c>
      <x:c r="N594" s="117"/>
      <x:c r="O594" s="117"/>
      <x:c r="P594" s="117" t="str"/>
      <x:c r="Q594" s="117" t="str">
        <x:v>61.0</x:v>
      </x:c>
      <x:c r="R594" s="117" t="str">
        <x:v>unmanaged</x:v>
      </x:c>
      <x:c r="S594" s="118" t="n">
        <x:v>6</x:v>
      </x:c>
      <x:c r="T594" s="118" t="n">
        <x:v>7</x:v>
      </x:c>
      <x:c r="U594" s="118" t="n">
        <x:v>1</x:v>
      </x:c>
      <x:c r="V594" s="118" t="n">
        <x:v>0</x:v>
      </x:c>
      <x:c r="W594" s="118" t="n">
        <x:v>2</x:v>
      </x:c>
      <x:c r="X594" s="118" t="n">
        <x:v>0</x:v>
      </x:c>
      <x:c r="Y594" s="118" t="n">
        <x:v>1</x:v>
      </x:c>
      <x:c r="Z594" s="117" t="str">
        <x:v>N/A</x:v>
      </x:c>
      <x:c r="AA594" s="120" t="n">
        <x:v>45568.63652777778</x:v>
      </x:c>
      <x:c r="AB594" s="117" t="str">
        <x:v>Jon Kean</x:v>
      </x:c>
      <x:c r="AC594" s="119" t="str">
        <x:v>A flow was created initially for Jacie's Sourcing requests for procurement to go to specific users.
Eventually, move the existing workflows into this flow.</x:v>
      </x:c>
      <x:c r="AD594" s="119" t="str"/>
    </x:row>
    <x:row r="595" ht="34" customHeight="1">
      <x:c r="A595" s="117" t="str">
        <x:v>3005b000000LJREAA4</x:v>
      </x:c>
      <x:c r="B595" s="117" t="str">
        <x:v>Sourcing_Request_Field_Updates_Flow</x:v>
      </x:c>
      <x:c r="C595" s="117" t="str">
        <x:v>Sourcing Request Field Updates Flow</x:v>
      </x:c>
      <x:c r="D595" s="117" t="str">
        <x:v>No</x:v>
      </x:c>
      <x:c r="E595" s="118"/>
      <x:c r="F595" s="118" t="n">
        <x:v>5</x:v>
      </x:c>
      <x:c r="G595" s="117" t="str">
        <x:v>N/A</x:v>
      </x:c>
      <x:c r="H595" s="119" t="str">
        <x:v>Latest inactive v5 (Retrieved XML)</x:v>
      </x:c>
      <x:c r="I595" s="117" t="str">
        <x:v>AutoLaunchedFlow</x:v>
      </x:c>
      <x:c r="J595" s="117" t="str">
        <x:v>Sourcing_Request_Item__c</x:v>
      </x:c>
      <x:c r="K595" s="117" t="str">
        <x:v>No</x:v>
      </x:c>
      <x:c r="L595" s="117" t="str">
        <x:v>Update</x:v>
      </x:c>
      <x:c r="M595" s="117" t="str">
        <x:v>RecordAfterSave</x:v>
      </x:c>
      <x:c r="N595" s="117"/>
      <x:c r="O595" s="117"/>
      <x:c r="P595" s="117" t="str"/>
      <x:c r="Q595" s="117" t="str">
        <x:v>58.0</x:v>
      </x:c>
      <x:c r="R595" s="117" t="str">
        <x:v>unmanaged</x:v>
      </x:c>
      <x:c r="S595" s="118" t="n">
        <x:v>5</x:v>
      </x:c>
      <x:c r="T595" s="118" t="n">
        <x:v>11</x:v>
      </x:c>
      <x:c r="U595" s="118" t="n">
        <x:v>2</x:v>
      </x:c>
      <x:c r="V595" s="118" t="n">
        <x:v>0</x:v>
      </x:c>
      <x:c r="W595" s="118" t="n">
        <x:v>1</x:v>
      </x:c>
      <x:c r="X595" s="118" t="n">
        <x:v>0</x:v>
      </x:c>
      <x:c r="Y595" s="118" t="n">
        <x:v>1</x:v>
      </x:c>
      <x:c r="Z595" s="117" t="str">
        <x:v>N/A</x:v>
      </x:c>
      <x:c r="AA595" s="120" t="n">
        <x:v>46058.37422453704</x:v>
      </x:c>
      <x:c r="AB595" s="117" t="str">
        <x:v>Sacha Pearce</x:v>
      </x:c>
      <x:c r="AC595" s="119" t="str">
        <x:v>02/13/2025 (BW) - Added system which updates the status when the parts have arrived
06/02/2025 (SP) - Amended the Not Missing POs Set Service Appointment to Update Assigment Element to change the Service Appointment Status to Internal instead of Awaiting Parts. This has been requested on Cases 00008211 and 0008370.
03/07/2025- (SP) - Removing everything under the Purchasing Opportunity Added Check Decision to leave just the elements following the Assigned Asset Changed Decision - Rollback Flow is V3
10/14/2025 - (SP) Updating the vatServiceAppointmentToUpdate's status assignment to equal "Interntal. This can be found in the Set Service Appointment to Update element.</x:v>
      </x:c>
      <x:c r="AD595" s="119" t="str"/>
    </x:row>
    <x:row r="596" ht="34" customHeight="1">
      <x:c r="A596" s="117" t="str">
        <x:v>3005b000000H3qKAAS</x:v>
      </x:c>
      <x:c r="B596" s="117" t="str">
        <x:v>Sourcing_Request_from_Work_Order</x:v>
      </x:c>
      <x:c r="C596" s="117" t="str">
        <x:v>Sourcing Request from Work Order - UK</x:v>
      </x:c>
      <x:c r="D596" s="117" t="str">
        <x:v>Yes</x:v>
      </x:c>
      <x:c r="E596" s="118" t="n">
        <x:v>14</x:v>
      </x:c>
      <x:c r="F596" s="118" t="n">
        <x:v>14</x:v>
      </x:c>
      <x:c r="G596" s="117" t="str">
        <x:v>Yes</x:v>
      </x:c>
      <x:c r="H596" s="119" t="str">
        <x:v>Active v14 (Retrieved XML)</x:v>
      </x:c>
      <x:c r="I596" s="117" t="str">
        <x:v>Flow</x:v>
      </x:c>
      <x:c r="J596" s="117" t="str"/>
      <x:c r="K596" s="117" t="str">
        <x:v>No</x:v>
      </x:c>
      <x:c r="L596" s="117" t="str"/>
      <x:c r="M596" s="117" t="str"/>
      <x:c r="N596" s="117"/>
      <x:c r="O596" s="117"/>
      <x:c r="P596" s="117" t="str"/>
      <x:c r="Q596" s="117" t="str">
        <x:v>54.0</x:v>
      </x:c>
      <x:c r="R596" s="117" t="str">
        <x:v>unmanaged</x:v>
      </x:c>
      <x:c r="S596" s="118" t="n">
        <x:v>14</x:v>
      </x:c>
      <x:c r="T596" s="118" t="n">
        <x:v>10</x:v>
      </x:c>
      <x:c r="U596" s="118" t="n">
        <x:v>4</x:v>
      </x:c>
      <x:c r="V596" s="118" t="n">
        <x:v>0</x:v>
      </x:c>
      <x:c r="W596" s="118" t="n">
        <x:v>2</x:v>
      </x:c>
      <x:c r="X596" s="118" t="n">
        <x:v>1</x:v>
      </x:c>
      <x:c r="Y596" s="118" t="n">
        <x:v>2</x:v>
      </x:c>
      <x:c r="Z596" s="117" t="str">
        <x:v>N/A</x:v>
      </x:c>
      <x:c r="AA596" s="120" t="n">
        <x:v>45775.576319444444</x:v>
      </x:c>
      <x:c r="AB596" s="117" t="str">
        <x:v>Delegate</x:v>
      </x:c>
      <x:c r="AC596" s="119" t="str">
        <x:v>04/28/2025 (BW) - Updated to Ensure only open SAs are grabbed</x:v>
      </x:c>
      <x:c r="AD596" s="119" t="str">
        <x:v>Touches many objects</x:v>
      </x:c>
    </x:row>
    <x:row r="597" ht="34" customHeight="1">
      <x:c r="A597" s="117" t="str">
        <x:v>3000B0000008kvXQAQ</x:v>
      </x:c>
      <x:c r="B597" s="117" t="str">
        <x:v>Sourcing_Request_Need_By_Date_Change</x:v>
      </x:c>
      <x:c r="C597" s="117" t="str">
        <x:v>Sourcing Request Need By Date Change / Completion Notification</x:v>
      </x:c>
      <x:c r="D597" s="117" t="str">
        <x:v>Yes</x:v>
      </x:c>
      <x:c r="E597" s="118" t="n">
        <x:v>2</x:v>
      </x:c>
      <x:c r="F597" s="118" t="n">
        <x:v>2</x:v>
      </x:c>
      <x:c r="G597" s="117" t="str">
        <x:v>Yes</x:v>
      </x:c>
      <x:c r="H597" s="119" t="str">
        <x:v>Active v2 (Retrieved XML)</x:v>
      </x:c>
      <x:c r="I597" s="117" t="str">
        <x:v>Workflow</x:v>
      </x:c>
      <x:c r="J597" s="117" t="str"/>
      <x:c r="K597" s="117" t="str">
        <x:v>No</x:v>
      </x:c>
      <x:c r="L597" s="117" t="str"/>
      <x:c r="M597" s="117" t="str"/>
      <x:c r="N597" s="117"/>
      <x:c r="O597" s="117"/>
      <x:c r="P597" s="117" t="str"/>
      <x:c r="Q597" s="117" t="str">
        <x:v>49.0</x:v>
      </x:c>
      <x:c r="R597" s="117" t="str">
        <x:v>unmanaged</x:v>
      </x:c>
      <x:c r="S597" s="118" t="n">
        <x:v>2</x:v>
      </x:c>
      <x:c r="T597" s="118" t="n">
        <x:v>6</x:v>
      </x:c>
      <x:c r="U597" s="118" t="n">
        <x:v>2</x:v>
      </x:c>
      <x:c r="V597" s="118" t="n">
        <x:v>0</x:v>
      </x:c>
      <x:c r="W597" s="118" t="n">
        <x:v>1</x:v>
      </x:c>
      <x:c r="X597" s="118" t="n">
        <x:v>0</x:v>
      </x:c>
      <x:c r="Y597" s="118" t="n">
        <x:v>1</x:v>
      </x:c>
      <x:c r="Z597" s="117" t="str">
        <x:v>N/A</x:v>
      </x:c>
      <x:c r="AA597" s="120" t="n">
        <x:v>43370.55642361111</x:v>
      </x:c>
      <x:c r="AB597" s="117" t="str">
        <x:v>Zach Wills</x:v>
      </x:c>
      <x:c r="AC597" s="119" t="str"/>
      <x:c r="AD597" s="119" t="str">
        <x:v>Active flow has no description</x:v>
      </x:c>
    </x:row>
    <x:row r="598" ht="34" customHeight="1">
      <x:c r="A598" s="117" t="str">
        <x:v>300Ro00000S8u9nIAB</x:v>
      </x:c>
      <x:c r="B598" s="117" t="str">
        <x:v>Sourcing_Request_Notification_Flow_for_Sales_Ops</x:v>
      </x:c>
      <x:c r="C598" s="117" t="str">
        <x:v>Sourcing Request Notification Flow for Sales Ops</x:v>
      </x:c>
      <x:c r="D598" s="117" t="str">
        <x:v>Yes</x:v>
      </x:c>
      <x:c r="E598" s="118" t="n">
        <x:v>5</x:v>
      </x:c>
      <x:c r="F598" s="118" t="n">
        <x:v>5</x:v>
      </x:c>
      <x:c r="G598" s="117" t="str">
        <x:v>Yes</x:v>
      </x:c>
      <x:c r="H598" s="119" t="str">
        <x:v>Active v5 (Retrieved XML)</x:v>
      </x:c>
      <x:c r="I598" s="117" t="str">
        <x:v>AutoLaunchedFlow</x:v>
      </x:c>
      <x:c r="J598" s="117" t="str">
        <x:v>Sourcing_Request_Item__c</x:v>
      </x:c>
      <x:c r="K598" s="117" t="str">
        <x:v>Yes</x:v>
      </x:c>
      <x:c r="L598" s="117" t="str">
        <x:v>Update</x:v>
      </x:c>
      <x:c r="M598" s="117" t="str">
        <x:v>RecordAfterSave</x:v>
      </x:c>
      <x:c r="N598" s="117"/>
      <x:c r="O598" s="117"/>
      <x:c r="P598" s="117" t="str"/>
      <x:c r="Q598" s="117" t="str">
        <x:v>63.0</x:v>
      </x:c>
      <x:c r="R598" s="117" t="str">
        <x:v>unmanaged</x:v>
      </x:c>
      <x:c r="S598" s="118" t="n">
        <x:v>5</x:v>
      </x:c>
      <x:c r="T598" s="118" t="n">
        <x:v>4</x:v>
      </x:c>
      <x:c r="U598" s="118" t="n">
        <x:v>3</x:v>
      </x:c>
      <x:c r="V598" s="118" t="n">
        <x:v>0</x:v>
      </x:c>
      <x:c r="W598" s="118" t="n">
        <x:v>1</x:v>
      </x:c>
      <x:c r="X598" s="118" t="n">
        <x:v>0</x:v>
      </x:c>
      <x:c r="Y598" s="118" t="n">
        <x:v>2</x:v>
      </x:c>
      <x:c r="Z598" s="117" t="str">
        <x:v>Review</x:v>
      </x:c>
      <x:c r="AA598" s="120" t="n">
        <x:v>45740.6280787037</x:v>
      </x:c>
      <x:c r="AB598" s="117" t="str">
        <x:v>Jace Gentil</x:v>
      </x:c>
      <x:c r="AC598" s="119" t="str"/>
      <x:c r="AD598" s="119" t="str">
        <x:v>Active flow has no description</x:v>
      </x:c>
    </x:row>
    <x:row r="599" ht="34" customHeight="1">
      <x:c r="A599" s="117" t="str">
        <x:v>3005b000000H3qUAAS</x:v>
      </x:c>
      <x:c r="B599" s="117" t="str">
        <x:v>Sourcing_Request_Notification_for_UK</x:v>
      </x:c>
      <x:c r="C599" s="117" t="str">
        <x:v>Sourcing Request Notification for UK</x:v>
      </x:c>
      <x:c r="D599" s="117" t="str">
        <x:v>No</x:v>
      </x:c>
      <x:c r="E599" s="118"/>
      <x:c r="F599" s="118" t="n">
        <x:v>1</x:v>
      </x:c>
      <x:c r="G599" s="117" t="str">
        <x:v>N/A</x:v>
      </x:c>
      <x:c r="H599" s="119" t="str">
        <x:v>Latest inactive v1 (Retrieved XML)</x:v>
      </x:c>
      <x:c r="I599" s="117" t="str">
        <x:v>AutoLaunchedFlow</x:v>
      </x:c>
      <x:c r="J599" s="117" t="str"/>
      <x:c r="K599" s="117" t="str">
        <x:v>No</x:v>
      </x:c>
      <x:c r="L599" s="117" t="str"/>
      <x:c r="M599" s="117" t="str"/>
      <x:c r="N599" s="117"/>
      <x:c r="O599" s="117"/>
      <x:c r="P599" s="117" t="str"/>
      <x:c r="Q599" s="117" t="str">
        <x:v>54.0</x:v>
      </x:c>
      <x:c r="R599" s="117" t="str">
        <x:v>unmanaged</x:v>
      </x:c>
      <x:c r="S599" s="118" t="n">
        <x:v>1</x:v>
      </x:c>
      <x:c r="T599" s="118" t="n">
        <x:v>2</x:v>
      </x:c>
      <x:c r="U599" s="118" t="n">
        <x:v>1</x:v>
      </x:c>
      <x:c r="V599" s="118" t="n">
        <x:v>0</x:v>
      </x:c>
      <x:c r="W599" s="118" t="n">
        <x:v>0</x:v>
      </x:c>
      <x:c r="X599" s="118" t="n">
        <x:v>0</x:v>
      </x:c>
      <x:c r="Y599" s="118" t="n">
        <x:v>1</x:v>
      </x:c>
      <x:c r="Z599" s="117" t="str">
        <x:v>N/A</x:v>
      </x:c>
      <x:c r="AA599" s="120" t="n">
        <x:v>44701.48972222222</x:v>
      </x:c>
      <x:c r="AB599" s="117" t="str">
        <x:v>Jace Gentil</x:v>
      </x:c>
      <x:c r="AC599" s="119" t="str"/>
      <x:c r="AD599" s="119" t="str"/>
    </x:row>
    <x:row r="600" ht="34" customHeight="1">
      <x:c r="A600" s="117" t="str">
        <x:v>300Ro00000VLr5vIAD</x:v>
      </x:c>
      <x:c r="B600" s="117" t="str">
        <x:v>SRI_Trigger_Update_Requesting_Opp_WO_SA</x:v>
      </x:c>
      <x:c r="C600" s="117" t="str">
        <x:v>SRI - Trigger - Update Requesting Opp WO/SA</x:v>
      </x:c>
      <x:c r="D600" s="117" t="str">
        <x:v>Yes</x:v>
      </x:c>
      <x:c r="E600" s="118" t="n">
        <x:v>1</x:v>
      </x:c>
      <x:c r="F600" s="118" t="n">
        <x:v>1</x:v>
      </x:c>
      <x:c r="G600" s="117" t="str">
        <x:v>Yes</x:v>
      </x:c>
      <x:c r="H600" s="119" t="str">
        <x:v>Active v1 (Retrieved XML)</x:v>
      </x:c>
      <x:c r="I600" s="117" t="str">
        <x:v>AutoLaunchedFlow</x:v>
      </x:c>
      <x:c r="J600" s="117" t="str">
        <x:v>Sourcing_Request_Item__c</x:v>
      </x:c>
      <x:c r="K600" s="117" t="str">
        <x:v>Yes</x:v>
      </x:c>
      <x:c r="L600" s="117" t="str">
        <x:v>CreateAndUpdate</x:v>
      </x:c>
      <x:c r="M600" s="117" t="str">
        <x:v>RecordAfterSave</x:v>
      </x:c>
      <x:c r="N600" s="117"/>
      <x:c r="O600" s="117"/>
      <x:c r="P600" s="117" t="str"/>
      <x:c r="Q600" s="117" t="str">
        <x:v>63.0</x:v>
      </x:c>
      <x:c r="R600" s="117" t="str">
        <x:v>unmanaged</x:v>
      </x:c>
      <x:c r="S600" s="118" t="n">
        <x:v>1</x:v>
      </x:c>
      <x:c r="T600" s="118" t="n">
        <x:v>4</x:v>
      </x:c>
      <x:c r="U600" s="118" t="n">
        <x:v>2</x:v>
      </x:c>
      <x:c r="V600" s="118" t="n">
        <x:v>0</x:v>
      </x:c>
      <x:c r="W600" s="118" t="n">
        <x:v>0</x:v>
      </x:c>
      <x:c r="X600" s="118" t="n">
        <x:v>0</x:v>
      </x:c>
      <x:c r="Y600" s="118" t="n">
        <x:v>1</x:v>
      </x:c>
      <x:c r="Z600" s="117" t="str">
        <x:v>Isolated lane</x:v>
      </x:c>
      <x:c r="AA600" s="120" t="n">
        <x:v>45782.6209375</x:v>
      </x:c>
      <x:c r="AB600" s="117" t="str">
        <x:v>Delegate</x:v>
      </x:c>
      <x:c r="AC600" s="119" t="str">
        <x:v>04/30/2025 - Kyle - Mirror SRI data on opp for clarity</x:v>
      </x:c>
      <x:c r="AD600" s="119" t="str"/>
    </x:row>
    <x:row r="601" ht="34" customHeight="1">
      <x:c r="A601" s="117" t="str">
        <x:v>300Ro00000Pz0ksIAB</x:v>
      </x:c>
      <x:c r="B601" s="117" t="str">
        <x:v>Static_Fluoro</x:v>
      </x:c>
      <x:c r="C601" s="117" t="str">
        <x:v>Static Fluoro</x:v>
      </x:c>
      <x:c r="D601" s="117" t="str">
        <x:v>Yes</x:v>
      </x:c>
      <x:c r="E601" s="118" t="n">
        <x:v>7</x:v>
      </x:c>
      <x:c r="F601" s="118" t="n">
        <x:v>7</x:v>
      </x:c>
      <x:c r="G601" s="117" t="str">
        <x:v>Yes</x:v>
      </x:c>
      <x:c r="H601" s="119" t="str">
        <x:v>Active v7 (Retrieved XML)</x:v>
      </x:c>
      <x:c r="I601" s="117" t="str">
        <x:v>FieldServiceMobile</x:v>
      </x:c>
      <x:c r="J601" s="117" t="str"/>
      <x:c r="K601" s="117" t="str">
        <x:v>No</x:v>
      </x:c>
      <x:c r="L601" s="117" t="str"/>
      <x:c r="M601" s="117" t="str"/>
      <x:c r="N601" s="117"/>
      <x:c r="O601" s="117"/>
      <x:c r="P601" s="117" t="str"/>
      <x:c r="Q601" s="117"/>
      <x:c r="R601" s="117" t="str">
        <x:v>unmanaged</x:v>
      </x:c>
      <x:c r="S601" s="118" t="n">
        <x:v>7</x:v>
      </x:c>
      <x:c r="T601" s="118" t="n">
        <x:v>16</x:v>
      </x:c>
      <x:c r="U601" s="118" t="n">
        <x:v>2</x:v>
      </x:c>
      <x:c r="V601" s="118" t="n">
        <x:v>0</x:v>
      </x:c>
      <x:c r="W601" s="118" t="n">
        <x:v>0</x:v>
      </x:c>
      <x:c r="X601" s="118" t="n">
        <x:v>0</x:v>
      </x:c>
      <x:c r="Y601" s="118" t="n">
        <x:v>2</x:v>
      </x:c>
      <x:c r="Z601" s="117" t="str">
        <x:v>N/A</x:v>
      </x:c>
      <x:c r="AA601" s="120" t="n">
        <x:v>46072.47008101852</x:v>
      </x:c>
      <x:c r="AB601" s="117" t="str">
        <x:v>Sacha Pearce</x:v>
      </x:c>
      <x:c r="AC601" s="119" t="str">
        <x:v>04/04/2025 (BW) - Updating this checksheet to follow the updated functionality
25/01/2025 - V6 - SP - Updating to match new FSL standards</x:v>
      </x:c>
      <x:c r="AD601" s="119" t="str"/>
    </x:row>
    <x:row r="602" ht="34" customHeight="1">
      <x:c r="A602" s="117" t="str">
        <x:v>300Ro00000Pz0ktIAB</x:v>
      </x:c>
      <x:c r="B602" s="117" t="str">
        <x:v>Static_X_Ray_CR_Checklist</x:v>
      </x:c>
      <x:c r="C602" s="117" t="str">
        <x:v>Static X-Ray CR Checklist</x:v>
      </x:c>
      <x:c r="D602" s="117" t="str">
        <x:v>Yes</x:v>
      </x:c>
      <x:c r="E602" s="118" t="n">
        <x:v>17</x:v>
      </x:c>
      <x:c r="F602" s="118" t="n">
        <x:v>17</x:v>
      </x:c>
      <x:c r="G602" s="117" t="str">
        <x:v>Yes</x:v>
      </x:c>
      <x:c r="H602" s="119" t="str">
        <x:v>Active v17 (Retrieved XML)</x:v>
      </x:c>
      <x:c r="I602" s="117" t="str">
        <x:v>FieldServiceMobile</x:v>
      </x:c>
      <x:c r="J602" s="117" t="str"/>
      <x:c r="K602" s="117" t="str">
        <x:v>No</x:v>
      </x:c>
      <x:c r="L602" s="117" t="str"/>
      <x:c r="M602" s="117" t="str"/>
      <x:c r="N602" s="117"/>
      <x:c r="O602" s="117"/>
      <x:c r="P602" s="117" t="str"/>
      <x:c r="Q602" s="117"/>
      <x:c r="R602" s="117" t="str">
        <x:v>unmanaged</x:v>
      </x:c>
      <x:c r="S602" s="118" t="n">
        <x:v>17</x:v>
      </x:c>
      <x:c r="T602" s="118" t="n">
        <x:v>17</x:v>
      </x:c>
      <x:c r="U602" s="118" t="n">
        <x:v>3</x:v>
      </x:c>
      <x:c r="V602" s="118" t="n">
        <x:v>0</x:v>
      </x:c>
      <x:c r="W602" s="118" t="n">
        <x:v>0</x:v>
      </x:c>
      <x:c r="X602" s="118" t="n">
        <x:v>0</x:v>
      </x:c>
      <x:c r="Y602" s="118" t="n">
        <x:v>3</x:v>
      </x:c>
      <x:c r="Z602" s="117" t="str">
        <x:v>N/A</x:v>
      </x:c>
      <x:c r="AA602" s="120" t="n">
        <x:v>46094.6853587963</x:v>
      </x:c>
      <x:c r="AB602" s="117" t="str">
        <x:v>Sacha Pearce</x:v>
      </x:c>
      <x:c r="AC602" s="119" t="str">
        <x:v>04/04/2025 (BW) - Updating the methodology to use the new checksheet methodology
10/01/2025 - V15 - SP - Updating the Flow to update the Service Appointment fields instead of generating HTML</x:v>
      </x:c>
      <x:c r="AD602" s="119" t="str"/>
    </x:row>
    <x:row r="603" ht="34" customHeight="1">
      <x:c r="A603" s="117" t="str">
        <x:v>300Ro00000Pz0kuIAB</x:v>
      </x:c>
      <x:c r="B603" s="117" t="str">
        <x:v>Statix_X_Ray_DDR_Checklist</x:v>
      </x:c>
      <x:c r="C603" s="117" t="str">
        <x:v>Statix X-Ray DDR Checklist</x:v>
      </x:c>
      <x:c r="D603" s="117" t="str">
        <x:v>Yes</x:v>
      </x:c>
      <x:c r="E603" s="118" t="n">
        <x:v>9</x:v>
      </x:c>
      <x:c r="F603" s="118" t="n">
        <x:v>9</x:v>
      </x:c>
      <x:c r="G603" s="117" t="str">
        <x:v>Yes</x:v>
      </x:c>
      <x:c r="H603" s="119" t="str">
        <x:v>Active v9 (Retrieved XML)</x:v>
      </x:c>
      <x:c r="I603" s="117" t="str">
        <x:v>FieldServiceMobile</x:v>
      </x:c>
      <x:c r="J603" s="117" t="str"/>
      <x:c r="K603" s="117" t="str">
        <x:v>No</x:v>
      </x:c>
      <x:c r="L603" s="117" t="str"/>
      <x:c r="M603" s="117" t="str"/>
      <x:c r="N603" s="117"/>
      <x:c r="O603" s="117"/>
      <x:c r="P603" s="117" t="str"/>
      <x:c r="Q603" s="117"/>
      <x:c r="R603" s="117" t="str">
        <x:v>unmanaged</x:v>
      </x:c>
      <x:c r="S603" s="118" t="n">
        <x:v>9</x:v>
      </x:c>
      <x:c r="T603" s="118" t="n">
        <x:v>16</x:v>
      </x:c>
      <x:c r="U603" s="118" t="n">
        <x:v>2</x:v>
      </x:c>
      <x:c r="V603" s="118" t="n">
        <x:v>0</x:v>
      </x:c>
      <x:c r="W603" s="118" t="n">
        <x:v>0</x:v>
      </x:c>
      <x:c r="X603" s="118" t="n">
        <x:v>0</x:v>
      </x:c>
      <x:c r="Y603" s="118" t="n">
        <x:v>2</x:v>
      </x:c>
      <x:c r="Z603" s="117" t="str">
        <x:v>N/A</x:v>
      </x:c>
      <x:c r="AA603" s="120" t="n">
        <x:v>46072.470925925925</x:v>
      </x:c>
      <x:c r="AB603" s="117" t="str">
        <x:v>Sacha Pearce</x:v>
      </x:c>
      <x:c r="AC603" s="119" t="str">
        <x:v>03/30/2025 (BW) - Updated to use the new methodology for saving and storing checksheet data
01/18/2026 - V7 - SP - Updating field mapping</x:v>
      </x:c>
      <x:c r="AD603" s="119" t="str"/>
    </x:row>
    <x:row r="604" ht="34" customHeight="1">
      <x:c r="A604" s="117" t="str">
        <x:v>3005b000000Pzn2AAC</x:v>
      </x:c>
      <x:c r="B604" s="117" t="str">
        <x:v>Submit_Applications_Checklist_Screen_Flow</x:v>
      </x:c>
      <x:c r="C604" s="117" t="str">
        <x:v>Submit Applications Checklist Screen Flow</x:v>
      </x:c>
      <x:c r="D604" s="117" t="str">
        <x:v>Yes</x:v>
      </x:c>
      <x:c r="E604" s="118" t="n">
        <x:v>7</x:v>
      </x:c>
      <x:c r="F604" s="118" t="n">
        <x:v>7</x:v>
      </x:c>
      <x:c r="G604" s="117" t="str">
        <x:v>Yes</x:v>
      </x:c>
      <x:c r="H604" s="119" t="str">
        <x:v>Active v7 (Retrieved XML)</x:v>
      </x:c>
      <x:c r="I604" s="117" t="str">
        <x:v>Flow</x:v>
      </x:c>
      <x:c r="J604" s="117" t="str"/>
      <x:c r="K604" s="117" t="str">
        <x:v>No</x:v>
      </x:c>
      <x:c r="L604" s="117" t="str"/>
      <x:c r="M604" s="117" t="str"/>
      <x:c r="N604" s="117" t="str">
        <x:v>SystemModeWithoutSharing</x:v>
      </x:c>
      <x:c r="O604" s="117"/>
      <x:c r="P604" s="117" t="str"/>
      <x:c r="Q604" s="117" t="str">
        <x:v>57.0</x:v>
      </x:c>
      <x:c r="R604" s="117" t="str">
        <x:v>unmanaged</x:v>
      </x:c>
      <x:c r="S604" s="118" t="n">
        <x:v>7</x:v>
      </x:c>
      <x:c r="T604" s="118" t="n">
        <x:v>10</x:v>
      </x:c>
      <x:c r="U604" s="118" t="n">
        <x:v>2</x:v>
      </x:c>
      <x:c r="V604" s="118" t="n">
        <x:v>0</x:v>
      </x:c>
      <x:c r="W604" s="118" t="n">
        <x:v>1</x:v>
      </x:c>
      <x:c r="X604" s="118" t="n">
        <x:v>0</x:v>
      </x:c>
      <x:c r="Y604" s="118" t="n">
        <x:v>1</x:v>
      </x:c>
      <x:c r="Z604" s="117" t="str">
        <x:v>N/A</x:v>
      </x:c>
      <x:c r="AA604" s="120" t="n">
        <x:v>45177.84278935185</x:v>
      </x:c>
      <x:c r="AB604" s="117" t="str">
        <x:v>Jace Gentil</x:v>
      </x:c>
      <x:c r="AC604" s="119" t="str"/>
      <x:c r="AD604" s="119" t="str">
        <x:v>Active flow has no description</x:v>
      </x:c>
    </x:row>
    <x:row r="605" ht="34" customHeight="1">
      <x:c r="A605" s="117" t="str">
        <x:v>3005b00000113hUAAQ</x:v>
      </x:c>
      <x:c r="B605" s="117" t="str">
        <x:v>Submit_ASL_Vendor_Approval</x:v>
      </x:c>
      <x:c r="C605" s="117" t="str">
        <x:v>Submit ASL Vendor Approval</x:v>
      </x:c>
      <x:c r="D605" s="117" t="str">
        <x:v>Yes</x:v>
      </x:c>
      <x:c r="E605" s="118" t="n">
        <x:v>1</x:v>
      </x:c>
      <x:c r="F605" s="118" t="n">
        <x:v>1</x:v>
      </x:c>
      <x:c r="G605" s="117" t="str">
        <x:v>Yes</x:v>
      </x:c>
      <x:c r="H605" s="119" t="str">
        <x:v>Active v1 (Retrieved XML)</x:v>
      </x:c>
      <x:c r="I605" s="117" t="str">
        <x:v>Flow</x:v>
      </x:c>
      <x:c r="J605" s="117" t="str"/>
      <x:c r="K605" s="117" t="str">
        <x:v>No</x:v>
      </x:c>
      <x:c r="L605" s="117" t="str"/>
      <x:c r="M605" s="117" t="str"/>
      <x:c r="N605" s="117"/>
      <x:c r="O605" s="117"/>
      <x:c r="P605" s="117" t="str"/>
      <x:c r="Q605" s="117" t="str">
        <x:v>59.0</x:v>
      </x:c>
      <x:c r="R605" s="117" t="str">
        <x:v>unmanaged</x:v>
      </x:c>
      <x:c r="S605" s="118" t="n">
        <x:v>1</x:v>
      </x:c>
      <x:c r="T605" s="118" t="n">
        <x:v>3</x:v>
      </x:c>
      <x:c r="U605" s="118" t="n">
        <x:v>1</x:v>
      </x:c>
      <x:c r="V605" s="118" t="n">
        <x:v>0</x:v>
      </x:c>
      <x:c r="W605" s="118" t="n">
        <x:v>1</x:v>
      </x:c>
      <x:c r="X605" s="118" t="n">
        <x:v>0</x:v>
      </x:c>
      <x:c r="Y605" s="118" t="n">
        <x:v>1</x:v>
      </x:c>
      <x:c r="Z605" s="117" t="str">
        <x:v>N/A</x:v>
      </x:c>
      <x:c r="AA605" s="120" t="n">
        <x:v>45293.791296296295</x:v>
      </x:c>
      <x:c r="AB605" s="117" t="str">
        <x:v>Jace Gentil</x:v>
      </x:c>
      <x:c r="AC605" s="119" t="str"/>
      <x:c r="AD605" s="119" t="str">
        <x:v>Active flow has no description</x:v>
      </x:c>
    </x:row>
    <x:row r="606" ht="34" customHeight="1">
      <x:c r="A606" s="117" t="str">
        <x:v>3005b00000113bMAAQ</x:v>
      </x:c>
      <x:c r="B606" s="117" t="str">
        <x:v>Submit_Credit_Memo_Request_for_Accounting</x:v>
      </x:c>
      <x:c r="C606" s="117" t="str">
        <x:v>Submit Credit Memo Request for Accounting</x:v>
      </x:c>
      <x:c r="D606" s="117" t="str">
        <x:v>Yes</x:v>
      </x:c>
      <x:c r="E606" s="118" t="n">
        <x:v>14</x:v>
      </x:c>
      <x:c r="F606" s="118" t="n">
        <x:v>15</x:v>
      </x:c>
      <x:c r="G606" s="117" t="str">
        <x:v>No</x:v>
      </x:c>
      <x:c r="H606" s="119" t="str">
        <x:v>Active v14 (Tooling metadata)</x:v>
      </x:c>
      <x:c r="I606" s="117" t="str">
        <x:v>Flow</x:v>
      </x:c>
      <x:c r="J606" s="117" t="str"/>
      <x:c r="K606" s="117" t="str">
        <x:v>No</x:v>
      </x:c>
      <x:c r="L606" s="117" t="str"/>
      <x:c r="M606" s="117" t="str"/>
      <x:c r="N606" s="117" t="str">
        <x:v>SystemModeWithoutSharing</x:v>
      </x:c>
      <x:c r="O606" s="117"/>
      <x:c r="P606" s="117" t="str"/>
      <x:c r="Q606" s="117" t="n">
        <x:v>55</x:v>
      </x:c>
      <x:c r="R606" s="117" t="str">
        <x:v>unmanaged</x:v>
      </x:c>
      <x:c r="S606" s="118" t="n">
        <x:v>15</x:v>
      </x:c>
      <x:c r="T606" s="118" t="n">
        <x:v>12</x:v>
      </x:c>
      <x:c r="U606" s="118" t="n">
        <x:v>4</x:v>
      </x:c>
      <x:c r="V606" s="118" t="n">
        <x:v>0</x:v>
      </x:c>
      <x:c r="W606" s="118" t="n">
        <x:v>1</x:v>
      </x:c>
      <x:c r="X606" s="118" t="n">
        <x:v>1</x:v>
      </x:c>
      <x:c r="Y606" s="118" t="n">
        <x:v>2</x:v>
      </x:c>
      <x:c r="Z606" s="117" t="str">
        <x:v>N/A</x:v>
      </x:c>
      <x:c r="AA606" s="120" t="n">
        <x:v>45944.63386574074</x:v>
      </x:c>
      <x:c r="AB606" s="117" t="str">
        <x:v>Sacha Pearce</x:v>
      </x:c>
      <x:c r="AC606" s="119" t="str">
        <x:v>07/14/25 BH
1. Removed visibility filter on Upload Files so that all Credit Memos reasons can be used.  Updated File Upload Label and Rich Text.
2. Enabled Upload files for Allow Multiple Files = true
3. Updated Content Document Naming formula.  Added document naming suffix of (x) with counter.</x:v>
      </x:c>
      <x:c r="AD606" s="119" t="str">
        <x:v>Active version differs from latest; Touches many objects</x:v>
      </x:c>
    </x:row>
    <x:row r="607" ht="34" customHeight="1">
      <x:c r="A607" s="117" t="str">
        <x:v>3004O000000HGXlQAO</x:v>
      </x:c>
      <x:c r="B607" s="117" t="str">
        <x:v>Submit_for_Approval</x:v>
      </x:c>
      <x:c r="C607" s="117" t="str">
        <x:v>Submit for Approval</x:v>
      </x:c>
      <x:c r="D607" s="117" t="str">
        <x:v>No</x:v>
      </x:c>
      <x:c r="E607" s="118"/>
      <x:c r="F607" s="118" t="n">
        <x:v>1</x:v>
      </x:c>
      <x:c r="G607" s="117" t="str">
        <x:v>N/A</x:v>
      </x:c>
      <x:c r="H607" s="119" t="str">
        <x:v>Latest inactive v1 (Retrieved XML)</x:v>
      </x:c>
      <x:c r="I607" s="117" t="str">
        <x:v>Workflow</x:v>
      </x:c>
      <x:c r="J607" s="117" t="str"/>
      <x:c r="K607" s="117" t="str">
        <x:v>No</x:v>
      </x:c>
      <x:c r="L607" s="117" t="str"/>
      <x:c r="M607" s="117" t="str"/>
      <x:c r="N607" s="117"/>
      <x:c r="O607" s="117"/>
      <x:c r="P607" s="117" t="str"/>
      <x:c r="Q607" s="117" t="str">
        <x:v>49.0</x:v>
      </x:c>
      <x:c r="R607" s="117" t="str">
        <x:v>unmanaged</x:v>
      </x:c>
      <x:c r="S607" s="118" t="n">
        <x:v>1</x:v>
      </x:c>
      <x:c r="T607" s="118" t="n">
        <x:v>2</x:v>
      </x:c>
      <x:c r="U607" s="118" t="n">
        <x:v>1</x:v>
      </x:c>
      <x:c r="V607" s="118" t="n">
        <x:v>0</x:v>
      </x:c>
      <x:c r="W607" s="118" t="n">
        <x:v>1</x:v>
      </x:c>
      <x:c r="X607" s="118" t="n">
        <x:v>0</x:v>
      </x:c>
      <x:c r="Y607" s="118" t="n">
        <x:v>1</x:v>
      </x:c>
      <x:c r="Z607" s="117" t="str">
        <x:v>N/A</x:v>
      </x:c>
      <x:c r="AA607" s="120" t="n">
        <x:v>44676.17302083333</x:v>
      </x:c>
      <x:c r="AB607" s="117" t="str">
        <x:v>Natalie Boger</x:v>
      </x:c>
      <x:c r="AC607" s="119" t="str"/>
      <x:c r="AD607" s="119" t="str"/>
    </x:row>
    <x:row r="608" ht="34" customHeight="1">
      <x:c r="A608" s="117" t="str">
        <x:v>3004O000000LOsrQAG</x:v>
      </x:c>
      <x:c r="B608" s="117" t="str">
        <x:v>Submit_Invoice_Flow</x:v>
      </x:c>
      <x:c r="C608" s="117" t="str">
        <x:v>Submit Invoice Flow</x:v>
      </x:c>
      <x:c r="D608" s="117" t="str">
        <x:v>Yes</x:v>
      </x:c>
      <x:c r="E608" s="118" t="n">
        <x:v>13</x:v>
      </x:c>
      <x:c r="F608" s="118" t="n">
        <x:v>13</x:v>
      </x:c>
      <x:c r="G608" s="117" t="str">
        <x:v>Yes</x:v>
      </x:c>
      <x:c r="H608" s="119" t="str">
        <x:v>Active v13 (Retrieved XML)</x:v>
      </x:c>
      <x:c r="I608" s="117" t="str">
        <x:v>Flow</x:v>
      </x:c>
      <x:c r="J608" s="117" t="str"/>
      <x:c r="K608" s="117" t="str">
        <x:v>No</x:v>
      </x:c>
      <x:c r="L608" s="117" t="str"/>
      <x:c r="M608" s="117" t="str"/>
      <x:c r="N608" s="117"/>
      <x:c r="O608" s="117"/>
      <x:c r="P608" s="117" t="str"/>
      <x:c r="Q608" s="117" t="str">
        <x:v>50.0</x:v>
      </x:c>
      <x:c r="R608" s="117" t="str">
        <x:v>unmanaged</x:v>
      </x:c>
      <x:c r="S608" s="118" t="n">
        <x:v>13</x:v>
      </x:c>
      <x:c r="T608" s="118" t="n">
        <x:v>43</x:v>
      </x:c>
      <x:c r="U608" s="118" t="n">
        <x:v>4</x:v>
      </x:c>
      <x:c r="V608" s="118" t="n">
        <x:v>0</x:v>
      </x:c>
      <x:c r="W608" s="118" t="n">
        <x:v>0</x:v>
      </x:c>
      <x:c r="X608" s="118" t="n">
        <x:v>0</x:v>
      </x:c>
      <x:c r="Y608" s="118" t="n">
        <x:v>4</x:v>
      </x:c>
      <x:c r="Z608" s="117" t="str">
        <x:v>N/A</x:v>
      </x:c>
      <x:c r="AA608" s="120" t="n">
        <x:v>44216.65510416667</x:v>
      </x:c>
      <x:c r="AB608" s="117" t="str">
        <x:v>Delegate</x:v>
      </x:c>
      <x:c r="AC608" s="119" t="str"/>
      <x:c r="AD608" s="119" t="str">
        <x:v>Active flow has no description; High element count; Touches many objects</x:v>
      </x:c>
    </x:row>
    <x:row r="609" ht="34" customHeight="1">
      <x:c r="A609" s="117" t="str">
        <x:v>3005b000000H426AAC</x:v>
      </x:c>
      <x:c r="B609" s="117" t="str">
        <x:v>Submit_to_UK_Accounting_for_Invoicing</x:v>
      </x:c>
      <x:c r="C609" s="117" t="str">
        <x:v>Submit to UK Accounting for Invoicing</x:v>
      </x:c>
      <x:c r="D609" s="117" t="str">
        <x:v>Yes</x:v>
      </x:c>
      <x:c r="E609" s="118" t="n">
        <x:v>8</x:v>
      </x:c>
      <x:c r="F609" s="118" t="n">
        <x:v>8</x:v>
      </x:c>
      <x:c r="G609" s="117" t="str">
        <x:v>Yes</x:v>
      </x:c>
      <x:c r="H609" s="119" t="str">
        <x:v>Active v8 (Retrieved XML)</x:v>
      </x:c>
      <x:c r="I609" s="117" t="str">
        <x:v>Flow</x:v>
      </x:c>
      <x:c r="J609" s="117" t="str"/>
      <x:c r="K609" s="117" t="str">
        <x:v>No</x:v>
      </x:c>
      <x:c r="L609" s="117" t="str"/>
      <x:c r="M609" s="117" t="str"/>
      <x:c r="N609" s="117" t="str">
        <x:v>SystemModeWithoutSharing</x:v>
      </x:c>
      <x:c r="O609" s="117"/>
      <x:c r="P609" s="117" t="str"/>
      <x:c r="Q609" s="117" t="str">
        <x:v>55.0</x:v>
      </x:c>
      <x:c r="R609" s="117" t="str">
        <x:v>unmanaged</x:v>
      </x:c>
      <x:c r="S609" s="118" t="n">
        <x:v>8</x:v>
      </x:c>
      <x:c r="T609" s="118" t="n">
        <x:v>10</x:v>
      </x:c>
      <x:c r="U609" s="118" t="n">
        <x:v>2</x:v>
      </x:c>
      <x:c r="V609" s="118" t="n">
        <x:v>0</x:v>
      </x:c>
      <x:c r="W609" s="118" t="n">
        <x:v>1</x:v>
      </x:c>
      <x:c r="X609" s="118" t="n">
        <x:v>1</x:v>
      </x:c>
      <x:c r="Y609" s="118" t="n">
        <x:v>1</x:v>
      </x:c>
      <x:c r="Z609" s="117" t="str">
        <x:v>N/A</x:v>
      </x:c>
      <x:c r="AA609" s="120" t="n">
        <x:v>45936.458703703705</x:v>
      </x:c>
      <x:c r="AB609" s="117" t="str">
        <x:v>Sacha Pearce</x:v>
      </x:c>
      <x:c r="AC609" s="119" t="str">
        <x:v>06/10/2025 - SP - Amending the UK email notification to have the Opportunity name hyperlinked to the record.</x:v>
      </x:c>
      <x:c r="AD609" s="119" t="str"/>
    </x:row>
    <x:row r="610" ht="34" customHeight="1">
      <x:c r="A610" s="117" t="str">
        <x:v>3000B0000008l9jQAA</x:v>
      </x:c>
      <x:c r="B610" s="117" t="str">
        <x:v>Swap_Lead_Owner_with_Lead_Owner_Queue</x:v>
      </x:c>
      <x:c r="C610" s="117" t="str">
        <x:v>Swap Lead Owner with Lead Owner Queue</x:v>
      </x:c>
      <x:c r="D610" s="117" t="str">
        <x:v>No</x:v>
      </x:c>
      <x:c r="E610" s="118"/>
      <x:c r="F610" s="118" t="n">
        <x:v>14</x:v>
      </x:c>
      <x:c r="G610" s="117" t="str">
        <x:v>N/A</x:v>
      </x:c>
      <x:c r="H610" s="119" t="str">
        <x:v>Latest inactive v14 (Retrieved XML)</x:v>
      </x:c>
      <x:c r="I610" s="117" t="str">
        <x:v>Workflow</x:v>
      </x:c>
      <x:c r="J610" s="117" t="str"/>
      <x:c r="K610" s="117" t="str">
        <x:v>No</x:v>
      </x:c>
      <x:c r="L610" s="117" t="str"/>
      <x:c r="M610" s="117" t="str"/>
      <x:c r="N610" s="117"/>
      <x:c r="O610" s="117"/>
      <x:c r="P610" s="117" t="str"/>
      <x:c r="Q610" s="117" t="str">
        <x:v>49.0</x:v>
      </x:c>
      <x:c r="R610" s="117" t="str">
        <x:v>unmanaged</x:v>
      </x:c>
      <x:c r="S610" s="118" t="n">
        <x:v>14</x:v>
      </x:c>
      <x:c r="T610" s="118" t="n">
        <x:v>51</x:v>
      </x:c>
      <x:c r="U610" s="118" t="n">
        <x:v>1</x:v>
      </x:c>
      <x:c r="V610" s="118" t="n">
        <x:v>0</x:v>
      </x:c>
      <x:c r="W610" s="118" t="n">
        <x:v>17</x:v>
      </x:c>
      <x:c r="X610" s="118" t="n">
        <x:v>0</x:v>
      </x:c>
      <x:c r="Y610" s="118" t="n">
        <x:v>4</x:v>
      </x:c>
      <x:c r="Z610" s="117" t="str">
        <x:v>N/A</x:v>
      </x:c>
      <x:c r="AA610" s="120" t="n">
        <x:v>43762.70245370371</x:v>
      </x:c>
      <x:c r="AB610" s="117" t="str">
        <x:v>Jim Bartek</x:v>
      </x:c>
      <x:c r="AC610" s="119" t="str">
        <x:v>Changes OwnerID from lead owner to the lead owner's queue</x:v>
      </x:c>
      <x:c r="AD610" s="119" t="str">
        <x:v>High element count</x:v>
      </x:c>
    </x:row>
    <x:row r="611" ht="34" customHeight="1">
      <x:c r="A611" s="117" t="str">
        <x:v>3005b000000H30OAAS</x:v>
      </x:c>
      <x:c r="B611" s="117" t="str">
        <x:v>System_Deal_EA_Approval</x:v>
      </x:c>
      <x:c r="C611" s="117" t="str">
        <x:v>System Deal EA Approval</x:v>
      </x:c>
      <x:c r="D611" s="117" t="str">
        <x:v>Yes</x:v>
      </x:c>
      <x:c r="E611" s="118" t="n">
        <x:v>3</x:v>
      </x:c>
      <x:c r="F611" s="118" t="n">
        <x:v>3</x:v>
      </x:c>
      <x:c r="G611" s="117" t="str">
        <x:v>Yes</x:v>
      </x:c>
      <x:c r="H611" s="119" t="str">
        <x:v>Active v3 (Retrieved XML)</x:v>
      </x:c>
      <x:c r="I611" s="117" t="str">
        <x:v>Flow</x:v>
      </x:c>
      <x:c r="J611" s="117" t="str"/>
      <x:c r="K611" s="117" t="str">
        <x:v>No</x:v>
      </x:c>
      <x:c r="L611" s="117" t="str"/>
      <x:c r="M611" s="117" t="str"/>
      <x:c r="N611" s="117"/>
      <x:c r="O611" s="117"/>
      <x:c r="P611" s="117" t="str"/>
      <x:c r="Q611" s="117" t="str">
        <x:v>53.0</x:v>
      </x:c>
      <x:c r="R611" s="117" t="str">
        <x:v>unmanaged</x:v>
      </x:c>
      <x:c r="S611" s="118" t="n">
        <x:v>3</x:v>
      </x:c>
      <x:c r="T611" s="118" t="n">
        <x:v>4</x:v>
      </x:c>
      <x:c r="U611" s="118" t="n">
        <x:v>1</x:v>
      </x:c>
      <x:c r="V611" s="118" t="n">
        <x:v>0</x:v>
      </x:c>
      <x:c r="W611" s="118" t="n">
        <x:v>1</x:v>
      </x:c>
      <x:c r="X611" s="118" t="n">
        <x:v>0</x:v>
      </x:c>
      <x:c r="Y611" s="118" t="n">
        <x:v>1</x:v>
      </x:c>
      <x:c r="Z611" s="117" t="str">
        <x:v>N/A</x:v>
      </x:c>
      <x:c r="AA611" s="120" t="n">
        <x:v>44783.09744212963</x:v>
      </x:c>
      <x:c r="AB611" s="117" t="str">
        <x:v>Jace Gentil</x:v>
      </x:c>
      <x:c r="AC611" s="119" t="str"/>
      <x:c r="AD611" s="119" t="str">
        <x:v>Active flow has no description</x:v>
      </x:c>
    </x:row>
    <x:row r="612" ht="34" customHeight="1">
      <x:c r="A612" s="117" t="str">
        <x:v>300Ro000009znjeIAA</x:v>
      </x:c>
      <x:c r="B612" s="117" t="str">
        <x:v>System_Rate_Calculator_Screen_Flow</x:v>
      </x:c>
      <x:c r="C612" s="117" t="str">
        <x:v>System Rate Calculator Screen Flow</x:v>
      </x:c>
      <x:c r="D612" s="117" t="str">
        <x:v>No</x:v>
      </x:c>
      <x:c r="E612" s="118"/>
      <x:c r="F612" s="118" t="n">
        <x:v>15</x:v>
      </x:c>
      <x:c r="G612" s="117" t="str">
        <x:v>N/A</x:v>
      </x:c>
      <x:c r="H612" s="119" t="str">
        <x:v>Latest inactive v15 (Retrieved XML)</x:v>
      </x:c>
      <x:c r="I612" s="117" t="str">
        <x:v>Flow</x:v>
      </x:c>
      <x:c r="J612" s="117" t="str"/>
      <x:c r="K612" s="117" t="str">
        <x:v>No</x:v>
      </x:c>
      <x:c r="L612" s="117" t="str"/>
      <x:c r="M612" s="117" t="str"/>
      <x:c r="N612" s="117" t="str">
        <x:v>SystemModeWithoutSharing</x:v>
      </x:c>
      <x:c r="O612" s="117"/>
      <x:c r="P612" s="117" t="str"/>
      <x:c r="Q612" s="117" t="str">
        <x:v>60.0</x:v>
      </x:c>
      <x:c r="R612" s="117" t="str">
        <x:v>unmanaged</x:v>
      </x:c>
      <x:c r="S612" s="118" t="n">
        <x:v>15</x:v>
      </x:c>
      <x:c r="T612" s="118" t="n">
        <x:v>41</x:v>
      </x:c>
      <x:c r="U612" s="118" t="n">
        <x:v>2</x:v>
      </x:c>
      <x:c r="V612" s="118" t="n">
        <x:v>0</x:v>
      </x:c>
      <x:c r="W612" s="118" t="n">
        <x:v>2</x:v>
      </x:c>
      <x:c r="X612" s="118" t="n">
        <x:v>0</x:v>
      </x:c>
      <x:c r="Y612" s="118" t="n">
        <x:v>3</x:v>
      </x:c>
      <x:c r="Z612" s="117" t="str">
        <x:v>N/A</x:v>
      </x:c>
      <x:c r="AA612" s="120" t="n">
        <x:v>45434.671956018516</x:v>
      </x:c>
      <x:c r="AB612" s="117" t="str">
        <x:v>Jace Gentil</x:v>
      </x:c>
      <x:c r="AC612" s="119" t="str"/>
      <x:c r="AD612" s="119" t="str">
        <x:v>High element count</x:v>
      </x:c>
    </x:row>
    <x:row r="613" ht="34" customHeight="1">
      <x:c r="A613" s="117" t="str">
        <x:v>300Ro00000BesY8IAJ</x:v>
      </x:c>
      <x:c r="B613" s="117" t="str">
        <x:v>System_Rate_Calculator_Screen_Flow_Rnd_2</x:v>
      </x:c>
      <x:c r="C613" s="117" t="str">
        <x:v>System Rate Calculator Screen Flow - Rnd 3</x:v>
      </x:c>
      <x:c r="D613" s="117" t="str">
        <x:v>Yes</x:v>
      </x:c>
      <x:c r="E613" s="118" t="n">
        <x:v>29</x:v>
      </x:c>
      <x:c r="F613" s="118" t="n">
        <x:v>29</x:v>
      </x:c>
      <x:c r="G613" s="117" t="str">
        <x:v>Yes</x:v>
      </x:c>
      <x:c r="H613" s="119" t="str">
        <x:v>Active v29 (Retrieved XML)</x:v>
      </x:c>
      <x:c r="I613" s="117" t="str">
        <x:v>Flow</x:v>
      </x:c>
      <x:c r="J613" s="117" t="str"/>
      <x:c r="K613" s="117" t="str">
        <x:v>No</x:v>
      </x:c>
      <x:c r="L613" s="117" t="str"/>
      <x:c r="M613" s="117" t="str"/>
      <x:c r="N613" s="117" t="str">
        <x:v>SystemModeWithoutSharing</x:v>
      </x:c>
      <x:c r="O613" s="117"/>
      <x:c r="P613" s="117" t="str"/>
      <x:c r="Q613" s="117" t="str">
        <x:v>60.0</x:v>
      </x:c>
      <x:c r="R613" s="117" t="str">
        <x:v>unmanaged</x:v>
      </x:c>
      <x:c r="S613" s="118" t="n">
        <x:v>29</x:v>
      </x:c>
      <x:c r="T613" s="118" t="n">
        <x:v>68</x:v>
      </x:c>
      <x:c r="U613" s="118" t="n">
        <x:v>3</x:v>
      </x:c>
      <x:c r="V613" s="118" t="n">
        <x:v>0</x:v>
      </x:c>
      <x:c r="W613" s="118" t="n">
        <x:v>5</x:v>
      </x:c>
      <x:c r="X613" s="118" t="n">
        <x:v>0</x:v>
      </x:c>
      <x:c r="Y613" s="118" t="n">
        <x:v>5</x:v>
      </x:c>
      <x:c r="Z613" s="117" t="str">
        <x:v>N/A</x:v>
      </x:c>
      <x:c r="AA613" s="120" t="n">
        <x:v>45576.41988425926</x:v>
      </x:c>
      <x:c r="AB613" s="117" t="str">
        <x:v>Jace Gentil</x:v>
      </x:c>
      <x:c r="AC613" s="119" t="str"/>
      <x:c r="AD613" s="119" t="str">
        <x:v>Active flow has no description; High element count</x:v>
      </x:c>
    </x:row>
    <x:row r="614" ht="34" customHeight="1">
      <x:c r="A614" s="117" t="str">
        <x:v>300Ro00000NynYXIAZ</x:v>
      </x:c>
      <x:c r="B614" s="117" t="str">
        <x:v>TEMP_IR_Product_Creation</x:v>
      </x:c>
      <x:c r="C614" s="117" t="str">
        <x:v>TEMP: IR Product Creation</x:v>
      </x:c>
      <x:c r="D614" s="117" t="str">
        <x:v>Yes</x:v>
      </x:c>
      <x:c r="E614" s="118" t="n">
        <x:v>10</x:v>
      </x:c>
      <x:c r="F614" s="118" t="n">
        <x:v>10</x:v>
      </x:c>
      <x:c r="G614" s="117" t="str">
        <x:v>Yes</x:v>
      </x:c>
      <x:c r="H614" s="119" t="str">
        <x:v>Active v10 (Retrieved XML)</x:v>
      </x:c>
      <x:c r="I614" s="117" t="str">
        <x:v>AutoLaunchedFlow</x:v>
      </x:c>
      <x:c r="J614" s="117" t="str">
        <x:v>Item_Receipt__c</x:v>
      </x:c>
      <x:c r="K614" s="117" t="str">
        <x:v>Yes</x:v>
      </x:c>
      <x:c r="L614" s="117" t="str">
        <x:v>Update</x:v>
      </x:c>
      <x:c r="M614" s="117" t="str">
        <x:v>RecordAfterSave</x:v>
      </x:c>
      <x:c r="N614" s="117"/>
      <x:c r="O614" s="117"/>
      <x:c r="P614" s="117" t="str"/>
      <x:c r="Q614" s="117" t="str">
        <x:v>62.0</x:v>
      </x:c>
      <x:c r="R614" s="117" t="str">
        <x:v>unmanaged</x:v>
      </x:c>
      <x:c r="S614" s="118" t="n">
        <x:v>10</x:v>
      </x:c>
      <x:c r="T614" s="118" t="n">
        <x:v>15</x:v>
      </x:c>
      <x:c r="U614" s="118" t="n">
        <x:v>4</x:v>
      </x:c>
      <x:c r="V614" s="118" t="n">
        <x:v>0</x:v>
      </x:c>
      <x:c r="W614" s="118" t="n">
        <x:v>0</x:v>
      </x:c>
      <x:c r="X614" s="118" t="n">
        <x:v>0</x:v>
      </x:c>
      <x:c r="Y614" s="118" t="n">
        <x:v>3</x:v>
      </x:c>
      <x:c r="Z614" s="117" t="str">
        <x:v>Isolated lane</x:v>
      </x:c>
      <x:c r="AA614" s="120" t="n">
        <x:v>45931.539768518516</x:v>
      </x:c>
      <x:c r="AB614" s="117" t="str">
        <x:v>Delegate</x:v>
      </x:c>
      <x:c r="AC614" s="119" t="str">
        <x:v>10/01/2025 (BW) - Updated this flow so it correctly deletes current products</x:v>
      </x:c>
      <x:c r="AD614" s="119" t="str">
        <x:v>Touches many objects</x:v>
      </x:c>
    </x:row>
    <x:row r="615" ht="34" customHeight="1">
      <x:c r="A615" s="117" t="str">
        <x:v>3005b000000LGqzAAG</x:v>
      </x:c>
      <x:c r="B615" s="117" t="str">
        <x:v>Test_Get_Assets</x:v>
      </x:c>
      <x:c r="C615" s="117" t="str">
        <x:v>Create Item Receipt from Opportunity</x:v>
      </x:c>
      <x:c r="D615" s="117" t="str">
        <x:v>No</x:v>
      </x:c>
      <x:c r="E615" s="118"/>
      <x:c r="F615" s="118" t="n">
        <x:v>18</x:v>
      </x:c>
      <x:c r="G615" s="117" t="str">
        <x:v>N/A</x:v>
      </x:c>
      <x:c r="H615" s="119" t="str">
        <x:v>Latest inactive v18 (Retrieved XML)</x:v>
      </x:c>
      <x:c r="I615" s="117" t="str">
        <x:v>Flow</x:v>
      </x:c>
      <x:c r="J615" s="117" t="str"/>
      <x:c r="K615" s="117" t="str">
        <x:v>No</x:v>
      </x:c>
      <x:c r="L615" s="117" t="str"/>
      <x:c r="M615" s="117" t="str"/>
      <x:c r="N615" s="117"/>
      <x:c r="O615" s="117"/>
      <x:c r="P615" s="117" t="str"/>
      <x:c r="Q615" s="117" t="str">
        <x:v>56.0</x:v>
      </x:c>
      <x:c r="R615" s="117" t="str">
        <x:v>unmanaged</x:v>
      </x:c>
      <x:c r="S615" s="118" t="n">
        <x:v>18</x:v>
      </x:c>
      <x:c r="T615" s="118" t="n">
        <x:v>11</x:v>
      </x:c>
      <x:c r="U615" s="118" t="n">
        <x:v>3</x:v>
      </x:c>
      <x:c r="V615" s="118" t="n">
        <x:v>0</x:v>
      </x:c>
      <x:c r="W615" s="118" t="n">
        <x:v>0</x:v>
      </x:c>
      <x:c r="X615" s="118" t="n">
        <x:v>1</x:v>
      </x:c>
      <x:c r="Y615" s="118" t="n">
        <x:v>2</x:v>
      </x:c>
      <x:c r="Z615" s="117" t="str">
        <x:v>N/A</x:v>
      </x:c>
      <x:c r="AA615" s="120" t="n">
        <x:v>44944.610497685186</x:v>
      </x:c>
      <x:c r="AB615" s="117" t="str">
        <x:v>Jace Gentil</x:v>
      </x:c>
      <x:c r="AC615" s="119" t="str">
        <x:v>Testing New Data table.</x:v>
      </x:c>
      <x:c r="AD615" s="119" t="str"/>
    </x:row>
    <x:row r="616" ht="34" customHeight="1">
      <x:c r="A616" s="117" t="str">
        <x:v>3005b00000113C7AAI</x:v>
      </x:c>
      <x:c r="B616" s="117" t="str">
        <x:v>TESTING_Lead_Email_Alert</x:v>
      </x:c>
      <x:c r="C616" s="117" t="str">
        <x:v>TESTING: Lead Email Alert</x:v>
      </x:c>
      <x:c r="D616" s="117" t="str">
        <x:v>No</x:v>
      </x:c>
      <x:c r="E616" s="118"/>
      <x:c r="F616" s="118" t="n">
        <x:v>3</x:v>
      </x:c>
      <x:c r="G616" s="117" t="str">
        <x:v>N/A</x:v>
      </x:c>
      <x:c r="H616" s="119" t="str">
        <x:v>Latest inactive v3 (Retrieved XML)</x:v>
      </x:c>
      <x:c r="I616" s="117" t="str">
        <x:v>AutoLaunchedFlow</x:v>
      </x:c>
      <x:c r="J616" s="117" t="str">
        <x:v>Lead</x:v>
      </x:c>
      <x:c r="K616" s="117" t="str">
        <x:v>No</x:v>
      </x:c>
      <x:c r="L616" s="117" t="str">
        <x:v>CreateAndUpdate</x:v>
      </x:c>
      <x:c r="M616" s="117" t="str">
        <x:v>RecordAfterSave</x:v>
      </x:c>
      <x:c r="N616" s="117"/>
      <x:c r="O616" s="117"/>
      <x:c r="P616" s="117" t="str"/>
      <x:c r="Q616" s="117" t="str">
        <x:v>56.0</x:v>
      </x:c>
      <x:c r="R616" s="117" t="str">
        <x:v>unmanaged</x:v>
      </x:c>
      <x:c r="S616" s="118" t="n">
        <x:v>3</x:v>
      </x:c>
      <x:c r="T616" s="118" t="n">
        <x:v>45</x:v>
      </x:c>
      <x:c r="U616" s="118" t="n">
        <x:v>2</x:v>
      </x:c>
      <x:c r="V616" s="118" t="n">
        <x:v>0</x:v>
      </x:c>
      <x:c r="W616" s="118" t="n">
        <x:v>2</x:v>
      </x:c>
      <x:c r="X616" s="118" t="n">
        <x:v>0</x:v>
      </x:c>
      <x:c r="Y616" s="118" t="n">
        <x:v>3</x:v>
      </x:c>
      <x:c r="Z616" s="117" t="str">
        <x:v>N/A</x:v>
      </x:c>
      <x:c r="AA616" s="120" t="n">
        <x:v>45202.61515046296</x:v>
      </x:c>
      <x:c r="AB616" s="117" t="str">
        <x:v>Delegate</x:v>
      </x:c>
      <x:c r="AC616" s="119" t="str"/>
      <x:c r="AD616" s="119" t="str">
        <x:v>High element count</x:v>
      </x:c>
    </x:row>
    <x:row r="617" ht="34" customHeight="1">
      <x:c r="A617" s="117" t="str">
        <x:v>300Ro00000ADBG1IAP</x:v>
      </x:c>
      <x:c r="B617" s="117" t="str">
        <x:v>Training_Class_Updates_Flow</x:v>
      </x:c>
      <x:c r="C617" s="117" t="str">
        <x:v>Training Class Updates Flow</x:v>
      </x:c>
      <x:c r="D617" s="117" t="str">
        <x:v>Yes</x:v>
      </x:c>
      <x:c r="E617" s="118" t="n">
        <x:v>4</x:v>
      </x:c>
      <x:c r="F617" s="118" t="n">
        <x:v>4</x:v>
      </x:c>
      <x:c r="G617" s="117" t="str">
        <x:v>Yes</x:v>
      </x:c>
      <x:c r="H617" s="119" t="str">
        <x:v>Active v4 (Retrieved XML)</x:v>
      </x:c>
      <x:c r="I617" s="117" t="str">
        <x:v>AutoLaunchedFlow</x:v>
      </x:c>
      <x:c r="J617" s="117" t="str">
        <x:v>Training_Class__c</x:v>
      </x:c>
      <x:c r="K617" s="117" t="str">
        <x:v>Yes</x:v>
      </x:c>
      <x:c r="L617" s="117" t="str">
        <x:v>Update</x:v>
      </x:c>
      <x:c r="M617" s="117" t="str">
        <x:v>RecordAfterSave</x:v>
      </x:c>
      <x:c r="N617" s="117"/>
      <x:c r="O617" s="117"/>
      <x:c r="P617" s="117" t="str"/>
      <x:c r="Q617" s="117" t="str">
        <x:v>60.0</x:v>
      </x:c>
      <x:c r="R617" s="117" t="str">
        <x:v>unmanaged</x:v>
      </x:c>
      <x:c r="S617" s="118" t="n">
        <x:v>4</x:v>
      </x:c>
      <x:c r="T617" s="118" t="n">
        <x:v>14</x:v>
      </x:c>
      <x:c r="U617" s="118" t="n">
        <x:v>2</x:v>
      </x:c>
      <x:c r="V617" s="118" t="n">
        <x:v>0</x:v>
      </x:c>
      <x:c r="W617" s="118" t="n">
        <x:v>1</x:v>
      </x:c>
      <x:c r="X617" s="118" t="n">
        <x:v>0</x:v>
      </x:c>
      <x:c r="Y617" s="118" t="n">
        <x:v>1</x:v>
      </x:c>
      <x:c r="Z617" s="117" t="str">
        <x:v>Isolated lane</x:v>
      </x:c>
      <x:c r="AA617" s="120" t="n">
        <x:v>45489.597280092596</x:v>
      </x:c>
      <x:c r="AB617" s="117" t="str">
        <x:v>Jace Gentil</x:v>
      </x:c>
      <x:c r="AC617" s="119" t="str"/>
      <x:c r="AD617" s="119" t="str">
        <x:v>Active flow has no description</x:v>
      </x:c>
    </x:row>
    <x:row r="618" ht="34" customHeight="1">
      <x:c r="A618" s="117" t="str">
        <x:v>300Ro00000iQYcbIAG</x:v>
      </x:c>
      <x:c r="B618" s="117" t="str">
        <x:v>Training_Item_Auotmations</x:v>
      </x:c>
      <x:c r="C618" s="117" t="str">
        <x:v>Training Item Auotmations</x:v>
      </x:c>
      <x:c r="D618" s="117" t="str">
        <x:v>Yes</x:v>
      </x:c>
      <x:c r="E618" s="118" t="n">
        <x:v>3</x:v>
      </x:c>
      <x:c r="F618" s="118" t="n">
        <x:v>3</x:v>
      </x:c>
      <x:c r="G618" s="117" t="str">
        <x:v>Yes</x:v>
      </x:c>
      <x:c r="H618" s="119" t="str">
        <x:v>Active v3 (Retrieved XML)</x:v>
      </x:c>
      <x:c r="I618" s="117" t="str">
        <x:v>AutoLaunchedFlow</x:v>
      </x:c>
      <x:c r="J618" s="117" t="str">
        <x:v>Training_Item__c</x:v>
      </x:c>
      <x:c r="K618" s="117" t="str">
        <x:v>Yes</x:v>
      </x:c>
      <x:c r="L618" s="117" t="str">
        <x:v>Update</x:v>
      </x:c>
      <x:c r="M618" s="117" t="str">
        <x:v>RecordAfterSave</x:v>
      </x:c>
      <x:c r="N618" s="117"/>
      <x:c r="O618" s="117"/>
      <x:c r="P618" s="117" t="str"/>
      <x:c r="Q618" s="117" t="str">
        <x:v>65.0</x:v>
      </x:c>
      <x:c r="R618" s="117" t="str">
        <x:v>unmanaged</x:v>
      </x:c>
      <x:c r="S618" s="118" t="n">
        <x:v>3</x:v>
      </x:c>
      <x:c r="T618" s="118" t="n">
        <x:v>6</x:v>
      </x:c>
      <x:c r="U618" s="118" t="n">
        <x:v>1</x:v>
      </x:c>
      <x:c r="V618" s="118" t="n">
        <x:v>0</x:v>
      </x:c>
      <x:c r="W618" s="118" t="n">
        <x:v>0</x:v>
      </x:c>
      <x:c r="X618" s="118" t="n">
        <x:v>0</x:v>
      </x:c>
      <x:c r="Y618" s="118" t="n">
        <x:v>1</x:v>
      </x:c>
      <x:c r="Z618" s="117" t="str">
        <x:v>Isolated lane</x:v>
      </x:c>
      <x:c r="AA618" s="120" t="n">
        <x:v>45945.593831018516</x:v>
      </x:c>
      <x:c r="AB618" s="117" t="str">
        <x:v>Sacha Pearce</x:v>
      </x:c>
      <x:c r="AC618" s="119" t="str">
        <x:v>15/10/2025 - SP - Adjust Department not equal to Quality in the Update to Visible for All Users and Approved By Update Records element
15/10/2025 - SP - Adding Published Date to be set by the Running Flow Interview on approval routes</x:v>
      </x:c>
      <x:c r="AD618" s="119" t="str"/>
    </x:row>
    <x:row r="619" ht="34" customHeight="1">
      <x:c r="A619" s="117" t="str">
        <x:v>300Ro00000vlpXjIAI</x:v>
      </x:c>
      <x:c r="B619" s="117" t="str">
        <x:v>Training_Item_Create_Document_Review_Screen_Flow</x:v>
      </x:c>
      <x:c r="C619" s="117" t="str">
        <x:v>Training Item - Create Document Review - Screen Flow</x:v>
      </x:c>
      <x:c r="D619" s="117" t="str">
        <x:v>Yes</x:v>
      </x:c>
      <x:c r="E619" s="118" t="n">
        <x:v>6</x:v>
      </x:c>
      <x:c r="F619" s="118" t="n">
        <x:v>6</x:v>
      </x:c>
      <x:c r="G619" s="117" t="str">
        <x:v>Yes</x:v>
      </x:c>
      <x:c r="H619" s="119" t="str">
        <x:v>Active v6 (Retrieved XML)</x:v>
      </x:c>
      <x:c r="I619" s="117" t="str">
        <x:v>Flow</x:v>
      </x:c>
      <x:c r="J619" s="117" t="str"/>
      <x:c r="K619" s="117" t="str">
        <x:v>No</x:v>
      </x:c>
      <x:c r="L619" s="117" t="str"/>
      <x:c r="M619" s="117" t="str"/>
      <x:c r="N619" s="117"/>
      <x:c r="O619" s="117"/>
      <x:c r="P619" s="117" t="str"/>
      <x:c r="Q619" s="117" t="str">
        <x:v>66.0</x:v>
      </x:c>
      <x:c r="R619" s="117" t="str">
        <x:v>unmanaged</x:v>
      </x:c>
      <x:c r="S619" s="118" t="n">
        <x:v>6</x:v>
      </x:c>
      <x:c r="T619" s="118" t="n">
        <x:v>9</x:v>
      </x:c>
      <x:c r="U619" s="118" t="n">
        <x:v>3</x:v>
      </x:c>
      <x:c r="V619" s="118" t="n">
        <x:v>0</x:v>
      </x:c>
      <x:c r="W619" s="118" t="n">
        <x:v>1</x:v>
      </x:c>
      <x:c r="X619" s="118" t="n">
        <x:v>1</x:v>
      </x:c>
      <x:c r="Y619" s="118" t="n">
        <x:v>2</x:v>
      </x:c>
      <x:c r="Z619" s="117" t="str">
        <x:v>N/A</x:v>
      </x:c>
      <x:c r="AA619" s="120" t="n">
        <x:v>46139.58167824074</x:v>
      </x:c>
      <x:c r="AB619" s="117" t="str">
        <x:v>Sacha Pearce</x:v>
      </x:c>
      <x:c r="AC619" s="119" t="str"/>
      <x:c r="AD619" s="119" t="str">
        <x:v>Active flow has no description</x:v>
      </x:c>
    </x:row>
    <x:row r="620" ht="34" customHeight="1">
      <x:c r="A620" s="117" t="str">
        <x:v>300Ro00000Pz0kvIAB</x:v>
      </x:c>
      <x:c r="B620" s="117" t="str">
        <x:v>Travel_Start_Date_Time</x:v>
      </x:c>
      <x:c r="C620" s="117" t="str">
        <x:v>Travel Start Date/Time</x:v>
      </x:c>
      <x:c r="D620" s="117" t="str">
        <x:v>Yes</x:v>
      </x:c>
      <x:c r="E620" s="118" t="n">
        <x:v>2</x:v>
      </x:c>
      <x:c r="F620" s="118" t="n">
        <x:v>2</x:v>
      </x:c>
      <x:c r="G620" s="117" t="str">
        <x:v>Yes</x:v>
      </x:c>
      <x:c r="H620" s="119" t="str">
        <x:v>Active v2 (Retrieved XML)</x:v>
      </x:c>
      <x:c r="I620" s="117" t="str">
        <x:v>FieldServiceMobile</x:v>
      </x:c>
      <x:c r="J620" s="117" t="str"/>
      <x:c r="K620" s="117" t="str">
        <x:v>No</x:v>
      </x:c>
      <x:c r="L620" s="117" t="str"/>
      <x:c r="M620" s="117" t="str"/>
      <x:c r="N620" s="117"/>
      <x:c r="O620" s="117"/>
      <x:c r="P620" s="117" t="str"/>
      <x:c r="Q620" s="117"/>
      <x:c r="R620" s="117" t="str">
        <x:v>unmanaged</x:v>
      </x:c>
      <x:c r="S620" s="118" t="n">
        <x:v>2</x:v>
      </x:c>
      <x:c r="T620" s="118" t="n">
        <x:v>5</x:v>
      </x:c>
      <x:c r="U620" s="118" t="n">
        <x:v>2</x:v>
      </x:c>
      <x:c r="V620" s="118" t="n">
        <x:v>0</x:v>
      </x:c>
      <x:c r="W620" s="118" t="n">
        <x:v>0</x:v>
      </x:c>
      <x:c r="X620" s="118" t="n">
        <x:v>0</x:v>
      </x:c>
      <x:c r="Y620" s="118" t="n">
        <x:v>1</x:v>
      </x:c>
      <x:c r="Z620" s="117" t="str">
        <x:v>N/A</x:v>
      </x:c>
      <x:c r="AA620" s="120" t="n">
        <x:v>45735.544016203705</x:v>
      </x:c>
      <x:c r="AB620" s="117" t="str">
        <x:v>Delegate</x:v>
      </x:c>
      <x:c r="AC620" s="119" t="str">
        <x:v>03/19/2025 (BW) - Updated this flow to set the work order last completed work step value to started travel</x:v>
      </x:c>
      <x:c r="AD620" s="119" t="str"/>
    </x:row>
    <x:row r="621" ht="34" customHeight="1">
      <x:c r="A621" s="117" t="str">
        <x:v>3005b000000H3dfAAC</x:v>
      </x:c>
      <x:c r="B621" s="117" t="str">
        <x:v>UK_Create_Removal_Charge_Screenflow</x:v>
      </x:c>
      <x:c r="C621" s="117" t="str">
        <x:v>UK - Create Removal Charge Screenflow</x:v>
      </x:c>
      <x:c r="D621" s="117" t="str">
        <x:v>Yes</x:v>
      </x:c>
      <x:c r="E621" s="118" t="n">
        <x:v>24</x:v>
      </x:c>
      <x:c r="F621" s="118" t="n">
        <x:v>24</x:v>
      </x:c>
      <x:c r="G621" s="117" t="str">
        <x:v>Yes</x:v>
      </x:c>
      <x:c r="H621" s="119" t="str">
        <x:v>Active v24 (Retrieved XML)</x:v>
      </x:c>
      <x:c r="I621" s="117" t="str">
        <x:v>Flow</x:v>
      </x:c>
      <x:c r="J621" s="117" t="str"/>
      <x:c r="K621" s="117" t="str">
        <x:v>No</x:v>
      </x:c>
      <x:c r="L621" s="117" t="str"/>
      <x:c r="M621" s="117" t="str"/>
      <x:c r="N621" s="117"/>
      <x:c r="O621" s="117"/>
      <x:c r="P621" s="117" t="str"/>
      <x:c r="Q621" s="117" t="str">
        <x:v>54.0</x:v>
      </x:c>
      <x:c r="R621" s="117" t="str">
        <x:v>unmanaged</x:v>
      </x:c>
      <x:c r="S621" s="118" t="n">
        <x:v>24</x:v>
      </x:c>
      <x:c r="T621" s="118" t="n">
        <x:v>16</x:v>
      </x:c>
      <x:c r="U621" s="118" t="n">
        <x:v>8</x:v>
      </x:c>
      <x:c r="V621" s="118" t="n">
        <x:v>0</x:v>
      </x:c>
      <x:c r="W621" s="118" t="n">
        <x:v>0</x:v>
      </x:c>
      <x:c r="X621" s="118" t="n">
        <x:v>0</x:v>
      </x:c>
      <x:c r="Y621" s="118" t="n">
        <x:v>3</x:v>
      </x:c>
      <x:c r="Z621" s="117" t="str">
        <x:v>N/A</x:v>
      </x:c>
      <x:c r="AA621" s="120" t="n">
        <x:v>45315.48945601852</x:v>
      </x:c>
      <x:c r="AB621" s="117" t="str">
        <x:v>Jon Kean</x:v>
      </x:c>
      <x:c r="AC621" s="119" t="str"/>
      <x:c r="AD621" s="119" t="str">
        <x:v>Active flow has no description; Touches many objects</x:v>
      </x:c>
    </x:row>
    <x:row r="622" ht="34" customHeight="1">
      <x:c r="A622" s="117" t="str">
        <x:v>300Ro00000IcZnHIAV</x:v>
      </x:c>
      <x:c r="B622" s="117" t="str">
        <x:v>UK_Credit_Notification</x:v>
      </x:c>
      <x:c r="C622" s="117" t="str">
        <x:v>UK - Credit Notification</x:v>
      </x:c>
      <x:c r="D622" s="117" t="str">
        <x:v>Yes</x:v>
      </x:c>
      <x:c r="E622" s="118" t="n">
        <x:v>4</x:v>
      </x:c>
      <x:c r="F622" s="118" t="n">
        <x:v>4</x:v>
      </x:c>
      <x:c r="G622" s="117" t="str">
        <x:v>Yes</x:v>
      </x:c>
      <x:c r="H622" s="119" t="str">
        <x:v>Active v4 (Retrieved XML)</x:v>
      </x:c>
      <x:c r="I622" s="117" t="str">
        <x:v>AutoLaunchedFlow</x:v>
      </x:c>
      <x:c r="J622" s="117" t="str">
        <x:v>ContractLineItem</x:v>
      </x:c>
      <x:c r="K622" s="117" t="str">
        <x:v>Yes</x:v>
      </x:c>
      <x:c r="L622" s="117" t="str">
        <x:v>Update</x:v>
      </x:c>
      <x:c r="M622" s="117" t="str">
        <x:v>RecordAfterSave</x:v>
      </x:c>
      <x:c r="N622" s="117"/>
      <x:c r="O622" s="117"/>
      <x:c r="P622" s="117" t="str"/>
      <x:c r="Q622" s="117" t="str">
        <x:v>61.0</x:v>
      </x:c>
      <x:c r="R622" s="117" t="str">
        <x:v>unmanaged</x:v>
      </x:c>
      <x:c r="S622" s="118" t="n">
        <x:v>4</x:v>
      </x:c>
      <x:c r="T622" s="118" t="n">
        <x:v>2</x:v>
      </x:c>
      <x:c r="U622" s="118" t="n">
        <x:v>1</x:v>
      </x:c>
      <x:c r="V622" s="118" t="n">
        <x:v>0</x:v>
      </x:c>
      <x:c r="W622" s="118" t="n">
        <x:v>1</x:v>
      </x:c>
      <x:c r="X622" s="118" t="n">
        <x:v>0</x:v>
      </x:c>
      <x:c r="Y622" s="118" t="n">
        <x:v>1</x:v>
      </x:c>
      <x:c r="Z622" s="117" t="str">
        <x:v>Review</x:v>
      </x:c>
      <x:c r="AA622" s="120" t="n">
        <x:v>45604.477118055554</x:v>
      </x:c>
      <x:c r="AB622" s="117" t="str">
        <x:v>Jon Kean</x:v>
      </x:c>
      <x:c r="AC622" s="119" t="str">
        <x:v>Added serial number to email body</x:v>
      </x:c>
      <x:c r="AD622" s="119" t="str"/>
    </x:row>
    <x:row r="623" ht="34" customHeight="1">
      <x:c r="A623" s="117" t="str">
        <x:v>3005b000000LGu8AAG</x:v>
      </x:c>
      <x:c r="B623" s="117" t="str">
        <x:v>UK_Customer_Repair_Received</x:v>
      </x:c>
      <x:c r="C623" s="117" t="str">
        <x:v>UK Customer Repair Received</x:v>
      </x:c>
      <x:c r="D623" s="117" t="str">
        <x:v>Yes</x:v>
      </x:c>
      <x:c r="E623" s="118" t="n">
        <x:v>11</x:v>
      </x:c>
      <x:c r="F623" s="118" t="n">
        <x:v>11</x:v>
      </x:c>
      <x:c r="G623" s="117" t="str">
        <x:v>Yes</x:v>
      </x:c>
      <x:c r="H623" s="119" t="str">
        <x:v>Active v11 (Retrieved XML)</x:v>
      </x:c>
      <x:c r="I623" s="117" t="str">
        <x:v>AutoLaunchedFlow</x:v>
      </x:c>
      <x:c r="J623" s="117" t="str">
        <x:v>ProductItem__c</x:v>
      </x:c>
      <x:c r="K623" s="117" t="str">
        <x:v>Yes</x:v>
      </x:c>
      <x:c r="L623" s="117" t="str">
        <x:v>CreateAndUpdate</x:v>
      </x:c>
      <x:c r="M623" s="117" t="str">
        <x:v>RecordAfterSave</x:v>
      </x:c>
      <x:c r="N623" s="117"/>
      <x:c r="O623" s="117"/>
      <x:c r="P623" s="117" t="str"/>
      <x:c r="Q623" s="117" t="str">
        <x:v>56.0</x:v>
      </x:c>
      <x:c r="R623" s="117" t="str">
        <x:v>unmanaged</x:v>
      </x:c>
      <x:c r="S623" s="118" t="n">
        <x:v>11</x:v>
      </x:c>
      <x:c r="T623" s="118" t="n">
        <x:v>5</x:v>
      </x:c>
      <x:c r="U623" s="118" t="n">
        <x:v>2</x:v>
      </x:c>
      <x:c r="V623" s="118" t="n">
        <x:v>0</x:v>
      </x:c>
      <x:c r="W623" s="118" t="n">
        <x:v>2</x:v>
      </x:c>
      <x:c r="X623" s="118" t="n">
        <x:v>0</x:v>
      </x:c>
      <x:c r="Y623" s="118" t="n">
        <x:v>1</x:v>
      </x:c>
      <x:c r="Z623" s="117" t="str">
        <x:v>Strong</x:v>
      </x:c>
      <x:c r="AA623" s="120" t="n">
        <x:v>45702.37923611111</x:v>
      </x:c>
      <x:c r="AB623" s="117" t="str">
        <x:v>Jon Kean</x:v>
      </x:c>
      <x:c r="AC623" s="119" t="str">
        <x:v>Edited email alert</x:v>
      </x:c>
      <x:c r="AD623" s="119" t="str"/>
    </x:row>
    <x:row r="624" ht="34" customHeight="1">
      <x:c r="A624" s="117" t="str">
        <x:v>3005b000000LH4SAAW</x:v>
      </x:c>
      <x:c r="B624" s="117" t="str">
        <x:v>UK_Notification_for_Parts_Preperation</x:v>
      </x:c>
      <x:c r="C624" s="117" t="str">
        <x:v>UK Notification for Parts Preperation</x:v>
      </x:c>
      <x:c r="D624" s="117" t="str">
        <x:v>No</x:v>
      </x:c>
      <x:c r="E624" s="118"/>
      <x:c r="F624" s="118" t="n">
        <x:v>1</x:v>
      </x:c>
      <x:c r="G624" s="117" t="str">
        <x:v>N/A</x:v>
      </x:c>
      <x:c r="H624" s="119" t="str">
        <x:v>Latest inactive v1 (Retrieved XML)</x:v>
      </x:c>
      <x:c r="I624" s="117" t="str">
        <x:v>AutoLaunchedFlow</x:v>
      </x:c>
      <x:c r="J624" s="117" t="str">
        <x:v>Opportunity</x:v>
      </x:c>
      <x:c r="K624" s="117" t="str">
        <x:v>No</x:v>
      </x:c>
      <x:c r="L624" s="117" t="str">
        <x:v>Update</x:v>
      </x:c>
      <x:c r="M624" s="117" t="str">
        <x:v>RecordAfterSave</x:v>
      </x:c>
      <x:c r="N624" s="117"/>
      <x:c r="O624" s="117"/>
      <x:c r="P624" s="117" t="str"/>
      <x:c r="Q624" s="117" t="str">
        <x:v>56.0</x:v>
      </x:c>
      <x:c r="R624" s="117" t="str">
        <x:v>unmanaged</x:v>
      </x:c>
      <x:c r="S624" s="118" t="n">
        <x:v>1</x:v>
      </x:c>
      <x:c r="T624" s="118" t="n">
        <x:v>2</x:v>
      </x:c>
      <x:c r="U624" s="118" t="n">
        <x:v>1</x:v>
      </x:c>
      <x:c r="V624" s="118" t="n">
        <x:v>0</x:v>
      </x:c>
      <x:c r="W624" s="118" t="n">
        <x:v>1</x:v>
      </x:c>
      <x:c r="X624" s="118" t="n">
        <x:v>0</x:v>
      </x:c>
      <x:c r="Y624" s="118" t="n">
        <x:v>1</x:v>
      </x:c>
      <x:c r="Z624" s="117" t="str">
        <x:v>N/A</x:v>
      </x:c>
      <x:c r="AA624" s="120" t="n">
        <x:v>44903.61278935185</x:v>
      </x:c>
      <x:c r="AB624" s="117" t="str">
        <x:v>Jace Gentil</x:v>
      </x:c>
      <x:c r="AC624" s="119" t="str"/>
      <x:c r="AD624" s="119" t="str"/>
    </x:row>
    <x:row r="625" ht="34" customHeight="1">
      <x:c r="A625" s="117" t="str">
        <x:v>3005b000000LGsbAAG</x:v>
      </x:c>
      <x:c r="B625" s="117" t="str">
        <x:v>UK_Notification_for_Shipping_Ops_to_the_UK</x:v>
      </x:c>
      <x:c r="C625" s="117" t="str">
        <x:v>UK Notification for Shipping Ops to the UK</x:v>
      </x:c>
      <x:c r="D625" s="117" t="str">
        <x:v>Yes</x:v>
      </x:c>
      <x:c r="E625" s="118" t="n">
        <x:v>3</x:v>
      </x:c>
      <x:c r="F625" s="118" t="n">
        <x:v>3</x:v>
      </x:c>
      <x:c r="G625" s="117" t="str">
        <x:v>Yes</x:v>
      </x:c>
      <x:c r="H625" s="119" t="str">
        <x:v>Active v3 (Retrieved XML)</x:v>
      </x:c>
      <x:c r="I625" s="117" t="str">
        <x:v>AutoLaunchedFlow</x:v>
      </x:c>
      <x:c r="J625" s="117" t="str">
        <x:v>Opportunity</x:v>
      </x:c>
      <x:c r="K625" s="117" t="str">
        <x:v>Yes</x:v>
      </x:c>
      <x:c r="L625" s="117" t="str">
        <x:v>Update</x:v>
      </x:c>
      <x:c r="M625" s="117" t="str">
        <x:v>RecordAfterSave</x:v>
      </x:c>
      <x:c r="N625" s="117"/>
      <x:c r="O625" s="117"/>
      <x:c r="P625" s="117" t="str"/>
      <x:c r="Q625" s="117" t="str">
        <x:v>56.0</x:v>
      </x:c>
      <x:c r="R625" s="117" t="str">
        <x:v>unmanaged</x:v>
      </x:c>
      <x:c r="S625" s="118" t="n">
        <x:v>3</x:v>
      </x:c>
      <x:c r="T625" s="118" t="n">
        <x:v>2</x:v>
      </x:c>
      <x:c r="U625" s="118" t="n">
        <x:v>1</x:v>
      </x:c>
      <x:c r="V625" s="118" t="n">
        <x:v>0</x:v>
      </x:c>
      <x:c r="W625" s="118" t="n">
        <x:v>1</x:v>
      </x:c>
      <x:c r="X625" s="118" t="n">
        <x:v>0</x:v>
      </x:c>
      <x:c r="Y625" s="118" t="n">
        <x:v>1</x:v>
      </x:c>
      <x:c r="Z625" s="117" t="str">
        <x:v>Strong</x:v>
      </x:c>
      <x:c r="AA625" s="120" t="n">
        <x:v>45425.83399305555</x:v>
      </x:c>
      <x:c r="AB625" s="117" t="str">
        <x:v>Jace Gentil</x:v>
      </x:c>
      <x:c r="AC625" s="119" t="str"/>
      <x:c r="AD625" s="119" t="str">
        <x:v>Active flow has no description</x:v>
      </x:c>
    </x:row>
    <x:row r="626" ht="34" customHeight="1">
      <x:c r="A626" s="117" t="str">
        <x:v>3005b000000H3wXAAS</x:v>
      </x:c>
      <x:c r="B626" s="117" t="str">
        <x:v>UK_Pricing_Request_Notifications</x:v>
      </x:c>
      <x:c r="C626" s="117" t="str">
        <x:v>Pricing Request Notifications Flow</x:v>
      </x:c>
      <x:c r="D626" s="117" t="str">
        <x:v>Yes</x:v>
      </x:c>
      <x:c r="E626" s="118" t="n">
        <x:v>14</x:v>
      </x:c>
      <x:c r="F626" s="118" t="n">
        <x:v>14</x:v>
      </x:c>
      <x:c r="G626" s="117" t="str">
        <x:v>Yes</x:v>
      </x:c>
      <x:c r="H626" s="119" t="str">
        <x:v>Active v14 (Retrieved XML)</x:v>
      </x:c>
      <x:c r="I626" s="117" t="str">
        <x:v>AutoLaunchedFlow</x:v>
      </x:c>
      <x:c r="J626" s="117" t="str">
        <x:v>Pricing_Request__c</x:v>
      </x:c>
      <x:c r="K626" s="117" t="str">
        <x:v>Yes</x:v>
      </x:c>
      <x:c r="L626" s="117" t="str">
        <x:v>CreateAndUpdate</x:v>
      </x:c>
      <x:c r="M626" s="117" t="str">
        <x:v>RecordAfterSave</x:v>
      </x:c>
      <x:c r="N626" s="117"/>
      <x:c r="O626" s="117"/>
      <x:c r="P626" s="117" t="str"/>
      <x:c r="Q626" s="117" t="str">
        <x:v>54.0</x:v>
      </x:c>
      <x:c r="R626" s="117" t="str">
        <x:v>unmanaged</x:v>
      </x:c>
      <x:c r="S626" s="118" t="n">
        <x:v>14</x:v>
      </x:c>
      <x:c r="T626" s="118" t="n">
        <x:v>12</x:v>
      </x:c>
      <x:c r="U626" s="118" t="n">
        <x:v>1</x:v>
      </x:c>
      <x:c r="V626" s="118" t="n">
        <x:v>0</x:v>
      </x:c>
      <x:c r="W626" s="118" t="n">
        <x:v>5</x:v>
      </x:c>
      <x:c r="X626" s="118" t="n">
        <x:v>0</x:v>
      </x:c>
      <x:c r="Y626" s="118" t="n">
        <x:v>2</x:v>
      </x:c>
      <x:c r="Z626" s="117" t="str">
        <x:v>Review</x:v>
      </x:c>
      <x:c r="AA626" s="120" t="n">
        <x:v>46095.75212962963</x:v>
      </x:c>
      <x:c r="AB626" s="117" t="str">
        <x:v>Sacha Pearce</x:v>
      </x:c>
      <x:c r="AC626" s="119" t="str"/>
      <x:c r="AD626" s="119" t="str">
        <x:v>Active flow has no description</x:v>
      </x:c>
    </x:row>
    <x:row r="627" ht="34" customHeight="1">
      <x:c r="A627" s="117" t="str">
        <x:v>3005b000000LGuDAAW</x:v>
      </x:c>
      <x:c r="B627" s="117" t="str">
        <x:v>UK_RMA_Item_Received_Alert</x:v>
      </x:c>
      <x:c r="C627" s="117" t="str">
        <x:v>UK RMA Item Received Alert</x:v>
      </x:c>
      <x:c r="D627" s="117" t="str">
        <x:v>Yes</x:v>
      </x:c>
      <x:c r="E627" s="118" t="n">
        <x:v>8</x:v>
      </x:c>
      <x:c r="F627" s="118" t="n">
        <x:v>8</x:v>
      </x:c>
      <x:c r="G627" s="117" t="str">
        <x:v>Yes</x:v>
      </x:c>
      <x:c r="H627" s="119" t="str">
        <x:v>Active v8 (Retrieved XML)</x:v>
      </x:c>
      <x:c r="I627" s="117" t="str">
        <x:v>AutoLaunchedFlow</x:v>
      </x:c>
      <x:c r="J627" s="117" t="str">
        <x:v>RMA__c</x:v>
      </x:c>
      <x:c r="K627" s="117" t="str">
        <x:v>Yes</x:v>
      </x:c>
      <x:c r="L627" s="117" t="str">
        <x:v>CreateAndUpdate</x:v>
      </x:c>
      <x:c r="M627" s="117" t="str">
        <x:v>RecordAfterSave</x:v>
      </x:c>
      <x:c r="N627" s="117"/>
      <x:c r="O627" s="117"/>
      <x:c r="P627" s="117" t="str"/>
      <x:c r="Q627" s="117" t="str">
        <x:v>56.0</x:v>
      </x:c>
      <x:c r="R627" s="117" t="str">
        <x:v>unmanaged</x:v>
      </x:c>
      <x:c r="S627" s="118" t="n">
        <x:v>8</x:v>
      </x:c>
      <x:c r="T627" s="118" t="n">
        <x:v>3</x:v>
      </x:c>
      <x:c r="U627" s="118" t="n">
        <x:v>1</x:v>
      </x:c>
      <x:c r="V627" s="118" t="n">
        <x:v>0</x:v>
      </x:c>
      <x:c r="W627" s="118" t="n">
        <x:v>1</x:v>
      </x:c>
      <x:c r="X627" s="118" t="n">
        <x:v>0</x:v>
      </x:c>
      <x:c r="Y627" s="118" t="n">
        <x:v>1</x:v>
      </x:c>
      <x:c r="Z627" s="117" t="str">
        <x:v>Review</x:v>
      </x:c>
      <x:c r="AA627" s="120" t="n">
        <x:v>45702.378333333334</x:v>
      </x:c>
      <x:c r="AB627" s="117" t="str">
        <x:v>Jon Kean</x:v>
      </x:c>
      <x:c r="AC627" s="119" t="str"/>
      <x:c r="AD627" s="119" t="str">
        <x:v>Active flow has no description</x:v>
      </x:c>
    </x:row>
    <x:row r="628" ht="34" customHeight="1">
      <x:c r="A628" s="117" t="str">
        <x:v>300Ro00000LuFWXIA3</x:v>
      </x:c>
      <x:c r="B628" s="117" t="str">
        <x:v>UK_Shipping_Timestamp_field_update_flow</x:v>
      </x:c>
      <x:c r="C628" s="117" t="str">
        <x:v>UK Shipping Timestamp field update flow</x:v>
      </x:c>
      <x:c r="D628" s="117" t="str">
        <x:v>Yes</x:v>
      </x:c>
      <x:c r="E628" s="118" t="n">
        <x:v>5</x:v>
      </x:c>
      <x:c r="F628" s="118" t="n">
        <x:v>5</x:v>
      </x:c>
      <x:c r="G628" s="117" t="str">
        <x:v>Yes</x:v>
      </x:c>
      <x:c r="H628" s="119" t="str">
        <x:v>Active v5 (Retrieved XML)</x:v>
      </x:c>
      <x:c r="I628" s="117" t="str">
        <x:v>AutoLaunchedFlow</x:v>
      </x:c>
      <x:c r="J628" s="117" t="str">
        <x:v>Opportunity</x:v>
      </x:c>
      <x:c r="K628" s="117" t="str">
        <x:v>Yes</x:v>
      </x:c>
      <x:c r="L628" s="117" t="str">
        <x:v>Update</x:v>
      </x:c>
      <x:c r="M628" s="117" t="str">
        <x:v>RecordAfterSave</x:v>
      </x:c>
      <x:c r="N628" s="117"/>
      <x:c r="O628" s="117"/>
      <x:c r="P628" s="117" t="str"/>
      <x:c r="Q628" s="117" t="str">
        <x:v>62.0</x:v>
      </x:c>
      <x:c r="R628" s="117" t="str">
        <x:v>unmanaged</x:v>
      </x:c>
      <x:c r="S628" s="118" t="n">
        <x:v>5</x:v>
      </x:c>
      <x:c r="T628" s="118" t="n">
        <x:v>5</x:v>
      </x:c>
      <x:c r="U628" s="118" t="n">
        <x:v>1</x:v>
      </x:c>
      <x:c r="V628" s="118" t="n">
        <x:v>0</x:v>
      </x:c>
      <x:c r="W628" s="118" t="n">
        <x:v>0</x:v>
      </x:c>
      <x:c r="X628" s="118" t="n">
        <x:v>0</x:v>
      </x:c>
      <x:c r="Y628" s="118" t="n">
        <x:v>1</x:v>
      </x:c>
      <x:c r="Z628" s="117" t="str">
        <x:v>Strong</x:v>
      </x:c>
      <x:c r="AA628" s="120" t="n">
        <x:v>46127.54814814815</x:v>
      </x:c>
      <x:c r="AB628" s="117" t="str">
        <x:v>Delegate</x:v>
      </x:c>
      <x:c r="AC628" s="119" t="str"/>
      <x:c r="AD628" s="119" t="str">
        <x:v>Active flow has no description</x:v>
      </x:c>
    </x:row>
    <x:row r="629" ht="34" customHeight="1">
      <x:c r="A629" s="117" t="str">
        <x:v>3005b000000H3qeAAC</x:v>
      </x:c>
      <x:c r="B629" s="117" t="str">
        <x:v>UK_Sourcing_Request_Asset_Fulfilled_Notifications</x:v>
      </x:c>
      <x:c r="C629" s="117" t="str">
        <x:v>UK Sourcing Request Asset Fulfilled Notifications</x:v>
      </x:c>
      <x:c r="D629" s="117" t="str">
        <x:v>Yes</x:v>
      </x:c>
      <x:c r="E629" s="118" t="n">
        <x:v>5</x:v>
      </x:c>
      <x:c r="F629" s="118" t="n">
        <x:v>5</x:v>
      </x:c>
      <x:c r="G629" s="117" t="str">
        <x:v>Yes</x:v>
      </x:c>
      <x:c r="H629" s="119" t="str">
        <x:v>Active v5 (Retrieved XML)</x:v>
      </x:c>
      <x:c r="I629" s="117" t="str">
        <x:v>AutoLaunchedFlow</x:v>
      </x:c>
      <x:c r="J629" s="117" t="str">
        <x:v>Sourcing_Request_Item__c</x:v>
      </x:c>
      <x:c r="K629" s="117" t="str">
        <x:v>Yes</x:v>
      </x:c>
      <x:c r="L629" s="117" t="str">
        <x:v>Update</x:v>
      </x:c>
      <x:c r="M629" s="117" t="str">
        <x:v>RecordAfterSave</x:v>
      </x:c>
      <x:c r="N629" s="117"/>
      <x:c r="O629" s="117"/>
      <x:c r="P629" s="117" t="str"/>
      <x:c r="Q629" s="117" t="str">
        <x:v>54.0</x:v>
      </x:c>
      <x:c r="R629" s="117" t="str">
        <x:v>unmanaged</x:v>
      </x:c>
      <x:c r="S629" s="118" t="n">
        <x:v>5</x:v>
      </x:c>
      <x:c r="T629" s="118" t="n">
        <x:v>5</x:v>
      </x:c>
      <x:c r="U629" s="118" t="n">
        <x:v>1</x:v>
      </x:c>
      <x:c r="V629" s="118" t="n">
        <x:v>0</x:v>
      </x:c>
      <x:c r="W629" s="118" t="n">
        <x:v>2</x:v>
      </x:c>
      <x:c r="X629" s="118" t="n">
        <x:v>0</x:v>
      </x:c>
      <x:c r="Y629" s="118" t="n">
        <x:v>1</x:v>
      </x:c>
      <x:c r="Z629" s="117" t="str">
        <x:v>Review</x:v>
      </x:c>
      <x:c r="AA629" s="120" t="n">
        <x:v>45607.462013888886</x:v>
      </x:c>
      <x:c r="AB629" s="117" t="str">
        <x:v>Jon Kean</x:v>
      </x:c>
      <x:c r="AC629" s="119" t="str"/>
      <x:c r="AD629" s="119" t="str">
        <x:v>Active flow has no description</x:v>
      </x:c>
    </x:row>
    <x:row r="630" ht="34" customHeight="1">
      <x:c r="A630" s="117" t="str">
        <x:v>3005b000000H3qZAAS</x:v>
      </x:c>
      <x:c r="B630" s="117" t="str">
        <x:v>UK_Sourcing_Request_Notifications</x:v>
      </x:c>
      <x:c r="C630" s="117" t="str">
        <x:v>UK Sourcing Request Notifications</x:v>
      </x:c>
      <x:c r="D630" s="117" t="str">
        <x:v>Yes</x:v>
      </x:c>
      <x:c r="E630" s="118" t="n">
        <x:v>3</x:v>
      </x:c>
      <x:c r="F630" s="118" t="n">
        <x:v>3</x:v>
      </x:c>
      <x:c r="G630" s="117" t="str">
        <x:v>Yes</x:v>
      </x:c>
      <x:c r="H630" s="119" t="str">
        <x:v>Active v3 (Retrieved XML)</x:v>
      </x:c>
      <x:c r="I630" s="117" t="str">
        <x:v>AutoLaunchedFlow</x:v>
      </x:c>
      <x:c r="J630" s="117" t="str">
        <x:v>Sourcing_Request_Item__c</x:v>
      </x:c>
      <x:c r="K630" s="117" t="str">
        <x:v>Yes</x:v>
      </x:c>
      <x:c r="L630" s="117" t="str">
        <x:v>Update</x:v>
      </x:c>
      <x:c r="M630" s="117" t="str">
        <x:v>RecordAfterSave</x:v>
      </x:c>
      <x:c r="N630" s="117"/>
      <x:c r="O630" s="117"/>
      <x:c r="P630" s="117" t="str"/>
      <x:c r="Q630" s="117" t="str">
        <x:v>54.0</x:v>
      </x:c>
      <x:c r="R630" s="117" t="str">
        <x:v>unmanaged</x:v>
      </x:c>
      <x:c r="S630" s="118" t="n">
        <x:v>3</x:v>
      </x:c>
      <x:c r="T630" s="118" t="n">
        <x:v>6</x:v>
      </x:c>
      <x:c r="U630" s="118" t="n">
        <x:v>1</x:v>
      </x:c>
      <x:c r="V630" s="118" t="n">
        <x:v>0</x:v>
      </x:c>
      <x:c r="W630" s="118" t="n">
        <x:v>3</x:v>
      </x:c>
      <x:c r="X630" s="118" t="n">
        <x:v>0</x:v>
      </x:c>
      <x:c r="Y630" s="118" t="n">
        <x:v>1</x:v>
      </x:c>
      <x:c r="Z630" s="117" t="str">
        <x:v>Review</x:v>
      </x:c>
      <x:c r="AA630" s="120" t="n">
        <x:v>45548.37091435185</x:v>
      </x:c>
      <x:c r="AB630" s="117" t="str">
        <x:v>Jon Kean</x:v>
      </x:c>
      <x:c r="AC630" s="119" t="str"/>
      <x:c r="AD630" s="119" t="str">
        <x:v>Active flow has no description</x:v>
      </x:c>
    </x:row>
    <x:row r="631" ht="34" customHeight="1">
      <x:c r="A631" s="117" t="str">
        <x:v>300Ro000007mYL9IAM</x:v>
      </x:c>
      <x:c r="B631" s="117" t="str">
        <x:v>UK_Stores_App</x:v>
      </x:c>
      <x:c r="C631" s="117" t="str">
        <x:v>UK - Stores App</x:v>
      </x:c>
      <x:c r="D631" s="117" t="str">
        <x:v>No</x:v>
      </x:c>
      <x:c r="E631" s="118"/>
      <x:c r="F631" s="118" t="n">
        <x:v>1</x:v>
      </x:c>
      <x:c r="G631" s="117" t="str">
        <x:v>N/A</x:v>
      </x:c>
      <x:c r="H631" s="119" t="str">
        <x:v>Latest inactive v1 (Retrieved XML)</x:v>
      </x:c>
      <x:c r="I631" s="117" t="str">
        <x:v>Flow</x:v>
      </x:c>
      <x:c r="J631" s="117" t="str"/>
      <x:c r="K631" s="117" t="str">
        <x:v>No</x:v>
      </x:c>
      <x:c r="L631" s="117" t="str"/>
      <x:c r="M631" s="117" t="str"/>
      <x:c r="N631" s="117"/>
      <x:c r="O631" s="117"/>
      <x:c r="P631" s="117" t="str"/>
      <x:c r="Q631" s="117" t="str">
        <x:v>60.0</x:v>
      </x:c>
      <x:c r="R631" s="117" t="str">
        <x:v>unmanaged</x:v>
      </x:c>
      <x:c r="S631" s="118" t="n">
        <x:v>1</x:v>
      </x:c>
      <x:c r="T631" s="118" t="n">
        <x:v>10</x:v>
      </x:c>
      <x:c r="U631" s="118" t="n">
        <x:v>1</x:v>
      </x:c>
      <x:c r="V631" s="118" t="n">
        <x:v>1</x:v>
      </x:c>
      <x:c r="W631" s="118" t="n">
        <x:v>0</x:v>
      </x:c>
      <x:c r="X631" s="118" t="n">
        <x:v>1</x:v>
      </x:c>
      <x:c r="Y631" s="118" t="n">
        <x:v>1</x:v>
      </x:c>
      <x:c r="Z631" s="117" t="str">
        <x:v>N/A</x:v>
      </x:c>
      <x:c r="AA631" s="120" t="n">
        <x:v>45422.34170138889</x:v>
      </x:c>
      <x:c r="AB631" s="117" t="str">
        <x:v>Jon Kean</x:v>
      </x:c>
      <x:c r="AC631" s="119" t="str"/>
      <x:c r="AD631" s="119" t="str"/>
    </x:row>
    <x:row r="632" ht="34" customHeight="1">
      <x:c r="A632" s="117" t="str">
        <x:v>3005b000000Pz7BAAS</x:v>
      </x:c>
      <x:c r="B632" s="117" t="str">
        <x:v>UK_Update_Shipping_Address</x:v>
      </x:c>
      <x:c r="C632" s="117" t="str">
        <x:v>UK - Update Shipping Address</x:v>
      </x:c>
      <x:c r="D632" s="117" t="str">
        <x:v>Yes</x:v>
      </x:c>
      <x:c r="E632" s="118" t="n">
        <x:v>14</x:v>
      </x:c>
      <x:c r="F632" s="118" t="n">
        <x:v>14</x:v>
      </x:c>
      <x:c r="G632" s="117" t="str">
        <x:v>Yes</x:v>
      </x:c>
      <x:c r="H632" s="119" t="str">
        <x:v>Active v14 (Retrieved XML)</x:v>
      </x:c>
      <x:c r="I632" s="117" t="str">
        <x:v>Flow</x:v>
      </x:c>
      <x:c r="J632" s="117" t="str"/>
      <x:c r="K632" s="117" t="str">
        <x:v>No</x:v>
      </x:c>
      <x:c r="L632" s="117" t="str"/>
      <x:c r="M632" s="117" t="str"/>
      <x:c r="N632" s="117"/>
      <x:c r="O632" s="117"/>
      <x:c r="P632" s="117" t="str"/>
      <x:c r="Q632" s="117" t="str">
        <x:v>57.0</x:v>
      </x:c>
      <x:c r="R632" s="117" t="str">
        <x:v>unmanaged</x:v>
      </x:c>
      <x:c r="S632" s="118" t="n">
        <x:v>14</x:v>
      </x:c>
      <x:c r="T632" s="118" t="n">
        <x:v>5</x:v>
      </x:c>
      <x:c r="U632" s="118" t="n">
        <x:v>2</x:v>
      </x:c>
      <x:c r="V632" s="118" t="n">
        <x:v>0</x:v>
      </x:c>
      <x:c r="W632" s="118" t="n">
        <x:v>0</x:v>
      </x:c>
      <x:c r="X632" s="118" t="n">
        <x:v>1</x:v>
      </x:c>
      <x:c r="Y632" s="118" t="n">
        <x:v>1</x:v>
      </x:c>
      <x:c r="Z632" s="117" t="str">
        <x:v>N/A</x:v>
      </x:c>
      <x:c r="AA632" s="120" t="n">
        <x:v>45022.42521990741</x:v>
      </x:c>
      <x:c r="AB632" s="117" t="str">
        <x:v>Jon Kean</x:v>
      </x:c>
      <x:c r="AC632" s="119" t="str">
        <x:v>For updating pre-created work orders from service contract creation to pull equipment location address</x:v>
      </x:c>
      <x:c r="AD632" s="119" t="str"/>
    </x:row>
    <x:row r="633" ht="34" customHeight="1">
      <x:c r="A633" s="117" t="str">
        <x:v>3005b000000Pz7GAAS</x:v>
      </x:c>
      <x:c r="B633" s="117" t="str">
        <x:v>UK_Update_Shipping_Address_v2</x:v>
      </x:c>
      <x:c r="C633" s="117" t="str">
        <x:v>UK - Update Shipping Address v2</x:v>
      </x:c>
      <x:c r="D633" s="117" t="str">
        <x:v>No</x:v>
      </x:c>
      <x:c r="E633" s="118"/>
      <x:c r="F633" s="118" t="n">
        <x:v>1</x:v>
      </x:c>
      <x:c r="G633" s="117" t="str">
        <x:v>N/A</x:v>
      </x:c>
      <x:c r="H633" s="119" t="str">
        <x:v>Latest inactive v1 (Retrieved XML)</x:v>
      </x:c>
      <x:c r="I633" s="117" t="str">
        <x:v>Flow</x:v>
      </x:c>
      <x:c r="J633" s="117" t="str"/>
      <x:c r="K633" s="117" t="str">
        <x:v>No</x:v>
      </x:c>
      <x:c r="L633" s="117" t="str"/>
      <x:c r="M633" s="117" t="str"/>
      <x:c r="N633" s="117"/>
      <x:c r="O633" s="117"/>
      <x:c r="P633" s="117" t="str"/>
      <x:c r="Q633" s="117" t="str">
        <x:v>55.0</x:v>
      </x:c>
      <x:c r="R633" s="117" t="str">
        <x:v>unmanaged</x:v>
      </x:c>
      <x:c r="S633" s="118" t="n">
        <x:v>1</x:v>
      </x:c>
      <x:c r="T633" s="118" t="n">
        <x:v>5</x:v>
      </x:c>
      <x:c r="U633" s="118" t="n">
        <x:v>2</x:v>
      </x:c>
      <x:c r="V633" s="118" t="n">
        <x:v>0</x:v>
      </x:c>
      <x:c r="W633" s="118" t="n">
        <x:v>0</x:v>
      </x:c>
      <x:c r="X633" s="118" t="n">
        <x:v>0</x:v>
      </x:c>
      <x:c r="Y633" s="118" t="n">
        <x:v>1</x:v>
      </x:c>
      <x:c r="Z633" s="117" t="str">
        <x:v>N/A</x:v>
      </x:c>
      <x:c r="AA633" s="120" t="n">
        <x:v>45006.49453703704</x:v>
      </x:c>
      <x:c r="AB633" s="117" t="str">
        <x:v>Jon Kean</x:v>
      </x:c>
      <x:c r="AC633" s="119" t="str"/>
      <x:c r="AD633" s="119" t="str"/>
    </x:row>
    <x:row r="634" ht="34" customHeight="1">
      <x:c r="A634" s="117" t="str">
        <x:v>300Ro00000lygAzIAI</x:v>
      </x:c>
      <x:c r="B634" s="117" t="str">
        <x:v>UK_VAT_Sales_Tax_Automation</x:v>
      </x:c>
      <x:c r="C634" s="117" t="str">
        <x:v>UK VAT Sales Tax Automation</x:v>
      </x:c>
      <x:c r="D634" s="117" t="str">
        <x:v>Yes</x:v>
      </x:c>
      <x:c r="E634" s="118" t="n">
        <x:v>4</x:v>
      </x:c>
      <x:c r="F634" s="118" t="n">
        <x:v>4</x:v>
      </x:c>
      <x:c r="G634" s="117" t="str">
        <x:v>Yes</x:v>
      </x:c>
      <x:c r="H634" s="119" t="str">
        <x:v>Active v4 (Retrieved XML)</x:v>
      </x:c>
      <x:c r="I634" s="117" t="str">
        <x:v>AutoLaunchedFlow</x:v>
      </x:c>
      <x:c r="J634" s="117" t="str">
        <x:v>Opportunity</x:v>
      </x:c>
      <x:c r="K634" s="117" t="str">
        <x:v>Yes</x:v>
      </x:c>
      <x:c r="L634" s="117" t="str">
        <x:v>Update</x:v>
      </x:c>
      <x:c r="M634" s="117" t="str">
        <x:v>RecordBeforeSave</x:v>
      </x:c>
      <x:c r="N634" s="117"/>
      <x:c r="O634" s="117"/>
      <x:c r="P634" s="117" t="str"/>
      <x:c r="Q634" s="117" t="str">
        <x:v>65.0</x:v>
      </x:c>
      <x:c r="R634" s="117" t="str">
        <x:v>unmanaged</x:v>
      </x:c>
      <x:c r="S634" s="118" t="n">
        <x:v>4</x:v>
      </x:c>
      <x:c r="T634" s="118" t="n">
        <x:v>4</x:v>
      </x:c>
      <x:c r="U634" s="118" t="n">
        <x:v>1</x:v>
      </x:c>
      <x:c r="V634" s="118" t="n">
        <x:v>0</x:v>
      </x:c>
      <x:c r="W634" s="118" t="n">
        <x:v>0</x:v>
      </x:c>
      <x:c r="X634" s="118" t="n">
        <x:v>0</x:v>
      </x:c>
      <x:c r="Y634" s="118" t="n">
        <x:v>1</x:v>
      </x:c>
      <x:c r="Z634" s="117" t="str">
        <x:v>Review</x:v>
      </x:c>
      <x:c r="AA634" s="120" t="n">
        <x:v>46050.36696759259</x:v>
      </x:c>
      <x:c r="AB634" s="117" t="str">
        <x:v>Sacha Pearce</x:v>
      </x:c>
      <x:c r="AC634" s="119" t="str">
        <x:v>28/11/2025 - V1 - SP - This Flow has been designed to enter 20% of the "GST/HST Amount" on UK Opportunities.
28/11/2025 - V2 - SP - Updating the decision to look at the "Billing Country" instead of the "Billing Address".
28/11/2025 - V3 - SP - Updating the decision to have "Does Not Equal" instead of "Equals".
28/11/2025 - V4 - SP - Adding second decision to check "VAT Exempt Checkbox".
02/12/2025 - V5 - SP - Adding entry condition to not run if the "Intacct Shipper Sync Status" is set to "Synced".
03/12/2025 - V6 - SP - Updating Flow to run before save to reduce system load.
28/01/2025 - V7 - SP - Updating "formulaSalesTax" to look at the Opportunity "Amount" field instead of the "GST HST Amount".</x:v>
      </x:c>
      <x:c r="AD634" s="119" t="str"/>
    </x:row>
    <x:row r="635" ht="34" customHeight="1">
      <x:c r="A635" s="117" t="str">
        <x:v>300Ro00000Pz0kwIAB</x:v>
      </x:c>
      <x:c r="B635" s="117" t="str">
        <x:v>Ultrasound_Checklist</x:v>
      </x:c>
      <x:c r="C635" s="117" t="str">
        <x:v>Ultrasound Checklist</x:v>
      </x:c>
      <x:c r="D635" s="117" t="str">
        <x:v>Yes</x:v>
      </x:c>
      <x:c r="E635" s="118" t="n">
        <x:v>32</x:v>
      </x:c>
      <x:c r="F635" s="118" t="n">
        <x:v>32</x:v>
      </x:c>
      <x:c r="G635" s="117" t="str">
        <x:v>Yes</x:v>
      </x:c>
      <x:c r="H635" s="119" t="str">
        <x:v>Active v32 (Retrieved XML)</x:v>
      </x:c>
      <x:c r="I635" s="117" t="str">
        <x:v>FieldServiceMobile</x:v>
      </x:c>
      <x:c r="J635" s="117" t="str"/>
      <x:c r="K635" s="117" t="str">
        <x:v>No</x:v>
      </x:c>
      <x:c r="L635" s="117" t="str"/>
      <x:c r="M635" s="117" t="str"/>
      <x:c r="N635" s="117"/>
      <x:c r="O635" s="117"/>
      <x:c r="P635" s="117" t="str"/>
      <x:c r="Q635" s="117"/>
      <x:c r="R635" s="117" t="str">
        <x:v>unmanaged</x:v>
      </x:c>
      <x:c r="S635" s="118" t="n">
        <x:v>30</x:v>
      </x:c>
      <x:c r="T635" s="118" t="n">
        <x:v>28</x:v>
      </x:c>
      <x:c r="U635" s="118" t="n">
        <x:v>4</x:v>
      </x:c>
      <x:c r="V635" s="118" t="n">
        <x:v>0</x:v>
      </x:c>
      <x:c r="W635" s="118" t="n">
        <x:v>0</x:v>
      </x:c>
      <x:c r="X635" s="118" t="n">
        <x:v>0</x:v>
      </x:c>
      <x:c r="Y635" s="118" t="n">
        <x:v>3</x:v>
      </x:c>
      <x:c r="Z635" s="117" t="str">
        <x:v>N/A</x:v>
      </x:c>
      <x:c r="AA635" s="120" t="n">
        <x:v>46232.35636574074</x:v>
      </x:c>
      <x:c r="AB635" s="117" t="str">
        <x:v>Sacha Pearce</x:v>
      </x:c>
      <x:c r="AC635" s="119" t="str">
        <x:v>29/07/2026 - SP - Making the transducer and peripheral checks mandatory.</x:v>
      </x:c>
      <x:c r="AD635" s="119" t="str">
        <x:v>Touches many objects</x:v>
      </x:c>
    </x:row>
    <x:row r="636" ht="34" customHeight="1">
      <x:c r="A636" s="117" t="str">
        <x:v>3004O000000TiVwQAK</x:v>
      </x:c>
      <x:c r="B636" s="117" t="str">
        <x:v>Uncheck_QC_Bump_Checkbox</x:v>
      </x:c>
      <x:c r="C636" s="117" t="str">
        <x:v>Uncheck QC Bump Checkbox</x:v>
      </x:c>
      <x:c r="D636" s="117" t="str">
        <x:v>No</x:v>
      </x:c>
      <x:c r="E636" s="118"/>
      <x:c r="F636" s="118" t="n">
        <x:v>1</x:v>
      </x:c>
      <x:c r="G636" s="117" t="str">
        <x:v>N/A</x:v>
      </x:c>
      <x:c r="H636" s="119" t="str">
        <x:v>Latest inactive v1 (Retrieved XML)</x:v>
      </x:c>
      <x:c r="I636" s="117" t="str">
        <x:v>Workflow</x:v>
      </x:c>
      <x:c r="J636" s="117" t="str"/>
      <x:c r="K636" s="117" t="str">
        <x:v>No</x:v>
      </x:c>
      <x:c r="L636" s="117" t="str"/>
      <x:c r="M636" s="117" t="str"/>
      <x:c r="N636" s="117"/>
      <x:c r="O636" s="117"/>
      <x:c r="P636" s="117" t="str"/>
      <x:c r="Q636" s="117" t="str">
        <x:v>49.0</x:v>
      </x:c>
      <x:c r="R636" s="117" t="str">
        <x:v>unmanaged</x:v>
      </x:c>
      <x:c r="S636" s="118" t="n">
        <x:v>1</x:v>
      </x:c>
      <x:c r="T636" s="118" t="n">
        <x:v>2</x:v>
      </x:c>
      <x:c r="U636" s="118" t="n">
        <x:v>1</x:v>
      </x:c>
      <x:c r="V636" s="118" t="n">
        <x:v>0</x:v>
      </x:c>
      <x:c r="W636" s="118" t="n">
        <x:v>0</x:v>
      </x:c>
      <x:c r="X636" s="118" t="n">
        <x:v>0</x:v>
      </x:c>
      <x:c r="Y636" s="118" t="n">
        <x:v>1</x:v>
      </x:c>
      <x:c r="Z636" s="117" t="str">
        <x:v>N/A</x:v>
      </x:c>
      <x:c r="AA636" s="120" t="n">
        <x:v>44260.15571759259</x:v>
      </x:c>
      <x:c r="AB636" s="117" t="str">
        <x:v>Delegate</x:v>
      </x:c>
      <x:c r="AC636" s="119" t="str">
        <x:v>Unchecks the QC Bump Checkbox after a high-priority asset gets tested</x:v>
      </x:c>
      <x:c r="AD636" s="119" t="str"/>
    </x:row>
    <x:row r="637" ht="34" customHeight="1">
      <x:c r="A637" s="117" t="str">
        <x:v>3005b000000PzH1AAK</x:v>
      </x:c>
      <x:c r="B637" s="117" t="str">
        <x:v>Unreceipted_Invoice_Field_Update_Loop</x:v>
      </x:c>
      <x:c r="C637" s="117" t="str">
        <x:v>Unreceipted Invoice Field Update Loop</x:v>
      </x:c>
      <x:c r="D637" s="117" t="str">
        <x:v>Yes</x:v>
      </x:c>
      <x:c r="E637" s="118" t="n">
        <x:v>3</x:v>
      </x:c>
      <x:c r="F637" s="118" t="n">
        <x:v>3</x:v>
      </x:c>
      <x:c r="G637" s="117" t="str">
        <x:v>Yes</x:v>
      </x:c>
      <x:c r="H637" s="119" t="str">
        <x:v>Active v3 (Retrieved XML)</x:v>
      </x:c>
      <x:c r="I637" s="117" t="str">
        <x:v>AutoLaunchedFlow</x:v>
      </x:c>
      <x:c r="J637" s="117" t="str">
        <x:v>Opportunity</x:v>
      </x:c>
      <x:c r="K637" s="117" t="str">
        <x:v>Yes</x:v>
      </x:c>
      <x:c r="L637" s="117" t="str">
        <x:v>CreateAndUpdate</x:v>
      </x:c>
      <x:c r="M637" s="117" t="str">
        <x:v>RecordAfterSave</x:v>
      </x:c>
      <x:c r="N637" s="117"/>
      <x:c r="O637" s="117"/>
      <x:c r="P637" s="117" t="str"/>
      <x:c r="Q637" s="117" t="str">
        <x:v>57.0</x:v>
      </x:c>
      <x:c r="R637" s="117" t="str">
        <x:v>unmanaged</x:v>
      </x:c>
      <x:c r="S637" s="118" t="n">
        <x:v>3</x:v>
      </x:c>
      <x:c r="T637" s="118" t="n">
        <x:v>7</x:v>
      </x:c>
      <x:c r="U637" s="118" t="n">
        <x:v>2</x:v>
      </x:c>
      <x:c r="V637" s="118" t="n">
        <x:v>0</x:v>
      </x:c>
      <x:c r="W637" s="118" t="n">
        <x:v>0</x:v>
      </x:c>
      <x:c r="X637" s="118" t="n">
        <x:v>0</x:v>
      </x:c>
      <x:c r="Y637" s="118" t="n">
        <x:v>1</x:v>
      </x:c>
      <x:c r="Z637" s="117" t="str">
        <x:v>Strong</x:v>
      </x:c>
      <x:c r="AA637" s="120" t="n">
        <x:v>45425.83083333333</x:v>
      </x:c>
      <x:c r="AB637" s="117" t="str">
        <x:v>Jace Gentil</x:v>
      </x:c>
      <x:c r="AC637" s="119" t="str"/>
      <x:c r="AD637" s="119" t="str">
        <x:v>Active flow has no description</x:v>
      </x:c>
    </x:row>
    <x:row r="638" ht="34" customHeight="1">
      <x:c r="A638" s="117" t="str">
        <x:v>300Ro00000Pz0kxIAB</x:v>
      </x:c>
      <x:c r="B638" s="117" t="str">
        <x:v>Update_Arrival_Time</x:v>
      </x:c>
      <x:c r="C638" s="117" t="str">
        <x:v>Update Arrival Time</x:v>
      </x:c>
      <x:c r="D638" s="117" t="str">
        <x:v>Yes</x:v>
      </x:c>
      <x:c r="E638" s="118" t="n">
        <x:v>2</x:v>
      </x:c>
      <x:c r="F638" s="118" t="n">
        <x:v>2</x:v>
      </x:c>
      <x:c r="G638" s="117" t="str">
        <x:v>Yes</x:v>
      </x:c>
      <x:c r="H638" s="119" t="str">
        <x:v>Active v2 (Retrieved XML)</x:v>
      </x:c>
      <x:c r="I638" s="117" t="str">
        <x:v>FieldServiceMobile</x:v>
      </x:c>
      <x:c r="J638" s="117" t="str"/>
      <x:c r="K638" s="117" t="str">
        <x:v>No</x:v>
      </x:c>
      <x:c r="L638" s="117" t="str"/>
      <x:c r="M638" s="117" t="str"/>
      <x:c r="N638" s="117"/>
      <x:c r="O638" s="117"/>
      <x:c r="P638" s="117" t="str"/>
      <x:c r="Q638" s="117"/>
      <x:c r="R638" s="117" t="str">
        <x:v>unmanaged</x:v>
      </x:c>
      <x:c r="S638" s="118" t="n">
        <x:v>2</x:v>
      </x:c>
      <x:c r="T638" s="118" t="n">
        <x:v>5</x:v>
      </x:c>
      <x:c r="U638" s="118" t="n">
        <x:v>2</x:v>
      </x:c>
      <x:c r="V638" s="118" t="n">
        <x:v>0</x:v>
      </x:c>
      <x:c r="W638" s="118" t="n">
        <x:v>0</x:v>
      </x:c>
      <x:c r="X638" s="118" t="n">
        <x:v>0</x:v>
      </x:c>
      <x:c r="Y638" s="118" t="n">
        <x:v>1</x:v>
      </x:c>
      <x:c r="Z638" s="117" t="str">
        <x:v>N/A</x:v>
      </x:c>
      <x:c r="AA638" s="120" t="n">
        <x:v>45735.54583333333</x:v>
      </x:c>
      <x:c r="AB638" s="117" t="str">
        <x:v>Delegate</x:v>
      </x:c>
      <x:c r="AC638" s="119" t="str">
        <x:v>03/19/2025 (BW) - Added a node to update the work order with the status that arrival time has been added</x:v>
      </x:c>
      <x:c r="AD638" s="119" t="str"/>
    </x:row>
    <x:row r="639" ht="34" customHeight="1">
      <x:c r="A639" s="117" t="str">
        <x:v>3005b00000113FzAAI</x:v>
      </x:c>
      <x:c r="B639" s="117" t="str">
        <x:v>Update_Asset_to_Finished_Goods_Flow</x:v>
      </x:c>
      <x:c r="C639" s="117" t="str">
        <x:v>Update Asset to Finished Goods Flow</x:v>
      </x:c>
      <x:c r="D639" s="117" t="str">
        <x:v>Yes</x:v>
      </x:c>
      <x:c r="E639" s="118" t="n">
        <x:v>7</x:v>
      </x:c>
      <x:c r="F639" s="118" t="n">
        <x:v>7</x:v>
      </x:c>
      <x:c r="G639" s="117" t="str">
        <x:v>Yes</x:v>
      </x:c>
      <x:c r="H639" s="119" t="str">
        <x:v>Active v7 (Retrieved XML)</x:v>
      </x:c>
      <x:c r="I639" s="117" t="str">
        <x:v>AutoLaunchedFlow</x:v>
      </x:c>
      <x:c r="J639" s="117" t="str">
        <x:v>ProductItem__c</x:v>
      </x:c>
      <x:c r="K639" s="117" t="str">
        <x:v>Yes</x:v>
      </x:c>
      <x:c r="L639" s="117" t="str">
        <x:v>CreateAndUpdate</x:v>
      </x:c>
      <x:c r="M639" s="117" t="str">
        <x:v>RecordAfterSave</x:v>
      </x:c>
      <x:c r="N639" s="117"/>
      <x:c r="O639" s="117"/>
      <x:c r="P639" s="117" t="str"/>
      <x:c r="Q639" s="117" t="str">
        <x:v>58.0</x:v>
      </x:c>
      <x:c r="R639" s="117" t="str">
        <x:v>unmanaged</x:v>
      </x:c>
      <x:c r="S639" s="118" t="n">
        <x:v>7</x:v>
      </x:c>
      <x:c r="T639" s="118" t="n">
        <x:v>7</x:v>
      </x:c>
      <x:c r="U639" s="118" t="n">
        <x:v>2</x:v>
      </x:c>
      <x:c r="V639" s="118" t="n">
        <x:v>0</x:v>
      </x:c>
      <x:c r="W639" s="118" t="n">
        <x:v>0</x:v>
      </x:c>
      <x:c r="X639" s="118" t="n">
        <x:v>0</x:v>
      </x:c>
      <x:c r="Y639" s="118" t="n">
        <x:v>1</x:v>
      </x:c>
      <x:c r="Z639" s="117" t="str">
        <x:v>Strong</x:v>
      </x:c>
      <x:c r="AA639" s="120" t="n">
        <x:v>46084.94931712963</x:v>
      </x:c>
      <x:c r="AB639" s="117" t="str">
        <x:v>Delegate</x:v>
      </x:c>
      <x:c r="AC639" s="119" t="str">
        <x:v>01/07/2025 (BW) - Updated so that this only runs if there is a purchasing opportunity</x:v>
      </x:c>
      <x:c r="AD639" s="119" t="str"/>
    </x:row>
    <x:row r="640" ht="34" customHeight="1">
      <x:c r="A640" s="117" t="str">
        <x:v>300Ro00000kKs8JIAS</x:v>
      </x:c>
      <x:c r="B640" s="117" t="str">
        <x:v>Update_Charge_Amount</x:v>
      </x:c>
      <x:c r="C640" s="117" t="str">
        <x:v>Update Charge Amount</x:v>
      </x:c>
      <x:c r="D640" s="117" t="str">
        <x:v>No</x:v>
      </x:c>
      <x:c r="E640" s="118"/>
      <x:c r="F640" s="118" t="n">
        <x:v>2</x:v>
      </x:c>
      <x:c r="G640" s="117" t="str">
        <x:v>N/A</x:v>
      </x:c>
      <x:c r="H640" s="119" t="str">
        <x:v>Latest inactive v2 (Tooling metadata)</x:v>
      </x:c>
      <x:c r="I640" s="117" t="str">
        <x:v>AutoLaunchedFlow</x:v>
      </x:c>
      <x:c r="J640" s="117" t="str"/>
      <x:c r="K640" s="117" t="str">
        <x:v>No</x:v>
      </x:c>
      <x:c r="L640" s="117" t="str"/>
      <x:c r="M640" s="117" t="str"/>
      <x:c r="N640" s="117"/>
      <x:c r="O640" s="117"/>
      <x:c r="P640" s="117" t="str"/>
      <x:c r="Q640" s="117" t="n">
        <x:v>64</x:v>
      </x:c>
      <x:c r="R640" s="117" t="str">
        <x:v>installed</x:v>
      </x:c>
      <x:c r="S640" s="118" t="n">
        <x:v>2</x:v>
      </x:c>
      <x:c r="T640" s="118" t="n">
        <x:v>0</x:v>
      </x:c>
      <x:c r="U640" s="118" t="n">
        <x:v>0</x:v>
      </x:c>
      <x:c r="V640" s="118" t="n">
        <x:v>0</x:v>
      </x:c>
      <x:c r="W640" s="118" t="n">
        <x:v>0</x:v>
      </x:c>
      <x:c r="X640" s="118" t="n">
        <x:v>0</x:v>
      </x:c>
      <x:c r="Y640" s="118" t="n">
        <x:v>1</x:v>
      </x:c>
      <x:c r="Z640" s="117" t="str">
        <x:v>N/A</x:v>
      </x:c>
      <x:c r="AA640" s="120" t="n">
        <x:v>46085.01673611111</x:v>
      </x:c>
      <x:c r="AB640" s="117" t="str"/>
      <x:c r="AC640" s="119" t="str">
        <x:v>This flow updates the Charge_Amount__c field on ChargentOrder__c records by calculating the difference between the Total__c and Transaction_Total__c fields.</x:v>
      </x:c>
      <x:c r="AD640" s="119" t="str"/>
    </x:row>
    <x:row r="641" ht="34" customHeight="1">
      <x:c r="A641" s="117" t="str">
        <x:v>3004O0000000ZuCQAU</x:v>
      </x:c>
      <x:c r="B641" s="117" t="str">
        <x:v>Update_Chargent_Order</x:v>
      </x:c>
      <x:c r="C641" s="117" t="str">
        <x:v>Update Chargent Order</x:v>
      </x:c>
      <x:c r="D641" s="117" t="str">
        <x:v>Yes</x:v>
      </x:c>
      <x:c r="E641" s="118" t="n">
        <x:v>11</x:v>
      </x:c>
      <x:c r="F641" s="118" t="n">
        <x:v>12</x:v>
      </x:c>
      <x:c r="G641" s="117" t="str">
        <x:v>No</x:v>
      </x:c>
      <x:c r="H641" s="119" t="str">
        <x:v>Active v11 (Tooling metadata)</x:v>
      </x:c>
      <x:c r="I641" s="117" t="str">
        <x:v>Workflow</x:v>
      </x:c>
      <x:c r="J641" s="117" t="str"/>
      <x:c r="K641" s="117" t="str">
        <x:v>No</x:v>
      </x:c>
      <x:c r="L641" s="117" t="str"/>
      <x:c r="M641" s="117" t="str"/>
      <x:c r="N641" s="117"/>
      <x:c r="O641" s="117"/>
      <x:c r="P641" s="117" t="str"/>
      <x:c r="Q641" s="117" t="n">
        <x:v>49</x:v>
      </x:c>
      <x:c r="R641" s="117" t="str">
        <x:v>unmanaged</x:v>
      </x:c>
      <x:c r="S641" s="118" t="n">
        <x:v>12</x:v>
      </x:c>
      <x:c r="T641" s="118" t="n">
        <x:v>3</x:v>
      </x:c>
      <x:c r="U641" s="118" t="n">
        <x:v>2</x:v>
      </x:c>
      <x:c r="V641" s="118" t="n">
        <x:v>0</x:v>
      </x:c>
      <x:c r="W641" s="118" t="n">
        <x:v>0</x:v>
      </x:c>
      <x:c r="X641" s="118" t="n">
        <x:v>0</x:v>
      </x:c>
      <x:c r="Y641" s="118" t="n">
        <x:v>1</x:v>
      </x:c>
      <x:c r="Z641" s="117" t="str">
        <x:v>N/A</x:v>
      </x:c>
      <x:c r="AA641" s="120" t="n">
        <x:v>44078.559525462966</x:v>
      </x:c>
      <x:c r="AB641" s="117" t="str">
        <x:v>Trent VanEmon</x:v>
      </x:c>
      <x:c r="AC641" s="119" t="str"/>
      <x:c r="AD641" s="119" t="str">
        <x:v>Active version differs from latest; Active flow has no description</x:v>
      </x:c>
    </x:row>
    <x:row r="642" ht="34" customHeight="1">
      <x:c r="A642" s="117" t="str">
        <x:v>300Ro00000Pz0kzIAB</x:v>
      </x:c>
      <x:c r="B642" s="117" t="str">
        <x:v>Update_comments</x:v>
      </x:c>
      <x:c r="C642" s="117" t="str">
        <x:v>Update comments</x:v>
      </x:c>
      <x:c r="D642" s="117" t="str">
        <x:v>Yes</x:v>
      </x:c>
      <x:c r="E642" s="118" t="n">
        <x:v>192</x:v>
      </x:c>
      <x:c r="F642" s="118" t="n">
        <x:v>200</x:v>
      </x:c>
      <x:c r="G642" s="117" t="str">
        <x:v>No</x:v>
      </x:c>
      <x:c r="H642" s="119" t="str">
        <x:v>Active v192 (Tooling metadata)</x:v>
      </x:c>
      <x:c r="I642" s="117" t="str">
        <x:v>FieldServiceMobile</x:v>
      </x:c>
      <x:c r="J642" s="117" t="str"/>
      <x:c r="K642" s="117" t="str">
        <x:v>No</x:v>
      </x:c>
      <x:c r="L642" s="117" t="str"/>
      <x:c r="M642" s="117" t="str"/>
      <x:c r="N642" s="117"/>
      <x:c r="O642" s="117"/>
      <x:c r="P642" s="117" t="str"/>
      <x:c r="Q642" s="117"/>
      <x:c r="R642" s="117" t="str">
        <x:v>unmanaged</x:v>
      </x:c>
      <x:c r="S642" s="118" t="n">
        <x:v>45</x:v>
      </x:c>
      <x:c r="T642" s="118" t="n">
        <x:v>230</x:v>
      </x:c>
      <x:c r="U642" s="118" t="n">
        <x:v>12</x:v>
      </x:c>
      <x:c r="V642" s="118" t="n">
        <x:v>1</x:v>
      </x:c>
      <x:c r="W642" s="118" t="n">
        <x:v>0</x:v>
      </x:c>
      <x:c r="X642" s="118" t="n">
        <x:v>0</x:v>
      </x:c>
      <x:c r="Y642" s="118" t="n">
        <x:v>4</x:v>
      </x:c>
      <x:c r="Z642" s="117" t="str">
        <x:v>N/A</x:v>
      </x:c>
      <x:c r="AA642" s="120" t="n">
        <x:v>46258.62869212963</x:v>
      </x:c>
      <x:c r="AB642" s="117" t="str">
        <x:v>Sacha Pearce</x:v>
      </x:c>
      <x:c r="AC642" s="119" t="str">
        <x:v>07/01/2026 - MPB - Had to initialize Customer SR and Block Fields in BOTH work order and service appointment flows</x:v>
      </x:c>
      <x:c r="AD642" s="119" t="str">
        <x:v>Active version differs from latest; High element count; Touches many objects</x:v>
      </x:c>
    </x:row>
    <x:row r="643" ht="34" customHeight="1">
      <x:c r="A643" s="117" t="str">
        <x:v>3005b00000113fYAAQ</x:v>
      </x:c>
      <x:c r="B643" s="117" t="str">
        <x:v>Update_Credit_Memo_Amount_with_Line_Items</x:v>
      </x:c>
      <x:c r="C643" s="117" t="str">
        <x:v>Set Interco Price and Credit Memo Amount for Opportunity Products</x:v>
      </x:c>
      <x:c r="D643" s="117" t="str">
        <x:v>Yes</x:v>
      </x:c>
      <x:c r="E643" s="118" t="n">
        <x:v>20</x:v>
      </x:c>
      <x:c r="F643" s="118" t="n">
        <x:v>20</x:v>
      </x:c>
      <x:c r="G643" s="117" t="str">
        <x:v>Yes</x:v>
      </x:c>
      <x:c r="H643" s="119" t="str">
        <x:v>Active v20 (Retrieved XML)</x:v>
      </x:c>
      <x:c r="I643" s="117" t="str">
        <x:v>AutoLaunchedFlow</x:v>
      </x:c>
      <x:c r="J643" s="117" t="str">
        <x:v>OpportunityLineItem</x:v>
      </x:c>
      <x:c r="K643" s="117" t="str">
        <x:v>Yes</x:v>
      </x:c>
      <x:c r="L643" s="117" t="str">
        <x:v>CreateAndUpdate</x:v>
      </x:c>
      <x:c r="M643" s="117" t="str">
        <x:v>RecordAfterSave</x:v>
      </x:c>
      <x:c r="N643" s="117"/>
      <x:c r="O643" s="117"/>
      <x:c r="P643" s="117" t="str"/>
      <x:c r="Q643" s="117" t="str">
        <x:v>59.0</x:v>
      </x:c>
      <x:c r="R643" s="117" t="str">
        <x:v>unmanaged</x:v>
      </x:c>
      <x:c r="S643" s="118" t="n">
        <x:v>20</x:v>
      </x:c>
      <x:c r="T643" s="118" t="n">
        <x:v>10</x:v>
      </x:c>
      <x:c r="U643" s="118" t="n">
        <x:v>3</x:v>
      </x:c>
      <x:c r="V643" s="118" t="n">
        <x:v>0</x:v>
      </x:c>
      <x:c r="W643" s="118" t="n">
        <x:v>0</x:v>
      </x:c>
      <x:c r="X643" s="118" t="n">
        <x:v>0</x:v>
      </x:c>
      <x:c r="Y643" s="118" t="n">
        <x:v>2</x:v>
      </x:c>
      <x:c r="Z643" s="117" t="str">
        <x:v>Review</x:v>
      </x:c>
      <x:c r="AA643" s="120" t="n">
        <x:v>46246.68997685185</x:v>
      </x:c>
      <x:c r="AB643" s="117" t="str">
        <x:v>Mindy Bender</x:v>
      </x:c>
      <x:c r="AC643" s="119" t="str">
        <x:v>8/12/26 - Updating to take the larger of entered sales price and 15% markup on cost.</x:v>
      </x:c>
      <x:c r="AD643" s="119" t="str"/>
    </x:row>
    <x:row r="644" ht="34" customHeight="1">
      <x:c r="A644" s="117" t="str">
        <x:v>300Ro00000n0l9EIAQ</x:v>
      </x:c>
      <x:c r="B644" s="117" t="str">
        <x:v>Update_Currency_when_Entity_is_Changed</x:v>
      </x:c>
      <x:c r="C644" s="117" t="str">
        <x:v>Update Currency when Entity is Changed</x:v>
      </x:c>
      <x:c r="D644" s="117" t="str">
        <x:v>Yes</x:v>
      </x:c>
      <x:c r="E644" s="118" t="n">
        <x:v>2</x:v>
      </x:c>
      <x:c r="F644" s="118" t="n">
        <x:v>3</x:v>
      </x:c>
      <x:c r="G644" s="117" t="str">
        <x:v>No</x:v>
      </x:c>
      <x:c r="H644" s="119" t="str">
        <x:v>Active v2 (Tooling metadata)</x:v>
      </x:c>
      <x:c r="I644" s="117" t="str">
        <x:v>AutoLaunchedFlow</x:v>
      </x:c>
      <x:c r="J644" s="117" t="str">
        <x:v>Opportunity</x:v>
      </x:c>
      <x:c r="K644" s="117" t="str">
        <x:v>Yes</x:v>
      </x:c>
      <x:c r="L644" s="117" t="str">
        <x:v>Update</x:v>
      </x:c>
      <x:c r="M644" s="117" t="str">
        <x:v>RecordAfterSave</x:v>
      </x:c>
      <x:c r="N644" s="117"/>
      <x:c r="O644" s="117"/>
      <x:c r="P644" s="117" t="str"/>
      <x:c r="Q644" s="117" t="n">
        <x:v>65</x:v>
      </x:c>
      <x:c r="R644" s="117" t="str">
        <x:v>unmanaged</x:v>
      </x:c>
      <x:c r="S644" s="118" t="n">
        <x:v>3</x:v>
      </x:c>
      <x:c r="T644" s="118" t="n">
        <x:v>3</x:v>
      </x:c>
      <x:c r="U644" s="118" t="n">
        <x:v>1</x:v>
      </x:c>
      <x:c r="V644" s="118" t="n">
        <x:v>0</x:v>
      </x:c>
      <x:c r="W644" s="118" t="n">
        <x:v>0</x:v>
      </x:c>
      <x:c r="X644" s="118" t="n">
        <x:v>0</x:v>
      </x:c>
      <x:c r="Y644" s="118" t="n">
        <x:v>1</x:v>
      </x:c>
      <x:c r="Z644" s="117" t="str">
        <x:v>Strong</x:v>
      </x:c>
      <x:c r="AA644" s="120" t="n">
        <x:v>46010.65696759259</x:v>
      </x:c>
      <x:c r="AB644" s="117" t="str">
        <x:v>Delegate</x:v>
      </x:c>
      <x:c r="AC644" s="119" t="str">
        <x:v>12/15/2025 (BW) - When the entity is changed, this automatically updates the currency on the opportunity to align with the new entity. This can be changed afterwards by the user if necessary.</x:v>
      </x:c>
      <x:c r="AD644" s="119" t="str">
        <x:v>Active version differs from latest</x:v>
      </x:c>
    </x:row>
    <x:row r="645" ht="34" customHeight="1">
      <x:c r="A645" s="117" t="str">
        <x:v>300Ro000005ZArIIAW</x:v>
      </x:c>
      <x:c r="B645" s="117" t="str">
        <x:v>Update_Initial_Tech_Support_with_Tech_Completed_Date</x:v>
      </x:c>
      <x:c r="C645" s="117" t="str">
        <x:v>Update Initial Tech Support with Tech Completed Date</x:v>
      </x:c>
      <x:c r="D645" s="117" t="str">
        <x:v>Yes</x:v>
      </x:c>
      <x:c r="E645" s="118" t="n">
        <x:v>1</x:v>
      </x:c>
      <x:c r="F645" s="118" t="n">
        <x:v>1</x:v>
      </x:c>
      <x:c r="G645" s="117" t="str">
        <x:v>Yes</x:v>
      </x:c>
      <x:c r="H645" s="119" t="str">
        <x:v>Active v1 (Retrieved XML)</x:v>
      </x:c>
      <x:c r="I645" s="117" t="str">
        <x:v>AutoLaunchedFlow</x:v>
      </x:c>
      <x:c r="J645" s="117" t="str">
        <x:v>WorkOrder</x:v>
      </x:c>
      <x:c r="K645" s="117" t="str">
        <x:v>Yes</x:v>
      </x:c>
      <x:c r="L645" s="117" t="str">
        <x:v>Update</x:v>
      </x:c>
      <x:c r="M645" s="117" t="str">
        <x:v>RecordBeforeSave</x:v>
      </x:c>
      <x:c r="N645" s="117"/>
      <x:c r="O645" s="117"/>
      <x:c r="P645" s="117" t="str"/>
      <x:c r="Q645" s="117" t="str">
        <x:v>59.0</x:v>
      </x:c>
      <x:c r="R645" s="117" t="str">
        <x:v>unmanaged</x:v>
      </x:c>
      <x:c r="S645" s="118" t="n">
        <x:v>1</x:v>
      </x:c>
      <x:c r="T645" s="118" t="n">
        <x:v>2</x:v>
      </x:c>
      <x:c r="U645" s="118" t="n">
        <x:v>1</x:v>
      </x:c>
      <x:c r="V645" s="118" t="n">
        <x:v>0</x:v>
      </x:c>
      <x:c r="W645" s="118" t="n">
        <x:v>0</x:v>
      </x:c>
      <x:c r="X645" s="118" t="n">
        <x:v>0</x:v>
      </x:c>
      <x:c r="Y645" s="118" t="n">
        <x:v>1</x:v>
      </x:c>
      <x:c r="Z645" s="117" t="str">
        <x:v>Review</x:v>
      </x:c>
      <x:c r="AA645" s="120" t="n">
        <x:v>45314.69493055555</x:v>
      </x:c>
      <x:c r="AB645" s="117" t="str">
        <x:v>Delegate</x:v>
      </x:c>
      <x:c r="AC645" s="119" t="str">
        <x:v>01/23/2024 (BW) - Updates the Initial Tech Support field with the Tech Completed Date</x:v>
      </x:c>
      <x:c r="AD645" s="119" t="str"/>
    </x:row>
    <x:row r="646" ht="34" customHeight="1">
      <x:c r="A646" s="117" t="str">
        <x:v>3004O0000000Zw2QAE</x:v>
      </x:c>
      <x:c r="B646" s="117" t="str">
        <x:v>Update_Invoice_Object</x:v>
      </x:c>
      <x:c r="C646" s="117" t="str">
        <x:v>Update Invoice Object</x:v>
      </x:c>
      <x:c r="D646" s="117" t="str">
        <x:v>No</x:v>
      </x:c>
      <x:c r="E646" s="118"/>
      <x:c r="F646" s="118" t="n">
        <x:v>1</x:v>
      </x:c>
      <x:c r="G646" s="117" t="str">
        <x:v>N/A</x:v>
      </x:c>
      <x:c r="H646" s="119" t="str">
        <x:v>Latest inactive v1 (Retrieved XML)</x:v>
      </x:c>
      <x:c r="I646" s="117" t="str">
        <x:v>Workflow</x:v>
      </x:c>
      <x:c r="J646" s="117" t="str"/>
      <x:c r="K646" s="117" t="str">
        <x:v>No</x:v>
      </x:c>
      <x:c r="L646" s="117" t="str"/>
      <x:c r="M646" s="117" t="str"/>
      <x:c r="N646" s="117"/>
      <x:c r="O646" s="117"/>
      <x:c r="P646" s="117" t="str"/>
      <x:c r="Q646" s="117" t="str">
        <x:v>49.0</x:v>
      </x:c>
      <x:c r="R646" s="117" t="str">
        <x:v>unmanaged</x:v>
      </x:c>
      <x:c r="S646" s="118" t="n">
        <x:v>1</x:v>
      </x:c>
      <x:c r="T646" s="118" t="n">
        <x:v>1</x:v>
      </x:c>
      <x:c r="U646" s="118" t="n">
        <x:v>1</x:v>
      </x:c>
      <x:c r="V646" s="118" t="n">
        <x:v>0</x:v>
      </x:c>
      <x:c r="W646" s="118" t="n">
        <x:v>0</x:v>
      </x:c>
      <x:c r="X646" s="118" t="n">
        <x:v>0</x:v>
      </x:c>
      <x:c r="Y646" s="118" t="n">
        <x:v>1</x:v>
      </x:c>
      <x:c r="Z646" s="117" t="str">
        <x:v>N/A</x:v>
      </x:c>
      <x:c r="AA646" s="120" t="n">
        <x:v>44074.93239583333</x:v>
      </x:c>
      <x:c r="AB646" s="117" t="str">
        <x:v>Trent VanEmon</x:v>
      </x:c>
      <x:c r="AC646" s="119" t="str"/>
      <x:c r="AD646" s="119" t="str"/>
    </x:row>
    <x:row r="647" ht="34" customHeight="1">
      <x:c r="A647" s="117" t="str">
        <x:v>3004O0000000Zw7QAE</x:v>
      </x:c>
      <x:c r="B647" s="117" t="str">
        <x:v>Update_Invoice_with_Payment_Link</x:v>
      </x:c>
      <x:c r="C647" s="117" t="str">
        <x:v>Update Invoice with Payment Link</x:v>
      </x:c>
      <x:c r="D647" s="117" t="str">
        <x:v>No</x:v>
      </x:c>
      <x:c r="E647" s="118"/>
      <x:c r="F647" s="118" t="n">
        <x:v>1</x:v>
      </x:c>
      <x:c r="G647" s="117" t="str">
        <x:v>N/A</x:v>
      </x:c>
      <x:c r="H647" s="119" t="str">
        <x:v>Latest inactive v1 (Retrieved XML)</x:v>
      </x:c>
      <x:c r="I647" s="117" t="str">
        <x:v>Workflow</x:v>
      </x:c>
      <x:c r="J647" s="117" t="str"/>
      <x:c r="K647" s="117" t="str">
        <x:v>No</x:v>
      </x:c>
      <x:c r="L647" s="117" t="str"/>
      <x:c r="M647" s="117" t="str"/>
      <x:c r="N647" s="117"/>
      <x:c r="O647" s="117"/>
      <x:c r="P647" s="117" t="str"/>
      <x:c r="Q647" s="117" t="str">
        <x:v>49.0</x:v>
      </x:c>
      <x:c r="R647" s="117" t="str">
        <x:v>unmanaged</x:v>
      </x:c>
      <x:c r="S647" s="118" t="n">
        <x:v>1</x:v>
      </x:c>
      <x:c r="T647" s="118" t="n">
        <x:v>1</x:v>
      </x:c>
      <x:c r="U647" s="118" t="n">
        <x:v>0</x:v>
      </x:c>
      <x:c r="V647" s="118" t="n">
        <x:v>0</x:v>
      </x:c>
      <x:c r="W647" s="118" t="n">
        <x:v>0</x:v>
      </x:c>
      <x:c r="X647" s="118" t="n">
        <x:v>0</x:v>
      </x:c>
      <x:c r="Y647" s="118" t="n">
        <x:v>1</x:v>
      </x:c>
      <x:c r="Z647" s="117" t="str">
        <x:v>N/A</x:v>
      </x:c>
      <x:c r="AA647" s="120" t="n">
        <x:v>44074.94856481482</x:v>
      </x:c>
      <x:c r="AB647" s="117" t="str">
        <x:v>Trent VanEmon</x:v>
      </x:c>
      <x:c r="AC647" s="119" t="str"/>
      <x:c r="AD647" s="119" t="str"/>
    </x:row>
    <x:row r="648" ht="34" customHeight="1">
      <x:c r="A648" s="117" t="str">
        <x:v>3000B000000kEJ5QAM</x:v>
      </x:c>
      <x:c r="B648" s="117" t="str">
        <x:v>Update_Last_Business_Activity</x:v>
      </x:c>
      <x:c r="C648" s="117" t="str">
        <x:v>Update Last Business Review</x:v>
      </x:c>
      <x:c r="D648" s="117" t="str">
        <x:v>No</x:v>
      </x:c>
      <x:c r="E648" s="118"/>
      <x:c r="F648" s="118" t="n">
        <x:v>4</x:v>
      </x:c>
      <x:c r="G648" s="117" t="str">
        <x:v>N/A</x:v>
      </x:c>
      <x:c r="H648" s="119" t="str">
        <x:v>Latest inactive v4 (Retrieved XML)</x:v>
      </x:c>
      <x:c r="I648" s="117" t="str">
        <x:v>Workflow</x:v>
      </x:c>
      <x:c r="J648" s="117" t="str"/>
      <x:c r="K648" s="117" t="str">
        <x:v>No</x:v>
      </x:c>
      <x:c r="L648" s="117" t="str"/>
      <x:c r="M648" s="117" t="str"/>
      <x:c r="N648" s="117"/>
      <x:c r="O648" s="117"/>
      <x:c r="P648" s="117" t="str"/>
      <x:c r="Q648" s="117" t="str">
        <x:v>49.0</x:v>
      </x:c>
      <x:c r="R648" s="117" t="str">
        <x:v>unmanaged</x:v>
      </x:c>
      <x:c r="S648" s="118" t="n">
        <x:v>4</x:v>
      </x:c>
      <x:c r="T648" s="118" t="n">
        <x:v>3</x:v>
      </x:c>
      <x:c r="U648" s="118" t="n">
        <x:v>2</x:v>
      </x:c>
      <x:c r="V648" s="118" t="n">
        <x:v>0</x:v>
      </x:c>
      <x:c r="W648" s="118" t="n">
        <x:v>0</x:v>
      </x:c>
      <x:c r="X648" s="118" t="n">
        <x:v>0</x:v>
      </x:c>
      <x:c r="Y648" s="118" t="n">
        <x:v>1</x:v>
      </x:c>
      <x:c r="Z648" s="117" t="str">
        <x:v>N/A</x:v>
      </x:c>
      <x:c r="AA648" s="120" t="n">
        <x:v>42717.816712962966</x:v>
      </x:c>
      <x:c r="AB648" s="117" t="str">
        <x:v>QC Admin</x:v>
      </x:c>
      <x:c r="AC648" s="119" t="str">
        <x:v>Update Last Business Review Date</x:v>
      </x:c>
      <x:c r="AD648" s="119" t="str"/>
    </x:row>
    <x:row r="649" ht="34" customHeight="1">
      <x:c r="A649" s="117" t="str">
        <x:v>3000B000000kEJFQA2</x:v>
      </x:c>
      <x:c r="B649" s="117" t="str">
        <x:v>Update_Last_Business_Review</x:v>
      </x:c>
      <x:c r="C649" s="117" t="str">
        <x:v>Update Last Business Review</x:v>
      </x:c>
      <x:c r="D649" s="117" t="str">
        <x:v>No</x:v>
      </x:c>
      <x:c r="E649" s="118"/>
      <x:c r="F649" s="118" t="n">
        <x:v>1</x:v>
      </x:c>
      <x:c r="G649" s="117" t="str">
        <x:v>N/A</x:v>
      </x:c>
      <x:c r="H649" s="119" t="str">
        <x:v>Latest inactive v1 (Retrieved XML)</x:v>
      </x:c>
      <x:c r="I649" s="117" t="str">
        <x:v>Workflow</x:v>
      </x:c>
      <x:c r="J649" s="117" t="str"/>
      <x:c r="K649" s="117" t="str">
        <x:v>No</x:v>
      </x:c>
      <x:c r="L649" s="117" t="str"/>
      <x:c r="M649" s="117" t="str"/>
      <x:c r="N649" s="117"/>
      <x:c r="O649" s="117"/>
      <x:c r="P649" s="117" t="str"/>
      <x:c r="Q649" s="117" t="str">
        <x:v>49.0</x:v>
      </x:c>
      <x:c r="R649" s="117" t="str">
        <x:v>unmanaged</x:v>
      </x:c>
      <x:c r="S649" s="118" t="n">
        <x:v>1</x:v>
      </x:c>
      <x:c r="T649" s="118" t="n">
        <x:v>3</x:v>
      </x:c>
      <x:c r="U649" s="118" t="n">
        <x:v>2</x:v>
      </x:c>
      <x:c r="V649" s="118" t="n">
        <x:v>0</x:v>
      </x:c>
      <x:c r="W649" s="118" t="n">
        <x:v>0</x:v>
      </x:c>
      <x:c r="X649" s="118" t="n">
        <x:v>0</x:v>
      </x:c>
      <x:c r="Y649" s="118" t="n">
        <x:v>1</x:v>
      </x:c>
      <x:c r="Z649" s="117" t="str">
        <x:v>N/A</x:v>
      </x:c>
      <x:c r="AA649" s="120" t="n">
        <x:v>42717.89607638889</x:v>
      </x:c>
      <x:c r="AB649" s="117" t="str">
        <x:v>QC Admin</x:v>
      </x:c>
      <x:c r="AC649" s="119" t="str">
        <x:v>Update Last Business Review Date</x:v>
      </x:c>
      <x:c r="AD649" s="119" t="str"/>
    </x:row>
    <x:row r="650" ht="34" customHeight="1">
      <x:c r="A650" s="117" t="str">
        <x:v>3004O0000000a8mQAA</x:v>
      </x:c>
      <x:c r="B650" s="117" t="str">
        <x:v>Update_Loaner_Asset_Location_when_Shipped</x:v>
      </x:c>
      <x:c r="C650" s="117" t="str">
        <x:v>Update Loaner Asset Location when Shipped</x:v>
      </x:c>
      <x:c r="D650" s="117" t="str">
        <x:v>No</x:v>
      </x:c>
      <x:c r="E650" s="118"/>
      <x:c r="F650" s="118" t="n">
        <x:v>1</x:v>
      </x:c>
      <x:c r="G650" s="117" t="str">
        <x:v>N/A</x:v>
      </x:c>
      <x:c r="H650" s="119" t="str">
        <x:v>Latest inactive v1 (Retrieved XML)</x:v>
      </x:c>
      <x:c r="I650" s="117" t="str">
        <x:v>Workflow</x:v>
      </x:c>
      <x:c r="J650" s="117" t="str"/>
      <x:c r="K650" s="117" t="str">
        <x:v>No</x:v>
      </x:c>
      <x:c r="L650" s="117" t="str"/>
      <x:c r="M650" s="117" t="str"/>
      <x:c r="N650" s="117"/>
      <x:c r="O650" s="117"/>
      <x:c r="P650" s="117" t="str"/>
      <x:c r="Q650" s="117" t="str">
        <x:v>50.0</x:v>
      </x:c>
      <x:c r="R650" s="117" t="str">
        <x:v>unmanaged</x:v>
      </x:c>
      <x:c r="S650" s="118" t="n">
        <x:v>1</x:v>
      </x:c>
      <x:c r="T650" s="118" t="n">
        <x:v>1</x:v>
      </x:c>
      <x:c r="U650" s="118" t="n">
        <x:v>1</x:v>
      </x:c>
      <x:c r="V650" s="118" t="n">
        <x:v>0</x:v>
      </x:c>
      <x:c r="W650" s="118" t="n">
        <x:v>0</x:v>
      </x:c>
      <x:c r="X650" s="118" t="n">
        <x:v>0</x:v>
      </x:c>
      <x:c r="Y650" s="118" t="n">
        <x:v>1</x:v>
      </x:c>
      <x:c r="Z650" s="117" t="str">
        <x:v>N/A</x:v>
      </x:c>
      <x:c r="AA650" s="120" t="n">
        <x:v>44140.84678240741</x:v>
      </x:c>
      <x:c r="AB650" s="117" t="str">
        <x:v>Trent VanEmon</x:v>
      </x:c>
      <x:c r="AC650" s="119" t="str"/>
      <x:c r="AD650" s="119" t="str"/>
    </x:row>
    <x:row r="651" ht="34" customHeight="1">
      <x:c r="A651" s="117" t="str">
        <x:v>3004O0000000a8SQAQ</x:v>
      </x:c>
      <x:c r="B651" s="117" t="str">
        <x:v>Update_Loaner_fields_when_Shipment_Created</x:v>
      </x:c>
      <x:c r="C651" s="117" t="str">
        <x:v>Update Loaner fields when Shipment Created</x:v>
      </x:c>
      <x:c r="D651" s="117" t="str">
        <x:v>No</x:v>
      </x:c>
      <x:c r="E651" s="118"/>
      <x:c r="F651" s="118" t="n">
        <x:v>1</x:v>
      </x:c>
      <x:c r="G651" s="117" t="str">
        <x:v>N/A</x:v>
      </x:c>
      <x:c r="H651" s="119" t="str">
        <x:v>Latest inactive v1 (Retrieved XML)</x:v>
      </x:c>
      <x:c r="I651" s="117" t="str">
        <x:v>Workflow</x:v>
      </x:c>
      <x:c r="J651" s="117" t="str"/>
      <x:c r="K651" s="117" t="str">
        <x:v>No</x:v>
      </x:c>
      <x:c r="L651" s="117" t="str"/>
      <x:c r="M651" s="117" t="str"/>
      <x:c r="N651" s="117"/>
      <x:c r="O651" s="117"/>
      <x:c r="P651" s="117" t="str"/>
      <x:c r="Q651" s="117" t="str">
        <x:v>50.0</x:v>
      </x:c>
      <x:c r="R651" s="117" t="str">
        <x:v>unmanaged</x:v>
      </x:c>
      <x:c r="S651" s="118" t="n">
        <x:v>1</x:v>
      </x:c>
      <x:c r="T651" s="118" t="n">
        <x:v>1</x:v>
      </x:c>
      <x:c r="U651" s="118" t="n">
        <x:v>0</x:v>
      </x:c>
      <x:c r="V651" s="118" t="n">
        <x:v>0</x:v>
      </x:c>
      <x:c r="W651" s="118" t="n">
        <x:v>0</x:v>
      </x:c>
      <x:c r="X651" s="118" t="n">
        <x:v>0</x:v>
      </x:c>
      <x:c r="Y651" s="118" t="n">
        <x:v>1</x:v>
      </x:c>
      <x:c r="Z651" s="117" t="str">
        <x:v>N/A</x:v>
      </x:c>
      <x:c r="AA651" s="120" t="n">
        <x:v>44139.82710648148</x:v>
      </x:c>
      <x:c r="AB651" s="117" t="str">
        <x:v>Trent VanEmon</x:v>
      </x:c>
      <x:c r="AC651" s="119" t="str"/>
      <x:c r="AD651" s="119" t="str"/>
    </x:row>
    <x:row r="652" ht="34" customHeight="1">
      <x:c r="A652" s="117" t="str">
        <x:v>3004O0000000a8XQAQ</x:v>
      </x:c>
      <x:c r="B652" s="117" t="str">
        <x:v>Update_Loaner_when_Shipment_Created</x:v>
      </x:c>
      <x:c r="C652" s="117" t="str">
        <x:v>Update Loaner when Shipment Created</x:v>
      </x:c>
      <x:c r="D652" s="117" t="str">
        <x:v>No</x:v>
      </x:c>
      <x:c r="E652" s="118"/>
      <x:c r="F652" s="118" t="n">
        <x:v>1</x:v>
      </x:c>
      <x:c r="G652" s="117" t="str">
        <x:v>N/A</x:v>
      </x:c>
      <x:c r="H652" s="119" t="str">
        <x:v>Latest inactive v1 (Retrieved XML)</x:v>
      </x:c>
      <x:c r="I652" s="117" t="str">
        <x:v>Workflow</x:v>
      </x:c>
      <x:c r="J652" s="117" t="str"/>
      <x:c r="K652" s="117" t="str">
        <x:v>No</x:v>
      </x:c>
      <x:c r="L652" s="117" t="str"/>
      <x:c r="M652" s="117" t="str"/>
      <x:c r="N652" s="117"/>
      <x:c r="O652" s="117"/>
      <x:c r="P652" s="117" t="str"/>
      <x:c r="Q652" s="117" t="str">
        <x:v>50.0</x:v>
      </x:c>
      <x:c r="R652" s="117" t="str">
        <x:v>unmanaged</x:v>
      </x:c>
      <x:c r="S652" s="118" t="n">
        <x:v>1</x:v>
      </x:c>
      <x:c r="T652" s="118" t="n">
        <x:v>1</x:v>
      </x:c>
      <x:c r="U652" s="118" t="n">
        <x:v>0</x:v>
      </x:c>
      <x:c r="V652" s="118" t="n">
        <x:v>0</x:v>
      </x:c>
      <x:c r="W652" s="118" t="n">
        <x:v>0</x:v>
      </x:c>
      <x:c r="X652" s="118" t="n">
        <x:v>0</x:v>
      </x:c>
      <x:c r="Y652" s="118" t="n">
        <x:v>1</x:v>
      </x:c>
      <x:c r="Z652" s="117" t="str">
        <x:v>N/A</x:v>
      </x:c>
      <x:c r="AA652" s="120" t="n">
        <x:v>44139.83346064815</x:v>
      </x:c>
      <x:c r="AB652" s="117" t="str">
        <x:v>Trent VanEmon</x:v>
      </x:c>
      <x:c r="AC652" s="119" t="str"/>
      <x:c r="AD652" s="119" t="str"/>
    </x:row>
    <x:row r="653" ht="34" customHeight="1">
      <x:c r="A653" s="117" t="str">
        <x:v>3005b000000PyzvAAC</x:v>
      </x:c>
      <x:c r="B653" s="117" t="str">
        <x:v>Update_Move_to_Fixed_Assets_Flow</x:v>
      </x:c>
      <x:c r="C653" s="117" t="str">
        <x:v>Update Move to Fixed Assets Flow</x:v>
      </x:c>
      <x:c r="D653" s="117" t="str">
        <x:v>Yes</x:v>
      </x:c>
      <x:c r="E653" s="118" t="n">
        <x:v>3</x:v>
      </x:c>
      <x:c r="F653" s="118" t="n">
        <x:v>3</x:v>
      </x:c>
      <x:c r="G653" s="117" t="str">
        <x:v>Yes</x:v>
      </x:c>
      <x:c r="H653" s="119" t="str">
        <x:v>Active v3 (Retrieved XML)</x:v>
      </x:c>
      <x:c r="I653" s="117" t="str">
        <x:v>AutoLaunchedFlow</x:v>
      </x:c>
      <x:c r="J653" s="117" t="str">
        <x:v>ProductItem__c</x:v>
      </x:c>
      <x:c r="K653" s="117" t="str">
        <x:v>Yes</x:v>
      </x:c>
      <x:c r="L653" s="117" t="str">
        <x:v>CreateAndUpdate</x:v>
      </x:c>
      <x:c r="M653" s="117" t="str">
        <x:v>RecordAfterSave</x:v>
      </x:c>
      <x:c r="N653" s="117"/>
      <x:c r="O653" s="117"/>
      <x:c r="P653" s="117" t="str"/>
      <x:c r="Q653" s="117" t="str">
        <x:v>57.0</x:v>
      </x:c>
      <x:c r="R653" s="117" t="str">
        <x:v>unmanaged</x:v>
      </x:c>
      <x:c r="S653" s="118" t="n">
        <x:v>3</x:v>
      </x:c>
      <x:c r="T653" s="118" t="n">
        <x:v>5</x:v>
      </x:c>
      <x:c r="U653" s="118" t="n">
        <x:v>1</x:v>
      </x:c>
      <x:c r="V653" s="118" t="n">
        <x:v>0</x:v>
      </x:c>
      <x:c r="W653" s="118" t="n">
        <x:v>0</x:v>
      </x:c>
      <x:c r="X653" s="118" t="n">
        <x:v>0</x:v>
      </x:c>
      <x:c r="Y653" s="118" t="n">
        <x:v>1</x:v>
      </x:c>
      <x:c r="Z653" s="117" t="str">
        <x:v>Strong</x:v>
      </x:c>
      <x:c r="AA653" s="120" t="n">
        <x:v>45030.59056712963</x:v>
      </x:c>
      <x:c r="AB653" s="117" t="str">
        <x:v>Jace Gentil</x:v>
      </x:c>
      <x:c r="AC653" s="119" t="str"/>
      <x:c r="AD653" s="119" t="str">
        <x:v>Active flow has no description</x:v>
      </x:c>
    </x:row>
    <x:row r="654" ht="34" customHeight="1">
      <x:c r="A654" s="117" t="str">
        <x:v>300Ro00000mqjYXIAY</x:v>
      </x:c>
      <x:c r="B654" s="117" t="str">
        <x:v>Update_Need_Quote_Lines_to_Part_Quoted</x:v>
      </x:c>
      <x:c r="C654" s="117" t="str">
        <x:v>Send Alerts to Engineers and Operations upon Status Changes</x:v>
      </x:c>
      <x:c r="D654" s="117" t="str">
        <x:v>Yes</x:v>
      </x:c>
      <x:c r="E654" s="118" t="n">
        <x:v>21</x:v>
      </x:c>
      <x:c r="F654" s="118" t="n">
        <x:v>21</x:v>
      </x:c>
      <x:c r="G654" s="117" t="str">
        <x:v>Yes</x:v>
      </x:c>
      <x:c r="H654" s="119" t="str">
        <x:v>Active v21 (Retrieved XML)</x:v>
      </x:c>
      <x:c r="I654" s="117" t="str">
        <x:v>AutoLaunchedFlow</x:v>
      </x:c>
      <x:c r="J654" s="117" t="str">
        <x:v>WorkOrder</x:v>
      </x:c>
      <x:c r="K654" s="117" t="str">
        <x:v>Yes</x:v>
      </x:c>
      <x:c r="L654" s="117" t="str">
        <x:v>Update</x:v>
      </x:c>
      <x:c r="M654" s="117" t="str">
        <x:v>RecordAfterSave</x:v>
      </x:c>
      <x:c r="N654" s="117"/>
      <x:c r="O654" s="117"/>
      <x:c r="P654" s="117" t="str"/>
      <x:c r="Q654" s="117" t="str">
        <x:v>65.0</x:v>
      </x:c>
      <x:c r="R654" s="117" t="str">
        <x:v>unmanaged</x:v>
      </x:c>
      <x:c r="S654" s="118" t="n">
        <x:v>21</x:v>
      </x:c>
      <x:c r="T654" s="118" t="n">
        <x:v>29</x:v>
      </x:c>
      <x:c r="U654" s="118" t="n">
        <x:v>3</x:v>
      </x:c>
      <x:c r="V654" s="118" t="n">
        <x:v>0</x:v>
      </x:c>
      <x:c r="W654" s="118" t="n">
        <x:v>12</x:v>
      </x:c>
      <x:c r="X654" s="118" t="n">
        <x:v>0</x:v>
      </x:c>
      <x:c r="Y654" s="118" t="n">
        <x:v>4</x:v>
      </x:c>
      <x:c r="Z654" s="117" t="str">
        <x:v>Strong</x:v>
      </x:c>
      <x:c r="AA654" s="120" t="n">
        <x:v>46174.78396990741</x:v>
      </x:c>
      <x:c r="AB654" s="117" t="str">
        <x:v>Delegate</x:v>
      </x:c>
      <x:c r="AC654" s="119" t="str">
        <x:v>06/01/26 (BW) – Added Re-Generate FSR mobile notification to engineer WO owner when status changes to Re-Generate FSR</x:v>
      </x:c>
      <x:c r="AD654" s="119" t="str"/>
    </x:row>
    <x:row r="655" ht="34" customHeight="1">
      <x:c r="A655" s="117" t="str">
        <x:v>3005b000000Pz8JAAS</x:v>
      </x:c>
      <x:c r="B655" s="117" t="str">
        <x:v>Update_Opportunity_With_Lead_Gen_Info</x:v>
      </x:c>
      <x:c r="C655" s="117" t="str">
        <x:v>Update Opportunity With Lead Gen Info</x:v>
      </x:c>
      <x:c r="D655" s="117" t="str">
        <x:v>Yes</x:v>
      </x:c>
      <x:c r="E655" s="118" t="n">
        <x:v>6</x:v>
      </x:c>
      <x:c r="F655" s="118" t="n">
        <x:v>6</x:v>
      </x:c>
      <x:c r="G655" s="117" t="str">
        <x:v>Yes</x:v>
      </x:c>
      <x:c r="H655" s="119" t="str">
        <x:v>Active v6 (Retrieved XML)</x:v>
      </x:c>
      <x:c r="I655" s="117" t="str">
        <x:v>AutoLaunchedFlow</x:v>
      </x:c>
      <x:c r="J655" s="117" t="str">
        <x:v>Opportunity</x:v>
      </x:c>
      <x:c r="K655" s="117" t="str">
        <x:v>Yes</x:v>
      </x:c>
      <x:c r="L655" s="117" t="str">
        <x:v>Update</x:v>
      </x:c>
      <x:c r="M655" s="117" t="str">
        <x:v>RecordAfterSave</x:v>
      </x:c>
      <x:c r="N655" s="117"/>
      <x:c r="O655" s="117"/>
      <x:c r="P655" s="117" t="str"/>
      <x:c r="Q655" s="117" t="str">
        <x:v>57.0</x:v>
      </x:c>
      <x:c r="R655" s="117" t="str">
        <x:v>unmanaged</x:v>
      </x:c>
      <x:c r="S655" s="118" t="n">
        <x:v>6</x:v>
      </x:c>
      <x:c r="T655" s="118" t="n">
        <x:v>6</x:v>
      </x:c>
      <x:c r="U655" s="118" t="n">
        <x:v>2</x:v>
      </x:c>
      <x:c r="V655" s="118" t="n">
        <x:v>0</x:v>
      </x:c>
      <x:c r="W655" s="118" t="n">
        <x:v>0</x:v>
      </x:c>
      <x:c r="X655" s="118" t="n">
        <x:v>0</x:v>
      </x:c>
      <x:c r="Y655" s="118" t="n">
        <x:v>1</x:v>
      </x:c>
      <x:c r="Z655" s="117" t="str">
        <x:v>Strong</x:v>
      </x:c>
      <x:c r="AA655" s="120" t="n">
        <x:v>45145.53942129629</x:v>
      </x:c>
      <x:c r="AB655" s="117" t="str">
        <x:v>Delegate</x:v>
      </x:c>
      <x:c r="AC655" s="119" t="str">
        <x:v>Added asynchronous path</x:v>
      </x:c>
      <x:c r="AD655" s="119" t="str"/>
    </x:row>
    <x:row r="656" ht="34" customHeight="1">
      <x:c r="A656" s="117" t="str">
        <x:v>3004O0000000ZuGQAU</x:v>
      </x:c>
      <x:c r="B656" s="117" t="str">
        <x:v>Update_Payment_Request</x:v>
      </x:c>
      <x:c r="C656" s="117" t="str">
        <x:v>Update Payment Request</x:v>
      </x:c>
      <x:c r="D656" s="117" t="str">
        <x:v>Yes</x:v>
      </x:c>
      <x:c r="E656" s="118" t="n">
        <x:v>13</x:v>
      </x:c>
      <x:c r="F656" s="118" t="n">
        <x:v>13</x:v>
      </x:c>
      <x:c r="G656" s="117" t="str">
        <x:v>Yes</x:v>
      </x:c>
      <x:c r="H656" s="119" t="str">
        <x:v>Active v13 (Retrieved XML)</x:v>
      </x:c>
      <x:c r="I656" s="117" t="str">
        <x:v>Workflow</x:v>
      </x:c>
      <x:c r="J656" s="117" t="str"/>
      <x:c r="K656" s="117" t="str">
        <x:v>No</x:v>
      </x:c>
      <x:c r="L656" s="117" t="str"/>
      <x:c r="M656" s="117" t="str"/>
      <x:c r="N656" s="117"/>
      <x:c r="O656" s="117"/>
      <x:c r="P656" s="117" t="str"/>
      <x:c r="Q656" s="117" t="str">
        <x:v>49.0</x:v>
      </x:c>
      <x:c r="R656" s="117" t="str">
        <x:v>unmanaged</x:v>
      </x:c>
      <x:c r="S656" s="118" t="n">
        <x:v>13</x:v>
      </x:c>
      <x:c r="T656" s="118" t="n">
        <x:v>3</x:v>
      </x:c>
      <x:c r="U656" s="118" t="n">
        <x:v>2</x:v>
      </x:c>
      <x:c r="V656" s="118" t="n">
        <x:v>0</x:v>
      </x:c>
      <x:c r="W656" s="118" t="n">
        <x:v>0</x:v>
      </x:c>
      <x:c r="X656" s="118" t="n">
        <x:v>0</x:v>
      </x:c>
      <x:c r="Y656" s="118" t="n">
        <x:v>1</x:v>
      </x:c>
      <x:c r="Z656" s="117" t="str">
        <x:v>N/A</x:v>
      </x:c>
      <x:c r="AA656" s="120" t="n">
        <x:v>44228.83592592592</x:v>
      </x:c>
      <x:c r="AB656" s="117" t="str">
        <x:v>Delegate</x:v>
      </x:c>
      <x:c r="AC656" s="119" t="str"/>
      <x:c r="AD656" s="119" t="str">
        <x:v>Active flow has no description</x:v>
      </x:c>
    </x:row>
    <x:row r="657" ht="34" customHeight="1">
      <x:c r="A657" s="117" t="str">
        <x:v>3005b000000H1lwAAC</x:v>
      </x:c>
      <x:c r="B657" s="117" t="str">
        <x:v>Update_Physical_Location_on_Products_from_Invoice</x:v>
      </x:c>
      <x:c r="C657" s="117" t="str">
        <x:v>Update Physical Location on Products from Invoice</x:v>
      </x:c>
      <x:c r="D657" s="117" t="str">
        <x:v>Yes</x:v>
      </x:c>
      <x:c r="E657" s="118" t="n">
        <x:v>3</x:v>
      </x:c>
      <x:c r="F657" s="118" t="n">
        <x:v>3</x:v>
      </x:c>
      <x:c r="G657" s="117" t="str">
        <x:v>Yes</x:v>
      </x:c>
      <x:c r="H657" s="119" t="str">
        <x:v>Active v3 (Retrieved XML)</x:v>
      </x:c>
      <x:c r="I657" s="117" t="str">
        <x:v>AutoLaunchedFlow</x:v>
      </x:c>
      <x:c r="J657" s="117" t="str"/>
      <x:c r="K657" s="117" t="str">
        <x:v>No</x:v>
      </x:c>
      <x:c r="L657" s="117" t="str"/>
      <x:c r="M657" s="117" t="str"/>
      <x:c r="N657" s="117"/>
      <x:c r="O657" s="117"/>
      <x:c r="P657" s="117" t="str"/>
      <x:c r="Q657" s="117" t="str">
        <x:v>52.0</x:v>
      </x:c>
      <x:c r="R657" s="117" t="str">
        <x:v>unmanaged</x:v>
      </x:c>
      <x:c r="S657" s="118" t="n">
        <x:v>3</x:v>
      </x:c>
      <x:c r="T657" s="118" t="n">
        <x:v>7</x:v>
      </x:c>
      <x:c r="U657" s="118" t="n">
        <x:v>2</x:v>
      </x:c>
      <x:c r="V657" s="118" t="n">
        <x:v>0</x:v>
      </x:c>
      <x:c r="W657" s="118" t="n">
        <x:v>0</x:v>
      </x:c>
      <x:c r="X657" s="118" t="n">
        <x:v>0</x:v>
      </x:c>
      <x:c r="Y657" s="118" t="n">
        <x:v>1</x:v>
      </x:c>
      <x:c r="Z657" s="117" t="str">
        <x:v>N/A</x:v>
      </x:c>
      <x:c r="AA657" s="120" t="n">
        <x:v>44543.564421296294</x:v>
      </x:c>
      <x:c r="AB657" s="117" t="str">
        <x:v>Delegate</x:v>
      </x:c>
      <x:c r="AC657" s="119" t="str"/>
      <x:c r="AD657" s="119" t="str">
        <x:v>Active flow has no description</x:v>
      </x:c>
    </x:row>
    <x:row r="658" ht="34" customHeight="1">
      <x:c r="A658" s="117" t="str">
        <x:v>3004O000000LOrBQAW</x:v>
      </x:c>
      <x:c r="B658" s="117" t="str">
        <x:v>Update_PO_Bill</x:v>
      </x:c>
      <x:c r="C658" s="117" t="str">
        <x:v>Update PO Bill</x:v>
      </x:c>
      <x:c r="D658" s="117" t="str">
        <x:v>No</x:v>
      </x:c>
      <x:c r="E658" s="118"/>
      <x:c r="F658" s="118" t="n">
        <x:v>2</x:v>
      </x:c>
      <x:c r="G658" s="117" t="str">
        <x:v>N/A</x:v>
      </x:c>
      <x:c r="H658" s="119" t="str">
        <x:v>Latest inactive v2 (Retrieved XML)</x:v>
      </x:c>
      <x:c r="I658" s="117" t="str">
        <x:v>Workflow</x:v>
      </x:c>
      <x:c r="J658" s="117" t="str"/>
      <x:c r="K658" s="117" t="str">
        <x:v>No</x:v>
      </x:c>
      <x:c r="L658" s="117" t="str"/>
      <x:c r="M658" s="117" t="str"/>
      <x:c r="N658" s="117"/>
      <x:c r="O658" s="117"/>
      <x:c r="P658" s="117" t="str"/>
      <x:c r="Q658" s="117" t="str">
        <x:v>50.0</x:v>
      </x:c>
      <x:c r="R658" s="117" t="str">
        <x:v>unmanaged</x:v>
      </x:c>
      <x:c r="S658" s="118" t="n">
        <x:v>2</x:v>
      </x:c>
      <x:c r="T658" s="118" t="n">
        <x:v>3</x:v>
      </x:c>
      <x:c r="U658" s="118" t="n">
        <x:v>2</x:v>
      </x:c>
      <x:c r="V658" s="118" t="n">
        <x:v>0</x:v>
      </x:c>
      <x:c r="W658" s="118" t="n">
        <x:v>0</x:v>
      </x:c>
      <x:c r="X658" s="118" t="n">
        <x:v>0</x:v>
      </x:c>
      <x:c r="Y658" s="118" t="n">
        <x:v>1</x:v>
      </x:c>
      <x:c r="Z658" s="117" t="str">
        <x:v>N/A</x:v>
      </x:c>
      <x:c r="AA658" s="120" t="n">
        <x:v>44915.655277777776</x:v>
      </x:c>
      <x:c r="AB658" s="117" t="str">
        <x:v>Delegate</x:v>
      </x:c>
      <x:c r="AC658" s="119" t="str"/>
      <x:c r="AD658" s="119" t="str"/>
    </x:row>
    <x:row r="659" ht="34" customHeight="1">
      <x:c r="A659" s="117" t="str">
        <x:v>3004O000000LOrCQAW</x:v>
      </x:c>
      <x:c r="B659" s="117" t="str">
        <x:v>Update_Product_Item_on_Opp_Product</x:v>
      </x:c>
      <x:c r="C659" s="117" t="str">
        <x:v>Update Product Item on Opp Product</x:v>
      </x:c>
      <x:c r="D659" s="117" t="str">
        <x:v>No</x:v>
      </x:c>
      <x:c r="E659" s="118"/>
      <x:c r="F659" s="118" t="n">
        <x:v>2</x:v>
      </x:c>
      <x:c r="G659" s="117" t="str">
        <x:v>N/A</x:v>
      </x:c>
      <x:c r="H659" s="119" t="str">
        <x:v>Latest inactive v2 (Retrieved XML)</x:v>
      </x:c>
      <x:c r="I659" s="117" t="str">
        <x:v>Workflow</x:v>
      </x:c>
      <x:c r="J659" s="117" t="str"/>
      <x:c r="K659" s="117" t="str">
        <x:v>No</x:v>
      </x:c>
      <x:c r="L659" s="117" t="str"/>
      <x:c r="M659" s="117" t="str"/>
      <x:c r="N659" s="117"/>
      <x:c r="O659" s="117"/>
      <x:c r="P659" s="117" t="str"/>
      <x:c r="Q659" s="117" t="str">
        <x:v>50.0</x:v>
      </x:c>
      <x:c r="R659" s="117" t="str">
        <x:v>unmanaged</x:v>
      </x:c>
      <x:c r="S659" s="118" t="n">
        <x:v>2</x:v>
      </x:c>
      <x:c r="T659" s="118" t="n">
        <x:v>2</x:v>
      </x:c>
      <x:c r="U659" s="118" t="n">
        <x:v>2</x:v>
      </x:c>
      <x:c r="V659" s="118" t="n">
        <x:v>0</x:v>
      </x:c>
      <x:c r="W659" s="118" t="n">
        <x:v>0</x:v>
      </x:c>
      <x:c r="X659" s="118" t="n">
        <x:v>0</x:v>
      </x:c>
      <x:c r="Y659" s="118" t="n">
        <x:v>1</x:v>
      </x:c>
      <x:c r="Z659" s="117" t="str">
        <x:v>N/A</x:v>
      </x:c>
      <x:c r="AA659" s="120" t="n">
        <x:v>44260.174409722225</x:v>
      </x:c>
      <x:c r="AB659" s="117" t="str">
        <x:v>Delegate</x:v>
      </x:c>
      <x:c r="AC659" s="119" t="str"/>
      <x:c r="AD659" s="119" t="str"/>
    </x:row>
    <x:row r="660" ht="34" customHeight="1">
      <x:c r="A660" s="117" t="str">
        <x:v>3000B000000kEOyQAM</x:v>
      </x:c>
      <x:c r="B660" s="117" t="str">
        <x:v>Update_Purchasing_Approved</x:v>
      </x:c>
      <x:c r="C660" s="117" t="str">
        <x:v>Update Purchasing Approved</x:v>
      </x:c>
      <x:c r="D660" s="117" t="str">
        <x:v>No</x:v>
      </x:c>
      <x:c r="E660" s="118"/>
      <x:c r="F660" s="118" t="n">
        <x:v>5</x:v>
      </x:c>
      <x:c r="G660" s="117" t="str">
        <x:v>N/A</x:v>
      </x:c>
      <x:c r="H660" s="119" t="str">
        <x:v>Latest inactive v5 (Retrieved XML)</x:v>
      </x:c>
      <x:c r="I660" s="117" t="str">
        <x:v>Workflow</x:v>
      </x:c>
      <x:c r="J660" s="117" t="str"/>
      <x:c r="K660" s="117" t="str">
        <x:v>No</x:v>
      </x:c>
      <x:c r="L660" s="117" t="str"/>
      <x:c r="M660" s="117" t="str"/>
      <x:c r="N660" s="117"/>
      <x:c r="O660" s="117"/>
      <x:c r="P660" s="117" t="str"/>
      <x:c r="Q660" s="117" t="str">
        <x:v>49.0</x:v>
      </x:c>
      <x:c r="R660" s="117" t="str">
        <x:v>unmanaged</x:v>
      </x:c>
      <x:c r="S660" s="118" t="n">
        <x:v>5</x:v>
      </x:c>
      <x:c r="T660" s="118" t="n">
        <x:v>4</x:v>
      </x:c>
      <x:c r="U660" s="118" t="n">
        <x:v>2</x:v>
      </x:c>
      <x:c r="V660" s="118" t="n">
        <x:v>0</x:v>
      </x:c>
      <x:c r="W660" s="118" t="n">
        <x:v>0</x:v>
      </x:c>
      <x:c r="X660" s="118" t="n">
        <x:v>0</x:v>
      </x:c>
      <x:c r="Y660" s="118" t="n">
        <x:v>1</x:v>
      </x:c>
      <x:c r="Z660" s="117" t="str">
        <x:v>N/A</x:v>
      </x:c>
      <x:c r="AA660" s="120" t="n">
        <x:v>43619.87255787037</x:v>
      </x:c>
      <x:c r="AB660" s="117" t="str">
        <x:v>Jim Bartek</x:v>
      </x:c>
      <x:c r="AC660" s="119" t="str">
        <x:v>Update Purchasing Approved in Opportunity Product</x:v>
      </x:c>
      <x:c r="AD660" s="119" t="str"/>
    </x:row>
    <x:row r="661" ht="34" customHeight="1">
      <x:c r="A661" s="117" t="str">
        <x:v>300Ro00000Q53PoIAJ</x:v>
      </x:c>
      <x:c r="B661" s="117" t="str">
        <x:v>Update_SA_Owner_to_Assigned_Resource</x:v>
      </x:c>
      <x:c r="C661" s="117" t="str">
        <x:v>Update SA Owner to Assigned Resource</x:v>
      </x:c>
      <x:c r="D661" s="117" t="str">
        <x:v>Yes</x:v>
      </x:c>
      <x:c r="E661" s="118" t="n">
        <x:v>7</x:v>
      </x:c>
      <x:c r="F661" s="118" t="n">
        <x:v>8</x:v>
      </x:c>
      <x:c r="G661" s="117" t="str">
        <x:v>No</x:v>
      </x:c>
      <x:c r="H661" s="119" t="str">
        <x:v>Active v7 (Tooling metadata)</x:v>
      </x:c>
      <x:c r="I661" s="117" t="str">
        <x:v>AutoLaunchedFlow</x:v>
      </x:c>
      <x:c r="J661" s="117" t="str">
        <x:v>AssignedResource</x:v>
      </x:c>
      <x:c r="K661" s="117" t="str">
        <x:v>Yes</x:v>
      </x:c>
      <x:c r="L661" s="117" t="str">
        <x:v>CreateAndUpdate</x:v>
      </x:c>
      <x:c r="M661" s="117" t="str">
        <x:v>RecordAfterSave</x:v>
      </x:c>
      <x:c r="N661" s="117"/>
      <x:c r="O661" s="117"/>
      <x:c r="P661" s="117" t="str"/>
      <x:c r="Q661" s="117" t="n">
        <x:v>62</x:v>
      </x:c>
      <x:c r="R661" s="117" t="str">
        <x:v>unmanaged</x:v>
      </x:c>
      <x:c r="S661" s="118" t="n">
        <x:v>8</x:v>
      </x:c>
      <x:c r="T661" s="118" t="n">
        <x:v>3</x:v>
      </x:c>
      <x:c r="U661" s="118" t="n">
        <x:v>1</x:v>
      </x:c>
      <x:c r="V661" s="118" t="n">
        <x:v>0</x:v>
      </x:c>
      <x:c r="W661" s="118" t="n">
        <x:v>0</x:v>
      </x:c>
      <x:c r="X661" s="118" t="n">
        <x:v>0</x:v>
      </x:c>
      <x:c r="Y661" s="118" t="n">
        <x:v>1</x:v>
      </x:c>
      <x:c r="Z661" s="117" t="str">
        <x:v>Review</x:v>
      </x:c>
      <x:c r="AA661" s="120" t="n">
        <x:v>46000.60576388889</x:v>
      </x:c>
      <x:c r="AB661" s="117" t="str">
        <x:v>Delegate</x:v>
      </x:c>
      <x:c r="AC661" s="119" t="str">
        <x:v>12/09/2025 (KL) - Updated this flow so that it updates the service resource properly on the service resource slot in the dispatch console - Updates for service crew</x:v>
      </x:c>
      <x:c r="AD661" s="119" t="str">
        <x:v>Active version differs from latest</x:v>
      </x:c>
    </x:row>
    <x:row r="662" ht="34" customHeight="1">
      <x:c r="A662" s="117" t="str">
        <x:v>3005b000000LGl6AAG</x:v>
      </x:c>
      <x:c r="B662" s="117" t="str">
        <x:v>Update_Sales_Opportunity_on_Closed_won</x:v>
      </x:c>
      <x:c r="C662" s="117" t="str">
        <x:v>Update Sales Opportunity on Closed Won</x:v>
      </x:c>
      <x:c r="D662" s="117" t="str">
        <x:v>No</x:v>
      </x:c>
      <x:c r="E662" s="118"/>
      <x:c r="F662" s="118" t="n">
        <x:v>2</x:v>
      </x:c>
      <x:c r="G662" s="117" t="str">
        <x:v>N/A</x:v>
      </x:c>
      <x:c r="H662" s="119" t="str">
        <x:v>Latest inactive v2 (Retrieved XML)</x:v>
      </x:c>
      <x:c r="I662" s="117" t="str">
        <x:v>AutoLaunchedFlow</x:v>
      </x:c>
      <x:c r="J662" s="117" t="str">
        <x:v>Opportunity</x:v>
      </x:c>
      <x:c r="K662" s="117" t="str">
        <x:v>No</x:v>
      </x:c>
      <x:c r="L662" s="117" t="str">
        <x:v>Update</x:v>
      </x:c>
      <x:c r="M662" s="117" t="str">
        <x:v>RecordAfterSave</x:v>
      </x:c>
      <x:c r="N662" s="117"/>
      <x:c r="O662" s="117"/>
      <x:c r="P662" s="117" t="str"/>
      <x:c r="Q662" s="117" t="str">
        <x:v>56.0</x:v>
      </x:c>
      <x:c r="R662" s="117" t="str">
        <x:v>unmanaged</x:v>
      </x:c>
      <x:c r="S662" s="118" t="n">
        <x:v>2</x:v>
      </x:c>
      <x:c r="T662" s="118" t="n">
        <x:v>2</x:v>
      </x:c>
      <x:c r="U662" s="118" t="n">
        <x:v>1</x:v>
      </x:c>
      <x:c r="V662" s="118" t="n">
        <x:v>0</x:v>
      </x:c>
      <x:c r="W662" s="118" t="n">
        <x:v>0</x:v>
      </x:c>
      <x:c r="X662" s="118" t="n">
        <x:v>0</x:v>
      </x:c>
      <x:c r="Y662" s="118" t="n">
        <x:v>1</x:v>
      </x:c>
      <x:c r="Z662" s="117" t="str">
        <x:v>N/A</x:v>
      </x:c>
      <x:c r="AA662" s="120" t="n">
        <x:v>45008.84722222222</x:v>
      </x:c>
      <x:c r="AB662" s="117" t="str">
        <x:v>Jace Gentil</x:v>
      </x:c>
      <x:c r="AC662" s="119" t="str"/>
      <x:c r="AD662" s="119" t="str"/>
    </x:row>
    <x:row r="663" ht="34" customHeight="1">
      <x:c r="A663" s="117" t="str">
        <x:v>300Ro00000Pz0kyIAB</x:v>
      </x:c>
      <x:c r="B663" s="117" t="str">
        <x:v>Update_Service_Appointment_Location</x:v>
      </x:c>
      <x:c r="C663" s="117" t="str">
        <x:v>Update Service Appointment Location</x:v>
      </x:c>
      <x:c r="D663" s="117" t="str">
        <x:v>No</x:v>
      </x:c>
      <x:c r="E663" s="118"/>
      <x:c r="F663" s="118" t="n">
        <x:v>1</x:v>
      </x:c>
      <x:c r="G663" s="117" t="str">
        <x:v>N/A</x:v>
      </x:c>
      <x:c r="H663" s="119" t="str">
        <x:v>Latest inactive v1 (Retrieved XML)</x:v>
      </x:c>
      <x:c r="I663" s="117" t="str">
        <x:v>AutoLaunchedFlow</x:v>
      </x:c>
      <x:c r="J663" s="117" t="str">
        <x:v>ServiceAppointment</x:v>
      </x:c>
      <x:c r="K663" s="117" t="str">
        <x:v>No</x:v>
      </x:c>
      <x:c r="L663" s="117" t="str">
        <x:v>CreateAndUpdate</x:v>
      </x:c>
      <x:c r="M663" s="117" t="str">
        <x:v>RecordAfterSave</x:v>
      </x:c>
      <x:c r="N663" s="117"/>
      <x:c r="O663" s="117"/>
      <x:c r="P663" s="117" t="str"/>
      <x:c r="Q663" s="117" t="str">
        <x:v>62.0</x:v>
      </x:c>
      <x:c r="R663" s="117" t="str">
        <x:v>unmanaged</x:v>
      </x:c>
      <x:c r="S663" s="118" t="n">
        <x:v>1</x:v>
      </x:c>
      <x:c r="T663" s="118" t="n">
        <x:v>3</x:v>
      </x:c>
      <x:c r="U663" s="118" t="n">
        <x:v>2</x:v>
      </x:c>
      <x:c r="V663" s="118" t="n">
        <x:v>0</x:v>
      </x:c>
      <x:c r="W663" s="118" t="n">
        <x:v>0</x:v>
      </x:c>
      <x:c r="X663" s="118" t="n">
        <x:v>0</x:v>
      </x:c>
      <x:c r="Y663" s="118" t="n">
        <x:v>1</x:v>
      </x:c>
      <x:c r="Z663" s="117" t="str">
        <x:v>N/A</x:v>
      </x:c>
      <x:c r="AA663" s="120" t="n">
        <x:v>45680.21693287037</x:v>
      </x:c>
      <x:c r="AB663" s="117" t="str">
        <x:v>Delegate</x:v>
      </x:c>
      <x:c r="AC663" s="119" t="str"/>
      <x:c r="AD663" s="119" t="str"/>
    </x:row>
    <x:row r="664" ht="34" customHeight="1">
      <x:c r="A664" s="117" t="str">
        <x:v>300Ro00000Rgy0IIAR</x:v>
      </x:c>
      <x:c r="B664" s="117" t="str">
        <x:v>Update_Service_Appointment_to_Pending_Quotation</x:v>
      </x:c>
      <x:c r="C664" s="117" t="str">
        <x:v>Update Service Appointment to Pending Quotation</x:v>
      </x:c>
      <x:c r="D664" s="117" t="str">
        <x:v>No</x:v>
      </x:c>
      <x:c r="E664" s="118"/>
      <x:c r="F664" s="118" t="n">
        <x:v>1</x:v>
      </x:c>
      <x:c r="G664" s="117" t="str">
        <x:v>N/A</x:v>
      </x:c>
      <x:c r="H664" s="119" t="str">
        <x:v>Latest inactive v1 (Retrieved XML)</x:v>
      </x:c>
      <x:c r="I664" s="117" t="str">
        <x:v>AutoLaunchedFlow</x:v>
      </x:c>
      <x:c r="J664" s="117" t="str">
        <x:v>Pricing_Request__c</x:v>
      </x:c>
      <x:c r="K664" s="117" t="str">
        <x:v>No</x:v>
      </x:c>
      <x:c r="L664" s="117" t="str">
        <x:v>Create</x:v>
      </x:c>
      <x:c r="M664" s="117" t="str">
        <x:v>RecordAfterSave</x:v>
      </x:c>
      <x:c r="N664" s="117"/>
      <x:c r="O664" s="117"/>
      <x:c r="P664" s="117" t="str"/>
      <x:c r="Q664" s="117" t="str">
        <x:v>63.0</x:v>
      </x:c>
      <x:c r="R664" s="117" t="str">
        <x:v>unmanaged</x:v>
      </x:c>
      <x:c r="S664" s="118" t="n">
        <x:v>1</x:v>
      </x:c>
      <x:c r="T664" s="118" t="n">
        <x:v>2</x:v>
      </x:c>
      <x:c r="U664" s="118" t="n">
        <x:v>2</x:v>
      </x:c>
      <x:c r="V664" s="118" t="n">
        <x:v>0</x:v>
      </x:c>
      <x:c r="W664" s="118" t="n">
        <x:v>0</x:v>
      </x:c>
      <x:c r="X664" s="118" t="n">
        <x:v>0</x:v>
      </x:c>
      <x:c r="Y664" s="118" t="n">
        <x:v>1</x:v>
      </x:c>
      <x:c r="Z664" s="117" t="str">
        <x:v>N/A</x:v>
      </x:c>
      <x:c r="AA664" s="120" t="n">
        <x:v>45712.48819444444</x:v>
      </x:c>
      <x:c r="AB664" s="117" t="str">
        <x:v>Delegate</x:v>
      </x:c>
      <x:c r="AC664" s="119" t="str">
        <x:v>02/24/2025 (BW) - Updates the service appointment to pending quotation</x:v>
      </x:c>
      <x:c r="AD664" s="119" t="str"/>
    </x:row>
    <x:row r="665" ht="34" customHeight="1">
      <x:c r="A665" s="117" t="str">
        <x:v>3005b000000PzI9AAK</x:v>
      </x:c>
      <x:c r="B665" s="117" t="str">
        <x:v>Update_Technician_Ship_Location_on_Work_Order_Creation</x:v>
      </x:c>
      <x:c r="C665" s="117" t="str">
        <x:v>Update Technician Ship Location on Work Order Creation</x:v>
      </x:c>
      <x:c r="D665" s="117" t="str">
        <x:v>Yes</x:v>
      </x:c>
      <x:c r="E665" s="118" t="n">
        <x:v>4</x:v>
      </x:c>
      <x:c r="F665" s="118" t="n">
        <x:v>4</x:v>
      </x:c>
      <x:c r="G665" s="117" t="str">
        <x:v>Yes</x:v>
      </x:c>
      <x:c r="H665" s="119" t="str">
        <x:v>Active v4 (Retrieved XML)</x:v>
      </x:c>
      <x:c r="I665" s="117" t="str">
        <x:v>AutoLaunchedFlow</x:v>
      </x:c>
      <x:c r="J665" s="117" t="str">
        <x:v>WorkOrder</x:v>
      </x:c>
      <x:c r="K665" s="117" t="str">
        <x:v>Yes</x:v>
      </x:c>
      <x:c r="L665" s="117" t="str">
        <x:v>Create</x:v>
      </x:c>
      <x:c r="M665" s="117" t="str">
        <x:v>RecordAfterSave</x:v>
      </x:c>
      <x:c r="N665" s="117"/>
      <x:c r="O665" s="117"/>
      <x:c r="P665" s="117" t="str"/>
      <x:c r="Q665" s="117" t="str">
        <x:v>57.0</x:v>
      </x:c>
      <x:c r="R665" s="117" t="str">
        <x:v>unmanaged</x:v>
      </x:c>
      <x:c r="S665" s="118" t="n">
        <x:v>4</x:v>
      </x:c>
      <x:c r="T665" s="118" t="n">
        <x:v>3</x:v>
      </x:c>
      <x:c r="U665" s="118" t="n">
        <x:v>1</x:v>
      </x:c>
      <x:c r="V665" s="118" t="n">
        <x:v>0</x:v>
      </x:c>
      <x:c r="W665" s="118" t="n">
        <x:v>0</x:v>
      </x:c>
      <x:c r="X665" s="118" t="n">
        <x:v>0</x:v>
      </x:c>
      <x:c r="Y665" s="118" t="n">
        <x:v>1</x:v>
      </x:c>
      <x:c r="Z665" s="117" t="str">
        <x:v>Strong</x:v>
      </x:c>
      <x:c r="AA665" s="120" t="n">
        <x:v>45883.06045138889</x:v>
      </x:c>
      <x:c r="AB665" s="117" t="str">
        <x:v>Delegate</x:v>
      </x:c>
      <x:c r="AC665" s="119" t="str">
        <x:v>07/11/24 (BW) - Updated this flow so that it does not run on the FSL Work Orders</x:v>
      </x:c>
      <x:c r="AD665" s="119" t="str"/>
    </x:row>
    <x:row r="666" ht="34" customHeight="1">
      <x:c r="A666" s="117" t="str">
        <x:v>300Ro00000SQT1YIAX</x:v>
      </x:c>
      <x:c r="B666" s="117" t="str">
        <x:v>Update_the_Intended_Start_Date_if_Earlier_than_Earliest_Start_Date</x:v>
      </x:c>
      <x:c r="C666" s="117" t="str">
        <x:v>Update the Intended Start Date if Earlier than Earliest Start Date</x:v>
      </x:c>
      <x:c r="D666" s="117" t="str">
        <x:v>Yes</x:v>
      </x:c>
      <x:c r="E666" s="118" t="n">
        <x:v>1</x:v>
      </x:c>
      <x:c r="F666" s="118" t="n">
        <x:v>1</x:v>
      </x:c>
      <x:c r="G666" s="117" t="str">
        <x:v>Yes</x:v>
      </x:c>
      <x:c r="H666" s="119" t="str">
        <x:v>Active v1 (Retrieved XML)</x:v>
      </x:c>
      <x:c r="I666" s="117" t="str">
        <x:v>AutoLaunchedFlow</x:v>
      </x:c>
      <x:c r="J666" s="117" t="str">
        <x:v>ServiceAppointment</x:v>
      </x:c>
      <x:c r="K666" s="117" t="str">
        <x:v>Yes</x:v>
      </x:c>
      <x:c r="L666" s="117" t="str">
        <x:v>Update</x:v>
      </x:c>
      <x:c r="M666" s="117" t="str">
        <x:v>RecordBeforeSave</x:v>
      </x:c>
      <x:c r="N666" s="117"/>
      <x:c r="O666" s="117"/>
      <x:c r="P666" s="117" t="str"/>
      <x:c r="Q666" s="117" t="str">
        <x:v>63.0</x:v>
      </x:c>
      <x:c r="R666" s="117" t="str">
        <x:v>unmanaged</x:v>
      </x:c>
      <x:c r="S666" s="118" t="n">
        <x:v>1</x:v>
      </x:c>
      <x:c r="T666" s="118" t="n">
        <x:v>3</x:v>
      </x:c>
      <x:c r="U666" s="118" t="n">
        <x:v>1</x:v>
      </x:c>
      <x:c r="V666" s="118" t="n">
        <x:v>0</x:v>
      </x:c>
      <x:c r="W666" s="118" t="n">
        <x:v>0</x:v>
      </x:c>
      <x:c r="X666" s="118" t="n">
        <x:v>0</x:v>
      </x:c>
      <x:c r="Y666" s="118" t="n">
        <x:v>1</x:v>
      </x:c>
      <x:c r="Z666" s="117" t="str">
        <x:v>Review</x:v>
      </x:c>
      <x:c r="AA666" s="120" t="n">
        <x:v>45726.54273148148</x:v>
      </x:c>
      <x:c r="AB666" s="117" t="str">
        <x:v>Delegate</x:v>
      </x:c>
      <x:c r="AC666" s="119" t="str">
        <x:v>03/10/2025 (BW) - Updates the intended start date if the earliest start date is changed and becomes greater than the intended start date</x:v>
      </x:c>
      <x:c r="AD666" s="119" t="str"/>
    </x:row>
    <x:row r="667" ht="34" customHeight="1">
      <x:c r="A667" s="117" t="str">
        <x:v>3004O0000000ZvnQAE</x:v>
      </x:c>
      <x:c r="B667" s="117" t="str">
        <x:v>Update_Transaction_Info</x:v>
      </x:c>
      <x:c r="C667" s="117" t="str">
        <x:v>Update Transaction Info</x:v>
      </x:c>
      <x:c r="D667" s="117" t="str">
        <x:v>Yes</x:v>
      </x:c>
      <x:c r="E667" s="118" t="n">
        <x:v>1</x:v>
      </x:c>
      <x:c r="F667" s="118" t="n">
        <x:v>1</x:v>
      </x:c>
      <x:c r="G667" s="117" t="str">
        <x:v>Yes</x:v>
      </x:c>
      <x:c r="H667" s="119" t="str">
        <x:v>Active v1 (Retrieved XML)</x:v>
      </x:c>
      <x:c r="I667" s="117" t="str">
        <x:v>Workflow</x:v>
      </x:c>
      <x:c r="J667" s="117" t="str"/>
      <x:c r="K667" s="117" t="str">
        <x:v>No</x:v>
      </x:c>
      <x:c r="L667" s="117" t="str"/>
      <x:c r="M667" s="117" t="str"/>
      <x:c r="N667" s="117"/>
      <x:c r="O667" s="117"/>
      <x:c r="P667" s="117" t="str"/>
      <x:c r="Q667" s="117" t="str">
        <x:v>49.0</x:v>
      </x:c>
      <x:c r="R667" s="117" t="str">
        <x:v>unmanaged</x:v>
      </x:c>
      <x:c r="S667" s="118" t="n">
        <x:v>1</x:v>
      </x:c>
      <x:c r="T667" s="118" t="n">
        <x:v>2</x:v>
      </x:c>
      <x:c r="U667" s="118" t="n">
        <x:v>1</x:v>
      </x:c>
      <x:c r="V667" s="118" t="n">
        <x:v>0</x:v>
      </x:c>
      <x:c r="W667" s="118" t="n">
        <x:v>0</x:v>
      </x:c>
      <x:c r="X667" s="118" t="n">
        <x:v>0</x:v>
      </x:c>
      <x:c r="Y667" s="118" t="n">
        <x:v>1</x:v>
      </x:c>
      <x:c r="Z667" s="117" t="str">
        <x:v>N/A</x:v>
      </x:c>
      <x:c r="AA667" s="120" t="n">
        <x:v>44074.854525462964</x:v>
      </x:c>
      <x:c r="AB667" s="117" t="str">
        <x:v>Trent VanEmon</x:v>
      </x:c>
      <x:c r="AC667" s="119" t="str">
        <x:v>Invoice process to update transaction info through opp -&gt; invoice -&gt; order-&gt; payment request</x:v>
      </x:c>
      <x:c r="AD667" s="119" t="str"/>
    </x:row>
    <x:row r="668" ht="34" customHeight="1">
      <x:c r="A668" s="117" t="str">
        <x:v>300Ro00000e7MD2IAM</x:v>
      </x:c>
      <x:c r="B668" s="117" t="str">
        <x:v>Update_US_Billing_Type_on_Edit_of_Service_Appointment</x:v>
      </x:c>
      <x:c r="C668" s="117" t="str">
        <x:v>Update US Billing Type on Edit of Service Appointment</x:v>
      </x:c>
      <x:c r="D668" s="117" t="str">
        <x:v>Yes</x:v>
      </x:c>
      <x:c r="E668" s="118" t="n">
        <x:v>2</x:v>
      </x:c>
      <x:c r="F668" s="118" t="n">
        <x:v>2</x:v>
      </x:c>
      <x:c r="G668" s="117" t="str">
        <x:v>Yes</x:v>
      </x:c>
      <x:c r="H668" s="119" t="str">
        <x:v>Active v2 (Retrieved XML)</x:v>
      </x:c>
      <x:c r="I668" s="117" t="str">
        <x:v>AutoLaunchedFlow</x:v>
      </x:c>
      <x:c r="J668" s="117" t="str">
        <x:v>ServiceAppointment</x:v>
      </x:c>
      <x:c r="K668" s="117" t="str">
        <x:v>Yes</x:v>
      </x:c>
      <x:c r="L668" s="117" t="str">
        <x:v>Update</x:v>
      </x:c>
      <x:c r="M668" s="117" t="str">
        <x:v>RecordAfterSave</x:v>
      </x:c>
      <x:c r="N668" s="117"/>
      <x:c r="O668" s="117"/>
      <x:c r="P668" s="117" t="str"/>
      <x:c r="Q668" s="117" t="str">
        <x:v>64.0</x:v>
      </x:c>
      <x:c r="R668" s="117" t="str">
        <x:v>unmanaged</x:v>
      </x:c>
      <x:c r="S668" s="118" t="n">
        <x:v>1</x:v>
      </x:c>
      <x:c r="T668" s="118" t="n">
        <x:v>3</x:v>
      </x:c>
      <x:c r="U668" s="118" t="n">
        <x:v>1</x:v>
      </x:c>
      <x:c r="V668" s="118" t="n">
        <x:v>0</x:v>
      </x:c>
      <x:c r="W668" s="118" t="n">
        <x:v>0</x:v>
      </x:c>
      <x:c r="X668" s="118" t="n">
        <x:v>0</x:v>
      </x:c>
      <x:c r="Y668" s="118" t="n">
        <x:v>1</x:v>
      </x:c>
      <x:c r="Z668" s="117" t="str">
        <x:v>Strong</x:v>
      </x:c>
      <x:c r="AA668" s="120" t="n">
        <x:v>46010.5440625</x:v>
      </x:c>
      <x:c r="AB668" s="117" t="str">
        <x:v>Delegate</x:v>
      </x:c>
      <x:c r="AC668" s="119" t="str">
        <x:v>12/29/2025 (BW) - Updated the Billing Type from the US Billing Type</x:v>
      </x:c>
      <x:c r="AD668" s="119" t="str"/>
    </x:row>
    <x:row r="669" ht="34" customHeight="1">
      <x:c r="A669" s="117" t="str">
        <x:v>3005b000000LHHMAA4</x:v>
      </x:c>
      <x:c r="B669" s="117" t="str">
        <x:v>UpdateRMAShipDateToReadyToShip</x:v>
      </x:c>
      <x:c r="C669" s="117" t="str">
        <x:v>UpdateRMAShipDateToReadyToShip</x:v>
      </x:c>
      <x:c r="D669" s="117" t="str">
        <x:v>No</x:v>
      </x:c>
      <x:c r="E669" s="118"/>
      <x:c r="F669" s="118" t="n">
        <x:v>11</x:v>
      </x:c>
      <x:c r="G669" s="117" t="str">
        <x:v>N/A</x:v>
      </x:c>
      <x:c r="H669" s="119" t="str">
        <x:v>Latest inactive v11 (Retrieved XML)</x:v>
      </x:c>
      <x:c r="I669" s="117" t="str">
        <x:v>AutoLaunchedFlow</x:v>
      </x:c>
      <x:c r="J669" s="117" t="str">
        <x:v>RMA__c</x:v>
      </x:c>
      <x:c r="K669" s="117" t="str">
        <x:v>No</x:v>
      </x:c>
      <x:c r="L669" s="117" t="str">
        <x:v>Update</x:v>
      </x:c>
      <x:c r="M669" s="117" t="str">
        <x:v>RecordAfterSave</x:v>
      </x:c>
      <x:c r="N669" s="117"/>
      <x:c r="O669" s="117"/>
      <x:c r="P669" s="117" t="str"/>
      <x:c r="Q669" s="117" t="str">
        <x:v>56.0</x:v>
      </x:c>
      <x:c r="R669" s="117" t="str">
        <x:v>unmanaged</x:v>
      </x:c>
      <x:c r="S669" s="118" t="n">
        <x:v>11</x:v>
      </x:c>
      <x:c r="T669" s="118" t="n">
        <x:v>4</x:v>
      </x:c>
      <x:c r="U669" s="118" t="n">
        <x:v>2</x:v>
      </x:c>
      <x:c r="V669" s="118" t="n">
        <x:v>0</x:v>
      </x:c>
      <x:c r="W669" s="118" t="n">
        <x:v>0</x:v>
      </x:c>
      <x:c r="X669" s="118" t="n">
        <x:v>0</x:v>
      </x:c>
      <x:c r="Y669" s="118" t="n">
        <x:v>1</x:v>
      </x:c>
      <x:c r="Z669" s="117" t="str">
        <x:v>N/A</x:v>
      </x:c>
      <x:c r="AA669" s="120" t="n">
        <x:v>44903.15049768519</x:v>
      </x:c>
      <x:c r="AB669" s="117" t="str">
        <x:v>Jace Gentil</x:v>
      </x:c>
      <x:c r="AC669" s="119" t="str"/>
      <x:c r="AD669" s="119" t="str"/>
    </x:row>
    <x:row r="670" ht="34" customHeight="1">
      <x:c r="A670" s="117" t="str">
        <x:v>3004O000000TiZ1QAK</x:v>
      </x:c>
      <x:c r="B670" s="117" t="str">
        <x:v>Upload_Signed_Document</x:v>
      </x:c>
      <x:c r="C670" s="117" t="str">
        <x:v>Upload Signed Document</x:v>
      </x:c>
      <x:c r="D670" s="117" t="str">
        <x:v>Yes</x:v>
      </x:c>
      <x:c r="E670" s="118" t="n">
        <x:v>1</x:v>
      </x:c>
      <x:c r="F670" s="118" t="n">
        <x:v>1</x:v>
      </x:c>
      <x:c r="G670" s="117" t="str">
        <x:v>Yes</x:v>
      </x:c>
      <x:c r="H670" s="119" t="str">
        <x:v>Active v1 (Retrieved XML)</x:v>
      </x:c>
      <x:c r="I670" s="117" t="str">
        <x:v>Flow</x:v>
      </x:c>
      <x:c r="J670" s="117" t="str"/>
      <x:c r="K670" s="117" t="str">
        <x:v>No</x:v>
      </x:c>
      <x:c r="L670" s="117" t="str"/>
      <x:c r="M670" s="117" t="str"/>
      <x:c r="N670" s="117"/>
      <x:c r="O670" s="117"/>
      <x:c r="P670" s="117" t="str"/>
      <x:c r="Q670" s="117" t="str">
        <x:v>49.0</x:v>
      </x:c>
      <x:c r="R670" s="117" t="str">
        <x:v>unmanaged</x:v>
      </x:c>
      <x:c r="S670" s="118" t="n">
        <x:v>1</x:v>
      </x:c>
      <x:c r="T670" s="118" t="n">
        <x:v>3</x:v>
      </x:c>
      <x:c r="U670" s="118" t="n">
        <x:v>1</x:v>
      </x:c>
      <x:c r="V670" s="118" t="n">
        <x:v>0</x:v>
      </x:c>
      <x:c r="W670" s="118" t="n">
        <x:v>0</x:v>
      </x:c>
      <x:c r="X670" s="118" t="n">
        <x:v>1</x:v>
      </x:c>
      <x:c r="Y670" s="118" t="n">
        <x:v>1</x:v>
      </x:c>
      <x:c r="Z670" s="117" t="str">
        <x:v>N/A</x:v>
      </x:c>
      <x:c r="AA670" s="120" t="n">
        <x:v>43739.26528935185</x:v>
      </x:c>
      <x:c r="AB670" s="117" t="str">
        <x:v>Jim Bartek</x:v>
      </x:c>
      <x:c r="AC670" s="119" t="str">
        <x:v>This flow is built for users to upload a signed document to an opportunity.  By doing this through a flow instead of manually, we are able to require certain fields (customer signed by, customer signed date), and control the movement to the next stage.</x:v>
      </x:c>
      <x:c r="AD670" s="119" t="str"/>
    </x:row>
    <x:row r="671" ht="34" customHeight="1">
      <x:c r="A671" s="117" t="str">
        <x:v>300Ro00000tiIHhIAM</x:v>
      </x:c>
      <x:c r="B671" s="117" t="str">
        <x:v>US_FSL_Ask_to_Re_Generate_FSR</x:v>
      </x:c>
      <x:c r="C671" s="117" t="str">
        <x:v>US FSL | Ask to Re-Generate FSR</x:v>
      </x:c>
      <x:c r="D671" s="117" t="str">
        <x:v>Yes</x:v>
      </x:c>
      <x:c r="E671" s="118" t="n">
        <x:v>2</x:v>
      </x:c>
      <x:c r="F671" s="118" t="n">
        <x:v>2</x:v>
      </x:c>
      <x:c r="G671" s="117" t="str">
        <x:v>Yes</x:v>
      </x:c>
      <x:c r="H671" s="119" t="str">
        <x:v>Active v2 (Retrieved XML)</x:v>
      </x:c>
      <x:c r="I671" s="117" t="str">
        <x:v>AutoLaunchedFlow</x:v>
      </x:c>
      <x:c r="J671" s="117" t="str">
        <x:v>WorkOrder</x:v>
      </x:c>
      <x:c r="K671" s="117" t="str">
        <x:v>Yes</x:v>
      </x:c>
      <x:c r="L671" s="117" t="str">
        <x:v>Update</x:v>
      </x:c>
      <x:c r="M671" s="117" t="str">
        <x:v>RecordBeforeSave</x:v>
      </x:c>
      <x:c r="N671" s="117"/>
      <x:c r="O671" s="117"/>
      <x:c r="P671" s="117" t="str"/>
      <x:c r="Q671" s="117" t="str">
        <x:v>66.0</x:v>
      </x:c>
      <x:c r="R671" s="117" t="str">
        <x:v>unmanaged</x:v>
      </x:c>
      <x:c r="S671" s="118" t="n">
        <x:v>2</x:v>
      </x:c>
      <x:c r="T671" s="118" t="n">
        <x:v>2</x:v>
      </x:c>
      <x:c r="U671" s="118" t="n">
        <x:v>1</x:v>
      </x:c>
      <x:c r="V671" s="118" t="n">
        <x:v>0</x:v>
      </x:c>
      <x:c r="W671" s="118" t="n">
        <x:v>0</x:v>
      </x:c>
      <x:c r="X671" s="118" t="n">
        <x:v>0</x:v>
      </x:c>
      <x:c r="Y671" s="118" t="n">
        <x:v>1</x:v>
      </x:c>
      <x:c r="Z671" s="117" t="str">
        <x:v>Review</x:v>
      </x:c>
      <x:c r="AA671" s="120" t="n">
        <x:v>46107.51550925926</x:v>
      </x:c>
      <x:c r="AB671" s="117" t="str">
        <x:v>Delegate</x:v>
      </x:c>
      <x:c r="AC671" s="119" t="str">
        <x:v>03/26/2026 (BW) - Allows for operations to ask engineers to re-generate the FSR for a work order</x:v>
      </x:c>
      <x:c r="AD671" s="119" t="str"/>
    </x:row>
    <x:row r="672" ht="34" customHeight="1">
      <x:c r="A672" s="117" t="str">
        <x:v>300Ro00000qgoX9IAI</x:v>
      </x:c>
      <x:c r="B672" s="117" t="str">
        <x:v>US_FSL_Flow_On_OPP_Product_Create_Create_WOLI</x:v>
      </x:c>
      <x:c r="C672" s="117" t="str">
        <x:v>US FSL Flow | On OPP Product Create | Create WOLI</x:v>
      </x:c>
      <x:c r="D672" s="117" t="str">
        <x:v>No</x:v>
      </x:c>
      <x:c r="E672" s="118"/>
      <x:c r="F672" s="118" t="n">
        <x:v>6</x:v>
      </x:c>
      <x:c r="G672" s="117" t="str">
        <x:v>N/A</x:v>
      </x:c>
      <x:c r="H672" s="119" t="str">
        <x:v>Latest inactive v6 (Retrieved XML)</x:v>
      </x:c>
      <x:c r="I672" s="117" t="str">
        <x:v>AutoLaunchedFlow</x:v>
      </x:c>
      <x:c r="J672" s="117" t="str">
        <x:v>OpportunityLineItem</x:v>
      </x:c>
      <x:c r="K672" s="117" t="str">
        <x:v>No</x:v>
      </x:c>
      <x:c r="L672" s="117" t="str">
        <x:v>Create</x:v>
      </x:c>
      <x:c r="M672" s="117" t="str">
        <x:v>RecordAfterSave</x:v>
      </x:c>
      <x:c r="N672" s="117"/>
      <x:c r="O672" s="117"/>
      <x:c r="P672" s="117" t="str"/>
      <x:c r="Q672" s="117" t="str">
        <x:v>64.0</x:v>
      </x:c>
      <x:c r="R672" s="117" t="str">
        <x:v>unmanaged</x:v>
      </x:c>
      <x:c r="S672" s="118" t="n">
        <x:v>6</x:v>
      </x:c>
      <x:c r="T672" s="118" t="n">
        <x:v>6</x:v>
      </x:c>
      <x:c r="U672" s="118" t="n">
        <x:v>1</x:v>
      </x:c>
      <x:c r="V672" s="118" t="n">
        <x:v>0</x:v>
      </x:c>
      <x:c r="W672" s="118" t="n">
        <x:v>0</x:v>
      </x:c>
      <x:c r="X672" s="118" t="n">
        <x:v>0</x:v>
      </x:c>
      <x:c r="Y672" s="118" t="n">
        <x:v>1</x:v>
      </x:c>
      <x:c r="Z672" s="117" t="str">
        <x:v>N/A</x:v>
      </x:c>
      <x:c r="AA672" s="120" t="n">
        <x:v>46114.48385416667</x:v>
      </x:c>
      <x:c r="AB672" s="117" t="str">
        <x:v>Delegate</x:v>
      </x:c>
      <x:c r="AC672" s="119" t="str">
        <x:v>02/20/2026 (BW) - Updating entry criteria</x:v>
      </x:c>
      <x:c r="AD672" s="119" t="str"/>
    </x:row>
    <x:row r="673" ht="34" customHeight="1">
      <x:c r="A673" s="117" t="str">
        <x:v>300Ro00000pbY71IAE</x:v>
      </x:c>
      <x:c r="B673" s="117" t="str">
        <x:v>US_FSL_For_Probe_Parts_Repair_Opp_Upon_FSR_attached_mark_the_work_order_status_a</x:v>
      </x:c>
      <x:c r="C673" s="117" t="str">
        <x:v>US FSL | For Probe/Parts/Repair Opp, Upon FSR attached mark the work order status as "Completed WO"</x:v>
      </x:c>
      <x:c r="D673" s="117" t="str">
        <x:v>Yes</x:v>
      </x:c>
      <x:c r="E673" s="118" t="n">
        <x:v>4</x:v>
      </x:c>
      <x:c r="F673" s="118" t="n">
        <x:v>4</x:v>
      </x:c>
      <x:c r="G673" s="117" t="str">
        <x:v>Yes</x:v>
      </x:c>
      <x:c r="H673" s="119" t="str">
        <x:v>Active v4 (Retrieved XML)</x:v>
      </x:c>
      <x:c r="I673" s="117" t="str">
        <x:v>AutoLaunchedFlow</x:v>
      </x:c>
      <x:c r="J673" s="117" t="str">
        <x:v>Opportunity</x:v>
      </x:c>
      <x:c r="K673" s="117" t="str">
        <x:v>Yes</x:v>
      </x:c>
      <x:c r="L673" s="117" t="str">
        <x:v>Update</x:v>
      </x:c>
      <x:c r="M673" s="117" t="str">
        <x:v>RecordAfterSave</x:v>
      </x:c>
      <x:c r="N673" s="117"/>
      <x:c r="O673" s="117"/>
      <x:c r="P673" s="117" t="str"/>
      <x:c r="Q673" s="117" t="str">
        <x:v>65.0</x:v>
      </x:c>
      <x:c r="R673" s="117" t="str">
        <x:v>unmanaged</x:v>
      </x:c>
      <x:c r="S673" s="118" t="n">
        <x:v>4</x:v>
      </x:c>
      <x:c r="T673" s="118" t="n">
        <x:v>4</x:v>
      </x:c>
      <x:c r="U673" s="118" t="n">
        <x:v>1</x:v>
      </x:c>
      <x:c r="V673" s="118" t="n">
        <x:v>0</x:v>
      </x:c>
      <x:c r="W673" s="118" t="n">
        <x:v>0</x:v>
      </x:c>
      <x:c r="X673" s="118" t="n">
        <x:v>0</x:v>
      </x:c>
      <x:c r="Y673" s="118" t="n">
        <x:v>1</x:v>
      </x:c>
      <x:c r="Z673" s="117" t="str">
        <x:v>Strong</x:v>
      </x:c>
      <x:c r="AA673" s="120" t="n">
        <x:v>46121.79478009259</x:v>
      </x:c>
      <x:c r="AB673" s="117" t="str">
        <x:v>Delegate</x:v>
      </x:c>
      <x:c r="AC673" s="119" t="str">
        <x:v>01/30/2026 (BW) - Work Order is marked as "Completed WO" when the FSR is attached</x:v>
      </x:c>
      <x:c r="AD673" s="119" t="str"/>
    </x:row>
    <x:row r="674" ht="34" customHeight="1">
      <x:c r="A674" s="117" t="str">
        <x:v>300Ro00000r25wMIAQ</x:v>
      </x:c>
      <x:c r="B674" s="117" t="str">
        <x:v>US_FSL_For_Probe_Parts_Sale_Opp_When_switched_to_pending_approval_change_work_or</x:v>
      </x:c>
      <x:c r="C674" s="117" t="str">
        <x:v>US FSL | For Probe/Parts Sale Opp, When switched to pending approval change work order to Quote Attached</x:v>
      </x:c>
      <x:c r="D674" s="117" t="str">
        <x:v>Yes</x:v>
      </x:c>
      <x:c r="E674" s="118" t="n">
        <x:v>3</x:v>
      </x:c>
      <x:c r="F674" s="118" t="n">
        <x:v>3</x:v>
      </x:c>
      <x:c r="G674" s="117" t="str">
        <x:v>Yes</x:v>
      </x:c>
      <x:c r="H674" s="119" t="str">
        <x:v>Active v3 (Retrieved XML)</x:v>
      </x:c>
      <x:c r="I674" s="117" t="str">
        <x:v>AutoLaunchedFlow</x:v>
      </x:c>
      <x:c r="J674" s="117" t="str">
        <x:v>Opportunity</x:v>
      </x:c>
      <x:c r="K674" s="117" t="str">
        <x:v>Yes</x:v>
      </x:c>
      <x:c r="L674" s="117" t="str">
        <x:v>Update</x:v>
      </x:c>
      <x:c r="M674" s="117" t="str">
        <x:v>RecordAfterSave</x:v>
      </x:c>
      <x:c r="N674" s="117"/>
      <x:c r="O674" s="117"/>
      <x:c r="P674" s="117" t="str"/>
      <x:c r="Q674" s="117" t="str">
        <x:v>65.0</x:v>
      </x:c>
      <x:c r="R674" s="117" t="str">
        <x:v>unmanaged</x:v>
      </x:c>
      <x:c r="S674" s="118" t="n">
        <x:v>3</x:v>
      </x:c>
      <x:c r="T674" s="118" t="n">
        <x:v>4</x:v>
      </x:c>
      <x:c r="U674" s="118" t="n">
        <x:v>1</x:v>
      </x:c>
      <x:c r="V674" s="118" t="n">
        <x:v>0</x:v>
      </x:c>
      <x:c r="W674" s="118" t="n">
        <x:v>0</x:v>
      </x:c>
      <x:c r="X674" s="118" t="n">
        <x:v>0</x:v>
      </x:c>
      <x:c r="Y674" s="118" t="n">
        <x:v>1</x:v>
      </x:c>
      <x:c r="Z674" s="117" t="str">
        <x:v>Strong</x:v>
      </x:c>
      <x:c r="AA674" s="120" t="n">
        <x:v>46163.690625</x:v>
      </x:c>
      <x:c r="AB674" s="117" t="str">
        <x:v>Delegate</x:v>
      </x:c>
      <x:c r="AC674" s="119" t="str">
        <x:v>05/21/2026 (BW) - On the opportunity going to pending approval, update the work order's status to "Quote Attached"</x:v>
      </x:c>
      <x:c r="AD674" s="119" t="str"/>
    </x:row>
    <x:row r="675" ht="34" customHeight="1">
      <x:c r="A675" s="117" t="str">
        <x:v>300Ro00000r3NCrIAM</x:v>
      </x:c>
      <x:c r="B675" s="117" t="str">
        <x:v>US_FSL_For_Probe_Repair_Opp_On_Setting_of_Repair_Approved_change_Work_Order_to_R</x:v>
      </x:c>
      <x:c r="C675" s="117" t="str">
        <x:v>US FSL | For Probe Repair Opp, On Setting of Repair Approved, change Work Order to Repair In-Progress</x:v>
      </x:c>
      <x:c r="D675" s="117" t="str">
        <x:v>Yes</x:v>
      </x:c>
      <x:c r="E675" s="118" t="n">
        <x:v>3</x:v>
      </x:c>
      <x:c r="F675" s="118" t="n">
        <x:v>3</x:v>
      </x:c>
      <x:c r="G675" s="117" t="str">
        <x:v>Yes</x:v>
      </x:c>
      <x:c r="H675" s="119" t="str">
        <x:v>Active v3 (Retrieved XML)</x:v>
      </x:c>
      <x:c r="I675" s="117" t="str">
        <x:v>AutoLaunchedFlow</x:v>
      </x:c>
      <x:c r="J675" s="117" t="str">
        <x:v>Opportunity</x:v>
      </x:c>
      <x:c r="K675" s="117" t="str">
        <x:v>Yes</x:v>
      </x:c>
      <x:c r="L675" s="117" t="str">
        <x:v>Update</x:v>
      </x:c>
      <x:c r="M675" s="117" t="str">
        <x:v>RecordAfterSave</x:v>
      </x:c>
      <x:c r="N675" s="117"/>
      <x:c r="O675" s="117"/>
      <x:c r="P675" s="117" t="str"/>
      <x:c r="Q675" s="117" t="str">
        <x:v>65.0</x:v>
      </x:c>
      <x:c r="R675" s="117" t="str">
        <x:v>unmanaged</x:v>
      </x:c>
      <x:c r="S675" s="118" t="n">
        <x:v>3</x:v>
      </x:c>
      <x:c r="T675" s="118" t="n">
        <x:v>4</x:v>
      </x:c>
      <x:c r="U675" s="118" t="n">
        <x:v>1</x:v>
      </x:c>
      <x:c r="V675" s="118" t="n">
        <x:v>1</x:v>
      </x:c>
      <x:c r="W675" s="118" t="n">
        <x:v>0</x:v>
      </x:c>
      <x:c r="X675" s="118" t="n">
        <x:v>0</x:v>
      </x:c>
      <x:c r="Y675" s="118" t="n">
        <x:v>1</x:v>
      </x:c>
      <x:c r="Z675" s="117" t="str">
        <x:v>Strong</x:v>
      </x:c>
      <x:c r="AA675" s="120" t="n">
        <x:v>46100.67837962963</x:v>
      </x:c>
      <x:c r="AB675" s="117" t="str">
        <x:v>Delegate</x:v>
      </x:c>
      <x:c r="AC675" s="119" t="str">
        <x:v>03/12/2026 (BW) - Updated the actual call to update the work order to an autolaunched flow that runs in system context to avoid user context for the approving guest site user.</x:v>
      </x:c>
      <x:c r="AD675" s="119" t="str"/>
    </x:row>
    <x:row r="676" ht="34" customHeight="1">
      <x:c r="A676" s="117" t="str">
        <x:v>300Ro00000oyq0aIAA</x:v>
      </x:c>
      <x:c r="B676" s="117" t="str">
        <x:v>US_FSL_For_Probe_Sale_Opp_Upon_Close_Won_Update_Work_Order_Status_to_Ready_to_Sh</x:v>
      </x:c>
      <x:c r="C676" s="117" t="str">
        <x:v>US FSL | For Probe/Parts/Repair Sale Opp, Upon Close Won Update Work Order Status to "Pending Shipment"</x:v>
      </x:c>
      <x:c r="D676" s="117" t="str">
        <x:v>Yes</x:v>
      </x:c>
      <x:c r="E676" s="118" t="n">
        <x:v>9</x:v>
      </x:c>
      <x:c r="F676" s="118" t="n">
        <x:v>9</x:v>
      </x:c>
      <x:c r="G676" s="117" t="str">
        <x:v>Yes</x:v>
      </x:c>
      <x:c r="H676" s="119" t="str">
        <x:v>Active v9 (Retrieved XML)</x:v>
      </x:c>
      <x:c r="I676" s="117" t="str">
        <x:v>AutoLaunchedFlow</x:v>
      </x:c>
      <x:c r="J676" s="117" t="str">
        <x:v>Opportunity</x:v>
      </x:c>
      <x:c r="K676" s="117" t="str">
        <x:v>Yes</x:v>
      </x:c>
      <x:c r="L676" s="117" t="str">
        <x:v>Update</x:v>
      </x:c>
      <x:c r="M676" s="117" t="str">
        <x:v>RecordAfterSave</x:v>
      </x:c>
      <x:c r="N676" s="117"/>
      <x:c r="O676" s="117"/>
      <x:c r="P676" s="117" t="str"/>
      <x:c r="Q676" s="117" t="str">
        <x:v>65.0</x:v>
      </x:c>
      <x:c r="R676" s="117" t="str">
        <x:v>unmanaged</x:v>
      </x:c>
      <x:c r="S676" s="118" t="n">
        <x:v>9</x:v>
      </x:c>
      <x:c r="T676" s="118" t="n">
        <x:v>4</x:v>
      </x:c>
      <x:c r="U676" s="118" t="n">
        <x:v>1</x:v>
      </x:c>
      <x:c r="V676" s="118" t="n">
        <x:v>0</x:v>
      </x:c>
      <x:c r="W676" s="118" t="n">
        <x:v>0</x:v>
      </x:c>
      <x:c r="X676" s="118" t="n">
        <x:v>0</x:v>
      </x:c>
      <x:c r="Y676" s="118" t="n">
        <x:v>1</x:v>
      </x:c>
      <x:c r="Z676" s="117" t="str">
        <x:v>Strong</x:v>
      </x:c>
      <x:c r="AA676" s="120" t="n">
        <x:v>46105.563159722224</x:v>
      </x:c>
      <x:c r="AB676" s="117" t="str">
        <x:v>Delegate</x:v>
      </x:c>
      <x:c r="AC676" s="119" t="str">
        <x:v>03/19/2026 (BW) - Adding Repair Opps to this process as well</x:v>
      </x:c>
      <x:c r="AD676" s="119" t="str"/>
    </x:row>
    <x:row r="677" ht="34" customHeight="1">
      <x:c r="A677" s="117" t="str">
        <x:v>300Ro00000oyrnsIAA</x:v>
      </x:c>
      <x:c r="B677" s="117" t="str">
        <x:v>US_FSL_For_Probe_Sale_Opp_Upon_Tracking_Entered_Update_Work_Order_Status_to_Ship</x:v>
      </x:c>
      <x:c r="C677" s="117" t="str">
        <x:v>US FSL | For Probe/Parts Sale Opp, Upon Tracking Entered Update Work Order Status to Shipped</x:v>
      </x:c>
      <x:c r="D677" s="117" t="str">
        <x:v>Yes</x:v>
      </x:c>
      <x:c r="E677" s="118" t="n">
        <x:v>10</x:v>
      </x:c>
      <x:c r="F677" s="118" t="n">
        <x:v>10</x:v>
      </x:c>
      <x:c r="G677" s="117" t="str">
        <x:v>Yes</x:v>
      </x:c>
      <x:c r="H677" s="119" t="str">
        <x:v>Active v10 (Retrieved XML)</x:v>
      </x:c>
      <x:c r="I677" s="117" t="str">
        <x:v>AutoLaunchedFlow</x:v>
      </x:c>
      <x:c r="J677" s="117" t="str">
        <x:v>Opportunity</x:v>
      </x:c>
      <x:c r="K677" s="117" t="str">
        <x:v>Yes</x:v>
      </x:c>
      <x:c r="L677" s="117" t="str">
        <x:v>Update</x:v>
      </x:c>
      <x:c r="M677" s="117" t="str">
        <x:v>RecordAfterSave</x:v>
      </x:c>
      <x:c r="N677" s="117"/>
      <x:c r="O677" s="117"/>
      <x:c r="P677" s="117" t="str"/>
      <x:c r="Q677" s="117" t="str">
        <x:v>65.0</x:v>
      </x:c>
      <x:c r="R677" s="117" t="str">
        <x:v>unmanaged</x:v>
      </x:c>
      <x:c r="S677" s="118" t="n">
        <x:v>10</x:v>
      </x:c>
      <x:c r="T677" s="118" t="n">
        <x:v>9</x:v>
      </x:c>
      <x:c r="U677" s="118" t="n">
        <x:v>2</x:v>
      </x:c>
      <x:c r="V677" s="118" t="n">
        <x:v>0</x:v>
      </x:c>
      <x:c r="W677" s="118" t="n">
        <x:v>0</x:v>
      </x:c>
      <x:c r="X677" s="118" t="n">
        <x:v>0</x:v>
      </x:c>
      <x:c r="Y677" s="118" t="n">
        <x:v>1</x:v>
      </x:c>
      <x:c r="Z677" s="117" t="str">
        <x:v>Strong</x:v>
      </x:c>
      <x:c r="AA677" s="120" t="n">
        <x:v>46170.5675</x:v>
      </x:c>
      <x:c r="AB677" s="117" t="str">
        <x:v>Delegate</x:v>
      </x:c>
      <x:c r="AC677" s="119" t="str">
        <x:v>05/28/2026 (BW) - Upon entering a tracking number on the opportunity, if Status of work order is Repair Declined then send directly to Closed</x:v>
      </x:c>
      <x:c r="AD677" s="119" t="str"/>
    </x:row>
    <x:row r="678" ht="34" customHeight="1">
      <x:c r="A678" s="117" t="str">
        <x:v>300Ro00000s3lPuIAI</x:v>
      </x:c>
      <x:c r="B678" s="117" t="str">
        <x:v>US_FSL_On_Addition_of_Related_Work_Order_Transfer_Ownership</x:v>
      </x:c>
      <x:c r="C678" s="117" t="str">
        <x:v>US FSL | On Addition of Related Work Order, Transfer Ownership</x:v>
      </x:c>
      <x:c r="D678" s="117" t="str">
        <x:v>Yes</x:v>
      </x:c>
      <x:c r="E678" s="118" t="n">
        <x:v>2</x:v>
      </x:c>
      <x:c r="F678" s="118" t="n">
        <x:v>2</x:v>
      </x:c>
      <x:c r="G678" s="117" t="str">
        <x:v>Yes</x:v>
      </x:c>
      <x:c r="H678" s="119" t="str">
        <x:v>Active v2 (Retrieved XML)</x:v>
      </x:c>
      <x:c r="I678" s="117" t="str">
        <x:v>AutoLaunchedFlow</x:v>
      </x:c>
      <x:c r="J678" s="117" t="str">
        <x:v>Opportunity</x:v>
      </x:c>
      <x:c r="K678" s="117" t="str">
        <x:v>Yes</x:v>
      </x:c>
      <x:c r="L678" s="117" t="str">
        <x:v>Update</x:v>
      </x:c>
      <x:c r="M678" s="117" t="str">
        <x:v>RecordAfterSave</x:v>
      </x:c>
      <x:c r="N678" s="117"/>
      <x:c r="O678" s="117"/>
      <x:c r="P678" s="117" t="str"/>
      <x:c r="Q678" s="117" t="str">
        <x:v>66.0</x:v>
      </x:c>
      <x:c r="R678" s="117" t="str">
        <x:v>unmanaged</x:v>
      </x:c>
      <x:c r="S678" s="118" t="n">
        <x:v>2</x:v>
      </x:c>
      <x:c r="T678" s="118" t="n">
        <x:v>8</x:v>
      </x:c>
      <x:c r="U678" s="118" t="n">
        <x:v>2</x:v>
      </x:c>
      <x:c r="V678" s="118" t="n">
        <x:v>0</x:v>
      </x:c>
      <x:c r="W678" s="118" t="n">
        <x:v>0</x:v>
      </x:c>
      <x:c r="X678" s="118" t="n">
        <x:v>0</x:v>
      </x:c>
      <x:c r="Y678" s="118" t="n">
        <x:v>1</x:v>
      </x:c>
      <x:c r="Z678" s="117" t="str">
        <x:v>Strong</x:v>
      </x:c>
      <x:c r="AA678" s="120" t="n">
        <x:v>46093.52128472222</x:v>
      </x:c>
      <x:c r="AB678" s="117" t="str">
        <x:v>Delegate</x:v>
      </x:c>
      <x:c r="AC678" s="119" t="str">
        <x:v>03/12/2026 (BW) - Updating the status to work order shipped.</x:v>
      </x:c>
      <x:c r="AD678" s="119" t="str"/>
    </x:row>
    <x:row r="679" ht="34" customHeight="1">
      <x:c r="A679" s="117" t="str">
        <x:v>300Ro00000zMlV0IAK</x:v>
      </x:c>
      <x:c r="B679" s="117" t="str">
        <x:v>US_FSL_On_Close_Lost_Repair_Opp_Set_WOLIs_to_Repair_Canceled</x:v>
      </x:c>
      <x:c r="C679" s="117" t="str">
        <x:v>US FSL | On Close Lost Repair Opp, Set WOLIs to Repair Canceled</x:v>
      </x:c>
      <x:c r="D679" s="117" t="str">
        <x:v>Yes</x:v>
      </x:c>
      <x:c r="E679" s="118" t="n">
        <x:v>1</x:v>
      </x:c>
      <x:c r="F679" s="118" t="n">
        <x:v>1</x:v>
      </x:c>
      <x:c r="G679" s="117" t="str">
        <x:v>Yes</x:v>
      </x:c>
      <x:c r="H679" s="119" t="str">
        <x:v>Active v1 (Retrieved XML)</x:v>
      </x:c>
      <x:c r="I679" s="117" t="str">
        <x:v>AutoLaunchedFlow</x:v>
      </x:c>
      <x:c r="J679" s="117" t="str">
        <x:v>Opportunity</x:v>
      </x:c>
      <x:c r="K679" s="117" t="str">
        <x:v>Yes</x:v>
      </x:c>
      <x:c r="L679" s="117" t="str">
        <x:v>Update</x:v>
      </x:c>
      <x:c r="M679" s="117" t="str">
        <x:v>RecordAfterSave</x:v>
      </x:c>
      <x:c r="N679" s="117"/>
      <x:c r="O679" s="117"/>
      <x:c r="P679" s="117" t="str"/>
      <x:c r="Q679" s="117" t="str">
        <x:v>65.0</x:v>
      </x:c>
      <x:c r="R679" s="117" t="str">
        <x:v>unmanaged</x:v>
      </x:c>
      <x:c r="S679" s="118" t="n">
        <x:v>1</x:v>
      </x:c>
      <x:c r="T679" s="118" t="n">
        <x:v>4</x:v>
      </x:c>
      <x:c r="U679" s="118" t="n">
        <x:v>2</x:v>
      </x:c>
      <x:c r="V679" s="118" t="n">
        <x:v>0</x:v>
      </x:c>
      <x:c r="W679" s="118" t="n">
        <x:v>0</x:v>
      </x:c>
      <x:c r="X679" s="118" t="n">
        <x:v>0</x:v>
      </x:c>
      <x:c r="Y679" s="118" t="n">
        <x:v>1</x:v>
      </x:c>
      <x:c r="Z679" s="117" t="str">
        <x:v>Strong</x:v>
      </x:c>
      <x:c r="AA679" s="120" t="n">
        <x:v>46178.5750462963</x:v>
      </x:c>
      <x:c r="AB679" s="117" t="str">
        <x:v>Delegate</x:v>
      </x:c>
      <x:c r="AC679" s="119" t="str">
        <x:v>06/05/26 (BW) – On Opportunity moving to Closed Lost, checks for a related US FSL Work Order and sets all of its Work Order Line Items to Line_Intent__c = "Repair Canceled" so they are excluded from the parts table HTML generated by WorkOrderLineItemRollupHandler.</x:v>
      </x:c>
      <x:c r="AD679" s="119" t="str"/>
    </x:row>
    <x:row r="680" ht="34" customHeight="1">
      <x:c r="A680" s="117" t="str">
        <x:v>300Ro00000td6tuIAA</x:v>
      </x:c>
      <x:c r="B680" s="117" t="str">
        <x:v>US_FSL_On_Creation_of_Loaner_add_Loaner_to_Work_Order</x:v>
      </x:c>
      <x:c r="C680" s="117" t="str">
        <x:v>US FSL | On Creation of Loaner, add Loaner to Work Order</x:v>
      </x:c>
      <x:c r="D680" s="117" t="str">
        <x:v>Yes</x:v>
      </x:c>
      <x:c r="E680" s="118" t="n">
        <x:v>1</x:v>
      </x:c>
      <x:c r="F680" s="118" t="n">
        <x:v>1</x:v>
      </x:c>
      <x:c r="G680" s="117" t="str">
        <x:v>Yes</x:v>
      </x:c>
      <x:c r="H680" s="119" t="str">
        <x:v>Active v1 (Retrieved XML)</x:v>
      </x:c>
      <x:c r="I680" s="117" t="str">
        <x:v>AutoLaunchedFlow</x:v>
      </x:c>
      <x:c r="J680" s="117" t="str">
        <x:v>Loaner__c</x:v>
      </x:c>
      <x:c r="K680" s="117" t="str">
        <x:v>Yes</x:v>
      </x:c>
      <x:c r="L680" s="117" t="str">
        <x:v>Create</x:v>
      </x:c>
      <x:c r="M680" s="117" t="str">
        <x:v>RecordAfterSave</x:v>
      </x:c>
      <x:c r="N680" s="117"/>
      <x:c r="O680" s="117"/>
      <x:c r="P680" s="117" t="str"/>
      <x:c r="Q680" s="117" t="str">
        <x:v>66.0</x:v>
      </x:c>
      <x:c r="R680" s="117" t="str">
        <x:v>unmanaged</x:v>
      </x:c>
      <x:c r="S680" s="118" t="n">
        <x:v>1</x:v>
      </x:c>
      <x:c r="T680" s="118" t="n">
        <x:v>3</x:v>
      </x:c>
      <x:c r="U680" s="118" t="n">
        <x:v>1</x:v>
      </x:c>
      <x:c r="V680" s="118" t="n">
        <x:v>0</x:v>
      </x:c>
      <x:c r="W680" s="118" t="n">
        <x:v>0</x:v>
      </x:c>
      <x:c r="X680" s="118" t="n">
        <x:v>0</x:v>
      </x:c>
      <x:c r="Y680" s="118" t="n">
        <x:v>1</x:v>
      </x:c>
      <x:c r="Z680" s="117" t="str">
        <x:v>Review</x:v>
      </x:c>
      <x:c r="AA680" s="120" t="n">
        <x:v>46106.59365740741</x:v>
      </x:c>
      <x:c r="AB680" s="117" t="str">
        <x:v>Delegate</x:v>
      </x:c>
      <x:c r="AC680" s="119" t="str">
        <x:v>03/25/2026 (BW) - Sets the Work Order on the Loaner record when created on the opportunity with a loaner record</x:v>
      </x:c>
      <x:c r="AD680" s="119" t="str"/>
    </x:row>
    <x:row r="681" ht="34" customHeight="1">
      <x:c r="A681" s="117" t="str">
        <x:v>300Ro00000wO7esIAC</x:v>
      </x:c>
      <x:c r="B681" s="117" t="str">
        <x:v>US_FSL_On_Creation_of_Service_Appointment_set_Shipping_Address</x:v>
      </x:c>
      <x:c r="C681" s="117" t="str">
        <x:v>US FSL | On Creation of Service Appointment set Shipping Address</x:v>
      </x:c>
      <x:c r="D681" s="117" t="str">
        <x:v>Yes</x:v>
      </x:c>
      <x:c r="E681" s="118" t="n">
        <x:v>8</x:v>
      </x:c>
      <x:c r="F681" s="118" t="n">
        <x:v>8</x:v>
      </x:c>
      <x:c r="G681" s="117" t="str">
        <x:v>Yes</x:v>
      </x:c>
      <x:c r="H681" s="119" t="str">
        <x:v>Active v8 (Retrieved XML)</x:v>
      </x:c>
      <x:c r="I681" s="117" t="str">
        <x:v>AutoLaunchedFlow</x:v>
      </x:c>
      <x:c r="J681" s="117" t="str">
        <x:v>ServiceAppointment</x:v>
      </x:c>
      <x:c r="K681" s="117" t="str">
        <x:v>Yes</x:v>
      </x:c>
      <x:c r="L681" s="117" t="str">
        <x:v>Create</x:v>
      </x:c>
      <x:c r="M681" s="117" t="str">
        <x:v>RecordAfterSave</x:v>
      </x:c>
      <x:c r="N681" s="117"/>
      <x:c r="O681" s="117"/>
      <x:c r="P681" s="117" t="str"/>
      <x:c r="Q681" s="117" t="str">
        <x:v>66.0</x:v>
      </x:c>
      <x:c r="R681" s="117" t="str">
        <x:v>unmanaged</x:v>
      </x:c>
      <x:c r="S681" s="118" t="n">
        <x:v>8</x:v>
      </x:c>
      <x:c r="T681" s="118" t="n">
        <x:v>8</x:v>
      </x:c>
      <x:c r="U681" s="118" t="n">
        <x:v>3</x:v>
      </x:c>
      <x:c r="V681" s="118" t="n">
        <x:v>0</x:v>
      </x:c>
      <x:c r="W681" s="118" t="n">
        <x:v>0</x:v>
      </x:c>
      <x:c r="X681" s="118" t="n">
        <x:v>0</x:v>
      </x:c>
      <x:c r="Y681" s="118" t="n">
        <x:v>2</x:v>
      </x:c>
      <x:c r="Z681" s="117" t="str">
        <x:v>Strong</x:v>
      </x:c>
      <x:c r="AA681" s="120" t="n">
        <x:v>46182.87739583333</x:v>
      </x:c>
      <x:c r="AB681" s="117" t="str">
        <x:v>Mindy Bender</x:v>
      </x:c>
      <x:c r="AC681" s="119" t="str">
        <x:v>06/09/2026 (MPB) - Added Service Site Name to copy from work order
06/01/2026 (MB) - Added Attn line to copy over from work order</x:v>
      </x:c>
      <x:c r="AD681" s="119" t="str"/>
    </x:row>
    <x:row r="682" ht="34" customHeight="1">
      <x:c r="A682" s="117" t="str">
        <x:v>300Ro00000ygilRIAQ</x:v>
      </x:c>
      <x:c r="B682" s="117" t="str">
        <x:v>US_FSL_On_Picked_Up_by_Operations_Notify_Engineer</x:v>
      </x:c>
      <x:c r="C682" s="117" t="str">
        <x:v>US FSL | On Picked Up by Operations, Notify Engineer</x:v>
      </x:c>
      <x:c r="D682" s="117" t="str">
        <x:v>Yes</x:v>
      </x:c>
      <x:c r="E682" s="118" t="n">
        <x:v>1</x:v>
      </x:c>
      <x:c r="F682" s="118" t="n">
        <x:v>1</x:v>
      </x:c>
      <x:c r="G682" s="117" t="str">
        <x:v>Yes</x:v>
      </x:c>
      <x:c r="H682" s="119" t="str">
        <x:v>Active v1 (Retrieved XML)</x:v>
      </x:c>
      <x:c r="I682" s="117" t="str">
        <x:v>AutoLaunchedFlow</x:v>
      </x:c>
      <x:c r="J682" s="117" t="str">
        <x:v>WorkOrder</x:v>
      </x:c>
      <x:c r="K682" s="117" t="str">
        <x:v>Yes</x:v>
      </x:c>
      <x:c r="L682" s="117" t="str">
        <x:v>Update</x:v>
      </x:c>
      <x:c r="M682" s="117" t="str">
        <x:v>RecordAfterSave</x:v>
      </x:c>
      <x:c r="N682" s="117"/>
      <x:c r="O682" s="117"/>
      <x:c r="P682" s="117" t="str"/>
      <x:c r="Q682" s="117" t="str">
        <x:v>66.0</x:v>
      </x:c>
      <x:c r="R682" s="117" t="str">
        <x:v>unmanaged</x:v>
      </x:c>
      <x:c r="S682" s="118" t="n">
        <x:v>1</x:v>
      </x:c>
      <x:c r="T682" s="118" t="n">
        <x:v>3</x:v>
      </x:c>
      <x:c r="U682" s="118" t="n">
        <x:v>1</x:v>
      </x:c>
      <x:c r="V682" s="118" t="n">
        <x:v>0</x:v>
      </x:c>
      <x:c r="W682" s="118" t="n">
        <x:v>1</x:v>
      </x:c>
      <x:c r="X682" s="118" t="n">
        <x:v>0</x:v>
      </x:c>
      <x:c r="Y682" s="118" t="n">
        <x:v>1</x:v>
      </x:c>
      <x:c r="Z682" s="117" t="str">
        <x:v>Strong</x:v>
      </x:c>
      <x:c r="AA682" s="120" t="n">
        <x:v>46170.94162037037</x:v>
      </x:c>
      <x:c r="AB682" s="117" t="str">
        <x:v>Delegate</x:v>
      </x:c>
      <x:c r="AC682" s="119" t="str">
        <x:v>05/28/2026 (BW) - Created flow to send a mobile notification to the work order owner (engineer) when the Picked Up by Operations checkbox is checked</x:v>
      </x:c>
      <x:c r="AD682" s="119" t="str"/>
    </x:row>
    <x:row r="683" ht="34" customHeight="1">
      <x:c r="A683" s="117" t="str">
        <x:v>300Ro00000tWpisIAC</x:v>
      </x:c>
      <x:c r="B683" s="117" t="str">
        <x:v>US_FSL_On_Ready_to_Ship_for_Opp_Update_WO_to_Confirm_Shipping</x:v>
      </x:c>
      <x:c r="C683" s="117" t="str">
        <x:v>US FSL | On "Ready to Ship" for Opp, Update WO to "Confirm Shipping"</x:v>
      </x:c>
      <x:c r="D683" s="117" t="str">
        <x:v>Yes</x:v>
      </x:c>
      <x:c r="E683" s="118" t="n">
        <x:v>1</x:v>
      </x:c>
      <x:c r="F683" s="118" t="n">
        <x:v>1</x:v>
      </x:c>
      <x:c r="G683" s="117" t="str">
        <x:v>Yes</x:v>
      </x:c>
      <x:c r="H683" s="119" t="str">
        <x:v>Active v1 (Retrieved XML)</x:v>
      </x:c>
      <x:c r="I683" s="117" t="str">
        <x:v>AutoLaunchedFlow</x:v>
      </x:c>
      <x:c r="J683" s="117" t="str">
        <x:v>Opportunity</x:v>
      </x:c>
      <x:c r="K683" s="117" t="str">
        <x:v>Yes</x:v>
      </x:c>
      <x:c r="L683" s="117" t="str">
        <x:v>Update</x:v>
      </x:c>
      <x:c r="M683" s="117" t="str">
        <x:v>RecordAfterSave</x:v>
      </x:c>
      <x:c r="N683" s="117"/>
      <x:c r="O683" s="117"/>
      <x:c r="P683" s="117" t="str"/>
      <x:c r="Q683" s="117" t="str">
        <x:v>65.0</x:v>
      </x:c>
      <x:c r="R683" s="117" t="str">
        <x:v>unmanaged</x:v>
      </x:c>
      <x:c r="S683" s="118" t="n">
        <x:v>1</x:v>
      </x:c>
      <x:c r="T683" s="118" t="n">
        <x:v>4</x:v>
      </x:c>
      <x:c r="U683" s="118" t="n">
        <x:v>1</x:v>
      </x:c>
      <x:c r="V683" s="118" t="n">
        <x:v>0</x:v>
      </x:c>
      <x:c r="W683" s="118" t="n">
        <x:v>0</x:v>
      </x:c>
      <x:c r="X683" s="118" t="n">
        <x:v>0</x:v>
      </x:c>
      <x:c r="Y683" s="118" t="n">
        <x:v>1</x:v>
      </x:c>
      <x:c r="Z683" s="117" t="str">
        <x:v>Strong</x:v>
      </x:c>
      <x:c r="AA683" s="120" t="n">
        <x:v>46105.5562037037</x:v>
      </x:c>
      <x:c r="AB683" s="117" t="str">
        <x:v>Delegate</x:v>
      </x:c>
      <x:c r="AC683" s="119" t="str">
        <x:v>03/24/2026 (BW) - On setting of the opportunity stage to "Ready to Ship", update the work order to "Confirm Shipping"</x:v>
      </x:c>
      <x:c r="AD683" s="119" t="str"/>
    </x:row>
    <x:row r="684" ht="34" customHeight="1">
      <x:c r="A684" s="117" t="str">
        <x:v>300Ro00000wwDUvIAM</x:v>
      </x:c>
      <x:c r="B684" s="117" t="str">
        <x:v>US_FSL_On_Repair_Declined_for_Opp_Update_WO_to_Pending_Shipment</x:v>
      </x:c>
      <x:c r="C684" s="117" t="str">
        <x:v>US FSL | On "Repair Declined" for Opp, Update WO to "Pending Shipment"</x:v>
      </x:c>
      <x:c r="D684" s="117" t="str">
        <x:v>Yes</x:v>
      </x:c>
      <x:c r="E684" s="118" t="n">
        <x:v>1</x:v>
      </x:c>
      <x:c r="F684" s="118" t="n">
        <x:v>1</x:v>
      </x:c>
      <x:c r="G684" s="117" t="str">
        <x:v>Yes</x:v>
      </x:c>
      <x:c r="H684" s="119" t="str">
        <x:v>Active v1 (Retrieved XML)</x:v>
      </x:c>
      <x:c r="I684" s="117" t="str">
        <x:v>AutoLaunchedFlow</x:v>
      </x:c>
      <x:c r="J684" s="117" t="str">
        <x:v>Opportunity</x:v>
      </x:c>
      <x:c r="K684" s="117" t="str">
        <x:v>Yes</x:v>
      </x:c>
      <x:c r="L684" s="117" t="str">
        <x:v>Update</x:v>
      </x:c>
      <x:c r="M684" s="117" t="str">
        <x:v>RecordAfterSave</x:v>
      </x:c>
      <x:c r="N684" s="117"/>
      <x:c r="O684" s="117"/>
      <x:c r="P684" s="117" t="str"/>
      <x:c r="Q684" s="117" t="str">
        <x:v>65.0</x:v>
      </x:c>
      <x:c r="R684" s="117" t="str">
        <x:v>unmanaged</x:v>
      </x:c>
      <x:c r="S684" s="118" t="n">
        <x:v>1</x:v>
      </x:c>
      <x:c r="T684" s="118" t="n">
        <x:v>4</x:v>
      </x:c>
      <x:c r="U684" s="118" t="n">
        <x:v>1</x:v>
      </x:c>
      <x:c r="V684" s="118" t="n">
        <x:v>0</x:v>
      </x:c>
      <x:c r="W684" s="118" t="n">
        <x:v>0</x:v>
      </x:c>
      <x:c r="X684" s="118" t="n">
        <x:v>0</x:v>
      </x:c>
      <x:c r="Y684" s="118" t="n">
        <x:v>1</x:v>
      </x:c>
      <x:c r="Z684" s="117" t="str">
        <x:v>Strong</x:v>
      </x:c>
      <x:c r="AA684" s="120" t="n">
        <x:v>46149.74480324074</x:v>
      </x:c>
      <x:c r="AB684" s="117" t="str">
        <x:v>Delegate</x:v>
      </x:c>
      <x:c r="AC684" s="119" t="str">
        <x:v>05/07/2026 (BW) - On setting of the opportunity stage to "Repair Declined", update the related US FSL work order status to "Pending Shipment"</x:v>
      </x:c>
      <x:c r="AD684" s="119" t="str"/>
    </x:row>
    <x:row r="685" ht="34" customHeight="1">
      <x:c r="A685" s="117" t="str">
        <x:v>300Ro00000wtiDZIAY</x:v>
      </x:c>
      <x:c r="B685" s="117" t="str">
        <x:v>US_FSL_On_submitting_of_shipping_update_the_work_order_to_pending_shipment</x:v>
      </x:c>
      <x:c r="C685" s="117" t="str">
        <x:v>US FSL | On submitting of shipping, update the work order to pending shipment and mark assets as reserved</x:v>
      </x:c>
      <x:c r="D685" s="117" t="str">
        <x:v>Yes</x:v>
      </x:c>
      <x:c r="E685" s="118" t="n">
        <x:v>3</x:v>
      </x:c>
      <x:c r="F685" s="118" t="n">
        <x:v>3</x:v>
      </x:c>
      <x:c r="G685" s="117" t="str">
        <x:v>Yes</x:v>
      </x:c>
      <x:c r="H685" s="119" t="str">
        <x:v>Active v3 (Retrieved XML)</x:v>
      </x:c>
      <x:c r="I685" s="117" t="str">
        <x:v>AutoLaunchedFlow</x:v>
      </x:c>
      <x:c r="J685" s="117" t="str">
        <x:v>ServiceAppointment</x:v>
      </x:c>
      <x:c r="K685" s="117" t="str">
        <x:v>Yes</x:v>
      </x:c>
      <x:c r="L685" s="117" t="str">
        <x:v>Update</x:v>
      </x:c>
      <x:c r="M685" s="117" t="str">
        <x:v>RecordAfterSave</x:v>
      </x:c>
      <x:c r="N685" s="117"/>
      <x:c r="O685" s="117"/>
      <x:c r="P685" s="117" t="str"/>
      <x:c r="Q685" s="117" t="str">
        <x:v>66.0</x:v>
      </x:c>
      <x:c r="R685" s="117" t="str">
        <x:v>unmanaged</x:v>
      </x:c>
      <x:c r="S685" s="118" t="n">
        <x:v>3</x:v>
      </x:c>
      <x:c r="T685" s="118" t="n">
        <x:v>10</x:v>
      </x:c>
      <x:c r="U685" s="118" t="n">
        <x:v>4</x:v>
      </x:c>
      <x:c r="V685" s="118" t="n">
        <x:v>0</x:v>
      </x:c>
      <x:c r="W685" s="118" t="n">
        <x:v>0</x:v>
      </x:c>
      <x:c r="X685" s="118" t="n">
        <x:v>0</x:v>
      </x:c>
      <x:c r="Y685" s="118" t="n">
        <x:v>2</x:v>
      </x:c>
      <x:c r="Z685" s="117" t="str">
        <x:v>Strong</x:v>
      </x:c>
      <x:c r="AA685" s="120" t="n">
        <x:v>46149.53407407407</x:v>
      </x:c>
      <x:c r="AB685" s="117" t="str">
        <x:v>Delegate</x:v>
      </x:c>
      <x:c r="AC685" s="119" t="str">
        <x:v>05/07/2026 (BW) - Updated to also mark the assets as reserved</x:v>
      </x:c>
      <x:c r="AD685" s="119" t="str">
        <x:v>Touches many objects</x:v>
      </x:c>
    </x:row>
    <x:row r="686" ht="34" customHeight="1">
      <x:c r="A686" s="117" t="str">
        <x:v>300Ro00000wthFqIAI</x:v>
      </x:c>
      <x:c r="B686" s="117" t="str">
        <x:v>US_FSL_On_Tracking_Entered_for_Service_Appointment_update_the_work_order_to_Part</x:v>
      </x:c>
      <x:c r="C686" s="117" t="str">
        <x:v>US FSL | On Tracking Entered for Service Appointment update the work order to Parts/Probed Shipped</x:v>
      </x:c>
      <x:c r="D686" s="117" t="str">
        <x:v>Yes</x:v>
      </x:c>
      <x:c r="E686" s="118" t="n">
        <x:v>3</x:v>
      </x:c>
      <x:c r="F686" s="118" t="n">
        <x:v>3</x:v>
      </x:c>
      <x:c r="G686" s="117" t="str">
        <x:v>Yes</x:v>
      </x:c>
      <x:c r="H686" s="119" t="str">
        <x:v>Active v3 (Retrieved XML)</x:v>
      </x:c>
      <x:c r="I686" s="117" t="str">
        <x:v>AutoLaunchedFlow</x:v>
      </x:c>
      <x:c r="J686" s="117" t="str">
        <x:v>ServiceAppointment</x:v>
      </x:c>
      <x:c r="K686" s="117" t="str">
        <x:v>Yes</x:v>
      </x:c>
      <x:c r="L686" s="117" t="str">
        <x:v>Update</x:v>
      </x:c>
      <x:c r="M686" s="117" t="str">
        <x:v>RecordAfterSave</x:v>
      </x:c>
      <x:c r="N686" s="117"/>
      <x:c r="O686" s="117"/>
      <x:c r="P686" s="117" t="str"/>
      <x:c r="Q686" s="117" t="str">
        <x:v>66.0</x:v>
      </x:c>
      <x:c r="R686" s="117" t="str">
        <x:v>unmanaged</x:v>
      </x:c>
      <x:c r="S686" s="118" t="n">
        <x:v>3</x:v>
      </x:c>
      <x:c r="T686" s="118" t="n">
        <x:v>6</x:v>
      </x:c>
      <x:c r="U686" s="118" t="n">
        <x:v>2</x:v>
      </x:c>
      <x:c r="V686" s="118" t="n">
        <x:v>0</x:v>
      </x:c>
      <x:c r="W686" s="118" t="n">
        <x:v>1</x:v>
      </x:c>
      <x:c r="X686" s="118" t="n">
        <x:v>0</x:v>
      </x:c>
      <x:c r="Y686" s="118" t="n">
        <x:v>1</x:v>
      </x:c>
      <x:c r="Z686" s="117" t="str">
        <x:v>Strong</x:v>
      </x:c>
      <x:c r="AA686" s="120" t="n">
        <x:v>46170.6496875</x:v>
      </x:c>
      <x:c r="AB686" s="117" t="str">
        <x:v>Delegate</x:v>
      </x:c>
      <x:c r="AC686" s="119" t="str">
        <x:v>05/28/2026 (BW) - Updated so that the Email for Engineer gets added to the service appointment for the shipping alert</x:v>
      </x:c>
      <x:c r="AD686" s="119" t="str"/>
    </x:row>
    <x:row r="687" ht="34" customHeight="1">
      <x:c r="A687" s="117" t="str">
        <x:v>300Ro00000qqmCHIAY</x:v>
      </x:c>
      <x:c r="B687" s="117" t="str">
        <x:v>US_FSL_On_WO_Field_Update_Update_Opportunity_Fields</x:v>
      </x:c>
      <x:c r="C687" s="117" t="str">
        <x:v>US FSL | On PO Number Update - Update Opportunity Customer PO #</x:v>
      </x:c>
      <x:c r="D687" s="117" t="str">
        <x:v>Yes</x:v>
      </x:c>
      <x:c r="E687" s="118" t="n">
        <x:v>8</x:v>
      </x:c>
      <x:c r="F687" s="118" t="n">
        <x:v>8</x:v>
      </x:c>
      <x:c r="G687" s="117" t="str">
        <x:v>Yes</x:v>
      </x:c>
      <x:c r="H687" s="119" t="str">
        <x:v>Active v8 (Retrieved XML)</x:v>
      </x:c>
      <x:c r="I687" s="117" t="str">
        <x:v>AutoLaunchedFlow</x:v>
      </x:c>
      <x:c r="J687" s="117" t="str">
        <x:v>WorkOrder</x:v>
      </x:c>
      <x:c r="K687" s="117" t="str">
        <x:v>Yes</x:v>
      </x:c>
      <x:c r="L687" s="117" t="str">
        <x:v>Update</x:v>
      </x:c>
      <x:c r="M687" s="117" t="str">
        <x:v>RecordAfterSave</x:v>
      </x:c>
      <x:c r="N687" s="117"/>
      <x:c r="O687" s="117"/>
      <x:c r="P687" s="117" t="str"/>
      <x:c r="Q687" s="117" t="str">
        <x:v>65.0</x:v>
      </x:c>
      <x:c r="R687" s="117" t="str">
        <x:v>unmanaged</x:v>
      </x:c>
      <x:c r="S687" s="118" t="n">
        <x:v>8</x:v>
      </x:c>
      <x:c r="T687" s="118" t="n">
        <x:v>6</x:v>
      </x:c>
      <x:c r="U687" s="118" t="n">
        <x:v>2</x:v>
      </x:c>
      <x:c r="V687" s="118" t="n">
        <x:v>0</x:v>
      </x:c>
      <x:c r="W687" s="118" t="n">
        <x:v>0</x:v>
      </x:c>
      <x:c r="X687" s="118" t="n">
        <x:v>0</x:v>
      </x:c>
      <x:c r="Y687" s="118" t="n">
        <x:v>1</x:v>
      </x:c>
      <x:c r="Z687" s="117" t="str">
        <x:v>Strong</x:v>
      </x:c>
      <x:c r="AA687" s="120" t="n">
        <x:v>46134.689097222225</x:v>
      </x:c>
      <x:c r="AB687" s="117" t="str">
        <x:v>Delegate</x:v>
      </x:c>
      <x:c r="AC687" s="119" t="str">
        <x:v>04/22/2026 (BW) - Sets the PO Number on the Opportunity in a more declarative method</x:v>
      </x:c>
      <x:c r="AD687" s="119" t="str"/>
    </x:row>
    <x:row r="688" ht="34" customHeight="1">
      <x:c r="A688" s="117" t="str">
        <x:v>300Ro00000t0qWnIAI</x:v>
      </x:c>
      <x:c r="B688" s="117" t="str">
        <x:v>US_FSL_Picked_Up_By_Checkbox_to_denote_if_it_s_been_picked_up_by_operations</x:v>
      </x:c>
      <x:c r="C688" s="117" t="str">
        <x:v>US FSL | Picked Up By Checkbox to denote if it's been picked up by operations</x:v>
      </x:c>
      <x:c r="D688" s="117" t="str">
        <x:v>Yes</x:v>
      </x:c>
      <x:c r="E688" s="118" t="n">
        <x:v>1</x:v>
      </x:c>
      <x:c r="F688" s="118" t="n">
        <x:v>1</x:v>
      </x:c>
      <x:c r="G688" s="117" t="str">
        <x:v>Yes</x:v>
      </x:c>
      <x:c r="H688" s="119" t="str">
        <x:v>Active v1 (Retrieved XML)</x:v>
      </x:c>
      <x:c r="I688" s="117" t="str">
        <x:v>AutoLaunchedFlow</x:v>
      </x:c>
      <x:c r="J688" s="117" t="str">
        <x:v>WorkOrder</x:v>
      </x:c>
      <x:c r="K688" s="117" t="str">
        <x:v>Yes</x:v>
      </x:c>
      <x:c r="L688" s="117" t="str">
        <x:v>Update</x:v>
      </x:c>
      <x:c r="M688" s="117" t="str">
        <x:v>RecordBeforeSave</x:v>
      </x:c>
      <x:c r="N688" s="117"/>
      <x:c r="O688" s="117"/>
      <x:c r="P688" s="117" t="str"/>
      <x:c r="Q688" s="117" t="str">
        <x:v>66.0</x:v>
      </x:c>
      <x:c r="R688" s="117" t="str">
        <x:v>unmanaged</x:v>
      </x:c>
      <x:c r="S688" s="118" t="n">
        <x:v>1</x:v>
      </x:c>
      <x:c r="T688" s="118" t="n">
        <x:v>2</x:v>
      </x:c>
      <x:c r="U688" s="118" t="n">
        <x:v>1</x:v>
      </x:c>
      <x:c r="V688" s="118" t="n">
        <x:v>0</x:v>
      </x:c>
      <x:c r="W688" s="118" t="n">
        <x:v>0</x:v>
      </x:c>
      <x:c r="X688" s="118" t="n">
        <x:v>0</x:v>
      </x:c>
      <x:c r="Y688" s="118" t="n">
        <x:v>1</x:v>
      </x:c>
      <x:c r="Z688" s="117" t="str">
        <x:v>Review</x:v>
      </x:c>
      <x:c r="AA688" s="120" t="n">
        <x:v>46098.611759259256</x:v>
      </x:c>
      <x:c r="AB688" s="117" t="str">
        <x:v>Delegate</x:v>
      </x:c>
      <x:c r="AC688" s="119" t="str">
        <x:v>03/17/2026 (BW) - Updating the picked up by ID when the user selects the picked up checkbox</x:v>
      </x:c>
      <x:c r="AD688" s="119" t="str"/>
    </x:row>
    <x:row r="689" ht="34" customHeight="1">
      <x:c r="A689" s="117" t="str">
        <x:v>300Ro00000wCQdIIAW</x:v>
      </x:c>
      <x:c r="B689" s="117" t="str">
        <x:v>US_FSL_RMA_Date_Repair_Evaluation_Sent</x:v>
      </x:c>
      <x:c r="C689" s="117" t="str">
        <x:v>US FSL RMA | Date Repair Evaluation Sent marks as "Quote Attached" on the work order</x:v>
      </x:c>
      <x:c r="D689" s="117" t="str">
        <x:v>Yes</x:v>
      </x:c>
      <x:c r="E689" s="118" t="n">
        <x:v>1</x:v>
      </x:c>
      <x:c r="F689" s="118" t="n">
        <x:v>1</x:v>
      </x:c>
      <x:c r="G689" s="117" t="str">
        <x:v>Yes</x:v>
      </x:c>
      <x:c r="H689" s="119" t="str">
        <x:v>Active v1 (Retrieved XML)</x:v>
      </x:c>
      <x:c r="I689" s="117" t="str">
        <x:v>AutoLaunchedFlow</x:v>
      </x:c>
      <x:c r="J689" s="117" t="str">
        <x:v>RMA__c</x:v>
      </x:c>
      <x:c r="K689" s="117" t="str">
        <x:v>Yes</x:v>
      </x:c>
      <x:c r="L689" s="117" t="str">
        <x:v>Update</x:v>
      </x:c>
      <x:c r="M689" s="117" t="str">
        <x:v>RecordAfterSave</x:v>
      </x:c>
      <x:c r="N689" s="117"/>
      <x:c r="O689" s="117"/>
      <x:c r="P689" s="117" t="str"/>
      <x:c r="Q689" s="117" t="str">
        <x:v>65.0</x:v>
      </x:c>
      <x:c r="R689" s="117" t="str">
        <x:v>unmanaged</x:v>
      </x:c>
      <x:c r="S689" s="118" t="n">
        <x:v>1</x:v>
      </x:c>
      <x:c r="T689" s="118" t="n">
        <x:v>4</x:v>
      </x:c>
      <x:c r="U689" s="118" t="n">
        <x:v>1</x:v>
      </x:c>
      <x:c r="V689" s="118" t="n">
        <x:v>0</x:v>
      </x:c>
      <x:c r="W689" s="118" t="n">
        <x:v>0</x:v>
      </x:c>
      <x:c r="X689" s="118" t="n">
        <x:v>0</x:v>
      </x:c>
      <x:c r="Y689" s="118" t="n">
        <x:v>1</x:v>
      </x:c>
      <x:c r="Z689" s="117" t="str">
        <x:v>Strong</x:v>
      </x:c>
      <x:c r="AA689" s="120" t="n">
        <x:v>46140.500625</x:v>
      </x:c>
      <x:c r="AB689" s="117" t="str">
        <x:v>Delegate</x:v>
      </x:c>
      <x:c r="AC689" s="119" t="str">
        <x:v>04/28/206 (BW) - Setting the "Date Repair Evaluation Sent" marks the work order as "Quote Attached"</x:v>
      </x:c>
      <x:c r="AD689" s="119" t="str"/>
    </x:row>
    <x:row r="690" ht="34" customHeight="1">
      <x:c r="A690" s="117" t="str">
        <x:v>300Ro00000pqRhvIAE</x:v>
      </x:c>
      <x:c r="B690" s="117" t="str">
        <x:v>US_FSL_RMA_On_Marking_Cannot_Repair_Update_Work_Order_to_Cannot_Repair</x:v>
      </x:c>
      <x:c r="C690" s="117" t="str">
        <x:v>US FSL RMA | On Marking Cannot Repair, Update Work Order to Cannot Repair</x:v>
      </x:c>
      <x:c r="D690" s="117" t="str">
        <x:v>No</x:v>
      </x:c>
      <x:c r="E690" s="118"/>
      <x:c r="F690" s="118" t="n">
        <x:v>1</x:v>
      </x:c>
      <x:c r="G690" s="117" t="str">
        <x:v>N/A</x:v>
      </x:c>
      <x:c r="H690" s="119" t="str">
        <x:v>Latest inactive v1 (Retrieved XML)</x:v>
      </x:c>
      <x:c r="I690" s="117" t="str">
        <x:v>AutoLaunchedFlow</x:v>
      </x:c>
      <x:c r="J690" s="117" t="str">
        <x:v>RMA__c</x:v>
      </x:c>
      <x:c r="K690" s="117" t="str">
        <x:v>No</x:v>
      </x:c>
      <x:c r="L690" s="117" t="str">
        <x:v>Update</x:v>
      </x:c>
      <x:c r="M690" s="117" t="str">
        <x:v>RecordAfterSave</x:v>
      </x:c>
      <x:c r="N690" s="117"/>
      <x:c r="O690" s="117"/>
      <x:c r="P690" s="117" t="str"/>
      <x:c r="Q690" s="117" t="str">
        <x:v>65.0</x:v>
      </x:c>
      <x:c r="R690" s="117" t="str">
        <x:v>unmanaged</x:v>
      </x:c>
      <x:c r="S690" s="118" t="n">
        <x:v>1</x:v>
      </x:c>
      <x:c r="T690" s="118" t="n">
        <x:v>4</x:v>
      </x:c>
      <x:c r="U690" s="118" t="n">
        <x:v>1</x:v>
      </x:c>
      <x:c r="V690" s="118" t="n">
        <x:v>0</x:v>
      </x:c>
      <x:c r="W690" s="118" t="n">
        <x:v>0</x:v>
      </x:c>
      <x:c r="X690" s="118" t="n">
        <x:v>0</x:v>
      </x:c>
      <x:c r="Y690" s="118" t="n">
        <x:v>1</x:v>
      </x:c>
      <x:c r="Z690" s="117" t="str">
        <x:v>N/A</x:v>
      </x:c>
      <x:c r="AA690" s="120" t="n">
        <x:v>46091.78114583333</x:v>
      </x:c>
      <x:c r="AB690" s="117" t="str">
        <x:v>Delegate</x:v>
      </x:c>
      <x:c r="AC690" s="119" t="str">
        <x:v>02/03/2026 (BW) - Updates the work order to cannot repair when the RMA is stated that a repair cannot be completed</x:v>
      </x:c>
      <x:c r="AD690" s="119" t="str"/>
    </x:row>
    <x:row r="691" ht="34" customHeight="1">
      <x:c r="A691" s="117" t="str">
        <x:v>300Ro00000rCttRIAS</x:v>
      </x:c>
      <x:c r="B691" s="117" t="str">
        <x:v>US_FSL_RMA_On_Probe_Check_In_for_Repair_Set_Date_Checked_In_on_Work_Order</x:v>
      </x:c>
      <x:c r="C691" s="117" t="str">
        <x:v>US FSL RMA | On Probe Check-In for Repair, Set Date Checked-In on Work Order</x:v>
      </x:c>
      <x:c r="D691" s="117" t="str">
        <x:v>Yes</x:v>
      </x:c>
      <x:c r="E691" s="118" t="n">
        <x:v>3</x:v>
      </x:c>
      <x:c r="F691" s="118" t="n">
        <x:v>3</x:v>
      </x:c>
      <x:c r="G691" s="117" t="str">
        <x:v>Yes</x:v>
      </x:c>
      <x:c r="H691" s="119" t="str">
        <x:v>Active v3 (Retrieved XML)</x:v>
      </x:c>
      <x:c r="I691" s="117" t="str">
        <x:v>AutoLaunchedFlow</x:v>
      </x:c>
      <x:c r="J691" s="117" t="str">
        <x:v>RMA__c</x:v>
      </x:c>
      <x:c r="K691" s="117" t="str">
        <x:v>Yes</x:v>
      </x:c>
      <x:c r="L691" s="117" t="str">
        <x:v>Update</x:v>
      </x:c>
      <x:c r="M691" s="117" t="str">
        <x:v>RecordAfterSave</x:v>
      </x:c>
      <x:c r="N691" s="117"/>
      <x:c r="O691" s="117"/>
      <x:c r="P691" s="117" t="str"/>
      <x:c r="Q691" s="117" t="str">
        <x:v>65.0</x:v>
      </x:c>
      <x:c r="R691" s="117" t="str">
        <x:v>unmanaged</x:v>
      </x:c>
      <x:c r="S691" s="118" t="n">
        <x:v>3</x:v>
      </x:c>
      <x:c r="T691" s="118" t="n">
        <x:v>4</x:v>
      </x:c>
      <x:c r="U691" s="118" t="n">
        <x:v>1</x:v>
      </x:c>
      <x:c r="V691" s="118" t="n">
        <x:v>0</x:v>
      </x:c>
      <x:c r="W691" s="118" t="n">
        <x:v>0</x:v>
      </x:c>
      <x:c r="X691" s="118" t="n">
        <x:v>0</x:v>
      </x:c>
      <x:c r="Y691" s="118" t="n">
        <x:v>1</x:v>
      </x:c>
      <x:c r="Z691" s="117" t="str">
        <x:v>Strong</x:v>
      </x:c>
      <x:c r="AA691" s="120" t="n">
        <x:v>46114.654131944444</x:v>
      </x:c>
      <x:c r="AB691" s="117" t="str">
        <x:v>Delegate</x:v>
      </x:c>
      <x:c r="AC691" s="119" t="str">
        <x:v>04/02/2026 (BW) - Updates to allow for Warranty Repair with Customer Expectation of Returning to change the Work Order to "In Progress" when the probe is received</x:v>
      </x:c>
      <x:c r="AD691" s="119" t="str"/>
    </x:row>
    <x:row r="692" ht="34" customHeight="1">
      <x:c r="A692" s="117" t="str">
        <x:v>300Ro00000yVe3VIAS</x:v>
      </x:c>
      <x:c r="B692" s="117" t="str">
        <x:v>US_FSL_Site_Address_Populated_but_Not_Shipping_Address</x:v>
      </x:c>
      <x:c r="C692" s="117" t="str">
        <x:v>US FSL | Site Address Populated but Not Shipping Address</x:v>
      </x:c>
      <x:c r="D692" s="117" t="str">
        <x:v>Yes</x:v>
      </x:c>
      <x:c r="E692" s="118" t="n">
        <x:v>3</x:v>
      </x:c>
      <x:c r="F692" s="118" t="n">
        <x:v>3</x:v>
      </x:c>
      <x:c r="G692" s="117" t="str">
        <x:v>Yes</x:v>
      </x:c>
      <x:c r="H692" s="119" t="str">
        <x:v>Active v3 (Retrieved XML)</x:v>
      </x:c>
      <x:c r="I692" s="117" t="str">
        <x:v>AutoLaunchedFlow</x:v>
      </x:c>
      <x:c r="J692" s="117" t="str">
        <x:v>WorkOrder</x:v>
      </x:c>
      <x:c r="K692" s="117" t="str">
        <x:v>Yes</x:v>
      </x:c>
      <x:c r="L692" s="117" t="str">
        <x:v>Update</x:v>
      </x:c>
      <x:c r="M692" s="117" t="str">
        <x:v>RecordAfterSave</x:v>
      </x:c>
      <x:c r="N692" s="117"/>
      <x:c r="O692" s="117"/>
      <x:c r="P692" s="117" t="str"/>
      <x:c r="Q692" s="117" t="str">
        <x:v>65.0</x:v>
      </x:c>
      <x:c r="R692" s="117" t="str">
        <x:v>unmanaged</x:v>
      </x:c>
      <x:c r="S692" s="118" t="n">
        <x:v>3</x:v>
      </x:c>
      <x:c r="T692" s="118" t="n">
        <x:v>3</x:v>
      </x:c>
      <x:c r="U692" s="118" t="n">
        <x:v>2</x:v>
      </x:c>
      <x:c r="V692" s="118" t="n">
        <x:v>0</x:v>
      </x:c>
      <x:c r="W692" s="118" t="n">
        <x:v>0</x:v>
      </x:c>
      <x:c r="X692" s="118" t="n">
        <x:v>0</x:v>
      </x:c>
      <x:c r="Y692" s="118" t="n">
        <x:v>1</x:v>
      </x:c>
      <x:c r="Z692" s="117" t="str">
        <x:v>Strong</x:v>
      </x:c>
      <x:c r="AA692" s="120" t="n">
        <x:v>46169.63171296296</x:v>
      </x:c>
      <x:c r="AB692" s="117" t="str">
        <x:v>Delegate</x:v>
      </x:c>
      <x:c r="AC692" s="119" t="str">
        <x:v>05/27/2026 (BW) - Separating out a flow that is erroring</x:v>
      </x:c>
      <x:c r="AD692" s="119" t="str"/>
    </x:row>
    <x:row r="693" ht="34" customHeight="1">
      <x:c r="A693" s="117" t="str">
        <x:v>300Ro00000r7jgEIAQ</x:v>
      </x:c>
      <x:c r="B693" s="117" t="str">
        <x:v>US_FSL_Trigger_Generate_Checksheet_HTML</x:v>
      </x:c>
      <x:c r="C693" s="117" t="str">
        <x:v>US FSL - Trigger - Generate Checksheet HTML</x:v>
      </x:c>
      <x:c r="D693" s="117" t="str">
        <x:v>Yes</x:v>
      </x:c>
      <x:c r="E693" s="118" t="n">
        <x:v>9</x:v>
      </x:c>
      <x:c r="F693" s="118" t="n">
        <x:v>9</x:v>
      </x:c>
      <x:c r="G693" s="117" t="str">
        <x:v>Yes</x:v>
      </x:c>
      <x:c r="H693" s="119" t="str">
        <x:v>Active v9 (Retrieved XML)</x:v>
      </x:c>
      <x:c r="I693" s="117" t="str">
        <x:v>AutoLaunchedFlow</x:v>
      </x:c>
      <x:c r="J693" s="117" t="str">
        <x:v>ServiceAppointment</x:v>
      </x:c>
      <x:c r="K693" s="117" t="str">
        <x:v>Yes</x:v>
      </x:c>
      <x:c r="L693" s="117" t="str">
        <x:v>Update</x:v>
      </x:c>
      <x:c r="M693" s="117" t="str">
        <x:v>RecordAfterSave</x:v>
      </x:c>
      <x:c r="N693" s="117"/>
      <x:c r="O693" s="117"/>
      <x:c r="P693" s="117" t="str"/>
      <x:c r="Q693" s="117" t="str">
        <x:v>65.0</x:v>
      </x:c>
      <x:c r="R693" s="117" t="str">
        <x:v>unmanaged</x:v>
      </x:c>
      <x:c r="S693" s="118" t="n">
        <x:v>9</x:v>
      </x:c>
      <x:c r="T693" s="118" t="n">
        <x:v>26</x:v>
      </x:c>
      <x:c r="U693" s="118" t="n">
        <x:v>3</x:v>
      </x:c>
      <x:c r="V693" s="118" t="n">
        <x:v>0</x:v>
      </x:c>
      <x:c r="W693" s="118" t="n">
        <x:v>0</x:v>
      </x:c>
      <x:c r="X693" s="118" t="n">
        <x:v>0</x:v>
      </x:c>
      <x:c r="Y693" s="118" t="n">
        <x:v>3</x:v>
      </x:c>
      <x:c r="Z693" s="117" t="str">
        <x:v>Strong</x:v>
      </x:c>
      <x:c r="AA693" s="120" t="n">
        <x:v>46161.01712962963</x:v>
      </x:c>
      <x:c r="AB693" s="117" t="str">
        <x:v>Mindy Bender</x:v>
      </x:c>
      <x:c r="AC693" s="119" t="str">
        <x:v>03/23/2026 (BW) - Adding a node to have the output checklist also update the Work Order for the FSL Template
04/08/2026 - MPB - Adding Trophon PM flow
05/18/2026 - MPB - Adding Trophon Comments to HTML</x:v>
      </x:c>
      <x:c r="AD693" s="119" t="str"/>
    </x:row>
    <x:row r="694" ht="34" customHeight="1">
      <x:c r="A694" s="117" t="str">
        <x:v>300Ro00000uYiHvIAK</x:v>
      </x:c>
      <x:c r="B694" s="117" t="str">
        <x:v>US_FSL_Trophon_Checklist</x:v>
      </x:c>
      <x:c r="C694" s="117" t="str">
        <x:v>US FSL - Trophon Checklist</x:v>
      </x:c>
      <x:c r="D694" s="117" t="str">
        <x:v>Yes</x:v>
      </x:c>
      <x:c r="E694" s="118" t="n">
        <x:v>8</x:v>
      </x:c>
      <x:c r="F694" s="118" t="n">
        <x:v>8</x:v>
      </x:c>
      <x:c r="G694" s="117" t="str">
        <x:v>Yes</x:v>
      </x:c>
      <x:c r="H694" s="119" t="str">
        <x:v>Active v8 (Retrieved XML)</x:v>
      </x:c>
      <x:c r="I694" s="117" t="str">
        <x:v>FieldServiceMobile</x:v>
      </x:c>
      <x:c r="J694" s="117" t="str"/>
      <x:c r="K694" s="117" t="str">
        <x:v>No</x:v>
      </x:c>
      <x:c r="L694" s="117" t="str"/>
      <x:c r="M694" s="117" t="str"/>
      <x:c r="N694" s="117"/>
      <x:c r="O694" s="117"/>
      <x:c r="P694" s="117" t="str"/>
      <x:c r="Q694" s="117"/>
      <x:c r="R694" s="117" t="str">
        <x:v>unmanaged</x:v>
      </x:c>
      <x:c r="S694" s="118" t="n">
        <x:v>8</x:v>
      </x:c>
      <x:c r="T694" s="118" t="n">
        <x:v>42</x:v>
      </x:c>
      <x:c r="U694" s="118" t="n">
        <x:v>5</x:v>
      </x:c>
      <x:c r="V694" s="118" t="n">
        <x:v>0</x:v>
      </x:c>
      <x:c r="W694" s="118" t="n">
        <x:v>0</x:v>
      </x:c>
      <x:c r="X694" s="118" t="n">
        <x:v>0</x:v>
      </x:c>
      <x:c r="Y694" s="118" t="n">
        <x:v>4</x:v>
      </x:c>
      <x:c r="Z694" s="117" t="str">
        <x:v>N/A</x:v>
      </x:c>
      <x:c r="AA694" s="120" t="n">
        <x:v>46225.65892361111</x:v>
      </x:c>
      <x:c r="AB694" s="117" t="str">
        <x:v>Mindy Bender</x:v>
      </x:c>
      <x:c r="AC694" s="119" t="str">
        <x:v>07/22/2026 - MPB - Fixing Prelim Record Id</x:v>
      </x:c>
      <x:c r="AD694" s="119" t="str">
        <x:v>High element count; Touches many objects</x:v>
      </x:c>
    </x:row>
    <x:row r="695" ht="34" customHeight="1">
      <x:c r="A695" s="117" t="str">
        <x:v>300Ro00000noVpCIAU</x:v>
      </x:c>
      <x:c r="B695" s="117" t="str">
        <x:v>US_FSL_Ultrasound_Checklist</x:v>
      </x:c>
      <x:c r="C695" s="117" t="str">
        <x:v>US FSL - Ultrasound Checklist</x:v>
      </x:c>
      <x:c r="D695" s="117" t="str">
        <x:v>Yes</x:v>
      </x:c>
      <x:c r="E695" s="118" t="n">
        <x:v>78</x:v>
      </x:c>
      <x:c r="F695" s="118" t="n">
        <x:v>78</x:v>
      </x:c>
      <x:c r="G695" s="117" t="str">
        <x:v>Yes</x:v>
      </x:c>
      <x:c r="H695" s="119" t="str">
        <x:v>Active v78 (Retrieved XML)</x:v>
      </x:c>
      <x:c r="I695" s="117" t="str">
        <x:v>FieldServiceMobile</x:v>
      </x:c>
      <x:c r="J695" s="117" t="str"/>
      <x:c r="K695" s="117" t="str">
        <x:v>No</x:v>
      </x:c>
      <x:c r="L695" s="117" t="str"/>
      <x:c r="M695" s="117" t="str"/>
      <x:c r="N695" s="117"/>
      <x:c r="O695" s="117"/>
      <x:c r="P695" s="117" t="str"/>
      <x:c r="Q695" s="117"/>
      <x:c r="R695" s="117" t="str">
        <x:v>unmanaged</x:v>
      </x:c>
      <x:c r="S695" s="118" t="n">
        <x:v>38</x:v>
      </x:c>
      <x:c r="T695" s="118" t="n">
        <x:v>99</x:v>
      </x:c>
      <x:c r="U695" s="118" t="n">
        <x:v>5</x:v>
      </x:c>
      <x:c r="V695" s="118" t="n">
        <x:v>0</x:v>
      </x:c>
      <x:c r="W695" s="118" t="n">
        <x:v>0</x:v>
      </x:c>
      <x:c r="X695" s="118" t="n">
        <x:v>0</x:v>
      </x:c>
      <x:c r="Y695" s="118" t="n">
        <x:v>4</x:v>
      </x:c>
      <x:c r="Z695" s="117" t="str">
        <x:v>N/A</x:v>
      </x:c>
      <x:c r="AA695" s="120" t="n">
        <x:v>46213.68261574074</x:v>
      </x:c>
      <x:c r="AB695" s="117" t="str">
        <x:v>Mindy Bender</x:v>
      </x:c>
      <x:c r="AC695" s="119" t="str">
        <x:v>07/10/2026 - MPB - Fixing to include Block Preliminary Checks</x:v>
      </x:c>
      <x:c r="AD695" s="119" t="str">
        <x:v>High element count; Touches many objects</x:v>
      </x:c>
    </x:row>
    <x:row r="696" ht="34" customHeight="1">
      <x:c r="A696" s="117" t="str">
        <x:v>300Ro000010n4l8IAA</x:v>
      </x:c>
      <x:c r="B696" s="117" t="str">
        <x:v>US_FSL_Update_Open_SA_Shipping_Address_when_changed_on_WO</x:v>
      </x:c>
      <x:c r="C696" s="117" t="str">
        <x:v>US FSL | Update Open SA Shipping Address when changed on WO</x:v>
      </x:c>
      <x:c r="D696" s="117" t="str">
        <x:v>Yes</x:v>
      </x:c>
      <x:c r="E696" s="118" t="n">
        <x:v>2</x:v>
      </x:c>
      <x:c r="F696" s="118" t="n">
        <x:v>2</x:v>
      </x:c>
      <x:c r="G696" s="117" t="str">
        <x:v>Yes</x:v>
      </x:c>
      <x:c r="H696" s="119" t="str">
        <x:v>Active v2 (Retrieved XML)</x:v>
      </x:c>
      <x:c r="I696" s="117" t="str">
        <x:v>AutoLaunchedFlow</x:v>
      </x:c>
      <x:c r="J696" s="117" t="str">
        <x:v>WorkOrder</x:v>
      </x:c>
      <x:c r="K696" s="117" t="str">
        <x:v>Yes</x:v>
      </x:c>
      <x:c r="L696" s="117" t="str">
        <x:v>Update</x:v>
      </x:c>
      <x:c r="M696" s="117" t="str">
        <x:v>RecordAfterSave</x:v>
      </x:c>
      <x:c r="N696" s="117"/>
      <x:c r="O696" s="117"/>
      <x:c r="P696" s="117" t="str"/>
      <x:c r="Q696" s="117" t="str">
        <x:v>67.0</x:v>
      </x:c>
      <x:c r="R696" s="117" t="str">
        <x:v>unmanaged</x:v>
      </x:c>
      <x:c r="S696" s="118" t="n">
        <x:v>2</x:v>
      </x:c>
      <x:c r="T696" s="118" t="n">
        <x:v>7</x:v>
      </x:c>
      <x:c r="U696" s="118" t="n">
        <x:v>3</x:v>
      </x:c>
      <x:c r="V696" s="118" t="n">
        <x:v>0</x:v>
      </x:c>
      <x:c r="W696" s="118" t="n">
        <x:v>0</x:v>
      </x:c>
      <x:c r="X696" s="118" t="n">
        <x:v>0</x:v>
      </x:c>
      <x:c r="Y696" s="118" t="n">
        <x:v>2</x:v>
      </x:c>
      <x:c r="Z696" s="117" t="str">
        <x:v>Strong</x:v>
      </x:c>
      <x:c r="AA696" s="120" t="n">
        <x:v>46195.99594907407</x:v>
      </x:c>
      <x:c r="AB696" s="117" t="str">
        <x:v>Mindy Bender</x:v>
      </x:c>
      <x:c r="AC696" s="119" t="str">
        <x:v>updates the shipping address on any service appointment that does not have a ship date or is in completed status.</x:v>
      </x:c>
      <x:c r="AD696" s="119" t="str"/>
    </x:row>
    <x:row r="697" ht="34" customHeight="1">
      <x:c r="A697" s="117" t="str">
        <x:v>300Ro00000oer8rIAA</x:v>
      </x:c>
      <x:c r="B697" s="117" t="str">
        <x:v>US_Workflow_Update_Labor_Travel_on_Ready_for_Close</x:v>
      </x:c>
      <x:c r="C697" s="117" t="str">
        <x:v>US Workflow | Update Labor &amp; Travel on Ready for Close</x:v>
      </x:c>
      <x:c r="D697" s="117" t="str">
        <x:v>No</x:v>
      </x:c>
      <x:c r="E697" s="118"/>
      <x:c r="F697" s="118" t="n">
        <x:v>2</x:v>
      </x:c>
      <x:c r="G697" s="117" t="str">
        <x:v>N/A</x:v>
      </x:c>
      <x:c r="H697" s="119" t="str">
        <x:v>Latest inactive v2 (Retrieved XML)</x:v>
      </x:c>
      <x:c r="I697" s="117" t="str">
        <x:v>AutoLaunchedFlow</x:v>
      </x:c>
      <x:c r="J697" s="117" t="str">
        <x:v>WorkOrder</x:v>
      </x:c>
      <x:c r="K697" s="117" t="str">
        <x:v>No</x:v>
      </x:c>
      <x:c r="L697" s="117" t="str">
        <x:v>Update</x:v>
      </x:c>
      <x:c r="M697" s="117" t="str">
        <x:v>RecordAfterSave</x:v>
      </x:c>
      <x:c r="N697" s="117"/>
      <x:c r="O697" s="117"/>
      <x:c r="P697" s="117" t="str"/>
      <x:c r="Q697" s="117" t="str">
        <x:v>65.0</x:v>
      </x:c>
      <x:c r="R697" s="117" t="str">
        <x:v>unmanaged</x:v>
      </x:c>
      <x:c r="S697" s="118" t="n">
        <x:v>2</x:v>
      </x:c>
      <x:c r="T697" s="118" t="n">
        <x:v>14</x:v>
      </x:c>
      <x:c r="U697" s="118" t="n">
        <x:v>3</x:v>
      </x:c>
      <x:c r="V697" s="118" t="n">
        <x:v>0</x:v>
      </x:c>
      <x:c r="W697" s="118" t="n">
        <x:v>0</x:v>
      </x:c>
      <x:c r="X697" s="118" t="n">
        <x:v>0</x:v>
      </x:c>
      <x:c r="Y697" s="118" t="n">
        <x:v>2</x:v>
      </x:c>
      <x:c r="Z697" s="117" t="str">
        <x:v>N/A</x:v>
      </x:c>
      <x:c r="AA697" s="120" t="n">
        <x:v>46163.855671296296</x:v>
      </x:c>
      <x:c r="AB697" s="117" t="str">
        <x:v>Delegate</x:v>
      </x:c>
      <x:c r="AC697" s="119" t="str">
        <x:v>01/20/2026 (BW) - For US Work Orders, when status is updated to "Ready for Close", transfer any and all labor and travel hours to the work order</x:v>
      </x:c>
      <x:c r="AD697" s="119" t="str"/>
    </x:row>
    <x:row r="698" ht="34" customHeight="1">
      <x:c r="A698" s="117" t="str">
        <x:v>300Ro00000E8Q6wIAF</x:v>
      </x:c>
      <x:c r="B698" s="117" t="str">
        <x:v>Vendor_Payment_Request_Screen_Flow</x:v>
      </x:c>
      <x:c r="C698" s="117" t="str">
        <x:v>Vendor Payment Request Screen Flow</x:v>
      </x:c>
      <x:c r="D698" s="117" t="str">
        <x:v>No</x:v>
      </x:c>
      <x:c r="E698" s="118"/>
      <x:c r="F698" s="118" t="n">
        <x:v>1</x:v>
      </x:c>
      <x:c r="G698" s="117" t="str">
        <x:v>N/A</x:v>
      </x:c>
      <x:c r="H698" s="119" t="str">
        <x:v>Latest inactive v1 (Retrieved XML)</x:v>
      </x:c>
      <x:c r="I698" s="117" t="str">
        <x:v>Flow</x:v>
      </x:c>
      <x:c r="J698" s="117" t="str"/>
      <x:c r="K698" s="117" t="str">
        <x:v>No</x:v>
      </x:c>
      <x:c r="L698" s="117" t="str"/>
      <x:c r="M698" s="117" t="str"/>
      <x:c r="N698" s="117" t="str">
        <x:v>SystemModeWithoutSharing</x:v>
      </x:c>
      <x:c r="O698" s="117"/>
      <x:c r="P698" s="117" t="str"/>
      <x:c r="Q698" s="117" t="str">
        <x:v>60.0</x:v>
      </x:c>
      <x:c r="R698" s="117" t="str">
        <x:v>unmanaged</x:v>
      </x:c>
      <x:c r="S698" s="118" t="n">
        <x:v>1</x:v>
      </x:c>
      <x:c r="T698" s="118" t="n">
        <x:v>7</x:v>
      </x:c>
      <x:c r="U698" s="118" t="n">
        <x:v>2</x:v>
      </x:c>
      <x:c r="V698" s="118" t="n">
        <x:v>0</x:v>
      </x:c>
      <x:c r="W698" s="118" t="n">
        <x:v>1</x:v>
      </x:c>
      <x:c r="X698" s="118" t="n">
        <x:v>1</x:v>
      </x:c>
      <x:c r="Y698" s="118" t="n">
        <x:v>1</x:v>
      </x:c>
      <x:c r="Z698" s="117" t="str">
        <x:v>N/A</x:v>
      </x:c>
      <x:c r="AA698" s="120" t="n">
        <x:v>45467.597708333335</x:v>
      </x:c>
      <x:c r="AB698" s="117" t="str">
        <x:v>Jace Gentil</x:v>
      </x:c>
      <x:c r="AC698" s="119" t="str"/>
      <x:c r="AD698" s="119" t="str"/>
    </x:row>
    <x:row r="699" ht="34" customHeight="1">
      <x:c r="A699" s="117" t="str">
        <x:v>3004O0000000a7AQAQ</x:v>
      </x:c>
      <x:c r="B699" s="117" t="str">
        <x:v>Venn_Outbound_Message_New_Account</x:v>
      </x:c>
      <x:c r="C699" s="117" t="str">
        <x:v>Venn Outbound Message New Account</x:v>
      </x:c>
      <x:c r="D699" s="117" t="str">
        <x:v>No</x:v>
      </x:c>
      <x:c r="E699" s="118"/>
      <x:c r="F699" s="118" t="n">
        <x:v>1</x:v>
      </x:c>
      <x:c r="G699" s="117" t="str">
        <x:v>N/A</x:v>
      </x:c>
      <x:c r="H699" s="119" t="str">
        <x:v>Latest inactive v1 (Retrieved XML)</x:v>
      </x:c>
      <x:c r="I699" s="117" t="str">
        <x:v>Workflow</x:v>
      </x:c>
      <x:c r="J699" s="117" t="str"/>
      <x:c r="K699" s="117" t="str">
        <x:v>No</x:v>
      </x:c>
      <x:c r="L699" s="117" t="str"/>
      <x:c r="M699" s="117" t="str"/>
      <x:c r="N699" s="117"/>
      <x:c r="O699" s="117"/>
      <x:c r="P699" s="117" t="str"/>
      <x:c r="Q699" s="117" t="str">
        <x:v>50.0</x:v>
      </x:c>
      <x:c r="R699" s="117" t="str">
        <x:v>unmanaged</x:v>
      </x:c>
      <x:c r="S699" s="118" t="n">
        <x:v>1</x:v>
      </x:c>
      <x:c r="T699" s="118" t="n">
        <x:v>1</x:v>
      </x:c>
      <x:c r="U699" s="118" t="n">
        <x:v>1</x:v>
      </x:c>
      <x:c r="V699" s="118" t="n">
        <x:v>0</x:v>
      </x:c>
      <x:c r="W699" s="118" t="n">
        <x:v>0</x:v>
      </x:c>
      <x:c r="X699" s="118" t="n">
        <x:v>0</x:v>
      </x:c>
      <x:c r="Y699" s="118" t="n">
        <x:v>1</x:v>
      </x:c>
      <x:c r="Z699" s="117" t="str">
        <x:v>N/A</x:v>
      </x:c>
      <x:c r="AA699" s="120" t="n">
        <x:v>44138.782013888886</x:v>
      </x:c>
      <x:c r="AB699" s="117" t="str">
        <x:v>Venn</x:v>
      </x:c>
      <x:c r="AC699" s="119" t="str"/>
      <x:c r="AD699" s="119" t="str"/>
    </x:row>
    <x:row r="700" ht="34" customHeight="1">
      <x:c r="A700" s="117" t="str">
        <x:v>3005b000000PzyPAAS</x:v>
      </x:c>
      <x:c r="B700" s="117" t="str">
        <x:v>Work_Order_Assignment_and_Alerts_Flow</x:v>
      </x:c>
      <x:c r="C700" s="117" t="str">
        <x:v>Work Order Assignment and Alerts Flow</x:v>
      </x:c>
      <x:c r="D700" s="117" t="str">
        <x:v>Yes</x:v>
      </x:c>
      <x:c r="E700" s="118" t="n">
        <x:v>3</x:v>
      </x:c>
      <x:c r="F700" s="118" t="n">
        <x:v>3</x:v>
      </x:c>
      <x:c r="G700" s="117" t="str">
        <x:v>Yes</x:v>
      </x:c>
      <x:c r="H700" s="119" t="str">
        <x:v>Active v3 (Retrieved XML)</x:v>
      </x:c>
      <x:c r="I700" s="117" t="str">
        <x:v>AutoLaunchedFlow</x:v>
      </x:c>
      <x:c r="J700" s="117" t="str">
        <x:v>WorkOrder</x:v>
      </x:c>
      <x:c r="K700" s="117" t="str">
        <x:v>Yes</x:v>
      </x:c>
      <x:c r="L700" s="117" t="str">
        <x:v>Update</x:v>
      </x:c>
      <x:c r="M700" s="117" t="str">
        <x:v>RecordAfterSave</x:v>
      </x:c>
      <x:c r="N700" s="117"/>
      <x:c r="O700" s="117"/>
      <x:c r="P700" s="117" t="str"/>
      <x:c r="Q700" s="117" t="str">
        <x:v>58.0</x:v>
      </x:c>
      <x:c r="R700" s="117" t="str">
        <x:v>unmanaged</x:v>
      </x:c>
      <x:c r="S700" s="118" t="n">
        <x:v>3</x:v>
      </x:c>
      <x:c r="T700" s="118" t="n">
        <x:v>15</x:v>
      </x:c>
      <x:c r="U700" s="118" t="n">
        <x:v>1</x:v>
      </x:c>
      <x:c r="V700" s="118" t="n">
        <x:v>0</x:v>
      </x:c>
      <x:c r="W700" s="118" t="n">
        <x:v>1</x:v>
      </x:c>
      <x:c r="X700" s="118" t="n">
        <x:v>0</x:v>
      </x:c>
      <x:c r="Y700" s="118" t="n">
        <x:v>2</x:v>
      </x:c>
      <x:c r="Z700" s="117" t="str">
        <x:v>Strong</x:v>
      </x:c>
      <x:c r="AA700" s="120" t="n">
        <x:v>45202.61184027778</x:v>
      </x:c>
      <x:c r="AB700" s="117" t="str">
        <x:v>Jace Gentil</x:v>
      </x:c>
      <x:c r="AC700" s="119" t="str"/>
      <x:c r="AD700" s="119" t="str">
        <x:v>Active flow has no description</x:v>
      </x:c>
    </x:row>
    <x:row r="701" ht="34" customHeight="1">
      <x:c r="A701" s="117" t="str">
        <x:v>300Ro00000xUsgyIAC</x:v>
      </x:c>
      <x:c r="B701" s="117" t="str">
        <x:v>Work_Order_Asynchronous_on_create_Update_PM_Work_Order_Count_on_Service_Contract</x:v>
      </x:c>
      <x:c r="C701" s="117" t="str">
        <x:v>Work Order | Asynchronous, on create, Update PM Work Order Count on Service Contract</x:v>
      </x:c>
      <x:c r="D701" s="117" t="str">
        <x:v>Yes</x:v>
      </x:c>
      <x:c r="E701" s="118" t="n">
        <x:v>1</x:v>
      </x:c>
      <x:c r="F701" s="118" t="n">
        <x:v>1</x:v>
      </x:c>
      <x:c r="G701" s="117" t="str">
        <x:v>Yes</x:v>
      </x:c>
      <x:c r="H701" s="119" t="str">
        <x:v>Active v1 (Retrieved XML)</x:v>
      </x:c>
      <x:c r="I701" s="117" t="str">
        <x:v>AutoLaunchedFlow</x:v>
      </x:c>
      <x:c r="J701" s="117" t="str">
        <x:v>WorkOrder</x:v>
      </x:c>
      <x:c r="K701" s="117" t="str">
        <x:v>Yes</x:v>
      </x:c>
      <x:c r="L701" s="117" t="str">
        <x:v>Create</x:v>
      </x:c>
      <x:c r="M701" s="117" t="str">
        <x:v>RecordAfterSave</x:v>
      </x:c>
      <x:c r="N701" s="117"/>
      <x:c r="O701" s="117"/>
      <x:c r="P701" s="117" t="str"/>
      <x:c r="Q701" s="117" t="str">
        <x:v>65.0</x:v>
      </x:c>
      <x:c r="R701" s="117" t="str">
        <x:v>unmanaged</x:v>
      </x:c>
      <x:c r="S701" s="118" t="n">
        <x:v>1</x:v>
      </x:c>
      <x:c r="T701" s="118" t="n">
        <x:v>4</x:v>
      </x:c>
      <x:c r="U701" s="118" t="n">
        <x:v>2</x:v>
      </x:c>
      <x:c r="V701" s="118" t="n">
        <x:v>0</x:v>
      </x:c>
      <x:c r="W701" s="118" t="n">
        <x:v>0</x:v>
      </x:c>
      <x:c r="X701" s="118" t="n">
        <x:v>0</x:v>
      </x:c>
      <x:c r="Y701" s="118" t="n">
        <x:v>1</x:v>
      </x:c>
      <x:c r="Z701" s="117" t="str">
        <x:v>Strong</x:v>
      </x:c>
      <x:c r="AA701" s="120" t="n">
        <x:v>46157.56045138889</x:v>
      </x:c>
      <x:c r="AB701" s="117" t="str">
        <x:v>Delegate</x:v>
      </x:c>
      <x:c r="AC701" s="119" t="str">
        <x:v>05/14/26 (BW) – Async replacement for DLRS PMWorkOrdersOnContracts rollup (create path). Counts all PM WOs on the related Service Contract and writes the result to Total_PM_Work_Orders_on_Contract__c.</x:v>
      </x:c>
      <x:c r="AD701" s="119" t="str"/>
    </x:row>
    <x:row r="702" ht="34" customHeight="1">
      <x:c r="A702" s="117" t="str">
        <x:v>300Ro00000xUsgzIAC</x:v>
      </x:c>
      <x:c r="B702" s="117" t="str">
        <x:v>Work_Order_Asynchronous_on_delete_Update_PM_Work_Order_Count_on_Service_Contract</x:v>
      </x:c>
      <x:c r="C702" s="117" t="str">
        <x:v>Work Order | Before delete, Update PM Work Order Count on Service Contract</x:v>
      </x:c>
      <x:c r="D702" s="117" t="str">
        <x:v>Yes</x:v>
      </x:c>
      <x:c r="E702" s="118" t="n">
        <x:v>1</x:v>
      </x:c>
      <x:c r="F702" s="118" t="n">
        <x:v>1</x:v>
      </x:c>
      <x:c r="G702" s="117" t="str">
        <x:v>Yes</x:v>
      </x:c>
      <x:c r="H702" s="119" t="str">
        <x:v>Active v1 (Retrieved XML)</x:v>
      </x:c>
      <x:c r="I702" s="117" t="str">
        <x:v>AutoLaunchedFlow</x:v>
      </x:c>
      <x:c r="J702" s="117" t="str">
        <x:v>WorkOrder</x:v>
      </x:c>
      <x:c r="K702" s="117" t="str">
        <x:v>Yes</x:v>
      </x:c>
      <x:c r="L702" s="117" t="str">
        <x:v>Delete</x:v>
      </x:c>
      <x:c r="M702" s="117" t="str">
        <x:v>RecordBeforeDelete</x:v>
      </x:c>
      <x:c r="N702" s="117"/>
      <x:c r="O702" s="117"/>
      <x:c r="P702" s="117" t="str"/>
      <x:c r="Q702" s="117" t="str">
        <x:v>65.0</x:v>
      </x:c>
      <x:c r="R702" s="117" t="str">
        <x:v>unmanaged</x:v>
      </x:c>
      <x:c r="S702" s="118" t="n">
        <x:v>1</x:v>
      </x:c>
      <x:c r="T702" s="118" t="n">
        <x:v>4</x:v>
      </x:c>
      <x:c r="U702" s="118" t="n">
        <x:v>2</x:v>
      </x:c>
      <x:c r="V702" s="118" t="n">
        <x:v>0</x:v>
      </x:c>
      <x:c r="W702" s="118" t="n">
        <x:v>0</x:v>
      </x:c>
      <x:c r="X702" s="118" t="n">
        <x:v>0</x:v>
      </x:c>
      <x:c r="Y702" s="118" t="n">
        <x:v>1</x:v>
      </x:c>
      <x:c r="Z702" s="117" t="str">
        <x:v>Isolated lane</x:v>
      </x:c>
      <x:c r="AA702" s="120" t="n">
        <x:v>46157.560428240744</x:v>
      </x:c>
      <x:c r="AB702" s="117" t="str">
        <x:v>Delegate</x:v>
      </x:c>
      <x:c r="AC702" s="119" t="str">
        <x:v>05/14/26 (BW) – Replacement for DLRS PMWorkOrdersOnContracts rollup (delete path). Runs synchronously before delete; excludes the being-deleted WO from the re-query so the count on the Service Contract is correct after deletion.</x:v>
      </x:c>
      <x:c r="AD702" s="119" t="str"/>
    </x:row>
    <x:row r="703" ht="34" customHeight="1">
      <x:c r="A703" s="117" t="str">
        <x:v>300Ro00000xUsh0IAC</x:v>
      </x:c>
      <x:c r="B703" s="117" t="str">
        <x:v>Work_Order_Asynchronous_on_update_Update_PM_Work_Order_Count_on_Service_Contract</x:v>
      </x:c>
      <x:c r="C703" s="117" t="str">
        <x:v>Work Order | Asynchronous, on update, Update PM Work Order Count on Service Contract</x:v>
      </x:c>
      <x:c r="D703" s="117" t="str">
        <x:v>Yes</x:v>
      </x:c>
      <x:c r="E703" s="118" t="n">
        <x:v>1</x:v>
      </x:c>
      <x:c r="F703" s="118" t="n">
        <x:v>1</x:v>
      </x:c>
      <x:c r="G703" s="117" t="str">
        <x:v>Yes</x:v>
      </x:c>
      <x:c r="H703" s="119" t="str">
        <x:v>Active v1 (Retrieved XML)</x:v>
      </x:c>
      <x:c r="I703" s="117" t="str">
        <x:v>AutoLaunchedFlow</x:v>
      </x:c>
      <x:c r="J703" s="117" t="str">
        <x:v>WorkOrder</x:v>
      </x:c>
      <x:c r="K703" s="117" t="str">
        <x:v>Yes</x:v>
      </x:c>
      <x:c r="L703" s="117" t="str">
        <x:v>Update</x:v>
      </x:c>
      <x:c r="M703" s="117" t="str">
        <x:v>RecordAfterSave</x:v>
      </x:c>
      <x:c r="N703" s="117"/>
      <x:c r="O703" s="117"/>
      <x:c r="P703" s="117" t="str"/>
      <x:c r="Q703" s="117" t="str">
        <x:v>65.0</x:v>
      </x:c>
      <x:c r="R703" s="117" t="str">
        <x:v>unmanaged</x:v>
      </x:c>
      <x:c r="S703" s="118" t="n">
        <x:v>1</x:v>
      </x:c>
      <x:c r="T703" s="118" t="n">
        <x:v>9</x:v>
      </x:c>
      <x:c r="U703" s="118" t="n">
        <x:v>2</x:v>
      </x:c>
      <x:c r="V703" s="118" t="n">
        <x:v>0</x:v>
      </x:c>
      <x:c r="W703" s="118" t="n">
        <x:v>0</x:v>
      </x:c>
      <x:c r="X703" s="118" t="n">
        <x:v>0</x:v>
      </x:c>
      <x:c r="Y703" s="118" t="n">
        <x:v>1</x:v>
      </x:c>
      <x:c r="Z703" s="117" t="str">
        <x:v>Strong</x:v>
      </x:c>
      <x:c r="AA703" s="120" t="n">
        <x:v>46157.56040509259</x:v>
      </x:c>
      <x:c r="AB703" s="117" t="str">
        <x:v>Delegate</x:v>
      </x:c>
      <x:c r="AC703" s="119" t="str">
        <x:v>05/14/26 (BW) – Async replacement for DLRS PMWorkOrdersOnContracts rollup (update path). Fires when RecordTypeId or ServiceContractId changes. Recalculates the PM WO count on the current Service Contract, and also recalculates the prior Service Contract if the lookup changed.</x:v>
      </x:c>
      <x:c r="AD703" s="119" t="str"/>
    </x:row>
    <x:row r="704" ht="34" customHeight="1">
      <x:c r="A704" s="117" t="str">
        <x:v>300Ro00000fvdcyIAA</x:v>
      </x:c>
      <x:c r="B704" s="117" t="str">
        <x:v>Work_Order_Automations</x:v>
      </x:c>
      <x:c r="C704" s="117" t="str">
        <x:v>Work Order Automations</x:v>
      </x:c>
      <x:c r="D704" s="117" t="str">
        <x:v>Yes</x:v>
      </x:c>
      <x:c r="E704" s="118" t="n">
        <x:v>2</x:v>
      </x:c>
      <x:c r="F704" s="118" t="n">
        <x:v>2</x:v>
      </x:c>
      <x:c r="G704" s="117" t="str">
        <x:v>Yes</x:v>
      </x:c>
      <x:c r="H704" s="119" t="str">
        <x:v>Active v2 (Retrieved XML)</x:v>
      </x:c>
      <x:c r="I704" s="117" t="str">
        <x:v>AutoLaunchedFlow</x:v>
      </x:c>
      <x:c r="J704" s="117" t="str">
        <x:v>WorkOrder</x:v>
      </x:c>
      <x:c r="K704" s="117" t="str">
        <x:v>Yes</x:v>
      </x:c>
      <x:c r="L704" s="117" t="str">
        <x:v>CreateAndUpdate</x:v>
      </x:c>
      <x:c r="M704" s="117" t="str">
        <x:v>RecordAfterSave</x:v>
      </x:c>
      <x:c r="N704" s="117"/>
      <x:c r="O704" s="117"/>
      <x:c r="P704" s="117" t="str"/>
      <x:c r="Q704" s="117" t="str">
        <x:v>64.0</x:v>
      </x:c>
      <x:c r="R704" s="117" t="str">
        <x:v>unmanaged</x:v>
      </x:c>
      <x:c r="S704" s="118" t="n">
        <x:v>2</x:v>
      </x:c>
      <x:c r="T704" s="118" t="n">
        <x:v>4</x:v>
      </x:c>
      <x:c r="U704" s="118" t="n">
        <x:v>2</x:v>
      </x:c>
      <x:c r="V704" s="118" t="n">
        <x:v>0</x:v>
      </x:c>
      <x:c r="W704" s="118" t="n">
        <x:v>0</x:v>
      </x:c>
      <x:c r="X704" s="118" t="n">
        <x:v>0</x:v>
      </x:c>
      <x:c r="Y704" s="118" t="n">
        <x:v>1</x:v>
      </x:c>
      <x:c r="Z704" s="117" t="str">
        <x:v>Strong</x:v>
      </x:c>
      <x:c r="AA704" s="120" t="n">
        <x:v>46231.43655092592</x:v>
      </x:c>
      <x:c r="AB704" s="117" t="str">
        <x:v>Sacha Pearce</x:v>
      </x:c>
      <x:c r="AC704" s="119" t="str">
        <x:v>09/15/2025 - V4 - SP - Fixing so this looks at the Opportunity on the Work Order instead of finding Opportunities that have the Work Order entered into the "Related Work Order".</x:v>
      </x:c>
      <x:c r="AD704" s="119" t="str"/>
    </x:row>
    <x:row r="705" ht="34" customHeight="1">
      <x:c r="A705" s="117" t="str">
        <x:v>300Ro00000q8PphIAE</x:v>
      </x:c>
      <x:c r="B705" s="117" t="str">
        <x:v>Work_Order_Calculate_Downtime_Business_Hours</x:v>
      </x:c>
      <x:c r="C705" s="117" t="str">
        <x:v>Work Order - Calculate Downtime (Business Hours)</x:v>
      </x:c>
      <x:c r="D705" s="117" t="str">
        <x:v>Yes</x:v>
      </x:c>
      <x:c r="E705" s="118" t="n">
        <x:v>1</x:v>
      </x:c>
      <x:c r="F705" s="118" t="n">
        <x:v>4</x:v>
      </x:c>
      <x:c r="G705" s="117" t="str">
        <x:v>No</x:v>
      </x:c>
      <x:c r="H705" s="119" t="str">
        <x:v>Active v1 (Tooling metadata)</x:v>
      </x:c>
      <x:c r="I705" s="117" t="str">
        <x:v>AutoLaunchedFlow</x:v>
      </x:c>
      <x:c r="J705" s="117" t="str">
        <x:v>WorkOrder</x:v>
      </x:c>
      <x:c r="K705" s="117" t="str">
        <x:v>Yes</x:v>
      </x:c>
      <x:c r="L705" s="117" t="str">
        <x:v>CreateAndUpdate</x:v>
      </x:c>
      <x:c r="M705" s="117" t="str">
        <x:v>RecordAfterSave</x:v>
      </x:c>
      <x:c r="N705" s="117"/>
      <x:c r="O705" s="117"/>
      <x:c r="P705" s="117" t="str"/>
      <x:c r="Q705" s="117" t="n">
        <x:v>65</x:v>
      </x:c>
      <x:c r="R705" s="117" t="str">
        <x:v>unmanaged</x:v>
      </x:c>
      <x:c r="S705" s="118" t="n">
        <x:v>4</x:v>
      </x:c>
      <x:c r="T705" s="118" t="n">
        <x:v>4</x:v>
      </x:c>
      <x:c r="U705" s="118" t="n">
        <x:v>1</x:v>
      </x:c>
      <x:c r="V705" s="118" t="n">
        <x:v>0</x:v>
      </x:c>
      <x:c r="W705" s="118" t="n">
        <x:v>1</x:v>
      </x:c>
      <x:c r="X705" s="118" t="n">
        <x:v>0</x:v>
      </x:c>
      <x:c r="Y705" s="118" t="n">
        <x:v>1</x:v>
      </x:c>
      <x:c r="Z705" s="117" t="str">
        <x:v>Strong</x:v>
      </x:c>
      <x:c r="AA705" s="120" t="n">
        <x:v>46125.55615740741</x:v>
      </x:c>
      <x:c r="AB705" s="117" t="str">
        <x:v>Sacha Pearce</x:v>
      </x:c>
      <x:c r="AC705" s="119" t="str"/>
      <x:c r="AD705" s="119" t="str">
        <x:v>Active version differs from latest; Active flow has no description</x:v>
      </x:c>
    </x:row>
    <x:row r="706" ht="34" customHeight="1">
      <x:c r="A706" s="117" t="str">
        <x:v>300Ro00000qoWekIAE</x:v>
      </x:c>
      <x:c r="B706" s="117" t="str">
        <x:v>Work_Order_Downtime_End_Setter</x:v>
      </x:c>
      <x:c r="C706" s="117" t="str">
        <x:v>Work Order - Downtime End Setter</x:v>
      </x:c>
      <x:c r="D706" s="117" t="str">
        <x:v>Yes</x:v>
      </x:c>
      <x:c r="E706" s="118" t="n">
        <x:v>1</x:v>
      </x:c>
      <x:c r="F706" s="118" t="n">
        <x:v>1</x:v>
      </x:c>
      <x:c r="G706" s="117" t="str">
        <x:v>Yes</x:v>
      </x:c>
      <x:c r="H706" s="119" t="str">
        <x:v>Active v1 (Retrieved XML)</x:v>
      </x:c>
      <x:c r="I706" s="117" t="str">
        <x:v>AutoLaunchedFlow</x:v>
      </x:c>
      <x:c r="J706" s="117" t="str">
        <x:v>ServiceAppointment</x:v>
      </x:c>
      <x:c r="K706" s="117" t="str">
        <x:v>Yes</x:v>
      </x:c>
      <x:c r="L706" s="117" t="str">
        <x:v>Update</x:v>
      </x:c>
      <x:c r="M706" s="117" t="str">
        <x:v>RecordAfterSave</x:v>
      </x:c>
      <x:c r="N706" s="117"/>
      <x:c r="O706" s="117"/>
      <x:c r="P706" s="117" t="str"/>
      <x:c r="Q706" s="117" t="str">
        <x:v>65.0</x:v>
      </x:c>
      <x:c r="R706" s="117" t="str">
        <x:v>unmanaged</x:v>
      </x:c>
      <x:c r="S706" s="118" t="n">
        <x:v>1</x:v>
      </x:c>
      <x:c r="T706" s="118" t="n">
        <x:v>4</x:v>
      </x:c>
      <x:c r="U706" s="118" t="n">
        <x:v>2</x:v>
      </x:c>
      <x:c r="V706" s="118" t="n">
        <x:v>0</x:v>
      </x:c>
      <x:c r="W706" s="118" t="n">
        <x:v>0</x:v>
      </x:c>
      <x:c r="X706" s="118" t="n">
        <x:v>0</x:v>
      </x:c>
      <x:c r="Y706" s="118" t="n">
        <x:v>1</x:v>
      </x:c>
      <x:c r="Z706" s="117" t="str">
        <x:v>Strong</x:v>
      </x:c>
      <x:c r="AA706" s="120" t="n">
        <x:v>46069.60355324074</x:v>
      </x:c>
      <x:c r="AB706" s="117" t="str">
        <x:v>Sacha Pearce</x:v>
      </x:c>
      <x:c r="AC706" s="119" t="str">
        <x:v>This Flow is used to set the "Downtime End" on Work Orders. It fires whenever a Service Appointment is updated with the system being marked as operational.</x:v>
      </x:c>
      <x:c r="AD706" s="119" t="str"/>
    </x:row>
    <x:row r="707" ht="34" customHeight="1">
      <x:c r="A707" s="117" t="str">
        <x:v>300Ro00000qoWelIAE</x:v>
      </x:c>
      <x:c r="B707" s="117" t="str">
        <x:v>Work_Order_Downtime_Start_Setter</x:v>
      </x:c>
      <x:c r="C707" s="117" t="str">
        <x:v>Work Order - Downtime Start Setter</x:v>
      </x:c>
      <x:c r="D707" s="117" t="str">
        <x:v>Yes</x:v>
      </x:c>
      <x:c r="E707" s="118" t="n">
        <x:v>1</x:v>
      </x:c>
      <x:c r="F707" s="118" t="n">
        <x:v>1</x:v>
      </x:c>
      <x:c r="G707" s="117" t="str">
        <x:v>Yes</x:v>
      </x:c>
      <x:c r="H707" s="119" t="str">
        <x:v>Active v1 (Retrieved XML)</x:v>
      </x:c>
      <x:c r="I707" s="117" t="str">
        <x:v>AutoLaunchedFlow</x:v>
      </x:c>
      <x:c r="J707" s="117" t="str">
        <x:v>WorkOrder</x:v>
      </x:c>
      <x:c r="K707" s="117" t="str">
        <x:v>Yes</x:v>
      </x:c>
      <x:c r="L707" s="117" t="str">
        <x:v>CreateAndUpdate</x:v>
      </x:c>
      <x:c r="M707" s="117" t="str">
        <x:v>RecordAfterSave</x:v>
      </x:c>
      <x:c r="N707" s="117"/>
      <x:c r="O707" s="117"/>
      <x:c r="P707" s="117" t="str"/>
      <x:c r="Q707" s="117" t="str">
        <x:v>65.0</x:v>
      </x:c>
      <x:c r="R707" s="117" t="str">
        <x:v>unmanaged</x:v>
      </x:c>
      <x:c r="S707" s="118" t="n">
        <x:v>1</x:v>
      </x:c>
      <x:c r="T707" s="118" t="n">
        <x:v>2</x:v>
      </x:c>
      <x:c r="U707" s="118" t="n">
        <x:v>1</x:v>
      </x:c>
      <x:c r="V707" s="118" t="n">
        <x:v>0</x:v>
      </x:c>
      <x:c r="W707" s="118" t="n">
        <x:v>0</x:v>
      </x:c>
      <x:c r="X707" s="118" t="n">
        <x:v>0</x:v>
      </x:c>
      <x:c r="Y707" s="118" t="n">
        <x:v>1</x:v>
      </x:c>
      <x:c r="Z707" s="117" t="str">
        <x:v>Strong</x:v>
      </x:c>
      <x:c r="AA707" s="120" t="n">
        <x:v>46069.603530092594</x:v>
      </x:c>
      <x:c r="AB707" s="117" t="str">
        <x:v>Sacha Pearce</x:v>
      </x:c>
      <x:c r="AC707" s="119" t="str">
        <x:v>This Flow is used to set the "Downtime Start" field on Work Orders that are marked as "Critical" and the "Downtime Start" isn't already populated.</x:v>
      </x:c>
      <x:c r="AD707" s="119" t="str"/>
    </x:row>
    <x:row r="708" ht="34" customHeight="1">
      <x:c r="A708" s="117" t="str">
        <x:v>300Ro00000mpCtCIAU</x:v>
      </x:c>
      <x:c r="B708" s="117" t="str">
        <x:v>Work_Order_FSL_Desktop_Subflow_Create_Chatter_Post</x:v>
      </x:c>
      <x:c r="C708" s="117" t="str">
        <x:v>Work Order - FSL Desktop Subflow - Create Chatter Post</x:v>
      </x:c>
      <x:c r="D708" s="117" t="str">
        <x:v>No</x:v>
      </x:c>
      <x:c r="E708" s="118"/>
      <x:c r="F708" s="118" t="n">
        <x:v>1</x:v>
      </x:c>
      <x:c r="G708" s="117" t="str">
        <x:v>N/A</x:v>
      </x:c>
      <x:c r="H708" s="119" t="str">
        <x:v>Latest inactive v1 (Retrieved XML)</x:v>
      </x:c>
      <x:c r="I708" s="117" t="str">
        <x:v>Flow</x:v>
      </x:c>
      <x:c r="J708" s="117" t="str"/>
      <x:c r="K708" s="117" t="str">
        <x:v>No</x:v>
      </x:c>
      <x:c r="L708" s="117" t="str"/>
      <x:c r="M708" s="117" t="str"/>
      <x:c r="N708" s="117"/>
      <x:c r="O708" s="117"/>
      <x:c r="P708" s="117" t="str"/>
      <x:c r="Q708" s="117" t="str">
        <x:v>49.0</x:v>
      </x:c>
      <x:c r="R708" s="117" t="str">
        <x:v>unmanaged</x:v>
      </x:c>
      <x:c r="S708" s="118" t="n">
        <x:v>1</x:v>
      </x:c>
      <x:c r="T708" s="118" t="n">
        <x:v>5</x:v>
      </x:c>
      <x:c r="U708" s="118" t="n">
        <x:v>2</x:v>
      </x:c>
      <x:c r="V708" s="118" t="n">
        <x:v>0</x:v>
      </x:c>
      <x:c r="W708" s="118" t="n">
        <x:v>2</x:v>
      </x:c>
      <x:c r="X708" s="118" t="n">
        <x:v>0</x:v>
      </x:c>
      <x:c r="Y708" s="118" t="n">
        <x:v>1</x:v>
      </x:c>
      <x:c r="Z708" s="117" t="str">
        <x:v>N/A</x:v>
      </x:c>
      <x:c r="AA708" s="120" t="n">
        <x:v>46007.63239583333</x:v>
      </x:c>
      <x:c r="AB708" s="117" t="str">
        <x:v>Delegate</x:v>
      </x:c>
      <x:c r="AC708" s="119" t="str">
        <x:v>12/16/2025 - KL - For notification to Technician</x:v>
      </x:c>
      <x:c r="AD708" s="119" t="str"/>
    </x:row>
    <x:row r="709" ht="34" customHeight="1">
      <x:c r="A709" s="117" t="str">
        <x:v>300Ro00000e6sEuIAI</x:v>
      </x:c>
      <x:c r="B709" s="117" t="str">
        <x:v>Work_Order_FSL_Mobile_Subflow_Chatter_Post</x:v>
      </x:c>
      <x:c r="C709" s="117" t="str">
        <x:v>Work Order - FSL Mobile Subflow - Chatter Post</x:v>
      </x:c>
      <x:c r="D709" s="117" t="str">
        <x:v>Yes</x:v>
      </x:c>
      <x:c r="E709" s="118" t="n">
        <x:v>4</x:v>
      </x:c>
      <x:c r="F709" s="118" t="n">
        <x:v>4</x:v>
      </x:c>
      <x:c r="G709" s="117" t="str">
        <x:v>Yes</x:v>
      </x:c>
      <x:c r="H709" s="119" t="str">
        <x:v>Active v4 (Retrieved XML)</x:v>
      </x:c>
      <x:c r="I709" s="117" t="str">
        <x:v>FieldServiceMobile</x:v>
      </x:c>
      <x:c r="J709" s="117" t="str"/>
      <x:c r="K709" s="117" t="str">
        <x:v>No</x:v>
      </x:c>
      <x:c r="L709" s="117" t="str"/>
      <x:c r="M709" s="117" t="str"/>
      <x:c r="N709" s="117"/>
      <x:c r="O709" s="117"/>
      <x:c r="P709" s="117" t="str"/>
      <x:c r="Q709" s="117"/>
      <x:c r="R709" s="117" t="str">
        <x:v>unmanaged</x:v>
      </x:c>
      <x:c r="S709" s="118" t="n">
        <x:v>4</x:v>
      </x:c>
      <x:c r="T709" s="118" t="n">
        <x:v>5</x:v>
      </x:c>
      <x:c r="U709" s="118" t="n">
        <x:v>1</x:v>
      </x:c>
      <x:c r="V709" s="118" t="n">
        <x:v>0</x:v>
      </x:c>
      <x:c r="W709" s="118" t="n">
        <x:v>2</x:v>
      </x:c>
      <x:c r="X709" s="118" t="n">
        <x:v>0</x:v>
      </x:c>
      <x:c r="Y709" s="118" t="n">
        <x:v>1</x:v>
      </x:c>
      <x:c r="Z709" s="117" t="str">
        <x:v>N/A</x:v>
      </x:c>
      <x:c r="AA709" s="120" t="n">
        <x:v>46013.81392361111</x:v>
      </x:c>
      <x:c r="AB709" s="117" t="str">
        <x:v>Delegate</x:v>
      </x:c>
      <x:c r="AC709" s="119" t="str">
        <x:v>12/22/2025 (BW) - Updated this notification so that it goes out when action is needed by the operations team</x:v>
      </x:c>
      <x:c r="AD709" s="119" t="str"/>
    </x:row>
    <x:row r="710" ht="34" customHeight="1">
      <x:c r="A710" s="117" t="str">
        <x:v>300Ro00000lZu2lIAC</x:v>
      </x:c>
      <x:c r="B710" s="117" t="str">
        <x:v>Work_Order_install_Subflow</x:v>
      </x:c>
      <x:c r="C710" s="117" t="str">
        <x:v>Work Order - Install Subflow</x:v>
      </x:c>
      <x:c r="D710" s="117" t="str">
        <x:v>Yes</x:v>
      </x:c>
      <x:c r="E710" s="118" t="n">
        <x:v>12</x:v>
      </x:c>
      <x:c r="F710" s="118" t="n">
        <x:v>12</x:v>
      </x:c>
      <x:c r="G710" s="117" t="str">
        <x:v>Yes</x:v>
      </x:c>
      <x:c r="H710" s="119" t="str">
        <x:v>Active v12 (Retrieved XML)</x:v>
      </x:c>
      <x:c r="I710" s="117" t="str">
        <x:v>Flow</x:v>
      </x:c>
      <x:c r="J710" s="117" t="str"/>
      <x:c r="K710" s="117" t="str">
        <x:v>No</x:v>
      </x:c>
      <x:c r="L710" s="117" t="str"/>
      <x:c r="M710" s="117" t="str"/>
      <x:c r="N710" s="117"/>
      <x:c r="O710" s="117"/>
      <x:c r="P710" s="117" t="str"/>
      <x:c r="Q710" s="117" t="str">
        <x:v>49.0</x:v>
      </x:c>
      <x:c r="R710" s="117" t="str">
        <x:v>unmanaged</x:v>
      </x:c>
      <x:c r="S710" s="118" t="n">
        <x:v>2</x:v>
      </x:c>
      <x:c r="T710" s="118" t="n">
        <x:v>16</x:v>
      </x:c>
      <x:c r="U710" s="118" t="n">
        <x:v>9</x:v>
      </x:c>
      <x:c r="V710" s="118" t="n">
        <x:v>0</x:v>
      </x:c>
      <x:c r="W710" s="118" t="n">
        <x:v>0</x:v>
      </x:c>
      <x:c r="X710" s="118" t="n">
        <x:v>1</x:v>
      </x:c>
      <x:c r="Y710" s="118" t="n">
        <x:v>3</x:v>
      </x:c>
      <x:c r="Z710" s="117" t="str">
        <x:v>N/A</x:v>
      </x:c>
      <x:c r="AA710" s="120" t="n">
        <x:v>46000.66725694444</x:v>
      </x:c>
      <x:c r="AB710" s="117" t="str">
        <x:v>Delegate</x:v>
      </x:c>
      <x:c r="AC710" s="119" t="str">
        <x:v>12/09/2025 - KL - Subflow for finding opportunity products to create install work order line items.</x:v>
      </x:c>
      <x:c r="AD710" s="119" t="str">
        <x:v>Touches many objects</x:v>
      </x:c>
    </x:row>
    <x:row r="711" ht="34" customHeight="1">
      <x:c r="A711" s="117" t="str">
        <x:v>300Ro00000eZBBPIA4</x:v>
      </x:c>
      <x:c r="B711" s="117" t="str">
        <x:v>Work_Order_Line_Item_Trigger_Update_US_FSL_Related_Lead</x:v>
      </x:c>
      <x:c r="C711" s="117" t="str">
        <x:v>Work Order Line Item - Trigger - Update US FSL Related Lead</x:v>
      </x:c>
      <x:c r="D711" s="117" t="str">
        <x:v>No</x:v>
      </x:c>
      <x:c r="E711" s="118"/>
      <x:c r="F711" s="118" t="n">
        <x:v>1</x:v>
      </x:c>
      <x:c r="G711" s="117" t="str">
        <x:v>N/A</x:v>
      </x:c>
      <x:c r="H711" s="119" t="str">
        <x:v>Latest inactive v1 (Retrieved XML)</x:v>
      </x:c>
      <x:c r="I711" s="117" t="str">
        <x:v>AutoLaunchedFlow</x:v>
      </x:c>
      <x:c r="J711" s="117" t="str">
        <x:v>WorkOrderLineItem</x:v>
      </x:c>
      <x:c r="K711" s="117" t="str">
        <x:v>No</x:v>
      </x:c>
      <x:c r="L711" s="117" t="str">
        <x:v>Create</x:v>
      </x:c>
      <x:c r="M711" s="117" t="str">
        <x:v>RecordAfterSave</x:v>
      </x:c>
      <x:c r="N711" s="117"/>
      <x:c r="O711" s="117"/>
      <x:c r="P711" s="117" t="str"/>
      <x:c r="Q711" s="117" t="str">
        <x:v>64.0</x:v>
      </x:c>
      <x:c r="R711" s="117" t="str">
        <x:v>unmanaged</x:v>
      </x:c>
      <x:c r="S711" s="118" t="n">
        <x:v>1</x:v>
      </x:c>
      <x:c r="T711" s="118" t="n">
        <x:v>6</x:v>
      </x:c>
      <x:c r="U711" s="118" t="n">
        <x:v>3</x:v>
      </x:c>
      <x:c r="V711" s="118" t="n">
        <x:v>0</x:v>
      </x:c>
      <x:c r="W711" s="118" t="n">
        <x:v>0</x:v>
      </x:c>
      <x:c r="X711" s="118" t="n">
        <x:v>0</x:v>
      </x:c>
      <x:c r="Y711" s="118" t="n">
        <x:v>2</x:v>
      </x:c>
      <x:c r="Z711" s="117" t="str">
        <x:v>N/A</x:v>
      </x:c>
      <x:c r="AA711" s="120" t="n">
        <x:v>45902.55568287037</x:v>
      </x:c>
      <x:c r="AB711" s="117" t="str">
        <x:v>Delegate</x:v>
      </x:c>
      <x:c r="AC711" s="119" t="str">
        <x:v>09/02/2025 - KL/Delegate - When US FSL WOLI is created, find and update the related Lead.</x:v>
      </x:c>
      <x:c r="AD711" s="119" t="str"/>
    </x:row>
    <x:row r="712" ht="34" customHeight="1">
      <x:c r="A712" s="117" t="str">
        <x:v>3004O000000XhDiQAK</x:v>
      </x:c>
      <x:c r="B712" s="117" t="str">
        <x:v>Work_Order_PDF_Generation</x:v>
      </x:c>
      <x:c r="C712" s="117" t="str">
        <x:v>Work Order PDF Generation</x:v>
      </x:c>
      <x:c r="D712" s="117" t="str">
        <x:v>No</x:v>
      </x:c>
      <x:c r="E712" s="118"/>
      <x:c r="F712" s="118" t="n">
        <x:v>1</x:v>
      </x:c>
      <x:c r="G712" s="117" t="str">
        <x:v>N/A</x:v>
      </x:c>
      <x:c r="H712" s="119" t="str">
        <x:v>Latest inactive v1 (Retrieved XML)</x:v>
      </x:c>
      <x:c r="I712" s="117" t="str">
        <x:v>Flow</x:v>
      </x:c>
      <x:c r="J712" s="117" t="str"/>
      <x:c r="K712" s="117" t="str">
        <x:v>No</x:v>
      </x:c>
      <x:c r="L712" s="117" t="str"/>
      <x:c r="M712" s="117" t="str"/>
      <x:c r="N712" s="117"/>
      <x:c r="O712" s="117"/>
      <x:c r="P712" s="117" t="str"/>
      <x:c r="Q712" s="117" t="str">
        <x:v>51.0</x:v>
      </x:c>
      <x:c r="R712" s="117" t="str">
        <x:v>unmanaged</x:v>
      </x:c>
      <x:c r="S712" s="118" t="n">
        <x:v>1</x:v>
      </x:c>
      <x:c r="T712" s="118" t="n">
        <x:v>4</x:v>
      </x:c>
      <x:c r="U712" s="118" t="n">
        <x:v>1</x:v>
      </x:c>
      <x:c r="V712" s="118" t="n">
        <x:v>0</x:v>
      </x:c>
      <x:c r="W712" s="118" t="n">
        <x:v>1</x:v>
      </x:c>
      <x:c r="X712" s="118" t="n">
        <x:v>0</x:v>
      </x:c>
      <x:c r="Y712" s="118" t="n">
        <x:v>1</x:v>
      </x:c>
      <x:c r="Z712" s="117" t="str">
        <x:v>N/A</x:v>
      </x:c>
      <x:c r="AA712" s="120" t="n">
        <x:v>44343.913136574076</x:v>
      </x:c>
      <x:c r="AB712" s="117" t="str">
        <x:v>Delegate</x:v>
      </x:c>
      <x:c r="AC712" s="119" t="str"/>
      <x:c r="AD712" s="119" t="str"/>
    </x:row>
    <x:row r="713" ht="34" customHeight="1">
      <x:c r="A713" s="117" t="str">
        <x:v>300Ro000007doacIAA</x:v>
      </x:c>
      <x:c r="B713" s="117" t="str">
        <x:v>Work_Order_Rollups</x:v>
      </x:c>
      <x:c r="C713" s="117" t="str">
        <x:v>On Update of Unit Price | Parts Sales Value Rollup</x:v>
      </x:c>
      <x:c r="D713" s="117" t="str">
        <x:v>Yes</x:v>
      </x:c>
      <x:c r="E713" s="118" t="n">
        <x:v>8</x:v>
      </x:c>
      <x:c r="F713" s="118" t="n">
        <x:v>8</x:v>
      </x:c>
      <x:c r="G713" s="117" t="str">
        <x:v>Yes</x:v>
      </x:c>
      <x:c r="H713" s="119" t="str">
        <x:v>Active v8 (Retrieved XML)</x:v>
      </x:c>
      <x:c r="I713" s="117" t="str">
        <x:v>AutoLaunchedFlow</x:v>
      </x:c>
      <x:c r="J713" s="117" t="str">
        <x:v>WorkOrderLineItem</x:v>
      </x:c>
      <x:c r="K713" s="117" t="str">
        <x:v>Yes</x:v>
      </x:c>
      <x:c r="L713" s="117" t="str">
        <x:v>Update</x:v>
      </x:c>
      <x:c r="M713" s="117" t="str">
        <x:v>RecordAfterSave</x:v>
      </x:c>
      <x:c r="N713" s="117"/>
      <x:c r="O713" s="117"/>
      <x:c r="P713" s="117" t="str"/>
      <x:c r="Q713" s="117" t="str">
        <x:v>57.0</x:v>
      </x:c>
      <x:c r="R713" s="117" t="str">
        <x:v>unmanaged</x:v>
      </x:c>
      <x:c r="S713" s="118" t="n">
        <x:v>8</x:v>
      </x:c>
      <x:c r="T713" s="118" t="n">
        <x:v>4</x:v>
      </x:c>
      <x:c r="U713" s="118" t="n">
        <x:v>3</x:v>
      </x:c>
      <x:c r="V713" s="118" t="n">
        <x:v>0</x:v>
      </x:c>
      <x:c r="W713" s="118" t="n">
        <x:v>0</x:v>
      </x:c>
      <x:c r="X713" s="118" t="n">
        <x:v>0</x:v>
      </x:c>
      <x:c r="Y713" s="118" t="n">
        <x:v>2</x:v>
      </x:c>
      <x:c r="Z713" s="117" t="str">
        <x:v>Isolated lane</x:v>
      </x:c>
      <x:c r="AA713" s="120" t="n">
        <x:v>46163.853842592594</x:v>
      </x:c>
      <x:c r="AB713" s="117" t="str">
        <x:v>Delegate</x:v>
      </x:c>
      <x:c r="AC713" s="119" t="str">
        <x:v>21/05/2026 (BW) - Updating so that it uses the transform element to cut down on processing power</x:v>
      </x:c>
      <x:c r="AD713" s="119" t="str"/>
    </x:row>
    <x:row r="714" ht="34" customHeight="1">
      <x:c r="A714" s="117" t="str">
        <x:v>300Ro00000pjRMsIAM</x:v>
      </x:c>
      <x:c r="B714" s="117" t="str">
        <x:v>Work_Order_Triggeer_US_FSR_Layout_Assignment</x:v>
      </x:c>
      <x:c r="C714" s="117" t="str">
        <x:v>Work Order - Trigger - US FSR Layout Assignment</x:v>
      </x:c>
      <x:c r="D714" s="117" t="str">
        <x:v>Yes</x:v>
      </x:c>
      <x:c r="E714" s="118" t="n">
        <x:v>2</x:v>
      </x:c>
      <x:c r="F714" s="118" t="n">
        <x:v>2</x:v>
      </x:c>
      <x:c r="G714" s="117" t="str">
        <x:v>Yes</x:v>
      </x:c>
      <x:c r="H714" s="119" t="str">
        <x:v>Active v2 (Retrieved XML)</x:v>
      </x:c>
      <x:c r="I714" s="117" t="str">
        <x:v>AutoLaunchedFlow</x:v>
      </x:c>
      <x:c r="J714" s="117" t="str">
        <x:v>WorkOrder</x:v>
      </x:c>
      <x:c r="K714" s="117" t="str">
        <x:v>Yes</x:v>
      </x:c>
      <x:c r="L714" s="117" t="str">
        <x:v>CreateAndUpdate</x:v>
      </x:c>
      <x:c r="M714" s="117" t="str">
        <x:v>RecordBeforeSave</x:v>
      </x:c>
      <x:c r="N714" s="117"/>
      <x:c r="O714" s="117"/>
      <x:c r="P714" s="117" t="str"/>
      <x:c r="Q714" s="117" t="str">
        <x:v>65.0</x:v>
      </x:c>
      <x:c r="R714" s="117" t="str">
        <x:v>unmanaged</x:v>
      </x:c>
      <x:c r="S714" s="118" t="n">
        <x:v>2</x:v>
      </x:c>
      <x:c r="T714" s="118" t="n">
        <x:v>6</x:v>
      </x:c>
      <x:c r="U714" s="118" t="n">
        <x:v>2</x:v>
      </x:c>
      <x:c r="V714" s="118" t="n">
        <x:v>0</x:v>
      </x:c>
      <x:c r="W714" s="118" t="n">
        <x:v>0</x:v>
      </x:c>
      <x:c r="X714" s="118" t="n">
        <x:v>0</x:v>
      </x:c>
      <x:c r="Y714" s="118" t="n">
        <x:v>1</x:v>
      </x:c>
      <x:c r="Z714" s="117" t="str">
        <x:v>Isolated lane</x:v>
      </x:c>
      <x:c r="AA714" s="120" t="n">
        <x:v>46055.651770833334</x:v>
      </x:c>
      <x:c r="AB714" s="117" t="str">
        <x:v>Delegate</x:v>
      </x:c>
      <x:c r="AC714" s="119" t="str">
        <x:v>02/02/2026 - (KL) - Auto Assignment of Service Report Layout ID on Work Order for US Probo Only</x:v>
      </x:c>
      <x:c r="AD714" s="119" t="str"/>
    </x:row>
    <x:row r="715" ht="34" customHeight="1">
      <x:c r="A715" s="117" t="str">
        <x:v>300Ro00000U5KZYIA3</x:v>
      </x:c>
      <x:c r="B715" s="117" t="str">
        <x:v>Work_Order_Trigger_QA_Updates</x:v>
      </x:c>
      <x:c r="C715" s="117" t="str">
        <x:v>Work Order - Trigger - QA Updates</x:v>
      </x:c>
      <x:c r="D715" s="117" t="str">
        <x:v>No</x:v>
      </x:c>
      <x:c r="E715" s="118"/>
      <x:c r="F715" s="118" t="n">
        <x:v>1</x:v>
      </x:c>
      <x:c r="G715" s="117" t="str">
        <x:v>N/A</x:v>
      </x:c>
      <x:c r="H715" s="119" t="str">
        <x:v>Latest inactive v1 (Retrieved XML)</x:v>
      </x:c>
      <x:c r="I715" s="117" t="str">
        <x:v>AutoLaunchedFlow</x:v>
      </x:c>
      <x:c r="J715" s="117" t="str">
        <x:v>WorkOrder</x:v>
      </x:c>
      <x:c r="K715" s="117" t="str">
        <x:v>No</x:v>
      </x:c>
      <x:c r="L715" s="117" t="str">
        <x:v>CreateAndUpdate</x:v>
      </x:c>
      <x:c r="M715" s="117" t="str">
        <x:v>RecordAfterSave</x:v>
      </x:c>
      <x:c r="N715" s="117"/>
      <x:c r="O715" s="117"/>
      <x:c r="P715" s="117" t="str"/>
      <x:c r="Q715" s="117" t="str">
        <x:v>63.0</x:v>
      </x:c>
      <x:c r="R715" s="117" t="str">
        <x:v>unmanaged</x:v>
      </x:c>
      <x:c r="S715" s="118" t="n">
        <x:v>1</x:v>
      </x:c>
      <x:c r="T715" s="118" t="n">
        <x:v>8</x:v>
      </x:c>
      <x:c r="U715" s="118" t="n">
        <x:v>2</x:v>
      </x:c>
      <x:c r="V715" s="118" t="n">
        <x:v>0</x:v>
      </x:c>
      <x:c r="W715" s="118" t="n">
        <x:v>0</x:v>
      </x:c>
      <x:c r="X715" s="118" t="n">
        <x:v>0</x:v>
      </x:c>
      <x:c r="Y715" s="118" t="n">
        <x:v>1</x:v>
      </x:c>
      <x:c r="Z715" s="117" t="str">
        <x:v>N/A</x:v>
      </x:c>
      <x:c r="AA715" s="120" t="n">
        <x:v>45757.62126157407</x:v>
      </x:c>
      <x:c r="AB715" s="117" t="str">
        <x:v>Delegate</x:v>
      </x:c>
      <x:c r="AC715" s="119" t="str">
        <x:v>04/10/2025 - Kyle/Delegate - If the related contract line item of the work order is marked "QA Required" via checkbox, update the work order to the QA work type AND create a QA service appointment for 3 months from now.</x:v>
      </x:c>
      <x:c r="AD715" s="119" t="str"/>
    </x:row>
    <x:row r="716" ht="34" customHeight="1">
      <x:c r="A716" s="117" t="str">
        <x:v>300Ro00000S8ODBIA3</x:v>
      </x:c>
      <x:c r="B716" s="117" t="str">
        <x:v>Work_Order_Trigger_Update_Cancelled_WO_Related_SAs</x:v>
      </x:c>
      <x:c r="C716" s="117" t="str">
        <x:v>Work Order - Trigger - Update Cancelled WO Related SAs</x:v>
      </x:c>
      <x:c r="D716" s="117" t="str">
        <x:v>Yes</x:v>
      </x:c>
      <x:c r="E716" s="118" t="n">
        <x:v>4</x:v>
      </x:c>
      <x:c r="F716" s="118" t="n">
        <x:v>4</x:v>
      </x:c>
      <x:c r="G716" s="117" t="str">
        <x:v>Yes</x:v>
      </x:c>
      <x:c r="H716" s="119" t="str">
        <x:v>Active v4 (Retrieved XML)</x:v>
      </x:c>
      <x:c r="I716" s="117" t="str">
        <x:v>AutoLaunchedFlow</x:v>
      </x:c>
      <x:c r="J716" s="117" t="str">
        <x:v>WorkOrder</x:v>
      </x:c>
      <x:c r="K716" s="117" t="str">
        <x:v>Yes</x:v>
      </x:c>
      <x:c r="L716" s="117" t="str">
        <x:v>Update</x:v>
      </x:c>
      <x:c r="M716" s="117" t="str">
        <x:v>RecordAfterSave</x:v>
      </x:c>
      <x:c r="N716" s="117"/>
      <x:c r="O716" s="117"/>
      <x:c r="P716" s="117" t="str"/>
      <x:c r="Q716" s="117" t="str">
        <x:v>63.0</x:v>
      </x:c>
      <x:c r="R716" s="117" t="str">
        <x:v>unmanaged</x:v>
      </x:c>
      <x:c r="S716" s="118" t="n">
        <x:v>4</x:v>
      </x:c>
      <x:c r="T716" s="118" t="n">
        <x:v>6</x:v>
      </x:c>
      <x:c r="U716" s="118" t="n">
        <x:v>2</x:v>
      </x:c>
      <x:c r="V716" s="118" t="n">
        <x:v>0</x:v>
      </x:c>
      <x:c r="W716" s="118" t="n">
        <x:v>0</x:v>
      </x:c>
      <x:c r="X716" s="118" t="n">
        <x:v>0</x:v>
      </x:c>
      <x:c r="Y716" s="118" t="n">
        <x:v>1</x:v>
      </x:c>
      <x:c r="Z716" s="117" t="str">
        <x:v>Strong</x:v>
      </x:c>
      <x:c r="AA716" s="120" t="n">
        <x:v>45727.76405092593</x:v>
      </x:c>
      <x:c r="AB716" s="117" t="str">
        <x:v>Delegate</x:v>
      </x:c>
      <x:c r="AC716" s="119" t="str">
        <x:v>03/03/2025 - Delegate (Kyle) - This flow is triggered when a work order status is set to "Cancelled Work Order", with the purpose of finding all related service appointments that are not yet complete and cancelling them.
03/11/2025 - Delegate (Kyle) - Error handle Update</x:v>
      </x:c>
      <x:c r="AD716" s="119" t="str"/>
    </x:row>
    <x:row r="717" ht="34" customHeight="1">
      <x:c r="A717" s="117" t="str">
        <x:v>300Ro00000cnT4lIAE</x:v>
      </x:c>
      <x:c r="B717" s="117" t="str">
        <x:v>Work_Order_Ultrasound_Creation_Automation</x:v>
      </x:c>
      <x:c r="C717" s="117" t="str">
        <x:v>Work Order - Ultrasound Creation Automation</x:v>
      </x:c>
      <x:c r="D717" s="117" t="str">
        <x:v>Yes</x:v>
      </x:c>
      <x:c r="E717" s="118" t="n">
        <x:v>1</x:v>
      </x:c>
      <x:c r="F717" s="118" t="n">
        <x:v>1</x:v>
      </x:c>
      <x:c r="G717" s="117" t="str">
        <x:v>Yes</x:v>
      </x:c>
      <x:c r="H717" s="119" t="str">
        <x:v>Active v1 (Retrieved XML)</x:v>
      </x:c>
      <x:c r="I717" s="117" t="str">
        <x:v>AutoLaunchedFlow</x:v>
      </x:c>
      <x:c r="J717" s="117" t="str">
        <x:v>WorkOrder</x:v>
      </x:c>
      <x:c r="K717" s="117" t="str">
        <x:v>Yes</x:v>
      </x:c>
      <x:c r="L717" s="117" t="str">
        <x:v>Create</x:v>
      </x:c>
      <x:c r="M717" s="117" t="str">
        <x:v>RecordAfterSave</x:v>
      </x:c>
      <x:c r="N717" s="117"/>
      <x:c r="O717" s="117"/>
      <x:c r="P717" s="117" t="str"/>
      <x:c r="Q717" s="117" t="str">
        <x:v>63.0</x:v>
      </x:c>
      <x:c r="R717" s="117" t="str">
        <x:v>unmanaged</x:v>
      </x:c>
      <x:c r="S717" s="118" t="n">
        <x:v>1</x:v>
      </x:c>
      <x:c r="T717" s="118" t="n">
        <x:v>3</x:v>
      </x:c>
      <x:c r="U717" s="118" t="n">
        <x:v>2</x:v>
      </x:c>
      <x:c r="V717" s="118" t="n">
        <x:v>0</x:v>
      </x:c>
      <x:c r="W717" s="118" t="n">
        <x:v>0</x:v>
      </x:c>
      <x:c r="X717" s="118" t="n">
        <x:v>0</x:v>
      </x:c>
      <x:c r="Y717" s="118" t="n">
        <x:v>1</x:v>
      </x:c>
      <x:c r="Z717" s="117" t="str">
        <x:v>Strong</x:v>
      </x:c>
      <x:c r="AA717" s="120" t="n">
        <x:v>45883.03638888889</x:v>
      </x:c>
      <x:c r="AB717" s="117" t="str">
        <x:v>Delegate</x:v>
      </x:c>
      <x:c r="AC717" s="119" t="str">
        <x:v>Automation to populate fields after the Global Action is used in the mobile application</x:v>
      </x:c>
      <x:c r="AD717" s="119" t="str"/>
    </x:row>
    <x:row r="718" ht="34" customHeight="1">
      <x:c r="A718" s="117" t="str">
        <x:v>300Ro00000Pz0l0IAB</x:v>
      </x:c>
      <x:c r="B718" s="117" t="str">
        <x:v>Work_Step_Manager</x:v>
      </x:c>
      <x:c r="C718" s="117" t="str">
        <x:v>Work Step Manager</x:v>
      </x:c>
      <x:c r="D718" s="117" t="str">
        <x:v>Yes</x:v>
      </x:c>
      <x:c r="E718" s="118" t="n">
        <x:v>18</x:v>
      </x:c>
      <x:c r="F718" s="118" t="n">
        <x:v>18</x:v>
      </x:c>
      <x:c r="G718" s="117" t="str">
        <x:v>Yes</x:v>
      </x:c>
      <x:c r="H718" s="119" t="str">
        <x:v>Active v18 (Retrieved XML)</x:v>
      </x:c>
      <x:c r="I718" s="117" t="str">
        <x:v>FieldServiceMobile</x:v>
      </x:c>
      <x:c r="J718" s="117" t="str"/>
      <x:c r="K718" s="117" t="str">
        <x:v>No</x:v>
      </x:c>
      <x:c r="L718" s="117" t="str"/>
      <x:c r="M718" s="117" t="str"/>
      <x:c r="N718" s="117"/>
      <x:c r="O718" s="117"/>
      <x:c r="P718" s="117" t="str"/>
      <x:c r="Q718" s="117"/>
      <x:c r="R718" s="117" t="str">
        <x:v>unmanaged</x:v>
      </x:c>
      <x:c r="S718" s="118" t="n">
        <x:v>18</x:v>
      </x:c>
      <x:c r="T718" s="118" t="n">
        <x:v>50</x:v>
      </x:c>
      <x:c r="U718" s="118" t="n">
        <x:v>4</x:v>
      </x:c>
      <x:c r="V718" s="118" t="n">
        <x:v>20</x:v>
      </x:c>
      <x:c r="W718" s="118" t="n">
        <x:v>0</x:v>
      </x:c>
      <x:c r="X718" s="118" t="n">
        <x:v>0</x:v>
      </x:c>
      <x:c r="Y718" s="118" t="n">
        <x:v>5</x:v>
      </x:c>
      <x:c r="Z718" s="117" t="str">
        <x:v>N/A</x:v>
      </x:c>
      <x:c r="AA718" s="120" t="n">
        <x:v>46231.402395833335</x:v>
      </x:c>
      <x:c r="AB718" s="117" t="str">
        <x:v>Sacha Pearce</x:v>
      </x:c>
      <x:c r="AC718" s="119" t="str">
        <x:v>07/27/2026 - SP - Adding "Ultrasound Electrical Safety Tests"</x:v>
      </x:c>
      <x:c r="AD718" s="119" t="str">
        <x:v>High element count; Touches many objects</x:v>
      </x:c>
    </x:row>
    <x:row r="719" ht="34" customHeight="1">
      <x:c r="A719" s="117" t="str">
        <x:v>300Ro00000xMXeTIAW</x:v>
      </x:c>
      <x:c r="B719" s="117" t="str">
        <x:v>Working_Capital_Usage_Days_Roll_Up</x:v>
      </x:c>
      <x:c r="C719" s="117" t="str">
        <x:v>Working Capital Usage Days Roll Up</x:v>
      </x:c>
      <x:c r="D719" s="117" t="str">
        <x:v>No</x:v>
      </x:c>
      <x:c r="E719" s="118"/>
      <x:c r="F719" s="118" t="n">
        <x:v>1</x:v>
      </x:c>
      <x:c r="G719" s="117" t="str">
        <x:v>N/A</x:v>
      </x:c>
      <x:c r="H719" s="119" t="str">
        <x:v>Latest inactive v1 (Retrieved XML)</x:v>
      </x:c>
      <x:c r="I719" s="117" t="str">
        <x:v>AutoLaunchedFlow</x:v>
      </x:c>
      <x:c r="J719" s="117" t="str">
        <x:v>ProductItem__c</x:v>
      </x:c>
      <x:c r="K719" s="117" t="str">
        <x:v>No</x:v>
      </x:c>
      <x:c r="L719" s="117" t="str">
        <x:v>CreateAndUpdate</x:v>
      </x:c>
      <x:c r="M719" s="117" t="str">
        <x:v>RecordAfterSave</x:v>
      </x:c>
      <x:c r="N719" s="117"/>
      <x:c r="O719" s="117"/>
      <x:c r="P719" s="117" t="str"/>
      <x:c r="Q719" s="117" t="str">
        <x:v>66.0</x:v>
      </x:c>
      <x:c r="R719" s="117" t="str">
        <x:v>unmanaged</x:v>
      </x:c>
      <x:c r="S719" s="118" t="n">
        <x:v>1</x:v>
      </x:c>
      <x:c r="T719" s="118" t="n">
        <x:v>12</x:v>
      </x:c>
      <x:c r="U719" s="118" t="n">
        <x:v>2</x:v>
      </x:c>
      <x:c r="V719" s="118" t="n">
        <x:v>0</x:v>
      </x:c>
      <x:c r="W719" s="118" t="n">
        <x:v>0</x:v>
      </x:c>
      <x:c r="X719" s="118" t="n">
        <x:v>0</x:v>
      </x:c>
      <x:c r="Y719" s="118" t="n">
        <x:v>1</x:v>
      </x:c>
      <x:c r="Z719" s="117" t="str">
        <x:v>N/A</x:v>
      </x:c>
      <x:c r="AA719" s="120" t="n">
        <x:v>46155.73327546296</x:v>
      </x:c>
      <x:c r="AB719" s="117" t="str">
        <x:v>Delegate</x:v>
      </x:c>
      <x:c r="AC719" s="119" t="str">
        <x:v>05/13/26 (BW) – Async record-triggered flow on ProductItem__c that recalculates the average Working_Capital_Usage_Days__c on the parent Opportunity via Purchasing_Opportunity__c lookup. Runs asynchronously after commit to avoid SOQL limits. Mirrors the DLRS rollup [ACTIVE] Working Capital Usage Days Roll Up.</x:v>
      </x:c>
      <x:c r="AD719" s="119" t="str"/>
    </x:row>
    <x:row r="720" ht="34" customHeight="1">
      <x:c r="A720" s="117" t="str">
        <x:v>3004O0000000a5sQAA</x:v>
      </x:c>
      <x:c r="B720" s="117" t="str">
        <x:v>ZENKRAFT_Email_Label_When_Return_Shipment_Created</x:v>
      </x:c>
      <x:c r="C720" s="117" t="str">
        <x:v>ZENKRAFT: Email Label When Return Shipment Created</x:v>
      </x:c>
      <x:c r="D720" s="117" t="str">
        <x:v>Yes</x:v>
      </x:c>
      <x:c r="E720" s="118" t="n">
        <x:v>1</x:v>
      </x:c>
      <x:c r="F720" s="118" t="n">
        <x:v>1</x:v>
      </x:c>
      <x:c r="G720" s="117" t="str">
        <x:v>Yes</x:v>
      </x:c>
      <x:c r="H720" s="119" t="str">
        <x:v>Active v1 (Retrieved XML)</x:v>
      </x:c>
      <x:c r="I720" s="117" t="str">
        <x:v>Workflow</x:v>
      </x:c>
      <x:c r="J720" s="117" t="str"/>
      <x:c r="K720" s="117" t="str">
        <x:v>No</x:v>
      </x:c>
      <x:c r="L720" s="117" t="str"/>
      <x:c r="M720" s="117" t="str"/>
      <x:c r="N720" s="117"/>
      <x:c r="O720" s="117"/>
      <x:c r="P720" s="117" t="str"/>
      <x:c r="Q720" s="117" t="str">
        <x:v>50.0</x:v>
      </x:c>
      <x:c r="R720" s="117" t="str">
        <x:v>unmanaged</x:v>
      </x:c>
      <x:c r="S720" s="118" t="n">
        <x:v>1</x:v>
      </x:c>
      <x:c r="T720" s="118" t="n">
        <x:v>7</x:v>
      </x:c>
      <x:c r="U720" s="118" t="n">
        <x:v>1</x:v>
      </x:c>
      <x:c r="V720" s="118" t="n">
        <x:v>0</x:v>
      </x:c>
      <x:c r="W720" s="118" t="n">
        <x:v>1</x:v>
      </x:c>
      <x:c r="X720" s="118" t="n">
        <x:v>0</x:v>
      </x:c>
      <x:c r="Y720" s="118" t="n">
        <x:v>1</x:v>
      </x:c>
      <x:c r="Z720" s="117" t="str">
        <x:v>N/A</x:v>
      </x:c>
      <x:c r="AA720" s="120" t="n">
        <x:v>44139.80789351852</x:v>
      </x:c>
      <x:c r="AB720" s="117" t="str">
        <x:v>Trent VanEmon</x:v>
      </x:c>
      <x:c r="AC720" s="119" t="str"/>
      <x:c r="AD720" s="119" t="str">
        <x:v>Active flow has no description</x:v>
      </x:c>
    </x:row>
  </x:sheetData>
  <x:mergeCells>
    <x:mergeCell ref="A1:AD1"/>
    <x:mergeCell ref="A2:AD2"/>
  </x:mergeCells>
  <x:conditionalFormatting sqref="D5:D720">
    <x:cfRule type="containsText" dxfId="2" priority="1" operator="containsText" text="Yes"/>
    <x:cfRule type="containsText" dxfId="3" priority="2" operator="containsText" text="No"/>
  </x:conditionalFormatting>
  <x:conditionalFormatting sqref="G5:G720">
    <x:cfRule type="containsText" dxfId="4" priority="3" operator="containsText" text="No"/>
  </x:conditionalFormatting>
  <x:conditionalFormatting sqref="Y5:Y720">
    <x:cfRule type="colorScale" priority="4">
      <x:colorScale>
        <x:cfvo type="min"/>
        <x:cfvo type="percentile" val="50"/>
        <x:cfvo type="max"/>
        <x:color rgb="FFDFF2E1"/>
        <x:color rgb="FFFFF0CC"/>
        <x:color rgb="FFFCE1E1"/>
      </x:colorScale>
    </x:cfRule>
  </x:conditionalFormatting>
  <x:pageMargins left="0.7" right="0.7" top="0.75" bottom="0.75" header="0.3" footer="0.3"/>
  <x:tableParts count="1">
    <x:tablePart xmlns:r="http://schemas.openxmlformats.org/officeDocument/2006/relationships" r:id="R63f024301595481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20" hidden="0" customWidth="1"/>
    <x:col min="3" max="3" width="20" hidden="0" customWidth="1"/>
    <x:col min="4" max="4" width="10" hidden="0" customWidth="1"/>
    <x:col min="5" max="5" width="12" hidden="0" customWidth="1"/>
    <x:col min="6" max="6" width="14" hidden="0" customWidth="1"/>
    <x:col min="7" max="7" width="14" hidden="0" customWidth="1"/>
    <x:col min="8" max="8" width="20" hidden="0" customWidth="1"/>
    <x:col min="9" max="9" width="11" hidden="0" customWidth="1"/>
    <x:col min="10" max="10" width="14" hidden="0" customWidth="1"/>
    <x:col min="11" max="11" width="11" hidden="0" customWidth="1"/>
    <x:col min="12" max="12" width="18" hidden="0" customWidth="1"/>
    <x:col min="13" max="13" width="12" hidden="0" customWidth="1"/>
    <x:col min="14" max="14" width="20" hidden="0" customWidth="1"/>
    <x:col min="15" max="15" width="20" hidden="0" customWidth="1"/>
    <x:col min="16" max="16" width="20" hidden="0" customWidth="1"/>
    <x:col min="17" max="17" width="20" hidden="0" customWidth="1"/>
    <x:col min="18" max="18" width="38" hidden="0" customWidth="1"/>
    <x:col min="19" max="19" width="56" hidden="0" customWidth="1"/>
  </x:cols>
  <x:sheetData>
    <x:row r="1" ht="28" customHeight="1">
      <x:c r="A1" s="3" t="str">
        <x:v>Flow Versions — Complete Historical Inventory</x:v>
      </x:c>
      <x:c r="B1" s="3"/>
      <x:c r="C1" s="3"/>
      <x:c r="D1" s="3"/>
      <x:c r="E1" s="3"/>
      <x:c r="F1" s="3"/>
      <x:c r="G1" s="3"/>
      <x:c r="H1" s="3"/>
      <x:c r="I1" s="3"/>
      <x:c r="J1" s="3"/>
      <x:c r="K1" s="3"/>
      <x:c r="L1" s="3"/>
      <x:c r="M1" s="3"/>
      <x:c r="N1" s="3"/>
      <x:c r="O1" s="3"/>
      <x:c r="P1" s="3"/>
      <x:c r="Q1" s="3"/>
      <x:c r="R1" s="3"/>
      <x:c r="S1" s="3"/>
    </x:row>
    <x:row r="2" ht="34" customHeight="1">
      <x:c r="A2" s="7" t="str">
        <x:v>All 3,645 Tooling API Flow versions. Use the active/latest indicators to distinguish runtime versions, latest drafts, obsolete versions, and historical ownership.</x:v>
      </x:c>
      <x:c r="B2" s="7"/>
      <x:c r="C2" s="7"/>
      <x:c r="D2" s="7"/>
      <x:c r="E2" s="7"/>
      <x:c r="F2" s="7"/>
      <x:c r="G2" s="7"/>
      <x:c r="H2" s="7"/>
      <x:c r="I2" s="7"/>
      <x:c r="J2" s="7"/>
      <x:c r="K2" s="7"/>
      <x:c r="L2" s="7"/>
      <x:c r="M2" s="7"/>
      <x:c r="N2" s="7"/>
      <x:c r="O2" s="7"/>
      <x:c r="P2" s="7"/>
      <x:c r="Q2" s="7"/>
      <x:c r="R2" s="7"/>
      <x:c r="S2" s="7"/>
    </x:row>
    <x:row r="4" ht="36" customHeight="1">
      <x:c r="A4" s="114" t="str">
        <x:v>Flow API Name</x:v>
      </x:c>
      <x:c r="B4" s="115" t="str">
        <x:v>Definition ID</x:v>
      </x:c>
      <x:c r="C4" s="115" t="str">
        <x:v>Version ID</x:v>
      </x:c>
      <x:c r="D4" s="115" t="str">
        <x:v>Version</x:v>
      </x:c>
      <x:c r="E4" s="115" t="str">
        <x:v>Status</x:v>
      </x:c>
      <x:c r="F4" s="115" t="str">
        <x:v>Is Active Version</x:v>
      </x:c>
      <x:c r="G4" s="115" t="str">
        <x:v>Is Latest Version</x:v>
      </x:c>
      <x:c r="H4" s="115" t="str">
        <x:v>Process Type</x:v>
      </x:c>
      <x:c r="I4" s="115" t="str">
        <x:v>API Version</x:v>
      </x:c>
      <x:c r="J4" s="115" t="str">
        <x:v>Managed State</x:v>
      </x:c>
      <x:c r="K4" s="115" t="str">
        <x:v>Is Template</x:v>
      </x:c>
      <x:c r="L4" s="115" t="str">
        <x:v>Run Mode</x:v>
      </x:c>
      <x:c r="M4" s="115" t="str">
        <x:v>Trigger Order</x:v>
      </x:c>
      <x:c r="N4" s="115" t="str">
        <x:v>Created Date</x:v>
      </x:c>
      <x:c r="O4" s="115" t="str">
        <x:v>Created By</x:v>
      </x:c>
      <x:c r="P4" s="115" t="str">
        <x:v>Last Modified</x:v>
      </x:c>
      <x:c r="Q4" s="115" t="str">
        <x:v>Last Modified By</x:v>
      </x:c>
      <x:c r="R4" s="115" t="str">
        <x:v>Label</x:v>
      </x:c>
      <x:c r="S4" s="116" t="str">
        <x:v>Description</x:v>
      </x:c>
    </x:row>
    <x:row r="5" ht="30" customHeight="1">
      <x:c r="A5" s="117" t="str">
        <x:v>Absorb_External_Repair_Screen_Flow</x:v>
      </x:c>
      <x:c r="B5" s="117" t="str">
        <x:v>300Ro00000B1rQaIAJ</x:v>
      </x:c>
      <x:c r="C5" s="117" t="str">
        <x:v>301Ro00000C50ZyIAJ</x:v>
      </x:c>
      <x:c r="D5" s="118" t="n">
        <x:v>1</x:v>
      </x:c>
      <x:c r="E5" s="117" t="str">
        <x:v>Obsolete</x:v>
      </x:c>
      <x:c r="F5" s="117" t="str">
        <x:v>No</x:v>
      </x:c>
      <x:c r="G5" s="117" t="str">
        <x:v>No</x:v>
      </x:c>
      <x:c r="H5" s="117" t="str">
        <x:v>Flow</x:v>
      </x:c>
      <x:c r="I5" s="118" t="n">
        <x:v>60</x:v>
      </x:c>
      <x:c r="J5" s="117" t="str">
        <x:v>unmanaged</x:v>
      </x:c>
      <x:c r="K5" s="123" t="b">
        <x:v>0</x:v>
      </x:c>
      <x:c r="L5" s="117"/>
      <x:c r="M5" s="118"/>
      <x:c r="N5" s="120" t="n">
        <x:v>45414.687731481485</x:v>
      </x:c>
      <x:c r="O5" s="117" t="str">
        <x:v>Jace Gentil</x:v>
      </x:c>
      <x:c r="P5" s="120" t="n">
        <x:v>45414.6890162037</x:v>
      </x:c>
      <x:c r="Q5" s="117" t="str">
        <x:v>Jace Gentil</x:v>
      </x:c>
      <x:c r="R5" s="117" t="str">
        <x:v>Absorb External Repair Screen Flow</x:v>
      </x:c>
      <x:c r="S5" s="119"/>
    </x:row>
    <x:row r="6" ht="30" customHeight="1">
      <x:c r="A6" s="117" t="str">
        <x:v>Absorb_External_Repair_Screen_Flow</x:v>
      </x:c>
      <x:c r="B6" s="117" t="str">
        <x:v>300Ro00000B1rQaIAJ</x:v>
      </x:c>
      <x:c r="C6" s="117" t="str">
        <x:v>301Ro00000C5LT7IAN</x:v>
      </x:c>
      <x:c r="D6" s="118" t="n">
        <x:v>2</x:v>
      </x:c>
      <x:c r="E6" s="117" t="str">
        <x:v>Obsolete</x:v>
      </x:c>
      <x:c r="F6" s="117" t="str">
        <x:v>No</x:v>
      </x:c>
      <x:c r="G6" s="117" t="str">
        <x:v>No</x:v>
      </x:c>
      <x:c r="H6" s="117" t="str">
        <x:v>Flow</x:v>
      </x:c>
      <x:c r="I6" s="118" t="n">
        <x:v>60</x:v>
      </x:c>
      <x:c r="J6" s="117" t="str">
        <x:v>unmanaged</x:v>
      </x:c>
      <x:c r="K6" s="123" t="b">
        <x:v>0</x:v>
      </x:c>
      <x:c r="L6" s="117"/>
      <x:c r="M6" s="118"/>
      <x:c r="N6" s="120" t="n">
        <x:v>45414.694814814815</x:v>
      </x:c>
      <x:c r="O6" s="117" t="str">
        <x:v>Jace Gentil</x:v>
      </x:c>
      <x:c r="P6" s="120" t="n">
        <x:v>45414.694872685184</x:v>
      </x:c>
      <x:c r="Q6" s="117" t="str">
        <x:v>Jace Gentil</x:v>
      </x:c>
      <x:c r="R6" s="117" t="str">
        <x:v>Absorb External Repair Screen Flow</x:v>
      </x:c>
      <x:c r="S6" s="119"/>
    </x:row>
    <x:row r="7" ht="30" customHeight="1">
      <x:c r="A7" s="117" t="str">
        <x:v>Absorb_External_Repair_Screen_Flow</x:v>
      </x:c>
      <x:c r="B7" s="117" t="str">
        <x:v>300Ro00000B1rQaIAJ</x:v>
      </x:c>
      <x:c r="C7" s="117" t="str">
        <x:v>301Ro00000C6nggIAB</x:v>
      </x:c>
      <x:c r="D7" s="118" t="n">
        <x:v>3</x:v>
      </x:c>
      <x:c r="E7" s="117" t="str">
        <x:v>Obsolete</x:v>
      </x:c>
      <x:c r="F7" s="117" t="str">
        <x:v>No</x:v>
      </x:c>
      <x:c r="G7" s="117" t="str">
        <x:v>No</x:v>
      </x:c>
      <x:c r="H7" s="117" t="str">
        <x:v>Flow</x:v>
      </x:c>
      <x:c r="I7" s="118" t="n">
        <x:v>60</x:v>
      </x:c>
      <x:c r="J7" s="117" t="str">
        <x:v>unmanaged</x:v>
      </x:c>
      <x:c r="K7" s="123" t="b">
        <x:v>0</x:v>
      </x:c>
      <x:c r="L7" s="117"/>
      <x:c r="M7" s="118"/>
      <x:c r="N7" s="120" t="n">
        <x:v>45414.88175925926</x:v>
      </x:c>
      <x:c r="O7" s="117" t="str">
        <x:v>Jace Gentil</x:v>
      </x:c>
      <x:c r="P7" s="120" t="n">
        <x:v>45414.88182870371</x:v>
      </x:c>
      <x:c r="Q7" s="117" t="str">
        <x:v>Jace Gentil</x:v>
      </x:c>
      <x:c r="R7" s="117" t="str">
        <x:v>Absorb External Repair Screen Flow</x:v>
      </x:c>
      <x:c r="S7" s="119"/>
    </x:row>
    <x:row r="8" ht="30" customHeight="1">
      <x:c r="A8" s="117" t="str">
        <x:v>Absorb_External_Repair_Screen_Flow</x:v>
      </x:c>
      <x:c r="B8" s="117" t="str">
        <x:v>300Ro00000B1rQaIAJ</x:v>
      </x:c>
      <x:c r="C8" s="117" t="str">
        <x:v>301Ro00000C9SXeIAN</x:v>
      </x:c>
      <x:c r="D8" s="118" t="n">
        <x:v>4</x:v>
      </x:c>
      <x:c r="E8" s="117" t="str">
        <x:v>Obsolete</x:v>
      </x:c>
      <x:c r="F8" s="117" t="str">
        <x:v>No</x:v>
      </x:c>
      <x:c r="G8" s="117" t="str">
        <x:v>No</x:v>
      </x:c>
      <x:c r="H8" s="117" t="str">
        <x:v>Flow</x:v>
      </x:c>
      <x:c r="I8" s="118" t="n">
        <x:v>60</x:v>
      </x:c>
      <x:c r="J8" s="117" t="str">
        <x:v>unmanaged</x:v>
      </x:c>
      <x:c r="K8" s="123" t="b">
        <x:v>0</x:v>
      </x:c>
      <x:c r="L8" s="117" t="str">
        <x:v>SystemModeWithoutSharing</x:v>
      </x:c>
      <x:c r="M8" s="118"/>
      <x:c r="N8" s="120" t="n">
        <x:v>45415.63542824074</x:v>
      </x:c>
      <x:c r="O8" s="117" t="str">
        <x:v>Jace Gentil</x:v>
      </x:c>
      <x:c r="P8" s="120" t="n">
        <x:v>45415.63548611111</x:v>
      </x:c>
      <x:c r="Q8" s="117" t="str">
        <x:v>Jace Gentil</x:v>
      </x:c>
      <x:c r="R8" s="117" t="str">
        <x:v>Absorb External Repair Screen Flow</x:v>
      </x:c>
      <x:c r="S8" s="119"/>
    </x:row>
    <x:row r="9" ht="30" customHeight="1">
      <x:c r="A9" s="117" t="str">
        <x:v>Absorb_External_Repair_Screen_Flow</x:v>
      </x:c>
      <x:c r="B9" s="117" t="str">
        <x:v>300Ro00000B1rQaIAJ</x:v>
      </x:c>
      <x:c r="C9" s="117" t="str">
        <x:v>301Ro00000EDgudIAD</x:v>
      </x:c>
      <x:c r="D9" s="118" t="n">
        <x:v>5</x:v>
      </x:c>
      <x:c r="E9" s="117" t="str">
        <x:v>Obsolete</x:v>
      </x:c>
      <x:c r="F9" s="117" t="str">
        <x:v>No</x:v>
      </x:c>
      <x:c r="G9" s="117" t="str">
        <x:v>No</x:v>
      </x:c>
      <x:c r="H9" s="117" t="str">
        <x:v>Flow</x:v>
      </x:c>
      <x:c r="I9" s="118" t="n">
        <x:v>60</x:v>
      </x:c>
      <x:c r="J9" s="117" t="str">
        <x:v>unmanaged</x:v>
      </x:c>
      <x:c r="K9" s="123" t="b">
        <x:v>0</x:v>
      </x:c>
      <x:c r="L9" s="117" t="str">
        <x:v>SystemModeWithoutSharing</x:v>
      </x:c>
      <x:c r="M9" s="118"/>
      <x:c r="N9" s="120" t="n">
        <x:v>45448.71230324074</x:v>
      </x:c>
      <x:c r="O9" s="117" t="str">
        <x:v>Jace Gentil</x:v>
      </x:c>
      <x:c r="P9" s="120" t="n">
        <x:v>45448.712372685186</x:v>
      </x:c>
      <x:c r="Q9" s="117" t="str">
        <x:v>Jace Gentil</x:v>
      </x:c>
      <x:c r="R9" s="117" t="str">
        <x:v>Absorb External Repair Screen Flow</x:v>
      </x:c>
      <x:c r="S9" s="119"/>
    </x:row>
    <x:row r="10" ht="30" customHeight="1">
      <x:c r="A10" s="117" t="str">
        <x:v>Absorb_External_Repair_Screen_Flow</x:v>
      </x:c>
      <x:c r="B10" s="117" t="str">
        <x:v>300Ro00000B1rQaIAJ</x:v>
      </x:c>
      <x:c r="C10" s="117" t="str">
        <x:v>301Ro00000EI7hMIAT</x:v>
      </x:c>
      <x:c r="D10" s="118" t="n">
        <x:v>6</x:v>
      </x:c>
      <x:c r="E10" s="117" t="str">
        <x:v>Obsolete</x:v>
      </x:c>
      <x:c r="F10" s="117" t="str">
        <x:v>No</x:v>
      </x:c>
      <x:c r="G10" s="117" t="str">
        <x:v>No</x:v>
      </x:c>
      <x:c r="H10" s="117" t="str">
        <x:v>Flow</x:v>
      </x:c>
      <x:c r="I10" s="118" t="n">
        <x:v>60</x:v>
      </x:c>
      <x:c r="J10" s="117" t="str">
        <x:v>unmanaged</x:v>
      </x:c>
      <x:c r="K10" s="123" t="b">
        <x:v>0</x:v>
      </x:c>
      <x:c r="L10" s="117" t="str">
        <x:v>SystemModeWithoutSharing</x:v>
      </x:c>
      <x:c r="M10" s="118"/>
      <x:c r="N10" s="120" t="n">
        <x:v>45449.641180555554</x:v>
      </x:c>
      <x:c r="O10" s="117" t="str">
        <x:v>Jace Gentil</x:v>
      </x:c>
      <x:c r="P10" s="120" t="n">
        <x:v>45449.64125</x:v>
      </x:c>
      <x:c r="Q10" s="117" t="str">
        <x:v>Jace Gentil</x:v>
      </x:c>
      <x:c r="R10" s="117" t="str">
        <x:v>Absorb External Repair Screen Flow</x:v>
      </x:c>
      <x:c r="S10" s="119"/>
    </x:row>
    <x:row r="11" ht="30" customHeight="1">
      <x:c r="A11" s="117" t="str">
        <x:v>Absorb_External_Repair_Screen_Flow</x:v>
      </x:c>
      <x:c r="B11" s="117" t="str">
        <x:v>300Ro00000B1rQaIAJ</x:v>
      </x:c>
      <x:c r="C11" s="117" t="str">
        <x:v>301Ro00000RqfdvIAB</x:v>
      </x:c>
      <x:c r="D11" s="118" t="n">
        <x:v>7</x:v>
      </x:c>
      <x:c r="E11" s="117" t="str">
        <x:v>Obsolete</x:v>
      </x:c>
      <x:c r="F11" s="117" t="str">
        <x:v>No</x:v>
      </x:c>
      <x:c r="G11" s="117" t="str">
        <x:v>No</x:v>
      </x:c>
      <x:c r="H11" s="117" t="str">
        <x:v>Flow</x:v>
      </x:c>
      <x:c r="I11" s="118" t="n">
        <x:v>60</x:v>
      </x:c>
      <x:c r="J11" s="117" t="str">
        <x:v>unmanaged</x:v>
      </x:c>
      <x:c r="K11" s="123" t="b">
        <x:v>0</x:v>
      </x:c>
      <x:c r="L11" s="117" t="str">
        <x:v>SystemModeWithoutSharing</x:v>
      </x:c>
      <x:c r="M11" s="118"/>
      <x:c r="N11" s="120" t="n">
        <x:v>45666.79284722222</x:v>
      </x:c>
      <x:c r="O11" s="117" t="str">
        <x:v>Delegate</x:v>
      </x:c>
      <x:c r="P11" s="120" t="n">
        <x:v>45666.79865740741</x:v>
      </x:c>
      <x:c r="Q11" s="117" t="str">
        <x:v>Delegate</x:v>
      </x:c>
      <x:c r="R11" s="117" t="str">
        <x:v>Absorb External Repair Screen Flow</x:v>
      </x:c>
      <x:c r="S11" s="119" t="str">
        <x:v>Updating to include new IR process.  IR Type, Submit to Accounting, &amp; Create IR Product.</x:v>
      </x:c>
    </x:row>
    <x:row r="12" ht="30" customHeight="1">
      <x:c r="A12" s="117" t="str">
        <x:v>Absorb_External_Repair_Screen_Flow</x:v>
      </x:c>
      <x:c r="B12" s="117" t="str">
        <x:v>300Ro00000B1rQaIAJ</x:v>
      </x:c>
      <x:c r="C12" s="117" t="str">
        <x:v>301Ro00000RrRVZIA3</x:v>
      </x:c>
      <x:c r="D12" s="118" t="n">
        <x:v>8</x:v>
      </x:c>
      <x:c r="E12" s="117" t="str">
        <x:v>Obsolete</x:v>
      </x:c>
      <x:c r="F12" s="117" t="str">
        <x:v>No</x:v>
      </x:c>
      <x:c r="G12" s="117" t="str">
        <x:v>No</x:v>
      </x:c>
      <x:c r="H12" s="117" t="str">
        <x:v>Flow</x:v>
      </x:c>
      <x:c r="I12" s="118" t="n">
        <x:v>60</x:v>
      </x:c>
      <x:c r="J12" s="117" t="str">
        <x:v>unmanaged</x:v>
      </x:c>
      <x:c r="K12" s="123" t="b">
        <x:v>0</x:v>
      </x:c>
      <x:c r="L12" s="117" t="str">
        <x:v>SystemModeWithoutSharing</x:v>
      </x:c>
      <x:c r="M12" s="118"/>
      <x:c r="N12" s="120" t="n">
        <x:v>45666.870104166665</x:v>
      </x:c>
      <x:c r="O12" s="117" t="str">
        <x:v>Delegate</x:v>
      </x:c>
      <x:c r="P12" s="120" t="n">
        <x:v>45666.870162037034</x:v>
      </x:c>
      <x:c r="Q12" s="117" t="str">
        <x:v>Delegate</x:v>
      </x:c>
      <x:c r="R12" s="117" t="str">
        <x:v>Absorb External Repair Screen Flow</x:v>
      </x:c>
      <x:c r="S12" s="119" t="str">
        <x:v>AM: Updated New IR ID throughout flow to use same ID</x:v>
      </x:c>
    </x:row>
    <x:row r="13" ht="30" customHeight="1">
      <x:c r="A13" s="117" t="str">
        <x:v>Absorb_External_Repair_Screen_Flow</x:v>
      </x:c>
      <x:c r="B13" s="117" t="str">
        <x:v>300Ro00000B1rQaIAJ</x:v>
      </x:c>
      <x:c r="C13" s="117" t="str">
        <x:v>301Ro00000Rr2QrIAJ</x:v>
      </x:c>
      <x:c r="D13" s="118" t="n">
        <x:v>9</x:v>
      </x:c>
      <x:c r="E13" s="117" t="str">
        <x:v>Obsolete</x:v>
      </x:c>
      <x:c r="F13" s="117" t="str">
        <x:v>No</x:v>
      </x:c>
      <x:c r="G13" s="117" t="str">
        <x:v>No</x:v>
      </x:c>
      <x:c r="H13" s="117" t="str">
        <x:v>Flow</x:v>
      </x:c>
      <x:c r="I13" s="118" t="n">
        <x:v>60</x:v>
      </x:c>
      <x:c r="J13" s="117" t="str">
        <x:v>unmanaged</x:v>
      </x:c>
      <x:c r="K13" s="123" t="b">
        <x:v>0</x:v>
      </x:c>
      <x:c r="L13" s="117" t="str">
        <x:v>SystemModeWithoutSharing</x:v>
      </x:c>
      <x:c r="M13" s="118"/>
      <x:c r="N13" s="120" t="n">
        <x:v>45666.88914351852</x:v>
      </x:c>
      <x:c r="O13" s="117" t="str">
        <x:v>Delegate</x:v>
      </x:c>
      <x:c r="P13" s="120" t="n">
        <x:v>45666.889236111114</x:v>
      </x:c>
      <x:c r="Q13" s="117" t="str">
        <x:v>Delegate</x:v>
      </x:c>
      <x:c r="R13" s="117" t="str">
        <x:v>Absorb External Repair Screen Flow</x:v>
      </x:c>
      <x:c r="S13" s="119" t="str">
        <x:v>AM: Updated New IR ID throughout flow to use same ID</x:v>
      </x:c>
    </x:row>
    <x:row r="14" ht="30" customHeight="1">
      <x:c r="A14" s="117" t="str">
        <x:v>Absorb_External_Repair_Screen_Flow</x:v>
      </x:c>
      <x:c r="B14" s="117" t="str">
        <x:v>300Ro00000B1rQaIAJ</x:v>
      </x:c>
      <x:c r="C14" s="117" t="str">
        <x:v>301Ro00000RrZmUIAV</x:v>
      </x:c>
      <x:c r="D14" s="118" t="n">
        <x:v>10</x:v>
      </x:c>
      <x:c r="E14" s="117" t="str">
        <x:v>Obsolete</x:v>
      </x:c>
      <x:c r="F14" s="117" t="str">
        <x:v>No</x:v>
      </x:c>
      <x:c r="G14" s="117" t="str">
        <x:v>No</x:v>
      </x:c>
      <x:c r="H14" s="117" t="str">
        <x:v>Flow</x:v>
      </x:c>
      <x:c r="I14" s="118" t="n">
        <x:v>60</x:v>
      </x:c>
      <x:c r="J14" s="117" t="str">
        <x:v>unmanaged</x:v>
      </x:c>
      <x:c r="K14" s="123" t="b">
        <x:v>0</x:v>
      </x:c>
      <x:c r="L14" s="117" t="str">
        <x:v>SystemModeWithoutSharing</x:v>
      </x:c>
      <x:c r="M14" s="118"/>
      <x:c r="N14" s="120" t="n">
        <x:v>45666.89637731481</x:v>
      </x:c>
      <x:c r="O14" s="117" t="str">
        <x:v>Delegate</x:v>
      </x:c>
      <x:c r="P14" s="120" t="n">
        <x:v>45666.89644675926</x:v>
      </x:c>
      <x:c r="Q14" s="117" t="str">
        <x:v>Delegate</x:v>
      </x:c>
      <x:c r="R14" s="117" t="str">
        <x:v>Absorb External Repair Screen Flow</x:v>
      </x:c>
      <x:c r="S14" s="119" t="str">
        <x:v>AM: Updated New IR ID throughout flow to use same ID</x:v>
      </x:c>
    </x:row>
    <x:row r="15" ht="30" customHeight="1">
      <x:c r="A15" s="117" t="str">
        <x:v>Absorb_External_Repair_Screen_Flow</x:v>
      </x:c>
      <x:c r="B15" s="117" t="str">
        <x:v>300Ro00000B1rQaIAJ</x:v>
      </x:c>
      <x:c r="C15" s="117" t="str">
        <x:v>301Ro00000T516JIAR</x:v>
      </x:c>
      <x:c r="D15" s="118" t="n">
        <x:v>11</x:v>
      </x:c>
      <x:c r="E15" s="117" t="str">
        <x:v>Active</x:v>
      </x:c>
      <x:c r="F15" s="117" t="str">
        <x:v>Yes</x:v>
      </x:c>
      <x:c r="G15" s="117" t="str">
        <x:v>Yes</x:v>
      </x:c>
      <x:c r="H15" s="117" t="str">
        <x:v>Flow</x:v>
      </x:c>
      <x:c r="I15" s="118" t="n">
        <x:v>60</x:v>
      </x:c>
      <x:c r="J15" s="117" t="str">
        <x:v>unmanaged</x:v>
      </x:c>
      <x:c r="K15" s="123" t="b">
        <x:v>0</x:v>
      </x:c>
      <x:c r="L15" s="117" t="str">
        <x:v>SystemModeWithoutSharing</x:v>
      </x:c>
      <x:c r="M15" s="118"/>
      <x:c r="N15" s="120" t="n">
        <x:v>45687.75162037037</x:v>
      </x:c>
      <x:c r="O15" s="117" t="str">
        <x:v>Jace Gentil</x:v>
      </x:c>
      <x:c r="P15" s="120" t="n">
        <x:v>45687.75171296296</x:v>
      </x:c>
      <x:c r="Q15" s="117" t="str">
        <x:v>Jace Gentil</x:v>
      </x:c>
      <x:c r="R15" s="117" t="str">
        <x:v>Absorb External Repair Screen Flow</x:v>
      </x:c>
      <x:c r="S15" s="119" t="str">
        <x:v>AM: Updated New IR ID throughout flow to use same ID</x:v>
      </x:c>
    </x:row>
    <x:row r="16" ht="30" customHeight="1">
      <x:c r="A16" s="117" t="str">
        <x:v>Account_Created_by_EU_UK</x:v>
      </x:c>
      <x:c r="B16" s="117" t="str">
        <x:v>3005b000000H3Y6AAK</x:v>
      </x:c>
      <x:c r="C16" s="117" t="str">
        <x:v>3015b000000EIFVAA4</x:v>
      </x:c>
      <x:c r="D16" s="118" t="n">
        <x:v>1</x:v>
      </x:c>
      <x:c r="E16" s="117" t="str">
        <x:v>Obsolete</x:v>
      </x:c>
      <x:c r="F16" s="117" t="str">
        <x:v>No</x:v>
      </x:c>
      <x:c r="G16" s="117" t="str">
        <x:v>No</x:v>
      </x:c>
      <x:c r="H16" s="117" t="str">
        <x:v>AutoLaunchedFlow</x:v>
      </x:c>
      <x:c r="I16" s="118" t="n">
        <x:v>54</x:v>
      </x:c>
      <x:c r="J16" s="117" t="str">
        <x:v>unmanaged</x:v>
      </x:c>
      <x:c r="K16" s="123" t="b">
        <x:v>0</x:v>
      </x:c>
      <x:c r="L16" s="117"/>
      <x:c r="M16" s="118"/>
      <x:c r="N16" s="120" t="n">
        <x:v>44631.54792824074</x:v>
      </x:c>
      <x:c r="O16" s="117" t="str">
        <x:v>Delegate</x:v>
      </x:c>
      <x:c r="P16" s="120" t="n">
        <x:v>44631.547997685186</x:v>
      </x:c>
      <x:c r="Q16" s="117" t="str">
        <x:v>Delegate</x:v>
      </x:c>
      <x:c r="R16" s="117" t="str">
        <x:v>Account Created by EU/UK</x:v>
      </x:c>
      <x:c r="S16" s="119" t="str">
        <x:v>Marks a new account as created by EU/UK</x:v>
      </x:c>
    </x:row>
    <x:row r="17" ht="30" customHeight="1">
      <x:c r="A17" s="117" t="str">
        <x:v>Account_Created_by_EU_UK</x:v>
      </x:c>
      <x:c r="B17" s="117" t="str">
        <x:v>3005b000000H3Y6AAK</x:v>
      </x:c>
      <x:c r="C17" s="117" t="str">
        <x:v>301Ro00000SVUhjIAH</x:v>
      </x:c>
      <x:c r="D17" s="118" t="n">
        <x:v>2</x:v>
      </x:c>
      <x:c r="E17" s="117" t="str">
        <x:v>Obsolete</x:v>
      </x:c>
      <x:c r="F17" s="117" t="str">
        <x:v>No</x:v>
      </x:c>
      <x:c r="G17" s="117" t="str">
        <x:v>No</x:v>
      </x:c>
      <x:c r="H17" s="117" t="str">
        <x:v>AutoLaunchedFlow</x:v>
      </x:c>
      <x:c r="I17" s="118" t="n">
        <x:v>54</x:v>
      </x:c>
      <x:c r="J17" s="117" t="str">
        <x:v>unmanaged</x:v>
      </x:c>
      <x:c r="K17" s="123" t="b">
        <x:v>0</x:v>
      </x:c>
      <x:c r="L17" s="117"/>
      <x:c r="M17" s="118"/>
      <x:c r="N17" s="120" t="n">
        <x:v>45678.66258101852</x:v>
      </x:c>
      <x:c r="O17" s="117" t="str">
        <x:v>Jon Kean</x:v>
      </x:c>
      <x:c r="P17" s="120" t="n">
        <x:v>45678.662939814814</x:v>
      </x:c>
      <x:c r="Q17" s="117" t="str">
        <x:v>Jon Kean</x:v>
      </x:c>
      <x:c r="R17" s="117" t="str">
        <x:v>Account Created by EU/UK</x:v>
      </x:c>
      <x:c r="S17" s="119" t="str">
        <x:v>Marks a new account as created by EU/UK</x:v>
      </x:c>
    </x:row>
    <x:row r="18" ht="30" customHeight="1">
      <x:c r="A18" s="117" t="str">
        <x:v>Account_Created_by_EU_UK</x:v>
      </x:c>
      <x:c r="B18" s="117" t="str">
        <x:v>3005b000000H3Y6AAK</x:v>
      </x:c>
      <x:c r="C18" s="117" t="str">
        <x:v>301Ro00000SVkxnIAD</x:v>
      </x:c>
      <x:c r="D18" s="118" t="n">
        <x:v>3</x:v>
      </x:c>
      <x:c r="E18" s="117" t="str">
        <x:v>Obsolete</x:v>
      </x:c>
      <x:c r="F18" s="117" t="str">
        <x:v>No</x:v>
      </x:c>
      <x:c r="G18" s="117" t="str">
        <x:v>No</x:v>
      </x:c>
      <x:c r="H18" s="117" t="str">
        <x:v>AutoLaunchedFlow</x:v>
      </x:c>
      <x:c r="I18" s="118" t="n">
        <x:v>54</x:v>
      </x:c>
      <x:c r="J18" s="117" t="str">
        <x:v>unmanaged</x:v>
      </x:c>
      <x:c r="K18" s="123" t="b">
        <x:v>0</x:v>
      </x:c>
      <x:c r="L18" s="117"/>
      <x:c r="M18" s="118"/>
      <x:c r="N18" s="120" t="n">
        <x:v>45678.664872685185</x:v>
      </x:c>
      <x:c r="O18" s="117" t="str">
        <x:v>Jon Kean</x:v>
      </x:c>
      <x:c r="P18" s="120" t="n">
        <x:v>45678.664930555555</x:v>
      </x:c>
      <x:c r="Q18" s="117" t="str">
        <x:v>Jon Kean</x:v>
      </x:c>
      <x:c r="R18" s="117" t="str">
        <x:v>Account Created by EU/UK</x:v>
      </x:c>
      <x:c r="S18" s="119" t="str">
        <x:v>Marks a new account as created by EU/UK</x:v>
      </x:c>
    </x:row>
    <x:row r="19" ht="30" customHeight="1">
      <x:c r="A19" s="117" t="str">
        <x:v>Account_Created_by_EU_UK</x:v>
      </x:c>
      <x:c r="B19" s="117" t="str">
        <x:v>3005b000000H3Y6AAK</x:v>
      </x:c>
      <x:c r="C19" s="117" t="str">
        <x:v>301Ro00000SVvhpIAD</x:v>
      </x:c>
      <x:c r="D19" s="118" t="n">
        <x:v>4</x:v>
      </x:c>
      <x:c r="E19" s="117" t="str">
        <x:v>Obsolete</x:v>
      </x:c>
      <x:c r="F19" s="117" t="str">
        <x:v>No</x:v>
      </x:c>
      <x:c r="G19" s="117" t="str">
        <x:v>No</x:v>
      </x:c>
      <x:c r="H19" s="117" t="str">
        <x:v>AutoLaunchedFlow</x:v>
      </x:c>
      <x:c r="I19" s="118" t="n">
        <x:v>54</x:v>
      </x:c>
      <x:c r="J19" s="117" t="str">
        <x:v>unmanaged</x:v>
      </x:c>
      <x:c r="K19" s="123" t="b">
        <x:v>0</x:v>
      </x:c>
      <x:c r="L19" s="117"/>
      <x:c r="M19" s="118"/>
      <x:c r="N19" s="120" t="n">
        <x:v>45678.66663194444</x:v>
      </x:c>
      <x:c r="O19" s="117" t="str">
        <x:v>Jon Kean</x:v>
      </x:c>
      <x:c r="P19" s="120" t="n">
        <x:v>45678.66674768519</x:v>
      </x:c>
      <x:c r="Q19" s="117" t="str">
        <x:v>Jon Kean</x:v>
      </x:c>
      <x:c r="R19" s="117" t="str">
        <x:v>Account Created by EU/UK</x:v>
      </x:c>
      <x:c r="S19" s="119" t="str">
        <x:v>Marks a new account as created by EU/UK</x:v>
      </x:c>
    </x:row>
    <x:row r="20" ht="30" customHeight="1">
      <x:c r="A20" s="117" t="str">
        <x:v>Account_Created_by_EU_UK</x:v>
      </x:c>
      <x:c r="B20" s="117" t="str">
        <x:v>3005b000000H3Y6AAK</x:v>
      </x:c>
      <x:c r="C20" s="117" t="str">
        <x:v>301Ro00000SVtksIAD</x:v>
      </x:c>
      <x:c r="D20" s="118" t="n">
        <x:v>5</x:v>
      </x:c>
      <x:c r="E20" s="117" t="str">
        <x:v>Active</x:v>
      </x:c>
      <x:c r="F20" s="117" t="str">
        <x:v>Yes</x:v>
      </x:c>
      <x:c r="G20" s="117" t="str">
        <x:v>Yes</x:v>
      </x:c>
      <x:c r="H20" s="117" t="str">
        <x:v>AutoLaunchedFlow</x:v>
      </x:c>
      <x:c r="I20" s="118" t="n">
        <x:v>54</x:v>
      </x:c>
      <x:c r="J20" s="117" t="str">
        <x:v>unmanaged</x:v>
      </x:c>
      <x:c r="K20" s="123" t="b">
        <x:v>0</x:v>
      </x:c>
      <x:c r="L20" s="117"/>
      <x:c r="M20" s="118"/>
      <x:c r="N20" s="120" t="n">
        <x:v>45678.66752314815</x:v>
      </x:c>
      <x:c r="O20" s="117" t="str">
        <x:v>Jon Kean</x:v>
      </x:c>
      <x:c r="P20" s="120" t="n">
        <x:v>45678.66763888889</x:v>
      </x:c>
      <x:c r="Q20" s="117" t="str">
        <x:v>Jon Kean</x:v>
      </x:c>
      <x:c r="R20" s="117" t="str">
        <x:v>Account Created by EU/UK</x:v>
      </x:c>
      <x:c r="S20" s="119" t="str">
        <x:v>Marks a new account as created by EU/UK</x:v>
      </x:c>
    </x:row>
    <x:row r="21" ht="30" customHeight="1">
      <x:c r="A21" s="117" t="str">
        <x:v>Account_Engagement_Bulk_Asset_Copy_Flow</x:v>
      </x:c>
      <x:c r="B21" s="117" t="str">
        <x:v>3005b000000LJ6aAAG</x:v>
      </x:c>
      <x:c r="C21" s="117" t="str">
        <x:v>3015b000000ANbVAAW</x:v>
      </x:c>
      <x:c r="D21" s="118" t="n">
        <x:v>1</x:v>
      </x:c>
      <x:c r="E21" s="117" t="str">
        <x:v>Draft</x:v>
      </x:c>
      <x:c r="F21" s="117" t="str">
        <x:v>No</x:v>
      </x:c>
      <x:c r="G21" s="117" t="str">
        <x:v>No</x:v>
      </x:c>
      <x:c r="H21" s="117" t="str">
        <x:v>Flow</x:v>
      </x:c>
      <x:c r="I21" s="118" t="n">
        <x:v>55</x:v>
      </x:c>
      <x:c r="J21" s="117" t="str">
        <x:v>installed</x:v>
      </x:c>
      <x:c r="K21" s="123" t="b">
        <x:v>1</x:v>
      </x:c>
      <x:c r="L21" s="117"/>
      <x:c r="M21" s="118"/>
      <x:c r="N21" s="120" t="n">
        <x:v>45113.88010416667</x:v>
      </x:c>
      <x:c r="O21" s="117" t="str"/>
      <x:c r="P21" s="120" t="n">
        <x:v>45113.88049768518</x:v>
      </x:c>
      <x:c r="Q21" s="117" t="str"/>
      <x:c r="R21" s="117" t="str">
        <x:v>Account Engagement Bulk Asset Copy Flow</x:v>
      </x:c>
      <x:c r="S21" s="119"/>
    </x:row>
    <x:row r="22" ht="30" customHeight="1">
      <x:c r="A22" s="117" t="str">
        <x:v>Account_Engagement_Bulk_Asset_Copy_Flow</x:v>
      </x:c>
      <x:c r="B22" s="117" t="str">
        <x:v>3005b000000LJ6aAAG</x:v>
      </x:c>
      <x:c r="C22" s="117" t="str">
        <x:v>3015b0000011M8NAAU</x:v>
      </x:c>
      <x:c r="D22" s="118" t="n">
        <x:v>3</x:v>
      </x:c>
      <x:c r="E22" s="117" t="str">
        <x:v>Draft</x:v>
      </x:c>
      <x:c r="F22" s="117" t="str">
        <x:v>No</x:v>
      </x:c>
      <x:c r="G22" s="117" t="str">
        <x:v>No</x:v>
      </x:c>
      <x:c r="H22" s="117" t="str">
        <x:v>Flow</x:v>
      </x:c>
      <x:c r="I22" s="118" t="n">
        <x:v>55</x:v>
      </x:c>
      <x:c r="J22" s="117" t="str">
        <x:v>installed</x:v>
      </x:c>
      <x:c r="K22" s="123" t="b">
        <x:v>1</x:v>
      </x:c>
      <x:c r="L22" s="117"/>
      <x:c r="M22" s="118"/>
      <x:c r="N22" s="120" t="n">
        <x:v>45231.08917824074</x:v>
      </x:c>
      <x:c r="O22" s="117" t="str"/>
      <x:c r="P22" s="120" t="n">
        <x:v>45231.08950231481</x:v>
      </x:c>
      <x:c r="Q22" s="117" t="str"/>
      <x:c r="R22" s="117" t="str">
        <x:v>Account Engagement Bulk Asset Copy Flow</x:v>
      </x:c>
      <x:c r="S22" s="119"/>
    </x:row>
    <x:row r="23" ht="30" customHeight="1">
      <x:c r="A23" s="117" t="str">
        <x:v>Account_Engagement_Bulk_Asset_Copy_Flow</x:v>
      </x:c>
      <x:c r="B23" s="117" t="str">
        <x:v>3005b000000LJ6aAAG</x:v>
      </x:c>
      <x:c r="C23" s="117" t="str">
        <x:v>301Ro000006K0d8IAC</x:v>
      </x:c>
      <x:c r="D23" s="118" t="n">
        <x:v>4</x:v>
      </x:c>
      <x:c r="E23" s="117" t="str">
        <x:v>Draft</x:v>
      </x:c>
      <x:c r="F23" s="117" t="str">
        <x:v>No</x:v>
      </x:c>
      <x:c r="G23" s="117" t="str">
        <x:v>No</x:v>
      </x:c>
      <x:c r="H23" s="117" t="str">
        <x:v>Flow</x:v>
      </x:c>
      <x:c r="I23" s="118" t="n">
        <x:v>55</x:v>
      </x:c>
      <x:c r="J23" s="117" t="str">
        <x:v>installed</x:v>
      </x:c>
      <x:c r="K23" s="123" t="b">
        <x:v>1</x:v>
      </x:c>
      <x:c r="L23" s="117"/>
      <x:c r="M23" s="118"/>
      <x:c r="N23" s="120" t="n">
        <x:v>45315.106400462966</x:v>
      </x:c>
      <x:c r="O23" s="117" t="str"/>
      <x:c r="P23" s="120" t="n">
        <x:v>45315.1065625</x:v>
      </x:c>
      <x:c r="Q23" s="117" t="str"/>
      <x:c r="R23" s="117" t="str">
        <x:v>Account Engagement Bulk Asset Copy Flow</x:v>
      </x:c>
      <x:c r="S23" s="119"/>
    </x:row>
    <x:row r="24" ht="30" customHeight="1">
      <x:c r="A24" s="117" t="str">
        <x:v>Account_Engagement_Bulk_Asset_Copy_Flow</x:v>
      </x:c>
      <x:c r="B24" s="117" t="str">
        <x:v>3005b000000LJ6aAAG</x:v>
      </x:c>
      <x:c r="C24" s="117" t="str">
        <x:v>301Ro000007kJOfIAM</x:v>
      </x:c>
      <x:c r="D24" s="118" t="n">
        <x:v>5</x:v>
      </x:c>
      <x:c r="E24" s="117" t="str">
        <x:v>Draft</x:v>
      </x:c>
      <x:c r="F24" s="117" t="str">
        <x:v>No</x:v>
      </x:c>
      <x:c r="G24" s="117" t="str">
        <x:v>No</x:v>
      </x:c>
      <x:c r="H24" s="117" t="str">
        <x:v>Flow</x:v>
      </x:c>
      <x:c r="I24" s="118" t="n">
        <x:v>55</x:v>
      </x:c>
      <x:c r="J24" s="117" t="str">
        <x:v>installed</x:v>
      </x:c>
      <x:c r="K24" s="123" t="b">
        <x:v>1</x:v>
      </x:c>
      <x:c r="L24" s="117"/>
      <x:c r="M24" s="118"/>
      <x:c r="N24" s="120" t="n">
        <x:v>45343.15494212963</x:v>
      </x:c>
      <x:c r="O24" s="117" t="str"/>
      <x:c r="P24" s="120" t="n">
        <x:v>45343.15510416667</x:v>
      </x:c>
      <x:c r="Q24" s="117" t="str"/>
      <x:c r="R24" s="117" t="str">
        <x:v>Account Engagement Bulk Asset Copy Flow</x:v>
      </x:c>
      <x:c r="S24" s="119"/>
    </x:row>
    <x:row r="25" ht="30" customHeight="1">
      <x:c r="A25" s="117" t="str">
        <x:v>Account_Engagement_Bulk_Asset_Copy_Flow</x:v>
      </x:c>
      <x:c r="B25" s="117" t="str">
        <x:v>3005b000000LJ6aAAG</x:v>
      </x:c>
      <x:c r="C25" s="117" t="str">
        <x:v>301Ro00000ByeQrIAJ</x:v>
      </x:c>
      <x:c r="D25" s="118" t="n">
        <x:v>7</x:v>
      </x:c>
      <x:c r="E25" s="117" t="str">
        <x:v>Draft</x:v>
      </x:c>
      <x:c r="F25" s="117" t="str">
        <x:v>No</x:v>
      </x:c>
      <x:c r="G25" s="117" t="str">
        <x:v>No</x:v>
      </x:c>
      <x:c r="H25" s="117" t="str">
        <x:v>Flow</x:v>
      </x:c>
      <x:c r="I25" s="118" t="n">
        <x:v>55</x:v>
      </x:c>
      <x:c r="J25" s="117" t="str">
        <x:v>installed</x:v>
      </x:c>
      <x:c r="K25" s="123" t="b">
        <x:v>1</x:v>
      </x:c>
      <x:c r="L25" s="117"/>
      <x:c r="M25" s="118"/>
      <x:c r="N25" s="120" t="n">
        <x:v>45413.12206018518</x:v>
      </x:c>
      <x:c r="O25" s="117" t="str"/>
      <x:c r="P25" s="120" t="n">
        <x:v>45413.12222222222</x:v>
      </x:c>
      <x:c r="Q25" s="117" t="str"/>
      <x:c r="R25" s="117" t="str">
        <x:v>Account Engagement Bulk Asset Copy Flow</x:v>
      </x:c>
      <x:c r="S25" s="119"/>
    </x:row>
    <x:row r="26" ht="30" customHeight="1">
      <x:c r="A26" s="117" t="str">
        <x:v>Account_Engagement_Bulk_Asset_Copy_Flow</x:v>
      </x:c>
      <x:c r="B26" s="117" t="str">
        <x:v>3005b000000LJ6aAAG</x:v>
      </x:c>
      <x:c r="C26" s="117" t="str">
        <x:v>301Ro00000G69RnIAJ</x:v>
      </x:c>
      <x:c r="D26" s="118" t="n">
        <x:v>11</x:v>
      </x:c>
      <x:c r="E26" s="117" t="str">
        <x:v>Obsolete</x:v>
      </x:c>
      <x:c r="F26" s="117" t="str">
        <x:v>No</x:v>
      </x:c>
      <x:c r="G26" s="117" t="str">
        <x:v>No</x:v>
      </x:c>
      <x:c r="H26" s="117" t="str">
        <x:v>Flow</x:v>
      </x:c>
      <x:c r="I26" s="118" t="n">
        <x:v>55</x:v>
      </x:c>
      <x:c r="J26" s="117" t="str">
        <x:v>installed</x:v>
      </x:c>
      <x:c r="K26" s="123" t="b">
        <x:v>1</x:v>
      </x:c>
      <x:c r="L26" s="117"/>
      <x:c r="M26" s="118"/>
      <x:c r="N26" s="120" t="n">
        <x:v>45476.11211805556</x:v>
      </x:c>
      <x:c r="O26" s="117" t="str"/>
      <x:c r="P26" s="120" t="n">
        <x:v>45476.11230324074</x:v>
      </x:c>
      <x:c r="Q26" s="117" t="str"/>
      <x:c r="R26" s="117" t="str">
        <x:v>Account Engagement Bulk Asset Copy Flow</x:v>
      </x:c>
      <x:c r="S26" s="119"/>
    </x:row>
    <x:row r="27" ht="30" customHeight="1">
      <x:c r="A27" s="117" t="str">
        <x:v>Account_Engagement_Bulk_Asset_Copy_Flow</x:v>
      </x:c>
      <x:c r="B27" s="117" t="str">
        <x:v>3005b000000LJ6aAAG</x:v>
      </x:c>
      <x:c r="C27" s="117" t="str">
        <x:v>301Ro00000JwBMkIAN</x:v>
      </x:c>
      <x:c r="D27" s="118" t="n">
        <x:v>12</x:v>
      </x:c>
      <x:c r="E27" s="117" t="str">
        <x:v>Obsolete</x:v>
      </x:c>
      <x:c r="F27" s="117" t="str">
        <x:v>No</x:v>
      </x:c>
      <x:c r="G27" s="117" t="str">
        <x:v>No</x:v>
      </x:c>
      <x:c r="H27" s="117" t="str">
        <x:v>Flow</x:v>
      </x:c>
      <x:c r="I27" s="118" t="n">
        <x:v>55</x:v>
      </x:c>
      <x:c r="J27" s="117" t="str">
        <x:v>installed</x:v>
      </x:c>
      <x:c r="K27" s="123" t="b">
        <x:v>1</x:v>
      </x:c>
      <x:c r="L27" s="117"/>
      <x:c r="M27" s="118"/>
      <x:c r="N27" s="120" t="n">
        <x:v>45532.19767361111</x:v>
      </x:c>
      <x:c r="O27" s="117" t="str"/>
      <x:c r="P27" s="120" t="n">
        <x:v>45532.19783564815</x:v>
      </x:c>
      <x:c r="Q27" s="117" t="str"/>
      <x:c r="R27" s="117" t="str">
        <x:v>Account Engagement Bulk Asset Copy Flow</x:v>
      </x:c>
      <x:c r="S27" s="119"/>
    </x:row>
    <x:row r="28" ht="30" customHeight="1">
      <x:c r="A28" s="117" t="str">
        <x:v>Account_Engagement_Bulk_Asset_Copy_Flow</x:v>
      </x:c>
      <x:c r="B28" s="117" t="str">
        <x:v>3005b000000LJ6aAAG</x:v>
      </x:c>
      <x:c r="C28" s="117" t="str">
        <x:v>301Ro00000WGtW1IAL</x:v>
      </x:c>
      <x:c r="D28" s="118" t="n">
        <x:v>17</x:v>
      </x:c>
      <x:c r="E28" s="117" t="str">
        <x:v>Obsolete</x:v>
      </x:c>
      <x:c r="F28" s="117" t="str">
        <x:v>No</x:v>
      </x:c>
      <x:c r="G28" s="117" t="str">
        <x:v>No</x:v>
      </x:c>
      <x:c r="H28" s="117" t="str">
        <x:v>Flow</x:v>
      </x:c>
      <x:c r="I28" s="118" t="n">
        <x:v>55</x:v>
      </x:c>
      <x:c r="J28" s="117" t="str">
        <x:v>installed</x:v>
      </x:c>
      <x:c r="K28" s="123" t="b">
        <x:v>1</x:v>
      </x:c>
      <x:c r="L28" s="117"/>
      <x:c r="M28" s="118"/>
      <x:c r="N28" s="120" t="n">
        <x:v>45742.068136574075</x:v>
      </x:c>
      <x:c r="O28" s="117" t="str"/>
      <x:c r="P28" s="120" t="n">
        <x:v>45742.068506944444</x:v>
      </x:c>
      <x:c r="Q28" s="117" t="str"/>
      <x:c r="R28" s="117" t="str">
        <x:v>Account Engagement Bulk Asset Copy Flow</x:v>
      </x:c>
      <x:c r="S28" s="119"/>
    </x:row>
    <x:row r="29" ht="30" customHeight="1">
      <x:c r="A29" s="117" t="str">
        <x:v>Account_Engagement_Bulk_Asset_Copy_Flow</x:v>
      </x:c>
      <x:c r="B29" s="117" t="str">
        <x:v>3005b000000LJ6aAAG</x:v>
      </x:c>
      <x:c r="C29" s="117" t="str">
        <x:v>301Ro00000bU8faIAC</x:v>
      </x:c>
      <x:c r="D29" s="118" t="n">
        <x:v>20</x:v>
      </x:c>
      <x:c r="E29" s="117" t="str">
        <x:v>Obsolete</x:v>
      </x:c>
      <x:c r="F29" s="117" t="str">
        <x:v>No</x:v>
      </x:c>
      <x:c r="G29" s="117" t="str">
        <x:v>No</x:v>
      </x:c>
      <x:c r="H29" s="117" t="str">
        <x:v>Flow</x:v>
      </x:c>
      <x:c r="I29" s="118" t="n">
        <x:v>55</x:v>
      </x:c>
      <x:c r="J29" s="117" t="str">
        <x:v>installed</x:v>
      </x:c>
      <x:c r="K29" s="123" t="b">
        <x:v>1</x:v>
      </x:c>
      <x:c r="L29" s="117"/>
      <x:c r="M29" s="118"/>
      <x:c r="N29" s="120" t="n">
        <x:v>45820.686377314814</x:v>
      </x:c>
      <x:c r="O29" s="117" t="str"/>
      <x:c r="P29" s="120" t="n">
        <x:v>45820.686736111114</x:v>
      </x:c>
      <x:c r="Q29" s="117" t="str"/>
      <x:c r="R29" s="117" t="str">
        <x:v>Account Engagement Bulk Asset Copy Flow</x:v>
      </x:c>
      <x:c r="S29" s="119"/>
    </x:row>
    <x:row r="30" ht="30" customHeight="1">
      <x:c r="A30" s="117" t="str">
        <x:v>Account_Engagement_Bulk_Asset_Copy_Flow</x:v>
      </x:c>
      <x:c r="B30" s="117" t="str">
        <x:v>3005b000000LJ6aAAG</x:v>
      </x:c>
      <x:c r="C30" s="117" t="str">
        <x:v>301Ro00000hesNVIAY</x:v>
      </x:c>
      <x:c r="D30" s="118" t="n">
        <x:v>21</x:v>
      </x:c>
      <x:c r="E30" s="117" t="str">
        <x:v>Obsolete</x:v>
      </x:c>
      <x:c r="F30" s="117" t="str">
        <x:v>No</x:v>
      </x:c>
      <x:c r="G30" s="117" t="str">
        <x:v>No</x:v>
      </x:c>
      <x:c r="H30" s="117" t="str">
        <x:v>Flow</x:v>
      </x:c>
      <x:c r="I30" s="118" t="n">
        <x:v>55</x:v>
      </x:c>
      <x:c r="J30" s="117" t="str">
        <x:v>installed</x:v>
      </x:c>
      <x:c r="K30" s="123" t="b">
        <x:v>1</x:v>
      </x:c>
      <x:c r="L30" s="117"/>
      <x:c r="M30" s="118"/>
      <x:c r="N30" s="120" t="n">
        <x:v>45875.09133101852</x:v>
      </x:c>
      <x:c r="O30" s="117" t="str"/>
      <x:c r="P30" s="120" t="n">
        <x:v>45875.09153935185</x:v>
      </x:c>
      <x:c r="Q30" s="117" t="str"/>
      <x:c r="R30" s="117" t="str">
        <x:v>Account Engagement Bulk Asset Copy Flow</x:v>
      </x:c>
      <x:c r="S30" s="119"/>
    </x:row>
    <x:row r="31" ht="30" customHeight="1">
      <x:c r="A31" s="117" t="str">
        <x:v>Account_Engagement_Bulk_Asset_Copy_Flow</x:v>
      </x:c>
      <x:c r="B31" s="117" t="str">
        <x:v>3005b000000LJ6aAAG</x:v>
      </x:c>
      <x:c r="C31" s="117" t="str">
        <x:v>301Ro000019NZkBIAW</x:v>
      </x:c>
      <x:c r="D31" s="118" t="n">
        <x:v>22</x:v>
      </x:c>
      <x:c r="E31" s="117" t="str">
        <x:v>Obsolete</x:v>
      </x:c>
      <x:c r="F31" s="117" t="str">
        <x:v>No</x:v>
      </x:c>
      <x:c r="G31" s="117" t="str">
        <x:v>No</x:v>
      </x:c>
      <x:c r="H31" s="117" t="str">
        <x:v>Flow</x:v>
      </x:c>
      <x:c r="I31" s="118" t="n">
        <x:v>55</x:v>
      </x:c>
      <x:c r="J31" s="117" t="str">
        <x:v>installed</x:v>
      </x:c>
      <x:c r="K31" s="123" t="b">
        <x:v>1</x:v>
      </x:c>
      <x:c r="L31" s="117"/>
      <x:c r="M31" s="118"/>
      <x:c r="N31" s="120" t="n">
        <x:v>46197.05915509259</x:v>
      </x:c>
      <x:c r="O31" s="117" t="str"/>
      <x:c r="P31" s="120" t="n">
        <x:v>46197.05946759259</x:v>
      </x:c>
      <x:c r="Q31" s="117" t="str"/>
      <x:c r="R31" s="117" t="str">
        <x:v>Account Engagement Bulk Asset Copy Flow</x:v>
      </x:c>
      <x:c r="S31" s="119"/>
    </x:row>
    <x:row r="32" ht="30" customHeight="1">
      <x:c r="A32" s="117" t="str">
        <x:v>Account_Engagement_Bulk_Asset_Copy_Flow</x:v>
      </x:c>
      <x:c r="B32" s="117" t="str">
        <x:v>3005b000000LJ6aAAG</x:v>
      </x:c>
      <x:c r="C32" s="117" t="str">
        <x:v>301Ro00001DEvUfIAL</x:v>
      </x:c>
      <x:c r="D32" s="118" t="n">
        <x:v>23</x:v>
      </x:c>
      <x:c r="E32" s="117" t="str">
        <x:v>Active</x:v>
      </x:c>
      <x:c r="F32" s="117" t="str">
        <x:v>Yes</x:v>
      </x:c>
      <x:c r="G32" s="117" t="str">
        <x:v>Yes</x:v>
      </x:c>
      <x:c r="H32" s="117" t="str">
        <x:v>Flow</x:v>
      </x:c>
      <x:c r="I32" s="118" t="n">
        <x:v>55</x:v>
      </x:c>
      <x:c r="J32" s="117" t="str">
        <x:v>installed</x:v>
      </x:c>
      <x:c r="K32" s="123" t="b">
        <x:v>1</x:v>
      </x:c>
      <x:c r="L32" s="117"/>
      <x:c r="M32" s="118"/>
      <x:c r="N32" s="120" t="n">
        <x:v>46239.46978009259</x:v>
      </x:c>
      <x:c r="O32" s="117" t="str"/>
      <x:c r="P32" s="120" t="n">
        <x:v>46239.47006944445</x:v>
      </x:c>
      <x:c r="Q32" s="117" t="str"/>
      <x:c r="R32" s="117" t="str">
        <x:v>Account Engagement Bulk Asset Copy Flow</x:v>
      </x:c>
      <x:c r="S32" s="119"/>
    </x:row>
    <x:row r="33" ht="30" customHeight="1">
      <x:c r="A33" s="117" t="str">
        <x:v>Account_Engagement_Sandbox_Production_Bulk_Asset_Copy_Flow</x:v>
      </x:c>
      <x:c r="B33" s="117" t="str">
        <x:v>3005b00000113WCAAY</x:v>
      </x:c>
      <x:c r="C33" s="117" t="str">
        <x:v>3015b0000011M8OAAU</x:v>
      </x:c>
      <x:c r="D33" s="118" t="n">
        <x:v>2</x:v>
      </x:c>
      <x:c r="E33" s="117" t="str">
        <x:v>Draft</x:v>
      </x:c>
      <x:c r="F33" s="117" t="str">
        <x:v>No</x:v>
      </x:c>
      <x:c r="G33" s="117" t="str">
        <x:v>No</x:v>
      </x:c>
      <x:c r="H33" s="117" t="str">
        <x:v>Flow</x:v>
      </x:c>
      <x:c r="I33" s="118" t="n">
        <x:v>55</x:v>
      </x:c>
      <x:c r="J33" s="117" t="str">
        <x:v>installed</x:v>
      </x:c>
      <x:c r="K33" s="123" t="b">
        <x:v>1</x:v>
      </x:c>
      <x:c r="L33" s="117"/>
      <x:c r="M33" s="118"/>
      <x:c r="N33" s="120" t="n">
        <x:v>45231.08917824074</x:v>
      </x:c>
      <x:c r="O33" s="117" t="str"/>
      <x:c r="P33" s="120" t="n">
        <x:v>45231.08954861111</x:v>
      </x:c>
      <x:c r="Q33" s="117" t="str"/>
      <x:c r="R33" s="117" t="str">
        <x:v>Account Engagement Sandbox-Production Bulk Asset Copy Flow</x:v>
      </x:c>
      <x:c r="S33" s="119"/>
    </x:row>
    <x:row r="34" ht="30" customHeight="1">
      <x:c r="A34" s="117" t="str">
        <x:v>Account_Engagement_Sandbox_Production_Bulk_Asset_Copy_Flow</x:v>
      </x:c>
      <x:c r="B34" s="117" t="str">
        <x:v>3005b00000113WCAAY</x:v>
      </x:c>
      <x:c r="C34" s="117" t="str">
        <x:v>301Ro000006K0d9IAC</x:v>
      </x:c>
      <x:c r="D34" s="118" t="n">
        <x:v>3</x:v>
      </x:c>
      <x:c r="E34" s="117" t="str">
        <x:v>Draft</x:v>
      </x:c>
      <x:c r="F34" s="117" t="str">
        <x:v>No</x:v>
      </x:c>
      <x:c r="G34" s="117" t="str">
        <x:v>No</x:v>
      </x:c>
      <x:c r="H34" s="117" t="str">
        <x:v>Flow</x:v>
      </x:c>
      <x:c r="I34" s="118" t="n">
        <x:v>55</x:v>
      </x:c>
      <x:c r="J34" s="117" t="str">
        <x:v>installed</x:v>
      </x:c>
      <x:c r="K34" s="123" t="b">
        <x:v>1</x:v>
      </x:c>
      <x:c r="L34" s="117"/>
      <x:c r="M34" s="118"/>
      <x:c r="N34" s="120" t="n">
        <x:v>45315.106400462966</x:v>
      </x:c>
      <x:c r="O34" s="117" t="str"/>
      <x:c r="P34" s="120" t="n">
        <x:v>45315.10659722222</x:v>
      </x:c>
      <x:c r="Q34" s="117" t="str"/>
      <x:c r="R34" s="117" t="str">
        <x:v>Account Engagement Sandbox-Production Bulk Asset Copy Flow</x:v>
      </x:c>
      <x:c r="S34" s="119"/>
    </x:row>
    <x:row r="35" ht="30" customHeight="1">
      <x:c r="A35" s="117" t="str">
        <x:v>Account_Engagement_Sandbox_Production_Bulk_Asset_Copy_Flow</x:v>
      </x:c>
      <x:c r="B35" s="117" t="str">
        <x:v>3005b00000113WCAAY</x:v>
      </x:c>
      <x:c r="C35" s="117" t="str">
        <x:v>301Ro000007kJOgIAM</x:v>
      </x:c>
      <x:c r="D35" s="118" t="n">
        <x:v>4</x:v>
      </x:c>
      <x:c r="E35" s="117" t="str">
        <x:v>Draft</x:v>
      </x:c>
      <x:c r="F35" s="117" t="str">
        <x:v>No</x:v>
      </x:c>
      <x:c r="G35" s="117" t="str">
        <x:v>No</x:v>
      </x:c>
      <x:c r="H35" s="117" t="str">
        <x:v>Flow</x:v>
      </x:c>
      <x:c r="I35" s="118" t="n">
        <x:v>55</x:v>
      </x:c>
      <x:c r="J35" s="117" t="str">
        <x:v>installed</x:v>
      </x:c>
      <x:c r="K35" s="123" t="b">
        <x:v>1</x:v>
      </x:c>
      <x:c r="L35" s="117"/>
      <x:c r="M35" s="118"/>
      <x:c r="N35" s="120" t="n">
        <x:v>45343.15494212963</x:v>
      </x:c>
      <x:c r="O35" s="117" t="str"/>
      <x:c r="P35" s="120" t="n">
        <x:v>45343.155127314814</x:v>
      </x:c>
      <x:c r="Q35" s="117" t="str"/>
      <x:c r="R35" s="117" t="str">
        <x:v>Account Engagement Sandbox-Production Bulk Asset Copy Flow</x:v>
      </x:c>
      <x:c r="S35" s="119"/>
    </x:row>
    <x:row r="36" ht="30" customHeight="1">
      <x:c r="A36" s="117" t="str">
        <x:v>Account_Engagement_Sandbox_Production_Bulk_Asset_Copy_Flow</x:v>
      </x:c>
      <x:c r="B36" s="117" t="str">
        <x:v>3005b00000113WCAAY</x:v>
      </x:c>
      <x:c r="C36" s="117" t="str">
        <x:v>301Ro00000ByeQsIAJ</x:v>
      </x:c>
      <x:c r="D36" s="118" t="n">
        <x:v>6</x:v>
      </x:c>
      <x:c r="E36" s="117" t="str">
        <x:v>Draft</x:v>
      </x:c>
      <x:c r="F36" s="117" t="str">
        <x:v>No</x:v>
      </x:c>
      <x:c r="G36" s="117" t="str">
        <x:v>No</x:v>
      </x:c>
      <x:c r="H36" s="117" t="str">
        <x:v>Flow</x:v>
      </x:c>
      <x:c r="I36" s="118" t="n">
        <x:v>55</x:v>
      </x:c>
      <x:c r="J36" s="117" t="str">
        <x:v>installed</x:v>
      </x:c>
      <x:c r="K36" s="123" t="b">
        <x:v>1</x:v>
      </x:c>
      <x:c r="L36" s="117"/>
      <x:c r="M36" s="118"/>
      <x:c r="N36" s="120" t="n">
        <x:v>45413.12206018518</x:v>
      </x:c>
      <x:c r="O36" s="117" t="str"/>
      <x:c r="P36" s="120" t="n">
        <x:v>45413.12225694444</x:v>
      </x:c>
      <x:c r="Q36" s="117" t="str"/>
      <x:c r="R36" s="117" t="str">
        <x:v>Account Engagement Sandbox-Production Bulk Asset Copy Flow</x:v>
      </x:c>
      <x:c r="S36" s="119"/>
    </x:row>
    <x:row r="37" ht="30" customHeight="1">
      <x:c r="A37" s="117" t="str">
        <x:v>Account_Engagement_Sandbox_Production_Bulk_Asset_Copy_Flow</x:v>
      </x:c>
      <x:c r="B37" s="117" t="str">
        <x:v>3005b00000113WCAAY</x:v>
      </x:c>
      <x:c r="C37" s="117" t="str">
        <x:v>301Ro00000G69RoIAJ</x:v>
      </x:c>
      <x:c r="D37" s="118" t="n">
        <x:v>13</x:v>
      </x:c>
      <x:c r="E37" s="117" t="str">
        <x:v>Obsolete</x:v>
      </x:c>
      <x:c r="F37" s="117" t="str">
        <x:v>No</x:v>
      </x:c>
      <x:c r="G37" s="117" t="str">
        <x:v>No</x:v>
      </x:c>
      <x:c r="H37" s="117" t="str">
        <x:v>Flow</x:v>
      </x:c>
      <x:c r="I37" s="118" t="n">
        <x:v>55</x:v>
      </x:c>
      <x:c r="J37" s="117" t="str">
        <x:v>installed</x:v>
      </x:c>
      <x:c r="K37" s="123" t="b">
        <x:v>1</x:v>
      </x:c>
      <x:c r="L37" s="117"/>
      <x:c r="M37" s="118"/>
      <x:c r="N37" s="120" t="n">
        <x:v>45476.11211805556</x:v>
      </x:c>
      <x:c r="O37" s="117" t="str"/>
      <x:c r="P37" s="120" t="n">
        <x:v>45476.11237268519</x:v>
      </x:c>
      <x:c r="Q37" s="117" t="str"/>
      <x:c r="R37" s="117" t="str">
        <x:v>Account Engagement Sandbox-Production Bulk Asset Copy Flow</x:v>
      </x:c>
      <x:c r="S37" s="119"/>
    </x:row>
    <x:row r="38" ht="30" customHeight="1">
      <x:c r="A38" s="117" t="str">
        <x:v>Account_Engagement_Sandbox_Production_Bulk_Asset_Copy_Flow</x:v>
      </x:c>
      <x:c r="B38" s="117" t="str">
        <x:v>3005b00000113WCAAY</x:v>
      </x:c>
      <x:c r="C38" s="117" t="str">
        <x:v>301Ro00000JwBMlIAN</x:v>
      </x:c>
      <x:c r="D38" s="118" t="n">
        <x:v>14</x:v>
      </x:c>
      <x:c r="E38" s="117" t="str">
        <x:v>Obsolete</x:v>
      </x:c>
      <x:c r="F38" s="117" t="str">
        <x:v>No</x:v>
      </x:c>
      <x:c r="G38" s="117" t="str">
        <x:v>No</x:v>
      </x:c>
      <x:c r="H38" s="117" t="str">
        <x:v>Flow</x:v>
      </x:c>
      <x:c r="I38" s="118" t="n">
        <x:v>55</x:v>
      </x:c>
      <x:c r="J38" s="117" t="str">
        <x:v>installed</x:v>
      </x:c>
      <x:c r="K38" s="123" t="b">
        <x:v>1</x:v>
      </x:c>
      <x:c r="L38" s="117"/>
      <x:c r="M38" s="118"/>
      <x:c r="N38" s="120" t="n">
        <x:v>45532.19768518519</x:v>
      </x:c>
      <x:c r="O38" s="117" t="str"/>
      <x:c r="P38" s="120" t="n">
        <x:v>45532.197905092595</x:v>
      </x:c>
      <x:c r="Q38" s="117" t="str"/>
      <x:c r="R38" s="117" t="str">
        <x:v>Account Engagement Sandbox-Production Bulk Asset Copy Flow</x:v>
      </x:c>
      <x:c r="S38" s="119"/>
    </x:row>
    <x:row r="39" ht="30" customHeight="1">
      <x:c r="A39" s="117" t="str">
        <x:v>Account_Engagement_Sandbox_Production_Bulk_Asset_Copy_Flow</x:v>
      </x:c>
      <x:c r="B39" s="117" t="str">
        <x:v>3005b00000113WCAAY</x:v>
      </x:c>
      <x:c r="C39" s="117" t="str">
        <x:v>301Ro00000WGtW2IAL</x:v>
      </x:c>
      <x:c r="D39" s="118" t="n">
        <x:v>19</x:v>
      </x:c>
      <x:c r="E39" s="117" t="str">
        <x:v>Obsolete</x:v>
      </x:c>
      <x:c r="F39" s="117" t="str">
        <x:v>No</x:v>
      </x:c>
      <x:c r="G39" s="117" t="str">
        <x:v>No</x:v>
      </x:c>
      <x:c r="H39" s="117" t="str">
        <x:v>Flow</x:v>
      </x:c>
      <x:c r="I39" s="118" t="n">
        <x:v>55</x:v>
      </x:c>
      <x:c r="J39" s="117" t="str">
        <x:v>installed</x:v>
      </x:c>
      <x:c r="K39" s="123" t="b">
        <x:v>1</x:v>
      </x:c>
      <x:c r="L39" s="117"/>
      <x:c r="M39" s="118"/>
      <x:c r="N39" s="120" t="n">
        <x:v>45742.068136574075</x:v>
      </x:c>
      <x:c r="O39" s="117" t="str"/>
      <x:c r="P39" s="120" t="n">
        <x:v>45742.06859953704</x:v>
      </x:c>
      <x:c r="Q39" s="117" t="str"/>
      <x:c r="R39" s="117" t="str">
        <x:v>Account Engagement Sandbox-Production Bulk Asset Copy Flow</x:v>
      </x:c>
      <x:c r="S39" s="119"/>
    </x:row>
    <x:row r="40" ht="30" customHeight="1">
      <x:c r="A40" s="117" t="str">
        <x:v>Account_Engagement_Sandbox_Production_Bulk_Asset_Copy_Flow</x:v>
      </x:c>
      <x:c r="B40" s="117" t="str">
        <x:v>3005b00000113WCAAY</x:v>
      </x:c>
      <x:c r="C40" s="117" t="str">
        <x:v>301Ro00000bU8fbIAC</x:v>
      </x:c>
      <x:c r="D40" s="118" t="n">
        <x:v>22</x:v>
      </x:c>
      <x:c r="E40" s="117" t="str">
        <x:v>Obsolete</x:v>
      </x:c>
      <x:c r="F40" s="117" t="str">
        <x:v>No</x:v>
      </x:c>
      <x:c r="G40" s="117" t="str">
        <x:v>No</x:v>
      </x:c>
      <x:c r="H40" s="117" t="str">
        <x:v>Flow</x:v>
      </x:c>
      <x:c r="I40" s="118" t="n">
        <x:v>55</x:v>
      </x:c>
      <x:c r="J40" s="117" t="str">
        <x:v>installed</x:v>
      </x:c>
      <x:c r="K40" s="123" t="b">
        <x:v>1</x:v>
      </x:c>
      <x:c r="L40" s="117"/>
      <x:c r="M40" s="118"/>
      <x:c r="N40" s="120" t="n">
        <x:v>45820.686377314814</x:v>
      </x:c>
      <x:c r="O40" s="117" t="str"/>
      <x:c r="P40" s="120" t="n">
        <x:v>45820.68690972222</x:v>
      </x:c>
      <x:c r="Q40" s="117" t="str"/>
      <x:c r="R40" s="117" t="str">
        <x:v>Account Engagement Sandbox-Production Bulk Asset Copy Flow</x:v>
      </x:c>
      <x:c r="S40" s="119"/>
    </x:row>
    <x:row r="41" ht="30" customHeight="1">
      <x:c r="A41" s="117" t="str">
        <x:v>Account_Engagement_Sandbox_Production_Bulk_Asset_Copy_Flow</x:v>
      </x:c>
      <x:c r="B41" s="117" t="str">
        <x:v>3005b00000113WCAAY</x:v>
      </x:c>
      <x:c r="C41" s="117" t="str">
        <x:v>301Ro00000hesNWIAY</x:v>
      </x:c>
      <x:c r="D41" s="118" t="n">
        <x:v>23</x:v>
      </x:c>
      <x:c r="E41" s="117" t="str">
        <x:v>Obsolete</x:v>
      </x:c>
      <x:c r="F41" s="117" t="str">
        <x:v>No</x:v>
      </x:c>
      <x:c r="G41" s="117" t="str">
        <x:v>No</x:v>
      </x:c>
      <x:c r="H41" s="117" t="str">
        <x:v>Flow</x:v>
      </x:c>
      <x:c r="I41" s="118" t="n">
        <x:v>55</x:v>
      </x:c>
      <x:c r="J41" s="117" t="str">
        <x:v>installed</x:v>
      </x:c>
      <x:c r="K41" s="123" t="b">
        <x:v>1</x:v>
      </x:c>
      <x:c r="L41" s="117"/>
      <x:c r="M41" s="118"/>
      <x:c r="N41" s="120" t="n">
        <x:v>45875.09133101852</x:v>
      </x:c>
      <x:c r="O41" s="117" t="str"/>
      <x:c r="P41" s="120" t="n">
        <x:v>45875.09172453704</x:v>
      </x:c>
      <x:c r="Q41" s="117" t="str"/>
      <x:c r="R41" s="117" t="str">
        <x:v>Account Engagement Sandbox-Production Bulk Asset Copy Flow</x:v>
      </x:c>
      <x:c r="S41" s="119"/>
    </x:row>
    <x:row r="42" ht="30" customHeight="1">
      <x:c r="A42" s="117" t="str">
        <x:v>Account_Engagement_Sandbox_Production_Bulk_Asset_Copy_Flow</x:v>
      </x:c>
      <x:c r="B42" s="117" t="str">
        <x:v>3005b00000113WCAAY</x:v>
      </x:c>
      <x:c r="C42" s="117" t="str">
        <x:v>301Ro000019NZkCIAW</x:v>
      </x:c>
      <x:c r="D42" s="118" t="n">
        <x:v>24</x:v>
      </x:c>
      <x:c r="E42" s="117" t="str">
        <x:v>Obsolete</x:v>
      </x:c>
      <x:c r="F42" s="117" t="str">
        <x:v>No</x:v>
      </x:c>
      <x:c r="G42" s="117" t="str">
        <x:v>No</x:v>
      </x:c>
      <x:c r="H42" s="117" t="str">
        <x:v>Flow</x:v>
      </x:c>
      <x:c r="I42" s="118" t="n">
        <x:v>55</x:v>
      </x:c>
      <x:c r="J42" s="117" t="str">
        <x:v>installed</x:v>
      </x:c>
      <x:c r="K42" s="123" t="b">
        <x:v>1</x:v>
      </x:c>
      <x:c r="L42" s="117"/>
      <x:c r="M42" s="118"/>
      <x:c r="N42" s="120" t="n">
        <x:v>46197.05915509259</x:v>
      </x:c>
      <x:c r="O42" s="117" t="str"/>
      <x:c r="P42" s="120" t="n">
        <x:v>46197.05971064815</x:v>
      </x:c>
      <x:c r="Q42" s="117" t="str"/>
      <x:c r="R42" s="117" t="str">
        <x:v>Account Engagement Sandbox-Production Bulk Asset Copy Flow</x:v>
      </x:c>
      <x:c r="S42" s="119"/>
    </x:row>
    <x:row r="43" ht="30" customHeight="1">
      <x:c r="A43" s="117" t="str">
        <x:v>Account_Engagement_Sandbox_Production_Bulk_Asset_Copy_Flow</x:v>
      </x:c>
      <x:c r="B43" s="117" t="str">
        <x:v>3005b00000113WCAAY</x:v>
      </x:c>
      <x:c r="C43" s="117" t="str">
        <x:v>301Ro00001DEvUgIAL</x:v>
      </x:c>
      <x:c r="D43" s="118" t="n">
        <x:v>25</x:v>
      </x:c>
      <x:c r="E43" s="117" t="str">
        <x:v>Active</x:v>
      </x:c>
      <x:c r="F43" s="117" t="str">
        <x:v>Yes</x:v>
      </x:c>
      <x:c r="G43" s="117" t="str">
        <x:v>Yes</x:v>
      </x:c>
      <x:c r="H43" s="117" t="str">
        <x:v>Flow</x:v>
      </x:c>
      <x:c r="I43" s="118" t="n">
        <x:v>55</x:v>
      </x:c>
      <x:c r="J43" s="117" t="str">
        <x:v>installed</x:v>
      </x:c>
      <x:c r="K43" s="123" t="b">
        <x:v>1</x:v>
      </x:c>
      <x:c r="L43" s="117"/>
      <x:c r="M43" s="118"/>
      <x:c r="N43" s="120" t="n">
        <x:v>46239.46979166667</x:v>
      </x:c>
      <x:c r="O43" s="117" t="str"/>
      <x:c r="P43" s="120" t="n">
        <x:v>46239.47020833333</x:v>
      </x:c>
      <x:c r="Q43" s="117" t="str"/>
      <x:c r="R43" s="117" t="str">
        <x:v>Account Engagement Sandbox-Production Bulk Asset Copy Flow</x:v>
      </x:c>
      <x:c r="S43" s="119"/>
    </x:row>
    <x:row r="44" ht="30" customHeight="1">
      <x:c r="A44" s="117" t="str">
        <x:v>AccountFieldUpdateFlow</x:v>
      </x:c>
      <x:c r="B44" s="117" t="str">
        <x:v>300Ro000007gsMaIAI</x:v>
      </x:c>
      <x:c r="C44" s="117" t="str">
        <x:v>301Ro000008Y7TtIAK</x:v>
      </x:c>
      <x:c r="D44" s="118" t="n">
        <x:v>1</x:v>
      </x:c>
      <x:c r="E44" s="117" t="str">
        <x:v>Obsolete</x:v>
      </x:c>
      <x:c r="F44" s="117" t="str">
        <x:v>No</x:v>
      </x:c>
      <x:c r="G44" s="117" t="str">
        <x:v>No</x:v>
      </x:c>
      <x:c r="H44" s="117" t="str">
        <x:v>AutoLaunchedFlow</x:v>
      </x:c>
      <x:c r="I44" s="118" t="n">
        <x:v>60</x:v>
      </x:c>
      <x:c r="J44" s="117" t="str">
        <x:v>unmanaged</x:v>
      </x:c>
      <x:c r="K44" s="123" t="b">
        <x:v>0</x:v>
      </x:c>
      <x:c r="L44" s="117"/>
      <x:c r="M44" s="118"/>
      <x:c r="N44" s="120" t="n">
        <x:v>45357.150046296294</x:v>
      </x:c>
      <x:c r="O44" s="117" t="str">
        <x:v>Jace Gentil</x:v>
      </x:c>
      <x:c r="P44" s="120" t="n">
        <x:v>45357.15013888889</x:v>
      </x:c>
      <x:c r="Q44" s="117" t="str">
        <x:v>Jace Gentil</x:v>
      </x:c>
      <x:c r="R44" s="117" t="str">
        <x:v>Account Field Update Flow</x:v>
      </x:c>
      <x:c r="S44" s="119"/>
    </x:row>
    <x:row r="45" ht="30" customHeight="1">
      <x:c r="A45" s="117" t="str">
        <x:v>AccountFieldUpdateFlow</x:v>
      </x:c>
      <x:c r="B45" s="117" t="str">
        <x:v>300Ro000007gsMaIAI</x:v>
      </x:c>
      <x:c r="C45" s="117" t="str">
        <x:v>301Ro000008Y7dZIAS</x:v>
      </x:c>
      <x:c r="D45" s="118" t="n">
        <x:v>2</x:v>
      </x:c>
      <x:c r="E45" s="117" t="str">
        <x:v>Obsolete</x:v>
      </x:c>
      <x:c r="F45" s="117" t="str">
        <x:v>No</x:v>
      </x:c>
      <x:c r="G45" s="117" t="str">
        <x:v>No</x:v>
      </x:c>
      <x:c r="H45" s="117" t="str">
        <x:v>AutoLaunchedFlow</x:v>
      </x:c>
      <x:c r="I45" s="118" t="n">
        <x:v>60</x:v>
      </x:c>
      <x:c r="J45" s="117" t="str">
        <x:v>unmanaged</x:v>
      </x:c>
      <x:c r="K45" s="123" t="b">
        <x:v>0</x:v>
      </x:c>
      <x:c r="L45" s="117"/>
      <x:c r="M45" s="118"/>
      <x:c r="N45" s="120" t="n">
        <x:v>45357.15105324074</x:v>
      </x:c>
      <x:c r="O45" s="117" t="str">
        <x:v>Jace Gentil</x:v>
      </x:c>
      <x:c r="P45" s="120" t="n">
        <x:v>45357.15109953703</x:v>
      </x:c>
      <x:c r="Q45" s="117" t="str">
        <x:v>Jace Gentil</x:v>
      </x:c>
      <x:c r="R45" s="117" t="str">
        <x:v>Account Field Update Flow</x:v>
      </x:c>
      <x:c r="S45" s="119"/>
    </x:row>
    <x:row r="46" ht="30" customHeight="1">
      <x:c r="A46" s="117" t="str">
        <x:v>AccountFieldUpdateFlow</x:v>
      </x:c>
      <x:c r="B46" s="117" t="str">
        <x:v>300Ro000007gsMaIAI</x:v>
      </x:c>
      <x:c r="C46" s="117" t="str">
        <x:v>301Ro000008XzjLIAS</x:v>
      </x:c>
      <x:c r="D46" s="118" t="n">
        <x:v>3</x:v>
      </x:c>
      <x:c r="E46" s="117" t="str">
        <x:v>Obsolete</x:v>
      </x:c>
      <x:c r="F46" s="117" t="str">
        <x:v>No</x:v>
      </x:c>
      <x:c r="G46" s="117" t="str">
        <x:v>No</x:v>
      </x:c>
      <x:c r="H46" s="117" t="str">
        <x:v>AutoLaunchedFlow</x:v>
      </x:c>
      <x:c r="I46" s="118" t="n">
        <x:v>60</x:v>
      </x:c>
      <x:c r="J46" s="117" t="str">
        <x:v>unmanaged</x:v>
      </x:c>
      <x:c r="K46" s="123" t="b">
        <x:v>0</x:v>
      </x:c>
      <x:c r="L46" s="117"/>
      <x:c r="M46" s="118"/>
      <x:c r="N46" s="120" t="n">
        <x:v>45357.15311342593</x:v>
      </x:c>
      <x:c r="O46" s="117" t="str">
        <x:v>Jace Gentil</x:v>
      </x:c>
      <x:c r="P46" s="120" t="n">
        <x:v>45357.15315972222</x:v>
      </x:c>
      <x:c r="Q46" s="117" t="str">
        <x:v>Jace Gentil</x:v>
      </x:c>
      <x:c r="R46" s="117" t="str">
        <x:v>Account Field Update Flow</x:v>
      </x:c>
      <x:c r="S46" s="119"/>
    </x:row>
    <x:row r="47" ht="30" customHeight="1">
      <x:c r="A47" s="117" t="str">
        <x:v>AccountFieldUpdateFlow</x:v>
      </x:c>
      <x:c r="B47" s="117" t="str">
        <x:v>300Ro000007gsMaIAI</x:v>
      </x:c>
      <x:c r="C47" s="117" t="str">
        <x:v>301Ro000008Y7s5IAC</x:v>
      </x:c>
      <x:c r="D47" s="118" t="n">
        <x:v>4</x:v>
      </x:c>
      <x:c r="E47" s="117" t="str">
        <x:v>Obsolete</x:v>
      </x:c>
      <x:c r="F47" s="117" t="str">
        <x:v>No</x:v>
      </x:c>
      <x:c r="G47" s="117" t="str">
        <x:v>No</x:v>
      </x:c>
      <x:c r="H47" s="117" t="str">
        <x:v>AutoLaunchedFlow</x:v>
      </x:c>
      <x:c r="I47" s="118" t="n">
        <x:v>60</x:v>
      </x:c>
      <x:c r="J47" s="117" t="str">
        <x:v>unmanaged</x:v>
      </x:c>
      <x:c r="K47" s="123" t="b">
        <x:v>0</x:v>
      </x:c>
      <x:c r="L47" s="117"/>
      <x:c r="M47" s="118"/>
      <x:c r="N47" s="120" t="n">
        <x:v>45357.15472222222</x:v>
      </x:c>
      <x:c r="O47" s="117" t="str">
        <x:v>Jace Gentil</x:v>
      </x:c>
      <x:c r="P47" s="120" t="n">
        <x:v>45357.154756944445</x:v>
      </x:c>
      <x:c r="Q47" s="117" t="str">
        <x:v>Jace Gentil</x:v>
      </x:c>
      <x:c r="R47" s="117" t="str">
        <x:v>Account Field Update Flow</x:v>
      </x:c>
      <x:c r="S47" s="119"/>
    </x:row>
    <x:row r="48" ht="30" customHeight="1">
      <x:c r="A48" s="117" t="str">
        <x:v>AccountFieldUpdateFlow</x:v>
      </x:c>
      <x:c r="B48" s="117" t="str">
        <x:v>300Ro000007gsMaIAI</x:v>
      </x:c>
      <x:c r="C48" s="117" t="str">
        <x:v>301Ro000008Y809IAC</x:v>
      </x:c>
      <x:c r="D48" s="118" t="n">
        <x:v>5</x:v>
      </x:c>
      <x:c r="E48" s="117" t="str">
        <x:v>Obsolete</x:v>
      </x:c>
      <x:c r="F48" s="117" t="str">
        <x:v>No</x:v>
      </x:c>
      <x:c r="G48" s="117" t="str">
        <x:v>No</x:v>
      </x:c>
      <x:c r="H48" s="117" t="str">
        <x:v>AutoLaunchedFlow</x:v>
      </x:c>
      <x:c r="I48" s="118" t="n">
        <x:v>60</x:v>
      </x:c>
      <x:c r="J48" s="117" t="str">
        <x:v>unmanaged</x:v>
      </x:c>
      <x:c r="K48" s="123" t="b">
        <x:v>0</x:v>
      </x:c>
      <x:c r="L48" s="117"/>
      <x:c r="M48" s="118"/>
      <x:c r="N48" s="120" t="n">
        <x:v>45357.15660879629</x:v>
      </x:c>
      <x:c r="O48" s="117" t="str">
        <x:v>Jace Gentil</x:v>
      </x:c>
      <x:c r="P48" s="120" t="n">
        <x:v>45357.156643518516</x:v>
      </x:c>
      <x:c r="Q48" s="117" t="str">
        <x:v>Jace Gentil</x:v>
      </x:c>
      <x:c r="R48" s="117" t="str">
        <x:v>Account Field Update Flow</x:v>
      </x:c>
      <x:c r="S48" s="119"/>
    </x:row>
    <x:row r="49" ht="30" customHeight="1">
      <x:c r="A49" s="117" t="str">
        <x:v>AccountFieldUpdateFlow</x:v>
      </x:c>
      <x:c r="B49" s="117" t="str">
        <x:v>300Ro000007gsMaIAI</x:v>
      </x:c>
      <x:c r="C49" s="117" t="str">
        <x:v>301Ro00000hsyXyIAI</x:v>
      </x:c>
      <x:c r="D49" s="118" t="n">
        <x:v>6</x:v>
      </x:c>
      <x:c r="E49" s="117" t="str">
        <x:v>InvalidDraft</x:v>
      </x:c>
      <x:c r="F49" s="117" t="str">
        <x:v>No</x:v>
      </x:c>
      <x:c r="G49" s="117" t="str">
        <x:v>No</x:v>
      </x:c>
      <x:c r="H49" s="117" t="str">
        <x:v>AutoLaunchedFlow</x:v>
      </x:c>
      <x:c r="I49" s="118" t="n">
        <x:v>60</x:v>
      </x:c>
      <x:c r="J49" s="117" t="str">
        <x:v>unmanaged</x:v>
      </x:c>
      <x:c r="K49" s="123" t="b">
        <x:v>0</x:v>
      </x:c>
      <x:c r="L49" s="117"/>
      <x:c r="M49" s="118"/>
      <x:c r="N49" s="120" t="n">
        <x:v>45877.7009375</x:v>
      </x:c>
      <x:c r="O49" s="117" t="str">
        <x:v>Sacha Pearce</x:v>
      </x:c>
      <x:c r="P49" s="120" t="n">
        <x:v>45877.70097222222</x:v>
      </x:c>
      <x:c r="Q49" s="117" t="str">
        <x:v>Sacha Pearce</x:v>
      </x:c>
      <x:c r="R49" s="117" t="str">
        <x:v>Account Field Update Flow</x:v>
      </x:c>
      <x:c r="S49" s="119"/>
    </x:row>
    <x:row r="50" ht="30" customHeight="1">
      <x:c r="A50" s="117" t="str">
        <x:v>AccountFieldUpdateFlow</x:v>
      </x:c>
      <x:c r="B50" s="117" t="str">
        <x:v>300Ro000007gsMaIAI</x:v>
      </x:c>
      <x:c r="C50" s="117" t="str">
        <x:v>301Ro00000htcNMIAY</x:v>
      </x:c>
      <x:c r="D50" s="118" t="n">
        <x:v>7</x:v>
      </x:c>
      <x:c r="E50" s="117" t="str">
        <x:v>Active</x:v>
      </x:c>
      <x:c r="F50" s="117" t="str">
        <x:v>Yes</x:v>
      </x:c>
      <x:c r="G50" s="117" t="str">
        <x:v>Yes</x:v>
      </x:c>
      <x:c r="H50" s="117" t="str">
        <x:v>AutoLaunchedFlow</x:v>
      </x:c>
      <x:c r="I50" s="118" t="n">
        <x:v>60</x:v>
      </x:c>
      <x:c r="J50" s="117" t="str">
        <x:v>unmanaged</x:v>
      </x:c>
      <x:c r="K50" s="123" t="b">
        <x:v>0</x:v>
      </x:c>
      <x:c r="L50" s="117"/>
      <x:c r="M50" s="118"/>
      <x:c r="N50" s="120" t="n">
        <x:v>45877.84685185185</x:v>
      </x:c>
      <x:c r="O50" s="117" t="str">
        <x:v>Sacha Pearce</x:v>
      </x:c>
      <x:c r="P50" s="120" t="n">
        <x:v>45879.86355324074</x:v>
      </x:c>
      <x:c r="Q50" s="117" t="str">
        <x:v>Sacha Pearce</x:v>
      </x:c>
      <x:c r="R50" s="117" t="str">
        <x:v>Account Field Update Flow</x:v>
      </x:c>
      <x:c r="S50" s="119"/>
    </x:row>
    <x:row r="51" ht="30" customHeight="1">
      <x:c r="A51" s="117" t="str">
        <x:v>Activate_Contracts_Access</x:v>
      </x:c>
      <x:c r="B51" s="117" t="str">
        <x:v>3004O000000TiUyQAK</x:v>
      </x:c>
      <x:c r="C51" s="117" t="str">
        <x:v>3014O000000U4qHQAS</x:v>
      </x:c>
      <x:c r="D51" s="118" t="n">
        <x:v>1</x:v>
      </x:c>
      <x:c r="E51" s="117" t="str">
        <x:v>Draft</x:v>
      </x:c>
      <x:c r="F51" s="117" t="str">
        <x:v>No</x:v>
      </x:c>
      <x:c r="G51" s="117" t="str">
        <x:v>Yes</x:v>
      </x:c>
      <x:c r="H51" s="117" t="str">
        <x:v>Flow</x:v>
      </x:c>
      <x:c r="I51" s="118"/>
      <x:c r="J51" s="117" t="str">
        <x:v>unmanaged</x:v>
      </x:c>
      <x:c r="K51" s="123" t="b">
        <x:v>0</x:v>
      </x:c>
      <x:c r="L51" s="117"/>
      <x:c r="M51" s="118"/>
      <x:c r="N51" s="120" t="n">
        <x:v>43685.734976851854</x:v>
      </x:c>
      <x:c r="O51" s="117" t="str">
        <x:v>Trent VanEmon</x:v>
      </x:c>
      <x:c r="P51" s="120" t="n">
        <x:v>43685.734988425924</x:v>
      </x:c>
      <x:c r="Q51" s="117" t="str">
        <x:v>Trent VanEmon</x:v>
      </x:c>
      <x:c r="R51" s="117" t="str">
        <x:v>Activate Contracts Access</x:v>
      </x:c>
      <x:c r="S51" s="119"/>
    </x:row>
    <x:row r="52" ht="30" customHeight="1">
      <x:c r="A52" s="117" t="str">
        <x:v>Add_Coverage_Level_to_Service_Appointment_On_Creation</x:v>
      </x:c>
      <x:c r="B52" s="117" t="str">
        <x:v>300Ro00000H90tRIAR</x:v>
      </x:c>
      <x:c r="C52" s="117" t="str">
        <x:v>301Ro00000IoBAAIA3</x:v>
      </x:c>
      <x:c r="D52" s="118" t="n">
        <x:v>1</x:v>
      </x:c>
      <x:c r="E52" s="117" t="str">
        <x:v>Obsolete</x:v>
      </x:c>
      <x:c r="F52" s="117" t="str">
        <x:v>No</x:v>
      </x:c>
      <x:c r="G52" s="117" t="str">
        <x:v>No</x:v>
      </x:c>
      <x:c r="H52" s="117" t="str">
        <x:v>AutoLaunchedFlow</x:v>
      </x:c>
      <x:c r="I52" s="118" t="n">
        <x:v>61</x:v>
      </x:c>
      <x:c r="J52" s="117" t="str">
        <x:v>unmanaged</x:v>
      </x:c>
      <x:c r="K52" s="123" t="b">
        <x:v>0</x:v>
      </x:c>
      <x:c r="L52" s="117"/>
      <x:c r="M52" s="118"/>
      <x:c r="N52" s="120" t="n">
        <x:v>45514.78355324074</x:v>
      </x:c>
      <x:c r="O52" s="117" t="str">
        <x:v>Delegate</x:v>
      </x:c>
      <x:c r="P52" s="120" t="n">
        <x:v>45514.78364583333</x:v>
      </x:c>
      <x:c r="Q52" s="117" t="str">
        <x:v>Delegate</x:v>
      </x:c>
      <x:c r="R52" s="117" t="str">
        <x:v>Add Coverage Level to Service Appointment On Creation</x:v>
      </x:c>
      <x:c r="S52" s="119"/>
    </x:row>
    <x:row r="53" ht="30" customHeight="1">
      <x:c r="A53" s="117" t="str">
        <x:v>Add_Coverage_Level_to_Service_Appointment_On_Creation</x:v>
      </x:c>
      <x:c r="B53" s="117" t="str">
        <x:v>300Ro00000H90tRIAR</x:v>
      </x:c>
      <x:c r="C53" s="117" t="str">
        <x:v>301Ro00000T2Ac5IAF</x:v>
      </x:c>
      <x:c r="D53" s="118" t="n">
        <x:v>2</x:v>
      </x:c>
      <x:c r="E53" s="117" t="str">
        <x:v>Obsolete</x:v>
      </x:c>
      <x:c r="F53" s="117" t="str">
        <x:v>No</x:v>
      </x:c>
      <x:c r="G53" s="117" t="str">
        <x:v>No</x:v>
      </x:c>
      <x:c r="H53" s="117" t="str">
        <x:v>AutoLaunchedFlow</x:v>
      </x:c>
      <x:c r="I53" s="118" t="n">
        <x:v>61</x:v>
      </x:c>
      <x:c r="J53" s="117" t="str">
        <x:v>unmanaged</x:v>
      </x:c>
      <x:c r="K53" s="123" t="b">
        <x:v>0</x:v>
      </x:c>
      <x:c r="L53" s="117"/>
      <x:c r="M53" s="118"/>
      <x:c r="N53" s="120" t="n">
        <x:v>45686.941157407404</x:v>
      </x:c>
      <x:c r="O53" s="117" t="str">
        <x:v>Delegate</x:v>
      </x:c>
      <x:c r="P53" s="120" t="n">
        <x:v>45686.941203703704</x:v>
      </x:c>
      <x:c r="Q53" s="117" t="str">
        <x:v>Delegate</x:v>
      </x:c>
      <x:c r="R53" s="117" t="str">
        <x:v>Add Coverage Level to Service Appointment On Creation</x:v>
      </x:c>
      <x:c r="S53" s="119" t="str">
        <x:v>01/29/2025 (BW) - Updated this flow to grab the work order ID and place it in the work order field on the service appointment</x:v>
      </x:c>
    </x:row>
    <x:row r="54" ht="30" customHeight="1">
      <x:c r="A54" s="117" t="str">
        <x:v>Add_Coverage_Level_to_Service_Appointment_On_Creation</x:v>
      </x:c>
      <x:c r="B54" s="117" t="str">
        <x:v>300Ro00000H90tRIAR</x:v>
      </x:c>
      <x:c r="C54" s="117" t="str">
        <x:v>301Ro00000T81fmIAB</x:v>
      </x:c>
      <x:c r="D54" s="118" t="n">
        <x:v>3</x:v>
      </x:c>
      <x:c r="E54" s="117" t="str">
        <x:v>Obsolete</x:v>
      </x:c>
      <x:c r="F54" s="117" t="str">
        <x:v>No</x:v>
      </x:c>
      <x:c r="G54" s="117" t="str">
        <x:v>No</x:v>
      </x:c>
      <x:c r="H54" s="117" t="str">
        <x:v>AutoLaunchedFlow</x:v>
      </x:c>
      <x:c r="I54" s="118" t="n">
        <x:v>61</x:v>
      </x:c>
      <x:c r="J54" s="117" t="str">
        <x:v>unmanaged</x:v>
      </x:c>
      <x:c r="K54" s="123" t="b">
        <x:v>0</x:v>
      </x:c>
      <x:c r="L54" s="117"/>
      <x:c r="M54" s="118"/>
      <x:c r="N54" s="120" t="n">
        <x:v>45688.56539351852</x:v>
      </x:c>
      <x:c r="O54" s="117" t="str">
        <x:v>Delegate</x:v>
      </x:c>
      <x:c r="P54" s="120" t="n">
        <x:v>45688.56543981482</x:v>
      </x:c>
      <x:c r="Q54" s="117" t="str">
        <x:v>Delegate</x:v>
      </x:c>
      <x:c r="R54" s="117" t="str">
        <x:v>Update Service Appointment and Work Order Information On Creation</x:v>
      </x:c>
      <x:c r="S54" s="119" t="str">
        <x:v>01/31/2025 (BW) - Updates the template for the service report when the service appointment is created</x:v>
      </x:c>
    </x:row>
    <x:row r="55" ht="30" customHeight="1">
      <x:c r="A55" s="117" t="str">
        <x:v>Add_Coverage_Level_to_Service_Appointment_On_Creation</x:v>
      </x:c>
      <x:c r="B55" s="117" t="str">
        <x:v>300Ro00000H90tRIAR</x:v>
      </x:c>
      <x:c r="C55" s="117" t="str">
        <x:v>301Ro00000T84sBIAR</x:v>
      </x:c>
      <x:c r="D55" s="118" t="n">
        <x:v>4</x:v>
      </x:c>
      <x:c r="E55" s="117" t="str">
        <x:v>Obsolete</x:v>
      </x:c>
      <x:c r="F55" s="117" t="str">
        <x:v>No</x:v>
      </x:c>
      <x:c r="G55" s="117" t="str">
        <x:v>No</x:v>
      </x:c>
      <x:c r="H55" s="117" t="str">
        <x:v>AutoLaunchedFlow</x:v>
      </x:c>
      <x:c r="I55" s="118" t="n">
        <x:v>61</x:v>
      </x:c>
      <x:c r="J55" s="117" t="str">
        <x:v>unmanaged</x:v>
      </x:c>
      <x:c r="K55" s="123" t="b">
        <x:v>0</x:v>
      </x:c>
      <x:c r="L55" s="117"/>
      <x:c r="M55" s="118"/>
      <x:c r="N55" s="120" t="n">
        <x:v>45688.56872685185</x:v>
      </x:c>
      <x:c r="O55" s="117" t="str">
        <x:v>Delegate</x:v>
      </x:c>
      <x:c r="P55" s="120" t="n">
        <x:v>45688.568773148145</x:v>
      </x:c>
      <x:c r="Q55" s="117" t="str">
        <x:v>Delegate</x:v>
      </x:c>
      <x:c r="R55" s="117" t="str">
        <x:v>Update Service Appointment and Work Order Information On Creation</x:v>
      </x:c>
      <x:c r="S55" s="119" t="str">
        <x:v>01/31/2025 (BW) - Updates the template for the service report when the service appointment is created</x:v>
      </x:c>
    </x:row>
    <x:row r="56" ht="30" customHeight="1">
      <x:c r="A56" s="117" t="str">
        <x:v>Add_Coverage_Level_to_Service_Appointment_On_Creation</x:v>
      </x:c>
      <x:c r="B56" s="117" t="str">
        <x:v>300Ro00000H90tRIAR</x:v>
      </x:c>
      <x:c r="C56" s="117" t="str">
        <x:v>301Ro00000TPCexIAH</x:v>
      </x:c>
      <x:c r="D56" s="118" t="n">
        <x:v>5</x:v>
      </x:c>
      <x:c r="E56" s="117" t="str">
        <x:v>Obsolete</x:v>
      </x:c>
      <x:c r="F56" s="117" t="str">
        <x:v>No</x:v>
      </x:c>
      <x:c r="G56" s="117" t="str">
        <x:v>No</x:v>
      </x:c>
      <x:c r="H56" s="117" t="str">
        <x:v>AutoLaunchedFlow</x:v>
      </x:c>
      <x:c r="I56" s="118" t="n">
        <x:v>61</x:v>
      </x:c>
      <x:c r="J56" s="117" t="str">
        <x:v>unmanaged</x:v>
      </x:c>
      <x:c r="K56" s="123" t="b">
        <x:v>0</x:v>
      </x:c>
      <x:c r="L56" s="117"/>
      <x:c r="M56" s="118"/>
      <x:c r="N56" s="120" t="n">
        <x:v>45693.57136574074</x:v>
      </x:c>
      <x:c r="O56" s="117" t="str">
        <x:v>Delegate</x:v>
      </x:c>
      <x:c r="P56" s="120" t="n">
        <x:v>45693.571435185186</x:v>
      </x:c>
      <x:c r="Q56" s="117" t="str">
        <x:v>Delegate</x:v>
      </x:c>
      <x:c r="R56" s="117" t="str">
        <x:v>Update Service Appointment and Work Order Information On Creation</x:v>
      </x:c>
      <x:c r="S56" s="119" t="str">
        <x:v>02/05/2025 (BW) - Added the system which will get and update the address on the service appointment</x:v>
      </x:c>
    </x:row>
    <x:row r="57" ht="30" customHeight="1">
      <x:c r="A57" s="117" t="str">
        <x:v>Add_Coverage_Level_to_Service_Appointment_On_Creation</x:v>
      </x:c>
      <x:c r="B57" s="117" t="str">
        <x:v>300Ro00000H90tRIAR</x:v>
      </x:c>
      <x:c r="C57" s="117" t="str">
        <x:v>301Ro00000TPFpzIAH</x:v>
      </x:c>
      <x:c r="D57" s="118" t="n">
        <x:v>6</x:v>
      </x:c>
      <x:c r="E57" s="117" t="str">
        <x:v>Obsolete</x:v>
      </x:c>
      <x:c r="F57" s="117" t="str">
        <x:v>No</x:v>
      </x:c>
      <x:c r="G57" s="117" t="str">
        <x:v>No</x:v>
      </x:c>
      <x:c r="H57" s="117" t="str">
        <x:v>AutoLaunchedFlow</x:v>
      </x:c>
      <x:c r="I57" s="118" t="n">
        <x:v>61</x:v>
      </x:c>
      <x:c r="J57" s="117" t="str">
        <x:v>unmanaged</x:v>
      </x:c>
      <x:c r="K57" s="123" t="b">
        <x:v>0</x:v>
      </x:c>
      <x:c r="L57" s="117"/>
      <x:c r="M57" s="118"/>
      <x:c r="N57" s="120" t="n">
        <x:v>45693.57302083333</x:v>
      </x:c>
      <x:c r="O57" s="117" t="str">
        <x:v>Delegate</x:v>
      </x:c>
      <x:c r="P57" s="120" t="n">
        <x:v>45693.5730787037</x:v>
      </x:c>
      <x:c r="Q57" s="117" t="str">
        <x:v>Delegate</x:v>
      </x:c>
      <x:c r="R57" s="117" t="str">
        <x:v>Update Service Appointment and Work Order Information On Creation</x:v>
      </x:c>
      <x:c r="S57" s="119" t="str">
        <x:v>02/05/2025 (BW) - Added the system which will get and update the address on the service appointment</x:v>
      </x:c>
    </x:row>
    <x:row r="58" ht="30" customHeight="1">
      <x:c r="A58" s="117" t="str">
        <x:v>Add_Coverage_Level_to_Service_Appointment_On_Creation</x:v>
      </x:c>
      <x:c r="B58" s="117" t="str">
        <x:v>300Ro00000H90tRIAR</x:v>
      </x:c>
      <x:c r="C58" s="117" t="str">
        <x:v>301Ro00000TPQ3eIAH</x:v>
      </x:c>
      <x:c r="D58" s="118" t="n">
        <x:v>7</x:v>
      </x:c>
      <x:c r="E58" s="117" t="str">
        <x:v>Obsolete</x:v>
      </x:c>
      <x:c r="F58" s="117" t="str">
        <x:v>No</x:v>
      </x:c>
      <x:c r="G58" s="117" t="str">
        <x:v>No</x:v>
      </x:c>
      <x:c r="H58" s="117" t="str">
        <x:v>AutoLaunchedFlow</x:v>
      </x:c>
      <x:c r="I58" s="118" t="n">
        <x:v>61</x:v>
      </x:c>
      <x:c r="J58" s="117" t="str">
        <x:v>unmanaged</x:v>
      </x:c>
      <x:c r="K58" s="123" t="b">
        <x:v>0</x:v>
      </x:c>
      <x:c r="L58" s="117"/>
      <x:c r="M58" s="118"/>
      <x:c r="N58" s="120" t="n">
        <x:v>45693.6215625</x:v>
      </x:c>
      <x:c r="O58" s="117" t="str">
        <x:v>Delegate</x:v>
      </x:c>
      <x:c r="P58" s="120" t="n">
        <x:v>45693.6216087963</x:v>
      </x:c>
      <x:c r="Q58" s="117" t="str">
        <x:v>Delegate</x:v>
      </x:c>
      <x:c r="R58" s="117" t="str">
        <x:v>Update Service Appointment and Work Order Information On Creation</x:v>
      </x:c>
      <x:c r="S58" s="119" t="str">
        <x:v>02/05/2025 (BW) - Added the update to set the field to the UK service territory upon creation</x:v>
      </x:c>
    </x:row>
    <x:row r="59" ht="30" customHeight="1">
      <x:c r="A59" s="117" t="str">
        <x:v>Add_Coverage_Level_to_Service_Appointment_On_Creation</x:v>
      </x:c>
      <x:c r="B59" s="117" t="str">
        <x:v>300Ro00000H90tRIAR</x:v>
      </x:c>
      <x:c r="C59" s="117" t="str">
        <x:v>301Ro00000TZHeoIAH</x:v>
      </x:c>
      <x:c r="D59" s="118" t="n">
        <x:v>8</x:v>
      </x:c>
      <x:c r="E59" s="117" t="str">
        <x:v>Obsolete</x:v>
      </x:c>
      <x:c r="F59" s="117" t="str">
        <x:v>No</x:v>
      </x:c>
      <x:c r="G59" s="117" t="str">
        <x:v>No</x:v>
      </x:c>
      <x:c r="H59" s="117" t="str">
        <x:v>AutoLaunchedFlow</x:v>
      </x:c>
      <x:c r="I59" s="118" t="n">
        <x:v>61</x:v>
      </x:c>
      <x:c r="J59" s="117" t="str">
        <x:v>unmanaged</x:v>
      </x:c>
      <x:c r="K59" s="123" t="b">
        <x:v>0</x:v>
      </x:c>
      <x:c r="L59" s="117"/>
      <x:c r="M59" s="118"/>
      <x:c r="N59" s="120" t="n">
        <x:v>45695.54550925926</x:v>
      </x:c>
      <x:c r="O59" s="117" t="str">
        <x:v>Delegate</x:v>
      </x:c>
      <x:c r="P59" s="120" t="n">
        <x:v>45695.54556712963</x:v>
      </x:c>
      <x:c r="Q59" s="117" t="str">
        <x:v>Delegate</x:v>
      </x:c>
      <x:c r="R59" s="117" t="str">
        <x:v>Update Service Appointment and Work Order Information On Creation</x:v>
      </x:c>
      <x:c r="S59" s="119" t="str">
        <x:v>02/07/2025 (BW) - Updated the duration of the service appointments when they are created</x:v>
      </x:c>
    </x:row>
    <x:row r="60" ht="30" customHeight="1">
      <x:c r="A60" s="117" t="str">
        <x:v>Add_Coverage_Level_to_Service_Appointment_On_Creation</x:v>
      </x:c>
      <x:c r="B60" s="117" t="str">
        <x:v>300Ro00000H90tRIAR</x:v>
      </x:c>
      <x:c r="C60" s="117" t="str">
        <x:v>301Ro00000TlRllIAF</x:v>
      </x:c>
      <x:c r="D60" s="118" t="n">
        <x:v>9</x:v>
      </x:c>
      <x:c r="E60" s="117" t="str">
        <x:v>Obsolete</x:v>
      </x:c>
      <x:c r="F60" s="117" t="str">
        <x:v>No</x:v>
      </x:c>
      <x:c r="G60" s="117" t="str">
        <x:v>No</x:v>
      </x:c>
      <x:c r="H60" s="117" t="str">
        <x:v>AutoLaunchedFlow</x:v>
      </x:c>
      <x:c r="I60" s="118" t="n">
        <x:v>61</x:v>
      </x:c>
      <x:c r="J60" s="117" t="str">
        <x:v>unmanaged</x:v>
      </x:c>
      <x:c r="K60" s="123" t="b">
        <x:v>0</x:v>
      </x:c>
      <x:c r="L60" s="117"/>
      <x:c r="M60" s="118"/>
      <x:c r="N60" s="120" t="n">
        <x:v>45698.56542824074</x:v>
      </x:c>
      <x:c r="O60" s="117" t="str">
        <x:v>Delegate</x:v>
      </x:c>
      <x:c r="P60" s="120" t="n">
        <x:v>45698.56553240741</x:v>
      </x:c>
      <x:c r="Q60" s="117" t="str">
        <x:v>Delegate</x:v>
      </x:c>
      <x:c r="R60" s="117" t="str">
        <x:v>Update Service Appointment and Work Order Information On Creation</x:v>
      </x:c>
      <x:c r="S60" s="119" t="str">
        <x:v>02/10/2025 (BW) - Added the reporter contact info to this list of information that is pulled upon creation</x:v>
      </x:c>
    </x:row>
    <x:row r="61" ht="30" customHeight="1">
      <x:c r="A61" s="117" t="str">
        <x:v>Add_Coverage_Level_to_Service_Appointment_On_Creation</x:v>
      </x:c>
      <x:c r="B61" s="117" t="str">
        <x:v>300Ro00000H90tRIAR</x:v>
      </x:c>
      <x:c r="C61" s="117" t="str">
        <x:v>301Ro00000TlR7OIAV</x:v>
      </x:c>
      <x:c r="D61" s="118" t="n">
        <x:v>10</x:v>
      </x:c>
      <x:c r="E61" s="117" t="str">
        <x:v>Obsolete</x:v>
      </x:c>
      <x:c r="F61" s="117" t="str">
        <x:v>No</x:v>
      </x:c>
      <x:c r="G61" s="117" t="str">
        <x:v>No</x:v>
      </x:c>
      <x:c r="H61" s="117" t="str">
        <x:v>AutoLaunchedFlow</x:v>
      </x:c>
      <x:c r="I61" s="118" t="n">
        <x:v>61</x:v>
      </x:c>
      <x:c r="J61" s="117" t="str">
        <x:v>unmanaged</x:v>
      </x:c>
      <x:c r="K61" s="123" t="b">
        <x:v>0</x:v>
      </x:c>
      <x:c r="L61" s="117"/>
      <x:c r="M61" s="118"/>
      <x:c r="N61" s="120" t="n">
        <x:v>45698.56710648148</x:v>
      </x:c>
      <x:c r="O61" s="117" t="str">
        <x:v>Delegate</x:v>
      </x:c>
      <x:c r="P61" s="120" t="n">
        <x:v>45698.56715277778</x:v>
      </x:c>
      <x:c r="Q61" s="117" t="str">
        <x:v>Delegate</x:v>
      </x:c>
      <x:c r="R61" s="117" t="str">
        <x:v>Update Service Appointment and Work Order Information On Creation</x:v>
      </x:c>
      <x:c r="S61" s="119" t="str">
        <x:v>02/10/2025 (BW) - Added the reporter contact info to this list of information that is pulled upon creation</x:v>
      </x:c>
    </x:row>
    <x:row r="62" ht="30" customHeight="1">
      <x:c r="A62" s="117" t="str">
        <x:v>Add_Coverage_Level_to_Service_Appointment_On_Creation</x:v>
      </x:c>
      <x:c r="B62" s="117" t="str">
        <x:v>300Ro00000H90tRIAR</x:v>
      </x:c>
      <x:c r="C62" s="117" t="str">
        <x:v>301Ro00000Tlak6IAB</x:v>
      </x:c>
      <x:c r="D62" s="118" t="n">
        <x:v>11</x:v>
      </x:c>
      <x:c r="E62" s="117" t="str">
        <x:v>Obsolete</x:v>
      </x:c>
      <x:c r="F62" s="117" t="str">
        <x:v>No</x:v>
      </x:c>
      <x:c r="G62" s="117" t="str">
        <x:v>No</x:v>
      </x:c>
      <x:c r="H62" s="117" t="str">
        <x:v>AutoLaunchedFlow</x:v>
      </x:c>
      <x:c r="I62" s="118" t="n">
        <x:v>61</x:v>
      </x:c>
      <x:c r="J62" s="117" t="str">
        <x:v>unmanaged</x:v>
      </x:c>
      <x:c r="K62" s="123" t="b">
        <x:v>0</x:v>
      </x:c>
      <x:c r="L62" s="117"/>
      <x:c r="M62" s="118"/>
      <x:c r="N62" s="120" t="n">
        <x:v>45698.56886574074</x:v>
      </x:c>
      <x:c r="O62" s="117" t="str">
        <x:v>Delegate</x:v>
      </x:c>
      <x:c r="P62" s="120" t="n">
        <x:v>45698.56891203704</x:v>
      </x:c>
      <x:c r="Q62" s="117" t="str">
        <x:v>Delegate</x:v>
      </x:c>
      <x:c r="R62" s="117" t="str">
        <x:v>Update Service Appointment and Work Order Information On Creation</x:v>
      </x:c>
      <x:c r="S62" s="119" t="str">
        <x:v>02/10/2025 (BW) - Updated the formula to strip the P tags out of the reporter contact info</x:v>
      </x:c>
    </x:row>
    <x:row r="63" ht="30" customHeight="1">
      <x:c r="A63" s="117" t="str">
        <x:v>Add_Coverage_Level_to_Service_Appointment_On_Creation</x:v>
      </x:c>
      <x:c r="B63" s="117" t="str">
        <x:v>300Ro00000H90tRIAR</x:v>
      </x:c>
      <x:c r="C63" s="117" t="str">
        <x:v>301Ro00000TlSWYIA3</x:v>
      </x:c>
      <x:c r="D63" s="118" t="n">
        <x:v>12</x:v>
      </x:c>
      <x:c r="E63" s="117" t="str">
        <x:v>Obsolete</x:v>
      </x:c>
      <x:c r="F63" s="117" t="str">
        <x:v>No</x:v>
      </x:c>
      <x:c r="G63" s="117" t="str">
        <x:v>No</x:v>
      </x:c>
      <x:c r="H63" s="117" t="str">
        <x:v>AutoLaunchedFlow</x:v>
      </x:c>
      <x:c r="I63" s="118" t="n">
        <x:v>61</x:v>
      </x:c>
      <x:c r="J63" s="117" t="str">
        <x:v>unmanaged</x:v>
      </x:c>
      <x:c r="K63" s="123" t="b">
        <x:v>0</x:v>
      </x:c>
      <x:c r="L63" s="117"/>
      <x:c r="M63" s="118"/>
      <x:c r="N63" s="120" t="n">
        <x:v>45698.599386574075</x:v>
      </x:c>
      <x:c r="O63" s="117" t="str">
        <x:v>Delegate</x:v>
      </x:c>
      <x:c r="P63" s="120" t="n">
        <x:v>45698.599444444444</x:v>
      </x:c>
      <x:c r="Q63" s="117" t="str">
        <x:v>Delegate</x:v>
      </x:c>
      <x:c r="R63" s="117" t="str">
        <x:v>Update Service Appointment and Work Order Information On Creation</x:v>
      </x:c>
      <x:c r="S63" s="119" t="str">
        <x:v>02/10/2025 (BW) - Added an update to the shipping address so it comes over properly, also adding a contact check</x:v>
      </x:c>
    </x:row>
    <x:row r="64" ht="30" customHeight="1">
      <x:c r="A64" s="117" t="str">
        <x:v>Add_Coverage_Level_to_Service_Appointment_On_Creation</x:v>
      </x:c>
      <x:c r="B64" s="117" t="str">
        <x:v>300Ro00000H90tRIAR</x:v>
      </x:c>
      <x:c r="C64" s="117" t="str">
        <x:v>301Ro00000TlLejIAF</x:v>
      </x:c>
      <x:c r="D64" s="118" t="n">
        <x:v>13</x:v>
      </x:c>
      <x:c r="E64" s="117" t="str">
        <x:v>Obsolete</x:v>
      </x:c>
      <x:c r="F64" s="117" t="str">
        <x:v>No</x:v>
      </x:c>
      <x:c r="G64" s="117" t="str">
        <x:v>No</x:v>
      </x:c>
      <x:c r="H64" s="117" t="str">
        <x:v>AutoLaunchedFlow</x:v>
      </x:c>
      <x:c r="I64" s="118" t="n">
        <x:v>61</x:v>
      </x:c>
      <x:c r="J64" s="117" t="str">
        <x:v>unmanaged</x:v>
      </x:c>
      <x:c r="K64" s="123" t="b">
        <x:v>0</x:v>
      </x:c>
      <x:c r="L64" s="117"/>
      <x:c r="M64" s="118"/>
      <x:c r="N64" s="120" t="n">
        <x:v>45698.6028125</x:v>
      </x:c>
      <x:c r="O64" s="117" t="str">
        <x:v>Delegate</x:v>
      </x:c>
      <x:c r="P64" s="120" t="n">
        <x:v>45698.60309027778</x:v>
      </x:c>
      <x:c r="Q64" s="117" t="str">
        <x:v>Delegate</x:v>
      </x:c>
      <x:c r="R64" s="117" t="str">
        <x:v>Update Service Appointment and Work Order Information On Creation</x:v>
      </x:c>
      <x:c r="S64" s="119" t="str">
        <x:v>02/10/2025 (BW) - Added an update to the shipping address so it comes over properly, also adding a contact check</x:v>
      </x:c>
    </x:row>
    <x:row r="65" ht="30" customHeight="1">
      <x:c r="A65" s="117" t="str">
        <x:v>Add_Coverage_Level_to_Service_Appointment_On_Creation</x:v>
      </x:c>
      <x:c r="B65" s="117" t="str">
        <x:v>300Ro00000H90tRIAR</x:v>
      </x:c>
      <x:c r="C65" s="117" t="str">
        <x:v>301Ro00000Tle7mIAB</x:v>
      </x:c>
      <x:c r="D65" s="118" t="n">
        <x:v>14</x:v>
      </x:c>
      <x:c r="E65" s="117" t="str">
        <x:v>Obsolete</x:v>
      </x:c>
      <x:c r="F65" s="117" t="str">
        <x:v>No</x:v>
      </x:c>
      <x:c r="G65" s="117" t="str">
        <x:v>No</x:v>
      </x:c>
      <x:c r="H65" s="117" t="str">
        <x:v>AutoLaunchedFlow</x:v>
      </x:c>
      <x:c r="I65" s="118" t="n">
        <x:v>61</x:v>
      </x:c>
      <x:c r="J65" s="117" t="str">
        <x:v>unmanaged</x:v>
      </x:c>
      <x:c r="K65" s="123" t="b">
        <x:v>0</x:v>
      </x:c>
      <x:c r="L65" s="117"/>
      <x:c r="M65" s="118"/>
      <x:c r="N65" s="120" t="n">
        <x:v>45698.61130787037</x:v>
      </x:c>
      <x:c r="O65" s="117" t="str">
        <x:v>Delegate</x:v>
      </x:c>
      <x:c r="P65" s="120" t="n">
        <x:v>45698.61136574074</x:v>
      </x:c>
      <x:c r="Q65" s="117" t="str">
        <x:v>Delegate</x:v>
      </x:c>
      <x:c r="R65" s="117" t="str">
        <x:v>Update Service Appointment and Work Order Information On Creation</x:v>
      </x:c>
      <x:c r="S65" s="119" t="str">
        <x:v>02/10/2025 (BW) - Working this to get the location pulling through</x:v>
      </x:c>
    </x:row>
    <x:row r="66" ht="30" customHeight="1">
      <x:c r="A66" s="117" t="str">
        <x:v>Add_Coverage_Level_to_Service_Appointment_On_Creation</x:v>
      </x:c>
      <x:c r="B66" s="117" t="str">
        <x:v>300Ro00000H90tRIAR</x:v>
      </x:c>
      <x:c r="C66" s="117" t="str">
        <x:v>301Ro00000TmKzsIAF</x:v>
      </x:c>
      <x:c r="D66" s="118" t="n">
        <x:v>15</x:v>
      </x:c>
      <x:c r="E66" s="117" t="str">
        <x:v>Obsolete</x:v>
      </x:c>
      <x:c r="F66" s="117" t="str">
        <x:v>No</x:v>
      </x:c>
      <x:c r="G66" s="117" t="str">
        <x:v>No</x:v>
      </x:c>
      <x:c r="H66" s="117" t="str">
        <x:v>AutoLaunchedFlow</x:v>
      </x:c>
      <x:c r="I66" s="118" t="n">
        <x:v>61</x:v>
      </x:c>
      <x:c r="J66" s="117" t="str">
        <x:v>unmanaged</x:v>
      </x:c>
      <x:c r="K66" s="123" t="b">
        <x:v>0</x:v>
      </x:c>
      <x:c r="L66" s="117"/>
      <x:c r="M66" s="118"/>
      <x:c r="N66" s="120" t="n">
        <x:v>45698.733194444445</x:v>
      </x:c>
      <x:c r="O66" s="117" t="str">
        <x:v>Delegate</x:v>
      </x:c>
      <x:c r="P66" s="120" t="n">
        <x:v>45698.73326388889</x:v>
      </x:c>
      <x:c r="Q66" s="117" t="str">
        <x:v>Delegate</x:v>
      </x:c>
      <x:c r="R66" s="117" t="str">
        <x:v>Update Service Appointment and Work Order Information On Creation</x:v>
      </x:c>
      <x:c r="S66" s="119" t="str">
        <x:v>02/10/2025 (BW) - Added the location of equipment lookup to the initial node which sets varServiceAppointmentToUpdate values</x:v>
      </x:c>
    </x:row>
    <x:row r="67" ht="30" customHeight="1">
      <x:c r="A67" s="117" t="str">
        <x:v>Add_Coverage_Level_to_Service_Appointment_On_Creation</x:v>
      </x:c>
      <x:c r="B67" s="117" t="str">
        <x:v>300Ro00000H90tRIAR</x:v>
      </x:c>
      <x:c r="C67" s="117" t="str">
        <x:v>301Ro00000TmTINIA3</x:v>
      </x:c>
      <x:c r="D67" s="118" t="n">
        <x:v>16</x:v>
      </x:c>
      <x:c r="E67" s="117" t="str">
        <x:v>Obsolete</x:v>
      </x:c>
      <x:c r="F67" s="117" t="str">
        <x:v>No</x:v>
      </x:c>
      <x:c r="G67" s="117" t="str">
        <x:v>No</x:v>
      </x:c>
      <x:c r="H67" s="117" t="str">
        <x:v>AutoLaunchedFlow</x:v>
      </x:c>
      <x:c r="I67" s="118" t="n">
        <x:v>61</x:v>
      </x:c>
      <x:c r="J67" s="117" t="str">
        <x:v>unmanaged</x:v>
      </x:c>
      <x:c r="K67" s="123" t="b">
        <x:v>0</x:v>
      </x:c>
      <x:c r="L67" s="117"/>
      <x:c r="M67" s="118"/>
      <x:c r="N67" s="120" t="n">
        <x:v>45698.75635416667</x:v>
      </x:c>
      <x:c r="O67" s="117" t="str">
        <x:v>Delegate</x:v>
      </x:c>
      <x:c r="P67" s="120" t="n">
        <x:v>45698.762974537036</x:v>
      </x:c>
      <x:c r="Q67" s="117" t="str">
        <x:v>Delegate</x:v>
      </x:c>
      <x:c r="R67" s="117" t="str">
        <x:v>Update Service Appointment and Work Order Information On Creation</x:v>
      </x:c>
      <x:c r="S67" s="119" t="str">
        <x:v>02/10/2025 (BW) - This version sets everything created to created by UK</x:v>
      </x:c>
    </x:row>
    <x:row r="68" ht="30" customHeight="1">
      <x:c r="A68" s="117" t="str">
        <x:v>Add_Coverage_Level_to_Service_Appointment_On_Creation</x:v>
      </x:c>
      <x:c r="B68" s="117" t="str">
        <x:v>300Ro00000H90tRIAR</x:v>
      </x:c>
      <x:c r="C68" s="117" t="str">
        <x:v>301Ro00000jNTAiIAO</x:v>
      </x:c>
      <x:c r="D68" s="118" t="n">
        <x:v>17</x:v>
      </x:c>
      <x:c r="E68" s="117" t="str">
        <x:v>Draft</x:v>
      </x:c>
      <x:c r="F68" s="117" t="str">
        <x:v>No</x:v>
      </x:c>
      <x:c r="G68" s="117" t="str">
        <x:v>No</x:v>
      </x:c>
      <x:c r="H68" s="117" t="str">
        <x:v>AutoLaunchedFlow</x:v>
      </x:c>
      <x:c r="I68" s="118" t="n">
        <x:v>61</x:v>
      </x:c>
      <x:c r="J68" s="117" t="str">
        <x:v>unmanaged</x:v>
      </x:c>
      <x:c r="K68" s="123" t="b">
        <x:v>0</x:v>
      </x:c>
      <x:c r="L68" s="117"/>
      <x:c r="M68" s="118"/>
      <x:c r="N68" s="120" t="n">
        <x:v>45894.61921296296</x:v>
      </x:c>
      <x:c r="O68" s="117" t="str">
        <x:v>Delegate</x:v>
      </x:c>
      <x:c r="P68" s="120" t="n">
        <x:v>45894.61923611111</x:v>
      </x:c>
      <x:c r="Q68" s="117" t="str">
        <x:v>Delegate</x:v>
      </x:c>
      <x:c r="R68" s="117" t="str">
        <x:v>Update Service Appointment and Work Order Information On Creation</x:v>
      </x:c>
      <x:c r="S68" s="119" t="str">
        <x:v>08/25/2025 (BW) - This version Key Elements for the US team</x:v>
      </x:c>
    </x:row>
    <x:row r="69" ht="30" customHeight="1">
      <x:c r="A69" s="117" t="str">
        <x:v>Add_Coverage_Level_to_Service_Appointment_On_Creation</x:v>
      </x:c>
      <x:c r="B69" s="117" t="str">
        <x:v>300Ro00000H90tRIAR</x:v>
      </x:c>
      <x:c r="C69" s="117" t="str">
        <x:v>301Ro00000jNbZeIAK</x:v>
      </x:c>
      <x:c r="D69" s="118" t="n">
        <x:v>18</x:v>
      </x:c>
      <x:c r="E69" s="117" t="str">
        <x:v>Obsolete</x:v>
      </x:c>
      <x:c r="F69" s="117" t="str">
        <x:v>No</x:v>
      </x:c>
      <x:c r="G69" s="117" t="str">
        <x:v>No</x:v>
      </x:c>
      <x:c r="H69" s="117" t="str">
        <x:v>AutoLaunchedFlow</x:v>
      </x:c>
      <x:c r="I69" s="118" t="n">
        <x:v>61</x:v>
      </x:c>
      <x:c r="J69" s="117" t="str">
        <x:v>unmanaged</x:v>
      </x:c>
      <x:c r="K69" s="123" t="b">
        <x:v>0</x:v>
      </x:c>
      <x:c r="L69" s="117"/>
      <x:c r="M69" s="118"/>
      <x:c r="N69" s="120" t="n">
        <x:v>45894.62501157408</x:v>
      </x:c>
      <x:c r="O69" s="117" t="str">
        <x:v>Delegate</x:v>
      </x:c>
      <x:c r="P69" s="120" t="n">
        <x:v>45894.62511574074</x:v>
      </x:c>
      <x:c r="Q69" s="117" t="str">
        <x:v>Delegate</x:v>
      </x:c>
      <x:c r="R69" s="117" t="str">
        <x:v>Update Service Appointment and Work Order Information On Creation</x:v>
      </x:c>
      <x:c r="S69" s="119" t="str">
        <x:v>08/25/2025 (BW) - This version separates key elements for the US team</x:v>
      </x:c>
    </x:row>
    <x:row r="70" ht="30" customHeight="1">
      <x:c r="A70" s="117" t="str">
        <x:v>Add_Coverage_Level_to_Service_Appointment_On_Creation</x:v>
      </x:c>
      <x:c r="B70" s="117" t="str">
        <x:v>300Ro00000H90tRIAR</x:v>
      </x:c>
      <x:c r="C70" s="117" t="str">
        <x:v>301Ro00000nDmlnIAC</x:v>
      </x:c>
      <x:c r="D70" s="118" t="n">
        <x:v>19</x:v>
      </x:c>
      <x:c r="E70" s="117" t="str">
        <x:v>Obsolete</x:v>
      </x:c>
      <x:c r="F70" s="117" t="str">
        <x:v>No</x:v>
      </x:c>
      <x:c r="G70" s="117" t="str">
        <x:v>No</x:v>
      </x:c>
      <x:c r="H70" s="117" t="str">
        <x:v>AutoLaunchedFlow</x:v>
      </x:c>
      <x:c r="I70" s="118" t="n">
        <x:v>61</x:v>
      </x:c>
      <x:c r="J70" s="117" t="str">
        <x:v>unmanaged</x:v>
      </x:c>
      <x:c r="K70" s="123" t="b">
        <x:v>0</x:v>
      </x:c>
      <x:c r="L70" s="117"/>
      <x:c r="M70" s="118"/>
      <x:c r="N70" s="120" t="n">
        <x:v>45925.49071759259</x:v>
      </x:c>
      <x:c r="O70" s="117" t="str">
        <x:v>Delegate</x:v>
      </x:c>
      <x:c r="P70" s="120" t="n">
        <x:v>45925.49078703704</x:v>
      </x:c>
      <x:c r="Q70" s="117" t="str">
        <x:v>Delegate</x:v>
      </x:c>
      <x:c r="R70" s="117" t="str">
        <x:v>Update Service Appointment and Work Order Information On Creation</x:v>
      </x:c>
      <x:c r="S70" s="119" t="str">
        <x:v>09/25/2025 (BW) - Adds the opportunity to the service appointment upon creation of the SA</x:v>
      </x:c>
    </x:row>
    <x:row r="71" ht="30" customHeight="1">
      <x:c r="A71" s="117" t="str">
        <x:v>Add_Coverage_Level_to_Service_Appointment_On_Creation</x:v>
      </x:c>
      <x:c r="B71" s="117" t="str">
        <x:v>300Ro00000H90tRIAR</x:v>
      </x:c>
      <x:c r="C71" s="117" t="str">
        <x:v>301Ro00000vhCUwIAM</x:v>
      </x:c>
      <x:c r="D71" s="118" t="n">
        <x:v>20</x:v>
      </x:c>
      <x:c r="E71" s="117" t="str">
        <x:v>Obsolete</x:v>
      </x:c>
      <x:c r="F71" s="117" t="str">
        <x:v>No</x:v>
      </x:c>
      <x:c r="G71" s="117" t="str">
        <x:v>No</x:v>
      </x:c>
      <x:c r="H71" s="117" t="str">
        <x:v>AutoLaunchedFlow</x:v>
      </x:c>
      <x:c r="I71" s="118" t="n">
        <x:v>61</x:v>
      </x:c>
      <x:c r="J71" s="117" t="str">
        <x:v>unmanaged</x:v>
      </x:c>
      <x:c r="K71" s="123" t="b">
        <x:v>0</x:v>
      </x:c>
      <x:c r="L71" s="117"/>
      <x:c r="M71" s="118"/>
      <x:c r="N71" s="120" t="n">
        <x:v>46036.524039351854</x:v>
      </x:c>
      <x:c r="O71" s="117" t="str">
        <x:v>Delegate</x:v>
      </x:c>
      <x:c r="P71" s="120" t="n">
        <x:v>46036.52556712963</x:v>
      </x:c>
      <x:c r="Q71" s="117" t="str">
        <x:v>Delegate</x:v>
      </x:c>
      <x:c r="R71" s="117" t="str">
        <x:v>Update Service Appointment and Work Order Information On Creation</x:v>
      </x:c>
      <x:c r="S71" s="119" t="str">
        <x:v>01/14/2026 (BW) - Adds the opportunity to the service appointment upon creation of the SA</x:v>
      </x:c>
    </x:row>
    <x:row r="72" ht="30" customHeight="1">
      <x:c r="A72" s="117" t="str">
        <x:v>Add_Coverage_Level_to_Service_Appointment_On_Creation</x:v>
      </x:c>
      <x:c r="B72" s="117" t="str">
        <x:v>300Ro00000H90tRIAR</x:v>
      </x:c>
      <x:c r="C72" s="117" t="str">
        <x:v>301Ro00000vhaQnIAI</x:v>
      </x:c>
      <x:c r="D72" s="118" t="n">
        <x:v>21</x:v>
      </x:c>
      <x:c r="E72" s="117" t="str">
        <x:v>Obsolete</x:v>
      </x:c>
      <x:c r="F72" s="117" t="str">
        <x:v>No</x:v>
      </x:c>
      <x:c r="G72" s="117" t="str">
        <x:v>No</x:v>
      </x:c>
      <x:c r="H72" s="117" t="str">
        <x:v>AutoLaunchedFlow</x:v>
      </x:c>
      <x:c r="I72" s="118" t="n">
        <x:v>61</x:v>
      </x:c>
      <x:c r="J72" s="117" t="str">
        <x:v>unmanaged</x:v>
      </x:c>
      <x:c r="K72" s="123" t="b">
        <x:v>0</x:v>
      </x:c>
      <x:c r="L72" s="117"/>
      <x:c r="M72" s="118"/>
      <x:c r="N72" s="120" t="n">
        <x:v>46036.58326388889</x:v>
      </x:c>
      <x:c r="O72" s="117" t="str">
        <x:v>Delegate</x:v>
      </x:c>
      <x:c r="P72" s="120" t="n">
        <x:v>46036.583344907405</x:v>
      </x:c>
      <x:c r="Q72" s="117" t="str">
        <x:v>Delegate</x:v>
      </x:c>
      <x:c r="R72" s="117" t="str">
        <x:v>Update Service Appointment and Work Order Information On Creation</x:v>
      </x:c>
      <x:c r="S72" s="119" t="str">
        <x:v>01/14/2026 (BW) - Added Shipping From Location to what's also set immediately upon work order creation</x:v>
      </x:c>
    </x:row>
    <x:row r="73" ht="30" customHeight="1">
      <x:c r="A73" s="117" t="str">
        <x:v>Add_Coverage_Level_to_Service_Appointment_On_Creation</x:v>
      </x:c>
      <x:c r="B73" s="117" t="str">
        <x:v>300Ro00000H90tRIAR</x:v>
      </x:c>
      <x:c r="C73" s="117" t="str">
        <x:v>301Ro00000vhdDNIAY</x:v>
      </x:c>
      <x:c r="D73" s="118" t="n">
        <x:v>22</x:v>
      </x:c>
      <x:c r="E73" s="117" t="str">
        <x:v>Obsolete</x:v>
      </x:c>
      <x:c r="F73" s="117" t="str">
        <x:v>No</x:v>
      </x:c>
      <x:c r="G73" s="117" t="str">
        <x:v>No</x:v>
      </x:c>
      <x:c r="H73" s="117" t="str">
        <x:v>AutoLaunchedFlow</x:v>
      </x:c>
      <x:c r="I73" s="118" t="n">
        <x:v>61</x:v>
      </x:c>
      <x:c r="J73" s="117" t="str">
        <x:v>unmanaged</x:v>
      </x:c>
      <x:c r="K73" s="123" t="b">
        <x:v>0</x:v>
      </x:c>
      <x:c r="L73" s="117"/>
      <x:c r="M73" s="118"/>
      <x:c r="N73" s="120" t="n">
        <x:v>46036.59056712963</x:v>
      </x:c>
      <x:c r="O73" s="117" t="str">
        <x:v>Delegate</x:v>
      </x:c>
      <x:c r="P73" s="120" t="n">
        <x:v>46036.590682870374</x:v>
      </x:c>
      <x:c r="Q73" s="117" t="str">
        <x:v>Delegate</x:v>
      </x:c>
      <x:c r="R73" s="117" t="str">
        <x:v>Update Service Appointment and Work Order Information On Creation</x:v>
      </x:c>
      <x:c r="S73" s="119" t="str">
        <x:v>01/14/2026 (BW) - Added Shipping address writing to the service appointment on creation</x:v>
      </x:c>
    </x:row>
    <x:row r="74" ht="30" customHeight="1">
      <x:c r="A74" s="117" t="str">
        <x:v>Add_Coverage_Level_to_Service_Appointment_On_Creation</x:v>
      </x:c>
      <x:c r="B74" s="117" t="str">
        <x:v>300Ro00000H90tRIAR</x:v>
      </x:c>
      <x:c r="C74" s="117" t="str">
        <x:v>301Ro00000ww4cyIAA</x:v>
      </x:c>
      <x:c r="D74" s="118" t="n">
        <x:v>23</x:v>
      </x:c>
      <x:c r="E74" s="117" t="str">
        <x:v>Obsolete</x:v>
      </x:c>
      <x:c r="F74" s="117" t="str">
        <x:v>No</x:v>
      </x:c>
      <x:c r="G74" s="117" t="str">
        <x:v>No</x:v>
      </x:c>
      <x:c r="H74" s="117" t="str">
        <x:v>AutoLaunchedFlow</x:v>
      </x:c>
      <x:c r="I74" s="118" t="n">
        <x:v>61</x:v>
      </x:c>
      <x:c r="J74" s="117" t="str">
        <x:v>unmanaged</x:v>
      </x:c>
      <x:c r="K74" s="123" t="b">
        <x:v>0</x:v>
      </x:c>
      <x:c r="L74" s="117"/>
      <x:c r="M74" s="118"/>
      <x:c r="N74" s="120" t="n">
        <x:v>46051.57082175926</x:v>
      </x:c>
      <x:c r="O74" s="117" t="str">
        <x:v>Delegate</x:v>
      </x:c>
      <x:c r="P74" s="120" t="n">
        <x:v>46051.5709375</x:v>
      </x:c>
      <x:c r="Q74" s="117" t="str">
        <x:v>Delegate</x:v>
      </x:c>
      <x:c r="R74" s="117" t="str">
        <x:v>Update Service Appointment and Work Order Information On Creation</x:v>
      </x:c>
      <x:c r="S74" s="119" t="str">
        <x:v>01/29/2026 (BW) - Updating the work order information on the US creation side</x:v>
      </x:c>
    </x:row>
    <x:row r="75" ht="30" customHeight="1">
      <x:c r="A75" s="117" t="str">
        <x:v>Add_Coverage_Level_to_Service_Appointment_On_Creation</x:v>
      </x:c>
      <x:c r="B75" s="117" t="str">
        <x:v>300Ro00000H90tRIAR</x:v>
      </x:c>
      <x:c r="C75" s="117" t="str">
        <x:v>301Ro00000wwTDBIA2</x:v>
      </x:c>
      <x:c r="D75" s="118" t="n">
        <x:v>24</x:v>
      </x:c>
      <x:c r="E75" s="117" t="str">
        <x:v>Obsolete</x:v>
      </x:c>
      <x:c r="F75" s="117" t="str">
        <x:v>No</x:v>
      </x:c>
      <x:c r="G75" s="117" t="str">
        <x:v>No</x:v>
      </x:c>
      <x:c r="H75" s="117" t="str">
        <x:v>AutoLaunchedFlow</x:v>
      </x:c>
      <x:c r="I75" s="118" t="n">
        <x:v>61</x:v>
      </x:c>
      <x:c r="J75" s="117" t="str">
        <x:v>unmanaged</x:v>
      </x:c>
      <x:c r="K75" s="123" t="b">
        <x:v>0</x:v>
      </x:c>
      <x:c r="L75" s="117"/>
      <x:c r="M75" s="118"/>
      <x:c r="N75" s="120" t="n">
        <x:v>46051.64784722222</x:v>
      </x:c>
      <x:c r="O75" s="117" t="str">
        <x:v>Delegate</x:v>
      </x:c>
      <x:c r="P75" s="120" t="n">
        <x:v>46051.64792824074</x:v>
      </x:c>
      <x:c r="Q75" s="117" t="str">
        <x:v>Delegate</x:v>
      </x:c>
      <x:c r="R75" s="117" t="str">
        <x:v>Update Service Appointment and Work Order Information On Creation</x:v>
      </x:c>
      <x:c r="S75" s="119" t="str">
        <x:v>01/29/2026 (BW) - Updating the work order information on the US creation side</x:v>
      </x:c>
    </x:row>
    <x:row r="76" ht="30" customHeight="1">
      <x:c r="A76" s="117" t="str">
        <x:v>Add_Coverage_Level_to_Service_Appointment_On_Creation</x:v>
      </x:c>
      <x:c r="B76" s="117" t="str">
        <x:v>300Ro00000H90tRIAR</x:v>
      </x:c>
      <x:c r="C76" s="117" t="str">
        <x:v>301Ro000015BH3lIAG</x:v>
      </x:c>
      <x:c r="D76" s="118" t="n">
        <x:v>25</x:v>
      </x:c>
      <x:c r="E76" s="117" t="str">
        <x:v>Obsolete</x:v>
      </x:c>
      <x:c r="F76" s="117" t="str">
        <x:v>No</x:v>
      </x:c>
      <x:c r="G76" s="117" t="str">
        <x:v>No</x:v>
      </x:c>
      <x:c r="H76" s="117" t="str">
        <x:v>AutoLaunchedFlow</x:v>
      </x:c>
      <x:c r="I76" s="118" t="n">
        <x:v>61</x:v>
      </x:c>
      <x:c r="J76" s="117" t="str">
        <x:v>unmanaged</x:v>
      </x:c>
      <x:c r="K76" s="123" t="b">
        <x:v>0</x:v>
      </x:c>
      <x:c r="L76" s="117"/>
      <x:c r="M76" s="118"/>
      <x:c r="N76" s="120" t="n">
        <x:v>46150.76490740741</x:v>
      </x:c>
      <x:c r="O76" s="117" t="str">
        <x:v>Delegate</x:v>
      </x:c>
      <x:c r="P76" s="120" t="n">
        <x:v>46150.76949074074</x:v>
      </x:c>
      <x:c r="Q76" s="117" t="str">
        <x:v>Delegate</x:v>
      </x:c>
      <x:c r="R76" s="117" t="str">
        <x:v>Update Service Appointment and Work Order Information On Creation</x:v>
      </x:c>
      <x:c r="S76" s="119" t="str">
        <x:v>01/29/2026 (BW) - Updating the work order information on the US creation side
05/08/2026 (BW) - US path now sets Work_Order__c from ParentRecordId on creation, matching UK path behavior</x:v>
      </x:c>
    </x:row>
    <x:row r="77" ht="30" customHeight="1">
      <x:c r="A77" s="117" t="str">
        <x:v>Add_Coverage_Level_to_Service_Appointment_On_Creation</x:v>
      </x:c>
      <x:c r="B77" s="117" t="str">
        <x:v>300Ro00000H90tRIAR</x:v>
      </x:c>
      <x:c r="C77" s="117" t="str">
        <x:v>301Ro000016SAJrIAO</x:v>
      </x:c>
      <x:c r="D77" s="118" t="n">
        <x:v>26</x:v>
      </x:c>
      <x:c r="E77" s="117" t="str">
        <x:v>Obsolete</x:v>
      </x:c>
      <x:c r="F77" s="117" t="str">
        <x:v>No</x:v>
      </x:c>
      <x:c r="G77" s="117" t="str">
        <x:v>No</x:v>
      </x:c>
      <x:c r="H77" s="117" t="str">
        <x:v>AutoLaunchedFlow</x:v>
      </x:c>
      <x:c r="I77" s="118" t="n">
        <x:v>61</x:v>
      </x:c>
      <x:c r="J77" s="117" t="str">
        <x:v>unmanaged</x:v>
      </x:c>
      <x:c r="K77" s="123" t="b">
        <x:v>0</x:v>
      </x:c>
      <x:c r="L77" s="117"/>
      <x:c r="M77" s="118"/>
      <x:c r="N77" s="120" t="n">
        <x:v>46164.74429398148</x:v>
      </x:c>
      <x:c r="O77" s="117" t="str">
        <x:v>Delegate</x:v>
      </x:c>
      <x:c r="P77" s="120" t="n">
        <x:v>46164.76059027778</x:v>
      </x:c>
      <x:c r="Q77" s="117" t="str">
        <x:v>Delegate</x:v>
      </x:c>
      <x:c r="R77" s="117" t="str">
        <x:v>Update Service Appointment and Work Order Information On Creation</x:v>
      </x:c>
      <x:c r="S77" s="119" t="str">
        <x:v>01/29/2026 (BW) - Updating the work order information on the US creation side
05/08/2026 (BW) - US path now sets Work_Order__c from ParentRecordId on creation, matching UK path behavior
05/22/26 (BW) - US path now converts Shipping_Country "United States" to "US" and translates full state names to 2-digit codes via StateTranslation__mdt</x:v>
      </x:c>
    </x:row>
    <x:row r="78" ht="30" customHeight="1">
      <x:c r="A78" s="117" t="str">
        <x:v>Add_Coverage_Level_to_Service_Appointment_On_Creation</x:v>
      </x:c>
      <x:c r="B78" s="117" t="str">
        <x:v>300Ro00000H90tRIAR</x:v>
      </x:c>
      <x:c r="C78" s="117" t="str">
        <x:v>301Ro000018sOTHIA2</x:v>
      </x:c>
      <x:c r="D78" s="118" t="n">
        <x:v>27</x:v>
      </x:c>
      <x:c r="E78" s="117" t="str">
        <x:v>Obsolete</x:v>
      </x:c>
      <x:c r="F78" s="117" t="str">
        <x:v>No</x:v>
      </x:c>
      <x:c r="G78" s="117" t="str">
        <x:v>No</x:v>
      </x:c>
      <x:c r="H78" s="117" t="str">
        <x:v>AutoLaunchedFlow</x:v>
      </x:c>
      <x:c r="I78" s="118" t="n">
        <x:v>61</x:v>
      </x:c>
      <x:c r="J78" s="117" t="str">
        <x:v>unmanaged</x:v>
      </x:c>
      <x:c r="K78" s="123" t="b">
        <x:v>0</x:v>
      </x:c>
      <x:c r="L78" s="117"/>
      <x:c r="M78" s="118"/>
      <x:c r="N78" s="120" t="n">
        <x:v>46191.39915509259</x:v>
      </x:c>
      <x:c r="O78" s="117" t="str">
        <x:v>Sacha Pearce</x:v>
      </x:c>
      <x:c r="P78" s="120" t="n">
        <x:v>46191.4121875</x:v>
      </x:c>
      <x:c r="Q78" s="117" t="str">
        <x:v>Sacha Pearce</x:v>
      </x:c>
      <x:c r="R78" s="117" t="str">
        <x:v>Update Service Appointment and Work Order Information On Creation</x:v>
      </x:c>
      <x:c r="S78" s="119" t="str">
        <x:v>18/06/2026 - SP - Updating the Flow so that it only updates the "Location of Equipment" and address fields if they're blank.</x:v>
      </x:c>
    </x:row>
    <x:row r="79" ht="30" customHeight="1">
      <x:c r="A79" s="117" t="str">
        <x:v>Add_Coverage_Level_to_Service_Appointment_On_Creation</x:v>
      </x:c>
      <x:c r="B79" s="117" t="str">
        <x:v>300Ro00000H90tRIAR</x:v>
      </x:c>
      <x:c r="C79" s="117" t="str">
        <x:v>301Ro000018sfM1IAI</x:v>
      </x:c>
      <x:c r="D79" s="118" t="n">
        <x:v>28</x:v>
      </x:c>
      <x:c r="E79" s="117" t="str">
        <x:v>Active</x:v>
      </x:c>
      <x:c r="F79" s="117" t="str">
        <x:v>Yes</x:v>
      </x:c>
      <x:c r="G79" s="117" t="str">
        <x:v>Yes</x:v>
      </x:c>
      <x:c r="H79" s="117" t="str">
        <x:v>AutoLaunchedFlow</x:v>
      </x:c>
      <x:c r="I79" s="118" t="n">
        <x:v>61</x:v>
      </x:c>
      <x:c r="J79" s="117" t="str">
        <x:v>unmanaged</x:v>
      </x:c>
      <x:c r="K79" s="123" t="b">
        <x:v>0</x:v>
      </x:c>
      <x:c r="L79" s="117"/>
      <x:c r="M79" s="118"/>
      <x:c r="N79" s="120" t="n">
        <x:v>46191.412511574075</x:v>
      </x:c>
      <x:c r="O79" s="117" t="str">
        <x:v>Sacha Pearce</x:v>
      </x:c>
      <x:c r="P79" s="120" t="n">
        <x:v>46191.41259259259</x:v>
      </x:c>
      <x:c r="Q79" s="117" t="str">
        <x:v>Sacha Pearce</x:v>
      </x:c>
      <x:c r="R79" s="117" t="str">
        <x:v>Update Service Appointment and Work Order Information On Creation</x:v>
      </x:c>
      <x:c r="S79" s="119" t="str">
        <x:v>18/06/2026 - SP - Updating the Flow so that it only updates the "Location of Equipment" and address fields if they're blank.</x:v>
      </x:c>
    </x:row>
    <x:row r="80" ht="30" customHeight="1">
      <x:c r="A80" s="117" t="str">
        <x:v>Add_Opportunity_Lines_to_Credit_Memo</x:v>
      </x:c>
      <x:c r="B80" s="117" t="str">
        <x:v>3005b00000113dIAAQ</x:v>
      </x:c>
      <x:c r="C80" s="117" t="str">
        <x:v>3015b0000011MdBAAU</x:v>
      </x:c>
      <x:c r="D80" s="118" t="n">
        <x:v>1</x:v>
      </x:c>
      <x:c r="E80" s="117" t="str">
        <x:v>Obsolete</x:v>
      </x:c>
      <x:c r="F80" s="117" t="str">
        <x:v>No</x:v>
      </x:c>
      <x:c r="G80" s="117" t="str">
        <x:v>No</x:v>
      </x:c>
      <x:c r="H80" s="117" t="str">
        <x:v>Flow</x:v>
      </x:c>
      <x:c r="I80" s="118" t="n">
        <x:v>59</x:v>
      </x:c>
      <x:c r="J80" s="117" t="str">
        <x:v>unmanaged</x:v>
      </x:c>
      <x:c r="K80" s="123" t="b">
        <x:v>0</x:v>
      </x:c>
      <x:c r="L80" s="117"/>
      <x:c r="M80" s="118"/>
      <x:c r="N80" s="120" t="n">
        <x:v>45258.61399305556</x:v>
      </x:c>
      <x:c r="O80" s="117" t="str">
        <x:v>Delegate</x:v>
      </x:c>
      <x:c r="P80" s="120" t="n">
        <x:v>45258.614074074074</x:v>
      </x:c>
      <x:c r="Q80" s="117" t="str">
        <x:v>Delegate</x:v>
      </x:c>
      <x:c r="R80" s="117" t="str">
        <x:v>Add Opportunity Lines to Credit Memo</x:v>
      </x:c>
      <x:c r="S80" s="119" t="str">
        <x:v>11/28/23 (BW) - Screen flow which allows accounting to add lines to a credit memo</x:v>
      </x:c>
    </x:row>
    <x:row r="81" ht="30" customHeight="1">
      <x:c r="A81" s="117" t="str">
        <x:v>Add_Opportunity_Lines_to_Credit_Memo</x:v>
      </x:c>
      <x:c r="B81" s="117" t="str">
        <x:v>3005b00000113dIAAQ</x:v>
      </x:c>
      <x:c r="C81" s="117" t="str">
        <x:v>3015b0000011MmhAAE</x:v>
      </x:c>
      <x:c r="D81" s="118" t="n">
        <x:v>2</x:v>
      </x:c>
      <x:c r="E81" s="117" t="str">
        <x:v>Obsolete</x:v>
      </x:c>
      <x:c r="F81" s="117" t="str">
        <x:v>No</x:v>
      </x:c>
      <x:c r="G81" s="117" t="str">
        <x:v>No</x:v>
      </x:c>
      <x:c r="H81" s="117" t="str">
        <x:v>Flow</x:v>
      </x:c>
      <x:c r="I81" s="118" t="n">
        <x:v>59</x:v>
      </x:c>
      <x:c r="J81" s="117" t="str">
        <x:v>unmanaged</x:v>
      </x:c>
      <x:c r="K81" s="123" t="b">
        <x:v>0</x:v>
      </x:c>
      <x:c r="L81" s="117"/>
      <x:c r="M81" s="118"/>
      <x:c r="N81" s="120" t="n">
        <x:v>45268.58630787037</x:v>
      </x:c>
      <x:c r="O81" s="117" t="str">
        <x:v>Delegate</x:v>
      </x:c>
      <x:c r="P81" s="120" t="n">
        <x:v>45268.58635416667</x:v>
      </x:c>
      <x:c r="Q81" s="117" t="str">
        <x:v>Delegate</x:v>
      </x:c>
      <x:c r="R81" s="117" t="str">
        <x:v>Add Opportunity Lines to Credit Memo</x:v>
      </x:c>
      <x:c r="S81" s="119" t="str">
        <x:v>12/8/23 (BW) - Updated Screen Flow Table to Include the Invoice #</x:v>
      </x:c>
    </x:row>
    <x:row r="82" ht="30" customHeight="1">
      <x:c r="A82" s="117" t="str">
        <x:v>Add_Opportunity_Lines_to_Credit_Memo</x:v>
      </x:c>
      <x:c r="B82" s="117" t="str">
        <x:v>3005b00000113dIAAQ</x:v>
      </x:c>
      <x:c r="C82" s="117" t="str">
        <x:v>3015b0000011MmmAAE</x:v>
      </x:c>
      <x:c r="D82" s="118" t="n">
        <x:v>3</x:v>
      </x:c>
      <x:c r="E82" s="117" t="str">
        <x:v>Obsolete</x:v>
      </x:c>
      <x:c r="F82" s="117" t="str">
        <x:v>No</x:v>
      </x:c>
      <x:c r="G82" s="117" t="str">
        <x:v>No</x:v>
      </x:c>
      <x:c r="H82" s="117" t="str">
        <x:v>Flow</x:v>
      </x:c>
      <x:c r="I82" s="118" t="n">
        <x:v>59</x:v>
      </x:c>
      <x:c r="J82" s="117" t="str">
        <x:v>unmanaged</x:v>
      </x:c>
      <x:c r="K82" s="123" t="b">
        <x:v>0</x:v>
      </x:c>
      <x:c r="L82" s="117"/>
      <x:c r="M82" s="118"/>
      <x:c r="N82" s="120" t="n">
        <x:v>45268.61208333333</x:v>
      </x:c>
      <x:c r="O82" s="117" t="str">
        <x:v>Delegate</x:v>
      </x:c>
      <x:c r="P82" s="120" t="n">
        <x:v>45268.612175925926</x:v>
      </x:c>
      <x:c r="Q82" s="117" t="str">
        <x:v>Delegate</x:v>
      </x:c>
      <x:c r="R82" s="117" t="str">
        <x:v>Add Opportunity Lines to Credit Memo</x:v>
      </x:c>
      <x:c r="S82" s="119" t="str">
        <x:v>12/8/23 (BW) - Updated Screen Flow Table to Include the Invoice #</x:v>
      </x:c>
    </x:row>
    <x:row r="83" ht="30" customHeight="1">
      <x:c r="A83" s="117" t="str">
        <x:v>Add_Opportunity_Lines_to_Credit_Memo</x:v>
      </x:c>
      <x:c r="B83" s="117" t="str">
        <x:v>3005b00000113dIAAQ</x:v>
      </x:c>
      <x:c r="C83" s="117" t="str">
        <x:v>3015b0000011MnaAAE</x:v>
      </x:c>
      <x:c r="D83" s="118" t="n">
        <x:v>4</x:v>
      </x:c>
      <x:c r="E83" s="117" t="str">
        <x:v>Obsolete</x:v>
      </x:c>
      <x:c r="F83" s="117" t="str">
        <x:v>No</x:v>
      </x:c>
      <x:c r="G83" s="117" t="str">
        <x:v>No</x:v>
      </x:c>
      <x:c r="H83" s="117" t="str">
        <x:v>Flow</x:v>
      </x:c>
      <x:c r="I83" s="118" t="n">
        <x:v>59</x:v>
      </x:c>
      <x:c r="J83" s="117" t="str">
        <x:v>unmanaged</x:v>
      </x:c>
      <x:c r="K83" s="123" t="b">
        <x:v>0</x:v>
      </x:c>
      <x:c r="L83" s="117"/>
      <x:c r="M83" s="118"/>
      <x:c r="N83" s="120" t="n">
        <x:v>45271.54189814815</x:v>
      </x:c>
      <x:c r="O83" s="117" t="str">
        <x:v>Delegate</x:v>
      </x:c>
      <x:c r="P83" s="120" t="n">
        <x:v>45271.549988425926</x:v>
      </x:c>
      <x:c r="Q83" s="117" t="str">
        <x:v>Delegate</x:v>
      </x:c>
      <x:c r="R83" s="117" t="str">
        <x:v>Add Opportunity Lines to Credit Memo</x:v>
      </x:c>
      <x:c r="S83" s="119" t="str">
        <x:v>12/8/23 (BW) - Updating the screen element to allow for setting the Credit Memo amount on the line.</x:v>
      </x:c>
    </x:row>
    <x:row r="84" ht="30" customHeight="1">
      <x:c r="A84" s="117" t="str">
        <x:v>Add_Opportunity_Lines_to_Credit_Memo</x:v>
      </x:c>
      <x:c r="B84" s="117" t="str">
        <x:v>3005b00000113dIAAQ</x:v>
      </x:c>
      <x:c r="C84" s="117" t="str">
        <x:v>3015b0000011MnfAAE</x:v>
      </x:c>
      <x:c r="D84" s="118" t="n">
        <x:v>5</x:v>
      </x:c>
      <x:c r="E84" s="117" t="str">
        <x:v>Obsolete</x:v>
      </x:c>
      <x:c r="F84" s="117" t="str">
        <x:v>No</x:v>
      </x:c>
      <x:c r="G84" s="117" t="str">
        <x:v>No</x:v>
      </x:c>
      <x:c r="H84" s="117" t="str">
        <x:v>Flow</x:v>
      </x:c>
      <x:c r="I84" s="118" t="n">
        <x:v>59</x:v>
      </x:c>
      <x:c r="J84" s="117" t="str">
        <x:v>unmanaged</x:v>
      </x:c>
      <x:c r="K84" s="123" t="b">
        <x:v>0</x:v>
      </x:c>
      <x:c r="L84" s="117"/>
      <x:c r="M84" s="118"/>
      <x:c r="N84" s="120" t="n">
        <x:v>45271.594722222224</x:v>
      </x:c>
      <x:c r="O84" s="117" t="str">
        <x:v>Delegate</x:v>
      </x:c>
      <x:c r="P84" s="120" t="n">
        <x:v>45271.59476851852</x:v>
      </x:c>
      <x:c r="Q84" s="117" t="str">
        <x:v>Delegate</x:v>
      </x:c>
      <x:c r="R84" s="117" t="str">
        <x:v>Add Opportunity Lines to Credit Memo</x:v>
      </x:c>
      <x:c r="S84" s="119" t="str">
        <x:v>12/8/23 (BW) - Updating the screen element to allow for setting the Credit Memo amount on the line.</x:v>
      </x:c>
    </x:row>
    <x:row r="85" ht="30" customHeight="1">
      <x:c r="A85" s="117" t="str">
        <x:v>Add_Opportunity_Lines_to_Credit_Memo</x:v>
      </x:c>
      <x:c r="B85" s="117" t="str">
        <x:v>3005b00000113dIAAQ</x:v>
      </x:c>
      <x:c r="C85" s="117" t="str">
        <x:v>3015b0000011MnkAAE</x:v>
      </x:c>
      <x:c r="D85" s="118" t="n">
        <x:v>6</x:v>
      </x:c>
      <x:c r="E85" s="117" t="str">
        <x:v>Obsolete</x:v>
      </x:c>
      <x:c r="F85" s="117" t="str">
        <x:v>No</x:v>
      </x:c>
      <x:c r="G85" s="117" t="str">
        <x:v>No</x:v>
      </x:c>
      <x:c r="H85" s="117" t="str">
        <x:v>Flow</x:v>
      </x:c>
      <x:c r="I85" s="118" t="n">
        <x:v>59</x:v>
      </x:c>
      <x:c r="J85" s="117" t="str">
        <x:v>unmanaged</x:v>
      </x:c>
      <x:c r="K85" s="123" t="b">
        <x:v>0</x:v>
      </x:c>
      <x:c r="L85" s="117"/>
      <x:c r="M85" s="118"/>
      <x:c r="N85" s="120" t="n">
        <x:v>45271.61207175926</x:v>
      </x:c>
      <x:c r="O85" s="117" t="str">
        <x:v>Delegate</x:v>
      </x:c>
      <x:c r="P85" s="120" t="n">
        <x:v>45271.61209490741</x:v>
      </x:c>
      <x:c r="Q85" s="117" t="str">
        <x:v>Delegate</x:v>
      </x:c>
      <x:c r="R85" s="117" t="str">
        <x:v>Add Opportunity Lines to Credit Memo</x:v>
      </x:c>
      <x:c r="S85" s="119" t="str">
        <x:v>12/8/23 (BW) - Updating the screen element to allow for setting the Credit Memo amount on the line.</x:v>
      </x:c>
    </x:row>
    <x:row r="86" ht="30" customHeight="1">
      <x:c r="A86" s="117" t="str">
        <x:v>Add_Opportunity_Lines_to_Credit_Memo</x:v>
      </x:c>
      <x:c r="B86" s="117" t="str">
        <x:v>3005b00000113dIAAQ</x:v>
      </x:c>
      <x:c r="C86" s="117" t="str">
        <x:v>3015b0000011MnuAAE</x:v>
      </x:c>
      <x:c r="D86" s="118" t="n">
        <x:v>7</x:v>
      </x:c>
      <x:c r="E86" s="117" t="str">
        <x:v>Obsolete</x:v>
      </x:c>
      <x:c r="F86" s="117" t="str">
        <x:v>No</x:v>
      </x:c>
      <x:c r="G86" s="117" t="str">
        <x:v>No</x:v>
      </x:c>
      <x:c r="H86" s="117" t="str">
        <x:v>Flow</x:v>
      </x:c>
      <x:c r="I86" s="118" t="n">
        <x:v>59</x:v>
      </x:c>
      <x:c r="J86" s="117" t="str">
        <x:v>unmanaged</x:v>
      </x:c>
      <x:c r="K86" s="123" t="b">
        <x:v>0</x:v>
      </x:c>
      <x:c r="L86" s="117"/>
      <x:c r="M86" s="118"/>
      <x:c r="N86" s="120" t="n">
        <x:v>45271.62295138889</x:v>
      </x:c>
      <x:c r="O86" s="117" t="str">
        <x:v>Delegate</x:v>
      </x:c>
      <x:c r="P86" s="120" t="n">
        <x:v>45271.62443287037</x:v>
      </x:c>
      <x:c r="Q86" s="117" t="str">
        <x:v>Delegate</x:v>
      </x:c>
      <x:c r="R86" s="117" t="str">
        <x:v>Add Opportunity Lines to Credit Memo</x:v>
      </x:c>
      <x:c r="S86" s="119" t="str">
        <x:v>12/8/23 (BW) - Updating the screen element to allow for setting the Credit Memo amount on the line.</x:v>
      </x:c>
    </x:row>
    <x:row r="87" ht="30" customHeight="1">
      <x:c r="A87" s="117" t="str">
        <x:v>Add_Opportunity_Lines_to_Credit_Memo</x:v>
      </x:c>
      <x:c r="B87" s="117" t="str">
        <x:v>3005b00000113dIAAQ</x:v>
      </x:c>
      <x:c r="C87" s="117" t="str">
        <x:v>3015b0000011MnzAAE</x:v>
      </x:c>
      <x:c r="D87" s="118" t="n">
        <x:v>8</x:v>
      </x:c>
      <x:c r="E87" s="117" t="str">
        <x:v>Obsolete</x:v>
      </x:c>
      <x:c r="F87" s="117" t="str">
        <x:v>No</x:v>
      </x:c>
      <x:c r="G87" s="117" t="str">
        <x:v>No</x:v>
      </x:c>
      <x:c r="H87" s="117" t="str">
        <x:v>Flow</x:v>
      </x:c>
      <x:c r="I87" s="118" t="n">
        <x:v>59</x:v>
      </x:c>
      <x:c r="J87" s="117" t="str">
        <x:v>unmanaged</x:v>
      </x:c>
      <x:c r="K87" s="123" t="b">
        <x:v>0</x:v>
      </x:c>
      <x:c r="L87" s="117"/>
      <x:c r="M87" s="118"/>
      <x:c r="N87" s="120" t="n">
        <x:v>45271.6250462963</x:v>
      </x:c>
      <x:c r="O87" s="117" t="str">
        <x:v>Delegate</x:v>
      </x:c>
      <x:c r="P87" s="120" t="n">
        <x:v>45271.625625</x:v>
      </x:c>
      <x:c r="Q87" s="117" t="str">
        <x:v>Delegate</x:v>
      </x:c>
      <x:c r="R87" s="117" t="str">
        <x:v>Add Opportunity Lines to Credit Memo</x:v>
      </x:c>
      <x:c r="S87" s="119" t="str">
        <x:v>12/8/23 (BW) - Updating the screen element to allow for setting the Credit Memo amount on the line.</x:v>
      </x:c>
    </x:row>
    <x:row r="88" ht="30" customHeight="1">
      <x:c r="A88" s="117" t="str">
        <x:v>Add_Opportunity_Lines_to_Credit_Memo</x:v>
      </x:c>
      <x:c r="B88" s="117" t="str">
        <x:v>3005b00000113dIAAQ</x:v>
      </x:c>
      <x:c r="C88" s="117" t="str">
        <x:v>301Ro00000BtIaqIAF</x:v>
      </x:c>
      <x:c r="D88" s="118" t="n">
        <x:v>9</x:v>
      </x:c>
      <x:c r="E88" s="117" t="str">
        <x:v>Obsolete</x:v>
      </x:c>
      <x:c r="F88" s="117" t="str">
        <x:v>No</x:v>
      </x:c>
      <x:c r="G88" s="117" t="str">
        <x:v>No</x:v>
      </x:c>
      <x:c r="H88" s="117" t="str">
        <x:v>Flow</x:v>
      </x:c>
      <x:c r="I88" s="118" t="n">
        <x:v>59</x:v>
      </x:c>
      <x:c r="J88" s="117" t="str">
        <x:v>unmanaged</x:v>
      </x:c>
      <x:c r="K88" s="123" t="b">
        <x:v>0</x:v>
      </x:c>
      <x:c r="L88" s="117"/>
      <x:c r="M88" s="118"/>
      <x:c r="N88" s="120" t="n">
        <x:v>45412.0021875</x:v>
      </x:c>
      <x:c r="O88" s="117" t="str">
        <x:v>Delegate</x:v>
      </x:c>
      <x:c r="P88" s="120" t="n">
        <x:v>45412.00225694444</x:v>
      </x:c>
      <x:c r="Q88" s="117" t="str">
        <x:v>Delegate</x:v>
      </x:c>
      <x:c r="R88" s="117" t="str">
        <x:v>Add Opportunity Lines to Credit Memo</x:v>
      </x:c>
      <x:c r="S88" s="119" t="str">
        <x:v>04/29 (AM) - Added COGS Account column to table.</x:v>
      </x:c>
    </x:row>
    <x:row r="89" ht="30" customHeight="1">
      <x:c r="A89" s="117" t="str">
        <x:v>Add_Opportunity_Lines_to_Credit_Memo</x:v>
      </x:c>
      <x:c r="B89" s="117" t="str">
        <x:v>3005b00000113dIAAQ</x:v>
      </x:c>
      <x:c r="C89" s="117" t="str">
        <x:v>301Ro00000BtCryIAF</x:v>
      </x:c>
      <x:c r="D89" s="118" t="n">
        <x:v>10</x:v>
      </x:c>
      <x:c r="E89" s="117" t="str">
        <x:v>Obsolete</x:v>
      </x:c>
      <x:c r="F89" s="117" t="str">
        <x:v>No</x:v>
      </x:c>
      <x:c r="G89" s="117" t="str">
        <x:v>No</x:v>
      </x:c>
      <x:c r="H89" s="117" t="str">
        <x:v>Flow</x:v>
      </x:c>
      <x:c r="I89" s="118" t="n">
        <x:v>59</x:v>
      </x:c>
      <x:c r="J89" s="117" t="str">
        <x:v>unmanaged</x:v>
      </x:c>
      <x:c r="K89" s="123" t="b">
        <x:v>0</x:v>
      </x:c>
      <x:c r="L89" s="117"/>
      <x:c r="M89" s="118"/>
      <x:c r="N89" s="120" t="n">
        <x:v>45412.03800925926</x:v>
      </x:c>
      <x:c r="O89" s="117" t="str">
        <x:v>Delegate</x:v>
      </x:c>
      <x:c r="P89" s="120" t="n">
        <x:v>45412.03805555555</x:v>
      </x:c>
      <x:c r="Q89" s="117" t="str">
        <x:v>Delegate</x:v>
      </x:c>
      <x:c r="R89" s="117" t="str">
        <x:v>Add Opportunity Lines to Credit Memo</x:v>
      </x:c>
      <x:c r="S89" s="119" t="str">
        <x:v>04/29 (AM) - Added Revenue Credit Account column to table.</x:v>
      </x:c>
    </x:row>
    <x:row r="90" ht="30" customHeight="1">
      <x:c r="A90" s="117" t="str">
        <x:v>Add_Opportunity_Lines_to_Credit_Memo</x:v>
      </x:c>
      <x:c r="B90" s="117" t="str">
        <x:v>3005b00000113dIAAQ</x:v>
      </x:c>
      <x:c r="C90" s="117" t="str">
        <x:v>301Ro00000CVR55IAH</x:v>
      </x:c>
      <x:c r="D90" s="118" t="n">
        <x:v>11</x:v>
      </x:c>
      <x:c r="E90" s="117" t="str">
        <x:v>Obsolete</x:v>
      </x:c>
      <x:c r="F90" s="117" t="str">
        <x:v>No</x:v>
      </x:c>
      <x:c r="G90" s="117" t="str">
        <x:v>No</x:v>
      </x:c>
      <x:c r="H90" s="117" t="str">
        <x:v>Flow</x:v>
      </x:c>
      <x:c r="I90" s="118" t="n">
        <x:v>59</x:v>
      </x:c>
      <x:c r="J90" s="117" t="str">
        <x:v>unmanaged</x:v>
      </x:c>
      <x:c r="K90" s="123" t="b">
        <x:v>0</x:v>
      </x:c>
      <x:c r="L90" s="117"/>
      <x:c r="M90" s="118"/>
      <x:c r="N90" s="120" t="n">
        <x:v>45421.59547453704</x:v>
      </x:c>
      <x:c r="O90" s="117" t="str">
        <x:v>Delegate</x:v>
      </x:c>
      <x:c r="P90" s="120" t="n">
        <x:v>45444.554814814815</x:v>
      </x:c>
      <x:c r="Q90" s="117" t="str">
        <x:v>Delegate</x:v>
      </x:c>
      <x:c r="R90" s="117" t="str">
        <x:v>Add Opportunity Lines to Credit Memo</x:v>
      </x:c>
      <x:c r="S90" s="119" t="str">
        <x:v>4/30 (AM): Adding Sales Tax to ScreenFlow</x:v>
      </x:c>
    </x:row>
    <x:row r="91" ht="30" customHeight="1">
      <x:c r="A91" s="117" t="str">
        <x:v>Add_Opportunity_Lines_to_Credit_Memo</x:v>
      </x:c>
      <x:c r="B91" s="117" t="str">
        <x:v>3005b00000113dIAAQ</x:v>
      </x:c>
      <x:c r="C91" s="117" t="str">
        <x:v>301Ro00000IfIDTIA3</x:v>
      </x:c>
      <x:c r="D91" s="118" t="n">
        <x:v>12</x:v>
      </x:c>
      <x:c r="E91" s="117" t="str">
        <x:v>Obsolete</x:v>
      </x:c>
      <x:c r="F91" s="117" t="str">
        <x:v>No</x:v>
      </x:c>
      <x:c r="G91" s="117" t="str">
        <x:v>Yes</x:v>
      </x:c>
      <x:c r="H91" s="117" t="str">
        <x:v>Flow</x:v>
      </x:c>
      <x:c r="I91" s="118" t="n">
        <x:v>59</x:v>
      </x:c>
      <x:c r="J91" s="117" t="str">
        <x:v>unmanaged</x:v>
      </x:c>
      <x:c r="K91" s="123" t="b">
        <x:v>0</x:v>
      </x:c>
      <x:c r="L91" s="117"/>
      <x:c r="M91" s="118"/>
      <x:c r="N91" s="120" t="n">
        <x:v>45512.71</x:v>
      </x:c>
      <x:c r="O91" s="117" t="str">
        <x:v>Delegate</x:v>
      </x:c>
      <x:c r="P91" s="120" t="n">
        <x:v>45618.13167824074</x:v>
      </x:c>
      <x:c r="Q91" s="117" t="str">
        <x:v>Delegate</x:v>
      </x:c>
      <x:c r="R91" s="117" t="str">
        <x:v>Add Opportunity Lines to Credit Memo</x:v>
      </x:c>
      <x:c r="S91" s="119" t="str">
        <x:v>08/05/24 (BW) - Updated screen to not have Credit Memo Amount field on the layout for the UI table button</x:v>
      </x:c>
    </x:row>
    <x:row r="92" ht="30" customHeight="1">
      <x:c r="A92" s="117" t="str">
        <x:v>Add_Product_Record_Type_Name_to_Asset_Record</x:v>
      </x:c>
      <x:c r="B92" s="117" t="str">
        <x:v>300Ro00000sB6FuIAK</x:v>
      </x:c>
      <x:c r="C92" s="117" t="str">
        <x:v>301Ro00000zrnPJIAY</x:v>
      </x:c>
      <x:c r="D92" s="118" t="n">
        <x:v>1</x:v>
      </x:c>
      <x:c r="E92" s="117" t="str">
        <x:v>Active</x:v>
      </x:c>
      <x:c r="F92" s="117" t="str">
        <x:v>Yes</x:v>
      </x:c>
      <x:c r="G92" s="117" t="str">
        <x:v>Yes</x:v>
      </x:c>
      <x:c r="H92" s="117" t="str">
        <x:v>AutoLaunchedFlow</x:v>
      </x:c>
      <x:c r="I92" s="118" t="n">
        <x:v>66</x:v>
      </x:c>
      <x:c r="J92" s="117" t="str">
        <x:v>unmanaged</x:v>
      </x:c>
      <x:c r="K92" s="123" t="b">
        <x:v>0</x:v>
      </x:c>
      <x:c r="L92" s="117"/>
      <x:c r="M92" s="118"/>
      <x:c r="N92" s="120" t="n">
        <x:v>46086.722662037035</x:v>
      </x:c>
      <x:c r="O92" s="117" t="str">
        <x:v>Steve Dodd</x:v>
      </x:c>
      <x:c r="P92" s="120" t="n">
        <x:v>46086.72273148148</x:v>
      </x:c>
      <x:c r="Q92" s="117" t="str">
        <x:v>Steve Dodd</x:v>
      </x:c>
      <x:c r="R92" s="117" t="str">
        <x:v>Add Product Record Type Name to Asset Record</x:v>
      </x:c>
      <x:c r="S92" s="119"/>
    </x:row>
    <x:row r="93" ht="30" customHeight="1">
      <x:c r="A93" s="117" t="str">
        <x:v>Advances</x:v>
      </x:c>
      <x:c r="B93" s="117" t="str">
        <x:v>3004O000000LOvJQAW</x:v>
      </x:c>
      <x:c r="C93" s="117" t="str">
        <x:v>3014O000000M11pQAC</x:v>
      </x:c>
      <x:c r="D93" s="118" t="n">
        <x:v>1</x:v>
      </x:c>
      <x:c r="E93" s="117" t="str">
        <x:v>Active</x:v>
      </x:c>
      <x:c r="F93" s="117" t="str">
        <x:v>Yes</x:v>
      </x:c>
      <x:c r="G93" s="117" t="str">
        <x:v>Yes</x:v>
      </x:c>
      <x:c r="H93" s="117" t="str">
        <x:v>Flow</x:v>
      </x:c>
      <x:c r="I93" s="118" t="n">
        <x:v>50</x:v>
      </x:c>
      <x:c r="J93" s="117" t="str">
        <x:v>unmanaged</x:v>
      </x:c>
      <x:c r="K93" s="123" t="b">
        <x:v>0</x:v>
      </x:c>
      <x:c r="L93" s="117"/>
      <x:c r="M93" s="118"/>
      <x:c r="N93" s="120" t="n">
        <x:v>44217.87789351852</x:v>
      </x:c>
      <x:c r="O93" s="117" t="str">
        <x:v>Delegate</x:v>
      </x:c>
      <x:c r="P93" s="120" t="n">
        <x:v>44217.87825231482</x:v>
      </x:c>
      <x:c r="Q93" s="117" t="str">
        <x:v>Delegate</x:v>
      </x:c>
      <x:c r="R93" s="117" t="str">
        <x:v>Advances</x:v>
      </x:c>
      <x:c r="S93" s="119" t="str">
        <x:v>Takes care of the addition of advances on an account.</x:v>
      </x:c>
    </x:row>
    <x:row r="94" ht="30" customHeight="1">
      <x:c r="A94" s="117" t="str">
        <x:v>Alert_AR_for_Opp_Ready_to_Bill</x:v>
      </x:c>
      <x:c r="B94" s="117" t="str">
        <x:v>300Ro00000LmhD9IAJ</x:v>
      </x:c>
      <x:c r="C94" s="117" t="str">
        <x:v>301Ro00000NyBIaIAN</x:v>
      </x:c>
      <x:c r="D94" s="118" t="n">
        <x:v>1</x:v>
      </x:c>
      <x:c r="E94" s="117" t="str">
        <x:v>Obsolete</x:v>
      </x:c>
      <x:c r="F94" s="117" t="str">
        <x:v>No</x:v>
      </x:c>
      <x:c r="G94" s="117" t="str">
        <x:v>No</x:v>
      </x:c>
      <x:c r="H94" s="117" t="str">
        <x:v>AutoLaunchedFlow</x:v>
      </x:c>
      <x:c r="I94" s="118" t="n">
        <x:v>61</x:v>
      </x:c>
      <x:c r="J94" s="117" t="str">
        <x:v>unmanaged</x:v>
      </x:c>
      <x:c r="K94" s="123" t="b">
        <x:v>0</x:v>
      </x:c>
      <x:c r="L94" s="117"/>
      <x:c r="M94" s="118"/>
      <x:c r="N94" s="120" t="n">
        <x:v>45597.274733796294</x:v>
      </x:c>
      <x:c r="O94" s="117" t="str">
        <x:v>Natalie Boger</x:v>
      </x:c>
      <x:c r="P94" s="120" t="n">
        <x:v>45597.27486111111</x:v>
      </x:c>
      <x:c r="Q94" s="117" t="str">
        <x:v>Natalie Boger</x:v>
      </x:c>
      <x:c r="R94" s="117" t="str">
        <x:v>Alert AR for Opp Ready to Bill</x:v>
      </x:c>
      <x:c r="S94" s="119"/>
    </x:row>
    <x:row r="95" ht="30" customHeight="1">
      <x:c r="A95" s="117" t="str">
        <x:v>Alert_AR_for_Opp_Ready_to_Bill</x:v>
      </x:c>
      <x:c r="B95" s="117" t="str">
        <x:v>300Ro00000LmhD9IAJ</x:v>
      </x:c>
      <x:c r="C95" s="117" t="str">
        <x:v>301Ro00000ObMa7IAF</x:v>
      </x:c>
      <x:c r="D95" s="118" t="n">
        <x:v>2</x:v>
      </x:c>
      <x:c r="E95" s="117" t="str">
        <x:v>Obsolete</x:v>
      </x:c>
      <x:c r="F95" s="117" t="str">
        <x:v>No</x:v>
      </x:c>
      <x:c r="G95" s="117" t="str">
        <x:v>No</x:v>
      </x:c>
      <x:c r="H95" s="117" t="str">
        <x:v>AutoLaunchedFlow</x:v>
      </x:c>
      <x:c r="I95" s="118" t="n">
        <x:v>61</x:v>
      </x:c>
      <x:c r="J95" s="117" t="str">
        <x:v>unmanaged</x:v>
      </x:c>
      <x:c r="K95" s="123" t="b">
        <x:v>0</x:v>
      </x:c>
      <x:c r="L95" s="117"/>
      <x:c r="M95" s="118"/>
      <x:c r="N95" s="120" t="n">
        <x:v>45608.17854166667</x:v>
      </x:c>
      <x:c r="O95" s="117" t="str">
        <x:v>Natalie Boger</x:v>
      </x:c>
      <x:c r="P95" s="120" t="n">
        <x:v>45608.178611111114</x:v>
      </x:c>
      <x:c r="Q95" s="117" t="str">
        <x:v>Natalie Boger</x:v>
      </x:c>
      <x:c r="R95" s="117" t="str">
        <x:v>Alert AR for Opp Ready to Bill</x:v>
      </x:c>
      <x:c r="S95" s="119" t="str">
        <x:v>Updated email to be primarily plain text</x:v>
      </x:c>
    </x:row>
    <x:row r="96" ht="30" customHeight="1">
      <x:c r="A96" s="117" t="str">
        <x:v>Alert_AR_for_Opp_Ready_to_Bill</x:v>
      </x:c>
      <x:c r="B96" s="117" t="str">
        <x:v>300Ro00000LmhD9IAJ</x:v>
      </x:c>
      <x:c r="C96" s="117" t="str">
        <x:v>301Ro00000ObHKHIA3</x:v>
      </x:c>
      <x:c r="D96" s="118" t="n">
        <x:v>3</x:v>
      </x:c>
      <x:c r="E96" s="117" t="str">
        <x:v>Obsolete</x:v>
      </x:c>
      <x:c r="F96" s="117" t="str">
        <x:v>No</x:v>
      </x:c>
      <x:c r="G96" s="117" t="str">
        <x:v>No</x:v>
      </x:c>
      <x:c r="H96" s="117" t="str">
        <x:v>AutoLaunchedFlow</x:v>
      </x:c>
      <x:c r="I96" s="118" t="n">
        <x:v>61</x:v>
      </x:c>
      <x:c r="J96" s="117" t="str">
        <x:v>unmanaged</x:v>
      </x:c>
      <x:c r="K96" s="123" t="b">
        <x:v>0</x:v>
      </x:c>
      <x:c r="L96" s="117"/>
      <x:c r="M96" s="118"/>
      <x:c r="N96" s="120" t="n">
        <x:v>45608.180868055555</x:v>
      </x:c>
      <x:c r="O96" s="117" t="str">
        <x:v>Natalie Boger</x:v>
      </x:c>
      <x:c r="P96" s="120" t="n">
        <x:v>45608.180925925924</x:v>
      </x:c>
      <x:c r="Q96" s="117" t="str">
        <x:v>Natalie Boger</x:v>
      </x:c>
      <x:c r="R96" s="117" t="str">
        <x:v>Alert AR for Opp Ready to Bill</x:v>
      </x:c>
      <x:c r="S96" s="119" t="str">
        <x:v>Updated email to be primarily plain text</x:v>
      </x:c>
    </x:row>
    <x:row r="97" ht="30" customHeight="1">
      <x:c r="A97" s="117" t="str">
        <x:v>Alert_AR_for_Opp_Ready_to_Bill</x:v>
      </x:c>
      <x:c r="B97" s="117" t="str">
        <x:v>300Ro00000LmhD9IAJ</x:v>
      </x:c>
      <x:c r="C97" s="117" t="str">
        <x:v>301Ro00000Obbh7IAB</x:v>
      </x:c>
      <x:c r="D97" s="118" t="n">
        <x:v>4</x:v>
      </x:c>
      <x:c r="E97" s="117" t="str">
        <x:v>Obsolete</x:v>
      </x:c>
      <x:c r="F97" s="117" t="str">
        <x:v>No</x:v>
      </x:c>
      <x:c r="G97" s="117" t="str">
        <x:v>No</x:v>
      </x:c>
      <x:c r="H97" s="117" t="str">
        <x:v>AutoLaunchedFlow</x:v>
      </x:c>
      <x:c r="I97" s="118" t="n">
        <x:v>61</x:v>
      </x:c>
      <x:c r="J97" s="117" t="str">
        <x:v>unmanaged</x:v>
      </x:c>
      <x:c r="K97" s="123" t="b">
        <x:v>0</x:v>
      </x:c>
      <x:c r="L97" s="117"/>
      <x:c r="M97" s="118"/>
      <x:c r="N97" s="120" t="n">
        <x:v>45608.23116898148</x:v>
      </x:c>
      <x:c r="O97" s="117" t="str">
        <x:v>Natalie Boger</x:v>
      </x:c>
      <x:c r="P97" s="120" t="n">
        <x:v>45608.23122685185</x:v>
      </x:c>
      <x:c r="Q97" s="117" t="str">
        <x:v>Natalie Boger</x:v>
      </x:c>
      <x:c r="R97" s="117" t="str">
        <x:v>Alert AR for Opp Ready to Bill</x:v>
      </x:c>
      <x:c r="S97" s="119" t="str">
        <x:v>Updated email to be primarily plain text</x:v>
      </x:c>
    </x:row>
    <x:row r="98" ht="30" customHeight="1">
      <x:c r="A98" s="117" t="str">
        <x:v>Alert_AR_for_Opp_Ready_to_Bill</x:v>
      </x:c>
      <x:c r="B98" s="117" t="str">
        <x:v>300Ro00000LmhD9IAJ</x:v>
      </x:c>
      <x:c r="C98" s="117" t="str">
        <x:v>301Ro00000PU7H4IAL</x:v>
      </x:c>
      <x:c r="D98" s="118" t="n">
        <x:v>5</x:v>
      </x:c>
      <x:c r="E98" s="117" t="str">
        <x:v>Obsolete</x:v>
      </x:c>
      <x:c r="F98" s="117" t="str">
        <x:v>No</x:v>
      </x:c>
      <x:c r="G98" s="117" t="str">
        <x:v>No</x:v>
      </x:c>
      <x:c r="H98" s="117" t="str">
        <x:v>AutoLaunchedFlow</x:v>
      </x:c>
      <x:c r="I98" s="118" t="n">
        <x:v>61</x:v>
      </x:c>
      <x:c r="J98" s="117" t="str">
        <x:v>unmanaged</x:v>
      </x:c>
      <x:c r="K98" s="123" t="b">
        <x:v>0</x:v>
      </x:c>
      <x:c r="L98" s="117"/>
      <x:c r="M98" s="118"/>
      <x:c r="N98" s="120" t="n">
        <x:v>45622.86696759259</x:v>
      </x:c>
      <x:c r="O98" s="117" t="str">
        <x:v>Natalie Boger</x:v>
      </x:c>
      <x:c r="P98" s="120" t="n">
        <x:v>45622.86703703704</x:v>
      </x:c>
      <x:c r="Q98" s="117" t="str">
        <x:v>Natalie Boger</x:v>
      </x:c>
      <x:c r="R98" s="117" t="str">
        <x:v>Alert AR for Opp Ready to Bill</x:v>
      </x:c>
      <x:c r="S98" s="119" t="str">
        <x:v>Updated email body to correct opp link</x:v>
      </x:c>
    </x:row>
    <x:row r="99" ht="30" customHeight="1">
      <x:c r="A99" s="117" t="str">
        <x:v>Alert_AR_for_Opp_Ready_to_Bill</x:v>
      </x:c>
      <x:c r="B99" s="117" t="str">
        <x:v>300Ro00000LmhD9IAJ</x:v>
      </x:c>
      <x:c r="C99" s="117" t="str">
        <x:v>301Ro00000QmLbFIAV</x:v>
      </x:c>
      <x:c r="D99" s="118" t="n">
        <x:v>6</x:v>
      </x:c>
      <x:c r="E99" s="117" t="str">
        <x:v>Obsolete</x:v>
      </x:c>
      <x:c r="F99" s="117" t="str">
        <x:v>No</x:v>
      </x:c>
      <x:c r="G99" s="117" t="str">
        <x:v>No</x:v>
      </x:c>
      <x:c r="H99" s="117" t="str">
        <x:v>AutoLaunchedFlow</x:v>
      </x:c>
      <x:c r="I99" s="118" t="n">
        <x:v>61</x:v>
      </x:c>
      <x:c r="J99" s="117" t="str">
        <x:v>unmanaged</x:v>
      </x:c>
      <x:c r="K99" s="123" t="b">
        <x:v>0</x:v>
      </x:c>
      <x:c r="L99" s="117"/>
      <x:c r="M99" s="118"/>
      <x:c r="N99" s="120" t="n">
        <x:v>45644.99302083333</x:v>
      </x:c>
      <x:c r="O99" s="117" t="str">
        <x:v>Natalie Boger</x:v>
      </x:c>
      <x:c r="P99" s="120" t="n">
        <x:v>45645.07572916667</x:v>
      </x:c>
      <x:c r="Q99" s="117" t="str">
        <x:v>Natalie Boger</x:v>
      </x:c>
      <x:c r="R99" s="117" t="str">
        <x:v>Alert AR and ASG for Opp Billing Status Change</x:v>
      </x:c>
      <x:c r="S99" s="119"/>
    </x:row>
    <x:row r="100" ht="30" customHeight="1">
      <x:c r="A100" s="117" t="str">
        <x:v>Alert_AR_for_Opp_Ready_to_Bill</x:v>
      </x:c>
      <x:c r="B100" s="117" t="str">
        <x:v>300Ro00000LmhD9IAJ</x:v>
      </x:c>
      <x:c r="C100" s="117" t="str">
        <x:v>301Ro00000V0e21IAB</x:v>
      </x:c>
      <x:c r="D100" s="118" t="n">
        <x:v>7</x:v>
      </x:c>
      <x:c r="E100" s="117" t="str">
        <x:v>Obsolete</x:v>
      </x:c>
      <x:c r="F100" s="117" t="str">
        <x:v>No</x:v>
      </x:c>
      <x:c r="G100" s="117" t="str">
        <x:v>No</x:v>
      </x:c>
      <x:c r="H100" s="117" t="str">
        <x:v>AutoLaunchedFlow</x:v>
      </x:c>
      <x:c r="I100" s="118" t="n">
        <x:v>61</x:v>
      </x:c>
      <x:c r="J100" s="117" t="str">
        <x:v>unmanaged</x:v>
      </x:c>
      <x:c r="K100" s="123" t="b">
        <x:v>0</x:v>
      </x:c>
      <x:c r="L100" s="117"/>
      <x:c r="M100" s="118"/>
      <x:c r="N100" s="120" t="n">
        <x:v>45719.861238425925</x:v>
      </x:c>
      <x:c r="O100" s="117" t="str">
        <x:v>Delegate</x:v>
      </x:c>
      <x:c r="P100" s="120" t="n">
        <x:v>45719.86179398148</x:v>
      </x:c>
      <x:c r="Q100" s="117" t="str">
        <x:v>Delegate</x:v>
      </x:c>
      <x:c r="R100" s="117" t="str">
        <x:v>Alert AR for Opp Ready to Bill</x:v>
      </x:c>
      <x:c r="S100" s="119" t="str">
        <x:v>Updated email body to correct opp link</x:v>
      </x:c>
    </x:row>
    <x:row r="101" ht="30" customHeight="1">
      <x:c r="A101" s="117" t="str">
        <x:v>Alert_AR_for_Opp_Ready_to_Bill</x:v>
      </x:c>
      <x:c r="B101" s="117" t="str">
        <x:v>300Ro00000LmhD9IAJ</x:v>
      </x:c>
      <x:c r="C101" s="117" t="str">
        <x:v>301Ro00000XjLTVIA3</x:v>
      </x:c>
      <x:c r="D101" s="118" t="n">
        <x:v>8</x:v>
      </x:c>
      <x:c r="E101" s="117" t="str">
        <x:v>Obsolete</x:v>
      </x:c>
      <x:c r="F101" s="117" t="str">
        <x:v>No</x:v>
      </x:c>
      <x:c r="G101" s="117" t="str">
        <x:v>No</x:v>
      </x:c>
      <x:c r="H101" s="117" t="str">
        <x:v>AutoLaunchedFlow</x:v>
      </x:c>
      <x:c r="I101" s="118" t="n">
        <x:v>61</x:v>
      </x:c>
      <x:c r="J101" s="117" t="str">
        <x:v>unmanaged</x:v>
      </x:c>
      <x:c r="K101" s="123" t="b">
        <x:v>0</x:v>
      </x:c>
      <x:c r="L101" s="117"/>
      <x:c r="M101" s="118"/>
      <x:c r="N101" s="120" t="n">
        <x:v>45768.50638888889</x:v>
      </x:c>
      <x:c r="O101" s="117" t="str">
        <x:v>Delegate</x:v>
      </x:c>
      <x:c r="P101" s="120" t="n">
        <x:v>45768.50644675926</x:v>
      </x:c>
      <x:c r="Q101" s="117" t="str">
        <x:v>Delegate</x:v>
      </x:c>
      <x:c r="R101" s="117" t="str">
        <x:v>Alert AR and ASG for Opp Billing Status Change</x:v>
      </x:c>
      <x:c r="S101" s="119" t="str">
        <x:v>04/21/2025 (BW) - Added Brandon to these emails so that I can test and confirm they are coming through now</x:v>
      </x:c>
    </x:row>
    <x:row r="102" ht="30" customHeight="1">
      <x:c r="A102" s="117" t="str">
        <x:v>Alert_AR_for_Opp_Ready_to_Bill</x:v>
      </x:c>
      <x:c r="B102" s="117" t="str">
        <x:v>300Ro00000LmhD9IAJ</x:v>
      </x:c>
      <x:c r="C102" s="117" t="str">
        <x:v>301Ro00000XjMZFIA3</x:v>
      </x:c>
      <x:c r="D102" s="118" t="n">
        <x:v>9</x:v>
      </x:c>
      <x:c r="E102" s="117" t="str">
        <x:v>Obsolete</x:v>
      </x:c>
      <x:c r="F102" s="117" t="str">
        <x:v>No</x:v>
      </x:c>
      <x:c r="G102" s="117" t="str">
        <x:v>No</x:v>
      </x:c>
      <x:c r="H102" s="117" t="str">
        <x:v>AutoLaunchedFlow</x:v>
      </x:c>
      <x:c r="I102" s="118" t="n">
        <x:v>61</x:v>
      </x:c>
      <x:c r="J102" s="117" t="str">
        <x:v>unmanaged</x:v>
      </x:c>
      <x:c r="K102" s="123" t="b">
        <x:v>0</x:v>
      </x:c>
      <x:c r="L102" s="117"/>
      <x:c r="M102" s="118"/>
      <x:c r="N102" s="120" t="n">
        <x:v>45768.50923611111</x:v>
      </x:c>
      <x:c r="O102" s="117" t="str">
        <x:v>Delegate</x:v>
      </x:c>
      <x:c r="P102" s="120" t="n">
        <x:v>45768.50928240741</x:v>
      </x:c>
      <x:c r="Q102" s="117" t="str">
        <x:v>Delegate</x:v>
      </x:c>
      <x:c r="R102" s="117" t="str">
        <x:v>Alert AR and ASG for Opp Billing Status Change</x:v>
      </x:c>
      <x:c r="S102" s="119" t="str">
        <x:v>04/21/2025 (BW) - Added Brandon to these emails so that I can test and confirm they are coming through now</x:v>
      </x:c>
    </x:row>
    <x:row r="103" ht="30" customHeight="1">
      <x:c r="A103" s="117" t="str">
        <x:v>Alert_AR_for_Opp_Ready_to_Bill</x:v>
      </x:c>
      <x:c r="B103" s="117" t="str">
        <x:v>300Ro00000LmhD9IAJ</x:v>
      </x:c>
      <x:c r="C103" s="117" t="str">
        <x:v>301Ro00000XjNv7IAF</x:v>
      </x:c>
      <x:c r="D103" s="118" t="n">
        <x:v>10</x:v>
      </x:c>
      <x:c r="E103" s="117" t="str">
        <x:v>Active</x:v>
      </x:c>
      <x:c r="F103" s="117" t="str">
        <x:v>Yes</x:v>
      </x:c>
      <x:c r="G103" s="117" t="str">
        <x:v>No</x:v>
      </x:c>
      <x:c r="H103" s="117" t="str">
        <x:v>AutoLaunchedFlow</x:v>
      </x:c>
      <x:c r="I103" s="118" t="n">
        <x:v>61</x:v>
      </x:c>
      <x:c r="J103" s="117" t="str">
        <x:v>unmanaged</x:v>
      </x:c>
      <x:c r="K103" s="123" t="b">
        <x:v>0</x:v>
      </x:c>
      <x:c r="L103" s="117"/>
      <x:c r="M103" s="118"/>
      <x:c r="N103" s="120" t="n">
        <x:v>45768.51152777778</x:v>
      </x:c>
      <x:c r="O103" s="117" t="str">
        <x:v>Delegate</x:v>
      </x:c>
      <x:c r="P103" s="120" t="n">
        <x:v>45768.51157407407</x:v>
      </x:c>
      <x:c r="Q103" s="117" t="str">
        <x:v>Delegate</x:v>
      </x:c>
      <x:c r="R103" s="117" t="str">
        <x:v>Alert AR and ASG for Opp Billing Status Change</x:v>
      </x:c>
      <x:c r="S103" s="119" t="str">
        <x:v>04/21/2025 (BW) - Moved Invoice Sent and changed the entry criteria to fire whenever the billing status is changed</x:v>
      </x:c>
    </x:row>
    <x:row r="104" ht="30" customHeight="1">
      <x:c r="A104" s="117" t="str">
        <x:v>Alert_AR_for_Opp_Ready_to_Bill</x:v>
      </x:c>
      <x:c r="B104" s="117" t="str">
        <x:v>300Ro00000LmhD9IAJ</x:v>
      </x:c>
      <x:c r="C104" s="117" t="str">
        <x:v>301Ro00000vX6IkIAK</x:v>
      </x:c>
      <x:c r="D104" s="118" t="n">
        <x:v>11</x:v>
      </x:c>
      <x:c r="E104" s="117" t="str">
        <x:v>Draft</x:v>
      </x:c>
      <x:c r="F104" s="117" t="str">
        <x:v>No</x:v>
      </x:c>
      <x:c r="G104" s="117" t="str">
        <x:v>Yes</x:v>
      </x:c>
      <x:c r="H104" s="117" t="str">
        <x:v>AutoLaunchedFlow</x:v>
      </x:c>
      <x:c r="I104" s="118" t="n">
        <x:v>61</x:v>
      </x:c>
      <x:c r="J104" s="117" t="str">
        <x:v>unmanaged</x:v>
      </x:c>
      <x:c r="K104" s="123" t="b">
        <x:v>0</x:v>
      </x:c>
      <x:c r="L104" s="117"/>
      <x:c r="M104" s="118"/>
      <x:c r="N104" s="120" t="n">
        <x:v>46034.15888888889</x:v>
      </x:c>
      <x:c r="O104" s="117" t="str">
        <x:v>Natalie Boger</x:v>
      </x:c>
      <x:c r="P104" s="120" t="n">
        <x:v>46034.1590625</x:v>
      </x:c>
      <x:c r="Q104" s="117" t="str">
        <x:v>Natalie Boger</x:v>
      </x:c>
      <x:c r="R104" s="117" t="str">
        <x:v>Alert AR and ASG for Opp Billing Status Change</x:v>
      </x:c>
      <x:c r="S104" s="119" t="str">
        <x:v>12/2/25: for training record type only - update ship date automatically when status changed to "ready to bill". no items actually get shipped, but this way the opportunity is following standard protocol. NB</x:v>
      </x:c>
    </x:row>
    <x:row r="105" ht="30" customHeight="1">
      <x:c r="A105" s="117" t="str">
        <x:v>Approved_CM_Memo_Alert_Task_Email_Send</x:v>
      </x:c>
      <x:c r="B105" s="117" t="str">
        <x:v>3005b00000113hFAAQ</x:v>
      </x:c>
      <x:c r="C105" s="117" t="str">
        <x:v>3015b0000011MwXAAU</x:v>
      </x:c>
      <x:c r="D105" s="118" t="n">
        <x:v>1</x:v>
      </x:c>
      <x:c r="E105" s="117" t="str">
        <x:v>Obsolete</x:v>
      </x:c>
      <x:c r="F105" s="117" t="str">
        <x:v>No</x:v>
      </x:c>
      <x:c r="G105" s="117" t="str">
        <x:v>No</x:v>
      </x:c>
      <x:c r="H105" s="117" t="str">
        <x:v>AutoLaunchedFlow</x:v>
      </x:c>
      <x:c r="I105" s="118" t="n">
        <x:v>59</x:v>
      </x:c>
      <x:c r="J105" s="117" t="str">
        <x:v>unmanaged</x:v>
      </x:c>
      <x:c r="K105" s="123" t="b">
        <x:v>0</x:v>
      </x:c>
      <x:c r="L105" s="117"/>
      <x:c r="M105" s="118"/>
      <x:c r="N105" s="120" t="n">
        <x:v>45286.58896990741</x:v>
      </x:c>
      <x:c r="O105" s="117" t="str">
        <x:v>Delegate</x:v>
      </x:c>
      <x:c r="P105" s="120" t="n">
        <x:v>45286.58902777778</x:v>
      </x:c>
      <x:c r="Q105" s="117" t="str">
        <x:v>Delegate</x:v>
      </x:c>
      <x:c r="R105" s="117" t="str">
        <x:v>Approved CM Memo Alert Task Email Send</x:v>
      </x:c>
      <x:c r="S105" s="119" t="str">
        <x:v>12/26/23 (BW) - Sends an email to the credit memo requestor when accounting approves of the credit memo request and creates a credit memo for the opportunity/invoice</x:v>
      </x:c>
    </x:row>
    <x:row r="106" ht="30" customHeight="1">
      <x:c r="A106" s="117" t="str">
        <x:v>Approved_CM_Memo_Alert_Task_Email_Send</x:v>
      </x:c>
      <x:c r="B106" s="117" t="str">
        <x:v>3005b00000113hFAAQ</x:v>
      </x:c>
      <x:c r="C106" s="117" t="str">
        <x:v>3015b0000011MwYAAU</x:v>
      </x:c>
      <x:c r="D106" s="118" t="n">
        <x:v>2</x:v>
      </x:c>
      <x:c r="E106" s="117" t="str">
        <x:v>Active</x:v>
      </x:c>
      <x:c r="F106" s="117" t="str">
        <x:v>Yes</x:v>
      </x:c>
      <x:c r="G106" s="117" t="str">
        <x:v>Yes</x:v>
      </x:c>
      <x:c r="H106" s="117" t="str">
        <x:v>AutoLaunchedFlow</x:v>
      </x:c>
      <x:c r="I106" s="118" t="n">
        <x:v>59</x:v>
      </x:c>
      <x:c r="J106" s="117" t="str">
        <x:v>unmanaged</x:v>
      </x:c>
      <x:c r="K106" s="123" t="b">
        <x:v>0</x:v>
      </x:c>
      <x:c r="L106" s="117"/>
      <x:c r="M106" s="118"/>
      <x:c r="N106" s="120" t="n">
        <x:v>45286.590150462966</x:v>
      </x:c>
      <x:c r="O106" s="117" t="str">
        <x:v>Delegate</x:v>
      </x:c>
      <x:c r="P106" s="120" t="n">
        <x:v>45286.590208333335</x:v>
      </x:c>
      <x:c r="Q106" s="117" t="str">
        <x:v>Delegate</x:v>
      </x:c>
      <x:c r="R106" s="117" t="str">
        <x:v>Approved CM Memo Alert Task Email Send</x:v>
      </x:c>
      <x:c r="S106" s="119" t="str">
        <x:v>12/26/23 (BW) - Updated the email subject to be correctly formatted.</x:v>
      </x:c>
    </x:row>
    <x:row r="107" ht="30" customHeight="1">
      <x:c r="A107" s="117" t="str">
        <x:v>Approved_Repair_Update_Opportunity_Stage</x:v>
      </x:c>
      <x:c r="B107" s="117" t="str">
        <x:v>300Ro00000AQyqpIAD</x:v>
      </x:c>
      <x:c r="C107" s="117" t="str">
        <x:v>301Ro00000BSYEwIAP</x:v>
      </x:c>
      <x:c r="D107" s="118" t="n">
        <x:v>1</x:v>
      </x:c>
      <x:c r="E107" s="117" t="str">
        <x:v>Obsolete</x:v>
      </x:c>
      <x:c r="F107" s="117" t="str">
        <x:v>No</x:v>
      </x:c>
      <x:c r="G107" s="117" t="str">
        <x:v>No</x:v>
      </x:c>
      <x:c r="H107" s="117" t="str">
        <x:v>AutoLaunchedFlow</x:v>
      </x:c>
      <x:c r="I107" s="118" t="n">
        <x:v>60</x:v>
      </x:c>
      <x:c r="J107" s="117" t="str">
        <x:v>unmanaged</x:v>
      </x:c>
      <x:c r="K107" s="123" t="b">
        <x:v>0</x:v>
      </x:c>
      <x:c r="L107" s="117"/>
      <x:c r="M107" s="118"/>
      <x:c r="N107" s="120" t="n">
        <x:v>45405.472233796296</x:v>
      </x:c>
      <x:c r="O107" s="117" t="str">
        <x:v>Delegate</x:v>
      </x:c>
      <x:c r="P107" s="120" t="n">
        <x:v>45792.07813657408</x:v>
      </x:c>
      <x:c r="Q107" s="117" t="str">
        <x:v>Natalie Boger</x:v>
      </x:c>
      <x:c r="R107" s="117" t="str">
        <x:v>Approved Repair, Update Opportunity Stage</x:v>
      </x:c>
      <x:c r="S107" s="119" t="str">
        <x:v>04/23/24 (BW) - When a probe repair is approved, this flow updates the associated opportunity stage to "Repair Approved"</x:v>
      </x:c>
    </x:row>
    <x:row r="108" ht="30" customHeight="1">
      <x:c r="A108" s="117" t="str">
        <x:v>Approved_Repair_Update_Opportunity_Stage</x:v>
      </x:c>
      <x:c r="B108" s="117" t="str">
        <x:v>300Ro00000AQyqpIAD</x:v>
      </x:c>
      <x:c r="C108" s="117" t="str">
        <x:v>301Ro00000Z8muYIAR</x:v>
      </x:c>
      <x:c r="D108" s="118" t="n">
        <x:v>2</x:v>
      </x:c>
      <x:c r="E108" s="117" t="str">
        <x:v>Draft</x:v>
      </x:c>
      <x:c r="F108" s="117" t="str">
        <x:v>No</x:v>
      </x:c>
      <x:c r="G108" s="117" t="str">
        <x:v>Yes</x:v>
      </x:c>
      <x:c r="H108" s="117" t="str">
        <x:v>AutoLaunchedFlow</x:v>
      </x:c>
      <x:c r="I108" s="118" t="n">
        <x:v>60</x:v>
      </x:c>
      <x:c r="J108" s="117" t="str">
        <x:v>unmanaged</x:v>
      </x:c>
      <x:c r="K108" s="123" t="b">
        <x:v>0</x:v>
      </x:c>
      <x:c r="L108" s="117"/>
      <x:c r="M108" s="118"/>
      <x:c r="N108" s="120" t="n">
        <x:v>45792.08006944445</x:v>
      </x:c>
      <x:c r="O108" s="117" t="str">
        <x:v>Natalie Boger</x:v>
      </x:c>
      <x:c r="P108" s="120" t="n">
        <x:v>45792.080092592594</x:v>
      </x:c>
      <x:c r="Q108" s="117" t="str">
        <x:v>Natalie Boger</x:v>
      </x:c>
      <x:c r="R108" s="117" t="str">
        <x:v>Approved Repair, Update Opportunity Stage</x:v>
      </x:c>
      <x:c r="S108" s="119" t="str">
        <x:v>05.14.25 - updating Opportunity stage to Repair Approved is already in apex code (P_OpportunityTriggerHandler). Deactivating. However, if it does need to exist in flow, added caveat for if current stage is Closed Lost - otherwise repairs turned exchange will be changed to Repair Approved stage instead of remaining in Closed Lost.</x:v>
      </x:c>
    </x:row>
    <x:row r="109" ht="30" customHeight="1">
      <x:c r="A109" s="117" t="str">
        <x:v>Asset_Automations</x:v>
      </x:c>
      <x:c r="B109" s="117" t="str">
        <x:v>300Ro00000cQpMBIA0</x:v>
      </x:c>
      <x:c r="C109" s="117" t="str">
        <x:v>301Ro00000htcNNIAY</x:v>
      </x:c>
      <x:c r="D109" s="118" t="n">
        <x:v>1</x:v>
      </x:c>
      <x:c r="E109" s="117" t="str">
        <x:v>Obsolete</x:v>
      </x:c>
      <x:c r="F109" s="117" t="str">
        <x:v>No</x:v>
      </x:c>
      <x:c r="G109" s="117" t="str">
        <x:v>No</x:v>
      </x:c>
      <x:c r="H109" s="117" t="str">
        <x:v>AutoLaunchedFlow</x:v>
      </x:c>
      <x:c r="I109" s="118" t="n">
        <x:v>64</x:v>
      </x:c>
      <x:c r="J109" s="117" t="str">
        <x:v>unmanaged</x:v>
      </x:c>
      <x:c r="K109" s="123" t="b">
        <x:v>0</x:v>
      </x:c>
      <x:c r="L109" s="117"/>
      <x:c r="M109" s="118"/>
      <x:c r="N109" s="120" t="n">
        <x:v>45877.84693287037</x:v>
      </x:c>
      <x:c r="O109" s="117" t="str">
        <x:v>Sacha Pearce</x:v>
      </x:c>
      <x:c r="P109" s="120" t="n">
        <x:v>45879.85811342593</x:v>
      </x:c>
      <x:c r="Q109" s="117" t="str">
        <x:v>Sacha Pearce</x:v>
      </x:c>
      <x:c r="R109" s="117" t="str">
        <x:v>Asset Automations</x:v>
      </x:c>
      <x:c r="S109" s="119"/>
    </x:row>
    <x:row r="110" ht="30" customHeight="1">
      <x:c r="A110" s="117" t="str">
        <x:v>Asset_Automations</x:v>
      </x:c>
      <x:c r="B110" s="117" t="str">
        <x:v>300Ro00000cQpMBIA0</x:v>
      </x:c>
      <x:c r="C110" s="117" t="str">
        <x:v>301Ro00000i3AMrIAM</x:v>
      </x:c>
      <x:c r="D110" s="118" t="n">
        <x:v>2</x:v>
      </x:c>
      <x:c r="E110" s="117" t="str">
        <x:v>Obsolete</x:v>
      </x:c>
      <x:c r="F110" s="117" t="str">
        <x:v>No</x:v>
      </x:c>
      <x:c r="G110" s="117" t="str">
        <x:v>No</x:v>
      </x:c>
      <x:c r="H110" s="117" t="str">
        <x:v>AutoLaunchedFlow</x:v>
      </x:c>
      <x:c r="I110" s="118" t="n">
        <x:v>64</x:v>
      </x:c>
      <x:c r="J110" s="117" t="str">
        <x:v>unmanaged</x:v>
      </x:c>
      <x:c r="K110" s="123" t="b">
        <x:v>0</x:v>
      </x:c>
      <x:c r="L110" s="117"/>
      <x:c r="M110" s="118"/>
      <x:c r="N110" s="120" t="n">
        <x:v>45879.859930555554</x:v>
      </x:c>
      <x:c r="O110" s="117" t="str">
        <x:v>Sacha Pearce</x:v>
      </x:c>
      <x:c r="P110" s="120" t="n">
        <x:v>45879.86</x:v>
      </x:c>
      <x:c r="Q110" s="117" t="str">
        <x:v>Sacha Pearce</x:v>
      </x:c>
      <x:c r="R110" s="117" t="str">
        <x:v>Asset Automations</x:v>
      </x:c>
      <x:c r="S110" s="119"/>
    </x:row>
    <x:row r="111" ht="30" customHeight="1">
      <x:c r="A111" s="117" t="str">
        <x:v>Asset_Automations</x:v>
      </x:c>
      <x:c r="B111" s="117" t="str">
        <x:v>300Ro00000cQpMBIA0</x:v>
      </x:c>
      <x:c r="C111" s="117" t="str">
        <x:v>301Ro00000i3OXVIA2</x:v>
      </x:c>
      <x:c r="D111" s="118" t="n">
        <x:v>3</x:v>
      </x:c>
      <x:c r="E111" s="117" t="str">
        <x:v>Obsolete</x:v>
      </x:c>
      <x:c r="F111" s="117" t="str">
        <x:v>No</x:v>
      </x:c>
      <x:c r="G111" s="117" t="str">
        <x:v>No</x:v>
      </x:c>
      <x:c r="H111" s="117" t="str">
        <x:v>AutoLaunchedFlow</x:v>
      </x:c>
      <x:c r="I111" s="118" t="n">
        <x:v>64</x:v>
      </x:c>
      <x:c r="J111" s="117" t="str">
        <x:v>unmanaged</x:v>
      </x:c>
      <x:c r="K111" s="123" t="b">
        <x:v>0</x:v>
      </x:c>
      <x:c r="L111" s="117"/>
      <x:c r="M111" s="118"/>
      <x:c r="N111" s="120" t="n">
        <x:v>45879.86633101852</x:v>
      </x:c>
      <x:c r="O111" s="117" t="str">
        <x:v>Sacha Pearce</x:v>
      </x:c>
      <x:c r="P111" s="120" t="n">
        <x:v>45879.866377314815</x:v>
      </x:c>
      <x:c r="Q111" s="117" t="str">
        <x:v>Sacha Pearce</x:v>
      </x:c>
      <x:c r="R111" s="117" t="str">
        <x:v>Asset Automations</x:v>
      </x:c>
      <x:c r="S111" s="119"/>
    </x:row>
    <x:row r="112" ht="30" customHeight="1">
      <x:c r="A112" s="117" t="str">
        <x:v>Asset_Automations</x:v>
      </x:c>
      <x:c r="B112" s="117" t="str">
        <x:v>300Ro00000cQpMBIA0</x:v>
      </x:c>
      <x:c r="C112" s="117" t="str">
        <x:v>301Ro00000nyu9bIAA</x:v>
      </x:c>
      <x:c r="D112" s="118" t="n">
        <x:v>4</x:v>
      </x:c>
      <x:c r="E112" s="117" t="str">
        <x:v>Obsolete</x:v>
      </x:c>
      <x:c r="F112" s="117" t="str">
        <x:v>No</x:v>
      </x:c>
      <x:c r="G112" s="117" t="str">
        <x:v>No</x:v>
      </x:c>
      <x:c r="H112" s="117" t="str">
        <x:v>AutoLaunchedFlow</x:v>
      </x:c>
      <x:c r="I112" s="118" t="n">
        <x:v>64</x:v>
      </x:c>
      <x:c r="J112" s="117" t="str">
        <x:v>unmanaged</x:v>
      </x:c>
      <x:c r="K112" s="123" t="b">
        <x:v>0</x:v>
      </x:c>
      <x:c r="L112" s="117"/>
      <x:c r="M112" s="118"/>
      <x:c r="N112" s="120" t="n">
        <x:v>45931.64861111111</x:v>
      </x:c>
      <x:c r="O112" s="117" t="str">
        <x:v>Sacha Pearce</x:v>
      </x:c>
      <x:c r="P112" s="120" t="n">
        <x:v>45931.66744212963</x:v>
      </x:c>
      <x:c r="Q112" s="117" t="str">
        <x:v>Sacha Pearce</x:v>
      </x:c>
      <x:c r="R112" s="117" t="str">
        <x:v>Asset Automations</x:v>
      </x:c>
      <x:c r="S112" s="119" t="str">
        <x:v>01/10/2025 - SP - Adjusting the Set Cosmetic and Functional Rations to equals "Good" instead of "Good - New". This has been cleared with Quality.</x:v>
      </x:c>
    </x:row>
    <x:row r="113" ht="30" customHeight="1">
      <x:c r="A113" s="117" t="str">
        <x:v>Asset_Automations</x:v>
      </x:c>
      <x:c r="B113" s="117" t="str">
        <x:v>300Ro00000cQpMBIA0</x:v>
      </x:c>
      <x:c r="C113" s="117" t="str">
        <x:v>301Ro00000p92mvIAA</x:v>
      </x:c>
      <x:c r="D113" s="118" t="n">
        <x:v>5</x:v>
      </x:c>
      <x:c r="E113" s="117" t="str">
        <x:v>Active</x:v>
      </x:c>
      <x:c r="F113" s="117" t="str">
        <x:v>Yes</x:v>
      </x:c>
      <x:c r="G113" s="117" t="str">
        <x:v>Yes</x:v>
      </x:c>
      <x:c r="H113" s="117" t="str">
        <x:v>AutoLaunchedFlow</x:v>
      </x:c>
      <x:c r="I113" s="118" t="n">
        <x:v>64</x:v>
      </x:c>
      <x:c r="J113" s="117" t="str">
        <x:v>unmanaged</x:v>
      </x:c>
      <x:c r="K113" s="123" t="b">
        <x:v>0</x:v>
      </x:c>
      <x:c r="L113" s="117"/>
      <x:c r="M113" s="118"/>
      <x:c r="N113" s="120" t="n">
        <x:v>45940.319756944446</x:v>
      </x:c>
      <x:c r="O113" s="117" t="str">
        <x:v>Sacha Pearce</x:v>
      </x:c>
      <x:c r="P113" s="120" t="n">
        <x:v>45940.358148148145</x:v>
      </x:c>
      <x:c r="Q113" s="117" t="str">
        <x:v>Sacha Pearce</x:v>
      </x:c>
      <x:c r="R113" s="117" t="str">
        <x:v>Asset Automations</x:v>
      </x:c>
      <x:c r="S113" s="119" t="str">
        <x:v>01/10/2025 - SP - Adjusting the Set Cosmetic and Functional Rations to equals "Good" instead of "Good - New". This has been cleared with Quality.
09/10/2025 - SP - Adding the "Contains Used Assets" checkbox condition to the "New Asset From Vendor Approved Supplier and Not Used?" decision. Also reverting the previous change so items now show as "Good - New".</x:v>
      </x:c>
    </x:row>
    <x:row r="114" ht="30" customHeight="1">
      <x:c r="A114" s="117" t="str">
        <x:v>Asset_Check_in_Type</x:v>
      </x:c>
      <x:c r="B114" s="117" t="str">
        <x:v>300Ro00000OMkxeIAD</x:v>
      </x:c>
      <x:c r="C114" s="117" t="str">
        <x:v>301Ro00000QqJArIAN</x:v>
      </x:c>
      <x:c r="D114" s="118" t="n">
        <x:v>1</x:v>
      </x:c>
      <x:c r="E114" s="117" t="str">
        <x:v>Obsolete</x:v>
      </x:c>
      <x:c r="F114" s="117" t="str">
        <x:v>No</x:v>
      </x:c>
      <x:c r="G114" s="117" t="str">
        <x:v>No</x:v>
      </x:c>
      <x:c r="H114" s="117" t="str">
        <x:v>AutoLaunchedFlow</x:v>
      </x:c>
      <x:c r="I114" s="118" t="n">
        <x:v>62</x:v>
      </x:c>
      <x:c r="J114" s="117" t="str">
        <x:v>unmanaged</x:v>
      </x:c>
      <x:c r="K114" s="123" t="b">
        <x:v>0</x:v>
      </x:c>
      <x:c r="L114" s="117"/>
      <x:c r="M114" s="118"/>
      <x:c r="N114" s="120" t="n">
        <x:v>45645.9184375</x:v>
      </x:c>
      <x:c r="O114" s="117" t="str">
        <x:v>Delegate</x:v>
      </x:c>
      <x:c r="P114" s="120" t="n">
        <x:v>45646.02113425926</x:v>
      </x:c>
      <x:c r="Q114" s="117" t="str">
        <x:v>Delegate</x:v>
      </x:c>
      <x:c r="R114" s="117" t="str">
        <x:v>Asset Check in Type</x:v>
      </x:c>
      <x:c r="S114" s="119"/>
    </x:row>
    <x:row r="115" ht="30" customHeight="1">
      <x:c r="A115" s="117" t="str">
        <x:v>Asset_Check_in_Type</x:v>
      </x:c>
      <x:c r="B115" s="117" t="str">
        <x:v>300Ro00000OMkxeIAD</x:v>
      </x:c>
      <x:c r="C115" s="117" t="str">
        <x:v>301Ro00000QsGaUIAV</x:v>
      </x:c>
      <x:c r="D115" s="118" t="n">
        <x:v>2</x:v>
      </x:c>
      <x:c r="E115" s="117" t="str">
        <x:v>Obsolete</x:v>
      </x:c>
      <x:c r="F115" s="117" t="str">
        <x:v>No</x:v>
      </x:c>
      <x:c r="G115" s="117" t="str">
        <x:v>No</x:v>
      </x:c>
      <x:c r="H115" s="117" t="str">
        <x:v>AutoLaunchedFlow</x:v>
      </x:c>
      <x:c r="I115" s="118" t="n">
        <x:v>62</x:v>
      </x:c>
      <x:c r="J115" s="117" t="str">
        <x:v>unmanaged</x:v>
      </x:c>
      <x:c r="K115" s="123" t="b">
        <x:v>0</x:v>
      </x:c>
      <x:c r="L115" s="117"/>
      <x:c r="M115" s="118"/>
      <x:c r="N115" s="120" t="n">
        <x:v>45646.61131944445</x:v>
      </x:c>
      <x:c r="O115" s="117" t="str">
        <x:v>Delegate</x:v>
      </x:c>
      <x:c r="P115" s="120" t="n">
        <x:v>45646.61137731482</x:v>
      </x:c>
      <x:c r="Q115" s="117" t="str">
        <x:v>Delegate</x:v>
      </x:c>
      <x:c r="R115" s="117" t="str">
        <x:v>Asset Check in Type</x:v>
      </x:c>
      <x:c r="S115" s="119"/>
    </x:row>
    <x:row r="116" ht="30" customHeight="1">
      <x:c r="A116" s="117" t="str">
        <x:v>Asset_Check_in_Type</x:v>
      </x:c>
      <x:c r="B116" s="117" t="str">
        <x:v>300Ro00000OMkxeIAD</x:v>
      </x:c>
      <x:c r="C116" s="117" t="str">
        <x:v>301Ro00000QsOksIAF</x:v>
      </x:c>
      <x:c r="D116" s="118" t="n">
        <x:v>3</x:v>
      </x:c>
      <x:c r="E116" s="117" t="str">
        <x:v>Obsolete</x:v>
      </x:c>
      <x:c r="F116" s="117" t="str">
        <x:v>No</x:v>
      </x:c>
      <x:c r="G116" s="117" t="str">
        <x:v>No</x:v>
      </x:c>
      <x:c r="H116" s="117" t="str">
        <x:v>AutoLaunchedFlow</x:v>
      </x:c>
      <x:c r="I116" s="118" t="n">
        <x:v>62</x:v>
      </x:c>
      <x:c r="J116" s="117" t="str">
        <x:v>unmanaged</x:v>
      </x:c>
      <x:c r="K116" s="123" t="b">
        <x:v>0</x:v>
      </x:c>
      <x:c r="L116" s="117"/>
      <x:c r="M116" s="118"/>
      <x:c r="N116" s="120" t="n">
        <x:v>45646.61682870371</x:v>
      </x:c>
      <x:c r="O116" s="117" t="str">
        <x:v>Delegate</x:v>
      </x:c>
      <x:c r="P116" s="120" t="n">
        <x:v>45646.61732638889</x:v>
      </x:c>
      <x:c r="Q116" s="117" t="str">
        <x:v>Delegate</x:v>
      </x:c>
      <x:c r="R116" s="117" t="str">
        <x:v>Asset Check in Type</x:v>
      </x:c>
      <x:c r="S116" s="119"/>
    </x:row>
    <x:row r="117" ht="30" customHeight="1">
      <x:c r="A117" s="117" t="str">
        <x:v>Asset_Check_in_Type</x:v>
      </x:c>
      <x:c r="B117" s="117" t="str">
        <x:v>300Ro00000OMkxeIAD</x:v>
      </x:c>
      <x:c r="C117" s="117" t="str">
        <x:v>301Ro00000QsXUfIAN</x:v>
      </x:c>
      <x:c r="D117" s="118" t="n">
        <x:v>4</x:v>
      </x:c>
      <x:c r="E117" s="117" t="str">
        <x:v>Obsolete</x:v>
      </x:c>
      <x:c r="F117" s="117" t="str">
        <x:v>No</x:v>
      </x:c>
      <x:c r="G117" s="117" t="str">
        <x:v>No</x:v>
      </x:c>
      <x:c r="H117" s="117" t="str">
        <x:v>AutoLaunchedFlow</x:v>
      </x:c>
      <x:c r="I117" s="118" t="n">
        <x:v>62</x:v>
      </x:c>
      <x:c r="J117" s="117" t="str">
        <x:v>unmanaged</x:v>
      </x:c>
      <x:c r="K117" s="123" t="b">
        <x:v>0</x:v>
      </x:c>
      <x:c r="L117" s="117"/>
      <x:c r="M117" s="118"/>
      <x:c r="N117" s="120" t="n">
        <x:v>45646.61880787037</x:v>
      </x:c>
      <x:c r="O117" s="117" t="str">
        <x:v>Delegate</x:v>
      </x:c>
      <x:c r="P117" s="120" t="n">
        <x:v>45646.61908564815</x:v>
      </x:c>
      <x:c r="Q117" s="117" t="str">
        <x:v>Delegate</x:v>
      </x:c>
      <x:c r="R117" s="117" t="str">
        <x:v>Asset Check in Type</x:v>
      </x:c>
      <x:c r="S117" s="119"/>
    </x:row>
    <x:row r="118" ht="30" customHeight="1">
      <x:c r="A118" s="117" t="str">
        <x:v>Asset_Check_in_Type</x:v>
      </x:c>
      <x:c r="B118" s="117" t="str">
        <x:v>300Ro00000OMkxeIAD</x:v>
      </x:c>
      <x:c r="C118" s="117" t="str">
        <x:v>301Ro00000QsXrFIAV</x:v>
      </x:c>
      <x:c r="D118" s="118" t="n">
        <x:v>5</x:v>
      </x:c>
      <x:c r="E118" s="117" t="str">
        <x:v>Obsolete</x:v>
      </x:c>
      <x:c r="F118" s="117" t="str">
        <x:v>No</x:v>
      </x:c>
      <x:c r="G118" s="117" t="str">
        <x:v>No</x:v>
      </x:c>
      <x:c r="H118" s="117" t="str">
        <x:v>AutoLaunchedFlow</x:v>
      </x:c>
      <x:c r="I118" s="118" t="n">
        <x:v>62</x:v>
      </x:c>
      <x:c r="J118" s="117" t="str">
        <x:v>unmanaged</x:v>
      </x:c>
      <x:c r="K118" s="123" t="b">
        <x:v>0</x:v>
      </x:c>
      <x:c r="L118" s="117"/>
      <x:c r="M118" s="118"/>
      <x:c r="N118" s="120" t="n">
        <x:v>45646.62019675926</x:v>
      </x:c>
      <x:c r="O118" s="117" t="str">
        <x:v>Delegate</x:v>
      </x:c>
      <x:c r="P118" s="120" t="n">
        <x:v>45646.620254629626</x:v>
      </x:c>
      <x:c r="Q118" s="117" t="str">
        <x:v>Delegate</x:v>
      </x:c>
      <x:c r="R118" s="117" t="str">
        <x:v>Asset Check in Type</x:v>
      </x:c>
      <x:c r="S118" s="119"/>
    </x:row>
    <x:row r="119" ht="30" customHeight="1">
      <x:c r="A119" s="117" t="str">
        <x:v>Asset_Check_in_Type</x:v>
      </x:c>
      <x:c r="B119" s="117" t="str">
        <x:v>300Ro00000OMkxeIAD</x:v>
      </x:c>
      <x:c r="C119" s="117" t="str">
        <x:v>301Ro00000RKQzuIAH</x:v>
      </x:c>
      <x:c r="D119" s="118" t="n">
        <x:v>6</x:v>
      </x:c>
      <x:c r="E119" s="117" t="str">
        <x:v>Obsolete</x:v>
      </x:c>
      <x:c r="F119" s="117" t="str">
        <x:v>No</x:v>
      </x:c>
      <x:c r="G119" s="117" t="str">
        <x:v>No</x:v>
      </x:c>
      <x:c r="H119" s="117" t="str">
        <x:v>AutoLaunchedFlow</x:v>
      </x:c>
      <x:c r="I119" s="118" t="n">
        <x:v>62</x:v>
      </x:c>
      <x:c r="J119" s="117" t="str">
        <x:v>unmanaged</x:v>
      </x:c>
      <x:c r="K119" s="123" t="b">
        <x:v>0</x:v>
      </x:c>
      <x:c r="L119" s="117"/>
      <x:c r="M119" s="118"/>
      <x:c r="N119" s="120" t="n">
        <x:v>45656.99644675926</x:v>
      </x:c>
      <x:c r="O119" s="117" t="str">
        <x:v>Jace Gentil</x:v>
      </x:c>
      <x:c r="P119" s="120" t="n">
        <x:v>45656.9965625</x:v>
      </x:c>
      <x:c r="Q119" s="117" t="str">
        <x:v>Jace Gentil</x:v>
      </x:c>
      <x:c r="R119" s="117" t="str">
        <x:v>Asset Check in Type</x:v>
      </x:c>
      <x:c r="S119" s="119"/>
    </x:row>
    <x:row r="120" ht="30" customHeight="1">
      <x:c r="A120" s="117" t="str">
        <x:v>Asset_Check_in_Type</x:v>
      </x:c>
      <x:c r="B120" s="117" t="str">
        <x:v>300Ro00000OMkxeIAD</x:v>
      </x:c>
      <x:c r="C120" s="117" t="str">
        <x:v>301Ro00000RKpA6IAL</x:v>
      </x:c>
      <x:c r="D120" s="118" t="n">
        <x:v>7</x:v>
      </x:c>
      <x:c r="E120" s="117" t="str">
        <x:v>Obsolete</x:v>
      </x:c>
      <x:c r="F120" s="117" t="str">
        <x:v>No</x:v>
      </x:c>
      <x:c r="G120" s="117" t="str">
        <x:v>No</x:v>
      </x:c>
      <x:c r="H120" s="117" t="str">
        <x:v>AutoLaunchedFlow</x:v>
      </x:c>
      <x:c r="I120" s="118" t="n">
        <x:v>62</x:v>
      </x:c>
      <x:c r="J120" s="117" t="str">
        <x:v>unmanaged</x:v>
      </x:c>
      <x:c r="K120" s="123" t="b">
        <x:v>0</x:v>
      </x:c>
      <x:c r="L120" s="117"/>
      <x:c r="M120" s="118"/>
      <x:c r="N120" s="120" t="n">
        <x:v>45657.007881944446</x:v>
      </x:c>
      <x:c r="O120" s="117" t="str">
        <x:v>Jace Gentil</x:v>
      </x:c>
      <x:c r="P120" s="120" t="n">
        <x:v>45657.00792824074</x:v>
      </x:c>
      <x:c r="Q120" s="117" t="str">
        <x:v>Jace Gentil</x:v>
      </x:c>
      <x:c r="R120" s="117" t="str">
        <x:v>Asset Check in Type</x:v>
      </x:c>
      <x:c r="S120" s="119"/>
    </x:row>
    <x:row r="121" ht="30" customHeight="1">
      <x:c r="A121" s="117" t="str">
        <x:v>Asset_Check_in_Type</x:v>
      </x:c>
      <x:c r="B121" s="117" t="str">
        <x:v>300Ro00000OMkxeIAD</x:v>
      </x:c>
      <x:c r="C121" s="117" t="str">
        <x:v>301Ro00000RN7KdIAL</x:v>
      </x:c>
      <x:c r="D121" s="118" t="n">
        <x:v>8</x:v>
      </x:c>
      <x:c r="E121" s="117" t="str">
        <x:v>Active</x:v>
      </x:c>
      <x:c r="F121" s="117" t="str">
        <x:v>Yes</x:v>
      </x:c>
      <x:c r="G121" s="117" t="str">
        <x:v>Yes</x:v>
      </x:c>
      <x:c r="H121" s="117" t="str">
        <x:v>AutoLaunchedFlow</x:v>
      </x:c>
      <x:c r="I121" s="118" t="n">
        <x:v>62</x:v>
      </x:c>
      <x:c r="J121" s="117" t="str">
        <x:v>unmanaged</x:v>
      </x:c>
      <x:c r="K121" s="123" t="b">
        <x:v>0</x:v>
      </x:c>
      <x:c r="L121" s="117"/>
      <x:c r="M121" s="118"/>
      <x:c r="N121" s="120" t="n">
        <x:v>45657.721712962964</x:v>
      </x:c>
      <x:c r="O121" s="117" t="str">
        <x:v>Delegate</x:v>
      </x:c>
      <x:c r="P121" s="120" t="n">
        <x:v>45657.72207175926</x:v>
      </x:c>
      <x:c r="Q121" s="117" t="str">
        <x:v>Delegate</x:v>
      </x:c>
      <x:c r="R121" s="117" t="str">
        <x:v>Asset Check in Type</x:v>
      </x:c>
      <x:c r="S121" s="119"/>
    </x:row>
    <x:row r="122" ht="30" customHeight="1">
      <x:c r="A122" s="117" t="str">
        <x:v>Asset_Creation_After_Save_Update_Product_Analytics</x:v>
      </x:c>
      <x:c r="B122" s="117" t="str">
        <x:v>300Ro00000xhuucIAA</x:v>
      </x:c>
      <x:c r="C122" s="117" t="str">
        <x:v>301Ro000015wkLwIAI</x:v>
      </x:c>
      <x:c r="D122" s="118" t="n">
        <x:v>1</x:v>
      </x:c>
      <x:c r="E122" s="117" t="str">
        <x:v>Obsolete</x:v>
      </x:c>
      <x:c r="F122" s="117" t="str">
        <x:v>No</x:v>
      </x:c>
      <x:c r="G122" s="117" t="str">
        <x:v>No</x:v>
      </x:c>
      <x:c r="H122" s="117" t="str">
        <x:v>AutoLaunchedFlow</x:v>
      </x:c>
      <x:c r="I122" s="118" t="n">
        <x:v>66</x:v>
      </x:c>
      <x:c r="J122" s="117" t="str">
        <x:v>unmanaged</x:v>
      </x:c>
      <x:c r="K122" s="123" t="b">
        <x:v>0</x:v>
      </x:c>
      <x:c r="L122" s="117"/>
      <x:c r="M122" s="118"/>
      <x:c r="N122" s="120" t="n">
        <x:v>46160.445243055554</x:v>
      </x:c>
      <x:c r="O122" s="117" t="str">
        <x:v>Sacha Pearce</x:v>
      </x:c>
      <x:c r="P122" s="120" t="n">
        <x:v>46160.4453125</x:v>
      </x:c>
      <x:c r="Q122" s="117" t="str">
        <x:v>Sacha Pearce</x:v>
      </x:c>
      <x:c r="R122" s="117" t="str">
        <x:v>Asset - Creation - After Save - Update Product Analytics</x:v>
      </x:c>
      <x:c r="S122" s="119"/>
    </x:row>
    <x:row r="123" ht="30" customHeight="1">
      <x:c r="A123" s="117" t="str">
        <x:v>Asset_Creation_After_Save_Update_Product_Analytics</x:v>
      </x:c>
      <x:c r="B123" s="117" t="str">
        <x:v>300Ro00000xhuucIAA</x:v>
      </x:c>
      <x:c r="C123" s="117" t="str">
        <x:v>301Ro000015wb74IAA</x:v>
      </x:c>
      <x:c r="D123" s="118" t="n">
        <x:v>2</x:v>
      </x:c>
      <x:c r="E123" s="117" t="str">
        <x:v>Active</x:v>
      </x:c>
      <x:c r="F123" s="117" t="str">
        <x:v>Yes</x:v>
      </x:c>
      <x:c r="G123" s="117" t="str">
        <x:v>Yes</x:v>
      </x:c>
      <x:c r="H123" s="117" t="str">
        <x:v>AutoLaunchedFlow</x:v>
      </x:c>
      <x:c r="I123" s="118" t="n">
        <x:v>66</x:v>
      </x:c>
      <x:c r="J123" s="117" t="str">
        <x:v>unmanaged</x:v>
      </x:c>
      <x:c r="K123" s="123" t="b">
        <x:v>0</x:v>
      </x:c>
      <x:c r="L123" s="117"/>
      <x:c r="M123" s="118"/>
      <x:c r="N123" s="120" t="n">
        <x:v>46160.44645833333</x:v>
      </x:c>
      <x:c r="O123" s="117" t="str">
        <x:v>Sacha Pearce</x:v>
      </x:c>
      <x:c r="P123" s="120" t="n">
        <x:v>46160.4465162037</x:v>
      </x:c>
      <x:c r="Q123" s="117" t="str">
        <x:v>Sacha Pearce</x:v>
      </x:c>
      <x:c r="R123" s="117" t="str">
        <x:v>Asset - Creation - After Save - Update Product Analytics</x:v>
      </x:c>
      <x:c r="S123" s="119" t="str">
        <x:v>18/05/2026 - SP - Updating the Flow to run asynchronously.</x:v>
      </x:c>
    </x:row>
    <x:row r="124" ht="30" customHeight="1">
      <x:c r="A124" s="117" t="str">
        <x:v>Asset_Creation_After_Save_Update_Product_Name</x:v>
      </x:c>
      <x:c r="B124" s="117" t="str">
        <x:v>300Ro00000z1ut3IAA</x:v>
      </x:c>
      <x:c r="C124" s="117" t="str">
        <x:v>301Ro000017Lt50IAC</x:v>
      </x:c>
      <x:c r="D124" s="118" t="n">
        <x:v>1</x:v>
      </x:c>
      <x:c r="E124" s="117" t="str">
        <x:v>Draft</x:v>
      </x:c>
      <x:c r="F124" s="117" t="str">
        <x:v>No</x:v>
      </x:c>
      <x:c r="G124" s="117" t="str">
        <x:v>Yes</x:v>
      </x:c>
      <x:c r="H124" s="117" t="str">
        <x:v>AutoLaunchedFlow</x:v>
      </x:c>
      <x:c r="I124" s="118" t="n">
        <x:v>66</x:v>
      </x:c>
      <x:c r="J124" s="117" t="str">
        <x:v>unmanaged</x:v>
      </x:c>
      <x:c r="K124" s="123" t="b">
        <x:v>0</x:v>
      </x:c>
      <x:c r="L124" s="117"/>
      <x:c r="M124" s="118"/>
      <x:c r="N124" s="120" t="n">
        <x:v>46175.4374537037</x:v>
      </x:c>
      <x:c r="O124" s="117" t="str">
        <x:v>Sacha Pearce</x:v>
      </x:c>
      <x:c r="P124" s="120" t="n">
        <x:v>46175.43746527778</x:v>
      </x:c>
      <x:c r="Q124" s="117" t="str">
        <x:v>Sacha Pearce</x:v>
      </x:c>
      <x:c r="R124" s="117" t="str">
        <x:v>Asset - Creation - After Save - Update Product Name</x:v>
      </x:c>
      <x:c r="S124" s="119"/>
    </x:row>
    <x:row r="125" ht="30" customHeight="1">
      <x:c r="A125" s="117" t="str">
        <x:v>Asset_Creation_Before_Save_Update_Product_Analytics</x:v>
      </x:c>
      <x:c r="B125" s="117" t="str">
        <x:v>300Ro00000xEy5aIAC</x:v>
      </x:c>
      <x:c r="C125" s="117" t="str">
        <x:v>301Ro000015wvKKIAY</x:v>
      </x:c>
      <x:c r="D125" s="118" t="n">
        <x:v>1</x:v>
      </x:c>
      <x:c r="E125" s="117" t="str">
        <x:v>Draft</x:v>
      </x:c>
      <x:c r="F125" s="117" t="str">
        <x:v>No</x:v>
      </x:c>
      <x:c r="G125" s="117" t="str">
        <x:v>Yes</x:v>
      </x:c>
      <x:c r="H125" s="117" t="str">
        <x:v>AutoLaunchedFlow</x:v>
      </x:c>
      <x:c r="I125" s="118" t="n">
        <x:v>66</x:v>
      </x:c>
      <x:c r="J125" s="117" t="str">
        <x:v>unmanaged</x:v>
      </x:c>
      <x:c r="K125" s="123" t="b">
        <x:v>0</x:v>
      </x:c>
      <x:c r="L125" s="117"/>
      <x:c r="M125" s="118"/>
      <x:c r="N125" s="120" t="n">
        <x:v>46160.444872685184</x:v>
      </x:c>
      <x:c r="O125" s="117" t="str">
        <x:v>Sacha Pearce</x:v>
      </x:c>
      <x:c r="P125" s="120" t="n">
        <x:v>46160.44489583333</x:v>
      </x:c>
      <x:c r="Q125" s="117" t="str">
        <x:v>Sacha Pearce</x:v>
      </x:c>
      <x:c r="R125" s="117" t="str">
        <x:v>Asset - Creation - Before Save - Update Product Analytics</x:v>
      </x:c>
      <x:c r="S125" s="119"/>
    </x:row>
    <x:row r="126" ht="30" customHeight="1">
      <x:c r="A126" s="117" t="str">
        <x:v>Asset_Has_Files_Automated_Flow</x:v>
      </x:c>
      <x:c r="B126" s="117" t="str">
        <x:v>300Ro00000KVlAaIAL</x:v>
      </x:c>
      <x:c r="C126" s="117" t="str">
        <x:v>301Ro00000MWnDqIAL</x:v>
      </x:c>
      <x:c r="D126" s="118" t="n">
        <x:v>1</x:v>
      </x:c>
      <x:c r="E126" s="117" t="str">
        <x:v>Obsolete</x:v>
      </x:c>
      <x:c r="F126" s="117" t="str">
        <x:v>No</x:v>
      </x:c>
      <x:c r="G126" s="117" t="str">
        <x:v>No</x:v>
      </x:c>
      <x:c r="H126" s="117" t="str">
        <x:v>AutoLaunchedFlow</x:v>
      </x:c>
      <x:c r="I126" s="118" t="n">
        <x:v>61</x:v>
      </x:c>
      <x:c r="J126" s="117" t="str">
        <x:v>unmanaged</x:v>
      </x:c>
      <x:c r="K126" s="123" t="b">
        <x:v>0</x:v>
      </x:c>
      <x:c r="L126" s="117"/>
      <x:c r="M126" s="118"/>
      <x:c r="N126" s="120" t="n">
        <x:v>45573.791400462964</x:v>
      </x:c>
      <x:c r="O126" s="117" t="str">
        <x:v>Jace Gentil</x:v>
      </x:c>
      <x:c r="P126" s="120" t="n">
        <x:v>45573.79351851852</x:v>
      </x:c>
      <x:c r="Q126" s="117" t="str">
        <x:v>Jace Gentil</x:v>
      </x:c>
      <x:c r="R126" s="117" t="str">
        <x:v>Asset Has Files Automated Flow</x:v>
      </x:c>
      <x:c r="S126" s="119"/>
    </x:row>
    <x:row r="127" ht="30" customHeight="1">
      <x:c r="A127" s="117" t="str">
        <x:v>Asset_Has_Files_Automated_Flow</x:v>
      </x:c>
      <x:c r="B127" s="117" t="str">
        <x:v>300Ro00000KVlAaIAL</x:v>
      </x:c>
      <x:c r="C127" s="117" t="str">
        <x:v>301Ro00000MWrpKIAT</x:v>
      </x:c>
      <x:c r="D127" s="118" t="n">
        <x:v>2</x:v>
      </x:c>
      <x:c r="E127" s="117" t="str">
        <x:v>Obsolete</x:v>
      </x:c>
      <x:c r="F127" s="117" t="str">
        <x:v>No</x:v>
      </x:c>
      <x:c r="G127" s="117" t="str">
        <x:v>No</x:v>
      </x:c>
      <x:c r="H127" s="117" t="str">
        <x:v>AutoLaunchedFlow</x:v>
      </x:c>
      <x:c r="I127" s="118" t="n">
        <x:v>61</x:v>
      </x:c>
      <x:c r="J127" s="117" t="str">
        <x:v>unmanaged</x:v>
      </x:c>
      <x:c r="K127" s="123" t="b">
        <x:v>0</x:v>
      </x:c>
      <x:c r="L127" s="117"/>
      <x:c r="M127" s="118"/>
      <x:c r="N127" s="120" t="n">
        <x:v>45573.7971875</x:v>
      </x:c>
      <x:c r="O127" s="117" t="str">
        <x:v>Jace Gentil</x:v>
      </x:c>
      <x:c r="P127" s="120" t="n">
        <x:v>45573.79723379629</x:v>
      </x:c>
      <x:c r="Q127" s="117" t="str">
        <x:v>Jace Gentil</x:v>
      </x:c>
      <x:c r="R127" s="117" t="str">
        <x:v>Asset Has Files Automated Flow</x:v>
      </x:c>
      <x:c r="S127" s="119"/>
    </x:row>
    <x:row r="128" ht="30" customHeight="1">
      <x:c r="A128" s="117" t="str">
        <x:v>Asset_Has_Files_Automated_Flow</x:v>
      </x:c>
      <x:c r="B128" s="117" t="str">
        <x:v>300Ro00000KVlAaIAL</x:v>
      </x:c>
      <x:c r="C128" s="117" t="str">
        <x:v>301Ro00000MWsodIAD</x:v>
      </x:c>
      <x:c r="D128" s="118" t="n">
        <x:v>3</x:v>
      </x:c>
      <x:c r="E128" s="117" t="str">
        <x:v>Obsolete</x:v>
      </x:c>
      <x:c r="F128" s="117" t="str">
        <x:v>No</x:v>
      </x:c>
      <x:c r="G128" s="117" t="str">
        <x:v>No</x:v>
      </x:c>
      <x:c r="H128" s="117" t="str">
        <x:v>AutoLaunchedFlow</x:v>
      </x:c>
      <x:c r="I128" s="118" t="n">
        <x:v>61</x:v>
      </x:c>
      <x:c r="J128" s="117" t="str">
        <x:v>unmanaged</x:v>
      </x:c>
      <x:c r="K128" s="123" t="b">
        <x:v>0</x:v>
      </x:c>
      <x:c r="L128" s="117"/>
      <x:c r="M128" s="118"/>
      <x:c r="N128" s="120" t="n">
        <x:v>45573.7996875</x:v>
      </x:c>
      <x:c r="O128" s="117" t="str">
        <x:v>Jace Gentil</x:v>
      </x:c>
      <x:c r="P128" s="120" t="n">
        <x:v>45573.79975694444</x:v>
      </x:c>
      <x:c r="Q128" s="117" t="str">
        <x:v>Jace Gentil</x:v>
      </x:c>
      <x:c r="R128" s="117" t="str">
        <x:v>Asset Has Files Automated Flow</x:v>
      </x:c>
      <x:c r="S128" s="119"/>
    </x:row>
    <x:row r="129" ht="30" customHeight="1">
      <x:c r="A129" s="117" t="str">
        <x:v>Asset_Has_Files_Automated_Flow</x:v>
      </x:c>
      <x:c r="B129" s="117" t="str">
        <x:v>300Ro00000KVlAaIAL</x:v>
      </x:c>
      <x:c r="C129" s="117" t="str">
        <x:v>301Ro00000MWWRiIAP</x:v>
      </x:c>
      <x:c r="D129" s="118" t="n">
        <x:v>4</x:v>
      </x:c>
      <x:c r="E129" s="117" t="str">
        <x:v>Obsolete</x:v>
      </x:c>
      <x:c r="F129" s="117" t="str">
        <x:v>No</x:v>
      </x:c>
      <x:c r="G129" s="117" t="str">
        <x:v>No</x:v>
      </x:c>
      <x:c r="H129" s="117" t="str">
        <x:v>AutoLaunchedFlow</x:v>
      </x:c>
      <x:c r="I129" s="118" t="n">
        <x:v>61</x:v>
      </x:c>
      <x:c r="J129" s="117" t="str">
        <x:v>unmanaged</x:v>
      </x:c>
      <x:c r="K129" s="123" t="b">
        <x:v>0</x:v>
      </x:c>
      <x:c r="L129" s="117"/>
      <x:c r="M129" s="118"/>
      <x:c r="N129" s="120" t="n">
        <x:v>45573.80116898148</x:v>
      </x:c>
      <x:c r="O129" s="117" t="str">
        <x:v>Jace Gentil</x:v>
      </x:c>
      <x:c r="P129" s="120" t="n">
        <x:v>45573.801203703704</x:v>
      </x:c>
      <x:c r="Q129" s="117" t="str">
        <x:v>Jace Gentil</x:v>
      </x:c>
      <x:c r="R129" s="117" t="str">
        <x:v>Asset Has Files Automated Flow</x:v>
      </x:c>
      <x:c r="S129" s="119"/>
    </x:row>
    <x:row r="130" ht="30" customHeight="1">
      <x:c r="A130" s="117" t="str">
        <x:v>Asset_Has_Files_Automated_Flow</x:v>
      </x:c>
      <x:c r="B130" s="117" t="str">
        <x:v>300Ro00000KVlAaIAL</x:v>
      </x:c>
      <x:c r="C130" s="117" t="str">
        <x:v>301Ro00000MWduWIAT</x:v>
      </x:c>
      <x:c r="D130" s="118" t="n">
        <x:v>5</x:v>
      </x:c>
      <x:c r="E130" s="117" t="str">
        <x:v>Obsolete</x:v>
      </x:c>
      <x:c r="F130" s="117" t="str">
        <x:v>No</x:v>
      </x:c>
      <x:c r="G130" s="117" t="str">
        <x:v>Yes</x:v>
      </x:c>
      <x:c r="H130" s="117" t="str">
        <x:v>AutoLaunchedFlow</x:v>
      </x:c>
      <x:c r="I130" s="118" t="n">
        <x:v>61</x:v>
      </x:c>
      <x:c r="J130" s="117" t="str">
        <x:v>unmanaged</x:v>
      </x:c>
      <x:c r="K130" s="123" t="b">
        <x:v>0</x:v>
      </x:c>
      <x:c r="L130" s="117"/>
      <x:c r="M130" s="118"/>
      <x:c r="N130" s="120" t="n">
        <x:v>45573.801666666666</x:v>
      </x:c>
      <x:c r="O130" s="117" t="str">
        <x:v>Jace Gentil</x:v>
      </x:c>
      <x:c r="P130" s="120" t="n">
        <x:v>45586.61719907408</x:v>
      </x:c>
      <x:c r="Q130" s="117" t="str">
        <x:v>Jace Gentil</x:v>
      </x:c>
      <x:c r="R130" s="117" t="str">
        <x:v>Asset Has Files Automated Flow</x:v>
      </x:c>
      <x:c r="S130" s="119"/>
    </x:row>
    <x:row r="131" ht="30" customHeight="1">
      <x:c r="A131" s="117" t="str">
        <x:v>Asset_Update_After_Save_Set_Product_Analytics_on_Product_Name_Change</x:v>
      </x:c>
      <x:c r="B131" s="117" t="str">
        <x:v>300Ro00000xFCRyIAO</x:v>
      </x:c>
      <x:c r="C131" s="117" t="str">
        <x:v>301Ro000015R8XcIAK</x:v>
      </x:c>
      <x:c r="D131" s="118" t="n">
        <x:v>1</x:v>
      </x:c>
      <x:c r="E131" s="117" t="str">
        <x:v>Obsolete</x:v>
      </x:c>
      <x:c r="F131" s="117" t="str">
        <x:v>No</x:v>
      </x:c>
      <x:c r="G131" s="117" t="str">
        <x:v>No</x:v>
      </x:c>
      <x:c r="H131" s="117" t="str">
        <x:v>AutoLaunchedFlow</x:v>
      </x:c>
      <x:c r="I131" s="118" t="n">
        <x:v>66</x:v>
      </x:c>
      <x:c r="J131" s="117" t="str">
        <x:v>unmanaged</x:v>
      </x:c>
      <x:c r="K131" s="123" t="b">
        <x:v>0</x:v>
      </x:c>
      <x:c r="L131" s="117"/>
      <x:c r="M131" s="118"/>
      <x:c r="N131" s="120" t="n">
        <x:v>46154.58763888889</x:v>
      </x:c>
      <x:c r="O131" s="117" t="str">
        <x:v>Sacha Pearce</x:v>
      </x:c>
      <x:c r="P131" s="120" t="n">
        <x:v>46160.43398148148</x:v>
      </x:c>
      <x:c r="Q131" s="117" t="str">
        <x:v>Sacha Pearce</x:v>
      </x:c>
      <x:c r="R131" s="117" t="str">
        <x:v>Asset - Update - After Save - Set Product Analytics on Product Name Change</x:v>
      </x:c>
      <x:c r="S131" s="119"/>
    </x:row>
    <x:row r="132" ht="30" customHeight="1">
      <x:c r="A132" s="117" t="str">
        <x:v>Asset_Update_After_Save_Set_Product_Analytics_on_Product_Name_Change</x:v>
      </x:c>
      <x:c r="B132" s="117" t="str">
        <x:v>300Ro00000xFCRyIAO</x:v>
      </x:c>
      <x:c r="C132" s="117" t="str">
        <x:v>301Ro000017SvlCIAS</x:v>
      </x:c>
      <x:c r="D132" s="118" t="n">
        <x:v>2</x:v>
      </x:c>
      <x:c r="E132" s="117" t="str">
        <x:v>Active</x:v>
      </x:c>
      <x:c r="F132" s="117" t="str">
        <x:v>Yes</x:v>
      </x:c>
      <x:c r="G132" s="117" t="str">
        <x:v>Yes</x:v>
      </x:c>
      <x:c r="H132" s="117" t="str">
        <x:v>AutoLaunchedFlow</x:v>
      </x:c>
      <x:c r="I132" s="118" t="n">
        <x:v>66</x:v>
      </x:c>
      <x:c r="J132" s="117" t="str">
        <x:v>unmanaged</x:v>
      </x:c>
      <x:c r="K132" s="123" t="b">
        <x:v>0</x:v>
      </x:c>
      <x:c r="L132" s="117"/>
      <x:c r="M132" s="118"/>
      <x:c r="N132" s="120" t="n">
        <x:v>46176.320289351854</x:v>
      </x:c>
      <x:c r="O132" s="117" t="str">
        <x:v>Sacha Pearce</x:v>
      </x:c>
      <x:c r="P132" s="120" t="n">
        <x:v>46176.320381944446</x:v>
      </x:c>
      <x:c r="Q132" s="117" t="str">
        <x:v>Sacha Pearce</x:v>
      </x:c>
      <x:c r="R132" s="117" t="str">
        <x:v>Asset - Update - After Save - Set Product Analytics on Product Name Change</x:v>
      </x:c>
      <x:c r="S132" s="119" t="str">
        <x:v>03/06/2026 - SP - Updating the Flow to run asynchronously to help avoid SOQL limits being reached</x:v>
      </x:c>
    </x:row>
    <x:row r="133" ht="30" customHeight="1">
      <x:c r="A133" s="117" t="str">
        <x:v>Assign_Lead_Owner</x:v>
      </x:c>
      <x:c r="B133" s="117" t="str">
        <x:v>3000B0000008l32QAA</x:v>
      </x:c>
      <x:c r="C133" s="117" t="str">
        <x:v>3010B00000099pIQAQ</x:v>
      </x:c>
      <x:c r="D133" s="118" t="n">
        <x:v>3</x:v>
      </x:c>
      <x:c r="E133" s="117" t="str">
        <x:v>Obsolete</x:v>
      </x:c>
      <x:c r="F133" s="117" t="str">
        <x:v>No</x:v>
      </x:c>
      <x:c r="G133" s="117" t="str">
        <x:v>No</x:v>
      </x:c>
      <x:c r="H133" s="117" t="str">
        <x:v>Workflow</x:v>
      </x:c>
      <x:c r="I133" s="118"/>
      <x:c r="J133" s="117" t="str">
        <x:v>unmanaged</x:v>
      </x:c>
      <x:c r="K133" s="123" t="b">
        <x:v>0</x:v>
      </x:c>
      <x:c r="L133" s="117"/>
      <x:c r="M133" s="118"/>
      <x:c r="N133" s="120" t="n">
        <x:v>43312.748923611114</x:v>
      </x:c>
      <x:c r="O133" s="117" t="str">
        <x:v>Zach Wills</x:v>
      </x:c>
      <x:c r="P133" s="120" t="n">
        <x:v>43755.24103009259</x:v>
      </x:c>
      <x:c r="Q133" s="117" t="str">
        <x:v>Jim Bartek</x:v>
      </x:c>
      <x:c r="R133" s="117" t="str">
        <x:v>Assign Lead Owner</x:v>
      </x:c>
      <x:c r="S133" s="119" t="str">
        <x:v>Assigns New Lead to Already Exisitng Contact Owner</x:v>
      </x:c>
    </x:row>
    <x:row r="134" ht="30" customHeight="1">
      <x:c r="A134" s="117" t="str">
        <x:v>Assign_Lead_Owner</x:v>
      </x:c>
      <x:c r="B134" s="117" t="str">
        <x:v>3000B0000008l32QAA</x:v>
      </x:c>
      <x:c r="C134" s="117" t="str">
        <x:v>3014O00000053eYQAQ</x:v>
      </x:c>
      <x:c r="D134" s="118" t="n">
        <x:v>4</x:v>
      </x:c>
      <x:c r="E134" s="117" t="str">
        <x:v>Draft</x:v>
      </x:c>
      <x:c r="F134" s="117" t="str">
        <x:v>No</x:v>
      </x:c>
      <x:c r="G134" s="117" t="str">
        <x:v>Yes</x:v>
      </x:c>
      <x:c r="H134" s="117" t="str">
        <x:v>Workflow</x:v>
      </x:c>
      <x:c r="I134" s="118"/>
      <x:c r="J134" s="117" t="str">
        <x:v>unmanaged</x:v>
      </x:c>
      <x:c r="K134" s="123" t="b">
        <x:v>0</x:v>
      </x:c>
      <x:c r="L134" s="117"/>
      <x:c r="M134" s="118"/>
      <x:c r="N134" s="120" t="n">
        <x:v>43571.53203703704</x:v>
      </x:c>
      <x:c r="O134" s="117" t="str">
        <x:v>Jace Gentil</x:v>
      </x:c>
      <x:c r="P134" s="120" t="n">
        <x:v>43571.53203703704</x:v>
      </x:c>
      <x:c r="Q134" s="117" t="str">
        <x:v>Jace Gentil</x:v>
      </x:c>
      <x:c r="R134" s="117" t="str">
        <x:v>Assign Lead Owner</x:v>
      </x:c>
      <x:c r="S134" s="119" t="str">
        <x:v>Assigns New Lead to Already Exisitng Contact Owner</x:v>
      </x:c>
    </x:row>
    <x:row r="135" ht="30" customHeight="1">
      <x:c r="A135" s="117" t="str">
        <x:v>Assign_Lead_Owner_Account_Name_Company</x:v>
      </x:c>
      <x:c r="B135" s="117" t="str">
        <x:v>3000B0000008lA3QAI</x:v>
      </x:c>
      <x:c r="C135" s="117" t="str">
        <x:v>3010B00000099wEQAQ</x:v>
      </x:c>
      <x:c r="D135" s="118" t="n">
        <x:v>1</x:v>
      </x:c>
      <x:c r="E135" s="117" t="str">
        <x:v>Obsolete</x:v>
      </x:c>
      <x:c r="F135" s="117" t="str">
        <x:v>No</x:v>
      </x:c>
      <x:c r="G135" s="117" t="str">
        <x:v>Yes</x:v>
      </x:c>
      <x:c r="H135" s="117" t="str">
        <x:v>Workflow</x:v>
      </x:c>
      <x:c r="I135" s="118"/>
      <x:c r="J135" s="117" t="str">
        <x:v>unmanaged</x:v>
      </x:c>
      <x:c r="K135" s="123" t="b">
        <x:v>0</x:v>
      </x:c>
      <x:c r="L135" s="117"/>
      <x:c r="M135" s="118"/>
      <x:c r="N135" s="120" t="n">
        <x:v>43314.67328703704</x:v>
      </x:c>
      <x:c r="O135" s="117" t="str">
        <x:v>Zach Wills</x:v>
      </x:c>
      <x:c r="P135" s="120" t="n">
        <x:v>43755.241122685184</x:v>
      </x:c>
      <x:c r="Q135" s="117" t="str">
        <x:v>Jim Bartek</x:v>
      </x:c>
      <x:c r="R135" s="117" t="str">
        <x:v>Assign Lead Owner - Account Name/Company</x:v>
      </x:c>
      <x:c r="S135" s="119" t="str">
        <x:v>Checks if lead exists in salesforce via account name/company, then assigns to contact owner</x:v>
      </x:c>
    </x:row>
    <x:row r="136" ht="30" customHeight="1">
      <x:c r="A136" s="117" t="str">
        <x:v>Assign_Lead_Owner_Phone</x:v>
      </x:c>
      <x:c r="B136" s="117" t="str">
        <x:v>3000B0000008l9yQAA</x:v>
      </x:c>
      <x:c r="C136" s="117" t="str">
        <x:v>3010B00000099vzQAA</x:v>
      </x:c>
      <x:c r="D136" s="118" t="n">
        <x:v>1</x:v>
      </x:c>
      <x:c r="E136" s="117" t="str">
        <x:v>Obsolete</x:v>
      </x:c>
      <x:c r="F136" s="117" t="str">
        <x:v>No</x:v>
      </x:c>
      <x:c r="G136" s="117" t="str">
        <x:v>Yes</x:v>
      </x:c>
      <x:c r="H136" s="117" t="str">
        <x:v>Workflow</x:v>
      </x:c>
      <x:c r="I136" s="118"/>
      <x:c r="J136" s="117" t="str">
        <x:v>unmanaged</x:v>
      </x:c>
      <x:c r="K136" s="123" t="b">
        <x:v>0</x:v>
      </x:c>
      <x:c r="L136" s="117"/>
      <x:c r="M136" s="118"/>
      <x:c r="N136" s="120" t="n">
        <x:v>43314.67071759259</x:v>
      </x:c>
      <x:c r="O136" s="117" t="str">
        <x:v>Zach Wills</x:v>
      </x:c>
      <x:c r="P136" s="120" t="n">
        <x:v>43755.241215277776</x:v>
      </x:c>
      <x:c r="Q136" s="117" t="str">
        <x:v>Jim Bartek</x:v>
      </x:c>
      <x:c r="R136" s="117" t="str">
        <x:v>Assign Lead Owner - Phone</x:v>
      </x:c>
      <x:c r="S136" s="119" t="str">
        <x:v>Checks if lead exists in salesforce via phone then assigns to contact owner</x:v>
      </x:c>
    </x:row>
    <x:row r="137" ht="30" customHeight="1">
      <x:c r="A137" s="117" t="str">
        <x:v>Assigned_Resource_Create_OR_Update_Service_Event</x:v>
      </x:c>
      <x:c r="B137" s="117" t="str">
        <x:v>300Ro00000SgtMZIAZ</x:v>
      </x:c>
      <x:c r="C137" s="117" t="str">
        <x:v>301Ro00000VgUuNIAV</x:v>
      </x:c>
      <x:c r="D137" s="118" t="n">
        <x:v>1</x:v>
      </x:c>
      <x:c r="E137" s="117" t="str">
        <x:v>Obsolete</x:v>
      </x:c>
      <x:c r="F137" s="117" t="str">
        <x:v>No</x:v>
      </x:c>
      <x:c r="G137" s="117" t="str">
        <x:v>No</x:v>
      </x:c>
      <x:c r="H137" s="117" t="str">
        <x:v>AutoLaunchedFlow</x:v>
      </x:c>
      <x:c r="I137" s="118" t="n">
        <x:v>63</x:v>
      </x:c>
      <x:c r="J137" s="117" t="str">
        <x:v>unmanaged</x:v>
      </x:c>
      <x:c r="K137" s="123" t="b">
        <x:v>0</x:v>
      </x:c>
      <x:c r="L137" s="117"/>
      <x:c r="M137" s="118"/>
      <x:c r="N137" s="120" t="n">
        <x:v>45730.77042824074</x:v>
      </x:c>
      <x:c r="O137" s="117" t="str">
        <x:v>Delegate</x:v>
      </x:c>
      <x:c r="P137" s="120" t="n">
        <x:v>45730.777280092596</x:v>
      </x:c>
      <x:c r="Q137" s="117" t="str">
        <x:v>Delegate</x:v>
      </x:c>
      <x:c r="R137" s="117" t="str">
        <x:v>Assigned Resource - Create OR Update Service Event</x:v>
      </x:c>
      <x:c r="S137" s="119" t="str">
        <x:v>03/12/2025 - Kyle/Delegate - Updates to original "Create Service Calendar Event from Service Resource - UK" Flow
03/13/2025 - Kyle/Delegate - V2 Email Action removed
03/13/2025 = K/D - v3 accounts for all outcomes</x:v>
      </x:c>
    </x:row>
    <x:row r="138" ht="30" customHeight="1">
      <x:c r="A138" s="117" t="str">
        <x:v>Assigned_Resource_Create_OR_Update_Service_Event</x:v>
      </x:c>
      <x:c r="B138" s="117" t="str">
        <x:v>300Ro00000SgtMZIAZ</x:v>
      </x:c>
      <x:c r="C138" s="117" t="str">
        <x:v>301Ro00000Vtl2uIAB</x:v>
      </x:c>
      <x:c r="D138" s="118" t="n">
        <x:v>2</x:v>
      </x:c>
      <x:c r="E138" s="117" t="str">
        <x:v>Obsolete</x:v>
      </x:c>
      <x:c r="F138" s="117" t="str">
        <x:v>No</x:v>
      </x:c>
      <x:c r="G138" s="117" t="str">
        <x:v>No</x:v>
      </x:c>
      <x:c r="H138" s="117" t="str">
        <x:v>AutoLaunchedFlow</x:v>
      </x:c>
      <x:c r="I138" s="118" t="n">
        <x:v>63</x:v>
      </x:c>
      <x:c r="J138" s="117" t="str">
        <x:v>unmanaged</x:v>
      </x:c>
      <x:c r="K138" s="123" t="b">
        <x:v>0</x:v>
      </x:c>
      <x:c r="L138" s="117"/>
      <x:c r="M138" s="118"/>
      <x:c r="N138" s="120" t="n">
        <x:v>45735.150347222225</x:v>
      </x:c>
      <x:c r="O138" s="117" t="str">
        <x:v>Delegate</x:v>
      </x:c>
      <x:c r="P138" s="120" t="n">
        <x:v>45735.545694444445</x:v>
      </x:c>
      <x:c r="Q138" s="117" t="str">
        <x:v>Delegate</x:v>
      </x:c>
      <x:c r="R138" s="117" t="str">
        <x:v>Assigned Resource - Create OR Update Service Event</x:v>
      </x:c>
      <x:c r="S138" s="119" t="str">
        <x:v>03/14/2025 - Kyle/Delegate - Updates to original "Create Service Calendar Event from Service Resource - UK" Flow
03/18/2025 - Kyle/Delegate - Error handle for invitee</x:v>
      </x:c>
    </x:row>
    <x:row r="139" ht="30" customHeight="1">
      <x:c r="A139" s="117" t="str">
        <x:v>Assigned_Resource_Create_OR_Update_Service_Event</x:v>
      </x:c>
      <x:c r="B139" s="117" t="str">
        <x:v>300Ro00000SgtMZIAZ</x:v>
      </x:c>
      <x:c r="C139" s="117" t="str">
        <x:v>301Ro00000VvigqIAB</x:v>
      </x:c>
      <x:c r="D139" s="118" t="n">
        <x:v>3</x:v>
      </x:c>
      <x:c r="E139" s="117" t="str">
        <x:v>Obsolete</x:v>
      </x:c>
      <x:c r="F139" s="117" t="str">
        <x:v>No</x:v>
      </x:c>
      <x:c r="G139" s="117" t="str">
        <x:v>No</x:v>
      </x:c>
      <x:c r="H139" s="117" t="str">
        <x:v>AutoLaunchedFlow</x:v>
      </x:c>
      <x:c r="I139" s="118" t="n">
        <x:v>63</x:v>
      </x:c>
      <x:c r="J139" s="117" t="str">
        <x:v>unmanaged</x:v>
      </x:c>
      <x:c r="K139" s="123" t="b">
        <x:v>0</x:v>
      </x:c>
      <x:c r="L139" s="117"/>
      <x:c r="M139" s="118"/>
      <x:c r="N139" s="120" t="n">
        <x:v>45735.721041666664</x:v>
      </x:c>
      <x:c r="O139" s="117" t="str">
        <x:v>Delegate</x:v>
      </x:c>
      <x:c r="P139" s="120" t="n">
        <x:v>45735.72111111111</x:v>
      </x:c>
      <x:c r="Q139" s="117" t="str">
        <x:v>Delegate</x:v>
      </x:c>
      <x:c r="R139" s="117" t="str">
        <x:v>Assigned Resource - Create OR Update Service Event</x:v>
      </x:c>
      <x:c r="S139" s="119" t="str">
        <x:v>03/14/2025 - Kyle/Delegate - Updates to original "Create Service Calendar Event from Service Resource - UK" Flow
03/18/2025 - Kyle/Delegate - Error handle for invitee
03/19/2025 - Swapped updated eventrelation to delete eventrelation</x:v>
      </x:c>
    </x:row>
    <x:row r="140" ht="30" customHeight="1">
      <x:c r="A140" s="117" t="str">
        <x:v>Assigned_Resource_Create_OR_Update_Service_Event</x:v>
      </x:c>
      <x:c r="B140" s="117" t="str">
        <x:v>300Ro00000SgtMZIAZ</x:v>
      </x:c>
      <x:c r="C140" s="117" t="str">
        <x:v>301Ro00000Y7a82IAB</x:v>
      </x:c>
      <x:c r="D140" s="118" t="n">
        <x:v>4</x:v>
      </x:c>
      <x:c r="E140" s="117" t="str">
        <x:v>Obsolete</x:v>
      </x:c>
      <x:c r="F140" s="117" t="str">
        <x:v>No</x:v>
      </x:c>
      <x:c r="G140" s="117" t="str">
        <x:v>No</x:v>
      </x:c>
      <x:c r="H140" s="117" t="str">
        <x:v>AutoLaunchedFlow</x:v>
      </x:c>
      <x:c r="I140" s="118" t="n">
        <x:v>63</x:v>
      </x:c>
      <x:c r="J140" s="117" t="str">
        <x:v>unmanaged</x:v>
      </x:c>
      <x:c r="K140" s="123" t="b">
        <x:v>0</x:v>
      </x:c>
      <x:c r="L140" s="117"/>
      <x:c r="M140" s="118"/>
      <x:c r="N140" s="120" t="n">
        <x:v>45775.57449074074</x:v>
      </x:c>
      <x:c r="O140" s="117" t="str">
        <x:v>Delegate</x:v>
      </x:c>
      <x:c r="P140" s="120" t="n">
        <x:v>45775.57921296296</x:v>
      </x:c>
      <x:c r="Q140" s="117" t="str">
        <x:v>Delegate</x:v>
      </x:c>
      <x:c r="R140" s="117" t="str">
        <x:v>Assigned Resource - Create OR Update Service Event</x:v>
      </x:c>
      <x:c r="S140" s="119" t="str">
        <x:v>03/14/2025 - Kyle/Delegate - Updates to original "Create Service Calendar Event from Service Resource - UK" Flow
03/18/2025 - Kyle/Delegate - Error handle for invitee
03/19/2025 - Swapped updated eventrelation to delete eventrelation
04/28/2025 - Error handling on AR relation</x:v>
      </x:c>
    </x:row>
    <x:row r="141" ht="30" customHeight="1">
      <x:c r="A141" s="117" t="str">
        <x:v>Assigned_Resource_Create_OR_Update_Service_Event</x:v>
      </x:c>
      <x:c r="B141" s="117" t="str">
        <x:v>300Ro00000SgtMZIAZ</x:v>
      </x:c>
      <x:c r="C141" s="117" t="str">
        <x:v>301Ro00000tnTFhIAM</x:v>
      </x:c>
      <x:c r="D141" s="118" t="n">
        <x:v>5</x:v>
      </x:c>
      <x:c r="E141" s="117" t="str">
        <x:v>Obsolete</x:v>
      </x:c>
      <x:c r="F141" s="117" t="str">
        <x:v>No</x:v>
      </x:c>
      <x:c r="G141" s="117" t="str">
        <x:v>No</x:v>
      </x:c>
      <x:c r="H141" s="117" t="str">
        <x:v>AutoLaunchedFlow</x:v>
      </x:c>
      <x:c r="I141" s="118" t="n">
        <x:v>63</x:v>
      </x:c>
      <x:c r="J141" s="117" t="str">
        <x:v>unmanaged</x:v>
      </x:c>
      <x:c r="K141" s="123" t="b">
        <x:v>0</x:v>
      </x:c>
      <x:c r="L141" s="117"/>
      <x:c r="M141" s="118"/>
      <x:c r="N141" s="120" t="n">
        <x:v>46000.60774305555</x:v>
      </x:c>
      <x:c r="O141" s="117" t="str">
        <x:v>Delegate</x:v>
      </x:c>
      <x:c r="P141" s="120" t="n">
        <x:v>46000.607824074075</x:v>
      </x:c>
      <x:c r="Q141" s="117" t="str">
        <x:v>Delegate</x:v>
      </x:c>
      <x:c r="R141" s="117" t="str">
        <x:v>Assigned Resource - Create OR Update Service Event</x:v>
      </x:c>
      <x:c r="S141" s="119" t="str">
        <x:v>03/14/2025 - Kyle/Delegate - Updates to original "Create Service Calendar Event from Service Resource - UK" Flow
03/18/2025 - Kyle/Delegate - Error handle for invitee
03/19/2025 - Swapped updated eventrelation to delete eventrelation
04/28/2025 - Error handling on AR relation
12/09/2025 - Adding Error Handling for Crews</x:v>
      </x:c>
    </x:row>
    <x:row r="142" ht="30" customHeight="1">
      <x:c r="A142" s="117" t="str">
        <x:v>Assigned_Resource_Create_OR_Update_Service_Event</x:v>
      </x:c>
      <x:c r="B142" s="117" t="str">
        <x:v>300Ro00000SgtMZIAZ</x:v>
      </x:c>
      <x:c r="C142" s="117" t="str">
        <x:v>301Ro00000trXpQIAU</x:v>
      </x:c>
      <x:c r="D142" s="118" t="n">
        <x:v>6</x:v>
      </x:c>
      <x:c r="E142" s="117" t="str">
        <x:v>Active</x:v>
      </x:c>
      <x:c r="F142" s="117" t="str">
        <x:v>Yes</x:v>
      </x:c>
      <x:c r="G142" s="117" t="str">
        <x:v>No</x:v>
      </x:c>
      <x:c r="H142" s="117" t="str">
        <x:v>AutoLaunchedFlow</x:v>
      </x:c>
      <x:c r="I142" s="118" t="n">
        <x:v>63</x:v>
      </x:c>
      <x:c r="J142" s="117" t="str">
        <x:v>unmanaged</x:v>
      </x:c>
      <x:c r="K142" s="123" t="b">
        <x:v>0</x:v>
      </x:c>
      <x:c r="L142" s="117"/>
      <x:c r="M142" s="118"/>
      <x:c r="N142" s="120" t="n">
        <x:v>46001.54226851852</x:v>
      </x:c>
      <x:c r="O142" s="117" t="str">
        <x:v>Delegate</x:v>
      </x:c>
      <x:c r="P142" s="120" t="n">
        <x:v>46034.54914351852</x:v>
      </x:c>
      <x:c r="Q142" s="117" t="str">
        <x:v>Sacha Pearce</x:v>
      </x:c>
      <x:c r="R142" s="117" t="str">
        <x:v>Assigned Resource - Create OR Update Service Event</x:v>
      </x:c>
      <x:c r="S142" s="119" t="str">
        <x:v>11/25/2025 (BW) - Updating this flow so it does not error if a crew is assigned</x:v>
      </x:c>
    </x:row>
    <x:row r="143" ht="30" customHeight="1">
      <x:c r="A143" s="117" t="str">
        <x:v>Assigned_Resource_Create_OR_Update_Service_Event</x:v>
      </x:c>
      <x:c r="B143" s="117" t="str">
        <x:v>300Ro00000SgtMZIAZ</x:v>
      </x:c>
      <x:c r="C143" s="117" t="str">
        <x:v>301Ro00000vPBQuIAO</x:v>
      </x:c>
      <x:c r="D143" s="118" t="n">
        <x:v>7</x:v>
      </x:c>
      <x:c r="E143" s="117" t="str">
        <x:v>Draft</x:v>
      </x:c>
      <x:c r="F143" s="117" t="str">
        <x:v>No</x:v>
      </x:c>
      <x:c r="G143" s="117" t="str">
        <x:v>No</x:v>
      </x:c>
      <x:c r="H143" s="117" t="str">
        <x:v>AutoLaunchedFlow</x:v>
      </x:c>
      <x:c r="I143" s="118" t="n">
        <x:v>63</x:v>
      </x:c>
      <x:c r="J143" s="117" t="str">
        <x:v>unmanaged</x:v>
      </x:c>
      <x:c r="K143" s="123" t="b">
        <x:v>0</x:v>
      </x:c>
      <x:c r="L143" s="117"/>
      <x:c r="M143" s="118"/>
      <x:c r="N143" s="120" t="n">
        <x:v>46031.444016203706</x:v>
      </x:c>
      <x:c r="O143" s="117" t="str">
        <x:v>Sacha Pearce</x:v>
      </x:c>
      <x:c r="P143" s="120" t="n">
        <x:v>46031.44405092593</x:v>
      </x:c>
      <x:c r="Q143" s="117" t="str">
        <x:v>Sacha Pearce</x:v>
      </x:c>
      <x:c r="R143" s="117" t="str">
        <x:v>Assigned Resource - Create OR Update Service Event</x:v>
      </x:c>
      <x:c r="S143" s="119" t="str">
        <x:v>03/14/2025 - Kyle/Delegate - Updates to original "Create Service Calendar Event from Service Resource - UK" Flow
03/18/2025 - Kyle/Delegate - Error handle for invitee
03/19/2025 - Swapped updated eventrelation to delete eventrelation
04/28/2025 - Error handling on AR relation
01/09/2025 - V5 - SP - Adding the "PPM Before March" decision outcome to prvent duplicate invites
01/09/2025 - V6 - SP - Amending the decision to look at the Work Order Record Type's name in adition to the Scheduled Service Date</x:v>
      </x:c>
    </x:row>
    <x:row r="144" ht="30" customHeight="1">
      <x:c r="A144" s="117" t="str">
        <x:v>Assigned_Resource_Create_OR_Update_Service_Event</x:v>
      </x:c>
      <x:c r="B144" s="117" t="str">
        <x:v>300Ro00000SgtMZIAZ</x:v>
      </x:c>
      <x:c r="C144" s="117" t="str">
        <x:v>301Ro00000vPGGwIAO</x:v>
      </x:c>
      <x:c r="D144" s="118" t="n">
        <x:v>8</x:v>
      </x:c>
      <x:c r="E144" s="117" t="str">
        <x:v>Obsolete</x:v>
      </x:c>
      <x:c r="F144" s="117" t="str">
        <x:v>No</x:v>
      </x:c>
      <x:c r="G144" s="117" t="str">
        <x:v>Yes</x:v>
      </x:c>
      <x:c r="H144" s="117" t="str">
        <x:v>AutoLaunchedFlow</x:v>
      </x:c>
      <x:c r="I144" s="118" t="n">
        <x:v>63</x:v>
      </x:c>
      <x:c r="J144" s="117" t="str">
        <x:v>unmanaged</x:v>
      </x:c>
      <x:c r="K144" s="123" t="b">
        <x:v>0</x:v>
      </x:c>
      <x:c r="L144" s="117"/>
      <x:c r="M144" s="118"/>
      <x:c r="N144" s="120" t="n">
        <x:v>46031.44878472222</x:v>
      </x:c>
      <x:c r="O144" s="117" t="str">
        <x:v>Sacha Pearce</x:v>
      </x:c>
      <x:c r="P144" s="120" t="n">
        <x:v>46031.45318287037</x:v>
      </x:c>
      <x:c r="Q144" s="117" t="str">
        <x:v>Sacha Pearce</x:v>
      </x:c>
      <x:c r="R144" s="117" t="str">
        <x:v>Assigned Resource - Create OR Update Service Event</x:v>
      </x:c>
      <x:c r="S144" s="119" t="str">
        <x:v>03/14/2025 - Kyle/Delegate - Updates to original "Create Service Calendar Event from Service Resource - UK" Flow
03/18/2025 - Kyle/Delegate - Error handle for invitee
03/19/2025 - Swapped updated eventrelation to delete eventrelation
04/28/2025 - Error handling on AR relation
01/09/2025 - V5 - SP - Adding the "PPM Before March" decision outcome to prvent duplicate invites
01/09/2025 - V6 - SP - Amending the decision to look at the Work Order Record Type's name in adition to the Scheduled Service Date
01/09/2025 - V8 - SP - Amending the decision to look at the Work Order Record Type's name in adition to the Scheduled Service Date</x:v>
      </x:c>
    </x:row>
    <x:row r="145" ht="30" customHeight="1">
      <x:c r="A145" s="117" t="str">
        <x:v>Assigned_Resource_On_Delete_Find_and_Delete_Related_Event</x:v>
      </x:c>
      <x:c r="B145" s="117" t="str">
        <x:v>300Ro00000SgtMaIAJ</x:v>
      </x:c>
      <x:c r="C145" s="117" t="str">
        <x:v>301Ro00000VgUuOIAV</x:v>
      </x:c>
      <x:c r="D145" s="118" t="n">
        <x:v>1</x:v>
      </x:c>
      <x:c r="E145" s="117" t="str">
        <x:v>Obsolete</x:v>
      </x:c>
      <x:c r="F145" s="117" t="str">
        <x:v>No</x:v>
      </x:c>
      <x:c r="G145" s="117" t="str">
        <x:v>No</x:v>
      </x:c>
      <x:c r="H145" s="117" t="str">
        <x:v>AutoLaunchedFlow</x:v>
      </x:c>
      <x:c r="I145" s="118" t="n">
        <x:v>63</x:v>
      </x:c>
      <x:c r="J145" s="117" t="str">
        <x:v>unmanaged</x:v>
      </x:c>
      <x:c r="K145" s="123" t="b">
        <x:v>0</x:v>
      </x:c>
      <x:c r="L145" s="117"/>
      <x:c r="M145" s="118"/>
      <x:c r="N145" s="120" t="n">
        <x:v>45730.770532407405</x:v>
      </x:c>
      <x:c r="O145" s="117" t="str">
        <x:v>Delegate</x:v>
      </x:c>
      <x:c r="P145" s="120" t="n">
        <x:v>45730.778136574074</x:v>
      </x:c>
      <x:c r="Q145" s="117" t="str">
        <x:v>Delegate</x:v>
      </x:c>
      <x:c r="R145" s="117" t="str">
        <x:v>Assigned Resource - On Delete, Find and Delete Related Event</x:v>
      </x:c>
      <x:c r="S145" s="119" t="str">
        <x:v>03/14/2025 - Kyle/Jordan - Flow Separation updates</x:v>
      </x:c>
    </x:row>
    <x:row r="146" ht="30" customHeight="1">
      <x:c r="A146" s="117" t="str">
        <x:v>Assigned_Resource_On_Delete_Find_and_Delete_Related_Event</x:v>
      </x:c>
      <x:c r="B146" s="117" t="str">
        <x:v>300Ro00000SgtMaIAJ</x:v>
      </x:c>
      <x:c r="C146" s="117" t="str">
        <x:v>301Ro00000xDWZbIAO</x:v>
      </x:c>
      <x:c r="D146" s="118" t="n">
        <x:v>2</x:v>
      </x:c>
      <x:c r="E146" s="117" t="str">
        <x:v>Active</x:v>
      </x:c>
      <x:c r="F146" s="117" t="str">
        <x:v>Yes</x:v>
      </x:c>
      <x:c r="G146" s="117" t="str">
        <x:v>Yes</x:v>
      </x:c>
      <x:c r="H146" s="117" t="str">
        <x:v>AutoLaunchedFlow</x:v>
      </x:c>
      <x:c r="I146" s="118" t="n">
        <x:v>63</x:v>
      </x:c>
      <x:c r="J146" s="117" t="str">
        <x:v>unmanaged</x:v>
      </x:c>
      <x:c r="K146" s="123" t="b">
        <x:v>0</x:v>
      </x:c>
      <x:c r="L146" s="117"/>
      <x:c r="M146" s="118"/>
      <x:c r="N146" s="120" t="n">
        <x:v>46055.100277777776</x:v>
      </x:c>
      <x:c r="O146" s="117" t="str">
        <x:v>Delegate</x:v>
      </x:c>
      <x:c r="P146" s="120" t="n">
        <x:v>46055.100324074076</x:v>
      </x:c>
      <x:c r="Q146" s="117" t="str">
        <x:v>Delegate</x:v>
      </x:c>
      <x:c r="R146" s="117" t="str">
        <x:v>Assigned Resource - On Delete, Find and Delete Related Event</x:v>
      </x:c>
      <x:c r="S146" s="119" t="str">
        <x:v>03/14/2025 - Kyle/Jordan - Flow Separation updates</x:v>
      </x:c>
    </x:row>
    <x:row r="147" ht="30" customHeight="1">
      <x:c r="A147" s="117" t="str">
        <x:v>Assigned_Resource_Trigger_Dispatch_Tech_Call</x:v>
      </x:c>
      <x:c r="B147" s="117" t="str">
        <x:v>300Ro00000SgtMbIAJ</x:v>
      </x:c>
      <x:c r="C147" s="117" t="str">
        <x:v>301Ro00000VgUuPIAV</x:v>
      </x:c>
      <x:c r="D147" s="118" t="n">
        <x:v>1</x:v>
      </x:c>
      <x:c r="E147" s="117" t="str">
        <x:v>Active</x:v>
      </x:c>
      <x:c r="F147" s="117" t="str">
        <x:v>Yes</x:v>
      </x:c>
      <x:c r="G147" s="117" t="str">
        <x:v>Yes</x:v>
      </x:c>
      <x:c r="H147" s="117" t="str">
        <x:v>AutoLaunchedFlow</x:v>
      </x:c>
      <x:c r="I147" s="118" t="n">
        <x:v>63</x:v>
      </x:c>
      <x:c r="J147" s="117" t="str">
        <x:v>unmanaged</x:v>
      </x:c>
      <x:c r="K147" s="123" t="b">
        <x:v>0</x:v>
      </x:c>
      <x:c r="L147" s="117"/>
      <x:c r="M147" s="118"/>
      <x:c r="N147" s="120" t="n">
        <x:v>45730.77054398148</x:v>
      </x:c>
      <x:c r="O147" s="117" t="str">
        <x:v>Delegate</x:v>
      </x:c>
      <x:c r="P147" s="120" t="n">
        <x:v>45730.77699074074</x:v>
      </x:c>
      <x:c r="Q147" s="117" t="str">
        <x:v>Delegate</x:v>
      </x:c>
      <x:c r="R147" s="117" t="str">
        <x:v>Assigned Resource - Trigger - Dispatch Tech Call</x:v>
      </x:c>
      <x:c r="S147" s="119" t="str">
        <x:v>03/13/2025 - Kyle/Delegate - Auto Dispatch support calls</x:v>
      </x:c>
    </x:row>
    <x:row r="148" ht="30" customHeight="1">
      <x:c r="A148" s="117" t="str">
        <x:v>Assigned_Resource_Trigger_Send_New_Resource_Dispatch_Email</x:v>
      </x:c>
      <x:c r="B148" s="117" t="str">
        <x:v>300Ro00000SxTCLIA3</x:v>
      </x:c>
      <x:c r="C148" s="117" t="str">
        <x:v>301Ro00000Vyjq2IAB</x:v>
      </x:c>
      <x:c r="D148" s="118" t="n">
        <x:v>1</x:v>
      </x:c>
      <x:c r="E148" s="117" t="str">
        <x:v>Obsolete</x:v>
      </x:c>
      <x:c r="F148" s="117" t="str">
        <x:v>No</x:v>
      </x:c>
      <x:c r="G148" s="117" t="str">
        <x:v>No</x:v>
      </x:c>
      <x:c r="H148" s="117" t="str">
        <x:v>AutoLaunchedFlow</x:v>
      </x:c>
      <x:c r="I148" s="118" t="n">
        <x:v>63</x:v>
      </x:c>
      <x:c r="J148" s="117" t="str">
        <x:v>unmanaged</x:v>
      </x:c>
      <x:c r="K148" s="123" t="b">
        <x:v>0</x:v>
      </x:c>
      <x:c r="L148" s="117"/>
      <x:c r="M148" s="118"/>
      <x:c r="N148" s="120" t="n">
        <x:v>45736.548726851855</x:v>
      </x:c>
      <x:c r="O148" s="117" t="str">
        <x:v>Delegate</x:v>
      </x:c>
      <x:c r="P148" s="120" t="n">
        <x:v>45736.55024305556</x:v>
      </x:c>
      <x:c r="Q148" s="117" t="str">
        <x:v>Delegate</x:v>
      </x:c>
      <x:c r="R148" s="117" t="str">
        <x:v>Assigned Resource - Trigger - Send New Resource Dispatch Email</x:v>
      </x:c>
      <x:c r="S148" s="119" t="str">
        <x:v>03/20/2025 - Kyle/Delegate - When Assigned Resource is changed, and the Related Service Appointment is already dispatched, send an email to the new resource.</x:v>
      </x:c>
    </x:row>
    <x:row r="149" ht="30" customHeight="1">
      <x:c r="A149" s="117" t="str">
        <x:v>Assigned_Resource_Trigger_Send_New_Resource_Dispatch_Email</x:v>
      </x:c>
      <x:c r="B149" s="117" t="str">
        <x:v>300Ro00000SxTCLIA3</x:v>
      </x:c>
      <x:c r="C149" s="117" t="str">
        <x:v>301Ro00000VycLaIAJ</x:v>
      </x:c>
      <x:c r="D149" s="118" t="n">
        <x:v>2</x:v>
      </x:c>
      <x:c r="E149" s="117" t="str">
        <x:v>Active</x:v>
      </x:c>
      <x:c r="F149" s="117" t="str">
        <x:v>Yes</x:v>
      </x:c>
      <x:c r="G149" s="117" t="str">
        <x:v>Yes</x:v>
      </x:c>
      <x:c r="H149" s="117" t="str">
        <x:v>AutoLaunchedFlow</x:v>
      </x:c>
      <x:c r="I149" s="118" t="n">
        <x:v>63</x:v>
      </x:c>
      <x:c r="J149" s="117" t="str">
        <x:v>unmanaged</x:v>
      </x:c>
      <x:c r="K149" s="123" t="b">
        <x:v>0</x:v>
      </x:c>
      <x:c r="L149" s="117"/>
      <x:c r="M149" s="118"/>
      <x:c r="N149" s="120" t="n">
        <x:v>45736.56119212963</x:v>
      </x:c>
      <x:c r="O149" s="117" t="str">
        <x:v>Delegate</x:v>
      </x:c>
      <x:c r="P149" s="120" t="n">
        <x:v>45736.5619212963</x:v>
      </x:c>
      <x:c r="Q149" s="117" t="str">
        <x:v>Delegate</x:v>
      </x:c>
      <x:c r="R149" s="117" t="str">
        <x:v>Assigned Resource - Trigger - Send New Resource Dispatch Email</x:v>
      </x:c>
      <x:c r="S149" s="119" t="str">
        <x:v>03/20/2025 - Kyle/Delegate - When Assigned Resource is changed, and the Related Service Appointment is already dispatched, send an email to the new resource.
03/20/2025 - Adding in another email for prior resource</x:v>
      </x:c>
    </x:row>
    <x:row r="150" ht="30" customHeight="1">
      <x:c r="A150" s="117" t="str">
        <x:v>Auto_Close_Opps</x:v>
      </x:c>
      <x:c r="B150" s="117" t="str">
        <x:v>3005b000000H3WAAA0</x:v>
      </x:c>
      <x:c r="C150" s="117" t="str">
        <x:v>3015b000000EIcsAAG</x:v>
      </x:c>
      <x:c r="D150" s="118" t="n">
        <x:v>1</x:v>
      </x:c>
      <x:c r="E150" s="117" t="str">
        <x:v>Active</x:v>
      </x:c>
      <x:c r="F150" s="117" t="str">
        <x:v>Yes</x:v>
      </x:c>
      <x:c r="G150" s="117" t="str">
        <x:v>Yes</x:v>
      </x:c>
      <x:c r="H150" s="117" t="str">
        <x:v>AutoLaunchedFlow</x:v>
      </x:c>
      <x:c r="I150" s="118" t="n">
        <x:v>54</x:v>
      </x:c>
      <x:c r="J150" s="117" t="str">
        <x:v>unmanaged</x:v>
      </x:c>
      <x:c r="K150" s="123" t="b">
        <x:v>0</x:v>
      </x:c>
      <x:c r="L150" s="117"/>
      <x:c r="M150" s="118"/>
      <x:c r="N150" s="120" t="n">
        <x:v>44645.69028935185</x:v>
      </x:c>
      <x:c r="O150" s="117" t="str">
        <x:v>Natalie Boger</x:v>
      </x:c>
      <x:c r="P150" s="120" t="n">
        <x:v>44645.69070601852</x:v>
      </x:c>
      <x:c r="Q150" s="117" t="str">
        <x:v>Natalie Boger</x:v>
      </x:c>
      <x:c r="R150" s="117" t="str">
        <x:v>Auto Close Opps</x:v>
      </x:c>
      <x:c r="S150" s="119"/>
    </x:row>
    <x:row r="151" ht="30" customHeight="1">
      <x:c r="A151" s="117" t="str">
        <x:v>Auto_Close_SWO_HWO_Scrap_Asset</x:v>
      </x:c>
      <x:c r="B151" s="117" t="str">
        <x:v>3005b000000LGUKAA4</x:v>
      </x:c>
      <x:c r="C151" s="117" t="str">
        <x:v>3015b000000A6yrAAC</x:v>
      </x:c>
      <x:c r="D151" s="118" t="n">
        <x:v>1</x:v>
      </x:c>
      <x:c r="E151" s="117" t="str">
        <x:v>Obsolete</x:v>
      </x:c>
      <x:c r="F151" s="117" t="str">
        <x:v>No</x:v>
      </x:c>
      <x:c r="G151" s="117" t="str">
        <x:v>No</x:v>
      </x:c>
      <x:c r="H151" s="117" t="str">
        <x:v>AutoLaunchedFlow</x:v>
      </x:c>
      <x:c r="I151" s="118" t="n">
        <x:v>55</x:v>
      </x:c>
      <x:c r="J151" s="117" t="str">
        <x:v>unmanaged</x:v>
      </x:c>
      <x:c r="K151" s="123" t="b">
        <x:v>0</x:v>
      </x:c>
      <x:c r="L151" s="117"/>
      <x:c r="M151" s="118"/>
      <x:c r="N151" s="120" t="n">
        <x:v>44839.64465277778</x:v>
      </x:c>
      <x:c r="O151" s="117" t="str">
        <x:v>Jace Gentil</x:v>
      </x:c>
      <x:c r="P151" s="120" t="n">
        <x:v>44839.91292824074</x:v>
      </x:c>
      <x:c r="Q151" s="117" t="str">
        <x:v>Jace Gentil</x:v>
      </x:c>
      <x:c r="R151" s="117" t="str">
        <x:v>Auto-Close SWO/HWO Scrap Asset</x:v>
      </x:c>
      <x:c r="S151" s="119"/>
    </x:row>
    <x:row r="152" ht="30" customHeight="1">
      <x:c r="A152" s="117" t="str">
        <x:v>Auto_Close_SWO_HWO_Scrap_Asset</x:v>
      </x:c>
      <x:c r="B152" s="117" t="str">
        <x:v>3005b000000LGUKAA4</x:v>
      </x:c>
      <x:c r="C152" s="117" t="str">
        <x:v>301Ro0000147WuvIAE</x:v>
      </x:c>
      <x:c r="D152" s="118" t="n">
        <x:v>2</x:v>
      </x:c>
      <x:c r="E152" s="117" t="str">
        <x:v>Active</x:v>
      </x:c>
      <x:c r="F152" s="117" t="str">
        <x:v>Yes</x:v>
      </x:c>
      <x:c r="G152" s="117" t="str">
        <x:v>Yes</x:v>
      </x:c>
      <x:c r="H152" s="117" t="str">
        <x:v>AutoLaunchedFlow</x:v>
      </x:c>
      <x:c r="I152" s="118" t="n">
        <x:v>55</x:v>
      </x:c>
      <x:c r="J152" s="117" t="str">
        <x:v>unmanaged</x:v>
      </x:c>
      <x:c r="K152" s="123" t="b">
        <x:v>0</x:v>
      </x:c>
      <x:c r="L152" s="117"/>
      <x:c r="M152" s="118"/>
      <x:c r="N152" s="120" t="n">
        <x:v>46138.44116898148</x:v>
      </x:c>
      <x:c r="O152" s="117" t="str">
        <x:v>Sacha Pearce</x:v>
      </x:c>
      <x:c r="P152" s="120" t="n">
        <x:v>46138.44322916667</x:v>
      </x:c>
      <x:c r="Q152" s="117" t="str">
        <x:v>Sacha Pearce</x:v>
      </x:c>
      <x:c r="R152" s="117" t="str">
        <x:v>Auto-Close SWO/HWO Scrap Asset</x:v>
      </x:c>
      <x:c r="S152" s="119" t="str">
        <x:v>23/04/2026 - SP - Updating Flow to mark the system as "Harvested" and "Sold".</x:v>
      </x:c>
    </x:row>
    <x:row r="153" ht="30" customHeight="1">
      <x:c r="A153" s="117" t="str">
        <x:v>Auto_Create_IR_When_Manually_PA_ing_Asset</x:v>
      </x:c>
      <x:c r="B153" s="117" t="str">
        <x:v>3005b000000LHrKAAW</x:v>
      </x:c>
      <x:c r="C153" s="117" t="str">
        <x:v>3015b000000AF5RAAW</x:v>
      </x:c>
      <x:c r="D153" s="118" t="n">
        <x:v>1</x:v>
      </x:c>
      <x:c r="E153" s="117" t="str">
        <x:v>Obsolete</x:v>
      </x:c>
      <x:c r="F153" s="117" t="str">
        <x:v>No</x:v>
      </x:c>
      <x:c r="G153" s="117" t="str">
        <x:v>No</x:v>
      </x:c>
      <x:c r="H153" s="117" t="str">
        <x:v>AutoLaunchedFlow</x:v>
      </x:c>
      <x:c r="I153" s="118" t="n">
        <x:v>56</x:v>
      </x:c>
      <x:c r="J153" s="117" t="str">
        <x:v>unmanaged</x:v>
      </x:c>
      <x:c r="K153" s="123" t="b">
        <x:v>0</x:v>
      </x:c>
      <x:c r="L153" s="117"/>
      <x:c r="M153" s="118"/>
      <x:c r="N153" s="120" t="n">
        <x:v>44952.84144675926</x:v>
      </x:c>
      <x:c r="O153" s="117" t="str">
        <x:v>Jace Gentil</x:v>
      </x:c>
      <x:c r="P153" s="120" t="n">
        <x:v>44952.84149305556</x:v>
      </x:c>
      <x:c r="Q153" s="117" t="str">
        <x:v>Jace Gentil</x:v>
      </x:c>
      <x:c r="R153" s="117" t="str">
        <x:v>Auto-Create IR When Manually PA'ing Asset</x:v>
      </x:c>
      <x:c r="S153" s="119"/>
    </x:row>
    <x:row r="154" ht="30" customHeight="1">
      <x:c r="A154" s="117" t="str">
        <x:v>Auto_Create_IR_When_Manually_PA_ing_Asset</x:v>
      </x:c>
      <x:c r="B154" s="117" t="str">
        <x:v>3005b000000LHrKAAW</x:v>
      </x:c>
      <x:c r="C154" s="117" t="str">
        <x:v>3015b000000AF5WAAW</x:v>
      </x:c>
      <x:c r="D154" s="118" t="n">
        <x:v>2</x:v>
      </x:c>
      <x:c r="E154" s="117" t="str">
        <x:v>Obsolete</x:v>
      </x:c>
      <x:c r="F154" s="117" t="str">
        <x:v>No</x:v>
      </x:c>
      <x:c r="G154" s="117" t="str">
        <x:v>Yes</x:v>
      </x:c>
      <x:c r="H154" s="117" t="str">
        <x:v>AutoLaunchedFlow</x:v>
      </x:c>
      <x:c r="I154" s="118" t="n">
        <x:v>56</x:v>
      </x:c>
      <x:c r="J154" s="117" t="str">
        <x:v>unmanaged</x:v>
      </x:c>
      <x:c r="K154" s="123" t="b">
        <x:v>0</x:v>
      </x:c>
      <x:c r="L154" s="117"/>
      <x:c r="M154" s="118"/>
      <x:c r="N154" s="120" t="n">
        <x:v>44952.84559027778</x:v>
      </x:c>
      <x:c r="O154" s="117" t="str">
        <x:v>Jace Gentil</x:v>
      </x:c>
      <x:c r="P154" s="120" t="n">
        <x:v>45684.630428240744</x:v>
      </x:c>
      <x:c r="Q154" s="117" t="str">
        <x:v>Delegate</x:v>
      </x:c>
      <x:c r="R154" s="117" t="str">
        <x:v>Auto-Create IR When Manually PA'ing Asset</x:v>
      </x:c>
      <x:c r="S154" s="119"/>
    </x:row>
    <x:row r="155" ht="30" customHeight="1">
      <x:c r="A155" s="117" t="str">
        <x:v>Auto_Create_Post_Repair_Eval_on_Opp</x:v>
      </x:c>
      <x:c r="B155" s="117" t="str">
        <x:v>300Ro00000UU24mIAD</x:v>
      </x:c>
      <x:c r="C155" s="117" t="str">
        <x:v>301Ro00000Xbs4sIAB</x:v>
      </x:c>
      <x:c r="D155" s="118" t="n">
        <x:v>1</x:v>
      </x:c>
      <x:c r="E155" s="117" t="str">
        <x:v>Active</x:v>
      </x:c>
      <x:c r="F155" s="117" t="str">
        <x:v>Yes</x:v>
      </x:c>
      <x:c r="G155" s="117" t="str">
        <x:v>Yes</x:v>
      </x:c>
      <x:c r="H155" s="117" t="str">
        <x:v>AutoLaunchedFlow</x:v>
      </x:c>
      <x:c r="I155" s="118" t="n">
        <x:v>63</x:v>
      </x:c>
      <x:c r="J155" s="117" t="str">
        <x:v>unmanaged</x:v>
      </x:c>
      <x:c r="K155" s="123" t="b">
        <x:v>0</x:v>
      </x:c>
      <x:c r="L155" s="117"/>
      <x:c r="M155" s="118"/>
      <x:c r="N155" s="120" t="n">
        <x:v>45765.148981481485</x:v>
      </x:c>
      <x:c r="O155" s="117" t="str">
        <x:v>Natalie Boger</x:v>
      </x:c>
      <x:c r="P155" s="120" t="n">
        <x:v>45765.14910879629</x:v>
      </x:c>
      <x:c r="Q155" s="117" t="str">
        <x:v>Natalie Boger</x:v>
      </x:c>
      <x:c r="R155" s="117" t="str">
        <x:v>Auto-Create Post Repair Eval on Opp</x:v>
      </x:c>
      <x:c r="S155" s="119"/>
    </x:row>
    <x:row r="156" ht="30" customHeight="1">
      <x:c r="A156" s="117" t="str">
        <x:v>Auto_Create_Refurb_System_Repair_from_Refurb_Test</x:v>
      </x:c>
      <x:c r="B156" s="117" t="str">
        <x:v>3005b000000PzoUAAS</x:v>
      </x:c>
      <x:c r="C156" s="117" t="str">
        <x:v>3015b000000W3fbAAC</x:v>
      </x:c>
      <x:c r="D156" s="118" t="n">
        <x:v>1</x:v>
      </x:c>
      <x:c r="E156" s="117" t="str">
        <x:v>Draft</x:v>
      </x:c>
      <x:c r="F156" s="117" t="str">
        <x:v>No</x:v>
      </x:c>
      <x:c r="G156" s="117" t="str">
        <x:v>No</x:v>
      </x:c>
      <x:c r="H156" s="117" t="str">
        <x:v>AutoLaunchedFlow</x:v>
      </x:c>
      <x:c r="I156" s="118" t="n">
        <x:v>57</x:v>
      </x:c>
      <x:c r="J156" s="117" t="str">
        <x:v>unmanaged</x:v>
      </x:c>
      <x:c r="K156" s="123" t="b">
        <x:v>0</x:v>
      </x:c>
      <x:c r="L156" s="117"/>
      <x:c r="M156" s="118"/>
      <x:c r="N156" s="120" t="n">
        <x:v>45081.68539351852</x:v>
      </x:c>
      <x:c r="O156" s="117" t="str">
        <x:v>Jace Gentil</x:v>
      </x:c>
      <x:c r="P156" s="120" t="n">
        <x:v>45081.68540509259</x:v>
      </x:c>
      <x:c r="Q156" s="117" t="str">
        <x:v>Jace Gentil</x:v>
      </x:c>
      <x:c r="R156" s="117" t="str">
        <x:v>Auto-Create Refurb System Repair from Refurb Test</x:v>
      </x:c>
      <x:c r="S156" s="119"/>
    </x:row>
    <x:row r="157" ht="30" customHeight="1">
      <x:c r="A157" s="117" t="str">
        <x:v>Auto_Create_Refurb_System_Repair_from_Refurb_Test</x:v>
      </x:c>
      <x:c r="B157" s="117" t="str">
        <x:v>3005b000000PzoUAAS</x:v>
      </x:c>
      <x:c r="C157" s="117" t="str">
        <x:v>3015b000000W3fiAAC</x:v>
      </x:c>
      <x:c r="D157" s="118" t="n">
        <x:v>2</x:v>
      </x:c>
      <x:c r="E157" s="117" t="str">
        <x:v>Active</x:v>
      </x:c>
      <x:c r="F157" s="117" t="str">
        <x:v>Yes</x:v>
      </x:c>
      <x:c r="G157" s="117" t="str">
        <x:v>No</x:v>
      </x:c>
      <x:c r="H157" s="117" t="str">
        <x:v>AutoLaunchedFlow</x:v>
      </x:c>
      <x:c r="I157" s="118" t="n">
        <x:v>57</x:v>
      </x:c>
      <x:c r="J157" s="117" t="str">
        <x:v>unmanaged</x:v>
      </x:c>
      <x:c r="K157" s="123" t="b">
        <x:v>0</x:v>
      </x:c>
      <x:c r="L157" s="117"/>
      <x:c r="M157" s="118"/>
      <x:c r="N157" s="120" t="n">
        <x:v>45081.696909722225</x:v>
      </x:c>
      <x:c r="O157" s="117" t="str">
        <x:v>Jace Gentil</x:v>
      </x:c>
      <x:c r="P157" s="120" t="n">
        <x:v>45081.69709490741</x:v>
      </x:c>
      <x:c r="Q157" s="117" t="str">
        <x:v>Jace Gentil</x:v>
      </x:c>
      <x:c r="R157" s="117" t="str">
        <x:v>Auto-Create Refurb System Repair from Refurb Test</x:v>
      </x:c>
      <x:c r="S157" s="119"/>
    </x:row>
    <x:row r="158" ht="30" customHeight="1">
      <x:c r="A158" s="117" t="str">
        <x:v>Auto_Create_Refurb_System_Repair_from_Refurb_Test</x:v>
      </x:c>
      <x:c r="B158" s="117" t="str">
        <x:v>3005b000000PzoUAAS</x:v>
      </x:c>
      <x:c r="C158" s="117" t="str">
        <x:v>3015b000000W3fwAAC</x:v>
      </x:c>
      <x:c r="D158" s="118" t="n">
        <x:v>3</x:v>
      </x:c>
      <x:c r="E158" s="117" t="str">
        <x:v>Draft</x:v>
      </x:c>
      <x:c r="F158" s="117" t="str">
        <x:v>No</x:v>
      </x:c>
      <x:c r="G158" s="117" t="str">
        <x:v>Yes</x:v>
      </x:c>
      <x:c r="H158" s="117" t="str">
        <x:v>AutoLaunchedFlow</x:v>
      </x:c>
      <x:c r="I158" s="118" t="n">
        <x:v>57</x:v>
      </x:c>
      <x:c r="J158" s="117" t="str">
        <x:v>unmanaged</x:v>
      </x:c>
      <x:c r="K158" s="123" t="b">
        <x:v>0</x:v>
      </x:c>
      <x:c r="L158" s="117"/>
      <x:c r="M158" s="118"/>
      <x:c r="N158" s="120" t="n">
        <x:v>45081.702997685185</x:v>
      </x:c>
      <x:c r="O158" s="117" t="str">
        <x:v>Jace Gentil</x:v>
      </x:c>
      <x:c r="P158" s="120" t="n">
        <x:v>45081.70300925926</x:v>
      </x:c>
      <x:c r="Q158" s="117" t="str">
        <x:v>Jace Gentil</x:v>
      </x:c>
      <x:c r="R158" s="117" t="str">
        <x:v>Auto-Create Refurb System Repair from Refurb Test</x:v>
      </x:c>
      <x:c r="S158" s="119"/>
    </x:row>
    <x:row r="159" ht="30" customHeight="1">
      <x:c r="A159" s="117" t="str">
        <x:v>Auto_Create_Return_Opportunity_for_Exchange_Purchasing_Ops</x:v>
      </x:c>
      <x:c r="B159" s="117" t="str">
        <x:v>3005b000000H497AAC</x:v>
      </x:c>
      <x:c r="C159" s="117" t="str">
        <x:v>3015b000000ELaMAAW</x:v>
      </x:c>
      <x:c r="D159" s="118" t="n">
        <x:v>1</x:v>
      </x:c>
      <x:c r="E159" s="117" t="str">
        <x:v>Obsolete</x:v>
      </x:c>
      <x:c r="F159" s="117" t="str">
        <x:v>No</x:v>
      </x:c>
      <x:c r="G159" s="117" t="str">
        <x:v>No</x:v>
      </x:c>
      <x:c r="H159" s="117" t="str">
        <x:v>AutoLaunchedFlow</x:v>
      </x:c>
      <x:c r="I159" s="118" t="n">
        <x:v>55</x:v>
      </x:c>
      <x:c r="J159" s="117" t="str">
        <x:v>unmanaged</x:v>
      </x:c>
      <x:c r="K159" s="123" t="b">
        <x:v>0</x:v>
      </x:c>
      <x:c r="L159" s="117"/>
      <x:c r="M159" s="118"/>
      <x:c r="N159" s="120" t="n">
        <x:v>44813.56995370371</x:v>
      </x:c>
      <x:c r="O159" s="117" t="str">
        <x:v>Jace Gentil</x:v>
      </x:c>
      <x:c r="P159" s="120" t="n">
        <x:v>44813.5700462963</x:v>
      </x:c>
      <x:c r="Q159" s="117" t="str">
        <x:v>Jace Gentil</x:v>
      </x:c>
      <x:c r="R159" s="117" t="str">
        <x:v>Auto Create Return Opportunity for Exchange Purchasing Ops</x:v>
      </x:c>
      <x:c r="S159" s="119" t="str">
        <x:v>Automatically Create Return Opportunity for Exchange Purchasing Ops</x:v>
      </x:c>
    </x:row>
    <x:row r="160" ht="30" customHeight="1">
      <x:c r="A160" s="117" t="str">
        <x:v>Auto_Create_Return_Opportunity_for_Exchange_Purchasing_Ops</x:v>
      </x:c>
      <x:c r="B160" s="117" t="str">
        <x:v>3005b000000H497AAC</x:v>
      </x:c>
      <x:c r="C160" s="117" t="str">
        <x:v>3015b000000ELaVAAW</x:v>
      </x:c>
      <x:c r="D160" s="118" t="n">
        <x:v>2</x:v>
      </x:c>
      <x:c r="E160" s="117" t="str">
        <x:v>Obsolete</x:v>
      </x:c>
      <x:c r="F160" s="117" t="str">
        <x:v>No</x:v>
      </x:c>
      <x:c r="G160" s="117" t="str">
        <x:v>No</x:v>
      </x:c>
      <x:c r="H160" s="117" t="str">
        <x:v>AutoLaunchedFlow</x:v>
      </x:c>
      <x:c r="I160" s="118" t="n">
        <x:v>55</x:v>
      </x:c>
      <x:c r="J160" s="117" t="str">
        <x:v>unmanaged</x:v>
      </x:c>
      <x:c r="K160" s="123" t="b">
        <x:v>0</x:v>
      </x:c>
      <x:c r="L160" s="117"/>
      <x:c r="M160" s="118"/>
      <x:c r="N160" s="120" t="n">
        <x:v>44813.5708912037</x:v>
      </x:c>
      <x:c r="O160" s="117" t="str">
        <x:v>Jace Gentil</x:v>
      </x:c>
      <x:c r="P160" s="120" t="n">
        <x:v>44813.570925925924</x:v>
      </x:c>
      <x:c r="Q160" s="117" t="str">
        <x:v>Jace Gentil</x:v>
      </x:c>
      <x:c r="R160" s="117" t="str">
        <x:v>Auto Create Return Opportunity for Exchange Purchasing Ops</x:v>
      </x:c>
      <x:c r="S160" s="119" t="str">
        <x:v>Automatically Create Return Opportunity for Exchange Purchasing Ops</x:v>
      </x:c>
    </x:row>
    <x:row r="161" ht="30" customHeight="1">
      <x:c r="A161" s="117" t="str">
        <x:v>Auto_Create_Return_Opportunity_for_Exchange_Purchasing_Ops</x:v>
      </x:c>
      <x:c r="B161" s="117" t="str">
        <x:v>3005b000000H497AAC</x:v>
      </x:c>
      <x:c r="C161" s="117" t="str">
        <x:v>3015b000000ELaaAAG</x:v>
      </x:c>
      <x:c r="D161" s="118" t="n">
        <x:v>3</x:v>
      </x:c>
      <x:c r="E161" s="117" t="str">
        <x:v>Obsolete</x:v>
      </x:c>
      <x:c r="F161" s="117" t="str">
        <x:v>No</x:v>
      </x:c>
      <x:c r="G161" s="117" t="str">
        <x:v>No</x:v>
      </x:c>
      <x:c r="H161" s="117" t="str">
        <x:v>AutoLaunchedFlow</x:v>
      </x:c>
      <x:c r="I161" s="118" t="n">
        <x:v>55</x:v>
      </x:c>
      <x:c r="J161" s="117" t="str">
        <x:v>unmanaged</x:v>
      </x:c>
      <x:c r="K161" s="123" t="b">
        <x:v>0</x:v>
      </x:c>
      <x:c r="L161" s="117"/>
      <x:c r="M161" s="118"/>
      <x:c r="N161" s="120" t="n">
        <x:v>44813.571597222224</x:v>
      </x:c>
      <x:c r="O161" s="117" t="str">
        <x:v>Jace Gentil</x:v>
      </x:c>
      <x:c r="P161" s="120" t="n">
        <x:v>44813.57164351852</x:v>
      </x:c>
      <x:c r="Q161" s="117" t="str">
        <x:v>Jace Gentil</x:v>
      </x:c>
      <x:c r="R161" s="117" t="str">
        <x:v>Auto Create Return Opportunity for Exchange Purchasing Ops</x:v>
      </x:c>
      <x:c r="S161" s="119" t="str">
        <x:v>Automatically Create Return Opportunity for Exchange Purchasing Ops</x:v>
      </x:c>
    </x:row>
    <x:row r="162" ht="30" customHeight="1">
      <x:c r="A162" s="117" t="str">
        <x:v>Auto_Create_Return_Opportunity_for_Exchange_Purchasing_Ops</x:v>
      </x:c>
      <x:c r="B162" s="117" t="str">
        <x:v>3005b000000H497AAC</x:v>
      </x:c>
      <x:c r="C162" s="117" t="str">
        <x:v>3015b000000ELabAAG</x:v>
      </x:c>
      <x:c r="D162" s="118" t="n">
        <x:v>4</x:v>
      </x:c>
      <x:c r="E162" s="117" t="str">
        <x:v>Obsolete</x:v>
      </x:c>
      <x:c r="F162" s="117" t="str">
        <x:v>No</x:v>
      </x:c>
      <x:c r="G162" s="117" t="str">
        <x:v>No</x:v>
      </x:c>
      <x:c r="H162" s="117" t="str">
        <x:v>AutoLaunchedFlow</x:v>
      </x:c>
      <x:c r="I162" s="118" t="n">
        <x:v>55</x:v>
      </x:c>
      <x:c r="J162" s="117" t="str">
        <x:v>unmanaged</x:v>
      </x:c>
      <x:c r="K162" s="123" t="b">
        <x:v>0</x:v>
      </x:c>
      <x:c r="L162" s="117"/>
      <x:c r="M162" s="118"/>
      <x:c r="N162" s="120" t="n">
        <x:v>44813.572916666664</x:v>
      </x:c>
      <x:c r="O162" s="117" t="str">
        <x:v>Jace Gentil</x:v>
      </x:c>
      <x:c r="P162" s="120" t="n">
        <x:v>44813.57297453703</x:v>
      </x:c>
      <x:c r="Q162" s="117" t="str">
        <x:v>Jace Gentil</x:v>
      </x:c>
      <x:c r="R162" s="117" t="str">
        <x:v>Auto Create Return Opportunity for Exchange Purchasing Ops</x:v>
      </x:c>
      <x:c r="S162" s="119" t="str">
        <x:v>Automatically Create Return Opportunity for Exchange Purchasing Ops</x:v>
      </x:c>
    </x:row>
    <x:row r="163" ht="30" customHeight="1">
      <x:c r="A163" s="117" t="str">
        <x:v>Auto_Create_Return_Opportunity_for_Exchange_Purchasing_Ops</x:v>
      </x:c>
      <x:c r="B163" s="117" t="str">
        <x:v>3005b000000H497AAC</x:v>
      </x:c>
      <x:c r="C163" s="117" t="str">
        <x:v>3015b000000ELafAAG</x:v>
      </x:c>
      <x:c r="D163" s="118" t="n">
        <x:v>5</x:v>
      </x:c>
      <x:c r="E163" s="117" t="str">
        <x:v>Obsolete</x:v>
      </x:c>
      <x:c r="F163" s="117" t="str">
        <x:v>No</x:v>
      </x:c>
      <x:c r="G163" s="117" t="str">
        <x:v>No</x:v>
      </x:c>
      <x:c r="H163" s="117" t="str">
        <x:v>AutoLaunchedFlow</x:v>
      </x:c>
      <x:c r="I163" s="118" t="n">
        <x:v>55</x:v>
      </x:c>
      <x:c r="J163" s="117" t="str">
        <x:v>unmanaged</x:v>
      </x:c>
      <x:c r="K163" s="123" t="b">
        <x:v>0</x:v>
      </x:c>
      <x:c r="L163" s="117"/>
      <x:c r="M163" s="118"/>
      <x:c r="N163" s="120" t="n">
        <x:v>44813.57680555555</x:v>
      </x:c>
      <x:c r="O163" s="117" t="str">
        <x:v>Jace Gentil</x:v>
      </x:c>
      <x:c r="P163" s="120" t="n">
        <x:v>44813.57685185185</x:v>
      </x:c>
      <x:c r="Q163" s="117" t="str">
        <x:v>Jace Gentil</x:v>
      </x:c>
      <x:c r="R163" s="117" t="str">
        <x:v>Auto Create Return Opportunity for Exchange Purchasing Ops</x:v>
      </x:c>
      <x:c r="S163" s="119" t="str">
        <x:v>Automatically Create Return Opportunity for Exchange Purchasing Ops</x:v>
      </x:c>
    </x:row>
    <x:row r="164" ht="30" customHeight="1">
      <x:c r="A164" s="117" t="str">
        <x:v>Auto_Create_Return_Opportunity_for_Exchange_Purchasing_Ops</x:v>
      </x:c>
      <x:c r="B164" s="117" t="str">
        <x:v>3005b000000H497AAC</x:v>
      </x:c>
      <x:c r="C164" s="117" t="str">
        <x:v>3015b000000ELakAAG</x:v>
      </x:c>
      <x:c r="D164" s="118" t="n">
        <x:v>6</x:v>
      </x:c>
      <x:c r="E164" s="117" t="str">
        <x:v>Obsolete</x:v>
      </x:c>
      <x:c r="F164" s="117" t="str">
        <x:v>No</x:v>
      </x:c>
      <x:c r="G164" s="117" t="str">
        <x:v>No</x:v>
      </x:c>
      <x:c r="H164" s="117" t="str">
        <x:v>AutoLaunchedFlow</x:v>
      </x:c>
      <x:c r="I164" s="118" t="n">
        <x:v>55</x:v>
      </x:c>
      <x:c r="J164" s="117" t="str">
        <x:v>unmanaged</x:v>
      </x:c>
      <x:c r="K164" s="123" t="b">
        <x:v>0</x:v>
      </x:c>
      <x:c r="L164" s="117"/>
      <x:c r="M164" s="118"/>
      <x:c r="N164" s="120" t="n">
        <x:v>44813.583032407405</x:v>
      </x:c>
      <x:c r="O164" s="117" t="str">
        <x:v>Jace Gentil</x:v>
      </x:c>
      <x:c r="P164" s="120" t="n">
        <x:v>44813.58305555556</x:v>
      </x:c>
      <x:c r="Q164" s="117" t="str">
        <x:v>Jace Gentil</x:v>
      </x:c>
      <x:c r="R164" s="117" t="str">
        <x:v>Auto Create Return Opportunity for Exchange Purchasing Ops</x:v>
      </x:c>
      <x:c r="S164" s="119" t="str">
        <x:v>Automatically Create Return Opportunity for Exchange Purchasing Ops</x:v>
      </x:c>
    </x:row>
    <x:row r="165" ht="30" customHeight="1">
      <x:c r="A165" s="117" t="str">
        <x:v>Auto_Create_Return_Opportunity_for_Exchange_Purchasing_Ops</x:v>
      </x:c>
      <x:c r="B165" s="117" t="str">
        <x:v>3005b000000H497AAC</x:v>
      </x:c>
      <x:c r="C165" s="117" t="str">
        <x:v>3015b000000ELalAAG</x:v>
      </x:c>
      <x:c r="D165" s="118" t="n">
        <x:v>7</x:v>
      </x:c>
      <x:c r="E165" s="117" t="str">
        <x:v>Obsolete</x:v>
      </x:c>
      <x:c r="F165" s="117" t="str">
        <x:v>No</x:v>
      </x:c>
      <x:c r="G165" s="117" t="str">
        <x:v>No</x:v>
      </x:c>
      <x:c r="H165" s="117" t="str">
        <x:v>AutoLaunchedFlow</x:v>
      </x:c>
      <x:c r="I165" s="118" t="n">
        <x:v>55</x:v>
      </x:c>
      <x:c r="J165" s="117" t="str">
        <x:v>unmanaged</x:v>
      </x:c>
      <x:c r="K165" s="123" t="b">
        <x:v>0</x:v>
      </x:c>
      <x:c r="L165" s="117"/>
      <x:c r="M165" s="118"/>
      <x:c r="N165" s="120" t="n">
        <x:v>44813.58480324074</x:v>
      </x:c>
      <x:c r="O165" s="117" t="str">
        <x:v>Jace Gentil</x:v>
      </x:c>
      <x:c r="P165" s="120" t="n">
        <x:v>44813.58483796296</x:v>
      </x:c>
      <x:c r="Q165" s="117" t="str">
        <x:v>Jace Gentil</x:v>
      </x:c>
      <x:c r="R165" s="117" t="str">
        <x:v>Auto Create Return Opportunity for Exchange Purchasing Ops</x:v>
      </x:c>
      <x:c r="S165" s="119" t="str">
        <x:v>Automatically Create Return Opportunity for Exchange Purchasing Ops</x:v>
      </x:c>
    </x:row>
    <x:row r="166" ht="30" customHeight="1">
      <x:c r="A166" s="117" t="str">
        <x:v>Auto_Create_Return_Opportunity_for_Exchange_Purchasing_Ops</x:v>
      </x:c>
      <x:c r="B166" s="117" t="str">
        <x:v>3005b000000H497AAC</x:v>
      </x:c>
      <x:c r="C166" s="117" t="str">
        <x:v>3015b000000ELcbAAG</x:v>
      </x:c>
      <x:c r="D166" s="118" t="n">
        <x:v>8</x:v>
      </x:c>
      <x:c r="E166" s="117" t="str">
        <x:v>Obsolete</x:v>
      </x:c>
      <x:c r="F166" s="117" t="str">
        <x:v>No</x:v>
      </x:c>
      <x:c r="G166" s="117" t="str">
        <x:v>No</x:v>
      </x:c>
      <x:c r="H166" s="117" t="str">
        <x:v>AutoLaunchedFlow</x:v>
      </x:c>
      <x:c r="I166" s="118" t="n">
        <x:v>55</x:v>
      </x:c>
      <x:c r="J166" s="117" t="str">
        <x:v>unmanaged</x:v>
      </x:c>
      <x:c r="K166" s="123" t="b">
        <x:v>0</x:v>
      </x:c>
      <x:c r="L166" s="117"/>
      <x:c r="M166" s="118"/>
      <x:c r="N166" s="120" t="n">
        <x:v>44813.675416666665</x:v>
      </x:c>
      <x:c r="O166" s="117" t="str">
        <x:v>Jace Gentil</x:v>
      </x:c>
      <x:c r="P166" s="120" t="n">
        <x:v>44813.67543981481</x:v>
      </x:c>
      <x:c r="Q166" s="117" t="str">
        <x:v>Jace Gentil</x:v>
      </x:c>
      <x:c r="R166" s="117" t="str">
        <x:v>Auto Create Return Opportunity for Exchange Purchasing Ops</x:v>
      </x:c>
      <x:c r="S166" s="119" t="str">
        <x:v>Automatically Create Return Opportunity for Exchange Purchasing Ops</x:v>
      </x:c>
    </x:row>
    <x:row r="167" ht="30" customHeight="1">
      <x:c r="A167" s="117" t="str">
        <x:v>Auto_Create_Return_Opportunity_for_Exchange_Purchasing_Ops</x:v>
      </x:c>
      <x:c r="B167" s="117" t="str">
        <x:v>3005b000000H497AAC</x:v>
      </x:c>
      <x:c r="C167" s="117" t="str">
        <x:v>3015b000000W1ebAAC</x:v>
      </x:c>
      <x:c r="D167" s="118" t="n">
        <x:v>9</x:v>
      </x:c>
      <x:c r="E167" s="117" t="str">
        <x:v>InvalidDraft</x:v>
      </x:c>
      <x:c r="F167" s="117" t="str">
        <x:v>No</x:v>
      </x:c>
      <x:c r="G167" s="117" t="str">
        <x:v>No</x:v>
      </x:c>
      <x:c r="H167" s="117" t="str">
        <x:v>AutoLaunchedFlow</x:v>
      </x:c>
      <x:c r="I167" s="118" t="n">
        <x:v>55</x:v>
      </x:c>
      <x:c r="J167" s="117" t="str">
        <x:v>unmanaged</x:v>
      </x:c>
      <x:c r="K167" s="123" t="b">
        <x:v>0</x:v>
      </x:c>
      <x:c r="L167" s="117"/>
      <x:c r="M167" s="118"/>
      <x:c r="N167" s="120" t="n">
        <x:v>45030.72826388889</x:v>
      </x:c>
      <x:c r="O167" s="117" t="str">
        <x:v>Jace Gentil</x:v>
      </x:c>
      <x:c r="P167" s="120" t="n">
        <x:v>45030.72827546296</x:v>
      </x:c>
      <x:c r="Q167" s="117" t="str">
        <x:v>Jace Gentil</x:v>
      </x:c>
      <x:c r="R167" s="117" t="str">
        <x:v>Auto Create Return Opportunity for Exchange Purchasing Ops</x:v>
      </x:c>
      <x:c r="S167" s="119" t="str">
        <x:v>Automatically Create Return Opportunity for Exchange Purchasing Ops</x:v>
      </x:c>
    </x:row>
    <x:row r="168" ht="30" customHeight="1">
      <x:c r="A168" s="117" t="str">
        <x:v>Auto_Create_Return_Opportunity_for_Exchange_Purchasing_Ops</x:v>
      </x:c>
      <x:c r="B168" s="117" t="str">
        <x:v>3005b000000H497AAC</x:v>
      </x:c>
      <x:c r="C168" s="117" t="str">
        <x:v>3015b000000A7DIAA0</x:v>
      </x:c>
      <x:c r="D168" s="118" t="n">
        <x:v>10</x:v>
      </x:c>
      <x:c r="E168" s="117" t="str">
        <x:v>Obsolete</x:v>
      </x:c>
      <x:c r="F168" s="117" t="str">
        <x:v>No</x:v>
      </x:c>
      <x:c r="G168" s="117" t="str">
        <x:v>No</x:v>
      </x:c>
      <x:c r="H168" s="117" t="str">
        <x:v>AutoLaunchedFlow</x:v>
      </x:c>
      <x:c r="I168" s="118" t="n">
        <x:v>55</x:v>
      </x:c>
      <x:c r="J168" s="117" t="str">
        <x:v>unmanaged</x:v>
      </x:c>
      <x:c r="K168" s="123" t="b">
        <x:v>0</x:v>
      </x:c>
      <x:c r="L168" s="117"/>
      <x:c r="M168" s="118"/>
      <x:c r="N168" s="120" t="n">
        <x:v>44844.575902777775</x:v>
      </x:c>
      <x:c r="O168" s="117" t="str">
        <x:v>Jace Gentil</x:v>
      </x:c>
      <x:c r="P168" s="120" t="n">
        <x:v>44844.576053240744</x:v>
      </x:c>
      <x:c r="Q168" s="117" t="str">
        <x:v>Jace Gentil</x:v>
      </x:c>
      <x:c r="R168" s="117" t="str">
        <x:v>Auto Create Return Opportunity for Exchange Purchasing Ops</x:v>
      </x:c>
      <x:c r="S168" s="119" t="str">
        <x:v>Automatically Create Return Opportunity for Exchange Purchasing Ops</x:v>
      </x:c>
    </x:row>
    <x:row r="169" ht="30" customHeight="1">
      <x:c r="A169" s="117" t="str">
        <x:v>Auto_Create_Return_Opportunity_for_Exchange_Purchasing_Ops</x:v>
      </x:c>
      <x:c r="B169" s="117" t="str">
        <x:v>3005b000000H497AAC</x:v>
      </x:c>
      <x:c r="C169" s="117" t="str">
        <x:v>3015b000000W1egAAC</x:v>
      </x:c>
      <x:c r="D169" s="118" t="n">
        <x:v>11</x:v>
      </x:c>
      <x:c r="E169" s="117" t="str">
        <x:v>Obsolete</x:v>
      </x:c>
      <x:c r="F169" s="117" t="str">
        <x:v>No</x:v>
      </x:c>
      <x:c r="G169" s="117" t="str">
        <x:v>No</x:v>
      </x:c>
      <x:c r="H169" s="117" t="str">
        <x:v>AutoLaunchedFlow</x:v>
      </x:c>
      <x:c r="I169" s="118" t="n">
        <x:v>55</x:v>
      </x:c>
      <x:c r="J169" s="117" t="str">
        <x:v>unmanaged</x:v>
      </x:c>
      <x:c r="K169" s="123" t="b">
        <x:v>0</x:v>
      </x:c>
      <x:c r="L169" s="117"/>
      <x:c r="M169" s="118"/>
      <x:c r="N169" s="120" t="n">
        <x:v>45030.7287037037</x:v>
      </x:c>
      <x:c r="O169" s="117" t="str">
        <x:v>Jace Gentil</x:v>
      </x:c>
      <x:c r="P169" s="120" t="n">
        <x:v>45030.728738425925</x:v>
      </x:c>
      <x:c r="Q169" s="117" t="str">
        <x:v>Jace Gentil</x:v>
      </x:c>
      <x:c r="R169" s="117" t="str">
        <x:v>Auto Create Return Opportunity for Exchange Purchasing Ops</x:v>
      </x:c>
      <x:c r="S169" s="119" t="str">
        <x:v>Automatically Create Return Opportunity for Exchange Purchasing Ops</x:v>
      </x:c>
    </x:row>
    <x:row r="170" ht="30" customHeight="1">
      <x:c r="A170" s="117" t="str">
        <x:v>Auto_Create_Return_Opportunity_for_Exchange_Purchasing_Ops</x:v>
      </x:c>
      <x:c r="B170" s="117" t="str">
        <x:v>3005b000000H497AAC</x:v>
      </x:c>
      <x:c r="C170" s="117" t="str">
        <x:v>3015b000000APelAAG</x:v>
      </x:c>
      <x:c r="D170" s="118" t="n">
        <x:v>12</x:v>
      </x:c>
      <x:c r="E170" s="117" t="str">
        <x:v>Draft</x:v>
      </x:c>
      <x:c r="F170" s="117" t="str">
        <x:v>No</x:v>
      </x:c>
      <x:c r="G170" s="117" t="str">
        <x:v>No</x:v>
      </x:c>
      <x:c r="H170" s="117" t="str">
        <x:v>AutoLaunchedFlow</x:v>
      </x:c>
      <x:c r="I170" s="118" t="n">
        <x:v>55</x:v>
      </x:c>
      <x:c r="J170" s="117" t="str">
        <x:v>unmanaged</x:v>
      </x:c>
      <x:c r="K170" s="123" t="b">
        <x:v>0</x:v>
      </x:c>
      <x:c r="L170" s="117"/>
      <x:c r="M170" s="118"/>
      <x:c r="N170" s="120" t="n">
        <x:v>45145.54451388889</x:v>
      </x:c>
      <x:c r="O170" s="117" t="str">
        <x:v>Delegate</x:v>
      </x:c>
      <x:c r="P170" s="120" t="n">
        <x:v>45145.54452546296</x:v>
      </x:c>
      <x:c r="Q170" s="117" t="str">
        <x:v>Delegate</x:v>
      </x:c>
      <x:c r="R170" s="117" t="str">
        <x:v>Auto Create Return Opportunity for Exchange Purchasing Ops</x:v>
      </x:c>
      <x:c r="S170" s="119" t="str">
        <x:v>Added asynchronous path</x:v>
      </x:c>
    </x:row>
    <x:row r="171" ht="30" customHeight="1">
      <x:c r="A171" s="117" t="str">
        <x:v>Auto_Create_Return_Opportunity_for_Exchange_Purchasing_Ops</x:v>
      </x:c>
      <x:c r="B171" s="117" t="str">
        <x:v>3005b000000H497AAC</x:v>
      </x:c>
      <x:c r="C171" s="117" t="str">
        <x:v>301Ro00000CkLsAIAV</x:v>
      </x:c>
      <x:c r="D171" s="118" t="n">
        <x:v>13</x:v>
      </x:c>
      <x:c r="E171" s="117" t="str">
        <x:v>Active</x:v>
      </x:c>
      <x:c r="F171" s="117" t="str">
        <x:v>Yes</x:v>
      </x:c>
      <x:c r="G171" s="117" t="str">
        <x:v>Yes</x:v>
      </x:c>
      <x:c r="H171" s="117" t="str">
        <x:v>AutoLaunchedFlow</x:v>
      </x:c>
      <x:c r="I171" s="118" t="n">
        <x:v>55</x:v>
      </x:c>
      <x:c r="J171" s="117" t="str">
        <x:v>unmanaged</x:v>
      </x:c>
      <x:c r="K171" s="123" t="b">
        <x:v>0</x:v>
      </x:c>
      <x:c r="L171" s="117"/>
      <x:c r="M171" s="118"/>
      <x:c r="N171" s="120" t="n">
        <x:v>45425.827314814815</x:v>
      </x:c>
      <x:c r="O171" s="117" t="str">
        <x:v>Jace Gentil</x:v>
      </x:c>
      <x:c r="P171" s="120" t="n">
        <x:v>45425.8275</x:v>
      </x:c>
      <x:c r="Q171" s="117" t="str">
        <x:v>Jace Gentil</x:v>
      </x:c>
      <x:c r="R171" s="117" t="str">
        <x:v>Auto Create Return Opportunity for Exchange Purchasing Ops</x:v>
      </x:c>
      <x:c r="S171" s="119" t="str">
        <x:v>Automatically Create Return Opportunity for Exchange Purchasing Ops</x:v>
      </x:c>
    </x:row>
    <x:row r="172" ht="30" customHeight="1">
      <x:c r="A172" s="117" t="str">
        <x:v>Auto_Create_RMAs_from_Service_Appointments_for_UK</x:v>
      </x:c>
      <x:c r="B172" s="117" t="str">
        <x:v>300Ro00000REVFiIAP</x:v>
      </x:c>
      <x:c r="C172" s="117" t="str">
        <x:v>301Ro00000U2G7XIAV</x:v>
      </x:c>
      <x:c r="D172" s="118" t="n">
        <x:v>1</x:v>
      </x:c>
      <x:c r="E172" s="117" t="str">
        <x:v>Obsolete</x:v>
      </x:c>
      <x:c r="F172" s="117" t="str">
        <x:v>No</x:v>
      </x:c>
      <x:c r="G172" s="117" t="str">
        <x:v>No</x:v>
      </x:c>
      <x:c r="H172" s="117" t="str">
        <x:v>AutoLaunchedFlow</x:v>
      </x:c>
      <x:c r="I172" s="118" t="n">
        <x:v>56</x:v>
      </x:c>
      <x:c r="J172" s="117" t="str">
        <x:v>unmanaged</x:v>
      </x:c>
      <x:c r="K172" s="123" t="b">
        <x:v>0</x:v>
      </x:c>
      <x:c r="L172" s="117"/>
      <x:c r="M172" s="118"/>
      <x:c r="N172" s="120" t="n">
        <x:v>45702.59244212963</x:v>
      </x:c>
      <x:c r="O172" s="117" t="str">
        <x:v>Delegate</x:v>
      </x:c>
      <x:c r="P172" s="120" t="n">
        <x:v>45702.600590277776</x:v>
      </x:c>
      <x:c r="Q172" s="117" t="str">
        <x:v>Delegate</x:v>
      </x:c>
      <x:c r="R172" s="117" t="str">
        <x:v>Auto-Create RMAs from Service Appointments for UK</x:v>
      </x:c>
      <x:c r="S172" s="119" t="str">
        <x:v>02/11/2025 (BW) - Updating it to use the parts used.</x:v>
      </x:c>
    </x:row>
    <x:row r="173" ht="30" customHeight="1">
      <x:c r="A173" s="117" t="str">
        <x:v>Auto_Create_RMAs_from_Service_Appointments_for_UK</x:v>
      </x:c>
      <x:c r="B173" s="117" t="str">
        <x:v>300Ro00000REVFiIAP</x:v>
      </x:c>
      <x:c r="C173" s="117" t="str">
        <x:v>301Ro00000YgaZuIAJ</x:v>
      </x:c>
      <x:c r="D173" s="118" t="n">
        <x:v>2</x:v>
      </x:c>
      <x:c r="E173" s="117" t="str">
        <x:v>Obsolete</x:v>
      </x:c>
      <x:c r="F173" s="117" t="str">
        <x:v>No</x:v>
      </x:c>
      <x:c r="G173" s="117" t="str">
        <x:v>No</x:v>
      </x:c>
      <x:c r="H173" s="117" t="str">
        <x:v>AutoLaunchedFlow</x:v>
      </x:c>
      <x:c r="I173" s="118" t="n">
        <x:v>56</x:v>
      </x:c>
      <x:c r="J173" s="117" t="str">
        <x:v>unmanaged</x:v>
      </x:c>
      <x:c r="K173" s="123" t="b">
        <x:v>0</x:v>
      </x:c>
      <x:c r="L173" s="117"/>
      <x:c r="M173" s="118"/>
      <x:c r="N173" s="120" t="n">
        <x:v>45784.609768518516</x:v>
      </x:c>
      <x:c r="O173" s="117" t="str">
        <x:v>Delegate</x:v>
      </x:c>
      <x:c r="P173" s="120" t="n">
        <x:v>45784.609814814816</x:v>
      </x:c>
      <x:c r="Q173" s="117" t="str">
        <x:v>Delegate</x:v>
      </x:c>
      <x:c r="R173" s="117" t="str">
        <x:v>Auto-Create RMAs from Service Appointments for UK</x:v>
      </x:c>
      <x:c r="S173" s="119" t="str">
        <x:v>05/07/2025 (BW) - Updated to remove the ship location from the RMA creation process filter</x:v>
      </x:c>
    </x:row>
    <x:row r="174" ht="30" customHeight="1">
      <x:c r="A174" s="117" t="str">
        <x:v>Auto_Create_RMAs_from_Service_Appointments_for_UK</x:v>
      </x:c>
      <x:c r="B174" s="117" t="str">
        <x:v>300Ro00000REVFiIAP</x:v>
      </x:c>
      <x:c r="C174" s="117" t="str">
        <x:v>301Ro00000YhRmOIAV</x:v>
      </x:c>
      <x:c r="D174" s="118" t="n">
        <x:v>3</x:v>
      </x:c>
      <x:c r="E174" s="117" t="str">
        <x:v>Obsolete</x:v>
      </x:c>
      <x:c r="F174" s="117" t="str">
        <x:v>No</x:v>
      </x:c>
      <x:c r="G174" s="117" t="str">
        <x:v>No</x:v>
      </x:c>
      <x:c r="H174" s="117" t="str">
        <x:v>AutoLaunchedFlow</x:v>
      </x:c>
      <x:c r="I174" s="118" t="n">
        <x:v>56</x:v>
      </x:c>
      <x:c r="J174" s="117" t="str">
        <x:v>unmanaged</x:v>
      </x:c>
      <x:c r="K174" s="123" t="b">
        <x:v>0</x:v>
      </x:c>
      <x:c r="L174" s="117"/>
      <x:c r="M174" s="118"/>
      <x:c r="N174" s="120" t="n">
        <x:v>45784.72956018519</x:v>
      </x:c>
      <x:c r="O174" s="117" t="str">
        <x:v>Delegate</x:v>
      </x:c>
      <x:c r="P174" s="120" t="n">
        <x:v>45796.66782407407</x:v>
      </x:c>
      <x:c r="Q174" s="117" t="str">
        <x:v>Delegate</x:v>
      </x:c>
      <x:c r="R174" s="117" t="str">
        <x:v>Auto-Create RMAs from Service Appointments for UK</x:v>
      </x:c>
      <x:c r="S174" s="119" t="str">
        <x:v>05/07/2025 (BW) - Added the Asynchronous path which marks the asset as sold and places it in shipping</x:v>
      </x:c>
    </x:row>
    <x:row r="175" ht="30" customHeight="1">
      <x:c r="A175" s="117" t="str">
        <x:v>Auto_Create_RMAs_from_Service_Appointments_for_UK</x:v>
      </x:c>
      <x:c r="B175" s="117" t="str">
        <x:v>300Ro00000REVFiIAP</x:v>
      </x:c>
      <x:c r="C175" s="117" t="str">
        <x:v>301Ro00000ZN15vIAD</x:v>
      </x:c>
      <x:c r="D175" s="118" t="n">
        <x:v>4</x:v>
      </x:c>
      <x:c r="E175" s="117" t="str">
        <x:v>Obsolete</x:v>
      </x:c>
      <x:c r="F175" s="117" t="str">
        <x:v>No</x:v>
      </x:c>
      <x:c r="G175" s="117" t="str">
        <x:v>No</x:v>
      </x:c>
      <x:c r="H175" s="117" t="str">
        <x:v>AutoLaunchedFlow</x:v>
      </x:c>
      <x:c r="I175" s="118" t="n">
        <x:v>56</x:v>
      </x:c>
      <x:c r="J175" s="117" t="str">
        <x:v>unmanaged</x:v>
      </x:c>
      <x:c r="K175" s="123" t="b">
        <x:v>0</x:v>
      </x:c>
      <x:c r="L175" s="117"/>
      <x:c r="M175" s="118"/>
      <x:c r="N175" s="120" t="n">
        <x:v>45796.66820601852</x:v>
      </x:c>
      <x:c r="O175" s="117" t="str">
        <x:v>Delegate</x:v>
      </x:c>
      <x:c r="P175" s="120" t="n">
        <x:v>46002.48415509259</x:v>
      </x:c>
      <x:c r="Q175" s="117" t="str">
        <x:v>Jon Kean</x:v>
      </x:c>
      <x:c r="R175" s="117" t="str">
        <x:v>Create RMAs from Service Appointment &amp; Mark Items as Shipping Location - UK</x:v>
      </x:c>
      <x:c r="S175" s="119" t="str">
        <x:v>05/07/2025 (BW) - Added the Asynchronous path which marks the asset as sold and places it in shipping</x:v>
      </x:c>
    </x:row>
    <x:row r="176" ht="30" customHeight="1">
      <x:c r="A176" s="117" t="str">
        <x:v>Auto_Create_RMAs_from_Service_Appointments_for_UK</x:v>
      </x:c>
      <x:c r="B176" s="117" t="str">
        <x:v>300Ro00000REVFiIAP</x:v>
      </x:c>
      <x:c r="C176" s="117" t="str">
        <x:v>301Ro000016Cl8sIAC</x:v>
      </x:c>
      <x:c r="D176" s="118" t="n">
        <x:v>5</x:v>
      </x:c>
      <x:c r="E176" s="117" t="str">
        <x:v>Draft</x:v>
      </x:c>
      <x:c r="F176" s="117" t="str">
        <x:v>No</x:v>
      </x:c>
      <x:c r="G176" s="117" t="str">
        <x:v>No</x:v>
      </x:c>
      <x:c r="H176" s="117" t="str">
        <x:v>AutoLaunchedFlow</x:v>
      </x:c>
      <x:c r="I176" s="118" t="n">
        <x:v>56</x:v>
      </x:c>
      <x:c r="J176" s="117" t="str">
        <x:v>unmanaged</x:v>
      </x:c>
      <x:c r="K176" s="123" t="b">
        <x:v>0</x:v>
      </x:c>
      <x:c r="L176" s="117"/>
      <x:c r="M176" s="118"/>
      <x:c r="N176" s="120" t="n">
        <x:v>46162.6515625</x:v>
      </x:c>
      <x:c r="O176" s="117" t="str">
        <x:v>Sacha Pearce</x:v>
      </x:c>
      <x:c r="P176" s="120" t="n">
        <x:v>46162.65158564815</x:v>
      </x:c>
      <x:c r="Q176" s="117" t="str">
        <x:v>Sacha Pearce</x:v>
      </x:c>
      <x:c r="R176" s="117" t="str">
        <x:v>Create RMAs from Service Appointment &amp; Mark Items as Shipping Location - UK</x:v>
      </x:c>
      <x:c r="S176" s="119" t="str">
        <x:v>20/05/2026 - SP - Updating the Flow to build the RMAs via a record collection instead of one per loop of Work Order Line Items.</x:v>
      </x:c>
    </x:row>
    <x:row r="177" ht="30" customHeight="1">
      <x:c r="A177" s="117" t="str">
        <x:v>Auto_Create_RMAs_from_Service_Appointments_for_UK</x:v>
      </x:c>
      <x:c r="B177" s="117" t="str">
        <x:v>300Ro00000REVFiIAP</x:v>
      </x:c>
      <x:c r="C177" s="117" t="str">
        <x:v>301Ro000016QCMYIA4</x:v>
      </x:c>
      <x:c r="D177" s="118" t="n">
        <x:v>6</x:v>
      </x:c>
      <x:c r="E177" s="117" t="str">
        <x:v>Obsolete</x:v>
      </x:c>
      <x:c r="F177" s="117" t="str">
        <x:v>No</x:v>
      </x:c>
      <x:c r="G177" s="117" t="str">
        <x:v>No</x:v>
      </x:c>
      <x:c r="H177" s="117" t="str">
        <x:v>AutoLaunchedFlow</x:v>
      </x:c>
      <x:c r="I177" s="118" t="n">
        <x:v>56</x:v>
      </x:c>
      <x:c r="J177" s="117" t="str">
        <x:v>unmanaged</x:v>
      </x:c>
      <x:c r="K177" s="123" t="b">
        <x:v>0</x:v>
      </x:c>
      <x:c r="L177" s="117"/>
      <x:c r="M177" s="118"/>
      <x:c r="N177" s="120" t="n">
        <x:v>46164.52552083333</x:v>
      </x:c>
      <x:c r="O177" s="117" t="str">
        <x:v>Delegate</x:v>
      </x:c>
      <x:c r="P177" s="120" t="n">
        <x:v>46164.52559027778</x:v>
      </x:c>
      <x:c r="Q177" s="117" t="str">
        <x:v>Delegate</x:v>
      </x:c>
      <x:c r="R177" s="117" t="str">
        <x:v>Create RMAs from Service Appointment &amp; Mark Items as Shipping Location - UK</x:v>
      </x:c>
      <x:c r="S177" s="119" t="str">
        <x:v>05/22/2026 (BW) - Updated so the creation of the RMA happens Asynchronously</x:v>
      </x:c>
    </x:row>
    <x:row r="178" ht="30" customHeight="1">
      <x:c r="A178" s="117" t="str">
        <x:v>Auto_Create_RMAs_from_Service_Appointments_for_UK</x:v>
      </x:c>
      <x:c r="B178" s="117" t="str">
        <x:v>300Ro00000REVFiIAP</x:v>
      </x:c>
      <x:c r="C178" s="117" t="str">
        <x:v>301Ro000017l0OEIAY</x:v>
      </x:c>
      <x:c r="D178" s="118" t="n">
        <x:v>7</x:v>
      </x:c>
      <x:c r="E178" s="117" t="str">
        <x:v>Active</x:v>
      </x:c>
      <x:c r="F178" s="117" t="str">
        <x:v>Yes</x:v>
      </x:c>
      <x:c r="G178" s="117" t="str">
        <x:v>Yes</x:v>
      </x:c>
      <x:c r="H178" s="117" t="str">
        <x:v>AutoLaunchedFlow</x:v>
      </x:c>
      <x:c r="I178" s="118" t="n">
        <x:v>56</x:v>
      </x:c>
      <x:c r="J178" s="117" t="str">
        <x:v>unmanaged</x:v>
      </x:c>
      <x:c r="K178" s="123" t="b">
        <x:v>0</x:v>
      </x:c>
      <x:c r="L178" s="117"/>
      <x:c r="M178" s="118"/>
      <x:c r="N178" s="120" t="n">
        <x:v>46178.893587962964</x:v>
      </x:c>
      <x:c r="O178" s="117" t="str">
        <x:v>Delegate</x:v>
      </x:c>
      <x:c r="P178" s="120" t="n">
        <x:v>46178.894224537034</x:v>
      </x:c>
      <x:c r="Q178" s="117" t="str">
        <x:v>Delegate</x:v>
      </x:c>
      <x:c r="R178" s="117" t="str">
        <x:v>Create RMAs from Service Appointment &amp; Mark Items as Shipping Location - UK</x:v>
      </x:c>
      <x:c r="S178" s="119" t="str">
        <x:v>06/05/2026 (BW) - Updating so the RMA is not generated automatically upon entering of a ship date in the US. This can still happen in the UK</x:v>
      </x:c>
    </x:row>
    <x:row r="179" ht="30" customHeight="1">
      <x:c r="A179" s="117" t="str">
        <x:v>Auto_Create_RMAs_from_Work_Orders_for_UK</x:v>
      </x:c>
      <x:c r="B179" s="117" t="str">
        <x:v>3005b000000LGuSAAW</x:v>
      </x:c>
      <x:c r="C179" s="117" t="str">
        <x:v>3015b000000A9aYAAS</x:v>
      </x:c>
      <x:c r="D179" s="118" t="n">
        <x:v>1</x:v>
      </x:c>
      <x:c r="E179" s="117" t="str">
        <x:v>Obsolete</x:v>
      </x:c>
      <x:c r="F179" s="117" t="str">
        <x:v>No</x:v>
      </x:c>
      <x:c r="G179" s="117" t="str">
        <x:v>No</x:v>
      </x:c>
      <x:c r="H179" s="117" t="str">
        <x:v>AutoLaunchedFlow</x:v>
      </x:c>
      <x:c r="I179" s="118" t="n">
        <x:v>56</x:v>
      </x:c>
      <x:c r="J179" s="117" t="str">
        <x:v>unmanaged</x:v>
      </x:c>
      <x:c r="K179" s="123" t="b">
        <x:v>0</x:v>
      </x:c>
      <x:c r="L179" s="117"/>
      <x:c r="M179" s="118"/>
      <x:c r="N179" s="120" t="n">
        <x:v>44873.613125</x:v>
      </x:c>
      <x:c r="O179" s="117" t="str">
        <x:v>Jace Gentil</x:v>
      </x:c>
      <x:c r="P179" s="120" t="n">
        <x:v>44873.65734953704</x:v>
      </x:c>
      <x:c r="Q179" s="117" t="str">
        <x:v>Jace Gentil</x:v>
      </x:c>
      <x:c r="R179" s="117" t="str">
        <x:v>Auto-Create RMAs from Work Orders for UK</x:v>
      </x:c>
      <x:c r="S179" s="119"/>
    </x:row>
    <x:row r="180" ht="30" customHeight="1">
      <x:c r="A180" s="117" t="str">
        <x:v>Auto_Create_RMAs_from_Work_Orders_for_UK</x:v>
      </x:c>
      <x:c r="B180" s="117" t="str">
        <x:v>3005b000000LGuSAAW</x:v>
      </x:c>
      <x:c r="C180" s="117" t="str">
        <x:v>3015b000000A9anAAC</x:v>
      </x:c>
      <x:c r="D180" s="118" t="n">
        <x:v>2</x:v>
      </x:c>
      <x:c r="E180" s="117" t="str">
        <x:v>Obsolete</x:v>
      </x:c>
      <x:c r="F180" s="117" t="str">
        <x:v>No</x:v>
      </x:c>
      <x:c r="G180" s="117" t="str">
        <x:v>No</x:v>
      </x:c>
      <x:c r="H180" s="117" t="str">
        <x:v>AutoLaunchedFlow</x:v>
      </x:c>
      <x:c r="I180" s="118" t="n">
        <x:v>56</x:v>
      </x:c>
      <x:c r="J180" s="117" t="str">
        <x:v>unmanaged</x:v>
      </x:c>
      <x:c r="K180" s="123" t="b">
        <x:v>0</x:v>
      </x:c>
      <x:c r="L180" s="117"/>
      <x:c r="M180" s="118"/>
      <x:c r="N180" s="120" t="n">
        <x:v>44873.66201388889</x:v>
      </x:c>
      <x:c r="O180" s="117" t="str">
        <x:v>Jace Gentil</x:v>
      </x:c>
      <x:c r="P180" s="120" t="n">
        <x:v>44873.66292824074</x:v>
      </x:c>
      <x:c r="Q180" s="117" t="str">
        <x:v>Jace Gentil</x:v>
      </x:c>
      <x:c r="R180" s="117" t="str">
        <x:v>Auto-Create RMAs from Work Orders for UK</x:v>
      </x:c>
      <x:c r="S180" s="119"/>
    </x:row>
    <x:row r="181" ht="30" customHeight="1">
      <x:c r="A181" s="117" t="str">
        <x:v>Auto_Create_RMAs_from_Work_Orders_for_UK</x:v>
      </x:c>
      <x:c r="B181" s="117" t="str">
        <x:v>3005b000000LGuSAAW</x:v>
      </x:c>
      <x:c r="C181" s="117" t="str">
        <x:v>3015b000000A9axAAC</x:v>
      </x:c>
      <x:c r="D181" s="118" t="n">
        <x:v>3</x:v>
      </x:c>
      <x:c r="E181" s="117" t="str">
        <x:v>Obsolete</x:v>
      </x:c>
      <x:c r="F181" s="117" t="str">
        <x:v>No</x:v>
      </x:c>
      <x:c r="G181" s="117" t="str">
        <x:v>No</x:v>
      </x:c>
      <x:c r="H181" s="117" t="str">
        <x:v>AutoLaunchedFlow</x:v>
      </x:c>
      <x:c r="I181" s="118" t="n">
        <x:v>56</x:v>
      </x:c>
      <x:c r="J181" s="117" t="str">
        <x:v>unmanaged</x:v>
      </x:c>
      <x:c r="K181" s="123" t="b">
        <x:v>0</x:v>
      </x:c>
      <x:c r="L181" s="117"/>
      <x:c r="M181" s="118"/>
      <x:c r="N181" s="120" t="n">
        <x:v>44873.666967592595</x:v>
      </x:c>
      <x:c r="O181" s="117" t="str">
        <x:v>Jace Gentil</x:v>
      </x:c>
      <x:c r="P181" s="120" t="n">
        <x:v>44873.66699074074</x:v>
      </x:c>
      <x:c r="Q181" s="117" t="str">
        <x:v>Jace Gentil</x:v>
      </x:c>
      <x:c r="R181" s="117" t="str">
        <x:v>Auto-Create RMAs from Work Orders for UK</x:v>
      </x:c>
      <x:c r="S181" s="119"/>
    </x:row>
    <x:row r="182" ht="30" customHeight="1">
      <x:c r="A182" s="117" t="str">
        <x:v>Auto_Create_RMAs_from_Work_Orders_for_UK</x:v>
      </x:c>
      <x:c r="B182" s="117" t="str">
        <x:v>3005b000000LGuSAAW</x:v>
      </x:c>
      <x:c r="C182" s="117" t="str">
        <x:v>3015b000000A9b7AAC</x:v>
      </x:c>
      <x:c r="D182" s="118" t="n">
        <x:v>4</x:v>
      </x:c>
      <x:c r="E182" s="117" t="str">
        <x:v>Obsolete</x:v>
      </x:c>
      <x:c r="F182" s="117" t="str">
        <x:v>No</x:v>
      </x:c>
      <x:c r="G182" s="117" t="str">
        <x:v>No</x:v>
      </x:c>
      <x:c r="H182" s="117" t="str">
        <x:v>AutoLaunchedFlow</x:v>
      </x:c>
      <x:c r="I182" s="118" t="n">
        <x:v>56</x:v>
      </x:c>
      <x:c r="J182" s="117" t="str">
        <x:v>unmanaged</x:v>
      </x:c>
      <x:c r="K182" s="123" t="b">
        <x:v>0</x:v>
      </x:c>
      <x:c r="L182" s="117"/>
      <x:c r="M182" s="118"/>
      <x:c r="N182" s="120" t="n">
        <x:v>44873.668020833335</x:v>
      </x:c>
      <x:c r="O182" s="117" t="str">
        <x:v>Jace Gentil</x:v>
      </x:c>
      <x:c r="P182" s="120" t="n">
        <x:v>44873.66809027778</x:v>
      </x:c>
      <x:c r="Q182" s="117" t="str">
        <x:v>Jace Gentil</x:v>
      </x:c>
      <x:c r="R182" s="117" t="str">
        <x:v>Auto-Create RMAs from Work Orders for UK</x:v>
      </x:c>
      <x:c r="S182" s="119"/>
    </x:row>
    <x:row r="183" ht="30" customHeight="1">
      <x:c r="A183" s="117" t="str">
        <x:v>Auto_Create_RMAs_from_Work_Orders_for_UK</x:v>
      </x:c>
      <x:c r="B183" s="117" t="str">
        <x:v>3005b000000LGuSAAW</x:v>
      </x:c>
      <x:c r="C183" s="117" t="str">
        <x:v>3015b000000A9bHAAS</x:v>
      </x:c>
      <x:c r="D183" s="118" t="n">
        <x:v>5</x:v>
      </x:c>
      <x:c r="E183" s="117" t="str">
        <x:v>Obsolete</x:v>
      </x:c>
      <x:c r="F183" s="117" t="str">
        <x:v>No</x:v>
      </x:c>
      <x:c r="G183" s="117" t="str">
        <x:v>No</x:v>
      </x:c>
      <x:c r="H183" s="117" t="str">
        <x:v>AutoLaunchedFlow</x:v>
      </x:c>
      <x:c r="I183" s="118" t="n">
        <x:v>56</x:v>
      </x:c>
      <x:c r="J183" s="117" t="str">
        <x:v>unmanaged</x:v>
      </x:c>
      <x:c r="K183" s="123" t="b">
        <x:v>0</x:v>
      </x:c>
      <x:c r="L183" s="117"/>
      <x:c r="M183" s="118"/>
      <x:c r="N183" s="120" t="n">
        <x:v>44873.67204861111</x:v>
      </x:c>
      <x:c r="O183" s="117" t="str">
        <x:v>Jace Gentil</x:v>
      </x:c>
      <x:c r="P183" s="120" t="n">
        <x:v>44873.672418981485</x:v>
      </x:c>
      <x:c r="Q183" s="117" t="str">
        <x:v>Jace Gentil</x:v>
      </x:c>
      <x:c r="R183" s="117" t="str">
        <x:v>Auto-Create RMAs from Work Orders for UK</x:v>
      </x:c>
      <x:c r="S183" s="119"/>
    </x:row>
    <x:row r="184" ht="30" customHeight="1">
      <x:c r="A184" s="117" t="str">
        <x:v>Auto_Create_RMAs_from_Work_Orders_for_UK</x:v>
      </x:c>
      <x:c r="B184" s="117" t="str">
        <x:v>3005b000000LGuSAAW</x:v>
      </x:c>
      <x:c r="C184" s="117" t="str">
        <x:v>3015b000000A9cGAAS</x:v>
      </x:c>
      <x:c r="D184" s="118" t="n">
        <x:v>6</x:v>
      </x:c>
      <x:c r="E184" s="117" t="str">
        <x:v>Draft</x:v>
      </x:c>
      <x:c r="F184" s="117" t="str">
        <x:v>No</x:v>
      </x:c>
      <x:c r="G184" s="117" t="str">
        <x:v>No</x:v>
      </x:c>
      <x:c r="H184" s="117" t="str">
        <x:v>AutoLaunchedFlow</x:v>
      </x:c>
      <x:c r="I184" s="118" t="n">
        <x:v>56</x:v>
      </x:c>
      <x:c r="J184" s="117" t="str">
        <x:v>unmanaged</x:v>
      </x:c>
      <x:c r="K184" s="123" t="b">
        <x:v>0</x:v>
      </x:c>
      <x:c r="L184" s="117"/>
      <x:c r="M184" s="118"/>
      <x:c r="N184" s="120" t="n">
        <x:v>44873.69627314815</x:v>
      </x:c>
      <x:c r="O184" s="117" t="str">
        <x:v>Jace Gentil</x:v>
      </x:c>
      <x:c r="P184" s="120" t="n">
        <x:v>44873.69630787037</x:v>
      </x:c>
      <x:c r="Q184" s="117" t="str">
        <x:v>Jace Gentil</x:v>
      </x:c>
      <x:c r="R184" s="117" t="str">
        <x:v>Auto-Create RMAs from Work Orders for UK</x:v>
      </x:c>
      <x:c r="S184" s="119"/>
    </x:row>
    <x:row r="185" ht="30" customHeight="1">
      <x:c r="A185" s="117" t="str">
        <x:v>Auto_Create_RMAs_from_Work_Orders_for_UK</x:v>
      </x:c>
      <x:c r="B185" s="117" t="str">
        <x:v>3005b000000LGuSAAW</x:v>
      </x:c>
      <x:c r="C185" s="117" t="str">
        <x:v>3015b000000A9cZAAS</x:v>
      </x:c>
      <x:c r="D185" s="118" t="n">
        <x:v>7</x:v>
      </x:c>
      <x:c r="E185" s="117" t="str">
        <x:v>Obsolete</x:v>
      </x:c>
      <x:c r="F185" s="117" t="str">
        <x:v>No</x:v>
      </x:c>
      <x:c r="G185" s="117" t="str">
        <x:v>No</x:v>
      </x:c>
      <x:c r="H185" s="117" t="str">
        <x:v>AutoLaunchedFlow</x:v>
      </x:c>
      <x:c r="I185" s="118" t="n">
        <x:v>56</x:v>
      </x:c>
      <x:c r="J185" s="117" t="str">
        <x:v>unmanaged</x:v>
      </x:c>
      <x:c r="K185" s="123" t="b">
        <x:v>0</x:v>
      </x:c>
      <x:c r="L185" s="117"/>
      <x:c r="M185" s="118"/>
      <x:c r="N185" s="120" t="n">
        <x:v>44873.70333333333</x:v>
      </x:c>
      <x:c r="O185" s="117" t="str">
        <x:v>Jace Gentil</x:v>
      </x:c>
      <x:c r="P185" s="120" t="n">
        <x:v>44873.70930555555</x:v>
      </x:c>
      <x:c r="Q185" s="117" t="str">
        <x:v>Jace Gentil</x:v>
      </x:c>
      <x:c r="R185" s="117" t="str">
        <x:v>Auto-Create RMAs from Work Orders for UK</x:v>
      </x:c>
      <x:c r="S185" s="119"/>
    </x:row>
    <x:row r="186" ht="30" customHeight="1">
      <x:c r="A186" s="117" t="str">
        <x:v>Auto_Create_RMAs_from_Work_Orders_for_UK</x:v>
      </x:c>
      <x:c r="B186" s="117" t="str">
        <x:v>3005b000000LGuSAAW</x:v>
      </x:c>
      <x:c r="C186" s="117" t="str">
        <x:v>3015b000000A9coAAC</x:v>
      </x:c>
      <x:c r="D186" s="118" t="n">
        <x:v>8</x:v>
      </x:c>
      <x:c r="E186" s="117" t="str">
        <x:v>Obsolete</x:v>
      </x:c>
      <x:c r="F186" s="117" t="str">
        <x:v>No</x:v>
      </x:c>
      <x:c r="G186" s="117" t="str">
        <x:v>No</x:v>
      </x:c>
      <x:c r="H186" s="117" t="str">
        <x:v>AutoLaunchedFlow</x:v>
      </x:c>
      <x:c r="I186" s="118" t="n">
        <x:v>56</x:v>
      </x:c>
      <x:c r="J186" s="117" t="str">
        <x:v>unmanaged</x:v>
      </x:c>
      <x:c r="K186" s="123" t="b">
        <x:v>0</x:v>
      </x:c>
      <x:c r="L186" s="117"/>
      <x:c r="M186" s="118"/>
      <x:c r="N186" s="120" t="n">
        <x:v>44873.71152777778</x:v>
      </x:c>
      <x:c r="O186" s="117" t="str">
        <x:v>Jace Gentil</x:v>
      </x:c>
      <x:c r="P186" s="120" t="n">
        <x:v>44873.711597222224</x:v>
      </x:c>
      <x:c r="Q186" s="117" t="str">
        <x:v>Jace Gentil</x:v>
      </x:c>
      <x:c r="R186" s="117" t="str">
        <x:v>Auto-Create RMAs from Work Orders for UK</x:v>
      </x:c>
      <x:c r="S186" s="119"/>
    </x:row>
    <x:row r="187" ht="30" customHeight="1">
      <x:c r="A187" s="117" t="str">
        <x:v>Auto_Create_RMAs_from_Work_Orders_for_UK</x:v>
      </x:c>
      <x:c r="B187" s="117" t="str">
        <x:v>3005b000000LGuSAAW</x:v>
      </x:c>
      <x:c r="C187" s="117" t="str">
        <x:v>3015b000000W4XOAA0</x:v>
      </x:c>
      <x:c r="D187" s="118" t="n">
        <x:v>9</x:v>
      </x:c>
      <x:c r="E187" s="117" t="str">
        <x:v>Obsolete</x:v>
      </x:c>
      <x:c r="F187" s="117" t="str">
        <x:v>No</x:v>
      </x:c>
      <x:c r="G187" s="117" t="str">
        <x:v>No</x:v>
      </x:c>
      <x:c r="H187" s="117" t="str">
        <x:v>AutoLaunchedFlow</x:v>
      </x:c>
      <x:c r="I187" s="118" t="n">
        <x:v>56</x:v>
      </x:c>
      <x:c r="J187" s="117" t="str">
        <x:v>unmanaged</x:v>
      </x:c>
      <x:c r="K187" s="123" t="b">
        <x:v>0</x:v>
      </x:c>
      <x:c r="L187" s="117"/>
      <x:c r="M187" s="118"/>
      <x:c r="N187" s="120" t="n">
        <x:v>45103.48409722222</x:v>
      </x:c>
      <x:c r="O187" s="117" t="str">
        <x:v>Jon Kean</x:v>
      </x:c>
      <x:c r="P187" s="120" t="n">
        <x:v>45103.48415509259</x:v>
      </x:c>
      <x:c r="Q187" s="117" t="str">
        <x:v>Jon Kean</x:v>
      </x:c>
      <x:c r="R187" s="117" t="str">
        <x:v>Auto-Create RMAs from Work Orders for UK</x:v>
      </x:c>
      <x:c r="S187" s="119"/>
    </x:row>
    <x:row r="188" ht="30" customHeight="1">
      <x:c r="A188" s="117" t="str">
        <x:v>Auto_Create_RMAs_from_Work_Orders_for_UK</x:v>
      </x:c>
      <x:c r="B188" s="117" t="str">
        <x:v>3005b000000LGuSAAW</x:v>
      </x:c>
      <x:c r="C188" s="117" t="str">
        <x:v>3015b000000W4bVAAS</x:v>
      </x:c>
      <x:c r="D188" s="118" t="n">
        <x:v>10</x:v>
      </x:c>
      <x:c r="E188" s="117" t="str">
        <x:v>Obsolete</x:v>
      </x:c>
      <x:c r="F188" s="117" t="str">
        <x:v>No</x:v>
      </x:c>
      <x:c r="G188" s="117" t="str">
        <x:v>No</x:v>
      </x:c>
      <x:c r="H188" s="117" t="str">
        <x:v>AutoLaunchedFlow</x:v>
      </x:c>
      <x:c r="I188" s="118" t="n">
        <x:v>56</x:v>
      </x:c>
      <x:c r="J188" s="117" t="str">
        <x:v>unmanaged</x:v>
      </x:c>
      <x:c r="K188" s="123" t="b">
        <x:v>0</x:v>
      </x:c>
      <x:c r="L188" s="117"/>
      <x:c r="M188" s="118"/>
      <x:c r="N188" s="120" t="n">
        <x:v>45104.665347222224</x:v>
      </x:c>
      <x:c r="O188" s="117" t="str">
        <x:v>Jon Kean</x:v>
      </x:c>
      <x:c r="P188" s="120" t="n">
        <x:v>45104.66541666666</x:v>
      </x:c>
      <x:c r="Q188" s="117" t="str">
        <x:v>Jon Kean</x:v>
      </x:c>
      <x:c r="R188" s="117" t="str">
        <x:v>Auto-Create RMAs from Work Orders for UK</x:v>
      </x:c>
      <x:c r="S188" s="119"/>
    </x:row>
    <x:row r="189" ht="30" customHeight="1">
      <x:c r="A189" s="117" t="str">
        <x:v>Auto_Create_RMAs_from_Work_Orders_for_UK</x:v>
      </x:c>
      <x:c r="B189" s="117" t="str">
        <x:v>3005b000000LGuSAAW</x:v>
      </x:c>
      <x:c r="C189" s="117" t="str">
        <x:v>3015b000000W4baAAC</x:v>
      </x:c>
      <x:c r="D189" s="118" t="n">
        <x:v>11</x:v>
      </x:c>
      <x:c r="E189" s="117" t="str">
        <x:v>Active</x:v>
      </x:c>
      <x:c r="F189" s="117" t="str">
        <x:v>Yes</x:v>
      </x:c>
      <x:c r="G189" s="117" t="str">
        <x:v>Yes</x:v>
      </x:c>
      <x:c r="H189" s="117" t="str">
        <x:v>AutoLaunchedFlow</x:v>
      </x:c>
      <x:c r="I189" s="118" t="n">
        <x:v>56</x:v>
      </x:c>
      <x:c r="J189" s="117" t="str">
        <x:v>unmanaged</x:v>
      </x:c>
      <x:c r="K189" s="123" t="b">
        <x:v>0</x:v>
      </x:c>
      <x:c r="L189" s="117"/>
      <x:c r="M189" s="118"/>
      <x:c r="N189" s="120" t="n">
        <x:v>45104.66706018519</x:v>
      </x:c>
      <x:c r="O189" s="117" t="str">
        <x:v>Jon Kean</x:v>
      </x:c>
      <x:c r="P189" s="120" t="n">
        <x:v>46002.482939814814</x:v>
      </x:c>
      <x:c r="Q189" s="117" t="str">
        <x:v>Jon Kean</x:v>
      </x:c>
      <x:c r="R189" s="117" t="str">
        <x:v>Auto-Create RMAs from Work Orders for UK</x:v>
      </x:c>
      <x:c r="S189" s="119"/>
    </x:row>
    <x:row r="190" ht="30" customHeight="1">
      <x:c r="A190" s="117" t="str">
        <x:v>Autolaunched_Create_Service_or_Sales_Asset</x:v>
      </x:c>
      <x:c r="B190" s="117" t="str">
        <x:v>300Ro00000cwVgfIAE</x:v>
      </x:c>
      <x:c r="C190" s="117" t="str">
        <x:v>301Ro00000iXAs5IAG</x:v>
      </x:c>
      <x:c r="D190" s="118" t="n">
        <x:v>1</x:v>
      </x:c>
      <x:c r="E190" s="117" t="str">
        <x:v>InvalidDraft</x:v>
      </x:c>
      <x:c r="F190" s="117" t="str">
        <x:v>No</x:v>
      </x:c>
      <x:c r="G190" s="117" t="str">
        <x:v>Yes</x:v>
      </x:c>
      <x:c r="H190" s="117" t="str">
        <x:v>AutoLaunchedFlow</x:v>
      </x:c>
      <x:c r="I190" s="118" t="n">
        <x:v>62</x:v>
      </x:c>
      <x:c r="J190" s="117" t="str">
        <x:v>unmanaged</x:v>
      </x:c>
      <x:c r="K190" s="123" t="b">
        <x:v>0</x:v>
      </x:c>
      <x:c r="L190" s="117"/>
      <x:c r="M190" s="118"/>
      <x:c r="N190" s="120" t="n">
        <x:v>45884.74855324074</x:v>
      </x:c>
      <x:c r="O190" s="117" t="str">
        <x:v>Delegate</x:v>
      </x:c>
      <x:c r="P190" s="120" t="n">
        <x:v>45884.74859953704</x:v>
      </x:c>
      <x:c r="Q190" s="117" t="str">
        <x:v>Delegate</x:v>
      </x:c>
      <x:c r="R190" s="117" t="str">
        <x:v>Autolaunched | Create Service or Sales Asset</x:v>
      </x:c>
      <x:c r="S190" s="119" t="str">
        <x:v>09/16/2024 (BW) - Updated so that the account comes over now too</x:v>
      </x:c>
    </x:row>
    <x:row r="191" ht="30" customHeight="1">
      <x:c r="A191" s="117" t="str">
        <x:v>Automated_Collections_Template</x:v>
      </x:c>
      <x:c r="B191" s="117" t="str">
        <x:v>3005b000000LGdgAAG</x:v>
      </x:c>
      <x:c r="C191" s="117" t="str">
        <x:v>3015b000000A7ZiAAK</x:v>
      </x:c>
      <x:c r="D191" s="118" t="n">
        <x:v>1</x:v>
      </x:c>
      <x:c r="E191" s="117" t="str">
        <x:v>Draft</x:v>
      </x:c>
      <x:c r="F191" s="117" t="str">
        <x:v>No</x:v>
      </x:c>
      <x:c r="G191" s="117" t="str">
        <x:v>No</x:v>
      </x:c>
      <x:c r="H191" s="117" t="str">
        <x:v>Flow</x:v>
      </x:c>
      <x:c r="I191" s="118" t="n">
        <x:v>50</x:v>
      </x:c>
      <x:c r="J191" s="117" t="str">
        <x:v>installed</x:v>
      </x:c>
      <x:c r="K191" s="123" t="b">
        <x:v>1</x:v>
      </x:c>
      <x:c r="L191" s="117"/>
      <x:c r="M191" s="118"/>
      <x:c r="N191" s="120" t="n">
        <x:v>44847.59361111111</x:v>
      </x:c>
      <x:c r="O191" s="117" t="str">
        <x:v>Delegate</x:v>
      </x:c>
      <x:c r="P191" s="120" t="n">
        <x:v>45216.840219907404</x:v>
      </x:c>
      <x:c r="Q191" s="117" t="str"/>
      <x:c r="R191" s="117" t="str">
        <x:v>Chargent Automated Collections Template</x:v>
      </x:c>
      <x:c r="S191" s="119" t="str">
        <x:v>This template serves as an example of how to trigger Chargent's Automated Collections feature for a list of Chargent Order records. It is not recommended that you use this flow directly. Instead, clone this Flow, then edit it to define the conditions as well as the AC Process to trigger to best suit your use-case.</x:v>
      </x:c>
    </x:row>
    <x:row r="192" ht="30" customHeight="1">
      <x:c r="A192" s="117" t="str">
        <x:v>Automated_Collections_Template</x:v>
      </x:c>
      <x:c r="B192" s="117" t="str">
        <x:v>3005b000000LGdgAAG</x:v>
      </x:c>
      <x:c r="C192" s="117" t="str">
        <x:v>301Ro00000dVrXwIAK</x:v>
      </x:c>
      <x:c r="D192" s="118" t="n">
        <x:v>2</x:v>
      </x:c>
      <x:c r="E192" s="117" t="str">
        <x:v>Draft</x:v>
      </x:c>
      <x:c r="F192" s="117" t="str">
        <x:v>No</x:v>
      </x:c>
      <x:c r="G192" s="117" t="str">
        <x:v>Yes</x:v>
      </x:c>
      <x:c r="H192" s="117" t="str">
        <x:v>Flow</x:v>
      </x:c>
      <x:c r="I192" s="118" t="n">
        <x:v>63</x:v>
      </x:c>
      <x:c r="J192" s="117" t="str">
        <x:v>installed</x:v>
      </x:c>
      <x:c r="K192" s="123" t="b">
        <x:v>1</x:v>
      </x:c>
      <x:c r="L192" s="117"/>
      <x:c r="M192" s="118"/>
      <x:c r="N192" s="120" t="n">
        <x:v>45839.92932870371</x:v>
      </x:c>
      <x:c r="O192" s="117" t="str"/>
      <x:c r="P192" s="120" t="n">
        <x:v>45839.929756944446</x:v>
      </x:c>
      <x:c r="Q192" s="117" t="str"/>
      <x:c r="R192" s="117" t="str">
        <x:v>Chargent Automated Collections Template</x:v>
      </x:c>
      <x:c r="S192" s="119" t="str">
        <x:v>This template serves as an example of how to trigger Chargent's Automated Collections feature for a list of Chargent Order records. It is not recommended that you use this flow directly. Instead, clone this Flow, then edit it to define the conditions as well as the AC Process to trigger to best suit your use-case.</x:v>
      </x:c>
    </x:row>
    <x:row r="193" ht="30" customHeight="1">
      <x:c r="A193" s="117" t="str">
        <x:v>AvaTax_Account_Update_AvaTax_Exemption_Message</x:v>
      </x:c>
      <x:c r="B193" s="117" t="str">
        <x:v>3004O000000LOrqQAG</x:v>
      </x:c>
      <x:c r="C193" s="117" t="str">
        <x:v>3014O000000M0VsQAK</x:v>
      </x:c>
      <x:c r="D193" s="118" t="n">
        <x:v>2</x:v>
      </x:c>
      <x:c r="E193" s="117" t="str">
        <x:v>Obsolete</x:v>
      </x:c>
      <x:c r="F193" s="117" t="str">
        <x:v>No</x:v>
      </x:c>
      <x:c r="G193" s="117" t="str">
        <x:v>Yes</x:v>
      </x:c>
      <x:c r="H193" s="117" t="str">
        <x:v>Workflow</x:v>
      </x:c>
      <x:c r="I193" s="118"/>
      <x:c r="J193" s="117" t="str">
        <x:v>installed</x:v>
      </x:c>
      <x:c r="K193" s="123" t="b">
        <x:v>1</x:v>
      </x:c>
      <x:c r="L193" s="117"/>
      <x:c r="M193" s="118"/>
      <x:c r="N193" s="120" t="n">
        <x:v>44199.67765046296</x:v>
      </x:c>
      <x:c r="O193" s="117" t="str">
        <x:v>Trent VanEmon</x:v>
      </x:c>
      <x:c r="P193" s="120" t="n">
        <x:v>45435.60729166667</x:v>
      </x:c>
      <x:c r="Q193" s="117" t="str">
        <x:v>Delegate</x:v>
      </x:c>
      <x:c r="R193" s="117" t="str">
        <x:v>AvaTax Account - Update AvaTax Exemption Message</x:v>
      </x:c>
      <x:c r="S193" s="119"/>
    </x:row>
    <x:row r="194" ht="30" customHeight="1">
      <x:c r="A194" s="117" t="str">
        <x:v>AvaTax_Account_Update_AvaTax_Exemption_Message_Flow</x:v>
      </x:c>
      <x:c r="B194" s="117" t="str">
        <x:v>300Ro000007DpzxIAC</x:v>
      </x:c>
      <x:c r="C194" s="117" t="str">
        <x:v>301Ro0000083IocIAE</x:v>
      </x:c>
      <x:c r="D194" s="118" t="n">
        <x:v>1</x:v>
      </x:c>
      <x:c r="E194" s="117" t="str">
        <x:v>Active</x:v>
      </x:c>
      <x:c r="F194" s="117" t="str">
        <x:v>Yes</x:v>
      </x:c>
      <x:c r="G194" s="117" t="str">
        <x:v>Yes</x:v>
      </x:c>
      <x:c r="H194" s="117" t="str">
        <x:v>AutoLaunchedFlow</x:v>
      </x:c>
      <x:c r="I194" s="118" t="n">
        <x:v>58</x:v>
      </x:c>
      <x:c r="J194" s="117" t="str">
        <x:v>installed</x:v>
      </x:c>
      <x:c r="K194" s="123" t="b">
        <x:v>1</x:v>
      </x:c>
      <x:c r="L194" s="117"/>
      <x:c r="M194" s="118"/>
      <x:c r="N194" s="120" t="n">
        <x:v>45348.75787037037</x:v>
      </x:c>
      <x:c r="O194" s="117" t="str">
        <x:v>Delegate</x:v>
      </x:c>
      <x:c r="P194" s="120" t="n">
        <x:v>45348.757893518516</x:v>
      </x:c>
      <x:c r="Q194" s="117" t="str">
        <x:v>Delegate</x:v>
      </x:c>
      <x:c r="R194" s="117" t="str">
        <x:v>AvaTax Account - Update AvaTax Exemption Message Flow</x:v>
      </x:c>
      <x:c r="S194" s="119"/>
    </x:row>
    <x:row r="195" ht="30" customHeight="1">
      <x:c r="A195" s="117" t="str">
        <x:v>Avatax_Application_Log_Consumer</x:v>
      </x:c>
      <x:c r="B195" s="117" t="str">
        <x:v>300Ro000010J2teIAC</x:v>
      </x:c>
      <x:c r="C195" s="117" t="str">
        <x:v>301Ro000018jeVfIAI</x:v>
      </x:c>
      <x:c r="D195" s="118" t="n">
        <x:v>1</x:v>
      </x:c>
      <x:c r="E195" s="117" t="str">
        <x:v>Active</x:v>
      </x:c>
      <x:c r="F195" s="117" t="str">
        <x:v>Yes</x:v>
      </x:c>
      <x:c r="G195" s="117" t="str">
        <x:v>Yes</x:v>
      </x:c>
      <x:c r="H195" s="117" t="str">
        <x:v>AutoLaunchedFlow</x:v>
      </x:c>
      <x:c r="I195" s="118" t="n">
        <x:v>60</x:v>
      </x:c>
      <x:c r="J195" s="117" t="str">
        <x:v>installed</x:v>
      </x:c>
      <x:c r="K195" s="123" t="b">
        <x:v>0</x:v>
      </x:c>
      <x:c r="L195" s="117"/>
      <x:c r="M195" s="118"/>
      <x:c r="N195" s="120" t="n">
        <x:v>46189.94886574074</x:v>
      </x:c>
      <x:c r="O195" s="117" t="str">
        <x:v>Mindy Bender</x:v>
      </x:c>
      <x:c r="P195" s="120" t="n">
        <x:v>46189.94888888889</x:v>
      </x:c>
      <x:c r="Q195" s="117" t="str">
        <x:v>Mindy Bender</x:v>
      </x:c>
      <x:c r="R195" s="117" t="str">
        <x:v>Avatax Application Log Consumer</x:v>
      </x:c>
      <x:c r="S195" s="119"/>
    </x:row>
    <x:row r="196" ht="30" customHeight="1">
      <x:c r="A196" s="117" t="str">
        <x:v>AvaTax_Exemption_Certificate_Certificate_Status_Update</x:v>
      </x:c>
      <x:c r="B196" s="117" t="str">
        <x:v>300Ro000007DpzyIAC</x:v>
      </x:c>
      <x:c r="C196" s="117" t="str">
        <x:v>301Ro0000083IodIAE</x:v>
      </x:c>
      <x:c r="D196" s="118" t="n">
        <x:v>2</x:v>
      </x:c>
      <x:c r="E196" s="117" t="str">
        <x:v>Active</x:v>
      </x:c>
      <x:c r="F196" s="117" t="str">
        <x:v>Yes</x:v>
      </x:c>
      <x:c r="G196" s="117" t="str">
        <x:v>Yes</x:v>
      </x:c>
      <x:c r="H196" s="117" t="str">
        <x:v>AutoLaunchedFlow</x:v>
      </x:c>
      <x:c r="I196" s="118" t="n">
        <x:v>58</x:v>
      </x:c>
      <x:c r="J196" s="117" t="str">
        <x:v>installed</x:v>
      </x:c>
      <x:c r="K196" s="123" t="b">
        <x:v>1</x:v>
      </x:c>
      <x:c r="L196" s="117"/>
      <x:c r="M196" s="118"/>
      <x:c r="N196" s="120" t="n">
        <x:v>45348.757893518516</x:v>
      </x:c>
      <x:c r="O196" s="117" t="str">
        <x:v>Delegate</x:v>
      </x:c>
      <x:c r="P196" s="120" t="n">
        <x:v>45348.75790509259</x:v>
      </x:c>
      <x:c r="Q196" s="117" t="str">
        <x:v>Delegate</x:v>
      </x:c>
      <x:c r="R196" s="117" t="str">
        <x:v>AvaTax Exemption Certificate - Certificate Status Update</x:v>
      </x:c>
      <x:c r="S196" s="119"/>
    </x:row>
    <x:row r="197" ht="30" customHeight="1">
      <x:c r="A197" s="117" t="str">
        <x:v>AvaTax_Exemption_Certificate_Update_Certificate_Status</x:v>
      </x:c>
      <x:c r="B197" s="117" t="str">
        <x:v>3004O000000LOrrQAG</x:v>
      </x:c>
      <x:c r="C197" s="117" t="str">
        <x:v>3014O000000M0VtQAK</x:v>
      </x:c>
      <x:c r="D197" s="118" t="n">
        <x:v>2</x:v>
      </x:c>
      <x:c r="E197" s="117" t="str">
        <x:v>Obsolete</x:v>
      </x:c>
      <x:c r="F197" s="117" t="str">
        <x:v>No</x:v>
      </x:c>
      <x:c r="G197" s="117" t="str">
        <x:v>Yes</x:v>
      </x:c>
      <x:c r="H197" s="117" t="str">
        <x:v>Workflow</x:v>
      </x:c>
      <x:c r="I197" s="118"/>
      <x:c r="J197" s="117" t="str">
        <x:v>installed</x:v>
      </x:c>
      <x:c r="K197" s="123" t="b">
        <x:v>1</x:v>
      </x:c>
      <x:c r="L197" s="117"/>
      <x:c r="M197" s="118"/>
      <x:c r="N197" s="120" t="n">
        <x:v>44199.67769675926</x:v>
      </x:c>
      <x:c r="O197" s="117" t="str">
        <x:v>Trent VanEmon</x:v>
      </x:c>
      <x:c r="P197" s="120" t="n">
        <x:v>45070.736875</x:v>
      </x:c>
      <x:c r="Q197" s="117" t="str">
        <x:v>Delegate</x:v>
      </x:c>
      <x:c r="R197" s="117" t="str">
        <x:v>AvaTax Exemption Certificate - Update Certificate Status</x:v>
      </x:c>
      <x:c r="S197" s="119"/>
    </x:row>
    <x:row r="198" ht="30" customHeight="1">
      <x:c r="A198" s="117" t="str">
        <x:v>AvaTax_Opportunity_Automatic_Tax_Calculation</x:v>
      </x:c>
      <x:c r="B198" s="117" t="str">
        <x:v>3004O000000LOrsQAG</x:v>
      </x:c>
      <x:c r="C198" s="117" t="str">
        <x:v>3014O000000M0VuQAK</x:v>
      </x:c>
      <x:c r="D198" s="118" t="n">
        <x:v>7</x:v>
      </x:c>
      <x:c r="E198" s="117" t="str">
        <x:v>Obsolete</x:v>
      </x:c>
      <x:c r="F198" s="117" t="str">
        <x:v>No</x:v>
      </x:c>
      <x:c r="G198" s="117" t="str">
        <x:v>No</x:v>
      </x:c>
      <x:c r="H198" s="117" t="str">
        <x:v>Workflow</x:v>
      </x:c>
      <x:c r="I198" s="118"/>
      <x:c r="J198" s="117" t="str">
        <x:v>installed</x:v>
      </x:c>
      <x:c r="K198" s="123" t="b">
        <x:v>1</x:v>
      </x:c>
      <x:c r="L198" s="117"/>
      <x:c r="M198" s="118"/>
      <x:c r="N198" s="120" t="n">
        <x:v>44199.677708333336</x:v>
      </x:c>
      <x:c r="O198" s="117" t="str">
        <x:v>Trent VanEmon</x:v>
      </x:c>
      <x:c r="P198" s="120" t="n">
        <x:v>45070.73736111111</x:v>
      </x:c>
      <x:c r="Q198" s="117" t="str">
        <x:v>Delegate</x:v>
      </x:c>
      <x:c r="R198" s="117" t="str">
        <x:v>AvaTax Opportunity - Automatic Tax Calculation</x:v>
      </x:c>
      <x:c r="S198" s="119"/>
    </x:row>
    <x:row r="199" ht="30" customHeight="1">
      <x:c r="A199" s="117" t="str">
        <x:v>AvaTax_Opportunity_Automatic_Tax_Calculation</x:v>
      </x:c>
      <x:c r="B199" s="117" t="str">
        <x:v>3004O000000LOrsQAG</x:v>
      </x:c>
      <x:c r="C199" s="117" t="str">
        <x:v>301Ro0000083IovIAE</x:v>
      </x:c>
      <x:c r="D199" s="118" t="n">
        <x:v>8</x:v>
      </x:c>
      <x:c r="E199" s="117" t="str">
        <x:v>Draft</x:v>
      </x:c>
      <x:c r="F199" s="117" t="str">
        <x:v>No</x:v>
      </x:c>
      <x:c r="G199" s="117" t="str">
        <x:v>Yes</x:v>
      </x:c>
      <x:c r="H199" s="117" t="str">
        <x:v>Workflow</x:v>
      </x:c>
      <x:c r="I199" s="118" t="n">
        <x:v>49</x:v>
      </x:c>
      <x:c r="J199" s="117" t="str">
        <x:v>installed</x:v>
      </x:c>
      <x:c r="K199" s="123" t="b">
        <x:v>1</x:v>
      </x:c>
      <x:c r="L199" s="117"/>
      <x:c r="M199" s="118"/>
      <x:c r="N199" s="120" t="n">
        <x:v>45348.757997685185</x:v>
      </x:c>
      <x:c r="O199" s="117" t="str">
        <x:v>Delegate</x:v>
      </x:c>
      <x:c r="P199" s="120" t="n">
        <x:v>46189.96790509259</x:v>
      </x:c>
      <x:c r="Q199" s="117" t="str">
        <x:v>Mindy Bender</x:v>
      </x:c>
      <x:c r="R199" s="117" t="str">
        <x:v>AvaTax Opportunity - Automatic Tax Calculation</x:v>
      </x:c>
      <x:c r="S199" s="119"/>
    </x:row>
    <x:row r="200" ht="30" customHeight="1">
      <x:c r="A200" s="117" t="str">
        <x:v>AvaTax_Opportunity_Automatic_Tax_Calculation_Flow</x:v>
      </x:c>
      <x:c r="B200" s="117" t="str">
        <x:v>300Ro000007Dq0AIAS</x:v>
      </x:c>
      <x:c r="C200" s="117" t="str">
        <x:v>301Ro0000083IowIAE</x:v>
      </x:c>
      <x:c r="D200" s="118" t="n">
        <x:v>1</x:v>
      </x:c>
      <x:c r="E200" s="117" t="str">
        <x:v>Obsolete</x:v>
      </x:c>
      <x:c r="F200" s="117" t="str">
        <x:v>No</x:v>
      </x:c>
      <x:c r="G200" s="117" t="str">
        <x:v>No</x:v>
      </x:c>
      <x:c r="H200" s="117" t="str">
        <x:v>AutoLaunchedFlow</x:v>
      </x:c>
      <x:c r="I200" s="118" t="n">
        <x:v>58</x:v>
      </x:c>
      <x:c r="J200" s="117" t="str">
        <x:v>installed</x:v>
      </x:c>
      <x:c r="K200" s="123" t="b">
        <x:v>1</x:v>
      </x:c>
      <x:c r="L200" s="117"/>
      <x:c r="M200" s="118"/>
      <x:c r="N200" s="120" t="n">
        <x:v>45348.757997685185</x:v>
      </x:c>
      <x:c r="O200" s="117" t="str">
        <x:v>Delegate</x:v>
      </x:c>
      <x:c r="P200" s="120" t="n">
        <x:v>46090.61670138889</x:v>
      </x:c>
      <x:c r="Q200" s="117" t="str">
        <x:v>Steve Dodd</x:v>
      </x:c>
      <x:c r="R200" s="117" t="str">
        <x:v>AvaTax Opportunity - Automatic Tax Calculation Flow</x:v>
      </x:c>
      <x:c r="S200" s="119" t="str">
        <x:v>AvaTax Opportunity - Automatic Tax Calculation process using Check Automatic Tax Check Box criteria.</x:v>
      </x:c>
    </x:row>
    <x:row r="201" ht="30" customHeight="1">
      <x:c r="A201" s="117" t="str">
        <x:v>AvaTax_Opportunity_Automatic_Tax_Calculation_Flow</x:v>
      </x:c>
      <x:c r="B201" s="117" t="str">
        <x:v>300Ro000007Dq0AIAS</x:v>
      </x:c>
      <x:c r="C201" s="117" t="str">
        <x:v>301Ro000018jdLTIAY</x:v>
      </x:c>
      <x:c r="D201" s="118" t="n">
        <x:v>6</x:v>
      </x:c>
      <x:c r="E201" s="117" t="str">
        <x:v>Active</x:v>
      </x:c>
      <x:c r="F201" s="117" t="str">
        <x:v>Yes</x:v>
      </x:c>
      <x:c r="G201" s="117" t="str">
        <x:v>Yes</x:v>
      </x:c>
      <x:c r="H201" s="117" t="str">
        <x:v>AutoLaunchedFlow</x:v>
      </x:c>
      <x:c r="I201" s="118" t="n">
        <x:v>58</x:v>
      </x:c>
      <x:c r="J201" s="117" t="str">
        <x:v>installed</x:v>
      </x:c>
      <x:c r="K201" s="123" t="b">
        <x:v>1</x:v>
      </x:c>
      <x:c r="L201" s="117"/>
      <x:c r="M201" s="118"/>
      <x:c r="N201" s="120" t="n">
        <x:v>46189.967523148145</x:v>
      </x:c>
      <x:c r="O201" s="117" t="str">
        <x:v>Mindy Bender</x:v>
      </x:c>
      <x:c r="P201" s="120" t="n">
        <x:v>46189.96795138889</x:v>
      </x:c>
      <x:c r="Q201" s="117" t="str">
        <x:v>Mindy Bender</x:v>
      </x:c>
      <x:c r="R201" s="117" t="str">
        <x:v>AvaTax Opportunity - Automatic Tax Calculation Flow</x:v>
      </x:c>
      <x:c r="S201" s="119" t="str">
        <x:v>AvaTax Opportunity - Automatic Tax Calculation process using Check Automatic Tax Check Box criteria.</x:v>
      </x:c>
    </x:row>
    <x:row r="202" ht="30" customHeight="1">
      <x:c r="A202" s="117" t="str">
        <x:v>AvaTax_Opportunity_Existing_Update_Entity_Code_IOR</x:v>
      </x:c>
      <x:c r="B202" s="117" t="str">
        <x:v>3004O000000LOrtQAG</x:v>
      </x:c>
      <x:c r="C202" s="117" t="str">
        <x:v>3014O000000M0VvQAK</x:v>
      </x:c>
      <x:c r="D202" s="118" t="n">
        <x:v>3</x:v>
      </x:c>
      <x:c r="E202" s="117" t="str">
        <x:v>Obsolete</x:v>
      </x:c>
      <x:c r="F202" s="117" t="str">
        <x:v>No</x:v>
      </x:c>
      <x:c r="G202" s="117" t="str">
        <x:v>No</x:v>
      </x:c>
      <x:c r="H202" s="117" t="str">
        <x:v>Workflow</x:v>
      </x:c>
      <x:c r="I202" s="118"/>
      <x:c r="J202" s="117" t="str">
        <x:v>installed</x:v>
      </x:c>
      <x:c r="K202" s="123" t="b">
        <x:v>1</x:v>
      </x:c>
      <x:c r="L202" s="117"/>
      <x:c r="M202" s="118"/>
      <x:c r="N202" s="120" t="n">
        <x:v>44199.677708333336</x:v>
      </x:c>
      <x:c r="O202" s="117" t="str">
        <x:v>Trent VanEmon</x:v>
      </x:c>
      <x:c r="P202" s="120" t="n">
        <x:v>45070.736921296295</x:v>
      </x:c>
      <x:c r="Q202" s="117" t="str">
        <x:v>Delegate</x:v>
      </x:c>
      <x:c r="R202" s="117" t="str">
        <x:v>AvaTax Opportunity Existing - Update Entity/Code, IOR</x:v>
      </x:c>
      <x:c r="S202" s="119"/>
    </x:row>
    <x:row r="203" ht="30" customHeight="1">
      <x:c r="A203" s="117" t="str">
        <x:v>AvaTax_Opportunity_Existing_Update_Entity_Code_IOR</x:v>
      </x:c>
      <x:c r="B203" s="117" t="str">
        <x:v>3004O000000LOrtQAG</x:v>
      </x:c>
      <x:c r="C203" s="117" t="str">
        <x:v>301Ro0000083IoeIAE</x:v>
      </x:c>
      <x:c r="D203" s="118" t="n">
        <x:v>4</x:v>
      </x:c>
      <x:c r="E203" s="117" t="str">
        <x:v>Draft</x:v>
      </x:c>
      <x:c r="F203" s="117" t="str">
        <x:v>No</x:v>
      </x:c>
      <x:c r="G203" s="117" t="str">
        <x:v>Yes</x:v>
      </x:c>
      <x:c r="H203" s="117" t="str">
        <x:v>Workflow</x:v>
      </x:c>
      <x:c r="I203" s="118" t="n">
        <x:v>49</x:v>
      </x:c>
      <x:c r="J203" s="117" t="str">
        <x:v>installed</x:v>
      </x:c>
      <x:c r="K203" s="123" t="b">
        <x:v>1</x:v>
      </x:c>
      <x:c r="L203" s="117"/>
      <x:c r="M203" s="118"/>
      <x:c r="N203" s="120" t="n">
        <x:v>45348.75790509259</x:v>
      </x:c>
      <x:c r="O203" s="117" t="str">
        <x:v>Delegate</x:v>
      </x:c>
      <x:c r="P203" s="120" t="n">
        <x:v>46189.967465277776</x:v>
      </x:c>
      <x:c r="Q203" s="117" t="str">
        <x:v>Mindy Bender</x:v>
      </x:c>
      <x:c r="R203" s="117" t="str">
        <x:v>AvaTax Opportunity Existing - Update Entity/Code, IOR</x:v>
      </x:c>
      <x:c r="S203" s="119"/>
    </x:row>
    <x:row r="204" ht="30" customHeight="1">
      <x:c r="A204" s="117" t="str">
        <x:v>AvaTax_Opportunity_Existing_Update_Entity_Use_Code_IOR_Transport</x:v>
      </x:c>
      <x:c r="B204" s="117" t="str">
        <x:v>300Ro000007DpzzIAC</x:v>
      </x:c>
      <x:c r="C204" s="117" t="str">
        <x:v>301Ro0000083IofIAE</x:v>
      </x:c>
      <x:c r="D204" s="118" t="n">
        <x:v>3</x:v>
      </x:c>
      <x:c r="E204" s="117" t="str">
        <x:v>Active</x:v>
      </x:c>
      <x:c r="F204" s="117" t="str">
        <x:v>Yes</x:v>
      </x:c>
      <x:c r="G204" s="117" t="str">
        <x:v>Yes</x:v>
      </x:c>
      <x:c r="H204" s="117" t="str">
        <x:v>AutoLaunchedFlow</x:v>
      </x:c>
      <x:c r="I204" s="118" t="n">
        <x:v>57</x:v>
      </x:c>
      <x:c r="J204" s="117" t="str">
        <x:v>installed</x:v>
      </x:c>
      <x:c r="K204" s="123" t="b">
        <x:v>1</x:v>
      </x:c>
      <x:c r="L204" s="117"/>
      <x:c r="M204" s="118"/>
      <x:c r="N204" s="120" t="n">
        <x:v>45348.75790509259</x:v>
      </x:c>
      <x:c r="O204" s="117" t="str">
        <x:v>Delegate</x:v>
      </x:c>
      <x:c r="P204" s="120" t="n">
        <x:v>45348.75791666667</x:v>
      </x:c>
      <x:c r="Q204" s="117" t="str">
        <x:v>Delegate</x:v>
      </x:c>
      <x:c r="R204" s="117" t="str">
        <x:v>AvaTax Opportunity Existing - Update Entity Use Code, IOR,Transport</x:v>
      </x:c>
      <x:c r="S204" s="119" t="str">
        <x:v>Update AvaTax Opportunity Entity Use Code, IOR,Transport</x:v>
      </x:c>
    </x:row>
    <x:row r="205" ht="30" customHeight="1">
      <x:c r="A205" s="117" t="str">
        <x:v>AvaTax_Opportunity_New_Update_Entity_Code_IOR</x:v>
      </x:c>
      <x:c r="B205" s="117" t="str">
        <x:v>3004O000000LOruQAG</x:v>
      </x:c>
      <x:c r="C205" s="117" t="str">
        <x:v>3014O000000M0VwQAK</x:v>
      </x:c>
      <x:c r="D205" s="118" t="n">
        <x:v>5</x:v>
      </x:c>
      <x:c r="E205" s="117" t="str">
        <x:v>Obsolete</x:v>
      </x:c>
      <x:c r="F205" s="117" t="str">
        <x:v>No</x:v>
      </x:c>
      <x:c r="G205" s="117" t="str">
        <x:v>No</x:v>
      </x:c>
      <x:c r="H205" s="117" t="str">
        <x:v>Workflow</x:v>
      </x:c>
      <x:c r="I205" s="118"/>
      <x:c r="J205" s="117" t="str">
        <x:v>installed</x:v>
      </x:c>
      <x:c r="K205" s="123" t="b">
        <x:v>1</x:v>
      </x:c>
      <x:c r="L205" s="117"/>
      <x:c r="M205" s="118"/>
      <x:c r="N205" s="120" t="n">
        <x:v>44199.677708333336</x:v>
      </x:c>
      <x:c r="O205" s="117" t="str">
        <x:v>Trent VanEmon</x:v>
      </x:c>
      <x:c r="P205" s="120" t="n">
        <x:v>45070.736921296295</x:v>
      </x:c>
      <x:c r="Q205" s="117" t="str">
        <x:v>Delegate</x:v>
      </x:c>
      <x:c r="R205" s="117" t="str">
        <x:v>AvaTax Opportunity New - Update Entity/Code, IOR</x:v>
      </x:c>
      <x:c r="S205" s="119"/>
    </x:row>
    <x:row r="206" ht="30" customHeight="1">
      <x:c r="A206" s="117" t="str">
        <x:v>AvaTax_Opportunity_New_Update_Entity_Code_IOR</x:v>
      </x:c>
      <x:c r="B206" s="117" t="str">
        <x:v>3004O000000LOruQAG</x:v>
      </x:c>
      <x:c r="C206" s="117" t="str">
        <x:v>301Ro0000083IogIAE</x:v>
      </x:c>
      <x:c r="D206" s="118" t="n">
        <x:v>6</x:v>
      </x:c>
      <x:c r="E206" s="117" t="str">
        <x:v>Draft</x:v>
      </x:c>
      <x:c r="F206" s="117" t="str">
        <x:v>No</x:v>
      </x:c>
      <x:c r="G206" s="117" t="str">
        <x:v>Yes</x:v>
      </x:c>
      <x:c r="H206" s="117" t="str">
        <x:v>Workflow</x:v>
      </x:c>
      <x:c r="I206" s="118" t="n">
        <x:v>49</x:v>
      </x:c>
      <x:c r="J206" s="117" t="str">
        <x:v>installed</x:v>
      </x:c>
      <x:c r="K206" s="123" t="b">
        <x:v>1</x:v>
      </x:c>
      <x:c r="L206" s="117"/>
      <x:c r="M206" s="118"/>
      <x:c r="N206" s="120" t="n">
        <x:v>45348.75791666667</x:v>
      </x:c>
      <x:c r="O206" s="117" t="str">
        <x:v>Delegate</x:v>
      </x:c>
      <x:c r="P206" s="120" t="n">
        <x:v>46189.967465277776</x:v>
      </x:c>
      <x:c r="Q206" s="117" t="str">
        <x:v>Mindy Bender</x:v>
      </x:c>
      <x:c r="R206" s="117" t="str">
        <x:v>AvaTax Opportunity New - Update Entity/Code, IOR</x:v>
      </x:c>
      <x:c r="S206" s="119"/>
    </x:row>
    <x:row r="207" ht="30" customHeight="1">
      <x:c r="A207" s="117" t="str">
        <x:v>AvaTax_Opportunity_New_Update_Entity_Code_IOR_Transport</x:v>
      </x:c>
      <x:c r="B207" s="117" t="str">
        <x:v>300Ro0000124QGrIAM</x:v>
      </x:c>
      <x:c r="C207" s="117" t="str">
        <x:v>301Ro00001Ah1PDIAZ</x:v>
      </x:c>
      <x:c r="D207" s="118" t="n">
        <x:v>1</x:v>
      </x:c>
      <x:c r="E207" s="117" t="str">
        <x:v>Active</x:v>
      </x:c>
      <x:c r="F207" s="117" t="str">
        <x:v>Yes</x:v>
      </x:c>
      <x:c r="G207" s="117" t="str">
        <x:v>Yes</x:v>
      </x:c>
      <x:c r="H207" s="117" t="str">
        <x:v>AutoLaunchedFlow</x:v>
      </x:c>
      <x:c r="I207" s="118" t="n">
        <x:v>58</x:v>
      </x:c>
      <x:c r="J207" s="117" t="str">
        <x:v>unmanaged</x:v>
      </x:c>
      <x:c r="K207" s="123" t="b">
        <x:v>0</x:v>
      </x:c>
      <x:c r="L207" s="117"/>
      <x:c r="M207" s="118"/>
      <x:c r="N207" s="120" t="n">
        <x:v>46211.658530092594</x:v>
      </x:c>
      <x:c r="O207" s="117" t="str">
        <x:v>Mindy Bender</x:v>
      </x:c>
      <x:c r="P207" s="120" t="n">
        <x:v>46211.65987268519</x:v>
      </x:c>
      <x:c r="Q207" s="117" t="str">
        <x:v>Mindy Bender</x:v>
      </x:c>
      <x:c r="R207" s="117" t="str">
        <x:v>AvaTax Opportunity New - Update Entity/Code, IOR/Transport - V5</x:v>
      </x:c>
      <x:c r="S207" s="119" t="str">
        <x:v>Moved to run Asynchronously to ensure it doesn't error out when accounts are already updating</x:v>
      </x:c>
    </x:row>
    <x:row r="208" ht="30" customHeight="1">
      <x:c r="A208" s="117" t="str">
        <x:v>AvaTax_Opportunity_New_Update_Entity_Code_IOR_Transport</x:v>
      </x:c>
      <x:c r="B208" s="117" t="str">
        <x:v>300Ro000007Dq00IAC</x:v>
      </x:c>
      <x:c r="C208" s="117" t="str">
        <x:v>301Ro0000083IohIAE</x:v>
      </x:c>
      <x:c r="D208" s="118" t="n">
        <x:v>4</x:v>
      </x:c>
      <x:c r="E208" s="117" t="str">
        <x:v>Obsolete</x:v>
      </x:c>
      <x:c r="F208" s="117" t="str">
        <x:v>No</x:v>
      </x:c>
      <x:c r="G208" s="117" t="str">
        <x:v>Yes</x:v>
      </x:c>
      <x:c r="H208" s="117" t="str">
        <x:v>AutoLaunchedFlow</x:v>
      </x:c>
      <x:c r="I208" s="118" t="n">
        <x:v>58</x:v>
      </x:c>
      <x:c r="J208" s="117" t="str">
        <x:v>installed</x:v>
      </x:c>
      <x:c r="K208" s="123" t="b">
        <x:v>1</x:v>
      </x:c>
      <x:c r="L208" s="117"/>
      <x:c r="M208" s="118"/>
      <x:c r="N208" s="120" t="n">
        <x:v>45348.75791666667</x:v>
      </x:c>
      <x:c r="O208" s="117" t="str">
        <x:v>Delegate</x:v>
      </x:c>
      <x:c r="P208" s="120" t="n">
        <x:v>46211.65991898148</x:v>
      </x:c>
      <x:c r="Q208" s="117" t="str">
        <x:v>Mindy Bender</x:v>
      </x:c>
      <x:c r="R208" s="117" t="str">
        <x:v>AvaTax Opportunity New - Update Entity/Code, IOR/Transport</x:v>
      </x:c>
      <x:c r="S208" s="119" t="str">
        <x:v>AvaTax Opportunity New - Update Entity/Code, IOR process using Check Account ID criteria.</x:v>
      </x:c>
    </x:row>
    <x:row r="209" ht="30" customHeight="1">
      <x:c r="A209" s="117" t="str">
        <x:v>AvaTax_Opportunity_Product_Update_AvaTax_Product_Custom_Fields</x:v>
      </x:c>
      <x:c r="B209" s="117" t="str">
        <x:v>3004O000000LOrvQAG</x:v>
      </x:c>
      <x:c r="C209" s="117" t="str">
        <x:v>3014O000000M0VxQAK</x:v>
      </x:c>
      <x:c r="D209" s="118" t="n">
        <x:v>3</x:v>
      </x:c>
      <x:c r="E209" s="117" t="str">
        <x:v>Obsolete</x:v>
      </x:c>
      <x:c r="F209" s="117" t="str">
        <x:v>No</x:v>
      </x:c>
      <x:c r="G209" s="117" t="str">
        <x:v>Yes</x:v>
      </x:c>
      <x:c r="H209" s="117" t="str">
        <x:v>Workflow</x:v>
      </x:c>
      <x:c r="I209" s="118"/>
      <x:c r="J209" s="117" t="str">
        <x:v>installed</x:v>
      </x:c>
      <x:c r="K209" s="123" t="b">
        <x:v>1</x:v>
      </x:c>
      <x:c r="L209" s="117"/>
      <x:c r="M209" s="118"/>
      <x:c r="N209" s="120" t="n">
        <x:v>44199.677719907406</x:v>
      </x:c>
      <x:c r="O209" s="117" t="str">
        <x:v>Trent VanEmon</x:v>
      </x:c>
      <x:c r="P209" s="120" t="n">
        <x:v>45070.736921296295</x:v>
      </x:c>
      <x:c r="Q209" s="117" t="str">
        <x:v>Delegate</x:v>
      </x:c>
      <x:c r="R209" s="117" t="str">
        <x:v>AvaTax Opportunity Product - Clear AvaTax Product Custom Fields</x:v>
      </x:c>
      <x:c r="S209" s="119"/>
    </x:row>
    <x:row r="210" ht="30" customHeight="1">
      <x:c r="A210" s="117" t="str">
        <x:v>AvaTax_Opportunity_Update_AvaTax_Custom_Fields</x:v>
      </x:c>
      <x:c r="B210" s="117" t="str">
        <x:v>3004O000000LOrwQAG</x:v>
      </x:c>
      <x:c r="C210" s="117" t="str">
        <x:v>3014O000000M0VyQAK</x:v>
      </x:c>
      <x:c r="D210" s="118" t="n">
        <x:v>6</x:v>
      </x:c>
      <x:c r="E210" s="117" t="str">
        <x:v>Obsolete</x:v>
      </x:c>
      <x:c r="F210" s="117" t="str">
        <x:v>No</x:v>
      </x:c>
      <x:c r="G210" s="117" t="str">
        <x:v>Yes</x:v>
      </x:c>
      <x:c r="H210" s="117" t="str">
        <x:v>Workflow</x:v>
      </x:c>
      <x:c r="I210" s="118"/>
      <x:c r="J210" s="117" t="str">
        <x:v>installed</x:v>
      </x:c>
      <x:c r="K210" s="123" t="b">
        <x:v>1</x:v>
      </x:c>
      <x:c r="L210" s="117"/>
      <x:c r="M210" s="118"/>
      <x:c r="N210" s="120" t="n">
        <x:v>44199.677719907406</x:v>
      </x:c>
      <x:c r="O210" s="117" t="str">
        <x:v>Trent VanEmon</x:v>
      </x:c>
      <x:c r="P210" s="120" t="n">
        <x:v>45070.736921296295</x:v>
      </x:c>
      <x:c r="Q210" s="117" t="str">
        <x:v>Delegate</x:v>
      </x:c>
      <x:c r="R210" s="117" t="str">
        <x:v>AvaTax Opportunity - Clear Header AvaTax Custom Fields</x:v>
      </x:c>
      <x:c r="S210" s="119"/>
    </x:row>
    <x:row r="211" ht="30" customHeight="1">
      <x:c r="A211" s="117" t="str">
        <x:v>AvaTax_Opportunity_Update_AvaTax_Message_and_Status</x:v>
      </x:c>
      <x:c r="B211" s="117" t="str">
        <x:v>300Ro000007Dq01IAC</x:v>
      </x:c>
      <x:c r="C211" s="117" t="str">
        <x:v>301Ro0000083IoiIAE</x:v>
      </x:c>
      <x:c r="D211" s="118" t="n">
        <x:v>1</x:v>
      </x:c>
      <x:c r="E211" s="117" t="str">
        <x:v>Active</x:v>
      </x:c>
      <x:c r="F211" s="117" t="str">
        <x:v>Yes</x:v>
      </x:c>
      <x:c r="G211" s="117" t="str">
        <x:v>Yes</x:v>
      </x:c>
      <x:c r="H211" s="117" t="str">
        <x:v>AutoLaunchedFlow</x:v>
      </x:c>
      <x:c r="I211" s="118" t="n">
        <x:v>57</x:v>
      </x:c>
      <x:c r="J211" s="117" t="str">
        <x:v>installed</x:v>
      </x:c>
      <x:c r="K211" s="123" t="b">
        <x:v>1</x:v>
      </x:c>
      <x:c r="L211" s="117"/>
      <x:c r="M211" s="118"/>
      <x:c r="N211" s="120" t="n">
        <x:v>45348.75792824074</x:v>
      </x:c>
      <x:c r="O211" s="117" t="str">
        <x:v>Delegate</x:v>
      </x:c>
      <x:c r="P211" s="120" t="n">
        <x:v>45348.75792824074</x:v>
      </x:c>
      <x:c r="Q211" s="117" t="str">
        <x:v>Delegate</x:v>
      </x:c>
      <x:c r="R211" s="117" t="str">
        <x:v>AvaTax Opportunity-Update AvaTax Message and Status</x:v>
      </x:c>
      <x:c r="S211" s="119"/>
    </x:row>
    <x:row r="212" ht="30" customHeight="1">
      <x:c r="A212" s="117" t="str">
        <x:v>AvaTax_Opportunity_Update_AvaTax_Message_Status</x:v>
      </x:c>
      <x:c r="B212" s="117" t="str">
        <x:v>3004O000000LOrxQAG</x:v>
      </x:c>
      <x:c r="C212" s="117" t="str">
        <x:v>3014O000000M0VzQAK</x:v>
      </x:c>
      <x:c r="D212" s="118" t="n">
        <x:v>3</x:v>
      </x:c>
      <x:c r="E212" s="117" t="str">
        <x:v>Obsolete</x:v>
      </x:c>
      <x:c r="F212" s="117" t="str">
        <x:v>No</x:v>
      </x:c>
      <x:c r="G212" s="117" t="str">
        <x:v>No</x:v>
      </x:c>
      <x:c r="H212" s="117" t="str">
        <x:v>Workflow</x:v>
      </x:c>
      <x:c r="I212" s="118"/>
      <x:c r="J212" s="117" t="str">
        <x:v>installed</x:v>
      </x:c>
      <x:c r="K212" s="123" t="b">
        <x:v>1</x:v>
      </x:c>
      <x:c r="L212" s="117"/>
      <x:c r="M212" s="118"/>
      <x:c r="N212" s="120" t="n">
        <x:v>44199.67773148148</x:v>
      </x:c>
      <x:c r="O212" s="117" t="str">
        <x:v>Trent VanEmon</x:v>
      </x:c>
      <x:c r="P212" s="120" t="n">
        <x:v>44253.668703703705</x:v>
      </x:c>
      <x:c r="Q212" s="117" t="str">
        <x:v>Delegate</x:v>
      </x:c>
      <x:c r="R212" s="117" t="str">
        <x:v>AvaTax Opportunity - Update AvaTax Message &amp; Status</x:v>
      </x:c>
      <x:c r="S212" s="119"/>
    </x:row>
    <x:row r="213" ht="30" customHeight="1">
      <x:c r="A213" s="117" t="str">
        <x:v>AvaTax_Opportunity_Update_AvaTax_Message_Status</x:v>
      </x:c>
      <x:c r="B213" s="117" t="str">
        <x:v>3004O000000LOrxQAG</x:v>
      </x:c>
      <x:c r="C213" s="117" t="str">
        <x:v>3015b000000W3MPAA0</x:v>
      </x:c>
      <x:c r="D213" s="118" t="n">
        <x:v>4</x:v>
      </x:c>
      <x:c r="E213" s="117" t="str">
        <x:v>Obsolete</x:v>
      </x:c>
      <x:c r="F213" s="117" t="str">
        <x:v>No</x:v>
      </x:c>
      <x:c r="G213" s="117" t="str">
        <x:v>Yes</x:v>
      </x:c>
      <x:c r="H213" s="117" t="str">
        <x:v>Workflow</x:v>
      </x:c>
      <x:c r="I213" s="118" t="n">
        <x:v>49</x:v>
      </x:c>
      <x:c r="J213" s="117" t="str">
        <x:v>installed</x:v>
      </x:c>
      <x:c r="K213" s="123" t="b">
        <x:v>1</x:v>
      </x:c>
      <x:c r="L213" s="117"/>
      <x:c r="M213" s="118"/>
      <x:c r="N213" s="120" t="n">
        <x:v>45070.73701388889</x:v>
      </x:c>
      <x:c r="O213" s="117" t="str">
        <x:v>Delegate</x:v>
      </x:c>
      <x:c r="P213" s="120" t="n">
        <x:v>45435.60743055555</x:v>
      </x:c>
      <x:c r="Q213" s="117" t="str">
        <x:v>Delegate</x:v>
      </x:c>
      <x:c r="R213" s="117" t="str">
        <x:v>AvaTax Opportunity - Update AvaTax Message &amp; Status</x:v>
      </x:c>
      <x:c r="S213" s="119"/>
    </x:row>
    <x:row r="214" ht="30" customHeight="1">
      <x:c r="A214" s="117" t="str">
        <x:v>AvaTax_Order_Automatic_Tax_Calculation</x:v>
      </x:c>
      <x:c r="B214" s="117" t="str">
        <x:v>3004O000000LOryQAG</x:v>
      </x:c>
      <x:c r="C214" s="117" t="str">
        <x:v>3014O000000M0W0QAK</x:v>
      </x:c>
      <x:c r="D214" s="118" t="n">
        <x:v>6</x:v>
      </x:c>
      <x:c r="E214" s="117" t="str">
        <x:v>Obsolete</x:v>
      </x:c>
      <x:c r="F214" s="117" t="str">
        <x:v>No</x:v>
      </x:c>
      <x:c r="G214" s="117" t="str">
        <x:v>No</x:v>
      </x:c>
      <x:c r="H214" s="117" t="str">
        <x:v>Workflow</x:v>
      </x:c>
      <x:c r="I214" s="118"/>
      <x:c r="J214" s="117" t="str">
        <x:v>installed</x:v>
      </x:c>
      <x:c r="K214" s="123" t="b">
        <x:v>1</x:v>
      </x:c>
      <x:c r="L214" s="117"/>
      <x:c r="M214" s="118"/>
      <x:c r="N214" s="120" t="n">
        <x:v>44199.67773148148</x:v>
      </x:c>
      <x:c r="O214" s="117" t="str">
        <x:v>Trent VanEmon</x:v>
      </x:c>
      <x:c r="P214" s="120" t="n">
        <x:v>45435.6075462963</x:v>
      </x:c>
      <x:c r="Q214" s="117" t="str">
        <x:v>Delegate</x:v>
      </x:c>
      <x:c r="R214" s="117" t="str">
        <x:v>AvaTax Order - Automatic Tax Calculation</x:v>
      </x:c>
      <x:c r="S214" s="119" t="str">
        <x:v>This process builder is used to set the message and status in the AvaTax Custom fields for the automatic tax calculation</x:v>
      </x:c>
    </x:row>
    <x:row r="215" ht="30" customHeight="1">
      <x:c r="A215" s="117" t="str">
        <x:v>AvaTax_Order_Automatic_Tax_Calculation</x:v>
      </x:c>
      <x:c r="B215" s="117" t="str">
        <x:v>3004O000000LOryQAG</x:v>
      </x:c>
      <x:c r="C215" s="117" t="str">
        <x:v>301Ro000018jdLUIAY</x:v>
      </x:c>
      <x:c r="D215" s="118" t="n">
        <x:v>7</x:v>
      </x:c>
      <x:c r="E215" s="117" t="str">
        <x:v>Draft</x:v>
      </x:c>
      <x:c r="F215" s="117" t="str">
        <x:v>No</x:v>
      </x:c>
      <x:c r="G215" s="117" t="str">
        <x:v>Yes</x:v>
      </x:c>
      <x:c r="H215" s="117" t="str">
        <x:v>Workflow</x:v>
      </x:c>
      <x:c r="I215" s="118" t="n">
        <x:v>49</x:v>
      </x:c>
      <x:c r="J215" s="117" t="str">
        <x:v>installed</x:v>
      </x:c>
      <x:c r="K215" s="123" t="b">
        <x:v>1</x:v>
      </x:c>
      <x:c r="L215" s="117"/>
      <x:c r="M215" s="118"/>
      <x:c r="N215" s="120" t="n">
        <x:v>46189.967523148145</x:v>
      </x:c>
      <x:c r="O215" s="117" t="str">
        <x:v>Mindy Bender</x:v>
      </x:c>
      <x:c r="P215" s="120" t="n">
        <x:v>46189.96797453704</x:v>
      </x:c>
      <x:c r="Q215" s="117" t="str">
        <x:v>Mindy Bender</x:v>
      </x:c>
      <x:c r="R215" s="117" t="str">
        <x:v>AvaTax Order - Automatic Tax Calculation</x:v>
      </x:c>
      <x:c r="S215" s="119" t="str">
        <x:v>This process builder is used to set the message and status in the AvaTax Custom fields for the automatic tax calculation</x:v>
      </x:c>
    </x:row>
    <x:row r="216" ht="30" customHeight="1">
      <x:c r="A216" s="117" t="str">
        <x:v>AvaTax_Order_Automatic_Tax_Calculation_Flow</x:v>
      </x:c>
      <x:c r="B216" s="117" t="str">
        <x:v>300Ro000007Dq0BIAS</x:v>
      </x:c>
      <x:c r="C216" s="117" t="str">
        <x:v>301Ro0000083IoxIAE</x:v>
      </x:c>
      <x:c r="D216" s="118" t="n">
        <x:v>1</x:v>
      </x:c>
      <x:c r="E216" s="117" t="str">
        <x:v>Obsolete</x:v>
      </x:c>
      <x:c r="F216" s="117" t="str">
        <x:v>No</x:v>
      </x:c>
      <x:c r="G216" s="117" t="str">
        <x:v>No</x:v>
      </x:c>
      <x:c r="H216" s="117" t="str">
        <x:v>AutoLaunchedFlow</x:v>
      </x:c>
      <x:c r="I216" s="118" t="n">
        <x:v>58</x:v>
      </x:c>
      <x:c r="J216" s="117" t="str">
        <x:v>installed</x:v>
      </x:c>
      <x:c r="K216" s="123" t="b">
        <x:v>1</x:v>
      </x:c>
      <x:c r="L216" s="117"/>
      <x:c r="M216" s="118"/>
      <x:c r="N216" s="120" t="n">
        <x:v>45348.75802083333</x:v>
      </x:c>
      <x:c r="O216" s="117" t="str">
        <x:v>Delegate</x:v>
      </x:c>
      <x:c r="P216" s="120" t="n">
        <x:v>45348.758425925924</x:v>
      </x:c>
      <x:c r="Q216" s="117" t="str">
        <x:v>Delegate</x:v>
      </x:c>
      <x:c r="R216" s="117" t="str">
        <x:v>AvaTax Order - Automatic Tax Calculation Flow</x:v>
      </x:c>
      <x:c r="S216" s="119" t="str">
        <x:v>AvaTax Order - Automatic Tax Calculation process using multiple criteria.
This process builder is used to set the message and status in the AvaTax Custom fields for the automatic tax calculation</x:v>
      </x:c>
    </x:row>
    <x:row r="217" ht="30" customHeight="1">
      <x:c r="A217" s="117" t="str">
        <x:v>AvaTax_Order_Automatic_Tax_Calculation_Flow</x:v>
      </x:c>
      <x:c r="B217" s="117" t="str">
        <x:v>300Ro000007Dq0BIAS</x:v>
      </x:c>
      <x:c r="C217" s="117" t="str">
        <x:v>301Ro000018jdLVIAY</x:v>
      </x:c>
      <x:c r="D217" s="118" t="n">
        <x:v>6</x:v>
      </x:c>
      <x:c r="E217" s="117" t="str">
        <x:v>Active</x:v>
      </x:c>
      <x:c r="F217" s="117" t="str">
        <x:v>Yes</x:v>
      </x:c>
      <x:c r="G217" s="117" t="str">
        <x:v>Yes</x:v>
      </x:c>
      <x:c r="H217" s="117" t="str">
        <x:v>AutoLaunchedFlow</x:v>
      </x:c>
      <x:c r="I217" s="118" t="n">
        <x:v>58</x:v>
      </x:c>
      <x:c r="J217" s="117" t="str">
        <x:v>installed</x:v>
      </x:c>
      <x:c r="K217" s="123" t="b">
        <x:v>1</x:v>
      </x:c>
      <x:c r="L217" s="117"/>
      <x:c r="M217" s="118"/>
      <x:c r="N217" s="120" t="n">
        <x:v>46189.967523148145</x:v>
      </x:c>
      <x:c r="O217" s="117" t="str">
        <x:v>Mindy Bender</x:v>
      </x:c>
      <x:c r="P217" s="120" t="n">
        <x:v>46189.967986111114</x:v>
      </x:c>
      <x:c r="Q217" s="117" t="str">
        <x:v>Mindy Bender</x:v>
      </x:c>
      <x:c r="R217" s="117" t="str">
        <x:v>AvaTax Order - Automatic Tax Calculation Flow</x:v>
      </x:c>
      <x:c r="S217" s="119" t="str">
        <x:v>AvaTax Order - Automatic Tax Calculation process using multiple criteria.
This process builder is used to set the message and status in the AvaTax Custom fields for the automatic tax calculation</x:v>
      </x:c>
    </x:row>
    <x:row r="218" ht="30" customHeight="1">
      <x:c r="A218" s="117" t="str">
        <x:v>AvaTax_Order_Clear_Header_AvaTax_Custom_Fields</x:v>
      </x:c>
      <x:c r="B218" s="117" t="str">
        <x:v>3004O000000LOrzQAG</x:v>
      </x:c>
      <x:c r="C218" s="117" t="str">
        <x:v>3014O000000M0W1QAK</x:v>
      </x:c>
      <x:c r="D218" s="118" t="n">
        <x:v>3</x:v>
      </x:c>
      <x:c r="E218" s="117" t="str">
        <x:v>Obsolete</x:v>
      </x:c>
      <x:c r="F218" s="117" t="str">
        <x:v>No</x:v>
      </x:c>
      <x:c r="G218" s="117" t="str">
        <x:v>Yes</x:v>
      </x:c>
      <x:c r="H218" s="117" t="str">
        <x:v>Workflow</x:v>
      </x:c>
      <x:c r="I218" s="118"/>
      <x:c r="J218" s="117" t="str">
        <x:v>installed</x:v>
      </x:c>
      <x:c r="K218" s="123" t="b">
        <x:v>1</x:v>
      </x:c>
      <x:c r="L218" s="117"/>
      <x:c r="M218" s="118"/>
      <x:c r="N218" s="120" t="n">
        <x:v>44199.67773148148</x:v>
      </x:c>
      <x:c r="O218" s="117" t="str">
        <x:v>Trent VanEmon</x:v>
      </x:c>
      <x:c r="P218" s="120" t="n">
        <x:v>45070.73695601852</x:v>
      </x:c>
      <x:c r="Q218" s="117" t="str">
        <x:v>Delegate</x:v>
      </x:c>
      <x:c r="R218" s="117" t="str">
        <x:v>AvaTax Order - Clear Header AvaTax Custom Fields</x:v>
      </x:c>
      <x:c r="S218" s="119" t="str">
        <x:v>This process builder is used to clear the AvaTax custom fields while cloning the transaction</x:v>
      </x:c>
    </x:row>
    <x:row r="219" ht="30" customHeight="1">
      <x:c r="A219" s="117" t="str">
        <x:v>AvaTax_Order_Copy_Origin_Data</x:v>
      </x:c>
      <x:c r="B219" s="117" t="str">
        <x:v>3004O000000LOs0QAG</x:v>
      </x:c>
      <x:c r="C219" s="117" t="str">
        <x:v>3014O000000M0W2QAK</x:v>
      </x:c>
      <x:c r="D219" s="118" t="n">
        <x:v>2</x:v>
      </x:c>
      <x:c r="E219" s="117" t="str">
        <x:v>Obsolete</x:v>
      </x:c>
      <x:c r="F219" s="117" t="str">
        <x:v>No</x:v>
      </x:c>
      <x:c r="G219" s="117" t="str">
        <x:v>Yes</x:v>
      </x:c>
      <x:c r="H219" s="117" t="str">
        <x:v>Workflow</x:v>
      </x:c>
      <x:c r="I219" s="118"/>
      <x:c r="J219" s="117" t="str">
        <x:v>installed</x:v>
      </x:c>
      <x:c r="K219" s="123" t="b">
        <x:v>1</x:v>
      </x:c>
      <x:c r="L219" s="117"/>
      <x:c r="M219" s="118"/>
      <x:c r="N219" s="120" t="n">
        <x:v>44199.67774305555</x:v>
      </x:c>
      <x:c r="O219" s="117" t="str">
        <x:v>Trent VanEmon</x:v>
      </x:c>
      <x:c r="P219" s="120" t="n">
        <x:v>45070.73695601852</x:v>
      </x:c>
      <x:c r="Q219" s="117" t="str">
        <x:v>Delegate</x:v>
      </x:c>
      <x:c r="R219" s="117" t="str">
        <x:v>AvaTax Order - Update Origin Address</x:v>
      </x:c>
      <x:c r="S219" s="119"/>
    </x:row>
    <x:row r="220" ht="30" customHeight="1">
      <x:c r="A220" s="117" t="str">
        <x:v>AvaTax_Order_Existing_Update_Entity_Code_IOR</x:v>
      </x:c>
      <x:c r="B220" s="117" t="str">
        <x:v>3004O000000LOs1QAG</x:v>
      </x:c>
      <x:c r="C220" s="117" t="str">
        <x:v>3014O000000M0W3QAK</x:v>
      </x:c>
      <x:c r="D220" s="118" t="n">
        <x:v>2</x:v>
      </x:c>
      <x:c r="E220" s="117" t="str">
        <x:v>Obsolete</x:v>
      </x:c>
      <x:c r="F220" s="117" t="str">
        <x:v>No</x:v>
      </x:c>
      <x:c r="G220" s="117" t="str">
        <x:v>No</x:v>
      </x:c>
      <x:c r="H220" s="117" t="str">
        <x:v>Workflow</x:v>
      </x:c>
      <x:c r="I220" s="118"/>
      <x:c r="J220" s="117" t="str">
        <x:v>installed</x:v>
      </x:c>
      <x:c r="K220" s="123" t="b">
        <x:v>1</x:v>
      </x:c>
      <x:c r="L220" s="117"/>
      <x:c r="M220" s="118"/>
      <x:c r="N220" s="120" t="n">
        <x:v>44199.67775462963</x:v>
      </x:c>
      <x:c r="O220" s="117" t="str">
        <x:v>Trent VanEmon</x:v>
      </x:c>
      <x:c r="P220" s="120" t="n">
        <x:v>45070.736967592595</x:v>
      </x:c>
      <x:c r="Q220" s="117" t="str">
        <x:v>Delegate</x:v>
      </x:c>
      <x:c r="R220" s="117" t="str">
        <x:v>AvaTax Order Existing - Update Entity/Code, IOR</x:v>
      </x:c>
      <x:c r="S220" s="119"/>
    </x:row>
    <x:row r="221" ht="30" customHeight="1">
      <x:c r="A221" s="117" t="str">
        <x:v>AvaTax_Order_Existing_Update_Entity_Code_IOR</x:v>
      </x:c>
      <x:c r="B221" s="117" t="str">
        <x:v>3004O000000LOs1QAG</x:v>
      </x:c>
      <x:c r="C221" s="117" t="str">
        <x:v>301Ro0000083IojIAE</x:v>
      </x:c>
      <x:c r="D221" s="118" t="n">
        <x:v>3</x:v>
      </x:c>
      <x:c r="E221" s="117" t="str">
        <x:v>Draft</x:v>
      </x:c>
      <x:c r="F221" s="117" t="str">
        <x:v>No</x:v>
      </x:c>
      <x:c r="G221" s="117" t="str">
        <x:v>Yes</x:v>
      </x:c>
      <x:c r="H221" s="117" t="str">
        <x:v>Workflow</x:v>
      </x:c>
      <x:c r="I221" s="118" t="n">
        <x:v>49</x:v>
      </x:c>
      <x:c r="J221" s="117" t="str">
        <x:v>installed</x:v>
      </x:c>
      <x:c r="K221" s="123" t="b">
        <x:v>1</x:v>
      </x:c>
      <x:c r="L221" s="117"/>
      <x:c r="M221" s="118"/>
      <x:c r="N221" s="120" t="n">
        <x:v>45348.75792824074</x:v>
      </x:c>
      <x:c r="O221" s="117" t="str">
        <x:v>Delegate</x:v>
      </x:c>
      <x:c r="P221" s="120" t="n">
        <x:v>46189.96748842593</x:v>
      </x:c>
      <x:c r="Q221" s="117" t="str">
        <x:v>Mindy Bender</x:v>
      </x:c>
      <x:c r="R221" s="117" t="str">
        <x:v>AvaTax Order Existing - Update Entity/Code, IOR</x:v>
      </x:c>
      <x:c r="S221" s="119"/>
    </x:row>
    <x:row r="222" ht="30" customHeight="1">
      <x:c r="A222" s="117" t="str">
        <x:v>AvaTax_Order_Existing_Update_Entity_Code_IOR_Transport</x:v>
      </x:c>
      <x:c r="B222" s="117" t="str">
        <x:v>300Ro000007Dq02IAC</x:v>
      </x:c>
      <x:c r="C222" s="117" t="str">
        <x:v>301Ro0000083IokIAE</x:v>
      </x:c>
      <x:c r="D222" s="118" t="n">
        <x:v>1</x:v>
      </x:c>
      <x:c r="E222" s="117" t="str">
        <x:v>Active</x:v>
      </x:c>
      <x:c r="F222" s="117" t="str">
        <x:v>Yes</x:v>
      </x:c>
      <x:c r="G222" s="117" t="str">
        <x:v>Yes</x:v>
      </x:c>
      <x:c r="H222" s="117" t="str">
        <x:v>AutoLaunchedFlow</x:v>
      </x:c>
      <x:c r="I222" s="118" t="n">
        <x:v>58</x:v>
      </x:c>
      <x:c r="J222" s="117" t="str">
        <x:v>installed</x:v>
      </x:c>
      <x:c r="K222" s="123" t="b">
        <x:v>1</x:v>
      </x:c>
      <x:c r="L222" s="117"/>
      <x:c r="M222" s="118"/>
      <x:c r="N222" s="120" t="n">
        <x:v>45348.757939814815</x:v>
      </x:c>
      <x:c r="O222" s="117" t="str">
        <x:v>Delegate</x:v>
      </x:c>
      <x:c r="P222" s="120" t="n">
        <x:v>45348.757939814815</x:v>
      </x:c>
      <x:c r="Q222" s="117" t="str">
        <x:v>Delegate</x:v>
      </x:c>
      <x:c r="R222" s="117" t="str">
        <x:v>AvaTax Order Existing - Update Entity/Code,IOR,Transport</x:v>
      </x:c>
      <x:c r="S222" s="119" t="str">
        <x:v>Updating Order Existing/New - Update Entity/Code,IOR,Transport</x:v>
      </x:c>
    </x:row>
    <x:row r="223" ht="30" customHeight="1">
      <x:c r="A223" s="117" t="str">
        <x:v>AvaTax_Order_New_Update_Entity_Use_Code_IOR</x:v>
      </x:c>
      <x:c r="B223" s="117" t="str">
        <x:v>3004O000000LOs2QAG</x:v>
      </x:c>
      <x:c r="C223" s="117" t="str">
        <x:v>3014O000000M0W4QAK</x:v>
      </x:c>
      <x:c r="D223" s="118" t="n">
        <x:v>2</x:v>
      </x:c>
      <x:c r="E223" s="117" t="str">
        <x:v>Obsolete</x:v>
      </x:c>
      <x:c r="F223" s="117" t="str">
        <x:v>No</x:v>
      </x:c>
      <x:c r="G223" s="117" t="str">
        <x:v>No</x:v>
      </x:c>
      <x:c r="H223" s="117" t="str">
        <x:v>Workflow</x:v>
      </x:c>
      <x:c r="I223" s="118"/>
      <x:c r="J223" s="117" t="str">
        <x:v>installed</x:v>
      </x:c>
      <x:c r="K223" s="123" t="b">
        <x:v>1</x:v>
      </x:c>
      <x:c r="L223" s="117"/>
      <x:c r="M223" s="118"/>
      <x:c r="N223" s="120" t="n">
        <x:v>44199.67775462963</x:v>
      </x:c>
      <x:c r="O223" s="117" t="str">
        <x:v>Trent VanEmon</x:v>
      </x:c>
      <x:c r="P223" s="120" t="n">
        <x:v>45070.736967592595</x:v>
      </x:c>
      <x:c r="Q223" s="117" t="str">
        <x:v>Delegate</x:v>
      </x:c>
      <x:c r="R223" s="117" t="str">
        <x:v>AvaTax Order New - Update Entity/Use Code, IOR</x:v>
      </x:c>
      <x:c r="S223" s="119"/>
    </x:row>
    <x:row r="224" ht="30" customHeight="1">
      <x:c r="A224" s="117" t="str">
        <x:v>AvaTax_Order_New_Update_Entity_Use_Code_IOR</x:v>
      </x:c>
      <x:c r="B224" s="117" t="str">
        <x:v>3004O000000LOs2QAG</x:v>
      </x:c>
      <x:c r="C224" s="117" t="str">
        <x:v>301Ro0000083IolIAE</x:v>
      </x:c>
      <x:c r="D224" s="118" t="n">
        <x:v>3</x:v>
      </x:c>
      <x:c r="E224" s="117" t="str">
        <x:v>Draft</x:v>
      </x:c>
      <x:c r="F224" s="117" t="str">
        <x:v>No</x:v>
      </x:c>
      <x:c r="G224" s="117" t="str">
        <x:v>Yes</x:v>
      </x:c>
      <x:c r="H224" s="117" t="str">
        <x:v>Workflow</x:v>
      </x:c>
      <x:c r="I224" s="118" t="n">
        <x:v>49</x:v>
      </x:c>
      <x:c r="J224" s="117" t="str">
        <x:v>installed</x:v>
      </x:c>
      <x:c r="K224" s="123" t="b">
        <x:v>1</x:v>
      </x:c>
      <x:c r="L224" s="117"/>
      <x:c r="M224" s="118"/>
      <x:c r="N224" s="120" t="n">
        <x:v>45348.757939814815</x:v>
      </x:c>
      <x:c r="O224" s="117" t="str">
        <x:v>Delegate</x:v>
      </x:c>
      <x:c r="P224" s="120" t="n">
        <x:v>46189.96748842593</x:v>
      </x:c>
      <x:c r="Q224" s="117" t="str">
        <x:v>Mindy Bender</x:v>
      </x:c>
      <x:c r="R224" s="117" t="str">
        <x:v>AvaTax Order New - Update Entity/Use Code, IOR</x:v>
      </x:c>
      <x:c r="S224" s="119"/>
    </x:row>
    <x:row r="225" ht="30" customHeight="1">
      <x:c r="A225" s="117" t="str">
        <x:v>AvaTax_Order_New_Update_Entity_Use_Code_IOR_Transport_Flow</x:v>
      </x:c>
      <x:c r="B225" s="117" t="str">
        <x:v>300Ro000007Dq03IAC</x:v>
      </x:c>
      <x:c r="C225" s="117" t="str">
        <x:v>301Ro0000083IomIAE</x:v>
      </x:c>
      <x:c r="D225" s="118" t="n">
        <x:v>3</x:v>
      </x:c>
      <x:c r="E225" s="117" t="str">
        <x:v>Active</x:v>
      </x:c>
      <x:c r="F225" s="117" t="str">
        <x:v>Yes</x:v>
      </x:c>
      <x:c r="G225" s="117" t="str">
        <x:v>Yes</x:v>
      </x:c>
      <x:c r="H225" s="117" t="str">
        <x:v>AutoLaunchedFlow</x:v>
      </x:c>
      <x:c r="I225" s="118" t="n">
        <x:v>58</x:v>
      </x:c>
      <x:c r="J225" s="117" t="str">
        <x:v>installed</x:v>
      </x:c>
      <x:c r="K225" s="123" t="b">
        <x:v>1</x:v>
      </x:c>
      <x:c r="L225" s="117"/>
      <x:c r="M225" s="118"/>
      <x:c r="N225" s="120" t="n">
        <x:v>45348.757939814815</x:v>
      </x:c>
      <x:c r="O225" s="117" t="str">
        <x:v>Delegate</x:v>
      </x:c>
      <x:c r="P225" s="120" t="n">
        <x:v>45348.75795138889</x:v>
      </x:c>
      <x:c r="Q225" s="117" t="str">
        <x:v>Delegate</x:v>
      </x:c>
      <x:c r="R225" s="117" t="str">
        <x:v>AvaTax Order New - Update Entity/Use Code, IOR,Transport Flow</x:v>
      </x:c>
      <x:c r="S225" s="119" t="str">
        <x:v>Update AvaTax Order New - Update Entity/Use Code, IOR</x:v>
      </x:c>
    </x:row>
    <x:row r="226" ht="30" customHeight="1">
      <x:c r="A226" s="117" t="str">
        <x:v>AvaTax_Order_Product_Clear_Product_AvaTax_Custom_Fields</x:v>
      </x:c>
      <x:c r="B226" s="117" t="str">
        <x:v>3004O000000LOs3QAG</x:v>
      </x:c>
      <x:c r="C226" s="117" t="str">
        <x:v>3014O000000M0W5QAK</x:v>
      </x:c>
      <x:c r="D226" s="118" t="n">
        <x:v>2</x:v>
      </x:c>
      <x:c r="E226" s="117" t="str">
        <x:v>Obsolete</x:v>
      </x:c>
      <x:c r="F226" s="117" t="str">
        <x:v>No</x:v>
      </x:c>
      <x:c r="G226" s="117" t="str">
        <x:v>Yes</x:v>
      </x:c>
      <x:c r="H226" s="117" t="str">
        <x:v>Workflow</x:v>
      </x:c>
      <x:c r="I226" s="118"/>
      <x:c r="J226" s="117" t="str">
        <x:v>installed</x:v>
      </x:c>
      <x:c r="K226" s="123" t="b">
        <x:v>1</x:v>
      </x:c>
      <x:c r="L226" s="117"/>
      <x:c r="M226" s="118"/>
      <x:c r="N226" s="120" t="n">
        <x:v>44199.677766203706</x:v>
      </x:c>
      <x:c r="O226" s="117" t="str">
        <x:v>Trent VanEmon</x:v>
      </x:c>
      <x:c r="P226" s="120" t="n">
        <x:v>45070.736967592595</x:v>
      </x:c>
      <x:c r="Q226" s="117" t="str">
        <x:v>Delegate</x:v>
      </x:c>
      <x:c r="R226" s="117" t="str">
        <x:v>AvaTax Order Product - Clear Product AvaTax Custom Fields</x:v>
      </x:c>
      <x:c r="S226" s="119"/>
    </x:row>
    <x:row r="227" ht="30" customHeight="1">
      <x:c r="A227" s="117" t="str">
        <x:v>AvaTax_Order_Update_AvaTax_Message_and_Status</x:v>
      </x:c>
      <x:c r="B227" s="117" t="str">
        <x:v>300Ro000007Dq04IAC</x:v>
      </x:c>
      <x:c r="C227" s="117" t="str">
        <x:v>301Ro0000083IonIAE</x:v>
      </x:c>
      <x:c r="D227" s="118" t="n">
        <x:v>1</x:v>
      </x:c>
      <x:c r="E227" s="117" t="str">
        <x:v>Active</x:v>
      </x:c>
      <x:c r="F227" s="117" t="str">
        <x:v>Yes</x:v>
      </x:c>
      <x:c r="G227" s="117" t="str">
        <x:v>Yes</x:v>
      </x:c>
      <x:c r="H227" s="117" t="str">
        <x:v>AutoLaunchedFlow</x:v>
      </x:c>
      <x:c r="I227" s="118" t="n">
        <x:v>58</x:v>
      </x:c>
      <x:c r="J227" s="117" t="str">
        <x:v>installed</x:v>
      </x:c>
      <x:c r="K227" s="123" t="b">
        <x:v>1</x:v>
      </x:c>
      <x:c r="L227" s="117"/>
      <x:c r="M227" s="118"/>
      <x:c r="N227" s="120" t="n">
        <x:v>45348.75795138889</x:v>
      </x:c>
      <x:c r="O227" s="117" t="str">
        <x:v>Delegate</x:v>
      </x:c>
      <x:c r="P227" s="120" t="n">
        <x:v>45348.75795138889</x:v>
      </x:c>
      <x:c r="Q227" s="117" t="str">
        <x:v>Delegate</x:v>
      </x:c>
      <x:c r="R227" s="117" t="str">
        <x:v>AvaTax Order - Update AvaTax Message and Status</x:v>
      </x:c>
      <x:c r="S227" s="119"/>
    </x:row>
    <x:row r="228" ht="30" customHeight="1">
      <x:c r="A228" s="117" t="str">
        <x:v>AvaTax_Order_Update_AvaTax_Message_Status</x:v>
      </x:c>
      <x:c r="B228" s="117" t="str">
        <x:v>3004O000000LOs4QAG</x:v>
      </x:c>
      <x:c r="C228" s="117" t="str">
        <x:v>3014O000000M0W6QAK</x:v>
      </x:c>
      <x:c r="D228" s="118" t="n">
        <x:v>8</x:v>
      </x:c>
      <x:c r="E228" s="117" t="str">
        <x:v>Obsolete</x:v>
      </x:c>
      <x:c r="F228" s="117" t="str">
        <x:v>No</x:v>
      </x:c>
      <x:c r="G228" s="117" t="str">
        <x:v>Yes</x:v>
      </x:c>
      <x:c r="H228" s="117" t="str">
        <x:v>Workflow</x:v>
      </x:c>
      <x:c r="I228" s="118"/>
      <x:c r="J228" s="117" t="str">
        <x:v>installed</x:v>
      </x:c>
      <x:c r="K228" s="123" t="b">
        <x:v>1</x:v>
      </x:c>
      <x:c r="L228" s="117"/>
      <x:c r="M228" s="118"/>
      <x:c r="N228" s="120" t="n">
        <x:v>44199.677766203706</x:v>
      </x:c>
      <x:c r="O228" s="117" t="str">
        <x:v>Trent VanEmon</x:v>
      </x:c>
      <x:c r="P228" s="120" t="n">
        <x:v>45070.736979166664</x:v>
      </x:c>
      <x:c r="Q228" s="117" t="str">
        <x:v>Delegate</x:v>
      </x:c>
      <x:c r="R228" s="117" t="str">
        <x:v>AvaTax Order - Update AvaTax Message &amp; Status</x:v>
      </x:c>
      <x:c r="S228" s="119" t="str">
        <x:v>This process builder is used to set the Sales Tax Not Current message in the AvaTax Message field</x:v>
      </x:c>
    </x:row>
    <x:row r="229" ht="30" customHeight="1">
      <x:c r="A229" s="117" t="str">
        <x:v>AvaTax_Order_Update_Origin_Address_Flow</x:v>
      </x:c>
      <x:c r="B229" s="117" t="str">
        <x:v>300Ro000007Dq05IAC</x:v>
      </x:c>
      <x:c r="C229" s="117" t="str">
        <x:v>301Ro0000083IooIAE</x:v>
      </x:c>
      <x:c r="D229" s="118" t="n">
        <x:v>1</x:v>
      </x:c>
      <x:c r="E229" s="117" t="str">
        <x:v>Active</x:v>
      </x:c>
      <x:c r="F229" s="117" t="str">
        <x:v>Yes</x:v>
      </x:c>
      <x:c r="G229" s="117" t="str">
        <x:v>Yes</x:v>
      </x:c>
      <x:c r="H229" s="117" t="str">
        <x:v>AutoLaunchedFlow</x:v>
      </x:c>
      <x:c r="I229" s="118" t="n">
        <x:v>58</x:v>
      </x:c>
      <x:c r="J229" s="117" t="str">
        <x:v>installed</x:v>
      </x:c>
      <x:c r="K229" s="123" t="b">
        <x:v>1</x:v>
      </x:c>
      <x:c r="L229" s="117"/>
      <x:c r="M229" s="118"/>
      <x:c r="N229" s="120" t="n">
        <x:v>45348.75795138889</x:v>
      </x:c>
      <x:c r="O229" s="117" t="str">
        <x:v>Delegate</x:v>
      </x:c>
      <x:c r="P229" s="120" t="n">
        <x:v>45348.75796296296</x:v>
      </x:c>
      <x:c r="Q229" s="117" t="str">
        <x:v>Delegate</x:v>
      </x:c>
      <x:c r="R229" s="117" t="str">
        <x:v>AvaTax Order - Update Origin Address Flow</x:v>
      </x:c>
      <x:c r="S229" s="119" t="str">
        <x:v>AvaTax Order - Update Origin Address process using multiple criteria.</x:v>
      </x:c>
    </x:row>
    <x:row r="230" ht="30" customHeight="1">
      <x:c r="A230" s="117" t="str">
        <x:v>AvaTax_Quote_Automatic_Tax_Calculation</x:v>
      </x:c>
      <x:c r="B230" s="117" t="str">
        <x:v>3004O000000LOs5QAG</x:v>
      </x:c>
      <x:c r="C230" s="117" t="str">
        <x:v>3014O000000M0W7QAK</x:v>
      </x:c>
      <x:c r="D230" s="118" t="n">
        <x:v>4</x:v>
      </x:c>
      <x:c r="E230" s="117" t="str">
        <x:v>Obsolete</x:v>
      </x:c>
      <x:c r="F230" s="117" t="str">
        <x:v>No</x:v>
      </x:c>
      <x:c r="G230" s="117" t="str">
        <x:v>No</x:v>
      </x:c>
      <x:c r="H230" s="117" t="str">
        <x:v>Workflow</x:v>
      </x:c>
      <x:c r="I230" s="118"/>
      <x:c r="J230" s="117" t="str">
        <x:v>installed</x:v>
      </x:c>
      <x:c r="K230" s="123" t="b">
        <x:v>1</x:v>
      </x:c>
      <x:c r="L230" s="117"/>
      <x:c r="M230" s="118"/>
      <x:c r="N230" s="120" t="n">
        <x:v>44199.67778935185</x:v>
      </x:c>
      <x:c r="O230" s="117" t="str">
        <x:v>Trent VanEmon</x:v>
      </x:c>
      <x:c r="P230" s="120" t="n">
        <x:v>45348.75844907408</x:v>
      </x:c>
      <x:c r="Q230" s="117" t="str">
        <x:v>Delegate</x:v>
      </x:c>
      <x:c r="R230" s="117" t="str">
        <x:v>AvaTax Quote - Automatic Tax Calculation</x:v>
      </x:c>
      <x:c r="S230" s="119"/>
    </x:row>
    <x:row r="231" ht="30" customHeight="1">
      <x:c r="A231" s="117" t="str">
        <x:v>AvaTax_Quote_Automatic_Tax_Calculation</x:v>
      </x:c>
      <x:c r="B231" s="117" t="str">
        <x:v>3004O000000LOs5QAG</x:v>
      </x:c>
      <x:c r="C231" s="117" t="str">
        <x:v>301Ro000018jdLWIAY</x:v>
      </x:c>
      <x:c r="D231" s="118" t="n">
        <x:v>5</x:v>
      </x:c>
      <x:c r="E231" s="117" t="str">
        <x:v>Draft</x:v>
      </x:c>
      <x:c r="F231" s="117" t="str">
        <x:v>No</x:v>
      </x:c>
      <x:c r="G231" s="117" t="str">
        <x:v>Yes</x:v>
      </x:c>
      <x:c r="H231" s="117" t="str">
        <x:v>Workflow</x:v>
      </x:c>
      <x:c r="I231" s="118" t="n">
        <x:v>49</x:v>
      </x:c>
      <x:c r="J231" s="117" t="str">
        <x:v>installed</x:v>
      </x:c>
      <x:c r="K231" s="123" t="b">
        <x:v>1</x:v>
      </x:c>
      <x:c r="L231" s="117"/>
      <x:c r="M231" s="118"/>
      <x:c r="N231" s="120" t="n">
        <x:v>46189.967523148145</x:v>
      </x:c>
      <x:c r="O231" s="117" t="str">
        <x:v>Mindy Bender</x:v>
      </x:c>
      <x:c r="P231" s="120" t="n">
        <x:v>46189.96800925926</x:v>
      </x:c>
      <x:c r="Q231" s="117" t="str">
        <x:v>Mindy Bender</x:v>
      </x:c>
      <x:c r="R231" s="117" t="str">
        <x:v>AvaTax Quote - Automatic Tax Calculation</x:v>
      </x:c>
      <x:c r="S231" s="119"/>
    </x:row>
    <x:row r="232" ht="30" customHeight="1">
      <x:c r="A232" s="117" t="str">
        <x:v>AvaTax_Quote_Automatic_Tax_Calculation_Flow</x:v>
      </x:c>
      <x:c r="B232" s="117" t="str">
        <x:v>300Ro000007Dq0CIAS</x:v>
      </x:c>
      <x:c r="C232" s="117" t="str">
        <x:v>301Ro0000083IoyIAE</x:v>
      </x:c>
      <x:c r="D232" s="118" t="n">
        <x:v>1</x:v>
      </x:c>
      <x:c r="E232" s="117" t="str">
        <x:v>Obsolete</x:v>
      </x:c>
      <x:c r="F232" s="117" t="str">
        <x:v>No</x:v>
      </x:c>
      <x:c r="G232" s="117" t="str">
        <x:v>No</x:v>
      </x:c>
      <x:c r="H232" s="117" t="str">
        <x:v>AutoLaunchedFlow</x:v>
      </x:c>
      <x:c r="I232" s="118" t="n">
        <x:v>57</x:v>
      </x:c>
      <x:c r="J232" s="117" t="str">
        <x:v>installed</x:v>
      </x:c>
      <x:c r="K232" s="123" t="b">
        <x:v>1</x:v>
      </x:c>
      <x:c r="L232" s="117"/>
      <x:c r="M232" s="118"/>
      <x:c r="N232" s="120" t="n">
        <x:v>45348.75803240741</x:v>
      </x:c>
      <x:c r="O232" s="117" t="str">
        <x:v>Delegate</x:v>
      </x:c>
      <x:c r="P232" s="120" t="n">
        <x:v>45348.75844907408</x:v>
      </x:c>
      <x:c r="Q232" s="117" t="str">
        <x:v>Delegate</x:v>
      </x:c>
      <x:c r="R232" s="117" t="str">
        <x:v>AvaTax Quote - Automatic Tax Calculation Flow</x:v>
      </x:c>
      <x:c r="S232" s="119"/>
    </x:row>
    <x:row r="233" ht="30" customHeight="1">
      <x:c r="A233" s="117" t="str">
        <x:v>AvaTax_Quote_Automatic_Tax_Calculation_Flow</x:v>
      </x:c>
      <x:c r="B233" s="117" t="str">
        <x:v>300Ro000007Dq0CIAS</x:v>
      </x:c>
      <x:c r="C233" s="117" t="str">
        <x:v>301Ro000018jdLXIAY</x:v>
      </x:c>
      <x:c r="D233" s="118" t="n">
        <x:v>6</x:v>
      </x:c>
      <x:c r="E233" s="117" t="str">
        <x:v>Active</x:v>
      </x:c>
      <x:c r="F233" s="117" t="str">
        <x:v>Yes</x:v>
      </x:c>
      <x:c r="G233" s="117" t="str">
        <x:v>Yes</x:v>
      </x:c>
      <x:c r="H233" s="117" t="str">
        <x:v>AutoLaunchedFlow</x:v>
      </x:c>
      <x:c r="I233" s="118" t="n">
        <x:v>57</x:v>
      </x:c>
      <x:c r="J233" s="117" t="str">
        <x:v>installed</x:v>
      </x:c>
      <x:c r="K233" s="123" t="b">
        <x:v>1</x:v>
      </x:c>
      <x:c r="L233" s="117"/>
      <x:c r="M233" s="118"/>
      <x:c r="N233" s="120" t="n">
        <x:v>46189.967523148145</x:v>
      </x:c>
      <x:c r="O233" s="117" t="str">
        <x:v>Mindy Bender</x:v>
      </x:c>
      <x:c r="P233" s="120" t="n">
        <x:v>46189.96802083333</x:v>
      </x:c>
      <x:c r="Q233" s="117" t="str">
        <x:v>Mindy Bender</x:v>
      </x:c>
      <x:c r="R233" s="117" t="str">
        <x:v>AvaTax Quote - Automatic Tax Calculation Flow</x:v>
      </x:c>
      <x:c r="S233" s="119"/>
    </x:row>
    <x:row r="234" ht="30" customHeight="1">
      <x:c r="A234" s="117" t="str">
        <x:v>AvaTax_Quote_Existing_Update_Entity_Code_IOR</x:v>
      </x:c>
      <x:c r="B234" s="117" t="str">
        <x:v>3004O000000LOs6QAG</x:v>
      </x:c>
      <x:c r="C234" s="117" t="str">
        <x:v>3014O000000M0W8QAK</x:v>
      </x:c>
      <x:c r="D234" s="118" t="n">
        <x:v>3</x:v>
      </x:c>
      <x:c r="E234" s="117" t="str">
        <x:v>Obsolete</x:v>
      </x:c>
      <x:c r="F234" s="117" t="str">
        <x:v>No</x:v>
      </x:c>
      <x:c r="G234" s="117" t="str">
        <x:v>No</x:v>
      </x:c>
      <x:c r="H234" s="117" t="str">
        <x:v>Workflow</x:v>
      </x:c>
      <x:c r="I234" s="118"/>
      <x:c r="J234" s="117" t="str">
        <x:v>installed</x:v>
      </x:c>
      <x:c r="K234" s="123" t="b">
        <x:v>1</x:v>
      </x:c>
      <x:c r="L234" s="117"/>
      <x:c r="M234" s="118"/>
      <x:c r="N234" s="120" t="n">
        <x:v>44199.67778935185</x:v>
      </x:c>
      <x:c r="O234" s="117" t="str">
        <x:v>Trent VanEmon</x:v>
      </x:c>
      <x:c r="P234" s="120" t="n">
        <x:v>45070.73700231482</x:v>
      </x:c>
      <x:c r="Q234" s="117" t="str">
        <x:v>Delegate</x:v>
      </x:c>
      <x:c r="R234" s="117" t="str">
        <x:v>AvaTax Quote Existing - Update Entity/Code, IOR</x:v>
      </x:c>
      <x:c r="S234" s="119"/>
    </x:row>
    <x:row r="235" ht="30" customHeight="1">
      <x:c r="A235" s="117" t="str">
        <x:v>AvaTax_Quote_Existing_Update_Entity_Code_IOR</x:v>
      </x:c>
      <x:c r="B235" s="117" t="str">
        <x:v>3004O000000LOs6QAG</x:v>
      </x:c>
      <x:c r="C235" s="117" t="str">
        <x:v>301Ro0000083IopIAE</x:v>
      </x:c>
      <x:c r="D235" s="118" t="n">
        <x:v>4</x:v>
      </x:c>
      <x:c r="E235" s="117" t="str">
        <x:v>Draft</x:v>
      </x:c>
      <x:c r="F235" s="117" t="str">
        <x:v>No</x:v>
      </x:c>
      <x:c r="G235" s="117" t="str">
        <x:v>Yes</x:v>
      </x:c>
      <x:c r="H235" s="117" t="str">
        <x:v>Workflow</x:v>
      </x:c>
      <x:c r="I235" s="118" t="n">
        <x:v>49</x:v>
      </x:c>
      <x:c r="J235" s="117" t="str">
        <x:v>installed</x:v>
      </x:c>
      <x:c r="K235" s="123" t="b">
        <x:v>1</x:v>
      </x:c>
      <x:c r="L235" s="117"/>
      <x:c r="M235" s="118"/>
      <x:c r="N235" s="120" t="n">
        <x:v>45348.75796296296</x:v>
      </x:c>
      <x:c r="O235" s="117" t="str">
        <x:v>Delegate</x:v>
      </x:c>
      <x:c r="P235" s="120" t="n">
        <x:v>46189.9675</x:v>
      </x:c>
      <x:c r="Q235" s="117" t="str">
        <x:v>Mindy Bender</x:v>
      </x:c>
      <x:c r="R235" s="117" t="str">
        <x:v>AvaTax Quote Existing - Update Entity/Code, IOR</x:v>
      </x:c>
      <x:c r="S235" s="119"/>
    </x:row>
    <x:row r="236" ht="30" customHeight="1">
      <x:c r="A236" s="117" t="str">
        <x:v>AvaTax_Quote_Existing_Update_Entity_Code_IOR_Transport</x:v>
      </x:c>
      <x:c r="B236" s="117" t="str">
        <x:v>300Ro000007Dq06IAC</x:v>
      </x:c>
      <x:c r="C236" s="117" t="str">
        <x:v>301Ro0000083IoqIAE</x:v>
      </x:c>
      <x:c r="D236" s="118" t="n">
        <x:v>1</x:v>
      </x:c>
      <x:c r="E236" s="117" t="str">
        <x:v>Active</x:v>
      </x:c>
      <x:c r="F236" s="117" t="str">
        <x:v>Yes</x:v>
      </x:c>
      <x:c r="G236" s="117" t="str">
        <x:v>Yes</x:v>
      </x:c>
      <x:c r="H236" s="117" t="str">
        <x:v>AutoLaunchedFlow</x:v>
      </x:c>
      <x:c r="I236" s="118" t="n">
        <x:v>57</x:v>
      </x:c>
      <x:c r="J236" s="117" t="str">
        <x:v>installed</x:v>
      </x:c>
      <x:c r="K236" s="123" t="b">
        <x:v>1</x:v>
      </x:c>
      <x:c r="L236" s="117"/>
      <x:c r="M236" s="118"/>
      <x:c r="N236" s="120" t="n">
        <x:v>45348.75796296296</x:v>
      </x:c>
      <x:c r="O236" s="117" t="str">
        <x:v>Delegate</x:v>
      </x:c>
      <x:c r="P236" s="120" t="n">
        <x:v>45348.75797453704</x:v>
      </x:c>
      <x:c r="Q236" s="117" t="str">
        <x:v>Delegate</x:v>
      </x:c>
      <x:c r="R236" s="117" t="str">
        <x:v>AvaTax Quote Existing - Update Entity/Code, IOR,Transport</x:v>
      </x:c>
      <x:c r="S236" s="119" t="str">
        <x:v>Updating Quote Existing/New - Update Entity/Code, IOR,Transport</x:v>
      </x:c>
    </x:row>
    <x:row r="237" ht="30" customHeight="1">
      <x:c r="A237" s="117" t="str">
        <x:v>AvaTax_Quote_New_Update_Entity_Code_IOR</x:v>
      </x:c>
      <x:c r="B237" s="117" t="str">
        <x:v>3004O000000LOs7QAG</x:v>
      </x:c>
      <x:c r="C237" s="117" t="str">
        <x:v>3014O000000M0W9QAK</x:v>
      </x:c>
      <x:c r="D237" s="118" t="n">
        <x:v>2</x:v>
      </x:c>
      <x:c r="E237" s="117" t="str">
        <x:v>Obsolete</x:v>
      </x:c>
      <x:c r="F237" s="117" t="str">
        <x:v>No</x:v>
      </x:c>
      <x:c r="G237" s="117" t="str">
        <x:v>No</x:v>
      </x:c>
      <x:c r="H237" s="117" t="str">
        <x:v>Workflow</x:v>
      </x:c>
      <x:c r="I237" s="118"/>
      <x:c r="J237" s="117" t="str">
        <x:v>installed</x:v>
      </x:c>
      <x:c r="K237" s="123" t="b">
        <x:v>1</x:v>
      </x:c>
      <x:c r="L237" s="117"/>
      <x:c r="M237" s="118"/>
      <x:c r="N237" s="120" t="n">
        <x:v>44199.67778935185</x:v>
      </x:c>
      <x:c r="O237" s="117" t="str">
        <x:v>Trent VanEmon</x:v>
      </x:c>
      <x:c r="P237" s="120" t="n">
        <x:v>45070.73700231482</x:v>
      </x:c>
      <x:c r="Q237" s="117" t="str">
        <x:v>Delegate</x:v>
      </x:c>
      <x:c r="R237" s="117" t="str">
        <x:v>AvaTax Quote New - Update Entity/Code, IOR</x:v>
      </x:c>
      <x:c r="S237" s="119"/>
    </x:row>
    <x:row r="238" ht="30" customHeight="1">
      <x:c r="A238" s="117" t="str">
        <x:v>AvaTax_Quote_New_Update_Entity_Code_IOR</x:v>
      </x:c>
      <x:c r="B238" s="117" t="str">
        <x:v>3004O000000LOs7QAG</x:v>
      </x:c>
      <x:c r="C238" s="117" t="str">
        <x:v>301Ro0000083IorIAE</x:v>
      </x:c>
      <x:c r="D238" s="118" t="n">
        <x:v>3</x:v>
      </x:c>
      <x:c r="E238" s="117" t="str">
        <x:v>Draft</x:v>
      </x:c>
      <x:c r="F238" s="117" t="str">
        <x:v>No</x:v>
      </x:c>
      <x:c r="G238" s="117" t="str">
        <x:v>Yes</x:v>
      </x:c>
      <x:c r="H238" s="117" t="str">
        <x:v>Workflow</x:v>
      </x:c>
      <x:c r="I238" s="118" t="n">
        <x:v>49</x:v>
      </x:c>
      <x:c r="J238" s="117" t="str">
        <x:v>installed</x:v>
      </x:c>
      <x:c r="K238" s="123" t="b">
        <x:v>1</x:v>
      </x:c>
      <x:c r="L238" s="117"/>
      <x:c r="M238" s="118"/>
      <x:c r="N238" s="120" t="n">
        <x:v>45348.75797453704</x:v>
      </x:c>
      <x:c r="O238" s="117" t="str">
        <x:v>Delegate</x:v>
      </x:c>
      <x:c r="P238" s="120" t="n">
        <x:v>46189.967511574076</x:v>
      </x:c>
      <x:c r="Q238" s="117" t="str">
        <x:v>Mindy Bender</x:v>
      </x:c>
      <x:c r="R238" s="117" t="str">
        <x:v>AvaTax Quote New - Update Entity/Code, IOR</x:v>
      </x:c>
      <x:c r="S238" s="119"/>
    </x:row>
    <x:row r="239" ht="30" customHeight="1">
      <x:c r="A239" s="117" t="str">
        <x:v>AvaTax_Quote_New_Update_Entity_Code_IOR_Transport_Flow</x:v>
      </x:c>
      <x:c r="B239" s="117" t="str">
        <x:v>300Ro000007Dq07IAC</x:v>
      </x:c>
      <x:c r="C239" s="117" t="str">
        <x:v>301Ro0000083IosIAE</x:v>
      </x:c>
      <x:c r="D239" s="118" t="n">
        <x:v>3</x:v>
      </x:c>
      <x:c r="E239" s="117" t="str">
        <x:v>Active</x:v>
      </x:c>
      <x:c r="F239" s="117" t="str">
        <x:v>Yes</x:v>
      </x:c>
      <x:c r="G239" s="117" t="str">
        <x:v>Yes</x:v>
      </x:c>
      <x:c r="H239" s="117" t="str">
        <x:v>AutoLaunchedFlow</x:v>
      </x:c>
      <x:c r="I239" s="118" t="n">
        <x:v>58</x:v>
      </x:c>
      <x:c r="J239" s="117" t="str">
        <x:v>installed</x:v>
      </x:c>
      <x:c r="K239" s="123" t="b">
        <x:v>1</x:v>
      </x:c>
      <x:c r="L239" s="117"/>
      <x:c r="M239" s="118"/>
      <x:c r="N239" s="120" t="n">
        <x:v>45348.75797453704</x:v>
      </x:c>
      <x:c r="O239" s="117" t="str">
        <x:v>Delegate</x:v>
      </x:c>
      <x:c r="P239" s="120" t="n">
        <x:v>45348.75798611111</x:v>
      </x:c>
      <x:c r="Q239" s="117" t="str">
        <x:v>Delegate</x:v>
      </x:c>
      <x:c r="R239" s="117" t="str">
        <x:v>AvaTax Quote New - Update Entity/Code, IOR/Transport Flow</x:v>
      </x:c>
      <x:c r="S239" s="119" t="str">
        <x:v>AvaTax Quote New - Update Entity/Code, IOR process using Check Account ID criteria.</x:v>
      </x:c>
    </x:row>
    <x:row r="240" ht="30" customHeight="1">
      <x:c r="A240" s="117" t="str">
        <x:v>AvaTax_Quote_Update_AvaTax_Message</x:v>
      </x:c>
      <x:c r="B240" s="117" t="str">
        <x:v>3004O000000LOs8QAG</x:v>
      </x:c>
      <x:c r="C240" s="117" t="str">
        <x:v>3014O000000M0WAQA0</x:v>
      </x:c>
      <x:c r="D240" s="118" t="n">
        <x:v>4</x:v>
      </x:c>
      <x:c r="E240" s="117" t="str">
        <x:v>Obsolete</x:v>
      </x:c>
      <x:c r="F240" s="117" t="str">
        <x:v>No</x:v>
      </x:c>
      <x:c r="G240" s="117" t="str">
        <x:v>Yes</x:v>
      </x:c>
      <x:c r="H240" s="117" t="str">
        <x:v>Workflow</x:v>
      </x:c>
      <x:c r="I240" s="118"/>
      <x:c r="J240" s="117" t="str">
        <x:v>installed</x:v>
      </x:c>
      <x:c r="K240" s="123" t="b">
        <x:v>1</x:v>
      </x:c>
      <x:c r="L240" s="117"/>
      <x:c r="M240" s="118"/>
      <x:c r="N240" s="120" t="n">
        <x:v>44199.67780092593</x:v>
      </x:c>
      <x:c r="O240" s="117" t="str">
        <x:v>Trent VanEmon</x:v>
      </x:c>
      <x:c r="P240" s="120" t="n">
        <x:v>45070.73701388889</x:v>
      </x:c>
      <x:c r="Q240" s="117" t="str">
        <x:v>Delegate</x:v>
      </x:c>
      <x:c r="R240" s="117" t="str">
        <x:v>AvaTax Quote - Update AvaTax Message</x:v>
      </x:c>
      <x:c r="S240" s="119"/>
    </x:row>
    <x:row r="241" ht="30" customHeight="1">
      <x:c r="A241" s="117" t="str">
        <x:v>AvaTax_Quote_Update_AvaTax_Message_Flow</x:v>
      </x:c>
      <x:c r="B241" s="117" t="str">
        <x:v>300Ro000007Dq08IAC</x:v>
      </x:c>
      <x:c r="C241" s="117" t="str">
        <x:v>301Ro0000083IotIAE</x:v>
      </x:c>
      <x:c r="D241" s="118" t="n">
        <x:v>1</x:v>
      </x:c>
      <x:c r="E241" s="117" t="str">
        <x:v>Active</x:v>
      </x:c>
      <x:c r="F241" s="117" t="str">
        <x:v>Yes</x:v>
      </x:c>
      <x:c r="G241" s="117" t="str">
        <x:v>Yes</x:v>
      </x:c>
      <x:c r="H241" s="117" t="str">
        <x:v>AutoLaunchedFlow</x:v>
      </x:c>
      <x:c r="I241" s="118" t="n">
        <x:v>58</x:v>
      </x:c>
      <x:c r="J241" s="117" t="str">
        <x:v>installed</x:v>
      </x:c>
      <x:c r="K241" s="123" t="b">
        <x:v>1</x:v>
      </x:c>
      <x:c r="L241" s="117"/>
      <x:c r="M241" s="118"/>
      <x:c r="N241" s="120" t="n">
        <x:v>45348.75798611111</x:v>
      </x:c>
      <x:c r="O241" s="117" t="str">
        <x:v>Delegate</x:v>
      </x:c>
      <x:c r="P241" s="120" t="n">
        <x:v>45348.75798611111</x:v>
      </x:c>
      <x:c r="Q241" s="117" t="str">
        <x:v>Delegate</x:v>
      </x:c>
      <x:c r="R241" s="117" t="str">
        <x:v>AvaTax Quote - Update AvaTax Message Flow</x:v>
      </x:c>
      <x:c r="S241" s="119" t="str">
        <x:v>AvaTax Quote - Update AvaTax Message process using Check AvaTax Related Fields criteria.</x:v>
      </x:c>
    </x:row>
    <x:row r="242" ht="30" customHeight="1">
      <x:c r="A242" s="117" t="str">
        <x:v>AvaTax_Quote_Update_Origin_Address</x:v>
      </x:c>
      <x:c r="B242" s="117" t="str">
        <x:v>3004O000000LOs9QAG</x:v>
      </x:c>
      <x:c r="C242" s="117" t="str">
        <x:v>3014O000000M0WBQA0</x:v>
      </x:c>
      <x:c r="D242" s="118" t="n">
        <x:v>2</x:v>
      </x:c>
      <x:c r="E242" s="117" t="str">
        <x:v>Obsolete</x:v>
      </x:c>
      <x:c r="F242" s="117" t="str">
        <x:v>No</x:v>
      </x:c>
      <x:c r="G242" s="117" t="str">
        <x:v>Yes</x:v>
      </x:c>
      <x:c r="H242" s="117" t="str">
        <x:v>Workflow</x:v>
      </x:c>
      <x:c r="I242" s="118"/>
      <x:c r="J242" s="117" t="str">
        <x:v>installed</x:v>
      </x:c>
      <x:c r="K242" s="123" t="b">
        <x:v>1</x:v>
      </x:c>
      <x:c r="L242" s="117"/>
      <x:c r="M242" s="118"/>
      <x:c r="N242" s="120" t="n">
        <x:v>44199.6778125</x:v>
      </x:c>
      <x:c r="O242" s="117" t="str">
        <x:v>Trent VanEmon</x:v>
      </x:c>
      <x:c r="P242" s="120" t="n">
        <x:v>45070.73701388889</x:v>
      </x:c>
      <x:c r="Q242" s="117" t="str">
        <x:v>Delegate</x:v>
      </x:c>
      <x:c r="R242" s="117" t="str">
        <x:v>AvaTax Quote - Update Origin Address</x:v>
      </x:c>
      <x:c r="S242" s="119"/>
    </x:row>
    <x:row r="243" ht="30" customHeight="1">
      <x:c r="A243" s="117" t="str">
        <x:v>AvaTax_Quote_Update_Origin_Address_Flow</x:v>
      </x:c>
      <x:c r="B243" s="117" t="str">
        <x:v>300Ro000007Dq09IAC</x:v>
      </x:c>
      <x:c r="C243" s="117" t="str">
        <x:v>301Ro0000083IouIAE</x:v>
      </x:c>
      <x:c r="D243" s="118" t="n">
        <x:v>2</x:v>
      </x:c>
      <x:c r="E243" s="117" t="str">
        <x:v>Active</x:v>
      </x:c>
      <x:c r="F243" s="117" t="str">
        <x:v>Yes</x:v>
      </x:c>
      <x:c r="G243" s="117" t="str">
        <x:v>Yes</x:v>
      </x:c>
      <x:c r="H243" s="117" t="str">
        <x:v>AutoLaunchedFlow</x:v>
      </x:c>
      <x:c r="I243" s="118" t="n">
        <x:v>58</x:v>
      </x:c>
      <x:c r="J243" s="117" t="str">
        <x:v>installed</x:v>
      </x:c>
      <x:c r="K243" s="123" t="b">
        <x:v>1</x:v>
      </x:c>
      <x:c r="L243" s="117"/>
      <x:c r="M243" s="118"/>
      <x:c r="N243" s="120" t="n">
        <x:v>45348.75798611111</x:v>
      </x:c>
      <x:c r="O243" s="117" t="str">
        <x:v>Delegate</x:v>
      </x:c>
      <x:c r="P243" s="120" t="n">
        <x:v>45348.757997685185</x:v>
      </x:c>
      <x:c r="Q243" s="117" t="str">
        <x:v>Delegate</x:v>
      </x:c>
      <x:c r="R243" s="117" t="str">
        <x:v>AvaTax Quote - Update Origin Address Flow</x:v>
      </x:c>
      <x:c r="S243" s="119"/>
    </x:row>
    <x:row r="244" ht="30" customHeight="1">
      <x:c r="A244" s="117" t="str">
        <x:v>Big_Iron_Purchasing_Opportunity_Updates_Alerts</x:v>
      </x:c>
      <x:c r="B244" s="117" t="str">
        <x:v>3005b000000H3goAAC</x:v>
      </x:c>
      <x:c r="C244" s="117" t="str">
        <x:v>301Ro00000NkjBTIAZ</x:v>
      </x:c>
      <x:c r="D244" s="118" t="n">
        <x:v>33</x:v>
      </x:c>
      <x:c r="E244" s="117" t="str">
        <x:v>Obsolete</x:v>
      </x:c>
      <x:c r="F244" s="117" t="str">
        <x:v>No</x:v>
      </x:c>
      <x:c r="G244" s="117" t="str">
        <x:v>No</x:v>
      </x:c>
      <x:c r="H244" s="117" t="str">
        <x:v>AutoLaunchedFlow</x:v>
      </x:c>
      <x:c r="I244" s="118" t="n">
        <x:v>54</x:v>
      </x:c>
      <x:c r="J244" s="117" t="str">
        <x:v>unmanaged</x:v>
      </x:c>
      <x:c r="K244" s="123" t="b">
        <x:v>0</x:v>
      </x:c>
      <x:c r="L244" s="117"/>
      <x:c r="M244" s="118"/>
      <x:c r="N244" s="120" t="n">
        <x:v>45594.49335648148</x:v>
      </x:c>
      <x:c r="O244" s="117" t="str">
        <x:v>Jon Kean</x:v>
      </x:c>
      <x:c r="P244" s="120" t="n">
        <x:v>45596.65056712963</x:v>
      </x:c>
      <x:c r="Q244" s="117" t="str">
        <x:v>Jon Kean</x:v>
      </x:c>
      <x:c r="R244" s="117" t="str">
        <x:v>Big Iron Purchasing Opportunity Updates/Alerts</x:v>
      </x:c>
      <x:c r="S244" s="119" t="str">
        <x:v>Moving this process to Async</x:v>
      </x:c>
    </x:row>
    <x:row r="245" ht="30" customHeight="1">
      <x:c r="A245" s="117" t="str">
        <x:v>Big_Iron_Purchasing_Opportunity_Updates_Alerts</x:v>
      </x:c>
      <x:c r="B245" s="117" t="str">
        <x:v>3005b000000H3goAAC</x:v>
      </x:c>
      <x:c r="C245" s="117" t="str">
        <x:v>301Ro00000NvDoiIAF</x:v>
      </x:c>
      <x:c r="D245" s="118" t="n">
        <x:v>34</x:v>
      </x:c>
      <x:c r="E245" s="117" t="str">
        <x:v>Obsolete</x:v>
      </x:c>
      <x:c r="F245" s="117" t="str">
        <x:v>No</x:v>
      </x:c>
      <x:c r="G245" s="117" t="str">
        <x:v>No</x:v>
      </x:c>
      <x:c r="H245" s="117" t="str">
        <x:v>AutoLaunchedFlow</x:v>
      </x:c>
      <x:c r="I245" s="118" t="n">
        <x:v>54</x:v>
      </x:c>
      <x:c r="J245" s="117" t="str">
        <x:v>unmanaged</x:v>
      </x:c>
      <x:c r="K245" s="123" t="b">
        <x:v>0</x:v>
      </x:c>
      <x:c r="L245" s="117"/>
      <x:c r="M245" s="118"/>
      <x:c r="N245" s="120" t="n">
        <x:v>45596.651284722226</x:v>
      </x:c>
      <x:c r="O245" s="117" t="str">
        <x:v>Jon Kean</x:v>
      </x:c>
      <x:c r="P245" s="120" t="n">
        <x:v>45596.651354166665</x:v>
      </x:c>
      <x:c r="Q245" s="117" t="str">
        <x:v>Jon Kean</x:v>
      </x:c>
      <x:c r="R245" s="117" t="str">
        <x:v>Big Iron Purchasing Opportunity Updates/Alerts</x:v>
      </x:c>
      <x:c r="S245" s="119" t="str">
        <x:v>Removed QA Check box</x:v>
      </x:c>
    </x:row>
    <x:row r="246" ht="30" customHeight="1">
      <x:c r="A246" s="117" t="str">
        <x:v>Big_Iron_Purchasing_Opportunity_Updates_Alerts</x:v>
      </x:c>
      <x:c r="B246" s="117" t="str">
        <x:v>3005b000000H3goAAC</x:v>
      </x:c>
      <x:c r="C246" s="117" t="str">
        <x:v>301Ro00000NvAp7IAF</x:v>
      </x:c>
      <x:c r="D246" s="118" t="n">
        <x:v>35</x:v>
      </x:c>
      <x:c r="E246" s="117" t="str">
        <x:v>Active</x:v>
      </x:c>
      <x:c r="F246" s="117" t="str">
        <x:v>Yes</x:v>
      </x:c>
      <x:c r="G246" s="117" t="str">
        <x:v>Yes</x:v>
      </x:c>
      <x:c r="H246" s="117" t="str">
        <x:v>AutoLaunchedFlow</x:v>
      </x:c>
      <x:c r="I246" s="118" t="n">
        <x:v>54</x:v>
      </x:c>
      <x:c r="J246" s="117" t="str">
        <x:v>unmanaged</x:v>
      </x:c>
      <x:c r="K246" s="123" t="b">
        <x:v>0</x:v>
      </x:c>
      <x:c r="L246" s="117"/>
      <x:c r="M246" s="118"/>
      <x:c r="N246" s="120" t="n">
        <x:v>45596.662997685184</x:v>
      </x:c>
      <x:c r="O246" s="117" t="str">
        <x:v>Jon Kean</x:v>
      </x:c>
      <x:c r="P246" s="120" t="n">
        <x:v>45596.66306712963</x:v>
      </x:c>
      <x:c r="Q246" s="117" t="str">
        <x:v>Jon Kean</x:v>
      </x:c>
      <x:c r="R246" s="117" t="str">
        <x:v>Big Iron Purchasing Opportunity Updates/Alerts</x:v>
      </x:c>
      <x:c r="S246" s="119" t="str">
        <x:v>Simplified the flow due to process changes</x:v>
      </x:c>
    </x:row>
    <x:row r="247" ht="30" customHeight="1">
      <x:c r="A247" s="117" t="str">
        <x:v>Big_Iron_Removal_Date_Updated_Notification</x:v>
      </x:c>
      <x:c r="B247" s="117" t="str">
        <x:v>300Ro00000RA9XBIA1</x:v>
      </x:c>
      <x:c r="C247" s="117" t="str">
        <x:v>301Ro00000TxVgkIAF</x:v>
      </x:c>
      <x:c r="D247" s="118" t="n">
        <x:v>1</x:v>
      </x:c>
      <x:c r="E247" s="117" t="str">
        <x:v>Obsolete</x:v>
      </x:c>
      <x:c r="F247" s="117" t="str">
        <x:v>No</x:v>
      </x:c>
      <x:c r="G247" s="117" t="str">
        <x:v>No</x:v>
      </x:c>
      <x:c r="H247" s="117" t="str">
        <x:v>AutoLaunchedFlow</x:v>
      </x:c>
      <x:c r="I247" s="118" t="n">
        <x:v>62</x:v>
      </x:c>
      <x:c r="J247" s="117" t="str">
        <x:v>unmanaged</x:v>
      </x:c>
      <x:c r="K247" s="123" t="b">
        <x:v>0</x:v>
      </x:c>
      <x:c r="L247" s="117"/>
      <x:c r="M247" s="118"/>
      <x:c r="N247" s="120" t="n">
        <x:v>45701.46334490741</x:v>
      </x:c>
      <x:c r="O247" s="117" t="str">
        <x:v>Sacha Pearce</x:v>
      </x:c>
      <x:c r="P247" s="120" t="n">
        <x:v>45701.46366898148</x:v>
      </x:c>
      <x:c r="Q247" s="117" t="str">
        <x:v>Sacha Pearce</x:v>
      </x:c>
      <x:c r="R247" s="117" t="str">
        <x:v>Big Iron Removal Date Updated Notification</x:v>
      </x:c>
      <x:c r="S247" s="119" t="str">
        <x:v>This is to inform the user selling an Asset that the Removal Date has been updated.</x:v>
      </x:c>
    </x:row>
    <x:row r="248" ht="30" customHeight="1">
      <x:c r="A248" s="117" t="str">
        <x:v>Big_Iron_Removal_Date_Updated_Notification</x:v>
      </x:c>
      <x:c r="B248" s="117" t="str">
        <x:v>300Ro00000RA9XBIA1</x:v>
      </x:c>
      <x:c r="C248" s="117" t="str">
        <x:v>301Ro00000TxjRpIAJ</x:v>
      </x:c>
      <x:c r="D248" s="118" t="n">
        <x:v>2</x:v>
      </x:c>
      <x:c r="E248" s="117" t="str">
        <x:v>Obsolete</x:v>
      </x:c>
      <x:c r="F248" s="117" t="str">
        <x:v>No</x:v>
      </x:c>
      <x:c r="G248" s="117" t="str">
        <x:v>No</x:v>
      </x:c>
      <x:c r="H248" s="117" t="str">
        <x:v>AutoLaunchedFlow</x:v>
      </x:c>
      <x:c r="I248" s="118" t="n">
        <x:v>62</x:v>
      </x:c>
      <x:c r="J248" s="117" t="str">
        <x:v>unmanaged</x:v>
      </x:c>
      <x:c r="K248" s="123" t="b">
        <x:v>0</x:v>
      </x:c>
      <x:c r="L248" s="117"/>
      <x:c r="M248" s="118"/>
      <x:c r="N248" s="120" t="n">
        <x:v>45701.465625</x:v>
      </x:c>
      <x:c r="O248" s="117" t="str">
        <x:v>Sacha Pearce</x:v>
      </x:c>
      <x:c r="P248" s="120" t="n">
        <x:v>45701.4656712963</x:v>
      </x:c>
      <x:c r="Q248" s="117" t="str">
        <x:v>Sacha Pearce</x:v>
      </x:c>
      <x:c r="R248" s="117" t="str">
        <x:v>Big Iron Removal Date Updated Notification</x:v>
      </x:c>
      <x:c r="S248" s="119" t="str">
        <x:v>This is to inform the user selling an Asset that the Removal Date has been updated.</x:v>
      </x:c>
    </x:row>
    <x:row r="249" ht="30" customHeight="1">
      <x:c r="A249" s="117" t="str">
        <x:v>Big_Iron_Removal_Date_Updated_Notification</x:v>
      </x:c>
      <x:c r="B249" s="117" t="str">
        <x:v>300Ro00000RA9XBIA1</x:v>
      </x:c>
      <x:c r="C249" s="117" t="str">
        <x:v>301Ro00000TxWuVIAV</x:v>
      </x:c>
      <x:c r="D249" s="118" t="n">
        <x:v>3</x:v>
      </x:c>
      <x:c r="E249" s="117" t="str">
        <x:v>Draft</x:v>
      </x:c>
      <x:c r="F249" s="117" t="str">
        <x:v>No</x:v>
      </x:c>
      <x:c r="G249" s="117" t="str">
        <x:v>No</x:v>
      </x:c>
      <x:c r="H249" s="117" t="str">
        <x:v>AutoLaunchedFlow</x:v>
      </x:c>
      <x:c r="I249" s="118" t="n">
        <x:v>62</x:v>
      </x:c>
      <x:c r="J249" s="117" t="str">
        <x:v>unmanaged</x:v>
      </x:c>
      <x:c r="K249" s="123" t="b">
        <x:v>0</x:v>
      </x:c>
      <x:c r="L249" s="117"/>
      <x:c r="M249" s="118"/>
      <x:c r="N249" s="120" t="n">
        <x:v>45701.467453703706</x:v>
      </x:c>
      <x:c r="O249" s="117" t="str">
        <x:v>Sacha Pearce</x:v>
      </x:c>
      <x:c r="P249" s="120" t="n">
        <x:v>45701.467465277776</x:v>
      </x:c>
      <x:c r="Q249" s="117" t="str">
        <x:v>Sacha Pearce</x:v>
      </x:c>
      <x:c r="R249" s="117" t="str">
        <x:v>Big Iron Removal Date Updated Notification</x:v>
      </x:c>
      <x:c r="S249" s="119" t="str">
        <x:v>This is to inform the user selling an Asset that the Removal Date has been updated.</x:v>
      </x:c>
    </x:row>
    <x:row r="250" ht="30" customHeight="1">
      <x:c r="A250" s="117" t="str">
        <x:v>Big_Iron_Removal_Date_Updated_Notification</x:v>
      </x:c>
      <x:c r="B250" s="117" t="str">
        <x:v>300Ro00000RA9XBIA1</x:v>
      </x:c>
      <x:c r="C250" s="117" t="str">
        <x:v>301Ro00000TxhxvIAB</x:v>
      </x:c>
      <x:c r="D250" s="118" t="n">
        <x:v>4</x:v>
      </x:c>
      <x:c r="E250" s="117" t="str">
        <x:v>Obsolete</x:v>
      </x:c>
      <x:c r="F250" s="117" t="str">
        <x:v>No</x:v>
      </x:c>
      <x:c r="G250" s="117" t="str">
        <x:v>No</x:v>
      </x:c>
      <x:c r="H250" s="117" t="str">
        <x:v>AutoLaunchedFlow</x:v>
      </x:c>
      <x:c r="I250" s="118" t="n">
        <x:v>62</x:v>
      </x:c>
      <x:c r="J250" s="117" t="str">
        <x:v>unmanaged</x:v>
      </x:c>
      <x:c r="K250" s="123" t="b">
        <x:v>0</x:v>
      </x:c>
      <x:c r="L250" s="117"/>
      <x:c r="M250" s="118"/>
      <x:c r="N250" s="120" t="n">
        <x:v>45701.46931712963</x:v>
      </x:c>
      <x:c r="O250" s="117" t="str">
        <x:v>Sacha Pearce</x:v>
      </x:c>
      <x:c r="P250" s="120" t="n">
        <x:v>45701.469814814816</x:v>
      </x:c>
      <x:c r="Q250" s="117" t="str">
        <x:v>Sacha Pearce</x:v>
      </x:c>
      <x:c r="R250" s="117" t="str">
        <x:v>Big Iron Removal Date Updated Notification</x:v>
      </x:c>
      <x:c r="S250" s="119" t="str">
        <x:v>This is to inform the user selling an Asset that the Removal Date has been updated.</x:v>
      </x:c>
    </x:row>
    <x:row r="251" ht="30" customHeight="1">
      <x:c r="A251" s="117" t="str">
        <x:v>Big_Iron_Removal_Date_Updated_Notification</x:v>
      </x:c>
      <x:c r="B251" s="117" t="str">
        <x:v>300Ro00000RA9XBIA1</x:v>
      </x:c>
      <x:c r="C251" s="117" t="str">
        <x:v>301Ro00000Txkm5IAB</x:v>
      </x:c>
      <x:c r="D251" s="118" t="n">
        <x:v>5</x:v>
      </x:c>
      <x:c r="E251" s="117" t="str">
        <x:v>Obsolete</x:v>
      </x:c>
      <x:c r="F251" s="117" t="str">
        <x:v>No</x:v>
      </x:c>
      <x:c r="G251" s="117" t="str">
        <x:v>No</x:v>
      </x:c>
      <x:c r="H251" s="117" t="str">
        <x:v>AutoLaunchedFlow</x:v>
      </x:c>
      <x:c r="I251" s="118" t="n">
        <x:v>62</x:v>
      </x:c>
      <x:c r="J251" s="117" t="str">
        <x:v>unmanaged</x:v>
      </x:c>
      <x:c r="K251" s="123" t="b">
        <x:v>0</x:v>
      </x:c>
      <x:c r="L251" s="117"/>
      <x:c r="M251" s="118"/>
      <x:c r="N251" s="120" t="n">
        <x:v>45701.46994212963</x:v>
      </x:c>
      <x:c r="O251" s="117" t="str">
        <x:v>Sacha Pearce</x:v>
      </x:c>
      <x:c r="P251" s="120" t="n">
        <x:v>45701.47</x:v>
      </x:c>
      <x:c r="Q251" s="117" t="str">
        <x:v>Sacha Pearce</x:v>
      </x:c>
      <x:c r="R251" s="117" t="str">
        <x:v>Big Iron Removal Date Updated Notification</x:v>
      </x:c>
      <x:c r="S251" s="119" t="str">
        <x:v>This is to inform the user selling an Asset that the Removal Date has been updated.</x:v>
      </x:c>
    </x:row>
    <x:row r="252" ht="30" customHeight="1">
      <x:c r="A252" s="117" t="str">
        <x:v>Big_Iron_Removal_Date_Updated_Notification</x:v>
      </x:c>
      <x:c r="B252" s="117" t="str">
        <x:v>300Ro00000RA9XBIA1</x:v>
      </x:c>
      <x:c r="C252" s="117" t="str">
        <x:v>301Ro00000Txjq2IAB</x:v>
      </x:c>
      <x:c r="D252" s="118" t="n">
        <x:v>6</x:v>
      </x:c>
      <x:c r="E252" s="117" t="str">
        <x:v>Obsolete</x:v>
      </x:c>
      <x:c r="F252" s="117" t="str">
        <x:v>No</x:v>
      </x:c>
      <x:c r="G252" s="117" t="str">
        <x:v>No</x:v>
      </x:c>
      <x:c r="H252" s="117" t="str">
        <x:v>AutoLaunchedFlow</x:v>
      </x:c>
      <x:c r="I252" s="118" t="n">
        <x:v>62</x:v>
      </x:c>
      <x:c r="J252" s="117" t="str">
        <x:v>unmanaged</x:v>
      </x:c>
      <x:c r="K252" s="123" t="b">
        <x:v>0</x:v>
      </x:c>
      <x:c r="L252" s="117"/>
      <x:c r="M252" s="118"/>
      <x:c r="N252" s="120" t="n">
        <x:v>45701.47127314815</x:v>
      </x:c>
      <x:c r="O252" s="117" t="str">
        <x:v>Sacha Pearce</x:v>
      </x:c>
      <x:c r="P252" s="120" t="n">
        <x:v>45701.47180555556</x:v>
      </x:c>
      <x:c r="Q252" s="117" t="str">
        <x:v>Sacha Pearce</x:v>
      </x:c>
      <x:c r="R252" s="117" t="str">
        <x:v>Big Iron Removal Date Updated Notification</x:v>
      </x:c>
      <x:c r="S252" s="119" t="str">
        <x:v>This is to inform the user selling an Asset that the Removal Date has been updated.</x:v>
      </x:c>
    </x:row>
    <x:row r="253" ht="30" customHeight="1">
      <x:c r="A253" s="117" t="str">
        <x:v>Big_Iron_Removal_Date_Updated_Notification</x:v>
      </x:c>
      <x:c r="B253" s="117" t="str">
        <x:v>300Ro00000RA9XBIA1</x:v>
      </x:c>
      <x:c r="C253" s="117" t="str">
        <x:v>301Ro00000c7Xr0IAE</x:v>
      </x:c>
      <x:c r="D253" s="118" t="n">
        <x:v>7</x:v>
      </x:c>
      <x:c r="E253" s="117" t="str">
        <x:v>Draft</x:v>
      </x:c>
      <x:c r="F253" s="117" t="str">
        <x:v>No</x:v>
      </x:c>
      <x:c r="G253" s="117" t="str">
        <x:v>Yes</x:v>
      </x:c>
      <x:c r="H253" s="117" t="str">
        <x:v>AutoLaunchedFlow</x:v>
      </x:c>
      <x:c r="I253" s="118" t="n">
        <x:v>62</x:v>
      </x:c>
      <x:c r="J253" s="117" t="str">
        <x:v>unmanaged</x:v>
      </x:c>
      <x:c r="K253" s="123" t="b">
        <x:v>0</x:v>
      </x:c>
      <x:c r="L253" s="117"/>
      <x:c r="M253" s="118"/>
      <x:c r="N253" s="120" t="n">
        <x:v>45826.37461805555</x:v>
      </x:c>
      <x:c r="O253" s="117" t="str">
        <x:v>Sacha Pearce</x:v>
      </x:c>
      <x:c r="P253" s="120" t="n">
        <x:v>45826.37465277778</x:v>
      </x:c>
      <x:c r="Q253" s="117" t="str">
        <x:v>Sacha Pearce</x:v>
      </x:c>
      <x:c r="R253" s="117" t="str">
        <x:v>Big Iron Removal Date Updated Notification</x:v>
      </x:c>
      <x:c r="S253" s="119" t="str">
        <x:v>This is to inform the user selling an Asset that the Removal Date has been updated.
18/06/2025 - SP - V7 - Amending entry criteria to include if the Expected Removal Date is changed.</x:v>
      </x:c>
    </x:row>
    <x:row r="254" ht="30" customHeight="1">
      <x:c r="A254" s="117" t="str">
        <x:v>Big_Iron_Stock_Received_Notification</x:v>
      </x:c>
      <x:c r="B254" s="117" t="str">
        <x:v>3005b000000PywrAAC</x:v>
      </x:c>
      <x:c r="C254" s="117" t="str">
        <x:v>3015b000000VziRAAS</x:v>
      </x:c>
      <x:c r="D254" s="118" t="n">
        <x:v>1</x:v>
      </x:c>
      <x:c r="E254" s="117" t="str">
        <x:v>Obsolete</x:v>
      </x:c>
      <x:c r="F254" s="117" t="str">
        <x:v>No</x:v>
      </x:c>
      <x:c r="G254" s="117" t="str">
        <x:v>No</x:v>
      </x:c>
      <x:c r="H254" s="117" t="str">
        <x:v>AutoLaunchedFlow</x:v>
      </x:c>
      <x:c r="I254" s="118" t="n">
        <x:v>57</x:v>
      </x:c>
      <x:c r="J254" s="117" t="str">
        <x:v>unmanaged</x:v>
      </x:c>
      <x:c r="K254" s="123" t="b">
        <x:v>0</x:v>
      </x:c>
      <x:c r="L254" s="117"/>
      <x:c r="M254" s="118"/>
      <x:c r="N254" s="120" t="n">
        <x:v>44977.61040509259</x:v>
      </x:c>
      <x:c r="O254" s="117" t="str">
        <x:v>Jordan Reeves</x:v>
      </x:c>
      <x:c r="P254" s="120" t="n">
        <x:v>44977.61046296296</x:v>
      </x:c>
      <x:c r="Q254" s="117" t="str">
        <x:v>Jordan Reeves</x:v>
      </x:c>
      <x:c r="R254" s="117" t="str">
        <x:v>Big Iron Stock Received Notification - EU</x:v>
      </x:c>
      <x:c r="S254" s="119" t="str">
        <x:v>Notification for when Big Iron is received in to a Probo EU Controlled Location</x:v>
      </x:c>
    </x:row>
    <x:row r="255" ht="30" customHeight="1">
      <x:c r="A255" s="117" t="str">
        <x:v>Big_Iron_Stock_Received_Notification</x:v>
      </x:c>
      <x:c r="B255" s="117" t="str">
        <x:v>3005b000000PywrAAC</x:v>
      </x:c>
      <x:c r="C255" s="117" t="str">
        <x:v>3015b000000VziWAAS</x:v>
      </x:c>
      <x:c r="D255" s="118" t="n">
        <x:v>2</x:v>
      </x:c>
      <x:c r="E255" s="117" t="str">
        <x:v>Obsolete</x:v>
      </x:c>
      <x:c r="F255" s="117" t="str">
        <x:v>No</x:v>
      </x:c>
      <x:c r="G255" s="117" t="str">
        <x:v>No</x:v>
      </x:c>
      <x:c r="H255" s="117" t="str">
        <x:v>AutoLaunchedFlow</x:v>
      </x:c>
      <x:c r="I255" s="118" t="n">
        <x:v>57</x:v>
      </x:c>
      <x:c r="J255" s="117" t="str">
        <x:v>unmanaged</x:v>
      </x:c>
      <x:c r="K255" s="123" t="b">
        <x:v>0</x:v>
      </x:c>
      <x:c r="L255" s="117"/>
      <x:c r="M255" s="118"/>
      <x:c r="N255" s="120" t="n">
        <x:v>44977.61287037037</x:v>
      </x:c>
      <x:c r="O255" s="117" t="str">
        <x:v>Jordan Reeves</x:v>
      </x:c>
      <x:c r="P255" s="120" t="n">
        <x:v>44977.61293981481</x:v>
      </x:c>
      <x:c r="Q255" s="117" t="str">
        <x:v>Jordan Reeves</x:v>
      </x:c>
      <x:c r="R255" s="117" t="str">
        <x:v>Big Iron Stock Received Notification - EU</x:v>
      </x:c>
      <x:c r="S255" s="119" t="str">
        <x:v>Notification for when Big Iron is received in to a Probo EU Controlled Location</x:v>
      </x:c>
    </x:row>
    <x:row r="256" ht="30" customHeight="1">
      <x:c r="A256" s="117" t="str">
        <x:v>Big_Iron_Stock_Received_Notification</x:v>
      </x:c>
      <x:c r="B256" s="117" t="str">
        <x:v>3005b000000PywrAAC</x:v>
      </x:c>
      <x:c r="C256" s="117" t="str">
        <x:v>3015b000000VzibAAC</x:v>
      </x:c>
      <x:c r="D256" s="118" t="n">
        <x:v>3</x:v>
      </x:c>
      <x:c r="E256" s="117" t="str">
        <x:v>Obsolete</x:v>
      </x:c>
      <x:c r="F256" s="117" t="str">
        <x:v>No</x:v>
      </x:c>
      <x:c r="G256" s="117" t="str">
        <x:v>No</x:v>
      </x:c>
      <x:c r="H256" s="117" t="str">
        <x:v>AutoLaunchedFlow</x:v>
      </x:c>
      <x:c r="I256" s="118" t="n">
        <x:v>57</x:v>
      </x:c>
      <x:c r="J256" s="117" t="str">
        <x:v>unmanaged</x:v>
      </x:c>
      <x:c r="K256" s="123" t="b">
        <x:v>0</x:v>
      </x:c>
      <x:c r="L256" s="117"/>
      <x:c r="M256" s="118"/>
      <x:c r="N256" s="120" t="n">
        <x:v>44977.61440972222</x:v>
      </x:c>
      <x:c r="O256" s="117" t="str">
        <x:v>Jordan Reeves</x:v>
      </x:c>
      <x:c r="P256" s="120" t="n">
        <x:v>44977.61444444444</x:v>
      </x:c>
      <x:c r="Q256" s="117" t="str">
        <x:v>Jordan Reeves</x:v>
      </x:c>
      <x:c r="R256" s="117" t="str">
        <x:v>Big Iron Stock Received Notification - EU</x:v>
      </x:c>
      <x:c r="S256" s="119" t="str">
        <x:v>Notification for when Big Iron is received in to a Probo EU Controlled Location</x:v>
      </x:c>
    </x:row>
    <x:row r="257" ht="30" customHeight="1">
      <x:c r="A257" s="117" t="str">
        <x:v>Big_Iron_Stock_Received_Notification</x:v>
      </x:c>
      <x:c r="B257" s="117" t="str">
        <x:v>3005b000000PywrAAC</x:v>
      </x:c>
      <x:c r="C257" s="117" t="str">
        <x:v>3015b000000VzigAAC</x:v>
      </x:c>
      <x:c r="D257" s="118" t="n">
        <x:v>4</x:v>
      </x:c>
      <x:c r="E257" s="117" t="str">
        <x:v>Obsolete</x:v>
      </x:c>
      <x:c r="F257" s="117" t="str">
        <x:v>No</x:v>
      </x:c>
      <x:c r="G257" s="117" t="str">
        <x:v>No</x:v>
      </x:c>
      <x:c r="H257" s="117" t="str">
        <x:v>AutoLaunchedFlow</x:v>
      </x:c>
      <x:c r="I257" s="118" t="n">
        <x:v>57</x:v>
      </x:c>
      <x:c r="J257" s="117" t="str">
        <x:v>unmanaged</x:v>
      </x:c>
      <x:c r="K257" s="123" t="b">
        <x:v>0</x:v>
      </x:c>
      <x:c r="L257" s="117"/>
      <x:c r="M257" s="118"/>
      <x:c r="N257" s="120" t="n">
        <x:v>44977.615636574075</x:v>
      </x:c>
      <x:c r="O257" s="117" t="str">
        <x:v>Jordan Reeves</x:v>
      </x:c>
      <x:c r="P257" s="120" t="n">
        <x:v>44977.6156712963</x:v>
      </x:c>
      <x:c r="Q257" s="117" t="str">
        <x:v>Jordan Reeves</x:v>
      </x:c>
      <x:c r="R257" s="117" t="str">
        <x:v>Big Iron Stock Received Notification - EU</x:v>
      </x:c>
      <x:c r="S257" s="119" t="str">
        <x:v>Notification for when Big Iron is received in to a Probo EU Controlled Location</x:v>
      </x:c>
    </x:row>
    <x:row r="258" ht="30" customHeight="1">
      <x:c r="A258" s="117" t="str">
        <x:v>Big_Iron_Stock_Received_Notification</x:v>
      </x:c>
      <x:c r="B258" s="117" t="str">
        <x:v>3005b000000PywrAAC</x:v>
      </x:c>
      <x:c r="C258" s="117" t="str">
        <x:v>3015b000000VzilAAC</x:v>
      </x:c>
      <x:c r="D258" s="118" t="n">
        <x:v>5</x:v>
      </x:c>
      <x:c r="E258" s="117" t="str">
        <x:v>Obsolete</x:v>
      </x:c>
      <x:c r="F258" s="117" t="str">
        <x:v>No</x:v>
      </x:c>
      <x:c r="G258" s="117" t="str">
        <x:v>No</x:v>
      </x:c>
      <x:c r="H258" s="117" t="str">
        <x:v>AutoLaunchedFlow</x:v>
      </x:c>
      <x:c r="I258" s="118" t="n">
        <x:v>57</x:v>
      </x:c>
      <x:c r="J258" s="117" t="str">
        <x:v>unmanaged</x:v>
      </x:c>
      <x:c r="K258" s="123" t="b">
        <x:v>0</x:v>
      </x:c>
      <x:c r="L258" s="117"/>
      <x:c r="M258" s="118"/>
      <x:c r="N258" s="120" t="n">
        <x:v>44977.616273148145</x:v>
      </x:c>
      <x:c r="O258" s="117" t="str">
        <x:v>Jordan Reeves</x:v>
      </x:c>
      <x:c r="P258" s="120" t="n">
        <x:v>44977.61630787037</x:v>
      </x:c>
      <x:c r="Q258" s="117" t="str">
        <x:v>Jordan Reeves</x:v>
      </x:c>
      <x:c r="R258" s="117" t="str">
        <x:v>Big Iron Stock Received Notification - EU</x:v>
      </x:c>
      <x:c r="S258" s="119" t="str">
        <x:v>Notification for when Big Iron is received in to a Probo EU Controlled Location</x:v>
      </x:c>
    </x:row>
    <x:row r="259" ht="30" customHeight="1">
      <x:c r="A259" s="117" t="str">
        <x:v>Big_Iron_Stock_Received_Notification</x:v>
      </x:c>
      <x:c r="B259" s="117" t="str">
        <x:v>3005b000000PywrAAC</x:v>
      </x:c>
      <x:c r="C259" s="117" t="str">
        <x:v>3015b000000VziqAAC</x:v>
      </x:c>
      <x:c r="D259" s="118" t="n">
        <x:v>6</x:v>
      </x:c>
      <x:c r="E259" s="117" t="str">
        <x:v>Obsolete</x:v>
      </x:c>
      <x:c r="F259" s="117" t="str">
        <x:v>No</x:v>
      </x:c>
      <x:c r="G259" s="117" t="str">
        <x:v>No</x:v>
      </x:c>
      <x:c r="H259" s="117" t="str">
        <x:v>AutoLaunchedFlow</x:v>
      </x:c>
      <x:c r="I259" s="118" t="n">
        <x:v>57</x:v>
      </x:c>
      <x:c r="J259" s="117" t="str">
        <x:v>unmanaged</x:v>
      </x:c>
      <x:c r="K259" s="123" t="b">
        <x:v>0</x:v>
      </x:c>
      <x:c r="L259" s="117"/>
      <x:c r="M259" s="118"/>
      <x:c r="N259" s="120" t="n">
        <x:v>44977.61667824074</x:v>
      </x:c>
      <x:c r="O259" s="117" t="str">
        <x:v>Jordan Reeves</x:v>
      </x:c>
      <x:c r="P259" s="120" t="n">
        <x:v>44977.62226851852</x:v>
      </x:c>
      <x:c r="Q259" s="117" t="str">
        <x:v>Jordan Reeves</x:v>
      </x:c>
      <x:c r="R259" s="117" t="str">
        <x:v>Big Iron Stock Received Notification - EU</x:v>
      </x:c>
      <x:c r="S259" s="119" t="str">
        <x:v>Notification for when Big Iron is received in to a Probo EU Controlled Location</x:v>
      </x:c>
    </x:row>
    <x:row r="260" ht="30" customHeight="1">
      <x:c r="A260" s="117" t="str">
        <x:v>Big_Iron_Stock_Received_Notification</x:v>
      </x:c>
      <x:c r="B260" s="117" t="str">
        <x:v>3005b000000PywrAAC</x:v>
      </x:c>
      <x:c r="C260" s="117" t="str">
        <x:v>3015b000000VzivAAC</x:v>
      </x:c>
      <x:c r="D260" s="118" t="n">
        <x:v>7</x:v>
      </x:c>
      <x:c r="E260" s="117" t="str">
        <x:v>Draft</x:v>
      </x:c>
      <x:c r="F260" s="117" t="str">
        <x:v>No</x:v>
      </x:c>
      <x:c r="G260" s="117" t="str">
        <x:v>No</x:v>
      </x:c>
      <x:c r="H260" s="117" t="str">
        <x:v>AutoLaunchedFlow</x:v>
      </x:c>
      <x:c r="I260" s="118" t="n">
        <x:v>57</x:v>
      </x:c>
      <x:c r="J260" s="117" t="str">
        <x:v>unmanaged</x:v>
      </x:c>
      <x:c r="K260" s="123" t="b">
        <x:v>0</x:v>
      </x:c>
      <x:c r="L260" s="117"/>
      <x:c r="M260" s="118"/>
      <x:c r="N260" s="120" t="n">
        <x:v>44977.6283912037</x:v>
      </x:c>
      <x:c r="O260" s="117" t="str">
        <x:v>Jordan Reeves</x:v>
      </x:c>
      <x:c r="P260" s="120" t="n">
        <x:v>44977.62841435185</x:v>
      </x:c>
      <x:c r="Q260" s="117" t="str">
        <x:v>Jordan Reeves</x:v>
      </x:c>
      <x:c r="R260" s="117" t="str">
        <x:v>Big Iron Stock Received Notification - EU</x:v>
      </x:c>
      <x:c r="S260" s="119" t="str">
        <x:v>Notification for when Big Iron is received in to a Probo EU Controlled Location</x:v>
      </x:c>
    </x:row>
    <x:row r="261" ht="30" customHeight="1">
      <x:c r="A261" s="117" t="str">
        <x:v>Big_Iron_Stock_Received_Notification</x:v>
      </x:c>
      <x:c r="B261" s="117" t="str">
        <x:v>3005b000000PywrAAC</x:v>
      </x:c>
      <x:c r="C261" s="117" t="str">
        <x:v>3015b000000Vzj0AAC</x:v>
      </x:c>
      <x:c r="D261" s="118" t="n">
        <x:v>8</x:v>
      </x:c>
      <x:c r="E261" s="117" t="str">
        <x:v>Draft</x:v>
      </x:c>
      <x:c r="F261" s="117" t="str">
        <x:v>No</x:v>
      </x:c>
      <x:c r="G261" s="117" t="str">
        <x:v>No</x:v>
      </x:c>
      <x:c r="H261" s="117" t="str">
        <x:v>AutoLaunchedFlow</x:v>
      </x:c>
      <x:c r="I261" s="118" t="n">
        <x:v>57</x:v>
      </x:c>
      <x:c r="J261" s="117" t="str">
        <x:v>unmanaged</x:v>
      </x:c>
      <x:c r="K261" s="123" t="b">
        <x:v>0</x:v>
      </x:c>
      <x:c r="L261" s="117"/>
      <x:c r="M261" s="118"/>
      <x:c r="N261" s="120" t="n">
        <x:v>44977.62913194444</x:v>
      </x:c>
      <x:c r="O261" s="117" t="str">
        <x:v>Jordan Reeves</x:v>
      </x:c>
      <x:c r="P261" s="120" t="n">
        <x:v>44977.62913194444</x:v>
      </x:c>
      <x:c r="Q261" s="117" t="str">
        <x:v>Jordan Reeves</x:v>
      </x:c>
      <x:c r="R261" s="117" t="str">
        <x:v>Big Iron Stock Received Notification - EU</x:v>
      </x:c>
      <x:c r="S261" s="119" t="str">
        <x:v>Notification for when Big Iron is received in to a Probo EU Controlled Location</x:v>
      </x:c>
    </x:row>
    <x:row r="262" ht="30" customHeight="1">
      <x:c r="A262" s="117" t="str">
        <x:v>Big_Iron_Stock_Received_Notification</x:v>
      </x:c>
      <x:c r="B262" s="117" t="str">
        <x:v>3005b000000PywrAAC</x:v>
      </x:c>
      <x:c r="C262" s="117" t="str">
        <x:v>3015b000000Vzj5AAC</x:v>
      </x:c>
      <x:c r="D262" s="118" t="n">
        <x:v>9</x:v>
      </x:c>
      <x:c r="E262" s="117" t="str">
        <x:v>Draft</x:v>
      </x:c>
      <x:c r="F262" s="117" t="str">
        <x:v>No</x:v>
      </x:c>
      <x:c r="G262" s="117" t="str">
        <x:v>No</x:v>
      </x:c>
      <x:c r="H262" s="117" t="str">
        <x:v>AutoLaunchedFlow</x:v>
      </x:c>
      <x:c r="I262" s="118" t="n">
        <x:v>57</x:v>
      </x:c>
      <x:c r="J262" s="117" t="str">
        <x:v>unmanaged</x:v>
      </x:c>
      <x:c r="K262" s="123" t="b">
        <x:v>0</x:v>
      </x:c>
      <x:c r="L262" s="117"/>
      <x:c r="M262" s="118"/>
      <x:c r="N262" s="120" t="n">
        <x:v>44977.63037037037</x:v>
      </x:c>
      <x:c r="O262" s="117" t="str">
        <x:v>Jordan Reeves</x:v>
      </x:c>
      <x:c r="P262" s="120" t="n">
        <x:v>44977.630381944444</x:v>
      </x:c>
      <x:c r="Q262" s="117" t="str">
        <x:v>Jordan Reeves</x:v>
      </x:c>
      <x:c r="R262" s="117" t="str">
        <x:v>Big Iron Stock Received Notification - EU</x:v>
      </x:c>
      <x:c r="S262" s="119" t="str">
        <x:v>Notification for when Big Iron is received in to a Probo EU Controlled Location</x:v>
      </x:c>
    </x:row>
    <x:row r="263" ht="30" customHeight="1">
      <x:c r="A263" s="117" t="str">
        <x:v>Big_Iron_Stock_Received_Notification</x:v>
      </x:c>
      <x:c r="B263" s="117" t="str">
        <x:v>3005b000000PywrAAC</x:v>
      </x:c>
      <x:c r="C263" s="117" t="str">
        <x:v>3015b000000VzjAAAS</x:v>
      </x:c>
      <x:c r="D263" s="118" t="n">
        <x:v>10</x:v>
      </x:c>
      <x:c r="E263" s="117" t="str">
        <x:v>Draft</x:v>
      </x:c>
      <x:c r="F263" s="117" t="str">
        <x:v>No</x:v>
      </x:c>
      <x:c r="G263" s="117" t="str">
        <x:v>No</x:v>
      </x:c>
      <x:c r="H263" s="117" t="str">
        <x:v>AutoLaunchedFlow</x:v>
      </x:c>
      <x:c r="I263" s="118" t="n">
        <x:v>57</x:v>
      </x:c>
      <x:c r="J263" s="117" t="str">
        <x:v>unmanaged</x:v>
      </x:c>
      <x:c r="K263" s="123" t="b">
        <x:v>0</x:v>
      </x:c>
      <x:c r="L263" s="117"/>
      <x:c r="M263" s="118"/>
      <x:c r="N263" s="120" t="n">
        <x:v>44977.63306712963</x:v>
      </x:c>
      <x:c r="O263" s="117" t="str">
        <x:v>Jordan Reeves</x:v>
      </x:c>
      <x:c r="P263" s="120" t="n">
        <x:v>44977.6330787037</x:v>
      </x:c>
      <x:c r="Q263" s="117" t="str">
        <x:v>Jordan Reeves</x:v>
      </x:c>
      <x:c r="R263" s="117" t="str">
        <x:v>Big Iron Stock Received Notification - EU</x:v>
      </x:c>
      <x:c r="S263" s="119" t="str">
        <x:v>Notification for when Big Iron is received in to a Probo EU Controlled Location</x:v>
      </x:c>
    </x:row>
    <x:row r="264" ht="30" customHeight="1">
      <x:c r="A264" s="117" t="str">
        <x:v>Big_Iron_Stock_Received_Notification</x:v>
      </x:c>
      <x:c r="B264" s="117" t="str">
        <x:v>3005b000000PywrAAC</x:v>
      </x:c>
      <x:c r="C264" s="117" t="str">
        <x:v>3015b000000VzjtAAC</x:v>
      </x:c>
      <x:c r="D264" s="118" t="n">
        <x:v>11</x:v>
      </x:c>
      <x:c r="E264" s="117" t="str">
        <x:v>Draft</x:v>
      </x:c>
      <x:c r="F264" s="117" t="str">
        <x:v>No</x:v>
      </x:c>
      <x:c r="G264" s="117" t="str">
        <x:v>Yes</x:v>
      </x:c>
      <x:c r="H264" s="117" t="str">
        <x:v>AutoLaunchedFlow</x:v>
      </x:c>
      <x:c r="I264" s="118" t="n">
        <x:v>57</x:v>
      </x:c>
      <x:c r="J264" s="117" t="str">
        <x:v>unmanaged</x:v>
      </x:c>
      <x:c r="K264" s="123" t="b">
        <x:v>0</x:v>
      </x:c>
      <x:c r="L264" s="117"/>
      <x:c r="M264" s="118"/>
      <x:c r="N264" s="120" t="n">
        <x:v>44977.64710648148</x:v>
      </x:c>
      <x:c r="O264" s="117" t="str">
        <x:v>Jordan Reeves</x:v>
      </x:c>
      <x:c r="P264" s="120" t="n">
        <x:v>44977.64710648148</x:v>
      </x:c>
      <x:c r="Q264" s="117" t="str">
        <x:v>Jordan Reeves</x:v>
      </x:c>
      <x:c r="R264" s="117" t="str">
        <x:v>Big Iron Stock Received Notification - EU</x:v>
      </x:c>
      <x:c r="S264" s="119" t="str">
        <x:v>Notification for when Big Iron is received in to a Probo EU Controlled Location</x:v>
      </x:c>
    </x:row>
    <x:row r="265" ht="30" customHeight="1">
      <x:c r="A265" s="117" t="str">
        <x:v>BIPO_Closed_Lost_Notification</x:v>
      </x:c>
      <x:c r="B265" s="117" t="str">
        <x:v>300Ro00000EC7AbIAL</x:v>
      </x:c>
      <x:c r="C265" s="117" t="str">
        <x:v>301Ro00000FhfYjIAJ</x:v>
      </x:c>
      <x:c r="D265" s="118" t="n">
        <x:v>1</x:v>
      </x:c>
      <x:c r="E265" s="117" t="str">
        <x:v>Obsolete</x:v>
      </x:c>
      <x:c r="F265" s="117" t="str">
        <x:v>No</x:v>
      </x:c>
      <x:c r="G265" s="117" t="str">
        <x:v>No</x:v>
      </x:c>
      <x:c r="H265" s="117" t="str">
        <x:v>AutoLaunchedFlow</x:v>
      </x:c>
      <x:c r="I265" s="118" t="n">
        <x:v>61</x:v>
      </x:c>
      <x:c r="J265" s="117" t="str">
        <x:v>unmanaged</x:v>
      </x:c>
      <x:c r="K265" s="123" t="b">
        <x:v>0</x:v>
      </x:c>
      <x:c r="L265" s="117"/>
      <x:c r="M265" s="118"/>
      <x:c r="N265" s="120" t="n">
        <x:v>45470.37351851852</x:v>
      </x:c>
      <x:c r="O265" s="117" t="str">
        <x:v>Jon Kean</x:v>
      </x:c>
      <x:c r="P265" s="120" t="n">
        <x:v>45470.373611111114</x:v>
      </x:c>
      <x:c r="Q265" s="117" t="str">
        <x:v>Jon Kean</x:v>
      </x:c>
      <x:c r="R265" s="117" t="str">
        <x:v>BIPO Closed Lost Notification</x:v>
      </x:c>
      <x:c r="S265" s="119"/>
    </x:row>
    <x:row r="266" ht="30" customHeight="1">
      <x:c r="A266" s="117" t="str">
        <x:v>BIPO_Closed_Lost_Notification</x:v>
      </x:c>
      <x:c r="B266" s="117" t="str">
        <x:v>300Ro00000EC7AbIAL</x:v>
      </x:c>
      <x:c r="C266" s="117" t="str">
        <x:v>301Ro00000Fhcr5IAB</x:v>
      </x:c>
      <x:c r="D266" s="118" t="n">
        <x:v>2</x:v>
      </x:c>
      <x:c r="E266" s="117" t="str">
        <x:v>Obsolete</x:v>
      </x:c>
      <x:c r="F266" s="117" t="str">
        <x:v>No</x:v>
      </x:c>
      <x:c r="G266" s="117" t="str">
        <x:v>No</x:v>
      </x:c>
      <x:c r="H266" s="117" t="str">
        <x:v>AutoLaunchedFlow</x:v>
      </x:c>
      <x:c r="I266" s="118" t="n">
        <x:v>61</x:v>
      </x:c>
      <x:c r="J266" s="117" t="str">
        <x:v>unmanaged</x:v>
      </x:c>
      <x:c r="K266" s="123" t="b">
        <x:v>0</x:v>
      </x:c>
      <x:c r="L266" s="117"/>
      <x:c r="M266" s="118"/>
      <x:c r="N266" s="120" t="n">
        <x:v>45470.37563657408</x:v>
      </x:c>
      <x:c r="O266" s="117" t="str">
        <x:v>Jon Kean</x:v>
      </x:c>
      <x:c r="P266" s="120" t="n">
        <x:v>45470.37567129629</x:v>
      </x:c>
      <x:c r="Q266" s="117" t="str">
        <x:v>Jon Kean</x:v>
      </x:c>
      <x:c r="R266" s="117" t="str">
        <x:v>BIPO Closed Lost Notification</x:v>
      </x:c>
      <x:c r="S266" s="119"/>
    </x:row>
    <x:row r="267" ht="30" customHeight="1">
      <x:c r="A267" s="117" t="str">
        <x:v>BIPO_Closed_Lost_Notification</x:v>
      </x:c>
      <x:c r="B267" s="117" t="str">
        <x:v>300Ro00000EC7AbIAL</x:v>
      </x:c>
      <x:c r="C267" s="117" t="str">
        <x:v>301Ro00000FhaLjIAJ</x:v>
      </x:c>
      <x:c r="D267" s="118" t="n">
        <x:v>3</x:v>
      </x:c>
      <x:c r="E267" s="117" t="str">
        <x:v>Obsolete</x:v>
      </x:c>
      <x:c r="F267" s="117" t="str">
        <x:v>No</x:v>
      </x:c>
      <x:c r="G267" s="117" t="str">
        <x:v>No</x:v>
      </x:c>
      <x:c r="H267" s="117" t="str">
        <x:v>AutoLaunchedFlow</x:v>
      </x:c>
      <x:c r="I267" s="118" t="n">
        <x:v>61</x:v>
      </x:c>
      <x:c r="J267" s="117" t="str">
        <x:v>unmanaged</x:v>
      </x:c>
      <x:c r="K267" s="123" t="b">
        <x:v>0</x:v>
      </x:c>
      <x:c r="L267" s="117"/>
      <x:c r="M267" s="118"/>
      <x:c r="N267" s="120" t="n">
        <x:v>45470.377650462964</x:v>
      </x:c>
      <x:c r="O267" s="117" t="str">
        <x:v>Jon Kean</x:v>
      </x:c>
      <x:c r="P267" s="120" t="n">
        <x:v>45470.37769675926</x:v>
      </x:c>
      <x:c r="Q267" s="117" t="str">
        <x:v>Jon Kean</x:v>
      </x:c>
      <x:c r="R267" s="117" t="str">
        <x:v>BIPO Closed Lost Notification</x:v>
      </x:c>
      <x:c r="S267" s="119"/>
    </x:row>
    <x:row r="268" ht="30" customHeight="1">
      <x:c r="A268" s="117" t="str">
        <x:v>BIPO_Closed_Lost_Notification</x:v>
      </x:c>
      <x:c r="B268" s="117" t="str">
        <x:v>300Ro00000EC7AbIAL</x:v>
      </x:c>
      <x:c r="C268" s="117" t="str">
        <x:v>301Ro00000FhZZuIAN</x:v>
      </x:c>
      <x:c r="D268" s="118" t="n">
        <x:v>4</x:v>
      </x:c>
      <x:c r="E268" s="117" t="str">
        <x:v>Obsolete</x:v>
      </x:c>
      <x:c r="F268" s="117" t="str">
        <x:v>No</x:v>
      </x:c>
      <x:c r="G268" s="117" t="str">
        <x:v>No</x:v>
      </x:c>
      <x:c r="H268" s="117" t="str">
        <x:v>AutoLaunchedFlow</x:v>
      </x:c>
      <x:c r="I268" s="118" t="n">
        <x:v>61</x:v>
      </x:c>
      <x:c r="J268" s="117" t="str">
        <x:v>unmanaged</x:v>
      </x:c>
      <x:c r="K268" s="123" t="b">
        <x:v>0</x:v>
      </x:c>
      <x:c r="L268" s="117"/>
      <x:c r="M268" s="118"/>
      <x:c r="N268" s="120" t="n">
        <x:v>45470.38217592592</x:v>
      </x:c>
      <x:c r="O268" s="117" t="str">
        <x:v>Jon Kean</x:v>
      </x:c>
      <x:c r="P268" s="120" t="n">
        <x:v>45470.382210648146</x:v>
      </x:c>
      <x:c r="Q268" s="117" t="str">
        <x:v>Jon Kean</x:v>
      </x:c>
      <x:c r="R268" s="117" t="str">
        <x:v>BIPO Closed Lost Notification</x:v>
      </x:c>
      <x:c r="S268" s="119"/>
    </x:row>
    <x:row r="269" ht="30" customHeight="1">
      <x:c r="A269" s="117" t="str">
        <x:v>BIPO_Closed_Lost_Notification</x:v>
      </x:c>
      <x:c r="B269" s="117" t="str">
        <x:v>300Ro00000EC7AbIAL</x:v>
      </x:c>
      <x:c r="C269" s="117" t="str">
        <x:v>301Ro00000FhhQrIAJ</x:v>
      </x:c>
      <x:c r="D269" s="118" t="n">
        <x:v>5</x:v>
      </x:c>
      <x:c r="E269" s="117" t="str">
        <x:v>Obsolete</x:v>
      </x:c>
      <x:c r="F269" s="117" t="str">
        <x:v>No</x:v>
      </x:c>
      <x:c r="G269" s="117" t="str">
        <x:v>No</x:v>
      </x:c>
      <x:c r="H269" s="117" t="str">
        <x:v>AutoLaunchedFlow</x:v>
      </x:c>
      <x:c r="I269" s="118" t="n">
        <x:v>61</x:v>
      </x:c>
      <x:c r="J269" s="117" t="str">
        <x:v>unmanaged</x:v>
      </x:c>
      <x:c r="K269" s="123" t="b">
        <x:v>0</x:v>
      </x:c>
      <x:c r="L269" s="117"/>
      <x:c r="M269" s="118"/>
      <x:c r="N269" s="120" t="n">
        <x:v>45470.38400462963</x:v>
      </x:c>
      <x:c r="O269" s="117" t="str">
        <x:v>Jon Kean</x:v>
      </x:c>
      <x:c r="P269" s="120" t="n">
        <x:v>45470.384050925924</x:v>
      </x:c>
      <x:c r="Q269" s="117" t="str">
        <x:v>Jon Kean</x:v>
      </x:c>
      <x:c r="R269" s="117" t="str">
        <x:v>BIPO Closed Lost Notification</x:v>
      </x:c>
      <x:c r="S269" s="119"/>
    </x:row>
    <x:row r="270" ht="30" customHeight="1">
      <x:c r="A270" s="117" t="str">
        <x:v>BIPO_Closed_Lost_Notification</x:v>
      </x:c>
      <x:c r="B270" s="117" t="str">
        <x:v>300Ro00000EC7AbIAL</x:v>
      </x:c>
      <x:c r="C270" s="117" t="str">
        <x:v>301Ro00000FhyYFIAZ</x:v>
      </x:c>
      <x:c r="D270" s="118" t="n">
        <x:v>6</x:v>
      </x:c>
      <x:c r="E270" s="117" t="str">
        <x:v>Active</x:v>
      </x:c>
      <x:c r="F270" s="117" t="str">
        <x:v>Yes</x:v>
      </x:c>
      <x:c r="G270" s="117" t="str">
        <x:v>No</x:v>
      </x:c>
      <x:c r="H270" s="117" t="str">
        <x:v>AutoLaunchedFlow</x:v>
      </x:c>
      <x:c r="I270" s="118" t="n">
        <x:v>61</x:v>
      </x:c>
      <x:c r="J270" s="117" t="str">
        <x:v>unmanaged</x:v>
      </x:c>
      <x:c r="K270" s="123" t="b">
        <x:v>0</x:v>
      </x:c>
      <x:c r="L270" s="117"/>
      <x:c r="M270" s="118"/>
      <x:c r="N270" s="120" t="n">
        <x:v>45470.556122685186</x:v>
      </x:c>
      <x:c r="O270" s="117" t="str">
        <x:v>Jon Kean</x:v>
      </x:c>
      <x:c r="P270" s="120" t="n">
        <x:v>45470.55616898148</x:v>
      </x:c>
      <x:c r="Q270" s="117" t="str">
        <x:v>Jon Kean</x:v>
      </x:c>
      <x:c r="R270" s="117" t="str">
        <x:v>BIPO Closed Lost Notification</x:v>
      </x:c>
      <x:c r="S270" s="119"/>
    </x:row>
    <x:row r="271" ht="30" customHeight="1">
      <x:c r="A271" s="117" t="str">
        <x:v>BIPO_Closed_Lost_Notification</x:v>
      </x:c>
      <x:c r="B271" s="117" t="str">
        <x:v>300Ro00000EC7AbIAL</x:v>
      </x:c>
      <x:c r="C271" s="117" t="str">
        <x:v>301Ro000016FRP0IAO</x:v>
      </x:c>
      <x:c r="D271" s="118" t="n">
        <x:v>7</x:v>
      </x:c>
      <x:c r="E271" s="117" t="str">
        <x:v>Draft</x:v>
      </x:c>
      <x:c r="F271" s="117" t="str">
        <x:v>No</x:v>
      </x:c>
      <x:c r="G271" s="117" t="str">
        <x:v>Yes</x:v>
      </x:c>
      <x:c r="H271" s="117" t="str">
        <x:v>AutoLaunchedFlow</x:v>
      </x:c>
      <x:c r="I271" s="118" t="n">
        <x:v>61</x:v>
      </x:c>
      <x:c r="J271" s="117" t="str">
        <x:v>unmanaged</x:v>
      </x:c>
      <x:c r="K271" s="123" t="b">
        <x:v>0</x:v>
      </x:c>
      <x:c r="L271" s="117"/>
      <x:c r="M271" s="118"/>
      <x:c r="N271" s="120" t="n">
        <x:v>46162.88743055556</x:v>
      </x:c>
      <x:c r="O271" s="117" t="str">
        <x:v>Sacha Pearce</x:v>
      </x:c>
      <x:c r="P271" s="120" t="n">
        <x:v>46162.88746527778</x:v>
      </x:c>
      <x:c r="Q271" s="117" t="str">
        <x:v>Sacha Pearce</x:v>
      </x:c>
      <x:c r="R271" s="117" t="str">
        <x:v>BIPO Closed Lost Notification</x:v>
      </x:c>
      <x:c r="S271" s="119" t="str">
        <x:v>20/05/2026 - SP - Updating entry condition to fire only when a record is updated to "Closed Lost".</x:v>
      </x:c>
    </x:row>
    <x:row r="272" ht="30" customHeight="1">
      <x:c r="A272" s="117" t="str">
        <x:v>BIPO_Flow</x:v>
      </x:c>
      <x:c r="B272" s="117" t="str">
        <x:v>3005b000000PzsMAAS</x:v>
      </x:c>
      <x:c r="C272" s="117" t="str">
        <x:v>3015b000000W4CaAAK</x:v>
      </x:c>
      <x:c r="D272" s="118" t="n">
        <x:v>1</x:v>
      </x:c>
      <x:c r="E272" s="117" t="str">
        <x:v>Draft</x:v>
      </x:c>
      <x:c r="F272" s="117" t="str">
        <x:v>No</x:v>
      </x:c>
      <x:c r="G272" s="117" t="str">
        <x:v>Yes</x:v>
      </x:c>
      <x:c r="H272" s="117" t="str">
        <x:v>Orchestrator</x:v>
      </x:c>
      <x:c r="I272" s="118" t="n">
        <x:v>58</x:v>
      </x:c>
      <x:c r="J272" s="117" t="str">
        <x:v>unmanaged</x:v>
      </x:c>
      <x:c r="K272" s="123" t="b">
        <x:v>0</x:v>
      </x:c>
      <x:c r="L272" s="117"/>
      <x:c r="M272" s="118"/>
      <x:c r="N272" s="120" t="n">
        <x:v>45093.501388888886</x:v>
      </x:c>
      <x:c r="O272" s="117" t="str">
        <x:v>Jon Kean</x:v>
      </x:c>
      <x:c r="P272" s="120" t="n">
        <x:v>45093.50141203704</x:v>
      </x:c>
      <x:c r="Q272" s="117" t="str">
        <x:v>Jon Kean</x:v>
      </x:c>
      <x:c r="R272" s="117" t="str">
        <x:v>BIPO Flow</x:v>
      </x:c>
      <x:c r="S272" s="119" t="str">
        <x:v>Big Iron Purchasing Opportunity flow, start to finish triggering all relevant users.</x:v>
      </x:c>
    </x:row>
    <x:row r="273" ht="30" customHeight="1">
      <x:c r="A273" s="117" t="str">
        <x:v>BIPO_Update_Screen_Flow</x:v>
      </x:c>
      <x:c r="B273" s="117" t="str">
        <x:v>3005b00000113a4AAA</x:v>
      </x:c>
      <x:c r="C273" s="117" t="str">
        <x:v>3015b0000011MUJAA2</x:v>
      </x:c>
      <x:c r="D273" s="118" t="n">
        <x:v>1</x:v>
      </x:c>
      <x:c r="E273" s="117" t="str">
        <x:v>Obsolete</x:v>
      </x:c>
      <x:c r="F273" s="117" t="str">
        <x:v>No</x:v>
      </x:c>
      <x:c r="G273" s="117" t="str">
        <x:v>No</x:v>
      </x:c>
      <x:c r="H273" s="117" t="str">
        <x:v>Flow</x:v>
      </x:c>
      <x:c r="I273" s="118" t="n">
        <x:v>59</x:v>
      </x:c>
      <x:c r="J273" s="117" t="str">
        <x:v>unmanaged</x:v>
      </x:c>
      <x:c r="K273" s="123" t="b">
        <x:v>0</x:v>
      </x:c>
      <x:c r="L273" s="117" t="str">
        <x:v>SystemModeWithoutSharing</x:v>
      </x:c>
      <x:c r="M273" s="118"/>
      <x:c r="N273" s="120" t="n">
        <x:v>45243.74451388889</x:v>
      </x:c>
      <x:c r="O273" s="117" t="str">
        <x:v>Jon Kean</x:v>
      </x:c>
      <x:c r="P273" s="120" t="n">
        <x:v>45244.42559027778</x:v>
      </x:c>
      <x:c r="Q273" s="117" t="str">
        <x:v>Jon Kean</x:v>
      </x:c>
      <x:c r="R273" s="117" t="str">
        <x:v>BIPO Update Screen Flow</x:v>
      </x:c>
      <x:c r="S273" s="119" t="str">
        <x:v>Used for a button that updates locked BIPO opportunities</x:v>
      </x:c>
    </x:row>
    <x:row r="274" ht="30" customHeight="1">
      <x:c r="A274" s="117" t="str">
        <x:v>BIPO_Update_Screen_Flow</x:v>
      </x:c>
      <x:c r="B274" s="117" t="str">
        <x:v>3005b00000113a4AAA</x:v>
      </x:c>
      <x:c r="C274" s="117" t="str">
        <x:v>3015b0000011MW0AAM</x:v>
      </x:c>
      <x:c r="D274" s="118" t="n">
        <x:v>2</x:v>
      </x:c>
      <x:c r="E274" s="117" t="str">
        <x:v>Obsolete</x:v>
      </x:c>
      <x:c r="F274" s="117" t="str">
        <x:v>No</x:v>
      </x:c>
      <x:c r="G274" s="117" t="str">
        <x:v>No</x:v>
      </x:c>
      <x:c r="H274" s="117" t="str">
        <x:v>Flow</x:v>
      </x:c>
      <x:c r="I274" s="118" t="n">
        <x:v>59</x:v>
      </x:c>
      <x:c r="J274" s="117" t="str">
        <x:v>unmanaged</x:v>
      </x:c>
      <x:c r="K274" s="123" t="b">
        <x:v>0</x:v>
      </x:c>
      <x:c r="L274" s="117" t="str">
        <x:v>SystemModeWithoutSharing</x:v>
      </x:c>
      <x:c r="M274" s="118"/>
      <x:c r="N274" s="120" t="n">
        <x:v>45247.59972222222</x:v>
      </x:c>
      <x:c r="O274" s="117" t="str">
        <x:v>Jon Kean</x:v>
      </x:c>
      <x:c r="P274" s="120" t="n">
        <x:v>45247.60297453704</x:v>
      </x:c>
      <x:c r="Q274" s="117" t="str">
        <x:v>Jon Kean</x:v>
      </x:c>
      <x:c r="R274" s="117" t="str">
        <x:v>BIPO Update Screen Flow</x:v>
      </x:c>
      <x:c r="S274" s="119" t="str">
        <x:v>Used for a button that updates locked BIPO opportunities</x:v>
      </x:c>
    </x:row>
    <x:row r="275" ht="30" customHeight="1">
      <x:c r="A275" s="117" t="str">
        <x:v>BIPO_Update_Screen_Flow</x:v>
      </x:c>
      <x:c r="B275" s="117" t="str">
        <x:v>3005b00000113a4AAA</x:v>
      </x:c>
      <x:c r="C275" s="117" t="str">
        <x:v>3015b0000011MW5AAM</x:v>
      </x:c>
      <x:c r="D275" s="118" t="n">
        <x:v>3</x:v>
      </x:c>
      <x:c r="E275" s="117" t="str">
        <x:v>Obsolete</x:v>
      </x:c>
      <x:c r="F275" s="117" t="str">
        <x:v>No</x:v>
      </x:c>
      <x:c r="G275" s="117" t="str">
        <x:v>No</x:v>
      </x:c>
      <x:c r="H275" s="117" t="str">
        <x:v>Flow</x:v>
      </x:c>
      <x:c r="I275" s="118" t="n">
        <x:v>59</x:v>
      </x:c>
      <x:c r="J275" s="117" t="str">
        <x:v>unmanaged</x:v>
      </x:c>
      <x:c r="K275" s="123" t="b">
        <x:v>0</x:v>
      </x:c>
      <x:c r="L275" s="117" t="str">
        <x:v>SystemModeWithoutSharing</x:v>
      </x:c>
      <x:c r="M275" s="118"/>
      <x:c r="N275" s="120" t="n">
        <x:v>45247.60476851852</x:v>
      </x:c>
      <x:c r="O275" s="117" t="str">
        <x:v>Jon Kean</x:v>
      </x:c>
      <x:c r="P275" s="120" t="n">
        <x:v>45247.607615740744</x:v>
      </x:c>
      <x:c r="Q275" s="117" t="str">
        <x:v>Jon Kean</x:v>
      </x:c>
      <x:c r="R275" s="117" t="str">
        <x:v>BIPO Update Screen Flow</x:v>
      </x:c>
      <x:c r="S275" s="119" t="str">
        <x:v>Used for a button that updates locked BIPO opportunities</x:v>
      </x:c>
    </x:row>
    <x:row r="276" ht="30" customHeight="1">
      <x:c r="A276" s="117" t="str">
        <x:v>BIPO_Update_Screen_Flow</x:v>
      </x:c>
      <x:c r="B276" s="117" t="str">
        <x:v>3005b00000113a4AAA</x:v>
      </x:c>
      <x:c r="C276" s="117" t="str">
        <x:v>301Ro000006HdETIA0</x:v>
      </x:c>
      <x:c r="D276" s="118" t="n">
        <x:v>4</x:v>
      </x:c>
      <x:c r="E276" s="117" t="str">
        <x:v>Obsolete</x:v>
      </x:c>
      <x:c r="F276" s="117" t="str">
        <x:v>No</x:v>
      </x:c>
      <x:c r="G276" s="117" t="str">
        <x:v>No</x:v>
      </x:c>
      <x:c r="H276" s="117" t="str">
        <x:v>Flow</x:v>
      </x:c>
      <x:c r="I276" s="118" t="n">
        <x:v>59</x:v>
      </x:c>
      <x:c r="J276" s="117" t="str">
        <x:v>unmanaged</x:v>
      </x:c>
      <x:c r="K276" s="123" t="b">
        <x:v>0</x:v>
      </x:c>
      <x:c r="L276" s="117" t="str">
        <x:v>SystemModeWithoutSharing</x:v>
      </x:c>
      <x:c r="M276" s="118"/>
      <x:c r="N276" s="120" t="n">
        <x:v>45314.64991898148</x:v>
      </x:c>
      <x:c r="O276" s="117" t="str">
        <x:v>Jon Kean</x:v>
      </x:c>
      <x:c r="P276" s="120" t="n">
        <x:v>45314.649976851855</x:v>
      </x:c>
      <x:c r="Q276" s="117" t="str">
        <x:v>Jon Kean</x:v>
      </x:c>
      <x:c r="R276" s="117" t="str">
        <x:v>BIPO Update Screen Flow</x:v>
      </x:c>
      <x:c r="S276" s="119" t="str">
        <x:v>Used for a button that updates locked BIPO opportunities</x:v>
      </x:c>
    </x:row>
    <x:row r="277" ht="30" customHeight="1">
      <x:c r="A277" s="117" t="str">
        <x:v>BIPO_Update_Screen_Flow</x:v>
      </x:c>
      <x:c r="B277" s="117" t="str">
        <x:v>3005b00000113a4AAA</x:v>
      </x:c>
      <x:c r="C277" s="117" t="str">
        <x:v>301Ro0000079QYrIAM</x:v>
      </x:c>
      <x:c r="D277" s="118" t="n">
        <x:v>5</x:v>
      </x:c>
      <x:c r="E277" s="117" t="str">
        <x:v>Obsolete</x:v>
      </x:c>
      <x:c r="F277" s="117" t="str">
        <x:v>No</x:v>
      </x:c>
      <x:c r="G277" s="117" t="str">
        <x:v>No</x:v>
      </x:c>
      <x:c r="H277" s="117" t="str">
        <x:v>Flow</x:v>
      </x:c>
      <x:c r="I277" s="118" t="n">
        <x:v>59</x:v>
      </x:c>
      <x:c r="J277" s="117" t="str">
        <x:v>unmanaged</x:v>
      </x:c>
      <x:c r="K277" s="123" t="b">
        <x:v>0</x:v>
      </x:c>
      <x:c r="L277" s="117" t="str">
        <x:v>SystemModeWithoutSharing</x:v>
      </x:c>
      <x:c r="M277" s="118"/>
      <x:c r="N277" s="120" t="n">
        <x:v>45331.44866898148</x:v>
      </x:c>
      <x:c r="O277" s="117" t="str">
        <x:v>Jon Kean</x:v>
      </x:c>
      <x:c r="P277" s="120" t="n">
        <x:v>45331.4487037037</x:v>
      </x:c>
      <x:c r="Q277" s="117" t="str">
        <x:v>Jon Kean</x:v>
      </x:c>
      <x:c r="R277" s="117" t="str">
        <x:v>BIPO Update Screen Flow</x:v>
      </x:c>
      <x:c r="S277" s="119" t="str">
        <x:v>Used for a button that updates locked BIPO opportunities</x:v>
      </x:c>
    </x:row>
    <x:row r="278" ht="30" customHeight="1">
      <x:c r="A278" s="117" t="str">
        <x:v>BIPO_Update_Screen_Flow</x:v>
      </x:c>
      <x:c r="B278" s="117" t="str">
        <x:v>3005b00000113a4AAA</x:v>
      </x:c>
      <x:c r="C278" s="117" t="str">
        <x:v>301Ro00000PypZ9IAJ</x:v>
      </x:c>
      <x:c r="D278" s="118" t="n">
        <x:v>6</x:v>
      </x:c>
      <x:c r="E278" s="117" t="str">
        <x:v>Active</x:v>
      </x:c>
      <x:c r="F278" s="117" t="str">
        <x:v>Yes</x:v>
      </x:c>
      <x:c r="G278" s="117" t="str">
        <x:v>No</x:v>
      </x:c>
      <x:c r="H278" s="117" t="str">
        <x:v>Flow</x:v>
      </x:c>
      <x:c r="I278" s="118" t="n">
        <x:v>59</x:v>
      </x:c>
      <x:c r="J278" s="117" t="str">
        <x:v>unmanaged</x:v>
      </x:c>
      <x:c r="K278" s="123" t="b">
        <x:v>0</x:v>
      </x:c>
      <x:c r="L278" s="117" t="str">
        <x:v>SystemModeWithoutSharing</x:v>
      </x:c>
      <x:c r="M278" s="118"/>
      <x:c r="N278" s="120" t="n">
        <x:v>45631.473807870374</x:v>
      </x:c>
      <x:c r="O278" s="117" t="str">
        <x:v>Jon Kean</x:v>
      </x:c>
      <x:c r="P278" s="120" t="n">
        <x:v>45631.47386574074</x:v>
      </x:c>
      <x:c r="Q278" s="117" t="str">
        <x:v>Jon Kean</x:v>
      </x:c>
      <x:c r="R278" s="117" t="str">
        <x:v>BIPO Update Screen Flow</x:v>
      </x:c>
      <x:c r="S278" s="119" t="str">
        <x:v>Used for a button that updates locked BIPO opportunities</x:v>
      </x:c>
    </x:row>
    <x:row r="279" ht="30" customHeight="1">
      <x:c r="A279" s="117" t="str">
        <x:v>BIPO_Update_Screen_Flow</x:v>
      </x:c>
      <x:c r="B279" s="117" t="str">
        <x:v>3005b00000113a4AAA</x:v>
      </x:c>
      <x:c r="C279" s="117" t="str">
        <x:v>301Ro00000ZW4sQIAT</x:v>
      </x:c>
      <x:c r="D279" s="118" t="n">
        <x:v>7</x:v>
      </x:c>
      <x:c r="E279" s="117" t="str">
        <x:v>Draft</x:v>
      </x:c>
      <x:c r="F279" s="117" t="str">
        <x:v>No</x:v>
      </x:c>
      <x:c r="G279" s="117" t="str">
        <x:v>Yes</x:v>
      </x:c>
      <x:c r="H279" s="117" t="str">
        <x:v>Flow</x:v>
      </x:c>
      <x:c r="I279" s="118" t="n">
        <x:v>59</x:v>
      </x:c>
      <x:c r="J279" s="117" t="str">
        <x:v>unmanaged</x:v>
      </x:c>
      <x:c r="K279" s="123" t="b">
        <x:v>0</x:v>
      </x:c>
      <x:c r="L279" s="117" t="str">
        <x:v>SystemModeWithoutSharing</x:v>
      </x:c>
      <x:c r="M279" s="118"/>
      <x:c r="N279" s="120" t="n">
        <x:v>45798.604733796295</x:v>
      </x:c>
      <x:c r="O279" s="117" t="str">
        <x:v>Sacha Pearce</x:v>
      </x:c>
      <x:c r="P279" s="120" t="n">
        <x:v>45798.60475694444</x:v>
      </x:c>
      <x:c r="Q279" s="117" t="str">
        <x:v>Sacha Pearce</x:v>
      </x:c>
      <x:c r="R279" s="117" t="str">
        <x:v>BIPO Update Screen Flow</x:v>
      </x:c>
      <x:c r="S279" s="119" t="str">
        <x:v>Used for a button that updates locked BIPO opportunities
05/21/2025 - SP - Added SharePoint Photos to update Locked Opp</x:v>
      </x:c>
    </x:row>
    <x:row r="280" ht="30" customHeight="1">
      <x:c r="A280" s="117" t="str">
        <x:v>C_ARM_Checklist</x:v>
      </x:c>
      <x:c r="B280" s="117" t="str">
        <x:v>300Ro00000Pz0kgIAB</x:v>
      </x:c>
      <x:c r="C280" s="117" t="str">
        <x:v>301Ro00000Sd0UgIAJ</x:v>
      </x:c>
      <x:c r="D280" s="118" t="n">
        <x:v>1</x:v>
      </x:c>
      <x:c r="E280" s="117" t="str">
        <x:v>Obsolete</x:v>
      </x:c>
      <x:c r="F280" s="117" t="str">
        <x:v>No</x:v>
      </x:c>
      <x:c r="G280" s="117" t="str">
        <x:v>No</x:v>
      </x:c>
      <x:c r="H280" s="117" t="str">
        <x:v>FieldServiceMobile</x:v>
      </x:c>
      <x:c r="I280" s="118"/>
      <x:c r="J280" s="117" t="str">
        <x:v>unmanaged</x:v>
      </x:c>
      <x:c r="K280" s="123" t="b">
        <x:v>0</x:v>
      </x:c>
      <x:c r="L280" s="117"/>
      <x:c r="M280" s="118"/>
      <x:c r="N280" s="120" t="n">
        <x:v>45680.2156712963</x:v>
      </x:c>
      <x:c r="O280" s="117" t="str">
        <x:v>Delegate</x:v>
      </x:c>
      <x:c r="P280" s="120" t="n">
        <x:v>45680.21570601852</x:v>
      </x:c>
      <x:c r="Q280" s="117" t="str">
        <x:v>Delegate</x:v>
      </x:c>
      <x:c r="R280" s="117" t="str">
        <x:v>C-ARM Checklist</x:v>
      </x:c>
      <x:c r="S280" s="119" t="str">
        <x:v>adding checklist output</x:v>
      </x:c>
    </x:row>
    <x:row r="281" ht="30" customHeight="1">
      <x:c r="A281" s="117" t="str">
        <x:v>C_ARM_Checklist</x:v>
      </x:c>
      <x:c r="B281" s="117" t="str">
        <x:v>300Ro00000Pz0kgIAB</x:v>
      </x:c>
      <x:c r="C281" s="117" t="str">
        <x:v>301Ro00000SpOwFIAV</x:v>
      </x:c>
      <x:c r="D281" s="118" t="n">
        <x:v>2</x:v>
      </x:c>
      <x:c r="E281" s="117" t="str">
        <x:v>Obsolete</x:v>
      </x:c>
      <x:c r="F281" s="117" t="str">
        <x:v>No</x:v>
      </x:c>
      <x:c r="G281" s="117" t="str">
        <x:v>No</x:v>
      </x:c>
      <x:c r="H281" s="117" t="str">
        <x:v>FieldServiceMobile</x:v>
      </x:c>
      <x:c r="I281" s="118"/>
      <x:c r="J281" s="117" t="str">
        <x:v>unmanaged</x:v>
      </x:c>
      <x:c r="K281" s="123" t="b">
        <x:v>0</x:v>
      </x:c>
      <x:c r="L281" s="117"/>
      <x:c r="M281" s="118"/>
      <x:c r="N281" s="120" t="n">
        <x:v>45684.135625</x:v>
      </x:c>
      <x:c r="O281" s="117" t="str">
        <x:v>Delegate</x:v>
      </x:c>
      <x:c r="P281" s="120" t="n">
        <x:v>45684.13563657407</x:v>
      </x:c>
      <x:c r="Q281" s="117" t="str">
        <x:v>Delegate</x:v>
      </x:c>
      <x:c r="R281" s="117" t="str">
        <x:v>C-ARM Checklist</x:v>
      </x:c>
      <x:c r="S281" s="119" t="str">
        <x:v>01/25/2025 (BW) - Version to be used for testing</x:v>
      </x:c>
    </x:row>
    <x:row r="282" ht="30" customHeight="1">
      <x:c r="A282" s="117" t="str">
        <x:v>C_ARM_Checklist</x:v>
      </x:c>
      <x:c r="B282" s="117" t="str">
        <x:v>300Ro00000Pz0kgIAB</x:v>
      </x:c>
      <x:c r="C282" s="117" t="str">
        <x:v>301Ro00000Sz1qMIAR</x:v>
      </x:c>
      <x:c r="D282" s="118" t="n">
        <x:v>3</x:v>
      </x:c>
      <x:c r="E282" s="117" t="str">
        <x:v>Obsolete</x:v>
      </x:c>
      <x:c r="F282" s="117" t="str">
        <x:v>No</x:v>
      </x:c>
      <x:c r="G282" s="117" t="str">
        <x:v>No</x:v>
      </x:c>
      <x:c r="H282" s="117" t="str">
        <x:v>FieldServiceMobile</x:v>
      </x:c>
      <x:c r="I282" s="118"/>
      <x:c r="J282" s="117" t="str">
        <x:v>unmanaged</x:v>
      </x:c>
      <x:c r="K282" s="123" t="b">
        <x:v>0</x:v>
      </x:c>
      <x:c r="L282" s="117"/>
      <x:c r="M282" s="118"/>
      <x:c r="N282" s="120" t="n">
        <x:v>45686.54487268518</x:v>
      </x:c>
      <x:c r="O282" s="117" t="str">
        <x:v>Delegate</x:v>
      </x:c>
      <x:c r="P282" s="120" t="n">
        <x:v>45686.54498842593</x:v>
      </x:c>
      <x:c r="Q282" s="117" t="str">
        <x:v>Delegate</x:v>
      </x:c>
      <x:c r="R282" s="117" t="str">
        <x:v>C-ARM Checklist</x:v>
      </x:c>
      <x:c r="S282" s="119" t="str">
        <x:v>01/29/2025 (BW) - Updated required fields</x:v>
      </x:c>
    </x:row>
    <x:row r="283" ht="30" customHeight="1">
      <x:c r="A283" s="117" t="str">
        <x:v>C_ARM_Checklist</x:v>
      </x:c>
      <x:c r="B283" s="117" t="str">
        <x:v>300Ro00000Pz0kgIAB</x:v>
      </x:c>
      <x:c r="C283" s="117" t="str">
        <x:v>301Ro00000SzY4hIAF</x:v>
      </x:c>
      <x:c r="D283" s="118" t="n">
        <x:v>4</x:v>
      </x:c>
      <x:c r="E283" s="117" t="str">
        <x:v>Obsolete</x:v>
      </x:c>
      <x:c r="F283" s="117" t="str">
        <x:v>No</x:v>
      </x:c>
      <x:c r="G283" s="117" t="str">
        <x:v>No</x:v>
      </x:c>
      <x:c r="H283" s="117" t="str">
        <x:v>FieldServiceMobile</x:v>
      </x:c>
      <x:c r="I283" s="118"/>
      <x:c r="J283" s="117" t="str">
        <x:v>unmanaged</x:v>
      </x:c>
      <x:c r="K283" s="123" t="b">
        <x:v>0</x:v>
      </x:c>
      <x:c r="L283" s="117"/>
      <x:c r="M283" s="118"/>
      <x:c r="N283" s="120" t="n">
        <x:v>45686.53710648148</x:v>
      </x:c>
      <x:c r="O283" s="117" t="str">
        <x:v>Delegate</x:v>
      </x:c>
      <x:c r="P283" s="120" t="n">
        <x:v>45686.53717592593</x:v>
      </x:c>
      <x:c r="Q283" s="117" t="str">
        <x:v>Delegate</x:v>
      </x:c>
      <x:c r="R283" s="117" t="str">
        <x:v>C-ARM Checklist</x:v>
      </x:c>
      <x:c r="S283" s="119" t="str">
        <x:v>01/25/2025 (BW) - Version to be used for testing</x:v>
      </x:c>
    </x:row>
    <x:row r="284" ht="30" customHeight="1">
      <x:c r="A284" s="117" t="str">
        <x:v>C_ARM_Checklist</x:v>
      </x:c>
      <x:c r="B284" s="117" t="str">
        <x:v>300Ro00000Pz0kgIAB</x:v>
      </x:c>
      <x:c r="C284" s="117" t="str">
        <x:v>301Ro00000SzbycIAB</x:v>
      </x:c>
      <x:c r="D284" s="118" t="n">
        <x:v>5</x:v>
      </x:c>
      <x:c r="E284" s="117" t="str">
        <x:v>Draft</x:v>
      </x:c>
      <x:c r="F284" s="117" t="str">
        <x:v>No</x:v>
      </x:c>
      <x:c r="G284" s="117" t="str">
        <x:v>No</x:v>
      </x:c>
      <x:c r="H284" s="117" t="str">
        <x:v>FieldServiceMobile</x:v>
      </x:c>
      <x:c r="I284" s="118"/>
      <x:c r="J284" s="117" t="str">
        <x:v>unmanaged</x:v>
      </x:c>
      <x:c r="K284" s="123" t="b">
        <x:v>0</x:v>
      </x:c>
      <x:c r="L284" s="117"/>
      <x:c r="M284" s="118"/>
      <x:c r="N284" s="120" t="n">
        <x:v>45686.54332175926</x:v>
      </x:c>
      <x:c r="O284" s="117" t="str">
        <x:v>Delegate</x:v>
      </x:c>
      <x:c r="P284" s="120" t="n">
        <x:v>45686.543344907404</x:v>
      </x:c>
      <x:c r="Q284" s="117" t="str">
        <x:v>Delegate</x:v>
      </x:c>
      <x:c r="R284" s="117" t="str">
        <x:v>C-ARM Checklist</x:v>
      </x:c>
      <x:c r="S284" s="119" t="str">
        <x:v>01/25/2025 (BW) - Version to be used for testing</x:v>
      </x:c>
    </x:row>
    <x:row r="285" ht="30" customHeight="1">
      <x:c r="A285" s="117" t="str">
        <x:v>C_ARM_Checklist</x:v>
      </x:c>
      <x:c r="B285" s="117" t="str">
        <x:v>300Ro00000Pz0kgIAB</x:v>
      </x:c>
      <x:c r="C285" s="117" t="str">
        <x:v>301Ro00000SzfSmIAJ</x:v>
      </x:c>
      <x:c r="D285" s="118" t="n">
        <x:v>6</x:v>
      </x:c>
      <x:c r="E285" s="117" t="str">
        <x:v>Obsolete</x:v>
      </x:c>
      <x:c r="F285" s="117" t="str">
        <x:v>No</x:v>
      </x:c>
      <x:c r="G285" s="117" t="str">
        <x:v>No</x:v>
      </x:c>
      <x:c r="H285" s="117" t="str">
        <x:v>FieldServiceMobile</x:v>
      </x:c>
      <x:c r="I285" s="118"/>
      <x:c r="J285" s="117" t="str">
        <x:v>unmanaged</x:v>
      </x:c>
      <x:c r="K285" s="123" t="b">
        <x:v>0</x:v>
      </x:c>
      <x:c r="L285" s="117"/>
      <x:c r="M285" s="118"/>
      <x:c r="N285" s="120" t="n">
        <x:v>45686.54704861111</x:v>
      </x:c>
      <x:c r="O285" s="117" t="str">
        <x:v>Delegate</x:v>
      </x:c>
      <x:c r="P285" s="120" t="n">
        <x:v>45686.54712962963</x:v>
      </x:c>
      <x:c r="Q285" s="117" t="str">
        <x:v>Delegate</x:v>
      </x:c>
      <x:c r="R285" s="117" t="str">
        <x:v>C-ARM Checklist</x:v>
      </x:c>
      <x:c r="S285" s="119" t="str">
        <x:v>01/29/2025 (BW) - Updated required fields</x:v>
      </x:c>
    </x:row>
    <x:row r="286" ht="30" customHeight="1">
      <x:c r="A286" s="117" t="str">
        <x:v>C_ARM_Checklist</x:v>
      </x:c>
      <x:c r="B286" s="117" t="str">
        <x:v>300Ro00000Pz0kgIAB</x:v>
      </x:c>
      <x:c r="C286" s="117" t="str">
        <x:v>301Ro00000SzXzrIAF</x:v>
      </x:c>
      <x:c r="D286" s="118" t="n">
        <x:v>7</x:v>
      </x:c>
      <x:c r="E286" s="117" t="str">
        <x:v>Obsolete</x:v>
      </x:c>
      <x:c r="F286" s="117" t="str">
        <x:v>No</x:v>
      </x:c>
      <x:c r="G286" s="117" t="str">
        <x:v>No</x:v>
      </x:c>
      <x:c r="H286" s="117" t="str">
        <x:v>FieldServiceMobile</x:v>
      </x:c>
      <x:c r="I286" s="118"/>
      <x:c r="J286" s="117" t="str">
        <x:v>unmanaged</x:v>
      </x:c>
      <x:c r="K286" s="123" t="b">
        <x:v>0</x:v>
      </x:c>
      <x:c r="L286" s="117"/>
      <x:c r="M286" s="118"/>
      <x:c r="N286" s="120" t="n">
        <x:v>45686.56570601852</x:v>
      </x:c>
      <x:c r="O286" s="117" t="str">
        <x:v>Delegate</x:v>
      </x:c>
      <x:c r="P286" s="120" t="n">
        <x:v>45686.56579861111</x:v>
      </x:c>
      <x:c r="Q286" s="117" t="str">
        <x:v>Delegate</x:v>
      </x:c>
      <x:c r="R286" s="117" t="str">
        <x:v>C-ARM Checklist</x:v>
      </x:c>
      <x:c r="S286" s="119" t="str">
        <x:v>01/29/2025 (BW) - Updated required fields</x:v>
      </x:c>
    </x:row>
    <x:row r="287" ht="30" customHeight="1">
      <x:c r="A287" s="117" t="str">
        <x:v>C_ARM_Checklist</x:v>
      </x:c>
      <x:c r="B287" s="117" t="str">
        <x:v>300Ro00000Pz0kgIAB</x:v>
      </x:c>
      <x:c r="C287" s="117" t="str">
        <x:v>301Ro00000SzRzNIAV</x:v>
      </x:c>
      <x:c r="D287" s="118" t="n">
        <x:v>8</x:v>
      </x:c>
      <x:c r="E287" s="117" t="str">
        <x:v>Obsolete</x:v>
      </x:c>
      <x:c r="F287" s="117" t="str">
        <x:v>No</x:v>
      </x:c>
      <x:c r="G287" s="117" t="str">
        <x:v>No</x:v>
      </x:c>
      <x:c r="H287" s="117" t="str">
        <x:v>FieldServiceMobile</x:v>
      </x:c>
      <x:c r="I287" s="118"/>
      <x:c r="J287" s="117" t="str">
        <x:v>unmanaged</x:v>
      </x:c>
      <x:c r="K287" s="123" t="b">
        <x:v>0</x:v>
      </x:c>
      <x:c r="L287" s="117"/>
      <x:c r="M287" s="118"/>
      <x:c r="N287" s="120" t="n">
        <x:v>45686.56928240741</x:v>
      </x:c>
      <x:c r="O287" s="117" t="str">
        <x:v>Delegate</x:v>
      </x:c>
      <x:c r="P287" s="120" t="n">
        <x:v>45686.56935185185</x:v>
      </x:c>
      <x:c r="Q287" s="117" t="str">
        <x:v>Delegate</x:v>
      </x:c>
      <x:c r="R287" s="117" t="str">
        <x:v>C-ARM Checklist</x:v>
      </x:c>
      <x:c r="S287" s="119" t="str">
        <x:v>01/29/2025 (BW) - Updated required fields</x:v>
      </x:c>
    </x:row>
    <x:row r="288" ht="30" customHeight="1">
      <x:c r="A288" s="117" t="str">
        <x:v>C_ARM_Checklist</x:v>
      </x:c>
      <x:c r="B288" s="117" t="str">
        <x:v>300Ro00000Pz0kgIAB</x:v>
      </x:c>
      <x:c r="C288" s="117" t="str">
        <x:v>301Ro00000SzoKjIAJ</x:v>
      </x:c>
      <x:c r="D288" s="118" t="n">
        <x:v>9</x:v>
      </x:c>
      <x:c r="E288" s="117" t="str">
        <x:v>Obsolete</x:v>
      </x:c>
      <x:c r="F288" s="117" t="str">
        <x:v>No</x:v>
      </x:c>
      <x:c r="G288" s="117" t="str">
        <x:v>No</x:v>
      </x:c>
      <x:c r="H288" s="117" t="str">
        <x:v>FieldServiceMobile</x:v>
      </x:c>
      <x:c r="I288" s="118"/>
      <x:c r="J288" s="117" t="str">
        <x:v>unmanaged</x:v>
      </x:c>
      <x:c r="K288" s="123" t="b">
        <x:v>0</x:v>
      </x:c>
      <x:c r="L288" s="117"/>
      <x:c r="M288" s="118"/>
      <x:c r="N288" s="120" t="n">
        <x:v>45686.57356481482</x:v>
      </x:c>
      <x:c r="O288" s="117" t="str">
        <x:v>Delegate</x:v>
      </x:c>
      <x:c r="P288" s="120" t="n">
        <x:v>45734.53803240741</x:v>
      </x:c>
      <x:c r="Q288" s="117" t="str">
        <x:v>Delegate</x:v>
      </x:c>
      <x:c r="R288" s="117" t="str">
        <x:v>C-ARM Checklist</x:v>
      </x:c>
      <x:c r="S288" s="119" t="str">
        <x:v>01/29/2025 (BW) - Updated required fields</x:v>
      </x:c>
    </x:row>
    <x:row r="289" ht="30" customHeight="1">
      <x:c r="A289" s="117" t="str">
        <x:v>C_ARM_Checklist</x:v>
      </x:c>
      <x:c r="B289" s="117" t="str">
        <x:v>300Ro00000Pz0kgIAB</x:v>
      </x:c>
      <x:c r="C289" s="117" t="str">
        <x:v>301Ro00000VqPrqIAF</x:v>
      </x:c>
      <x:c r="D289" s="118" t="n">
        <x:v>10</x:v>
      </x:c>
      <x:c r="E289" s="117" t="str">
        <x:v>Obsolete</x:v>
      </x:c>
      <x:c r="F289" s="117" t="str">
        <x:v>No</x:v>
      </x:c>
      <x:c r="G289" s="117" t="str">
        <x:v>No</x:v>
      </x:c>
      <x:c r="H289" s="117" t="str">
        <x:v>FieldServiceMobile</x:v>
      </x:c>
      <x:c r="I289" s="118"/>
      <x:c r="J289" s="117" t="str">
        <x:v>unmanaged</x:v>
      </x:c>
      <x:c r="K289" s="123" t="b">
        <x:v>0</x:v>
      </x:c>
      <x:c r="L289" s="117"/>
      <x:c r="M289" s="118"/>
      <x:c r="N289" s="120" t="n">
        <x:v>45734.53258101852</x:v>
      </x:c>
      <x:c r="O289" s="117" t="str">
        <x:v>Delegate</x:v>
      </x:c>
      <x:c r="P289" s="120" t="n">
        <x:v>45734.53269675926</x:v>
      </x:c>
      <x:c r="Q289" s="117" t="str">
        <x:v>Delegate</x:v>
      </x:c>
      <x:c r="R289" s="117" t="str">
        <x:v>C-ARM Checklist</x:v>
      </x:c>
      <x:c r="S289" s="119" t="str">
        <x:v>03/14/2025 (BW) - Experimenting with pre-populating from already created output</x:v>
      </x:c>
    </x:row>
    <x:row r="290" ht="30" customHeight="1">
      <x:c r="A290" s="117" t="str">
        <x:v>C_ARM_Checklist</x:v>
      </x:c>
      <x:c r="B290" s="117" t="str">
        <x:v>300Ro00000Pz0kgIAB</x:v>
      </x:c>
      <x:c r="C290" s="117" t="str">
        <x:v>301Ro00000VuO10IAF</x:v>
      </x:c>
      <x:c r="D290" s="118" t="n">
        <x:v>11</x:v>
      </x:c>
      <x:c r="E290" s="117" t="str">
        <x:v>Obsolete</x:v>
      </x:c>
      <x:c r="F290" s="117" t="str">
        <x:v>No</x:v>
      </x:c>
      <x:c r="G290" s="117" t="str">
        <x:v>No</x:v>
      </x:c>
      <x:c r="H290" s="117" t="str">
        <x:v>FieldServiceMobile</x:v>
      </x:c>
      <x:c r="I290" s="118"/>
      <x:c r="J290" s="117" t="str">
        <x:v>unmanaged</x:v>
      </x:c>
      <x:c r="K290" s="123" t="b">
        <x:v>0</x:v>
      </x:c>
      <x:c r="L290" s="117"/>
      <x:c r="M290" s="118"/>
      <x:c r="N290" s="120" t="n">
        <x:v>45735.49737268518</x:v>
      </x:c>
      <x:c r="O290" s="117" t="str">
        <x:v>Delegate</x:v>
      </x:c>
      <x:c r="P290" s="120" t="n">
        <x:v>45735.497453703705</x:v>
      </x:c>
      <x:c r="Q290" s="117" t="str">
        <x:v>Delegate</x:v>
      </x:c>
      <x:c r="R290" s="117" t="str">
        <x:v>C-ARM Checklist</x:v>
      </x:c>
      <x:c r="S290" s="119" t="str">
        <x:v>03/19/2025 (BW) - Updated the Contrast and Resolution Mag 2 entries to have N/A Values</x:v>
      </x:c>
    </x:row>
    <x:row r="291" ht="30" customHeight="1">
      <x:c r="A291" s="117" t="str">
        <x:v>C_ARM_Checklist</x:v>
      </x:c>
      <x:c r="B291" s="117" t="str">
        <x:v>300Ro00000Pz0kgIAB</x:v>
      </x:c>
      <x:c r="C291" s="117" t="str">
        <x:v>301Ro00000VujjmIAB</x:v>
      </x:c>
      <x:c r="D291" s="118" t="n">
        <x:v>12</x:v>
      </x:c>
      <x:c r="E291" s="117" t="str">
        <x:v>Obsolete</x:v>
      </x:c>
      <x:c r="F291" s="117" t="str">
        <x:v>No</x:v>
      </x:c>
      <x:c r="G291" s="117" t="str">
        <x:v>No</x:v>
      </x:c>
      <x:c r="H291" s="117" t="str">
        <x:v>FieldServiceMobile</x:v>
      </x:c>
      <x:c r="I291" s="118"/>
      <x:c r="J291" s="117" t="str">
        <x:v>unmanaged</x:v>
      </x:c>
      <x:c r="K291" s="123" t="b">
        <x:v>0</x:v>
      </x:c>
      <x:c r="L291" s="117"/>
      <x:c r="M291" s="118"/>
      <x:c r="N291" s="120" t="n">
        <x:v>45735.55449074074</x:v>
      </x:c>
      <x:c r="O291" s="117" t="str">
        <x:v>Delegate</x:v>
      </x:c>
      <x:c r="P291" s="120" t="n">
        <x:v>45735.55474537037</x:v>
      </x:c>
      <x:c r="Q291" s="117" t="str">
        <x:v>Delegate</x:v>
      </x:c>
      <x:c r="R291" s="117" t="str">
        <x:v>C-ARM Checklist</x:v>
      </x:c>
      <x:c r="S291" s="119" t="str">
        <x:v>03/19/2025 (BW) - Updated the Contrast and Resolution Mag 2 entries to have N/A Values</x:v>
      </x:c>
    </x:row>
    <x:row r="292" ht="30" customHeight="1">
      <x:c r="A292" s="117" t="str">
        <x:v>C_ARM_Checklist</x:v>
      </x:c>
      <x:c r="B292" s="117" t="str">
        <x:v>300Ro00000Pz0kgIAB</x:v>
      </x:c>
      <x:c r="C292" s="117" t="str">
        <x:v>301Ro00000VySEFIA3</x:v>
      </x:c>
      <x:c r="D292" s="118" t="n">
        <x:v>13</x:v>
      </x:c>
      <x:c r="E292" s="117" t="str">
        <x:v>Obsolete</x:v>
      </x:c>
      <x:c r="F292" s="117" t="str">
        <x:v>No</x:v>
      </x:c>
      <x:c r="G292" s="117" t="str">
        <x:v>No</x:v>
      </x:c>
      <x:c r="H292" s="117" t="str">
        <x:v>FieldServiceMobile</x:v>
      </x:c>
      <x:c r="I292" s="118"/>
      <x:c r="J292" s="117" t="str">
        <x:v>unmanaged</x:v>
      </x:c>
      <x:c r="K292" s="123" t="b">
        <x:v>0</x:v>
      </x:c>
      <x:c r="L292" s="117"/>
      <x:c r="M292" s="118"/>
      <x:c r="N292" s="120" t="n">
        <x:v>45736.522986111115</x:v>
      </x:c>
      <x:c r="O292" s="117" t="str">
        <x:v>Delegate</x:v>
      </x:c>
      <x:c r="P292" s="120" t="n">
        <x:v>45736.52353009259</x:v>
      </x:c>
      <x:c r="Q292" s="117" t="str">
        <x:v>Delegate</x:v>
      </x:c>
      <x:c r="R292" s="117" t="str">
        <x:v>C-ARM Checklist</x:v>
      </x:c>
      <x:c r="S292" s="119" t="str">
        <x:v>03/20/2025 (BW) - Experimenting with saving after each page in-case they need to leave</x:v>
      </x:c>
    </x:row>
    <x:row r="293" ht="30" customHeight="1">
      <x:c r="A293" s="117" t="str">
        <x:v>C_ARM_Checklist</x:v>
      </x:c>
      <x:c r="B293" s="117" t="str">
        <x:v>300Ro00000Pz0kgIAB</x:v>
      </x:c>
      <x:c r="C293" s="117" t="str">
        <x:v>301Ro00000W2IPvIAN</x:v>
      </x:c>
      <x:c r="D293" s="118" t="n">
        <x:v>14</x:v>
      </x:c>
      <x:c r="E293" s="117" t="str">
        <x:v>Obsolete</x:v>
      </x:c>
      <x:c r="F293" s="117" t="str">
        <x:v>No</x:v>
      </x:c>
      <x:c r="G293" s="117" t="str">
        <x:v>No</x:v>
      </x:c>
      <x:c r="H293" s="117" t="str">
        <x:v>FieldServiceMobile</x:v>
      </x:c>
      <x:c r="I293" s="118"/>
      <x:c r="J293" s="117" t="str">
        <x:v>unmanaged</x:v>
      </x:c>
      <x:c r="K293" s="123" t="b">
        <x:v>0</x:v>
      </x:c>
      <x:c r="L293" s="117"/>
      <x:c r="M293" s="118"/>
      <x:c r="N293" s="120" t="n">
        <x:v>45737.466886574075</x:v>
      </x:c>
      <x:c r="O293" s="117" t="str">
        <x:v>Delegate</x:v>
      </x:c>
      <x:c r="P293" s="120" t="n">
        <x:v>45737.46696759259</x:v>
      </x:c>
      <x:c r="Q293" s="117" t="str">
        <x:v>Delegate</x:v>
      </x:c>
      <x:c r="R293" s="117" t="str">
        <x:v>C-ARM Checklist</x:v>
      </x:c>
      <x:c r="S293" s="119" t="str">
        <x:v>03/21/2025 (BW) - Going back to testing pre-population from previously submitted data</x:v>
      </x:c>
    </x:row>
    <x:row r="294" ht="30" customHeight="1">
      <x:c r="A294" s="117" t="str">
        <x:v>C_ARM_Checklist</x:v>
      </x:c>
      <x:c r="B294" s="117" t="str">
        <x:v>300Ro00000Pz0kgIAB</x:v>
      </x:c>
      <x:c r="C294" s="117" t="str">
        <x:v>301Ro00000W2ODWIA3</x:v>
      </x:c>
      <x:c r="D294" s="118" t="n">
        <x:v>15</x:v>
      </x:c>
      <x:c r="E294" s="117" t="str">
        <x:v>Obsolete</x:v>
      </x:c>
      <x:c r="F294" s="117" t="str">
        <x:v>No</x:v>
      </x:c>
      <x:c r="G294" s="117" t="str">
        <x:v>No</x:v>
      </x:c>
      <x:c r="H294" s="117" t="str">
        <x:v>FieldServiceMobile</x:v>
      </x:c>
      <x:c r="I294" s="118"/>
      <x:c r="J294" s="117" t="str">
        <x:v>unmanaged</x:v>
      </x:c>
      <x:c r="K294" s="123" t="b">
        <x:v>0</x:v>
      </x:c>
      <x:c r="L294" s="117"/>
      <x:c r="M294" s="118"/>
      <x:c r="N294" s="120" t="n">
        <x:v>45737.46854166667</x:v>
      </x:c>
      <x:c r="O294" s="117" t="str">
        <x:v>Delegate</x:v>
      </x:c>
      <x:c r="P294" s="120" t="n">
        <x:v>45737.46861111111</x:v>
      </x:c>
      <x:c r="Q294" s="117" t="str">
        <x:v>Delegate</x:v>
      </x:c>
      <x:c r="R294" s="117" t="str">
        <x:v>C-ARM Checklist</x:v>
      </x:c>
      <x:c r="S294" s="119" t="str">
        <x:v>03/21/2025 (BW) - Going back to testing pre-population from previously submitted data</x:v>
      </x:c>
    </x:row>
    <x:row r="295" ht="30" customHeight="1">
      <x:c r="A295" s="117" t="str">
        <x:v>C_ARM_Checklist</x:v>
      </x:c>
      <x:c r="B295" s="117" t="str">
        <x:v>300Ro00000Pz0kgIAB</x:v>
      </x:c>
      <x:c r="C295" s="117" t="str">
        <x:v>301Ro00000W2LUAIA3</x:v>
      </x:c>
      <x:c r="D295" s="118" t="n">
        <x:v>16</x:v>
      </x:c>
      <x:c r="E295" s="117" t="str">
        <x:v>Obsolete</x:v>
      </x:c>
      <x:c r="F295" s="117" t="str">
        <x:v>No</x:v>
      </x:c>
      <x:c r="G295" s="117" t="str">
        <x:v>No</x:v>
      </x:c>
      <x:c r="H295" s="117" t="str">
        <x:v>FieldServiceMobile</x:v>
      </x:c>
      <x:c r="I295" s="118"/>
      <x:c r="J295" s="117" t="str">
        <x:v>unmanaged</x:v>
      </x:c>
      <x:c r="K295" s="123" t="b">
        <x:v>0</x:v>
      </x:c>
      <x:c r="L295" s="117"/>
      <x:c r="M295" s="118"/>
      <x:c r="N295" s="120" t="n">
        <x:v>45737.47340277778</x:v>
      </x:c>
      <x:c r="O295" s="117" t="str">
        <x:v>Delegate</x:v>
      </x:c>
      <x:c r="P295" s="120" t="n">
        <x:v>45737.473495370374</x:v>
      </x:c>
      <x:c r="Q295" s="117" t="str">
        <x:v>Delegate</x:v>
      </x:c>
      <x:c r="R295" s="117" t="str">
        <x:v>C-ARM Checklist</x:v>
      </x:c>
      <x:c r="S295" s="119" t="str">
        <x:v>03/21/2025 (BW) - Going back to testing pre-population from previously submitted data</x:v>
      </x:c>
    </x:row>
    <x:row r="296" ht="30" customHeight="1">
      <x:c r="A296" s="117" t="str">
        <x:v>C_ARM_Checklist</x:v>
      </x:c>
      <x:c r="B296" s="117" t="str">
        <x:v>300Ro00000Pz0kgIAB</x:v>
      </x:c>
      <x:c r="C296" s="117" t="str">
        <x:v>301Ro00000W2FdNIAV</x:v>
      </x:c>
      <x:c r="D296" s="118" t="n">
        <x:v>17</x:v>
      </x:c>
      <x:c r="E296" s="117" t="str">
        <x:v>Obsolete</x:v>
      </x:c>
      <x:c r="F296" s="117" t="str">
        <x:v>No</x:v>
      </x:c>
      <x:c r="G296" s="117" t="str">
        <x:v>No</x:v>
      </x:c>
      <x:c r="H296" s="117" t="str">
        <x:v>FieldServiceMobile</x:v>
      </x:c>
      <x:c r="I296" s="118"/>
      <x:c r="J296" s="117" t="str">
        <x:v>unmanaged</x:v>
      </x:c>
      <x:c r="K296" s="123" t="b">
        <x:v>0</x:v>
      </x:c>
      <x:c r="L296" s="117"/>
      <x:c r="M296" s="118"/>
      <x:c r="N296" s="120" t="n">
        <x:v>45737.475798611114</x:v>
      </x:c>
      <x:c r="O296" s="117" t="str">
        <x:v>Delegate</x:v>
      </x:c>
      <x:c r="P296" s="120" t="n">
        <x:v>45737.47608796296</x:v>
      </x:c>
      <x:c r="Q296" s="117" t="str">
        <x:v>Delegate</x:v>
      </x:c>
      <x:c r="R296" s="117" t="str">
        <x:v>C-ARM Checklist</x:v>
      </x:c>
      <x:c r="S296" s="119" t="str">
        <x:v>03/21/2025 (BW) - Going back to testing pre-population from previously submitted data</x:v>
      </x:c>
    </x:row>
    <x:row r="297" ht="30" customHeight="1">
      <x:c r="A297" s="117" t="str">
        <x:v>C_ARM_Checklist</x:v>
      </x:c>
      <x:c r="B297" s="117" t="str">
        <x:v>300Ro00000Pz0kgIAB</x:v>
      </x:c>
      <x:c r="C297" s="117" t="str">
        <x:v>301Ro00000W2Q0nIAF</x:v>
      </x:c>
      <x:c r="D297" s="118" t="n">
        <x:v>18</x:v>
      </x:c>
      <x:c r="E297" s="117" t="str">
        <x:v>Obsolete</x:v>
      </x:c>
      <x:c r="F297" s="117" t="str">
        <x:v>No</x:v>
      </x:c>
      <x:c r="G297" s="117" t="str">
        <x:v>No</x:v>
      </x:c>
      <x:c r="H297" s="117" t="str">
        <x:v>FieldServiceMobile</x:v>
      </x:c>
      <x:c r="I297" s="118"/>
      <x:c r="J297" s="117" t="str">
        <x:v>unmanaged</x:v>
      </x:c>
      <x:c r="K297" s="123" t="b">
        <x:v>0</x:v>
      </x:c>
      <x:c r="L297" s="117"/>
      <x:c r="M297" s="118"/>
      <x:c r="N297" s="120" t="n">
        <x:v>45737.4766087963</x:v>
      </x:c>
      <x:c r="O297" s="117" t="str">
        <x:v>Delegate</x:v>
      </x:c>
      <x:c r="P297" s="120" t="n">
        <x:v>45737.47689814815</x:v>
      </x:c>
      <x:c r="Q297" s="117" t="str">
        <x:v>Delegate</x:v>
      </x:c>
      <x:c r="R297" s="117" t="str">
        <x:v>C-ARM Checklist</x:v>
      </x:c>
      <x:c r="S297" s="119" t="str">
        <x:v>03/21/2025 (BW) - Going back to testing pre-population from previously submitted data</x:v>
      </x:c>
    </x:row>
    <x:row r="298" ht="30" customHeight="1">
      <x:c r="A298" s="117" t="str">
        <x:v>C_ARM_Checklist</x:v>
      </x:c>
      <x:c r="B298" s="117" t="str">
        <x:v>300Ro00000Pz0kgIAB</x:v>
      </x:c>
      <x:c r="C298" s="117" t="str">
        <x:v>301Ro00000W2QQcIAN</x:v>
      </x:c>
      <x:c r="D298" s="118" t="n">
        <x:v>19</x:v>
      </x:c>
      <x:c r="E298" s="117" t="str">
        <x:v>Obsolete</x:v>
      </x:c>
      <x:c r="F298" s="117" t="str">
        <x:v>No</x:v>
      </x:c>
      <x:c r="G298" s="117" t="str">
        <x:v>No</x:v>
      </x:c>
      <x:c r="H298" s="117" t="str">
        <x:v>FieldServiceMobile</x:v>
      </x:c>
      <x:c r="I298" s="118"/>
      <x:c r="J298" s="117" t="str">
        <x:v>unmanaged</x:v>
      </x:c>
      <x:c r="K298" s="123" t="b">
        <x:v>0</x:v>
      </x:c>
      <x:c r="L298" s="117"/>
      <x:c r="M298" s="118"/>
      <x:c r="N298" s="120" t="n">
        <x:v>45737.480532407404</x:v>
      </x:c>
      <x:c r="O298" s="117" t="str">
        <x:v>Delegate</x:v>
      </x:c>
      <x:c r="P298" s="120" t="n">
        <x:v>45737.48092592593</x:v>
      </x:c>
      <x:c r="Q298" s="117" t="str">
        <x:v>Delegate</x:v>
      </x:c>
      <x:c r="R298" s="117" t="str">
        <x:v>C-ARM Checklist</x:v>
      </x:c>
      <x:c r="S298" s="119" t="str">
        <x:v>03/21/2025 (BW) - Going back to testing pre-population from previously submitted data</x:v>
      </x:c>
    </x:row>
    <x:row r="299" ht="30" customHeight="1">
      <x:c r="A299" s="117" t="str">
        <x:v>C_ARM_Checklist</x:v>
      </x:c>
      <x:c r="B299" s="117" t="str">
        <x:v>300Ro00000Pz0kgIAB</x:v>
      </x:c>
      <x:c r="C299" s="117" t="str">
        <x:v>301Ro00000W2LC3IAN</x:v>
      </x:c>
      <x:c r="D299" s="118" t="n">
        <x:v>20</x:v>
      </x:c>
      <x:c r="E299" s="117" t="str">
        <x:v>Obsolete</x:v>
      </x:c>
      <x:c r="F299" s="117" t="str">
        <x:v>No</x:v>
      </x:c>
      <x:c r="G299" s="117" t="str">
        <x:v>No</x:v>
      </x:c>
      <x:c r="H299" s="117" t="str">
        <x:v>FieldServiceMobile</x:v>
      </x:c>
      <x:c r="I299" s="118"/>
      <x:c r="J299" s="117" t="str">
        <x:v>unmanaged</x:v>
      </x:c>
      <x:c r="K299" s="123" t="b">
        <x:v>0</x:v>
      </x:c>
      <x:c r="L299" s="117"/>
      <x:c r="M299" s="118"/>
      <x:c r="N299" s="120" t="n">
        <x:v>45737.48667824074</x:v>
      </x:c>
      <x:c r="O299" s="117" t="str">
        <x:v>Delegate</x:v>
      </x:c>
      <x:c r="P299" s="120" t="n">
        <x:v>45737.486759259256</x:v>
      </x:c>
      <x:c r="Q299" s="117" t="str">
        <x:v>Delegate</x:v>
      </x:c>
      <x:c r="R299" s="117" t="str">
        <x:v>C-ARM Checklist</x:v>
      </x:c>
      <x:c r="S299" s="119" t="str">
        <x:v>03/21/2025 (BW) - Going back to testing pre-population from previously submitted data</x:v>
      </x:c>
    </x:row>
    <x:row r="300" ht="30" customHeight="1">
      <x:c r="A300" s="117" t="str">
        <x:v>C_ARM_Checklist</x:v>
      </x:c>
      <x:c r="B300" s="117" t="str">
        <x:v>300Ro00000Pz0kgIAB</x:v>
      </x:c>
      <x:c r="C300" s="117" t="str">
        <x:v>301Ro00000W2HjwIAF</x:v>
      </x:c>
      <x:c r="D300" s="118" t="n">
        <x:v>21</x:v>
      </x:c>
      <x:c r="E300" s="117" t="str">
        <x:v>Obsolete</x:v>
      </x:c>
      <x:c r="F300" s="117" t="str">
        <x:v>No</x:v>
      </x:c>
      <x:c r="G300" s="117" t="str">
        <x:v>No</x:v>
      </x:c>
      <x:c r="H300" s="117" t="str">
        <x:v>FieldServiceMobile</x:v>
      </x:c>
      <x:c r="I300" s="118"/>
      <x:c r="J300" s="117" t="str">
        <x:v>unmanaged</x:v>
      </x:c>
      <x:c r="K300" s="123" t="b">
        <x:v>0</x:v>
      </x:c>
      <x:c r="L300" s="117"/>
      <x:c r="M300" s="118"/>
      <x:c r="N300" s="120" t="n">
        <x:v>45737.48804398148</x:v>
      </x:c>
      <x:c r="O300" s="117" t="str">
        <x:v>Delegate</x:v>
      </x:c>
      <x:c r="P300" s="120" t="n">
        <x:v>45737.48811342593</x:v>
      </x:c>
      <x:c r="Q300" s="117" t="str">
        <x:v>Delegate</x:v>
      </x:c>
      <x:c r="R300" s="117" t="str">
        <x:v>C-ARM Checklist</x:v>
      </x:c>
      <x:c r="S300" s="119" t="str">
        <x:v>03/21/2025 (BW) - Going back to testing pre-population from previously submitted data</x:v>
      </x:c>
    </x:row>
    <x:row r="301" ht="30" customHeight="1">
      <x:c r="A301" s="117" t="str">
        <x:v>C_ARM_Checklist</x:v>
      </x:c>
      <x:c r="B301" s="117" t="str">
        <x:v>300Ro00000Pz0kgIAB</x:v>
      </x:c>
      <x:c r="C301" s="117" t="str">
        <x:v>301Ro00000W2QLnIAN</x:v>
      </x:c>
      <x:c r="D301" s="118" t="n">
        <x:v>22</x:v>
      </x:c>
      <x:c r="E301" s="117" t="str">
        <x:v>Obsolete</x:v>
      </x:c>
      <x:c r="F301" s="117" t="str">
        <x:v>No</x:v>
      </x:c>
      <x:c r="G301" s="117" t="str">
        <x:v>No</x:v>
      </x:c>
      <x:c r="H301" s="117" t="str">
        <x:v>FieldServiceMobile</x:v>
      </x:c>
      <x:c r="I301" s="118"/>
      <x:c r="J301" s="117" t="str">
        <x:v>unmanaged</x:v>
      </x:c>
      <x:c r="K301" s="123" t="b">
        <x:v>0</x:v>
      </x:c>
      <x:c r="L301" s="117"/>
      <x:c r="M301" s="118"/>
      <x:c r="N301" s="120" t="n">
        <x:v>45737.492893518516</x:v>
      </x:c>
      <x:c r="O301" s="117" t="str">
        <x:v>Delegate</x:v>
      </x:c>
      <x:c r="P301" s="120" t="n">
        <x:v>45737.49707175926</x:v>
      </x:c>
      <x:c r="Q301" s="117" t="str">
        <x:v>Delegate</x:v>
      </x:c>
      <x:c r="R301" s="117" t="str">
        <x:v>C-ARM Checklist</x:v>
      </x:c>
      <x:c r="S301" s="119" t="str">
        <x:v>03/21/2025 (BW) - Going back to testing pre-population from previously submitted data</x:v>
      </x:c>
    </x:row>
    <x:row r="302" ht="30" customHeight="1">
      <x:c r="A302" s="117" t="str">
        <x:v>C_ARM_Checklist</x:v>
      </x:c>
      <x:c r="B302" s="117" t="str">
        <x:v>300Ro00000Pz0kgIAB</x:v>
      </x:c>
      <x:c r="C302" s="117" t="str">
        <x:v>301Ro00000W9fj4IAB</x:v>
      </x:c>
      <x:c r="D302" s="118" t="n">
        <x:v>23</x:v>
      </x:c>
      <x:c r="E302" s="117" t="str">
        <x:v>Obsolete</x:v>
      </x:c>
      <x:c r="F302" s="117" t="str">
        <x:v>No</x:v>
      </x:c>
      <x:c r="G302" s="117" t="str">
        <x:v>No</x:v>
      </x:c>
      <x:c r="H302" s="117" t="str">
        <x:v>FieldServiceMobile</x:v>
      </x:c>
      <x:c r="I302" s="118"/>
      <x:c r="J302" s="117" t="str">
        <x:v>unmanaged</x:v>
      </x:c>
      <x:c r="K302" s="123" t="b">
        <x:v>0</x:v>
      </x:c>
      <x:c r="L302" s="117"/>
      <x:c r="M302" s="118"/>
      <x:c r="N302" s="120" t="n">
        <x:v>45740.522465277776</x:v>
      </x:c>
      <x:c r="O302" s="117" t="str">
        <x:v>Delegate</x:v>
      </x:c>
      <x:c r="P302" s="120" t="n">
        <x:v>45740.52255787037</x:v>
      </x:c>
      <x:c r="Q302" s="117" t="str">
        <x:v>Delegate</x:v>
      </x:c>
      <x:c r="R302" s="117" t="str">
        <x:v>C-ARM Checklist</x:v>
      </x:c>
      <x:c r="S302" s="119" t="str">
        <x:v>03/24/2025 (BW) - Added all pre-loads to mechanical checks</x:v>
      </x:c>
    </x:row>
    <x:row r="303" ht="30" customHeight="1">
      <x:c r="A303" s="117" t="str">
        <x:v>C_ARM_Checklist</x:v>
      </x:c>
      <x:c r="B303" s="117" t="str">
        <x:v>300Ro00000Pz0kgIAB</x:v>
      </x:c>
      <x:c r="C303" s="117" t="str">
        <x:v>301Ro00000WA1RrIAL</x:v>
      </x:c>
      <x:c r="D303" s="118" t="n">
        <x:v>24</x:v>
      </x:c>
      <x:c r="E303" s="117" t="str">
        <x:v>Obsolete</x:v>
      </x:c>
      <x:c r="F303" s="117" t="str">
        <x:v>No</x:v>
      </x:c>
      <x:c r="G303" s="117" t="str">
        <x:v>No</x:v>
      </x:c>
      <x:c r="H303" s="117" t="str">
        <x:v>FieldServiceMobile</x:v>
      </x:c>
      <x:c r="I303" s="118"/>
      <x:c r="J303" s="117" t="str">
        <x:v>unmanaged</x:v>
      </x:c>
      <x:c r="K303" s="123" t="b">
        <x:v>0</x:v>
      </x:c>
      <x:c r="L303" s="117"/>
      <x:c r="M303" s="118"/>
      <x:c r="N303" s="120" t="n">
        <x:v>45740.576319444444</x:v>
      </x:c>
      <x:c r="O303" s="117" t="str">
        <x:v>Delegate</x:v>
      </x:c>
      <x:c r="P303" s="120" t="n">
        <x:v>45740.57790509259</x:v>
      </x:c>
      <x:c r="Q303" s="117" t="str">
        <x:v>Delegate</x:v>
      </x:c>
      <x:c r="R303" s="117" t="str">
        <x:v>C-ARM Checklist</x:v>
      </x:c>
      <x:c r="S303" s="119" t="str">
        <x:v>03/24/2025 (BW) - Added all pre-loads to mechanical checks</x:v>
      </x:c>
    </x:row>
    <x:row r="304" ht="30" customHeight="1">
      <x:c r="A304" s="117" t="str">
        <x:v>C_ARM_Checklist</x:v>
      </x:c>
      <x:c r="B304" s="117" t="str">
        <x:v>300Ro00000Pz0kgIAB</x:v>
      </x:c>
      <x:c r="C304" s="117" t="str">
        <x:v>301Ro00000WDqnyIAD</x:v>
      </x:c>
      <x:c r="D304" s="118" t="n">
        <x:v>25</x:v>
      </x:c>
      <x:c r="E304" s="117" t="str">
        <x:v>Obsolete</x:v>
      </x:c>
      <x:c r="F304" s="117" t="str">
        <x:v>No</x:v>
      </x:c>
      <x:c r="G304" s="117" t="str">
        <x:v>No</x:v>
      </x:c>
      <x:c r="H304" s="117" t="str">
        <x:v>FieldServiceMobile</x:v>
      </x:c>
      <x:c r="I304" s="118"/>
      <x:c r="J304" s="117" t="str">
        <x:v>unmanaged</x:v>
      </x:c>
      <x:c r="K304" s="123" t="b">
        <x:v>0</x:v>
      </x:c>
      <x:c r="L304" s="117"/>
      <x:c r="M304" s="118"/>
      <x:c r="N304" s="120" t="n">
        <x:v>45741.50585648148</x:v>
      </x:c>
      <x:c r="O304" s="117" t="str">
        <x:v>Delegate</x:v>
      </x:c>
      <x:c r="P304" s="120" t="n">
        <x:v>45741.50641203704</x:v>
      </x:c>
      <x:c r="Q304" s="117" t="str">
        <x:v>Delegate</x:v>
      </x:c>
      <x:c r="R304" s="117" t="str">
        <x:v>C-ARM Checklist</x:v>
      </x:c>
      <x:c r="S304" s="119" t="str">
        <x:v>03/24/2025 (BW) - Added all pre-loads to mechanical checks</x:v>
      </x:c>
    </x:row>
    <x:row r="305" ht="30" customHeight="1">
      <x:c r="A305" s="117" t="str">
        <x:v>C_ARM_Checklist</x:v>
      </x:c>
      <x:c r="B305" s="117" t="str">
        <x:v>300Ro00000Pz0kgIAB</x:v>
      </x:c>
      <x:c r="C305" s="117" t="str">
        <x:v>301Ro00000WDrNUIA1</x:v>
      </x:c>
      <x:c r="D305" s="118" t="n">
        <x:v>26</x:v>
      </x:c>
      <x:c r="E305" s="117" t="str">
        <x:v>Obsolete</x:v>
      </x:c>
      <x:c r="F305" s="117" t="str">
        <x:v>No</x:v>
      </x:c>
      <x:c r="G305" s="117" t="str">
        <x:v>No</x:v>
      </x:c>
      <x:c r="H305" s="117" t="str">
        <x:v>FieldServiceMobile</x:v>
      </x:c>
      <x:c r="I305" s="118"/>
      <x:c r="J305" s="117" t="str">
        <x:v>unmanaged</x:v>
      </x:c>
      <x:c r="K305" s="123" t="b">
        <x:v>0</x:v>
      </x:c>
      <x:c r="L305" s="117"/>
      <x:c r="M305" s="118"/>
      <x:c r="N305" s="120" t="n">
        <x:v>45741.50748842592</x:v>
      </x:c>
      <x:c r="O305" s="117" t="str">
        <x:v>Delegate</x:v>
      </x:c>
      <x:c r="P305" s="120" t="n">
        <x:v>45741.50760416667</x:v>
      </x:c>
      <x:c r="Q305" s="117" t="str">
        <x:v>Delegate</x:v>
      </x:c>
      <x:c r="R305" s="117" t="str">
        <x:v>C-ARM Checklist</x:v>
      </x:c>
      <x:c r="S305" s="119" t="str">
        <x:v>03/24/2025 (BW) - Added all pre-loads to mechanical checks</x:v>
      </x:c>
    </x:row>
    <x:row r="306" ht="30" customHeight="1">
      <x:c r="A306" s="117" t="str">
        <x:v>C_ARM_Checklist</x:v>
      </x:c>
      <x:c r="B306" s="117" t="str">
        <x:v>300Ro00000Pz0kgIAB</x:v>
      </x:c>
      <x:c r="C306" s="117" t="str">
        <x:v>301Ro00000WDqb9IAD</x:v>
      </x:c>
      <x:c r="D306" s="118" t="n">
        <x:v>27</x:v>
      </x:c>
      <x:c r="E306" s="117" t="str">
        <x:v>Obsolete</x:v>
      </x:c>
      <x:c r="F306" s="117" t="str">
        <x:v>No</x:v>
      </x:c>
      <x:c r="G306" s="117" t="str">
        <x:v>No</x:v>
      </x:c>
      <x:c r="H306" s="117" t="str">
        <x:v>FieldServiceMobile</x:v>
      </x:c>
      <x:c r="I306" s="118"/>
      <x:c r="J306" s="117" t="str">
        <x:v>unmanaged</x:v>
      </x:c>
      <x:c r="K306" s="123" t="b">
        <x:v>0</x:v>
      </x:c>
      <x:c r="L306" s="117"/>
      <x:c r="M306" s="118"/>
      <x:c r="N306" s="120" t="n">
        <x:v>45741.50986111111</x:v>
      </x:c>
      <x:c r="O306" s="117" t="str">
        <x:v>Delegate</x:v>
      </x:c>
      <x:c r="P306" s="120" t="n">
        <x:v>45741.51</x:v>
      </x:c>
      <x:c r="Q306" s="117" t="str">
        <x:v>Delegate</x:v>
      </x:c>
      <x:c r="R306" s="117" t="str">
        <x:v>C-ARM Checklist</x:v>
      </x:c>
      <x:c r="S306" s="119" t="str">
        <x:v>03/25/2025 (BW) - Confirmed Final Instance is Working</x:v>
      </x:c>
    </x:row>
    <x:row r="307" ht="30" customHeight="1">
      <x:c r="A307" s="117" t="str">
        <x:v>C_ARM_Checklist</x:v>
      </x:c>
      <x:c r="B307" s="117" t="str">
        <x:v>300Ro00000Pz0kgIAB</x:v>
      </x:c>
      <x:c r="C307" s="117" t="str">
        <x:v>301Ro00000whi9GIAQ</x:v>
      </x:c>
      <x:c r="D307" s="118" t="n">
        <x:v>28</x:v>
      </x:c>
      <x:c r="E307" s="117" t="str">
        <x:v>Obsolete</x:v>
      </x:c>
      <x:c r="F307" s="117" t="str">
        <x:v>No</x:v>
      </x:c>
      <x:c r="G307" s="117" t="str">
        <x:v>No</x:v>
      </x:c>
      <x:c r="H307" s="117" t="str">
        <x:v>FieldServiceMobile</x:v>
      </x:c>
      <x:c r="I307" s="118"/>
      <x:c r="J307" s="117" t="str">
        <x:v>unmanaged</x:v>
      </x:c>
      <x:c r="K307" s="123" t="b">
        <x:v>0</x:v>
      </x:c>
      <x:c r="L307" s="117"/>
      <x:c r="M307" s="118"/>
      <x:c r="N307" s="120" t="n">
        <x:v>46049.39119212963</x:v>
      </x:c>
      <x:c r="O307" s="117" t="str">
        <x:v>Sacha Pearce</x:v>
      </x:c>
      <x:c r="P307" s="120" t="n">
        <x:v>46049.39877314815</x:v>
      </x:c>
      <x:c r="Q307" s="117" t="str">
        <x:v>Sacha Pearce</x:v>
      </x:c>
      <x:c r="R307" s="117" t="str">
        <x:v>C-ARM Checklist</x:v>
      </x:c>
      <x:c r="S307" s="119" t="str">
        <x:v>03/25/2025 (BW) - Confirmed Final Instance is Working
01/18/2025 - V28 - SP - Updating to match new FSL formatting.</x:v>
      </x:c>
    </x:row>
    <x:row r="308" ht="30" customHeight="1">
      <x:c r="A308" s="117" t="str">
        <x:v>C_ARM_Checklist</x:v>
      </x:c>
      <x:c r="B308" s="117" t="str">
        <x:v>300Ro00000Pz0kgIAB</x:v>
      </x:c>
      <x:c r="C308" s="117" t="str">
        <x:v>301Ro00000yQyXTIA0</x:v>
      </x:c>
      <x:c r="D308" s="118" t="n">
        <x:v>29</x:v>
      </x:c>
      <x:c r="E308" s="117" t="str">
        <x:v>Obsolete</x:v>
      </x:c>
      <x:c r="F308" s="117" t="str">
        <x:v>No</x:v>
      </x:c>
      <x:c r="G308" s="117" t="str">
        <x:v>No</x:v>
      </x:c>
      <x:c r="H308" s="117" t="str">
        <x:v>FieldServiceMobile</x:v>
      </x:c>
      <x:c r="I308" s="118"/>
      <x:c r="J308" s="117" t="str">
        <x:v>unmanaged</x:v>
      </x:c>
      <x:c r="K308" s="123" t="b">
        <x:v>0</x:v>
      </x:c>
      <x:c r="L308" s="117"/>
      <x:c r="M308" s="118"/>
      <x:c r="N308" s="120" t="n">
        <x:v>46069.66851851852</x:v>
      </x:c>
      <x:c r="O308" s="117" t="str">
        <x:v>Sacha Pearce</x:v>
      </x:c>
      <x:c r="P308" s="120" t="n">
        <x:v>46069.66863425926</x:v>
      </x:c>
      <x:c r="Q308" s="117" t="str">
        <x:v>Sacha Pearce</x:v>
      </x:c>
      <x:c r="R308" s="117" t="str">
        <x:v>C-ARM Checklist</x:v>
      </x:c>
      <x:c r="S308" s="119" t="str">
        <x:v>03/25/2025 (BW) - Confirmed Final Instance is Working
01/18/2025 - V28 - SP - Updating to match new FSL formatting.</x:v>
      </x:c>
    </x:row>
    <x:row r="309" ht="30" customHeight="1">
      <x:c r="A309" s="117" t="str">
        <x:v>C_ARM_Checklist</x:v>
      </x:c>
      <x:c r="B309" s="117" t="str">
        <x:v>300Ro00000Pz0kgIAB</x:v>
      </x:c>
      <x:c r="C309" s="117" t="str">
        <x:v>301Ro00000yQrZHIA0</x:v>
      </x:c>
      <x:c r="D309" s="118" t="n">
        <x:v>30</x:v>
      </x:c>
      <x:c r="E309" s="117" t="str">
        <x:v>Obsolete</x:v>
      </x:c>
      <x:c r="F309" s="117" t="str">
        <x:v>No</x:v>
      </x:c>
      <x:c r="G309" s="117" t="str">
        <x:v>No</x:v>
      </x:c>
      <x:c r="H309" s="117" t="str">
        <x:v>FieldServiceMobile</x:v>
      </x:c>
      <x:c r="I309" s="118"/>
      <x:c r="J309" s="117" t="str">
        <x:v>unmanaged</x:v>
      </x:c>
      <x:c r="K309" s="123" t="b">
        <x:v>0</x:v>
      </x:c>
      <x:c r="L309" s="117"/>
      <x:c r="M309" s="118"/>
      <x:c r="N309" s="120" t="n">
        <x:v>46069.686527777776</x:v>
      </x:c>
      <x:c r="O309" s="117" t="str">
        <x:v>Sacha Pearce</x:v>
      </x:c>
      <x:c r="P309" s="120" t="n">
        <x:v>46069.68665509259</x:v>
      </x:c>
      <x:c r="Q309" s="117" t="str">
        <x:v>Sacha Pearce</x:v>
      </x:c>
      <x:c r="R309" s="117" t="str">
        <x:v>C-ARM Checklist</x:v>
      </x:c>
      <x:c r="S309" s="119" t="str">
        <x:v>03/25/2025 (BW) - Confirmed Final Instance is Working
01/18/2025 - V28 - SP - Updating to match new FSL formatting.</x:v>
      </x:c>
    </x:row>
    <x:row r="310" ht="30" customHeight="1">
      <x:c r="A310" s="117" t="str">
        <x:v>C_ARM_Checklist</x:v>
      </x:c>
      <x:c r="B310" s="117" t="str">
        <x:v>300Ro00000Pz0kgIAB</x:v>
      </x:c>
      <x:c r="C310" s="117" t="str">
        <x:v>301Ro000013KaWeIAK</x:v>
      </x:c>
      <x:c r="D310" s="118" t="n">
        <x:v>31</x:v>
      </x:c>
      <x:c r="E310" s="117" t="str">
        <x:v>Obsolete</x:v>
      </x:c>
      <x:c r="F310" s="117" t="str">
        <x:v>No</x:v>
      </x:c>
      <x:c r="G310" s="117" t="str">
        <x:v>No</x:v>
      </x:c>
      <x:c r="H310" s="117" t="str">
        <x:v>FieldServiceMobile</x:v>
      </x:c>
      <x:c r="I310" s="118"/>
      <x:c r="J310" s="117" t="str">
        <x:v>unmanaged</x:v>
      </x:c>
      <x:c r="K310" s="123" t="b">
        <x:v>0</x:v>
      </x:c>
      <x:c r="L310" s="117"/>
      <x:c r="M310" s="118"/>
      <x:c r="N310" s="120" t="n">
        <x:v>46128.52931712963</x:v>
      </x:c>
      <x:c r="O310" s="117" t="str">
        <x:v>Sacha Pearce</x:v>
      </x:c>
      <x:c r="P310" s="120" t="n">
        <x:v>46128.529444444444</x:v>
      </x:c>
      <x:c r="Q310" s="117" t="str">
        <x:v>Sacha Pearce</x:v>
      </x:c>
      <x:c r="R310" s="117" t="str">
        <x:v>C-ARM Checklist</x:v>
      </x:c>
      <x:c r="S310" s="119" t="str">
        <x:v>16/04/2026 - SP - Removing the default value found in the "Covers Secured" field.</x:v>
      </x:c>
    </x:row>
    <x:row r="311" ht="30" customHeight="1">
      <x:c r="A311" s="117" t="str">
        <x:v>C_ARM_Checklist</x:v>
      </x:c>
      <x:c r="B311" s="117" t="str">
        <x:v>300Ro00000Pz0kgIAB</x:v>
      </x:c>
      <x:c r="C311" s="117" t="str">
        <x:v>301Ro00001BYXVoIAP</x:v>
      </x:c>
      <x:c r="D311" s="118" t="n">
        <x:v>32</x:v>
      </x:c>
      <x:c r="E311" s="117" t="str">
        <x:v>Active</x:v>
      </x:c>
      <x:c r="F311" s="117" t="str">
        <x:v>Yes</x:v>
      </x:c>
      <x:c r="G311" s="117" t="str">
        <x:v>Yes</x:v>
      </x:c>
      <x:c r="H311" s="117" t="str">
        <x:v>FieldServiceMobile</x:v>
      </x:c>
      <x:c r="I311" s="118"/>
      <x:c r="J311" s="117" t="str">
        <x:v>unmanaged</x:v>
      </x:c>
      <x:c r="K311" s="123" t="b">
        <x:v>0</x:v>
      </x:c>
      <x:c r="L311" s="117"/>
      <x:c r="M311" s="118"/>
      <x:c r="N311" s="120" t="n">
        <x:v>46220.6144212963</x:v>
      </x:c>
      <x:c r="O311" s="117" t="str">
        <x:v>Sacha Pearce</x:v>
      </x:c>
      <x:c r="P311" s="120" t="n">
        <x:v>46220.61486111111</x:v>
      </x:c>
      <x:c r="Q311" s="117" t="str">
        <x:v>Sacha Pearce</x:v>
      </x:c>
      <x:c r="R311" s="117" t="str">
        <x:v>C-ARM Checklist</x:v>
      </x:c>
      <x:c r="S311" s="119" t="str">
        <x:v>17/07/2026 - SP - Updating the "Checklist Type" field to be set dynamically based on the Service Appointment's "Work Type".</x:v>
      </x:c>
    </x:row>
    <x:row r="312" ht="30" customHeight="1">
      <x:c r="A312" s="117" t="str">
        <x:v>Calculate_Sales_Tax_on_Sales_Shipper</x:v>
      </x:c>
      <x:c r="B312" s="117" t="str">
        <x:v>3004O000000LOstQAG</x:v>
      </x:c>
      <x:c r="C312" s="117" t="str">
        <x:v>3014O000000M0XoQAK</x:v>
      </x:c>
      <x:c r="D312" s="118" t="n">
        <x:v>1</x:v>
      </x:c>
      <x:c r="E312" s="117" t="str">
        <x:v>Obsolete</x:v>
      </x:c>
      <x:c r="F312" s="117" t="str">
        <x:v>No</x:v>
      </x:c>
      <x:c r="G312" s="117" t="str">
        <x:v>No</x:v>
      </x:c>
      <x:c r="H312" s="117" t="str">
        <x:v>Workflow</x:v>
      </x:c>
      <x:c r="I312" s="118" t="n">
        <x:v>50</x:v>
      </x:c>
      <x:c r="J312" s="117" t="str">
        <x:v>unmanaged</x:v>
      </x:c>
      <x:c r="K312" s="123" t="b">
        <x:v>0</x:v>
      </x:c>
      <x:c r="L312" s="117"/>
      <x:c r="M312" s="118"/>
      <x:c r="N312" s="120" t="n">
        <x:v>44200.18819444445</x:v>
      </x:c>
      <x:c r="O312" s="117" t="str">
        <x:v>Trent VanEmon</x:v>
      </x:c>
      <x:c r="P312" s="120" t="n">
        <x:v>44200.19296296296</x:v>
      </x:c>
      <x:c r="Q312" s="117" t="str">
        <x:v>Trent VanEmon</x:v>
      </x:c>
      <x:c r="R312" s="117" t="str">
        <x:v>Calculate Sales Tax on Sales Shipper</x:v>
      </x:c>
      <x:c r="S312" s="119"/>
    </x:row>
    <x:row r="313" ht="30" customHeight="1">
      <x:c r="A313" s="117" t="str">
        <x:v>Calculate_Sales_Tax_on_Sales_Shipper</x:v>
      </x:c>
      <x:c r="B313" s="117" t="str">
        <x:v>3004O000000LOstQAG</x:v>
      </x:c>
      <x:c r="C313" s="117" t="str">
        <x:v>3014O000000M0XzQAK</x:v>
      </x:c>
      <x:c r="D313" s="118" t="n">
        <x:v>2</x:v>
      </x:c>
      <x:c r="E313" s="117" t="str">
        <x:v>Obsolete</x:v>
      </x:c>
      <x:c r="F313" s="117" t="str">
        <x:v>No</x:v>
      </x:c>
      <x:c r="G313" s="117" t="str">
        <x:v>Yes</x:v>
      </x:c>
      <x:c r="H313" s="117" t="str">
        <x:v>Workflow</x:v>
      </x:c>
      <x:c r="I313" s="118" t="n">
        <x:v>50</x:v>
      </x:c>
      <x:c r="J313" s="117" t="str">
        <x:v>unmanaged</x:v>
      </x:c>
      <x:c r="K313" s="123" t="b">
        <x:v>0</x:v>
      </x:c>
      <x:c r="L313" s="117"/>
      <x:c r="M313" s="118"/>
      <x:c r="N313" s="120" t="n">
        <x:v>44200.193344907406</x:v>
      </x:c>
      <x:c r="O313" s="117" t="str">
        <x:v>Trent VanEmon</x:v>
      </x:c>
      <x:c r="P313" s="120" t="n">
        <x:v>44200.60686342593</x:v>
      </x:c>
      <x:c r="Q313" s="117" t="str">
        <x:v>Trent VanEmon</x:v>
      </x:c>
      <x:c r="R313" s="117" t="str">
        <x:v>Calculate Sales Tax on Sales Shipper</x:v>
      </x:c>
      <x:c r="S313" s="119"/>
    </x:row>
    <x:row r="314" ht="30" customHeight="1">
      <x:c r="A314" s="117" t="str">
        <x:v>Calculate_Tax_Automatically_on_Closed_Won</x:v>
      </x:c>
      <x:c r="B314" s="117" t="str">
        <x:v>3004O000000LOsZQAW</x:v>
      </x:c>
      <x:c r="C314" s="117" t="str">
        <x:v>3014O000000M0WqQAK</x:v>
      </x:c>
      <x:c r="D314" s="118" t="n">
        <x:v>1</x:v>
      </x:c>
      <x:c r="E314" s="117" t="str">
        <x:v>Obsolete</x:v>
      </x:c>
      <x:c r="F314" s="117" t="str">
        <x:v>No</x:v>
      </x:c>
      <x:c r="G314" s="117" t="str">
        <x:v>No</x:v>
      </x:c>
      <x:c r="H314" s="117" t="str">
        <x:v>Workflow</x:v>
      </x:c>
      <x:c r="I314" s="118" t="n">
        <x:v>50</x:v>
      </x:c>
      <x:c r="J314" s="117" t="str">
        <x:v>unmanaged</x:v>
      </x:c>
      <x:c r="K314" s="123" t="b">
        <x:v>0</x:v>
      </x:c>
      <x:c r="L314" s="117"/>
      <x:c r="M314" s="118"/>
      <x:c r="N314" s="120" t="n">
        <x:v>44199.749236111114</x:v>
      </x:c>
      <x:c r="O314" s="117" t="str">
        <x:v>Delegate</x:v>
      </x:c>
      <x:c r="P314" s="120" t="n">
        <x:v>44200.60784722222</x:v>
      </x:c>
      <x:c r="Q314" s="117" t="str">
        <x:v>Trent VanEmon</x:v>
      </x:c>
      <x:c r="R314" s="117" t="str">
        <x:v>Calculate Tax Automatically on Closed Won</x:v>
      </x:c>
      <x:c r="S314" s="119"/>
    </x:row>
    <x:row r="315" ht="30" customHeight="1">
      <x:c r="A315" s="117" t="str">
        <x:v>Calculate_Tax_Automatically_on_Closed_Won</x:v>
      </x:c>
      <x:c r="B315" s="117" t="str">
        <x:v>3004O000000LOsZQAW</x:v>
      </x:c>
      <x:c r="C315" s="117" t="str">
        <x:v>3014O000000M0XjQAK</x:v>
      </x:c>
      <x:c r="D315" s="118" t="n">
        <x:v>2</x:v>
      </x:c>
      <x:c r="E315" s="117" t="str">
        <x:v>Obsolete</x:v>
      </x:c>
      <x:c r="F315" s="117" t="str">
        <x:v>No</x:v>
      </x:c>
      <x:c r="G315" s="117" t="str">
        <x:v>No</x:v>
      </x:c>
      <x:c r="H315" s="117" t="str">
        <x:v>Workflow</x:v>
      </x:c>
      <x:c r="I315" s="118" t="n">
        <x:v>50</x:v>
      </x:c>
      <x:c r="J315" s="117" t="str">
        <x:v>unmanaged</x:v>
      </x:c>
      <x:c r="K315" s="123" t="b">
        <x:v>0</x:v>
      </x:c>
      <x:c r="L315" s="117"/>
      <x:c r="M315" s="118"/>
      <x:c r="N315" s="120" t="n">
        <x:v>44200.186840277776</x:v>
      </x:c>
      <x:c r="O315" s="117" t="str">
        <x:v>Trent VanEmon</x:v>
      </x:c>
      <x:c r="P315" s="120" t="n">
        <x:v>44200.18796296296</x:v>
      </x:c>
      <x:c r="Q315" s="117" t="str">
        <x:v>Trent VanEmon</x:v>
      </x:c>
      <x:c r="R315" s="117" t="str">
        <x:v>Calculate Tax Automatically on Closed Won</x:v>
      </x:c>
      <x:c r="S315" s="119"/>
    </x:row>
    <x:row r="316" ht="30" customHeight="1">
      <x:c r="A316" s="117" t="str">
        <x:v>Calculate_Tax_Automatically_on_Closed_Won</x:v>
      </x:c>
      <x:c r="B316" s="117" t="str">
        <x:v>3004O000000LOsZQAW</x:v>
      </x:c>
      <x:c r="C316" s="117" t="str">
        <x:v>3014O000000M0XtQAK</x:v>
      </x:c>
      <x:c r="D316" s="118" t="n">
        <x:v>3</x:v>
      </x:c>
      <x:c r="E316" s="117" t="str">
        <x:v>Draft</x:v>
      </x:c>
      <x:c r="F316" s="117" t="str">
        <x:v>No</x:v>
      </x:c>
      <x:c r="G316" s="117" t="str">
        <x:v>Yes</x:v>
      </x:c>
      <x:c r="H316" s="117" t="str">
        <x:v>Workflow</x:v>
      </x:c>
      <x:c r="I316" s="118" t="n">
        <x:v>50</x:v>
      </x:c>
      <x:c r="J316" s="117" t="str">
        <x:v>unmanaged</x:v>
      </x:c>
      <x:c r="K316" s="123" t="b">
        <x:v>0</x:v>
      </x:c>
      <x:c r="L316" s="117"/>
      <x:c r="M316" s="118"/>
      <x:c r="N316" s="120" t="n">
        <x:v>44200.19259259259</x:v>
      </x:c>
      <x:c r="O316" s="117" t="str">
        <x:v>Trent VanEmon</x:v>
      </x:c>
      <x:c r="P316" s="120" t="n">
        <x:v>44200.19261574074</x:v>
      </x:c>
      <x:c r="Q316" s="117" t="str">
        <x:v>Trent VanEmon</x:v>
      </x:c>
      <x:c r="R316" s="117" t="str">
        <x:v>Calculate Tax Automatically on Closed Won</x:v>
      </x:c>
      <x:c r="S316" s="119"/>
    </x:row>
    <x:row r="317" ht="30" customHeight="1">
      <x:c r="A317" s="117" t="str">
        <x:v>Calculate_Tax_when_Opp_Closed_Won</x:v>
      </x:c>
      <x:c r="B317" s="117" t="str">
        <x:v>3004O000000LOsaQAG</x:v>
      </x:c>
      <x:c r="C317" s="117" t="str">
        <x:v>3014O000000M0WrQAK</x:v>
      </x:c>
      <x:c r="D317" s="118" t="n">
        <x:v>1</x:v>
      </x:c>
      <x:c r="E317" s="117" t="str">
        <x:v>Draft</x:v>
      </x:c>
      <x:c r="F317" s="117" t="str">
        <x:v>No</x:v>
      </x:c>
      <x:c r="G317" s="117" t="str">
        <x:v>Yes</x:v>
      </x:c>
      <x:c r="H317" s="117" t="str">
        <x:v>Workflow</x:v>
      </x:c>
      <x:c r="I317" s="118" t="n">
        <x:v>50</x:v>
      </x:c>
      <x:c r="J317" s="117" t="str">
        <x:v>unmanaged</x:v>
      </x:c>
      <x:c r="K317" s="123" t="b">
        <x:v>0</x:v>
      </x:c>
      <x:c r="L317" s="117"/>
      <x:c r="M317" s="118"/>
      <x:c r="N317" s="120" t="n">
        <x:v>44199.74927083333</x:v>
      </x:c>
      <x:c r="O317" s="117" t="str">
        <x:v>Delegate</x:v>
      </x:c>
      <x:c r="P317" s="120" t="n">
        <x:v>44199.74927083333</x:v>
      </x:c>
      <x:c r="Q317" s="117" t="str">
        <x:v>Delegate</x:v>
      </x:c>
      <x:c r="R317" s="117" t="str">
        <x:v>Calculate Tax when Opp Closed Won</x:v>
      </x:c>
      <x:c r="S317" s="119"/>
    </x:row>
    <x:row r="318" ht="30" customHeight="1">
      <x:c r="A318" s="117" t="str">
        <x:v>Calibration_due_soon_30_days</x:v>
      </x:c>
      <x:c r="B318" s="117" t="str">
        <x:v>300Ro00000hxAaTIAU</x:v>
      </x:c>
      <x:c r="C318" s="117" t="str">
        <x:v>301Ro00000owHmrIAE</x:v>
      </x:c>
      <x:c r="D318" s="118" t="n">
        <x:v>1</x:v>
      </x:c>
      <x:c r="E318" s="117" t="str">
        <x:v>Obsolete</x:v>
      </x:c>
      <x:c r="F318" s="117" t="str">
        <x:v>No</x:v>
      </x:c>
      <x:c r="G318" s="117" t="str">
        <x:v>Yes</x:v>
      </x:c>
      <x:c r="H318" s="117" t="str">
        <x:v>AutoLaunchedFlow</x:v>
      </x:c>
      <x:c r="I318" s="118" t="n">
        <x:v>64</x:v>
      </x:c>
      <x:c r="J318" s="117" t="str">
        <x:v>unmanaged</x:v>
      </x:c>
      <x:c r="K318" s="123" t="b">
        <x:v>0</x:v>
      </x:c>
      <x:c r="L318" s="117"/>
      <x:c r="M318" s="118"/>
      <x:c r="N318" s="120" t="n">
        <x:v>45937.49388888889</x:v>
      </x:c>
      <x:c r="O318" s="117" t="str">
        <x:v>Michelle Steadman</x:v>
      </x:c>
      <x:c r="P318" s="120" t="n">
        <x:v>45937.49668981481</x:v>
      </x:c>
      <x:c r="Q318" s="117" t="str">
        <x:v>Michelle Steadman</x:v>
      </x:c>
      <x:c r="R318" s="117" t="str">
        <x:v>Calibration due soon - 30 days</x:v>
      </x:c>
      <x:c r="S318" s="119" t="str">
        <x:v>Migrated from the: Calibration due soon - 30 days workflow rule
Workflow rule description: "</x:v>
      </x:c>
    </x:row>
    <x:row r="319" ht="30" customHeight="1">
      <x:c r="A319" s="117" t="str">
        <x:v>Calibration_due_soon_30_days_2</x:v>
      </x:c>
      <x:c r="B319" s="117" t="str">
        <x:v>300Ro00000hx76MIAQ</x:v>
      </x:c>
      <x:c r="C319" s="117" t="str">
        <x:v>301Ro00000owBRWIA2</x:v>
      </x:c>
      <x:c r="D319" s="118" t="n">
        <x:v>1</x:v>
      </x:c>
      <x:c r="E319" s="117" t="str">
        <x:v>Draft</x:v>
      </x:c>
      <x:c r="F319" s="117" t="str">
        <x:v>No</x:v>
      </x:c>
      <x:c r="G319" s="117" t="str">
        <x:v>Yes</x:v>
      </x:c>
      <x:c r="H319" s="117" t="str">
        <x:v>AutoLaunchedFlow</x:v>
      </x:c>
      <x:c r="I319" s="118" t="n">
        <x:v>64</x:v>
      </x:c>
      <x:c r="J319" s="117" t="str">
        <x:v>unmanaged</x:v>
      </x:c>
      <x:c r="K319" s="123" t="b">
        <x:v>0</x:v>
      </x:c>
      <x:c r="L319" s="117"/>
      <x:c r="M319" s="118"/>
      <x:c r="N319" s="120" t="n">
        <x:v>45937.495787037034</x:v>
      </x:c>
      <x:c r="O319" s="117" t="str">
        <x:v>Michelle Steadman</x:v>
      </x:c>
      <x:c r="P319" s="120" t="n">
        <x:v>45937.495787037034</x:v>
      </x:c>
      <x:c r="Q319" s="117" t="str">
        <x:v>Michelle Steadman</x:v>
      </x:c>
      <x:c r="R319" s="117" t="str">
        <x:v>Calibration due soon - 30 days_2</x:v>
      </x:c>
      <x:c r="S319" s="119" t="str">
        <x:v>Migrated from the: Calibration due soon - 30 days workflow rule
Workflow rule description: "</x:v>
      </x:c>
    </x:row>
    <x:row r="320" ht="30" customHeight="1">
      <x:c r="A320" s="117" t="str">
        <x:v>Calibration_due_soon_30_days_3</x:v>
      </x:c>
      <x:c r="B320" s="117" t="str">
        <x:v>300Ro00000hx9ZcIAI</x:v>
      </x:c>
      <x:c r="C320" s="117" t="str">
        <x:v>301Ro00000ovoMjIAI</x:v>
      </x:c>
      <x:c r="D320" s="118" t="n">
        <x:v>1</x:v>
      </x:c>
      <x:c r="E320" s="117" t="str">
        <x:v>Active</x:v>
      </x:c>
      <x:c r="F320" s="117" t="str">
        <x:v>Yes</x:v>
      </x:c>
      <x:c r="G320" s="117" t="str">
        <x:v>Yes</x:v>
      </x:c>
      <x:c r="H320" s="117" t="str">
        <x:v>AutoLaunchedFlow</x:v>
      </x:c>
      <x:c r="I320" s="118" t="n">
        <x:v>64</x:v>
      </x:c>
      <x:c r="J320" s="117" t="str">
        <x:v>unmanaged</x:v>
      </x:c>
      <x:c r="K320" s="123" t="b">
        <x:v>0</x:v>
      </x:c>
      <x:c r="L320" s="117"/>
      <x:c r="M320" s="118"/>
      <x:c r="N320" s="120" t="n">
        <x:v>45937.49596064815</x:v>
      </x:c>
      <x:c r="O320" s="117" t="str">
        <x:v>Michelle Steadman</x:v>
      </x:c>
      <x:c r="P320" s="120" t="n">
        <x:v>45937.49623842593</x:v>
      </x:c>
      <x:c r="Q320" s="117" t="str">
        <x:v>Michelle Steadman</x:v>
      </x:c>
      <x:c r="R320" s="117" t="str">
        <x:v>Calibration due soon - 30 days_3</x:v>
      </x:c>
      <x:c r="S320" s="119" t="str">
        <x:v>Migrated from the: Calibration due soon - 30 days workflow rule
Workflow rule description: "</x:v>
      </x:c>
    </x:row>
    <x:row r="321" ht="30" customHeight="1">
      <x:c r="A321" s="117" t="str">
        <x:v>Cardio_Labs_Checklist</x:v>
      </x:c>
      <x:c r="B321" s="117" t="str">
        <x:v>300Ro00000Pz0khIAB</x:v>
      </x:c>
      <x:c r="C321" s="117" t="str">
        <x:v>301Ro00000Sd0UhIAJ</x:v>
      </x:c>
      <x:c r="D321" s="118" t="n">
        <x:v>1</x:v>
      </x:c>
      <x:c r="E321" s="117" t="str">
        <x:v>Obsolete</x:v>
      </x:c>
      <x:c r="F321" s="117" t="str">
        <x:v>No</x:v>
      </x:c>
      <x:c r="G321" s="117" t="str">
        <x:v>No</x:v>
      </x:c>
      <x:c r="H321" s="117" t="str">
        <x:v>FieldServiceMobile</x:v>
      </x:c>
      <x:c r="I321" s="118"/>
      <x:c r="J321" s="117" t="str">
        <x:v>unmanaged</x:v>
      </x:c>
      <x:c r="K321" s="123" t="b">
        <x:v>0</x:v>
      </x:c>
      <x:c r="L321" s="117"/>
      <x:c r="M321" s="118"/>
      <x:c r="N321" s="120" t="n">
        <x:v>45680.21576388889</x:v>
      </x:c>
      <x:c r="O321" s="117" t="str">
        <x:v>Delegate</x:v>
      </x:c>
      <x:c r="P321" s="120" t="n">
        <x:v>45680.21581018518</x:v>
      </x:c>
      <x:c r="Q321" s="117" t="str">
        <x:v>Delegate</x:v>
      </x:c>
      <x:c r="R321" s="117" t="str">
        <x:v>Cardio Labs Checklist</x:v>
      </x:c>
      <x:c r="S321" s="119" t="str">
        <x:v>checklistoutput syntax</x:v>
      </x:c>
    </x:row>
    <x:row r="322" ht="30" customHeight="1">
      <x:c r="A322" s="117" t="str">
        <x:v>Cardio_Labs_Checklist</x:v>
      </x:c>
      <x:c r="B322" s="117" t="str">
        <x:v>300Ro00000Pz0khIAB</x:v>
      </x:c>
      <x:c r="C322" s="117" t="str">
        <x:v>301Ro00000SpOwGIAV</x:v>
      </x:c>
      <x:c r="D322" s="118" t="n">
        <x:v>2</x:v>
      </x:c>
      <x:c r="E322" s="117" t="str">
        <x:v>Obsolete</x:v>
      </x:c>
      <x:c r="F322" s="117" t="str">
        <x:v>No</x:v>
      </x:c>
      <x:c r="G322" s="117" t="str">
        <x:v>No</x:v>
      </x:c>
      <x:c r="H322" s="117" t="str">
        <x:v>FieldServiceMobile</x:v>
      </x:c>
      <x:c r="I322" s="118"/>
      <x:c r="J322" s="117" t="str">
        <x:v>unmanaged</x:v>
      </x:c>
      <x:c r="K322" s="123" t="b">
        <x:v>0</x:v>
      </x:c>
      <x:c r="L322" s="117"/>
      <x:c r="M322" s="118"/>
      <x:c r="N322" s="120" t="n">
        <x:v>45684.13568287037</x:v>
      </x:c>
      <x:c r="O322" s="117" t="str">
        <x:v>Delegate</x:v>
      </x:c>
      <x:c r="P322" s="120" t="n">
        <x:v>45684.13569444444</x:v>
      </x:c>
      <x:c r="Q322" s="117" t="str">
        <x:v>Delegate</x:v>
      </x:c>
      <x:c r="R322" s="117" t="str">
        <x:v>Cardio Labs Checklist</x:v>
      </x:c>
      <x:c r="S322" s="119" t="str">
        <x:v>01/26/2025 (BW) - Version to be used for testing</x:v>
      </x:c>
    </x:row>
    <x:row r="323" ht="30" customHeight="1">
      <x:c r="A323" s="117" t="str">
        <x:v>Cardio_Labs_Checklist</x:v>
      </x:c>
      <x:c r="B323" s="117" t="str">
        <x:v>300Ro00000Pz0khIAB</x:v>
      </x:c>
      <x:c r="C323" s="117" t="str">
        <x:v>301Ro00000SzRpZIAV</x:v>
      </x:c>
      <x:c r="D323" s="118" t="n">
        <x:v>3</x:v>
      </x:c>
      <x:c r="E323" s="117" t="str">
        <x:v>Obsolete</x:v>
      </x:c>
      <x:c r="F323" s="117" t="str">
        <x:v>No</x:v>
      </x:c>
      <x:c r="G323" s="117" t="str">
        <x:v>No</x:v>
      </x:c>
      <x:c r="H323" s="117" t="str">
        <x:v>FieldServiceMobile</x:v>
      </x:c>
      <x:c r="I323" s="118"/>
      <x:c r="J323" s="117" t="str">
        <x:v>unmanaged</x:v>
      </x:c>
      <x:c r="K323" s="123" t="b">
        <x:v>0</x:v>
      </x:c>
      <x:c r="L323" s="117"/>
      <x:c r="M323" s="118"/>
      <x:c r="N323" s="120" t="n">
        <x:v>45686.50927083333</x:v>
      </x:c>
      <x:c r="O323" s="117" t="str">
        <x:v>Delegate</x:v>
      </x:c>
      <x:c r="P323" s="120" t="n">
        <x:v>45686.509467592594</x:v>
      </x:c>
      <x:c r="Q323" s="117" t="str">
        <x:v>Delegate</x:v>
      </x:c>
      <x:c r="R323" s="117" t="str">
        <x:v>Cardio Labs Checklist</x:v>
      </x:c>
      <x:c r="S323" s="119" t="str">
        <x:v>01/29/2025 (BW) - Updated required fields</x:v>
      </x:c>
    </x:row>
    <x:row r="324" ht="30" customHeight="1">
      <x:c r="A324" s="117" t="str">
        <x:v>Cardio_Labs_Checklist</x:v>
      </x:c>
      <x:c r="B324" s="117" t="str">
        <x:v>300Ro00000Pz0khIAB</x:v>
      </x:c>
      <x:c r="C324" s="117" t="str">
        <x:v>301Ro00000VuGmfIAF</x:v>
      </x:c>
      <x:c r="D324" s="118" t="n">
        <x:v>4</x:v>
      </x:c>
      <x:c r="E324" s="117" t="str">
        <x:v>Obsolete</x:v>
      </x:c>
      <x:c r="F324" s="117" t="str">
        <x:v>No</x:v>
      </x:c>
      <x:c r="G324" s="117" t="str">
        <x:v>No</x:v>
      </x:c>
      <x:c r="H324" s="117" t="str">
        <x:v>FieldServiceMobile</x:v>
      </x:c>
      <x:c r="I324" s="118"/>
      <x:c r="J324" s="117" t="str">
        <x:v>unmanaged</x:v>
      </x:c>
      <x:c r="K324" s="123" t="b">
        <x:v>0</x:v>
      </x:c>
      <x:c r="L324" s="117"/>
      <x:c r="M324" s="118"/>
      <x:c r="N324" s="120" t="n">
        <x:v>45735.50681712963</x:v>
      </x:c>
      <x:c r="O324" s="117" t="str">
        <x:v>Delegate</x:v>
      </x:c>
      <x:c r="P324" s="120" t="n">
        <x:v>45735.50690972222</x:v>
      </x:c>
      <x:c r="Q324" s="117" t="str">
        <x:v>Delegate</x:v>
      </x:c>
      <x:c r="R324" s="117" t="str">
        <x:v>Cardio Labs Checklist</x:v>
      </x:c>
      <x:c r="S324" s="119" t="str">
        <x:v>03/19/2025 (BW) - Updated AEC Back-Up to AEC Cut Off</x:v>
      </x:c>
    </x:row>
    <x:row r="325" ht="30" customHeight="1">
      <x:c r="A325" s="117" t="str">
        <x:v>Cardio_Labs_Checklist</x:v>
      </x:c>
      <x:c r="B325" s="117" t="str">
        <x:v>300Ro00000Pz0khIAB</x:v>
      </x:c>
      <x:c r="C325" s="117" t="str">
        <x:v>301Ro00000WxEZFIA3</x:v>
      </x:c>
      <x:c r="D325" s="118" t="n">
        <x:v>5</x:v>
      </x:c>
      <x:c r="E325" s="117" t="str">
        <x:v>Draft</x:v>
      </x:c>
      <x:c r="F325" s="117" t="str">
        <x:v>No</x:v>
      </x:c>
      <x:c r="G325" s="117" t="str">
        <x:v>No</x:v>
      </x:c>
      <x:c r="H325" s="117" t="str">
        <x:v>FieldServiceMobile</x:v>
      </x:c>
      <x:c r="I325" s="118"/>
      <x:c r="J325" s="117" t="str">
        <x:v>unmanaged</x:v>
      </x:c>
      <x:c r="K325" s="123" t="b">
        <x:v>0</x:v>
      </x:c>
      <x:c r="L325" s="117"/>
      <x:c r="M325" s="118"/>
      <x:c r="N325" s="120" t="n">
        <x:v>45754.48159722222</x:v>
      </x:c>
      <x:c r="O325" s="117" t="str">
        <x:v>Delegate</x:v>
      </x:c>
      <x:c r="P325" s="120" t="n">
        <x:v>45754.48165509259</x:v>
      </x:c>
      <x:c r="Q325" s="117" t="str">
        <x:v>Delegate</x:v>
      </x:c>
      <x:c r="R325" s="117" t="str">
        <x:v>Cardio Labs Checklist (RETIRED)</x:v>
      </x:c>
      <x:c r="S325" s="119" t="str">
        <x:v>04/07/2025 (BW) - Retired because we noticed that this checksheet is the same as Static Fluoro</x:v>
      </x:c>
    </x:row>
    <x:row r="326" ht="30" customHeight="1">
      <x:c r="A326" s="117" t="str">
        <x:v>Cardio_Labs_Checklist</x:v>
      </x:c>
      <x:c r="B326" s="117" t="str">
        <x:v>300Ro00000Pz0khIAB</x:v>
      </x:c>
      <x:c r="C326" s="117" t="str">
        <x:v>301Ro00000vuoO2IAI</x:v>
      </x:c>
      <x:c r="D326" s="118" t="n">
        <x:v>6</x:v>
      </x:c>
      <x:c r="E326" s="117" t="str">
        <x:v>Obsolete</x:v>
      </x:c>
      <x:c r="F326" s="117" t="str">
        <x:v>No</x:v>
      </x:c>
      <x:c r="G326" s="117" t="str">
        <x:v>No</x:v>
      </x:c>
      <x:c r="H326" s="117" t="str">
        <x:v>FieldServiceMobile</x:v>
      </x:c>
      <x:c r="I326" s="118"/>
      <x:c r="J326" s="117" t="str">
        <x:v>unmanaged</x:v>
      </x:c>
      <x:c r="K326" s="123" t="b">
        <x:v>0</x:v>
      </x:c>
      <x:c r="L326" s="117"/>
      <x:c r="M326" s="118"/>
      <x:c r="N326" s="120" t="n">
        <x:v>46039.90045138889</x:v>
      </x:c>
      <x:c r="O326" s="117" t="str">
        <x:v>Sacha Pearce</x:v>
      </x:c>
      <x:c r="P326" s="120" t="n">
        <x:v>46040.47571759259</x:v>
      </x:c>
      <x:c r="Q326" s="117" t="str">
        <x:v>Sacha Pearce</x:v>
      </x:c>
      <x:c r="R326" s="117" t="str">
        <x:v>Cardio Labs Checklist</x:v>
      </x:c>
      <x:c r="S326" s="119" t="str">
        <x:v>03/19/2025 (BW) - Updated AEC Back-Up to AEC Cut Off
01/15/2026 - V5 - SP - Updating Flow to run with new FSL PPM configuration</x:v>
      </x:c>
    </x:row>
    <x:row r="327" ht="30" customHeight="1">
      <x:c r="A327" s="117" t="str">
        <x:v>Cardio_Labs_Checklist</x:v>
      </x:c>
      <x:c r="B327" s="117" t="str">
        <x:v>300Ro00000Pz0khIAB</x:v>
      </x:c>
      <x:c r="C327" s="117" t="str">
        <x:v>301Ro00000wPGJWIA4</x:v>
      </x:c>
      <x:c r="D327" s="118" t="n">
        <x:v>7</x:v>
      </x:c>
      <x:c r="E327" s="117" t="str">
        <x:v>Obsolete</x:v>
      </x:c>
      <x:c r="F327" s="117" t="str">
        <x:v>No</x:v>
      </x:c>
      <x:c r="G327" s="117" t="str">
        <x:v>No</x:v>
      </x:c>
      <x:c r="H327" s="117" t="str">
        <x:v>FieldServiceMobile</x:v>
      </x:c>
      <x:c r="I327" s="118"/>
      <x:c r="J327" s="117" t="str">
        <x:v>unmanaged</x:v>
      </x:c>
      <x:c r="K327" s="123" t="b">
        <x:v>0</x:v>
      </x:c>
      <x:c r="L327" s="117"/>
      <x:c r="M327" s="118"/>
      <x:c r="N327" s="120" t="n">
        <x:v>46045.58</x:v>
      </x:c>
      <x:c r="O327" s="117" t="str">
        <x:v>Sacha Pearce</x:v>
      </x:c>
      <x:c r="P327" s="120" t="n">
        <x:v>46045.58011574074</x:v>
      </x:c>
      <x:c r="Q327" s="117" t="str">
        <x:v>Sacha Pearce</x:v>
      </x:c>
      <x:c r="R327" s="117" t="str">
        <x:v>Cardio Labs Checklist</x:v>
      </x:c>
      <x:c r="S327" s="119" t="str">
        <x:v>03/19/2025 (BW) - Updated AEC Back-Up to AEC Cut Off
01/15/2026 - V5 - SP - Updating Flow to run with new FSL PPM configuration
01/23/2026 - V7 - SP - Introducing the "Cardio Labs Complete Screen"</x:v>
      </x:c>
    </x:row>
    <x:row r="328" ht="30" customHeight="1">
      <x:c r="A328" s="117" t="str">
        <x:v>Cardio_Labs_Checklist</x:v>
      </x:c>
      <x:c r="B328" s="117" t="str">
        <x:v>300Ro00000Pz0khIAB</x:v>
      </x:c>
      <x:c r="C328" s="117" t="str">
        <x:v>301Ro00000yhLgLIAU</x:v>
      </x:c>
      <x:c r="D328" s="118" t="n">
        <x:v>8</x:v>
      </x:c>
      <x:c r="E328" s="117" t="str">
        <x:v>Active</x:v>
      </x:c>
      <x:c r="F328" s="117" t="str">
        <x:v>Yes</x:v>
      </x:c>
      <x:c r="G328" s="117" t="str">
        <x:v>Yes</x:v>
      </x:c>
      <x:c r="H328" s="117" t="str">
        <x:v>FieldServiceMobile</x:v>
      </x:c>
      <x:c r="I328" s="118"/>
      <x:c r="J328" s="117" t="str">
        <x:v>unmanaged</x:v>
      </x:c>
      <x:c r="K328" s="123" t="b">
        <x:v>0</x:v>
      </x:c>
      <x:c r="L328" s="117"/>
      <x:c r="M328" s="118"/>
      <x:c r="N328" s="120" t="n">
        <x:v>46072.46665509259</x:v>
      </x:c>
      <x:c r="O328" s="117" t="str">
        <x:v>Sacha Pearce</x:v>
      </x:c>
      <x:c r="P328" s="120" t="n">
        <x:v>46072.46675925926</x:v>
      </x:c>
      <x:c r="Q328" s="117" t="str">
        <x:v>Sacha Pearce</x:v>
      </x:c>
      <x:c r="R328" s="117" t="str">
        <x:v>Cardio Labs Checklist</x:v>
      </x:c>
      <x:c r="S328" s="119" t="str">
        <x:v>03/19/2025 (BW) - Updated AEC Back-Up to AEC Cut Off
01/15/2026 - V5 - SP - Updating Flow to run with new FSL PPM configuration
01/23/2026 - V7 - SP - Introducing the "Cardio Labs Complete Screen"</x:v>
      </x:c>
    </x:row>
    <x:row r="329" ht="30" customHeight="1">
      <x:c r="A329" s="117" t="str">
        <x:v>Case_Creation_Created_by_Entity_and_Initial_Assignment_Record_Triggered_Flow</x:v>
      </x:c>
      <x:c r="B329" s="117" t="str">
        <x:v>300Ro00000tqEwyIAE</x:v>
      </x:c>
      <x:c r="C329" s="117" t="str">
        <x:v>301Ro000011hJ4mIAE</x:v>
      </x:c>
      <x:c r="D329" s="118" t="n">
        <x:v>1</x:v>
      </x:c>
      <x:c r="E329" s="117" t="str">
        <x:v>Obsolete</x:v>
      </x:c>
      <x:c r="F329" s="117" t="str">
        <x:v>No</x:v>
      </x:c>
      <x:c r="G329" s="117" t="str">
        <x:v>No</x:v>
      </x:c>
      <x:c r="H329" s="117" t="str">
        <x:v>AutoLaunchedFlow</x:v>
      </x:c>
      <x:c r="I329" s="118" t="n">
        <x:v>66</x:v>
      </x:c>
      <x:c r="J329" s="117" t="str">
        <x:v>unmanaged</x:v>
      </x:c>
      <x:c r="K329" s="123" t="b">
        <x:v>0</x:v>
      </x:c>
      <x:c r="L329" s="117"/>
      <x:c r="M329" s="118"/>
      <x:c r="N329" s="120" t="n">
        <x:v>46108.75747685185</x:v>
      </x:c>
      <x:c r="O329" s="117" t="str">
        <x:v>Sacha Pearce</x:v>
      </x:c>
      <x:c r="P329" s="120" t="n">
        <x:v>46108.76579861111</x:v>
      </x:c>
      <x:c r="Q329" s="117" t="str">
        <x:v>Sacha Pearce</x:v>
      </x:c>
      <x:c r="R329" s="117" t="str">
        <x:v>Case - Creation - Created by Entity and Initial Assignment - Record-Triggered Flow</x:v>
      </x:c>
      <x:c r="S329" s="119" t="str">
        <x:v>This Flow sets the "Created by Entity" field on Case creation as well as automatically assigning UK and French Cases.</x:v>
      </x:c>
    </x:row>
    <x:row r="330" ht="30" customHeight="1">
      <x:c r="A330" s="117" t="str">
        <x:v>Case_Creation_Created_by_Entity_and_Initial_Assignment_Record_Triggered_Flow</x:v>
      </x:c>
      <x:c r="B330" s="117" t="str">
        <x:v>300Ro00000tqEwyIAE</x:v>
      </x:c>
      <x:c r="C330" s="117" t="str">
        <x:v>301Ro00001D1ZYSIA3</x:v>
      </x:c>
      <x:c r="D330" s="118" t="n">
        <x:v>2</x:v>
      </x:c>
      <x:c r="E330" s="117" t="str">
        <x:v>Active</x:v>
      </x:c>
      <x:c r="F330" s="117" t="str">
        <x:v>Yes</x:v>
      </x:c>
      <x:c r="G330" s="117" t="str">
        <x:v>Yes</x:v>
      </x:c>
      <x:c r="H330" s="117" t="str">
        <x:v>AutoLaunchedFlow</x:v>
      </x:c>
      <x:c r="I330" s="118" t="n">
        <x:v>66</x:v>
      </x:c>
      <x:c r="J330" s="117" t="str">
        <x:v>unmanaged</x:v>
      </x:c>
      <x:c r="K330" s="123" t="b">
        <x:v>0</x:v>
      </x:c>
      <x:c r="L330" s="117"/>
      <x:c r="M330" s="118"/>
      <x:c r="N330" s="120" t="n">
        <x:v>46237.60880787037</x:v>
      </x:c>
      <x:c r="O330" s="117" t="str">
        <x:v>Sacha Pearce</x:v>
      </x:c>
      <x:c r="P330" s="120" t="n">
        <x:v>46237.60888888889</x:v>
      </x:c>
      <x:c r="Q330" s="117" t="str">
        <x:v>Sacha Pearce</x:v>
      </x:c>
      <x:c r="R330" s="117" t="str">
        <x:v>Case - Creation - Created by Entity and Initial Assignment - Record-Triggered Flow</x:v>
      </x:c>
      <x:c r="S330" s="119" t="str">
        <x:v>03/08/2026 - SP - Adding the ID of "0125b000000LWo1AAG" (Salesforce Case) into the Flow's entry conditions to prevent this running on Teams Cases.</x:v>
      </x:c>
    </x:row>
    <x:row r="331" ht="30" customHeight="1">
      <x:c r="A331" s="117" t="str">
        <x:v>Case_Online_Repair_Evaluation_Tool</x:v>
      </x:c>
      <x:c r="B331" s="117" t="str">
        <x:v>3005b000000H3sLAAS</x:v>
      </x:c>
      <x:c r="C331" s="117" t="str">
        <x:v>3015b000000EK1fAAG</x:v>
      </x:c>
      <x:c r="D331" s="118" t="n">
        <x:v>1</x:v>
      </x:c>
      <x:c r="E331" s="117" t="str">
        <x:v>Obsolete</x:v>
      </x:c>
      <x:c r="F331" s="117" t="str">
        <x:v>No</x:v>
      </x:c>
      <x:c r="G331" s="117" t="str">
        <x:v>No</x:v>
      </x:c>
      <x:c r="H331" s="117" t="str">
        <x:v>AutoLaunchedFlow</x:v>
      </x:c>
      <x:c r="I331" s="118" t="n">
        <x:v>54</x:v>
      </x:c>
      <x:c r="J331" s="117" t="str">
        <x:v>unmanaged</x:v>
      </x:c>
      <x:c r="K331" s="123" t="b">
        <x:v>0</x:v>
      </x:c>
      <x:c r="L331" s="117"/>
      <x:c r="M331" s="118"/>
      <x:c r="N331" s="120" t="n">
        <x:v>44713.20452546296</x:v>
      </x:c>
      <x:c r="O331" s="117" t="str">
        <x:v>Natalie Boger</x:v>
      </x:c>
      <x:c r="P331" s="120" t="n">
        <x:v>44713.20458333333</x:v>
      </x:c>
      <x:c r="Q331" s="117" t="str">
        <x:v>Natalie Boger</x:v>
      </x:c>
      <x:c r="R331" s="117" t="str">
        <x:v>Case - Online Repair Evaluation Tool</x:v>
      </x:c>
      <x:c r="S331" s="119"/>
    </x:row>
    <x:row r="332" ht="30" customHeight="1">
      <x:c r="A332" s="117" t="str">
        <x:v>Case_Online_Repair_Evaluation_Tool</x:v>
      </x:c>
      <x:c r="B332" s="117" t="str">
        <x:v>3005b000000H3sLAAS</x:v>
      </x:c>
      <x:c r="C332" s="117" t="str">
        <x:v>3015b000000EKegAAG</x:v>
      </x:c>
      <x:c r="D332" s="118" t="n">
        <x:v>2</x:v>
      </x:c>
      <x:c r="E332" s="117" t="str">
        <x:v>Obsolete</x:v>
      </x:c>
      <x:c r="F332" s="117" t="str">
        <x:v>No</x:v>
      </x:c>
      <x:c r="G332" s="117" t="str">
        <x:v>No</x:v>
      </x:c>
      <x:c r="H332" s="117" t="str">
        <x:v>AutoLaunchedFlow</x:v>
      </x:c>
      <x:c r="I332" s="118" t="n">
        <x:v>54</x:v>
      </x:c>
      <x:c r="J332" s="117" t="str">
        <x:v>unmanaged</x:v>
      </x:c>
      <x:c r="K332" s="123" t="b">
        <x:v>0</x:v>
      </x:c>
      <x:c r="L332" s="117"/>
      <x:c r="M332" s="118"/>
      <x:c r="N332" s="120" t="n">
        <x:v>44743.837685185186</x:v>
      </x:c>
      <x:c r="O332" s="117" t="str">
        <x:v>Natalie Boger</x:v>
      </x:c>
      <x:c r="P332" s="120" t="n">
        <x:v>44743.83775462963</x:v>
      </x:c>
      <x:c r="Q332" s="117" t="str">
        <x:v>Natalie Boger</x:v>
      </x:c>
      <x:c r="R332" s="117" t="str">
        <x:v>Case - Online Repair Evaluation Tool</x:v>
      </x:c>
      <x:c r="S332" s="119" t="str">
        <x:v>Added condition for repair eval quote field not equal to null</x:v>
      </x:c>
    </x:row>
    <x:row r="333" ht="30" customHeight="1">
      <x:c r="A333" s="117" t="str">
        <x:v>Case_Online_Repair_Evaluation_Tool</x:v>
      </x:c>
      <x:c r="B333" s="117" t="str">
        <x:v>3005b000000H3sLAAS</x:v>
      </x:c>
      <x:c r="C333" s="117" t="str">
        <x:v>3015b000000EKfeAAG</x:v>
      </x:c>
      <x:c r="D333" s="118" t="n">
        <x:v>3</x:v>
      </x:c>
      <x:c r="E333" s="117" t="str">
        <x:v>Obsolete</x:v>
      </x:c>
      <x:c r="F333" s="117" t="str">
        <x:v>No</x:v>
      </x:c>
      <x:c r="G333" s="117" t="str">
        <x:v>No</x:v>
      </x:c>
      <x:c r="H333" s="117" t="str">
        <x:v>AutoLaunchedFlow</x:v>
      </x:c>
      <x:c r="I333" s="118" t="n">
        <x:v>54</x:v>
      </x:c>
      <x:c r="J333" s="117" t="str">
        <x:v>unmanaged</x:v>
      </x:c>
      <x:c r="K333" s="123" t="b">
        <x:v>0</x:v>
      </x:c>
      <x:c r="L333" s="117"/>
      <x:c r="M333" s="118"/>
      <x:c r="N333" s="120" t="n">
        <x:v>44748.7422337963</x:v>
      </x:c>
      <x:c r="O333" s="117" t="str">
        <x:v>Natalie Boger</x:v>
      </x:c>
      <x:c r="P333" s="120" t="n">
        <x:v>44748.7733912037</x:v>
      </x:c>
      <x:c r="Q333" s="117" t="str">
        <x:v>Natalie Boger</x:v>
      </x:c>
      <x:c r="R333" s="117" t="str">
        <x:v>Case - Online Repair Evaluation Tool</x:v>
      </x:c>
      <x:c r="S333" s="119" t="str">
        <x:v>Added condition for repair eval quote field not equal to null</x:v>
      </x:c>
    </x:row>
    <x:row r="334" ht="30" customHeight="1">
      <x:c r="A334" s="117" t="str">
        <x:v>Case_Online_Repair_Evaluation_Tool</x:v>
      </x:c>
      <x:c r="B334" s="117" t="str">
        <x:v>3005b000000H3sLAAS</x:v>
      </x:c>
      <x:c r="C334" s="117" t="str">
        <x:v>3015b000000EKfyAAG</x:v>
      </x:c>
      <x:c r="D334" s="118" t="n">
        <x:v>4</x:v>
      </x:c>
      <x:c r="E334" s="117" t="str">
        <x:v>Obsolete</x:v>
      </x:c>
      <x:c r="F334" s="117" t="str">
        <x:v>No</x:v>
      </x:c>
      <x:c r="G334" s="117" t="str">
        <x:v>No</x:v>
      </x:c>
      <x:c r="H334" s="117" t="str">
        <x:v>AutoLaunchedFlow</x:v>
      </x:c>
      <x:c r="I334" s="118" t="n">
        <x:v>54</x:v>
      </x:c>
      <x:c r="J334" s="117" t="str">
        <x:v>unmanaged</x:v>
      </x:c>
      <x:c r="K334" s="123" t="b">
        <x:v>0</x:v>
      </x:c>
      <x:c r="L334" s="117"/>
      <x:c r="M334" s="118"/>
      <x:c r="N334" s="120" t="n">
        <x:v>44748.79344907407</x:v>
      </x:c>
      <x:c r="O334" s="117" t="str">
        <x:v>Natalie Boger</x:v>
      </x:c>
      <x:c r="P334" s="120" t="n">
        <x:v>44748.7934837963</x:v>
      </x:c>
      <x:c r="Q334" s="117" t="str">
        <x:v>Natalie Boger</x:v>
      </x:c>
      <x:c r="R334" s="117" t="str">
        <x:v>Case - Online Repair Evaluation Tool</x:v>
      </x:c>
      <x:c r="S334" s="119" t="str">
        <x:v>Added condition for repair eval quote field not equal to null</x:v>
      </x:c>
    </x:row>
    <x:row r="335" ht="30" customHeight="1">
      <x:c r="A335" s="117" t="str">
        <x:v>Case_Online_Repair_Evaluation_Tool</x:v>
      </x:c>
      <x:c r="B335" s="117" t="str">
        <x:v>3005b000000H3sLAAS</x:v>
      </x:c>
      <x:c r="C335" s="117" t="str">
        <x:v>3015b000000EKg3AAG</x:v>
      </x:c>
      <x:c r="D335" s="118" t="n">
        <x:v>5</x:v>
      </x:c>
      <x:c r="E335" s="117" t="str">
        <x:v>Obsolete</x:v>
      </x:c>
      <x:c r="F335" s="117" t="str">
        <x:v>No</x:v>
      </x:c>
      <x:c r="G335" s="117" t="str">
        <x:v>No</x:v>
      </x:c>
      <x:c r="H335" s="117" t="str">
        <x:v>AutoLaunchedFlow</x:v>
      </x:c>
      <x:c r="I335" s="118" t="n">
        <x:v>54</x:v>
      </x:c>
      <x:c r="J335" s="117" t="str">
        <x:v>unmanaged</x:v>
      </x:c>
      <x:c r="K335" s="123" t="b">
        <x:v>0</x:v>
      </x:c>
      <x:c r="L335" s="117"/>
      <x:c r="M335" s="118"/>
      <x:c r="N335" s="120" t="n">
        <x:v>44748.79388888889</x:v>
      </x:c>
      <x:c r="O335" s="117" t="str">
        <x:v>Natalie Boger</x:v>
      </x:c>
      <x:c r="P335" s="120" t="n">
        <x:v>44748.793912037036</x:v>
      </x:c>
      <x:c r="Q335" s="117" t="str">
        <x:v>Natalie Boger</x:v>
      </x:c>
      <x:c r="R335" s="117" t="str">
        <x:v>Case - Online Repair Evaluation Tool</x:v>
      </x:c>
      <x:c r="S335" s="119" t="str">
        <x:v>Added condition for repair eval quote field not equal to null</x:v>
      </x:c>
    </x:row>
    <x:row r="336" ht="30" customHeight="1">
      <x:c r="A336" s="117" t="str">
        <x:v>Case_Online_Repair_Evaluation_Tool</x:v>
      </x:c>
      <x:c r="B336" s="117" t="str">
        <x:v>3005b000000H3sLAAS</x:v>
      </x:c>
      <x:c r="C336" s="117" t="str">
        <x:v>3015b000000EKgmAAG</x:v>
      </x:c>
      <x:c r="D336" s="118" t="n">
        <x:v>6</x:v>
      </x:c>
      <x:c r="E336" s="117" t="str">
        <x:v>Obsolete</x:v>
      </x:c>
      <x:c r="F336" s="117" t="str">
        <x:v>No</x:v>
      </x:c>
      <x:c r="G336" s="117" t="str">
        <x:v>No</x:v>
      </x:c>
      <x:c r="H336" s="117" t="str">
        <x:v>AutoLaunchedFlow</x:v>
      </x:c>
      <x:c r="I336" s="118" t="n">
        <x:v>54</x:v>
      </x:c>
      <x:c r="J336" s="117" t="str">
        <x:v>unmanaged</x:v>
      </x:c>
      <x:c r="K336" s="123" t="b">
        <x:v>0</x:v>
      </x:c>
      <x:c r="L336" s="117"/>
      <x:c r="M336" s="118"/>
      <x:c r="N336" s="120" t="n">
        <x:v>44748.85327546296</x:v>
      </x:c>
      <x:c r="O336" s="117" t="str">
        <x:v>Natalie Boger</x:v>
      </x:c>
      <x:c r="P336" s="120" t="n">
        <x:v>44748.85333333333</x:v>
      </x:c>
      <x:c r="Q336" s="117" t="str">
        <x:v>Natalie Boger</x:v>
      </x:c>
      <x:c r="R336" s="117" t="str">
        <x:v>Case - Online Repair Evaluation Tool</x:v>
      </x:c>
      <x:c r="S336" s="119" t="str">
        <x:v>Added condition for repair eval quote field not equal to null</x:v>
      </x:c>
    </x:row>
    <x:row r="337" ht="30" customHeight="1">
      <x:c r="A337" s="117" t="str">
        <x:v>Case_Online_Repair_Evaluation_Tool</x:v>
      </x:c>
      <x:c r="B337" s="117" t="str">
        <x:v>3005b000000H3sLAAS</x:v>
      </x:c>
      <x:c r="C337" s="117" t="str">
        <x:v>3015b000000EKueAAG</x:v>
      </x:c>
      <x:c r="D337" s="118" t="n">
        <x:v>7</x:v>
      </x:c>
      <x:c r="E337" s="117" t="str">
        <x:v>Obsolete</x:v>
      </x:c>
      <x:c r="F337" s="117" t="str">
        <x:v>No</x:v>
      </x:c>
      <x:c r="G337" s="117" t="str">
        <x:v>No</x:v>
      </x:c>
      <x:c r="H337" s="117" t="str">
        <x:v>AutoLaunchedFlow</x:v>
      </x:c>
      <x:c r="I337" s="118" t="n">
        <x:v>54</x:v>
      </x:c>
      <x:c r="J337" s="117" t="str">
        <x:v>unmanaged</x:v>
      </x:c>
      <x:c r="K337" s="123" t="b">
        <x:v>0</x:v>
      </x:c>
      <x:c r="L337" s="117"/>
      <x:c r="M337" s="118"/>
      <x:c r="N337" s="120" t="n">
        <x:v>44755.76574074074</x:v>
      </x:c>
      <x:c r="O337" s="117" t="str">
        <x:v>Natalie Boger</x:v>
      </x:c>
      <x:c r="P337" s="120" t="n">
        <x:v>44755.76579861111</x:v>
      </x:c>
      <x:c r="Q337" s="117" t="str">
        <x:v>Natalie Boger</x:v>
      </x:c>
      <x:c r="R337" s="117" t="str">
        <x:v>Case - Online Repair Evaluation Tool</x:v>
      </x:c>
      <x:c r="S337" s="119" t="str">
        <x:v>Added condition for repair eval quote field not equal to null</x:v>
      </x:c>
    </x:row>
    <x:row r="338" ht="30" customHeight="1">
      <x:c r="A338" s="117" t="str">
        <x:v>Case_Online_Repair_Evaluation_Tool</x:v>
      </x:c>
      <x:c r="B338" s="117" t="str">
        <x:v>3005b000000H3sLAAS</x:v>
      </x:c>
      <x:c r="C338" s="117" t="str">
        <x:v>3015b000000A6VGAA0</x:v>
      </x:c>
      <x:c r="D338" s="118" t="n">
        <x:v>8</x:v>
      </x:c>
      <x:c r="E338" s="117" t="str">
        <x:v>Obsolete</x:v>
      </x:c>
      <x:c r="F338" s="117" t="str">
        <x:v>No</x:v>
      </x:c>
      <x:c r="G338" s="117" t="str">
        <x:v>No</x:v>
      </x:c>
      <x:c r="H338" s="117" t="str">
        <x:v>AutoLaunchedFlow</x:v>
      </x:c>
      <x:c r="I338" s="118" t="n">
        <x:v>54</x:v>
      </x:c>
      <x:c r="J338" s="117" t="str">
        <x:v>unmanaged</x:v>
      </x:c>
      <x:c r="K338" s="123" t="b">
        <x:v>0</x:v>
      </x:c>
      <x:c r="L338" s="117"/>
      <x:c r="M338" s="118"/>
      <x:c r="N338" s="120" t="n">
        <x:v>44833.539675925924</x:v>
      </x:c>
      <x:c r="O338" s="117" t="str">
        <x:v>Natalie Boger</x:v>
      </x:c>
      <x:c r="P338" s="120" t="n">
        <x:v>44855.10530092593</x:v>
      </x:c>
      <x:c r="Q338" s="117" t="str">
        <x:v>Natalie Boger</x:v>
      </x:c>
      <x:c r="R338" s="117" t="str">
        <x:v>Case - Online Repair Evaluation Tool</x:v>
      </x:c>
      <x:c r="S338" s="119" t="str">
        <x:v>Added UK option</x:v>
      </x:c>
    </x:row>
    <x:row r="339" ht="30" customHeight="1">
      <x:c r="A339" s="117" t="str">
        <x:v>Case_Online_Repair_Evaluation_Tool</x:v>
      </x:c>
      <x:c r="B339" s="117" t="str">
        <x:v>3005b000000H3sLAAS</x:v>
      </x:c>
      <x:c r="C339" s="117" t="str">
        <x:v>3015b000000A9RRAA0</x:v>
      </x:c>
      <x:c r="D339" s="118" t="n">
        <x:v>9</x:v>
      </x:c>
      <x:c r="E339" s="117" t="str">
        <x:v>Obsolete</x:v>
      </x:c>
      <x:c r="F339" s="117" t="str">
        <x:v>No</x:v>
      </x:c>
      <x:c r="G339" s="117" t="str">
        <x:v>No</x:v>
      </x:c>
      <x:c r="H339" s="117" t="str">
        <x:v>AutoLaunchedFlow</x:v>
      </x:c>
      <x:c r="I339" s="118" t="n">
        <x:v>54</x:v>
      </x:c>
      <x:c r="J339" s="117" t="str">
        <x:v>unmanaged</x:v>
      </x:c>
      <x:c r="K339" s="123" t="b">
        <x:v>0</x:v>
      </x:c>
      <x:c r="L339" s="117"/>
      <x:c r="M339" s="118"/>
      <x:c r="N339" s="120" t="n">
        <x:v>44870.06854166667</x:v>
      </x:c>
      <x:c r="O339" s="117" t="str">
        <x:v>Natalie Boger</x:v>
      </x:c>
      <x:c r="P339" s="120" t="n">
        <x:v>44870.06859953704</x:v>
      </x:c>
      <x:c r="Q339" s="117" t="str">
        <x:v>Natalie Boger</x:v>
      </x:c>
      <x:c r="R339" s="117" t="str">
        <x:v>Case - Online Repair Evaluation Tool</x:v>
      </x:c>
      <x:c r="S339" s="119" t="str">
        <x:v>Added UK option</x:v>
      </x:c>
    </x:row>
    <x:row r="340" ht="30" customHeight="1">
      <x:c r="A340" s="117" t="str">
        <x:v>Case_Online_Repair_Evaluation_Tool</x:v>
      </x:c>
      <x:c r="B340" s="117" t="str">
        <x:v>3005b000000H3sLAAS</x:v>
      </x:c>
      <x:c r="C340" s="117" t="str">
        <x:v>301Ro00000EGL0PIAX</x:v>
      </x:c>
      <x:c r="D340" s="118" t="n">
        <x:v>10</x:v>
      </x:c>
      <x:c r="E340" s="117" t="str">
        <x:v>Obsolete</x:v>
      </x:c>
      <x:c r="F340" s="117" t="str">
        <x:v>No</x:v>
      </x:c>
      <x:c r="G340" s="117" t="str">
        <x:v>No</x:v>
      </x:c>
      <x:c r="H340" s="117" t="str">
        <x:v>AutoLaunchedFlow</x:v>
      </x:c>
      <x:c r="I340" s="118" t="n">
        <x:v>54</x:v>
      </x:c>
      <x:c r="J340" s="117" t="str">
        <x:v>unmanaged</x:v>
      </x:c>
      <x:c r="K340" s="123" t="b">
        <x:v>0</x:v>
      </x:c>
      <x:c r="L340" s="117"/>
      <x:c r="M340" s="118"/>
      <x:c r="N340" s="120" t="n">
        <x:v>45449.17539351852</x:v>
      </x:c>
      <x:c r="O340" s="117" t="str">
        <x:v>Natalie Boger</x:v>
      </x:c>
      <x:c r="P340" s="120" t="n">
        <x:v>45449.17594907407</x:v>
      </x:c>
      <x:c r="Q340" s="117" t="str">
        <x:v>Natalie Boger</x:v>
      </x:c>
      <x:c r="R340" s="117" t="str">
        <x:v>Case - Online Repair Evaluation Tool</x:v>
      </x:c>
      <x:c r="S340" s="119" t="str">
        <x:v>Added endoscopy option</x:v>
      </x:c>
    </x:row>
    <x:row r="341" ht="30" customHeight="1">
      <x:c r="A341" s="117" t="str">
        <x:v>Case_Online_Repair_Evaluation_Tool</x:v>
      </x:c>
      <x:c r="B341" s="117" t="str">
        <x:v>3005b000000H3sLAAS</x:v>
      </x:c>
      <x:c r="C341" s="117" t="str">
        <x:v>301Ro00000EGKFeIAP</x:v>
      </x:c>
      <x:c r="D341" s="118" t="n">
        <x:v>11</x:v>
      </x:c>
      <x:c r="E341" s="117" t="str">
        <x:v>Obsolete</x:v>
      </x:c>
      <x:c r="F341" s="117" t="str">
        <x:v>No</x:v>
      </x:c>
      <x:c r="G341" s="117" t="str">
        <x:v>No</x:v>
      </x:c>
      <x:c r="H341" s="117" t="str">
        <x:v>AutoLaunchedFlow</x:v>
      </x:c>
      <x:c r="I341" s="118" t="n">
        <x:v>54</x:v>
      </x:c>
      <x:c r="J341" s="117" t="str">
        <x:v>unmanaged</x:v>
      </x:c>
      <x:c r="K341" s="123" t="b">
        <x:v>0</x:v>
      </x:c>
      <x:c r="L341" s="117"/>
      <x:c r="M341" s="118"/>
      <x:c r="N341" s="120" t="n">
        <x:v>45449.196875</x:v>
      </x:c>
      <x:c r="O341" s="117" t="str">
        <x:v>Natalie Boger</x:v>
      </x:c>
      <x:c r="P341" s="120" t="n">
        <x:v>45449.197175925925</x:v>
      </x:c>
      <x:c r="Q341" s="117" t="str">
        <x:v>Natalie Boger</x:v>
      </x:c>
      <x:c r="R341" s="117" t="str">
        <x:v>Case - Online Repair Evaluation Tool</x:v>
      </x:c>
      <x:c r="S341" s="119" t="str">
        <x:v>Added endoscopy option</x:v>
      </x:c>
    </x:row>
    <x:row r="342" ht="30" customHeight="1">
      <x:c r="A342" s="117" t="str">
        <x:v>Case_Online_Repair_Evaluation_Tool</x:v>
      </x:c>
      <x:c r="B342" s="117" t="str">
        <x:v>3005b000000H3sLAAS</x:v>
      </x:c>
      <x:c r="C342" s="117" t="str">
        <x:v>301Ro00000FXAHmIAP</x:v>
      </x:c>
      <x:c r="D342" s="118" t="n">
        <x:v>12</x:v>
      </x:c>
      <x:c r="E342" s="117" t="str">
        <x:v>Obsolete</x:v>
      </x:c>
      <x:c r="F342" s="117" t="str">
        <x:v>No</x:v>
      </x:c>
      <x:c r="G342" s="117" t="str">
        <x:v>No</x:v>
      </x:c>
      <x:c r="H342" s="117" t="str">
        <x:v>AutoLaunchedFlow</x:v>
      </x:c>
      <x:c r="I342" s="118" t="n">
        <x:v>54</x:v>
      </x:c>
      <x:c r="J342" s="117" t="str">
        <x:v>unmanaged</x:v>
      </x:c>
      <x:c r="K342" s="123" t="b">
        <x:v>0</x:v>
      </x:c>
      <x:c r="L342" s="117"/>
      <x:c r="M342" s="118"/>
      <x:c r="N342" s="120" t="n">
        <x:v>45468.59847222222</x:v>
      </x:c>
      <x:c r="O342" s="117" t="str">
        <x:v>Natalie Boger</x:v>
      </x:c>
      <x:c r="P342" s="120" t="n">
        <x:v>45468.598587962966</x:v>
      </x:c>
      <x:c r="Q342" s="117" t="str">
        <x:v>Natalie Boger</x:v>
      </x:c>
      <x:c r="R342" s="117" t="str">
        <x:v>Case - Online Repair Evaluation Tool</x:v>
      </x:c>
      <x:c r="S342" s="119" t="str">
        <x:v>Added endoscopy option</x:v>
      </x:c>
    </x:row>
    <x:row r="343" ht="30" customHeight="1">
      <x:c r="A343" s="117" t="str">
        <x:v>Case_Online_Repair_Evaluation_Tool</x:v>
      </x:c>
      <x:c r="B343" s="117" t="str">
        <x:v>3005b000000H3sLAAS</x:v>
      </x:c>
      <x:c r="C343" s="117" t="str">
        <x:v>301Ro0000185TihIAE</x:v>
      </x:c>
      <x:c r="D343" s="118" t="n">
        <x:v>13</x:v>
      </x:c>
      <x:c r="E343" s="117" t="str">
        <x:v>Active</x:v>
      </x:c>
      <x:c r="F343" s="117" t="str">
        <x:v>Yes</x:v>
      </x:c>
      <x:c r="G343" s="117" t="str">
        <x:v>Yes</x:v>
      </x:c>
      <x:c r="H343" s="117" t="str">
        <x:v>AutoLaunchedFlow</x:v>
      </x:c>
      <x:c r="I343" s="118" t="n">
        <x:v>54</x:v>
      </x:c>
      <x:c r="J343" s="117" t="str">
        <x:v>unmanaged</x:v>
      </x:c>
      <x:c r="K343" s="123" t="b">
        <x:v>0</x:v>
      </x:c>
      <x:c r="L343" s="117"/>
      <x:c r="M343" s="118"/>
      <x:c r="N343" s="120" t="n">
        <x:v>46183.23050925926</x:v>
      </x:c>
      <x:c r="O343" s="117" t="str">
        <x:v>Natalie Boger</x:v>
      </x:c>
      <x:c r="P343" s="120" t="n">
        <x:v>46183.23061342593</x:v>
      </x:c>
      <x:c r="Q343" s="117" t="str">
        <x:v>Natalie Boger</x:v>
      </x:c>
      <x:c r="R343" s="117" t="str">
        <x:v>Case - Online Repair Evaluation Tool</x:v>
      </x:c>
      <x:c r="S343" s="119" t="str">
        <x:v>Fixed URL issue with Customer Form from site (related to FedEx shipping label). - NB 06.10.26</x:v>
      </x:c>
    </x:row>
    <x:row r="344" ht="30" customHeight="1">
      <x:c r="A344" s="117" t="str">
        <x:v>Case_PB</x:v>
      </x:c>
      <x:c r="B344" s="117" t="str">
        <x:v>3004O000000XhC6QAK</x:v>
      </x:c>
      <x:c r="C344" s="117" t="str">
        <x:v>3014O000000YBF8QAO</x:v>
      </x:c>
      <x:c r="D344" s="118" t="n">
        <x:v>1</x:v>
      </x:c>
      <x:c r="E344" s="117" t="str">
        <x:v>Obsolete</x:v>
      </x:c>
      <x:c r="F344" s="117" t="str">
        <x:v>No</x:v>
      </x:c>
      <x:c r="G344" s="117" t="str">
        <x:v>No</x:v>
      </x:c>
      <x:c r="H344" s="117" t="str">
        <x:v>Workflow</x:v>
      </x:c>
      <x:c r="I344" s="118" t="n">
        <x:v>51</x:v>
      </x:c>
      <x:c r="J344" s="117" t="str">
        <x:v>unmanaged</x:v>
      </x:c>
      <x:c r="K344" s="123" t="b">
        <x:v>0</x:v>
      </x:c>
      <x:c r="L344" s="117"/>
      <x:c r="M344" s="118"/>
      <x:c r="N344" s="120" t="n">
        <x:v>44328.640648148146</x:v>
      </x:c>
      <x:c r="O344" s="117" t="str">
        <x:v>Delegate</x:v>
      </x:c>
      <x:c r="P344" s="120" t="n">
        <x:v>44328.64074074074</x:v>
      </x:c>
      <x:c r="Q344" s="117" t="str">
        <x:v>Delegate</x:v>
      </x:c>
      <x:c r="R344" s="117" t="str">
        <x:v>Case PB</x:v>
      </x:c>
      <x:c r="S344" s="119" t="str">
        <x:v>Actions that occur on case creation and modification</x:v>
      </x:c>
    </x:row>
    <x:row r="345" ht="30" customHeight="1">
      <x:c r="A345" s="117" t="str">
        <x:v>Case_PB</x:v>
      </x:c>
      <x:c r="B345" s="117" t="str">
        <x:v>3004O000000XhC6QAK</x:v>
      </x:c>
      <x:c r="C345" s="117" t="str">
        <x:v>3014O000000YBMPQA4</x:v>
      </x:c>
      <x:c r="D345" s="118" t="n">
        <x:v>2</x:v>
      </x:c>
      <x:c r="E345" s="117" t="str">
        <x:v>Obsolete</x:v>
      </x:c>
      <x:c r="F345" s="117" t="str">
        <x:v>No</x:v>
      </x:c>
      <x:c r="G345" s="117" t="str">
        <x:v>No</x:v>
      </x:c>
      <x:c r="H345" s="117" t="str">
        <x:v>Workflow</x:v>
      </x:c>
      <x:c r="I345" s="118" t="n">
        <x:v>51</x:v>
      </x:c>
      <x:c r="J345" s="117" t="str">
        <x:v>unmanaged</x:v>
      </x:c>
      <x:c r="K345" s="123" t="b">
        <x:v>0</x:v>
      </x:c>
      <x:c r="L345" s="117"/>
      <x:c r="M345" s="118"/>
      <x:c r="N345" s="120" t="n">
        <x:v>44341.75465277778</x:v>
      </x:c>
      <x:c r="O345" s="117" t="str">
        <x:v>Natalie Boger</x:v>
      </x:c>
      <x:c r="P345" s="120" t="n">
        <x:v>44341.75481481481</x:v>
      </x:c>
      <x:c r="Q345" s="117" t="str">
        <x:v>Natalie Boger</x:v>
      </x:c>
      <x:c r="R345" s="117" t="str">
        <x:v>Case PB</x:v>
      </x:c>
      <x:c r="S345" s="119" t="str">
        <x:v>Actions that occur on case creation and modification</x:v>
      </x:c>
    </x:row>
    <x:row r="346" ht="30" customHeight="1">
      <x:c r="A346" s="117" t="str">
        <x:v>Case_PB</x:v>
      </x:c>
      <x:c r="B346" s="117" t="str">
        <x:v>3004O000000XhC6QAK</x:v>
      </x:c>
      <x:c r="C346" s="117" t="str">
        <x:v>3014O000000YBMTQA4</x:v>
      </x:c>
      <x:c r="D346" s="118" t="n">
        <x:v>3</x:v>
      </x:c>
      <x:c r="E346" s="117" t="str">
        <x:v>Obsolete</x:v>
      </x:c>
      <x:c r="F346" s="117" t="str">
        <x:v>No</x:v>
      </x:c>
      <x:c r="G346" s="117" t="str">
        <x:v>No</x:v>
      </x:c>
      <x:c r="H346" s="117" t="str">
        <x:v>Workflow</x:v>
      </x:c>
      <x:c r="I346" s="118" t="n">
        <x:v>51</x:v>
      </x:c>
      <x:c r="J346" s="117" t="str">
        <x:v>unmanaged</x:v>
      </x:c>
      <x:c r="K346" s="123" t="b">
        <x:v>0</x:v>
      </x:c>
      <x:c r="L346" s="117"/>
      <x:c r="M346" s="118"/>
      <x:c r="N346" s="120" t="n">
        <x:v>44341.75697916667</x:v>
      </x:c>
      <x:c r="O346" s="117" t="str">
        <x:v>Natalie Boger</x:v>
      </x:c>
      <x:c r="P346" s="120" t="n">
        <x:v>44341.757060185184</x:v>
      </x:c>
      <x:c r="Q346" s="117" t="str">
        <x:v>Natalie Boger</x:v>
      </x:c>
      <x:c r="R346" s="117" t="str">
        <x:v>Case PB</x:v>
      </x:c>
      <x:c r="S346" s="119" t="str">
        <x:v>Actions that occur on case creation and modification</x:v>
      </x:c>
    </x:row>
    <x:row r="347" ht="30" customHeight="1">
      <x:c r="A347" s="117" t="str">
        <x:v>Case_PB</x:v>
      </x:c>
      <x:c r="B347" s="117" t="str">
        <x:v>3004O000000XhC6QAK</x:v>
      </x:c>
      <x:c r="C347" s="117" t="str">
        <x:v>3014O000000YBMdQAO</x:v>
      </x:c>
      <x:c r="D347" s="118" t="n">
        <x:v>4</x:v>
      </x:c>
      <x:c r="E347" s="117" t="str">
        <x:v>Obsolete</x:v>
      </x:c>
      <x:c r="F347" s="117" t="str">
        <x:v>No</x:v>
      </x:c>
      <x:c r="G347" s="117" t="str">
        <x:v>No</x:v>
      </x:c>
      <x:c r="H347" s="117" t="str">
        <x:v>Workflow</x:v>
      </x:c>
      <x:c r="I347" s="118" t="n">
        <x:v>51</x:v>
      </x:c>
      <x:c r="J347" s="117" t="str">
        <x:v>unmanaged</x:v>
      </x:c>
      <x:c r="K347" s="123" t="b">
        <x:v>0</x:v>
      </x:c>
      <x:c r="L347" s="117"/>
      <x:c r="M347" s="118"/>
      <x:c r="N347" s="120" t="n">
        <x:v>44341.76326388889</x:v>
      </x:c>
      <x:c r="O347" s="117" t="str">
        <x:v>Natalie Boger</x:v>
      </x:c>
      <x:c r="P347" s="120" t="n">
        <x:v>44341.763506944444</x:v>
      </x:c>
      <x:c r="Q347" s="117" t="str">
        <x:v>Natalie Boger</x:v>
      </x:c>
      <x:c r="R347" s="117" t="str">
        <x:v>Case PB</x:v>
      </x:c>
      <x:c r="S347" s="119" t="str">
        <x:v>Actions that occur on case creation and modification</x:v>
      </x:c>
    </x:row>
    <x:row r="348" ht="30" customHeight="1">
      <x:c r="A348" s="117" t="str">
        <x:v>Case_PB</x:v>
      </x:c>
      <x:c r="B348" s="117" t="str">
        <x:v>3004O000000XhC6QAK</x:v>
      </x:c>
      <x:c r="C348" s="117" t="str">
        <x:v>3014O000000YBMuQAO</x:v>
      </x:c>
      <x:c r="D348" s="118" t="n">
        <x:v>5</x:v>
      </x:c>
      <x:c r="E348" s="117" t="str">
        <x:v>Obsolete</x:v>
      </x:c>
      <x:c r="F348" s="117" t="str">
        <x:v>No</x:v>
      </x:c>
      <x:c r="G348" s="117" t="str">
        <x:v>No</x:v>
      </x:c>
      <x:c r="H348" s="117" t="str">
        <x:v>Workflow</x:v>
      </x:c>
      <x:c r="I348" s="118" t="n">
        <x:v>51</x:v>
      </x:c>
      <x:c r="J348" s="117" t="str">
        <x:v>unmanaged</x:v>
      </x:c>
      <x:c r="K348" s="123" t="b">
        <x:v>0</x:v>
      </x:c>
      <x:c r="L348" s="117"/>
      <x:c r="M348" s="118"/>
      <x:c r="N348" s="120" t="n">
        <x:v>44341.79476851852</x:v>
      </x:c>
      <x:c r="O348" s="117" t="str">
        <x:v>Natalie Boger</x:v>
      </x:c>
      <x:c r="P348" s="120" t="n">
        <x:v>44341.79488425926</x:v>
      </x:c>
      <x:c r="Q348" s="117" t="str">
        <x:v>Natalie Boger</x:v>
      </x:c>
      <x:c r="R348" s="117" t="str">
        <x:v>Case PB</x:v>
      </x:c>
      <x:c r="S348" s="119" t="str">
        <x:v>Actions that occur on case creation and modification</x:v>
      </x:c>
    </x:row>
    <x:row r="349" ht="30" customHeight="1">
      <x:c r="A349" s="117" t="str">
        <x:v>Case_PB</x:v>
      </x:c>
      <x:c r="B349" s="117" t="str">
        <x:v>3004O000000XhC6QAK</x:v>
      </x:c>
      <x:c r="C349" s="117" t="str">
        <x:v>3014O000000YBRJQA4</x:v>
      </x:c>
      <x:c r="D349" s="118" t="n">
        <x:v>6</x:v>
      </x:c>
      <x:c r="E349" s="117" t="str">
        <x:v>Draft</x:v>
      </x:c>
      <x:c r="F349" s="117" t="str">
        <x:v>No</x:v>
      </x:c>
      <x:c r="G349" s="117" t="str">
        <x:v>No</x:v>
      </x:c>
      <x:c r="H349" s="117" t="str">
        <x:v>Workflow</x:v>
      </x:c>
      <x:c r="I349" s="118" t="n">
        <x:v>51</x:v>
      </x:c>
      <x:c r="J349" s="117" t="str">
        <x:v>unmanaged</x:v>
      </x:c>
      <x:c r="K349" s="123" t="b">
        <x:v>0</x:v>
      </x:c>
      <x:c r="L349" s="117"/>
      <x:c r="M349" s="118"/>
      <x:c r="N349" s="120" t="n">
        <x:v>44351.59568287037</x:v>
      </x:c>
      <x:c r="O349" s="117" t="str">
        <x:v>Natalie Boger</x:v>
      </x:c>
      <x:c r="P349" s="120" t="n">
        <x:v>44351.59570601852</x:v>
      </x:c>
      <x:c r="Q349" s="117" t="str">
        <x:v>Natalie Boger</x:v>
      </x:c>
      <x:c r="R349" s="117" t="str">
        <x:v>Case PB</x:v>
      </x:c>
      <x:c r="S349" s="119" t="str">
        <x:v>Actions that occur on case creation and modification</x:v>
      </x:c>
    </x:row>
    <x:row r="350" ht="30" customHeight="1">
      <x:c r="A350" s="117" t="str">
        <x:v>Case_PB</x:v>
      </x:c>
      <x:c r="B350" s="117" t="str">
        <x:v>3004O000000XhC6QAK</x:v>
      </x:c>
      <x:c r="C350" s="117" t="str">
        <x:v>3015b000000EGBHAA4</x:v>
      </x:c>
      <x:c r="D350" s="118" t="n">
        <x:v>7</x:v>
      </x:c>
      <x:c r="E350" s="117" t="str">
        <x:v>Obsolete</x:v>
      </x:c>
      <x:c r="F350" s="117" t="str">
        <x:v>No</x:v>
      </x:c>
      <x:c r="G350" s="117" t="str">
        <x:v>No</x:v>
      </x:c>
      <x:c r="H350" s="117" t="str">
        <x:v>Workflow</x:v>
      </x:c>
      <x:c r="I350" s="118" t="n">
        <x:v>51</x:v>
      </x:c>
      <x:c r="J350" s="117" t="str">
        <x:v>unmanaged</x:v>
      </x:c>
      <x:c r="K350" s="123" t="b">
        <x:v>0</x:v>
      </x:c>
      <x:c r="L350" s="117"/>
      <x:c r="M350" s="118"/>
      <x:c r="N350" s="120" t="n">
        <x:v>44587.20348379629</x:v>
      </x:c>
      <x:c r="O350" s="117" t="str">
        <x:v>Natalie Boger</x:v>
      </x:c>
      <x:c r="P350" s="120" t="n">
        <x:v>44587.20359953704</x:v>
      </x:c>
      <x:c r="Q350" s="117" t="str">
        <x:v>Natalie Boger</x:v>
      </x:c>
      <x:c r="R350" s="117" t="str">
        <x:v>Case PB</x:v>
      </x:c>
      <x:c r="S350" s="119" t="str">
        <x:v>Actions that occur on case creation and modification</x:v>
      </x:c>
    </x:row>
    <x:row r="351" ht="30" customHeight="1">
      <x:c r="A351" s="117" t="str">
        <x:v>Case_PB</x:v>
      </x:c>
      <x:c r="B351" s="117" t="str">
        <x:v>3004O000000XhC6QAK</x:v>
      </x:c>
      <x:c r="C351" s="117" t="str">
        <x:v>3015b000000EGBaAAO</x:v>
      </x:c>
      <x:c r="D351" s="118" t="n">
        <x:v>8</x:v>
      </x:c>
      <x:c r="E351" s="117" t="str">
        <x:v>Obsolete</x:v>
      </x:c>
      <x:c r="F351" s="117" t="str">
        <x:v>No</x:v>
      </x:c>
      <x:c r="G351" s="117" t="str">
        <x:v>No</x:v>
      </x:c>
      <x:c r="H351" s="117" t="str">
        <x:v>Workflow</x:v>
      </x:c>
      <x:c r="I351" s="118" t="n">
        <x:v>51</x:v>
      </x:c>
      <x:c r="J351" s="117" t="str">
        <x:v>unmanaged</x:v>
      </x:c>
      <x:c r="K351" s="123" t="b">
        <x:v>0</x:v>
      </x:c>
      <x:c r="L351" s="117"/>
      <x:c r="M351" s="118"/>
      <x:c r="N351" s="120" t="n">
        <x:v>44587.24667824074</x:v>
      </x:c>
      <x:c r="O351" s="117" t="str">
        <x:v>Natalie Boger</x:v>
      </x:c>
      <x:c r="P351" s="120" t="n">
        <x:v>44587.24675925926</x:v>
      </x:c>
      <x:c r="Q351" s="117" t="str">
        <x:v>Natalie Boger</x:v>
      </x:c>
      <x:c r="R351" s="117" t="str">
        <x:v>Case PB</x:v>
      </x:c>
      <x:c r="S351" s="119" t="str">
        <x:v>Actions that occur on case creation and modification</x:v>
      </x:c>
    </x:row>
    <x:row r="352" ht="30" customHeight="1">
      <x:c r="A352" s="117" t="str">
        <x:v>Case_PB</x:v>
      </x:c>
      <x:c r="B352" s="117" t="str">
        <x:v>3004O000000XhC6QAK</x:v>
      </x:c>
      <x:c r="C352" s="117" t="str">
        <x:v>3015b000000EGBpAAO</x:v>
      </x:c>
      <x:c r="D352" s="118" t="n">
        <x:v>9</x:v>
      </x:c>
      <x:c r="E352" s="117" t="str">
        <x:v>Obsolete</x:v>
      </x:c>
      <x:c r="F352" s="117" t="str">
        <x:v>No</x:v>
      </x:c>
      <x:c r="G352" s="117" t="str">
        <x:v>No</x:v>
      </x:c>
      <x:c r="H352" s="117" t="str">
        <x:v>Workflow</x:v>
      </x:c>
      <x:c r="I352" s="118" t="n">
        <x:v>51</x:v>
      </x:c>
      <x:c r="J352" s="117" t="str">
        <x:v>unmanaged</x:v>
      </x:c>
      <x:c r="K352" s="123" t="b">
        <x:v>0</x:v>
      </x:c>
      <x:c r="L352" s="117"/>
      <x:c r="M352" s="118"/>
      <x:c r="N352" s="120" t="n">
        <x:v>44587.266805555555</x:v>
      </x:c>
      <x:c r="O352" s="117" t="str">
        <x:v>Natalie Boger</x:v>
      </x:c>
      <x:c r="P352" s="120" t="n">
        <x:v>44588.208715277775</x:v>
      </x:c>
      <x:c r="Q352" s="117" t="str">
        <x:v>Natalie Boger</x:v>
      </x:c>
      <x:c r="R352" s="117" t="str">
        <x:v>Case PB</x:v>
      </x:c>
      <x:c r="S352" s="119" t="str">
        <x:v>Actions that occur on case creation and modification</x:v>
      </x:c>
    </x:row>
    <x:row r="353" ht="30" customHeight="1">
      <x:c r="A353" s="117" t="str">
        <x:v>Case_PB</x:v>
      </x:c>
      <x:c r="B353" s="117" t="str">
        <x:v>3004O000000XhC6QAK</x:v>
      </x:c>
      <x:c r="C353" s="117" t="str">
        <x:v>3015b000000EGcqAAG</x:v>
      </x:c>
      <x:c r="D353" s="118" t="n">
        <x:v>10</x:v>
      </x:c>
      <x:c r="E353" s="117" t="str">
        <x:v>Obsolete</x:v>
      </x:c>
      <x:c r="F353" s="117" t="str">
        <x:v>No</x:v>
      </x:c>
      <x:c r="G353" s="117" t="str">
        <x:v>No</x:v>
      </x:c>
      <x:c r="H353" s="117" t="str">
        <x:v>Workflow</x:v>
      </x:c>
      <x:c r="I353" s="118" t="n">
        <x:v>51</x:v>
      </x:c>
      <x:c r="J353" s="117" t="str">
        <x:v>unmanaged</x:v>
      </x:c>
      <x:c r="K353" s="123" t="b">
        <x:v>0</x:v>
      </x:c>
      <x:c r="L353" s="117"/>
      <x:c r="M353" s="118"/>
      <x:c r="N353" s="120" t="n">
        <x:v>44596.73228009259</x:v>
      </x:c>
      <x:c r="O353" s="117" t="str">
        <x:v>Natalie Boger</x:v>
      </x:c>
      <x:c r="P353" s="120" t="n">
        <x:v>44596.73241898148</x:v>
      </x:c>
      <x:c r="Q353" s="117" t="str">
        <x:v>Natalie Boger</x:v>
      </x:c>
      <x:c r="R353" s="117" t="str">
        <x:v>Case PB</x:v>
      </x:c>
      <x:c r="S353" s="119" t="str">
        <x:v>Actions that occur on case creation and modification</x:v>
      </x:c>
    </x:row>
    <x:row r="354" ht="30" customHeight="1">
      <x:c r="A354" s="117" t="str">
        <x:v>Case_PB</x:v>
      </x:c>
      <x:c r="B354" s="117" t="str">
        <x:v>3004O000000XhC6QAK</x:v>
      </x:c>
      <x:c r="C354" s="117" t="str">
        <x:v>3015b000000EK11AAG</x:v>
      </x:c>
      <x:c r="D354" s="118" t="n">
        <x:v>11</x:v>
      </x:c>
      <x:c r="E354" s="117" t="str">
        <x:v>Obsolete</x:v>
      </x:c>
      <x:c r="F354" s="117" t="str">
        <x:v>No</x:v>
      </x:c>
      <x:c r="G354" s="117" t="str">
        <x:v>No</x:v>
      </x:c>
      <x:c r="H354" s="117" t="str">
        <x:v>Workflow</x:v>
      </x:c>
      <x:c r="I354" s="118" t="n">
        <x:v>51</x:v>
      </x:c>
      <x:c r="J354" s="117" t="str">
        <x:v>unmanaged</x:v>
      </x:c>
      <x:c r="K354" s="123" t="b">
        <x:v>0</x:v>
      </x:c>
      <x:c r="L354" s="117"/>
      <x:c r="M354" s="118"/>
      <x:c r="N354" s="120" t="n">
        <x:v>44713.18386574074</x:v>
      </x:c>
      <x:c r="O354" s="117" t="str">
        <x:v>Natalie Boger</x:v>
      </x:c>
      <x:c r="P354" s="120" t="n">
        <x:v>44713.183958333335</x:v>
      </x:c>
      <x:c r="Q354" s="117" t="str">
        <x:v>Natalie Boger</x:v>
      </x:c>
      <x:c r="R354" s="117" t="str">
        <x:v>Case PB</x:v>
      </x:c>
      <x:c r="S354" s="119" t="str">
        <x:v>Actions that occur on case creation and modification</x:v>
      </x:c>
    </x:row>
    <x:row r="355" ht="30" customHeight="1">
      <x:c r="A355" s="117" t="str">
        <x:v>Case_PB</x:v>
      </x:c>
      <x:c r="B355" s="117" t="str">
        <x:v>3004O000000XhC6QAK</x:v>
      </x:c>
      <x:c r="C355" s="117" t="str">
        <x:v>3015b000000EK1jAAG</x:v>
      </x:c>
      <x:c r="D355" s="118" t="n">
        <x:v>12</x:v>
      </x:c>
      <x:c r="E355" s="117" t="str">
        <x:v>Obsolete</x:v>
      </x:c>
      <x:c r="F355" s="117" t="str">
        <x:v>No</x:v>
      </x:c>
      <x:c r="G355" s="117" t="str">
        <x:v>No</x:v>
      </x:c>
      <x:c r="H355" s="117" t="str">
        <x:v>Workflow</x:v>
      </x:c>
      <x:c r="I355" s="118" t="n">
        <x:v>51</x:v>
      </x:c>
      <x:c r="J355" s="117" t="str">
        <x:v>unmanaged</x:v>
      </x:c>
      <x:c r="K355" s="123" t="b">
        <x:v>0</x:v>
      </x:c>
      <x:c r="L355" s="117"/>
      <x:c r="M355" s="118"/>
      <x:c r="N355" s="120" t="n">
        <x:v>44713.204733796294</x:v>
      </x:c>
      <x:c r="O355" s="117" t="str">
        <x:v>Natalie Boger</x:v>
      </x:c>
      <x:c r="P355" s="120" t="n">
        <x:v>44819.804872685185</x:v>
      </x:c>
      <x:c r="Q355" s="117" t="str">
        <x:v>Jace Gentil</x:v>
      </x:c>
      <x:c r="R355" s="117" t="str">
        <x:v>Case PB</x:v>
      </x:c>
      <x:c r="S355" s="119" t="str">
        <x:v>Actions that occur on case creation and modification</x:v>
      </x:c>
    </x:row>
    <x:row r="356" ht="30" customHeight="1">
      <x:c r="A356" s="117" t="str">
        <x:v>Case_PB</x:v>
      </x:c>
      <x:c r="B356" s="117" t="str">
        <x:v>3004O000000XhC6QAK</x:v>
      </x:c>
      <x:c r="C356" s="117" t="str">
        <x:v>3015b000000ELlnAAG</x:v>
      </x:c>
      <x:c r="D356" s="118" t="n">
        <x:v>13</x:v>
      </x:c>
      <x:c r="E356" s="117" t="str">
        <x:v>Obsolete</x:v>
      </x:c>
      <x:c r="F356" s="117" t="str">
        <x:v>No</x:v>
      </x:c>
      <x:c r="G356" s="117" t="str">
        <x:v>No</x:v>
      </x:c>
      <x:c r="H356" s="117" t="str">
        <x:v>Workflow</x:v>
      </x:c>
      <x:c r="I356" s="118" t="n">
        <x:v>51</x:v>
      </x:c>
      <x:c r="J356" s="117" t="str">
        <x:v>unmanaged</x:v>
      </x:c>
      <x:c r="K356" s="123" t="b">
        <x:v>0</x:v>
      </x:c>
      <x:c r="L356" s="117"/>
      <x:c r="M356" s="118"/>
      <x:c r="N356" s="120" t="n">
        <x:v>44819.80525462963</x:v>
      </x:c>
      <x:c r="O356" s="117" t="str">
        <x:v>Jace Gentil</x:v>
      </x:c>
      <x:c r="P356" s="120" t="n">
        <x:v>44819.805625</x:v>
      </x:c>
      <x:c r="Q356" s="117" t="str">
        <x:v>Jace Gentil</x:v>
      </x:c>
      <x:c r="R356" s="117" t="str">
        <x:v>Case PB</x:v>
      </x:c>
      <x:c r="S356" s="119" t="str">
        <x:v>Actions that occur on case creation and modification</x:v>
      </x:c>
    </x:row>
    <x:row r="357" ht="30" customHeight="1">
      <x:c r="A357" s="117" t="str">
        <x:v>Case_PB</x:v>
      </x:c>
      <x:c r="B357" s="117" t="str">
        <x:v>3004O000000XhC6QAK</x:v>
      </x:c>
      <x:c r="C357" s="117" t="str">
        <x:v>3015b000000ELmMAAW</x:v>
      </x:c>
      <x:c r="D357" s="118" t="n">
        <x:v>14</x:v>
      </x:c>
      <x:c r="E357" s="117" t="str">
        <x:v>Obsolete</x:v>
      </x:c>
      <x:c r="F357" s="117" t="str">
        <x:v>No</x:v>
      </x:c>
      <x:c r="G357" s="117" t="str">
        <x:v>No</x:v>
      </x:c>
      <x:c r="H357" s="117" t="str">
        <x:v>Workflow</x:v>
      </x:c>
      <x:c r="I357" s="118" t="n">
        <x:v>51</x:v>
      </x:c>
      <x:c r="J357" s="117" t="str">
        <x:v>unmanaged</x:v>
      </x:c>
      <x:c r="K357" s="123" t="b">
        <x:v>0</x:v>
      </x:c>
      <x:c r="L357" s="117"/>
      <x:c r="M357" s="118"/>
      <x:c r="N357" s="120" t="n">
        <x:v>44819.86253472222</x:v>
      </x:c>
      <x:c r="O357" s="117" t="str">
        <x:v>Jace Gentil</x:v>
      </x:c>
      <x:c r="P357" s="120" t="n">
        <x:v>44819.86304398148</x:v>
      </x:c>
      <x:c r="Q357" s="117" t="str">
        <x:v>Jace Gentil</x:v>
      </x:c>
      <x:c r="R357" s="117" t="str">
        <x:v>Case PB</x:v>
      </x:c>
      <x:c r="S357" s="119" t="str">
        <x:v>Actions that occur on case creation and modification</x:v>
      </x:c>
    </x:row>
    <x:row r="358" ht="30" customHeight="1">
      <x:c r="A358" s="117" t="str">
        <x:v>Case_PB</x:v>
      </x:c>
      <x:c r="B358" s="117" t="str">
        <x:v>3004O000000XhC6QAK</x:v>
      </x:c>
      <x:c r="C358" s="117" t="str">
        <x:v>3015b000000ELm3AAG</x:v>
      </x:c>
      <x:c r="D358" s="118" t="n">
        <x:v>15</x:v>
      </x:c>
      <x:c r="E358" s="117" t="str">
        <x:v>Obsolete</x:v>
      </x:c>
      <x:c r="F358" s="117" t="str">
        <x:v>No</x:v>
      </x:c>
      <x:c r="G358" s="117" t="str">
        <x:v>No</x:v>
      </x:c>
      <x:c r="H358" s="117" t="str">
        <x:v>Workflow</x:v>
      </x:c>
      <x:c r="I358" s="118" t="n">
        <x:v>51</x:v>
      </x:c>
      <x:c r="J358" s="117" t="str">
        <x:v>unmanaged</x:v>
      </x:c>
      <x:c r="K358" s="123" t="b">
        <x:v>0</x:v>
      </x:c>
      <x:c r="L358" s="117"/>
      <x:c r="M358" s="118"/>
      <x:c r="N358" s="120" t="n">
        <x:v>44819.86618055555</x:v>
      </x:c>
      <x:c r="O358" s="117" t="str">
        <x:v>Jace Gentil</x:v>
      </x:c>
      <x:c r="P358" s="120" t="n">
        <x:v>44819.86688657408</x:v>
      </x:c>
      <x:c r="Q358" s="117" t="str">
        <x:v>Jace Gentil</x:v>
      </x:c>
      <x:c r="R358" s="117" t="str">
        <x:v>Case PB</x:v>
      </x:c>
      <x:c r="S358" s="119" t="str">
        <x:v>Actions that occur on case creation and modification</x:v>
      </x:c>
    </x:row>
    <x:row r="359" ht="30" customHeight="1">
      <x:c r="A359" s="117" t="str">
        <x:v>Case_PB</x:v>
      </x:c>
      <x:c r="B359" s="117" t="str">
        <x:v>3004O000000XhC6QAK</x:v>
      </x:c>
      <x:c r="C359" s="117" t="str">
        <x:v>3015b000000ELmWAAW</x:v>
      </x:c>
      <x:c r="D359" s="118" t="n">
        <x:v>16</x:v>
      </x:c>
      <x:c r="E359" s="117" t="str">
        <x:v>Obsolete</x:v>
      </x:c>
      <x:c r="F359" s="117" t="str">
        <x:v>No</x:v>
      </x:c>
      <x:c r="G359" s="117" t="str">
        <x:v>No</x:v>
      </x:c>
      <x:c r="H359" s="117" t="str">
        <x:v>Workflow</x:v>
      </x:c>
      <x:c r="I359" s="118" t="n">
        <x:v>51</x:v>
      </x:c>
      <x:c r="J359" s="117" t="str">
        <x:v>unmanaged</x:v>
      </x:c>
      <x:c r="K359" s="123" t="b">
        <x:v>0</x:v>
      </x:c>
      <x:c r="L359" s="117"/>
      <x:c r="M359" s="118"/>
      <x:c r="N359" s="120" t="n">
        <x:v>44819.86790509259</x:v>
      </x:c>
      <x:c r="O359" s="117" t="str">
        <x:v>Jace Gentil</x:v>
      </x:c>
      <x:c r="P359" s="120" t="n">
        <x:v>44819.86800925926</x:v>
      </x:c>
      <x:c r="Q359" s="117" t="str">
        <x:v>Jace Gentil</x:v>
      </x:c>
      <x:c r="R359" s="117" t="str">
        <x:v>Case PB</x:v>
      </x:c>
      <x:c r="S359" s="119" t="str">
        <x:v>Actions that occur on case creation and modification</x:v>
      </x:c>
    </x:row>
    <x:row r="360" ht="30" customHeight="1">
      <x:c r="A360" s="117" t="str">
        <x:v>Case_PB</x:v>
      </x:c>
      <x:c r="B360" s="117" t="str">
        <x:v>3004O000000XhC6QAK</x:v>
      </x:c>
      <x:c r="C360" s="117" t="str">
        <x:v>3015b000000ELvEAAW</x:v>
      </x:c>
      <x:c r="D360" s="118" t="n">
        <x:v>17</x:v>
      </x:c>
      <x:c r="E360" s="117" t="str">
        <x:v>Obsolete</x:v>
      </x:c>
      <x:c r="F360" s="117" t="str">
        <x:v>No</x:v>
      </x:c>
      <x:c r="G360" s="117" t="str">
        <x:v>No</x:v>
      </x:c>
      <x:c r="H360" s="117" t="str">
        <x:v>Workflow</x:v>
      </x:c>
      <x:c r="I360" s="118" t="n">
        <x:v>51</x:v>
      </x:c>
      <x:c r="J360" s="117" t="str">
        <x:v>unmanaged</x:v>
      </x:c>
      <x:c r="K360" s="123" t="b">
        <x:v>0</x:v>
      </x:c>
      <x:c r="L360" s="117"/>
      <x:c r="M360" s="118"/>
      <x:c r="N360" s="120" t="n">
        <x:v>44826.711875</x:v>
      </x:c>
      <x:c r="O360" s="117" t="str">
        <x:v>Delegate</x:v>
      </x:c>
      <x:c r="P360" s="120" t="n">
        <x:v>44826.712326388886</x:v>
      </x:c>
      <x:c r="Q360" s="117" t="str">
        <x:v>Delegate</x:v>
      </x:c>
      <x:c r="R360" s="117" t="str">
        <x:v>Case PB</x:v>
      </x:c>
      <x:c r="S360" s="119" t="str">
        <x:v>Actions that occur on case creation and modification</x:v>
      </x:c>
    </x:row>
    <x:row r="361" ht="30" customHeight="1">
      <x:c r="A361" s="117" t="str">
        <x:v>Case_PB</x:v>
      </x:c>
      <x:c r="B361" s="117" t="str">
        <x:v>3004O000000XhC6QAK</x:v>
      </x:c>
      <x:c r="C361" s="117" t="str">
        <x:v>3015b000000A6VHAA0</x:v>
      </x:c>
      <x:c r="D361" s="118" t="n">
        <x:v>18</x:v>
      </x:c>
      <x:c r="E361" s="117" t="str">
        <x:v>Obsolete</x:v>
      </x:c>
      <x:c r="F361" s="117" t="str">
        <x:v>No</x:v>
      </x:c>
      <x:c r="G361" s="117" t="str">
        <x:v>No</x:v>
      </x:c>
      <x:c r="H361" s="117" t="str">
        <x:v>Workflow</x:v>
      </x:c>
      <x:c r="I361" s="118" t="n">
        <x:v>51</x:v>
      </x:c>
      <x:c r="J361" s="117" t="str">
        <x:v>unmanaged</x:v>
      </x:c>
      <x:c r="K361" s="123" t="b">
        <x:v>0</x:v>
      </x:c>
      <x:c r="L361" s="117"/>
      <x:c r="M361" s="118"/>
      <x:c r="N361" s="120" t="n">
        <x:v>44833.53969907408</x:v>
      </x:c>
      <x:c r="O361" s="117" t="str">
        <x:v>Natalie Boger</x:v>
      </x:c>
      <x:c r="P361" s="120" t="n">
        <x:v>44958.59818287037</x:v>
      </x:c>
      <x:c r="Q361" s="117" t="str">
        <x:v>Jace Gentil</x:v>
      </x:c>
      <x:c r="R361" s="117" t="str">
        <x:v>Case PB</x:v>
      </x:c>
      <x:c r="S361" s="119" t="str">
        <x:v>Actions that occur on case creation and modification</x:v>
      </x:c>
    </x:row>
    <x:row r="362" ht="30" customHeight="1">
      <x:c r="A362" s="117" t="str">
        <x:v>Case_PB</x:v>
      </x:c>
      <x:c r="B362" s="117" t="str">
        <x:v>3004O000000XhC6QAK</x:v>
      </x:c>
      <x:c r="C362" s="117" t="str">
        <x:v>3015b000000AFmBAAW</x:v>
      </x:c>
      <x:c r="D362" s="118" t="n">
        <x:v>19</x:v>
      </x:c>
      <x:c r="E362" s="117" t="str">
        <x:v>Obsolete</x:v>
      </x:c>
      <x:c r="F362" s="117" t="str">
        <x:v>No</x:v>
      </x:c>
      <x:c r="G362" s="117" t="str">
        <x:v>No</x:v>
      </x:c>
      <x:c r="H362" s="117" t="str">
        <x:v>Workflow</x:v>
      </x:c>
      <x:c r="I362" s="118" t="n">
        <x:v>51</x:v>
      </x:c>
      <x:c r="J362" s="117" t="str">
        <x:v>unmanaged</x:v>
      </x:c>
      <x:c r="K362" s="123" t="b">
        <x:v>0</x:v>
      </x:c>
      <x:c r="L362" s="117"/>
      <x:c r="M362" s="118"/>
      <x:c r="N362" s="120" t="n">
        <x:v>44958.60016203704</x:v>
      </x:c>
      <x:c r="O362" s="117" t="str">
        <x:v>Jace Gentil</x:v>
      </x:c>
      <x:c r="P362" s="120" t="n">
        <x:v>44958.600266203706</x:v>
      </x:c>
      <x:c r="Q362" s="117" t="str">
        <x:v>Jace Gentil</x:v>
      </x:c>
      <x:c r="R362" s="117" t="str">
        <x:v>Case PB</x:v>
      </x:c>
      <x:c r="S362" s="119" t="str">
        <x:v>Actions that occur on case creation and modification</x:v>
      </x:c>
    </x:row>
    <x:row r="363" ht="30" customHeight="1">
      <x:c r="A363" s="117" t="str">
        <x:v>Case_PB</x:v>
      </x:c>
      <x:c r="B363" s="117" t="str">
        <x:v>3004O000000XhC6QAK</x:v>
      </x:c>
      <x:c r="C363" s="117" t="str">
        <x:v>3015b000000W4bLAAS</x:v>
      </x:c>
      <x:c r="D363" s="118" t="n">
        <x:v>20</x:v>
      </x:c>
      <x:c r="E363" s="117" t="str">
        <x:v>Obsolete</x:v>
      </x:c>
      <x:c r="F363" s="117" t="str">
        <x:v>No</x:v>
      </x:c>
      <x:c r="G363" s="117" t="str">
        <x:v>No</x:v>
      </x:c>
      <x:c r="H363" s="117" t="str">
        <x:v>Workflow</x:v>
      </x:c>
      <x:c r="I363" s="118" t="n">
        <x:v>51</x:v>
      </x:c>
      <x:c r="J363" s="117" t="str">
        <x:v>unmanaged</x:v>
      </x:c>
      <x:c r="K363" s="123" t="b">
        <x:v>0</x:v>
      </x:c>
      <x:c r="L363" s="117"/>
      <x:c r="M363" s="118"/>
      <x:c r="N363" s="120" t="n">
        <x:v>45104.656643518516</x:v>
      </x:c>
      <x:c r="O363" s="117" t="str">
        <x:v>Delegate</x:v>
      </x:c>
      <x:c r="P363" s="120" t="n">
        <x:v>45104.65684027778</x:v>
      </x:c>
      <x:c r="Q363" s="117" t="str">
        <x:v>Delegate</x:v>
      </x:c>
      <x:c r="R363" s="117" t="str">
        <x:v>Case PB</x:v>
      </x:c>
      <x:c r="S363" s="119" t="str">
        <x:v>Actions that occur on case creation and modification</x:v>
      </x:c>
    </x:row>
    <x:row r="364" ht="30" customHeight="1">
      <x:c r="A364" s="117" t="str">
        <x:v>Case_PB</x:v>
      </x:c>
      <x:c r="B364" s="117" t="str">
        <x:v>3004O000000XhC6QAK</x:v>
      </x:c>
      <x:c r="C364" s="117" t="str">
        <x:v>301Ro00000EGHrHIAX</x:v>
      </x:c>
      <x:c r="D364" s="118" t="n">
        <x:v>21</x:v>
      </x:c>
      <x:c r="E364" s="117" t="str">
        <x:v>Obsolete</x:v>
      </x:c>
      <x:c r="F364" s="117" t="str">
        <x:v>No</x:v>
      </x:c>
      <x:c r="G364" s="117" t="str">
        <x:v>No</x:v>
      </x:c>
      <x:c r="H364" s="117" t="str">
        <x:v>Workflow</x:v>
      </x:c>
      <x:c r="I364" s="118" t="n">
        <x:v>51</x:v>
      </x:c>
      <x:c r="J364" s="117" t="str">
        <x:v>unmanaged</x:v>
      </x:c>
      <x:c r="K364" s="123" t="b">
        <x:v>0</x:v>
      </x:c>
      <x:c r="L364" s="117"/>
      <x:c r="M364" s="118"/>
      <x:c r="N364" s="120" t="n">
        <x:v>45449.185219907406</x:v>
      </x:c>
      <x:c r="O364" s="117" t="str">
        <x:v>Natalie Boger</x:v>
      </x:c>
      <x:c r="P364" s="120" t="n">
        <x:v>45449.18533564815</x:v>
      </x:c>
      <x:c r="Q364" s="117" t="str">
        <x:v>Natalie Boger</x:v>
      </x:c>
      <x:c r="R364" s="117" t="str">
        <x:v>Case PB</x:v>
      </x:c>
      <x:c r="S364" s="119" t="str">
        <x:v>Actions that occur on case creation and modification</x:v>
      </x:c>
    </x:row>
    <x:row r="365" ht="30" customHeight="1">
      <x:c r="A365" s="117" t="str">
        <x:v>Case_PB</x:v>
      </x:c>
      <x:c r="B365" s="117" t="str">
        <x:v>3004O000000XhC6QAK</x:v>
      </x:c>
      <x:c r="C365" s="117" t="str">
        <x:v>301Ro00000F3taSIAR</x:v>
      </x:c>
      <x:c r="D365" s="118" t="n">
        <x:v>22</x:v>
      </x:c>
      <x:c r="E365" s="117" t="str">
        <x:v>Obsolete</x:v>
      </x:c>
      <x:c r="F365" s="117" t="str">
        <x:v>No</x:v>
      </x:c>
      <x:c r="G365" s="117" t="str">
        <x:v>No</x:v>
      </x:c>
      <x:c r="H365" s="117" t="str">
        <x:v>Workflow</x:v>
      </x:c>
      <x:c r="I365" s="118" t="n">
        <x:v>51</x:v>
      </x:c>
      <x:c r="J365" s="117" t="str">
        <x:v>unmanaged</x:v>
      </x:c>
      <x:c r="K365" s="123" t="b">
        <x:v>0</x:v>
      </x:c>
      <x:c r="L365" s="117"/>
      <x:c r="M365" s="118"/>
      <x:c r="N365" s="120" t="n">
        <x:v>45461.66814814815</x:v>
      </x:c>
      <x:c r="O365" s="117" t="str">
        <x:v>Natalie Boger</x:v>
      </x:c>
      <x:c r="P365" s="120" t="n">
        <x:v>45461.66831018519</x:v>
      </x:c>
      <x:c r="Q365" s="117" t="str">
        <x:v>Natalie Boger</x:v>
      </x:c>
      <x:c r="R365" s="117" t="str">
        <x:v>Case PB</x:v>
      </x:c>
      <x:c r="S365" s="119" t="str">
        <x:v>Actions that occur on case creation and modification</x:v>
      </x:c>
    </x:row>
    <x:row r="366" ht="30" customHeight="1">
      <x:c r="A366" s="117" t="str">
        <x:v>Case_PB</x:v>
      </x:c>
      <x:c r="B366" s="117" t="str">
        <x:v>3004O000000XhC6QAK</x:v>
      </x:c>
      <x:c r="C366" s="117" t="str">
        <x:v>301Ro00000pK5ZRIA0</x:v>
      </x:c>
      <x:c r="D366" s="118" t="n">
        <x:v>23</x:v>
      </x:c>
      <x:c r="E366" s="117" t="str">
        <x:v>Active</x:v>
      </x:c>
      <x:c r="F366" s="117" t="str">
        <x:v>Yes</x:v>
      </x:c>
      <x:c r="G366" s="117" t="str">
        <x:v>Yes</x:v>
      </x:c>
      <x:c r="H366" s="117" t="str">
        <x:v>Workflow</x:v>
      </x:c>
      <x:c r="I366" s="118" t="n">
        <x:v>51</x:v>
      </x:c>
      <x:c r="J366" s="117" t="str">
        <x:v>unmanaged</x:v>
      </x:c>
      <x:c r="K366" s="123" t="b">
        <x:v>0</x:v>
      </x:c>
      <x:c r="L366" s="117"/>
      <x:c r="M366" s="118"/>
      <x:c r="N366" s="120" t="n">
        <x:v>45943.87734953704</x:v>
      </x:c>
      <x:c r="O366" s="117" t="str">
        <x:v>Bill Hagarty</x:v>
      </x:c>
      <x:c r="P366" s="120" t="n">
        <x:v>45943.877488425926</x:v>
      </x:c>
      <x:c r="Q366" s="117" t="str">
        <x:v>Bill Hagarty</x:v>
      </x:c>
      <x:c r="R366" s="117" t="str">
        <x:v>Case PB</x:v>
      </x:c>
      <x:c r="S366" s="119" t="str">
        <x:v>Actions that occur on case creation and modification</x:v>
      </x:c>
    </x:row>
    <x:row r="367" ht="30" customHeight="1">
      <x:c r="A367" s="117" t="str">
        <x:v>Case_Update_Case_Automations_Record_Triggered_Flow</x:v>
      </x:c>
      <x:c r="B367" s="117" t="str">
        <x:v>300Ro00000tqEwzIAE</x:v>
      </x:c>
      <x:c r="C367" s="117" t="str">
        <x:v>301Ro000011hJ4nIAE</x:v>
      </x:c>
      <x:c r="D367" s="118" t="n">
        <x:v>1</x:v>
      </x:c>
      <x:c r="E367" s="117" t="str">
        <x:v>Obsolete</x:v>
      </x:c>
      <x:c r="F367" s="117" t="str">
        <x:v>No</x:v>
      </x:c>
      <x:c r="G367" s="117" t="str">
        <x:v>No</x:v>
      </x:c>
      <x:c r="H367" s="117" t="str">
        <x:v>AutoLaunchedFlow</x:v>
      </x:c>
      <x:c r="I367" s="118" t="n">
        <x:v>66</x:v>
      </x:c>
      <x:c r="J367" s="117" t="str">
        <x:v>unmanaged</x:v>
      </x:c>
      <x:c r="K367" s="123" t="b">
        <x:v>0</x:v>
      </x:c>
      <x:c r="L367" s="117"/>
      <x:c r="M367" s="118"/>
      <x:c r="N367" s="120" t="n">
        <x:v>46108.757569444446</x:v>
      </x:c>
      <x:c r="O367" s="117" t="str">
        <x:v>Sacha Pearce</x:v>
      </x:c>
      <x:c r="P367" s="120" t="n">
        <x:v>46108.76582175926</x:v>
      </x:c>
      <x:c r="Q367" s="117" t="str">
        <x:v>Sacha Pearce</x:v>
      </x:c>
      <x:c r="R367" s="117" t="str">
        <x:v>Case - Update - Case Automations - Record-Triggered Flow</x:v>
      </x:c>
      <x:c r="S367" s="119" t="str">
        <x:v>This Flow sets the "Assigned To" field automatically if a Case is moved to "Closed" without a user entered into the "Assigned To" field. It also updates the "Status" to "Claimed" if a user is entered into the "Assigned To" field with it previously being blank.</x:v>
      </x:c>
    </x:row>
    <x:row r="368" ht="30" customHeight="1">
      <x:c r="A368" s="117" t="str">
        <x:v>Case_Update_Case_Automations_Record_Triggered_Flow</x:v>
      </x:c>
      <x:c r="B368" s="117" t="str">
        <x:v>300Ro00000tqEwzIAE</x:v>
      </x:c>
      <x:c r="C368" s="117" t="str">
        <x:v>301Ro0000137wWVIAY</x:v>
      </x:c>
      <x:c r="D368" s="118" t="n">
        <x:v>2</x:v>
      </x:c>
      <x:c r="E368" s="117" t="str">
        <x:v>Obsolete</x:v>
      </x:c>
      <x:c r="F368" s="117" t="str">
        <x:v>No</x:v>
      </x:c>
      <x:c r="G368" s="117" t="str">
        <x:v>No</x:v>
      </x:c>
      <x:c r="H368" s="117" t="str">
        <x:v>AutoLaunchedFlow</x:v>
      </x:c>
      <x:c r="I368" s="118" t="n">
        <x:v>66</x:v>
      </x:c>
      <x:c r="J368" s="117" t="str">
        <x:v>unmanaged</x:v>
      </x:c>
      <x:c r="K368" s="123" t="b">
        <x:v>0</x:v>
      </x:c>
      <x:c r="L368" s="117"/>
      <x:c r="M368" s="118"/>
      <x:c r="N368" s="120" t="n">
        <x:v>46126.53111111111</x:v>
      </x:c>
      <x:c r="O368" s="117" t="str">
        <x:v>Sacha Pearce</x:v>
      </x:c>
      <x:c r="P368" s="120" t="n">
        <x:v>46126.5312037037</x:v>
      </x:c>
      <x:c r="Q368" s="117" t="str">
        <x:v>Sacha Pearce</x:v>
      </x:c>
      <x:c r="R368" s="117" t="str">
        <x:v>Case - Update - Case Automations - Record-Triggered Flow</x:v>
      </x:c>
      <x:c r="S368" s="119" t="str">
        <x:v>14/04/2026 - SP - Ensuring the varAssignedTo is set in the "Set Status to Claimed" route</x:v>
      </x:c>
    </x:row>
    <x:row r="369" ht="30" customHeight="1">
      <x:c r="A369" s="117" t="str">
        <x:v>Case_Update_Case_Automations_Record_Triggered_Flow</x:v>
      </x:c>
      <x:c r="B369" s="117" t="str">
        <x:v>300Ro00000tqEwzIAE</x:v>
      </x:c>
      <x:c r="C369" s="117" t="str">
        <x:v>301Ro0000137diOIAQ</x:v>
      </x:c>
      <x:c r="D369" s="118" t="n">
        <x:v>3</x:v>
      </x:c>
      <x:c r="E369" s="117" t="str">
        <x:v>Active</x:v>
      </x:c>
      <x:c r="F369" s="117" t="str">
        <x:v>Yes</x:v>
      </x:c>
      <x:c r="G369" s="117" t="str">
        <x:v>Yes</x:v>
      </x:c>
      <x:c r="H369" s="117" t="str">
        <x:v>AutoLaunchedFlow</x:v>
      </x:c>
      <x:c r="I369" s="118" t="n">
        <x:v>66</x:v>
      </x:c>
      <x:c r="J369" s="117" t="str">
        <x:v>unmanaged</x:v>
      </x:c>
      <x:c r="K369" s="123" t="b">
        <x:v>0</x:v>
      </x:c>
      <x:c r="L369" s="117"/>
      <x:c r="M369" s="118"/>
      <x:c r="N369" s="120" t="n">
        <x:v>46126.5321875</x:v>
      </x:c>
      <x:c r="O369" s="117" t="str">
        <x:v>Sacha Pearce</x:v>
      </x:c>
      <x:c r="P369" s="120" t="n">
        <x:v>46126.53224537037</x:v>
      </x:c>
      <x:c r="Q369" s="117" t="str">
        <x:v>Sacha Pearce</x:v>
      </x:c>
      <x:c r="R369" s="117" t="str">
        <x:v>Case - Update - Case Automations - Record-Triggered Flow</x:v>
      </x:c>
      <x:c r="S369" s="119" t="str">
        <x:v>14/04/2026 - SP - Ensuring the varAssignedTo is set in the "Set Status to Claimed" route</x:v>
      </x:c>
    </x:row>
    <x:row r="370" ht="30" customHeight="1">
      <x:c r="A370" s="117" t="str">
        <x:v>Change_Contract_Line_Item_Product_UK</x:v>
      </x:c>
      <x:c r="B370" s="117" t="str">
        <x:v>3005b000000H42uAAC</x:v>
      </x:c>
      <x:c r="C370" s="117" t="str">
        <x:v>3015b000000EL8WAAW</x:v>
      </x:c>
      <x:c r="D370" s="118" t="n">
        <x:v>1</x:v>
      </x:c>
      <x:c r="E370" s="117" t="str">
        <x:v>Obsolete</x:v>
      </x:c>
      <x:c r="F370" s="117" t="str">
        <x:v>No</x:v>
      </x:c>
      <x:c r="G370" s="117" t="str">
        <x:v>No</x:v>
      </x:c>
      <x:c r="H370" s="117" t="str">
        <x:v>Flow</x:v>
      </x:c>
      <x:c r="I370" s="118" t="n">
        <x:v>55</x:v>
      </x:c>
      <x:c r="J370" s="117" t="str">
        <x:v>unmanaged</x:v>
      </x:c>
      <x:c r="K370" s="123" t="b">
        <x:v>0</x:v>
      </x:c>
      <x:c r="L370" s="117"/>
      <x:c r="M370" s="118"/>
      <x:c r="N370" s="120" t="n">
        <x:v>44774.810428240744</x:v>
      </x:c>
      <x:c r="O370" s="117" t="str">
        <x:v>Jace Gentil</x:v>
      </x:c>
      <x:c r="P370" s="120" t="n">
        <x:v>44774.81377314815</x:v>
      </x:c>
      <x:c r="Q370" s="117" t="str">
        <x:v>Jace Gentil</x:v>
      </x:c>
      <x:c r="R370" s="117" t="str">
        <x:v>Change Contract Line Item Product - UK</x:v>
      </x:c>
      <x:c r="S370" s="119"/>
    </x:row>
    <x:row r="371" ht="30" customHeight="1">
      <x:c r="A371" s="117" t="str">
        <x:v>Change_Contract_Line_Item_Product_UK</x:v>
      </x:c>
      <x:c r="B371" s="117" t="str">
        <x:v>3005b000000H42uAAC</x:v>
      </x:c>
      <x:c r="C371" s="117" t="str">
        <x:v>3015b000000EL8bAAG</x:v>
      </x:c>
      <x:c r="D371" s="118" t="n">
        <x:v>2</x:v>
      </x:c>
      <x:c r="E371" s="117" t="str">
        <x:v>Obsolete</x:v>
      </x:c>
      <x:c r="F371" s="117" t="str">
        <x:v>No</x:v>
      </x:c>
      <x:c r="G371" s="117" t="str">
        <x:v>No</x:v>
      </x:c>
      <x:c r="H371" s="117" t="str">
        <x:v>Flow</x:v>
      </x:c>
      <x:c r="I371" s="118" t="n">
        <x:v>55</x:v>
      </x:c>
      <x:c r="J371" s="117" t="str">
        <x:v>unmanaged</x:v>
      </x:c>
      <x:c r="K371" s="123" t="b">
        <x:v>0</x:v>
      </x:c>
      <x:c r="L371" s="117"/>
      <x:c r="M371" s="118"/>
      <x:c r="N371" s="120" t="n">
        <x:v>44774.817337962966</x:v>
      </x:c>
      <x:c r="O371" s="117" t="str">
        <x:v>Jace Gentil</x:v>
      </x:c>
      <x:c r="P371" s="120" t="n">
        <x:v>44774.81738425926</x:v>
      </x:c>
      <x:c r="Q371" s="117" t="str">
        <x:v>Jace Gentil</x:v>
      </x:c>
      <x:c r="R371" s="117" t="str">
        <x:v>Change Contract Line Item Product - UK</x:v>
      </x:c>
      <x:c r="S371" s="119"/>
    </x:row>
    <x:row r="372" ht="30" customHeight="1">
      <x:c r="A372" s="117" t="str">
        <x:v>Change_Contract_Line_Item_Product_UK</x:v>
      </x:c>
      <x:c r="B372" s="117" t="str">
        <x:v>3005b000000H42uAAC</x:v>
      </x:c>
      <x:c r="C372" s="117" t="str">
        <x:v>3015b000000EL8gAAG</x:v>
      </x:c>
      <x:c r="D372" s="118" t="n">
        <x:v>3</x:v>
      </x:c>
      <x:c r="E372" s="117" t="str">
        <x:v>Obsolete</x:v>
      </x:c>
      <x:c r="F372" s="117" t="str">
        <x:v>No</x:v>
      </x:c>
      <x:c r="G372" s="117" t="str">
        <x:v>No</x:v>
      </x:c>
      <x:c r="H372" s="117" t="str">
        <x:v>Flow</x:v>
      </x:c>
      <x:c r="I372" s="118" t="n">
        <x:v>55</x:v>
      </x:c>
      <x:c r="J372" s="117" t="str">
        <x:v>unmanaged</x:v>
      </x:c>
      <x:c r="K372" s="123" t="b">
        <x:v>0</x:v>
      </x:c>
      <x:c r="L372" s="117"/>
      <x:c r="M372" s="118"/>
      <x:c r="N372" s="120" t="n">
        <x:v>44774.821076388886</x:v>
      </x:c>
      <x:c r="O372" s="117" t="str">
        <x:v>Jace Gentil</x:v>
      </x:c>
      <x:c r="P372" s="120" t="n">
        <x:v>44774.82111111111</x:v>
      </x:c>
      <x:c r="Q372" s="117" t="str">
        <x:v>Jace Gentil</x:v>
      </x:c>
      <x:c r="R372" s="117" t="str">
        <x:v>Change Contract Line Item Product - UK</x:v>
      </x:c>
      <x:c r="S372" s="119"/>
    </x:row>
    <x:row r="373" ht="30" customHeight="1">
      <x:c r="A373" s="117" t="str">
        <x:v>Change_Contract_Line_Item_Product_UK</x:v>
      </x:c>
      <x:c r="B373" s="117" t="str">
        <x:v>3005b000000H42uAAC</x:v>
      </x:c>
      <x:c r="C373" s="117" t="str">
        <x:v>3015b000000EL8vAAG</x:v>
      </x:c>
      <x:c r="D373" s="118" t="n">
        <x:v>4</x:v>
      </x:c>
      <x:c r="E373" s="117" t="str">
        <x:v>Obsolete</x:v>
      </x:c>
      <x:c r="F373" s="117" t="str">
        <x:v>No</x:v>
      </x:c>
      <x:c r="G373" s="117" t="str">
        <x:v>No</x:v>
      </x:c>
      <x:c r="H373" s="117" t="str">
        <x:v>Flow</x:v>
      </x:c>
      <x:c r="I373" s="118" t="n">
        <x:v>55</x:v>
      </x:c>
      <x:c r="J373" s="117" t="str">
        <x:v>unmanaged</x:v>
      </x:c>
      <x:c r="K373" s="123" t="b">
        <x:v>0</x:v>
      </x:c>
      <x:c r="L373" s="117"/>
      <x:c r="M373" s="118"/>
      <x:c r="N373" s="120" t="n">
        <x:v>44775.36070601852</x:v>
      </x:c>
      <x:c r="O373" s="117" t="str">
        <x:v>Jace Gentil</x:v>
      </x:c>
      <x:c r="P373" s="120" t="n">
        <x:v>44775.360763888886</x:v>
      </x:c>
      <x:c r="Q373" s="117" t="str">
        <x:v>Jace Gentil</x:v>
      </x:c>
      <x:c r="R373" s="117" t="str">
        <x:v>Change Contract Line Item Product - UK</x:v>
      </x:c>
      <x:c r="S373" s="119"/>
    </x:row>
    <x:row r="374" ht="30" customHeight="1">
      <x:c r="A374" s="117" t="str">
        <x:v>Change_Contract_Line_Item_Product_UK</x:v>
      </x:c>
      <x:c r="B374" s="117" t="str">
        <x:v>3005b000000H42uAAC</x:v>
      </x:c>
      <x:c r="C374" s="117" t="str">
        <x:v>3015b000000AGeSAAW</x:v>
      </x:c>
      <x:c r="D374" s="118" t="n">
        <x:v>5</x:v>
      </x:c>
      <x:c r="E374" s="117" t="str">
        <x:v>Obsolete</x:v>
      </x:c>
      <x:c r="F374" s="117" t="str">
        <x:v>No</x:v>
      </x:c>
      <x:c r="G374" s="117" t="str">
        <x:v>No</x:v>
      </x:c>
      <x:c r="H374" s="117" t="str">
        <x:v>Flow</x:v>
      </x:c>
      <x:c r="I374" s="118" t="n">
        <x:v>55</x:v>
      </x:c>
      <x:c r="J374" s="117" t="str">
        <x:v>unmanaged</x:v>
      </x:c>
      <x:c r="K374" s="123" t="b">
        <x:v>0</x:v>
      </x:c>
      <x:c r="L374" s="117"/>
      <x:c r="M374" s="118"/>
      <x:c r="N374" s="120" t="n">
        <x:v>44972.6025</x:v>
      </x:c>
      <x:c r="O374" s="117" t="str">
        <x:v>Jon Kean</x:v>
      </x:c>
      <x:c r="P374" s="120" t="n">
        <x:v>44972.602627314816</x:v>
      </x:c>
      <x:c r="Q374" s="117" t="str">
        <x:v>Jon Kean</x:v>
      </x:c>
      <x:c r="R374" s="117" t="str">
        <x:v>Change Contract Line Item Product - UK</x:v>
      </x:c>
      <x:c r="S374" s="119"/>
    </x:row>
    <x:row r="375" ht="30" customHeight="1">
      <x:c r="A375" s="117" t="str">
        <x:v>Change_Contract_Line_Item_Product_UK</x:v>
      </x:c>
      <x:c r="B375" s="117" t="str">
        <x:v>3005b000000H42uAAC</x:v>
      </x:c>
      <x:c r="C375" s="117" t="str">
        <x:v>301Ro00000IEriDIAT</x:v>
      </x:c>
      <x:c r="D375" s="118" t="n">
        <x:v>6</x:v>
      </x:c>
      <x:c r="E375" s="117" t="str">
        <x:v>Obsolete</x:v>
      </x:c>
      <x:c r="F375" s="117" t="str">
        <x:v>No</x:v>
      </x:c>
      <x:c r="G375" s="117" t="str">
        <x:v>No</x:v>
      </x:c>
      <x:c r="H375" s="117" t="str">
        <x:v>Flow</x:v>
      </x:c>
      <x:c r="I375" s="118" t="n">
        <x:v>55</x:v>
      </x:c>
      <x:c r="J375" s="117" t="str">
        <x:v>unmanaged</x:v>
      </x:c>
      <x:c r="K375" s="123" t="b">
        <x:v>0</x:v>
      </x:c>
      <x:c r="L375" s="117"/>
      <x:c r="M375" s="118"/>
      <x:c r="N375" s="120" t="n">
        <x:v>45506.58116898148</x:v>
      </x:c>
      <x:c r="O375" s="117" t="str">
        <x:v>Jon Kean</x:v>
      </x:c>
      <x:c r="P375" s="120" t="n">
        <x:v>45506.58127314815</x:v>
      </x:c>
      <x:c r="Q375" s="117" t="str">
        <x:v>Jon Kean</x:v>
      </x:c>
      <x:c r="R375" s="117" t="str">
        <x:v>Change Contract Line Item Product - UK</x:v>
      </x:c>
      <x:c r="S375" s="119"/>
    </x:row>
    <x:row r="376" ht="30" customHeight="1">
      <x:c r="A376" s="117" t="str">
        <x:v>Change_Contract_Line_Item_Product_UK</x:v>
      </x:c>
      <x:c r="B376" s="117" t="str">
        <x:v>3005b000000H42uAAC</x:v>
      </x:c>
      <x:c r="C376" s="117" t="str">
        <x:v>301Ro00000PtqE6IAJ</x:v>
      </x:c>
      <x:c r="D376" s="118" t="n">
        <x:v>7</x:v>
      </x:c>
      <x:c r="E376" s="117" t="str">
        <x:v>Obsolete</x:v>
      </x:c>
      <x:c r="F376" s="117" t="str">
        <x:v>No</x:v>
      </x:c>
      <x:c r="G376" s="117" t="str">
        <x:v>No</x:v>
      </x:c>
      <x:c r="H376" s="117" t="str">
        <x:v>Flow</x:v>
      </x:c>
      <x:c r="I376" s="118" t="n">
        <x:v>55</x:v>
      </x:c>
      <x:c r="J376" s="117" t="str">
        <x:v>unmanaged</x:v>
      </x:c>
      <x:c r="K376" s="123" t="b">
        <x:v>0</x:v>
      </x:c>
      <x:c r="L376" s="117"/>
      <x:c r="M376" s="118"/>
      <x:c r="N376" s="120" t="n">
        <x:v>45630.394537037035</x:v>
      </x:c>
      <x:c r="O376" s="117" t="str">
        <x:v>Jon Kean</x:v>
      </x:c>
      <x:c r="P376" s="120" t="n">
        <x:v>45630.39460648148</x:v>
      </x:c>
      <x:c r="Q376" s="117" t="str">
        <x:v>Jon Kean</x:v>
      </x:c>
      <x:c r="R376" s="117" t="str">
        <x:v>Change Contract Line Item Product - UK</x:v>
      </x:c>
      <x:c r="S376" s="119"/>
    </x:row>
    <x:row r="377" ht="30" customHeight="1">
      <x:c r="A377" s="117" t="str">
        <x:v>Change_Contract_Line_Item_Product_UK</x:v>
      </x:c>
      <x:c r="B377" s="117" t="str">
        <x:v>3005b000000H42uAAC</x:v>
      </x:c>
      <x:c r="C377" s="117" t="str">
        <x:v>301Ro00000TPoliIAD</x:v>
      </x:c>
      <x:c r="D377" s="118" t="n">
        <x:v>8</x:v>
      </x:c>
      <x:c r="E377" s="117" t="str">
        <x:v>Obsolete</x:v>
      </x:c>
      <x:c r="F377" s="117" t="str">
        <x:v>No</x:v>
      </x:c>
      <x:c r="G377" s="117" t="str">
        <x:v>No</x:v>
      </x:c>
      <x:c r="H377" s="117" t="str">
        <x:v>Flow</x:v>
      </x:c>
      <x:c r="I377" s="118" t="n">
        <x:v>55</x:v>
      </x:c>
      <x:c r="J377" s="117" t="str">
        <x:v>unmanaged</x:v>
      </x:c>
      <x:c r="K377" s="123" t="b">
        <x:v>0</x:v>
      </x:c>
      <x:c r="L377" s="117"/>
      <x:c r="M377" s="118"/>
      <x:c r="N377" s="120" t="n">
        <x:v>45693.661041666666</x:v>
      </x:c>
      <x:c r="O377" s="117" t="str">
        <x:v>Jon Kean</x:v>
      </x:c>
      <x:c r="P377" s="120" t="n">
        <x:v>45693.66113425926</x:v>
      </x:c>
      <x:c r="Q377" s="117" t="str">
        <x:v>Jon Kean</x:v>
      </x:c>
      <x:c r="R377" s="117" t="str">
        <x:v>Change Contract Line Item Product - UK</x:v>
      </x:c>
      <x:c r="S377" s="119" t="str">
        <x:v>Added a completion screen at the end of the flow</x:v>
      </x:c>
    </x:row>
    <x:row r="378" ht="30" customHeight="1">
      <x:c r="A378" s="117" t="str">
        <x:v>Change_Contract_Line_Item_Product_UK</x:v>
      </x:c>
      <x:c r="B378" s="117" t="str">
        <x:v>3005b000000H42uAAC</x:v>
      </x:c>
      <x:c r="C378" s="117" t="str">
        <x:v>301Ro00000WZAocIAH</x:v>
      </x:c>
      <x:c r="D378" s="118" t="n">
        <x:v>9</x:v>
      </x:c>
      <x:c r="E378" s="117" t="str">
        <x:v>Active</x:v>
      </x:c>
      <x:c r="F378" s="117" t="str">
        <x:v>Yes</x:v>
      </x:c>
      <x:c r="G378" s="117" t="str">
        <x:v>Yes</x:v>
      </x:c>
      <x:c r="H378" s="117" t="str">
        <x:v>Flow</x:v>
      </x:c>
      <x:c r="I378" s="118" t="n">
        <x:v>55</x:v>
      </x:c>
      <x:c r="J378" s="117" t="str">
        <x:v>unmanaged</x:v>
      </x:c>
      <x:c r="K378" s="123" t="b">
        <x:v>0</x:v>
      </x:c>
      <x:c r="L378" s="117"/>
      <x:c r="M378" s="118"/>
      <x:c r="N378" s="120" t="n">
        <x:v>45747.6512037037</x:v>
      </x:c>
      <x:c r="O378" s="117" t="str">
        <x:v>Sacha Pearce</x:v>
      </x:c>
      <x:c r="P378" s="120" t="n">
        <x:v>45747.65130787037</x:v>
      </x:c>
      <x:c r="Q378" s="117" t="str">
        <x:v>Sacha Pearce</x:v>
      </x:c>
      <x:c r="R378" s="117" t="str">
        <x:v>Change Contract Line Item Product - UK</x:v>
      </x:c>
      <x:c r="S378" s="119" t="str">
        <x:v>Added a completion screen at the end of the flow
Added Modality to CreateNewContractLineItem - SP 31/03/2025</x:v>
      </x:c>
    </x:row>
    <x:row r="379" ht="30" customHeight="1">
      <x:c r="A379" s="117" t="str">
        <x:v>Change_Request_After_Update_Lifecycle_Automations</x:v>
      </x:c>
      <x:c r="B379" s="117" t="str">
        <x:v>300Ro00000vlkEhIAI</x:v>
      </x:c>
      <x:c r="C379" s="117" t="str">
        <x:v>301Ro000013mxRoIAI</x:v>
      </x:c>
      <x:c r="D379" s="118" t="n">
        <x:v>1</x:v>
      </x:c>
      <x:c r="E379" s="117" t="str">
        <x:v>Active</x:v>
      </x:c>
      <x:c r="F379" s="117" t="str">
        <x:v>Yes</x:v>
      </x:c>
      <x:c r="G379" s="117" t="str">
        <x:v>Yes</x:v>
      </x:c>
      <x:c r="H379" s="117" t="str">
        <x:v>AutoLaunchedFlow</x:v>
      </x:c>
      <x:c r="I379" s="118" t="n">
        <x:v>66</x:v>
      </x:c>
      <x:c r="J379" s="117" t="str">
        <x:v>unmanaged</x:v>
      </x:c>
      <x:c r="K379" s="123" t="b">
        <x:v>0</x:v>
      </x:c>
      <x:c r="L379" s="117"/>
      <x:c r="M379" s="118"/>
      <x:c r="N379" s="120" t="n">
        <x:v>46134.341099537036</x:v>
      </x:c>
      <x:c r="O379" s="117" t="str">
        <x:v>Sacha Pearce</x:v>
      </x:c>
      <x:c r="P379" s="120" t="n">
        <x:v>46134.343506944446</x:v>
      </x:c>
      <x:c r="Q379" s="117" t="str">
        <x:v>Sacha Pearce</x:v>
      </x:c>
      <x:c r="R379" s="117" t="str">
        <x:v>Change Request - After Update - Lifecycle Automations</x:v>
      </x:c>
      <x:c r="S379" s="119" t="str">
        <x:v>22/04/2026 - SP - This Flow has been designed to update a Change Request's Related Document after the record has been marked as published.</x:v>
      </x:c>
    </x:row>
    <x:row r="380" ht="30" customHeight="1">
      <x:c r="A380" s="117" t="str">
        <x:v>Change_Request_Screen_Flow_Request_New_Document</x:v>
      </x:c>
      <x:c r="B380" s="117" t="str">
        <x:v>300Ro00000tWVtzIAG</x:v>
      </x:c>
      <x:c r="C380" s="117" t="str">
        <x:v>301Ro0000123t4nIAA</x:v>
      </x:c>
      <x:c r="D380" s="118" t="n">
        <x:v>1</x:v>
      </x:c>
      <x:c r="E380" s="117" t="str">
        <x:v>Obsolete</x:v>
      </x:c>
      <x:c r="F380" s="117" t="str">
        <x:v>No</x:v>
      </x:c>
      <x:c r="G380" s="117" t="str">
        <x:v>No</x:v>
      </x:c>
      <x:c r="H380" s="117" t="str">
        <x:v>Flow</x:v>
      </x:c>
      <x:c r="I380" s="118" t="n">
        <x:v>66</x:v>
      </x:c>
      <x:c r="J380" s="117" t="str">
        <x:v>unmanaged</x:v>
      </x:c>
      <x:c r="K380" s="123" t="b">
        <x:v>0</x:v>
      </x:c>
      <x:c r="L380" s="117"/>
      <x:c r="M380" s="118"/>
      <x:c r="N380" s="120" t="n">
        <x:v>46113.53099537037</x:v>
      </x:c>
      <x:c r="O380" s="117" t="str">
        <x:v>Sacha Pearce</x:v>
      </x:c>
      <x:c r="P380" s="120" t="n">
        <x:v>46139.38976851852</x:v>
      </x:c>
      <x:c r="Q380" s="117" t="str">
        <x:v>Sacha Pearce</x:v>
      </x:c>
      <x:c r="R380" s="117" t="str">
        <x:v>Change Request - Screen Flow - Request New Document</x:v>
      </x:c>
      <x:c r="S380" s="119" t="str">
        <x:v>This is used by various team members to request that a new document is introduced into the QMS.</x:v>
      </x:c>
    </x:row>
    <x:row r="381" ht="30" customHeight="1">
      <x:c r="A381" s="117" t="str">
        <x:v>Change_Request_Screen_Flow_Request_New_Document</x:v>
      </x:c>
      <x:c r="B381" s="117" t="str">
        <x:v>300Ro00000tWVtzIAG</x:v>
      </x:c>
      <x:c r="C381" s="117" t="str">
        <x:v>301Ro0000149vNdIAI</x:v>
      </x:c>
      <x:c r="D381" s="118" t="n">
        <x:v>2</x:v>
      </x:c>
      <x:c r="E381" s="117" t="str">
        <x:v>Active</x:v>
      </x:c>
      <x:c r="F381" s="117" t="str">
        <x:v>Yes</x:v>
      </x:c>
      <x:c r="G381" s="117" t="str">
        <x:v>Yes</x:v>
      </x:c>
      <x:c r="H381" s="117" t="str">
        <x:v>Flow</x:v>
      </x:c>
      <x:c r="I381" s="118" t="n">
        <x:v>66</x:v>
      </x:c>
      <x:c r="J381" s="117" t="str">
        <x:v>unmanaged</x:v>
      </x:c>
      <x:c r="K381" s="123" t="b">
        <x:v>0</x:v>
      </x:c>
      <x:c r="L381" s="117"/>
      <x:c r="M381" s="118"/>
      <x:c r="N381" s="120" t="n">
        <x:v>46139.38995370371</x:v>
      </x:c>
      <x:c r="O381" s="117" t="str">
        <x:v>Sacha Pearce</x:v>
      </x:c>
      <x:c r="P381" s="120" t="n">
        <x:v>46139.390023148146</x:v>
      </x:c>
      <x:c r="Q381" s="117" t="str">
        <x:v>Sacha Pearce</x:v>
      </x:c>
      <x:c r="R381" s="117" t="str">
        <x:v>Change Request - Screen Flow - Request New Document</x:v>
      </x:c>
      <x:c r="S381" s="119" t="str">
        <x:v>This is used by various team members to request that a new document is introduced into the QMS.</x:v>
      </x:c>
    </x:row>
    <x:row r="382" ht="30" customHeight="1">
      <x:c r="A382" s="117" t="str">
        <x:v>Charge_for_Removal_Update_Flow_for_Big_Iron_Equipment</x:v>
      </x:c>
      <x:c r="B382" s="117" t="str">
        <x:v>3005b000000H421AAC</x:v>
      </x:c>
      <x:c r="C382" s="117" t="str">
        <x:v>3015b000000EL0wAAG</x:v>
      </x:c>
      <x:c r="D382" s="118" t="n">
        <x:v>1</x:v>
      </x:c>
      <x:c r="E382" s="117" t="str">
        <x:v>Obsolete</x:v>
      </x:c>
      <x:c r="F382" s="117" t="str">
        <x:v>No</x:v>
      </x:c>
      <x:c r="G382" s="117" t="str">
        <x:v>No</x:v>
      </x:c>
      <x:c r="H382" s="117" t="str">
        <x:v>AutoLaunchedFlow</x:v>
      </x:c>
      <x:c r="I382" s="118" t="n">
        <x:v>55</x:v>
      </x:c>
      <x:c r="J382" s="117" t="str">
        <x:v>unmanaged</x:v>
      </x:c>
      <x:c r="K382" s="123" t="b">
        <x:v>0</x:v>
      </x:c>
      <x:c r="L382" s="117"/>
      <x:c r="M382" s="118"/>
      <x:c r="N382" s="120" t="n">
        <x:v>44763.529340277775</x:v>
      </x:c>
      <x:c r="O382" s="117" t="str">
        <x:v>Jace Gentil</x:v>
      </x:c>
      <x:c r="P382" s="120" t="n">
        <x:v>44763.529444444444</x:v>
      </x:c>
      <x:c r="Q382" s="117" t="str">
        <x:v>Jace Gentil</x:v>
      </x:c>
      <x:c r="R382" s="117" t="str">
        <x:v>Charge for Removal Update Flow for Big Iron Equipment</x:v>
      </x:c>
      <x:c r="S382" s="119"/>
    </x:row>
    <x:row r="383" ht="30" customHeight="1">
      <x:c r="A383" s="117" t="str">
        <x:v>Charge_for_Removal_Update_Flow_for_Big_Iron_Equipment</x:v>
      </x:c>
      <x:c r="B383" s="117" t="str">
        <x:v>3005b000000H421AAC</x:v>
      </x:c>
      <x:c r="C383" s="117" t="str">
        <x:v>301Ro000017SxS2IAK</x:v>
      </x:c>
      <x:c r="D383" s="118" t="n">
        <x:v>2</x:v>
      </x:c>
      <x:c r="E383" s="117" t="str">
        <x:v>Active</x:v>
      </x:c>
      <x:c r="F383" s="117" t="str">
        <x:v>Yes</x:v>
      </x:c>
      <x:c r="G383" s="117" t="str">
        <x:v>Yes</x:v>
      </x:c>
      <x:c r="H383" s="117" t="str">
        <x:v>AutoLaunchedFlow</x:v>
      </x:c>
      <x:c r="I383" s="118" t="n">
        <x:v>55</x:v>
      </x:c>
      <x:c r="J383" s="117" t="str">
        <x:v>unmanaged</x:v>
      </x:c>
      <x:c r="K383" s="123" t="b">
        <x:v>0</x:v>
      </x:c>
      <x:c r="L383" s="117"/>
      <x:c r="M383" s="118"/>
      <x:c r="N383" s="120" t="n">
        <x:v>46176.33289351852</x:v>
      </x:c>
      <x:c r="O383" s="117" t="str">
        <x:v>Sacha Pearce</x:v>
      </x:c>
      <x:c r="P383" s="120" t="n">
        <x:v>46176.332962962966</x:v>
      </x:c>
      <x:c r="Q383" s="117" t="str">
        <x:v>Sacha Pearce</x:v>
      </x:c>
      <x:c r="R383" s="117" t="str">
        <x:v>Charge for Removal Update Flow for Big Iron Equipment</x:v>
      </x:c>
      <x:c r="S383" s="119" t="str">
        <x:v>03/06/2026 - SP - Updating the Flow to run asynchronously to help avoid SOQL limits.</x:v>
      </x:c>
    </x:row>
    <x:row r="384" ht="30" customHeight="1">
      <x:c r="A384" s="117" t="str">
        <x:v>Cloned_Opportunity_Update_FSR_Attached_and_FSR_Not_Required_to_False</x:v>
      </x:c>
      <x:c r="B384" s="117" t="str">
        <x:v>300Ro00000yA4ZFIA0</x:v>
      </x:c>
      <x:c r="C384" s="117" t="str">
        <x:v>301Ro000016Q82nIAC</x:v>
      </x:c>
      <x:c r="D384" s="118" t="n">
        <x:v>1</x:v>
      </x:c>
      <x:c r="E384" s="117" t="str">
        <x:v>Active</x:v>
      </x:c>
      <x:c r="F384" s="117" t="str">
        <x:v>Yes</x:v>
      </x:c>
      <x:c r="G384" s="117" t="str">
        <x:v>Yes</x:v>
      </x:c>
      <x:c r="H384" s="117" t="str">
        <x:v>AutoLaunchedFlow</x:v>
      </x:c>
      <x:c r="I384" s="118" t="n">
        <x:v>66</x:v>
      </x:c>
      <x:c r="J384" s="117" t="str">
        <x:v>unmanaged</x:v>
      </x:c>
      <x:c r="K384" s="123" t="b">
        <x:v>0</x:v>
      </x:c>
      <x:c r="L384" s="117"/>
      <x:c r="M384" s="118"/>
      <x:c r="N384" s="120" t="n">
        <x:v>46164.5175</x:v>
      </x:c>
      <x:c r="O384" s="117" t="str">
        <x:v>Delegate</x:v>
      </x:c>
      <x:c r="P384" s="120" t="n">
        <x:v>46164.51793981482</x:v>
      </x:c>
      <x:c r="Q384" s="117" t="str">
        <x:v>Delegate</x:v>
      </x:c>
      <x:c r="R384" s="117" t="str">
        <x:v>Cloned Opportunity, Update FSR Attached and FSR Not Required to False</x:v>
      </x:c>
      <x:c r="S384" s="119" t="str">
        <x:v>Sets FSR Not Required or FSR Attached to false upon cloning an opportunity</x:v>
      </x:c>
    </x:row>
    <x:row r="385" ht="30" customHeight="1">
      <x:c r="A385" s="117" t="str">
        <x:v>Close_Win_Charge_for_Removal_Op_Automatically</x:v>
      </x:c>
      <x:c r="B385" s="117" t="str">
        <x:v>3005b000000H3h8AAC</x:v>
      </x:c>
      <x:c r="C385" s="117" t="str">
        <x:v>3015b000000EJ5VAAW</x:v>
      </x:c>
      <x:c r="D385" s="118" t="n">
        <x:v>1</x:v>
      </x:c>
      <x:c r="E385" s="117" t="str">
        <x:v>Obsolete</x:v>
      </x:c>
      <x:c r="F385" s="117" t="str">
        <x:v>No</x:v>
      </x:c>
      <x:c r="G385" s="117" t="str">
        <x:v>No</x:v>
      </x:c>
      <x:c r="H385" s="117" t="str">
        <x:v>AutoLaunchedFlow</x:v>
      </x:c>
      <x:c r="I385" s="118" t="n">
        <x:v>54</x:v>
      </x:c>
      <x:c r="J385" s="117" t="str">
        <x:v>unmanaged</x:v>
      </x:c>
      <x:c r="K385" s="123" t="b">
        <x:v>0</x:v>
      </x:c>
      <x:c r="L385" s="117"/>
      <x:c r="M385" s="118"/>
      <x:c r="N385" s="120" t="n">
        <x:v>44663.502800925926</x:v>
      </x:c>
      <x:c r="O385" s="117" t="str">
        <x:v>Jace Gentil</x:v>
      </x:c>
      <x:c r="P385" s="120" t="n">
        <x:v>44678.379907407405</x:v>
      </x:c>
      <x:c r="Q385" s="117" t="str">
        <x:v>Jace Gentil</x:v>
      </x:c>
      <x:c r="R385" s="117" t="str">
        <x:v>Close Win Charge for Removal Op Automatically</x:v>
      </x:c>
      <x:c r="S385" s="119"/>
    </x:row>
    <x:row r="386" ht="30" customHeight="1">
      <x:c r="A386" s="117" t="str">
        <x:v>Close_Win_Charge_for_Removal_Op_Automatically</x:v>
      </x:c>
      <x:c r="B386" s="117" t="str">
        <x:v>3005b000000H3h8AAC</x:v>
      </x:c>
      <x:c r="C386" s="117" t="str">
        <x:v>3015b000000APeqAAG</x:v>
      </x:c>
      <x:c r="D386" s="118" t="n">
        <x:v>2</x:v>
      </x:c>
      <x:c r="E386" s="117" t="str">
        <x:v>Draft</x:v>
      </x:c>
      <x:c r="F386" s="117" t="str">
        <x:v>No</x:v>
      </x:c>
      <x:c r="G386" s="117" t="str">
        <x:v>No</x:v>
      </x:c>
      <x:c r="H386" s="117" t="str">
        <x:v>AutoLaunchedFlow</x:v>
      </x:c>
      <x:c r="I386" s="118" t="n">
        <x:v>54</x:v>
      </x:c>
      <x:c r="J386" s="117" t="str">
        <x:v>unmanaged</x:v>
      </x:c>
      <x:c r="K386" s="123" t="b">
        <x:v>0</x:v>
      </x:c>
      <x:c r="L386" s="117"/>
      <x:c r="M386" s="118"/>
      <x:c r="N386" s="120" t="n">
        <x:v>45145.54782407408</x:v>
      </x:c>
      <x:c r="O386" s="117" t="str">
        <x:v>Delegate</x:v>
      </x:c>
      <x:c r="P386" s="120" t="n">
        <x:v>45145.54783564815</x:v>
      </x:c>
      <x:c r="Q386" s="117" t="str">
        <x:v>Delegate</x:v>
      </x:c>
      <x:c r="R386" s="117" t="str">
        <x:v>Close Win Charge for Removal Op Automatically</x:v>
      </x:c>
      <x:c r="S386" s="119" t="str">
        <x:v>Added asynchronous path</x:v>
      </x:c>
    </x:row>
    <x:row r="387" ht="30" customHeight="1">
      <x:c r="A387" s="117" t="str">
        <x:v>Close_Win_Charge_for_Removal_Op_Automatically</x:v>
      </x:c>
      <x:c r="B387" s="117" t="str">
        <x:v>3005b000000H3h8AAC</x:v>
      </x:c>
      <x:c r="C387" s="117" t="str">
        <x:v>301Ro00000CkFjWIAV</x:v>
      </x:c>
      <x:c r="D387" s="118" t="n">
        <x:v>3</x:v>
      </x:c>
      <x:c r="E387" s="117" t="str">
        <x:v>Active</x:v>
      </x:c>
      <x:c r="F387" s="117" t="str">
        <x:v>Yes</x:v>
      </x:c>
      <x:c r="G387" s="117" t="str">
        <x:v>Yes</x:v>
      </x:c>
      <x:c r="H387" s="117" t="str">
        <x:v>AutoLaunchedFlow</x:v>
      </x:c>
      <x:c r="I387" s="118" t="n">
        <x:v>54</x:v>
      </x:c>
      <x:c r="J387" s="117" t="str">
        <x:v>unmanaged</x:v>
      </x:c>
      <x:c r="K387" s="123" t="b">
        <x:v>0</x:v>
      </x:c>
      <x:c r="L387" s="117"/>
      <x:c r="M387" s="118"/>
      <x:c r="N387" s="120" t="n">
        <x:v>45425.831921296296</x:v>
      </x:c>
      <x:c r="O387" s="117" t="str">
        <x:v>Jace Gentil</x:v>
      </x:c>
      <x:c r="P387" s="120" t="n">
        <x:v>45425.831967592596</x:v>
      </x:c>
      <x:c r="Q387" s="117" t="str">
        <x:v>Jace Gentil</x:v>
      </x:c>
      <x:c r="R387" s="117" t="str">
        <x:v>Close Win Charge for Removal Op Automatically</x:v>
      </x:c>
      <x:c r="S387" s="119"/>
    </x:row>
    <x:row r="388" ht="30" customHeight="1">
      <x:c r="A388" s="117" t="str">
        <x:v>CM_Set_Initial_Credit_Memo_Amount_from_Lines</x:v>
      </x:c>
      <x:c r="B388" s="117" t="str">
        <x:v>3005b00000113fZAAQ</x:v>
      </x:c>
      <x:c r="C388" s="117" t="str">
        <x:v>3015b0000011MnDAAU</x:v>
      </x:c>
      <x:c r="D388" s="118" t="n">
        <x:v>1</x:v>
      </x:c>
      <x:c r="E388" s="117" t="str">
        <x:v>Active</x:v>
      </x:c>
      <x:c r="F388" s="117" t="str">
        <x:v>Yes</x:v>
      </x:c>
      <x:c r="G388" s="117" t="str">
        <x:v>Yes</x:v>
      </x:c>
      <x:c r="H388" s="117" t="str">
        <x:v>AutoLaunchedFlow</x:v>
      </x:c>
      <x:c r="I388" s="118" t="n">
        <x:v>59</x:v>
      </x:c>
      <x:c r="J388" s="117" t="str">
        <x:v>unmanaged</x:v>
      </x:c>
      <x:c r="K388" s="123" t="b">
        <x:v>0</x:v>
      </x:c>
      <x:c r="L388" s="117"/>
      <x:c r="M388" s="118"/>
      <x:c r="N388" s="120" t="n">
        <x:v>45271.519467592596</x:v>
      </x:c>
      <x:c r="O388" s="117" t="str">
        <x:v>Delegate</x:v>
      </x:c>
      <x:c r="P388" s="120" t="n">
        <x:v>45271.51951388889</x:v>
      </x:c>
      <x:c r="Q388" s="117" t="str">
        <x:v>Delegate</x:v>
      </x:c>
      <x:c r="R388" s="117" t="str">
        <x:v>CM - Set Initial Credit Memo Amount from Lines</x:v>
      </x:c>
      <x:c r="S388" s="119" t="str">
        <x:v>12/11/2023 (BW) - Runs the initial setting of the credit memo amount when the credit memo is selected to be based on the opportunity products.</x:v>
      </x:c>
    </x:row>
    <x:row r="389" ht="30" customHeight="1">
      <x:c r="A389" s="117" t="str">
        <x:v>Coil_RMA_Update_Last_Test_Completed_Date_Flow</x:v>
      </x:c>
      <x:c r="B389" s="117" t="str">
        <x:v>3005b000000Pzl1AAC</x:v>
      </x:c>
      <x:c r="C389" s="117" t="str">
        <x:v>3015b000000W3RKAA0</x:v>
      </x:c>
      <x:c r="D389" s="118" t="n">
        <x:v>1</x:v>
      </x:c>
      <x:c r="E389" s="117" t="str">
        <x:v>Draft</x:v>
      </x:c>
      <x:c r="F389" s="117" t="str">
        <x:v>No</x:v>
      </x:c>
      <x:c r="G389" s="117" t="str">
        <x:v>No</x:v>
      </x:c>
      <x:c r="H389" s="117" t="str">
        <x:v>AutoLaunchedFlow</x:v>
      </x:c>
      <x:c r="I389" s="118" t="n">
        <x:v>57</x:v>
      </x:c>
      <x:c r="J389" s="117" t="str">
        <x:v>unmanaged</x:v>
      </x:c>
      <x:c r="K389" s="123" t="b">
        <x:v>0</x:v>
      </x:c>
      <x:c r="L389" s="117"/>
      <x:c r="M389" s="118"/>
      <x:c r="N389" s="120" t="n">
        <x:v>45071.842939814815</x:v>
      </x:c>
      <x:c r="O389" s="117" t="str">
        <x:v>Jace Gentil</x:v>
      </x:c>
      <x:c r="P389" s="120" t="n">
        <x:v>45071.84295138889</x:v>
      </x:c>
      <x:c r="Q389" s="117" t="str">
        <x:v>Jace Gentil</x:v>
      </x:c>
      <x:c r="R389" s="117" t="str">
        <x:v>Coil RMA Update Last Test Completed Date Flow</x:v>
      </x:c>
      <x:c r="S389" s="119"/>
    </x:row>
    <x:row r="390" ht="30" customHeight="1">
      <x:c r="A390" s="117" t="str">
        <x:v>Coil_RMA_Update_Last_Test_Completed_Date_Flow</x:v>
      </x:c>
      <x:c r="B390" s="117" t="str">
        <x:v>3005b000000Pzl1AAC</x:v>
      </x:c>
      <x:c r="C390" s="117" t="str">
        <x:v>3015b000000W3RPAA0</x:v>
      </x:c>
      <x:c r="D390" s="118" t="n">
        <x:v>2</x:v>
      </x:c>
      <x:c r="E390" s="117" t="str">
        <x:v>Active</x:v>
      </x:c>
      <x:c r="F390" s="117" t="str">
        <x:v>Yes</x:v>
      </x:c>
      <x:c r="G390" s="117" t="str">
        <x:v>Yes</x:v>
      </x:c>
      <x:c r="H390" s="117" t="str">
        <x:v>AutoLaunchedFlow</x:v>
      </x:c>
      <x:c r="I390" s="118" t="n">
        <x:v>57</x:v>
      </x:c>
      <x:c r="J390" s="117" t="str">
        <x:v>unmanaged</x:v>
      </x:c>
      <x:c r="K390" s="123" t="b">
        <x:v>0</x:v>
      </x:c>
      <x:c r="L390" s="117"/>
      <x:c r="M390" s="118"/>
      <x:c r="N390" s="120" t="n">
        <x:v>45071.842986111114</x:v>
      </x:c>
      <x:c r="O390" s="117" t="str">
        <x:v>Jace Gentil</x:v>
      </x:c>
      <x:c r="P390" s="120" t="n">
        <x:v>45071.84302083333</x:v>
      </x:c>
      <x:c r="Q390" s="117" t="str">
        <x:v>Jace Gentil</x:v>
      </x:c>
      <x:c r="R390" s="117" t="str">
        <x:v>Coil RMA Update Last Test Completed Date Flow</x:v>
      </x:c>
      <x:c r="S390" s="119"/>
    </x:row>
    <x:row r="391" ht="30" customHeight="1">
      <x:c r="A391" s="117" t="str">
        <x:v>Cold_Storage_Rig_In_Screen_Flow</x:v>
      </x:c>
      <x:c r="B391" s="117" t="str">
        <x:v>300Ro00000OIdl5IAD</x:v>
      </x:c>
      <x:c r="C391" s="117" t="str">
        <x:v>301Ro00000QmFkJIAV</x:v>
      </x:c>
      <x:c r="D391" s="118" t="n">
        <x:v>1</x:v>
      </x:c>
      <x:c r="E391" s="117" t="str">
        <x:v>Obsolete</x:v>
      </x:c>
      <x:c r="F391" s="117" t="str">
        <x:v>No</x:v>
      </x:c>
      <x:c r="G391" s="117" t="str">
        <x:v>No</x:v>
      </x:c>
      <x:c r="H391" s="117" t="str">
        <x:v>Flow</x:v>
      </x:c>
      <x:c r="I391" s="118" t="n">
        <x:v>61</x:v>
      </x:c>
      <x:c r="J391" s="117" t="str">
        <x:v>unmanaged</x:v>
      </x:c>
      <x:c r="K391" s="123" t="b">
        <x:v>0</x:v>
      </x:c>
      <x:c r="L391" s="117" t="str">
        <x:v>DefaultMode</x:v>
      </x:c>
      <x:c r="M391" s="118"/>
      <x:c r="N391" s="120" t="n">
        <x:v>45644.97725694445</x:v>
      </x:c>
      <x:c r="O391" s="117" t="str">
        <x:v>Natalie Boger</x:v>
      </x:c>
      <x:c r="P391" s="120" t="n">
        <x:v>45644.977326388886</x:v>
      </x:c>
      <x:c r="Q391" s="117" t="str">
        <x:v>Natalie Boger</x:v>
      </x:c>
      <x:c r="R391" s="117" t="str">
        <x:v>Cold Storage Rig In Screen Flow</x:v>
      </x:c>
      <x:c r="S391" s="119"/>
    </x:row>
    <x:row r="392" ht="30" customHeight="1">
      <x:c r="A392" s="117" t="str">
        <x:v>Cold_Storage_Rig_In_Screen_Flow</x:v>
      </x:c>
      <x:c r="B392" s="117" t="str">
        <x:v>300Ro00000OIdl5IAD</x:v>
      </x:c>
      <x:c r="C392" s="117" t="str">
        <x:v>301Ro00000QmwNhIAJ</x:v>
      </x:c>
      <x:c r="D392" s="118" t="n">
        <x:v>2</x:v>
      </x:c>
      <x:c r="E392" s="117" t="str">
        <x:v>Obsolete</x:v>
      </x:c>
      <x:c r="F392" s="117" t="str">
        <x:v>No</x:v>
      </x:c>
      <x:c r="G392" s="117" t="str">
        <x:v>No</x:v>
      </x:c>
      <x:c r="H392" s="117" t="str">
        <x:v>Flow</x:v>
      </x:c>
      <x:c r="I392" s="118" t="n">
        <x:v>61</x:v>
      </x:c>
      <x:c r="J392" s="117" t="str">
        <x:v>unmanaged</x:v>
      </x:c>
      <x:c r="K392" s="123" t="b">
        <x:v>0</x:v>
      </x:c>
      <x:c r="L392" s="117" t="str">
        <x:v>DefaultMode</x:v>
      </x:c>
      <x:c r="M392" s="118"/>
      <x:c r="N392" s="120" t="n">
        <x:v>45645.16606481482</x:v>
      </x:c>
      <x:c r="O392" s="117" t="str">
        <x:v>Natalie Boger</x:v>
      </x:c>
      <x:c r="P392" s="120" t="n">
        <x:v>45645.16612268519</x:v>
      </x:c>
      <x:c r="Q392" s="117" t="str">
        <x:v>Natalie Boger</x:v>
      </x:c>
      <x:c r="R392" s="117" t="str">
        <x:v>Cold Storage Rig In Screen Flow</x:v>
      </x:c>
      <x:c r="S392" s="119" t="str">
        <x:v>Added RIG IN to subject line</x:v>
      </x:c>
    </x:row>
    <x:row r="393" ht="30" customHeight="1">
      <x:c r="A393" s="117" t="str">
        <x:v>Cold_Storage_Rig_In_Screen_Flow</x:v>
      </x:c>
      <x:c r="B393" s="117" t="str">
        <x:v>300Ro00000OIdl5IAD</x:v>
      </x:c>
      <x:c r="C393" s="117" t="str">
        <x:v>301Ro00000XC4RSIA1</x:v>
      </x:c>
      <x:c r="D393" s="118" t="n">
        <x:v>3</x:v>
      </x:c>
      <x:c r="E393" s="117" t="str">
        <x:v>Active</x:v>
      </x:c>
      <x:c r="F393" s="117" t="str">
        <x:v>Yes</x:v>
      </x:c>
      <x:c r="G393" s="117" t="str">
        <x:v>Yes</x:v>
      </x:c>
      <x:c r="H393" s="117" t="str">
        <x:v>Flow</x:v>
      </x:c>
      <x:c r="I393" s="118" t="n">
        <x:v>61</x:v>
      </x:c>
      <x:c r="J393" s="117" t="str">
        <x:v>unmanaged</x:v>
      </x:c>
      <x:c r="K393" s="123" t="b">
        <x:v>0</x:v>
      </x:c>
      <x:c r="L393" s="117" t="str">
        <x:v>DefaultMode</x:v>
      </x:c>
      <x:c r="M393" s="118"/>
      <x:c r="N393" s="120" t="n">
        <x:v>45757.78863425926</x:v>
      </x:c>
      <x:c r="O393" s="117" t="str">
        <x:v>Delegate</x:v>
      </x:c>
      <x:c r="P393" s="120" t="n">
        <x:v>45757.78870370371</x:v>
      </x:c>
      <x:c r="Q393" s="117" t="str">
        <x:v>Delegate</x:v>
      </x:c>
      <x:c r="R393" s="117" t="str">
        <x:v>Cold Storage Rig In Screen Flow</x:v>
      </x:c>
      <x:c r="S393" s="119" t="str">
        <x:v>04/10/2025 (BW) - Reset the hyperlink on the Rig In email</x:v>
      </x:c>
    </x:row>
    <x:row r="394" ht="30" customHeight="1">
      <x:c r="A394" s="117" t="str">
        <x:v>Cold_Storage_Rig_Out_Screen_Flow</x:v>
      </x:c>
      <x:c r="B394" s="117" t="str">
        <x:v>300Ro00000F0LbkIAF</x:v>
      </x:c>
      <x:c r="C394" s="117" t="str">
        <x:v>301Ro00000GPoOiIAL</x:v>
      </x:c>
      <x:c r="D394" s="118" t="n">
        <x:v>1</x:v>
      </x:c>
      <x:c r="E394" s="117" t="str">
        <x:v>Obsolete</x:v>
      </x:c>
      <x:c r="F394" s="117" t="str">
        <x:v>No</x:v>
      </x:c>
      <x:c r="G394" s="117" t="str">
        <x:v>No</x:v>
      </x:c>
      <x:c r="H394" s="117" t="str">
        <x:v>Flow</x:v>
      </x:c>
      <x:c r="I394" s="118" t="n">
        <x:v>61</x:v>
      </x:c>
      <x:c r="J394" s="117" t="str">
        <x:v>unmanaged</x:v>
      </x:c>
      <x:c r="K394" s="123" t="b">
        <x:v>0</x:v>
      </x:c>
      <x:c r="L394" s="117"/>
      <x:c r="M394" s="118"/>
      <x:c r="N394" s="120" t="n">
        <x:v>45481.81240740741</x:v>
      </x:c>
      <x:c r="O394" s="117" t="str">
        <x:v>Jace Gentil</x:v>
      </x:c>
      <x:c r="P394" s="120" t="n">
        <x:v>45481.819861111115</x:v>
      </x:c>
      <x:c r="Q394" s="117" t="str">
        <x:v>Jace Gentil</x:v>
      </x:c>
      <x:c r="R394" s="117" t="str">
        <x:v>Cold Storage Rig Out Screen Flow</x:v>
      </x:c>
      <x:c r="S394" s="119"/>
    </x:row>
    <x:row r="395" ht="30" customHeight="1">
      <x:c r="A395" s="117" t="str">
        <x:v>Cold_Storage_Rig_Out_Screen_Flow</x:v>
      </x:c>
      <x:c r="B395" s="117" t="str">
        <x:v>300Ro00000F0LbkIAF</x:v>
      </x:c>
      <x:c r="C395" s="117" t="str">
        <x:v>301Ro00000GQJ98IAH</x:v>
      </x:c>
      <x:c r="D395" s="118" t="n">
        <x:v>2</x:v>
      </x:c>
      <x:c r="E395" s="117" t="str">
        <x:v>Obsolete</x:v>
      </x:c>
      <x:c r="F395" s="117" t="str">
        <x:v>No</x:v>
      </x:c>
      <x:c r="G395" s="117" t="str">
        <x:v>No</x:v>
      </x:c>
      <x:c r="H395" s="117" t="str">
        <x:v>Flow</x:v>
      </x:c>
      <x:c r="I395" s="118" t="n">
        <x:v>61</x:v>
      </x:c>
      <x:c r="J395" s="117" t="str">
        <x:v>unmanaged</x:v>
      </x:c>
      <x:c r="K395" s="123" t="b">
        <x:v>0</x:v>
      </x:c>
      <x:c r="L395" s="117"/>
      <x:c r="M395" s="118"/>
      <x:c r="N395" s="120" t="n">
        <x:v>45481.83631944445</x:v>
      </x:c>
      <x:c r="O395" s="117" t="str">
        <x:v>Jace Gentil</x:v>
      </x:c>
      <x:c r="P395" s="120" t="n">
        <x:v>45481.83635416667</x:v>
      </x:c>
      <x:c r="Q395" s="117" t="str">
        <x:v>Jace Gentil</x:v>
      </x:c>
      <x:c r="R395" s="117" t="str">
        <x:v>Cold Storage Rig Out Screen Flow</x:v>
      </x:c>
      <x:c r="S395" s="119"/>
    </x:row>
    <x:row r="396" ht="30" customHeight="1">
      <x:c r="A396" s="117" t="str">
        <x:v>Cold_Storage_Rig_Out_Screen_Flow</x:v>
      </x:c>
      <x:c r="B396" s="117" t="str">
        <x:v>300Ro00000F0LbkIAF</x:v>
      </x:c>
      <x:c r="C396" s="117" t="str">
        <x:v>301Ro00000H1B4WIAV</x:v>
      </x:c>
      <x:c r="D396" s="118" t="n">
        <x:v>3</x:v>
      </x:c>
      <x:c r="E396" s="117" t="str">
        <x:v>Obsolete</x:v>
      </x:c>
      <x:c r="F396" s="117" t="str">
        <x:v>No</x:v>
      </x:c>
      <x:c r="G396" s="117" t="str">
        <x:v>No</x:v>
      </x:c>
      <x:c r="H396" s="117" t="str">
        <x:v>Flow</x:v>
      </x:c>
      <x:c r="I396" s="118" t="n">
        <x:v>61</x:v>
      </x:c>
      <x:c r="J396" s="117" t="str">
        <x:v>unmanaged</x:v>
      </x:c>
      <x:c r="K396" s="123" t="b">
        <x:v>0</x:v>
      </x:c>
      <x:c r="L396" s="117"/>
      <x:c r="M396" s="118"/>
      <x:c r="N396" s="120" t="n">
        <x:v>45489.88979166667</x:v>
      </x:c>
      <x:c r="O396" s="117" t="str">
        <x:v>Natalie Boger</x:v>
      </x:c>
      <x:c r="P396" s="120" t="n">
        <x:v>45489.89003472222</x:v>
      </x:c>
      <x:c r="Q396" s="117" t="str">
        <x:v>Natalie Boger</x:v>
      </x:c>
      <x:c r="R396" s="117" t="str">
        <x:v>Cold Storage Rig Out Screen Flow</x:v>
      </x:c>
      <x:c r="S396" s="119"/>
    </x:row>
    <x:row r="397" ht="30" customHeight="1">
      <x:c r="A397" s="117" t="str">
        <x:v>Cold_Storage_Rig_Out_Screen_Flow</x:v>
      </x:c>
      <x:c r="B397" s="117" t="str">
        <x:v>300Ro00000F0LbkIAF</x:v>
      </x:c>
      <x:c r="C397" s="117" t="str">
        <x:v>301Ro00000KeSevIAF</x:v>
      </x:c>
      <x:c r="D397" s="118" t="n">
        <x:v>4</x:v>
      </x:c>
      <x:c r="E397" s="117" t="str">
        <x:v>Obsolete</x:v>
      </x:c>
      <x:c r="F397" s="117" t="str">
        <x:v>No</x:v>
      </x:c>
      <x:c r="G397" s="117" t="str">
        <x:v>No</x:v>
      </x:c>
      <x:c r="H397" s="117" t="str">
        <x:v>Flow</x:v>
      </x:c>
      <x:c r="I397" s="118" t="n">
        <x:v>61</x:v>
      </x:c>
      <x:c r="J397" s="117" t="str">
        <x:v>unmanaged</x:v>
      </x:c>
      <x:c r="K397" s="123" t="b">
        <x:v>0</x:v>
      </x:c>
      <x:c r="L397" s="117"/>
      <x:c r="M397" s="118"/>
      <x:c r="N397" s="120" t="n">
        <x:v>45544.190729166665</x:v>
      </x:c>
      <x:c r="O397" s="117" t="str">
        <x:v>Natalie Boger</x:v>
      </x:c>
      <x:c r="P397" s="120" t="n">
        <x:v>45544.19082175926</x:v>
      </x:c>
      <x:c r="Q397" s="117" t="str">
        <x:v>Natalie Boger</x:v>
      </x:c>
      <x:c r="R397" s="117" t="str">
        <x:v>Cold Storage Rig Out Screen Flow</x:v>
      </x:c>
      <x:c r="S397" s="119" t="str">
        <x:v>Added additional email recipients</x:v>
      </x:c>
    </x:row>
    <x:row r="398" ht="30" customHeight="1">
      <x:c r="A398" s="117" t="str">
        <x:v>Cold_Storage_Rig_Out_Screen_Flow</x:v>
      </x:c>
      <x:c r="B398" s="117" t="str">
        <x:v>300Ro00000F0LbkIAF</x:v>
      </x:c>
      <x:c r="C398" s="117" t="str">
        <x:v>301Ro00000KkT6lIAF</x:v>
      </x:c>
      <x:c r="D398" s="118" t="n">
        <x:v>5</x:v>
      </x:c>
      <x:c r="E398" s="117" t="str">
        <x:v>Obsolete</x:v>
      </x:c>
      <x:c r="F398" s="117" t="str">
        <x:v>No</x:v>
      </x:c>
      <x:c r="G398" s="117" t="str">
        <x:v>No</x:v>
      </x:c>
      <x:c r="H398" s="117" t="str">
        <x:v>Flow</x:v>
      </x:c>
      <x:c r="I398" s="118" t="n">
        <x:v>61</x:v>
      </x:c>
      <x:c r="J398" s="117" t="str">
        <x:v>unmanaged</x:v>
      </x:c>
      <x:c r="K398" s="123" t="b">
        <x:v>0</x:v>
      </x:c>
      <x:c r="L398" s="117"/>
      <x:c r="M398" s="118"/>
      <x:c r="N398" s="120" t="n">
        <x:v>45545.10768518518</x:v>
      </x:c>
      <x:c r="O398" s="117" t="str">
        <x:v>Natalie Boger</x:v>
      </x:c>
      <x:c r="P398" s="120" t="n">
        <x:v>45545.10775462963</x:v>
      </x:c>
      <x:c r="Q398" s="117" t="str">
        <x:v>Natalie Boger</x:v>
      </x:c>
      <x:c r="R398" s="117" t="str">
        <x:v>Cold Storage Rig Out Screen Flow</x:v>
      </x:c>
      <x:c r="S398" s="119" t="str">
        <x:v>Added additional email recipients, updated stage to Rig Out</x:v>
      </x:c>
    </x:row>
    <x:row r="399" ht="30" customHeight="1">
      <x:c r="A399" s="117" t="str">
        <x:v>Cold_Storage_Rig_Out_Screen_Flow</x:v>
      </x:c>
      <x:c r="B399" s="117" t="str">
        <x:v>300Ro00000F0LbkIAF</x:v>
      </x:c>
      <x:c r="C399" s="117" t="str">
        <x:v>301Ro00000Luwv9IAB</x:v>
      </x:c>
      <x:c r="D399" s="118" t="n">
        <x:v>6</x:v>
      </x:c>
      <x:c r="E399" s="117" t="str">
        <x:v>Obsolete</x:v>
      </x:c>
      <x:c r="F399" s="117" t="str">
        <x:v>No</x:v>
      </x:c>
      <x:c r="G399" s="117" t="str">
        <x:v>No</x:v>
      </x:c>
      <x:c r="H399" s="117" t="str">
        <x:v>Flow</x:v>
      </x:c>
      <x:c r="I399" s="118" t="n">
        <x:v>61</x:v>
      </x:c>
      <x:c r="J399" s="117" t="str">
        <x:v>unmanaged</x:v>
      </x:c>
      <x:c r="K399" s="123" t="b">
        <x:v>0</x:v>
      </x:c>
      <x:c r="L399" s="117" t="str">
        <x:v>SystemModeWithoutSharing</x:v>
      </x:c>
      <x:c r="M399" s="118"/>
      <x:c r="N399" s="120" t="n">
        <x:v>45562.86162037037</x:v>
      </x:c>
      <x:c r="O399" s="117" t="str">
        <x:v>Jace Gentil</x:v>
      </x:c>
      <x:c r="P399" s="120" t="n">
        <x:v>45562.861666666664</x:v>
      </x:c>
      <x:c r="Q399" s="117" t="str">
        <x:v>Jace Gentil</x:v>
      </x:c>
      <x:c r="R399" s="117" t="str">
        <x:v>Cold Storage Rig Out Screen Flow</x:v>
      </x:c>
      <x:c r="S399" s="119" t="str">
        <x:v>Added additional email recipients, updated stage to Rig Out</x:v>
      </x:c>
    </x:row>
    <x:row r="400" ht="30" customHeight="1">
      <x:c r="A400" s="117" t="str">
        <x:v>Cold_Storage_Rig_Out_Screen_Flow</x:v>
      </x:c>
      <x:c r="B400" s="117" t="str">
        <x:v>300Ro00000F0LbkIAF</x:v>
      </x:c>
      <x:c r="C400" s="117" t="str">
        <x:v>301Ro00000QmFkGIAV</x:v>
      </x:c>
      <x:c r="D400" s="118" t="n">
        <x:v>7</x:v>
      </x:c>
      <x:c r="E400" s="117" t="str">
        <x:v>Obsolete</x:v>
      </x:c>
      <x:c r="F400" s="117" t="str">
        <x:v>No</x:v>
      </x:c>
      <x:c r="G400" s="117" t="str">
        <x:v>No</x:v>
      </x:c>
      <x:c r="H400" s="117" t="str">
        <x:v>Flow</x:v>
      </x:c>
      <x:c r="I400" s="118" t="n">
        <x:v>61</x:v>
      </x:c>
      <x:c r="J400" s="117" t="str">
        <x:v>unmanaged</x:v>
      </x:c>
      <x:c r="K400" s="123" t="b">
        <x:v>0</x:v>
      </x:c>
      <x:c r="L400" s="117" t="str">
        <x:v>DefaultMode</x:v>
      </x:c>
      <x:c r="M400" s="118"/>
      <x:c r="N400" s="120" t="n">
        <x:v>45644.97460648148</x:v>
      </x:c>
      <x:c r="O400" s="117" t="str">
        <x:v>Natalie Boger</x:v>
      </x:c>
      <x:c r="P400" s="120" t="n">
        <x:v>45644.98023148148</x:v>
      </x:c>
      <x:c r="Q400" s="117" t="str">
        <x:v>Natalie Boger</x:v>
      </x:c>
      <x:c r="R400" s="117" t="str">
        <x:v>Cold Storage Rig Out Screen Flow</x:v>
      </x:c>
      <x:c r="S400" s="119" t="str">
        <x:v>Added piece count to screen flow</x:v>
      </x:c>
    </x:row>
    <x:row r="401" ht="30" customHeight="1">
      <x:c r="A401" s="117" t="str">
        <x:v>Cold_Storage_Rig_Out_Screen_Flow</x:v>
      </x:c>
      <x:c r="B401" s="117" t="str">
        <x:v>300Ro00000F0LbkIAF</x:v>
      </x:c>
      <x:c r="C401" s="117" t="str">
        <x:v>301Ro00000QmqYYIAZ</x:v>
      </x:c>
      <x:c r="D401" s="118" t="n">
        <x:v>8</x:v>
      </x:c>
      <x:c r="E401" s="117" t="str">
        <x:v>Obsolete</x:v>
      </x:c>
      <x:c r="F401" s="117" t="str">
        <x:v>No</x:v>
      </x:c>
      <x:c r="G401" s="117" t="str">
        <x:v>No</x:v>
      </x:c>
      <x:c r="H401" s="117" t="str">
        <x:v>Flow</x:v>
      </x:c>
      <x:c r="I401" s="118" t="n">
        <x:v>61</x:v>
      </x:c>
      <x:c r="J401" s="117" t="str">
        <x:v>unmanaged</x:v>
      </x:c>
      <x:c r="K401" s="123" t="b">
        <x:v>0</x:v>
      </x:c>
      <x:c r="L401" s="117" t="str">
        <x:v>DefaultMode</x:v>
      </x:c>
      <x:c r="M401" s="118"/>
      <x:c r="N401" s="120" t="n">
        <x:v>45645.16675925926</x:v>
      </x:c>
      <x:c r="O401" s="117" t="str">
        <x:v>Natalie Boger</x:v>
      </x:c>
      <x:c r="P401" s="120" t="n">
        <x:v>45645.166817129626</x:v>
      </x:c>
      <x:c r="Q401" s="117" t="str">
        <x:v>Natalie Boger</x:v>
      </x:c>
      <x:c r="R401" s="117" t="str">
        <x:v>Cold Storage Rig Out Screen Flow</x:v>
      </x:c>
      <x:c r="S401" s="119" t="str">
        <x:v>Added RIG OUT to subject line of email</x:v>
      </x:c>
    </x:row>
    <x:row r="402" ht="30" customHeight="1">
      <x:c r="A402" s="117" t="str">
        <x:v>Cold_Storage_Rig_Out_Screen_Flow</x:v>
      </x:c>
      <x:c r="B402" s="117" t="str">
        <x:v>300Ro00000F0LbkIAF</x:v>
      </x:c>
      <x:c r="C402" s="117" t="str">
        <x:v>301Ro00000XCABtIAP</x:v>
      </x:c>
      <x:c r="D402" s="118" t="n">
        <x:v>9</x:v>
      </x:c>
      <x:c r="E402" s="117" t="str">
        <x:v>Active</x:v>
      </x:c>
      <x:c r="F402" s="117" t="str">
        <x:v>Yes</x:v>
      </x:c>
      <x:c r="G402" s="117" t="str">
        <x:v>Yes</x:v>
      </x:c>
      <x:c r="H402" s="117" t="str">
        <x:v>Flow</x:v>
      </x:c>
      <x:c r="I402" s="118" t="n">
        <x:v>61</x:v>
      </x:c>
      <x:c r="J402" s="117" t="str">
        <x:v>unmanaged</x:v>
      </x:c>
      <x:c r="K402" s="123" t="b">
        <x:v>0</x:v>
      </x:c>
      <x:c r="L402" s="117" t="str">
        <x:v>DefaultMode</x:v>
      </x:c>
      <x:c r="M402" s="118"/>
      <x:c r="N402" s="120" t="n">
        <x:v>45757.788993055554</x:v>
      </x:c>
      <x:c r="O402" s="117" t="str">
        <x:v>Delegate</x:v>
      </x:c>
      <x:c r="P402" s="120" t="n">
        <x:v>45757.78905092592</x:v>
      </x:c>
      <x:c r="Q402" s="117" t="str">
        <x:v>Delegate</x:v>
      </x:c>
      <x:c r="R402" s="117" t="str">
        <x:v>Cold Storage Rig Out Screen Flow</x:v>
      </x:c>
      <x:c r="S402" s="119" t="str">
        <x:v>04/10/2025 (BW) - Reset the hyperlink on the Rig Out email</x:v>
      </x:c>
    </x:row>
    <x:row r="403" ht="30" customHeight="1">
      <x:c r="A403" s="117" t="str">
        <x:v>Commission_Rollups</x:v>
      </x:c>
      <x:c r="B403" s="117" t="str">
        <x:v>300Ro000007doaTIAQ</x:v>
      </x:c>
      <x:c r="C403" s="117" t="str">
        <x:v>301Ro00000Bb0Z2IAJ</x:v>
      </x:c>
      <x:c r="D403" s="118" t="n">
        <x:v>1</x:v>
      </x:c>
      <x:c r="E403" s="117" t="str">
        <x:v>Obsolete</x:v>
      </x:c>
      <x:c r="F403" s="117" t="str">
        <x:v>No</x:v>
      </x:c>
      <x:c r="G403" s="117" t="str">
        <x:v>No</x:v>
      </x:c>
      <x:c r="H403" s="117" t="str">
        <x:v>AutoLaunchedFlow</x:v>
      </x:c>
      <x:c r="I403" s="118" t="n">
        <x:v>57</x:v>
      </x:c>
      <x:c r="J403" s="117" t="str">
        <x:v>unmanaged</x:v>
      </x:c>
      <x:c r="K403" s="123" t="b">
        <x:v>0</x:v>
      </x:c>
      <x:c r="L403" s="117"/>
      <x:c r="M403" s="118"/>
      <x:c r="N403" s="120" t="n">
        <x:v>45407.056666666664</x:v>
      </x:c>
      <x:c r="O403" s="117" t="str">
        <x:v>Delegate</x:v>
      </x:c>
      <x:c r="P403" s="120" t="n">
        <x:v>45407.56988425926</x:v>
      </x:c>
      <x:c r="Q403" s="117" t="str">
        <x:v>Jace Gentil</x:v>
      </x:c>
      <x:c r="R403" s="117" t="str">
        <x:v>Commission Rollups</x:v>
      </x:c>
      <x:c r="S403" s="119"/>
    </x:row>
    <x:row r="404" ht="30" customHeight="1">
      <x:c r="A404" s="117" t="str">
        <x:v>Commission_Rollups</x:v>
      </x:c>
      <x:c r="B404" s="117" t="str">
        <x:v>300Ro000007doaTIAQ</x:v>
      </x:c>
      <x:c r="C404" s="117" t="str">
        <x:v>301Ro00000Bv1STIAZ</x:v>
      </x:c>
      <x:c r="D404" s="118" t="n">
        <x:v>2</x:v>
      </x:c>
      <x:c r="E404" s="117" t="str">
        <x:v>Active</x:v>
      </x:c>
      <x:c r="F404" s="117" t="str">
        <x:v>Yes</x:v>
      </x:c>
      <x:c r="G404" s="117" t="str">
        <x:v>Yes</x:v>
      </x:c>
      <x:c r="H404" s="117" t="str">
        <x:v>AutoLaunchedFlow</x:v>
      </x:c>
      <x:c r="I404" s="118" t="n">
        <x:v>57</x:v>
      </x:c>
      <x:c r="J404" s="117" t="str">
        <x:v>unmanaged</x:v>
      </x:c>
      <x:c r="K404" s="123" t="b">
        <x:v>0</x:v>
      </x:c>
      <x:c r="L404" s="117"/>
      <x:c r="M404" s="118"/>
      <x:c r="N404" s="120" t="n">
        <x:v>45412.58047453704</x:v>
      </x:c>
      <x:c r="O404" s="117" t="str">
        <x:v>Delegate</x:v>
      </x:c>
      <x:c r="P404" s="120" t="n">
        <x:v>45413.04383101852</x:v>
      </x:c>
      <x:c r="Q404" s="117" t="str">
        <x:v>Delegate</x:v>
      </x:c>
      <x:c r="R404" s="117" t="str">
        <x:v>Commission Rollups</x:v>
      </x:c>
      <x:c r="S404" s="119" t="str">
        <x:v>04/30/24 - CDM - Added filters to remove blank Commission records with a Master Draw</x:v>
      </x:c>
    </x:row>
    <x:row r="405" ht="30" customHeight="1">
      <x:c r="A405" s="117" t="str">
        <x:v>Contact_Asynchronous_on_create_Update_Account_Number_of_Contacts</x:v>
      </x:c>
      <x:c r="B405" s="117" t="str">
        <x:v>300Ro00000yDFegIAG</x:v>
      </x:c>
      <x:c r="C405" s="117" t="str">
        <x:v>301Ro000016TJeRIAW</x:v>
      </x:c>
      <x:c r="D405" s="118" t="n">
        <x:v>1</x:v>
      </x:c>
      <x:c r="E405" s="117" t="str">
        <x:v>Active</x:v>
      </x:c>
      <x:c r="F405" s="117" t="str">
        <x:v>Yes</x:v>
      </x:c>
      <x:c r="G405" s="117" t="str">
        <x:v>Yes</x:v>
      </x:c>
      <x:c r="H405" s="117" t="str">
        <x:v>AutoLaunchedFlow</x:v>
      </x:c>
      <x:c r="I405" s="118" t="n">
        <x:v>66</x:v>
      </x:c>
      <x:c r="J405" s="117" t="str">
        <x:v>unmanaged</x:v>
      </x:c>
      <x:c r="K405" s="123" t="b">
        <x:v>0</x:v>
      </x:c>
      <x:c r="L405" s="117"/>
      <x:c r="M405" s="118"/>
      <x:c r="N405" s="120" t="n">
        <x:v>46164.909537037034</x:v>
      </x:c>
      <x:c r="O405" s="117" t="str">
        <x:v>Delegate</x:v>
      </x:c>
      <x:c r="P405" s="120" t="n">
        <x:v>46168.703252314815</x:v>
      </x:c>
      <x:c r="Q405" s="117" t="str">
        <x:v>Delegate</x:v>
      </x:c>
      <x:c r="R405" s="117" t="str">
        <x:v>Contact | Asynchronous, on create, Update Account Number of Contacts</x:v>
      </x:c>
      <x:c r="S405" s="119" t="str">
        <x:v>05/22/26 (BW) – Replaces DLRS rule Account_Number_of_Contacts. On Contact creation, counts all Contacts related to the Account and writes the total to Account.Number_of_Contacts__c.</x:v>
      </x:c>
    </x:row>
    <x:row r="406" ht="30" customHeight="1">
      <x:c r="A406" s="117" t="str">
        <x:v>Contact_Asynchronous_on_delete_Update_Account_Number_of_Contacts</x:v>
      </x:c>
      <x:c r="B406" s="117" t="str">
        <x:v>300Ro00000yDNE4IAO</x:v>
      </x:c>
      <x:c r="C406" s="117" t="str">
        <x:v>301Ro000016T6RtIAK</x:v>
      </x:c>
      <x:c r="D406" s="118" t="n">
        <x:v>1</x:v>
      </x:c>
      <x:c r="E406" s="117" t="str">
        <x:v>Active</x:v>
      </x:c>
      <x:c r="F406" s="117" t="str">
        <x:v>Yes</x:v>
      </x:c>
      <x:c r="G406" s="117" t="str">
        <x:v>Yes</x:v>
      </x:c>
      <x:c r="H406" s="117" t="str">
        <x:v>AutoLaunchedFlow</x:v>
      </x:c>
      <x:c r="I406" s="118" t="n">
        <x:v>66</x:v>
      </x:c>
      <x:c r="J406" s="117" t="str">
        <x:v>unmanaged</x:v>
      </x:c>
      <x:c r="K406" s="123" t="b">
        <x:v>0</x:v>
      </x:c>
      <x:c r="L406" s="117"/>
      <x:c r="M406" s="118"/>
      <x:c r="N406" s="120" t="n">
        <x:v>46164.91295138889</x:v>
      </x:c>
      <x:c r="O406" s="117" t="str">
        <x:v>Delegate</x:v>
      </x:c>
      <x:c r="P406" s="120" t="n">
        <x:v>46168.70450231482</x:v>
      </x:c>
      <x:c r="Q406" s="117" t="str">
        <x:v>Delegate</x:v>
      </x:c>
      <x:c r="R406" s="117" t="str">
        <x:v>Contact | Before delete, Update Account Number of Contacts</x:v>
      </x:c>
      <x:c r="S406" s="119" t="str">
        <x:v>05/22/26 (BW) – Delete path for Account_Number_of_Contacts DLRS replacement. Runs before the Contact is deleted; excludes the being-deleted Contact from the re-query so Account.Number_of_Contacts__c is accurate after deletion.</x:v>
      </x:c>
    </x:row>
    <x:row r="407" ht="30" customHeight="1">
      <x:c r="A407" s="117" t="str">
        <x:v>Contact_Asynchronous_on_update_Update_Account_Number_of_Contacts</x:v>
      </x:c>
      <x:c r="B407" s="117" t="str">
        <x:v>300Ro00000yCrZ8IAK</x:v>
      </x:c>
      <x:c r="C407" s="117" t="str">
        <x:v>301Ro000016jJ8zIAE</x:v>
      </x:c>
      <x:c r="D407" s="118" t="n">
        <x:v>1</x:v>
      </x:c>
      <x:c r="E407" s="117" t="str">
        <x:v>Active</x:v>
      </x:c>
      <x:c r="F407" s="117" t="str">
        <x:v>Yes</x:v>
      </x:c>
      <x:c r="G407" s="117" t="str">
        <x:v>Yes</x:v>
      </x:c>
      <x:c r="H407" s="117" t="str">
        <x:v>AutoLaunchedFlow</x:v>
      </x:c>
      <x:c r="I407" s="118" t="n">
        <x:v>66</x:v>
      </x:c>
      <x:c r="J407" s="117" t="str">
        <x:v>unmanaged</x:v>
      </x:c>
      <x:c r="K407" s="123" t="b">
        <x:v>0</x:v>
      </x:c>
      <x:c r="L407" s="117"/>
      <x:c r="M407" s="118"/>
      <x:c r="N407" s="120" t="n">
        <x:v>46168.72362268518</x:v>
      </x:c>
      <x:c r="O407" s="117" t="str">
        <x:v>Delegate</x:v>
      </x:c>
      <x:c r="P407" s="120" t="n">
        <x:v>46168.72582175926</x:v>
      </x:c>
      <x:c r="Q407" s="117" t="str">
        <x:v>Delegate</x:v>
      </x:c>
      <x:c r="R407" s="117" t="str">
        <x:v>Contact | Asynchronous, on update, Update Account Number of Contacts</x:v>
      </x:c>
      <x:c r="S407" s="119" t="str">
        <x:v>05/22/26 (BW) – Update path for Account_Number_of_Contacts DLRS replacement. Fires when AccountId changes. Synchronous path recalculates the prior Account's contact count; async path recalculates the current Account's contact count. 05/26/26 (BW) – Fixed null-AccountId gap: removed NotEqualTo condition from Did_Account_Change (Flow evaluates null NotEqualTo value as false, causing the prior Account to be skipped when AccountId is cleared). Now only checks that a prior Account existed.</x:v>
      </x:c>
    </x:row>
    <x:row r="408" ht="30" customHeight="1">
      <x:c r="A408" s="117" t="str">
        <x:v>Contact_Master</x:v>
      </x:c>
      <x:c r="B408" s="117" t="str">
        <x:v>3004O000000XgXwQAK</x:v>
      </x:c>
      <x:c r="C408" s="117" t="str">
        <x:v>3014O000000Y6pfQAC</x:v>
      </x:c>
      <x:c r="D408" s="118" t="n">
        <x:v>1</x:v>
      </x:c>
      <x:c r="E408" s="117" t="str">
        <x:v>Obsolete</x:v>
      </x:c>
      <x:c r="F408" s="117" t="str">
        <x:v>No</x:v>
      </x:c>
      <x:c r="G408" s="117" t="str">
        <x:v>No</x:v>
      </x:c>
      <x:c r="H408" s="117" t="str">
        <x:v>Workflow</x:v>
      </x:c>
      <x:c r="I408" s="118"/>
      <x:c r="J408" s="117" t="str">
        <x:v>unmanaged</x:v>
      </x:c>
      <x:c r="K408" s="123" t="b">
        <x:v>0</x:v>
      </x:c>
      <x:c r="L408" s="117"/>
      <x:c r="M408" s="118"/>
      <x:c r="N408" s="120" t="n">
        <x:v>43992.676412037035</x:v>
      </x:c>
      <x:c r="O408" s="117" t="str">
        <x:v>Trent VanEmon</x:v>
      </x:c>
      <x:c r="P408" s="120" t="n">
        <x:v>43992.69337962963</x:v>
      </x:c>
      <x:c r="Q408" s="117" t="str">
        <x:v>Trent VanEmon</x:v>
      </x:c>
      <x:c r="R408" s="117" t="str">
        <x:v>Contact - Master</x:v>
      </x:c>
      <x:c r="S408" s="119" t="str">
        <x:v>This should be the only process builder that launches off the contact.  This can launch sub-processes or flows</x:v>
      </x:c>
    </x:row>
    <x:row r="409" ht="30" customHeight="1">
      <x:c r="A409" s="117" t="str">
        <x:v>Contact_Master</x:v>
      </x:c>
      <x:c r="B409" s="117" t="str">
        <x:v>3004O000000XgXwQAK</x:v>
      </x:c>
      <x:c r="C409" s="117" t="str">
        <x:v>3015b000000EIFoAAO</x:v>
      </x:c>
      <x:c r="D409" s="118" t="n">
        <x:v>2</x:v>
      </x:c>
      <x:c r="E409" s="117" t="str">
        <x:v>Obsolete</x:v>
      </x:c>
      <x:c r="F409" s="117" t="str">
        <x:v>No</x:v>
      </x:c>
      <x:c r="G409" s="117" t="str">
        <x:v>No</x:v>
      </x:c>
      <x:c r="H409" s="117" t="str">
        <x:v>Workflow</x:v>
      </x:c>
      <x:c r="I409" s="118" t="n">
        <x:v>49</x:v>
      </x:c>
      <x:c r="J409" s="117" t="str">
        <x:v>unmanaged</x:v>
      </x:c>
      <x:c r="K409" s="123" t="b">
        <x:v>0</x:v>
      </x:c>
      <x:c r="L409" s="117"/>
      <x:c r="M409" s="118"/>
      <x:c r="N409" s="120" t="n">
        <x:v>44631.55032407407</x:v>
      </x:c>
      <x:c r="O409" s="117" t="str">
        <x:v>Delegate</x:v>
      </x:c>
      <x:c r="P409" s="120" t="n">
        <x:v>44631.55056712963</x:v>
      </x:c>
      <x:c r="Q409" s="117" t="str">
        <x:v>Delegate</x:v>
      </x:c>
      <x:c r="R409" s="117" t="str">
        <x:v>Contact - Master</x:v>
      </x:c>
      <x:c r="S409" s="119" t="str">
        <x:v>This should be the only process builder that launches off the contact.  This can launch sub-processes or flows</x:v>
      </x:c>
    </x:row>
    <x:row r="410" ht="30" customHeight="1">
      <x:c r="A410" s="117" t="str">
        <x:v>Contact_Master</x:v>
      </x:c>
      <x:c r="B410" s="117" t="str">
        <x:v>3004O000000XgXwQAK</x:v>
      </x:c>
      <x:c r="C410" s="117" t="str">
        <x:v>301Ro00000HEjZuIAL</x:v>
      </x:c>
      <x:c r="D410" s="118" t="n">
        <x:v>3</x:v>
      </x:c>
      <x:c r="E410" s="117" t="str">
        <x:v>Active</x:v>
      </x:c>
      <x:c r="F410" s="117" t="str">
        <x:v>Yes</x:v>
      </x:c>
      <x:c r="G410" s="117" t="str">
        <x:v>Yes</x:v>
      </x:c>
      <x:c r="H410" s="117" t="str">
        <x:v>Workflow</x:v>
      </x:c>
      <x:c r="I410" s="118" t="n">
        <x:v>49</x:v>
      </x:c>
      <x:c r="J410" s="117" t="str">
        <x:v>unmanaged</x:v>
      </x:c>
      <x:c r="K410" s="123" t="b">
        <x:v>0</x:v>
      </x:c>
      <x:c r="L410" s="117"/>
      <x:c r="M410" s="118"/>
      <x:c r="N410" s="120" t="n">
        <x:v>45492.772256944445</x:v>
      </x:c>
      <x:c r="O410" s="117" t="str">
        <x:v>Jace Gentil</x:v>
      </x:c>
      <x:c r="P410" s="120" t="n">
        <x:v>45492.77238425926</x:v>
      </x:c>
      <x:c r="Q410" s="117" t="str">
        <x:v>Jace Gentil</x:v>
      </x:c>
      <x:c r="R410" s="117" t="str">
        <x:v>Contact - Master</x:v>
      </x:c>
      <x:c r="S410" s="119" t="str">
        <x:v>This should be the only process builder that launches off the contact.  This can launch sub-processes or flows</x:v>
      </x:c>
    </x:row>
    <x:row r="411" ht="30" customHeight="1">
      <x:c r="A411" s="117" t="str">
        <x:v>Contact_New_Form_Submission</x:v>
      </x:c>
      <x:c r="B411" s="117" t="str">
        <x:v>3004O000000XgXxQAK</x:v>
      </x:c>
      <x:c r="C411" s="117" t="str">
        <x:v>3014O000000Y6pgQAC</x:v>
      </x:c>
      <x:c r="D411" s="118" t="n">
        <x:v>1</x:v>
      </x:c>
      <x:c r="E411" s="117" t="str">
        <x:v>Obsolete</x:v>
      </x:c>
      <x:c r="F411" s="117" t="str">
        <x:v>No</x:v>
      </x:c>
      <x:c r="G411" s="117" t="str">
        <x:v>No</x:v>
      </x:c>
      <x:c r="H411" s="117" t="str">
        <x:v>AutoLaunchedFlow</x:v>
      </x:c>
      <x:c r="I411" s="118"/>
      <x:c r="J411" s="117" t="str">
        <x:v>unmanaged</x:v>
      </x:c>
      <x:c r="K411" s="123" t="b">
        <x:v>0</x:v>
      </x:c>
      <x:c r="L411" s="117"/>
      <x:c r="M411" s="118"/>
      <x:c r="N411" s="120" t="n">
        <x:v>43992.67643518518</x:v>
      </x:c>
      <x:c r="O411" s="117" t="str">
        <x:v>Trent VanEmon</x:v>
      </x:c>
      <x:c r="P411" s="120" t="n">
        <x:v>43993.001296296294</x:v>
      </x:c>
      <x:c r="Q411" s="117" t="str">
        <x:v>Trent VanEmon</x:v>
      </x:c>
      <x:c r="R411" s="117" t="str">
        <x:v>Contact - New Form Submission</x:v>
      </x:c>
      <x:c r="S411" s="119"/>
    </x:row>
    <x:row r="412" ht="30" customHeight="1">
      <x:c r="A412" s="117" t="str">
        <x:v>Contact_New_Form_Submission</x:v>
      </x:c>
      <x:c r="B412" s="117" t="str">
        <x:v>3004O000000XgXxQAK</x:v>
      </x:c>
      <x:c r="C412" s="117" t="str">
        <x:v>3014O000000Y6qdQAC</x:v>
      </x:c>
      <x:c r="D412" s="118" t="n">
        <x:v>2</x:v>
      </x:c>
      <x:c r="E412" s="117" t="str">
        <x:v>Obsolete</x:v>
      </x:c>
      <x:c r="F412" s="117" t="str">
        <x:v>No</x:v>
      </x:c>
      <x:c r="G412" s="117" t="str">
        <x:v>No</x:v>
      </x:c>
      <x:c r="H412" s="117" t="str">
        <x:v>AutoLaunchedFlow</x:v>
      </x:c>
      <x:c r="I412" s="118"/>
      <x:c r="J412" s="117" t="str">
        <x:v>unmanaged</x:v>
      </x:c>
      <x:c r="K412" s="123" t="b">
        <x:v>0</x:v>
      </x:c>
      <x:c r="L412" s="117"/>
      <x:c r="M412" s="118"/>
      <x:c r="N412" s="120" t="n">
        <x:v>43993.00261574074</x:v>
      </x:c>
      <x:c r="O412" s="117" t="str">
        <x:v>Trent VanEmon</x:v>
      </x:c>
      <x:c r="P412" s="120" t="n">
        <x:v>43993.003541666665</x:v>
      </x:c>
      <x:c r="Q412" s="117" t="str">
        <x:v>Trent VanEmon</x:v>
      </x:c>
      <x:c r="R412" s="117" t="str">
        <x:v>Contact - New Form Submission</x:v>
      </x:c>
      <x:c r="S412" s="119"/>
    </x:row>
    <x:row r="413" ht="30" customHeight="1">
      <x:c r="A413" s="117" t="str">
        <x:v>Contact_New_Form_Submission</x:v>
      </x:c>
      <x:c r="B413" s="117" t="str">
        <x:v>3004O000000XgXxQAK</x:v>
      </x:c>
      <x:c r="C413" s="117" t="str">
        <x:v>3014O000000Y6sUQAS</x:v>
      </x:c>
      <x:c r="D413" s="118" t="n">
        <x:v>3</x:v>
      </x:c>
      <x:c r="E413" s="117" t="str">
        <x:v>Obsolete</x:v>
      </x:c>
      <x:c r="F413" s="117" t="str">
        <x:v>No</x:v>
      </x:c>
      <x:c r="G413" s="117" t="str">
        <x:v>No</x:v>
      </x:c>
      <x:c r="H413" s="117" t="str">
        <x:v>AutoLaunchedFlow</x:v>
      </x:c>
      <x:c r="I413" s="118"/>
      <x:c r="J413" s="117" t="str">
        <x:v>unmanaged</x:v>
      </x:c>
      <x:c r="K413" s="123" t="b">
        <x:v>0</x:v>
      </x:c>
      <x:c r="L413" s="117"/>
      <x:c r="M413" s="118"/>
      <x:c r="N413" s="120" t="n">
        <x:v>43997.63291666667</x:v>
      </x:c>
      <x:c r="O413" s="117" t="str">
        <x:v>Trent VanEmon</x:v>
      </x:c>
      <x:c r="P413" s="120" t="n">
        <x:v>45492.570289351854</x:v>
      </x:c>
      <x:c r="Q413" s="117" t="str">
        <x:v>Jace Gentil</x:v>
      </x:c>
      <x:c r="R413" s="117" t="str">
        <x:v>Contact - New Form Submission</x:v>
      </x:c>
      <x:c r="S413" s="119"/>
    </x:row>
    <x:row r="414" ht="30" customHeight="1">
      <x:c r="A414" s="117" t="str">
        <x:v>Contact_New_Form_Submission</x:v>
      </x:c>
      <x:c r="B414" s="117" t="str">
        <x:v>3004O000000XgXxQAK</x:v>
      </x:c>
      <x:c r="C414" s="117" t="str">
        <x:v>301Ro00000HDSw0IAH</x:v>
      </x:c>
      <x:c r="D414" s="118" t="n">
        <x:v>4</x:v>
      </x:c>
      <x:c r="E414" s="117" t="str">
        <x:v>Draft</x:v>
      </x:c>
      <x:c r="F414" s="117" t="str">
        <x:v>No</x:v>
      </x:c>
      <x:c r="G414" s="117" t="str">
        <x:v>No</x:v>
      </x:c>
      <x:c r="H414" s="117" t="str">
        <x:v>AutoLaunchedFlow</x:v>
      </x:c>
      <x:c r="I414" s="118" t="n">
        <x:v>49</x:v>
      </x:c>
      <x:c r="J414" s="117" t="str">
        <x:v>unmanaged</x:v>
      </x:c>
      <x:c r="K414" s="123" t="b">
        <x:v>0</x:v>
      </x:c>
      <x:c r="L414" s="117"/>
      <x:c r="M414" s="118"/>
      <x:c r="N414" s="120" t="n">
        <x:v>45492.57037037037</x:v>
      </x:c>
      <x:c r="O414" s="117" t="str">
        <x:v>Jace Gentil</x:v>
      </x:c>
      <x:c r="P414" s="120" t="n">
        <x:v>45492.570393518516</x:v>
      </x:c>
      <x:c r="Q414" s="117" t="str">
        <x:v>Jace Gentil</x:v>
      </x:c>
      <x:c r="R414" s="117" t="str">
        <x:v>Contact - New Form Submission</x:v>
      </x:c>
      <x:c r="S414" s="119"/>
    </x:row>
    <x:row r="415" ht="30" customHeight="1">
      <x:c r="A415" s="117" t="str">
        <x:v>Contact_New_Form_Submission</x:v>
      </x:c>
      <x:c r="B415" s="117" t="str">
        <x:v>3004O000000XgXxQAK</x:v>
      </x:c>
      <x:c r="C415" s="117" t="str">
        <x:v>301Ro00000HDYgQIAX</x:v>
      </x:c>
      <x:c r="D415" s="118" t="n">
        <x:v>5</x:v>
      </x:c>
      <x:c r="E415" s="117" t="str">
        <x:v>Obsolete</x:v>
      </x:c>
      <x:c r="F415" s="117" t="str">
        <x:v>No</x:v>
      </x:c>
      <x:c r="G415" s="117" t="str">
        <x:v>No</x:v>
      </x:c>
      <x:c r="H415" s="117" t="str">
        <x:v>AutoLaunchedFlow</x:v>
      </x:c>
      <x:c r="I415" s="118" t="n">
        <x:v>49</x:v>
      </x:c>
      <x:c r="J415" s="117" t="str">
        <x:v>unmanaged</x:v>
      </x:c>
      <x:c r="K415" s="123" t="b">
        <x:v>0</x:v>
      </x:c>
      <x:c r="L415" s="117"/>
      <x:c r="M415" s="118"/>
      <x:c r="N415" s="120" t="n">
        <x:v>45492.57063657408</x:v>
      </x:c>
      <x:c r="O415" s="117" t="str">
        <x:v>Jace Gentil</x:v>
      </x:c>
      <x:c r="P415" s="120" t="n">
        <x:v>45492.7728125</x:v>
      </x:c>
      <x:c r="Q415" s="117" t="str">
        <x:v>Jace Gentil</x:v>
      </x:c>
      <x:c r="R415" s="117" t="str">
        <x:v>Contact - New Form Submission</x:v>
      </x:c>
      <x:c r="S415" s="119"/>
    </x:row>
    <x:row r="416" ht="30" customHeight="1">
      <x:c r="A416" s="117" t="str">
        <x:v>Contact_New_Form_Submission</x:v>
      </x:c>
      <x:c r="B416" s="117" t="str">
        <x:v>3004O000000XgXxQAK</x:v>
      </x:c>
      <x:c r="C416" s="117" t="str">
        <x:v>301Ro00000HEsmrIAD</x:v>
      </x:c>
      <x:c r="D416" s="118" t="n">
        <x:v>6</x:v>
      </x:c>
      <x:c r="E416" s="117" t="str">
        <x:v>Draft</x:v>
      </x:c>
      <x:c r="F416" s="117" t="str">
        <x:v>No</x:v>
      </x:c>
      <x:c r="G416" s="117" t="str">
        <x:v>Yes</x:v>
      </x:c>
      <x:c r="H416" s="117" t="str">
        <x:v>AutoLaunchedFlow</x:v>
      </x:c>
      <x:c r="I416" s="118" t="n">
        <x:v>49</x:v>
      </x:c>
      <x:c r="J416" s="117" t="str">
        <x:v>unmanaged</x:v>
      </x:c>
      <x:c r="K416" s="123" t="b">
        <x:v>0</x:v>
      </x:c>
      <x:c r="L416" s="117"/>
      <x:c r="M416" s="118"/>
      <x:c r="N416" s="120" t="n">
        <x:v>45492.762037037035</x:v>
      </x:c>
      <x:c r="O416" s="117" t="str">
        <x:v>Jace Gentil</x:v>
      </x:c>
      <x:c r="P416" s="120" t="n">
        <x:v>45492.76206018519</x:v>
      </x:c>
      <x:c r="Q416" s="117" t="str">
        <x:v>Jace Gentil</x:v>
      </x:c>
      <x:c r="R416" s="117" t="str">
        <x:v>Contact - New Form Submission</x:v>
      </x:c>
      <x:c r="S416" s="119"/>
    </x:row>
    <x:row r="417" ht="30" customHeight="1">
      <x:c r="A417" s="117" t="str">
        <x:v>Contact_Set_Primary_Contact</x:v>
      </x:c>
      <x:c r="B417" s="117" t="str">
        <x:v>3005b000000H3T6AAK</x:v>
      </x:c>
      <x:c r="C417" s="117" t="str">
        <x:v>3015b000000EHp7AAG</x:v>
      </x:c>
      <x:c r="D417" s="118" t="n">
        <x:v>1</x:v>
      </x:c>
      <x:c r="E417" s="117" t="str">
        <x:v>Obsolete</x:v>
      </x:c>
      <x:c r="F417" s="117" t="str">
        <x:v>No</x:v>
      </x:c>
      <x:c r="G417" s="117" t="str">
        <x:v>No</x:v>
      </x:c>
      <x:c r="H417" s="117" t="str">
        <x:v>AutoLaunchedFlow</x:v>
      </x:c>
      <x:c r="I417" s="118" t="n">
        <x:v>54</x:v>
      </x:c>
      <x:c r="J417" s="117" t="str">
        <x:v>unmanaged</x:v>
      </x:c>
      <x:c r="K417" s="123" t="b">
        <x:v>0</x:v>
      </x:c>
      <x:c r="L417" s="117"/>
      <x:c r="M417" s="118"/>
      <x:c r="N417" s="120" t="n">
        <x:v>44613.692928240744</x:v>
      </x:c>
      <x:c r="O417" s="117" t="str">
        <x:v>Delegate</x:v>
      </x:c>
      <x:c r="P417" s="120" t="n">
        <x:v>44613.69425925926</x:v>
      </x:c>
      <x:c r="Q417" s="117" t="str">
        <x:v>Delegate</x:v>
      </x:c>
      <x:c r="R417" s="117" t="str">
        <x:v>Contact - Set Primary Contact</x:v>
      </x:c>
      <x:c r="S417" s="119"/>
    </x:row>
    <x:row r="418" ht="30" customHeight="1">
      <x:c r="A418" s="117" t="str">
        <x:v>Contact_Set_Primary_Contact</x:v>
      </x:c>
      <x:c r="B418" s="117" t="str">
        <x:v>3005b000000H3T6AAK</x:v>
      </x:c>
      <x:c r="C418" s="117" t="str">
        <x:v>3015b000000EKwfAAG</x:v>
      </x:c>
      <x:c r="D418" s="118" t="n">
        <x:v>2</x:v>
      </x:c>
      <x:c r="E418" s="117" t="str">
        <x:v>Obsolete</x:v>
      </x:c>
      <x:c r="F418" s="117" t="str">
        <x:v>No</x:v>
      </x:c>
      <x:c r="G418" s="117" t="str">
        <x:v>Yes</x:v>
      </x:c>
      <x:c r="H418" s="117" t="str">
        <x:v>AutoLaunchedFlow</x:v>
      </x:c>
      <x:c r="I418" s="118" t="n">
        <x:v>54</x:v>
      </x:c>
      <x:c r="J418" s="117" t="str">
        <x:v>unmanaged</x:v>
      </x:c>
      <x:c r="K418" s="123" t="b">
        <x:v>0</x:v>
      </x:c>
      <x:c r="L418" s="117"/>
      <x:c r="M418" s="118"/>
      <x:c r="N418" s="120" t="n">
        <x:v>44760.60413194444</x:v>
      </x:c>
      <x:c r="O418" s="117" t="str">
        <x:v>Delegate</x:v>
      </x:c>
      <x:c r="P418" s="120" t="n">
        <x:v>45092.83677083333</x:v>
      </x:c>
      <x:c r="Q418" s="117" t="str">
        <x:v>Jace Gentil</x:v>
      </x:c>
      <x:c r="R418" s="117" t="str">
        <x:v>Contact - Set Primary Contact</x:v>
      </x:c>
      <x:c r="S418" s="119"/>
    </x:row>
    <x:row r="419" ht="30" customHeight="1">
      <x:c r="A419" s="117" t="str">
        <x:v>Contract_Line_Item_Calculate_Running_Coverage_Duration_Business_Hours</x:v>
      </x:c>
      <x:c r="B419" s="117" t="str">
        <x:v>300Ro00000q8I1rIAE</x:v>
      </x:c>
      <x:c r="C419" s="117" t="str">
        <x:v>301Ro00000xf4qYIAQ</x:v>
      </x:c>
      <x:c r="D419" s="118" t="n">
        <x:v>1</x:v>
      </x:c>
      <x:c r="E419" s="117" t="str">
        <x:v>Draft</x:v>
      </x:c>
      <x:c r="F419" s="117" t="str">
        <x:v>No</x:v>
      </x:c>
      <x:c r="G419" s="117" t="str">
        <x:v>Yes</x:v>
      </x:c>
      <x:c r="H419" s="117" t="str">
        <x:v>AutoLaunchedFlow</x:v>
      </x:c>
      <x:c r="I419" s="118" t="n">
        <x:v>65</x:v>
      </x:c>
      <x:c r="J419" s="117" t="str">
        <x:v>unmanaged</x:v>
      </x:c>
      <x:c r="K419" s="123" t="b">
        <x:v>0</x:v>
      </x:c>
      <x:c r="L419" s="117"/>
      <x:c r="M419" s="118"/>
      <x:c r="N419" s="120" t="n">
        <x:v>46059.49943287037</x:v>
      </x:c>
      <x:c r="O419" s="117" t="str">
        <x:v>Sacha Pearce</x:v>
      </x:c>
      <x:c r="P419" s="120" t="n">
        <x:v>46059.499456018515</x:v>
      </x:c>
      <x:c r="Q419" s="117" t="str">
        <x:v>Sacha Pearce</x:v>
      </x:c>
      <x:c r="R419" s="117" t="str">
        <x:v>Contract Line Item - Calculate Running Coverage Duration (Business Hours)</x:v>
      </x:c>
      <x:c r="S419" s="119"/>
    </x:row>
    <x:row r="420" ht="30" customHeight="1">
      <x:c r="A420" s="117" t="str">
        <x:v>Contract_Line_Item_Cancel_Work_Orders_on_Decommissioning</x:v>
      </x:c>
      <x:c r="B420" s="117" t="str">
        <x:v>300Ro000013nZjxIAE</x:v>
      </x:c>
      <x:c r="C420" s="117" t="str">
        <x:v>301Ro00001Cb34LIAR</x:v>
      </x:c>
      <x:c r="D420" s="118" t="n">
        <x:v>1</x:v>
      </x:c>
      <x:c r="E420" s="117" t="str">
        <x:v>Obsolete</x:v>
      </x:c>
      <x:c r="F420" s="117" t="str">
        <x:v>No</x:v>
      </x:c>
      <x:c r="G420" s="117" t="str">
        <x:v>No</x:v>
      </x:c>
      <x:c r="H420" s="117" t="str">
        <x:v>AutoLaunchedFlow</x:v>
      </x:c>
      <x:c r="I420" s="118" t="n">
        <x:v>67</x:v>
      </x:c>
      <x:c r="J420" s="117" t="str">
        <x:v>unmanaged</x:v>
      </x:c>
      <x:c r="K420" s="123" t="b">
        <x:v>0</x:v>
      </x:c>
      <x:c r="L420" s="117"/>
      <x:c r="M420" s="118"/>
      <x:c r="N420" s="120" t="n">
        <x:v>46232.54829861111</x:v>
      </x:c>
      <x:c r="O420" s="117" t="str">
        <x:v>Sacha Pearce</x:v>
      </x:c>
      <x:c r="P420" s="120" t="n">
        <x:v>46232.548738425925</x:v>
      </x:c>
      <x:c r="Q420" s="117" t="str">
        <x:v>Sacha Pearce</x:v>
      </x:c>
      <x:c r="R420" s="117" t="str">
        <x:v>Contract Line Item - Cancel Work Orders on Decommissioning</x:v>
      </x:c>
      <x:c r="S420" s="119"/>
    </x:row>
    <x:row r="421" ht="30" customHeight="1">
      <x:c r="A421" s="117" t="str">
        <x:v>Contract_Line_Item_Cancel_Work_Orders_on_Decommissioning</x:v>
      </x:c>
      <x:c r="B421" s="117" t="str">
        <x:v>300Ro000013nZjxIAE</x:v>
      </x:c>
      <x:c r="C421" s="117" t="str">
        <x:v>301Ro00001CbaEoIAJ</x:v>
      </x:c>
      <x:c r="D421" s="118" t="n">
        <x:v>2</x:v>
      </x:c>
      <x:c r="E421" s="117" t="str">
        <x:v>Obsolete</x:v>
      </x:c>
      <x:c r="F421" s="117" t="str">
        <x:v>No</x:v>
      </x:c>
      <x:c r="G421" s="117" t="str">
        <x:v>No</x:v>
      </x:c>
      <x:c r="H421" s="117" t="str">
        <x:v>AutoLaunchedFlow</x:v>
      </x:c>
      <x:c r="I421" s="118" t="n">
        <x:v>67</x:v>
      </x:c>
      <x:c r="J421" s="117" t="str">
        <x:v>unmanaged</x:v>
      </x:c>
      <x:c r="K421" s="123" t="b">
        <x:v>0</x:v>
      </x:c>
      <x:c r="L421" s="117"/>
      <x:c r="M421" s="118"/>
      <x:c r="N421" s="120" t="n">
        <x:v>46232.61430555556</x:v>
      </x:c>
      <x:c r="O421" s="117" t="str">
        <x:v>Sacha Pearce</x:v>
      </x:c>
      <x:c r="P421" s="120" t="n">
        <x:v>46232.61446759259</x:v>
      </x:c>
      <x:c r="Q421" s="117" t="str">
        <x:v>Sacha Pearce</x:v>
      </x:c>
      <x:c r="R421" s="117" t="str">
        <x:v>Contract Line Item - Cancel Work Orders on Decommissioning</x:v>
      </x:c>
      <x:c r="S421" s="119"/>
    </x:row>
    <x:row r="422" ht="30" customHeight="1">
      <x:c r="A422" s="117" t="str">
        <x:v>Contract_Line_Item_Cancel_Work_Orders_on_Decommissioning</x:v>
      </x:c>
      <x:c r="B422" s="117" t="str">
        <x:v>300Ro000013nZjxIAE</x:v>
      </x:c>
      <x:c r="C422" s="117" t="str">
        <x:v>301Ro00001CbEkcIAF</x:v>
      </x:c>
      <x:c r="D422" s="118" t="n">
        <x:v>3</x:v>
      </x:c>
      <x:c r="E422" s="117" t="str">
        <x:v>Obsolete</x:v>
      </x:c>
      <x:c r="F422" s="117" t="str">
        <x:v>No</x:v>
      </x:c>
      <x:c r="G422" s="117" t="str">
        <x:v>No</x:v>
      </x:c>
      <x:c r="H422" s="117" t="str">
        <x:v>AutoLaunchedFlow</x:v>
      </x:c>
      <x:c r="I422" s="118" t="n">
        <x:v>67</x:v>
      </x:c>
      <x:c r="J422" s="117" t="str">
        <x:v>unmanaged</x:v>
      </x:c>
      <x:c r="K422" s="123" t="b">
        <x:v>0</x:v>
      </x:c>
      <x:c r="L422" s="117"/>
      <x:c r="M422" s="118"/>
      <x:c r="N422" s="120" t="n">
        <x:v>46232.61547453704</x:v>
      </x:c>
      <x:c r="O422" s="117" t="str">
        <x:v>Sacha Pearce</x:v>
      </x:c>
      <x:c r="P422" s="120" t="n">
        <x:v>46232.615590277775</x:v>
      </x:c>
      <x:c r="Q422" s="117" t="str">
        <x:v>Sacha Pearce</x:v>
      </x:c>
      <x:c r="R422" s="117" t="str">
        <x:v>Contract Line Item - Cancel Work Orders on Decommissioning</x:v>
      </x:c>
      <x:c r="S422" s="119"/>
    </x:row>
    <x:row r="423" ht="30" customHeight="1">
      <x:c r="A423" s="117" t="str">
        <x:v>Contract_Line_Item_Cancel_Work_Orders_on_Decommissioning</x:v>
      </x:c>
      <x:c r="B423" s="117" t="str">
        <x:v>300Ro000013nZjxIAE</x:v>
      </x:c>
      <x:c r="C423" s="117" t="str">
        <x:v>301Ro00001CbJ2hIAF</x:v>
      </x:c>
      <x:c r="D423" s="118" t="n">
        <x:v>4</x:v>
      </x:c>
      <x:c r="E423" s="117" t="str">
        <x:v>Obsolete</x:v>
      </x:c>
      <x:c r="F423" s="117" t="str">
        <x:v>No</x:v>
      </x:c>
      <x:c r="G423" s="117" t="str">
        <x:v>No</x:v>
      </x:c>
      <x:c r="H423" s="117" t="str">
        <x:v>AutoLaunchedFlow</x:v>
      </x:c>
      <x:c r="I423" s="118" t="n">
        <x:v>67</x:v>
      </x:c>
      <x:c r="J423" s="117" t="str">
        <x:v>unmanaged</x:v>
      </x:c>
      <x:c r="K423" s="123" t="b">
        <x:v>0</x:v>
      </x:c>
      <x:c r="L423" s="117"/>
      <x:c r="M423" s="118"/>
      <x:c r="N423" s="120" t="n">
        <x:v>46232.61709490741</x:v>
      </x:c>
      <x:c r="O423" s="117" t="str">
        <x:v>Sacha Pearce</x:v>
      </x:c>
      <x:c r="P423" s="120" t="n">
        <x:v>46232.61987268519</x:v>
      </x:c>
      <x:c r="Q423" s="117" t="str">
        <x:v>Sacha Pearce</x:v>
      </x:c>
      <x:c r="R423" s="117" t="str">
        <x:v>Contract Line Item - Cancel Work Orders on Decommissioning</x:v>
      </x:c>
      <x:c r="S423" s="119"/>
    </x:row>
    <x:row r="424" ht="30" customHeight="1">
      <x:c r="A424" s="117" t="str">
        <x:v>Contract_Line_Item_Cancel_Work_Orders_on_Decommissioning</x:v>
      </x:c>
      <x:c r="B424" s="117" t="str">
        <x:v>300Ro000013nZjxIAE</x:v>
      </x:c>
      <x:c r="C424" s="117" t="str">
        <x:v>301Ro00001ChX9wIAF</x:v>
      </x:c>
      <x:c r="D424" s="118" t="n">
        <x:v>5</x:v>
      </x:c>
      <x:c r="E424" s="117" t="str">
        <x:v>Obsolete</x:v>
      </x:c>
      <x:c r="F424" s="117" t="str">
        <x:v>No</x:v>
      </x:c>
      <x:c r="G424" s="117" t="str">
        <x:v>No</x:v>
      </x:c>
      <x:c r="H424" s="117" t="str">
        <x:v>AutoLaunchedFlow</x:v>
      </x:c>
      <x:c r="I424" s="118" t="n">
        <x:v>67</x:v>
      </x:c>
      <x:c r="J424" s="117" t="str">
        <x:v>unmanaged</x:v>
      </x:c>
      <x:c r="K424" s="123" t="b">
        <x:v>0</x:v>
      </x:c>
      <x:c r="L424" s="117"/>
      <x:c r="M424" s="118"/>
      <x:c r="N424" s="120" t="n">
        <x:v>46233.55866898148</x:v>
      </x:c>
      <x:c r="O424" s="117" t="str">
        <x:v>Sacha Pearce</x:v>
      </x:c>
      <x:c r="P424" s="120" t="n">
        <x:v>46233.558842592596</x:v>
      </x:c>
      <x:c r="Q424" s="117" t="str">
        <x:v>Sacha Pearce</x:v>
      </x:c>
      <x:c r="R424" s="117" t="str">
        <x:v>Contract Line Item - Cancel Work Orders on Decommissioning</x:v>
      </x:c>
      <x:c r="S424" s="119" t="str">
        <x:v>30/07/2026 - SP - Stopping the Flow from running if no Work Orders are retrieved.</x:v>
      </x:c>
    </x:row>
    <x:row r="425" ht="30" customHeight="1">
      <x:c r="A425" s="117" t="str">
        <x:v>Contract_Line_Item_Cancel_Work_Orders_on_Decommissioning</x:v>
      </x:c>
      <x:c r="B425" s="117" t="str">
        <x:v>300Ro000013nZjxIAE</x:v>
      </x:c>
      <x:c r="C425" s="117" t="str">
        <x:v>301Ro00001ChIYaIAN</x:v>
      </x:c>
      <x:c r="D425" s="118" t="n">
        <x:v>6</x:v>
      </x:c>
      <x:c r="E425" s="117" t="str">
        <x:v>Active</x:v>
      </x:c>
      <x:c r="F425" s="117" t="str">
        <x:v>Yes</x:v>
      </x:c>
      <x:c r="G425" s="117" t="str">
        <x:v>Yes</x:v>
      </x:c>
      <x:c r="H425" s="117" t="str">
        <x:v>AutoLaunchedFlow</x:v>
      </x:c>
      <x:c r="I425" s="118" t="n">
        <x:v>67</x:v>
      </x:c>
      <x:c r="J425" s="117" t="str">
        <x:v>unmanaged</x:v>
      </x:c>
      <x:c r="K425" s="123" t="b">
        <x:v>0</x:v>
      </x:c>
      <x:c r="L425" s="117"/>
      <x:c r="M425" s="118"/>
      <x:c r="N425" s="120" t="n">
        <x:v>46233.58052083333</x:v>
      </x:c>
      <x:c r="O425" s="117" t="str">
        <x:v>Sacha Pearce</x:v>
      </x:c>
      <x:c r="P425" s="120" t="n">
        <x:v>46233.5808912037</x:v>
      </x:c>
      <x:c r="Q425" s="117" t="str">
        <x:v>Sacha Pearce</x:v>
      </x:c>
      <x:c r="R425" s="117" t="str">
        <x:v>Contract Line Item - Cancel Work Orders on Decommissioning</x:v>
      </x:c>
      <x:c r="S425" s="119" t="str">
        <x:v>30/07/2026 - SP - Adding descriptions into elements to help with Flow clarity and any future debugging.</x:v>
      </x:c>
    </x:row>
    <x:row r="426" ht="30" customHeight="1">
      <x:c r="A426" s="117" t="str">
        <x:v>Contract_Line_Item_Creation_or_Update_Set_Lifecycle_Status</x:v>
      </x:c>
      <x:c r="B426" s="117" t="str">
        <x:v>300Ro00000xgwAVIAY</x:v>
      </x:c>
      <x:c r="C426" s="117" t="str">
        <x:v>301Ro000015vlN4IAI</x:v>
      </x:c>
      <x:c r="D426" s="118" t="n">
        <x:v>1</x:v>
      </x:c>
      <x:c r="E426" s="117" t="str">
        <x:v>Obsolete</x:v>
      </x:c>
      <x:c r="F426" s="117" t="str">
        <x:v>No</x:v>
      </x:c>
      <x:c r="G426" s="117" t="str">
        <x:v>No</x:v>
      </x:c>
      <x:c r="H426" s="117" t="str">
        <x:v>AutoLaunchedFlow</x:v>
      </x:c>
      <x:c r="I426" s="118" t="n">
        <x:v>66</x:v>
      </x:c>
      <x:c r="J426" s="117" t="str">
        <x:v>unmanaged</x:v>
      </x:c>
      <x:c r="K426" s="123" t="b">
        <x:v>0</x:v>
      </x:c>
      <x:c r="L426" s="117"/>
      <x:c r="M426" s="118"/>
      <x:c r="N426" s="120" t="n">
        <x:v>46160.399305555555</x:v>
      </x:c>
      <x:c r="O426" s="117" t="str">
        <x:v>Sacha Pearce</x:v>
      </x:c>
      <x:c r="P426" s="120" t="n">
        <x:v>46160.42811342593</x:v>
      </x:c>
      <x:c r="Q426" s="117" t="str">
        <x:v>Sacha Pearce</x:v>
      </x:c>
      <x:c r="R426" s="117" t="str">
        <x:v>Contract Line Item - Creation or Update - Set Lifecycle Status</x:v>
      </x:c>
      <x:c r="S426" s="119"/>
    </x:row>
    <x:row r="427" ht="30" customHeight="1">
      <x:c r="A427" s="117" t="str">
        <x:v>Contract_Line_Item_Creation_or_Update_Set_Lifecycle_Status</x:v>
      </x:c>
      <x:c r="B427" s="117" t="str">
        <x:v>300Ro00000xgwAVIAY</x:v>
      </x:c>
      <x:c r="C427" s="117" t="str">
        <x:v>301Ro000018E57eIAC</x:v>
      </x:c>
      <x:c r="D427" s="118" t="n">
        <x:v>2</x:v>
      </x:c>
      <x:c r="E427" s="117" t="str">
        <x:v>Obsolete</x:v>
      </x:c>
      <x:c r="F427" s="117" t="str">
        <x:v>No</x:v>
      </x:c>
      <x:c r="G427" s="117" t="str">
        <x:v>No</x:v>
      </x:c>
      <x:c r="H427" s="117" t="str">
        <x:v>AutoLaunchedFlow</x:v>
      </x:c>
      <x:c r="I427" s="118" t="n">
        <x:v>66</x:v>
      </x:c>
      <x:c r="J427" s="117" t="str">
        <x:v>unmanaged</x:v>
      </x:c>
      <x:c r="K427" s="123" t="b">
        <x:v>0</x:v>
      </x:c>
      <x:c r="L427" s="117"/>
      <x:c r="M427" s="118"/>
      <x:c r="N427" s="120" t="n">
        <x:v>46184.38050925926</x:v>
      </x:c>
      <x:c r="O427" s="117" t="str">
        <x:v>Sacha Pearce</x:v>
      </x:c>
      <x:c r="P427" s="120" t="n">
        <x:v>46184.38085648148</x:v>
      </x:c>
      <x:c r="Q427" s="117" t="str">
        <x:v>Sacha Pearce</x:v>
      </x:c>
      <x:c r="R427" s="117" t="str">
        <x:v>Contract Line Item - Creation or Update - Set Lifecycle Status</x:v>
      </x:c>
      <x:c r="S427" s="119"/>
    </x:row>
    <x:row r="428" ht="30" customHeight="1">
      <x:c r="A428" s="117" t="str">
        <x:v>Contract_Line_Item_Creation_or_Update_Set_Lifecycle_Status</x:v>
      </x:c>
      <x:c r="B428" s="117" t="str">
        <x:v>300Ro00000xgwAVIAY</x:v>
      </x:c>
      <x:c r="C428" s="117" t="str">
        <x:v>301Ro000018ENVzIAO</x:v>
      </x:c>
      <x:c r="D428" s="118" t="n">
        <x:v>3</x:v>
      </x:c>
      <x:c r="E428" s="117" t="str">
        <x:v>Active</x:v>
      </x:c>
      <x:c r="F428" s="117" t="str">
        <x:v>Yes</x:v>
      </x:c>
      <x:c r="G428" s="117" t="str">
        <x:v>Yes</x:v>
      </x:c>
      <x:c r="H428" s="117" t="str">
        <x:v>AutoLaunchedFlow</x:v>
      </x:c>
      <x:c r="I428" s="118" t="n">
        <x:v>66</x:v>
      </x:c>
      <x:c r="J428" s="117" t="str">
        <x:v>unmanaged</x:v>
      </x:c>
      <x:c r="K428" s="123" t="b">
        <x:v>0</x:v>
      </x:c>
      <x:c r="L428" s="117"/>
      <x:c r="M428" s="118"/>
      <x:c r="N428" s="120" t="n">
        <x:v>46184.38133101852</x:v>
      </x:c>
      <x:c r="O428" s="117" t="str">
        <x:v>Sacha Pearce</x:v>
      </x:c>
      <x:c r="P428" s="120" t="n">
        <x:v>46184.38144675926</x:v>
      </x:c>
      <x:c r="Q428" s="117" t="str">
        <x:v>Sacha Pearce</x:v>
      </x:c>
      <x:c r="R428" s="117" t="str">
        <x:v>Contract Line Item - Creation or Update - Set Lifecycle Status</x:v>
      </x:c>
      <x:c r="S428" s="119"/>
    </x:row>
    <x:row r="429" ht="30" customHeight="1">
      <x:c r="A429" s="117" t="str">
        <x:v>Contract_Line_Item_Edit_Multiple_Work_Orders_Screen_Flow</x:v>
      </x:c>
      <x:c r="B429" s="117" t="str">
        <x:v>300Ro00000wU0CTIA0</x:v>
      </x:c>
      <x:c r="C429" s="117" t="str">
        <x:v>301Ro000014ZiPzIAK</x:v>
      </x:c>
      <x:c r="D429" s="118" t="n">
        <x:v>1</x:v>
      </x:c>
      <x:c r="E429" s="117" t="str">
        <x:v>Obsolete</x:v>
      </x:c>
      <x:c r="F429" s="117" t="str">
        <x:v>No</x:v>
      </x:c>
      <x:c r="G429" s="117" t="str">
        <x:v>No</x:v>
      </x:c>
      <x:c r="H429" s="117" t="str">
        <x:v>Flow</x:v>
      </x:c>
      <x:c r="I429" s="118" t="n">
        <x:v>66</x:v>
      </x:c>
      <x:c r="J429" s="117" t="str">
        <x:v>unmanaged</x:v>
      </x:c>
      <x:c r="K429" s="123" t="b">
        <x:v>0</x:v>
      </x:c>
      <x:c r="L429" s="117"/>
      <x:c r="M429" s="118"/>
      <x:c r="N429" s="120" t="n">
        <x:v>46143.522048611114</x:v>
      </x:c>
      <x:c r="O429" s="117" t="str">
        <x:v>Sacha Pearce</x:v>
      </x:c>
      <x:c r="P429" s="120" t="n">
        <x:v>46143.522141203706</x:v>
      </x:c>
      <x:c r="Q429" s="117" t="str">
        <x:v>Sacha Pearce</x:v>
      </x:c>
      <x:c r="R429" s="117" t="str">
        <x:v>Contract Line Item - Edit Multiple Work Orders - Screen Flow</x:v>
      </x:c>
      <x:c r="S429" s="119" t="str">
        <x:v>This Flow has been designed to enable team members to update the "Next Service Date" field on multiple Work Orders in one transaction.</x:v>
      </x:c>
    </x:row>
    <x:row r="430" ht="30" customHeight="1">
      <x:c r="A430" s="117" t="str">
        <x:v>Contract_Line_Item_Edit_Multiple_Work_Orders_Screen_Flow</x:v>
      </x:c>
      <x:c r="B430" s="117" t="str">
        <x:v>300Ro00000wU0CTIA0</x:v>
      </x:c>
      <x:c r="C430" s="117" t="str">
        <x:v>301Ro000014ZaKOIA0</x:v>
      </x:c>
      <x:c r="D430" s="118" t="n">
        <x:v>2</x:v>
      </x:c>
      <x:c r="E430" s="117" t="str">
        <x:v>Active</x:v>
      </x:c>
      <x:c r="F430" s="117" t="str">
        <x:v>Yes</x:v>
      </x:c>
      <x:c r="G430" s="117" t="str">
        <x:v>Yes</x:v>
      </x:c>
      <x:c r="H430" s="117" t="str">
        <x:v>Flow</x:v>
      </x:c>
      <x:c r="I430" s="118" t="n">
        <x:v>66</x:v>
      </x:c>
      <x:c r="J430" s="117" t="str">
        <x:v>unmanaged</x:v>
      </x:c>
      <x:c r="K430" s="123" t="b">
        <x:v>0</x:v>
      </x:c>
      <x:c r="L430" s="117"/>
      <x:c r="M430" s="118"/>
      <x:c r="N430" s="120" t="n">
        <x:v>46143.53240740741</x:v>
      </x:c>
      <x:c r="O430" s="117" t="str">
        <x:v>Sacha Pearce</x:v>
      </x:c>
      <x:c r="P430" s="120" t="n">
        <x:v>46143.53246527778</x:v>
      </x:c>
      <x:c r="Q430" s="117" t="str">
        <x:v>Sacha Pearce</x:v>
      </x:c>
      <x:c r="R430" s="117" t="str">
        <x:v>Contract Line Item - Edit Multiple Work Orders - Screen Flow</x:v>
      </x:c>
      <x:c r="S430" s="119" t="str">
        <x:v>01/05/20206 - SP - Making the "Datatable" columns fit the screen by preventing width changes.</x:v>
      </x:c>
    </x:row>
    <x:row r="431" ht="30" customHeight="1">
      <x:c r="A431" s="117" t="str">
        <x:v>Contract_Line_Item_Roll_Up_Downtime_Business_Hours</x:v>
      </x:c>
      <x:c r="B431" s="117" t="str">
        <x:v>300Ro00000qEJBNIA4</x:v>
      </x:c>
      <x:c r="C431" s="117" t="str">
        <x:v>301Ro00000xm0VHIAY</x:v>
      </x:c>
      <x:c r="D431" s="118" t="n">
        <x:v>1</x:v>
      </x:c>
      <x:c r="E431" s="117" t="str">
        <x:v>Obsolete</x:v>
      </x:c>
      <x:c r="F431" s="117" t="str">
        <x:v>No</x:v>
      </x:c>
      <x:c r="G431" s="117" t="str">
        <x:v>No</x:v>
      </x:c>
      <x:c r="H431" s="117" t="str">
        <x:v>AutoLaunchedFlow</x:v>
      </x:c>
      <x:c r="I431" s="118" t="n">
        <x:v>65</x:v>
      </x:c>
      <x:c r="J431" s="117" t="str">
        <x:v>unmanaged</x:v>
      </x:c>
      <x:c r="K431" s="123" t="b">
        <x:v>0</x:v>
      </x:c>
      <x:c r="L431" s="117"/>
      <x:c r="M431" s="118"/>
      <x:c r="N431" s="120" t="n">
        <x:v>46060.59730324074</x:v>
      </x:c>
      <x:c r="O431" s="117" t="str">
        <x:v>Sacha Pearce</x:v>
      </x:c>
      <x:c r="P431" s="120" t="n">
        <x:v>46060.59738425926</x:v>
      </x:c>
      <x:c r="Q431" s="117" t="str">
        <x:v>Sacha Pearce</x:v>
      </x:c>
      <x:c r="R431" s="117" t="str">
        <x:v>Contract Line Item - Roll Up Downtime (Business Hours)</x:v>
      </x:c>
      <x:c r="S431" s="119"/>
    </x:row>
    <x:row r="432" ht="30" customHeight="1">
      <x:c r="A432" s="117" t="str">
        <x:v>Contract_Line_Item_Roll_Up_Downtime_Business_Hours</x:v>
      </x:c>
      <x:c r="B432" s="117" t="str">
        <x:v>300Ro00000qEJBNIA4</x:v>
      </x:c>
      <x:c r="C432" s="117" t="str">
        <x:v>301Ro0000132dfnIAA</x:v>
      </x:c>
      <x:c r="D432" s="118" t="n">
        <x:v>2</x:v>
      </x:c>
      <x:c r="E432" s="117" t="str">
        <x:v>Active</x:v>
      </x:c>
      <x:c r="F432" s="117" t="str">
        <x:v>Yes</x:v>
      </x:c>
      <x:c r="G432" s="117" t="str">
        <x:v>Yes</x:v>
      </x:c>
      <x:c r="H432" s="117" t="str">
        <x:v>AutoLaunchedFlow</x:v>
      </x:c>
      <x:c r="I432" s="118" t="n">
        <x:v>65</x:v>
      </x:c>
      <x:c r="J432" s="117" t="str">
        <x:v>unmanaged</x:v>
      </x:c>
      <x:c r="K432" s="123" t="b">
        <x:v>0</x:v>
      </x:c>
      <x:c r="L432" s="117"/>
      <x:c r="M432" s="118"/>
      <x:c r="N432" s="120" t="n">
        <x:v>46125.66337962963</x:v>
      </x:c>
      <x:c r="O432" s="117" t="str">
        <x:v>Sacha Pearce</x:v>
      </x:c>
      <x:c r="P432" s="120" t="n">
        <x:v>46125.663449074076</x:v>
      </x:c>
      <x:c r="Q432" s="117" t="str">
        <x:v>Sacha Pearce</x:v>
      </x:c>
      <x:c r="R432" s="117" t="str">
        <x:v>Contract Line Item - Roll Up Downtime (Business Hours)</x:v>
      </x:c>
      <x:c r="S432" s="119"/>
    </x:row>
    <x:row r="433" ht="30" customHeight="1">
      <x:c r="A433" s="117" t="str">
        <x:v>Contract_Line_Item_Trigger_Create_QA_Upon_Save</x:v>
      </x:c>
      <x:c r="B433" s="117" t="str">
        <x:v>300Ro00000V6HVlIAN</x:v>
      </x:c>
      <x:c r="C433" s="117" t="str">
        <x:v>301Ro00000YH5hFIAT</x:v>
      </x:c>
      <x:c r="D433" s="118" t="n">
        <x:v>1</x:v>
      </x:c>
      <x:c r="E433" s="117" t="str">
        <x:v>Active</x:v>
      </x:c>
      <x:c r="F433" s="117" t="str">
        <x:v>Yes</x:v>
      </x:c>
      <x:c r="G433" s="117" t="str">
        <x:v>Yes</x:v>
      </x:c>
      <x:c r="H433" s="117" t="str">
        <x:v>AutoLaunchedFlow</x:v>
      </x:c>
      <x:c r="I433" s="118" t="n">
        <x:v>63</x:v>
      </x:c>
      <x:c r="J433" s="117" t="str">
        <x:v>unmanaged</x:v>
      </x:c>
      <x:c r="K433" s="123" t="b">
        <x:v>0</x:v>
      </x:c>
      <x:c r="L433" s="117"/>
      <x:c r="M433" s="118"/>
      <x:c r="N433" s="120" t="n">
        <x:v>45777.507789351854</x:v>
      </x:c>
      <x:c r="O433" s="117" t="str">
        <x:v>Delegate</x:v>
      </x:c>
      <x:c r="P433" s="120" t="n">
        <x:v>45777.507893518516</x:v>
      </x:c>
      <x:c r="Q433" s="117" t="str">
        <x:v>Delegate</x:v>
      </x:c>
      <x:c r="R433" s="117" t="str">
        <x:v>Contract Line Item - Trigger - Create QA Upon Save</x:v>
      </x:c>
      <x:c r="S433" s="119" t="str">
        <x:v>04/21/2025 - Kyle/Delegate - Upon save, create a QA Work order and corresponding service appointment for 3 months out
04/25/2025 - Kyle/Delegate - Error Handling</x:v>
      </x:c>
    </x:row>
    <x:row r="434" ht="30" customHeight="1">
      <x:c r="A434" s="117" t="str">
        <x:v>Convert_Proforma</x:v>
      </x:c>
      <x:c r="B434" s="117" t="str">
        <x:v>300Ro00000gOxzdIAC</x:v>
      </x:c>
      <x:c r="C434" s="117" t="str">
        <x:v>301Ro00000mrOGpIAM</x:v>
      </x:c>
      <x:c r="D434" s="118" t="n">
        <x:v>1</x:v>
      </x:c>
      <x:c r="E434" s="117" t="str">
        <x:v>Active</x:v>
      </x:c>
      <x:c r="F434" s="117" t="str">
        <x:v>Yes</x:v>
      </x:c>
      <x:c r="G434" s="117" t="str">
        <x:v>Yes</x:v>
      </x:c>
      <x:c r="H434" s="117" t="str">
        <x:v>Flow</x:v>
      </x:c>
      <x:c r="I434" s="118" t="n">
        <x:v>64</x:v>
      </x:c>
      <x:c r="J434" s="117" t="str">
        <x:v>unmanaged</x:v>
      </x:c>
      <x:c r="K434" s="123" t="b">
        <x:v>0</x:v>
      </x:c>
      <x:c r="L434" s="117"/>
      <x:c r="M434" s="118"/>
      <x:c r="N434" s="120" t="n">
        <x:v>45922.849710648145</x:v>
      </x:c>
      <x:c r="O434" s="117" t="str">
        <x:v>Bill Hagarty</x:v>
      </x:c>
      <x:c r="P434" s="120" t="n">
        <x:v>45922.858310185184</x:v>
      </x:c>
      <x:c r="Q434" s="117" t="str">
        <x:v>Bill Hagarty</x:v>
      </x:c>
      <x:c r="R434" s="117" t="str">
        <x:v>Convert Proforma</x:v>
      </x:c>
      <x:c r="S434" s="119" t="str">
        <x:v>With the Invoice &gt; Convert Proforma button, converts a Proforma Invoice to a Standard Invoice.</x:v>
      </x:c>
    </x:row>
    <x:row r="435" ht="30" customHeight="1">
      <x:c r="A435" s="117" t="str">
        <x:v>Convert_PRR_to_Purchasing_Opportunity_Screen_Flow</x:v>
      </x:c>
      <x:c r="B435" s="117" t="str">
        <x:v>3005b000000Pz5oAAC</x:v>
      </x:c>
      <x:c r="C435" s="117" t="str">
        <x:v>3015b000000W0nDAAS</x:v>
      </x:c>
      <x:c r="D435" s="118" t="n">
        <x:v>1</x:v>
      </x:c>
      <x:c r="E435" s="117" t="str">
        <x:v>Obsolete</x:v>
      </x:c>
      <x:c r="F435" s="117" t="str">
        <x:v>No</x:v>
      </x:c>
      <x:c r="G435" s="117" t="str">
        <x:v>No</x:v>
      </x:c>
      <x:c r="H435" s="117" t="str">
        <x:v>Flow</x:v>
      </x:c>
      <x:c r="I435" s="118" t="n">
        <x:v>57</x:v>
      </x:c>
      <x:c r="J435" s="117" t="str">
        <x:v>unmanaged</x:v>
      </x:c>
      <x:c r="K435" s="123" t="b">
        <x:v>0</x:v>
      </x:c>
      <x:c r="L435" s="117"/>
      <x:c r="M435" s="118"/>
      <x:c r="N435" s="120" t="n">
        <x:v>45002.60155092592</x:v>
      </x:c>
      <x:c r="O435" s="117" t="str">
        <x:v>Jace Gentil</x:v>
      </x:c>
      <x:c r="P435" s="120" t="n">
        <x:v>45002.60159722222</x:v>
      </x:c>
      <x:c r="Q435" s="117" t="str">
        <x:v>Jace Gentil</x:v>
      </x:c>
      <x:c r="R435" s="117" t="str">
        <x:v>Convert PRR to Purchasing Opportunity Screen Flow</x:v>
      </x:c>
      <x:c r="S435" s="119"/>
    </x:row>
    <x:row r="436" ht="30" customHeight="1">
      <x:c r="A436" s="117" t="str">
        <x:v>Convert_PRR_to_Purchasing_Opportunity_Screen_Flow</x:v>
      </x:c>
      <x:c r="B436" s="117" t="str">
        <x:v>3005b000000Pz5oAAC</x:v>
      </x:c>
      <x:c r="C436" s="117" t="str">
        <x:v>3015b000000W0x8AAC</x:v>
      </x:c>
      <x:c r="D436" s="118" t="n">
        <x:v>2</x:v>
      </x:c>
      <x:c r="E436" s="117" t="str">
        <x:v>Obsolete</x:v>
      </x:c>
      <x:c r="F436" s="117" t="str">
        <x:v>No</x:v>
      </x:c>
      <x:c r="G436" s="117" t="str">
        <x:v>No</x:v>
      </x:c>
      <x:c r="H436" s="117" t="str">
        <x:v>Flow</x:v>
      </x:c>
      <x:c r="I436" s="118" t="n">
        <x:v>57</x:v>
      </x:c>
      <x:c r="J436" s="117" t="str">
        <x:v>unmanaged</x:v>
      </x:c>
      <x:c r="K436" s="123" t="b">
        <x:v>0</x:v>
      </x:c>
      <x:c r="L436" s="117"/>
      <x:c r="M436" s="118"/>
      <x:c r="N436" s="120" t="n">
        <x:v>45007.71380787037</x:v>
      </x:c>
      <x:c r="O436" s="117" t="str">
        <x:v>Jace Gentil</x:v>
      </x:c>
      <x:c r="P436" s="120" t="n">
        <x:v>45007.71388888889</x:v>
      </x:c>
      <x:c r="Q436" s="117" t="str">
        <x:v>Jace Gentil</x:v>
      </x:c>
      <x:c r="R436" s="117" t="str">
        <x:v>Convert PRR to Purchasing Opportunity Screen Flow</x:v>
      </x:c>
      <x:c r="S436" s="119"/>
    </x:row>
    <x:row r="437" ht="30" customHeight="1">
      <x:c r="A437" s="117" t="str">
        <x:v>Convert_PRR_to_Purchasing_Opportunity_Screen_Flow</x:v>
      </x:c>
      <x:c r="B437" s="117" t="str">
        <x:v>3005b000000Pz5oAAC</x:v>
      </x:c>
      <x:c r="C437" s="117" t="str">
        <x:v>3015b000000W0xDAAS</x:v>
      </x:c>
      <x:c r="D437" s="118" t="n">
        <x:v>3</x:v>
      </x:c>
      <x:c r="E437" s="117" t="str">
        <x:v>Draft</x:v>
      </x:c>
      <x:c r="F437" s="117" t="str">
        <x:v>No</x:v>
      </x:c>
      <x:c r="G437" s="117" t="str">
        <x:v>No</x:v>
      </x:c>
      <x:c r="H437" s="117" t="str">
        <x:v>Flow</x:v>
      </x:c>
      <x:c r="I437" s="118" t="n">
        <x:v>57</x:v>
      </x:c>
      <x:c r="J437" s="117" t="str">
        <x:v>unmanaged</x:v>
      </x:c>
      <x:c r="K437" s="123" t="b">
        <x:v>0</x:v>
      </x:c>
      <x:c r="L437" s="117"/>
      <x:c r="M437" s="118"/>
      <x:c r="N437" s="120" t="n">
        <x:v>45007.71611111111</x:v>
      </x:c>
      <x:c r="O437" s="117" t="str">
        <x:v>Jace Gentil</x:v>
      </x:c>
      <x:c r="P437" s="120" t="n">
        <x:v>45007.71612268518</x:v>
      </x:c>
      <x:c r="Q437" s="117" t="str">
        <x:v>Jace Gentil</x:v>
      </x:c>
      <x:c r="R437" s="117" t="str">
        <x:v>Convert PRR to Purchasing Opportunity Screen Flow</x:v>
      </x:c>
      <x:c r="S437" s="119"/>
    </x:row>
    <x:row r="438" ht="30" customHeight="1">
      <x:c r="A438" s="117" t="str">
        <x:v>Convert_PRR_to_Purchasing_Opportunity_Screen_Flow</x:v>
      </x:c>
      <x:c r="B438" s="117" t="str">
        <x:v>3005b000000Pz5oAAC</x:v>
      </x:c>
      <x:c r="C438" s="117" t="str">
        <x:v>3015b000000W0xIAAS</x:v>
      </x:c>
      <x:c r="D438" s="118" t="n">
        <x:v>4</x:v>
      </x:c>
      <x:c r="E438" s="117" t="str">
        <x:v>Obsolete</x:v>
      </x:c>
      <x:c r="F438" s="117" t="str">
        <x:v>No</x:v>
      </x:c>
      <x:c r="G438" s="117" t="str">
        <x:v>No</x:v>
      </x:c>
      <x:c r="H438" s="117" t="str">
        <x:v>Flow</x:v>
      </x:c>
      <x:c r="I438" s="118" t="n">
        <x:v>57</x:v>
      </x:c>
      <x:c r="J438" s="117" t="str">
        <x:v>unmanaged</x:v>
      </x:c>
      <x:c r="K438" s="123" t="b">
        <x:v>0</x:v>
      </x:c>
      <x:c r="L438" s="117"/>
      <x:c r="M438" s="118"/>
      <x:c r="N438" s="120" t="n">
        <x:v>45007.71766203704</x:v>
      </x:c>
      <x:c r="O438" s="117" t="str">
        <x:v>Jace Gentil</x:v>
      </x:c>
      <x:c r="P438" s="120" t="n">
        <x:v>45007.71770833333</x:v>
      </x:c>
      <x:c r="Q438" s="117" t="str">
        <x:v>Jace Gentil</x:v>
      </x:c>
      <x:c r="R438" s="117" t="str">
        <x:v>Convert PRR to Purchasing Opportunity Screen Flow</x:v>
      </x:c>
      <x:c r="S438" s="119"/>
    </x:row>
    <x:row r="439" ht="30" customHeight="1">
      <x:c r="A439" s="117" t="str">
        <x:v>Convert_PRR_to_Purchasing_Opportunity_Screen_Flow</x:v>
      </x:c>
      <x:c r="B439" s="117" t="str">
        <x:v>3005b000000Pz5oAAC</x:v>
      </x:c>
      <x:c r="C439" s="117" t="str">
        <x:v>3015b000000W0xNAAS</x:v>
      </x:c>
      <x:c r="D439" s="118" t="n">
        <x:v>5</x:v>
      </x:c>
      <x:c r="E439" s="117" t="str">
        <x:v>Obsolete</x:v>
      </x:c>
      <x:c r="F439" s="117" t="str">
        <x:v>No</x:v>
      </x:c>
      <x:c r="G439" s="117" t="str">
        <x:v>No</x:v>
      </x:c>
      <x:c r="H439" s="117" t="str">
        <x:v>Flow</x:v>
      </x:c>
      <x:c r="I439" s="118" t="n">
        <x:v>57</x:v>
      </x:c>
      <x:c r="J439" s="117" t="str">
        <x:v>unmanaged</x:v>
      </x:c>
      <x:c r="K439" s="123" t="b">
        <x:v>0</x:v>
      </x:c>
      <x:c r="L439" s="117"/>
      <x:c r="M439" s="118"/>
      <x:c r="N439" s="120" t="n">
        <x:v>45007.71902777778</x:v>
      </x:c>
      <x:c r="O439" s="117" t="str">
        <x:v>Jace Gentil</x:v>
      </x:c>
      <x:c r="P439" s="120" t="n">
        <x:v>45007.71908564815</x:v>
      </x:c>
      <x:c r="Q439" s="117" t="str">
        <x:v>Jace Gentil</x:v>
      </x:c>
      <x:c r="R439" s="117" t="str">
        <x:v>Convert PRR to Purchasing Opportunity Screen Flow</x:v>
      </x:c>
      <x:c r="S439" s="119"/>
    </x:row>
    <x:row r="440" ht="30" customHeight="1">
      <x:c r="A440" s="117" t="str">
        <x:v>Convert_PRR_to_Purchasing_Opportunity_Screen_Flow</x:v>
      </x:c>
      <x:c r="B440" s="117" t="str">
        <x:v>3005b000000Pz5oAAC</x:v>
      </x:c>
      <x:c r="C440" s="117" t="str">
        <x:v>3015b000000W0xSAAS</x:v>
      </x:c>
      <x:c r="D440" s="118" t="n">
        <x:v>6</x:v>
      </x:c>
      <x:c r="E440" s="117" t="str">
        <x:v>Obsolete</x:v>
      </x:c>
      <x:c r="F440" s="117" t="str">
        <x:v>No</x:v>
      </x:c>
      <x:c r="G440" s="117" t="str">
        <x:v>No</x:v>
      </x:c>
      <x:c r="H440" s="117" t="str">
        <x:v>Flow</x:v>
      </x:c>
      <x:c r="I440" s="118" t="n">
        <x:v>57</x:v>
      </x:c>
      <x:c r="J440" s="117" t="str">
        <x:v>unmanaged</x:v>
      </x:c>
      <x:c r="K440" s="123" t="b">
        <x:v>0</x:v>
      </x:c>
      <x:c r="L440" s="117"/>
      <x:c r="M440" s="118"/>
      <x:c r="N440" s="120" t="n">
        <x:v>45007.721284722225</x:v>
      </x:c>
      <x:c r="O440" s="117" t="str">
        <x:v>Jace Gentil</x:v>
      </x:c>
      <x:c r="P440" s="120" t="n">
        <x:v>45007.721342592595</x:v>
      </x:c>
      <x:c r="Q440" s="117" t="str">
        <x:v>Jace Gentil</x:v>
      </x:c>
      <x:c r="R440" s="117" t="str">
        <x:v>Convert PRR to Purchasing Opportunity Screen Flow</x:v>
      </x:c>
      <x:c r="S440" s="119"/>
    </x:row>
    <x:row r="441" ht="30" customHeight="1">
      <x:c r="A441" s="117" t="str">
        <x:v>Convert_PRR_to_Purchasing_Opportunity_Screen_Flow</x:v>
      </x:c>
      <x:c r="B441" s="117" t="str">
        <x:v>3005b000000Pz5oAAC</x:v>
      </x:c>
      <x:c r="C441" s="117" t="str">
        <x:v>3015b000000W0xEAAS</x:v>
      </x:c>
      <x:c r="D441" s="118" t="n">
        <x:v>7</x:v>
      </x:c>
      <x:c r="E441" s="117" t="str">
        <x:v>Obsolete</x:v>
      </x:c>
      <x:c r="F441" s="117" t="str">
        <x:v>No</x:v>
      </x:c>
      <x:c r="G441" s="117" t="str">
        <x:v>No</x:v>
      </x:c>
      <x:c r="H441" s="117" t="str">
        <x:v>Flow</x:v>
      </x:c>
      <x:c r="I441" s="118" t="n">
        <x:v>57</x:v>
      </x:c>
      <x:c r="J441" s="117" t="str">
        <x:v>unmanaged</x:v>
      </x:c>
      <x:c r="K441" s="123" t="b">
        <x:v>0</x:v>
      </x:c>
      <x:c r="L441" s="117"/>
      <x:c r="M441" s="118"/>
      <x:c r="N441" s="120" t="n">
        <x:v>45007.72304398148</x:v>
      </x:c>
      <x:c r="O441" s="117" t="str">
        <x:v>Jace Gentil</x:v>
      </x:c>
      <x:c r="P441" s="120" t="n">
        <x:v>45007.72309027778</x:v>
      </x:c>
      <x:c r="Q441" s="117" t="str">
        <x:v>Jace Gentil</x:v>
      </x:c>
      <x:c r="R441" s="117" t="str">
        <x:v>Convert PRR to Purchasing Opportunity Screen Flow</x:v>
      </x:c>
      <x:c r="S441" s="119"/>
    </x:row>
    <x:row r="442" ht="30" customHeight="1">
      <x:c r="A442" s="117" t="str">
        <x:v>Convert_PRR_to_Purchasing_Opportunity_Screen_Flow</x:v>
      </x:c>
      <x:c r="B442" s="117" t="str">
        <x:v>3005b000000Pz5oAAC</x:v>
      </x:c>
      <x:c r="C442" s="117" t="str">
        <x:v>3015b000000W0xJAAS</x:v>
      </x:c>
      <x:c r="D442" s="118" t="n">
        <x:v>8</x:v>
      </x:c>
      <x:c r="E442" s="117" t="str">
        <x:v>Obsolete</x:v>
      </x:c>
      <x:c r="F442" s="117" t="str">
        <x:v>No</x:v>
      </x:c>
      <x:c r="G442" s="117" t="str">
        <x:v>No</x:v>
      </x:c>
      <x:c r="H442" s="117" t="str">
        <x:v>Flow</x:v>
      </x:c>
      <x:c r="I442" s="118" t="n">
        <x:v>57</x:v>
      </x:c>
      <x:c r="J442" s="117" t="str">
        <x:v>unmanaged</x:v>
      </x:c>
      <x:c r="K442" s="123" t="b">
        <x:v>0</x:v>
      </x:c>
      <x:c r="L442" s="117"/>
      <x:c r="M442" s="118"/>
      <x:c r="N442" s="120" t="n">
        <x:v>45007.72394675926</x:v>
      </x:c>
      <x:c r="O442" s="117" t="str">
        <x:v>Jace Gentil</x:v>
      </x:c>
      <x:c r="P442" s="120" t="n">
        <x:v>45007.72398148148</x:v>
      </x:c>
      <x:c r="Q442" s="117" t="str">
        <x:v>Jace Gentil</x:v>
      </x:c>
      <x:c r="R442" s="117" t="str">
        <x:v>Convert PRR to Purchasing Opportunity Screen Flow</x:v>
      </x:c>
      <x:c r="S442" s="119"/>
    </x:row>
    <x:row r="443" ht="30" customHeight="1">
      <x:c r="A443" s="117" t="str">
        <x:v>Convert_PRR_to_Purchasing_Opportunity_Screen_Flow</x:v>
      </x:c>
      <x:c r="B443" s="117" t="str">
        <x:v>3005b000000Pz5oAAC</x:v>
      </x:c>
      <x:c r="C443" s="117" t="str">
        <x:v>3015b000000W0xXAAS</x:v>
      </x:c>
      <x:c r="D443" s="118" t="n">
        <x:v>9</x:v>
      </x:c>
      <x:c r="E443" s="117" t="str">
        <x:v>Obsolete</x:v>
      </x:c>
      <x:c r="F443" s="117" t="str">
        <x:v>No</x:v>
      </x:c>
      <x:c r="G443" s="117" t="str">
        <x:v>No</x:v>
      </x:c>
      <x:c r="H443" s="117" t="str">
        <x:v>Flow</x:v>
      </x:c>
      <x:c r="I443" s="118" t="n">
        <x:v>57</x:v>
      </x:c>
      <x:c r="J443" s="117" t="str">
        <x:v>unmanaged</x:v>
      </x:c>
      <x:c r="K443" s="123" t="b">
        <x:v>0</x:v>
      </x:c>
      <x:c r="L443" s="117"/>
      <x:c r="M443" s="118"/>
      <x:c r="N443" s="120" t="n">
        <x:v>45007.72467592593</x:v>
      </x:c>
      <x:c r="O443" s="117" t="str">
        <x:v>Jace Gentil</x:v>
      </x:c>
      <x:c r="P443" s="120" t="n">
        <x:v>45007.724710648145</x:v>
      </x:c>
      <x:c r="Q443" s="117" t="str">
        <x:v>Jace Gentil</x:v>
      </x:c>
      <x:c r="R443" s="117" t="str">
        <x:v>Convert PRR to Purchasing Opportunity Screen Flow</x:v>
      </x:c>
      <x:c r="S443" s="119"/>
    </x:row>
    <x:row r="444" ht="30" customHeight="1">
      <x:c r="A444" s="117" t="str">
        <x:v>Convert_PRR_to_Purchasing_Opportunity_Screen_Flow</x:v>
      </x:c>
      <x:c r="B444" s="117" t="str">
        <x:v>3005b000000Pz5oAAC</x:v>
      </x:c>
      <x:c r="C444" s="117" t="str">
        <x:v>3015b000000W0xcAAC</x:v>
      </x:c>
      <x:c r="D444" s="118" t="n">
        <x:v>10</x:v>
      </x:c>
      <x:c r="E444" s="117" t="str">
        <x:v>Obsolete</x:v>
      </x:c>
      <x:c r="F444" s="117" t="str">
        <x:v>No</x:v>
      </x:c>
      <x:c r="G444" s="117" t="str">
        <x:v>No</x:v>
      </x:c>
      <x:c r="H444" s="117" t="str">
        <x:v>Flow</x:v>
      </x:c>
      <x:c r="I444" s="118" t="n">
        <x:v>57</x:v>
      </x:c>
      <x:c r="J444" s="117" t="str">
        <x:v>unmanaged</x:v>
      </x:c>
      <x:c r="K444" s="123" t="b">
        <x:v>0</x:v>
      </x:c>
      <x:c r="L444" s="117"/>
      <x:c r="M444" s="118"/>
      <x:c r="N444" s="120" t="n">
        <x:v>45007.74344907407</x:v>
      </x:c>
      <x:c r="O444" s="117" t="str">
        <x:v>Jace Gentil</x:v>
      </x:c>
      <x:c r="P444" s="120" t="n">
        <x:v>45007.743483796294</x:v>
      </x:c>
      <x:c r="Q444" s="117" t="str">
        <x:v>Jace Gentil</x:v>
      </x:c>
      <x:c r="R444" s="117" t="str">
        <x:v>Convert PRR to Purchasing Opportunity Screen Flow</x:v>
      </x:c>
      <x:c r="S444" s="119"/>
    </x:row>
    <x:row r="445" ht="30" customHeight="1">
      <x:c r="A445" s="117" t="str">
        <x:v>Convert_PRR_to_Purchasing_Opportunity_Screen_Flow</x:v>
      </x:c>
      <x:c r="B445" s="117" t="str">
        <x:v>3005b000000Pz5oAAC</x:v>
      </x:c>
      <x:c r="C445" s="117" t="str">
        <x:v>3015b000000W0xhAAC</x:v>
      </x:c>
      <x:c r="D445" s="118" t="n">
        <x:v>11</x:v>
      </x:c>
      <x:c r="E445" s="117" t="str">
        <x:v>Obsolete</x:v>
      </x:c>
      <x:c r="F445" s="117" t="str">
        <x:v>No</x:v>
      </x:c>
      <x:c r="G445" s="117" t="str">
        <x:v>No</x:v>
      </x:c>
      <x:c r="H445" s="117" t="str">
        <x:v>Flow</x:v>
      </x:c>
      <x:c r="I445" s="118" t="n">
        <x:v>57</x:v>
      </x:c>
      <x:c r="J445" s="117" t="str">
        <x:v>unmanaged</x:v>
      </x:c>
      <x:c r="K445" s="123" t="b">
        <x:v>0</x:v>
      </x:c>
      <x:c r="L445" s="117"/>
      <x:c r="M445" s="118"/>
      <x:c r="N445" s="120" t="n">
        <x:v>45007.74456018519</x:v>
      </x:c>
      <x:c r="O445" s="117" t="str">
        <x:v>Jace Gentil</x:v>
      </x:c>
      <x:c r="P445" s="120" t="n">
        <x:v>45007.74460648148</x:v>
      </x:c>
      <x:c r="Q445" s="117" t="str">
        <x:v>Jace Gentil</x:v>
      </x:c>
      <x:c r="R445" s="117" t="str">
        <x:v>Convert PRR to Purchasing Opportunity Screen Flow</x:v>
      </x:c>
      <x:c r="S445" s="119"/>
    </x:row>
    <x:row r="446" ht="30" customHeight="1">
      <x:c r="A446" s="117" t="str">
        <x:v>Convert_PRR_to_Purchasing_Opportunity_Screen_Flow</x:v>
      </x:c>
      <x:c r="B446" s="117" t="str">
        <x:v>3005b000000Pz5oAAC</x:v>
      </x:c>
      <x:c r="C446" s="117" t="str">
        <x:v>3015b000000W0xmAAC</x:v>
      </x:c>
      <x:c r="D446" s="118" t="n">
        <x:v>12</x:v>
      </x:c>
      <x:c r="E446" s="117" t="str">
        <x:v>Obsolete</x:v>
      </x:c>
      <x:c r="F446" s="117" t="str">
        <x:v>No</x:v>
      </x:c>
      <x:c r="G446" s="117" t="str">
        <x:v>No</x:v>
      </x:c>
      <x:c r="H446" s="117" t="str">
        <x:v>Flow</x:v>
      </x:c>
      <x:c r="I446" s="118" t="n">
        <x:v>57</x:v>
      </x:c>
      <x:c r="J446" s="117" t="str">
        <x:v>unmanaged</x:v>
      </x:c>
      <x:c r="K446" s="123" t="b">
        <x:v>0</x:v>
      </x:c>
      <x:c r="L446" s="117"/>
      <x:c r="M446" s="118"/>
      <x:c r="N446" s="120" t="n">
        <x:v>45007.74569444444</x:v>
      </x:c>
      <x:c r="O446" s="117" t="str">
        <x:v>Jace Gentil</x:v>
      </x:c>
      <x:c r="P446" s="120" t="n">
        <x:v>45007.745729166665</x:v>
      </x:c>
      <x:c r="Q446" s="117" t="str">
        <x:v>Jace Gentil</x:v>
      </x:c>
      <x:c r="R446" s="117" t="str">
        <x:v>Convert PRR to Purchasing Opportunity Screen Flow</x:v>
      </x:c>
      <x:c r="S446" s="119"/>
    </x:row>
    <x:row r="447" ht="30" customHeight="1">
      <x:c r="A447" s="117" t="str">
        <x:v>Convert_PRR_to_Purchasing_Opportunity_Screen_Flow</x:v>
      </x:c>
      <x:c r="B447" s="117" t="str">
        <x:v>3005b000000Pz5oAAC</x:v>
      </x:c>
      <x:c r="C447" s="117" t="str">
        <x:v>3015b000000W0xwAAC</x:v>
      </x:c>
      <x:c r="D447" s="118" t="n">
        <x:v>13</x:v>
      </x:c>
      <x:c r="E447" s="117" t="str">
        <x:v>Obsolete</x:v>
      </x:c>
      <x:c r="F447" s="117" t="str">
        <x:v>No</x:v>
      </x:c>
      <x:c r="G447" s="117" t="str">
        <x:v>No</x:v>
      </x:c>
      <x:c r="H447" s="117" t="str">
        <x:v>Flow</x:v>
      </x:c>
      <x:c r="I447" s="118" t="n">
        <x:v>57</x:v>
      </x:c>
      <x:c r="J447" s="117" t="str">
        <x:v>unmanaged</x:v>
      </x:c>
      <x:c r="K447" s="123" t="b">
        <x:v>0</x:v>
      </x:c>
      <x:c r="L447" s="117"/>
      <x:c r="M447" s="118"/>
      <x:c r="N447" s="120" t="n">
        <x:v>45007.78482638889</x:v>
      </x:c>
      <x:c r="O447" s="117" t="str">
        <x:v>Jace Gentil</x:v>
      </x:c>
      <x:c r="P447" s="120" t="n">
        <x:v>45007.78488425926</x:v>
      </x:c>
      <x:c r="Q447" s="117" t="str">
        <x:v>Jace Gentil</x:v>
      </x:c>
      <x:c r="R447" s="117" t="str">
        <x:v>Convert PRR to Purchasing Opportunity Screen Flow</x:v>
      </x:c>
      <x:c r="S447" s="119"/>
    </x:row>
    <x:row r="448" ht="30" customHeight="1">
      <x:c r="A448" s="117" t="str">
        <x:v>Convert_PRR_to_Purchasing_Opportunity_Screen_Flow</x:v>
      </x:c>
      <x:c r="B448" s="117" t="str">
        <x:v>3005b000000Pz5oAAC</x:v>
      </x:c>
      <x:c r="C448" s="117" t="str">
        <x:v>301Ro00000s32NxIAI</x:v>
      </x:c>
      <x:c r="D448" s="118" t="n">
        <x:v>14</x:v>
      </x:c>
      <x:c r="E448" s="117" t="str">
        <x:v>Obsolete</x:v>
      </x:c>
      <x:c r="F448" s="117" t="str">
        <x:v>No</x:v>
      </x:c>
      <x:c r="G448" s="117" t="str">
        <x:v>No</x:v>
      </x:c>
      <x:c r="H448" s="117" t="str">
        <x:v>Flow</x:v>
      </x:c>
      <x:c r="I448" s="118" t="n">
        <x:v>57</x:v>
      </x:c>
      <x:c r="J448" s="117" t="str">
        <x:v>unmanaged</x:v>
      </x:c>
      <x:c r="K448" s="123" t="b">
        <x:v>0</x:v>
      </x:c>
      <x:c r="L448" s="117"/>
      <x:c r="M448" s="118"/>
      <x:c r="N448" s="120" t="n">
        <x:v>45971.827523148146</x:v>
      </x:c>
      <x:c r="O448" s="117" t="str">
        <x:v>Natalie Boger</x:v>
      </x:c>
      <x:c r="P448" s="120" t="n">
        <x:v>45971.82761574074</x:v>
      </x:c>
      <x:c r="Q448" s="117" t="str">
        <x:v>Natalie Boger</x:v>
      </x:c>
      <x:c r="R448" s="117" t="str">
        <x:v>Convert PRR to Purchasing Opportunity Screen Flow</x:v>
      </x:c>
      <x:c r="S448" s="119" t="str">
        <x:v>11.10.25 Added ship type to screen flow. NB</x:v>
      </x:c>
    </x:row>
    <x:row r="449" ht="30" customHeight="1">
      <x:c r="A449" s="117" t="str">
        <x:v>Convert_PRR_to_Purchasing_Opportunity_Screen_Flow</x:v>
      </x:c>
      <x:c r="B449" s="117" t="str">
        <x:v>3005b000000Pz5oAAC</x:v>
      </x:c>
      <x:c r="C449" s="117" t="str">
        <x:v>301Ro0000180yTtIAI</x:v>
      </x:c>
      <x:c r="D449" s="118" t="n">
        <x:v>15</x:v>
      </x:c>
      <x:c r="E449" s="117" t="str">
        <x:v>Active</x:v>
      </x:c>
      <x:c r="F449" s="117" t="str">
        <x:v>Yes</x:v>
      </x:c>
      <x:c r="G449" s="117" t="str">
        <x:v>Yes</x:v>
      </x:c>
      <x:c r="H449" s="117" t="str">
        <x:v>Flow</x:v>
      </x:c>
      <x:c r="I449" s="118" t="n">
        <x:v>57</x:v>
      </x:c>
      <x:c r="J449" s="117" t="str">
        <x:v>unmanaged</x:v>
      </x:c>
      <x:c r="K449" s="123" t="b">
        <x:v>0</x:v>
      </x:c>
      <x:c r="L449" s="117" t="str">
        <x:v>SystemModeWithoutSharing</x:v>
      </x:c>
      <x:c r="M449" s="118"/>
      <x:c r="N449" s="120" t="n">
        <x:v>46182.67550925926</x:v>
      </x:c>
      <x:c r="O449" s="117" t="str">
        <x:v>Mindy Bender</x:v>
      </x:c>
      <x:c r="P449" s="120" t="n">
        <x:v>46182.67579861111</x:v>
      </x:c>
      <x:c r="Q449" s="117" t="str">
        <x:v>Mindy Bender</x:v>
      </x:c>
      <x:c r="R449" s="117" t="str">
        <x:v>Convert PRR to Purchasing Opportunity Screen Flow</x:v>
      </x:c>
      <x:c r="S449" s="119" t="str">
        <x:v>06/09/2026 - MPB - Updated flow to run by systems to bypass individual user limitations.</x:v>
      </x:c>
    </x:row>
    <x:row r="450" ht="30" customHeight="1">
      <x:c r="A450" s="117" t="str">
        <x:v>Count_Invoice_Products</x:v>
      </x:c>
      <x:c r="B450" s="117" t="str">
        <x:v>3005b000000H1m1AAC</x:v>
      </x:c>
      <x:c r="C450" s="117" t="str">
        <x:v>3015b000000EANGAA4</x:v>
      </x:c>
      <x:c r="D450" s="118" t="n">
        <x:v>1</x:v>
      </x:c>
      <x:c r="E450" s="117" t="str">
        <x:v>Obsolete</x:v>
      </x:c>
      <x:c r="F450" s="117" t="str">
        <x:v>No</x:v>
      </x:c>
      <x:c r="G450" s="117" t="str">
        <x:v>No</x:v>
      </x:c>
      <x:c r="H450" s="117" t="str">
        <x:v>AutoLaunchedFlow</x:v>
      </x:c>
      <x:c r="I450" s="118" t="n">
        <x:v>52</x:v>
      </x:c>
      <x:c r="J450" s="117" t="str">
        <x:v>unmanaged</x:v>
      </x:c>
      <x:c r="K450" s="123" t="b">
        <x:v>0</x:v>
      </x:c>
      <x:c r="L450" s="117"/>
      <x:c r="M450" s="118"/>
      <x:c r="N450" s="120" t="n">
        <x:v>44449.61971064815</x:v>
      </x:c>
      <x:c r="O450" s="117" t="str">
        <x:v>Delegate</x:v>
      </x:c>
      <x:c r="P450" s="120" t="n">
        <x:v>44449.61974537037</x:v>
      </x:c>
      <x:c r="Q450" s="117" t="str">
        <x:v>Delegate</x:v>
      </x:c>
      <x:c r="R450" s="117" t="str">
        <x:v>Count Invoice Products</x:v>
      </x:c>
      <x:c r="S450" s="119"/>
    </x:row>
    <x:row r="451" ht="30" customHeight="1">
      <x:c r="A451" s="117" t="str">
        <x:v>Count_Invoice_Products</x:v>
      </x:c>
      <x:c r="B451" s="117" t="str">
        <x:v>3005b000000H1m1AAC</x:v>
      </x:c>
      <x:c r="C451" s="117" t="str">
        <x:v>3015b000000EEunAAG</x:v>
      </x:c>
      <x:c r="D451" s="118" t="n">
        <x:v>2</x:v>
      </x:c>
      <x:c r="E451" s="117" t="str">
        <x:v>Obsolete</x:v>
      </x:c>
      <x:c r="F451" s="117" t="str">
        <x:v>No</x:v>
      </x:c>
      <x:c r="G451" s="117" t="str">
        <x:v>Yes</x:v>
      </x:c>
      <x:c r="H451" s="117" t="str">
        <x:v>AutoLaunchedFlow</x:v>
      </x:c>
      <x:c r="I451" s="118" t="n">
        <x:v>52</x:v>
      </x:c>
      <x:c r="J451" s="117" t="str">
        <x:v>unmanaged</x:v>
      </x:c>
      <x:c r="K451" s="123" t="b">
        <x:v>0</x:v>
      </x:c>
      <x:c r="L451" s="117"/>
      <x:c r="M451" s="118"/>
      <x:c r="N451" s="120" t="n">
        <x:v>44560.64346064815</x:v>
      </x:c>
      <x:c r="O451" s="117" t="str">
        <x:v>Delegate</x:v>
      </x:c>
      <x:c r="P451" s="120" t="n">
        <x:v>45863.731203703705</x:v>
      </x:c>
      <x:c r="Q451" s="117" t="str">
        <x:v>Bill Hagarty</x:v>
      </x:c>
      <x:c r="R451" s="117" t="str">
        <x:v>Count Invoice Products</x:v>
      </x:c>
      <x:c r="S451" s="119"/>
    </x:row>
    <x:row r="452" ht="30" customHeight="1">
      <x:c r="A452" s="117" t="str">
        <x:v>Count_Return_Opportunities_on_a_Related_Opportunity</x:v>
      </x:c>
      <x:c r="B452" s="117" t="str">
        <x:v>300Ro00000sOrovIAC</x:v>
      </x:c>
      <x:c r="C452" s="117" t="str">
        <x:v>301Ro0000107EIoIAM</x:v>
      </x:c>
      <x:c r="D452" s="118" t="n">
        <x:v>1</x:v>
      </x:c>
      <x:c r="E452" s="117" t="str">
        <x:v>Active</x:v>
      </x:c>
      <x:c r="F452" s="117" t="str">
        <x:v>Yes</x:v>
      </x:c>
      <x:c r="G452" s="117" t="str">
        <x:v>Yes</x:v>
      </x:c>
      <x:c r="H452" s="117" t="str">
        <x:v>AutoLaunchedFlow</x:v>
      </x:c>
      <x:c r="I452" s="118" t="n">
        <x:v>66</x:v>
      </x:c>
      <x:c r="J452" s="117" t="str">
        <x:v>unmanaged</x:v>
      </x:c>
      <x:c r="K452" s="123" t="b">
        <x:v>0</x:v>
      </x:c>
      <x:c r="L452" s="117"/>
      <x:c r="M452" s="118"/>
      <x:c r="N452" s="120" t="n">
        <x:v>46090.60327546296</x:v>
      </x:c>
      <x:c r="O452" s="117" t="str">
        <x:v>Steve Dodd</x:v>
      </x:c>
      <x:c r="P452" s="120" t="n">
        <x:v>46090.60349537037</x:v>
      </x:c>
      <x:c r="Q452" s="117" t="str">
        <x:v>Steve Dodd</x:v>
      </x:c>
      <x:c r="R452" s="117" t="str">
        <x:v>Count Return Opportunities on a Related Opportunity</x:v>
      </x:c>
      <x:c r="S452" s="119" t="str">
        <x:v>Used to display the number of Return Opportunities related to an Opportunity on the page layout.</x:v>
      </x:c>
    </x:row>
    <x:row r="453" ht="30" customHeight="1">
      <x:c r="A453" s="117" t="str">
        <x:v>Create_and_Dispatch_Service_Appointment_from_FSL_App</x:v>
      </x:c>
      <x:c r="B453" s="117" t="str">
        <x:v>300Ro00000cnT4bIAE</x:v>
      </x:c>
      <x:c r="C453" s="117" t="str">
        <x:v>301Ro00000iNPpKIAW</x:v>
      </x:c>
      <x:c r="D453" s="118" t="n">
        <x:v>1</x:v>
      </x:c>
      <x:c r="E453" s="117" t="str">
        <x:v>Active</x:v>
      </x:c>
      <x:c r="F453" s="117" t="str">
        <x:v>Yes</x:v>
      </x:c>
      <x:c r="G453" s="117" t="str">
        <x:v>Yes</x:v>
      </x:c>
      <x:c r="H453" s="117" t="str">
        <x:v>FieldServiceMobile</x:v>
      </x:c>
      <x:c r="I453" s="118"/>
      <x:c r="J453" s="117" t="str">
        <x:v>unmanaged</x:v>
      </x:c>
      <x:c r="K453" s="123" t="b">
        <x:v>0</x:v>
      </x:c>
      <x:c r="L453" s="117"/>
      <x:c r="M453" s="118"/>
      <x:c r="N453" s="120" t="n">
        <x:v>45882.8521412037</x:v>
      </x:c>
      <x:c r="O453" s="117" t="str">
        <x:v>Delegate</x:v>
      </x:c>
      <x:c r="P453" s="120" t="n">
        <x:v>45882.85215277778</x:v>
      </x:c>
      <x:c r="Q453" s="117" t="str">
        <x:v>Delegate</x:v>
      </x:c>
      <x:c r="R453" s="117" t="str">
        <x:v>Create and Dispatch Service Appointment from FSL App</x:v>
      </x:c>
      <x:c r="S453" s="119" t="str">
        <x:v>04/16/2025 (BW) - Creates and dispatches a service appointment from the field service mobile app.</x:v>
      </x:c>
    </x:row>
    <x:row r="454" ht="30" customHeight="1">
      <x:c r="A454" s="117" t="str">
        <x:v>Create_Commission</x:v>
      </x:c>
      <x:c r="B454" s="117" t="str">
        <x:v>3004O000000LOsAQAW</x:v>
      </x:c>
      <x:c r="C454" s="117" t="str">
        <x:v>3014O000000M0WCQA0</x:v>
      </x:c>
      <x:c r="D454" s="118" t="n">
        <x:v>1</x:v>
      </x:c>
      <x:c r="E454" s="117" t="str">
        <x:v>Draft</x:v>
      </x:c>
      <x:c r="F454" s="117" t="str">
        <x:v>No</x:v>
      </x:c>
      <x:c r="G454" s="117" t="str">
        <x:v>No</x:v>
      </x:c>
      <x:c r="H454" s="117" t="str">
        <x:v>AutoLaunchedFlow</x:v>
      </x:c>
      <x:c r="I454" s="118" t="n">
        <x:v>50</x:v>
      </x:c>
      <x:c r="J454" s="117" t="str">
        <x:v>unmanaged</x:v>
      </x:c>
      <x:c r="K454" s="123" t="b">
        <x:v>0</x:v>
      </x:c>
      <x:c r="L454" s="117" t="str">
        <x:v>DefaultMode</x:v>
      </x:c>
      <x:c r="M454" s="118"/>
      <x:c r="N454" s="120" t="n">
        <x:v>44199.68251157407</x:v>
      </x:c>
      <x:c r="O454" s="117" t="str">
        <x:v>Delegate</x:v>
      </x:c>
      <x:c r="P454" s="120" t="n">
        <x:v>44199.682546296295</x:v>
      </x:c>
      <x:c r="Q454" s="117" t="str">
        <x:v>Delegate</x:v>
      </x:c>
      <x:c r="R454" s="117" t="str">
        <x:v>Create Commission</x:v>
      </x:c>
      <x:c r="S454" s="119" t="str">
        <x:v>Creates a commission record from an invoice</x:v>
      </x:c>
    </x:row>
    <x:row r="455" ht="30" customHeight="1">
      <x:c r="A455" s="117" t="str">
        <x:v>Create_Commission</x:v>
      </x:c>
      <x:c r="B455" s="117" t="str">
        <x:v>3004O000000LOsAQAW</x:v>
      </x:c>
      <x:c r="C455" s="117" t="str">
        <x:v>3014O000000M0WsQAK</x:v>
      </x:c>
      <x:c r="D455" s="118" t="n">
        <x:v>2</x:v>
      </x:c>
      <x:c r="E455" s="117" t="str">
        <x:v>Active</x:v>
      </x:c>
      <x:c r="F455" s="117" t="str">
        <x:v>Yes</x:v>
      </x:c>
      <x:c r="G455" s="117" t="str">
        <x:v>Yes</x:v>
      </x:c>
      <x:c r="H455" s="117" t="str">
        <x:v>AutoLaunchedFlow</x:v>
      </x:c>
      <x:c r="I455" s="118" t="n">
        <x:v>50</x:v>
      </x:c>
      <x:c r="J455" s="117" t="str">
        <x:v>unmanaged</x:v>
      </x:c>
      <x:c r="K455" s="123" t="b">
        <x:v>0</x:v>
      </x:c>
      <x:c r="L455" s="117" t="str">
        <x:v>DefaultMode</x:v>
      </x:c>
      <x:c r="M455" s="118"/>
      <x:c r="N455" s="120" t="n">
        <x:v>44199.74928240741</x:v>
      </x:c>
      <x:c r="O455" s="117" t="str">
        <x:v>Delegate</x:v>
      </x:c>
      <x:c r="P455" s="120" t="n">
        <x:v>44199.858298611114</x:v>
      </x:c>
      <x:c r="Q455" s="117" t="str">
        <x:v>Trent VanEmon</x:v>
      </x:c>
      <x:c r="R455" s="117" t="str">
        <x:v>Create Commission</x:v>
      </x:c>
      <x:c r="S455" s="119" t="str">
        <x:v>Creates a commission record from an invoice</x:v>
      </x:c>
    </x:row>
    <x:row r="456" ht="30" customHeight="1">
      <x:c r="A456" s="117" t="str">
        <x:v>Create_contract_line_items_and_entitlements</x:v>
      </x:c>
      <x:c r="B456" s="117" t="str">
        <x:v>3005b000000H1utAAC</x:v>
      </x:c>
      <x:c r="C456" s="117" t="str">
        <x:v>3015b000000EDU0AAO</x:v>
      </x:c>
      <x:c r="D456" s="118" t="n">
        <x:v>6</x:v>
      </x:c>
      <x:c r="E456" s="117" t="str">
        <x:v>Obsolete</x:v>
      </x:c>
      <x:c r="F456" s="117" t="str">
        <x:v>No</x:v>
      </x:c>
      <x:c r="G456" s="117" t="str">
        <x:v>No</x:v>
      </x:c>
      <x:c r="H456" s="117" t="str">
        <x:v>Flow</x:v>
      </x:c>
      <x:c r="I456" s="118" t="n">
        <x:v>52</x:v>
      </x:c>
      <x:c r="J456" s="117" t="str">
        <x:v>unmanaged</x:v>
      </x:c>
      <x:c r="K456" s="123" t="b">
        <x:v>0</x:v>
      </x:c>
      <x:c r="L456" s="117"/>
      <x:c r="M456" s="118"/>
      <x:c r="N456" s="120" t="n">
        <x:v>44516.21189814815</x:v>
      </x:c>
      <x:c r="O456" s="117" t="str">
        <x:v>Delegate</x:v>
      </x:c>
      <x:c r="P456" s="120" t="n">
        <x:v>44516.21204861111</x:v>
      </x:c>
      <x:c r="Q456" s="117" t="str">
        <x:v>Delegate</x:v>
      </x:c>
      <x:c r="R456" s="117" t="str">
        <x:v>Create contract line items and entitlements</x:v>
      </x:c>
      <x:c r="S456" s="119" t="str">
        <x:v>From service contract through screen flow</x:v>
      </x:c>
    </x:row>
    <x:row r="457" ht="30" customHeight="1">
      <x:c r="A457" s="117" t="str">
        <x:v>Create_contract_line_items_and_entitlements</x:v>
      </x:c>
      <x:c r="B457" s="117" t="str">
        <x:v>3005b000000H1utAAC</x:v>
      </x:c>
      <x:c r="C457" s="117" t="str">
        <x:v>3015b000000EDUZAA4</x:v>
      </x:c>
      <x:c r="D457" s="118" t="n">
        <x:v>7</x:v>
      </x:c>
      <x:c r="E457" s="117" t="str">
        <x:v>Obsolete</x:v>
      </x:c>
      <x:c r="F457" s="117" t="str">
        <x:v>No</x:v>
      </x:c>
      <x:c r="G457" s="117" t="str">
        <x:v>No</x:v>
      </x:c>
      <x:c r="H457" s="117" t="str">
        <x:v>Flow</x:v>
      </x:c>
      <x:c r="I457" s="118" t="n">
        <x:v>52</x:v>
      </x:c>
      <x:c r="J457" s="117" t="str">
        <x:v>unmanaged</x:v>
      </x:c>
      <x:c r="K457" s="123" t="b">
        <x:v>0</x:v>
      </x:c>
      <x:c r="L457" s="117"/>
      <x:c r="M457" s="118"/>
      <x:c r="N457" s="120" t="n">
        <x:v>44516.26875</x:v>
      </x:c>
      <x:c r="O457" s="117" t="str">
        <x:v>Delegate</x:v>
      </x:c>
      <x:c r="P457" s="120" t="n">
        <x:v>44516.26878472222</x:v>
      </x:c>
      <x:c r="Q457" s="117" t="str">
        <x:v>Delegate</x:v>
      </x:c>
      <x:c r="R457" s="117" t="str">
        <x:v>Create contract line items and entitlements</x:v>
      </x:c>
      <x:c r="S457" s="119" t="str">
        <x:v>From service contract through screen flow</x:v>
      </x:c>
    </x:row>
    <x:row r="458" ht="30" customHeight="1">
      <x:c r="A458" s="117" t="str">
        <x:v>Create_contract_line_items_and_entitlements</x:v>
      </x:c>
      <x:c r="B458" s="117" t="str">
        <x:v>3005b000000H1utAAC</x:v>
      </x:c>
      <x:c r="C458" s="117" t="str">
        <x:v>3015b000000EE27AAG</x:v>
      </x:c>
      <x:c r="D458" s="118" t="n">
        <x:v>8</x:v>
      </x:c>
      <x:c r="E458" s="117" t="str">
        <x:v>Obsolete</x:v>
      </x:c>
      <x:c r="F458" s="117" t="str">
        <x:v>No</x:v>
      </x:c>
      <x:c r="G458" s="117" t="str">
        <x:v>No</x:v>
      </x:c>
      <x:c r="H458" s="117" t="str">
        <x:v>Flow</x:v>
      </x:c>
      <x:c r="I458" s="118" t="n">
        <x:v>52</x:v>
      </x:c>
      <x:c r="J458" s="117" t="str">
        <x:v>unmanaged</x:v>
      </x:c>
      <x:c r="K458" s="123" t="b">
        <x:v>0</x:v>
      </x:c>
      <x:c r="L458" s="117"/>
      <x:c r="M458" s="118"/>
      <x:c r="N458" s="120" t="n">
        <x:v>44532.70239583333</x:v>
      </x:c>
      <x:c r="O458" s="117" t="str">
        <x:v>Natalie Boger</x:v>
      </x:c>
      <x:c r="P458" s="120" t="n">
        <x:v>44532.702523148146</x:v>
      </x:c>
      <x:c r="Q458" s="117" t="str">
        <x:v>Natalie Boger</x:v>
      </x:c>
      <x:c r="R458" s="117" t="str">
        <x:v>Create contract line items and entitlements</x:v>
      </x:c>
      <x:c r="S458" s="119" t="str">
        <x:v>From service contract through screen flow</x:v>
      </x:c>
    </x:row>
    <x:row r="459" ht="30" customHeight="1">
      <x:c r="A459" s="117" t="str">
        <x:v>Create_contract_line_items_and_entitlements</x:v>
      </x:c>
      <x:c r="B459" s="117" t="str">
        <x:v>3005b000000H1utAAC</x:v>
      </x:c>
      <x:c r="C459" s="117" t="str">
        <x:v>3015b000000EE9SAAW</x:v>
      </x:c>
      <x:c r="D459" s="118" t="n">
        <x:v>9</x:v>
      </x:c>
      <x:c r="E459" s="117" t="str">
        <x:v>Obsolete</x:v>
      </x:c>
      <x:c r="F459" s="117" t="str">
        <x:v>No</x:v>
      </x:c>
      <x:c r="G459" s="117" t="str">
        <x:v>No</x:v>
      </x:c>
      <x:c r="H459" s="117" t="str">
        <x:v>Flow</x:v>
      </x:c>
      <x:c r="I459" s="118" t="n">
        <x:v>52</x:v>
      </x:c>
      <x:c r="J459" s="117" t="str">
        <x:v>unmanaged</x:v>
      </x:c>
      <x:c r="K459" s="123" t="b">
        <x:v>0</x:v>
      </x:c>
      <x:c r="L459" s="117"/>
      <x:c r="M459" s="118"/>
      <x:c r="N459" s="120" t="n">
        <x:v>44536.803449074076</x:v>
      </x:c>
      <x:c r="O459" s="117" t="str">
        <x:v>Natalie Boger</x:v>
      </x:c>
      <x:c r="P459" s="120" t="n">
        <x:v>44536.80357638889</x:v>
      </x:c>
      <x:c r="Q459" s="117" t="str">
        <x:v>Natalie Boger</x:v>
      </x:c>
      <x:c r="R459" s="117" t="str">
        <x:v>Create contract line items and entitlements</x:v>
      </x:c>
      <x:c r="S459" s="119" t="str">
        <x:v>From service contract through screen flow</x:v>
      </x:c>
    </x:row>
    <x:row r="460" ht="30" customHeight="1">
      <x:c r="A460" s="117" t="str">
        <x:v>Create_contract_line_items_and_entitlements</x:v>
      </x:c>
      <x:c r="B460" s="117" t="str">
        <x:v>3005b000000H1utAAC</x:v>
      </x:c>
      <x:c r="C460" s="117" t="str">
        <x:v>3015b000000EIfxAAG</x:v>
      </x:c>
      <x:c r="D460" s="118" t="n">
        <x:v>10</x:v>
      </x:c>
      <x:c r="E460" s="117" t="str">
        <x:v>Obsolete</x:v>
      </x:c>
      <x:c r="F460" s="117" t="str">
        <x:v>No</x:v>
      </x:c>
      <x:c r="G460" s="117" t="str">
        <x:v>No</x:v>
      </x:c>
      <x:c r="H460" s="117" t="str">
        <x:v>Flow</x:v>
      </x:c>
      <x:c r="I460" s="118" t="n">
        <x:v>52</x:v>
      </x:c>
      <x:c r="J460" s="117" t="str">
        <x:v>unmanaged</x:v>
      </x:c>
      <x:c r="K460" s="123" t="b">
        <x:v>0</x:v>
      </x:c>
      <x:c r="L460" s="117"/>
      <x:c r="M460" s="118"/>
      <x:c r="N460" s="120" t="n">
        <x:v>44650.143912037034</x:v>
      </x:c>
      <x:c r="O460" s="117" t="str">
        <x:v>Natalie Boger</x:v>
      </x:c>
      <x:c r="P460" s="120" t="n">
        <x:v>44650.143958333334</x:v>
      </x:c>
      <x:c r="Q460" s="117" t="str">
        <x:v>Natalie Boger</x:v>
      </x:c>
      <x:c r="R460" s="117" t="str">
        <x:v>Create contract line items and entitlements</x:v>
      </x:c>
      <x:c r="S460" s="119" t="str">
        <x:v>From service contract through screen flow</x:v>
      </x:c>
    </x:row>
    <x:row r="461" ht="30" customHeight="1">
      <x:c r="A461" s="117" t="str">
        <x:v>Create_contract_line_items_and_entitlements</x:v>
      </x:c>
      <x:c r="B461" s="117" t="str">
        <x:v>3005b000000H1utAAC</x:v>
      </x:c>
      <x:c r="C461" s="117" t="str">
        <x:v>3015b000000EIq6AAG</x:v>
      </x:c>
      <x:c r="D461" s="118" t="n">
        <x:v>11</x:v>
      </x:c>
      <x:c r="E461" s="117" t="str">
        <x:v>Active</x:v>
      </x:c>
      <x:c r="F461" s="117" t="str">
        <x:v>Yes</x:v>
      </x:c>
      <x:c r="G461" s="117" t="str">
        <x:v>Yes</x:v>
      </x:c>
      <x:c r="H461" s="117" t="str">
        <x:v>Flow</x:v>
      </x:c>
      <x:c r="I461" s="118" t="n">
        <x:v>52</x:v>
      </x:c>
      <x:c r="J461" s="117" t="str">
        <x:v>unmanaged</x:v>
      </x:c>
      <x:c r="K461" s="123" t="b">
        <x:v>0</x:v>
      </x:c>
      <x:c r="L461" s="117"/>
      <x:c r="M461" s="118"/>
      <x:c r="N461" s="120" t="n">
        <x:v>44656.64696759259</x:v>
      </x:c>
      <x:c r="O461" s="117" t="str">
        <x:v>Natalie Boger</x:v>
      </x:c>
      <x:c r="P461" s="120" t="n">
        <x:v>44656.64709490741</x:v>
      </x:c>
      <x:c r="Q461" s="117" t="str">
        <x:v>Natalie Boger</x:v>
      </x:c>
      <x:c r="R461" s="117" t="str">
        <x:v>Create contract line items and entitlements</x:v>
      </x:c>
      <x:c r="S461" s="119" t="str">
        <x:v>From service contract through screen flow</x:v>
      </x:c>
    </x:row>
    <x:row r="462" ht="30" customHeight="1">
      <x:c r="A462" s="117" t="str">
        <x:v>Create_Contract_Line_Items_Entitlements_and_Work_Orders</x:v>
      </x:c>
      <x:c r="B462" s="117" t="str">
        <x:v>3005b000000H3leAAC</x:v>
      </x:c>
      <x:c r="C462" s="117" t="str">
        <x:v>3015b000000EJVEAA4</x:v>
      </x:c>
      <x:c r="D462" s="118" t="n">
        <x:v>1</x:v>
      </x:c>
      <x:c r="E462" s="117" t="str">
        <x:v>Obsolete</x:v>
      </x:c>
      <x:c r="F462" s="117" t="str">
        <x:v>No</x:v>
      </x:c>
      <x:c r="G462" s="117" t="str">
        <x:v>No</x:v>
      </x:c>
      <x:c r="H462" s="117" t="str">
        <x:v>Flow</x:v>
      </x:c>
      <x:c r="I462" s="118" t="n">
        <x:v>52</x:v>
      </x:c>
      <x:c r="J462" s="117" t="str">
        <x:v>unmanaged</x:v>
      </x:c>
      <x:c r="K462" s="123" t="b">
        <x:v>0</x:v>
      </x:c>
      <x:c r="L462" s="117"/>
      <x:c r="M462" s="118"/>
      <x:c r="N462" s="120" t="n">
        <x:v>44686.88497685185</x:v>
      </x:c>
      <x:c r="O462" s="117" t="str">
        <x:v>Jace Gentil</x:v>
      </x:c>
      <x:c r="P462" s="120" t="n">
        <x:v>44687.357511574075</x:v>
      </x:c>
      <x:c r="Q462" s="117" t="str">
        <x:v>Jace Gentil</x:v>
      </x:c>
      <x:c r="R462" s="117" t="str">
        <x:v>Create Contract Line Items, Entitlements, and Work Orders</x:v>
      </x:c>
      <x:c r="S462" s="119"/>
    </x:row>
    <x:row r="463" ht="30" customHeight="1">
      <x:c r="A463" s="117" t="str">
        <x:v>Create_Contract_Line_Items_Entitlements_and_Work_Orders</x:v>
      </x:c>
      <x:c r="B463" s="117" t="str">
        <x:v>3005b000000H3leAAC</x:v>
      </x:c>
      <x:c r="C463" s="117" t="str">
        <x:v>3015b000000EJWCAA4</x:v>
      </x:c>
      <x:c r="D463" s="118" t="n">
        <x:v>2</x:v>
      </x:c>
      <x:c r="E463" s="117" t="str">
        <x:v>Obsolete</x:v>
      </x:c>
      <x:c r="F463" s="117" t="str">
        <x:v>No</x:v>
      </x:c>
      <x:c r="G463" s="117" t="str">
        <x:v>No</x:v>
      </x:c>
      <x:c r="H463" s="117" t="str">
        <x:v>Flow</x:v>
      </x:c>
      <x:c r="I463" s="118" t="n">
        <x:v>52</x:v>
      </x:c>
      <x:c r="J463" s="117" t="str">
        <x:v>unmanaged</x:v>
      </x:c>
      <x:c r="K463" s="123" t="b">
        <x:v>0</x:v>
      </x:c>
      <x:c r="L463" s="117"/>
      <x:c r="M463" s="118"/>
      <x:c r="N463" s="120" t="n">
        <x:v>44687.369467592594</x:v>
      </x:c>
      <x:c r="O463" s="117" t="str">
        <x:v>Jace Gentil</x:v>
      </x:c>
      <x:c r="P463" s="120" t="n">
        <x:v>44687.36953703704</x:v>
      </x:c>
      <x:c r="Q463" s="117" t="str">
        <x:v>Jace Gentil</x:v>
      </x:c>
      <x:c r="R463" s="117" t="str">
        <x:v>Create Contract Line Items, Entitlements, and Work Orders</x:v>
      </x:c>
      <x:c r="S463" s="119"/>
    </x:row>
    <x:row r="464" ht="30" customHeight="1">
      <x:c r="A464" s="117" t="str">
        <x:v>Create_Contract_Line_Items_Entitlements_and_Work_Orders</x:v>
      </x:c>
      <x:c r="B464" s="117" t="str">
        <x:v>3005b000000H3leAAC</x:v>
      </x:c>
      <x:c r="C464" s="117" t="str">
        <x:v>3015b000000EJWHAA4</x:v>
      </x:c>
      <x:c r="D464" s="118" t="n">
        <x:v>3</x:v>
      </x:c>
      <x:c r="E464" s="117" t="str">
        <x:v>Obsolete</x:v>
      </x:c>
      <x:c r="F464" s="117" t="str">
        <x:v>No</x:v>
      </x:c>
      <x:c r="G464" s="117" t="str">
        <x:v>Yes</x:v>
      </x:c>
      <x:c r="H464" s="117" t="str">
        <x:v>Flow</x:v>
      </x:c>
      <x:c r="I464" s="118" t="n">
        <x:v>52</x:v>
      </x:c>
      <x:c r="J464" s="117" t="str">
        <x:v>unmanaged</x:v>
      </x:c>
      <x:c r="K464" s="123" t="b">
        <x:v>0</x:v>
      </x:c>
      <x:c r="L464" s="117"/>
      <x:c r="M464" s="118"/>
      <x:c r="N464" s="120" t="n">
        <x:v>44687.37105324074</x:v>
      </x:c>
      <x:c r="O464" s="117" t="str">
        <x:v>Jace Gentil</x:v>
      </x:c>
      <x:c r="P464" s="120" t="n">
        <x:v>44788.99935185185</x:v>
      </x:c>
      <x:c r="Q464" s="117" t="str">
        <x:v>Jace Gentil</x:v>
      </x:c>
      <x:c r="R464" s="117" t="str">
        <x:v>Create Contract Line Items, Entitlements, and Work Orders</x:v>
      </x:c>
      <x:c r="S464" s="119"/>
    </x:row>
    <x:row r="465" ht="30" customHeight="1">
      <x:c r="A465" s="117" t="str">
        <x:v>Create_Contract_Line_Items_Entitlements_and_Work_Orders_V4</x:v>
      </x:c>
      <x:c r="B465" s="117" t="str">
        <x:v>3005b000000H3pgAAC</x:v>
      </x:c>
      <x:c r="C465" s="117" t="str">
        <x:v>3015b000000EJm5AAG</x:v>
      </x:c>
      <x:c r="D465" s="118" t="n">
        <x:v>1</x:v>
      </x:c>
      <x:c r="E465" s="117" t="str">
        <x:v>Obsolete</x:v>
      </x:c>
      <x:c r="F465" s="117" t="str">
        <x:v>No</x:v>
      </x:c>
      <x:c r="G465" s="117" t="str">
        <x:v>No</x:v>
      </x:c>
      <x:c r="H465" s="117" t="str">
        <x:v>Flow</x:v>
      </x:c>
      <x:c r="I465" s="118" t="n">
        <x:v>52</x:v>
      </x:c>
      <x:c r="J465" s="117" t="str">
        <x:v>unmanaged</x:v>
      </x:c>
      <x:c r="K465" s="123" t="b">
        <x:v>0</x:v>
      </x:c>
      <x:c r="L465" s="117"/>
      <x:c r="M465" s="118"/>
      <x:c r="N465" s="120" t="n">
        <x:v>44699.35128472222</x:v>
      </x:c>
      <x:c r="O465" s="117" t="str">
        <x:v>Jace Gentil</x:v>
      </x:c>
      <x:c r="P465" s="120" t="n">
        <x:v>44699.352222222224</x:v>
      </x:c>
      <x:c r="Q465" s="117" t="str">
        <x:v>Jace Gentil</x:v>
      </x:c>
      <x:c r="R465" s="117" t="str">
        <x:v>Create Contract Line Items, Entitlements, and Work Orders V4</x:v>
      </x:c>
      <x:c r="S465" s="119"/>
    </x:row>
    <x:row r="466" ht="30" customHeight="1">
      <x:c r="A466" s="117" t="str">
        <x:v>Create_Contract_Line_Items_Entitlements_and_Work_Orders_V4</x:v>
      </x:c>
      <x:c r="B466" s="117" t="str">
        <x:v>3005b000000H3pgAAC</x:v>
      </x:c>
      <x:c r="C466" s="117" t="str">
        <x:v>3015b000000EJmFAAW</x:v>
      </x:c>
      <x:c r="D466" s="118" t="n">
        <x:v>2</x:v>
      </x:c>
      <x:c r="E466" s="117" t="str">
        <x:v>Obsolete</x:v>
      </x:c>
      <x:c r="F466" s="117" t="str">
        <x:v>No</x:v>
      </x:c>
      <x:c r="G466" s="117" t="str">
        <x:v>No</x:v>
      </x:c>
      <x:c r="H466" s="117" t="str">
        <x:v>Flow</x:v>
      </x:c>
      <x:c r="I466" s="118" t="n">
        <x:v>52</x:v>
      </x:c>
      <x:c r="J466" s="117" t="str">
        <x:v>unmanaged</x:v>
      </x:c>
      <x:c r="K466" s="123" t="b">
        <x:v>0</x:v>
      </x:c>
      <x:c r="L466" s="117"/>
      <x:c r="M466" s="118"/>
      <x:c r="N466" s="120" t="n">
        <x:v>44699.533796296295</x:v>
      </x:c>
      <x:c r="O466" s="117" t="str">
        <x:v>Jace Gentil</x:v>
      </x:c>
      <x:c r="P466" s="120" t="n">
        <x:v>44699.53386574074</x:v>
      </x:c>
      <x:c r="Q466" s="117" t="str">
        <x:v>Jace Gentil</x:v>
      </x:c>
      <x:c r="R466" s="117" t="str">
        <x:v>Create Contract Line Items, Entitlements, and Work Orders V4</x:v>
      </x:c>
      <x:c r="S466" s="119"/>
    </x:row>
    <x:row r="467" ht="30" customHeight="1">
      <x:c r="A467" s="117" t="str">
        <x:v>Create_Contract_Line_Items_Entitlements_and_Work_Orders_V4</x:v>
      </x:c>
      <x:c r="B467" s="117" t="str">
        <x:v>3005b000000H3pgAAC</x:v>
      </x:c>
      <x:c r="C467" s="117" t="str">
        <x:v>3015b000000EKbsAAG</x:v>
      </x:c>
      <x:c r="D467" s="118" t="n">
        <x:v>3</x:v>
      </x:c>
      <x:c r="E467" s="117" t="str">
        <x:v>Obsolete</x:v>
      </x:c>
      <x:c r="F467" s="117" t="str">
        <x:v>No</x:v>
      </x:c>
      <x:c r="G467" s="117" t="str">
        <x:v>No</x:v>
      </x:c>
      <x:c r="H467" s="117" t="str">
        <x:v>Flow</x:v>
      </x:c>
      <x:c r="I467" s="118" t="n">
        <x:v>52</x:v>
      </x:c>
      <x:c r="J467" s="117" t="str">
        <x:v>unmanaged</x:v>
      </x:c>
      <x:c r="K467" s="123" t="b">
        <x:v>0</x:v>
      </x:c>
      <x:c r="L467" s="117"/>
      <x:c r="M467" s="118"/>
      <x:c r="N467" s="120" t="n">
        <x:v>44741.44431712963</x:v>
      </x:c>
      <x:c r="O467" s="117" t="str">
        <x:v>Jace Gentil</x:v>
      </x:c>
      <x:c r="P467" s="120" t="n">
        <x:v>44741.444386574076</x:v>
      </x:c>
      <x:c r="Q467" s="117" t="str">
        <x:v>Jace Gentil</x:v>
      </x:c>
      <x:c r="R467" s="117" t="str">
        <x:v>Create Contract Line Items, Entitlements, and Work Orders V4</x:v>
      </x:c>
      <x:c r="S467" s="119"/>
    </x:row>
    <x:row r="468" ht="30" customHeight="1">
      <x:c r="A468" s="117" t="str">
        <x:v>Create_Contract_Line_Items_Entitlements_and_Work_Orders_V4</x:v>
      </x:c>
      <x:c r="B468" s="117" t="str">
        <x:v>3005b000000H3pgAAC</x:v>
      </x:c>
      <x:c r="C468" s="117" t="str">
        <x:v>3015b000000EKbwAAG</x:v>
      </x:c>
      <x:c r="D468" s="118" t="n">
        <x:v>4</x:v>
      </x:c>
      <x:c r="E468" s="117" t="str">
        <x:v>Obsolete</x:v>
      </x:c>
      <x:c r="F468" s="117" t="str">
        <x:v>No</x:v>
      </x:c>
      <x:c r="G468" s="117" t="str">
        <x:v>No</x:v>
      </x:c>
      <x:c r="H468" s="117" t="str">
        <x:v>Flow</x:v>
      </x:c>
      <x:c r="I468" s="118" t="n">
        <x:v>52</x:v>
      </x:c>
      <x:c r="J468" s="117" t="str">
        <x:v>unmanaged</x:v>
      </x:c>
      <x:c r="K468" s="123" t="b">
        <x:v>0</x:v>
      </x:c>
      <x:c r="L468" s="117"/>
      <x:c r="M468" s="118"/>
      <x:c r="N468" s="120" t="n">
        <x:v>44741.44545138889</x:v>
      </x:c>
      <x:c r="O468" s="117" t="str">
        <x:v>Jace Gentil</x:v>
      </x:c>
      <x:c r="P468" s="120" t="n">
        <x:v>44741.445543981485</x:v>
      </x:c>
      <x:c r="Q468" s="117" t="str">
        <x:v>Jace Gentil</x:v>
      </x:c>
      <x:c r="R468" s="117" t="str">
        <x:v>Create Contract Line Items, Entitlements, and Work Orders V4</x:v>
      </x:c>
      <x:c r="S468" s="119"/>
    </x:row>
    <x:row r="469" ht="30" customHeight="1">
      <x:c r="A469" s="117" t="str">
        <x:v>Create_Contract_Line_Items_Entitlements_and_Work_Orders_V4</x:v>
      </x:c>
      <x:c r="B469" s="117" t="str">
        <x:v>3005b000000H3pgAAC</x:v>
      </x:c>
      <x:c r="C469" s="117" t="str">
        <x:v>3015b000000EKcGAAW</x:v>
      </x:c>
      <x:c r="D469" s="118" t="n">
        <x:v>5</x:v>
      </x:c>
      <x:c r="E469" s="117" t="str">
        <x:v>Obsolete</x:v>
      </x:c>
      <x:c r="F469" s="117" t="str">
        <x:v>No</x:v>
      </x:c>
      <x:c r="G469" s="117" t="str">
        <x:v>No</x:v>
      </x:c>
      <x:c r="H469" s="117" t="str">
        <x:v>Flow</x:v>
      </x:c>
      <x:c r="I469" s="118" t="n">
        <x:v>52</x:v>
      </x:c>
      <x:c r="J469" s="117" t="str">
        <x:v>unmanaged</x:v>
      </x:c>
      <x:c r="K469" s="123" t="b">
        <x:v>0</x:v>
      </x:c>
      <x:c r="L469" s="117"/>
      <x:c r="M469" s="118"/>
      <x:c r="N469" s="120" t="n">
        <x:v>44741.600497685184</x:v>
      </x:c>
      <x:c r="O469" s="117" t="str">
        <x:v>Probo Medical Ltd Admin</x:v>
      </x:c>
      <x:c r="P469" s="120" t="n">
        <x:v>44741.60056712963</x:v>
      </x:c>
      <x:c r="Q469" s="117" t="str">
        <x:v>Probo Medical Ltd Admin</x:v>
      </x:c>
      <x:c r="R469" s="117" t="str">
        <x:v>Create Contract Line Items, Entitlements, and Work Orders V4</x:v>
      </x:c>
      <x:c r="S469" s="119"/>
    </x:row>
    <x:row r="470" ht="30" customHeight="1">
      <x:c r="A470" s="117" t="str">
        <x:v>Create_Contract_Line_Items_Entitlements_and_Work_Orders_V4</x:v>
      </x:c>
      <x:c r="B470" s="117" t="str">
        <x:v>3005b000000H3pgAAC</x:v>
      </x:c>
      <x:c r="C470" s="117" t="str">
        <x:v>3015b000000AGiUAAW</x:v>
      </x:c>
      <x:c r="D470" s="118" t="n">
        <x:v>6</x:v>
      </x:c>
      <x:c r="E470" s="117" t="str">
        <x:v>Obsolete</x:v>
      </x:c>
      <x:c r="F470" s="117" t="str">
        <x:v>No</x:v>
      </x:c>
      <x:c r="G470" s="117" t="str">
        <x:v>No</x:v>
      </x:c>
      <x:c r="H470" s="117" t="str">
        <x:v>Flow</x:v>
      </x:c>
      <x:c r="I470" s="118" t="n">
        <x:v>52</x:v>
      </x:c>
      <x:c r="J470" s="117" t="str">
        <x:v>unmanaged</x:v>
      </x:c>
      <x:c r="K470" s="123" t="b">
        <x:v>0</x:v>
      </x:c>
      <x:c r="L470" s="117"/>
      <x:c r="M470" s="118"/>
      <x:c r="N470" s="120" t="n">
        <x:v>44973.44023148148</x:v>
      </x:c>
      <x:c r="O470" s="117" t="str">
        <x:v>Jon Kean</x:v>
      </x:c>
      <x:c r="P470" s="120" t="n">
        <x:v>44973.4403125</x:v>
      </x:c>
      <x:c r="Q470" s="117" t="str">
        <x:v>Jon Kean</x:v>
      </x:c>
      <x:c r="R470" s="117" t="str">
        <x:v>Create Contract Line Items, Entitlements, and Work Orders V4</x:v>
      </x:c>
      <x:c r="S470" s="119"/>
    </x:row>
    <x:row r="471" ht="30" customHeight="1">
      <x:c r="A471" s="117" t="str">
        <x:v>Create_Contract_Line_Items_Entitlements_and_Work_Orders_V4</x:v>
      </x:c>
      <x:c r="B471" s="117" t="str">
        <x:v>3005b000000H3pgAAC</x:v>
      </x:c>
      <x:c r="C471" s="117" t="str">
        <x:v>3015b000000AOmyAAG</x:v>
      </x:c>
      <x:c r="D471" s="118" t="n">
        <x:v>7</x:v>
      </x:c>
      <x:c r="E471" s="117" t="str">
        <x:v>Obsolete</x:v>
      </x:c>
      <x:c r="F471" s="117" t="str">
        <x:v>No</x:v>
      </x:c>
      <x:c r="G471" s="117" t="str">
        <x:v>No</x:v>
      </x:c>
      <x:c r="H471" s="117" t="str">
        <x:v>Flow</x:v>
      </x:c>
      <x:c r="I471" s="118" t="n">
        <x:v>52</x:v>
      </x:c>
      <x:c r="J471" s="117" t="str">
        <x:v>unmanaged</x:v>
      </x:c>
      <x:c r="K471" s="123" t="b">
        <x:v>0</x:v>
      </x:c>
      <x:c r="L471" s="117"/>
      <x:c r="M471" s="118"/>
      <x:c r="N471" s="120" t="n">
        <x:v>45132.58534722222</x:v>
      </x:c>
      <x:c r="O471" s="117" t="str">
        <x:v>Jon Kean</x:v>
      </x:c>
      <x:c r="P471" s="120" t="n">
        <x:v>45132.58545138889</x:v>
      </x:c>
      <x:c r="Q471" s="117" t="str">
        <x:v>Jon Kean</x:v>
      </x:c>
      <x:c r="R471" s="117" t="str">
        <x:v>Create Contract Line Items, Entitlements, and Work Orders V4</x:v>
      </x:c>
      <x:c r="S471" s="119"/>
    </x:row>
    <x:row r="472" ht="30" customHeight="1">
      <x:c r="A472" s="117" t="str">
        <x:v>Create_Contract_Line_Items_Entitlements_and_Work_Orders_V4</x:v>
      </x:c>
      <x:c r="B472" s="117" t="str">
        <x:v>3005b000000H3pgAAC</x:v>
      </x:c>
      <x:c r="C472" s="117" t="str">
        <x:v>301Ro00000954YtIAI</x:v>
      </x:c>
      <x:c r="D472" s="118" t="n">
        <x:v>8</x:v>
      </x:c>
      <x:c r="E472" s="117" t="str">
        <x:v>Obsolete</x:v>
      </x:c>
      <x:c r="F472" s="117" t="str">
        <x:v>No</x:v>
      </x:c>
      <x:c r="G472" s="117" t="str">
        <x:v>No</x:v>
      </x:c>
      <x:c r="H472" s="117" t="str">
        <x:v>Flow</x:v>
      </x:c>
      <x:c r="I472" s="118" t="n">
        <x:v>52</x:v>
      </x:c>
      <x:c r="J472" s="117" t="str">
        <x:v>unmanaged</x:v>
      </x:c>
      <x:c r="K472" s="123" t="b">
        <x:v>0</x:v>
      </x:c>
      <x:c r="L472" s="117"/>
      <x:c r="M472" s="118"/>
      <x:c r="N472" s="120" t="n">
        <x:v>45366.47509259259</x:v>
      </x:c>
      <x:c r="O472" s="117" t="str">
        <x:v>Jon Kean</x:v>
      </x:c>
      <x:c r="P472" s="120" t="n">
        <x:v>45366.47523148148</x:v>
      </x:c>
      <x:c r="Q472" s="117" t="str">
        <x:v>Jon Kean</x:v>
      </x:c>
      <x:c r="R472" s="117" t="str">
        <x:v>Create Contract Line Items, Entitlements, and Work Orders V4</x:v>
      </x:c>
      <x:c r="S472" s="119"/>
    </x:row>
    <x:row r="473" ht="30" customHeight="1">
      <x:c r="A473" s="117" t="str">
        <x:v>Create_Contract_Line_Items_Entitlements_and_Work_Orders_V4</x:v>
      </x:c>
      <x:c r="B473" s="117" t="str">
        <x:v>3005b000000H3pgAAC</x:v>
      </x:c>
      <x:c r="C473" s="117" t="str">
        <x:v>301Ro00000GqUXHIA3</x:v>
      </x:c>
      <x:c r="D473" s="118" t="n">
        <x:v>9</x:v>
      </x:c>
      <x:c r="E473" s="117" t="str">
        <x:v>Obsolete</x:v>
      </x:c>
      <x:c r="F473" s="117" t="str">
        <x:v>No</x:v>
      </x:c>
      <x:c r="G473" s="117" t="str">
        <x:v>No</x:v>
      </x:c>
      <x:c r="H473" s="117" t="str">
        <x:v>Flow</x:v>
      </x:c>
      <x:c r="I473" s="118" t="n">
        <x:v>52</x:v>
      </x:c>
      <x:c r="J473" s="117" t="str">
        <x:v>unmanaged</x:v>
      </x:c>
      <x:c r="K473" s="123" t="b">
        <x:v>0</x:v>
      </x:c>
      <x:c r="L473" s="117"/>
      <x:c r="M473" s="118"/>
      <x:c r="N473" s="120" t="n">
        <x:v>45487.65261574074</x:v>
      </x:c>
      <x:c r="O473" s="117" t="str">
        <x:v>Jon Kean</x:v>
      </x:c>
      <x:c r="P473" s="120" t="n">
        <x:v>45487.652719907404</x:v>
      </x:c>
      <x:c r="Q473" s="117" t="str">
        <x:v>Jon Kean</x:v>
      </x:c>
      <x:c r="R473" s="117" t="str">
        <x:v>Create Contract Line Items, Entitlements, and Work Orders V4</x:v>
      </x:c>
      <x:c r="S473" s="119"/>
    </x:row>
    <x:row r="474" ht="30" customHeight="1">
      <x:c r="A474" s="117" t="str">
        <x:v>Create_Contract_Line_Items_Entitlements_and_Work_Orders_V4</x:v>
      </x:c>
      <x:c r="B474" s="117" t="str">
        <x:v>3005b000000H3pgAAC</x:v>
      </x:c>
      <x:c r="C474" s="117" t="str">
        <x:v>301Ro00000PtqikIAB</x:v>
      </x:c>
      <x:c r="D474" s="118" t="n">
        <x:v>10</x:v>
      </x:c>
      <x:c r="E474" s="117" t="str">
        <x:v>Obsolete</x:v>
      </x:c>
      <x:c r="F474" s="117" t="str">
        <x:v>No</x:v>
      </x:c>
      <x:c r="G474" s="117" t="str">
        <x:v>No</x:v>
      </x:c>
      <x:c r="H474" s="117" t="str">
        <x:v>Flow</x:v>
      </x:c>
      <x:c r="I474" s="118" t="n">
        <x:v>52</x:v>
      </x:c>
      <x:c r="J474" s="117" t="str">
        <x:v>unmanaged</x:v>
      </x:c>
      <x:c r="K474" s="123" t="b">
        <x:v>0</x:v>
      </x:c>
      <x:c r="L474" s="117"/>
      <x:c r="M474" s="118"/>
      <x:c r="N474" s="120" t="n">
        <x:v>45630.39518518518</x:v>
      </x:c>
      <x:c r="O474" s="117" t="str">
        <x:v>Jon Kean</x:v>
      </x:c>
      <x:c r="P474" s="120" t="n">
        <x:v>45630.39525462963</x:v>
      </x:c>
      <x:c r="Q474" s="117" t="str">
        <x:v>Jon Kean</x:v>
      </x:c>
      <x:c r="R474" s="117" t="str">
        <x:v>Create Contract Line Items, Entitlements, and Work Orders V4</x:v>
      </x:c>
      <x:c r="S474" s="119"/>
    </x:row>
    <x:row r="475" ht="30" customHeight="1">
      <x:c r="A475" s="117" t="str">
        <x:v>Create_Contract_Line_Items_Entitlements_and_Work_Orders_V4</x:v>
      </x:c>
      <x:c r="B475" s="117" t="str">
        <x:v>3005b000000H3pgAAC</x:v>
      </x:c>
      <x:c r="C475" s="117" t="str">
        <x:v>301Ro00000QjDGhIAN</x:v>
      </x:c>
      <x:c r="D475" s="118" t="n">
        <x:v>11</x:v>
      </x:c>
      <x:c r="E475" s="117" t="str">
        <x:v>Obsolete</x:v>
      </x:c>
      <x:c r="F475" s="117" t="str">
        <x:v>No</x:v>
      </x:c>
      <x:c r="G475" s="117" t="str">
        <x:v>No</x:v>
      </x:c>
      <x:c r="H475" s="117" t="str">
        <x:v>Flow</x:v>
      </x:c>
      <x:c r="I475" s="118" t="n">
        <x:v>52</x:v>
      </x:c>
      <x:c r="J475" s="117" t="str">
        <x:v>unmanaged</x:v>
      </x:c>
      <x:c r="K475" s="123" t="b">
        <x:v>0</x:v>
      </x:c>
      <x:c r="L475" s="117"/>
      <x:c r="M475" s="118"/>
      <x:c r="N475" s="120" t="n">
        <x:v>45644.5030787037</x:v>
      </x:c>
      <x:c r="O475" s="117" t="str">
        <x:v>Jon Kean</x:v>
      </x:c>
      <x:c r="P475" s="120" t="n">
        <x:v>45644.503171296295</x:v>
      </x:c>
      <x:c r="Q475" s="117" t="str">
        <x:v>Jon Kean</x:v>
      </x:c>
      <x:c r="R475" s="117" t="str">
        <x:v>Create Contract Line Items, Entitlements, and Work Orders V4</x:v>
      </x:c>
      <x:c r="S475" s="119"/>
    </x:row>
    <x:row r="476" ht="30" customHeight="1">
      <x:c r="A476" s="117" t="str">
        <x:v>Create_Contract_Line_Items_Entitlements_and_Work_Orders_V4</x:v>
      </x:c>
      <x:c r="B476" s="117" t="str">
        <x:v>3005b000000H3pgAAC</x:v>
      </x:c>
      <x:c r="C476" s="117" t="str">
        <x:v>301Ro00000cEizXIAS</x:v>
      </x:c>
      <x:c r="D476" s="118" t="n">
        <x:v>12</x:v>
      </x:c>
      <x:c r="E476" s="117" t="str">
        <x:v>Obsolete</x:v>
      </x:c>
      <x:c r="F476" s="117" t="str">
        <x:v>No</x:v>
      </x:c>
      <x:c r="G476" s="117" t="str">
        <x:v>No</x:v>
      </x:c>
      <x:c r="H476" s="117" t="str">
        <x:v>Flow</x:v>
      </x:c>
      <x:c r="I476" s="118" t="n">
        <x:v>52</x:v>
      </x:c>
      <x:c r="J476" s="117" t="str">
        <x:v>unmanaged</x:v>
      </x:c>
      <x:c r="K476" s="123" t="b">
        <x:v>0</x:v>
      </x:c>
      <x:c r="L476" s="117"/>
      <x:c r="M476" s="118"/>
      <x:c r="N476" s="120" t="n">
        <x:v>45827.87244212963</x:v>
      </x:c>
      <x:c r="O476" s="117" t="str">
        <x:v>Sacha Pearce</x:v>
      </x:c>
      <x:c r="P476" s="120" t="n">
        <x:v>45828.62170138889</x:v>
      </x:c>
      <x:c r="Q476" s="117" t="str">
        <x:v>Sacha Pearce</x:v>
      </x:c>
      <x:c r="R476" s="117" t="str">
        <x:v>Create Contract Line Items, Entitlements, and Work Orders V4</x:v>
      </x:c>
      <x:c r="S476" s="119" t="str">
        <x:v>19/06/2025 - SP - V12 - Added Work Type to the "Add work order to list" Assignment element. Also added a Loop element to cycle through Work Orders and build Service Appointments for each.</x:v>
      </x:c>
    </x:row>
    <x:row r="477" ht="30" customHeight="1">
      <x:c r="A477" s="117" t="str">
        <x:v>Create_Contract_Line_Items_Entitlements_and_Work_Orders_V4</x:v>
      </x:c>
      <x:c r="B477" s="117" t="str">
        <x:v>3005b000000H3pgAAC</x:v>
      </x:c>
      <x:c r="C477" s="117" t="str">
        <x:v>301Ro00000cEgxrIAC</x:v>
      </x:c>
      <x:c r="D477" s="118" t="n">
        <x:v>13</x:v>
      </x:c>
      <x:c r="E477" s="117" t="str">
        <x:v>Obsolete</x:v>
      </x:c>
      <x:c r="F477" s="117" t="str">
        <x:v>No</x:v>
      </x:c>
      <x:c r="G477" s="117" t="str">
        <x:v>No</x:v>
      </x:c>
      <x:c r="H477" s="117" t="str">
        <x:v>Flow</x:v>
      </x:c>
      <x:c r="I477" s="118" t="n">
        <x:v>52</x:v>
      </x:c>
      <x:c r="J477" s="117" t="str">
        <x:v>unmanaged</x:v>
      </x:c>
      <x:c r="K477" s="123" t="b">
        <x:v>0</x:v>
      </x:c>
      <x:c r="L477" s="117"/>
      <x:c r="M477" s="118"/>
      <x:c r="N477" s="120" t="n">
        <x:v>45827.88670138889</x:v>
      </x:c>
      <x:c r="O477" s="117" t="str">
        <x:v>Sacha Pearce</x:v>
      </x:c>
      <x:c r="P477" s="120" t="n">
        <x:v>45828.621932870374</x:v>
      </x:c>
      <x:c r="Q477" s="117" t="str">
        <x:v>Sacha Pearce</x:v>
      </x:c>
      <x:c r="R477" s="117" t="str">
        <x:v>Create Contract Line Items, Entitlements, and Work Orders V4</x:v>
      </x:c>
      <x:c r="S477" s="119" t="str">
        <x:v>19/06/2025 - SP - REACTIVATING OLDER VERSION BEFORE FULLY PUSHING NEW TO BE LIVE</x:v>
      </x:c>
    </x:row>
    <x:row r="478" ht="30" customHeight="1">
      <x:c r="A478" s="117" t="str">
        <x:v>Create_Contract_Line_Items_Entitlements_and_Work_Orders_V4</x:v>
      </x:c>
      <x:c r="B478" s="117" t="str">
        <x:v>3005b000000H3pgAAC</x:v>
      </x:c>
      <x:c r="C478" s="117" t="str">
        <x:v>301Ro00000cKJiOIAW</x:v>
      </x:c>
      <x:c r="D478" s="118" t="n">
        <x:v>14</x:v>
      </x:c>
      <x:c r="E478" s="117" t="str">
        <x:v>Obsolete</x:v>
      </x:c>
      <x:c r="F478" s="117" t="str">
        <x:v>No</x:v>
      </x:c>
      <x:c r="G478" s="117" t="str">
        <x:v>No</x:v>
      </x:c>
      <x:c r="H478" s="117" t="str">
        <x:v>Flow</x:v>
      </x:c>
      <x:c r="I478" s="118" t="n">
        <x:v>52</x:v>
      </x:c>
      <x:c r="J478" s="117" t="str">
        <x:v>unmanaged</x:v>
      </x:c>
      <x:c r="K478" s="123" t="b">
        <x:v>0</x:v>
      </x:c>
      <x:c r="L478" s="117"/>
      <x:c r="M478" s="118"/>
      <x:c r="N478" s="120" t="n">
        <x:v>45828.82581018518</x:v>
      </x:c>
      <x:c r="O478" s="117" t="str">
        <x:v>Sacha Pearce</x:v>
      </x:c>
      <x:c r="P478" s="120" t="n">
        <x:v>45828.82821759259</x:v>
      </x:c>
      <x:c r="Q478" s="117" t="str">
        <x:v>Sacha Pearce</x:v>
      </x:c>
      <x:c r="R478" s="117" t="str">
        <x:v>Create Contract Line Items, Entitlements, and Work Orders V4</x:v>
      </x:c>
      <x:c r="S478" s="119" t="str">
        <x:v>19/06/2025 - SP - V12 - Added Work Type to the "Add work order to list" Assignment element. Also added a Loop element to cycle through Work Orders and build Service Appointments for each.
20/06/2025 - SP - V14 - Adding extra fields such as Intended Start Date/Time to Service Appointment Assignment.</x:v>
      </x:c>
    </x:row>
    <x:row r="479" ht="30" customHeight="1">
      <x:c r="A479" s="117" t="str">
        <x:v>Create_Contract_Line_Items_Entitlements_and_Work_Orders_V4</x:v>
      </x:c>
      <x:c r="B479" s="117" t="str">
        <x:v>3005b000000H3pgAAC</x:v>
      </x:c>
      <x:c r="C479" s="117" t="str">
        <x:v>301Ro00000chxyDIAQ</x:v>
      </x:c>
      <x:c r="D479" s="118" t="n">
        <x:v>15</x:v>
      </x:c>
      <x:c r="E479" s="117" t="str">
        <x:v>Obsolete</x:v>
      </x:c>
      <x:c r="F479" s="117" t="str">
        <x:v>No</x:v>
      </x:c>
      <x:c r="G479" s="117" t="str">
        <x:v>No</x:v>
      </x:c>
      <x:c r="H479" s="117" t="str">
        <x:v>Flow</x:v>
      </x:c>
      <x:c r="I479" s="118" t="n">
        <x:v>52</x:v>
      </x:c>
      <x:c r="J479" s="117" t="str">
        <x:v>unmanaged</x:v>
      </x:c>
      <x:c r="K479" s="123" t="b">
        <x:v>0</x:v>
      </x:c>
      <x:c r="L479" s="117"/>
      <x:c r="M479" s="118"/>
      <x:c r="N479" s="120" t="n">
        <x:v>45832.38377314815</x:v>
      </x:c>
      <x:c r="O479" s="117" t="str">
        <x:v>Sacha Pearce</x:v>
      </x:c>
      <x:c r="P479" s="120" t="n">
        <x:v>45832.38394675926</x:v>
      </x:c>
      <x:c r="Q479" s="117" t="str">
        <x:v>Sacha Pearce</x:v>
      </x:c>
      <x:c r="R479" s="117" t="str">
        <x:v>Create Contract Line Items, Entitlements, and Work Orders V4</x:v>
      </x:c>
      <x:c r="S479" s="119" t="str">
        <x:v>19/06/2025 - SP - V12 - Added Work Type to the "Add work order to list" Assignment element. Also added a Loop element to cycle through Work Orders and build Service Appointments for each.
20/06/2025 - SP - V14 - Adding extra fields such as Intended Start Date/Time to Service Appointment Assignment.
24/06/2025 - SP V15 - Amended the following: Length set to formulaLengthBasedOnModality, Due Date set to TodaysDate, ShippingFROMLocation set to Gloucster, UK.</x:v>
      </x:c>
    </x:row>
    <x:row r="480" ht="30" customHeight="1">
      <x:c r="A480" s="117" t="str">
        <x:v>Create_Contract_Line_Items_Entitlements_and_Work_Orders_V4</x:v>
      </x:c>
      <x:c r="B480" s="117" t="str">
        <x:v>3005b000000H3pgAAC</x:v>
      </x:c>
      <x:c r="C480" s="117" t="str">
        <x:v>301Ro00000ciIkyIAE</x:v>
      </x:c>
      <x:c r="D480" s="118" t="n">
        <x:v>16</x:v>
      </x:c>
      <x:c r="E480" s="117" t="str">
        <x:v>Obsolete</x:v>
      </x:c>
      <x:c r="F480" s="117" t="str">
        <x:v>No</x:v>
      </x:c>
      <x:c r="G480" s="117" t="str">
        <x:v>No</x:v>
      </x:c>
      <x:c r="H480" s="117" t="str">
        <x:v>Flow</x:v>
      </x:c>
      <x:c r="I480" s="118" t="n">
        <x:v>52</x:v>
      </x:c>
      <x:c r="J480" s="117" t="str">
        <x:v>unmanaged</x:v>
      </x:c>
      <x:c r="K480" s="123" t="b">
        <x:v>0</x:v>
      </x:c>
      <x:c r="L480" s="117"/>
      <x:c r="M480" s="118"/>
      <x:c r="N480" s="120" t="n">
        <x:v>45832.50247685185</x:v>
      </x:c>
      <x:c r="O480" s="117" t="str">
        <x:v>Sacha Pearce</x:v>
      </x:c>
      <x:c r="P480" s="120" t="n">
        <x:v>45832.502592592595</x:v>
      </x:c>
      <x:c r="Q480" s="117" t="str">
        <x:v>Sacha Pearce</x:v>
      </x:c>
      <x:c r="R480" s="117" t="str">
        <x:v>Create Contract Line Items, Entitlements, and Work Orders V4</x:v>
      </x:c>
      <x:c r="S480" s="119" t="str">
        <x:v>19/06/2025 - SP - V12 - Added Work Type to the "Add work order to list" Assignment element. Also added a Loop element to cycle through Work Orders and build Service Appointments for each.
20/06/2025 - SP - V14 - Adding extra fields such as Intended Start Date/Time to Service Appointment Assignment.
24/06/2025 - SP - V15 - Amended the following: Length set to formulaLengthBasedOnModality, Due Date set to TodaysDate, ShippingFROMLocation set to Gloucster, UK.
24/06/2025 - SP V16 - Set Due Date back to TodayPlus30Days (Earliest Start Permitted must be earlier than the Due Date).</x:v>
      </x:c>
    </x:row>
    <x:row r="481" ht="30" customHeight="1">
      <x:c r="A481" s="117" t="str">
        <x:v>Create_Contract_Line_Items_Entitlements_and_Work_Orders_V4</x:v>
      </x:c>
      <x:c r="B481" s="117" t="str">
        <x:v>3005b000000H3pgAAC</x:v>
      </x:c>
      <x:c r="C481" s="117" t="str">
        <x:v>301Ro00000zkxy1IAA</x:v>
      </x:c>
      <x:c r="D481" s="118" t="n">
        <x:v>17</x:v>
      </x:c>
      <x:c r="E481" s="117" t="str">
        <x:v>Active</x:v>
      </x:c>
      <x:c r="F481" s="117" t="str">
        <x:v>Yes</x:v>
      </x:c>
      <x:c r="G481" s="117" t="str">
        <x:v>No</x:v>
      </x:c>
      <x:c r="H481" s="117" t="str">
        <x:v>Flow</x:v>
      </x:c>
      <x:c r="I481" s="118" t="n">
        <x:v>52</x:v>
      </x:c>
      <x:c r="J481" s="117" t="str">
        <x:v>unmanaged</x:v>
      </x:c>
      <x:c r="K481" s="123" t="b">
        <x:v>0</x:v>
      </x:c>
      <x:c r="L481" s="117"/>
      <x:c r="M481" s="118"/>
      <x:c r="N481" s="120" t="n">
        <x:v>46085.565046296295</x:v>
      </x:c>
      <x:c r="O481" s="117" t="str">
        <x:v>Sacha Pearce</x:v>
      </x:c>
      <x:c r="P481" s="120" t="n">
        <x:v>46142.45556712963</x:v>
      </x:c>
      <x:c r="Q481" s="117" t="str">
        <x:v>Sacha Pearce</x:v>
      </x:c>
      <x:c r="R481" s="117" t="str">
        <x:v>Create Contract Line Items, Entitlements, and Work Orders V4</x:v>
      </x:c>
      <x:c r="S481" s="119" t="str">
        <x:v>04/03/2026 - V17 - SP - Removing "Next Service Date" from the "Assign fields values to work order" Assignment element</x:v>
      </x:c>
    </x:row>
    <x:row r="482" ht="30" customHeight="1">
      <x:c r="A482" s="117" t="str">
        <x:v>Create_Contract_Line_Items_Entitlements_and_Work_Orders_V4</x:v>
      </x:c>
      <x:c r="B482" s="117" t="str">
        <x:v>3005b000000H3pgAAC</x:v>
      </x:c>
      <x:c r="C482" s="117" t="str">
        <x:v>301Ro000012cq7IIAQ</x:v>
      </x:c>
      <x:c r="D482" s="118" t="n">
        <x:v>18</x:v>
      </x:c>
      <x:c r="E482" s="117" t="str">
        <x:v>Obsolete</x:v>
      </x:c>
      <x:c r="F482" s="117" t="str">
        <x:v>No</x:v>
      </x:c>
      <x:c r="G482" s="117" t="str">
        <x:v>No</x:v>
      </x:c>
      <x:c r="H482" s="117" t="str">
        <x:v>Flow</x:v>
      </x:c>
      <x:c r="I482" s="118" t="n">
        <x:v>52</x:v>
      </x:c>
      <x:c r="J482" s="117" t="str">
        <x:v>unmanaged</x:v>
      </x:c>
      <x:c r="K482" s="123" t="b">
        <x:v>0</x:v>
      </x:c>
      <x:c r="L482" s="117"/>
      <x:c r="M482" s="118"/>
      <x:c r="N482" s="120" t="n">
        <x:v>46120.390543981484</x:v>
      </x:c>
      <x:c r="O482" s="117" t="str">
        <x:v>Sacha Pearce</x:v>
      </x:c>
      <x:c r="P482" s="120" t="n">
        <x:v>46120.39989583333</x:v>
      </x:c>
      <x:c r="Q482" s="117" t="str">
        <x:v>Sacha Pearce</x:v>
      </x:c>
      <x:c r="R482" s="117" t="str">
        <x:v>Create Contract Line Items, Entitlements, and Work Orders V4</x:v>
      </x:c>
      <x:c r="S482" s="119" t="str">
        <x:v>07/04/2026 - SP - Pre-Contract Inspection Work Orders now have their "Work Type" field set to "Pre-Contract Inspection (PCI)"</x:v>
      </x:c>
    </x:row>
    <x:row r="483" ht="30" customHeight="1">
      <x:c r="A483" s="117" t="str">
        <x:v>Create_Contract_Line_Items_Entitlements_and_Work_Orders_V4</x:v>
      </x:c>
      <x:c r="B483" s="117" t="str">
        <x:v>3005b000000H3pgAAC</x:v>
      </x:c>
      <x:c r="C483" s="117" t="str">
        <x:v>301Ro000013KOwwIAG</x:v>
      </x:c>
      <x:c r="D483" s="118" t="n">
        <x:v>19</x:v>
      </x:c>
      <x:c r="E483" s="117" t="str">
        <x:v>Obsolete</x:v>
      </x:c>
      <x:c r="F483" s="117" t="str">
        <x:v>No</x:v>
      </x:c>
      <x:c r="G483" s="117" t="str">
        <x:v>No</x:v>
      </x:c>
      <x:c r="H483" s="117" t="str">
        <x:v>Flow</x:v>
      </x:c>
      <x:c r="I483" s="118" t="n">
        <x:v>52</x:v>
      </x:c>
      <x:c r="J483" s="117" t="str">
        <x:v>unmanaged</x:v>
      </x:c>
      <x:c r="K483" s="123" t="b">
        <x:v>0</x:v>
      </x:c>
      <x:c r="L483" s="117"/>
      <x:c r="M483" s="118"/>
      <x:c r="N483" s="120" t="n">
        <x:v>46128.51392361111</x:v>
      </x:c>
      <x:c r="O483" s="117" t="str">
        <x:v>Sacha Pearce</x:v>
      </x:c>
      <x:c r="P483" s="120" t="n">
        <x:v>46128.514074074075</x:v>
      </x:c>
      <x:c r="Q483" s="117" t="str">
        <x:v>Sacha Pearce</x:v>
      </x:c>
      <x:c r="R483" s="117" t="str">
        <x:v>Create Contract Line Items, Entitlements, and Work Orders V4</x:v>
      </x:c>
      <x:c r="S483" s="119" t="str">
        <x:v>07/04/2026 - SP - Amending the "Assignservicedateworkorder" formula to return null if the Service Contract's "Billing Address" is not "United States". UK Team Members will confirm dates with the customer before updating this field.</x:v>
      </x:c>
    </x:row>
    <x:row r="484" ht="30" customHeight="1">
      <x:c r="A484" s="117" t="str">
        <x:v>Create_Contract_Line_Items_Entitlements_and_Work_Orders_V4</x:v>
      </x:c>
      <x:c r="B484" s="117" t="str">
        <x:v>3005b000000H3pgAAC</x:v>
      </x:c>
      <x:c r="C484" s="117" t="str">
        <x:v>301Ro000013gg5ZIAQ</x:v>
      </x:c>
      <x:c r="D484" s="118" t="n">
        <x:v>20</x:v>
      </x:c>
      <x:c r="E484" s="117" t="str">
        <x:v>Obsolete</x:v>
      </x:c>
      <x:c r="F484" s="117" t="str">
        <x:v>No</x:v>
      </x:c>
      <x:c r="G484" s="117" t="str">
        <x:v>No</x:v>
      </x:c>
      <x:c r="H484" s="117" t="str">
        <x:v>Flow</x:v>
      </x:c>
      <x:c r="I484" s="118" t="n">
        <x:v>52</x:v>
      </x:c>
      <x:c r="J484" s="117" t="str">
        <x:v>unmanaged</x:v>
      </x:c>
      <x:c r="K484" s="123" t="b">
        <x:v>0</x:v>
      </x:c>
      <x:c r="L484" s="117"/>
      <x:c r="M484" s="118"/>
      <x:c r="N484" s="120" t="n">
        <x:v>46133.36462962963</x:v>
      </x:c>
      <x:c r="O484" s="117" t="str">
        <x:v>Sacha Pearce</x:v>
      </x:c>
      <x:c r="P484" s="120" t="n">
        <x:v>46133.364756944444</x:v>
      </x:c>
      <x:c r="Q484" s="117" t="str">
        <x:v>Sacha Pearce</x:v>
      </x:c>
      <x:c r="R484" s="117" t="str">
        <x:v>Create Contract Line Items, Entitlements, and Work Orders V4</x:v>
      </x:c>
      <x:c r="S484" s="119" t="str">
        <x:v>07/04/2026 - SP - Adding the "Engineer Notes" field on the Work Order records that this Flow creates to be set by the input "Engineer Notes". This is so that engineers can see important Contract Line Item information on Work Orders in the Field Service app.</x:v>
      </x:c>
    </x:row>
    <x:row r="485" ht="30" customHeight="1">
      <x:c r="A485" s="117" t="str">
        <x:v>Create_Contract_Line_Items_Entitlements_and_Work_Orders_V4</x:v>
      </x:c>
      <x:c r="B485" s="117" t="str">
        <x:v>3005b000000H3pgAAC</x:v>
      </x:c>
      <x:c r="C485" s="117" t="str">
        <x:v>301Ro000014695pIAA</x:v>
      </x:c>
      <x:c r="D485" s="118" t="n">
        <x:v>21</x:v>
      </x:c>
      <x:c r="E485" s="117" t="str">
        <x:v>Obsolete</x:v>
      </x:c>
      <x:c r="F485" s="117" t="str">
        <x:v>No</x:v>
      </x:c>
      <x:c r="G485" s="117" t="str">
        <x:v>No</x:v>
      </x:c>
      <x:c r="H485" s="117" t="str">
        <x:v>Flow</x:v>
      </x:c>
      <x:c r="I485" s="118" t="n">
        <x:v>52</x:v>
      </x:c>
      <x:c r="J485" s="117" t="str">
        <x:v>unmanaged</x:v>
      </x:c>
      <x:c r="K485" s="123" t="b">
        <x:v>0</x:v>
      </x:c>
      <x:c r="L485" s="117"/>
      <x:c r="M485" s="118"/>
      <x:c r="N485" s="120" t="n">
        <x:v>46137.70638888889</x:v>
      </x:c>
      <x:c r="O485" s="117" t="str">
        <x:v>Sacha Pearce</x:v>
      </x:c>
      <x:c r="P485" s="120" t="n">
        <x:v>46137.7065162037</x:v>
      </x:c>
      <x:c r="Q485" s="117" t="str">
        <x:v>Sacha Pearce</x:v>
      </x:c>
      <x:c r="R485" s="117" t="str">
        <x:v>Create Contract Line Items, Entitlements, and Work Orders V4</x:v>
      </x:c>
      <x:c r="S485" s="119" t="str">
        <x:v>25/04/2026 - SP - Updating the Work Type get records to be equals "Pre-Contract Inspection (PCI)"</x:v>
      </x:c>
    </x:row>
    <x:row r="486" ht="30" customHeight="1">
      <x:c r="A486" s="117" t="str">
        <x:v>Create_Contract_Line_Items_Entitlements_and_Work_Orders_V4</x:v>
      </x:c>
      <x:c r="B486" s="117" t="str">
        <x:v>3005b000000H3pgAAC</x:v>
      </x:c>
      <x:c r="C486" s="117" t="str">
        <x:v>301Ro0000145zgGIAQ</x:v>
      </x:c>
      <x:c r="D486" s="118" t="n">
        <x:v>22</x:v>
      </x:c>
      <x:c r="E486" s="117" t="str">
        <x:v>Obsolete</x:v>
      </x:c>
      <x:c r="F486" s="117" t="str">
        <x:v>No</x:v>
      </x:c>
      <x:c r="G486" s="117" t="str">
        <x:v>No</x:v>
      </x:c>
      <x:c r="H486" s="117" t="str">
        <x:v>Flow</x:v>
      </x:c>
      <x:c r="I486" s="118" t="n">
        <x:v>52</x:v>
      </x:c>
      <x:c r="J486" s="117" t="str">
        <x:v>unmanaged</x:v>
      </x:c>
      <x:c r="K486" s="123" t="b">
        <x:v>0</x:v>
      </x:c>
      <x:c r="L486" s="117"/>
      <x:c r="M486" s="118"/>
      <x:c r="N486" s="120" t="n">
        <x:v>46137.718518518515</x:v>
      </x:c>
      <x:c r="O486" s="117" t="str">
        <x:v>Sacha Pearce</x:v>
      </x:c>
      <x:c r="P486" s="120" t="n">
        <x:v>46137.71864583333</x:v>
      </x:c>
      <x:c r="Q486" s="117" t="str">
        <x:v>Sacha Pearce</x:v>
      </x:c>
      <x:c r="R486" s="117" t="str">
        <x:v>Create Contract Line Items, Entitlements, and Work Orders V4</x:v>
      </x:c>
      <x:c r="S486" s="119" t="str">
        <x:v>25/04/2026 - SP - Adding validation into the first Screen element to prevent errros.</x:v>
      </x:c>
    </x:row>
    <x:row r="487" ht="30" customHeight="1">
      <x:c r="A487" s="117" t="str">
        <x:v>Create_Contract_Line_Items_Entitlements_and_Work_Orders_V4</x:v>
      </x:c>
      <x:c r="B487" s="117" t="str">
        <x:v>3005b000000H3pgAAC</x:v>
      </x:c>
      <x:c r="C487" s="117" t="str">
        <x:v>301Ro00001468wEIAQ</x:v>
      </x:c>
      <x:c r="D487" s="118" t="n">
        <x:v>23</x:v>
      </x:c>
      <x:c r="E487" s="117" t="str">
        <x:v>Obsolete</x:v>
      </x:c>
      <x:c r="F487" s="117" t="str">
        <x:v>No</x:v>
      </x:c>
      <x:c r="G487" s="117" t="str">
        <x:v>No</x:v>
      </x:c>
      <x:c r="H487" s="117" t="str">
        <x:v>Flow</x:v>
      </x:c>
      <x:c r="I487" s="118" t="n">
        <x:v>52</x:v>
      </x:c>
      <x:c r="J487" s="117" t="str">
        <x:v>unmanaged</x:v>
      </x:c>
      <x:c r="K487" s="123" t="b">
        <x:v>0</x:v>
      </x:c>
      <x:c r="L487" s="117"/>
      <x:c r="M487" s="118"/>
      <x:c r="N487" s="120" t="n">
        <x:v>46137.725023148145</x:v>
      </x:c>
      <x:c r="O487" s="117" t="str">
        <x:v>Sacha Pearce</x:v>
      </x:c>
      <x:c r="P487" s="120" t="n">
        <x:v>46137.725266203706</x:v>
      </x:c>
      <x:c r="Q487" s="117" t="str">
        <x:v>Sacha Pearce</x:v>
      </x:c>
      <x:c r="R487" s="117" t="str">
        <x:v>Create Contract Line Items, Entitlements, and Work Orders V4</x:v>
      </x:c>
      <x:c r="S487" s="119" t="str">
        <x:v>25/04/2026 - SP - Adding the "Get Location of Equipment Location"  get records element. This will be used to set the Work Orders' "Address" fields.</x:v>
      </x:c>
    </x:row>
    <x:row r="488" ht="30" customHeight="1">
      <x:c r="A488" s="117" t="str">
        <x:v>Create_Contract_Line_Items_Entitlements_and_Work_Orders_V4</x:v>
      </x:c>
      <x:c r="B488" s="117" t="str">
        <x:v>3005b000000H3pgAAC</x:v>
      </x:c>
      <x:c r="C488" s="117" t="str">
        <x:v>301Ro0000145nGGIAY</x:v>
      </x:c>
      <x:c r="D488" s="118" t="n">
        <x:v>24</x:v>
      </x:c>
      <x:c r="E488" s="117" t="str">
        <x:v>Obsolete</x:v>
      </x:c>
      <x:c r="F488" s="117" t="str">
        <x:v>No</x:v>
      </x:c>
      <x:c r="G488" s="117" t="str">
        <x:v>Yes</x:v>
      </x:c>
      <x:c r="H488" s="117" t="str">
        <x:v>Flow</x:v>
      </x:c>
      <x:c r="I488" s="118" t="n">
        <x:v>52</x:v>
      </x:c>
      <x:c r="J488" s="117" t="str">
        <x:v>unmanaged</x:v>
      </x:c>
      <x:c r="K488" s="123" t="b">
        <x:v>0</x:v>
      </x:c>
      <x:c r="L488" s="117"/>
      <x:c r="M488" s="118"/>
      <x:c r="N488" s="120" t="n">
        <x:v>46137.76866898148</x:v>
      </x:c>
      <x:c r="O488" s="117" t="str">
        <x:v>Sacha Pearce</x:v>
      </x:c>
      <x:c r="P488" s="120" t="n">
        <x:v>46140.36376157407</x:v>
      </x:c>
      <x:c r="Q488" s="117" t="str">
        <x:v>Sacha Pearce</x:v>
      </x:c>
      <x:c r="R488" s="117" t="str">
        <x:v>Create Contract Line Items, Entitlements, and Work Orders V4</x:v>
      </x:c>
      <x:c r="S488" s="119" t="str">
        <x:v>25/04/2026 - SP - Adding the "Get Location of Equipment Location"  get records element. This will be used to set the Work Orders' "Address" fields.</x:v>
      </x:c>
    </x:row>
    <x:row r="489" ht="30" customHeight="1">
      <x:c r="A489" s="117" t="str">
        <x:v>Create_Core_Charge_Opportunity_from_RMA_Screen_Flow</x:v>
      </x:c>
      <x:c r="B489" s="117" t="str">
        <x:v>3005b000000LJjmAAG</x:v>
      </x:c>
      <x:c r="C489" s="117" t="str">
        <x:v>3015b000000ASObAAO</x:v>
      </x:c>
      <x:c r="D489" s="118" t="n">
        <x:v>1</x:v>
      </x:c>
      <x:c r="E489" s="117" t="str">
        <x:v>Obsolete</x:v>
      </x:c>
      <x:c r="F489" s="117" t="str">
        <x:v>No</x:v>
      </x:c>
      <x:c r="G489" s="117" t="str">
        <x:v>No</x:v>
      </x:c>
      <x:c r="H489" s="117" t="str">
        <x:v>Flow</x:v>
      </x:c>
      <x:c r="I489" s="118" t="n">
        <x:v>58</x:v>
      </x:c>
      <x:c r="J489" s="117" t="str">
        <x:v>unmanaged</x:v>
      </x:c>
      <x:c r="K489" s="123" t="b">
        <x:v>0</x:v>
      </x:c>
      <x:c r="L489" s="117"/>
      <x:c r="M489" s="118"/>
      <x:c r="N489" s="120" t="n">
        <x:v>45183.76892361111</x:v>
      </x:c>
      <x:c r="O489" s="117" t="str">
        <x:v>Jace Gentil</x:v>
      </x:c>
      <x:c r="P489" s="120" t="n">
        <x:v>45183.76944444444</x:v>
      </x:c>
      <x:c r="Q489" s="117" t="str">
        <x:v>Jace Gentil</x:v>
      </x:c>
      <x:c r="R489" s="117" t="str">
        <x:v>Create Core Charge Opportunity from RMA Screen Flow</x:v>
      </x:c>
      <x:c r="S489" s="119"/>
    </x:row>
    <x:row r="490" ht="30" customHeight="1">
      <x:c r="A490" s="117" t="str">
        <x:v>Create_Core_Charge_Opportunity_from_RMA_Screen_Flow</x:v>
      </x:c>
      <x:c r="B490" s="117" t="str">
        <x:v>3005b000000LJjmAAG</x:v>
      </x:c>
      <x:c r="C490" s="117" t="str">
        <x:v>3015b000000ASP5AAO</x:v>
      </x:c>
      <x:c r="D490" s="118" t="n">
        <x:v>2</x:v>
      </x:c>
      <x:c r="E490" s="117" t="str">
        <x:v>Obsolete</x:v>
      </x:c>
      <x:c r="F490" s="117" t="str">
        <x:v>No</x:v>
      </x:c>
      <x:c r="G490" s="117" t="str">
        <x:v>No</x:v>
      </x:c>
      <x:c r="H490" s="117" t="str">
        <x:v>Flow</x:v>
      </x:c>
      <x:c r="I490" s="118" t="n">
        <x:v>58</x:v>
      </x:c>
      <x:c r="J490" s="117" t="str">
        <x:v>unmanaged</x:v>
      </x:c>
      <x:c r="K490" s="123" t="b">
        <x:v>0</x:v>
      </x:c>
      <x:c r="L490" s="117"/>
      <x:c r="M490" s="118"/>
      <x:c r="N490" s="120" t="n">
        <x:v>45183.795625</x:v>
      </x:c>
      <x:c r="O490" s="117" t="str">
        <x:v>Jace Gentil</x:v>
      </x:c>
      <x:c r="P490" s="120" t="n">
        <x:v>45183.79568287037</x:v>
      </x:c>
      <x:c r="Q490" s="117" t="str">
        <x:v>Jace Gentil</x:v>
      </x:c>
      <x:c r="R490" s="117" t="str">
        <x:v>Create Core Charge Opportunity from RMA Screen Flow</x:v>
      </x:c>
      <x:c r="S490" s="119"/>
    </x:row>
    <x:row r="491" ht="30" customHeight="1">
      <x:c r="A491" s="117" t="str">
        <x:v>Create_Core_Charge_Opportunity_from_RMA_Screen_Flow</x:v>
      </x:c>
      <x:c r="B491" s="117" t="str">
        <x:v>3005b000000LJjmAAG</x:v>
      </x:c>
      <x:c r="C491" s="117" t="str">
        <x:v>301Ro00000MWBOqIAP</x:v>
      </x:c>
      <x:c r="D491" s="118" t="n">
        <x:v>3</x:v>
      </x:c>
      <x:c r="E491" s="117" t="str">
        <x:v>Obsolete</x:v>
      </x:c>
      <x:c r="F491" s="117" t="str">
        <x:v>No</x:v>
      </x:c>
      <x:c r="G491" s="117" t="str">
        <x:v>No</x:v>
      </x:c>
      <x:c r="H491" s="117" t="str">
        <x:v>Flow</x:v>
      </x:c>
      <x:c r="I491" s="118" t="n">
        <x:v>58</x:v>
      </x:c>
      <x:c r="J491" s="117" t="str">
        <x:v>unmanaged</x:v>
      </x:c>
      <x:c r="K491" s="123" t="b">
        <x:v>0</x:v>
      </x:c>
      <x:c r="L491" s="117"/>
      <x:c r="M491" s="118"/>
      <x:c r="N491" s="120" t="n">
        <x:v>45573.71761574074</x:v>
      </x:c>
      <x:c r="O491" s="117" t="str">
        <x:v>Jace Gentil</x:v>
      </x:c>
      <x:c r="P491" s="120" t="n">
        <x:v>45573.717673611114</x:v>
      </x:c>
      <x:c r="Q491" s="117" t="str">
        <x:v>Jace Gentil</x:v>
      </x:c>
      <x:c r="R491" s="117" t="str">
        <x:v>Create Core Charge Opportunity from RMA Screen Flow</x:v>
      </x:c>
      <x:c r="S491" s="119"/>
    </x:row>
    <x:row r="492" ht="30" customHeight="1">
      <x:c r="A492" s="117" t="str">
        <x:v>Create_Core_Charge_Opportunity_from_RMA_Screen_Flow</x:v>
      </x:c>
      <x:c r="B492" s="117" t="str">
        <x:v>3005b000000LJjmAAG</x:v>
      </x:c>
      <x:c r="C492" s="117" t="str">
        <x:v>301Ro00000TR4WgIAL</x:v>
      </x:c>
      <x:c r="D492" s="118" t="n">
        <x:v>4</x:v>
      </x:c>
      <x:c r="E492" s="117" t="str">
        <x:v>Active</x:v>
      </x:c>
      <x:c r="F492" s="117" t="str">
        <x:v>Yes</x:v>
      </x:c>
      <x:c r="G492" s="117" t="str">
        <x:v>Yes</x:v>
      </x:c>
      <x:c r="H492" s="117" t="str">
        <x:v>Flow</x:v>
      </x:c>
      <x:c r="I492" s="118" t="n">
        <x:v>58</x:v>
      </x:c>
      <x:c r="J492" s="117" t="str">
        <x:v>unmanaged</x:v>
      </x:c>
      <x:c r="K492" s="123" t="b">
        <x:v>0</x:v>
      </x:c>
      <x:c r="L492" s="117"/>
      <x:c r="M492" s="118"/>
      <x:c r="N492" s="120" t="n">
        <x:v>45693.81962962963</x:v>
      </x:c>
      <x:c r="O492" s="117" t="str">
        <x:v>Jace Gentil</x:v>
      </x:c>
      <x:c r="P492" s="120" t="n">
        <x:v>45693.8196875</x:v>
      </x:c>
      <x:c r="Q492" s="117" t="str">
        <x:v>Jace Gentil</x:v>
      </x:c>
      <x:c r="R492" s="117" t="str">
        <x:v>Create Core Charge Opportunity from RMA Screen Flow</x:v>
      </x:c>
      <x:c r="S492" s="119"/>
    </x:row>
    <x:row r="493" ht="30" customHeight="1">
      <x:c r="A493" s="117" t="str">
        <x:v>Create_core_exchange_RMAs_from_Service_Fusion</x:v>
      </x:c>
      <x:c r="B493" s="117" t="str">
        <x:v>3005b000000H2SbAAK</x:v>
      </x:c>
      <x:c r="C493" s="117" t="str">
        <x:v>3015b000000EELnAAO</x:v>
      </x:c>
      <x:c r="D493" s="118" t="n">
        <x:v>1</x:v>
      </x:c>
      <x:c r="E493" s="117" t="str">
        <x:v>Obsolete</x:v>
      </x:c>
      <x:c r="F493" s="117" t="str">
        <x:v>No</x:v>
      </x:c>
      <x:c r="G493" s="117" t="str">
        <x:v>No</x:v>
      </x:c>
      <x:c r="H493" s="117" t="str">
        <x:v>AutoLaunchedFlow</x:v>
      </x:c>
      <x:c r="I493" s="118" t="n">
        <x:v>53</x:v>
      </x:c>
      <x:c r="J493" s="117" t="str">
        <x:v>unmanaged</x:v>
      </x:c>
      <x:c r="K493" s="123" t="b">
        <x:v>0</x:v>
      </x:c>
      <x:c r="L493" s="117"/>
      <x:c r="M493" s="118"/>
      <x:c r="N493" s="120" t="n">
        <x:v>44539.16857638889</x:v>
      </x:c>
      <x:c r="O493" s="117" t="str">
        <x:v>Natalie Boger</x:v>
      </x:c>
      <x:c r="P493" s="120" t="n">
        <x:v>44539.16861111111</x:v>
      </x:c>
      <x:c r="Q493" s="117" t="str">
        <x:v>Natalie Boger</x:v>
      </x:c>
      <x:c r="R493" s="117" t="str">
        <x:v>Create core exchange RMAs from Service Fusion</x:v>
      </x:c>
      <x:c r="S493" s="119"/>
    </x:row>
    <x:row r="494" ht="30" customHeight="1">
      <x:c r="A494" s="117" t="str">
        <x:v>Create_core_exchange_RMAs_from_Service_Fusion</x:v>
      </x:c>
      <x:c r="B494" s="117" t="str">
        <x:v>3005b000000H2SbAAK</x:v>
      </x:c>
      <x:c r="C494" s="117" t="str">
        <x:v>3015b000000EELxAAO</x:v>
      </x:c>
      <x:c r="D494" s="118" t="n">
        <x:v>2</x:v>
      </x:c>
      <x:c r="E494" s="117" t="str">
        <x:v>Obsolete</x:v>
      </x:c>
      <x:c r="F494" s="117" t="str">
        <x:v>No</x:v>
      </x:c>
      <x:c r="G494" s="117" t="str">
        <x:v>No</x:v>
      </x:c>
      <x:c r="H494" s="117" t="str">
        <x:v>AutoLaunchedFlow</x:v>
      </x:c>
      <x:c r="I494" s="118" t="n">
        <x:v>53</x:v>
      </x:c>
      <x:c r="J494" s="117" t="str">
        <x:v>unmanaged</x:v>
      </x:c>
      <x:c r="K494" s="123" t="b">
        <x:v>0</x:v>
      </x:c>
      <x:c r="L494" s="117"/>
      <x:c r="M494" s="118"/>
      <x:c r="N494" s="120" t="n">
        <x:v>44539.17318287037</x:v>
      </x:c>
      <x:c r="O494" s="117" t="str">
        <x:v>Natalie Boger</x:v>
      </x:c>
      <x:c r="P494" s="120" t="n">
        <x:v>44539.17321759259</x:v>
      </x:c>
      <x:c r="Q494" s="117" t="str">
        <x:v>Natalie Boger</x:v>
      </x:c>
      <x:c r="R494" s="117" t="str">
        <x:v>Create core exchange RMAs from Service Fusion</x:v>
      </x:c>
      <x:c r="S494" s="119"/>
    </x:row>
    <x:row r="495" ht="30" customHeight="1">
      <x:c r="A495" s="117" t="str">
        <x:v>Create_core_exchange_RMAs_from_Service_Fusion</x:v>
      </x:c>
      <x:c r="B495" s="117" t="str">
        <x:v>3005b000000H2SbAAK</x:v>
      </x:c>
      <x:c r="C495" s="117" t="str">
        <x:v>301Ro00000jNWbZIAW</x:v>
      </x:c>
      <x:c r="D495" s="118" t="n">
        <x:v>3</x:v>
      </x:c>
      <x:c r="E495" s="117" t="str">
        <x:v>Active</x:v>
      </x:c>
      <x:c r="F495" s="117" t="str">
        <x:v>Yes</x:v>
      </x:c>
      <x:c r="G495" s="117" t="str">
        <x:v>Yes</x:v>
      </x:c>
      <x:c r="H495" s="117" t="str">
        <x:v>AutoLaunchedFlow</x:v>
      </x:c>
      <x:c r="I495" s="118" t="n">
        <x:v>53</x:v>
      </x:c>
      <x:c r="J495" s="117" t="str">
        <x:v>unmanaged</x:v>
      </x:c>
      <x:c r="K495" s="123" t="b">
        <x:v>0</x:v>
      </x:c>
      <x:c r="L495" s="117"/>
      <x:c r="M495" s="118"/>
      <x:c r="N495" s="120" t="n">
        <x:v>45894.61210648148</x:v>
      </x:c>
      <x:c r="O495" s="117" t="str">
        <x:v>Delegate</x:v>
      </x:c>
      <x:c r="P495" s="120" t="n">
        <x:v>45894.61216435185</x:v>
      </x:c>
      <x:c r="Q495" s="117" t="str">
        <x:v>Delegate</x:v>
      </x:c>
      <x:c r="R495" s="117" t="str">
        <x:v>Create core exchange RMAs from Service Fusion</x:v>
      </x:c>
      <x:c r="S495" s="119" t="str">
        <x:v>08/25/2025 (BW) - Updated the layout to the auto-layout</x:v>
      </x:c>
    </x:row>
    <x:row r="496" ht="30" customHeight="1">
      <x:c r="A496" s="117" t="str">
        <x:v>Create_Credit_Memo_From_Invoice</x:v>
      </x:c>
      <x:c r="B496" s="117" t="str">
        <x:v>300Ro00000NaN2WIAV</x:v>
      </x:c>
      <x:c r="C496" s="117" t="str">
        <x:v>301Ro00000PzHwsIAF</x:v>
      </x:c>
      <x:c r="D496" s="118" t="n">
        <x:v>1</x:v>
      </x:c>
      <x:c r="E496" s="117" t="str">
        <x:v>Obsolete</x:v>
      </x:c>
      <x:c r="F496" s="117" t="str">
        <x:v>No</x:v>
      </x:c>
      <x:c r="G496" s="117" t="str">
        <x:v>No</x:v>
      </x:c>
      <x:c r="H496" s="117" t="str">
        <x:v>Flow</x:v>
      </x:c>
      <x:c r="I496" s="118" t="n">
        <x:v>62</x:v>
      </x:c>
      <x:c r="J496" s="117" t="str">
        <x:v>unmanaged</x:v>
      </x:c>
      <x:c r="K496" s="123" t="b">
        <x:v>0</x:v>
      </x:c>
      <x:c r="L496" s="117"/>
      <x:c r="M496" s="118"/>
      <x:c r="N496" s="120" t="n">
        <x:v>45631.609872685185</x:v>
      </x:c>
      <x:c r="O496" s="117" t="str">
        <x:v>Delegate</x:v>
      </x:c>
      <x:c r="P496" s="120" t="n">
        <x:v>45631.61949074074</x:v>
      </x:c>
      <x:c r="Q496" s="117" t="str">
        <x:v>Delegate</x:v>
      </x:c>
      <x:c r="R496" s="117" t="str">
        <x:v>Create Credit Memo From Invoice</x:v>
      </x:c>
      <x:c r="S496" s="119" t="str">
        <x:v>12/3/2024 - CDM - Created new flow to eliminate pop up of default new record creation.</x:v>
      </x:c>
    </x:row>
    <x:row r="497" ht="30" customHeight="1">
      <x:c r="A497" s="117" t="str">
        <x:v>Create_Credit_Memo_From_Invoice</x:v>
      </x:c>
      <x:c r="B497" s="117" t="str">
        <x:v>300Ro00000NaN2WIAV</x:v>
      </x:c>
      <x:c r="C497" s="117" t="str">
        <x:v>301Ro00000QKBUzIAP</x:v>
      </x:c>
      <x:c r="D497" s="118" t="n">
        <x:v>2</x:v>
      </x:c>
      <x:c r="E497" s="117" t="str">
        <x:v>Obsolete</x:v>
      </x:c>
      <x:c r="F497" s="117" t="str">
        <x:v>No</x:v>
      </x:c>
      <x:c r="G497" s="117" t="str">
        <x:v>No</x:v>
      </x:c>
      <x:c r="H497" s="117" t="str">
        <x:v>Flow</x:v>
      </x:c>
      <x:c r="I497" s="118" t="n">
        <x:v>62</x:v>
      </x:c>
      <x:c r="J497" s="117" t="str">
        <x:v>unmanaged</x:v>
      </x:c>
      <x:c r="K497" s="123" t="b">
        <x:v>0</x:v>
      </x:c>
      <x:c r="L497" s="117"/>
      <x:c r="M497" s="118"/>
      <x:c r="N497" s="120" t="n">
        <x:v>45637.57418981481</x:v>
      </x:c>
      <x:c r="O497" s="117" t="str">
        <x:v>Delegate</x:v>
      </x:c>
      <x:c r="P497" s="120" t="n">
        <x:v>45637.57423611111</x:v>
      </x:c>
      <x:c r="Q497" s="117" t="str">
        <x:v>Delegate</x:v>
      </x:c>
      <x:c r="R497" s="117" t="str">
        <x:v>Create Credit Memo From Invoice</x:v>
      </x:c>
      <x:c r="S497" s="119" t="str">
        <x:v>12/11/2024 - CDM - Updated URL link to prod</x:v>
      </x:c>
    </x:row>
    <x:row r="498" ht="30" customHeight="1">
      <x:c r="A498" s="117" t="str">
        <x:v>Create_Credit_Memo_From_Invoice</x:v>
      </x:c>
      <x:c r="B498" s="117" t="str">
        <x:v>300Ro00000NaN2WIAV</x:v>
      </x:c>
      <x:c r="C498" s="117" t="str">
        <x:v>301Ro00000QK8nNIAT</x:v>
      </x:c>
      <x:c r="D498" s="118" t="n">
        <x:v>3</x:v>
      </x:c>
      <x:c r="E498" s="117" t="str">
        <x:v>Obsolete</x:v>
      </x:c>
      <x:c r="F498" s="117" t="str">
        <x:v>No</x:v>
      </x:c>
      <x:c r="G498" s="117" t="str">
        <x:v>No</x:v>
      </x:c>
      <x:c r="H498" s="117" t="str">
        <x:v>Flow</x:v>
      </x:c>
      <x:c r="I498" s="118" t="n">
        <x:v>62</x:v>
      </x:c>
      <x:c r="J498" s="117" t="str">
        <x:v>unmanaged</x:v>
      </x:c>
      <x:c r="K498" s="123" t="b">
        <x:v>0</x:v>
      </x:c>
      <x:c r="L498" s="117"/>
      <x:c r="M498" s="118"/>
      <x:c r="N498" s="120" t="n">
        <x:v>45637.62056712963</x:v>
      </x:c>
      <x:c r="O498" s="117" t="str">
        <x:v>Delegate</x:v>
      </x:c>
      <x:c r="P498" s="120" t="n">
        <x:v>45637.621932870374</x:v>
      </x:c>
      <x:c r="Q498" s="117" t="str">
        <x:v>Delegate</x:v>
      </x:c>
      <x:c r="R498" s="117" t="str">
        <x:v>Create Credit Memo From Invoice</x:v>
      </x:c>
      <x:c r="S498" s="119" t="str">
        <x:v>12/11/2024 - CDM - Updated URL link to prod again</x:v>
      </x:c>
    </x:row>
    <x:row r="499" ht="30" customHeight="1">
      <x:c r="A499" s="117" t="str">
        <x:v>Create_Credit_Memo_From_Invoice</x:v>
      </x:c>
      <x:c r="B499" s="117" t="str">
        <x:v>300Ro00000NaN2WIAV</x:v>
      </x:c>
      <x:c r="C499" s="117" t="str">
        <x:v>301Ro00000QKXH4IAP</x:v>
      </x:c>
      <x:c r="D499" s="118" t="n">
        <x:v>4</x:v>
      </x:c>
      <x:c r="E499" s="117" t="str">
        <x:v>Draft</x:v>
      </x:c>
      <x:c r="F499" s="117" t="str">
        <x:v>No</x:v>
      </x:c>
      <x:c r="G499" s="117" t="str">
        <x:v>No</x:v>
      </x:c>
      <x:c r="H499" s="117" t="str">
        <x:v>Flow</x:v>
      </x:c>
      <x:c r="I499" s="118" t="n">
        <x:v>62</x:v>
      </x:c>
      <x:c r="J499" s="117" t="str">
        <x:v>unmanaged</x:v>
      </x:c>
      <x:c r="K499" s="123" t="b">
        <x:v>0</x:v>
      </x:c>
      <x:c r="L499" s="117"/>
      <x:c r="M499" s="118"/>
      <x:c r="N499" s="120" t="n">
        <x:v>45637.641909722224</x:v>
      </x:c>
      <x:c r="O499" s="117" t="str">
        <x:v>Delegate</x:v>
      </x:c>
      <x:c r="P499" s="120" t="n">
        <x:v>45637.64193287037</x:v>
      </x:c>
      <x:c r="Q499" s="117" t="str">
        <x:v>Delegate</x:v>
      </x:c>
      <x:c r="R499" s="117" t="str">
        <x:v>Create Credit Memo From Invoice</x:v>
      </x:c>
      <x:c r="S499" s="119" t="str">
        <x:v>12/11/2024 - CDM - Added button to return back to triggering record instead of the finish button</x:v>
      </x:c>
    </x:row>
    <x:row r="500" ht="30" customHeight="1">
      <x:c r="A500" s="117" t="str">
        <x:v>Create_Credit_Memo_From_Invoice</x:v>
      </x:c>
      <x:c r="B500" s="117" t="str">
        <x:v>300Ro00000NaN2WIAV</x:v>
      </x:c>
      <x:c r="C500" s="117" t="str">
        <x:v>301Ro00000QR1XJIA1</x:v>
      </x:c>
      <x:c r="D500" s="118" t="n">
        <x:v>5</x:v>
      </x:c>
      <x:c r="E500" s="117" t="str">
        <x:v>Obsolete</x:v>
      </x:c>
      <x:c r="F500" s="117" t="str">
        <x:v>No</x:v>
      </x:c>
      <x:c r="G500" s="117" t="str">
        <x:v>No</x:v>
      </x:c>
      <x:c r="H500" s="117" t="str">
        <x:v>Flow</x:v>
      </x:c>
      <x:c r="I500" s="118" t="n">
        <x:v>62</x:v>
      </x:c>
      <x:c r="J500" s="117" t="str">
        <x:v>unmanaged</x:v>
      </x:c>
      <x:c r="K500" s="123" t="b">
        <x:v>0</x:v>
      </x:c>
      <x:c r="L500" s="117"/>
      <x:c r="M500" s="118"/>
      <x:c r="N500" s="120" t="n">
        <x:v>45638.94289351852</x:v>
      </x:c>
      <x:c r="O500" s="117" t="str">
        <x:v>Delegate</x:v>
      </x:c>
      <x:c r="P500" s="120" t="n">
        <x:v>45638.94583333333</x:v>
      </x:c>
      <x:c r="Q500" s="117" t="str">
        <x:v>Delegate</x:v>
      </x:c>
      <x:c r="R500" s="117" t="str">
        <x:v>Create Credit Memo From Invoice</x:v>
      </x:c>
      <x:c r="S500" s="119" t="str">
        <x:v>12/12/2024 - CDM - Created new decision and variables to allow for Invoice creation from Account and Opp buttons</x:v>
      </x:c>
    </x:row>
    <x:row r="501" ht="30" customHeight="1">
      <x:c r="A501" s="117" t="str">
        <x:v>Create_Credit_Memo_From_Invoice</x:v>
      </x:c>
      <x:c r="B501" s="117" t="str">
        <x:v>300Ro00000NaN2WIAV</x:v>
      </x:c>
      <x:c r="C501" s="117" t="str">
        <x:v>301Ro00000pbslmIAA</x:v>
      </x:c>
      <x:c r="D501" s="118" t="n">
        <x:v>6</x:v>
      </x:c>
      <x:c r="E501" s="117" t="str">
        <x:v>Draft</x:v>
      </x:c>
      <x:c r="F501" s="117" t="str">
        <x:v>No</x:v>
      </x:c>
      <x:c r="G501" s="117" t="str">
        <x:v>No</x:v>
      </x:c>
      <x:c r="H501" s="117" t="str">
        <x:v>Flow</x:v>
      </x:c>
      <x:c r="I501" s="118" t="n">
        <x:v>62</x:v>
      </x:c>
      <x:c r="J501" s="117" t="str">
        <x:v>unmanaged</x:v>
      </x:c>
      <x:c r="K501" s="123" t="b">
        <x:v>0</x:v>
      </x:c>
      <x:c r="L501" s="117"/>
      <x:c r="M501" s="118"/>
      <x:c r="N501" s="120" t="n">
        <x:v>45947.483564814815</x:v>
      </x:c>
      <x:c r="O501" s="117" t="str">
        <x:v>Delegate</x:v>
      </x:c>
      <x:c r="P501" s="120" t="n">
        <x:v>45947.48358796296</x:v>
      </x:c>
      <x:c r="Q501" s="117" t="str">
        <x:v>Delegate</x:v>
      </x:c>
      <x:c r="R501" s="117" t="str">
        <x:v>Create Credit Memo From Invoice</x:v>
      </x:c>
      <x:c r="S501" s="119" t="str">
        <x:v>01/17/2025 (BW) - Updated how the currency gets pulled into a credit memo upon creation</x:v>
      </x:c>
    </x:row>
    <x:row r="502" ht="30" customHeight="1">
      <x:c r="A502" s="117" t="str">
        <x:v>Create_Credit_Memo_From_Invoice</x:v>
      </x:c>
      <x:c r="B502" s="117" t="str">
        <x:v>300Ro00000NaN2WIAV</x:v>
      </x:c>
      <x:c r="C502" s="117" t="str">
        <x:v>301Ro00000rOzYTIA0</x:v>
      </x:c>
      <x:c r="D502" s="118" t="n">
        <x:v>7</x:v>
      </x:c>
      <x:c r="E502" s="117" t="str">
        <x:v>Draft</x:v>
      </x:c>
      <x:c r="F502" s="117" t="str">
        <x:v>No</x:v>
      </x:c>
      <x:c r="G502" s="117" t="str">
        <x:v>No</x:v>
      </x:c>
      <x:c r="H502" s="117" t="str">
        <x:v>Flow</x:v>
      </x:c>
      <x:c r="I502" s="118" t="n">
        <x:v>62</x:v>
      </x:c>
      <x:c r="J502" s="117" t="str">
        <x:v>unmanaged</x:v>
      </x:c>
      <x:c r="K502" s="123" t="b">
        <x:v>0</x:v>
      </x:c>
      <x:c r="L502" s="117"/>
      <x:c r="M502" s="118"/>
      <x:c r="N502" s="120" t="n">
        <x:v>45961.51390046296</x:v>
      </x:c>
      <x:c r="O502" s="117" t="str">
        <x:v>Delegate</x:v>
      </x:c>
      <x:c r="P502" s="120" t="n">
        <x:v>45961.51392361111</x:v>
      </x:c>
      <x:c r="Q502" s="117" t="str">
        <x:v>Delegate</x:v>
      </x:c>
      <x:c r="R502" s="117" t="str">
        <x:v>Create Credit Memo From Invoice</x:v>
      </x:c>
      <x:c r="S502" s="119" t="str">
        <x:v>10/31/2025 (BW) - Update to ask for intacct account upon creation if the user knows which account it should go to. Get this information up-front.</x:v>
      </x:c>
    </x:row>
    <x:row r="503" ht="30" customHeight="1">
      <x:c r="A503" s="117" t="str">
        <x:v>Create_Credit_Memo_From_Invoice</x:v>
      </x:c>
      <x:c r="B503" s="117" t="str">
        <x:v>300Ro00000NaN2WIAV</x:v>
      </x:c>
      <x:c r="C503" s="117" t="str">
        <x:v>301Ro00000uzPMFIA2</x:v>
      </x:c>
      <x:c r="D503" s="118" t="n">
        <x:v>8</x:v>
      </x:c>
      <x:c r="E503" s="117" t="str">
        <x:v>Obsolete</x:v>
      </x:c>
      <x:c r="F503" s="117" t="str">
        <x:v>No</x:v>
      </x:c>
      <x:c r="G503" s="117" t="str">
        <x:v>No</x:v>
      </x:c>
      <x:c r="H503" s="117" t="str">
        <x:v>Flow</x:v>
      </x:c>
      <x:c r="I503" s="118" t="n">
        <x:v>62</x:v>
      </x:c>
      <x:c r="J503" s="117" t="str">
        <x:v>unmanaged</x:v>
      </x:c>
      <x:c r="K503" s="123" t="b">
        <x:v>0</x:v>
      </x:c>
      <x:c r="L503" s="117"/>
      <x:c r="M503" s="118"/>
      <x:c r="N503" s="120" t="n">
        <x:v>46022.998020833336</x:v>
      </x:c>
      <x:c r="O503" s="117" t="str">
        <x:v>Delegate</x:v>
      </x:c>
      <x:c r="P503" s="120" t="n">
        <x:v>46023.00104166667</x:v>
      </x:c>
      <x:c r="Q503" s="117" t="str">
        <x:v>Delegate</x:v>
      </x:c>
      <x:c r="R503" s="117" t="str">
        <x:v>Create Credit Memo From Invoice</x:v>
      </x:c>
      <x:c r="S503" s="119" t="str">
        <x:v>12/31/2025 (BW) - Updating to give an option to send the credit memo to the client or not</x:v>
      </x:c>
    </x:row>
    <x:row r="504" ht="30" customHeight="1">
      <x:c r="A504" s="117" t="str">
        <x:v>Create_Credit_Memo_From_Invoice</x:v>
      </x:c>
      <x:c r="B504" s="117" t="str">
        <x:v>300Ro00000NaN2WIAV</x:v>
      </x:c>
      <x:c r="C504" s="117" t="str">
        <x:v>301Ro00000v2fELIAY</x:v>
      </x:c>
      <x:c r="D504" s="118" t="n">
        <x:v>9</x:v>
      </x:c>
      <x:c r="E504" s="117" t="str">
        <x:v>Active</x:v>
      </x:c>
      <x:c r="F504" s="117" t="str">
        <x:v>Yes</x:v>
      </x:c>
      <x:c r="G504" s="117" t="str">
        <x:v>Yes</x:v>
      </x:c>
      <x:c r="H504" s="117" t="str">
        <x:v>Flow</x:v>
      </x:c>
      <x:c r="I504" s="118" t="n">
        <x:v>62</x:v>
      </x:c>
      <x:c r="J504" s="117" t="str">
        <x:v>unmanaged</x:v>
      </x:c>
      <x:c r="K504" s="123" t="b">
        <x:v>0</x:v>
      </x:c>
      <x:c r="L504" s="117"/>
      <x:c r="M504" s="118"/>
      <x:c r="N504" s="120" t="n">
        <x:v>46024.63523148148</x:v>
      </x:c>
      <x:c r="O504" s="117" t="str">
        <x:v>Delegate</x:v>
      </x:c>
      <x:c r="P504" s="120" t="n">
        <x:v>46024.63532407407</x:v>
      </x:c>
      <x:c r="Q504" s="117" t="str">
        <x:v>Delegate</x:v>
      </x:c>
      <x:c r="R504" s="117" t="str">
        <x:v>Create Credit Memo From Invoice</x:v>
      </x:c>
      <x:c r="S504" s="119" t="str">
        <x:v>12/31/2025 (BW) - Updating the Verbiage to be On-Approval</x:v>
      </x:c>
    </x:row>
    <x:row r="505" ht="30" customHeight="1">
      <x:c r="A505" s="117" t="str">
        <x:v>Create_External_Repair_Testing_Opp_from_PO</x:v>
      </x:c>
      <x:c r="B505" s="117" t="str">
        <x:v>300Ro00000B07T3IAJ</x:v>
      </x:c>
      <x:c r="C505" s="117" t="str">
        <x:v>301Ro00000C39LCIAZ</x:v>
      </x:c>
      <x:c r="D505" s="118" t="n">
        <x:v>1</x:v>
      </x:c>
      <x:c r="E505" s="117" t="str">
        <x:v>Obsolete</x:v>
      </x:c>
      <x:c r="F505" s="117" t="str">
        <x:v>No</x:v>
      </x:c>
      <x:c r="G505" s="117" t="str">
        <x:v>No</x:v>
      </x:c>
      <x:c r="H505" s="117" t="str">
        <x:v>Flow</x:v>
      </x:c>
      <x:c r="I505" s="118" t="n">
        <x:v>56</x:v>
      </x:c>
      <x:c r="J505" s="117" t="str">
        <x:v>unmanaged</x:v>
      </x:c>
      <x:c r="K505" s="123" t="b">
        <x:v>0</x:v>
      </x:c>
      <x:c r="L505" s="117"/>
      <x:c r="M505" s="118"/>
      <x:c r="N505" s="120" t="n">
        <x:v>45414.23440972222</x:v>
      </x:c>
      <x:c r="O505" s="117" t="str">
        <x:v>Jace Gentil</x:v>
      </x:c>
      <x:c r="P505" s="120" t="n">
        <x:v>45414.23447916667</x:v>
      </x:c>
      <x:c r="Q505" s="117" t="str">
        <x:v>Jace Gentil</x:v>
      </x:c>
      <x:c r="R505" s="117" t="str">
        <x:v>Create External Repair Testing Opp from PO</x:v>
      </x:c>
      <x:c r="S505" s="119"/>
    </x:row>
    <x:row r="506" ht="30" customHeight="1">
      <x:c r="A506" s="117" t="str">
        <x:v>Create_External_Repair_Testing_Opp_from_PO</x:v>
      </x:c>
      <x:c r="B506" s="117" t="str">
        <x:v>300Ro00000B07T3IAJ</x:v>
      </x:c>
      <x:c r="C506" s="117" t="str">
        <x:v>301Ro00000C3AbzIAF</x:v>
      </x:c>
      <x:c r="D506" s="118" t="n">
        <x:v>2</x:v>
      </x:c>
      <x:c r="E506" s="117" t="str">
        <x:v>Obsolete</x:v>
      </x:c>
      <x:c r="F506" s="117" t="str">
        <x:v>No</x:v>
      </x:c>
      <x:c r="G506" s="117" t="str">
        <x:v>No</x:v>
      </x:c>
      <x:c r="H506" s="117" t="str">
        <x:v>Flow</x:v>
      </x:c>
      <x:c r="I506" s="118" t="n">
        <x:v>56</x:v>
      </x:c>
      <x:c r="J506" s="117" t="str">
        <x:v>unmanaged</x:v>
      </x:c>
      <x:c r="K506" s="123" t="b">
        <x:v>0</x:v>
      </x:c>
      <x:c r="L506" s="117"/>
      <x:c r="M506" s="118"/>
      <x:c r="N506" s="120" t="n">
        <x:v>45414.271689814814</x:v>
      </x:c>
      <x:c r="O506" s="117" t="str">
        <x:v>Jace Gentil</x:v>
      </x:c>
      <x:c r="P506" s="120" t="n">
        <x:v>45414.27174768518</x:v>
      </x:c>
      <x:c r="Q506" s="117" t="str">
        <x:v>Jace Gentil</x:v>
      </x:c>
      <x:c r="R506" s="117" t="str">
        <x:v>Create External Repair Testing Opp from PO</x:v>
      </x:c>
      <x:c r="S506" s="119"/>
    </x:row>
    <x:row r="507" ht="30" customHeight="1">
      <x:c r="A507" s="117" t="str">
        <x:v>Create_External_Repair_Testing_Opp_from_PO</x:v>
      </x:c>
      <x:c r="B507" s="117" t="str">
        <x:v>300Ro00000B07T3IAJ</x:v>
      </x:c>
      <x:c r="C507" s="117" t="str">
        <x:v>301Ro00000C3HwgIAF</x:v>
      </x:c>
      <x:c r="D507" s="118" t="n">
        <x:v>3</x:v>
      </x:c>
      <x:c r="E507" s="117" t="str">
        <x:v>Obsolete</x:v>
      </x:c>
      <x:c r="F507" s="117" t="str">
        <x:v>No</x:v>
      </x:c>
      <x:c r="G507" s="117" t="str">
        <x:v>No</x:v>
      </x:c>
      <x:c r="H507" s="117" t="str">
        <x:v>Flow</x:v>
      </x:c>
      <x:c r="I507" s="118" t="n">
        <x:v>56</x:v>
      </x:c>
      <x:c r="J507" s="117" t="str">
        <x:v>unmanaged</x:v>
      </x:c>
      <x:c r="K507" s="123" t="b">
        <x:v>0</x:v>
      </x:c>
      <x:c r="L507" s="117"/>
      <x:c r="M507" s="118"/>
      <x:c r="N507" s="120" t="n">
        <x:v>45414.2728125</x:v>
      </x:c>
      <x:c r="O507" s="117" t="str">
        <x:v>Jace Gentil</x:v>
      </x:c>
      <x:c r="P507" s="120" t="n">
        <x:v>45414.27284722222</x:v>
      </x:c>
      <x:c r="Q507" s="117" t="str">
        <x:v>Jace Gentil</x:v>
      </x:c>
      <x:c r="R507" s="117" t="str">
        <x:v>Create External Repair Testing Opp from PO</x:v>
      </x:c>
      <x:c r="S507" s="119"/>
    </x:row>
    <x:row r="508" ht="30" customHeight="1">
      <x:c r="A508" s="117" t="str">
        <x:v>Create_External_Repair_Testing_Opp_from_PO</x:v>
      </x:c>
      <x:c r="B508" s="117" t="str">
        <x:v>300Ro00000B07T3IAJ</x:v>
      </x:c>
      <x:c r="C508" s="117" t="str">
        <x:v>301Ro00000C3BrdIAF</x:v>
      </x:c>
      <x:c r="D508" s="118" t="n">
        <x:v>4</x:v>
      </x:c>
      <x:c r="E508" s="117" t="str">
        <x:v>Obsolete</x:v>
      </x:c>
      <x:c r="F508" s="117" t="str">
        <x:v>No</x:v>
      </x:c>
      <x:c r="G508" s="117" t="str">
        <x:v>No</x:v>
      </x:c>
      <x:c r="H508" s="117" t="str">
        <x:v>Flow</x:v>
      </x:c>
      <x:c r="I508" s="118" t="n">
        <x:v>56</x:v>
      </x:c>
      <x:c r="J508" s="117" t="str">
        <x:v>unmanaged</x:v>
      </x:c>
      <x:c r="K508" s="123" t="b">
        <x:v>0</x:v>
      </x:c>
      <x:c r="L508" s="117"/>
      <x:c r="M508" s="118"/>
      <x:c r="N508" s="120" t="n">
        <x:v>45414.27523148148</x:v>
      </x:c>
      <x:c r="O508" s="117" t="str">
        <x:v>Jace Gentil</x:v>
      </x:c>
      <x:c r="P508" s="120" t="n">
        <x:v>45414.2752662037</x:v>
      </x:c>
      <x:c r="Q508" s="117" t="str">
        <x:v>Jace Gentil</x:v>
      </x:c>
      <x:c r="R508" s="117" t="str">
        <x:v>Create External Repair Testing Opp from PO</x:v>
      </x:c>
      <x:c r="S508" s="119"/>
    </x:row>
    <x:row r="509" ht="30" customHeight="1">
      <x:c r="A509" s="117" t="str">
        <x:v>Create_External_Repair_Testing_Opp_from_PO</x:v>
      </x:c>
      <x:c r="B509" s="117" t="str">
        <x:v>300Ro00000B07T3IAJ</x:v>
      </x:c>
      <x:c r="C509" s="117" t="str">
        <x:v>301Ro00000C3DTKIA3</x:v>
      </x:c>
      <x:c r="D509" s="118" t="n">
        <x:v>5</x:v>
      </x:c>
      <x:c r="E509" s="117" t="str">
        <x:v>Obsolete</x:v>
      </x:c>
      <x:c r="F509" s="117" t="str">
        <x:v>No</x:v>
      </x:c>
      <x:c r="G509" s="117" t="str">
        <x:v>No</x:v>
      </x:c>
      <x:c r="H509" s="117" t="str">
        <x:v>Flow</x:v>
      </x:c>
      <x:c r="I509" s="118" t="n">
        <x:v>56</x:v>
      </x:c>
      <x:c r="J509" s="117" t="str">
        <x:v>unmanaged</x:v>
      </x:c>
      <x:c r="K509" s="123" t="b">
        <x:v>0</x:v>
      </x:c>
      <x:c r="L509" s="117"/>
      <x:c r="M509" s="118"/>
      <x:c r="N509" s="120" t="n">
        <x:v>45414.28091435185</x:v>
      </x:c>
      <x:c r="O509" s="117" t="str">
        <x:v>Jace Gentil</x:v>
      </x:c>
      <x:c r="P509" s="120" t="n">
        <x:v>45414.2809837963</x:v>
      </x:c>
      <x:c r="Q509" s="117" t="str">
        <x:v>Jace Gentil</x:v>
      </x:c>
      <x:c r="R509" s="117" t="str">
        <x:v>Create External Repair Testing Opp from PO</x:v>
      </x:c>
      <x:c r="S509" s="119"/>
    </x:row>
    <x:row r="510" ht="30" customHeight="1">
      <x:c r="A510" s="117" t="str">
        <x:v>Create_External_Repair_Testing_Opp_from_PO</x:v>
      </x:c>
      <x:c r="B510" s="117" t="str">
        <x:v>300Ro00000B07T3IAJ</x:v>
      </x:c>
      <x:c r="C510" s="117" t="str">
        <x:v>301Ro00000C3KePIAV</x:v>
      </x:c>
      <x:c r="D510" s="118" t="n">
        <x:v>6</x:v>
      </x:c>
      <x:c r="E510" s="117" t="str">
        <x:v>Obsolete</x:v>
      </x:c>
      <x:c r="F510" s="117" t="str">
        <x:v>No</x:v>
      </x:c>
      <x:c r="G510" s="117" t="str">
        <x:v>No</x:v>
      </x:c>
      <x:c r="H510" s="117" t="str">
        <x:v>Flow</x:v>
      </x:c>
      <x:c r="I510" s="118" t="n">
        <x:v>56</x:v>
      </x:c>
      <x:c r="J510" s="117" t="str">
        <x:v>unmanaged</x:v>
      </x:c>
      <x:c r="K510" s="123" t="b">
        <x:v>0</x:v>
      </x:c>
      <x:c r="L510" s="117"/>
      <x:c r="M510" s="118"/>
      <x:c r="N510" s="120" t="n">
        <x:v>45414.28537037037</x:v>
      </x:c>
      <x:c r="O510" s="117" t="str">
        <x:v>Jace Gentil</x:v>
      </x:c>
      <x:c r="P510" s="120" t="n">
        <x:v>45414.28766203704</x:v>
      </x:c>
      <x:c r="Q510" s="117" t="str">
        <x:v>Jace Gentil</x:v>
      </x:c>
      <x:c r="R510" s="117" t="str">
        <x:v>Create External Repair Testing Opp from PO</x:v>
      </x:c>
      <x:c r="S510" s="119"/>
    </x:row>
    <x:row r="511" ht="30" customHeight="1">
      <x:c r="A511" s="117" t="str">
        <x:v>Create_External_Repair_Testing_Opp_from_PO</x:v>
      </x:c>
      <x:c r="B511" s="117" t="str">
        <x:v>300Ro00000B07T3IAJ</x:v>
      </x:c>
      <x:c r="C511" s="117" t="str">
        <x:v>301Ro00000CoIpVIAV</x:v>
      </x:c>
      <x:c r="D511" s="118" t="n">
        <x:v>7</x:v>
      </x:c>
      <x:c r="E511" s="117" t="str">
        <x:v>Active</x:v>
      </x:c>
      <x:c r="F511" s="117" t="str">
        <x:v>Yes</x:v>
      </x:c>
      <x:c r="G511" s="117" t="str">
        <x:v>Yes</x:v>
      </x:c>
      <x:c r="H511" s="117" t="str">
        <x:v>Flow</x:v>
      </x:c>
      <x:c r="I511" s="118" t="n">
        <x:v>56</x:v>
      </x:c>
      <x:c r="J511" s="117" t="str">
        <x:v>unmanaged</x:v>
      </x:c>
      <x:c r="K511" s="123" t="b">
        <x:v>0</x:v>
      </x:c>
      <x:c r="L511" s="117"/>
      <x:c r="M511" s="118"/>
      <x:c r="N511" s="120" t="n">
        <x:v>45426.763402777775</x:v>
      </x:c>
      <x:c r="O511" s="117" t="str">
        <x:v>Jace Gentil</x:v>
      </x:c>
      <x:c r="P511" s="120" t="n">
        <x:v>45426.76349537037</x:v>
      </x:c>
      <x:c r="Q511" s="117" t="str">
        <x:v>Jace Gentil</x:v>
      </x:c>
      <x:c r="R511" s="117" t="str">
        <x:v>Create External Repair Testing Opp from PO</x:v>
      </x:c>
      <x:c r="S511" s="119"/>
    </x:row>
    <x:row r="512" ht="30" customHeight="1">
      <x:c r="A512" s="117" t="str">
        <x:v>Create_Field_Service_Work_Order_in_Salesforce</x:v>
      </x:c>
      <x:c r="B512" s="117" t="str">
        <x:v>300Ro00000kseeBIAQ</x:v>
      </x:c>
      <x:c r="C512" s="117" t="str">
        <x:v>301Ro00000tnEs5IAE</x:v>
      </x:c>
      <x:c r="D512" s="118" t="n">
        <x:v>3</x:v>
      </x:c>
      <x:c r="E512" s="117" t="str">
        <x:v>Obsolete</x:v>
      </x:c>
      <x:c r="F512" s="117" t="str">
        <x:v>No</x:v>
      </x:c>
      <x:c r="G512" s="117" t="str">
        <x:v>No</x:v>
      </x:c>
      <x:c r="H512" s="117" t="str">
        <x:v>Flow</x:v>
      </x:c>
      <x:c r="I512" s="118" t="n">
        <x:v>65</x:v>
      </x:c>
      <x:c r="J512" s="117" t="str">
        <x:v>unmanaged</x:v>
      </x:c>
      <x:c r="K512" s="123" t="b">
        <x:v>0</x:v>
      </x:c>
      <x:c r="L512" s="117"/>
      <x:c r="M512" s="118"/>
      <x:c r="N512" s="120" t="n">
        <x:v>46000.61944444444</x:v>
      </x:c>
      <x:c r="O512" s="117" t="str">
        <x:v>Delegate</x:v>
      </x:c>
      <x:c r="P512" s="120" t="n">
        <x:v>46000.62012731482</x:v>
      </x:c>
      <x:c r="Q512" s="117" t="str">
        <x:v>Delegate</x:v>
      </x:c>
      <x:c r="R512" s="117" t="str">
        <x:v>Create Field Service Work Order in Salesforce</x:v>
      </x:c>
      <x:c r="S512" s="119" t="str">
        <x:v>12/02/2025 (KL) - Create WO for Individual assignees and WO/SA for Crews (to be used in tandem with FSL Mobile lightning web component for technician scheduling)
-TESTING</x:v>
      </x:c>
    </x:row>
    <x:row r="513" ht="30" customHeight="1">
      <x:c r="A513" s="117" t="str">
        <x:v>Create_Field_Service_Work_Order_in_Salesforce</x:v>
      </x:c>
      <x:c r="B513" s="117" t="str">
        <x:v>300Ro00000kseeBIAQ</x:v>
      </x:c>
      <x:c r="C513" s="117" t="str">
        <x:v>301Ro00000tnrebIAA</x:v>
      </x:c>
      <x:c r="D513" s="118" t="n">
        <x:v>5</x:v>
      </x:c>
      <x:c r="E513" s="117" t="str">
        <x:v>Obsolete</x:v>
      </x:c>
      <x:c r="F513" s="117" t="str">
        <x:v>No</x:v>
      </x:c>
      <x:c r="G513" s="117" t="str">
        <x:v>No</x:v>
      </x:c>
      <x:c r="H513" s="117" t="str">
        <x:v>Flow</x:v>
      </x:c>
      <x:c r="I513" s="118" t="n">
        <x:v>65</x:v>
      </x:c>
      <x:c r="J513" s="117" t="str">
        <x:v>unmanaged</x:v>
      </x:c>
      <x:c r="K513" s="123" t="b">
        <x:v>0</x:v>
      </x:c>
      <x:c r="L513" s="117"/>
      <x:c r="M513" s="118"/>
      <x:c r="N513" s="120" t="n">
        <x:v>46000.67190972222</x:v>
      </x:c>
      <x:c r="O513" s="117" t="str">
        <x:v>Delegate</x:v>
      </x:c>
      <x:c r="P513" s="120" t="n">
        <x:v>46000.672106481485</x:v>
      </x:c>
      <x:c r="Q513" s="117" t="str">
        <x:v>Delegate</x:v>
      </x:c>
      <x:c r="R513" s="117" t="str">
        <x:v>Create Field Service Work Order in Salesforce</x:v>
      </x:c>
      <x:c r="S513" s="119" t="str">
        <x:v>12/09/2025 (KL) - Create WO for Individual assignees and WO/SA for Crews (to be used in tandem with FSL Mobile lightning web component for technician scheduling)</x:v>
      </x:c>
    </x:row>
    <x:row r="514" ht="30" customHeight="1">
      <x:c r="A514" s="117" t="str">
        <x:v>Create_Field_Service_Work_Order_in_Salesforce</x:v>
      </x:c>
      <x:c r="B514" s="117" t="str">
        <x:v>300Ro00000kseeBIAQ</x:v>
      </x:c>
      <x:c r="C514" s="117" t="str">
        <x:v>301Ro00000uQ83LIAS</x:v>
      </x:c>
      <x:c r="D514" s="118" t="n">
        <x:v>7</x:v>
      </x:c>
      <x:c r="E514" s="117" t="str">
        <x:v>Obsolete</x:v>
      </x:c>
      <x:c r="F514" s="117" t="str">
        <x:v>No</x:v>
      </x:c>
      <x:c r="G514" s="117" t="str">
        <x:v>No</x:v>
      </x:c>
      <x:c r="H514" s="117" t="str">
        <x:v>Flow</x:v>
      </x:c>
      <x:c r="I514" s="118" t="n">
        <x:v>65</x:v>
      </x:c>
      <x:c r="J514" s="117" t="str">
        <x:v>unmanaged</x:v>
      </x:c>
      <x:c r="K514" s="123" t="b">
        <x:v>0</x:v>
      </x:c>
      <x:c r="L514" s="117"/>
      <x:c r="M514" s="118"/>
      <x:c r="N514" s="120" t="n">
        <x:v>46010.5318287037</x:v>
      </x:c>
      <x:c r="O514" s="117" t="str">
        <x:v>Delegate</x:v>
      </x:c>
      <x:c r="P514" s="120" t="n">
        <x:v>46010.5396875</x:v>
      </x:c>
      <x:c r="Q514" s="117" t="str">
        <x:v>Delegate</x:v>
      </x:c>
      <x:c r="R514" s="117" t="str">
        <x:v>Create Field Service Work Order in Salesforce</x:v>
      </x:c>
      <x:c r="S514" s="119" t="str">
        <x:v>12/16/2025 (KL) - Create WO for Individual assignees and WO/SA for Crews (to be used in tandem with FSL Mobile lightning web component for technician scheduling) - This update includes asset retrieval and Chatter Posts</x:v>
      </x:c>
    </x:row>
    <x:row r="515" ht="30" customHeight="1">
      <x:c r="A515" s="117" t="str">
        <x:v>Create_Field_Service_Work_Order_in_Salesforce</x:v>
      </x:c>
      <x:c r="B515" s="117" t="str">
        <x:v>300Ro00000kseeBIAQ</x:v>
      </x:c>
      <x:c r="C515" s="117" t="str">
        <x:v>301Ro00000ucxlHIAQ</x:v>
      </x:c>
      <x:c r="D515" s="118" t="n">
        <x:v>8</x:v>
      </x:c>
      <x:c r="E515" s="117" t="str">
        <x:v>Obsolete</x:v>
      </x:c>
      <x:c r="F515" s="117" t="str">
        <x:v>No</x:v>
      </x:c>
      <x:c r="G515" s="117" t="str">
        <x:v>No</x:v>
      </x:c>
      <x:c r="H515" s="117" t="str">
        <x:v>Flow</x:v>
      </x:c>
      <x:c r="I515" s="118" t="n">
        <x:v>65</x:v>
      </x:c>
      <x:c r="J515" s="117" t="str">
        <x:v>unmanaged</x:v>
      </x:c>
      <x:c r="K515" s="123" t="b">
        <x:v>0</x:v>
      </x:c>
      <x:c r="L515" s="117"/>
      <x:c r="M515" s="118"/>
      <x:c r="N515" s="120" t="n">
        <x:v>46014.807974537034</x:v>
      </x:c>
      <x:c r="O515" s="117" t="str">
        <x:v>Delegate</x:v>
      </x:c>
      <x:c r="P515" s="120" t="n">
        <x:v>46014.808217592596</x:v>
      </x:c>
      <x:c r="Q515" s="117" t="str">
        <x:v>Delegate</x:v>
      </x:c>
      <x:c r="R515" s="117" t="str">
        <x:v>Create Field Service Work Order in Salesforce</x:v>
      </x:c>
      <x:c r="S515" s="119" t="str">
        <x:v>12/23/2025 (BW) - Adding a fetch of the service contract to use it's details in the flow. Also added Coverage Type to the Billing Type default, to pull from the contract if there is one</x:v>
      </x:c>
    </x:row>
    <x:row r="516" ht="30" customHeight="1">
      <x:c r="A516" s="117" t="str">
        <x:v>Create_Field_Service_Work_Order_in_Salesforce</x:v>
      </x:c>
      <x:c r="B516" s="117" t="str">
        <x:v>300Ro00000kseeBIAQ</x:v>
      </x:c>
      <x:c r="C516" s="117" t="str">
        <x:v>301Ro00000vEAbaIAG</x:v>
      </x:c>
      <x:c r="D516" s="118" t="n">
        <x:v>9</x:v>
      </x:c>
      <x:c r="E516" s="117" t="str">
        <x:v>Active</x:v>
      </x:c>
      <x:c r="F516" s="117" t="str">
        <x:v>Yes</x:v>
      </x:c>
      <x:c r="G516" s="117" t="str">
        <x:v>Yes</x:v>
      </x:c>
      <x:c r="H516" s="117" t="str">
        <x:v>Flow</x:v>
      </x:c>
      <x:c r="I516" s="118" t="n">
        <x:v>65</x:v>
      </x:c>
      <x:c r="J516" s="117" t="str">
        <x:v>unmanaged</x:v>
      </x:c>
      <x:c r="K516" s="123" t="b">
        <x:v>0</x:v>
      </x:c>
      <x:c r="L516" s="117"/>
      <x:c r="M516" s="118"/>
      <x:c r="N516" s="120" t="n">
        <x:v>46028.790127314816</x:v>
      </x:c>
      <x:c r="O516" s="117" t="str">
        <x:v>Delegate</x:v>
      </x:c>
      <x:c r="P516" s="120" t="n">
        <x:v>46028.79435185185</x:v>
      </x:c>
      <x:c r="Q516" s="117" t="str">
        <x:v>Delegate</x:v>
      </x:c>
      <x:c r="R516" s="117" t="str">
        <x:v>Create Field Service Work Order in Salesforce</x:v>
      </x:c>
      <x:c r="S516" s="119" t="str">
        <x:v>12/29/2025 (KL) - Remaining Updates
12/23/2025 (BW) - Adding a fetch of the service contract to use it's details in the flow. Also added Coverage Type to the Billing Type default, to pull from the contract if there is one</x:v>
      </x:c>
    </x:row>
    <x:row r="517" ht="30" customHeight="1">
      <x:c r="A517" s="117" t="str">
        <x:v>Create_FSL_Work_Order_on_SF_Objects</x:v>
      </x:c>
      <x:c r="B517" s="117" t="str">
        <x:v>300jR000000BuwaQAC</x:v>
      </x:c>
      <x:c r="C517" s="117" t="str">
        <x:v>301jR000000CYCPQA4</x:v>
      </x:c>
      <x:c r="D517" s="118" t="n">
        <x:v>1</x:v>
      </x:c>
      <x:c r="E517" s="117" t="str">
        <x:v>Obsolete</x:v>
      </x:c>
      <x:c r="F517" s="117" t="str">
        <x:v>No</x:v>
      </x:c>
      <x:c r="G517" s="117" t="str">
        <x:v>No</x:v>
      </x:c>
      <x:c r="H517" s="117" t="str">
        <x:v>Flow</x:v>
      </x:c>
      <x:c r="I517" s="118" t="n">
        <x:v>67</x:v>
      </x:c>
      <x:c r="J517" s="117" t="str">
        <x:v>unmanaged</x:v>
      </x:c>
      <x:c r="K517" s="123" t="b">
        <x:v>0</x:v>
      </x:c>
      <x:c r="L517" s="117"/>
      <x:c r="M517" s="118"/>
      <x:c r="N517" s="120" t="n">
        <x:v>46252.98369212963</x:v>
      </x:c>
      <x:c r="O517" s="117" t="str">
        <x:v>Mindy Bender</x:v>
      </x:c>
      <x:c r="P517" s="120" t="n">
        <x:v>46252.98384259259</x:v>
      </x:c>
      <x:c r="Q517" s="117" t="str">
        <x:v>Mindy Bender</x:v>
      </x:c>
      <x:c r="R517" s="117" t="str">
        <x:v>Create FSL Work Order on SF Objects</x:v>
      </x:c>
      <x:c r="S517" s="119" t="str">
        <x:v>Create FSL Work Order with items prepopulated from Salesforce Objects</x:v>
      </x:c>
    </x:row>
    <x:row r="518" ht="30" customHeight="1">
      <x:c r="A518" s="117" t="str">
        <x:v>Create_FSL_Work_Order_on_SF_Objects</x:v>
      </x:c>
      <x:c r="B518" s="117" t="str">
        <x:v>300jR000000BuwaQAC</x:v>
      </x:c>
      <x:c r="C518" s="117" t="str">
        <x:v>301jR000000FRPhQAO</x:v>
      </x:c>
      <x:c r="D518" s="118" t="n">
        <x:v>2</x:v>
      </x:c>
      <x:c r="E518" s="117" t="str">
        <x:v>Obsolete</x:v>
      </x:c>
      <x:c r="F518" s="117" t="str">
        <x:v>No</x:v>
      </x:c>
      <x:c r="G518" s="117" t="str">
        <x:v>No</x:v>
      </x:c>
      <x:c r="H518" s="117" t="str">
        <x:v>Flow</x:v>
      </x:c>
      <x:c r="I518" s="118" t="n">
        <x:v>67</x:v>
      </x:c>
      <x:c r="J518" s="117" t="str">
        <x:v>unmanaged</x:v>
      </x:c>
      <x:c r="K518" s="123" t="b">
        <x:v>0</x:v>
      </x:c>
      <x:c r="L518" s="117"/>
      <x:c r="M518" s="118"/>
      <x:c r="N518" s="120" t="n">
        <x:v>46253.7703125</x:v>
      </x:c>
      <x:c r="O518" s="117" t="str">
        <x:v>Mindy Bender</x:v>
      </x:c>
      <x:c r="P518" s="120" t="n">
        <x:v>46253.7706712963</x:v>
      </x:c>
      <x:c r="Q518" s="117" t="str">
        <x:v>Mindy Bender</x:v>
      </x:c>
      <x:c r="R518" s="117" t="str">
        <x:v>Create FSL Work Order on SF Objects</x:v>
      </x:c>
      <x:c r="S518" s="119" t="str">
        <x:v>Create FSL Work Order with items prepopulated from Salesforce Objects</x:v>
      </x:c>
    </x:row>
    <x:row r="519" ht="30" customHeight="1">
      <x:c r="A519" s="117" t="str">
        <x:v>Create_FSL_Work_Order_on_SF_Objects</x:v>
      </x:c>
      <x:c r="B519" s="117" t="str">
        <x:v>300jR000000BuwaQAC</x:v>
      </x:c>
      <x:c r="C519" s="117" t="str">
        <x:v>301jR000000Fl9wQAC</x:v>
      </x:c>
      <x:c r="D519" s="118" t="n">
        <x:v>3</x:v>
      </x:c>
      <x:c r="E519" s="117" t="str">
        <x:v>Obsolete</x:v>
      </x:c>
      <x:c r="F519" s="117" t="str">
        <x:v>No</x:v>
      </x:c>
      <x:c r="G519" s="117" t="str">
        <x:v>No</x:v>
      </x:c>
      <x:c r="H519" s="117" t="str">
        <x:v>Flow</x:v>
      </x:c>
      <x:c r="I519" s="118" t="n">
        <x:v>67</x:v>
      </x:c>
      <x:c r="J519" s="117" t="str">
        <x:v>unmanaged</x:v>
      </x:c>
      <x:c r="K519" s="123" t="b">
        <x:v>0</x:v>
      </x:c>
      <x:c r="L519" s="117"/>
      <x:c r="M519" s="118"/>
      <x:c r="N519" s="120" t="n">
        <x:v>46253.89954861111</x:v>
      </x:c>
      <x:c r="O519" s="117" t="str">
        <x:v>Mindy Bender</x:v>
      </x:c>
      <x:c r="P519" s="120" t="n">
        <x:v>46255.76222222222</x:v>
      </x:c>
      <x:c r="Q519" s="117" t="str">
        <x:v>Mindy Bender</x:v>
      </x:c>
      <x:c r="R519" s="117" t="str">
        <x:v>Create FSL Work Order on SF Objects</x:v>
      </x:c>
      <x:c r="S519" s="119" t="str">
        <x:v>Create FSL Work Order with items prepopulated from Salesforce Objects</x:v>
      </x:c>
    </x:row>
    <x:row r="520" ht="30" customHeight="1">
      <x:c r="A520" s="117" t="str">
        <x:v>Create_FSL_Work_Order_on_SF_Objects</x:v>
      </x:c>
      <x:c r="B520" s="117" t="str">
        <x:v>300jR000000BuwaQAC</x:v>
      </x:c>
      <x:c r="C520" s="117" t="str">
        <x:v>301jR000000Mjt0QAC</x:v>
      </x:c>
      <x:c r="D520" s="118" t="n">
        <x:v>4</x:v>
      </x:c>
      <x:c r="E520" s="117" t="str">
        <x:v>Obsolete</x:v>
      </x:c>
      <x:c r="F520" s="117" t="str">
        <x:v>No</x:v>
      </x:c>
      <x:c r="G520" s="117" t="str">
        <x:v>No</x:v>
      </x:c>
      <x:c r="H520" s="117" t="str">
        <x:v>Flow</x:v>
      </x:c>
      <x:c r="I520" s="118" t="n">
        <x:v>67</x:v>
      </x:c>
      <x:c r="J520" s="117" t="str">
        <x:v>unmanaged</x:v>
      </x:c>
      <x:c r="K520" s="123" t="b">
        <x:v>0</x:v>
      </x:c>
      <x:c r="L520" s="117"/>
      <x:c r="M520" s="118"/>
      <x:c r="N520" s="120" t="n">
        <x:v>46255.80409722222</x:v>
      </x:c>
      <x:c r="O520" s="117" t="str">
        <x:v>Mindy Bender</x:v>
      </x:c>
      <x:c r="P520" s="120" t="n">
        <x:v>46255.804247685184</x:v>
      </x:c>
      <x:c r="Q520" s="117" t="str">
        <x:v>Mindy Bender</x:v>
      </x:c>
      <x:c r="R520" s="117" t="str">
        <x:v>Create FSL Work Order on SF Objects</x:v>
      </x:c>
      <x:c r="S520" s="119" t="str">
        <x:v>Create FSL Work Order with items prepopulated from Salesforce Objects</x:v>
      </x:c>
    </x:row>
    <x:row r="521" ht="30" customHeight="1">
      <x:c r="A521" s="117" t="str">
        <x:v>Create_FSL_Work_Order_on_SF_Objects</x:v>
      </x:c>
      <x:c r="B521" s="117" t="str">
        <x:v>300jR000000BuwaQAC</x:v>
      </x:c>
      <x:c r="C521" s="117" t="str">
        <x:v>301jR000000MmysQAC</x:v>
      </x:c>
      <x:c r="D521" s="118" t="n">
        <x:v>5</x:v>
      </x:c>
      <x:c r="E521" s="117" t="str">
        <x:v>Obsolete</x:v>
      </x:c>
      <x:c r="F521" s="117" t="str">
        <x:v>No</x:v>
      </x:c>
      <x:c r="G521" s="117" t="str">
        <x:v>No</x:v>
      </x:c>
      <x:c r="H521" s="117" t="str">
        <x:v>Flow</x:v>
      </x:c>
      <x:c r="I521" s="118" t="n">
        <x:v>67</x:v>
      </x:c>
      <x:c r="J521" s="117" t="str">
        <x:v>unmanaged</x:v>
      </x:c>
      <x:c r="K521" s="123" t="b">
        <x:v>0</x:v>
      </x:c>
      <x:c r="L521" s="117"/>
      <x:c r="M521" s="118"/>
      <x:c r="N521" s="120" t="n">
        <x:v>46255.80451388889</x:v>
      </x:c>
      <x:c r="O521" s="117" t="str">
        <x:v>Mindy Bender</x:v>
      </x:c>
      <x:c r="P521" s="120" t="n">
        <x:v>46255.804618055554</x:v>
      </x:c>
      <x:c r="Q521" s="117" t="str">
        <x:v>Mindy Bender</x:v>
      </x:c>
      <x:c r="R521" s="117" t="str">
        <x:v>Create FSL Work Order on SF Objects</x:v>
      </x:c>
      <x:c r="S521" s="119" t="str">
        <x:v>Create FSL Work Order with items prepopulated from Salesforce Objects</x:v>
      </x:c>
    </x:row>
    <x:row r="522" ht="30" customHeight="1">
      <x:c r="A522" s="117" t="str">
        <x:v>Create_FSL_Work_Order_on_SF_Objects</x:v>
      </x:c>
      <x:c r="B522" s="117" t="str">
        <x:v>300jR000000BuwaQAC</x:v>
      </x:c>
      <x:c r="C522" s="117" t="str">
        <x:v>301jR000000NEFDQA4</x:v>
      </x:c>
      <x:c r="D522" s="118" t="n">
        <x:v>6</x:v>
      </x:c>
      <x:c r="E522" s="117" t="str">
        <x:v>Obsolete</x:v>
      </x:c>
      <x:c r="F522" s="117" t="str">
        <x:v>No</x:v>
      </x:c>
      <x:c r="G522" s="117" t="str">
        <x:v>No</x:v>
      </x:c>
      <x:c r="H522" s="117" t="str">
        <x:v>Flow</x:v>
      </x:c>
      <x:c r="I522" s="118" t="n">
        <x:v>67</x:v>
      </x:c>
      <x:c r="J522" s="117" t="str">
        <x:v>unmanaged</x:v>
      </x:c>
      <x:c r="K522" s="123" t="b">
        <x:v>0</x:v>
      </x:c>
      <x:c r="L522" s="117"/>
      <x:c r="M522" s="118"/>
      <x:c r="N522" s="120" t="n">
        <x:v>46255.921956018516</x:v>
      </x:c>
      <x:c r="O522" s="117" t="str">
        <x:v>Mindy Bender</x:v>
      </x:c>
      <x:c r="P522" s="120" t="n">
        <x:v>46255.92328703704</x:v>
      </x:c>
      <x:c r="Q522" s="117" t="str">
        <x:v>Mindy Bender</x:v>
      </x:c>
      <x:c r="R522" s="117" t="str">
        <x:v>Create FSL Work Order on SF Objects</x:v>
      </x:c>
      <x:c r="S522" s="119" t="str">
        <x:v>Create FSL Work Order with items prepopulated from Salesforce Objects</x:v>
      </x:c>
    </x:row>
    <x:row r="523" ht="30" customHeight="1">
      <x:c r="A523" s="117" t="str">
        <x:v>Create_FSL_Work_Order_on_SF_Objects</x:v>
      </x:c>
      <x:c r="B523" s="117" t="str">
        <x:v>300jR000000BuwaQAC</x:v>
      </x:c>
      <x:c r="C523" s="117" t="str">
        <x:v>301jR000000TcoKQAS</x:v>
      </x:c>
      <x:c r="D523" s="118" t="n">
        <x:v>7</x:v>
      </x:c>
      <x:c r="E523" s="117" t="str">
        <x:v>Active</x:v>
      </x:c>
      <x:c r="F523" s="117" t="str">
        <x:v>Yes</x:v>
      </x:c>
      <x:c r="G523" s="117" t="str">
        <x:v>Yes</x:v>
      </x:c>
      <x:c r="H523" s="117" t="str">
        <x:v>Flow</x:v>
      </x:c>
      <x:c r="I523" s="118" t="n">
        <x:v>67</x:v>
      </x:c>
      <x:c r="J523" s="117" t="str">
        <x:v>unmanaged</x:v>
      </x:c>
      <x:c r="K523" s="123" t="b">
        <x:v>0</x:v>
      </x:c>
      <x:c r="L523" s="117"/>
      <x:c r="M523" s="118"/>
      <x:c r="N523" s="120" t="n">
        <x:v>46258.78438657407</x:v>
      </x:c>
      <x:c r="O523" s="117" t="str">
        <x:v>Mindy Bender</x:v>
      </x:c>
      <x:c r="P523" s="120" t="n">
        <x:v>46258.78590277778</x:v>
      </x:c>
      <x:c r="Q523" s="117" t="str">
        <x:v>Mindy Bender</x:v>
      </x:c>
      <x:c r="R523" s="117" t="str">
        <x:v>Create FSL Work Order on SF Objects</x:v>
      </x:c>
      <x:c r="S523" s="119" t="str">
        <x:v>Create FSL Work Order with items prepopulated from Salesforce Objects</x:v>
      </x:c>
    </x:row>
    <x:row r="524" ht="30" customHeight="1">
      <x:c r="A524" s="117" t="str">
        <x:v>Create_Generic_Asset2_from_Product2_Id</x:v>
      </x:c>
      <x:c r="B524" s="117" t="str">
        <x:v>3004O000000LNr1QAG</x:v>
      </x:c>
      <x:c r="C524" s="117" t="str">
        <x:v>3014O000000LuXsQAK</x:v>
      </x:c>
      <x:c r="D524" s="118" t="n">
        <x:v>1</x:v>
      </x:c>
      <x:c r="E524" s="117" t="str">
        <x:v>Obsolete</x:v>
      </x:c>
      <x:c r="F524" s="117" t="str">
        <x:v>No</x:v>
      </x:c>
      <x:c r="G524" s="117" t="str">
        <x:v>No</x:v>
      </x:c>
      <x:c r="H524" s="117" t="str">
        <x:v>AutoLaunchedFlow</x:v>
      </x:c>
      <x:c r="I524" s="118"/>
      <x:c r="J524" s="117" t="str">
        <x:v>unmanaged</x:v>
      </x:c>
      <x:c r="K524" s="123" t="b">
        <x:v>0</x:v>
      </x:c>
      <x:c r="L524" s="117"/>
      <x:c r="M524" s="118"/>
      <x:c r="N524" s="120" t="n">
        <x:v>43592.90106481482</x:v>
      </x:c>
      <x:c r="O524" s="117" t="str">
        <x:v>Jim Bartek</x:v>
      </x:c>
      <x:c r="P524" s="120" t="n">
        <x:v>43592.901608796295</x:v>
      </x:c>
      <x:c r="Q524" s="117" t="str">
        <x:v>Jim Bartek</x:v>
      </x:c>
      <x:c r="R524" s="117" t="str">
        <x:v>Create Generic Asset2 from Product2 Id</x:v>
      </x:c>
      <x:c r="S524" s="119" t="str">
        <x:v>accepts the ID of a PRoduct2 record and generates an Asset2 Generic record related to it.</x:v>
      </x:c>
    </x:row>
    <x:row r="525" ht="30" customHeight="1">
      <x:c r="A525" s="117" t="str">
        <x:v>Create_Generic_Asset2_from_Product2_Id</x:v>
      </x:c>
      <x:c r="B525" s="117" t="str">
        <x:v>3004O000000LNr1QAG</x:v>
      </x:c>
      <x:c r="C525" s="117" t="str">
        <x:v>3015b000000EISEAA4</x:v>
      </x:c>
      <x:c r="D525" s="118" t="n">
        <x:v>2</x:v>
      </x:c>
      <x:c r="E525" s="117" t="str">
        <x:v>Draft</x:v>
      </x:c>
      <x:c r="F525" s="117" t="str">
        <x:v>No</x:v>
      </x:c>
      <x:c r="G525" s="117" t="str">
        <x:v>No</x:v>
      </x:c>
      <x:c r="H525" s="117" t="str">
        <x:v>AutoLaunchedFlow</x:v>
      </x:c>
      <x:c r="I525" s="118" t="n">
        <x:v>49</x:v>
      </x:c>
      <x:c r="J525" s="117" t="str">
        <x:v>unmanaged</x:v>
      </x:c>
      <x:c r="K525" s="123" t="b">
        <x:v>0</x:v>
      </x:c>
      <x:c r="L525" s="117"/>
      <x:c r="M525" s="118"/>
      <x:c r="N525" s="120" t="n">
        <x:v>44639.993842592594</x:v>
      </x:c>
      <x:c r="O525" s="117" t="str">
        <x:v>Natalie Boger</x:v>
      </x:c>
      <x:c r="P525" s="120" t="n">
        <x:v>44639.99385416666</x:v>
      </x:c>
      <x:c r="Q525" s="117" t="str">
        <x:v>Natalie Boger</x:v>
      </x:c>
      <x:c r="R525" s="117" t="str">
        <x:v>Create Generic Asset2 from Product2 Id</x:v>
      </x:c>
      <x:c r="S525" s="119" t="str">
        <x:v>accepts the ID of a PRoduct2 record and generates an Asset2 Generic record related to it.</x:v>
      </x:c>
    </x:row>
    <x:row r="526" ht="30" customHeight="1">
      <x:c r="A526" s="117" t="str">
        <x:v>Create_Generic_Asset2_from_Product2_Id</x:v>
      </x:c>
      <x:c r="B526" s="117" t="str">
        <x:v>3004O000000LNr1QAG</x:v>
      </x:c>
      <x:c r="C526" s="117" t="str">
        <x:v>3015b000000EIgLAAW</x:v>
      </x:c>
      <x:c r="D526" s="118" t="n">
        <x:v>3</x:v>
      </x:c>
      <x:c r="E526" s="117" t="str">
        <x:v>Obsolete</x:v>
      </x:c>
      <x:c r="F526" s="117" t="str">
        <x:v>No</x:v>
      </x:c>
      <x:c r="G526" s="117" t="str">
        <x:v>No</x:v>
      </x:c>
      <x:c r="H526" s="117" t="str">
        <x:v>AutoLaunchedFlow</x:v>
      </x:c>
      <x:c r="I526" s="118" t="n">
        <x:v>49</x:v>
      </x:c>
      <x:c r="J526" s="117" t="str">
        <x:v>unmanaged</x:v>
      </x:c>
      <x:c r="K526" s="123" t="b">
        <x:v>0</x:v>
      </x:c>
      <x:c r="L526" s="117"/>
      <x:c r="M526" s="118"/>
      <x:c r="N526" s="120" t="n">
        <x:v>44650.246458333335</x:v>
      </x:c>
      <x:c r="O526" s="117" t="str">
        <x:v>Natalie Boger</x:v>
      </x:c>
      <x:c r="P526" s="120" t="n">
        <x:v>44650.25237268519</x:v>
      </x:c>
      <x:c r="Q526" s="117" t="str">
        <x:v>Natalie Boger</x:v>
      </x:c>
      <x:c r="R526" s="117" t="str">
        <x:v>Create Generic Asset2 from Product2 Id</x:v>
      </x:c>
      <x:c r="S526" s="119" t="str">
        <x:v>accepts the ID of a PRoduct2 record and generates an Asset2 Generic record related to it.</x:v>
      </x:c>
    </x:row>
    <x:row r="527" ht="30" customHeight="1">
      <x:c r="A527" s="117" t="str">
        <x:v>Create_Generic_Asset2_from_Product2_Id</x:v>
      </x:c>
      <x:c r="B527" s="117" t="str">
        <x:v>3004O000000LNr1QAG</x:v>
      </x:c>
      <x:c r="C527" s="117" t="str">
        <x:v>301Ro00000ivfrgIAA</x:v>
      </x:c>
      <x:c r="D527" s="118" t="n">
        <x:v>4</x:v>
      </x:c>
      <x:c r="E527" s="117" t="str">
        <x:v>Obsolete</x:v>
      </x:c>
      <x:c r="F527" s="117" t="str">
        <x:v>No</x:v>
      </x:c>
      <x:c r="G527" s="117" t="str">
        <x:v>No</x:v>
      </x:c>
      <x:c r="H527" s="117" t="str">
        <x:v>AutoLaunchedFlow</x:v>
      </x:c>
      <x:c r="I527" s="118" t="n">
        <x:v>49</x:v>
      </x:c>
      <x:c r="J527" s="117" t="str">
        <x:v>unmanaged</x:v>
      </x:c>
      <x:c r="K527" s="123" t="b">
        <x:v>0</x:v>
      </x:c>
      <x:c r="L527" s="117"/>
      <x:c r="M527" s="118"/>
      <x:c r="N527" s="120" t="n">
        <x:v>45889.57032407408</x:v>
      </x:c>
      <x:c r="O527" s="117" t="str">
        <x:v>Delegate</x:v>
      </x:c>
      <x:c r="P527" s="120" t="n">
        <x:v>45889.570381944446</x:v>
      </x:c>
      <x:c r="Q527" s="117" t="str">
        <x:v>Delegate</x:v>
      </x:c>
      <x:c r="R527" s="117" t="str">
        <x:v>Create Generic Asset2 from Product2 Id</x:v>
      </x:c>
      <x:c r="S527" s="119" t="str">
        <x:v>08/20/2025 (BW) - Updated so that this creates the generic assets for all variations of the product</x:v>
      </x:c>
    </x:row>
    <x:row r="528" ht="30" customHeight="1">
      <x:c r="A528" s="117" t="str">
        <x:v>Create_Generic_Asset2_from_Product2_Id</x:v>
      </x:c>
      <x:c r="B528" s="117" t="str">
        <x:v>3004O000000LNr1QAG</x:v>
      </x:c>
      <x:c r="C528" s="117" t="str">
        <x:v>301Ro00000jgOX6IAM</x:v>
      </x:c>
      <x:c r="D528" s="118" t="n">
        <x:v>5</x:v>
      </x:c>
      <x:c r="E528" s="117" t="str">
        <x:v>Draft</x:v>
      </x:c>
      <x:c r="F528" s="117" t="str">
        <x:v>No</x:v>
      </x:c>
      <x:c r="G528" s="117" t="str">
        <x:v>No</x:v>
      </x:c>
      <x:c r="H528" s="117" t="str">
        <x:v>AutoLaunchedFlow</x:v>
      </x:c>
      <x:c r="I528" s="118" t="n">
        <x:v>49</x:v>
      </x:c>
      <x:c r="J528" s="117" t="str">
        <x:v>unmanaged</x:v>
      </x:c>
      <x:c r="K528" s="123" t="b">
        <x:v>0</x:v>
      </x:c>
      <x:c r="L528" s="117"/>
      <x:c r="M528" s="118"/>
      <x:c r="N528" s="120" t="n">
        <x:v>45896.5821875</x:v>
      </x:c>
      <x:c r="O528" s="117" t="str">
        <x:v>Delegate</x:v>
      </x:c>
      <x:c r="P528" s="120" t="n">
        <x:v>45896.58222222222</x:v>
      </x:c>
      <x:c r="Q528" s="117" t="str">
        <x:v>Delegate</x:v>
      </x:c>
      <x:c r="R528" s="117" t="str">
        <x:v>Create Generic Asset2 from Product2 Id</x:v>
      </x:c>
      <x:c r="S528" s="119" t="str">
        <x:v>08/20/2025 (BW) - Updated so that this creates the generic assets for all variations of the product</x:v>
      </x:c>
    </x:row>
    <x:row r="529" ht="30" customHeight="1">
      <x:c r="A529" s="117" t="str">
        <x:v>Create_Generic_Asset2_from_Product2_Id</x:v>
      </x:c>
      <x:c r="B529" s="117" t="str">
        <x:v>3004O000000LNr1QAG</x:v>
      </x:c>
      <x:c r="C529" s="117" t="str">
        <x:v>301Ro00000kNQKIIA4</x:v>
      </x:c>
      <x:c r="D529" s="118" t="n">
        <x:v>6</x:v>
      </x:c>
      <x:c r="E529" s="117" t="str">
        <x:v>Obsolete</x:v>
      </x:c>
      <x:c r="F529" s="117" t="str">
        <x:v>No</x:v>
      </x:c>
      <x:c r="G529" s="117" t="str">
        <x:v>No</x:v>
      </x:c>
      <x:c r="H529" s="117" t="str">
        <x:v>AutoLaunchedFlow</x:v>
      </x:c>
      <x:c r="I529" s="118" t="n">
        <x:v>49</x:v>
      </x:c>
      <x:c r="J529" s="117" t="str">
        <x:v>unmanaged</x:v>
      </x:c>
      <x:c r="K529" s="123" t="b">
        <x:v>0</x:v>
      </x:c>
      <x:c r="L529" s="117"/>
      <x:c r="M529" s="118"/>
      <x:c r="N529" s="120" t="n">
        <x:v>45902.80658564815</x:v>
      </x:c>
      <x:c r="O529" s="117" t="str">
        <x:v>Delegate</x:v>
      </x:c>
      <x:c r="P529" s="120" t="n">
        <x:v>45902.806655092594</x:v>
      </x:c>
      <x:c r="Q529" s="117" t="str">
        <x:v>Delegate</x:v>
      </x:c>
      <x:c r="R529" s="117" t="str">
        <x:v>Create Generic Asset2 from Product2 Id</x:v>
      </x:c>
      <x:c r="S529" s="119" t="str">
        <x:v>09/02/2025 (BW) - Updated so that this creates the generic assets for only non-inventory products</x:v>
      </x:c>
    </x:row>
    <x:row r="530" ht="30" customHeight="1">
      <x:c r="A530" s="117" t="str">
        <x:v>Create_Generic_Asset2_from_Product2_Id</x:v>
      </x:c>
      <x:c r="B530" s="117" t="str">
        <x:v>3004O000000LNr1QAG</x:v>
      </x:c>
      <x:c r="C530" s="117" t="str">
        <x:v>301Ro000015Q7U3IAK</x:v>
      </x:c>
      <x:c r="D530" s="118" t="n">
        <x:v>7</x:v>
      </x:c>
      <x:c r="E530" s="117" t="str">
        <x:v>Obsolete</x:v>
      </x:c>
      <x:c r="F530" s="117" t="str">
        <x:v>No</x:v>
      </x:c>
      <x:c r="G530" s="117" t="str">
        <x:v>Yes</x:v>
      </x:c>
      <x:c r="H530" s="117" t="str">
        <x:v>AutoLaunchedFlow</x:v>
      </x:c>
      <x:c r="I530" s="118" t="n">
        <x:v>49</x:v>
      </x:c>
      <x:c r="J530" s="117" t="str">
        <x:v>unmanaged</x:v>
      </x:c>
      <x:c r="K530" s="123" t="b">
        <x:v>0</x:v>
      </x:c>
      <x:c r="L530" s="117"/>
      <x:c r="M530" s="118"/>
      <x:c r="N530" s="120" t="n">
        <x:v>46154.4490625</x:v>
      </x:c>
      <x:c r="O530" s="117" t="str">
        <x:v>Sacha Pearce</x:v>
      </x:c>
      <x:c r="P530" s="120" t="n">
        <x:v>46197.299479166664</x:v>
      </x:c>
      <x:c r="Q530" s="117" t="str">
        <x:v>Natalie Boger</x:v>
      </x:c>
      <x:c r="R530" s="117" t="str">
        <x:v>Create Generic Asset2 from Product2 Id</x:v>
      </x:c>
      <x:c r="S530" s="119" t="str">
        <x:v>12/05/2026 - SP - Adding Create, Get, and Assignments to facilitate Product Analytics.</x:v>
      </x:c>
    </x:row>
    <x:row r="531" ht="30" customHeight="1">
      <x:c r="A531" s="117" t="str">
        <x:v>Create_IR_from_Opp</x:v>
      </x:c>
      <x:c r="B531" s="117" t="str">
        <x:v>300Ro00000blHOIIA2</x:v>
      </x:c>
      <x:c r="C531" s="117" t="str">
        <x:v>301Ro00000tWA6QIAW</x:v>
      </x:c>
      <x:c r="D531" s="118" t="n">
        <x:v>2</x:v>
      </x:c>
      <x:c r="E531" s="117" t="str">
        <x:v>Obsolete</x:v>
      </x:c>
      <x:c r="F531" s="117" t="str">
        <x:v>No</x:v>
      </x:c>
      <x:c r="G531" s="117" t="str">
        <x:v>No</x:v>
      </x:c>
      <x:c r="H531" s="117" t="str">
        <x:v>Flow</x:v>
      </x:c>
      <x:c r="I531" s="118" t="n">
        <x:v>56</x:v>
      </x:c>
      <x:c r="J531" s="117" t="str">
        <x:v>unmanaged</x:v>
      </x:c>
      <x:c r="K531" s="123" t="b">
        <x:v>0</x:v>
      </x:c>
      <x:c r="L531" s="117" t="str">
        <x:v>SystemModeWithoutSharing</x:v>
      </x:c>
      <x:c r="M531" s="118"/>
      <x:c r="N531" s="120" t="n">
        <x:v>45995.41621527778</x:v>
      </x:c>
      <x:c r="O531" s="117" t="str">
        <x:v>Sacha Pearce</x:v>
      </x:c>
      <x:c r="P531" s="120" t="n">
        <x:v>45995.416342592594</x:v>
      </x:c>
      <x:c r="Q531" s="117" t="str">
        <x:v>Sacha Pearce</x:v>
      </x:c>
      <x:c r="R531" s="117" t="str">
        <x:v>Create IR from Opp</x:v>
      </x:c>
      <x:c r="S531" s="119" t="str">
        <x:v>7/31/25: Continuation of Create Item Receipt from Opp flow but hit V50 so had to create new flow. Updated IR product name - NB.
12/04/2025 - V2 - SP - Updating the Flow to run in "System Context Without Sharing - Access All Data". Before the "How to Run the Flow" field was blank.</x:v>
      </x:c>
    </x:row>
    <x:row r="532" ht="30" customHeight="1">
      <x:c r="A532" s="117" t="str">
        <x:v>Create_IR_from_Opp</x:v>
      </x:c>
      <x:c r="B532" s="117" t="str">
        <x:v>300Ro00000blHOIIA2</x:v>
      </x:c>
      <x:c r="C532" s="117" t="str">
        <x:v>301Ro00000vKX5TIAW</x:v>
      </x:c>
      <x:c r="D532" s="118" t="n">
        <x:v>3</x:v>
      </x:c>
      <x:c r="E532" s="117" t="str">
        <x:v>Draft</x:v>
      </x:c>
      <x:c r="F532" s="117" t="str">
        <x:v>No</x:v>
      </x:c>
      <x:c r="G532" s="117" t="str">
        <x:v>No</x:v>
      </x:c>
      <x:c r="H532" s="117" t="str">
        <x:v>Flow</x:v>
      </x:c>
      <x:c r="I532" s="118" t="n">
        <x:v>56</x:v>
      </x:c>
      <x:c r="J532" s="117" t="str">
        <x:v>unmanaged</x:v>
      </x:c>
      <x:c r="K532" s="123" t="b">
        <x:v>0</x:v>
      </x:c>
      <x:c r="L532" s="117" t="str">
        <x:v>SystemModeWithoutSharing</x:v>
      </x:c>
      <x:c r="M532" s="118"/>
      <x:c r="N532" s="120" t="n">
        <x:v>46030.14207175926</x:v>
      </x:c>
      <x:c r="O532" s="117" t="str">
        <x:v>Natalie Boger</x:v>
      </x:c>
      <x:c r="P532" s="120" t="n">
        <x:v>46030.142118055555</x:v>
      </x:c>
      <x:c r="Q532" s="117" t="str">
        <x:v>Natalie Boger</x:v>
      </x:c>
      <x:c r="R532" s="117" t="str">
        <x:v>Create IR from Opp</x:v>
      </x:c>
      <x:c r="S532" s="119" t="str">
        <x:v>7/31/25: Continuation of Create Item Receipt from Opp flow but hit V50 so had to create new flow. Updated IR product name - NB.
12/04/2025 - V2 - SP - Updating the Flow to run in "System Context Without Sharing - Access All Data". Before the "How to Run the Flow" field was blank.
1.7.26 - attempting to fix issue with large number of assets on PO. NB</x:v>
      </x:c>
    </x:row>
    <x:row r="533" ht="30" customHeight="1">
      <x:c r="A533" s="117" t="str">
        <x:v>Create_IR_from_Opp</x:v>
      </x:c>
      <x:c r="B533" s="117" t="str">
        <x:v>300Ro00000blHOIIA2</x:v>
      </x:c>
      <x:c r="C533" s="117" t="str">
        <x:v>301Ro00000xzIkRIAU</x:v>
      </x:c>
      <x:c r="D533" s="118" t="n">
        <x:v>4</x:v>
      </x:c>
      <x:c r="E533" s="117" t="str">
        <x:v>Obsolete</x:v>
      </x:c>
      <x:c r="F533" s="117" t="str">
        <x:v>No</x:v>
      </x:c>
      <x:c r="G533" s="117" t="str">
        <x:v>No</x:v>
      </x:c>
      <x:c r="H533" s="117" t="str">
        <x:v>Flow</x:v>
      </x:c>
      <x:c r="I533" s="118" t="n">
        <x:v>56</x:v>
      </x:c>
      <x:c r="J533" s="117" t="str">
        <x:v>unmanaged</x:v>
      </x:c>
      <x:c r="K533" s="123" t="b">
        <x:v>0</x:v>
      </x:c>
      <x:c r="L533" s="117" t="str">
        <x:v>SystemModeWithoutSharing</x:v>
      </x:c>
      <x:c r="M533" s="118"/>
      <x:c r="N533" s="120" t="n">
        <x:v>46063.79164351852</x:v>
      </x:c>
      <x:c r="O533" s="117" t="str">
        <x:v>Steve Dodd</x:v>
      </x:c>
      <x:c r="P533" s="120" t="n">
        <x:v>46063.791863425926</x:v>
      </x:c>
      <x:c r="Q533" s="117" t="str">
        <x:v>Steve Dodd</x:v>
      </x:c>
      <x:c r="R533" s="117" t="str">
        <x:v>Create IR from Opp</x:v>
      </x:c>
      <x:c r="S533" s="119" t="str">
        <x:v>7/31/25: Continuation of Create Item Receipt from Opp flow but hit V50 so had to create new flow. Updated IR product name - NB.
12/04/2025 - V2 - SP - Updating the Flow to run in "System Context Without Sharing - Access All Data". Before the "How to Run the Flow" field was blank.</x:v>
      </x:c>
    </x:row>
    <x:row r="534" ht="30" customHeight="1">
      <x:c r="A534" s="117" t="str">
        <x:v>Create_IR_from_Opp</x:v>
      </x:c>
      <x:c r="B534" s="117" t="str">
        <x:v>300Ro00000blHOIIA2</x:v>
      </x:c>
      <x:c r="C534" s="117" t="str">
        <x:v>301Ro00000xz66tIAA</x:v>
      </x:c>
      <x:c r="D534" s="118" t="n">
        <x:v>5</x:v>
      </x:c>
      <x:c r="E534" s="117" t="str">
        <x:v>Obsolete</x:v>
      </x:c>
      <x:c r="F534" s="117" t="str">
        <x:v>No</x:v>
      </x:c>
      <x:c r="G534" s="117" t="str">
        <x:v>No</x:v>
      </x:c>
      <x:c r="H534" s="117" t="str">
        <x:v>Flow</x:v>
      </x:c>
      <x:c r="I534" s="118" t="n">
        <x:v>56</x:v>
      </x:c>
      <x:c r="J534" s="117" t="str">
        <x:v>unmanaged</x:v>
      </x:c>
      <x:c r="K534" s="123" t="b">
        <x:v>0</x:v>
      </x:c>
      <x:c r="L534" s="117" t="str">
        <x:v>SystemModeWithoutSharing</x:v>
      </x:c>
      <x:c r="M534" s="118"/>
      <x:c r="N534" s="120" t="n">
        <x:v>46063.793217592596</x:v>
      </x:c>
      <x:c r="O534" s="117" t="str">
        <x:v>Steve Dodd</x:v>
      </x:c>
      <x:c r="P534" s="120" t="n">
        <x:v>46102.92105324074</x:v>
      </x:c>
      <x:c r="Q534" s="117" t="str">
        <x:v>Delegate</x:v>
      </x:c>
      <x:c r="R534" s="117" t="str">
        <x:v>Create IR from Opp</x:v>
      </x:c>
      <x:c r="S534" s="119" t="str">
        <x:v>7/31/25: Continuation of Create Item Receipt from Opp flow but hit V50 so had to create new flow. Updated IR product name - NB.
12/04/2025 - V2 - SP - Updating the Flow to run in "System Context Without Sharing - Access All Data". Before the "How to Run the Flow" field was blank.</x:v>
      </x:c>
    </x:row>
    <x:row r="535" ht="30" customHeight="1">
      <x:c r="A535" s="117" t="str">
        <x:v>Create_IR_from_Opp</x:v>
      </x:c>
      <x:c r="B535" s="117" t="str">
        <x:v>300Ro00000blHOIIA2</x:v>
      </x:c>
      <x:c r="C535" s="117" t="str">
        <x:v>301Ro000010waCMIAY</x:v>
      </x:c>
      <x:c r="D535" s="118" t="n">
        <x:v>6</x:v>
      </x:c>
      <x:c r="E535" s="117" t="str">
        <x:v>Active</x:v>
      </x:c>
      <x:c r="F535" s="117" t="str">
        <x:v>Yes</x:v>
      </x:c>
      <x:c r="G535" s="117" t="str">
        <x:v>No</x:v>
      </x:c>
      <x:c r="H535" s="117" t="str">
        <x:v>Flow</x:v>
      </x:c>
      <x:c r="I535" s="118" t="n">
        <x:v>56</x:v>
      </x:c>
      <x:c r="J535" s="117" t="str">
        <x:v>unmanaged</x:v>
      </x:c>
      <x:c r="K535" s="123" t="b">
        <x:v>0</x:v>
      </x:c>
      <x:c r="L535" s="117" t="str">
        <x:v>SystemModeWithoutSharing</x:v>
      </x:c>
      <x:c r="M535" s="118"/>
      <x:c r="N535" s="120" t="n">
        <x:v>46100.22620370371</x:v>
      </x:c>
      <x:c r="O535" s="117" t="str">
        <x:v>Delegate</x:v>
      </x:c>
      <x:c r="P535" s="120" t="n">
        <x:v>46102.92868055555</x:v>
      </x:c>
      <x:c r="Q535" s="117" t="str">
        <x:v>Delegate</x:v>
      </x:c>
      <x:c r="R535" s="117" t="str">
        <x:v>Create IR from Opp</x:v>
      </x:c>
      <x:c r="S535" s="119" t="str">
        <x:v>7/31/25: Continuation of Create Item Receipt from Opp flow but hit V50 so had to create new flow. Updated IR product name - NB.
12/04/2025 - V2 - SP - Updating the Flow to run in "System Context Without Sharing - Access All Data". Before the "How to Run the Flow" field was blank.</x:v>
      </x:c>
    </x:row>
    <x:row r="536" ht="30" customHeight="1">
      <x:c r="A536" s="117" t="str">
        <x:v>Create_IR_from_Opp</x:v>
      </x:c>
      <x:c r="B536" s="117" t="str">
        <x:v>300Ro00000blHOIIA2</x:v>
      </x:c>
      <x:c r="C536" s="117" t="str">
        <x:v>301Ro000017aVSIIA2</x:v>
      </x:c>
      <x:c r="D536" s="118" t="n">
        <x:v>7</x:v>
      </x:c>
      <x:c r="E536" s="117" t="str">
        <x:v>Draft</x:v>
      </x:c>
      <x:c r="F536" s="117" t="str">
        <x:v>No</x:v>
      </x:c>
      <x:c r="G536" s="117" t="str">
        <x:v>Yes</x:v>
      </x:c>
      <x:c r="H536" s="117" t="str">
        <x:v>Flow</x:v>
      </x:c>
      <x:c r="I536" s="118" t="n">
        <x:v>56</x:v>
      </x:c>
      <x:c r="J536" s="117" t="str">
        <x:v>unmanaged</x:v>
      </x:c>
      <x:c r="K536" s="123" t="b">
        <x:v>0</x:v>
      </x:c>
      <x:c r="L536" s="117" t="str">
        <x:v>SystemModeWithoutSharing</x:v>
      </x:c>
      <x:c r="M536" s="118"/>
      <x:c r="N536" s="120" t="n">
        <x:v>46177.53020833333</x:v>
      </x:c>
      <x:c r="O536" s="117" t="str">
        <x:v>Delegate</x:v>
      </x:c>
      <x:c r="P536" s="120" t="n">
        <x:v>46177.530324074076</x:v>
      </x:c>
      <x:c r="Q536" s="117" t="str">
        <x:v>Delegate</x:v>
      </x:c>
      <x:c r="R536" s="117" t="str">
        <x:v>Create IR from Opp</x:v>
      </x:c>
      <x:c r="S536" s="119" t="str">
        <x:v>5/22/26 - BQ - Removed Loop of all assets and replaced with Transform element.
06/04/26 (GD) - Moved Get_ALL_assets query to NonInventory branch only (after Type_of_IR2 decision) to prevent client payload limit error on Asset path; previously the query ran on both branches, loading a large ProductItem__c collection into payload before the Select Assets subflow screen.
06/04/26 (GD) - Eliminated Get_Assets_No_ProductLine query from Asset path to further reduce client payload; loop now iterates over already-in-memory Get_Assets collection and skips assets using AssetIdsList (Apex output) instead of empty ListAssetID variable.</x:v>
      </x:c>
    </x:row>
    <x:row r="537" ht="30" customHeight="1">
      <x:c r="A537" s="117" t="str">
        <x:v>Create_Item_Receipt_from_Opp</x:v>
      </x:c>
      <x:c r="B537" s="117" t="str">
        <x:v>3005b000000LHirAAG</x:v>
      </x:c>
      <x:c r="C537" s="117" t="str">
        <x:v>3015b000000AEW2AAO</x:v>
      </x:c>
      <x:c r="D537" s="118" t="n">
        <x:v>1</x:v>
      </x:c>
      <x:c r="E537" s="117" t="str">
        <x:v>Obsolete</x:v>
      </x:c>
      <x:c r="F537" s="117" t="str">
        <x:v>No</x:v>
      </x:c>
      <x:c r="G537" s="117" t="str">
        <x:v>No</x:v>
      </x:c>
      <x:c r="H537" s="117" t="str">
        <x:v>Flow</x:v>
      </x:c>
      <x:c r="I537" s="118" t="n">
        <x:v>56</x:v>
      </x:c>
      <x:c r="J537" s="117" t="str">
        <x:v>unmanaged</x:v>
      </x:c>
      <x:c r="K537" s="123" t="b">
        <x:v>0</x:v>
      </x:c>
      <x:c r="L537" s="117"/>
      <x:c r="M537" s="118"/>
      <x:c r="N537" s="120" t="n">
        <x:v>44944.64046296296</x:v>
      </x:c>
      <x:c r="O537" s="117" t="str">
        <x:v>Delegate</x:v>
      </x:c>
      <x:c r="P537" s="120" t="n">
        <x:v>44944.64148148148</x:v>
      </x:c>
      <x:c r="Q537" s="117" t="str">
        <x:v>Delegate</x:v>
      </x:c>
      <x:c r="R537" s="117" t="str">
        <x:v>Create Item Receipt from Opp</x:v>
      </x:c>
      <x:c r="S537" s="119"/>
    </x:row>
    <x:row r="538" ht="30" customHeight="1">
      <x:c r="A538" s="117" t="str">
        <x:v>Create_Item_Receipt_from_Opp</x:v>
      </x:c>
      <x:c r="B538" s="117" t="str">
        <x:v>3005b000000LHirAAG</x:v>
      </x:c>
      <x:c r="C538" s="117" t="str">
        <x:v>3015b000000AEbMAAW</x:v>
      </x:c>
      <x:c r="D538" s="118" t="n">
        <x:v>2</x:v>
      </x:c>
      <x:c r="E538" s="117" t="str">
        <x:v>Draft</x:v>
      </x:c>
      <x:c r="F538" s="117" t="str">
        <x:v>No</x:v>
      </x:c>
      <x:c r="G538" s="117" t="str">
        <x:v>No</x:v>
      </x:c>
      <x:c r="H538" s="117" t="str">
        <x:v>Flow</x:v>
      </x:c>
      <x:c r="I538" s="118" t="n">
        <x:v>56</x:v>
      </x:c>
      <x:c r="J538" s="117" t="str">
        <x:v>unmanaged</x:v>
      </x:c>
      <x:c r="K538" s="123" t="b">
        <x:v>0</x:v>
      </x:c>
      <x:c r="L538" s="117"/>
      <x:c r="M538" s="118"/>
      <x:c r="N538" s="120" t="n">
        <x:v>44945.596400462964</x:v>
      </x:c>
      <x:c r="O538" s="117" t="str">
        <x:v>Delegate</x:v>
      </x:c>
      <x:c r="P538" s="120" t="n">
        <x:v>44945.59642361111</x:v>
      </x:c>
      <x:c r="Q538" s="117" t="str">
        <x:v>Delegate</x:v>
      </x:c>
      <x:c r="R538" s="117" t="str">
        <x:v>Create Item Receipt from Opp</x:v>
      </x:c>
      <x:c r="S538" s="119"/>
    </x:row>
    <x:row r="539" ht="30" customHeight="1">
      <x:c r="A539" s="117" t="str">
        <x:v>Create_Item_Receipt_from_Opp</x:v>
      </x:c>
      <x:c r="B539" s="117" t="str">
        <x:v>3005b000000LHirAAG</x:v>
      </x:c>
      <x:c r="C539" s="117" t="str">
        <x:v>3015b000000AEblAAG</x:v>
      </x:c>
      <x:c r="D539" s="118" t="n">
        <x:v>3</x:v>
      </x:c>
      <x:c r="E539" s="117" t="str">
        <x:v>Obsolete</x:v>
      </x:c>
      <x:c r="F539" s="117" t="str">
        <x:v>No</x:v>
      </x:c>
      <x:c r="G539" s="117" t="str">
        <x:v>No</x:v>
      </x:c>
      <x:c r="H539" s="117" t="str">
        <x:v>Flow</x:v>
      </x:c>
      <x:c r="I539" s="118" t="n">
        <x:v>56</x:v>
      </x:c>
      <x:c r="J539" s="117" t="str">
        <x:v>unmanaged</x:v>
      </x:c>
      <x:c r="K539" s="123" t="b">
        <x:v>0</x:v>
      </x:c>
      <x:c r="L539" s="117"/>
      <x:c r="M539" s="118"/>
      <x:c r="N539" s="120" t="n">
        <x:v>44945.60622685185</x:v>
      </x:c>
      <x:c r="O539" s="117" t="str">
        <x:v>Delegate</x:v>
      </x:c>
      <x:c r="P539" s="120" t="n">
        <x:v>44945.60690972222</x:v>
      </x:c>
      <x:c r="Q539" s="117" t="str">
        <x:v>Delegate</x:v>
      </x:c>
      <x:c r="R539" s="117" t="str">
        <x:v>Create Item Receipt from Opp</x:v>
      </x:c>
      <x:c r="S539" s="119"/>
    </x:row>
    <x:row r="540" ht="30" customHeight="1">
      <x:c r="A540" s="117" t="str">
        <x:v>Create_Item_Receipt_from_Opp</x:v>
      </x:c>
      <x:c r="B540" s="117" t="str">
        <x:v>3005b000000LHirAAG</x:v>
      </x:c>
      <x:c r="C540" s="117" t="str">
        <x:v>3015b000000AEbqAAG</x:v>
      </x:c>
      <x:c r="D540" s="118" t="n">
        <x:v>4</x:v>
      </x:c>
      <x:c r="E540" s="117" t="str">
        <x:v>Obsolete</x:v>
      </x:c>
      <x:c r="F540" s="117" t="str">
        <x:v>No</x:v>
      </x:c>
      <x:c r="G540" s="117" t="str">
        <x:v>No</x:v>
      </x:c>
      <x:c r="H540" s="117" t="str">
        <x:v>Flow</x:v>
      </x:c>
      <x:c r="I540" s="118" t="n">
        <x:v>56</x:v>
      </x:c>
      <x:c r="J540" s="117" t="str">
        <x:v>unmanaged</x:v>
      </x:c>
      <x:c r="K540" s="123" t="b">
        <x:v>0</x:v>
      </x:c>
      <x:c r="L540" s="117"/>
      <x:c r="M540" s="118"/>
      <x:c r="N540" s="120" t="n">
        <x:v>44945.61517361111</x:v>
      </x:c>
      <x:c r="O540" s="117" t="str">
        <x:v>Delegate</x:v>
      </x:c>
      <x:c r="P540" s="120" t="n">
        <x:v>44945.615335648145</x:v>
      </x:c>
      <x:c r="Q540" s="117" t="str">
        <x:v>Delegate</x:v>
      </x:c>
      <x:c r="R540" s="117" t="str">
        <x:v>Create Item Receipt from Opp</x:v>
      </x:c>
      <x:c r="S540" s="119"/>
    </x:row>
    <x:row r="541" ht="30" customHeight="1">
      <x:c r="A541" s="117" t="str">
        <x:v>Create_Item_Receipt_from_Opp</x:v>
      </x:c>
      <x:c r="B541" s="117" t="str">
        <x:v>3005b000000LHirAAG</x:v>
      </x:c>
      <x:c r="C541" s="117" t="str">
        <x:v>3015b000000AEc5AAG</x:v>
      </x:c>
      <x:c r="D541" s="118" t="n">
        <x:v>5</x:v>
      </x:c>
      <x:c r="E541" s="117" t="str">
        <x:v>Obsolete</x:v>
      </x:c>
      <x:c r="F541" s="117" t="str">
        <x:v>No</x:v>
      </x:c>
      <x:c r="G541" s="117" t="str">
        <x:v>No</x:v>
      </x:c>
      <x:c r="H541" s="117" t="str">
        <x:v>Flow</x:v>
      </x:c>
      <x:c r="I541" s="118" t="n">
        <x:v>56</x:v>
      </x:c>
      <x:c r="J541" s="117" t="str">
        <x:v>unmanaged</x:v>
      </x:c>
      <x:c r="K541" s="123" t="b">
        <x:v>0</x:v>
      </x:c>
      <x:c r="L541" s="117"/>
      <x:c r="M541" s="118"/>
      <x:c r="N541" s="120" t="n">
        <x:v>44945.62097222222</x:v>
      </x:c>
      <x:c r="O541" s="117" t="str">
        <x:v>Delegate</x:v>
      </x:c>
      <x:c r="P541" s="120" t="n">
        <x:v>44945.62351851852</x:v>
      </x:c>
      <x:c r="Q541" s="117" t="str">
        <x:v>Delegate</x:v>
      </x:c>
      <x:c r="R541" s="117" t="str">
        <x:v>Create Item Receipt from Opp</x:v>
      </x:c>
      <x:c r="S541" s="119"/>
    </x:row>
    <x:row r="542" ht="30" customHeight="1">
      <x:c r="A542" s="117" t="str">
        <x:v>Create_Item_Receipt_from_Opp</x:v>
      </x:c>
      <x:c r="B542" s="117" t="str">
        <x:v>3005b000000LHirAAG</x:v>
      </x:c>
      <x:c r="C542" s="117" t="str">
        <x:v>3015b000000AEceAAG</x:v>
      </x:c>
      <x:c r="D542" s="118" t="n">
        <x:v>6</x:v>
      </x:c>
      <x:c r="E542" s="117" t="str">
        <x:v>Obsolete</x:v>
      </x:c>
      <x:c r="F542" s="117" t="str">
        <x:v>No</x:v>
      </x:c>
      <x:c r="G542" s="117" t="str">
        <x:v>No</x:v>
      </x:c>
      <x:c r="H542" s="117" t="str">
        <x:v>Flow</x:v>
      </x:c>
      <x:c r="I542" s="118" t="n">
        <x:v>56</x:v>
      </x:c>
      <x:c r="J542" s="117" t="str">
        <x:v>unmanaged</x:v>
      </x:c>
      <x:c r="K542" s="123" t="b">
        <x:v>0</x:v>
      </x:c>
      <x:c r="L542" s="117"/>
      <x:c r="M542" s="118"/>
      <x:c r="N542" s="120" t="n">
        <x:v>44945.627858796295</x:v>
      </x:c>
      <x:c r="O542" s="117" t="str">
        <x:v>Delegate</x:v>
      </x:c>
      <x:c r="P542" s="120" t="n">
        <x:v>44945.627916666665</x:v>
      </x:c>
      <x:c r="Q542" s="117" t="str">
        <x:v>Delegate</x:v>
      </x:c>
      <x:c r="R542" s="117" t="str">
        <x:v>Create Item Receipt from Opp</x:v>
      </x:c>
      <x:c r="S542" s="119"/>
    </x:row>
    <x:row r="543" ht="30" customHeight="1">
      <x:c r="A543" s="117" t="str">
        <x:v>Create_Item_Receipt_from_Opp</x:v>
      </x:c>
      <x:c r="B543" s="117" t="str">
        <x:v>3005b000000LHirAAG</x:v>
      </x:c>
      <x:c r="C543" s="117" t="str">
        <x:v>3015b000000AEgvAAG</x:v>
      </x:c>
      <x:c r="D543" s="118" t="n">
        <x:v>7</x:v>
      </x:c>
      <x:c r="E543" s="117" t="str">
        <x:v>Obsolete</x:v>
      </x:c>
      <x:c r="F543" s="117" t="str">
        <x:v>No</x:v>
      </x:c>
      <x:c r="G543" s="117" t="str">
        <x:v>No</x:v>
      </x:c>
      <x:c r="H543" s="117" t="str">
        <x:v>Flow</x:v>
      </x:c>
      <x:c r="I543" s="118" t="n">
        <x:v>56</x:v>
      </x:c>
      <x:c r="J543" s="117" t="str">
        <x:v>unmanaged</x:v>
      </x:c>
      <x:c r="K543" s="123" t="b">
        <x:v>0</x:v>
      </x:c>
      <x:c r="L543" s="117"/>
      <x:c r="M543" s="118"/>
      <x:c r="N543" s="120" t="n">
        <x:v>44946.6384837963</x:v>
      </x:c>
      <x:c r="O543" s="117" t="str">
        <x:v>Delegate</x:v>
      </x:c>
      <x:c r="P543" s="120" t="n">
        <x:v>44946.64173611111</x:v>
      </x:c>
      <x:c r="Q543" s="117" t="str">
        <x:v>Delegate</x:v>
      </x:c>
      <x:c r="R543" s="117" t="str">
        <x:v>Create Item Receipt from Opp</x:v>
      </x:c>
      <x:c r="S543" s="119"/>
    </x:row>
    <x:row r="544" ht="30" customHeight="1">
      <x:c r="A544" s="117" t="str">
        <x:v>Create_Item_Receipt_from_Opp</x:v>
      </x:c>
      <x:c r="B544" s="117" t="str">
        <x:v>3005b000000LHirAAG</x:v>
      </x:c>
      <x:c r="C544" s="117" t="str">
        <x:v>3015b000000AEhAAAW</x:v>
      </x:c>
      <x:c r="D544" s="118" t="n">
        <x:v>8</x:v>
      </x:c>
      <x:c r="E544" s="117" t="str">
        <x:v>Obsolete</x:v>
      </x:c>
      <x:c r="F544" s="117" t="str">
        <x:v>No</x:v>
      </x:c>
      <x:c r="G544" s="117" t="str">
        <x:v>No</x:v>
      </x:c>
      <x:c r="H544" s="117" t="str">
        <x:v>Flow</x:v>
      </x:c>
      <x:c r="I544" s="118" t="n">
        <x:v>56</x:v>
      </x:c>
      <x:c r="J544" s="117" t="str">
        <x:v>unmanaged</x:v>
      </x:c>
      <x:c r="K544" s="123" t="b">
        <x:v>0</x:v>
      </x:c>
      <x:c r="L544" s="117"/>
      <x:c r="M544" s="118"/>
      <x:c r="N544" s="120" t="n">
        <x:v>44946.64980324074</x:v>
      </x:c>
      <x:c r="O544" s="117" t="str">
        <x:v>Delegate</x:v>
      </x:c>
      <x:c r="P544" s="120" t="n">
        <x:v>44950.684641203705</x:v>
      </x:c>
      <x:c r="Q544" s="117" t="str">
        <x:v>Delegate</x:v>
      </x:c>
      <x:c r="R544" s="117" t="str">
        <x:v>Create Item Receipt from Opp</x:v>
      </x:c>
      <x:c r="S544" s="119"/>
    </x:row>
    <x:row r="545" ht="30" customHeight="1">
      <x:c r="A545" s="117" t="str">
        <x:v>Create_Item_Receipt_from_Opp</x:v>
      </x:c>
      <x:c r="B545" s="117" t="str">
        <x:v>3005b000000LHirAAG</x:v>
      </x:c>
      <x:c r="C545" s="117" t="str">
        <x:v>3015b000000AEtuAAG</x:v>
      </x:c>
      <x:c r="D545" s="118" t="n">
        <x:v>9</x:v>
      </x:c>
      <x:c r="E545" s="117" t="str">
        <x:v>Obsolete</x:v>
      </x:c>
      <x:c r="F545" s="117" t="str">
        <x:v>No</x:v>
      </x:c>
      <x:c r="G545" s="117" t="str">
        <x:v>No</x:v>
      </x:c>
      <x:c r="H545" s="117" t="str">
        <x:v>Flow</x:v>
      </x:c>
      <x:c r="I545" s="118" t="n">
        <x:v>56</x:v>
      </x:c>
      <x:c r="J545" s="117" t="str">
        <x:v>unmanaged</x:v>
      </x:c>
      <x:c r="K545" s="123" t="b">
        <x:v>0</x:v>
      </x:c>
      <x:c r="L545" s="117"/>
      <x:c r="M545" s="118"/>
      <x:c r="N545" s="120" t="n">
        <x:v>44950.682071759256</x:v>
      </x:c>
      <x:c r="O545" s="117" t="str">
        <x:v>Jace Gentil</x:v>
      </x:c>
      <x:c r="P545" s="120" t="n">
        <x:v>44950.682175925926</x:v>
      </x:c>
      <x:c r="Q545" s="117" t="str">
        <x:v>Jace Gentil</x:v>
      </x:c>
      <x:c r="R545" s="117" t="str">
        <x:v>Create Item Receipt from Opp</x:v>
      </x:c>
      <x:c r="S545" s="119"/>
    </x:row>
    <x:row r="546" ht="30" customHeight="1">
      <x:c r="A546" s="117" t="str">
        <x:v>Create_Item_Receipt_from_Opp</x:v>
      </x:c>
      <x:c r="B546" s="117" t="str">
        <x:v>3005b000000LHirAAG</x:v>
      </x:c>
      <x:c r="C546" s="117" t="str">
        <x:v>3015b000000AEvqAAG</x:v>
      </x:c>
      <x:c r="D546" s="118" t="n">
        <x:v>10</x:v>
      </x:c>
      <x:c r="E546" s="117" t="str">
        <x:v>Obsolete</x:v>
      </x:c>
      <x:c r="F546" s="117" t="str">
        <x:v>No</x:v>
      </x:c>
      <x:c r="G546" s="117" t="str">
        <x:v>No</x:v>
      </x:c>
      <x:c r="H546" s="117" t="str">
        <x:v>Flow</x:v>
      </x:c>
      <x:c r="I546" s="118" t="n">
        <x:v>56</x:v>
      </x:c>
      <x:c r="J546" s="117" t="str">
        <x:v>unmanaged</x:v>
      </x:c>
      <x:c r="K546" s="123" t="b">
        <x:v>0</x:v>
      </x:c>
      <x:c r="L546" s="117"/>
      <x:c r="M546" s="118"/>
      <x:c r="N546" s="120" t="n">
        <x:v>44950.85325231482</x:v>
      </x:c>
      <x:c r="O546" s="117" t="str">
        <x:v>Delegate</x:v>
      </x:c>
      <x:c r="P546" s="120" t="n">
        <x:v>44950.85594907407</x:v>
      </x:c>
      <x:c r="Q546" s="117" t="str">
        <x:v>Delegate</x:v>
      </x:c>
      <x:c r="R546" s="117" t="str">
        <x:v>Create Item Receipt from Opp</x:v>
      </x:c>
      <x:c r="S546" s="119"/>
    </x:row>
    <x:row r="547" ht="30" customHeight="1">
      <x:c r="A547" s="117" t="str">
        <x:v>Create_Item_Receipt_from_Opp</x:v>
      </x:c>
      <x:c r="B547" s="117" t="str">
        <x:v>3005b000000LHirAAG</x:v>
      </x:c>
      <x:c r="C547" s="117" t="str">
        <x:v>3015b000000AEz4AAG</x:v>
      </x:c>
      <x:c r="D547" s="118" t="n">
        <x:v>11</x:v>
      </x:c>
      <x:c r="E547" s="117" t="str">
        <x:v>Obsolete</x:v>
      </x:c>
      <x:c r="F547" s="117" t="str">
        <x:v>No</x:v>
      </x:c>
      <x:c r="G547" s="117" t="str">
        <x:v>No</x:v>
      </x:c>
      <x:c r="H547" s="117" t="str">
        <x:v>Flow</x:v>
      </x:c>
      <x:c r="I547" s="118" t="n">
        <x:v>56</x:v>
      </x:c>
      <x:c r="J547" s="117" t="str">
        <x:v>unmanaged</x:v>
      </x:c>
      <x:c r="K547" s="123" t="b">
        <x:v>0</x:v>
      </x:c>
      <x:c r="L547" s="117"/>
      <x:c r="M547" s="118"/>
      <x:c r="N547" s="120" t="n">
        <x:v>44951.67570601852</x:v>
      </x:c>
      <x:c r="O547" s="117" t="str">
        <x:v>Delegate</x:v>
      </x:c>
      <x:c r="P547" s="120" t="n">
        <x:v>44951.67611111111</x:v>
      </x:c>
      <x:c r="Q547" s="117" t="str">
        <x:v>Delegate</x:v>
      </x:c>
      <x:c r="R547" s="117" t="str">
        <x:v>Create Item Receipt from Opp</x:v>
      </x:c>
      <x:c r="S547" s="119" t="str">
        <x:v>Adding Core Exchange Fee assets</x:v>
      </x:c>
    </x:row>
    <x:row r="548" ht="30" customHeight="1">
      <x:c r="A548" s="117" t="str">
        <x:v>Create_Item_Receipt_from_Opp</x:v>
      </x:c>
      <x:c r="B548" s="117" t="str">
        <x:v>3005b000000LHirAAG</x:v>
      </x:c>
      <x:c r="C548" s="117" t="str">
        <x:v>3015b000000AFyCAAW</x:v>
      </x:c>
      <x:c r="D548" s="118" t="n">
        <x:v>12</x:v>
      </x:c>
      <x:c r="E548" s="117" t="str">
        <x:v>Draft</x:v>
      </x:c>
      <x:c r="F548" s="117" t="str">
        <x:v>No</x:v>
      </x:c>
      <x:c r="G548" s="117" t="str">
        <x:v>No</x:v>
      </x:c>
      <x:c r="H548" s="117" t="str">
        <x:v>Flow</x:v>
      </x:c>
      <x:c r="I548" s="118" t="n">
        <x:v>56</x:v>
      </x:c>
      <x:c r="J548" s="117" t="str">
        <x:v>unmanaged</x:v>
      </x:c>
      <x:c r="K548" s="123" t="b">
        <x:v>0</x:v>
      </x:c>
      <x:c r="L548" s="117"/>
      <x:c r="M548" s="118"/>
      <x:c r="N548" s="120" t="n">
        <x:v>44959.80168981481</x:v>
      </x:c>
      <x:c r="O548" s="117" t="str">
        <x:v>Delegate</x:v>
      </x:c>
      <x:c r="P548" s="120" t="n">
        <x:v>44959.80174768518</x:v>
      </x:c>
      <x:c r="Q548" s="117" t="str">
        <x:v>Delegate</x:v>
      </x:c>
      <x:c r="R548" s="117" t="str">
        <x:v>Create Item Receipt from Opp</x:v>
      </x:c>
      <x:c r="S548" s="119" t="str">
        <x:v>Removed outside loop of the double.</x:v>
      </x:c>
    </x:row>
    <x:row r="549" ht="30" customHeight="1">
      <x:c r="A549" s="117" t="str">
        <x:v>Create_Item_Receipt_from_Opp</x:v>
      </x:c>
      <x:c r="B549" s="117" t="str">
        <x:v>3005b000000LHirAAG</x:v>
      </x:c>
      <x:c r="C549" s="117" t="str">
        <x:v>3015b000000AGCsAAO</x:v>
      </x:c>
      <x:c r="D549" s="118" t="n">
        <x:v>13</x:v>
      </x:c>
      <x:c r="E549" s="117" t="str">
        <x:v>Obsolete</x:v>
      </x:c>
      <x:c r="F549" s="117" t="str">
        <x:v>No</x:v>
      </x:c>
      <x:c r="G549" s="117" t="str">
        <x:v>No</x:v>
      </x:c>
      <x:c r="H549" s="117" t="str">
        <x:v>Flow</x:v>
      </x:c>
      <x:c r="I549" s="118" t="n">
        <x:v>56</x:v>
      </x:c>
      <x:c r="J549" s="117" t="str">
        <x:v>unmanaged</x:v>
      </x:c>
      <x:c r="K549" s="123" t="b">
        <x:v>0</x:v>
      </x:c>
      <x:c r="L549" s="117"/>
      <x:c r="M549" s="118"/>
      <x:c r="N549" s="120" t="n">
        <x:v>44964.655127314814</x:v>
      </x:c>
      <x:c r="O549" s="117" t="str">
        <x:v>Delegate</x:v>
      </x:c>
      <x:c r="P549" s="120" t="n">
        <x:v>44964.65592592592</x:v>
      </x:c>
      <x:c r="Q549" s="117" t="str">
        <x:v>Delegate</x:v>
      </x:c>
      <x:c r="R549" s="117" t="str">
        <x:v>Create Item Receipt from Opp</x:v>
      </x:c>
      <x:c r="S549" s="119" t="str">
        <x:v>2 Sep Loops</x:v>
      </x:c>
    </x:row>
    <x:row r="550" ht="30" customHeight="1">
      <x:c r="A550" s="117" t="str">
        <x:v>Create_Item_Receipt_from_Opp</x:v>
      </x:c>
      <x:c r="B550" s="117" t="str">
        <x:v>3005b000000LHirAAG</x:v>
      </x:c>
      <x:c r="C550" s="117" t="str">
        <x:v>3015b000000AGDlAAO</x:v>
      </x:c>
      <x:c r="D550" s="118" t="n">
        <x:v>14</x:v>
      </x:c>
      <x:c r="E550" s="117" t="str">
        <x:v>Obsolete</x:v>
      </x:c>
      <x:c r="F550" s="117" t="str">
        <x:v>No</x:v>
      </x:c>
      <x:c r="G550" s="117" t="str">
        <x:v>No</x:v>
      </x:c>
      <x:c r="H550" s="117" t="str">
        <x:v>Flow</x:v>
      </x:c>
      <x:c r="I550" s="118" t="n">
        <x:v>56</x:v>
      </x:c>
      <x:c r="J550" s="117" t="str">
        <x:v>unmanaged</x:v>
      </x:c>
      <x:c r="K550" s="123" t="b">
        <x:v>0</x:v>
      </x:c>
      <x:c r="L550" s="117"/>
      <x:c r="M550" s="118"/>
      <x:c r="N550" s="120" t="n">
        <x:v>44964.746516203704</x:v>
      </x:c>
      <x:c r="O550" s="117" t="str">
        <x:v>Delegate</x:v>
      </x:c>
      <x:c r="P550" s="120" t="n">
        <x:v>44964.747719907406</x:v>
      </x:c>
      <x:c r="Q550" s="117" t="str">
        <x:v>Delegate</x:v>
      </x:c>
      <x:c r="R550" s="117" t="str">
        <x:v>Create Item Receipt from Opp</x:v>
      </x:c>
      <x:c r="S550" s="119" t="str">
        <x:v>Test</x:v>
      </x:c>
    </x:row>
    <x:row r="551" ht="30" customHeight="1">
      <x:c r="A551" s="117" t="str">
        <x:v>Create_Item_Receipt_from_Opp</x:v>
      </x:c>
      <x:c r="B551" s="117" t="str">
        <x:v>3005b000000LHirAAG</x:v>
      </x:c>
      <x:c r="C551" s="117" t="str">
        <x:v>3015b000000W0xiAAC</x:v>
      </x:c>
      <x:c r="D551" s="118" t="n">
        <x:v>15</x:v>
      </x:c>
      <x:c r="E551" s="117" t="str">
        <x:v>Obsolete</x:v>
      </x:c>
      <x:c r="F551" s="117" t="str">
        <x:v>No</x:v>
      </x:c>
      <x:c r="G551" s="117" t="str">
        <x:v>No</x:v>
      </x:c>
      <x:c r="H551" s="117" t="str">
        <x:v>Flow</x:v>
      </x:c>
      <x:c r="I551" s="118" t="n">
        <x:v>56</x:v>
      </x:c>
      <x:c r="J551" s="117" t="str">
        <x:v>unmanaged</x:v>
      </x:c>
      <x:c r="K551" s="123" t="b">
        <x:v>0</x:v>
      </x:c>
      <x:c r="L551" s="117"/>
      <x:c r="M551" s="118"/>
      <x:c r="N551" s="120" t="n">
        <x:v>45007.747615740744</x:v>
      </x:c>
      <x:c r="O551" s="117" t="str">
        <x:v>Jace Gentil</x:v>
      </x:c>
      <x:c r="P551" s="120" t="n">
        <x:v>45007.747662037036</x:v>
      </x:c>
      <x:c r="Q551" s="117" t="str">
        <x:v>Jace Gentil</x:v>
      </x:c>
      <x:c r="R551" s="117" t="str">
        <x:v>Create Item Receipt from Opp</x:v>
      </x:c>
      <x:c r="S551" s="119" t="str">
        <x:v>Test</x:v>
      </x:c>
    </x:row>
    <x:row r="552" ht="30" customHeight="1">
      <x:c r="A552" s="117" t="str">
        <x:v>Create_Item_Receipt_from_Opp</x:v>
      </x:c>
      <x:c r="B552" s="117" t="str">
        <x:v>3005b000000LHirAAG</x:v>
      </x:c>
      <x:c r="C552" s="117" t="str">
        <x:v>3015b000000W0xrAAC</x:v>
      </x:c>
      <x:c r="D552" s="118" t="n">
        <x:v>16</x:v>
      </x:c>
      <x:c r="E552" s="117" t="str">
        <x:v>Obsolete</x:v>
      </x:c>
      <x:c r="F552" s="117" t="str">
        <x:v>No</x:v>
      </x:c>
      <x:c r="G552" s="117" t="str">
        <x:v>No</x:v>
      </x:c>
      <x:c r="H552" s="117" t="str">
        <x:v>Flow</x:v>
      </x:c>
      <x:c r="I552" s="118" t="n">
        <x:v>56</x:v>
      </x:c>
      <x:c r="J552" s="117" t="str">
        <x:v>unmanaged</x:v>
      </x:c>
      <x:c r="K552" s="123" t="b">
        <x:v>0</x:v>
      </x:c>
      <x:c r="L552" s="117"/>
      <x:c r="M552" s="118"/>
      <x:c r="N552" s="120" t="n">
        <x:v>45007.781180555554</x:v>
      </x:c>
      <x:c r="O552" s="117" t="str">
        <x:v>Jace Gentil</x:v>
      </x:c>
      <x:c r="P552" s="120" t="n">
        <x:v>45007.78125</x:v>
      </x:c>
      <x:c r="Q552" s="117" t="str">
        <x:v>Jace Gentil</x:v>
      </x:c>
      <x:c r="R552" s="117" t="str">
        <x:v>Create Item Receipt from Opp</x:v>
      </x:c>
      <x:c r="S552" s="119" t="str">
        <x:v>Test</x:v>
      </x:c>
    </x:row>
    <x:row r="553" ht="30" customHeight="1">
      <x:c r="A553" s="117" t="str">
        <x:v>Create_Item_Receipt_from_Opp</x:v>
      </x:c>
      <x:c r="B553" s="117" t="str">
        <x:v>3005b000000LHirAAG</x:v>
      </x:c>
      <x:c r="C553" s="117" t="str">
        <x:v>301Ro00000OvNEzIAN</x:v>
      </x:c>
      <x:c r="D553" s="118" t="n">
        <x:v>17</x:v>
      </x:c>
      <x:c r="E553" s="117" t="str">
        <x:v>Obsolete</x:v>
      </x:c>
      <x:c r="F553" s="117" t="str">
        <x:v>No</x:v>
      </x:c>
      <x:c r="G553" s="117" t="str">
        <x:v>No</x:v>
      </x:c>
      <x:c r="H553" s="117" t="str">
        <x:v>Flow</x:v>
      </x:c>
      <x:c r="I553" s="118" t="n">
        <x:v>56</x:v>
      </x:c>
      <x:c r="J553" s="117" t="str">
        <x:v>unmanaged</x:v>
      </x:c>
      <x:c r="K553" s="123" t="b">
        <x:v>0</x:v>
      </x:c>
      <x:c r="L553" s="117"/>
      <x:c r="M553" s="118"/>
      <x:c r="N553" s="120" t="n">
        <x:v>45613.09648148148</x:v>
      </x:c>
      <x:c r="O553" s="117" t="str">
        <x:v>Delegate</x:v>
      </x:c>
      <x:c r="P553" s="120" t="n">
        <x:v>45618.088541666664</x:v>
      </x:c>
      <x:c r="Q553" s="117" t="str">
        <x:v>Delegate</x:v>
      </x:c>
      <x:c r="R553" s="117" t="str">
        <x:v>Create Item Receipt from Opp</x:v>
      </x:c>
      <x:c r="S553" s="119" t="str">
        <x:v>AM: Moved Purchasing GL Account Error and Alert to decision looking at selected rows, not edited rows.</x:v>
      </x:c>
    </x:row>
    <x:row r="554" ht="30" customHeight="1">
      <x:c r="A554" s="117" t="str">
        <x:v>Create_Item_Receipt_from_Opp</x:v>
      </x:c>
      <x:c r="B554" s="117" t="str">
        <x:v>3005b000000LHirAAG</x:v>
      </x:c>
      <x:c r="C554" s="117" t="str">
        <x:v>301Ro00000PFH29IAH</x:v>
      </x:c>
      <x:c r="D554" s="118" t="n">
        <x:v>18</x:v>
      </x:c>
      <x:c r="E554" s="117" t="str">
        <x:v>Obsolete</x:v>
      </x:c>
      <x:c r="F554" s="117" t="str">
        <x:v>No</x:v>
      </x:c>
      <x:c r="G554" s="117" t="str">
        <x:v>No</x:v>
      </x:c>
      <x:c r="H554" s="117" t="str">
        <x:v>Flow</x:v>
      </x:c>
      <x:c r="I554" s="118" t="n">
        <x:v>56</x:v>
      </x:c>
      <x:c r="J554" s="117" t="str">
        <x:v>unmanaged</x:v>
      </x:c>
      <x:c r="K554" s="123" t="b">
        <x:v>0</x:v>
      </x:c>
      <x:c r="L554" s="117"/>
      <x:c r="M554" s="118"/>
      <x:c r="N554" s="120" t="n">
        <x:v>45618.093877314815</x:v>
      </x:c>
      <x:c r="O554" s="117" t="str">
        <x:v>Delegate</x:v>
      </x:c>
      <x:c r="P554" s="120" t="n">
        <x:v>45618.09396990741</x:v>
      </x:c>
      <x:c r="Q554" s="117" t="str">
        <x:v>Delegate</x:v>
      </x:c>
      <x:c r="R554" s="117" t="str">
        <x:v>Create Item Receipt from Opp</x:v>
      </x:c>
      <x:c r="S554" s="119" t="str">
        <x:v>BW: Updated the link in the end flow screen to point to production</x:v>
      </x:c>
    </x:row>
    <x:row r="555" ht="30" customHeight="1">
      <x:c r="A555" s="117" t="str">
        <x:v>Create_Item_Receipt_from_Opp</x:v>
      </x:c>
      <x:c r="B555" s="117" t="str">
        <x:v>3005b000000LHirAAG</x:v>
      </x:c>
      <x:c r="C555" s="117" t="str">
        <x:v>301Ro00000PSDLhIAP</x:v>
      </x:c>
      <x:c r="D555" s="118" t="n">
        <x:v>19</x:v>
      </x:c>
      <x:c r="E555" s="117" t="str">
        <x:v>Obsolete</x:v>
      </x:c>
      <x:c r="F555" s="117" t="str">
        <x:v>No</x:v>
      </x:c>
      <x:c r="G555" s="117" t="str">
        <x:v>No</x:v>
      </x:c>
      <x:c r="H555" s="117" t="str">
        <x:v>Flow</x:v>
      </x:c>
      <x:c r="I555" s="118" t="n">
        <x:v>56</x:v>
      </x:c>
      <x:c r="J555" s="117" t="str">
        <x:v>unmanaged</x:v>
      </x:c>
      <x:c r="K555" s="123" t="b">
        <x:v>0</x:v>
      </x:c>
      <x:c r="L555" s="117"/>
      <x:c r="M555" s="118"/>
      <x:c r="N555" s="120" t="n">
        <x:v>45622.53892361111</x:v>
      </x:c>
      <x:c r="O555" s="117" t="str">
        <x:v>Delegate</x:v>
      </x:c>
      <x:c r="P555" s="120" t="n">
        <x:v>45622.53996527778</x:v>
      </x:c>
      <x:c r="Q555" s="117" t="str">
        <x:v>Delegate</x:v>
      </x:c>
      <x:c r="R555" s="117" t="str">
        <x:v>Create Item Receipt from Opp</x:v>
      </x:c>
      <x:c r="S555" s="119" t="str">
        <x:v>BW 11/25/2024 - Updating IR process to work properly with cost pull-in etc.</x:v>
      </x:c>
    </x:row>
    <x:row r="556" ht="30" customHeight="1">
      <x:c r="A556" s="117" t="str">
        <x:v>Create_Item_Receipt_from_Opp</x:v>
      </x:c>
      <x:c r="B556" s="117" t="str">
        <x:v>3005b000000LHirAAG</x:v>
      </x:c>
      <x:c r="C556" s="117" t="str">
        <x:v>301Ro00000PTREiIAP</x:v>
      </x:c>
      <x:c r="D556" s="118" t="n">
        <x:v>20</x:v>
      </x:c>
      <x:c r="E556" s="117" t="str">
        <x:v>Obsolete</x:v>
      </x:c>
      <x:c r="F556" s="117" t="str">
        <x:v>No</x:v>
      </x:c>
      <x:c r="G556" s="117" t="str">
        <x:v>No</x:v>
      </x:c>
      <x:c r="H556" s="117" t="str">
        <x:v>Flow</x:v>
      </x:c>
      <x:c r="I556" s="118" t="n">
        <x:v>56</x:v>
      </x:c>
      <x:c r="J556" s="117" t="str">
        <x:v>unmanaged</x:v>
      </x:c>
      <x:c r="K556" s="123" t="b">
        <x:v>0</x:v>
      </x:c>
      <x:c r="L556" s="117"/>
      <x:c r="M556" s="118"/>
      <x:c r="N556" s="120" t="n">
        <x:v>45622.78172453704</x:v>
      </x:c>
      <x:c r="O556" s="117" t="str">
        <x:v>Delegate</x:v>
      </x:c>
      <x:c r="P556" s="120" t="n">
        <x:v>45622.78184027778</x:v>
      </x:c>
      <x:c r="Q556" s="117" t="str">
        <x:v>Delegate</x:v>
      </x:c>
      <x:c r="R556" s="117" t="str">
        <x:v>Create Item Receipt from Opp</x:v>
      </x:c>
      <x:c r="S556" s="119" t="str">
        <x:v>BW 11/26/2024 - Updating IR process to work properly with cost pull-in etc.</x:v>
      </x:c>
    </x:row>
    <x:row r="557" ht="30" customHeight="1">
      <x:c r="A557" s="117" t="str">
        <x:v>Create_Item_Receipt_from_Opp</x:v>
      </x:c>
      <x:c r="B557" s="117" t="str">
        <x:v>3005b000000LHirAAG</x:v>
      </x:c>
      <x:c r="C557" s="117" t="str">
        <x:v>301Ro00000PW8byIAD</x:v>
      </x:c>
      <x:c r="D557" s="118" t="n">
        <x:v>21</x:v>
      </x:c>
      <x:c r="E557" s="117" t="str">
        <x:v>Obsolete</x:v>
      </x:c>
      <x:c r="F557" s="117" t="str">
        <x:v>No</x:v>
      </x:c>
      <x:c r="G557" s="117" t="str">
        <x:v>No</x:v>
      </x:c>
      <x:c r="H557" s="117" t="str">
        <x:v>Flow</x:v>
      </x:c>
      <x:c r="I557" s="118" t="n">
        <x:v>56</x:v>
      </x:c>
      <x:c r="J557" s="117" t="str">
        <x:v>unmanaged</x:v>
      </x:c>
      <x:c r="K557" s="123" t="b">
        <x:v>0</x:v>
      </x:c>
      <x:c r="L557" s="117"/>
      <x:c r="M557" s="118"/>
      <x:c r="N557" s="120" t="n">
        <x:v>45623.4841087963</x:v>
      </x:c>
      <x:c r="O557" s="117" t="str">
        <x:v>Delegate</x:v>
      </x:c>
      <x:c r="P557" s="120" t="n">
        <x:v>45623.49019675926</x:v>
      </x:c>
      <x:c r="Q557" s="117" t="str">
        <x:v>Delegate</x:v>
      </x:c>
      <x:c r="R557" s="117" t="str">
        <x:v>Create Item Receipt from Opp</x:v>
      </x:c>
      <x:c r="S557" s="119" t="str">
        <x:v>BW 11/27/2024 - Added in functionality to update non-inventory list items with the quantity remaining if they do not already have a quantity remaining when originally fetched</x:v>
      </x:c>
    </x:row>
    <x:row r="558" ht="30" customHeight="1">
      <x:c r="A558" s="117" t="str">
        <x:v>Create_Item_Receipt_from_Opp</x:v>
      </x:c>
      <x:c r="B558" s="117" t="str">
        <x:v>3005b000000LHirAAG</x:v>
      </x:c>
      <x:c r="C558" s="117" t="str">
        <x:v>301Ro00000PWaDLIA1</x:v>
      </x:c>
      <x:c r="D558" s="118" t="n">
        <x:v>22</x:v>
      </x:c>
      <x:c r="E558" s="117" t="str">
        <x:v>Obsolete</x:v>
      </x:c>
      <x:c r="F558" s="117" t="str">
        <x:v>No</x:v>
      </x:c>
      <x:c r="G558" s="117" t="str">
        <x:v>No</x:v>
      </x:c>
      <x:c r="H558" s="117" t="str">
        <x:v>Flow</x:v>
      </x:c>
      <x:c r="I558" s="118" t="n">
        <x:v>56</x:v>
      </x:c>
      <x:c r="J558" s="117" t="str">
        <x:v>unmanaged</x:v>
      </x:c>
      <x:c r="K558" s="123" t="b">
        <x:v>0</x:v>
      </x:c>
      <x:c r="L558" s="117"/>
      <x:c r="M558" s="118"/>
      <x:c r="N558" s="120" t="n">
        <x:v>45623.60457175926</x:v>
      </x:c>
      <x:c r="O558" s="117" t="str">
        <x:v>Delegate</x:v>
      </x:c>
      <x:c r="P558" s="120" t="n">
        <x:v>45623.60523148148</x:v>
      </x:c>
      <x:c r="Q558" s="117" t="str">
        <x:v>Delegate</x:v>
      </x:c>
      <x:c r="R558" s="117" t="str">
        <x:v>Create Item Receipt from Opp</x:v>
      </x:c>
      <x:c r="S558" s="119" t="str">
        <x:v>BW 11/27/2024 - Updated a control for counts</x:v>
      </x:c>
    </x:row>
    <x:row r="559" ht="30" customHeight="1">
      <x:c r="A559" s="117" t="str">
        <x:v>Create_Item_Receipt_from_Opp</x:v>
      </x:c>
      <x:c r="B559" s="117" t="str">
        <x:v>3005b000000LHirAAG</x:v>
      </x:c>
      <x:c r="C559" s="117" t="str">
        <x:v>301Ro00000PXpOqIAL</x:v>
      </x:c>
      <x:c r="D559" s="118" t="n">
        <x:v>23</x:v>
      </x:c>
      <x:c r="E559" s="117" t="str">
        <x:v>Obsolete</x:v>
      </x:c>
      <x:c r="F559" s="117" t="str">
        <x:v>No</x:v>
      </x:c>
      <x:c r="G559" s="117" t="str">
        <x:v>No</x:v>
      </x:c>
      <x:c r="H559" s="117" t="str">
        <x:v>Flow</x:v>
      </x:c>
      <x:c r="I559" s="118" t="n">
        <x:v>56</x:v>
      </x:c>
      <x:c r="J559" s="117" t="str">
        <x:v>unmanaged</x:v>
      </x:c>
      <x:c r="K559" s="123" t="b">
        <x:v>0</x:v>
      </x:c>
      <x:c r="L559" s="117"/>
      <x:c r="M559" s="118"/>
      <x:c r="N559" s="120" t="n">
        <x:v>45623.85304398148</x:v>
      </x:c>
      <x:c r="O559" s="117" t="str">
        <x:v>Delegate</x:v>
      </x:c>
      <x:c r="P559" s="120" t="n">
        <x:v>45623.85497685185</x:v>
      </x:c>
      <x:c r="Q559" s="117" t="str">
        <x:v>Delegate</x:v>
      </x:c>
      <x:c r="R559" s="117" t="str">
        <x:v>Create Item Receipt from Opp</x:v>
      </x:c>
      <x:c r="S559" s="119" t="str">
        <x:v>BW 11/27/2024 - Updated functionality to alter the way that the asset is getting updated to reduce SOQL errors</x:v>
      </x:c>
    </x:row>
    <x:row r="560" ht="30" customHeight="1">
      <x:c r="A560" s="117" t="str">
        <x:v>Create_Item_Receipt_from_Opp</x:v>
      </x:c>
      <x:c r="B560" s="117" t="str">
        <x:v>3005b000000LHirAAG</x:v>
      </x:c>
      <x:c r="C560" s="117" t="str">
        <x:v>301Ro00000PXyiEIAT</x:v>
      </x:c>
      <x:c r="D560" s="118" t="n">
        <x:v>24</x:v>
      </x:c>
      <x:c r="E560" s="117" t="str">
        <x:v>Obsolete</x:v>
      </x:c>
      <x:c r="F560" s="117" t="str">
        <x:v>No</x:v>
      </x:c>
      <x:c r="G560" s="117" t="str">
        <x:v>No</x:v>
      </x:c>
      <x:c r="H560" s="117" t="str">
        <x:v>Flow</x:v>
      </x:c>
      <x:c r="I560" s="118" t="n">
        <x:v>56</x:v>
      </x:c>
      <x:c r="J560" s="117" t="str">
        <x:v>unmanaged</x:v>
      </x:c>
      <x:c r="K560" s="123" t="b">
        <x:v>0</x:v>
      </x:c>
      <x:c r="L560" s="117"/>
      <x:c r="M560" s="118"/>
      <x:c r="N560" s="120" t="n">
        <x:v>45623.85702546296</x:v>
      </x:c>
      <x:c r="O560" s="117" t="str">
        <x:v>Delegate</x:v>
      </x:c>
      <x:c r="P560" s="120" t="n">
        <x:v>45623.85729166667</x:v>
      </x:c>
      <x:c r="Q560" s="117" t="str">
        <x:v>Delegate</x:v>
      </x:c>
      <x:c r="R560" s="117" t="str">
        <x:v>Create Item Receipt from Opp</x:v>
      </x:c>
      <x:c r="S560" s="119" t="str">
        <x:v>BW 11/27/2024 - Updated functionality to alter the way that the asset is getting updated to reduce SOQL errors</x:v>
      </x:c>
    </x:row>
    <x:row r="561" ht="30" customHeight="1">
      <x:c r="A561" s="117" t="str">
        <x:v>Create_Item_Receipt_from_Opp</x:v>
      </x:c>
      <x:c r="B561" s="117" t="str">
        <x:v>3005b000000LHirAAG</x:v>
      </x:c>
      <x:c r="C561" s="117" t="str">
        <x:v>301Ro00000PXjsxIAD</x:v>
      </x:c>
      <x:c r="D561" s="118" t="n">
        <x:v>25</x:v>
      </x:c>
      <x:c r="E561" s="117" t="str">
        <x:v>Obsolete</x:v>
      </x:c>
      <x:c r="F561" s="117" t="str">
        <x:v>No</x:v>
      </x:c>
      <x:c r="G561" s="117" t="str">
        <x:v>No</x:v>
      </x:c>
      <x:c r="H561" s="117" t="str">
        <x:v>Flow</x:v>
      </x:c>
      <x:c r="I561" s="118" t="n">
        <x:v>56</x:v>
      </x:c>
      <x:c r="J561" s="117" t="str">
        <x:v>unmanaged</x:v>
      </x:c>
      <x:c r="K561" s="123" t="b">
        <x:v>0</x:v>
      </x:c>
      <x:c r="L561" s="117"/>
      <x:c r="M561" s="118"/>
      <x:c r="N561" s="120" t="n">
        <x:v>45623.859664351854</x:v>
      </x:c>
      <x:c r="O561" s="117" t="str">
        <x:v>Delegate</x:v>
      </x:c>
      <x:c r="P561" s="120" t="n">
        <x:v>45623.85978009259</x:v>
      </x:c>
      <x:c r="Q561" s="117" t="str">
        <x:v>Delegate</x:v>
      </x:c>
      <x:c r="R561" s="117" t="str">
        <x:v>Create Item Receipt from Opp</x:v>
      </x:c>
      <x:c r="S561" s="119" t="str">
        <x:v>BW 11/27/2024 - Updated functionality to alter the way that the asset is getting updated to reduce SOQL errors</x:v>
      </x:c>
    </x:row>
    <x:row r="562" ht="30" customHeight="1">
      <x:c r="A562" s="117" t="str">
        <x:v>Create_Item_Receipt_from_Opp</x:v>
      </x:c>
      <x:c r="B562" s="117" t="str">
        <x:v>3005b000000LHirAAG</x:v>
      </x:c>
      <x:c r="C562" s="117" t="str">
        <x:v>301Ro00000Pva0UIAR</x:v>
      </x:c>
      <x:c r="D562" s="118" t="n">
        <x:v>26</x:v>
      </x:c>
      <x:c r="E562" s="117" t="str">
        <x:v>Obsolete</x:v>
      </x:c>
      <x:c r="F562" s="117" t="str">
        <x:v>No</x:v>
      </x:c>
      <x:c r="G562" s="117" t="str">
        <x:v>No</x:v>
      </x:c>
      <x:c r="H562" s="117" t="str">
        <x:v>Flow</x:v>
      </x:c>
      <x:c r="I562" s="118" t="n">
        <x:v>56</x:v>
      </x:c>
      <x:c r="J562" s="117" t="str">
        <x:v>unmanaged</x:v>
      </x:c>
      <x:c r="K562" s="123" t="b">
        <x:v>0</x:v>
      </x:c>
      <x:c r="L562" s="117"/>
      <x:c r="M562" s="118"/>
      <x:c r="N562" s="120" t="n">
        <x:v>45630.75195601852</x:v>
      </x:c>
      <x:c r="O562" s="117" t="str">
        <x:v>Delegate</x:v>
      </x:c>
      <x:c r="P562" s="120" t="n">
        <x:v>45630.75210648148</x:v>
      </x:c>
      <x:c r="Q562" s="117" t="str">
        <x:v>Delegate</x:v>
      </x:c>
      <x:c r="R562" s="117" t="str">
        <x:v>Create Item Receipt from Opp</x:v>
      </x:c>
      <x:c r="S562" s="119" t="str">
        <x:v>BW 12/04/2024 - Updated the flow's email node to be reflective of what values should be in production</x:v>
      </x:c>
    </x:row>
    <x:row r="563" ht="30" customHeight="1">
      <x:c r="A563" s="117" t="str">
        <x:v>Create_Item_Receipt_from_Opp</x:v>
      </x:c>
      <x:c r="B563" s="117" t="str">
        <x:v>3005b000000LHirAAG</x:v>
      </x:c>
      <x:c r="C563" s="117" t="str">
        <x:v>301Ro00000PvqrWIAR</x:v>
      </x:c>
      <x:c r="D563" s="118" t="n">
        <x:v>27</x:v>
      </x:c>
      <x:c r="E563" s="117" t="str">
        <x:v>Obsolete</x:v>
      </x:c>
      <x:c r="F563" s="117" t="str">
        <x:v>No</x:v>
      </x:c>
      <x:c r="G563" s="117" t="str">
        <x:v>No</x:v>
      </x:c>
      <x:c r="H563" s="117" t="str">
        <x:v>Flow</x:v>
      </x:c>
      <x:c r="I563" s="118" t="n">
        <x:v>56</x:v>
      </x:c>
      <x:c r="J563" s="117" t="str">
        <x:v>unmanaged</x:v>
      </x:c>
      <x:c r="K563" s="123" t="b">
        <x:v>0</x:v>
      </x:c>
      <x:c r="L563" s="117"/>
      <x:c r="M563" s="118"/>
      <x:c r="N563" s="120" t="n">
        <x:v>45630.752962962964</x:v>
      </x:c>
      <x:c r="O563" s="117" t="str">
        <x:v>Delegate</x:v>
      </x:c>
      <x:c r="P563" s="120" t="n">
        <x:v>45630.75309027778</x:v>
      </x:c>
      <x:c r="Q563" s="117" t="str">
        <x:v>Delegate</x:v>
      </x:c>
      <x:c r="R563" s="117" t="str">
        <x:v>Create Item Receipt from Opp</x:v>
      </x:c>
      <x:c r="S563" s="119" t="str">
        <x:v>BW 12/04/2024 - Updated the flow's email node to be reflective of what values should be in production</x:v>
      </x:c>
    </x:row>
    <x:row r="564" ht="30" customHeight="1">
      <x:c r="A564" s="117" t="str">
        <x:v>Create_Item_Receipt_from_Opp</x:v>
      </x:c>
      <x:c r="B564" s="117" t="str">
        <x:v>3005b000000LHirAAG</x:v>
      </x:c>
      <x:c r="C564" s="117" t="str">
        <x:v>301Ro00000PwJn4IAF</x:v>
      </x:c>
      <x:c r="D564" s="118" t="n">
        <x:v>28</x:v>
      </x:c>
      <x:c r="E564" s="117" t="str">
        <x:v>Obsolete</x:v>
      </x:c>
      <x:c r="F564" s="117" t="str">
        <x:v>No</x:v>
      </x:c>
      <x:c r="G564" s="117" t="str">
        <x:v>No</x:v>
      </x:c>
      <x:c r="H564" s="117" t="str">
        <x:v>Flow</x:v>
      </x:c>
      <x:c r="I564" s="118" t="n">
        <x:v>56</x:v>
      </x:c>
      <x:c r="J564" s="117" t="str">
        <x:v>unmanaged</x:v>
      </x:c>
      <x:c r="K564" s="123" t="b">
        <x:v>0</x:v>
      </x:c>
      <x:c r="L564" s="117"/>
      <x:c r="M564" s="118"/>
      <x:c r="N564" s="120" t="n">
        <x:v>45630.82146990741</x:v>
      </x:c>
      <x:c r="O564" s="117" t="str">
        <x:v>Delegate</x:v>
      </x:c>
      <x:c r="P564" s="120" t="n">
        <x:v>45630.82162037037</x:v>
      </x:c>
      <x:c r="Q564" s="117" t="str">
        <x:v>Delegate</x:v>
      </x:c>
      <x:c r="R564" s="117" t="str">
        <x:v>Create Item Receipt from Opp</x:v>
      </x:c>
      <x:c r="S564" s="119" t="str">
        <x:v>AM 12/04/2024 - Email alert corrections when Purchasing GL Account missing</x:v>
      </x:c>
    </x:row>
    <x:row r="565" ht="30" customHeight="1">
      <x:c r="A565" s="117" t="str">
        <x:v>Create_Item_Receipt_from_Opp</x:v>
      </x:c>
      <x:c r="B565" s="117" t="str">
        <x:v>3005b000000LHirAAG</x:v>
      </x:c>
      <x:c r="C565" s="117" t="str">
        <x:v>301Ro00000Q5FqiIAF</x:v>
      </x:c>
      <x:c r="D565" s="118" t="n">
        <x:v>29</x:v>
      </x:c>
      <x:c r="E565" s="117" t="str">
        <x:v>Draft</x:v>
      </x:c>
      <x:c r="F565" s="117" t="str">
        <x:v>No</x:v>
      </x:c>
      <x:c r="G565" s="117" t="str">
        <x:v>No</x:v>
      </x:c>
      <x:c r="H565" s="117" t="str">
        <x:v>Flow</x:v>
      </x:c>
      <x:c r="I565" s="118" t="n">
        <x:v>56</x:v>
      </x:c>
      <x:c r="J565" s="117" t="str">
        <x:v>unmanaged</x:v>
      </x:c>
      <x:c r="K565" s="123" t="b">
        <x:v>0</x:v>
      </x:c>
      <x:c r="L565" s="117"/>
      <x:c r="M565" s="118"/>
      <x:c r="N565" s="120" t="n">
        <x:v>45632.862905092596</x:v>
      </x:c>
      <x:c r="O565" s="117" t="str">
        <x:v>Delegate</x:v>
      </x:c>
      <x:c r="P565" s="120" t="n">
        <x:v>45632.862962962965</x:v>
      </x:c>
      <x:c r="Q565" s="117" t="str">
        <x:v>Delegate</x:v>
      </x:c>
      <x:c r="R565" s="117" t="str">
        <x:v>Create Item Receipt from Opp</x:v>
      </x:c>
      <x:c r="S565" s="119" t="str">
        <x:v>AM: Changed Criteria from Contains to Starts With "Component Part"</x:v>
      </x:c>
    </x:row>
    <x:row r="566" ht="30" customHeight="1">
      <x:c r="A566" s="117" t="str">
        <x:v>Create_Item_Receipt_from_Opp</x:v>
      </x:c>
      <x:c r="B566" s="117" t="str">
        <x:v>3005b000000LHirAAG</x:v>
      </x:c>
      <x:c r="C566" s="117" t="str">
        <x:v>301Ro00000QkfsSIAR</x:v>
      </x:c>
      <x:c r="D566" s="118" t="n">
        <x:v>30</x:v>
      </x:c>
      <x:c r="E566" s="117" t="str">
        <x:v>Obsolete</x:v>
      </x:c>
      <x:c r="F566" s="117" t="str">
        <x:v>No</x:v>
      </x:c>
      <x:c r="G566" s="117" t="str">
        <x:v>No</x:v>
      </x:c>
      <x:c r="H566" s="117" t="str">
        <x:v>Flow</x:v>
      </x:c>
      <x:c r="I566" s="118" t="n">
        <x:v>56</x:v>
      </x:c>
      <x:c r="J566" s="117" t="str">
        <x:v>unmanaged</x:v>
      </x:c>
      <x:c r="K566" s="123" t="b">
        <x:v>0</x:v>
      </x:c>
      <x:c r="L566" s="117"/>
      <x:c r="M566" s="118"/>
      <x:c r="N566" s="120" t="n">
        <x:v>45644.75509259259</x:v>
      </x:c>
      <x:c r="O566" s="117" t="str">
        <x:v>Delegate</x:v>
      </x:c>
      <x:c r="P566" s="120" t="n">
        <x:v>45644.755266203705</x:v>
      </x:c>
      <x:c r="Q566" s="117" t="str">
        <x:v>Delegate</x:v>
      </x:c>
      <x:c r="R566" s="117" t="str">
        <x:v>Create Item Receipt from Opp</x:v>
      </x:c>
      <x:c r="S566" s="119" t="str">
        <x:v>AM: Added Non-Inventory IR Quantity assignment value to missing assignment on node (it was removed from v18 in v19 and manually compared prod and sandbox.  Updated variances.</x:v>
      </x:c>
    </x:row>
    <x:row r="567" ht="30" customHeight="1">
      <x:c r="A567" s="117" t="str">
        <x:v>Create_Item_Receipt_from_Opp</x:v>
      </x:c>
      <x:c r="B567" s="117" t="str">
        <x:v>3005b000000LHirAAG</x:v>
      </x:c>
      <x:c r="C567" s="117" t="str">
        <x:v>301Ro00000QtKgjIAF</x:v>
      </x:c>
      <x:c r="D567" s="118" t="n">
        <x:v>31</x:v>
      </x:c>
      <x:c r="E567" s="117" t="str">
        <x:v>Obsolete</x:v>
      </x:c>
      <x:c r="F567" s="117" t="str">
        <x:v>No</x:v>
      </x:c>
      <x:c r="G567" s="117" t="str">
        <x:v>No</x:v>
      </x:c>
      <x:c r="H567" s="117" t="str">
        <x:v>Flow</x:v>
      </x:c>
      <x:c r="I567" s="118" t="n">
        <x:v>56</x:v>
      </x:c>
      <x:c r="J567" s="117" t="str">
        <x:v>unmanaged</x:v>
      </x:c>
      <x:c r="K567" s="123" t="b">
        <x:v>0</x:v>
      </x:c>
      <x:c r="L567" s="117"/>
      <x:c r="M567" s="118"/>
      <x:c r="N567" s="120" t="n">
        <x:v>45646.77496527778</x:v>
      </x:c>
      <x:c r="O567" s="117" t="str">
        <x:v>Delegate</x:v>
      </x:c>
      <x:c r="P567" s="120" t="n">
        <x:v>45646.77515046296</x:v>
      </x:c>
      <x:c r="Q567" s="117" t="str">
        <x:v>Delegate</x:v>
      </x:c>
      <x:c r="R567" s="117" t="str">
        <x:v>Create Item Receipt from Opp</x:v>
      </x:c>
      <x:c r="S567" s="119" t="str">
        <x:v>AM: Updated to include all products as Non-Inventory if doesn't have asset on opp as well.</x:v>
      </x:c>
    </x:row>
    <x:row r="568" ht="30" customHeight="1">
      <x:c r="A568" s="117" t="str">
        <x:v>Create_Item_Receipt_from_Opp</x:v>
      </x:c>
      <x:c r="B568" s="117" t="str">
        <x:v>3005b000000LHirAAG</x:v>
      </x:c>
      <x:c r="C568" s="117" t="str">
        <x:v>301Ro00000RKMZWIA5</x:v>
      </x:c>
      <x:c r="D568" s="118" t="n">
        <x:v>32</x:v>
      </x:c>
      <x:c r="E568" s="117" t="str">
        <x:v>Obsolete</x:v>
      </x:c>
      <x:c r="F568" s="117" t="str">
        <x:v>No</x:v>
      </x:c>
      <x:c r="G568" s="117" t="str">
        <x:v>No</x:v>
      </x:c>
      <x:c r="H568" s="117" t="str">
        <x:v>Flow</x:v>
      </x:c>
      <x:c r="I568" s="118" t="n">
        <x:v>56</x:v>
      </x:c>
      <x:c r="J568" s="117" t="str">
        <x:v>unmanaged</x:v>
      </x:c>
      <x:c r="K568" s="123" t="b">
        <x:v>0</x:v>
      </x:c>
      <x:c r="L568" s="117"/>
      <x:c r="M568" s="118"/>
      <x:c r="N568" s="120" t="n">
        <x:v>45656.89807870371</x:v>
      </x:c>
      <x:c r="O568" s="117" t="str">
        <x:v>Delegate</x:v>
      </x:c>
      <x:c r="P568" s="120" t="n">
        <x:v>45656.89821759259</x:v>
      </x:c>
      <x:c r="Q568" s="117" t="str">
        <x:v>Delegate</x:v>
      </x:c>
      <x:c r="R568" s="117" t="str">
        <x:v>Create Item Receipt from Opp</x:v>
      </x:c>
      <x:c r="S568" s="119" t="str">
        <x:v>AM: Added automatic sync to Intacct</x:v>
      </x:c>
    </x:row>
    <x:row r="569" ht="30" customHeight="1">
      <x:c r="A569" s="117" t="str">
        <x:v>Create_Item_Receipt_from_Opp</x:v>
      </x:c>
      <x:c r="B569" s="117" t="str">
        <x:v>3005b000000LHirAAG</x:v>
      </x:c>
      <x:c r="C569" s="117" t="str">
        <x:v>301Ro00000RhixWIAR</x:v>
      </x:c>
      <x:c r="D569" s="118" t="n">
        <x:v>33</x:v>
      </x:c>
      <x:c r="E569" s="117" t="str">
        <x:v>Obsolete</x:v>
      </x:c>
      <x:c r="F569" s="117" t="str">
        <x:v>No</x:v>
      </x:c>
      <x:c r="G569" s="117" t="str">
        <x:v>No</x:v>
      </x:c>
      <x:c r="H569" s="117" t="str">
        <x:v>Flow</x:v>
      </x:c>
      <x:c r="I569" s="118" t="n">
        <x:v>56</x:v>
      </x:c>
      <x:c r="J569" s="117" t="str">
        <x:v>unmanaged</x:v>
      </x:c>
      <x:c r="K569" s="123" t="b">
        <x:v>0</x:v>
      </x:c>
      <x:c r="L569" s="117"/>
      <x:c r="M569" s="118"/>
      <x:c r="N569" s="120" t="n">
        <x:v>45664.644641203704</x:v>
      </x:c>
      <x:c r="O569" s="117" t="str">
        <x:v>Delegate</x:v>
      </x:c>
      <x:c r="P569" s="120" t="n">
        <x:v>45664.64554398148</x:v>
      </x:c>
      <x:c r="Q569" s="117" t="str">
        <x:v>Delegate</x:v>
      </x:c>
      <x:c r="R569" s="117" t="str">
        <x:v>Create Item Receipt from Opp</x:v>
      </x:c>
      <x:c r="S569" s="119" t="str">
        <x:v>AM: Renaming IR Product due to Product Name being to long (plus 80 characters)</x:v>
      </x:c>
    </x:row>
    <x:row r="570" ht="30" customHeight="1">
      <x:c r="A570" s="117" t="str">
        <x:v>Create_Item_Receipt_from_Opp</x:v>
      </x:c>
      <x:c r="B570" s="117" t="str">
        <x:v>3005b000000LHirAAG</x:v>
      </x:c>
      <x:c r="C570" s="117" t="str">
        <x:v>301Ro00000RhONsIAN</x:v>
      </x:c>
      <x:c r="D570" s="118" t="n">
        <x:v>34</x:v>
      </x:c>
      <x:c r="E570" s="117" t="str">
        <x:v>Obsolete</x:v>
      </x:c>
      <x:c r="F570" s="117" t="str">
        <x:v>No</x:v>
      </x:c>
      <x:c r="G570" s="117" t="str">
        <x:v>No</x:v>
      </x:c>
      <x:c r="H570" s="117" t="str">
        <x:v>Flow</x:v>
      </x:c>
      <x:c r="I570" s="118" t="n">
        <x:v>56</x:v>
      </x:c>
      <x:c r="J570" s="117" t="str">
        <x:v>unmanaged</x:v>
      </x:c>
      <x:c r="K570" s="123" t="b">
        <x:v>0</x:v>
      </x:c>
      <x:c r="L570" s="117"/>
      <x:c r="M570" s="118"/>
      <x:c r="N570" s="120" t="n">
        <x:v>45664.646053240744</x:v>
      </x:c>
      <x:c r="O570" s="117" t="str">
        <x:v>Delegate</x:v>
      </x:c>
      <x:c r="P570" s="120" t="n">
        <x:v>45664.64619212963</x:v>
      </x:c>
      <x:c r="Q570" s="117" t="str">
        <x:v>Delegate</x:v>
      </x:c>
      <x:c r="R570" s="117" t="str">
        <x:v>Create Item Receipt from Opp</x:v>
      </x:c>
      <x:c r="S570" s="119" t="str">
        <x:v>AM: Renaming IR Product due to Product Name being to long (plus 80 characters)</x:v>
      </x:c>
    </x:row>
    <x:row r="571" ht="30" customHeight="1">
      <x:c r="A571" s="117" t="str">
        <x:v>Create_Item_Receipt_from_Opp</x:v>
      </x:c>
      <x:c r="B571" s="117" t="str">
        <x:v>3005b000000LHirAAG</x:v>
      </x:c>
      <x:c r="C571" s="117" t="str">
        <x:v>301Ro00000Rl39XIAR</x:v>
      </x:c>
      <x:c r="D571" s="118" t="n">
        <x:v>35</x:v>
      </x:c>
      <x:c r="E571" s="117" t="str">
        <x:v>Obsolete</x:v>
      </x:c>
      <x:c r="F571" s="117" t="str">
        <x:v>No</x:v>
      </x:c>
      <x:c r="G571" s="117" t="str">
        <x:v>No</x:v>
      </x:c>
      <x:c r="H571" s="117" t="str">
        <x:v>Flow</x:v>
      </x:c>
      <x:c r="I571" s="118" t="n">
        <x:v>56</x:v>
      </x:c>
      <x:c r="J571" s="117" t="str">
        <x:v>unmanaged</x:v>
      </x:c>
      <x:c r="K571" s="123" t="b">
        <x:v>0</x:v>
      </x:c>
      <x:c r="L571" s="117"/>
      <x:c r="M571" s="118"/>
      <x:c r="N571" s="120" t="n">
        <x:v>45665.601793981485</x:v>
      </x:c>
      <x:c r="O571" s="117" t="str">
        <x:v>Delegate</x:v>
      </x:c>
      <x:c r="P571" s="120" t="n">
        <x:v>45665.60192129629</x:v>
      </x:c>
      <x:c r="Q571" s="117" t="str">
        <x:v>Delegate</x:v>
      </x:c>
      <x:c r="R571" s="117" t="str">
        <x:v>Create Item Receipt from Opp</x:v>
      </x:c>
      <x:c r="S571" s="119" t="str">
        <x:v>AM: Added Submit to Accounting = TRUE to new IR</x:v>
      </x:c>
    </x:row>
    <x:row r="572" ht="30" customHeight="1">
      <x:c r="A572" s="117" t="str">
        <x:v>Create_Item_Receipt_from_Opp</x:v>
      </x:c>
      <x:c r="B572" s="117" t="str">
        <x:v>3005b000000LHirAAG</x:v>
      </x:c>
      <x:c r="C572" s="117" t="str">
        <x:v>301Ro00000RqhkeIAB</x:v>
      </x:c>
      <x:c r="D572" s="118" t="n">
        <x:v>36</x:v>
      </x:c>
      <x:c r="E572" s="117" t="str">
        <x:v>Obsolete</x:v>
      </x:c>
      <x:c r="F572" s="117" t="str">
        <x:v>No</x:v>
      </x:c>
      <x:c r="G572" s="117" t="str">
        <x:v>No</x:v>
      </x:c>
      <x:c r="H572" s="117" t="str">
        <x:v>Flow</x:v>
      </x:c>
      <x:c r="I572" s="118" t="n">
        <x:v>56</x:v>
      </x:c>
      <x:c r="J572" s="117" t="str">
        <x:v>unmanaged</x:v>
      </x:c>
      <x:c r="K572" s="123" t="b">
        <x:v>0</x:v>
      </x:c>
      <x:c r="L572" s="117"/>
      <x:c r="M572" s="118"/>
      <x:c r="N572" s="120" t="n">
        <x:v>45666.79751157408</x:v>
      </x:c>
      <x:c r="O572" s="117" t="str">
        <x:v>Delegate</x:v>
      </x:c>
      <x:c r="P572" s="120" t="n">
        <x:v>45666.797638888886</x:v>
      </x:c>
      <x:c r="Q572" s="117" t="str">
        <x:v>Delegate</x:v>
      </x:c>
      <x:c r="R572" s="117" t="str">
        <x:v>Create Item Receipt from Opp</x:v>
      </x:c>
      <x:c r="S572" s="119" t="str">
        <x:v>AM: Added decision node to stop IR creation if no Assets available</x:v>
      </x:c>
    </x:row>
    <x:row r="573" ht="30" customHeight="1">
      <x:c r="A573" s="117" t="str">
        <x:v>Create_Item_Receipt_from_Opp</x:v>
      </x:c>
      <x:c r="B573" s="117" t="str">
        <x:v>3005b000000LHirAAG</x:v>
      </x:c>
      <x:c r="C573" s="117" t="str">
        <x:v>301Ro00000RuJGiIAN</x:v>
      </x:c>
      <x:c r="D573" s="118" t="n">
        <x:v>37</x:v>
      </x:c>
      <x:c r="E573" s="117" t="str">
        <x:v>Obsolete</x:v>
      </x:c>
      <x:c r="F573" s="117" t="str">
        <x:v>No</x:v>
      </x:c>
      <x:c r="G573" s="117" t="str">
        <x:v>No</x:v>
      </x:c>
      <x:c r="H573" s="117" t="str">
        <x:v>Flow</x:v>
      </x:c>
      <x:c r="I573" s="118" t="n">
        <x:v>56</x:v>
      </x:c>
      <x:c r="J573" s="117" t="str">
        <x:v>unmanaged</x:v>
      </x:c>
      <x:c r="K573" s="123" t="b">
        <x:v>0</x:v>
      </x:c>
      <x:c r="L573" s="117"/>
      <x:c r="M573" s="118"/>
      <x:c r="N573" s="120" t="n">
        <x:v>45667.743310185186</x:v>
      </x:c>
      <x:c r="O573" s="117" t="str">
        <x:v>Delegate</x:v>
      </x:c>
      <x:c r="P573" s="120" t="n">
        <x:v>45684.629212962966</x:v>
      </x:c>
      <x:c r="Q573" s="117" t="str">
        <x:v>Delegate</x:v>
      </x:c>
      <x:c r="R573" s="117" t="str">
        <x:v>Create Item Receipt from Opp</x:v>
      </x:c>
      <x:c r="S573" s="119" t="str">
        <x:v>AM: readded submit to accounting = true</x:v>
      </x:c>
    </x:row>
    <x:row r="574" ht="30" customHeight="1">
      <x:c r="A574" s="117" t="str">
        <x:v>Create_Item_Receipt_from_Opp</x:v>
      </x:c>
      <x:c r="B574" s="117" t="str">
        <x:v>3005b000000LHirAAG</x:v>
      </x:c>
      <x:c r="C574" s="117" t="str">
        <x:v>301Ro00000Sqpb1IAB</x:v>
      </x:c>
      <x:c r="D574" s="118" t="n">
        <x:v>38</x:v>
      </x:c>
      <x:c r="E574" s="117" t="str">
        <x:v>Obsolete</x:v>
      </x:c>
      <x:c r="F574" s="117" t="str">
        <x:v>No</x:v>
      </x:c>
      <x:c r="G574" s="117" t="str">
        <x:v>No</x:v>
      </x:c>
      <x:c r="H574" s="117" t="str">
        <x:v>Flow</x:v>
      </x:c>
      <x:c r="I574" s="118" t="n">
        <x:v>56</x:v>
      </x:c>
      <x:c r="J574" s="117" t="str">
        <x:v>unmanaged</x:v>
      </x:c>
      <x:c r="K574" s="123" t="b">
        <x:v>0</x:v>
      </x:c>
      <x:c r="L574" s="117"/>
      <x:c r="M574" s="118"/>
      <x:c r="N574" s="120" t="n">
        <x:v>45684.628125</x:v>
      </x:c>
      <x:c r="O574" s="117" t="str">
        <x:v>Delegate</x:v>
      </x:c>
      <x:c r="P574" s="120" t="n">
        <x:v>45684.630162037036</x:v>
      </x:c>
      <x:c r="Q574" s="117" t="str">
        <x:v>Delegate</x:v>
      </x:c>
      <x:c r="R574" s="117" t="str">
        <x:v>Create Item Receipt from Opp</x:v>
      </x:c>
      <x:c r="S574" s="119" t="str">
        <x:v>AM: Merged previous two versions (sandbox)</x:v>
      </x:c>
    </x:row>
    <x:row r="575" ht="30" customHeight="1">
      <x:c r="A575" s="117" t="str">
        <x:v>Create_Item_Receipt_from_Opp</x:v>
      </x:c>
      <x:c r="B575" s="117" t="str">
        <x:v>3005b000000LHirAAG</x:v>
      </x:c>
      <x:c r="C575" s="117" t="str">
        <x:v>301Ro00000SrScPIAV</x:v>
      </x:c>
      <x:c r="D575" s="118" t="n">
        <x:v>39</x:v>
      </x:c>
      <x:c r="E575" s="117" t="str">
        <x:v>Obsolete</x:v>
      </x:c>
      <x:c r="F575" s="117" t="str">
        <x:v>No</x:v>
      </x:c>
      <x:c r="G575" s="117" t="str">
        <x:v>No</x:v>
      </x:c>
      <x:c r="H575" s="117" t="str">
        <x:v>Flow</x:v>
      </x:c>
      <x:c r="I575" s="118" t="n">
        <x:v>56</x:v>
      </x:c>
      <x:c r="J575" s="117" t="str">
        <x:v>unmanaged</x:v>
      </x:c>
      <x:c r="K575" s="123" t="b">
        <x:v>0</x:v>
      </x:c>
      <x:c r="L575" s="117"/>
      <x:c r="M575" s="118"/>
      <x:c r="N575" s="120" t="n">
        <x:v>45684.74085648148</x:v>
      </x:c>
      <x:c r="O575" s="117" t="str">
        <x:v>Delegate</x:v>
      </x:c>
      <x:c r="P575" s="120" t="n">
        <x:v>45684.74113425926</x:v>
      </x:c>
      <x:c r="Q575" s="117" t="str">
        <x:v>Delegate</x:v>
      </x:c>
      <x:c r="R575" s="117" t="str">
        <x:v>Create Item Receipt from Opp</x:v>
      </x:c>
      <x:c r="S575" s="119" t="str">
        <x:v>AM: Removed extra criteria on Get Asset node</x:v>
      </x:c>
    </x:row>
    <x:row r="576" ht="30" customHeight="1">
      <x:c r="A576" s="117" t="str">
        <x:v>Create_Item_Receipt_from_Opp</x:v>
      </x:c>
      <x:c r="B576" s="117" t="str">
        <x:v>3005b000000LHirAAG</x:v>
      </x:c>
      <x:c r="C576" s="117" t="str">
        <x:v>301Ro00000T0fVYIAZ</x:v>
      </x:c>
      <x:c r="D576" s="118" t="n">
        <x:v>40</x:v>
      </x:c>
      <x:c r="E576" s="117" t="str">
        <x:v>Obsolete</x:v>
      </x:c>
      <x:c r="F576" s="117" t="str">
        <x:v>No</x:v>
      </x:c>
      <x:c r="G576" s="117" t="str">
        <x:v>No</x:v>
      </x:c>
      <x:c r="H576" s="117" t="str">
        <x:v>Flow</x:v>
      </x:c>
      <x:c r="I576" s="118" t="n">
        <x:v>56</x:v>
      </x:c>
      <x:c r="J576" s="117" t="str">
        <x:v>unmanaged</x:v>
      </x:c>
      <x:c r="K576" s="123" t="b">
        <x:v>0</x:v>
      </x:c>
      <x:c r="L576" s="117"/>
      <x:c r="M576" s="118"/>
      <x:c r="N576" s="120" t="n">
        <x:v>45686.73732638889</x:v>
      </x:c>
      <x:c r="O576" s="117" t="str">
        <x:v>Jace Gentil</x:v>
      </x:c>
      <x:c r="P576" s="120" t="n">
        <x:v>45686.737488425926</x:v>
      </x:c>
      <x:c r="Q576" s="117" t="str">
        <x:v>Jace Gentil</x:v>
      </x:c>
      <x:c r="R576" s="117" t="str">
        <x:v>Create Item Receipt from Opp</x:v>
      </x:c>
      <x:c r="S576" s="119" t="str">
        <x:v>AM: Removed extra criteria on Get Asset node</x:v>
      </x:c>
    </x:row>
    <x:row r="577" ht="30" customHeight="1">
      <x:c r="A577" s="117" t="str">
        <x:v>Create_Item_Receipt_from_Opp</x:v>
      </x:c>
      <x:c r="B577" s="117" t="str">
        <x:v>3005b000000LHirAAG</x:v>
      </x:c>
      <x:c r="C577" s="117" t="str">
        <x:v>301Ro00000UMKy8IAH</x:v>
      </x:c>
      <x:c r="D577" s="118" t="n">
        <x:v>41</x:v>
      </x:c>
      <x:c r="E577" s="117" t="str">
        <x:v>Obsolete</x:v>
      </x:c>
      <x:c r="F577" s="117" t="str">
        <x:v>No</x:v>
      </x:c>
      <x:c r="G577" s="117" t="str">
        <x:v>No</x:v>
      </x:c>
      <x:c r="H577" s="117" t="str">
        <x:v>Flow</x:v>
      </x:c>
      <x:c r="I577" s="118" t="n">
        <x:v>56</x:v>
      </x:c>
      <x:c r="J577" s="117" t="str">
        <x:v>unmanaged</x:v>
      </x:c>
      <x:c r="K577" s="123" t="b">
        <x:v>0</x:v>
      </x:c>
      <x:c r="L577" s="117"/>
      <x:c r="M577" s="118"/>
      <x:c r="N577" s="120" t="n">
        <x:v>45708.59982638889</x:v>
      </x:c>
      <x:c r="O577" s="117" t="str">
        <x:v>Delegate</x:v>
      </x:c>
      <x:c r="P577" s="120" t="n">
        <x:v>45708.60003472222</x:v>
      </x:c>
      <x:c r="Q577" s="117" t="str">
        <x:v>Delegate</x:v>
      </x:c>
      <x:c r="R577" s="117" t="str">
        <x:v>Create Item Receipt from Opp</x:v>
      </x:c>
      <x:c r="S577" s="119" t="str">
        <x:v>AM: Readded Submit to Accounting = TRUE</x:v>
      </x:c>
    </x:row>
    <x:row r="578" ht="30" customHeight="1">
      <x:c r="A578" s="117" t="str">
        <x:v>Create_Item_Receipt_from_Opp</x:v>
      </x:c>
      <x:c r="B578" s="117" t="str">
        <x:v>3005b000000LHirAAG</x:v>
      </x:c>
      <x:c r="C578" s="117" t="str">
        <x:v>301Ro00000UiTBYIA3</x:v>
      </x:c>
      <x:c r="D578" s="118" t="n">
        <x:v>42</x:v>
      </x:c>
      <x:c r="E578" s="117" t="str">
        <x:v>Obsolete</x:v>
      </x:c>
      <x:c r="F578" s="117" t="str">
        <x:v>No</x:v>
      </x:c>
      <x:c r="G578" s="117" t="str">
        <x:v>No</x:v>
      </x:c>
      <x:c r="H578" s="117" t="str">
        <x:v>Flow</x:v>
      </x:c>
      <x:c r="I578" s="118" t="n">
        <x:v>56</x:v>
      </x:c>
      <x:c r="J578" s="117" t="str">
        <x:v>unmanaged</x:v>
      </x:c>
      <x:c r="K578" s="123" t="b">
        <x:v>0</x:v>
      </x:c>
      <x:c r="L578" s="117"/>
      <x:c r="M578" s="118"/>
      <x:c r="N578" s="120" t="n">
        <x:v>45714.659097222226</x:v>
      </x:c>
      <x:c r="O578" s="117" t="str">
        <x:v>Delegate</x:v>
      </x:c>
      <x:c r="P578" s="120" t="n">
        <x:v>45714.661087962966</x:v>
      </x:c>
      <x:c r="Q578" s="117" t="str">
        <x:v>Delegate</x:v>
      </x:c>
      <x:c r="R578" s="117" t="str">
        <x:v>Create Item Receipt from Opp</x:v>
      </x:c>
      <x:c r="S578" s="119" t="str">
        <x:v>AM: Updated Non-Inventory IR Product Total Cost formula</x:v>
      </x:c>
    </x:row>
    <x:row r="579" ht="30" customHeight="1">
      <x:c r="A579" s="117" t="str">
        <x:v>Create_Item_Receipt_from_Opp</x:v>
      </x:c>
      <x:c r="B579" s="117" t="str">
        <x:v>3005b000000LHirAAG</x:v>
      </x:c>
      <x:c r="C579" s="117" t="str">
        <x:v>301Ro00000Umk5vIAB</x:v>
      </x:c>
      <x:c r="D579" s="118" t="n">
        <x:v>43</x:v>
      </x:c>
      <x:c r="E579" s="117" t="str">
        <x:v>Obsolete</x:v>
      </x:c>
      <x:c r="F579" s="117" t="str">
        <x:v>No</x:v>
      </x:c>
      <x:c r="G579" s="117" t="str">
        <x:v>No</x:v>
      </x:c>
      <x:c r="H579" s="117" t="str">
        <x:v>Flow</x:v>
      </x:c>
      <x:c r="I579" s="118" t="n">
        <x:v>56</x:v>
      </x:c>
      <x:c r="J579" s="117" t="str">
        <x:v>unmanaged</x:v>
      </x:c>
      <x:c r="K579" s="123" t="b">
        <x:v>0</x:v>
      </x:c>
      <x:c r="L579" s="117"/>
      <x:c r="M579" s="118"/>
      <x:c r="N579" s="120" t="n">
        <x:v>45715.69186342593</x:v>
      </x:c>
      <x:c r="O579" s="117" t="str">
        <x:v>Delegate</x:v>
      </x:c>
      <x:c r="P579" s="120" t="n">
        <x:v>45715.69201388889</x:v>
      </x:c>
      <x:c r="Q579" s="117" t="str">
        <x:v>Delegate</x:v>
      </x:c>
      <x:c r="R579" s="117" t="str">
        <x:v>Create Item Receipt from Opp</x:v>
      </x:c>
      <x:c r="S579" s="119" t="str">
        <x:v>AM: Corrected New Receipt Link URL</x:v>
      </x:c>
    </x:row>
    <x:row r="580" ht="30" customHeight="1">
      <x:c r="A580" s="117" t="str">
        <x:v>Create_Item_Receipt_from_Opp</x:v>
      </x:c>
      <x:c r="B580" s="117" t="str">
        <x:v>3005b000000LHirAAG</x:v>
      </x:c>
      <x:c r="C580" s="117" t="str">
        <x:v>301Ro00000VdaukIAB</x:v>
      </x:c>
      <x:c r="D580" s="118" t="n">
        <x:v>44</x:v>
      </x:c>
      <x:c r="E580" s="117" t="str">
        <x:v>Obsolete</x:v>
      </x:c>
      <x:c r="F580" s="117" t="str">
        <x:v>No</x:v>
      </x:c>
      <x:c r="G580" s="117" t="str">
        <x:v>No</x:v>
      </x:c>
      <x:c r="H580" s="117" t="str">
        <x:v>Flow</x:v>
      </x:c>
      <x:c r="I580" s="118" t="n">
        <x:v>56</x:v>
      </x:c>
      <x:c r="J580" s="117" t="str">
        <x:v>unmanaged</x:v>
      </x:c>
      <x:c r="K580" s="123" t="b">
        <x:v>0</x:v>
      </x:c>
      <x:c r="L580" s="117"/>
      <x:c r="M580" s="118"/>
      <x:c r="N580" s="120" t="n">
        <x:v>45729.952314814815</x:v>
      </x:c>
      <x:c r="O580" s="117" t="str">
        <x:v>Delegate</x:v>
      </x:c>
      <x:c r="P580" s="120" t="n">
        <x:v>45729.95247685185</x:v>
      </x:c>
      <x:c r="Q580" s="117" t="str">
        <x:v>Delegate</x:v>
      </x:c>
      <x:c r="R580" s="117" t="str">
        <x:v>Create Item Receipt from Opp</x:v>
      </x:c>
      <x:c r="S580" s="119" t="str">
        <x:v>AM: Update formula to take IR Quantity * Probo offer and not total probo offer.</x:v>
      </x:c>
    </x:row>
    <x:row r="581" ht="30" customHeight="1">
      <x:c r="A581" s="117" t="str">
        <x:v>Create_Item_Receipt_from_Opp</x:v>
      </x:c>
      <x:c r="B581" s="117" t="str">
        <x:v>3005b000000LHirAAG</x:v>
      </x:c>
      <x:c r="C581" s="117" t="str">
        <x:v>301Ro00000Yc9wLIAR</x:v>
      </x:c>
      <x:c r="D581" s="118" t="n">
        <x:v>45</x:v>
      </x:c>
      <x:c r="E581" s="117" t="str">
        <x:v>Obsolete</x:v>
      </x:c>
      <x:c r="F581" s="117" t="str">
        <x:v>No</x:v>
      </x:c>
      <x:c r="G581" s="117" t="str">
        <x:v>No</x:v>
      </x:c>
      <x:c r="H581" s="117" t="str">
        <x:v>Flow</x:v>
      </x:c>
      <x:c r="I581" s="118" t="n">
        <x:v>56</x:v>
      </x:c>
      <x:c r="J581" s="117" t="str">
        <x:v>unmanaged</x:v>
      </x:c>
      <x:c r="K581" s="123" t="b">
        <x:v>0</x:v>
      </x:c>
      <x:c r="L581" s="117"/>
      <x:c r="M581" s="118"/>
      <x:c r="N581" s="120" t="n">
        <x:v>45783.57289351852</x:v>
      </x:c>
      <x:c r="O581" s="117" t="str">
        <x:v>Delegate</x:v>
      </x:c>
      <x:c r="P581" s="120" t="n">
        <x:v>45783.58042824074</x:v>
      </x:c>
      <x:c r="Q581" s="117" t="str">
        <x:v>Delegate</x:v>
      </x:c>
      <x:c r="R581" s="117" t="str">
        <x:v>Create Item Receipt from Opp</x:v>
      </x:c>
      <x:c r="S581" s="119" t="str">
        <x:v>AM: Added error and loop back for IR Quantity missing</x:v>
      </x:c>
    </x:row>
    <x:row r="582" ht="30" customHeight="1">
      <x:c r="A582" s="117" t="str">
        <x:v>Create_Item_Receipt_from_Opp</x:v>
      </x:c>
      <x:c r="B582" s="117" t="str">
        <x:v>3005b000000LHirAAG</x:v>
      </x:c>
      <x:c r="C582" s="117" t="str">
        <x:v>301Ro00000YrKjQIAV</x:v>
      </x:c>
      <x:c r="D582" s="118" t="n">
        <x:v>46</x:v>
      </x:c>
      <x:c r="E582" s="117" t="str">
        <x:v>Obsolete</x:v>
      </x:c>
      <x:c r="F582" s="117" t="str">
        <x:v>No</x:v>
      </x:c>
      <x:c r="G582" s="117" t="str">
        <x:v>No</x:v>
      </x:c>
      <x:c r="H582" s="117" t="str">
        <x:v>Flow</x:v>
      </x:c>
      <x:c r="I582" s="118" t="n">
        <x:v>56</x:v>
      </x:c>
      <x:c r="J582" s="117" t="str">
        <x:v>unmanaged</x:v>
      </x:c>
      <x:c r="K582" s="123" t="b">
        <x:v>0</x:v>
      </x:c>
      <x:c r="L582" s="117"/>
      <x:c r="M582" s="118"/>
      <x:c r="N582" s="120" t="n">
        <x:v>45786.87196759259</x:v>
      </x:c>
      <x:c r="O582" s="117" t="str">
        <x:v>Delegate</x:v>
      </x:c>
      <x:c r="P582" s="120" t="n">
        <x:v>45786.87459490741</x:v>
      </x:c>
      <x:c r="Q582" s="117" t="str">
        <x:v>Delegate</x:v>
      </x:c>
      <x:c r="R582" s="117" t="str">
        <x:v>Create Item Receipt from Opp</x:v>
      </x:c>
      <x:c r="S582" s="119" t="str">
        <x:v>AM: Added error and loop back for Asset Cost missing</x:v>
      </x:c>
    </x:row>
    <x:row r="583" ht="30" customHeight="1">
      <x:c r="A583" s="117" t="str">
        <x:v>Create_Item_Receipt_from_Opp</x:v>
      </x:c>
      <x:c r="B583" s="117" t="str">
        <x:v>3005b000000LHirAAG</x:v>
      </x:c>
      <x:c r="C583" s="117" t="str">
        <x:v>301Ro00000c6uw9IAA</x:v>
      </x:c>
      <x:c r="D583" s="118" t="n">
        <x:v>47</x:v>
      </x:c>
      <x:c r="E583" s="117" t="str">
        <x:v>Obsolete</x:v>
      </x:c>
      <x:c r="F583" s="117" t="str">
        <x:v>No</x:v>
      </x:c>
      <x:c r="G583" s="117" t="str">
        <x:v>No</x:v>
      </x:c>
      <x:c r="H583" s="117" t="str">
        <x:v>Flow</x:v>
      </x:c>
      <x:c r="I583" s="118" t="n">
        <x:v>56</x:v>
      </x:c>
      <x:c r="J583" s="117" t="str">
        <x:v>unmanaged</x:v>
      </x:c>
      <x:c r="K583" s="123" t="b">
        <x:v>0</x:v>
      </x:c>
      <x:c r="L583" s="117"/>
      <x:c r="M583" s="118"/>
      <x:c r="N583" s="120" t="n">
        <x:v>45826.16986111111</x:v>
      </x:c>
      <x:c r="O583" s="117" t="str">
        <x:v>Natalie Boger</x:v>
      </x:c>
      <x:c r="P583" s="120" t="n">
        <x:v>45826.17018518518</x:v>
      </x:c>
      <x:c r="Q583" s="117" t="str">
        <x:v>Natalie Boger</x:v>
      </x:c>
      <x:c r="R583" s="117" t="str">
        <x:v>Create Item Receipt from Opp</x:v>
      </x:c>
      <x:c r="S583" s="119" t="str">
        <x:v>NB: Add lot number and quantity remaining for IR product (and lot number for opp product as well)</x:v>
      </x:c>
    </x:row>
    <x:row r="584" ht="30" customHeight="1">
      <x:c r="A584" s="117" t="str">
        <x:v>Create_Item_Receipt_from_Opp</x:v>
      </x:c>
      <x:c r="B584" s="117" t="str">
        <x:v>3005b000000LHirAAG</x:v>
      </x:c>
      <x:c r="C584" s="117" t="str">
        <x:v>301Ro00000c70AHIAY</x:v>
      </x:c>
      <x:c r="D584" s="118" t="n">
        <x:v>48</x:v>
      </x:c>
      <x:c r="E584" s="117" t="str">
        <x:v>Obsolete</x:v>
      </x:c>
      <x:c r="F584" s="117" t="str">
        <x:v>No</x:v>
      </x:c>
      <x:c r="G584" s="117" t="str">
        <x:v>No</x:v>
      </x:c>
      <x:c r="H584" s="117" t="str">
        <x:v>Flow</x:v>
      </x:c>
      <x:c r="I584" s="118" t="n">
        <x:v>56</x:v>
      </x:c>
      <x:c r="J584" s="117" t="str">
        <x:v>unmanaged</x:v>
      </x:c>
      <x:c r="K584" s="123" t="b">
        <x:v>0</x:v>
      </x:c>
      <x:c r="L584" s="117"/>
      <x:c r="M584" s="118"/>
      <x:c r="N584" s="120" t="n">
        <x:v>45826.17870370371</x:v>
      </x:c>
      <x:c r="O584" s="117" t="str">
        <x:v>Natalie Boger</x:v>
      </x:c>
      <x:c r="P584" s="120" t="n">
        <x:v>45826.17896990741</x:v>
      </x:c>
      <x:c r="Q584" s="117" t="str">
        <x:v>Natalie Boger</x:v>
      </x:c>
      <x:c r="R584" s="117" t="str">
        <x:v>Create Item Receipt from Opp</x:v>
      </x:c>
      <x:c r="S584" s="119" t="str">
        <x:v>NB: Fix URL in End Flow</x:v>
      </x:c>
    </x:row>
    <x:row r="585" ht="30" customHeight="1">
      <x:c r="A585" s="117" t="str">
        <x:v>Create_Item_Receipt_from_Opp</x:v>
      </x:c>
      <x:c r="B585" s="117" t="str">
        <x:v>3005b000000LHirAAG</x:v>
      </x:c>
      <x:c r="C585" s="117" t="str">
        <x:v>301Ro00000diqhFIAQ</x:v>
      </x:c>
      <x:c r="D585" s="118" t="n">
        <x:v>49</x:v>
      </x:c>
      <x:c r="E585" s="117" t="str">
        <x:v>Obsolete</x:v>
      </x:c>
      <x:c r="F585" s="117" t="str">
        <x:v>No</x:v>
      </x:c>
      <x:c r="G585" s="117" t="str">
        <x:v>No</x:v>
      </x:c>
      <x:c r="H585" s="117" t="str">
        <x:v>Flow</x:v>
      </x:c>
      <x:c r="I585" s="118" t="n">
        <x:v>56</x:v>
      </x:c>
      <x:c r="J585" s="117" t="str">
        <x:v>unmanaged</x:v>
      </x:c>
      <x:c r="K585" s="123" t="b">
        <x:v>0</x:v>
      </x:c>
      <x:c r="L585" s="117"/>
      <x:c r="M585" s="118"/>
      <x:c r="N585" s="120" t="n">
        <x:v>45841.627962962964</x:v>
      </x:c>
      <x:c r="O585" s="117" t="str">
        <x:v>Bill Hagarty</x:v>
      </x:c>
      <x:c r="P585" s="120" t="n">
        <x:v>45841.7684375</x:v>
      </x:c>
      <x:c r="Q585" s="117" t="str">
        <x:v>Bill Hagarty</x:v>
      </x:c>
      <x:c r="R585" s="117" t="str">
        <x:v>Create Item Receipt from Opp</x:v>
      </x:c>
      <x:c r="S585" s="119" t="str">
        <x:v>NB: Fix URL in End Flow</x:v>
      </x:c>
    </x:row>
    <x:row r="586" ht="30" customHeight="1">
      <x:c r="A586" s="117" t="str">
        <x:v>Create_Item_Receipt_from_Opp</x:v>
      </x:c>
      <x:c r="B586" s="117" t="str">
        <x:v>3005b000000LHirAAG</x:v>
      </x:c>
      <x:c r="C586" s="117" t="str">
        <x:v>301Ro00000eeCEsIAM</x:v>
      </x:c>
      <x:c r="D586" s="118" t="n">
        <x:v>50</x:v>
      </x:c>
      <x:c r="E586" s="117" t="str">
        <x:v>Obsolete</x:v>
      </x:c>
      <x:c r="F586" s="117" t="str">
        <x:v>No</x:v>
      </x:c>
      <x:c r="G586" s="117" t="str">
        <x:v>Yes</x:v>
      </x:c>
      <x:c r="H586" s="117" t="str">
        <x:v>Flow</x:v>
      </x:c>
      <x:c r="I586" s="118" t="n">
        <x:v>56</x:v>
      </x:c>
      <x:c r="J586" s="117" t="str">
        <x:v>unmanaged</x:v>
      </x:c>
      <x:c r="K586" s="123" t="b">
        <x:v>0</x:v>
      </x:c>
      <x:c r="L586" s="117"/>
      <x:c r="M586" s="118"/>
      <x:c r="N586" s="120" t="n">
        <x:v>45849.65480324074</x:v>
      </x:c>
      <x:c r="O586" s="117" t="str">
        <x:v>Bill Hagarty</x:v>
      </x:c>
      <x:c r="P586" s="120" t="n">
        <x:v>45884.80574074074</x:v>
      </x:c>
      <x:c r="Q586" s="117" t="str">
        <x:v>Sacha Pearce</x:v>
      </x:c>
      <x:c r="R586" s="117" t="str">
        <x:v>Create Item Receipt from Opp</x:v>
      </x:c>
      <x:c r="S586" s="119" t="str">
        <x:v>NB: Fix URL in End Flow</x:v>
      </x:c>
    </x:row>
    <x:row r="587" ht="30" customHeight="1">
      <x:c r="A587" s="117" t="str">
        <x:v>Create_Master_Draws</x:v>
      </x:c>
      <x:c r="B587" s="117" t="str">
        <x:v>3004O000000LOsBQAW</x:v>
      </x:c>
      <x:c r="C587" s="117" t="str">
        <x:v>3014O000000M0WDQA0</x:v>
      </x:c>
      <x:c r="D587" s="118" t="n">
        <x:v>1</x:v>
      </x:c>
      <x:c r="E587" s="117" t="str">
        <x:v>Draft</x:v>
      </x:c>
      <x:c r="F587" s="117" t="str">
        <x:v>No</x:v>
      </x:c>
      <x:c r="G587" s="117" t="str">
        <x:v>No</x:v>
      </x:c>
      <x:c r="H587" s="117" t="str">
        <x:v>AutoLaunchedFlow</x:v>
      </x:c>
      <x:c r="I587" s="118" t="n">
        <x:v>50</x:v>
      </x:c>
      <x:c r="J587" s="117" t="str">
        <x:v>unmanaged</x:v>
      </x:c>
      <x:c r="K587" s="123" t="b">
        <x:v>0</x:v>
      </x:c>
      <x:c r="L587" s="117"/>
      <x:c r="M587" s="118"/>
      <x:c r="N587" s="120" t="n">
        <x:v>44199.682546296295</x:v>
      </x:c>
      <x:c r="O587" s="117" t="str">
        <x:v>Delegate</x:v>
      </x:c>
      <x:c r="P587" s="120" t="n">
        <x:v>44199.68255787037</x:v>
      </x:c>
      <x:c r="Q587" s="117" t="str">
        <x:v>Delegate</x:v>
      </x:c>
      <x:c r="R587" s="117" t="str">
        <x:v>Create Master Draws</x:v>
      </x:c>
      <x:c r="S587" s="119" t="str">
        <x:v>Creates the draws for reps for the upcoming month</x:v>
      </x:c>
    </x:row>
    <x:row r="588" ht="30" customHeight="1">
      <x:c r="A588" s="117" t="str">
        <x:v>Create_Master_Draws</x:v>
      </x:c>
      <x:c r="B588" s="117" t="str">
        <x:v>3004O000000LOsBQAW</x:v>
      </x:c>
      <x:c r="C588" s="117" t="str">
        <x:v>3014O000000M0WtQAK</x:v>
      </x:c>
      <x:c r="D588" s="118" t="n">
        <x:v>2</x:v>
      </x:c>
      <x:c r="E588" s="117" t="str">
        <x:v>Active</x:v>
      </x:c>
      <x:c r="F588" s="117" t="str">
        <x:v>Yes</x:v>
      </x:c>
      <x:c r="G588" s="117" t="str">
        <x:v>Yes</x:v>
      </x:c>
      <x:c r="H588" s="117" t="str">
        <x:v>AutoLaunchedFlow</x:v>
      </x:c>
      <x:c r="I588" s="118" t="n">
        <x:v>50</x:v>
      </x:c>
      <x:c r="J588" s="117" t="str">
        <x:v>unmanaged</x:v>
      </x:c>
      <x:c r="K588" s="123" t="b">
        <x:v>0</x:v>
      </x:c>
      <x:c r="L588" s="117"/>
      <x:c r="M588" s="118"/>
      <x:c r="N588" s="120" t="n">
        <x:v>44199.74928240741</x:v>
      </x:c>
      <x:c r="O588" s="117" t="str">
        <x:v>Delegate</x:v>
      </x:c>
      <x:c r="P588" s="120" t="n">
        <x:v>44199.85832175926</x:v>
      </x:c>
      <x:c r="Q588" s="117" t="str">
        <x:v>Trent VanEmon</x:v>
      </x:c>
      <x:c r="R588" s="117" t="str">
        <x:v>Create Master Draws</x:v>
      </x:c>
      <x:c r="S588" s="119" t="str">
        <x:v>Creates the draws for reps for the upcoming month</x:v>
      </x:c>
    </x:row>
    <x:row r="589" ht="30" customHeight="1">
      <x:c r="A589" s="117" t="str">
        <x:v>Create_NEW_Lead_from_Existing_Contact</x:v>
      </x:c>
      <x:c r="B589" s="117" t="str">
        <x:v>3005b000000LHW7AAO</x:v>
      </x:c>
      <x:c r="C589" s="117" t="str">
        <x:v>3015b000000ADC1AAO</x:v>
      </x:c>
      <x:c r="D589" s="118" t="n">
        <x:v>1</x:v>
      </x:c>
      <x:c r="E589" s="117" t="str">
        <x:v>Obsolete</x:v>
      </x:c>
      <x:c r="F589" s="117" t="str">
        <x:v>No</x:v>
      </x:c>
      <x:c r="G589" s="117" t="str">
        <x:v>No</x:v>
      </x:c>
      <x:c r="H589" s="117" t="str">
        <x:v>Flow</x:v>
      </x:c>
      <x:c r="I589" s="118" t="n">
        <x:v>56</x:v>
      </x:c>
      <x:c r="J589" s="117" t="str">
        <x:v>unmanaged</x:v>
      </x:c>
      <x:c r="K589" s="123" t="b">
        <x:v>0</x:v>
      </x:c>
      <x:c r="L589" s="117"/>
      <x:c r="M589" s="118"/>
      <x:c r="N589" s="120" t="n">
        <x:v>44924.65142361111</x:v>
      </x:c>
      <x:c r="O589" s="117" t="str">
        <x:v>Jace Gentil</x:v>
      </x:c>
      <x:c r="P589" s="120" t="n">
        <x:v>44924.65146990741</x:v>
      </x:c>
      <x:c r="Q589" s="117" t="str">
        <x:v>Jace Gentil</x:v>
      </x:c>
      <x:c r="R589" s="117" t="str">
        <x:v>Create NEW Lead from Existing Contact</x:v>
      </x:c>
      <x:c r="S589" s="119"/>
    </x:row>
    <x:row r="590" ht="30" customHeight="1">
      <x:c r="A590" s="117" t="str">
        <x:v>Create_NEW_Lead_from_Existing_Contact</x:v>
      </x:c>
      <x:c r="B590" s="117" t="str">
        <x:v>3005b000000LHW7AAO</x:v>
      </x:c>
      <x:c r="C590" s="117" t="str">
        <x:v>3015b000000ADC6AAO</x:v>
      </x:c>
      <x:c r="D590" s="118" t="n">
        <x:v>2</x:v>
      </x:c>
      <x:c r="E590" s="117" t="str">
        <x:v>Obsolete</x:v>
      </x:c>
      <x:c r="F590" s="117" t="str">
        <x:v>No</x:v>
      </x:c>
      <x:c r="G590" s="117" t="str">
        <x:v>No</x:v>
      </x:c>
      <x:c r="H590" s="117" t="str">
        <x:v>Flow</x:v>
      </x:c>
      <x:c r="I590" s="118" t="n">
        <x:v>56</x:v>
      </x:c>
      <x:c r="J590" s="117" t="str">
        <x:v>unmanaged</x:v>
      </x:c>
      <x:c r="K590" s="123" t="b">
        <x:v>0</x:v>
      </x:c>
      <x:c r="L590" s="117"/>
      <x:c r="M590" s="118"/>
      <x:c r="N590" s="120" t="n">
        <x:v>44924.65583333333</x:v>
      </x:c>
      <x:c r="O590" s="117" t="str">
        <x:v>Jace Gentil</x:v>
      </x:c>
      <x:c r="P590" s="120" t="n">
        <x:v>44924.65587962963</x:v>
      </x:c>
      <x:c r="Q590" s="117" t="str">
        <x:v>Jace Gentil</x:v>
      </x:c>
      <x:c r="R590" s="117" t="str">
        <x:v>Create NEW Lead from Existing Contact</x:v>
      </x:c>
      <x:c r="S590" s="119"/>
    </x:row>
    <x:row r="591" ht="30" customHeight="1">
      <x:c r="A591" s="117" t="str">
        <x:v>Create_NEW_Lead_from_Existing_Contact</x:v>
      </x:c>
      <x:c r="B591" s="117" t="str">
        <x:v>3005b000000LHW7AAO</x:v>
      </x:c>
      <x:c r="C591" s="117" t="str">
        <x:v>3015b000000ADCGAA4</x:v>
      </x:c>
      <x:c r="D591" s="118" t="n">
        <x:v>3</x:v>
      </x:c>
      <x:c r="E591" s="117" t="str">
        <x:v>Draft</x:v>
      </x:c>
      <x:c r="F591" s="117" t="str">
        <x:v>No</x:v>
      </x:c>
      <x:c r="G591" s="117" t="str">
        <x:v>No</x:v>
      </x:c>
      <x:c r="H591" s="117" t="str">
        <x:v>Flow</x:v>
      </x:c>
      <x:c r="I591" s="118" t="n">
        <x:v>56</x:v>
      </x:c>
      <x:c r="J591" s="117" t="str">
        <x:v>unmanaged</x:v>
      </x:c>
      <x:c r="K591" s="123" t="b">
        <x:v>0</x:v>
      </x:c>
      <x:c r="L591" s="117"/>
      <x:c r="M591" s="118"/>
      <x:c r="N591" s="120" t="n">
        <x:v>44924.65788194445</x:v>
      </x:c>
      <x:c r="O591" s="117" t="str">
        <x:v>Jace Gentil</x:v>
      </x:c>
      <x:c r="P591" s="120" t="n">
        <x:v>44924.65789351852</x:v>
      </x:c>
      <x:c r="Q591" s="117" t="str">
        <x:v>Jace Gentil</x:v>
      </x:c>
      <x:c r="R591" s="117" t="str">
        <x:v>Create NEW Lead from Existing Contact</x:v>
      </x:c>
      <x:c r="S591" s="119"/>
    </x:row>
    <x:row r="592" ht="30" customHeight="1">
      <x:c r="A592" s="117" t="str">
        <x:v>Create_NEW_Lead_from_Existing_Contact</x:v>
      </x:c>
      <x:c r="B592" s="117" t="str">
        <x:v>3005b000000LHW7AAO</x:v>
      </x:c>
      <x:c r="C592" s="117" t="str">
        <x:v>3015b000000ADCLAA4</x:v>
      </x:c>
      <x:c r="D592" s="118" t="n">
        <x:v>4</x:v>
      </x:c>
      <x:c r="E592" s="117" t="str">
        <x:v>Obsolete</x:v>
      </x:c>
      <x:c r="F592" s="117" t="str">
        <x:v>No</x:v>
      </x:c>
      <x:c r="G592" s="117" t="str">
        <x:v>No</x:v>
      </x:c>
      <x:c r="H592" s="117" t="str">
        <x:v>Flow</x:v>
      </x:c>
      <x:c r="I592" s="118" t="n">
        <x:v>56</x:v>
      </x:c>
      <x:c r="J592" s="117" t="str">
        <x:v>unmanaged</x:v>
      </x:c>
      <x:c r="K592" s="123" t="b">
        <x:v>0</x:v>
      </x:c>
      <x:c r="L592" s="117"/>
      <x:c r="M592" s="118"/>
      <x:c r="N592" s="120" t="n">
        <x:v>44924.65809027778</x:v>
      </x:c>
      <x:c r="O592" s="117" t="str">
        <x:v>Jace Gentil</x:v>
      </x:c>
      <x:c r="P592" s="120" t="n">
        <x:v>44924.658125</x:v>
      </x:c>
      <x:c r="Q592" s="117" t="str">
        <x:v>Jace Gentil</x:v>
      </x:c>
      <x:c r="R592" s="117" t="str">
        <x:v>Create NEW Lead from Existing Contact</x:v>
      </x:c>
      <x:c r="S592" s="119"/>
    </x:row>
    <x:row r="593" ht="30" customHeight="1">
      <x:c r="A593" s="117" t="str">
        <x:v>Create_NEW_Lead_from_Existing_Contact</x:v>
      </x:c>
      <x:c r="B593" s="117" t="str">
        <x:v>3005b000000LHW7AAO</x:v>
      </x:c>
      <x:c r="C593" s="117" t="str">
        <x:v>3015b000000ADVIAA4</x:v>
      </x:c>
      <x:c r="D593" s="118" t="n">
        <x:v>5</x:v>
      </x:c>
      <x:c r="E593" s="117" t="str">
        <x:v>Obsolete</x:v>
      </x:c>
      <x:c r="F593" s="117" t="str">
        <x:v>No</x:v>
      </x:c>
      <x:c r="G593" s="117" t="str">
        <x:v>No</x:v>
      </x:c>
      <x:c r="H593" s="117" t="str">
        <x:v>Flow</x:v>
      </x:c>
      <x:c r="I593" s="118" t="n">
        <x:v>56</x:v>
      </x:c>
      <x:c r="J593" s="117" t="str">
        <x:v>unmanaged</x:v>
      </x:c>
      <x:c r="K593" s="123" t="b">
        <x:v>0</x:v>
      </x:c>
      <x:c r="L593" s="117"/>
      <x:c r="M593" s="118"/>
      <x:c r="N593" s="120" t="n">
        <x:v>44931.8628125</x:v>
      </x:c>
      <x:c r="O593" s="117" t="str">
        <x:v>Jace Gentil</x:v>
      </x:c>
      <x:c r="P593" s="120" t="n">
        <x:v>44931.86284722222</x:v>
      </x:c>
      <x:c r="Q593" s="117" t="str">
        <x:v>Jace Gentil</x:v>
      </x:c>
      <x:c r="R593" s="117" t="str">
        <x:v>Create NEW Lead from Existing Contact</x:v>
      </x:c>
      <x:c r="S593" s="119"/>
    </x:row>
    <x:row r="594" ht="30" customHeight="1">
      <x:c r="A594" s="117" t="str">
        <x:v>Create_NEW_Lead_from_Existing_Contact</x:v>
      </x:c>
      <x:c r="B594" s="117" t="str">
        <x:v>3005b000000LHW7AAO</x:v>
      </x:c>
      <x:c r="C594" s="117" t="str">
        <x:v>3015b000000AE9cAAG</x:v>
      </x:c>
      <x:c r="D594" s="118" t="n">
        <x:v>6</x:v>
      </x:c>
      <x:c r="E594" s="117" t="str">
        <x:v>Obsolete</x:v>
      </x:c>
      <x:c r="F594" s="117" t="str">
        <x:v>No</x:v>
      </x:c>
      <x:c r="G594" s="117" t="str">
        <x:v>No</x:v>
      </x:c>
      <x:c r="H594" s="117" t="str">
        <x:v>Flow</x:v>
      </x:c>
      <x:c r="I594" s="118" t="n">
        <x:v>56</x:v>
      </x:c>
      <x:c r="J594" s="117" t="str">
        <x:v>unmanaged</x:v>
      </x:c>
      <x:c r="K594" s="123" t="b">
        <x:v>0</x:v>
      </x:c>
      <x:c r="L594" s="117"/>
      <x:c r="M594" s="118"/>
      <x:c r="N594" s="120" t="n">
        <x:v>44938.75667824074</x:v>
      </x:c>
      <x:c r="O594" s="117" t="str">
        <x:v>Jace Gentil</x:v>
      </x:c>
      <x:c r="P594" s="120" t="n">
        <x:v>44938.756747685184</x:v>
      </x:c>
      <x:c r="Q594" s="117" t="str">
        <x:v>Jace Gentil</x:v>
      </x:c>
      <x:c r="R594" s="117" t="str">
        <x:v>Create NEW Lead from Existing Contact</x:v>
      </x:c>
      <x:c r="S594" s="119"/>
    </x:row>
    <x:row r="595" ht="30" customHeight="1">
      <x:c r="A595" s="117" t="str">
        <x:v>Create_NEW_Lead_from_Existing_Contact</x:v>
      </x:c>
      <x:c r="B595" s="117" t="str">
        <x:v>3005b000000LHW7AAO</x:v>
      </x:c>
      <x:c r="C595" s="117" t="str">
        <x:v>3015b000000AE9rAAG</x:v>
      </x:c>
      <x:c r="D595" s="118" t="n">
        <x:v>7</x:v>
      </x:c>
      <x:c r="E595" s="117" t="str">
        <x:v>Obsolete</x:v>
      </x:c>
      <x:c r="F595" s="117" t="str">
        <x:v>No</x:v>
      </x:c>
      <x:c r="G595" s="117" t="str">
        <x:v>No</x:v>
      </x:c>
      <x:c r="H595" s="117" t="str">
        <x:v>Flow</x:v>
      </x:c>
      <x:c r="I595" s="118" t="n">
        <x:v>56</x:v>
      </x:c>
      <x:c r="J595" s="117" t="str">
        <x:v>unmanaged</x:v>
      </x:c>
      <x:c r="K595" s="123" t="b">
        <x:v>0</x:v>
      </x:c>
      <x:c r="L595" s="117"/>
      <x:c r="M595" s="118"/>
      <x:c r="N595" s="120" t="n">
        <x:v>44938.776041666664</x:v>
      </x:c>
      <x:c r="O595" s="117" t="str">
        <x:v>Jace Gentil</x:v>
      </x:c>
      <x:c r="P595" s="120" t="n">
        <x:v>44938.77607638889</x:v>
      </x:c>
      <x:c r="Q595" s="117" t="str">
        <x:v>Jace Gentil</x:v>
      </x:c>
      <x:c r="R595" s="117" t="str">
        <x:v>Create NEW Lead from Existing Contact</x:v>
      </x:c>
      <x:c r="S595" s="119"/>
    </x:row>
    <x:row r="596" ht="30" customHeight="1">
      <x:c r="A596" s="117" t="str">
        <x:v>Create_NEW_Lead_from_Existing_Contact</x:v>
      </x:c>
      <x:c r="B596" s="117" t="str">
        <x:v>3005b000000LHW7AAO</x:v>
      </x:c>
      <x:c r="C596" s="117" t="str">
        <x:v>3015b000000AOq2AAG</x:v>
      </x:c>
      <x:c r="D596" s="118" t="n">
        <x:v>8</x:v>
      </x:c>
      <x:c r="E596" s="117" t="str">
        <x:v>Obsolete</x:v>
      </x:c>
      <x:c r="F596" s="117" t="str">
        <x:v>No</x:v>
      </x:c>
      <x:c r="G596" s="117" t="str">
        <x:v>No</x:v>
      </x:c>
      <x:c r="H596" s="117" t="str">
        <x:v>Flow</x:v>
      </x:c>
      <x:c r="I596" s="118" t="n">
        <x:v>56</x:v>
      </x:c>
      <x:c r="J596" s="117" t="str">
        <x:v>unmanaged</x:v>
      </x:c>
      <x:c r="K596" s="123" t="b">
        <x:v>0</x:v>
      </x:c>
      <x:c r="L596" s="117"/>
      <x:c r="M596" s="118"/>
      <x:c r="N596" s="120" t="n">
        <x:v>45132.70138888889</x:v>
      </x:c>
      <x:c r="O596" s="117" t="str">
        <x:v>Jace Gentil</x:v>
      </x:c>
      <x:c r="P596" s="120" t="n">
        <x:v>45132.70145833334</x:v>
      </x:c>
      <x:c r="Q596" s="117" t="str">
        <x:v>Jace Gentil</x:v>
      </x:c>
      <x:c r="R596" s="117" t="str">
        <x:v>Create NEW Lead from Existing Contact</x:v>
      </x:c>
      <x:c r="S596" s="119"/>
    </x:row>
    <x:row r="597" ht="30" customHeight="1">
      <x:c r="A597" s="117" t="str">
        <x:v>Create_NEW_Lead_from_Existing_Contact</x:v>
      </x:c>
      <x:c r="B597" s="117" t="str">
        <x:v>3005b000000LHW7AAO</x:v>
      </x:c>
      <x:c r="C597" s="117" t="str">
        <x:v>3015b000000AOqMAAW</x:v>
      </x:c>
      <x:c r="D597" s="118" t="n">
        <x:v>9</x:v>
      </x:c>
      <x:c r="E597" s="117" t="str">
        <x:v>Obsolete</x:v>
      </x:c>
      <x:c r="F597" s="117" t="str">
        <x:v>No</x:v>
      </x:c>
      <x:c r="G597" s="117" t="str">
        <x:v>No</x:v>
      </x:c>
      <x:c r="H597" s="117" t="str">
        <x:v>Flow</x:v>
      </x:c>
      <x:c r="I597" s="118" t="n">
        <x:v>56</x:v>
      </x:c>
      <x:c r="J597" s="117" t="str">
        <x:v>unmanaged</x:v>
      </x:c>
      <x:c r="K597" s="123" t="b">
        <x:v>0</x:v>
      </x:c>
      <x:c r="L597" s="117"/>
      <x:c r="M597" s="118"/>
      <x:c r="N597" s="120" t="n">
        <x:v>45132.72429398148</x:v>
      </x:c>
      <x:c r="O597" s="117" t="str">
        <x:v>Jace Gentil</x:v>
      </x:c>
      <x:c r="P597" s="120" t="n">
        <x:v>45132.72451388889</x:v>
      </x:c>
      <x:c r="Q597" s="117" t="str">
        <x:v>Jace Gentil</x:v>
      </x:c>
      <x:c r="R597" s="117" t="str">
        <x:v>Create NEW Lead from Existing Contact</x:v>
      </x:c>
      <x:c r="S597" s="119"/>
    </x:row>
    <x:row r="598" ht="30" customHeight="1">
      <x:c r="A598" s="117" t="str">
        <x:v>Create_NEW_Lead_from_Existing_Contact</x:v>
      </x:c>
      <x:c r="B598" s="117" t="str">
        <x:v>3005b000000LHW7AAO</x:v>
      </x:c>
      <x:c r="C598" s="117" t="str">
        <x:v>3015b000000APKvAAO</x:v>
      </x:c>
      <x:c r="D598" s="118" t="n">
        <x:v>10</x:v>
      </x:c>
      <x:c r="E598" s="117" t="str">
        <x:v>Active</x:v>
      </x:c>
      <x:c r="F598" s="117" t="str">
        <x:v>Yes</x:v>
      </x:c>
      <x:c r="G598" s="117" t="str">
        <x:v>Yes</x:v>
      </x:c>
      <x:c r="H598" s="117" t="str">
        <x:v>Flow</x:v>
      </x:c>
      <x:c r="I598" s="118" t="n">
        <x:v>56</x:v>
      </x:c>
      <x:c r="J598" s="117" t="str">
        <x:v>unmanaged</x:v>
      </x:c>
      <x:c r="K598" s="123" t="b">
        <x:v>0</x:v>
      </x:c>
      <x:c r="L598" s="117"/>
      <x:c r="M598" s="118"/>
      <x:c r="N598" s="120" t="n">
        <x:v>45139.74297453704</x:v>
      </x:c>
      <x:c r="O598" s="117" t="str">
        <x:v>Jace Gentil</x:v>
      </x:c>
      <x:c r="P598" s="120" t="n">
        <x:v>45139.74303240741</x:v>
      </x:c>
      <x:c r="Q598" s="117" t="str">
        <x:v>Jace Gentil</x:v>
      </x:c>
      <x:c r="R598" s="117" t="str">
        <x:v>Create NEW Lead from Existing Contact</x:v>
      </x:c>
      <x:c r="S598" s="119"/>
    </x:row>
    <x:row r="599" ht="30" customHeight="1">
      <x:c r="A599" s="117" t="str">
        <x:v>Create_new_service_contract_from_opp</x:v>
      </x:c>
      <x:c r="B599" s="117" t="str">
        <x:v>3005b000000H1zUAAS</x:v>
      </x:c>
      <x:c r="C599" s="117" t="str">
        <x:v>3015b000000EDTwAAO</x:v>
      </x:c>
      <x:c r="D599" s="118" t="n">
        <x:v>6</x:v>
      </x:c>
      <x:c r="E599" s="117" t="str">
        <x:v>Obsolete</x:v>
      </x:c>
      <x:c r="F599" s="117" t="str">
        <x:v>No</x:v>
      </x:c>
      <x:c r="G599" s="117" t="str">
        <x:v>No</x:v>
      </x:c>
      <x:c r="H599" s="117" t="str">
        <x:v>Flow</x:v>
      </x:c>
      <x:c r="I599" s="118" t="n">
        <x:v>53</x:v>
      </x:c>
      <x:c r="J599" s="117" t="str">
        <x:v>unmanaged</x:v>
      </x:c>
      <x:c r="K599" s="123" t="b">
        <x:v>0</x:v>
      </x:c>
      <x:c r="L599" s="117"/>
      <x:c r="M599" s="118"/>
      <x:c r="N599" s="120" t="n">
        <x:v>44516.211331018516</x:v>
      </x:c>
      <x:c r="O599" s="117" t="str">
        <x:v>Delegate</x:v>
      </x:c>
      <x:c r="P599" s="120" t="n">
        <x:v>44516.21140046296</x:v>
      </x:c>
      <x:c r="Q599" s="117" t="str">
        <x:v>Delegate</x:v>
      </x:c>
      <x:c r="R599" s="117" t="str">
        <x:v>Create new service contract from opp</x:v>
      </x:c>
      <x:c r="S599" s="119"/>
    </x:row>
    <x:row r="600" ht="30" customHeight="1">
      <x:c r="A600" s="117" t="str">
        <x:v>Create_new_service_contract_from_opp</x:v>
      </x:c>
      <x:c r="B600" s="117" t="str">
        <x:v>3005b000000H1zUAAS</x:v>
      </x:c>
      <x:c r="C600" s="117" t="str">
        <x:v>3015b000000EDUVAA4</x:v>
      </x:c>
      <x:c r="D600" s="118" t="n">
        <x:v>7</x:v>
      </x:c>
      <x:c r="E600" s="117" t="str">
        <x:v>Obsolete</x:v>
      </x:c>
      <x:c r="F600" s="117" t="str">
        <x:v>No</x:v>
      </x:c>
      <x:c r="G600" s="117" t="str">
        <x:v>No</x:v>
      </x:c>
      <x:c r="H600" s="117" t="str">
        <x:v>Flow</x:v>
      </x:c>
      <x:c r="I600" s="118" t="n">
        <x:v>53</x:v>
      </x:c>
      <x:c r="J600" s="117" t="str">
        <x:v>unmanaged</x:v>
      </x:c>
      <x:c r="K600" s="123" t="b">
        <x:v>0</x:v>
      </x:c>
      <x:c r="L600" s="117"/>
      <x:c r="M600" s="118"/>
      <x:c r="N600" s="120" t="n">
        <x:v>44516.268055555556</x:v>
      </x:c>
      <x:c r="O600" s="117" t="str">
        <x:v>Delegate</x:v>
      </x:c>
      <x:c r="P600" s="120" t="n">
        <x:v>44516.26809027778</x:v>
      </x:c>
      <x:c r="Q600" s="117" t="str">
        <x:v>Delegate</x:v>
      </x:c>
      <x:c r="R600" s="117" t="str">
        <x:v>Create new service contract from opp</x:v>
      </x:c>
      <x:c r="S600" s="119"/>
    </x:row>
    <x:row r="601" ht="30" customHeight="1">
      <x:c r="A601" s="117" t="str">
        <x:v>Create_new_service_contract_from_opp</x:v>
      </x:c>
      <x:c r="B601" s="117" t="str">
        <x:v>3005b000000H1zUAAS</x:v>
      </x:c>
      <x:c r="C601" s="117" t="str">
        <x:v>3015b000000EIfwAAG</x:v>
      </x:c>
      <x:c r="D601" s="118" t="n">
        <x:v>8</x:v>
      </x:c>
      <x:c r="E601" s="117" t="str">
        <x:v>Obsolete</x:v>
      </x:c>
      <x:c r="F601" s="117" t="str">
        <x:v>No</x:v>
      </x:c>
      <x:c r="G601" s="117" t="str">
        <x:v>No</x:v>
      </x:c>
      <x:c r="H601" s="117" t="str">
        <x:v>Flow</x:v>
      </x:c>
      <x:c r="I601" s="118" t="n">
        <x:v>53</x:v>
      </x:c>
      <x:c r="J601" s="117" t="str">
        <x:v>unmanaged</x:v>
      </x:c>
      <x:c r="K601" s="123" t="b">
        <x:v>0</x:v>
      </x:c>
      <x:c r="L601" s="117"/>
      <x:c r="M601" s="118"/>
      <x:c r="N601" s="120" t="n">
        <x:v>44650.14258101852</x:v>
      </x:c>
      <x:c r="O601" s="117" t="str">
        <x:v>Natalie Boger</x:v>
      </x:c>
      <x:c r="P601" s="120" t="n">
        <x:v>44650.14263888889</x:v>
      </x:c>
      <x:c r="Q601" s="117" t="str">
        <x:v>Natalie Boger</x:v>
      </x:c>
      <x:c r="R601" s="117" t="str">
        <x:v>Create new service contract from opp</x:v>
      </x:c>
      <x:c r="S601" s="119"/>
    </x:row>
    <x:row r="602" ht="30" customHeight="1">
      <x:c r="A602" s="117" t="str">
        <x:v>Create_new_service_contract_from_opp</x:v>
      </x:c>
      <x:c r="B602" s="117" t="str">
        <x:v>3005b000000H1zUAAS</x:v>
      </x:c>
      <x:c r="C602" s="117" t="str">
        <x:v>301Ro00000KsPPLIA3</x:v>
      </x:c>
      <x:c r="D602" s="118" t="n">
        <x:v>9</x:v>
      </x:c>
      <x:c r="E602" s="117" t="str">
        <x:v>Obsolete</x:v>
      </x:c>
      <x:c r="F602" s="117" t="str">
        <x:v>No</x:v>
      </x:c>
      <x:c r="G602" s="117" t="str">
        <x:v>No</x:v>
      </x:c>
      <x:c r="H602" s="117" t="str">
        <x:v>Flow</x:v>
      </x:c>
      <x:c r="I602" s="118" t="n">
        <x:v>53</x:v>
      </x:c>
      <x:c r="J602" s="117" t="str">
        <x:v>unmanaged</x:v>
      </x:c>
      <x:c r="K602" s="123" t="b">
        <x:v>0</x:v>
      </x:c>
      <x:c r="L602" s="117"/>
      <x:c r="M602" s="118"/>
      <x:c r="N602" s="120" t="n">
        <x:v>45546.750763888886</x:v>
      </x:c>
      <x:c r="O602" s="117" t="str">
        <x:v>Jace Gentil</x:v>
      </x:c>
      <x:c r="P602" s="120" t="n">
        <x:v>45546.75083333333</x:v>
      </x:c>
      <x:c r="Q602" s="117" t="str">
        <x:v>Jace Gentil</x:v>
      </x:c>
      <x:c r="R602" s="117" t="str">
        <x:v>Create new service contract from opp</x:v>
      </x:c>
      <x:c r="S602" s="119"/>
    </x:row>
    <x:row r="603" ht="30" customHeight="1">
      <x:c r="A603" s="117" t="str">
        <x:v>Create_new_service_contract_from_opp</x:v>
      </x:c>
      <x:c r="B603" s="117" t="str">
        <x:v>3005b000000H1zUAAS</x:v>
      </x:c>
      <x:c r="C603" s="117" t="str">
        <x:v>301Ro00001DSOCIIA5</x:v>
      </x:c>
      <x:c r="D603" s="118" t="n">
        <x:v>10</x:v>
      </x:c>
      <x:c r="E603" s="117" t="str">
        <x:v>Draft</x:v>
      </x:c>
      <x:c r="F603" s="117" t="str">
        <x:v>No</x:v>
      </x:c>
      <x:c r="G603" s="117" t="str">
        <x:v>No</x:v>
      </x:c>
      <x:c r="H603" s="117" t="str">
        <x:v>Flow</x:v>
      </x:c>
      <x:c r="I603" s="118" t="n">
        <x:v>53</x:v>
      </x:c>
      <x:c r="J603" s="117" t="str">
        <x:v>unmanaged</x:v>
      </x:c>
      <x:c r="K603" s="123" t="b">
        <x:v>0</x:v>
      </x:c>
      <x:c r="L603" s="117"/>
      <x:c r="M603" s="118"/>
      <x:c r="N603" s="120" t="n">
        <x:v>46240.93189814815</x:v>
      </x:c>
      <x:c r="O603" s="117" t="str">
        <x:v>Mindy Bender</x:v>
      </x:c>
      <x:c r="P603" s="120" t="n">
        <x:v>46240.93193287037</x:v>
      </x:c>
      <x:c r="Q603" s="117" t="str">
        <x:v>Mindy Bender</x:v>
      </x:c>
      <x:c r="R603" s="117" t="str">
        <x:v>Create new service contract from opp</x:v>
      </x:c>
      <x:c r="S603" s="119" t="str">
        <x:v>8/6/26 - MPB - Adding formula to populate next invoice date.</x:v>
      </x:c>
    </x:row>
    <x:row r="604" ht="30" customHeight="1">
      <x:c r="A604" s="117" t="str">
        <x:v>Create_new_service_contract_from_opp</x:v>
      </x:c>
      <x:c r="B604" s="117" t="str">
        <x:v>3005b000000H1zUAAS</x:v>
      </x:c>
      <x:c r="C604" s="117" t="str">
        <x:v>301Ro00001DRs4PIAT</x:v>
      </x:c>
      <x:c r="D604" s="118" t="n">
        <x:v>11</x:v>
      </x:c>
      <x:c r="E604" s="117" t="str">
        <x:v>Active</x:v>
      </x:c>
      <x:c r="F604" s="117" t="str">
        <x:v>Yes</x:v>
      </x:c>
      <x:c r="G604" s="117" t="str">
        <x:v>Yes</x:v>
      </x:c>
      <x:c r="H604" s="117" t="str">
        <x:v>Flow</x:v>
      </x:c>
      <x:c r="I604" s="118" t="n">
        <x:v>53</x:v>
      </x:c>
      <x:c r="J604" s="117" t="str">
        <x:v>unmanaged</x:v>
      </x:c>
      <x:c r="K604" s="123" t="b">
        <x:v>0</x:v>
      </x:c>
      <x:c r="L604" s="117"/>
      <x:c r="M604" s="118"/>
      <x:c r="N604" s="120" t="n">
        <x:v>46240.94561342592</x:v>
      </x:c>
      <x:c r="O604" s="117" t="str">
        <x:v>Mindy Bender</x:v>
      </x:c>
      <x:c r="P604" s="120" t="n">
        <x:v>46240.94568287037</x:v>
      </x:c>
      <x:c r="Q604" s="117" t="str">
        <x:v>Mindy Bender</x:v>
      </x:c>
      <x:c r="R604" s="117" t="str">
        <x:v>Create new service contract from opp</x:v>
      </x:c>
      <x:c r="S604" s="119" t="str">
        <x:v>8/6/26 - MPB - Adding formula to populate next invoice date.</x:v>
      </x:c>
    </x:row>
    <x:row r="605" ht="30" customHeight="1">
      <x:c r="A605" s="117" t="str">
        <x:v>Create_New_Service_Contract_from_Opp_UK</x:v>
      </x:c>
      <x:c r="B605" s="117" t="str">
        <x:v>3005b000000H3plAAC</x:v>
      </x:c>
      <x:c r="C605" s="117" t="str">
        <x:v>3015b000000EJmeAAG</x:v>
      </x:c>
      <x:c r="D605" s="118" t="n">
        <x:v>1</x:v>
      </x:c>
      <x:c r="E605" s="117" t="str">
        <x:v>Obsolete</x:v>
      </x:c>
      <x:c r="F605" s="117" t="str">
        <x:v>No</x:v>
      </x:c>
      <x:c r="G605" s="117" t="str">
        <x:v>No</x:v>
      </x:c>
      <x:c r="H605" s="117" t="str">
        <x:v>Flow</x:v>
      </x:c>
      <x:c r="I605" s="118" t="n">
        <x:v>53</x:v>
      </x:c>
      <x:c r="J605" s="117" t="str">
        <x:v>unmanaged</x:v>
      </x:c>
      <x:c r="K605" s="123" t="b">
        <x:v>0</x:v>
      </x:c>
      <x:c r="L605" s="117"/>
      <x:c r="M605" s="118"/>
      <x:c r="N605" s="120" t="n">
        <x:v>44699.55850694444</x:v>
      </x:c>
      <x:c r="O605" s="117" t="str">
        <x:v>Jace Gentil</x:v>
      </x:c>
      <x:c r="P605" s="120" t="n">
        <x:v>44699.55856481481</x:v>
      </x:c>
      <x:c r="Q605" s="117" t="str">
        <x:v>Jace Gentil</x:v>
      </x:c>
      <x:c r="R605" s="117" t="str">
        <x:v>Create New Service Contract from Opp - UK</x:v>
      </x:c>
      <x:c r="S605" s="119"/>
    </x:row>
    <x:row r="606" ht="30" customHeight="1">
      <x:c r="A606" s="117" t="str">
        <x:v>Create_New_Service_Contract_from_Opp_UK</x:v>
      </x:c>
      <x:c r="B606" s="117" t="str">
        <x:v>3005b000000H3plAAC</x:v>
      </x:c>
      <x:c r="C606" s="117" t="str">
        <x:v>3015b000000EJmjAAG</x:v>
      </x:c>
      <x:c r="D606" s="118" t="n">
        <x:v>2</x:v>
      </x:c>
      <x:c r="E606" s="117" t="str">
        <x:v>Obsolete</x:v>
      </x:c>
      <x:c r="F606" s="117" t="str">
        <x:v>No</x:v>
      </x:c>
      <x:c r="G606" s="117" t="str">
        <x:v>No</x:v>
      </x:c>
      <x:c r="H606" s="117" t="str">
        <x:v>Flow</x:v>
      </x:c>
      <x:c r="I606" s="118" t="n">
        <x:v>53</x:v>
      </x:c>
      <x:c r="J606" s="117" t="str">
        <x:v>unmanaged</x:v>
      </x:c>
      <x:c r="K606" s="123" t="b">
        <x:v>0</x:v>
      </x:c>
      <x:c r="L606" s="117"/>
      <x:c r="M606" s="118"/>
      <x:c r="N606" s="120" t="n">
        <x:v>44699.57953703704</x:v>
      </x:c>
      <x:c r="O606" s="117" t="str">
        <x:v>Jace Gentil</x:v>
      </x:c>
      <x:c r="P606" s="120" t="n">
        <x:v>44699.58027777778</x:v>
      </x:c>
      <x:c r="Q606" s="117" t="str">
        <x:v>Jace Gentil</x:v>
      </x:c>
      <x:c r="R606" s="117" t="str">
        <x:v>Create New Service Contract from Opp - UK</x:v>
      </x:c>
      <x:c r="S606" s="119"/>
    </x:row>
    <x:row r="607" ht="30" customHeight="1">
      <x:c r="A607" s="117" t="str">
        <x:v>Create_New_Service_Contract_from_Opp_UK</x:v>
      </x:c>
      <x:c r="B607" s="117" t="str">
        <x:v>3005b000000H3plAAC</x:v>
      </x:c>
      <x:c r="C607" s="117" t="str">
        <x:v>3015b000000EJn3AAG</x:v>
      </x:c>
      <x:c r="D607" s="118" t="n">
        <x:v>3</x:v>
      </x:c>
      <x:c r="E607" s="117" t="str">
        <x:v>Obsolete</x:v>
      </x:c>
      <x:c r="F607" s="117" t="str">
        <x:v>No</x:v>
      </x:c>
      <x:c r="G607" s="117" t="str">
        <x:v>No</x:v>
      </x:c>
      <x:c r="H607" s="117" t="str">
        <x:v>Flow</x:v>
      </x:c>
      <x:c r="I607" s="118" t="n">
        <x:v>53</x:v>
      </x:c>
      <x:c r="J607" s="117" t="str">
        <x:v>unmanaged</x:v>
      </x:c>
      <x:c r="K607" s="123" t="b">
        <x:v>0</x:v>
      </x:c>
      <x:c r="L607" s="117"/>
      <x:c r="M607" s="118"/>
      <x:c r="N607" s="120" t="n">
        <x:v>44699.58671296296</x:v>
      </x:c>
      <x:c r="O607" s="117" t="str">
        <x:v>Jace Gentil</x:v>
      </x:c>
      <x:c r="P607" s="120" t="n">
        <x:v>44699.586851851855</x:v>
      </x:c>
      <x:c r="Q607" s="117" t="str">
        <x:v>Jace Gentil</x:v>
      </x:c>
      <x:c r="R607" s="117" t="str">
        <x:v>Create New Service Contract from Opp - UK</x:v>
      </x:c>
      <x:c r="S607" s="119"/>
    </x:row>
    <x:row r="608" ht="30" customHeight="1">
      <x:c r="A608" s="117" t="str">
        <x:v>Create_New_Service_Contract_from_Opp_UK</x:v>
      </x:c>
      <x:c r="B608" s="117" t="str">
        <x:v>3005b000000H3plAAC</x:v>
      </x:c>
      <x:c r="C608" s="117" t="str">
        <x:v>3015b000000EJn8AAG</x:v>
      </x:c>
      <x:c r="D608" s="118" t="n">
        <x:v>4</x:v>
      </x:c>
      <x:c r="E608" s="117" t="str">
        <x:v>Obsolete</x:v>
      </x:c>
      <x:c r="F608" s="117" t="str">
        <x:v>No</x:v>
      </x:c>
      <x:c r="G608" s="117" t="str">
        <x:v>No</x:v>
      </x:c>
      <x:c r="H608" s="117" t="str">
        <x:v>Flow</x:v>
      </x:c>
      <x:c r="I608" s="118" t="n">
        <x:v>53</x:v>
      </x:c>
      <x:c r="J608" s="117" t="str">
        <x:v>unmanaged</x:v>
      </x:c>
      <x:c r="K608" s="123" t="b">
        <x:v>0</x:v>
      </x:c>
      <x:c r="L608" s="117"/>
      <x:c r="M608" s="118"/>
      <x:c r="N608" s="120" t="n">
        <x:v>44699.59460648148</x:v>
      </x:c>
      <x:c r="O608" s="117" t="str">
        <x:v>Jace Gentil</x:v>
      </x:c>
      <x:c r="P608" s="120" t="n">
        <x:v>44699.5946412037</x:v>
      </x:c>
      <x:c r="Q608" s="117" t="str">
        <x:v>Jace Gentil</x:v>
      </x:c>
      <x:c r="R608" s="117" t="str">
        <x:v>Create New Service Contract from Opp - UK</x:v>
      </x:c>
      <x:c r="S608" s="119"/>
    </x:row>
    <x:row r="609" ht="30" customHeight="1">
      <x:c r="A609" s="117" t="str">
        <x:v>Create_New_Service_Contract_from_Opp_UK</x:v>
      </x:c>
      <x:c r="B609" s="117" t="str">
        <x:v>3005b000000H3plAAC</x:v>
      </x:c>
      <x:c r="C609" s="117" t="str">
        <x:v>3015b000000EJoBAAW</x:v>
      </x:c>
      <x:c r="D609" s="118" t="n">
        <x:v>5</x:v>
      </x:c>
      <x:c r="E609" s="117" t="str">
        <x:v>Obsolete</x:v>
      </x:c>
      <x:c r="F609" s="117" t="str">
        <x:v>No</x:v>
      </x:c>
      <x:c r="G609" s="117" t="str">
        <x:v>No</x:v>
      </x:c>
      <x:c r="H609" s="117" t="str">
        <x:v>Flow</x:v>
      </x:c>
      <x:c r="I609" s="118" t="n">
        <x:v>53</x:v>
      </x:c>
      <x:c r="J609" s="117" t="str">
        <x:v>unmanaged</x:v>
      </x:c>
      <x:c r="K609" s="123" t="b">
        <x:v>0</x:v>
      </x:c>
      <x:c r="L609" s="117"/>
      <x:c r="M609" s="118"/>
      <x:c r="N609" s="120" t="n">
        <x:v>44700.437476851854</x:v>
      </x:c>
      <x:c r="O609" s="117" t="str">
        <x:v>Jace Gentil</x:v>
      </x:c>
      <x:c r="P609" s="120" t="n">
        <x:v>44700.437523148146</x:v>
      </x:c>
      <x:c r="Q609" s="117" t="str">
        <x:v>Jace Gentil</x:v>
      </x:c>
      <x:c r="R609" s="117" t="str">
        <x:v>Create New Service Contract from Opp - UK</x:v>
      </x:c>
      <x:c r="S609" s="119"/>
    </x:row>
    <x:row r="610" ht="30" customHeight="1">
      <x:c r="A610" s="117" t="str">
        <x:v>Create_New_Service_Contract_from_Opp_UK</x:v>
      </x:c>
      <x:c r="B610" s="117" t="str">
        <x:v>3005b000000H3plAAC</x:v>
      </x:c>
      <x:c r="C610" s="117" t="str">
        <x:v>3015b000000EKF2AAO</x:v>
      </x:c>
      <x:c r="D610" s="118" t="n">
        <x:v>6</x:v>
      </x:c>
      <x:c r="E610" s="117" t="str">
        <x:v>Obsolete</x:v>
      </x:c>
      <x:c r="F610" s="117" t="str">
        <x:v>No</x:v>
      </x:c>
      <x:c r="G610" s="117" t="str">
        <x:v>No</x:v>
      </x:c>
      <x:c r="H610" s="117" t="str">
        <x:v>Flow</x:v>
      </x:c>
      <x:c r="I610" s="118" t="n">
        <x:v>53</x:v>
      </x:c>
      <x:c r="J610" s="117" t="str">
        <x:v>unmanaged</x:v>
      </x:c>
      <x:c r="K610" s="123" t="b">
        <x:v>0</x:v>
      </x:c>
      <x:c r="L610" s="117"/>
      <x:c r="M610" s="118"/>
      <x:c r="N610" s="120" t="n">
        <x:v>44723.61392361111</x:v>
      </x:c>
      <x:c r="O610" s="117" t="str">
        <x:v>Jace Gentil</x:v>
      </x:c>
      <x:c r="P610" s="120" t="n">
        <x:v>44723.61398148148</x:v>
      </x:c>
      <x:c r="Q610" s="117" t="str">
        <x:v>Jace Gentil</x:v>
      </x:c>
      <x:c r="R610" s="117" t="str">
        <x:v>Create New Service Contract from Opp - UK</x:v>
      </x:c>
      <x:c r="S610" s="119"/>
    </x:row>
    <x:row r="611" ht="30" customHeight="1">
      <x:c r="A611" s="117" t="str">
        <x:v>Create_New_Service_Contract_from_Opp_UK</x:v>
      </x:c>
      <x:c r="B611" s="117" t="str">
        <x:v>3005b000000H3plAAC</x:v>
      </x:c>
      <x:c r="C611" s="117" t="str">
        <x:v>3015b000000EKG0AAO</x:v>
      </x:c>
      <x:c r="D611" s="118" t="n">
        <x:v>7</x:v>
      </x:c>
      <x:c r="E611" s="117" t="str">
        <x:v>Obsolete</x:v>
      </x:c>
      <x:c r="F611" s="117" t="str">
        <x:v>No</x:v>
      </x:c>
      <x:c r="G611" s="117" t="str">
        <x:v>No</x:v>
      </x:c>
      <x:c r="H611" s="117" t="str">
        <x:v>Flow</x:v>
      </x:c>
      <x:c r="I611" s="118" t="n">
        <x:v>53</x:v>
      </x:c>
      <x:c r="J611" s="117" t="str">
        <x:v>unmanaged</x:v>
      </x:c>
      <x:c r="K611" s="123" t="b">
        <x:v>0</x:v>
      </x:c>
      <x:c r="L611" s="117"/>
      <x:c r="M611" s="118"/>
      <x:c r="N611" s="120" t="n">
        <x:v>44725.423726851855</x:v>
      </x:c>
      <x:c r="O611" s="117" t="str">
        <x:v>Jace Gentil</x:v>
      </x:c>
      <x:c r="P611" s="120" t="n">
        <x:v>44725.42380787037</x:v>
      </x:c>
      <x:c r="Q611" s="117" t="str">
        <x:v>Jace Gentil</x:v>
      </x:c>
      <x:c r="R611" s="117" t="str">
        <x:v>Create New Service Contract from Opp - UK</x:v>
      </x:c>
      <x:c r="S611" s="119"/>
    </x:row>
    <x:row r="612" ht="30" customHeight="1">
      <x:c r="A612" s="117" t="str">
        <x:v>Create_New_Service_Contract_from_Opp_UK</x:v>
      </x:c>
      <x:c r="B612" s="117" t="str">
        <x:v>3005b000000H3plAAC</x:v>
      </x:c>
      <x:c r="C612" s="117" t="str">
        <x:v>3015b000000EKG5AAO</x:v>
      </x:c>
      <x:c r="D612" s="118" t="n">
        <x:v>8</x:v>
      </x:c>
      <x:c r="E612" s="117" t="str">
        <x:v>InvalidDraft</x:v>
      </x:c>
      <x:c r="F612" s="117" t="str">
        <x:v>No</x:v>
      </x:c>
      <x:c r="G612" s="117" t="str">
        <x:v>No</x:v>
      </x:c>
      <x:c r="H612" s="117" t="str">
        <x:v>Flow</x:v>
      </x:c>
      <x:c r="I612" s="118" t="n">
        <x:v>53</x:v>
      </x:c>
      <x:c r="J612" s="117" t="str">
        <x:v>unmanaged</x:v>
      </x:c>
      <x:c r="K612" s="123" t="b">
        <x:v>0</x:v>
      </x:c>
      <x:c r="L612" s="117"/>
      <x:c r="M612" s="118"/>
      <x:c r="N612" s="120" t="n">
        <x:v>44725.51194444444</x:v>
      </x:c>
      <x:c r="O612" s="117" t="str">
        <x:v>Jace Gentil</x:v>
      </x:c>
      <x:c r="P612" s="120" t="n">
        <x:v>44725.511979166666</x:v>
      </x:c>
      <x:c r="Q612" s="117" t="str">
        <x:v>Jace Gentil</x:v>
      </x:c>
      <x:c r="R612" s="117" t="str">
        <x:v>Create New Service Contract from Opp - UK</x:v>
      </x:c>
      <x:c r="S612" s="119"/>
    </x:row>
    <x:row r="613" ht="30" customHeight="1">
      <x:c r="A613" s="117" t="str">
        <x:v>Create_New_Service_Contract_from_Opp_UK</x:v>
      </x:c>
      <x:c r="B613" s="117" t="str">
        <x:v>3005b000000H3plAAC</x:v>
      </x:c>
      <x:c r="C613" s="117" t="str">
        <x:v>3015b000000EKGAAA4</x:v>
      </x:c>
      <x:c r="D613" s="118" t="n">
        <x:v>9</x:v>
      </x:c>
      <x:c r="E613" s="117" t="str">
        <x:v>Obsolete</x:v>
      </x:c>
      <x:c r="F613" s="117" t="str">
        <x:v>No</x:v>
      </x:c>
      <x:c r="G613" s="117" t="str">
        <x:v>No</x:v>
      </x:c>
      <x:c r="H613" s="117" t="str">
        <x:v>Flow</x:v>
      </x:c>
      <x:c r="I613" s="118" t="n">
        <x:v>53</x:v>
      </x:c>
      <x:c r="J613" s="117" t="str">
        <x:v>unmanaged</x:v>
      </x:c>
      <x:c r="K613" s="123" t="b">
        <x:v>0</x:v>
      </x:c>
      <x:c r="L613" s="117"/>
      <x:c r="M613" s="118"/>
      <x:c r="N613" s="120" t="n">
        <x:v>44725.512291666666</x:v>
      </x:c>
      <x:c r="O613" s="117" t="str">
        <x:v>Jace Gentil</x:v>
      </x:c>
      <x:c r="P613" s="120" t="n">
        <x:v>44725.512337962966</x:v>
      </x:c>
      <x:c r="Q613" s="117" t="str">
        <x:v>Jace Gentil</x:v>
      </x:c>
      <x:c r="R613" s="117" t="str">
        <x:v>Create New Service Contract from Opp - UK</x:v>
      </x:c>
      <x:c r="S613" s="119"/>
    </x:row>
    <x:row r="614" ht="30" customHeight="1">
      <x:c r="A614" s="117" t="str">
        <x:v>Create_New_Service_Contract_from_Opp_UK</x:v>
      </x:c>
      <x:c r="B614" s="117" t="str">
        <x:v>3005b000000H3plAAC</x:v>
      </x:c>
      <x:c r="C614" s="117" t="str">
        <x:v>3015b000000EKHhAAO</x:v>
      </x:c>
      <x:c r="D614" s="118" t="n">
        <x:v>10</x:v>
      </x:c>
      <x:c r="E614" s="117" t="str">
        <x:v>Obsolete</x:v>
      </x:c>
      <x:c r="F614" s="117" t="str">
        <x:v>No</x:v>
      </x:c>
      <x:c r="G614" s="117" t="str">
        <x:v>No</x:v>
      </x:c>
      <x:c r="H614" s="117" t="str">
        <x:v>Flow</x:v>
      </x:c>
      <x:c r="I614" s="118" t="n">
        <x:v>53</x:v>
      </x:c>
      <x:c r="J614" s="117" t="str">
        <x:v>unmanaged</x:v>
      </x:c>
      <x:c r="K614" s="123" t="b">
        <x:v>0</x:v>
      </x:c>
      <x:c r="L614" s="117"/>
      <x:c r="M614" s="118"/>
      <x:c r="N614" s="120" t="n">
        <x:v>44726.421064814815</x:v>
      </x:c>
      <x:c r="O614" s="117" t="str">
        <x:v>Jace Gentil</x:v>
      </x:c>
      <x:c r="P614" s="120" t="n">
        <x:v>44951.73443287037</x:v>
      </x:c>
      <x:c r="Q614" s="117" t="str">
        <x:v>Jon Kean</x:v>
      </x:c>
      <x:c r="R614" s="117" t="str">
        <x:v>Create New Service Contract from Opp - UK</x:v>
      </x:c>
      <x:c r="S614" s="119"/>
    </x:row>
    <x:row r="615" ht="30" customHeight="1">
      <x:c r="A615" s="117" t="str">
        <x:v>Create_New_Service_Contract_from_Opp_UK</x:v>
      </x:c>
      <x:c r="B615" s="117" t="str">
        <x:v>3005b000000H3plAAC</x:v>
      </x:c>
      <x:c r="C615" s="117" t="str">
        <x:v>3015b000000AEhoAAG</x:v>
      </x:c>
      <x:c r="D615" s="118" t="n">
        <x:v>11</x:v>
      </x:c>
      <x:c r="E615" s="117" t="str">
        <x:v>Obsolete</x:v>
      </x:c>
      <x:c r="F615" s="117" t="str">
        <x:v>No</x:v>
      </x:c>
      <x:c r="G615" s="117" t="str">
        <x:v>No</x:v>
      </x:c>
      <x:c r="H615" s="117" t="str">
        <x:v>Flow</x:v>
      </x:c>
      <x:c r="I615" s="118" t="n">
        <x:v>53</x:v>
      </x:c>
      <x:c r="J615" s="117" t="str">
        <x:v>unmanaged</x:v>
      </x:c>
      <x:c r="K615" s="123" t="b">
        <x:v>0</x:v>
      </x:c>
      <x:c r="L615" s="117"/>
      <x:c r="M615" s="118"/>
      <x:c r="N615" s="120" t="n">
        <x:v>44946.69283564815</x:v>
      </x:c>
      <x:c r="O615" s="117" t="str">
        <x:v>Jace Gentil</x:v>
      </x:c>
      <x:c r="P615" s="120" t="n">
        <x:v>44946.692881944444</x:v>
      </x:c>
      <x:c r="Q615" s="117" t="str">
        <x:v>Jace Gentil</x:v>
      </x:c>
      <x:c r="R615" s="117" t="str">
        <x:v>Create New Service Contract from Opp - UK</x:v>
      </x:c>
      <x:c r="S615" s="119"/>
    </x:row>
    <x:row r="616" ht="30" customHeight="1">
      <x:c r="A616" s="117" t="str">
        <x:v>Create_New_Service_Contract_from_Opp_UK</x:v>
      </x:c>
      <x:c r="B616" s="117" t="str">
        <x:v>3005b000000H3plAAC</x:v>
      </x:c>
      <x:c r="C616" s="117" t="str">
        <x:v>3015b000000AEhyAAG</x:v>
      </x:c>
      <x:c r="D616" s="118" t="n">
        <x:v>12</x:v>
      </x:c>
      <x:c r="E616" s="117" t="str">
        <x:v>Obsolete</x:v>
      </x:c>
      <x:c r="F616" s="117" t="str">
        <x:v>No</x:v>
      </x:c>
      <x:c r="G616" s="117" t="str">
        <x:v>No</x:v>
      </x:c>
      <x:c r="H616" s="117" t="str">
        <x:v>Flow</x:v>
      </x:c>
      <x:c r="I616" s="118" t="n">
        <x:v>53</x:v>
      </x:c>
      <x:c r="J616" s="117" t="str">
        <x:v>unmanaged</x:v>
      </x:c>
      <x:c r="K616" s="123" t="b">
        <x:v>0</x:v>
      </x:c>
      <x:c r="L616" s="117"/>
      <x:c r="M616" s="118"/>
      <x:c r="N616" s="120" t="n">
        <x:v>44946.69819444444</x:v>
      </x:c>
      <x:c r="O616" s="117" t="str">
        <x:v>Jace Gentil</x:v>
      </x:c>
      <x:c r="P616" s="120" t="n">
        <x:v>44951.73459490741</x:v>
      </x:c>
      <x:c r="Q616" s="117" t="str">
        <x:v>Jon Kean</x:v>
      </x:c>
      <x:c r="R616" s="117" t="str">
        <x:v>Create New Service Contract from Opp - UK</x:v>
      </x:c>
      <x:c r="S616" s="119"/>
    </x:row>
    <x:row r="617" ht="30" customHeight="1">
      <x:c r="A617" s="117" t="str">
        <x:v>Create_New_Service_Contract_from_Opp_UK</x:v>
      </x:c>
      <x:c r="B617" s="117" t="str">
        <x:v>3005b000000H3plAAC</x:v>
      </x:c>
      <x:c r="C617" s="117" t="str">
        <x:v>301Ro000007P9fQIAS</x:v>
      </x:c>
      <x:c r="D617" s="118" t="n">
        <x:v>13</x:v>
      </x:c>
      <x:c r="E617" s="117" t="str">
        <x:v>Obsolete</x:v>
      </x:c>
      <x:c r="F617" s="117" t="str">
        <x:v>No</x:v>
      </x:c>
      <x:c r="G617" s="117" t="str">
        <x:v>No</x:v>
      </x:c>
      <x:c r="H617" s="117" t="str">
        <x:v>Flow</x:v>
      </x:c>
      <x:c r="I617" s="118" t="n">
        <x:v>53</x:v>
      </x:c>
      <x:c r="J617" s="117" t="str">
        <x:v>unmanaged</x:v>
      </x:c>
      <x:c r="K617" s="123" t="b">
        <x:v>0</x:v>
      </x:c>
      <x:c r="L617" s="117"/>
      <x:c r="M617" s="118"/>
      <x:c r="N617" s="120" t="n">
        <x:v>45336.471550925926</x:v>
      </x:c>
      <x:c r="O617" s="117" t="str">
        <x:v>Jon Kean</x:v>
      </x:c>
      <x:c r="P617" s="120" t="n">
        <x:v>45336.47163194444</x:v>
      </x:c>
      <x:c r="Q617" s="117" t="str">
        <x:v>Jon Kean</x:v>
      </x:c>
      <x:c r="R617" s="117" t="str">
        <x:v>Create New Service Contract from Opp - UK</x:v>
      </x:c>
      <x:c r="S617" s="119"/>
    </x:row>
    <x:row r="618" ht="30" customHeight="1">
      <x:c r="A618" s="117" t="str">
        <x:v>Create_New_Service_Contract_from_Opp_UK</x:v>
      </x:c>
      <x:c r="B618" s="117" t="str">
        <x:v>3005b000000H3plAAC</x:v>
      </x:c>
      <x:c r="C618" s="117" t="str">
        <x:v>301Ro000007gfPPIAY</x:v>
      </x:c>
      <x:c r="D618" s="118" t="n">
        <x:v>14</x:v>
      </x:c>
      <x:c r="E618" s="117" t="str">
        <x:v>Obsolete</x:v>
      </x:c>
      <x:c r="F618" s="117" t="str">
        <x:v>No</x:v>
      </x:c>
      <x:c r="G618" s="117" t="str">
        <x:v>No</x:v>
      </x:c>
      <x:c r="H618" s="117" t="str">
        <x:v>Flow</x:v>
      </x:c>
      <x:c r="I618" s="118" t="n">
        <x:v>53</x:v>
      </x:c>
      <x:c r="J618" s="117" t="str">
        <x:v>unmanaged</x:v>
      </x:c>
      <x:c r="K618" s="123" t="b">
        <x:v>0</x:v>
      </x:c>
      <x:c r="L618" s="117"/>
      <x:c r="M618" s="118"/>
      <x:c r="N618" s="120" t="n">
        <x:v>45342.40008101852</x:v>
      </x:c>
      <x:c r="O618" s="117" t="str">
        <x:v>Jon Kean</x:v>
      </x:c>
      <x:c r="P618" s="120" t="n">
        <x:v>45342.40015046296</x:v>
      </x:c>
      <x:c r="Q618" s="117" t="str">
        <x:v>Jon Kean</x:v>
      </x:c>
      <x:c r="R618" s="117" t="str">
        <x:v>Create New Service Contract from Opp - UK</x:v>
      </x:c>
      <x:c r="S618" s="119"/>
    </x:row>
    <x:row r="619" ht="30" customHeight="1">
      <x:c r="A619" s="117" t="str">
        <x:v>Create_New_Service_Contract_from_Opp_UK</x:v>
      </x:c>
      <x:c r="B619" s="117" t="str">
        <x:v>3005b000000H3plAAC</x:v>
      </x:c>
      <x:c r="C619" s="117" t="str">
        <x:v>301Ro000008uOuRIAU</x:v>
      </x:c>
      <x:c r="D619" s="118" t="n">
        <x:v>15</x:v>
      </x:c>
      <x:c r="E619" s="117" t="str">
        <x:v>Obsolete</x:v>
      </x:c>
      <x:c r="F619" s="117" t="str">
        <x:v>No</x:v>
      </x:c>
      <x:c r="G619" s="117" t="str">
        <x:v>No</x:v>
      </x:c>
      <x:c r="H619" s="117" t="str">
        <x:v>Flow</x:v>
      </x:c>
      <x:c r="I619" s="118" t="n">
        <x:v>53</x:v>
      </x:c>
      <x:c r="J619" s="117" t="str">
        <x:v>unmanaged</x:v>
      </x:c>
      <x:c r="K619" s="123" t="b">
        <x:v>0</x:v>
      </x:c>
      <x:c r="L619" s="117"/>
      <x:c r="M619" s="118"/>
      <x:c r="N619" s="120" t="n">
        <x:v>45363.74496527778</x:v>
      </x:c>
      <x:c r="O619" s="117" t="str">
        <x:v>Jon Kean</x:v>
      </x:c>
      <x:c r="P619" s="120" t="n">
        <x:v>45363.74506944444</x:v>
      </x:c>
      <x:c r="Q619" s="117" t="str">
        <x:v>Jon Kean</x:v>
      </x:c>
      <x:c r="R619" s="117" t="str">
        <x:v>Create New Service Contract from Opp - UK</x:v>
      </x:c>
      <x:c r="S619" s="119"/>
    </x:row>
    <x:row r="620" ht="30" customHeight="1">
      <x:c r="A620" s="117" t="str">
        <x:v>Create_New_Service_Contract_from_Opp_UK</x:v>
      </x:c>
      <x:c r="B620" s="117" t="str">
        <x:v>3005b000000H3plAAC</x:v>
      </x:c>
      <x:c r="C620" s="117" t="str">
        <x:v>301Ro00000AkKB0IAN</x:v>
      </x:c>
      <x:c r="D620" s="118" t="n">
        <x:v>16</x:v>
      </x:c>
      <x:c r="E620" s="117" t="str">
        <x:v>Obsolete</x:v>
      </x:c>
      <x:c r="F620" s="117" t="str">
        <x:v>No</x:v>
      </x:c>
      <x:c r="G620" s="117" t="str">
        <x:v>No</x:v>
      </x:c>
      <x:c r="H620" s="117" t="str">
        <x:v>Flow</x:v>
      </x:c>
      <x:c r="I620" s="118" t="n">
        <x:v>53</x:v>
      </x:c>
      <x:c r="J620" s="117" t="str">
        <x:v>unmanaged</x:v>
      </x:c>
      <x:c r="K620" s="123" t="b">
        <x:v>0</x:v>
      </x:c>
      <x:c r="L620" s="117"/>
      <x:c r="M620" s="118"/>
      <x:c r="N620" s="120" t="n">
        <x:v>45393.443125</x:v>
      </x:c>
      <x:c r="O620" s="117" t="str">
        <x:v>Jon Kean</x:v>
      </x:c>
      <x:c r="P620" s="120" t="n">
        <x:v>45393.44318287037</x:v>
      </x:c>
      <x:c r="Q620" s="117" t="str">
        <x:v>Jon Kean</x:v>
      </x:c>
      <x:c r="R620" s="117" t="str">
        <x:v>Create New Service Contract from Opp - UK</x:v>
      </x:c>
      <x:c r="S620" s="119"/>
    </x:row>
    <x:row r="621" ht="30" customHeight="1">
      <x:c r="A621" s="117" t="str">
        <x:v>Create_New_Service_Contract_from_Opp_UK</x:v>
      </x:c>
      <x:c r="B621" s="117" t="str">
        <x:v>3005b000000H3plAAC</x:v>
      </x:c>
      <x:c r="C621" s="117" t="str">
        <x:v>301Ro00000ApIUzIAN</x:v>
      </x:c>
      <x:c r="D621" s="118" t="n">
        <x:v>17</x:v>
      </x:c>
      <x:c r="E621" s="117" t="str">
        <x:v>Obsolete</x:v>
      </x:c>
      <x:c r="F621" s="117" t="str">
        <x:v>No</x:v>
      </x:c>
      <x:c r="G621" s="117" t="str">
        <x:v>No</x:v>
      </x:c>
      <x:c r="H621" s="117" t="str">
        <x:v>Flow</x:v>
      </x:c>
      <x:c r="I621" s="118" t="n">
        <x:v>53</x:v>
      </x:c>
      <x:c r="J621" s="117" t="str">
        <x:v>unmanaged</x:v>
      </x:c>
      <x:c r="K621" s="123" t="b">
        <x:v>0</x:v>
      </x:c>
      <x:c r="L621" s="117"/>
      <x:c r="M621" s="118"/>
      <x:c r="N621" s="120" t="n">
        <x:v>45394.55747685185</x:v>
      </x:c>
      <x:c r="O621" s="117" t="str">
        <x:v>Jon Kean</x:v>
      </x:c>
      <x:c r="P621" s="120" t="n">
        <x:v>45394.55768518519</x:v>
      </x:c>
      <x:c r="Q621" s="117" t="str">
        <x:v>Jon Kean</x:v>
      </x:c>
      <x:c r="R621" s="117" t="str">
        <x:v>Create New Service Contract from Opp - UK</x:v>
      </x:c>
      <x:c r="S621" s="119"/>
    </x:row>
    <x:row r="622" ht="30" customHeight="1">
      <x:c r="A622" s="117" t="str">
        <x:v>Create_New_Service_Contract_from_Opp_UK</x:v>
      </x:c>
      <x:c r="B622" s="117" t="str">
        <x:v>3005b000000H3plAAC</x:v>
      </x:c>
      <x:c r="C622" s="117" t="str">
        <x:v>301Ro00000EVHsfIAH</x:v>
      </x:c>
      <x:c r="D622" s="118" t="n">
        <x:v>18</x:v>
      </x:c>
      <x:c r="E622" s="117" t="str">
        <x:v>Obsolete</x:v>
      </x:c>
      <x:c r="F622" s="117" t="str">
        <x:v>No</x:v>
      </x:c>
      <x:c r="G622" s="117" t="str">
        <x:v>No</x:v>
      </x:c>
      <x:c r="H622" s="117" t="str">
        <x:v>Flow</x:v>
      </x:c>
      <x:c r="I622" s="118" t="n">
        <x:v>53</x:v>
      </x:c>
      <x:c r="J622" s="117" t="str">
        <x:v>unmanaged</x:v>
      </x:c>
      <x:c r="K622" s="123" t="b">
        <x:v>0</x:v>
      </x:c>
      <x:c r="L622" s="117"/>
      <x:c r="M622" s="118"/>
      <x:c r="N622" s="120" t="n">
        <x:v>45453.61164351852</x:v>
      </x:c>
      <x:c r="O622" s="117" t="str">
        <x:v>Jon Kean</x:v>
      </x:c>
      <x:c r="P622" s="120" t="n">
        <x:v>45453.61170138889</x:v>
      </x:c>
      <x:c r="Q622" s="117" t="str">
        <x:v>Jon Kean</x:v>
      </x:c>
      <x:c r="R622" s="117" t="str">
        <x:v>Create New Service Contract from Opp - UK</x:v>
      </x:c>
      <x:c r="S622" s="119"/>
    </x:row>
    <x:row r="623" ht="30" customHeight="1">
      <x:c r="A623" s="117" t="str">
        <x:v>Create_New_Service_Contract_from_Opp_UK</x:v>
      </x:c>
      <x:c r="B623" s="117" t="str">
        <x:v>3005b000000H3plAAC</x:v>
      </x:c>
      <x:c r="C623" s="117" t="str">
        <x:v>301Ro00000IU8AfIAL</x:v>
      </x:c>
      <x:c r="D623" s="118" t="n">
        <x:v>19</x:v>
      </x:c>
      <x:c r="E623" s="117" t="str">
        <x:v>Obsolete</x:v>
      </x:c>
      <x:c r="F623" s="117" t="str">
        <x:v>No</x:v>
      </x:c>
      <x:c r="G623" s="117" t="str">
        <x:v>No</x:v>
      </x:c>
      <x:c r="H623" s="117" t="str">
        <x:v>Flow</x:v>
      </x:c>
      <x:c r="I623" s="118" t="n">
        <x:v>53</x:v>
      </x:c>
      <x:c r="J623" s="117" t="str">
        <x:v>unmanaged</x:v>
      </x:c>
      <x:c r="K623" s="123" t="b">
        <x:v>0</x:v>
      </x:c>
      <x:c r="L623" s="117"/>
      <x:c r="M623" s="118"/>
      <x:c r="N623" s="120" t="n">
        <x:v>45510.589791666665</x:v>
      </x:c>
      <x:c r="O623" s="117" t="str">
        <x:v>Jon Kean</x:v>
      </x:c>
      <x:c r="P623" s="120" t="n">
        <x:v>45510.58986111111</x:v>
      </x:c>
      <x:c r="Q623" s="117" t="str">
        <x:v>Jon Kean</x:v>
      </x:c>
      <x:c r="R623" s="117" t="str">
        <x:v>Create New Service Contract from Opp - UK</x:v>
      </x:c>
      <x:c r="S623" s="119" t="str">
        <x:v>Added Prepay alert</x:v>
      </x:c>
    </x:row>
    <x:row r="624" ht="30" customHeight="1">
      <x:c r="A624" s="117" t="str">
        <x:v>Create_New_Service_Contract_from_Opp_UK</x:v>
      </x:c>
      <x:c r="B624" s="117" t="str">
        <x:v>3005b000000H3plAAC</x:v>
      </x:c>
      <x:c r="C624" s="117" t="str">
        <x:v>301Ro00000IU79oIAD</x:v>
      </x:c>
      <x:c r="D624" s="118" t="n">
        <x:v>20</x:v>
      </x:c>
      <x:c r="E624" s="117" t="str">
        <x:v>Obsolete</x:v>
      </x:c>
      <x:c r="F624" s="117" t="str">
        <x:v>No</x:v>
      </x:c>
      <x:c r="G624" s="117" t="str">
        <x:v>No</x:v>
      </x:c>
      <x:c r="H624" s="117" t="str">
        <x:v>Flow</x:v>
      </x:c>
      <x:c r="I624" s="118" t="n">
        <x:v>53</x:v>
      </x:c>
      <x:c r="J624" s="117" t="str">
        <x:v>unmanaged</x:v>
      </x:c>
      <x:c r="K624" s="123" t="b">
        <x:v>0</x:v>
      </x:c>
      <x:c r="L624" s="117"/>
      <x:c r="M624" s="118"/>
      <x:c r="N624" s="120" t="n">
        <x:v>45510.59050925926</x:v>
      </x:c>
      <x:c r="O624" s="117" t="str">
        <x:v>Jon Kean</x:v>
      </x:c>
      <x:c r="P624" s="120" t="n">
        <x:v>45510.590578703705</x:v>
      </x:c>
      <x:c r="Q624" s="117" t="str">
        <x:v>Jon Kean</x:v>
      </x:c>
      <x:c r="R624" s="117" t="str">
        <x:v>Create New Service Contract from Opp - UK</x:v>
      </x:c>
      <x:c r="S624" s="119" t="str">
        <x:v>Added Prepay alert</x:v>
      </x:c>
    </x:row>
    <x:row r="625" ht="30" customHeight="1">
      <x:c r="A625" s="117" t="str">
        <x:v>Create_New_Service_Contract_from_Opp_UK</x:v>
      </x:c>
      <x:c r="B625" s="117" t="str">
        <x:v>3005b000000H3plAAC</x:v>
      </x:c>
      <x:c r="C625" s="117" t="str">
        <x:v>301Ro00000JBgnVIAT</x:v>
      </x:c>
      <x:c r="D625" s="118" t="n">
        <x:v>21</x:v>
      </x:c>
      <x:c r="E625" s="117" t="str">
        <x:v>Obsolete</x:v>
      </x:c>
      <x:c r="F625" s="117" t="str">
        <x:v>No</x:v>
      </x:c>
      <x:c r="G625" s="117" t="str">
        <x:v>No</x:v>
      </x:c>
      <x:c r="H625" s="117" t="str">
        <x:v>Flow</x:v>
      </x:c>
      <x:c r="I625" s="118" t="n">
        <x:v>53</x:v>
      </x:c>
      <x:c r="J625" s="117" t="str">
        <x:v>unmanaged</x:v>
      </x:c>
      <x:c r="K625" s="123" t="b">
        <x:v>0</x:v>
      </x:c>
      <x:c r="L625" s="117"/>
      <x:c r="M625" s="118"/>
      <x:c r="N625" s="120" t="n">
        <x:v>45520.61150462963</x:v>
      </x:c>
      <x:c r="O625" s="117" t="str">
        <x:v>Jon Kean</x:v>
      </x:c>
      <x:c r="P625" s="120" t="n">
        <x:v>45520.6115625</x:v>
      </x:c>
      <x:c r="Q625" s="117" t="str">
        <x:v>Jon Kean</x:v>
      </x:c>
      <x:c r="R625" s="117" t="str">
        <x:v>Create New Service Contract from Opp - UK</x:v>
      </x:c>
      <x:c r="S625" s="119" t="str">
        <x:v>Added Prepay alert</x:v>
      </x:c>
    </x:row>
    <x:row r="626" ht="30" customHeight="1">
      <x:c r="A626" s="117" t="str">
        <x:v>Create_New_Service_Contract_from_Opp_UK</x:v>
      </x:c>
      <x:c r="B626" s="117" t="str">
        <x:v>3005b000000H3plAAC</x:v>
      </x:c>
      <x:c r="C626" s="117" t="str">
        <x:v>301Ro00000JBrpHIAT</x:v>
      </x:c>
      <x:c r="D626" s="118" t="n">
        <x:v>22</x:v>
      </x:c>
      <x:c r="E626" s="117" t="str">
        <x:v>Obsolete</x:v>
      </x:c>
      <x:c r="F626" s="117" t="str">
        <x:v>No</x:v>
      </x:c>
      <x:c r="G626" s="117" t="str">
        <x:v>No</x:v>
      </x:c>
      <x:c r="H626" s="117" t="str">
        <x:v>Flow</x:v>
      </x:c>
      <x:c r="I626" s="118" t="n">
        <x:v>53</x:v>
      </x:c>
      <x:c r="J626" s="117" t="str">
        <x:v>unmanaged</x:v>
      </x:c>
      <x:c r="K626" s="123" t="b">
        <x:v>0</x:v>
      </x:c>
      <x:c r="L626" s="117"/>
      <x:c r="M626" s="118"/>
      <x:c r="N626" s="120" t="n">
        <x:v>45520.6244212963</x:v>
      </x:c>
      <x:c r="O626" s="117" t="str">
        <x:v>Jon Kean</x:v>
      </x:c>
      <x:c r="P626" s="120" t="n">
        <x:v>45520.624502314815</x:v>
      </x:c>
      <x:c r="Q626" s="117" t="str">
        <x:v>Jon Kean</x:v>
      </x:c>
      <x:c r="R626" s="117" t="str">
        <x:v>Create New Service Contract from Opp - UK</x:v>
      </x:c>
      <x:c r="S626" s="119" t="str">
        <x:v>Added Prepay alert</x:v>
      </x:c>
    </x:row>
    <x:row r="627" ht="30" customHeight="1">
      <x:c r="A627" s="117" t="str">
        <x:v>Create_New_Service_Contract_from_Opp_UK</x:v>
      </x:c>
      <x:c r="B627" s="117" t="str">
        <x:v>3005b000000H3plAAC</x:v>
      </x:c>
      <x:c r="C627" s="117" t="str">
        <x:v>301Ro00000JBU9hIAH</x:v>
      </x:c>
      <x:c r="D627" s="118" t="n">
        <x:v>23</x:v>
      </x:c>
      <x:c r="E627" s="117" t="str">
        <x:v>Obsolete</x:v>
      </x:c>
      <x:c r="F627" s="117" t="str">
        <x:v>No</x:v>
      </x:c>
      <x:c r="G627" s="117" t="str">
        <x:v>No</x:v>
      </x:c>
      <x:c r="H627" s="117" t="str">
        <x:v>Flow</x:v>
      </x:c>
      <x:c r="I627" s="118" t="n">
        <x:v>53</x:v>
      </x:c>
      <x:c r="J627" s="117" t="str">
        <x:v>unmanaged</x:v>
      </x:c>
      <x:c r="K627" s="123" t="b">
        <x:v>0</x:v>
      </x:c>
      <x:c r="L627" s="117"/>
      <x:c r="M627" s="118"/>
      <x:c r="N627" s="120" t="n">
        <x:v>45520.62679398148</x:v>
      </x:c>
      <x:c r="O627" s="117" t="str">
        <x:v>Jon Kean</x:v>
      </x:c>
      <x:c r="P627" s="120" t="n">
        <x:v>45520.626921296294</x:v>
      </x:c>
      <x:c r="Q627" s="117" t="str">
        <x:v>Jon Kean</x:v>
      </x:c>
      <x:c r="R627" s="117" t="str">
        <x:v>Create New Service Contract from Opp - UK</x:v>
      </x:c>
      <x:c r="S627" s="119" t="str">
        <x:v>Added Prepay alert</x:v>
      </x:c>
    </x:row>
    <x:row r="628" ht="30" customHeight="1">
      <x:c r="A628" s="117" t="str">
        <x:v>Create_New_Service_Contract_from_Opp_UK</x:v>
      </x:c>
      <x:c r="B628" s="117" t="str">
        <x:v>3005b000000H3plAAC</x:v>
      </x:c>
      <x:c r="C628" s="117" t="str">
        <x:v>301Ro00000MAu2qIAD</x:v>
      </x:c>
      <x:c r="D628" s="118" t="n">
        <x:v>24</x:v>
      </x:c>
      <x:c r="E628" s="117" t="str">
        <x:v>Obsolete</x:v>
      </x:c>
      <x:c r="F628" s="117" t="str">
        <x:v>No</x:v>
      </x:c>
      <x:c r="G628" s="117" t="str">
        <x:v>No</x:v>
      </x:c>
      <x:c r="H628" s="117" t="str">
        <x:v>Flow</x:v>
      </x:c>
      <x:c r="I628" s="118" t="n">
        <x:v>53</x:v>
      </x:c>
      <x:c r="J628" s="117" t="str">
        <x:v>unmanaged</x:v>
      </x:c>
      <x:c r="K628" s="123" t="b">
        <x:v>0</x:v>
      </x:c>
      <x:c r="L628" s="117"/>
      <x:c r="M628" s="118"/>
      <x:c r="N628" s="120" t="n">
        <x:v>45567.54986111111</x:v>
      </x:c>
      <x:c r="O628" s="117" t="str">
        <x:v>Jon Kean</x:v>
      </x:c>
      <x:c r="P628" s="120" t="n">
        <x:v>45567.54993055556</x:v>
      </x:c>
      <x:c r="Q628" s="117" t="str">
        <x:v>Jon Kean</x:v>
      </x:c>
      <x:c r="R628" s="117" t="str">
        <x:v>Create New Service Contract from Opp - UK</x:v>
      </x:c>
      <x:c r="S628" s="119" t="str">
        <x:v>Removed the "Update Opportunity with Service Contract" variable</x:v>
      </x:c>
    </x:row>
    <x:row r="629" ht="30" customHeight="1">
      <x:c r="A629" s="117" t="str">
        <x:v>Create_New_Service_Contract_from_Opp_UK</x:v>
      </x:c>
      <x:c r="B629" s="117" t="str">
        <x:v>3005b000000H3plAAC</x:v>
      </x:c>
      <x:c r="C629" s="117" t="str">
        <x:v>301Ro00000OAs4hIAD</x:v>
      </x:c>
      <x:c r="D629" s="118" t="n">
        <x:v>25</x:v>
      </x:c>
      <x:c r="E629" s="117" t="str">
        <x:v>Obsolete</x:v>
      </x:c>
      <x:c r="F629" s="117" t="str">
        <x:v>No</x:v>
      </x:c>
      <x:c r="G629" s="117" t="str">
        <x:v>No</x:v>
      </x:c>
      <x:c r="H629" s="117" t="str">
        <x:v>Flow</x:v>
      </x:c>
      <x:c r="I629" s="118" t="n">
        <x:v>53</x:v>
      </x:c>
      <x:c r="J629" s="117" t="str">
        <x:v>unmanaged</x:v>
      </x:c>
      <x:c r="K629" s="123" t="b">
        <x:v>0</x:v>
      </x:c>
      <x:c r="L629" s="117"/>
      <x:c r="M629" s="118"/>
      <x:c r="N629" s="120" t="n">
        <x:v>45601.40584490741</x:v>
      </x:c>
      <x:c r="O629" s="117" t="str">
        <x:v>Jon Kean</x:v>
      </x:c>
      <x:c r="P629" s="120" t="n">
        <x:v>45601.4059837963</x:v>
      </x:c>
      <x:c r="Q629" s="117" t="str">
        <x:v>Jon Kean</x:v>
      </x:c>
      <x:c r="R629" s="117" t="str">
        <x:v>Create New Service Contract from Opp - UK</x:v>
      </x:c>
      <x:c r="S629" s="119" t="str">
        <x:v>Removed the the following fields:
PM visits
Number of probes
Legacy contract number</x:v>
      </x:c>
    </x:row>
    <x:row r="630" ht="30" customHeight="1">
      <x:c r="A630" s="117" t="str">
        <x:v>Create_New_Service_Contract_from_Opp_UK</x:v>
      </x:c>
      <x:c r="B630" s="117" t="str">
        <x:v>3005b000000H3plAAC</x:v>
      </x:c>
      <x:c r="C630" s="117" t="str">
        <x:v>301Ro00000knAgZIAU</x:v>
      </x:c>
      <x:c r="D630" s="118" t="n">
        <x:v>26</x:v>
      </x:c>
      <x:c r="E630" s="117" t="str">
        <x:v>Obsolete</x:v>
      </x:c>
      <x:c r="F630" s="117" t="str">
        <x:v>No</x:v>
      </x:c>
      <x:c r="G630" s="117" t="str">
        <x:v>No</x:v>
      </x:c>
      <x:c r="H630" s="117" t="str">
        <x:v>Flow</x:v>
      </x:c>
      <x:c r="I630" s="118" t="n">
        <x:v>53</x:v>
      </x:c>
      <x:c r="J630" s="117" t="str">
        <x:v>unmanaged</x:v>
      </x:c>
      <x:c r="K630" s="123" t="b">
        <x:v>0</x:v>
      </x:c>
      <x:c r="L630" s="117"/>
      <x:c r="M630" s="118"/>
      <x:c r="N630" s="120" t="n">
        <x:v>45905.6796875</x:v>
      </x:c>
      <x:c r="O630" s="117" t="str">
        <x:v>Sacha Pearce</x:v>
      </x:c>
      <x:c r="P630" s="120" t="n">
        <x:v>45905.68289351852</x:v>
      </x:c>
      <x:c r="Q630" s="117" t="str">
        <x:v>Sacha Pearce</x:v>
      </x:c>
      <x:c r="R630" s="117" t="str">
        <x:v>Create New Service Contract from Opp - UK</x:v>
      </x:c>
      <x:c r="S630" s="119" t="str">
        <x:v>Removed the the following fields:
PM visits
Number of probes
Legacy contract number
09/03/2025 - SP - Adding a Screen to block Service Contract creation when the Opportunity has not paid for, or hasn't been confirmed by finance as safe to proceed
09/04/2025 - SP - Removed prepay notification from the Service Contract Info Screen as the Flow now prevents users from creating Service Contracts where prepay deals haven't been paid or confirmed by finance.</x:v>
      </x:c>
    </x:row>
    <x:row r="631" ht="30" customHeight="1">
      <x:c r="A631" s="117" t="str">
        <x:v>Create_New_Service_Contract_from_Opp_UK</x:v>
      </x:c>
      <x:c r="B631" s="117" t="str">
        <x:v>3005b000000H3plAAC</x:v>
      </x:c>
      <x:c r="C631" s="117" t="str">
        <x:v>301Ro00000l9o94IAA</x:v>
      </x:c>
      <x:c r="D631" s="118" t="n">
        <x:v>27</x:v>
      </x:c>
      <x:c r="E631" s="117" t="str">
        <x:v>Active</x:v>
      </x:c>
      <x:c r="F631" s="117" t="str">
        <x:v>Yes</x:v>
      </x:c>
      <x:c r="G631" s="117" t="str">
        <x:v>Yes</x:v>
      </x:c>
      <x:c r="H631" s="117" t="str">
        <x:v>Flow</x:v>
      </x:c>
      <x:c r="I631" s="118" t="n">
        <x:v>53</x:v>
      </x:c>
      <x:c r="J631" s="117" t="str">
        <x:v>unmanaged</x:v>
      </x:c>
      <x:c r="K631" s="123" t="b">
        <x:v>0</x:v>
      </x:c>
      <x:c r="L631" s="117"/>
      <x:c r="M631" s="118"/>
      <x:c r="N631" s="120" t="n">
        <x:v>45908.41831018519</x:v>
      </x:c>
      <x:c r="O631" s="117" t="str">
        <x:v>Sacha Pearce</x:v>
      </x:c>
      <x:c r="P631" s="120" t="n">
        <x:v>45908.42084490741</x:v>
      </x:c>
      <x:c r="Q631" s="117" t="str">
        <x:v>Sacha Pearce</x:v>
      </x:c>
      <x:c r="R631" s="117" t="str">
        <x:v>Create New Service Contract from Opp - UK</x:v>
      </x:c>
      <x:c r="S631" s="119" t="str">
        <x:v>Removed the the following fields:
PM visits
Number of probes
Legacy contract number
09/03/2025 - SP - Adding a Screen to block Service Contract creation when the Opportunity has not paid for, or hasn't been confirmed by finance as safe to proceed
09/04/2025 - SP - Removed prepay notification from the Service Contract Info Screen as the Flow now prevents users from creating Service Contracts where prepay deals haven't been paid or confirmed by finance.
09/08/2025 - SP - Adjusting Opportuniyt ID to equal recordId &gt; Opportunity ID in the first Get Records element. I believe this can be further simplified but ensuring continuity with this change.</x:v>
      </x:c>
    </x:row>
    <x:row r="632" ht="30" customHeight="1">
      <x:c r="A632" s="117" t="str">
        <x:v>Create_Opportunity_from_KloudGin_Case</x:v>
      </x:c>
      <x:c r="B632" s="117" t="str">
        <x:v>3005b000000PzxvAAC</x:v>
      </x:c>
      <x:c r="C632" s="117" t="str">
        <x:v>3015b000000W4fcAAC</x:v>
      </x:c>
      <x:c r="D632" s="118" t="n">
        <x:v>1</x:v>
      </x:c>
      <x:c r="E632" s="117" t="str">
        <x:v>Obsolete</x:v>
      </x:c>
      <x:c r="F632" s="117" t="str">
        <x:v>No</x:v>
      </x:c>
      <x:c r="G632" s="117" t="str">
        <x:v>No</x:v>
      </x:c>
      <x:c r="H632" s="117" t="str">
        <x:v>Flow</x:v>
      </x:c>
      <x:c r="I632" s="118" t="n">
        <x:v>58</x:v>
      </x:c>
      <x:c r="J632" s="117" t="str">
        <x:v>unmanaged</x:v>
      </x:c>
      <x:c r="K632" s="123" t="b">
        <x:v>0</x:v>
      </x:c>
      <x:c r="L632" s="117"/>
      <x:c r="M632" s="118"/>
      <x:c r="N632" s="120" t="n">
        <x:v>45105.07184027778</x:v>
      </x:c>
      <x:c r="O632" s="117" t="str">
        <x:v>Jace Gentil</x:v>
      </x:c>
      <x:c r="P632" s="120" t="n">
        <x:v>45105.07263888889</x:v>
      </x:c>
      <x:c r="Q632" s="117" t="str">
        <x:v>Jace Gentil</x:v>
      </x:c>
      <x:c r="R632" s="117" t="str">
        <x:v>Create Opportunity from KloudGin Case</x:v>
      </x:c>
      <x:c r="S632" s="119"/>
    </x:row>
    <x:row r="633" ht="30" customHeight="1">
      <x:c r="A633" s="117" t="str">
        <x:v>Create_Opportunity_from_KloudGin_Case</x:v>
      </x:c>
      <x:c r="B633" s="117" t="str">
        <x:v>3005b000000PzxvAAC</x:v>
      </x:c>
      <x:c r="C633" s="117" t="str">
        <x:v>3015b000000W4fhAAC</x:v>
      </x:c>
      <x:c r="D633" s="118" t="n">
        <x:v>2</x:v>
      </x:c>
      <x:c r="E633" s="117" t="str">
        <x:v>Obsolete</x:v>
      </x:c>
      <x:c r="F633" s="117" t="str">
        <x:v>No</x:v>
      </x:c>
      <x:c r="G633" s="117" t="str">
        <x:v>No</x:v>
      </x:c>
      <x:c r="H633" s="117" t="str">
        <x:v>Flow</x:v>
      </x:c>
      <x:c r="I633" s="118" t="n">
        <x:v>58</x:v>
      </x:c>
      <x:c r="J633" s="117" t="str">
        <x:v>unmanaged</x:v>
      </x:c>
      <x:c r="K633" s="123" t="b">
        <x:v>0</x:v>
      </x:c>
      <x:c r="L633" s="117"/>
      <x:c r="M633" s="118"/>
      <x:c r="N633" s="120" t="n">
        <x:v>45105.075625</x:v>
      </x:c>
      <x:c r="O633" s="117" t="str">
        <x:v>Jace Gentil</x:v>
      </x:c>
      <x:c r="P633" s="120" t="n">
        <x:v>45105.0756712963</x:v>
      </x:c>
      <x:c r="Q633" s="117" t="str">
        <x:v>Jace Gentil</x:v>
      </x:c>
      <x:c r="R633" s="117" t="str">
        <x:v>Create Opportunity from KloudGin Case</x:v>
      </x:c>
      <x:c r="S633" s="119"/>
    </x:row>
    <x:row r="634" ht="30" customHeight="1">
      <x:c r="A634" s="117" t="str">
        <x:v>Create_Opportunity_from_KloudGin_Case</x:v>
      </x:c>
      <x:c r="B634" s="117" t="str">
        <x:v>3005b000000PzxvAAC</x:v>
      </x:c>
      <x:c r="C634" s="117" t="str">
        <x:v>3015b000000W4fmAAC</x:v>
      </x:c>
      <x:c r="D634" s="118" t="n">
        <x:v>3</x:v>
      </x:c>
      <x:c r="E634" s="117" t="str">
        <x:v>Obsolete</x:v>
      </x:c>
      <x:c r="F634" s="117" t="str">
        <x:v>No</x:v>
      </x:c>
      <x:c r="G634" s="117" t="str">
        <x:v>No</x:v>
      </x:c>
      <x:c r="H634" s="117" t="str">
        <x:v>Flow</x:v>
      </x:c>
      <x:c r="I634" s="118" t="n">
        <x:v>58</x:v>
      </x:c>
      <x:c r="J634" s="117" t="str">
        <x:v>unmanaged</x:v>
      </x:c>
      <x:c r="K634" s="123" t="b">
        <x:v>0</x:v>
      </x:c>
      <x:c r="L634" s="117"/>
      <x:c r="M634" s="118"/>
      <x:c r="N634" s="120" t="n">
        <x:v>45105.07640046296</x:v>
      </x:c>
      <x:c r="O634" s="117" t="str">
        <x:v>Jace Gentil</x:v>
      </x:c>
      <x:c r="P634" s="120" t="n">
        <x:v>45105.07644675926</x:v>
      </x:c>
      <x:c r="Q634" s="117" t="str">
        <x:v>Jace Gentil</x:v>
      </x:c>
      <x:c r="R634" s="117" t="str">
        <x:v>Create Opportunity from KloudGin Case</x:v>
      </x:c>
      <x:c r="S634" s="119"/>
    </x:row>
    <x:row r="635" ht="30" customHeight="1">
      <x:c r="A635" s="117" t="str">
        <x:v>Create_Opportunity_from_KloudGin_Case</x:v>
      </x:c>
      <x:c r="B635" s="117" t="str">
        <x:v>3005b000000PzxvAAC</x:v>
      </x:c>
      <x:c r="C635" s="117" t="str">
        <x:v>3015b000000W4g6AAC</x:v>
      </x:c>
      <x:c r="D635" s="118" t="n">
        <x:v>4</x:v>
      </x:c>
      <x:c r="E635" s="117" t="str">
        <x:v>Obsolete</x:v>
      </x:c>
      <x:c r="F635" s="117" t="str">
        <x:v>No</x:v>
      </x:c>
      <x:c r="G635" s="117" t="str">
        <x:v>No</x:v>
      </x:c>
      <x:c r="H635" s="117" t="str">
        <x:v>Flow</x:v>
      </x:c>
      <x:c r="I635" s="118" t="n">
        <x:v>58</x:v>
      </x:c>
      <x:c r="J635" s="117" t="str">
        <x:v>unmanaged</x:v>
      </x:c>
      <x:c r="K635" s="123" t="b">
        <x:v>0</x:v>
      </x:c>
      <x:c r="L635" s="117"/>
      <x:c r="M635" s="118"/>
      <x:c r="N635" s="120" t="n">
        <x:v>45105.09778935185</x:v>
      </x:c>
      <x:c r="O635" s="117" t="str">
        <x:v>Jace Gentil</x:v>
      </x:c>
      <x:c r="P635" s="120" t="n">
        <x:v>45105.09787037037</x:v>
      </x:c>
      <x:c r="Q635" s="117" t="str">
        <x:v>Jace Gentil</x:v>
      </x:c>
      <x:c r="R635" s="117" t="str">
        <x:v>Create Opportunity from KloudGin Case</x:v>
      </x:c>
      <x:c r="S635" s="119"/>
    </x:row>
    <x:row r="636" ht="30" customHeight="1">
      <x:c r="A636" s="117" t="str">
        <x:v>Create_Opportunity_from_KloudGin_Case</x:v>
      </x:c>
      <x:c r="B636" s="117" t="str">
        <x:v>3005b000000PzxvAAC</x:v>
      </x:c>
      <x:c r="C636" s="117" t="str">
        <x:v>3015b000000W4gBAAS</x:v>
      </x:c>
      <x:c r="D636" s="118" t="n">
        <x:v>5</x:v>
      </x:c>
      <x:c r="E636" s="117" t="str">
        <x:v>Obsolete</x:v>
      </x:c>
      <x:c r="F636" s="117" t="str">
        <x:v>No</x:v>
      </x:c>
      <x:c r="G636" s="117" t="str">
        <x:v>No</x:v>
      </x:c>
      <x:c r="H636" s="117" t="str">
        <x:v>Flow</x:v>
      </x:c>
      <x:c r="I636" s="118" t="n">
        <x:v>58</x:v>
      </x:c>
      <x:c r="J636" s="117" t="str">
        <x:v>unmanaged</x:v>
      </x:c>
      <x:c r="K636" s="123" t="b">
        <x:v>0</x:v>
      </x:c>
      <x:c r="L636" s="117"/>
      <x:c r="M636" s="118"/>
      <x:c r="N636" s="120" t="n">
        <x:v>45105.10114583333</x:v>
      </x:c>
      <x:c r="O636" s="117" t="str">
        <x:v>Jace Gentil</x:v>
      </x:c>
      <x:c r="P636" s="120" t="n">
        <x:v>45105.10119212963</x:v>
      </x:c>
      <x:c r="Q636" s="117" t="str">
        <x:v>Jace Gentil</x:v>
      </x:c>
      <x:c r="R636" s="117" t="str">
        <x:v>Create Opportunity from KloudGin Case</x:v>
      </x:c>
      <x:c r="S636" s="119"/>
    </x:row>
    <x:row r="637" ht="30" customHeight="1">
      <x:c r="A637" s="117" t="str">
        <x:v>Create_Opportunity_from_KloudGin_Case</x:v>
      </x:c>
      <x:c r="B637" s="117" t="str">
        <x:v>3005b000000PzxvAAC</x:v>
      </x:c>
      <x:c r="C637" s="117" t="str">
        <x:v>3015b000000W4gGAAS</x:v>
      </x:c>
      <x:c r="D637" s="118" t="n">
        <x:v>6</x:v>
      </x:c>
      <x:c r="E637" s="117" t="str">
        <x:v>Obsolete</x:v>
      </x:c>
      <x:c r="F637" s="117" t="str">
        <x:v>No</x:v>
      </x:c>
      <x:c r="G637" s="117" t="str">
        <x:v>No</x:v>
      </x:c>
      <x:c r="H637" s="117" t="str">
        <x:v>Flow</x:v>
      </x:c>
      <x:c r="I637" s="118" t="n">
        <x:v>58</x:v>
      </x:c>
      <x:c r="J637" s="117" t="str">
        <x:v>unmanaged</x:v>
      </x:c>
      <x:c r="K637" s="123" t="b">
        <x:v>0</x:v>
      </x:c>
      <x:c r="L637" s="117"/>
      <x:c r="M637" s="118"/>
      <x:c r="N637" s="120" t="n">
        <x:v>45105.104583333334</x:v>
      </x:c>
      <x:c r="O637" s="117" t="str">
        <x:v>Jace Gentil</x:v>
      </x:c>
      <x:c r="P637" s="120" t="n">
        <x:v>45105.104629629626</x:v>
      </x:c>
      <x:c r="Q637" s="117" t="str">
        <x:v>Jace Gentil</x:v>
      </x:c>
      <x:c r="R637" s="117" t="str">
        <x:v>Create Opportunity from KloudGin Case</x:v>
      </x:c>
      <x:c r="S637" s="119"/>
    </x:row>
    <x:row r="638" ht="30" customHeight="1">
      <x:c r="A638" s="117" t="str">
        <x:v>Create_Opportunity_from_KloudGin_Case</x:v>
      </x:c>
      <x:c r="B638" s="117" t="str">
        <x:v>3005b000000PzxvAAC</x:v>
      </x:c>
      <x:c r="C638" s="117" t="str">
        <x:v>3015b000000W4gLAAS</x:v>
      </x:c>
      <x:c r="D638" s="118" t="n">
        <x:v>7</x:v>
      </x:c>
      <x:c r="E638" s="117" t="str">
        <x:v>Obsolete</x:v>
      </x:c>
      <x:c r="F638" s="117" t="str">
        <x:v>No</x:v>
      </x:c>
      <x:c r="G638" s="117" t="str">
        <x:v>No</x:v>
      </x:c>
      <x:c r="H638" s="117" t="str">
        <x:v>Flow</x:v>
      </x:c>
      <x:c r="I638" s="118" t="n">
        <x:v>58</x:v>
      </x:c>
      <x:c r="J638" s="117" t="str">
        <x:v>unmanaged</x:v>
      </x:c>
      <x:c r="K638" s="123" t="b">
        <x:v>0</x:v>
      </x:c>
      <x:c r="L638" s="117"/>
      <x:c r="M638" s="118"/>
      <x:c r="N638" s="120" t="n">
        <x:v>45105.10622685185</x:v>
      </x:c>
      <x:c r="O638" s="117" t="str">
        <x:v>Jace Gentil</x:v>
      </x:c>
      <x:c r="P638" s="120" t="n">
        <x:v>45105.10627314815</x:v>
      </x:c>
      <x:c r="Q638" s="117" t="str">
        <x:v>Jace Gentil</x:v>
      </x:c>
      <x:c r="R638" s="117" t="str">
        <x:v>Create Opportunity from KloudGin Case</x:v>
      </x:c>
      <x:c r="S638" s="119"/>
    </x:row>
    <x:row r="639" ht="30" customHeight="1">
      <x:c r="A639" s="117" t="str">
        <x:v>Create_Opportunity_from_KloudGin_Case</x:v>
      </x:c>
      <x:c r="B639" s="117" t="str">
        <x:v>3005b000000PzxvAAC</x:v>
      </x:c>
      <x:c r="C639" s="117" t="str">
        <x:v>3015b000000W4gRAAS</x:v>
      </x:c>
      <x:c r="D639" s="118" t="n">
        <x:v>8</x:v>
      </x:c>
      <x:c r="E639" s="117" t="str">
        <x:v>Obsolete</x:v>
      </x:c>
      <x:c r="F639" s="117" t="str">
        <x:v>No</x:v>
      </x:c>
      <x:c r="G639" s="117" t="str">
        <x:v>No</x:v>
      </x:c>
      <x:c r="H639" s="117" t="str">
        <x:v>Flow</x:v>
      </x:c>
      <x:c r="I639" s="118" t="n">
        <x:v>58</x:v>
      </x:c>
      <x:c r="J639" s="117" t="str">
        <x:v>unmanaged</x:v>
      </x:c>
      <x:c r="K639" s="123" t="b">
        <x:v>0</x:v>
      </x:c>
      <x:c r="L639" s="117"/>
      <x:c r="M639" s="118"/>
      <x:c r="N639" s="120" t="n">
        <x:v>45105.10804398148</x:v>
      </x:c>
      <x:c r="O639" s="117" t="str">
        <x:v>Jace Gentil</x:v>
      </x:c>
      <x:c r="P639" s="120" t="n">
        <x:v>45105.108078703706</x:v>
      </x:c>
      <x:c r="Q639" s="117" t="str">
        <x:v>Jace Gentil</x:v>
      </x:c>
      <x:c r="R639" s="117" t="str">
        <x:v>Create Opportunity from KloudGin Case</x:v>
      </x:c>
      <x:c r="S639" s="119"/>
    </x:row>
    <x:row r="640" ht="30" customHeight="1">
      <x:c r="A640" s="117" t="str">
        <x:v>Create_Opportunity_from_KloudGin_Case</x:v>
      </x:c>
      <x:c r="B640" s="117" t="str">
        <x:v>3005b000000PzxvAAC</x:v>
      </x:c>
      <x:c r="C640" s="117" t="str">
        <x:v>3015b000000W4hTAAS</x:v>
      </x:c>
      <x:c r="D640" s="118" t="n">
        <x:v>9</x:v>
      </x:c>
      <x:c r="E640" s="117" t="str">
        <x:v>Obsolete</x:v>
      </x:c>
      <x:c r="F640" s="117" t="str">
        <x:v>No</x:v>
      </x:c>
      <x:c r="G640" s="117" t="str">
        <x:v>No</x:v>
      </x:c>
      <x:c r="H640" s="117" t="str">
        <x:v>Flow</x:v>
      </x:c>
      <x:c r="I640" s="118" t="n">
        <x:v>58</x:v>
      </x:c>
      <x:c r="J640" s="117" t="str">
        <x:v>unmanaged</x:v>
      </x:c>
      <x:c r="K640" s="123" t="b">
        <x:v>0</x:v>
      </x:c>
      <x:c r="L640" s="117"/>
      <x:c r="M640" s="118"/>
      <x:c r="N640" s="120" t="n">
        <x:v>45105.57894675926</x:v>
      </x:c>
      <x:c r="O640" s="117" t="str">
        <x:v>Jace Gentil</x:v>
      </x:c>
      <x:c r="P640" s="120" t="n">
        <x:v>45105.57898148148</x:v>
      </x:c>
      <x:c r="Q640" s="117" t="str">
        <x:v>Jace Gentil</x:v>
      </x:c>
      <x:c r="R640" s="117" t="str">
        <x:v>Create Opportunity from KloudGin Case</x:v>
      </x:c>
      <x:c r="S640" s="119"/>
    </x:row>
    <x:row r="641" ht="30" customHeight="1">
      <x:c r="A641" s="117" t="str">
        <x:v>Create_Opportunity_from_KloudGin_Case</x:v>
      </x:c>
      <x:c r="B641" s="117" t="str">
        <x:v>3005b000000PzxvAAC</x:v>
      </x:c>
      <x:c r="C641" s="117" t="str">
        <x:v>3015b000000W4iWAAS</x:v>
      </x:c>
      <x:c r="D641" s="118" t="n">
        <x:v>10</x:v>
      </x:c>
      <x:c r="E641" s="117" t="str">
        <x:v>Obsolete</x:v>
      </x:c>
      <x:c r="F641" s="117" t="str">
        <x:v>No</x:v>
      </x:c>
      <x:c r="G641" s="117" t="str">
        <x:v>No</x:v>
      </x:c>
      <x:c r="H641" s="117" t="str">
        <x:v>Flow</x:v>
      </x:c>
      <x:c r="I641" s="118" t="n">
        <x:v>58</x:v>
      </x:c>
      <x:c r="J641" s="117" t="str">
        <x:v>unmanaged</x:v>
      </x:c>
      <x:c r="K641" s="123" t="b">
        <x:v>0</x:v>
      </x:c>
      <x:c r="L641" s="117"/>
      <x:c r="M641" s="118"/>
      <x:c r="N641" s="120" t="n">
        <x:v>45105.78618055556</x:v>
      </x:c>
      <x:c r="O641" s="117" t="str">
        <x:v>Jace Gentil</x:v>
      </x:c>
      <x:c r="P641" s="120" t="n">
        <x:v>45105.78623842593</x:v>
      </x:c>
      <x:c r="Q641" s="117" t="str">
        <x:v>Jace Gentil</x:v>
      </x:c>
      <x:c r="R641" s="117" t="str">
        <x:v>Create Opportunity from KloudGin Case</x:v>
      </x:c>
      <x:c r="S641" s="119"/>
    </x:row>
    <x:row r="642" ht="30" customHeight="1">
      <x:c r="A642" s="117" t="str">
        <x:v>Create_Opportunity_from_KloudGin_Case</x:v>
      </x:c>
      <x:c r="B642" s="117" t="str">
        <x:v>3005b000000PzxvAAC</x:v>
      </x:c>
      <x:c r="C642" s="117" t="str">
        <x:v>3015b000000ANIxAAO</x:v>
      </x:c>
      <x:c r="D642" s="118" t="n">
        <x:v>11</x:v>
      </x:c>
      <x:c r="E642" s="117" t="str">
        <x:v>Obsolete</x:v>
      </x:c>
      <x:c r="F642" s="117" t="str">
        <x:v>No</x:v>
      </x:c>
      <x:c r="G642" s="117" t="str">
        <x:v>No</x:v>
      </x:c>
      <x:c r="H642" s="117" t="str">
        <x:v>Flow</x:v>
      </x:c>
      <x:c r="I642" s="118" t="n">
        <x:v>58</x:v>
      </x:c>
      <x:c r="J642" s="117" t="str">
        <x:v>unmanaged</x:v>
      </x:c>
      <x:c r="K642" s="123" t="b">
        <x:v>0</x:v>
      </x:c>
      <x:c r="L642" s="117"/>
      <x:c r="M642" s="118"/>
      <x:c r="N642" s="120" t="n">
        <x:v>45107.67854166667</x:v>
      </x:c>
      <x:c r="O642" s="117" t="str">
        <x:v>Jace Gentil</x:v>
      </x:c>
      <x:c r="P642" s="120" t="n">
        <x:v>45107.67858796296</x:v>
      </x:c>
      <x:c r="Q642" s="117" t="str">
        <x:v>Jace Gentil</x:v>
      </x:c>
      <x:c r="R642" s="117" t="str">
        <x:v>Create Opportunity from KloudGin Case</x:v>
      </x:c>
      <x:c r="S642" s="119"/>
    </x:row>
    <x:row r="643" ht="30" customHeight="1">
      <x:c r="A643" s="117" t="str">
        <x:v>Create_Opportunity_from_KloudGin_Case</x:v>
      </x:c>
      <x:c r="B643" s="117" t="str">
        <x:v>3005b000000PzxvAAC</x:v>
      </x:c>
      <x:c r="C643" s="117" t="str">
        <x:v>3015b000000ANSJAA4</x:v>
      </x:c>
      <x:c r="D643" s="118" t="n">
        <x:v>12</x:v>
      </x:c>
      <x:c r="E643" s="117" t="str">
        <x:v>Obsolete</x:v>
      </x:c>
      <x:c r="F643" s="117" t="str">
        <x:v>No</x:v>
      </x:c>
      <x:c r="G643" s="117" t="str">
        <x:v>No</x:v>
      </x:c>
      <x:c r="H643" s="117" t="str">
        <x:v>Flow</x:v>
      </x:c>
      <x:c r="I643" s="118" t="n">
        <x:v>58</x:v>
      </x:c>
      <x:c r="J643" s="117" t="str">
        <x:v>unmanaged</x:v>
      </x:c>
      <x:c r="K643" s="123" t="b">
        <x:v>0</x:v>
      </x:c>
      <x:c r="L643" s="117"/>
      <x:c r="M643" s="118"/>
      <x:c r="N643" s="120" t="n">
        <x:v>45112.648043981484</x:v>
      </x:c>
      <x:c r="O643" s="117" t="str">
        <x:v>Jace Gentil</x:v>
      </x:c>
      <x:c r="P643" s="120" t="n">
        <x:v>45112.64811342592</x:v>
      </x:c>
      <x:c r="Q643" s="117" t="str">
        <x:v>Jace Gentil</x:v>
      </x:c>
      <x:c r="R643" s="117" t="str">
        <x:v>Create Opportunity from KloudGin Case</x:v>
      </x:c>
      <x:c r="S643" s="119"/>
    </x:row>
    <x:row r="644" ht="30" customHeight="1">
      <x:c r="A644" s="117" t="str">
        <x:v>Create_Opportunity_from_KloudGin_Case</x:v>
      </x:c>
      <x:c r="B644" s="117" t="str">
        <x:v>3005b000000PzxvAAC</x:v>
      </x:c>
      <x:c r="C644" s="117" t="str">
        <x:v>3015b000000ANf3AAG</x:v>
      </x:c>
      <x:c r="D644" s="118" t="n">
        <x:v>13</x:v>
      </x:c>
      <x:c r="E644" s="117" t="str">
        <x:v>Obsolete</x:v>
      </x:c>
      <x:c r="F644" s="117" t="str">
        <x:v>No</x:v>
      </x:c>
      <x:c r="G644" s="117" t="str">
        <x:v>No</x:v>
      </x:c>
      <x:c r="H644" s="117" t="str">
        <x:v>Flow</x:v>
      </x:c>
      <x:c r="I644" s="118" t="n">
        <x:v>58</x:v>
      </x:c>
      <x:c r="J644" s="117" t="str">
        <x:v>unmanaged</x:v>
      </x:c>
      <x:c r="K644" s="123" t="b">
        <x:v>0</x:v>
      </x:c>
      <x:c r="L644" s="117"/>
      <x:c r="M644" s="118"/>
      <x:c r="N644" s="120" t="n">
        <x:v>45114.74490740741</x:v>
      </x:c>
      <x:c r="O644" s="117" t="str">
        <x:v>Jace Gentil</x:v>
      </x:c>
      <x:c r="P644" s="120" t="n">
        <x:v>45114.74496527778</x:v>
      </x:c>
      <x:c r="Q644" s="117" t="str">
        <x:v>Jace Gentil</x:v>
      </x:c>
      <x:c r="R644" s="117" t="str">
        <x:v>Create Opportunity from KloudGin Case</x:v>
      </x:c>
      <x:c r="S644" s="119"/>
    </x:row>
    <x:row r="645" ht="30" customHeight="1">
      <x:c r="A645" s="117" t="str">
        <x:v>Create_Opportunity_from_KloudGin_Case</x:v>
      </x:c>
      <x:c r="B645" s="117" t="str">
        <x:v>3005b000000PzxvAAC</x:v>
      </x:c>
      <x:c r="C645" s="117" t="str">
        <x:v>3015b000000AR1HAAW</x:v>
      </x:c>
      <x:c r="D645" s="118" t="n">
        <x:v>14</x:v>
      </x:c>
      <x:c r="E645" s="117" t="str">
        <x:v>Obsolete</x:v>
      </x:c>
      <x:c r="F645" s="117" t="str">
        <x:v>No</x:v>
      </x:c>
      <x:c r="G645" s="117" t="str">
        <x:v>No</x:v>
      </x:c>
      <x:c r="H645" s="117" t="str">
        <x:v>Flow</x:v>
      </x:c>
      <x:c r="I645" s="118" t="n">
        <x:v>58</x:v>
      </x:c>
      <x:c r="J645" s="117" t="str">
        <x:v>unmanaged</x:v>
      </x:c>
      <x:c r="K645" s="123" t="b">
        <x:v>0</x:v>
      </x:c>
      <x:c r="L645" s="117"/>
      <x:c r="M645" s="118"/>
      <x:c r="N645" s="120" t="n">
        <x:v>45161.65436342593</x:v>
      </x:c>
      <x:c r="O645" s="117" t="str">
        <x:v>Jace Gentil</x:v>
      </x:c>
      <x:c r="P645" s="120" t="n">
        <x:v>45161.65440972222</x:v>
      </x:c>
      <x:c r="Q645" s="117" t="str">
        <x:v>Jace Gentil</x:v>
      </x:c>
      <x:c r="R645" s="117" t="str">
        <x:v>Create Opportunity from KloudGin Case</x:v>
      </x:c>
      <x:c r="S645" s="119"/>
    </x:row>
    <x:row r="646" ht="30" customHeight="1">
      <x:c r="A646" s="117" t="str">
        <x:v>Create_Opportunity_from_KloudGin_Case</x:v>
      </x:c>
      <x:c r="B646" s="117" t="str">
        <x:v>3005b000000PzxvAAC</x:v>
      </x:c>
      <x:c r="C646" s="117" t="str">
        <x:v>3015b000000AR1MAAW</x:v>
      </x:c>
      <x:c r="D646" s="118" t="n">
        <x:v>15</x:v>
      </x:c>
      <x:c r="E646" s="117" t="str">
        <x:v>Obsolete</x:v>
      </x:c>
      <x:c r="F646" s="117" t="str">
        <x:v>No</x:v>
      </x:c>
      <x:c r="G646" s="117" t="str">
        <x:v>No</x:v>
      </x:c>
      <x:c r="H646" s="117" t="str">
        <x:v>Flow</x:v>
      </x:c>
      <x:c r="I646" s="118" t="n">
        <x:v>58</x:v>
      </x:c>
      <x:c r="J646" s="117" t="str">
        <x:v>unmanaged</x:v>
      </x:c>
      <x:c r="K646" s="123" t="b">
        <x:v>0</x:v>
      </x:c>
      <x:c r="L646" s="117"/>
      <x:c r="M646" s="118"/>
      <x:c r="N646" s="120" t="n">
        <x:v>45161.65553240741</x:v>
      </x:c>
      <x:c r="O646" s="117" t="str">
        <x:v>Jace Gentil</x:v>
      </x:c>
      <x:c r="P646" s="120" t="n">
        <x:v>45161.655590277776</x:v>
      </x:c>
      <x:c r="Q646" s="117" t="str">
        <x:v>Jace Gentil</x:v>
      </x:c>
      <x:c r="R646" s="117" t="str">
        <x:v>Create Opportunity from KloudGin Case</x:v>
      </x:c>
      <x:c r="S646" s="119"/>
    </x:row>
    <x:row r="647" ht="30" customHeight="1">
      <x:c r="A647" s="117" t="str">
        <x:v>Create_Opportunity_from_KloudGin_Case</x:v>
      </x:c>
      <x:c r="B647" s="117" t="str">
        <x:v>3005b000000PzxvAAC</x:v>
      </x:c>
      <x:c r="C647" s="117" t="str">
        <x:v>3015b000000AR1WAAW</x:v>
      </x:c>
      <x:c r="D647" s="118" t="n">
        <x:v>16</x:v>
      </x:c>
      <x:c r="E647" s="117" t="str">
        <x:v>Active</x:v>
      </x:c>
      <x:c r="F647" s="117" t="str">
        <x:v>Yes</x:v>
      </x:c>
      <x:c r="G647" s="117" t="str">
        <x:v>No</x:v>
      </x:c>
      <x:c r="H647" s="117" t="str">
        <x:v>Flow</x:v>
      </x:c>
      <x:c r="I647" s="118" t="n">
        <x:v>58</x:v>
      </x:c>
      <x:c r="J647" s="117" t="str">
        <x:v>unmanaged</x:v>
      </x:c>
      <x:c r="K647" s="123" t="b">
        <x:v>0</x:v>
      </x:c>
      <x:c r="L647" s="117"/>
      <x:c r="M647" s="118"/>
      <x:c r="N647" s="120" t="n">
        <x:v>45161.656909722224</x:v>
      </x:c>
      <x:c r="O647" s="117" t="str">
        <x:v>Jace Gentil</x:v>
      </x:c>
      <x:c r="P647" s="120" t="n">
        <x:v>45161.79293981481</x:v>
      </x:c>
      <x:c r="Q647" s="117" t="str">
        <x:v>Jace Gentil</x:v>
      </x:c>
      <x:c r="R647" s="117" t="str">
        <x:v>Create Opportunity from KloudGin Case</x:v>
      </x:c>
      <x:c r="S647" s="119"/>
    </x:row>
    <x:row r="648" ht="30" customHeight="1">
      <x:c r="A648" s="117" t="str">
        <x:v>Create_Opportunity_from_KloudGin_Case</x:v>
      </x:c>
      <x:c r="B648" s="117" t="str">
        <x:v>3005b000000PzxvAAC</x:v>
      </x:c>
      <x:c r="C648" s="117" t="str">
        <x:v>3015b000000AR4GAAW</x:v>
      </x:c>
      <x:c r="D648" s="118" t="n">
        <x:v>17</x:v>
      </x:c>
      <x:c r="E648" s="117" t="str">
        <x:v>Obsolete</x:v>
      </x:c>
      <x:c r="F648" s="117" t="str">
        <x:v>No</x:v>
      </x:c>
      <x:c r="G648" s="117" t="str">
        <x:v>No</x:v>
      </x:c>
      <x:c r="H648" s="117" t="str">
        <x:v>Flow</x:v>
      </x:c>
      <x:c r="I648" s="118" t="n">
        <x:v>58</x:v>
      </x:c>
      <x:c r="J648" s="117" t="str">
        <x:v>unmanaged</x:v>
      </x:c>
      <x:c r="K648" s="123" t="b">
        <x:v>0</x:v>
      </x:c>
      <x:c r="L648" s="117"/>
      <x:c r="M648" s="118"/>
      <x:c r="N648" s="120" t="n">
        <x:v>45161.77799768518</x:v>
      </x:c>
      <x:c r="O648" s="117" t="str">
        <x:v>Jace Gentil</x:v>
      </x:c>
      <x:c r="P648" s="120" t="n">
        <x:v>45161.77805555556</x:v>
      </x:c>
      <x:c r="Q648" s="117" t="str">
        <x:v>Jace Gentil</x:v>
      </x:c>
      <x:c r="R648" s="117" t="str">
        <x:v>Create Opportunity from KloudGin Case</x:v>
      </x:c>
      <x:c r="S648" s="119"/>
    </x:row>
    <x:row r="649" ht="30" customHeight="1">
      <x:c r="A649" s="117" t="str">
        <x:v>Create_Opportunity_from_KloudGin_Case</x:v>
      </x:c>
      <x:c r="B649" s="117" t="str">
        <x:v>3005b000000PzxvAAC</x:v>
      </x:c>
      <x:c r="C649" s="117" t="str">
        <x:v>3015b000000AR4LAAW</x:v>
      </x:c>
      <x:c r="D649" s="118" t="n">
        <x:v>18</x:v>
      </x:c>
      <x:c r="E649" s="117" t="str">
        <x:v>Obsolete</x:v>
      </x:c>
      <x:c r="F649" s="117" t="str">
        <x:v>No</x:v>
      </x:c>
      <x:c r="G649" s="117" t="str">
        <x:v>No</x:v>
      </x:c>
      <x:c r="H649" s="117" t="str">
        <x:v>Flow</x:v>
      </x:c>
      <x:c r="I649" s="118" t="n">
        <x:v>58</x:v>
      </x:c>
      <x:c r="J649" s="117" t="str">
        <x:v>unmanaged</x:v>
      </x:c>
      <x:c r="K649" s="123" t="b">
        <x:v>0</x:v>
      </x:c>
      <x:c r="L649" s="117"/>
      <x:c r="M649" s="118"/>
      <x:c r="N649" s="120" t="n">
        <x:v>45161.790138888886</x:v>
      </x:c>
      <x:c r="O649" s="117" t="str">
        <x:v>Jace Gentil</x:v>
      </x:c>
      <x:c r="P649" s="120" t="n">
        <x:v>45161.792592592596</x:v>
      </x:c>
      <x:c r="Q649" s="117" t="str">
        <x:v>Jace Gentil</x:v>
      </x:c>
      <x:c r="R649" s="117" t="str">
        <x:v>Create Opportunity from KloudGin Case</x:v>
      </x:c>
      <x:c r="S649" s="119"/>
    </x:row>
    <x:row r="650" ht="30" customHeight="1">
      <x:c r="A650" s="117" t="str">
        <x:v>Create_Opportunity_from_KloudGin_Case</x:v>
      </x:c>
      <x:c r="B650" s="117" t="str">
        <x:v>3005b000000PzxvAAC</x:v>
      </x:c>
      <x:c r="C650" s="117" t="str">
        <x:v>3015b000000AR54AAG</x:v>
      </x:c>
      <x:c r="D650" s="118" t="n">
        <x:v>19</x:v>
      </x:c>
      <x:c r="E650" s="117" t="str">
        <x:v>Draft</x:v>
      </x:c>
      <x:c r="F650" s="117" t="str">
        <x:v>No</x:v>
      </x:c>
      <x:c r="G650" s="117" t="str">
        <x:v>Yes</x:v>
      </x:c>
      <x:c r="H650" s="117" t="str">
        <x:v>Flow</x:v>
      </x:c>
      <x:c r="I650" s="118" t="n">
        <x:v>58</x:v>
      </x:c>
      <x:c r="J650" s="117" t="str">
        <x:v>unmanaged</x:v>
      </x:c>
      <x:c r="K650" s="123" t="b">
        <x:v>0</x:v>
      </x:c>
      <x:c r="L650" s="117"/>
      <x:c r="M650" s="118"/>
      <x:c r="N650" s="120" t="n">
        <x:v>45161.816666666666</x:v>
      </x:c>
      <x:c r="O650" s="117" t="str">
        <x:v>Jace Gentil</x:v>
      </x:c>
      <x:c r="P650" s="120" t="n">
        <x:v>45161.81667824074</x:v>
      </x:c>
      <x:c r="Q650" s="117" t="str">
        <x:v>Jace Gentil</x:v>
      </x:c>
      <x:c r="R650" s="117" t="str">
        <x:v>Create Opportunity from KloudGin Case</x:v>
      </x:c>
      <x:c r="S650" s="119"/>
    </x:row>
    <x:row r="651" ht="30" customHeight="1">
      <x:c r="A651" s="117" t="str">
        <x:v>Create_Order_and_Order_Products_from_Paid_Invoice</x:v>
      </x:c>
      <x:c r="B651" s="117" t="str">
        <x:v>3004O000000LOsbQAG</x:v>
      </x:c>
      <x:c r="C651" s="117" t="str">
        <x:v>3014O000000M0WuQAK</x:v>
      </x:c>
      <x:c r="D651" s="118" t="n">
        <x:v>1</x:v>
      </x:c>
      <x:c r="E651" s="117" t="str">
        <x:v>Draft</x:v>
      </x:c>
      <x:c r="F651" s="117" t="str">
        <x:v>No</x:v>
      </x:c>
      <x:c r="G651" s="117" t="str">
        <x:v>No</x:v>
      </x:c>
      <x:c r="H651" s="117" t="str">
        <x:v>AutoLaunchedFlow</x:v>
      </x:c>
      <x:c r="I651" s="118" t="n">
        <x:v>50</x:v>
      </x:c>
      <x:c r="J651" s="117" t="str">
        <x:v>unmanaged</x:v>
      </x:c>
      <x:c r="K651" s="123" t="b">
        <x:v>0</x:v>
      </x:c>
      <x:c r="L651" s="117"/>
      <x:c r="M651" s="118"/>
      <x:c r="N651" s="120" t="n">
        <x:v>44199.749293981484</x:v>
      </x:c>
      <x:c r="O651" s="117" t="str">
        <x:v>Delegate</x:v>
      </x:c>
      <x:c r="P651" s="120" t="n">
        <x:v>44199.749293981484</x:v>
      </x:c>
      <x:c r="Q651" s="117" t="str">
        <x:v>Delegate</x:v>
      </x:c>
      <x:c r="R651" s="117" t="str">
        <x:v>Create Order and Order Products from Paid Invoice</x:v>
      </x:c>
      <x:c r="S651" s="119"/>
    </x:row>
    <x:row r="652" ht="30" customHeight="1">
      <x:c r="A652" s="117" t="str">
        <x:v>Create_Order_and_Order_Products_from_Paid_Invoice</x:v>
      </x:c>
      <x:c r="B652" s="117" t="str">
        <x:v>3004O000000LOsbQAG</x:v>
      </x:c>
      <x:c r="C652" s="117" t="str">
        <x:v>3014O000000M0XFQA0</x:v>
      </x:c>
      <x:c r="D652" s="118" t="n">
        <x:v>2</x:v>
      </x:c>
      <x:c r="E652" s="117" t="str">
        <x:v>Obsolete</x:v>
      </x:c>
      <x:c r="F652" s="117" t="str">
        <x:v>No</x:v>
      </x:c>
      <x:c r="G652" s="117" t="str">
        <x:v>No</x:v>
      </x:c>
      <x:c r="H652" s="117" t="str">
        <x:v>AutoLaunchedFlow</x:v>
      </x:c>
      <x:c r="I652" s="118" t="n">
        <x:v>50</x:v>
      </x:c>
      <x:c r="J652" s="117" t="str">
        <x:v>unmanaged</x:v>
      </x:c>
      <x:c r="K652" s="123" t="b">
        <x:v>0</x:v>
      </x:c>
      <x:c r="L652" s="117"/>
      <x:c r="M652" s="118"/>
      <x:c r="N652" s="120" t="n">
        <x:v>44199.80039351852</x:v>
      </x:c>
      <x:c r="O652" s="117" t="str">
        <x:v>Delegate</x:v>
      </x:c>
      <x:c r="P652" s="120" t="n">
        <x:v>44199.858622685184</x:v>
      </x:c>
      <x:c r="Q652" s="117" t="str">
        <x:v>Trent VanEmon</x:v>
      </x:c>
      <x:c r="R652" s="117" t="str">
        <x:v>Create Order and Order Products from Paid Invoice</x:v>
      </x:c>
      <x:c r="S652" s="119"/>
    </x:row>
    <x:row r="653" ht="30" customHeight="1">
      <x:c r="A653" s="117" t="str">
        <x:v>Create_Order_and_Order_Products_from_Paid_Invoice</x:v>
      </x:c>
      <x:c r="B653" s="117" t="str">
        <x:v>3004O000000LOsbQAG</x:v>
      </x:c>
      <x:c r="C653" s="117" t="str">
        <x:v>3014O000000M115QAC</x:v>
      </x:c>
      <x:c r="D653" s="118" t="n">
        <x:v>3</x:v>
      </x:c>
      <x:c r="E653" s="117" t="str">
        <x:v>Obsolete</x:v>
      </x:c>
      <x:c r="F653" s="117" t="str">
        <x:v>No</x:v>
      </x:c>
      <x:c r="G653" s="117" t="str">
        <x:v>No</x:v>
      </x:c>
      <x:c r="H653" s="117" t="str">
        <x:v>AutoLaunchedFlow</x:v>
      </x:c>
      <x:c r="I653" s="118" t="n">
        <x:v>50</x:v>
      </x:c>
      <x:c r="J653" s="117" t="str">
        <x:v>unmanaged</x:v>
      </x:c>
      <x:c r="K653" s="123" t="b">
        <x:v>0</x:v>
      </x:c>
      <x:c r="L653" s="117"/>
      <x:c r="M653" s="118"/>
      <x:c r="N653" s="120" t="n">
        <x:v>44217.802569444444</x:v>
      </x:c>
      <x:c r="O653" s="117" t="str">
        <x:v>Trent VanEmon</x:v>
      </x:c>
      <x:c r="P653" s="120" t="n">
        <x:v>44217.80260416667</x:v>
      </x:c>
      <x:c r="Q653" s="117" t="str">
        <x:v>Trent VanEmon</x:v>
      </x:c>
      <x:c r="R653" s="117" t="str">
        <x:v>Create Order and Order Products from Paid Invoice</x:v>
      </x:c>
      <x:c r="S653" s="119"/>
    </x:row>
    <x:row r="654" ht="30" customHeight="1">
      <x:c r="A654" s="117" t="str">
        <x:v>Create_Order_and_Order_Products_from_Paid_Invoice</x:v>
      </x:c>
      <x:c r="B654" s="117" t="str">
        <x:v>3004O000000LOsbQAG</x:v>
      </x:c>
      <x:c r="C654" s="117" t="str">
        <x:v>3014O000000M11jQAC</x:v>
      </x:c>
      <x:c r="D654" s="118" t="n">
        <x:v>4</x:v>
      </x:c>
      <x:c r="E654" s="117" t="str">
        <x:v>Obsolete</x:v>
      </x:c>
      <x:c r="F654" s="117" t="str">
        <x:v>No</x:v>
      </x:c>
      <x:c r="G654" s="117" t="str">
        <x:v>No</x:v>
      </x:c>
      <x:c r="H654" s="117" t="str">
        <x:v>AutoLaunchedFlow</x:v>
      </x:c>
      <x:c r="I654" s="118" t="n">
        <x:v>50</x:v>
      </x:c>
      <x:c r="J654" s="117" t="str">
        <x:v>unmanaged</x:v>
      </x:c>
      <x:c r="K654" s="123" t="b">
        <x:v>0</x:v>
      </x:c>
      <x:c r="L654" s="117"/>
      <x:c r="M654" s="118"/>
      <x:c r="N654" s="120" t="n">
        <x:v>44217.84792824074</x:v>
      </x:c>
      <x:c r="O654" s="117" t="str">
        <x:v>Trent VanEmon</x:v>
      </x:c>
      <x:c r="P654" s="120" t="n">
        <x:v>44217.847974537035</x:v>
      </x:c>
      <x:c r="Q654" s="117" t="str">
        <x:v>Trent VanEmon</x:v>
      </x:c>
      <x:c r="R654" s="117" t="str">
        <x:v>Create Order and Order Products from Paid Invoice</x:v>
      </x:c>
      <x:c r="S654" s="119"/>
    </x:row>
    <x:row r="655" ht="30" customHeight="1">
      <x:c r="A655" s="117" t="str">
        <x:v>Create_Order_and_Order_Products_from_Paid_Invoice</x:v>
      </x:c>
      <x:c r="B655" s="117" t="str">
        <x:v>3004O000000LOsbQAG</x:v>
      </x:c>
      <x:c r="C655" s="117" t="str">
        <x:v>3014O000000M11fQAC</x:v>
      </x:c>
      <x:c r="D655" s="118" t="n">
        <x:v>5</x:v>
      </x:c>
      <x:c r="E655" s="117" t="str">
        <x:v>Obsolete</x:v>
      </x:c>
      <x:c r="F655" s="117" t="str">
        <x:v>No</x:v>
      </x:c>
      <x:c r="G655" s="117" t="str">
        <x:v>No</x:v>
      </x:c>
      <x:c r="H655" s="117" t="str">
        <x:v>AutoLaunchedFlow</x:v>
      </x:c>
      <x:c r="I655" s="118" t="n">
        <x:v>50</x:v>
      </x:c>
      <x:c r="J655" s="117" t="str">
        <x:v>unmanaged</x:v>
      </x:c>
      <x:c r="K655" s="123" t="b">
        <x:v>0</x:v>
      </x:c>
      <x:c r="L655" s="117"/>
      <x:c r="M655" s="118"/>
      <x:c r="N655" s="120" t="n">
        <x:v>44217.84883101852</x:v>
      </x:c>
      <x:c r="O655" s="117" t="str">
        <x:v>Trent VanEmon</x:v>
      </x:c>
      <x:c r="P655" s="120" t="n">
        <x:v>44217.84885416667</x:v>
      </x:c>
      <x:c r="Q655" s="117" t="str">
        <x:v>Trent VanEmon</x:v>
      </x:c>
      <x:c r="R655" s="117" t="str">
        <x:v>Create Order and Order Products from Paid Invoice</x:v>
      </x:c>
      <x:c r="S655" s="119"/>
    </x:row>
    <x:row r="656" ht="30" customHeight="1">
      <x:c r="A656" s="117" t="str">
        <x:v>Create_Order_and_Order_Products_from_Paid_Invoice</x:v>
      </x:c>
      <x:c r="B656" s="117" t="str">
        <x:v>3004O000000LOsbQAG</x:v>
      </x:c>
      <x:c r="C656" s="117" t="str">
        <x:v>3014O000000M1tHQAS</x:v>
      </x:c>
      <x:c r="D656" s="118" t="n">
        <x:v>6</x:v>
      </x:c>
      <x:c r="E656" s="117" t="str">
        <x:v>Obsolete</x:v>
      </x:c>
      <x:c r="F656" s="117" t="str">
        <x:v>No</x:v>
      </x:c>
      <x:c r="G656" s="117" t="str">
        <x:v>No</x:v>
      </x:c>
      <x:c r="H656" s="117" t="str">
        <x:v>AutoLaunchedFlow</x:v>
      </x:c>
      <x:c r="I656" s="118" t="n">
        <x:v>50</x:v>
      </x:c>
      <x:c r="J656" s="117" t="str">
        <x:v>unmanaged</x:v>
      </x:c>
      <x:c r="K656" s="123" t="b">
        <x:v>0</x:v>
      </x:c>
      <x:c r="L656" s="117"/>
      <x:c r="M656" s="118"/>
      <x:c r="N656" s="120" t="n">
        <x:v>44252.8446412037</x:v>
      </x:c>
      <x:c r="O656" s="117" t="str">
        <x:v>Delegate</x:v>
      </x:c>
      <x:c r="P656" s="120" t="n">
        <x:v>44253.68381944444</x:v>
      </x:c>
      <x:c r="Q656" s="117" t="str">
        <x:v>Delegate</x:v>
      </x:c>
      <x:c r="R656" s="117" t="str">
        <x:v>Create Order and Order Products from Paid Invoice</x:v>
      </x:c>
      <x:c r="S656" s="119"/>
    </x:row>
    <x:row r="657" ht="30" customHeight="1">
      <x:c r="A657" s="117" t="str">
        <x:v>Create_Order_and_Order_Products_from_Paid_Invoice</x:v>
      </x:c>
      <x:c r="B657" s="117" t="str">
        <x:v>3004O000000LOsbQAG</x:v>
      </x:c>
      <x:c r="C657" s="117" t="str">
        <x:v>3014O000000M1u5QAC</x:v>
      </x:c>
      <x:c r="D657" s="118" t="n">
        <x:v>7</x:v>
      </x:c>
      <x:c r="E657" s="117" t="str">
        <x:v>Obsolete</x:v>
      </x:c>
      <x:c r="F657" s="117" t="str">
        <x:v>No</x:v>
      </x:c>
      <x:c r="G657" s="117" t="str">
        <x:v>No</x:v>
      </x:c>
      <x:c r="H657" s="117" t="str">
        <x:v>AutoLaunchedFlow</x:v>
      </x:c>
      <x:c r="I657" s="118" t="n">
        <x:v>50</x:v>
      </x:c>
      <x:c r="J657" s="117" t="str">
        <x:v>unmanaged</x:v>
      </x:c>
      <x:c r="K657" s="123" t="b">
        <x:v>0</x:v>
      </x:c>
      <x:c r="L657" s="117"/>
      <x:c r="M657" s="118"/>
      <x:c r="N657" s="120" t="n">
        <x:v>44253.74438657407</x:v>
      </x:c>
      <x:c r="O657" s="117" t="str">
        <x:v>Delegate</x:v>
      </x:c>
      <x:c r="P657" s="120" t="n">
        <x:v>44253.744421296295</x:v>
      </x:c>
      <x:c r="Q657" s="117" t="str">
        <x:v>Delegate</x:v>
      </x:c>
      <x:c r="R657" s="117" t="str">
        <x:v>Create Order and Order Products from Paid Invoice</x:v>
      </x:c>
      <x:c r="S657" s="119"/>
    </x:row>
    <x:row r="658" ht="30" customHeight="1">
      <x:c r="A658" s="117" t="str">
        <x:v>Create_Order_and_Order_Products_from_Paid_Invoice</x:v>
      </x:c>
      <x:c r="B658" s="117" t="str">
        <x:v>3004O000000LOsbQAG</x:v>
      </x:c>
      <x:c r="C658" s="117" t="str">
        <x:v>3014O000000YAA2QAO</x:v>
      </x:c>
      <x:c r="D658" s="118" t="n">
        <x:v>8</x:v>
      </x:c>
      <x:c r="E658" s="117" t="str">
        <x:v>Obsolete</x:v>
      </x:c>
      <x:c r="F658" s="117" t="str">
        <x:v>No</x:v>
      </x:c>
      <x:c r="G658" s="117" t="str">
        <x:v>No</x:v>
      </x:c>
      <x:c r="H658" s="117" t="str">
        <x:v>AutoLaunchedFlow</x:v>
      </x:c>
      <x:c r="I658" s="118" t="n">
        <x:v>50</x:v>
      </x:c>
      <x:c r="J658" s="117" t="str">
        <x:v>unmanaged</x:v>
      </x:c>
      <x:c r="K658" s="123" t="b">
        <x:v>0</x:v>
      </x:c>
      <x:c r="L658" s="117"/>
      <x:c r="M658" s="118"/>
      <x:c r="N658" s="120" t="n">
        <x:v>44264.71318287037</x:v>
      </x:c>
      <x:c r="O658" s="117" t="str">
        <x:v>Delegate</x:v>
      </x:c>
      <x:c r="P658" s="120" t="n">
        <x:v>44264.71326388889</x:v>
      </x:c>
      <x:c r="Q658" s="117" t="str">
        <x:v>Delegate</x:v>
      </x:c>
      <x:c r="R658" s="117" t="str">
        <x:v>Create Order and Order Products from Paid Invoice</x:v>
      </x:c>
      <x:c r="S658" s="119"/>
    </x:row>
    <x:row r="659" ht="30" customHeight="1">
      <x:c r="A659" s="117" t="str">
        <x:v>Create_Order_and_Order_Products_from_Paid_Invoice</x:v>
      </x:c>
      <x:c r="B659" s="117" t="str">
        <x:v>3004O000000LOsbQAG</x:v>
      </x:c>
      <x:c r="C659" s="117" t="str">
        <x:v>3014O000000YAAMQA4</x:v>
      </x:c>
      <x:c r="D659" s="118" t="n">
        <x:v>9</x:v>
      </x:c>
      <x:c r="E659" s="117" t="str">
        <x:v>Obsolete</x:v>
      </x:c>
      <x:c r="F659" s="117" t="str">
        <x:v>No</x:v>
      </x:c>
      <x:c r="G659" s="117" t="str">
        <x:v>No</x:v>
      </x:c>
      <x:c r="H659" s="117" t="str">
        <x:v>AutoLaunchedFlow</x:v>
      </x:c>
      <x:c r="I659" s="118" t="n">
        <x:v>50</x:v>
      </x:c>
      <x:c r="J659" s="117" t="str">
        <x:v>unmanaged</x:v>
      </x:c>
      <x:c r="K659" s="123" t="b">
        <x:v>0</x:v>
      </x:c>
      <x:c r="L659" s="117"/>
      <x:c r="M659" s="118"/>
      <x:c r="N659" s="120" t="n">
        <x:v>44264.722708333335</x:v>
      </x:c>
      <x:c r="O659" s="117" t="str">
        <x:v>Delegate</x:v>
      </x:c>
      <x:c r="P659" s="120" t="n">
        <x:v>44264.72274305556</x:v>
      </x:c>
      <x:c r="Q659" s="117" t="str">
        <x:v>Delegate</x:v>
      </x:c>
      <x:c r="R659" s="117" t="str">
        <x:v>Create Order and Order Products from Paid Invoice</x:v>
      </x:c>
      <x:c r="S659" s="119"/>
    </x:row>
    <x:row r="660" ht="30" customHeight="1">
      <x:c r="A660" s="117" t="str">
        <x:v>Create_Order_and_Order_Products_from_Paid_Invoice</x:v>
      </x:c>
      <x:c r="B660" s="117" t="str">
        <x:v>3004O000000LOsbQAG</x:v>
      </x:c>
      <x:c r="C660" s="117" t="str">
        <x:v>3014O000000YABKQA4</x:v>
      </x:c>
      <x:c r="D660" s="118" t="n">
        <x:v>10</x:v>
      </x:c>
      <x:c r="E660" s="117" t="str">
        <x:v>Obsolete</x:v>
      </x:c>
      <x:c r="F660" s="117" t="str">
        <x:v>No</x:v>
      </x:c>
      <x:c r="G660" s="117" t="str">
        <x:v>No</x:v>
      </x:c>
      <x:c r="H660" s="117" t="str">
        <x:v>AutoLaunchedFlow</x:v>
      </x:c>
      <x:c r="I660" s="118" t="n">
        <x:v>50</x:v>
      </x:c>
      <x:c r="J660" s="117" t="str">
        <x:v>unmanaged</x:v>
      </x:c>
      <x:c r="K660" s="123" t="b">
        <x:v>0</x:v>
      </x:c>
      <x:c r="L660" s="117"/>
      <x:c r="M660" s="118"/>
      <x:c r="N660" s="120" t="n">
        <x:v>44264.79112268519</x:v>
      </x:c>
      <x:c r="O660" s="117" t="str">
        <x:v>Delegate</x:v>
      </x:c>
      <x:c r="P660" s="120" t="n">
        <x:v>44264.79114583333</x:v>
      </x:c>
      <x:c r="Q660" s="117" t="str">
        <x:v>Delegate</x:v>
      </x:c>
      <x:c r="R660" s="117" t="str">
        <x:v>Create Order and Order Products from Paid Invoice</x:v>
      </x:c>
      <x:c r="S660" s="119"/>
    </x:row>
    <x:row r="661" ht="30" customHeight="1">
      <x:c r="A661" s="117" t="str">
        <x:v>Create_Order_and_Order_Products_from_Paid_Invoice</x:v>
      </x:c>
      <x:c r="B661" s="117" t="str">
        <x:v>3004O000000LOsbQAG</x:v>
      </x:c>
      <x:c r="C661" s="117" t="str">
        <x:v>3014O000000YAcaQAG</x:v>
      </x:c>
      <x:c r="D661" s="118" t="n">
        <x:v>11</x:v>
      </x:c>
      <x:c r="E661" s="117" t="str">
        <x:v>Obsolete</x:v>
      </x:c>
      <x:c r="F661" s="117" t="str">
        <x:v>No</x:v>
      </x:c>
      <x:c r="G661" s="117" t="str">
        <x:v>No</x:v>
      </x:c>
      <x:c r="H661" s="117" t="str">
        <x:v>AutoLaunchedFlow</x:v>
      </x:c>
      <x:c r="I661" s="118" t="n">
        <x:v>50</x:v>
      </x:c>
      <x:c r="J661" s="117" t="str">
        <x:v>unmanaged</x:v>
      </x:c>
      <x:c r="K661" s="123" t="b">
        <x:v>0</x:v>
      </x:c>
      <x:c r="L661" s="117"/>
      <x:c r="M661" s="118"/>
      <x:c r="N661" s="120" t="n">
        <x:v>44288.825266203705</x:v>
      </x:c>
      <x:c r="O661" s="117" t="str">
        <x:v>Delegate</x:v>
      </x:c>
      <x:c r="P661" s="120" t="n">
        <x:v>44288.82530092593</x:v>
      </x:c>
      <x:c r="Q661" s="117" t="str">
        <x:v>Delegate</x:v>
      </x:c>
      <x:c r="R661" s="117" t="str">
        <x:v>Create Order and Order Products from Paid Invoice</x:v>
      </x:c>
      <x:c r="S661" s="119"/>
    </x:row>
    <x:row r="662" ht="30" customHeight="1">
      <x:c r="A662" s="117" t="str">
        <x:v>Create_Order_and_Order_Products_from_Paid_Invoice</x:v>
      </x:c>
      <x:c r="B662" s="117" t="str">
        <x:v>3004O000000LOsbQAG</x:v>
      </x:c>
      <x:c r="C662" s="117" t="str">
        <x:v>3014O000000YB2dQAG</x:v>
      </x:c>
      <x:c r="D662" s="118" t="n">
        <x:v>12</x:v>
      </x:c>
      <x:c r="E662" s="117" t="str">
        <x:v>Obsolete</x:v>
      </x:c>
      <x:c r="F662" s="117" t="str">
        <x:v>No</x:v>
      </x:c>
      <x:c r="G662" s="117" t="str">
        <x:v>No</x:v>
      </x:c>
      <x:c r="H662" s="117" t="str">
        <x:v>AutoLaunchedFlow</x:v>
      </x:c>
      <x:c r="I662" s="118" t="n">
        <x:v>50</x:v>
      </x:c>
      <x:c r="J662" s="117" t="str">
        <x:v>unmanaged</x:v>
      </x:c>
      <x:c r="K662" s="123" t="b">
        <x:v>0</x:v>
      </x:c>
      <x:c r="L662" s="117"/>
      <x:c r="M662" s="118"/>
      <x:c r="N662" s="120" t="n">
        <x:v>44309.71436342593</x:v>
      </x:c>
      <x:c r="O662" s="117" t="str">
        <x:v>Delegate</x:v>
      </x:c>
      <x:c r="P662" s="120" t="n">
        <x:v>44312.632569444446</x:v>
      </x:c>
      <x:c r="Q662" s="117" t="str">
        <x:v>Delegate</x:v>
      </x:c>
      <x:c r="R662" s="117" t="str">
        <x:v>Create Order and Order Products from Paid Invoice</x:v>
      </x:c>
      <x:c r="S662" s="119"/>
    </x:row>
    <x:row r="663" ht="30" customHeight="1">
      <x:c r="A663" s="117" t="str">
        <x:v>Create_Order_and_Order_Products_from_Paid_Invoice</x:v>
      </x:c>
      <x:c r="B663" s="117" t="str">
        <x:v>3004O000000LOsbQAG</x:v>
      </x:c>
      <x:c r="C663" s="117" t="str">
        <x:v>3014O000000YB4tQAG</x:v>
      </x:c>
      <x:c r="D663" s="118" t="n">
        <x:v>13</x:v>
      </x:c>
      <x:c r="E663" s="117" t="str">
        <x:v>Obsolete</x:v>
      </x:c>
      <x:c r="F663" s="117" t="str">
        <x:v>No</x:v>
      </x:c>
      <x:c r="G663" s="117" t="str">
        <x:v>No</x:v>
      </x:c>
      <x:c r="H663" s="117" t="str">
        <x:v>AutoLaunchedFlow</x:v>
      </x:c>
      <x:c r="I663" s="118" t="n">
        <x:v>50</x:v>
      </x:c>
      <x:c r="J663" s="117" t="str">
        <x:v>unmanaged</x:v>
      </x:c>
      <x:c r="K663" s="123" t="b">
        <x:v>0</x:v>
      </x:c>
      <x:c r="L663" s="117"/>
      <x:c r="M663" s="118"/>
      <x:c r="N663" s="120" t="n">
        <x:v>44313.83626157408</x:v>
      </x:c>
      <x:c r="O663" s="117" t="str">
        <x:v>Delegate</x:v>
      </x:c>
      <x:c r="P663" s="120" t="n">
        <x:v>44313.83628472222</x:v>
      </x:c>
      <x:c r="Q663" s="117" t="str">
        <x:v>Delegate</x:v>
      </x:c>
      <x:c r="R663" s="117" t="str">
        <x:v>Create Order and Order Products from Paid Invoice</x:v>
      </x:c>
      <x:c r="S663" s="119"/>
    </x:row>
    <x:row r="664" ht="30" customHeight="1">
      <x:c r="A664" s="117" t="str">
        <x:v>Create_Order_and_Order_Products_from_Paid_Invoice</x:v>
      </x:c>
      <x:c r="B664" s="117" t="str">
        <x:v>3004O000000LOsbQAG</x:v>
      </x:c>
      <x:c r="C664" s="117" t="str">
        <x:v>3014O000000YB4yQAG</x:v>
      </x:c>
      <x:c r="D664" s="118" t="n">
        <x:v>14</x:v>
      </x:c>
      <x:c r="E664" s="117" t="str">
        <x:v>Obsolete</x:v>
      </x:c>
      <x:c r="F664" s="117" t="str">
        <x:v>No</x:v>
      </x:c>
      <x:c r="G664" s="117" t="str">
        <x:v>No</x:v>
      </x:c>
      <x:c r="H664" s="117" t="str">
        <x:v>AutoLaunchedFlow</x:v>
      </x:c>
      <x:c r="I664" s="118" t="n">
        <x:v>50</x:v>
      </x:c>
      <x:c r="J664" s="117" t="str">
        <x:v>unmanaged</x:v>
      </x:c>
      <x:c r="K664" s="123" t="b">
        <x:v>0</x:v>
      </x:c>
      <x:c r="L664" s="117"/>
      <x:c r="M664" s="118"/>
      <x:c r="N664" s="120" t="n">
        <x:v>44313.85670138889</x:v>
      </x:c>
      <x:c r="O664" s="117" t="str">
        <x:v>Delegate</x:v>
      </x:c>
      <x:c r="P664" s="120" t="n">
        <x:v>44313.856724537036</x:v>
      </x:c>
      <x:c r="Q664" s="117" t="str">
        <x:v>Delegate</x:v>
      </x:c>
      <x:c r="R664" s="117" t="str">
        <x:v>Create Order and Order Products from Paid Invoice</x:v>
      </x:c>
      <x:c r="S664" s="119"/>
    </x:row>
    <x:row r="665" ht="30" customHeight="1">
      <x:c r="A665" s="117" t="str">
        <x:v>Create_Order_and_Order_Products_from_Paid_Invoice</x:v>
      </x:c>
      <x:c r="B665" s="117" t="str">
        <x:v>3004O000000LOsbQAG</x:v>
      </x:c>
      <x:c r="C665" s="117" t="str">
        <x:v>3014O000000YC91QAG</x:v>
      </x:c>
      <x:c r="D665" s="118" t="n">
        <x:v>15</x:v>
      </x:c>
      <x:c r="E665" s="117" t="str">
        <x:v>Obsolete</x:v>
      </x:c>
      <x:c r="F665" s="117" t="str">
        <x:v>No</x:v>
      </x:c>
      <x:c r="G665" s="117" t="str">
        <x:v>No</x:v>
      </x:c>
      <x:c r="H665" s="117" t="str">
        <x:v>AutoLaunchedFlow</x:v>
      </x:c>
      <x:c r="I665" s="118" t="n">
        <x:v>50</x:v>
      </x:c>
      <x:c r="J665" s="117" t="str">
        <x:v>unmanaged</x:v>
      </x:c>
      <x:c r="K665" s="123" t="b">
        <x:v>0</x:v>
      </x:c>
      <x:c r="L665" s="117"/>
      <x:c r="M665" s="118"/>
      <x:c r="N665" s="120" t="n">
        <x:v>44391.68282407407</x:v>
      </x:c>
      <x:c r="O665" s="117" t="str">
        <x:v>Delegate</x:v>
      </x:c>
      <x:c r="P665" s="120" t="n">
        <x:v>44391.682858796295</x:v>
      </x:c>
      <x:c r="Q665" s="117" t="str">
        <x:v>Delegate</x:v>
      </x:c>
      <x:c r="R665" s="117" t="str">
        <x:v>Create Order and Order Products from Paid Invoice</x:v>
      </x:c>
      <x:c r="S665" s="119"/>
    </x:row>
    <x:row r="666" ht="30" customHeight="1">
      <x:c r="A666" s="117" t="str">
        <x:v>Create_Order_and_Order_Products_from_Paid_Invoice</x:v>
      </x:c>
      <x:c r="B666" s="117" t="str">
        <x:v>3004O000000LOsbQAG</x:v>
      </x:c>
      <x:c r="C666" s="117" t="str">
        <x:v>3015b000000EBohAAG</x:v>
      </x:c>
      <x:c r="D666" s="118" t="n">
        <x:v>16</x:v>
      </x:c>
      <x:c r="E666" s="117" t="str">
        <x:v>Obsolete</x:v>
      </x:c>
      <x:c r="F666" s="117" t="str">
        <x:v>No</x:v>
      </x:c>
      <x:c r="G666" s="117" t="str">
        <x:v>No</x:v>
      </x:c>
      <x:c r="H666" s="117" t="str">
        <x:v>AutoLaunchedFlow</x:v>
      </x:c>
      <x:c r="I666" s="118" t="n">
        <x:v>50</x:v>
      </x:c>
      <x:c r="J666" s="117" t="str">
        <x:v>unmanaged</x:v>
      </x:c>
      <x:c r="K666" s="123" t="b">
        <x:v>0</x:v>
      </x:c>
      <x:c r="L666" s="117"/>
      <x:c r="M666" s="118"/>
      <x:c r="N666" s="120" t="n">
        <x:v>44477.81119212963</x:v>
      </x:c>
      <x:c r="O666" s="117" t="str">
        <x:v>Delegate</x:v>
      </x:c>
      <x:c r="P666" s="120" t="n">
        <x:v>44477.811215277776</x:v>
      </x:c>
      <x:c r="Q666" s="117" t="str">
        <x:v>Delegate</x:v>
      </x:c>
      <x:c r="R666" s="117" t="str">
        <x:v>Create Order and Order Products from Paid Invoice</x:v>
      </x:c>
      <x:c r="S666" s="119"/>
    </x:row>
    <x:row r="667" ht="30" customHeight="1">
      <x:c r="A667" s="117" t="str">
        <x:v>Create_Order_and_Order_Products_from_Paid_Invoice</x:v>
      </x:c>
      <x:c r="B667" s="117" t="str">
        <x:v>3004O000000LOsbQAG</x:v>
      </x:c>
      <x:c r="C667" s="117" t="str">
        <x:v>3015b000000ECDhAAO</x:v>
      </x:c>
      <x:c r="D667" s="118" t="n">
        <x:v>17</x:v>
      </x:c>
      <x:c r="E667" s="117" t="str">
        <x:v>Obsolete</x:v>
      </x:c>
      <x:c r="F667" s="117" t="str">
        <x:v>No</x:v>
      </x:c>
      <x:c r="G667" s="117" t="str">
        <x:v>No</x:v>
      </x:c>
      <x:c r="H667" s="117" t="str">
        <x:v>AutoLaunchedFlow</x:v>
      </x:c>
      <x:c r="I667" s="118" t="n">
        <x:v>50</x:v>
      </x:c>
      <x:c r="J667" s="117" t="str">
        <x:v>unmanaged</x:v>
      </x:c>
      <x:c r="K667" s="123" t="b">
        <x:v>0</x:v>
      </x:c>
      <x:c r="L667" s="117"/>
      <x:c r="M667" s="118"/>
      <x:c r="N667" s="120" t="n">
        <x:v>44484.65510416667</x:v>
      </x:c>
      <x:c r="O667" s="117" t="str">
        <x:v>Delegate</x:v>
      </x:c>
      <x:c r="P667" s="120" t="n">
        <x:v>44484.65526620371</x:v>
      </x:c>
      <x:c r="Q667" s="117" t="str">
        <x:v>Delegate</x:v>
      </x:c>
      <x:c r="R667" s="117" t="str">
        <x:v>Create Order and Order Products from Paid Invoice</x:v>
      </x:c>
      <x:c r="S667" s="119"/>
    </x:row>
    <x:row r="668" ht="30" customHeight="1">
      <x:c r="A668" s="117" t="str">
        <x:v>Create_Order_and_Order_Products_from_Paid_Invoice</x:v>
      </x:c>
      <x:c r="B668" s="117" t="str">
        <x:v>3004O000000LOsbQAG</x:v>
      </x:c>
      <x:c r="C668" s="117" t="str">
        <x:v>3015b000000APlXAAW</x:v>
      </x:c>
      <x:c r="D668" s="118" t="n">
        <x:v>18</x:v>
      </x:c>
      <x:c r="E668" s="117" t="str">
        <x:v>Obsolete</x:v>
      </x:c>
      <x:c r="F668" s="117" t="str">
        <x:v>No</x:v>
      </x:c>
      <x:c r="G668" s="117" t="str">
        <x:v>No</x:v>
      </x:c>
      <x:c r="H668" s="117" t="str">
        <x:v>AutoLaunchedFlow</x:v>
      </x:c>
      <x:c r="I668" s="118" t="n">
        <x:v>50</x:v>
      </x:c>
      <x:c r="J668" s="117" t="str">
        <x:v>unmanaged</x:v>
      </x:c>
      <x:c r="K668" s="123" t="b">
        <x:v>0</x:v>
      </x:c>
      <x:c r="L668" s="117"/>
      <x:c r="M668" s="118"/>
      <x:c r="N668" s="120" t="n">
        <x:v>45146.64644675926</x:v>
      </x:c>
      <x:c r="O668" s="117" t="str">
        <x:v>Delegate</x:v>
      </x:c>
      <x:c r="P668" s="120" t="n">
        <x:v>45146.64650462963</x:v>
      </x:c>
      <x:c r="Q668" s="117" t="str">
        <x:v>Delegate</x:v>
      </x:c>
      <x:c r="R668" s="117" t="str">
        <x:v>Create Order and Order Products from Paid Invoice</x:v>
      </x:c>
      <x:c r="S668" s="119"/>
    </x:row>
    <x:row r="669" ht="30" customHeight="1">
      <x:c r="A669" s="117" t="str">
        <x:v>Create_Order_and_Order_Products_from_Paid_Invoice</x:v>
      </x:c>
      <x:c r="B669" s="117" t="str">
        <x:v>3004O000000LOsbQAG</x:v>
      </x:c>
      <x:c r="C669" s="117" t="str">
        <x:v>3015b000000APlcAAG</x:v>
      </x:c>
      <x:c r="D669" s="118" t="n">
        <x:v>19</x:v>
      </x:c>
      <x:c r="E669" s="117" t="str">
        <x:v>Obsolete</x:v>
      </x:c>
      <x:c r="F669" s="117" t="str">
        <x:v>No</x:v>
      </x:c>
      <x:c r="G669" s="117" t="str">
        <x:v>No</x:v>
      </x:c>
      <x:c r="H669" s="117" t="str">
        <x:v>AutoLaunchedFlow</x:v>
      </x:c>
      <x:c r="I669" s="118" t="n">
        <x:v>50</x:v>
      </x:c>
      <x:c r="J669" s="117" t="str">
        <x:v>unmanaged</x:v>
      </x:c>
      <x:c r="K669" s="123" t="b">
        <x:v>0</x:v>
      </x:c>
      <x:c r="L669" s="117"/>
      <x:c r="M669" s="118"/>
      <x:c r="N669" s="120" t="n">
        <x:v>45146.65311342593</x:v>
      </x:c>
      <x:c r="O669" s="117" t="str">
        <x:v>Delegate</x:v>
      </x:c>
      <x:c r="P669" s="120" t="n">
        <x:v>45489.57199074074</x:v>
      </x:c>
      <x:c r="Q669" s="117" t="str">
        <x:v>Delegate</x:v>
      </x:c>
      <x:c r="R669" s="117" t="str">
        <x:v>Create Order and Order Products from Paid Invoice</x:v>
      </x:c>
      <x:c r="S669" s="119"/>
    </x:row>
    <x:row r="670" ht="30" customHeight="1">
      <x:c r="A670" s="117" t="str">
        <x:v>Create_Order_and_Order_Products_from_Paid_Invoice</x:v>
      </x:c>
      <x:c r="B670" s="117" t="str">
        <x:v>3004O000000LOsbQAG</x:v>
      </x:c>
      <x:c r="C670" s="117" t="str">
        <x:v>301Ro00000GGzBGIA1</x:v>
      </x:c>
      <x:c r="D670" s="118" t="n">
        <x:v>20</x:v>
      </x:c>
      <x:c r="E670" s="117" t="str">
        <x:v>Draft</x:v>
      </x:c>
      <x:c r="F670" s="117" t="str">
        <x:v>No</x:v>
      </x:c>
      <x:c r="G670" s="117" t="str">
        <x:v>Yes</x:v>
      </x:c>
      <x:c r="H670" s="117" t="str">
        <x:v>AutoLaunchedFlow</x:v>
      </x:c>
      <x:c r="I670" s="118" t="n">
        <x:v>50</x:v>
      </x:c>
      <x:c r="J670" s="117" t="str">
        <x:v>unmanaged</x:v>
      </x:c>
      <x:c r="K670" s="123" t="b">
        <x:v>0</x:v>
      </x:c>
      <x:c r="L670" s="117"/>
      <x:c r="M670" s="118"/>
      <x:c r="N670" s="120" t="n">
        <x:v>45478.794340277775</x:v>
      </x:c>
      <x:c r="O670" s="117" t="str">
        <x:v>Delegate</x:v>
      </x:c>
      <x:c r="P670" s="120" t="n">
        <x:v>45478.79435185185</x:v>
      </x:c>
      <x:c r="Q670" s="117" t="str">
        <x:v>Delegate</x:v>
      </x:c>
      <x:c r="R670" s="117" t="str">
        <x:v>Create Order and Order Products from Paid Invoice</x:v>
      </x:c>
      <x:c r="S670" s="119"/>
    </x:row>
    <x:row r="671" ht="30" customHeight="1">
      <x:c r="A671" s="117" t="str">
        <x:v>Create_part_requests_from_Service_Fusion</x:v>
      </x:c>
      <x:c r="B671" s="117" t="str">
        <x:v>3005b000000H2QLAA0</x:v>
      </x:c>
      <x:c r="C671" s="117" t="str">
        <x:v>3015b000000EEHIAA4</x:v>
      </x:c>
      <x:c r="D671" s="118" t="n">
        <x:v>1</x:v>
      </x:c>
      <x:c r="E671" s="117" t="str">
        <x:v>Obsolete</x:v>
      </x:c>
      <x:c r="F671" s="117" t="str">
        <x:v>No</x:v>
      </x:c>
      <x:c r="G671" s="117" t="str">
        <x:v>No</x:v>
      </x:c>
      <x:c r="H671" s="117" t="str">
        <x:v>AutoLaunchedFlow</x:v>
      </x:c>
      <x:c r="I671" s="118" t="n">
        <x:v>53</x:v>
      </x:c>
      <x:c r="J671" s="117" t="str">
        <x:v>unmanaged</x:v>
      </x:c>
      <x:c r="K671" s="123" t="b">
        <x:v>0</x:v>
      </x:c>
      <x:c r="L671" s="117"/>
      <x:c r="M671" s="118"/>
      <x:c r="N671" s="120" t="n">
        <x:v>44538.03173611111</x:v>
      </x:c>
      <x:c r="O671" s="117" t="str">
        <x:v>Natalie Boger</x:v>
      </x:c>
      <x:c r="P671" s="120" t="n">
        <x:v>44538.03178240741</x:v>
      </x:c>
      <x:c r="Q671" s="117" t="str">
        <x:v>Natalie Boger</x:v>
      </x:c>
      <x:c r="R671" s="117" t="str">
        <x:v>Create part requests from Service Fusion</x:v>
      </x:c>
      <x:c r="S671" s="119"/>
    </x:row>
    <x:row r="672" ht="30" customHeight="1">
      <x:c r="A672" s="117" t="str">
        <x:v>Create_part_requests_from_Service_Fusion</x:v>
      </x:c>
      <x:c r="B672" s="117" t="str">
        <x:v>3005b000000H2QLAA0</x:v>
      </x:c>
      <x:c r="C672" s="117" t="str">
        <x:v>3015b000000EEHMAA4</x:v>
      </x:c>
      <x:c r="D672" s="118" t="n">
        <x:v>2</x:v>
      </x:c>
      <x:c r="E672" s="117" t="str">
        <x:v>Obsolete</x:v>
      </x:c>
      <x:c r="F672" s="117" t="str">
        <x:v>No</x:v>
      </x:c>
      <x:c r="G672" s="117" t="str">
        <x:v>No</x:v>
      </x:c>
      <x:c r="H672" s="117" t="str">
        <x:v>AutoLaunchedFlow</x:v>
      </x:c>
      <x:c r="I672" s="118" t="n">
        <x:v>53</x:v>
      </x:c>
      <x:c r="J672" s="117" t="str">
        <x:v>unmanaged</x:v>
      </x:c>
      <x:c r="K672" s="123" t="b">
        <x:v>0</x:v>
      </x:c>
      <x:c r="L672" s="117"/>
      <x:c r="M672" s="118"/>
      <x:c r="N672" s="120" t="n">
        <x:v>44538.03936342592</x:v>
      </x:c>
      <x:c r="O672" s="117" t="str">
        <x:v>Natalie Boger</x:v>
      </x:c>
      <x:c r="P672" s="120" t="n">
        <x:v>44538.03949074074</x:v>
      </x:c>
      <x:c r="Q672" s="117" t="str">
        <x:v>Natalie Boger</x:v>
      </x:c>
      <x:c r="R672" s="117" t="str">
        <x:v>Create part requests from Service Fusion</x:v>
      </x:c>
      <x:c r="S672" s="119"/>
    </x:row>
    <x:row r="673" ht="30" customHeight="1">
      <x:c r="A673" s="117" t="str">
        <x:v>Create_part_requests_from_Service_Fusion</x:v>
      </x:c>
      <x:c r="B673" s="117" t="str">
        <x:v>3005b000000H2QLAA0</x:v>
      </x:c>
      <x:c r="C673" s="117" t="str">
        <x:v>3015b000000EEHRAA4</x:v>
      </x:c>
      <x:c r="D673" s="118" t="n">
        <x:v>3</x:v>
      </x:c>
      <x:c r="E673" s="117" t="str">
        <x:v>Obsolete</x:v>
      </x:c>
      <x:c r="F673" s="117" t="str">
        <x:v>No</x:v>
      </x:c>
      <x:c r="G673" s="117" t="str">
        <x:v>No</x:v>
      </x:c>
      <x:c r="H673" s="117" t="str">
        <x:v>AutoLaunchedFlow</x:v>
      </x:c>
      <x:c r="I673" s="118" t="n">
        <x:v>53</x:v>
      </x:c>
      <x:c r="J673" s="117" t="str">
        <x:v>unmanaged</x:v>
      </x:c>
      <x:c r="K673" s="123" t="b">
        <x:v>0</x:v>
      </x:c>
      <x:c r="L673" s="117"/>
      <x:c r="M673" s="118"/>
      <x:c r="N673" s="120" t="n">
        <x:v>44538.051400462966</x:v>
      </x:c>
      <x:c r="O673" s="117" t="str">
        <x:v>Natalie Boger</x:v>
      </x:c>
      <x:c r="P673" s="120" t="n">
        <x:v>44538.05143518518</x:v>
      </x:c>
      <x:c r="Q673" s="117" t="str">
        <x:v>Natalie Boger</x:v>
      </x:c>
      <x:c r="R673" s="117" t="str">
        <x:v>Create part requests from Service Fusion</x:v>
      </x:c>
      <x:c r="S673" s="119"/>
    </x:row>
    <x:row r="674" ht="30" customHeight="1">
      <x:c r="A674" s="117" t="str">
        <x:v>Create_part_requests_from_Service_Fusion</x:v>
      </x:c>
      <x:c r="B674" s="117" t="str">
        <x:v>3005b000000H2QLAA0</x:v>
      </x:c>
      <x:c r="C674" s="117" t="str">
        <x:v>3015b000000EEHbAAO</x:v>
      </x:c>
      <x:c r="D674" s="118" t="n">
        <x:v>4</x:v>
      </x:c>
      <x:c r="E674" s="117" t="str">
        <x:v>Obsolete</x:v>
      </x:c>
      <x:c r="F674" s="117" t="str">
        <x:v>No</x:v>
      </x:c>
      <x:c r="G674" s="117" t="str">
        <x:v>No</x:v>
      </x:c>
      <x:c r="H674" s="117" t="str">
        <x:v>AutoLaunchedFlow</x:v>
      </x:c>
      <x:c r="I674" s="118" t="n">
        <x:v>53</x:v>
      </x:c>
      <x:c r="J674" s="117" t="str">
        <x:v>unmanaged</x:v>
      </x:c>
      <x:c r="K674" s="123" t="b">
        <x:v>0</x:v>
      </x:c>
      <x:c r="L674" s="117"/>
      <x:c r="M674" s="118"/>
      <x:c r="N674" s="120" t="n">
        <x:v>44538.059699074074</x:v>
      </x:c>
      <x:c r="O674" s="117" t="str">
        <x:v>Natalie Boger</x:v>
      </x:c>
      <x:c r="P674" s="120" t="n">
        <x:v>44538.05975694444</x:v>
      </x:c>
      <x:c r="Q674" s="117" t="str">
        <x:v>Natalie Boger</x:v>
      </x:c>
      <x:c r="R674" s="117" t="str">
        <x:v>Create part requests from Service Fusion</x:v>
      </x:c>
      <x:c r="S674" s="119"/>
    </x:row>
    <x:row r="675" ht="30" customHeight="1">
      <x:c r="A675" s="117" t="str">
        <x:v>Create_part_requests_from_Service_Fusion</x:v>
      </x:c>
      <x:c r="B675" s="117" t="str">
        <x:v>3005b000000H2QLAA0</x:v>
      </x:c>
      <x:c r="C675" s="117" t="str">
        <x:v>3015b000000EEHgAAO</x:v>
      </x:c>
      <x:c r="D675" s="118" t="n">
        <x:v>5</x:v>
      </x:c>
      <x:c r="E675" s="117" t="str">
        <x:v>Obsolete</x:v>
      </x:c>
      <x:c r="F675" s="117" t="str">
        <x:v>No</x:v>
      </x:c>
      <x:c r="G675" s="117" t="str">
        <x:v>No</x:v>
      </x:c>
      <x:c r="H675" s="117" t="str">
        <x:v>AutoLaunchedFlow</x:v>
      </x:c>
      <x:c r="I675" s="118" t="n">
        <x:v>53</x:v>
      </x:c>
      <x:c r="J675" s="117" t="str">
        <x:v>unmanaged</x:v>
      </x:c>
      <x:c r="K675" s="123" t="b">
        <x:v>0</x:v>
      </x:c>
      <x:c r="L675" s="117"/>
      <x:c r="M675" s="118"/>
      <x:c r="N675" s="120" t="n">
        <x:v>44538.06898148148</x:v>
      </x:c>
      <x:c r="O675" s="117" t="str">
        <x:v>Natalie Boger</x:v>
      </x:c>
      <x:c r="P675" s="120" t="n">
        <x:v>44538.069016203706</x:v>
      </x:c>
      <x:c r="Q675" s="117" t="str">
        <x:v>Natalie Boger</x:v>
      </x:c>
      <x:c r="R675" s="117" t="str">
        <x:v>Create part requests from Service Fusion</x:v>
      </x:c>
      <x:c r="S675" s="119"/>
    </x:row>
    <x:row r="676" ht="30" customHeight="1">
      <x:c r="A676" s="117" t="str">
        <x:v>Create_part_requests_from_Service_Fusion</x:v>
      </x:c>
      <x:c r="B676" s="117" t="str">
        <x:v>3005b000000H2QLAA0</x:v>
      </x:c>
      <x:c r="C676" s="117" t="str">
        <x:v>3015b000000EEHlAAO</x:v>
      </x:c>
      <x:c r="D676" s="118" t="n">
        <x:v>6</x:v>
      </x:c>
      <x:c r="E676" s="117" t="str">
        <x:v>Obsolete</x:v>
      </x:c>
      <x:c r="F676" s="117" t="str">
        <x:v>No</x:v>
      </x:c>
      <x:c r="G676" s="117" t="str">
        <x:v>No</x:v>
      </x:c>
      <x:c r="H676" s="117" t="str">
        <x:v>AutoLaunchedFlow</x:v>
      </x:c>
      <x:c r="I676" s="118" t="n">
        <x:v>53</x:v>
      </x:c>
      <x:c r="J676" s="117" t="str">
        <x:v>unmanaged</x:v>
      </x:c>
      <x:c r="K676" s="123" t="b">
        <x:v>0</x:v>
      </x:c>
      <x:c r="L676" s="117"/>
      <x:c r="M676" s="118"/>
      <x:c r="N676" s="120" t="n">
        <x:v>44538.07136574074</x:v>
      </x:c>
      <x:c r="O676" s="117" t="str">
        <x:v>Natalie Boger</x:v>
      </x:c>
      <x:c r="P676" s="120" t="n">
        <x:v>44538.071493055555</x:v>
      </x:c>
      <x:c r="Q676" s="117" t="str">
        <x:v>Natalie Boger</x:v>
      </x:c>
      <x:c r="R676" s="117" t="str">
        <x:v>Create part requests from Service Fusion</x:v>
      </x:c>
      <x:c r="S676" s="119"/>
    </x:row>
    <x:row r="677" ht="30" customHeight="1">
      <x:c r="A677" s="117" t="str">
        <x:v>Create_part_requests_from_Service_Fusion</x:v>
      </x:c>
      <x:c r="B677" s="117" t="str">
        <x:v>3005b000000H2QLAA0</x:v>
      </x:c>
      <x:c r="C677" s="117" t="str">
        <x:v>3015b000000EEI5AAO</x:v>
      </x:c>
      <x:c r="D677" s="118" t="n">
        <x:v>7</x:v>
      </x:c>
      <x:c r="E677" s="117" t="str">
        <x:v>Obsolete</x:v>
      </x:c>
      <x:c r="F677" s="117" t="str">
        <x:v>No</x:v>
      </x:c>
      <x:c r="G677" s="117" t="str">
        <x:v>No</x:v>
      </x:c>
      <x:c r="H677" s="117" t="str">
        <x:v>AutoLaunchedFlow</x:v>
      </x:c>
      <x:c r="I677" s="118" t="n">
        <x:v>53</x:v>
      </x:c>
      <x:c r="J677" s="117" t="str">
        <x:v>unmanaged</x:v>
      </x:c>
      <x:c r="K677" s="123" t="b">
        <x:v>0</x:v>
      </x:c>
      <x:c r="L677" s="117"/>
      <x:c r="M677" s="118"/>
      <x:c r="N677" s="120" t="n">
        <x:v>44538.178564814814</x:v>
      </x:c>
      <x:c r="O677" s="117" t="str">
        <x:v>Natalie Boger</x:v>
      </x:c>
      <x:c r="P677" s="120" t="n">
        <x:v>44538.17946759259</x:v>
      </x:c>
      <x:c r="Q677" s="117" t="str">
        <x:v>Natalie Boger</x:v>
      </x:c>
      <x:c r="R677" s="117" t="str">
        <x:v>Create part requests from Service Fusion</x:v>
      </x:c>
      <x:c r="S677" s="119"/>
    </x:row>
    <x:row r="678" ht="30" customHeight="1">
      <x:c r="A678" s="117" t="str">
        <x:v>Create_part_requests_from_Service_Fusion</x:v>
      </x:c>
      <x:c r="B678" s="117" t="str">
        <x:v>3005b000000H2QLAA0</x:v>
      </x:c>
      <x:c r="C678" s="117" t="str">
        <x:v>3015b000000EEIAAA4</x:v>
      </x:c>
      <x:c r="D678" s="118" t="n">
        <x:v>8</x:v>
      </x:c>
      <x:c r="E678" s="117" t="str">
        <x:v>Obsolete</x:v>
      </x:c>
      <x:c r="F678" s="117" t="str">
        <x:v>No</x:v>
      </x:c>
      <x:c r="G678" s="117" t="str">
        <x:v>No</x:v>
      </x:c>
      <x:c r="H678" s="117" t="str">
        <x:v>AutoLaunchedFlow</x:v>
      </x:c>
      <x:c r="I678" s="118" t="n">
        <x:v>53</x:v>
      </x:c>
      <x:c r="J678" s="117" t="str">
        <x:v>unmanaged</x:v>
      </x:c>
      <x:c r="K678" s="123" t="b">
        <x:v>0</x:v>
      </x:c>
      <x:c r="L678" s="117"/>
      <x:c r="M678" s="118"/>
      <x:c r="N678" s="120" t="n">
        <x:v>44538.189039351855</x:v>
      </x:c>
      <x:c r="O678" s="117" t="str">
        <x:v>Natalie Boger</x:v>
      </x:c>
      <x:c r="P678" s="120" t="n">
        <x:v>44538.18913194445</x:v>
      </x:c>
      <x:c r="Q678" s="117" t="str">
        <x:v>Natalie Boger</x:v>
      </x:c>
      <x:c r="R678" s="117" t="str">
        <x:v>Create part requests from Service Fusion</x:v>
      </x:c>
      <x:c r="S678" s="119"/>
    </x:row>
    <x:row r="679" ht="30" customHeight="1">
      <x:c r="A679" s="117" t="str">
        <x:v>Create_part_requests_from_Service_Fusion</x:v>
      </x:c>
      <x:c r="B679" s="117" t="str">
        <x:v>3005b000000H2QLAA0</x:v>
      </x:c>
      <x:c r="C679" s="117" t="str">
        <x:v>3015b000000EEIBAA4</x:v>
      </x:c>
      <x:c r="D679" s="118" t="n">
        <x:v>9</x:v>
      </x:c>
      <x:c r="E679" s="117" t="str">
        <x:v>Obsolete</x:v>
      </x:c>
      <x:c r="F679" s="117" t="str">
        <x:v>No</x:v>
      </x:c>
      <x:c r="G679" s="117" t="str">
        <x:v>No</x:v>
      </x:c>
      <x:c r="H679" s="117" t="str">
        <x:v>AutoLaunchedFlow</x:v>
      </x:c>
      <x:c r="I679" s="118" t="n">
        <x:v>53</x:v>
      </x:c>
      <x:c r="J679" s="117" t="str">
        <x:v>unmanaged</x:v>
      </x:c>
      <x:c r="K679" s="123" t="b">
        <x:v>0</x:v>
      </x:c>
      <x:c r="L679" s="117"/>
      <x:c r="M679" s="118"/>
      <x:c r="N679" s="120" t="n">
        <x:v>44538.18971064815</x:v>
      </x:c>
      <x:c r="O679" s="117" t="str">
        <x:v>Natalie Boger</x:v>
      </x:c>
      <x:c r="P679" s="120" t="n">
        <x:v>44538.18975694444</x:v>
      </x:c>
      <x:c r="Q679" s="117" t="str">
        <x:v>Natalie Boger</x:v>
      </x:c>
      <x:c r="R679" s="117" t="str">
        <x:v>Create part requests from Service Fusion</x:v>
      </x:c>
      <x:c r="S679" s="119"/>
    </x:row>
    <x:row r="680" ht="30" customHeight="1">
      <x:c r="A680" s="117" t="str">
        <x:v>Create_part_requests_from_Service_Fusion</x:v>
      </x:c>
      <x:c r="B680" s="117" t="str">
        <x:v>3005b000000H2QLAA0</x:v>
      </x:c>
      <x:c r="C680" s="117" t="str">
        <x:v>3015b000000EEIeAAO</x:v>
      </x:c>
      <x:c r="D680" s="118" t="n">
        <x:v>10</x:v>
      </x:c>
      <x:c r="E680" s="117" t="str">
        <x:v>Obsolete</x:v>
      </x:c>
      <x:c r="F680" s="117" t="str">
        <x:v>No</x:v>
      </x:c>
      <x:c r="G680" s="117" t="str">
        <x:v>No</x:v>
      </x:c>
      <x:c r="H680" s="117" t="str">
        <x:v>AutoLaunchedFlow</x:v>
      </x:c>
      <x:c r="I680" s="118" t="n">
        <x:v>53</x:v>
      </x:c>
      <x:c r="J680" s="117" t="str">
        <x:v>unmanaged</x:v>
      </x:c>
      <x:c r="K680" s="123" t="b">
        <x:v>0</x:v>
      </x:c>
      <x:c r="L680" s="117"/>
      <x:c r="M680" s="118"/>
      <x:c r="N680" s="120" t="n">
        <x:v>44538.22267361111</x:v>
      </x:c>
      <x:c r="O680" s="117" t="str">
        <x:v>Natalie Boger</x:v>
      </x:c>
      <x:c r="P680" s="120" t="n">
        <x:v>44538.22273148148</x:v>
      </x:c>
      <x:c r="Q680" s="117" t="str">
        <x:v>Natalie Boger</x:v>
      </x:c>
      <x:c r="R680" s="117" t="str">
        <x:v>Create part requests from Service Fusion</x:v>
      </x:c>
      <x:c r="S680" s="119"/>
    </x:row>
    <x:row r="681" ht="30" customHeight="1">
      <x:c r="A681" s="117" t="str">
        <x:v>Create_part_requests_from_Service_Fusion</x:v>
      </x:c>
      <x:c r="B681" s="117" t="str">
        <x:v>3005b000000H2QLAA0</x:v>
      </x:c>
      <x:c r="C681" s="117" t="str">
        <x:v>3015b000000EEIjAAO</x:v>
      </x:c>
      <x:c r="D681" s="118" t="n">
        <x:v>11</x:v>
      </x:c>
      <x:c r="E681" s="117" t="str">
        <x:v>Obsolete</x:v>
      </x:c>
      <x:c r="F681" s="117" t="str">
        <x:v>No</x:v>
      </x:c>
      <x:c r="G681" s="117" t="str">
        <x:v>No</x:v>
      </x:c>
      <x:c r="H681" s="117" t="str">
        <x:v>AutoLaunchedFlow</x:v>
      </x:c>
      <x:c r="I681" s="118" t="n">
        <x:v>53</x:v>
      </x:c>
      <x:c r="J681" s="117" t="str">
        <x:v>unmanaged</x:v>
      </x:c>
      <x:c r="K681" s="123" t="b">
        <x:v>0</x:v>
      </x:c>
      <x:c r="L681" s="117"/>
      <x:c r="M681" s="118"/>
      <x:c r="N681" s="120" t="n">
        <x:v>44538.23876157407</x:v>
      </x:c>
      <x:c r="O681" s="117" t="str">
        <x:v>Natalie Boger</x:v>
      </x:c>
      <x:c r="P681" s="120" t="n">
        <x:v>44538.24569444444</x:v>
      </x:c>
      <x:c r="Q681" s="117" t="str">
        <x:v>Natalie Boger</x:v>
      </x:c>
      <x:c r="R681" s="117" t="str">
        <x:v>Create part requests from Service Fusion</x:v>
      </x:c>
      <x:c r="S681" s="119"/>
    </x:row>
    <x:row r="682" ht="30" customHeight="1">
      <x:c r="A682" s="117" t="str">
        <x:v>Create_part_requests_from_Service_Fusion</x:v>
      </x:c>
      <x:c r="B682" s="117" t="str">
        <x:v>3005b000000H2QLAA0</x:v>
      </x:c>
      <x:c r="C682" s="117" t="str">
        <x:v>3015b000000EELsAAO</x:v>
      </x:c>
      <x:c r="D682" s="118" t="n">
        <x:v>12</x:v>
      </x:c>
      <x:c r="E682" s="117" t="str">
        <x:v>Obsolete</x:v>
      </x:c>
      <x:c r="F682" s="117" t="str">
        <x:v>No</x:v>
      </x:c>
      <x:c r="G682" s="117" t="str">
        <x:v>No</x:v>
      </x:c>
      <x:c r="H682" s="117" t="str">
        <x:v>AutoLaunchedFlow</x:v>
      </x:c>
      <x:c r="I682" s="118" t="n">
        <x:v>53</x:v>
      </x:c>
      <x:c r="J682" s="117" t="str">
        <x:v>unmanaged</x:v>
      </x:c>
      <x:c r="K682" s="123" t="b">
        <x:v>0</x:v>
      </x:c>
      <x:c r="L682" s="117"/>
      <x:c r="M682" s="118"/>
      <x:c r="N682" s="120" t="n">
        <x:v>44539.17024305555</x:v>
      </x:c>
      <x:c r="O682" s="117" t="str">
        <x:v>Natalie Boger</x:v>
      </x:c>
      <x:c r="P682" s="120" t="n">
        <x:v>44539.17028935185</x:v>
      </x:c>
      <x:c r="Q682" s="117" t="str">
        <x:v>Natalie Boger</x:v>
      </x:c>
      <x:c r="R682" s="117" t="str">
        <x:v>Create part requests from Service Fusion</x:v>
      </x:c>
      <x:c r="S682" s="119"/>
    </x:row>
    <x:row r="683" ht="30" customHeight="1">
      <x:c r="A683" s="117" t="str">
        <x:v>Create_part_requests_from_Service_Fusion</x:v>
      </x:c>
      <x:c r="B683" s="117" t="str">
        <x:v>3005b000000H2QLAA0</x:v>
      </x:c>
      <x:c r="C683" s="117" t="str">
        <x:v>3015b000000EEO3AAO</x:v>
      </x:c>
      <x:c r="D683" s="118" t="n">
        <x:v>13</x:v>
      </x:c>
      <x:c r="E683" s="117" t="str">
        <x:v>Obsolete</x:v>
      </x:c>
      <x:c r="F683" s="117" t="str">
        <x:v>No</x:v>
      </x:c>
      <x:c r="G683" s="117" t="str">
        <x:v>No</x:v>
      </x:c>
      <x:c r="H683" s="117" t="str">
        <x:v>AutoLaunchedFlow</x:v>
      </x:c>
      <x:c r="I683" s="118" t="n">
        <x:v>53</x:v>
      </x:c>
      <x:c r="J683" s="117" t="str">
        <x:v>unmanaged</x:v>
      </x:c>
      <x:c r="K683" s="123" t="b">
        <x:v>0</x:v>
      </x:c>
      <x:c r="L683" s="117"/>
      <x:c r="M683" s="118"/>
      <x:c r="N683" s="120" t="n">
        <x:v>44539.686875</x:v>
      </x:c>
      <x:c r="O683" s="117" t="str">
        <x:v>Natalie Boger</x:v>
      </x:c>
      <x:c r="P683" s="120" t="n">
        <x:v>44539.68693287037</x:v>
      </x:c>
      <x:c r="Q683" s="117" t="str">
        <x:v>Natalie Boger</x:v>
      </x:c>
      <x:c r="R683" s="117" t="str">
        <x:v>Create part requests from Service Fusion</x:v>
      </x:c>
      <x:c r="S683" s="119"/>
    </x:row>
    <x:row r="684" ht="30" customHeight="1">
      <x:c r="A684" s="117" t="str">
        <x:v>Create_part_requests_from_Service_Fusion</x:v>
      </x:c>
      <x:c r="B684" s="117" t="str">
        <x:v>3005b000000H2QLAA0</x:v>
      </x:c>
      <x:c r="C684" s="117" t="str">
        <x:v>3015b000000EEO8AAO</x:v>
      </x:c>
      <x:c r="D684" s="118" t="n">
        <x:v>14</x:v>
      </x:c>
      <x:c r="E684" s="117" t="str">
        <x:v>Obsolete</x:v>
      </x:c>
      <x:c r="F684" s="117" t="str">
        <x:v>No</x:v>
      </x:c>
      <x:c r="G684" s="117" t="str">
        <x:v>No</x:v>
      </x:c>
      <x:c r="H684" s="117" t="str">
        <x:v>AutoLaunchedFlow</x:v>
      </x:c>
      <x:c r="I684" s="118" t="n">
        <x:v>53</x:v>
      </x:c>
      <x:c r="J684" s="117" t="str">
        <x:v>unmanaged</x:v>
      </x:c>
      <x:c r="K684" s="123" t="b">
        <x:v>0</x:v>
      </x:c>
      <x:c r="L684" s="117"/>
      <x:c r="M684" s="118"/>
      <x:c r="N684" s="120" t="n">
        <x:v>44539.70793981481</x:v>
      </x:c>
      <x:c r="O684" s="117" t="str">
        <x:v>Natalie Boger</x:v>
      </x:c>
      <x:c r="P684" s="120" t="n">
        <x:v>44539.70798611111</x:v>
      </x:c>
      <x:c r="Q684" s="117" t="str">
        <x:v>Natalie Boger</x:v>
      </x:c>
      <x:c r="R684" s="117" t="str">
        <x:v>Create part requests from Service Fusion</x:v>
      </x:c>
      <x:c r="S684" s="119"/>
    </x:row>
    <x:row r="685" ht="30" customHeight="1">
      <x:c r="A685" s="117" t="str">
        <x:v>Create_part_requests_from_Service_Fusion</x:v>
      </x:c>
      <x:c r="B685" s="117" t="str">
        <x:v>3005b000000H2QLAA0</x:v>
      </x:c>
      <x:c r="C685" s="117" t="str">
        <x:v>3015b000000EEODAA4</x:v>
      </x:c>
      <x:c r="D685" s="118" t="n">
        <x:v>15</x:v>
      </x:c>
      <x:c r="E685" s="117" t="str">
        <x:v>Obsolete</x:v>
      </x:c>
      <x:c r="F685" s="117" t="str">
        <x:v>No</x:v>
      </x:c>
      <x:c r="G685" s="117" t="str">
        <x:v>No</x:v>
      </x:c>
      <x:c r="H685" s="117" t="str">
        <x:v>AutoLaunchedFlow</x:v>
      </x:c>
      <x:c r="I685" s="118" t="n">
        <x:v>53</x:v>
      </x:c>
      <x:c r="J685" s="117" t="str">
        <x:v>unmanaged</x:v>
      </x:c>
      <x:c r="K685" s="123" t="b">
        <x:v>0</x:v>
      </x:c>
      <x:c r="L685" s="117"/>
      <x:c r="M685" s="118"/>
      <x:c r="N685" s="120" t="n">
        <x:v>44539.709398148145</x:v>
      </x:c>
      <x:c r="O685" s="117" t="str">
        <x:v>Natalie Boger</x:v>
      </x:c>
      <x:c r="P685" s="120" t="n">
        <x:v>44539.709861111114</x:v>
      </x:c>
      <x:c r="Q685" s="117" t="str">
        <x:v>Natalie Boger</x:v>
      </x:c>
      <x:c r="R685" s="117" t="str">
        <x:v>Create part requests from Service Fusion</x:v>
      </x:c>
      <x:c r="S685" s="119"/>
    </x:row>
    <x:row r="686" ht="30" customHeight="1">
      <x:c r="A686" s="117" t="str">
        <x:v>Create_part_requests_from_Service_Fusion</x:v>
      </x:c>
      <x:c r="B686" s="117" t="str">
        <x:v>3005b000000H2QLAA0</x:v>
      </x:c>
      <x:c r="C686" s="117" t="str">
        <x:v>3015b000000EH2PAAW</x:v>
      </x:c>
      <x:c r="D686" s="118" t="n">
        <x:v>16</x:v>
      </x:c>
      <x:c r="E686" s="117" t="str">
        <x:v>Obsolete</x:v>
      </x:c>
      <x:c r="F686" s="117" t="str">
        <x:v>No</x:v>
      </x:c>
      <x:c r="G686" s="117" t="str">
        <x:v>No</x:v>
      </x:c>
      <x:c r="H686" s="117" t="str">
        <x:v>AutoLaunchedFlow</x:v>
      </x:c>
      <x:c r="I686" s="118" t="n">
        <x:v>53</x:v>
      </x:c>
      <x:c r="J686" s="117" t="str">
        <x:v>unmanaged</x:v>
      </x:c>
      <x:c r="K686" s="123" t="b">
        <x:v>0</x:v>
      </x:c>
      <x:c r="L686" s="117"/>
      <x:c r="M686" s="118"/>
      <x:c r="N686" s="120" t="n">
        <x:v>44600.20321759259</x:v>
      </x:c>
      <x:c r="O686" s="117" t="str">
        <x:v>Natalie Boger</x:v>
      </x:c>
      <x:c r="P686" s="120" t="n">
        <x:v>44600.203680555554</x:v>
      </x:c>
      <x:c r="Q686" s="117" t="str">
        <x:v>Natalie Boger</x:v>
      </x:c>
      <x:c r="R686" s="117" t="str">
        <x:v>Create part requests from Service Fusion</x:v>
      </x:c>
      <x:c r="S686" s="119"/>
    </x:row>
    <x:row r="687" ht="30" customHeight="1">
      <x:c r="A687" s="117" t="str">
        <x:v>Create_part_requests_from_Service_Fusion</x:v>
      </x:c>
      <x:c r="B687" s="117" t="str">
        <x:v>3005b000000H2QLAA0</x:v>
      </x:c>
      <x:c r="C687" s="117" t="str">
        <x:v>3015b000000EH2oAAG</x:v>
      </x:c>
      <x:c r="D687" s="118" t="n">
        <x:v>17</x:v>
      </x:c>
      <x:c r="E687" s="117" t="str">
        <x:v>Obsolete</x:v>
      </x:c>
      <x:c r="F687" s="117" t="str">
        <x:v>No</x:v>
      </x:c>
      <x:c r="G687" s="117" t="str">
        <x:v>No</x:v>
      </x:c>
      <x:c r="H687" s="117" t="str">
        <x:v>AutoLaunchedFlow</x:v>
      </x:c>
      <x:c r="I687" s="118" t="n">
        <x:v>53</x:v>
      </x:c>
      <x:c r="J687" s="117" t="str">
        <x:v>unmanaged</x:v>
      </x:c>
      <x:c r="K687" s="123" t="b">
        <x:v>0</x:v>
      </x:c>
      <x:c r="L687" s="117"/>
      <x:c r="M687" s="118"/>
      <x:c r="N687" s="120" t="n">
        <x:v>44600.210706018515</x:v>
      </x:c>
      <x:c r="O687" s="117" t="str">
        <x:v>Natalie Boger</x:v>
      </x:c>
      <x:c r="P687" s="120" t="n">
        <x:v>44600.21113425926</x:v>
      </x:c>
      <x:c r="Q687" s="117" t="str">
        <x:v>Natalie Boger</x:v>
      </x:c>
      <x:c r="R687" s="117" t="str">
        <x:v>Create part requests from Service Fusion</x:v>
      </x:c>
      <x:c r="S687" s="119"/>
    </x:row>
    <x:row r="688" ht="30" customHeight="1">
      <x:c r="A688" s="117" t="str">
        <x:v>Create_part_requests_from_Service_Fusion</x:v>
      </x:c>
      <x:c r="B688" s="117" t="str">
        <x:v>3005b000000H2QLAA0</x:v>
      </x:c>
      <x:c r="C688" s="117" t="str">
        <x:v>3015b000000EH2tAAG</x:v>
      </x:c>
      <x:c r="D688" s="118" t="n">
        <x:v>18</x:v>
      </x:c>
      <x:c r="E688" s="117" t="str">
        <x:v>Obsolete</x:v>
      </x:c>
      <x:c r="F688" s="117" t="str">
        <x:v>No</x:v>
      </x:c>
      <x:c r="G688" s="117" t="str">
        <x:v>No</x:v>
      </x:c>
      <x:c r="H688" s="117" t="str">
        <x:v>AutoLaunchedFlow</x:v>
      </x:c>
      <x:c r="I688" s="118" t="n">
        <x:v>53</x:v>
      </x:c>
      <x:c r="J688" s="117" t="str">
        <x:v>unmanaged</x:v>
      </x:c>
      <x:c r="K688" s="123" t="b">
        <x:v>0</x:v>
      </x:c>
      <x:c r="L688" s="117"/>
      <x:c r="M688" s="118"/>
      <x:c r="N688" s="120" t="n">
        <x:v>44600.21341435185</x:v>
      </x:c>
      <x:c r="O688" s="117" t="str">
        <x:v>Natalie Boger</x:v>
      </x:c>
      <x:c r="P688" s="120" t="n">
        <x:v>44600.21346064815</x:v>
      </x:c>
      <x:c r="Q688" s="117" t="str">
        <x:v>Natalie Boger</x:v>
      </x:c>
      <x:c r="R688" s="117" t="str">
        <x:v>Create part requests from Service Fusion</x:v>
      </x:c>
      <x:c r="S688" s="119"/>
    </x:row>
    <x:row r="689" ht="30" customHeight="1">
      <x:c r="A689" s="117" t="str">
        <x:v>Create_part_requests_from_Service_Fusion</x:v>
      </x:c>
      <x:c r="B689" s="117" t="str">
        <x:v>3005b000000H2QLAA0</x:v>
      </x:c>
      <x:c r="C689" s="117" t="str">
        <x:v>3015b000000EHEBAA4</x:v>
      </x:c>
      <x:c r="D689" s="118" t="n">
        <x:v>19</x:v>
      </x:c>
      <x:c r="E689" s="117" t="str">
        <x:v>Draft</x:v>
      </x:c>
      <x:c r="F689" s="117" t="str">
        <x:v>No</x:v>
      </x:c>
      <x:c r="G689" s="117" t="str">
        <x:v>No</x:v>
      </x:c>
      <x:c r="H689" s="117" t="str">
        <x:v>AutoLaunchedFlow</x:v>
      </x:c>
      <x:c r="I689" s="118" t="n">
        <x:v>53</x:v>
      </x:c>
      <x:c r="J689" s="117" t="str">
        <x:v>unmanaged</x:v>
      </x:c>
      <x:c r="K689" s="123" t="b">
        <x:v>0</x:v>
      </x:c>
      <x:c r="L689" s="117"/>
      <x:c r="M689" s="118"/>
      <x:c r="N689" s="120" t="n">
        <x:v>44600.86574074074</x:v>
      </x:c>
      <x:c r="O689" s="117" t="str">
        <x:v>Natalie Boger</x:v>
      </x:c>
      <x:c r="P689" s="120" t="n">
        <x:v>44600.86576388889</x:v>
      </x:c>
      <x:c r="Q689" s="117" t="str">
        <x:v>Natalie Boger</x:v>
      </x:c>
      <x:c r="R689" s="117" t="str">
        <x:v>Create part requests from Service Fusion</x:v>
      </x:c>
      <x:c r="S689" s="119"/>
    </x:row>
    <x:row r="690" ht="30" customHeight="1">
      <x:c r="A690" s="117" t="str">
        <x:v>Create_part_requests_from_Service_Fusion</x:v>
      </x:c>
      <x:c r="B690" s="117" t="str">
        <x:v>3005b000000H2QLAA0</x:v>
      </x:c>
      <x:c r="C690" s="117" t="str">
        <x:v>3015b000000EIUeAAO</x:v>
      </x:c>
      <x:c r="D690" s="118" t="n">
        <x:v>20</x:v>
      </x:c>
      <x:c r="E690" s="117" t="str">
        <x:v>Obsolete</x:v>
      </x:c>
      <x:c r="F690" s="117" t="str">
        <x:v>No</x:v>
      </x:c>
      <x:c r="G690" s="117" t="str">
        <x:v>No</x:v>
      </x:c>
      <x:c r="H690" s="117" t="str">
        <x:v>AutoLaunchedFlow</x:v>
      </x:c>
      <x:c r="I690" s="118" t="n">
        <x:v>53</x:v>
      </x:c>
      <x:c r="J690" s="117" t="str">
        <x:v>unmanaged</x:v>
      </x:c>
      <x:c r="K690" s="123" t="b">
        <x:v>0</x:v>
      </x:c>
      <x:c r="L690" s="117"/>
      <x:c r="M690" s="118"/>
      <x:c r="N690" s="120" t="n">
        <x:v>44641.8409375</x:v>
      </x:c>
      <x:c r="O690" s="117" t="str">
        <x:v>Natalie Boger</x:v>
      </x:c>
      <x:c r="P690" s="120" t="n">
        <x:v>44641.84104166667</x:v>
      </x:c>
      <x:c r="Q690" s="117" t="str">
        <x:v>Natalie Boger</x:v>
      </x:c>
      <x:c r="R690" s="117" t="str">
        <x:v>Create part requests from Service Fusion</x:v>
      </x:c>
      <x:c r="S690" s="119"/>
    </x:row>
    <x:row r="691" ht="30" customHeight="1">
      <x:c r="A691" s="117" t="str">
        <x:v>Create_part_requests_from_Service_Fusion</x:v>
      </x:c>
      <x:c r="B691" s="117" t="str">
        <x:v>3005b000000H2QLAA0</x:v>
      </x:c>
      <x:c r="C691" s="117" t="str">
        <x:v>3015b000000EIUjAAO</x:v>
      </x:c>
      <x:c r="D691" s="118" t="n">
        <x:v>21</x:v>
      </x:c>
      <x:c r="E691" s="117" t="str">
        <x:v>Active</x:v>
      </x:c>
      <x:c r="F691" s="117" t="str">
        <x:v>Yes</x:v>
      </x:c>
      <x:c r="G691" s="117" t="str">
        <x:v>No</x:v>
      </x:c>
      <x:c r="H691" s="117" t="str">
        <x:v>AutoLaunchedFlow</x:v>
      </x:c>
      <x:c r="I691" s="118" t="n">
        <x:v>53</x:v>
      </x:c>
      <x:c r="J691" s="117" t="str">
        <x:v>unmanaged</x:v>
      </x:c>
      <x:c r="K691" s="123" t="b">
        <x:v>0</x:v>
      </x:c>
      <x:c r="L691" s="117"/>
      <x:c r="M691" s="118"/>
      <x:c r="N691" s="120" t="n">
        <x:v>44641.860763888886</x:v>
      </x:c>
      <x:c r="O691" s="117" t="str">
        <x:v>Natalie Boger</x:v>
      </x:c>
      <x:c r="P691" s="120" t="n">
        <x:v>44641.86082175926</x:v>
      </x:c>
      <x:c r="Q691" s="117" t="str">
        <x:v>Natalie Boger</x:v>
      </x:c>
      <x:c r="R691" s="117" t="str">
        <x:v>Create part requests from Service Fusion</x:v>
      </x:c>
      <x:c r="S691" s="119"/>
    </x:row>
    <x:row r="692" ht="30" customHeight="1">
      <x:c r="A692" s="117" t="str">
        <x:v>Create_part_requests_from_Service_Fusion</x:v>
      </x:c>
      <x:c r="B692" s="117" t="str">
        <x:v>3005b000000H2QLAA0</x:v>
      </x:c>
      <x:c r="C692" s="117" t="str">
        <x:v>301Ro00000iNPpEIAW</x:v>
      </x:c>
      <x:c r="D692" s="118" t="n">
        <x:v>22</x:v>
      </x:c>
      <x:c r="E692" s="117" t="str">
        <x:v>Draft</x:v>
      </x:c>
      <x:c r="F692" s="117" t="str">
        <x:v>No</x:v>
      </x:c>
      <x:c r="G692" s="117" t="str">
        <x:v>Yes</x:v>
      </x:c>
      <x:c r="H692" s="117" t="str">
        <x:v>AutoLaunchedFlow</x:v>
      </x:c>
      <x:c r="I692" s="118" t="n">
        <x:v>53</x:v>
      </x:c>
      <x:c r="J692" s="117" t="str">
        <x:v>unmanaged</x:v>
      </x:c>
      <x:c r="K692" s="123" t="b">
        <x:v>0</x:v>
      </x:c>
      <x:c r="L692" s="117"/>
      <x:c r="M692" s="118"/>
      <x:c r="N692" s="120" t="n">
        <x:v>45882.852002314816</x:v>
      </x:c>
      <x:c r="O692" s="117" t="str">
        <x:v>Delegate</x:v>
      </x:c>
      <x:c r="P692" s="120" t="n">
        <x:v>45882.852060185185</x:v>
      </x:c>
      <x:c r="Q692" s="117" t="str">
        <x:v>Delegate</x:v>
      </x:c>
      <x:c r="R692" s="117" t="str">
        <x:v>Create part requests from Service Fusion</x:v>
      </x:c>
      <x:c r="S692" s="119" t="str">
        <x:v>07/29/2025 (BW) - Migrating to Asynchronous</x:v>
      </x:c>
    </x:row>
    <x:row r="693" ht="30" customHeight="1">
      <x:c r="A693" s="117" t="str">
        <x:v>Create_Pricing_Request_from_Work_Order_Opportunity</x:v>
      </x:c>
      <x:c r="B693" s="117" t="str">
        <x:v>3005b000000H3wSAAS</x:v>
      </x:c>
      <x:c r="C693" s="117" t="str">
        <x:v>3015b000000EKFNAA4</x:v>
      </x:c>
      <x:c r="D693" s="118" t="n">
        <x:v>1</x:v>
      </x:c>
      <x:c r="E693" s="117" t="str">
        <x:v>Obsolete</x:v>
      </x:c>
      <x:c r="F693" s="117" t="str">
        <x:v>No</x:v>
      </x:c>
      <x:c r="G693" s="117" t="str">
        <x:v>No</x:v>
      </x:c>
      <x:c r="H693" s="117" t="str">
        <x:v>Flow</x:v>
      </x:c>
      <x:c r="I693" s="118" t="n">
        <x:v>54</x:v>
      </x:c>
      <x:c r="J693" s="117" t="str">
        <x:v>unmanaged</x:v>
      </x:c>
      <x:c r="K693" s="123" t="b">
        <x:v>0</x:v>
      </x:c>
      <x:c r="L693" s="117"/>
      <x:c r="M693" s="118"/>
      <x:c r="N693" s="120" t="n">
        <x:v>44724.887141203704</x:v>
      </x:c>
      <x:c r="O693" s="117" t="str">
        <x:v>Jace Gentil</x:v>
      </x:c>
      <x:c r="P693" s="120" t="n">
        <x:v>44724.8871875</x:v>
      </x:c>
      <x:c r="Q693" s="117" t="str">
        <x:v>Jace Gentil</x:v>
      </x:c>
      <x:c r="R693" s="117" t="str">
        <x:v>Create Pricing Request from Work Order/Opportunity</x:v>
      </x:c>
      <x:c r="S693" s="119"/>
    </x:row>
    <x:row r="694" ht="30" customHeight="1">
      <x:c r="A694" s="117" t="str">
        <x:v>Create_Pricing_Request_from_Work_Order_Opportunity</x:v>
      </x:c>
      <x:c r="B694" s="117" t="str">
        <x:v>3005b000000H3wSAAS</x:v>
      </x:c>
      <x:c r="C694" s="117" t="str">
        <x:v>3015b000000EKFqAAO</x:v>
      </x:c>
      <x:c r="D694" s="118" t="n">
        <x:v>2</x:v>
      </x:c>
      <x:c r="E694" s="117" t="str">
        <x:v>Obsolete</x:v>
      </x:c>
      <x:c r="F694" s="117" t="str">
        <x:v>No</x:v>
      </x:c>
      <x:c r="G694" s="117" t="str">
        <x:v>No</x:v>
      </x:c>
      <x:c r="H694" s="117" t="str">
        <x:v>Flow</x:v>
      </x:c>
      <x:c r="I694" s="118" t="n">
        <x:v>54</x:v>
      </x:c>
      <x:c r="J694" s="117" t="str">
        <x:v>unmanaged</x:v>
      </x:c>
      <x:c r="K694" s="123" t="b">
        <x:v>0</x:v>
      </x:c>
      <x:c r="L694" s="117"/>
      <x:c r="M694" s="118"/>
      <x:c r="N694" s="120" t="n">
        <x:v>44725.40288194444</x:v>
      </x:c>
      <x:c r="O694" s="117" t="str">
        <x:v>Jace Gentil</x:v>
      </x:c>
      <x:c r="P694" s="120" t="n">
        <x:v>44725.40292824074</x:v>
      </x:c>
      <x:c r="Q694" s="117" t="str">
        <x:v>Jace Gentil</x:v>
      </x:c>
      <x:c r="R694" s="117" t="str">
        <x:v>Create Pricing Request from Work Order/Opportunity</x:v>
      </x:c>
      <x:c r="S694" s="119"/>
    </x:row>
    <x:row r="695" ht="30" customHeight="1">
      <x:c r="A695" s="117" t="str">
        <x:v>Create_Pricing_Request_from_Work_Order_Opportunity</x:v>
      </x:c>
      <x:c r="B695" s="117" t="str">
        <x:v>3005b000000H3wSAAS</x:v>
      </x:c>
      <x:c r="C695" s="117" t="str">
        <x:v>3015b000000EKFvAAO</x:v>
      </x:c>
      <x:c r="D695" s="118" t="n">
        <x:v>3</x:v>
      </x:c>
      <x:c r="E695" s="117" t="str">
        <x:v>Obsolete</x:v>
      </x:c>
      <x:c r="F695" s="117" t="str">
        <x:v>No</x:v>
      </x:c>
      <x:c r="G695" s="117" t="str">
        <x:v>No</x:v>
      </x:c>
      <x:c r="H695" s="117" t="str">
        <x:v>Flow</x:v>
      </x:c>
      <x:c r="I695" s="118" t="n">
        <x:v>54</x:v>
      </x:c>
      <x:c r="J695" s="117" t="str">
        <x:v>unmanaged</x:v>
      </x:c>
      <x:c r="K695" s="123" t="b">
        <x:v>0</x:v>
      </x:c>
      <x:c r="L695" s="117"/>
      <x:c r="M695" s="118"/>
      <x:c r="N695" s="120" t="n">
        <x:v>44725.40762731482</x:v>
      </x:c>
      <x:c r="O695" s="117" t="str">
        <x:v>Jace Gentil</x:v>
      </x:c>
      <x:c r="P695" s="120" t="n">
        <x:v>44725.40765046296</x:v>
      </x:c>
      <x:c r="Q695" s="117" t="str">
        <x:v>Jace Gentil</x:v>
      </x:c>
      <x:c r="R695" s="117" t="str">
        <x:v>Create Pricing Request from Work Order/Opportunity</x:v>
      </x:c>
      <x:c r="S695" s="119"/>
    </x:row>
    <x:row r="696" ht="30" customHeight="1">
      <x:c r="A696" s="117" t="str">
        <x:v>Create_Pricing_Request_from_Work_Order_Opportunity</x:v>
      </x:c>
      <x:c r="B696" s="117" t="str">
        <x:v>3005b000000H3wSAAS</x:v>
      </x:c>
      <x:c r="C696" s="117" t="str">
        <x:v>301Ro00000U2G7SIAV</x:v>
      </x:c>
      <x:c r="D696" s="118" t="n">
        <x:v>4</x:v>
      </x:c>
      <x:c r="E696" s="117" t="str">
        <x:v>Obsolete</x:v>
      </x:c>
      <x:c r="F696" s="117" t="str">
        <x:v>No</x:v>
      </x:c>
      <x:c r="G696" s="117" t="str">
        <x:v>No</x:v>
      </x:c>
      <x:c r="H696" s="117" t="str">
        <x:v>Flow</x:v>
      </x:c>
      <x:c r="I696" s="118" t="n">
        <x:v>54</x:v>
      </x:c>
      <x:c r="J696" s="117" t="str">
        <x:v>unmanaged</x:v>
      </x:c>
      <x:c r="K696" s="123" t="b">
        <x:v>0</x:v>
      </x:c>
      <x:c r="L696" s="117"/>
      <x:c r="M696" s="118"/>
      <x:c r="N696" s="120" t="n">
        <x:v>45702.59238425926</x:v>
      </x:c>
      <x:c r="O696" s="117" t="str">
        <x:v>Delegate</x:v>
      </x:c>
      <x:c r="P696" s="120" t="n">
        <x:v>45702.6034375</x:v>
      </x:c>
      <x:c r="Q696" s="117" t="str">
        <x:v>Delegate</x:v>
      </x:c>
      <x:c r="R696" s="117" t="str">
        <x:v>Create Pricing Request from Work Order/Opportunity</x:v>
      </x:c>
      <x:c r="S696" s="119" t="str">
        <x:v>02/11/2025 (BW) - Updates the pricing request flow to use service appointments alongside work orders</x:v>
      </x:c>
    </x:row>
    <x:row r="697" ht="30" customHeight="1">
      <x:c r="A697" s="117" t="str">
        <x:v>Create_Pricing_Request_from_Work_Order_Opportunity</x:v>
      </x:c>
      <x:c r="B697" s="117" t="str">
        <x:v>3005b000000H3wSAAS</x:v>
      </x:c>
      <x:c r="C697" s="117" t="str">
        <x:v>301Ro00000Y7MrYIAV</x:v>
      </x:c>
      <x:c r="D697" s="118" t="n">
        <x:v>5</x:v>
      </x:c>
      <x:c r="E697" s="117" t="str">
        <x:v>Obsolete</x:v>
      </x:c>
      <x:c r="F697" s="117" t="str">
        <x:v>No</x:v>
      </x:c>
      <x:c r="G697" s="117" t="str">
        <x:v>No</x:v>
      </x:c>
      <x:c r="H697" s="117" t="str">
        <x:v>Flow</x:v>
      </x:c>
      <x:c r="I697" s="118" t="n">
        <x:v>54</x:v>
      </x:c>
      <x:c r="J697" s="117" t="str">
        <x:v>unmanaged</x:v>
      </x:c>
      <x:c r="K697" s="123" t="b">
        <x:v>0</x:v>
      </x:c>
      <x:c r="L697" s="117"/>
      <x:c r="M697" s="118"/>
      <x:c r="N697" s="120" t="n">
        <x:v>45775.57707175926</x:v>
      </x:c>
      <x:c r="O697" s="117" t="str">
        <x:v>Delegate</x:v>
      </x:c>
      <x:c r="P697" s="120" t="n">
        <x:v>45775.57714120371</x:v>
      </x:c>
      <x:c r="Q697" s="117" t="str">
        <x:v>Delegate</x:v>
      </x:c>
      <x:c r="R697" s="117" t="str">
        <x:v>Create Pricing Request from Work Order/Opportunity</x:v>
      </x:c>
      <x:c r="S697" s="119" t="str">
        <x:v>02/11/2025 (BW) - Updates the pricing request flow to use service appointments alongside work orders</x:v>
      </x:c>
    </x:row>
    <x:row r="698" ht="30" customHeight="1">
      <x:c r="A698" s="117" t="str">
        <x:v>Create_Pricing_Request_from_Work_Order_Opportunity</x:v>
      </x:c>
      <x:c r="B698" s="117" t="str">
        <x:v>3005b000000H3wSAAS</x:v>
      </x:c>
      <x:c r="C698" s="117" t="str">
        <x:v>301Ro000010C7lHIAS</x:v>
      </x:c>
      <x:c r="D698" s="118" t="n">
        <x:v>6</x:v>
      </x:c>
      <x:c r="E698" s="117" t="str">
        <x:v>Active</x:v>
      </x:c>
      <x:c r="F698" s="117" t="str">
        <x:v>Yes</x:v>
      </x:c>
      <x:c r="G698" s="117" t="str">
        <x:v>Yes</x:v>
      </x:c>
      <x:c r="H698" s="117" t="str">
        <x:v>Flow</x:v>
      </x:c>
      <x:c r="I698" s="118" t="n">
        <x:v>54</x:v>
      </x:c>
      <x:c r="J698" s="117" t="str">
        <x:v>unmanaged</x:v>
      </x:c>
      <x:c r="K698" s="123" t="b">
        <x:v>0</x:v>
      </x:c>
      <x:c r="L698" s="117"/>
      <x:c r="M698" s="118"/>
      <x:c r="N698" s="120" t="n">
        <x:v>46091.3865625</x:v>
      </x:c>
      <x:c r="O698" s="117" t="str">
        <x:v>Sacha Pearce</x:v>
      </x:c>
      <x:c r="P698" s="120" t="n">
        <x:v>46091.38664351852</x:v>
      </x:c>
      <x:c r="Q698" s="117" t="str">
        <x:v>Sacha Pearce</x:v>
      </x:c>
      <x:c r="R698" s="117" t="str">
        <x:v>Create Pricing Request from Work Order/Opportunity</x:v>
      </x:c>
      <x:c r="S698" s="119" t="str">
        <x:v>10/03/2026 - V6 - SP - Updating to require a record is selected in the "Product Requesting Price For"</x:v>
      </x:c>
    </x:row>
    <x:row r="699" ht="30" customHeight="1">
      <x:c r="A699" s="117" t="str">
        <x:v>Create_Project_on_Big_Iron_Purchasing_Opportunity_Flow</x:v>
      </x:c>
      <x:c r="B699" s="117" t="str">
        <x:v>3005b000000H4GSAA0</x:v>
      </x:c>
      <x:c r="C699" s="117" t="str">
        <x:v>3015b000000ELwgAAG</x:v>
      </x:c>
      <x:c r="D699" s="118" t="n">
        <x:v>1</x:v>
      </x:c>
      <x:c r="E699" s="117" t="str">
        <x:v>Obsolete</x:v>
      </x:c>
      <x:c r="F699" s="117" t="str">
        <x:v>No</x:v>
      </x:c>
      <x:c r="G699" s="117" t="str">
        <x:v>No</x:v>
      </x:c>
      <x:c r="H699" s="117" t="str">
        <x:v>AutoLaunchedFlow</x:v>
      </x:c>
      <x:c r="I699" s="118" t="n">
        <x:v>55</x:v>
      </x:c>
      <x:c r="J699" s="117" t="str">
        <x:v>unmanaged</x:v>
      </x:c>
      <x:c r="K699" s="123" t="b">
        <x:v>0</x:v>
      </x:c>
      <x:c r="L699" s="117"/>
      <x:c r="M699" s="118"/>
      <x:c r="N699" s="120" t="n">
        <x:v>44828.75502314815</x:v>
      </x:c>
      <x:c r="O699" s="117" t="str">
        <x:v>Jace Gentil</x:v>
      </x:c>
      <x:c r="P699" s="120" t="n">
        <x:v>44829.71836805555</x:v>
      </x:c>
      <x:c r="Q699" s="117" t="str">
        <x:v>Jace Gentil</x:v>
      </x:c>
      <x:c r="R699" s="117" t="str">
        <x:v>Create Project on Big Iron Purchasing Opportunity Flow</x:v>
      </x:c>
      <x:c r="S699" s="119"/>
    </x:row>
    <x:row r="700" ht="30" customHeight="1">
      <x:c r="A700" s="117" t="str">
        <x:v>Create_Project_on_Big_Iron_Purchasing_Opportunity_Flow</x:v>
      </x:c>
      <x:c r="B700" s="117" t="str">
        <x:v>3005b000000H4GSAA0</x:v>
      </x:c>
      <x:c r="C700" s="117" t="str">
        <x:v>3015b000000ELwlAAG</x:v>
      </x:c>
      <x:c r="D700" s="118" t="n">
        <x:v>2</x:v>
      </x:c>
      <x:c r="E700" s="117" t="str">
        <x:v>Obsolete</x:v>
      </x:c>
      <x:c r="F700" s="117" t="str">
        <x:v>No</x:v>
      </x:c>
      <x:c r="G700" s="117" t="str">
        <x:v>No</x:v>
      </x:c>
      <x:c r="H700" s="117" t="str">
        <x:v>AutoLaunchedFlow</x:v>
      </x:c>
      <x:c r="I700" s="118" t="n">
        <x:v>55</x:v>
      </x:c>
      <x:c r="J700" s="117" t="str">
        <x:v>unmanaged</x:v>
      </x:c>
      <x:c r="K700" s="123" t="b">
        <x:v>0</x:v>
      </x:c>
      <x:c r="L700" s="117"/>
      <x:c r="M700" s="118"/>
      <x:c r="N700" s="120" t="n">
        <x:v>44829.72299768519</x:v>
      </x:c>
      <x:c r="O700" s="117" t="str">
        <x:v>Jace Gentil</x:v>
      </x:c>
      <x:c r="P700" s="120" t="n">
        <x:v>44829.723032407404</x:v>
      </x:c>
      <x:c r="Q700" s="117" t="str">
        <x:v>Jace Gentil</x:v>
      </x:c>
      <x:c r="R700" s="117" t="str">
        <x:v>Create Project on Big Iron Purchasing Opportunity Flow</x:v>
      </x:c>
      <x:c r="S700" s="119"/>
    </x:row>
    <x:row r="701" ht="30" customHeight="1">
      <x:c r="A701" s="117" t="str">
        <x:v>Create_Project_on_Big_Iron_Purchasing_Opportunity_Flow</x:v>
      </x:c>
      <x:c r="B701" s="117" t="str">
        <x:v>3005b000000H4GSAA0</x:v>
      </x:c>
      <x:c r="C701" s="117" t="str">
        <x:v>3015b000000ELwqAAG</x:v>
      </x:c>
      <x:c r="D701" s="118" t="n">
        <x:v>3</x:v>
      </x:c>
      <x:c r="E701" s="117" t="str">
        <x:v>Obsolete</x:v>
      </x:c>
      <x:c r="F701" s="117" t="str">
        <x:v>No</x:v>
      </x:c>
      <x:c r="G701" s="117" t="str">
        <x:v>No</x:v>
      </x:c>
      <x:c r="H701" s="117" t="str">
        <x:v>AutoLaunchedFlow</x:v>
      </x:c>
      <x:c r="I701" s="118" t="n">
        <x:v>55</x:v>
      </x:c>
      <x:c r="J701" s="117" t="str">
        <x:v>unmanaged</x:v>
      </x:c>
      <x:c r="K701" s="123" t="b">
        <x:v>0</x:v>
      </x:c>
      <x:c r="L701" s="117"/>
      <x:c r="M701" s="118"/>
      <x:c r="N701" s="120" t="n">
        <x:v>44829.72825231482</x:v>
      </x:c>
      <x:c r="O701" s="117" t="str">
        <x:v>Jace Gentil</x:v>
      </x:c>
      <x:c r="P701" s="120" t="n">
        <x:v>44834.55001157407</x:v>
      </x:c>
      <x:c r="Q701" s="117" t="str">
        <x:v>Jace Gentil</x:v>
      </x:c>
      <x:c r="R701" s="117" t="str">
        <x:v>Create Project on Big Iron Purchasing Opportunity Flow</x:v>
      </x:c>
      <x:c r="S701" s="119"/>
    </x:row>
    <x:row r="702" ht="30" customHeight="1">
      <x:c r="A702" s="117" t="str">
        <x:v>Create_Project_on_Big_Iron_Purchasing_Opportunity_Flow</x:v>
      </x:c>
      <x:c r="B702" s="117" t="str">
        <x:v>3005b000000H4GSAA0</x:v>
      </x:c>
      <x:c r="C702" s="117" t="str">
        <x:v>3015b000000A9pJAAS</x:v>
      </x:c>
      <x:c r="D702" s="118" t="n">
        <x:v>4</x:v>
      </x:c>
      <x:c r="E702" s="117" t="str">
        <x:v>Obsolete</x:v>
      </x:c>
      <x:c r="F702" s="117" t="str">
        <x:v>No</x:v>
      </x:c>
      <x:c r="G702" s="117" t="str">
        <x:v>No</x:v>
      </x:c>
      <x:c r="H702" s="117" t="str">
        <x:v>AutoLaunchedFlow</x:v>
      </x:c>
      <x:c r="I702" s="118" t="n">
        <x:v>55</x:v>
      </x:c>
      <x:c r="J702" s="117" t="str">
        <x:v>unmanaged</x:v>
      </x:c>
      <x:c r="K702" s="123" t="b">
        <x:v>0</x:v>
      </x:c>
      <x:c r="L702" s="117"/>
      <x:c r="M702" s="118"/>
      <x:c r="N702" s="120" t="n">
        <x:v>44875.392384259256</x:v>
      </x:c>
      <x:c r="O702" s="117" t="str">
        <x:v>Jon Kean</x:v>
      </x:c>
      <x:c r="P702" s="120" t="n">
        <x:v>44875.3924537037</x:v>
      </x:c>
      <x:c r="Q702" s="117" t="str">
        <x:v>Jon Kean</x:v>
      </x:c>
      <x:c r="R702" s="117" t="str">
        <x:v>Create Project on Big Iron Purchasing Opportunity Flow</x:v>
      </x:c>
      <x:c r="S702" s="119"/>
    </x:row>
    <x:row r="703" ht="30" customHeight="1">
      <x:c r="A703" s="117" t="str">
        <x:v>Create_Project_on_Big_Iron_Purchasing_Opportunity_Flow</x:v>
      </x:c>
      <x:c r="B703" s="117" t="str">
        <x:v>3005b000000H4GSAA0</x:v>
      </x:c>
      <x:c r="C703" s="117" t="str">
        <x:v>3015b000000VzgaAAC</x:v>
      </x:c>
      <x:c r="D703" s="118" t="n">
        <x:v>5</x:v>
      </x:c>
      <x:c r="E703" s="117" t="str">
        <x:v>Obsolete</x:v>
      </x:c>
      <x:c r="F703" s="117" t="str">
        <x:v>No</x:v>
      </x:c>
      <x:c r="G703" s="117" t="str">
        <x:v>No</x:v>
      </x:c>
      <x:c r="H703" s="117" t="str">
        <x:v>AutoLaunchedFlow</x:v>
      </x:c>
      <x:c r="I703" s="118" t="n">
        <x:v>55</x:v>
      </x:c>
      <x:c r="J703" s="117" t="str">
        <x:v>unmanaged</x:v>
      </x:c>
      <x:c r="K703" s="123" t="b">
        <x:v>0</x:v>
      </x:c>
      <x:c r="L703" s="117"/>
      <x:c r="M703" s="118"/>
      <x:c r="N703" s="120" t="n">
        <x:v>44974.68</x:v>
      </x:c>
      <x:c r="O703" s="117" t="str">
        <x:v>Jon Kean</x:v>
      </x:c>
      <x:c r="P703" s="120" t="n">
        <x:v>44974.68005787037</x:v>
      </x:c>
      <x:c r="Q703" s="117" t="str">
        <x:v>Jon Kean</x:v>
      </x:c>
      <x:c r="R703" s="117" t="str">
        <x:v>Create Project on Big Iron Purchasing Opportunity Flow</x:v>
      </x:c>
      <x:c r="S703" s="119"/>
    </x:row>
    <x:row r="704" ht="30" customHeight="1">
      <x:c r="A704" s="117" t="str">
        <x:v>Create_Project_on_Big_Iron_Purchasing_Opportunity_Flow</x:v>
      </x:c>
      <x:c r="B704" s="117" t="str">
        <x:v>3005b000000H4GSAA0</x:v>
      </x:c>
      <x:c r="C704" s="117" t="str">
        <x:v>301Ro00000DgqApIAJ</x:v>
      </x:c>
      <x:c r="D704" s="118" t="n">
        <x:v>6</x:v>
      </x:c>
      <x:c r="E704" s="117" t="str">
        <x:v>Obsolete</x:v>
      </x:c>
      <x:c r="F704" s="117" t="str">
        <x:v>No</x:v>
      </x:c>
      <x:c r="G704" s="117" t="str">
        <x:v>No</x:v>
      </x:c>
      <x:c r="H704" s="117" t="str">
        <x:v>AutoLaunchedFlow</x:v>
      </x:c>
      <x:c r="I704" s="118" t="n">
        <x:v>55</x:v>
      </x:c>
      <x:c r="J704" s="117" t="str">
        <x:v>unmanaged</x:v>
      </x:c>
      <x:c r="K704" s="123" t="b">
        <x:v>0</x:v>
      </x:c>
      <x:c r="L704" s="117"/>
      <x:c r="M704" s="118"/>
      <x:c r="N704" s="120" t="n">
        <x:v>45440.705717592595</x:v>
      </x:c>
      <x:c r="O704" s="117" t="str">
        <x:v>Jace Gentil</x:v>
      </x:c>
      <x:c r="P704" s="120" t="n">
        <x:v>45440.70576388889</x:v>
      </x:c>
      <x:c r="Q704" s="117" t="str">
        <x:v>Jace Gentil</x:v>
      </x:c>
      <x:c r="R704" s="117" t="str">
        <x:v>Create Project on Big Iron Purchasing Opportunity Flow</x:v>
      </x:c>
      <x:c r="S704" s="119" t="str">
        <x:v>Added asynchronous path</x:v>
      </x:c>
    </x:row>
    <x:row r="705" ht="30" customHeight="1">
      <x:c r="A705" s="117" t="str">
        <x:v>Create_Project_on_Big_Iron_Purchasing_Opportunity_Flow</x:v>
      </x:c>
      <x:c r="B705" s="117" t="str">
        <x:v>3005b000000H4GSAA0</x:v>
      </x:c>
      <x:c r="C705" s="117" t="str">
        <x:v>3015b0000011MVCAA2</x:v>
      </x:c>
      <x:c r="D705" s="118" t="n">
        <x:v>7</x:v>
      </x:c>
      <x:c r="E705" s="117" t="str">
        <x:v>Obsolete</x:v>
      </x:c>
      <x:c r="F705" s="117" t="str">
        <x:v>No</x:v>
      </x:c>
      <x:c r="G705" s="117" t="str">
        <x:v>No</x:v>
      </x:c>
      <x:c r="H705" s="117" t="str">
        <x:v>AutoLaunchedFlow</x:v>
      </x:c>
      <x:c r="I705" s="118" t="n">
        <x:v>55</x:v>
      </x:c>
      <x:c r="J705" s="117" t="str">
        <x:v>unmanaged</x:v>
      </x:c>
      <x:c r="K705" s="123" t="b">
        <x:v>0</x:v>
      </x:c>
      <x:c r="L705" s="117"/>
      <x:c r="M705" s="118"/>
      <x:c r="N705" s="120" t="n">
        <x:v>45245.40114583333</x:v>
      </x:c>
      <x:c r="O705" s="117" t="str">
        <x:v>Jon Kean</x:v>
      </x:c>
      <x:c r="P705" s="120" t="n">
        <x:v>45245.401192129626</x:v>
      </x:c>
      <x:c r="Q705" s="117" t="str">
        <x:v>Jon Kean</x:v>
      </x:c>
      <x:c r="R705" s="117" t="str">
        <x:v>Create Project on Big Iron Purchasing Opportunity Flow</x:v>
      </x:c>
      <x:c r="S705" s="119"/>
    </x:row>
    <x:row r="706" ht="30" customHeight="1">
      <x:c r="A706" s="117" t="str">
        <x:v>Create_Project_on_Big_Iron_Purchasing_Opportunity_Flow</x:v>
      </x:c>
      <x:c r="B706" s="117" t="str">
        <x:v>3005b000000H4GSAA0</x:v>
      </x:c>
      <x:c r="C706" s="117" t="str">
        <x:v>301Ro000007hWzuIAE</x:v>
      </x:c>
      <x:c r="D706" s="118" t="n">
        <x:v>8</x:v>
      </x:c>
      <x:c r="E706" s="117" t="str">
        <x:v>Obsolete</x:v>
      </x:c>
      <x:c r="F706" s="117" t="str">
        <x:v>No</x:v>
      </x:c>
      <x:c r="G706" s="117" t="str">
        <x:v>No</x:v>
      </x:c>
      <x:c r="H706" s="117" t="str">
        <x:v>AutoLaunchedFlow</x:v>
      </x:c>
      <x:c r="I706" s="118" t="n">
        <x:v>55</x:v>
      </x:c>
      <x:c r="J706" s="117" t="str">
        <x:v>unmanaged</x:v>
      </x:c>
      <x:c r="K706" s="123" t="b">
        <x:v>0</x:v>
      </x:c>
      <x:c r="L706" s="117"/>
      <x:c r="M706" s="118"/>
      <x:c r="N706" s="120" t="n">
        <x:v>45342.60236111111</x:v>
      </x:c>
      <x:c r="O706" s="117" t="str">
        <x:v>Jon Kean</x:v>
      </x:c>
      <x:c r="P706" s="120" t="n">
        <x:v>45369.46505787037</x:v>
      </x:c>
      <x:c r="Q706" s="117" t="str">
        <x:v>Delegate</x:v>
      </x:c>
      <x:c r="R706" s="117" t="str">
        <x:v>Create Project on Big Iron Purchasing Opportunity Flow</x:v>
      </x:c>
      <x:c r="S706" s="119"/>
    </x:row>
    <x:row r="707" ht="30" customHeight="1">
      <x:c r="A707" s="117" t="str">
        <x:v>Create_Project_on_Big_Iron_Purchasing_Opportunity_Flow</x:v>
      </x:c>
      <x:c r="B707" s="117" t="str">
        <x:v>3005b000000H4GSAA0</x:v>
      </x:c>
      <x:c r="C707" s="117" t="str">
        <x:v>301Ro00000CkS2PIAV</x:v>
      </x:c>
      <x:c r="D707" s="118" t="n">
        <x:v>9</x:v>
      </x:c>
      <x:c r="E707" s="117" t="str">
        <x:v>Obsolete</x:v>
      </x:c>
      <x:c r="F707" s="117" t="str">
        <x:v>No</x:v>
      </x:c>
      <x:c r="G707" s="117" t="str">
        <x:v>No</x:v>
      </x:c>
      <x:c r="H707" s="117" t="str">
        <x:v>AutoLaunchedFlow</x:v>
      </x:c>
      <x:c r="I707" s="118" t="n">
        <x:v>55</x:v>
      </x:c>
      <x:c r="J707" s="117" t="str">
        <x:v>unmanaged</x:v>
      </x:c>
      <x:c r="K707" s="123" t="b">
        <x:v>0</x:v>
      </x:c>
      <x:c r="L707" s="117"/>
      <x:c r="M707" s="118"/>
      <x:c r="N707" s="120" t="n">
        <x:v>45425.833125</x:v>
      </x:c>
      <x:c r="O707" s="117" t="str">
        <x:v>Jace Gentil</x:v>
      </x:c>
      <x:c r="P707" s="120" t="n">
        <x:v>45425.8331712963</x:v>
      </x:c>
      <x:c r="Q707" s="117" t="str">
        <x:v>Jace Gentil</x:v>
      </x:c>
      <x:c r="R707" s="117" t="str">
        <x:v>Create Project on Big Iron Purchasing Opportunity Flow</x:v>
      </x:c>
      <x:c r="S707" s="119"/>
    </x:row>
    <x:row r="708" ht="30" customHeight="1">
      <x:c r="A708" s="117" t="str">
        <x:v>Create_Project_on_Big_Iron_Purchasing_Opportunity_Flow</x:v>
      </x:c>
      <x:c r="B708" s="117" t="str">
        <x:v>3005b000000H4GSAA0</x:v>
      </x:c>
      <x:c r="C708" s="117" t="str">
        <x:v>301Ro00000JwVuyIAF</x:v>
      </x:c>
      <x:c r="D708" s="118" t="n">
        <x:v>10</x:v>
      </x:c>
      <x:c r="E708" s="117" t="str">
        <x:v>Obsolete</x:v>
      </x:c>
      <x:c r="F708" s="117" t="str">
        <x:v>No</x:v>
      </x:c>
      <x:c r="G708" s="117" t="str">
        <x:v>No</x:v>
      </x:c>
      <x:c r="H708" s="117" t="str">
        <x:v>AutoLaunchedFlow</x:v>
      </x:c>
      <x:c r="I708" s="118" t="n">
        <x:v>55</x:v>
      </x:c>
      <x:c r="J708" s="117" t="str">
        <x:v>unmanaged</x:v>
      </x:c>
      <x:c r="K708" s="123" t="b">
        <x:v>0</x:v>
      </x:c>
      <x:c r="L708" s="117"/>
      <x:c r="M708" s="118"/>
      <x:c r="N708" s="120" t="n">
        <x:v>45532.461689814816</x:v>
      </x:c>
      <x:c r="O708" s="117" t="str">
        <x:v>Jon Kean</x:v>
      </x:c>
      <x:c r="P708" s="120" t="n">
        <x:v>45532.46173611111</x:v>
      </x:c>
      <x:c r="Q708" s="117" t="str">
        <x:v>Jon Kean</x:v>
      </x:c>
      <x:c r="R708" s="117" t="str">
        <x:v>Create Project on Big Iron Purchasing Opportunity Flow</x:v>
      </x:c>
      <x:c r="S708" s="119" t="str">
        <x:v>Changed recipient email from Lewis to Sacha</x:v>
      </x:c>
    </x:row>
    <x:row r="709" ht="30" customHeight="1">
      <x:c r="A709" s="117" t="str">
        <x:v>Create_Project_on_Big_Iron_Purchasing_Opportunity_Flow</x:v>
      </x:c>
      <x:c r="B709" s="117" t="str">
        <x:v>3005b000000H4GSAA0</x:v>
      </x:c>
      <x:c r="C709" s="117" t="str">
        <x:v>301Ro00000t6iMtIAI</x:v>
      </x:c>
      <x:c r="D709" s="118" t="n">
        <x:v>11</x:v>
      </x:c>
      <x:c r="E709" s="117" t="str">
        <x:v>Active</x:v>
      </x:c>
      <x:c r="F709" s="117" t="str">
        <x:v>Yes</x:v>
      </x:c>
      <x:c r="G709" s="117" t="str">
        <x:v>Yes</x:v>
      </x:c>
      <x:c r="H709" s="117" t="str">
        <x:v>AutoLaunchedFlow</x:v>
      </x:c>
      <x:c r="I709" s="118" t="n">
        <x:v>55</x:v>
      </x:c>
      <x:c r="J709" s="117" t="str">
        <x:v>unmanaged</x:v>
      </x:c>
      <x:c r="K709" s="123" t="b">
        <x:v>0</x:v>
      </x:c>
      <x:c r="L709" s="117"/>
      <x:c r="M709" s="118"/>
      <x:c r="N709" s="120" t="n">
        <x:v>45988.394212962965</x:v>
      </x:c>
      <x:c r="O709" s="117" t="str">
        <x:v>Sacha Pearce</x:v>
      </x:c>
      <x:c r="P709" s="120" t="n">
        <x:v>45988.394270833334</x:v>
      </x:c>
      <x:c r="Q709" s="117" t="str">
        <x:v>Sacha Pearce</x:v>
      </x:c>
      <x:c r="R709" s="117" t="str">
        <x:v>Create Project on Big Iron Purchasing Opportunity Flow</x:v>
      </x:c>
      <x:c r="S709" s="119" t="str">
        <x:v>Changed recipient email from Lewis to Sacha
27/11/2025 - V11 - SP - Deleting email notification relating to Project creation as no users action it</x:v>
      </x:c>
    </x:row>
    <x:row r="710" ht="30" customHeight="1">
      <x:c r="A710" s="117" t="str">
        <x:v>Create_Project_on_Equipment_Storage_Opportunity_Creation</x:v>
      </x:c>
      <x:c r="B710" s="117" t="str">
        <x:v>300Ro00000CWp8dIAD</x:v>
      </x:c>
      <x:c r="C710" s="117" t="str">
        <x:v>301Ro00000Dh59sIAB</x:v>
      </x:c>
      <x:c r="D710" s="118" t="n">
        <x:v>1</x:v>
      </x:c>
      <x:c r="E710" s="117" t="str">
        <x:v>Active</x:v>
      </x:c>
      <x:c r="F710" s="117" t="str">
        <x:v>Yes</x:v>
      </x:c>
      <x:c r="G710" s="117" t="str">
        <x:v>Yes</x:v>
      </x:c>
      <x:c r="H710" s="117" t="str">
        <x:v>AutoLaunchedFlow</x:v>
      </x:c>
      <x:c r="I710" s="118" t="n">
        <x:v>55</x:v>
      </x:c>
      <x:c r="J710" s="117" t="str">
        <x:v>unmanaged</x:v>
      </x:c>
      <x:c r="K710" s="123" t="b">
        <x:v>0</x:v>
      </x:c>
      <x:c r="L710" s="117"/>
      <x:c r="M710" s="118"/>
      <x:c r="N710" s="120" t="n">
        <x:v>45440.749189814815</x:v>
      </x:c>
      <x:c r="O710" s="117" t="str">
        <x:v>Jace Gentil</x:v>
      </x:c>
      <x:c r="P710" s="120" t="n">
        <x:v>45440.74922453704</x:v>
      </x:c>
      <x:c r="Q710" s="117" t="str">
        <x:v>Jace Gentil</x:v>
      </x:c>
      <x:c r="R710" s="117" t="str">
        <x:v>Create Project on Equipment Storage Opportunity Creation</x:v>
      </x:c>
      <x:c r="S710" s="119"/>
    </x:row>
    <x:row r="711" ht="30" customHeight="1">
      <x:c r="A711" s="117" t="str">
        <x:v>Create_Purchasing_Opp_from_Vendor_Sourcing_Record</x:v>
      </x:c>
      <x:c r="B711" s="117" t="str">
        <x:v>3004O0000004ZtfQAE</x:v>
      </x:c>
      <x:c r="C711" s="117" t="str">
        <x:v>3014O00000053jsQAA</x:v>
      </x:c>
      <x:c r="D711" s="118" t="n">
        <x:v>1</x:v>
      </x:c>
      <x:c r="E711" s="117" t="str">
        <x:v>Obsolete</x:v>
      </x:c>
      <x:c r="F711" s="117" t="str">
        <x:v>No</x:v>
      </x:c>
      <x:c r="G711" s="117" t="str">
        <x:v>No</x:v>
      </x:c>
      <x:c r="H711" s="117" t="str">
        <x:v>Flow</x:v>
      </x:c>
      <x:c r="I711" s="118"/>
      <x:c r="J711" s="117" t="str">
        <x:v>unmanaged</x:v>
      </x:c>
      <x:c r="K711" s="123" t="b">
        <x:v>0</x:v>
      </x:c>
      <x:c r="L711" s="117"/>
      <x:c r="M711" s="118"/>
      <x:c r="N711" s="120" t="n">
        <x:v>43579.70936342593</x:v>
      </x:c>
      <x:c r="O711" s="117" t="str">
        <x:v>Jim Bartek</x:v>
      </x:c>
      <x:c r="P711" s="120" t="n">
        <x:v>43579.71090277778</x:v>
      </x:c>
      <x:c r="Q711" s="117" t="str">
        <x:v>Jim Bartek</x:v>
      </x:c>
      <x:c r="R711" s="117" t="str">
        <x:v>Create Purchasing Opp from Vendor Sourcing Record</x:v>
      </x:c>
      <x:c r="S711" s="119"/>
    </x:row>
    <x:row r="712" ht="30" customHeight="1">
      <x:c r="A712" s="117" t="str">
        <x:v>Create_Purchasing_Opp_from_Vendor_Sourcing_Record</x:v>
      </x:c>
      <x:c r="B712" s="117" t="str">
        <x:v>3004O0000004ZtfQAE</x:v>
      </x:c>
      <x:c r="C712" s="117" t="str">
        <x:v>3014O00000053kMQAQ</x:v>
      </x:c>
      <x:c r="D712" s="118" t="n">
        <x:v>2</x:v>
      </x:c>
      <x:c r="E712" s="117" t="str">
        <x:v>Obsolete</x:v>
      </x:c>
      <x:c r="F712" s="117" t="str">
        <x:v>No</x:v>
      </x:c>
      <x:c r="G712" s="117" t="str">
        <x:v>No</x:v>
      </x:c>
      <x:c r="H712" s="117" t="str">
        <x:v>Flow</x:v>
      </x:c>
      <x:c r="I712" s="118"/>
      <x:c r="J712" s="117" t="str">
        <x:v>unmanaged</x:v>
      </x:c>
      <x:c r="K712" s="123" t="b">
        <x:v>0</x:v>
      </x:c>
      <x:c r="L712" s="117"/>
      <x:c r="M712" s="118"/>
      <x:c r="N712" s="120" t="n">
        <x:v>43579.93785879629</x:v>
      </x:c>
      <x:c r="O712" s="117" t="str">
        <x:v>Jim Bartek</x:v>
      </x:c>
      <x:c r="P712" s="120" t="n">
        <x:v>43579.9453587963</x:v>
      </x:c>
      <x:c r="Q712" s="117" t="str">
        <x:v>Jim Bartek</x:v>
      </x:c>
      <x:c r="R712" s="117" t="str">
        <x:v>Create Purchasing Opp from Vendor Sourcing Record</x:v>
      </x:c>
      <x:c r="S712" s="119"/>
    </x:row>
    <x:row r="713" ht="30" customHeight="1">
      <x:c r="A713" s="117" t="str">
        <x:v>Create_Purchasing_Opp_from_Vendor_Sourcing_Record</x:v>
      </x:c>
      <x:c r="B713" s="117" t="str">
        <x:v>3004O0000004ZtfQAE</x:v>
      </x:c>
      <x:c r="C713" s="117" t="str">
        <x:v>3014O000000LuTbQAK</x:v>
      </x:c>
      <x:c r="D713" s="118" t="n">
        <x:v>3</x:v>
      </x:c>
      <x:c r="E713" s="117" t="str">
        <x:v>Active</x:v>
      </x:c>
      <x:c r="F713" s="117" t="str">
        <x:v>Yes</x:v>
      </x:c>
      <x:c r="G713" s="117" t="str">
        <x:v>Yes</x:v>
      </x:c>
      <x:c r="H713" s="117" t="str">
        <x:v>Flow</x:v>
      </x:c>
      <x:c r="I713" s="118"/>
      <x:c r="J713" s="117" t="str">
        <x:v>unmanaged</x:v>
      </x:c>
      <x:c r="K713" s="123" t="b">
        <x:v>0</x:v>
      </x:c>
      <x:c r="L713" s="117"/>
      <x:c r="M713" s="118"/>
      <x:c r="N713" s="120" t="n">
        <x:v>43581.669490740744</x:v>
      </x:c>
      <x:c r="O713" s="117" t="str">
        <x:v>Jim Bartek</x:v>
      </x:c>
      <x:c r="P713" s="120" t="n">
        <x:v>43581.69516203704</x:v>
      </x:c>
      <x:c r="Q713" s="117" t="str">
        <x:v>Jim Bartek</x:v>
      </x:c>
      <x:c r="R713" s="117" t="str">
        <x:v>Create Purchasing Opp from Vendor Sourcing Record</x:v>
      </x:c>
      <x:c r="S713" s="119" t="str">
        <x:v>added email alert</x:v>
      </x:c>
    </x:row>
    <x:row r="714" ht="30" customHeight="1">
      <x:c r="A714" s="117" t="str">
        <x:v>Create_Repair_Opportunity_from_Service_Contract_Flow</x:v>
      </x:c>
      <x:c r="B714" s="117" t="str">
        <x:v>300Ro00000BmFOEIA3</x:v>
      </x:c>
      <x:c r="C714" s="117" t="str">
        <x:v>301Ro00000CrpbuIAB</x:v>
      </x:c>
      <x:c r="D714" s="118" t="n">
        <x:v>1</x:v>
      </x:c>
      <x:c r="E714" s="117" t="str">
        <x:v>Obsolete</x:v>
      </x:c>
      <x:c r="F714" s="117" t="str">
        <x:v>No</x:v>
      </x:c>
      <x:c r="G714" s="117" t="str">
        <x:v>No</x:v>
      </x:c>
      <x:c r="H714" s="117" t="str">
        <x:v>Flow</x:v>
      </x:c>
      <x:c r="I714" s="118" t="n">
        <x:v>60</x:v>
      </x:c>
      <x:c r="J714" s="117" t="str">
        <x:v>unmanaged</x:v>
      </x:c>
      <x:c r="K714" s="123" t="b">
        <x:v>0</x:v>
      </x:c>
      <x:c r="L714" s="117" t="str">
        <x:v>SystemModeWithoutSharing</x:v>
      </x:c>
      <x:c r="M714" s="118"/>
      <x:c r="N714" s="120" t="n">
        <x:v>45427.636041666665</x:v>
      </x:c>
      <x:c r="O714" s="117" t="str">
        <x:v>Jace Gentil</x:v>
      </x:c>
      <x:c r="P714" s="120" t="n">
        <x:v>45427.64239583333</x:v>
      </x:c>
      <x:c r="Q714" s="117" t="str">
        <x:v>Jace Gentil</x:v>
      </x:c>
      <x:c r="R714" s="117" t="str">
        <x:v>Create Repair Opportunity from Service Contract Flow</x:v>
      </x:c>
      <x:c r="S714" s="119"/>
    </x:row>
    <x:row r="715" ht="30" customHeight="1">
      <x:c r="A715" s="117" t="str">
        <x:v>Create_Repair_Opportunity_from_Service_Contract_Flow</x:v>
      </x:c>
      <x:c r="B715" s="117" t="str">
        <x:v>300Ro00000BmFOEIA3</x:v>
      </x:c>
      <x:c r="C715" s="117" t="str">
        <x:v>301Ro00000Cs6zLIAR</x:v>
      </x:c>
      <x:c r="D715" s="118" t="n">
        <x:v>2</x:v>
      </x:c>
      <x:c r="E715" s="117" t="str">
        <x:v>Obsolete</x:v>
      </x:c>
      <x:c r="F715" s="117" t="str">
        <x:v>No</x:v>
      </x:c>
      <x:c r="G715" s="117" t="str">
        <x:v>No</x:v>
      </x:c>
      <x:c r="H715" s="117" t="str">
        <x:v>Flow</x:v>
      </x:c>
      <x:c r="I715" s="118" t="n">
        <x:v>60</x:v>
      </x:c>
      <x:c r="J715" s="117" t="str">
        <x:v>unmanaged</x:v>
      </x:c>
      <x:c r="K715" s="123" t="b">
        <x:v>0</x:v>
      </x:c>
      <x:c r="L715" s="117" t="str">
        <x:v>SystemModeWithoutSharing</x:v>
      </x:c>
      <x:c r="M715" s="118"/>
      <x:c r="N715" s="120" t="n">
        <x:v>45427.67579861111</x:v>
      </x:c>
      <x:c r="O715" s="117" t="str">
        <x:v>Jace Gentil</x:v>
      </x:c>
      <x:c r="P715" s="120" t="n">
        <x:v>45427.675844907404</x:v>
      </x:c>
      <x:c r="Q715" s="117" t="str">
        <x:v>Jace Gentil</x:v>
      </x:c>
      <x:c r="R715" s="117" t="str">
        <x:v>Create Repair Opportunity from Service Contract Flow</x:v>
      </x:c>
      <x:c r="S715" s="119"/>
    </x:row>
    <x:row r="716" ht="30" customHeight="1">
      <x:c r="A716" s="117" t="str">
        <x:v>Create_Repair_Opportunity_from_Service_Contract_Flow</x:v>
      </x:c>
      <x:c r="B716" s="117" t="str">
        <x:v>300Ro00000BmFOEIA3</x:v>
      </x:c>
      <x:c r="C716" s="117" t="str">
        <x:v>301Ro00000Cs6GEIAZ</x:v>
      </x:c>
      <x:c r="D716" s="118" t="n">
        <x:v>3</x:v>
      </x:c>
      <x:c r="E716" s="117" t="str">
        <x:v>Obsolete</x:v>
      </x:c>
      <x:c r="F716" s="117" t="str">
        <x:v>No</x:v>
      </x:c>
      <x:c r="G716" s="117" t="str">
        <x:v>No</x:v>
      </x:c>
      <x:c r="H716" s="117" t="str">
        <x:v>Flow</x:v>
      </x:c>
      <x:c r="I716" s="118" t="n">
        <x:v>60</x:v>
      </x:c>
      <x:c r="J716" s="117" t="str">
        <x:v>unmanaged</x:v>
      </x:c>
      <x:c r="K716" s="123" t="b">
        <x:v>0</x:v>
      </x:c>
      <x:c r="L716" s="117" t="str">
        <x:v>SystemModeWithoutSharing</x:v>
      </x:c>
      <x:c r="M716" s="118"/>
      <x:c r="N716" s="120" t="n">
        <x:v>45427.68121527778</x:v>
      </x:c>
      <x:c r="O716" s="117" t="str">
        <x:v>Jace Gentil</x:v>
      </x:c>
      <x:c r="P716" s="120" t="n">
        <x:v>45427.68126157407</x:v>
      </x:c>
      <x:c r="Q716" s="117" t="str">
        <x:v>Jace Gentil</x:v>
      </x:c>
      <x:c r="R716" s="117" t="str">
        <x:v>Create Repair Opportunity from Service Contract Flow</x:v>
      </x:c>
      <x:c r="S716" s="119"/>
    </x:row>
    <x:row r="717" ht="30" customHeight="1">
      <x:c r="A717" s="117" t="str">
        <x:v>Create_Repair_Opportunity_from_Service_Contract_Flow</x:v>
      </x:c>
      <x:c r="B717" s="117" t="str">
        <x:v>300Ro00000BmFOEIA3</x:v>
      </x:c>
      <x:c r="C717" s="117" t="str">
        <x:v>301Ro00000CsUyOIAV</x:v>
      </x:c>
      <x:c r="D717" s="118" t="n">
        <x:v>4</x:v>
      </x:c>
      <x:c r="E717" s="117" t="str">
        <x:v>Obsolete</x:v>
      </x:c>
      <x:c r="F717" s="117" t="str">
        <x:v>No</x:v>
      </x:c>
      <x:c r="G717" s="117" t="str">
        <x:v>No</x:v>
      </x:c>
      <x:c r="H717" s="117" t="str">
        <x:v>Flow</x:v>
      </x:c>
      <x:c r="I717" s="118" t="n">
        <x:v>60</x:v>
      </x:c>
      <x:c r="J717" s="117" t="str">
        <x:v>unmanaged</x:v>
      </x:c>
      <x:c r="K717" s="123" t="b">
        <x:v>0</x:v>
      </x:c>
      <x:c r="L717" s="117" t="str">
        <x:v>SystemModeWithoutSharing</x:v>
      </x:c>
      <x:c r="M717" s="118"/>
      <x:c r="N717" s="120" t="n">
        <x:v>45427.68387731481</x:v>
      </x:c>
      <x:c r="O717" s="117" t="str">
        <x:v>Jace Gentil</x:v>
      </x:c>
      <x:c r="P717" s="120" t="n">
        <x:v>45427.68392361111</x:v>
      </x:c>
      <x:c r="Q717" s="117" t="str">
        <x:v>Jace Gentil</x:v>
      </x:c>
      <x:c r="R717" s="117" t="str">
        <x:v>Create Repair Opportunity from Service Contract Flow</x:v>
      </x:c>
      <x:c r="S717" s="119"/>
    </x:row>
    <x:row r="718" ht="30" customHeight="1">
      <x:c r="A718" s="117" t="str">
        <x:v>Create_Repair_Opportunity_from_Service_Contract_Flow</x:v>
      </x:c>
      <x:c r="B718" s="117" t="str">
        <x:v>300Ro00000BmFOEIA3</x:v>
      </x:c>
      <x:c r="C718" s="117" t="str">
        <x:v>301Ro00000CsmSAIAZ</x:v>
      </x:c>
      <x:c r="D718" s="118" t="n">
        <x:v>5</x:v>
      </x:c>
      <x:c r="E718" s="117" t="str">
        <x:v>Obsolete</x:v>
      </x:c>
      <x:c r="F718" s="117" t="str">
        <x:v>No</x:v>
      </x:c>
      <x:c r="G718" s="117" t="str">
        <x:v>No</x:v>
      </x:c>
      <x:c r="H718" s="117" t="str">
        <x:v>Flow</x:v>
      </x:c>
      <x:c r="I718" s="118" t="n">
        <x:v>60</x:v>
      </x:c>
      <x:c r="J718" s="117" t="str">
        <x:v>unmanaged</x:v>
      </x:c>
      <x:c r="K718" s="123" t="b">
        <x:v>0</x:v>
      </x:c>
      <x:c r="L718" s="117" t="str">
        <x:v>SystemModeWithoutSharing</x:v>
      </x:c>
      <x:c r="M718" s="118"/>
      <x:c r="N718" s="120" t="n">
        <x:v>45427.69768518519</x:v>
      </x:c>
      <x:c r="O718" s="117" t="str">
        <x:v>Jace Gentil</x:v>
      </x:c>
      <x:c r="P718" s="120" t="n">
        <x:v>45427.697743055556</x:v>
      </x:c>
      <x:c r="Q718" s="117" t="str">
        <x:v>Jace Gentil</x:v>
      </x:c>
      <x:c r="R718" s="117" t="str">
        <x:v>Create Repair Opportunity from Service Contract Flow</x:v>
      </x:c>
      <x:c r="S718" s="119"/>
    </x:row>
    <x:row r="719" ht="30" customHeight="1">
      <x:c r="A719" s="117" t="str">
        <x:v>Create_Repair_Opportunity_from_Service_Contract_Flow</x:v>
      </x:c>
      <x:c r="B719" s="117" t="str">
        <x:v>300Ro00000BmFOEIA3</x:v>
      </x:c>
      <x:c r="C719" s="117" t="str">
        <x:v>301Ro00000CsWqZIAV</x:v>
      </x:c>
      <x:c r="D719" s="118" t="n">
        <x:v>6</x:v>
      </x:c>
      <x:c r="E719" s="117" t="str">
        <x:v>Obsolete</x:v>
      </x:c>
      <x:c r="F719" s="117" t="str">
        <x:v>No</x:v>
      </x:c>
      <x:c r="G719" s="117" t="str">
        <x:v>No</x:v>
      </x:c>
      <x:c r="H719" s="117" t="str">
        <x:v>Flow</x:v>
      </x:c>
      <x:c r="I719" s="118" t="n">
        <x:v>60</x:v>
      </x:c>
      <x:c r="J719" s="117" t="str">
        <x:v>unmanaged</x:v>
      </x:c>
      <x:c r="K719" s="123" t="b">
        <x:v>0</x:v>
      </x:c>
      <x:c r="L719" s="117" t="str">
        <x:v>SystemModeWithoutSharing</x:v>
      </x:c>
      <x:c r="M719" s="118"/>
      <x:c r="N719" s="120" t="n">
        <x:v>45427.69865740741</x:v>
      </x:c>
      <x:c r="O719" s="117" t="str">
        <x:v>Jace Gentil</x:v>
      </x:c>
      <x:c r="P719" s="120" t="n">
        <x:v>45427.69872685185</x:v>
      </x:c>
      <x:c r="Q719" s="117" t="str">
        <x:v>Jace Gentil</x:v>
      </x:c>
      <x:c r="R719" s="117" t="str">
        <x:v>Create Repair Opportunity from Service Contract Flow</x:v>
      </x:c>
      <x:c r="S719" s="119"/>
    </x:row>
    <x:row r="720" ht="30" customHeight="1">
      <x:c r="A720" s="117" t="str">
        <x:v>Create_Repair_Opportunity_from_Service_Contract_Flow</x:v>
      </x:c>
      <x:c r="B720" s="117" t="str">
        <x:v>300Ro00000BmFOEIA3</x:v>
      </x:c>
      <x:c r="C720" s="117" t="str">
        <x:v>301Ro00000CtSnxIAF</x:v>
      </x:c>
      <x:c r="D720" s="118" t="n">
        <x:v>7</x:v>
      </x:c>
      <x:c r="E720" s="117" t="str">
        <x:v>Obsolete</x:v>
      </x:c>
      <x:c r="F720" s="117" t="str">
        <x:v>No</x:v>
      </x:c>
      <x:c r="G720" s="117" t="str">
        <x:v>No</x:v>
      </x:c>
      <x:c r="H720" s="117" t="str">
        <x:v>Flow</x:v>
      </x:c>
      <x:c r="I720" s="118" t="n">
        <x:v>60</x:v>
      </x:c>
      <x:c r="J720" s="117" t="str">
        <x:v>unmanaged</x:v>
      </x:c>
      <x:c r="K720" s="123" t="b">
        <x:v>0</x:v>
      </x:c>
      <x:c r="L720" s="117" t="str">
        <x:v>SystemModeWithoutSharing</x:v>
      </x:c>
      <x:c r="M720" s="118"/>
      <x:c r="N720" s="120" t="n">
        <x:v>45427.77804398148</x:v>
      </x:c>
      <x:c r="O720" s="117" t="str">
        <x:v>Jace Gentil</x:v>
      </x:c>
      <x:c r="P720" s="120" t="n">
        <x:v>45427.77809027778</x:v>
      </x:c>
      <x:c r="Q720" s="117" t="str">
        <x:v>Jace Gentil</x:v>
      </x:c>
      <x:c r="R720" s="117" t="str">
        <x:v>Create Repair Opportunity from Service Contract Flow</x:v>
      </x:c>
      <x:c r="S720" s="119"/>
    </x:row>
    <x:row r="721" ht="30" customHeight="1">
      <x:c r="A721" s="117" t="str">
        <x:v>Create_Repair_Opportunity_from_Service_Contract_Flow</x:v>
      </x:c>
      <x:c r="B721" s="117" t="str">
        <x:v>300Ro00000BmFOEIA3</x:v>
      </x:c>
      <x:c r="C721" s="117" t="str">
        <x:v>301Ro00000Ct2s9IAB</x:v>
      </x:c>
      <x:c r="D721" s="118" t="n">
        <x:v>8</x:v>
      </x:c>
      <x:c r="E721" s="117" t="str">
        <x:v>Obsolete</x:v>
      </x:c>
      <x:c r="F721" s="117" t="str">
        <x:v>No</x:v>
      </x:c>
      <x:c r="G721" s="117" t="str">
        <x:v>No</x:v>
      </x:c>
      <x:c r="H721" s="117" t="str">
        <x:v>Flow</x:v>
      </x:c>
      <x:c r="I721" s="118" t="n">
        <x:v>60</x:v>
      </x:c>
      <x:c r="J721" s="117" t="str">
        <x:v>unmanaged</x:v>
      </x:c>
      <x:c r="K721" s="123" t="b">
        <x:v>0</x:v>
      </x:c>
      <x:c r="L721" s="117" t="str">
        <x:v>SystemModeWithoutSharing</x:v>
      </x:c>
      <x:c r="M721" s="118"/>
      <x:c r="N721" s="120" t="n">
        <x:v>45427.77820601852</x:v>
      </x:c>
      <x:c r="O721" s="117" t="str">
        <x:v>Jace Gentil</x:v>
      </x:c>
      <x:c r="P721" s="120" t="n">
        <x:v>45427.77825231481</x:v>
      </x:c>
      <x:c r="Q721" s="117" t="str">
        <x:v>Jace Gentil</x:v>
      </x:c>
      <x:c r="R721" s="117" t="str">
        <x:v>Create Repair Opportunity from Service Contract Flow</x:v>
      </x:c>
      <x:c r="S721" s="119"/>
    </x:row>
    <x:row r="722" ht="30" customHeight="1">
      <x:c r="A722" s="117" t="str">
        <x:v>Create_Repair_Opportunity_from_Service_Contract_Flow</x:v>
      </x:c>
      <x:c r="B722" s="117" t="str">
        <x:v>300Ro00000BmFOEIA3</x:v>
      </x:c>
      <x:c r="C722" s="117" t="str">
        <x:v>301Ro00000DpqUwIAJ</x:v>
      </x:c>
      <x:c r="D722" s="118" t="n">
        <x:v>9</x:v>
      </x:c>
      <x:c r="E722" s="117" t="str">
        <x:v>Obsolete</x:v>
      </x:c>
      <x:c r="F722" s="117" t="str">
        <x:v>No</x:v>
      </x:c>
      <x:c r="G722" s="117" t="str">
        <x:v>No</x:v>
      </x:c>
      <x:c r="H722" s="117" t="str">
        <x:v>Flow</x:v>
      </x:c>
      <x:c r="I722" s="118" t="n">
        <x:v>60</x:v>
      </x:c>
      <x:c r="J722" s="117" t="str">
        <x:v>unmanaged</x:v>
      </x:c>
      <x:c r="K722" s="123" t="b">
        <x:v>0</x:v>
      </x:c>
      <x:c r="L722" s="117" t="str">
        <x:v>SystemModeWithoutSharing</x:v>
      </x:c>
      <x:c r="M722" s="118"/>
      <x:c r="N722" s="120" t="n">
        <x:v>45442.6306712963</x:v>
      </x:c>
      <x:c r="O722" s="117" t="str">
        <x:v>Jace Gentil</x:v>
      </x:c>
      <x:c r="P722" s="120" t="n">
        <x:v>45442.63144675926</x:v>
      </x:c>
      <x:c r="Q722" s="117" t="str">
        <x:v>Jace Gentil</x:v>
      </x:c>
      <x:c r="R722" s="117" t="str">
        <x:v>Create Repair Opportunity from Service Contract Flow</x:v>
      </x:c>
      <x:c r="S722" s="119"/>
    </x:row>
    <x:row r="723" ht="30" customHeight="1">
      <x:c r="A723" s="117" t="str">
        <x:v>Create_Repair_Opportunity_from_Service_Contract_Flow</x:v>
      </x:c>
      <x:c r="B723" s="117" t="str">
        <x:v>300Ro00000BmFOEIA3</x:v>
      </x:c>
      <x:c r="C723" s="117" t="str">
        <x:v>301Ro00000EHw7hIAD</x:v>
      </x:c>
      <x:c r="D723" s="118" t="n">
        <x:v>10</x:v>
      </x:c>
      <x:c r="E723" s="117" t="str">
        <x:v>Active</x:v>
      </x:c>
      <x:c r="F723" s="117" t="str">
        <x:v>Yes</x:v>
      </x:c>
      <x:c r="G723" s="117" t="str">
        <x:v>Yes</x:v>
      </x:c>
      <x:c r="H723" s="117" t="str">
        <x:v>Flow</x:v>
      </x:c>
      <x:c r="I723" s="118" t="n">
        <x:v>60</x:v>
      </x:c>
      <x:c r="J723" s="117" t="str">
        <x:v>unmanaged</x:v>
      </x:c>
      <x:c r="K723" s="123" t="b">
        <x:v>0</x:v>
      </x:c>
      <x:c r="L723" s="117" t="str">
        <x:v>SystemModeWithoutSharing</x:v>
      </x:c>
      <x:c r="M723" s="118"/>
      <x:c r="N723" s="120" t="n">
        <x:v>45449.64215277778</x:v>
      </x:c>
      <x:c r="O723" s="117" t="str">
        <x:v>Jace Gentil</x:v>
      </x:c>
      <x:c r="P723" s="120" t="n">
        <x:v>45449.642233796294</x:v>
      </x:c>
      <x:c r="Q723" s="117" t="str">
        <x:v>Jace Gentil</x:v>
      </x:c>
      <x:c r="R723" s="117" t="str">
        <x:v>Create Repair Opportunity from Service Contract Flow</x:v>
      </x:c>
      <x:c r="S723" s="119"/>
    </x:row>
    <x:row r="724" ht="30" customHeight="1">
      <x:c r="A724" s="117" t="str">
        <x:v>Create_Restock_Fee_Opportunity_Screen_Flow</x:v>
      </x:c>
      <x:c r="B724" s="117" t="str">
        <x:v>300Ro00000LVet7IAD</x:v>
      </x:c>
      <x:c r="C724" s="117" t="str">
        <x:v>301Ro00000NeprlIAB</x:v>
      </x:c>
      <x:c r="D724" s="118" t="n">
        <x:v>1</x:v>
      </x:c>
      <x:c r="E724" s="117" t="str">
        <x:v>Obsolete</x:v>
      </x:c>
      <x:c r="F724" s="117" t="str">
        <x:v>No</x:v>
      </x:c>
      <x:c r="G724" s="117" t="str">
        <x:v>No</x:v>
      </x:c>
      <x:c r="H724" s="117" t="str">
        <x:v>Flow</x:v>
      </x:c>
      <x:c r="I724" s="118" t="n">
        <x:v>58</x:v>
      </x:c>
      <x:c r="J724" s="117" t="str">
        <x:v>unmanaged</x:v>
      </x:c>
      <x:c r="K724" s="123" t="b">
        <x:v>0</x:v>
      </x:c>
      <x:c r="L724" s="117"/>
      <x:c r="M724" s="118"/>
      <x:c r="N724" s="120" t="n">
        <x:v>45592.9940625</x:v>
      </x:c>
      <x:c r="O724" s="117" t="str">
        <x:v>Jace Gentil</x:v>
      </x:c>
      <x:c r="P724" s="120" t="n">
        <x:v>45592.99422453704</x:v>
      </x:c>
      <x:c r="Q724" s="117" t="str">
        <x:v>Jace Gentil</x:v>
      </x:c>
      <x:c r="R724" s="117" t="str">
        <x:v>Create Restock Fee Opportunity Screen Flow</x:v>
      </x:c>
      <x:c r="S724" s="119"/>
    </x:row>
    <x:row r="725" ht="30" customHeight="1">
      <x:c r="A725" s="117" t="str">
        <x:v>Create_Restock_Fee_Opportunity_Screen_Flow</x:v>
      </x:c>
      <x:c r="B725" s="117" t="str">
        <x:v>300Ro00000LVet7IAD</x:v>
      </x:c>
      <x:c r="C725" s="117" t="str">
        <x:v>301Ro00000TQbRbIAL</x:v>
      </x:c>
      <x:c r="D725" s="118" t="n">
        <x:v>2</x:v>
      </x:c>
      <x:c r="E725" s="117" t="str">
        <x:v>Active</x:v>
      </x:c>
      <x:c r="F725" s="117" t="str">
        <x:v>Yes</x:v>
      </x:c>
      <x:c r="G725" s="117" t="str">
        <x:v>Yes</x:v>
      </x:c>
      <x:c r="H725" s="117" t="str">
        <x:v>Flow</x:v>
      </x:c>
      <x:c r="I725" s="118" t="n">
        <x:v>58</x:v>
      </x:c>
      <x:c r="J725" s="117" t="str">
        <x:v>unmanaged</x:v>
      </x:c>
      <x:c r="K725" s="123" t="b">
        <x:v>0</x:v>
      </x:c>
      <x:c r="L725" s="117"/>
      <x:c r="M725" s="118"/>
      <x:c r="N725" s="120" t="n">
        <x:v>45693.810902777775</x:v>
      </x:c>
      <x:c r="O725" s="117" t="str">
        <x:v>Jace Gentil</x:v>
      </x:c>
      <x:c r="P725" s="120" t="n">
        <x:v>45693.811064814814</x:v>
      </x:c>
      <x:c r="Q725" s="117" t="str">
        <x:v>Jace Gentil</x:v>
      </x:c>
      <x:c r="R725" s="117" t="str">
        <x:v>Create Restock Fee Opportunity Screen Flow</x:v>
      </x:c>
      <x:c r="S725" s="119"/>
    </x:row>
    <x:row r="726" ht="30" customHeight="1">
      <x:c r="A726" s="117" t="str">
        <x:v>Create_Return_Op_from_Purchasing_Op</x:v>
      </x:c>
      <x:c r="B726" s="117" t="str">
        <x:v>3005b000000PzFtAAK</x:v>
      </x:c>
      <x:c r="C726" s="117" t="str">
        <x:v>3015b000000W1ZqAAK</x:v>
      </x:c>
      <x:c r="D726" s="118" t="n">
        <x:v>1</x:v>
      </x:c>
      <x:c r="E726" s="117" t="str">
        <x:v>Obsolete</x:v>
      </x:c>
      <x:c r="F726" s="117" t="str">
        <x:v>No</x:v>
      </x:c>
      <x:c r="G726" s="117" t="str">
        <x:v>No</x:v>
      </x:c>
      <x:c r="H726" s="117" t="str">
        <x:v>Flow</x:v>
      </x:c>
      <x:c r="I726" s="118" t="n">
        <x:v>56</x:v>
      </x:c>
      <x:c r="J726" s="117" t="str">
        <x:v>unmanaged</x:v>
      </x:c>
      <x:c r="K726" s="123" t="b">
        <x:v>0</x:v>
      </x:c>
      <x:c r="L726" s="117"/>
      <x:c r="M726" s="118"/>
      <x:c r="N726" s="120" t="n">
        <x:v>45028.878020833334</x:v>
      </x:c>
      <x:c r="O726" s="117" t="str">
        <x:v>Jace Gentil</x:v>
      </x:c>
      <x:c r="P726" s="120" t="n">
        <x:v>45029.55311342593</x:v>
      </x:c>
      <x:c r="Q726" s="117" t="str">
        <x:v>Jace Gentil</x:v>
      </x:c>
      <x:c r="R726" s="117" t="str">
        <x:v>Create Return Op from Purchasing Op</x:v>
      </x:c>
      <x:c r="S726" s="119"/>
    </x:row>
    <x:row r="727" ht="30" customHeight="1">
      <x:c r="A727" s="117" t="str">
        <x:v>Create_Return_Op_from_Purchasing_Op</x:v>
      </x:c>
      <x:c r="B727" s="117" t="str">
        <x:v>3005b000000PzFtAAK</x:v>
      </x:c>
      <x:c r="C727" s="117" t="str">
        <x:v>3015b000000W1bIAAS</x:v>
      </x:c>
      <x:c r="D727" s="118" t="n">
        <x:v>2</x:v>
      </x:c>
      <x:c r="E727" s="117" t="str">
        <x:v>Obsolete</x:v>
      </x:c>
      <x:c r="F727" s="117" t="str">
        <x:v>No</x:v>
      </x:c>
      <x:c r="G727" s="117" t="str">
        <x:v>No</x:v>
      </x:c>
      <x:c r="H727" s="117" t="str">
        <x:v>Flow</x:v>
      </x:c>
      <x:c r="I727" s="118" t="n">
        <x:v>56</x:v>
      </x:c>
      <x:c r="J727" s="117" t="str">
        <x:v>unmanaged</x:v>
      </x:c>
      <x:c r="K727" s="123" t="b">
        <x:v>0</x:v>
      </x:c>
      <x:c r="L727" s="117"/>
      <x:c r="M727" s="118"/>
      <x:c r="N727" s="120" t="n">
        <x:v>45029.556226851855</x:v>
      </x:c>
      <x:c r="O727" s="117" t="str">
        <x:v>Jace Gentil</x:v>
      </x:c>
      <x:c r="P727" s="120" t="n">
        <x:v>45029.556296296294</x:v>
      </x:c>
      <x:c r="Q727" s="117" t="str">
        <x:v>Jace Gentil</x:v>
      </x:c>
      <x:c r="R727" s="117" t="str">
        <x:v>Create Return Op from Purchasing Op</x:v>
      </x:c>
      <x:c r="S727" s="119"/>
    </x:row>
    <x:row r="728" ht="30" customHeight="1">
      <x:c r="A728" s="117" t="str">
        <x:v>Create_Return_Op_from_Purchasing_Op</x:v>
      </x:c>
      <x:c r="B728" s="117" t="str">
        <x:v>3005b000000PzFtAAK</x:v>
      </x:c>
      <x:c r="C728" s="117" t="str">
        <x:v>3015b000000W1bNAAS</x:v>
      </x:c>
      <x:c r="D728" s="118" t="n">
        <x:v>3</x:v>
      </x:c>
      <x:c r="E728" s="117" t="str">
        <x:v>Draft</x:v>
      </x:c>
      <x:c r="F728" s="117" t="str">
        <x:v>No</x:v>
      </x:c>
      <x:c r="G728" s="117" t="str">
        <x:v>No</x:v>
      </x:c>
      <x:c r="H728" s="117" t="str">
        <x:v>Flow</x:v>
      </x:c>
      <x:c r="I728" s="118" t="n">
        <x:v>56</x:v>
      </x:c>
      <x:c r="J728" s="117" t="str">
        <x:v>unmanaged</x:v>
      </x:c>
      <x:c r="K728" s="123" t="b">
        <x:v>0</x:v>
      </x:c>
      <x:c r="L728" s="117"/>
      <x:c r="M728" s="118"/>
      <x:c r="N728" s="120" t="n">
        <x:v>45029.55704861111</x:v>
      </x:c>
      <x:c r="O728" s="117" t="str">
        <x:v>Jace Gentil</x:v>
      </x:c>
      <x:c r="P728" s="120" t="n">
        <x:v>45029.55706018519</x:v>
      </x:c>
      <x:c r="Q728" s="117" t="str">
        <x:v>Jace Gentil</x:v>
      </x:c>
      <x:c r="R728" s="117" t="str">
        <x:v>Create Return Op from Purchasing Op</x:v>
      </x:c>
      <x:c r="S728" s="119"/>
    </x:row>
    <x:row r="729" ht="30" customHeight="1">
      <x:c r="A729" s="117" t="str">
        <x:v>Create_Return_Op_from_Purchasing_Op</x:v>
      </x:c>
      <x:c r="B729" s="117" t="str">
        <x:v>3005b000000PzFtAAK</x:v>
      </x:c>
      <x:c r="C729" s="117" t="str">
        <x:v>3015b000000W1bSAAS</x:v>
      </x:c>
      <x:c r="D729" s="118" t="n">
        <x:v>4</x:v>
      </x:c>
      <x:c r="E729" s="117" t="str">
        <x:v>Obsolete</x:v>
      </x:c>
      <x:c r="F729" s="117" t="str">
        <x:v>No</x:v>
      </x:c>
      <x:c r="G729" s="117" t="str">
        <x:v>No</x:v>
      </x:c>
      <x:c r="H729" s="117" t="str">
        <x:v>Flow</x:v>
      </x:c>
      <x:c r="I729" s="118" t="n">
        <x:v>56</x:v>
      </x:c>
      <x:c r="J729" s="117" t="str">
        <x:v>unmanaged</x:v>
      </x:c>
      <x:c r="K729" s="123" t="b">
        <x:v>0</x:v>
      </x:c>
      <x:c r="L729" s="117"/>
      <x:c r="M729" s="118"/>
      <x:c r="N729" s="120" t="n">
        <x:v>45029.55740740741</x:v>
      </x:c>
      <x:c r="O729" s="117" t="str">
        <x:v>Jace Gentil</x:v>
      </x:c>
      <x:c r="P729" s="120" t="n">
        <x:v>45029.55746527778</x:v>
      </x:c>
      <x:c r="Q729" s="117" t="str">
        <x:v>Jace Gentil</x:v>
      </x:c>
      <x:c r="R729" s="117" t="str">
        <x:v>Create Return Op from Purchasing Op</x:v>
      </x:c>
      <x:c r="S729" s="119"/>
    </x:row>
    <x:row r="730" ht="30" customHeight="1">
      <x:c r="A730" s="117" t="str">
        <x:v>Create_Return_Op_from_Purchasing_Op</x:v>
      </x:c>
      <x:c r="B730" s="117" t="str">
        <x:v>3005b000000PzFtAAK</x:v>
      </x:c>
      <x:c r="C730" s="117" t="str">
        <x:v>3015b000000W1bXAAS</x:v>
      </x:c>
      <x:c r="D730" s="118" t="n">
        <x:v>5</x:v>
      </x:c>
      <x:c r="E730" s="117" t="str">
        <x:v>Obsolete</x:v>
      </x:c>
      <x:c r="F730" s="117" t="str">
        <x:v>No</x:v>
      </x:c>
      <x:c r="G730" s="117" t="str">
        <x:v>No</x:v>
      </x:c>
      <x:c r="H730" s="117" t="str">
        <x:v>Flow</x:v>
      </x:c>
      <x:c r="I730" s="118" t="n">
        <x:v>56</x:v>
      </x:c>
      <x:c r="J730" s="117" t="str">
        <x:v>unmanaged</x:v>
      </x:c>
      <x:c r="K730" s="123" t="b">
        <x:v>0</x:v>
      </x:c>
      <x:c r="L730" s="117"/>
      <x:c r="M730" s="118"/>
      <x:c r="N730" s="120" t="n">
        <x:v>45029.56212962963</x:v>
      </x:c>
      <x:c r="O730" s="117" t="str">
        <x:v>Jace Gentil</x:v>
      </x:c>
      <x:c r="P730" s="120" t="n">
        <x:v>45029.5621875</x:v>
      </x:c>
      <x:c r="Q730" s="117" t="str">
        <x:v>Jace Gentil</x:v>
      </x:c>
      <x:c r="R730" s="117" t="str">
        <x:v>Create Return Op from Purchasing Op</x:v>
      </x:c>
      <x:c r="S730" s="119"/>
    </x:row>
    <x:row r="731" ht="30" customHeight="1">
      <x:c r="A731" s="117" t="str">
        <x:v>Create_Return_Op_from_Purchasing_Op</x:v>
      </x:c>
      <x:c r="B731" s="117" t="str">
        <x:v>3005b000000PzFtAAK</x:v>
      </x:c>
      <x:c r="C731" s="117" t="str">
        <x:v>3015b000000W1brAAC</x:v>
      </x:c>
      <x:c r="D731" s="118" t="n">
        <x:v>6</x:v>
      </x:c>
      <x:c r="E731" s="117" t="str">
        <x:v>Obsolete</x:v>
      </x:c>
      <x:c r="F731" s="117" t="str">
        <x:v>No</x:v>
      </x:c>
      <x:c r="G731" s="117" t="str">
        <x:v>No</x:v>
      </x:c>
      <x:c r="H731" s="117" t="str">
        <x:v>Flow</x:v>
      </x:c>
      <x:c r="I731" s="118" t="n">
        <x:v>56</x:v>
      </x:c>
      <x:c r="J731" s="117" t="str">
        <x:v>unmanaged</x:v>
      </x:c>
      <x:c r="K731" s="123" t="b">
        <x:v>0</x:v>
      </x:c>
      <x:c r="L731" s="117"/>
      <x:c r="M731" s="118"/>
      <x:c r="N731" s="120" t="n">
        <x:v>45029.58091435185</x:v>
      </x:c>
      <x:c r="O731" s="117" t="str">
        <x:v>Jace Gentil</x:v>
      </x:c>
      <x:c r="P731" s="120" t="n">
        <x:v>45029.580972222226</x:v>
      </x:c>
      <x:c r="Q731" s="117" t="str">
        <x:v>Jace Gentil</x:v>
      </x:c>
      <x:c r="R731" s="117" t="str">
        <x:v>Create Return Op from Purchasing Op</x:v>
      </x:c>
      <x:c r="S731" s="119"/>
    </x:row>
    <x:row r="732" ht="30" customHeight="1">
      <x:c r="A732" s="117" t="str">
        <x:v>Create_Return_Op_from_Purchasing_Op</x:v>
      </x:c>
      <x:c r="B732" s="117" t="str">
        <x:v>3005b000000PzFtAAK</x:v>
      </x:c>
      <x:c r="C732" s="117" t="str">
        <x:v>3015b000000W1bwAAC</x:v>
      </x:c>
      <x:c r="D732" s="118" t="n">
        <x:v>7</x:v>
      </x:c>
      <x:c r="E732" s="117" t="str">
        <x:v>Obsolete</x:v>
      </x:c>
      <x:c r="F732" s="117" t="str">
        <x:v>No</x:v>
      </x:c>
      <x:c r="G732" s="117" t="str">
        <x:v>No</x:v>
      </x:c>
      <x:c r="H732" s="117" t="str">
        <x:v>Flow</x:v>
      </x:c>
      <x:c r="I732" s="118" t="n">
        <x:v>56</x:v>
      </x:c>
      <x:c r="J732" s="117" t="str">
        <x:v>unmanaged</x:v>
      </x:c>
      <x:c r="K732" s="123" t="b">
        <x:v>0</x:v>
      </x:c>
      <x:c r="L732" s="117"/>
      <x:c r="M732" s="118"/>
      <x:c r="N732" s="120" t="n">
        <x:v>45029.59175925926</x:v>
      </x:c>
      <x:c r="O732" s="117" t="str">
        <x:v>Jace Gentil</x:v>
      </x:c>
      <x:c r="P732" s="120" t="n">
        <x:v>45029.59181712963</x:v>
      </x:c>
      <x:c r="Q732" s="117" t="str">
        <x:v>Jace Gentil</x:v>
      </x:c>
      <x:c r="R732" s="117" t="str">
        <x:v>Create Return Op from Purchasing Op</x:v>
      </x:c>
      <x:c r="S732" s="119"/>
    </x:row>
    <x:row r="733" ht="30" customHeight="1">
      <x:c r="A733" s="117" t="str">
        <x:v>Create_Return_Op_from_Purchasing_Op</x:v>
      </x:c>
      <x:c r="B733" s="117" t="str">
        <x:v>3005b000000PzFtAAK</x:v>
      </x:c>
      <x:c r="C733" s="117" t="str">
        <x:v>3015b000000W1c1AAC</x:v>
      </x:c>
      <x:c r="D733" s="118" t="n">
        <x:v>8</x:v>
      </x:c>
      <x:c r="E733" s="117" t="str">
        <x:v>Obsolete</x:v>
      </x:c>
      <x:c r="F733" s="117" t="str">
        <x:v>No</x:v>
      </x:c>
      <x:c r="G733" s="117" t="str">
        <x:v>No</x:v>
      </x:c>
      <x:c r="H733" s="117" t="str">
        <x:v>Flow</x:v>
      </x:c>
      <x:c r="I733" s="118" t="n">
        <x:v>56</x:v>
      </x:c>
      <x:c r="J733" s="117" t="str">
        <x:v>unmanaged</x:v>
      </x:c>
      <x:c r="K733" s="123" t="b">
        <x:v>0</x:v>
      </x:c>
      <x:c r="L733" s="117"/>
      <x:c r="M733" s="118"/>
      <x:c r="N733" s="120" t="n">
        <x:v>45029.602175925924</x:v>
      </x:c>
      <x:c r="O733" s="117" t="str">
        <x:v>Jace Gentil</x:v>
      </x:c>
      <x:c r="P733" s="120" t="n">
        <x:v>45029.60223379629</x:v>
      </x:c>
      <x:c r="Q733" s="117" t="str">
        <x:v>Jace Gentil</x:v>
      </x:c>
      <x:c r="R733" s="117" t="str">
        <x:v>Create Return Op from Purchasing Op</x:v>
      </x:c>
      <x:c r="S733" s="119"/>
    </x:row>
    <x:row r="734" ht="30" customHeight="1">
      <x:c r="A734" s="117" t="str">
        <x:v>Create_Return_Op_from_Purchasing_Op</x:v>
      </x:c>
      <x:c r="B734" s="117" t="str">
        <x:v>3005b000000PzFtAAK</x:v>
      </x:c>
      <x:c r="C734" s="117" t="str">
        <x:v>3015b000000W1omAAC</x:v>
      </x:c>
      <x:c r="D734" s="118" t="n">
        <x:v>9</x:v>
      </x:c>
      <x:c r="E734" s="117" t="str">
        <x:v>Obsolete</x:v>
      </x:c>
      <x:c r="F734" s="117" t="str">
        <x:v>No</x:v>
      </x:c>
      <x:c r="G734" s="117" t="str">
        <x:v>No</x:v>
      </x:c>
      <x:c r="H734" s="117" t="str">
        <x:v>Flow</x:v>
      </x:c>
      <x:c r="I734" s="118" t="n">
        <x:v>56</x:v>
      </x:c>
      <x:c r="J734" s="117" t="str">
        <x:v>unmanaged</x:v>
      </x:c>
      <x:c r="K734" s="123" t="b">
        <x:v>0</x:v>
      </x:c>
      <x:c r="L734" s="117"/>
      <x:c r="M734" s="118"/>
      <x:c r="N734" s="120" t="n">
        <x:v>45035.82613425926</x:v>
      </x:c>
      <x:c r="O734" s="117" t="str">
        <x:v>Jace Gentil</x:v>
      </x:c>
      <x:c r="P734" s="120" t="n">
        <x:v>45035.82619212963</x:v>
      </x:c>
      <x:c r="Q734" s="117" t="str">
        <x:v>Jace Gentil</x:v>
      </x:c>
      <x:c r="R734" s="117" t="str">
        <x:v>Create Return Op from Purchasing Op</x:v>
      </x:c>
      <x:c r="S734" s="119"/>
    </x:row>
    <x:row r="735" ht="30" customHeight="1">
      <x:c r="A735" s="117" t="str">
        <x:v>Create_Return_Op_from_Purchasing_Op</x:v>
      </x:c>
      <x:c r="B735" s="117" t="str">
        <x:v>3005b000000PzFtAAK</x:v>
      </x:c>
      <x:c r="C735" s="117" t="str">
        <x:v>3015b000000AOBxAAO</x:v>
      </x:c>
      <x:c r="D735" s="118" t="n">
        <x:v>10</x:v>
      </x:c>
      <x:c r="E735" s="117" t="str">
        <x:v>Obsolete</x:v>
      </x:c>
      <x:c r="F735" s="117" t="str">
        <x:v>No</x:v>
      </x:c>
      <x:c r="G735" s="117" t="str">
        <x:v>No</x:v>
      </x:c>
      <x:c r="H735" s="117" t="str">
        <x:v>Flow</x:v>
      </x:c>
      <x:c r="I735" s="118" t="n">
        <x:v>56</x:v>
      </x:c>
      <x:c r="J735" s="117" t="str">
        <x:v>unmanaged</x:v>
      </x:c>
      <x:c r="K735" s="123" t="b">
        <x:v>0</x:v>
      </x:c>
      <x:c r="L735" s="117"/>
      <x:c r="M735" s="118"/>
      <x:c r="N735" s="120" t="n">
        <x:v>45124.69393518518</x:v>
      </x:c>
      <x:c r="O735" s="117" t="str">
        <x:v>Jace Gentil</x:v>
      </x:c>
      <x:c r="P735" s="120" t="n">
        <x:v>45124.69400462963</x:v>
      </x:c>
      <x:c r="Q735" s="117" t="str">
        <x:v>Jace Gentil</x:v>
      </x:c>
      <x:c r="R735" s="117" t="str">
        <x:v>Create Return Op from Purchasing Op</x:v>
      </x:c>
      <x:c r="S735" s="119"/>
    </x:row>
    <x:row r="736" ht="30" customHeight="1">
      <x:c r="A736" s="117" t="str">
        <x:v>Create_Return_Op_from_Purchasing_Op</x:v>
      </x:c>
      <x:c r="B736" s="117" t="str">
        <x:v>3005b000000PzFtAAK</x:v>
      </x:c>
      <x:c r="C736" s="117" t="str">
        <x:v>3015b000000AOC2AAO</x:v>
      </x:c>
      <x:c r="D736" s="118" t="n">
        <x:v>11</x:v>
      </x:c>
      <x:c r="E736" s="117" t="str">
        <x:v>Active</x:v>
      </x:c>
      <x:c r="F736" s="117" t="str">
        <x:v>Yes</x:v>
      </x:c>
      <x:c r="G736" s="117" t="str">
        <x:v>Yes</x:v>
      </x:c>
      <x:c r="H736" s="117" t="str">
        <x:v>Flow</x:v>
      </x:c>
      <x:c r="I736" s="118" t="n">
        <x:v>56</x:v>
      </x:c>
      <x:c r="J736" s="117" t="str">
        <x:v>unmanaged</x:v>
      </x:c>
      <x:c r="K736" s="123" t="b">
        <x:v>0</x:v>
      </x:c>
      <x:c r="L736" s="117"/>
      <x:c r="M736" s="118"/>
      <x:c r="N736" s="120" t="n">
        <x:v>45124.694710648146</x:v>
      </x:c>
      <x:c r="O736" s="117" t="str">
        <x:v>Jace Gentil</x:v>
      </x:c>
      <x:c r="P736" s="120" t="n">
        <x:v>45124.694756944446</x:v>
      </x:c>
      <x:c r="Q736" s="117" t="str">
        <x:v>Jace Gentil</x:v>
      </x:c>
      <x:c r="R736" s="117" t="str">
        <x:v>Create Return Op from Purchasing Op</x:v>
      </x:c>
      <x:c r="S736" s="119"/>
    </x:row>
    <x:row r="737" ht="30" customHeight="1">
      <x:c r="A737" s="117" t="str">
        <x:v>Create_Return_Service_Appointment_Upon_Return_Site_Visit_Required</x:v>
      </x:c>
      <x:c r="B737" s="117" t="str">
        <x:v>300Ro00000QRpykIAD</x:v>
      </x:c>
      <x:c r="C737" s="117" t="str">
        <x:v>301Ro00000Wz5elIAB</x:v>
      </x:c>
      <x:c r="D737" s="118" t="n">
        <x:v>14</x:v>
      </x:c>
      <x:c r="E737" s="117" t="str">
        <x:v>Obsolete</x:v>
      </x:c>
      <x:c r="F737" s="117" t="str">
        <x:v>No</x:v>
      </x:c>
      <x:c r="G737" s="117" t="str">
        <x:v>No</x:v>
      </x:c>
      <x:c r="H737" s="117" t="str">
        <x:v>AutoLaunchedFlow</x:v>
      </x:c>
      <x:c r="I737" s="118" t="n">
        <x:v>62</x:v>
      </x:c>
      <x:c r="J737" s="117" t="str">
        <x:v>unmanaged</x:v>
      </x:c>
      <x:c r="K737" s="123" t="b">
        <x:v>0</x:v>
      </x:c>
      <x:c r="L737" s="117"/>
      <x:c r="M737" s="118"/>
      <x:c r="N737" s="120" t="n">
        <x:v>45754.74726851852</x:v>
      </x:c>
      <x:c r="O737" s="117" t="str">
        <x:v>Delegate</x:v>
      </x:c>
      <x:c r="P737" s="120" t="n">
        <x:v>45754.747407407405</x:v>
      </x:c>
      <x:c r="Q737" s="117" t="str">
        <x:v>Delegate</x:v>
      </x:c>
      <x:c r="R737" s="117" t="str">
        <x:v>Create Return Service Appointment Upon Return Site Visit Required</x:v>
      </x:c>
      <x:c r="S737"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x:v>
      </x:c>
    </x:row>
    <x:row r="738" ht="30" customHeight="1">
      <x:c r="A738" s="117" t="str">
        <x:v>Create_Return_Service_Appointment_Upon_Return_Site_Visit_Required</x:v>
      </x:c>
      <x:c r="B738" s="117" t="str">
        <x:v>300Ro00000QRpykIAD</x:v>
      </x:c>
      <x:c r="C738" s="117" t="str">
        <x:v>301Ro00000X2mf4IAB</x:v>
      </x:c>
      <x:c r="D738" s="118" t="n">
        <x:v>15</x:v>
      </x:c>
      <x:c r="E738" s="117" t="str">
        <x:v>Obsolete</x:v>
      </x:c>
      <x:c r="F738" s="117" t="str">
        <x:v>No</x:v>
      </x:c>
      <x:c r="G738" s="117" t="str">
        <x:v>No</x:v>
      </x:c>
      <x:c r="H738" s="117" t="str">
        <x:v>AutoLaunchedFlow</x:v>
      </x:c>
      <x:c r="I738" s="118" t="n">
        <x:v>62</x:v>
      </x:c>
      <x:c r="J738" s="117" t="str">
        <x:v>unmanaged</x:v>
      </x:c>
      <x:c r="K738" s="123" t="b">
        <x:v>0</x:v>
      </x:c>
      <x:c r="L738" s="117"/>
      <x:c r="M738" s="118"/>
      <x:c r="N738" s="120" t="n">
        <x:v>45755.623449074075</x:v>
      </x:c>
      <x:c r="O738" s="117" t="str">
        <x:v>Delegate</x:v>
      </x:c>
      <x:c r="P738" s="120" t="n">
        <x:v>45755.63217592592</x:v>
      </x:c>
      <x:c r="Q738" s="117" t="str">
        <x:v>Delegate</x:v>
      </x:c>
      <x:c r="R738" s="117" t="str">
        <x:v>Create Return Service Appointment Upon Return Site Visit Required</x:v>
      </x:c>
      <x:c r="S738"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04/08/2025 - Kyle - Updates for Parts details and setting status to internal when parts required is involved</x:v>
      </x:c>
    </x:row>
    <x:row r="739" ht="30" customHeight="1">
      <x:c r="A739" s="117" t="str">
        <x:v>Create_Return_Service_Appointment_Upon_Return_Site_Visit_Required</x:v>
      </x:c>
      <x:c r="B739" s="117" t="str">
        <x:v>300Ro00000QRpykIAD</x:v>
      </x:c>
      <x:c r="C739" s="117" t="str">
        <x:v>301Ro00000XBNSyIAP</x:v>
      </x:c>
      <x:c r="D739" s="118" t="n">
        <x:v>16</x:v>
      </x:c>
      <x:c r="E739" s="117" t="str">
        <x:v>Obsolete</x:v>
      </x:c>
      <x:c r="F739" s="117" t="str">
        <x:v>No</x:v>
      </x:c>
      <x:c r="G739" s="117" t="str">
        <x:v>No</x:v>
      </x:c>
      <x:c r="H739" s="117" t="str">
        <x:v>AutoLaunchedFlow</x:v>
      </x:c>
      <x:c r="I739" s="118" t="n">
        <x:v>62</x:v>
      </x:c>
      <x:c r="J739" s="117" t="str">
        <x:v>unmanaged</x:v>
      </x:c>
      <x:c r="K739" s="123" t="b">
        <x:v>0</x:v>
      </x:c>
      <x:c r="L739" s="117"/>
      <x:c r="M739" s="118"/>
      <x:c r="N739" s="120" t="n">
        <x:v>45757.69311342593</x:v>
      </x:c>
      <x:c r="O739" s="117" t="str">
        <x:v>Delegate</x:v>
      </x:c>
      <x:c r="P739" s="120" t="n">
        <x:v>45757.70247685185</x:v>
      </x:c>
      <x:c r="Q739" s="117" t="str">
        <x:v>Delegate</x:v>
      </x:c>
      <x:c r="R739" s="117" t="str">
        <x:v>Create Return Service Appointment Upon Return Site Visit Required</x:v>
      </x:c>
      <x:c r="S739"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04/08/2025 - Kyle - Updates for Parts details and setting status to internal when parts required is involved
04/10/2025 - Kyle - Updates to duration formula to choose engineer anticipated hours over default duration if available</x:v>
      </x:c>
    </x:row>
    <x:row r="740" ht="30" customHeight="1">
      <x:c r="A740" s="117" t="str">
        <x:v>Create_Return_Service_Appointment_Upon_Return_Site_Visit_Required</x:v>
      </x:c>
      <x:c r="B740" s="117" t="str">
        <x:v>300Ro00000QRpykIAD</x:v>
      </x:c>
      <x:c r="C740" s="117" t="str">
        <x:v>301Ro00000YHLUKIA5</x:v>
      </x:c>
      <x:c r="D740" s="118" t="n">
        <x:v>17</x:v>
      </x:c>
      <x:c r="E740" s="117" t="str">
        <x:v>Obsolete</x:v>
      </x:c>
      <x:c r="F740" s="117" t="str">
        <x:v>No</x:v>
      </x:c>
      <x:c r="G740" s="117" t="str">
        <x:v>No</x:v>
      </x:c>
      <x:c r="H740" s="117" t="str">
        <x:v>AutoLaunchedFlow</x:v>
      </x:c>
      <x:c r="I740" s="118" t="n">
        <x:v>62</x:v>
      </x:c>
      <x:c r="J740" s="117" t="str">
        <x:v>unmanaged</x:v>
      </x:c>
      <x:c r="K740" s="123" t="b">
        <x:v>0</x:v>
      </x:c>
      <x:c r="L740" s="117"/>
      <x:c r="M740" s="118"/>
      <x:c r="N740" s="120" t="n">
        <x:v>45777.57664351852</x:v>
      </x:c>
      <x:c r="O740" s="117" t="str">
        <x:v>Delegate</x:v>
      </x:c>
      <x:c r="P740" s="120" t="n">
        <x:v>45777.57680555555</x:v>
      </x:c>
      <x:c r="Q740" s="117" t="str">
        <x:v>Delegate</x:v>
      </x:c>
      <x:c r="R740" s="117" t="str">
        <x:v>Create Return Service Appointment Upon Return Site Visit Required</x:v>
      </x:c>
      <x:c r="S740" s="119" t="str">
        <x:v>04/30/2025 (BW) - Added Ship Type to the creation of the work orders</x:v>
      </x:c>
    </x:row>
    <x:row r="741" ht="30" customHeight="1">
      <x:c r="A741" s="117" t="str">
        <x:v>Create_Return_Service_Appointment_Upon_Return_Site_Visit_Required</x:v>
      </x:c>
      <x:c r="B741" s="117" t="str">
        <x:v>300Ro00000QRpykIAD</x:v>
      </x:c>
      <x:c r="C741" s="117" t="str">
        <x:v>301Ro00000ZNG4wIAH</x:v>
      </x:c>
      <x:c r="D741" s="118" t="n">
        <x:v>18</x:v>
      </x:c>
      <x:c r="E741" s="117" t="str">
        <x:v>Obsolete</x:v>
      </x:c>
      <x:c r="F741" s="117" t="str">
        <x:v>No</x:v>
      </x:c>
      <x:c r="G741" s="117" t="str">
        <x:v>No</x:v>
      </x:c>
      <x:c r="H741" s="117" t="str">
        <x:v>AutoLaunchedFlow</x:v>
      </x:c>
      <x:c r="I741" s="118" t="n">
        <x:v>62</x:v>
      </x:c>
      <x:c r="J741" s="117" t="str">
        <x:v>unmanaged</x:v>
      </x:c>
      <x:c r="K741" s="123" t="b">
        <x:v>0</x:v>
      </x:c>
      <x:c r="L741" s="117"/>
      <x:c r="M741" s="118"/>
      <x:c r="N741" s="120" t="n">
        <x:v>45796.68732638889</x:v>
      </x:c>
      <x:c r="O741" s="117" t="str">
        <x:v>Delegate</x:v>
      </x:c>
      <x:c r="P741" s="120" t="n">
        <x:v>45796.687430555554</x:v>
      </x:c>
      <x:c r="Q741" s="117" t="str">
        <x:v>Delegate</x:v>
      </x:c>
      <x:c r="R741" s="117" t="str">
        <x:v>Create Return Service Appointment Upon Return Site Visit Required</x:v>
      </x:c>
      <x:c r="S741"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x:v>
      </x:c>
    </x:row>
    <x:row r="742" ht="30" customHeight="1">
      <x:c r="A742" s="117" t="str">
        <x:v>Create_Return_Service_Appointment_Upon_Return_Site_Visit_Required</x:v>
      </x:c>
      <x:c r="B742" s="117" t="str">
        <x:v>300Ro00000QRpykIAD</x:v>
      </x:c>
      <x:c r="C742" s="117" t="str">
        <x:v>301Ro00000ZQwPCIA1</x:v>
      </x:c>
      <x:c r="D742" s="118" t="n">
        <x:v>19</x:v>
      </x:c>
      <x:c r="E742" s="117" t="str">
        <x:v>Obsolete</x:v>
      </x:c>
      <x:c r="F742" s="117" t="str">
        <x:v>No</x:v>
      </x:c>
      <x:c r="G742" s="117" t="str">
        <x:v>No</x:v>
      </x:c>
      <x:c r="H742" s="117" t="str">
        <x:v>AutoLaunchedFlow</x:v>
      </x:c>
      <x:c r="I742" s="118" t="n">
        <x:v>62</x:v>
      </x:c>
      <x:c r="J742" s="117" t="str">
        <x:v>unmanaged</x:v>
      </x:c>
      <x:c r="K742" s="123" t="b">
        <x:v>0</x:v>
      </x:c>
      <x:c r="L742" s="117"/>
      <x:c r="M742" s="118"/>
      <x:c r="N742" s="120" t="n">
        <x:v>45797.57798611111</x:v>
      </x:c>
      <x:c r="O742" s="117" t="str">
        <x:v>Sacha Pearce</x:v>
      </x:c>
      <x:c r="P742" s="120" t="n">
        <x:v>45797.5780787037</x:v>
      </x:c>
      <x:c r="Q742" s="117" t="str">
        <x:v>Sacha Pearce</x:v>
      </x:c>
      <x:c r="R742" s="117" t="str">
        <x:v>Create Return Service Appointment Upon Return Site Visit Required</x:v>
      </x:c>
      <x:c r="S742"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x:v>
      </x:c>
    </x:row>
    <x:row r="743" ht="30" customHeight="1">
      <x:c r="A743" s="117" t="str">
        <x:v>Create_Return_Service_Appointment_Upon_Return_Site_Visit_Required</x:v>
      </x:c>
      <x:c r="B743" s="117" t="str">
        <x:v>300Ro00000QRpykIAD</x:v>
      </x:c>
      <x:c r="C743" s="117" t="str">
        <x:v>301Ro00000aKdlHIAS</x:v>
      </x:c>
      <x:c r="D743" s="118" t="n">
        <x:v>20</x:v>
      </x:c>
      <x:c r="E743" s="117" t="str">
        <x:v>Obsolete</x:v>
      </x:c>
      <x:c r="F743" s="117" t="str">
        <x:v>No</x:v>
      </x:c>
      <x:c r="G743" s="117" t="str">
        <x:v>No</x:v>
      </x:c>
      <x:c r="H743" s="117" t="str">
        <x:v>AutoLaunchedFlow</x:v>
      </x:c>
      <x:c r="I743" s="118" t="n">
        <x:v>62</x:v>
      </x:c>
      <x:c r="J743" s="117" t="str">
        <x:v>unmanaged</x:v>
      </x:c>
      <x:c r="K743" s="123" t="b">
        <x:v>0</x:v>
      </x:c>
      <x:c r="L743" s="117"/>
      <x:c r="M743" s="118"/>
      <x:c r="N743" s="120" t="n">
        <x:v>45812.55386574074</x:v>
      </x:c>
      <x:c r="O743" s="117" t="str">
        <x:v>Sacha Pearce</x:v>
      </x:c>
      <x:c r="P743" s="120" t="n">
        <x:v>45812.55396990741</x:v>
      </x:c>
      <x:c r="Q743" s="117" t="str">
        <x:v>Sacha Pearce</x:v>
      </x:c>
      <x:c r="R743" s="117" t="str">
        <x:v>Create Return Service Appointment Upon Return Site Visit Required</x:v>
      </x:c>
      <x:c r="S743"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x:v>
      </x:c>
    </x:row>
    <x:row r="744" ht="30" customHeight="1">
      <x:c r="A744" s="117" t="str">
        <x:v>Create_Return_Service_Appointment_Upon_Return_Site_Visit_Required</x:v>
      </x:c>
      <x:c r="B744" s="117" t="str">
        <x:v>300Ro00000QRpykIAD</x:v>
      </x:c>
      <x:c r="C744" s="117" t="str">
        <x:v>301Ro00000aKZrNIAW</x:v>
      </x:c>
      <x:c r="D744" s="118" t="n">
        <x:v>21</x:v>
      </x:c>
      <x:c r="E744" s="117" t="str">
        <x:v>Obsolete</x:v>
      </x:c>
      <x:c r="F744" s="117" t="str">
        <x:v>No</x:v>
      </x:c>
      <x:c r="G744" s="117" t="str">
        <x:v>No</x:v>
      </x:c>
      <x:c r="H744" s="117" t="str">
        <x:v>AutoLaunchedFlow</x:v>
      </x:c>
      <x:c r="I744" s="118" t="n">
        <x:v>62</x:v>
      </x:c>
      <x:c r="J744" s="117" t="str">
        <x:v>unmanaged</x:v>
      </x:c>
      <x:c r="K744" s="123" t="b">
        <x:v>0</x:v>
      </x:c>
      <x:c r="L744" s="117"/>
      <x:c r="M744" s="118"/>
      <x:c r="N744" s="120" t="n">
        <x:v>45812.55600694445</x:v>
      </x:c>
      <x:c r="O744" s="117" t="str">
        <x:v>Sacha Pearce</x:v>
      </x:c>
      <x:c r="P744" s="120" t="n">
        <x:v>45812.55609953704</x:v>
      </x:c>
      <x:c r="Q744" s="117" t="str">
        <x:v>Sacha Pearce</x:v>
      </x:c>
      <x:c r="R744" s="117" t="str">
        <x:v>Create Return Service Appointment Upon Return Site Visit Required</x:v>
      </x:c>
      <x:c r="S744"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
06/04/2025 - Sacha Pearce - Took out "\n" from the above and replaced it with a new line instead.</x:v>
      </x:c>
    </x:row>
    <x:row r="745" ht="30" customHeight="1">
      <x:c r="A745" s="117" t="str">
        <x:v>Create_Return_Service_Appointment_Upon_Return_Site_Visit_Required</x:v>
      </x:c>
      <x:c r="B745" s="117" t="str">
        <x:v>300Ro00000QRpykIAD</x:v>
      </x:c>
      <x:c r="C745" s="117" t="str">
        <x:v>301Ro00000aOymJIAS</x:v>
      </x:c>
      <x:c r="D745" s="118" t="n">
        <x:v>22</x:v>
      </x:c>
      <x:c r="E745" s="117" t="str">
        <x:v>Obsolete</x:v>
      </x:c>
      <x:c r="F745" s="117" t="str">
        <x:v>No</x:v>
      </x:c>
      <x:c r="G745" s="117" t="str">
        <x:v>No</x:v>
      </x:c>
      <x:c r="H745" s="117" t="str">
        <x:v>AutoLaunchedFlow</x:v>
      </x:c>
      <x:c r="I745" s="118" t="n">
        <x:v>62</x:v>
      </x:c>
      <x:c r="J745" s="117" t="str">
        <x:v>unmanaged</x:v>
      </x:c>
      <x:c r="K745" s="123" t="b">
        <x:v>0</x:v>
      </x:c>
      <x:c r="L745" s="117"/>
      <x:c r="M745" s="118"/>
      <x:c r="N745" s="120" t="n">
        <x:v>45813.51466435185</x:v>
      </x:c>
      <x:c r="O745" s="117" t="str">
        <x:v>Sacha Pearce</x:v>
      </x:c>
      <x:c r="P745" s="120" t="n">
        <x:v>45813.51476851852</x:v>
      </x:c>
      <x:c r="Q745" s="117" t="str">
        <x:v>Sacha Pearce</x:v>
      </x:c>
      <x:c r="R745" s="117" t="str">
        <x:v>Create Return Service Appointment Upon Return Site Visit Required</x:v>
      </x:c>
      <x:c r="S745"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
06/04/2025 - Sacha Pearce - Took out "\n" from the above and replaced it with a new line instead.
06/05/2025 - Sacha Pearce - Amended InternalNotesFormula to include BR() for a line break.</x:v>
      </x:c>
    </x:row>
    <x:row r="746" ht="30" customHeight="1">
      <x:c r="A746" s="117" t="str">
        <x:v>Create_Return_Service_Appointment_Upon_Return_Site_Visit_Required</x:v>
      </x:c>
      <x:c r="B746" s="117" t="str">
        <x:v>300Ro00000QRpykIAD</x:v>
      </x:c>
      <x:c r="C746" s="117" t="str">
        <x:v>301Ro00000aPHBHIA4</x:v>
      </x:c>
      <x:c r="D746" s="118" t="n">
        <x:v>23</x:v>
      </x:c>
      <x:c r="E746" s="117" t="str">
        <x:v>Obsolete</x:v>
      </x:c>
      <x:c r="F746" s="117" t="str">
        <x:v>No</x:v>
      </x:c>
      <x:c r="G746" s="117" t="str">
        <x:v>No</x:v>
      </x:c>
      <x:c r="H746" s="117" t="str">
        <x:v>AutoLaunchedFlow</x:v>
      </x:c>
      <x:c r="I746" s="118" t="n">
        <x:v>62</x:v>
      </x:c>
      <x:c r="J746" s="117" t="str">
        <x:v>unmanaged</x:v>
      </x:c>
      <x:c r="K746" s="123" t="b">
        <x:v>0</x:v>
      </x:c>
      <x:c r="L746" s="117"/>
      <x:c r="M746" s="118"/>
      <x:c r="N746" s="120" t="n">
        <x:v>45813.601481481484</x:v>
      </x:c>
      <x:c r="O746" s="117" t="str">
        <x:v>Sacha Pearce</x:v>
      </x:c>
      <x:c r="P746" s="120" t="n">
        <x:v>45813.6015625</x:v>
      </x:c>
      <x:c r="Q746" s="117" t="str">
        <x:v>Sacha Pearce</x:v>
      </x:c>
      <x:c r="R746" s="117" t="str">
        <x:v>Create Return Service Appointment Upon Return Site Visit Required</x:v>
      </x:c>
      <x:c r="S746"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
06/04/2025 - Sacha Pearce - Took out "\n" from the above and replaced it with a new line instead.
06/05/2025 - Sacha Pearce - Amended InternalNotesFormula to include BR() for a line break.
06/05/2025 - Sacha Pearce - Amended NewSADescriptionFormula to include the following: "SYTEM OPERATIONAL: " &amp; TEXT({!$Record.System_Operational__c})</x:v>
      </x:c>
    </x:row>
    <x:row r="747" ht="30" customHeight="1">
      <x:c r="A747" s="117" t="str">
        <x:v>Create_Return_Service_Appointment_Upon_Return_Site_Visit_Required</x:v>
      </x:c>
      <x:c r="B747" s="117" t="str">
        <x:v>300Ro00000QRpykIAD</x:v>
      </x:c>
      <x:c r="C747" s="117" t="str">
        <x:v>301Ro00000aPgnKIAS</x:v>
      </x:c>
      <x:c r="D747" s="118" t="n">
        <x:v>24</x:v>
      </x:c>
      <x:c r="E747" s="117" t="str">
        <x:v>Obsolete</x:v>
      </x:c>
      <x:c r="F747" s="117" t="str">
        <x:v>No</x:v>
      </x:c>
      <x:c r="G747" s="117" t="str">
        <x:v>No</x:v>
      </x:c>
      <x:c r="H747" s="117" t="str">
        <x:v>AutoLaunchedFlow</x:v>
      </x:c>
      <x:c r="I747" s="118" t="n">
        <x:v>62</x:v>
      </x:c>
      <x:c r="J747" s="117" t="str">
        <x:v>unmanaged</x:v>
      </x:c>
      <x:c r="K747" s="123" t="b">
        <x:v>0</x:v>
      </x:c>
      <x:c r="L747" s="117"/>
      <x:c r="M747" s="118"/>
      <x:c r="N747" s="120" t="n">
        <x:v>45813.60690972222</x:v>
      </x:c>
      <x:c r="O747" s="117" t="str">
        <x:v>Sacha Pearce</x:v>
      </x:c>
      <x:c r="P747" s="120" t="n">
        <x:v>45813.60700231481</x:v>
      </x:c>
      <x:c r="Q747" s="117" t="str">
        <x:v>Sacha Pearce</x:v>
      </x:c>
      <x:c r="R747" s="117" t="str">
        <x:v>Create Return Service Appointment Upon Return Site Visit Required</x:v>
      </x:c>
      <x:c r="S747"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
06/04/2025 - Sacha Pearce - Took out "\n" from the above and replaced it with a new line instead.
06/05/2025 - Sacha Pearce - Amended InternalNotesFormula to include BR() for a line break.
06/05/2025 - Sacha Pearce - Amended NewSADescriptionFormula to include the following: "SYTEM OPERATIONAL: " &amp; TEXT({!$Record.System_Operational__c})
06/05/2025 - Sacha Pearce - Coreccting typo for "SYSTEM OPERATIONAL"</x:v>
      </x:c>
    </x:row>
    <x:row r="748" ht="30" customHeight="1">
      <x:c r="A748" s="117" t="str">
        <x:v>Create_Return_Service_Appointment_Upon_Return_Site_Visit_Required</x:v>
      </x:c>
      <x:c r="B748" s="117" t="str">
        <x:v>300Ro00000QRpykIAD</x:v>
      </x:c>
      <x:c r="C748" s="117" t="str">
        <x:v>301Ro00000bDiu8IAC</x:v>
      </x:c>
      <x:c r="D748" s="118" t="n">
        <x:v>25</x:v>
      </x:c>
      <x:c r="E748" s="117" t="str">
        <x:v>Obsolete</x:v>
      </x:c>
      <x:c r="F748" s="117" t="str">
        <x:v>No</x:v>
      </x:c>
      <x:c r="G748" s="117" t="str">
        <x:v>No</x:v>
      </x:c>
      <x:c r="H748" s="117" t="str">
        <x:v>AutoLaunchedFlow</x:v>
      </x:c>
      <x:c r="I748" s="118" t="n">
        <x:v>62</x:v>
      </x:c>
      <x:c r="J748" s="117" t="str">
        <x:v>unmanaged</x:v>
      </x:c>
      <x:c r="K748" s="123" t="b">
        <x:v>0</x:v>
      </x:c>
      <x:c r="L748" s="117"/>
      <x:c r="M748" s="118"/>
      <x:c r="N748" s="120" t="n">
        <x:v>45818.80100694444</x:v>
      </x:c>
      <x:c r="O748" s="117" t="str">
        <x:v>Sacha Pearce</x:v>
      </x:c>
      <x:c r="P748" s="120" t="n">
        <x:v>45818.80663194445</x:v>
      </x:c>
      <x:c r="Q748" s="117" t="str">
        <x:v>Sacha Pearce</x:v>
      </x:c>
      <x:c r="R748" s="117" t="str">
        <x:v>Create Return Service Appointment Upon Return Site Visit Required</x:v>
      </x:c>
      <x:c r="S748"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
06/04/2025 - Sacha Pearce - Took out "\n" from the above and replaced it with a new line instead.
06/05/2025 - Sacha Pearce - Amended InternalNotesFormula to include BR() for a line break.
06/05/2025 - Sacha Pearce - Amended NewSADescriptionFormula to include the following: "SYTEM OPERATIONAL: " &amp; TEXT({!$Record.System_Operational__c})
06/05/2025 - Sacha Pearce - Coreccting typo for "SYSTEM OPERATIONAL"
06/10/2025 - Sacha Pearce - Added Assignments to make sure the correct Parent Record is being entered on Service Appointment creation in the PM branch. Cannot Complete = Original Work Order, Break Fix = New Work Order.</x:v>
      </x:c>
    </x:row>
    <x:row r="749" ht="30" customHeight="1">
      <x:c r="A749" s="117" t="str">
        <x:v>Create_Return_Service_Appointment_Upon_Return_Site_Visit_Required</x:v>
      </x:c>
      <x:c r="B749" s="117" t="str">
        <x:v>300Ro00000QRpykIAD</x:v>
      </x:c>
      <x:c r="C749" s="117" t="str">
        <x:v>301Ro00000bDqelIAC</x:v>
      </x:c>
      <x:c r="D749" s="118" t="n">
        <x:v>26</x:v>
      </x:c>
      <x:c r="E749" s="117" t="str">
        <x:v>Obsolete</x:v>
      </x:c>
      <x:c r="F749" s="117" t="str">
        <x:v>No</x:v>
      </x:c>
      <x:c r="G749" s="117" t="str">
        <x:v>No</x:v>
      </x:c>
      <x:c r="H749" s="117" t="str">
        <x:v>AutoLaunchedFlow</x:v>
      </x:c>
      <x:c r="I749" s="118" t="n">
        <x:v>62</x:v>
      </x:c>
      <x:c r="J749" s="117" t="str">
        <x:v>unmanaged</x:v>
      </x:c>
      <x:c r="K749" s="123" t="b">
        <x:v>0</x:v>
      </x:c>
      <x:c r="L749" s="117"/>
      <x:c r="M749" s="118"/>
      <x:c r="N749" s="120" t="n">
        <x:v>45818.80929398148</x:v>
      </x:c>
      <x:c r="O749" s="117" t="str">
        <x:v>Sacha Pearce</x:v>
      </x:c>
      <x:c r="P749" s="120" t="n">
        <x:v>45818.80956018518</x:v>
      </x:c>
      <x:c r="Q749" s="117" t="str">
        <x:v>Sacha Pearce</x:v>
      </x:c>
      <x:c r="R749" s="117" t="str">
        <x:v>Create Return Service Appointment Upon Return Site Visit Required</x:v>
      </x:c>
      <x:c r="S749"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
06/04/2025 - Sacha Pearce - Took out "\n" from the above and replaced it with a new line instead.
06/05/2025 - Sacha Pearce - Amended InternalNotesFormula to include BR() for a line break.
06/05/2025 - Sacha Pearce - Amended NewSADescriptionFormula to include the following: "SYTEM OPERATIONAL: " &amp; TEXT({!$Record.System_Operational__c})
06/05/2025 - Sacha Pearce - Coreccting typo for "SYSTEM OPERATIONAL"
06/10/2025 - Sacha Pearce - Added Assignments to make sure the correct Parent Record is being entered on Service Appointment creation in the PM branch. Cannot Complete = Original Work Order, Break Fix = New Work Order.
06/10/2025 - Sacha Pearce - V26 - Referenced Assignment in Create Service Appointment element.</x:v>
      </x:c>
    </x:row>
    <x:row r="750" ht="30" customHeight="1">
      <x:c r="A750" s="117" t="str">
        <x:v>Create_Return_Service_Appointment_Upon_Return_Site_Visit_Required</x:v>
      </x:c>
      <x:c r="B750" s="117" t="str">
        <x:v>300Ro00000QRpykIAD</x:v>
      </x:c>
      <x:c r="C750" s="117" t="str">
        <x:v>301Ro00000bDuYhIAK</x:v>
      </x:c>
      <x:c r="D750" s="118" t="n">
        <x:v>27</x:v>
      </x:c>
      <x:c r="E750" s="117" t="str">
        <x:v>Obsolete</x:v>
      </x:c>
      <x:c r="F750" s="117" t="str">
        <x:v>No</x:v>
      </x:c>
      <x:c r="G750" s="117" t="str">
        <x:v>No</x:v>
      </x:c>
      <x:c r="H750" s="117" t="str">
        <x:v>AutoLaunchedFlow</x:v>
      </x:c>
      <x:c r="I750" s="118" t="n">
        <x:v>62</x:v>
      </x:c>
      <x:c r="J750" s="117" t="str">
        <x:v>unmanaged</x:v>
      </x:c>
      <x:c r="K750" s="123" t="b">
        <x:v>0</x:v>
      </x:c>
      <x:c r="L750" s="117"/>
      <x:c r="M750" s="118"/>
      <x:c r="N750" s="120" t="n">
        <x:v>45818.81928240741</x:v>
      </x:c>
      <x:c r="O750" s="117" t="str">
        <x:v>Sacha Pearce</x:v>
      </x:c>
      <x:c r="P750" s="120" t="n">
        <x:v>45818.819386574076</x:v>
      </x:c>
      <x:c r="Q750" s="117" t="str">
        <x:v>Sacha Pearce</x:v>
      </x:c>
      <x:c r="R750" s="117" t="str">
        <x:v>Create Return Service Appointment Upon Return Site Visit Required</x:v>
      </x:c>
      <x:c r="S750"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
06/04/2025 - Sacha Pearce - Took out "\n" from the above and replaced it with a new line instead.
06/05/2025 - Sacha Pearce - Amended InternalNotesFormula to include BR() for a line break.
06/05/2025 - Sacha Pearce - Amended NewSADescriptionFormula to include the following: "SYTEM OPERATIONAL: " &amp; TEXT({!$Record.System_Operational__c})
06/05/2025 - Sacha Pearce - Coreccting typo for "SYSTEM OPERATIONAL"
06/10/2025 - Sacha Pearce - Added Assignments to make sure the correct Parent Record is being entered on Service Appointment creation in the PM branch. Cannot Complete = Original Work Order, Break Fix = New Work Order.
06/10/2025 - Sacha Pearce - V26 - Referenced Assignment in Create Service Appointment element.
06/10/2025 - Sacha Pearce - V27 - Referenced Assignment in Create Service Appointment element. This time Parent Record ID instead of Work Order ID.</x:v>
      </x:c>
    </x:row>
    <x:row r="751" ht="30" customHeight="1">
      <x:c r="A751" s="117" t="str">
        <x:v>Create_Return_Service_Appointment_Upon_Return_Site_Visit_Required</x:v>
      </x:c>
      <x:c r="B751" s="117" t="str">
        <x:v>300Ro00000QRpykIAD</x:v>
      </x:c>
      <x:c r="C751" s="117" t="str">
        <x:v>301Ro00000bEEZ4IAO</x:v>
      </x:c>
      <x:c r="D751" s="118" t="n">
        <x:v>28</x:v>
      </x:c>
      <x:c r="E751" s="117" t="str">
        <x:v>Obsolete</x:v>
      </x:c>
      <x:c r="F751" s="117" t="str">
        <x:v>No</x:v>
      </x:c>
      <x:c r="G751" s="117" t="str">
        <x:v>No</x:v>
      </x:c>
      <x:c r="H751" s="117" t="str">
        <x:v>AutoLaunchedFlow</x:v>
      </x:c>
      <x:c r="I751" s="118" t="n">
        <x:v>62</x:v>
      </x:c>
      <x:c r="J751" s="117" t="str">
        <x:v>unmanaged</x:v>
      </x:c>
      <x:c r="K751" s="123" t="b">
        <x:v>0</x:v>
      </x:c>
      <x:c r="L751" s="117"/>
      <x:c r="M751" s="118"/>
      <x:c r="N751" s="120" t="n">
        <x:v>45818.839421296296</x:v>
      </x:c>
      <x:c r="O751" s="117" t="str">
        <x:v>Sacha Pearce</x:v>
      </x:c>
      <x:c r="P751" s="120" t="n">
        <x:v>45818.83954861111</x:v>
      </x:c>
      <x:c r="Q751" s="117" t="str">
        <x:v>Sacha Pearce</x:v>
      </x:c>
      <x:c r="R751" s="117" t="str">
        <x:v>Create Return Service Appointment Upon Return Site Visit Required</x:v>
      </x:c>
      <x:c r="S751"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
06/04/2025 - Sacha Pearce - Took out "\n" from the above and replaced it with a new line instead.
06/05/2025 - Sacha Pearce - Amended InternalNotesFormula to include BR() for a line break.
06/05/2025 - Sacha Pearce - Amended NewSADescriptionFormula to include the following: "SYTEM OPERATIONAL: " &amp; TEXT({!$Record.System_Operational__c})
06/05/2025 - Sacha Pearce - Coreccting typo for "SYSTEM OPERATIONAL"
06/10/2025 - Sacha Pearce - Added Assignments to make sure the correct Parent Record is being entered on Service Appointment creation in the PM branch. Cannot Complete = Original Work Order, Break Fix = New Work Order.
06/10/2025 - Sacha Pearce - V26 - Referenced Assignment in Create Service Appointment element.
06/10/2025 - Sacha Pearce - V27 - Referenced Assignment in Create Service Appointment element. This time Parent Record ID instead of Work Order ID.
06/10/2025 - Sacha Pearce - V28 - Adding Work Type ID equals 08qRo0000000JnRIAU/Break Fix to the Update Varialbes in Work Order to Create BF. Also adding PPMFollowon formula that sets the Internal Designation field to "PPM Follow-on" providing the Service Appointment Modality is Ultrasound and the Work Type is 08qRo0000000JnRIAU/Break Fix.</x:v>
      </x:c>
    </x:row>
    <x:row r="752" ht="30" customHeight="1">
      <x:c r="A752" s="117" t="str">
        <x:v>Create_Return_Service_Appointment_Upon_Return_Site_Visit_Required</x:v>
      </x:c>
      <x:c r="B752" s="117" t="str">
        <x:v>300Ro00000QRpykIAD</x:v>
      </x:c>
      <x:c r="C752" s="117" t="str">
        <x:v>301Ro00000bE8dLIAS</x:v>
      </x:c>
      <x:c r="D752" s="118" t="n">
        <x:v>29</x:v>
      </x:c>
      <x:c r="E752" s="117" t="str">
        <x:v>Obsolete</x:v>
      </x:c>
      <x:c r="F752" s="117" t="str">
        <x:v>No</x:v>
      </x:c>
      <x:c r="G752" s="117" t="str">
        <x:v>No</x:v>
      </x:c>
      <x:c r="H752" s="117" t="str">
        <x:v>AutoLaunchedFlow</x:v>
      </x:c>
      <x:c r="I752" s="118" t="n">
        <x:v>62</x:v>
      </x:c>
      <x:c r="J752" s="117" t="str">
        <x:v>unmanaged</x:v>
      </x:c>
      <x:c r="K752" s="123" t="b">
        <x:v>0</x:v>
      </x:c>
      <x:c r="L752" s="117"/>
      <x:c r="M752" s="118"/>
      <x:c r="N752" s="120" t="n">
        <x:v>45818.84644675926</x:v>
      </x:c>
      <x:c r="O752" s="117" t="str">
        <x:v>Sacha Pearce</x:v>
      </x:c>
      <x:c r="P752" s="120" t="n">
        <x:v>45818.84652777778</x:v>
      </x:c>
      <x:c r="Q752" s="117" t="str">
        <x:v>Sacha Pearce</x:v>
      </x:c>
      <x:c r="R752" s="117" t="str">
        <x:v>Create Return Service Appointment Upon Return Site Visit Required</x:v>
      </x:c>
      <x:c r="S752"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
06/04/2025 - Sacha Pearce - Took out "\n" from the above and replaced it with a new line instead.
06/05/2025 - Sacha Pearce - Amended InternalNotesFormula to include BR() for a line break.
06/05/2025 - Sacha Pearce - Amended NewSADescriptionFormula to include the following: "SYTEM OPERATIONAL: " &amp; TEXT({!$Record.System_Operational__c})
06/05/2025 - Sacha Pearce - Coreccting typo for "SYSTEM OPERATIONAL"
06/10/2025 - Sacha Pearce - Added Assignments to make sure the correct Parent Record is being entered on Service Appointment creation in the PM branch. Cannot Complete = Original Work Order, Break Fix = New Work Order.
06/10/2025 - Sacha Pearce - V26 - Referenced Assignment in Create Service Appointment element.
06/10/2025 - Sacha Pearce - V27 - Referenced Assignment in Create Service Appointment element. This time Parent Record ID instead of Work Order ID.
06/10/2025 - Sacha Pearce - V28 - Adding Work Type ID equals 08qRo0000000JnRIAU/Break Fix to the Update Varialbes in Work Order to Create BF. Also adding PPMFollowon formula that sets the Internal Designation field to "PPM Follow-on" providing the Service Appointment Modality is Ultrasound and the Work Type is 08qRo0000000JnRIAU/Break Fix.
06/10/2025 - Sacha Pearce - V29 - Amending formula to be smoother and look at Work Type Name from the Get Work Type element, instead of the Create Work Order element.</x:v>
      </x:c>
    </x:row>
    <x:row r="753" ht="30" customHeight="1">
      <x:c r="A753" s="117" t="str">
        <x:v>Create_Return_Service_Appointment_Upon_Return_Site_Visit_Required</x:v>
      </x:c>
      <x:c r="B753" s="117" t="str">
        <x:v>300Ro00000QRpykIAD</x:v>
      </x:c>
      <x:c r="C753" s="117" t="str">
        <x:v>301Ro00000bE3HKIA0</x:v>
      </x:c>
      <x:c r="D753" s="118" t="n">
        <x:v>30</x:v>
      </x:c>
      <x:c r="E753" s="117" t="str">
        <x:v>Obsolete</x:v>
      </x:c>
      <x:c r="F753" s="117" t="str">
        <x:v>No</x:v>
      </x:c>
      <x:c r="G753" s="117" t="str">
        <x:v>No</x:v>
      </x:c>
      <x:c r="H753" s="117" t="str">
        <x:v>AutoLaunchedFlow</x:v>
      </x:c>
      <x:c r="I753" s="118" t="n">
        <x:v>62</x:v>
      </x:c>
      <x:c r="J753" s="117" t="str">
        <x:v>unmanaged</x:v>
      </x:c>
      <x:c r="K753" s="123" t="b">
        <x:v>0</x:v>
      </x:c>
      <x:c r="L753" s="117"/>
      <x:c r="M753" s="118"/>
      <x:c r="N753" s="120" t="n">
        <x:v>45818.87076388889</x:v>
      </x:c>
      <x:c r="O753" s="117" t="str">
        <x:v>Sacha Pearce</x:v>
      </x:c>
      <x:c r="P753" s="120" t="n">
        <x:v>45818.87086805556</x:v>
      </x:c>
      <x:c r="Q753" s="117" t="str">
        <x:v>Sacha Pearce</x:v>
      </x:c>
      <x:c r="R753" s="117" t="str">
        <x:v>Create Return Service Appointment Upon Return Site Visit Required</x:v>
      </x:c>
      <x:c r="S753"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
06/04/2025 - Sacha Pearce - Took out "\n" from the above and replaced it with a new line instead.
06/05/2025 - Sacha Pearce - Amended InternalNotesFormula to include BR() for a line break.
06/05/2025 - Sacha Pearce - Amended NewSADescriptionFormula to include the following: "SYTEM OPERATIONAL: " &amp; TEXT({!$Record.System_Operational__c})
06/05/2025 - Sacha Pearce - Coreccting typo for "SYSTEM OPERATIONAL"
06/10/2025 - Sacha Pearce - Added Assignments to make sure the correct Parent Record is being entered on Service Appointment creation in the PM branch. Cannot Complete = Original Work Order, Break Fix = New Work Order.
06/10/2025 - Sacha Pearce - V26 - Referenced Assignment in Create Service Appointment element.
06/10/2025 - Sacha Pearce - V27 - Referenced Assignment in Create Service Appointment element. This time Parent Record ID instead of Work Order ID.
06/10/2025 - Sacha Pearce - V28 - Adding Work Type ID equals 08qRo0000000JnRIAU/Break Fix to the Update Varialbes in Work Order to Create BF. Also adding PPMFollowon formula that sets the Internal Designation field to "PPM Follow-on" providing the Service Appointment Modality is Ultrasound and the Work Type is 08qRo0000000JnRIAU/Break Fix.
06/10/2025 - Sacha Pearce - V29 - Amending formula to be smoother and look at Work Type Name from the Get Work Type element, instead of the Create Work Order element.
06/10/2025 - Sacha Pearce - V30 - Amended PPMFollowon formula further to be more robust.</x:v>
      </x:c>
    </x:row>
    <x:row r="754" ht="30" customHeight="1">
      <x:c r="A754" s="117" t="str">
        <x:v>Create_Return_Service_Appointment_Upon_Return_Site_Visit_Required</x:v>
      </x:c>
      <x:c r="B754" s="117" t="str">
        <x:v>300Ro00000QRpykIAD</x:v>
      </x:c>
      <x:c r="C754" s="117" t="str">
        <x:v>301Ro00000bUU9rIAG</x:v>
      </x:c>
      <x:c r="D754" s="118" t="n">
        <x:v>31</x:v>
      </x:c>
      <x:c r="E754" s="117" t="str">
        <x:v>Obsolete</x:v>
      </x:c>
      <x:c r="F754" s="117" t="str">
        <x:v>No</x:v>
      </x:c>
      <x:c r="G754" s="117" t="str">
        <x:v>No</x:v>
      </x:c>
      <x:c r="H754" s="117" t="str">
        <x:v>AutoLaunchedFlow</x:v>
      </x:c>
      <x:c r="I754" s="118" t="n">
        <x:v>62</x:v>
      </x:c>
      <x:c r="J754" s="117" t="str">
        <x:v>unmanaged</x:v>
      </x:c>
      <x:c r="K754" s="123" t="b">
        <x:v>0</x:v>
      </x:c>
      <x:c r="L754" s="117"/>
      <x:c r="M754" s="118"/>
      <x:c r="N754" s="120" t="n">
        <x:v>45820.74962962963</x:v>
      </x:c>
      <x:c r="O754" s="117" t="str">
        <x:v>Sacha Pearce</x:v>
      </x:c>
      <x:c r="P754" s="120" t="n">
        <x:v>45820.79230324074</x:v>
      </x:c>
      <x:c r="Q754" s="117" t="str">
        <x:v>Sacha Pearce</x:v>
      </x:c>
      <x:c r="R754" s="117" t="str">
        <x:v>Create Return Service Appointment Upon Return Site Visit Required</x:v>
      </x:c>
      <x:c r="S754" s="119" t="str">
        <x:v>02/11/2025 (BW) - Updated the flow so it creates the service appointments (was missing the duration in the call to create)
03/05/2024 (Delegate - Kyle) - Adding functionality for prior SA, Description Formula
02/11/2025 (BW) - Updated the flow so it creates the service appointments (was missing the duration in the call to create)
03/05/2024 - (Delegate/Kyle) - Adding functionality for prior SA, Description Formula
03/06/2025 - (Delegate/Kyle) - Updates to internal comments formulated input
03/17/2025 - (Delegate/Kyle) - Updates to branch criteria and outputs
03/21/2025 - Kyle - Adding internal notes and PPM follow on which should be break/fix only
04/07/2025 - Kyle - Internal Notes text to long text area conversion updates
05/19/2025 - Brandon - Updated flow to include information about the coverage level for changing to Ready to Book or to Internal on both the PPM and Break/Fix sides. Also added the Parts Required for items quoted to be set to internal if parts are required
05/20/2025 - Sacha - Updated flow to set varAppointmentStatus to Internal when Both True is followed on the Follow Site Visit Required Decision
06/04/2025 - Sacha Pearce - Amended InternalNotesFormula to: "Notes from prior SA: "&amp;{!$Record.Internal_Notes__c} &amp;
"\nPart Details from prior SA: "&amp;{!$Record.Parts_details__c}. This has been raised on Case 00008304.
06/04/2025 - Sacha Pearce - Took out "\n" from the above and replaced it with a new line instead.
06/05/2025 - Sacha Pearce - Amended InternalNotesFormula to include BR() for a line break.
06/05/2025 - Sacha Pearce - Amended NewSADescriptionFormula to include the following: "SYTEM OPERATIONAL: " &amp; TEXT({!$Record.System_Operational__c})
06/05/2025 - Sacha Pearce - Coreccting typo for "SYSTEM OPERATIONAL"
06/10/2025 - Sacha Pearce - Added Assignments to make sure the correct Parent Record is being entered on Service Appointment creation in the PM branch. Cannot Complete = Original Work Order, Break Fix = New Work Order.
06/10/2025 - Sacha Pearce - V26 - Referenced Assignment in Create Service Appointment element.
06/10/2025 - Sacha Pearce - V27 - Referenced Assignment in Create Service Appointment element. This time Parent Record ID instead of Work Order ID.
06/10/2025 - Sacha Pearce - V28 - Adding Work Type ID equals 08qRo0000000JnRIAU/Break Fix to the Update Varialbes in Work Order to Create BF. Also adding PPMFollowon formula that sets the Internal Designation field to "PPM Follow-on" providing the Service Appointment Modality is Ultrasound and the Work Type is 08qRo0000000JnRIAU/Break Fix.
06/10/2025 - Sacha Pearce - V29 - Amending formula to be smoother and look at Work Type Name from the Get Work Type element, instead of the Create Work Order element.
06/10/2025 - Sacha Pearce - V30 - Amended PPMFollowon formula further to be more robust.
06/12/2025 - Sacha Pearce - V31 - Amended Triggering Record Cannot Compelte to go off the Completed or Cannot Complete Status, not the Triggering Service Appointment Status.</x:v>
      </x:c>
    </x:row>
    <x:row r="755" ht="30" customHeight="1">
      <x:c r="A755" s="117" t="str">
        <x:v>Create_Return_Service_Appointment_Upon_Return_Site_Visit_Required</x:v>
      </x:c>
      <x:c r="B755" s="117" t="str">
        <x:v>300Ro00000QRpykIAD</x:v>
      </x:c>
      <x:c r="C755" s="117" t="str">
        <x:v>301Ro00000iNPpCIAW</x:v>
      </x:c>
      <x:c r="D755" s="118" t="n">
        <x:v>32</x:v>
      </x:c>
      <x:c r="E755" s="117" t="str">
        <x:v>Draft</x:v>
      </x:c>
      <x:c r="F755" s="117" t="str">
        <x:v>No</x:v>
      </x:c>
      <x:c r="G755" s="117" t="str">
        <x:v>No</x:v>
      </x:c>
      <x:c r="H755" s="117" t="str">
        <x:v>AutoLaunchedFlow</x:v>
      </x:c>
      <x:c r="I755" s="118" t="n">
        <x:v>62</x:v>
      </x:c>
      <x:c r="J755" s="117" t="str">
        <x:v>unmanaged</x:v>
      </x:c>
      <x:c r="K755" s="123" t="b">
        <x:v>0</x:v>
      </x:c>
      <x:c r="L755" s="117"/>
      <x:c r="M755" s="118"/>
      <x:c r="N755" s="120" t="n">
        <x:v>45882.85197916667</x:v>
      </x:c>
      <x:c r="O755" s="117" t="str">
        <x:v>Delegate</x:v>
      </x:c>
      <x:c r="P755" s="120" t="n">
        <x:v>45882.85289351852</x:v>
      </x:c>
      <x:c r="Q755" s="117" t="str">
        <x:v>Delegate</x:v>
      </x:c>
      <x:c r="R755" s="117" t="str">
        <x:v>Create Return Service Appointment Upon Return Site Visit Required</x:v>
      </x:c>
      <x:c r="S755" s="119" t="str">
        <x:v>08/05/2025 (BW) - Updated the information that carries over to the next order</x:v>
      </x:c>
    </x:row>
    <x:row r="756" ht="30" customHeight="1">
      <x:c r="A756" s="117" t="str">
        <x:v>Create_Return_Service_Appointment_Upon_Return_Site_Visit_Required</x:v>
      </x:c>
      <x:c r="B756" s="117" t="str">
        <x:v>300Ro00000QRpykIAD</x:v>
      </x:c>
      <x:c r="C756" s="117" t="str">
        <x:v>301Ro00000kLI98IAG</x:v>
      </x:c>
      <x:c r="D756" s="118" t="n">
        <x:v>33</x:v>
      </x:c>
      <x:c r="E756" s="117" t="str">
        <x:v>Obsolete</x:v>
      </x:c>
      <x:c r="F756" s="117" t="str">
        <x:v>No</x:v>
      </x:c>
      <x:c r="G756" s="117" t="str">
        <x:v>No</x:v>
      </x:c>
      <x:c r="H756" s="117" t="str">
        <x:v>AutoLaunchedFlow</x:v>
      </x:c>
      <x:c r="I756" s="118" t="n">
        <x:v>62</x:v>
      </x:c>
      <x:c r="J756" s="117" t="str">
        <x:v>unmanaged</x:v>
      </x:c>
      <x:c r="K756" s="123" t="b">
        <x:v>0</x:v>
      </x:c>
      <x:c r="L756" s="117"/>
      <x:c r="M756" s="118"/>
      <x:c r="N756" s="120" t="n">
        <x:v>45902.537152777775</x:v>
      </x:c>
      <x:c r="O756" s="117" t="str">
        <x:v>Delegate</x:v>
      </x:c>
      <x:c r="P756" s="120" t="n">
        <x:v>45902.53728009259</x:v>
      </x:c>
      <x:c r="Q756" s="117" t="str">
        <x:v>Delegate</x:v>
      </x:c>
      <x:c r="R756" s="117" t="str">
        <x:v>Create Return Service Appointment Upon Return Site Visit Required</x:v>
      </x:c>
      <x:c r="S756" s="119" t="str">
        <x:v>09/02/2025 (BW) - Added Type and Work Order to the Break/Fix newly created service appointment</x:v>
      </x:c>
    </x:row>
    <x:row r="757" ht="30" customHeight="1">
      <x:c r="A757" s="117" t="str">
        <x:v>Create_Return_Service_Appointment_Upon_Return_Site_Visit_Required</x:v>
      </x:c>
      <x:c r="B757" s="117" t="str">
        <x:v>300Ro00000QRpykIAD</x:v>
      </x:c>
      <x:c r="C757" s="117" t="str">
        <x:v>301Ro00000vCKdLIAW</x:v>
      </x:c>
      <x:c r="D757" s="118" t="n">
        <x:v>34</x:v>
      </x:c>
      <x:c r="E757" s="117" t="str">
        <x:v>Obsolete</x:v>
      </x:c>
      <x:c r="F757" s="117" t="str">
        <x:v>No</x:v>
      </x:c>
      <x:c r="G757" s="117" t="str">
        <x:v>No</x:v>
      </x:c>
      <x:c r="H757" s="117" t="str">
        <x:v>AutoLaunchedFlow</x:v>
      </x:c>
      <x:c r="I757" s="118" t="n">
        <x:v>62</x:v>
      </x:c>
      <x:c r="J757" s="117" t="str">
        <x:v>unmanaged</x:v>
      </x:c>
      <x:c r="K757" s="123" t="b">
        <x:v>0</x:v>
      </x:c>
      <x:c r="L757" s="117"/>
      <x:c r="M757" s="118"/>
      <x:c r="N757" s="120" t="n">
        <x:v>46028.62274305556</x:v>
      </x:c>
      <x:c r="O757" s="117" t="str">
        <x:v>Delegate</x:v>
      </x:c>
      <x:c r="P757" s="120" t="n">
        <x:v>46028.62283564815</x:v>
      </x:c>
      <x:c r="Q757" s="117" t="str">
        <x:v>Delegate</x:v>
      </x:c>
      <x:c r="R757" s="117" t="str">
        <x:v>Create Return Service Appointment Upon Return Site Visit Required</x:v>
      </x:c>
      <x:c r="S757" s="119" t="str">
        <x:v>01/06/2026 (BW) - Updated this code so that the revisit does not get generated if the country is United States, excluding US operations cadence from this workflow</x:v>
      </x:c>
    </x:row>
    <x:row r="758" ht="30" customHeight="1">
      <x:c r="A758" s="117" t="str">
        <x:v>Create_Return_Service_Appointment_Upon_Return_Site_Visit_Required</x:v>
      </x:c>
      <x:c r="B758" s="117" t="str">
        <x:v>300Ro00000QRpykIAD</x:v>
      </x:c>
      <x:c r="C758" s="117" t="str">
        <x:v>301Ro00000xCTdlIAG</x:v>
      </x:c>
      <x:c r="D758" s="118" t="n">
        <x:v>35</x:v>
      </x:c>
      <x:c r="E758" s="117" t="str">
        <x:v>Obsolete</x:v>
      </x:c>
      <x:c r="F758" s="117" t="str">
        <x:v>No</x:v>
      </x:c>
      <x:c r="G758" s="117" t="str">
        <x:v>No</x:v>
      </x:c>
      <x:c r="H758" s="117" t="str">
        <x:v>AutoLaunchedFlow</x:v>
      </x:c>
      <x:c r="I758" s="118" t="n">
        <x:v>62</x:v>
      </x:c>
      <x:c r="J758" s="117" t="str">
        <x:v>unmanaged</x:v>
      </x:c>
      <x:c r="K758" s="123" t="b">
        <x:v>0</x:v>
      </x:c>
      <x:c r="L758" s="117"/>
      <x:c r="M758" s="118"/>
      <x:c r="N758" s="120" t="n">
        <x:v>46054.69038194444</x:v>
      </x:c>
      <x:c r="O758" s="117" t="str">
        <x:v>Sacha Pearce</x:v>
      </x:c>
      <x:c r="P758" s="120" t="n">
        <x:v>46054.85188657408</x:v>
      </x:c>
      <x:c r="Q758" s="117" t="str">
        <x:v>Sacha Pearce</x:v>
      </x:c>
      <x:c r="R758" s="117" t="str">
        <x:v>Create Return Service Appointment Upon Return Site Visit Required</x:v>
      </x:c>
      <x:c r="S758" s="119" t="str">
        <x:v>01/06/2026 (BW) - Updated this code so that the revisit does not get generated if the country is United States, excluding US operations cadence from this workflow
31/01/2026 - V35 - SP - Updating to remove the "PPM" route from the "Work Type Differentiation - Site Visit" decision. This was discussed and confirmed with dispatch team members</x:v>
      </x:c>
    </x:row>
    <x:row r="759" ht="30" customHeight="1">
      <x:c r="A759" s="117" t="str">
        <x:v>Create_Return_Service_Appointment_Upon_Return_Site_Visit_Required</x:v>
      </x:c>
      <x:c r="B759" s="117" t="str">
        <x:v>300Ro00000QRpykIAD</x:v>
      </x:c>
      <x:c r="C759" s="117" t="str">
        <x:v>301Ro000018tTE5IAM</x:v>
      </x:c>
      <x:c r="D759" s="118" t="n">
        <x:v>36</x:v>
      </x:c>
      <x:c r="E759" s="117" t="str">
        <x:v>Obsolete</x:v>
      </x:c>
      <x:c r="F759" s="117" t="str">
        <x:v>No</x:v>
      </x:c>
      <x:c r="G759" s="117" t="str">
        <x:v>No</x:v>
      </x:c>
      <x:c r="H759" s="117" t="str">
        <x:v>AutoLaunchedFlow</x:v>
      </x:c>
      <x:c r="I759" s="118" t="n">
        <x:v>62</x:v>
      </x:c>
      <x:c r="J759" s="117" t="str">
        <x:v>unmanaged</x:v>
      </x:c>
      <x:c r="K759" s="123" t="b">
        <x:v>0</x:v>
      </x:c>
      <x:c r="L759" s="117"/>
      <x:c r="M759" s="118"/>
      <x:c r="N759" s="120" t="n">
        <x:v>46191.55579861111</x:v>
      </x:c>
      <x:c r="O759" s="117" t="str">
        <x:v>Sacha Pearce</x:v>
      </x:c>
      <x:c r="P759" s="120" t="n">
        <x:v>46191.55606481482</x:v>
      </x:c>
      <x:c r="Q759" s="117" t="str">
        <x:v>Sacha Pearce</x:v>
      </x:c>
      <x:c r="R759" s="117" t="str">
        <x:v>Create Return Service Appointment Upon Return Site Visit Required</x:v>
      </x:c>
      <x:c r="S759" s="119" t="str">
        <x:v>18/06/2026 - SP - Updating the Flow to create the Service Appointment with the "Location of Equipment" set by the triggering Service Appointment's "Location of Equipment" value.</x:v>
      </x:c>
    </x:row>
    <x:row r="760" ht="30" customHeight="1">
      <x:c r="A760" s="117" t="str">
        <x:v>Create_Return_Service_Appointment_Upon_Return_Site_Visit_Required</x:v>
      </x:c>
      <x:c r="B760" s="117" t="str">
        <x:v>300Ro00000QRpykIAD</x:v>
      </x:c>
      <x:c r="C760" s="117" t="str">
        <x:v>301Ro000018tPlTIAU</x:v>
      </x:c>
      <x:c r="D760" s="118" t="n">
        <x:v>37</x:v>
      </x:c>
      <x:c r="E760" s="117" t="str">
        <x:v>Obsolete</x:v>
      </x:c>
      <x:c r="F760" s="117" t="str">
        <x:v>No</x:v>
      </x:c>
      <x:c r="G760" s="117" t="str">
        <x:v>No</x:v>
      </x:c>
      <x:c r="H760" s="117" t="str">
        <x:v>AutoLaunchedFlow</x:v>
      </x:c>
      <x:c r="I760" s="118" t="n">
        <x:v>62</x:v>
      </x:c>
      <x:c r="J760" s="117" t="str">
        <x:v>unmanaged</x:v>
      </x:c>
      <x:c r="K760" s="123" t="b">
        <x:v>0</x:v>
      </x:c>
      <x:c r="L760" s="117"/>
      <x:c r="M760" s="118"/>
      <x:c r="N760" s="120" t="n">
        <x:v>46191.55793981482</x:v>
      </x:c>
      <x:c r="O760" s="117" t="str">
        <x:v>Sacha Pearce</x:v>
      </x:c>
      <x:c r="P760" s="120" t="n">
        <x:v>46191.55811342593</x:v>
      </x:c>
      <x:c r="Q760" s="117" t="str">
        <x:v>Sacha Pearce</x:v>
      </x:c>
      <x:c r="R760" s="117" t="str">
        <x:v>Create Return Service Appointment Upon Return Site Visit Required</x:v>
      </x:c>
      <x:c r="S760" s="119" t="str">
        <x:v>18/06/2026 - SP - Updating the Flow to create the Service Appointment with the "Location of Equipment" set by the triggering Service Appointment's "Location of Equipment" value.</x:v>
      </x:c>
    </x:row>
    <x:row r="761" ht="30" customHeight="1">
      <x:c r="A761" s="117" t="str">
        <x:v>Create_Return_Service_Appointment_Upon_Return_Site_Visit_Required</x:v>
      </x:c>
      <x:c r="B761" s="117" t="str">
        <x:v>300Ro00000QRpykIAD</x:v>
      </x:c>
      <x:c r="C761" s="117" t="str">
        <x:v>301Ro000018tbWVIAY</x:v>
      </x:c>
      <x:c r="D761" s="118" t="n">
        <x:v>38</x:v>
      </x:c>
      <x:c r="E761" s="117" t="str">
        <x:v>Obsolete</x:v>
      </x:c>
      <x:c r="F761" s="117" t="str">
        <x:v>No</x:v>
      </x:c>
      <x:c r="G761" s="117" t="str">
        <x:v>No</x:v>
      </x:c>
      <x:c r="H761" s="117" t="str">
        <x:v>AutoLaunchedFlow</x:v>
      </x:c>
      <x:c r="I761" s="118" t="n">
        <x:v>62</x:v>
      </x:c>
      <x:c r="J761" s="117" t="str">
        <x:v>unmanaged</x:v>
      </x:c>
      <x:c r="K761" s="123" t="b">
        <x:v>0</x:v>
      </x:c>
      <x:c r="L761" s="117"/>
      <x:c r="M761" s="118"/>
      <x:c r="N761" s="120" t="n">
        <x:v>46191.563159722224</x:v>
      </x:c>
      <x:c r="O761" s="117" t="str">
        <x:v>Sacha Pearce</x:v>
      </x:c>
      <x:c r="P761" s="120" t="n">
        <x:v>46191.563263888886</x:v>
      </x:c>
      <x:c r="Q761" s="117" t="str">
        <x:v>Sacha Pearce</x:v>
      </x:c>
      <x:c r="R761" s="117" t="str">
        <x:v>Create Return Service Appointment Upon Return Site Visit Required</x:v>
      </x:c>
      <x:c r="S761" s="119" t="str">
        <x:v>18/06/2026 - SP - Updating the Flow to create the Service Appointment with the address fields set by the triggering Service Appointment's address fields. The record type has also been updated to "UK Service Appointment".</x:v>
      </x:c>
    </x:row>
    <x:row r="762" ht="30" customHeight="1">
      <x:c r="A762" s="117" t="str">
        <x:v>Create_Return_Service_Appointment_Upon_Return_Site_Visit_Required</x:v>
      </x:c>
      <x:c r="B762" s="117" t="str">
        <x:v>300Ro00000QRpykIAD</x:v>
      </x:c>
      <x:c r="C762" s="117" t="str">
        <x:v>301Ro00001Ca28jIAB</x:v>
      </x:c>
      <x:c r="D762" s="118" t="n">
        <x:v>39</x:v>
      </x:c>
      <x:c r="E762" s="117" t="str">
        <x:v>Active</x:v>
      </x:c>
      <x:c r="F762" s="117" t="str">
        <x:v>Yes</x:v>
      </x:c>
      <x:c r="G762" s="117" t="str">
        <x:v>Yes</x:v>
      </x:c>
      <x:c r="H762" s="117" t="str">
        <x:v>AutoLaunchedFlow</x:v>
      </x:c>
      <x:c r="I762" s="118" t="n">
        <x:v>62</x:v>
      </x:c>
      <x:c r="J762" s="117" t="str">
        <x:v>unmanaged</x:v>
      </x:c>
      <x:c r="K762" s="123" t="b">
        <x:v>0</x:v>
      </x:c>
      <x:c r="L762" s="117"/>
      <x:c r="M762" s="118"/>
      <x:c r="N762" s="120" t="n">
        <x:v>46232.39902777778</x:v>
      </x:c>
      <x:c r="O762" s="117" t="str">
        <x:v>Sacha Pearce</x:v>
      </x:c>
      <x:c r="P762" s="120" t="n">
        <x:v>46232.39913194445</x:v>
      </x:c>
      <x:c r="Q762" s="117" t="str">
        <x:v>Sacha Pearce</x:v>
      </x:c>
      <x:c r="R762" s="117" t="str">
        <x:v>Create Return Service Appointment Upon Return Site Visit Required</x:v>
      </x:c>
      <x:c r="S762" s="119" t="str">
        <x:v>29/07/2026 - SP - Updating the Flow to pull the Contract Line Item from the previous Service Appointment in the "Create New Service Appointment" create records element.</x:v>
      </x:c>
    </x:row>
    <x:row r="763" ht="30" customHeight="1">
      <x:c r="A763" s="117" t="str">
        <x:v>Create_RMA_From_Customer_Portal</x:v>
      </x:c>
      <x:c r="B763" s="117" t="str">
        <x:v>3005b000000H1muAAC</x:v>
      </x:c>
      <x:c r="C763" s="117" t="str">
        <x:v>3015b000000EAV0AAO</x:v>
      </x:c>
      <x:c r="D763" s="118" t="n">
        <x:v>1</x:v>
      </x:c>
      <x:c r="E763" s="117" t="str">
        <x:v>Draft</x:v>
      </x:c>
      <x:c r="F763" s="117" t="str">
        <x:v>No</x:v>
      </x:c>
      <x:c r="G763" s="117" t="str">
        <x:v>Yes</x:v>
      </x:c>
      <x:c r="H763" s="117" t="str">
        <x:v>Flow</x:v>
      </x:c>
      <x:c r="I763" s="118" t="n">
        <x:v>52</x:v>
      </x:c>
      <x:c r="J763" s="117" t="str">
        <x:v>unmanaged</x:v>
      </x:c>
      <x:c r="K763" s="123" t="b">
        <x:v>0</x:v>
      </x:c>
      <x:c r="L763" s="117"/>
      <x:c r="M763" s="118"/>
      <x:c r="N763" s="120" t="n">
        <x:v>44453.75958333333</x:v>
      </x:c>
      <x:c r="O763" s="117" t="str">
        <x:v>Natalie Boger</x:v>
      </x:c>
      <x:c r="P763" s="120" t="n">
        <x:v>44453.75959490741</x:v>
      </x:c>
      <x:c r="Q763" s="117" t="str">
        <x:v>Natalie Boger</x:v>
      </x:c>
      <x:c r="R763" s="117" t="str">
        <x:v>Create RMA From Customer Portal</x:v>
      </x:c>
      <x:c r="S763" s="119"/>
    </x:row>
    <x:row r="764" ht="30" customHeight="1">
      <x:c r="A764" s="117" t="str">
        <x:v>Create_RMA_from_Work_Order</x:v>
      </x:c>
      <x:c r="B764" s="117" t="str">
        <x:v>3005b000000H3uHAAS</x:v>
      </x:c>
      <x:c r="C764" s="117" t="str">
        <x:v>3015b000000EK5qAAG</x:v>
      </x:c>
      <x:c r="D764" s="118" t="n">
        <x:v>1</x:v>
      </x:c>
      <x:c r="E764" s="117" t="str">
        <x:v>Obsolete</x:v>
      </x:c>
      <x:c r="F764" s="117" t="str">
        <x:v>No</x:v>
      </x:c>
      <x:c r="G764" s="117" t="str">
        <x:v>No</x:v>
      </x:c>
      <x:c r="H764" s="117" t="str">
        <x:v>Flow</x:v>
      </x:c>
      <x:c r="I764" s="118" t="n">
        <x:v>54</x:v>
      </x:c>
      <x:c r="J764" s="117" t="str">
        <x:v>unmanaged</x:v>
      </x:c>
      <x:c r="K764" s="123" t="b">
        <x:v>0</x:v>
      </x:c>
      <x:c r="L764" s="117"/>
      <x:c r="M764" s="118"/>
      <x:c r="N764" s="120" t="n">
        <x:v>44715.67476851852</x:v>
      </x:c>
      <x:c r="O764" s="117" t="str">
        <x:v>Jace Gentil</x:v>
      </x:c>
      <x:c r="P764" s="120" t="n">
        <x:v>44715.67491898148</x:v>
      </x:c>
      <x:c r="Q764" s="117" t="str">
        <x:v>Jace Gentil</x:v>
      </x:c>
      <x:c r="R764" s="117" t="str">
        <x:v>Create RMA from Work Order</x:v>
      </x:c>
      <x:c r="S764" s="119"/>
    </x:row>
    <x:row r="765" ht="30" customHeight="1">
      <x:c r="A765" s="117" t="str">
        <x:v>Create_RMA_from_Work_Order</x:v>
      </x:c>
      <x:c r="B765" s="117" t="str">
        <x:v>3005b000000H3uHAAS</x:v>
      </x:c>
      <x:c r="C765" s="117" t="str">
        <x:v>3015b000000EK5vAAG</x:v>
      </x:c>
      <x:c r="D765" s="118" t="n">
        <x:v>2</x:v>
      </x:c>
      <x:c r="E765" s="117" t="str">
        <x:v>Obsolete</x:v>
      </x:c>
      <x:c r="F765" s="117" t="str">
        <x:v>No</x:v>
      </x:c>
      <x:c r="G765" s="117" t="str">
        <x:v>No</x:v>
      </x:c>
      <x:c r="H765" s="117" t="str">
        <x:v>Flow</x:v>
      </x:c>
      <x:c r="I765" s="118" t="n">
        <x:v>54</x:v>
      </x:c>
      <x:c r="J765" s="117" t="str">
        <x:v>unmanaged</x:v>
      </x:c>
      <x:c r="K765" s="123" t="b">
        <x:v>0</x:v>
      </x:c>
      <x:c r="L765" s="117"/>
      <x:c r="M765" s="118"/>
      <x:c r="N765" s="120" t="n">
        <x:v>44715.68324074074</x:v>
      </x:c>
      <x:c r="O765" s="117" t="str">
        <x:v>Jace Gentil</x:v>
      </x:c>
      <x:c r="P765" s="120" t="n">
        <x:v>44715.68326388889</x:v>
      </x:c>
      <x:c r="Q765" s="117" t="str">
        <x:v>Jace Gentil</x:v>
      </x:c>
      <x:c r="R765" s="117" t="str">
        <x:v>Create RMA from Work Order</x:v>
      </x:c>
      <x:c r="S765" s="119"/>
    </x:row>
    <x:row r="766" ht="30" customHeight="1">
      <x:c r="A766" s="117" t="str">
        <x:v>Create_RMA_from_Work_Order</x:v>
      </x:c>
      <x:c r="B766" s="117" t="str">
        <x:v>3005b000000H3uHAAS</x:v>
      </x:c>
      <x:c r="C766" s="117" t="str">
        <x:v>3015b000000EK60AAG</x:v>
      </x:c>
      <x:c r="D766" s="118" t="n">
        <x:v>3</x:v>
      </x:c>
      <x:c r="E766" s="117" t="str">
        <x:v>Obsolete</x:v>
      </x:c>
      <x:c r="F766" s="117" t="str">
        <x:v>No</x:v>
      </x:c>
      <x:c r="G766" s="117" t="str">
        <x:v>No</x:v>
      </x:c>
      <x:c r="H766" s="117" t="str">
        <x:v>Flow</x:v>
      </x:c>
      <x:c r="I766" s="118" t="n">
        <x:v>54</x:v>
      </x:c>
      <x:c r="J766" s="117" t="str">
        <x:v>unmanaged</x:v>
      </x:c>
      <x:c r="K766" s="123" t="b">
        <x:v>0</x:v>
      </x:c>
      <x:c r="L766" s="117"/>
      <x:c r="M766" s="118"/>
      <x:c r="N766" s="120" t="n">
        <x:v>44715.68997685185</x:v>
      </x:c>
      <x:c r="O766" s="117" t="str">
        <x:v>Jace Gentil</x:v>
      </x:c>
      <x:c r="P766" s="120" t="n">
        <x:v>44715.690046296295</x:v>
      </x:c>
      <x:c r="Q766" s="117" t="str">
        <x:v>Jace Gentil</x:v>
      </x:c>
      <x:c r="R766" s="117" t="str">
        <x:v>Create RMA from Work Order</x:v>
      </x:c>
      <x:c r="S766" s="119"/>
    </x:row>
    <x:row r="767" ht="30" customHeight="1">
      <x:c r="A767" s="117" t="str">
        <x:v>Create_RMA_from_Work_Order</x:v>
      </x:c>
      <x:c r="B767" s="117" t="str">
        <x:v>3005b000000H3uHAAS</x:v>
      </x:c>
      <x:c r="C767" s="117" t="str">
        <x:v>3015b000000EK65AAG</x:v>
      </x:c>
      <x:c r="D767" s="118" t="n">
        <x:v>4</x:v>
      </x:c>
      <x:c r="E767" s="117" t="str">
        <x:v>Obsolete</x:v>
      </x:c>
      <x:c r="F767" s="117" t="str">
        <x:v>No</x:v>
      </x:c>
      <x:c r="G767" s="117" t="str">
        <x:v>No</x:v>
      </x:c>
      <x:c r="H767" s="117" t="str">
        <x:v>Flow</x:v>
      </x:c>
      <x:c r="I767" s="118" t="n">
        <x:v>54</x:v>
      </x:c>
      <x:c r="J767" s="117" t="str">
        <x:v>unmanaged</x:v>
      </x:c>
      <x:c r="K767" s="123" t="b">
        <x:v>0</x:v>
      </x:c>
      <x:c r="L767" s="117"/>
      <x:c r="M767" s="118"/>
      <x:c r="N767" s="120" t="n">
        <x:v>44715.691724537035</x:v>
      </x:c>
      <x:c r="O767" s="117" t="str">
        <x:v>Jace Gentil</x:v>
      </x:c>
      <x:c r="P767" s="120" t="n">
        <x:v>44715.69175925926</x:v>
      </x:c>
      <x:c r="Q767" s="117" t="str">
        <x:v>Jace Gentil</x:v>
      </x:c>
      <x:c r="R767" s="117" t="str">
        <x:v>Create RMA from Work Order</x:v>
      </x:c>
      <x:c r="S767" s="119"/>
    </x:row>
    <x:row r="768" ht="30" customHeight="1">
      <x:c r="A768" s="117" t="str">
        <x:v>Create_RMA_from_Work_Order</x:v>
      </x:c>
      <x:c r="B768" s="117" t="str">
        <x:v>3005b000000H3uHAAS</x:v>
      </x:c>
      <x:c r="C768" s="117" t="str">
        <x:v>3015b000000EK6AAAW</x:v>
      </x:c>
      <x:c r="D768" s="118" t="n">
        <x:v>5</x:v>
      </x:c>
      <x:c r="E768" s="117" t="str">
        <x:v>Obsolete</x:v>
      </x:c>
      <x:c r="F768" s="117" t="str">
        <x:v>No</x:v>
      </x:c>
      <x:c r="G768" s="117" t="str">
        <x:v>No</x:v>
      </x:c>
      <x:c r="H768" s="117" t="str">
        <x:v>Flow</x:v>
      </x:c>
      <x:c r="I768" s="118" t="n">
        <x:v>54</x:v>
      </x:c>
      <x:c r="J768" s="117" t="str">
        <x:v>unmanaged</x:v>
      </x:c>
      <x:c r="K768" s="123" t="b">
        <x:v>0</x:v>
      </x:c>
      <x:c r="L768" s="117"/>
      <x:c r="M768" s="118"/>
      <x:c r="N768" s="120" t="n">
        <x:v>44715.69256944444</x:v>
      </x:c>
      <x:c r="O768" s="117" t="str">
        <x:v>Jace Gentil</x:v>
      </x:c>
      <x:c r="P768" s="120" t="n">
        <x:v>44715.69260416667</x:v>
      </x:c>
      <x:c r="Q768" s="117" t="str">
        <x:v>Jace Gentil</x:v>
      </x:c>
      <x:c r="R768" s="117" t="str">
        <x:v>Create RMA from Work Order</x:v>
      </x:c>
      <x:c r="S768" s="119"/>
    </x:row>
    <x:row r="769" ht="30" customHeight="1">
      <x:c r="A769" s="117" t="str">
        <x:v>Create_RMA_from_Work_Order</x:v>
      </x:c>
      <x:c r="B769" s="117" t="str">
        <x:v>3005b000000H3uHAAS</x:v>
      </x:c>
      <x:c r="C769" s="117" t="str">
        <x:v>3015b000000EK6FAAW</x:v>
      </x:c>
      <x:c r="D769" s="118" t="n">
        <x:v>6</x:v>
      </x:c>
      <x:c r="E769" s="117" t="str">
        <x:v>Obsolete</x:v>
      </x:c>
      <x:c r="F769" s="117" t="str">
        <x:v>No</x:v>
      </x:c>
      <x:c r="G769" s="117" t="str">
        <x:v>No</x:v>
      </x:c>
      <x:c r="H769" s="117" t="str">
        <x:v>Flow</x:v>
      </x:c>
      <x:c r="I769" s="118" t="n">
        <x:v>54</x:v>
      </x:c>
      <x:c r="J769" s="117" t="str">
        <x:v>unmanaged</x:v>
      </x:c>
      <x:c r="K769" s="123" t="b">
        <x:v>0</x:v>
      </x:c>
      <x:c r="L769" s="117"/>
      <x:c r="M769" s="118"/>
      <x:c r="N769" s="120" t="n">
        <x:v>44715.70775462963</x:v>
      </x:c>
      <x:c r="O769" s="117" t="str">
        <x:v>Jace Gentil</x:v>
      </x:c>
      <x:c r="P769" s="120" t="n">
        <x:v>44715.70778935185</x:v>
      </x:c>
      <x:c r="Q769" s="117" t="str">
        <x:v>Jace Gentil</x:v>
      </x:c>
      <x:c r="R769" s="117" t="str">
        <x:v>Create RMA from Work Order</x:v>
      </x:c>
      <x:c r="S769" s="119"/>
    </x:row>
    <x:row r="770" ht="30" customHeight="1">
      <x:c r="A770" s="117" t="str">
        <x:v>Create_RMA_from_Work_Order</x:v>
      </x:c>
      <x:c r="B770" s="117" t="str">
        <x:v>3005b000000H3uHAAS</x:v>
      </x:c>
      <x:c r="C770" s="117" t="str">
        <x:v>3015b000000EK6KAAW</x:v>
      </x:c>
      <x:c r="D770" s="118" t="n">
        <x:v>7</x:v>
      </x:c>
      <x:c r="E770" s="117" t="str">
        <x:v>Obsolete</x:v>
      </x:c>
      <x:c r="F770" s="117" t="str">
        <x:v>No</x:v>
      </x:c>
      <x:c r="G770" s="117" t="str">
        <x:v>No</x:v>
      </x:c>
      <x:c r="H770" s="117" t="str">
        <x:v>Flow</x:v>
      </x:c>
      <x:c r="I770" s="118" t="n">
        <x:v>54</x:v>
      </x:c>
      <x:c r="J770" s="117" t="str">
        <x:v>unmanaged</x:v>
      </x:c>
      <x:c r="K770" s="123" t="b">
        <x:v>0</x:v>
      </x:c>
      <x:c r="L770" s="117"/>
      <x:c r="M770" s="118"/>
      <x:c r="N770" s="120" t="n">
        <x:v>44715.708090277774</x:v>
      </x:c>
      <x:c r="O770" s="117" t="str">
        <x:v>Jace Gentil</x:v>
      </x:c>
      <x:c r="P770" s="120" t="n">
        <x:v>44715.70815972222</x:v>
      </x:c>
      <x:c r="Q770" s="117" t="str">
        <x:v>Jace Gentil</x:v>
      </x:c>
      <x:c r="R770" s="117" t="str">
        <x:v>Create RMA from Work Order</x:v>
      </x:c>
      <x:c r="S770" s="119"/>
    </x:row>
    <x:row r="771" ht="30" customHeight="1">
      <x:c r="A771" s="117" t="str">
        <x:v>Create_RMA_from_Work_Order</x:v>
      </x:c>
      <x:c r="B771" s="117" t="str">
        <x:v>3005b000000H3uHAAS</x:v>
      </x:c>
      <x:c r="C771" s="117" t="str">
        <x:v>3015b000000EKDGAA4</x:v>
      </x:c>
      <x:c r="D771" s="118" t="n">
        <x:v>8</x:v>
      </x:c>
      <x:c r="E771" s="117" t="str">
        <x:v>Obsolete</x:v>
      </x:c>
      <x:c r="F771" s="117" t="str">
        <x:v>No</x:v>
      </x:c>
      <x:c r="G771" s="117" t="str">
        <x:v>No</x:v>
      </x:c>
      <x:c r="H771" s="117" t="str">
        <x:v>Flow</x:v>
      </x:c>
      <x:c r="I771" s="118" t="n">
        <x:v>54</x:v>
      </x:c>
      <x:c r="J771" s="117" t="str">
        <x:v>unmanaged</x:v>
      </x:c>
      <x:c r="K771" s="123" t="b">
        <x:v>0</x:v>
      </x:c>
      <x:c r="L771" s="117"/>
      <x:c r="M771" s="118"/>
      <x:c r="N771" s="120" t="n">
        <x:v>44722.361180555556</x:v>
      </x:c>
      <x:c r="O771" s="117" t="str">
        <x:v>Jace Gentil</x:v>
      </x:c>
      <x:c r="P771" s="120" t="n">
        <x:v>44722.361226851855</x:v>
      </x:c>
      <x:c r="Q771" s="117" t="str">
        <x:v>Jace Gentil</x:v>
      </x:c>
      <x:c r="R771" s="117" t="str">
        <x:v>Create RMA from Work Order</x:v>
      </x:c>
      <x:c r="S771" s="119"/>
    </x:row>
    <x:row r="772" ht="30" customHeight="1">
      <x:c r="A772" s="117" t="str">
        <x:v>Create_RMA_from_Work_Order</x:v>
      </x:c>
      <x:c r="B772" s="117" t="str">
        <x:v>3005b000000H3uHAAS</x:v>
      </x:c>
      <x:c r="C772" s="117" t="str">
        <x:v>3015b000000EKDHAA4</x:v>
      </x:c>
      <x:c r="D772" s="118" t="n">
        <x:v>9</x:v>
      </x:c>
      <x:c r="E772" s="117" t="str">
        <x:v>Obsolete</x:v>
      </x:c>
      <x:c r="F772" s="117" t="str">
        <x:v>No</x:v>
      </x:c>
      <x:c r="G772" s="117" t="str">
        <x:v>No</x:v>
      </x:c>
      <x:c r="H772" s="117" t="str">
        <x:v>Flow</x:v>
      </x:c>
      <x:c r="I772" s="118" t="n">
        <x:v>54</x:v>
      </x:c>
      <x:c r="J772" s="117" t="str">
        <x:v>unmanaged</x:v>
      </x:c>
      <x:c r="K772" s="123" t="b">
        <x:v>0</x:v>
      </x:c>
      <x:c r="L772" s="117"/>
      <x:c r="M772" s="118"/>
      <x:c r="N772" s="120" t="n">
        <x:v>44722.363333333335</x:v>
      </x:c>
      <x:c r="O772" s="117" t="str">
        <x:v>Jace Gentil</x:v>
      </x:c>
      <x:c r="P772" s="120" t="n">
        <x:v>44722.36337962963</x:v>
      </x:c>
      <x:c r="Q772" s="117" t="str">
        <x:v>Jace Gentil</x:v>
      </x:c>
      <x:c r="R772" s="117" t="str">
        <x:v>Create RMA from Work Order</x:v>
      </x:c>
      <x:c r="S772" s="119"/>
    </x:row>
    <x:row r="773" ht="30" customHeight="1">
      <x:c r="A773" s="117" t="str">
        <x:v>Create_RMA_from_Work_Order</x:v>
      </x:c>
      <x:c r="B773" s="117" t="str">
        <x:v>3005b000000H3uHAAS</x:v>
      </x:c>
      <x:c r="C773" s="117" t="str">
        <x:v>3015b000000EKDLAA4</x:v>
      </x:c>
      <x:c r="D773" s="118" t="n">
        <x:v>10</x:v>
      </x:c>
      <x:c r="E773" s="117" t="str">
        <x:v>Obsolete</x:v>
      </x:c>
      <x:c r="F773" s="117" t="str">
        <x:v>No</x:v>
      </x:c>
      <x:c r="G773" s="117" t="str">
        <x:v>No</x:v>
      </x:c>
      <x:c r="H773" s="117" t="str">
        <x:v>Flow</x:v>
      </x:c>
      <x:c r="I773" s="118" t="n">
        <x:v>54</x:v>
      </x:c>
      <x:c r="J773" s="117" t="str">
        <x:v>unmanaged</x:v>
      </x:c>
      <x:c r="K773" s="123" t="b">
        <x:v>0</x:v>
      </x:c>
      <x:c r="L773" s="117"/>
      <x:c r="M773" s="118"/>
      <x:c r="N773" s="120" t="n">
        <x:v>44722.365208333336</x:v>
      </x:c>
      <x:c r="O773" s="117" t="str">
        <x:v>Jace Gentil</x:v>
      </x:c>
      <x:c r="P773" s="120" t="n">
        <x:v>44722.36525462963</x:v>
      </x:c>
      <x:c r="Q773" s="117" t="str">
        <x:v>Jace Gentil</x:v>
      </x:c>
      <x:c r="R773" s="117" t="str">
        <x:v>Create RMA from Work Order</x:v>
      </x:c>
      <x:c r="S773" s="119"/>
    </x:row>
    <x:row r="774" ht="30" customHeight="1">
      <x:c r="A774" s="117" t="str">
        <x:v>Create_RMA_from_Work_Order</x:v>
      </x:c>
      <x:c r="B774" s="117" t="str">
        <x:v>3005b000000H3uHAAS</x:v>
      </x:c>
      <x:c r="C774" s="117" t="str">
        <x:v>3015b000000EKDQAA4</x:v>
      </x:c>
      <x:c r="D774" s="118" t="n">
        <x:v>11</x:v>
      </x:c>
      <x:c r="E774" s="117" t="str">
        <x:v>Obsolete</x:v>
      </x:c>
      <x:c r="F774" s="117" t="str">
        <x:v>No</x:v>
      </x:c>
      <x:c r="G774" s="117" t="str">
        <x:v>No</x:v>
      </x:c>
      <x:c r="H774" s="117" t="str">
        <x:v>Flow</x:v>
      </x:c>
      <x:c r="I774" s="118" t="n">
        <x:v>54</x:v>
      </x:c>
      <x:c r="J774" s="117" t="str">
        <x:v>unmanaged</x:v>
      </x:c>
      <x:c r="K774" s="123" t="b">
        <x:v>0</x:v>
      </x:c>
      <x:c r="L774" s="117"/>
      <x:c r="M774" s="118"/>
      <x:c r="N774" s="120" t="n">
        <x:v>44722.36980324074</x:v>
      </x:c>
      <x:c r="O774" s="117" t="str">
        <x:v>Jace Gentil</x:v>
      </x:c>
      <x:c r="P774" s="120" t="n">
        <x:v>44722.36984953703</x:v>
      </x:c>
      <x:c r="Q774" s="117" t="str">
        <x:v>Jace Gentil</x:v>
      </x:c>
      <x:c r="R774" s="117" t="str">
        <x:v>Create RMA from Work Order</x:v>
      </x:c>
      <x:c r="S774" s="119"/>
    </x:row>
    <x:row r="775" ht="30" customHeight="1">
      <x:c r="A775" s="117" t="str">
        <x:v>Create_RMA_from_Work_Order</x:v>
      </x:c>
      <x:c r="B775" s="117" t="str">
        <x:v>3005b000000H3uHAAS</x:v>
      </x:c>
      <x:c r="C775" s="117" t="str">
        <x:v>3015b000000EKDaAAO</x:v>
      </x:c>
      <x:c r="D775" s="118" t="n">
        <x:v>12</x:v>
      </x:c>
      <x:c r="E775" s="117" t="str">
        <x:v>Obsolete</x:v>
      </x:c>
      <x:c r="F775" s="117" t="str">
        <x:v>No</x:v>
      </x:c>
      <x:c r="G775" s="117" t="str">
        <x:v>No</x:v>
      </x:c>
      <x:c r="H775" s="117" t="str">
        <x:v>Flow</x:v>
      </x:c>
      <x:c r="I775" s="118" t="n">
        <x:v>54</x:v>
      </x:c>
      <x:c r="J775" s="117" t="str">
        <x:v>unmanaged</x:v>
      </x:c>
      <x:c r="K775" s="123" t="b">
        <x:v>0</x:v>
      </x:c>
      <x:c r="L775" s="117"/>
      <x:c r="M775" s="118"/>
      <x:c r="N775" s="120" t="n">
        <x:v>44722.520844907405</x:v>
      </x:c>
      <x:c r="O775" s="117" t="str">
        <x:v>Jace Gentil</x:v>
      </x:c>
      <x:c r="P775" s="120" t="n">
        <x:v>44722.520891203705</x:v>
      </x:c>
      <x:c r="Q775" s="117" t="str">
        <x:v>Jace Gentil</x:v>
      </x:c>
      <x:c r="R775" s="117" t="str">
        <x:v>Create RMA from Work Order</x:v>
      </x:c>
      <x:c r="S775" s="119"/>
    </x:row>
    <x:row r="776" ht="30" customHeight="1">
      <x:c r="A776" s="117" t="str">
        <x:v>Create_RMA_from_Work_Order</x:v>
      </x:c>
      <x:c r="B776" s="117" t="str">
        <x:v>3005b000000H3uHAAS</x:v>
      </x:c>
      <x:c r="C776" s="117" t="str">
        <x:v>3015b000000EKLeAAO</x:v>
      </x:c>
      <x:c r="D776" s="118" t="n">
        <x:v>13</x:v>
      </x:c>
      <x:c r="E776" s="117" t="str">
        <x:v>Obsolete</x:v>
      </x:c>
      <x:c r="F776" s="117" t="str">
        <x:v>No</x:v>
      </x:c>
      <x:c r="G776" s="117" t="str">
        <x:v>No</x:v>
      </x:c>
      <x:c r="H776" s="117" t="str">
        <x:v>Flow</x:v>
      </x:c>
      <x:c r="I776" s="118" t="n">
        <x:v>54</x:v>
      </x:c>
      <x:c r="J776" s="117" t="str">
        <x:v>unmanaged</x:v>
      </x:c>
      <x:c r="K776" s="123" t="b">
        <x:v>0</x:v>
      </x:c>
      <x:c r="L776" s="117"/>
      <x:c r="M776" s="118"/>
      <x:c r="N776" s="120" t="n">
        <x:v>44728.50896990741</x:v>
      </x:c>
      <x:c r="O776" s="117" t="str">
        <x:v>Probo Medical Ltd Admin</x:v>
      </x:c>
      <x:c r="P776" s="120" t="n">
        <x:v>44728.5090162037</x:v>
      </x:c>
      <x:c r="Q776" s="117" t="str">
        <x:v>Probo Medical Ltd Admin</x:v>
      </x:c>
      <x:c r="R776" s="117" t="str">
        <x:v>Create RMA from Work Order</x:v>
      </x:c>
      <x:c r="S776" s="119"/>
    </x:row>
    <x:row r="777" ht="30" customHeight="1">
      <x:c r="A777" s="117" t="str">
        <x:v>Create_RMA_from_Work_Order</x:v>
      </x:c>
      <x:c r="B777" s="117" t="str">
        <x:v>3005b000000H3uHAAS</x:v>
      </x:c>
      <x:c r="C777" s="117" t="str">
        <x:v>3015b000000EKVPAA4</x:v>
      </x:c>
      <x:c r="D777" s="118" t="n">
        <x:v>14</x:v>
      </x:c>
      <x:c r="E777" s="117" t="str">
        <x:v>Obsolete</x:v>
      </x:c>
      <x:c r="F777" s="117" t="str">
        <x:v>No</x:v>
      </x:c>
      <x:c r="G777" s="117" t="str">
        <x:v>No</x:v>
      </x:c>
      <x:c r="H777" s="117" t="str">
        <x:v>Flow</x:v>
      </x:c>
      <x:c r="I777" s="118" t="n">
        <x:v>54</x:v>
      </x:c>
      <x:c r="J777" s="117" t="str">
        <x:v>unmanaged</x:v>
      </x:c>
      <x:c r="K777" s="123" t="b">
        <x:v>0</x:v>
      </x:c>
      <x:c r="L777" s="117"/>
      <x:c r="M777" s="118"/>
      <x:c r="N777" s="120" t="n">
        <x:v>44733.77274305555</x:v>
      </x:c>
      <x:c r="O777" s="117" t="str">
        <x:v>Jace Gentil</x:v>
      </x:c>
      <x:c r="P777" s="120" t="n">
        <x:v>44733.773252314815</x:v>
      </x:c>
      <x:c r="Q777" s="117" t="str">
        <x:v>Jace Gentil</x:v>
      </x:c>
      <x:c r="R777" s="117" t="str">
        <x:v>Create RMA from Work Order</x:v>
      </x:c>
      <x:c r="S777" s="119"/>
    </x:row>
    <x:row r="778" ht="30" customHeight="1">
      <x:c r="A778" s="117" t="str">
        <x:v>Create_RMA_from_Work_Order</x:v>
      </x:c>
      <x:c r="B778" s="117" t="str">
        <x:v>3005b000000H3uHAAS</x:v>
      </x:c>
      <x:c r="C778" s="117" t="str">
        <x:v>3015b000000EKcVAAW</x:v>
      </x:c>
      <x:c r="D778" s="118" t="n">
        <x:v>15</x:v>
      </x:c>
      <x:c r="E778" s="117" t="str">
        <x:v>Obsolete</x:v>
      </x:c>
      <x:c r="F778" s="117" t="str">
        <x:v>No</x:v>
      </x:c>
      <x:c r="G778" s="117" t="str">
        <x:v>No</x:v>
      </x:c>
      <x:c r="H778" s="117" t="str">
        <x:v>Flow</x:v>
      </x:c>
      <x:c r="I778" s="118" t="n">
        <x:v>54</x:v>
      </x:c>
      <x:c r="J778" s="117" t="str">
        <x:v>unmanaged</x:v>
      </x:c>
      <x:c r="K778" s="123" t="b">
        <x:v>0</x:v>
      </x:c>
      <x:c r="L778" s="117"/>
      <x:c r="M778" s="118"/>
      <x:c r="N778" s="120" t="n">
        <x:v>44741.674988425926</x:v>
      </x:c>
      <x:c r="O778" s="117" t="str">
        <x:v>Probo Medical Ltd Admin</x:v>
      </x:c>
      <x:c r="P778" s="120" t="n">
        <x:v>44741.67528935185</x:v>
      </x:c>
      <x:c r="Q778" s="117" t="str">
        <x:v>Probo Medical Ltd Admin</x:v>
      </x:c>
      <x:c r="R778" s="117" t="str">
        <x:v>Create RMA from Work Order</x:v>
      </x:c>
      <x:c r="S778" s="119"/>
    </x:row>
    <x:row r="779" ht="30" customHeight="1">
      <x:c r="A779" s="117" t="str">
        <x:v>Create_RMA_from_Work_Order</x:v>
      </x:c>
      <x:c r="B779" s="117" t="str">
        <x:v>3005b000000H3uHAAS</x:v>
      </x:c>
      <x:c r="C779" s="117" t="str">
        <x:v>3015b000000EKcaAAG</x:v>
      </x:c>
      <x:c r="D779" s="118" t="n">
        <x:v>16</x:v>
      </x:c>
      <x:c r="E779" s="117" t="str">
        <x:v>Obsolete</x:v>
      </x:c>
      <x:c r="F779" s="117" t="str">
        <x:v>No</x:v>
      </x:c>
      <x:c r="G779" s="117" t="str">
        <x:v>No</x:v>
      </x:c>
      <x:c r="H779" s="117" t="str">
        <x:v>Flow</x:v>
      </x:c>
      <x:c r="I779" s="118" t="n">
        <x:v>54</x:v>
      </x:c>
      <x:c r="J779" s="117" t="str">
        <x:v>unmanaged</x:v>
      </x:c>
      <x:c r="K779" s="123" t="b">
        <x:v>0</x:v>
      </x:c>
      <x:c r="L779" s="117"/>
      <x:c r="M779" s="118"/>
      <x:c r="N779" s="120" t="n">
        <x:v>44741.691157407404</x:v>
      </x:c>
      <x:c r="O779" s="117" t="str">
        <x:v>Probo Medical Ltd Admin</x:v>
      </x:c>
      <x:c r="P779" s="120" t="n">
        <x:v>44741.69125</x:v>
      </x:c>
      <x:c r="Q779" s="117" t="str">
        <x:v>Probo Medical Ltd Admin</x:v>
      </x:c>
      <x:c r="R779" s="117" t="str">
        <x:v>Create RMA from Work Order</x:v>
      </x:c>
      <x:c r="S779" s="119"/>
    </x:row>
    <x:row r="780" ht="30" customHeight="1">
      <x:c r="A780" s="117" t="str">
        <x:v>Create_RMA_from_Work_Order</x:v>
      </x:c>
      <x:c r="B780" s="117" t="str">
        <x:v>3005b000000H3uHAAS</x:v>
      </x:c>
      <x:c r="C780" s="117" t="str">
        <x:v>3015b000000AEdcAAG</x:v>
      </x:c>
      <x:c r="D780" s="118" t="n">
        <x:v>17</x:v>
      </x:c>
      <x:c r="E780" s="117" t="str">
        <x:v>Obsolete</x:v>
      </x:c>
      <x:c r="F780" s="117" t="str">
        <x:v>No</x:v>
      </x:c>
      <x:c r="G780" s="117" t="str">
        <x:v>No</x:v>
      </x:c>
      <x:c r="H780" s="117" t="str">
        <x:v>Flow</x:v>
      </x:c>
      <x:c r="I780" s="118" t="n">
        <x:v>54</x:v>
      </x:c>
      <x:c r="J780" s="117" t="str">
        <x:v>unmanaged</x:v>
      </x:c>
      <x:c r="K780" s="123" t="b">
        <x:v>0</x:v>
      </x:c>
      <x:c r="L780" s="117"/>
      <x:c r="M780" s="118"/>
      <x:c r="N780" s="120" t="n">
        <x:v>44945.68709490741</x:v>
      </x:c>
      <x:c r="O780" s="117" t="str">
        <x:v>Jace Gentil</x:v>
      </x:c>
      <x:c r="P780" s="120" t="n">
        <x:v>44945.68714120371</x:v>
      </x:c>
      <x:c r="Q780" s="117" t="str">
        <x:v>Jace Gentil</x:v>
      </x:c>
      <x:c r="R780" s="117" t="str">
        <x:v>Create RMA from Work Order</x:v>
      </x:c>
      <x:c r="S780" s="119"/>
    </x:row>
    <x:row r="781" ht="30" customHeight="1">
      <x:c r="A781" s="117" t="str">
        <x:v>Create_RMA_from_Work_Order</x:v>
      </x:c>
      <x:c r="B781" s="117" t="str">
        <x:v>3005b000000H3uHAAS</x:v>
      </x:c>
      <x:c r="C781" s="117" t="str">
        <x:v>3015b0000011LVzAAM</x:v>
      </x:c>
      <x:c r="D781" s="118" t="n">
        <x:v>18</x:v>
      </x:c>
      <x:c r="E781" s="117" t="str">
        <x:v>InvalidDraft</x:v>
      </x:c>
      <x:c r="F781" s="117" t="str">
        <x:v>No</x:v>
      </x:c>
      <x:c r="G781" s="117" t="str">
        <x:v>No</x:v>
      </x:c>
      <x:c r="H781" s="117" t="str">
        <x:v>Flow</x:v>
      </x:c>
      <x:c r="I781" s="118" t="n">
        <x:v>54</x:v>
      </x:c>
      <x:c r="J781" s="117" t="str">
        <x:v>unmanaged</x:v>
      </x:c>
      <x:c r="K781" s="123" t="b">
        <x:v>0</x:v>
      </x:c>
      <x:c r="L781" s="117"/>
      <x:c r="M781" s="118"/>
      <x:c r="N781" s="120" t="n">
        <x:v>45219.72476851852</x:v>
      </x:c>
      <x:c r="O781" s="117" t="str">
        <x:v>Jace Gentil</x:v>
      </x:c>
      <x:c r="P781" s="120" t="n">
        <x:v>45219.72478009259</x:v>
      </x:c>
      <x:c r="Q781" s="117" t="str">
        <x:v>Jace Gentil</x:v>
      </x:c>
      <x:c r="R781" s="117" t="str">
        <x:v>Create RMA from Work Order</x:v>
      </x:c>
      <x:c r="S781" s="119"/>
    </x:row>
    <x:row r="782" ht="30" customHeight="1">
      <x:c r="A782" s="117" t="str">
        <x:v>Create_RMA_from_Work_Order</x:v>
      </x:c>
      <x:c r="B782" s="117" t="str">
        <x:v>3005b000000H3uHAAS</x:v>
      </x:c>
      <x:c r="C782" s="117" t="str">
        <x:v>3015b0000011LW4AAM</x:v>
      </x:c>
      <x:c r="D782" s="118" t="n">
        <x:v>19</x:v>
      </x:c>
      <x:c r="E782" s="117" t="str">
        <x:v>Obsolete</x:v>
      </x:c>
      <x:c r="F782" s="117" t="str">
        <x:v>No</x:v>
      </x:c>
      <x:c r="G782" s="117" t="str">
        <x:v>No</x:v>
      </x:c>
      <x:c r="H782" s="117" t="str">
        <x:v>Flow</x:v>
      </x:c>
      <x:c r="I782" s="118" t="n">
        <x:v>54</x:v>
      </x:c>
      <x:c r="J782" s="117" t="str">
        <x:v>unmanaged</x:v>
      </x:c>
      <x:c r="K782" s="123" t="b">
        <x:v>0</x:v>
      </x:c>
      <x:c r="L782" s="117"/>
      <x:c r="M782" s="118"/>
      <x:c r="N782" s="120" t="n">
        <x:v>45219.72524305555</x:v>
      </x:c>
      <x:c r="O782" s="117" t="str">
        <x:v>Jace Gentil</x:v>
      </x:c>
      <x:c r="P782" s="120" t="n">
        <x:v>45219.725277777776</x:v>
      </x:c>
      <x:c r="Q782" s="117" t="str">
        <x:v>Jace Gentil</x:v>
      </x:c>
      <x:c r="R782" s="117" t="str">
        <x:v>Create RMA from Work Order</x:v>
      </x:c>
      <x:c r="S782" s="119"/>
    </x:row>
    <x:row r="783" ht="30" customHeight="1">
      <x:c r="A783" s="117" t="str">
        <x:v>Create_RMA_from_Work_Order</x:v>
      </x:c>
      <x:c r="B783" s="117" t="str">
        <x:v>3005b000000H3uHAAS</x:v>
      </x:c>
      <x:c r="C783" s="117" t="str">
        <x:v>3015b0000011Lo8AAE</x:v>
      </x:c>
      <x:c r="D783" s="118" t="n">
        <x:v>20</x:v>
      </x:c>
      <x:c r="E783" s="117" t="str">
        <x:v>Obsolete</x:v>
      </x:c>
      <x:c r="F783" s="117" t="str">
        <x:v>No</x:v>
      </x:c>
      <x:c r="G783" s="117" t="str">
        <x:v>No</x:v>
      </x:c>
      <x:c r="H783" s="117" t="str">
        <x:v>Flow</x:v>
      </x:c>
      <x:c r="I783" s="118" t="n">
        <x:v>54</x:v>
      </x:c>
      <x:c r="J783" s="117" t="str">
        <x:v>unmanaged</x:v>
      </x:c>
      <x:c r="K783" s="123" t="b">
        <x:v>0</x:v>
      </x:c>
      <x:c r="L783" s="117"/>
      <x:c r="M783" s="118"/>
      <x:c r="N783" s="120" t="n">
        <x:v>45225.46270833333</x:v>
      </x:c>
      <x:c r="O783" s="117" t="str">
        <x:v>Jon Kean</x:v>
      </x:c>
      <x:c r="P783" s="120" t="n">
        <x:v>45225.46283564815</x:v>
      </x:c>
      <x:c r="Q783" s="117" t="str">
        <x:v>Jon Kean</x:v>
      </x:c>
      <x:c r="R783" s="117" t="str">
        <x:v>Create RMA from Work Order</x:v>
      </x:c>
      <x:c r="S783" s="119"/>
    </x:row>
    <x:row r="784" ht="30" customHeight="1">
      <x:c r="A784" s="117" t="str">
        <x:v>Create_RMA_from_Work_Order</x:v>
      </x:c>
      <x:c r="B784" s="117" t="str">
        <x:v>3005b000000H3uHAAS</x:v>
      </x:c>
      <x:c r="C784" s="117" t="str">
        <x:v>301Ro00000FTIWeIAP</x:v>
      </x:c>
      <x:c r="D784" s="118" t="n">
        <x:v>21</x:v>
      </x:c>
      <x:c r="E784" s="117" t="str">
        <x:v>Obsolete</x:v>
      </x:c>
      <x:c r="F784" s="117" t="str">
        <x:v>No</x:v>
      </x:c>
      <x:c r="G784" s="117" t="str">
        <x:v>No</x:v>
      </x:c>
      <x:c r="H784" s="117" t="str">
        <x:v>Flow</x:v>
      </x:c>
      <x:c r="I784" s="118" t="n">
        <x:v>54</x:v>
      </x:c>
      <x:c r="J784" s="117" t="str">
        <x:v>unmanaged</x:v>
      </x:c>
      <x:c r="K784" s="123" t="b">
        <x:v>0</x:v>
      </x:c>
      <x:c r="L784" s="117"/>
      <x:c r="M784" s="118"/>
      <x:c r="N784" s="120" t="n">
        <x:v>45467.74450231482</x:v>
      </x:c>
      <x:c r="O784" s="117" t="str">
        <x:v>Jace Gentil</x:v>
      </x:c>
      <x:c r="P784" s="120" t="n">
        <x:v>45467.744571759256</x:v>
      </x:c>
      <x:c r="Q784" s="117" t="str">
        <x:v>Jace Gentil</x:v>
      </x:c>
      <x:c r="R784" s="117" t="str">
        <x:v>Create RMA from Work Order</x:v>
      </x:c>
      <x:c r="S784" s="119"/>
    </x:row>
    <x:row r="785" ht="30" customHeight="1">
      <x:c r="A785" s="117" t="str">
        <x:v>Create_RMA_from_Work_Order</x:v>
      </x:c>
      <x:c r="B785" s="117" t="str">
        <x:v>3005b000000H3uHAAS</x:v>
      </x:c>
      <x:c r="C785" s="117" t="str">
        <x:v>301Ro00000MVreWIAT</x:v>
      </x:c>
      <x:c r="D785" s="118" t="n">
        <x:v>22</x:v>
      </x:c>
      <x:c r="E785" s="117" t="str">
        <x:v>Obsolete</x:v>
      </x:c>
      <x:c r="F785" s="117" t="str">
        <x:v>No</x:v>
      </x:c>
      <x:c r="G785" s="117" t="str">
        <x:v>No</x:v>
      </x:c>
      <x:c r="H785" s="117" t="str">
        <x:v>Flow</x:v>
      </x:c>
      <x:c r="I785" s="118" t="n">
        <x:v>54</x:v>
      </x:c>
      <x:c r="J785" s="117" t="str">
        <x:v>unmanaged</x:v>
      </x:c>
      <x:c r="K785" s="123" t="b">
        <x:v>0</x:v>
      </x:c>
      <x:c r="L785" s="117" t="str">
        <x:v>SystemModeWithoutSharing</x:v>
      </x:c>
      <x:c r="M785" s="118"/>
      <x:c r="N785" s="120" t="n">
        <x:v>45573.66619212963</x:v>
      </x:c>
      <x:c r="O785" s="117" t="str">
        <x:v>Jace Gentil</x:v>
      </x:c>
      <x:c r="P785" s="120" t="n">
        <x:v>45573.66625</x:v>
      </x:c>
      <x:c r="Q785" s="117" t="str">
        <x:v>Jace Gentil</x:v>
      </x:c>
      <x:c r="R785" s="117" t="str">
        <x:v>Create RMA from Work Order</x:v>
      </x:c>
      <x:c r="S785" s="119"/>
    </x:row>
    <x:row r="786" ht="30" customHeight="1">
      <x:c r="A786" s="117" t="str">
        <x:v>Create_RMA_from_Work_Order</x:v>
      </x:c>
      <x:c r="B786" s="117" t="str">
        <x:v>3005b000000H3uHAAS</x:v>
      </x:c>
      <x:c r="C786" s="117" t="str">
        <x:v>301Ro00000VjXh7IAF</x:v>
      </x:c>
      <x:c r="D786" s="118" t="n">
        <x:v>23</x:v>
      </x:c>
      <x:c r="E786" s="117" t="str">
        <x:v>Obsolete</x:v>
      </x:c>
      <x:c r="F786" s="117" t="str">
        <x:v>No</x:v>
      </x:c>
      <x:c r="G786" s="117" t="str">
        <x:v>No</x:v>
      </x:c>
      <x:c r="H786" s="117" t="str">
        <x:v>Flow</x:v>
      </x:c>
      <x:c r="I786" s="118" t="n">
        <x:v>54</x:v>
      </x:c>
      <x:c r="J786" s="117" t="str">
        <x:v>unmanaged</x:v>
      </x:c>
      <x:c r="K786" s="123" t="b">
        <x:v>0</x:v>
      </x:c>
      <x:c r="L786" s="117" t="str">
        <x:v>SystemModeWithoutSharing</x:v>
      </x:c>
      <x:c r="M786" s="118"/>
      <x:c r="N786" s="120" t="n">
        <x:v>45731.916608796295</x:v>
      </x:c>
      <x:c r="O786" s="117" t="str">
        <x:v>Delegate</x:v>
      </x:c>
      <x:c r="P786" s="120" t="n">
        <x:v>45731.917905092596</x:v>
      </x:c>
      <x:c r="Q786" s="117" t="str">
        <x:v>Delegate</x:v>
      </x:c>
      <x:c r="R786" s="117" t="str">
        <x:v>Create RMA from Work Order</x:v>
      </x:c>
      <x:c r="S786" s="119" t="str">
        <x:v>Added missing primary RMA fields</x:v>
      </x:c>
    </x:row>
    <x:row r="787" ht="30" customHeight="1">
      <x:c r="A787" s="117" t="str">
        <x:v>Create_RMA_from_Work_Order</x:v>
      </x:c>
      <x:c r="B787" s="117" t="str">
        <x:v>3005b000000H3uHAAS</x:v>
      </x:c>
      <x:c r="C787" s="117" t="str">
        <x:v>301Ro00000VjCI3IAN</x:v>
      </x:c>
      <x:c r="D787" s="118" t="n">
        <x:v>24</x:v>
      </x:c>
      <x:c r="E787" s="117" t="str">
        <x:v>Active</x:v>
      </x:c>
      <x:c r="F787" s="117" t="str">
        <x:v>Yes</x:v>
      </x:c>
      <x:c r="G787" s="117" t="str">
        <x:v>No</x:v>
      </x:c>
      <x:c r="H787" s="117" t="str">
        <x:v>Flow</x:v>
      </x:c>
      <x:c r="I787" s="118" t="n">
        <x:v>54</x:v>
      </x:c>
      <x:c r="J787" s="117" t="str">
        <x:v>unmanaged</x:v>
      </x:c>
      <x:c r="K787" s="123" t="b">
        <x:v>0</x:v>
      </x:c>
      <x:c r="L787" s="117" t="str">
        <x:v>SystemModeWithoutSharing</x:v>
      </x:c>
      <x:c r="M787" s="118"/>
      <x:c r="N787" s="120" t="n">
        <x:v>45731.918912037036</x:v>
      </x:c>
      <x:c r="O787" s="117" t="str">
        <x:v>Delegate</x:v>
      </x:c>
      <x:c r="P787" s="120" t="n">
        <x:v>45731.91900462963</x:v>
      </x:c>
      <x:c r="Q787" s="117" t="str">
        <x:v>Delegate</x:v>
      </x:c>
      <x:c r="R787" s="117" t="str">
        <x:v>Create RMA from Work Order</x:v>
      </x:c>
      <x:c r="S787" s="119" t="str">
        <x:v>Added missing primary RMA fields</x:v>
      </x:c>
    </x:row>
    <x:row r="788" ht="30" customHeight="1">
      <x:c r="A788" s="117" t="str">
        <x:v>Create_RMA_from_Work_Order</x:v>
      </x:c>
      <x:c r="B788" s="117" t="str">
        <x:v>3005b000000H3uHAAS</x:v>
      </x:c>
      <x:c r="C788" s="117" t="str">
        <x:v>301Ro00000ZxpX3IAJ</x:v>
      </x:c>
      <x:c r="D788" s="118" t="n">
        <x:v>25</x:v>
      </x:c>
      <x:c r="E788" s="117" t="str">
        <x:v>InvalidDraft</x:v>
      </x:c>
      <x:c r="F788" s="117" t="str">
        <x:v>No</x:v>
      </x:c>
      <x:c r="G788" s="117" t="str">
        <x:v>Yes</x:v>
      </x:c>
      <x:c r="H788" s="117" t="str">
        <x:v>Flow</x:v>
      </x:c>
      <x:c r="I788" s="118" t="n">
        <x:v>54</x:v>
      </x:c>
      <x:c r="J788" s="117" t="str">
        <x:v>unmanaged</x:v>
      </x:c>
      <x:c r="K788" s="123" t="b">
        <x:v>0</x:v>
      </x:c>
      <x:c r="L788" s="117" t="str">
        <x:v>SystemModeWithoutSharing</x:v>
      </x:c>
      <x:c r="M788" s="118"/>
      <x:c r="N788" s="120" t="n">
        <x:v>45806.62991898148</x:v>
      </x:c>
      <x:c r="O788" s="117" t="str">
        <x:v>Delegate</x:v>
      </x:c>
      <x:c r="P788" s="120" t="n">
        <x:v>45806.629953703705</x:v>
      </x:c>
      <x:c r="Q788" s="117" t="str">
        <x:v>Delegate</x:v>
      </x:c>
      <x:c r="R788" s="117" t="str">
        <x:v>Create RMA from Work Order</x:v>
      </x:c>
      <x:c r="S788" s="119" t="str">
        <x:v>Updated Service Contract assignment</x:v>
      </x:c>
    </x:row>
    <x:row r="789" ht="30" customHeight="1">
      <x:c r="A789" s="117" t="str">
        <x:v>Create_SA_after_generating_Service_Appointment_return_visit</x:v>
      </x:c>
      <x:c r="B789" s="117" t="str">
        <x:v>300Ro00000Pz0kiIAB</x:v>
      </x:c>
      <x:c r="C789" s="117" t="str">
        <x:v>301Ro00000WyczQIAR</x:v>
      </x:c>
      <x:c r="D789" s="118" t="n">
        <x:v>2</x:v>
      </x:c>
      <x:c r="E789" s="117" t="str">
        <x:v>Draft</x:v>
      </x:c>
      <x:c r="F789" s="117" t="str">
        <x:v>No</x:v>
      </x:c>
      <x:c r="G789" s="117" t="str">
        <x:v>Yes</x:v>
      </x:c>
      <x:c r="H789" s="117" t="str">
        <x:v>AutoLaunchedFlow</x:v>
      </x:c>
      <x:c r="I789" s="118" t="n">
        <x:v>62</x:v>
      </x:c>
      <x:c r="J789" s="117" t="str">
        <x:v>unmanaged</x:v>
      </x:c>
      <x:c r="K789" s="123" t="b">
        <x:v>0</x:v>
      </x:c>
      <x:c r="L789" s="117"/>
      <x:c r="M789" s="118"/>
      <x:c r="N789" s="120" t="n">
        <x:v>45754.7284375</x:v>
      </x:c>
      <x:c r="O789" s="117" t="str">
        <x:v>Delegate</x:v>
      </x:c>
      <x:c r="P789" s="120" t="n">
        <x:v>45754.728472222225</x:v>
      </x:c>
      <x:c r="Q789" s="117" t="str">
        <x:v>Delegate</x:v>
      </x:c>
      <x:c r="R789" s="117" t="str">
        <x:v>Create SA after generating Service Appointment return visit</x:v>
      </x:c>
      <x:c r="S789" s="119" t="str">
        <x:v>04/07/2025 - Kyle - Internal Notes text to long text area conversion updates (understanding this flow is obsolete)</x:v>
      </x:c>
    </x:row>
    <x:row r="790" ht="30" customHeight="1">
      <x:c r="A790" s="117" t="str">
        <x:v>Create_Sales_Opportunities_from_Training_Class</x:v>
      </x:c>
      <x:c r="B790" s="117" t="str">
        <x:v>300Ro0000099RzwIAE</x:v>
      </x:c>
      <x:c r="C790" s="117" t="str">
        <x:v>301Ro00000A7oSCIAZ</x:v>
      </x:c>
      <x:c r="D790" s="118" t="n">
        <x:v>1</x:v>
      </x:c>
      <x:c r="E790" s="117" t="str">
        <x:v>Obsolete</x:v>
      </x:c>
      <x:c r="F790" s="117" t="str">
        <x:v>No</x:v>
      </x:c>
      <x:c r="G790" s="117" t="str">
        <x:v>No</x:v>
      </x:c>
      <x:c r="H790" s="117" t="str">
        <x:v>Flow</x:v>
      </x:c>
      <x:c r="I790" s="118" t="n">
        <x:v>60</x:v>
      </x:c>
      <x:c r="J790" s="117" t="str">
        <x:v>unmanaged</x:v>
      </x:c>
      <x:c r="K790" s="123" t="b">
        <x:v>0</x:v>
      </x:c>
      <x:c r="L790" s="117"/>
      <x:c r="M790" s="118"/>
      <x:c r="N790" s="120" t="n">
        <x:v>45383.694814814815</x:v>
      </x:c>
      <x:c r="O790" s="117" t="str">
        <x:v>Jace Gentil</x:v>
      </x:c>
      <x:c r="P790" s="120" t="n">
        <x:v>45383.69513888889</x:v>
      </x:c>
      <x:c r="Q790" s="117" t="str">
        <x:v>Jace Gentil</x:v>
      </x:c>
      <x:c r="R790" s="117" t="str">
        <x:v>Create Sales Opportunities from Training Class</x:v>
      </x:c>
      <x:c r="S790" s="119"/>
    </x:row>
    <x:row r="791" ht="30" customHeight="1">
      <x:c r="A791" s="117" t="str">
        <x:v>Create_Sales_Opportunities_from_Training_Class</x:v>
      </x:c>
      <x:c r="B791" s="117" t="str">
        <x:v>300Ro0000099RzwIAE</x:v>
      </x:c>
      <x:c r="C791" s="117" t="str">
        <x:v>301Ro00000A7z7YIAR</x:v>
      </x:c>
      <x:c r="D791" s="118" t="n">
        <x:v>2</x:v>
      </x:c>
      <x:c r="E791" s="117" t="str">
        <x:v>Obsolete</x:v>
      </x:c>
      <x:c r="F791" s="117" t="str">
        <x:v>No</x:v>
      </x:c>
      <x:c r="G791" s="117" t="str">
        <x:v>No</x:v>
      </x:c>
      <x:c r="H791" s="117" t="str">
        <x:v>Flow</x:v>
      </x:c>
      <x:c r="I791" s="118" t="n">
        <x:v>60</x:v>
      </x:c>
      <x:c r="J791" s="117" t="str">
        <x:v>unmanaged</x:v>
      </x:c>
      <x:c r="K791" s="123" t="b">
        <x:v>0</x:v>
      </x:c>
      <x:c r="L791" s="117"/>
      <x:c r="M791" s="118"/>
      <x:c r="N791" s="120" t="n">
        <x:v>45383.74344907407</x:v>
      </x:c>
      <x:c r="O791" s="117" t="str">
        <x:v>Jace Gentil</x:v>
      </x:c>
      <x:c r="P791" s="120" t="n">
        <x:v>45383.74349537037</x:v>
      </x:c>
      <x:c r="Q791" s="117" t="str">
        <x:v>Jace Gentil</x:v>
      </x:c>
      <x:c r="R791" s="117" t="str">
        <x:v>Create Sales Opportunities from Training Class</x:v>
      </x:c>
      <x:c r="S791" s="119"/>
    </x:row>
    <x:row r="792" ht="30" customHeight="1">
      <x:c r="A792" s="117" t="str">
        <x:v>Create_Sales_Opportunities_from_Training_Class</x:v>
      </x:c>
      <x:c r="B792" s="117" t="str">
        <x:v>300Ro0000099RzwIAE</x:v>
      </x:c>
      <x:c r="C792" s="117" t="str">
        <x:v>301Ro00000A81cUIAR</x:v>
      </x:c>
      <x:c r="D792" s="118" t="n">
        <x:v>3</x:v>
      </x:c>
      <x:c r="E792" s="117" t="str">
        <x:v>Obsolete</x:v>
      </x:c>
      <x:c r="F792" s="117" t="str">
        <x:v>No</x:v>
      </x:c>
      <x:c r="G792" s="117" t="str">
        <x:v>No</x:v>
      </x:c>
      <x:c r="H792" s="117" t="str">
        <x:v>Flow</x:v>
      </x:c>
      <x:c r="I792" s="118" t="n">
        <x:v>60</x:v>
      </x:c>
      <x:c r="J792" s="117" t="str">
        <x:v>unmanaged</x:v>
      </x:c>
      <x:c r="K792" s="123" t="b">
        <x:v>0</x:v>
      </x:c>
      <x:c r="L792" s="117"/>
      <x:c r="M792" s="118"/>
      <x:c r="N792" s="120" t="n">
        <x:v>45383.75046296296</x:v>
      </x:c>
      <x:c r="O792" s="117" t="str">
        <x:v>Jace Gentil</x:v>
      </x:c>
      <x:c r="P792" s="120" t="n">
        <x:v>45383.75052083333</x:v>
      </x:c>
      <x:c r="Q792" s="117" t="str">
        <x:v>Jace Gentil</x:v>
      </x:c>
      <x:c r="R792" s="117" t="str">
        <x:v>Create Sales Opportunities from Training Class</x:v>
      </x:c>
      <x:c r="S792" s="119"/>
    </x:row>
    <x:row r="793" ht="30" customHeight="1">
      <x:c r="A793" s="117" t="str">
        <x:v>Create_Sales_Opportunities_from_Training_Class</x:v>
      </x:c>
      <x:c r="B793" s="117" t="str">
        <x:v>300Ro0000099RzwIAE</x:v>
      </x:c>
      <x:c r="C793" s="117" t="str">
        <x:v>301Ro00000A86lhIAB</x:v>
      </x:c>
      <x:c r="D793" s="118" t="n">
        <x:v>4</x:v>
      </x:c>
      <x:c r="E793" s="117" t="str">
        <x:v>Obsolete</x:v>
      </x:c>
      <x:c r="F793" s="117" t="str">
        <x:v>No</x:v>
      </x:c>
      <x:c r="G793" s="117" t="str">
        <x:v>No</x:v>
      </x:c>
      <x:c r="H793" s="117" t="str">
        <x:v>Flow</x:v>
      </x:c>
      <x:c r="I793" s="118" t="n">
        <x:v>60</x:v>
      </x:c>
      <x:c r="J793" s="117" t="str">
        <x:v>unmanaged</x:v>
      </x:c>
      <x:c r="K793" s="123" t="b">
        <x:v>0</x:v>
      </x:c>
      <x:c r="L793" s="117"/>
      <x:c r="M793" s="118"/>
      <x:c r="N793" s="120" t="n">
        <x:v>45383.75173611111</x:v>
      </x:c>
      <x:c r="O793" s="117" t="str">
        <x:v>Jace Gentil</x:v>
      </x:c>
      <x:c r="P793" s="120" t="n">
        <x:v>45383.75179398148</x:v>
      </x:c>
      <x:c r="Q793" s="117" t="str">
        <x:v>Jace Gentil</x:v>
      </x:c>
      <x:c r="R793" s="117" t="str">
        <x:v>Create Sales Opportunities from Training Class</x:v>
      </x:c>
      <x:c r="S793" s="119"/>
    </x:row>
    <x:row r="794" ht="30" customHeight="1">
      <x:c r="A794" s="117" t="str">
        <x:v>Create_Sales_Opportunities_from_Training_Class</x:v>
      </x:c>
      <x:c r="B794" s="117" t="str">
        <x:v>300Ro0000099RzwIAE</x:v>
      </x:c>
      <x:c r="C794" s="117" t="str">
        <x:v>301Ro00000A8CjBIAV</x:v>
      </x:c>
      <x:c r="D794" s="118" t="n">
        <x:v>5</x:v>
      </x:c>
      <x:c r="E794" s="117" t="str">
        <x:v>Obsolete</x:v>
      </x:c>
      <x:c r="F794" s="117" t="str">
        <x:v>No</x:v>
      </x:c>
      <x:c r="G794" s="117" t="str">
        <x:v>No</x:v>
      </x:c>
      <x:c r="H794" s="117" t="str">
        <x:v>Flow</x:v>
      </x:c>
      <x:c r="I794" s="118" t="n">
        <x:v>60</x:v>
      </x:c>
      <x:c r="J794" s="117" t="str">
        <x:v>unmanaged</x:v>
      </x:c>
      <x:c r="K794" s="123" t="b">
        <x:v>0</x:v>
      </x:c>
      <x:c r="L794" s="117"/>
      <x:c r="M794" s="118"/>
      <x:c r="N794" s="120" t="n">
        <x:v>45383.77496527778</x:v>
      </x:c>
      <x:c r="O794" s="117" t="str">
        <x:v>Jace Gentil</x:v>
      </x:c>
      <x:c r="P794" s="120" t="n">
        <x:v>45383.77501157407</x:v>
      </x:c>
      <x:c r="Q794" s="117" t="str">
        <x:v>Jace Gentil</x:v>
      </x:c>
      <x:c r="R794" s="117" t="str">
        <x:v>Create Sales Opportunities from Training Class</x:v>
      </x:c>
      <x:c r="S794" s="119"/>
    </x:row>
    <x:row r="795" ht="30" customHeight="1">
      <x:c r="A795" s="117" t="str">
        <x:v>Create_Sales_Opportunities_from_Training_Class</x:v>
      </x:c>
      <x:c r="B795" s="117" t="str">
        <x:v>300Ro0000099RzwIAE</x:v>
      </x:c>
      <x:c r="C795" s="117" t="str">
        <x:v>301Ro00000A8OlpIAF</x:v>
      </x:c>
      <x:c r="D795" s="118" t="n">
        <x:v>6</x:v>
      </x:c>
      <x:c r="E795" s="117" t="str">
        <x:v>Obsolete</x:v>
      </x:c>
      <x:c r="F795" s="117" t="str">
        <x:v>No</x:v>
      </x:c>
      <x:c r="G795" s="117" t="str">
        <x:v>No</x:v>
      </x:c>
      <x:c r="H795" s="117" t="str">
        <x:v>Flow</x:v>
      </x:c>
      <x:c r="I795" s="118" t="n">
        <x:v>60</x:v>
      </x:c>
      <x:c r="J795" s="117" t="str">
        <x:v>unmanaged</x:v>
      </x:c>
      <x:c r="K795" s="123" t="b">
        <x:v>0</x:v>
      </x:c>
      <x:c r="L795" s="117" t="str">
        <x:v>SystemModeWithoutSharing</x:v>
      </x:c>
      <x:c r="M795" s="118"/>
      <x:c r="N795" s="120" t="n">
        <x:v>45383.77893518518</x:v>
      </x:c>
      <x:c r="O795" s="117" t="str">
        <x:v>Jace Gentil</x:v>
      </x:c>
      <x:c r="P795" s="120" t="n">
        <x:v>45383.77900462963</x:v>
      </x:c>
      <x:c r="Q795" s="117" t="str">
        <x:v>Jace Gentil</x:v>
      </x:c>
      <x:c r="R795" s="117" t="str">
        <x:v>Create Sales Opportunities from Training Class</x:v>
      </x:c>
      <x:c r="S795" s="119"/>
    </x:row>
    <x:row r="796" ht="30" customHeight="1">
      <x:c r="A796" s="117" t="str">
        <x:v>Create_Sales_Opportunities_from_Training_Class</x:v>
      </x:c>
      <x:c r="B796" s="117" t="str">
        <x:v>300Ro0000099RzwIAE</x:v>
      </x:c>
      <x:c r="C796" s="117" t="str">
        <x:v>301Ro00000A8WWXIA3</x:v>
      </x:c>
      <x:c r="D796" s="118" t="n">
        <x:v>7</x:v>
      </x:c>
      <x:c r="E796" s="117" t="str">
        <x:v>Obsolete</x:v>
      </x:c>
      <x:c r="F796" s="117" t="str">
        <x:v>No</x:v>
      </x:c>
      <x:c r="G796" s="117" t="str">
        <x:v>No</x:v>
      </x:c>
      <x:c r="H796" s="117" t="str">
        <x:v>Flow</x:v>
      </x:c>
      <x:c r="I796" s="118" t="n">
        <x:v>60</x:v>
      </x:c>
      <x:c r="J796" s="117" t="str">
        <x:v>unmanaged</x:v>
      </x:c>
      <x:c r="K796" s="123" t="b">
        <x:v>0</x:v>
      </x:c>
      <x:c r="L796" s="117" t="str">
        <x:v>SystemModeWithoutSharing</x:v>
      </x:c>
      <x:c r="M796" s="118"/>
      <x:c r="N796" s="120" t="n">
        <x:v>45383.781875</x:v>
      </x:c>
      <x:c r="O796" s="117" t="str">
        <x:v>Jace Gentil</x:v>
      </x:c>
      <x:c r="P796" s="120" t="n">
        <x:v>45383.78192129629</x:v>
      </x:c>
      <x:c r="Q796" s="117" t="str">
        <x:v>Jace Gentil</x:v>
      </x:c>
      <x:c r="R796" s="117" t="str">
        <x:v>Create Sales Opportunities from Training Class</x:v>
      </x:c>
      <x:c r="S796" s="119"/>
    </x:row>
    <x:row r="797" ht="30" customHeight="1">
      <x:c r="A797" s="117" t="str">
        <x:v>Create_Sales_Opportunities_from_Training_Class</x:v>
      </x:c>
      <x:c r="B797" s="117" t="str">
        <x:v>300Ro0000099RzwIAE</x:v>
      </x:c>
      <x:c r="C797" s="117" t="str">
        <x:v>301Ro00000A8aRyIAJ</x:v>
      </x:c>
      <x:c r="D797" s="118" t="n">
        <x:v>8</x:v>
      </x:c>
      <x:c r="E797" s="117" t="str">
        <x:v>Obsolete</x:v>
      </x:c>
      <x:c r="F797" s="117" t="str">
        <x:v>No</x:v>
      </x:c>
      <x:c r="G797" s="117" t="str">
        <x:v>No</x:v>
      </x:c>
      <x:c r="H797" s="117" t="str">
        <x:v>Flow</x:v>
      </x:c>
      <x:c r="I797" s="118" t="n">
        <x:v>60</x:v>
      </x:c>
      <x:c r="J797" s="117" t="str">
        <x:v>unmanaged</x:v>
      </x:c>
      <x:c r="K797" s="123" t="b">
        <x:v>0</x:v>
      </x:c>
      <x:c r="L797" s="117" t="str">
        <x:v>SystemModeWithoutSharing</x:v>
      </x:c>
      <x:c r="M797" s="118"/>
      <x:c r="N797" s="120" t="n">
        <x:v>45383.78635416667</x:v>
      </x:c>
      <x:c r="O797" s="117" t="str">
        <x:v>Jace Gentil</x:v>
      </x:c>
      <x:c r="P797" s="120" t="n">
        <x:v>45383.78640046297</x:v>
      </x:c>
      <x:c r="Q797" s="117" t="str">
        <x:v>Jace Gentil</x:v>
      </x:c>
      <x:c r="R797" s="117" t="str">
        <x:v>Create Sales Opportunities from Training Class</x:v>
      </x:c>
      <x:c r="S797" s="119"/>
    </x:row>
    <x:row r="798" ht="30" customHeight="1">
      <x:c r="A798" s="117" t="str">
        <x:v>Create_Sales_Opportunities_from_Training_Class</x:v>
      </x:c>
      <x:c r="B798" s="117" t="str">
        <x:v>300Ro0000099RzwIAE</x:v>
      </x:c>
      <x:c r="C798" s="117" t="str">
        <x:v>301Ro00000A8IVAIA3</x:v>
      </x:c>
      <x:c r="D798" s="118" t="n">
        <x:v>9</x:v>
      </x:c>
      <x:c r="E798" s="117" t="str">
        <x:v>Obsolete</x:v>
      </x:c>
      <x:c r="F798" s="117" t="str">
        <x:v>No</x:v>
      </x:c>
      <x:c r="G798" s="117" t="str">
        <x:v>No</x:v>
      </x:c>
      <x:c r="H798" s="117" t="str">
        <x:v>Flow</x:v>
      </x:c>
      <x:c r="I798" s="118" t="n">
        <x:v>60</x:v>
      </x:c>
      <x:c r="J798" s="117" t="str">
        <x:v>unmanaged</x:v>
      </x:c>
      <x:c r="K798" s="123" t="b">
        <x:v>0</x:v>
      </x:c>
      <x:c r="L798" s="117" t="str">
        <x:v>SystemModeWithoutSharing</x:v>
      </x:c>
      <x:c r="M798" s="118"/>
      <x:c r="N798" s="120" t="n">
        <x:v>45383.78769675926</x:v>
      </x:c>
      <x:c r="O798" s="117" t="str">
        <x:v>Jace Gentil</x:v>
      </x:c>
      <x:c r="P798" s="120" t="n">
        <x:v>45383.78774305555</x:v>
      </x:c>
      <x:c r="Q798" s="117" t="str">
        <x:v>Jace Gentil</x:v>
      </x:c>
      <x:c r="R798" s="117" t="str">
        <x:v>Create Sales Opportunities from Training Class</x:v>
      </x:c>
      <x:c r="S798" s="119"/>
    </x:row>
    <x:row r="799" ht="30" customHeight="1">
      <x:c r="A799" s="117" t="str">
        <x:v>Create_Sales_Opportunities_from_Training_Class</x:v>
      </x:c>
      <x:c r="B799" s="117" t="str">
        <x:v>300Ro0000099RzwIAE</x:v>
      </x:c>
      <x:c r="C799" s="117" t="str">
        <x:v>301Ro00000A8TGZIA3</x:v>
      </x:c>
      <x:c r="D799" s="118" t="n">
        <x:v>10</x:v>
      </x:c>
      <x:c r="E799" s="117" t="str">
        <x:v>Obsolete</x:v>
      </x:c>
      <x:c r="F799" s="117" t="str">
        <x:v>No</x:v>
      </x:c>
      <x:c r="G799" s="117" t="str">
        <x:v>No</x:v>
      </x:c>
      <x:c r="H799" s="117" t="str">
        <x:v>Flow</x:v>
      </x:c>
      <x:c r="I799" s="118" t="n">
        <x:v>60</x:v>
      </x:c>
      <x:c r="J799" s="117" t="str">
        <x:v>unmanaged</x:v>
      </x:c>
      <x:c r="K799" s="123" t="b">
        <x:v>0</x:v>
      </x:c>
      <x:c r="L799" s="117" t="str">
        <x:v>SystemModeWithoutSharing</x:v>
      </x:c>
      <x:c r="M799" s="118"/>
      <x:c r="N799" s="120" t="n">
        <x:v>45383.78896990741</x:v>
      </x:c>
      <x:c r="O799" s="117" t="str">
        <x:v>Jace Gentil</x:v>
      </x:c>
      <x:c r="P799" s="120" t="n">
        <x:v>45383.78900462963</x:v>
      </x:c>
      <x:c r="Q799" s="117" t="str">
        <x:v>Jace Gentil</x:v>
      </x:c>
      <x:c r="R799" s="117" t="str">
        <x:v>Create Sales Opportunities from Training Class</x:v>
      </x:c>
      <x:c r="S799" s="119"/>
    </x:row>
    <x:row r="800" ht="30" customHeight="1">
      <x:c r="A800" s="117" t="str">
        <x:v>Create_Sales_Opportunities_from_Training_Class</x:v>
      </x:c>
      <x:c r="B800" s="117" t="str">
        <x:v>300Ro0000099RzwIAE</x:v>
      </x:c>
      <x:c r="C800" s="117" t="str">
        <x:v>301Ro00000A8gSXIAZ</x:v>
      </x:c>
      <x:c r="D800" s="118" t="n">
        <x:v>11</x:v>
      </x:c>
      <x:c r="E800" s="117" t="str">
        <x:v>Obsolete</x:v>
      </x:c>
      <x:c r="F800" s="117" t="str">
        <x:v>No</x:v>
      </x:c>
      <x:c r="G800" s="117" t="str">
        <x:v>No</x:v>
      </x:c>
      <x:c r="H800" s="117" t="str">
        <x:v>Flow</x:v>
      </x:c>
      <x:c r="I800" s="118" t="n">
        <x:v>60</x:v>
      </x:c>
      <x:c r="J800" s="117" t="str">
        <x:v>unmanaged</x:v>
      </x:c>
      <x:c r="K800" s="123" t="b">
        <x:v>0</x:v>
      </x:c>
      <x:c r="L800" s="117" t="str">
        <x:v>SystemModeWithoutSharing</x:v>
      </x:c>
      <x:c r="M800" s="118"/>
      <x:c r="N800" s="120" t="n">
        <x:v>45383.78984953704</x:v>
      </x:c>
      <x:c r="O800" s="117" t="str">
        <x:v>Jace Gentil</x:v>
      </x:c>
      <x:c r="P800" s="120" t="n">
        <x:v>45383.78989583333</x:v>
      </x:c>
      <x:c r="Q800" s="117" t="str">
        <x:v>Jace Gentil</x:v>
      </x:c>
      <x:c r="R800" s="117" t="str">
        <x:v>Create Sales Opportunities from Training Class</x:v>
      </x:c>
      <x:c r="S800" s="119"/>
    </x:row>
    <x:row r="801" ht="30" customHeight="1">
      <x:c r="A801" s="117" t="str">
        <x:v>Create_Sales_Opportunities_from_Training_Class</x:v>
      </x:c>
      <x:c r="B801" s="117" t="str">
        <x:v>300Ro0000099RzwIAE</x:v>
      </x:c>
      <x:c r="C801" s="117" t="str">
        <x:v>301Ro00000DPC6ZIAX</x:v>
      </x:c>
      <x:c r="D801" s="118" t="n">
        <x:v>12</x:v>
      </x:c>
      <x:c r="E801" s="117" t="str">
        <x:v>Active</x:v>
      </x:c>
      <x:c r="F801" s="117" t="str">
        <x:v>Yes</x:v>
      </x:c>
      <x:c r="G801" s="117" t="str">
        <x:v>Yes</x:v>
      </x:c>
      <x:c r="H801" s="117" t="str">
        <x:v>Flow</x:v>
      </x:c>
      <x:c r="I801" s="118" t="n">
        <x:v>60</x:v>
      </x:c>
      <x:c r="J801" s="117" t="str">
        <x:v>unmanaged</x:v>
      </x:c>
      <x:c r="K801" s="123" t="b">
        <x:v>0</x:v>
      </x:c>
      <x:c r="L801" s="117" t="str">
        <x:v>SystemModeWithoutSharing</x:v>
      </x:c>
      <x:c r="M801" s="118"/>
      <x:c r="N801" s="120" t="n">
        <x:v>45435.61078703704</x:v>
      </x:c>
      <x:c r="O801" s="117" t="str">
        <x:v>Jace Gentil</x:v>
      </x:c>
      <x:c r="P801" s="120" t="n">
        <x:v>45435.61087962963</x:v>
      </x:c>
      <x:c r="Q801" s="117" t="str">
        <x:v>Jace Gentil</x:v>
      </x:c>
      <x:c r="R801" s="117" t="str">
        <x:v>Create Sales Opportunities from Training Class</x:v>
      </x:c>
      <x:c r="S801" s="119"/>
    </x:row>
    <x:row r="802" ht="30" customHeight="1">
      <x:c r="A802" s="117" t="str">
        <x:v>Create_Service_Calendar_Event_from_Service_Resource_UK</x:v>
      </x:c>
      <x:c r="B802" s="117" t="str">
        <x:v>300Ro00000H90tTIAR</x:v>
      </x:c>
      <x:c r="C802" s="117" t="str">
        <x:v>301Ro00000IpVm5IAF</x:v>
      </x:c>
      <x:c r="D802" s="118" t="n">
        <x:v>1</x:v>
      </x:c>
      <x:c r="E802" s="117" t="str">
        <x:v>Draft</x:v>
      </x:c>
      <x:c r="F802" s="117" t="str">
        <x:v>No</x:v>
      </x:c>
      <x:c r="G802" s="117" t="str">
        <x:v>No</x:v>
      </x:c>
      <x:c r="H802" s="117" t="str">
        <x:v>AutoLaunchedFlow</x:v>
      </x:c>
      <x:c r="I802" s="118" t="n">
        <x:v>61</x:v>
      </x:c>
      <x:c r="J802" s="117" t="str">
        <x:v>unmanaged</x:v>
      </x:c>
      <x:c r="K802" s="123" t="b">
        <x:v>0</x:v>
      </x:c>
      <x:c r="L802" s="117"/>
      <x:c r="M802" s="118"/>
      <x:c r="N802" s="120" t="n">
        <x:v>45515.600798611114</x:v>
      </x:c>
      <x:c r="O802" s="117" t="str">
        <x:v>Delegate</x:v>
      </x:c>
      <x:c r="P802" s="120" t="n">
        <x:v>45515.60083333333</x:v>
      </x:c>
      <x:c r="Q802" s="117" t="str">
        <x:v>Delegate</x:v>
      </x:c>
      <x:c r="R802" s="117" t="str">
        <x:v>Create Service Calendar Event from Service Resource - UK</x:v>
      </x:c>
      <x:c r="S802" s="119"/>
    </x:row>
    <x:row r="803" ht="30" customHeight="1">
      <x:c r="A803" s="117" t="str">
        <x:v>Create_Service_Calendar_Event_from_Service_Resource_UK</x:v>
      </x:c>
      <x:c r="B803" s="117" t="str">
        <x:v>300Ro00000H90tTIAR</x:v>
      </x:c>
      <x:c r="C803" s="117" t="str">
        <x:v>301Ro00000IpdhnIAB</x:v>
      </x:c>
      <x:c r="D803" s="118" t="n">
        <x:v>2</x:v>
      </x:c>
      <x:c r="E803" s="117" t="str">
        <x:v>Draft</x:v>
      </x:c>
      <x:c r="F803" s="117" t="str">
        <x:v>No</x:v>
      </x:c>
      <x:c r="G803" s="117" t="str">
        <x:v>No</x:v>
      </x:c>
      <x:c r="H803" s="117" t="str">
        <x:v>AutoLaunchedFlow</x:v>
      </x:c>
      <x:c r="I803" s="118" t="n">
        <x:v>61</x:v>
      </x:c>
      <x:c r="J803" s="117" t="str">
        <x:v>unmanaged</x:v>
      </x:c>
      <x:c r="K803" s="123" t="b">
        <x:v>0</x:v>
      </x:c>
      <x:c r="L803" s="117"/>
      <x:c r="M803" s="118"/>
      <x:c r="N803" s="120" t="n">
        <x:v>45515.61989583333</x:v>
      </x:c>
      <x:c r="O803" s="117" t="str">
        <x:v>Delegate</x:v>
      </x:c>
      <x:c r="P803" s="120" t="n">
        <x:v>45515.61990740741</x:v>
      </x:c>
      <x:c r="Q803" s="117" t="str">
        <x:v>Delegate</x:v>
      </x:c>
      <x:c r="R803" s="117" t="str">
        <x:v>Create Service Calendar Event from Service Resource - UK</x:v>
      </x:c>
      <x:c r="S803" s="119"/>
    </x:row>
    <x:row r="804" ht="30" customHeight="1">
      <x:c r="A804" s="117" t="str">
        <x:v>Create_Service_Calendar_Event_from_Service_Resource_UK</x:v>
      </x:c>
      <x:c r="B804" s="117" t="str">
        <x:v>300Ro00000H90tTIAR</x:v>
      </x:c>
      <x:c r="C804" s="117" t="str">
        <x:v>301Ro00000Iow0EIAR</x:v>
      </x:c>
      <x:c r="D804" s="118" t="n">
        <x:v>3</x:v>
      </x:c>
      <x:c r="E804" s="117" t="str">
        <x:v>Obsolete</x:v>
      </x:c>
      <x:c r="F804" s="117" t="str">
        <x:v>No</x:v>
      </x:c>
      <x:c r="G804" s="117" t="str">
        <x:v>No</x:v>
      </x:c>
      <x:c r="H804" s="117" t="str">
        <x:v>AutoLaunchedFlow</x:v>
      </x:c>
      <x:c r="I804" s="118" t="n">
        <x:v>61</x:v>
      </x:c>
      <x:c r="J804" s="117" t="str">
        <x:v>unmanaged</x:v>
      </x:c>
      <x:c r="K804" s="123" t="b">
        <x:v>0</x:v>
      </x:c>
      <x:c r="L804" s="117"/>
      <x:c r="M804" s="118"/>
      <x:c r="N804" s="120" t="n">
        <x:v>45515.6202662037</x:v>
      </x:c>
      <x:c r="O804" s="117" t="str">
        <x:v>Delegate</x:v>
      </x:c>
      <x:c r="P804" s="120" t="n">
        <x:v>45515.62032407407</x:v>
      </x:c>
      <x:c r="Q804" s="117" t="str">
        <x:v>Delegate</x:v>
      </x:c>
      <x:c r="R804" s="117" t="str">
        <x:v>Create Service Calendar Event from Service Resource - UK</x:v>
      </x:c>
      <x:c r="S804" s="119"/>
    </x:row>
    <x:row r="805" ht="30" customHeight="1">
      <x:c r="A805" s="117" t="str">
        <x:v>Create_Service_Calendar_Event_from_Service_Resource_UK</x:v>
      </x:c>
      <x:c r="B805" s="117" t="str">
        <x:v>300Ro00000H90tTIAR</x:v>
      </x:c>
      <x:c r="C805" s="117" t="str">
        <x:v>301Ro00000IpYX5IAN</x:v>
      </x:c>
      <x:c r="D805" s="118" t="n">
        <x:v>4</x:v>
      </x:c>
      <x:c r="E805" s="117" t="str">
        <x:v>Obsolete</x:v>
      </x:c>
      <x:c r="F805" s="117" t="str">
        <x:v>No</x:v>
      </x:c>
      <x:c r="G805" s="117" t="str">
        <x:v>No</x:v>
      </x:c>
      <x:c r="H805" s="117" t="str">
        <x:v>AutoLaunchedFlow</x:v>
      </x:c>
      <x:c r="I805" s="118" t="n">
        <x:v>61</x:v>
      </x:c>
      <x:c r="J805" s="117" t="str">
        <x:v>unmanaged</x:v>
      </x:c>
      <x:c r="K805" s="123" t="b">
        <x:v>0</x:v>
      </x:c>
      <x:c r="L805" s="117"/>
      <x:c r="M805" s="118"/>
      <x:c r="N805" s="120" t="n">
        <x:v>45515.63952546296</x:v>
      </x:c>
      <x:c r="O805" s="117" t="str">
        <x:v>Delegate</x:v>
      </x:c>
      <x:c r="P805" s="120" t="n">
        <x:v>45515.63994212963</x:v>
      </x:c>
      <x:c r="Q805" s="117" t="str">
        <x:v>Delegate</x:v>
      </x:c>
      <x:c r="R805" s="117" t="str">
        <x:v>Create Service Calendar Event from Service Resource - UK</x:v>
      </x:c>
      <x:c r="S805" s="119"/>
    </x:row>
    <x:row r="806" ht="30" customHeight="1">
      <x:c r="A806" s="117" t="str">
        <x:v>Create_Service_Calendar_Event_from_Service_Resource_UK</x:v>
      </x:c>
      <x:c r="B806" s="117" t="str">
        <x:v>300Ro00000H90tTIAR</x:v>
      </x:c>
      <x:c r="C806" s="117" t="str">
        <x:v>301Ro00000IpYrwIAF</x:v>
      </x:c>
      <x:c r="D806" s="118" t="n">
        <x:v>5</x:v>
      </x:c>
      <x:c r="E806" s="117" t="str">
        <x:v>Obsolete</x:v>
      </x:c>
      <x:c r="F806" s="117" t="str">
        <x:v>No</x:v>
      </x:c>
      <x:c r="G806" s="117" t="str">
        <x:v>No</x:v>
      </x:c>
      <x:c r="H806" s="117" t="str">
        <x:v>AutoLaunchedFlow</x:v>
      </x:c>
      <x:c r="I806" s="118" t="n">
        <x:v>61</x:v>
      </x:c>
      <x:c r="J806" s="117" t="str">
        <x:v>unmanaged</x:v>
      </x:c>
      <x:c r="K806" s="123" t="b">
        <x:v>0</x:v>
      </x:c>
      <x:c r="L806" s="117"/>
      <x:c r="M806" s="118"/>
      <x:c r="N806" s="120" t="n">
        <x:v>45515.64239583333</x:v>
      </x:c>
      <x:c r="O806" s="117" t="str">
        <x:v>Delegate</x:v>
      </x:c>
      <x:c r="P806" s="120" t="n">
        <x:v>45515.642476851855</x:v>
      </x:c>
      <x:c r="Q806" s="117" t="str">
        <x:v>Delegate</x:v>
      </x:c>
      <x:c r="R806" s="117" t="str">
        <x:v>Create Service Calendar Event from Service Resource - UK</x:v>
      </x:c>
      <x:c r="S806" s="119"/>
    </x:row>
    <x:row r="807" ht="30" customHeight="1">
      <x:c r="A807" s="117" t="str">
        <x:v>Create_Service_Calendar_Event_from_Service_Resource_UK</x:v>
      </x:c>
      <x:c r="B807" s="117" t="str">
        <x:v>300Ro00000H90tTIAR</x:v>
      </x:c>
      <x:c r="C807" s="117" t="str">
        <x:v>301Ro00000IpZTRIA3</x:v>
      </x:c>
      <x:c r="D807" s="118" t="n">
        <x:v>6</x:v>
      </x:c>
      <x:c r="E807" s="117" t="str">
        <x:v>Obsolete</x:v>
      </x:c>
      <x:c r="F807" s="117" t="str">
        <x:v>No</x:v>
      </x:c>
      <x:c r="G807" s="117" t="str">
        <x:v>No</x:v>
      </x:c>
      <x:c r="H807" s="117" t="str">
        <x:v>AutoLaunchedFlow</x:v>
      </x:c>
      <x:c r="I807" s="118" t="n">
        <x:v>61</x:v>
      </x:c>
      <x:c r="J807" s="117" t="str">
        <x:v>unmanaged</x:v>
      </x:c>
      <x:c r="K807" s="123" t="b">
        <x:v>0</x:v>
      </x:c>
      <x:c r="L807" s="117"/>
      <x:c r="M807" s="118"/>
      <x:c r="N807" s="120" t="n">
        <x:v>45515.64487268519</x:v>
      </x:c>
      <x:c r="O807" s="117" t="str">
        <x:v>Delegate</x:v>
      </x:c>
      <x:c r="P807" s="120" t="n">
        <x:v>45515.64493055556</x:v>
      </x:c>
      <x:c r="Q807" s="117" t="str">
        <x:v>Delegate</x:v>
      </x:c>
      <x:c r="R807" s="117" t="str">
        <x:v>Create Service Calendar Event from Service Resource - UK</x:v>
      </x:c>
      <x:c r="S807" s="119"/>
    </x:row>
    <x:row r="808" ht="30" customHeight="1">
      <x:c r="A808" s="117" t="str">
        <x:v>Create_Service_Calendar_Event_from_Service_Resource_UK</x:v>
      </x:c>
      <x:c r="B808" s="117" t="str">
        <x:v>300Ro00000H90tTIAR</x:v>
      </x:c>
      <x:c r="C808" s="117" t="str">
        <x:v>301Ro00000IpiG8IAJ</x:v>
      </x:c>
      <x:c r="D808" s="118" t="n">
        <x:v>7</x:v>
      </x:c>
      <x:c r="E808" s="117" t="str">
        <x:v>Obsolete</x:v>
      </x:c>
      <x:c r="F808" s="117" t="str">
        <x:v>No</x:v>
      </x:c>
      <x:c r="G808" s="117" t="str">
        <x:v>No</x:v>
      </x:c>
      <x:c r="H808" s="117" t="str">
        <x:v>AutoLaunchedFlow</x:v>
      </x:c>
      <x:c r="I808" s="118" t="n">
        <x:v>61</x:v>
      </x:c>
      <x:c r="J808" s="117" t="str">
        <x:v>unmanaged</x:v>
      </x:c>
      <x:c r="K808" s="123" t="b">
        <x:v>0</x:v>
      </x:c>
      <x:c r="L808" s="117"/>
      <x:c r="M808" s="118"/>
      <x:c r="N808" s="120" t="n">
        <x:v>45515.656493055554</x:v>
      </x:c>
      <x:c r="O808" s="117" t="str">
        <x:v>Delegate</x:v>
      </x:c>
      <x:c r="P808" s="120" t="n">
        <x:v>45515.6565625</x:v>
      </x:c>
      <x:c r="Q808" s="117" t="str">
        <x:v>Delegate</x:v>
      </x:c>
      <x:c r="R808" s="117" t="str">
        <x:v>Create Service Calendar Event from Service Resource - UK</x:v>
      </x:c>
      <x:c r="S808" s="119"/>
    </x:row>
    <x:row r="809" ht="30" customHeight="1">
      <x:c r="A809" s="117" t="str">
        <x:v>Create_Service_Calendar_Event_from_Service_Resource_UK</x:v>
      </x:c>
      <x:c r="B809" s="117" t="str">
        <x:v>300Ro00000H90tTIAR</x:v>
      </x:c>
      <x:c r="C809" s="117" t="str">
        <x:v>301Ro00000IpomvIAB</x:v>
      </x:c>
      <x:c r="D809" s="118" t="n">
        <x:v>8</x:v>
      </x:c>
      <x:c r="E809" s="117" t="str">
        <x:v>Obsolete</x:v>
      </x:c>
      <x:c r="F809" s="117" t="str">
        <x:v>No</x:v>
      </x:c>
      <x:c r="G809" s="117" t="str">
        <x:v>No</x:v>
      </x:c>
      <x:c r="H809" s="117" t="str">
        <x:v>AutoLaunchedFlow</x:v>
      </x:c>
      <x:c r="I809" s="118" t="n">
        <x:v>61</x:v>
      </x:c>
      <x:c r="J809" s="117" t="str">
        <x:v>unmanaged</x:v>
      </x:c>
      <x:c r="K809" s="123" t="b">
        <x:v>0</x:v>
      </x:c>
      <x:c r="L809" s="117"/>
      <x:c r="M809" s="118"/>
      <x:c r="N809" s="120" t="n">
        <x:v>45515.67870370371</x:v>
      </x:c>
      <x:c r="O809" s="117" t="str">
        <x:v>Delegate</x:v>
      </x:c>
      <x:c r="P809" s="120" t="n">
        <x:v>45516.22505787037</x:v>
      </x:c>
      <x:c r="Q809" s="117" t="str">
        <x:v>Delegate</x:v>
      </x:c>
      <x:c r="R809" s="117" t="str">
        <x:v>Create Service Calendar Event from Service Resource - UK</x:v>
      </x:c>
      <x:c r="S809" s="119"/>
    </x:row>
    <x:row r="810" ht="30" customHeight="1">
      <x:c r="A810" s="117" t="str">
        <x:v>Create_Service_Calendar_Event_from_Service_Resource_UK</x:v>
      </x:c>
      <x:c r="B810" s="117" t="str">
        <x:v>300Ro00000H90tTIAR</x:v>
      </x:c>
      <x:c r="C810" s="117" t="str">
        <x:v>301Ro00000IqiKSIAZ</x:v>
      </x:c>
      <x:c r="D810" s="118" t="n">
        <x:v>9</x:v>
      </x:c>
      <x:c r="E810" s="117" t="str">
        <x:v>Obsolete</x:v>
      </x:c>
      <x:c r="F810" s="117" t="str">
        <x:v>No</x:v>
      </x:c>
      <x:c r="G810" s="117" t="str">
        <x:v>No</x:v>
      </x:c>
      <x:c r="H810" s="117" t="str">
        <x:v>AutoLaunchedFlow</x:v>
      </x:c>
      <x:c r="I810" s="118" t="n">
        <x:v>61</x:v>
      </x:c>
      <x:c r="J810" s="117" t="str">
        <x:v>unmanaged</x:v>
      </x:c>
      <x:c r="K810" s="123" t="b">
        <x:v>0</x:v>
      </x:c>
      <x:c r="L810" s="117"/>
      <x:c r="M810" s="118"/>
      <x:c r="N810" s="120" t="n">
        <x:v>45516.238020833334</x:v>
      </x:c>
      <x:c r="O810" s="117" t="str">
        <x:v>Delegate</x:v>
      </x:c>
      <x:c r="P810" s="120" t="n">
        <x:v>45516.23806712963</x:v>
      </x:c>
      <x:c r="Q810" s="117" t="str">
        <x:v>Delegate</x:v>
      </x:c>
      <x:c r="R810" s="117" t="str">
        <x:v>Create Service Calendar Event from Service Resource - UK</x:v>
      </x:c>
      <x:c r="S810" s="119"/>
    </x:row>
    <x:row r="811" ht="30" customHeight="1">
      <x:c r="A811" s="117" t="str">
        <x:v>Create_Service_Calendar_Event_from_Service_Resource_UK</x:v>
      </x:c>
      <x:c r="B811" s="117" t="str">
        <x:v>300Ro00000H90tTIAR</x:v>
      </x:c>
      <x:c r="C811" s="117" t="str">
        <x:v>301Ro00000Ir2kVIAR</x:v>
      </x:c>
      <x:c r="D811" s="118" t="n">
        <x:v>10</x:v>
      </x:c>
      <x:c r="E811" s="117" t="str">
        <x:v>Obsolete</x:v>
      </x:c>
      <x:c r="F811" s="117" t="str">
        <x:v>No</x:v>
      </x:c>
      <x:c r="G811" s="117" t="str">
        <x:v>No</x:v>
      </x:c>
      <x:c r="H811" s="117" t="str">
        <x:v>AutoLaunchedFlow</x:v>
      </x:c>
      <x:c r="I811" s="118" t="n">
        <x:v>61</x:v>
      </x:c>
      <x:c r="J811" s="117" t="str">
        <x:v>unmanaged</x:v>
      </x:c>
      <x:c r="K811" s="123" t="b">
        <x:v>0</x:v>
      </x:c>
      <x:c r="L811" s="117"/>
      <x:c r="M811" s="118"/>
      <x:c r="N811" s="120" t="n">
        <x:v>45516.29986111111</x:v>
      </x:c>
      <x:c r="O811" s="117" t="str">
        <x:v>Delegate</x:v>
      </x:c>
      <x:c r="P811" s="120" t="n">
        <x:v>45516.30019675926</x:v>
      </x:c>
      <x:c r="Q811" s="117" t="str">
        <x:v>Delegate</x:v>
      </x:c>
      <x:c r="R811" s="117" t="str">
        <x:v>Create Service Calendar Event from Service Resource - UK</x:v>
      </x:c>
      <x:c r="S811" s="119"/>
    </x:row>
    <x:row r="812" ht="30" customHeight="1">
      <x:c r="A812" s="117" t="str">
        <x:v>Create_Service_Calendar_Event_from_Service_Resource_UK</x:v>
      </x:c>
      <x:c r="B812" s="117" t="str">
        <x:v>300Ro00000H90tTIAR</x:v>
      </x:c>
      <x:c r="C812" s="117" t="str">
        <x:v>301Ro00000TYfPuIAL</x:v>
      </x:c>
      <x:c r="D812" s="118" t="n">
        <x:v>11</x:v>
      </x:c>
      <x:c r="E812" s="117" t="str">
        <x:v>Obsolete</x:v>
      </x:c>
      <x:c r="F812" s="117" t="str">
        <x:v>No</x:v>
      </x:c>
      <x:c r="G812" s="117" t="str">
        <x:v>No</x:v>
      </x:c>
      <x:c r="H812" s="117" t="str">
        <x:v>AutoLaunchedFlow</x:v>
      </x:c>
      <x:c r="I812" s="118" t="n">
        <x:v>61</x:v>
      </x:c>
      <x:c r="J812" s="117" t="str">
        <x:v>unmanaged</x:v>
      </x:c>
      <x:c r="K812" s="123" t="b">
        <x:v>0</x:v>
      </x:c>
      <x:c r="L812" s="117"/>
      <x:c r="M812" s="118"/>
      <x:c r="N812" s="120" t="n">
        <x:v>45695.52583333333</x:v>
      </x:c>
      <x:c r="O812" s="117" t="str">
        <x:v>Delegate</x:v>
      </x:c>
      <x:c r="P812" s="120" t="n">
        <x:v>45695.52587962963</x:v>
      </x:c>
      <x:c r="Q812" s="117" t="str">
        <x:v>Delegate</x:v>
      </x:c>
      <x:c r="R812" s="117" t="str">
        <x:v>Create Service Calendar Event from Service Resource - UK</x:v>
      </x:c>
      <x:c r="S812" s="119" t="str">
        <x:v>02/07/2025 (BW) - Assigning a resource schedules it, does not dispatch it though. That is done manually once the team locks them in</x:v>
      </x:c>
    </x:row>
    <x:row r="813" ht="30" customHeight="1">
      <x:c r="A813" s="117" t="str">
        <x:v>Create_Service_Calendar_Event_from_Service_Resource_UK</x:v>
      </x:c>
      <x:c r="B813" s="117" t="str">
        <x:v>300Ro00000H90tTIAR</x:v>
      </x:c>
      <x:c r="C813" s="117" t="str">
        <x:v>301Ro00000TZNFtIAP</x:v>
      </x:c>
      <x:c r="D813" s="118" t="n">
        <x:v>12</x:v>
      </x:c>
      <x:c r="E813" s="117" t="str">
        <x:v>Obsolete</x:v>
      </x:c>
      <x:c r="F813" s="117" t="str">
        <x:v>No</x:v>
      </x:c>
      <x:c r="G813" s="117" t="str">
        <x:v>No</x:v>
      </x:c>
      <x:c r="H813" s="117" t="str">
        <x:v>AutoLaunchedFlow</x:v>
      </x:c>
      <x:c r="I813" s="118" t="n">
        <x:v>61</x:v>
      </x:c>
      <x:c r="J813" s="117" t="str">
        <x:v>unmanaged</x:v>
      </x:c>
      <x:c r="K813" s="123" t="b">
        <x:v>0</x:v>
      </x:c>
      <x:c r="L813" s="117"/>
      <x:c r="M813" s="118"/>
      <x:c r="N813" s="120" t="n">
        <x:v>45695.627280092594</x:v>
      </x:c>
      <x:c r="O813" s="117" t="str">
        <x:v>Delegate</x:v>
      </x:c>
      <x:c r="P813" s="120" t="n">
        <x:v>45730.77722222222</x:v>
      </x:c>
      <x:c r="Q813" s="117" t="str">
        <x:v>Delegate</x:v>
      </x:c>
      <x:c r="R813" s="117" t="str">
        <x:v>Create Service Calendar Event from Service Resource - UK</x:v>
      </x:c>
      <x:c r="S813" s="119" t="str">
        <x:v>02/07/2025 (BW) - Assigning a resource schedules it, does not dispatch it though. That is done manually once the team locks them in</x:v>
      </x:c>
    </x:row>
    <x:row r="814" ht="30" customHeight="1">
      <x:c r="A814" s="117" t="str">
        <x:v>Create_Service_Calendar_Event_from_Service_Resource_UK</x:v>
      </x:c>
      <x:c r="B814" s="117" t="str">
        <x:v>300Ro00000H90tTIAR</x:v>
      </x:c>
      <x:c r="C814" s="117" t="str">
        <x:v>301Ro00000VbxouIAB</x:v>
      </x:c>
      <x:c r="D814" s="118" t="n">
        <x:v>13</x:v>
      </x:c>
      <x:c r="E814" s="117" t="str">
        <x:v>Draft</x:v>
      </x:c>
      <x:c r="F814" s="117" t="str">
        <x:v>No</x:v>
      </x:c>
      <x:c r="G814" s="117" t="str">
        <x:v>Yes</x:v>
      </x:c>
      <x:c r="H814" s="117" t="str">
        <x:v>AutoLaunchedFlow</x:v>
      </x:c>
      <x:c r="I814" s="118" t="n">
        <x:v>61</x:v>
      </x:c>
      <x:c r="J814" s="117" t="str">
        <x:v>unmanaged</x:v>
      </x:c>
      <x:c r="K814" s="123" t="b">
        <x:v>0</x:v>
      </x:c>
      <x:c r="L814" s="117"/>
      <x:c r="M814" s="118"/>
      <x:c r="N814" s="120" t="n">
        <x:v>45729.64252314815</x:v>
      </x:c>
      <x:c r="O814" s="117" t="str">
        <x:v>Delegate</x:v>
      </x:c>
      <x:c r="P814" s="120" t="n">
        <x:v>45729.64256944445</x:v>
      </x:c>
      <x:c r="Q814" s="117" t="str">
        <x:v>Delegate</x:v>
      </x:c>
      <x:c r="R814" s="117" t="str">
        <x:v>Create Service Calendar Event from Service Resource - UK</x:v>
      </x:c>
      <x:c r="S814" s="119" t="str">
        <x:v>02/07/2025 (BW) - Assigning a resource schedules it, does not dispatch it though. That is done manually once the team locks them in
03/12/2024 - Kyle/Delegate - Updates requested in the last 30 days</x:v>
      </x:c>
    </x:row>
    <x:row r="815" ht="30" customHeight="1">
      <x:c r="A815" s="117" t="str">
        <x:v>Create_Service_Calendar_Event_from_Work_Order_UK</x:v>
      </x:c>
      <x:c r="B815" s="117" t="str">
        <x:v>3005b000000H413AAC</x:v>
      </x:c>
      <x:c r="C815" s="117" t="str">
        <x:v>3015b000000EKsxAAG</x:v>
      </x:c>
      <x:c r="D815" s="118" t="n">
        <x:v>1</x:v>
      </x:c>
      <x:c r="E815" s="117" t="str">
        <x:v>Obsolete</x:v>
      </x:c>
      <x:c r="F815" s="117" t="str">
        <x:v>No</x:v>
      </x:c>
      <x:c r="G815" s="117" t="str">
        <x:v>No</x:v>
      </x:c>
      <x:c r="H815" s="117" t="str">
        <x:v>AutoLaunchedFlow</x:v>
      </x:c>
      <x:c r="I815" s="118" t="n">
        <x:v>55</x:v>
      </x:c>
      <x:c r="J815" s="117" t="str">
        <x:v>unmanaged</x:v>
      </x:c>
      <x:c r="K815" s="123" t="b">
        <x:v>0</x:v>
      </x:c>
      <x:c r="L815" s="117"/>
      <x:c r="M815" s="118"/>
      <x:c r="N815" s="120" t="n">
        <x:v>44755.49586805556</x:v>
      </x:c>
      <x:c r="O815" s="117" t="str">
        <x:v>Jace Gentil</x:v>
      </x:c>
      <x:c r="P815" s="120" t="n">
        <x:v>44755.49591435185</x:v>
      </x:c>
      <x:c r="Q815" s="117" t="str">
        <x:v>Jace Gentil</x:v>
      </x:c>
      <x:c r="R815" s="117" t="str">
        <x:v>Create Service Calendar Event from Work Order - UK</x:v>
      </x:c>
      <x:c r="S815" s="119"/>
    </x:row>
    <x:row r="816" ht="30" customHeight="1">
      <x:c r="A816" s="117" t="str">
        <x:v>Create_Service_Calendar_Event_from_Work_Order_UK</x:v>
      </x:c>
      <x:c r="B816" s="117" t="str">
        <x:v>3005b000000H413AAC</x:v>
      </x:c>
      <x:c r="C816" s="117" t="str">
        <x:v>3015b000000EKtWAAW</x:v>
      </x:c>
      <x:c r="D816" s="118" t="n">
        <x:v>2</x:v>
      </x:c>
      <x:c r="E816" s="117" t="str">
        <x:v>Obsolete</x:v>
      </x:c>
      <x:c r="F816" s="117" t="str">
        <x:v>No</x:v>
      </x:c>
      <x:c r="G816" s="117" t="str">
        <x:v>No</x:v>
      </x:c>
      <x:c r="H816" s="117" t="str">
        <x:v>AutoLaunchedFlow</x:v>
      </x:c>
      <x:c r="I816" s="118" t="n">
        <x:v>55</x:v>
      </x:c>
      <x:c r="J816" s="117" t="str">
        <x:v>unmanaged</x:v>
      </x:c>
      <x:c r="K816" s="123" t="b">
        <x:v>0</x:v>
      </x:c>
      <x:c r="L816" s="117"/>
      <x:c r="M816" s="118"/>
      <x:c r="N816" s="120" t="n">
        <x:v>44755.52762731481</x:v>
      </x:c>
      <x:c r="O816" s="117" t="str">
        <x:v>Jace Gentil</x:v>
      </x:c>
      <x:c r="P816" s="120" t="n">
        <x:v>44755.52769675926</x:v>
      </x:c>
      <x:c r="Q816" s="117" t="str">
        <x:v>Jace Gentil</x:v>
      </x:c>
      <x:c r="R816" s="117" t="str">
        <x:v>Create Service Calendar Event from Work Order - UK</x:v>
      </x:c>
      <x:c r="S816" s="119"/>
    </x:row>
    <x:row r="817" ht="30" customHeight="1">
      <x:c r="A817" s="117" t="str">
        <x:v>Create_Service_Calendar_Event_from_Work_Order_UK</x:v>
      </x:c>
      <x:c r="B817" s="117" t="str">
        <x:v>3005b000000H413AAC</x:v>
      </x:c>
      <x:c r="C817" s="117" t="str">
        <x:v>3015b000000EKuUAAW</x:v>
      </x:c>
      <x:c r="D817" s="118" t="n">
        <x:v>3</x:v>
      </x:c>
      <x:c r="E817" s="117" t="str">
        <x:v>Obsolete</x:v>
      </x:c>
      <x:c r="F817" s="117" t="str">
        <x:v>No</x:v>
      </x:c>
      <x:c r="G817" s="117" t="str">
        <x:v>No</x:v>
      </x:c>
      <x:c r="H817" s="117" t="str">
        <x:v>AutoLaunchedFlow</x:v>
      </x:c>
      <x:c r="I817" s="118" t="n">
        <x:v>55</x:v>
      </x:c>
      <x:c r="J817" s="117" t="str">
        <x:v>unmanaged</x:v>
      </x:c>
      <x:c r="K817" s="123" t="b">
        <x:v>0</x:v>
      </x:c>
      <x:c r="L817" s="117"/>
      <x:c r="M817" s="118"/>
      <x:c r="N817" s="120" t="n">
        <x:v>44755.62715277778</x:v>
      </x:c>
      <x:c r="O817" s="117" t="str">
        <x:v>Jace Gentil</x:v>
      </x:c>
      <x:c r="P817" s="120" t="n">
        <x:v>44755.62719907407</x:v>
      </x:c>
      <x:c r="Q817" s="117" t="str">
        <x:v>Jace Gentil</x:v>
      </x:c>
      <x:c r="R817" s="117" t="str">
        <x:v>Create Service Calendar Event from Work Order - UK</x:v>
      </x:c>
      <x:c r="S817" s="119"/>
    </x:row>
    <x:row r="818" ht="30" customHeight="1">
      <x:c r="A818" s="117" t="str">
        <x:v>Create_Service_Calendar_Event_from_Work_Order_UK</x:v>
      </x:c>
      <x:c r="B818" s="117" t="str">
        <x:v>3005b000000H413AAC</x:v>
      </x:c>
      <x:c r="C818" s="117" t="str">
        <x:v>3015b000000EKuZAAW</x:v>
      </x:c>
      <x:c r="D818" s="118" t="n">
        <x:v>4</x:v>
      </x:c>
      <x:c r="E818" s="117" t="str">
        <x:v>Obsolete</x:v>
      </x:c>
      <x:c r="F818" s="117" t="str">
        <x:v>No</x:v>
      </x:c>
      <x:c r="G818" s="117" t="str">
        <x:v>No</x:v>
      </x:c>
      <x:c r="H818" s="117" t="str">
        <x:v>AutoLaunchedFlow</x:v>
      </x:c>
      <x:c r="I818" s="118" t="n">
        <x:v>55</x:v>
      </x:c>
      <x:c r="J818" s="117" t="str">
        <x:v>unmanaged</x:v>
      </x:c>
      <x:c r="K818" s="123" t="b">
        <x:v>0</x:v>
      </x:c>
      <x:c r="L818" s="117"/>
      <x:c r="M818" s="118"/>
      <x:c r="N818" s="120" t="n">
        <x:v>44755.628530092596</x:v>
      </x:c>
      <x:c r="O818" s="117" t="str">
        <x:v>Jace Gentil</x:v>
      </x:c>
      <x:c r="P818" s="120" t="n">
        <x:v>44755.62857638889</x:v>
      </x:c>
      <x:c r="Q818" s="117" t="str">
        <x:v>Jace Gentil</x:v>
      </x:c>
      <x:c r="R818" s="117" t="str">
        <x:v>Create Service Calendar Event from Work Order - UK</x:v>
      </x:c>
      <x:c r="S818" s="119"/>
    </x:row>
    <x:row r="819" ht="30" customHeight="1">
      <x:c r="A819" s="117" t="str">
        <x:v>Create_Service_Calendar_Event_from_Work_Order_UK</x:v>
      </x:c>
      <x:c r="B819" s="117" t="str">
        <x:v>3005b000000H413AAC</x:v>
      </x:c>
      <x:c r="C819" s="117" t="str">
        <x:v>3015b000000EKxOAAW</x:v>
      </x:c>
      <x:c r="D819" s="118" t="n">
        <x:v>5</x:v>
      </x:c>
      <x:c r="E819" s="117" t="str">
        <x:v>Obsolete</x:v>
      </x:c>
      <x:c r="F819" s="117" t="str">
        <x:v>No</x:v>
      </x:c>
      <x:c r="G819" s="117" t="str">
        <x:v>No</x:v>
      </x:c>
      <x:c r="H819" s="117" t="str">
        <x:v>AutoLaunchedFlow</x:v>
      </x:c>
      <x:c r="I819" s="118" t="n">
        <x:v>55</x:v>
      </x:c>
      <x:c r="J819" s="117" t="str">
        <x:v>unmanaged</x:v>
      </x:c>
      <x:c r="K819" s="123" t="b">
        <x:v>0</x:v>
      </x:c>
      <x:c r="L819" s="117"/>
      <x:c r="M819" s="118"/>
      <x:c r="N819" s="120" t="n">
        <x:v>44761.64251157407</x:v>
      </x:c>
      <x:c r="O819" s="117" t="str">
        <x:v>Jace Gentil</x:v>
      </x:c>
      <x:c r="P819" s="120" t="n">
        <x:v>44761.64255787037</x:v>
      </x:c>
      <x:c r="Q819" s="117" t="str">
        <x:v>Jace Gentil</x:v>
      </x:c>
      <x:c r="R819" s="117" t="str">
        <x:v>Create Service Calendar Event from Work Order - UK</x:v>
      </x:c>
      <x:c r="S819" s="119"/>
    </x:row>
    <x:row r="820" ht="30" customHeight="1">
      <x:c r="A820" s="117" t="str">
        <x:v>Create_Service_Calendar_Event_from_Work_Order_UK</x:v>
      </x:c>
      <x:c r="B820" s="117" t="str">
        <x:v>3005b000000H413AAC</x:v>
      </x:c>
      <x:c r="C820" s="117" t="str">
        <x:v>3015b000000EKxTAAW</x:v>
      </x:c>
      <x:c r="D820" s="118" t="n">
        <x:v>6</x:v>
      </x:c>
      <x:c r="E820" s="117" t="str">
        <x:v>Obsolete</x:v>
      </x:c>
      <x:c r="F820" s="117" t="str">
        <x:v>No</x:v>
      </x:c>
      <x:c r="G820" s="117" t="str">
        <x:v>No</x:v>
      </x:c>
      <x:c r="H820" s="117" t="str">
        <x:v>AutoLaunchedFlow</x:v>
      </x:c>
      <x:c r="I820" s="118" t="n">
        <x:v>55</x:v>
      </x:c>
      <x:c r="J820" s="117" t="str">
        <x:v>unmanaged</x:v>
      </x:c>
      <x:c r="K820" s="123" t="b">
        <x:v>0</x:v>
      </x:c>
      <x:c r="L820" s="117"/>
      <x:c r="M820" s="118"/>
      <x:c r="N820" s="120" t="n">
        <x:v>44761.64800925926</x:v>
      </x:c>
      <x:c r="O820" s="117" t="str">
        <x:v>Jace Gentil</x:v>
      </x:c>
      <x:c r="P820" s="120" t="n">
        <x:v>44761.64805555555</x:v>
      </x:c>
      <x:c r="Q820" s="117" t="str">
        <x:v>Jace Gentil</x:v>
      </x:c>
      <x:c r="R820" s="117" t="str">
        <x:v>Create Service Calendar Event from Work Order - UK</x:v>
      </x:c>
      <x:c r="S820" s="119"/>
    </x:row>
    <x:row r="821" ht="30" customHeight="1">
      <x:c r="A821" s="117" t="str">
        <x:v>Create_Service_Calendar_Event_from_Work_Order_UK</x:v>
      </x:c>
      <x:c r="B821" s="117" t="str">
        <x:v>3005b000000H413AAC</x:v>
      </x:c>
      <x:c r="C821" s="117" t="str">
        <x:v>3015b000000EKxdAAG</x:v>
      </x:c>
      <x:c r="D821" s="118" t="n">
        <x:v>7</x:v>
      </x:c>
      <x:c r="E821" s="117" t="str">
        <x:v>Obsolete</x:v>
      </x:c>
      <x:c r="F821" s="117" t="str">
        <x:v>No</x:v>
      </x:c>
      <x:c r="G821" s="117" t="str">
        <x:v>No</x:v>
      </x:c>
      <x:c r="H821" s="117" t="str">
        <x:v>AutoLaunchedFlow</x:v>
      </x:c>
      <x:c r="I821" s="118" t="n">
        <x:v>55</x:v>
      </x:c>
      <x:c r="J821" s="117" t="str">
        <x:v>unmanaged</x:v>
      </x:c>
      <x:c r="K821" s="123" t="b">
        <x:v>0</x:v>
      </x:c>
      <x:c r="L821" s="117"/>
      <x:c r="M821" s="118"/>
      <x:c r="N821" s="120" t="n">
        <x:v>44761.650613425925</x:v>
      </x:c>
      <x:c r="O821" s="117" t="str">
        <x:v>Jace Gentil</x:v>
      </x:c>
      <x:c r="P821" s="120" t="n">
        <x:v>44761.65070601852</x:v>
      </x:c>
      <x:c r="Q821" s="117" t="str">
        <x:v>Jace Gentil</x:v>
      </x:c>
      <x:c r="R821" s="117" t="str">
        <x:v>Create Service Calendar Event from Work Order - UK</x:v>
      </x:c>
      <x:c r="S821" s="119"/>
    </x:row>
    <x:row r="822" ht="30" customHeight="1">
      <x:c r="A822" s="117" t="str">
        <x:v>Create_Service_Calendar_Event_from_Work_Order_UK</x:v>
      </x:c>
      <x:c r="B822" s="117" t="str">
        <x:v>3005b000000H413AAC</x:v>
      </x:c>
      <x:c r="C822" s="117" t="str">
        <x:v>3015b000000EKxiAAG</x:v>
      </x:c>
      <x:c r="D822" s="118" t="n">
        <x:v>8</x:v>
      </x:c>
      <x:c r="E822" s="117" t="str">
        <x:v>Obsolete</x:v>
      </x:c>
      <x:c r="F822" s="117" t="str">
        <x:v>No</x:v>
      </x:c>
      <x:c r="G822" s="117" t="str">
        <x:v>No</x:v>
      </x:c>
      <x:c r="H822" s="117" t="str">
        <x:v>AutoLaunchedFlow</x:v>
      </x:c>
      <x:c r="I822" s="118" t="n">
        <x:v>55</x:v>
      </x:c>
      <x:c r="J822" s="117" t="str">
        <x:v>unmanaged</x:v>
      </x:c>
      <x:c r="K822" s="123" t="b">
        <x:v>0</x:v>
      </x:c>
      <x:c r="L822" s="117"/>
      <x:c r="M822" s="118"/>
      <x:c r="N822" s="120" t="n">
        <x:v>44761.65175925926</x:v>
      </x:c>
      <x:c r="O822" s="117" t="str">
        <x:v>Jace Gentil</x:v>
      </x:c>
      <x:c r="P822" s="120" t="n">
        <x:v>44761.65179398148</x:v>
      </x:c>
      <x:c r="Q822" s="117" t="str">
        <x:v>Jace Gentil</x:v>
      </x:c>
      <x:c r="R822" s="117" t="str">
        <x:v>Create Service Calendar Event from Work Order - UK</x:v>
      </x:c>
      <x:c r="S822" s="119"/>
    </x:row>
    <x:row r="823" ht="30" customHeight="1">
      <x:c r="A823" s="117" t="str">
        <x:v>Create_Service_Calendar_Event_from_Work_Order_UK</x:v>
      </x:c>
      <x:c r="B823" s="117" t="str">
        <x:v>3005b000000H413AAC</x:v>
      </x:c>
      <x:c r="C823" s="117" t="str">
        <x:v>3015b000000EKxnAAG</x:v>
      </x:c>
      <x:c r="D823" s="118" t="n">
        <x:v>9</x:v>
      </x:c>
      <x:c r="E823" s="117" t="str">
        <x:v>Obsolete</x:v>
      </x:c>
      <x:c r="F823" s="117" t="str">
        <x:v>No</x:v>
      </x:c>
      <x:c r="G823" s="117" t="str">
        <x:v>No</x:v>
      </x:c>
      <x:c r="H823" s="117" t="str">
        <x:v>AutoLaunchedFlow</x:v>
      </x:c>
      <x:c r="I823" s="118" t="n">
        <x:v>55</x:v>
      </x:c>
      <x:c r="J823" s="117" t="str">
        <x:v>unmanaged</x:v>
      </x:c>
      <x:c r="K823" s="123" t="b">
        <x:v>0</x:v>
      </x:c>
      <x:c r="L823" s="117"/>
      <x:c r="M823" s="118"/>
      <x:c r="N823" s="120" t="n">
        <x:v>44761.65336805556</x:v>
      </x:c>
      <x:c r="O823" s="117" t="str">
        <x:v>Jace Gentil</x:v>
      </x:c>
      <x:c r="P823" s="120" t="n">
        <x:v>44761.65341435185</x:v>
      </x:c>
      <x:c r="Q823" s="117" t="str">
        <x:v>Jace Gentil</x:v>
      </x:c>
      <x:c r="R823" s="117" t="str">
        <x:v>Create Service Calendar Event from Work Order - UK</x:v>
      </x:c>
      <x:c r="S823" s="119"/>
    </x:row>
    <x:row r="824" ht="30" customHeight="1">
      <x:c r="A824" s="117" t="str">
        <x:v>Create_Service_Calendar_Event_from_Work_Order_UK</x:v>
      </x:c>
      <x:c r="B824" s="117" t="str">
        <x:v>3005b000000H413AAC</x:v>
      </x:c>
      <x:c r="C824" s="117" t="str">
        <x:v>3015b000000EKxsAAG</x:v>
      </x:c>
      <x:c r="D824" s="118" t="n">
        <x:v>10</x:v>
      </x:c>
      <x:c r="E824" s="117" t="str">
        <x:v>Obsolete</x:v>
      </x:c>
      <x:c r="F824" s="117" t="str">
        <x:v>No</x:v>
      </x:c>
      <x:c r="G824" s="117" t="str">
        <x:v>No</x:v>
      </x:c>
      <x:c r="H824" s="117" t="str">
        <x:v>AutoLaunchedFlow</x:v>
      </x:c>
      <x:c r="I824" s="118" t="n">
        <x:v>55</x:v>
      </x:c>
      <x:c r="J824" s="117" t="str">
        <x:v>unmanaged</x:v>
      </x:c>
      <x:c r="K824" s="123" t="b">
        <x:v>0</x:v>
      </x:c>
      <x:c r="L824" s="117"/>
      <x:c r="M824" s="118"/>
      <x:c r="N824" s="120" t="n">
        <x:v>44761.6556712963</x:v>
      </x:c>
      <x:c r="O824" s="117" t="str">
        <x:v>Jace Gentil</x:v>
      </x:c>
      <x:c r="P824" s="120" t="n">
        <x:v>44769.41652777778</x:v>
      </x:c>
      <x:c r="Q824" s="117" t="str">
        <x:v>Jace Gentil</x:v>
      </x:c>
      <x:c r="R824" s="117" t="str">
        <x:v>Create Service Calendar Event from Work Order - UK</x:v>
      </x:c>
      <x:c r="S824" s="119"/>
    </x:row>
    <x:row r="825" ht="30" customHeight="1">
      <x:c r="A825" s="117" t="str">
        <x:v>Create_Service_Calendar_Event_from_Work_Order_UK</x:v>
      </x:c>
      <x:c r="B825" s="117" t="str">
        <x:v>3005b000000H413AAC</x:v>
      </x:c>
      <x:c r="C825" s="117" t="str">
        <x:v>3015b000000EL1zAAG</x:v>
      </x:c>
      <x:c r="D825" s="118" t="n">
        <x:v>11</x:v>
      </x:c>
      <x:c r="E825" s="117" t="str">
        <x:v>Obsolete</x:v>
      </x:c>
      <x:c r="F825" s="117" t="str">
        <x:v>No</x:v>
      </x:c>
      <x:c r="G825" s="117" t="str">
        <x:v>No</x:v>
      </x:c>
      <x:c r="H825" s="117" t="str">
        <x:v>AutoLaunchedFlow</x:v>
      </x:c>
      <x:c r="I825" s="118" t="n">
        <x:v>55</x:v>
      </x:c>
      <x:c r="J825" s="117" t="str">
        <x:v>unmanaged</x:v>
      </x:c>
      <x:c r="K825" s="123" t="b">
        <x:v>0</x:v>
      </x:c>
      <x:c r="L825" s="117"/>
      <x:c r="M825" s="118"/>
      <x:c r="N825" s="120" t="n">
        <x:v>44767.34458333333</x:v>
      </x:c>
      <x:c r="O825" s="117" t="str">
        <x:v>Jace Gentil</x:v>
      </x:c>
      <x:c r="P825" s="120" t="n">
        <x:v>44767.3446875</x:v>
      </x:c>
      <x:c r="Q825" s="117" t="str">
        <x:v>Jace Gentil</x:v>
      </x:c>
      <x:c r="R825" s="117" t="str">
        <x:v>Create Service Calendar Event from Work Order - UK</x:v>
      </x:c>
      <x:c r="S825" s="119"/>
    </x:row>
    <x:row r="826" ht="30" customHeight="1">
      <x:c r="A826" s="117" t="str">
        <x:v>Create_Service_Calendar_Event_from_Work_Order_UK</x:v>
      </x:c>
      <x:c r="B826" s="117" t="str">
        <x:v>3005b000000H413AAC</x:v>
      </x:c>
      <x:c r="C826" s="117" t="str">
        <x:v>3015b000000EL3HAAW</x:v>
      </x:c>
      <x:c r="D826" s="118" t="n">
        <x:v>12</x:v>
      </x:c>
      <x:c r="E826" s="117" t="str">
        <x:v>Obsolete</x:v>
      </x:c>
      <x:c r="F826" s="117" t="str">
        <x:v>No</x:v>
      </x:c>
      <x:c r="G826" s="117" t="str">
        <x:v>No</x:v>
      </x:c>
      <x:c r="H826" s="117" t="str">
        <x:v>AutoLaunchedFlow</x:v>
      </x:c>
      <x:c r="I826" s="118" t="n">
        <x:v>55</x:v>
      </x:c>
      <x:c r="J826" s="117" t="str">
        <x:v>unmanaged</x:v>
      </x:c>
      <x:c r="K826" s="123" t="b">
        <x:v>0</x:v>
      </x:c>
      <x:c r="L826" s="117"/>
      <x:c r="M826" s="118"/>
      <x:c r="N826" s="120" t="n">
        <x:v>44769.41836805556</x:v>
      </x:c>
      <x:c r="O826" s="117" t="str">
        <x:v>Jace Gentil</x:v>
      </x:c>
      <x:c r="P826" s="120" t="n">
        <x:v>44769.41840277778</x:v>
      </x:c>
      <x:c r="Q826" s="117" t="str">
        <x:v>Jace Gentil</x:v>
      </x:c>
      <x:c r="R826" s="117" t="str">
        <x:v>Create Service Calendar Event from Work Order - UK</x:v>
      </x:c>
      <x:c r="S826" s="119"/>
    </x:row>
    <x:row r="827" ht="30" customHeight="1">
      <x:c r="A827" s="117" t="str">
        <x:v>Create_Service_Calendar_Event_from_Work_Order_UK</x:v>
      </x:c>
      <x:c r="B827" s="117" t="str">
        <x:v>3005b000000H413AAC</x:v>
      </x:c>
      <x:c r="C827" s="117" t="str">
        <x:v>3015b000000EL3MAAW</x:v>
      </x:c>
      <x:c r="D827" s="118" t="n">
        <x:v>13</x:v>
      </x:c>
      <x:c r="E827" s="117" t="str">
        <x:v>Obsolete</x:v>
      </x:c>
      <x:c r="F827" s="117" t="str">
        <x:v>No</x:v>
      </x:c>
      <x:c r="G827" s="117" t="str">
        <x:v>No</x:v>
      </x:c>
      <x:c r="H827" s="117" t="str">
        <x:v>AutoLaunchedFlow</x:v>
      </x:c>
      <x:c r="I827" s="118" t="n">
        <x:v>55</x:v>
      </x:c>
      <x:c r="J827" s="117" t="str">
        <x:v>unmanaged</x:v>
      </x:c>
      <x:c r="K827" s="123" t="b">
        <x:v>0</x:v>
      </x:c>
      <x:c r="L827" s="117"/>
      <x:c r="M827" s="118"/>
      <x:c r="N827" s="120" t="n">
        <x:v>44769.4206712963</x:v>
      </x:c>
      <x:c r="O827" s="117" t="str">
        <x:v>Jace Gentil</x:v>
      </x:c>
      <x:c r="P827" s="120" t="n">
        <x:v>44769.42070601852</x:v>
      </x:c>
      <x:c r="Q827" s="117" t="str">
        <x:v>Jace Gentil</x:v>
      </x:c>
      <x:c r="R827" s="117" t="str">
        <x:v>Create Service Calendar Event from Work Order - UK</x:v>
      </x:c>
      <x:c r="S827" s="119"/>
    </x:row>
    <x:row r="828" ht="30" customHeight="1">
      <x:c r="A828" s="117" t="str">
        <x:v>Create_Service_Calendar_Event_from_Work_Order_UK</x:v>
      </x:c>
      <x:c r="B828" s="117" t="str">
        <x:v>3005b000000H413AAC</x:v>
      </x:c>
      <x:c r="C828" s="117" t="str">
        <x:v>3015b000000EL3RAAW</x:v>
      </x:c>
      <x:c r="D828" s="118" t="n">
        <x:v>14</x:v>
      </x:c>
      <x:c r="E828" s="117" t="str">
        <x:v>Obsolete</x:v>
      </x:c>
      <x:c r="F828" s="117" t="str">
        <x:v>No</x:v>
      </x:c>
      <x:c r="G828" s="117" t="str">
        <x:v>No</x:v>
      </x:c>
      <x:c r="H828" s="117" t="str">
        <x:v>AutoLaunchedFlow</x:v>
      </x:c>
      <x:c r="I828" s="118" t="n">
        <x:v>55</x:v>
      </x:c>
      <x:c r="J828" s="117" t="str">
        <x:v>unmanaged</x:v>
      </x:c>
      <x:c r="K828" s="123" t="b">
        <x:v>0</x:v>
      </x:c>
      <x:c r="L828" s="117"/>
      <x:c r="M828" s="118"/>
      <x:c r="N828" s="120" t="n">
        <x:v>44769.49884259259</x:v>
      </x:c>
      <x:c r="O828" s="117" t="str">
        <x:v>Jace Gentil</x:v>
      </x:c>
      <x:c r="P828" s="120" t="n">
        <x:v>44769.49888888889</x:v>
      </x:c>
      <x:c r="Q828" s="117" t="str">
        <x:v>Jace Gentil</x:v>
      </x:c>
      <x:c r="R828" s="117" t="str">
        <x:v>Create Service Calendar Event from Work Order - UK</x:v>
      </x:c>
      <x:c r="S828" s="119"/>
    </x:row>
    <x:row r="829" ht="30" customHeight="1">
      <x:c r="A829" s="117" t="str">
        <x:v>Create_Service_Calendar_Event_from_Work_Order_UK</x:v>
      </x:c>
      <x:c r="B829" s="117" t="str">
        <x:v>3005b000000H413AAC</x:v>
      </x:c>
      <x:c r="C829" s="117" t="str">
        <x:v>3015b000000EL61AAG</x:v>
      </x:c>
      <x:c r="D829" s="118" t="n">
        <x:v>15</x:v>
      </x:c>
      <x:c r="E829" s="117" t="str">
        <x:v>Obsolete</x:v>
      </x:c>
      <x:c r="F829" s="117" t="str">
        <x:v>No</x:v>
      </x:c>
      <x:c r="G829" s="117" t="str">
        <x:v>No</x:v>
      </x:c>
      <x:c r="H829" s="117" t="str">
        <x:v>AutoLaunchedFlow</x:v>
      </x:c>
      <x:c r="I829" s="118" t="n">
        <x:v>55</x:v>
      </x:c>
      <x:c r="J829" s="117" t="str">
        <x:v>unmanaged</x:v>
      </x:c>
      <x:c r="K829" s="123" t="b">
        <x:v>0</x:v>
      </x:c>
      <x:c r="L829" s="117"/>
      <x:c r="M829" s="118"/>
      <x:c r="N829" s="120" t="n">
        <x:v>44771.365636574075</x:v>
      </x:c>
      <x:c r="O829" s="117" t="str">
        <x:v>Jace Gentil</x:v>
      </x:c>
      <x:c r="P829" s="120" t="n">
        <x:v>44771.36568287037</x:v>
      </x:c>
      <x:c r="Q829" s="117" t="str">
        <x:v>Jace Gentil</x:v>
      </x:c>
      <x:c r="R829" s="117" t="str">
        <x:v>Create Service Calendar Event from Work Order - UK</x:v>
      </x:c>
      <x:c r="S829" s="119"/>
    </x:row>
    <x:row r="830" ht="30" customHeight="1">
      <x:c r="A830" s="117" t="str">
        <x:v>Create_Service_Calendar_Event_from_Work_Order_UK</x:v>
      </x:c>
      <x:c r="B830" s="117" t="str">
        <x:v>3005b000000H413AAC</x:v>
      </x:c>
      <x:c r="C830" s="117" t="str">
        <x:v>3015b000000EL95AAG</x:v>
      </x:c>
      <x:c r="D830" s="118" t="n">
        <x:v>16</x:v>
      </x:c>
      <x:c r="E830" s="117" t="str">
        <x:v>Obsolete</x:v>
      </x:c>
      <x:c r="F830" s="117" t="str">
        <x:v>No</x:v>
      </x:c>
      <x:c r="G830" s="117" t="str">
        <x:v>No</x:v>
      </x:c>
      <x:c r="H830" s="117" t="str">
        <x:v>AutoLaunchedFlow</x:v>
      </x:c>
      <x:c r="I830" s="118" t="n">
        <x:v>55</x:v>
      </x:c>
      <x:c r="J830" s="117" t="str">
        <x:v>unmanaged</x:v>
      </x:c>
      <x:c r="K830" s="123" t="b">
        <x:v>0</x:v>
      </x:c>
      <x:c r="L830" s="117"/>
      <x:c r="M830" s="118"/>
      <x:c r="N830" s="120" t="n">
        <x:v>44775.6475</x:v>
      </x:c>
      <x:c r="O830" s="117" t="str">
        <x:v>Jace Gentil</x:v>
      </x:c>
      <x:c r="P830" s="120" t="n">
        <x:v>44775.64759259259</x:v>
      </x:c>
      <x:c r="Q830" s="117" t="str">
        <x:v>Jace Gentil</x:v>
      </x:c>
      <x:c r="R830" s="117" t="str">
        <x:v>Create Service Calendar Event from Work Order - UK</x:v>
      </x:c>
      <x:c r="S830" s="119"/>
    </x:row>
    <x:row r="831" ht="30" customHeight="1">
      <x:c r="A831" s="117" t="str">
        <x:v>Create_Service_Calendar_Event_from_Work_Order_UK</x:v>
      </x:c>
      <x:c r="B831" s="117" t="str">
        <x:v>3005b000000H413AAC</x:v>
      </x:c>
      <x:c r="C831" s="117" t="str">
        <x:v>3015b000000ELAIAA4</x:v>
      </x:c>
      <x:c r="D831" s="118" t="n">
        <x:v>17</x:v>
      </x:c>
      <x:c r="E831" s="117" t="str">
        <x:v>Obsolete</x:v>
      </x:c>
      <x:c r="F831" s="117" t="str">
        <x:v>No</x:v>
      </x:c>
      <x:c r="G831" s="117" t="str">
        <x:v>No</x:v>
      </x:c>
      <x:c r="H831" s="117" t="str">
        <x:v>AutoLaunchedFlow</x:v>
      </x:c>
      <x:c r="I831" s="118" t="n">
        <x:v>55</x:v>
      </x:c>
      <x:c r="J831" s="117" t="str">
        <x:v>unmanaged</x:v>
      </x:c>
      <x:c r="K831" s="123" t="b">
        <x:v>0</x:v>
      </x:c>
      <x:c r="L831" s="117"/>
      <x:c r="M831" s="118"/>
      <x:c r="N831" s="120" t="n">
        <x:v>44776.34386574074</x:v>
      </x:c>
      <x:c r="O831" s="117" t="str">
        <x:v>Jace Gentil</x:v>
      </x:c>
      <x:c r="P831" s="120" t="n">
        <x:v>44776.34392361111</x:v>
      </x:c>
      <x:c r="Q831" s="117" t="str">
        <x:v>Jace Gentil</x:v>
      </x:c>
      <x:c r="R831" s="117" t="str">
        <x:v>Create Service Calendar Event from Work Order - UK</x:v>
      </x:c>
      <x:c r="S831" s="119"/>
    </x:row>
    <x:row r="832" ht="30" customHeight="1">
      <x:c r="A832" s="117" t="str">
        <x:v>Create_Service_Calendar_Event_from_Work_Order_UK</x:v>
      </x:c>
      <x:c r="B832" s="117" t="str">
        <x:v>3005b000000H413AAC</x:v>
      </x:c>
      <x:c r="C832" s="117" t="str">
        <x:v>3015b000000ELASAA4</x:v>
      </x:c>
      <x:c r="D832" s="118" t="n">
        <x:v>18</x:v>
      </x:c>
      <x:c r="E832" s="117" t="str">
        <x:v>Obsolete</x:v>
      </x:c>
      <x:c r="F832" s="117" t="str">
        <x:v>No</x:v>
      </x:c>
      <x:c r="G832" s="117" t="str">
        <x:v>No</x:v>
      </x:c>
      <x:c r="H832" s="117" t="str">
        <x:v>AutoLaunchedFlow</x:v>
      </x:c>
      <x:c r="I832" s="118" t="n">
        <x:v>55</x:v>
      </x:c>
      <x:c r="J832" s="117" t="str">
        <x:v>unmanaged</x:v>
      </x:c>
      <x:c r="K832" s="123" t="b">
        <x:v>0</x:v>
      </x:c>
      <x:c r="L832" s="117"/>
      <x:c r="M832" s="118"/>
      <x:c r="N832" s="120" t="n">
        <x:v>44776.4065162037</x:v>
      </x:c>
      <x:c r="O832" s="117" t="str">
        <x:v>Jon Kean</x:v>
      </x:c>
      <x:c r="P832" s="120" t="n">
        <x:v>44776.4065625</x:v>
      </x:c>
      <x:c r="Q832" s="117" t="str">
        <x:v>Jon Kean</x:v>
      </x:c>
      <x:c r="R832" s="117" t="str">
        <x:v>Create Service Calendar Event from Work Order - UK</x:v>
      </x:c>
      <x:c r="S832" s="119"/>
    </x:row>
    <x:row r="833" ht="30" customHeight="1">
      <x:c r="A833" s="117" t="str">
        <x:v>Create_Service_Calendar_Event_from_Work_Order_UK</x:v>
      </x:c>
      <x:c r="B833" s="117" t="str">
        <x:v>3005b000000H413AAC</x:v>
      </x:c>
      <x:c r="C833" s="117" t="str">
        <x:v>3015b000000ELDWAA4</x:v>
      </x:c>
      <x:c r="D833" s="118" t="n">
        <x:v>19</x:v>
      </x:c>
      <x:c r="E833" s="117" t="str">
        <x:v>Obsolete</x:v>
      </x:c>
      <x:c r="F833" s="117" t="str">
        <x:v>No</x:v>
      </x:c>
      <x:c r="G833" s="117" t="str">
        <x:v>No</x:v>
      </x:c>
      <x:c r="H833" s="117" t="str">
        <x:v>AutoLaunchedFlow</x:v>
      </x:c>
      <x:c r="I833" s="118" t="n">
        <x:v>55</x:v>
      </x:c>
      <x:c r="J833" s="117" t="str">
        <x:v>unmanaged</x:v>
      </x:c>
      <x:c r="K833" s="123" t="b">
        <x:v>0</x:v>
      </x:c>
      <x:c r="L833" s="117"/>
      <x:c r="M833" s="118"/>
      <x:c r="N833" s="120" t="n">
        <x:v>44778.348275462966</x:v>
      </x:c>
      <x:c r="O833" s="117" t="str">
        <x:v>Jon Kean</x:v>
      </x:c>
      <x:c r="P833" s="120" t="n">
        <x:v>44778.348333333335</x:v>
      </x:c>
      <x:c r="Q833" s="117" t="str">
        <x:v>Jon Kean</x:v>
      </x:c>
      <x:c r="R833" s="117" t="str">
        <x:v>Create Service Calendar Event from Work Order - UK</x:v>
      </x:c>
      <x:c r="S833" s="119"/>
    </x:row>
    <x:row r="834" ht="30" customHeight="1">
      <x:c r="A834" s="117" t="str">
        <x:v>Create_Service_Calendar_Event_from_Work_Order_UK</x:v>
      </x:c>
      <x:c r="B834" s="117" t="str">
        <x:v>3005b000000H413AAC</x:v>
      </x:c>
      <x:c r="C834" s="117" t="str">
        <x:v>3015b000000ELTeAAO</x:v>
      </x:c>
      <x:c r="D834" s="118" t="n">
        <x:v>20</x:v>
      </x:c>
      <x:c r="E834" s="117" t="str">
        <x:v>Obsolete</x:v>
      </x:c>
      <x:c r="F834" s="117" t="str">
        <x:v>No</x:v>
      </x:c>
      <x:c r="G834" s="117" t="str">
        <x:v>No</x:v>
      </x:c>
      <x:c r="H834" s="117" t="str">
        <x:v>AutoLaunchedFlow</x:v>
      </x:c>
      <x:c r="I834" s="118" t="n">
        <x:v>55</x:v>
      </x:c>
      <x:c r="J834" s="117" t="str">
        <x:v>unmanaged</x:v>
      </x:c>
      <x:c r="K834" s="123" t="b">
        <x:v>0</x:v>
      </x:c>
      <x:c r="L834" s="117"/>
      <x:c r="M834" s="118"/>
      <x:c r="N834" s="120" t="n">
        <x:v>44806.55663194445</x:v>
      </x:c>
      <x:c r="O834" s="117" t="str">
        <x:v>Jace Gentil</x:v>
      </x:c>
      <x:c r="P834" s="120" t="n">
        <x:v>44806.55668981482</x:v>
      </x:c>
      <x:c r="Q834" s="117" t="str">
        <x:v>Jace Gentil</x:v>
      </x:c>
      <x:c r="R834" s="117" t="str">
        <x:v>Create Service Calendar Event from Work Order - UK</x:v>
      </x:c>
      <x:c r="S834" s="119"/>
    </x:row>
    <x:row r="835" ht="30" customHeight="1">
      <x:c r="A835" s="117" t="str">
        <x:v>Create_Service_Calendar_Event_from_Work_Order_UK</x:v>
      </x:c>
      <x:c r="B835" s="117" t="str">
        <x:v>3005b000000H413AAC</x:v>
      </x:c>
      <x:c r="C835" s="117" t="str">
        <x:v>3015b000000W2XMAA0</x:v>
      </x:c>
      <x:c r="D835" s="118" t="n">
        <x:v>21</x:v>
      </x:c>
      <x:c r="E835" s="117" t="str">
        <x:v>Obsolete</x:v>
      </x:c>
      <x:c r="F835" s="117" t="str">
        <x:v>No</x:v>
      </x:c>
      <x:c r="G835" s="117" t="str">
        <x:v>No</x:v>
      </x:c>
      <x:c r="H835" s="117" t="str">
        <x:v>AutoLaunchedFlow</x:v>
      </x:c>
      <x:c r="I835" s="118" t="n">
        <x:v>55</x:v>
      </x:c>
      <x:c r="J835" s="117" t="str">
        <x:v>unmanaged</x:v>
      </x:c>
      <x:c r="K835" s="123" t="b">
        <x:v>0</x:v>
      </x:c>
      <x:c r="L835" s="117"/>
      <x:c r="M835" s="118"/>
      <x:c r="N835" s="120" t="n">
        <x:v>45050.463229166664</x:v>
      </x:c>
      <x:c r="O835" s="117" t="str">
        <x:v>Jon Kean</x:v>
      </x:c>
      <x:c r="P835" s="120" t="n">
        <x:v>45050.46329861111</x:v>
      </x:c>
      <x:c r="Q835" s="117" t="str">
        <x:v>Jon Kean</x:v>
      </x:c>
      <x:c r="R835" s="117" t="str">
        <x:v>Create Service Calendar Event from Work Order - UK</x:v>
      </x:c>
      <x:c r="S835" s="119"/>
    </x:row>
    <x:row r="836" ht="30" customHeight="1">
      <x:c r="A836" s="117" t="str">
        <x:v>Create_Service_Calendar_Event_from_Work_Order_UK</x:v>
      </x:c>
      <x:c r="B836" s="117" t="str">
        <x:v>3005b000000H413AAC</x:v>
      </x:c>
      <x:c r="C836" s="117" t="str">
        <x:v>3015b000000APIfAAO</x:v>
      </x:c>
      <x:c r="D836" s="118" t="n">
        <x:v>22</x:v>
      </x:c>
      <x:c r="E836" s="117" t="str">
        <x:v>Obsolete</x:v>
      </x:c>
      <x:c r="F836" s="117" t="str">
        <x:v>No</x:v>
      </x:c>
      <x:c r="G836" s="117" t="str">
        <x:v>No</x:v>
      </x:c>
      <x:c r="H836" s="117" t="str">
        <x:v>AutoLaunchedFlow</x:v>
      </x:c>
      <x:c r="I836" s="118" t="n">
        <x:v>55</x:v>
      </x:c>
      <x:c r="J836" s="117" t="str">
        <x:v>unmanaged</x:v>
      </x:c>
      <x:c r="K836" s="123" t="b">
        <x:v>0</x:v>
      </x:c>
      <x:c r="L836" s="117"/>
      <x:c r="M836" s="118"/>
      <x:c r="N836" s="120" t="n">
        <x:v>45139.43181712963</x:v>
      </x:c>
      <x:c r="O836" s="117" t="str">
        <x:v>Jon Kean</x:v>
      </x:c>
      <x:c r="P836" s="120" t="n">
        <x:v>45139.431909722225</x:v>
      </x:c>
      <x:c r="Q836" s="117" t="str">
        <x:v>Jon Kean</x:v>
      </x:c>
      <x:c r="R836" s="117" t="str">
        <x:v>Create Service Calendar Event from Work Order - UK</x:v>
      </x:c>
      <x:c r="S836" s="119"/>
    </x:row>
    <x:row r="837" ht="30" customHeight="1">
      <x:c r="A837" s="117" t="str">
        <x:v>Create_Service_Calendar_Event_from_Work_Order_UK</x:v>
      </x:c>
      <x:c r="B837" s="117" t="str">
        <x:v>3005b000000H413AAC</x:v>
      </x:c>
      <x:c r="C837" s="117" t="str">
        <x:v>301Ro00000E2Y5ZIAV</x:v>
      </x:c>
      <x:c r="D837" s="118" t="n">
        <x:v>23</x:v>
      </x:c>
      <x:c r="E837" s="117" t="str">
        <x:v>Active</x:v>
      </x:c>
      <x:c r="F837" s="117" t="str">
        <x:v>Yes</x:v>
      </x:c>
      <x:c r="G837" s="117" t="str">
        <x:v>No</x:v>
      </x:c>
      <x:c r="H837" s="117" t="str">
        <x:v>AutoLaunchedFlow</x:v>
      </x:c>
      <x:c r="I837" s="118" t="n">
        <x:v>55</x:v>
      </x:c>
      <x:c r="J837" s="117" t="str">
        <x:v>unmanaged</x:v>
      </x:c>
      <x:c r="K837" s="123" t="b">
        <x:v>0</x:v>
      </x:c>
      <x:c r="L837" s="117"/>
      <x:c r="M837" s="118"/>
      <x:c r="N837" s="120" t="n">
        <x:v>45446.41747685185</x:v>
      </x:c>
      <x:c r="O837" s="117" t="str">
        <x:v>Jon Kean</x:v>
      </x:c>
      <x:c r="P837" s="120" t="n">
        <x:v>45446.41753472222</x:v>
      </x:c>
      <x:c r="Q837" s="117" t="str">
        <x:v>Jon Kean</x:v>
      </x:c>
      <x:c r="R837" s="117" t="str">
        <x:v>Create Service Calendar Event from Work Order - UK</x:v>
      </x:c>
      <x:c r="S837" s="119"/>
    </x:row>
    <x:row r="838" ht="30" customHeight="1">
      <x:c r="A838" s="117" t="str">
        <x:v>Create_Service_Calendar_Event_from_Work_Order_UK</x:v>
      </x:c>
      <x:c r="B838" s="117" t="str">
        <x:v>3005b000000H413AAC</x:v>
      </x:c>
      <x:c r="C838" s="117" t="str">
        <x:v>301Ro00000iNPpDIAW</x:v>
      </x:c>
      <x:c r="D838" s="118" t="n">
        <x:v>24</x:v>
      </x:c>
      <x:c r="E838" s="117" t="str">
        <x:v>Draft</x:v>
      </x:c>
      <x:c r="F838" s="117" t="str">
        <x:v>No</x:v>
      </x:c>
      <x:c r="G838" s="117" t="str">
        <x:v>Yes</x:v>
      </x:c>
      <x:c r="H838" s="117" t="str">
        <x:v>AutoLaunchedFlow</x:v>
      </x:c>
      <x:c r="I838" s="118" t="n">
        <x:v>55</x:v>
      </x:c>
      <x:c r="J838" s="117" t="str">
        <x:v>unmanaged</x:v>
      </x:c>
      <x:c r="K838" s="123" t="b">
        <x:v>0</x:v>
      </x:c>
      <x:c r="L838" s="117"/>
      <x:c r="M838" s="118"/>
      <x:c r="N838" s="120" t="n">
        <x:v>45882.85199074074</x:v>
      </x:c>
      <x:c r="O838" s="117" t="str">
        <x:v>Delegate</x:v>
      </x:c>
      <x:c r="P838" s="120" t="n">
        <x:v>45882.85291666666</x:v>
      </x:c>
      <x:c r="Q838" s="117" t="str">
        <x:v>Delegate</x:v>
      </x:c>
      <x:c r="R838" s="117" t="str">
        <x:v>Create Service Calendar Event from Work Order - UK</x:v>
      </x:c>
      <x:c r="S838" s="119" t="str">
        <x:v>07/29/2025 (BW) - Migrating to asynchronous</x:v>
      </x:c>
    </x:row>
    <x:row r="839" ht="30" customHeight="1">
      <x:c r="A839" s="117" t="str">
        <x:v>Create_SF_Support_Case_V1</x:v>
      </x:c>
      <x:c r="B839" s="117" t="str">
        <x:v>3005b000000H4G3AAK</x:v>
      </x:c>
      <x:c r="C839" s="117" t="str">
        <x:v>3015b000000ELukAAG</x:v>
      </x:c>
      <x:c r="D839" s="118" t="n">
        <x:v>2</x:v>
      </x:c>
      <x:c r="E839" s="117" t="str">
        <x:v>Obsolete</x:v>
      </x:c>
      <x:c r="F839" s="117" t="str">
        <x:v>No</x:v>
      </x:c>
      <x:c r="G839" s="117" t="str">
        <x:v>No</x:v>
      </x:c>
      <x:c r="H839" s="117" t="str">
        <x:v>Flow</x:v>
      </x:c>
      <x:c r="I839" s="118" t="n">
        <x:v>55</x:v>
      </x:c>
      <x:c r="J839" s="117" t="str">
        <x:v>unmanaged</x:v>
      </x:c>
      <x:c r="K839" s="123" t="b">
        <x:v>0</x:v>
      </x:c>
      <x:c r="L839" s="117"/>
      <x:c r="M839" s="118"/>
      <x:c r="N839" s="120" t="n">
        <x:v>44826.68582175926</x:v>
      </x:c>
      <x:c r="O839" s="117" t="str">
        <x:v>Delegate</x:v>
      </x:c>
      <x:c r="P839" s="120" t="n">
        <x:v>44826.68585648148</x:v>
      </x:c>
      <x:c r="Q839" s="117" t="str">
        <x:v>Delegate</x:v>
      </x:c>
      <x:c r="R839" s="117" t="str">
        <x:v>Create SF Support Case V1</x:v>
      </x:c>
      <x:c r="S839" s="119"/>
    </x:row>
    <x:row r="840" ht="30" customHeight="1">
      <x:c r="A840" s="117" t="str">
        <x:v>Create_SF_Support_Case_V1</x:v>
      </x:c>
      <x:c r="B840" s="117" t="str">
        <x:v>3005b000000H4G3AAK</x:v>
      </x:c>
      <x:c r="C840" s="117" t="str">
        <x:v>3015b000000ELuzAAG</x:v>
      </x:c>
      <x:c r="D840" s="118" t="n">
        <x:v>3</x:v>
      </x:c>
      <x:c r="E840" s="117" t="str">
        <x:v>Obsolete</x:v>
      </x:c>
      <x:c r="F840" s="117" t="str">
        <x:v>No</x:v>
      </x:c>
      <x:c r="G840" s="117" t="str">
        <x:v>No</x:v>
      </x:c>
      <x:c r="H840" s="117" t="str">
        <x:v>Flow</x:v>
      </x:c>
      <x:c r="I840" s="118" t="n">
        <x:v>55</x:v>
      </x:c>
      <x:c r="J840" s="117" t="str">
        <x:v>unmanaged</x:v>
      </x:c>
      <x:c r="K840" s="123" t="b">
        <x:v>0</x:v>
      </x:c>
      <x:c r="L840" s="117"/>
      <x:c r="M840" s="118"/>
      <x:c r="N840" s="120" t="n">
        <x:v>44826.70326388889</x:v>
      </x:c>
      <x:c r="O840" s="117" t="str">
        <x:v>Delegate</x:v>
      </x:c>
      <x:c r="P840" s="120" t="n">
        <x:v>44826.70811342593</x:v>
      </x:c>
      <x:c r="Q840" s="117" t="str">
        <x:v>Delegate</x:v>
      </x:c>
      <x:c r="R840" s="117" t="str">
        <x:v>Create SF Support Case V1</x:v>
      </x:c>
      <x:c r="S840" s="119"/>
    </x:row>
    <x:row r="841" ht="30" customHeight="1">
      <x:c r="A841" s="117" t="str">
        <x:v>Create_SF_Support_Case_V1</x:v>
      </x:c>
      <x:c r="B841" s="117" t="str">
        <x:v>3005b000000H4G3AAK</x:v>
      </x:c>
      <x:c r="C841" s="117" t="str">
        <x:v>3015b000000ELv4AAG</x:v>
      </x:c>
      <x:c r="D841" s="118" t="n">
        <x:v>4</x:v>
      </x:c>
      <x:c r="E841" s="117" t="str">
        <x:v>Obsolete</x:v>
      </x:c>
      <x:c r="F841" s="117" t="str">
        <x:v>No</x:v>
      </x:c>
      <x:c r="G841" s="117" t="str">
        <x:v>No</x:v>
      </x:c>
      <x:c r="H841" s="117" t="str">
        <x:v>Flow</x:v>
      </x:c>
      <x:c r="I841" s="118" t="n">
        <x:v>55</x:v>
      </x:c>
      <x:c r="J841" s="117" t="str">
        <x:v>unmanaged</x:v>
      </x:c>
      <x:c r="K841" s="123" t="b">
        <x:v>0</x:v>
      </x:c>
      <x:c r="L841" s="117"/>
      <x:c r="M841" s="118"/>
      <x:c r="N841" s="120" t="n">
        <x:v>44826.70888888889</x:v>
      </x:c>
      <x:c r="O841" s="117" t="str">
        <x:v>Delegate</x:v>
      </x:c>
      <x:c r="P841" s="120" t="n">
        <x:v>44826.70893518518</x:v>
      </x:c>
      <x:c r="Q841" s="117" t="str">
        <x:v>Delegate</x:v>
      </x:c>
      <x:c r="R841" s="117" t="str">
        <x:v>Create SF Support Case V1</x:v>
      </x:c>
      <x:c r="S841" s="119"/>
    </x:row>
    <x:row r="842" ht="30" customHeight="1">
      <x:c r="A842" s="117" t="str">
        <x:v>Create_SF_Support_Case_V1</x:v>
      </x:c>
      <x:c r="B842" s="117" t="str">
        <x:v>3005b000000H4G3AAK</x:v>
      </x:c>
      <x:c r="C842" s="117" t="str">
        <x:v>3015b000000ELvJAAW</x:v>
      </x:c>
      <x:c r="D842" s="118" t="n">
        <x:v>5</x:v>
      </x:c>
      <x:c r="E842" s="117" t="str">
        <x:v>Obsolete</x:v>
      </x:c>
      <x:c r="F842" s="117" t="str">
        <x:v>No</x:v>
      </x:c>
      <x:c r="G842" s="117" t="str">
        <x:v>No</x:v>
      </x:c>
      <x:c r="H842" s="117" t="str">
        <x:v>Flow</x:v>
      </x:c>
      <x:c r="I842" s="118" t="n">
        <x:v>55</x:v>
      </x:c>
      <x:c r="J842" s="117" t="str">
        <x:v>unmanaged</x:v>
      </x:c>
      <x:c r="K842" s="123" t="b">
        <x:v>0</x:v>
      </x:c>
      <x:c r="L842" s="117"/>
      <x:c r="M842" s="118"/>
      <x:c r="N842" s="120" t="n">
        <x:v>44826.71365740741</x:v>
      </x:c>
      <x:c r="O842" s="117" t="str">
        <x:v>Delegate</x:v>
      </x:c>
      <x:c r="P842" s="120" t="n">
        <x:v>44826.7137037037</x:v>
      </x:c>
      <x:c r="Q842" s="117" t="str">
        <x:v>Delegate</x:v>
      </x:c>
      <x:c r="R842" s="117" t="str">
        <x:v>Create SF Support Case V1</x:v>
      </x:c>
      <x:c r="S842" s="119"/>
    </x:row>
    <x:row r="843" ht="30" customHeight="1">
      <x:c r="A843" s="117" t="str">
        <x:v>Create_SF_Support_Case_V1</x:v>
      </x:c>
      <x:c r="B843" s="117" t="str">
        <x:v>3005b000000H4G3AAK</x:v>
      </x:c>
      <x:c r="C843" s="117" t="str">
        <x:v>3015b000000ELvAAAW</x:v>
      </x:c>
      <x:c r="D843" s="118" t="n">
        <x:v>6</x:v>
      </x:c>
      <x:c r="E843" s="117" t="str">
        <x:v>Obsolete</x:v>
      </x:c>
      <x:c r="F843" s="117" t="str">
        <x:v>No</x:v>
      </x:c>
      <x:c r="G843" s="117" t="str">
        <x:v>No</x:v>
      </x:c>
      <x:c r="H843" s="117" t="str">
        <x:v>Flow</x:v>
      </x:c>
      <x:c r="I843" s="118" t="n">
        <x:v>55</x:v>
      </x:c>
      <x:c r="J843" s="117" t="str">
        <x:v>unmanaged</x:v>
      </x:c>
      <x:c r="K843" s="123" t="b">
        <x:v>0</x:v>
      </x:c>
      <x:c r="L843" s="117"/>
      <x:c r="M843" s="118"/>
      <x:c r="N843" s="120" t="n">
        <x:v>44826.714895833335</x:v>
      </x:c>
      <x:c r="O843" s="117" t="str">
        <x:v>Delegate</x:v>
      </x:c>
      <x:c r="P843" s="120" t="n">
        <x:v>44826.71493055556</x:v>
      </x:c>
      <x:c r="Q843" s="117" t="str">
        <x:v>Delegate</x:v>
      </x:c>
      <x:c r="R843" s="117" t="str">
        <x:v>Create SF Support Case V1</x:v>
      </x:c>
      <x:c r="S843" s="119"/>
    </x:row>
    <x:row r="844" ht="30" customHeight="1">
      <x:c r="A844" s="117" t="str">
        <x:v>Create_SF_Support_Case_V1</x:v>
      </x:c>
      <x:c r="B844" s="117" t="str">
        <x:v>3005b000000H4G3AAK</x:v>
      </x:c>
      <x:c r="C844" s="117" t="str">
        <x:v>3015b000000ELvOAAW</x:v>
      </x:c>
      <x:c r="D844" s="118" t="n">
        <x:v>7</x:v>
      </x:c>
      <x:c r="E844" s="117" t="str">
        <x:v>Obsolete</x:v>
      </x:c>
      <x:c r="F844" s="117" t="str">
        <x:v>No</x:v>
      </x:c>
      <x:c r="G844" s="117" t="str">
        <x:v>No</x:v>
      </x:c>
      <x:c r="H844" s="117" t="str">
        <x:v>Flow</x:v>
      </x:c>
      <x:c r="I844" s="118" t="n">
        <x:v>55</x:v>
      </x:c>
      <x:c r="J844" s="117" t="str">
        <x:v>unmanaged</x:v>
      </x:c>
      <x:c r="K844" s="123" t="b">
        <x:v>0</x:v>
      </x:c>
      <x:c r="L844" s="117"/>
      <x:c r="M844" s="118"/>
      <x:c r="N844" s="120" t="n">
        <x:v>44826.71586805556</x:v>
      </x:c>
      <x:c r="O844" s="117" t="str">
        <x:v>Delegate</x:v>
      </x:c>
      <x:c r="P844" s="120" t="n">
        <x:v>44826.715902777774</x:v>
      </x:c>
      <x:c r="Q844" s="117" t="str">
        <x:v>Delegate</x:v>
      </x:c>
      <x:c r="R844" s="117" t="str">
        <x:v>Create SF Support Case V1</x:v>
      </x:c>
      <x:c r="S844" s="119"/>
    </x:row>
    <x:row r="845" ht="30" customHeight="1">
      <x:c r="A845" s="117" t="str">
        <x:v>Create_SF_Support_Case_V1</x:v>
      </x:c>
      <x:c r="B845" s="117" t="str">
        <x:v>3005b000000H4G3AAK</x:v>
      </x:c>
      <x:c r="C845" s="117" t="str">
        <x:v>3015b000000ELwMAAW</x:v>
      </x:c>
      <x:c r="D845" s="118" t="n">
        <x:v>8</x:v>
      </x:c>
      <x:c r="E845" s="117" t="str">
        <x:v>Obsolete</x:v>
      </x:c>
      <x:c r="F845" s="117" t="str">
        <x:v>No</x:v>
      </x:c>
      <x:c r="G845" s="117" t="str">
        <x:v>No</x:v>
      </x:c>
      <x:c r="H845" s="117" t="str">
        <x:v>Flow</x:v>
      </x:c>
      <x:c r="I845" s="118" t="n">
        <x:v>55</x:v>
      </x:c>
      <x:c r="J845" s="117" t="str">
        <x:v>unmanaged</x:v>
      </x:c>
      <x:c r="K845" s="123" t="b">
        <x:v>0</x:v>
      </x:c>
      <x:c r="L845" s="117"/>
      <x:c r="M845" s="118"/>
      <x:c r="N845" s="120" t="n">
        <x:v>44827.56619212963</x:v>
      </x:c>
      <x:c r="O845" s="117" t="str">
        <x:v>Delegate</x:v>
      </x:c>
      <x:c r="P845" s="120" t="n">
        <x:v>44827.566296296296</x:v>
      </x:c>
      <x:c r="Q845" s="117" t="str">
        <x:v>Delegate</x:v>
      </x:c>
      <x:c r="R845" s="117" t="str">
        <x:v>Create SF Support Case V1</x:v>
      </x:c>
      <x:c r="S845" s="119"/>
    </x:row>
    <x:row r="846" ht="30" customHeight="1">
      <x:c r="A846" s="117" t="str">
        <x:v>Create_SF_Support_Case_V1</x:v>
      </x:c>
      <x:c r="B846" s="117" t="str">
        <x:v>3005b000000H4G3AAK</x:v>
      </x:c>
      <x:c r="C846" s="117" t="str">
        <x:v>3015b000000AFfPAAW</x:v>
      </x:c>
      <x:c r="D846" s="118" t="n">
        <x:v>9</x:v>
      </x:c>
      <x:c r="E846" s="117" t="str">
        <x:v>Obsolete</x:v>
      </x:c>
      <x:c r="F846" s="117" t="str">
        <x:v>No</x:v>
      </x:c>
      <x:c r="G846" s="117" t="str">
        <x:v>No</x:v>
      </x:c>
      <x:c r="H846" s="117" t="str">
        <x:v>Flow</x:v>
      </x:c>
      <x:c r="I846" s="118" t="n">
        <x:v>55</x:v>
      </x:c>
      <x:c r="J846" s="117" t="str">
        <x:v>unmanaged</x:v>
      </x:c>
      <x:c r="K846" s="123" t="b">
        <x:v>0</x:v>
      </x:c>
      <x:c r="L846" s="117"/>
      <x:c r="M846" s="118"/>
      <x:c r="N846" s="120" t="n">
        <x:v>44957.71773148148</x:v>
      </x:c>
      <x:c r="O846" s="117" t="str">
        <x:v>Jon Kean</x:v>
      </x:c>
      <x:c r="P846" s="120" t="n">
        <x:v>44957.71780092592</x:v>
      </x:c>
      <x:c r="Q846" s="117" t="str">
        <x:v>Jon Kean</x:v>
      </x:c>
      <x:c r="R846" s="117" t="str">
        <x:v>Create SF Support Case V1</x:v>
      </x:c>
      <x:c r="S846" s="119"/>
    </x:row>
    <x:row r="847" ht="30" customHeight="1">
      <x:c r="A847" s="117" t="str">
        <x:v>Create_SF_Support_Case_V1</x:v>
      </x:c>
      <x:c r="B847" s="117" t="str">
        <x:v>3005b000000H4G3AAK</x:v>
      </x:c>
      <x:c r="C847" s="117" t="str">
        <x:v>3015b000000AFfeAAG</x:v>
      </x:c>
      <x:c r="D847" s="118" t="n">
        <x:v>10</x:v>
      </x:c>
      <x:c r="E847" s="117" t="str">
        <x:v>Draft</x:v>
      </x:c>
      <x:c r="F847" s="117" t="str">
        <x:v>No</x:v>
      </x:c>
      <x:c r="G847" s="117" t="str">
        <x:v>No</x:v>
      </x:c>
      <x:c r="H847" s="117" t="str">
        <x:v>Flow</x:v>
      </x:c>
      <x:c r="I847" s="118" t="n">
        <x:v>55</x:v>
      </x:c>
      <x:c r="J847" s="117" t="str">
        <x:v>unmanaged</x:v>
      </x:c>
      <x:c r="K847" s="123" t="b">
        <x:v>0</x:v>
      </x:c>
      <x:c r="L847" s="117"/>
      <x:c r="M847" s="118"/>
      <x:c r="N847" s="120" t="n">
        <x:v>44957.72130787037</x:v>
      </x:c>
      <x:c r="O847" s="117" t="str">
        <x:v>Jon Kean</x:v>
      </x:c>
      <x:c r="P847" s="120" t="n">
        <x:v>44957.72131944444</x:v>
      </x:c>
      <x:c r="Q847" s="117" t="str">
        <x:v>Jon Kean</x:v>
      </x:c>
      <x:c r="R847" s="117" t="str">
        <x:v>Create SF Support Case V1</x:v>
      </x:c>
      <x:c r="S847" s="119"/>
    </x:row>
    <x:row r="848" ht="30" customHeight="1">
      <x:c r="A848" s="117" t="str">
        <x:v>Create_SF_Support_Case_V1</x:v>
      </x:c>
      <x:c r="B848" s="117" t="str">
        <x:v>3005b000000H4G3AAK</x:v>
      </x:c>
      <x:c r="C848" s="117" t="str">
        <x:v>3015b000000AFfoAAG</x:v>
      </x:c>
      <x:c r="D848" s="118" t="n">
        <x:v>11</x:v>
      </x:c>
      <x:c r="E848" s="117" t="str">
        <x:v>Obsolete</x:v>
      </x:c>
      <x:c r="F848" s="117" t="str">
        <x:v>No</x:v>
      </x:c>
      <x:c r="G848" s="117" t="str">
        <x:v>No</x:v>
      </x:c>
      <x:c r="H848" s="117" t="str">
        <x:v>Flow</x:v>
      </x:c>
      <x:c r="I848" s="118" t="n">
        <x:v>55</x:v>
      </x:c>
      <x:c r="J848" s="117" t="str">
        <x:v>unmanaged</x:v>
      </x:c>
      <x:c r="K848" s="123" t="b">
        <x:v>0</x:v>
      </x:c>
      <x:c r="L848" s="117"/>
      <x:c r="M848" s="118"/>
      <x:c r="N848" s="120" t="n">
        <x:v>44957.722719907404</x:v>
      </x:c>
      <x:c r="O848" s="117" t="str">
        <x:v>Jon Kean</x:v>
      </x:c>
      <x:c r="P848" s="120" t="n">
        <x:v>44957.722766203704</x:v>
      </x:c>
      <x:c r="Q848" s="117" t="str">
        <x:v>Jon Kean</x:v>
      </x:c>
      <x:c r="R848" s="117" t="str">
        <x:v>Create SF Support Case V1</x:v>
      </x:c>
      <x:c r="S848" s="119"/>
    </x:row>
    <x:row r="849" ht="30" customHeight="1">
      <x:c r="A849" s="117" t="str">
        <x:v>Create_SF_Support_Case_V1</x:v>
      </x:c>
      <x:c r="B849" s="117" t="str">
        <x:v>3005b000000H4G3AAK</x:v>
      </x:c>
      <x:c r="C849" s="117" t="str">
        <x:v>3015b000000AFkyAAG</x:v>
      </x:c>
      <x:c r="D849" s="118" t="n">
        <x:v>12</x:v>
      </x:c>
      <x:c r="E849" s="117" t="str">
        <x:v>Obsolete</x:v>
      </x:c>
      <x:c r="F849" s="117" t="str">
        <x:v>No</x:v>
      </x:c>
      <x:c r="G849" s="117" t="str">
        <x:v>No</x:v>
      </x:c>
      <x:c r="H849" s="117" t="str">
        <x:v>Flow</x:v>
      </x:c>
      <x:c r="I849" s="118" t="n">
        <x:v>55</x:v>
      </x:c>
      <x:c r="J849" s="117" t="str">
        <x:v>unmanaged</x:v>
      </x:c>
      <x:c r="K849" s="123" t="b">
        <x:v>0</x:v>
      </x:c>
      <x:c r="L849" s="117"/>
      <x:c r="M849" s="118"/>
      <x:c r="N849" s="120" t="n">
        <x:v>44958.44332175926</x:v>
      </x:c>
      <x:c r="O849" s="117" t="str">
        <x:v>Jon Kean</x:v>
      </x:c>
      <x:c r="P849" s="120" t="n">
        <x:v>44958.44336805555</x:v>
      </x:c>
      <x:c r="Q849" s="117" t="str">
        <x:v>Jon Kean</x:v>
      </x:c>
      <x:c r="R849" s="117" t="str">
        <x:v>Create SF Support Case V1</x:v>
      </x:c>
      <x:c r="S849" s="119"/>
    </x:row>
    <x:row r="850" ht="30" customHeight="1">
      <x:c r="A850" s="117" t="str">
        <x:v>Create_SF_Support_Case_V1</x:v>
      </x:c>
      <x:c r="B850" s="117" t="str">
        <x:v>3005b000000H4G3AAK</x:v>
      </x:c>
      <x:c r="C850" s="117" t="str">
        <x:v>3015b000000AFl3AAG</x:v>
      </x:c>
      <x:c r="D850" s="118" t="n">
        <x:v>13</x:v>
      </x:c>
      <x:c r="E850" s="117" t="str">
        <x:v>Obsolete</x:v>
      </x:c>
      <x:c r="F850" s="117" t="str">
        <x:v>No</x:v>
      </x:c>
      <x:c r="G850" s="117" t="str">
        <x:v>No</x:v>
      </x:c>
      <x:c r="H850" s="117" t="str">
        <x:v>Flow</x:v>
      </x:c>
      <x:c r="I850" s="118" t="n">
        <x:v>55</x:v>
      </x:c>
      <x:c r="J850" s="117" t="str">
        <x:v>unmanaged</x:v>
      </x:c>
      <x:c r="K850" s="123" t="b">
        <x:v>0</x:v>
      </x:c>
      <x:c r="L850" s="117"/>
      <x:c r="M850" s="118"/>
      <x:c r="N850" s="120" t="n">
        <x:v>44958.44375</x:v>
      </x:c>
      <x:c r="O850" s="117" t="str">
        <x:v>Jon Kean</x:v>
      </x:c>
      <x:c r="P850" s="120" t="n">
        <x:v>44958.44378472222</x:v>
      </x:c>
      <x:c r="Q850" s="117" t="str">
        <x:v>Jon Kean</x:v>
      </x:c>
      <x:c r="R850" s="117" t="str">
        <x:v>Create SF Support Case V1</x:v>
      </x:c>
      <x:c r="S850" s="119"/>
    </x:row>
    <x:row r="851" ht="30" customHeight="1">
      <x:c r="A851" s="117" t="str">
        <x:v>Create_SF_Support_Case_V1</x:v>
      </x:c>
      <x:c r="B851" s="117" t="str">
        <x:v>3005b000000H4G3AAK</x:v>
      </x:c>
      <x:c r="C851" s="117" t="str">
        <x:v>3015b000000AFmGAAW</x:v>
      </x:c>
      <x:c r="D851" s="118" t="n">
        <x:v>14</x:v>
      </x:c>
      <x:c r="E851" s="117" t="str">
        <x:v>Obsolete</x:v>
      </x:c>
      <x:c r="F851" s="117" t="str">
        <x:v>No</x:v>
      </x:c>
      <x:c r="G851" s="117" t="str">
        <x:v>No</x:v>
      </x:c>
      <x:c r="H851" s="117" t="str">
        <x:v>Flow</x:v>
      </x:c>
      <x:c r="I851" s="118" t="n">
        <x:v>55</x:v>
      </x:c>
      <x:c r="J851" s="117" t="str">
        <x:v>unmanaged</x:v>
      </x:c>
      <x:c r="K851" s="123" t="b">
        <x:v>0</x:v>
      </x:c>
      <x:c r="L851" s="117"/>
      <x:c r="M851" s="118"/>
      <x:c r="N851" s="120" t="n">
        <x:v>44958.60496527778</x:v>
      </x:c>
      <x:c r="O851" s="117" t="str">
        <x:v>Jon Kean</x:v>
      </x:c>
      <x:c r="P851" s="120" t="n">
        <x:v>44958.60506944444</x:v>
      </x:c>
      <x:c r="Q851" s="117" t="str">
        <x:v>Jon Kean</x:v>
      </x:c>
      <x:c r="R851" s="117" t="str">
        <x:v>Create SF Support Case V1</x:v>
      </x:c>
      <x:c r="S851" s="119"/>
    </x:row>
    <x:row r="852" ht="30" customHeight="1">
      <x:c r="A852" s="117" t="str">
        <x:v>Create_SF_Support_Case_V1</x:v>
      </x:c>
      <x:c r="B852" s="117" t="str">
        <x:v>3005b000000H4G3AAK</x:v>
      </x:c>
      <x:c r="C852" s="117" t="str">
        <x:v>3015b000000AFmVAAW</x:v>
      </x:c>
      <x:c r="D852" s="118" t="n">
        <x:v>15</x:v>
      </x:c>
      <x:c r="E852" s="117" t="str">
        <x:v>Obsolete</x:v>
      </x:c>
      <x:c r="F852" s="117" t="str">
        <x:v>No</x:v>
      </x:c>
      <x:c r="G852" s="117" t="str">
        <x:v>No</x:v>
      </x:c>
      <x:c r="H852" s="117" t="str">
        <x:v>Flow</x:v>
      </x:c>
      <x:c r="I852" s="118" t="n">
        <x:v>55</x:v>
      </x:c>
      <x:c r="J852" s="117" t="str">
        <x:v>unmanaged</x:v>
      </x:c>
      <x:c r="K852" s="123" t="b">
        <x:v>0</x:v>
      </x:c>
      <x:c r="L852" s="117"/>
      <x:c r="M852" s="118"/>
      <x:c r="N852" s="120" t="n">
        <x:v>44958.61035879629</x:v>
      </x:c>
      <x:c r="O852" s="117" t="str">
        <x:v>Jace Gentil</x:v>
      </x:c>
      <x:c r="P852" s="120" t="n">
        <x:v>44958.61040509259</x:v>
      </x:c>
      <x:c r="Q852" s="117" t="str">
        <x:v>Jace Gentil</x:v>
      </x:c>
      <x:c r="R852" s="117" t="str">
        <x:v>Create SF Support Case V1</x:v>
      </x:c>
      <x:c r="S852" s="119"/>
    </x:row>
    <x:row r="853" ht="30" customHeight="1">
      <x:c r="A853" s="117" t="str">
        <x:v>Create_SF_Support_Case_V1</x:v>
      </x:c>
      <x:c r="B853" s="117" t="str">
        <x:v>3005b000000H4G3AAK</x:v>
      </x:c>
      <x:c r="C853" s="117" t="str">
        <x:v>3015b000000AFmaAAG</x:v>
      </x:c>
      <x:c r="D853" s="118" t="n">
        <x:v>16</x:v>
      </x:c>
      <x:c r="E853" s="117" t="str">
        <x:v>Obsolete</x:v>
      </x:c>
      <x:c r="F853" s="117" t="str">
        <x:v>No</x:v>
      </x:c>
      <x:c r="G853" s="117" t="str">
        <x:v>No</x:v>
      </x:c>
      <x:c r="H853" s="117" t="str">
        <x:v>Flow</x:v>
      </x:c>
      <x:c r="I853" s="118" t="n">
        <x:v>55</x:v>
      </x:c>
      <x:c r="J853" s="117" t="str">
        <x:v>unmanaged</x:v>
      </x:c>
      <x:c r="K853" s="123" t="b">
        <x:v>0</x:v>
      </x:c>
      <x:c r="L853" s="117"/>
      <x:c r="M853" s="118"/>
      <x:c r="N853" s="120" t="n">
        <x:v>44958.61728009259</x:v>
      </x:c>
      <x:c r="O853" s="117" t="str">
        <x:v>Jace Gentil</x:v>
      </x:c>
      <x:c r="P853" s="120" t="n">
        <x:v>44958.61732638889</x:v>
      </x:c>
      <x:c r="Q853" s="117" t="str">
        <x:v>Jace Gentil</x:v>
      </x:c>
      <x:c r="R853" s="117" t="str">
        <x:v>Create SF Support Case V1</x:v>
      </x:c>
      <x:c r="S853" s="119"/>
    </x:row>
    <x:row r="854" ht="30" customHeight="1">
      <x:c r="A854" s="117" t="str">
        <x:v>Create_SF_Support_Case_V1</x:v>
      </x:c>
      <x:c r="B854" s="117" t="str">
        <x:v>3005b000000H4G3AAK</x:v>
      </x:c>
      <x:c r="C854" s="117" t="str">
        <x:v>301Ro00000zIAp5IAG</x:v>
      </x:c>
      <x:c r="D854" s="118" t="n">
        <x:v>30</x:v>
      </x:c>
      <x:c r="E854" s="117" t="str">
        <x:v>Active</x:v>
      </x:c>
      <x:c r="F854" s="117" t="str">
        <x:v>Yes</x:v>
      </x:c>
      <x:c r="G854" s="117" t="str">
        <x:v>Yes</x:v>
      </x:c>
      <x:c r="H854" s="117" t="str">
        <x:v>Flow</x:v>
      </x:c>
      <x:c r="I854" s="118" t="n">
        <x:v>55</x:v>
      </x:c>
      <x:c r="J854" s="117" t="str">
        <x:v>unmanaged</x:v>
      </x:c>
      <x:c r="K854" s="123" t="b">
        <x:v>0</x:v>
      </x:c>
      <x:c r="L854" s="117" t="str">
        <x:v>SystemModeWithoutSharing</x:v>
      </x:c>
      <x:c r="M854" s="118"/>
      <x:c r="N854" s="120" t="n">
        <x:v>46079.652349537035</x:v>
      </x:c>
      <x:c r="O854" s="117" t="str">
        <x:v>Sacha Pearce</x:v>
      </x:c>
      <x:c r="P854" s="120" t="n">
        <x:v>46079.65241898148</x:v>
      </x:c>
      <x:c r="Q854" s="117" t="str">
        <x:v>Sacha Pearce</x:v>
      </x:c>
      <x:c r="R854" s="117" t="str">
        <x:v>Create SF Support Case V1</x:v>
      </x:c>
      <x:c r="S854" s="119" t="str">
        <x:v>Amended link to case</x:v>
      </x:c>
    </x:row>
    <x:row r="855" ht="30" customHeight="1">
      <x:c r="A855" s="117" t="str">
        <x:v>Create_shipment_from_customer_portal</x:v>
      </x:c>
      <x:c r="B855" s="117" t="str">
        <x:v>3005b000000H3rmAAC</x:v>
      </x:c>
      <x:c r="C855" s="117" t="str">
        <x:v>3015b000000EJxcAAG</x:v>
      </x:c>
      <x:c r="D855" s="118" t="n">
        <x:v>1</x:v>
      </x:c>
      <x:c r="E855" s="117" t="str">
        <x:v>Obsolete</x:v>
      </x:c>
      <x:c r="F855" s="117" t="str">
        <x:v>No</x:v>
      </x:c>
      <x:c r="G855" s="117" t="str">
        <x:v>No</x:v>
      </x:c>
      <x:c r="H855" s="117" t="str">
        <x:v>AutoLaunchedFlow</x:v>
      </x:c>
      <x:c r="I855" s="118" t="n">
        <x:v>54</x:v>
      </x:c>
      <x:c r="J855" s="117" t="str">
        <x:v>unmanaged</x:v>
      </x:c>
      <x:c r="K855" s="123" t="b">
        <x:v>0</x:v>
      </x:c>
      <x:c r="L855" s="117"/>
      <x:c r="M855" s="118"/>
      <x:c r="N855" s="120" t="n">
        <x:v>44708.09247685185</x:v>
      </x:c>
      <x:c r="O855" s="117" t="str">
        <x:v>Natalie Boger</x:v>
      </x:c>
      <x:c r="P855" s="120" t="n">
        <x:v>44708.10130787037</x:v>
      </x:c>
      <x:c r="Q855" s="117" t="str">
        <x:v>Natalie Boger</x:v>
      </x:c>
      <x:c r="R855" s="117" t="str">
        <x:v>Create shipment from customer portal</x:v>
      </x:c>
      <x:c r="S855" s="119" t="str">
        <x:v>For repair RMA - sends email with label</x:v>
      </x:c>
    </x:row>
    <x:row r="856" ht="30" customHeight="1">
      <x:c r="A856" s="117" t="str">
        <x:v>Create_shipment_from_customer_portal</x:v>
      </x:c>
      <x:c r="B856" s="117" t="str">
        <x:v>3005b000000H3rmAAC</x:v>
      </x:c>
      <x:c r="C856" s="117" t="str">
        <x:v>3015b000000EKBoAAO</x:v>
      </x:c>
      <x:c r="D856" s="118" t="n">
        <x:v>2</x:v>
      </x:c>
      <x:c r="E856" s="117" t="str">
        <x:v>Obsolete</x:v>
      </x:c>
      <x:c r="F856" s="117" t="str">
        <x:v>No</x:v>
      </x:c>
      <x:c r="G856" s="117" t="str">
        <x:v>No</x:v>
      </x:c>
      <x:c r="H856" s="117" t="str">
        <x:v>AutoLaunchedFlow</x:v>
      </x:c>
      <x:c r="I856" s="118" t="n">
        <x:v>54</x:v>
      </x:c>
      <x:c r="J856" s="117" t="str">
        <x:v>unmanaged</x:v>
      </x:c>
      <x:c r="K856" s="123" t="b">
        <x:v>0</x:v>
      </x:c>
      <x:c r="L856" s="117"/>
      <x:c r="M856" s="118"/>
      <x:c r="N856" s="120" t="n">
        <x:v>44721.16662037037</x:v>
      </x:c>
      <x:c r="O856" s="117" t="str">
        <x:v>Natalie Boger</x:v>
      </x:c>
      <x:c r="P856" s="120" t="n">
        <x:v>44721.17171296296</x:v>
      </x:c>
      <x:c r="Q856" s="117" t="str">
        <x:v>Natalie Boger</x:v>
      </x:c>
      <x:c r="R856" s="117" t="str">
        <x:v>Create shipment from customer portal</x:v>
      </x:c>
      <x:c r="S856" s="119" t="str">
        <x:v>For repair RMA - sends email with label</x:v>
      </x:c>
    </x:row>
    <x:row r="857" ht="30" customHeight="1">
      <x:c r="A857" s="117" t="str">
        <x:v>Create_shipment_from_customer_portal</x:v>
      </x:c>
      <x:c r="B857" s="117" t="str">
        <x:v>3005b000000H3rmAAC</x:v>
      </x:c>
      <x:c r="C857" s="117" t="str">
        <x:v>3015b000000EKBtAAO</x:v>
      </x:c>
      <x:c r="D857" s="118" t="n">
        <x:v>3</x:v>
      </x:c>
      <x:c r="E857" s="117" t="str">
        <x:v>Obsolete</x:v>
      </x:c>
      <x:c r="F857" s="117" t="str">
        <x:v>No</x:v>
      </x:c>
      <x:c r="G857" s="117" t="str">
        <x:v>No</x:v>
      </x:c>
      <x:c r="H857" s="117" t="str">
        <x:v>AutoLaunchedFlow</x:v>
      </x:c>
      <x:c r="I857" s="118" t="n">
        <x:v>54</x:v>
      </x:c>
      <x:c r="J857" s="117" t="str">
        <x:v>unmanaged</x:v>
      </x:c>
      <x:c r="K857" s="123" t="b">
        <x:v>0</x:v>
      </x:c>
      <x:c r="L857" s="117"/>
      <x:c r="M857" s="118"/>
      <x:c r="N857" s="120" t="n">
        <x:v>44721.17934027778</x:v>
      </x:c>
      <x:c r="O857" s="117" t="str">
        <x:v>Natalie Boger</x:v>
      </x:c>
      <x:c r="P857" s="120" t="n">
        <x:v>44722.12065972222</x:v>
      </x:c>
      <x:c r="Q857" s="117" t="str">
        <x:v>Natalie Boger</x:v>
      </x:c>
      <x:c r="R857" s="117" t="str">
        <x:v>Create shipment from customer portal</x:v>
      </x:c>
      <x:c r="S857" s="119" t="str">
        <x:v>For repair RMA - sends email with label</x:v>
      </x:c>
    </x:row>
    <x:row r="858" ht="30" customHeight="1">
      <x:c r="A858" s="117" t="str">
        <x:v>Create_shipment_from_customer_portal</x:v>
      </x:c>
      <x:c r="B858" s="117" t="str">
        <x:v>3005b000000H3rmAAC</x:v>
      </x:c>
      <x:c r="C858" s="117" t="str">
        <x:v>3015b000000EKCwAAO</x:v>
      </x:c>
      <x:c r="D858" s="118" t="n">
        <x:v>4</x:v>
      </x:c>
      <x:c r="E858" s="117" t="str">
        <x:v>Obsolete</x:v>
      </x:c>
      <x:c r="F858" s="117" t="str">
        <x:v>No</x:v>
      </x:c>
      <x:c r="G858" s="117" t="str">
        <x:v>No</x:v>
      </x:c>
      <x:c r="H858" s="117" t="str">
        <x:v>AutoLaunchedFlow</x:v>
      </x:c>
      <x:c r="I858" s="118" t="n">
        <x:v>54</x:v>
      </x:c>
      <x:c r="J858" s="117" t="str">
        <x:v>unmanaged</x:v>
      </x:c>
      <x:c r="K858" s="123" t="b">
        <x:v>0</x:v>
      </x:c>
      <x:c r="L858" s="117"/>
      <x:c r="M858" s="118"/>
      <x:c r="N858" s="120" t="n">
        <x:v>44722.111296296294</x:v>
      </x:c>
      <x:c r="O858" s="117" t="str">
        <x:v>Natalie Boger</x:v>
      </x:c>
      <x:c r="P858" s="120" t="n">
        <x:v>44722.11546296296</x:v>
      </x:c>
      <x:c r="Q858" s="117" t="str">
        <x:v>Natalie Boger</x:v>
      </x:c>
      <x:c r="R858" s="117" t="str">
        <x:v>Create shipment from customer portal</x:v>
      </x:c>
      <x:c r="S858" s="119" t="str">
        <x:v>For repair RMA - sends email with label
// V4 Created or Updated For Zenkraft Testing - DO NOT USE!!</x:v>
      </x:c>
    </x:row>
    <x:row r="859" ht="30" customHeight="1">
      <x:c r="A859" s="117" t="str">
        <x:v>Create_shipment_from_customer_portal</x:v>
      </x:c>
      <x:c r="B859" s="117" t="str">
        <x:v>3005b000000H3rmAAC</x:v>
      </x:c>
      <x:c r="C859" s="117" t="str">
        <x:v>3015b000000EKD2AAO</x:v>
      </x:c>
      <x:c r="D859" s="118" t="n">
        <x:v>5</x:v>
      </x:c>
      <x:c r="E859" s="117" t="str">
        <x:v>Obsolete</x:v>
      </x:c>
      <x:c r="F859" s="117" t="str">
        <x:v>No</x:v>
      </x:c>
      <x:c r="G859" s="117" t="str">
        <x:v>No</x:v>
      </x:c>
      <x:c r="H859" s="117" t="str">
        <x:v>AutoLaunchedFlow</x:v>
      </x:c>
      <x:c r="I859" s="118" t="n">
        <x:v>54</x:v>
      </x:c>
      <x:c r="J859" s="117" t="str">
        <x:v>unmanaged</x:v>
      </x:c>
      <x:c r="K859" s="123" t="b">
        <x:v>0</x:v>
      </x:c>
      <x:c r="L859" s="117"/>
      <x:c r="M859" s="118"/>
      <x:c r="N859" s="120" t="n">
        <x:v>44722.130532407406</x:v>
      </x:c>
      <x:c r="O859" s="117" t="str">
        <x:v>Natalie Boger</x:v>
      </x:c>
      <x:c r="P859" s="120" t="n">
        <x:v>44722.13060185185</x:v>
      </x:c>
      <x:c r="Q859" s="117" t="str">
        <x:v>Natalie Boger</x:v>
      </x:c>
      <x:c r="R859" s="117" t="str">
        <x:v>Create shipment from customer portal</x:v>
      </x:c>
      <x:c r="S859" s="119" t="str">
        <x:v>For repair RMA - sends email with label</x:v>
      </x:c>
    </x:row>
    <x:row r="860" ht="30" customHeight="1">
      <x:c r="A860" s="117" t="str">
        <x:v>Create_shipment_from_customer_portal</x:v>
      </x:c>
      <x:c r="B860" s="117" t="str">
        <x:v>3005b000000H3rmAAC</x:v>
      </x:c>
      <x:c r="C860" s="117" t="str">
        <x:v>3015b000000EKD6AAO</x:v>
      </x:c>
      <x:c r="D860" s="118" t="n">
        <x:v>6</x:v>
      </x:c>
      <x:c r="E860" s="117" t="str">
        <x:v>Obsolete</x:v>
      </x:c>
      <x:c r="F860" s="117" t="str">
        <x:v>No</x:v>
      </x:c>
      <x:c r="G860" s="117" t="str">
        <x:v>No</x:v>
      </x:c>
      <x:c r="H860" s="117" t="str">
        <x:v>AutoLaunchedFlow</x:v>
      </x:c>
      <x:c r="I860" s="118" t="n">
        <x:v>54</x:v>
      </x:c>
      <x:c r="J860" s="117" t="str">
        <x:v>unmanaged</x:v>
      </x:c>
      <x:c r="K860" s="123" t="b">
        <x:v>0</x:v>
      </x:c>
      <x:c r="L860" s="117"/>
      <x:c r="M860" s="118"/>
      <x:c r="N860" s="120" t="n">
        <x:v>44722.138078703705</x:v>
      </x:c>
      <x:c r="O860" s="117" t="str">
        <x:v>Natalie Boger</x:v>
      </x:c>
      <x:c r="P860" s="120" t="n">
        <x:v>44722.13811342593</x:v>
      </x:c>
      <x:c r="Q860" s="117" t="str">
        <x:v>Natalie Boger</x:v>
      </x:c>
      <x:c r="R860" s="117" t="str">
        <x:v>Create shipment from customer portal</x:v>
      </x:c>
      <x:c r="S860" s="119" t="str">
        <x:v>For repair RMA - sends email with label</x:v>
      </x:c>
    </x:row>
    <x:row r="861" ht="30" customHeight="1">
      <x:c r="A861" s="117" t="str">
        <x:v>Create_shipment_from_customer_portal</x:v>
      </x:c>
      <x:c r="B861" s="117" t="str">
        <x:v>3005b000000H3rmAAC</x:v>
      </x:c>
      <x:c r="C861" s="117" t="str">
        <x:v>3015b000000EKDBAA4</x:v>
      </x:c>
      <x:c r="D861" s="118" t="n">
        <x:v>7</x:v>
      </x:c>
      <x:c r="E861" s="117" t="str">
        <x:v>Obsolete</x:v>
      </x:c>
      <x:c r="F861" s="117" t="str">
        <x:v>No</x:v>
      </x:c>
      <x:c r="G861" s="117" t="str">
        <x:v>No</x:v>
      </x:c>
      <x:c r="H861" s="117" t="str">
        <x:v>AutoLaunchedFlow</x:v>
      </x:c>
      <x:c r="I861" s="118" t="n">
        <x:v>54</x:v>
      </x:c>
      <x:c r="J861" s="117" t="str">
        <x:v>unmanaged</x:v>
      </x:c>
      <x:c r="K861" s="123" t="b">
        <x:v>0</x:v>
      </x:c>
      <x:c r="L861" s="117"/>
      <x:c r="M861" s="118"/>
      <x:c r="N861" s="120" t="n">
        <x:v>44722.13951388889</x:v>
      </x:c>
      <x:c r="O861" s="117" t="str">
        <x:v>Natalie Boger</x:v>
      </x:c>
      <x:c r="P861" s="120" t="n">
        <x:v>44722.15788194445</x:v>
      </x:c>
      <x:c r="Q861" s="117" t="str">
        <x:v>Natalie Boger</x:v>
      </x:c>
      <x:c r="R861" s="117" t="str">
        <x:v>Create shipment from customer portal</x:v>
      </x:c>
      <x:c r="S861" s="119" t="str">
        <x:v>For repair RMA - sends email with label</x:v>
      </x:c>
    </x:row>
    <x:row r="862" ht="30" customHeight="1">
      <x:c r="A862" s="117" t="str">
        <x:v>Create_shipment_from_customer_portal</x:v>
      </x:c>
      <x:c r="B862" s="117" t="str">
        <x:v>3005b000000H3rmAAC</x:v>
      </x:c>
      <x:c r="C862" s="117" t="str">
        <x:v>3015b000000EKKqAAO</x:v>
      </x:c>
      <x:c r="D862" s="118" t="n">
        <x:v>8</x:v>
      </x:c>
      <x:c r="E862" s="117" t="str">
        <x:v>Obsolete</x:v>
      </x:c>
      <x:c r="F862" s="117" t="str">
        <x:v>No</x:v>
      </x:c>
      <x:c r="G862" s="117" t="str">
        <x:v>No</x:v>
      </x:c>
      <x:c r="H862" s="117" t="str">
        <x:v>AutoLaunchedFlow</x:v>
      </x:c>
      <x:c r="I862" s="118" t="n">
        <x:v>54</x:v>
      </x:c>
      <x:c r="J862" s="117" t="str">
        <x:v>unmanaged</x:v>
      </x:c>
      <x:c r="K862" s="123" t="b">
        <x:v>0</x:v>
      </x:c>
      <x:c r="L862" s="117"/>
      <x:c r="M862" s="118"/>
      <x:c r="N862" s="120" t="n">
        <x:v>44728.199270833335</x:v>
      </x:c>
      <x:c r="O862" s="117" t="str">
        <x:v>Natalie Boger</x:v>
      </x:c>
      <x:c r="P862" s="120" t="n">
        <x:v>44728.199328703704</x:v>
      </x:c>
      <x:c r="Q862" s="117" t="str">
        <x:v>Natalie Boger</x:v>
      </x:c>
      <x:c r="R862" s="117" t="str">
        <x:v>Create shipment from customer portal</x:v>
      </x:c>
      <x:c r="S862" s="119" t="str">
        <x:v>For repair RMA - sends email with label</x:v>
      </x:c>
    </x:row>
    <x:row r="863" ht="30" customHeight="1">
      <x:c r="A863" s="117" t="str">
        <x:v>Create_shipment_from_customer_portal</x:v>
      </x:c>
      <x:c r="B863" s="117" t="str">
        <x:v>3005b000000H3rmAAC</x:v>
      </x:c>
      <x:c r="C863" s="117" t="str">
        <x:v>3015b000000EKKvAAO</x:v>
      </x:c>
      <x:c r="D863" s="118" t="n">
        <x:v>9</x:v>
      </x:c>
      <x:c r="E863" s="117" t="str">
        <x:v>Draft</x:v>
      </x:c>
      <x:c r="F863" s="117" t="str">
        <x:v>No</x:v>
      </x:c>
      <x:c r="G863" s="117" t="str">
        <x:v>No</x:v>
      </x:c>
      <x:c r="H863" s="117" t="str">
        <x:v>AutoLaunchedFlow</x:v>
      </x:c>
      <x:c r="I863" s="118" t="n">
        <x:v>54</x:v>
      </x:c>
      <x:c r="J863" s="117" t="str">
        <x:v>unmanaged</x:v>
      </x:c>
      <x:c r="K863" s="123" t="b">
        <x:v>0</x:v>
      </x:c>
      <x:c r="L863" s="117"/>
      <x:c r="M863" s="118"/>
      <x:c r="N863" s="120" t="n">
        <x:v>44728.22719907408</x:v>
      </x:c>
      <x:c r="O863" s="117" t="str">
        <x:v>Natalie Boger</x:v>
      </x:c>
      <x:c r="P863" s="120" t="n">
        <x:v>44728.22721064815</x:v>
      </x:c>
      <x:c r="Q863" s="117" t="str">
        <x:v>Natalie Boger</x:v>
      </x:c>
      <x:c r="R863" s="117" t="str">
        <x:v>Create shipment from customer portal</x:v>
      </x:c>
      <x:c r="S863" s="119" t="str">
        <x:v>For repair RMA - sends email with label</x:v>
      </x:c>
    </x:row>
    <x:row r="864" ht="30" customHeight="1">
      <x:c r="A864" s="117" t="str">
        <x:v>Create_shipment_from_customer_portal</x:v>
      </x:c>
      <x:c r="B864" s="117" t="str">
        <x:v>3005b000000H3rmAAC</x:v>
      </x:c>
      <x:c r="C864" s="117" t="str">
        <x:v>3015b000000EKL0AAO</x:v>
      </x:c>
      <x:c r="D864" s="118" t="n">
        <x:v>10</x:v>
      </x:c>
      <x:c r="E864" s="117" t="str">
        <x:v>Obsolete</x:v>
      </x:c>
      <x:c r="F864" s="117" t="str">
        <x:v>No</x:v>
      </x:c>
      <x:c r="G864" s="117" t="str">
        <x:v>No</x:v>
      </x:c>
      <x:c r="H864" s="117" t="str">
        <x:v>AutoLaunchedFlow</x:v>
      </x:c>
      <x:c r="I864" s="118" t="n">
        <x:v>54</x:v>
      </x:c>
      <x:c r="J864" s="117" t="str">
        <x:v>unmanaged</x:v>
      </x:c>
      <x:c r="K864" s="123" t="b">
        <x:v>0</x:v>
      </x:c>
      <x:c r="L864" s="117"/>
      <x:c r="M864" s="118"/>
      <x:c r="N864" s="120" t="n">
        <x:v>44728.227326388886</x:v>
      </x:c>
      <x:c r="O864" s="117" t="str">
        <x:v>Natalie Boger</x:v>
      </x:c>
      <x:c r="P864" s="120" t="n">
        <x:v>44728.22736111111</x:v>
      </x:c>
      <x:c r="Q864" s="117" t="str">
        <x:v>Natalie Boger</x:v>
      </x:c>
      <x:c r="R864" s="117" t="str">
        <x:v>Create shipment from customer portal</x:v>
      </x:c>
      <x:c r="S864" s="119" t="str">
        <x:v>For repair RMA - sends email with label</x:v>
      </x:c>
    </x:row>
    <x:row r="865" ht="30" customHeight="1">
      <x:c r="A865" s="117" t="str">
        <x:v>Create_shipment_from_customer_portal</x:v>
      </x:c>
      <x:c r="B865" s="117" t="str">
        <x:v>3005b000000H3rmAAC</x:v>
      </x:c>
      <x:c r="C865" s="117" t="str">
        <x:v>3015b000000EKL5AAO</x:v>
      </x:c>
      <x:c r="D865" s="118" t="n">
        <x:v>11</x:v>
      </x:c>
      <x:c r="E865" s="117" t="str">
        <x:v>Obsolete</x:v>
      </x:c>
      <x:c r="F865" s="117" t="str">
        <x:v>No</x:v>
      </x:c>
      <x:c r="G865" s="117" t="str">
        <x:v>No</x:v>
      </x:c>
      <x:c r="H865" s="117" t="str">
        <x:v>AutoLaunchedFlow</x:v>
      </x:c>
      <x:c r="I865" s="118" t="n">
        <x:v>54</x:v>
      </x:c>
      <x:c r="J865" s="117" t="str">
        <x:v>unmanaged</x:v>
      </x:c>
      <x:c r="K865" s="123" t="b">
        <x:v>0</x:v>
      </x:c>
      <x:c r="L865" s="117"/>
      <x:c r="M865" s="118"/>
      <x:c r="N865" s="120" t="n">
        <x:v>44728.232395833336</x:v>
      </x:c>
      <x:c r="O865" s="117" t="str">
        <x:v>Natalie Boger</x:v>
      </x:c>
      <x:c r="P865" s="120" t="n">
        <x:v>44728.23241898148</x:v>
      </x:c>
      <x:c r="Q865" s="117" t="str">
        <x:v>Natalie Boger</x:v>
      </x:c>
      <x:c r="R865" s="117" t="str">
        <x:v>Create shipment from customer portal</x:v>
      </x:c>
      <x:c r="S865" s="119" t="str">
        <x:v>For repair RMA - sends email with label</x:v>
      </x:c>
    </x:row>
    <x:row r="866" ht="30" customHeight="1">
      <x:c r="A866" s="117" t="str">
        <x:v>Create_shipment_from_customer_portal</x:v>
      </x:c>
      <x:c r="B866" s="117" t="str">
        <x:v>3005b000000H3rmAAC</x:v>
      </x:c>
      <x:c r="C866" s="117" t="str">
        <x:v>3015b000000EKMSAA4</x:v>
      </x:c>
      <x:c r="D866" s="118" t="n">
        <x:v>12</x:v>
      </x:c>
      <x:c r="E866" s="117" t="str">
        <x:v>Obsolete</x:v>
      </x:c>
      <x:c r="F866" s="117" t="str">
        <x:v>No</x:v>
      </x:c>
      <x:c r="G866" s="117" t="str">
        <x:v>No</x:v>
      </x:c>
      <x:c r="H866" s="117" t="str">
        <x:v>AutoLaunchedFlow</x:v>
      </x:c>
      <x:c r="I866" s="118" t="n">
        <x:v>54</x:v>
      </x:c>
      <x:c r="J866" s="117" t="str">
        <x:v>unmanaged</x:v>
      </x:c>
      <x:c r="K866" s="123" t="b">
        <x:v>0</x:v>
      </x:c>
      <x:c r="L866" s="117"/>
      <x:c r="M866" s="118"/>
      <x:c r="N866" s="120" t="n">
        <x:v>44728.6727662037</x:v>
      </x:c>
      <x:c r="O866" s="117" t="str">
        <x:v>Natalie Boger</x:v>
      </x:c>
      <x:c r="P866" s="120" t="n">
        <x:v>44728.67282407408</x:v>
      </x:c>
      <x:c r="Q866" s="117" t="str">
        <x:v>Natalie Boger</x:v>
      </x:c>
      <x:c r="R866" s="117" t="str">
        <x:v>Create shipment from customer portal</x:v>
      </x:c>
      <x:c r="S866" s="119" t="str">
        <x:v>For repair RMA - sends email with label</x:v>
      </x:c>
    </x:row>
    <x:row r="867" ht="30" customHeight="1">
      <x:c r="A867" s="117" t="str">
        <x:v>Create_shipment_from_customer_portal</x:v>
      </x:c>
      <x:c r="B867" s="117" t="str">
        <x:v>3005b000000H3rmAAC</x:v>
      </x:c>
      <x:c r="C867" s="117" t="str">
        <x:v>3015b000000EKMhAAO</x:v>
      </x:c>
      <x:c r="D867" s="118" t="n">
        <x:v>13</x:v>
      </x:c>
      <x:c r="E867" s="117" t="str">
        <x:v>Obsolete</x:v>
      </x:c>
      <x:c r="F867" s="117" t="str">
        <x:v>No</x:v>
      </x:c>
      <x:c r="G867" s="117" t="str">
        <x:v>No</x:v>
      </x:c>
      <x:c r="H867" s="117" t="str">
        <x:v>AutoLaunchedFlow</x:v>
      </x:c>
      <x:c r="I867" s="118" t="n">
        <x:v>54</x:v>
      </x:c>
      <x:c r="J867" s="117" t="str">
        <x:v>unmanaged</x:v>
      </x:c>
      <x:c r="K867" s="123" t="b">
        <x:v>0</x:v>
      </x:c>
      <x:c r="L867" s="117"/>
      <x:c r="M867" s="118"/>
      <x:c r="N867" s="120" t="n">
        <x:v>44728.71587962963</x:v>
      </x:c>
      <x:c r="O867" s="117" t="str">
        <x:v>Natalie Boger</x:v>
      </x:c>
      <x:c r="P867" s="120" t="n">
        <x:v>44728.71592592593</x:v>
      </x:c>
      <x:c r="Q867" s="117" t="str">
        <x:v>Natalie Boger</x:v>
      </x:c>
      <x:c r="R867" s="117" t="str">
        <x:v>Create shipment from customer portal</x:v>
      </x:c>
      <x:c r="S867" s="119" t="str">
        <x:v>For repair RMA - sends email with label</x:v>
      </x:c>
    </x:row>
    <x:row r="868" ht="30" customHeight="1">
      <x:c r="A868" s="117" t="str">
        <x:v>Create_shipment_from_customer_portal</x:v>
      </x:c>
      <x:c r="B868" s="117" t="str">
        <x:v>3005b000000H3rmAAC</x:v>
      </x:c>
      <x:c r="C868" s="117" t="str">
        <x:v>3015b000000EKMmAAO</x:v>
      </x:c>
      <x:c r="D868" s="118" t="n">
        <x:v>14</x:v>
      </x:c>
      <x:c r="E868" s="117" t="str">
        <x:v>Obsolete</x:v>
      </x:c>
      <x:c r="F868" s="117" t="str">
        <x:v>No</x:v>
      </x:c>
      <x:c r="G868" s="117" t="str">
        <x:v>No</x:v>
      </x:c>
      <x:c r="H868" s="117" t="str">
        <x:v>AutoLaunchedFlow</x:v>
      </x:c>
      <x:c r="I868" s="118" t="n">
        <x:v>54</x:v>
      </x:c>
      <x:c r="J868" s="117" t="str">
        <x:v>unmanaged</x:v>
      </x:c>
      <x:c r="K868" s="123" t="b">
        <x:v>0</x:v>
      </x:c>
      <x:c r="L868" s="117"/>
      <x:c r="M868" s="118"/>
      <x:c r="N868" s="120" t="n">
        <x:v>44728.88679398148</x:v>
      </x:c>
      <x:c r="O868" s="117" t="str">
        <x:v>Natalie Boger</x:v>
      </x:c>
      <x:c r="P868" s="120" t="n">
        <x:v>44833.54430555556</x:v>
      </x:c>
      <x:c r="Q868" s="117" t="str">
        <x:v>Natalie Boger</x:v>
      </x:c>
      <x:c r="R868" s="117" t="str">
        <x:v>Create shipment from customer portal</x:v>
      </x:c>
      <x:c r="S868" s="119" t="str">
        <x:v>For repair RMA - sends email with label</x:v>
      </x:c>
    </x:row>
    <x:row r="869" ht="30" customHeight="1">
      <x:c r="A869" s="117" t="str">
        <x:v>Create_shipment_from_customer_portal</x:v>
      </x:c>
      <x:c r="B869" s="117" t="str">
        <x:v>3005b000000H3rmAAC</x:v>
      </x:c>
      <x:c r="C869" s="117" t="str">
        <x:v>3015b000000A8EWAA0</x:v>
      </x:c>
      <x:c r="D869" s="118" t="n">
        <x:v>15</x:v>
      </x:c>
      <x:c r="E869" s="117" t="str">
        <x:v>Draft</x:v>
      </x:c>
      <x:c r="F869" s="117" t="str">
        <x:v>No</x:v>
      </x:c>
      <x:c r="G869" s="117" t="str">
        <x:v>No</x:v>
      </x:c>
      <x:c r="H869" s="117" t="str">
        <x:v>AutoLaunchedFlow</x:v>
      </x:c>
      <x:c r="I869" s="118" t="n">
        <x:v>54</x:v>
      </x:c>
      <x:c r="J869" s="117" t="str">
        <x:v>unmanaged</x:v>
      </x:c>
      <x:c r="K869" s="123" t="b">
        <x:v>0</x:v>
      </x:c>
      <x:c r="L869" s="117"/>
      <x:c r="M869" s="118"/>
      <x:c r="N869" s="120" t="n">
        <x:v>44855.097349537034</x:v>
      </x:c>
      <x:c r="O869" s="117" t="str">
        <x:v>Natalie Boger</x:v>
      </x:c>
      <x:c r="P869" s="120" t="n">
        <x:v>44855.09736111111</x:v>
      </x:c>
      <x:c r="Q869" s="117" t="str">
        <x:v>Natalie Boger</x:v>
      </x:c>
      <x:c r="R869" s="117" t="str">
        <x:v>Create shipment from customer portal</x:v>
      </x:c>
      <x:c r="S869" s="119" t="str">
        <x:v>For repair RMA - sends email with label</x:v>
      </x:c>
    </x:row>
    <x:row r="870" ht="30" customHeight="1">
      <x:c r="A870" s="117" t="str">
        <x:v>Create_shipment_from_customer_portal</x:v>
      </x:c>
      <x:c r="B870" s="117" t="str">
        <x:v>3005b000000H3rmAAC</x:v>
      </x:c>
      <x:c r="C870" s="117" t="str">
        <x:v>3015b000000A8EbAAK</x:v>
      </x:c>
      <x:c r="D870" s="118" t="n">
        <x:v>16</x:v>
      </x:c>
      <x:c r="E870" s="117" t="str">
        <x:v>Obsolete</x:v>
      </x:c>
      <x:c r="F870" s="117" t="str">
        <x:v>No</x:v>
      </x:c>
      <x:c r="G870" s="117" t="str">
        <x:v>No</x:v>
      </x:c>
      <x:c r="H870" s="117" t="str">
        <x:v>AutoLaunchedFlow</x:v>
      </x:c>
      <x:c r="I870" s="118" t="n">
        <x:v>54</x:v>
      </x:c>
      <x:c r="J870" s="117" t="str">
        <x:v>unmanaged</x:v>
      </x:c>
      <x:c r="K870" s="123" t="b">
        <x:v>0</x:v>
      </x:c>
      <x:c r="L870" s="117"/>
      <x:c r="M870" s="118"/>
      <x:c r="N870" s="120" t="n">
        <x:v>44855.099328703705</x:v>
      </x:c>
      <x:c r="O870" s="117" t="str">
        <x:v>Natalie Boger</x:v>
      </x:c>
      <x:c r="P870" s="120" t="n">
        <x:v>44855.09935185185</x:v>
      </x:c>
      <x:c r="Q870" s="117" t="str">
        <x:v>Natalie Boger</x:v>
      </x:c>
      <x:c r="R870" s="117" t="str">
        <x:v>Create shipment from customer portal</x:v>
      </x:c>
      <x:c r="S870" s="119" t="str">
        <x:v>For repair RMA - sends email with label</x:v>
      </x:c>
    </x:row>
    <x:row r="871" ht="30" customHeight="1">
      <x:c r="A871" s="117" t="str">
        <x:v>Create_shipment_from_customer_portal</x:v>
      </x:c>
      <x:c r="B871" s="117" t="str">
        <x:v>3005b000000H3rmAAC</x:v>
      </x:c>
      <x:c r="C871" s="117" t="str">
        <x:v>3015b000000A9RbAAK</x:v>
      </x:c>
      <x:c r="D871" s="118" t="n">
        <x:v>17</x:v>
      </x:c>
      <x:c r="E871" s="117" t="str">
        <x:v>Obsolete</x:v>
      </x:c>
      <x:c r="F871" s="117" t="str">
        <x:v>No</x:v>
      </x:c>
      <x:c r="G871" s="117" t="str">
        <x:v>No</x:v>
      </x:c>
      <x:c r="H871" s="117" t="str">
        <x:v>AutoLaunchedFlow</x:v>
      </x:c>
      <x:c r="I871" s="118" t="n">
        <x:v>54</x:v>
      </x:c>
      <x:c r="J871" s="117" t="str">
        <x:v>unmanaged</x:v>
      </x:c>
      <x:c r="K871" s="123" t="b">
        <x:v>0</x:v>
      </x:c>
      <x:c r="L871" s="117"/>
      <x:c r="M871" s="118"/>
      <x:c r="N871" s="120" t="n">
        <x:v>44870.09170138889</x:v>
      </x:c>
      <x:c r="O871" s="117" t="str">
        <x:v>Natalie Boger</x:v>
      </x:c>
      <x:c r="P871" s="120" t="n">
        <x:v>44870.09173611111</x:v>
      </x:c>
      <x:c r="Q871" s="117" t="str">
        <x:v>Natalie Boger</x:v>
      </x:c>
      <x:c r="R871" s="117" t="str">
        <x:v>Create shipment from customer portal</x:v>
      </x:c>
      <x:c r="S871" s="119" t="str">
        <x:v>For repair RMA - sends email with label</x:v>
      </x:c>
    </x:row>
    <x:row r="872" ht="30" customHeight="1">
      <x:c r="A872" s="117" t="str">
        <x:v>Create_shipment_from_customer_portal</x:v>
      </x:c>
      <x:c r="B872" s="117" t="str">
        <x:v>3005b000000H3rmAAC</x:v>
      </x:c>
      <x:c r="C872" s="117" t="str">
        <x:v>3015b000000A9RhAAK</x:v>
      </x:c>
      <x:c r="D872" s="118" t="n">
        <x:v>18</x:v>
      </x:c>
      <x:c r="E872" s="117" t="str">
        <x:v>Obsolete</x:v>
      </x:c>
      <x:c r="F872" s="117" t="str">
        <x:v>No</x:v>
      </x:c>
      <x:c r="G872" s="117" t="str">
        <x:v>No</x:v>
      </x:c>
      <x:c r="H872" s="117" t="str">
        <x:v>AutoLaunchedFlow</x:v>
      </x:c>
      <x:c r="I872" s="118" t="n">
        <x:v>54</x:v>
      </x:c>
      <x:c r="J872" s="117" t="str">
        <x:v>unmanaged</x:v>
      </x:c>
      <x:c r="K872" s="123" t="b">
        <x:v>0</x:v>
      </x:c>
      <x:c r="L872" s="117"/>
      <x:c r="M872" s="118"/>
      <x:c r="N872" s="120" t="n">
        <x:v>44870.0940625</x:v>
      </x:c>
      <x:c r="O872" s="117" t="str">
        <x:v>Natalie Boger</x:v>
      </x:c>
      <x:c r="P872" s="120" t="n">
        <x:v>44870.11298611111</x:v>
      </x:c>
      <x:c r="Q872" s="117" t="str">
        <x:v>Natalie Boger</x:v>
      </x:c>
      <x:c r="R872" s="117" t="str">
        <x:v>Create shipment from customer portal</x:v>
      </x:c>
      <x:c r="S872" s="119" t="str">
        <x:v>For repair RMA - sends email with label</x:v>
      </x:c>
    </x:row>
    <x:row r="873" ht="30" customHeight="1">
      <x:c r="A873" s="117" t="str">
        <x:v>Create_shipment_from_customer_portal</x:v>
      </x:c>
      <x:c r="B873" s="117" t="str">
        <x:v>3005b000000H3rmAAC</x:v>
      </x:c>
      <x:c r="C873" s="117" t="str">
        <x:v>301Ro00000Eafb5IAB</x:v>
      </x:c>
      <x:c r="D873" s="118" t="n">
        <x:v>19</x:v>
      </x:c>
      <x:c r="E873" s="117" t="str">
        <x:v>Active</x:v>
      </x:c>
      <x:c r="F873" s="117" t="str">
        <x:v>Yes</x:v>
      </x:c>
      <x:c r="G873" s="117" t="str">
        <x:v>Yes</x:v>
      </x:c>
      <x:c r="H873" s="117" t="str">
        <x:v>AutoLaunchedFlow</x:v>
      </x:c>
      <x:c r="I873" s="118" t="n">
        <x:v>54</x:v>
      </x:c>
      <x:c r="J873" s="117" t="str">
        <x:v>unmanaged</x:v>
      </x:c>
      <x:c r="K873" s="123" t="b">
        <x:v>0</x:v>
      </x:c>
      <x:c r="L873" s="117"/>
      <x:c r="M873" s="118"/>
      <x:c r="N873" s="120" t="n">
        <x:v>45454.65487268518</x:v>
      </x:c>
      <x:c r="O873" s="117" t="str">
        <x:v>Natalie Boger</x:v>
      </x:c>
      <x:c r="P873" s="120" t="n">
        <x:v>45454.655069444445</x:v>
      </x:c>
      <x:c r="Q873" s="117" t="str">
        <x:v>Natalie Boger</x:v>
      </x:c>
      <x:c r="R873" s="117" t="str">
        <x:v>Create shipment from customer portal</x:v>
      </x:c>
      <x:c r="S873" s="119" t="str">
        <x:v>For repair RMA - sends email with label</x:v>
      </x:c>
    </x:row>
    <x:row r="874" ht="30" customHeight="1">
      <x:c r="A874" s="117" t="str">
        <x:v>Create_Shipping_Product_on_US_Lead_Conversion_to_Op</x:v>
      </x:c>
      <x:c r="B874" s="117" t="str">
        <x:v>3005b000000Pz9qAAC</x:v>
      </x:c>
      <x:c r="C874" s="117" t="str">
        <x:v>3015b000000W19tAAC</x:v>
      </x:c>
      <x:c r="D874" s="118" t="n">
        <x:v>1</x:v>
      </x:c>
      <x:c r="E874" s="117" t="str">
        <x:v>Obsolete</x:v>
      </x:c>
      <x:c r="F874" s="117" t="str">
        <x:v>No</x:v>
      </x:c>
      <x:c r="G874" s="117" t="str">
        <x:v>No</x:v>
      </x:c>
      <x:c r="H874" s="117" t="str">
        <x:v>AutoLaunchedFlow</x:v>
      </x:c>
      <x:c r="I874" s="118" t="n">
        <x:v>57</x:v>
      </x:c>
      <x:c r="J874" s="117" t="str">
        <x:v>unmanaged</x:v>
      </x:c>
      <x:c r="K874" s="123" t="b">
        <x:v>0</x:v>
      </x:c>
      <x:c r="L874" s="117"/>
      <x:c r="M874" s="118"/>
      <x:c r="N874" s="120" t="n">
        <x:v>45015.64393518519</x:v>
      </x:c>
      <x:c r="O874" s="117" t="str">
        <x:v>Jace Gentil</x:v>
      </x:c>
      <x:c r="P874" s="120" t="n">
        <x:v>45209.85269675926</x:v>
      </x:c>
      <x:c r="Q874" s="117" t="str">
        <x:v>Delegate</x:v>
      </x:c>
      <x:c r="R874" s="117" t="str">
        <x:v>Create Shipping Product on US Lead Conversion to Op</x:v>
      </x:c>
      <x:c r="S874" s="119"/>
    </x:row>
    <x:row r="875" ht="30" customHeight="1">
      <x:c r="A875" s="117" t="str">
        <x:v>Create_Shipping_Product_on_US_Lead_Conversion_to_Op</x:v>
      </x:c>
      <x:c r="B875" s="117" t="str">
        <x:v>3005b000000Pz9qAAC</x:v>
      </x:c>
      <x:c r="C875" s="117" t="str">
        <x:v>3015b0000011KsJAAU</x:v>
      </x:c>
      <x:c r="D875" s="118" t="n">
        <x:v>2</x:v>
      </x:c>
      <x:c r="E875" s="117" t="str">
        <x:v>Obsolete</x:v>
      </x:c>
      <x:c r="F875" s="117" t="str">
        <x:v>No</x:v>
      </x:c>
      <x:c r="G875" s="117" t="str">
        <x:v>No</x:v>
      </x:c>
      <x:c r="H875" s="117" t="str">
        <x:v>AutoLaunchedFlow</x:v>
      </x:c>
      <x:c r="I875" s="118" t="n">
        <x:v>57</x:v>
      </x:c>
      <x:c r="J875" s="117" t="str">
        <x:v>unmanaged</x:v>
      </x:c>
      <x:c r="K875" s="123" t="b">
        <x:v>0</x:v>
      </x:c>
      <x:c r="L875" s="117"/>
      <x:c r="M875" s="118"/>
      <x:c r="N875" s="120" t="n">
        <x:v>45209.85109953704</x:v>
      </x:c>
      <x:c r="O875" s="117" t="str">
        <x:v>Jace Gentil</x:v>
      </x:c>
      <x:c r="P875" s="120" t="n">
        <x:v>45209.851122685184</x:v>
      </x:c>
      <x:c r="Q875" s="117" t="str">
        <x:v>Jace Gentil</x:v>
      </x:c>
      <x:c r="R875" s="117" t="str">
        <x:v>Create Shipping Product on US Lead Conversion to Op</x:v>
      </x:c>
      <x:c r="S875" s="119"/>
    </x:row>
    <x:row r="876" ht="30" customHeight="1">
      <x:c r="A876" s="117" t="str">
        <x:v>Create_Shipping_Product_on_US_Lead_Conversion_to_Op</x:v>
      </x:c>
      <x:c r="B876" s="117" t="str">
        <x:v>3005b000000Pz9qAAC</x:v>
      </x:c>
      <x:c r="C876" s="117" t="str">
        <x:v>3015b0000011KsTAAU</x:v>
      </x:c>
      <x:c r="D876" s="118" t="n">
        <x:v>3</x:v>
      </x:c>
      <x:c r="E876" s="117" t="str">
        <x:v>Obsolete</x:v>
      </x:c>
      <x:c r="F876" s="117" t="str">
        <x:v>No</x:v>
      </x:c>
      <x:c r="G876" s="117" t="str">
        <x:v>Yes</x:v>
      </x:c>
      <x:c r="H876" s="117" t="str">
        <x:v>AutoLaunchedFlow</x:v>
      </x:c>
      <x:c r="I876" s="118" t="n">
        <x:v>57</x:v>
      </x:c>
      <x:c r="J876" s="117" t="str">
        <x:v>unmanaged</x:v>
      </x:c>
      <x:c r="K876" s="123" t="b">
        <x:v>0</x:v>
      </x:c>
      <x:c r="L876" s="117"/>
      <x:c r="M876" s="118"/>
      <x:c r="N876" s="120" t="n">
        <x:v>45209.852164351854</x:v>
      </x:c>
      <x:c r="O876" s="117" t="str">
        <x:v>Jace Gentil</x:v>
      </x:c>
      <x:c r="P876" s="120" t="n">
        <x:v>45425.62283564815</x:v>
      </x:c>
      <x:c r="Q876" s="117" t="str">
        <x:v>Jace Gentil</x:v>
      </x:c>
      <x:c r="R876" s="117" t="str">
        <x:v>Create Shipping Product on US Lead Conversion to Op</x:v>
      </x:c>
      <x:c r="S876" s="119"/>
    </x:row>
    <x:row r="877" ht="30" customHeight="1">
      <x:c r="A877" s="117" t="str">
        <x:v>Create_Shipping_Product_on_US_Op_Creation</x:v>
      </x:c>
      <x:c r="B877" s="117" t="str">
        <x:v>3005b000000LHrAAAW</x:v>
      </x:c>
      <x:c r="C877" s="117" t="str">
        <x:v>3015b000000AF4nAAG</x:v>
      </x:c>
      <x:c r="D877" s="118" t="n">
        <x:v>1</x:v>
      </x:c>
      <x:c r="E877" s="117" t="str">
        <x:v>Obsolete</x:v>
      </x:c>
      <x:c r="F877" s="117" t="str">
        <x:v>No</x:v>
      </x:c>
      <x:c r="G877" s="117" t="str">
        <x:v>No</x:v>
      </x:c>
      <x:c r="H877" s="117" t="str">
        <x:v>AutoLaunchedFlow</x:v>
      </x:c>
      <x:c r="I877" s="118" t="n">
        <x:v>56</x:v>
      </x:c>
      <x:c r="J877" s="117" t="str">
        <x:v>unmanaged</x:v>
      </x:c>
      <x:c r="K877" s="123" t="b">
        <x:v>0</x:v>
      </x:c>
      <x:c r="L877" s="117"/>
      <x:c r="M877" s="118"/>
      <x:c r="N877" s="120" t="n">
        <x:v>44952.805914351855</x:v>
      </x:c>
      <x:c r="O877" s="117" t="str">
        <x:v>Jace Gentil</x:v>
      </x:c>
      <x:c r="P877" s="120" t="n">
        <x:v>44953.631273148145</x:v>
      </x:c>
      <x:c r="Q877" s="117" t="str">
        <x:v>Jace Gentil</x:v>
      </x:c>
      <x:c r="R877" s="117" t="str">
        <x:v>Create Shipping Product on US Op Creation</x:v>
      </x:c>
      <x:c r="S877" s="119"/>
    </x:row>
    <x:row r="878" ht="30" customHeight="1">
      <x:c r="A878" s="117" t="str">
        <x:v>Create_Shipping_Product_on_US_Op_Creation</x:v>
      </x:c>
      <x:c r="B878" s="117" t="str">
        <x:v>3005b000000LHrAAAW</x:v>
      </x:c>
      <x:c r="C878" s="117" t="str">
        <x:v>3015b000000AF99AAG</x:v>
      </x:c>
      <x:c r="D878" s="118" t="n">
        <x:v>2</x:v>
      </x:c>
      <x:c r="E878" s="117" t="str">
        <x:v>Obsolete</x:v>
      </x:c>
      <x:c r="F878" s="117" t="str">
        <x:v>No</x:v>
      </x:c>
      <x:c r="G878" s="117" t="str">
        <x:v>No</x:v>
      </x:c>
      <x:c r="H878" s="117" t="str">
        <x:v>AutoLaunchedFlow</x:v>
      </x:c>
      <x:c r="I878" s="118" t="n">
        <x:v>56</x:v>
      </x:c>
      <x:c r="J878" s="117" t="str">
        <x:v>unmanaged</x:v>
      </x:c>
      <x:c r="K878" s="123" t="b">
        <x:v>0</x:v>
      </x:c>
      <x:c r="L878" s="117"/>
      <x:c r="M878" s="118"/>
      <x:c r="N878" s="120" t="n">
        <x:v>44953.631736111114</x:v>
      </x:c>
      <x:c r="O878" s="117" t="str">
        <x:v>Jace Gentil</x:v>
      </x:c>
      <x:c r="P878" s="120" t="n">
        <x:v>44953.63177083333</x:v>
      </x:c>
      <x:c r="Q878" s="117" t="str">
        <x:v>Jace Gentil</x:v>
      </x:c>
      <x:c r="R878" s="117" t="str">
        <x:v>Create Shipping Product on US Op Creation</x:v>
      </x:c>
      <x:c r="S878" s="119"/>
    </x:row>
    <x:row r="879" ht="30" customHeight="1">
      <x:c r="A879" s="117" t="str">
        <x:v>Create_Shipping_Product_on_US_Op_Creation</x:v>
      </x:c>
      <x:c r="B879" s="117" t="str">
        <x:v>3005b000000LHrAAAW</x:v>
      </x:c>
      <x:c r="C879" s="117" t="str">
        <x:v>3015b000000AF9OAAW</x:v>
      </x:c>
      <x:c r="D879" s="118" t="n">
        <x:v>3</x:v>
      </x:c>
      <x:c r="E879" s="117" t="str">
        <x:v>Obsolete</x:v>
      </x:c>
      <x:c r="F879" s="117" t="str">
        <x:v>No</x:v>
      </x:c>
      <x:c r="G879" s="117" t="str">
        <x:v>No</x:v>
      </x:c>
      <x:c r="H879" s="117" t="str">
        <x:v>AutoLaunchedFlow</x:v>
      </x:c>
      <x:c r="I879" s="118" t="n">
        <x:v>56</x:v>
      </x:c>
      <x:c r="J879" s="117" t="str">
        <x:v>unmanaged</x:v>
      </x:c>
      <x:c r="K879" s="123" t="b">
        <x:v>0</x:v>
      </x:c>
      <x:c r="L879" s="117"/>
      <x:c r="M879" s="118"/>
      <x:c r="N879" s="120" t="n">
        <x:v>44953.63402777778</x:v>
      </x:c>
      <x:c r="O879" s="117" t="str">
        <x:v>Jace Gentil</x:v>
      </x:c>
      <x:c r="P879" s="120" t="n">
        <x:v>44953.63407407407</x:v>
      </x:c>
      <x:c r="Q879" s="117" t="str">
        <x:v>Jace Gentil</x:v>
      </x:c>
      <x:c r="R879" s="117" t="str">
        <x:v>Create Shipping Product on US Op Creation</x:v>
      </x:c>
      <x:c r="S879" s="119"/>
    </x:row>
    <x:row r="880" ht="30" customHeight="1">
      <x:c r="A880" s="117" t="str">
        <x:v>Create_Shipping_Product_on_US_Op_Creation</x:v>
      </x:c>
      <x:c r="B880" s="117" t="str">
        <x:v>3005b000000LHrAAAW</x:v>
      </x:c>
      <x:c r="C880" s="117" t="str">
        <x:v>3015b000000AF9dAAG</x:v>
      </x:c>
      <x:c r="D880" s="118" t="n">
        <x:v>4</x:v>
      </x:c>
      <x:c r="E880" s="117" t="str">
        <x:v>Obsolete</x:v>
      </x:c>
      <x:c r="F880" s="117" t="str">
        <x:v>No</x:v>
      </x:c>
      <x:c r="G880" s="117" t="str">
        <x:v>No</x:v>
      </x:c>
      <x:c r="H880" s="117" t="str">
        <x:v>AutoLaunchedFlow</x:v>
      </x:c>
      <x:c r="I880" s="118" t="n">
        <x:v>56</x:v>
      </x:c>
      <x:c r="J880" s="117" t="str">
        <x:v>unmanaged</x:v>
      </x:c>
      <x:c r="K880" s="123" t="b">
        <x:v>0</x:v>
      </x:c>
      <x:c r="L880" s="117"/>
      <x:c r="M880" s="118"/>
      <x:c r="N880" s="120" t="n">
        <x:v>44953.63586805556</x:v>
      </x:c>
      <x:c r="O880" s="117" t="str">
        <x:v>Jace Gentil</x:v>
      </x:c>
      <x:c r="P880" s="120" t="n">
        <x:v>44987.85194444445</x:v>
      </x:c>
      <x:c r="Q880" s="117" t="str">
        <x:v>Jace Gentil</x:v>
      </x:c>
      <x:c r="R880" s="117" t="str">
        <x:v>Create Shipping Product on US Op Creation</x:v>
      </x:c>
      <x:c r="S880" s="119"/>
    </x:row>
    <x:row r="881" ht="30" customHeight="1">
      <x:c r="A881" s="117" t="str">
        <x:v>Create_Shipping_Product_on_US_Op_Creation</x:v>
      </x:c>
      <x:c r="B881" s="117" t="str">
        <x:v>3005b000000LHrAAAW</x:v>
      </x:c>
      <x:c r="C881" s="117" t="str">
        <x:v>3015b000000W069AAC</x:v>
      </x:c>
      <x:c r="D881" s="118" t="n">
        <x:v>5</x:v>
      </x:c>
      <x:c r="E881" s="117" t="str">
        <x:v>Obsolete</x:v>
      </x:c>
      <x:c r="F881" s="117" t="str">
        <x:v>No</x:v>
      </x:c>
      <x:c r="G881" s="117" t="str">
        <x:v>No</x:v>
      </x:c>
      <x:c r="H881" s="117" t="str">
        <x:v>AutoLaunchedFlow</x:v>
      </x:c>
      <x:c r="I881" s="118" t="n">
        <x:v>56</x:v>
      </x:c>
      <x:c r="J881" s="117" t="str">
        <x:v>unmanaged</x:v>
      </x:c>
      <x:c r="K881" s="123" t="b">
        <x:v>0</x:v>
      </x:c>
      <x:c r="L881" s="117"/>
      <x:c r="M881" s="118"/>
      <x:c r="N881" s="120" t="n">
        <x:v>44987.8602662037</x:v>
      </x:c>
      <x:c r="O881" s="117" t="str">
        <x:v>Jace Gentil</x:v>
      </x:c>
      <x:c r="P881" s="120" t="n">
        <x:v>45007.645578703705</x:v>
      </x:c>
      <x:c r="Q881" s="117" t="str">
        <x:v>Delegate</x:v>
      </x:c>
      <x:c r="R881" s="117" t="str">
        <x:v>Create Shipping Product on US Op Creation</x:v>
      </x:c>
      <x:c r="S881" s="119"/>
    </x:row>
    <x:row r="882" ht="30" customHeight="1">
      <x:c r="A882" s="117" t="str">
        <x:v>Create_Shipping_Product_on_US_Op_Creation</x:v>
      </x:c>
      <x:c r="B882" s="117" t="str">
        <x:v>3005b000000LHrAAAW</x:v>
      </x:c>
      <x:c r="C882" s="117" t="str">
        <x:v>3015b000000W0yQAAS</x:v>
      </x:c>
      <x:c r="D882" s="118" t="n">
        <x:v>6</x:v>
      </x:c>
      <x:c r="E882" s="117" t="str">
        <x:v>Obsolete</x:v>
      </x:c>
      <x:c r="F882" s="117" t="str">
        <x:v>No</x:v>
      </x:c>
      <x:c r="G882" s="117" t="str">
        <x:v>No</x:v>
      </x:c>
      <x:c r="H882" s="117" t="str">
        <x:v>AutoLaunchedFlow</x:v>
      </x:c>
      <x:c r="I882" s="118" t="n">
        <x:v>56</x:v>
      </x:c>
      <x:c r="J882" s="117" t="str">
        <x:v>unmanaged</x:v>
      </x:c>
      <x:c r="K882" s="123" t="b">
        <x:v>0</x:v>
      </x:c>
      <x:c r="L882" s="117"/>
      <x:c r="M882" s="118"/>
      <x:c r="N882" s="120" t="n">
        <x:v>45008.55118055556</x:v>
      </x:c>
      <x:c r="O882" s="117" t="str">
        <x:v>Jace Gentil</x:v>
      </x:c>
      <x:c r="P882" s="120" t="n">
        <x:v>45010.016064814816</x:v>
      </x:c>
      <x:c r="Q882" s="117" t="str">
        <x:v>Natalie Boger</x:v>
      </x:c>
      <x:c r="R882" s="117" t="str">
        <x:v>Create Shipping Product on US Op Creation</x:v>
      </x:c>
      <x:c r="S882" s="119"/>
    </x:row>
    <x:row r="883" ht="30" customHeight="1">
      <x:c r="A883" s="117" t="str">
        <x:v>Create_Shipping_Product_on_US_Op_Creation</x:v>
      </x:c>
      <x:c r="B883" s="117" t="str">
        <x:v>3005b000000LHrAAAW</x:v>
      </x:c>
      <x:c r="C883" s="117" t="str">
        <x:v>3015b000000W15lAAC</x:v>
      </x:c>
      <x:c r="D883" s="118" t="n">
        <x:v>7</x:v>
      </x:c>
      <x:c r="E883" s="117" t="str">
        <x:v>Obsolete</x:v>
      </x:c>
      <x:c r="F883" s="117" t="str">
        <x:v>No</x:v>
      </x:c>
      <x:c r="G883" s="117" t="str">
        <x:v>No</x:v>
      </x:c>
      <x:c r="H883" s="117" t="str">
        <x:v>AutoLaunchedFlow</x:v>
      </x:c>
      <x:c r="I883" s="118" t="n">
        <x:v>56</x:v>
      </x:c>
      <x:c r="J883" s="117" t="str">
        <x:v>unmanaged</x:v>
      </x:c>
      <x:c r="K883" s="123" t="b">
        <x:v>0</x:v>
      </x:c>
      <x:c r="L883" s="117"/>
      <x:c r="M883" s="118"/>
      <x:c r="N883" s="120" t="n">
        <x:v>45013.73646990741</x:v>
      </x:c>
      <x:c r="O883" s="117" t="str">
        <x:v>Jace Gentil</x:v>
      </x:c>
      <x:c r="P883" s="120" t="n">
        <x:v>45014.16237268518</x:v>
      </x:c>
      <x:c r="Q883" s="117" t="str">
        <x:v>Natalie Boger</x:v>
      </x:c>
      <x:c r="R883" s="117" t="str">
        <x:v>Create Shipping Product on US Op Creation</x:v>
      </x:c>
      <x:c r="S883" s="119"/>
    </x:row>
    <x:row r="884" ht="30" customHeight="1">
      <x:c r="A884" s="117" t="str">
        <x:v>Create_Shipping_Product_on_US_Op_Creation</x:v>
      </x:c>
      <x:c r="B884" s="117" t="str">
        <x:v>3005b000000LHrAAAW</x:v>
      </x:c>
      <x:c r="C884" s="117" t="str">
        <x:v>3015b000000W19sAAC</x:v>
      </x:c>
      <x:c r="D884" s="118" t="n">
        <x:v>8</x:v>
      </x:c>
      <x:c r="E884" s="117" t="str">
        <x:v>Obsolete</x:v>
      </x:c>
      <x:c r="F884" s="117" t="str">
        <x:v>No</x:v>
      </x:c>
      <x:c r="G884" s="117" t="str">
        <x:v>No</x:v>
      </x:c>
      <x:c r="H884" s="117" t="str">
        <x:v>AutoLaunchedFlow</x:v>
      </x:c>
      <x:c r="I884" s="118" t="n">
        <x:v>56</x:v>
      </x:c>
      <x:c r="J884" s="117" t="str">
        <x:v>unmanaged</x:v>
      </x:c>
      <x:c r="K884" s="123" t="b">
        <x:v>0</x:v>
      </x:c>
      <x:c r="L884" s="117"/>
      <x:c r="M884" s="118"/>
      <x:c r="N884" s="120" t="n">
        <x:v>45015.64325231482</x:v>
      </x:c>
      <x:c r="O884" s="117" t="str">
        <x:v>Jace Gentil</x:v>
      </x:c>
      <x:c r="P884" s="120" t="n">
        <x:v>45015.64328703703</x:v>
      </x:c>
      <x:c r="Q884" s="117" t="str">
        <x:v>Jace Gentil</x:v>
      </x:c>
      <x:c r="R884" s="117" t="str">
        <x:v>Create Shipping Product on US Op Creation</x:v>
      </x:c>
      <x:c r="S884" s="119"/>
    </x:row>
    <x:row r="885" ht="30" customHeight="1">
      <x:c r="A885" s="117" t="str">
        <x:v>Create_Shipping_Product_on_US_Op_Creation</x:v>
      </x:c>
      <x:c r="B885" s="117" t="str">
        <x:v>3005b000000LHrAAAW</x:v>
      </x:c>
      <x:c r="C885" s="117" t="str">
        <x:v>3015b000000W1KMAA0</x:v>
      </x:c>
      <x:c r="D885" s="118" t="n">
        <x:v>9</x:v>
      </x:c>
      <x:c r="E885" s="117" t="str">
        <x:v>Obsolete</x:v>
      </x:c>
      <x:c r="F885" s="117" t="str">
        <x:v>No</x:v>
      </x:c>
      <x:c r="G885" s="117" t="str">
        <x:v>No</x:v>
      </x:c>
      <x:c r="H885" s="117" t="str">
        <x:v>AutoLaunchedFlow</x:v>
      </x:c>
      <x:c r="I885" s="118" t="n">
        <x:v>56</x:v>
      </x:c>
      <x:c r="J885" s="117" t="str">
        <x:v>unmanaged</x:v>
      </x:c>
      <x:c r="K885" s="123" t="b">
        <x:v>0</x:v>
      </x:c>
      <x:c r="L885" s="117"/>
      <x:c r="M885" s="118"/>
      <x:c r="N885" s="120" t="n">
        <x:v>45020.7974537037</x:v>
      </x:c>
      <x:c r="O885" s="117" t="str">
        <x:v>Jace Gentil</x:v>
      </x:c>
      <x:c r="P885" s="120" t="n">
        <x:v>45020.797488425924</x:v>
      </x:c>
      <x:c r="Q885" s="117" t="str">
        <x:v>Jace Gentil</x:v>
      </x:c>
      <x:c r="R885" s="117" t="str">
        <x:v>Create Shipping Product on US Op Creation</x:v>
      </x:c>
      <x:c r="S885" s="119"/>
    </x:row>
    <x:row r="886" ht="30" customHeight="1">
      <x:c r="A886" s="117" t="str">
        <x:v>Create_Shipping_Product_on_US_Op_Creation</x:v>
      </x:c>
      <x:c r="B886" s="117" t="str">
        <x:v>3005b000000LHrAAAW</x:v>
      </x:c>
      <x:c r="C886" s="117" t="str">
        <x:v>3015b000000W1MDAA0</x:v>
      </x:c>
      <x:c r="D886" s="118" t="n">
        <x:v>10</x:v>
      </x:c>
      <x:c r="E886" s="117" t="str">
        <x:v>Obsolete</x:v>
      </x:c>
      <x:c r="F886" s="117" t="str">
        <x:v>No</x:v>
      </x:c>
      <x:c r="G886" s="117" t="str">
        <x:v>No</x:v>
      </x:c>
      <x:c r="H886" s="117" t="str">
        <x:v>AutoLaunchedFlow</x:v>
      </x:c>
      <x:c r="I886" s="118" t="n">
        <x:v>56</x:v>
      </x:c>
      <x:c r="J886" s="117" t="str">
        <x:v>unmanaged</x:v>
      </x:c>
      <x:c r="K886" s="123" t="b">
        <x:v>0</x:v>
      </x:c>
      <x:c r="L886" s="117"/>
      <x:c r="M886" s="118"/>
      <x:c r="N886" s="120" t="n">
        <x:v>45021.605150462965</x:v>
      </x:c>
      <x:c r="O886" s="117" t="str">
        <x:v>Jace Gentil</x:v>
      </x:c>
      <x:c r="P886" s="120" t="n">
        <x:v>45156.80871527778</x:v>
      </x:c>
      <x:c r="Q886" s="117" t="str">
        <x:v>Natalie Boger</x:v>
      </x:c>
      <x:c r="R886" s="117" t="str">
        <x:v>Create Shipping Product on US Op Creation</x:v>
      </x:c>
      <x:c r="S886" s="119"/>
    </x:row>
    <x:row r="887" ht="30" customHeight="1">
      <x:c r="A887" s="117" t="str">
        <x:v>Create_Shipping_Product_on_US_Op_Creation</x:v>
      </x:c>
      <x:c r="B887" s="117" t="str">
        <x:v>3005b000000LHrAAAW</x:v>
      </x:c>
      <x:c r="C887" s="117" t="str">
        <x:v>3015b0000011KrVAAU</x:v>
      </x:c>
      <x:c r="D887" s="118" t="n">
        <x:v>11</x:v>
      </x:c>
      <x:c r="E887" s="117" t="str">
        <x:v>Obsolete</x:v>
      </x:c>
      <x:c r="F887" s="117" t="str">
        <x:v>No</x:v>
      </x:c>
      <x:c r="G887" s="117" t="str">
        <x:v>No</x:v>
      </x:c>
      <x:c r="H887" s="117" t="str">
        <x:v>AutoLaunchedFlow</x:v>
      </x:c>
      <x:c r="I887" s="118" t="n">
        <x:v>56</x:v>
      </x:c>
      <x:c r="J887" s="117" t="str">
        <x:v>unmanaged</x:v>
      </x:c>
      <x:c r="K887" s="123" t="b">
        <x:v>0</x:v>
      </x:c>
      <x:c r="L887" s="117"/>
      <x:c r="M887" s="118"/>
      <x:c r="N887" s="120" t="n">
        <x:v>45209.823333333334</x:v>
      </x:c>
      <x:c r="O887" s="117" t="str">
        <x:v>Jace Gentil</x:v>
      </x:c>
      <x:c r="P887" s="120" t="n">
        <x:v>45209.825902777775</x:v>
      </x:c>
      <x:c r="Q887" s="117" t="str">
        <x:v>Jace Gentil</x:v>
      </x:c>
      <x:c r="R887" s="117" t="str">
        <x:v>Create Shipping Product on US Op Creation</x:v>
      </x:c>
      <x:c r="S887" s="119"/>
    </x:row>
    <x:row r="888" ht="30" customHeight="1">
      <x:c r="A888" s="117" t="str">
        <x:v>Create_Shipping_Product_on_US_Op_Creation</x:v>
      </x:c>
      <x:c r="B888" s="117" t="str">
        <x:v>3005b000000LHrAAAW</x:v>
      </x:c>
      <x:c r="C888" s="117" t="str">
        <x:v>3015b0000011Ks9AAE</x:v>
      </x:c>
      <x:c r="D888" s="118" t="n">
        <x:v>12</x:v>
      </x:c>
      <x:c r="E888" s="117" t="str">
        <x:v>Obsolete</x:v>
      </x:c>
      <x:c r="F888" s="117" t="str">
        <x:v>No</x:v>
      </x:c>
      <x:c r="G888" s="117" t="str">
        <x:v>Yes</x:v>
      </x:c>
      <x:c r="H888" s="117" t="str">
        <x:v>AutoLaunchedFlow</x:v>
      </x:c>
      <x:c r="I888" s="118" t="n">
        <x:v>56</x:v>
      </x:c>
      <x:c r="J888" s="117" t="str">
        <x:v>unmanaged</x:v>
      </x:c>
      <x:c r="K888" s="123" t="b">
        <x:v>0</x:v>
      </x:c>
      <x:c r="L888" s="117"/>
      <x:c r="M888" s="118"/>
      <x:c r="N888" s="120" t="n">
        <x:v>45209.84706018519</x:v>
      </x:c>
      <x:c r="O888" s="117" t="str">
        <x:v>Jace Gentil</x:v>
      </x:c>
      <x:c r="P888" s="120" t="n">
        <x:v>45423.520520833335</x:v>
      </x:c>
      <x:c r="Q888" s="117" t="str">
        <x:v>Jace Gentil</x:v>
      </x:c>
      <x:c r="R888" s="117" t="str">
        <x:v>Create Shipping Product on US Op Creation</x:v>
      </x:c>
      <x:c r="S888" s="119"/>
    </x:row>
    <x:row r="889" ht="30" customHeight="1">
      <x:c r="A889" s="117" t="str">
        <x:v>Create_Sourcing_Request_for_Parts_and_Probes</x:v>
      </x:c>
      <x:c r="B889" s="117" t="str">
        <x:v>3005b000000H3qFAAS</x:v>
      </x:c>
      <x:c r="C889" s="117" t="str">
        <x:v>3015b000000EJq2AAG</x:v>
      </x:c>
      <x:c r="D889" s="118" t="n">
        <x:v>1</x:v>
      </x:c>
      <x:c r="E889" s="117" t="str">
        <x:v>Draft</x:v>
      </x:c>
      <x:c r="F889" s="117" t="str">
        <x:v>No</x:v>
      </x:c>
      <x:c r="G889" s="117" t="str">
        <x:v>Yes</x:v>
      </x:c>
      <x:c r="H889" s="117" t="str">
        <x:v>Flow</x:v>
      </x:c>
      <x:c r="I889" s="118" t="n">
        <x:v>49</x:v>
      </x:c>
      <x:c r="J889" s="117" t="str">
        <x:v>unmanaged</x:v>
      </x:c>
      <x:c r="K889" s="123" t="b">
        <x:v>0</x:v>
      </x:c>
      <x:c r="L889" s="117"/>
      <x:c r="M889" s="118"/>
      <x:c r="N889" s="120" t="n">
        <x:v>44700.85042824074</x:v>
      </x:c>
      <x:c r="O889" s="117" t="str">
        <x:v>Jace Gentil</x:v>
      </x:c>
      <x:c r="P889" s="120" t="n">
        <x:v>44700.850439814814</x:v>
      </x:c>
      <x:c r="Q889" s="117" t="str">
        <x:v>Jace Gentil</x:v>
      </x:c>
      <x:c r="R889" s="117" t="str">
        <x:v>Create Sourcing Request for Parts and Probes</x:v>
      </x:c>
      <x:c r="S889" s="119"/>
    </x:row>
    <x:row r="890" ht="30" customHeight="1">
      <x:c r="A890" s="117" t="str">
        <x:v>Create_Souring_from_Pricing</x:v>
      </x:c>
      <x:c r="B890" s="117" t="str">
        <x:v>3005b000000LJQkAAO</x:v>
      </x:c>
      <x:c r="C890" s="117" t="str">
        <x:v>3015b000000APegAAG</x:v>
      </x:c>
      <x:c r="D890" s="118" t="n">
        <x:v>1</x:v>
      </x:c>
      <x:c r="E890" s="117" t="str">
        <x:v>Obsolete</x:v>
      </x:c>
      <x:c r="F890" s="117" t="str">
        <x:v>No</x:v>
      </x:c>
      <x:c r="G890" s="117" t="str">
        <x:v>No</x:v>
      </x:c>
      <x:c r="H890" s="117" t="str">
        <x:v>Flow</x:v>
      </x:c>
      <x:c r="I890" s="118" t="n">
        <x:v>58</x:v>
      </x:c>
      <x:c r="J890" s="117" t="str">
        <x:v>unmanaged</x:v>
      </x:c>
      <x:c r="K890" s="123" t="b">
        <x:v>0</x:v>
      </x:c>
      <x:c r="L890" s="117"/>
      <x:c r="M890" s="118"/>
      <x:c r="N890" s="120" t="n">
        <x:v>45145.54366898148</x:v>
      </x:c>
      <x:c r="O890" s="117" t="str">
        <x:v>Jon Kean</x:v>
      </x:c>
      <x:c r="P890" s="120" t="n">
        <x:v>45145.545694444445</x:v>
      </x:c>
      <x:c r="Q890" s="117" t="str">
        <x:v>Jon Kean</x:v>
      </x:c>
      <x:c r="R890" s="117" t="str">
        <x:v>Create Souring from Pricing</x:v>
      </x:c>
      <x:c r="S890" s="119" t="str">
        <x:v>Used for UK when the customer accepts the price but Probo need to source</x:v>
      </x:c>
    </x:row>
    <x:row r="891" ht="30" customHeight="1">
      <x:c r="A891" s="117" t="str">
        <x:v>Create_Souring_from_Pricing</x:v>
      </x:c>
      <x:c r="B891" s="117" t="str">
        <x:v>3005b000000LJQkAAO</x:v>
      </x:c>
      <x:c r="C891" s="117" t="str">
        <x:v>3015b000000APf5AAG</x:v>
      </x:c>
      <x:c r="D891" s="118" t="n">
        <x:v>2</x:v>
      </x:c>
      <x:c r="E891" s="117" t="str">
        <x:v>Obsolete</x:v>
      </x:c>
      <x:c r="F891" s="117" t="str">
        <x:v>No</x:v>
      </x:c>
      <x:c r="G891" s="117" t="str">
        <x:v>No</x:v>
      </x:c>
      <x:c r="H891" s="117" t="str">
        <x:v>Flow</x:v>
      </x:c>
      <x:c r="I891" s="118" t="n">
        <x:v>58</x:v>
      </x:c>
      <x:c r="J891" s="117" t="str">
        <x:v>unmanaged</x:v>
      </x:c>
      <x:c r="K891" s="123" t="b">
        <x:v>0</x:v>
      </x:c>
      <x:c r="L891" s="117"/>
      <x:c r="M891" s="118"/>
      <x:c r="N891" s="120" t="n">
        <x:v>45145.550717592596</x:v>
      </x:c>
      <x:c r="O891" s="117" t="str">
        <x:v>Jon Kean</x:v>
      </x:c>
      <x:c r="P891" s="120" t="n">
        <x:v>45145.55076388889</x:v>
      </x:c>
      <x:c r="Q891" s="117" t="str">
        <x:v>Jon Kean</x:v>
      </x:c>
      <x:c r="R891" s="117" t="str">
        <x:v>Create Souring from Pricing</x:v>
      </x:c>
      <x:c r="S891" s="119" t="str">
        <x:v>Used for UK when the customer accepts the price but Probo need to source</x:v>
      </x:c>
    </x:row>
    <x:row r="892" ht="30" customHeight="1">
      <x:c r="A892" s="117" t="str">
        <x:v>Create_Souring_from_Pricing</x:v>
      </x:c>
      <x:c r="B892" s="117" t="str">
        <x:v>3005b000000LJQkAAO</x:v>
      </x:c>
      <x:c r="C892" s="117" t="str">
        <x:v>3015b000000APfAAAW</x:v>
      </x:c>
      <x:c r="D892" s="118" t="n">
        <x:v>3</x:v>
      </x:c>
      <x:c r="E892" s="117" t="str">
        <x:v>Obsolete</x:v>
      </x:c>
      <x:c r="F892" s="117" t="str">
        <x:v>No</x:v>
      </x:c>
      <x:c r="G892" s="117" t="str">
        <x:v>No</x:v>
      </x:c>
      <x:c r="H892" s="117" t="str">
        <x:v>Flow</x:v>
      </x:c>
      <x:c r="I892" s="118" t="n">
        <x:v>58</x:v>
      </x:c>
      <x:c r="J892" s="117" t="str">
        <x:v>unmanaged</x:v>
      </x:c>
      <x:c r="K892" s="123" t="b">
        <x:v>0</x:v>
      </x:c>
      <x:c r="L892" s="117"/>
      <x:c r="M892" s="118"/>
      <x:c r="N892" s="120" t="n">
        <x:v>45145.55357638889</x:v>
      </x:c>
      <x:c r="O892" s="117" t="str">
        <x:v>Jon Kean</x:v>
      </x:c>
      <x:c r="P892" s="120" t="n">
        <x:v>45145.553622685184</x:v>
      </x:c>
      <x:c r="Q892" s="117" t="str">
        <x:v>Jon Kean</x:v>
      </x:c>
      <x:c r="R892" s="117" t="str">
        <x:v>Create Souring from Pricing</x:v>
      </x:c>
      <x:c r="S892" s="119" t="str">
        <x:v>Used for UK when the customer accepts the price but Probo need to source</x:v>
      </x:c>
    </x:row>
    <x:row r="893" ht="30" customHeight="1">
      <x:c r="A893" s="117" t="str">
        <x:v>Create_Souring_from_Pricing</x:v>
      </x:c>
      <x:c r="B893" s="117" t="str">
        <x:v>3005b000000LJQkAAO</x:v>
      </x:c>
      <x:c r="C893" s="117" t="str">
        <x:v>3015b000000APfFAAW</x:v>
      </x:c>
      <x:c r="D893" s="118" t="n">
        <x:v>4</x:v>
      </x:c>
      <x:c r="E893" s="117" t="str">
        <x:v>Obsolete</x:v>
      </x:c>
      <x:c r="F893" s="117" t="str">
        <x:v>No</x:v>
      </x:c>
      <x:c r="G893" s="117" t="str">
        <x:v>No</x:v>
      </x:c>
      <x:c r="H893" s="117" t="str">
        <x:v>Flow</x:v>
      </x:c>
      <x:c r="I893" s="118" t="n">
        <x:v>58</x:v>
      </x:c>
      <x:c r="J893" s="117" t="str">
        <x:v>unmanaged</x:v>
      </x:c>
      <x:c r="K893" s="123" t="b">
        <x:v>0</x:v>
      </x:c>
      <x:c r="L893" s="117"/>
      <x:c r="M893" s="118"/>
      <x:c r="N893" s="120" t="n">
        <x:v>45145.55451388889</x:v>
      </x:c>
      <x:c r="O893" s="117" t="str">
        <x:v>Jon Kean</x:v>
      </x:c>
      <x:c r="P893" s="120" t="n">
        <x:v>45145.55454861111</x:v>
      </x:c>
      <x:c r="Q893" s="117" t="str">
        <x:v>Jon Kean</x:v>
      </x:c>
      <x:c r="R893" s="117" t="str">
        <x:v>Create Souring from Pricing</x:v>
      </x:c>
      <x:c r="S893" s="119" t="str">
        <x:v>Used for UK when the customer accepts the price but Probo need to source</x:v>
      </x:c>
    </x:row>
    <x:row r="894" ht="30" customHeight="1">
      <x:c r="A894" s="117" t="str">
        <x:v>Create_Souring_from_Pricing</x:v>
      </x:c>
      <x:c r="B894" s="117" t="str">
        <x:v>3005b000000LJQkAAO</x:v>
      </x:c>
      <x:c r="C894" s="117" t="str">
        <x:v>3015b000000APfKAAW</x:v>
      </x:c>
      <x:c r="D894" s="118" t="n">
        <x:v>5</x:v>
      </x:c>
      <x:c r="E894" s="117" t="str">
        <x:v>Obsolete</x:v>
      </x:c>
      <x:c r="F894" s="117" t="str">
        <x:v>No</x:v>
      </x:c>
      <x:c r="G894" s="117" t="str">
        <x:v>No</x:v>
      </x:c>
      <x:c r="H894" s="117" t="str">
        <x:v>Flow</x:v>
      </x:c>
      <x:c r="I894" s="118" t="n">
        <x:v>58</x:v>
      </x:c>
      <x:c r="J894" s="117" t="str">
        <x:v>unmanaged</x:v>
      </x:c>
      <x:c r="K894" s="123" t="b">
        <x:v>0</x:v>
      </x:c>
      <x:c r="L894" s="117"/>
      <x:c r="M894" s="118"/>
      <x:c r="N894" s="120" t="n">
        <x:v>45145.55511574074</x:v>
      </x:c>
      <x:c r="O894" s="117" t="str">
        <x:v>Jon Kean</x:v>
      </x:c>
      <x:c r="P894" s="120" t="n">
        <x:v>45145.55516203704</x:v>
      </x:c>
      <x:c r="Q894" s="117" t="str">
        <x:v>Jon Kean</x:v>
      </x:c>
      <x:c r="R894" s="117" t="str">
        <x:v>Create Souring from Pricing</x:v>
      </x:c>
      <x:c r="S894" s="119" t="str">
        <x:v>Used for UK when the customer accepts the price but Probo need to source</x:v>
      </x:c>
    </x:row>
    <x:row r="895" ht="30" customHeight="1">
      <x:c r="A895" s="117" t="str">
        <x:v>Create_Souring_from_Pricing</x:v>
      </x:c>
      <x:c r="B895" s="117" t="str">
        <x:v>3005b000000LJQkAAO</x:v>
      </x:c>
      <x:c r="C895" s="117" t="str">
        <x:v>3015b000000APfPAAW</x:v>
      </x:c>
      <x:c r="D895" s="118" t="n">
        <x:v>6</x:v>
      </x:c>
      <x:c r="E895" s="117" t="str">
        <x:v>Obsolete</x:v>
      </x:c>
      <x:c r="F895" s="117" t="str">
        <x:v>No</x:v>
      </x:c>
      <x:c r="G895" s="117" t="str">
        <x:v>No</x:v>
      </x:c>
      <x:c r="H895" s="117" t="str">
        <x:v>Flow</x:v>
      </x:c>
      <x:c r="I895" s="118" t="n">
        <x:v>58</x:v>
      </x:c>
      <x:c r="J895" s="117" t="str">
        <x:v>unmanaged</x:v>
      </x:c>
      <x:c r="K895" s="123" t="b">
        <x:v>0</x:v>
      </x:c>
      <x:c r="L895" s="117"/>
      <x:c r="M895" s="118"/>
      <x:c r="N895" s="120" t="n">
        <x:v>45145.55611111111</x:v>
      </x:c>
      <x:c r="O895" s="117" t="str">
        <x:v>Jon Kean</x:v>
      </x:c>
      <x:c r="P895" s="120" t="n">
        <x:v>45145.55615740741</x:v>
      </x:c>
      <x:c r="Q895" s="117" t="str">
        <x:v>Jon Kean</x:v>
      </x:c>
      <x:c r="R895" s="117" t="str">
        <x:v>Create Souring from Pricing</x:v>
      </x:c>
      <x:c r="S895" s="119" t="str">
        <x:v>Used for UK when the customer accepts the price but Probo need to source</x:v>
      </x:c>
    </x:row>
    <x:row r="896" ht="30" customHeight="1">
      <x:c r="A896" s="117" t="str">
        <x:v>Create_Souring_from_Pricing</x:v>
      </x:c>
      <x:c r="B896" s="117" t="str">
        <x:v>3005b000000LJQkAAO</x:v>
      </x:c>
      <x:c r="C896" s="117" t="str">
        <x:v>3015b000000APfUAAW</x:v>
      </x:c>
      <x:c r="D896" s="118" t="n">
        <x:v>7</x:v>
      </x:c>
      <x:c r="E896" s="117" t="str">
        <x:v>Obsolete</x:v>
      </x:c>
      <x:c r="F896" s="117" t="str">
        <x:v>No</x:v>
      </x:c>
      <x:c r="G896" s="117" t="str">
        <x:v>No</x:v>
      </x:c>
      <x:c r="H896" s="117" t="str">
        <x:v>Flow</x:v>
      </x:c>
      <x:c r="I896" s="118" t="n">
        <x:v>58</x:v>
      </x:c>
      <x:c r="J896" s="117" t="str">
        <x:v>unmanaged</x:v>
      </x:c>
      <x:c r="K896" s="123" t="b">
        <x:v>0</x:v>
      </x:c>
      <x:c r="L896" s="117"/>
      <x:c r="M896" s="118"/>
      <x:c r="N896" s="120" t="n">
        <x:v>45145.55747685185</x:v>
      </x:c>
      <x:c r="O896" s="117" t="str">
        <x:v>Jon Kean</x:v>
      </x:c>
      <x:c r="P896" s="120" t="n">
        <x:v>45145.55751157407</x:v>
      </x:c>
      <x:c r="Q896" s="117" t="str">
        <x:v>Jon Kean</x:v>
      </x:c>
      <x:c r="R896" s="117" t="str">
        <x:v>Create Souring from Pricing</x:v>
      </x:c>
      <x:c r="S896" s="119" t="str">
        <x:v>Used for UK when the customer accepts the price but Probo need to source</x:v>
      </x:c>
    </x:row>
    <x:row r="897" ht="30" customHeight="1">
      <x:c r="A897" s="117" t="str">
        <x:v>Create_Souring_from_Pricing</x:v>
      </x:c>
      <x:c r="B897" s="117" t="str">
        <x:v>3005b000000LJQkAAO</x:v>
      </x:c>
      <x:c r="C897" s="117" t="str">
        <x:v>3015b000000APfZAAW</x:v>
      </x:c>
      <x:c r="D897" s="118" t="n">
        <x:v>8</x:v>
      </x:c>
      <x:c r="E897" s="117" t="str">
        <x:v>Obsolete</x:v>
      </x:c>
      <x:c r="F897" s="117" t="str">
        <x:v>No</x:v>
      </x:c>
      <x:c r="G897" s="117" t="str">
        <x:v>No</x:v>
      </x:c>
      <x:c r="H897" s="117" t="str">
        <x:v>Flow</x:v>
      </x:c>
      <x:c r="I897" s="118" t="n">
        <x:v>58</x:v>
      </x:c>
      <x:c r="J897" s="117" t="str">
        <x:v>unmanaged</x:v>
      </x:c>
      <x:c r="K897" s="123" t="b">
        <x:v>0</x:v>
      </x:c>
      <x:c r="L897" s="117"/>
      <x:c r="M897" s="118"/>
      <x:c r="N897" s="120" t="n">
        <x:v>45145.55894675926</x:v>
      </x:c>
      <x:c r="O897" s="117" t="str">
        <x:v>Jon Kean</x:v>
      </x:c>
      <x:c r="P897" s="120" t="n">
        <x:v>45145.55899305556</x:v>
      </x:c>
      <x:c r="Q897" s="117" t="str">
        <x:v>Jon Kean</x:v>
      </x:c>
      <x:c r="R897" s="117" t="str">
        <x:v>Create Souring from Pricing</x:v>
      </x:c>
      <x:c r="S897" s="119" t="str">
        <x:v>Used for UK when the customer accepts the price but Probo need to source</x:v>
      </x:c>
    </x:row>
    <x:row r="898" ht="30" customHeight="1">
      <x:c r="A898" s="117" t="str">
        <x:v>Create_Souring_from_Pricing</x:v>
      </x:c>
      <x:c r="B898" s="117" t="str">
        <x:v>3005b000000LJQkAAO</x:v>
      </x:c>
      <x:c r="C898" s="117" t="str">
        <x:v>3015b000000APfeAAG</x:v>
      </x:c>
      <x:c r="D898" s="118" t="n">
        <x:v>9</x:v>
      </x:c>
      <x:c r="E898" s="117" t="str">
        <x:v>Obsolete</x:v>
      </x:c>
      <x:c r="F898" s="117" t="str">
        <x:v>No</x:v>
      </x:c>
      <x:c r="G898" s="117" t="str">
        <x:v>No</x:v>
      </x:c>
      <x:c r="H898" s="117" t="str">
        <x:v>Flow</x:v>
      </x:c>
      <x:c r="I898" s="118" t="n">
        <x:v>58</x:v>
      </x:c>
      <x:c r="J898" s="117" t="str">
        <x:v>unmanaged</x:v>
      </x:c>
      <x:c r="K898" s="123" t="b">
        <x:v>0</x:v>
      </x:c>
      <x:c r="L898" s="117"/>
      <x:c r="M898" s="118"/>
      <x:c r="N898" s="120" t="n">
        <x:v>45145.56109953704</x:v>
      </x:c>
      <x:c r="O898" s="117" t="str">
        <x:v>Jon Kean</x:v>
      </x:c>
      <x:c r="P898" s="120" t="n">
        <x:v>45145.56114583334</x:v>
      </x:c>
      <x:c r="Q898" s="117" t="str">
        <x:v>Jon Kean</x:v>
      </x:c>
      <x:c r="R898" s="117" t="str">
        <x:v>Create Souring from Pricing</x:v>
      </x:c>
      <x:c r="S898" s="119" t="str">
        <x:v>Used for UK when the customer accepts the price but Probo need to source</x:v>
      </x:c>
    </x:row>
    <x:row r="899" ht="30" customHeight="1">
      <x:c r="A899" s="117" t="str">
        <x:v>Create_Souring_from_Pricing</x:v>
      </x:c>
      <x:c r="B899" s="117" t="str">
        <x:v>3005b000000LJQkAAO</x:v>
      </x:c>
      <x:c r="C899" s="117" t="str">
        <x:v>3015b000000APfjAAG</x:v>
      </x:c>
      <x:c r="D899" s="118" t="n">
        <x:v>10</x:v>
      </x:c>
      <x:c r="E899" s="117" t="str">
        <x:v>Obsolete</x:v>
      </x:c>
      <x:c r="F899" s="117" t="str">
        <x:v>No</x:v>
      </x:c>
      <x:c r="G899" s="117" t="str">
        <x:v>No</x:v>
      </x:c>
      <x:c r="H899" s="117" t="str">
        <x:v>Flow</x:v>
      </x:c>
      <x:c r="I899" s="118" t="n">
        <x:v>58</x:v>
      </x:c>
      <x:c r="J899" s="117" t="str">
        <x:v>unmanaged</x:v>
      </x:c>
      <x:c r="K899" s="123" t="b">
        <x:v>0</x:v>
      </x:c>
      <x:c r="L899" s="117"/>
      <x:c r="M899" s="118"/>
      <x:c r="N899" s="120" t="n">
        <x:v>45145.57320601852</x:v>
      </x:c>
      <x:c r="O899" s="117" t="str">
        <x:v>Jon Kean</x:v>
      </x:c>
      <x:c r="P899" s="120" t="n">
        <x:v>45145.57325231482</x:v>
      </x:c>
      <x:c r="Q899" s="117" t="str">
        <x:v>Jon Kean</x:v>
      </x:c>
      <x:c r="R899" s="117" t="str">
        <x:v>Create Souring from Pricing</x:v>
      </x:c>
      <x:c r="S899" s="119" t="str">
        <x:v>Used for UK when the customer accepts the price but Probo need to source</x:v>
      </x:c>
    </x:row>
    <x:row r="900" ht="30" customHeight="1">
      <x:c r="A900" s="117" t="str">
        <x:v>Create_Souring_from_Pricing</x:v>
      </x:c>
      <x:c r="B900" s="117" t="str">
        <x:v>3005b000000LJQkAAO</x:v>
      </x:c>
      <x:c r="C900" s="117" t="str">
        <x:v>3015b000000APjHAAW</x:v>
      </x:c>
      <x:c r="D900" s="118" t="n">
        <x:v>11</x:v>
      </x:c>
      <x:c r="E900" s="117" t="str">
        <x:v>Obsolete</x:v>
      </x:c>
      <x:c r="F900" s="117" t="str">
        <x:v>No</x:v>
      </x:c>
      <x:c r="G900" s="117" t="str">
        <x:v>No</x:v>
      </x:c>
      <x:c r="H900" s="117" t="str">
        <x:v>Flow</x:v>
      </x:c>
      <x:c r="I900" s="118" t="n">
        <x:v>58</x:v>
      </x:c>
      <x:c r="J900" s="117" t="str">
        <x:v>unmanaged</x:v>
      </x:c>
      <x:c r="K900" s="123" t="b">
        <x:v>0</x:v>
      </x:c>
      <x:c r="L900" s="117"/>
      <x:c r="M900" s="118"/>
      <x:c r="N900" s="120" t="n">
        <x:v>45146.35585648148</x:v>
      </x:c>
      <x:c r="O900" s="117" t="str">
        <x:v>Jon Kean</x:v>
      </x:c>
      <x:c r="P900" s="120" t="n">
        <x:v>45146.35591435185</x:v>
      </x:c>
      <x:c r="Q900" s="117" t="str">
        <x:v>Jon Kean</x:v>
      </x:c>
      <x:c r="R900" s="117" t="str">
        <x:v>Create Souring from Pricing</x:v>
      </x:c>
      <x:c r="S900" s="119" t="str">
        <x:v>Used for UK when the customer accepts the price but Probo need to source</x:v>
      </x:c>
    </x:row>
    <x:row r="901" ht="30" customHeight="1">
      <x:c r="A901" s="117" t="str">
        <x:v>Create_Souring_from_Pricing</x:v>
      </x:c>
      <x:c r="B901" s="117" t="str">
        <x:v>3005b000000LJQkAAO</x:v>
      </x:c>
      <x:c r="C901" s="117" t="str">
        <x:v>3015b000000APjMAAW</x:v>
      </x:c>
      <x:c r="D901" s="118" t="n">
        <x:v>12</x:v>
      </x:c>
      <x:c r="E901" s="117" t="str">
        <x:v>Draft</x:v>
      </x:c>
      <x:c r="F901" s="117" t="str">
        <x:v>No</x:v>
      </x:c>
      <x:c r="G901" s="117" t="str">
        <x:v>No</x:v>
      </x:c>
      <x:c r="H901" s="117" t="str">
        <x:v>Flow</x:v>
      </x:c>
      <x:c r="I901" s="118" t="n">
        <x:v>58</x:v>
      </x:c>
      <x:c r="J901" s="117" t="str">
        <x:v>unmanaged</x:v>
      </x:c>
      <x:c r="K901" s="123" t="b">
        <x:v>0</x:v>
      </x:c>
      <x:c r="L901" s="117"/>
      <x:c r="M901" s="118"/>
      <x:c r="N901" s="120" t="n">
        <x:v>45146.36177083333</x:v>
      </x:c>
      <x:c r="O901" s="117" t="str">
        <x:v>Jon Kean</x:v>
      </x:c>
      <x:c r="P901" s="120" t="n">
        <x:v>45146.36178240741</x:v>
      </x:c>
      <x:c r="Q901" s="117" t="str">
        <x:v>Jon Kean</x:v>
      </x:c>
      <x:c r="R901" s="117" t="str">
        <x:v>Create Souring from Pricing</x:v>
      </x:c>
      <x:c r="S901" s="119" t="str">
        <x:v>Used for UK when the customer accepts the price but Probo need to source</x:v>
      </x:c>
    </x:row>
    <x:row r="902" ht="30" customHeight="1">
      <x:c r="A902" s="117" t="str">
        <x:v>Create_Souring_from_Pricing</x:v>
      </x:c>
      <x:c r="B902" s="117" t="str">
        <x:v>3005b000000LJQkAAO</x:v>
      </x:c>
      <x:c r="C902" s="117" t="str">
        <x:v>3015b000000APjlAAG</x:v>
      </x:c>
      <x:c r="D902" s="118" t="n">
        <x:v>13</x:v>
      </x:c>
      <x:c r="E902" s="117" t="str">
        <x:v>Obsolete</x:v>
      </x:c>
      <x:c r="F902" s="117" t="str">
        <x:v>No</x:v>
      </x:c>
      <x:c r="G902" s="117" t="str">
        <x:v>No</x:v>
      </x:c>
      <x:c r="H902" s="117" t="str">
        <x:v>Flow</x:v>
      </x:c>
      <x:c r="I902" s="118" t="n">
        <x:v>58</x:v>
      </x:c>
      <x:c r="J902" s="117" t="str">
        <x:v>unmanaged</x:v>
      </x:c>
      <x:c r="K902" s="123" t="b">
        <x:v>0</x:v>
      </x:c>
      <x:c r="L902" s="117"/>
      <x:c r="M902" s="118"/>
      <x:c r="N902" s="120" t="n">
        <x:v>45146.372141203705</x:v>
      </x:c>
      <x:c r="O902" s="117" t="str">
        <x:v>Jon Kean</x:v>
      </x:c>
      <x:c r="P902" s="120" t="n">
        <x:v>45146.37255787037</x:v>
      </x:c>
      <x:c r="Q902" s="117" t="str">
        <x:v>Jon Kean</x:v>
      </x:c>
      <x:c r="R902" s="117" t="str">
        <x:v>Create Souring from Pricing</x:v>
      </x:c>
      <x:c r="S902" s="119" t="str">
        <x:v>Used for UK when the customer accepts the price but Probo need to source</x:v>
      </x:c>
    </x:row>
    <x:row r="903" ht="30" customHeight="1">
      <x:c r="A903" s="117" t="str">
        <x:v>Create_Souring_from_Pricing</x:v>
      </x:c>
      <x:c r="B903" s="117" t="str">
        <x:v>3005b000000LJQkAAO</x:v>
      </x:c>
      <x:c r="C903" s="117" t="str">
        <x:v>3015b000000APk5AAG</x:v>
      </x:c>
      <x:c r="D903" s="118" t="n">
        <x:v>14</x:v>
      </x:c>
      <x:c r="E903" s="117" t="str">
        <x:v>Obsolete</x:v>
      </x:c>
      <x:c r="F903" s="117" t="str">
        <x:v>No</x:v>
      </x:c>
      <x:c r="G903" s="117" t="str">
        <x:v>No</x:v>
      </x:c>
      <x:c r="H903" s="117" t="str">
        <x:v>Flow</x:v>
      </x:c>
      <x:c r="I903" s="118" t="n">
        <x:v>58</x:v>
      </x:c>
      <x:c r="J903" s="117" t="str">
        <x:v>unmanaged</x:v>
      </x:c>
      <x:c r="K903" s="123" t="b">
        <x:v>0</x:v>
      </x:c>
      <x:c r="L903" s="117"/>
      <x:c r="M903" s="118"/>
      <x:c r="N903" s="120" t="n">
        <x:v>45146.404710648145</x:v>
      </x:c>
      <x:c r="O903" s="117" t="str">
        <x:v>Jon Kean</x:v>
      </x:c>
      <x:c r="P903" s="120" t="n">
        <x:v>45146.40483796296</x:v>
      </x:c>
      <x:c r="Q903" s="117" t="str">
        <x:v>Jon Kean</x:v>
      </x:c>
      <x:c r="R903" s="117" t="str">
        <x:v>Create Souring from Pricing</x:v>
      </x:c>
      <x:c r="S903" s="119" t="str">
        <x:v>Used for UK when the customer accepts the price but Probo need to source</x:v>
      </x:c>
    </x:row>
    <x:row r="904" ht="30" customHeight="1">
      <x:c r="A904" s="117" t="str">
        <x:v>Create_Souring_from_Pricing</x:v>
      </x:c>
      <x:c r="B904" s="117" t="str">
        <x:v>3005b000000LJQkAAO</x:v>
      </x:c>
      <x:c r="C904" s="117" t="str">
        <x:v>3015b000000APkAAAW</x:v>
      </x:c>
      <x:c r="D904" s="118" t="n">
        <x:v>15</x:v>
      </x:c>
      <x:c r="E904" s="117" t="str">
        <x:v>Obsolete</x:v>
      </x:c>
      <x:c r="F904" s="117" t="str">
        <x:v>No</x:v>
      </x:c>
      <x:c r="G904" s="117" t="str">
        <x:v>No</x:v>
      </x:c>
      <x:c r="H904" s="117" t="str">
        <x:v>Flow</x:v>
      </x:c>
      <x:c r="I904" s="118" t="n">
        <x:v>58</x:v>
      </x:c>
      <x:c r="J904" s="117" t="str">
        <x:v>unmanaged</x:v>
      </x:c>
      <x:c r="K904" s="123" t="b">
        <x:v>0</x:v>
      </x:c>
      <x:c r="L904" s="117"/>
      <x:c r="M904" s="118"/>
      <x:c r="N904" s="120" t="n">
        <x:v>45146.40671296296</x:v>
      </x:c>
      <x:c r="O904" s="117" t="str">
        <x:v>Jon Kean</x:v>
      </x:c>
      <x:c r="P904" s="120" t="n">
        <x:v>45146.40677083333</x:v>
      </x:c>
      <x:c r="Q904" s="117" t="str">
        <x:v>Jon Kean</x:v>
      </x:c>
      <x:c r="R904" s="117" t="str">
        <x:v>Create Souring from Pricing</x:v>
      </x:c>
      <x:c r="S904" s="119" t="str">
        <x:v>Used for UK when the customer accepts the price but Probo need to source</x:v>
      </x:c>
    </x:row>
    <x:row r="905" ht="30" customHeight="1">
      <x:c r="A905" s="117" t="str">
        <x:v>Create_Souring_from_Pricing</x:v>
      </x:c>
      <x:c r="B905" s="117" t="str">
        <x:v>3005b000000LJQkAAO</x:v>
      </x:c>
      <x:c r="C905" s="117" t="str">
        <x:v>3015b000000APkFAAW</x:v>
      </x:c>
      <x:c r="D905" s="118" t="n">
        <x:v>16</x:v>
      </x:c>
      <x:c r="E905" s="117" t="str">
        <x:v>Draft</x:v>
      </x:c>
      <x:c r="F905" s="117" t="str">
        <x:v>No</x:v>
      </x:c>
      <x:c r="G905" s="117" t="str">
        <x:v>No</x:v>
      </x:c>
      <x:c r="H905" s="117" t="str">
        <x:v>Flow</x:v>
      </x:c>
      <x:c r="I905" s="118" t="n">
        <x:v>58</x:v>
      </x:c>
      <x:c r="J905" s="117" t="str">
        <x:v>unmanaged</x:v>
      </x:c>
      <x:c r="K905" s="123" t="b">
        <x:v>0</x:v>
      </x:c>
      <x:c r="L905" s="117"/>
      <x:c r="M905" s="118"/>
      <x:c r="N905" s="120" t="n">
        <x:v>45146.40773148148</x:v>
      </x:c>
      <x:c r="O905" s="117" t="str">
        <x:v>Jon Kean</x:v>
      </x:c>
      <x:c r="P905" s="120" t="n">
        <x:v>45146.407743055555</x:v>
      </x:c>
      <x:c r="Q905" s="117" t="str">
        <x:v>Jon Kean</x:v>
      </x:c>
      <x:c r="R905" s="117" t="str">
        <x:v>Create Souring from Pricing</x:v>
      </x:c>
      <x:c r="S905" s="119" t="str">
        <x:v>Used for UK when the customer accepts the price but Probo need to source</x:v>
      </x:c>
    </x:row>
    <x:row r="906" ht="30" customHeight="1">
      <x:c r="A906" s="117" t="str">
        <x:v>Create_Souring_from_Pricing</x:v>
      </x:c>
      <x:c r="B906" s="117" t="str">
        <x:v>3005b000000LJQkAAO</x:v>
      </x:c>
      <x:c r="C906" s="117" t="str">
        <x:v>3015b000000APlSAAW</x:v>
      </x:c>
      <x:c r="D906" s="118" t="n">
        <x:v>17</x:v>
      </x:c>
      <x:c r="E906" s="117" t="str">
        <x:v>Obsolete</x:v>
      </x:c>
      <x:c r="F906" s="117" t="str">
        <x:v>No</x:v>
      </x:c>
      <x:c r="G906" s="117" t="str">
        <x:v>No</x:v>
      </x:c>
      <x:c r="H906" s="117" t="str">
        <x:v>Flow</x:v>
      </x:c>
      <x:c r="I906" s="118" t="n">
        <x:v>58</x:v>
      </x:c>
      <x:c r="J906" s="117" t="str">
        <x:v>unmanaged</x:v>
      </x:c>
      <x:c r="K906" s="123" t="b">
        <x:v>0</x:v>
      </x:c>
      <x:c r="L906" s="117"/>
      <x:c r="M906" s="118"/>
      <x:c r="N906" s="120" t="n">
        <x:v>45146.63679398148</x:v>
      </x:c>
      <x:c r="O906" s="117" t="str">
        <x:v>Jon Kean</x:v>
      </x:c>
      <x:c r="P906" s="120" t="n">
        <x:v>45146.63685185185</x:v>
      </x:c>
      <x:c r="Q906" s="117" t="str">
        <x:v>Jon Kean</x:v>
      </x:c>
      <x:c r="R906" s="117" t="str">
        <x:v>Create Souring from Pricing</x:v>
      </x:c>
      <x:c r="S906" s="119" t="str">
        <x:v>Used for UK when the customer accepts the price but Probo need to source</x:v>
      </x:c>
    </x:row>
    <x:row r="907" ht="30" customHeight="1">
      <x:c r="A907" s="117" t="str">
        <x:v>Create_Souring_from_Pricing</x:v>
      </x:c>
      <x:c r="B907" s="117" t="str">
        <x:v>3005b000000LJQkAAO</x:v>
      </x:c>
      <x:c r="C907" s="117" t="str">
        <x:v>3015b000000APqDAAW</x:v>
      </x:c>
      <x:c r="D907" s="118" t="n">
        <x:v>18</x:v>
      </x:c>
      <x:c r="E907" s="117" t="str">
        <x:v>Obsolete</x:v>
      </x:c>
      <x:c r="F907" s="117" t="str">
        <x:v>No</x:v>
      </x:c>
      <x:c r="G907" s="117" t="str">
        <x:v>No</x:v>
      </x:c>
      <x:c r="H907" s="117" t="str">
        <x:v>Flow</x:v>
      </x:c>
      <x:c r="I907" s="118" t="n">
        <x:v>58</x:v>
      </x:c>
      <x:c r="J907" s="117" t="str">
        <x:v>unmanaged</x:v>
      </x:c>
      <x:c r="K907" s="123" t="b">
        <x:v>0</x:v>
      </x:c>
      <x:c r="L907" s="117"/>
      <x:c r="M907" s="118"/>
      <x:c r="N907" s="120" t="n">
        <x:v>45147.439837962964</x:v>
      </x:c>
      <x:c r="O907" s="117" t="str">
        <x:v>Jon Kean</x:v>
      </x:c>
      <x:c r="P907" s="120" t="n">
        <x:v>45147.439884259256</x:v>
      </x:c>
      <x:c r="Q907" s="117" t="str">
        <x:v>Jon Kean</x:v>
      </x:c>
      <x:c r="R907" s="117" t="str">
        <x:v>Create Souring from Pricing</x:v>
      </x:c>
      <x:c r="S907" s="119" t="str">
        <x:v>Used for UK when the customer accepts the price but Probo need to source</x:v>
      </x:c>
    </x:row>
    <x:row r="908" ht="30" customHeight="1">
      <x:c r="A908" s="117" t="str">
        <x:v>Create_Souring_from_Pricing</x:v>
      </x:c>
      <x:c r="B908" s="117" t="str">
        <x:v>3005b000000LJQkAAO</x:v>
      </x:c>
      <x:c r="C908" s="117" t="str">
        <x:v>3015b000000APqIAAW</x:v>
      </x:c>
      <x:c r="D908" s="118" t="n">
        <x:v>19</x:v>
      </x:c>
      <x:c r="E908" s="117" t="str">
        <x:v>Obsolete</x:v>
      </x:c>
      <x:c r="F908" s="117" t="str">
        <x:v>No</x:v>
      </x:c>
      <x:c r="G908" s="117" t="str">
        <x:v>No</x:v>
      </x:c>
      <x:c r="H908" s="117" t="str">
        <x:v>Flow</x:v>
      </x:c>
      <x:c r="I908" s="118" t="n">
        <x:v>58</x:v>
      </x:c>
      <x:c r="J908" s="117" t="str">
        <x:v>unmanaged</x:v>
      </x:c>
      <x:c r="K908" s="123" t="b">
        <x:v>0</x:v>
      </x:c>
      <x:c r="L908" s="117"/>
      <x:c r="M908" s="118"/>
      <x:c r="N908" s="120" t="n">
        <x:v>45147.44086805556</x:v>
      </x:c>
      <x:c r="O908" s="117" t="str">
        <x:v>Jon Kean</x:v>
      </x:c>
      <x:c r="P908" s="120" t="n">
        <x:v>45147.44090277778</x:v>
      </x:c>
      <x:c r="Q908" s="117" t="str">
        <x:v>Jon Kean</x:v>
      </x:c>
      <x:c r="R908" s="117" t="str">
        <x:v>Create Souring from Pricing</x:v>
      </x:c>
      <x:c r="S908" s="119" t="str">
        <x:v>Used for UK when the customer accepts the price but Probo need to source</x:v>
      </x:c>
    </x:row>
    <x:row r="909" ht="30" customHeight="1">
      <x:c r="A909" s="117" t="str">
        <x:v>Create_Souring_from_Pricing</x:v>
      </x:c>
      <x:c r="B909" s="117" t="str">
        <x:v>3005b000000LJQkAAO</x:v>
      </x:c>
      <x:c r="C909" s="117" t="str">
        <x:v>3015b000000APqNAAW</x:v>
      </x:c>
      <x:c r="D909" s="118" t="n">
        <x:v>20</x:v>
      </x:c>
      <x:c r="E909" s="117" t="str">
        <x:v>Obsolete</x:v>
      </x:c>
      <x:c r="F909" s="117" t="str">
        <x:v>No</x:v>
      </x:c>
      <x:c r="G909" s="117" t="str">
        <x:v>No</x:v>
      </x:c>
      <x:c r="H909" s="117" t="str">
        <x:v>Flow</x:v>
      </x:c>
      <x:c r="I909" s="118" t="n">
        <x:v>58</x:v>
      </x:c>
      <x:c r="J909" s="117" t="str">
        <x:v>unmanaged</x:v>
      </x:c>
      <x:c r="K909" s="123" t="b">
        <x:v>0</x:v>
      </x:c>
      <x:c r="L909" s="117"/>
      <x:c r="M909" s="118"/>
      <x:c r="N909" s="120" t="n">
        <x:v>45147.445972222224</x:v>
      </x:c>
      <x:c r="O909" s="117" t="str">
        <x:v>Jon Kean</x:v>
      </x:c>
      <x:c r="P909" s="120" t="n">
        <x:v>45147.44603009259</x:v>
      </x:c>
      <x:c r="Q909" s="117" t="str">
        <x:v>Jon Kean</x:v>
      </x:c>
      <x:c r="R909" s="117" t="str">
        <x:v>Create Souring from Pricing</x:v>
      </x:c>
      <x:c r="S909" s="119" t="str">
        <x:v>Used for UK when the customer accepts the price but Probo need to source</x:v>
      </x:c>
    </x:row>
    <x:row r="910" ht="30" customHeight="1">
      <x:c r="A910" s="117" t="str">
        <x:v>Create_Souring_from_Pricing</x:v>
      </x:c>
      <x:c r="B910" s="117" t="str">
        <x:v>3005b000000LJQkAAO</x:v>
      </x:c>
      <x:c r="C910" s="117" t="str">
        <x:v>3015b000000APqhAAG</x:v>
      </x:c>
      <x:c r="D910" s="118" t="n">
        <x:v>21</x:v>
      </x:c>
      <x:c r="E910" s="117" t="str">
        <x:v>Obsolete</x:v>
      </x:c>
      <x:c r="F910" s="117" t="str">
        <x:v>No</x:v>
      </x:c>
      <x:c r="G910" s="117" t="str">
        <x:v>No</x:v>
      </x:c>
      <x:c r="H910" s="117" t="str">
        <x:v>Flow</x:v>
      </x:c>
      <x:c r="I910" s="118" t="n">
        <x:v>58</x:v>
      </x:c>
      <x:c r="J910" s="117" t="str">
        <x:v>unmanaged</x:v>
      </x:c>
      <x:c r="K910" s="123" t="b">
        <x:v>0</x:v>
      </x:c>
      <x:c r="L910" s="117"/>
      <x:c r="M910" s="118"/>
      <x:c r="N910" s="120" t="n">
        <x:v>45147.479317129626</x:v>
      </x:c>
      <x:c r="O910" s="117" t="str">
        <x:v>Jon Kean</x:v>
      </x:c>
      <x:c r="P910" s="120" t="n">
        <x:v>45147.479363425926</x:v>
      </x:c>
      <x:c r="Q910" s="117" t="str">
        <x:v>Jon Kean</x:v>
      </x:c>
      <x:c r="R910" s="117" t="str">
        <x:v>Create Souring from Pricing</x:v>
      </x:c>
      <x:c r="S910" s="119" t="str">
        <x:v>Used for UK when the customer accepts the price but Probo need to source</x:v>
      </x:c>
    </x:row>
    <x:row r="911" ht="30" customHeight="1">
      <x:c r="A911" s="117" t="str">
        <x:v>Create_Souring_from_Pricing</x:v>
      </x:c>
      <x:c r="B911" s="117" t="str">
        <x:v>3005b000000LJQkAAO</x:v>
      </x:c>
      <x:c r="C911" s="117" t="str">
        <x:v>3015b000000AQEUAA4</x:v>
      </x:c>
      <x:c r="D911" s="118" t="n">
        <x:v>22</x:v>
      </x:c>
      <x:c r="E911" s="117" t="str">
        <x:v>Obsolete</x:v>
      </x:c>
      <x:c r="F911" s="117" t="str">
        <x:v>No</x:v>
      </x:c>
      <x:c r="G911" s="117" t="str">
        <x:v>No</x:v>
      </x:c>
      <x:c r="H911" s="117" t="str">
        <x:v>Flow</x:v>
      </x:c>
      <x:c r="I911" s="118" t="n">
        <x:v>58</x:v>
      </x:c>
      <x:c r="J911" s="117" t="str">
        <x:v>unmanaged</x:v>
      </x:c>
      <x:c r="K911" s="123" t="b">
        <x:v>0</x:v>
      </x:c>
      <x:c r="L911" s="117"/>
      <x:c r="M911" s="118"/>
      <x:c r="N911" s="120" t="n">
        <x:v>45152.63525462963</x:v>
      </x:c>
      <x:c r="O911" s="117" t="str">
        <x:v>Jon Kean</x:v>
      </x:c>
      <x:c r="P911" s="120" t="n">
        <x:v>45152.6353125</x:v>
      </x:c>
      <x:c r="Q911" s="117" t="str">
        <x:v>Jon Kean</x:v>
      </x:c>
      <x:c r="R911" s="117" t="str">
        <x:v>Create Souring from Pricing</x:v>
      </x:c>
      <x:c r="S911" s="119" t="str">
        <x:v>Used for UK when the customer accepts the price but Probo need to source</x:v>
      </x:c>
    </x:row>
    <x:row r="912" ht="30" customHeight="1">
      <x:c r="A912" s="117" t="str">
        <x:v>Create_Souring_from_Pricing</x:v>
      </x:c>
      <x:c r="B912" s="117" t="str">
        <x:v>3005b000000LJQkAAO</x:v>
      </x:c>
      <x:c r="C912" s="117" t="str">
        <x:v>3015b000000AQEjAAO</x:v>
      </x:c>
      <x:c r="D912" s="118" t="n">
        <x:v>23</x:v>
      </x:c>
      <x:c r="E912" s="117" t="str">
        <x:v>Obsolete</x:v>
      </x:c>
      <x:c r="F912" s="117" t="str">
        <x:v>No</x:v>
      </x:c>
      <x:c r="G912" s="117" t="str">
        <x:v>No</x:v>
      </x:c>
      <x:c r="H912" s="117" t="str">
        <x:v>Flow</x:v>
      </x:c>
      <x:c r="I912" s="118" t="n">
        <x:v>58</x:v>
      </x:c>
      <x:c r="J912" s="117" t="str">
        <x:v>unmanaged</x:v>
      </x:c>
      <x:c r="K912" s="123" t="b">
        <x:v>0</x:v>
      </x:c>
      <x:c r="L912" s="117"/>
      <x:c r="M912" s="118"/>
      <x:c r="N912" s="120" t="n">
        <x:v>45152.672476851854</x:v>
      </x:c>
      <x:c r="O912" s="117" t="str">
        <x:v>Jon Kean</x:v>
      </x:c>
      <x:c r="P912" s="120" t="n">
        <x:v>45152.672534722224</x:v>
      </x:c>
      <x:c r="Q912" s="117" t="str">
        <x:v>Jon Kean</x:v>
      </x:c>
      <x:c r="R912" s="117" t="str">
        <x:v>Create Souring from Pricing</x:v>
      </x:c>
      <x:c r="S912" s="119" t="str">
        <x:v>Used for UK when the customer accepts the price but Probo need to source</x:v>
      </x:c>
    </x:row>
    <x:row r="913" ht="30" customHeight="1">
      <x:c r="A913" s="117" t="str">
        <x:v>Create_Souring_from_Pricing</x:v>
      </x:c>
      <x:c r="B913" s="117" t="str">
        <x:v>3005b000000LJQkAAO</x:v>
      </x:c>
      <x:c r="C913" s="117" t="str">
        <x:v>3015b000000AQEoAAO</x:v>
      </x:c>
      <x:c r="D913" s="118" t="n">
        <x:v>24</x:v>
      </x:c>
      <x:c r="E913" s="117" t="str">
        <x:v>Obsolete</x:v>
      </x:c>
      <x:c r="F913" s="117" t="str">
        <x:v>No</x:v>
      </x:c>
      <x:c r="G913" s="117" t="str">
        <x:v>No</x:v>
      </x:c>
      <x:c r="H913" s="117" t="str">
        <x:v>Flow</x:v>
      </x:c>
      <x:c r="I913" s="118" t="n">
        <x:v>58</x:v>
      </x:c>
      <x:c r="J913" s="117" t="str">
        <x:v>unmanaged</x:v>
      </x:c>
      <x:c r="K913" s="123" t="b">
        <x:v>0</x:v>
      </x:c>
      <x:c r="L913" s="117"/>
      <x:c r="M913" s="118"/>
      <x:c r="N913" s="120" t="n">
        <x:v>45152.67449074074</x:v>
      </x:c>
      <x:c r="O913" s="117" t="str">
        <x:v>Jon Kean</x:v>
      </x:c>
      <x:c r="P913" s="120" t="n">
        <x:v>45152.67453703703</x:v>
      </x:c>
      <x:c r="Q913" s="117" t="str">
        <x:v>Jon Kean</x:v>
      </x:c>
      <x:c r="R913" s="117" t="str">
        <x:v>Create Souring from Pricing</x:v>
      </x:c>
      <x:c r="S913" s="119" t="str">
        <x:v>Used for UK when the customer accepts the price but Probo need to source</x:v>
      </x:c>
    </x:row>
    <x:row r="914" ht="30" customHeight="1">
      <x:c r="A914" s="117" t="str">
        <x:v>Create_Souring_from_Pricing</x:v>
      </x:c>
      <x:c r="B914" s="117" t="str">
        <x:v>3005b000000LJQkAAO</x:v>
      </x:c>
      <x:c r="C914" s="117" t="str">
        <x:v>301Ro00000U27trIAB</x:v>
      </x:c>
      <x:c r="D914" s="118" t="n">
        <x:v>25</x:v>
      </x:c>
      <x:c r="E914" s="117" t="str">
        <x:v>Obsolete</x:v>
      </x:c>
      <x:c r="F914" s="117" t="str">
        <x:v>No</x:v>
      </x:c>
      <x:c r="G914" s="117" t="str">
        <x:v>No</x:v>
      </x:c>
      <x:c r="H914" s="117" t="str">
        <x:v>Flow</x:v>
      </x:c>
      <x:c r="I914" s="118" t="n">
        <x:v>58</x:v>
      </x:c>
      <x:c r="J914" s="117" t="str">
        <x:v>unmanaged</x:v>
      </x:c>
      <x:c r="K914" s="123" t="b">
        <x:v>0</x:v>
      </x:c>
      <x:c r="L914" s="117"/>
      <x:c r="M914" s="118"/>
      <x:c r="N914" s="120" t="n">
        <x:v>45702.60559027778</x:v>
      </x:c>
      <x:c r="O914" s="117" t="str">
        <x:v>Delegate</x:v>
      </x:c>
      <x:c r="P914" s="120" t="n">
        <x:v>45702.60564814815</x:v>
      </x:c>
      <x:c r="Q914" s="117" t="str">
        <x:v>Delegate</x:v>
      </x:c>
      <x:c r="R914" s="117" t="str">
        <x:v>Create Souring from Pricing</x:v>
      </x:c>
      <x:c r="S914" s="119" t="str">
        <x:v>02/13/2025 (BW) - Updated so that service appointment transfers over and the associated Sourcing Request is written back onto the pricing request</x:v>
      </x:c>
    </x:row>
    <x:row r="915" ht="30" customHeight="1">
      <x:c r="A915" s="117" t="str">
        <x:v>Create_Souring_from_Pricing</x:v>
      </x:c>
      <x:c r="B915" s="117" t="str">
        <x:v>3005b000000LJQkAAO</x:v>
      </x:c>
      <x:c r="C915" s="117" t="str">
        <x:v>301Ro00000UI2i2IAD</x:v>
      </x:c>
      <x:c r="D915" s="118" t="n">
        <x:v>26</x:v>
      </x:c>
      <x:c r="E915" s="117" t="str">
        <x:v>Obsolete</x:v>
      </x:c>
      <x:c r="F915" s="117" t="str">
        <x:v>No</x:v>
      </x:c>
      <x:c r="G915" s="117" t="str">
        <x:v>No</x:v>
      </x:c>
      <x:c r="H915" s="117" t="str">
        <x:v>Flow</x:v>
      </x:c>
      <x:c r="I915" s="118" t="n">
        <x:v>58</x:v>
      </x:c>
      <x:c r="J915" s="117" t="str">
        <x:v>unmanaged</x:v>
      </x:c>
      <x:c r="K915" s="123" t="b">
        <x:v>0</x:v>
      </x:c>
      <x:c r="L915" s="117"/>
      <x:c r="M915" s="118"/>
      <x:c r="N915" s="120" t="n">
        <x:v>45707.62024305556</x:v>
      </x:c>
      <x:c r="O915" s="117" t="str">
        <x:v>Delegate</x:v>
      </x:c>
      <x:c r="P915" s="120" t="n">
        <x:v>45707.620300925926</x:v>
      </x:c>
      <x:c r="Q915" s="117" t="str">
        <x:v>Delegate</x:v>
      </x:c>
      <x:c r="R915" s="117" t="str">
        <x:v>Create Souring from Pricing</x:v>
      </x:c>
      <x:c r="S915" s="119" t="str">
        <x:v>02/13/2025 (BW) - Updated so that service appointment transfers over and the associated Sourcing Request is written back onto the pricing request</x:v>
      </x:c>
    </x:row>
    <x:row r="916" ht="30" customHeight="1">
      <x:c r="A916" s="117" t="str">
        <x:v>Create_Souring_from_Pricing</x:v>
      </x:c>
      <x:c r="B916" s="117" t="str">
        <x:v>3005b000000LJQkAAO</x:v>
      </x:c>
      <x:c r="C916" s="117" t="str">
        <x:v>301Ro00000UYuTAIA1</x:v>
      </x:c>
      <x:c r="D916" s="118" t="n">
        <x:v>27</x:v>
      </x:c>
      <x:c r="E916" s="117" t="str">
        <x:v>Obsolete</x:v>
      </x:c>
      <x:c r="F916" s="117" t="str">
        <x:v>No</x:v>
      </x:c>
      <x:c r="G916" s="117" t="str">
        <x:v>No</x:v>
      </x:c>
      <x:c r="H916" s="117" t="str">
        <x:v>Flow</x:v>
      </x:c>
      <x:c r="I916" s="118" t="n">
        <x:v>58</x:v>
      </x:c>
      <x:c r="J916" s="117" t="str">
        <x:v>unmanaged</x:v>
      </x:c>
      <x:c r="K916" s="123" t="b">
        <x:v>0</x:v>
      </x:c>
      <x:c r="L916" s="117"/>
      <x:c r="M916" s="118"/>
      <x:c r="N916" s="120" t="n">
        <x:v>45712.50166666666</x:v>
      </x:c>
      <x:c r="O916" s="117" t="str">
        <x:v>Delegate</x:v>
      </x:c>
      <x:c r="P916" s="120" t="n">
        <x:v>45712.501805555556</x:v>
      </x:c>
      <x:c r="Q916" s="117" t="str">
        <x:v>Delegate</x:v>
      </x:c>
      <x:c r="R916" s="117" t="str">
        <x:v>Create Souring from Pricing</x:v>
      </x:c>
      <x:c r="S916" s="119" t="str">
        <x:v>02/24/2025 (BW) - Updates the service appointment so the status is set to "Awaiting Parts" when the sourcing request is created</x:v>
      </x:c>
    </x:row>
    <x:row r="917" ht="30" customHeight="1">
      <x:c r="A917" s="117" t="str">
        <x:v>Create_Souring_from_Pricing</x:v>
      </x:c>
      <x:c r="B917" s="117" t="str">
        <x:v>3005b000000LJQkAAO</x:v>
      </x:c>
      <x:c r="C917" s="117" t="str">
        <x:v>301Ro00000d44mbIAA</x:v>
      </x:c>
      <x:c r="D917" s="118" t="n">
        <x:v>28</x:v>
      </x:c>
      <x:c r="E917" s="117" t="str">
        <x:v>Obsolete</x:v>
      </x:c>
      <x:c r="F917" s="117" t="str">
        <x:v>No</x:v>
      </x:c>
      <x:c r="G917" s="117" t="str">
        <x:v>No</x:v>
      </x:c>
      <x:c r="H917" s="117" t="str">
        <x:v>Flow</x:v>
      </x:c>
      <x:c r="I917" s="118" t="n">
        <x:v>58</x:v>
      </x:c>
      <x:c r="J917" s="117" t="str">
        <x:v>unmanaged</x:v>
      </x:c>
      <x:c r="K917" s="123" t="b">
        <x:v>0</x:v>
      </x:c>
      <x:c r="L917" s="117"/>
      <x:c r="M917" s="118"/>
      <x:c r="N917" s="120" t="n">
        <x:v>45835.83322916667</x:v>
      </x:c>
      <x:c r="O917" s="117" t="str">
        <x:v>Sacha Pearce</x:v>
      </x:c>
      <x:c r="P917" s="120" t="n">
        <x:v>45835.83332175926</x:v>
      </x:c>
      <x:c r="Q917" s="117" t="str">
        <x:v>Sacha Pearce</x:v>
      </x:c>
      <x:c r="R917" s="117" t="str">
        <x:v>Create Souring from Pricing</x:v>
      </x:c>
      <x:c r="S917" s="119" t="str">
        <x:v>02/24/2025 (BW) - Updates the service appointment so the status is set to "Awaiting Parts" when the sourcing request is created
06/27/2025 - SP - Updated Status to go to "Internal" instead of "Awaiting Parts".</x:v>
      </x:c>
    </x:row>
    <x:row r="918" ht="30" customHeight="1">
      <x:c r="A918" s="117" t="str">
        <x:v>Create_Souring_from_Pricing</x:v>
      </x:c>
      <x:c r="B918" s="117" t="str">
        <x:v>3005b000000LJQkAAO</x:v>
      </x:c>
      <x:c r="C918" s="117" t="str">
        <x:v>301Ro00000z6GF6IAM</x:v>
      </x:c>
      <x:c r="D918" s="118" t="n">
        <x:v>29</x:v>
      </x:c>
      <x:c r="E918" s="117" t="str">
        <x:v>Active</x:v>
      </x:c>
      <x:c r="F918" s="117" t="str">
        <x:v>Yes</x:v>
      </x:c>
      <x:c r="G918" s="117" t="str">
        <x:v>Yes</x:v>
      </x:c>
      <x:c r="H918" s="117" t="str">
        <x:v>Flow</x:v>
      </x:c>
      <x:c r="I918" s="118" t="n">
        <x:v>58</x:v>
      </x:c>
      <x:c r="J918" s="117" t="str">
        <x:v>unmanaged</x:v>
      </x:c>
      <x:c r="K918" s="123" t="b">
        <x:v>0</x:v>
      </x:c>
      <x:c r="L918" s="117" t="str">
        <x:v>SystemModeWithoutSharing</x:v>
      </x:c>
      <x:c r="M918" s="118"/>
      <x:c r="N918" s="120" t="n">
        <x:v>46077.66385416667</x:v>
      </x:c>
      <x:c r="O918" s="117" t="str">
        <x:v>Sacha Pearce</x:v>
      </x:c>
      <x:c r="P918" s="120" t="n">
        <x:v>46077.66392361111</x:v>
      </x:c>
      <x:c r="Q918" s="117" t="str">
        <x:v>Sacha Pearce</x:v>
      </x:c>
      <x:c r="R918" s="117" t="str">
        <x:v>Create Souring from Pricing</x:v>
      </x:c>
      <x:c r="S918" s="119" t="str">
        <x:v>24/02/2026 - SP - Updaing Flow to run in system context</x:v>
      </x:c>
    </x:row>
    <x:row r="919" ht="30" customHeight="1">
      <x:c r="A919" s="117" t="str">
        <x:v>Create_Support_Engineer_Site_Visit</x:v>
      </x:c>
      <x:c r="B919" s="117" t="str">
        <x:v>300Ro00000UxU46IAF</x:v>
      </x:c>
      <x:c r="C919" s="117" t="str">
        <x:v>301Ro00000Y79atIAB</x:v>
      </x:c>
      <x:c r="D919" s="118" t="n">
        <x:v>1</x:v>
      </x:c>
      <x:c r="E919" s="117" t="str">
        <x:v>Obsolete</x:v>
      </x:c>
      <x:c r="F919" s="117" t="str">
        <x:v>No</x:v>
      </x:c>
      <x:c r="G919" s="117" t="str">
        <x:v>No</x:v>
      </x:c>
      <x:c r="H919" s="117" t="str">
        <x:v>Flow</x:v>
      </x:c>
      <x:c r="I919" s="118" t="n">
        <x:v>63</x:v>
      </x:c>
      <x:c r="J919" s="117" t="str">
        <x:v>unmanaged</x:v>
      </x:c>
      <x:c r="K919" s="123" t="b">
        <x:v>0</x:v>
      </x:c>
      <x:c r="L919" s="117"/>
      <x:c r="M919" s="118"/>
      <x:c r="N919" s="120" t="n">
        <x:v>45775.48710648148</x:v>
      </x:c>
      <x:c r="O919" s="117" t="str">
        <x:v>Delegate</x:v>
      </x:c>
      <x:c r="P919" s="120" t="n">
        <x:v>45775.48719907407</x:v>
      </x:c>
      <x:c r="Q919" s="117" t="str">
        <x:v>Delegate</x:v>
      </x:c>
      <x:c r="R919" s="117" t="str">
        <x:v>Create Support Engineer Site Visit</x:v>
      </x:c>
      <x:c r="S919" s="119" t="str">
        <x:v>04/18/2025 (BW) - Allows a FSL Dispatch User to add in a Support Engineer Visit</x:v>
      </x:c>
    </x:row>
    <x:row r="920" ht="30" customHeight="1">
      <x:c r="A920" s="117" t="str">
        <x:v>Create_Support_Engineer_Site_Visit</x:v>
      </x:c>
      <x:c r="B920" s="117" t="str">
        <x:v>300Ro00000UxU46IAF</x:v>
      </x:c>
      <x:c r="C920" s="117" t="str">
        <x:v>301Ro00000YHb7hIAD</x:v>
      </x:c>
      <x:c r="D920" s="118" t="n">
        <x:v>2</x:v>
      </x:c>
      <x:c r="E920" s="117" t="str">
        <x:v>Obsolete</x:v>
      </x:c>
      <x:c r="F920" s="117" t="str">
        <x:v>No</x:v>
      </x:c>
      <x:c r="G920" s="117" t="str">
        <x:v>No</x:v>
      </x:c>
      <x:c r="H920" s="117" t="str">
        <x:v>Flow</x:v>
      </x:c>
      <x:c r="I920" s="118" t="n">
        <x:v>63</x:v>
      </x:c>
      <x:c r="J920" s="117" t="str">
        <x:v>unmanaged</x:v>
      </x:c>
      <x:c r="K920" s="123" t="b">
        <x:v>0</x:v>
      </x:c>
      <x:c r="L920" s="117"/>
      <x:c r="M920" s="118"/>
      <x:c r="N920" s="120" t="n">
        <x:v>45777.61366898148</x:v>
      </x:c>
      <x:c r="O920" s="117" t="str">
        <x:v>Delegate</x:v>
      </x:c>
      <x:c r="P920" s="120" t="n">
        <x:v>45777.614282407405</x:v>
      </x:c>
      <x:c r="Q920" s="117" t="str">
        <x:v>Delegate</x:v>
      </x:c>
      <x:c r="R920" s="117" t="str">
        <x:v>Create Support Engineer Site Visit</x:v>
      </x:c>
      <x:c r="S920" s="119" t="str">
        <x:v>04/30/2025 (BW) - Updated the link from pointing to the sandbox to pointing to production</x:v>
      </x:c>
    </x:row>
    <x:row r="921" ht="30" customHeight="1">
      <x:c r="A921" s="117" t="str">
        <x:v>Create_Support_Engineer_Site_Visit</x:v>
      </x:c>
      <x:c r="B921" s="117" t="str">
        <x:v>300Ro00000UxU46IAF</x:v>
      </x:c>
      <x:c r="C921" s="117" t="str">
        <x:v>301Ro000016On8VIAS</x:v>
      </x:c>
      <x:c r="D921" s="118" t="n">
        <x:v>3</x:v>
      </x:c>
      <x:c r="E921" s="117" t="str">
        <x:v>Obsolete</x:v>
      </x:c>
      <x:c r="F921" s="117" t="str">
        <x:v>No</x:v>
      </x:c>
      <x:c r="G921" s="117" t="str">
        <x:v>No</x:v>
      </x:c>
      <x:c r="H921" s="117" t="str">
        <x:v>Flow</x:v>
      </x:c>
      <x:c r="I921" s="118" t="n">
        <x:v>63</x:v>
      </x:c>
      <x:c r="J921" s="117" t="str">
        <x:v>unmanaged</x:v>
      </x:c>
      <x:c r="K921" s="123" t="b">
        <x:v>0</x:v>
      </x:c>
      <x:c r="L921" s="117"/>
      <x:c r="M921" s="118"/>
      <x:c r="N921" s="120" t="n">
        <x:v>46164.39380787037</x:v>
      </x:c>
      <x:c r="O921" s="117" t="str">
        <x:v>Sacha Pearce</x:v>
      </x:c>
      <x:c r="P921" s="120" t="n">
        <x:v>46164.39387731482</x:v>
      </x:c>
      <x:c r="Q921" s="117" t="str">
        <x:v>Sacha Pearce</x:v>
      </x:c>
      <x:c r="R921" s="117" t="str">
        <x:v>Create Support Engineer Site Visit</x:v>
      </x:c>
      <x:c r="S921" s="119" t="str">
        <x:v>22/05/2026 - SP - Setting "varSAToInsert &gt; Record Type ID" to be the retrieved Service Appointment's Record Type ID.</x:v>
      </x:c>
    </x:row>
    <x:row r="922" ht="30" customHeight="1">
      <x:c r="A922" s="117" t="str">
        <x:v>Create_Support_Engineer_Site_Visit</x:v>
      </x:c>
      <x:c r="B922" s="117" t="str">
        <x:v>300Ro00000UxU46IAF</x:v>
      </x:c>
      <x:c r="C922" s="117" t="str">
        <x:v>301Ro000016PioJIAS</x:v>
      </x:c>
      <x:c r="D922" s="118" t="n">
        <x:v>4</x:v>
      </x:c>
      <x:c r="E922" s="117" t="str">
        <x:v>Obsolete</x:v>
      </x:c>
      <x:c r="F922" s="117" t="str">
        <x:v>No</x:v>
      </x:c>
      <x:c r="G922" s="117" t="str">
        <x:v>No</x:v>
      </x:c>
      <x:c r="H922" s="117" t="str">
        <x:v>Flow</x:v>
      </x:c>
      <x:c r="I922" s="118" t="n">
        <x:v>63</x:v>
      </x:c>
      <x:c r="J922" s="117" t="str">
        <x:v>unmanaged</x:v>
      </x:c>
      <x:c r="K922" s="123" t="b">
        <x:v>0</x:v>
      </x:c>
      <x:c r="L922" s="117"/>
      <x:c r="M922" s="118"/>
      <x:c r="N922" s="120" t="n">
        <x:v>46164.5225</x:v>
      </x:c>
      <x:c r="O922" s="117" t="str">
        <x:v>Delegate</x:v>
      </x:c>
      <x:c r="P922" s="120" t="n">
        <x:v>46164.523043981484</x:v>
      </x:c>
      <x:c r="Q922" s="117" t="str">
        <x:v>Delegate</x:v>
      </x:c>
      <x:c r="R922" s="117" t="str">
        <x:v>Create Support Engineer Site Visit</x:v>
      </x:c>
      <x:c r="S922" s="119" t="str">
        <x:v>05/22/2026 (BW) - Updated flow to contain new SA reference so system doesn't break when adding a new service appointment</x:v>
      </x:c>
    </x:row>
    <x:row r="923" ht="30" customHeight="1">
      <x:c r="A923" s="117" t="str">
        <x:v>Create_Support_Engineer_Site_Visit</x:v>
      </x:c>
      <x:c r="B923" s="117" t="str">
        <x:v>300Ro00000UxU46IAF</x:v>
      </x:c>
      <x:c r="C923" s="117" t="str">
        <x:v>301Ro000018sOElIAM</x:v>
      </x:c>
      <x:c r="D923" s="118" t="n">
        <x:v>5</x:v>
      </x:c>
      <x:c r="E923" s="117" t="str">
        <x:v>Active</x:v>
      </x:c>
      <x:c r="F923" s="117" t="str">
        <x:v>Yes</x:v>
      </x:c>
      <x:c r="G923" s="117" t="str">
        <x:v>Yes</x:v>
      </x:c>
      <x:c r="H923" s="117" t="str">
        <x:v>Flow</x:v>
      </x:c>
      <x:c r="I923" s="118" t="n">
        <x:v>63</x:v>
      </x:c>
      <x:c r="J923" s="117" t="str">
        <x:v>unmanaged</x:v>
      </x:c>
      <x:c r="K923" s="123" t="b">
        <x:v>0</x:v>
      </x:c>
      <x:c r="L923" s="117"/>
      <x:c r="M923" s="118"/>
      <x:c r="N923" s="120" t="n">
        <x:v>46191.37583333333</x:v>
      </x:c>
      <x:c r="O923" s="117" t="str">
        <x:v>Sacha Pearce</x:v>
      </x:c>
      <x:c r="P923" s="120" t="n">
        <x:v>46191.375914351855</x:v>
      </x:c>
      <x:c r="Q923" s="117" t="str">
        <x:v>Sacha Pearce</x:v>
      </x:c>
      <x:c r="R923" s="117" t="str">
        <x:v>Create Support Engineer Site Visit</x:v>
      </x:c>
      <x:c r="S923" s="119" t="str">
        <x:v>18/06/2026 - SP - Updating to pull the "Location of Equipment" from the retrieved Service Appointment.</x:v>
      </x:c>
    </x:row>
    <x:row r="924" ht="30" customHeight="1">
      <x:c r="A924" s="117" t="str">
        <x:v>Create_UK_FSL_Work_Order</x:v>
      </x:c>
      <x:c r="B924" s="117" t="str">
        <x:v>300Ro00000H90tUIAR</x:v>
      </x:c>
      <x:c r="C924" s="117" t="str">
        <x:v>301Ro00000Io2EXIAZ</x:v>
      </x:c>
      <x:c r="D924" s="118" t="n">
        <x:v>1</x:v>
      </x:c>
      <x:c r="E924" s="117" t="str">
        <x:v>Obsolete</x:v>
      </x:c>
      <x:c r="F924" s="117" t="str">
        <x:v>No</x:v>
      </x:c>
      <x:c r="G924" s="117" t="str">
        <x:v>No</x:v>
      </x:c>
      <x:c r="H924" s="117" t="str">
        <x:v>Flow</x:v>
      </x:c>
      <x:c r="I924" s="118" t="n">
        <x:v>61</x:v>
      </x:c>
      <x:c r="J924" s="117" t="str">
        <x:v>unmanaged</x:v>
      </x:c>
      <x:c r="K924" s="123" t="b">
        <x:v>0</x:v>
      </x:c>
      <x:c r="L924" s="117" t="str">
        <x:v>SystemModeWithoutSharing</x:v>
      </x:c>
      <x:c r="M924" s="118"/>
      <x:c r="N924" s="120" t="n">
        <x:v>45514.79315972222</x:v>
      </x:c>
      <x:c r="O924" s="117" t="str">
        <x:v>Delegate</x:v>
      </x:c>
      <x:c r="P924" s="120" t="n">
        <x:v>45514.79332175926</x:v>
      </x:c>
      <x:c r="Q924" s="117" t="str">
        <x:v>Delegate</x:v>
      </x:c>
      <x:c r="R924" s="117" t="str">
        <x:v>Create UK FSL Work Order</x:v>
      </x:c>
      <x:c r="S924" s="119" t="str">
        <x:v>07/11/24 (BW) - Updated screen node to contain a better showing of information</x:v>
      </x:c>
    </x:row>
    <x:row r="925" ht="30" customHeight="1">
      <x:c r="A925" s="117" t="str">
        <x:v>Create_UK_FSL_Work_Order</x:v>
      </x:c>
      <x:c r="B925" s="117" t="str">
        <x:v>300Ro00000H90tUIAR</x:v>
      </x:c>
      <x:c r="C925" s="117" t="str">
        <x:v>301Ro00000IoIPZIA3</x:v>
      </x:c>
      <x:c r="D925" s="118" t="n">
        <x:v>2</x:v>
      </x:c>
      <x:c r="E925" s="117" t="str">
        <x:v>Obsolete</x:v>
      </x:c>
      <x:c r="F925" s="117" t="str">
        <x:v>No</x:v>
      </x:c>
      <x:c r="G925" s="117" t="str">
        <x:v>No</x:v>
      </x:c>
      <x:c r="H925" s="117" t="str">
        <x:v>Flow</x:v>
      </x:c>
      <x:c r="I925" s="118" t="n">
        <x:v>61</x:v>
      </x:c>
      <x:c r="J925" s="117" t="str">
        <x:v>unmanaged</x:v>
      </x:c>
      <x:c r="K925" s="123" t="b">
        <x:v>0</x:v>
      </x:c>
      <x:c r="L925" s="117" t="str">
        <x:v>SystemModeWithoutSharing</x:v>
      </x:c>
      <x:c r="M925" s="118"/>
      <x:c r="N925" s="120" t="n">
        <x:v>45514.89709490741</x:v>
      </x:c>
      <x:c r="O925" s="117" t="str">
        <x:v>Delegate</x:v>
      </x:c>
      <x:c r="P925" s="120" t="n">
        <x:v>45514.897372685184</x:v>
      </x:c>
      <x:c r="Q925" s="117" t="str">
        <x:v>Delegate</x:v>
      </x:c>
      <x:c r="R925" s="117" t="str">
        <x:v>Create UK FSL Work Order</x:v>
      </x:c>
      <x:c r="S925" s="119" t="str">
        <x:v>V2 RT Update
07/11/24 (BW) - Updated screen node to contain a better showing of information</x:v>
      </x:c>
    </x:row>
    <x:row r="926" ht="30" customHeight="1">
      <x:c r="A926" s="117" t="str">
        <x:v>Create_UK_FSL_Work_Order</x:v>
      </x:c>
      <x:c r="B926" s="117" t="str">
        <x:v>300Ro00000H90tUIAR</x:v>
      </x:c>
      <x:c r="C926" s="117" t="str">
        <x:v>301Ro00000IpdqrIAB</x:v>
      </x:c>
      <x:c r="D926" s="118" t="n">
        <x:v>3</x:v>
      </x:c>
      <x:c r="E926" s="117" t="str">
        <x:v>Obsolete</x:v>
      </x:c>
      <x:c r="F926" s="117" t="str">
        <x:v>No</x:v>
      </x:c>
      <x:c r="G926" s="117" t="str">
        <x:v>No</x:v>
      </x:c>
      <x:c r="H926" s="117" t="str">
        <x:v>Flow</x:v>
      </x:c>
      <x:c r="I926" s="118" t="n">
        <x:v>61</x:v>
      </x:c>
      <x:c r="J926" s="117" t="str">
        <x:v>unmanaged</x:v>
      </x:c>
      <x:c r="K926" s="123" t="b">
        <x:v>0</x:v>
      </x:c>
      <x:c r="L926" s="117" t="str">
        <x:v>SystemModeWithoutSharing</x:v>
      </x:c>
      <x:c r="M926" s="118"/>
      <x:c r="N926" s="120" t="n">
        <x:v>45515.64954861111</x:v>
      </x:c>
      <x:c r="O926" s="117" t="str">
        <x:v>Delegate</x:v>
      </x:c>
      <x:c r="P926" s="120" t="n">
        <x:v>45515.64959490741</x:v>
      </x:c>
      <x:c r="Q926" s="117" t="str">
        <x:v>Delegate</x:v>
      </x:c>
      <x:c r="R926" s="117" t="str">
        <x:v>Create UK FSL Work Order</x:v>
      </x:c>
      <x:c r="S926" s="119" t="str">
        <x:v>V2 RT Update
07/11/24 (BW) - Updated screen node to contain a better showing of information</x:v>
      </x:c>
    </x:row>
    <x:row r="927" ht="30" customHeight="1">
      <x:c r="A927" s="117" t="str">
        <x:v>Create_UK_FSL_Work_Order</x:v>
      </x:c>
      <x:c r="B927" s="117" t="str">
        <x:v>300Ro00000H90tUIAR</x:v>
      </x:c>
      <x:c r="C927" s="117" t="str">
        <x:v>301Ro00000Ir437IAB</x:v>
      </x:c>
      <x:c r="D927" s="118" t="n">
        <x:v>4</x:v>
      </x:c>
      <x:c r="E927" s="117" t="str">
        <x:v>Obsolete</x:v>
      </x:c>
      <x:c r="F927" s="117" t="str">
        <x:v>No</x:v>
      </x:c>
      <x:c r="G927" s="117" t="str">
        <x:v>No</x:v>
      </x:c>
      <x:c r="H927" s="117" t="str">
        <x:v>Flow</x:v>
      </x:c>
      <x:c r="I927" s="118" t="n">
        <x:v>61</x:v>
      </x:c>
      <x:c r="J927" s="117" t="str">
        <x:v>unmanaged</x:v>
      </x:c>
      <x:c r="K927" s="123" t="b">
        <x:v>0</x:v>
      </x:c>
      <x:c r="L927" s="117" t="str">
        <x:v>SystemModeWithoutSharing</x:v>
      </x:c>
      <x:c r="M927" s="118"/>
      <x:c r="N927" s="120" t="n">
        <x:v>45516.30789351852</x:v>
      </x:c>
      <x:c r="O927" s="117" t="str">
        <x:v>Delegate</x:v>
      </x:c>
      <x:c r="P927" s="120" t="n">
        <x:v>45516.30793981482</x:v>
      </x:c>
      <x:c r="Q927" s="117" t="str">
        <x:v>Delegate</x:v>
      </x:c>
      <x:c r="R927" s="117" t="str">
        <x:v>Create UK FSL Work Order</x:v>
      </x:c>
      <x:c r="S927" s="119" t="str">
        <x:v>V2 RT Update
07/11/24 (BW) - Updated screen node to contain a better showing of information</x:v>
      </x:c>
    </x:row>
    <x:row r="928" ht="30" customHeight="1">
      <x:c r="A928" s="117" t="str">
        <x:v>Create_UK_FSL_Work_Order</x:v>
      </x:c>
      <x:c r="B928" s="117" t="str">
        <x:v>300Ro00000H90tUIAR</x:v>
      </x:c>
      <x:c r="C928" s="117" t="str">
        <x:v>301Ro00000Iqs1ZIAR</x:v>
      </x:c>
      <x:c r="D928" s="118" t="n">
        <x:v>5</x:v>
      </x:c>
      <x:c r="E928" s="117" t="str">
        <x:v>Obsolete</x:v>
      </x:c>
      <x:c r="F928" s="117" t="str">
        <x:v>No</x:v>
      </x:c>
      <x:c r="G928" s="117" t="str">
        <x:v>No</x:v>
      </x:c>
      <x:c r="H928" s="117" t="str">
        <x:v>Flow</x:v>
      </x:c>
      <x:c r="I928" s="118" t="n">
        <x:v>61</x:v>
      </x:c>
      <x:c r="J928" s="117" t="str">
        <x:v>unmanaged</x:v>
      </x:c>
      <x:c r="K928" s="123" t="b">
        <x:v>0</x:v>
      </x:c>
      <x:c r="L928" s="117" t="str">
        <x:v>SystemModeWithoutSharing</x:v>
      </x:c>
      <x:c r="M928" s="118"/>
      <x:c r="N928" s="120" t="n">
        <x:v>45516.30803240741</x:v>
      </x:c>
      <x:c r="O928" s="117" t="str">
        <x:v>Delegate</x:v>
      </x:c>
      <x:c r="P928" s="120" t="n">
        <x:v>45516.30819444444</x:v>
      </x:c>
      <x:c r="Q928" s="117" t="str">
        <x:v>Delegate</x:v>
      </x:c>
      <x:c r="R928" s="117" t="str">
        <x:v>Create UK FSL Work Order</x:v>
      </x:c>
      <x:c r="S928" s="119" t="str">
        <x:v>V2 RT Update
07/11/24 (BW) - Updated screen node to contain a better showing of information</x:v>
      </x:c>
    </x:row>
    <x:row r="929" ht="30" customHeight="1">
      <x:c r="A929" s="117" t="str">
        <x:v>Create_UK_FSL_Work_Order</x:v>
      </x:c>
      <x:c r="B929" s="117" t="str">
        <x:v>300Ro00000H90tUIAR</x:v>
      </x:c>
      <x:c r="C929" s="117" t="str">
        <x:v>301Ro00000T3mVeIAJ</x:v>
      </x:c>
      <x:c r="D929" s="118" t="n">
        <x:v>6</x:v>
      </x:c>
      <x:c r="E929" s="117" t="str">
        <x:v>Obsolete</x:v>
      </x:c>
      <x:c r="F929" s="117" t="str">
        <x:v>No</x:v>
      </x:c>
      <x:c r="G929" s="117" t="str">
        <x:v>No</x:v>
      </x:c>
      <x:c r="H929" s="117" t="str">
        <x:v>Flow</x:v>
      </x:c>
      <x:c r="I929" s="118" t="n">
        <x:v>61</x:v>
      </x:c>
      <x:c r="J929" s="117" t="str">
        <x:v>unmanaged</x:v>
      </x:c>
      <x:c r="K929" s="123" t="b">
        <x:v>0</x:v>
      </x:c>
      <x:c r="L929" s="117" t="str">
        <x:v>SystemModeWithoutSharing</x:v>
      </x:c>
      <x:c r="M929" s="118"/>
      <x:c r="N929" s="120" t="n">
        <x:v>45687.55030092593</x:v>
      </x:c>
      <x:c r="O929" s="117" t="str">
        <x:v>Delegate</x:v>
      </x:c>
      <x:c r="P929" s="120" t="n">
        <x:v>45687.550358796296</x:v>
      </x:c>
      <x:c r="Q929" s="117" t="str">
        <x:v>Delegate</x:v>
      </x:c>
      <x:c r="R929" s="117" t="str">
        <x:v>Create UK FSL Work Order</x:v>
      </x:c>
      <x:c r="S929" s="119" t="str">
        <x:v>01/30/2025 (BW) - Updated to include a Subject line in the UK FSL Work Order Creation screen so the team can enter a subject and description</x:v>
      </x:c>
    </x:row>
    <x:row r="930" ht="30" customHeight="1">
      <x:c r="A930" s="117" t="str">
        <x:v>Create_UK_FSL_Work_Order</x:v>
      </x:c>
      <x:c r="B930" s="117" t="str">
        <x:v>300Ro00000H90tUIAR</x:v>
      </x:c>
      <x:c r="C930" s="117" t="str">
        <x:v>301Ro00000VCUqBIAX</x:v>
      </x:c>
      <x:c r="D930" s="118" t="n">
        <x:v>7</x:v>
      </x:c>
      <x:c r="E930" s="117" t="str">
        <x:v>Obsolete</x:v>
      </x:c>
      <x:c r="F930" s="117" t="str">
        <x:v>No</x:v>
      </x:c>
      <x:c r="G930" s="117" t="str">
        <x:v>No</x:v>
      </x:c>
      <x:c r="H930" s="117" t="str">
        <x:v>Flow</x:v>
      </x:c>
      <x:c r="I930" s="118" t="n">
        <x:v>61</x:v>
      </x:c>
      <x:c r="J930" s="117" t="str">
        <x:v>unmanaged</x:v>
      </x:c>
      <x:c r="K930" s="123" t="b">
        <x:v>0</x:v>
      </x:c>
      <x:c r="L930" s="117" t="str">
        <x:v>SystemModeWithoutSharing</x:v>
      </x:c>
      <x:c r="M930" s="118"/>
      <x:c r="N930" s="120" t="n">
        <x:v>45722.63689814815</x:v>
      </x:c>
      <x:c r="O930" s="117" t="str">
        <x:v>Delegate</x:v>
      </x:c>
      <x:c r="P930" s="120" t="n">
        <x:v>45722.636979166666</x:v>
      </x:c>
      <x:c r="Q930" s="117" t="str">
        <x:v>Delegate</x:v>
      </x:c>
      <x:c r="R930" s="117" t="str">
        <x:v>Create UK FSL Work Order</x:v>
      </x:c>
      <x:c r="S930" s="119" t="str">
        <x:v>03/06/2025 (BW) - Updated the labels of the tech support call option to be easier to identify</x:v>
      </x:c>
    </x:row>
    <x:row r="931" ht="30" customHeight="1">
      <x:c r="A931" s="117" t="str">
        <x:v>Create_UK_FSL_Work_Order</x:v>
      </x:c>
      <x:c r="B931" s="117" t="str">
        <x:v>300Ro00000H90tUIAR</x:v>
      </x:c>
      <x:c r="C931" s="117" t="str">
        <x:v>301Ro00000VOCL9IAP</x:v>
      </x:c>
      <x:c r="D931" s="118" t="n">
        <x:v>8</x:v>
      </x:c>
      <x:c r="E931" s="117" t="str">
        <x:v>Obsolete</x:v>
      </x:c>
      <x:c r="F931" s="117" t="str">
        <x:v>No</x:v>
      </x:c>
      <x:c r="G931" s="117" t="str">
        <x:v>No</x:v>
      </x:c>
      <x:c r="H931" s="117" t="str">
        <x:v>Flow</x:v>
      </x:c>
      <x:c r="I931" s="118" t="n">
        <x:v>61</x:v>
      </x:c>
      <x:c r="J931" s="117" t="str">
        <x:v>unmanaged</x:v>
      </x:c>
      <x:c r="K931" s="123" t="b">
        <x:v>0</x:v>
      </x:c>
      <x:c r="L931" s="117" t="str">
        <x:v>SystemModeWithoutSharing</x:v>
      </x:c>
      <x:c r="M931" s="118"/>
      <x:c r="N931" s="120" t="n">
        <x:v>45726.498460648145</x:v>
      </x:c>
      <x:c r="O931" s="117" t="str">
        <x:v>Delegate</x:v>
      </x:c>
      <x:c r="P931" s="120" t="n">
        <x:v>45726.49854166667</x:v>
      </x:c>
      <x:c r="Q931" s="117" t="str">
        <x:v>Delegate</x:v>
      </x:c>
      <x:c r="R931" s="117" t="str">
        <x:v>Create UK FSL Work Order</x:v>
      </x:c>
      <x:c r="S931" s="119" t="str">
        <x:v>03/10/2025 (BW) - Created 3 Paths so that this button always creates a service appointment when used</x:v>
      </x:c>
    </x:row>
    <x:row r="932" ht="30" customHeight="1">
      <x:c r="A932" s="117" t="str">
        <x:v>Create_UK_FSL_Work_Order</x:v>
      </x:c>
      <x:c r="B932" s="117" t="str">
        <x:v>300Ro00000H90tUIAR</x:v>
      </x:c>
      <x:c r="C932" s="117" t="str">
        <x:v>301Ro00000VOJ2vIAH</x:v>
      </x:c>
      <x:c r="D932" s="118" t="n">
        <x:v>9</x:v>
      </x:c>
      <x:c r="E932" s="117" t="str">
        <x:v>Obsolete</x:v>
      </x:c>
      <x:c r="F932" s="117" t="str">
        <x:v>No</x:v>
      </x:c>
      <x:c r="G932" s="117" t="str">
        <x:v>No</x:v>
      </x:c>
      <x:c r="H932" s="117" t="str">
        <x:v>Flow</x:v>
      </x:c>
      <x:c r="I932" s="118" t="n">
        <x:v>61</x:v>
      </x:c>
      <x:c r="J932" s="117" t="str">
        <x:v>unmanaged</x:v>
      </x:c>
      <x:c r="K932" s="123" t="b">
        <x:v>0</x:v>
      </x:c>
      <x:c r="L932" s="117" t="str">
        <x:v>SystemModeWithoutSharing</x:v>
      </x:c>
      <x:c r="M932" s="118"/>
      <x:c r="N932" s="120" t="n">
        <x:v>45726.510104166664</x:v>
      </x:c>
      <x:c r="O932" s="117" t="str">
        <x:v>Delegate</x:v>
      </x:c>
      <x:c r="P932" s="120" t="n">
        <x:v>45726.510196759256</x:v>
      </x:c>
      <x:c r="Q932" s="117" t="str">
        <x:v>Delegate</x:v>
      </x:c>
      <x:c r="R932" s="117" t="str">
        <x:v>Create UK FSL Work Order</x:v>
      </x:c>
      <x:c r="S932" s="119" t="str">
        <x:v>03/10/2025 (BW) - Added a decision to set the work order record type as directed by the initial creation</x:v>
      </x:c>
    </x:row>
    <x:row r="933" ht="30" customHeight="1">
      <x:c r="A933" s="117" t="str">
        <x:v>Create_UK_FSL_Work_Order</x:v>
      </x:c>
      <x:c r="B933" s="117" t="str">
        <x:v>300Ro00000H90tUIAR</x:v>
      </x:c>
      <x:c r="C933" s="117" t="str">
        <x:v>301Ro00000VOMH1IAP</x:v>
      </x:c>
      <x:c r="D933" s="118" t="n">
        <x:v>10</x:v>
      </x:c>
      <x:c r="E933" s="117" t="str">
        <x:v>Obsolete</x:v>
      </x:c>
      <x:c r="F933" s="117" t="str">
        <x:v>No</x:v>
      </x:c>
      <x:c r="G933" s="117" t="str">
        <x:v>No</x:v>
      </x:c>
      <x:c r="H933" s="117" t="str">
        <x:v>Flow</x:v>
      </x:c>
      <x:c r="I933" s="118" t="n">
        <x:v>61</x:v>
      </x:c>
      <x:c r="J933" s="117" t="str">
        <x:v>unmanaged</x:v>
      </x:c>
      <x:c r="K933" s="123" t="b">
        <x:v>0</x:v>
      </x:c>
      <x:c r="L933" s="117" t="str">
        <x:v>SystemModeWithoutSharing</x:v>
      </x:c>
      <x:c r="M933" s="118"/>
      <x:c r="N933" s="120" t="n">
        <x:v>45726.544224537036</x:v>
      </x:c>
      <x:c r="O933" s="117" t="str">
        <x:v>Delegate</x:v>
      </x:c>
      <x:c r="P933" s="120" t="n">
        <x:v>45726.54435185185</x:v>
      </x:c>
      <x:c r="Q933" s="117" t="str">
        <x:v>Delegate</x:v>
      </x:c>
      <x:c r="R933" s="117" t="str">
        <x:v>Create UK FSL Work Order</x:v>
      </x:c>
      <x:c r="S933" s="119" t="str">
        <x:v>03/10/2025 (BW) - Sets the Intended Start Date/Time upon creation of the service appointment</x:v>
      </x:c>
    </x:row>
    <x:row r="934" ht="30" customHeight="1">
      <x:c r="A934" s="117" t="str">
        <x:v>Create_UK_FSL_Work_Order</x:v>
      </x:c>
      <x:c r="B934" s="117" t="str">
        <x:v>300Ro00000H90tUIAR</x:v>
      </x:c>
      <x:c r="C934" s="117" t="str">
        <x:v>301Ro00000XAFIwIAP</x:v>
      </x:c>
      <x:c r="D934" s="118" t="n">
        <x:v>11</x:v>
      </x:c>
      <x:c r="E934" s="117" t="str">
        <x:v>Obsolete</x:v>
      </x:c>
      <x:c r="F934" s="117" t="str">
        <x:v>No</x:v>
      </x:c>
      <x:c r="G934" s="117" t="str">
        <x:v>No</x:v>
      </x:c>
      <x:c r="H934" s="117" t="str">
        <x:v>Flow</x:v>
      </x:c>
      <x:c r="I934" s="118" t="n">
        <x:v>61</x:v>
      </x:c>
      <x:c r="J934" s="117" t="str">
        <x:v>unmanaged</x:v>
      </x:c>
      <x:c r="K934" s="123" t="b">
        <x:v>0</x:v>
      </x:c>
      <x:c r="L934" s="117" t="str">
        <x:v>SystemModeWithoutSharing</x:v>
      </x:c>
      <x:c r="M934" s="118"/>
      <x:c r="N934" s="120" t="n">
        <x:v>45757.474444444444</x:v>
      </x:c>
      <x:c r="O934" s="117" t="str">
        <x:v>Delegate</x:v>
      </x:c>
      <x:c r="P934" s="120" t="n">
        <x:v>45757.47456018518</x:v>
      </x:c>
      <x:c r="Q934" s="117" t="str">
        <x:v>Delegate</x:v>
      </x:c>
      <x:c r="R934" s="117" t="str">
        <x:v>Create UK FSL Work Order</x:v>
      </x:c>
      <x:c r="S934" s="119" t="str">
        <x:v>04/10/2025 (BW) - Added a link to the first SA so they can go right to the service appointment as well.</x:v>
      </x:c>
    </x:row>
    <x:row r="935" ht="30" customHeight="1">
      <x:c r="A935" s="117" t="str">
        <x:v>Create_UK_FSL_Work_Order</x:v>
      </x:c>
      <x:c r="B935" s="117" t="str">
        <x:v>300Ro00000H90tUIAR</x:v>
      </x:c>
      <x:c r="C935" s="117" t="str">
        <x:v>301Ro00000XvbshIAB</x:v>
      </x:c>
      <x:c r="D935" s="118" t="n">
        <x:v>12</x:v>
      </x:c>
      <x:c r="E935" s="117" t="str">
        <x:v>Obsolete</x:v>
      </x:c>
      <x:c r="F935" s="117" t="str">
        <x:v>No</x:v>
      </x:c>
      <x:c r="G935" s="117" t="str">
        <x:v>No</x:v>
      </x:c>
      <x:c r="H935" s="117" t="str">
        <x:v>Flow</x:v>
      </x:c>
      <x:c r="I935" s="118" t="n">
        <x:v>61</x:v>
      </x:c>
      <x:c r="J935" s="117" t="str">
        <x:v>unmanaged</x:v>
      </x:c>
      <x:c r="K935" s="123" t="b">
        <x:v>0</x:v>
      </x:c>
      <x:c r="L935" s="117" t="str">
        <x:v>SystemModeWithoutSharing</x:v>
      </x:c>
      <x:c r="M935" s="118"/>
      <x:c r="N935" s="120" t="n">
        <x:v>45771.54121527778</x:v>
      </x:c>
      <x:c r="O935" s="117" t="str">
        <x:v>Delegate</x:v>
      </x:c>
      <x:c r="P935" s="120" t="n">
        <x:v>45771.54246527778</x:v>
      </x:c>
      <x:c r="Q935" s="117" t="str">
        <x:v>Delegate</x:v>
      </x:c>
      <x:c r="R935" s="117" t="str">
        <x:v>Create UK FSL Work Order</x:v>
      </x:c>
      <x:c r="S935" s="119" t="str">
        <x:v>04/24/2025 (BW) - Added the Description to go into the reported symptoms as well</x:v>
      </x:c>
    </x:row>
    <x:row r="936" ht="30" customHeight="1">
      <x:c r="A936" s="117" t="str">
        <x:v>Create_UK_FSL_Work_Order</x:v>
      </x:c>
      <x:c r="B936" s="117" t="str">
        <x:v>300Ro00000H90tUIAR</x:v>
      </x:c>
      <x:c r="C936" s="117" t="str">
        <x:v>301Ro00000YHCsaIAH</x:v>
      </x:c>
      <x:c r="D936" s="118" t="n">
        <x:v>13</x:v>
      </x:c>
      <x:c r="E936" s="117" t="str">
        <x:v>Obsolete</x:v>
      </x:c>
      <x:c r="F936" s="117" t="str">
        <x:v>No</x:v>
      </x:c>
      <x:c r="G936" s="117" t="str">
        <x:v>No</x:v>
      </x:c>
      <x:c r="H936" s="117" t="str">
        <x:v>Flow</x:v>
      </x:c>
      <x:c r="I936" s="118" t="n">
        <x:v>61</x:v>
      </x:c>
      <x:c r="J936" s="117" t="str">
        <x:v>unmanaged</x:v>
      </x:c>
      <x:c r="K936" s="123" t="b">
        <x:v>0</x:v>
      </x:c>
      <x:c r="L936" s="117" t="str">
        <x:v>SystemModeWithoutSharing</x:v>
      </x:c>
      <x:c r="M936" s="118"/>
      <x:c r="N936" s="120" t="n">
        <x:v>45777.573483796295</x:v>
      </x:c>
      <x:c r="O936" s="117" t="str">
        <x:v>Delegate</x:v>
      </x:c>
      <x:c r="P936" s="120" t="n">
        <x:v>45777.57362268519</x:v>
      </x:c>
      <x:c r="Q936" s="117" t="str">
        <x:v>Delegate</x:v>
      </x:c>
      <x:c r="R936" s="117" t="str">
        <x:v>Create UK FSL Work Order</x:v>
      </x:c>
      <x:c r="S936" s="119" t="str">
        <x:v>04/30/2025 (BW) - Added the Ship Type of "Check Service Appointment for Details"</x:v>
      </x:c>
    </x:row>
    <x:row r="937" ht="30" customHeight="1">
      <x:c r="A937" s="117" t="str">
        <x:v>Create_UK_FSL_Work_Order</x:v>
      </x:c>
      <x:c r="B937" s="117" t="str">
        <x:v>300Ro00000H90tUIAR</x:v>
      </x:c>
      <x:c r="C937" s="117" t="str">
        <x:v>301Ro00000Yg6NKIAZ</x:v>
      </x:c>
      <x:c r="D937" s="118" t="n">
        <x:v>14</x:v>
      </x:c>
      <x:c r="E937" s="117" t="str">
        <x:v>Obsolete</x:v>
      </x:c>
      <x:c r="F937" s="117" t="str">
        <x:v>No</x:v>
      </x:c>
      <x:c r="G937" s="117" t="str">
        <x:v>No</x:v>
      </x:c>
      <x:c r="H937" s="117" t="str">
        <x:v>Flow</x:v>
      </x:c>
      <x:c r="I937" s="118" t="n">
        <x:v>61</x:v>
      </x:c>
      <x:c r="J937" s="117" t="str">
        <x:v>unmanaged</x:v>
      </x:c>
      <x:c r="K937" s="123" t="b">
        <x:v>0</x:v>
      </x:c>
      <x:c r="L937" s="117" t="str">
        <x:v>SystemModeWithoutSharing</x:v>
      </x:c>
      <x:c r="M937" s="118"/>
      <x:c r="N937" s="120" t="n">
        <x:v>45784.51200231481</x:v>
      </x:c>
      <x:c r="O937" s="117" t="str">
        <x:v>Delegate</x:v>
      </x:c>
      <x:c r="P937" s="120" t="n">
        <x:v>45784.512094907404</x:v>
      </x:c>
      <x:c r="Q937" s="117" t="str">
        <x:v>Delegate</x:v>
      </x:c>
      <x:c r="R937" s="117" t="str">
        <x:v>Create UK FSL Work Order</x:v>
      </x:c>
      <x:c r="S937" s="119" t="str">
        <x:v>05/07/2025 (BW) - Updated so that this pulls through the VAT exemption from the account</x:v>
      </x:c>
    </x:row>
    <x:row r="938" ht="30" customHeight="1">
      <x:c r="A938" s="117" t="str">
        <x:v>Create_UK_FSL_Work_Order</x:v>
      </x:c>
      <x:c r="B938" s="117" t="str">
        <x:v>300Ro00000H90tUIAR</x:v>
      </x:c>
      <x:c r="C938" s="117" t="str">
        <x:v>301Ro00000jf5wHIAQ</x:v>
      </x:c>
      <x:c r="D938" s="118" t="n">
        <x:v>15</x:v>
      </x:c>
      <x:c r="E938" s="117" t="str">
        <x:v>Active</x:v>
      </x:c>
      <x:c r="F938" s="117" t="str">
        <x:v>Yes</x:v>
      </x:c>
      <x:c r="G938" s="117" t="str">
        <x:v>Yes</x:v>
      </x:c>
      <x:c r="H938" s="117" t="str">
        <x:v>Flow</x:v>
      </x:c>
      <x:c r="I938" s="118" t="n">
        <x:v>61</x:v>
      </x:c>
      <x:c r="J938" s="117" t="str">
        <x:v>unmanaged</x:v>
      </x:c>
      <x:c r="K938" s="123" t="b">
        <x:v>0</x:v>
      </x:c>
      <x:c r="L938" s="117" t="str">
        <x:v>SystemModeWithoutSharing</x:v>
      </x:c>
      <x:c r="M938" s="118"/>
      <x:c r="N938" s="120" t="n">
        <x:v>45896.338125</x:v>
      </x:c>
      <x:c r="O938" s="117" t="str">
        <x:v>Sacha Pearce</x:v>
      </x:c>
      <x:c r="P938" s="120" t="n">
        <x:v>45896.33824074074</x:v>
      </x:c>
      <x:c r="Q938" s="117" t="str">
        <x:v>Sacha Pearce</x:v>
      </x:c>
      <x:c r="R938" s="117" t="str">
        <x:v>Create UK FSL Work Order</x:v>
      </x:c>
      <x:c r="S938" s="119" t="str">
        <x:v>05/07/2025 (BW) - Updated so that this pulls through the VAT exemption from the account
08/27/2025 (SP) - Added Contract Line Item to equal Work Order &gt; Contract Line Item &gt; Contract Line Item ID in Service Appointment generation. This has change has been made and tested in Sandbox</x:v>
      </x:c>
    </x:row>
    <x:row r="939" ht="30" customHeight="1">
      <x:c r="A939" s="117" t="str">
        <x:v>Create_UK_Warehouse_Request_Teams_Case_Screen_Flow</x:v>
      </x:c>
      <x:c r="B939" s="117" t="str">
        <x:v>300Ro000011vzqVIAQ</x:v>
      </x:c>
      <x:c r="C939" s="117" t="str">
        <x:v>301Ro00001AXLygIAH</x:v>
      </x:c>
      <x:c r="D939" s="118" t="n">
        <x:v>1</x:v>
      </x:c>
      <x:c r="E939" s="117" t="str">
        <x:v>Active</x:v>
      </x:c>
      <x:c r="F939" s="117" t="str">
        <x:v>Yes</x:v>
      </x:c>
      <x:c r="G939" s="117" t="str">
        <x:v>Yes</x:v>
      </x:c>
      <x:c r="H939" s="117" t="str">
        <x:v>Flow</x:v>
      </x:c>
      <x:c r="I939" s="118" t="n">
        <x:v>67</x:v>
      </x:c>
      <x:c r="J939" s="117" t="str">
        <x:v>unmanaged</x:v>
      </x:c>
      <x:c r="K939" s="123" t="b">
        <x:v>0</x:v>
      </x:c>
      <x:c r="L939" s="117"/>
      <x:c r="M939" s="118"/>
      <x:c r="N939" s="120" t="n">
        <x:v>46210.36568287037</x:v>
      </x:c>
      <x:c r="O939" s="117" t="str">
        <x:v>Sacha Pearce</x:v>
      </x:c>
      <x:c r="P939" s="120" t="n">
        <x:v>46210.37236111111</x:v>
      </x:c>
      <x:c r="Q939" s="117" t="str">
        <x:v>Sacha Pearce</x:v>
      </x:c>
      <x:c r="R939" s="117" t="str">
        <x:v>Create UK Warehouse Request Teams Case - Screen Flow</x:v>
      </x:c>
      <x:c r="S939" s="119"/>
    </x:row>
    <x:row r="940" ht="30" customHeight="1">
      <x:c r="A940" s="117" t="str">
        <x:v>Create_US_FSL_Work_Order</x:v>
      </x:c>
      <x:c r="B940" s="117" t="str">
        <x:v>300Ro00000cwVgiIAE</x:v>
      </x:c>
      <x:c r="C940" s="117" t="str">
        <x:v>301Ro00000iXAs8IAG</x:v>
      </x:c>
      <x:c r="D940" s="118" t="n">
        <x:v>1</x:v>
      </x:c>
      <x:c r="E940" s="117" t="str">
        <x:v>Active</x:v>
      </x:c>
      <x:c r="F940" s="117" t="str">
        <x:v>Yes</x:v>
      </x:c>
      <x:c r="G940" s="117" t="str">
        <x:v>Yes</x:v>
      </x:c>
      <x:c r="H940" s="117" t="str">
        <x:v>Flow</x:v>
      </x:c>
      <x:c r="I940" s="118" t="n">
        <x:v>61</x:v>
      </x:c>
      <x:c r="J940" s="117" t="str">
        <x:v>unmanaged</x:v>
      </x:c>
      <x:c r="K940" s="123" t="b">
        <x:v>0</x:v>
      </x:c>
      <x:c r="L940" s="117" t="str">
        <x:v>SystemModeWithoutSharing</x:v>
      </x:c>
      <x:c r="M940" s="118"/>
      <x:c r="N940" s="120" t="n">
        <x:v>45884.74864583334</x:v>
      </x:c>
      <x:c r="O940" s="117" t="str">
        <x:v>Delegate</x:v>
      </x:c>
      <x:c r="P940" s="120" t="n">
        <x:v>45888.79111111111</x:v>
      </x:c>
      <x:c r="Q940" s="117" t="str">
        <x:v>Delegate</x:v>
      </x:c>
      <x:c r="R940" s="117" t="str">
        <x:v>Create US FSL Work Order from CLI</x:v>
      </x:c>
      <x:c r="S940" s="119"/>
    </x:row>
    <x:row r="941" ht="30" customHeight="1">
      <x:c r="A941" s="117" t="str">
        <x:v>Create_US_FSL_Work_Order_From_Service_Asset</x:v>
      </x:c>
      <x:c r="B941" s="117" t="str">
        <x:v>300Ro00000cwVgjIAE</x:v>
      </x:c>
      <x:c r="C941" s="117" t="str">
        <x:v>301Ro00000iXAs9IAG</x:v>
      </x:c>
      <x:c r="D941" s="118" t="n">
        <x:v>1</x:v>
      </x:c>
      <x:c r="E941" s="117" t="str">
        <x:v>Active</x:v>
      </x:c>
      <x:c r="F941" s="117" t="str">
        <x:v>Yes</x:v>
      </x:c>
      <x:c r="G941" s="117" t="str">
        <x:v>Yes</x:v>
      </x:c>
      <x:c r="H941" s="117" t="str">
        <x:v>Flow</x:v>
      </x:c>
      <x:c r="I941" s="118" t="n">
        <x:v>61</x:v>
      </x:c>
      <x:c r="J941" s="117" t="str">
        <x:v>unmanaged</x:v>
      </x:c>
      <x:c r="K941" s="123" t="b">
        <x:v>0</x:v>
      </x:c>
      <x:c r="L941" s="117" t="str">
        <x:v>SystemModeWithoutSharing</x:v>
      </x:c>
      <x:c r="M941" s="118"/>
      <x:c r="N941" s="120" t="n">
        <x:v>45884.74864583334</x:v>
      </x:c>
      <x:c r="O941" s="117" t="str">
        <x:v>Delegate</x:v>
      </x:c>
      <x:c r="P941" s="120" t="n">
        <x:v>45888.79148148148</x:v>
      </x:c>
      <x:c r="Q941" s="117" t="str">
        <x:v>Delegate</x:v>
      </x:c>
      <x:c r="R941" s="117" t="str">
        <x:v>Create US FSL Work Order From Service Asset</x:v>
      </x:c>
      <x:c r="S941" s="119"/>
    </x:row>
    <x:row r="942" ht="30" customHeight="1">
      <x:c r="A942" s="117" t="str">
        <x:v>Create_Warranty</x:v>
      </x:c>
      <x:c r="B942" s="117" t="str">
        <x:v>3004O000000XhBDQA0</x:v>
      </x:c>
      <x:c r="C942" s="117" t="str">
        <x:v>3014O000000YB8RQAW</x:v>
      </x:c>
      <x:c r="D942" s="118" t="n">
        <x:v>1</x:v>
      </x:c>
      <x:c r="E942" s="117" t="str">
        <x:v>Draft</x:v>
      </x:c>
      <x:c r="F942" s="117" t="str">
        <x:v>No</x:v>
      </x:c>
      <x:c r="G942" s="117" t="str">
        <x:v>Yes</x:v>
      </x:c>
      <x:c r="H942" s="117" t="str">
        <x:v>Flow</x:v>
      </x:c>
      <x:c r="I942" s="118" t="n">
        <x:v>51</x:v>
      </x:c>
      <x:c r="J942" s="117" t="str">
        <x:v>unmanaged</x:v>
      </x:c>
      <x:c r="K942" s="123" t="b">
        <x:v>0</x:v>
      </x:c>
      <x:c r="L942" s="117"/>
      <x:c r="M942" s="118"/>
      <x:c r="N942" s="120" t="n">
        <x:v>44315.83315972222</x:v>
      </x:c>
      <x:c r="O942" s="117" t="str">
        <x:v>Delegate</x:v>
      </x:c>
      <x:c r="P942" s="120" t="n">
        <x:v>44315.83325231481</x:v>
      </x:c>
      <x:c r="Q942" s="117" t="str">
        <x:v>Delegate</x:v>
      </x:c>
      <x:c r="R942" s="117" t="str">
        <x:v>Create Warranty</x:v>
      </x:c>
      <x:c r="S942" s="119"/>
    </x:row>
    <x:row r="943" ht="30" customHeight="1">
      <x:c r="A943" s="117" t="str">
        <x:v>Create_Warranty_Auto</x:v>
      </x:c>
      <x:c r="B943" s="117" t="str">
        <x:v>3004O000000XhBEQA0</x:v>
      </x:c>
      <x:c r="C943" s="117" t="str">
        <x:v>3014O000000YB8SQAW</x:v>
      </x:c>
      <x:c r="D943" s="118" t="n">
        <x:v>1</x:v>
      </x:c>
      <x:c r="E943" s="117" t="str">
        <x:v>Draft</x:v>
      </x:c>
      <x:c r="F943" s="117" t="str">
        <x:v>No</x:v>
      </x:c>
      <x:c r="G943" s="117" t="str">
        <x:v>Yes</x:v>
      </x:c>
      <x:c r="H943" s="117" t="str">
        <x:v>AutoLaunchedFlow</x:v>
      </x:c>
      <x:c r="I943" s="118" t="n">
        <x:v>51</x:v>
      </x:c>
      <x:c r="J943" s="117" t="str">
        <x:v>unmanaged</x:v>
      </x:c>
      <x:c r="K943" s="123" t="b">
        <x:v>0</x:v>
      </x:c>
      <x:c r="L943" s="117"/>
      <x:c r="M943" s="118"/>
      <x:c r="N943" s="120" t="n">
        <x:v>44315.83315972222</x:v>
      </x:c>
      <x:c r="O943" s="117" t="str">
        <x:v>Delegate</x:v>
      </x:c>
      <x:c r="P943" s="120" t="n">
        <x:v>44315.83319444444</x:v>
      </x:c>
      <x:c r="Q943" s="117" t="str">
        <x:v>Delegate</x:v>
      </x:c>
      <x:c r="R943" s="117" t="str">
        <x:v>Create Warranty Auto</x:v>
      </x:c>
      <x:c r="S943" s="119" t="str">
        <x:v>Automatically creates a Warranty when conditions are met</x:v>
      </x:c>
    </x:row>
    <x:row r="944" ht="30" customHeight="1">
      <x:c r="A944" s="117" t="str">
        <x:v>Create_Warranty_Claim</x:v>
      </x:c>
      <x:c r="B944" s="117" t="str">
        <x:v>3004O000000XhBFQA0</x:v>
      </x:c>
      <x:c r="C944" s="117" t="str">
        <x:v>3014O000000YB8TQAW</x:v>
      </x:c>
      <x:c r="D944" s="118" t="n">
        <x:v>1</x:v>
      </x:c>
      <x:c r="E944" s="117" t="str">
        <x:v>Draft</x:v>
      </x:c>
      <x:c r="F944" s="117" t="str">
        <x:v>No</x:v>
      </x:c>
      <x:c r="G944" s="117" t="str">
        <x:v>Yes</x:v>
      </x:c>
      <x:c r="H944" s="117" t="str">
        <x:v>Flow</x:v>
      </x:c>
      <x:c r="I944" s="118" t="n">
        <x:v>51</x:v>
      </x:c>
      <x:c r="J944" s="117" t="str">
        <x:v>unmanaged</x:v>
      </x:c>
      <x:c r="K944" s="123" t="b">
        <x:v>0</x:v>
      </x:c>
      <x:c r="L944" s="117"/>
      <x:c r="M944" s="118"/>
      <x:c r="N944" s="120" t="n">
        <x:v>44315.83319444444</x:v>
      </x:c>
      <x:c r="O944" s="117" t="str">
        <x:v>Delegate</x:v>
      </x:c>
      <x:c r="P944" s="120" t="n">
        <x:v>44315.83319444444</x:v>
      </x:c>
      <x:c r="Q944" s="117" t="str">
        <x:v>Delegate</x:v>
      </x:c>
      <x:c r="R944" s="117" t="str">
        <x:v>Create Warranty Claim</x:v>
      </x:c>
      <x:c r="S944" s="119"/>
    </x:row>
    <x:row r="945" ht="30" customHeight="1">
      <x:c r="A945" s="117" t="str">
        <x:v>Create_Work_Order_From_Contract_Line_Item</x:v>
      </x:c>
      <x:c r="B945" s="117" t="str">
        <x:v>3005b000000H3dpAAC</x:v>
      </x:c>
      <x:c r="C945" s="117" t="str">
        <x:v>3015b000000EIp8AAG</x:v>
      </x:c>
      <x:c r="D945" s="118" t="n">
        <x:v>1</x:v>
      </x:c>
      <x:c r="E945" s="117" t="str">
        <x:v>Obsolete</x:v>
      </x:c>
      <x:c r="F945" s="117" t="str">
        <x:v>No</x:v>
      </x:c>
      <x:c r="G945" s="117" t="str">
        <x:v>No</x:v>
      </x:c>
      <x:c r="H945" s="117" t="str">
        <x:v>Flow</x:v>
      </x:c>
      <x:c r="I945" s="118" t="n">
        <x:v>54</x:v>
      </x:c>
      <x:c r="J945" s="117" t="str">
        <x:v>unmanaged</x:v>
      </x:c>
      <x:c r="K945" s="123" t="b">
        <x:v>0</x:v>
      </x:c>
      <x:c r="L945" s="117"/>
      <x:c r="M945" s="118"/>
      <x:c r="N945" s="120" t="n">
        <x:v>44656.41280092593</x:v>
      </x:c>
      <x:c r="O945" s="117" t="str">
        <x:v>Jace Gentil</x:v>
      </x:c>
      <x:c r="P945" s="120" t="n">
        <x:v>44656.412835648145</x:v>
      </x:c>
      <x:c r="Q945" s="117" t="str">
        <x:v>Jace Gentil</x:v>
      </x:c>
      <x:c r="R945" s="117" t="str">
        <x:v>Create Work Order From Contract Line Item</x:v>
      </x:c>
      <x:c r="S945" s="119"/>
    </x:row>
    <x:row r="946" ht="30" customHeight="1">
      <x:c r="A946" s="117" t="str">
        <x:v>Create_Work_Order_From_Contract_Line_Item</x:v>
      </x:c>
      <x:c r="B946" s="117" t="str">
        <x:v>3005b000000H3dpAAC</x:v>
      </x:c>
      <x:c r="C946" s="117" t="str">
        <x:v>3015b000000EIpIAAW</x:v>
      </x:c>
      <x:c r="D946" s="118" t="n">
        <x:v>2</x:v>
      </x:c>
      <x:c r="E946" s="117" t="str">
        <x:v>Obsolete</x:v>
      </x:c>
      <x:c r="F946" s="117" t="str">
        <x:v>No</x:v>
      </x:c>
      <x:c r="G946" s="117" t="str">
        <x:v>No</x:v>
      </x:c>
      <x:c r="H946" s="117" t="str">
        <x:v>Flow</x:v>
      </x:c>
      <x:c r="I946" s="118" t="n">
        <x:v>54</x:v>
      </x:c>
      <x:c r="J946" s="117" t="str">
        <x:v>unmanaged</x:v>
      </x:c>
      <x:c r="K946" s="123" t="b">
        <x:v>0</x:v>
      </x:c>
      <x:c r="L946" s="117"/>
      <x:c r="M946" s="118"/>
      <x:c r="N946" s="120" t="n">
        <x:v>44656.51210648148</x:v>
      </x:c>
      <x:c r="O946" s="117" t="str">
        <x:v>Jace Gentil</x:v>
      </x:c>
      <x:c r="P946" s="120" t="n">
        <x:v>44656.512141203704</x:v>
      </x:c>
      <x:c r="Q946" s="117" t="str">
        <x:v>Jace Gentil</x:v>
      </x:c>
      <x:c r="R946" s="117" t="str">
        <x:v>Create Work Order From Contract Line Item</x:v>
      </x:c>
      <x:c r="S946" s="119"/>
    </x:row>
    <x:row r="947" ht="30" customHeight="1">
      <x:c r="A947" s="117" t="str">
        <x:v>Create_Work_Order_From_Contract_Line_Item</x:v>
      </x:c>
      <x:c r="B947" s="117" t="str">
        <x:v>3005b000000H3dpAAC</x:v>
      </x:c>
      <x:c r="C947" s="117" t="str">
        <x:v>3015b000000EIpXAAW</x:v>
      </x:c>
      <x:c r="D947" s="118" t="n">
        <x:v>3</x:v>
      </x:c>
      <x:c r="E947" s="117" t="str">
        <x:v>Obsolete</x:v>
      </x:c>
      <x:c r="F947" s="117" t="str">
        <x:v>No</x:v>
      </x:c>
      <x:c r="G947" s="117" t="str">
        <x:v>No</x:v>
      </x:c>
      <x:c r="H947" s="117" t="str">
        <x:v>Flow</x:v>
      </x:c>
      <x:c r="I947" s="118" t="n">
        <x:v>54</x:v>
      </x:c>
      <x:c r="J947" s="117" t="str">
        <x:v>unmanaged</x:v>
      </x:c>
      <x:c r="K947" s="123" t="b">
        <x:v>0</x:v>
      </x:c>
      <x:c r="L947" s="117"/>
      <x:c r="M947" s="118"/>
      <x:c r="N947" s="120" t="n">
        <x:v>44656.52824074074</x:v>
      </x:c>
      <x:c r="O947" s="117" t="str">
        <x:v>Jace Gentil</x:v>
      </x:c>
      <x:c r="P947" s="120" t="n">
        <x:v>44656.528287037036</x:v>
      </x:c>
      <x:c r="Q947" s="117" t="str">
        <x:v>Jace Gentil</x:v>
      </x:c>
      <x:c r="R947" s="117" t="str">
        <x:v>Create Work Order From Contract Line Item</x:v>
      </x:c>
      <x:c r="S947" s="119"/>
    </x:row>
    <x:row r="948" ht="30" customHeight="1">
      <x:c r="A948" s="117" t="str">
        <x:v>Create_Work_Order_From_Contract_Line_Item</x:v>
      </x:c>
      <x:c r="B948" s="117" t="str">
        <x:v>3005b000000H3dpAAC</x:v>
      </x:c>
      <x:c r="C948" s="117" t="str">
        <x:v>3015b000000EJpEAAW</x:v>
      </x:c>
      <x:c r="D948" s="118" t="n">
        <x:v>4</x:v>
      </x:c>
      <x:c r="E948" s="117" t="str">
        <x:v>Obsolete</x:v>
      </x:c>
      <x:c r="F948" s="117" t="str">
        <x:v>No</x:v>
      </x:c>
      <x:c r="G948" s="117" t="str">
        <x:v>No</x:v>
      </x:c>
      <x:c r="H948" s="117" t="str">
        <x:v>Flow</x:v>
      </x:c>
      <x:c r="I948" s="118" t="n">
        <x:v>54</x:v>
      </x:c>
      <x:c r="J948" s="117" t="str">
        <x:v>unmanaged</x:v>
      </x:c>
      <x:c r="K948" s="123" t="b">
        <x:v>0</x:v>
      </x:c>
      <x:c r="L948" s="117"/>
      <x:c r="M948" s="118"/>
      <x:c r="N948" s="120" t="n">
        <x:v>44700.663402777776</x:v>
      </x:c>
      <x:c r="O948" s="117" t="str">
        <x:v>Jace Gentil</x:v>
      </x:c>
      <x:c r="P948" s="120" t="n">
        <x:v>44700.6634375</x:v>
      </x:c>
      <x:c r="Q948" s="117" t="str">
        <x:v>Jace Gentil</x:v>
      </x:c>
      <x:c r="R948" s="117" t="str">
        <x:v>Create Work Order From Contract Line Item</x:v>
      </x:c>
      <x:c r="S948" s="119"/>
    </x:row>
    <x:row r="949" ht="30" customHeight="1">
      <x:c r="A949" s="117" t="str">
        <x:v>Create_Work_Order_From_Contract_Line_Item</x:v>
      </x:c>
      <x:c r="B949" s="117" t="str">
        <x:v>3005b000000H3dpAAC</x:v>
      </x:c>
      <x:c r="C949" s="117" t="str">
        <x:v>3015b000000EJpJAAW</x:v>
      </x:c>
      <x:c r="D949" s="118" t="n">
        <x:v>5</x:v>
      </x:c>
      <x:c r="E949" s="117" t="str">
        <x:v>Obsolete</x:v>
      </x:c>
      <x:c r="F949" s="117" t="str">
        <x:v>No</x:v>
      </x:c>
      <x:c r="G949" s="117" t="str">
        <x:v>No</x:v>
      </x:c>
      <x:c r="H949" s="117" t="str">
        <x:v>Flow</x:v>
      </x:c>
      <x:c r="I949" s="118" t="n">
        <x:v>54</x:v>
      </x:c>
      <x:c r="J949" s="117" t="str">
        <x:v>unmanaged</x:v>
      </x:c>
      <x:c r="K949" s="123" t="b">
        <x:v>0</x:v>
      </x:c>
      <x:c r="L949" s="117"/>
      <x:c r="M949" s="118"/>
      <x:c r="N949" s="120" t="n">
        <x:v>44700.665671296294</x:v>
      </x:c>
      <x:c r="O949" s="117" t="str">
        <x:v>Jace Gentil</x:v>
      </x:c>
      <x:c r="P949" s="120" t="n">
        <x:v>44700.66570601852</x:v>
      </x:c>
      <x:c r="Q949" s="117" t="str">
        <x:v>Jace Gentil</x:v>
      </x:c>
      <x:c r="R949" s="117" t="str">
        <x:v>Create Work Order From Contract Line Item</x:v>
      </x:c>
      <x:c r="S949" s="119"/>
    </x:row>
    <x:row r="950" ht="30" customHeight="1">
      <x:c r="A950" s="117" t="str">
        <x:v>Create_Work_Order_From_Contract_Line_Item</x:v>
      </x:c>
      <x:c r="B950" s="117" t="str">
        <x:v>3005b000000H3dpAAC</x:v>
      </x:c>
      <x:c r="C950" s="117" t="str">
        <x:v>3015b000000EJsXAAW</x:v>
      </x:c>
      <x:c r="D950" s="118" t="n">
        <x:v>6</x:v>
      </x:c>
      <x:c r="E950" s="117" t="str">
        <x:v>Obsolete</x:v>
      </x:c>
      <x:c r="F950" s="117" t="str">
        <x:v>No</x:v>
      </x:c>
      <x:c r="G950" s="117" t="str">
        <x:v>No</x:v>
      </x:c>
      <x:c r="H950" s="117" t="str">
        <x:v>Flow</x:v>
      </x:c>
      <x:c r="I950" s="118" t="n">
        <x:v>54</x:v>
      </x:c>
      <x:c r="J950" s="117" t="str">
        <x:v>unmanaged</x:v>
      </x:c>
      <x:c r="K950" s="123" t="b">
        <x:v>0</x:v>
      </x:c>
      <x:c r="L950" s="117"/>
      <x:c r="M950" s="118"/>
      <x:c r="N950" s="120" t="n">
        <x:v>44701.64135416667</x:v>
      </x:c>
      <x:c r="O950" s="117" t="str">
        <x:v>Jace Gentil</x:v>
      </x:c>
      <x:c r="P950" s="120" t="n">
        <x:v>44701.641388888886</x:v>
      </x:c>
      <x:c r="Q950" s="117" t="str">
        <x:v>Jace Gentil</x:v>
      </x:c>
      <x:c r="R950" s="117" t="str">
        <x:v>Create Work Order From Contract Line Item</x:v>
      </x:c>
      <x:c r="S950" s="119"/>
    </x:row>
    <x:row r="951" ht="30" customHeight="1">
      <x:c r="A951" s="117" t="str">
        <x:v>Create_Work_Order_From_Contract_Line_Item</x:v>
      </x:c>
      <x:c r="B951" s="117" t="str">
        <x:v>3005b000000H3dpAAC</x:v>
      </x:c>
      <x:c r="C951" s="117" t="str">
        <x:v>3015b000000EK3GAAW</x:v>
      </x:c>
      <x:c r="D951" s="118" t="n">
        <x:v>7</x:v>
      </x:c>
      <x:c r="E951" s="117" t="str">
        <x:v>Obsolete</x:v>
      </x:c>
      <x:c r="F951" s="117" t="str">
        <x:v>No</x:v>
      </x:c>
      <x:c r="G951" s="117" t="str">
        <x:v>No</x:v>
      </x:c>
      <x:c r="H951" s="117" t="str">
        <x:v>Flow</x:v>
      </x:c>
      <x:c r="I951" s="118" t="n">
        <x:v>54</x:v>
      </x:c>
      <x:c r="J951" s="117" t="str">
        <x:v>unmanaged</x:v>
      </x:c>
      <x:c r="K951" s="123" t="b">
        <x:v>0</x:v>
      </x:c>
      <x:c r="L951" s="117"/>
      <x:c r="M951" s="118"/>
      <x:c r="N951" s="120" t="n">
        <x:v>44714.660729166666</x:v>
      </x:c>
      <x:c r="O951" s="117" t="str">
        <x:v>Jace Gentil</x:v>
      </x:c>
      <x:c r="P951" s="120" t="n">
        <x:v>44714.660844907405</x:v>
      </x:c>
      <x:c r="Q951" s="117" t="str">
        <x:v>Jace Gentil</x:v>
      </x:c>
      <x:c r="R951" s="117" t="str">
        <x:v>Create Work Order From Contract Line Item</x:v>
      </x:c>
      <x:c r="S951" s="119"/>
    </x:row>
    <x:row r="952" ht="30" customHeight="1">
      <x:c r="A952" s="117" t="str">
        <x:v>Create_Work_Order_From_Contract_Line_Item</x:v>
      </x:c>
      <x:c r="B952" s="117" t="str">
        <x:v>3005b000000H3dpAAC</x:v>
      </x:c>
      <x:c r="C952" s="117" t="str">
        <x:v>3015b000000EKbrAAG</x:v>
      </x:c>
      <x:c r="D952" s="118" t="n">
        <x:v>8</x:v>
      </x:c>
      <x:c r="E952" s="117" t="str">
        <x:v>Active</x:v>
      </x:c>
      <x:c r="F952" s="117" t="str">
        <x:v>Yes</x:v>
      </x:c>
      <x:c r="G952" s="117" t="str">
        <x:v>Yes</x:v>
      </x:c>
      <x:c r="H952" s="117" t="str">
        <x:v>Flow</x:v>
      </x:c>
      <x:c r="I952" s="118" t="n">
        <x:v>54</x:v>
      </x:c>
      <x:c r="J952" s="117" t="str">
        <x:v>unmanaged</x:v>
      </x:c>
      <x:c r="K952" s="123" t="b">
        <x:v>0</x:v>
      </x:c>
      <x:c r="L952" s="117"/>
      <x:c r="M952" s="118"/>
      <x:c r="N952" s="120" t="n">
        <x:v>44741.441608796296</x:v>
      </x:c>
      <x:c r="O952" s="117" t="str">
        <x:v>Jace Gentil</x:v>
      </x:c>
      <x:c r="P952" s="120" t="n">
        <x:v>44741.441655092596</x:v>
      </x:c>
      <x:c r="Q952" s="117" t="str">
        <x:v>Jace Gentil</x:v>
      </x:c>
      <x:c r="R952" s="117" t="str">
        <x:v>Create Work Order From Contract Line Item</x:v>
      </x:c>
      <x:c r="S952" s="119"/>
    </x:row>
    <x:row r="953" ht="30" customHeight="1">
      <x:c r="A953" s="117" t="str">
        <x:v>Create_Work_Order_from_KloudGin_Case</x:v>
      </x:c>
      <x:c r="B953" s="117" t="str">
        <x:v>3005b000000Pzy0AAC</x:v>
      </x:c>
      <x:c r="C953" s="117" t="str">
        <x:v>3015b000000W4gQAAS</x:v>
      </x:c>
      <x:c r="D953" s="118" t="n">
        <x:v>1</x:v>
      </x:c>
      <x:c r="E953" s="117" t="str">
        <x:v>Draft</x:v>
      </x:c>
      <x:c r="F953" s="117" t="str">
        <x:v>No</x:v>
      </x:c>
      <x:c r="G953" s="117" t="str">
        <x:v>No</x:v>
      </x:c>
      <x:c r="H953" s="117" t="str">
        <x:v>Flow</x:v>
      </x:c>
      <x:c r="I953" s="118" t="n">
        <x:v>58</x:v>
      </x:c>
      <x:c r="J953" s="117" t="str">
        <x:v>unmanaged</x:v>
      </x:c>
      <x:c r="K953" s="123" t="b">
        <x:v>0</x:v>
      </x:c>
      <x:c r="L953" s="117"/>
      <x:c r="M953" s="118"/>
      <x:c r="N953" s="120" t="n">
        <x:v>45105.107141203705</x:v>
      </x:c>
      <x:c r="O953" s="117" t="str">
        <x:v>Jace Gentil</x:v>
      </x:c>
      <x:c r="P953" s="120" t="n">
        <x:v>45105.107152777775</x:v>
      </x:c>
      <x:c r="Q953" s="117" t="str">
        <x:v>Jace Gentil</x:v>
      </x:c>
      <x:c r="R953" s="117" t="str">
        <x:v>Create Work Order from KloudGin Case</x:v>
      </x:c>
      <x:c r="S953" s="119"/>
    </x:row>
    <x:row r="954" ht="30" customHeight="1">
      <x:c r="A954" s="117" t="str">
        <x:v>Create_Work_Order_from_KloudGin_Case</x:v>
      </x:c>
      <x:c r="B954" s="117" t="str">
        <x:v>3005b000000Pzy0AAC</x:v>
      </x:c>
      <x:c r="C954" s="117" t="str">
        <x:v>3015b000000W4gHAAS</x:v>
      </x:c>
      <x:c r="D954" s="118" t="n">
        <x:v>2</x:v>
      </x:c>
      <x:c r="E954" s="117" t="str">
        <x:v>Obsolete</x:v>
      </x:c>
      <x:c r="F954" s="117" t="str">
        <x:v>No</x:v>
      </x:c>
      <x:c r="G954" s="117" t="str">
        <x:v>No</x:v>
      </x:c>
      <x:c r="H954" s="117" t="str">
        <x:v>Flow</x:v>
      </x:c>
      <x:c r="I954" s="118" t="n">
        <x:v>58</x:v>
      </x:c>
      <x:c r="J954" s="117" t="str">
        <x:v>unmanaged</x:v>
      </x:c>
      <x:c r="K954" s="123" t="b">
        <x:v>0</x:v>
      </x:c>
      <x:c r="L954" s="117"/>
      <x:c r="M954" s="118"/>
      <x:c r="N954" s="120" t="n">
        <x:v>45105.10851851852</x:v>
      </x:c>
      <x:c r="O954" s="117" t="str">
        <x:v>Jace Gentil</x:v>
      </x:c>
      <x:c r="P954" s="120" t="n">
        <x:v>45105.10855324074</x:v>
      </x:c>
      <x:c r="Q954" s="117" t="str">
        <x:v>Jace Gentil</x:v>
      </x:c>
      <x:c r="R954" s="117" t="str">
        <x:v>Create Work Order from KloudGin Case</x:v>
      </x:c>
      <x:c r="S954" s="119"/>
    </x:row>
    <x:row r="955" ht="30" customHeight="1">
      <x:c r="A955" s="117" t="str">
        <x:v>Create_Work_Order_from_KloudGin_Case</x:v>
      </x:c>
      <x:c r="B955" s="117" t="str">
        <x:v>3005b000000Pzy0AAC</x:v>
      </x:c>
      <x:c r="C955" s="117" t="str">
        <x:v>3015b000000W4gVAAS</x:v>
      </x:c>
      <x:c r="D955" s="118" t="n">
        <x:v>3</x:v>
      </x:c>
      <x:c r="E955" s="117" t="str">
        <x:v>Obsolete</x:v>
      </x:c>
      <x:c r="F955" s="117" t="str">
        <x:v>No</x:v>
      </x:c>
      <x:c r="G955" s="117" t="str">
        <x:v>No</x:v>
      </x:c>
      <x:c r="H955" s="117" t="str">
        <x:v>Flow</x:v>
      </x:c>
      <x:c r="I955" s="118" t="n">
        <x:v>58</x:v>
      </x:c>
      <x:c r="J955" s="117" t="str">
        <x:v>unmanaged</x:v>
      </x:c>
      <x:c r="K955" s="123" t="b">
        <x:v>0</x:v>
      </x:c>
      <x:c r="L955" s="117"/>
      <x:c r="M955" s="118"/>
      <x:c r="N955" s="120" t="n">
        <x:v>45105.111597222225</x:v>
      </x:c>
      <x:c r="O955" s="117" t="str">
        <x:v>Jace Gentil</x:v>
      </x:c>
      <x:c r="P955" s="120" t="n">
        <x:v>45105.11164351852</x:v>
      </x:c>
      <x:c r="Q955" s="117" t="str">
        <x:v>Jace Gentil</x:v>
      </x:c>
      <x:c r="R955" s="117" t="str">
        <x:v>Create Work Order from KloudGin Case</x:v>
      </x:c>
      <x:c r="S955" s="119"/>
    </x:row>
    <x:row r="956" ht="30" customHeight="1">
      <x:c r="A956" s="117" t="str">
        <x:v>Create_Work_Order_from_KloudGin_Case</x:v>
      </x:c>
      <x:c r="B956" s="117" t="str">
        <x:v>3005b000000Pzy0AAC</x:v>
      </x:c>
      <x:c r="C956" s="117" t="str">
        <x:v>3015b000000W4gaAAC</x:v>
      </x:c>
      <x:c r="D956" s="118" t="n">
        <x:v>4</x:v>
      </x:c>
      <x:c r="E956" s="117" t="str">
        <x:v>Obsolete</x:v>
      </x:c>
      <x:c r="F956" s="117" t="str">
        <x:v>No</x:v>
      </x:c>
      <x:c r="G956" s="117" t="str">
        <x:v>No</x:v>
      </x:c>
      <x:c r="H956" s="117" t="str">
        <x:v>Flow</x:v>
      </x:c>
      <x:c r="I956" s="118" t="n">
        <x:v>58</x:v>
      </x:c>
      <x:c r="J956" s="117" t="str">
        <x:v>unmanaged</x:v>
      </x:c>
      <x:c r="K956" s="123" t="b">
        <x:v>0</x:v>
      </x:c>
      <x:c r="L956" s="117"/>
      <x:c r="M956" s="118"/>
      <x:c r="N956" s="120" t="n">
        <x:v>45105.119618055556</x:v>
      </x:c>
      <x:c r="O956" s="117" t="str">
        <x:v>Jace Gentil</x:v>
      </x:c>
      <x:c r="P956" s="120" t="n">
        <x:v>45105.1196412037</x:v>
      </x:c>
      <x:c r="Q956" s="117" t="str">
        <x:v>Jace Gentil</x:v>
      </x:c>
      <x:c r="R956" s="117" t="str">
        <x:v>Create Work Order from KloudGin Case</x:v>
      </x:c>
      <x:c r="S956" s="119"/>
    </x:row>
    <x:row r="957" ht="30" customHeight="1">
      <x:c r="A957" s="117" t="str">
        <x:v>Create_Work_Order_from_KloudGin_Case</x:v>
      </x:c>
      <x:c r="B957" s="117" t="str">
        <x:v>3005b000000Pzy0AAC</x:v>
      </x:c>
      <x:c r="C957" s="117" t="str">
        <x:v>3015b000000W4gfAAC</x:v>
      </x:c>
      <x:c r="D957" s="118" t="n">
        <x:v>5</x:v>
      </x:c>
      <x:c r="E957" s="117" t="str">
        <x:v>Obsolete</x:v>
      </x:c>
      <x:c r="F957" s="117" t="str">
        <x:v>No</x:v>
      </x:c>
      <x:c r="G957" s="117" t="str">
        <x:v>No</x:v>
      </x:c>
      <x:c r="H957" s="117" t="str">
        <x:v>Flow</x:v>
      </x:c>
      <x:c r="I957" s="118" t="n">
        <x:v>58</x:v>
      </x:c>
      <x:c r="J957" s="117" t="str">
        <x:v>unmanaged</x:v>
      </x:c>
      <x:c r="K957" s="123" t="b">
        <x:v>0</x:v>
      </x:c>
      <x:c r="L957" s="117"/>
      <x:c r="M957" s="118"/>
      <x:c r="N957" s="120" t="n">
        <x:v>45105.12100694444</x:v>
      </x:c>
      <x:c r="O957" s="117" t="str">
        <x:v>Jace Gentil</x:v>
      </x:c>
      <x:c r="P957" s="120" t="n">
        <x:v>45105.121041666665</x:v>
      </x:c>
      <x:c r="Q957" s="117" t="str">
        <x:v>Jace Gentil</x:v>
      </x:c>
      <x:c r="R957" s="117" t="str">
        <x:v>Create Work Order from KloudGin Case</x:v>
      </x:c>
      <x:c r="S957" s="119"/>
    </x:row>
    <x:row r="958" ht="30" customHeight="1">
      <x:c r="A958" s="117" t="str">
        <x:v>Create_Work_Order_from_KloudGin_Case</x:v>
      </x:c>
      <x:c r="B958" s="117" t="str">
        <x:v>3005b000000Pzy0AAC</x:v>
      </x:c>
      <x:c r="C958" s="117" t="str">
        <x:v>3015b000000W4hYAAS</x:v>
      </x:c>
      <x:c r="D958" s="118" t="n">
        <x:v>6</x:v>
      </x:c>
      <x:c r="E958" s="117" t="str">
        <x:v>Obsolete</x:v>
      </x:c>
      <x:c r="F958" s="117" t="str">
        <x:v>No</x:v>
      </x:c>
      <x:c r="G958" s="117" t="str">
        <x:v>No</x:v>
      </x:c>
      <x:c r="H958" s="117" t="str">
        <x:v>Flow</x:v>
      </x:c>
      <x:c r="I958" s="118" t="n">
        <x:v>58</x:v>
      </x:c>
      <x:c r="J958" s="117" t="str">
        <x:v>unmanaged</x:v>
      </x:c>
      <x:c r="K958" s="123" t="b">
        <x:v>0</x:v>
      </x:c>
      <x:c r="L958" s="117"/>
      <x:c r="M958" s="118"/>
      <x:c r="N958" s="120" t="n">
        <x:v>45105.57986111111</x:v>
      </x:c>
      <x:c r="O958" s="117" t="str">
        <x:v>Jace Gentil</x:v>
      </x:c>
      <x:c r="P958" s="120" t="n">
        <x:v>45105.57990740741</x:v>
      </x:c>
      <x:c r="Q958" s="117" t="str">
        <x:v>Jace Gentil</x:v>
      </x:c>
      <x:c r="R958" s="117" t="str">
        <x:v>Create Work Order from KloudGin Case</x:v>
      </x:c>
      <x:c r="S958" s="119"/>
    </x:row>
    <x:row r="959" ht="30" customHeight="1">
      <x:c r="A959" s="117" t="str">
        <x:v>Create_Work_Order_from_KloudGin_Case</x:v>
      </x:c>
      <x:c r="B959" s="117" t="str">
        <x:v>3005b000000Pzy0AAC</x:v>
      </x:c>
      <x:c r="C959" s="117" t="str">
        <x:v>3015b000000ARxBAAW</x:v>
      </x:c>
      <x:c r="D959" s="118" t="n">
        <x:v>7</x:v>
      </x:c>
      <x:c r="E959" s="117" t="str">
        <x:v>Active</x:v>
      </x:c>
      <x:c r="F959" s="117" t="str">
        <x:v>Yes</x:v>
      </x:c>
      <x:c r="G959" s="117" t="str">
        <x:v>Yes</x:v>
      </x:c>
      <x:c r="H959" s="117" t="str">
        <x:v>Flow</x:v>
      </x:c>
      <x:c r="I959" s="118" t="n">
        <x:v>58</x:v>
      </x:c>
      <x:c r="J959" s="117" t="str">
        <x:v>unmanaged</x:v>
      </x:c>
      <x:c r="K959" s="123" t="b">
        <x:v>0</x:v>
      </x:c>
      <x:c r="L959" s="117"/>
      <x:c r="M959" s="118"/>
      <x:c r="N959" s="120" t="n">
        <x:v>45177.53056712963</x:v>
      </x:c>
      <x:c r="O959" s="117" t="str">
        <x:v>Jace Gentil</x:v>
      </x:c>
      <x:c r="P959" s="120" t="n">
        <x:v>45177.530625</x:v>
      </x:c>
      <x:c r="Q959" s="117" t="str">
        <x:v>Jace Gentil</x:v>
      </x:c>
      <x:c r="R959" s="117" t="str">
        <x:v>Create Work Order from KloudGin Case</x:v>
      </x:c>
      <x:c r="S959" s="119"/>
    </x:row>
    <x:row r="960" ht="30" customHeight="1">
      <x:c r="A960" s="117" t="str">
        <x:v>Create_Work_Order_from_Service_Asset</x:v>
      </x:c>
      <x:c r="B960" s="117" t="str">
        <x:v>300Ro0000143LOUIA2</x:v>
      </x:c>
      <x:c r="C960" s="117" t="str">
        <x:v>301Ro00001CunmwIAB</x:v>
      </x:c>
      <x:c r="D960" s="118" t="n">
        <x:v>1</x:v>
      </x:c>
      <x:c r="E960" s="117" t="str">
        <x:v>Obsolete</x:v>
      </x:c>
      <x:c r="F960" s="117" t="str">
        <x:v>No</x:v>
      </x:c>
      <x:c r="G960" s="117" t="str">
        <x:v>No</x:v>
      </x:c>
      <x:c r="H960" s="117" t="str">
        <x:v>Flow</x:v>
      </x:c>
      <x:c r="I960" s="118" t="n">
        <x:v>67</x:v>
      </x:c>
      <x:c r="J960" s="117" t="str">
        <x:v>unmanaged</x:v>
      </x:c>
      <x:c r="K960" s="123" t="b">
        <x:v>0</x:v>
      </x:c>
      <x:c r="L960" s="117"/>
      <x:c r="M960" s="118"/>
      <x:c r="N960" s="120" t="n">
        <x:v>46235.04678240741</x:v>
      </x:c>
      <x:c r="O960" s="117" t="str">
        <x:v>Mindy Bender</x:v>
      </x:c>
      <x:c r="P960" s="120" t="n">
        <x:v>46235.046898148146</x:v>
      </x:c>
      <x:c r="Q960" s="117" t="str">
        <x:v>Mindy Bender</x:v>
      </x:c>
      <x:c r="R960" s="117" t="str">
        <x:v>Create Work Order from Service Asset</x:v>
      </x:c>
      <x:c r="S960" s="119" t="str">
        <x:v>Screen flow to create a work order from the service asset automatically pulling in key fields.</x:v>
      </x:c>
    </x:row>
    <x:row r="961" ht="30" customHeight="1">
      <x:c r="A961" s="117" t="str">
        <x:v>Create_Work_Order_from_Service_Asset</x:v>
      </x:c>
      <x:c r="B961" s="117" t="str">
        <x:v>300Ro0000143LOUIA2</x:v>
      </x:c>
      <x:c r="C961" s="117" t="str">
        <x:v>301Ro00001D6ITmIAN</x:v>
      </x:c>
      <x:c r="D961" s="118" t="n">
        <x:v>2</x:v>
      </x:c>
      <x:c r="E961" s="117" t="str">
        <x:v>Obsolete</x:v>
      </x:c>
      <x:c r="F961" s="117" t="str">
        <x:v>No</x:v>
      </x:c>
      <x:c r="G961" s="117" t="str">
        <x:v>No</x:v>
      </x:c>
      <x:c r="H961" s="117" t="str">
        <x:v>Flow</x:v>
      </x:c>
      <x:c r="I961" s="118" t="n">
        <x:v>67</x:v>
      </x:c>
      <x:c r="J961" s="117" t="str">
        <x:v>unmanaged</x:v>
      </x:c>
      <x:c r="K961" s="123" t="b">
        <x:v>0</x:v>
      </x:c>
      <x:c r="L961" s="117"/>
      <x:c r="M961" s="118"/>
      <x:c r="N961" s="120" t="n">
        <x:v>46238.01322916667</x:v>
      </x:c>
      <x:c r="O961" s="117" t="str">
        <x:v>Mindy Bender</x:v>
      </x:c>
      <x:c r="P961" s="120" t="n">
        <x:v>46238.01335648148</x:v>
      </x:c>
      <x:c r="Q961" s="117" t="str">
        <x:v>Mindy Bender</x:v>
      </x:c>
      <x:c r="R961" s="117" t="str">
        <x:v>Create Work Order from Service Asset</x:v>
      </x:c>
      <x:c r="S961" s="119" t="str">
        <x:v>8/3 - Added Attn for Shipping; Screen flow to create a work order from the service asset automatically pulling in key fields.</x:v>
      </x:c>
    </x:row>
    <x:row r="962" ht="30" customHeight="1">
      <x:c r="A962" s="117" t="str">
        <x:v>Create_Work_Order_from_Service_Asset</x:v>
      </x:c>
      <x:c r="B962" s="117" t="str">
        <x:v>300Ro0000143LOUIA2</x:v>
      </x:c>
      <x:c r="C962" s="117" t="str">
        <x:v>301Ro00001D6UDBIA3</x:v>
      </x:c>
      <x:c r="D962" s="118" t="n">
        <x:v>3</x:v>
      </x:c>
      <x:c r="E962" s="117" t="str">
        <x:v>Obsolete</x:v>
      </x:c>
      <x:c r="F962" s="117" t="str">
        <x:v>No</x:v>
      </x:c>
      <x:c r="G962" s="117" t="str">
        <x:v>No</x:v>
      </x:c>
      <x:c r="H962" s="117" t="str">
        <x:v>Flow</x:v>
      </x:c>
      <x:c r="I962" s="118" t="n">
        <x:v>67</x:v>
      </x:c>
      <x:c r="J962" s="117" t="str">
        <x:v>unmanaged</x:v>
      </x:c>
      <x:c r="K962" s="123" t="b">
        <x:v>0</x:v>
      </x:c>
      <x:c r="L962" s="117"/>
      <x:c r="M962" s="118"/>
      <x:c r="N962" s="120" t="n">
        <x:v>46238.021469907406</x:v>
      </x:c>
      <x:c r="O962" s="117" t="str">
        <x:v>Mindy Bender</x:v>
      </x:c>
      <x:c r="P962" s="120" t="n">
        <x:v>46238.02179398148</x:v>
      </x:c>
      <x:c r="Q962" s="117" t="str">
        <x:v>Mindy Bender</x:v>
      </x:c>
      <x:c r="R962" s="117" t="str">
        <x:v>Create Work Order from Service Asset</x:v>
      </x:c>
      <x:c r="S962" s="119" t="str">
        <x:v>8/3 - Added Attn for Shipping and Ship Type; Screen flow to create a work order from the service asset automatically pulling in key fields.</x:v>
      </x:c>
    </x:row>
    <x:row r="963" ht="30" customHeight="1">
      <x:c r="A963" s="117" t="str">
        <x:v>Create_Work_Order_from_Service_Asset</x:v>
      </x:c>
      <x:c r="B963" s="117" t="str">
        <x:v>300Ro0000143LOUIA2</x:v>
      </x:c>
      <x:c r="C963" s="117" t="str">
        <x:v>301Ro00001DB9UcIAL</x:v>
      </x:c>
      <x:c r="D963" s="118" t="n">
        <x:v>4</x:v>
      </x:c>
      <x:c r="E963" s="117" t="str">
        <x:v>Obsolete</x:v>
      </x:c>
      <x:c r="F963" s="117" t="str">
        <x:v>No</x:v>
      </x:c>
      <x:c r="G963" s="117" t="str">
        <x:v>No</x:v>
      </x:c>
      <x:c r="H963" s="117" t="str">
        <x:v>Flow</x:v>
      </x:c>
      <x:c r="I963" s="118" t="n">
        <x:v>67</x:v>
      </x:c>
      <x:c r="J963" s="117" t="str">
        <x:v>unmanaged</x:v>
      </x:c>
      <x:c r="K963" s="123" t="b">
        <x:v>0</x:v>
      </x:c>
      <x:c r="L963" s="117"/>
      <x:c r="M963" s="118"/>
      <x:c r="N963" s="120" t="n">
        <x:v>46238.797314814816</x:v>
      </x:c>
      <x:c r="O963" s="117" t="str">
        <x:v>Mindy Bender</x:v>
      </x:c>
      <x:c r="P963" s="120" t="n">
        <x:v>46238.797430555554</x:v>
      </x:c>
      <x:c r="Q963" s="117" t="str">
        <x:v>Mindy Bender</x:v>
      </x:c>
      <x:c r="R963" s="117" t="str">
        <x:v>Create Work Order from Service Asset</x:v>
      </x:c>
      <x:c r="S963" s="119" t="str">
        <x:v>8/4 - Added Service Contract ID link</x:v>
      </x:c>
    </x:row>
    <x:row r="964" ht="30" customHeight="1">
      <x:c r="A964" s="117" t="str">
        <x:v>Create_Work_Order_from_Service_Asset</x:v>
      </x:c>
      <x:c r="B964" s="117" t="str">
        <x:v>300Ro0000143LOUIA2</x:v>
      </x:c>
      <x:c r="C964" s="117" t="str">
        <x:v>301Ro00001DAO5yIAH</x:v>
      </x:c>
      <x:c r="D964" s="118" t="n">
        <x:v>5</x:v>
      </x:c>
      <x:c r="E964" s="117" t="str">
        <x:v>Obsolete</x:v>
      </x:c>
      <x:c r="F964" s="117" t="str">
        <x:v>No</x:v>
      </x:c>
      <x:c r="G964" s="117" t="str">
        <x:v>No</x:v>
      </x:c>
      <x:c r="H964" s="117" t="str">
        <x:v>Flow</x:v>
      </x:c>
      <x:c r="I964" s="118" t="n">
        <x:v>67</x:v>
      </x:c>
      <x:c r="J964" s="117" t="str">
        <x:v>unmanaged</x:v>
      </x:c>
      <x:c r="K964" s="123" t="b">
        <x:v>0</x:v>
      </x:c>
      <x:c r="L964" s="117"/>
      <x:c r="M964" s="118"/>
      <x:c r="N964" s="120" t="n">
        <x:v>46238.80972222222</x:v>
      </x:c>
      <x:c r="O964" s="117" t="str">
        <x:v>Mindy Bender</x:v>
      </x:c>
      <x:c r="P964" s="120" t="n">
        <x:v>46238.80981481481</x:v>
      </x:c>
      <x:c r="Q964" s="117" t="str">
        <x:v>Mindy Bender</x:v>
      </x:c>
      <x:c r="R964" s="117" t="str">
        <x:v>Create Work Order from Service Asset</x:v>
      </x:c>
      <x:c r="S964" s="119" t="str">
        <x:v>8/4 - Added Service Contract ID link &amp; Enter PO into Replacement PO as well</x:v>
      </x:c>
    </x:row>
    <x:row r="965" ht="30" customHeight="1">
      <x:c r="A965" s="117" t="str">
        <x:v>Create_Work_Order_from_Service_Asset</x:v>
      </x:c>
      <x:c r="B965" s="117" t="str">
        <x:v>300Ro0000143LOUIA2</x:v>
      </x:c>
      <x:c r="C965" s="117" t="str">
        <x:v>301Ro00001DCbtaIAD</x:v>
      </x:c>
      <x:c r="D965" s="118" t="n">
        <x:v>6</x:v>
      </x:c>
      <x:c r="E965" s="117" t="str">
        <x:v>Obsolete</x:v>
      </x:c>
      <x:c r="F965" s="117" t="str">
        <x:v>No</x:v>
      </x:c>
      <x:c r="G965" s="117" t="str">
        <x:v>No</x:v>
      </x:c>
      <x:c r="H965" s="117" t="str">
        <x:v>Flow</x:v>
      </x:c>
      <x:c r="I965" s="118" t="n">
        <x:v>67</x:v>
      </x:c>
      <x:c r="J965" s="117" t="str">
        <x:v>unmanaged</x:v>
      </x:c>
      <x:c r="K965" s="123" t="b">
        <x:v>0</x:v>
      </x:c>
      <x:c r="L965" s="117"/>
      <x:c r="M965" s="118"/>
      <x:c r="N965" s="120" t="n">
        <x:v>46238.91003472222</x:v>
      </x:c>
      <x:c r="O965" s="117" t="str">
        <x:v>Mindy Bender</x:v>
      </x:c>
      <x:c r="P965" s="120" t="n">
        <x:v>46238.91118055556</x:v>
      </x:c>
      <x:c r="Q965" s="117" t="str">
        <x:v>Mindy Bender</x:v>
      </x:c>
      <x:c r="R965" s="117" t="str">
        <x:v>Create Work Order from Service Asset</x:v>
      </x:c>
      <x:c r="S965" s="119" t="str">
        <x:v>8/4 - Added Service Contract ID link &amp; Enter PO into Replacement PO as well as PO Number, Add Opportunity from Contract Opportunity</x:v>
      </x:c>
    </x:row>
    <x:row r="966" ht="30" customHeight="1">
      <x:c r="A966" s="117" t="str">
        <x:v>Create_Work_Order_from_Service_Asset</x:v>
      </x:c>
      <x:c r="B966" s="117" t="str">
        <x:v>300Ro0000143LOUIA2</x:v>
      </x:c>
      <x:c r="C966" s="117" t="str">
        <x:v>301Ro00001DIb9WIAT</x:v>
      </x:c>
      <x:c r="D966" s="118" t="n">
        <x:v>7</x:v>
      </x:c>
      <x:c r="E966" s="117" t="str">
        <x:v>Active</x:v>
      </x:c>
      <x:c r="F966" s="117" t="str">
        <x:v>Yes</x:v>
      </x:c>
      <x:c r="G966" s="117" t="str">
        <x:v>Yes</x:v>
      </x:c>
      <x:c r="H966" s="117" t="str">
        <x:v>Flow</x:v>
      </x:c>
      <x:c r="I966" s="118" t="n">
        <x:v>67</x:v>
      </x:c>
      <x:c r="J966" s="117" t="str">
        <x:v>unmanaged</x:v>
      </x:c>
      <x:c r="K966" s="123" t="b">
        <x:v>0</x:v>
      </x:c>
      <x:c r="L966" s="117"/>
      <x:c r="M966" s="118"/>
      <x:c r="N966" s="120" t="n">
        <x:v>46239.86386574074</x:v>
      </x:c>
      <x:c r="O966" s="117" t="str">
        <x:v>Mindy Bender</x:v>
      </x:c>
      <x:c r="P966" s="120" t="n">
        <x:v>46239.86456018518</x:v>
      </x:c>
      <x:c r="Q966" s="117" t="str">
        <x:v>Mindy Bender</x:v>
      </x:c>
      <x:c r="R966" s="117" t="str">
        <x:v>Create Work Order from Service Asset</x:v>
      </x:c>
      <x:c r="S966" s="119" t="str">
        <x:v>8/5 - Fixed Record Type to match choice</x:v>
      </x:c>
    </x:row>
    <x:row r="967" ht="30" customHeight="1">
      <x:c r="A967" s="117" t="str">
        <x:v>Create_Work_Orders_from_Contract_Renewal</x:v>
      </x:c>
      <x:c r="B967" s="117" t="str">
        <x:v>300Ro00000aDxwqIAC</x:v>
      </x:c>
      <x:c r="C967" s="117" t="str">
        <x:v>301Ro00000f4Hp5IAE</x:v>
      </x:c>
      <x:c r="D967" s="118" t="n">
        <x:v>1</x:v>
      </x:c>
      <x:c r="E967" s="117" t="str">
        <x:v>Obsolete</x:v>
      </x:c>
      <x:c r="F967" s="117" t="str">
        <x:v>No</x:v>
      </x:c>
      <x:c r="G967" s="117" t="str">
        <x:v>No</x:v>
      </x:c>
      <x:c r="H967" s="117" t="str">
        <x:v>AutoLaunchedFlow</x:v>
      </x:c>
      <x:c r="I967" s="118" t="n">
        <x:v>64</x:v>
      </x:c>
      <x:c r="J967" s="117" t="str">
        <x:v>unmanaged</x:v>
      </x:c>
      <x:c r="K967" s="123" t="b">
        <x:v>0</x:v>
      </x:c>
      <x:c r="L967" s="117"/>
      <x:c r="M967" s="118"/>
      <x:c r="N967" s="120" t="n">
        <x:v>45853.43471064815</x:v>
      </x:c>
      <x:c r="O967" s="117" t="str">
        <x:v>Sacha Pearce</x:v>
      </x:c>
      <x:c r="P967" s="120" t="n">
        <x:v>45853.435</x:v>
      </x:c>
      <x:c r="Q967" s="117" t="str">
        <x:v>Sacha Pearce</x:v>
      </x:c>
      <x:c r="R967" s="117" t="str">
        <x:v>Create Work Orders from Contract Renewal</x:v>
      </x:c>
      <x:c r="S967" s="119"/>
    </x:row>
    <x:row r="968" ht="30" customHeight="1">
      <x:c r="A968" s="117" t="str">
        <x:v>Create_Work_Orders_from_Contract_Renewal</x:v>
      </x:c>
      <x:c r="B968" s="117" t="str">
        <x:v>300Ro00000aDxwqIAC</x:v>
      </x:c>
      <x:c r="C968" s="117" t="str">
        <x:v>301Ro00000f4sWvIAI</x:v>
      </x:c>
      <x:c r="D968" s="118" t="n">
        <x:v>2</x:v>
      </x:c>
      <x:c r="E968" s="117" t="str">
        <x:v>Obsolete</x:v>
      </x:c>
      <x:c r="F968" s="117" t="str">
        <x:v>No</x:v>
      </x:c>
      <x:c r="G968" s="117" t="str">
        <x:v>No</x:v>
      </x:c>
      <x:c r="H968" s="117" t="str">
        <x:v>AutoLaunchedFlow</x:v>
      </x:c>
      <x:c r="I968" s="118" t="n">
        <x:v>64</x:v>
      </x:c>
      <x:c r="J968" s="117" t="str">
        <x:v>unmanaged</x:v>
      </x:c>
      <x:c r="K968" s="123" t="b">
        <x:v>0</x:v>
      </x:c>
      <x:c r="L968" s="117"/>
      <x:c r="M968" s="118"/>
      <x:c r="N968" s="120" t="n">
        <x:v>45853.57130787037</x:v>
      </x:c>
      <x:c r="O968" s="117" t="str">
        <x:v>Sacha Pearce</x:v>
      </x:c>
      <x:c r="P968" s="120" t="n">
        <x:v>45853.572800925926</x:v>
      </x:c>
      <x:c r="Q968" s="117" t="str">
        <x:v>Sacha Pearce</x:v>
      </x:c>
      <x:c r="R968" s="117" t="str">
        <x:v>Create Work Orders from Contract Renewal</x:v>
      </x:c>
      <x:c r="S968" s="119" t="str">
        <x:v>Version 13 - Changing the Flow to run when a Service Contract has bene udpated to have the Ready to Generate Work Orders field ticked.
Version 14- Amending Entry Criteria
Version 15 - Reverting Entry Criteria and taking out 08qRo0000000Jtt for Work Type for Work Order (causing errors)
Version 16 - Now adding back Work Type ID = 08qRo0000000Jtt so I can go through Change Set.
Version 17 - Changing Work Type ID to 08qRo0000000JttIAE to match Produciton
Version 18 - Changing Entry Criteria to run only when a Service Contract is updated to meet the criteria.</x:v>
      </x:c>
    </x:row>
    <x:row r="969" ht="30" customHeight="1">
      <x:c r="A969" s="117" t="str">
        <x:v>Create_Work_Orders_from_Contract_Renewal</x:v>
      </x:c>
      <x:c r="B969" s="117" t="str">
        <x:v>300Ro00000aDxwqIAC</x:v>
      </x:c>
      <x:c r="C969" s="117" t="str">
        <x:v>301Ro00000iv7bKIAQ</x:v>
      </x:c>
      <x:c r="D969" s="118" t="n">
        <x:v>3</x:v>
      </x:c>
      <x:c r="E969" s="117" t="str">
        <x:v>Obsolete</x:v>
      </x:c>
      <x:c r="F969" s="117" t="str">
        <x:v>No</x:v>
      </x:c>
      <x:c r="G969" s="117" t="str">
        <x:v>No</x:v>
      </x:c>
      <x:c r="H969" s="117" t="str">
        <x:v>AutoLaunchedFlow</x:v>
      </x:c>
      <x:c r="I969" s="118" t="n">
        <x:v>64</x:v>
      </x:c>
      <x:c r="J969" s="117" t="str">
        <x:v>unmanaged</x:v>
      </x:c>
      <x:c r="K969" s="123" t="b">
        <x:v>0</x:v>
      </x:c>
      <x:c r="L969" s="117"/>
      <x:c r="M969" s="118"/>
      <x:c r="N969" s="120" t="n">
        <x:v>45889.45611111111</x:v>
      </x:c>
      <x:c r="O969" s="117" t="str">
        <x:v>Sacha Pearce</x:v>
      </x:c>
      <x:c r="P969" s="120" t="n">
        <x:v>45889.49700231481</x:v>
      </x:c>
      <x:c r="Q969" s="117" t="str">
        <x:v>Sacha Pearce</x:v>
      </x:c>
      <x:c r="R969" s="117" t="str">
        <x:v>Create Work Orders from Contract Renewal</x:v>
      </x:c>
      <x:c r="S969" s="119" t="str">
        <x:v>Version 13 - Changing the Flow to run when a Service Contract has bene udpated to have the Ready to Generate Work Orders field ticked.
Version 14- Amending Entry Criteria
Version 15 - Reverting Entry Criteria and taking out 08qRo0000000Jtt for Work Type for Work Order (causing errors)
Version 16 - Now adding back Work Type ID = 08qRo0000000Jtt so I can go through Change Set.
Version 17 - Changing Work Type ID to 08qRo0000000JttIAE to match Produciton
Version 18 - Changing Entry Criteria to run only when a Service Contract is updated to meet the criteria.
Version 19 - Removing 08qRo0000000JttIAE to test in Sandbox
Version 20 - Adding new logic for multiple years</x:v>
      </x:c>
    </x:row>
    <x:row r="970" ht="30" customHeight="1">
      <x:c r="A970" s="117" t="str">
        <x:v>Create_Work_Orders_from_Contract_Renewal</x:v>
      </x:c>
      <x:c r="B970" s="117" t="str">
        <x:v>300Ro00000aDxwqIAC</x:v>
      </x:c>
      <x:c r="C970" s="117" t="str">
        <x:v>301Ro00000vGdsdIAC</x:v>
      </x:c>
      <x:c r="D970" s="118" t="n">
        <x:v>4</x:v>
      </x:c>
      <x:c r="E970" s="117" t="str">
        <x:v>Obsolete</x:v>
      </x:c>
      <x:c r="F970" s="117" t="str">
        <x:v>No</x:v>
      </x:c>
      <x:c r="G970" s="117" t="str">
        <x:v>No</x:v>
      </x:c>
      <x:c r="H970" s="117" t="str">
        <x:v>AutoLaunchedFlow</x:v>
      </x:c>
      <x:c r="I970" s="118" t="n">
        <x:v>64</x:v>
      </x:c>
      <x:c r="J970" s="117" t="str">
        <x:v>unmanaged</x:v>
      </x:c>
      <x:c r="K970" s="123" t="b">
        <x:v>0</x:v>
      </x:c>
      <x:c r="L970" s="117"/>
      <x:c r="M970" s="118"/>
      <x:c r="N970" s="120" t="n">
        <x:v>46029.404641203706</x:v>
      </x:c>
      <x:c r="O970" s="117" t="str">
        <x:v>Sacha Pearce</x:v>
      </x:c>
      <x:c r="P970" s="120" t="n">
        <x:v>46029.404710648145</x:v>
      </x:c>
      <x:c r="Q970" s="117" t="str">
        <x:v>Sacha Pearce</x:v>
      </x:c>
      <x:c r="R970" s="117" t="str">
        <x:v>Create Work Orders from Contract Renewal</x:v>
      </x:c>
      <x:c r="S970" s="119" t="str">
        <x:v>Version 13 - Changing the Flow to run when a Service Contract has bene udpated to have the Ready to Generate Work Orders field ticked.
Version 14- Amending Entry Criteria
Version 15 - Reverting Entry Criteria and taking out 08qRo0000000Jtt for Work Type for Work Order (causing errors)
Version 16 - Now adding back Work Type ID = 08qRo0000000Jtt so I can go through Change Set.
Version 17 - Changing Work Type ID to 08qRo0000000JttIAE to match Produciton
Version 18 - Changing Entry Criteria to run only when a Service Contract is updated to meet the criteria.
Version 19 - Removing 08qRo0000000JttIAE to test in Sandbox
Version 20 - Adding new logic for multiple years
07/01/2026 - V3 - SP - Adding "singleWorkOrder &gt; Work Type ID" to equal "08qRo0000000JttIAE"</x:v>
      </x:c>
    </x:row>
    <x:row r="971" ht="30" customHeight="1">
      <x:c r="A971" s="117" t="str">
        <x:v>Create_Work_Orders_from_Contract_Renewal</x:v>
      </x:c>
      <x:c r="B971" s="117" t="str">
        <x:v>300Ro00000aDxwqIAC</x:v>
      </x:c>
      <x:c r="C971" s="117" t="str">
        <x:v>301Ro00000zkxK5IAI</x:v>
      </x:c>
      <x:c r="D971" s="118" t="n">
        <x:v>5</x:v>
      </x:c>
      <x:c r="E971" s="117" t="str">
        <x:v>Obsolete</x:v>
      </x:c>
      <x:c r="F971" s="117" t="str">
        <x:v>No</x:v>
      </x:c>
      <x:c r="G971" s="117" t="str">
        <x:v>No</x:v>
      </x:c>
      <x:c r="H971" s="117" t="str">
        <x:v>AutoLaunchedFlow</x:v>
      </x:c>
      <x:c r="I971" s="118" t="n">
        <x:v>64</x:v>
      </x:c>
      <x:c r="J971" s="117" t="str">
        <x:v>unmanaged</x:v>
      </x:c>
      <x:c r="K971" s="123" t="b">
        <x:v>0</x:v>
      </x:c>
      <x:c r="L971" s="117"/>
      <x:c r="M971" s="118"/>
      <x:c r="N971" s="120" t="n">
        <x:v>46085.56756944444</x:v>
      </x:c>
      <x:c r="O971" s="117" t="str">
        <x:v>Sacha Pearce</x:v>
      </x:c>
      <x:c r="P971" s="120" t="n">
        <x:v>46085.56763888889</x:v>
      </x:c>
      <x:c r="Q971" s="117" t="str">
        <x:v>Sacha Pearce</x:v>
      </x:c>
      <x:c r="R971" s="117" t="str">
        <x:v>Create Work Orders from Contract Renewal</x:v>
      </x:c>
      <x:c r="S971" s="119" t="str">
        <x:v>04/03/2026 - V5 - SP - Removing the "Next Service Date" being set in the "Assign Work Order Values" Assignment element</x:v>
      </x:c>
    </x:row>
    <x:row r="972" ht="30" customHeight="1">
      <x:c r="A972" s="117" t="str">
        <x:v>Create_Work_Orders_from_Contract_Renewal</x:v>
      </x:c>
      <x:c r="B972" s="117" t="str">
        <x:v>300Ro00000aDxwqIAC</x:v>
      </x:c>
      <x:c r="C972" s="117" t="str">
        <x:v>301Ro000013grnJIAQ</x:v>
      </x:c>
      <x:c r="D972" s="118" t="n">
        <x:v>6</x:v>
      </x:c>
      <x:c r="E972" s="117" t="str">
        <x:v>Obsolete</x:v>
      </x:c>
      <x:c r="F972" s="117" t="str">
        <x:v>No</x:v>
      </x:c>
      <x:c r="G972" s="117" t="str">
        <x:v>No</x:v>
      </x:c>
      <x:c r="H972" s="117" t="str">
        <x:v>AutoLaunchedFlow</x:v>
      </x:c>
      <x:c r="I972" s="118" t="n">
        <x:v>64</x:v>
      </x:c>
      <x:c r="J972" s="117" t="str">
        <x:v>unmanaged</x:v>
      </x:c>
      <x:c r="K972" s="123" t="b">
        <x:v>0</x:v>
      </x:c>
      <x:c r="L972" s="117"/>
      <x:c r="M972" s="118"/>
      <x:c r="N972" s="120" t="n">
        <x:v>46133.36150462963</x:v>
      </x:c>
      <x:c r="O972" s="117" t="str">
        <x:v>Sacha Pearce</x:v>
      </x:c>
      <x:c r="P972" s="120" t="n">
        <x:v>46133.361666666664</x:v>
      </x:c>
      <x:c r="Q972" s="117" t="str">
        <x:v>Sacha Pearce</x:v>
      </x:c>
      <x:c r="R972" s="117" t="str">
        <x:v>Create Work Orders from Contract Renewal</x:v>
      </x:c>
      <x:c r="S972" s="119" t="str">
        <x:v>04/03/2026 - V5 - SP - Adding the "Engineer Notes" on the Work Order to be set by the "Engineer Notes" from the Contract Line Items. This is so that engineers can see important information on Work Orders in the Field Service app.</x:v>
      </x:c>
    </x:row>
    <x:row r="973" ht="30" customHeight="1">
      <x:c r="A973" s="117" t="str">
        <x:v>Create_Work_Orders_from_Contract_Renewal</x:v>
      </x:c>
      <x:c r="B973" s="117" t="str">
        <x:v>300Ro00000aDxwqIAC</x:v>
      </x:c>
      <x:c r="C973" s="117" t="str">
        <x:v>301Ro000014WFnVIAW</x:v>
      </x:c>
      <x:c r="D973" s="118" t="n">
        <x:v>7</x:v>
      </x:c>
      <x:c r="E973" s="117" t="str">
        <x:v>Obsolete</x:v>
      </x:c>
      <x:c r="F973" s="117" t="str">
        <x:v>No</x:v>
      </x:c>
      <x:c r="G973" s="117" t="str">
        <x:v>No</x:v>
      </x:c>
      <x:c r="H973" s="117" t="str">
        <x:v>AutoLaunchedFlow</x:v>
      </x:c>
      <x:c r="I973" s="118" t="n">
        <x:v>64</x:v>
      </x:c>
      <x:c r="J973" s="117" t="str">
        <x:v>unmanaged</x:v>
      </x:c>
      <x:c r="K973" s="123" t="b">
        <x:v>0</x:v>
      </x:c>
      <x:c r="L973" s="117"/>
      <x:c r="M973" s="118"/>
      <x:c r="N973" s="120" t="n">
        <x:v>46142.794641203705</x:v>
      </x:c>
      <x:c r="O973" s="117" t="str">
        <x:v>Sacha Pearce</x:v>
      </x:c>
      <x:c r="P973" s="120" t="n">
        <x:v>46142.79474537037</x:v>
      </x:c>
      <x:c r="Q973" s="117" t="str">
        <x:v>Sacha Pearce</x:v>
      </x:c>
      <x:c r="R973" s="117" t="str">
        <x:v>Create Work Orders from Contract Renewal</x:v>
      </x:c>
      <x:c r="S973" s="119" t="str">
        <x:v>04/03/2026 - V5 - SP - Introducing the "Work Orders Generated" checks and updates. This will allow us to create Work Orders for specific Contract Line Items as well as better track which have successfully had their Work Orders created.</x:v>
      </x:c>
    </x:row>
    <x:row r="974" ht="30" customHeight="1">
      <x:c r="A974" s="117" t="str">
        <x:v>Create_Work_Orders_from_Contract_Renewal</x:v>
      </x:c>
      <x:c r="B974" s="117" t="str">
        <x:v>300Ro00000aDxwqIAC</x:v>
      </x:c>
      <x:c r="C974" s="117" t="str">
        <x:v>301Ro000014Vu9dIAC</x:v>
      </x:c>
      <x:c r="D974" s="118" t="n">
        <x:v>8</x:v>
      </x:c>
      <x:c r="E974" s="117" t="str">
        <x:v>Obsolete</x:v>
      </x:c>
      <x:c r="F974" s="117" t="str">
        <x:v>No</x:v>
      </x:c>
      <x:c r="G974" s="117" t="str">
        <x:v>No</x:v>
      </x:c>
      <x:c r="H974" s="117" t="str">
        <x:v>AutoLaunchedFlow</x:v>
      </x:c>
      <x:c r="I974" s="118" t="n">
        <x:v>64</x:v>
      </x:c>
      <x:c r="J974" s="117" t="str">
        <x:v>unmanaged</x:v>
      </x:c>
      <x:c r="K974" s="123" t="b">
        <x:v>0</x:v>
      </x:c>
      <x:c r="L974" s="117"/>
      <x:c r="M974" s="118"/>
      <x:c r="N974" s="120" t="n">
        <x:v>46142.80321759259</x:v>
      </x:c>
      <x:c r="O974" s="117" t="str">
        <x:v>Sacha Pearce</x:v>
      </x:c>
      <x:c r="P974" s="120" t="n">
        <x:v>46142.80331018518</x:v>
      </x:c>
      <x:c r="Q974" s="117" t="str">
        <x:v>Sacha Pearce</x:v>
      </x:c>
      <x:c r="R974" s="117" t="str">
        <x:v>Create Work Orders from Contract Renewal</x:v>
      </x:c>
      <x:c r="S974" s="119" t="str">
        <x:v>04/03/2026 - V5 - SP - Adding "Country", "Zip/Postal Code", "City", and "Street" mapping to singleWorkOrder.</x:v>
      </x:c>
    </x:row>
    <x:row r="975" ht="30" customHeight="1">
      <x:c r="A975" s="117" t="str">
        <x:v>Create_Work_Orders_from_Contract_Renewal</x:v>
      </x:c>
      <x:c r="B975" s="117" t="str">
        <x:v>300Ro00000aDxwqIAC</x:v>
      </x:c>
      <x:c r="C975" s="117" t="str">
        <x:v>301Ro000014WKIYIA4</x:v>
      </x:c>
      <x:c r="D975" s="118" t="n">
        <x:v>9</x:v>
      </x:c>
      <x:c r="E975" s="117" t="str">
        <x:v>Obsolete</x:v>
      </x:c>
      <x:c r="F975" s="117" t="str">
        <x:v>No</x:v>
      </x:c>
      <x:c r="G975" s="117" t="str">
        <x:v>No</x:v>
      </x:c>
      <x:c r="H975" s="117" t="str">
        <x:v>AutoLaunchedFlow</x:v>
      </x:c>
      <x:c r="I975" s="118" t="n">
        <x:v>64</x:v>
      </x:c>
      <x:c r="J975" s="117" t="str">
        <x:v>unmanaged</x:v>
      </x:c>
      <x:c r="K975" s="123" t="b">
        <x:v>0</x:v>
      </x:c>
      <x:c r="L975" s="117"/>
      <x:c r="M975" s="118"/>
      <x:c r="N975" s="120" t="n">
        <x:v>46142.8097337963</x:v>
      </x:c>
      <x:c r="O975" s="117" t="str">
        <x:v>Sacha Pearce</x:v>
      </x:c>
      <x:c r="P975" s="120" t="n">
        <x:v>46142.81086805555</x:v>
      </x:c>
      <x:c r="Q975" s="117" t="str">
        <x:v>Sacha Pearce</x:v>
      </x:c>
      <x:c r="R975" s="117" t="str">
        <x:v>Create Work Orders from Contract Renewal</x:v>
      </x:c>
      <x:c r="S975" s="119" t="str">
        <x:v>04/03/2026 - V5 - SP - Adding "Update Contract Line Items" to update the "Work Orders Generated" checkbox.</x:v>
      </x:c>
    </x:row>
    <x:row r="976" ht="30" customHeight="1">
      <x:c r="A976" s="117" t="str">
        <x:v>Create_Work_Orders_from_Contract_Renewal</x:v>
      </x:c>
      <x:c r="B976" s="117" t="str">
        <x:v>300Ro00000aDxwqIAC</x:v>
      </x:c>
      <x:c r="C976" s="117" t="str">
        <x:v>301Ro000014WMAgIAO</x:v>
      </x:c>
      <x:c r="D976" s="118" t="n">
        <x:v>10</x:v>
      </x:c>
      <x:c r="E976" s="117" t="str">
        <x:v>Active</x:v>
      </x:c>
      <x:c r="F976" s="117" t="str">
        <x:v>Yes</x:v>
      </x:c>
      <x:c r="G976" s="117" t="str">
        <x:v>No</x:v>
      </x:c>
      <x:c r="H976" s="117" t="str">
        <x:v>AutoLaunchedFlow</x:v>
      </x:c>
      <x:c r="I976" s="118" t="n">
        <x:v>64</x:v>
      </x:c>
      <x:c r="J976" s="117" t="str">
        <x:v>unmanaged</x:v>
      </x:c>
      <x:c r="K976" s="123" t="b">
        <x:v>0</x:v>
      </x:c>
      <x:c r="L976" s="117"/>
      <x:c r="M976" s="118"/>
      <x:c r="N976" s="120" t="n">
        <x:v>46142.81996527778</x:v>
      </x:c>
      <x:c r="O976" s="117" t="str">
        <x:v>Sacha Pearce</x:v>
      </x:c>
      <x:c r="P976" s="120" t="n">
        <x:v>46142.820069444446</x:v>
      </x:c>
      <x:c r="Q976" s="117" t="str">
        <x:v>Sacha Pearce</x:v>
      </x:c>
      <x:c r="R976" s="117" t="str">
        <x:v>Create Work Orders from Contract Renewal</x:v>
      </x:c>
      <x:c r="S976" s="119" t="str">
        <x:v>04/03/2026 - V5 - SP - Updating the Contract Line Items via colvarCLIsToUpdate.</x:v>
      </x:c>
    </x:row>
    <x:row r="977" ht="30" customHeight="1">
      <x:c r="A977" s="117" t="str">
        <x:v>Create_Work_Orders_from_Contract_Renewal</x:v>
      </x:c>
      <x:c r="B977" s="117" t="str">
        <x:v>300Ro00000aDxwqIAC</x:v>
      </x:c>
      <x:c r="C977" s="117" t="str">
        <x:v>301jR0000006ILdQAM</x:v>
      </x:c>
      <x:c r="D977" s="118" t="n">
        <x:v>11</x:v>
      </x:c>
      <x:c r="E977" s="117" t="str">
        <x:v>Draft</x:v>
      </x:c>
      <x:c r="F977" s="117" t="str">
        <x:v>No</x:v>
      </x:c>
      <x:c r="G977" s="117" t="str">
        <x:v>Yes</x:v>
      </x:c>
      <x:c r="H977" s="117" t="str">
        <x:v>AutoLaunchedFlow</x:v>
      </x:c>
      <x:c r="I977" s="118" t="n">
        <x:v>64</x:v>
      </x:c>
      <x:c r="J977" s="117" t="str">
        <x:v>unmanaged</x:v>
      </x:c>
      <x:c r="K977" s="123" t="b">
        <x:v>0</x:v>
      </x:c>
      <x:c r="L977" s="117"/>
      <x:c r="M977" s="118"/>
      <x:c r="N977" s="120" t="n">
        <x:v>46251.4546412037</x:v>
      </x:c>
      <x:c r="O977" s="117" t="str">
        <x:v>Sacha Pearce</x:v>
      </x:c>
      <x:c r="P977" s="120" t="n">
        <x:v>46251.454664351855</x:v>
      </x:c>
      <x:c r="Q977" s="117" t="str">
        <x:v>Sacha Pearce</x:v>
      </x:c>
      <x:c r="R977" s="117" t="str">
        <x:v>Create Work Orders from Contract Renewal</x:v>
      </x:c>
      <x:c r="S977" s="119" t="str">
        <x:v>17/08/2026 - V11 - SP - Querying the created Work Orders to help the "formulaLengthBasedonModality" calculate a value.</x:v>
      </x:c>
    </x:row>
    <x:row r="978" ht="30" customHeight="1">
      <x:c r="A978" s="117" t="str">
        <x:v>CreateRenewalContractFromExistingUK_BETA</x:v>
      </x:c>
      <x:c r="B978" s="117" t="str">
        <x:v>3005b000000LHN0AAO</x:v>
      </x:c>
      <x:c r="C978" s="117" t="str">
        <x:v>3015b000000ACIXAA4</x:v>
      </x:c>
      <x:c r="D978" s="118" t="n">
        <x:v>1</x:v>
      </x:c>
      <x:c r="E978" s="117" t="str">
        <x:v>Draft</x:v>
      </x:c>
      <x:c r="F978" s="117" t="str">
        <x:v>No</x:v>
      </x:c>
      <x:c r="G978" s="117" t="str">
        <x:v>Yes</x:v>
      </x:c>
      <x:c r="H978" s="117" t="str">
        <x:v>Flow</x:v>
      </x:c>
      <x:c r="I978" s="118" t="n">
        <x:v>56</x:v>
      </x:c>
      <x:c r="J978" s="117" t="str">
        <x:v>unmanaged</x:v>
      </x:c>
      <x:c r="K978" s="123" t="b">
        <x:v>0</x:v>
      </x:c>
      <x:c r="L978" s="117"/>
      <x:c r="M978" s="118"/>
      <x:c r="N978" s="120" t="n">
        <x:v>44909.88721064815</x:v>
      </x:c>
      <x:c r="O978" s="117" t="str">
        <x:v>Jace Gentil</x:v>
      </x:c>
      <x:c r="P978" s="120" t="n">
        <x:v>44909.88730324074</x:v>
      </x:c>
      <x:c r="Q978" s="117" t="str">
        <x:v>Jace Gentil</x:v>
      </x:c>
      <x:c r="R978" s="117" t="str">
        <x:v>CreateRenewalContractFromExistingUK - BETA</x:v>
      </x:c>
      <x:c r="S978" s="119"/>
    </x:row>
    <x:row r="979" ht="30" customHeight="1">
      <x:c r="A979" s="117" t="str">
        <x:v>Credit_Approval_Process</x:v>
      </x:c>
      <x:c r="B979" s="117" t="str">
        <x:v>3004O0000000ZxZQAU</x:v>
      </x:c>
      <x:c r="C979" s="117" t="str">
        <x:v>3014O0000001LolQAE</x:v>
      </x:c>
      <x:c r="D979" s="118" t="n">
        <x:v>1</x:v>
      </x:c>
      <x:c r="E979" s="117" t="str">
        <x:v>Obsolete</x:v>
      </x:c>
      <x:c r="F979" s="117" t="str">
        <x:v>No</x:v>
      </x:c>
      <x:c r="G979" s="117" t="str">
        <x:v>No</x:v>
      </x:c>
      <x:c r="H979" s="117" t="str">
        <x:v>Flow</x:v>
      </x:c>
      <x:c r="I979" s="118"/>
      <x:c r="J979" s="117" t="str">
        <x:v>unmanaged</x:v>
      </x:c>
      <x:c r="K979" s="123" t="b">
        <x:v>0</x:v>
      </x:c>
      <x:c r="L979" s="117"/>
      <x:c r="M979" s="118"/>
      <x:c r="N979" s="120" t="n">
        <x:v>44084.74743055556</x:v>
      </x:c>
      <x:c r="O979" s="117" t="str">
        <x:v>Trent VanEmon</x:v>
      </x:c>
      <x:c r="P979" s="120" t="n">
        <x:v>44084.74989583333</x:v>
      </x:c>
      <x:c r="Q979" s="117" t="str">
        <x:v>Trent VanEmon</x:v>
      </x:c>
      <x:c r="R979" s="117" t="str">
        <x:v>Credit Approval Process</x:v>
      </x:c>
      <x:c r="S979" s="119"/>
    </x:row>
    <x:row r="980" ht="30" customHeight="1">
      <x:c r="A980" s="117" t="str">
        <x:v>Credit_Approval_Process</x:v>
      </x:c>
      <x:c r="B980" s="117" t="str">
        <x:v>3004O0000000ZxZQAU</x:v>
      </x:c>
      <x:c r="C980" s="117" t="str">
        <x:v>3014O0000001LoqQAE</x:v>
      </x:c>
      <x:c r="D980" s="118" t="n">
        <x:v>2</x:v>
      </x:c>
      <x:c r="E980" s="117" t="str">
        <x:v>Active</x:v>
      </x:c>
      <x:c r="F980" s="117" t="str">
        <x:v>Yes</x:v>
      </x:c>
      <x:c r="G980" s="117" t="str">
        <x:v>Yes</x:v>
      </x:c>
      <x:c r="H980" s="117" t="str">
        <x:v>Flow</x:v>
      </x:c>
      <x:c r="I980" s="118"/>
      <x:c r="J980" s="117" t="str">
        <x:v>unmanaged</x:v>
      </x:c>
      <x:c r="K980" s="123" t="b">
        <x:v>0</x:v>
      </x:c>
      <x:c r="L980" s="117"/>
      <x:c r="M980" s="118"/>
      <x:c r="N980" s="120" t="n">
        <x:v>44084.750069444446</x:v>
      </x:c>
      <x:c r="O980" s="117" t="str">
        <x:v>Trent VanEmon</x:v>
      </x:c>
      <x:c r="P980" s="120" t="n">
        <x:v>44084.75009259259</x:v>
      </x:c>
      <x:c r="Q980" s="117" t="str">
        <x:v>Trent VanEmon</x:v>
      </x:c>
      <x:c r="R980" s="117" t="str">
        <x:v>Credit Approval Process</x:v>
      </x:c>
      <x:c r="S980" s="119"/>
    </x:row>
    <x:row r="981" ht="30" customHeight="1">
      <x:c r="A981" s="117" t="str">
        <x:v>Credit_Memo</x:v>
      </x:c>
      <x:c r="B981" s="117" t="str">
        <x:v>3004O000000LOr7QAG</x:v>
      </x:c>
      <x:c r="C981" s="117" t="str">
        <x:v>3014O000000M0UuQAK</x:v>
      </x:c>
      <x:c r="D981" s="118" t="n">
        <x:v>1</x:v>
      </x:c>
      <x:c r="E981" s="117" t="str">
        <x:v>Draft</x:v>
      </x:c>
      <x:c r="F981" s="117" t="str">
        <x:v>No</x:v>
      </x:c>
      <x:c r="G981" s="117" t="str">
        <x:v>No</x:v>
      </x:c>
      <x:c r="H981" s="117" t="str">
        <x:v>Workflow</x:v>
      </x:c>
      <x:c r="I981" s="118" t="n">
        <x:v>50</x:v>
      </x:c>
      <x:c r="J981" s="117" t="str">
        <x:v>unmanaged</x:v>
      </x:c>
      <x:c r="K981" s="123" t="b">
        <x:v>0</x:v>
      </x:c>
      <x:c r="L981" s="117"/>
      <x:c r="M981" s="118"/>
      <x:c r="N981" s="120" t="n">
        <x:v>44199.60532407407</x:v>
      </x:c>
      <x:c r="O981" s="117" t="str">
        <x:v>Delegate</x:v>
      </x:c>
      <x:c r="P981" s="120" t="n">
        <x:v>44199.60534722222</x:v>
      </x:c>
      <x:c r="Q981" s="117" t="str">
        <x:v>Delegate</x:v>
      </x:c>
      <x:c r="R981" s="117" t="str">
        <x:v>Credit Memo</x:v>
      </x:c>
      <x:c r="S981" s="119"/>
    </x:row>
    <x:row r="982" ht="30" customHeight="1">
      <x:c r="A982" s="117" t="str">
        <x:v>Credit_Memo</x:v>
      </x:c>
      <x:c r="B982" s="117" t="str">
        <x:v>3004O000000LOr7QAG</x:v>
      </x:c>
      <x:c r="C982" s="117" t="str">
        <x:v>3014O000000M0WEQA0</x:v>
      </x:c>
      <x:c r="D982" s="118" t="n">
        <x:v>2</x:v>
      </x:c>
      <x:c r="E982" s="117" t="str">
        <x:v>Obsolete</x:v>
      </x:c>
      <x:c r="F982" s="117" t="str">
        <x:v>No</x:v>
      </x:c>
      <x:c r="G982" s="117" t="str">
        <x:v>No</x:v>
      </x:c>
      <x:c r="H982" s="117" t="str">
        <x:v>Workflow</x:v>
      </x:c>
      <x:c r="I982" s="118" t="n">
        <x:v>50</x:v>
      </x:c>
      <x:c r="J982" s="117" t="str">
        <x:v>unmanaged</x:v>
      </x:c>
      <x:c r="K982" s="123" t="b">
        <x:v>0</x:v>
      </x:c>
      <x:c r="L982" s="117"/>
      <x:c r="M982" s="118"/>
      <x:c r="N982" s="120" t="n">
        <x:v>44199.68255787037</x:v>
      </x:c>
      <x:c r="O982" s="117" t="str">
        <x:v>Delegate</x:v>
      </x:c>
      <x:c r="P982" s="120" t="n">
        <x:v>44218.64849537037</x:v>
      </x:c>
      <x:c r="Q982" s="117" t="str">
        <x:v>Trent VanEmon</x:v>
      </x:c>
      <x:c r="R982" s="117" t="str">
        <x:v>Credit Memo</x:v>
      </x:c>
      <x:c r="S982" s="119"/>
    </x:row>
    <x:row r="983" ht="30" customHeight="1">
      <x:c r="A983" s="117" t="str">
        <x:v>Credit_Memo</x:v>
      </x:c>
      <x:c r="B983" s="117" t="str">
        <x:v>3004O000000LOr7QAG</x:v>
      </x:c>
      <x:c r="C983" s="117" t="str">
        <x:v>3014O000000M15HQAS</x:v>
      </x:c>
      <x:c r="D983" s="118" t="n">
        <x:v>3</x:v>
      </x:c>
      <x:c r="E983" s="117" t="str">
        <x:v>Obsolete</x:v>
      </x:c>
      <x:c r="F983" s="117" t="str">
        <x:v>No</x:v>
      </x:c>
      <x:c r="G983" s="117" t="str">
        <x:v>No</x:v>
      </x:c>
      <x:c r="H983" s="117" t="str">
        <x:v>Workflow</x:v>
      </x:c>
      <x:c r="I983" s="118" t="n">
        <x:v>50</x:v>
      </x:c>
      <x:c r="J983" s="117" t="str">
        <x:v>unmanaged</x:v>
      </x:c>
      <x:c r="K983" s="123" t="b">
        <x:v>0</x:v>
      </x:c>
      <x:c r="L983" s="117"/>
      <x:c r="M983" s="118"/>
      <x:c r="N983" s="120" t="n">
        <x:v>44218.65460648148</x:v>
      </x:c>
      <x:c r="O983" s="117" t="str">
        <x:v>Trent VanEmon</x:v>
      </x:c>
      <x:c r="P983" s="120" t="n">
        <x:v>44229.54539351852</x:v>
      </x:c>
      <x:c r="Q983" s="117" t="str">
        <x:v>Trent VanEmon</x:v>
      </x:c>
      <x:c r="R983" s="117" t="str">
        <x:v>Credit Memo</x:v>
      </x:c>
      <x:c r="S983" s="119"/>
    </x:row>
    <x:row r="984" ht="30" customHeight="1">
      <x:c r="A984" s="117" t="str">
        <x:v>Credit_Memo</x:v>
      </x:c>
      <x:c r="B984" s="117" t="str">
        <x:v>3004O000000LOr7QAG</x:v>
      </x:c>
      <x:c r="C984" s="117" t="str">
        <x:v>3014O000000M1IBQA0</x:v>
      </x:c>
      <x:c r="D984" s="118" t="n">
        <x:v>4</x:v>
      </x:c>
      <x:c r="E984" s="117" t="str">
        <x:v>Obsolete</x:v>
      </x:c>
      <x:c r="F984" s="117" t="str">
        <x:v>No</x:v>
      </x:c>
      <x:c r="G984" s="117" t="str">
        <x:v>No</x:v>
      </x:c>
      <x:c r="H984" s="117" t="str">
        <x:v>Workflow</x:v>
      </x:c>
      <x:c r="I984" s="118" t="n">
        <x:v>50</x:v>
      </x:c>
      <x:c r="J984" s="117" t="str">
        <x:v>unmanaged</x:v>
      </x:c>
      <x:c r="K984" s="123" t="b">
        <x:v>0</x:v>
      </x:c>
      <x:c r="L984" s="117"/>
      <x:c r="M984" s="118"/>
      <x:c r="N984" s="120" t="n">
        <x:v>44229.545694444445</x:v>
      </x:c>
      <x:c r="O984" s="117" t="str">
        <x:v>Trent VanEmon</x:v>
      </x:c>
      <x:c r="P984" s="120" t="n">
        <x:v>44229.54574074074</x:v>
      </x:c>
      <x:c r="Q984" s="117" t="str">
        <x:v>Trent VanEmon</x:v>
      </x:c>
      <x:c r="R984" s="117" t="str">
        <x:v>Credit Memo</x:v>
      </x:c>
      <x:c r="S984" s="119"/>
    </x:row>
    <x:row r="985" ht="30" customHeight="1">
      <x:c r="A985" s="117" t="str">
        <x:v>Credit_Memo</x:v>
      </x:c>
      <x:c r="B985" s="117" t="str">
        <x:v>3004O000000LOr7QAG</x:v>
      </x:c>
      <x:c r="C985" s="117" t="str">
        <x:v>3014O000000M1niQAC</x:v>
      </x:c>
      <x:c r="D985" s="118" t="n">
        <x:v>5</x:v>
      </x:c>
      <x:c r="E985" s="117" t="str">
        <x:v>Obsolete</x:v>
      </x:c>
      <x:c r="F985" s="117" t="str">
        <x:v>No</x:v>
      </x:c>
      <x:c r="G985" s="117" t="str">
        <x:v>No</x:v>
      </x:c>
      <x:c r="H985" s="117" t="str">
        <x:v>Workflow</x:v>
      </x:c>
      <x:c r="I985" s="118" t="n">
        <x:v>50</x:v>
      </x:c>
      <x:c r="J985" s="117" t="str">
        <x:v>unmanaged</x:v>
      </x:c>
      <x:c r="K985" s="123" t="b">
        <x:v>0</x:v>
      </x:c>
      <x:c r="L985" s="117"/>
      <x:c r="M985" s="118"/>
      <x:c r="N985" s="120" t="n">
        <x:v>44245.62116898148</x:v>
      </x:c>
      <x:c r="O985" s="117" t="str">
        <x:v>Delegate</x:v>
      </x:c>
      <x:c r="P985" s="120" t="n">
        <x:v>44266.740949074076</x:v>
      </x:c>
      <x:c r="Q985" s="117" t="str">
        <x:v>Trent VanEmon</x:v>
      </x:c>
      <x:c r="R985" s="117" t="str">
        <x:v>Credit Memo</x:v>
      </x:c>
      <x:c r="S985" s="119"/>
    </x:row>
    <x:row r="986" ht="30" customHeight="1">
      <x:c r="A986" s="117" t="str">
        <x:v>Credit_Memo</x:v>
      </x:c>
      <x:c r="B986" s="117" t="str">
        <x:v>3004O000000LOr7QAG</x:v>
      </x:c>
      <x:c r="C986" s="117" t="str">
        <x:v>3014O000000M1pUQAS</x:v>
      </x:c>
      <x:c r="D986" s="118" t="n">
        <x:v>6</x:v>
      </x:c>
      <x:c r="E986" s="117" t="str">
        <x:v>Draft</x:v>
      </x:c>
      <x:c r="F986" s="117" t="str">
        <x:v>No</x:v>
      </x:c>
      <x:c r="G986" s="117" t="str">
        <x:v>No</x:v>
      </x:c>
      <x:c r="H986" s="117" t="str">
        <x:v>Workflow</x:v>
      </x:c>
      <x:c r="I986" s="118" t="n">
        <x:v>50</x:v>
      </x:c>
      <x:c r="J986" s="117" t="str">
        <x:v>unmanaged</x:v>
      </x:c>
      <x:c r="K986" s="123" t="b">
        <x:v>0</x:v>
      </x:c>
      <x:c r="L986" s="117"/>
      <x:c r="M986" s="118"/>
      <x:c r="N986" s="120" t="n">
        <x:v>44246.82157407407</x:v>
      </x:c>
      <x:c r="O986" s="117" t="str">
        <x:v>Delegate</x:v>
      </x:c>
      <x:c r="P986" s="120" t="n">
        <x:v>44246.82158564815</x:v>
      </x:c>
      <x:c r="Q986" s="117" t="str">
        <x:v>Delegate</x:v>
      </x:c>
      <x:c r="R986" s="117" t="str">
        <x:v>Credit Memo</x:v>
      </x:c>
      <x:c r="S986" s="119"/>
    </x:row>
    <x:row r="987" ht="30" customHeight="1">
      <x:c r="A987" s="117" t="str">
        <x:v>Credit_Memo</x:v>
      </x:c>
      <x:c r="B987" s="117" t="str">
        <x:v>3004O000000LOr7QAG</x:v>
      </x:c>
      <x:c r="C987" s="117" t="str">
        <x:v>3014O000000YAD7QAO</x:v>
      </x:c>
      <x:c r="D987" s="118" t="n">
        <x:v>7</x:v>
      </x:c>
      <x:c r="E987" s="117" t="str">
        <x:v>Obsolete</x:v>
      </x:c>
      <x:c r="F987" s="117" t="str">
        <x:v>No</x:v>
      </x:c>
      <x:c r="G987" s="117" t="str">
        <x:v>No</x:v>
      </x:c>
      <x:c r="H987" s="117" t="str">
        <x:v>Workflow</x:v>
      </x:c>
      <x:c r="I987" s="118" t="n">
        <x:v>50</x:v>
      </x:c>
      <x:c r="J987" s="117" t="str">
        <x:v>unmanaged</x:v>
      </x:c>
      <x:c r="K987" s="123" t="b">
        <x:v>0</x:v>
      </x:c>
      <x:c r="L987" s="117"/>
      <x:c r="M987" s="118"/>
      <x:c r="N987" s="120" t="n">
        <x:v>44265.645949074074</x:v>
      </x:c>
      <x:c r="O987" s="117" t="str">
        <x:v>Trent VanEmon</x:v>
      </x:c>
      <x:c r="P987" s="120" t="n">
        <x:v>44266.74078703704</x:v>
      </x:c>
      <x:c r="Q987" s="117" t="str">
        <x:v>Trent VanEmon</x:v>
      </x:c>
      <x:c r="R987" s="117" t="str">
        <x:v>Credit Memo</x:v>
      </x:c>
      <x:c r="S987" s="119"/>
    </x:row>
    <x:row r="988" ht="30" customHeight="1">
      <x:c r="A988" s="117" t="str">
        <x:v>Credit_Memo</x:v>
      </x:c>
      <x:c r="B988" s="117" t="str">
        <x:v>3004O000000LOr7QAG</x:v>
      </x:c>
      <x:c r="C988" s="117" t="str">
        <x:v>3014O000000YB0XQAW</x:v>
      </x:c>
      <x:c r="D988" s="118" t="n">
        <x:v>8</x:v>
      </x:c>
      <x:c r="E988" s="117" t="str">
        <x:v>Obsolete</x:v>
      </x:c>
      <x:c r="F988" s="117" t="str">
        <x:v>No</x:v>
      </x:c>
      <x:c r="G988" s="117" t="str">
        <x:v>No</x:v>
      </x:c>
      <x:c r="H988" s="117" t="str">
        <x:v>Workflow</x:v>
      </x:c>
      <x:c r="I988" s="118" t="n">
        <x:v>50</x:v>
      </x:c>
      <x:c r="J988" s="117" t="str">
        <x:v>unmanaged</x:v>
      </x:c>
      <x:c r="K988" s="123" t="b">
        <x:v>0</x:v>
      </x:c>
      <x:c r="L988" s="117"/>
      <x:c r="M988" s="118"/>
      <x:c r="N988" s="120" t="n">
        <x:v>44308.75628472222</x:v>
      </x:c>
      <x:c r="O988" s="117" t="str">
        <x:v>Delegate</x:v>
      </x:c>
      <x:c r="P988" s="120" t="n">
        <x:v>44308.756319444445</x:v>
      </x:c>
      <x:c r="Q988" s="117" t="str">
        <x:v>Delegate</x:v>
      </x:c>
      <x:c r="R988" s="117" t="str">
        <x:v>Credit Memo</x:v>
      </x:c>
      <x:c r="S988" s="119"/>
    </x:row>
    <x:row r="989" ht="30" customHeight="1">
      <x:c r="A989" s="117" t="str">
        <x:v>Credit_Memo</x:v>
      </x:c>
      <x:c r="B989" s="117" t="str">
        <x:v>3004O000000LOr7QAG</x:v>
      </x:c>
      <x:c r="C989" s="117" t="str">
        <x:v>3014O000000YB0QQAW</x:v>
      </x:c>
      <x:c r="D989" s="118" t="n">
        <x:v>9</x:v>
      </x:c>
      <x:c r="E989" s="117" t="str">
        <x:v>Obsolete</x:v>
      </x:c>
      <x:c r="F989" s="117" t="str">
        <x:v>No</x:v>
      </x:c>
      <x:c r="G989" s="117" t="str">
        <x:v>No</x:v>
      </x:c>
      <x:c r="H989" s="117" t="str">
        <x:v>Workflow</x:v>
      </x:c>
      <x:c r="I989" s="118" t="n">
        <x:v>50</x:v>
      </x:c>
      <x:c r="J989" s="117" t="str">
        <x:v>unmanaged</x:v>
      </x:c>
      <x:c r="K989" s="123" t="b">
        <x:v>0</x:v>
      </x:c>
      <x:c r="L989" s="117"/>
      <x:c r="M989" s="118"/>
      <x:c r="N989" s="120" t="n">
        <x:v>44308.757152777776</x:v>
      </x:c>
      <x:c r="O989" s="117" t="str">
        <x:v>Delegate</x:v>
      </x:c>
      <x:c r="P989" s="120" t="n">
        <x:v>44308.757199074076</x:v>
      </x:c>
      <x:c r="Q989" s="117" t="str">
        <x:v>Delegate</x:v>
      </x:c>
      <x:c r="R989" s="117" t="str">
        <x:v>Credit Memo</x:v>
      </x:c>
      <x:c r="S989" s="119"/>
    </x:row>
    <x:row r="990" ht="30" customHeight="1">
      <x:c r="A990" s="117" t="str">
        <x:v>Credit_Memo</x:v>
      </x:c>
      <x:c r="B990" s="117" t="str">
        <x:v>3004O000000LOr7QAG</x:v>
      </x:c>
      <x:c r="C990" s="117" t="str">
        <x:v>3015b000000EJczAAG</x:v>
      </x:c>
      <x:c r="D990" s="118" t="n">
        <x:v>10</x:v>
      </x:c>
      <x:c r="E990" s="117" t="str">
        <x:v>Obsolete</x:v>
      </x:c>
      <x:c r="F990" s="117" t="str">
        <x:v>No</x:v>
      </x:c>
      <x:c r="G990" s="117" t="str">
        <x:v>No</x:v>
      </x:c>
      <x:c r="H990" s="117" t="str">
        <x:v>Workflow</x:v>
      </x:c>
      <x:c r="I990" s="118" t="n">
        <x:v>50</x:v>
      </x:c>
      <x:c r="J990" s="117" t="str">
        <x:v>unmanaged</x:v>
      </x:c>
      <x:c r="K990" s="123" t="b">
        <x:v>0</x:v>
      </x:c>
      <x:c r="L990" s="117"/>
      <x:c r="M990" s="118"/>
      <x:c r="N990" s="120" t="n">
        <x:v>44694.500069444446</x:v>
      </x:c>
      <x:c r="O990" s="117" t="str">
        <x:v>Delegate</x:v>
      </x:c>
      <x:c r="P990" s="120" t="n">
        <x:v>44694.500127314815</x:v>
      </x:c>
      <x:c r="Q990" s="117" t="str">
        <x:v>Delegate</x:v>
      </x:c>
      <x:c r="R990" s="117" t="str">
        <x:v>Credit Memo</x:v>
      </x:c>
      <x:c r="S990" s="119"/>
    </x:row>
    <x:row r="991" ht="30" customHeight="1">
      <x:c r="A991" s="117" t="str">
        <x:v>Credit_Memo</x:v>
      </x:c>
      <x:c r="B991" s="117" t="str">
        <x:v>3004O000000LOr7QAG</x:v>
      </x:c>
      <x:c r="C991" s="117" t="str">
        <x:v>3015b000000EJdXAAW</x:v>
      </x:c>
      <x:c r="D991" s="118" t="n">
        <x:v>11</x:v>
      </x:c>
      <x:c r="E991" s="117" t="str">
        <x:v>Obsolete</x:v>
      </x:c>
      <x:c r="F991" s="117" t="str">
        <x:v>No</x:v>
      </x:c>
      <x:c r="G991" s="117" t="str">
        <x:v>No</x:v>
      </x:c>
      <x:c r="H991" s="117" t="str">
        <x:v>Workflow</x:v>
      </x:c>
      <x:c r="I991" s="118" t="n">
        <x:v>50</x:v>
      </x:c>
      <x:c r="J991" s="117" t="str">
        <x:v>unmanaged</x:v>
      </x:c>
      <x:c r="K991" s="123" t="b">
        <x:v>0</x:v>
      </x:c>
      <x:c r="L991" s="117"/>
      <x:c r="M991" s="118"/>
      <x:c r="N991" s="120" t="n">
        <x:v>44694.53475694444</x:v>
      </x:c>
      <x:c r="O991" s="117" t="str">
        <x:v>Delegate</x:v>
      </x:c>
      <x:c r="P991" s="120" t="n">
        <x:v>44694.53942129629</x:v>
      </x:c>
      <x:c r="Q991" s="117" t="str">
        <x:v>Delegate</x:v>
      </x:c>
      <x:c r="R991" s="117" t="str">
        <x:v>Credit Memo</x:v>
      </x:c>
      <x:c r="S991" s="119"/>
    </x:row>
    <x:row r="992" ht="30" customHeight="1">
      <x:c r="A992" s="117" t="str">
        <x:v>Credit_Memo</x:v>
      </x:c>
      <x:c r="B992" s="117" t="str">
        <x:v>3004O000000LOr7QAG</x:v>
      </x:c>
      <x:c r="C992" s="117" t="str">
        <x:v>3015b000000EJdOAAW</x:v>
      </x:c>
      <x:c r="D992" s="118" t="n">
        <x:v>12</x:v>
      </x:c>
      <x:c r="E992" s="117" t="str">
        <x:v>Obsolete</x:v>
      </x:c>
      <x:c r="F992" s="117" t="str">
        <x:v>No</x:v>
      </x:c>
      <x:c r="G992" s="117" t="str">
        <x:v>No</x:v>
      </x:c>
      <x:c r="H992" s="117" t="str">
        <x:v>Workflow</x:v>
      </x:c>
      <x:c r="I992" s="118" t="n">
        <x:v>50</x:v>
      </x:c>
      <x:c r="J992" s="117" t="str">
        <x:v>unmanaged</x:v>
      </x:c>
      <x:c r="K992" s="123" t="b">
        <x:v>0</x:v>
      </x:c>
      <x:c r="L992" s="117"/>
      <x:c r="M992" s="118"/>
      <x:c r="N992" s="120" t="n">
        <x:v>44694.54541666667</x:v>
      </x:c>
      <x:c r="O992" s="117" t="str">
        <x:v>Delegate</x:v>
      </x:c>
      <x:c r="P992" s="120" t="n">
        <x:v>44694.54550925926</x:v>
      </x:c>
      <x:c r="Q992" s="117" t="str">
        <x:v>Delegate</x:v>
      </x:c>
      <x:c r="R992" s="117" t="str">
        <x:v>Credit Memo</x:v>
      </x:c>
      <x:c r="S992" s="119"/>
    </x:row>
    <x:row r="993" ht="30" customHeight="1">
      <x:c r="A993" s="117" t="str">
        <x:v>Credit_Memo</x:v>
      </x:c>
      <x:c r="B993" s="117" t="str">
        <x:v>3004O000000LOr7QAG</x:v>
      </x:c>
      <x:c r="C993" s="117" t="str">
        <x:v>3015b000000A3B3AAK</x:v>
      </x:c>
      <x:c r="D993" s="118" t="n">
        <x:v>13</x:v>
      </x:c>
      <x:c r="E993" s="117" t="str">
        <x:v>Obsolete</x:v>
      </x:c>
      <x:c r="F993" s="117" t="str">
        <x:v>No</x:v>
      </x:c>
      <x:c r="G993" s="117" t="str">
        <x:v>No</x:v>
      </x:c>
      <x:c r="H993" s="117" t="str">
        <x:v>Workflow</x:v>
      </x:c>
      <x:c r="I993" s="118" t="n">
        <x:v>50</x:v>
      </x:c>
      <x:c r="J993" s="117" t="str">
        <x:v>unmanaged</x:v>
      </x:c>
      <x:c r="K993" s="123" t="b">
        <x:v>0</x:v>
      </x:c>
      <x:c r="L993" s="117"/>
      <x:c r="M993" s="118"/>
      <x:c r="N993" s="120" t="n">
        <x:v>44768.58037037037</x:v>
      </x:c>
      <x:c r="O993" s="117" t="str">
        <x:v>Delegate</x:v>
      </x:c>
      <x:c r="P993" s="120" t="n">
        <x:v>44768.58048611111</x:v>
      </x:c>
      <x:c r="Q993" s="117" t="str">
        <x:v>Delegate</x:v>
      </x:c>
      <x:c r="R993" s="117" t="str">
        <x:v>Credit Memo</x:v>
      </x:c>
      <x:c r="S993" s="119"/>
    </x:row>
    <x:row r="994" ht="30" customHeight="1">
      <x:c r="A994" s="117" t="str">
        <x:v>Credit_Memo</x:v>
      </x:c>
      <x:c r="B994" s="117" t="str">
        <x:v>3004O000000LOr7QAG</x:v>
      </x:c>
      <x:c r="C994" s="117" t="str">
        <x:v>3015b000000EL4RAAW</x:v>
      </x:c>
      <x:c r="D994" s="118" t="n">
        <x:v>14</x:v>
      </x:c>
      <x:c r="E994" s="117" t="str">
        <x:v>Obsolete</x:v>
      </x:c>
      <x:c r="F994" s="117" t="str">
        <x:v>No</x:v>
      </x:c>
      <x:c r="G994" s="117" t="str">
        <x:v>No</x:v>
      </x:c>
      <x:c r="H994" s="117" t="str">
        <x:v>Workflow</x:v>
      </x:c>
      <x:c r="I994" s="118" t="n">
        <x:v>50</x:v>
      </x:c>
      <x:c r="J994" s="117" t="str">
        <x:v>unmanaged</x:v>
      </x:c>
      <x:c r="K994" s="123" t="b">
        <x:v>0</x:v>
      </x:c>
      <x:c r="L994" s="117"/>
      <x:c r="M994" s="118"/>
      <x:c r="N994" s="120" t="n">
        <x:v>44770.57946759259</x:v>
      </x:c>
      <x:c r="O994" s="117" t="str">
        <x:v>Delegate</x:v>
      </x:c>
      <x:c r="P994" s="120" t="n">
        <x:v>44770.57959490741</x:v>
      </x:c>
      <x:c r="Q994" s="117" t="str">
        <x:v>Delegate</x:v>
      </x:c>
      <x:c r="R994" s="117" t="str">
        <x:v>Credit Memo</x:v>
      </x:c>
      <x:c r="S994" s="119"/>
    </x:row>
    <x:row r="995" ht="30" customHeight="1">
      <x:c r="A995" s="117" t="str">
        <x:v>Credit_Memo</x:v>
      </x:c>
      <x:c r="B995" s="117" t="str">
        <x:v>3004O000000LOr7QAG</x:v>
      </x:c>
      <x:c r="C995" s="117" t="str">
        <x:v>3015b0000011LaGAAU</x:v>
      </x:c>
      <x:c r="D995" s="118" t="n">
        <x:v>15</x:v>
      </x:c>
      <x:c r="E995" s="117" t="str">
        <x:v>Obsolete</x:v>
      </x:c>
      <x:c r="F995" s="117" t="str">
        <x:v>No</x:v>
      </x:c>
      <x:c r="G995" s="117" t="str">
        <x:v>No</x:v>
      </x:c>
      <x:c r="H995" s="117" t="str">
        <x:v>Workflow</x:v>
      </x:c>
      <x:c r="I995" s="118" t="n">
        <x:v>50</x:v>
      </x:c>
      <x:c r="J995" s="117" t="str">
        <x:v>unmanaged</x:v>
      </x:c>
      <x:c r="K995" s="123" t="b">
        <x:v>0</x:v>
      </x:c>
      <x:c r="L995" s="117"/>
      <x:c r="M995" s="118"/>
      <x:c r="N995" s="120" t="n">
        <x:v>45222.56300925926</x:v>
      </x:c>
      <x:c r="O995" s="117" t="str">
        <x:v>Jace Gentil</x:v>
      </x:c>
      <x:c r="P995" s="120" t="n">
        <x:v>45222.563125</x:v>
      </x:c>
      <x:c r="Q995" s="117" t="str">
        <x:v>Jace Gentil</x:v>
      </x:c>
      <x:c r="R995" s="117" t="str">
        <x:v>Credit Memo</x:v>
      </x:c>
      <x:c r="S995" s="119"/>
    </x:row>
    <x:row r="996" ht="30" customHeight="1">
      <x:c r="A996" s="117" t="str">
        <x:v>Credit_Memo</x:v>
      </x:c>
      <x:c r="B996" s="117" t="str">
        <x:v>3004O000000LOr7QAG</x:v>
      </x:c>
      <x:c r="C996" s="117" t="str">
        <x:v>3015b0000011LklAAE</x:v>
      </x:c>
      <x:c r="D996" s="118" t="n">
        <x:v>16</x:v>
      </x:c>
      <x:c r="E996" s="117" t="str">
        <x:v>Obsolete</x:v>
      </x:c>
      <x:c r="F996" s="117" t="str">
        <x:v>No</x:v>
      </x:c>
      <x:c r="G996" s="117" t="str">
        <x:v>No</x:v>
      </x:c>
      <x:c r="H996" s="117" t="str">
        <x:v>Workflow</x:v>
      </x:c>
      <x:c r="I996" s="118" t="n">
        <x:v>50</x:v>
      </x:c>
      <x:c r="J996" s="117" t="str">
        <x:v>unmanaged</x:v>
      </x:c>
      <x:c r="K996" s="123" t="b">
        <x:v>0</x:v>
      </x:c>
      <x:c r="L996" s="117"/>
      <x:c r="M996" s="118"/>
      <x:c r="N996" s="120" t="n">
        <x:v>45224.63458333333</x:v>
      </x:c>
      <x:c r="O996" s="117" t="str">
        <x:v>Jon Kean</x:v>
      </x:c>
      <x:c r="P996" s="120" t="n">
        <x:v>45302.82564814815</x:v>
      </x:c>
      <x:c r="Q996" s="117" t="str">
        <x:v>Delegate</x:v>
      </x:c>
      <x:c r="R996" s="117" t="str">
        <x:v>Credit Memo</x:v>
      </x:c>
      <x:c r="S996" s="119"/>
    </x:row>
    <x:row r="997" ht="30" customHeight="1">
      <x:c r="A997" s="117" t="str">
        <x:v>Credit_Memo</x:v>
      </x:c>
      <x:c r="B997" s="117" t="str">
        <x:v>3004O000000LOr7QAG</x:v>
      </x:c>
      <x:c r="C997" s="117" t="str">
        <x:v>3015b0000011N8nAAE</x:v>
      </x:c>
      <x:c r="D997" s="118" t="n">
        <x:v>17</x:v>
      </x:c>
      <x:c r="E997" s="117" t="str">
        <x:v>Draft</x:v>
      </x:c>
      <x:c r="F997" s="117" t="str">
        <x:v>No</x:v>
      </x:c>
      <x:c r="G997" s="117" t="str">
        <x:v>Yes</x:v>
      </x:c>
      <x:c r="H997" s="117" t="str">
        <x:v>Workflow</x:v>
      </x:c>
      <x:c r="I997" s="118" t="n">
        <x:v>50</x:v>
      </x:c>
      <x:c r="J997" s="117" t="str">
        <x:v>unmanaged</x:v>
      </x:c>
      <x:c r="K997" s="123" t="b">
        <x:v>0</x:v>
      </x:c>
      <x:c r="L997" s="117"/>
      <x:c r="M997" s="118"/>
      <x:c r="N997" s="120" t="n">
        <x:v>45302.827199074076</x:v>
      </x:c>
      <x:c r="O997" s="117" t="str">
        <x:v>Delegate</x:v>
      </x:c>
      <x:c r="P997" s="120" t="n">
        <x:v>45302.82722222222</x:v>
      </x:c>
      <x:c r="Q997" s="117" t="str">
        <x:v>Delegate</x:v>
      </x:c>
      <x:c r="R997" s="117" t="str">
        <x:v>Credit Memo</x:v>
      </x:c>
      <x:c r="S997" s="119" t="str">
        <x:v>AM: Converted to Flow (Credit Memo Automations) 1/11/24</x:v>
      </x:c>
    </x:row>
    <x:row r="998" ht="30" customHeight="1">
      <x:c r="A998" s="117" t="str">
        <x:v>Credit_Memo_1</x:v>
      </x:c>
      <x:c r="B998" s="117" t="str">
        <x:v>3005b00000113moAAA</x:v>
      </x:c>
      <x:c r="C998" s="117" t="str">
        <x:v>3015b0000011N8iAAE</x:v>
      </x:c>
      <x:c r="D998" s="118" t="n">
        <x:v>1</x:v>
      </x:c>
      <x:c r="E998" s="117" t="str">
        <x:v>Obsolete</x:v>
      </x:c>
      <x:c r="F998" s="117" t="str">
        <x:v>No</x:v>
      </x:c>
      <x:c r="G998" s="117" t="str">
        <x:v>No</x:v>
      </x:c>
      <x:c r="H998" s="117" t="str">
        <x:v>AutoLaunchedFlow</x:v>
      </x:c>
      <x:c r="I998" s="118" t="n">
        <x:v>59</x:v>
      </x:c>
      <x:c r="J998" s="117" t="str">
        <x:v>unmanaged</x:v>
      </x:c>
      <x:c r="K998" s="123" t="b">
        <x:v>0</x:v>
      </x:c>
      <x:c r="L998" s="117"/>
      <x:c r="M998" s="118"/>
      <x:c r="N998" s="120" t="n">
        <x:v>45302.825208333335</x:v>
      </x:c>
      <x:c r="O998" s="117" t="str">
        <x:v>Delegate</x:v>
      </x:c>
      <x:c r="P998" s="120" t="n">
        <x:v>45302.8262962963</x:v>
      </x:c>
      <x:c r="Q998" s="117" t="str">
        <x:v>Delegate</x:v>
      </x:c>
      <x:c r="R998" s="117" t="str">
        <x:v>Credit Memo Automations</x:v>
      </x:c>
      <x:c r="S998" s="119" t="str">
        <x:v>Migrated from the Credit Memo process using multiple criteria.</x:v>
      </x:c>
    </x:row>
    <x:row r="999" ht="30" customHeight="1">
      <x:c r="A999" s="117" t="str">
        <x:v>Credit_Memo_1</x:v>
      </x:c>
      <x:c r="B999" s="117" t="str">
        <x:v>3005b00000113moAAA</x:v>
      </x:c>
      <x:c r="C999" s="117" t="str">
        <x:v>301Ro000006drgyIAA</x:v>
      </x:c>
      <x:c r="D999" s="118" t="n">
        <x:v>2</x:v>
      </x:c>
      <x:c r="E999" s="117" t="str">
        <x:v>Obsolete</x:v>
      </x:c>
      <x:c r="F999" s="117" t="str">
        <x:v>No</x:v>
      </x:c>
      <x:c r="G999" s="117" t="str">
        <x:v>No</x:v>
      </x:c>
      <x:c r="H999" s="117" t="str">
        <x:v>AutoLaunchedFlow</x:v>
      </x:c>
      <x:c r="I999" s="118" t="n">
        <x:v>59</x:v>
      </x:c>
      <x:c r="J999" s="117" t="str">
        <x:v>unmanaged</x:v>
      </x:c>
      <x:c r="K999" s="123" t="b">
        <x:v>0</x:v>
      </x:c>
      <x:c r="L999" s="117"/>
      <x:c r="M999" s="118"/>
      <x:c r="N999" s="120" t="n">
        <x:v>45321.695625</x:v>
      </x:c>
      <x:c r="O999" s="117" t="str">
        <x:v>Delegate</x:v>
      </x:c>
      <x:c r="P999" s="120" t="n">
        <x:v>45321.69565972222</x:v>
      </x:c>
      <x:c r="Q999" s="117" t="str">
        <x:v>Delegate</x:v>
      </x:c>
      <x:c r="R999" s="117" t="str">
        <x:v>Credit Memo Automations</x:v>
      </x:c>
      <x:c r="S999" s="119" t="str">
        <x:v>01/20/24 (BW) - Added submitting for approval process flow</x:v>
      </x:c>
    </x:row>
    <x:row r="1000" ht="30" customHeight="1">
      <x:c r="A1000" s="117" t="str">
        <x:v>Credit_Memo_1</x:v>
      </x:c>
      <x:c r="B1000" s="117" t="str">
        <x:v>3005b00000113moAAA</x:v>
      </x:c>
      <x:c r="C1000" s="117" t="str">
        <x:v>301Ro00000RLArFIAX</x:v>
      </x:c>
      <x:c r="D1000" s="118" t="n">
        <x:v>3</x:v>
      </x:c>
      <x:c r="E1000" s="117" t="str">
        <x:v>Obsolete</x:v>
      </x:c>
      <x:c r="F1000" s="117" t="str">
        <x:v>No</x:v>
      </x:c>
      <x:c r="G1000" s="117" t="str">
        <x:v>No</x:v>
      </x:c>
      <x:c r="H1000" s="117" t="str">
        <x:v>AutoLaunchedFlow</x:v>
      </x:c>
      <x:c r="I1000" s="118" t="n">
        <x:v>59</x:v>
      </x:c>
      <x:c r="J1000" s="117" t="str">
        <x:v>unmanaged</x:v>
      </x:c>
      <x:c r="K1000" s="123" t="b">
        <x:v>0</x:v>
      </x:c>
      <x:c r="L1000" s="117"/>
      <x:c r="M1000" s="118"/>
      <x:c r="N1000" s="120" t="n">
        <x:v>45657.143217592595</x:v>
      </x:c>
      <x:c r="O1000" s="117" t="str">
        <x:v>Delegate</x:v>
      </x:c>
      <x:c r="P1000" s="120" t="n">
        <x:v>45657.14744212963</x:v>
      </x:c>
      <x:c r="Q1000" s="117" t="str">
        <x:v>Delegate</x:v>
      </x:c>
      <x:c r="R1000" s="117" t="str">
        <x:v>Credit Memo Automations</x:v>
      </x:c>
      <x:c r="S1000" s="119" t="str">
        <x:v>12/23/24 (CDM) - Updated Update Amount on Invoice Decision node to only update when Stage from the Submit Credit Memo is Changed and is set to Approved</x:v>
      </x:c>
    </x:row>
    <x:row r="1001" ht="30" customHeight="1">
      <x:c r="A1001" s="117" t="str">
        <x:v>Credit_Memo_1</x:v>
      </x:c>
      <x:c r="B1001" s="117" t="str">
        <x:v>3005b00000113moAAA</x:v>
      </x:c>
      <x:c r="C1001" s="117" t="str">
        <x:v>301Ro00000uzPMGIA2</x:v>
      </x:c>
      <x:c r="D1001" s="118" t="n">
        <x:v>4</x:v>
      </x:c>
      <x:c r="E1001" s="117" t="str">
        <x:v>Obsolete</x:v>
      </x:c>
      <x:c r="F1001" s="117" t="str">
        <x:v>No</x:v>
      </x:c>
      <x:c r="G1001" s="117" t="str">
        <x:v>No</x:v>
      </x:c>
      <x:c r="H1001" s="117" t="str">
        <x:v>AutoLaunchedFlow</x:v>
      </x:c>
      <x:c r="I1001" s="118" t="n">
        <x:v>59</x:v>
      </x:c>
      <x:c r="J1001" s="117" t="str">
        <x:v>unmanaged</x:v>
      </x:c>
      <x:c r="K1001" s="123" t="b">
        <x:v>0</x:v>
      </x:c>
      <x:c r="L1001" s="117"/>
      <x:c r="M1001" s="118"/>
      <x:c r="N1001" s="120" t="n">
        <x:v>46022.99806712963</x:v>
      </x:c>
      <x:c r="O1001" s="117" t="str">
        <x:v>Delegate</x:v>
      </x:c>
      <x:c r="P1001" s="120" t="n">
        <x:v>46043.779756944445</x:v>
      </x:c>
      <x:c r="Q1001" s="117" t="str">
        <x:v>Natalie Boger</x:v>
      </x:c>
      <x:c r="R1001" s="117" t="str">
        <x:v>Credit Memo Automations</x:v>
      </x:c>
      <x:c r="S1001" s="119" t="str">
        <x:v>12/29/2025 (BW) - Updating the invoice posting system to use the "Applied to Invoice" field on the credit memo as the destination for the application of the invoice
12/30/2025 (NB) - Removed multiple CM updates and replaced with assignments/one update at end to avoid looping/after commit issue. Also changed start conditions for same reasons - now will only run if opp, invoice (or applied invoice), rma, or stage are changed. NB</x:v>
      </x:c>
    </x:row>
    <x:row r="1002" ht="30" customHeight="1">
      <x:c r="A1002" s="117" t="str">
        <x:v>Credit_Memo_1</x:v>
      </x:c>
      <x:c r="B1002" s="117" t="str">
        <x:v>3005b00000113moAAA</x:v>
      </x:c>
      <x:c r="C1002" s="117" t="str">
        <x:v>301Ro00000wCa6VIAS</x:v>
      </x:c>
      <x:c r="D1002" s="118" t="n">
        <x:v>5</x:v>
      </x:c>
      <x:c r="E1002" s="117" t="str">
        <x:v>Active</x:v>
      </x:c>
      <x:c r="F1002" s="117" t="str">
        <x:v>Yes</x:v>
      </x:c>
      <x:c r="G1002" s="117" t="str">
        <x:v>Yes</x:v>
      </x:c>
      <x:c r="H1002" s="117" t="str">
        <x:v>AutoLaunchedFlow</x:v>
      </x:c>
      <x:c r="I1002" s="118" t="n">
        <x:v>59</x:v>
      </x:c>
      <x:c r="J1002" s="117" t="str">
        <x:v>unmanaged</x:v>
      </x:c>
      <x:c r="K1002" s="123" t="b">
        <x:v>0</x:v>
      </x:c>
      <x:c r="L1002" s="117"/>
      <x:c r="M1002" s="118"/>
      <x:c r="N1002" s="120" t="n">
        <x:v>46043.77465277778</x:v>
      </x:c>
      <x:c r="O1002" s="117" t="str">
        <x:v>Natalie Boger</x:v>
      </x:c>
      <x:c r="P1002" s="120" t="n">
        <x:v>46043.789976851855</x:v>
      </x:c>
      <x:c r="Q1002" s="117" t="str">
        <x:v>Natalie Boger</x:v>
      </x:c>
      <x:c r="R1002" s="117" t="str">
        <x:v>Credit Memo Automations</x:v>
      </x:c>
      <x:c r="S1002" s="119" t="str">
        <x:v>12/29/2025 (BW) - Updating the invoice posting system to use the "Applied to Invoice" field on the credit memo as the destination for the application of the invoice
1/20/2026 (NB) - to allow for submission of autogenerated CMs for restocking fees, changed logic for submitted for approval.</x:v>
      </x:c>
    </x:row>
    <x:row r="1003" ht="30" customHeight="1">
      <x:c r="A1003" s="117" t="str">
        <x:v>Credit_Memo_Creation_Flow</x:v>
      </x:c>
      <x:c r="B1003" s="117" t="str">
        <x:v>3004O000000LOwWQAW</x:v>
      </x:c>
      <x:c r="C1003" s="117" t="str">
        <x:v>3014O000000M1V6QAK</x:v>
      </x:c>
      <x:c r="D1003" s="118" t="n">
        <x:v>1</x:v>
      </x:c>
      <x:c r="E1003" s="117" t="str">
        <x:v>Active</x:v>
      </x:c>
      <x:c r="F1003" s="117" t="str">
        <x:v>Yes</x:v>
      </x:c>
      <x:c r="G1003" s="117" t="str">
        <x:v>No</x:v>
      </x:c>
      <x:c r="H1003" s="117" t="str">
        <x:v>Flow</x:v>
      </x:c>
      <x:c r="I1003" s="118" t="n">
        <x:v>50</x:v>
      </x:c>
      <x:c r="J1003" s="117" t="str">
        <x:v>unmanaged</x:v>
      </x:c>
      <x:c r="K1003" s="123" t="b">
        <x:v>0</x:v>
      </x:c>
      <x:c r="L1003" s="117"/>
      <x:c r="M1003" s="118"/>
      <x:c r="N1003" s="120" t="n">
        <x:v>44232.5771875</x:v>
      </x:c>
      <x:c r="O1003" s="117" t="str">
        <x:v>Delegate</x:v>
      </x:c>
      <x:c r="P1003" s="120" t="n">
        <x:v>44232.57915509259</x:v>
      </x:c>
      <x:c r="Q1003" s="117" t="str">
        <x:v>Delegate</x:v>
      </x:c>
      <x:c r="R1003" s="117" t="str">
        <x:v>Credit Memo Creation Flow</x:v>
      </x:c>
      <x:c r="S1003" s="119"/>
    </x:row>
    <x:row r="1004" ht="30" customHeight="1">
      <x:c r="A1004" s="117" t="str">
        <x:v>Credit_Memo_Creation_Flow</x:v>
      </x:c>
      <x:c r="B1004" s="117" t="str">
        <x:v>3004O000000LOwWQAW</x:v>
      </x:c>
      <x:c r="C1004" s="117" t="str">
        <x:v>3014O000000YAWSQA4</x:v>
      </x:c>
      <x:c r="D1004" s="118" t="n">
        <x:v>2</x:v>
      </x:c>
      <x:c r="E1004" s="117" t="str">
        <x:v>Draft</x:v>
      </x:c>
      <x:c r="F1004" s="117" t="str">
        <x:v>No</x:v>
      </x:c>
      <x:c r="G1004" s="117" t="str">
        <x:v>Yes</x:v>
      </x:c>
      <x:c r="H1004" s="117" t="str">
        <x:v>Flow</x:v>
      </x:c>
      <x:c r="I1004" s="118" t="n">
        <x:v>50</x:v>
      </x:c>
      <x:c r="J1004" s="117" t="str">
        <x:v>unmanaged</x:v>
      </x:c>
      <x:c r="K1004" s="123" t="b">
        <x:v>0</x:v>
      </x:c>
      <x:c r="L1004" s="117"/>
      <x:c r="M1004" s="118"/>
      <x:c r="N1004" s="120" t="n">
        <x:v>44286.08556712963</x:v>
      </x:c>
      <x:c r="O1004" s="117" t="str">
        <x:v>Delegate</x:v>
      </x:c>
      <x:c r="P1004" s="120" t="n">
        <x:v>44286.08565972222</x:v>
      </x:c>
      <x:c r="Q1004" s="117" t="str">
        <x:v>Delegate</x:v>
      </x:c>
      <x:c r="R1004" s="117" t="str">
        <x:v>Credit Memo Creation Flow</x:v>
      </x:c>
      <x:c r="S1004" s="119"/>
    </x:row>
    <x:row r="1005" ht="30" customHeight="1">
      <x:c r="A1005" s="117" t="str">
        <x:v>Credit_Memo_Line_Item_On_Update_Sum_Credit_Memo_Total</x:v>
      </x:c>
      <x:c r="B1005" s="117" t="str">
        <x:v>300Ro00000JlbyvIAB</x:v>
      </x:c>
      <x:c r="C1005" s="117" t="str">
        <x:v>301Ro00000Lk2IyIAJ</x:v>
      </x:c>
      <x:c r="D1005" s="118" t="n">
        <x:v>1</x:v>
      </x:c>
      <x:c r="E1005" s="117" t="str">
        <x:v>Active</x:v>
      </x:c>
      <x:c r="F1005" s="117" t="str">
        <x:v>Yes</x:v>
      </x:c>
      <x:c r="G1005" s="117" t="str">
        <x:v>Yes</x:v>
      </x:c>
      <x:c r="H1005" s="117" t="str">
        <x:v>AutoLaunchedFlow</x:v>
      </x:c>
      <x:c r="I1005" s="118" t="n">
        <x:v>61</x:v>
      </x:c>
      <x:c r="J1005" s="117" t="str">
        <x:v>unmanaged</x:v>
      </x:c>
      <x:c r="K1005" s="123" t="b">
        <x:v>0</x:v>
      </x:c>
      <x:c r="L1005" s="117"/>
      <x:c r="M1005" s="118"/>
      <x:c r="N1005" s="120" t="n">
        <x:v>45560.56501157407</x:v>
      </x:c>
      <x:c r="O1005" s="117" t="str">
        <x:v>Delegate</x:v>
      </x:c>
      <x:c r="P1005" s="120" t="n">
        <x:v>45560.63333333333</x:v>
      </x:c>
      <x:c r="Q1005" s="117" t="str">
        <x:v>Delegate</x:v>
      </x:c>
      <x:c r="R1005" s="117" t="str">
        <x:v>Credit Memo Line Item | On Update | Sum Credit Memo Total</x:v>
      </x:c>
      <x:c r="S1005" s="119" t="str">
        <x:v>08/26/2024 (BW) - Sets the total amount on the credit memo from the line items</x:v>
      </x:c>
    </x:row>
    <x:row r="1006" ht="30" customHeight="1">
      <x:c r="A1006" s="117" t="str">
        <x:v>Credit_Memo_Lines_Add_to_Credit_Memo</x:v>
      </x:c>
      <x:c r="B1006" s="117" t="str">
        <x:v>300Ro00000JlbywIAB</x:v>
      </x:c>
      <x:c r="C1006" s="117" t="str">
        <x:v>301Ro00000LkneLIAR</x:v>
      </x:c>
      <x:c r="D1006" s="118" t="n">
        <x:v>1</x:v>
      </x:c>
      <x:c r="E1006" s="117" t="str">
        <x:v>Obsolete</x:v>
      </x:c>
      <x:c r="F1006" s="117" t="str">
        <x:v>No</x:v>
      </x:c>
      <x:c r="G1006" s="117" t="str">
        <x:v>No</x:v>
      </x:c>
      <x:c r="H1006" s="117" t="str">
        <x:v>Flow</x:v>
      </x:c>
      <x:c r="I1006" s="118" t="n">
        <x:v>59</x:v>
      </x:c>
      <x:c r="J1006" s="117" t="str">
        <x:v>unmanaged</x:v>
      </x:c>
      <x:c r="K1006" s="123" t="b">
        <x:v>0</x:v>
      </x:c>
      <x:c r="L1006" s="117"/>
      <x:c r="M1006" s="118"/>
      <x:c r="N1006" s="120" t="n">
        <x:v>45560.64142361111</x:v>
      </x:c>
      <x:c r="O1006" s="117" t="str">
        <x:v>Delegate</x:v>
      </x:c>
      <x:c r="P1006" s="120" t="n">
        <x:v>45560.64158564815</x:v>
      </x:c>
      <x:c r="Q1006" s="117" t="str">
        <x:v>Delegate</x:v>
      </x:c>
      <x:c r="R1006" s="117" t="str">
        <x:v>Credit Memo Lines - Add to Credit Memo</x:v>
      </x:c>
      <x:c r="S1006" s="119"/>
    </x:row>
    <x:row r="1007" ht="30" customHeight="1">
      <x:c r="A1007" s="117" t="str">
        <x:v>Credit_Memo_Lines_Add_to_Credit_Memo</x:v>
      </x:c>
      <x:c r="B1007" s="117" t="str">
        <x:v>300Ro00000JlbywIAB</x:v>
      </x:c>
      <x:c r="C1007" s="117" t="str">
        <x:v>301Ro00000PFEspIAH</x:v>
      </x:c>
      <x:c r="D1007" s="118" t="n">
        <x:v>2</x:v>
      </x:c>
      <x:c r="E1007" s="117" t="str">
        <x:v>Obsolete</x:v>
      </x:c>
      <x:c r="F1007" s="117" t="str">
        <x:v>No</x:v>
      </x:c>
      <x:c r="G1007" s="117" t="str">
        <x:v>No</x:v>
      </x:c>
      <x:c r="H1007" s="117" t="str">
        <x:v>Flow</x:v>
      </x:c>
      <x:c r="I1007" s="118" t="n">
        <x:v>59</x:v>
      </x:c>
      <x:c r="J1007" s="117" t="str">
        <x:v>unmanaged</x:v>
      </x:c>
      <x:c r="K1007" s="123" t="b">
        <x:v>0</x:v>
      </x:c>
      <x:c r="L1007" s="117"/>
      <x:c r="M1007" s="118"/>
      <x:c r="N1007" s="120" t="n">
        <x:v>45618.1300462963</x:v>
      </x:c>
      <x:c r="O1007" s="117" t="str">
        <x:v>Delegate</x:v>
      </x:c>
      <x:c r="P1007" s="120" t="n">
        <x:v>45618.130324074074</x:v>
      </x:c>
      <x:c r="Q1007" s="117" t="str">
        <x:v>Delegate</x:v>
      </x:c>
      <x:c r="R1007" s="117" t="str">
        <x:v>Credit Memo Lines - Add to Credit Memo</x:v>
      </x:c>
      <x:c r="S1007" s="119" t="str">
        <x:v>10/22/2024 (CDM) - Added Intacct Account Picklist to Screen element instead of open text field</x:v>
      </x:c>
    </x:row>
    <x:row r="1008" ht="30" customHeight="1">
      <x:c r="A1008" s="117" t="str">
        <x:v>Credit_Memo_Lines_Add_to_Credit_Memo</x:v>
      </x:c>
      <x:c r="B1008" s="117" t="str">
        <x:v>300Ro00000JlbywIAB</x:v>
      </x:c>
      <x:c r="C1008" s="117" t="str">
        <x:v>301Ro00000PHqAKIA1</x:v>
      </x:c>
      <x:c r="D1008" s="118" t="n">
        <x:v>3</x:v>
      </x:c>
      <x:c r="E1008" s="117" t="str">
        <x:v>Obsolete</x:v>
      </x:c>
      <x:c r="F1008" s="117" t="str">
        <x:v>No</x:v>
      </x:c>
      <x:c r="G1008" s="117" t="str">
        <x:v>No</x:v>
      </x:c>
      <x:c r="H1008" s="117" t="str">
        <x:v>Flow</x:v>
      </x:c>
      <x:c r="I1008" s="118" t="n">
        <x:v>59</x:v>
      </x:c>
      <x:c r="J1008" s="117" t="str">
        <x:v>unmanaged</x:v>
      </x:c>
      <x:c r="K1008" s="123" t="b">
        <x:v>0</x:v>
      </x:c>
      <x:c r="L1008" s="117"/>
      <x:c r="M1008" s="118"/>
      <x:c r="N1008" s="120" t="n">
        <x:v>45618.78690972222</x:v>
      </x:c>
      <x:c r="O1008" s="117" t="str">
        <x:v>Delegate</x:v>
      </x:c>
      <x:c r="P1008" s="120" t="n">
        <x:v>45618.78703703704</x:v>
      </x:c>
      <x:c r="Q1008" s="117" t="str">
        <x:v>Delegate</x:v>
      </x:c>
      <x:c r="R1008" s="117" t="str">
        <x:v>Credit Memo Lines - Add to Credit Memo</x:v>
      </x:c>
      <x:c r="S1008" s="119" t="str">
        <x:v>11/22/2024 (CDM) - Removed visibility to add exceptions and added checkbox "Add Exceptions" to the Add CM Lines" screen to show the exceptions repeater when set to true</x:v>
      </x:c>
    </x:row>
    <x:row r="1009" ht="30" customHeight="1">
      <x:c r="A1009" s="117" t="str">
        <x:v>Credit_Memo_Lines_Add_to_Credit_Memo</x:v>
      </x:c>
      <x:c r="B1009" s="117" t="str">
        <x:v>300Ro00000JlbywIAB</x:v>
      </x:c>
      <x:c r="C1009" s="117" t="str">
        <x:v>301Ro00000RLArGIAX</x:v>
      </x:c>
      <x:c r="D1009" s="118" t="n">
        <x:v>4</x:v>
      </x:c>
      <x:c r="E1009" s="117" t="str">
        <x:v>Draft</x:v>
      </x:c>
      <x:c r="F1009" s="117" t="str">
        <x:v>No</x:v>
      </x:c>
      <x:c r="G1009" s="117" t="str">
        <x:v>No</x:v>
      </x:c>
      <x:c r="H1009" s="117" t="str">
        <x:v>Flow</x:v>
      </x:c>
      <x:c r="I1009" s="118" t="n">
        <x:v>59</x:v>
      </x:c>
      <x:c r="J1009" s="117" t="str">
        <x:v>unmanaged</x:v>
      </x:c>
      <x:c r="K1009" s="123" t="b">
        <x:v>0</x:v>
      </x:c>
      <x:c r="L1009" s="117"/>
      <x:c r="M1009" s="118"/>
      <x:c r="N1009" s="120" t="n">
        <x:v>45657.143275462964</x:v>
      </x:c>
      <x:c r="O1009" s="117" t="str">
        <x:v>Delegate</x:v>
      </x:c>
      <x:c r="P1009" s="120" t="n">
        <x:v>45657.14333333333</x:v>
      </x:c>
      <x:c r="Q1009" s="117" t="str">
        <x:v>Delegate</x:v>
      </x:c>
      <x:c r="R1009" s="117" t="str">
        <x:v>Credit Memo Lines - Add to Credit Memo</x:v>
      </x:c>
      <x:c r="S1009" s="119" t="str">
        <x:v>12/19/2024 (CDM) - Updated Get RMA RElated to Credit Memo to pull Related Opportunity instead of Record Type Id</x:v>
      </x:c>
    </x:row>
    <x:row r="1010" ht="30" customHeight="1">
      <x:c r="A1010" s="117" t="str">
        <x:v>Credit_Memo_Lines_Add_to_Credit_Memo</x:v>
      </x:c>
      <x:c r="B1010" s="117" t="str">
        <x:v>300Ro00000JlbywIAB</x:v>
      </x:c>
      <x:c r="C1010" s="117" t="str">
        <x:v>301Ro00000Spuw9IAB</x:v>
      </x:c>
      <x:c r="D1010" s="118" t="n">
        <x:v>5</x:v>
      </x:c>
      <x:c r="E1010" s="117" t="str">
        <x:v>Obsolete</x:v>
      </x:c>
      <x:c r="F1010" s="117" t="str">
        <x:v>No</x:v>
      </x:c>
      <x:c r="G1010" s="117" t="str">
        <x:v>No</x:v>
      </x:c>
      <x:c r="H1010" s="117" t="str">
        <x:v>Flow</x:v>
      </x:c>
      <x:c r="I1010" s="118" t="n">
        <x:v>59</x:v>
      </x:c>
      <x:c r="J1010" s="117" t="str">
        <x:v>unmanaged</x:v>
      </x:c>
      <x:c r="K1010" s="123" t="b">
        <x:v>0</x:v>
      </x:c>
      <x:c r="L1010" s="117"/>
      <x:c r="M1010" s="118"/>
      <x:c r="N1010" s="120" t="n">
        <x:v>45684.49215277778</x:v>
      </x:c>
      <x:c r="O1010" s="117" t="str">
        <x:v>Delegate</x:v>
      </x:c>
      <x:c r="P1010" s="120" t="n">
        <x:v>45684.6153587963</x:v>
      </x:c>
      <x:c r="Q1010" s="117" t="str">
        <x:v>Delegate</x:v>
      </x:c>
      <x:c r="R1010" s="117" t="str">
        <x:v>Credit Memo Lines - Add to Credit Memo</x:v>
      </x:c>
      <x:c r="S1010" s="119" t="str">
        <x:v>1/08/2024 (CDM) - Updated Edited and Selected Rows Assignment nodes for Inacct Account mapping to use formula to convert the 5 digit GL_Account__c from the Product to the full XXXX--{Product Name} format to map properly when synced</x:v>
      </x:c>
    </x:row>
    <x:row r="1011" ht="30" customHeight="1">
      <x:c r="A1011" s="117" t="str">
        <x:v>Credit_Memo_Lines_Add_to_Credit_Memo</x:v>
      </x:c>
      <x:c r="B1011" s="117" t="str">
        <x:v>300Ro00000JlbywIAB</x:v>
      </x:c>
      <x:c r="C1011" s="117" t="str">
        <x:v>301Ro00000uzPMHIA2</x:v>
      </x:c>
      <x:c r="D1011" s="118" t="n">
        <x:v>6</x:v>
      </x:c>
      <x:c r="E1011" s="117" t="str">
        <x:v>Obsolete</x:v>
      </x:c>
      <x:c r="F1011" s="117" t="str">
        <x:v>No</x:v>
      </x:c>
      <x:c r="G1011" s="117" t="str">
        <x:v>No</x:v>
      </x:c>
      <x:c r="H1011" s="117" t="str">
        <x:v>Flow</x:v>
      </x:c>
      <x:c r="I1011" s="118" t="n">
        <x:v>59</x:v>
      </x:c>
      <x:c r="J1011" s="117" t="str">
        <x:v>unmanaged</x:v>
      </x:c>
      <x:c r="K1011" s="123" t="b">
        <x:v>0</x:v>
      </x:c>
      <x:c r="L1011" s="117"/>
      <x:c r="M1011" s="118"/>
      <x:c r="N1011" s="120" t="n">
        <x:v>46022.99810185185</x:v>
      </x:c>
      <x:c r="O1011" s="117" t="str">
        <x:v>Delegate</x:v>
      </x:c>
      <x:c r="P1011" s="120" t="n">
        <x:v>46023.000393518516</x:v>
      </x:c>
      <x:c r="Q1011" s="117" t="str">
        <x:v>Delegate</x:v>
      </x:c>
      <x:c r="R1011" s="117" t="str">
        <x:v>Credit Memo Lines - Add to Credit Memo</x:v>
      </x:c>
      <x:c r="S1011" s="119" t="str">
        <x:v>12/29/2025 (BW) - Updated this flow to set the currency appropriately on newly created credit memo lines</x:v>
      </x:c>
    </x:row>
    <x:row r="1012" ht="30" customHeight="1">
      <x:c r="A1012" s="117" t="str">
        <x:v>Credit_Memo_Lines_Add_to_Credit_Memo</x:v>
      </x:c>
      <x:c r="B1012" s="117" t="str">
        <x:v>300Ro00000JlbywIAB</x:v>
      </x:c>
      <x:c r="C1012" s="117" t="str">
        <x:v>301Ro000013wlHFIAY</x:v>
      </x:c>
      <x:c r="D1012" s="118" t="n">
        <x:v>7</x:v>
      </x:c>
      <x:c r="E1012" s="117" t="str">
        <x:v>Active</x:v>
      </x:c>
      <x:c r="F1012" s="117" t="str">
        <x:v>Yes</x:v>
      </x:c>
      <x:c r="G1012" s="117" t="str">
        <x:v>Yes</x:v>
      </x:c>
      <x:c r="H1012" s="117" t="str">
        <x:v>Flow</x:v>
      </x:c>
      <x:c r="I1012" s="118" t="n">
        <x:v>59</x:v>
      </x:c>
      <x:c r="J1012" s="117" t="str">
        <x:v>unmanaged</x:v>
      </x:c>
      <x:c r="K1012" s="123" t="b">
        <x:v>0</x:v>
      </x:c>
      <x:c r="L1012" s="117"/>
      <x:c r="M1012" s="118"/>
      <x:c r="N1012" s="120" t="n">
        <x:v>46135.7966087963</x:v>
      </x:c>
      <x:c r="O1012" s="117" t="str">
        <x:v>Delegate</x:v>
      </x:c>
      <x:c r="P1012" s="120" t="n">
        <x:v>46135.79701388889</x:v>
      </x:c>
      <x:c r="Q1012" s="117" t="str">
        <x:v>Delegate</x:v>
      </x:c>
      <x:c r="R1012" s="117" t="str">
        <x:v>Credit Memo Lines - Add to Credit Memo</x:v>
      </x:c>
      <x:c r="S1012" s="119" t="str">
        <x:v>04/23/2026 (BW) - Added 12800--Reserve Account to the manual intacct accounts area</x:v>
      </x:c>
    </x:row>
    <x:row r="1013" ht="30" customHeight="1">
      <x:c r="A1013" s="117" t="str">
        <x:v>Credit_Memo_Sync_Notification</x:v>
      </x:c>
      <x:c r="B1013" s="117" t="str">
        <x:v>300Ro00000H0rLzIAJ</x:v>
      </x:c>
      <x:c r="C1013" s="117" t="str">
        <x:v>301Ro00000If8yjIAB</x:v>
      </x:c>
      <x:c r="D1013" s="118" t="n">
        <x:v>1</x:v>
      </x:c>
      <x:c r="E1013" s="117" t="str">
        <x:v>Obsolete</x:v>
      </x:c>
      <x:c r="F1013" s="117" t="str">
        <x:v>No</x:v>
      </x:c>
      <x:c r="G1013" s="117" t="str">
        <x:v>No</x:v>
      </x:c>
      <x:c r="H1013" s="117" t="str">
        <x:v>AutoLaunchedFlow</x:v>
      </x:c>
      <x:c r="I1013" s="118" t="n">
        <x:v>61</x:v>
      </x:c>
      <x:c r="J1013" s="117" t="str">
        <x:v>unmanaged</x:v>
      </x:c>
      <x:c r="K1013" s="123" t="b">
        <x:v>0</x:v>
      </x:c>
      <x:c r="L1013" s="117"/>
      <x:c r="M1013" s="118"/>
      <x:c r="N1013" s="120" t="n">
        <x:v>45512.717361111114</x:v>
      </x:c>
      <x:c r="O1013" s="117" t="str">
        <x:v>Delegate</x:v>
      </x:c>
      <x:c r="P1013" s="120" t="n">
        <x:v>45512.72109953704</x:v>
      </x:c>
      <x:c r="Q1013" s="117" t="str">
        <x:v>Delegate</x:v>
      </x:c>
      <x:c r="R1013" s="117" t="str">
        <x:v>Credit Memo Sync Notification</x:v>
      </x:c>
      <x:c r="S1013" s="119" t="str">
        <x:v>8/7/24 (CDM)- Added End element to no decision tree that was previously connected for testing.</x:v>
      </x:c>
    </x:row>
    <x:row r="1014" ht="30" customHeight="1">
      <x:c r="A1014" s="117" t="str">
        <x:v>Credit_Memo_Sync_Notification</x:v>
      </x:c>
      <x:c r="B1014" s="117" t="str">
        <x:v>300Ro00000H0rLzIAJ</x:v>
      </x:c>
      <x:c r="C1014" s="117" t="str">
        <x:v>301Ro00000JRvgyIAD</x:v>
      </x:c>
      <x:c r="D1014" s="118" t="n">
        <x:v>2</x:v>
      </x:c>
      <x:c r="E1014" s="117" t="str">
        <x:v>Obsolete</x:v>
      </x:c>
      <x:c r="F1014" s="117" t="str">
        <x:v>No</x:v>
      </x:c>
      <x:c r="G1014" s="117" t="str">
        <x:v>No</x:v>
      </x:c>
      <x:c r="H1014" s="117" t="str">
        <x:v>AutoLaunchedFlow</x:v>
      </x:c>
      <x:c r="I1014" s="118" t="n">
        <x:v>61</x:v>
      </x:c>
      <x:c r="J1014" s="117" t="str">
        <x:v>unmanaged</x:v>
      </x:c>
      <x:c r="K1014" s="123" t="b">
        <x:v>0</x:v>
      </x:c>
      <x:c r="L1014" s="117"/>
      <x:c r="M1014" s="118"/>
      <x:c r="N1014" s="120" t="n">
        <x:v>45524.892905092594</x:v>
      </x:c>
      <x:c r="O1014" s="117" t="str">
        <x:v>Delegate</x:v>
      </x:c>
      <x:c r="P1014" s="120" t="n">
        <x:v>45524.89297453704</x:v>
      </x:c>
      <x:c r="Q1014" s="117" t="str">
        <x:v>Delegate</x:v>
      </x:c>
      <x:c r="R1014" s="117" t="str">
        <x:v>Credit Memo Sync Notification</x:v>
      </x:c>
      <x:c r="S1014" s="119" t="str">
        <x:v>8/20/24 (BW)- Added a node for Interco alerts so that interco emails look different</x:v>
      </x:c>
    </x:row>
    <x:row r="1015" ht="30" customHeight="1">
      <x:c r="A1015" s="117" t="str">
        <x:v>Credit_Memo_Sync_Notification</x:v>
      </x:c>
      <x:c r="B1015" s="117" t="str">
        <x:v>300Ro00000H0rLzIAJ</x:v>
      </x:c>
      <x:c r="C1015" s="117" t="str">
        <x:v>301Ro00000JU5ybIAD</x:v>
      </x:c>
      <x:c r="D1015" s="118" t="n">
        <x:v>3</x:v>
      </x:c>
      <x:c r="E1015" s="117" t="str">
        <x:v>Obsolete</x:v>
      </x:c>
      <x:c r="F1015" s="117" t="str">
        <x:v>No</x:v>
      </x:c>
      <x:c r="G1015" s="117" t="str">
        <x:v>No</x:v>
      </x:c>
      <x:c r="H1015" s="117" t="str">
        <x:v>AutoLaunchedFlow</x:v>
      </x:c>
      <x:c r="I1015" s="118" t="n">
        <x:v>61</x:v>
      </x:c>
      <x:c r="J1015" s="117" t="str">
        <x:v>unmanaged</x:v>
      </x:c>
      <x:c r="K1015" s="123" t="b">
        <x:v>0</x:v>
      </x:c>
      <x:c r="L1015" s="117"/>
      <x:c r="M1015" s="118"/>
      <x:c r="N1015" s="120" t="n">
        <x:v>45525.49361111111</x:v>
      </x:c>
      <x:c r="O1015" s="117" t="str">
        <x:v>Delegate</x:v>
      </x:c>
      <x:c r="P1015" s="120" t="n">
        <x:v>45525.49366898148</x:v>
      </x:c>
      <x:c r="Q1015" s="117" t="str">
        <x:v>Delegate</x:v>
      </x:c>
      <x:c r="R1015" s="117" t="str">
        <x:v>Credit Memo Sync Notification</x:v>
      </x:c>
      <x:c r="S1015" s="119" t="str">
        <x:v>8/21/24 (BW)- Added the opportunity name to the Interco email alert that goes out</x:v>
      </x:c>
    </x:row>
    <x:row r="1016" ht="30" customHeight="1">
      <x:c r="A1016" s="117" t="str">
        <x:v>Credit_Memo_Sync_Notification</x:v>
      </x:c>
      <x:c r="B1016" s="117" t="str">
        <x:v>300Ro00000H0rLzIAJ</x:v>
      </x:c>
      <x:c r="C1016" s="117" t="str">
        <x:v>301Ro00000JU1zwIAD</x:v>
      </x:c>
      <x:c r="D1016" s="118" t="n">
        <x:v>4</x:v>
      </x:c>
      <x:c r="E1016" s="117" t="str">
        <x:v>Obsolete</x:v>
      </x:c>
      <x:c r="F1016" s="117" t="str">
        <x:v>No</x:v>
      </x:c>
      <x:c r="G1016" s="117" t="str">
        <x:v>No</x:v>
      </x:c>
      <x:c r="H1016" s="117" t="str">
        <x:v>AutoLaunchedFlow</x:v>
      </x:c>
      <x:c r="I1016" s="118" t="n">
        <x:v>61</x:v>
      </x:c>
      <x:c r="J1016" s="117" t="str">
        <x:v>unmanaged</x:v>
      </x:c>
      <x:c r="K1016" s="123" t="b">
        <x:v>0</x:v>
      </x:c>
      <x:c r="L1016" s="117"/>
      <x:c r="M1016" s="118"/>
      <x:c r="N1016" s="120" t="n">
        <x:v>45525.49553240741</x:v>
      </x:c>
      <x:c r="O1016" s="117" t="str">
        <x:v>Delegate</x:v>
      </x:c>
      <x:c r="P1016" s="120" t="n">
        <x:v>45525.4955787037</x:v>
      </x:c>
      <x:c r="Q1016" s="117" t="str">
        <x:v>Delegate</x:v>
      </x:c>
      <x:c r="R1016" s="117" t="str">
        <x:v>Credit Memo Sync Notification</x:v>
      </x:c>
      <x:c r="S1016" s="119" t="str">
        <x:v>8/21/24 (BW)- Added the opportunity name to both email alerts that goes out</x:v>
      </x:c>
    </x:row>
    <x:row r="1017" ht="30" customHeight="1">
      <x:c r="A1017" s="117" t="str">
        <x:v>Credit_Memo_Sync_Notification</x:v>
      </x:c>
      <x:c r="B1017" s="117" t="str">
        <x:v>300Ro00000H0rLzIAJ</x:v>
      </x:c>
      <x:c r="C1017" s="117" t="str">
        <x:v>301Ro00000Jnlu8IAB</x:v>
      </x:c>
      <x:c r="D1017" s="118" t="n">
        <x:v>5</x:v>
      </x:c>
      <x:c r="E1017" s="117" t="str">
        <x:v>Obsolete</x:v>
      </x:c>
      <x:c r="F1017" s="117" t="str">
        <x:v>No</x:v>
      </x:c>
      <x:c r="G1017" s="117" t="str">
        <x:v>No</x:v>
      </x:c>
      <x:c r="H1017" s="117" t="str">
        <x:v>AutoLaunchedFlow</x:v>
      </x:c>
      <x:c r="I1017" s="118" t="n">
        <x:v>61</x:v>
      </x:c>
      <x:c r="J1017" s="117" t="str">
        <x:v>unmanaged</x:v>
      </x:c>
      <x:c r="K1017" s="123" t="b">
        <x:v>0</x:v>
      </x:c>
      <x:c r="L1017" s="117"/>
      <x:c r="M1017" s="118"/>
      <x:c r="N1017" s="120" t="n">
        <x:v>45530.61402777778</x:v>
      </x:c>
      <x:c r="O1017" s="117" t="str">
        <x:v>Delegate</x:v>
      </x:c>
      <x:c r="P1017" s="120" t="n">
        <x:v>45530.61408564815</x:v>
      </x:c>
      <x:c r="Q1017" s="117" t="str">
        <x:v>Delegate</x:v>
      </x:c>
      <x:c r="R1017" s="117" t="str">
        <x:v>Credit Memo Sync Notification</x:v>
      </x:c>
      <x:c r="S1017" s="119" t="str">
        <x:v>8/26/24 (CDM) Updated the email recipients to send to the ASG distro email and copy Megan</x:v>
      </x:c>
    </x:row>
    <x:row r="1018" ht="30" customHeight="1">
      <x:c r="A1018" s="117" t="str">
        <x:v>Credit_Memo_Sync_Notification</x:v>
      </x:c>
      <x:c r="B1018" s="117" t="str">
        <x:v>300Ro00000H0rLzIAJ</x:v>
      </x:c>
      <x:c r="C1018" s="117" t="str">
        <x:v>301Ro00000PFGubIAH</x:v>
      </x:c>
      <x:c r="D1018" s="118" t="n">
        <x:v>6</x:v>
      </x:c>
      <x:c r="E1018" s="117" t="str">
        <x:v>Obsolete</x:v>
      </x:c>
      <x:c r="F1018" s="117" t="str">
        <x:v>No</x:v>
      </x:c>
      <x:c r="G1018" s="117" t="str">
        <x:v>No</x:v>
      </x:c>
      <x:c r="H1018" s="117" t="str">
        <x:v>AutoLaunchedFlow</x:v>
      </x:c>
      <x:c r="I1018" s="118" t="n">
        <x:v>61</x:v>
      </x:c>
      <x:c r="J1018" s="117" t="str">
        <x:v>unmanaged</x:v>
      </x:c>
      <x:c r="K1018" s="123" t="b">
        <x:v>0</x:v>
      </x:c>
      <x:c r="L1018" s="117"/>
      <x:c r="M1018" s="118"/>
      <x:c r="N1018" s="120" t="n">
        <x:v>45618.14461805556</x:v>
      </x:c>
      <x:c r="O1018" s="117" t="str">
        <x:v>Delegate</x:v>
      </x:c>
      <x:c r="P1018" s="120" t="n">
        <x:v>45618.14469907407</x:v>
      </x:c>
      <x:c r="Q1018" s="117" t="str">
        <x:v>Delegate</x:v>
      </x:c>
      <x:c r="R1018" s="117" t="str">
        <x:v>Credit Memo Sync Notification</x:v>
      </x:c>
      <x:c r="S1018" s="119" t="str">
        <x:v>10/1/24 (CDM)- Changed Notification Email element to send to Kylee's email for testing purposes. Use V6 for active version in Prod</x:v>
      </x:c>
    </x:row>
    <x:row r="1019" ht="30" customHeight="1">
      <x:c r="A1019" s="117" t="str">
        <x:v>Credit_Memo_Sync_Notification</x:v>
      </x:c>
      <x:c r="B1019" s="117" t="str">
        <x:v>300Ro00000H0rLzIAJ</x:v>
      </x:c>
      <x:c r="C1019" s="117" t="str">
        <x:v>301Ro00000cpqwTIAQ</x:v>
      </x:c>
      <x:c r="D1019" s="118" t="n">
        <x:v>7</x:v>
      </x:c>
      <x:c r="E1019" s="117" t="str">
        <x:v>Obsolete</x:v>
      </x:c>
      <x:c r="F1019" s="117" t="str">
        <x:v>No</x:v>
      </x:c>
      <x:c r="G1019" s="117" t="str">
        <x:v>No</x:v>
      </x:c>
      <x:c r="H1019" s="117" t="str">
        <x:v>AutoLaunchedFlow</x:v>
      </x:c>
      <x:c r="I1019" s="118" t="n">
        <x:v>61</x:v>
      </x:c>
      <x:c r="J1019" s="117" t="str">
        <x:v>unmanaged</x:v>
      </x:c>
      <x:c r="K1019" s="123" t="b">
        <x:v>0</x:v>
      </x:c>
      <x:c r="L1019" s="117"/>
      <x:c r="M1019" s="118"/>
      <x:c r="N1019" s="120" t="n">
        <x:v>45833.82828703704</x:v>
      </x:c>
      <x:c r="O1019" s="117" t="str">
        <x:v>Bill Hagarty</x:v>
      </x:c>
      <x:c r="P1019" s="120" t="n">
        <x:v>45833.8283912037</x:v>
      </x:c>
      <x:c r="Q1019" s="117" t="str">
        <x:v>Bill Hagarty</x:v>
      </x:c>
      <x:c r="R1019" s="117" t="str">
        <x:v>Credit Memo Sync Notification</x:v>
      </x:c>
      <x:c r="S1019" s="119" t="str">
        <x:v>06/25/25  Removed CC Megan Maddox on Email notification.</x:v>
      </x:c>
    </x:row>
    <x:row r="1020" ht="30" customHeight="1">
      <x:c r="A1020" s="117" t="str">
        <x:v>Credit_Memo_Sync_Notification</x:v>
      </x:c>
      <x:c r="B1020" s="117" t="str">
        <x:v>300Ro00000H0rLzIAJ</x:v>
      </x:c>
      <x:c r="C1020" s="117" t="str">
        <x:v>301Ro00000eQcU4IAK</x:v>
      </x:c>
      <x:c r="D1020" s="118" t="n">
        <x:v>8</x:v>
      </x:c>
      <x:c r="E1020" s="117" t="str">
        <x:v>Obsolete</x:v>
      </x:c>
      <x:c r="F1020" s="117" t="str">
        <x:v>No</x:v>
      </x:c>
      <x:c r="G1020" s="117" t="str">
        <x:v>No</x:v>
      </x:c>
      <x:c r="H1020" s="117" t="str">
        <x:v>AutoLaunchedFlow</x:v>
      </x:c>
      <x:c r="I1020" s="118" t="n">
        <x:v>61</x:v>
      </x:c>
      <x:c r="J1020" s="117" t="str">
        <x:v>unmanaged</x:v>
      </x:c>
      <x:c r="K1020" s="123" t="b">
        <x:v>0</x:v>
      </x:c>
      <x:c r="L1020" s="117"/>
      <x:c r="M1020" s="118"/>
      <x:c r="N1020" s="120" t="n">
        <x:v>45847.61623842592</x:v>
      </x:c>
      <x:c r="O1020" s="117" t="str">
        <x:v>Bill Hagarty</x:v>
      </x:c>
      <x:c r="P1020" s="120" t="n">
        <x:v>45847.616319444445</x:v>
      </x:c>
      <x:c r="Q1020" s="117" t="str">
        <x:v>Bill Hagarty</x:v>
      </x:c>
      <x:c r="R1020" s="117" t="str">
        <x:v>Credit Memo Sync Notification</x:v>
      </x:c>
      <x:c r="S1020" s="119" t="str">
        <x:v>06/25/25  Removed CC Megan Maddox on Email notification.</x:v>
      </x:c>
    </x:row>
    <x:row r="1021" ht="30" customHeight="1">
      <x:c r="A1021" s="117" t="str">
        <x:v>Credit_Memo_Sync_Notification</x:v>
      </x:c>
      <x:c r="B1021" s="117" t="str">
        <x:v>300Ro00000H0rLzIAJ</x:v>
      </x:c>
      <x:c r="C1021" s="117" t="str">
        <x:v>301Ro00000ijRtyIAE</x:v>
      </x:c>
      <x:c r="D1021" s="118" t="n">
        <x:v>9</x:v>
      </x:c>
      <x:c r="E1021" s="117" t="str">
        <x:v>Active</x:v>
      </x:c>
      <x:c r="F1021" s="117" t="str">
        <x:v>Yes</x:v>
      </x:c>
      <x:c r="G1021" s="117" t="str">
        <x:v>Yes</x:v>
      </x:c>
      <x:c r="H1021" s="117" t="str">
        <x:v>AutoLaunchedFlow</x:v>
      </x:c>
      <x:c r="I1021" s="118" t="n">
        <x:v>61</x:v>
      </x:c>
      <x:c r="J1021" s="117" t="str">
        <x:v>unmanaged</x:v>
      </x:c>
      <x:c r="K1021" s="123" t="b">
        <x:v>0</x:v>
      </x:c>
      <x:c r="L1021" s="117"/>
      <x:c r="M1021" s="118"/>
      <x:c r="N1021" s="120" t="n">
        <x:v>45888.530798611115</x:v>
      </x:c>
      <x:c r="O1021" s="117" t="str">
        <x:v>Bill Hagarty</x:v>
      </x:c>
      <x:c r="P1021" s="120" t="n">
        <x:v>45888.530856481484</x:v>
      </x:c>
      <x:c r="Q1021" s="117" t="str">
        <x:v>Bill Hagarty</x:v>
      </x:c>
      <x:c r="R1021" s="117" t="str">
        <x:v>Credit Memo Sync Notification</x:v>
      </x:c>
      <x:c r="S1021" s="119" t="str">
        <x:v>06/25/25  Removed CC Megan Maddox on Email notification.</x:v>
      </x:c>
    </x:row>
    <x:row r="1022" ht="30" customHeight="1">
      <x:c r="A1022" s="117" t="str">
        <x:v>Credit_Memo_Sync_Retry</x:v>
      </x:c>
      <x:c r="B1022" s="117" t="str">
        <x:v>300Ro00000fBX4MIAW</x:v>
      </x:c>
      <x:c r="C1022" s="117" t="str">
        <x:v>301Ro00000lCRHfIAO</x:v>
      </x:c>
      <x:c r="D1022" s="118" t="n">
        <x:v>1</x:v>
      </x:c>
      <x:c r="E1022" s="117" t="str">
        <x:v>Obsolete</x:v>
      </x:c>
      <x:c r="F1022" s="117" t="str">
        <x:v>No</x:v>
      </x:c>
      <x:c r="G1022" s="117" t="str">
        <x:v>No</x:v>
      </x:c>
      <x:c r="H1022" s="117" t="str">
        <x:v>AutoLaunchedFlow</x:v>
      </x:c>
      <x:c r="I1022" s="118" t="n">
        <x:v>64</x:v>
      </x:c>
      <x:c r="J1022" s="117" t="str">
        <x:v>unmanaged</x:v>
      </x:c>
      <x:c r="K1022" s="123" t="b">
        <x:v>0</x:v>
      </x:c>
      <x:c r="L1022" s="117"/>
      <x:c r="M1022" s="118"/>
      <x:c r="N1022" s="120" t="n">
        <x:v>45908.79199074074</x:v>
      </x:c>
      <x:c r="O1022" s="117" t="str">
        <x:v>Bill Hagarty</x:v>
      </x:c>
      <x:c r="P1022" s="120" t="n">
        <x:v>45908.79456018518</x:v>
      </x:c>
      <x:c r="Q1022" s="117" t="str">
        <x:v>Bill Hagarty</x:v>
      </x:c>
      <x:c r="R1022" s="117" t="str">
        <x:v>Credit Memo Sync Retry</x:v>
      </x:c>
      <x:c r="S1022" s="119" t="str">
        <x:v>When Credit Memo Intacct Sync fails, this flow will retry sync every 48 hours, for 5 attempts.</x:v>
      </x:c>
    </x:row>
    <x:row r="1023" ht="30" customHeight="1">
      <x:c r="A1023" s="117" t="str">
        <x:v>Credit_Memo_Sync_Retry</x:v>
      </x:c>
      <x:c r="B1023" s="117" t="str">
        <x:v>300Ro00000fBX4MIAW</x:v>
      </x:c>
      <x:c r="C1023" s="117" t="str">
        <x:v>301Ro00000qNC0xIAG</x:v>
      </x:c>
      <x:c r="D1023" s="118" t="n">
        <x:v>2</x:v>
      </x:c>
      <x:c r="E1023" s="117" t="str">
        <x:v>Active</x:v>
      </x:c>
      <x:c r="F1023" s="117" t="str">
        <x:v>Yes</x:v>
      </x:c>
      <x:c r="G1023" s="117" t="str">
        <x:v>Yes</x:v>
      </x:c>
      <x:c r="H1023" s="117" t="str">
        <x:v>AutoLaunchedFlow</x:v>
      </x:c>
      <x:c r="I1023" s="118" t="n">
        <x:v>64</x:v>
      </x:c>
      <x:c r="J1023" s="117" t="str">
        <x:v>unmanaged</x:v>
      </x:c>
      <x:c r="K1023" s="123" t="b">
        <x:v>0</x:v>
      </x:c>
      <x:c r="L1023" s="117"/>
      <x:c r="M1023" s="118"/>
      <x:c r="N1023" s="120" t="n">
        <x:v>45954.48784722222</x:v>
      </x:c>
      <x:c r="O1023" s="117" t="str">
        <x:v>Delegate</x:v>
      </x:c>
      <x:c r="P1023" s="120" t="n">
        <x:v>45954.48789351852</x:v>
      </x:c>
      <x:c r="Q1023" s="117" t="str">
        <x:v>Delegate</x:v>
      </x:c>
      <x:c r="R1023" s="117" t="str">
        <x:v>Credit Memo Sync Retry</x:v>
      </x:c>
      <x:c r="S1023" s="119" t="str">
        <x:v>When Credit Memo Intacct Sync fails, this flow will retry sync every 48 hours, for 5 attempts.</x:v>
      </x:c>
    </x:row>
    <x:row r="1024" ht="30" customHeight="1">
      <x:c r="A1024" s="117" t="str">
        <x:v>CT_Checklist</x:v>
      </x:c>
      <x:c r="B1024" s="117" t="str">
        <x:v>300Ro00000Pz0kfIAB</x:v>
      </x:c>
      <x:c r="C1024" s="117" t="str">
        <x:v>301Ro00000Sd0UfIAJ</x:v>
      </x:c>
      <x:c r="D1024" s="118" t="n">
        <x:v>1</x:v>
      </x:c>
      <x:c r="E1024" s="117" t="str">
        <x:v>Obsolete</x:v>
      </x:c>
      <x:c r="F1024" s="117" t="str">
        <x:v>No</x:v>
      </x:c>
      <x:c r="G1024" s="117" t="str">
        <x:v>No</x:v>
      </x:c>
      <x:c r="H1024" s="117" t="str">
        <x:v>FieldServiceMobile</x:v>
      </x:c>
      <x:c r="I1024" s="118"/>
      <x:c r="J1024" s="117" t="str">
        <x:v>unmanaged</x:v>
      </x:c>
      <x:c r="K1024" s="123" t="b">
        <x:v>0</x:v>
      </x:c>
      <x:c r="L1024" s="117"/>
      <x:c r="M1024" s="118"/>
      <x:c r="N1024" s="120" t="n">
        <x:v>45680.21555555556</x:v>
      </x:c>
      <x:c r="O1024" s="117" t="str">
        <x:v>Delegate</x:v>
      </x:c>
      <x:c r="P1024" s="120" t="n">
        <x:v>45680.21561342593</x:v>
      </x:c>
      <x:c r="Q1024" s="117" t="str">
        <x:v>Delegate</x:v>
      </x:c>
      <x:c r="R1024" s="117" t="str">
        <x:v>CT Checklist</x:v>
      </x:c>
      <x:c r="S1024" s="119" t="str">
        <x:v>syntax</x:v>
      </x:c>
    </x:row>
    <x:row r="1025" ht="30" customHeight="1">
      <x:c r="A1025" s="117" t="str">
        <x:v>CT_Checklist</x:v>
      </x:c>
      <x:c r="B1025" s="117" t="str">
        <x:v>300Ro00000Pz0kfIAB</x:v>
      </x:c>
      <x:c r="C1025" s="117" t="str">
        <x:v>301Ro00000SpOwEIAV</x:v>
      </x:c>
      <x:c r="D1025" s="118" t="n">
        <x:v>2</x:v>
      </x:c>
      <x:c r="E1025" s="117" t="str">
        <x:v>Obsolete</x:v>
      </x:c>
      <x:c r="F1025" s="117" t="str">
        <x:v>No</x:v>
      </x:c>
      <x:c r="G1025" s="117" t="str">
        <x:v>No</x:v>
      </x:c>
      <x:c r="H1025" s="117" t="str">
        <x:v>FieldServiceMobile</x:v>
      </x:c>
      <x:c r="I1025" s="118"/>
      <x:c r="J1025" s="117" t="str">
        <x:v>unmanaged</x:v>
      </x:c>
      <x:c r="K1025" s="123" t="b">
        <x:v>0</x:v>
      </x:c>
      <x:c r="L1025" s="117"/>
      <x:c r="M1025" s="118"/>
      <x:c r="N1025" s="120" t="n">
        <x:v>45684.13554398148</x:v>
      </x:c>
      <x:c r="O1025" s="117" t="str">
        <x:v>Delegate</x:v>
      </x:c>
      <x:c r="P1025" s="120" t="n">
        <x:v>45684.1355787037</x:v>
      </x:c>
      <x:c r="Q1025" s="117" t="str">
        <x:v>Delegate</x:v>
      </x:c>
      <x:c r="R1025" s="117" t="str">
        <x:v>CT Checklist</x:v>
      </x:c>
      <x:c r="S1025" s="119" t="str">
        <x:v>01/25/2025 (BW) - Version to be used for testing</x:v>
      </x:c>
    </x:row>
    <x:row r="1026" ht="30" customHeight="1">
      <x:c r="A1026" s="117" t="str">
        <x:v>CT_Checklist</x:v>
      </x:c>
      <x:c r="B1026" s="117" t="str">
        <x:v>300Ro00000Pz0kfIAB</x:v>
      </x:c>
      <x:c r="C1026" s="117" t="str">
        <x:v>301Ro00000SyjVDIAZ</x:v>
      </x:c>
      <x:c r="D1026" s="118" t="n">
        <x:v>3</x:v>
      </x:c>
      <x:c r="E1026" s="117" t="str">
        <x:v>Obsolete</x:v>
      </x:c>
      <x:c r="F1026" s="117" t="str">
        <x:v>No</x:v>
      </x:c>
      <x:c r="G1026" s="117" t="str">
        <x:v>No</x:v>
      </x:c>
      <x:c r="H1026" s="117" t="str">
        <x:v>FieldServiceMobile</x:v>
      </x:c>
      <x:c r="I1026" s="118"/>
      <x:c r="J1026" s="117" t="str">
        <x:v>unmanaged</x:v>
      </x:c>
      <x:c r="K1026" s="123" t="b">
        <x:v>0</x:v>
      </x:c>
      <x:c r="L1026" s="117"/>
      <x:c r="M1026" s="118"/>
      <x:c r="N1026" s="120" t="n">
        <x:v>45686.511469907404</x:v>
      </x:c>
      <x:c r="O1026" s="117" t="str">
        <x:v>Delegate</x:v>
      </x:c>
      <x:c r="P1026" s="120" t="n">
        <x:v>45686.51152777778</x:v>
      </x:c>
      <x:c r="Q1026" s="117" t="str">
        <x:v>Delegate</x:v>
      </x:c>
      <x:c r="R1026" s="117" t="str">
        <x:v>CT Checklist</x:v>
      </x:c>
      <x:c r="S1026" s="119" t="str">
        <x:v>01/29/2025 (BW) - Updated required fields</x:v>
      </x:c>
    </x:row>
    <x:row r="1027" ht="30" customHeight="1">
      <x:c r="A1027" s="117" t="str">
        <x:v>CT_Checklist</x:v>
      </x:c>
      <x:c r="B1027" s="117" t="str">
        <x:v>300Ro00000Pz0kfIAB</x:v>
      </x:c>
      <x:c r="C1027" s="117" t="str">
        <x:v>301Ro00000WlSJQIA3</x:v>
      </x:c>
      <x:c r="D1027" s="118" t="n">
        <x:v>4</x:v>
      </x:c>
      <x:c r="E1027" s="117" t="str">
        <x:v>Obsolete</x:v>
      </x:c>
      <x:c r="F1027" s="117" t="str">
        <x:v>No</x:v>
      </x:c>
      <x:c r="G1027" s="117" t="str">
        <x:v>No</x:v>
      </x:c>
      <x:c r="H1027" s="117" t="str">
        <x:v>FieldServiceMobile</x:v>
      </x:c>
      <x:c r="I1027" s="118"/>
      <x:c r="J1027" s="117" t="str">
        <x:v>unmanaged</x:v>
      </x:c>
      <x:c r="K1027" s="123" t="b">
        <x:v>0</x:v>
      </x:c>
      <x:c r="L1027" s="117"/>
      <x:c r="M1027" s="118"/>
      <x:c r="N1027" s="120" t="n">
        <x:v>45750.48118055556</x:v>
      </x:c>
      <x:c r="O1027" s="117" t="str">
        <x:v>Delegate</x:v>
      </x:c>
      <x:c r="P1027" s="120" t="n">
        <x:v>45750.52443287037</x:v>
      </x:c>
      <x:c r="Q1027" s="117" t="str">
        <x:v>Delegate</x:v>
      </x:c>
      <x:c r="R1027" s="117" t="str">
        <x:v>CT Checklist</x:v>
      </x:c>
      <x:c r="S1027" s="119" t="str">
        <x:v>04/03/2025 (BW) - Updated the way this calculates to utilize the newer methodology</x:v>
      </x:c>
    </x:row>
    <x:row r="1028" ht="30" customHeight="1">
      <x:c r="A1028" s="117" t="str">
        <x:v>CT_Checklist</x:v>
      </x:c>
      <x:c r="B1028" s="117" t="str">
        <x:v>300Ro00000Pz0kfIAB</x:v>
      </x:c>
      <x:c r="C1028" s="117" t="str">
        <x:v>301Ro00000vwW3fIAE</x:v>
      </x:c>
      <x:c r="D1028" s="118" t="n">
        <x:v>5</x:v>
      </x:c>
      <x:c r="E1028" s="117" t="str">
        <x:v>Obsolete</x:v>
      </x:c>
      <x:c r="F1028" s="117" t="str">
        <x:v>No</x:v>
      </x:c>
      <x:c r="G1028" s="117" t="str">
        <x:v>No</x:v>
      </x:c>
      <x:c r="H1028" s="117" t="str">
        <x:v>FieldServiceMobile</x:v>
      </x:c>
      <x:c r="I1028" s="118"/>
      <x:c r="J1028" s="117" t="str">
        <x:v>unmanaged</x:v>
      </x:c>
      <x:c r="K1028" s="123" t="b">
        <x:v>0</x:v>
      </x:c>
      <x:c r="L1028" s="117"/>
      <x:c r="M1028" s="118"/>
      <x:c r="N1028" s="120" t="n">
        <x:v>46040.60396990741</x:v>
      </x:c>
      <x:c r="O1028" s="117" t="str">
        <x:v>Sacha Pearce</x:v>
      </x:c>
      <x:c r="P1028" s="120" t="n">
        <x:v>46040.60901620371</x:v>
      </x:c>
      <x:c r="Q1028" s="117" t="str">
        <x:v>Sacha Pearce</x:v>
      </x:c>
      <x:c r="R1028" s="117" t="str">
        <x:v>CT Checklist</x:v>
      </x:c>
      <x:c r="S1028" s="119" t="str">
        <x:v>04/03/2025 (BW) - Updated the way this calculates to utilize the newer methodology
01/14/2025 - V5 - SP - Updating to store entries into specific fields and trigger the formmatted HTML generation Flow</x:v>
      </x:c>
    </x:row>
    <x:row r="1029" ht="30" customHeight="1">
      <x:c r="A1029" s="117" t="str">
        <x:v>CT_Checklist</x:v>
      </x:c>
      <x:c r="B1029" s="117" t="str">
        <x:v>300Ro00000Pz0kfIAB</x:v>
      </x:c>
      <x:c r="C1029" s="117" t="str">
        <x:v>301Ro00000wOpKxIAK</x:v>
      </x:c>
      <x:c r="D1029" s="118" t="n">
        <x:v>6</x:v>
      </x:c>
      <x:c r="E1029" s="117" t="str">
        <x:v>Obsolete</x:v>
      </x:c>
      <x:c r="F1029" s="117" t="str">
        <x:v>No</x:v>
      </x:c>
      <x:c r="G1029" s="117" t="str">
        <x:v>No</x:v>
      </x:c>
      <x:c r="H1029" s="117" t="str">
        <x:v>FieldServiceMobile</x:v>
      </x:c>
      <x:c r="I1029" s="118"/>
      <x:c r="J1029" s="117" t="str">
        <x:v>unmanaged</x:v>
      </x:c>
      <x:c r="K1029" s="123" t="b">
        <x:v>0</x:v>
      </x:c>
      <x:c r="L1029" s="117"/>
      <x:c r="M1029" s="118"/>
      <x:c r="N1029" s="120" t="n">
        <x:v>46045.47127314815</x:v>
      </x:c>
      <x:c r="O1029" s="117" t="str">
        <x:v>Sacha Pearce</x:v>
      </x:c>
      <x:c r="P1029" s="120" t="n">
        <x:v>46045.55100694444</x:v>
      </x:c>
      <x:c r="Q1029" s="117" t="str">
        <x:v>Sacha Pearce</x:v>
      </x:c>
      <x:c r="R1029" s="117" t="str">
        <x:v>CT Checklist</x:v>
      </x:c>
      <x:c r="S1029" s="119" t="str">
        <x:v>04/03/2025 (BW) - Updated the way this calculates to utilize the newer methodology
01/14/2025 - V5 - SP - Updating to store entries into specific fields and trigger the formmatted HTML generation Flow
23/01/2025 - V6 - SP - Updating to include the "CT Checklist Complete Screen"</x:v>
      </x:c>
    </x:row>
    <x:row r="1030" ht="30" customHeight="1">
      <x:c r="A1030" s="117" t="str">
        <x:v>CT_Checklist</x:v>
      </x:c>
      <x:c r="B1030" s="117" t="str">
        <x:v>300Ro00000Pz0kfIAB</x:v>
      </x:c>
      <x:c r="C1030" s="117" t="str">
        <x:v>301Ro00000yhKKJIA2</x:v>
      </x:c>
      <x:c r="D1030" s="118" t="n">
        <x:v>7</x:v>
      </x:c>
      <x:c r="E1030" s="117" t="str">
        <x:v>Active</x:v>
      </x:c>
      <x:c r="F1030" s="117" t="str">
        <x:v>Yes</x:v>
      </x:c>
      <x:c r="G1030" s="117" t="str">
        <x:v>Yes</x:v>
      </x:c>
      <x:c r="H1030" s="117" t="str">
        <x:v>FieldServiceMobile</x:v>
      </x:c>
      <x:c r="I1030" s="118"/>
      <x:c r="J1030" s="117" t="str">
        <x:v>unmanaged</x:v>
      </x:c>
      <x:c r="K1030" s="123" t="b">
        <x:v>0</x:v>
      </x:c>
      <x:c r="L1030" s="117"/>
      <x:c r="M1030" s="118"/>
      <x:c r="N1030" s="120" t="n">
        <x:v>46072.46707175926</x:v>
      </x:c>
      <x:c r="O1030" s="117" t="str">
        <x:v>Sacha Pearce</x:v>
      </x:c>
      <x:c r="P1030" s="120" t="n">
        <x:v>46072.4671875</x:v>
      </x:c>
      <x:c r="Q1030" s="117" t="str">
        <x:v>Sacha Pearce</x:v>
      </x:c>
      <x:c r="R1030" s="117" t="str">
        <x:v>CT Checklist</x:v>
      </x:c>
      <x:c r="S1030" s="119" t="str">
        <x:v>04/03/2025 (BW) - Updated the way this calculates to utilize the newer methodology
01/14/2025 - V5 - SP - Updating to store entries into specific fields and trigger the formmatted HTML generation Flow
23/01/2025 - V6 - SP - Updating to include the "CT Checklist Complete Screen"</x:v>
      </x:c>
    </x:row>
    <x:row r="1031" ht="30" customHeight="1">
      <x:c r="A1031" s="117" t="str">
        <x:v>Custom_Payment_Flow</x:v>
      </x:c>
      <x:c r="B1031" s="117" t="str">
        <x:v>3005b000000H3HjAAK</x:v>
      </x:c>
      <x:c r="C1031" s="117" t="str">
        <x:v>3015b000000EHOQAA4</x:v>
      </x:c>
      <x:c r="D1031" s="118" t="n">
        <x:v>1</x:v>
      </x:c>
      <x:c r="E1031" s="117" t="str">
        <x:v>Obsolete</x:v>
      </x:c>
      <x:c r="F1031" s="117" t="str">
        <x:v>No</x:v>
      </x:c>
      <x:c r="G1031" s="117" t="str">
        <x:v>No</x:v>
      </x:c>
      <x:c r="H1031" s="117" t="str">
        <x:v>Flow</x:v>
      </x:c>
      <x:c r="I1031" s="118" t="n">
        <x:v>53</x:v>
      </x:c>
      <x:c r="J1031" s="117" t="str">
        <x:v>unmanaged</x:v>
      </x:c>
      <x:c r="K1031" s="123" t="b">
        <x:v>0</x:v>
      </x:c>
      <x:c r="L1031" s="117"/>
      <x:c r="M1031" s="118"/>
      <x:c r="N1031" s="120" t="n">
        <x:v>44603.5896875</x:v>
      </x:c>
      <x:c r="O1031" s="117" t="str">
        <x:v>Delegate</x:v>
      </x:c>
      <x:c r="P1031" s="120" t="n">
        <x:v>44603.58975694444</x:v>
      </x:c>
      <x:c r="Q1031" s="117" t="str">
        <x:v>Delegate</x:v>
      </x:c>
      <x:c r="R1031" s="117" t="str">
        <x:v>Custom Payment Flow</x:v>
      </x:c>
      <x:c r="S1031" s="119"/>
    </x:row>
    <x:row r="1032" ht="30" customHeight="1">
      <x:c r="A1032" s="117" t="str">
        <x:v>Custom_Payment_Flow</x:v>
      </x:c>
      <x:c r="B1032" s="117" t="str">
        <x:v>3005b000000H3HjAAK</x:v>
      </x:c>
      <x:c r="C1032" s="117" t="str">
        <x:v>3015b000000EHOVAA4</x:v>
      </x:c>
      <x:c r="D1032" s="118" t="n">
        <x:v>2</x:v>
      </x:c>
      <x:c r="E1032" s="117" t="str">
        <x:v>Obsolete</x:v>
      </x:c>
      <x:c r="F1032" s="117" t="str">
        <x:v>No</x:v>
      </x:c>
      <x:c r="G1032" s="117" t="str">
        <x:v>No</x:v>
      </x:c>
      <x:c r="H1032" s="117" t="str">
        <x:v>Flow</x:v>
      </x:c>
      <x:c r="I1032" s="118" t="n">
        <x:v>53</x:v>
      </x:c>
      <x:c r="J1032" s="117" t="str">
        <x:v>unmanaged</x:v>
      </x:c>
      <x:c r="K1032" s="123" t="b">
        <x:v>0</x:v>
      </x:c>
      <x:c r="L1032" s="117"/>
      <x:c r="M1032" s="118"/>
      <x:c r="N1032" s="120" t="n">
        <x:v>44603.591365740744</x:v>
      </x:c>
      <x:c r="O1032" s="117" t="str">
        <x:v>Delegate</x:v>
      </x:c>
      <x:c r="P1032" s="120" t="n">
        <x:v>44603.59138888889</x:v>
      </x:c>
      <x:c r="Q1032" s="117" t="str">
        <x:v>Delegate</x:v>
      </x:c>
      <x:c r="R1032" s="117" t="str">
        <x:v>Custom Payment Flow</x:v>
      </x:c>
      <x:c r="S1032" s="119"/>
    </x:row>
    <x:row r="1033" ht="30" customHeight="1">
      <x:c r="A1033" s="117" t="str">
        <x:v>Custom_Payment_Flow</x:v>
      </x:c>
      <x:c r="B1033" s="117" t="str">
        <x:v>3005b000000H3HjAAK</x:v>
      </x:c>
      <x:c r="C1033" s="117" t="str">
        <x:v>3015b000000EHXNAA4</x:v>
      </x:c>
      <x:c r="D1033" s="118" t="n">
        <x:v>3</x:v>
      </x:c>
      <x:c r="E1033" s="117" t="str">
        <x:v>Obsolete</x:v>
      </x:c>
      <x:c r="F1033" s="117" t="str">
        <x:v>No</x:v>
      </x:c>
      <x:c r="G1033" s="117" t="str">
        <x:v>No</x:v>
      </x:c>
      <x:c r="H1033" s="117" t="str">
        <x:v>Flow</x:v>
      </x:c>
      <x:c r="I1033" s="118" t="n">
        <x:v>53</x:v>
      </x:c>
      <x:c r="J1033" s="117" t="str">
        <x:v>unmanaged</x:v>
      </x:c>
      <x:c r="K1033" s="123" t="b">
        <x:v>0</x:v>
      </x:c>
      <x:c r="L1033" s="117"/>
      <x:c r="M1033" s="118"/>
      <x:c r="N1033" s="120" t="n">
        <x:v>44607.71299768519</x:v>
      </x:c>
      <x:c r="O1033" s="117" t="str">
        <x:v>Delegate</x:v>
      </x:c>
      <x:c r="P1033" s="120" t="n">
        <x:v>44607.71313657407</x:v>
      </x:c>
      <x:c r="Q1033" s="117" t="str">
        <x:v>Delegate</x:v>
      </x:c>
      <x:c r="R1033" s="117" t="str">
        <x:v>Custom Payment Flow</x:v>
      </x:c>
      <x:c r="S1033" s="119"/>
    </x:row>
    <x:row r="1034" ht="30" customHeight="1">
      <x:c r="A1034" s="117" t="str">
        <x:v>Custom_Payment_Flow</x:v>
      </x:c>
      <x:c r="B1034" s="117" t="str">
        <x:v>3005b000000H3HjAAK</x:v>
      </x:c>
      <x:c r="C1034" s="117" t="str">
        <x:v>3015b000000EHikAAG</x:v>
      </x:c>
      <x:c r="D1034" s="118" t="n">
        <x:v>4</x:v>
      </x:c>
      <x:c r="E1034" s="117" t="str">
        <x:v>Obsolete</x:v>
      </x:c>
      <x:c r="F1034" s="117" t="str">
        <x:v>No</x:v>
      </x:c>
      <x:c r="G1034" s="117" t="str">
        <x:v>No</x:v>
      </x:c>
      <x:c r="H1034" s="117" t="str">
        <x:v>Flow</x:v>
      </x:c>
      <x:c r="I1034" s="118" t="n">
        <x:v>53</x:v>
      </x:c>
      <x:c r="J1034" s="117" t="str">
        <x:v>unmanaged</x:v>
      </x:c>
      <x:c r="K1034" s="123" t="b">
        <x:v>0</x:v>
      </x:c>
      <x:c r="L1034" s="117"/>
      <x:c r="M1034" s="118"/>
      <x:c r="N1034" s="120" t="n">
        <x:v>44608.63547453703</x:v>
      </x:c>
      <x:c r="O1034" s="117" t="str">
        <x:v>Delegate</x:v>
      </x:c>
      <x:c r="P1034" s="120" t="n">
        <x:v>44608.63550925926</x:v>
      </x:c>
      <x:c r="Q1034" s="117" t="str">
        <x:v>Delegate</x:v>
      </x:c>
      <x:c r="R1034" s="117" t="str">
        <x:v>Custom Payment Flow</x:v>
      </x:c>
      <x:c r="S1034" s="119"/>
    </x:row>
    <x:row r="1035" ht="30" customHeight="1">
      <x:c r="A1035" s="117" t="str">
        <x:v>Custom_Payment_Flow</x:v>
      </x:c>
      <x:c r="B1035" s="117" t="str">
        <x:v>3005b000000H3HjAAK</x:v>
      </x:c>
      <x:c r="C1035" s="117" t="str">
        <x:v>3015b000000EHipAAG</x:v>
      </x:c>
      <x:c r="D1035" s="118" t="n">
        <x:v>5</x:v>
      </x:c>
      <x:c r="E1035" s="117" t="str">
        <x:v>Obsolete</x:v>
      </x:c>
      <x:c r="F1035" s="117" t="str">
        <x:v>No</x:v>
      </x:c>
      <x:c r="G1035" s="117" t="str">
        <x:v>No</x:v>
      </x:c>
      <x:c r="H1035" s="117" t="str">
        <x:v>Flow</x:v>
      </x:c>
      <x:c r="I1035" s="118" t="n">
        <x:v>53</x:v>
      </x:c>
      <x:c r="J1035" s="117" t="str">
        <x:v>unmanaged</x:v>
      </x:c>
      <x:c r="K1035" s="123" t="b">
        <x:v>0</x:v>
      </x:c>
      <x:c r="L1035" s="117"/>
      <x:c r="M1035" s="118"/>
      <x:c r="N1035" s="120" t="n">
        <x:v>44608.64306712963</x:v>
      </x:c>
      <x:c r="O1035" s="117" t="str">
        <x:v>Delegate</x:v>
      </x:c>
      <x:c r="P1035" s="120" t="n">
        <x:v>44608.64318287037</x:v>
      </x:c>
      <x:c r="Q1035" s="117" t="str">
        <x:v>Delegate</x:v>
      </x:c>
      <x:c r="R1035" s="117" t="str">
        <x:v>Custom Payment Flow</x:v>
      </x:c>
      <x:c r="S1035" s="119"/>
    </x:row>
    <x:row r="1036" ht="30" customHeight="1">
      <x:c r="A1036" s="117" t="str">
        <x:v>Custom_Payment_Flow</x:v>
      </x:c>
      <x:c r="B1036" s="117" t="str">
        <x:v>3005b000000H3HjAAK</x:v>
      </x:c>
      <x:c r="C1036" s="117" t="str">
        <x:v>3015b000000EHqoAAG</x:v>
      </x:c>
      <x:c r="D1036" s="118" t="n">
        <x:v>6</x:v>
      </x:c>
      <x:c r="E1036" s="117" t="str">
        <x:v>Draft</x:v>
      </x:c>
      <x:c r="F1036" s="117" t="str">
        <x:v>No</x:v>
      </x:c>
      <x:c r="G1036" s="117" t="str">
        <x:v>No</x:v>
      </x:c>
      <x:c r="H1036" s="117" t="str">
        <x:v>Flow</x:v>
      </x:c>
      <x:c r="I1036" s="118" t="n">
        <x:v>53</x:v>
      </x:c>
      <x:c r="J1036" s="117" t="str">
        <x:v>unmanaged</x:v>
      </x:c>
      <x:c r="K1036" s="123" t="b">
        <x:v>0</x:v>
      </x:c>
      <x:c r="L1036" s="117"/>
      <x:c r="M1036" s="118"/>
      <x:c r="N1036" s="120" t="n">
        <x:v>44615.60700231481</x:v>
      </x:c>
      <x:c r="O1036" s="117" t="str">
        <x:v>Delegate</x:v>
      </x:c>
      <x:c r="P1036" s="120" t="n">
        <x:v>44615.60702546296</x:v>
      </x:c>
      <x:c r="Q1036" s="117" t="str">
        <x:v>Delegate</x:v>
      </x:c>
      <x:c r="R1036" s="117" t="str">
        <x:v>Custom Payment Flow</x:v>
      </x:c>
      <x:c r="S1036" s="119"/>
    </x:row>
    <x:row r="1037" ht="30" customHeight="1">
      <x:c r="A1037" s="117" t="str">
        <x:v>Custom_Payment_Flow</x:v>
      </x:c>
      <x:c r="B1037" s="117" t="str">
        <x:v>3005b000000H3HjAAK</x:v>
      </x:c>
      <x:c r="C1037" s="117" t="str">
        <x:v>3015b000000EHwSAAW</x:v>
      </x:c>
      <x:c r="D1037" s="118" t="n">
        <x:v>7</x:v>
      </x:c>
      <x:c r="E1037" s="117" t="str">
        <x:v>Obsolete</x:v>
      </x:c>
      <x:c r="F1037" s="117" t="str">
        <x:v>No</x:v>
      </x:c>
      <x:c r="G1037" s="117" t="str">
        <x:v>No</x:v>
      </x:c>
      <x:c r="H1037" s="117" t="str">
        <x:v>Flow</x:v>
      </x:c>
      <x:c r="I1037" s="118" t="n">
        <x:v>53</x:v>
      </x:c>
      <x:c r="J1037" s="117" t="str">
        <x:v>unmanaged</x:v>
      </x:c>
      <x:c r="K1037" s="123" t="b">
        <x:v>0</x:v>
      </x:c>
      <x:c r="L1037" s="117"/>
      <x:c r="M1037" s="118"/>
      <x:c r="N1037" s="120" t="n">
        <x:v>44617.809652777774</x:v>
      </x:c>
      <x:c r="O1037" s="117" t="str">
        <x:v>Delegate</x:v>
      </x:c>
      <x:c r="P1037" s="120" t="n">
        <x:v>45055.68672453704</x:v>
      </x:c>
      <x:c r="Q1037" s="117" t="str">
        <x:v>Delegate</x:v>
      </x:c>
      <x:c r="R1037" s="117" t="str">
        <x:v>Custom Payment Flow</x:v>
      </x:c>
      <x:c r="S1037" s="119"/>
    </x:row>
    <x:row r="1038" ht="30" customHeight="1">
      <x:c r="A1038" s="117" t="str">
        <x:v>Custom_Payment_Flow</x:v>
      </x:c>
      <x:c r="B1038" s="117" t="str">
        <x:v>3005b000000H3HjAAK</x:v>
      </x:c>
      <x:c r="C1038" s="117" t="str">
        <x:v>3015b000000W2k1AAC</x:v>
      </x:c>
      <x:c r="D1038" s="118" t="n">
        <x:v>8</x:v>
      </x:c>
      <x:c r="E1038" s="117" t="str">
        <x:v>Obsolete</x:v>
      </x:c>
      <x:c r="F1038" s="117" t="str">
        <x:v>No</x:v>
      </x:c>
      <x:c r="G1038" s="117" t="str">
        <x:v>No</x:v>
      </x:c>
      <x:c r="H1038" s="117" t="str">
        <x:v>Flow</x:v>
      </x:c>
      <x:c r="I1038" s="118" t="n">
        <x:v>53</x:v>
      </x:c>
      <x:c r="J1038" s="117" t="str">
        <x:v>unmanaged</x:v>
      </x:c>
      <x:c r="K1038" s="123" t="b">
        <x:v>0</x:v>
      </x:c>
      <x:c r="L1038" s="117"/>
      <x:c r="M1038" s="118"/>
      <x:c r="N1038" s="120" t="n">
        <x:v>45055.672685185185</x:v>
      </x:c>
      <x:c r="O1038" s="117" t="str">
        <x:v>Delegate</x:v>
      </x:c>
      <x:c r="P1038" s="120" t="n">
        <x:v>45099.71579861111</x:v>
      </x:c>
      <x:c r="Q1038" s="117" t="str">
        <x:v>Delegate</x:v>
      </x:c>
      <x:c r="R1038" s="117" t="str">
        <x:v>Custom Payment Flow</x:v>
      </x:c>
      <x:c r="S1038" s="119"/>
    </x:row>
    <x:row r="1039" ht="30" customHeight="1">
      <x:c r="A1039" s="117" t="str">
        <x:v>Custom_Payment_Flow</x:v>
      </x:c>
      <x:c r="B1039" s="117" t="str">
        <x:v>3005b000000H3HjAAK</x:v>
      </x:c>
      <x:c r="C1039" s="117" t="str">
        <x:v>3015b000000W4XjAAK</x:v>
      </x:c>
      <x:c r="D1039" s="118" t="n">
        <x:v>9</x:v>
      </x:c>
      <x:c r="E1039" s="117" t="str">
        <x:v>Obsolete</x:v>
      </x:c>
      <x:c r="F1039" s="117" t="str">
        <x:v>No</x:v>
      </x:c>
      <x:c r="G1039" s="117" t="str">
        <x:v>No</x:v>
      </x:c>
      <x:c r="H1039" s="117" t="str">
        <x:v>Flow</x:v>
      </x:c>
      <x:c r="I1039" s="118" t="n">
        <x:v>53</x:v>
      </x:c>
      <x:c r="J1039" s="117" t="str">
        <x:v>unmanaged</x:v>
      </x:c>
      <x:c r="K1039" s="123" t="b">
        <x:v>0</x:v>
      </x:c>
      <x:c r="L1039" s="117"/>
      <x:c r="M1039" s="118"/>
      <x:c r="N1039" s="120" t="n">
        <x:v>45103.634247685186</x:v>
      </x:c>
      <x:c r="O1039" s="117" t="str">
        <x:v>Delegate</x:v>
      </x:c>
      <x:c r="P1039" s="120" t="n">
        <x:v>45103.63431712963</x:v>
      </x:c>
      <x:c r="Q1039" s="117" t="str">
        <x:v>Delegate</x:v>
      </x:c>
      <x:c r="R1039" s="117" t="str">
        <x:v>Custom Payment Flow</x:v>
      </x:c>
      <x:c r="S1039" s="119"/>
    </x:row>
    <x:row r="1040" ht="30" customHeight="1">
      <x:c r="A1040" s="117" t="str">
        <x:v>Custom_Payment_Flow</x:v>
      </x:c>
      <x:c r="B1040" s="117" t="str">
        <x:v>3005b000000H3HjAAK</x:v>
      </x:c>
      <x:c r="C1040" s="117" t="str">
        <x:v>3015b000000W4YMAA0</x:v>
      </x:c>
      <x:c r="D1040" s="118" t="n">
        <x:v>10</x:v>
      </x:c>
      <x:c r="E1040" s="117" t="str">
        <x:v>Obsolete</x:v>
      </x:c>
      <x:c r="F1040" s="117" t="str">
        <x:v>No</x:v>
      </x:c>
      <x:c r="G1040" s="117" t="str">
        <x:v>No</x:v>
      </x:c>
      <x:c r="H1040" s="117" t="str">
        <x:v>Flow</x:v>
      </x:c>
      <x:c r="I1040" s="118" t="n">
        <x:v>53</x:v>
      </x:c>
      <x:c r="J1040" s="117" t="str">
        <x:v>unmanaged</x:v>
      </x:c>
      <x:c r="K1040" s="123" t="b">
        <x:v>0</x:v>
      </x:c>
      <x:c r="L1040" s="117"/>
      <x:c r="M1040" s="118"/>
      <x:c r="N1040" s="120" t="n">
        <x:v>45103.69420138889</x:v>
      </x:c>
      <x:c r="O1040" s="117" t="str">
        <x:v>Delegate</x:v>
      </x:c>
      <x:c r="P1040" s="120" t="n">
        <x:v>45103.69429398148</x:v>
      </x:c>
      <x:c r="Q1040" s="117" t="str">
        <x:v>Delegate</x:v>
      </x:c>
      <x:c r="R1040" s="117" t="str">
        <x:v>Custom Payment Flow</x:v>
      </x:c>
      <x:c r="S1040" s="119"/>
    </x:row>
    <x:row r="1041" ht="30" customHeight="1">
      <x:c r="A1041" s="117" t="str">
        <x:v>Custom_Payment_Flow</x:v>
      </x:c>
      <x:c r="B1041" s="117" t="str">
        <x:v>3005b000000H3HjAAK</x:v>
      </x:c>
      <x:c r="C1041" s="117" t="str">
        <x:v>3015b000000W4aSAAS</x:v>
      </x:c>
      <x:c r="D1041" s="118" t="n">
        <x:v>11</x:v>
      </x:c>
      <x:c r="E1041" s="117" t="str">
        <x:v>Obsolete</x:v>
      </x:c>
      <x:c r="F1041" s="117" t="str">
        <x:v>No</x:v>
      </x:c>
      <x:c r="G1041" s="117" t="str">
        <x:v>No</x:v>
      </x:c>
      <x:c r="H1041" s="117" t="str">
        <x:v>Flow</x:v>
      </x:c>
      <x:c r="I1041" s="118" t="n">
        <x:v>53</x:v>
      </x:c>
      <x:c r="J1041" s="117" t="str">
        <x:v>unmanaged</x:v>
      </x:c>
      <x:c r="K1041" s="123" t="b">
        <x:v>0</x:v>
      </x:c>
      <x:c r="L1041" s="117"/>
      <x:c r="M1041" s="118"/>
      <x:c r="N1041" s="120" t="n">
        <x:v>45104.60795138889</x:v>
      </x:c>
      <x:c r="O1041" s="117" t="str">
        <x:v>Delegate</x:v>
      </x:c>
      <x:c r="P1041" s="120" t="n">
        <x:v>45104.60802083334</x:v>
      </x:c>
      <x:c r="Q1041" s="117" t="str">
        <x:v>Delegate</x:v>
      </x:c>
      <x:c r="R1041" s="117" t="str">
        <x:v>Custom Payment Flow</x:v>
      </x:c>
      <x:c r="S1041" s="119"/>
    </x:row>
    <x:row r="1042" ht="30" customHeight="1">
      <x:c r="A1042" s="117" t="str">
        <x:v>Custom_Payment_Flow</x:v>
      </x:c>
      <x:c r="B1042" s="117" t="str">
        <x:v>3005b000000H3HjAAK</x:v>
      </x:c>
      <x:c r="C1042" s="117" t="str">
        <x:v>3015b000000W4acAAC</x:v>
      </x:c>
      <x:c r="D1042" s="118" t="n">
        <x:v>12</x:v>
      </x:c>
      <x:c r="E1042" s="117" t="str">
        <x:v>Obsolete</x:v>
      </x:c>
      <x:c r="F1042" s="117" t="str">
        <x:v>No</x:v>
      </x:c>
      <x:c r="G1042" s="117" t="str">
        <x:v>No</x:v>
      </x:c>
      <x:c r="H1042" s="117" t="str">
        <x:v>Flow</x:v>
      </x:c>
      <x:c r="I1042" s="118" t="n">
        <x:v>53</x:v>
      </x:c>
      <x:c r="J1042" s="117" t="str">
        <x:v>unmanaged</x:v>
      </x:c>
      <x:c r="K1042" s="123" t="b">
        <x:v>0</x:v>
      </x:c>
      <x:c r="L1042" s="117"/>
      <x:c r="M1042" s="118"/>
      <x:c r="N1042" s="120" t="n">
        <x:v>45104.61262731482</x:v>
      </x:c>
      <x:c r="O1042" s="117" t="str">
        <x:v>Delegate</x:v>
      </x:c>
      <x:c r="P1042" s="120" t="n">
        <x:v>45104.61271990741</x:v>
      </x:c>
      <x:c r="Q1042" s="117" t="str">
        <x:v>Delegate</x:v>
      </x:c>
      <x:c r="R1042" s="117" t="str">
        <x:v>Custom Payment Flow</x:v>
      </x:c>
      <x:c r="S1042" s="119"/>
    </x:row>
    <x:row r="1043" ht="30" customHeight="1">
      <x:c r="A1043" s="117" t="str">
        <x:v>Custom_Payment_Flow</x:v>
      </x:c>
      <x:c r="B1043" s="117" t="str">
        <x:v>3005b000000H3HjAAK</x:v>
      </x:c>
      <x:c r="C1043" s="117" t="str">
        <x:v>3015b000000ANnqAAG</x:v>
      </x:c>
      <x:c r="D1043" s="118" t="n">
        <x:v>13</x:v>
      </x:c>
      <x:c r="E1043" s="117" t="str">
        <x:v>Obsolete</x:v>
      </x:c>
      <x:c r="F1043" s="117" t="str">
        <x:v>No</x:v>
      </x:c>
      <x:c r="G1043" s="117" t="str">
        <x:v>No</x:v>
      </x:c>
      <x:c r="H1043" s="117" t="str">
        <x:v>Flow</x:v>
      </x:c>
      <x:c r="I1043" s="118" t="n">
        <x:v>53</x:v>
      </x:c>
      <x:c r="J1043" s="117" t="str">
        <x:v>unmanaged</x:v>
      </x:c>
      <x:c r="K1043" s="123" t="b">
        <x:v>0</x:v>
      </x:c>
      <x:c r="L1043" s="117"/>
      <x:c r="M1043" s="118"/>
      <x:c r="N1043" s="120" t="n">
        <x:v>45118.56873842593</x:v>
      </x:c>
      <x:c r="O1043" s="117" t="str">
        <x:v>Delegate</x:v>
      </x:c>
      <x:c r="P1043" s="120" t="n">
        <x:v>45118.56880787037</x:v>
      </x:c>
      <x:c r="Q1043" s="117" t="str">
        <x:v>Delegate</x:v>
      </x:c>
      <x:c r="R1043" s="117" t="str">
        <x:v>Custom Payment Flow</x:v>
      </x:c>
      <x:c r="S1043" s="119"/>
    </x:row>
    <x:row r="1044" ht="30" customHeight="1">
      <x:c r="A1044" s="117" t="str">
        <x:v>Custom_Payment_Flow</x:v>
      </x:c>
      <x:c r="B1044" s="117" t="str">
        <x:v>3005b000000H3HjAAK</x:v>
      </x:c>
      <x:c r="C1044" s="117" t="str">
        <x:v>3015b000000ANoAAAW</x:v>
      </x:c>
      <x:c r="D1044" s="118" t="n">
        <x:v>14</x:v>
      </x:c>
      <x:c r="E1044" s="117" t="str">
        <x:v>Obsolete</x:v>
      </x:c>
      <x:c r="F1044" s="117" t="str">
        <x:v>No</x:v>
      </x:c>
      <x:c r="G1044" s="117" t="str">
        <x:v>No</x:v>
      </x:c>
      <x:c r="H1044" s="117" t="str">
        <x:v>Flow</x:v>
      </x:c>
      <x:c r="I1044" s="118" t="n">
        <x:v>53</x:v>
      </x:c>
      <x:c r="J1044" s="117" t="str">
        <x:v>unmanaged</x:v>
      </x:c>
      <x:c r="K1044" s="123" t="b">
        <x:v>0</x:v>
      </x:c>
      <x:c r="L1044" s="117"/>
      <x:c r="M1044" s="118"/>
      <x:c r="N1044" s="120" t="n">
        <x:v>45118.587372685186</x:v>
      </x:c>
      <x:c r="O1044" s="117" t="str">
        <x:v>Delegate</x:v>
      </x:c>
      <x:c r="P1044" s="120" t="n">
        <x:v>45118.58755787037</x:v>
      </x:c>
      <x:c r="Q1044" s="117" t="str">
        <x:v>Delegate</x:v>
      </x:c>
      <x:c r="R1044" s="117" t="str">
        <x:v>Custom Payment Flow</x:v>
      </x:c>
      <x:c r="S1044" s="119"/>
    </x:row>
    <x:row r="1045" ht="30" customHeight="1">
      <x:c r="A1045" s="117" t="str">
        <x:v>Custom_Payment_Flow</x:v>
      </x:c>
      <x:c r="B1045" s="117" t="str">
        <x:v>3005b000000H3HjAAK</x:v>
      </x:c>
      <x:c r="C1045" s="117" t="str">
        <x:v>3015b000000AOIZAA4</x:v>
      </x:c>
      <x:c r="D1045" s="118" t="n">
        <x:v>15</x:v>
      </x:c>
      <x:c r="E1045" s="117" t="str">
        <x:v>Active</x:v>
      </x:c>
      <x:c r="F1045" s="117" t="str">
        <x:v>Yes</x:v>
      </x:c>
      <x:c r="G1045" s="117" t="str">
        <x:v>Yes</x:v>
      </x:c>
      <x:c r="H1045" s="117" t="str">
        <x:v>Flow</x:v>
      </x:c>
      <x:c r="I1045" s="118" t="n">
        <x:v>53</x:v>
      </x:c>
      <x:c r="J1045" s="117" t="str">
        <x:v>unmanaged</x:v>
      </x:c>
      <x:c r="K1045" s="123" t="b">
        <x:v>0</x:v>
      </x:c>
      <x:c r="L1045" s="117"/>
      <x:c r="M1045" s="118"/>
      <x:c r="N1045" s="120" t="n">
        <x:v>45125.560902777775</x:v>
      </x:c>
      <x:c r="O1045" s="117" t="str">
        <x:v>Delegate</x:v>
      </x:c>
      <x:c r="P1045" s="120" t="n">
        <x:v>45125.560960648145</x:v>
      </x:c>
      <x:c r="Q1045" s="117" t="str">
        <x:v>Delegate</x:v>
      </x:c>
      <x:c r="R1045" s="117" t="str">
        <x:v>Custom Payment Flow</x:v>
      </x:c>
      <x:c r="S1045" s="119" t="str">
        <x:v>07/18/23 (BW) - Added Total Invoice Amount &amp; Services Fee addition to creation of the transaction record. These will be used in the Workato to split the payment to 2 different accounts.</x:v>
      </x:c>
    </x:row>
    <x:row r="1046" ht="30" customHeight="1">
      <x:c r="A1046" s="117" t="str">
        <x:v>Customer_Receipt</x:v>
      </x:c>
      <x:c r="B1046" s="117" t="str">
        <x:v>300Ro00000kKs8KIAS</x:v>
      </x:c>
      <x:c r="C1046" s="117" t="str">
        <x:v>301Ro00000rhIpeIAE</x:v>
      </x:c>
      <x:c r="D1046" s="118" t="n">
        <x:v>1</x:v>
      </x:c>
      <x:c r="E1046" s="117" t="str">
        <x:v>Draft</x:v>
      </x:c>
      <x:c r="F1046" s="117" t="str">
        <x:v>No</x:v>
      </x:c>
      <x:c r="G1046" s="117" t="str">
        <x:v>Yes</x:v>
      </x:c>
      <x:c r="H1046" s="117" t="str">
        <x:v>AutoLaunchedFlow</x:v>
      </x:c>
      <x:c r="I1046" s="118" t="n">
        <x:v>64</x:v>
      </x:c>
      <x:c r="J1046" s="117" t="str">
        <x:v>installed</x:v>
      </x:c>
      <x:c r="K1046" s="123" t="b">
        <x:v>0</x:v>
      </x:c>
      <x:c r="L1046" s="117"/>
      <x:c r="M1046" s="118"/>
      <x:c r="N1046" s="120" t="n">
        <x:v>45965.97744212963</x:v>
      </x:c>
      <x:c r="O1046" s="117" t="str"/>
      <x:c r="P1046" s="120" t="n">
        <x:v>45965.977743055555</x:v>
      </x:c>
      <x:c r="Q1046" s="117" t="str"/>
      <x:c r="R1046" s="117" t="str">
        <x:v>Customer Receipt</x:v>
      </x:c>
      <x:c r="S1046" s="119" t="str">
        <x:v>This rule fires on successful Chargent payment transactions.</x:v>
      </x:c>
    </x:row>
    <x:row r="1047" ht="30" customHeight="1">
      <x:c r="A1047" s="117" t="str">
        <x:v>Customer_Satisfaction_Survey</x:v>
      </x:c>
      <x:c r="B1047" s="117" t="str">
        <x:v>3004O000000XgYBQA0</x:v>
      </x:c>
      <x:c r="C1047" s="117" t="str">
        <x:v>3014O000000Y6thQAC</x:v>
      </x:c>
      <x:c r="D1047" s="118" t="n">
        <x:v>1</x:v>
      </x:c>
      <x:c r="E1047" s="117" t="str">
        <x:v>InvalidDraft</x:v>
      </x:c>
      <x:c r="F1047" s="117" t="str">
        <x:v>No</x:v>
      </x:c>
      <x:c r="G1047" s="117" t="str">
        <x:v>Yes</x:v>
      </x:c>
      <x:c r="H1047" s="117" t="str">
        <x:v>Workflow</x:v>
      </x:c>
      <x:c r="I1047" s="118"/>
      <x:c r="J1047" s="117" t="str">
        <x:v>unmanaged</x:v>
      </x:c>
      <x:c r="K1047" s="123" t="b">
        <x:v>0</x:v>
      </x:c>
      <x:c r="L1047" s="117"/>
      <x:c r="M1047" s="118"/>
      <x:c r="N1047" s="120" t="n">
        <x:v>43997.85076388889</x:v>
      </x:c>
      <x:c r="O1047" s="117" t="str">
        <x:v>Trent VanEmon</x:v>
      </x:c>
      <x:c r="P1047" s="120" t="n">
        <x:v>43997.85076388889</x:v>
      </x:c>
      <x:c r="Q1047" s="117" t="str">
        <x:v>Trent VanEmon</x:v>
      </x:c>
      <x:c r="R1047" s="117" t="str">
        <x:v>Customer Satisfaction Survey</x:v>
      </x:c>
      <x:c r="S1047" s="119"/>
    </x:row>
    <x:row r="1048" ht="30" customHeight="1">
      <x:c r="A1048" s="117" t="str">
        <x:v>Daily_Update_Scheduled_Jobs_for_Today_to_Dispatched</x:v>
      </x:c>
      <x:c r="B1048" s="117" t="str">
        <x:v>300Ro00000VTASAIA5</x:v>
      </x:c>
      <x:c r="C1048" s="117" t="str">
        <x:v>301Ro00000YfyXqIAJ</x:v>
      </x:c>
      <x:c r="D1048" s="118" t="n">
        <x:v>1</x:v>
      </x:c>
      <x:c r="E1048" s="117" t="str">
        <x:v>Active</x:v>
      </x:c>
      <x:c r="F1048" s="117" t="str">
        <x:v>Yes</x:v>
      </x:c>
      <x:c r="G1048" s="117" t="str">
        <x:v>Yes</x:v>
      </x:c>
      <x:c r="H1048" s="117" t="str">
        <x:v>AutoLaunchedFlow</x:v>
      </x:c>
      <x:c r="I1048" s="118" t="n">
        <x:v>63</x:v>
      </x:c>
      <x:c r="J1048" s="117" t="str">
        <x:v>unmanaged</x:v>
      </x:c>
      <x:c r="K1048" s="123" t="b">
        <x:v>0</x:v>
      </x:c>
      <x:c r="L1048" s="117"/>
      <x:c r="M1048" s="118"/>
      <x:c r="N1048" s="120" t="n">
        <x:v>45784.53635416667</x:v>
      </x:c>
      <x:c r="O1048" s="117" t="str">
        <x:v>Delegate</x:v>
      </x:c>
      <x:c r="P1048" s="120" t="n">
        <x:v>45784.53640046297</x:v>
      </x:c>
      <x:c r="Q1048" s="117" t="str">
        <x:v>Delegate</x:v>
      </x:c>
      <x:c r="R1048" s="117" t="str">
        <x:v>Daily: Update Scheduled Jobs for Today to Dispatched</x:v>
      </x:c>
      <x:c r="S1048" s="119" t="str">
        <x:v>05/07/2025 (BW) - Updates the scheduled service appointments for today to dispatched</x:v>
      </x:c>
    </x:row>
    <x:row r="1049" ht="30" customHeight="1">
      <x:c r="A1049" s="117" t="str">
        <x:v>Datatable_Configuration_Wizard5</x:v>
      </x:c>
      <x:c r="B1049" s="117" t="str">
        <x:v>3005b00000113a9AAA</x:v>
      </x:c>
      <x:c r="C1049" s="117" t="str">
        <x:v>3015b0000011MUOAA2</x:v>
      </x:c>
      <x:c r="D1049" s="118" t="n">
        <x:v>1</x:v>
      </x:c>
      <x:c r="E1049" s="117" t="str">
        <x:v>Active</x:v>
      </x:c>
      <x:c r="F1049" s="117" t="str">
        <x:v>Yes</x:v>
      </x:c>
      <x:c r="G1049" s="117" t="str">
        <x:v>Yes</x:v>
      </x:c>
      <x:c r="H1049" s="117" t="str">
        <x:v>Flow</x:v>
      </x:c>
      <x:c r="I1049" s="118" t="n">
        <x:v>57</x:v>
      </x:c>
      <x:c r="J1049" s="117" t="str">
        <x:v>unmanaged</x:v>
      </x:c>
      <x:c r="K1049" s="123" t="b">
        <x:v>0</x:v>
      </x:c>
      <x:c r="L1049" s="117"/>
      <x:c r="M1049" s="118"/>
      <x:c r="N1049" s="120" t="n">
        <x:v>45243.79584490741</x:v>
      </x:c>
      <x:c r="O1049" s="117" t="str">
        <x:v>Delegate</x:v>
      </x:c>
      <x:c r="P1049" s="120" t="n">
        <x:v>45243.79630787037</x:v>
      </x:c>
      <x:c r="Q1049" s="117" t="str">
        <x:v>Delegate</x:v>
      </x:c>
      <x:c r="R1049" s="117" t="str">
        <x:v>Datatable Configuration Wizard</x:v>
      </x:c>
      <x:c r="S1049" s="119" t="str">
        <x:v>Flow designed to run inside of the datatable CPE to select and set component attributes by interacting with a sample datatable.</x:v>
      </x:c>
    </x:row>
    <x:row r="1050" ht="30" customHeight="1">
      <x:c r="A1050" s="117" t="str">
        <x:v>Dated_Exchange_Rates_Call_XE_API_for_Daily_Rates</x:v>
      </x:c>
      <x:c r="B1050" s="117" t="str">
        <x:v>300Ro00000PEeQbIAL</x:v>
      </x:c>
      <x:c r="C1050" s="117" t="str">
        <x:v>301Ro00000RnoCJIAZ</x:v>
      </x:c>
      <x:c r="D1050" s="118" t="n">
        <x:v>1</x:v>
      </x:c>
      <x:c r="E1050" s="117" t="str">
        <x:v>Obsolete</x:v>
      </x:c>
      <x:c r="F1050" s="117" t="str">
        <x:v>No</x:v>
      </x:c>
      <x:c r="G1050" s="117" t="str">
        <x:v>No</x:v>
      </x:c>
      <x:c r="H1050" s="117" t="str">
        <x:v>AutoLaunchedFlow</x:v>
      </x:c>
      <x:c r="I1050" s="118" t="n">
        <x:v>62</x:v>
      </x:c>
      <x:c r="J1050" s="117" t="str">
        <x:v>unmanaged</x:v>
      </x:c>
      <x:c r="K1050" s="123" t="b">
        <x:v>0</x:v>
      </x:c>
      <x:c r="L1050" s="117"/>
      <x:c r="M1050" s="118"/>
      <x:c r="N1050" s="120" t="n">
        <x:v>45665.975023148145</x:v>
      </x:c>
      <x:c r="O1050" s="117" t="str">
        <x:v>Delegate</x:v>
      </x:c>
      <x:c r="P1050" s="120" t="n">
        <x:v>45665.98708333333</x:v>
      </x:c>
      <x:c r="Q1050" s="117" t="str">
        <x:v>Delegate</x:v>
      </x:c>
      <x:c r="R1050" s="117" t="str">
        <x:v>Dated Exchange Rates: Call XE API for Daily Rates</x:v>
      </x:c>
      <x:c r="S1050" s="119" t="str">
        <x:v>It uses HTTP Callout to get all active exchange rates for the org for the current day. Always converts from USD to whichever currency.
This flow does not consider the corporate currency for any updates.</x:v>
      </x:c>
    </x:row>
    <x:row r="1051" ht="30" customHeight="1">
      <x:c r="A1051" s="117" t="str">
        <x:v>Dated_Exchange_Rates_Call_XE_API_for_Daily_Rates</x:v>
      </x:c>
      <x:c r="B1051" s="117" t="str">
        <x:v>300Ro00000PEeQbIAL</x:v>
      </x:c>
      <x:c r="C1051" s="117" t="str">
        <x:v>301Ro00000eeTfRIAU</x:v>
      </x:c>
      <x:c r="D1051" s="118" t="n">
        <x:v>2</x:v>
      </x:c>
      <x:c r="E1051" s="117" t="str">
        <x:v>Obsolete</x:v>
      </x:c>
      <x:c r="F1051" s="117" t="str">
        <x:v>No</x:v>
      </x:c>
      <x:c r="G1051" s="117" t="str">
        <x:v>No</x:v>
      </x:c>
      <x:c r="H1051" s="117" t="str">
        <x:v>AutoLaunchedFlow</x:v>
      </x:c>
      <x:c r="I1051" s="118" t="n">
        <x:v>62</x:v>
      </x:c>
      <x:c r="J1051" s="117" t="str">
        <x:v>unmanaged</x:v>
      </x:c>
      <x:c r="K1051" s="123" t="b">
        <x:v>0</x:v>
      </x:c>
      <x:c r="L1051" s="117"/>
      <x:c r="M1051" s="118"/>
      <x:c r="N1051" s="120" t="n">
        <x:v>45849.57251157407</x:v>
      </x:c>
      <x:c r="O1051" s="117" t="str">
        <x:v>Delegate</x:v>
      </x:c>
      <x:c r="P1051" s="120" t="n">
        <x:v>45849.572604166664</x:v>
      </x:c>
      <x:c r="Q1051" s="117" t="str">
        <x:v>Delegate</x:v>
      </x:c>
      <x:c r="R1051" s="117" t="str">
        <x:v>Dated Exchange Rates: Call XE API for Daily Rates</x:v>
      </x:c>
      <x:c r="S1051" s="119" t="str">
        <x:v>It uses HTTP Callout to get all active exchange rates for the org for the current day. Always converts from USD to whichever currency.
This flow does not consider the corporate currency for any updates.</x:v>
      </x:c>
    </x:row>
    <x:row r="1052" ht="30" customHeight="1">
      <x:c r="A1052" s="117" t="str">
        <x:v>Dated_Exchange_Rates_Call_XE_API_for_Daily_Rates</x:v>
      </x:c>
      <x:c r="B1052" s="117" t="str">
        <x:v>300Ro00000PEeQbIAL</x:v>
      </x:c>
      <x:c r="C1052" s="117" t="str">
        <x:v>301Ro00000efcSqIAI</x:v>
      </x:c>
      <x:c r="D1052" s="118" t="n">
        <x:v>3</x:v>
      </x:c>
      <x:c r="E1052" s="117" t="str">
        <x:v>Active</x:v>
      </x:c>
      <x:c r="F1052" s="117" t="str">
        <x:v>Yes</x:v>
      </x:c>
      <x:c r="G1052" s="117" t="str">
        <x:v>Yes</x:v>
      </x:c>
      <x:c r="H1052" s="117" t="str">
        <x:v>AutoLaunchedFlow</x:v>
      </x:c>
      <x:c r="I1052" s="118" t="n">
        <x:v>62</x:v>
      </x:c>
      <x:c r="J1052" s="117" t="str">
        <x:v>unmanaged</x:v>
      </x:c>
      <x:c r="K1052" s="123" t="b">
        <x:v>0</x:v>
      </x:c>
      <x:c r="L1052" s="117"/>
      <x:c r="M1052" s="118"/>
      <x:c r="N1052" s="120" t="n">
        <x:v>45849.66101851852</x:v>
      </x:c>
      <x:c r="O1052" s="117" t="str">
        <x:v>Bill Hagarty</x:v>
      </x:c>
      <x:c r="P1052" s="120" t="n">
        <x:v>46064.90940972222</x:v>
      </x:c>
      <x:c r="Q1052" s="117" t="str">
        <x:v>Delegate</x:v>
      </x:c>
      <x:c r="R1052" s="117" t="str">
        <x:v>Dated Exchange Rates: Call XE API for Daily Rates</x:v>
      </x:c>
      <x:c r="S1052" s="119" t="str">
        <x:v>It uses HTTP Callout to get all active exchange rates for the org for the current day. Always converts from USD to whichever currency.
This flow does not consider the corporate currency for any updates.</x:v>
      </x:c>
    </x:row>
    <x:row r="1053" ht="30" customHeight="1">
      <x:c r="A1053" s="117" t="str">
        <x:v>Davis_Medical_Shipping_Email_Alert_Flow</x:v>
      </x:c>
      <x:c r="B1053" s="117" t="str">
        <x:v>300Ro000006NPyMIAW</x:v>
      </x:c>
      <x:c r="C1053" s="117" t="str">
        <x:v>301Ro000007AxsZIAS</x:v>
      </x:c>
      <x:c r="D1053" s="118" t="n">
        <x:v>1</x:v>
      </x:c>
      <x:c r="E1053" s="117" t="str">
        <x:v>Obsolete</x:v>
      </x:c>
      <x:c r="F1053" s="117" t="str">
        <x:v>No</x:v>
      </x:c>
      <x:c r="G1053" s="117" t="str">
        <x:v>No</x:v>
      </x:c>
      <x:c r="H1053" s="117" t="str">
        <x:v>AutoLaunchedFlow</x:v>
      </x:c>
      <x:c r="I1053" s="118" t="n">
        <x:v>59</x:v>
      </x:c>
      <x:c r="J1053" s="117" t="str">
        <x:v>unmanaged</x:v>
      </x:c>
      <x:c r="K1053" s="123" t="b">
        <x:v>0</x:v>
      </x:c>
      <x:c r="L1053" s="117"/>
      <x:c r="M1053" s="118"/>
      <x:c r="N1053" s="120" t="n">
        <x:v>45331.622025462966</x:v>
      </x:c>
      <x:c r="O1053" s="117" t="str">
        <x:v>Jace Gentil</x:v>
      </x:c>
      <x:c r="P1053" s="120" t="n">
        <x:v>45331.62216435185</x:v>
      </x:c>
      <x:c r="Q1053" s="117" t="str">
        <x:v>Jace Gentil</x:v>
      </x:c>
      <x:c r="R1053" s="117" t="str">
        <x:v>Davis Medical Shipping Email Alert Flow</x:v>
      </x:c>
      <x:c r="S1053" s="119"/>
    </x:row>
    <x:row r="1054" ht="30" customHeight="1">
      <x:c r="A1054" s="117" t="str">
        <x:v>Davis_Medical_Shipping_Email_Alert_Flow</x:v>
      </x:c>
      <x:c r="B1054" s="117" t="str">
        <x:v>300Ro000006NPyMIAW</x:v>
      </x:c>
      <x:c r="C1054" s="117" t="str">
        <x:v>301Ro00000CkCVXIA3</x:v>
      </x:c>
      <x:c r="D1054" s="118" t="n">
        <x:v>2</x:v>
      </x:c>
      <x:c r="E1054" s="117" t="str">
        <x:v>Obsolete</x:v>
      </x:c>
      <x:c r="F1054" s="117" t="str">
        <x:v>No</x:v>
      </x:c>
      <x:c r="G1054" s="117" t="str">
        <x:v>No</x:v>
      </x:c>
      <x:c r="H1054" s="117" t="str">
        <x:v>AutoLaunchedFlow</x:v>
      </x:c>
      <x:c r="I1054" s="118" t="n">
        <x:v>59</x:v>
      </x:c>
      <x:c r="J1054" s="117" t="str">
        <x:v>unmanaged</x:v>
      </x:c>
      <x:c r="K1054" s="123" t="b">
        <x:v>0</x:v>
      </x:c>
      <x:c r="L1054" s="117"/>
      <x:c r="M1054" s="118"/>
      <x:c r="N1054" s="120" t="n">
        <x:v>45425.826053240744</x:v>
      </x:c>
      <x:c r="O1054" s="117" t="str">
        <x:v>Jace Gentil</x:v>
      </x:c>
      <x:c r="P1054" s="120" t="n">
        <x:v>45425.82611111111</x:v>
      </x:c>
      <x:c r="Q1054" s="117" t="str">
        <x:v>Jace Gentil</x:v>
      </x:c>
      <x:c r="R1054" s="117" t="str">
        <x:v>Davis Medical Shipping Email Alert Flow</x:v>
      </x:c>
      <x:c r="S1054" s="119"/>
    </x:row>
    <x:row r="1055" ht="30" customHeight="1">
      <x:c r="A1055" s="117" t="str">
        <x:v>Davis_Medical_Shipping_Email_Alert_Flow</x:v>
      </x:c>
      <x:c r="B1055" s="117" t="str">
        <x:v>300Ro000006NPyMIAW</x:v>
      </x:c>
      <x:c r="C1055" s="117" t="str">
        <x:v>301Ro00000uOGeVIAW</x:v>
      </x:c>
      <x:c r="D1055" s="118" t="n">
        <x:v>3</x:v>
      </x:c>
      <x:c r="E1055" s="117" t="str">
        <x:v>Active</x:v>
      </x:c>
      <x:c r="F1055" s="117" t="str">
        <x:v>Yes</x:v>
      </x:c>
      <x:c r="G1055" s="117" t="str">
        <x:v>Yes</x:v>
      </x:c>
      <x:c r="H1055" s="117" t="str">
        <x:v>AutoLaunchedFlow</x:v>
      </x:c>
      <x:c r="I1055" s="118" t="n">
        <x:v>59</x:v>
      </x:c>
      <x:c r="J1055" s="117" t="str">
        <x:v>unmanaged</x:v>
      </x:c>
      <x:c r="K1055" s="123" t="b">
        <x:v>0</x:v>
      </x:c>
      <x:c r="L1055" s="117"/>
      <x:c r="M1055" s="118"/>
      <x:c r="N1055" s="120" t="n">
        <x:v>46009.91071759259</x:v>
      </x:c>
      <x:c r="O1055" s="117" t="str">
        <x:v>Steve Dodd</x:v>
      </x:c>
      <x:c r="P1055" s="120" t="n">
        <x:v>46009.910949074074</x:v>
      </x:c>
      <x:c r="Q1055" s="117" t="str">
        <x:v>Steve Dodd</x:v>
      </x:c>
      <x:c r="R1055" s="117" t="str">
        <x:v>Davis Medical Shipping Email Alert Flow</x:v>
      </x:c>
      <x:c r="S1055" s="119"/>
    </x:row>
    <x:row r="1056" ht="30" customHeight="1">
      <x:c r="A1056" s="117" t="str">
        <x:v>Debit_Memo_Update</x:v>
      </x:c>
      <x:c r="B1056" s="117" t="str">
        <x:v>3004O000000LOr8QAG</x:v>
      </x:c>
      <x:c r="C1056" s="117" t="str">
        <x:v>3014O000000M0UvQAK</x:v>
      </x:c>
      <x:c r="D1056" s="118" t="n">
        <x:v>1</x:v>
      </x:c>
      <x:c r="E1056" s="117" t="str">
        <x:v>Draft</x:v>
      </x:c>
      <x:c r="F1056" s="117" t="str">
        <x:v>No</x:v>
      </x:c>
      <x:c r="G1056" s="117" t="str">
        <x:v>No</x:v>
      </x:c>
      <x:c r="H1056" s="117" t="str">
        <x:v>Workflow</x:v>
      </x:c>
      <x:c r="I1056" s="118" t="n">
        <x:v>50</x:v>
      </x:c>
      <x:c r="J1056" s="117" t="str">
        <x:v>unmanaged</x:v>
      </x:c>
      <x:c r="K1056" s="123" t="b">
        <x:v>0</x:v>
      </x:c>
      <x:c r="L1056" s="117"/>
      <x:c r="M1056" s="118"/>
      <x:c r="N1056" s="120" t="n">
        <x:v>44199.60534722222</x:v>
      </x:c>
      <x:c r="O1056" s="117" t="str">
        <x:v>Delegate</x:v>
      </x:c>
      <x:c r="P1056" s="120" t="n">
        <x:v>44199.60534722222</x:v>
      </x:c>
      <x:c r="Q1056" s="117" t="str">
        <x:v>Delegate</x:v>
      </x:c>
      <x:c r="R1056" s="117" t="str">
        <x:v>Debit Memo Update</x:v>
      </x:c>
      <x:c r="S1056" s="119"/>
    </x:row>
    <x:row r="1057" ht="30" customHeight="1">
      <x:c r="A1057" s="117" t="str">
        <x:v>Debit_Memo_Update</x:v>
      </x:c>
      <x:c r="B1057" s="117" t="str">
        <x:v>3004O000000LOr8QAG</x:v>
      </x:c>
      <x:c r="C1057" s="117" t="str">
        <x:v>3014O000000M0WFQA0</x:v>
      </x:c>
      <x:c r="D1057" s="118" t="n">
        <x:v>2</x:v>
      </x:c>
      <x:c r="E1057" s="117" t="str">
        <x:v>Obsolete</x:v>
      </x:c>
      <x:c r="F1057" s="117" t="str">
        <x:v>No</x:v>
      </x:c>
      <x:c r="G1057" s="117" t="str">
        <x:v>Yes</x:v>
      </x:c>
      <x:c r="H1057" s="117" t="str">
        <x:v>Workflow</x:v>
      </x:c>
      <x:c r="I1057" s="118" t="n">
        <x:v>50</x:v>
      </x:c>
      <x:c r="J1057" s="117" t="str">
        <x:v>unmanaged</x:v>
      </x:c>
      <x:c r="K1057" s="123" t="b">
        <x:v>0</x:v>
      </x:c>
      <x:c r="L1057" s="117"/>
      <x:c r="M1057" s="118"/>
      <x:c r="N1057" s="120" t="n">
        <x:v>44199.68256944444</x:v>
      </x:c>
      <x:c r="O1057" s="117" t="str">
        <x:v>Delegate</x:v>
      </x:c>
      <x:c r="P1057" s="120" t="n">
        <x:v>45600.20055555556</x:v>
      </x:c>
      <x:c r="Q1057" s="117" t="str">
        <x:v>Delegate</x:v>
      </x:c>
      <x:c r="R1057" s="117" t="str">
        <x:v>Debit Memo Update</x:v>
      </x:c>
      <x:c r="S1057" s="119"/>
    </x:row>
    <x:row r="1058" ht="30" customHeight="1">
      <x:c r="A1058" s="117" t="str">
        <x:v>Debit_Memos_Rollup</x:v>
      </x:c>
      <x:c r="B1058" s="117" t="str">
        <x:v>300Ro000007doaUIAQ</x:v>
      </x:c>
      <x:c r="C1058" s="117" t="str">
        <x:v>301Ro000008UfpFIAS</x:v>
      </x:c>
      <x:c r="D1058" s="118" t="n">
        <x:v>1</x:v>
      </x:c>
      <x:c r="E1058" s="117" t="str">
        <x:v>Active</x:v>
      </x:c>
      <x:c r="F1058" s="117" t="str">
        <x:v>Yes</x:v>
      </x:c>
      <x:c r="G1058" s="117" t="str">
        <x:v>Yes</x:v>
      </x:c>
      <x:c r="H1058" s="117" t="str">
        <x:v>AutoLaunchedFlow</x:v>
      </x:c>
      <x:c r="I1058" s="118" t="n">
        <x:v>57</x:v>
      </x:c>
      <x:c r="J1058" s="117" t="str">
        <x:v>unmanaged</x:v>
      </x:c>
      <x:c r="K1058" s="123" t="b">
        <x:v>0</x:v>
      </x:c>
      <x:c r="L1058" s="117"/>
      <x:c r="M1058" s="118"/>
      <x:c r="N1058" s="120" t="n">
        <x:v>45356.55143518518</x:v>
      </x:c>
      <x:c r="O1058" s="117" t="str">
        <x:v>Delegate</x:v>
      </x:c>
      <x:c r="P1058" s="120" t="n">
        <x:v>45618.034050925926</x:v>
      </x:c>
      <x:c r="Q1058" s="117" t="str">
        <x:v>Delegate</x:v>
      </x:c>
      <x:c r="R1058" s="117" t="str">
        <x:v>Debit Memos Rollup</x:v>
      </x:c>
      <x:c r="S1058" s="119"/>
    </x:row>
    <x:row r="1059" ht="30" customHeight="1">
      <x:c r="A1059" s="117" t="str">
        <x:v>Delete_Event_Autolaunched_Flow</x:v>
      </x:c>
      <x:c r="B1059" s="117" t="str">
        <x:v>300Ro00000kCnFSIA0</x:v>
      </x:c>
      <x:c r="C1059" s="117" t="str">
        <x:v>301Ro00000rZQHIIA4</x:v>
      </x:c>
      <x:c r="D1059" s="118" t="n">
        <x:v>1</x:v>
      </x:c>
      <x:c r="E1059" s="117" t="str">
        <x:v>Obsolete</x:v>
      </x:c>
      <x:c r="F1059" s="117" t="str">
        <x:v>No</x:v>
      </x:c>
      <x:c r="G1059" s="117" t="str">
        <x:v>Yes</x:v>
      </x:c>
      <x:c r="H1059" s="117" t="str">
        <x:v>AutoLaunchedFlow</x:v>
      </x:c>
      <x:c r="I1059" s="118" t="n">
        <x:v>65</x:v>
      </x:c>
      <x:c r="J1059" s="117" t="str">
        <x:v>unmanaged</x:v>
      </x:c>
      <x:c r="K1059" s="123" t="b">
        <x:v>0</x:v>
      </x:c>
      <x:c r="L1059" s="117"/>
      <x:c r="M1059" s="118"/>
      <x:c r="N1059" s="120" t="n">
        <x:v>45964.57414351852</x:v>
      </x:c>
      <x:c r="O1059" s="117" t="str">
        <x:v>Sacha Pearce</x:v>
      </x:c>
      <x:c r="P1059" s="120" t="n">
        <x:v>45989.40107638889</x:v>
      </x:c>
      <x:c r="Q1059" s="117" t="str">
        <x:v>Sacha Pearce</x:v>
      </x:c>
      <x:c r="R1059" s="117" t="str">
        <x:v>Delete Event Autolaunched Flow</x:v>
      </x:c>
      <x:c r="S1059" s="119" t="str">
        <x:v>03/11/2025 - SP - This Flow is to be triggered when Service Appointments are moved to "Scheduled" from "Dispatched" to delete the related Event and subsequent Outlook Calendar Appointment.</x:v>
      </x:c>
    </x:row>
    <x:row r="1060" ht="30" customHeight="1">
      <x:c r="A1060" s="117" t="str">
        <x:v>Delete_Select_Products_from_Opportunity_Screen_Flow</x:v>
      </x:c>
      <x:c r="B1060" s="117" t="str">
        <x:v>3005b000000PzHaAAK</x:v>
      </x:c>
      <x:c r="C1060" s="117" t="str">
        <x:v>3015b000000W1eqAAC</x:v>
      </x:c>
      <x:c r="D1060" s="118" t="n">
        <x:v>1</x:v>
      </x:c>
      <x:c r="E1060" s="117" t="str">
        <x:v>Active</x:v>
      </x:c>
      <x:c r="F1060" s="117" t="str">
        <x:v>Yes</x:v>
      </x:c>
      <x:c r="G1060" s="117" t="str">
        <x:v>Yes</x:v>
      </x:c>
      <x:c r="H1060" s="117" t="str">
        <x:v>Flow</x:v>
      </x:c>
      <x:c r="I1060" s="118" t="n">
        <x:v>57</x:v>
      </x:c>
      <x:c r="J1060" s="117" t="str">
        <x:v>unmanaged</x:v>
      </x:c>
      <x:c r="K1060" s="123" t="b">
        <x:v>0</x:v>
      </x:c>
      <x:c r="L1060" s="117"/>
      <x:c r="M1060" s="118"/>
      <x:c r="N1060" s="120" t="n">
        <x:v>45030.80788194444</x:v>
      </x:c>
      <x:c r="O1060" s="117" t="str">
        <x:v>Jace Gentil</x:v>
      </x:c>
      <x:c r="P1060" s="120" t="n">
        <x:v>45030.80793981482</x:v>
      </x:c>
      <x:c r="Q1060" s="117" t="str">
        <x:v>Jace Gentil</x:v>
      </x:c>
      <x:c r="R1060" s="117" t="str">
        <x:v>Delete Select Products from Opportunity Screen Flow</x:v>
      </x:c>
      <x:c r="S1060" s="119"/>
    </x:row>
    <x:row r="1061" ht="30" customHeight="1">
      <x:c r="A1061" s="117" t="str">
        <x:v>Dental_Checklist</x:v>
      </x:c>
      <x:c r="B1061" s="117" t="str">
        <x:v>300Ro00000Pz0kkIAB</x:v>
      </x:c>
      <x:c r="C1061" s="117" t="str">
        <x:v>301Ro00000Sd0UkIAJ</x:v>
      </x:c>
      <x:c r="D1061" s="118" t="n">
        <x:v>1</x:v>
      </x:c>
      <x:c r="E1061" s="117" t="str">
        <x:v>Obsolete</x:v>
      </x:c>
      <x:c r="F1061" s="117" t="str">
        <x:v>No</x:v>
      </x:c>
      <x:c r="G1061" s="117" t="str">
        <x:v>No</x:v>
      </x:c>
      <x:c r="H1061" s="117" t="str">
        <x:v>FieldServiceMobile</x:v>
      </x:c>
      <x:c r="I1061" s="118"/>
      <x:c r="J1061" s="117" t="str">
        <x:v>unmanaged</x:v>
      </x:c>
      <x:c r="K1061" s="123" t="b">
        <x:v>0</x:v>
      </x:c>
      <x:c r="L1061" s="117"/>
      <x:c r="M1061" s="118"/>
      <x:c r="N1061" s="120" t="n">
        <x:v>45680.21596064815</x:v>
      </x:c>
      <x:c r="O1061" s="117" t="str">
        <x:v>Delegate</x:v>
      </x:c>
      <x:c r="P1061" s="120" t="n">
        <x:v>45680.2159837963</x:v>
      </x:c>
      <x:c r="Q1061" s="117" t="str">
        <x:v>Delegate</x:v>
      </x:c>
      <x:c r="R1061" s="117" t="str">
        <x:v>Dental Checklist</x:v>
      </x:c>
      <x:c r="S1061" s="119" t="str">
        <x:v>new formulas</x:v>
      </x:c>
    </x:row>
    <x:row r="1062" ht="30" customHeight="1">
      <x:c r="A1062" s="117" t="str">
        <x:v>Dental_Checklist</x:v>
      </x:c>
      <x:c r="B1062" s="117" t="str">
        <x:v>300Ro00000Pz0kkIAB</x:v>
      </x:c>
      <x:c r="C1062" s="117" t="str">
        <x:v>301Ro00000SpOwIIAV</x:v>
      </x:c>
      <x:c r="D1062" s="118" t="n">
        <x:v>2</x:v>
      </x:c>
      <x:c r="E1062" s="117" t="str">
        <x:v>Obsolete</x:v>
      </x:c>
      <x:c r="F1062" s="117" t="str">
        <x:v>No</x:v>
      </x:c>
      <x:c r="G1062" s="117" t="str">
        <x:v>No</x:v>
      </x:c>
      <x:c r="H1062" s="117" t="str">
        <x:v>FieldServiceMobile</x:v>
      </x:c>
      <x:c r="I1062" s="118"/>
      <x:c r="J1062" s="117" t="str">
        <x:v>unmanaged</x:v>
      </x:c>
      <x:c r="K1062" s="123" t="b">
        <x:v>0</x:v>
      </x:c>
      <x:c r="L1062" s="117"/>
      <x:c r="M1062" s="118"/>
      <x:c r="N1062" s="120" t="n">
        <x:v>45684.135787037034</x:v>
      </x:c>
      <x:c r="O1062" s="117" t="str">
        <x:v>Delegate</x:v>
      </x:c>
      <x:c r="P1062" s="120" t="n">
        <x:v>45684.13579861111</x:v>
      </x:c>
      <x:c r="Q1062" s="117" t="str">
        <x:v>Delegate</x:v>
      </x:c>
      <x:c r="R1062" s="117" t="str">
        <x:v>Dental Checklist</x:v>
      </x:c>
      <x:c r="S1062" s="119" t="str">
        <x:v>01/25/2025 (BW) - Version to be used for testing</x:v>
      </x:c>
    </x:row>
    <x:row r="1063" ht="30" customHeight="1">
      <x:c r="A1063" s="117" t="str">
        <x:v>Dental_Checklist</x:v>
      </x:c>
      <x:c r="B1063" s="117" t="str">
        <x:v>300Ro00000Pz0kkIAB</x:v>
      </x:c>
      <x:c r="C1063" s="117" t="str">
        <x:v>301Ro00000SzIcwIAF</x:v>
      </x:c>
      <x:c r="D1063" s="118" t="n">
        <x:v>3</x:v>
      </x:c>
      <x:c r="E1063" s="117" t="str">
        <x:v>Obsolete</x:v>
      </x:c>
      <x:c r="F1063" s="117" t="str">
        <x:v>No</x:v>
      </x:c>
      <x:c r="G1063" s="117" t="str">
        <x:v>No</x:v>
      </x:c>
      <x:c r="H1063" s="117" t="str">
        <x:v>FieldServiceMobile</x:v>
      </x:c>
      <x:c r="I1063" s="118"/>
      <x:c r="J1063" s="117" t="str">
        <x:v>unmanaged</x:v>
      </x:c>
      <x:c r="K1063" s="123" t="b">
        <x:v>0</x:v>
      </x:c>
      <x:c r="L1063" s="117"/>
      <x:c r="M1063" s="118"/>
      <x:c r="N1063" s="120" t="n">
        <x:v>45686.50634259259</x:v>
      </x:c>
      <x:c r="O1063" s="117" t="str">
        <x:v>Delegate</x:v>
      </x:c>
      <x:c r="P1063" s="120" t="n">
        <x:v>45686.50638888889</x:v>
      </x:c>
      <x:c r="Q1063" s="117" t="str">
        <x:v>Delegate</x:v>
      </x:c>
      <x:c r="R1063" s="117" t="str">
        <x:v>Dental Checklist</x:v>
      </x:c>
      <x:c r="S1063" s="119" t="str">
        <x:v>01/29/2025 (BW) - Updated required fields</x:v>
      </x:c>
    </x:row>
    <x:row r="1064" ht="30" customHeight="1">
      <x:c r="A1064" s="117" t="str">
        <x:v>Dental_Checklist</x:v>
      </x:c>
      <x:c r="B1064" s="117" t="str">
        <x:v>300Ro00000Pz0kkIAB</x:v>
      </x:c>
      <x:c r="C1064" s="117" t="str">
        <x:v>301Ro00000Wpn17IAB</x:v>
      </x:c>
      <x:c r="D1064" s="118" t="n">
        <x:v>4</x:v>
      </x:c>
      <x:c r="E1064" s="117" t="str">
        <x:v>Obsolete</x:v>
      </x:c>
      <x:c r="F1064" s="117" t="str">
        <x:v>No</x:v>
      </x:c>
      <x:c r="G1064" s="117" t="str">
        <x:v>No</x:v>
      </x:c>
      <x:c r="H1064" s="117" t="str">
        <x:v>FieldServiceMobile</x:v>
      </x:c>
      <x:c r="I1064" s="118"/>
      <x:c r="J1064" s="117" t="str">
        <x:v>unmanaged</x:v>
      </x:c>
      <x:c r="K1064" s="123" t="b">
        <x:v>0</x:v>
      </x:c>
      <x:c r="L1064" s="117"/>
      <x:c r="M1064" s="118"/>
      <x:c r="N1064" s="120" t="n">
        <x:v>45751.54277777778</x:v>
      </x:c>
      <x:c r="O1064" s="117" t="str">
        <x:v>Delegate</x:v>
      </x:c>
      <x:c r="P1064" s="120" t="n">
        <x:v>45751.5434837963</x:v>
      </x:c>
      <x:c r="Q1064" s="117" t="str">
        <x:v>Delegate</x:v>
      </x:c>
      <x:c r="R1064" s="117" t="str">
        <x:v>Dental Checklist</x:v>
      </x:c>
      <x:c r="S1064" s="119" t="str">
        <x:v>04/04/2025 (BW) - Updating check sheets to use the newer functionality</x:v>
      </x:c>
    </x:row>
    <x:row r="1065" ht="30" customHeight="1">
      <x:c r="A1065" s="117" t="str">
        <x:v>Dental_Checklist</x:v>
      </x:c>
      <x:c r="B1065" s="117" t="str">
        <x:v>300Ro00000Pz0kkIAB</x:v>
      </x:c>
      <x:c r="C1065" s="117" t="str">
        <x:v>301Ro00000gNs1CIAS</x:v>
      </x:c>
      <x:c r="D1065" s="118" t="n">
        <x:v>5</x:v>
      </x:c>
      <x:c r="E1065" s="117" t="str">
        <x:v>Draft</x:v>
      </x:c>
      <x:c r="F1065" s="117" t="str">
        <x:v>No</x:v>
      </x:c>
      <x:c r="G1065" s="117" t="str">
        <x:v>No</x:v>
      </x:c>
      <x:c r="H1065" s="117" t="str">
        <x:v>FieldServiceMobile</x:v>
      </x:c>
      <x:c r="I1065" s="118"/>
      <x:c r="J1065" s="117" t="str">
        <x:v>unmanaged</x:v>
      </x:c>
      <x:c r="K1065" s="123" t="b">
        <x:v>0</x:v>
      </x:c>
      <x:c r="L1065" s="117"/>
      <x:c r="M1065" s="118"/>
      <x:c r="N1065" s="120" t="n">
        <x:v>45863.89299768519</x:v>
      </x:c>
      <x:c r="O1065" s="117" t="str">
        <x:v>Sacha Pearce</x:v>
      </x:c>
      <x:c r="P1065" s="120" t="n">
        <x:v>45863.89304398148</x:v>
      </x:c>
      <x:c r="Q1065" s="117" t="str">
        <x:v>Sacha Pearce</x:v>
      </x:c>
      <x:c r="R1065" s="117" t="str">
        <x:v>Dental Checklist</x:v>
      </x:c>
      <x:c r="S1065" s="119" t="str">
        <x:v>04/04/2025 (BW) - Updating check sheets to use the newer functionality
07/25/2025 - (SP) - V5 - Adding functions so that users can confirm YOM and Software for the related CLI.</x:v>
      </x:c>
    </x:row>
    <x:row r="1066" ht="30" customHeight="1">
      <x:c r="A1066" s="117" t="str">
        <x:v>Dental_Checklist</x:v>
      </x:c>
      <x:c r="B1066" s="117" t="str">
        <x:v>300Ro00000Pz0kkIAB</x:v>
      </x:c>
      <x:c r="C1066" s="117" t="str">
        <x:v>301Ro00000wYQptIAG</x:v>
      </x:c>
      <x:c r="D1066" s="118" t="n">
        <x:v>6</x:v>
      </x:c>
      <x:c r="E1066" s="117" t="str">
        <x:v>Obsolete</x:v>
      </x:c>
      <x:c r="F1066" s="117" t="str">
        <x:v>No</x:v>
      </x:c>
      <x:c r="G1066" s="117" t="str">
        <x:v>No</x:v>
      </x:c>
      <x:c r="H1066" s="117" t="str">
        <x:v>FieldServiceMobile</x:v>
      </x:c>
      <x:c r="I1066" s="118"/>
      <x:c r="J1066" s="117" t="str">
        <x:v>unmanaged</x:v>
      </x:c>
      <x:c r="K1066" s="123" t="b">
        <x:v>0</x:v>
      </x:c>
      <x:c r="L1066" s="117"/>
      <x:c r="M1066" s="118"/>
      <x:c r="N1066" s="120" t="n">
        <x:v>46047.44923611111</x:v>
      </x:c>
      <x:c r="O1066" s="117" t="str">
        <x:v>Sacha Pearce</x:v>
      </x:c>
      <x:c r="P1066" s="120" t="n">
        <x:v>46047.46040509259</x:v>
      </x:c>
      <x:c r="Q1066" s="117" t="str">
        <x:v>Sacha Pearce</x:v>
      </x:c>
      <x:c r="R1066" s="117" t="str">
        <x:v>Dental Checklist</x:v>
      </x:c>
      <x:c r="S1066" s="119" t="str">
        <x:v>04/04/2025 (BW) - Updating check sheets to use the newer functionality
01/18/2026 - V5 - SP - Updating to work with the new FSL formatting</x:v>
      </x:c>
    </x:row>
    <x:row r="1067" ht="30" customHeight="1">
      <x:c r="A1067" s="117" t="str">
        <x:v>Dental_Checklist</x:v>
      </x:c>
      <x:c r="B1067" s="117" t="str">
        <x:v>300Ro00000Pz0kkIAB</x:v>
      </x:c>
      <x:c r="C1067" s="117" t="str">
        <x:v>301Ro00000wYNDlIAO</x:v>
      </x:c>
      <x:c r="D1067" s="118" t="n">
        <x:v>7</x:v>
      </x:c>
      <x:c r="E1067" s="117" t="str">
        <x:v>Obsolete</x:v>
      </x:c>
      <x:c r="F1067" s="117" t="str">
        <x:v>No</x:v>
      </x:c>
      <x:c r="G1067" s="117" t="str">
        <x:v>No</x:v>
      </x:c>
      <x:c r="H1067" s="117" t="str">
        <x:v>FieldServiceMobile</x:v>
      </x:c>
      <x:c r="I1067" s="118"/>
      <x:c r="J1067" s="117" t="str">
        <x:v>unmanaged</x:v>
      </x:c>
      <x:c r="K1067" s="123" t="b">
        <x:v>0</x:v>
      </x:c>
      <x:c r="L1067" s="117"/>
      <x:c r="M1067" s="118"/>
      <x:c r="N1067" s="120" t="n">
        <x:v>46047.4608912037</x:v>
      </x:c>
      <x:c r="O1067" s="117" t="str">
        <x:v>Sacha Pearce</x:v>
      </x:c>
      <x:c r="P1067" s="120" t="n">
        <x:v>46047.4609837963</x:v>
      </x:c>
      <x:c r="Q1067" s="117" t="str">
        <x:v>Sacha Pearce</x:v>
      </x:c>
      <x:c r="R1067" s="117" t="str">
        <x:v>Dental Checklist</x:v>
      </x:c>
      <x:c r="S1067" s="119" t="str">
        <x:v>04/04/2025 (BW) - Updating check sheets to use the newer functionality
01/18/2026 - V5 - SP - Updating to work with the new FSL formatting</x:v>
      </x:c>
    </x:row>
    <x:row r="1068" ht="30" customHeight="1">
      <x:c r="A1068" s="117" t="str">
        <x:v>Dental_Checklist</x:v>
      </x:c>
      <x:c r="B1068" s="117" t="str">
        <x:v>300Ro00000Pz0kkIAB</x:v>
      </x:c>
      <x:c r="C1068" s="117" t="str">
        <x:v>301Ro00000yh8avIAA</x:v>
      </x:c>
      <x:c r="D1068" s="118" t="n">
        <x:v>8</x:v>
      </x:c>
      <x:c r="E1068" s="117" t="str">
        <x:v>Active</x:v>
      </x:c>
      <x:c r="F1068" s="117" t="str">
        <x:v>Yes</x:v>
      </x:c>
      <x:c r="G1068" s="117" t="str">
        <x:v>Yes</x:v>
      </x:c>
      <x:c r="H1068" s="117" t="str">
        <x:v>FieldServiceMobile</x:v>
      </x:c>
      <x:c r="I1068" s="118"/>
      <x:c r="J1068" s="117" t="str">
        <x:v>unmanaged</x:v>
      </x:c>
      <x:c r="K1068" s="123" t="b">
        <x:v>0</x:v>
      </x:c>
      <x:c r="L1068" s="117"/>
      <x:c r="M1068" s="118"/>
      <x:c r="N1068" s="120" t="n">
        <x:v>46072.46766203704</x:v>
      </x:c>
      <x:c r="O1068" s="117" t="str">
        <x:v>Sacha Pearce</x:v>
      </x:c>
      <x:c r="P1068" s="120" t="n">
        <x:v>46072.46776620371</x:v>
      </x:c>
      <x:c r="Q1068" s="117" t="str">
        <x:v>Sacha Pearce</x:v>
      </x:c>
      <x:c r="R1068" s="117" t="str">
        <x:v>Dental Checklist</x:v>
      </x:c>
      <x:c r="S1068" s="119" t="str">
        <x:v>04/04/2025 (BW) - Updating check sheets to use the newer functionality
01/18/2026 - V5 - SP - Updating to work with the new FSL formatting</x:v>
      </x:c>
    </x:row>
    <x:row r="1069" ht="30" customHeight="1">
      <x:c r="A1069" s="117" t="str">
        <x:v>DEXA_Checklist</x:v>
      </x:c>
      <x:c r="B1069" s="117" t="str">
        <x:v>300Ro00000Pz0kjIAB</x:v>
      </x:c>
      <x:c r="C1069" s="117" t="str">
        <x:v>301Ro00000Sd0UjIAJ</x:v>
      </x:c>
      <x:c r="D1069" s="118" t="n">
        <x:v>1</x:v>
      </x:c>
      <x:c r="E1069" s="117" t="str">
        <x:v>Obsolete</x:v>
      </x:c>
      <x:c r="F1069" s="117" t="str">
        <x:v>No</x:v>
      </x:c>
      <x:c r="G1069" s="117" t="str">
        <x:v>No</x:v>
      </x:c>
      <x:c r="H1069" s="117" t="str">
        <x:v>FieldServiceMobile</x:v>
      </x:c>
      <x:c r="I1069" s="118"/>
      <x:c r="J1069" s="117" t="str">
        <x:v>unmanaged</x:v>
      </x:c>
      <x:c r="K1069" s="123" t="b">
        <x:v>0</x:v>
      </x:c>
      <x:c r="L1069" s="117"/>
      <x:c r="M1069" s="118"/>
      <x:c r="N1069" s="120" t="n">
        <x:v>45680.215902777774</x:v>
      </x:c>
      <x:c r="O1069" s="117" t="str">
        <x:v>Delegate</x:v>
      </x:c>
      <x:c r="P1069" s="120" t="n">
        <x:v>45680.21592592593</x:v>
      </x:c>
      <x:c r="Q1069" s="117" t="str">
        <x:v>Delegate</x:v>
      </x:c>
      <x:c r="R1069" s="117" t="str">
        <x:v>DEXA Checklist</x:v>
      </x:c>
      <x:c r="S1069" s="119" t="str">
        <x:v>checklistoutput, syntax</x:v>
      </x:c>
    </x:row>
    <x:row r="1070" ht="30" customHeight="1">
      <x:c r="A1070" s="117" t="str">
        <x:v>DEXA_Checklist</x:v>
      </x:c>
      <x:c r="B1070" s="117" t="str">
        <x:v>300Ro00000Pz0kjIAB</x:v>
      </x:c>
      <x:c r="C1070" s="117" t="str">
        <x:v>301Ro00000SpOwHIAV</x:v>
      </x:c>
      <x:c r="D1070" s="118" t="n">
        <x:v>2</x:v>
      </x:c>
      <x:c r="E1070" s="117" t="str">
        <x:v>Obsolete</x:v>
      </x:c>
      <x:c r="F1070" s="117" t="str">
        <x:v>No</x:v>
      </x:c>
      <x:c r="G1070" s="117" t="str">
        <x:v>No</x:v>
      </x:c>
      <x:c r="H1070" s="117" t="str">
        <x:v>FieldServiceMobile</x:v>
      </x:c>
      <x:c r="I1070" s="118"/>
      <x:c r="J1070" s="117" t="str">
        <x:v>unmanaged</x:v>
      </x:c>
      <x:c r="K1070" s="123" t="b">
        <x:v>0</x:v>
      </x:c>
      <x:c r="L1070" s="117"/>
      <x:c r="M1070" s="118"/>
      <x:c r="N1070" s="120" t="n">
        <x:v>45684.13574074074</x:v>
      </x:c>
      <x:c r="O1070" s="117" t="str">
        <x:v>Delegate</x:v>
      </x:c>
      <x:c r="P1070" s="120" t="n">
        <x:v>45684.13575231482</x:v>
      </x:c>
      <x:c r="Q1070" s="117" t="str">
        <x:v>Delegate</x:v>
      </x:c>
      <x:c r="R1070" s="117" t="str">
        <x:v>DEXA Checklist</x:v>
      </x:c>
      <x:c r="S1070" s="119" t="str">
        <x:v>01/26/2025 (BW) - Version to be used for testing</x:v>
      </x:c>
    </x:row>
    <x:row r="1071" ht="30" customHeight="1">
      <x:c r="A1071" s="117" t="str">
        <x:v>DEXA_Checklist</x:v>
      </x:c>
      <x:c r="B1071" s="117" t="str">
        <x:v>300Ro00000Pz0kjIAB</x:v>
      </x:c>
      <x:c r="C1071" s="117" t="str">
        <x:v>301Ro00000SzIXoIAN</x:v>
      </x:c>
      <x:c r="D1071" s="118" t="n">
        <x:v>3</x:v>
      </x:c>
      <x:c r="E1071" s="117" t="str">
        <x:v>Obsolete</x:v>
      </x:c>
      <x:c r="F1071" s="117" t="str">
        <x:v>No</x:v>
      </x:c>
      <x:c r="G1071" s="117" t="str">
        <x:v>No</x:v>
      </x:c>
      <x:c r="H1071" s="117" t="str">
        <x:v>FieldServiceMobile</x:v>
      </x:c>
      <x:c r="I1071" s="118"/>
      <x:c r="J1071" s="117" t="str">
        <x:v>unmanaged</x:v>
      </x:c>
      <x:c r="K1071" s="123" t="b">
        <x:v>0</x:v>
      </x:c>
      <x:c r="L1071" s="117"/>
      <x:c r="M1071" s="118"/>
      <x:c r="N1071" s="120" t="n">
        <x:v>45686.50760416667</x:v>
      </x:c>
      <x:c r="O1071" s="117" t="str">
        <x:v>Delegate</x:v>
      </x:c>
      <x:c r="P1071" s="120" t="n">
        <x:v>45686.50767361111</x:v>
      </x:c>
      <x:c r="Q1071" s="117" t="str">
        <x:v>Delegate</x:v>
      </x:c>
      <x:c r="R1071" s="117" t="str">
        <x:v>DEXA Checklist</x:v>
      </x:c>
      <x:c r="S1071" s="119" t="str">
        <x:v>01/29/2025 (BW) - Updated required fields</x:v>
      </x:c>
    </x:row>
    <x:row r="1072" ht="30" customHeight="1">
      <x:c r="A1072" s="117" t="str">
        <x:v>DEXA_Checklist</x:v>
      </x:c>
      <x:c r="B1072" s="117" t="str">
        <x:v>300Ro00000Pz0kjIAB</x:v>
      </x:c>
      <x:c r="C1072" s="117" t="str">
        <x:v>301Ro00000Wpr1RIAR</x:v>
      </x:c>
      <x:c r="D1072" s="118" t="n">
        <x:v>4</x:v>
      </x:c>
      <x:c r="E1072" s="117" t="str">
        <x:v>Obsolete</x:v>
      </x:c>
      <x:c r="F1072" s="117" t="str">
        <x:v>No</x:v>
      </x:c>
      <x:c r="G1072" s="117" t="str">
        <x:v>No</x:v>
      </x:c>
      <x:c r="H1072" s="117" t="str">
        <x:v>FieldServiceMobile</x:v>
      </x:c>
      <x:c r="I1072" s="118"/>
      <x:c r="J1072" s="117" t="str">
        <x:v>unmanaged</x:v>
      </x:c>
      <x:c r="K1072" s="123" t="b">
        <x:v>0</x:v>
      </x:c>
      <x:c r="L1072" s="117"/>
      <x:c r="M1072" s="118"/>
      <x:c r="N1072" s="120" t="n">
        <x:v>45751.514016203706</x:v>
      </x:c>
      <x:c r="O1072" s="117" t="str">
        <x:v>Delegate</x:v>
      </x:c>
      <x:c r="P1072" s="120" t="n">
        <x:v>45751.51495370371</x:v>
      </x:c>
      <x:c r="Q1072" s="117" t="str">
        <x:v>Delegate</x:v>
      </x:c>
      <x:c r="R1072" s="117" t="str">
        <x:v>DEXA Checklist</x:v>
      </x:c>
      <x:c r="S1072" s="119" t="str">
        <x:v>04/04/2025 (BW) - Updated the functionality to follow newer checksheet methodologies</x:v>
      </x:c>
    </x:row>
    <x:row r="1073" ht="30" customHeight="1">
      <x:c r="A1073" s="117" t="str">
        <x:v>DEXA_Checklist</x:v>
      </x:c>
      <x:c r="B1073" s="117" t="str">
        <x:v>300Ro00000Pz0kjIAB</x:v>
      </x:c>
      <x:c r="C1073" s="117" t="str">
        <x:v>301Ro00000wW4dUIAS</x:v>
      </x:c>
      <x:c r="D1073" s="118" t="n">
        <x:v>5</x:v>
      </x:c>
      <x:c r="E1073" s="117" t="str">
        <x:v>Obsolete</x:v>
      </x:c>
      <x:c r="F1073" s="117" t="str">
        <x:v>No</x:v>
      </x:c>
      <x:c r="G1073" s="117" t="str">
        <x:v>No</x:v>
      </x:c>
      <x:c r="H1073" s="117" t="str">
        <x:v>FieldServiceMobile</x:v>
      </x:c>
      <x:c r="I1073" s="118"/>
      <x:c r="J1073" s="117" t="str">
        <x:v>unmanaged</x:v>
      </x:c>
      <x:c r="K1073" s="123" t="b">
        <x:v>0</x:v>
      </x:c>
      <x:c r="L1073" s="117"/>
      <x:c r="M1073" s="118"/>
      <x:c r="N1073" s="120" t="n">
        <x:v>46046.64565972222</x:v>
      </x:c>
      <x:c r="O1073" s="117" t="str">
        <x:v>Sacha Pearce</x:v>
      </x:c>
      <x:c r="P1073" s="120" t="n">
        <x:v>46046.662997685184</x:v>
      </x:c>
      <x:c r="Q1073" s="117" t="str">
        <x:v>Sacha Pearce</x:v>
      </x:c>
      <x:c r="R1073" s="117" t="str">
        <x:v>DEXA Checklist</x:v>
      </x:c>
      <x:c r="S1073" s="119" t="str">
        <x:v>04/04/2025 (BW) - Updated the functionality to follow newer checksheet methodologies
21/01/2025 - V5 - SP - Upating to work with the new FSL formatting</x:v>
      </x:c>
    </x:row>
    <x:row r="1074" ht="30" customHeight="1">
      <x:c r="A1074" s="117" t="str">
        <x:v>DEXA_Checklist</x:v>
      </x:c>
      <x:c r="B1074" s="117" t="str">
        <x:v>300Ro00000Pz0kjIAB</x:v>
      </x:c>
      <x:c r="C1074" s="117" t="str">
        <x:v>301Ro00000yhRDhIAM</x:v>
      </x:c>
      <x:c r="D1074" s="118" t="n">
        <x:v>6</x:v>
      </x:c>
      <x:c r="E1074" s="117" t="str">
        <x:v>Active</x:v>
      </x:c>
      <x:c r="F1074" s="117" t="str">
        <x:v>Yes</x:v>
      </x:c>
      <x:c r="G1074" s="117" t="str">
        <x:v>Yes</x:v>
      </x:c>
      <x:c r="H1074" s="117" t="str">
        <x:v>FieldServiceMobile</x:v>
      </x:c>
      <x:c r="I1074" s="118"/>
      <x:c r="J1074" s="117" t="str">
        <x:v>unmanaged</x:v>
      </x:c>
      <x:c r="K1074" s="123" t="b">
        <x:v>0</x:v>
      </x:c>
      <x:c r="L1074" s="117"/>
      <x:c r="M1074" s="118"/>
      <x:c r="N1074" s="120" t="n">
        <x:v>46072.467997685184</x:v>
      </x:c>
      <x:c r="O1074" s="117" t="str">
        <x:v>Sacha Pearce</x:v>
      </x:c>
      <x:c r="P1074" s="120" t="n">
        <x:v>46072.468090277776</x:v>
      </x:c>
      <x:c r="Q1074" s="117" t="str">
        <x:v>Sacha Pearce</x:v>
      </x:c>
      <x:c r="R1074" s="117" t="str">
        <x:v>DEXA Checklist</x:v>
      </x:c>
      <x:c r="S1074" s="119" t="str">
        <x:v>04/04/2025 (BW) - Updated the functionality to follow newer checksheet methodologies
21/01/2025 - V5 - SP - Upating to work with the new FSL formatting</x:v>
      </x:c>
    </x:row>
    <x:row r="1075" ht="30" customHeight="1">
      <x:c r="A1075" s="117" t="str">
        <x:v>Disaster_Recovery_Project_Raise_Invoice_from_Charges</x:v>
      </x:c>
      <x:c r="B1075" s="117" t="str">
        <x:v>300Ro00000tZphgIAC</x:v>
      </x:c>
      <x:c r="C1075" s="117" t="str">
        <x:v>301Ro000014yG3wIAE</x:v>
      </x:c>
      <x:c r="D1075" s="118" t="n">
        <x:v>1</x:v>
      </x:c>
      <x:c r="E1075" s="117" t="str">
        <x:v>Obsolete</x:v>
      </x:c>
      <x:c r="F1075" s="117" t="str">
        <x:v>No</x:v>
      </x:c>
      <x:c r="G1075" s="117" t="str">
        <x:v>No</x:v>
      </x:c>
      <x:c r="H1075" s="117" t="str">
        <x:v>Flow</x:v>
      </x:c>
      <x:c r="I1075" s="118" t="n">
        <x:v>66</x:v>
      </x:c>
      <x:c r="J1075" s="117" t="str">
        <x:v>unmanaged</x:v>
      </x:c>
      <x:c r="K1075" s="123" t="b">
        <x:v>0</x:v>
      </x:c>
      <x:c r="L1075" s="117"/>
      <x:c r="M1075" s="118"/>
      <x:c r="N1075" s="120" t="n">
        <x:v>46148.85078703704</x:v>
      </x:c>
      <x:c r="O1075" s="117" t="str">
        <x:v>Sacha Pearce</x:v>
      </x:c>
      <x:c r="P1075" s="120" t="n">
        <x:v>46148.85114583333</x:v>
      </x:c>
      <x:c r="Q1075" s="117" t="str">
        <x:v>Sacha Pearce</x:v>
      </x:c>
      <x:c r="R1075" s="117" t="str">
        <x:v>Disaster Recovery Project - Raise Invoice from Charges</x:v>
      </x:c>
      <x:c r="S1075" s="119" t="str">
        <x:v>07/03/2026 - SP - Changing Flow to reference "Standard Total Revenue"</x:v>
      </x:c>
    </x:row>
    <x:row r="1076" ht="30" customHeight="1">
      <x:c r="A1076" s="117" t="str">
        <x:v>Disaster_Recovery_Project_Raise_Invoice_from_Charges</x:v>
      </x:c>
      <x:c r="B1076" s="117" t="str">
        <x:v>300Ro00000tZphgIAC</x:v>
      </x:c>
      <x:c r="C1076" s="117" t="str">
        <x:v>301Ro000014z7bIIAQ</x:v>
      </x:c>
      <x:c r="D1076" s="118" t="n">
        <x:v>2</x:v>
      </x:c>
      <x:c r="E1076" s="117" t="str">
        <x:v>Obsolete</x:v>
      </x:c>
      <x:c r="F1076" s="117" t="str">
        <x:v>No</x:v>
      </x:c>
      <x:c r="G1076" s="117" t="str">
        <x:v>No</x:v>
      </x:c>
      <x:c r="H1076" s="117" t="str">
        <x:v>Flow</x:v>
      </x:c>
      <x:c r="I1076" s="118" t="n">
        <x:v>66</x:v>
      </x:c>
      <x:c r="J1076" s="117" t="str">
        <x:v>unmanaged</x:v>
      </x:c>
      <x:c r="K1076" s="123" t="b">
        <x:v>0</x:v>
      </x:c>
      <x:c r="L1076" s="117"/>
      <x:c r="M1076" s="118"/>
      <x:c r="N1076" s="120" t="n">
        <x:v>46148.85909722222</x:v>
      </x:c>
      <x:c r="O1076" s="117" t="str">
        <x:v>Sacha Pearce</x:v>
      </x:c>
      <x:c r="P1076" s="120" t="n">
        <x:v>46148.86023148148</x:v>
      </x:c>
      <x:c r="Q1076" s="117" t="str">
        <x:v>Sacha Pearce</x:v>
      </x:c>
      <x:c r="R1076" s="117" t="str">
        <x:v>Disaster Recovery Project - Raise Invoice from Charges</x:v>
      </x:c>
      <x:c r="S1076" s="119" t="str">
        <x:v>06/05/2026 - SP - Introducing the "formulaProductIdToAssetId" to add Assets to Invoice Line Items.</x:v>
      </x:c>
    </x:row>
    <x:row r="1077" ht="30" customHeight="1">
      <x:c r="A1077" s="117" t="str">
        <x:v>Disaster_Recovery_Project_Raise_Invoice_from_Charges</x:v>
      </x:c>
      <x:c r="B1077" s="117" t="str">
        <x:v>300Ro00000tZphgIAC</x:v>
      </x:c>
      <x:c r="C1077" s="117" t="str">
        <x:v>301Ro00001By1LnIAJ</x:v>
      </x:c>
      <x:c r="D1077" s="118" t="n">
        <x:v>3</x:v>
      </x:c>
      <x:c r="E1077" s="117" t="str">
        <x:v>Obsolete</x:v>
      </x:c>
      <x:c r="F1077" s="117" t="str">
        <x:v>No</x:v>
      </x:c>
      <x:c r="G1077" s="117" t="str">
        <x:v>No</x:v>
      </x:c>
      <x:c r="H1077" s="117" t="str">
        <x:v>Flow</x:v>
      </x:c>
      <x:c r="I1077" s="118" t="n">
        <x:v>66</x:v>
      </x:c>
      <x:c r="J1077" s="117" t="str">
        <x:v>unmanaged</x:v>
      </x:c>
      <x:c r="K1077" s="123" t="b">
        <x:v>0</x:v>
      </x:c>
      <x:c r="L1077" s="117" t="str">
        <x:v>SystemModeWithoutSharing</x:v>
      </x:c>
      <x:c r="M1077" s="118"/>
      <x:c r="N1077" s="120" t="n">
        <x:v>46225.33899305556</x:v>
      </x:c>
      <x:c r="O1077" s="117" t="str">
        <x:v>Sacha Pearce</x:v>
      </x:c>
      <x:c r="P1077" s="120" t="n">
        <x:v>46225.3390625</x:v>
      </x:c>
      <x:c r="Q1077" s="117" t="str">
        <x:v>Sacha Pearce</x:v>
      </x:c>
      <x:c r="R1077" s="117" t="str">
        <x:v>Disaster Recovery Project - Raise Invoice from Charges</x:v>
      </x:c>
      <x:c r="S1077" s="119" t="str">
        <x:v>06/05/2026 - SP - Updating to run in system context.</x:v>
      </x:c>
    </x:row>
    <x:row r="1078" ht="30" customHeight="1">
      <x:c r="A1078" s="117" t="str">
        <x:v>Disaster_Recovery_Project_Raise_Invoice_from_Charges</x:v>
      </x:c>
      <x:c r="B1078" s="117" t="str">
        <x:v>300Ro00000tZphgIAC</x:v>
      </x:c>
      <x:c r="C1078" s="117" t="str">
        <x:v>301Ro00001CBWTOIA5</x:v>
      </x:c>
      <x:c r="D1078" s="118" t="n">
        <x:v>4</x:v>
      </x:c>
      <x:c r="E1078" s="117" t="str">
        <x:v>Obsolete</x:v>
      </x:c>
      <x:c r="F1078" s="117" t="str">
        <x:v>No</x:v>
      </x:c>
      <x:c r="G1078" s="117" t="str">
        <x:v>No</x:v>
      </x:c>
      <x:c r="H1078" s="117" t="str">
        <x:v>Flow</x:v>
      </x:c>
      <x:c r="I1078" s="118" t="n">
        <x:v>66</x:v>
      </x:c>
      <x:c r="J1078" s="117" t="str">
        <x:v>unmanaged</x:v>
      </x:c>
      <x:c r="K1078" s="123" t="b">
        <x:v>0</x:v>
      </x:c>
      <x:c r="L1078" s="117" t="str">
        <x:v>SystemModeWithoutSharing</x:v>
      </x:c>
      <x:c r="M1078" s="118"/>
      <x:c r="N1078" s="120" t="n">
        <x:v>46227.371932870374</x:v>
      </x:c>
      <x:c r="O1078" s="117" t="str">
        <x:v>Sacha Pearce</x:v>
      </x:c>
      <x:c r="P1078" s="120" t="n">
        <x:v>46227.37201388889</x:v>
      </x:c>
      <x:c r="Q1078" s="117" t="str">
        <x:v>Sacha Pearce</x:v>
      </x:c>
      <x:c r="R1078" s="117" t="str">
        <x:v>Disaster Recovery Project - Raise Invoice from Charges</x:v>
      </x:c>
      <x:c r="S1078" s="119" t="str">
        <x:v>24/07/2026 - SP - Setting the Shipping and Billing field sections from the Disaster Recovery Project's Account.</x:v>
      </x:c>
    </x:row>
    <x:row r="1079" ht="30" customHeight="1">
      <x:c r="A1079" s="117" t="str">
        <x:v>Disaster_Recovery_Project_Raise_Invoice_from_Charges</x:v>
      </x:c>
      <x:c r="B1079" s="117" t="str">
        <x:v>300Ro00000tZphgIAC</x:v>
      </x:c>
      <x:c r="C1079" s="117" t="str">
        <x:v>301Ro00001D1f1BIAR</x:v>
      </x:c>
      <x:c r="D1079" s="118" t="n">
        <x:v>5</x:v>
      </x:c>
      <x:c r="E1079" s="117" t="str">
        <x:v>Obsolete</x:v>
      </x:c>
      <x:c r="F1079" s="117" t="str">
        <x:v>No</x:v>
      </x:c>
      <x:c r="G1079" s="117" t="str">
        <x:v>No</x:v>
      </x:c>
      <x:c r="H1079" s="117" t="str">
        <x:v>Flow</x:v>
      </x:c>
      <x:c r="I1079" s="118" t="n">
        <x:v>66</x:v>
      </x:c>
      <x:c r="J1079" s="117" t="str">
        <x:v>unmanaged</x:v>
      </x:c>
      <x:c r="K1079" s="123" t="b">
        <x:v>0</x:v>
      </x:c>
      <x:c r="L1079" s="117" t="str">
        <x:v>SystemModeWithoutSharing</x:v>
      </x:c>
      <x:c r="M1079" s="118"/>
      <x:c r="N1079" s="120" t="n">
        <x:v>46237.576944444445</x:v>
      </x:c>
      <x:c r="O1079" s="117" t="str">
        <x:v>Sacha Pearce</x:v>
      </x:c>
      <x:c r="P1079" s="120" t="n">
        <x:v>46238.38361111111</x:v>
      </x:c>
      <x:c r="Q1079" s="117" t="str">
        <x:v>Sacha Pearce</x:v>
      </x:c>
      <x:c r="R1079" s="117" t="str">
        <x:v>Disaster Recovery Project - Raise Invoice from Charges</x:v>
      </x:c>
      <x:c r="S1079" s="119" t="str">
        <x:v>31/07/2026 - SP - Amending the Flow to generate an Opportunity first.</x:v>
      </x:c>
    </x:row>
    <x:row r="1080" ht="30" customHeight="1">
      <x:c r="A1080" s="117" t="str">
        <x:v>Disaster_Recovery_Project_Raise_Invoice_from_Charges</x:v>
      </x:c>
      <x:c r="B1080" s="117" t="str">
        <x:v>300Ro00000tZphgIAC</x:v>
      </x:c>
      <x:c r="C1080" s="117" t="str">
        <x:v>301Ro00001D7TAAIA3</x:v>
      </x:c>
      <x:c r="D1080" s="118" t="n">
        <x:v>6</x:v>
      </x:c>
      <x:c r="E1080" s="117" t="str">
        <x:v>Obsolete</x:v>
      </x:c>
      <x:c r="F1080" s="117" t="str">
        <x:v>No</x:v>
      </x:c>
      <x:c r="G1080" s="117" t="str">
        <x:v>No</x:v>
      </x:c>
      <x:c r="H1080" s="117" t="str">
        <x:v>Flow</x:v>
      </x:c>
      <x:c r="I1080" s="118" t="n">
        <x:v>66</x:v>
      </x:c>
      <x:c r="J1080" s="117" t="str">
        <x:v>unmanaged</x:v>
      </x:c>
      <x:c r="K1080" s="123" t="b">
        <x:v>0</x:v>
      </x:c>
      <x:c r="L1080" s="117" t="str">
        <x:v>SystemModeWithoutSharing</x:v>
      </x:c>
      <x:c r="M1080" s="118"/>
      <x:c r="N1080" s="120" t="n">
        <x:v>46238.385787037034</x:v>
      </x:c>
      <x:c r="O1080" s="117" t="str">
        <x:v>Sacha Pearce</x:v>
      </x:c>
      <x:c r="P1080" s="120" t="n">
        <x:v>46238.3858912037</x:v>
      </x:c>
      <x:c r="Q1080" s="117" t="str">
        <x:v>Sacha Pearce</x:v>
      </x:c>
      <x:c r="R1080" s="117" t="str">
        <x:v>Disaster Recovery Project - Raise Invoice from Charges</x:v>
      </x:c>
      <x:c r="S1080" s="119" t="str">
        <x:v>04/08/2026 - SP - Amending the Flow to generate an Opportunity first.</x:v>
      </x:c>
    </x:row>
    <x:row r="1081" ht="30" customHeight="1">
      <x:c r="A1081" s="117" t="str">
        <x:v>Disaster_Recovery_Project_Raise_Invoice_from_Charges</x:v>
      </x:c>
      <x:c r="B1081" s="117" t="str">
        <x:v>300Ro00000tZphgIAC</x:v>
      </x:c>
      <x:c r="C1081" s="117" t="str">
        <x:v>301Ro00001E4lMLIAZ</x:v>
      </x:c>
      <x:c r="D1081" s="118" t="n">
        <x:v>7</x:v>
      </x:c>
      <x:c r="E1081" s="117" t="str">
        <x:v>Active</x:v>
      </x:c>
      <x:c r="F1081" s="117" t="str">
        <x:v>Yes</x:v>
      </x:c>
      <x:c r="G1081" s="117" t="str">
        <x:v>Yes</x:v>
      </x:c>
      <x:c r="H1081" s="117" t="str">
        <x:v>Flow</x:v>
      </x:c>
      <x:c r="I1081" s="118" t="n">
        <x:v>66</x:v>
      </x:c>
      <x:c r="J1081" s="117" t="str">
        <x:v>unmanaged</x:v>
      </x:c>
      <x:c r="K1081" s="123" t="b">
        <x:v>0</x:v>
      </x:c>
      <x:c r="L1081" s="117" t="str">
        <x:v>SystemModeWithoutSharing</x:v>
      </x:c>
      <x:c r="M1081" s="118"/>
      <x:c r="N1081" s="120" t="n">
        <x:v>46247.554293981484</x:v>
      </x:c>
      <x:c r="O1081" s="117" t="str">
        <x:v>Sacha Pearce</x:v>
      </x:c>
      <x:c r="P1081" s="120" t="n">
        <x:v>46247.554444444446</x:v>
      </x:c>
      <x:c r="Q1081" s="117" t="str">
        <x:v>Sacha Pearce</x:v>
      </x:c>
      <x:c r="R1081" s="117" t="str">
        <x:v>Disaster Recovery Project - Raise Invoice from Charges</x:v>
      </x:c>
      <x:c r="S1081" s="119" t="str">
        <x:v>04/08/2026 - SP - Amending the Flow to set the selected Project Charges's "Billing Status" to "Pending".</x:v>
      </x:c>
    </x:row>
    <x:row r="1082" ht="30" customHeight="1">
      <x:c r="A1082" s="117" t="str">
        <x:v>Document_Review_Change_Control_Form_Screen_Flow</x:v>
      </x:c>
      <x:c r="B1082" s="117" t="str">
        <x:v>300Ro00000sxBWfIAM</x:v>
      </x:c>
      <x:c r="C1082" s="117" t="str">
        <x:v>301Ro000010iT5xIAE</x:v>
      </x:c>
      <x:c r="D1082" s="118" t="n">
        <x:v>1</x:v>
      </x:c>
      <x:c r="E1082" s="117" t="str">
        <x:v>Obsolete</x:v>
      </x:c>
      <x:c r="F1082" s="117" t="str">
        <x:v>No</x:v>
      </x:c>
      <x:c r="G1082" s="117" t="str">
        <x:v>No</x:v>
      </x:c>
      <x:c r="H1082" s="117" t="str">
        <x:v>Flow</x:v>
      </x:c>
      <x:c r="I1082" s="118" t="n">
        <x:v>66</x:v>
      </x:c>
      <x:c r="J1082" s="117" t="str">
        <x:v>unmanaged</x:v>
      </x:c>
      <x:c r="K1082" s="123" t="b">
        <x:v>0</x:v>
      </x:c>
      <x:c r="L1082" s="117"/>
      <x:c r="M1082" s="118"/>
      <x:c r="N1082" s="120" t="n">
        <x:v>46097.88361111111</x:v>
      </x:c>
      <x:c r="O1082" s="117" t="str">
        <x:v>Sacha Pearce</x:v>
      </x:c>
      <x:c r="P1082" s="120" t="n">
        <x:v>46097.88365740741</x:v>
      </x:c>
      <x:c r="Q1082" s="117" t="str">
        <x:v>Sacha Pearce</x:v>
      </x:c>
      <x:c r="R1082" s="117" t="str">
        <x:v>Document Review - Change Control Form - Screen Flow</x:v>
      </x:c>
      <x:c r="S1082" s="119"/>
    </x:row>
    <x:row r="1083" ht="30" customHeight="1">
      <x:c r="A1083" s="117" t="str">
        <x:v>Document_Review_Change_Control_Form_Screen_Flow</x:v>
      </x:c>
      <x:c r="B1083" s="117" t="str">
        <x:v>300Ro00000sxBWfIAM</x:v>
      </x:c>
      <x:c r="C1083" s="117" t="str">
        <x:v>301Ro000010iWBrIAM</x:v>
      </x:c>
      <x:c r="D1083" s="118" t="n">
        <x:v>2</x:v>
      </x:c>
      <x:c r="E1083" s="117" t="str">
        <x:v>Obsolete</x:v>
      </x:c>
      <x:c r="F1083" s="117" t="str">
        <x:v>No</x:v>
      </x:c>
      <x:c r="G1083" s="117" t="str">
        <x:v>No</x:v>
      </x:c>
      <x:c r="H1083" s="117" t="str">
        <x:v>Flow</x:v>
      </x:c>
      <x:c r="I1083" s="118" t="n">
        <x:v>66</x:v>
      </x:c>
      <x:c r="J1083" s="117" t="str">
        <x:v>unmanaged</x:v>
      </x:c>
      <x:c r="K1083" s="123" t="b">
        <x:v>0</x:v>
      </x:c>
      <x:c r="L1083" s="117"/>
      <x:c r="M1083" s="118"/>
      <x:c r="N1083" s="120" t="n">
        <x:v>46097.88520833333</x:v>
      </x:c>
      <x:c r="O1083" s="117" t="str">
        <x:v>Sacha Pearce</x:v>
      </x:c>
      <x:c r="P1083" s="120" t="n">
        <x:v>46104.64550925926</x:v>
      </x:c>
      <x:c r="Q1083" s="117" t="str">
        <x:v>Michelle Steadman</x:v>
      </x:c>
      <x:c r="R1083" s="117" t="str">
        <x:v>Document Review - Change Control Form - Screen Flow</x:v>
      </x:c>
      <x:c r="S1083" s="119"/>
    </x:row>
    <x:row r="1084" ht="30" customHeight="1">
      <x:c r="A1084" s="117" t="str">
        <x:v>Document_Review_Change_Control_Form_Screen_Flow</x:v>
      </x:c>
      <x:c r="B1084" s="117" t="str">
        <x:v>300Ro00000sxBWfIAM</x:v>
      </x:c>
      <x:c r="C1084" s="117" t="str">
        <x:v>301Ro000011EGdNIAW</x:v>
      </x:c>
      <x:c r="D1084" s="118" t="n">
        <x:v>3</x:v>
      </x:c>
      <x:c r="E1084" s="117" t="str">
        <x:v>Obsolete</x:v>
      </x:c>
      <x:c r="F1084" s="117" t="str">
        <x:v>No</x:v>
      </x:c>
      <x:c r="G1084" s="117" t="str">
        <x:v>No</x:v>
      </x:c>
      <x:c r="H1084" s="117" t="str">
        <x:v>Flow</x:v>
      </x:c>
      <x:c r="I1084" s="118" t="n">
        <x:v>66</x:v>
      </x:c>
      <x:c r="J1084" s="117" t="str">
        <x:v>unmanaged</x:v>
      </x:c>
      <x:c r="K1084" s="123" t="b">
        <x:v>0</x:v>
      </x:c>
      <x:c r="L1084" s="117"/>
      <x:c r="M1084" s="118"/>
      <x:c r="N1084" s="120" t="n">
        <x:v>46104.64524305556</x:v>
      </x:c>
      <x:c r="O1084" s="117" t="str">
        <x:v>Michelle Steadman</x:v>
      </x:c>
      <x:c r="P1084" s="120" t="n">
        <x:v>46104.64555555556</x:v>
      </x:c>
      <x:c r="Q1084" s="117" t="str">
        <x:v>Michelle Steadman</x:v>
      </x:c>
      <x:c r="R1084" s="117" t="str">
        <x:v>Document Review - Change Control Form - Screen Flow - V3</x:v>
      </x:c>
      <x:c r="S1084" s="119"/>
    </x:row>
    <x:row r="1085" ht="30" customHeight="1">
      <x:c r="A1085" s="117" t="str">
        <x:v>Document_Review_Change_Control_Form_Screen_Flow</x:v>
      </x:c>
      <x:c r="B1085" s="117" t="str">
        <x:v>300Ro00000sxBWfIAM</x:v>
      </x:c>
      <x:c r="C1085" s="117" t="str">
        <x:v>301Ro000011qm2jIAA</x:v>
      </x:c>
      <x:c r="D1085" s="118" t="n">
        <x:v>4</x:v>
      </x:c>
      <x:c r="E1085" s="117" t="str">
        <x:v>Active</x:v>
      </x:c>
      <x:c r="F1085" s="117" t="str">
        <x:v>Yes</x:v>
      </x:c>
      <x:c r="G1085" s="117" t="str">
        <x:v>Yes</x:v>
      </x:c>
      <x:c r="H1085" s="117" t="str">
        <x:v>Flow</x:v>
      </x:c>
      <x:c r="I1085" s="118" t="n">
        <x:v>66</x:v>
      </x:c>
      <x:c r="J1085" s="117" t="str">
        <x:v>unmanaged</x:v>
      </x:c>
      <x:c r="K1085" s="123" t="b">
        <x:v>0</x:v>
      </x:c>
      <x:c r="L1085" s="117"/>
      <x:c r="M1085" s="118"/>
      <x:c r="N1085" s="120" t="n">
        <x:v>46111.47886574074</x:v>
      </x:c>
      <x:c r="O1085" s="117" t="str">
        <x:v>Michelle Steadman</x:v>
      </x:c>
      <x:c r="P1085" s="120" t="n">
        <x:v>46111.47891203704</x:v>
      </x:c>
      <x:c r="Q1085" s="117" t="str">
        <x:v>Michelle Steadman</x:v>
      </x:c>
      <x:c r="R1085" s="117" t="str">
        <x:v>Document Review - Change Control Form - Screen Flow - V4</x:v>
      </x:c>
      <x:c r="S1085" s="119" t="str">
        <x:v>Removing fields from being reqired.</x:v>
      </x:c>
    </x:row>
    <x:row r="1086" ht="30" customHeight="1">
      <x:c r="A1086" s="117" t="str">
        <x:v>Document_Review_Status_Automation</x:v>
      </x:c>
      <x:c r="B1086" s="117" t="str">
        <x:v>300Ro00000sMu66IAC</x:v>
      </x:c>
      <x:c r="C1086" s="117" t="str">
        <x:v>301Ro000010549AIAQ</x:v>
      </x:c>
      <x:c r="D1086" s="118" t="n">
        <x:v>1</x:v>
      </x:c>
      <x:c r="E1086" s="117" t="str">
        <x:v>Obsolete</x:v>
      </x:c>
      <x:c r="F1086" s="117" t="str">
        <x:v>No</x:v>
      </x:c>
      <x:c r="G1086" s="117" t="str">
        <x:v>No</x:v>
      </x:c>
      <x:c r="H1086" s="117" t="str">
        <x:v>AutoLaunchedFlow</x:v>
      </x:c>
      <x:c r="I1086" s="118" t="n">
        <x:v>66</x:v>
      </x:c>
      <x:c r="J1086" s="117" t="str">
        <x:v>unmanaged</x:v>
      </x:c>
      <x:c r="K1086" s="123" t="b">
        <x:v>0</x:v>
      </x:c>
      <x:c r="L1086" s="117"/>
      <x:c r="M1086" s="118"/>
      <x:c r="N1086" s="120" t="n">
        <x:v>46089.87671296296</x:v>
      </x:c>
      <x:c r="O1086" s="117" t="str">
        <x:v>Sacha Pearce</x:v>
      </x:c>
      <x:c r="P1086" s="120" t="n">
        <x:v>46089.87677083333</x:v>
      </x:c>
      <x:c r="Q1086" s="117" t="str">
        <x:v>Sacha Pearce</x:v>
      </x:c>
      <x:c r="R1086" s="117" t="str">
        <x:v>Document Review - Status Automation</x:v>
      </x:c>
      <x:c r="S1086" s="119"/>
    </x:row>
    <x:row r="1087" ht="30" customHeight="1">
      <x:c r="A1087" s="117" t="str">
        <x:v>Document_Review_Status_Automation</x:v>
      </x:c>
      <x:c r="B1087" s="117" t="str">
        <x:v>300Ro00000sMu66IAC</x:v>
      </x:c>
      <x:c r="C1087" s="117" t="str">
        <x:v>301Ro000010l9vQIAQ</x:v>
      </x:c>
      <x:c r="D1087" s="118" t="n">
        <x:v>2</x:v>
      </x:c>
      <x:c r="E1087" s="117" t="str">
        <x:v>Obsolete</x:v>
      </x:c>
      <x:c r="F1087" s="117" t="str">
        <x:v>No</x:v>
      </x:c>
      <x:c r="G1087" s="117" t="str">
        <x:v>No</x:v>
      </x:c>
      <x:c r="H1087" s="117" t="str">
        <x:v>AutoLaunchedFlow</x:v>
      </x:c>
      <x:c r="I1087" s="118" t="n">
        <x:v>66</x:v>
      </x:c>
      <x:c r="J1087" s="117" t="str">
        <x:v>unmanaged</x:v>
      </x:c>
      <x:c r="K1087" s="123" t="b">
        <x:v>0</x:v>
      </x:c>
      <x:c r="L1087" s="117"/>
      <x:c r="M1087" s="118"/>
      <x:c r="N1087" s="120" t="n">
        <x:v>46098.421944444446</x:v>
      </x:c>
      <x:c r="O1087" s="117" t="str">
        <x:v>Sacha Pearce</x:v>
      </x:c>
      <x:c r="P1087" s="120" t="n">
        <x:v>46098.422002314815</x:v>
      </x:c>
      <x:c r="Q1087" s="117" t="str">
        <x:v>Sacha Pearce</x:v>
      </x:c>
      <x:c r="R1087" s="117" t="str">
        <x:v>Document Review - Status Automation</x:v>
      </x:c>
      <x:c r="S1087" s="119"/>
    </x:row>
    <x:row r="1088" ht="30" customHeight="1">
      <x:c r="A1088" s="117" t="str">
        <x:v>Document_Review_Status_Automation</x:v>
      </x:c>
      <x:c r="B1088" s="117" t="str">
        <x:v>300Ro00000sMu66IAC</x:v>
      </x:c>
      <x:c r="C1088" s="117" t="str">
        <x:v>301Ro0000149pBnIAI</x:v>
      </x:c>
      <x:c r="D1088" s="118" t="n">
        <x:v>3</x:v>
      </x:c>
      <x:c r="E1088" s="117" t="str">
        <x:v>Active</x:v>
      </x:c>
      <x:c r="F1088" s="117" t="str">
        <x:v>Yes</x:v>
      </x:c>
      <x:c r="G1088" s="117" t="str">
        <x:v>Yes</x:v>
      </x:c>
      <x:c r="H1088" s="117" t="str">
        <x:v>AutoLaunchedFlow</x:v>
      </x:c>
      <x:c r="I1088" s="118" t="n">
        <x:v>66</x:v>
      </x:c>
      <x:c r="J1088" s="117" t="str">
        <x:v>unmanaged</x:v>
      </x:c>
      <x:c r="K1088" s="123" t="b">
        <x:v>0</x:v>
      </x:c>
      <x:c r="L1088" s="117"/>
      <x:c r="M1088" s="118"/>
      <x:c r="N1088" s="120" t="n">
        <x:v>46139.40052083333</x:v>
      </x:c>
      <x:c r="O1088" s="117" t="str">
        <x:v>Sacha Pearce</x:v>
      </x:c>
      <x:c r="P1088" s="120" t="n">
        <x:v>46139.400625</x:v>
      </x:c>
      <x:c r="Q1088" s="117" t="str">
        <x:v>Sacha Pearce</x:v>
      </x:c>
      <x:c r="R1088" s="117" t="str">
        <x:v>Document Review - Status Automation</x:v>
      </x:c>
      <x:c r="S1088" s="119"/>
    </x:row>
    <x:row r="1089" ht="30" customHeight="1">
      <x:c r="A1089" s="117" t="str">
        <x:v>DRP_Aggregate_Project_Charge_Totals</x:v>
      </x:c>
      <x:c r="B1089" s="117" t="str">
        <x:v>300Ro000013yaGHIAY</x:v>
      </x:c>
      <x:c r="C1089" s="117" t="str">
        <x:v>301Ro00001CnXzXIAV</x:v>
      </x:c>
      <x:c r="D1089" s="118" t="n">
        <x:v>1</x:v>
      </x:c>
      <x:c r="E1089" s="117" t="str">
        <x:v>Obsolete</x:v>
      </x:c>
      <x:c r="F1089" s="117" t="str">
        <x:v>No</x:v>
      </x:c>
      <x:c r="G1089" s="117" t="str">
        <x:v>No</x:v>
      </x:c>
      <x:c r="H1089" s="117" t="str">
        <x:v>AutoLaunchedFlow</x:v>
      </x:c>
      <x:c r="I1089" s="118" t="n">
        <x:v>67</x:v>
      </x:c>
      <x:c r="J1089" s="117" t="str">
        <x:v>unmanaged</x:v>
      </x:c>
      <x:c r="K1089" s="123" t="b">
        <x:v>0</x:v>
      </x:c>
      <x:c r="L1089" s="117"/>
      <x:c r="M1089" s="118"/>
      <x:c r="N1089" s="120" t="n">
        <x:v>46234.41954861111</x:v>
      </x:c>
      <x:c r="O1089" s="117" t="str">
        <x:v>Sacha Pearce</x:v>
      </x:c>
      <x:c r="P1089" s="120" t="n">
        <x:v>46234.43201388889</x:v>
      </x:c>
      <x:c r="Q1089" s="117" t="str">
        <x:v>Sacha Pearce</x:v>
      </x:c>
      <x:c r="R1089" s="117" t="str">
        <x:v>DRP - Aggregate Project Charge Totals</x:v>
      </x:c>
      <x:c r="S1089" s="119" t="str">
        <x:v>This Flow exists to aggregate each of the roll-up summary fields from a selection of Project Charges.</x:v>
      </x:c>
    </x:row>
    <x:row r="1090" ht="30" customHeight="1">
      <x:c r="A1090" s="117" t="str">
        <x:v>DRP_Aggregate_Project_Charge_Totals</x:v>
      </x:c>
      <x:c r="B1090" s="117" t="str">
        <x:v>300Ro000013yaGHIAY</x:v>
      </x:c>
      <x:c r="C1090" s="117" t="str">
        <x:v>301Ro00001CngJfIAJ</x:v>
      </x:c>
      <x:c r="D1090" s="118" t="n">
        <x:v>2</x:v>
      </x:c>
      <x:c r="E1090" s="117" t="str">
        <x:v>Active</x:v>
      </x:c>
      <x:c r="F1090" s="117" t="str">
        <x:v>Yes</x:v>
      </x:c>
      <x:c r="G1090" s="117" t="str">
        <x:v>Yes</x:v>
      </x:c>
      <x:c r="H1090" s="117" t="str">
        <x:v>AutoLaunchedFlow</x:v>
      </x:c>
      <x:c r="I1090" s="118" t="n">
        <x:v>67</x:v>
      </x:c>
      <x:c r="J1090" s="117" t="str">
        <x:v>unmanaged</x:v>
      </x:c>
      <x:c r="K1090" s="123" t="b">
        <x:v>0</x:v>
      </x:c>
      <x:c r="L1090" s="117"/>
      <x:c r="M1090" s="118"/>
      <x:c r="N1090" s="120" t="n">
        <x:v>46234.45265046296</x:v>
      </x:c>
      <x:c r="O1090" s="117" t="str">
        <x:v>Sacha Pearce</x:v>
      </x:c>
      <x:c r="P1090" s="120" t="n">
        <x:v>46234.45269675926</x:v>
      </x:c>
      <x:c r="Q1090" s="117" t="str">
        <x:v>Sacha Pearce</x:v>
      </x:c>
      <x:c r="R1090" s="117" t="str">
        <x:v>DRP - Aggregate Project Charge Totals</x:v>
      </x:c>
      <x:c r="S1090" s="119" t="str">
        <x:v>This Flow exists to aggregate each of the roll-up summary fields from a selection of Project Charges.</x:v>
      </x:c>
    </x:row>
    <x:row r="1091" ht="30" customHeight="1">
      <x:c r="A1091" s="117" t="str">
        <x:v>DRP_Create_Opportunity_and_Invoice_Records</x:v>
      </x:c>
      <x:c r="B1091" s="117" t="str">
        <x:v>300Ro000013yjzLIAQ</x:v>
      </x:c>
      <x:c r="C1091" s="117" t="str">
        <x:v>301Ro00001CnmgnIAB</x:v>
      </x:c>
      <x:c r="D1091" s="118" t="n">
        <x:v>1</x:v>
      </x:c>
      <x:c r="E1091" s="117" t="str">
        <x:v>Draft</x:v>
      </x:c>
      <x:c r="F1091" s="117" t="str">
        <x:v>No</x:v>
      </x:c>
      <x:c r="G1091" s="117" t="str">
        <x:v>Yes</x:v>
      </x:c>
      <x:c r="H1091" s="117" t="str">
        <x:v>AutoLaunchedFlow</x:v>
      </x:c>
      <x:c r="I1091" s="118" t="n">
        <x:v>67</x:v>
      </x:c>
      <x:c r="J1091" s="117" t="str">
        <x:v>unmanaged</x:v>
      </x:c>
      <x:c r="K1091" s="123" t="b">
        <x:v>0</x:v>
      </x:c>
      <x:c r="L1091" s="117"/>
      <x:c r="M1091" s="118"/>
      <x:c r="N1091" s="120" t="n">
        <x:v>46234.41805555556</x:v>
      </x:c>
      <x:c r="O1091" s="117" t="str">
        <x:v>Sacha Pearce</x:v>
      </x:c>
      <x:c r="P1091" s="120" t="n">
        <x:v>46234.418078703704</x:v>
      </x:c>
      <x:c r="Q1091" s="117" t="str">
        <x:v>Sacha Pearce</x:v>
      </x:c>
      <x:c r="R1091" s="117" t="str">
        <x:v>DRP - Create Opportunity and Invoice Records</x:v>
      </x:c>
      <x:c r="S1091" s="119"/>
    </x:row>
    <x:row r="1092" ht="30" customHeight="1">
      <x:c r="A1092" s="117" t="str">
        <x:v>DRP_Create_Project_Charge_Line_Item</x:v>
      </x:c>
      <x:c r="B1092" s="117" t="str">
        <x:v>300Ro00000tZphfIAC</x:v>
      </x:c>
      <x:c r="C1092" s="117" t="str">
        <x:v>301Ro000011NVDPIA4</x:v>
      </x:c>
      <x:c r="D1092" s="118" t="n">
        <x:v>1</x:v>
      </x:c>
      <x:c r="E1092" s="117" t="str">
        <x:v>Obsolete</x:v>
      </x:c>
      <x:c r="F1092" s="117" t="str">
        <x:v>No</x:v>
      </x:c>
      <x:c r="G1092" s="117" t="str">
        <x:v>No</x:v>
      </x:c>
      <x:c r="H1092" s="117" t="str">
        <x:v>Flow</x:v>
      </x:c>
      <x:c r="I1092" s="118" t="n">
        <x:v>66</x:v>
      </x:c>
      <x:c r="J1092" s="117" t="str">
        <x:v>unmanaged</x:v>
      </x:c>
      <x:c r="K1092" s="123" t="b">
        <x:v>0</x:v>
      </x:c>
      <x:c r="L1092" s="117" t="str">
        <x:v>DefaultMode</x:v>
      </x:c>
      <x:c r="M1092" s="118"/>
      <x:c r="N1092" s="120" t="n">
        <x:v>46105.89774305555</x:v>
      </x:c>
      <x:c r="O1092" s="117" t="str">
        <x:v>Sacha Pearce</x:v>
      </x:c>
      <x:c r="P1092" s="120" t="n">
        <x:v>46121.37259259259</x:v>
      </x:c>
      <x:c r="Q1092" s="117" t="str">
        <x:v>Sacha Pearce</x:v>
      </x:c>
      <x:c r="R1092" s="117" t="str">
        <x:v>DRP - Create Project Charge Line Item</x:v>
      </x:c>
      <x:c r="S1092" s="119" t="str">
        <x:v>07/30/2026 - V3 - Setting default selection of the "Add New Line" to "Yes"</x:v>
      </x:c>
    </x:row>
    <x:row r="1093" ht="30" customHeight="1">
      <x:c r="A1093" s="117" t="str">
        <x:v>DRP_Create_Project_Charge_Line_Item</x:v>
      </x:c>
      <x:c r="B1093" s="117" t="str">
        <x:v>300Ro00000tZphfIAC</x:v>
      </x:c>
      <x:c r="C1093" s="117" t="str">
        <x:v>301Ro000014yWiCIAU</x:v>
      </x:c>
      <x:c r="D1093" s="118" t="n">
        <x:v>2</x:v>
      </x:c>
      <x:c r="E1093" s="117" t="str">
        <x:v>Obsolete</x:v>
      </x:c>
      <x:c r="F1093" s="117" t="str">
        <x:v>No</x:v>
      </x:c>
      <x:c r="G1093" s="117" t="str">
        <x:v>No</x:v>
      </x:c>
      <x:c r="H1093" s="117" t="str">
        <x:v>Flow</x:v>
      </x:c>
      <x:c r="I1093" s="118" t="n">
        <x:v>66</x:v>
      </x:c>
      <x:c r="J1093" s="117" t="str">
        <x:v>unmanaged</x:v>
      </x:c>
      <x:c r="K1093" s="123" t="b">
        <x:v>0</x:v>
      </x:c>
      <x:c r="L1093" s="117" t="str">
        <x:v>DefaultMode</x:v>
      </x:c>
      <x:c r="M1093" s="118"/>
      <x:c r="N1093" s="120" t="n">
        <x:v>46148.824282407404</x:v>
      </x:c>
      <x:c r="O1093" s="117" t="str">
        <x:v>Sacha Pearce</x:v>
      </x:c>
      <x:c r="P1093" s="120" t="n">
        <x:v>46148.835</x:v>
      </x:c>
      <x:c r="Q1093" s="117" t="str">
        <x:v>Sacha Pearce</x:v>
      </x:c>
      <x:c r="R1093" s="117" t="str">
        <x:v>DRP - Create Project Charge Line Item</x:v>
      </x:c>
      <x:c r="S1093" s="119" t="str">
        <x:v>06/05/2026 - SP - Introducing the "Product" to be set by the selected "Activity Code".</x:v>
      </x:c>
    </x:row>
    <x:row r="1094" ht="30" customHeight="1">
      <x:c r="A1094" s="117" t="str">
        <x:v>DRP_Create_Project_Charge_Line_Item</x:v>
      </x:c>
      <x:c r="B1094" s="117" t="str">
        <x:v>300Ro00000tZphfIAC</x:v>
      </x:c>
      <x:c r="C1094" s="117" t="str">
        <x:v>301Ro000018fWwZIAU</x:v>
      </x:c>
      <x:c r="D1094" s="118" t="n">
        <x:v>3</x:v>
      </x:c>
      <x:c r="E1094" s="117" t="str">
        <x:v>Active</x:v>
      </x:c>
      <x:c r="F1094" s="117" t="str">
        <x:v>Yes</x:v>
      </x:c>
      <x:c r="G1094" s="117" t="str">
        <x:v>Yes</x:v>
      </x:c>
      <x:c r="H1094" s="117" t="str">
        <x:v>Flow</x:v>
      </x:c>
      <x:c r="I1094" s="118" t="n">
        <x:v>66</x:v>
      </x:c>
      <x:c r="J1094" s="117" t="str">
        <x:v>unmanaged</x:v>
      </x:c>
      <x:c r="K1094" s="123" t="b">
        <x:v>0</x:v>
      </x:c>
      <x:c r="L1094" s="117" t="str">
        <x:v>SystemModeWithoutSharing</x:v>
      </x:c>
      <x:c r="M1094" s="118"/>
      <x:c r="N1094" s="120" t="n">
        <x:v>46189.59003472222</x:v>
      </x:c>
      <x:c r="O1094" s="117" t="str">
        <x:v>Sacha Pearce</x:v>
      </x:c>
      <x:c r="P1094" s="120" t="n">
        <x:v>46189.59028935185</x:v>
      </x:c>
      <x:c r="Q1094" s="117" t="str">
        <x:v>Sacha Pearce</x:v>
      </x:c>
      <x:c r="R1094" s="117" t="str">
        <x:v>DRP - Create Project Charge Line Item</x:v>
      </x:c>
      <x:c r="S1094" s="119" t="str">
        <x:v>06/05/2026 - SP - Updating Flow to run in system context.</x:v>
      </x:c>
    </x:row>
    <x:row r="1095" ht="30" customHeight="1">
      <x:c r="A1095" s="117" t="str">
        <x:v>DRP_Override_Project_Charge_Line_Item_Revenue</x:v>
      </x:c>
      <x:c r="B1095" s="117" t="str">
        <x:v>300Ro00000tZphdIAC</x:v>
      </x:c>
      <x:c r="C1095" s="117" t="str">
        <x:v>301Ro000011NVDNIA4</x:v>
      </x:c>
      <x:c r="D1095" s="118" t="n">
        <x:v>1</x:v>
      </x:c>
      <x:c r="E1095" s="117" t="str">
        <x:v>Active</x:v>
      </x:c>
      <x:c r="F1095" s="117" t="str">
        <x:v>Yes</x:v>
      </x:c>
      <x:c r="G1095" s="117" t="str">
        <x:v>Yes</x:v>
      </x:c>
      <x:c r="H1095" s="117" t="str">
        <x:v>Flow</x:v>
      </x:c>
      <x:c r="I1095" s="118" t="n">
        <x:v>66</x:v>
      </x:c>
      <x:c r="J1095" s="117" t="str">
        <x:v>unmanaged</x:v>
      </x:c>
      <x:c r="K1095" s="123" t="b">
        <x:v>0</x:v>
      </x:c>
      <x:c r="L1095" s="117" t="str">
        <x:v>SystemModeWithoutSharing</x:v>
      </x:c>
      <x:c r="M1095" s="118"/>
      <x:c r="N1095" s="120" t="n">
        <x:v>46105.89765046296</x:v>
      </x:c>
      <x:c r="O1095" s="117" t="str">
        <x:v>Sacha Pearce</x:v>
      </x:c>
      <x:c r="P1095" s="120" t="n">
        <x:v>46121.37144675926</x:v>
      </x:c>
      <x:c r="Q1095" s="117" t="str">
        <x:v>Sacha Pearce</x:v>
      </x:c>
      <x:c r="R1095" s="117" t="str">
        <x:v>DRP - Override Project Charge Line Item Revenue</x:v>
      </x:c>
      <x:c r="S1095" s="119"/>
    </x:row>
    <x:row r="1096" ht="30" customHeight="1">
      <x:c r="A1096" s="117" t="str">
        <x:v>DRP_Submit_Project_Charges_for_Invoicing</x:v>
      </x:c>
      <x:c r="B1096" s="117" t="str">
        <x:v>300Ro0000149ADUIA2</x:v>
      </x:c>
      <x:c r="C1096" s="117" t="str">
        <x:v>301Ro00001D1YioIAF</x:v>
      </x:c>
      <x:c r="D1096" s="118" t="n">
        <x:v>1</x:v>
      </x:c>
      <x:c r="E1096" s="117" t="str">
        <x:v>Obsolete</x:v>
      </x:c>
      <x:c r="F1096" s="117" t="str">
        <x:v>No</x:v>
      </x:c>
      <x:c r="G1096" s="117" t="str">
        <x:v>Yes</x:v>
      </x:c>
      <x:c r="H1096" s="117" t="str">
        <x:v>Flow</x:v>
      </x:c>
      <x:c r="I1096" s="118" t="n">
        <x:v>66</x:v>
      </x:c>
      <x:c r="J1096" s="117" t="str">
        <x:v>unmanaged</x:v>
      </x:c>
      <x:c r="K1096" s="123" t="b">
        <x:v>0</x:v>
      </x:c>
      <x:c r="L1096" s="117" t="str">
        <x:v>SystemModeWithoutSharing</x:v>
      </x:c>
      <x:c r="M1096" s="118"/>
      <x:c r="N1096" s="120" t="n">
        <x:v>46237.56197916667</x:v>
      </x:c>
      <x:c r="O1096" s="117" t="str">
        <x:v>Sacha Pearce</x:v>
      </x:c>
      <x:c r="P1096" s="120" t="n">
        <x:v>46247.548680555556</x:v>
      </x:c>
      <x:c r="Q1096" s="117" t="str">
        <x:v>Sacha Pearce</x:v>
      </x:c>
      <x:c r="R1096" s="117" t="str">
        <x:v>DRP - Submit Project Charges for Invoicing</x:v>
      </x:c>
      <x:c r="S1096" s="119"/>
    </x:row>
    <x:row r="1097" ht="30" customHeight="1">
      <x:c r="A1097" s="117" t="str">
        <x:v>DRP_Update_Project_Charge_Line_Item_Values</x:v>
      </x:c>
      <x:c r="B1097" s="117" t="str">
        <x:v>300Ro00000tZpheIAC</x:v>
      </x:c>
      <x:c r="C1097" s="117" t="str">
        <x:v>301Ro000011NVDOIA4</x:v>
      </x:c>
      <x:c r="D1097" s="118" t="n">
        <x:v>1</x:v>
      </x:c>
      <x:c r="E1097" s="117" t="str">
        <x:v>Active</x:v>
      </x:c>
      <x:c r="F1097" s="117" t="str">
        <x:v>Yes</x:v>
      </x:c>
      <x:c r="G1097" s="117" t="str">
        <x:v>Yes</x:v>
      </x:c>
      <x:c r="H1097" s="117" t="str">
        <x:v>AutoLaunchedFlow</x:v>
      </x:c>
      <x:c r="I1097" s="118" t="n">
        <x:v>66</x:v>
      </x:c>
      <x:c r="J1097" s="117" t="str">
        <x:v>unmanaged</x:v>
      </x:c>
      <x:c r="K1097" s="123" t="b">
        <x:v>0</x:v>
      </x:c>
      <x:c r="L1097" s="117"/>
      <x:c r="M1097" s="118"/>
      <x:c r="N1097" s="120" t="n">
        <x:v>46105.897731481484</x:v>
      </x:c>
      <x:c r="O1097" s="117" t="str">
        <x:v>Sacha Pearce</x:v>
      </x:c>
      <x:c r="P1097" s="120" t="n">
        <x:v>46121.37162037037</x:v>
      </x:c>
      <x:c r="Q1097" s="117" t="str">
        <x:v>Sacha Pearce</x:v>
      </x:c>
      <x:c r="R1097" s="117" t="str">
        <x:v>DRP - Update Project Charge Line Item Values</x:v>
      </x:c>
      <x:c r="S1097" s="119"/>
    </x:row>
    <x:row r="1098" ht="30" customHeight="1">
      <x:c r="A1098" s="117" t="str">
        <x:v>e2a_Adding_e2a_email_on_Opportunity_record</x:v>
      </x:c>
      <x:c r="B1098" s="117" t="str">
        <x:v>3004O000000HGWiQAO</x:v>
      </x:c>
      <x:c r="C1098" s="117" t="str">
        <x:v>3014O000000I0VgQAK</x:v>
      </x:c>
      <x:c r="D1098" s="118" t="n">
        <x:v>1</x:v>
      </x:c>
      <x:c r="E1098" s="117" t="str">
        <x:v>Obsolete</x:v>
      </x:c>
      <x:c r="F1098" s="117" t="str">
        <x:v>No</x:v>
      </x:c>
      <x:c r="G1098" s="117" t="str">
        <x:v>Yes</x:v>
      </x:c>
      <x:c r="H1098" s="117" t="str">
        <x:v>Workflow</x:v>
      </x:c>
      <x:c r="I1098" s="118"/>
      <x:c r="J1098" s="117" t="str">
        <x:v>unmanaged</x:v>
      </x:c>
      <x:c r="K1098" s="123" t="b">
        <x:v>0</x:v>
      </x:c>
      <x:c r="L1098" s="117"/>
      <x:c r="M1098" s="118"/>
      <x:c r="N1098" s="120" t="n">
        <x:v>43985.680081018516</x:v>
      </x:c>
      <x:c r="O1098" s="117" t="str">
        <x:v>Trent VanEmon</x:v>
      </x:c>
      <x:c r="P1098" s="120" t="n">
        <x:v>44228.73673611111</x:v>
      </x:c>
      <x:c r="Q1098" s="117" t="str">
        <x:v>Delegate</x:v>
      </x:c>
      <x:c r="R1098" s="117" t="str">
        <x:v>e2a - Adding e2a email on Opportunity record</x:v>
      </x:c>
      <x:c r="S1098" s="119" t="str">
        <x:v>This process will add the opportunity ID in the e2a email so its visible on opportunities too</x:v>
      </x:c>
    </x:row>
    <x:row r="1099" ht="30" customHeight="1">
      <x:c r="A1099" s="117" t="str">
        <x:v>e2a_Create_an_opportunity_when_e2a_email_attaches_to_existing_contact</x:v>
      </x:c>
      <x:c r="B1099" s="117" t="str">
        <x:v>3004O0000008mCxQAI</x:v>
      </x:c>
      <x:c r="C1099" s="117" t="str">
        <x:v>3014O0000009HnsQAE</x:v>
      </x:c>
      <x:c r="D1099" s="118" t="n">
        <x:v>1</x:v>
      </x:c>
      <x:c r="E1099" s="117" t="str">
        <x:v>Obsolete</x:v>
      </x:c>
      <x:c r="F1099" s="117" t="str">
        <x:v>No</x:v>
      </x:c>
      <x:c r="G1099" s="117" t="str">
        <x:v>No</x:v>
      </x:c>
      <x:c r="H1099" s="117" t="str">
        <x:v>Workflow</x:v>
      </x:c>
      <x:c r="I1099" s="118"/>
      <x:c r="J1099" s="117" t="str">
        <x:v>unmanaged</x:v>
      </x:c>
      <x:c r="K1099" s="123" t="b">
        <x:v>0</x:v>
      </x:c>
      <x:c r="L1099" s="117"/>
      <x:c r="M1099" s="118"/>
      <x:c r="N1099" s="120" t="n">
        <x:v>43971.443125</x:v>
      </x:c>
      <x:c r="O1099" s="117" t="str">
        <x:v>Trent VanEmon</x:v>
      </x:c>
      <x:c r="P1099" s="120" t="n">
        <x:v>43972.64394675926</x:v>
      </x:c>
      <x:c r="Q1099" s="117" t="str">
        <x:v>Trent VanEmon</x:v>
      </x:c>
      <x:c r="R1099" s="117" t="str">
        <x:v>e2a - Create an opportunity when e2a email attaches to existing contact</x:v>
      </x:c>
      <x:c r="S1099" s="119"/>
    </x:row>
    <x:row r="1100" ht="30" customHeight="1">
      <x:c r="A1100" s="117" t="str">
        <x:v>e2a_Create_an_opportunity_when_e2a_email_attaches_to_existing_contact</x:v>
      </x:c>
      <x:c r="B1100" s="117" t="str">
        <x:v>3004O0000008mCxQAI</x:v>
      </x:c>
      <x:c r="C1100" s="117" t="str">
        <x:v>3014O0000009HsDQAU</x:v>
      </x:c>
      <x:c r="D1100" s="118" t="n">
        <x:v>2</x:v>
      </x:c>
      <x:c r="E1100" s="117" t="str">
        <x:v>Obsolete</x:v>
      </x:c>
      <x:c r="F1100" s="117" t="str">
        <x:v>No</x:v>
      </x:c>
      <x:c r="G1100" s="117" t="str">
        <x:v>No</x:v>
      </x:c>
      <x:c r="H1100" s="117" t="str">
        <x:v>Workflow</x:v>
      </x:c>
      <x:c r="I1100" s="118"/>
      <x:c r="J1100" s="117" t="str">
        <x:v>unmanaged</x:v>
      </x:c>
      <x:c r="K1100" s="123" t="b">
        <x:v>0</x:v>
      </x:c>
      <x:c r="L1100" s="117"/>
      <x:c r="M1100" s="118"/>
      <x:c r="N1100" s="120" t="n">
        <x:v>43972.65146990741</x:v>
      </x:c>
      <x:c r="O1100" s="117" t="str">
        <x:v>Trent VanEmon</x:v>
      </x:c>
      <x:c r="P1100" s="120" t="n">
        <x:v>43972.654282407406</x:v>
      </x:c>
      <x:c r="Q1100" s="117" t="str">
        <x:v>Trent VanEmon</x:v>
      </x:c>
      <x:c r="R1100" s="117" t="str">
        <x:v>e2a - Create an opportunity when e2a email attaches to existing contact v0.2</x:v>
      </x:c>
      <x:c r="S1100" s="119"/>
    </x:row>
    <x:row r="1101" ht="30" customHeight="1">
      <x:c r="A1101" s="117" t="str">
        <x:v>e2a_Create_an_opportunity_when_e2a_email_attaches_to_existing_contact</x:v>
      </x:c>
      <x:c r="B1101" s="117" t="str">
        <x:v>3004O0000008mCxQAI</x:v>
      </x:c>
      <x:c r="C1101" s="117" t="str">
        <x:v>3014O0000009HsNQAU</x:v>
      </x:c>
      <x:c r="D1101" s="118" t="n">
        <x:v>3</x:v>
      </x:c>
      <x:c r="E1101" s="117" t="str">
        <x:v>Obsolete</x:v>
      </x:c>
      <x:c r="F1101" s="117" t="str">
        <x:v>No</x:v>
      </x:c>
      <x:c r="G1101" s="117" t="str">
        <x:v>No</x:v>
      </x:c>
      <x:c r="H1101" s="117" t="str">
        <x:v>Workflow</x:v>
      </x:c>
      <x:c r="I1101" s="118"/>
      <x:c r="J1101" s="117" t="str">
        <x:v>unmanaged</x:v>
      </x:c>
      <x:c r="K1101" s="123" t="b">
        <x:v>0</x:v>
      </x:c>
      <x:c r="L1101" s="117"/>
      <x:c r="M1101" s="118"/>
      <x:c r="N1101" s="120" t="n">
        <x:v>43972.655335648145</x:v>
      </x:c>
      <x:c r="O1101" s="117" t="str">
        <x:v>Trent VanEmon</x:v>
      </x:c>
      <x:c r="P1101" s="120" t="n">
        <x:v>43972.896458333336</x:v>
      </x:c>
      <x:c r="Q1101" s="117" t="str">
        <x:v>Trent VanEmon</x:v>
      </x:c>
      <x:c r="R1101" s="117" t="str">
        <x:v>e2a - Create an opportunity when e2a email attaches to existing contact v0.3</x:v>
      </x:c>
      <x:c r="S1101" s="119"/>
    </x:row>
    <x:row r="1102" ht="30" customHeight="1">
      <x:c r="A1102" s="117" t="str">
        <x:v>e2a_Create_an_opportunity_when_e2a_email_attaches_to_existing_contact</x:v>
      </x:c>
      <x:c r="B1102" s="117" t="str">
        <x:v>3004O0000008mCxQAI</x:v>
      </x:c>
      <x:c r="C1102" s="117" t="str">
        <x:v>3014O0000009Ht6QAE</x:v>
      </x:c>
      <x:c r="D1102" s="118" t="n">
        <x:v>4</x:v>
      </x:c>
      <x:c r="E1102" s="117" t="str">
        <x:v>Obsolete</x:v>
      </x:c>
      <x:c r="F1102" s="117" t="str">
        <x:v>No</x:v>
      </x:c>
      <x:c r="G1102" s="117" t="str">
        <x:v>No</x:v>
      </x:c>
      <x:c r="H1102" s="117" t="str">
        <x:v>Workflow</x:v>
      </x:c>
      <x:c r="I1102" s="118"/>
      <x:c r="J1102" s="117" t="str">
        <x:v>unmanaged</x:v>
      </x:c>
      <x:c r="K1102" s="123" t="b">
        <x:v>0</x:v>
      </x:c>
      <x:c r="L1102" s="117"/>
      <x:c r="M1102" s="118"/>
      <x:c r="N1102" s="120" t="n">
        <x:v>43972.897361111114</x:v>
      </x:c>
      <x:c r="O1102" s="117" t="str">
        <x:v>Trent VanEmon</x:v>
      </x:c>
      <x:c r="P1102" s="120" t="n">
        <x:v>43985.476631944446</x:v>
      </x:c>
      <x:c r="Q1102" s="117" t="str">
        <x:v>Trent VanEmon</x:v>
      </x:c>
      <x:c r="R1102" s="117" t="str">
        <x:v>e2a - Create an opportunity when e2a email attaches to existing contact v0.4</x:v>
      </x:c>
      <x:c r="S1102" s="119"/>
    </x:row>
    <x:row r="1103" ht="30" customHeight="1">
      <x:c r="A1103" s="117" t="str">
        <x:v>e2a_Create_an_opportunity_when_e2a_email_attaches_to_existing_contact</x:v>
      </x:c>
      <x:c r="B1103" s="117" t="str">
        <x:v>3004O0000008mCxQAI</x:v>
      </x:c>
      <x:c r="C1103" s="117" t="str">
        <x:v>3014O000000I0UsQAK</x:v>
      </x:c>
      <x:c r="D1103" s="118" t="n">
        <x:v>5</x:v>
      </x:c>
      <x:c r="E1103" s="117" t="str">
        <x:v>Obsolete</x:v>
      </x:c>
      <x:c r="F1103" s="117" t="str">
        <x:v>No</x:v>
      </x:c>
      <x:c r="G1103" s="117" t="str">
        <x:v>No</x:v>
      </x:c>
      <x:c r="H1103" s="117" t="str">
        <x:v>Workflow</x:v>
      </x:c>
      <x:c r="I1103" s="118"/>
      <x:c r="J1103" s="117" t="str">
        <x:v>unmanaged</x:v>
      </x:c>
      <x:c r="K1103" s="123" t="b">
        <x:v>0</x:v>
      </x:c>
      <x:c r="L1103" s="117"/>
      <x:c r="M1103" s="118"/>
      <x:c r="N1103" s="120" t="n">
        <x:v>43985.500810185185</x:v>
      </x:c>
      <x:c r="O1103" s="117" t="str">
        <x:v>Trent VanEmon</x:v>
      </x:c>
      <x:c r="P1103" s="120" t="n">
        <x:v>43985.50241898148</x:v>
      </x:c>
      <x:c r="Q1103" s="117" t="str">
        <x:v>Trent VanEmon</x:v>
      </x:c>
      <x:c r="R1103" s="117" t="str">
        <x:v>e2a - Create an opportunity when e2a email attaches to existing contact v0.5</x:v>
      </x:c>
      <x:c r="S1103" s="119"/>
    </x:row>
    <x:row r="1104" ht="30" customHeight="1">
      <x:c r="A1104" s="117" t="str">
        <x:v>e2a_Create_an_opportunity_when_e2a_email_attaches_to_existing_contact</x:v>
      </x:c>
      <x:c r="B1104" s="117" t="str">
        <x:v>3004O0000008mCxQAI</x:v>
      </x:c>
      <x:c r="C1104" s="117" t="str">
        <x:v>3014O000000I0UxQAK</x:v>
      </x:c>
      <x:c r="D1104" s="118" t="n">
        <x:v>6</x:v>
      </x:c>
      <x:c r="E1104" s="117" t="str">
        <x:v>Obsolete</x:v>
      </x:c>
      <x:c r="F1104" s="117" t="str">
        <x:v>No</x:v>
      </x:c>
      <x:c r="G1104" s="117" t="str">
        <x:v>No</x:v>
      </x:c>
      <x:c r="H1104" s="117" t="str">
        <x:v>Workflow</x:v>
      </x:c>
      <x:c r="I1104" s="118"/>
      <x:c r="J1104" s="117" t="str">
        <x:v>unmanaged</x:v>
      </x:c>
      <x:c r="K1104" s="123" t="b">
        <x:v>0</x:v>
      </x:c>
      <x:c r="L1104" s="117"/>
      <x:c r="M1104" s="118"/>
      <x:c r="N1104" s="120" t="n">
        <x:v>43985.50864583333</x:v>
      </x:c>
      <x:c r="O1104" s="117" t="str">
        <x:v>Trent VanEmon</x:v>
      </x:c>
      <x:c r="P1104" s="120" t="n">
        <x:v>43985.51060185185</x:v>
      </x:c>
      <x:c r="Q1104" s="117" t="str">
        <x:v>Trent VanEmon</x:v>
      </x:c>
      <x:c r="R1104" s="117" t="str">
        <x:v>e2a - Create an opportunity when e2a email attaches to existing contact v0.6</x:v>
      </x:c>
      <x:c r="S1104" s="119"/>
    </x:row>
    <x:row r="1105" ht="30" customHeight="1">
      <x:c r="A1105" s="117" t="str">
        <x:v>e2a_Create_an_opportunity_when_e2a_email_attaches_to_existing_contact</x:v>
      </x:c>
      <x:c r="B1105" s="117" t="str">
        <x:v>3004O0000008mCxQAI</x:v>
      </x:c>
      <x:c r="C1105" s="117" t="str">
        <x:v>3014O000000I0V3QAK</x:v>
      </x:c>
      <x:c r="D1105" s="118" t="n">
        <x:v>7</x:v>
      </x:c>
      <x:c r="E1105" s="117" t="str">
        <x:v>Active</x:v>
      </x:c>
      <x:c r="F1105" s="117" t="str">
        <x:v>Yes</x:v>
      </x:c>
      <x:c r="G1105" s="117" t="str">
        <x:v>Yes</x:v>
      </x:c>
      <x:c r="H1105" s="117" t="str">
        <x:v>Workflow</x:v>
      </x:c>
      <x:c r="I1105" s="118"/>
      <x:c r="J1105" s="117" t="str">
        <x:v>unmanaged</x:v>
      </x:c>
      <x:c r="K1105" s="123" t="b">
        <x:v>0</x:v>
      </x:c>
      <x:c r="L1105" s="117"/>
      <x:c r="M1105" s="118"/>
      <x:c r="N1105" s="120" t="n">
        <x:v>43985.66836805556</x:v>
      </x:c>
      <x:c r="O1105" s="117" t="str">
        <x:v>Trent VanEmon</x:v>
      </x:c>
      <x:c r="P1105" s="120" t="n">
        <x:v>43985.680439814816</x:v>
      </x:c>
      <x:c r="Q1105" s="117" t="str">
        <x:v>Trent VanEmon</x:v>
      </x:c>
      <x:c r="R1105" s="117" t="str">
        <x:v>e2a - Create an opportunity when e2a email attaches to existing contact v0.7</x:v>
      </x:c>
      <x:c r="S1105" s="119"/>
    </x:row>
    <x:row r="1106" ht="30" customHeight="1">
      <x:c r="A1106" s="117" t="str">
        <x:v>Error_with_Recurring_Payment</x:v>
      </x:c>
      <x:c r="B1106" s="117" t="str">
        <x:v>300Ro00000kKs8LIAS</x:v>
      </x:c>
      <x:c r="C1106" s="117" t="str">
        <x:v>301Ro00000rhIpfIAE</x:v>
      </x:c>
      <x:c r="D1106" s="118" t="n">
        <x:v>1</x:v>
      </x:c>
      <x:c r="E1106" s="117" t="str">
        <x:v>Draft</x:v>
      </x:c>
      <x:c r="F1106" s="117" t="str">
        <x:v>No</x:v>
      </x:c>
      <x:c r="G1106" s="117" t="str">
        <x:v>Yes</x:v>
      </x:c>
      <x:c r="H1106" s="117" t="str">
        <x:v>AutoLaunchedFlow</x:v>
      </x:c>
      <x:c r="I1106" s="118" t="n">
        <x:v>64</x:v>
      </x:c>
      <x:c r="J1106" s="117" t="str">
        <x:v>installed</x:v>
      </x:c>
      <x:c r="K1106" s="123" t="b">
        <x:v>0</x:v>
      </x:c>
      <x:c r="L1106" s="117"/>
      <x:c r="M1106" s="118"/>
      <x:c r="N1106" s="120" t="n">
        <x:v>45965.9774537037</x:v>
      </x:c>
      <x:c r="O1106" s="117" t="str"/>
      <x:c r="P1106" s="120" t="n">
        <x:v>45965.977743055555</x:v>
      </x:c>
      <x:c r="Q1106" s="117" t="str"/>
      <x:c r="R1106" s="117" t="str">
        <x:v>Error with Recurring Payment</x:v>
      </x:c>
      <x:c r="S1106" s="119" t="str">
        <x:v>This flow rule fires when a recurring transaction fails to be completed.</x:v>
      </x:c>
    </x:row>
    <x:row r="1107" ht="30" customHeight="1">
      <x:c r="A1107" s="117" t="str">
        <x:v>Fetch_Warranty_Length_on_Account</x:v>
      </x:c>
      <x:c r="B1107" s="117" t="str">
        <x:v>300Ro00000nAkF4IAK</x:v>
      </x:c>
      <x:c r="C1107" s="117" t="str">
        <x:v>301Ro00000uZcerIAC</x:v>
      </x:c>
      <x:c r="D1107" s="118" t="n">
        <x:v>1</x:v>
      </x:c>
      <x:c r="E1107" s="117" t="str">
        <x:v>Active</x:v>
      </x:c>
      <x:c r="F1107" s="117" t="str">
        <x:v>Yes</x:v>
      </x:c>
      <x:c r="G1107" s="117" t="str">
        <x:v>Yes</x:v>
      </x:c>
      <x:c r="H1107" s="117" t="str">
        <x:v>AutoLaunchedFlow</x:v>
      </x:c>
      <x:c r="I1107" s="118" t="n">
        <x:v>65</x:v>
      </x:c>
      <x:c r="J1107" s="117" t="str">
        <x:v>unmanaged</x:v>
      </x:c>
      <x:c r="K1107" s="123" t="b">
        <x:v>0</x:v>
      </x:c>
      <x:c r="L1107" s="117"/>
      <x:c r="M1107" s="118"/>
      <x:c r="N1107" s="120" t="n">
        <x:v>46013.87431712963</x:v>
      </x:c>
      <x:c r="O1107" s="117" t="str">
        <x:v>Delegate</x:v>
      </x:c>
      <x:c r="P1107" s="120" t="n">
        <x:v>46013.874375</x:v>
      </x:c>
      <x:c r="Q1107" s="117" t="str">
        <x:v>Delegate</x:v>
      </x:c>
      <x:c r="R1107" s="117" t="str">
        <x:v>Fetch Warranty Length on Account</x:v>
      </x:c>
      <x:c r="S1107" s="119" t="str">
        <x:v>12/22/2025 (BW) - Used in the create opportunity from work order flow to fetch the warranty length on the account</x:v>
      </x:c>
    </x:row>
    <x:row r="1108" ht="30" customHeight="1">
      <x:c r="A1108" s="117" t="str">
        <x:v>Final_QC_Passed_Send_Email</x:v>
      </x:c>
      <x:c r="B1108" s="117" t="str">
        <x:v>300Ro00000ugDleIAE</x:v>
      </x:c>
      <x:c r="C1108" s="117" t="str">
        <x:v>301Ro000012cJEUIA2</x:v>
      </x:c>
      <x:c r="D1108" s="118" t="n">
        <x:v>1</x:v>
      </x:c>
      <x:c r="E1108" s="117" t="str">
        <x:v>Obsolete</x:v>
      </x:c>
      <x:c r="F1108" s="117" t="str">
        <x:v>No</x:v>
      </x:c>
      <x:c r="G1108" s="117" t="str">
        <x:v>No</x:v>
      </x:c>
      <x:c r="H1108" s="117" t="str">
        <x:v>AutoLaunchedFlow</x:v>
      </x:c>
      <x:c r="I1108" s="118" t="n">
        <x:v>61</x:v>
      </x:c>
      <x:c r="J1108" s="117" t="str">
        <x:v>unmanaged</x:v>
      </x:c>
      <x:c r="K1108" s="123" t="b">
        <x:v>0</x:v>
      </x:c>
      <x:c r="L1108" s="117"/>
      <x:c r="M1108" s="118"/>
      <x:c r="N1108" s="120" t="n">
        <x:v>46120.18724537037</x:v>
      </x:c>
      <x:c r="O1108" s="117" t="str">
        <x:v>Natalie Boger</x:v>
      </x:c>
      <x:c r="P1108" s="120" t="n">
        <x:v>46120.21424768519</x:v>
      </x:c>
      <x:c r="Q1108" s="117" t="str">
        <x:v>Natalie Boger</x:v>
      </x:c>
      <x:c r="R1108" s="117" t="str">
        <x:v>Final QC Passed - Send Email</x:v>
      </x:c>
      <x:c r="S1108" s="119"/>
    </x:row>
    <x:row r="1109" ht="30" customHeight="1">
      <x:c r="A1109" s="117" t="str">
        <x:v>Final_QC_Passed_Send_Email</x:v>
      </x:c>
      <x:c r="B1109" s="117" t="str">
        <x:v>300Ro00000ugDleIAE</x:v>
      </x:c>
      <x:c r="C1109" s="117" t="str">
        <x:v>301Ro000012pQGcIAM</x:v>
      </x:c>
      <x:c r="D1109" s="118" t="n">
        <x:v>2</x:v>
      </x:c>
      <x:c r="E1109" s="117" t="str">
        <x:v>Obsolete</x:v>
      </x:c>
      <x:c r="F1109" s="117" t="str">
        <x:v>No</x:v>
      </x:c>
      <x:c r="G1109" s="117" t="str">
        <x:v>No</x:v>
      </x:c>
      <x:c r="H1109" s="117" t="str">
        <x:v>AutoLaunchedFlow</x:v>
      </x:c>
      <x:c r="I1109" s="118" t="n">
        <x:v>61</x:v>
      </x:c>
      <x:c r="J1109" s="117" t="str">
        <x:v>unmanaged</x:v>
      </x:c>
      <x:c r="K1109" s="123" t="b">
        <x:v>0</x:v>
      </x:c>
      <x:c r="L1109" s="117"/>
      <x:c r="M1109" s="118"/>
      <x:c r="N1109" s="120" t="n">
        <x:v>46122.127534722225</x:v>
      </x:c>
      <x:c r="O1109" s="117" t="str">
        <x:v>Natalie Boger</x:v>
      </x:c>
      <x:c r="P1109" s="120" t="n">
        <x:v>46122.12767361111</x:v>
      </x:c>
      <x:c r="Q1109" s="117" t="str">
        <x:v>Natalie Boger</x:v>
      </x:c>
      <x:c r="R1109" s="117" t="str">
        <x:v>Final QC Passed - Send Email</x:v>
      </x:c>
      <x:c r="S1109" s="119"/>
    </x:row>
    <x:row r="1110" ht="30" customHeight="1">
      <x:c r="A1110" s="117" t="str">
        <x:v>Final_QC_Passed_Send_Email</x:v>
      </x:c>
      <x:c r="B1110" s="117" t="str">
        <x:v>300Ro00000ugDleIAE</x:v>
      </x:c>
      <x:c r="C1110" s="117" t="str">
        <x:v>301Ro000016LMj8IAG</x:v>
      </x:c>
      <x:c r="D1110" s="118" t="n">
        <x:v>3</x:v>
      </x:c>
      <x:c r="E1110" s="117" t="str">
        <x:v>Active</x:v>
      </x:c>
      <x:c r="F1110" s="117" t="str">
        <x:v>Yes</x:v>
      </x:c>
      <x:c r="G1110" s="117" t="str">
        <x:v>Yes</x:v>
      </x:c>
      <x:c r="H1110" s="117" t="str">
        <x:v>AutoLaunchedFlow</x:v>
      </x:c>
      <x:c r="I1110" s="118" t="n">
        <x:v>61</x:v>
      </x:c>
      <x:c r="J1110" s="117" t="str">
        <x:v>unmanaged</x:v>
      </x:c>
      <x:c r="K1110" s="123" t="b">
        <x:v>0</x:v>
      </x:c>
      <x:c r="L1110" s="117"/>
      <x:c r="M1110" s="118"/>
      <x:c r="N1110" s="120" t="n">
        <x:v>46163.8203125</x:v>
      </x:c>
      <x:c r="O1110" s="117" t="str">
        <x:v>Natalie Boger</x:v>
      </x:c>
      <x:c r="P1110" s="120" t="n">
        <x:v>46163.82040509259</x:v>
      </x:c>
      <x:c r="Q1110" s="117" t="str">
        <x:v>Natalie Boger</x:v>
      </x:c>
      <x:c r="R1110" s="117" t="str">
        <x:v>Final QC Passed - Send Email</x:v>
      </x:c>
      <x:c r="S1110" s="119"/>
    </x:row>
    <x:row r="1111" ht="30" customHeight="1">
      <x:c r="A1111" s="117" t="str">
        <x:v>Finalize_Loaner_Turned_Exchange_for_FSL</x:v>
      </x:c>
      <x:c r="B1111" s="117" t="str">
        <x:v>300Ro00000zhGklIAE</x:v>
      </x:c>
      <x:c r="C1111" s="117" t="str">
        <x:v>301Ro0000189uHCIAY</x:v>
      </x:c>
      <x:c r="D1111" s="118" t="n">
        <x:v>1</x:v>
      </x:c>
      <x:c r="E1111" s="117" t="str">
        <x:v>Draft</x:v>
      </x:c>
      <x:c r="F1111" s="117" t="str">
        <x:v>No</x:v>
      </x:c>
      <x:c r="G1111" s="117" t="str">
        <x:v>No</x:v>
      </x:c>
      <x:c r="H1111" s="117" t="str">
        <x:v>Flow</x:v>
      </x:c>
      <x:c r="I1111" s="118" t="n">
        <x:v>66</x:v>
      </x:c>
      <x:c r="J1111" s="117" t="str">
        <x:v>unmanaged</x:v>
      </x:c>
      <x:c r="K1111" s="123" t="b">
        <x:v>0</x:v>
      </x:c>
      <x:c r="L1111" s="117"/>
      <x:c r="M1111" s="118"/>
      <x:c r="N1111" s="120" t="n">
        <x:v>46183.68138888889</x:v>
      </x:c>
      <x:c r="O1111" s="117" t="str">
        <x:v>Mindy Bender</x:v>
      </x:c>
      <x:c r="P1111" s="120" t="n">
        <x:v>46183.681435185186</x:v>
      </x:c>
      <x:c r="Q1111" s="117" t="str">
        <x:v>Mindy Bender</x:v>
      </x:c>
      <x:c r="R1111" s="117" t="str">
        <x:v>Finalize Loaner Turned Exchange for FSL</x:v>
      </x:c>
      <x:c r="S1111" s="119"/>
    </x:row>
    <x:row r="1112" ht="30" customHeight="1">
      <x:c r="A1112" s="117" t="str">
        <x:v>Finalize_Loaner_Turned_Exchange_for_FSL</x:v>
      </x:c>
      <x:c r="B1112" s="117" t="str">
        <x:v>300Ro00000zhGklIAE</x:v>
      </x:c>
      <x:c r="C1112" s="117" t="str">
        <x:v>301Ro0000189GGYIA2</x:v>
      </x:c>
      <x:c r="D1112" s="118" t="n">
        <x:v>2</x:v>
      </x:c>
      <x:c r="E1112" s="117" t="str">
        <x:v>Obsolete</x:v>
      </x:c>
      <x:c r="F1112" s="117" t="str">
        <x:v>No</x:v>
      </x:c>
      <x:c r="G1112" s="117" t="str">
        <x:v>No</x:v>
      </x:c>
      <x:c r="H1112" s="117" t="str">
        <x:v>Flow</x:v>
      </x:c>
      <x:c r="I1112" s="118" t="n">
        <x:v>66</x:v>
      </x:c>
      <x:c r="J1112" s="117" t="str">
        <x:v>unmanaged</x:v>
      </x:c>
      <x:c r="K1112" s="123" t="b">
        <x:v>0</x:v>
      </x:c>
      <x:c r="L1112" s="117"/>
      <x:c r="M1112" s="118"/>
      <x:c r="N1112" s="120" t="n">
        <x:v>46183.68216435185</x:v>
      </x:c>
      <x:c r="O1112" s="117" t="str">
        <x:v>Mindy Bender</x:v>
      </x:c>
      <x:c r="P1112" s="120" t="n">
        <x:v>46183.682222222225</x:v>
      </x:c>
      <x:c r="Q1112" s="117" t="str">
        <x:v>Mindy Bender</x:v>
      </x:c>
      <x:c r="R1112" s="117" t="str">
        <x:v>Finalize Loaner Turned Exchange for FSL</x:v>
      </x:c>
      <x:c r="S1112" s="119"/>
    </x:row>
    <x:row r="1113" ht="30" customHeight="1">
      <x:c r="A1113" s="117" t="str">
        <x:v>Finalize_Loaner_Turned_Exchange_for_FSL</x:v>
      </x:c>
      <x:c r="B1113" s="117" t="str">
        <x:v>300Ro00000zhGklIAE</x:v>
      </x:c>
      <x:c r="C1113" s="117" t="str">
        <x:v>301Ro000018pz9SIAQ</x:v>
      </x:c>
      <x:c r="D1113" s="118" t="n">
        <x:v>3</x:v>
      </x:c>
      <x:c r="E1113" s="117" t="str">
        <x:v>Active</x:v>
      </x:c>
      <x:c r="F1113" s="117" t="str">
        <x:v>Yes</x:v>
      </x:c>
      <x:c r="G1113" s="117" t="str">
        <x:v>Yes</x:v>
      </x:c>
      <x:c r="H1113" s="117" t="str">
        <x:v>Flow</x:v>
      </x:c>
      <x:c r="I1113" s="118" t="n">
        <x:v>66</x:v>
      </x:c>
      <x:c r="J1113" s="117" t="str">
        <x:v>unmanaged</x:v>
      </x:c>
      <x:c r="K1113" s="123" t="b">
        <x:v>0</x:v>
      </x:c>
      <x:c r="L1113" s="117"/>
      <x:c r="M1113" s="118"/>
      <x:c r="N1113" s="120" t="n">
        <x:v>46190.91646990741</x:v>
      </x:c>
      <x:c r="O1113" s="117" t="str">
        <x:v>Mindy Bender</x:v>
      </x:c>
      <x:c r="P1113" s="120" t="n">
        <x:v>46190.91663194444</x:v>
      </x:c>
      <x:c r="Q1113" s="117" t="str">
        <x:v>Mindy Bender</x:v>
      </x:c>
      <x:c r="R1113" s="117" t="str">
        <x:v>Finalize Loaner Turned Exchange for FSL</x:v>
      </x:c>
      <x:c r="S1113" s="119"/>
    </x:row>
    <x:row r="1114" ht="30" customHeight="1">
      <x:c r="A1114" s="117" t="str">
        <x:v>Fix_Schedule_Overlaps</x:v>
      </x:c>
      <x:c r="B1114" s="117" t="str">
        <x:v>300Ro00000H8rdJIAR</x:v>
      </x:c>
      <x:c r="C1114" s="117" t="str">
        <x:v>301Ro00000InqG3IAJ</x:v>
      </x:c>
      <x:c r="D1114" s="118" t="n">
        <x:v>6</x:v>
      </x:c>
      <x:c r="E1114" s="117" t="str">
        <x:v>Draft</x:v>
      </x:c>
      <x:c r="F1114" s="117" t="str">
        <x:v>No</x:v>
      </x:c>
      <x:c r="G1114" s="117" t="str">
        <x:v>No</x:v>
      </x:c>
      <x:c r="H1114" s="117" t="str">
        <x:v>AutoLaunchedFlow</x:v>
      </x:c>
      <x:c r="I1114" s="118" t="n">
        <x:v>59</x:v>
      </x:c>
      <x:c r="J1114" s="117" t="str">
        <x:v>installed</x:v>
      </x:c>
      <x:c r="K1114" s="123" t="b">
        <x:v>1</x:v>
      </x:c>
      <x:c r="L1114" s="117"/>
      <x:c r="M1114" s="118"/>
      <x:c r="N1114" s="120" t="n">
        <x:v>45514.643229166664</x:v>
      </x:c>
      <x:c r="O1114" s="117" t="str">
        <x:v>Delegate</x:v>
      </x:c>
      <x:c r="P1114" s="120" t="n">
        <x:v>45703.396261574075</x:v>
      </x:c>
      <x:c r="Q1114" s="117" t="str"/>
      <x:c r="R1114" s="117" t="str">
        <x:v>Fix Schedule Overlaps</x:v>
      </x:c>
      <x:c r="S1114" s="119" t="str">
        <x:v>Fixes the schedule when a service appointment ends later than expected.</x:v>
      </x:c>
    </x:row>
    <x:row r="1115" ht="30" customHeight="1">
      <x:c r="A1115" s="117" t="str">
        <x:v>Fix_Schedule_Overlaps</x:v>
      </x:c>
      <x:c r="B1115" s="117" t="str">
        <x:v>300Ro00000H8rdJIAR</x:v>
      </x:c>
      <x:c r="C1115" s="117" t="str">
        <x:v>301Ro00000pD9rcIAC</x:v>
      </x:c>
      <x:c r="D1115" s="118" t="n">
        <x:v>8</x:v>
      </x:c>
      <x:c r="E1115" s="117" t="str">
        <x:v>Draft</x:v>
      </x:c>
      <x:c r="F1115" s="117" t="str">
        <x:v>No</x:v>
      </x:c>
      <x:c r="G1115" s="117" t="str">
        <x:v>Yes</x:v>
      </x:c>
      <x:c r="H1115" s="117" t="str">
        <x:v>AutoLaunchedFlow</x:v>
      </x:c>
      <x:c r="I1115" s="118" t="n">
        <x:v>59</x:v>
      </x:c>
      <x:c r="J1115" s="117" t="str">
        <x:v>installed</x:v>
      </x:c>
      <x:c r="K1115" s="123" t="b">
        <x:v>1</x:v>
      </x:c>
      <x:c r="L1115" s="117"/>
      <x:c r="M1115" s="118"/>
      <x:c r="N1115" s="120" t="n">
        <x:v>45941.3062037037</x:v>
      </x:c>
      <x:c r="O1115" s="117" t="str"/>
      <x:c r="P1115" s="120" t="n">
        <x:v>45941.30975694444</x:v>
      </x:c>
      <x:c r="Q1115" s="117" t="str"/>
      <x:c r="R1115" s="117" t="str">
        <x:v>Fix Schedule Overlaps</x:v>
      </x:c>
      <x:c r="S1115" s="119" t="str">
        <x:v>Fixes the schedule when a service appointment ends later than expected.</x:v>
      </x:c>
    </x:row>
    <x:row r="1116" ht="30" customHeight="1">
      <x:c r="A1116" s="117" t="str">
        <x:v>Follow_Work_Order_Upon_Creation</x:v>
      </x:c>
      <x:c r="B1116" s="117" t="str">
        <x:v>300Ro00000nBqTjIAK</x:v>
      </x:c>
      <x:c r="C1116" s="117" t="str">
        <x:v>301Ro00000uaiX0IAI</x:v>
      </x:c>
      <x:c r="D1116" s="118" t="n">
        <x:v>1</x:v>
      </x:c>
      <x:c r="E1116" s="117" t="str">
        <x:v>Active</x:v>
      </x:c>
      <x:c r="F1116" s="117" t="str">
        <x:v>Yes</x:v>
      </x:c>
      <x:c r="G1116" s="117" t="str">
        <x:v>Yes</x:v>
      </x:c>
      <x:c r="H1116" s="117" t="str">
        <x:v>AutoLaunchedFlow</x:v>
      </x:c>
      <x:c r="I1116" s="118" t="n">
        <x:v>65</x:v>
      </x:c>
      <x:c r="J1116" s="117" t="str">
        <x:v>unmanaged</x:v>
      </x:c>
      <x:c r="K1116" s="123" t="b">
        <x:v>0</x:v>
      </x:c>
      <x:c r="L1116" s="117"/>
      <x:c r="M1116" s="118"/>
      <x:c r="N1116" s="120" t="n">
        <x:v>46014.06576388889</x:v>
      </x:c>
      <x:c r="O1116" s="117" t="str">
        <x:v>Delegate</x:v>
      </x:c>
      <x:c r="P1116" s="120" t="n">
        <x:v>46014.066041666665</x:v>
      </x:c>
      <x:c r="Q1116" s="117" t="str">
        <x:v>Delegate</x:v>
      </x:c>
      <x:c r="R1116" s="117" t="str">
        <x:v>Follow Work Order Upon Creation</x:v>
      </x:c>
      <x:c r="S1116" s="119" t="str">
        <x:v>12/22/2025 (BW) - Upon creation of the work order, follow it so alerts appear in the app for chatters</x:v>
      </x:c>
    </x:row>
    <x:row r="1117" ht="30" customHeight="1">
      <x:c r="A1117" s="117" t="str">
        <x:v>FSL_Action_Quick_Quote_2</x:v>
      </x:c>
      <x:c r="B1117" s="117" t="str">
        <x:v>300Ro00000mouhpIAA</x:v>
      </x:c>
      <x:c r="C1117" s="117" t="str">
        <x:v>301Ro00000uQHTBIA4</x:v>
      </x:c>
      <x:c r="D1117" s="118" t="n">
        <x:v>11</x:v>
      </x:c>
      <x:c r="E1117" s="117" t="str">
        <x:v>Obsolete</x:v>
      </x:c>
      <x:c r="F1117" s="117" t="str">
        <x:v>No</x:v>
      </x:c>
      <x:c r="G1117" s="117" t="str">
        <x:v>No</x:v>
      </x:c>
      <x:c r="H1117" s="117" t="str">
        <x:v>FieldServiceMobile</x:v>
      </x:c>
      <x:c r="I1117" s="118"/>
      <x:c r="J1117" s="117" t="str">
        <x:v>unmanaged</x:v>
      </x:c>
      <x:c r="K1117" s="123" t="b">
        <x:v>0</x:v>
      </x:c>
      <x:c r="L1117" s="117"/>
      <x:c r="M1117" s="118"/>
      <x:c r="N1117" s="120" t="n">
        <x:v>46010.541041666664</x:v>
      </x:c>
      <x:c r="O1117" s="117" t="str">
        <x:v>Delegate</x:v>
      </x:c>
      <x:c r="P1117" s="120" t="n">
        <x:v>46010.54109953704</x:v>
      </x:c>
      <x:c r="Q1117" s="117" t="str">
        <x:v>Delegate</x:v>
      </x:c>
      <x:c r="R1117" s="117" t="str">
        <x:v>FSL Action - Quick Quote</x:v>
      </x:c>
      <x:c r="S1117" s="119" t="str">
        <x:v>12/19/2025 (BW) - Swapping out US Billing Type with Billing Type</x:v>
      </x:c>
    </x:row>
    <x:row r="1118" ht="30" customHeight="1">
      <x:c r="A1118" s="117" t="str">
        <x:v>FSL_Action_Quick_Quote_2</x:v>
      </x:c>
      <x:c r="B1118" s="117" t="str">
        <x:v>300Ro00000mouhpIAA</x:v>
      </x:c>
      <x:c r="C1118" s="117" t="str">
        <x:v>301Ro00000uWfuNIAS</x:v>
      </x:c>
      <x:c r="D1118" s="118" t="n">
        <x:v>12</x:v>
      </x:c>
      <x:c r="E1118" s="117" t="str">
        <x:v>Obsolete</x:v>
      </x:c>
      <x:c r="F1118" s="117" t="str">
        <x:v>No</x:v>
      </x:c>
      <x:c r="G1118" s="117" t="str">
        <x:v>No</x:v>
      </x:c>
      <x:c r="H1118" s="117" t="str">
        <x:v>FieldServiceMobile</x:v>
      </x:c>
      <x:c r="I1118" s="118"/>
      <x:c r="J1118" s="117" t="str">
        <x:v>unmanaged</x:v>
      </x:c>
      <x:c r="K1118" s="123" t="b">
        <x:v>0</x:v>
      </x:c>
      <x:c r="L1118" s="117"/>
      <x:c r="M1118" s="118"/>
      <x:c r="N1118" s="120" t="n">
        <x:v>46012.93864583333</x:v>
      </x:c>
      <x:c r="O1118" s="117" t="str">
        <x:v>Delegate</x:v>
      </x:c>
      <x:c r="P1118" s="120" t="n">
        <x:v>46013.79670138889</x:v>
      </x:c>
      <x:c r="Q1118" s="117" t="str">
        <x:v>Delegate</x:v>
      </x:c>
      <x:c r="R1118" s="117" t="str">
        <x:v>FSL Action - Quick Quote</x:v>
      </x:c>
      <x:c r="S1118" s="119" t="str">
        <x:v>12/21/2025 (BW) - Added "Service Site Name" as an option in the initial screen</x:v>
      </x:c>
    </x:row>
    <x:row r="1119" ht="30" customHeight="1">
      <x:c r="A1119" s="117" t="str">
        <x:v>FSL_Action_Quick_Quote_2</x:v>
      </x:c>
      <x:c r="B1119" s="117" t="str">
        <x:v>300Ro00000mouhpIAA</x:v>
      </x:c>
      <x:c r="C1119" s="117" t="str">
        <x:v>301Ro00000uYZ82IAG</x:v>
      </x:c>
      <x:c r="D1119" s="118" t="n">
        <x:v>13</x:v>
      </x:c>
      <x:c r="E1119" s="117" t="str">
        <x:v>Obsolete</x:v>
      </x:c>
      <x:c r="F1119" s="117" t="str">
        <x:v>No</x:v>
      </x:c>
      <x:c r="G1119" s="117" t="str">
        <x:v>No</x:v>
      </x:c>
      <x:c r="H1119" s="117" t="str">
        <x:v>FieldServiceMobile</x:v>
      </x:c>
      <x:c r="I1119" s="118"/>
      <x:c r="J1119" s="117" t="str">
        <x:v>unmanaged</x:v>
      </x:c>
      <x:c r="K1119" s="123" t="b">
        <x:v>0</x:v>
      </x:c>
      <x:c r="L1119" s="117"/>
      <x:c r="M1119" s="118"/>
      <x:c r="N1119" s="120" t="n">
        <x:v>46013.81079861111</x:v>
      </x:c>
      <x:c r="O1119" s="117" t="str">
        <x:v>Delegate</x:v>
      </x:c>
      <x:c r="P1119" s="120" t="n">
        <x:v>46013.81087962963</x:v>
      </x:c>
      <x:c r="Q1119" s="117" t="str">
        <x:v>Delegate</x:v>
      </x:c>
      <x:c r="R1119" s="117" t="str">
        <x:v>FSL Action - Quick Quote</x:v>
      </x:c>
      <x:c r="S1119" s="119" t="str">
        <x:v>12/22/2025 (BW) - Added "Quick Quote Initiatited" to true &amp; added the chatter post at the bottom</x:v>
      </x:c>
    </x:row>
    <x:row r="1120" ht="30" customHeight="1">
      <x:c r="A1120" s="117" t="str">
        <x:v>FSL_Action_Quick_Quote_2</x:v>
      </x:c>
      <x:c r="B1120" s="117" t="str">
        <x:v>300Ro00000mouhpIAA</x:v>
      </x:c>
      <x:c r="C1120" s="117" t="str">
        <x:v>301Ro00000wySjBIAU</x:v>
      </x:c>
      <x:c r="D1120" s="118" t="n">
        <x:v>14</x:v>
      </x:c>
      <x:c r="E1120" s="117" t="str">
        <x:v>Obsolete</x:v>
      </x:c>
      <x:c r="F1120" s="117" t="str">
        <x:v>No</x:v>
      </x:c>
      <x:c r="G1120" s="117" t="str">
        <x:v>No</x:v>
      </x:c>
      <x:c r="H1120" s="117" t="str">
        <x:v>FieldServiceMobile</x:v>
      </x:c>
      <x:c r="I1120" s="118"/>
      <x:c r="J1120" s="117" t="str">
        <x:v>unmanaged</x:v>
      </x:c>
      <x:c r="K1120" s="123" t="b">
        <x:v>0</x:v>
      </x:c>
      <x:c r="L1120" s="117"/>
      <x:c r="M1120" s="118"/>
      <x:c r="N1120" s="120" t="n">
        <x:v>46051.81334490741</x:v>
      </x:c>
      <x:c r="O1120" s="117" t="str">
        <x:v>Delegate</x:v>
      </x:c>
      <x:c r="P1120" s="120" t="n">
        <x:v>46051.81353009259</x:v>
      </x:c>
      <x:c r="Q1120" s="117" t="str">
        <x:v>Delegate</x:v>
      </x:c>
      <x:c r="R1120" s="117" t="str">
        <x:v>FSL Action - Quick Quote</x:v>
      </x:c>
      <x:c r="S1120" s="119" t="str">
        <x:v>01/29/2026 (BW) - Added Service Report Template ID</x:v>
      </x:c>
    </x:row>
    <x:row r="1121" ht="30" customHeight="1">
      <x:c r="A1121" s="117" t="str">
        <x:v>FSL_Action_Quick_Quote_2</x:v>
      </x:c>
      <x:c r="B1121" s="117" t="str">
        <x:v>300Ro00000mouhpIAA</x:v>
      </x:c>
      <x:c r="C1121" s="117" t="str">
        <x:v>301Ro00000xEixlIAC</x:v>
      </x:c>
      <x:c r="D1121" s="118" t="n">
        <x:v>15</x:v>
      </x:c>
      <x:c r="E1121" s="117" t="str">
        <x:v>Obsolete</x:v>
      </x:c>
      <x:c r="F1121" s="117" t="str">
        <x:v>No</x:v>
      </x:c>
      <x:c r="G1121" s="117" t="str">
        <x:v>No</x:v>
      </x:c>
      <x:c r="H1121" s="117" t="str">
        <x:v>FieldServiceMobile</x:v>
      </x:c>
      <x:c r="I1121" s="118"/>
      <x:c r="J1121" s="117" t="str">
        <x:v>unmanaged</x:v>
      </x:c>
      <x:c r="K1121" s="123" t="b">
        <x:v>0</x:v>
      </x:c>
      <x:c r="L1121" s="117"/>
      <x:c r="M1121" s="118"/>
      <x:c r="N1121" s="120" t="n">
        <x:v>46055.542291666665</x:v>
      </x:c>
      <x:c r="O1121" s="117" t="str">
        <x:v>Delegate</x:v>
      </x:c>
      <x:c r="P1121" s="120" t="n">
        <x:v>46055.54237268519</x:v>
      </x:c>
      <x:c r="Q1121" s="117" t="str">
        <x:v>Delegate</x:v>
      </x:c>
      <x:c r="R1121" s="117" t="str">
        <x:v>FSL Action - Quick Quote</x:v>
      </x:c>
      <x:c r="S1121" s="119" t="str">
        <x:v>01/29/2026 (BW) - Added Service Report Template ID</x:v>
      </x:c>
    </x:row>
    <x:row r="1122" ht="30" customHeight="1">
      <x:c r="A1122" s="117" t="str">
        <x:v>FSL_Action_Quick_Quote_2</x:v>
      </x:c>
      <x:c r="B1122" s="117" t="str">
        <x:v>300Ro00000mouhpIAA</x:v>
      </x:c>
      <x:c r="C1122" s="117" t="str">
        <x:v>301Ro00000xPPHNIA4</x:v>
      </x:c>
      <x:c r="D1122" s="118" t="n">
        <x:v>16</x:v>
      </x:c>
      <x:c r="E1122" s="117" t="str">
        <x:v>Obsolete</x:v>
      </x:c>
      <x:c r="F1122" s="117" t="str">
        <x:v>No</x:v>
      </x:c>
      <x:c r="G1122" s="117" t="str">
        <x:v>No</x:v>
      </x:c>
      <x:c r="H1122" s="117" t="str">
        <x:v>FieldServiceMobile</x:v>
      </x:c>
      <x:c r="I1122" s="118"/>
      <x:c r="J1122" s="117" t="str">
        <x:v>unmanaged</x:v>
      </x:c>
      <x:c r="K1122" s="123" t="b">
        <x:v>0</x:v>
      </x:c>
      <x:c r="L1122" s="117"/>
      <x:c r="M1122" s="118"/>
      <x:c r="N1122" s="120" t="n">
        <x:v>46056.940775462965</x:v>
      </x:c>
      <x:c r="O1122" s="117" t="str">
        <x:v>Delegate</x:v>
      </x:c>
      <x:c r="P1122" s="120" t="n">
        <x:v>46056.94472222222</x:v>
      </x:c>
      <x:c r="Q1122" s="117" t="str">
        <x:v>Delegate</x:v>
      </x:c>
      <x:c r="R1122" s="117" t="str">
        <x:v>FSL Action - Quick Quote</x:v>
      </x:c>
      <x:c r="S1122" s="119" t="str">
        <x:v>02/03/2026 (BW) - updating so that reported symptoms can be entered on the quick quote system</x:v>
      </x:c>
    </x:row>
    <x:row r="1123" ht="30" customHeight="1">
      <x:c r="A1123" s="117" t="str">
        <x:v>FSL_Action_Quick_Quote_2</x:v>
      </x:c>
      <x:c r="B1123" s="117" t="str">
        <x:v>300Ro00000mouhpIAA</x:v>
      </x:c>
      <x:c r="C1123" s="117" t="str">
        <x:v>301Ro00000xQItsIAG</x:v>
      </x:c>
      <x:c r="D1123" s="118" t="n">
        <x:v>17</x:v>
      </x:c>
      <x:c r="E1123" s="117" t="str">
        <x:v>Obsolete</x:v>
      </x:c>
      <x:c r="F1123" s="117" t="str">
        <x:v>No</x:v>
      </x:c>
      <x:c r="G1123" s="117" t="str">
        <x:v>No</x:v>
      </x:c>
      <x:c r="H1123" s="117" t="str">
        <x:v>FieldServiceMobile</x:v>
      </x:c>
      <x:c r="I1123" s="118"/>
      <x:c r="J1123" s="117" t="str">
        <x:v>unmanaged</x:v>
      </x:c>
      <x:c r="K1123" s="123" t="b">
        <x:v>0</x:v>
      </x:c>
      <x:c r="L1123" s="117"/>
      <x:c r="M1123" s="118"/>
      <x:c r="N1123" s="120" t="n">
        <x:v>46057.03357638889</x:v>
      </x:c>
      <x:c r="O1123" s="117" t="str">
        <x:v>Delegate</x:v>
      </x:c>
      <x:c r="P1123" s="120" t="n">
        <x:v>46057.03386574074</x:v>
      </x:c>
      <x:c r="Q1123" s="117" t="str">
        <x:v>Delegate</x:v>
      </x:c>
      <x:c r="R1123" s="117" t="str">
        <x:v>FSL Action - Quick Quote</x:v>
      </x:c>
      <x:c r="S1123" s="119" t="str">
        <x:v>02/03/2026 (BW) - updating so that reported symptoms can be entered on the quick quote system</x:v>
      </x:c>
    </x:row>
    <x:row r="1124" ht="30" customHeight="1">
      <x:c r="A1124" s="117" t="str">
        <x:v>FSL_Action_Quick_Quote_2</x:v>
      </x:c>
      <x:c r="B1124" s="117" t="str">
        <x:v>300Ro00000mouhpIAA</x:v>
      </x:c>
      <x:c r="C1124" s="117" t="str">
        <x:v>301Ro00000xQNlQIAW</x:v>
      </x:c>
      <x:c r="D1124" s="118" t="n">
        <x:v>18</x:v>
      </x:c>
      <x:c r="E1124" s="117" t="str">
        <x:v>Obsolete</x:v>
      </x:c>
      <x:c r="F1124" s="117" t="str">
        <x:v>No</x:v>
      </x:c>
      <x:c r="G1124" s="117" t="str">
        <x:v>No</x:v>
      </x:c>
      <x:c r="H1124" s="117" t="str">
        <x:v>FieldServiceMobile</x:v>
      </x:c>
      <x:c r="I1124" s="118"/>
      <x:c r="J1124" s="117" t="str">
        <x:v>unmanaged</x:v>
      </x:c>
      <x:c r="K1124" s="123" t="b">
        <x:v>0</x:v>
      </x:c>
      <x:c r="L1124" s="117"/>
      <x:c r="M1124" s="118"/>
      <x:c r="N1124" s="120" t="n">
        <x:v>46057.04164351852</x:v>
      </x:c>
      <x:c r="O1124" s="117" t="str">
        <x:v>Delegate</x:v>
      </x:c>
      <x:c r="P1124" s="120" t="n">
        <x:v>46057.04174768519</x:v>
      </x:c>
      <x:c r="Q1124" s="117" t="str">
        <x:v>Delegate</x:v>
      </x:c>
      <x:c r="R1124" s="117" t="str">
        <x:v>FSL Action - Quick Quote</x:v>
      </x:c>
      <x:c r="S1124" s="119" t="str">
        <x:v>02/03/2026 (BW) - updating so that reported symptoms can be entered on the quick quote system</x:v>
      </x:c>
    </x:row>
    <x:row r="1125" ht="30" customHeight="1">
      <x:c r="A1125" s="117" t="str">
        <x:v>FSL_Action_Quick_Quote_2</x:v>
      </x:c>
      <x:c r="B1125" s="117" t="str">
        <x:v>300Ro00000mouhpIAA</x:v>
      </x:c>
      <x:c r="C1125" s="117" t="str">
        <x:v>301Ro00000xQtgPIAS</x:v>
      </x:c>
      <x:c r="D1125" s="118" t="n">
        <x:v>19</x:v>
      </x:c>
      <x:c r="E1125" s="117" t="str">
        <x:v>Obsolete</x:v>
      </x:c>
      <x:c r="F1125" s="117" t="str">
        <x:v>No</x:v>
      </x:c>
      <x:c r="G1125" s="117" t="str">
        <x:v>No</x:v>
      </x:c>
      <x:c r="H1125" s="117" t="str">
        <x:v>FieldServiceMobile</x:v>
      </x:c>
      <x:c r="I1125" s="118"/>
      <x:c r="J1125" s="117" t="str">
        <x:v>unmanaged</x:v>
      </x:c>
      <x:c r="K1125" s="123" t="b">
        <x:v>0</x:v>
      </x:c>
      <x:c r="L1125" s="117"/>
      <x:c r="M1125" s="118"/>
      <x:c r="N1125" s="120" t="n">
        <x:v>46057.1118287037</x:v>
      </x:c>
      <x:c r="O1125" s="117" t="str">
        <x:v>Delegate</x:v>
      </x:c>
      <x:c r="P1125" s="120" t="n">
        <x:v>46057.11195601852</x:v>
      </x:c>
      <x:c r="Q1125" s="117" t="str">
        <x:v>Delegate</x:v>
      </x:c>
      <x:c r="R1125" s="117" t="str">
        <x:v>FSL Action - Quick Quote</x:v>
      </x:c>
      <x:c r="S1125" s="119" t="str">
        <x:v>02/03/2026 (BW) - updating so that reported symptoms can be entered on the quick quote system</x:v>
      </x:c>
    </x:row>
    <x:row r="1126" ht="30" customHeight="1">
      <x:c r="A1126" s="117" t="str">
        <x:v>FSL_Action_Quick_Quote_2</x:v>
      </x:c>
      <x:c r="B1126" s="117" t="str">
        <x:v>300Ro00000mouhpIAA</x:v>
      </x:c>
      <x:c r="C1126" s="117" t="str">
        <x:v>301Ro00000xa6BOIAY</x:v>
      </x:c>
      <x:c r="D1126" s="118" t="n">
        <x:v>20</x:v>
      </x:c>
      <x:c r="E1126" s="117" t="str">
        <x:v>Obsolete</x:v>
      </x:c>
      <x:c r="F1126" s="117" t="str">
        <x:v>No</x:v>
      </x:c>
      <x:c r="G1126" s="117" t="str">
        <x:v>No</x:v>
      </x:c>
      <x:c r="H1126" s="117" t="str">
        <x:v>FieldServiceMobile</x:v>
      </x:c>
      <x:c r="I1126" s="118"/>
      <x:c r="J1126" s="117" t="str">
        <x:v>unmanaged</x:v>
      </x:c>
      <x:c r="K1126" s="123" t="b">
        <x:v>0</x:v>
      </x:c>
      <x:c r="L1126" s="117"/>
      <x:c r="M1126" s="118"/>
      <x:c r="N1126" s="120" t="n">
        <x:v>46058.62831018519</x:v>
      </x:c>
      <x:c r="O1126" s="117" t="str">
        <x:v>Delegate</x:v>
      </x:c>
      <x:c r="P1126" s="120" t="n">
        <x:v>46058.62840277778</x:v>
      </x:c>
      <x:c r="Q1126" s="117" t="str">
        <x:v>Delegate</x:v>
      </x:c>
      <x:c r="R1126" s="117" t="str">
        <x:v>FSL Action - Quick Quote</x:v>
      </x:c>
      <x:c r="S1126" s="119" t="str">
        <x:v>02/05/2026 (BW) - Updating the subject name of the work order that gets created</x:v>
      </x:c>
    </x:row>
    <x:row r="1127" ht="30" customHeight="1">
      <x:c r="A1127" s="117" t="str">
        <x:v>FSL_Action_Quick_Quote_2</x:v>
      </x:c>
      <x:c r="B1127" s="117" t="str">
        <x:v>300Ro00000mouhpIAA</x:v>
      </x:c>
      <x:c r="C1127" s="117" t="str">
        <x:v>301Ro00000xaSn0IAE</x:v>
      </x:c>
      <x:c r="D1127" s="118" t="n">
        <x:v>21</x:v>
      </x:c>
      <x:c r="E1127" s="117" t="str">
        <x:v>Obsolete</x:v>
      </x:c>
      <x:c r="F1127" s="117" t="str">
        <x:v>No</x:v>
      </x:c>
      <x:c r="G1127" s="117" t="str">
        <x:v>No</x:v>
      </x:c>
      <x:c r="H1127" s="117" t="str">
        <x:v>FieldServiceMobile</x:v>
      </x:c>
      <x:c r="I1127" s="118"/>
      <x:c r="J1127" s="117" t="str">
        <x:v>unmanaged</x:v>
      </x:c>
      <x:c r="K1127" s="123" t="b">
        <x:v>0</x:v>
      </x:c>
      <x:c r="L1127" s="117"/>
      <x:c r="M1127" s="118"/>
      <x:c r="N1127" s="120" t="n">
        <x:v>46058.65399305556</x:v>
      </x:c>
      <x:c r="O1127" s="117" t="str">
        <x:v>Delegate</x:v>
      </x:c>
      <x:c r="P1127" s="120" t="n">
        <x:v>46058.6544212963</x:v>
      </x:c>
      <x:c r="Q1127" s="117" t="str">
        <x:v>Delegate</x:v>
      </x:c>
      <x:c r="R1127" s="117" t="str">
        <x:v>FSL Action - Quick Quote</x:v>
      </x:c>
      <x:c r="S1127" s="119" t="str">
        <x:v>02/05/2026 (BW) - Updating so that an error occurs if they don't set a serial number when selecting Contract or Warranty billing types</x:v>
      </x:c>
    </x:row>
    <x:row r="1128" ht="30" customHeight="1">
      <x:c r="A1128" s="117" t="str">
        <x:v>FSL_Action_Quick_Quote_2</x:v>
      </x:c>
      <x:c r="B1128" s="117" t="str">
        <x:v>300Ro00000mouhpIAA</x:v>
      </x:c>
      <x:c r="C1128" s="117" t="str">
        <x:v>301Ro00000xacSzIAI</x:v>
      </x:c>
      <x:c r="D1128" s="118" t="n">
        <x:v>22</x:v>
      </x:c>
      <x:c r="E1128" s="117" t="str">
        <x:v>Obsolete</x:v>
      </x:c>
      <x:c r="F1128" s="117" t="str">
        <x:v>No</x:v>
      </x:c>
      <x:c r="G1128" s="117" t="str">
        <x:v>No</x:v>
      </x:c>
      <x:c r="H1128" s="117" t="str">
        <x:v>FieldServiceMobile</x:v>
      </x:c>
      <x:c r="I1128" s="118"/>
      <x:c r="J1128" s="117" t="str">
        <x:v>unmanaged</x:v>
      </x:c>
      <x:c r="K1128" s="123" t="b">
        <x:v>0</x:v>
      </x:c>
      <x:c r="L1128" s="117"/>
      <x:c r="M1128" s="118"/>
      <x:c r="N1128" s="120" t="n">
        <x:v>46058.65589120371</x:v>
      </x:c>
      <x:c r="O1128" s="117" t="str">
        <x:v>Delegate</x:v>
      </x:c>
      <x:c r="P1128" s="120" t="n">
        <x:v>46058.65613425926</x:v>
      </x:c>
      <x:c r="Q1128" s="117" t="str">
        <x:v>Delegate</x:v>
      </x:c>
      <x:c r="R1128" s="117" t="str">
        <x:v>FSL Action - Quick Quote</x:v>
      </x:c>
      <x:c r="S1128" s="119" t="str">
        <x:v>02/05/2026 (BW) - Working to get the control to work on the phone rendering</x:v>
      </x:c>
    </x:row>
    <x:row r="1129" ht="30" customHeight="1">
      <x:c r="A1129" s="117" t="str">
        <x:v>FSL_Action_Quick_Quote_2</x:v>
      </x:c>
      <x:c r="B1129" s="117" t="str">
        <x:v>300Ro00000mouhpIAA</x:v>
      </x:c>
      <x:c r="C1129" s="117" t="str">
        <x:v>301Ro00000xd5AkIAI</x:v>
      </x:c>
      <x:c r="D1129" s="118" t="n">
        <x:v>23</x:v>
      </x:c>
      <x:c r="E1129" s="117" t="str">
        <x:v>Obsolete</x:v>
      </x:c>
      <x:c r="F1129" s="117" t="str">
        <x:v>No</x:v>
      </x:c>
      <x:c r="G1129" s="117" t="str">
        <x:v>No</x:v>
      </x:c>
      <x:c r="H1129" s="117" t="str">
        <x:v>FieldServiceMobile</x:v>
      </x:c>
      <x:c r="I1129" s="118"/>
      <x:c r="J1129" s="117" t="str">
        <x:v>unmanaged</x:v>
      </x:c>
      <x:c r="K1129" s="123" t="b">
        <x:v>0</x:v>
      </x:c>
      <x:c r="L1129" s="117"/>
      <x:c r="M1129" s="118"/>
      <x:c r="N1129" s="120" t="n">
        <x:v>46058.92711805556</x:v>
      </x:c>
      <x:c r="O1129" s="117" t="str">
        <x:v>Delegate</x:v>
      </x:c>
      <x:c r="P1129" s="120" t="n">
        <x:v>46058.92721064815</x:v>
      </x:c>
      <x:c r="Q1129" s="117" t="str">
        <x:v>Delegate</x:v>
      </x:c>
      <x:c r="R1129" s="117" t="str">
        <x:v>FSL Action - Quick Quote</x:v>
      </x:c>
      <x:c r="S1129" s="119" t="str">
        <x:v>02/05/2026 (BW) - Working to get the control to work on the phone rendering</x:v>
      </x:c>
    </x:row>
    <x:row r="1130" ht="30" customHeight="1">
      <x:c r="A1130" s="117" t="str">
        <x:v>FSL_Action_Quick_Quote_2</x:v>
      </x:c>
      <x:c r="B1130" s="117" t="str">
        <x:v>300Ro00000mouhpIAA</x:v>
      </x:c>
      <x:c r="C1130" s="117" t="str">
        <x:v>301Ro00000yyF85IAE</x:v>
      </x:c>
      <x:c r="D1130" s="118" t="n">
        <x:v>24</x:v>
      </x:c>
      <x:c r="E1130" s="117" t="str">
        <x:v>Obsolete</x:v>
      </x:c>
      <x:c r="F1130" s="117" t="str">
        <x:v>No</x:v>
      </x:c>
      <x:c r="G1130" s="117" t="str">
        <x:v>No</x:v>
      </x:c>
      <x:c r="H1130" s="117" t="str">
        <x:v>FieldServiceMobile</x:v>
      </x:c>
      <x:c r="I1130" s="118"/>
      <x:c r="J1130" s="117" t="str">
        <x:v>unmanaged</x:v>
      </x:c>
      <x:c r="K1130" s="123" t="b">
        <x:v>0</x:v>
      </x:c>
      <x:c r="L1130" s="117"/>
      <x:c r="M1130" s="118"/>
      <x:c r="N1130" s="120" t="n">
        <x:v>46076.06123842593</x:v>
      </x:c>
      <x:c r="O1130" s="117" t="str">
        <x:v>Delegate</x:v>
      </x:c>
      <x:c r="P1130" s="120" t="n">
        <x:v>46076.063252314816</x:v>
      </x:c>
      <x:c r="Q1130" s="117" t="str">
        <x:v>Delegate</x:v>
      </x:c>
      <x:c r="R1130" s="117" t="str">
        <x:v>FSL Action - Quick Quote</x:v>
      </x:c>
      <x:c r="S1130" s="119" t="str">
        <x:v>02/22/2026 (BW) - Updated this flow so if someone chooses contact, they are required to put in a serial number</x:v>
      </x:c>
    </x:row>
    <x:row r="1131" ht="30" customHeight="1">
      <x:c r="A1131" s="117" t="str">
        <x:v>FSL_Action_Quick_Quote_2</x:v>
      </x:c>
      <x:c r="B1131" s="117" t="str">
        <x:v>300Ro00000mouhpIAA</x:v>
      </x:c>
      <x:c r="C1131" s="117" t="str">
        <x:v>301Ro00000yy1mCIAQ</x:v>
      </x:c>
      <x:c r="D1131" s="118" t="n">
        <x:v>25</x:v>
      </x:c>
      <x:c r="E1131" s="117" t="str">
        <x:v>Obsolete</x:v>
      </x:c>
      <x:c r="F1131" s="117" t="str">
        <x:v>No</x:v>
      </x:c>
      <x:c r="G1131" s="117" t="str">
        <x:v>No</x:v>
      </x:c>
      <x:c r="H1131" s="117" t="str">
        <x:v>FieldServiceMobile</x:v>
      </x:c>
      <x:c r="I1131" s="118"/>
      <x:c r="J1131" s="117" t="str">
        <x:v>unmanaged</x:v>
      </x:c>
      <x:c r="K1131" s="123" t="b">
        <x:v>0</x:v>
      </x:c>
      <x:c r="L1131" s="117"/>
      <x:c r="M1131" s="118"/>
      <x:c r="N1131" s="120" t="n">
        <x:v>46076.06864583334</x:v>
      </x:c>
      <x:c r="O1131" s="117" t="str">
        <x:v>Delegate</x:v>
      </x:c>
      <x:c r="P1131" s="120" t="n">
        <x:v>46076.06884259259</x:v>
      </x:c>
      <x:c r="Q1131" s="117" t="str">
        <x:v>Delegate</x:v>
      </x:c>
      <x:c r="R1131" s="117" t="str">
        <x:v>FSL Action - Quick Quote</x:v>
      </x:c>
      <x:c r="S1131" s="119" t="str">
        <x:v>02/22/2026 (BW) - Updated this flow so if someone chooses contact, they are required to put in a serial number</x:v>
      </x:c>
    </x:row>
    <x:row r="1132" ht="30" customHeight="1">
      <x:c r="A1132" s="117" t="str">
        <x:v>FSL_Action_Quick_Quote_2</x:v>
      </x:c>
      <x:c r="B1132" s="117" t="str">
        <x:v>300Ro00000mouhpIAA</x:v>
      </x:c>
      <x:c r="C1132" s="117" t="str">
        <x:v>301Ro00000z9HElIAM</x:v>
      </x:c>
      <x:c r="D1132" s="118" t="n">
        <x:v>26</x:v>
      </x:c>
      <x:c r="E1132" s="117" t="str">
        <x:v>Obsolete</x:v>
      </x:c>
      <x:c r="F1132" s="117" t="str">
        <x:v>No</x:v>
      </x:c>
      <x:c r="G1132" s="117" t="str">
        <x:v>No</x:v>
      </x:c>
      <x:c r="H1132" s="117" t="str">
        <x:v>FieldServiceMobile</x:v>
      </x:c>
      <x:c r="I1132" s="118"/>
      <x:c r="J1132" s="117" t="str">
        <x:v>unmanaged</x:v>
      </x:c>
      <x:c r="K1132" s="123" t="b">
        <x:v>0</x:v>
      </x:c>
      <x:c r="L1132" s="117"/>
      <x:c r="M1132" s="118"/>
      <x:c r="N1132" s="120" t="n">
        <x:v>46077.999814814815</x:v>
      </x:c>
      <x:c r="O1132" s="117" t="str">
        <x:v>Delegate</x:v>
      </x:c>
      <x:c r="P1132" s="120" t="n">
        <x:v>46078.00030092592</x:v>
      </x:c>
      <x:c r="Q1132" s="117" t="str">
        <x:v>Delegate</x:v>
      </x:c>
      <x:c r="R1132" s="117" t="str">
        <x:v>FSL Action - Quick Quote</x:v>
      </x:c>
      <x:c r="S1132" s="119" t="str">
        <x:v>02/24/2026 (BW) - Updating the subject to Service Call</x:v>
      </x:c>
    </x:row>
    <x:row r="1133" ht="30" customHeight="1">
      <x:c r="A1133" s="117" t="str">
        <x:v>FSL_Action_Quick_Quote_2</x:v>
      </x:c>
      <x:c r="B1133" s="117" t="str">
        <x:v>300Ro00000mouhpIAA</x:v>
      </x:c>
      <x:c r="C1133" s="117" t="str">
        <x:v>301Ro000010ltwcIAA</x:v>
      </x:c>
      <x:c r="D1133" s="118" t="n">
        <x:v>27</x:v>
      </x:c>
      <x:c r="E1133" s="117" t="str">
        <x:v>Obsolete</x:v>
      </x:c>
      <x:c r="F1133" s="117" t="str">
        <x:v>No</x:v>
      </x:c>
      <x:c r="G1133" s="117" t="str">
        <x:v>No</x:v>
      </x:c>
      <x:c r="H1133" s="117" t="str">
        <x:v>FieldServiceMobile</x:v>
      </x:c>
      <x:c r="I1133" s="118"/>
      <x:c r="J1133" s="117" t="str">
        <x:v>unmanaged</x:v>
      </x:c>
      <x:c r="K1133" s="123" t="b">
        <x:v>0</x:v>
      </x:c>
      <x:c r="L1133" s="117"/>
      <x:c r="M1133" s="118"/>
      <x:c r="N1133" s="120" t="n">
        <x:v>46098.5509375</x:v>
      </x:c>
      <x:c r="O1133" s="117" t="str">
        <x:v>Delegate</x:v>
      </x:c>
      <x:c r="P1133" s="120" t="n">
        <x:v>46098.55106481481</x:v>
      </x:c>
      <x:c r="Q1133" s="117" t="str">
        <x:v>Delegate</x:v>
      </x:c>
      <x:c r="R1133" s="117" t="str">
        <x:v>FSL Action - Quick Quote</x:v>
      </x:c>
      <x:c r="S1133" s="119" t="str">
        <x:v>03/17/2026 (BW) - Updating so the status here defaults to "In Progress"</x:v>
      </x:c>
    </x:row>
    <x:row r="1134" ht="30" customHeight="1">
      <x:c r="A1134" s="117" t="str">
        <x:v>FSL_Action_Quick_Quote_2</x:v>
      </x:c>
      <x:c r="B1134" s="117" t="str">
        <x:v>300Ro00000mouhpIAA</x:v>
      </x:c>
      <x:c r="C1134" s="117" t="str">
        <x:v>301Ro000011SpcrIAC</x:v>
      </x:c>
      <x:c r="D1134" s="118" t="n">
        <x:v>28</x:v>
      </x:c>
      <x:c r="E1134" s="117" t="str">
        <x:v>Obsolete</x:v>
      </x:c>
      <x:c r="F1134" s="117" t="str">
        <x:v>No</x:v>
      </x:c>
      <x:c r="G1134" s="117" t="str">
        <x:v>No</x:v>
      </x:c>
      <x:c r="H1134" s="117" t="str">
        <x:v>FieldServiceMobile</x:v>
      </x:c>
      <x:c r="I1134" s="118"/>
      <x:c r="J1134" s="117" t="str">
        <x:v>unmanaged</x:v>
      </x:c>
      <x:c r="K1134" s="123" t="b">
        <x:v>0</x:v>
      </x:c>
      <x:c r="L1134" s="117"/>
      <x:c r="M1134" s="118"/>
      <x:c r="N1134" s="120" t="n">
        <x:v>46106.62908564815</x:v>
      </x:c>
      <x:c r="O1134" s="117" t="str">
        <x:v>Delegate</x:v>
      </x:c>
      <x:c r="P1134" s="120" t="n">
        <x:v>46106.62918981481</x:v>
      </x:c>
      <x:c r="Q1134" s="117" t="str">
        <x:v>Delegate</x:v>
      </x:c>
      <x:c r="R1134" s="117" t="str">
        <x:v>FSL Action - Quick Quote</x:v>
      </x:c>
      <x:c r="S1134" s="119" t="str">
        <x:v>03/25/2026 (BW) - Updating fields initially set to also set the billing account name</x:v>
      </x:c>
    </x:row>
    <x:row r="1135" ht="30" customHeight="1">
      <x:c r="A1135" s="117" t="str">
        <x:v>FSL_Action_Quick_Quote_2</x:v>
      </x:c>
      <x:c r="B1135" s="117" t="str">
        <x:v>300Ro00000mouhpIAA</x:v>
      </x:c>
      <x:c r="C1135" s="117" t="str">
        <x:v>301Ro000011UM22IAG</x:v>
      </x:c>
      <x:c r="D1135" s="118" t="n">
        <x:v>29</x:v>
      </x:c>
      <x:c r="E1135" s="117" t="str">
        <x:v>Obsolete</x:v>
      </x:c>
      <x:c r="F1135" s="117" t="str">
        <x:v>No</x:v>
      </x:c>
      <x:c r="G1135" s="117" t="str">
        <x:v>No</x:v>
      </x:c>
      <x:c r="H1135" s="117" t="str">
        <x:v>FieldServiceMobile</x:v>
      </x:c>
      <x:c r="I1135" s="118"/>
      <x:c r="J1135" s="117" t="str">
        <x:v>unmanaged</x:v>
      </x:c>
      <x:c r="K1135" s="123" t="b">
        <x:v>0</x:v>
      </x:c>
      <x:c r="L1135" s="117"/>
      <x:c r="M1135" s="118"/>
      <x:c r="N1135" s="120" t="n">
        <x:v>46106.72273148148</x:v>
      </x:c>
      <x:c r="O1135" s="117" t="str">
        <x:v>Delegate</x:v>
      </x:c>
      <x:c r="P1135" s="120" t="n">
        <x:v>46106.72288194444</x:v>
      </x:c>
      <x:c r="Q1135" s="117" t="str">
        <x:v>Delegate</x:v>
      </x:c>
      <x:c r="R1135" s="117" t="str">
        <x:v>FSL Action - Quick Quote</x:v>
      </x:c>
      <x:c r="S1135" s="119" t="str">
        <x:v>03/25/2026 (BW) - Updating so this flow can be run off various objects as well as the initial one</x:v>
      </x:c>
    </x:row>
    <x:row r="1136" ht="30" customHeight="1">
      <x:c r="A1136" s="117" t="str">
        <x:v>FSL_Action_Quick_Quote_2</x:v>
      </x:c>
      <x:c r="B1136" s="117" t="str">
        <x:v>300Ro00000mouhpIAA</x:v>
      </x:c>
      <x:c r="C1136" s="117" t="str">
        <x:v>301Ro000011UKOQIA4</x:v>
      </x:c>
      <x:c r="D1136" s="118" t="n">
        <x:v>30</x:v>
      </x:c>
      <x:c r="E1136" s="117" t="str">
        <x:v>Obsolete</x:v>
      </x:c>
      <x:c r="F1136" s="117" t="str">
        <x:v>No</x:v>
      </x:c>
      <x:c r="G1136" s="117" t="str">
        <x:v>No</x:v>
      </x:c>
      <x:c r="H1136" s="117" t="str">
        <x:v>FieldServiceMobile</x:v>
      </x:c>
      <x:c r="I1136" s="118"/>
      <x:c r="J1136" s="117" t="str">
        <x:v>unmanaged</x:v>
      </x:c>
      <x:c r="K1136" s="123" t="b">
        <x:v>0</x:v>
      </x:c>
      <x:c r="L1136" s="117"/>
      <x:c r="M1136" s="118"/>
      <x:c r="N1136" s="120" t="n">
        <x:v>46106.73125</x:v>
      </x:c>
      <x:c r="O1136" s="117" t="str">
        <x:v>Delegate</x:v>
      </x:c>
      <x:c r="P1136" s="120" t="n">
        <x:v>46106.76810185185</x:v>
      </x:c>
      <x:c r="Q1136" s="117" t="str">
        <x:v>Delegate</x:v>
      </x:c>
      <x:c r="R1136" s="117" t="str">
        <x:v>FSL Action - Quick Quote</x:v>
      </x:c>
      <x:c r="S1136" s="119" t="str">
        <x:v>03/25/2026 (BW) - Updating so this flow can be run off various objects as well as the initial one</x:v>
      </x:c>
    </x:row>
    <x:row r="1137" ht="30" customHeight="1">
      <x:c r="A1137" s="117" t="str">
        <x:v>FSL_Action_Quick_Quote_2</x:v>
      </x:c>
      <x:c r="B1137" s="117" t="str">
        <x:v>300Ro00000mouhpIAA</x:v>
      </x:c>
      <x:c r="C1137" s="117" t="str">
        <x:v>301Ro000011UJQlIAO</x:v>
      </x:c>
      <x:c r="D1137" s="118" t="n">
        <x:v>31</x:v>
      </x:c>
      <x:c r="E1137" s="117" t="str">
        <x:v>Obsolete</x:v>
      </x:c>
      <x:c r="F1137" s="117" t="str">
        <x:v>No</x:v>
      </x:c>
      <x:c r="G1137" s="117" t="str">
        <x:v>No</x:v>
      </x:c>
      <x:c r="H1137" s="117" t="str">
        <x:v>FieldServiceMobile</x:v>
      </x:c>
      <x:c r="I1137" s="118"/>
      <x:c r="J1137" s="117" t="str">
        <x:v>unmanaged</x:v>
      </x:c>
      <x:c r="K1137" s="123" t="b">
        <x:v>0</x:v>
      </x:c>
      <x:c r="L1137" s="117"/>
      <x:c r="M1137" s="118"/>
      <x:c r="N1137" s="120" t="n">
        <x:v>46106.77140046296</x:v>
      </x:c>
      <x:c r="O1137" s="117" t="str">
        <x:v>Delegate</x:v>
      </x:c>
      <x:c r="P1137" s="120" t="n">
        <x:v>46106.771516203706</x:v>
      </x:c>
      <x:c r="Q1137" s="117" t="str">
        <x:v>Delegate</x:v>
      </x:c>
      <x:c r="R1137" s="117" t="str">
        <x:v>FSL Action - Quick Quote</x:v>
      </x:c>
      <x:c r="S1137" s="119" t="str">
        <x:v>03/25/2026 (BW) - Updating so this flow can be run off various objects as well as the initial one</x:v>
      </x:c>
    </x:row>
    <x:row r="1138" ht="30" customHeight="1">
      <x:c r="A1138" s="117" t="str">
        <x:v>FSL_Action_Quick_Quote_2</x:v>
      </x:c>
      <x:c r="B1138" s="117" t="str">
        <x:v>300Ro00000mouhpIAA</x:v>
      </x:c>
      <x:c r="C1138" s="117" t="str">
        <x:v>301Ro000011V0vWIAS</x:v>
      </x:c>
      <x:c r="D1138" s="118" t="n">
        <x:v>32</x:v>
      </x:c>
      <x:c r="E1138" s="117" t="str">
        <x:v>Obsolete</x:v>
      </x:c>
      <x:c r="F1138" s="117" t="str">
        <x:v>No</x:v>
      </x:c>
      <x:c r="G1138" s="117" t="str">
        <x:v>No</x:v>
      </x:c>
      <x:c r="H1138" s="117" t="str">
        <x:v>FieldServiceMobile</x:v>
      </x:c>
      <x:c r="I1138" s="118"/>
      <x:c r="J1138" s="117" t="str">
        <x:v>unmanaged</x:v>
      </x:c>
      <x:c r="K1138" s="123" t="b">
        <x:v>0</x:v>
      </x:c>
      <x:c r="L1138" s="117"/>
      <x:c r="M1138" s="118"/>
      <x:c r="N1138" s="120" t="n">
        <x:v>46106.77290509259</x:v>
      </x:c>
      <x:c r="O1138" s="117" t="str">
        <x:v>Delegate</x:v>
      </x:c>
      <x:c r="P1138" s="120" t="n">
        <x:v>46106.772997685184</x:v>
      </x:c>
      <x:c r="Q1138" s="117" t="str">
        <x:v>Delegate</x:v>
      </x:c>
      <x:c r="R1138" s="117" t="str">
        <x:v>FSL Action - Quick Quote</x:v>
      </x:c>
      <x:c r="S1138" s="119" t="str">
        <x:v>03/25/2026 (BW) - Updating so this flow can be run off various objects as well as the initial one</x:v>
      </x:c>
    </x:row>
    <x:row r="1139" ht="30" customHeight="1">
      <x:c r="A1139" s="117" t="str">
        <x:v>FSL_Action_Quick_Quote_2</x:v>
      </x:c>
      <x:c r="B1139" s="117" t="str">
        <x:v>300Ro00000mouhpIAA</x:v>
      </x:c>
      <x:c r="C1139" s="117" t="str">
        <x:v>301Ro000014C0PdIAK</x:v>
      </x:c>
      <x:c r="D1139" s="118" t="n">
        <x:v>33</x:v>
      </x:c>
      <x:c r="E1139" s="117" t="str">
        <x:v>Obsolete</x:v>
      </x:c>
      <x:c r="F1139" s="117" t="str">
        <x:v>No</x:v>
      </x:c>
      <x:c r="G1139" s="117" t="str">
        <x:v>No</x:v>
      </x:c>
      <x:c r="H1139" s="117" t="str">
        <x:v>FieldServiceMobile</x:v>
      </x:c>
      <x:c r="I1139" s="118"/>
      <x:c r="J1139" s="117" t="str">
        <x:v>unmanaged</x:v>
      </x:c>
      <x:c r="K1139" s="123" t="b">
        <x:v>0</x:v>
      </x:c>
      <x:c r="L1139" s="117"/>
      <x:c r="M1139" s="118"/>
      <x:c r="N1139" s="120" t="n">
        <x:v>46139.68140046296</x:v>
      </x:c>
      <x:c r="O1139" s="117" t="str">
        <x:v>Delegate</x:v>
      </x:c>
      <x:c r="P1139" s="120" t="n">
        <x:v>46139.68305555556</x:v>
      </x:c>
      <x:c r="Q1139" s="117" t="str">
        <x:v>Delegate</x:v>
      </x:c>
      <x:c r="R1139" s="117" t="str">
        <x:v>FSL Action - Quick Quote</x:v>
      </x:c>
      <x:c r="S1139" s="119" t="str">
        <x:v>04/27/2026 (BW) - updating the quick quote creation process so that backing out and coming back in does not double create work orders</x:v>
      </x:c>
    </x:row>
    <x:row r="1140" ht="30" customHeight="1">
      <x:c r="A1140" s="117" t="str">
        <x:v>FSL_Action_Quick_Quote_2</x:v>
      </x:c>
      <x:c r="B1140" s="117" t="str">
        <x:v>300Ro00000mouhpIAA</x:v>
      </x:c>
      <x:c r="C1140" s="117" t="str">
        <x:v>301Ro000014PTonIAG</x:v>
      </x:c>
      <x:c r="D1140" s="118" t="n">
        <x:v>34</x:v>
      </x:c>
      <x:c r="E1140" s="117" t="str">
        <x:v>Obsolete</x:v>
      </x:c>
      <x:c r="F1140" s="117" t="str">
        <x:v>No</x:v>
      </x:c>
      <x:c r="G1140" s="117" t="str">
        <x:v>No</x:v>
      </x:c>
      <x:c r="H1140" s="117" t="str">
        <x:v>FieldServiceMobile</x:v>
      </x:c>
      <x:c r="I1140" s="118"/>
      <x:c r="J1140" s="117" t="str">
        <x:v>unmanaged</x:v>
      </x:c>
      <x:c r="K1140" s="123" t="b">
        <x:v>0</x:v>
      </x:c>
      <x:c r="L1140" s="117"/>
      <x:c r="M1140" s="118"/>
      <x:c r="N1140" s="120" t="n">
        <x:v>46141.74815972222</x:v>
      </x:c>
      <x:c r="O1140" s="117" t="str">
        <x:v>Delegate</x:v>
      </x:c>
      <x:c r="P1140" s="120" t="n">
        <x:v>46141.74841435185</x:v>
      </x:c>
      <x:c r="Q1140" s="117" t="str">
        <x:v>Delegate</x:v>
      </x:c>
      <x:c r="R1140" s="117" t="str">
        <x:v>FSL Action - Quick Quote</x:v>
      </x:c>
      <x:c r="S1140" s="119" t="str">
        <x:v>04/27/2026 (BW) - updating the quick quote creation process so that backing out and coming back in does not double create work orders</x:v>
      </x:c>
    </x:row>
    <x:row r="1141" ht="30" customHeight="1">
      <x:c r="A1141" s="117" t="str">
        <x:v>FSL_Action_Quick_Quote_2</x:v>
      </x:c>
      <x:c r="B1141" s="117" t="str">
        <x:v>300Ro00000mouhpIAA</x:v>
      </x:c>
      <x:c r="C1141" s="117" t="str">
        <x:v>301Ro000016FGJqIAO</x:v>
      </x:c>
      <x:c r="D1141" s="118" t="n">
        <x:v>35</x:v>
      </x:c>
      <x:c r="E1141" s="117" t="str">
        <x:v>Obsolete</x:v>
      </x:c>
      <x:c r="F1141" s="117" t="str">
        <x:v>No</x:v>
      </x:c>
      <x:c r="G1141" s="117" t="str">
        <x:v>No</x:v>
      </x:c>
      <x:c r="H1141" s="117" t="str">
        <x:v>FieldServiceMobile</x:v>
      </x:c>
      <x:c r="I1141" s="118"/>
      <x:c r="J1141" s="117" t="str">
        <x:v>unmanaged</x:v>
      </x:c>
      <x:c r="K1141" s="123" t="b">
        <x:v>0</x:v>
      </x:c>
      <x:c r="L1141" s="117"/>
      <x:c r="M1141" s="118"/>
      <x:c r="N1141" s="120" t="n">
        <x:v>46162.856875</x:v>
      </x:c>
      <x:c r="O1141" s="117" t="str">
        <x:v>Delegate</x:v>
      </x:c>
      <x:c r="P1141" s="120" t="n">
        <x:v>46162.85696759259</x:v>
      </x:c>
      <x:c r="Q1141" s="117" t="str">
        <x:v>Delegate</x:v>
      </x:c>
      <x:c r="R1141" s="117" t="str">
        <x:v>FSL Action - Quick Quote</x:v>
      </x:c>
      <x:c r="S1141" s="119" t="str">
        <x:v>04/27/2026 (BW) – updating the quick quote creation process so that backing out and coming back in does not double create work orders
05/20/2026 (BW) – add "Enter Address Manually" option to site address selection; routes to a manual entry screen and assigns Street, City, State, Country, and Zip to the work order</x:v>
      </x:c>
    </x:row>
    <x:row r="1142" ht="30" customHeight="1">
      <x:c r="A1142" s="117" t="str">
        <x:v>FSL_Action_Quick_Quote_2</x:v>
      </x:c>
      <x:c r="B1142" s="117" t="str">
        <x:v>300Ro00000mouhpIAA</x:v>
      </x:c>
      <x:c r="C1142" s="117" t="str">
        <x:v>301Ro000016IyRaIAK</x:v>
      </x:c>
      <x:c r="D1142" s="118" t="n">
        <x:v>36</x:v>
      </x:c>
      <x:c r="E1142" s="117" t="str">
        <x:v>Obsolete</x:v>
      </x:c>
      <x:c r="F1142" s="117" t="str">
        <x:v>No</x:v>
      </x:c>
      <x:c r="G1142" s="117" t="str">
        <x:v>No</x:v>
      </x:c>
      <x:c r="H1142" s="117" t="str">
        <x:v>FieldServiceMobile</x:v>
      </x:c>
      <x:c r="I1142" s="118"/>
      <x:c r="J1142" s="117" t="str">
        <x:v>unmanaged</x:v>
      </x:c>
      <x:c r="K1142" s="123" t="b">
        <x:v>0</x:v>
      </x:c>
      <x:c r="L1142" s="117"/>
      <x:c r="M1142" s="118"/>
      <x:c r="N1142" s="120" t="n">
        <x:v>46163.5297337963</x:v>
      </x:c>
      <x:c r="O1142" s="117" t="str">
        <x:v>Delegate</x:v>
      </x:c>
      <x:c r="P1142" s="120" t="n">
        <x:v>46163.53753472222</x:v>
      </x:c>
      <x:c r="Q1142" s="117" t="str">
        <x:v>Delegate</x:v>
      </x:c>
      <x:c r="R1142" s="117" t="str">
        <x:v>FSL Action - Quick Quote</x:v>
      </x:c>
      <x:c r="S1142" s="119" t="str">
        <x:v>05/21/2026 (BW) - Updates to the ServiceTerritoryId gets set on creation of the work order</x:v>
      </x:c>
    </x:row>
    <x:row r="1143" ht="30" customHeight="1">
      <x:c r="A1143" s="117" t="str">
        <x:v>FSL_Action_Quick_Quote_2</x:v>
      </x:c>
      <x:c r="B1143" s="117" t="str">
        <x:v>300Ro00000mouhpIAA</x:v>
      </x:c>
      <x:c r="C1143" s="117" t="str">
        <x:v>301Ro000016pcktIAA</x:v>
      </x:c>
      <x:c r="D1143" s="118" t="n">
        <x:v>37</x:v>
      </x:c>
      <x:c r="E1143" s="117" t="str">
        <x:v>Obsolete</x:v>
      </x:c>
      <x:c r="F1143" s="117" t="str">
        <x:v>No</x:v>
      </x:c>
      <x:c r="G1143" s="117" t="str">
        <x:v>No</x:v>
      </x:c>
      <x:c r="H1143" s="117" t="str">
        <x:v>FieldServiceMobile</x:v>
      </x:c>
      <x:c r="I1143" s="118"/>
      <x:c r="J1143" s="117" t="str">
        <x:v>unmanaged</x:v>
      </x:c>
      <x:c r="K1143" s="123" t="b">
        <x:v>0</x:v>
      </x:c>
      <x:c r="L1143" s="117"/>
      <x:c r="M1143" s="118"/>
      <x:c r="N1143" s="120" t="n">
        <x:v>46169.669016203705</x:v>
      </x:c>
      <x:c r="O1143" s="117" t="str">
        <x:v>Delegate</x:v>
      </x:c>
      <x:c r="P1143" s="120" t="n">
        <x:v>46169.66913194444</x:v>
      </x:c>
      <x:c r="Q1143" s="117" t="str">
        <x:v>Delegate</x:v>
      </x:c>
      <x:c r="R1143" s="117" t="str">
        <x:v>FSL Action - Quick Quote</x:v>
      </x:c>
      <x:c r="S1143" s="119" t="str">
        <x:v>05/27/2026 (BW) - Updated so that the state is set correctly if entered manually</x:v>
      </x:c>
    </x:row>
    <x:row r="1144" ht="30" customHeight="1">
      <x:c r="A1144" s="117" t="str">
        <x:v>FSL_Action_Quick_Quote_2</x:v>
      </x:c>
      <x:c r="B1144" s="117" t="str">
        <x:v>300Ro00000mouhpIAA</x:v>
      </x:c>
      <x:c r="C1144" s="117" t="str">
        <x:v>301Ro000016pVsEIAU</x:v>
      </x:c>
      <x:c r="D1144" s="118" t="n">
        <x:v>38</x:v>
      </x:c>
      <x:c r="E1144" s="117" t="str">
        <x:v>Obsolete</x:v>
      </x:c>
      <x:c r="F1144" s="117" t="str">
        <x:v>No</x:v>
      </x:c>
      <x:c r="G1144" s="117" t="str">
        <x:v>No</x:v>
      </x:c>
      <x:c r="H1144" s="117" t="str">
        <x:v>FieldServiceMobile</x:v>
      </x:c>
      <x:c r="I1144" s="118"/>
      <x:c r="J1144" s="117" t="str">
        <x:v>unmanaged</x:v>
      </x:c>
      <x:c r="K1144" s="123" t="b">
        <x:v>0</x:v>
      </x:c>
      <x:c r="L1144" s="117"/>
      <x:c r="M1144" s="118"/>
      <x:c r="N1144" s="120" t="n">
        <x:v>46169.671111111114</x:v>
      </x:c>
      <x:c r="O1144" s="117" t="str">
        <x:v>Delegate</x:v>
      </x:c>
      <x:c r="P1144" s="120" t="n">
        <x:v>46169.67125</x:v>
      </x:c>
      <x:c r="Q1144" s="117" t="str">
        <x:v>Delegate</x:v>
      </x:c>
      <x:c r="R1144" s="117" t="str">
        <x:v>FSL Action - Quick Quote</x:v>
      </x:c>
      <x:c r="S1144" s="119" t="str">
        <x:v>05/27/2026 (BW) - Updated so that the state is set correctly if entered manually</x:v>
      </x:c>
    </x:row>
    <x:row r="1145" ht="30" customHeight="1">
      <x:c r="A1145" s="117" t="str">
        <x:v>FSL_Action_Quick_Quote_2</x:v>
      </x:c>
      <x:c r="B1145" s="117" t="str">
        <x:v>300Ro00000mouhpIAA</x:v>
      </x:c>
      <x:c r="C1145" s="117" t="str">
        <x:v>301Ro000016ps7GIAQ</x:v>
      </x:c>
      <x:c r="D1145" s="118" t="n">
        <x:v>39</x:v>
      </x:c>
      <x:c r="E1145" s="117" t="str">
        <x:v>Obsolete</x:v>
      </x:c>
      <x:c r="F1145" s="117" t="str">
        <x:v>No</x:v>
      </x:c>
      <x:c r="G1145" s="117" t="str">
        <x:v>No</x:v>
      </x:c>
      <x:c r="H1145" s="117" t="str">
        <x:v>FieldServiceMobile</x:v>
      </x:c>
      <x:c r="I1145" s="118"/>
      <x:c r="J1145" s="117" t="str">
        <x:v>unmanaged</x:v>
      </x:c>
      <x:c r="K1145" s="123" t="b">
        <x:v>0</x:v>
      </x:c>
      <x:c r="L1145" s="117"/>
      <x:c r="M1145" s="118"/>
      <x:c r="N1145" s="120" t="n">
        <x:v>46169.68094907407</x:v>
      </x:c>
      <x:c r="O1145" s="117" t="str">
        <x:v>Delegate</x:v>
      </x:c>
      <x:c r="P1145" s="120" t="n">
        <x:v>46169.68106481482</x:v>
      </x:c>
      <x:c r="Q1145" s="117" t="str">
        <x:v>Delegate</x:v>
      </x:c>
      <x:c r="R1145" s="117" t="str">
        <x:v>FSL Action - Quick Quote</x:v>
      </x:c>
      <x:c r="S1145" s="119" t="str">
        <x:v>05/27/2026 (BW) - Updated so that the state is set correctly if entered manually. Added a visual error if not 2 digits</x:v>
      </x:c>
    </x:row>
    <x:row r="1146" ht="30" customHeight="1">
      <x:c r="A1146" s="117" t="str">
        <x:v>FSL_Action_Quick_Quote_2</x:v>
      </x:c>
      <x:c r="B1146" s="117" t="str">
        <x:v>300Ro00000mouhpIAA</x:v>
      </x:c>
      <x:c r="C1146" s="117" t="str">
        <x:v>301Ro000016ppvmIAA</x:v>
      </x:c>
      <x:c r="D1146" s="118" t="n">
        <x:v>40</x:v>
      </x:c>
      <x:c r="E1146" s="117" t="str">
        <x:v>Obsolete</x:v>
      </x:c>
      <x:c r="F1146" s="117" t="str">
        <x:v>No</x:v>
      </x:c>
      <x:c r="G1146" s="117" t="str">
        <x:v>No</x:v>
      </x:c>
      <x:c r="H1146" s="117" t="str">
        <x:v>FieldServiceMobile</x:v>
      </x:c>
      <x:c r="I1146" s="118"/>
      <x:c r="J1146" s="117" t="str">
        <x:v>unmanaged</x:v>
      </x:c>
      <x:c r="K1146" s="123" t="b">
        <x:v>0</x:v>
      </x:c>
      <x:c r="L1146" s="117"/>
      <x:c r="M1146" s="118"/>
      <x:c r="N1146" s="120" t="n">
        <x:v>46169.68393518519</x:v>
      </x:c>
      <x:c r="O1146" s="117" t="str">
        <x:v>Delegate</x:v>
      </x:c>
      <x:c r="P1146" s="120" t="n">
        <x:v>46169.68405092593</x:v>
      </x:c>
      <x:c r="Q1146" s="117" t="str">
        <x:v>Delegate</x:v>
      </x:c>
      <x:c r="R1146" s="117" t="str">
        <x:v>FSL Action - Quick Quote</x:v>
      </x:c>
      <x:c r="S1146" s="119" t="str">
        <x:v>05/27/2026 (BW) - Updated so that the state is set correctly if entered manually. Added a visual error if not 2 digits</x:v>
      </x:c>
    </x:row>
    <x:row r="1147" ht="30" customHeight="1">
      <x:c r="A1147" s="117" t="str">
        <x:v>FSL_Action_Quick_Quote_2</x:v>
      </x:c>
      <x:c r="B1147" s="117" t="str">
        <x:v>300Ro00000mouhpIAA</x:v>
      </x:c>
      <x:c r="C1147" s="117" t="str">
        <x:v>301Ro000016q5dxIAA</x:v>
      </x:c>
      <x:c r="D1147" s="118" t="n">
        <x:v>41</x:v>
      </x:c>
      <x:c r="E1147" s="117" t="str">
        <x:v>Obsolete</x:v>
      </x:c>
      <x:c r="F1147" s="117" t="str">
        <x:v>No</x:v>
      </x:c>
      <x:c r="G1147" s="117" t="str">
        <x:v>No</x:v>
      </x:c>
      <x:c r="H1147" s="117" t="str">
        <x:v>FieldServiceMobile</x:v>
      </x:c>
      <x:c r="I1147" s="118"/>
      <x:c r="J1147" s="117" t="str">
        <x:v>unmanaged</x:v>
      </x:c>
      <x:c r="K1147" s="123" t="b">
        <x:v>0</x:v>
      </x:c>
      <x:c r="L1147" s="117"/>
      <x:c r="M1147" s="118"/>
      <x:c r="N1147" s="120" t="n">
        <x:v>46169.68487268518</x:v>
      </x:c>
      <x:c r="O1147" s="117" t="str">
        <x:v>Delegate</x:v>
      </x:c>
      <x:c r="P1147" s="120" t="n">
        <x:v>46169.68547453704</x:v>
      </x:c>
      <x:c r="Q1147" s="117" t="str">
        <x:v>Delegate</x:v>
      </x:c>
      <x:c r="R1147" s="117" t="str">
        <x:v>FSL Action - Quick Quote</x:v>
      </x:c>
      <x:c r="S1147" s="119" t="str">
        <x:v>05/27/2026 (BW) - Updated so that the state is set correctly if entered manually. Added a visual error if not 2 digits</x:v>
      </x:c>
    </x:row>
    <x:row r="1148" ht="30" customHeight="1">
      <x:c r="A1148" s="117" t="str">
        <x:v>FSL_Action_Quick_Quote_2</x:v>
      </x:c>
      <x:c r="B1148" s="117" t="str">
        <x:v>300Ro00000mouhpIAA</x:v>
      </x:c>
      <x:c r="C1148" s="117" t="str">
        <x:v>301Ro000016q8S9IAI</x:v>
      </x:c>
      <x:c r="D1148" s="118" t="n">
        <x:v>42</x:v>
      </x:c>
      <x:c r="E1148" s="117" t="str">
        <x:v>Obsolete</x:v>
      </x:c>
      <x:c r="F1148" s="117" t="str">
        <x:v>No</x:v>
      </x:c>
      <x:c r="G1148" s="117" t="str">
        <x:v>No</x:v>
      </x:c>
      <x:c r="H1148" s="117" t="str">
        <x:v>FieldServiceMobile</x:v>
      </x:c>
      <x:c r="I1148" s="118"/>
      <x:c r="J1148" s="117" t="str">
        <x:v>unmanaged</x:v>
      </x:c>
      <x:c r="K1148" s="123" t="b">
        <x:v>0</x:v>
      </x:c>
      <x:c r="L1148" s="117"/>
      <x:c r="M1148" s="118"/>
      <x:c r="N1148" s="120" t="n">
        <x:v>46169.68798611111</x:v>
      </x:c>
      <x:c r="O1148" s="117" t="str">
        <x:v>Delegate</x:v>
      </x:c>
      <x:c r="P1148" s="120" t="n">
        <x:v>46171.51082175926</x:v>
      </x:c>
      <x:c r="Q1148" s="117" t="str">
        <x:v>Delegate</x:v>
      </x:c>
      <x:c r="R1148" s="117" t="str">
        <x:v>FSL Action - Quick Quote</x:v>
      </x:c>
      <x:c r="S1148" s="119" t="str">
        <x:v>05/27/2026 (BW) - Updated so that the state is set correctly if entered manually. Added a visual error if not 2 digits</x:v>
      </x:c>
    </x:row>
    <x:row r="1149" ht="30" customHeight="1">
      <x:c r="A1149" s="117" t="str">
        <x:v>FSL_Action_Quick_Quote_2</x:v>
      </x:c>
      <x:c r="B1149" s="117" t="str">
        <x:v>300Ro00000mouhpIAA</x:v>
      </x:c>
      <x:c r="C1149" s="117" t="str">
        <x:v>301Ro0000172zZ9IAI</x:v>
      </x:c>
      <x:c r="D1149" s="118" t="n">
        <x:v>43</x:v>
      </x:c>
      <x:c r="E1149" s="117" t="str">
        <x:v>Obsolete</x:v>
      </x:c>
      <x:c r="F1149" s="117" t="str">
        <x:v>No</x:v>
      </x:c>
      <x:c r="G1149" s="117" t="str">
        <x:v>No</x:v>
      </x:c>
      <x:c r="H1149" s="117" t="str">
        <x:v>FieldServiceMobile</x:v>
      </x:c>
      <x:c r="I1149" s="118"/>
      <x:c r="J1149" s="117" t="str">
        <x:v>unmanaged</x:v>
      </x:c>
      <x:c r="K1149" s="123" t="b">
        <x:v>0</x:v>
      </x:c>
      <x:c r="L1149" s="117"/>
      <x:c r="M1149" s="118"/>
      <x:c r="N1149" s="120" t="n">
        <x:v>46171.50934027778</x:v>
      </x:c>
      <x:c r="O1149" s="117" t="str">
        <x:v>Delegate</x:v>
      </x:c>
      <x:c r="P1149" s="120" t="n">
        <x:v>46171.509421296294</x:v>
      </x:c>
      <x:c r="Q1149" s="117" t="str">
        <x:v>Delegate</x:v>
      </x:c>
      <x:c r="R1149" s="117" t="str">
        <x:v>FSL Action - Quick Quote</x:v>
      </x:c>
      <x:c r="S1149" s="119" t="str">
        <x:v>05/21/2026 (BW) - Updates to the ServiceTerritoryId gets set on creation of the work order
05/29/2026 (BW) - Added "Choose from My Accounts" address option: engineers can browse or search their assigned accounts (Field_Service_Engineer__c match) and populate the work order shipping address from the selected account.</x:v>
      </x:c>
    </x:row>
    <x:row r="1150" ht="30" customHeight="1">
      <x:c r="A1150" s="117" t="str">
        <x:v>FSL_Action_Quick_Quote_2</x:v>
      </x:c>
      <x:c r="B1150" s="117" t="str">
        <x:v>300Ro00000mouhpIAA</x:v>
      </x:c>
      <x:c r="C1150" s="117" t="str">
        <x:v>301Ro0000172uXrIAI</x:v>
      </x:c>
      <x:c r="D1150" s="118" t="n">
        <x:v>44</x:v>
      </x:c>
      <x:c r="E1150" s="117" t="str">
        <x:v>Obsolete</x:v>
      </x:c>
      <x:c r="F1150" s="117" t="str">
        <x:v>No</x:v>
      </x:c>
      <x:c r="G1150" s="117" t="str">
        <x:v>No</x:v>
      </x:c>
      <x:c r="H1150" s="117" t="str">
        <x:v>FieldServiceMobile</x:v>
      </x:c>
      <x:c r="I1150" s="118"/>
      <x:c r="J1150" s="117" t="str">
        <x:v>unmanaged</x:v>
      </x:c>
      <x:c r="K1150" s="123" t="b">
        <x:v>0</x:v>
      </x:c>
      <x:c r="L1150" s="117"/>
      <x:c r="M1150" s="118"/>
      <x:c r="N1150" s="120" t="n">
        <x:v>46171.51825231482</x:v>
      </x:c>
      <x:c r="O1150" s="117" t="str">
        <x:v>Delegate</x:v>
      </x:c>
      <x:c r="P1150" s="120" t="n">
        <x:v>46171.52040509259</x:v>
      </x:c>
      <x:c r="Q1150" s="117" t="str">
        <x:v>Delegate</x:v>
      </x:c>
      <x:c r="R1150" s="117" t="str">
        <x:v>FSL Action - Quick Quote</x:v>
      </x:c>
      <x:c r="S1150" s="119" t="str">
        <x:v>05/29/2026 (BW) - Added "Choose from My Accounts" address option: engineers can browse or search their assigned accounts (Field_Service_Engineer__c match) and populate the work order shipping address from the selected account.</x:v>
      </x:c>
    </x:row>
    <x:row r="1151" ht="30" customHeight="1">
      <x:c r="A1151" s="117" t="str">
        <x:v>FSL_Action_Quick_Quote_2</x:v>
      </x:c>
      <x:c r="B1151" s="117" t="str">
        <x:v>300Ro00000mouhpIAA</x:v>
      </x:c>
      <x:c r="C1151" s="117" t="str">
        <x:v>301Ro0000173h79IAA</x:v>
      </x:c>
      <x:c r="D1151" s="118" t="n">
        <x:v>45</x:v>
      </x:c>
      <x:c r="E1151" s="117" t="str">
        <x:v>Obsolete</x:v>
      </x:c>
      <x:c r="F1151" s="117" t="str">
        <x:v>No</x:v>
      </x:c>
      <x:c r="G1151" s="117" t="str">
        <x:v>No</x:v>
      </x:c>
      <x:c r="H1151" s="117" t="str">
        <x:v>FieldServiceMobile</x:v>
      </x:c>
      <x:c r="I1151" s="118"/>
      <x:c r="J1151" s="117" t="str">
        <x:v>unmanaged</x:v>
      </x:c>
      <x:c r="K1151" s="123" t="b">
        <x:v>0</x:v>
      </x:c>
      <x:c r="L1151" s="117"/>
      <x:c r="M1151" s="118"/>
      <x:c r="N1151" s="120" t="n">
        <x:v>46171.59878472222</x:v>
      </x:c>
      <x:c r="O1151" s="117" t="str">
        <x:v>Delegate</x:v>
      </x:c>
      <x:c r="P1151" s="120" t="n">
        <x:v>46171.600636574076</x:v>
      </x:c>
      <x:c r="Q1151" s="117" t="str">
        <x:v>Delegate</x:v>
      </x:c>
      <x:c r="R1151" s="117" t="str">
        <x:v>FSL Action - Quick Quote</x:v>
      </x:c>
      <x:c r="S1151" s="119" t="str">
        <x:v>05/29/2026 (BW) - Added "Choose from My Accounts" address option: engineers can browse or search their assigned accounts (Field_Service_Engineer__c match) and populate the work order shipping address from the selected account.</x:v>
      </x:c>
    </x:row>
    <x:row r="1152" ht="30" customHeight="1">
      <x:c r="A1152" s="117" t="str">
        <x:v>FSL_Action_Quick_Quote_2</x:v>
      </x:c>
      <x:c r="B1152" s="117" t="str">
        <x:v>300Ro00000mouhpIAA</x:v>
      </x:c>
      <x:c r="C1152" s="117" t="str">
        <x:v>301Ro0000173uQxIAI</x:v>
      </x:c>
      <x:c r="D1152" s="118" t="n">
        <x:v>46</x:v>
      </x:c>
      <x:c r="E1152" s="117" t="str">
        <x:v>Obsolete</x:v>
      </x:c>
      <x:c r="F1152" s="117" t="str">
        <x:v>No</x:v>
      </x:c>
      <x:c r="G1152" s="117" t="str">
        <x:v>No</x:v>
      </x:c>
      <x:c r="H1152" s="117" t="str">
        <x:v>FieldServiceMobile</x:v>
      </x:c>
      <x:c r="I1152" s="118"/>
      <x:c r="J1152" s="117" t="str">
        <x:v>unmanaged</x:v>
      </x:c>
      <x:c r="K1152" s="123" t="b">
        <x:v>0</x:v>
      </x:c>
      <x:c r="L1152" s="117"/>
      <x:c r="M1152" s="118"/>
      <x:c r="N1152" s="120" t="n">
        <x:v>46171.601481481484</x:v>
      </x:c>
      <x:c r="O1152" s="117" t="str">
        <x:v>Delegate</x:v>
      </x:c>
      <x:c r="P1152" s="120" t="n">
        <x:v>46171.601585648146</x:v>
      </x:c>
      <x:c r="Q1152" s="117" t="str">
        <x:v>Delegate</x:v>
      </x:c>
      <x:c r="R1152" s="117" t="str">
        <x:v>FSL Action - Quick Quote</x:v>
      </x:c>
      <x:c r="S1152" s="119" t="str">
        <x:v>05/29/2026 (BW) - Added "Choose from My Accounts" address option: engineers can browse or search their assigned accounts (Field_Service_Engineer__c match) and populate the work order shipping address from the selected account.</x:v>
      </x:c>
    </x:row>
    <x:row r="1153" ht="30" customHeight="1">
      <x:c r="A1153" s="117" t="str">
        <x:v>FSL_Action_Quick_Quote_2</x:v>
      </x:c>
      <x:c r="B1153" s="117" t="str">
        <x:v>300Ro00000mouhpIAA</x:v>
      </x:c>
      <x:c r="C1153" s="117" t="str">
        <x:v>301Ro0000173XOBIA2</x:v>
      </x:c>
      <x:c r="D1153" s="118" t="n">
        <x:v>47</x:v>
      </x:c>
      <x:c r="E1153" s="117" t="str">
        <x:v>Obsolete</x:v>
      </x:c>
      <x:c r="F1153" s="117" t="str">
        <x:v>No</x:v>
      </x:c>
      <x:c r="G1153" s="117" t="str">
        <x:v>No</x:v>
      </x:c>
      <x:c r="H1153" s="117" t="str">
        <x:v>FieldServiceMobile</x:v>
      </x:c>
      <x:c r="I1153" s="118"/>
      <x:c r="J1153" s="117" t="str">
        <x:v>unmanaged</x:v>
      </x:c>
      <x:c r="K1153" s="123" t="b">
        <x:v>0</x:v>
      </x:c>
      <x:c r="L1153" s="117"/>
      <x:c r="M1153" s="118"/>
      <x:c r="N1153" s="120" t="n">
        <x:v>46171.634363425925</x:v>
      </x:c>
      <x:c r="O1153" s="117" t="str">
        <x:v>Delegate</x:v>
      </x:c>
      <x:c r="P1153" s="120" t="n">
        <x:v>46171.63445601852</x:v>
      </x:c>
      <x:c r="Q1153" s="117" t="str">
        <x:v>Delegate</x:v>
      </x:c>
      <x:c r="R1153" s="117" t="str">
        <x:v>FSL Action - Quick Quote</x:v>
      </x:c>
      <x:c r="S1153" s="119" t="str">
        <x:v>05/29/2026 (BW) - Added "Choose from My Accounts" address option: engineers can browse or search their assigned accounts (Field_Service_Engineer__c match) and populate the work order shipping address from the selected account.</x:v>
      </x:c>
    </x:row>
    <x:row r="1154" ht="30" customHeight="1">
      <x:c r="A1154" s="117" t="str">
        <x:v>FSL_Action_Quick_Quote_2</x:v>
      </x:c>
      <x:c r="B1154" s="117" t="str">
        <x:v>300Ro00000mouhpIAA</x:v>
      </x:c>
      <x:c r="C1154" s="117" t="str">
        <x:v>301Ro0000175bYgIAI</x:v>
      </x:c>
      <x:c r="D1154" s="118" t="n">
        <x:v>48</x:v>
      </x:c>
      <x:c r="E1154" s="117" t="str">
        <x:v>Obsolete</x:v>
      </x:c>
      <x:c r="F1154" s="117" t="str">
        <x:v>No</x:v>
      </x:c>
      <x:c r="G1154" s="117" t="str">
        <x:v>No</x:v>
      </x:c>
      <x:c r="H1154" s="117" t="str">
        <x:v>FieldServiceMobile</x:v>
      </x:c>
      <x:c r="I1154" s="118"/>
      <x:c r="J1154" s="117" t="str">
        <x:v>unmanaged</x:v>
      </x:c>
      <x:c r="K1154" s="123" t="b">
        <x:v>0</x:v>
      </x:c>
      <x:c r="L1154" s="117"/>
      <x:c r="M1154" s="118"/>
      <x:c r="N1154" s="120" t="n">
        <x:v>46171.788831018515</x:v>
      </x:c>
      <x:c r="O1154" s="117" t="str">
        <x:v>Delegate</x:v>
      </x:c>
      <x:c r="P1154" s="120" t="n">
        <x:v>46171.78979166667</x:v>
      </x:c>
      <x:c r="Q1154" s="117" t="str">
        <x:v>Delegate</x:v>
      </x:c>
      <x:c r="R1154" s="117" t="str">
        <x:v>FSL Action - Quick Quote</x:v>
      </x:c>
      <x:c r="S1154" s="119" t="str">
        <x:v>05/29/2026 (BW) - Both address paths lead to a shipping address choice screen; shared varSelectedShippingAddressId captures the RCS selection from either path before Get_Shipping_Address_Record so the lookup always has the correct value regardless of which screen the engineer came from.</x:v>
      </x:c>
    </x:row>
    <x:row r="1155" ht="30" customHeight="1">
      <x:c r="A1155" s="117" t="str">
        <x:v>FSL_Action_Quick_Quote_2</x:v>
      </x:c>
      <x:c r="B1155" s="117" t="str">
        <x:v>300Ro00000mouhpIAA</x:v>
      </x:c>
      <x:c r="C1155" s="117" t="str">
        <x:v>301Ro000017A3mUIAS</x:v>
      </x:c>
      <x:c r="D1155" s="118" t="n">
        <x:v>49</x:v>
      </x:c>
      <x:c r="E1155" s="117" t="str">
        <x:v>Obsolete</x:v>
      </x:c>
      <x:c r="F1155" s="117" t="str">
        <x:v>No</x:v>
      </x:c>
      <x:c r="G1155" s="117" t="str">
        <x:v>No</x:v>
      </x:c>
      <x:c r="H1155" s="117" t="str">
        <x:v>FieldServiceMobile</x:v>
      </x:c>
      <x:c r="I1155" s="118"/>
      <x:c r="J1155" s="117" t="str">
        <x:v>unmanaged</x:v>
      </x:c>
      <x:c r="K1155" s="123" t="b">
        <x:v>0</x:v>
      </x:c>
      <x:c r="L1155" s="117"/>
      <x:c r="M1155" s="118"/>
      <x:c r="N1155" s="120" t="n">
        <x:v>46172.73478009259</x:v>
      </x:c>
      <x:c r="O1155" s="117" t="str">
        <x:v>Delegate</x:v>
      </x:c>
      <x:c r="P1155" s="120" t="n">
        <x:v>46176.763240740744</x:v>
      </x:c>
      <x:c r="Q1155" s="117" t="str">
        <x:v>Mindy Bender</x:v>
      </x:c>
      <x:c r="R1155" s="117" t="str">
        <x:v>FSL Action - Quick Quote</x:v>
      </x:c>
      <x:c r="S1155" s="119" t="str">
        <x:v>05/29/2026 (BW) - Both address paths lead to a shipping address choice screen; shared varSelectedShippingAddressId captures the RCS selection from either path before Get_Shipping_Address_Record so the lookup always has the correct value regardless of which screen the engineer came from. 05/30/2026 (BW) - Added RCS_Addresses back to Screen 1 EnterSiteAddress choices; selected address ID routes through TT_Set_RCS_Site_Addr_ID → Get_RCS_Site_Address → TT_Assign_Site_From_RCS → Select_Shipping_Address_For_Manual_Site.</x:v>
      </x:c>
    </x:row>
    <x:row r="1156" ht="30" customHeight="1">
      <x:c r="A1156" s="117" t="str">
        <x:v>FSL_Action_Quick_Quote_2</x:v>
      </x:c>
      <x:c r="B1156" s="117" t="str">
        <x:v>300Ro00000mouhpIAA</x:v>
      </x:c>
      <x:c r="C1156" s="117" t="str">
        <x:v>301Ro000017WAJ6IAO</x:v>
      </x:c>
      <x:c r="D1156" s="118" t="n">
        <x:v>50</x:v>
      </x:c>
      <x:c r="E1156" s="117" t="str">
        <x:v>Obsolete</x:v>
      </x:c>
      <x:c r="F1156" s="117" t="str">
        <x:v>No</x:v>
      </x:c>
      <x:c r="G1156" s="117" t="str">
        <x:v>No</x:v>
      </x:c>
      <x:c r="H1156" s="117" t="str">
        <x:v>FieldServiceMobile</x:v>
      </x:c>
      <x:c r="I1156" s="118"/>
      <x:c r="J1156" s="117" t="str">
        <x:v>unmanaged</x:v>
      </x:c>
      <x:c r="K1156" s="123" t="b">
        <x:v>0</x:v>
      </x:c>
      <x:c r="L1156" s="117"/>
      <x:c r="M1156" s="118"/>
      <x:c r="N1156" s="120" t="n">
        <x:v>46176.762349537035</x:v>
      </x:c>
      <x:c r="O1156" s="117" t="str">
        <x:v>Mindy Bender</x:v>
      </x:c>
      <x:c r="P1156" s="120" t="n">
        <x:v>46176.76304398148</x:v>
      </x:c>
      <x:c r="Q1156" s="117" t="str">
        <x:v>Mindy Bender</x:v>
      </x:c>
      <x:c r="R1156" s="117" t="str">
        <x:v>FSL Action - Quick Quote</x:v>
      </x:c>
      <x:c r="S1156" s="119" t="str">
        <x:v>06/03/2026 (MPB) - pulling user record in event triggered in browser</x:v>
      </x:c>
    </x:row>
    <x:row r="1157" ht="30" customHeight="1">
      <x:c r="A1157" s="117" t="str">
        <x:v>FSL_Action_Quick_Quote_2</x:v>
      </x:c>
      <x:c r="B1157" s="117" t="str">
        <x:v>300Ro00000mouhpIAA</x:v>
      </x:c>
      <x:c r="C1157" s="117" t="str">
        <x:v>301Ro000017dfLJIAY</x:v>
      </x:c>
      <x:c r="D1157" s="118" t="n">
        <x:v>51</x:v>
      </x:c>
      <x:c r="E1157" s="117" t="str">
        <x:v>Obsolete</x:v>
      </x:c>
      <x:c r="F1157" s="117" t="str">
        <x:v>No</x:v>
      </x:c>
      <x:c r="G1157" s="117" t="str">
        <x:v>No</x:v>
      </x:c>
      <x:c r="H1157" s="117" t="str">
        <x:v>FieldServiceMobile</x:v>
      </x:c>
      <x:c r="I1157" s="118"/>
      <x:c r="J1157" s="117" t="str">
        <x:v>unmanaged</x:v>
      </x:c>
      <x:c r="K1157" s="123" t="b">
        <x:v>0</x:v>
      </x:c>
      <x:c r="L1157" s="117"/>
      <x:c r="M1157" s="118"/>
      <x:c r="N1157" s="120" t="n">
        <x:v>46177.78028935185</x:v>
      </x:c>
      <x:c r="O1157" s="117" t="str">
        <x:v>Delegate</x:v>
      </x:c>
      <x:c r="P1157" s="120" t="n">
        <x:v>46177.78055555555</x:v>
      </x:c>
      <x:c r="Q1157" s="117" t="str">
        <x:v>Delegate</x:v>
      </x:c>
      <x:c r="R1157" s="117" t="str">
        <x:v>FSL Action - Quick Quote</x:v>
      </x:c>
      <x:c r="S1157" s="119" t="str">
        <x:v>05/29/2026 (BW) - Both address paths lead to a shipping address choice screen; shared varSelectedShippingAddressId captures the RCS selection from either path before Get_Shipping_Address_Record so the lookup always has the correct value regardless of which screen the engineer came from. 05/30/2026 (BW) - Added RCS_Addresses back to Screen 1 EnterSiteAddress choices; selected address ID routes through TT_Set_RCS_Site_Addr_ID → Get_RCS_Site_Address → TT_Assign_Site_From_RCS → Select_Shipping_Address_For_Manual_Site. 06/04/2026 (BW) - When launched from Opportunity: auto-populates AccountId and OpportunityId on new WO, surfaces source Account shipping address as defaulted site address option. When launched from Work Order: same AccountId/OpportunityId population from source WO, surfaces WO Shipping_Street__c as defaulted site address option. OpportunityId is cleared before WO create/update when billing type is Time &amp; Material.</x:v>
      </x:c>
    </x:row>
    <x:row r="1158" ht="30" customHeight="1">
      <x:c r="A1158" s="117" t="str">
        <x:v>FSL_Action_Quick_Quote_2</x:v>
      </x:c>
      <x:c r="B1158" s="117" t="str">
        <x:v>300Ro00000mouhpIAA</x:v>
      </x:c>
      <x:c r="C1158" s="117" t="str">
        <x:v>301Ro000017dfq0IAA</x:v>
      </x:c>
      <x:c r="D1158" s="118" t="n">
        <x:v>52</x:v>
      </x:c>
      <x:c r="E1158" s="117" t="str">
        <x:v>Obsolete</x:v>
      </x:c>
      <x:c r="F1158" s="117" t="str">
        <x:v>No</x:v>
      </x:c>
      <x:c r="G1158" s="117" t="str">
        <x:v>No</x:v>
      </x:c>
      <x:c r="H1158" s="117" t="str">
        <x:v>FieldServiceMobile</x:v>
      </x:c>
      <x:c r="I1158" s="118"/>
      <x:c r="J1158" s="117" t="str">
        <x:v>unmanaged</x:v>
      </x:c>
      <x:c r="K1158" s="123" t="b">
        <x:v>0</x:v>
      </x:c>
      <x:c r="L1158" s="117"/>
      <x:c r="M1158" s="118"/>
      <x:c r="N1158" s="120" t="n">
        <x:v>46177.8015625</x:v>
      </x:c>
      <x:c r="O1158" s="117" t="str">
        <x:v>Delegate</x:v>
      </x:c>
      <x:c r="P1158" s="120" t="n">
        <x:v>46177.80173611111</x:v>
      </x:c>
      <x:c r="Q1158" s="117" t="str">
        <x:v>Delegate</x:v>
      </x:c>
      <x:c r="R1158" s="117" t="str">
        <x:v>FSL Action - Quick Quote</x:v>
      </x:c>
      <x:c r="S1158" s="119" t="str">
        <x:v>05/29/2026 (BW) - Both address paths lead to a shipping address choice screen; shared varSelectedShippingAddressId captures the RCS selection from either path before Get_Shipping_Address_Record so the lookup always has the correct value regardless of which screen the engineer came from. 05/30/2026 (BW) - Added RCS_Addresses back to Screen 1 EnterSiteAddress choices; selected address ID routes through TT_Set_RCS_Site_Addr_ID → Get_RCS_Site_Address → TT_Assign_Site_From_RCS → Select_Shipping_Address_For_Manual_Site. 06/04/2026 (BW) - When launched from Opportunity: auto-populates AccountId and OpportunityId on new WO; surfaces Opportunity Shipping_Address_Display__c as RCS choice defaulted in site address selection (returns empty when varOpportunityId is null). When launched from Work Order: same AccountId/OpportunityId population; surfaces WO Shipping_Address_Display__c as RCS choice defaulted in site address selection. OpportunityId cleared before WO create/update when billing type is Time &amp; Material.</x:v>
      </x:c>
    </x:row>
    <x:row r="1159" ht="30" customHeight="1">
      <x:c r="A1159" s="117" t="str">
        <x:v>FSL_Action_Quick_Quote_2</x:v>
      </x:c>
      <x:c r="B1159" s="117" t="str">
        <x:v>300Ro00000mouhpIAA</x:v>
      </x:c>
      <x:c r="C1159" s="117" t="str">
        <x:v>301Ro000017eSsHIAU</x:v>
      </x:c>
      <x:c r="D1159" s="118" t="n">
        <x:v>53</x:v>
      </x:c>
      <x:c r="E1159" s="117" t="str">
        <x:v>Obsolete</x:v>
      </x:c>
      <x:c r="F1159" s="117" t="str">
        <x:v>No</x:v>
      </x:c>
      <x:c r="G1159" s="117" t="str">
        <x:v>No</x:v>
      </x:c>
      <x:c r="H1159" s="117" t="str">
        <x:v>FieldServiceMobile</x:v>
      </x:c>
      <x:c r="I1159" s="118"/>
      <x:c r="J1159" s="117" t="str">
        <x:v>unmanaged</x:v>
      </x:c>
      <x:c r="K1159" s="123" t="b">
        <x:v>0</x:v>
      </x:c>
      <x:c r="L1159" s="117"/>
      <x:c r="M1159" s="118"/>
      <x:c r="N1159" s="120" t="n">
        <x:v>46177.858877314815</x:v>
      </x:c>
      <x:c r="O1159" s="117" t="str">
        <x:v>Mindy Bender</x:v>
      </x:c>
      <x:c r="P1159" s="120" t="n">
        <x:v>46177.86177083333</x:v>
      </x:c>
      <x:c r="Q1159" s="117" t="str">
        <x:v>Mindy Bender</x:v>
      </x:c>
      <x:c r="R1159" s="117" t="str">
        <x:v>FSL Action - Quick Quote</x:v>
      </x:c>
      <x:c r="S1159" s="119" t="str">
        <x:v>06/04/2026 - MPB - Added Service Site name to what is pulled when start from work order or opportunity; 05/29/2026 (BW) - Both address paths lead to a shipping address choice screen; shared varSelectedShippingAddressId captures the RCS selection from either path before Get_Shipping_Address_Record so the lookup always has the correct value regardless of which screen the engineer came from. 05/30/2026 (BW) - Added RCS_Addresses back to Screen 1 EnterSiteAddress choices; selected address ID routes through TT_Set_RCS_Site_Addr_ID → Get_RCS_Site_Address → TT_Assign_Site_From_RCS → Select_Shipping_Address_For_Manual_Site. 06/04/2026 (BW) - When launched from Opportunity: auto-populates AccountId and OpportunityId on new WO; surfaces Opportunity Shipping_Address_Display__c as RCS choice defaulted in site address selection (returns empty when varOpportunityId is null). When launched from Work Order: same AccountId/OpportunityId population; surfaces WO Shipping_Address_Display__c as RCS choice defaulted in site address selection. OpportunityId cleared before WO create/update when billing type is Time &amp; Material.</x:v>
      </x:c>
    </x:row>
    <x:row r="1160" ht="30" customHeight="1">
      <x:c r="A1160" s="117" t="str">
        <x:v>FSL_Action_Quick_Quote_2</x:v>
      </x:c>
      <x:c r="B1160" s="117" t="str">
        <x:v>300Ro00000mouhpIAA</x:v>
      </x:c>
      <x:c r="C1160" s="117" t="str">
        <x:v>301Ro000018NRlZIAW</x:v>
      </x:c>
      <x:c r="D1160" s="118" t="n">
        <x:v>54</x:v>
      </x:c>
      <x:c r="E1160" s="117" t="str">
        <x:v>Active</x:v>
      </x:c>
      <x:c r="F1160" s="117" t="str">
        <x:v>Yes</x:v>
      </x:c>
      <x:c r="G1160" s="117" t="str">
        <x:v>Yes</x:v>
      </x:c>
      <x:c r="H1160" s="117" t="str">
        <x:v>FieldServiceMobile</x:v>
      </x:c>
      <x:c r="I1160" s="118"/>
      <x:c r="J1160" s="117" t="str">
        <x:v>unmanaged</x:v>
      </x:c>
      <x:c r="K1160" s="123" t="b">
        <x:v>0</x:v>
      </x:c>
      <x:c r="L1160" s="117"/>
      <x:c r="M1160" s="118"/>
      <x:c r="N1160" s="120" t="n">
        <x:v>46185.6259375</x:v>
      </x:c>
      <x:c r="O1160" s="117" t="str">
        <x:v>Mindy Bender</x:v>
      </x:c>
      <x:c r="P1160" s="120" t="n">
        <x:v>46185.62689814815</x:v>
      </x:c>
      <x:c r="Q1160" s="117" t="str">
        <x:v>Mindy Bender</x:v>
      </x:c>
      <x:c r="R1160" s="117" t="str">
        <x:v>FSL Action - Quick Quote</x:v>
      </x:c>
      <x:c r="S1160" s="119" t="str">
        <x:v>06/12/2026 - MPB - Added Attn capture on manual entry</x:v>
      </x:c>
    </x:row>
    <x:row r="1161" ht="30" customHeight="1">
      <x:c r="A1161" s="117" t="str">
        <x:v>FSL_App_Upload_Pictures_Screen_Flow</x:v>
      </x:c>
      <x:c r="B1161" s="117" t="str">
        <x:v>300Ro00000QRjbbIAD</x:v>
      </x:c>
      <x:c r="C1161" s="117" t="str">
        <x:v>301Ro00000T7pV0IAJ</x:v>
      </x:c>
      <x:c r="D1161" s="118" t="n">
        <x:v>1</x:v>
      </x:c>
      <x:c r="E1161" s="117" t="str">
        <x:v>Obsolete</x:v>
      </x:c>
      <x:c r="F1161" s="117" t="str">
        <x:v>No</x:v>
      </x:c>
      <x:c r="G1161" s="117" t="str">
        <x:v>No</x:v>
      </x:c>
      <x:c r="H1161" s="117" t="str">
        <x:v>FieldServiceMobile</x:v>
      </x:c>
      <x:c r="I1161" s="118"/>
      <x:c r="J1161" s="117" t="str">
        <x:v>unmanaged</x:v>
      </x:c>
      <x:c r="K1161" s="123" t="b">
        <x:v>0</x:v>
      </x:c>
      <x:c r="L1161" s="117"/>
      <x:c r="M1161" s="118"/>
      <x:c r="N1161" s="120" t="n">
        <x:v>45688.54450231481</x:v>
      </x:c>
      <x:c r="O1161" s="117" t="str">
        <x:v>Delegate</x:v>
      </x:c>
      <x:c r="P1161" s="120" t="n">
        <x:v>45688.544537037036</x:v>
      </x:c>
      <x:c r="Q1161" s="117" t="str">
        <x:v>Delegate</x:v>
      </x:c>
      <x:c r="R1161" s="117" t="str">
        <x:v>FSL App Upload Pictures Screen Flow</x:v>
      </x:c>
      <x:c r="S1161" s="119" t="str">
        <x:v>01/31/2025 (BW) - This flow allows someone to upload images to a service appointment</x:v>
      </x:c>
    </x:row>
    <x:row r="1162" ht="30" customHeight="1">
      <x:c r="A1162" s="117" t="str">
        <x:v>FSL_App_Upload_Pictures_Screen_Flow</x:v>
      </x:c>
      <x:c r="B1162" s="117" t="str">
        <x:v>300Ro00000QRjbbIAD</x:v>
      </x:c>
      <x:c r="C1162" s="117" t="str">
        <x:v>301Ro00000VuQEGIA3</x:v>
      </x:c>
      <x:c r="D1162" s="118" t="n">
        <x:v>2</x:v>
      </x:c>
      <x:c r="E1162" s="117" t="str">
        <x:v>Active</x:v>
      </x:c>
      <x:c r="F1162" s="117" t="str">
        <x:v>Yes</x:v>
      </x:c>
      <x:c r="G1162" s="117" t="str">
        <x:v>Yes</x:v>
      </x:c>
      <x:c r="H1162" s="117" t="str">
        <x:v>FieldServiceMobile</x:v>
      </x:c>
      <x:c r="I1162" s="118"/>
      <x:c r="J1162" s="117" t="str">
        <x:v>unmanaged</x:v>
      </x:c>
      <x:c r="K1162" s="123" t="b">
        <x:v>0</x:v>
      </x:c>
      <x:c r="L1162" s="117"/>
      <x:c r="M1162" s="118"/>
      <x:c r="N1162" s="120" t="n">
        <x:v>45735.53702546296</x:v>
      </x:c>
      <x:c r="O1162" s="117" t="str">
        <x:v>Delegate</x:v>
      </x:c>
      <x:c r="P1162" s="120" t="n">
        <x:v>45735.537094907406</x:v>
      </x:c>
      <x:c r="Q1162" s="117" t="str">
        <x:v>Delegate</x:v>
      </x:c>
      <x:c r="R1162" s="117" t="str">
        <x:v>FSL App Upload Pictures Screen Flow</x:v>
      </x:c>
      <x:c r="S1162" s="119" t="str">
        <x:v>03/19/2025 (BW) - Added an update to the last completed work steps</x:v>
      </x:c>
    </x:row>
    <x:row r="1163" ht="30" customHeight="1">
      <x:c r="A1163" s="117" t="str">
        <x:v>FSL_Close_Out_Service_Appointment_Field_Service_Mobile_Flow</x:v>
      </x:c>
      <x:c r="B1163" s="117" t="str">
        <x:v>300Ro00000ydLuvIAE</x:v>
      </x:c>
      <x:c r="C1163" s="117" t="str">
        <x:v>301Ro000017ZjKaIAK</x:v>
      </x:c>
      <x:c r="D1163" s="118" t="n">
        <x:v>1</x:v>
      </x:c>
      <x:c r="E1163" s="117" t="str">
        <x:v>Draft</x:v>
      </x:c>
      <x:c r="F1163" s="117" t="str">
        <x:v>No</x:v>
      </x:c>
      <x:c r="G1163" s="117" t="str">
        <x:v>No</x:v>
      </x:c>
      <x:c r="H1163" s="117" t="str">
        <x:v>FieldServiceMobile</x:v>
      </x:c>
      <x:c r="I1163" s="118"/>
      <x:c r="J1163" s="117" t="str">
        <x:v>unmanaged</x:v>
      </x:c>
      <x:c r="K1163" s="123" t="b">
        <x:v>0</x:v>
      </x:c>
      <x:c r="L1163" s="117"/>
      <x:c r="M1163" s="118"/>
      <x:c r="N1163" s="120" t="n">
        <x:v>46177.39991898148</x:v>
      </x:c>
      <x:c r="O1163" s="117" t="str">
        <x:v>Sacha Pearce</x:v>
      </x:c>
      <x:c r="P1163" s="120" t="n">
        <x:v>46177.399976851855</x:v>
      </x:c>
      <x:c r="Q1163" s="117" t="str">
        <x:v>Sacha Pearce</x:v>
      </x:c>
      <x:c r="R1163" s="117" t="str">
        <x:v>FSL - Close Out Service Appointment - Field Service Mobile Flow</x:v>
      </x:c>
      <x:c r="S1163" s="119" t="str">
        <x:v>Saving this as a new Flow to better facilitate development and debugging for UK processes.</x:v>
      </x:c>
    </x:row>
    <x:row r="1164" ht="30" customHeight="1">
      <x:c r="A1164" s="117" t="str">
        <x:v>FSL_Close_Out_Service_Appointment_Field_Service_Mobile_Flow</x:v>
      </x:c>
      <x:c r="B1164" s="117" t="str">
        <x:v>300Ro00000ydLuvIAE</x:v>
      </x:c>
      <x:c r="C1164" s="117" t="str">
        <x:v>301Ro000017cJUwIAM</x:v>
      </x:c>
      <x:c r="D1164" s="118" t="n">
        <x:v>2</x:v>
      </x:c>
      <x:c r="E1164" s="117" t="str">
        <x:v>Draft</x:v>
      </x:c>
      <x:c r="F1164" s="117" t="str">
        <x:v>No</x:v>
      </x:c>
      <x:c r="G1164" s="117" t="str">
        <x:v>No</x:v>
      </x:c>
      <x:c r="H1164" s="117" t="str">
        <x:v>FieldServiceMobile</x:v>
      </x:c>
      <x:c r="I1164" s="118"/>
      <x:c r="J1164" s="117" t="str">
        <x:v>unmanaged</x:v>
      </x:c>
      <x:c r="K1164" s="123" t="b">
        <x:v>0</x:v>
      </x:c>
      <x:c r="L1164" s="117"/>
      <x:c r="M1164" s="118"/>
      <x:c r="N1164" s="120" t="n">
        <x:v>46177.65298611111</x:v>
      </x:c>
      <x:c r="O1164" s="117" t="str">
        <x:v>Sacha Pearce</x:v>
      </x:c>
      <x:c r="P1164" s="120" t="n">
        <x:v>46177.65306712963</x:v>
      </x:c>
      <x:c r="Q1164" s="117" t="str">
        <x:v>Sacha Pearce</x:v>
      </x:c>
      <x:c r="R1164" s="117" t="str">
        <x:v>FSL - Close Out Service Appointment - Field Service Mobile Flow</x:v>
      </x:c>
      <x:c r="S1164" s="119" t="str">
        <x:v>Saving a new version to reduce the number of screens.</x:v>
      </x:c>
    </x:row>
    <x:row r="1165" ht="30" customHeight="1">
      <x:c r="A1165" s="117" t="str">
        <x:v>FSL_Close_Out_Service_Appointment_Field_Service_Mobile_Flow</x:v>
      </x:c>
      <x:c r="B1165" s="117" t="str">
        <x:v>300Ro00000ydLuvIAE</x:v>
      </x:c>
      <x:c r="C1165" s="117" t="str">
        <x:v>301Ro000018EO73IAG</x:v>
      </x:c>
      <x:c r="D1165" s="118" t="n">
        <x:v>3</x:v>
      </x:c>
      <x:c r="E1165" s="117" t="str">
        <x:v>Draft</x:v>
      </x:c>
      <x:c r="F1165" s="117" t="str">
        <x:v>No</x:v>
      </x:c>
      <x:c r="G1165" s="117" t="str">
        <x:v>No</x:v>
      </x:c>
      <x:c r="H1165" s="117" t="str">
        <x:v>FieldServiceMobile</x:v>
      </x:c>
      <x:c r="I1165" s="118"/>
      <x:c r="J1165" s="117" t="str">
        <x:v>unmanaged</x:v>
      </x:c>
      <x:c r="K1165" s="123" t="b">
        <x:v>0</x:v>
      </x:c>
      <x:c r="L1165" s="117"/>
      <x:c r="M1165" s="118"/>
      <x:c r="N1165" s="120" t="n">
        <x:v>46184.4584837963</x:v>
      </x:c>
      <x:c r="O1165" s="117" t="str">
        <x:v>Sacha Pearce</x:v>
      </x:c>
      <x:c r="P1165" s="120" t="n">
        <x:v>46184.45857638889</x:v>
      </x:c>
      <x:c r="Q1165" s="117" t="str">
        <x:v>Sacha Pearce</x:v>
      </x:c>
      <x:c r="R1165" s="117" t="str">
        <x:v>FSL - Close Out Service Appointment - Field Service Mobile Flow</x:v>
      </x:c>
      <x:c r="S1165" s="119" t="str">
        <x:v>Saving a new version to reduce the number of screens.</x:v>
      </x:c>
    </x:row>
    <x:row r="1166" ht="30" customHeight="1">
      <x:c r="A1166" s="117" t="str">
        <x:v>FSL_Close_Out_Service_Appointment_Field_Service_Mobile_Flow</x:v>
      </x:c>
      <x:c r="B1166" s="117" t="str">
        <x:v>300Ro00000ydLuvIAE</x:v>
      </x:c>
      <x:c r="C1166" s="117" t="str">
        <x:v>301Ro000018EoHdIAK</x:v>
      </x:c>
      <x:c r="D1166" s="118" t="n">
        <x:v>4</x:v>
      </x:c>
      <x:c r="E1166" s="117" t="str">
        <x:v>Draft</x:v>
      </x:c>
      <x:c r="F1166" s="117" t="str">
        <x:v>No</x:v>
      </x:c>
      <x:c r="G1166" s="117" t="str">
        <x:v>Yes</x:v>
      </x:c>
      <x:c r="H1166" s="117" t="str">
        <x:v>FieldServiceMobile</x:v>
      </x:c>
      <x:c r="I1166" s="118"/>
      <x:c r="J1166" s="117" t="str">
        <x:v>unmanaged</x:v>
      </x:c>
      <x:c r="K1166" s="123" t="b">
        <x:v>0</x:v>
      </x:c>
      <x:c r="L1166" s="117"/>
      <x:c r="M1166" s="118"/>
      <x:c r="N1166" s="120" t="n">
        <x:v>46184.585706018515</x:v>
      </x:c>
      <x:c r="O1166" s="117" t="str">
        <x:v>Sacha Pearce</x:v>
      </x:c>
      <x:c r="P1166" s="120" t="n">
        <x:v>46184.58578703704</x:v>
      </x:c>
      <x:c r="Q1166" s="117" t="str">
        <x:v>Sacha Pearce</x:v>
      </x:c>
      <x:c r="R1166" s="117" t="str">
        <x:v>FSL - Close Out Service Appointment - Field Service Mobile Flow</x:v>
      </x:c>
      <x:c r="S1166" s="119" t="str">
        <x:v>Saving a new version to reduce the number of screens.</x:v>
      </x:c>
    </x:row>
    <x:row r="1167" ht="30" customHeight="1">
      <x:c r="A1167" s="117" t="str">
        <x:v>FSL_CR_Checklist</x:v>
      </x:c>
      <x:c r="B1167" s="117" t="str">
        <x:v>300Ro00000sJizMIAS</x:v>
      </x:c>
      <x:c r="C1167" s="117" t="str">
        <x:v>301Ro0000101g3qIAA</x:v>
      </x:c>
      <x:c r="D1167" s="118" t="n">
        <x:v>1</x:v>
      </x:c>
      <x:c r="E1167" s="117" t="str">
        <x:v>Draft</x:v>
      </x:c>
      <x:c r="F1167" s="117" t="str">
        <x:v>No</x:v>
      </x:c>
      <x:c r="G1167" s="117" t="str">
        <x:v>No</x:v>
      </x:c>
      <x:c r="H1167" s="117" t="str">
        <x:v>FieldServiceMobile</x:v>
      </x:c>
      <x:c r="I1167" s="118"/>
      <x:c r="J1167" s="117" t="str">
        <x:v>unmanaged</x:v>
      </x:c>
      <x:c r="K1167" s="123" t="b">
        <x:v>0</x:v>
      </x:c>
      <x:c r="L1167" s="117"/>
      <x:c r="M1167" s="118"/>
      <x:c r="N1167" s="120" t="n">
        <x:v>46088.52490740741</x:v>
      </x:c>
      <x:c r="O1167" s="117" t="str">
        <x:v>Sacha Pearce</x:v>
      </x:c>
      <x:c r="P1167" s="120" t="n">
        <x:v>46088.524988425925</x:v>
      </x:c>
      <x:c r="Q1167" s="117" t="str">
        <x:v>Sacha Pearce</x:v>
      </x:c>
      <x:c r="R1167" s="117" t="str">
        <x:v>FSL - CR Checklist</x:v>
      </x:c>
      <x:c r="S1167" s="119"/>
    </x:row>
    <x:row r="1168" ht="30" customHeight="1">
      <x:c r="A1168" s="117" t="str">
        <x:v>FSL_CR_Checklist</x:v>
      </x:c>
      <x:c r="B1168" s="117" t="str">
        <x:v>300Ro00000sJizMIAS</x:v>
      </x:c>
      <x:c r="C1168" s="117" t="str">
        <x:v>301Ro000014hfjtIAA</x:v>
      </x:c>
      <x:c r="D1168" s="118" t="n">
        <x:v>2</x:v>
      </x:c>
      <x:c r="E1168" s="117" t="str">
        <x:v>Draft</x:v>
      </x:c>
      <x:c r="F1168" s="117" t="str">
        <x:v>No</x:v>
      </x:c>
      <x:c r="G1168" s="117" t="str">
        <x:v>No</x:v>
      </x:c>
      <x:c r="H1168" s="117" t="str">
        <x:v>FieldServiceMobile</x:v>
      </x:c>
      <x:c r="I1168" s="118"/>
      <x:c r="J1168" s="117" t="str">
        <x:v>unmanaged</x:v>
      </x:c>
      <x:c r="K1168" s="123" t="b">
        <x:v>0</x:v>
      </x:c>
      <x:c r="L1168" s="117"/>
      <x:c r="M1168" s="118"/>
      <x:c r="N1168" s="120" t="n">
        <x:v>46145.7390625</x:v>
      </x:c>
      <x:c r="O1168" s="117" t="str">
        <x:v>Sacha Pearce</x:v>
      </x:c>
      <x:c r="P1168" s="120" t="n">
        <x:v>46145.7391087963</x:v>
      </x:c>
      <x:c r="Q1168" s="117" t="str">
        <x:v>Sacha Pearce</x:v>
      </x:c>
      <x:c r="R1168" s="117" t="str">
        <x:v>FSL - CR Checklist</x:v>
      </x:c>
      <x:c r="S1168" s="119" t="str">
        <x:v>03/05/2026 - SP - Introducing comments fields per section instead of per field.</x:v>
      </x:c>
    </x:row>
    <x:row r="1169" ht="30" customHeight="1">
      <x:c r="A1169" s="117" t="str">
        <x:v>FSL_CR_Checklist</x:v>
      </x:c>
      <x:c r="B1169" s="117" t="str">
        <x:v>300Ro00000sJizMIAS</x:v>
      </x:c>
      <x:c r="C1169" s="117" t="str">
        <x:v>301Ro000014j4ZXIAY</x:v>
      </x:c>
      <x:c r="D1169" s="118" t="n">
        <x:v>3</x:v>
      </x:c>
      <x:c r="E1169" s="117" t="str">
        <x:v>Obsolete</x:v>
      </x:c>
      <x:c r="F1169" s="117" t="str">
        <x:v>No</x:v>
      </x:c>
      <x:c r="G1169" s="117" t="str">
        <x:v>No</x:v>
      </x:c>
      <x:c r="H1169" s="117" t="str">
        <x:v>FieldServiceMobile</x:v>
      </x:c>
      <x:c r="I1169" s="118"/>
      <x:c r="J1169" s="117" t="str">
        <x:v>unmanaged</x:v>
      </x:c>
      <x:c r="K1169" s="123" t="b">
        <x:v>0</x:v>
      </x:c>
      <x:c r="L1169" s="117"/>
      <x:c r="M1169" s="118"/>
      <x:c r="N1169" s="120" t="n">
        <x:v>46146.37268518518</x:v>
      </x:c>
      <x:c r="O1169" s="117" t="str">
        <x:v>Sacha Pearce</x:v>
      </x:c>
      <x:c r="P1169" s="120" t="n">
        <x:v>46146.476377314815</x:v>
      </x:c>
      <x:c r="Q1169" s="117" t="str">
        <x:v>Sacha Pearce</x:v>
      </x:c>
      <x:c r="R1169" s="117" t="str">
        <x:v>FSL - CR Checklist</x:v>
      </x:c>
      <x:c r="S1169" s="119" t="str">
        <x:v>03/05/2026 - SP - Saving to store elements before removing unnecessary ones.</x:v>
      </x:c>
    </x:row>
    <x:row r="1170" ht="30" customHeight="1">
      <x:c r="A1170" s="117" t="str">
        <x:v>FSL_CR_Checklist</x:v>
      </x:c>
      <x:c r="B1170" s="117" t="str">
        <x:v>300Ro00000sJizMIAS</x:v>
      </x:c>
      <x:c r="C1170" s="117" t="str">
        <x:v>301Ro000014jblPIAQ</x:v>
      </x:c>
      <x:c r="D1170" s="118" t="n">
        <x:v>4</x:v>
      </x:c>
      <x:c r="E1170" s="117" t="str">
        <x:v>Obsolete</x:v>
      </x:c>
      <x:c r="F1170" s="117" t="str">
        <x:v>No</x:v>
      </x:c>
      <x:c r="G1170" s="117" t="str">
        <x:v>No</x:v>
      </x:c>
      <x:c r="H1170" s="117" t="str">
        <x:v>FieldServiceMobile</x:v>
      </x:c>
      <x:c r="I1170" s="118"/>
      <x:c r="J1170" s="117" t="str">
        <x:v>unmanaged</x:v>
      </x:c>
      <x:c r="K1170" s="123" t="b">
        <x:v>0</x:v>
      </x:c>
      <x:c r="L1170" s="117"/>
      <x:c r="M1170" s="118"/>
      <x:c r="N1170" s="120" t="n">
        <x:v>46146.48688657407</x:v>
      </x:c>
      <x:c r="O1170" s="117" t="str">
        <x:v>Sacha Pearce</x:v>
      </x:c>
      <x:c r="P1170" s="120" t="n">
        <x:v>46146.48701388889</x:v>
      </x:c>
      <x:c r="Q1170" s="117" t="str">
        <x:v>Sacha Pearce</x:v>
      </x:c>
      <x:c r="R1170" s="117" t="str">
        <x:v>FSL - CR Checklist</x:v>
      </x:c>
      <x:c r="S1170" s="119"/>
    </x:row>
    <x:row r="1171" ht="30" customHeight="1">
      <x:c r="A1171" s="117" t="str">
        <x:v>FSL_CR_Checklist</x:v>
      </x:c>
      <x:c r="B1171" s="117" t="str">
        <x:v>300Ro00000sJizMIAS</x:v>
      </x:c>
      <x:c r="C1171" s="117" t="str">
        <x:v>301Ro000014jacRIAQ</x:v>
      </x:c>
      <x:c r="D1171" s="118" t="n">
        <x:v>5</x:v>
      </x:c>
      <x:c r="E1171" s="117" t="str">
        <x:v>Obsolete</x:v>
      </x:c>
      <x:c r="F1171" s="117" t="str">
        <x:v>No</x:v>
      </x:c>
      <x:c r="G1171" s="117" t="str">
        <x:v>No</x:v>
      </x:c>
      <x:c r="H1171" s="117" t="str">
        <x:v>FieldServiceMobile</x:v>
      </x:c>
      <x:c r="I1171" s="118"/>
      <x:c r="J1171" s="117" t="str">
        <x:v>unmanaged</x:v>
      </x:c>
      <x:c r="K1171" s="123" t="b">
        <x:v>0</x:v>
      </x:c>
      <x:c r="L1171" s="117"/>
      <x:c r="M1171" s="118"/>
      <x:c r="N1171" s="120" t="n">
        <x:v>46146.49120370371</x:v>
      </x:c>
      <x:c r="O1171" s="117" t="str">
        <x:v>Sacha Pearce</x:v>
      </x:c>
      <x:c r="P1171" s="120" t="n">
        <x:v>46146.4912962963</x:v>
      </x:c>
      <x:c r="Q1171" s="117" t="str">
        <x:v>Sacha Pearce</x:v>
      </x:c>
      <x:c r="R1171" s="117" t="str">
        <x:v>FSL - CR Checklist</x:v>
      </x:c>
      <x:c r="S1171" s="119"/>
    </x:row>
    <x:row r="1172" ht="30" customHeight="1">
      <x:c r="A1172" s="117" t="str">
        <x:v>FSL_CR_Checklist</x:v>
      </x:c>
      <x:c r="B1172" s="117" t="str">
        <x:v>300Ro00000sJizMIAS</x:v>
      </x:c>
      <x:c r="C1172" s="117" t="str">
        <x:v>301Ro000015dNUPIA2</x:v>
      </x:c>
      <x:c r="D1172" s="118" t="n">
        <x:v>6</x:v>
      </x:c>
      <x:c r="E1172" s="117" t="str">
        <x:v>Active</x:v>
      </x:c>
      <x:c r="F1172" s="117" t="str">
        <x:v>Yes</x:v>
      </x:c>
      <x:c r="G1172" s="117" t="str">
        <x:v>Yes</x:v>
      </x:c>
      <x:c r="H1172" s="117" t="str">
        <x:v>FieldServiceMobile</x:v>
      </x:c>
      <x:c r="I1172" s="118"/>
      <x:c r="J1172" s="117" t="str">
        <x:v>unmanaged</x:v>
      </x:c>
      <x:c r="K1172" s="123" t="b">
        <x:v>0</x:v>
      </x:c>
      <x:c r="L1172" s="117"/>
      <x:c r="M1172" s="118"/>
      <x:c r="N1172" s="120" t="n">
        <x:v>46156.42930555555</x:v>
      </x:c>
      <x:c r="O1172" s="117" t="str">
        <x:v>Sacha Pearce</x:v>
      </x:c>
      <x:c r="P1172" s="120" t="n">
        <x:v>46156.42938657408</x:v>
      </x:c>
      <x:c r="Q1172" s="117" t="str">
        <x:v>Sacha Pearce</x:v>
      </x:c>
      <x:c r="R1172" s="117" t="str">
        <x:v>FSL - CR Checklist</x:v>
      </x:c>
      <x:c r="S1172" s="119"/>
    </x:row>
    <x:row r="1173" ht="30" customHeight="1">
      <x:c r="A1173" s="117" t="str">
        <x:v>FSL_Engineer_Dispatched_Email_Alert</x:v>
      </x:c>
      <x:c r="B1173" s="117" t="str">
        <x:v>300Ro00000XP224IAD</x:v>
      </x:c>
      <x:c r="C1173" s="117" t="str">
        <x:v>301Ro00000b1qXBIAY</x:v>
      </x:c>
      <x:c r="D1173" s="118" t="n">
        <x:v>1</x:v>
      </x:c>
      <x:c r="E1173" s="117" t="str">
        <x:v>Obsolete</x:v>
      </x:c>
      <x:c r="F1173" s="117" t="str">
        <x:v>No</x:v>
      </x:c>
      <x:c r="G1173" s="117" t="str">
        <x:v>No</x:v>
      </x:c>
      <x:c r="H1173" s="117" t="str">
        <x:v>AutoLaunchedFlow</x:v>
      </x:c>
      <x:c r="I1173" s="118" t="n">
        <x:v>63</x:v>
      </x:c>
      <x:c r="J1173" s="117" t="str">
        <x:v>unmanaged</x:v>
      </x:c>
      <x:c r="K1173" s="123" t="b">
        <x:v>0</x:v>
      </x:c>
      <x:c r="L1173" s="117"/>
      <x:c r="M1173" s="118"/>
      <x:c r="N1173" s="120" t="n">
        <x:v>45817.82418981481</x:v>
      </x:c>
      <x:c r="O1173" s="117" t="str">
        <x:v>Sacha Pearce</x:v>
      </x:c>
      <x:c r="P1173" s="120" t="n">
        <x:v>45817.82622685185</x:v>
      </x:c>
      <x:c r="Q1173" s="117" t="str">
        <x:v>Sacha Pearce</x:v>
      </x:c>
      <x:c r="R1173" s="117" t="str">
        <x:v>FSL - Engineer Dispatched Email Alert</x:v>
      </x:c>
      <x:c r="S1173" s="119"/>
    </x:row>
    <x:row r="1174" ht="30" customHeight="1">
      <x:c r="A1174" s="117" t="str">
        <x:v>FSL_Engineer_Dispatched_Email_Alert</x:v>
      </x:c>
      <x:c r="B1174" s="117" t="str">
        <x:v>300Ro00000XP224IAD</x:v>
      </x:c>
      <x:c r="C1174" s="117" t="str">
        <x:v>301Ro00000b1prFIAQ</x:v>
      </x:c>
      <x:c r="D1174" s="118" t="n">
        <x:v>2</x:v>
      </x:c>
      <x:c r="E1174" s="117" t="str">
        <x:v>Obsolete</x:v>
      </x:c>
      <x:c r="F1174" s="117" t="str">
        <x:v>No</x:v>
      </x:c>
      <x:c r="G1174" s="117" t="str">
        <x:v>No</x:v>
      </x:c>
      <x:c r="H1174" s="117" t="str">
        <x:v>AutoLaunchedFlow</x:v>
      </x:c>
      <x:c r="I1174" s="118" t="n">
        <x:v>63</x:v>
      </x:c>
      <x:c r="J1174" s="117" t="str">
        <x:v>unmanaged</x:v>
      </x:c>
      <x:c r="K1174" s="123" t="b">
        <x:v>0</x:v>
      </x:c>
      <x:c r="L1174" s="117"/>
      <x:c r="M1174" s="118"/>
      <x:c r="N1174" s="120" t="n">
        <x:v>45817.82879629629</x:v>
      </x:c>
      <x:c r="O1174" s="117" t="str">
        <x:v>Sacha Pearce</x:v>
      </x:c>
      <x:c r="P1174" s="120" t="n">
        <x:v>45817.82884259259</x:v>
      </x:c>
      <x:c r="Q1174" s="117" t="str">
        <x:v>Sacha Pearce</x:v>
      </x:c>
      <x:c r="R1174" s="117" t="str">
        <x:v>FSL - Engineer Dispatched Email Alert</x:v>
      </x:c>
      <x:c r="S1174" s="119"/>
    </x:row>
    <x:row r="1175" ht="30" customHeight="1">
      <x:c r="A1175" s="117" t="str">
        <x:v>FSL_Engineer_Dispatched_Email_Alert</x:v>
      </x:c>
      <x:c r="B1175" s="117" t="str">
        <x:v>300Ro00000XP224IAD</x:v>
      </x:c>
      <x:c r="C1175" s="117" t="str">
        <x:v>301Ro00000b1s17IAA</x:v>
      </x:c>
      <x:c r="D1175" s="118" t="n">
        <x:v>3</x:v>
      </x:c>
      <x:c r="E1175" s="117" t="str">
        <x:v>Obsolete</x:v>
      </x:c>
      <x:c r="F1175" s="117" t="str">
        <x:v>No</x:v>
      </x:c>
      <x:c r="G1175" s="117" t="str">
        <x:v>No</x:v>
      </x:c>
      <x:c r="H1175" s="117" t="str">
        <x:v>AutoLaunchedFlow</x:v>
      </x:c>
      <x:c r="I1175" s="118" t="n">
        <x:v>63</x:v>
      </x:c>
      <x:c r="J1175" s="117" t="str">
        <x:v>unmanaged</x:v>
      </x:c>
      <x:c r="K1175" s="123" t="b">
        <x:v>0</x:v>
      </x:c>
      <x:c r="L1175" s="117"/>
      <x:c r="M1175" s="118"/>
      <x:c r="N1175" s="120" t="n">
        <x:v>45817.83064814815</x:v>
      </x:c>
      <x:c r="O1175" s="117" t="str">
        <x:v>Sacha Pearce</x:v>
      </x:c>
      <x:c r="P1175" s="120" t="n">
        <x:v>45817.83068287037</x:v>
      </x:c>
      <x:c r="Q1175" s="117" t="str">
        <x:v>Sacha Pearce</x:v>
      </x:c>
      <x:c r="R1175" s="117" t="str">
        <x:v>FSL - Engineer Dispatched Email Alert</x:v>
      </x:c>
      <x:c r="S1175" s="119"/>
    </x:row>
    <x:row r="1176" ht="30" customHeight="1">
      <x:c r="A1176" s="117" t="str">
        <x:v>FSL_Engineer_Dispatched_Email_Alert</x:v>
      </x:c>
      <x:c r="B1176" s="117" t="str">
        <x:v>300Ro00000XP224IAD</x:v>
      </x:c>
      <x:c r="C1176" s="117" t="str">
        <x:v>301Ro00000b1xSCIAY</x:v>
      </x:c>
      <x:c r="D1176" s="118" t="n">
        <x:v>4</x:v>
      </x:c>
      <x:c r="E1176" s="117" t="str">
        <x:v>Obsolete</x:v>
      </x:c>
      <x:c r="F1176" s="117" t="str">
        <x:v>No</x:v>
      </x:c>
      <x:c r="G1176" s="117" t="str">
        <x:v>No</x:v>
      </x:c>
      <x:c r="H1176" s="117" t="str">
        <x:v>AutoLaunchedFlow</x:v>
      </x:c>
      <x:c r="I1176" s="118" t="n">
        <x:v>63</x:v>
      </x:c>
      <x:c r="J1176" s="117" t="str">
        <x:v>unmanaged</x:v>
      </x:c>
      <x:c r="K1176" s="123" t="b">
        <x:v>0</x:v>
      </x:c>
      <x:c r="L1176" s="117"/>
      <x:c r="M1176" s="118"/>
      <x:c r="N1176" s="120" t="n">
        <x:v>45817.832407407404</x:v>
      </x:c>
      <x:c r="O1176" s="117" t="str">
        <x:v>Sacha Pearce</x:v>
      </x:c>
      <x:c r="P1176" s="120" t="n">
        <x:v>45817.832453703704</x:v>
      </x:c>
      <x:c r="Q1176" s="117" t="str">
        <x:v>Sacha Pearce</x:v>
      </x:c>
      <x:c r="R1176" s="117" t="str">
        <x:v>FSL - Engineer Dispatched Email Alert</x:v>
      </x:c>
      <x:c r="S1176" s="119"/>
    </x:row>
    <x:row r="1177" ht="30" customHeight="1">
      <x:c r="A1177" s="117" t="str">
        <x:v>FSL_Engineer_Dispatched_Email_Alert</x:v>
      </x:c>
      <x:c r="B1177" s="117" t="str">
        <x:v>300Ro00000XP224IAD</x:v>
      </x:c>
      <x:c r="C1177" s="117" t="str">
        <x:v>301Ro00000b1jMFIAY</x:v>
      </x:c>
      <x:c r="D1177" s="118" t="n">
        <x:v>5</x:v>
      </x:c>
      <x:c r="E1177" s="117" t="str">
        <x:v>Obsolete</x:v>
      </x:c>
      <x:c r="F1177" s="117" t="str">
        <x:v>No</x:v>
      </x:c>
      <x:c r="G1177" s="117" t="str">
        <x:v>No</x:v>
      </x:c>
      <x:c r="H1177" s="117" t="str">
        <x:v>AutoLaunchedFlow</x:v>
      </x:c>
      <x:c r="I1177" s="118" t="n">
        <x:v>63</x:v>
      </x:c>
      <x:c r="J1177" s="117" t="str">
        <x:v>unmanaged</x:v>
      </x:c>
      <x:c r="K1177" s="123" t="b">
        <x:v>0</x:v>
      </x:c>
      <x:c r="L1177" s="117"/>
      <x:c r="M1177" s="118"/>
      <x:c r="N1177" s="120" t="n">
        <x:v>45817.83445601852</x:v>
      </x:c>
      <x:c r="O1177" s="117" t="str">
        <x:v>Sacha Pearce</x:v>
      </x:c>
      <x:c r="P1177" s="120" t="n">
        <x:v>45817.83456018518</x:v>
      </x:c>
      <x:c r="Q1177" s="117" t="str">
        <x:v>Sacha Pearce</x:v>
      </x:c>
      <x:c r="R1177" s="117" t="str">
        <x:v>FSL - Engineer Dispatched Email Alert</x:v>
      </x:c>
      <x:c r="S1177" s="119"/>
    </x:row>
    <x:row r="1178" ht="30" customHeight="1">
      <x:c r="A1178" s="117" t="str">
        <x:v>FSL_Engineer_Dispatched_Email_Alert</x:v>
      </x:c>
      <x:c r="B1178" s="117" t="str">
        <x:v>300Ro00000XP224IAD</x:v>
      </x:c>
      <x:c r="C1178" s="117" t="str">
        <x:v>301Ro00000b1gY3IAI</x:v>
      </x:c>
      <x:c r="D1178" s="118" t="n">
        <x:v>6</x:v>
      </x:c>
      <x:c r="E1178" s="117" t="str">
        <x:v>Obsolete</x:v>
      </x:c>
      <x:c r="F1178" s="117" t="str">
        <x:v>No</x:v>
      </x:c>
      <x:c r="G1178" s="117" t="str">
        <x:v>No</x:v>
      </x:c>
      <x:c r="H1178" s="117" t="str">
        <x:v>AutoLaunchedFlow</x:v>
      </x:c>
      <x:c r="I1178" s="118" t="n">
        <x:v>63</x:v>
      </x:c>
      <x:c r="J1178" s="117" t="str">
        <x:v>unmanaged</x:v>
      </x:c>
      <x:c r="K1178" s="123" t="b">
        <x:v>0</x:v>
      </x:c>
      <x:c r="L1178" s="117"/>
      <x:c r="M1178" s="118"/>
      <x:c r="N1178" s="120" t="n">
        <x:v>45817.83788194445</x:v>
      </x:c>
      <x:c r="O1178" s="117" t="str">
        <x:v>Sacha Pearce</x:v>
      </x:c>
      <x:c r="P1178" s="120" t="n">
        <x:v>45817.83792824074</x:v>
      </x:c>
      <x:c r="Q1178" s="117" t="str">
        <x:v>Sacha Pearce</x:v>
      </x:c>
      <x:c r="R1178" s="117" t="str">
        <x:v>FSL - Engineer Dispatched Email Alert</x:v>
      </x:c>
      <x:c r="S1178" s="119"/>
    </x:row>
    <x:row r="1179" ht="30" customHeight="1">
      <x:c r="A1179" s="117" t="str">
        <x:v>FSL_Engineer_Dispatched_Email_Alert</x:v>
      </x:c>
      <x:c r="B1179" s="117" t="str">
        <x:v>300Ro00000XP224IAD</x:v>
      </x:c>
      <x:c r="C1179" s="117" t="str">
        <x:v>301Ro00000bKKzlIAG</x:v>
      </x:c>
      <x:c r="D1179" s="118" t="n">
        <x:v>7</x:v>
      </x:c>
      <x:c r="E1179" s="117" t="str">
        <x:v>Obsolete</x:v>
      </x:c>
      <x:c r="F1179" s="117" t="str">
        <x:v>No</x:v>
      </x:c>
      <x:c r="G1179" s="117" t="str">
        <x:v>No</x:v>
      </x:c>
      <x:c r="H1179" s="117" t="str">
        <x:v>AutoLaunchedFlow</x:v>
      </x:c>
      <x:c r="I1179" s="118" t="n">
        <x:v>63</x:v>
      </x:c>
      <x:c r="J1179" s="117" t="str">
        <x:v>unmanaged</x:v>
      </x:c>
      <x:c r="K1179" s="123" t="b">
        <x:v>0</x:v>
      </x:c>
      <x:c r="L1179" s="117"/>
      <x:c r="M1179" s="118"/>
      <x:c r="N1179" s="120" t="n">
        <x:v>45819.43798611111</x:v>
      </x:c>
      <x:c r="O1179" s="117" t="str">
        <x:v>Sacha Pearce</x:v>
      </x:c>
      <x:c r="P1179" s="120" t="n">
        <x:v>45819.438043981485</x:v>
      </x:c>
      <x:c r="Q1179" s="117" t="str">
        <x:v>Sacha Pearce</x:v>
      </x:c>
      <x:c r="R1179" s="117" t="str">
        <x:v>FSL - Engineer Dispatched Email Alert</x:v>
      </x:c>
      <x:c r="S1179" s="119" t="str">
        <x:v>11/06/2025 - V7 - Added Appointment Type is not equal to Tech Support Call in the entry conditions. Spoke to the Ultrasound Dispatch Team and they do not need to be notified when Tech Support Calls are set to Dispatched. Case 00008417 also reported that duplicate emails were being sent for Tech Support Calls so this should now be solved as well.</x:v>
      </x:c>
    </x:row>
    <x:row r="1180" ht="30" customHeight="1">
      <x:c r="A1180" s="117" t="str">
        <x:v>FSL_Engineer_Dispatched_Email_Alert</x:v>
      </x:c>
      <x:c r="B1180" s="117" t="str">
        <x:v>300Ro00000XP224IAD</x:v>
      </x:c>
      <x:c r="C1180" s="117" t="str">
        <x:v>301Ro00000vgmfJIAQ</x:v>
      </x:c>
      <x:c r="D1180" s="118" t="n">
        <x:v>8</x:v>
      </x:c>
      <x:c r="E1180" s="117" t="str">
        <x:v>Active</x:v>
      </x:c>
      <x:c r="F1180" s="117" t="str">
        <x:v>Yes</x:v>
      </x:c>
      <x:c r="G1180" s="117" t="str">
        <x:v>Yes</x:v>
      </x:c>
      <x:c r="H1180" s="117" t="str">
        <x:v>AutoLaunchedFlow</x:v>
      </x:c>
      <x:c r="I1180" s="118" t="n">
        <x:v>63</x:v>
      </x:c>
      <x:c r="J1180" s="117" t="str">
        <x:v>unmanaged</x:v>
      </x:c>
      <x:c r="K1180" s="123" t="b">
        <x:v>0</x:v>
      </x:c>
      <x:c r="L1180" s="117"/>
      <x:c r="M1180" s="118"/>
      <x:c r="N1180" s="120" t="n">
        <x:v>46036.37550925926</x:v>
      </x:c>
      <x:c r="O1180" s="117" t="str">
        <x:v>Sacha Pearce</x:v>
      </x:c>
      <x:c r="P1180" s="120" t="n">
        <x:v>46036.37556712963</x:v>
      </x:c>
      <x:c r="Q1180" s="117" t="str">
        <x:v>Sacha Pearce</x:v>
      </x:c>
      <x:c r="R1180" s="117" t="str">
        <x:v>FSL - Engineer Dispatched Email Alert</x:v>
      </x:c>
      <x:c r="S1180" s="119" t="str">
        <x:v>11/06/2025 - V7 - Added Appointment Type is not equal to Tech Support Call in the entry conditions. Spoke to the Ultrasound Dispatch Team and they do not need to be notified when Tech Support Calls are set to Dispatched. Case 00008417 also reported that duplicate emails were being sent for Tech Support Calls so this should now be solved as well.
14/01/2025 - V8 - SP - Adding "Work Type" to the "Engineer DispatchedEmailTemplate" Text Template.</x:v>
      </x:c>
    </x:row>
    <x:row r="1181" ht="30" customHeight="1">
      <x:c r="A1181" s="117" t="str">
        <x:v>FSL_Field_Service_Mobile_Flow_Nuclear_Medicine_Checklist</x:v>
      </x:c>
      <x:c r="B1181" s="117" t="str">
        <x:v>300Ro00000vEXZZIA4</x:v>
      </x:c>
      <x:c r="C1181" s="117" t="str">
        <x:v>301Ro000014zQHLIA2</x:v>
      </x:c>
      <x:c r="D1181" s="118" t="n">
        <x:v>1</x:v>
      </x:c>
      <x:c r="E1181" s="117" t="str">
        <x:v>Draft</x:v>
      </x:c>
      <x:c r="F1181" s="117" t="str">
        <x:v>No</x:v>
      </x:c>
      <x:c r="G1181" s="117" t="str">
        <x:v>No</x:v>
      </x:c>
      <x:c r="H1181" s="117" t="str">
        <x:v>FieldServiceMobile</x:v>
      </x:c>
      <x:c r="I1181" s="118"/>
      <x:c r="J1181" s="117" t="str">
        <x:v>unmanaged</x:v>
      </x:c>
      <x:c r="K1181" s="123" t="b">
        <x:v>0</x:v>
      </x:c>
      <x:c r="L1181" s="117"/>
      <x:c r="M1181" s="118"/>
      <x:c r="N1181" s="120" t="n">
        <x:v>46148.884351851855</x:v>
      </x:c>
      <x:c r="O1181" s="117" t="str">
        <x:v>Sacha Pearce</x:v>
      </x:c>
      <x:c r="P1181" s="120" t="n">
        <x:v>46148.88439814815</x:v>
      </x:c>
      <x:c r="Q1181" s="117" t="str">
        <x:v>Sacha Pearce</x:v>
      </x:c>
      <x:c r="R1181" s="117" t="str">
        <x:v>FSL - Field Service Mobile Flow - Nuclear Medicine Checklist</x:v>
      </x:c>
      <x:c r="S1181" s="119"/>
    </x:row>
    <x:row r="1182" ht="30" customHeight="1">
      <x:c r="A1182" s="117" t="str">
        <x:v>FSL_Field_Service_Mobile_Flow_Nuclear_Medicine_Checklist</x:v>
      </x:c>
      <x:c r="B1182" s="117" t="str">
        <x:v>300Ro00000vEXZZIA4</x:v>
      </x:c>
      <x:c r="C1182" s="117" t="str">
        <x:v>301Ro0000151v60IAA</x:v>
      </x:c>
      <x:c r="D1182" s="118" t="n">
        <x:v>2</x:v>
      </x:c>
      <x:c r="E1182" s="117" t="str">
        <x:v>Draft</x:v>
      </x:c>
      <x:c r="F1182" s="117" t="str">
        <x:v>No</x:v>
      </x:c>
      <x:c r="G1182" s="117" t="str">
        <x:v>Yes</x:v>
      </x:c>
      <x:c r="H1182" s="117" t="str">
        <x:v>FieldServiceMobile</x:v>
      </x:c>
      <x:c r="I1182" s="118"/>
      <x:c r="J1182" s="117" t="str">
        <x:v>unmanaged</x:v>
      </x:c>
      <x:c r="K1182" s="123" t="b">
        <x:v>0</x:v>
      </x:c>
      <x:c r="L1182" s="117"/>
      <x:c r="M1182" s="118"/>
      <x:c r="N1182" s="120" t="n">
        <x:v>46149.43405092593</x:v>
      </x:c>
      <x:c r="O1182" s="117" t="str">
        <x:v>Sacha Pearce</x:v>
      </x:c>
      <x:c r="P1182" s="120" t="n">
        <x:v>46149.43409722222</x:v>
      </x:c>
      <x:c r="Q1182" s="117" t="str">
        <x:v>Sacha Pearce</x:v>
      </x:c>
      <x:c r="R1182" s="117" t="str">
        <x:v>FSL - Field Service Mobile Flow - Nuclear Medicine Checklist</x:v>
      </x:c>
      <x:c r="S1182" s="119" t="str">
        <x:v>07/05/2026 - SP - Reducing the number of fields and sections.</x:v>
      </x:c>
    </x:row>
    <x:row r="1183" ht="30" customHeight="1">
      <x:c r="A1183" s="117" t="str">
        <x:v>FSL_Formatted_HTML_Service_Report_Update</x:v>
      </x:c>
      <x:c r="B1183" s="117" t="str">
        <x:v>300Ro00000pEARxIAO</x:v>
      </x:c>
      <x:c r="C1183" s="117" t="str">
        <x:v>301Ro00000whoRaIAI</x:v>
      </x:c>
      <x:c r="D1183" s="118" t="n">
        <x:v>1</x:v>
      </x:c>
      <x:c r="E1183" s="117" t="str">
        <x:v>Obsolete</x:v>
      </x:c>
      <x:c r="F1183" s="117" t="str">
        <x:v>No</x:v>
      </x:c>
      <x:c r="G1183" s="117" t="str">
        <x:v>No</x:v>
      </x:c>
      <x:c r="H1183" s="117" t="str">
        <x:v>AutoLaunchedFlow</x:v>
      </x:c>
      <x:c r="I1183" s="118" t="n">
        <x:v>65</x:v>
      </x:c>
      <x:c r="J1183" s="117" t="str">
        <x:v>unmanaged</x:v>
      </x:c>
      <x:c r="K1183" s="123" t="b">
        <x:v>0</x:v>
      </x:c>
      <x:c r="L1183" s="117"/>
      <x:c r="M1183" s="118"/>
      <x:c r="N1183" s="120" t="n">
        <x:v>46049.39741898148</x:v>
      </x:c>
      <x:c r="O1183" s="117" t="str">
        <x:v>Sacha Pearce</x:v>
      </x:c>
      <x:c r="P1183" s="120" t="n">
        <x:v>46049.39775462963</x:v>
      </x:c>
      <x:c r="Q1183" s="117" t="str">
        <x:v>Sacha Pearce</x:v>
      </x:c>
      <x:c r="R1183" s="117" t="str">
        <x:v>FSL - Formatted HTML Service Report Update</x:v>
      </x:c>
      <x:c r="S1183" s="119"/>
    </x:row>
    <x:row r="1184" ht="30" customHeight="1">
      <x:c r="A1184" s="117" t="str">
        <x:v>FSL_Formatted_HTML_Service_Report_Update</x:v>
      </x:c>
      <x:c r="B1184" s="117" t="str">
        <x:v>300Ro00000pEARxIAO</x:v>
      </x:c>
      <x:c r="C1184" s="117" t="str">
        <x:v>301Ro00000wi0snIAA</x:v>
      </x:c>
      <x:c r="D1184" s="118" t="n">
        <x:v>2</x:v>
      </x:c>
      <x:c r="E1184" s="117" t="str">
        <x:v>Obsolete</x:v>
      </x:c>
      <x:c r="F1184" s="117" t="str">
        <x:v>No</x:v>
      </x:c>
      <x:c r="G1184" s="117" t="str">
        <x:v>No</x:v>
      </x:c>
      <x:c r="H1184" s="117" t="str">
        <x:v>AutoLaunchedFlow</x:v>
      </x:c>
      <x:c r="I1184" s="118" t="n">
        <x:v>65</x:v>
      </x:c>
      <x:c r="J1184" s="117" t="str">
        <x:v>unmanaged</x:v>
      </x:c>
      <x:c r="K1184" s="123" t="b">
        <x:v>0</x:v>
      </x:c>
      <x:c r="L1184" s="117"/>
      <x:c r="M1184" s="118"/>
      <x:c r="N1184" s="120" t="n">
        <x:v>46049.49569444444</x:v>
      </x:c>
      <x:c r="O1184" s="117" t="str">
        <x:v>Sacha Pearce</x:v>
      </x:c>
      <x:c r="P1184" s="120" t="n">
        <x:v>46049.49675925926</x:v>
      </x:c>
      <x:c r="Q1184" s="117" t="str">
        <x:v>Sacha Pearce</x:v>
      </x:c>
      <x:c r="R1184" s="117" t="str">
        <x:v>FSL - Formatted HTML Service Report Update</x:v>
      </x:c>
      <x:c r="S1184" s="119"/>
    </x:row>
    <x:row r="1185" ht="30" customHeight="1">
      <x:c r="A1185" s="117" t="str">
        <x:v>FSL_Formatted_HTML_Service_Report_Update</x:v>
      </x:c>
      <x:c r="B1185" s="117" t="str">
        <x:v>300Ro00000pEARxIAO</x:v>
      </x:c>
      <x:c r="C1185" s="117" t="str">
        <x:v>301Ro00000woeorIAA</x:v>
      </x:c>
      <x:c r="D1185" s="118" t="n">
        <x:v>3</x:v>
      </x:c>
      <x:c r="E1185" s="117" t="str">
        <x:v>Obsolete</x:v>
      </x:c>
      <x:c r="F1185" s="117" t="str">
        <x:v>No</x:v>
      </x:c>
      <x:c r="G1185" s="117" t="str">
        <x:v>No</x:v>
      </x:c>
      <x:c r="H1185" s="117" t="str">
        <x:v>AutoLaunchedFlow</x:v>
      </x:c>
      <x:c r="I1185" s="118" t="n">
        <x:v>65</x:v>
      </x:c>
      <x:c r="J1185" s="117" t="str">
        <x:v>unmanaged</x:v>
      </x:c>
      <x:c r="K1185" s="123" t="b">
        <x:v>0</x:v>
      </x:c>
      <x:c r="L1185" s="117"/>
      <x:c r="M1185" s="118"/>
      <x:c r="N1185" s="120" t="n">
        <x:v>46050.389699074076</x:v>
      </x:c>
      <x:c r="O1185" s="117" t="str">
        <x:v>Sacha Pearce</x:v>
      </x:c>
      <x:c r="P1185" s="120" t="n">
        <x:v>46050.39011574074</x:v>
      </x:c>
      <x:c r="Q1185" s="117" t="str">
        <x:v>Sacha Pearce</x:v>
      </x:c>
      <x:c r="R1185" s="117" t="str">
        <x:v>FSL - Formatted HTML Service Report Update</x:v>
      </x:c>
      <x:c r="S1185" s="119"/>
    </x:row>
    <x:row r="1186" ht="30" customHeight="1">
      <x:c r="A1186" s="117" t="str">
        <x:v>FSL_Formatted_HTML_Service_Report_Update</x:v>
      </x:c>
      <x:c r="B1186" s="117" t="str">
        <x:v>300Ro00000pEARxIAO</x:v>
      </x:c>
      <x:c r="C1186" s="117" t="str">
        <x:v>301Ro00000wofY1IAI</x:v>
      </x:c>
      <x:c r="D1186" s="118" t="n">
        <x:v>4</x:v>
      </x:c>
      <x:c r="E1186" s="117" t="str">
        <x:v>Obsolete</x:v>
      </x:c>
      <x:c r="F1186" s="117" t="str">
        <x:v>No</x:v>
      </x:c>
      <x:c r="G1186" s="117" t="str">
        <x:v>No</x:v>
      </x:c>
      <x:c r="H1186" s="117" t="str">
        <x:v>AutoLaunchedFlow</x:v>
      </x:c>
      <x:c r="I1186" s="118" t="n">
        <x:v>65</x:v>
      </x:c>
      <x:c r="J1186" s="117" t="str">
        <x:v>unmanaged</x:v>
      </x:c>
      <x:c r="K1186" s="123" t="b">
        <x:v>0</x:v>
      </x:c>
      <x:c r="L1186" s="117"/>
      <x:c r="M1186" s="118"/>
      <x:c r="N1186" s="120" t="n">
        <x:v>46050.39420138889</x:v>
      </x:c>
      <x:c r="O1186" s="117" t="str">
        <x:v>Sacha Pearce</x:v>
      </x:c>
      <x:c r="P1186" s="120" t="n">
        <x:v>46050.39451388889</x:v>
      </x:c>
      <x:c r="Q1186" s="117" t="str">
        <x:v>Sacha Pearce</x:v>
      </x:c>
      <x:c r="R1186" s="117" t="str">
        <x:v>FSL - Formatted HTML Service Report Update</x:v>
      </x:c>
      <x:c r="S1186" s="119"/>
    </x:row>
    <x:row r="1187" ht="30" customHeight="1">
      <x:c r="A1187" s="117" t="str">
        <x:v>FSL_Formatted_HTML_Service_Report_Update</x:v>
      </x:c>
      <x:c r="B1187" s="117" t="str">
        <x:v>300Ro00000pEARxIAO</x:v>
      </x:c>
      <x:c r="C1187" s="117" t="str">
        <x:v>301Ro00000wpegfIAA</x:v>
      </x:c>
      <x:c r="D1187" s="118" t="n">
        <x:v>5</x:v>
      </x:c>
      <x:c r="E1187" s="117" t="str">
        <x:v>Obsolete</x:v>
      </x:c>
      <x:c r="F1187" s="117" t="str">
        <x:v>No</x:v>
      </x:c>
      <x:c r="G1187" s="117" t="str">
        <x:v>No</x:v>
      </x:c>
      <x:c r="H1187" s="117" t="str">
        <x:v>AutoLaunchedFlow</x:v>
      </x:c>
      <x:c r="I1187" s="118" t="n">
        <x:v>65</x:v>
      </x:c>
      <x:c r="J1187" s="117" t="str">
        <x:v>unmanaged</x:v>
      </x:c>
      <x:c r="K1187" s="123" t="b">
        <x:v>0</x:v>
      </x:c>
      <x:c r="L1187" s="117"/>
      <x:c r="M1187" s="118"/>
      <x:c r="N1187" s="120" t="n">
        <x:v>46050.57622685185</x:v>
      </x:c>
      <x:c r="O1187" s="117" t="str">
        <x:v>Sacha Pearce</x:v>
      </x:c>
      <x:c r="P1187" s="120" t="n">
        <x:v>46050.57645833334</x:v>
      </x:c>
      <x:c r="Q1187" s="117" t="str">
        <x:v>Sacha Pearce</x:v>
      </x:c>
      <x:c r="R1187" s="117" t="str">
        <x:v>FSL - Formatted HTML Service Report Update</x:v>
      </x:c>
      <x:c r="S1187" s="119"/>
    </x:row>
    <x:row r="1188" ht="30" customHeight="1">
      <x:c r="A1188" s="117" t="str">
        <x:v>FSL_Formatted_HTML_Service_Report_Update</x:v>
      </x:c>
      <x:c r="B1188" s="117" t="str">
        <x:v>300Ro00000pEARxIAO</x:v>
      </x:c>
      <x:c r="C1188" s="117" t="str">
        <x:v>301Ro00000wqNlVIAU</x:v>
      </x:c>
      <x:c r="D1188" s="118" t="n">
        <x:v>6</x:v>
      </x:c>
      <x:c r="E1188" s="117" t="str">
        <x:v>Obsolete</x:v>
      </x:c>
      <x:c r="F1188" s="117" t="str">
        <x:v>No</x:v>
      </x:c>
      <x:c r="G1188" s="117" t="str">
        <x:v>No</x:v>
      </x:c>
      <x:c r="H1188" s="117" t="str">
        <x:v>AutoLaunchedFlow</x:v>
      </x:c>
      <x:c r="I1188" s="118" t="n">
        <x:v>65</x:v>
      </x:c>
      <x:c r="J1188" s="117" t="str">
        <x:v>unmanaged</x:v>
      </x:c>
      <x:c r="K1188" s="123" t="b">
        <x:v>0</x:v>
      </x:c>
      <x:c r="L1188" s="117"/>
      <x:c r="M1188" s="118"/>
      <x:c r="N1188" s="120" t="n">
        <x:v>46050.662199074075</x:v>
      </x:c>
      <x:c r="O1188" s="117" t="str">
        <x:v>Sacha Pearce</x:v>
      </x:c>
      <x:c r="P1188" s="120" t="n">
        <x:v>46051.44736111111</x:v>
      </x:c>
      <x:c r="Q1188" s="117" t="str">
        <x:v>Sacha Pearce</x:v>
      </x:c>
      <x:c r="R1188" s="117" t="str">
        <x:v>FSL - Formatted HTML Service Report Update</x:v>
      </x:c>
      <x:c r="S1188" s="119"/>
    </x:row>
    <x:row r="1189" ht="30" customHeight="1">
      <x:c r="A1189" s="117" t="str">
        <x:v>FSL_Formatted_HTML_Service_Report_Update</x:v>
      </x:c>
      <x:c r="B1189" s="117" t="str">
        <x:v>300Ro00000pEARxIAO</x:v>
      </x:c>
      <x:c r="C1189" s="117" t="str">
        <x:v>301Ro00000wuibPIAQ</x:v>
      </x:c>
      <x:c r="D1189" s="118" t="n">
        <x:v>7</x:v>
      </x:c>
      <x:c r="E1189" s="117" t="str">
        <x:v>Obsolete</x:v>
      </x:c>
      <x:c r="F1189" s="117" t="str">
        <x:v>No</x:v>
      </x:c>
      <x:c r="G1189" s="117" t="str">
        <x:v>No</x:v>
      </x:c>
      <x:c r="H1189" s="117" t="str">
        <x:v>AutoLaunchedFlow</x:v>
      </x:c>
      <x:c r="I1189" s="118" t="n">
        <x:v>65</x:v>
      </x:c>
      <x:c r="J1189" s="117" t="str">
        <x:v>unmanaged</x:v>
      </x:c>
      <x:c r="K1189" s="123" t="b">
        <x:v>0</x:v>
      </x:c>
      <x:c r="L1189" s="117"/>
      <x:c r="M1189" s="118"/>
      <x:c r="N1189" s="120" t="n">
        <x:v>46051.455613425926</x:v>
      </x:c>
      <x:c r="O1189" s="117" t="str">
        <x:v>Sacha Pearce</x:v>
      </x:c>
      <x:c r="P1189" s="120" t="n">
        <x:v>46051.455729166664</x:v>
      </x:c>
      <x:c r="Q1189" s="117" t="str">
        <x:v>Sacha Pearce</x:v>
      </x:c>
      <x:c r="R1189" s="117" t="str">
        <x:v>FSL - Formatted HTML Service Report Update</x:v>
      </x:c>
      <x:c r="S1189" s="119"/>
    </x:row>
    <x:row r="1190" ht="30" customHeight="1">
      <x:c r="A1190" s="117" t="str">
        <x:v>FSL_Formatted_HTML_Service_Report_Update</x:v>
      </x:c>
      <x:c r="B1190" s="117" t="str">
        <x:v>300Ro00000pEARxIAO</x:v>
      </x:c>
      <x:c r="C1190" s="117" t="str">
        <x:v>301Ro00000wvZ9JIAU</x:v>
      </x:c>
      <x:c r="D1190" s="118" t="n">
        <x:v>8</x:v>
      </x:c>
      <x:c r="E1190" s="117" t="str">
        <x:v>Obsolete</x:v>
      </x:c>
      <x:c r="F1190" s="117" t="str">
        <x:v>No</x:v>
      </x:c>
      <x:c r="G1190" s="117" t="str">
        <x:v>No</x:v>
      </x:c>
      <x:c r="H1190" s="117" t="str">
        <x:v>AutoLaunchedFlow</x:v>
      </x:c>
      <x:c r="I1190" s="118" t="n">
        <x:v>65</x:v>
      </x:c>
      <x:c r="J1190" s="117" t="str">
        <x:v>unmanaged</x:v>
      </x:c>
      <x:c r="K1190" s="123" t="b">
        <x:v>0</x:v>
      </x:c>
      <x:c r="L1190" s="117"/>
      <x:c r="M1190" s="118"/>
      <x:c r="N1190" s="120" t="n">
        <x:v>46051.45832175926</x:v>
      </x:c>
      <x:c r="O1190" s="117" t="str">
        <x:v>Sacha Pearce</x:v>
      </x:c>
      <x:c r="P1190" s="120" t="n">
        <x:v>46051.458391203705</x:v>
      </x:c>
      <x:c r="Q1190" s="117" t="str">
        <x:v>Sacha Pearce</x:v>
      </x:c>
      <x:c r="R1190" s="117" t="str">
        <x:v>FSL - Formatted HTML Service Report Update</x:v>
      </x:c>
      <x:c r="S1190" s="119"/>
    </x:row>
    <x:row r="1191" ht="30" customHeight="1">
      <x:c r="A1191" s="117" t="str">
        <x:v>FSL_Formatted_HTML_Service_Report_Update</x:v>
      </x:c>
      <x:c r="B1191" s="117" t="str">
        <x:v>300Ro00000pEARxIAO</x:v>
      </x:c>
      <x:c r="C1191" s="117" t="str">
        <x:v>301Ro00000wvZHNIA2</x:v>
      </x:c>
      <x:c r="D1191" s="118" t="n">
        <x:v>9</x:v>
      </x:c>
      <x:c r="E1191" s="117" t="str">
        <x:v>Obsolete</x:v>
      </x:c>
      <x:c r="F1191" s="117" t="str">
        <x:v>No</x:v>
      </x:c>
      <x:c r="G1191" s="117" t="str">
        <x:v>No</x:v>
      </x:c>
      <x:c r="H1191" s="117" t="str">
        <x:v>AutoLaunchedFlow</x:v>
      </x:c>
      <x:c r="I1191" s="118" t="n">
        <x:v>65</x:v>
      </x:c>
      <x:c r="J1191" s="117" t="str">
        <x:v>unmanaged</x:v>
      </x:c>
      <x:c r="K1191" s="123" t="b">
        <x:v>0</x:v>
      </x:c>
      <x:c r="L1191" s="117"/>
      <x:c r="M1191" s="118"/>
      <x:c r="N1191" s="120" t="n">
        <x:v>46051.458969907406</x:v>
      </x:c>
      <x:c r="O1191" s="117" t="str">
        <x:v>Sacha Pearce</x:v>
      </x:c>
      <x:c r="P1191" s="120" t="n">
        <x:v>46051.45903935185</x:v>
      </x:c>
      <x:c r="Q1191" s="117" t="str">
        <x:v>Sacha Pearce</x:v>
      </x:c>
      <x:c r="R1191" s="117" t="str">
        <x:v>FSL - Formatted HTML Service Report Update</x:v>
      </x:c>
      <x:c r="S1191" s="119"/>
    </x:row>
    <x:row r="1192" ht="30" customHeight="1">
      <x:c r="A1192" s="117" t="str">
        <x:v>FSL_Formatted_HTML_Service_Report_Update</x:v>
      </x:c>
      <x:c r="B1192" s="117" t="str">
        <x:v>300Ro00000pEARxIAO</x:v>
      </x:c>
      <x:c r="C1192" s="117" t="str">
        <x:v>301Ro00000wvQhSIAU</x:v>
      </x:c>
      <x:c r="D1192" s="118" t="n">
        <x:v>10</x:v>
      </x:c>
      <x:c r="E1192" s="117" t="str">
        <x:v>Obsolete</x:v>
      </x:c>
      <x:c r="F1192" s="117" t="str">
        <x:v>No</x:v>
      </x:c>
      <x:c r="G1192" s="117" t="str">
        <x:v>No</x:v>
      </x:c>
      <x:c r="H1192" s="117" t="str">
        <x:v>AutoLaunchedFlow</x:v>
      </x:c>
      <x:c r="I1192" s="118" t="n">
        <x:v>65</x:v>
      </x:c>
      <x:c r="J1192" s="117" t="str">
        <x:v>unmanaged</x:v>
      </x:c>
      <x:c r="K1192" s="123" t="b">
        <x:v>0</x:v>
      </x:c>
      <x:c r="L1192" s="117"/>
      <x:c r="M1192" s="118"/>
      <x:c r="N1192" s="120" t="n">
        <x:v>46051.46025462963</x:v>
      </x:c>
      <x:c r="O1192" s="117" t="str">
        <x:v>Sacha Pearce</x:v>
      </x:c>
      <x:c r="P1192" s="120" t="n">
        <x:v>46051.460324074076</x:v>
      </x:c>
      <x:c r="Q1192" s="117" t="str">
        <x:v>Sacha Pearce</x:v>
      </x:c>
      <x:c r="R1192" s="117" t="str">
        <x:v>FSL - Formatted HTML Service Report Update</x:v>
      </x:c>
      <x:c r="S1192" s="119"/>
    </x:row>
    <x:row r="1193" ht="30" customHeight="1">
      <x:c r="A1193" s="117" t="str">
        <x:v>FSL_Formatted_HTML_Service_Report_Update</x:v>
      </x:c>
      <x:c r="B1193" s="117" t="str">
        <x:v>300Ro00000pEARxIAO</x:v>
      </x:c>
      <x:c r="C1193" s="117" t="str">
        <x:v>301Ro00000wvWoBIAU</x:v>
      </x:c>
      <x:c r="D1193" s="118" t="n">
        <x:v>11</x:v>
      </x:c>
      <x:c r="E1193" s="117" t="str">
        <x:v>Obsolete</x:v>
      </x:c>
      <x:c r="F1193" s="117" t="str">
        <x:v>No</x:v>
      </x:c>
      <x:c r="G1193" s="117" t="str">
        <x:v>No</x:v>
      </x:c>
      <x:c r="H1193" s="117" t="str">
        <x:v>AutoLaunchedFlow</x:v>
      </x:c>
      <x:c r="I1193" s="118" t="n">
        <x:v>65</x:v>
      </x:c>
      <x:c r="J1193" s="117" t="str">
        <x:v>unmanaged</x:v>
      </x:c>
      <x:c r="K1193" s="123" t="b">
        <x:v>0</x:v>
      </x:c>
      <x:c r="L1193" s="117"/>
      <x:c r="M1193" s="118"/>
      <x:c r="N1193" s="120" t="n">
        <x:v>46051.463912037034</x:v>
      </x:c>
      <x:c r="O1193" s="117" t="str">
        <x:v>Sacha Pearce</x:v>
      </x:c>
      <x:c r="P1193" s="120" t="n">
        <x:v>46051.46403935185</x:v>
      </x:c>
      <x:c r="Q1193" s="117" t="str">
        <x:v>Sacha Pearce</x:v>
      </x:c>
      <x:c r="R1193" s="117" t="str">
        <x:v>FSL - Formatted HTML Service Report Update</x:v>
      </x:c>
      <x:c r="S1193" s="119"/>
    </x:row>
    <x:row r="1194" ht="30" customHeight="1">
      <x:c r="A1194" s="117" t="str">
        <x:v>FSL_Formatted_HTML_Service_Report_Update</x:v>
      </x:c>
      <x:c r="B1194" s="117" t="str">
        <x:v>300Ro00000pEARxIAO</x:v>
      </x:c>
      <x:c r="C1194" s="117" t="str">
        <x:v>301Ro0000119iNVIAY</x:v>
      </x:c>
      <x:c r="D1194" s="118" t="n">
        <x:v>12</x:v>
      </x:c>
      <x:c r="E1194" s="117" t="str">
        <x:v>Obsolete</x:v>
      </x:c>
      <x:c r="F1194" s="117" t="str">
        <x:v>No</x:v>
      </x:c>
      <x:c r="G1194" s="117" t="str">
        <x:v>No</x:v>
      </x:c>
      <x:c r="H1194" s="117" t="str">
        <x:v>AutoLaunchedFlow</x:v>
      </x:c>
      <x:c r="I1194" s="118" t="n">
        <x:v>65</x:v>
      </x:c>
      <x:c r="J1194" s="117" t="str">
        <x:v>unmanaged</x:v>
      </x:c>
      <x:c r="K1194" s="123" t="b">
        <x:v>0</x:v>
      </x:c>
      <x:c r="L1194" s="117"/>
      <x:c r="M1194" s="118"/>
      <x:c r="N1194" s="120" t="n">
        <x:v>46102.83802083333</x:v>
      </x:c>
      <x:c r="O1194" s="117" t="str">
        <x:v>Sacha Pearce</x:v>
      </x:c>
      <x:c r="P1194" s="120" t="n">
        <x:v>46102.83840277778</x:v>
      </x:c>
      <x:c r="Q1194" s="117" t="str">
        <x:v>Sacha Pearce</x:v>
      </x:c>
      <x:c r="R1194" s="117" t="str">
        <x:v>FSL - Formatted HTML Service Report Update</x:v>
      </x:c>
      <x:c r="S1194" s="119" t="str">
        <x:v>21/03/2026 - SP - Adding Ultrasound PCI HTML</x:v>
      </x:c>
    </x:row>
    <x:row r="1195" ht="30" customHeight="1">
      <x:c r="A1195" s="117" t="str">
        <x:v>FSL_Formatted_HTML_Service_Report_Update</x:v>
      </x:c>
      <x:c r="B1195" s="117" t="str">
        <x:v>300Ro00000pEARxIAO</x:v>
      </x:c>
      <x:c r="C1195" s="117" t="str">
        <x:v>301Ro0000119msVIAQ</x:v>
      </x:c>
      <x:c r="D1195" s="118" t="n">
        <x:v>13</x:v>
      </x:c>
      <x:c r="E1195" s="117" t="str">
        <x:v>Obsolete</x:v>
      </x:c>
      <x:c r="F1195" s="117" t="str">
        <x:v>No</x:v>
      </x:c>
      <x:c r="G1195" s="117" t="str">
        <x:v>No</x:v>
      </x:c>
      <x:c r="H1195" s="117" t="str">
        <x:v>AutoLaunchedFlow</x:v>
      </x:c>
      <x:c r="I1195" s="118" t="n">
        <x:v>65</x:v>
      </x:c>
      <x:c r="J1195" s="117" t="str">
        <x:v>unmanaged</x:v>
      </x:c>
      <x:c r="K1195" s="123" t="b">
        <x:v>0</x:v>
      </x:c>
      <x:c r="L1195" s="117"/>
      <x:c r="M1195" s="118"/>
      <x:c r="N1195" s="120" t="n">
        <x:v>46102.89034722222</x:v>
      </x:c>
      <x:c r="O1195" s="117" t="str">
        <x:v>Sacha Pearce</x:v>
      </x:c>
      <x:c r="P1195" s="120" t="n">
        <x:v>46102.890868055554</x:v>
      </x:c>
      <x:c r="Q1195" s="117" t="str">
        <x:v>Sacha Pearce</x:v>
      </x:c>
      <x:c r="R1195" s="117" t="str">
        <x:v>FSL - Formatted HTML Service Report Update</x:v>
      </x:c>
      <x:c r="S1195" s="119" t="str">
        <x:v>21/03/2026 - SP - Adding Ultrasound PCI HTML</x:v>
      </x:c>
    </x:row>
    <x:row r="1196" ht="30" customHeight="1">
      <x:c r="A1196" s="117" t="str">
        <x:v>FSL_Formatted_HTML_Service_Report_Update</x:v>
      </x:c>
      <x:c r="B1196" s="117" t="str">
        <x:v>300Ro00000pEARxIAO</x:v>
      </x:c>
      <x:c r="C1196" s="117" t="str">
        <x:v>301Ro0000119wrrIAA</x:v>
      </x:c>
      <x:c r="D1196" s="118" t="n">
        <x:v>14</x:v>
      </x:c>
      <x:c r="E1196" s="117" t="str">
        <x:v>Obsolete</x:v>
      </x:c>
      <x:c r="F1196" s="117" t="str">
        <x:v>No</x:v>
      </x:c>
      <x:c r="G1196" s="117" t="str">
        <x:v>No</x:v>
      </x:c>
      <x:c r="H1196" s="117" t="str">
        <x:v>AutoLaunchedFlow</x:v>
      </x:c>
      <x:c r="I1196" s="118" t="n">
        <x:v>65</x:v>
      </x:c>
      <x:c r="J1196" s="117" t="str">
        <x:v>unmanaged</x:v>
      </x:c>
      <x:c r="K1196" s="123" t="b">
        <x:v>0</x:v>
      </x:c>
      <x:c r="L1196" s="117"/>
      <x:c r="M1196" s="118"/>
      <x:c r="N1196" s="120" t="n">
        <x:v>46102.89119212963</x:v>
      </x:c>
      <x:c r="O1196" s="117" t="str">
        <x:v>Sacha Pearce</x:v>
      </x:c>
      <x:c r="P1196" s="120" t="n">
        <x:v>46102.89129629629</x:v>
      </x:c>
      <x:c r="Q1196" s="117" t="str">
        <x:v>Sacha Pearce</x:v>
      </x:c>
      <x:c r="R1196" s="117" t="str">
        <x:v>FSL - Formatted HTML Service Report Update</x:v>
      </x:c>
      <x:c r="S1196" s="119" t="str">
        <x:v>21/03/2026 - SP - Adding Ultrasound PCI HTML</x:v>
      </x:c>
    </x:row>
    <x:row r="1197" ht="30" customHeight="1">
      <x:c r="A1197" s="117" t="str">
        <x:v>FSL_Formatted_HTML_Service_Report_Update</x:v>
      </x:c>
      <x:c r="B1197" s="117" t="str">
        <x:v>300Ro00000pEARxIAO</x:v>
      </x:c>
      <x:c r="C1197" s="117" t="str">
        <x:v>301Ro0000119zksIAA</x:v>
      </x:c>
      <x:c r="D1197" s="118" t="n">
        <x:v>15</x:v>
      </x:c>
      <x:c r="E1197" s="117" t="str">
        <x:v>Obsolete</x:v>
      </x:c>
      <x:c r="F1197" s="117" t="str">
        <x:v>No</x:v>
      </x:c>
      <x:c r="G1197" s="117" t="str">
        <x:v>No</x:v>
      </x:c>
      <x:c r="H1197" s="117" t="str">
        <x:v>AutoLaunchedFlow</x:v>
      </x:c>
      <x:c r="I1197" s="118" t="n">
        <x:v>65</x:v>
      </x:c>
      <x:c r="J1197" s="117" t="str">
        <x:v>unmanaged</x:v>
      </x:c>
      <x:c r="K1197" s="123" t="b">
        <x:v>0</x:v>
      </x:c>
      <x:c r="L1197" s="117"/>
      <x:c r="M1197" s="118"/>
      <x:c r="N1197" s="120" t="n">
        <x:v>46102.89409722222</x:v>
      </x:c>
      <x:c r="O1197" s="117" t="str">
        <x:v>Sacha Pearce</x:v>
      </x:c>
      <x:c r="P1197" s="120" t="n">
        <x:v>46102.894212962965</x:v>
      </x:c>
      <x:c r="Q1197" s="117" t="str">
        <x:v>Sacha Pearce</x:v>
      </x:c>
      <x:c r="R1197" s="117" t="str">
        <x:v>FSL - Formatted HTML Service Report Update</x:v>
      </x:c>
      <x:c r="S1197" s="119" t="str">
        <x:v>21/03/2026 - SP - Adding Ultrasound PCI HTML</x:v>
      </x:c>
    </x:row>
    <x:row r="1198" ht="30" customHeight="1">
      <x:c r="A1198" s="117" t="str">
        <x:v>FSL_Formatted_HTML_Service_Report_Update</x:v>
      </x:c>
      <x:c r="B1198" s="117" t="str">
        <x:v>300Ro00000pEARxIAO</x:v>
      </x:c>
      <x:c r="C1198" s="117" t="str">
        <x:v>301Ro000014j1MzIAI</x:v>
      </x:c>
      <x:c r="D1198" s="118" t="n">
        <x:v>16</x:v>
      </x:c>
      <x:c r="E1198" s="117" t="str">
        <x:v>Obsolete</x:v>
      </x:c>
      <x:c r="F1198" s="117" t="str">
        <x:v>No</x:v>
      </x:c>
      <x:c r="G1198" s="117" t="str">
        <x:v>No</x:v>
      </x:c>
      <x:c r="H1198" s="117" t="str">
        <x:v>AutoLaunchedFlow</x:v>
      </x:c>
      <x:c r="I1198" s="118" t="n">
        <x:v>65</x:v>
      </x:c>
      <x:c r="J1198" s="117" t="str">
        <x:v>unmanaged</x:v>
      </x:c>
      <x:c r="K1198" s="123" t="b">
        <x:v>0</x:v>
      </x:c>
      <x:c r="L1198" s="117"/>
      <x:c r="M1198" s="118"/>
      <x:c r="N1198" s="120" t="n">
        <x:v>46146.37395833333</x:v>
      </x:c>
      <x:c r="O1198" s="117" t="str">
        <x:v>Sacha Pearce</x:v>
      </x:c>
      <x:c r="P1198" s="120" t="n">
        <x:v>46146.474965277775</x:v>
      </x:c>
      <x:c r="Q1198" s="117" t="str">
        <x:v>Sacha Pearce</x:v>
      </x:c>
      <x:c r="R1198" s="117" t="str">
        <x:v>FSL - Formatted HTML Service Report Update</x:v>
      </x:c>
      <x:c r="S1198" s="119" t="str">
        <x:v>21/03/2026 - SP - Adding CR Reader.</x:v>
      </x:c>
    </x:row>
    <x:row r="1199" ht="30" customHeight="1">
      <x:c r="A1199" s="117" t="str">
        <x:v>FSL_Formatted_HTML_Service_Report_Update</x:v>
      </x:c>
      <x:c r="B1199" s="117" t="str">
        <x:v>300Ro00000pEARxIAO</x:v>
      </x:c>
      <x:c r="C1199" s="117" t="str">
        <x:v>301Ro000014jilFIAQ</x:v>
      </x:c>
      <x:c r="D1199" s="118" t="n">
        <x:v>17</x:v>
      </x:c>
      <x:c r="E1199" s="117" t="str">
        <x:v>Obsolete</x:v>
      </x:c>
      <x:c r="F1199" s="117" t="str">
        <x:v>No</x:v>
      </x:c>
      <x:c r="G1199" s="117" t="str">
        <x:v>No</x:v>
      </x:c>
      <x:c r="H1199" s="117" t="str">
        <x:v>AutoLaunchedFlow</x:v>
      </x:c>
      <x:c r="I1199" s="118" t="n">
        <x:v>65</x:v>
      </x:c>
      <x:c r="J1199" s="117" t="str">
        <x:v>unmanaged</x:v>
      </x:c>
      <x:c r="K1199" s="123" t="b">
        <x:v>0</x:v>
      </x:c>
      <x:c r="L1199" s="117"/>
      <x:c r="M1199" s="118"/>
      <x:c r="N1199" s="120" t="n">
        <x:v>46146.47623842592</x:v>
      </x:c>
      <x:c r="O1199" s="117" t="str">
        <x:v>Sacha Pearce</x:v>
      </x:c>
      <x:c r="P1199" s="120" t="n">
        <x:v>46146.476319444446</x:v>
      </x:c>
      <x:c r="Q1199" s="117" t="str">
        <x:v>Sacha Pearce</x:v>
      </x:c>
      <x:c r="R1199" s="117" t="str">
        <x:v>FSL - Formatted HTML Service Report Update</x:v>
      </x:c>
      <x:c r="S1199" s="119" t="str">
        <x:v>21/03/2026 - SP - Adding CR Reader.</x:v>
      </x:c>
    </x:row>
    <x:row r="1200" ht="30" customHeight="1">
      <x:c r="A1200" s="117" t="str">
        <x:v>FSL_Formatted_HTML_Service_Report_Update</x:v>
      </x:c>
      <x:c r="B1200" s="117" t="str">
        <x:v>300Ro00000pEARxIAO</x:v>
      </x:c>
      <x:c r="C1200" s="117" t="str">
        <x:v>301Ro000014jg5EIAQ</x:v>
      </x:c>
      <x:c r="D1200" s="118" t="n">
        <x:v>18</x:v>
      </x:c>
      <x:c r="E1200" s="117" t="str">
        <x:v>Obsolete</x:v>
      </x:c>
      <x:c r="F1200" s="117" t="str">
        <x:v>No</x:v>
      </x:c>
      <x:c r="G1200" s="117" t="str">
        <x:v>No</x:v>
      </x:c>
      <x:c r="H1200" s="117" t="str">
        <x:v>AutoLaunchedFlow</x:v>
      </x:c>
      <x:c r="I1200" s="118" t="n">
        <x:v>65</x:v>
      </x:c>
      <x:c r="J1200" s="117" t="str">
        <x:v>unmanaged</x:v>
      </x:c>
      <x:c r="K1200" s="123" t="b">
        <x:v>0</x:v>
      </x:c>
      <x:c r="L1200" s="117"/>
      <x:c r="M1200" s="118"/>
      <x:c r="N1200" s="120" t="n">
        <x:v>46146.48986111111</x:v>
      </x:c>
      <x:c r="O1200" s="117" t="str">
        <x:v>Sacha Pearce</x:v>
      </x:c>
      <x:c r="P1200" s="120" t="n">
        <x:v>46146.489965277775</x:v>
      </x:c>
      <x:c r="Q1200" s="117" t="str">
        <x:v>Sacha Pearce</x:v>
      </x:c>
      <x:c r="R1200" s="117" t="str">
        <x:v>FSL - Formatted HTML Service Report Update</x:v>
      </x:c>
      <x:c r="S1200" s="119" t="str">
        <x:v>21/03/2026 - SP - Adding CR Reader.</x:v>
      </x:c>
    </x:row>
    <x:row r="1201" ht="30" customHeight="1">
      <x:c r="A1201" s="117" t="str">
        <x:v>FSL_Formatted_HTML_Service_Report_Update</x:v>
      </x:c>
      <x:c r="B1201" s="117" t="str">
        <x:v>300Ro00000pEARxIAO</x:v>
      </x:c>
      <x:c r="C1201" s="117" t="str">
        <x:v>301Ro000014zQ7nIAE</x:v>
      </x:c>
      <x:c r="D1201" s="118" t="n">
        <x:v>20</x:v>
      </x:c>
      <x:c r="E1201" s="117" t="str">
        <x:v>Obsolete</x:v>
      </x:c>
      <x:c r="F1201" s="117" t="str">
        <x:v>No</x:v>
      </x:c>
      <x:c r="G1201" s="117" t="str">
        <x:v>No</x:v>
      </x:c>
      <x:c r="H1201" s="117" t="str">
        <x:v>AutoLaunchedFlow</x:v>
      </x:c>
      <x:c r="I1201" s="118" t="n">
        <x:v>65</x:v>
      </x:c>
      <x:c r="J1201" s="117" t="str">
        <x:v>unmanaged</x:v>
      </x:c>
      <x:c r="K1201" s="123" t="b">
        <x:v>0</x:v>
      </x:c>
      <x:c r="L1201" s="117"/>
      <x:c r="M1201" s="118"/>
      <x:c r="N1201" s="120" t="n">
        <x:v>46148.88318287037</x:v>
      </x:c>
      <x:c r="O1201" s="117" t="str">
        <x:v>Sacha Pearce</x:v>
      </x:c>
      <x:c r="P1201" s="120" t="n">
        <x:v>46148.88517361111</x:v>
      </x:c>
      <x:c r="Q1201" s="117" t="str">
        <x:v>Sacha Pearce</x:v>
      </x:c>
      <x:c r="R1201" s="117" t="str">
        <x:v>FSL - Formatted HTML Service Report Update</x:v>
      </x:c>
      <x:c r="S1201" s="119" t="str">
        <x:v>21/03/2026 - SP - Introducing Maintenance Items and adding the Nuclear Medicine route to the Modality Check.</x:v>
      </x:c>
    </x:row>
    <x:row r="1202" ht="30" customHeight="1">
      <x:c r="A1202" s="117" t="str">
        <x:v>FSL_Formatted_HTML_Service_Report_Update</x:v>
      </x:c>
      <x:c r="B1202" s="117" t="str">
        <x:v>300Ro00000pEARxIAO</x:v>
      </x:c>
      <x:c r="C1202" s="117" t="str">
        <x:v>301Ro000014zWY3IAM</x:v>
      </x:c>
      <x:c r="D1202" s="118" t="n">
        <x:v>21</x:v>
      </x:c>
      <x:c r="E1202" s="117" t="str">
        <x:v>Obsolete</x:v>
      </x:c>
      <x:c r="F1202" s="117" t="str">
        <x:v>No</x:v>
      </x:c>
      <x:c r="G1202" s="117" t="str">
        <x:v>No</x:v>
      </x:c>
      <x:c r="H1202" s="117" t="str">
        <x:v>AutoLaunchedFlow</x:v>
      </x:c>
      <x:c r="I1202" s="118" t="n">
        <x:v>65</x:v>
      </x:c>
      <x:c r="J1202" s="117" t="str">
        <x:v>unmanaged</x:v>
      </x:c>
      <x:c r="K1202" s="123" t="b">
        <x:v>0</x:v>
      </x:c>
      <x:c r="L1202" s="117"/>
      <x:c r="M1202" s="118"/>
      <x:c r="N1202" s="120" t="n">
        <x:v>46148.88653935185</x:v>
      </x:c>
      <x:c r="O1202" s="117" t="str">
        <x:v>Sacha Pearce</x:v>
      </x:c>
      <x:c r="P1202" s="120" t="n">
        <x:v>46148.88662037037</x:v>
      </x:c>
      <x:c r="Q1202" s="117" t="str">
        <x:v>Sacha Pearce</x:v>
      </x:c>
      <x:c r="R1202" s="117" t="str">
        <x:v>FSL - Formatted HTML Service Report Update</x:v>
      </x:c>
      <x:c r="S1202" s="119" t="str">
        <x:v>21/03/2026 - SP - Introducing Maintenance Items and adding the Nuclear Medicine route to the Modality Check.</x:v>
      </x:c>
    </x:row>
    <x:row r="1203" ht="30" customHeight="1">
      <x:c r="A1203" s="117" t="str">
        <x:v>FSL_Formatted_HTML_Service_Report_Update</x:v>
      </x:c>
      <x:c r="B1203" s="117" t="str">
        <x:v>300Ro00000pEARxIAO</x:v>
      </x:c>
      <x:c r="C1203" s="117" t="str">
        <x:v>301Ro000014zgSYIAY</x:v>
      </x:c>
      <x:c r="D1203" s="118" t="n">
        <x:v>22</x:v>
      </x:c>
      <x:c r="E1203" s="117" t="str">
        <x:v>Obsolete</x:v>
      </x:c>
      <x:c r="F1203" s="117" t="str">
        <x:v>No</x:v>
      </x:c>
      <x:c r="G1203" s="117" t="str">
        <x:v>No</x:v>
      </x:c>
      <x:c r="H1203" s="117" t="str">
        <x:v>AutoLaunchedFlow</x:v>
      </x:c>
      <x:c r="I1203" s="118" t="n">
        <x:v>65</x:v>
      </x:c>
      <x:c r="J1203" s="117" t="str">
        <x:v>unmanaged</x:v>
      </x:c>
      <x:c r="K1203" s="123" t="b">
        <x:v>0</x:v>
      </x:c>
      <x:c r="L1203" s="117"/>
      <x:c r="M1203" s="118"/>
      <x:c r="N1203" s="120" t="n">
        <x:v>46148.8897337963</x:v>
      </x:c>
      <x:c r="O1203" s="117" t="str">
        <x:v>Sacha Pearce</x:v>
      </x:c>
      <x:c r="P1203" s="120" t="n">
        <x:v>46148.89010416667</x:v>
      </x:c>
      <x:c r="Q1203" s="117" t="str">
        <x:v>Sacha Pearce</x:v>
      </x:c>
      <x:c r="R1203" s="117" t="str">
        <x:v>FSL - Formatted HTML Service Report Update</x:v>
      </x:c>
      <x:c r="S1203" s="119" t="str">
        <x:v>21/03/2026 - SP - Introducing Maintenance Items and adding the Nuclear Medicine route to the Modality Check.</x:v>
      </x:c>
    </x:row>
    <x:row r="1204" ht="30" customHeight="1">
      <x:c r="A1204" s="117" t="str">
        <x:v>FSL_Formatted_HTML_Service_Report_Update</x:v>
      </x:c>
      <x:c r="B1204" s="117" t="str">
        <x:v>300Ro00000pEARxIAO</x:v>
      </x:c>
      <x:c r="C1204" s="117" t="str">
        <x:v>301Ro000014zdUhIAI</x:v>
      </x:c>
      <x:c r="D1204" s="118" t="n">
        <x:v>23</x:v>
      </x:c>
      <x:c r="E1204" s="117" t="str">
        <x:v>Obsolete</x:v>
      </x:c>
      <x:c r="F1204" s="117" t="str">
        <x:v>No</x:v>
      </x:c>
      <x:c r="G1204" s="117" t="str">
        <x:v>No</x:v>
      </x:c>
      <x:c r="H1204" s="117" t="str">
        <x:v>AutoLaunchedFlow</x:v>
      </x:c>
      <x:c r="I1204" s="118" t="n">
        <x:v>65</x:v>
      </x:c>
      <x:c r="J1204" s="117" t="str">
        <x:v>unmanaged</x:v>
      </x:c>
      <x:c r="K1204" s="123" t="b">
        <x:v>0</x:v>
      </x:c>
      <x:c r="L1204" s="117"/>
      <x:c r="M1204" s="118"/>
      <x:c r="N1204" s="120" t="n">
        <x:v>46148.892534722225</x:v>
      </x:c>
      <x:c r="O1204" s="117" t="str">
        <x:v>Sacha Pearce</x:v>
      </x:c>
      <x:c r="P1204" s="120" t="n">
        <x:v>46148.89262731482</x:v>
      </x:c>
      <x:c r="Q1204" s="117" t="str">
        <x:v>Sacha Pearce</x:v>
      </x:c>
      <x:c r="R1204" s="117" t="str">
        <x:v>FSL - Formatted HTML Service Report Update</x:v>
      </x:c>
      <x:c r="S1204" s="119" t="str">
        <x:v>21/03/2026 - SP - Introducing Maintenance Items and adding the Nuclear Medicine route to the Modality Check.</x:v>
      </x:c>
    </x:row>
    <x:row r="1205" ht="30" customHeight="1">
      <x:c r="A1205" s="117" t="str">
        <x:v>FSL_Formatted_HTML_Service_Report_Update</x:v>
      </x:c>
      <x:c r="B1205" s="117" t="str">
        <x:v>300Ro00000pEARxIAO</x:v>
      </x:c>
      <x:c r="C1205" s="117" t="str">
        <x:v>301Ro000014zL1bIAE</x:v>
      </x:c>
      <x:c r="D1205" s="118" t="n">
        <x:v>24</x:v>
      </x:c>
      <x:c r="E1205" s="117" t="str">
        <x:v>Obsolete</x:v>
      </x:c>
      <x:c r="F1205" s="117" t="str">
        <x:v>No</x:v>
      </x:c>
      <x:c r="G1205" s="117" t="str">
        <x:v>No</x:v>
      </x:c>
      <x:c r="H1205" s="117" t="str">
        <x:v>AutoLaunchedFlow</x:v>
      </x:c>
      <x:c r="I1205" s="118" t="n">
        <x:v>65</x:v>
      </x:c>
      <x:c r="J1205" s="117" t="str">
        <x:v>unmanaged</x:v>
      </x:c>
      <x:c r="K1205" s="123" t="b">
        <x:v>0</x:v>
      </x:c>
      <x:c r="L1205" s="117"/>
      <x:c r="M1205" s="118"/>
      <x:c r="N1205" s="120" t="n">
        <x:v>46148.89405092593</x:v>
      </x:c>
      <x:c r="O1205" s="117" t="str">
        <x:v>Sacha Pearce</x:v>
      </x:c>
      <x:c r="P1205" s="120" t="n">
        <x:v>46148.894155092596</x:v>
      </x:c>
      <x:c r="Q1205" s="117" t="str">
        <x:v>Sacha Pearce</x:v>
      </x:c>
      <x:c r="R1205" s="117" t="str">
        <x:v>FSL - Formatted HTML Service Report Update</x:v>
      </x:c>
      <x:c r="S1205" s="119" t="str">
        <x:v>21/03/2026 - SP - Introducing Maintenance Items and adding the Nuclear Medicine route to the Modality Check.</x:v>
      </x:c>
    </x:row>
    <x:row r="1206" ht="30" customHeight="1">
      <x:c r="A1206" s="117" t="str">
        <x:v>FSL_Formatted_HTML_Service_Report_Update</x:v>
      </x:c>
      <x:c r="B1206" s="117" t="str">
        <x:v>300Ro00000pEARxIAO</x:v>
      </x:c>
      <x:c r="C1206" s="117" t="str">
        <x:v>301Ro000014zOCLIA2</x:v>
      </x:c>
      <x:c r="D1206" s="118" t="n">
        <x:v>25</x:v>
      </x:c>
      <x:c r="E1206" s="117" t="str">
        <x:v>Obsolete</x:v>
      </x:c>
      <x:c r="F1206" s="117" t="str">
        <x:v>No</x:v>
      </x:c>
      <x:c r="G1206" s="117" t="str">
        <x:v>No</x:v>
      </x:c>
      <x:c r="H1206" s="117" t="str">
        <x:v>AutoLaunchedFlow</x:v>
      </x:c>
      <x:c r="I1206" s="118" t="n">
        <x:v>65</x:v>
      </x:c>
      <x:c r="J1206" s="117" t="str">
        <x:v>unmanaged</x:v>
      </x:c>
      <x:c r="K1206" s="123" t="b">
        <x:v>0</x:v>
      </x:c>
      <x:c r="L1206" s="117"/>
      <x:c r="M1206" s="118"/>
      <x:c r="N1206" s="120" t="n">
        <x:v>46148.89761574074</x:v>
      </x:c>
      <x:c r="O1206" s="117" t="str">
        <x:v>Sacha Pearce</x:v>
      </x:c>
      <x:c r="P1206" s="120" t="n">
        <x:v>46148.898252314815</x:v>
      </x:c>
      <x:c r="Q1206" s="117" t="str">
        <x:v>Sacha Pearce</x:v>
      </x:c>
      <x:c r="R1206" s="117" t="str">
        <x:v>FSL - Formatted HTML Service Report Update</x:v>
      </x:c>
      <x:c r="S1206" s="119" t="str">
        <x:v>21/03/2026 - SP - Introducing Maintenance Items and adding the Nuclear Medicine route to the Modality Check.</x:v>
      </x:c>
    </x:row>
    <x:row r="1207" ht="30" customHeight="1">
      <x:c r="A1207" s="117" t="str">
        <x:v>FSL_Formatted_HTML_Service_Report_Update</x:v>
      </x:c>
      <x:c r="B1207" s="117" t="str">
        <x:v>300Ro00000pEARxIAO</x:v>
      </x:c>
      <x:c r="C1207" s="117" t="str">
        <x:v>301Ro0000151oIrIAI</x:v>
      </x:c>
      <x:c r="D1207" s="118" t="n">
        <x:v>26</x:v>
      </x:c>
      <x:c r="E1207" s="117" t="str">
        <x:v>Obsolete</x:v>
      </x:c>
      <x:c r="F1207" s="117" t="str">
        <x:v>No</x:v>
      </x:c>
      <x:c r="G1207" s="117" t="str">
        <x:v>No</x:v>
      </x:c>
      <x:c r="H1207" s="117" t="str">
        <x:v>AutoLaunchedFlow</x:v>
      </x:c>
      <x:c r="I1207" s="118" t="n">
        <x:v>65</x:v>
      </x:c>
      <x:c r="J1207" s="117" t="str">
        <x:v>unmanaged</x:v>
      </x:c>
      <x:c r="K1207" s="123" t="b">
        <x:v>0</x:v>
      </x:c>
      <x:c r="L1207" s="117"/>
      <x:c r="M1207" s="118"/>
      <x:c r="N1207" s="120" t="n">
        <x:v>46149.43875</x:v>
      </x:c>
      <x:c r="O1207" s="117" t="str">
        <x:v>Sacha Pearce</x:v>
      </x:c>
      <x:c r="P1207" s="120" t="n">
        <x:v>46149.43881944445</x:v>
      </x:c>
      <x:c r="Q1207" s="117" t="str">
        <x:v>Sacha Pearce</x:v>
      </x:c>
      <x:c r="R1207" s="117" t="str">
        <x:v>FSL - Formatted HTML Service Report Update</x:v>
      </x:c>
      <x:c r="S1207" s="119" t="str">
        <x:v>21/03/2026 - SP - Introducing Maintenance Items and adding the Nuclear Medicine route to the Modality Check.</x:v>
      </x:c>
    </x:row>
    <x:row r="1208" ht="30" customHeight="1">
      <x:c r="A1208" s="117" t="str">
        <x:v>FSL_Formatted_HTML_Service_Report_Update</x:v>
      </x:c>
      <x:c r="B1208" s="117" t="str">
        <x:v>300Ro00000pEARxIAO</x:v>
      </x:c>
      <x:c r="C1208" s="117" t="str">
        <x:v>301Ro0000151oFaIAI</x:v>
      </x:c>
      <x:c r="D1208" s="118" t="n">
        <x:v>27</x:v>
      </x:c>
      <x:c r="E1208" s="117" t="str">
        <x:v>Obsolete</x:v>
      </x:c>
      <x:c r="F1208" s="117" t="str">
        <x:v>No</x:v>
      </x:c>
      <x:c r="G1208" s="117" t="str">
        <x:v>No</x:v>
      </x:c>
      <x:c r="H1208" s="117" t="str">
        <x:v>AutoLaunchedFlow</x:v>
      </x:c>
      <x:c r="I1208" s="118" t="n">
        <x:v>65</x:v>
      </x:c>
      <x:c r="J1208" s="117" t="str">
        <x:v>unmanaged</x:v>
      </x:c>
      <x:c r="K1208" s="123" t="b">
        <x:v>0</x:v>
      </x:c>
      <x:c r="L1208" s="117"/>
      <x:c r="M1208" s="118"/>
      <x:c r="N1208" s="120" t="n">
        <x:v>46149.443020833336</x:v>
      </x:c>
      <x:c r="O1208" s="117" t="str">
        <x:v>Sacha Pearce</x:v>
      </x:c>
      <x:c r="P1208" s="120" t="n">
        <x:v>46149.44311342593</x:v>
      </x:c>
      <x:c r="Q1208" s="117" t="str">
        <x:v>Sacha Pearce</x:v>
      </x:c>
      <x:c r="R1208" s="117" t="str">
        <x:v>FSL - Formatted HTML Service Report Update</x:v>
      </x:c>
      <x:c r="S1208" s="119" t="str">
        <x:v>21/03/2026 - SP - Introducing Maintenance Items and adding the Nuclear Medicine route to the Modality Check.</x:v>
      </x:c>
    </x:row>
    <x:row r="1209" ht="30" customHeight="1">
      <x:c r="A1209" s="117" t="str">
        <x:v>FSL_Formatted_HTML_Service_Report_Update</x:v>
      </x:c>
      <x:c r="B1209" s="117" t="str">
        <x:v>300Ro00000pEARxIAO</x:v>
      </x:c>
      <x:c r="C1209" s="117" t="str">
        <x:v>301Ro0000151vVWIAY</x:v>
      </x:c>
      <x:c r="D1209" s="118" t="n">
        <x:v>28</x:v>
      </x:c>
      <x:c r="E1209" s="117" t="str">
        <x:v>Obsolete</x:v>
      </x:c>
      <x:c r="F1209" s="117" t="str">
        <x:v>No</x:v>
      </x:c>
      <x:c r="G1209" s="117" t="str">
        <x:v>No</x:v>
      </x:c>
      <x:c r="H1209" s="117" t="str">
        <x:v>AutoLaunchedFlow</x:v>
      </x:c>
      <x:c r="I1209" s="118" t="n">
        <x:v>65</x:v>
      </x:c>
      <x:c r="J1209" s="117" t="str">
        <x:v>unmanaged</x:v>
      </x:c>
      <x:c r="K1209" s="123" t="b">
        <x:v>0</x:v>
      </x:c>
      <x:c r="L1209" s="117"/>
      <x:c r="M1209" s="118"/>
      <x:c r="N1209" s="120" t="n">
        <x:v>46149.44443287037</x:v>
      </x:c>
      <x:c r="O1209" s="117" t="str">
        <x:v>Sacha Pearce</x:v>
      </x:c>
      <x:c r="P1209" s="120" t="n">
        <x:v>46149.44459490741</x:v>
      </x:c>
      <x:c r="Q1209" s="117" t="str">
        <x:v>Sacha Pearce</x:v>
      </x:c>
      <x:c r="R1209" s="117" t="str">
        <x:v>FSL - Formatted HTML Service Report Update</x:v>
      </x:c>
      <x:c r="S1209" s="119" t="str">
        <x:v>21/03/2026 - SP - Introducing Maintenance Items and adding the Nuclear Medicine route to the Modality Check.</x:v>
      </x:c>
    </x:row>
    <x:row r="1210" ht="30" customHeight="1">
      <x:c r="A1210" s="117" t="str">
        <x:v>FSL_Formatted_HTML_Service_Report_Update</x:v>
      </x:c>
      <x:c r="B1210" s="117" t="str">
        <x:v>300Ro00000pEARxIAO</x:v>
      </x:c>
      <x:c r="C1210" s="117" t="str">
        <x:v>301Ro000015kCyvIAE</x:v>
      </x:c>
      <x:c r="D1210" s="118" t="n">
        <x:v>29</x:v>
      </x:c>
      <x:c r="E1210" s="117" t="str">
        <x:v>Obsolete</x:v>
      </x:c>
      <x:c r="F1210" s="117" t="str">
        <x:v>No</x:v>
      </x:c>
      <x:c r="G1210" s="117" t="str">
        <x:v>No</x:v>
      </x:c>
      <x:c r="H1210" s="117" t="str">
        <x:v>AutoLaunchedFlow</x:v>
      </x:c>
      <x:c r="I1210" s="118" t="n">
        <x:v>65</x:v>
      </x:c>
      <x:c r="J1210" s="117" t="str">
        <x:v>unmanaged</x:v>
      </x:c>
      <x:c r="K1210" s="123" t="b">
        <x:v>0</x:v>
      </x:c>
      <x:c r="L1210" s="117"/>
      <x:c r="M1210" s="118"/>
      <x:c r="N1210" s="120" t="n">
        <x:v>46157.41355324074</x:v>
      </x:c>
      <x:c r="O1210" s="117" t="str">
        <x:v>Sacha Pearce</x:v>
      </x:c>
      <x:c r="P1210" s="120" t="n">
        <x:v>46157.423854166664</x:v>
      </x:c>
      <x:c r="Q1210" s="117" t="str">
        <x:v>Sacha Pearce</x:v>
      </x:c>
      <x:c r="R1210" s="117" t="str">
        <x:v>FSL - Formatted HTML Service Report Update</x:v>
      </x:c>
      <x:c r="S1210" s="119" t="str">
        <x:v>21/03/2026 - SP - Adding the "Last Battery Replacement Date" field to the "UltrasoundformulaElectricalChecks".</x:v>
      </x:c>
    </x:row>
    <x:row r="1211" ht="30" customHeight="1">
      <x:c r="A1211" s="117" t="str">
        <x:v>FSL_Formatted_HTML_Service_Report_Update</x:v>
      </x:c>
      <x:c r="B1211" s="117" t="str">
        <x:v>300Ro00000pEARxIAO</x:v>
      </x:c>
      <x:c r="C1211" s="117" t="str">
        <x:v>301Ro000015kRt4IAE</x:v>
      </x:c>
      <x:c r="D1211" s="118" t="n">
        <x:v>30</x:v>
      </x:c>
      <x:c r="E1211" s="117" t="str">
        <x:v>Obsolete</x:v>
      </x:c>
      <x:c r="F1211" s="117" t="str">
        <x:v>No</x:v>
      </x:c>
      <x:c r="G1211" s="117" t="str">
        <x:v>No</x:v>
      </x:c>
      <x:c r="H1211" s="117" t="str">
        <x:v>AutoLaunchedFlow</x:v>
      </x:c>
      <x:c r="I1211" s="118" t="n">
        <x:v>65</x:v>
      </x:c>
      <x:c r="J1211" s="117" t="str">
        <x:v>unmanaged</x:v>
      </x:c>
      <x:c r="K1211" s="123" t="b">
        <x:v>0</x:v>
      </x:c>
      <x:c r="L1211" s="117"/>
      <x:c r="M1211" s="118"/>
      <x:c r="N1211" s="120" t="n">
        <x:v>46157.45891203704</x:v>
      </x:c>
      <x:c r="O1211" s="117" t="str">
        <x:v>Sacha Pearce</x:v>
      </x:c>
      <x:c r="P1211" s="120" t="n">
        <x:v>46157.45900462963</x:v>
      </x:c>
      <x:c r="Q1211" s="117" t="str">
        <x:v>Sacha Pearce</x:v>
      </x:c>
      <x:c r="R1211" s="117" t="str">
        <x:v>FSL - Formatted HTML Service Report Update</x:v>
      </x:c>
      <x:c r="S1211" s="119" t="str">
        <x:v>21/03/2026 - SP - Adding the "formulaLastBatteryReplacementDate" to display the date as DAY/MONTH/YEAR.</x:v>
      </x:c>
    </x:row>
    <x:row r="1212" ht="30" customHeight="1">
      <x:c r="A1212" s="117" t="str">
        <x:v>FSL_Formatted_HTML_Service_Report_Update</x:v>
      </x:c>
      <x:c r="B1212" s="117" t="str">
        <x:v>300Ro00000pEARxIAO</x:v>
      </x:c>
      <x:c r="C1212" s="117" t="str">
        <x:v>301Ro000015lngEIAQ</x:v>
      </x:c>
      <x:c r="D1212" s="118" t="n">
        <x:v>31</x:v>
      </x:c>
      <x:c r="E1212" s="117" t="str">
        <x:v>Obsolete</x:v>
      </x:c>
      <x:c r="F1212" s="117" t="str">
        <x:v>No</x:v>
      </x:c>
      <x:c r="G1212" s="117" t="str">
        <x:v>No</x:v>
      </x:c>
      <x:c r="H1212" s="117" t="str">
        <x:v>AutoLaunchedFlow</x:v>
      </x:c>
      <x:c r="I1212" s="118" t="n">
        <x:v>65</x:v>
      </x:c>
      <x:c r="J1212" s="117" t="str">
        <x:v>unmanaged</x:v>
      </x:c>
      <x:c r="K1212" s="123" t="b">
        <x:v>0</x:v>
      </x:c>
      <x:c r="L1212" s="117"/>
      <x:c r="M1212" s="118"/>
      <x:c r="N1212" s="120" t="n">
        <x:v>46157.61806712963</x:v>
      </x:c>
      <x:c r="O1212" s="117" t="str">
        <x:v>Sacha Pearce</x:v>
      </x:c>
      <x:c r="P1212" s="120" t="n">
        <x:v>46157.61819444445</x:v>
      </x:c>
      <x:c r="Q1212" s="117" t="str">
        <x:v>Sacha Pearce</x:v>
      </x:c>
      <x:c r="R1212" s="117" t="str">
        <x:v>FSL - Formatted HTML Service Report Update</x:v>
      </x:c>
      <x:c r="S1212" s="119" t="str">
        <x:v>21/03/2026 - SP - Amending the "CRReaderformulaPCChecks" to have "UPS and Battery" instead of "UPS Battery".</x:v>
      </x:c>
    </x:row>
    <x:row r="1213" ht="30" customHeight="1">
      <x:c r="A1213" s="117" t="str">
        <x:v>FSL_Formatted_HTML_Service_Report_Update</x:v>
      </x:c>
      <x:c r="B1213" s="117" t="str">
        <x:v>300Ro00000pEARxIAO</x:v>
      </x:c>
      <x:c r="C1213" s="117" t="str">
        <x:v>301Ro00001BYeFcIAL</x:v>
      </x:c>
      <x:c r="D1213" s="118" t="n">
        <x:v>32</x:v>
      </x:c>
      <x:c r="E1213" s="117" t="str">
        <x:v>Obsolete</x:v>
      </x:c>
      <x:c r="F1213" s="117" t="str">
        <x:v>No</x:v>
      </x:c>
      <x:c r="G1213" s="117" t="str">
        <x:v>No</x:v>
      </x:c>
      <x:c r="H1213" s="117" t="str">
        <x:v>AutoLaunchedFlow</x:v>
      </x:c>
      <x:c r="I1213" s="118" t="n">
        <x:v>65</x:v>
      </x:c>
      <x:c r="J1213" s="117" t="str">
        <x:v>unmanaged</x:v>
      </x:c>
      <x:c r="K1213" s="123" t="b">
        <x:v>0</x:v>
      </x:c>
      <x:c r="L1213" s="117"/>
      <x:c r="M1213" s="118"/>
      <x:c r="N1213" s="120" t="n">
        <x:v>46220.62200231481</x:v>
      </x:c>
      <x:c r="O1213" s="117" t="str">
        <x:v>Sacha Pearce</x:v>
      </x:c>
      <x:c r="P1213" s="120" t="n">
        <x:v>46220.62211805556</x:v>
      </x:c>
      <x:c r="Q1213" s="117" t="str">
        <x:v>Sacha Pearce</x:v>
      </x:c>
      <x:c r="R1213" s="117" t="str">
        <x:v>FSL - Formatted HTML Service Report Update</x:v>
      </x:c>
      <x:c r="S1213" s="119" t="str">
        <x:v>21/03/2026 - SP - Adding "C-Arm Pre-Contract Inspection" to the "C-Arm" decision route.</x:v>
      </x:c>
    </x:row>
    <x:row r="1214" ht="30" customHeight="1">
      <x:c r="A1214" s="117" t="str">
        <x:v>FSL_Formatted_HTML_Service_Report_Update</x:v>
      </x:c>
      <x:c r="B1214" s="117" t="str">
        <x:v>300Ro00000pEARxIAO</x:v>
      </x:c>
      <x:c r="C1214" s="117" t="str">
        <x:v>301Ro00001BjNgmIAF</x:v>
      </x:c>
      <x:c r="D1214" s="118" t="n">
        <x:v>33</x:v>
      </x:c>
      <x:c r="E1214" s="117" t="str">
        <x:v>Obsolete</x:v>
      </x:c>
      <x:c r="F1214" s="117" t="str">
        <x:v>No</x:v>
      </x:c>
      <x:c r="G1214" s="117" t="str">
        <x:v>No</x:v>
      </x:c>
      <x:c r="H1214" s="117" t="str">
        <x:v>AutoLaunchedFlow</x:v>
      </x:c>
      <x:c r="I1214" s="118" t="n">
        <x:v>65</x:v>
      </x:c>
      <x:c r="J1214" s="117" t="str">
        <x:v>unmanaged</x:v>
      </x:c>
      <x:c r="K1214" s="123" t="b">
        <x:v>0</x:v>
      </x:c>
      <x:c r="L1214" s="117"/>
      <x:c r="M1214" s="118"/>
      <x:c r="N1214" s="120" t="n">
        <x:v>46223.404641203706</x:v>
      </x:c>
      <x:c r="O1214" s="117" t="str">
        <x:v>Sacha Pearce</x:v>
      </x:c>
      <x:c r="P1214" s="120" t="n">
        <x:v>46223.4047337963</x:v>
      </x:c>
      <x:c r="Q1214" s="117" t="str">
        <x:v>Sacha Pearce</x:v>
      </x:c>
      <x:c r="R1214" s="117" t="str">
        <x:v>FSL - Formatted HTML Service Report Update</x:v>
      </x:c>
      <x:c r="S1214" s="119" t="str">
        <x:v>21/03/2026 - SP - Setting the "C-Arm" route to be OR instead of AND.</x:v>
      </x:c>
    </x:row>
    <x:row r="1215" ht="30" customHeight="1">
      <x:c r="A1215" s="117" t="str">
        <x:v>FSL_Formatted_HTML_Service_Report_Update</x:v>
      </x:c>
      <x:c r="B1215" s="117" t="str">
        <x:v>300Ro00000pEARxIAO</x:v>
      </x:c>
      <x:c r="C1215" s="117" t="str">
        <x:v>301Ro00001CTM8zIAH</x:v>
      </x:c>
      <x:c r="D1215" s="118" t="n">
        <x:v>34</x:v>
      </x:c>
      <x:c r="E1215" s="117" t="str">
        <x:v>Obsolete</x:v>
      </x:c>
      <x:c r="F1215" s="117" t="str">
        <x:v>No</x:v>
      </x:c>
      <x:c r="G1215" s="117" t="str">
        <x:v>No</x:v>
      </x:c>
      <x:c r="H1215" s="117" t="str">
        <x:v>AutoLaunchedFlow</x:v>
      </x:c>
      <x:c r="I1215" s="118" t="n">
        <x:v>65</x:v>
      </x:c>
      <x:c r="J1215" s="117" t="str">
        <x:v>unmanaged</x:v>
      </x:c>
      <x:c r="K1215" s="123" t="b">
        <x:v>0</x:v>
      </x:c>
      <x:c r="L1215" s="117"/>
      <x:c r="M1215" s="118"/>
      <x:c r="N1215" s="120" t="n">
        <x:v>46231.387025462966</x:v>
      </x:c>
      <x:c r="O1215" s="117" t="str">
        <x:v>Sacha Pearce</x:v>
      </x:c>
      <x:c r="P1215" s="120" t="n">
        <x:v>46231.387349537035</x:v>
      </x:c>
      <x:c r="Q1215" s="117" t="str">
        <x:v>Sacha Pearce</x:v>
      </x:c>
      <x:c r="R1215" s="117" t="str">
        <x:v>FSL - Formatted HTML Service Report Update</x:v>
      </x:c>
      <x:c r="S1215" s="119" t="str">
        <x:v>21/03/2026 - SP - Adding Ultrasound Electrical Safety Test.</x:v>
      </x:c>
    </x:row>
    <x:row r="1216" ht="30" customHeight="1">
      <x:c r="A1216" s="117" t="str">
        <x:v>FSL_Formatted_HTML_Service_Report_Update</x:v>
      </x:c>
      <x:c r="B1216" s="117" t="str">
        <x:v>300Ro00000pEARxIAO</x:v>
      </x:c>
      <x:c r="C1216" s="117" t="str">
        <x:v>301Ro00001CTH7iIAH</x:v>
      </x:c>
      <x:c r="D1216" s="118" t="n">
        <x:v>35</x:v>
      </x:c>
      <x:c r="E1216" s="117" t="str">
        <x:v>Active</x:v>
      </x:c>
      <x:c r="F1216" s="117" t="str">
        <x:v>Yes</x:v>
      </x:c>
      <x:c r="G1216" s="117" t="str">
        <x:v>Yes</x:v>
      </x:c>
      <x:c r="H1216" s="117" t="str">
        <x:v>AutoLaunchedFlow</x:v>
      </x:c>
      <x:c r="I1216" s="118" t="n">
        <x:v>65</x:v>
      </x:c>
      <x:c r="J1216" s="117" t="str">
        <x:v>unmanaged</x:v>
      </x:c>
      <x:c r="K1216" s="123" t="b">
        <x:v>0</x:v>
      </x:c>
      <x:c r="L1216" s="117"/>
      <x:c r="M1216" s="118"/>
      <x:c r="N1216" s="120" t="n">
        <x:v>46231.39329861111</x:v>
      </x:c>
      <x:c r="O1216" s="117" t="str">
        <x:v>Sacha Pearce</x:v>
      </x:c>
      <x:c r="P1216" s="120" t="n">
        <x:v>46231.39341435185</x:v>
      </x:c>
      <x:c r="Q1216" s="117" t="str">
        <x:v>Sacha Pearce</x:v>
      </x:c>
      <x:c r="R1216" s="117" t="str">
        <x:v>FSL - Formatted HTML Service Report Update</x:v>
      </x:c>
      <x:c r="S1216" s="119" t="str">
        <x:v>21/03/2026 - SP - Adding Ultrasound Electrical Safety Test.</x:v>
      </x:c>
    </x:row>
    <x:row r="1217" ht="30" customHeight="1">
      <x:c r="A1217" s="117" t="str">
        <x:v>FSL_Formatted_Service_Report_Update</x:v>
      </x:c>
      <x:c r="B1217" s="117" t="str">
        <x:v>300Ro00000mjG6bIAE</x:v>
      </x:c>
      <x:c r="C1217" s="117" t="str">
        <x:v>301Ro00000u7ZfJIAU</x:v>
      </x:c>
      <x:c r="D1217" s="118" t="n">
        <x:v>1</x:v>
      </x:c>
      <x:c r="E1217" s="117" t="str">
        <x:v>Obsolete</x:v>
      </x:c>
      <x:c r="F1217" s="117" t="str">
        <x:v>No</x:v>
      </x:c>
      <x:c r="G1217" s="117" t="str">
        <x:v>No</x:v>
      </x:c>
      <x:c r="H1217" s="117" t="str">
        <x:v>AutoLaunchedFlow</x:v>
      </x:c>
      <x:c r="I1217" s="118" t="n">
        <x:v>65</x:v>
      </x:c>
      <x:c r="J1217" s="117" t="str">
        <x:v>unmanaged</x:v>
      </x:c>
      <x:c r="K1217" s="123" t="b">
        <x:v>0</x:v>
      </x:c>
      <x:c r="L1217" s="117"/>
      <x:c r="M1217" s="118"/>
      <x:c r="N1217" s="120" t="n">
        <x:v>46005.88224537037</x:v>
      </x:c>
      <x:c r="O1217" s="117" t="str">
        <x:v>Sacha Pearce</x:v>
      </x:c>
      <x:c r="P1217" s="120" t="n">
        <x:v>46005.89405092593</x:v>
      </x:c>
      <x:c r="Q1217" s="117" t="str">
        <x:v>Sacha Pearce</x:v>
      </x:c>
      <x:c r="R1217" s="117" t="str">
        <x:v>FSL - Formatted Service Report Update</x:v>
      </x:c>
      <x:c r="S1217" s="119"/>
    </x:row>
    <x:row r="1218" ht="30" customHeight="1">
      <x:c r="A1218" s="117" t="str">
        <x:v>FSL_Formatted_Service_Report_Update</x:v>
      </x:c>
      <x:c r="B1218" s="117" t="str">
        <x:v>300Ro00000mjG6bIAE</x:v>
      </x:c>
      <x:c r="C1218" s="117" t="str">
        <x:v>301Ro00000u8WfCIAU</x:v>
      </x:c>
      <x:c r="D1218" s="118" t="n">
        <x:v>3</x:v>
      </x:c>
      <x:c r="E1218" s="117" t="str">
        <x:v>InvalidDraft</x:v>
      </x:c>
      <x:c r="F1218" s="117" t="str">
        <x:v>No</x:v>
      </x:c>
      <x:c r="G1218" s="117" t="str">
        <x:v>No</x:v>
      </x:c>
      <x:c r="H1218" s="117" t="str">
        <x:v>AutoLaunchedFlow</x:v>
      </x:c>
      <x:c r="I1218" s="118" t="n">
        <x:v>65</x:v>
      </x:c>
      <x:c r="J1218" s="117" t="str">
        <x:v>unmanaged</x:v>
      </x:c>
      <x:c r="K1218" s="123" t="b">
        <x:v>0</x:v>
      </x:c>
      <x:c r="L1218" s="117"/>
      <x:c r="M1218" s="118"/>
      <x:c r="N1218" s="120" t="n">
        <x:v>46006.41033564815</x:v>
      </x:c>
      <x:c r="O1218" s="117" t="str">
        <x:v>Sacha Pearce</x:v>
      </x:c>
      <x:c r="P1218" s="120" t="n">
        <x:v>46006.410358796296</x:v>
      </x:c>
      <x:c r="Q1218" s="117" t="str">
        <x:v>Sacha Pearce</x:v>
      </x:c>
      <x:c r="R1218" s="117" t="str">
        <x:v>FSL - Formatted Service Report Update</x:v>
      </x:c>
      <x:c r="S1218" s="119" t="str">
        <x:v>15/12/2025 - V3 - SP - Saving new version to remove "Equipment Handover Completed" to enable it to be swapped to the "Yes/No" GVS</x:v>
      </x:c>
    </x:row>
    <x:row r="1219" ht="30" customHeight="1">
      <x:c r="A1219" s="117" t="str">
        <x:v>FSL_Formatted_Service_Report_Update</x:v>
      </x:c>
      <x:c r="B1219" s="117" t="str">
        <x:v>300Ro00000mjG6bIAE</x:v>
      </x:c>
      <x:c r="C1219" s="117" t="str">
        <x:v>301Ro00000u8PNcIAM</x:v>
      </x:c>
      <x:c r="D1219" s="118" t="n">
        <x:v>4</x:v>
      </x:c>
      <x:c r="E1219" s="117" t="str">
        <x:v>Obsolete</x:v>
      </x:c>
      <x:c r="F1219" s="117" t="str">
        <x:v>No</x:v>
      </x:c>
      <x:c r="G1219" s="117" t="str">
        <x:v>No</x:v>
      </x:c>
      <x:c r="H1219" s="117" t="str">
        <x:v>AutoLaunchedFlow</x:v>
      </x:c>
      <x:c r="I1219" s="118" t="n">
        <x:v>65</x:v>
      </x:c>
      <x:c r="J1219" s="117" t="str">
        <x:v>unmanaged</x:v>
      </x:c>
      <x:c r="K1219" s="123" t="b">
        <x:v>0</x:v>
      </x:c>
      <x:c r="L1219" s="117"/>
      <x:c r="M1219" s="118"/>
      <x:c r="N1219" s="120" t="n">
        <x:v>46006.41232638889</x:v>
      </x:c>
      <x:c r="O1219" s="117" t="str">
        <x:v>Sacha Pearce</x:v>
      </x:c>
      <x:c r="P1219" s="120" t="n">
        <x:v>46006.41238425926</x:v>
      </x:c>
      <x:c r="Q1219" s="117" t="str">
        <x:v>Sacha Pearce</x:v>
      </x:c>
      <x:c r="R1219" s="117" t="str">
        <x:v>FSL - Formatted Service Report Update</x:v>
      </x:c>
      <x:c r="S1219" s="119" t="str">
        <x:v>15/12/2025 - V3 - SP - Saving new version to remove "Equipment Handover Completed" to enable it to be swapped to the "Yes/No" GVS</x:v>
      </x:c>
    </x:row>
    <x:row r="1220" ht="30" customHeight="1">
      <x:c r="A1220" s="117" t="str">
        <x:v>FSL_Formatted_Service_Report_Update</x:v>
      </x:c>
      <x:c r="B1220" s="117" t="str">
        <x:v>300Ro00000mjG6bIAE</x:v>
      </x:c>
      <x:c r="C1220" s="117" t="str">
        <x:v>301Ro00000u8U0iIAE</x:v>
      </x:c>
      <x:c r="D1220" s="118" t="n">
        <x:v>5</x:v>
      </x:c>
      <x:c r="E1220" s="117" t="str">
        <x:v>Obsolete</x:v>
      </x:c>
      <x:c r="F1220" s="117" t="str">
        <x:v>No</x:v>
      </x:c>
      <x:c r="G1220" s="117" t="str">
        <x:v>No</x:v>
      </x:c>
      <x:c r="H1220" s="117" t="str">
        <x:v>AutoLaunchedFlow</x:v>
      </x:c>
      <x:c r="I1220" s="118" t="n">
        <x:v>65</x:v>
      </x:c>
      <x:c r="J1220" s="117" t="str">
        <x:v>unmanaged</x:v>
      </x:c>
      <x:c r="K1220" s="123" t="b">
        <x:v>0</x:v>
      </x:c>
      <x:c r="L1220" s="117"/>
      <x:c r="M1220" s="118"/>
      <x:c r="N1220" s="120" t="n">
        <x:v>46006.495092592595</x:v>
      </x:c>
      <x:c r="O1220" s="117" t="str">
        <x:v>Sacha Pearce</x:v>
      </x:c>
      <x:c r="P1220" s="120" t="n">
        <x:v>46006.495162037034</x:v>
      </x:c>
      <x:c r="Q1220" s="117" t="str">
        <x:v>Sacha Pearce</x:v>
      </x:c>
      <x:c r="R1220" s="117" t="str">
        <x:v>FSL - Formatted Service Report Update</x:v>
      </x:c>
      <x:c r="S1220" s="119" t="str">
        <x:v>15/12/2025 - V3 - SP - Saving new version to remove "Equipment Handover Completed" to enable it to be swapped to the "Yes/No" GVS</x:v>
      </x:c>
    </x:row>
    <x:row r="1221" ht="30" customHeight="1">
      <x:c r="A1221" s="117" t="str">
        <x:v>FSL_Formatted_Service_Report_Update</x:v>
      </x:c>
      <x:c r="B1221" s="117" t="str">
        <x:v>300Ro00000mjG6bIAE</x:v>
      </x:c>
      <x:c r="C1221" s="117" t="str">
        <x:v>301Ro00000vWKHLIA4</x:v>
      </x:c>
      <x:c r="D1221" s="118" t="n">
        <x:v>6</x:v>
      </x:c>
      <x:c r="E1221" s="117" t="str">
        <x:v>Obsolete</x:v>
      </x:c>
      <x:c r="F1221" s="117" t="str">
        <x:v>No</x:v>
      </x:c>
      <x:c r="G1221" s="117" t="str">
        <x:v>No</x:v>
      </x:c>
      <x:c r="H1221" s="117" t="str">
        <x:v>AutoLaunchedFlow</x:v>
      </x:c>
      <x:c r="I1221" s="118" t="n">
        <x:v>65</x:v>
      </x:c>
      <x:c r="J1221" s="117" t="str">
        <x:v>unmanaged</x:v>
      </x:c>
      <x:c r="K1221" s="123" t="b">
        <x:v>0</x:v>
      </x:c>
      <x:c r="L1221" s="117"/>
      <x:c r="M1221" s="118"/>
      <x:c r="N1221" s="120" t="n">
        <x:v>46033.68665509259</x:v>
      </x:c>
      <x:c r="O1221" s="117" t="str">
        <x:v>Sacha Pearce</x:v>
      </x:c>
      <x:c r="P1221" s="120" t="n">
        <x:v>46033.686793981484</x:v>
      </x:c>
      <x:c r="Q1221" s="117" t="str">
        <x:v>Sacha Pearce</x:v>
      </x:c>
      <x:c r="R1221" s="117" t="str">
        <x:v>FSL - Formatted Service Report Update</x:v>
      </x:c>
      <x:c r="S1221" s="119" t="str">
        <x:v>15/12/2025 - V3 - SP - Saving new version to remove "Equipment Handover Completed" to enable it to be swapped to the "Yes/No" GVS
11/01/2025 - V6 - SP - New version incorporated different HTML formats for different modalities</x:v>
      </x:c>
    </x:row>
    <x:row r="1222" ht="30" customHeight="1">
      <x:c r="A1222" s="117" t="str">
        <x:v>FSL_Formatted_Service_Report_Update</x:v>
      </x:c>
      <x:c r="B1222" s="117" t="str">
        <x:v>300Ro00000mjG6bIAE</x:v>
      </x:c>
      <x:c r="C1222" s="117" t="str">
        <x:v>301Ro00000vW6O9IAK</x:v>
      </x:c>
      <x:c r="D1222" s="118" t="n">
        <x:v>7</x:v>
      </x:c>
      <x:c r="E1222" s="117" t="str">
        <x:v>Obsolete</x:v>
      </x:c>
      <x:c r="F1222" s="117" t="str">
        <x:v>No</x:v>
      </x:c>
      <x:c r="G1222" s="117" t="str">
        <x:v>No</x:v>
      </x:c>
      <x:c r="H1222" s="117" t="str">
        <x:v>AutoLaunchedFlow</x:v>
      </x:c>
      <x:c r="I1222" s="118" t="n">
        <x:v>65</x:v>
      </x:c>
      <x:c r="J1222" s="117" t="str">
        <x:v>unmanaged</x:v>
      </x:c>
      <x:c r="K1222" s="123" t="b">
        <x:v>0</x:v>
      </x:c>
      <x:c r="L1222" s="117"/>
      <x:c r="M1222" s="118"/>
      <x:c r="N1222" s="120" t="n">
        <x:v>46033.69253472222</x:v>
      </x:c>
      <x:c r="O1222" s="117" t="str">
        <x:v>Sacha Pearce</x:v>
      </x:c>
      <x:c r="P1222" s="120" t="n">
        <x:v>46033.69260416667</x:v>
      </x:c>
      <x:c r="Q1222" s="117" t="str">
        <x:v>Sacha Pearce</x:v>
      </x:c>
      <x:c r="R1222" s="117" t="str">
        <x:v>FSL - Formatted Service Report Update</x:v>
      </x:c>
      <x:c r="S1222" s="119" t="str">
        <x:v>15/12/2025 - V3 - SP - Saving new version to remove "Equipment Handover Completed" to enable it to be swapped to the "Yes/No" GVS
11/01/2025 - V6 - SP - New version incorporated different HTML formats for different modalities</x:v>
      </x:c>
    </x:row>
    <x:row r="1223" ht="30" customHeight="1">
      <x:c r="A1223" s="117" t="str">
        <x:v>FSL_Formatted_Service_Report_Update</x:v>
      </x:c>
      <x:c r="B1223" s="117" t="str">
        <x:v>300Ro00000mjG6bIAE</x:v>
      </x:c>
      <x:c r="C1223" s="117" t="str">
        <x:v>301Ro00000vWKR3IAO</x:v>
      </x:c>
      <x:c r="D1223" s="118" t="n">
        <x:v>8</x:v>
      </x:c>
      <x:c r="E1223" s="117" t="str">
        <x:v>Obsolete</x:v>
      </x:c>
      <x:c r="F1223" s="117" t="str">
        <x:v>No</x:v>
      </x:c>
      <x:c r="G1223" s="117" t="str">
        <x:v>No</x:v>
      </x:c>
      <x:c r="H1223" s="117" t="str">
        <x:v>AutoLaunchedFlow</x:v>
      </x:c>
      <x:c r="I1223" s="118" t="n">
        <x:v>65</x:v>
      </x:c>
      <x:c r="J1223" s="117" t="str">
        <x:v>unmanaged</x:v>
      </x:c>
      <x:c r="K1223" s="123" t="b">
        <x:v>0</x:v>
      </x:c>
      <x:c r="L1223" s="117"/>
      <x:c r="M1223" s="118"/>
      <x:c r="N1223" s="120" t="n">
        <x:v>46033.70165509259</x:v>
      </x:c>
      <x:c r="O1223" s="117" t="str">
        <x:v>Sacha Pearce</x:v>
      </x:c>
      <x:c r="P1223" s="120" t="n">
        <x:v>46033.70197916667</x:v>
      </x:c>
      <x:c r="Q1223" s="117" t="str">
        <x:v>Sacha Pearce</x:v>
      </x:c>
      <x:c r="R1223" s="117" t="str">
        <x:v>FSL - Formatted Service Report Update</x:v>
      </x:c>
      <x:c r="S1223" s="119" t="str">
        <x:v>15/12/2025 - V3 - SP - Saving new version to remove "Equipment Handover Completed" to enable it to be swapped to the "Yes/No" GVS
11/01/2025 - V6 - SP - New version incorporated different HTML formats for different modalities</x:v>
      </x:c>
    </x:row>
    <x:row r="1224" ht="30" customHeight="1">
      <x:c r="A1224" s="117" t="str">
        <x:v>FSL_Formatted_Service_Report_Update</x:v>
      </x:c>
      <x:c r="B1224" s="117" t="str">
        <x:v>300Ro00000mjG6bIAE</x:v>
      </x:c>
      <x:c r="C1224" s="117" t="str">
        <x:v>301Ro00000vuXYLIA2</x:v>
      </x:c>
      <x:c r="D1224" s="118" t="n">
        <x:v>9</x:v>
      </x:c>
      <x:c r="E1224" s="117" t="str">
        <x:v>Obsolete</x:v>
      </x:c>
      <x:c r="F1224" s="117" t="str">
        <x:v>No</x:v>
      </x:c>
      <x:c r="G1224" s="117" t="str">
        <x:v>No</x:v>
      </x:c>
      <x:c r="H1224" s="117" t="str">
        <x:v>AutoLaunchedFlow</x:v>
      </x:c>
      <x:c r="I1224" s="118" t="n">
        <x:v>65</x:v>
      </x:c>
      <x:c r="J1224" s="117" t="str">
        <x:v>unmanaged</x:v>
      </x:c>
      <x:c r="K1224" s="123" t="b">
        <x:v>0</x:v>
      </x:c>
      <x:c r="L1224" s="117"/>
      <x:c r="M1224" s="118"/>
      <x:c r="N1224" s="120" t="n">
        <x:v>46039.68200231482</x:v>
      </x:c>
      <x:c r="O1224" s="117" t="str">
        <x:v>Sacha Pearce</x:v>
      </x:c>
      <x:c r="P1224" s="120" t="n">
        <x:v>46039.84943287037</x:v>
      </x:c>
      <x:c r="Q1224" s="117" t="str">
        <x:v>Sacha Pearce</x:v>
      </x:c>
      <x:c r="R1224" s="117" t="str">
        <x:v>FSL - Formatted Service Report Update</x:v>
      </x:c>
      <x:c r="S1224" s="119" t="str">
        <x:v>15/12/2025 - V3 - SP - Saving new version to remove "Equipment Handover Completed" to enable it to be swapped to the "Yes/No" GVS
11/01/2025 - V6 - SP - New version incorporated different HTML formats for different modalities</x:v>
      </x:c>
    </x:row>
    <x:row r="1225" ht="30" customHeight="1">
      <x:c r="A1225" s="117" t="str">
        <x:v>FSL_Formatted_Service_Report_Update</x:v>
      </x:c>
      <x:c r="B1225" s="117" t="str">
        <x:v>300Ro00000mjG6bIAE</x:v>
      </x:c>
      <x:c r="C1225" s="117" t="str">
        <x:v>301Ro00000vuLtoIAE</x:v>
      </x:c>
      <x:c r="D1225" s="118" t="n">
        <x:v>10</x:v>
      </x:c>
      <x:c r="E1225" s="117" t="str">
        <x:v>Obsolete</x:v>
      </x:c>
      <x:c r="F1225" s="117" t="str">
        <x:v>No</x:v>
      </x:c>
      <x:c r="G1225" s="117" t="str">
        <x:v>No</x:v>
      </x:c>
      <x:c r="H1225" s="117" t="str">
        <x:v>AutoLaunchedFlow</x:v>
      </x:c>
      <x:c r="I1225" s="118" t="n">
        <x:v>65</x:v>
      </x:c>
      <x:c r="J1225" s="117" t="str">
        <x:v>unmanaged</x:v>
      </x:c>
      <x:c r="K1225" s="123" t="b">
        <x:v>0</x:v>
      </x:c>
      <x:c r="L1225" s="117"/>
      <x:c r="M1225" s="118"/>
      <x:c r="N1225" s="120" t="n">
        <x:v>46039.85050925926</x:v>
      </x:c>
      <x:c r="O1225" s="117" t="str">
        <x:v>Sacha Pearce</x:v>
      </x:c>
      <x:c r="P1225" s="120" t="n">
        <x:v>46039.85056712963</x:v>
      </x:c>
      <x:c r="Q1225" s="117" t="str">
        <x:v>Sacha Pearce</x:v>
      </x:c>
      <x:c r="R1225" s="117" t="str">
        <x:v>FSL - Formatted Service Report Update</x:v>
      </x:c>
      <x:c r="S1225" s="119" t="str">
        <x:v>15/12/2025 - V3 - SP - Saving new version to remove "Equipment Handover Completed" to enable it to be swapped to the "Yes/No" GVS
11/01/2025 - V6 - SP - New version incorporated different HTML formats for different modalities</x:v>
      </x:c>
    </x:row>
    <x:row r="1226" ht="30" customHeight="1">
      <x:c r="A1226" s="117" t="str">
        <x:v>FSL_Formatted_Service_Report_Update</x:v>
      </x:c>
      <x:c r="B1226" s="117" t="str">
        <x:v>300Ro00000mjG6bIAE</x:v>
      </x:c>
      <x:c r="C1226" s="117" t="str">
        <x:v>301Ro00000vuakrIAA</x:v>
      </x:c>
      <x:c r="D1226" s="118" t="n">
        <x:v>11</x:v>
      </x:c>
      <x:c r="E1226" s="117" t="str">
        <x:v>Obsolete</x:v>
      </x:c>
      <x:c r="F1226" s="117" t="str">
        <x:v>No</x:v>
      </x:c>
      <x:c r="G1226" s="117" t="str">
        <x:v>No</x:v>
      </x:c>
      <x:c r="H1226" s="117" t="str">
        <x:v>AutoLaunchedFlow</x:v>
      </x:c>
      <x:c r="I1226" s="118" t="n">
        <x:v>65</x:v>
      </x:c>
      <x:c r="J1226" s="117" t="str">
        <x:v>unmanaged</x:v>
      </x:c>
      <x:c r="K1226" s="123" t="b">
        <x:v>0</x:v>
      </x:c>
      <x:c r="L1226" s="117"/>
      <x:c r="M1226" s="118"/>
      <x:c r="N1226" s="120" t="n">
        <x:v>46039.86403935185</x:v>
      </x:c>
      <x:c r="O1226" s="117" t="str">
        <x:v>Sacha Pearce</x:v>
      </x:c>
      <x:c r="P1226" s="120" t="n">
        <x:v>46039.864120370374</x:v>
      </x:c>
      <x:c r="Q1226" s="117" t="str">
        <x:v>Sacha Pearce</x:v>
      </x:c>
      <x:c r="R1226" s="117" t="str">
        <x:v>FSL - Formatted Service Report Update</x:v>
      </x:c>
      <x:c r="S1226" s="119" t="str">
        <x:v>15/12/2025 - V3 - SP - Saving new version to remove "Equipment Handover Completed" to enable it to be swapped to the "Yes/No" GVS
11/01/2025 - V6 - SP - New version incorporated different HTML formats for different modalities</x:v>
      </x:c>
    </x:row>
    <x:row r="1227" ht="30" customHeight="1">
      <x:c r="A1227" s="117" t="str">
        <x:v>FSL_Formatted_Service_Report_Update</x:v>
      </x:c>
      <x:c r="B1227" s="117" t="str">
        <x:v>300Ro00000mjG6bIAE</x:v>
      </x:c>
      <x:c r="C1227" s="117" t="str">
        <x:v>301Ro00000vunesIAA</x:v>
      </x:c>
      <x:c r="D1227" s="118" t="n">
        <x:v>12</x:v>
      </x:c>
      <x:c r="E1227" s="117" t="str">
        <x:v>Obsolete</x:v>
      </x:c>
      <x:c r="F1227" s="117" t="str">
        <x:v>No</x:v>
      </x:c>
      <x:c r="G1227" s="117" t="str">
        <x:v>No</x:v>
      </x:c>
      <x:c r="H1227" s="117" t="str">
        <x:v>AutoLaunchedFlow</x:v>
      </x:c>
      <x:c r="I1227" s="118" t="n">
        <x:v>65</x:v>
      </x:c>
      <x:c r="J1227" s="117" t="str">
        <x:v>unmanaged</x:v>
      </x:c>
      <x:c r="K1227" s="123" t="b">
        <x:v>0</x:v>
      </x:c>
      <x:c r="L1227" s="117"/>
      <x:c r="M1227" s="118"/>
      <x:c r="N1227" s="120" t="n">
        <x:v>46039.873344907406</x:v>
      </x:c>
      <x:c r="O1227" s="117" t="str">
        <x:v>Sacha Pearce</x:v>
      </x:c>
      <x:c r="P1227" s="120" t="n">
        <x:v>46039.87341435185</x:v>
      </x:c>
      <x:c r="Q1227" s="117" t="str">
        <x:v>Sacha Pearce</x:v>
      </x:c>
      <x:c r="R1227" s="117" t="str">
        <x:v>FSL - Formatted Service Report Update</x:v>
      </x:c>
      <x:c r="S1227" s="119" t="str">
        <x:v>15/12/2025 - V3 - SP - Saving new version to remove "Equipment Handover Completed" to enable it to be swapped to the "Yes/No" GVS
11/01/2025 - V6 - SP - New version incorporated different HTML formats for different modalities</x:v>
      </x:c>
    </x:row>
    <x:row r="1228" ht="30" customHeight="1">
      <x:c r="A1228" s="117" t="str">
        <x:v>FSL_Formatted_Service_Report_Update</x:v>
      </x:c>
      <x:c r="B1228" s="117" t="str">
        <x:v>300Ro00000mjG6bIAE</x:v>
      </x:c>
      <x:c r="C1228" s="117" t="str">
        <x:v>301Ro00000vuewiIAA</x:v>
      </x:c>
      <x:c r="D1228" s="118" t="n">
        <x:v>13</x:v>
      </x:c>
      <x:c r="E1228" s="117" t="str">
        <x:v>Obsolete</x:v>
      </x:c>
      <x:c r="F1228" s="117" t="str">
        <x:v>No</x:v>
      </x:c>
      <x:c r="G1228" s="117" t="str">
        <x:v>No</x:v>
      </x:c>
      <x:c r="H1228" s="117" t="str">
        <x:v>AutoLaunchedFlow</x:v>
      </x:c>
      <x:c r="I1228" s="118" t="n">
        <x:v>65</x:v>
      </x:c>
      <x:c r="J1228" s="117" t="str">
        <x:v>unmanaged</x:v>
      </x:c>
      <x:c r="K1228" s="123" t="b">
        <x:v>0</x:v>
      </x:c>
      <x:c r="L1228" s="117"/>
      <x:c r="M1228" s="118"/>
      <x:c r="N1228" s="120" t="n">
        <x:v>46039.88068287037</x:v>
      </x:c>
      <x:c r="O1228" s="117" t="str">
        <x:v>Sacha Pearce</x:v>
      </x:c>
      <x:c r="P1228" s="120" t="n">
        <x:v>46039.88092592593</x:v>
      </x:c>
      <x:c r="Q1228" s="117" t="str">
        <x:v>Sacha Pearce</x:v>
      </x:c>
      <x:c r="R1228" s="117" t="str">
        <x:v>FSL - Formatted Service Report Update</x:v>
      </x:c>
      <x:c r="S1228" s="119" t="str">
        <x:v>15/12/2025 - V3 - SP - Saving new version to remove "Equipment Handover Completed" to enable it to be swapped to the "Yes/No" GVS
11/01/2025 - V6 - SP - New version incorporated different HTML formats for different modalities</x:v>
      </x:c>
    </x:row>
    <x:row r="1229" ht="30" customHeight="1">
      <x:c r="A1229" s="117" t="str">
        <x:v>FSL_Formatted_Service_Report_Update</x:v>
      </x:c>
      <x:c r="B1229" s="117" t="str">
        <x:v>300Ro00000mjG6bIAE</x:v>
      </x:c>
      <x:c r="C1229" s="117" t="str">
        <x:v>301Ro00000vuqEVIAY</x:v>
      </x:c>
      <x:c r="D1229" s="118" t="n">
        <x:v>14</x:v>
      </x:c>
      <x:c r="E1229" s="117" t="str">
        <x:v>Obsolete</x:v>
      </x:c>
      <x:c r="F1229" s="117" t="str">
        <x:v>No</x:v>
      </x:c>
      <x:c r="G1229" s="117" t="str">
        <x:v>No</x:v>
      </x:c>
      <x:c r="H1229" s="117" t="str">
        <x:v>AutoLaunchedFlow</x:v>
      </x:c>
      <x:c r="I1229" s="118" t="n">
        <x:v>65</x:v>
      </x:c>
      <x:c r="J1229" s="117" t="str">
        <x:v>unmanaged</x:v>
      </x:c>
      <x:c r="K1229" s="123" t="b">
        <x:v>0</x:v>
      </x:c>
      <x:c r="L1229" s="117"/>
      <x:c r="M1229" s="118"/>
      <x:c r="N1229" s="120" t="n">
        <x:v>46039.887407407405</x:v>
      </x:c>
      <x:c r="O1229" s="117" t="str">
        <x:v>Sacha Pearce</x:v>
      </x:c>
      <x:c r="P1229" s="120" t="n">
        <x:v>46039.88746527778</x:v>
      </x:c>
      <x:c r="Q1229" s="117" t="str">
        <x:v>Sacha Pearce</x:v>
      </x:c>
      <x:c r="R1229" s="117" t="str">
        <x:v>FSL - Formatted Service Report Update</x:v>
      </x:c>
      <x:c r="S1229" s="119" t="str">
        <x:v>15/12/2025 - V3 - SP - Saving new version to remove "Equipment Handover Completed" to enable it to be swapped to the "Yes/No" GVS
11/01/2025 - V6 - SP - New version incorporated different HTML formats for different modalities</x:v>
      </x:c>
    </x:row>
    <x:row r="1230" ht="30" customHeight="1">
      <x:c r="A1230" s="117" t="str">
        <x:v>FSL_Formatted_Service_Report_Update</x:v>
      </x:c>
      <x:c r="B1230" s="117" t="str">
        <x:v>300Ro00000mjG6bIAE</x:v>
      </x:c>
      <x:c r="C1230" s="117" t="str">
        <x:v>301Ro00000vupyNIAQ</x:v>
      </x:c>
      <x:c r="D1230" s="118" t="n">
        <x:v>15</x:v>
      </x:c>
      <x:c r="E1230" s="117" t="str">
        <x:v>Obsolete</x:v>
      </x:c>
      <x:c r="F1230" s="117" t="str">
        <x:v>No</x:v>
      </x:c>
      <x:c r="G1230" s="117" t="str">
        <x:v>No</x:v>
      </x:c>
      <x:c r="H1230" s="117" t="str">
        <x:v>AutoLaunchedFlow</x:v>
      </x:c>
      <x:c r="I1230" s="118" t="n">
        <x:v>65</x:v>
      </x:c>
      <x:c r="J1230" s="117" t="str">
        <x:v>unmanaged</x:v>
      </x:c>
      <x:c r="K1230" s="123" t="b">
        <x:v>0</x:v>
      </x:c>
      <x:c r="L1230" s="117"/>
      <x:c r="M1230" s="118"/>
      <x:c r="N1230" s="120" t="n">
        <x:v>46039.889710648145</x:v>
      </x:c>
      <x:c r="O1230" s="117" t="str">
        <x:v>Sacha Pearce</x:v>
      </x:c>
      <x:c r="P1230" s="120" t="n">
        <x:v>46039.88976851852</x:v>
      </x:c>
      <x:c r="Q1230" s="117" t="str">
        <x:v>Sacha Pearce</x:v>
      </x:c>
      <x:c r="R1230" s="117" t="str">
        <x:v>FSL - Formatted Service Report Update</x:v>
      </x:c>
      <x:c r="S1230" s="119" t="str">
        <x:v>15/12/2025 - V3 - SP - Saving new version to remove "Equipment Handover Completed" to enable it to be swapped to the "Yes/No" GVS
11/01/2025 - V6 - SP - New version incorporated different HTML formats for different modalities</x:v>
      </x:c>
    </x:row>
    <x:row r="1231" ht="30" customHeight="1">
      <x:c r="A1231" s="117" t="str">
        <x:v>FSL_Formatted_Service_Report_Update</x:v>
      </x:c>
      <x:c r="B1231" s="117" t="str">
        <x:v>300Ro00000mjG6bIAE</x:v>
      </x:c>
      <x:c r="C1231" s="117" t="str">
        <x:v>301Ro00000vutiXIAQ</x:v>
      </x:c>
      <x:c r="D1231" s="118" t="n">
        <x:v>16</x:v>
      </x:c>
      <x:c r="E1231" s="117" t="str">
        <x:v>Obsolete</x:v>
      </x:c>
      <x:c r="F1231" s="117" t="str">
        <x:v>No</x:v>
      </x:c>
      <x:c r="G1231" s="117" t="str">
        <x:v>No</x:v>
      </x:c>
      <x:c r="H1231" s="117" t="str">
        <x:v>AutoLaunchedFlow</x:v>
      </x:c>
      <x:c r="I1231" s="118" t="n">
        <x:v>65</x:v>
      </x:c>
      <x:c r="J1231" s="117" t="str">
        <x:v>unmanaged</x:v>
      </x:c>
      <x:c r="K1231" s="123" t="b">
        <x:v>0</x:v>
      </x:c>
      <x:c r="L1231" s="117"/>
      <x:c r="M1231" s="118"/>
      <x:c r="N1231" s="120" t="n">
        <x:v>46039.89273148148</x:v>
      </x:c>
      <x:c r="O1231" s="117" t="str">
        <x:v>Sacha Pearce</x:v>
      </x:c>
      <x:c r="P1231" s="120" t="n">
        <x:v>46039.89278935185</x:v>
      </x:c>
      <x:c r="Q1231" s="117" t="str">
        <x:v>Sacha Pearce</x:v>
      </x:c>
      <x:c r="R1231" s="117" t="str">
        <x:v>FSL - Formatted Service Report Update</x:v>
      </x:c>
      <x:c r="S1231" s="119" t="str">
        <x:v>15/12/2025 - V3 - SP - Saving new version to remove "Equipment Handover Completed" to enable it to be swapped to the "Yes/No" GVS
11/01/2025 - V6 - SP - New version incorporated different HTML formats for different modalities</x:v>
      </x:c>
    </x:row>
    <x:row r="1232" ht="30" customHeight="1">
      <x:c r="A1232" s="117" t="str">
        <x:v>FSL_Formatted_Service_Report_Update</x:v>
      </x:c>
      <x:c r="B1232" s="117" t="str">
        <x:v>300Ro00000mjG6bIAE</x:v>
      </x:c>
      <x:c r="C1232" s="117" t="str">
        <x:v>301Ro00000vtR71IAE</x:v>
      </x:c>
      <x:c r="D1232" s="118" t="n">
        <x:v>17</x:v>
      </x:c>
      <x:c r="E1232" s="117" t="str">
        <x:v>Obsolete</x:v>
      </x:c>
      <x:c r="F1232" s="117" t="str">
        <x:v>No</x:v>
      </x:c>
      <x:c r="G1232" s="117" t="str">
        <x:v>No</x:v>
      </x:c>
      <x:c r="H1232" s="117" t="str">
        <x:v>AutoLaunchedFlow</x:v>
      </x:c>
      <x:c r="I1232" s="118" t="n">
        <x:v>65</x:v>
      </x:c>
      <x:c r="J1232" s="117" t="str">
        <x:v>unmanaged</x:v>
      </x:c>
      <x:c r="K1232" s="123" t="b">
        <x:v>0</x:v>
      </x:c>
      <x:c r="L1232" s="117"/>
      <x:c r="M1232" s="118"/>
      <x:c r="N1232" s="120" t="n">
        <x:v>46039.89378472222</x:v>
      </x:c>
      <x:c r="O1232" s="117" t="str">
        <x:v>Sacha Pearce</x:v>
      </x:c>
      <x:c r="P1232" s="120" t="n">
        <x:v>46039.89386574074</x:v>
      </x:c>
      <x:c r="Q1232" s="117" t="str">
        <x:v>Sacha Pearce</x:v>
      </x:c>
      <x:c r="R1232" s="117" t="str">
        <x:v>FSL - Formatted Service Report Update</x:v>
      </x:c>
      <x:c r="S1232" s="119" t="str">
        <x:v>15/12/2025 - V3 - SP - Saving new version to remove "Equipment Handover Completed" to enable it to be swapped to the "Yes/No" GVS
11/01/2025 - V6 - SP - New version incorporated different HTML formats for different modalities</x:v>
      </x:c>
    </x:row>
    <x:row r="1233" ht="30" customHeight="1">
      <x:c r="A1233" s="117" t="str">
        <x:v>FSL_Formatted_Service_Report_Update</x:v>
      </x:c>
      <x:c r="B1233" s="117" t="str">
        <x:v>300Ro00000mjG6bIAE</x:v>
      </x:c>
      <x:c r="C1233" s="117" t="str">
        <x:v>301Ro00000vulRlIAI</x:v>
      </x:c>
      <x:c r="D1233" s="118" t="n">
        <x:v>18</x:v>
      </x:c>
      <x:c r="E1233" s="117" t="str">
        <x:v>Obsolete</x:v>
      </x:c>
      <x:c r="F1233" s="117" t="str">
        <x:v>No</x:v>
      </x:c>
      <x:c r="G1233" s="117" t="str">
        <x:v>No</x:v>
      </x:c>
      <x:c r="H1233" s="117" t="str">
        <x:v>AutoLaunchedFlow</x:v>
      </x:c>
      <x:c r="I1233" s="118" t="n">
        <x:v>65</x:v>
      </x:c>
      <x:c r="J1233" s="117" t="str">
        <x:v>unmanaged</x:v>
      </x:c>
      <x:c r="K1233" s="123" t="b">
        <x:v>0</x:v>
      </x:c>
      <x:c r="L1233" s="117"/>
      <x:c r="M1233" s="118"/>
      <x:c r="N1233" s="120" t="n">
        <x:v>46039.89766203704</x:v>
      </x:c>
      <x:c r="O1233" s="117" t="str">
        <x:v>Sacha Pearce</x:v>
      </x:c>
      <x:c r="P1233" s="120" t="n">
        <x:v>46039.8981712963</x:v>
      </x:c>
      <x:c r="Q1233" s="117" t="str">
        <x:v>Sacha Pearce</x:v>
      </x:c>
      <x:c r="R1233" s="117" t="str">
        <x:v>FSL - Formatted Service Report Update</x:v>
      </x:c>
      <x:c r="S1233" s="119" t="str">
        <x:v>15/12/2025 - V3 - SP - Saving new version to remove "Equipment Handover Completed" to enable it to be swapped to the "Yes/No" GVS
11/01/2025 - V6 - SP - New version incorporated different HTML formats for different modalities</x:v>
      </x:c>
    </x:row>
    <x:row r="1234" ht="30" customHeight="1">
      <x:c r="A1234" s="117" t="str">
        <x:v>FSL_Formatted_Service_Report_Update</x:v>
      </x:c>
      <x:c r="B1234" s="117" t="str">
        <x:v>300Ro00000mjG6bIAE</x:v>
      </x:c>
      <x:c r="C1234" s="117" t="str">
        <x:v>301Ro00000vuebbIAA</x:v>
      </x:c>
      <x:c r="D1234" s="118" t="n">
        <x:v>19</x:v>
      </x:c>
      <x:c r="E1234" s="117" t="str">
        <x:v>Draft</x:v>
      </x:c>
      <x:c r="F1234" s="117" t="str">
        <x:v>No</x:v>
      </x:c>
      <x:c r="G1234" s="117" t="str">
        <x:v>No</x:v>
      </x:c>
      <x:c r="H1234" s="117" t="str">
        <x:v>AutoLaunchedFlow</x:v>
      </x:c>
      <x:c r="I1234" s="118" t="n">
        <x:v>65</x:v>
      </x:c>
      <x:c r="J1234" s="117" t="str">
        <x:v>unmanaged</x:v>
      </x:c>
      <x:c r="K1234" s="123" t="b">
        <x:v>0</x:v>
      </x:c>
      <x:c r="L1234" s="117"/>
      <x:c r="M1234" s="118"/>
      <x:c r="N1234" s="120" t="n">
        <x:v>46039.89976851852</x:v>
      </x:c>
      <x:c r="O1234" s="117" t="str">
        <x:v>Sacha Pearce</x:v>
      </x:c>
      <x:c r="P1234" s="120" t="n">
        <x:v>46039.89979166666</x:v>
      </x:c>
      <x:c r="Q1234" s="117" t="str">
        <x:v>Sacha Pearce</x:v>
      </x:c>
      <x:c r="R1234" s="117" t="str">
        <x:v>FSL - Formatted Service Report Update</x:v>
      </x:c>
      <x:c r="S1234" s="119" t="str">
        <x:v>15/12/2025 - V3 - SP - Saving new version to remove "Equipment Handover Completed" to enable it to be swapped to the "Yes/No" GVS
11/01/2025 - V6 - SP - New version incorporated different HTML formats for different modalities</x:v>
      </x:c>
    </x:row>
    <x:row r="1235" ht="30" customHeight="1">
      <x:c r="A1235" s="117" t="str">
        <x:v>FSL_Formatted_Service_Report_Update</x:v>
      </x:c>
      <x:c r="B1235" s="117" t="str">
        <x:v>300Ro00000mjG6bIAE</x:v>
      </x:c>
      <x:c r="C1235" s="117" t="str">
        <x:v>301Ro00000vw3zDIAQ</x:v>
      </x:c>
      <x:c r="D1235" s="118" t="n">
        <x:v>20</x:v>
      </x:c>
      <x:c r="E1235" s="117" t="str">
        <x:v>Obsolete</x:v>
      </x:c>
      <x:c r="F1235" s="117" t="str">
        <x:v>No</x:v>
      </x:c>
      <x:c r="G1235" s="117" t="str">
        <x:v>No</x:v>
      </x:c>
      <x:c r="H1235" s="117" t="str">
        <x:v>AutoLaunchedFlow</x:v>
      </x:c>
      <x:c r="I1235" s="118" t="n">
        <x:v>65</x:v>
      </x:c>
      <x:c r="J1235" s="117" t="str">
        <x:v>unmanaged</x:v>
      </x:c>
      <x:c r="K1235" s="123" t="b">
        <x:v>0</x:v>
      </x:c>
      <x:c r="L1235" s="117"/>
      <x:c r="M1235" s="118"/>
      <x:c r="N1235" s="120" t="n">
        <x:v>46040.45018518518</x:v>
      </x:c>
      <x:c r="O1235" s="117" t="str">
        <x:v>Sacha Pearce</x:v>
      </x:c>
      <x:c r="P1235" s="120" t="n">
        <x:v>46040.4506712963</x:v>
      </x:c>
      <x:c r="Q1235" s="117" t="str">
        <x:v>Sacha Pearce</x:v>
      </x:c>
      <x:c r="R1235" s="117" t="str">
        <x:v>FSL - Formatted Service Report Update</x:v>
      </x:c>
      <x:c r="S1235" s="119" t="str">
        <x:v>15/12/2025 - V3 - SP - Saving new version to remove "Equipment Handover Completed" to enable it to be swapped to the "Yes/No" GVS
11/01/2025 - V6 - SP - New version incorporated different HTML formats for different modalities</x:v>
      </x:c>
    </x:row>
    <x:row r="1236" ht="30" customHeight="1">
      <x:c r="A1236" s="117" t="str">
        <x:v>FSL_Formatted_Service_Report_Update</x:v>
      </x:c>
      <x:c r="B1236" s="117" t="str">
        <x:v>300Ro00000mjG6bIAE</x:v>
      </x:c>
      <x:c r="C1236" s="117" t="str">
        <x:v>301Ro00000vwD45IAE</x:v>
      </x:c>
      <x:c r="D1236" s="118" t="n">
        <x:v>21</x:v>
      </x:c>
      <x:c r="E1236" s="117" t="str">
        <x:v>Obsolete</x:v>
      </x:c>
      <x:c r="F1236" s="117" t="str">
        <x:v>No</x:v>
      </x:c>
      <x:c r="G1236" s="117" t="str">
        <x:v>No</x:v>
      </x:c>
      <x:c r="H1236" s="117" t="str">
        <x:v>AutoLaunchedFlow</x:v>
      </x:c>
      <x:c r="I1236" s="118" t="n">
        <x:v>65</x:v>
      </x:c>
      <x:c r="J1236" s="117" t="str">
        <x:v>unmanaged</x:v>
      </x:c>
      <x:c r="K1236" s="123" t="b">
        <x:v>0</x:v>
      </x:c>
      <x:c r="L1236" s="117"/>
      <x:c r="M1236" s="118"/>
      <x:c r="N1236" s="120" t="n">
        <x:v>46040.452731481484</x:v>
      </x:c>
      <x:c r="O1236" s="117" t="str">
        <x:v>Sacha Pearce</x:v>
      </x:c>
      <x:c r="P1236" s="120" t="n">
        <x:v>46040.45278935185</x:v>
      </x:c>
      <x:c r="Q1236" s="117" t="str">
        <x:v>Sacha Pearce</x:v>
      </x:c>
      <x:c r="R1236" s="117" t="str">
        <x:v>FSL - Formatted Service Report Update</x:v>
      </x:c>
      <x:c r="S1236" s="119" t="str">
        <x:v>15/12/2025 - V3 - SP - Saving new version to remove "Equipment Handover Completed" to enable it to be swapped to the "Yes/No" GVS
11/01/2025 - V6 - SP - New version incorporated different HTML formats for different modalities</x:v>
      </x:c>
    </x:row>
    <x:row r="1237" ht="30" customHeight="1">
      <x:c r="A1237" s="117" t="str">
        <x:v>FSL_Formatted_Service_Report_Update</x:v>
      </x:c>
      <x:c r="B1237" s="117" t="str">
        <x:v>300Ro00000mjG6bIAE</x:v>
      </x:c>
      <x:c r="C1237" s="117" t="str">
        <x:v>301Ro00000vvmDbIAI</x:v>
      </x:c>
      <x:c r="D1237" s="118" t="n">
        <x:v>22</x:v>
      </x:c>
      <x:c r="E1237" s="117" t="str">
        <x:v>Obsolete</x:v>
      </x:c>
      <x:c r="F1237" s="117" t="str">
        <x:v>No</x:v>
      </x:c>
      <x:c r="G1237" s="117" t="str">
        <x:v>No</x:v>
      </x:c>
      <x:c r="H1237" s="117" t="str">
        <x:v>AutoLaunchedFlow</x:v>
      </x:c>
      <x:c r="I1237" s="118" t="n">
        <x:v>65</x:v>
      </x:c>
      <x:c r="J1237" s="117" t="str">
        <x:v>unmanaged</x:v>
      </x:c>
      <x:c r="K1237" s="123" t="b">
        <x:v>0</x:v>
      </x:c>
      <x:c r="L1237" s="117"/>
      <x:c r="M1237" s="118"/>
      <x:c r="N1237" s="120" t="n">
        <x:v>46040.45978009259</x:v>
      </x:c>
      <x:c r="O1237" s="117" t="str">
        <x:v>Sacha Pearce</x:v>
      </x:c>
      <x:c r="P1237" s="120" t="n">
        <x:v>46040.459872685184</x:v>
      </x:c>
      <x:c r="Q1237" s="117" t="str">
        <x:v>Sacha Pearce</x:v>
      </x:c>
      <x:c r="R1237" s="117" t="str">
        <x:v>FSL - Formatted Service Report Update</x:v>
      </x:c>
      <x:c r="S1237" s="119" t="str">
        <x:v>15/12/2025 - V3 - SP - Saving new version to remove "Equipment Handover Completed" to enable it to be swapped to the "Yes/No" GVS
11/01/2025 - V6 - SP - New version incorporated different HTML formats for different modalities</x:v>
      </x:c>
    </x:row>
    <x:row r="1238" ht="30" customHeight="1">
      <x:c r="A1238" s="117" t="str">
        <x:v>FSL_Formatted_Service_Report_Update</x:v>
      </x:c>
      <x:c r="B1238" s="117" t="str">
        <x:v>300Ro00000mjG6bIAE</x:v>
      </x:c>
      <x:c r="C1238" s="117" t="str">
        <x:v>301Ro00000vwW6jIAE</x:v>
      </x:c>
      <x:c r="D1238" s="118" t="n">
        <x:v>23</x:v>
      </x:c>
      <x:c r="E1238" s="117" t="str">
        <x:v>Obsolete</x:v>
      </x:c>
      <x:c r="F1238" s="117" t="str">
        <x:v>No</x:v>
      </x:c>
      <x:c r="G1238" s="117" t="str">
        <x:v>No</x:v>
      </x:c>
      <x:c r="H1238" s="117" t="str">
        <x:v>AutoLaunchedFlow</x:v>
      </x:c>
      <x:c r="I1238" s="118" t="n">
        <x:v>65</x:v>
      </x:c>
      <x:c r="J1238" s="117" t="str">
        <x:v>unmanaged</x:v>
      </x:c>
      <x:c r="K1238" s="123" t="b">
        <x:v>0</x:v>
      </x:c>
      <x:c r="L1238" s="117"/>
      <x:c r="M1238" s="118"/>
      <x:c r="N1238" s="120" t="n">
        <x:v>46040.57850694445</x:v>
      </x:c>
      <x:c r="O1238" s="117" t="str">
        <x:v>Sacha Pearce</x:v>
      </x:c>
      <x:c r="P1238" s="120" t="n">
        <x:v>46040.57864583333</x:v>
      </x:c>
      <x:c r="Q1238" s="117" t="str">
        <x:v>Sacha Pearce</x:v>
      </x:c>
      <x:c r="R1238" s="117" t="str">
        <x:v>FSL - Formatted Service Report Update</x:v>
      </x:c>
      <x:c r="S1238" s="119" t="str">
        <x:v>15/12/2025 - V3 - SP - Saving new version to remove "Equipment Handover Completed" to enable it to be swapped to the "Yes/No" GVS
11/01/2025 - V6 - SP - New version incorporated different HTML formats for different modalities</x:v>
      </x:c>
    </x:row>
    <x:row r="1239" ht="30" customHeight="1">
      <x:c r="A1239" s="117" t="str">
        <x:v>FSL_Formatted_Service_Report_Update</x:v>
      </x:c>
      <x:c r="B1239" s="117" t="str">
        <x:v>300Ro00000mjG6bIAE</x:v>
      </x:c>
      <x:c r="C1239" s="117" t="str">
        <x:v>301Ro00000vwKiqIAE</x:v>
      </x:c>
      <x:c r="D1239" s="118" t="n">
        <x:v>24</x:v>
      </x:c>
      <x:c r="E1239" s="117" t="str">
        <x:v>Obsolete</x:v>
      </x:c>
      <x:c r="F1239" s="117" t="str">
        <x:v>No</x:v>
      </x:c>
      <x:c r="G1239" s="117" t="str">
        <x:v>No</x:v>
      </x:c>
      <x:c r="H1239" s="117" t="str">
        <x:v>AutoLaunchedFlow</x:v>
      </x:c>
      <x:c r="I1239" s="118" t="n">
        <x:v>65</x:v>
      </x:c>
      <x:c r="J1239" s="117" t="str">
        <x:v>unmanaged</x:v>
      </x:c>
      <x:c r="K1239" s="123" t="b">
        <x:v>0</x:v>
      </x:c>
      <x:c r="L1239" s="117"/>
      <x:c r="M1239" s="118"/>
      <x:c r="N1239" s="120" t="n">
        <x:v>46040.585752314815</x:v>
      </x:c>
      <x:c r="O1239" s="117" t="str">
        <x:v>Sacha Pearce</x:v>
      </x:c>
      <x:c r="P1239" s="120" t="n">
        <x:v>46040.58582175926</x:v>
      </x:c>
      <x:c r="Q1239" s="117" t="str">
        <x:v>Sacha Pearce</x:v>
      </x:c>
      <x:c r="R1239" s="117" t="str">
        <x:v>FSL - Formatted Service Report Update</x:v>
      </x:c>
      <x:c r="S1239" s="119" t="str">
        <x:v>15/12/2025 - V3 - SP - Saving new version to remove "Equipment Handover Completed" to enable it to be swapped to the "Yes/No" GVS
11/01/2025 - V6 - SP - New version incorporated different HTML formats for different modalities</x:v>
      </x:c>
    </x:row>
    <x:row r="1240" ht="30" customHeight="1">
      <x:c r="A1240" s="117" t="str">
        <x:v>FSL_Formatted_Service_Report_Update</x:v>
      </x:c>
      <x:c r="B1240" s="117" t="str">
        <x:v>300Ro00000mjG6bIAE</x:v>
      </x:c>
      <x:c r="C1240" s="117" t="str">
        <x:v>301Ro00000vwZKjIAM</x:v>
      </x:c>
      <x:c r="D1240" s="118" t="n">
        <x:v>25</x:v>
      </x:c>
      <x:c r="E1240" s="117" t="str">
        <x:v>Obsolete</x:v>
      </x:c>
      <x:c r="F1240" s="117" t="str">
        <x:v>No</x:v>
      </x:c>
      <x:c r="G1240" s="117" t="str">
        <x:v>No</x:v>
      </x:c>
      <x:c r="H1240" s="117" t="str">
        <x:v>AutoLaunchedFlow</x:v>
      </x:c>
      <x:c r="I1240" s="118" t="n">
        <x:v>65</x:v>
      </x:c>
      <x:c r="J1240" s="117" t="str">
        <x:v>unmanaged</x:v>
      </x:c>
      <x:c r="K1240" s="123" t="b">
        <x:v>0</x:v>
      </x:c>
      <x:c r="L1240" s="117"/>
      <x:c r="M1240" s="118"/>
      <x:c r="N1240" s="120" t="n">
        <x:v>46040.60141203704</x:v>
      </x:c>
      <x:c r="O1240" s="117" t="str">
        <x:v>Sacha Pearce</x:v>
      </x:c>
      <x:c r="P1240" s="120" t="n">
        <x:v>46040.60146990741</x:v>
      </x:c>
      <x:c r="Q1240" s="117" t="str">
        <x:v>Sacha Pearce</x:v>
      </x:c>
      <x:c r="R1240" s="117" t="str">
        <x:v>FSL - Formatted Service Report Update</x:v>
      </x:c>
      <x:c r="S1240" s="119" t="str">
        <x:v>15/12/2025 - V3 - SP - Saving new version to remove "Equipment Handover Completed" to enable it to be swapped to the "Yes/No" GVS
11/01/2025 - V6 - SP - New version incorporated different HTML formats for different modalities</x:v>
      </x:c>
    </x:row>
    <x:row r="1241" ht="30" customHeight="1">
      <x:c r="A1241" s="117" t="str">
        <x:v>FSL_Formatted_Service_Report_Update</x:v>
      </x:c>
      <x:c r="B1241" s="117" t="str">
        <x:v>300Ro00000mjG6bIAE</x:v>
      </x:c>
      <x:c r="C1241" s="117" t="str">
        <x:v>301Ro00000vwXncIAE</x:v>
      </x:c>
      <x:c r="D1241" s="118" t="n">
        <x:v>26</x:v>
      </x:c>
      <x:c r="E1241" s="117" t="str">
        <x:v>Obsolete</x:v>
      </x:c>
      <x:c r="F1241" s="117" t="str">
        <x:v>No</x:v>
      </x:c>
      <x:c r="G1241" s="117" t="str">
        <x:v>No</x:v>
      </x:c>
      <x:c r="H1241" s="117" t="str">
        <x:v>AutoLaunchedFlow</x:v>
      </x:c>
      <x:c r="I1241" s="118" t="n">
        <x:v>65</x:v>
      </x:c>
      <x:c r="J1241" s="117" t="str">
        <x:v>unmanaged</x:v>
      </x:c>
      <x:c r="K1241" s="123" t="b">
        <x:v>0</x:v>
      </x:c>
      <x:c r="L1241" s="117"/>
      <x:c r="M1241" s="118"/>
      <x:c r="N1241" s="120" t="n">
        <x:v>46040.60457175926</x:v>
      </x:c>
      <x:c r="O1241" s="117" t="str">
        <x:v>Sacha Pearce</x:v>
      </x:c>
      <x:c r="P1241" s="120" t="n">
        <x:v>46040.6046412037</x:v>
      </x:c>
      <x:c r="Q1241" s="117" t="str">
        <x:v>Sacha Pearce</x:v>
      </x:c>
      <x:c r="R1241" s="117" t="str">
        <x:v>FSL - Formatted Service Report Update</x:v>
      </x:c>
      <x:c r="S1241" s="119" t="str">
        <x:v>15/12/2025 - V3 - SP - Saving new version to remove "Equipment Handover Completed" to enable it to be swapped to the "Yes/No" GVS
11/01/2025 - V6 - SP - New version incorporated different HTML formats for different modalities</x:v>
      </x:c>
    </x:row>
    <x:row r="1242" ht="30" customHeight="1">
      <x:c r="A1242" s="117" t="str">
        <x:v>FSL_Formatted_Service_Report_Update</x:v>
      </x:c>
      <x:c r="B1242" s="117" t="str">
        <x:v>300Ro00000mjG6bIAE</x:v>
      </x:c>
      <x:c r="C1242" s="117" t="str">
        <x:v>301Ro00000vwRx4IAE</x:v>
      </x:c>
      <x:c r="D1242" s="118" t="n">
        <x:v>27</x:v>
      </x:c>
      <x:c r="E1242" s="117" t="str">
        <x:v>Obsolete</x:v>
      </x:c>
      <x:c r="F1242" s="117" t="str">
        <x:v>No</x:v>
      </x:c>
      <x:c r="G1242" s="117" t="str">
        <x:v>No</x:v>
      </x:c>
      <x:c r="H1242" s="117" t="str">
        <x:v>AutoLaunchedFlow</x:v>
      </x:c>
      <x:c r="I1242" s="118" t="n">
        <x:v>65</x:v>
      </x:c>
      <x:c r="J1242" s="117" t="str">
        <x:v>unmanaged</x:v>
      </x:c>
      <x:c r="K1242" s="123" t="b">
        <x:v>0</x:v>
      </x:c>
      <x:c r="L1242" s="117"/>
      <x:c r="M1242" s="118"/>
      <x:c r="N1242" s="120" t="n">
        <x:v>46040.60753472222</x:v>
      </x:c>
      <x:c r="O1242" s="117" t="str">
        <x:v>Sacha Pearce</x:v>
      </x:c>
      <x:c r="P1242" s="120" t="n">
        <x:v>46040.60758101852</x:v>
      </x:c>
      <x:c r="Q1242" s="117" t="str">
        <x:v>Sacha Pearce</x:v>
      </x:c>
      <x:c r="R1242" s="117" t="str">
        <x:v>FSL - Formatted Service Report Update</x:v>
      </x:c>
      <x:c r="S1242" s="119" t="str">
        <x:v>15/12/2025 - V3 - SP - Saving new version to remove "Equipment Handover Completed" to enable it to be swapped to the "Yes/No" GVS
11/01/2025 - V6 - SP - New version incorporated different HTML formats for different modalities</x:v>
      </x:c>
    </x:row>
    <x:row r="1243" ht="30" customHeight="1">
      <x:c r="A1243" s="117" t="str">
        <x:v>FSL_Formatted_Service_Report_Update</x:v>
      </x:c>
      <x:c r="B1243" s="117" t="str">
        <x:v>300Ro00000mjG6bIAE</x:v>
      </x:c>
      <x:c r="C1243" s="117" t="str">
        <x:v>301Ro00000vwJHeIAM</x:v>
      </x:c>
      <x:c r="D1243" s="118" t="n">
        <x:v>28</x:v>
      </x:c>
      <x:c r="E1243" s="117" t="str">
        <x:v>Obsolete</x:v>
      </x:c>
      <x:c r="F1243" s="117" t="str">
        <x:v>No</x:v>
      </x:c>
      <x:c r="G1243" s="117" t="str">
        <x:v>No</x:v>
      </x:c>
      <x:c r="H1243" s="117" t="str">
        <x:v>AutoLaunchedFlow</x:v>
      </x:c>
      <x:c r="I1243" s="118" t="n">
        <x:v>65</x:v>
      </x:c>
      <x:c r="J1243" s="117" t="str">
        <x:v>unmanaged</x:v>
      </x:c>
      <x:c r="K1243" s="123" t="b">
        <x:v>0</x:v>
      </x:c>
      <x:c r="L1243" s="117"/>
      <x:c r="M1243" s="118"/>
      <x:c r="N1243" s="120" t="n">
        <x:v>46040.60885416667</x:v>
      </x:c>
      <x:c r="O1243" s="117" t="str">
        <x:v>Sacha Pearce</x:v>
      </x:c>
      <x:c r="P1243" s="120" t="n">
        <x:v>46040.60920138889</x:v>
      </x:c>
      <x:c r="Q1243" s="117" t="str">
        <x:v>Sacha Pearce</x:v>
      </x:c>
      <x:c r="R1243" s="117" t="str">
        <x:v>FSL - Formatted Service Report Update</x:v>
      </x:c>
      <x:c r="S1243" s="119" t="str">
        <x:v>15/12/2025 - V3 - SP - Saving new version to remove "Equipment Handover Completed" to enable it to be swapped to the "Yes/No" GVS
11/01/2025 - V6 - SP - New version incorporated different HTML formats for different modalities</x:v>
      </x:c>
    </x:row>
    <x:row r="1244" ht="30" customHeight="1">
      <x:c r="A1244" s="117" t="str">
        <x:v>FSL_Formatted_Service_Report_Update</x:v>
      </x:c>
      <x:c r="B1244" s="117" t="str">
        <x:v>300Ro00000mjG6bIAE</x:v>
      </x:c>
      <x:c r="C1244" s="117" t="str">
        <x:v>301Ro00000wEC4oIAG</x:v>
      </x:c>
      <x:c r="D1244" s="118" t="n">
        <x:v>29</x:v>
      </x:c>
      <x:c r="E1244" s="117" t="str">
        <x:v>Obsolete</x:v>
      </x:c>
      <x:c r="F1244" s="117" t="str">
        <x:v>No</x:v>
      </x:c>
      <x:c r="G1244" s="117" t="str">
        <x:v>No</x:v>
      </x:c>
      <x:c r="H1244" s="117" t="str">
        <x:v>AutoLaunchedFlow</x:v>
      </x:c>
      <x:c r="I1244" s="118" t="n">
        <x:v>65</x:v>
      </x:c>
      <x:c r="J1244" s="117" t="str">
        <x:v>unmanaged</x:v>
      </x:c>
      <x:c r="K1244" s="123" t="b">
        <x:v>0</x:v>
      </x:c>
      <x:c r="L1244" s="117"/>
      <x:c r="M1244" s="118"/>
      <x:c r="N1244" s="120" t="n">
        <x:v>46043.88317129629</x:v>
      </x:c>
      <x:c r="O1244" s="117" t="str">
        <x:v>Sacha Pearce</x:v>
      </x:c>
      <x:c r="P1244" s="120" t="n">
        <x:v>46043.88324074074</x:v>
      </x:c>
      <x:c r="Q1244" s="117" t="str">
        <x:v>Sacha Pearce</x:v>
      </x:c>
      <x:c r="R1244" s="117" t="str">
        <x:v>FSL - Formatted Service Report Update</x:v>
      </x:c>
      <x:c r="S1244" s="119" t="str">
        <x:v>15/12/2025 - V3 - SP - Saving new version to remove "Equipment Handover Completed" to enable it to be swapped to the "Yes/No" GVS
11/01/2025 - V6 - SP - New version incorporated different HTML formats for different modalities</x:v>
      </x:c>
    </x:row>
    <x:row r="1245" ht="30" customHeight="1">
      <x:c r="A1245" s="117" t="str">
        <x:v>FSL_Formatted_Service_Report_Update</x:v>
      </x:c>
      <x:c r="B1245" s="117" t="str">
        <x:v>300Ro00000mjG6bIAE</x:v>
      </x:c>
      <x:c r="C1245" s="117" t="str">
        <x:v>301Ro00000wEgsPIAS</x:v>
      </x:c>
      <x:c r="D1245" s="118" t="n">
        <x:v>30</x:v>
      </x:c>
      <x:c r="E1245" s="117" t="str">
        <x:v>Obsolete</x:v>
      </x:c>
      <x:c r="F1245" s="117" t="str">
        <x:v>No</x:v>
      </x:c>
      <x:c r="G1245" s="117" t="str">
        <x:v>No</x:v>
      </x:c>
      <x:c r="H1245" s="117" t="str">
        <x:v>AutoLaunchedFlow</x:v>
      </x:c>
      <x:c r="I1245" s="118" t="n">
        <x:v>65</x:v>
      </x:c>
      <x:c r="J1245" s="117" t="str">
        <x:v>unmanaged</x:v>
      </x:c>
      <x:c r="K1245" s="123" t="b">
        <x:v>0</x:v>
      </x:c>
      <x:c r="L1245" s="117"/>
      <x:c r="M1245" s="118"/>
      <x:c r="N1245" s="120" t="n">
        <x:v>46043.88494212963</x:v>
      </x:c>
      <x:c r="O1245" s="117" t="str">
        <x:v>Sacha Pearce</x:v>
      </x:c>
      <x:c r="P1245" s="120" t="n">
        <x:v>46043.88501157407</x:v>
      </x:c>
      <x:c r="Q1245" s="117" t="str">
        <x:v>Sacha Pearce</x:v>
      </x:c>
      <x:c r="R1245" s="117" t="str">
        <x:v>FSL - Formatted Service Report Update</x:v>
      </x:c>
      <x:c r="S1245" s="119" t="str">
        <x:v>15/12/2025 - V3 - SP - Saving new version to remove "Equipment Handover Completed" to enable it to be swapped to the "Yes/No" GVS
11/01/2025 - V6 - SP - New version incorporated different HTML formats for different modalities</x:v>
      </x:c>
    </x:row>
    <x:row r="1246" ht="30" customHeight="1">
      <x:c r="A1246" s="117" t="str">
        <x:v>FSL_Formatted_Service_Report_Update</x:v>
      </x:c>
      <x:c r="B1246" s="117" t="str">
        <x:v>300Ro00000mjG6bIAE</x:v>
      </x:c>
      <x:c r="C1246" s="117" t="str">
        <x:v>301Ro00000wOoGpIAK</x:v>
      </x:c>
      <x:c r="D1246" s="118" t="n">
        <x:v>31</x:v>
      </x:c>
      <x:c r="E1246" s="117" t="str">
        <x:v>Obsolete</x:v>
      </x:c>
      <x:c r="F1246" s="117" t="str">
        <x:v>No</x:v>
      </x:c>
      <x:c r="G1246" s="117" t="str">
        <x:v>No</x:v>
      </x:c>
      <x:c r="H1246" s="117" t="str">
        <x:v>AutoLaunchedFlow</x:v>
      </x:c>
      <x:c r="I1246" s="118" t="n">
        <x:v>65</x:v>
      </x:c>
      <x:c r="J1246" s="117" t="str">
        <x:v>unmanaged</x:v>
      </x:c>
      <x:c r="K1246" s="123" t="b">
        <x:v>0</x:v>
      </x:c>
      <x:c r="L1246" s="117"/>
      <x:c r="M1246" s="118"/>
      <x:c r="N1246" s="120" t="n">
        <x:v>46045.45616898148</x:v>
      </x:c>
      <x:c r="O1246" s="117" t="str">
        <x:v>Sacha Pearce</x:v>
      </x:c>
      <x:c r="P1246" s="120" t="n">
        <x:v>46045.456342592595</x:v>
      </x:c>
      <x:c r="Q1246" s="117" t="str">
        <x:v>Sacha Pearce</x:v>
      </x:c>
      <x:c r="R1246" s="117" t="str">
        <x:v>FSL - Formatted Service Report Update</x:v>
      </x:c>
      <x:c r="S1246"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x:v>
      </x:c>
    </x:row>
    <x:row r="1247" ht="30" customHeight="1">
      <x:c r="A1247" s="117" t="str">
        <x:v>FSL_Formatted_Service_Report_Update</x:v>
      </x:c>
      <x:c r="B1247" s="117" t="str">
        <x:v>300Ro00000mjG6bIAE</x:v>
      </x:c>
      <x:c r="C1247" s="117" t="str">
        <x:v>301Ro00000wPYbNIAW</x:v>
      </x:c>
      <x:c r="D1247" s="118" t="n">
        <x:v>32</x:v>
      </x:c>
      <x:c r="E1247" s="117" t="str">
        <x:v>Obsolete</x:v>
      </x:c>
      <x:c r="F1247" s="117" t="str">
        <x:v>No</x:v>
      </x:c>
      <x:c r="G1247" s="117" t="str">
        <x:v>No</x:v>
      </x:c>
      <x:c r="H1247" s="117" t="str">
        <x:v>AutoLaunchedFlow</x:v>
      </x:c>
      <x:c r="I1247" s="118" t="n">
        <x:v>65</x:v>
      </x:c>
      <x:c r="J1247" s="117" t="str">
        <x:v>unmanaged</x:v>
      </x:c>
      <x:c r="K1247" s="123" t="b">
        <x:v>0</x:v>
      </x:c>
      <x:c r="L1247" s="117"/>
      <x:c r="M1247" s="118"/>
      <x:c r="N1247" s="120" t="n">
        <x:v>46045.5708912037</x:v>
      </x:c>
      <x:c r="O1247" s="117" t="str">
        <x:v>Sacha Pearce</x:v>
      </x:c>
      <x:c r="P1247" s="120" t="n">
        <x:v>46045.57144675926</x:v>
      </x:c>
      <x:c r="Q1247" s="117" t="str">
        <x:v>Sacha Pearce</x:v>
      </x:c>
      <x:c r="R1247" s="117" t="str">
        <x:v>FSL - Formatted Service Report Update</x:v>
      </x:c>
      <x:c r="S1247"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x:v>
      </x:c>
    </x:row>
    <x:row r="1248" ht="30" customHeight="1">
      <x:c r="A1248" s="117" t="str">
        <x:v>FSL_Formatted_Service_Report_Update</x:v>
      </x:c>
      <x:c r="B1248" s="117" t="str">
        <x:v>300Ro00000mjG6bIAE</x:v>
      </x:c>
      <x:c r="C1248" s="117" t="str">
        <x:v>301Ro00000wVyy0IAC</x:v>
      </x:c>
      <x:c r="D1248" s="118" t="n">
        <x:v>33</x:v>
      </x:c>
      <x:c r="E1248" s="117" t="str">
        <x:v>Obsolete</x:v>
      </x:c>
      <x:c r="F1248" s="117" t="str">
        <x:v>No</x:v>
      </x:c>
      <x:c r="G1248" s="117" t="str">
        <x:v>No</x:v>
      </x:c>
      <x:c r="H1248" s="117" t="str">
        <x:v>AutoLaunchedFlow</x:v>
      </x:c>
      <x:c r="I1248" s="118" t="n">
        <x:v>65</x:v>
      </x:c>
      <x:c r="J1248" s="117" t="str">
        <x:v>unmanaged</x:v>
      </x:c>
      <x:c r="K1248" s="123" t="b">
        <x:v>0</x:v>
      </x:c>
      <x:c r="L1248" s="117"/>
      <x:c r="M1248" s="118"/>
      <x:c r="N1248" s="120" t="n">
        <x:v>46046.59836805556</x:v>
      </x:c>
      <x:c r="O1248" s="117" t="str">
        <x:v>Sacha Pearce</x:v>
      </x:c>
      <x:c r="P1248" s="120" t="n">
        <x:v>46046.598541666666</x:v>
      </x:c>
      <x:c r="Q1248" s="117" t="str">
        <x:v>Sacha Pearce</x:v>
      </x:c>
      <x:c r="R1248" s="117" t="str">
        <x:v>FSL - Formatted Service Report Update</x:v>
      </x:c>
      <x:c r="S1248"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49" ht="30" customHeight="1">
      <x:c r="A1249" s="117" t="str">
        <x:v>FSL_Formatted_Service_Report_Update</x:v>
      </x:c>
      <x:c r="B1249" s="117" t="str">
        <x:v>300Ro00000mjG6bIAE</x:v>
      </x:c>
      <x:c r="C1249" s="117" t="str">
        <x:v>301Ro00000wUwoNIAS</x:v>
      </x:c>
      <x:c r="D1249" s="118" t="n">
        <x:v>34</x:v>
      </x:c>
      <x:c r="E1249" s="117" t="str">
        <x:v>Obsolete</x:v>
      </x:c>
      <x:c r="F1249" s="117" t="str">
        <x:v>No</x:v>
      </x:c>
      <x:c r="G1249" s="117" t="str">
        <x:v>No</x:v>
      </x:c>
      <x:c r="H1249" s="117" t="str">
        <x:v>AutoLaunchedFlow</x:v>
      </x:c>
      <x:c r="I1249" s="118" t="n">
        <x:v>65</x:v>
      </x:c>
      <x:c r="J1249" s="117" t="str">
        <x:v>unmanaged</x:v>
      </x:c>
      <x:c r="K1249" s="123" t="b">
        <x:v>0</x:v>
      </x:c>
      <x:c r="L1249" s="117"/>
      <x:c r="M1249" s="118"/>
      <x:c r="N1249" s="120" t="n">
        <x:v>46046.60203703704</x:v>
      </x:c>
      <x:c r="O1249" s="117" t="str">
        <x:v>Sacha Pearce</x:v>
      </x:c>
      <x:c r="P1249" s="120" t="n">
        <x:v>46046.60329861111</x:v>
      </x:c>
      <x:c r="Q1249" s="117" t="str">
        <x:v>Sacha Pearce</x:v>
      </x:c>
      <x:c r="R1249" s="117" t="str">
        <x:v>FSL - Formatted Service Report Update</x:v>
      </x:c>
      <x:c r="S1249"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50" ht="30" customHeight="1">
      <x:c r="A1250" s="117" t="str">
        <x:v>FSL_Formatted_Service_Report_Update</x:v>
      </x:c>
      <x:c r="B1250" s="117" t="str">
        <x:v>300Ro00000mjG6bIAE</x:v>
      </x:c>
      <x:c r="C1250" s="117" t="str">
        <x:v>301Ro00000wW5BIIA0</x:v>
      </x:c>
      <x:c r="D1250" s="118" t="n">
        <x:v>35</x:v>
      </x:c>
      <x:c r="E1250" s="117" t="str">
        <x:v>Obsolete</x:v>
      </x:c>
      <x:c r="F1250" s="117" t="str">
        <x:v>No</x:v>
      </x:c>
      <x:c r="G1250" s="117" t="str">
        <x:v>No</x:v>
      </x:c>
      <x:c r="H1250" s="117" t="str">
        <x:v>AutoLaunchedFlow</x:v>
      </x:c>
      <x:c r="I1250" s="118" t="n">
        <x:v>65</x:v>
      </x:c>
      <x:c r="J1250" s="117" t="str">
        <x:v>unmanaged</x:v>
      </x:c>
      <x:c r="K1250" s="123" t="b">
        <x:v>0</x:v>
      </x:c>
      <x:c r="L1250" s="117"/>
      <x:c r="M1250" s="118"/>
      <x:c r="N1250" s="120" t="n">
        <x:v>46046.60667824074</x:v>
      </x:c>
      <x:c r="O1250" s="117" t="str">
        <x:v>Sacha Pearce</x:v>
      </x:c>
      <x:c r="P1250" s="120" t="n">
        <x:v>46046.607407407406</x:v>
      </x:c>
      <x:c r="Q1250" s="117" t="str">
        <x:v>Sacha Pearce</x:v>
      </x:c>
      <x:c r="R1250" s="117" t="str">
        <x:v>FSL - Formatted Service Report Update</x:v>
      </x:c>
      <x:c r="S1250"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51" ht="30" customHeight="1">
      <x:c r="A1251" s="117" t="str">
        <x:v>FSL_Formatted_Service_Report_Update</x:v>
      </x:c>
      <x:c r="B1251" s="117" t="str">
        <x:v>300Ro00000mjG6bIAE</x:v>
      </x:c>
      <x:c r="C1251" s="117" t="str">
        <x:v>301Ro00000wV6iwIAC</x:v>
      </x:c>
      <x:c r="D1251" s="118" t="n">
        <x:v>36</x:v>
      </x:c>
      <x:c r="E1251" s="117" t="str">
        <x:v>Obsolete</x:v>
      </x:c>
      <x:c r="F1251" s="117" t="str">
        <x:v>No</x:v>
      </x:c>
      <x:c r="G1251" s="117" t="str">
        <x:v>No</x:v>
      </x:c>
      <x:c r="H1251" s="117" t="str">
        <x:v>AutoLaunchedFlow</x:v>
      </x:c>
      <x:c r="I1251" s="118" t="n">
        <x:v>65</x:v>
      </x:c>
      <x:c r="J1251" s="117" t="str">
        <x:v>unmanaged</x:v>
      </x:c>
      <x:c r="K1251" s="123" t="b">
        <x:v>0</x:v>
      </x:c>
      <x:c r="L1251" s="117"/>
      <x:c r="M1251" s="118"/>
      <x:c r="N1251" s="120" t="n">
        <x:v>46046.63538194444</x:v>
      </x:c>
      <x:c r="O1251" s="117" t="str">
        <x:v>Sacha Pearce</x:v>
      </x:c>
      <x:c r="P1251" s="120" t="n">
        <x:v>46046.63704861111</x:v>
      </x:c>
      <x:c r="Q1251" s="117" t="str">
        <x:v>Sacha Pearce</x:v>
      </x:c>
      <x:c r="R1251" s="117" t="str">
        <x:v>FSL - Formatted Service Report Update</x:v>
      </x:c>
      <x:c r="S1251"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52" ht="30" customHeight="1">
      <x:c r="A1252" s="117" t="str">
        <x:v>FSL_Formatted_Service_Report_Update</x:v>
      </x:c>
      <x:c r="B1252" s="117" t="str">
        <x:v>300Ro00000mjG6bIAE</x:v>
      </x:c>
      <x:c r="C1252" s="117" t="str">
        <x:v>301Ro00000wWCsgIAG</x:v>
      </x:c>
      <x:c r="D1252" s="118" t="n">
        <x:v>37</x:v>
      </x:c>
      <x:c r="E1252" s="117" t="str">
        <x:v>Obsolete</x:v>
      </x:c>
      <x:c r="F1252" s="117" t="str">
        <x:v>No</x:v>
      </x:c>
      <x:c r="G1252" s="117" t="str">
        <x:v>No</x:v>
      </x:c>
      <x:c r="H1252" s="117" t="str">
        <x:v>AutoLaunchedFlow</x:v>
      </x:c>
      <x:c r="I1252" s="118" t="n">
        <x:v>65</x:v>
      </x:c>
      <x:c r="J1252" s="117" t="str">
        <x:v>unmanaged</x:v>
      </x:c>
      <x:c r="K1252" s="123" t="b">
        <x:v>0</x:v>
      </x:c>
      <x:c r="L1252" s="117"/>
      <x:c r="M1252" s="118"/>
      <x:c r="N1252" s="120" t="n">
        <x:v>46046.63795138889</x:v>
      </x:c>
      <x:c r="O1252" s="117" t="str">
        <x:v>Sacha Pearce</x:v>
      </x:c>
      <x:c r="P1252" s="120" t="n">
        <x:v>46046.638020833336</x:v>
      </x:c>
      <x:c r="Q1252" s="117" t="str">
        <x:v>Sacha Pearce</x:v>
      </x:c>
      <x:c r="R1252" s="117" t="str">
        <x:v>FSL - Formatted Service Report Update</x:v>
      </x:c>
      <x:c r="S1252"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53" ht="30" customHeight="1">
      <x:c r="A1253" s="117" t="str">
        <x:v>FSL_Formatted_Service_Report_Update</x:v>
      </x:c>
      <x:c r="B1253" s="117" t="str">
        <x:v>300Ro00000mjG6bIAE</x:v>
      </x:c>
      <x:c r="C1253" s="117" t="str">
        <x:v>301Ro00000wW4n7IAC</x:v>
      </x:c>
      <x:c r="D1253" s="118" t="n">
        <x:v>38</x:v>
      </x:c>
      <x:c r="E1253" s="117" t="str">
        <x:v>Obsolete</x:v>
      </x:c>
      <x:c r="F1253" s="117" t="str">
        <x:v>No</x:v>
      </x:c>
      <x:c r="G1253" s="117" t="str">
        <x:v>No</x:v>
      </x:c>
      <x:c r="H1253" s="117" t="str">
        <x:v>AutoLaunchedFlow</x:v>
      </x:c>
      <x:c r="I1253" s="118" t="n">
        <x:v>65</x:v>
      </x:c>
      <x:c r="J1253" s="117" t="str">
        <x:v>unmanaged</x:v>
      </x:c>
      <x:c r="K1253" s="123" t="b">
        <x:v>0</x:v>
      </x:c>
      <x:c r="L1253" s="117"/>
      <x:c r="M1253" s="118"/>
      <x:c r="N1253" s="120" t="n">
        <x:v>46046.64334490741</x:v>
      </x:c>
      <x:c r="O1253" s="117" t="str">
        <x:v>Sacha Pearce</x:v>
      </x:c>
      <x:c r="P1253" s="120" t="n">
        <x:v>46046.64341435185</x:v>
      </x:c>
      <x:c r="Q1253" s="117" t="str">
        <x:v>Sacha Pearce</x:v>
      </x:c>
      <x:c r="R1253" s="117" t="str">
        <x:v>FSL - Formatted Service Report Update</x:v>
      </x:c>
      <x:c r="S1253"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54" ht="30" customHeight="1">
      <x:c r="A1254" s="117" t="str">
        <x:v>FSL_Formatted_Service_Report_Update</x:v>
      </x:c>
      <x:c r="B1254" s="117" t="str">
        <x:v>300Ro00000mjG6bIAE</x:v>
      </x:c>
      <x:c r="C1254" s="117" t="str">
        <x:v>301Ro00000wW4DxIAK</x:v>
      </x:c>
      <x:c r="D1254" s="118" t="n">
        <x:v>39</x:v>
      </x:c>
      <x:c r="E1254" s="117" t="str">
        <x:v>Obsolete</x:v>
      </x:c>
      <x:c r="F1254" s="117" t="str">
        <x:v>No</x:v>
      </x:c>
      <x:c r="G1254" s="117" t="str">
        <x:v>No</x:v>
      </x:c>
      <x:c r="H1254" s="117" t="str">
        <x:v>AutoLaunchedFlow</x:v>
      </x:c>
      <x:c r="I1254" s="118" t="n">
        <x:v>65</x:v>
      </x:c>
      <x:c r="J1254" s="117" t="str">
        <x:v>unmanaged</x:v>
      </x:c>
      <x:c r="K1254" s="123" t="b">
        <x:v>0</x:v>
      </x:c>
      <x:c r="L1254" s="117"/>
      <x:c r="M1254" s="118"/>
      <x:c r="N1254" s="120" t="n">
        <x:v>46046.65173611111</x:v>
      </x:c>
      <x:c r="O1254" s="117" t="str">
        <x:v>Sacha Pearce</x:v>
      </x:c>
      <x:c r="P1254" s="120" t="n">
        <x:v>46046.65180555556</x:v>
      </x:c>
      <x:c r="Q1254" s="117" t="str">
        <x:v>Sacha Pearce</x:v>
      </x:c>
      <x:c r="R1254" s="117" t="str">
        <x:v>FSL - Formatted Service Report Update</x:v>
      </x:c>
      <x:c r="S1254"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55" ht="30" customHeight="1">
      <x:c r="A1255" s="117" t="str">
        <x:v>FSL_Formatted_Service_Report_Update</x:v>
      </x:c>
      <x:c r="B1255" s="117" t="str">
        <x:v>300Ro00000mjG6bIAE</x:v>
      </x:c>
      <x:c r="C1255" s="117" t="str">
        <x:v>301Ro00000wWCcaIAG</x:v>
      </x:c>
      <x:c r="D1255" s="118" t="n">
        <x:v>40</x:v>
      </x:c>
      <x:c r="E1255" s="117" t="str">
        <x:v>Obsolete</x:v>
      </x:c>
      <x:c r="F1255" s="117" t="str">
        <x:v>No</x:v>
      </x:c>
      <x:c r="G1255" s="117" t="str">
        <x:v>No</x:v>
      </x:c>
      <x:c r="H1255" s="117" t="str">
        <x:v>AutoLaunchedFlow</x:v>
      </x:c>
      <x:c r="I1255" s="118" t="n">
        <x:v>65</x:v>
      </x:c>
      <x:c r="J1255" s="117" t="str">
        <x:v>unmanaged</x:v>
      </x:c>
      <x:c r="K1255" s="123" t="b">
        <x:v>0</x:v>
      </x:c>
      <x:c r="L1255" s="117"/>
      <x:c r="M1255" s="118"/>
      <x:c r="N1255" s="120" t="n">
        <x:v>46046.65888888889</x:v>
      </x:c>
      <x:c r="O1255" s="117" t="str">
        <x:v>Sacha Pearce</x:v>
      </x:c>
      <x:c r="P1255" s="120" t="n">
        <x:v>46046.65896990741</x:v>
      </x:c>
      <x:c r="Q1255" s="117" t="str">
        <x:v>Sacha Pearce</x:v>
      </x:c>
      <x:c r="R1255" s="117" t="str">
        <x:v>FSL - Formatted Service Report Update</x:v>
      </x:c>
      <x:c r="S1255"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56" ht="30" customHeight="1">
      <x:c r="A1256" s="117" t="str">
        <x:v>FSL_Formatted_Service_Report_Update</x:v>
      </x:c>
      <x:c r="B1256" s="117" t="str">
        <x:v>300Ro00000mjG6bIAE</x:v>
      </x:c>
      <x:c r="C1256" s="117" t="str">
        <x:v>301Ro00000wVCemIAG</x:v>
      </x:c>
      <x:c r="D1256" s="118" t="n">
        <x:v>41</x:v>
      </x:c>
      <x:c r="E1256" s="117" t="str">
        <x:v>Obsolete</x:v>
      </x:c>
      <x:c r="F1256" s="117" t="str">
        <x:v>No</x:v>
      </x:c>
      <x:c r="G1256" s="117" t="str">
        <x:v>No</x:v>
      </x:c>
      <x:c r="H1256" s="117" t="str">
        <x:v>AutoLaunchedFlow</x:v>
      </x:c>
      <x:c r="I1256" s="118" t="n">
        <x:v>65</x:v>
      </x:c>
      <x:c r="J1256" s="117" t="str">
        <x:v>unmanaged</x:v>
      </x:c>
      <x:c r="K1256" s="123" t="b">
        <x:v>0</x:v>
      </x:c>
      <x:c r="L1256" s="117"/>
      <x:c r="M1256" s="118"/>
      <x:c r="N1256" s="120" t="n">
        <x:v>46046.66216435185</x:v>
      </x:c>
      <x:c r="O1256" s="117" t="str">
        <x:v>Sacha Pearce</x:v>
      </x:c>
      <x:c r="P1256" s="120" t="n">
        <x:v>46046.66224537037</x:v>
      </x:c>
      <x:c r="Q1256" s="117" t="str">
        <x:v>Sacha Pearce</x:v>
      </x:c>
      <x:c r="R1256" s="117" t="str">
        <x:v>FSL - Formatted Service Report Update</x:v>
      </x:c>
      <x:c r="S1256"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57" ht="30" customHeight="1">
      <x:c r="A1257" s="117" t="str">
        <x:v>FSL_Formatted_Service_Report_Update</x:v>
      </x:c>
      <x:c r="B1257" s="117" t="str">
        <x:v>300Ro00000mjG6bIAE</x:v>
      </x:c>
      <x:c r="C1257" s="117" t="str">
        <x:v>301Ro00000wY2PUIA0</x:v>
      </x:c>
      <x:c r="D1257" s="118" t="n">
        <x:v>42</x:v>
      </x:c>
      <x:c r="E1257" s="117" t="str">
        <x:v>Obsolete</x:v>
      </x:c>
      <x:c r="F1257" s="117" t="str">
        <x:v>No</x:v>
      </x:c>
      <x:c r="G1257" s="117" t="str">
        <x:v>No</x:v>
      </x:c>
      <x:c r="H1257" s="117" t="str">
        <x:v>AutoLaunchedFlow</x:v>
      </x:c>
      <x:c r="I1257" s="118" t="n">
        <x:v>65</x:v>
      </x:c>
      <x:c r="J1257" s="117" t="str">
        <x:v>unmanaged</x:v>
      </x:c>
      <x:c r="K1257" s="123" t="b">
        <x:v>0</x:v>
      </x:c>
      <x:c r="L1257" s="117"/>
      <x:c r="M1257" s="118"/>
      <x:c r="N1257" s="120" t="n">
        <x:v>46047.457870370374</x:v>
      </x:c>
      <x:c r="O1257" s="117" t="str">
        <x:v>Sacha Pearce</x:v>
      </x:c>
      <x:c r="P1257" s="120" t="n">
        <x:v>46047.458020833335</x:v>
      </x:c>
      <x:c r="Q1257" s="117" t="str">
        <x:v>Sacha Pearce</x:v>
      </x:c>
      <x:c r="R1257" s="117" t="str">
        <x:v>FSL - Formatted Service Report Update</x:v>
      </x:c>
      <x:c r="S1257"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58" ht="30" customHeight="1">
      <x:c r="A1258" s="117" t="str">
        <x:v>FSL_Formatted_Service_Report_Update</x:v>
      </x:c>
      <x:c r="B1258" s="117" t="str">
        <x:v>300Ro00000mjG6bIAE</x:v>
      </x:c>
      <x:c r="C1258" s="117" t="str">
        <x:v>301Ro00000wYO6YIAW</x:v>
      </x:c>
      <x:c r="D1258" s="118" t="n">
        <x:v>43</x:v>
      </x:c>
      <x:c r="E1258" s="117" t="str">
        <x:v>Obsolete</x:v>
      </x:c>
      <x:c r="F1258" s="117" t="str">
        <x:v>No</x:v>
      </x:c>
      <x:c r="G1258" s="117" t="str">
        <x:v>No</x:v>
      </x:c>
      <x:c r="H1258" s="117" t="str">
        <x:v>AutoLaunchedFlow</x:v>
      </x:c>
      <x:c r="I1258" s="118" t="n">
        <x:v>65</x:v>
      </x:c>
      <x:c r="J1258" s="117" t="str">
        <x:v>unmanaged</x:v>
      </x:c>
      <x:c r="K1258" s="123" t="b">
        <x:v>0</x:v>
      </x:c>
      <x:c r="L1258" s="117"/>
      <x:c r="M1258" s="118"/>
      <x:c r="N1258" s="120" t="n">
        <x:v>46047.458969907406</x:v>
      </x:c>
      <x:c r="O1258" s="117" t="str">
        <x:v>Sacha Pearce</x:v>
      </x:c>
      <x:c r="P1258" s="120" t="n">
        <x:v>46047.45905092593</x:v>
      </x:c>
      <x:c r="Q1258" s="117" t="str">
        <x:v>Sacha Pearce</x:v>
      </x:c>
      <x:c r="R1258" s="117" t="str">
        <x:v>FSL - Formatted Service Report Update</x:v>
      </x:c>
      <x:c r="S1258"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59" ht="30" customHeight="1">
      <x:c r="A1259" s="117" t="str">
        <x:v>FSL_Formatted_Service_Report_Update</x:v>
      </x:c>
      <x:c r="B1259" s="117" t="str">
        <x:v>300Ro00000mjG6bIAE</x:v>
      </x:c>
      <x:c r="C1259" s="117" t="str">
        <x:v>301Ro00000wYLexIAG</x:v>
      </x:c>
      <x:c r="D1259" s="118" t="n">
        <x:v>44</x:v>
      </x:c>
      <x:c r="E1259" s="117" t="str">
        <x:v>Obsolete</x:v>
      </x:c>
      <x:c r="F1259" s="117" t="str">
        <x:v>No</x:v>
      </x:c>
      <x:c r="G1259" s="117" t="str">
        <x:v>No</x:v>
      </x:c>
      <x:c r="H1259" s="117" t="str">
        <x:v>AutoLaunchedFlow</x:v>
      </x:c>
      <x:c r="I1259" s="118" t="n">
        <x:v>65</x:v>
      </x:c>
      <x:c r="J1259" s="117" t="str">
        <x:v>unmanaged</x:v>
      </x:c>
      <x:c r="K1259" s="123" t="b">
        <x:v>0</x:v>
      </x:c>
      <x:c r="L1259" s="117"/>
      <x:c r="M1259" s="118"/>
      <x:c r="N1259" s="120" t="n">
        <x:v>46047.48018518519</x:v>
      </x:c>
      <x:c r="O1259" s="117" t="str">
        <x:v>Sacha Pearce</x:v>
      </x:c>
      <x:c r="P1259" s="120" t="n">
        <x:v>46047.48060185185</x:v>
      </x:c>
      <x:c r="Q1259" s="117" t="str">
        <x:v>Sacha Pearce</x:v>
      </x:c>
      <x:c r="R1259" s="117" t="str">
        <x:v>FSL - Formatted Service Report Update</x:v>
      </x:c>
      <x:c r="S1259"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60" ht="30" customHeight="1">
      <x:c r="A1260" s="117" t="str">
        <x:v>FSL_Formatted_Service_Report_Update</x:v>
      </x:c>
      <x:c r="B1260" s="117" t="str">
        <x:v>300Ro00000mjG6bIAE</x:v>
      </x:c>
      <x:c r="C1260" s="117" t="str">
        <x:v>301Ro00000wYPAkIAO</x:v>
      </x:c>
      <x:c r="D1260" s="118" t="n">
        <x:v>45</x:v>
      </x:c>
      <x:c r="E1260" s="117" t="str">
        <x:v>Obsolete</x:v>
      </x:c>
      <x:c r="F1260" s="117" t="str">
        <x:v>No</x:v>
      </x:c>
      <x:c r="G1260" s="117" t="str">
        <x:v>No</x:v>
      </x:c>
      <x:c r="H1260" s="117" t="str">
        <x:v>AutoLaunchedFlow</x:v>
      </x:c>
      <x:c r="I1260" s="118" t="n">
        <x:v>65</x:v>
      </x:c>
      <x:c r="J1260" s="117" t="str">
        <x:v>unmanaged</x:v>
      </x:c>
      <x:c r="K1260" s="123" t="b">
        <x:v>0</x:v>
      </x:c>
      <x:c r="L1260" s="117"/>
      <x:c r="M1260" s="118"/>
      <x:c r="N1260" s="120" t="n">
        <x:v>46047.488275462965</x:v>
      </x:c>
      <x:c r="O1260" s="117" t="str">
        <x:v>Sacha Pearce</x:v>
      </x:c>
      <x:c r="P1260" s="120" t="n">
        <x:v>46047.48832175926</x:v>
      </x:c>
      <x:c r="Q1260" s="117" t="str">
        <x:v>Sacha Pearce</x:v>
      </x:c>
      <x:c r="R1260" s="117" t="str">
        <x:v>FSL - Formatted Service Report Update</x:v>
      </x:c>
      <x:c r="S1260"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61" ht="30" customHeight="1">
      <x:c r="A1261" s="117" t="str">
        <x:v>FSL_Formatted_Service_Report_Update</x:v>
      </x:c>
      <x:c r="B1261" s="117" t="str">
        <x:v>300Ro00000mjG6bIAE</x:v>
      </x:c>
      <x:c r="C1261" s="117" t="str">
        <x:v>301Ro00000wYKnlIAG</x:v>
      </x:c>
      <x:c r="D1261" s="118" t="n">
        <x:v>46</x:v>
      </x:c>
      <x:c r="E1261" s="117" t="str">
        <x:v>Obsolete</x:v>
      </x:c>
      <x:c r="F1261" s="117" t="str">
        <x:v>No</x:v>
      </x:c>
      <x:c r="G1261" s="117" t="str">
        <x:v>No</x:v>
      </x:c>
      <x:c r="H1261" s="117" t="str">
        <x:v>AutoLaunchedFlow</x:v>
      </x:c>
      <x:c r="I1261" s="118" t="n">
        <x:v>65</x:v>
      </x:c>
      <x:c r="J1261" s="117" t="str">
        <x:v>unmanaged</x:v>
      </x:c>
      <x:c r="K1261" s="123" t="b">
        <x:v>0</x:v>
      </x:c>
      <x:c r="L1261" s="117"/>
      <x:c r="M1261" s="118"/>
      <x:c r="N1261" s="120" t="n">
        <x:v>46047.48923611111</x:v>
      </x:c>
      <x:c r="O1261" s="117" t="str">
        <x:v>Sacha Pearce</x:v>
      </x:c>
      <x:c r="P1261" s="120" t="n">
        <x:v>46047.48930555556</x:v>
      </x:c>
      <x:c r="Q1261" s="117" t="str">
        <x:v>Sacha Pearce</x:v>
      </x:c>
      <x:c r="R1261" s="117" t="str">
        <x:v>FSL - Formatted Service Report Update</x:v>
      </x:c>
      <x:c r="S1261"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62" ht="30" customHeight="1">
      <x:c r="A1262" s="117" t="str">
        <x:v>FSL_Formatted_Service_Report_Update</x:v>
      </x:c>
      <x:c r="B1262" s="117" t="str">
        <x:v>300Ro00000mjG6bIAE</x:v>
      </x:c>
      <x:c r="C1262" s="117" t="str">
        <x:v>301Ro00000wYE67IAG</x:v>
      </x:c>
      <x:c r="D1262" s="118" t="n">
        <x:v>47</x:v>
      </x:c>
      <x:c r="E1262" s="117" t="str">
        <x:v>Obsolete</x:v>
      </x:c>
      <x:c r="F1262" s="117" t="str">
        <x:v>No</x:v>
      </x:c>
      <x:c r="G1262" s="117" t="str">
        <x:v>No</x:v>
      </x:c>
      <x:c r="H1262" s="117" t="str">
        <x:v>AutoLaunchedFlow</x:v>
      </x:c>
      <x:c r="I1262" s="118" t="n">
        <x:v>65</x:v>
      </x:c>
      <x:c r="J1262" s="117" t="str">
        <x:v>unmanaged</x:v>
      </x:c>
      <x:c r="K1262" s="123" t="b">
        <x:v>0</x:v>
      </x:c>
      <x:c r="L1262" s="117"/>
      <x:c r="M1262" s="118"/>
      <x:c r="N1262" s="120" t="n">
        <x:v>46047.62741898148</x:v>
      </x:c>
      <x:c r="O1262" s="117" t="str">
        <x:v>Sacha Pearce</x:v>
      </x:c>
      <x:c r="P1262" s="120" t="n">
        <x:v>46047.62752314815</x:v>
      </x:c>
      <x:c r="Q1262" s="117" t="str">
        <x:v>Sacha Pearce</x:v>
      </x:c>
      <x:c r="R1262" s="117" t="str">
        <x:v>FSL - Formatted Service Report Update</x:v>
      </x:c>
      <x:c r="S1262"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63" ht="30" customHeight="1">
      <x:c r="A1263" s="117" t="str">
        <x:v>FSL_Formatted_Service_Report_Update</x:v>
      </x:c>
      <x:c r="B1263" s="117" t="str">
        <x:v>300Ro00000mjG6bIAE</x:v>
      </x:c>
      <x:c r="C1263" s="117" t="str">
        <x:v>301Ro00000wXz6gIAC</x:v>
      </x:c>
      <x:c r="D1263" s="118" t="n">
        <x:v>48</x:v>
      </x:c>
      <x:c r="E1263" s="117" t="str">
        <x:v>Obsolete</x:v>
      </x:c>
      <x:c r="F1263" s="117" t="str">
        <x:v>No</x:v>
      </x:c>
      <x:c r="G1263" s="117" t="str">
        <x:v>No</x:v>
      </x:c>
      <x:c r="H1263" s="117" t="str">
        <x:v>AutoLaunchedFlow</x:v>
      </x:c>
      <x:c r="I1263" s="118" t="n">
        <x:v>65</x:v>
      </x:c>
      <x:c r="J1263" s="117" t="str">
        <x:v>unmanaged</x:v>
      </x:c>
      <x:c r="K1263" s="123" t="b">
        <x:v>0</x:v>
      </x:c>
      <x:c r="L1263" s="117"/>
      <x:c r="M1263" s="118"/>
      <x:c r="N1263" s="120" t="n">
        <x:v>46047.634097222224</x:v>
      </x:c>
      <x:c r="O1263" s="117" t="str">
        <x:v>Sacha Pearce</x:v>
      </x:c>
      <x:c r="P1263" s="120" t="n">
        <x:v>46047.63416666666</x:v>
      </x:c>
      <x:c r="Q1263" s="117" t="str">
        <x:v>Sacha Pearce</x:v>
      </x:c>
      <x:c r="R1263" s="117" t="str">
        <x:v>FSL - Formatted Service Report Update</x:v>
      </x:c>
      <x:c r="S1263"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64" ht="30" customHeight="1">
      <x:c r="A1264" s="117" t="str">
        <x:v>FSL_Formatted_Service_Report_Update</x:v>
      </x:c>
      <x:c r="B1264" s="117" t="str">
        <x:v>300Ro00000mjG6bIAE</x:v>
      </x:c>
      <x:c r="C1264" s="117" t="str">
        <x:v>301Ro00000wXz6hIAC</x:v>
      </x:c>
      <x:c r="D1264" s="118" t="n">
        <x:v>49</x:v>
      </x:c>
      <x:c r="E1264" s="117" t="str">
        <x:v>Obsolete</x:v>
      </x:c>
      <x:c r="F1264" s="117" t="str">
        <x:v>No</x:v>
      </x:c>
      <x:c r="G1264" s="117" t="str">
        <x:v>No</x:v>
      </x:c>
      <x:c r="H1264" s="117" t="str">
        <x:v>AutoLaunchedFlow</x:v>
      </x:c>
      <x:c r="I1264" s="118" t="n">
        <x:v>65</x:v>
      </x:c>
      <x:c r="J1264" s="117" t="str">
        <x:v>unmanaged</x:v>
      </x:c>
      <x:c r="K1264" s="123" t="b">
        <x:v>0</x:v>
      </x:c>
      <x:c r="L1264" s="117"/>
      <x:c r="M1264" s="118"/>
      <x:c r="N1264" s="120" t="n">
        <x:v>46047.635196759256</x:v>
      </x:c>
      <x:c r="O1264" s="117" t="str">
        <x:v>Sacha Pearce</x:v>
      </x:c>
      <x:c r="P1264" s="120" t="n">
        <x:v>46047.63525462963</x:v>
      </x:c>
      <x:c r="Q1264" s="117" t="str">
        <x:v>Sacha Pearce</x:v>
      </x:c>
      <x:c r="R1264" s="117" t="str">
        <x:v>FSL - Formatted Service Report Update</x:v>
      </x:c>
      <x:c r="S1264"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65" ht="30" customHeight="1">
      <x:c r="A1265" s="117" t="str">
        <x:v>FSL_Formatted_Service_Report_Update</x:v>
      </x:c>
      <x:c r="B1265" s="117" t="str">
        <x:v>300Ro00000mjG6bIAE</x:v>
      </x:c>
      <x:c r="C1265" s="117" t="str">
        <x:v>301Ro00000wesOTIAY</x:v>
      </x:c>
      <x:c r="D1265" s="118" t="n">
        <x:v>50</x:v>
      </x:c>
      <x:c r="E1265" s="117" t="str">
        <x:v>Obsolete</x:v>
      </x:c>
      <x:c r="F1265" s="117" t="str">
        <x:v>No</x:v>
      </x:c>
      <x:c r="G1265" s="117" t="str">
        <x:v>No</x:v>
      </x:c>
      <x:c r="H1265" s="117" t="str">
        <x:v>AutoLaunchedFlow</x:v>
      </x:c>
      <x:c r="I1265" s="118" t="n">
        <x:v>65</x:v>
      </x:c>
      <x:c r="J1265" s="117" t="str">
        <x:v>unmanaged</x:v>
      </x:c>
      <x:c r="K1265" s="123" t="b">
        <x:v>0</x:v>
      </x:c>
      <x:c r="L1265" s="117"/>
      <x:c r="M1265" s="118"/>
      <x:c r="N1265" s="120" t="n">
        <x:v>46048.89048611111</x:v>
      </x:c>
      <x:c r="O1265" s="117" t="str">
        <x:v>Sacha Pearce</x:v>
      </x:c>
      <x:c r="P1265" s="120" t="n">
        <x:v>46049.388449074075</x:v>
      </x:c>
      <x:c r="Q1265" s="117" t="str">
        <x:v>Sacha Pearce</x:v>
      </x:c>
      <x:c r="R1265" s="117" t="str">
        <x:v>FSL - Formatted Service Report Update</x:v>
      </x:c>
      <x:c r="S1265"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66" ht="30" customHeight="1">
      <x:c r="A1266" s="117" t="str">
        <x:v>FSL_Formatted_Service_Report_Update</x:v>
      </x:c>
      <x:c r="B1266" s="117" t="str">
        <x:v>300Ro00000mjG6bIAE</x:v>
      </x:c>
      <x:c r="C1266" s="117" t="str">
        <x:v>301Ro00000wheC7IAI</x:v>
      </x:c>
      <x:c r="D1266" s="118" t="n">
        <x:v>51</x:v>
      </x:c>
      <x:c r="E1266" s="117" t="str">
        <x:v>Obsolete</x:v>
      </x:c>
      <x:c r="F1266" s="117" t="str">
        <x:v>No</x:v>
      </x:c>
      <x:c r="G1266" s="117" t="str">
        <x:v>Yes</x:v>
      </x:c>
      <x:c r="H1266" s="117" t="str">
        <x:v>AutoLaunchedFlow</x:v>
      </x:c>
      <x:c r="I1266" s="118" t="n">
        <x:v>65</x:v>
      </x:c>
      <x:c r="J1266" s="117" t="str">
        <x:v>unmanaged</x:v>
      </x:c>
      <x:c r="K1266" s="123" t="b">
        <x:v>0</x:v>
      </x:c>
      <x:c r="L1266" s="117"/>
      <x:c r="M1266" s="118"/>
      <x:c r="N1266" s="120" t="n">
        <x:v>46049.394537037035</x:v>
      </x:c>
      <x:c r="O1266" s="117" t="str">
        <x:v>Sacha Pearce</x:v>
      </x:c>
      <x:c r="P1266" s="120" t="n">
        <x:v>46049.397731481484</x:v>
      </x:c>
      <x:c r="Q1266" s="117" t="str">
        <x:v>Sacha Pearce</x:v>
      </x:c>
      <x:c r="R1266" s="117" t="str">
        <x:v>FSL - Formatted Service Report Update</x:v>
      </x:c>
      <x:c r="S1266" s="119" t="str">
        <x:v>15/12/2025 - V3 - SP - Saving new version to remove "Equipment Handover Completed" to enable it to be swapped to the "Yes/No" GVS
11/01/2025 - V6 - SP - New version incorporated different HTML formats for different modalities
23/01/2026 - V31 - SP - Simplifying to include Assignments and a singular Update Records element
23/01/2026 - V32 - SP - Refactoring the Cardio Labs output to use an Assignment element
24/01/2026 - V33 - SP - Refactoring all routes to use an Assignment element</x:v>
      </x:c>
    </x:row>
    <x:row r="1267" ht="30" customHeight="1">
      <x:c r="A1267" s="117" t="str">
        <x:v>FSL_Mobile_Create_Lead_Autolaunched</x:v>
      </x:c>
      <x:c r="B1267" s="117" t="str">
        <x:v>300Ro00000S83DZIAZ</x:v>
      </x:c>
      <x:c r="C1267" s="117" t="str">
        <x:v>301Ro00000XjlhKIAR</x:v>
      </x:c>
      <x:c r="D1267" s="118" t="n">
        <x:v>1</x:v>
      </x:c>
      <x:c r="E1267" s="117" t="str">
        <x:v>Obsolete</x:v>
      </x:c>
      <x:c r="F1267" s="117" t="str">
        <x:v>No</x:v>
      </x:c>
      <x:c r="G1267" s="117" t="str">
        <x:v>No</x:v>
      </x:c>
      <x:c r="H1267" s="117" t="str">
        <x:v>FieldServiceMobile</x:v>
      </x:c>
      <x:c r="I1267" s="118"/>
      <x:c r="J1267" s="117" t="str">
        <x:v>unmanaged</x:v>
      </x:c>
      <x:c r="K1267" s="123" t="b">
        <x:v>0</x:v>
      </x:c>
      <x:c r="L1267" s="117"/>
      <x:c r="M1267" s="118"/>
      <x:c r="N1267" s="120" t="n">
        <x:v>45768.58876157407</x:v>
      </x:c>
      <x:c r="O1267" s="117" t="str">
        <x:v>Delegate</x:v>
      </x:c>
      <x:c r="P1267" s="120" t="n">
        <x:v>45783.56732638889</x:v>
      </x:c>
      <x:c r="Q1267" s="117" t="str">
        <x:v>Delegate</x:v>
      </x:c>
      <x:c r="R1267" s="117" t="str">
        <x:v>FSL Mobile - Create Lead - Autolaunched</x:v>
      </x:c>
      <x:c r="S1267" s="119" t="str">
        <x:v>02/28/2024 - Delegate (Kyle) - This flow was created to coincide with a service appointment button entitled "Create Lead" that will allow technician service resources to log potential needs of a current client</x:v>
      </x:c>
    </x:row>
    <x:row r="1268" ht="30" customHeight="1">
      <x:c r="A1268" s="117" t="str">
        <x:v>FSL_Mobile_Create_Lead_Autolaunched</x:v>
      </x:c>
      <x:c r="B1268" s="117" t="str">
        <x:v>300Ro00000S83DZIAZ</x:v>
      </x:c>
      <x:c r="C1268" s="117" t="str">
        <x:v>301Ro00000Yg5hHIAR</x:v>
      </x:c>
      <x:c r="D1268" s="118" t="n">
        <x:v>2</x:v>
      </x:c>
      <x:c r="E1268" s="117" t="str">
        <x:v>Obsolete</x:v>
      </x:c>
      <x:c r="F1268" s="117" t="str">
        <x:v>No</x:v>
      </x:c>
      <x:c r="G1268" s="117" t="str">
        <x:v>No</x:v>
      </x:c>
      <x:c r="H1268" s="117" t="str">
        <x:v>FieldServiceMobile</x:v>
      </x:c>
      <x:c r="I1268" s="118"/>
      <x:c r="J1268" s="117" t="str">
        <x:v>unmanaged</x:v>
      </x:c>
      <x:c r="K1268" s="123" t="b">
        <x:v>0</x:v>
      </x:c>
      <x:c r="L1268" s="117"/>
      <x:c r="M1268" s="118"/>
      <x:c r="N1268" s="120" t="n">
        <x:v>45784.52815972222</x:v>
      </x:c>
      <x:c r="O1268" s="117" t="str">
        <x:v>Delegate</x:v>
      </x:c>
      <x:c r="P1268" s="120" t="n">
        <x:v>45784.52888888889</x:v>
      </x:c>
      <x:c r="Q1268" s="117" t="str">
        <x:v>Delegate</x:v>
      </x:c>
      <x:c r="R1268" s="117" t="str">
        <x:v>FSL Mobile - Create Lead - Autolaunched</x:v>
      </x:c>
      <x:c r="S1268" s="119" t="str">
        <x:v>02/28/2024 - Delegate (Kyle) - This flow was created to coincide with a service appointment button entitled "Create Lead" that will allow technician service resources to log potential needs of a current client
05/07/2025 - Kyle - Adjustments for lead insert testing</x:v>
      </x:c>
    </x:row>
    <x:row r="1269" ht="30" customHeight="1">
      <x:c r="A1269" s="117" t="str">
        <x:v>FSL_Mobile_Create_Lead_Autolaunched</x:v>
      </x:c>
      <x:c r="B1269" s="117" t="str">
        <x:v>300Ro00000S83DZIAZ</x:v>
      </x:c>
      <x:c r="C1269" s="117" t="str">
        <x:v>301Ro00000YgOlYIAV</x:v>
      </x:c>
      <x:c r="D1269" s="118" t="n">
        <x:v>3</x:v>
      </x:c>
      <x:c r="E1269" s="117" t="str">
        <x:v>Obsolete</x:v>
      </x:c>
      <x:c r="F1269" s="117" t="str">
        <x:v>No</x:v>
      </x:c>
      <x:c r="G1269" s="117" t="str">
        <x:v>No</x:v>
      </x:c>
      <x:c r="H1269" s="117" t="str">
        <x:v>FieldServiceMobile</x:v>
      </x:c>
      <x:c r="I1269" s="118"/>
      <x:c r="J1269" s="117" t="str">
        <x:v>unmanaged</x:v>
      </x:c>
      <x:c r="K1269" s="123" t="b">
        <x:v>0</x:v>
      </x:c>
      <x:c r="L1269" s="117"/>
      <x:c r="M1269" s="118"/>
      <x:c r="N1269" s="120" t="n">
        <x:v>45784.561111111114</x:v>
      </x:c>
      <x:c r="O1269" s="117" t="str">
        <x:v>Delegate</x:v>
      </x:c>
      <x:c r="P1269" s="120" t="n">
        <x:v>45784.56119212963</x:v>
      </x:c>
      <x:c r="Q1269" s="117" t="str">
        <x:v>Delegate</x:v>
      </x:c>
      <x:c r="R1269" s="117" t="str">
        <x:v>FSL Mobile - Create Lead - Autolaunched</x:v>
      </x:c>
      <x:c r="S1269" s="119" t="str">
        <x:v>02/28/2024 - Delegate (Kyle) - This flow was created to coincide with a service appointment button entitled "Create Lead" that will allow technician service resources to log potential needs of a current client
05/07/2025 - Kyle - Adjustments for lead insert testing</x:v>
      </x:c>
    </x:row>
    <x:row r="1270" ht="30" customHeight="1">
      <x:c r="A1270" s="117" t="str">
        <x:v>FSL_Mobile_Create_Lead_Autolaunched</x:v>
      </x:c>
      <x:c r="B1270" s="117" t="str">
        <x:v>300Ro00000S83DZIAZ</x:v>
      </x:c>
      <x:c r="C1270" s="117" t="str">
        <x:v>301Ro00000YgWWHIA3</x:v>
      </x:c>
      <x:c r="D1270" s="118" t="n">
        <x:v>4</x:v>
      </x:c>
      <x:c r="E1270" s="117" t="str">
        <x:v>Obsolete</x:v>
      </x:c>
      <x:c r="F1270" s="117" t="str">
        <x:v>No</x:v>
      </x:c>
      <x:c r="G1270" s="117" t="str">
        <x:v>No</x:v>
      </x:c>
      <x:c r="H1270" s="117" t="str">
        <x:v>FieldServiceMobile</x:v>
      </x:c>
      <x:c r="I1270" s="118"/>
      <x:c r="J1270" s="117" t="str">
        <x:v>unmanaged</x:v>
      </x:c>
      <x:c r="K1270" s="123" t="b">
        <x:v>0</x:v>
      </x:c>
      <x:c r="L1270" s="117"/>
      <x:c r="M1270" s="118"/>
      <x:c r="N1270" s="120" t="n">
        <x:v>45784.581030092595</x:v>
      </x:c>
      <x:c r="O1270" s="117" t="str">
        <x:v>Delegate</x:v>
      </x:c>
      <x:c r="P1270" s="120" t="n">
        <x:v>45784.58113425926</x:v>
      </x:c>
      <x:c r="Q1270" s="117" t="str">
        <x:v>Delegate</x:v>
      </x:c>
      <x:c r="R1270" s="117" t="str">
        <x:v>FSL Mobile - Create Lead - Autolaunched</x:v>
      </x:c>
      <x:c r="S1270" s="119" t="str">
        <x:v>02/28/2024 - Delegate (Kyle) - This flow was created to coincide with a service appointment button entitled "Create Lead" that will allow technician service resources to log potential needs of a current client
05/07/2025 - Kyle - Adjustments for lead insert testing</x:v>
      </x:c>
    </x:row>
    <x:row r="1271" ht="30" customHeight="1">
      <x:c r="A1271" s="117" t="str">
        <x:v>FSL_Mobile_Create_Lead_Autolaunched</x:v>
      </x:c>
      <x:c r="B1271" s="117" t="str">
        <x:v>300Ro00000S83DZIAZ</x:v>
      </x:c>
      <x:c r="C1271" s="117" t="str">
        <x:v>301Ro000018lqu5IAA</x:v>
      </x:c>
      <x:c r="D1271" s="118" t="n">
        <x:v>5</x:v>
      </x:c>
      <x:c r="E1271" s="117" t="str">
        <x:v>Active</x:v>
      </x:c>
      <x:c r="F1271" s="117" t="str">
        <x:v>Yes</x:v>
      </x:c>
      <x:c r="G1271" s="117" t="str">
        <x:v>No</x:v>
      </x:c>
      <x:c r="H1271" s="117" t="str">
        <x:v>FieldServiceMobile</x:v>
      </x:c>
      <x:c r="I1271" s="118"/>
      <x:c r="J1271" s="117" t="str">
        <x:v>unmanaged</x:v>
      </x:c>
      <x:c r="K1271" s="123" t="b">
        <x:v>0</x:v>
      </x:c>
      <x:c r="L1271" s="117"/>
      <x:c r="M1271" s="118"/>
      <x:c r="N1271" s="120" t="n">
        <x:v>46190.430983796294</x:v>
      </x:c>
      <x:c r="O1271" s="117" t="str">
        <x:v>Sacha Pearce</x:v>
      </x:c>
      <x:c r="P1271" s="120" t="n">
        <x:v>46190.43109953704</x:v>
      </x:c>
      <x:c r="Q1271" s="117" t="str">
        <x:v>Sacha Pearce</x:v>
      </x:c>
      <x:c r="R1271" s="117" t="str">
        <x:v>FSL Mobile - Create Lead - Autolaunched</x:v>
      </x:c>
      <x:c r="S1271" s="119" t="str">
        <x:v>17/06/2026 - SP - Upating Flow by removing fields.</x:v>
      </x:c>
    </x:row>
    <x:row r="1272" ht="30" customHeight="1">
      <x:c r="A1272" s="117" t="str">
        <x:v>FSL_Mobile_Create_Lead_Autolaunched</x:v>
      </x:c>
      <x:c r="B1272" s="117" t="str">
        <x:v>300Ro00000S83DZIAZ</x:v>
      </x:c>
      <x:c r="C1272" s="117" t="str">
        <x:v>301Ro000018lwt3IAA</x:v>
      </x:c>
      <x:c r="D1272" s="118" t="n">
        <x:v>6</x:v>
      </x:c>
      <x:c r="E1272" s="117" t="str">
        <x:v>Draft</x:v>
      </x:c>
      <x:c r="F1272" s="117" t="str">
        <x:v>No</x:v>
      </x:c>
      <x:c r="G1272" s="117" t="str">
        <x:v>Yes</x:v>
      </x:c>
      <x:c r="H1272" s="117" t="str">
        <x:v>FieldServiceMobile</x:v>
      </x:c>
      <x:c r="I1272" s="118"/>
      <x:c r="J1272" s="117" t="str">
        <x:v>unmanaged</x:v>
      </x:c>
      <x:c r="K1272" s="123" t="b">
        <x:v>0</x:v>
      </x:c>
      <x:c r="L1272" s="117"/>
      <x:c r="M1272" s="118"/>
      <x:c r="N1272" s="120" t="n">
        <x:v>46190.453310185185</x:v>
      </x:c>
      <x:c r="O1272" s="117" t="str">
        <x:v>Sacha Pearce</x:v>
      </x:c>
      <x:c r="P1272" s="120" t="n">
        <x:v>46190.45333333333</x:v>
      </x:c>
      <x:c r="Q1272" s="117" t="str">
        <x:v>Sacha Pearce</x:v>
      </x:c>
      <x:c r="R1272" s="117" t="str">
        <x:v>FSL Mobile - Create Lead - Autolaunched</x:v>
      </x:c>
      <x:c r="S1272" s="119" t="str">
        <x:v>17/06/2026 - SP - Upating Flow by removing fields.</x:v>
      </x:c>
    </x:row>
    <x:row r="1273" ht="30" customHeight="1">
      <x:c r="A1273" s="117" t="str">
        <x:v>FSL_Mobile_Create_Lead_US</x:v>
      </x:c>
      <x:c r="B1273" s="117" t="str">
        <x:v>300Ro00000cnT4mIAE</x:v>
      </x:c>
      <x:c r="C1273" s="117" t="str">
        <x:v>301Ro00000uQ7aKIAS</x:v>
      </x:c>
      <x:c r="D1273" s="118" t="n">
        <x:v>33</x:v>
      </x:c>
      <x:c r="E1273" s="117" t="str">
        <x:v>Obsolete</x:v>
      </x:c>
      <x:c r="F1273" s="117" t="str">
        <x:v>No</x:v>
      </x:c>
      <x:c r="G1273" s="117" t="str">
        <x:v>No</x:v>
      </x:c>
      <x:c r="H1273" s="117" t="str">
        <x:v>FieldServiceMobile</x:v>
      </x:c>
      <x:c r="I1273" s="118"/>
      <x:c r="J1273" s="117" t="str">
        <x:v>unmanaged</x:v>
      </x:c>
      <x:c r="K1273" s="123" t="b">
        <x:v>0</x:v>
      </x:c>
      <x:c r="L1273" s="117"/>
      <x:c r="M1273" s="118"/>
      <x:c r="N1273" s="120" t="n">
        <x:v>46010.53607638889</x:v>
      </x:c>
      <x:c r="O1273" s="117" t="str">
        <x:v>Delegate</x:v>
      </x:c>
      <x:c r="P1273" s="120" t="n">
        <x:v>46010.53642361111</x:v>
      </x:c>
      <x:c r="Q1273" s="117" t="str">
        <x:v>Delegate</x:v>
      </x:c>
      <x:c r="R1273" s="117" t="str">
        <x:v>FSL Mobile - Create Lead US</x:v>
      </x:c>
      <x:c r="S1273" s="119" t="str">
        <x:v>12/18/2025 (BW) - Swapping out the US Billing Type with simply Billing Type</x:v>
      </x:c>
    </x:row>
    <x:row r="1274" ht="30" customHeight="1">
      <x:c r="A1274" s="117" t="str">
        <x:v>FSL_Mobile_Create_Lead_US</x:v>
      </x:c>
      <x:c r="B1274" s="117" t="str">
        <x:v>300Ro00000cnT4mIAE</x:v>
      </x:c>
      <x:c r="C1274" s="117" t="str">
        <x:v>301Ro00000xLRHnIAO</x:v>
      </x:c>
      <x:c r="D1274" s="118" t="n">
        <x:v>34</x:v>
      </x:c>
      <x:c r="E1274" s="117" t="str">
        <x:v>Active</x:v>
      </x:c>
      <x:c r="F1274" s="117" t="str">
        <x:v>Yes</x:v>
      </x:c>
      <x:c r="G1274" s="117" t="str">
        <x:v>Yes</x:v>
      </x:c>
      <x:c r="H1274" s="117" t="str">
        <x:v>FieldServiceMobile</x:v>
      </x:c>
      <x:c r="I1274" s="118"/>
      <x:c r="J1274" s="117" t="str">
        <x:v>unmanaged</x:v>
      </x:c>
      <x:c r="K1274" s="123" t="b">
        <x:v>0</x:v>
      </x:c>
      <x:c r="L1274" s="117"/>
      <x:c r="M1274" s="118"/>
      <x:c r="N1274" s="120" t="n">
        <x:v>46056.56271990741</x:v>
      </x:c>
      <x:c r="O1274" s="117" t="str">
        <x:v>Delegate</x:v>
      </x:c>
      <x:c r="P1274" s="120" t="n">
        <x:v>46056.56300925926</x:v>
      </x:c>
      <x:c r="Q1274" s="117" t="str">
        <x:v>Delegate</x:v>
      </x:c>
      <x:c r="R1274" s="117" t="str">
        <x:v>FSL Mobile - Create Lead US</x:v>
      </x:c>
      <x:c r="S1274" s="119" t="str">
        <x:v>02/03/3036 (BW) - Updating this flow so that it makes more sense with how the process goes today</x:v>
      </x:c>
    </x:row>
    <x:row r="1275" ht="30" customHeight="1">
      <x:c r="A1275" s="117" t="str">
        <x:v>FSL_Mobile_End_Screen_for_FSL_PDF_Generation</x:v>
      </x:c>
      <x:c r="B1275" s="117" t="str">
        <x:v>300Ro00000qOg6fIAC</x:v>
      </x:c>
      <x:c r="C1275" s="117" t="str">
        <x:v>301Ro00000xxYzmIAE</x:v>
      </x:c>
      <x:c r="D1275" s="118" t="n">
        <x:v>1</x:v>
      </x:c>
      <x:c r="E1275" s="117" t="str">
        <x:v>Obsolete</x:v>
      </x:c>
      <x:c r="F1275" s="117" t="str">
        <x:v>No</x:v>
      </x:c>
      <x:c r="G1275" s="117" t="str">
        <x:v>No</x:v>
      </x:c>
      <x:c r="H1275" s="117" t="str">
        <x:v>FieldServiceMobile</x:v>
      </x:c>
      <x:c r="I1275" s="118"/>
      <x:c r="J1275" s="117" t="str">
        <x:v>unmanaged</x:v>
      </x:c>
      <x:c r="K1275" s="123" t="b">
        <x:v>0</x:v>
      </x:c>
      <x:c r="L1275" s="117"/>
      <x:c r="M1275" s="118"/>
      <x:c r="N1275" s="120" t="n">
        <x:v>46063.566828703704</x:v>
      </x:c>
      <x:c r="O1275" s="117" t="str">
        <x:v>Delegate</x:v>
      </x:c>
      <x:c r="P1275" s="120" t="n">
        <x:v>46063.56693287037</x:v>
      </x:c>
      <x:c r="Q1275" s="117" t="str">
        <x:v>Delegate</x:v>
      </x:c>
      <x:c r="R1275" s="117" t="str">
        <x:v>US FSL Mobile | End Screen for FSL PDF Generation</x:v>
      </x:c>
      <x:c r="S1275" s="119" t="str">
        <x:v>02/09/2026 (BW) - Used to show the fields that are necessary before generating an FSR</x:v>
      </x:c>
    </x:row>
    <x:row r="1276" ht="30" customHeight="1">
      <x:c r="A1276" s="117" t="str">
        <x:v>FSL_Mobile_End_Screen_for_FSL_PDF_Generation</x:v>
      </x:c>
      <x:c r="B1276" s="117" t="str">
        <x:v>300Ro00000qOg6fIAC</x:v>
      </x:c>
      <x:c r="C1276" s="117" t="str">
        <x:v>301Ro00000xxrBEIAY</x:v>
      </x:c>
      <x:c r="D1276" s="118" t="n">
        <x:v>2</x:v>
      </x:c>
      <x:c r="E1276" s="117" t="str">
        <x:v>Draft</x:v>
      </x:c>
      <x:c r="F1276" s="117" t="str">
        <x:v>No</x:v>
      </x:c>
      <x:c r="G1276" s="117" t="str">
        <x:v>No</x:v>
      </x:c>
      <x:c r="H1276" s="117" t="str">
        <x:v>FieldServiceMobile</x:v>
      </x:c>
      <x:c r="I1276" s="118"/>
      <x:c r="J1276" s="117" t="str">
        <x:v>unmanaged</x:v>
      </x:c>
      <x:c r="K1276" s="123" t="b">
        <x:v>0</x:v>
      </x:c>
      <x:c r="L1276" s="117"/>
      <x:c r="M1276" s="118"/>
      <x:c r="N1276" s="120" t="n">
        <x:v>46063.626863425925</x:v>
      </x:c>
      <x:c r="O1276" s="117" t="str">
        <x:v>Delegate</x:v>
      </x:c>
      <x:c r="P1276" s="120" t="n">
        <x:v>46063.626875</x:v>
      </x:c>
      <x:c r="Q1276" s="117" t="str">
        <x:v>Delegate</x:v>
      </x:c>
      <x:c r="R1276" s="117" t="str">
        <x:v>US FSL Mobile | End Screen for FSL PDF Generation</x:v>
      </x:c>
      <x:c r="S1276" s="119" t="str">
        <x:v>02/09/2026 (BW) - Used to show the fields that are necessary before generating an FSR</x:v>
      </x:c>
    </x:row>
    <x:row r="1277" ht="30" customHeight="1">
      <x:c r="A1277" s="117" t="str">
        <x:v>FSL_Mobile_End_Screen_for_FSL_PDF_Generation</x:v>
      </x:c>
      <x:c r="B1277" s="117" t="str">
        <x:v>300Ro00000qOg6fIAC</x:v>
      </x:c>
      <x:c r="C1277" s="117" t="str">
        <x:v>301Ro00000yACtOIAW</x:v>
      </x:c>
      <x:c r="D1277" s="118" t="n">
        <x:v>3</x:v>
      </x:c>
      <x:c r="E1277" s="117" t="str">
        <x:v>Obsolete</x:v>
      </x:c>
      <x:c r="F1277" s="117" t="str">
        <x:v>No</x:v>
      </x:c>
      <x:c r="G1277" s="117" t="str">
        <x:v>No</x:v>
      </x:c>
      <x:c r="H1277" s="117" t="str">
        <x:v>FieldServiceMobile</x:v>
      </x:c>
      <x:c r="I1277" s="118"/>
      <x:c r="J1277" s="117" t="str">
        <x:v>unmanaged</x:v>
      </x:c>
      <x:c r="K1277" s="123" t="b">
        <x:v>0</x:v>
      </x:c>
      <x:c r="L1277" s="117"/>
      <x:c r="M1277" s="118"/>
      <x:c r="N1277" s="120" t="n">
        <x:v>46065.54059027778</x:v>
      </x:c>
      <x:c r="O1277" s="117" t="str">
        <x:v>Delegate</x:v>
      </x:c>
      <x:c r="P1277" s="120" t="n">
        <x:v>46065.54130787037</x:v>
      </x:c>
      <x:c r="Q1277" s="117" t="str">
        <x:v>Delegate</x:v>
      </x:c>
      <x:c r="R1277" s="117" t="str">
        <x:v>US FSL Mobile | End Screen for FSL PDF Generation</x:v>
      </x:c>
      <x:c r="S1277" s="119" t="str">
        <x:v>02/12/2026 (BW) - Adding PO Number to the close out flow</x:v>
      </x:c>
    </x:row>
    <x:row r="1278" ht="30" customHeight="1">
      <x:c r="A1278" s="117" t="str">
        <x:v>FSL_Mobile_End_Screen_for_FSL_PDF_Generation</x:v>
      </x:c>
      <x:c r="B1278" s="117" t="str">
        <x:v>300Ro00000qOg6fIAC</x:v>
      </x:c>
      <x:c r="C1278" s="117" t="str">
        <x:v>301Ro00000yX6IfIAK</x:v>
      </x:c>
      <x:c r="D1278" s="118" t="n">
        <x:v>4</x:v>
      </x:c>
      <x:c r="E1278" s="117" t="str">
        <x:v>Obsolete</x:v>
      </x:c>
      <x:c r="F1278" s="117" t="str">
        <x:v>No</x:v>
      </x:c>
      <x:c r="G1278" s="117" t="str">
        <x:v>No</x:v>
      </x:c>
      <x:c r="H1278" s="117" t="str">
        <x:v>FieldServiceMobile</x:v>
      </x:c>
      <x:c r="I1278" s="118"/>
      <x:c r="J1278" s="117" t="str">
        <x:v>unmanaged</x:v>
      </x:c>
      <x:c r="K1278" s="123" t="b">
        <x:v>0</x:v>
      </x:c>
      <x:c r="L1278" s="117"/>
      <x:c r="M1278" s="118"/>
      <x:c r="N1278" s="120" t="n">
        <x:v>46070.73427083333</x:v>
      </x:c>
      <x:c r="O1278" s="117" t="str">
        <x:v>Delegate</x:v>
      </x:c>
      <x:c r="P1278" s="120" t="n">
        <x:v>46070.73452546296</x:v>
      </x:c>
      <x:c r="Q1278" s="117" t="str">
        <x:v>Delegate</x:v>
      </x:c>
      <x:c r="R1278" s="117" t="str">
        <x:v>US FSL Mobile | End Screen for FSL PDF Generation</x:v>
      </x:c>
      <x:c r="S1278" s="119" t="str">
        <x:v>02/17/2026 (BW) - Updated so that the streets are multi-line</x:v>
      </x:c>
    </x:row>
    <x:row r="1279" ht="30" customHeight="1">
      <x:c r="A1279" s="117" t="str">
        <x:v>FSL_Mobile_End_Screen_for_FSL_PDF_Generation</x:v>
      </x:c>
      <x:c r="B1279" s="117" t="str">
        <x:v>300Ro00000qOg6fIAC</x:v>
      </x:c>
      <x:c r="C1279" s="117" t="str">
        <x:v>301Ro00000yjQmzIAE</x:v>
      </x:c>
      <x:c r="D1279" s="118" t="n">
        <x:v>5</x:v>
      </x:c>
      <x:c r="E1279" s="117" t="str">
        <x:v>Obsolete</x:v>
      </x:c>
      <x:c r="F1279" s="117" t="str">
        <x:v>No</x:v>
      </x:c>
      <x:c r="G1279" s="117" t="str">
        <x:v>No</x:v>
      </x:c>
      <x:c r="H1279" s="117" t="str">
        <x:v>FieldServiceMobile</x:v>
      </x:c>
      <x:c r="I1279" s="118"/>
      <x:c r="J1279" s="117" t="str">
        <x:v>unmanaged</x:v>
      </x:c>
      <x:c r="K1279" s="123" t="b">
        <x:v>0</x:v>
      </x:c>
      <x:c r="L1279" s="117"/>
      <x:c r="M1279" s="118"/>
      <x:c r="N1279" s="120" t="n">
        <x:v>46072.68331018519</x:v>
      </x:c>
      <x:c r="O1279" s="117" t="str">
        <x:v>Delegate</x:v>
      </x:c>
      <x:c r="P1279" s="120" t="n">
        <x:v>46072.68369212963</x:v>
      </x:c>
      <x:c r="Q1279" s="117" t="str">
        <x:v>Delegate</x:v>
      </x:c>
      <x:c r="R1279" s="117" t="str">
        <x:v>US FSL Mobile | End Screen for FSL PDF Generation</x:v>
      </x:c>
      <x:c r="S1279" s="119" t="str">
        <x:v>02/19/2026 (BW) - Update so that if there is not an account on the work order it does not error out</x:v>
      </x:c>
    </x:row>
    <x:row r="1280" ht="30" customHeight="1">
      <x:c r="A1280" s="117" t="str">
        <x:v>FSL_Mobile_End_Screen_for_FSL_PDF_Generation</x:v>
      </x:c>
      <x:c r="B1280" s="117" t="str">
        <x:v>300Ro00000qOg6fIAC</x:v>
      </x:c>
      <x:c r="C1280" s="117" t="str">
        <x:v>301Ro00000yirw9IAA</x:v>
      </x:c>
      <x:c r="D1280" s="118" t="n">
        <x:v>6</x:v>
      </x:c>
      <x:c r="E1280" s="117" t="str">
        <x:v>Obsolete</x:v>
      </x:c>
      <x:c r="F1280" s="117" t="str">
        <x:v>No</x:v>
      </x:c>
      <x:c r="G1280" s="117" t="str">
        <x:v>No</x:v>
      </x:c>
      <x:c r="H1280" s="117" t="str">
        <x:v>FieldServiceMobile</x:v>
      </x:c>
      <x:c r="I1280" s="118"/>
      <x:c r="J1280" s="117" t="str">
        <x:v>unmanaged</x:v>
      </x:c>
      <x:c r="K1280" s="123" t="b">
        <x:v>0</x:v>
      </x:c>
      <x:c r="L1280" s="117"/>
      <x:c r="M1280" s="118"/>
      <x:c r="N1280" s="120" t="n">
        <x:v>46072.6853125</x:v>
      </x:c>
      <x:c r="O1280" s="117" t="str">
        <x:v>Delegate</x:v>
      </x:c>
      <x:c r="P1280" s="120" t="n">
        <x:v>46072.68537037037</x:v>
      </x:c>
      <x:c r="Q1280" s="117" t="str">
        <x:v>Delegate</x:v>
      </x:c>
      <x:c r="R1280" s="117" t="str">
        <x:v>US FSL Mobile | End Screen for FSL PDF Generation</x:v>
      </x:c>
      <x:c r="S1280" s="119" t="str">
        <x:v>02/19/2026 (BW) - Update so that if there is not an account on the work order it does not error out</x:v>
      </x:c>
    </x:row>
    <x:row r="1281" ht="30" customHeight="1">
      <x:c r="A1281" s="117" t="str">
        <x:v>FSL_Mobile_End_Screen_for_FSL_PDF_Generation</x:v>
      </x:c>
      <x:c r="B1281" s="117" t="str">
        <x:v>300Ro00000qOg6fIAC</x:v>
      </x:c>
      <x:c r="C1281" s="117" t="str">
        <x:v>301Ro00000yjFy2IAE</x:v>
      </x:c>
      <x:c r="D1281" s="118" t="n">
        <x:v>7</x:v>
      </x:c>
      <x:c r="E1281" s="117" t="str">
        <x:v>Obsolete</x:v>
      </x:c>
      <x:c r="F1281" s="117" t="str">
        <x:v>No</x:v>
      </x:c>
      <x:c r="G1281" s="117" t="str">
        <x:v>No</x:v>
      </x:c>
      <x:c r="H1281" s="117" t="str">
        <x:v>FieldServiceMobile</x:v>
      </x:c>
      <x:c r="I1281" s="118"/>
      <x:c r="J1281" s="117" t="str">
        <x:v>unmanaged</x:v>
      </x:c>
      <x:c r="K1281" s="123" t="b">
        <x:v>0</x:v>
      </x:c>
      <x:c r="L1281" s="117"/>
      <x:c r="M1281" s="118"/>
      <x:c r="N1281" s="120" t="n">
        <x:v>46072.691412037035</x:v>
      </x:c>
      <x:c r="O1281" s="117" t="str">
        <x:v>Delegate</x:v>
      </x:c>
      <x:c r="P1281" s="120" t="n">
        <x:v>46072.69150462963</x:v>
      </x:c>
      <x:c r="Q1281" s="117" t="str">
        <x:v>Delegate</x:v>
      </x:c>
      <x:c r="R1281" s="117" t="str">
        <x:v>US FSL Mobile | End Screen for FSL PDF Generation</x:v>
      </x:c>
      <x:c r="S1281" s="119" t="str">
        <x:v>02/19/2026 (BW) - Update so that if there is not an account on the work order it does not error out</x:v>
      </x:c>
    </x:row>
    <x:row r="1282" ht="30" customHeight="1">
      <x:c r="A1282" s="117" t="str">
        <x:v>FSL_Mobile_End_Screen_for_FSL_PDF_Generation</x:v>
      </x:c>
      <x:c r="B1282" s="117" t="str">
        <x:v>300Ro00000qOg6fIAC</x:v>
      </x:c>
      <x:c r="C1282" s="117" t="str">
        <x:v>301Ro00000yifLtIAI</x:v>
      </x:c>
      <x:c r="D1282" s="118" t="n">
        <x:v>8</x:v>
      </x:c>
      <x:c r="E1282" s="117" t="str">
        <x:v>Obsolete</x:v>
      </x:c>
      <x:c r="F1282" s="117" t="str">
        <x:v>No</x:v>
      </x:c>
      <x:c r="G1282" s="117" t="str">
        <x:v>No</x:v>
      </x:c>
      <x:c r="H1282" s="117" t="str">
        <x:v>FieldServiceMobile</x:v>
      </x:c>
      <x:c r="I1282" s="118"/>
      <x:c r="J1282" s="117" t="str">
        <x:v>unmanaged</x:v>
      </x:c>
      <x:c r="K1282" s="123" t="b">
        <x:v>0</x:v>
      </x:c>
      <x:c r="L1282" s="117"/>
      <x:c r="M1282" s="118"/>
      <x:c r="N1282" s="120" t="n">
        <x:v>46072.69384259259</x:v>
      </x:c>
      <x:c r="O1282" s="117" t="str">
        <x:v>Delegate</x:v>
      </x:c>
      <x:c r="P1282" s="120" t="n">
        <x:v>46072.69391203704</x:v>
      </x:c>
      <x:c r="Q1282" s="117" t="str">
        <x:v>Delegate</x:v>
      </x:c>
      <x:c r="R1282" s="117" t="str">
        <x:v>US FSL Mobile | End Screen for FSL PDF Generation</x:v>
      </x:c>
      <x:c r="S1282" s="119" t="str">
        <x:v>02/19/2026 (BW) - Update so that if there is not an account on the work order it does not error out</x:v>
      </x:c>
    </x:row>
    <x:row r="1283" ht="30" customHeight="1">
      <x:c r="A1283" s="117" t="str">
        <x:v>FSL_Mobile_End_Screen_for_FSL_PDF_Generation</x:v>
      </x:c>
      <x:c r="B1283" s="117" t="str">
        <x:v>300Ro00000qOg6fIAC</x:v>
      </x:c>
      <x:c r="C1283" s="117" t="str">
        <x:v>301Ro00000yxgNnIAI</x:v>
      </x:c>
      <x:c r="D1283" s="118" t="n">
        <x:v>9</x:v>
      </x:c>
      <x:c r="E1283" s="117" t="str">
        <x:v>Obsolete</x:v>
      </x:c>
      <x:c r="F1283" s="117" t="str">
        <x:v>No</x:v>
      </x:c>
      <x:c r="G1283" s="117" t="str">
        <x:v>No</x:v>
      </x:c>
      <x:c r="H1283" s="117" t="str">
        <x:v>FieldServiceMobile</x:v>
      </x:c>
      <x:c r="I1283" s="118"/>
      <x:c r="J1283" s="117" t="str">
        <x:v>unmanaged</x:v>
      </x:c>
      <x:c r="K1283" s="123" t="b">
        <x:v>0</x:v>
      </x:c>
      <x:c r="L1283" s="117"/>
      <x:c r="M1283" s="118"/>
      <x:c r="N1283" s="120" t="n">
        <x:v>46075.89983796296</x:v>
      </x:c>
      <x:c r="O1283" s="117" t="str">
        <x:v>Delegate</x:v>
      </x:c>
      <x:c r="P1283" s="120" t="n">
        <x:v>46075.90052083333</x:v>
      </x:c>
      <x:c r="Q1283" s="117" t="str">
        <x:v>Delegate</x:v>
      </x:c>
      <x:c r="R1283" s="117" t="str">
        <x:v>US FSL Mobile | End Screen for FSL PDF Generation</x:v>
      </x:c>
      <x:c r="S1283" s="119" t="str">
        <x:v>02/22/2026 (BW) - Update items for showing exactly what matches in the field set for required</x:v>
      </x:c>
    </x:row>
    <x:row r="1284" ht="30" customHeight="1">
      <x:c r="A1284" s="117" t="str">
        <x:v>FSL_Mobile_End_Screen_for_FSL_PDF_Generation</x:v>
      </x:c>
      <x:c r="B1284" s="117" t="str">
        <x:v>300Ro00000qOg6fIAC</x:v>
      </x:c>
      <x:c r="C1284" s="117" t="str">
        <x:v>301Ro00000zgbCvIAI</x:v>
      </x:c>
      <x:c r="D1284" s="118" t="n">
        <x:v>10</x:v>
      </x:c>
      <x:c r="E1284" s="117" t="str">
        <x:v>Obsolete</x:v>
      </x:c>
      <x:c r="F1284" s="117" t="str">
        <x:v>No</x:v>
      </x:c>
      <x:c r="G1284" s="117" t="str">
        <x:v>No</x:v>
      </x:c>
      <x:c r="H1284" s="117" t="str">
        <x:v>FieldServiceMobile</x:v>
      </x:c>
      <x:c r="I1284" s="118"/>
      <x:c r="J1284" s="117" t="str">
        <x:v>unmanaged</x:v>
      </x:c>
      <x:c r="K1284" s="123" t="b">
        <x:v>0</x:v>
      </x:c>
      <x:c r="L1284" s="117"/>
      <x:c r="M1284" s="118"/>
      <x:c r="N1284" s="120" t="n">
        <x:v>46084.76291666667</x:v>
      </x:c>
      <x:c r="O1284" s="117" t="str">
        <x:v>Delegate</x:v>
      </x:c>
      <x:c r="P1284" s="120" t="n">
        <x:v>46084.763020833336</x:v>
      </x:c>
      <x:c r="Q1284" s="117" t="str">
        <x:v>Delegate</x:v>
      </x:c>
      <x:c r="R1284" s="117" t="str">
        <x:v>US FSL Mobile | End Screen for FSL PDF Generation</x:v>
      </x:c>
      <x:c r="S1284" s="119" t="str">
        <x:v>02/22/2026 (BW) - Swapped the positioning of the city and state in the review fields for FSR generation</x:v>
      </x:c>
    </x:row>
    <x:row r="1285" ht="30" customHeight="1">
      <x:c r="A1285" s="117" t="str">
        <x:v>FSL_Mobile_End_Screen_for_FSL_PDF_Generation</x:v>
      </x:c>
      <x:c r="B1285" s="117" t="str">
        <x:v>300Ro00000qOg6fIAC</x:v>
      </x:c>
      <x:c r="C1285" s="117" t="str">
        <x:v>301Ro000011TbG1IAK</x:v>
      </x:c>
      <x:c r="D1285" s="118" t="n">
        <x:v>11</x:v>
      </x:c>
      <x:c r="E1285" s="117" t="str">
        <x:v>Obsolete</x:v>
      </x:c>
      <x:c r="F1285" s="117" t="str">
        <x:v>No</x:v>
      </x:c>
      <x:c r="G1285" s="117" t="str">
        <x:v>No</x:v>
      </x:c>
      <x:c r="H1285" s="117" t="str">
        <x:v>FieldServiceMobile</x:v>
      </x:c>
      <x:c r="I1285" s="118"/>
      <x:c r="J1285" s="117" t="str">
        <x:v>unmanaged</x:v>
      </x:c>
      <x:c r="K1285" s="123" t="b">
        <x:v>0</x:v>
      </x:c>
      <x:c r="L1285" s="117"/>
      <x:c r="M1285" s="118"/>
      <x:c r="N1285" s="120" t="n">
        <x:v>46106.637824074074</x:v>
      </x:c>
      <x:c r="O1285" s="117" t="str">
        <x:v>Delegate</x:v>
      </x:c>
      <x:c r="P1285" s="120" t="n">
        <x:v>46106.63789351852</x:v>
      </x:c>
      <x:c r="Q1285" s="117" t="str">
        <x:v>Delegate</x:v>
      </x:c>
      <x:c r="R1285" s="117" t="str">
        <x:v>US FSL Mobile | End Screen for FSL PDF Generation</x:v>
      </x:c>
      <x:c r="S1285" s="119" t="str">
        <x:v>02/22/2026 (BW) - Swapped the positioning of the city and state in the review fields for FSR generation</x:v>
      </x:c>
    </x:row>
    <x:row r="1286" ht="30" customHeight="1">
      <x:c r="A1286" s="117" t="str">
        <x:v>FSL_Mobile_End_Screen_for_FSL_PDF_Generation</x:v>
      </x:c>
      <x:c r="B1286" s="117" t="str">
        <x:v>300Ro00000qOg6fIAC</x:v>
      </x:c>
      <x:c r="C1286" s="117" t="str">
        <x:v>301Ro000013oqfaIAA</x:v>
      </x:c>
      <x:c r="D1286" s="118" t="n">
        <x:v>12</x:v>
      </x:c>
      <x:c r="E1286" s="117" t="str">
        <x:v>Obsolete</x:v>
      </x:c>
      <x:c r="F1286" s="117" t="str">
        <x:v>No</x:v>
      </x:c>
      <x:c r="G1286" s="117" t="str">
        <x:v>No</x:v>
      </x:c>
      <x:c r="H1286" s="117" t="str">
        <x:v>FieldServiceMobile</x:v>
      </x:c>
      <x:c r="I1286" s="118"/>
      <x:c r="J1286" s="117" t="str">
        <x:v>unmanaged</x:v>
      </x:c>
      <x:c r="K1286" s="123" t="b">
        <x:v>0</x:v>
      </x:c>
      <x:c r="L1286" s="117"/>
      <x:c r="M1286" s="118"/>
      <x:c r="N1286" s="120" t="n">
        <x:v>46134.683912037035</x:v>
      </x:c>
      <x:c r="O1286" s="117" t="str">
        <x:v>Delegate</x:v>
      </x:c>
      <x:c r="P1286" s="120" t="n">
        <x:v>46134.68398148148</x:v>
      </x:c>
      <x:c r="Q1286" s="117" t="str">
        <x:v>Delegate</x:v>
      </x:c>
      <x:c r="R1286" s="117" t="str">
        <x:v>US FSL Mobile | End Screen for FSL PDF Generation</x:v>
      </x:c>
      <x:c r="S1286" s="119" t="str">
        <x:v>04/22/2026 (BW) - Updated to remove final SOQL query so the update runs directly</x:v>
      </x:c>
    </x:row>
    <x:row r="1287" ht="30" customHeight="1">
      <x:c r="A1287" s="117" t="str">
        <x:v>FSL_Mobile_End_Screen_for_FSL_PDF_Generation</x:v>
      </x:c>
      <x:c r="B1287" s="117" t="str">
        <x:v>300Ro00000qOg6fIAC</x:v>
      </x:c>
      <x:c r="C1287" s="117" t="str">
        <x:v>301Ro000016vssYIAQ</x:v>
      </x:c>
      <x:c r="D1287" s="118" t="n">
        <x:v>13</x:v>
      </x:c>
      <x:c r="E1287" s="117" t="str">
        <x:v>Obsolete</x:v>
      </x:c>
      <x:c r="F1287" s="117" t="str">
        <x:v>No</x:v>
      </x:c>
      <x:c r="G1287" s="117" t="str">
        <x:v>No</x:v>
      </x:c>
      <x:c r="H1287" s="117" t="str">
        <x:v>FieldServiceMobile</x:v>
      </x:c>
      <x:c r="I1287" s="118"/>
      <x:c r="J1287" s="117" t="str">
        <x:v>unmanaged</x:v>
      </x:c>
      <x:c r="K1287" s="123" t="b">
        <x:v>0</x:v>
      </x:c>
      <x:c r="L1287" s="117"/>
      <x:c r="M1287" s="118"/>
      <x:c r="N1287" s="120" t="n">
        <x:v>46170.51428240741</x:v>
      </x:c>
      <x:c r="O1287" s="117" t="str">
        <x:v>Delegate</x:v>
      </x:c>
      <x:c r="P1287" s="120" t="n">
        <x:v>46170.514398148145</x:v>
      </x:c>
      <x:c r="Q1287" s="117" t="str">
        <x:v>Delegate</x:v>
      </x:c>
      <x:c r="R1287" s="117" t="str">
        <x:v>US FSL Mobile | End Screen for FSL PDF Generation</x:v>
      </x:c>
      <x:c r="S1287" s="119" t="str">
        <x:v>05/28/2026 (BW) - Updated State searching to use abbreviation and then fully spelled out state after translation</x:v>
      </x:c>
    </x:row>
    <x:row r="1288" ht="30" customHeight="1">
      <x:c r="A1288" s="117" t="str">
        <x:v>FSL_Mobile_End_Screen_for_FSL_PDF_Generation</x:v>
      </x:c>
      <x:c r="B1288" s="117" t="str">
        <x:v>300Ro00000qOg6fIAC</x:v>
      </x:c>
      <x:c r="C1288" s="117" t="str">
        <x:v>301Ro000016vi6pIAA</x:v>
      </x:c>
      <x:c r="D1288" s="118" t="n">
        <x:v>14</x:v>
      </x:c>
      <x:c r="E1288" s="117" t="str">
        <x:v>Obsolete</x:v>
      </x:c>
      <x:c r="F1288" s="117" t="str">
        <x:v>No</x:v>
      </x:c>
      <x:c r="G1288" s="117" t="str">
        <x:v>No</x:v>
      </x:c>
      <x:c r="H1288" s="117" t="str">
        <x:v>FieldServiceMobile</x:v>
      </x:c>
      <x:c r="I1288" s="118"/>
      <x:c r="J1288" s="117" t="str">
        <x:v>unmanaged</x:v>
      </x:c>
      <x:c r="K1288" s="123" t="b">
        <x:v>0</x:v>
      </x:c>
      <x:c r="L1288" s="117"/>
      <x:c r="M1288" s="118"/>
      <x:c r="N1288" s="120" t="n">
        <x:v>46170.519166666665</x:v>
      </x:c>
      <x:c r="O1288" s="117" t="str">
        <x:v>Delegate</x:v>
      </x:c>
      <x:c r="P1288" s="120" t="n">
        <x:v>46170.519224537034</x:v>
      </x:c>
      <x:c r="Q1288" s="117" t="str">
        <x:v>Delegate</x:v>
      </x:c>
      <x:c r="R1288" s="117" t="str">
        <x:v>US FSL Mobile | End Screen for FSL PDF Generation</x:v>
      </x:c>
      <x:c r="S1288" s="119" t="str">
        <x:v>05/28/2026 (BW) - Updated State searching to use abbreviation and then fully spelled out state after translation</x:v>
      </x:c>
    </x:row>
    <x:row r="1289" ht="30" customHeight="1">
      <x:c r="A1289" s="117" t="str">
        <x:v>FSL_Mobile_End_Screen_for_FSL_PDF_Generation</x:v>
      </x:c>
      <x:c r="B1289" s="117" t="str">
        <x:v>300Ro00000qOg6fIAC</x:v>
      </x:c>
      <x:c r="C1289" s="117" t="str">
        <x:v>301Ro000018mukNIAQ</x:v>
      </x:c>
      <x:c r="D1289" s="118" t="n">
        <x:v>15</x:v>
      </x:c>
      <x:c r="E1289" s="117" t="str">
        <x:v>Active</x:v>
      </x:c>
      <x:c r="F1289" s="117" t="str">
        <x:v>Yes</x:v>
      </x:c>
      <x:c r="G1289" s="117" t="str">
        <x:v>Yes</x:v>
      </x:c>
      <x:c r="H1289" s="117" t="str">
        <x:v>FieldServiceMobile</x:v>
      </x:c>
      <x:c r="I1289" s="118"/>
      <x:c r="J1289" s="117" t="str">
        <x:v>unmanaged</x:v>
      </x:c>
      <x:c r="K1289" s="123" t="b">
        <x:v>0</x:v>
      </x:c>
      <x:c r="L1289" s="117"/>
      <x:c r="M1289" s="118"/>
      <x:c r="N1289" s="120" t="n">
        <x:v>46190.569189814814</x:v>
      </x:c>
      <x:c r="O1289" s="117" t="str">
        <x:v>Mindy Bender</x:v>
      </x:c>
      <x:c r="P1289" s="120" t="n">
        <x:v>46190.56930555555</x:v>
      </x:c>
      <x:c r="Q1289" s="117" t="str">
        <x:v>Mindy Bender</x:v>
      </x:c>
      <x:c r="R1289" s="117" t="str">
        <x:v>US FSL Mobile | End Screen for FSL PDF Generation</x:v>
      </x:c>
      <x:c r="S1289" s="119" t="str">
        <x:v>06/17/2026 - MPB - Updated account name to pull from varAccountName so it updates Billing Account Name.</x:v>
      </x:c>
    </x:row>
    <x:row r="1290" ht="30" customHeight="1">
      <x:c r="A1290" s="117" t="str">
        <x:v>FSL_Mobile_Service_Appointment_Closeout</x:v>
      </x:c>
      <x:c r="B1290" s="117" t="str">
        <x:v>300Ro00000pvIVtIAM</x:v>
      </x:c>
      <x:c r="C1290" s="117" t="str">
        <x:v>301Ro00000xS5Z3IAK</x:v>
      </x:c>
      <x:c r="D1290" s="118" t="n">
        <x:v>1</x:v>
      </x:c>
      <x:c r="E1290" s="117" t="str">
        <x:v>Active</x:v>
      </x:c>
      <x:c r="F1290" s="117" t="str">
        <x:v>Yes</x:v>
      </x:c>
      <x:c r="G1290" s="117" t="str">
        <x:v>Yes</x:v>
      </x:c>
      <x:c r="H1290" s="117" t="str">
        <x:v>FieldServiceMobile</x:v>
      </x:c>
      <x:c r="I1290" s="118"/>
      <x:c r="J1290" s="117" t="str">
        <x:v>unmanaged</x:v>
      </x:c>
      <x:c r="K1290" s="123" t="b">
        <x:v>0</x:v>
      </x:c>
      <x:c r="L1290" s="117"/>
      <x:c r="M1290" s="118"/>
      <x:c r="N1290" s="120" t="n">
        <x:v>46057.42420138889</x:v>
      </x:c>
      <x:c r="O1290" s="117" t="str">
        <x:v>Sacha Pearce</x:v>
      </x:c>
      <x:c r="P1290" s="120" t="n">
        <x:v>46057.42454861111</x:v>
      </x:c>
      <x:c r="Q1290" s="117" t="str">
        <x:v>Sacha Pearce</x:v>
      </x:c>
      <x:c r="R1290" s="117" t="str">
        <x:v>FSL Mobile - Service Appointment Closeout</x:v>
      </x:c>
      <x:c r="S1290" s="119" t="str">
        <x:v>This replaces the "Update Comments" Flow due to Flow version limits.</x:v>
      </x:c>
    </x:row>
    <x:row r="1291" ht="30" customHeight="1">
      <x:c r="A1291" s="117" t="str">
        <x:v>FSL_Parts_Order</x:v>
      </x:c>
      <x:c r="B1291" s="117" t="str">
        <x:v>300Ro00000cnT4nIAE</x:v>
      </x:c>
      <x:c r="C1291" s="117" t="str">
        <x:v>301Ro00000iNPpWIAW</x:v>
      </x:c>
      <x:c r="D1291" s="118" t="n">
        <x:v>1</x:v>
      </x:c>
      <x:c r="E1291" s="117" t="str">
        <x:v>Draft</x:v>
      </x:c>
      <x:c r="F1291" s="117" t="str">
        <x:v>No</x:v>
      </x:c>
      <x:c r="G1291" s="117" t="str">
        <x:v>Yes</x:v>
      </x:c>
      <x:c r="H1291" s="117" t="str">
        <x:v>Flow</x:v>
      </x:c>
      <x:c r="I1291" s="118" t="n">
        <x:v>63</x:v>
      </x:c>
      <x:c r="J1291" s="117" t="str">
        <x:v>unmanaged</x:v>
      </x:c>
      <x:c r="K1291" s="123" t="b">
        <x:v>0</x:v>
      </x:c>
      <x:c r="L1291" s="117"/>
      <x:c r="M1291" s="118"/>
      <x:c r="N1291" s="120" t="n">
        <x:v>45882.852326388886</x:v>
      </x:c>
      <x:c r="O1291" s="117" t="str">
        <x:v>Delegate</x:v>
      </x:c>
      <x:c r="P1291" s="120" t="n">
        <x:v>45882.8530787037</x:v>
      </x:c>
      <x:c r="Q1291" s="117" t="str">
        <x:v>Delegate</x:v>
      </x:c>
      <x:c r="R1291" s="117" t="str">
        <x:v>FSL - Parts Order</x:v>
      </x:c>
      <x:c r="S1291" s="119"/>
    </x:row>
    <x:row r="1292" ht="30" customHeight="1">
      <x:c r="A1292" s="117" t="str">
        <x:v>FSL_Screen_Flow_Update_Checksheet_Output_After_It_s_Been_Generated</x:v>
      </x:c>
      <x:c r="B1292" s="117" t="str">
        <x:v>300Ro00000SQcUYIA1</x:v>
      </x:c>
      <x:c r="C1292" s="117" t="str">
        <x:v>301Ro00000VOj3nIAD</x:v>
      </x:c>
      <x:c r="D1292" s="118" t="n">
        <x:v>1</x:v>
      </x:c>
      <x:c r="E1292" s="117" t="str">
        <x:v>Obsolete</x:v>
      </x:c>
      <x:c r="F1292" s="117" t="str">
        <x:v>No</x:v>
      </x:c>
      <x:c r="G1292" s="117" t="str">
        <x:v>No</x:v>
      </x:c>
      <x:c r="H1292" s="117" t="str">
        <x:v>FieldServiceMobile</x:v>
      </x:c>
      <x:c r="I1292" s="118"/>
      <x:c r="J1292" s="117" t="str">
        <x:v>unmanaged</x:v>
      </x:c>
      <x:c r="K1292" s="123" t="b">
        <x:v>0</x:v>
      </x:c>
      <x:c r="L1292" s="117"/>
      <x:c r="M1292" s="118"/>
      <x:c r="N1292" s="120" t="n">
        <x:v>45726.56085648148</x:v>
      </x:c>
      <x:c r="O1292" s="117" t="str">
        <x:v>Delegate</x:v>
      </x:c>
      <x:c r="P1292" s="120" t="n">
        <x:v>45726.56092592593</x:v>
      </x:c>
      <x:c r="Q1292" s="117" t="str">
        <x:v>Delegate</x:v>
      </x:c>
      <x:c r="R1292" s="117" t="str">
        <x:v>FSL Screen Flow: Update Checksheet Output After It's Been Generated</x:v>
      </x:c>
      <x:c r="S1292" s="119" t="str">
        <x:v>03/10/2025 (BW) - Allows technicians to update the checksheet output after it's been generated</x:v>
      </x:c>
    </x:row>
    <x:row r="1293" ht="30" customHeight="1">
      <x:c r="A1293" s="117" t="str">
        <x:v>FSL_Screen_Flow_Update_Checksheet_Output_After_It_s_Been_Generated</x:v>
      </x:c>
      <x:c r="B1293" s="117" t="str">
        <x:v>300Ro00000SQcUYIA1</x:v>
      </x:c>
      <x:c r="C1293" s="117" t="str">
        <x:v>301Ro00000VOnvNIAT</x:v>
      </x:c>
      <x:c r="D1293" s="118" t="n">
        <x:v>2</x:v>
      </x:c>
      <x:c r="E1293" s="117" t="str">
        <x:v>Obsolete</x:v>
      </x:c>
      <x:c r="F1293" s="117" t="str">
        <x:v>No</x:v>
      </x:c>
      <x:c r="G1293" s="117" t="str">
        <x:v>No</x:v>
      </x:c>
      <x:c r="H1293" s="117" t="str">
        <x:v>FieldServiceMobile</x:v>
      </x:c>
      <x:c r="I1293" s="118"/>
      <x:c r="J1293" s="117" t="str">
        <x:v>unmanaged</x:v>
      </x:c>
      <x:c r="K1293" s="123" t="b">
        <x:v>0</x:v>
      </x:c>
      <x:c r="L1293" s="117"/>
      <x:c r="M1293" s="118"/>
      <x:c r="N1293" s="120" t="n">
        <x:v>45726.565717592595</x:v>
      </x:c>
      <x:c r="O1293" s="117" t="str">
        <x:v>Delegate</x:v>
      </x:c>
      <x:c r="P1293" s="120" t="n">
        <x:v>45726.56576388889</x:v>
      </x:c>
      <x:c r="Q1293" s="117" t="str">
        <x:v>Delegate</x:v>
      </x:c>
      <x:c r="R1293" s="117" t="str">
        <x:v>FSL Screen Flow: Update Checksheet Output After It's Been Generated</x:v>
      </x:c>
      <x:c r="S1293" s="119" t="str">
        <x:v>03/10/2025 (BW) - Allows technicians to update the checksheet output after it's been generated</x:v>
      </x:c>
    </x:row>
    <x:row r="1294" ht="30" customHeight="1">
      <x:c r="A1294" s="117" t="str">
        <x:v>FSL_Screen_Flow_Update_Checksheet_Output_After_It_s_Been_Generated</x:v>
      </x:c>
      <x:c r="B1294" s="117" t="str">
        <x:v>300Ro00000SQcUYIA1</x:v>
      </x:c>
      <x:c r="C1294" s="117" t="str">
        <x:v>301Ro00000VOTMEIA5</x:v>
      </x:c>
      <x:c r="D1294" s="118" t="n">
        <x:v>3</x:v>
      </x:c>
      <x:c r="E1294" s="117" t="str">
        <x:v>Draft</x:v>
      </x:c>
      <x:c r="F1294" s="117" t="str">
        <x:v>No</x:v>
      </x:c>
      <x:c r="G1294" s="117" t="str">
        <x:v>No</x:v>
      </x:c>
      <x:c r="H1294" s="117" t="str">
        <x:v>FieldServiceMobile</x:v>
      </x:c>
      <x:c r="I1294" s="118"/>
      <x:c r="J1294" s="117" t="str">
        <x:v>unmanaged</x:v>
      </x:c>
      <x:c r="K1294" s="123" t="b">
        <x:v>0</x:v>
      </x:c>
      <x:c r="L1294" s="117"/>
      <x:c r="M1294" s="118"/>
      <x:c r="N1294" s="120" t="n">
        <x:v>45726.576516203706</x:v>
      </x:c>
      <x:c r="O1294" s="117" t="str">
        <x:v>Delegate</x:v>
      </x:c>
      <x:c r="P1294" s="120" t="n">
        <x:v>45726.57655092593</x:v>
      </x:c>
      <x:c r="Q1294" s="117" t="str">
        <x:v>Delegate</x:v>
      </x:c>
      <x:c r="R1294" s="117" t="str">
        <x:v>FSL Screen Flow: Update Checksheet Output After It's Been Generated</x:v>
      </x:c>
      <x:c r="S1294" s="119" t="str">
        <x:v>03/10/2025 (BW) - Allows technicians to update the checksheet output after it's been generated</x:v>
      </x:c>
    </x:row>
    <x:row r="1295" ht="30" customHeight="1">
      <x:c r="A1295" s="117" t="str">
        <x:v>FSL_Screen_Flow_Update_Checksheet_Output_After_It_s_Been_Generated</x:v>
      </x:c>
      <x:c r="B1295" s="117" t="str">
        <x:v>300Ro00000SQcUYIA1</x:v>
      </x:c>
      <x:c r="C1295" s="117" t="str">
        <x:v>301Ro00000VSt4YIAT</x:v>
      </x:c>
      <x:c r="D1295" s="118" t="n">
        <x:v>4</x:v>
      </x:c>
      <x:c r="E1295" s="117" t="str">
        <x:v>Obsolete</x:v>
      </x:c>
      <x:c r="F1295" s="117" t="str">
        <x:v>No</x:v>
      </x:c>
      <x:c r="G1295" s="117" t="str">
        <x:v>No</x:v>
      </x:c>
      <x:c r="H1295" s="117" t="str">
        <x:v>FieldServiceMobile</x:v>
      </x:c>
      <x:c r="I1295" s="118"/>
      <x:c r="J1295" s="117" t="str">
        <x:v>unmanaged</x:v>
      </x:c>
      <x:c r="K1295" s="123" t="b">
        <x:v>0</x:v>
      </x:c>
      <x:c r="L1295" s="117"/>
      <x:c r="M1295" s="118"/>
      <x:c r="N1295" s="120" t="n">
        <x:v>45727.52101851852</x:v>
      </x:c>
      <x:c r="O1295" s="117" t="str">
        <x:v>Delegate</x:v>
      </x:c>
      <x:c r="P1295" s="120" t="n">
        <x:v>45727.52106481481</x:v>
      </x:c>
      <x:c r="Q1295" s="117" t="str">
        <x:v>Delegate</x:v>
      </x:c>
      <x:c r="R1295" s="117" t="str">
        <x:v>FSL Screen Flow: Update Checksheet Output After It's Been Generated</x:v>
      </x:c>
      <x:c r="S1295" s="119" t="str">
        <x:v>03/10/2025 (BW) - Allows technicians to update the checksheet output after it's been generated</x:v>
      </x:c>
    </x:row>
    <x:row r="1296" ht="30" customHeight="1">
      <x:c r="A1296" s="117" t="str">
        <x:v>FSL_Screen_Flow_Update_Checksheet_Output_After_It_s_Been_Generated</x:v>
      </x:c>
      <x:c r="B1296" s="117" t="str">
        <x:v>300Ro00000SQcUYIA1</x:v>
      </x:c>
      <x:c r="C1296" s="117" t="str">
        <x:v>301Ro00000VStvmIAD</x:v>
      </x:c>
      <x:c r="D1296" s="118" t="n">
        <x:v>5</x:v>
      </x:c>
      <x:c r="E1296" s="117" t="str">
        <x:v>Active</x:v>
      </x:c>
      <x:c r="F1296" s="117" t="str">
        <x:v>Yes</x:v>
      </x:c>
      <x:c r="G1296" s="117" t="str">
        <x:v>No</x:v>
      </x:c>
      <x:c r="H1296" s="117" t="str">
        <x:v>FieldServiceMobile</x:v>
      </x:c>
      <x:c r="I1296" s="118"/>
      <x:c r="J1296" s="117" t="str">
        <x:v>unmanaged</x:v>
      </x:c>
      <x:c r="K1296" s="123" t="b">
        <x:v>0</x:v>
      </x:c>
      <x:c r="L1296" s="117"/>
      <x:c r="M1296" s="118"/>
      <x:c r="N1296" s="120" t="n">
        <x:v>45727.526967592596</x:v>
      </x:c>
      <x:c r="O1296" s="117" t="str">
        <x:v>Delegate</x:v>
      </x:c>
      <x:c r="P1296" s="120" t="n">
        <x:v>45727.52707175926</x:v>
      </x:c>
      <x:c r="Q1296" s="117" t="str">
        <x:v>Delegate</x:v>
      </x:c>
      <x:c r="R1296" s="117" t="str">
        <x:v>FSL Screen Flow: Update Checksheet Output After It's Been Generated</x:v>
      </x:c>
      <x:c r="S1296" s="119" t="str">
        <x:v>03/10/2025 (BW) - Allows technicians to update the checksheet output after it's been generated</x:v>
      </x:c>
    </x:row>
    <x:row r="1297" ht="30" customHeight="1">
      <x:c r="A1297" s="117" t="str">
        <x:v>FSL_Screen_Flow_Update_Checksheet_Output_After_It_s_Been_Generated</x:v>
      </x:c>
      <x:c r="B1297" s="117" t="str">
        <x:v>300Ro00000SQcUYIA1</x:v>
      </x:c>
      <x:c r="C1297" s="117" t="str">
        <x:v>301Ro00000VTBz9IAH</x:v>
      </x:c>
      <x:c r="D1297" s="118" t="n">
        <x:v>6</x:v>
      </x:c>
      <x:c r="E1297" s="117" t="str">
        <x:v>Draft</x:v>
      </x:c>
      <x:c r="F1297" s="117" t="str">
        <x:v>No</x:v>
      </x:c>
      <x:c r="G1297" s="117" t="str">
        <x:v>Yes</x:v>
      </x:c>
      <x:c r="H1297" s="117" t="str">
        <x:v>FieldServiceMobile</x:v>
      </x:c>
      <x:c r="I1297" s="118"/>
      <x:c r="J1297" s="117" t="str">
        <x:v>unmanaged</x:v>
      </x:c>
      <x:c r="K1297" s="123" t="b">
        <x:v>0</x:v>
      </x:c>
      <x:c r="L1297" s="117"/>
      <x:c r="M1297" s="118"/>
      <x:c r="N1297" s="120" t="n">
        <x:v>45727.56984953704</x:v>
      </x:c>
      <x:c r="O1297" s="117" t="str">
        <x:v>Delegate</x:v>
      </x:c>
      <x:c r="P1297" s="120" t="n">
        <x:v>45727.569872685184</x:v>
      </x:c>
      <x:c r="Q1297" s="117" t="str">
        <x:v>Delegate</x:v>
      </x:c>
      <x:c r="R1297" s="117" t="str">
        <x:v>FSL Screen Flow: Update Checksheet Output After It's Been Generated</x:v>
      </x:c>
      <x:c r="S1297" s="119" t="str">
        <x:v>03/10/2025 (BW) - Allows technicians to update the checksheet output after it's been generated</x:v>
      </x:c>
    </x:row>
    <x:row r="1298" ht="30" customHeight="1">
      <x:c r="A1298" s="117" t="str">
        <x:v>FSL_Screen_Request_Parts_on_WO</x:v>
      </x:c>
      <x:c r="B1298" s="117" t="str">
        <x:v>300Ro00000cnT4cIAE</x:v>
      </x:c>
      <x:c r="C1298" s="117" t="str">
        <x:v>301Ro00000zA3kjIAC</x:v>
      </x:c>
      <x:c r="D1298" s="118" t="n">
        <x:v>89</x:v>
      </x:c>
      <x:c r="E1298" s="117" t="str">
        <x:v>Obsolete</x:v>
      </x:c>
      <x:c r="F1298" s="117" t="str">
        <x:v>No</x:v>
      </x:c>
      <x:c r="G1298" s="117" t="str">
        <x:v>No</x:v>
      </x:c>
      <x:c r="H1298" s="117" t="str">
        <x:v>FieldServiceMobile</x:v>
      </x:c>
      <x:c r="I1298" s="118"/>
      <x:c r="J1298" s="117" t="str">
        <x:v>unmanaged</x:v>
      </x:c>
      <x:c r="K1298" s="123" t="b">
        <x:v>0</x:v>
      </x:c>
      <x:c r="L1298" s="117"/>
      <x:c r="M1298" s="118"/>
      <x:c r="N1298" s="120" t="n">
        <x:v>46078.09462962963</x:v>
      </x:c>
      <x:c r="O1298" s="117" t="str">
        <x:v>Delegate</x:v>
      </x:c>
      <x:c r="P1298" s="120" t="n">
        <x:v>46078.094826388886</x:v>
      </x:c>
      <x:c r="Q1298" s="117" t="str">
        <x:v>Delegate</x:v>
      </x:c>
      <x:c r="R1298" s="117" t="str">
        <x:v>FSL - Screen - Request Parts on WO</x:v>
      </x:c>
      <x:c r="S1298" s="119" t="str">
        <x:v>02/24/2026 (BW) - Updating the name from Service Call to Quote Needed for when a quote is needed</x:v>
      </x:c>
    </x:row>
    <x:row r="1299" ht="30" customHeight="1">
      <x:c r="A1299" s="117" t="str">
        <x:v>FSL_Screen_Request_Parts_on_WO</x:v>
      </x:c>
      <x:c r="B1299" s="117" t="str">
        <x:v>300Ro00000cnT4cIAE</x:v>
      </x:c>
      <x:c r="C1299" s="117" t="str">
        <x:v>301Ro00000zA3ZSIA0</x:v>
      </x:c>
      <x:c r="D1299" s="118" t="n">
        <x:v>90</x:v>
      </x:c>
      <x:c r="E1299" s="117" t="str">
        <x:v>Obsolete</x:v>
      </x:c>
      <x:c r="F1299" s="117" t="str">
        <x:v>No</x:v>
      </x:c>
      <x:c r="G1299" s="117" t="str">
        <x:v>No</x:v>
      </x:c>
      <x:c r="H1299" s="117" t="str">
        <x:v>FieldServiceMobile</x:v>
      </x:c>
      <x:c r="I1299" s="118"/>
      <x:c r="J1299" s="117" t="str">
        <x:v>unmanaged</x:v>
      </x:c>
      <x:c r="K1299" s="123" t="b">
        <x:v>0</x:v>
      </x:c>
      <x:c r="L1299" s="117"/>
      <x:c r="M1299" s="118"/>
      <x:c r="N1299" s="120" t="n">
        <x:v>46078.09684027778</x:v>
      </x:c>
      <x:c r="O1299" s="117" t="str">
        <x:v>Delegate</x:v>
      </x:c>
      <x:c r="P1299" s="120" t="n">
        <x:v>46078.09704861111</x:v>
      </x:c>
      <x:c r="Q1299" s="117" t="str">
        <x:v>Delegate</x:v>
      </x:c>
      <x:c r="R1299" s="117" t="str">
        <x:v>FSL - Screen - Request Parts on WO</x:v>
      </x:c>
      <x:c r="S1299" s="119" t="str">
        <x:v>02/24/2026 (BW) - Updating the name from Service Call to Quote Needed for when a quote is needed</x:v>
      </x:c>
    </x:row>
    <x:row r="1300" ht="30" customHeight="1">
      <x:c r="A1300" s="117" t="str">
        <x:v>FSL_Screen_Request_Parts_on_WO</x:v>
      </x:c>
      <x:c r="B1300" s="117" t="str">
        <x:v>300Ro00000cnT4cIAE</x:v>
      </x:c>
      <x:c r="C1300" s="117" t="str">
        <x:v>301Ro00000z9wjEIAQ</x:v>
      </x:c>
      <x:c r="D1300" s="118" t="n">
        <x:v>91</x:v>
      </x:c>
      <x:c r="E1300" s="117" t="str">
        <x:v>Obsolete</x:v>
      </x:c>
      <x:c r="F1300" s="117" t="str">
        <x:v>No</x:v>
      </x:c>
      <x:c r="G1300" s="117" t="str">
        <x:v>No</x:v>
      </x:c>
      <x:c r="H1300" s="117" t="str">
        <x:v>FieldServiceMobile</x:v>
      </x:c>
      <x:c r="I1300" s="118"/>
      <x:c r="J1300" s="117" t="str">
        <x:v>unmanaged</x:v>
      </x:c>
      <x:c r="K1300" s="123" t="b">
        <x:v>0</x:v>
      </x:c>
      <x:c r="L1300" s="117"/>
      <x:c r="M1300" s="118"/>
      <x:c r="N1300" s="120" t="n">
        <x:v>46078.10013888889</x:v>
      </x:c>
      <x:c r="O1300" s="117" t="str">
        <x:v>Delegate</x:v>
      </x:c>
      <x:c r="P1300" s="120" t="n">
        <x:v>46078.100277777776</x:v>
      </x:c>
      <x:c r="Q1300" s="117" t="str">
        <x:v>Delegate</x:v>
      </x:c>
      <x:c r="R1300" s="117" t="str">
        <x:v>FSL - Screen - Request Parts on WO</x:v>
      </x:c>
      <x:c r="S1300" s="119" t="str">
        <x:v>02/24/2026 (BW) - Updating the name from Service Call to Quote Needed for when a quote is needed</x:v>
      </x:c>
    </x:row>
    <x:row r="1301" ht="30" customHeight="1">
      <x:c r="A1301" s="117" t="str">
        <x:v>FSL_Screen_Request_Parts_on_WO</x:v>
      </x:c>
      <x:c r="B1301" s="117" t="str">
        <x:v>300Ro00000cnT4cIAE</x:v>
      </x:c>
      <x:c r="C1301" s="117" t="str">
        <x:v>301Ro00000zDjCHIA0</x:v>
      </x:c>
      <x:c r="D1301" s="118" t="n">
        <x:v>92</x:v>
      </x:c>
      <x:c r="E1301" s="117" t="str">
        <x:v>Obsolete</x:v>
      </x:c>
      <x:c r="F1301" s="117" t="str">
        <x:v>No</x:v>
      </x:c>
      <x:c r="G1301" s="117" t="str">
        <x:v>No</x:v>
      </x:c>
      <x:c r="H1301" s="117" t="str">
        <x:v>FieldServiceMobile</x:v>
      </x:c>
      <x:c r="I1301" s="118"/>
      <x:c r="J1301" s="117" t="str">
        <x:v>unmanaged</x:v>
      </x:c>
      <x:c r="K1301" s="123" t="b">
        <x:v>0</x:v>
      </x:c>
      <x:c r="L1301" s="117"/>
      <x:c r="M1301" s="118"/>
      <x:c r="N1301" s="120" t="n">
        <x:v>46078.77327546296</x:v>
      </x:c>
      <x:c r="O1301" s="117" t="str">
        <x:v>Delegate</x:v>
      </x:c>
      <x:c r="P1301" s="120" t="n">
        <x:v>46078.77496527778</x:v>
      </x:c>
      <x:c r="Q1301" s="117" t="str">
        <x:v>Delegate</x:v>
      </x:c>
      <x:c r="R1301" s="117" t="str">
        <x:v>FSL - Screen - Request Parts on WO</x:v>
      </x:c>
      <x:c r="S1301" s="119" t="str">
        <x:v>02/24/2026 (BW) - Updating the name from Service Call to Quote Needed for when a quote is needed</x:v>
      </x:c>
    </x:row>
    <x:row r="1302" ht="30" customHeight="1">
      <x:c r="A1302" s="117" t="str">
        <x:v>FSL_Screen_Request_Parts_on_WO</x:v>
      </x:c>
      <x:c r="B1302" s="117" t="str">
        <x:v>300Ro00000cnT4cIAE</x:v>
      </x:c>
      <x:c r="C1302" s="117" t="str">
        <x:v>301Ro00000zDMdwIAG</x:v>
      </x:c>
      <x:c r="D1302" s="118" t="n">
        <x:v>93</x:v>
      </x:c>
      <x:c r="E1302" s="117" t="str">
        <x:v>Obsolete</x:v>
      </x:c>
      <x:c r="F1302" s="117" t="str">
        <x:v>No</x:v>
      </x:c>
      <x:c r="G1302" s="117" t="str">
        <x:v>No</x:v>
      </x:c>
      <x:c r="H1302" s="117" t="str">
        <x:v>FieldServiceMobile</x:v>
      </x:c>
      <x:c r="I1302" s="118"/>
      <x:c r="J1302" s="117" t="str">
        <x:v>unmanaged</x:v>
      </x:c>
      <x:c r="K1302" s="123" t="b">
        <x:v>0</x:v>
      </x:c>
      <x:c r="L1302" s="117"/>
      <x:c r="M1302" s="118"/>
      <x:c r="N1302" s="120" t="n">
        <x:v>46078.78380787037</x:v>
      </x:c>
      <x:c r="O1302" s="117" t="str">
        <x:v>Delegate</x:v>
      </x:c>
      <x:c r="P1302" s="120" t="n">
        <x:v>46078.78402777778</x:v>
      </x:c>
      <x:c r="Q1302" s="117" t="str">
        <x:v>Delegate</x:v>
      </x:c>
      <x:c r="R1302" s="117" t="str">
        <x:v>FSL - Screen - Request Parts on WO</x:v>
      </x:c>
      <x:c r="S1302" s="119" t="str">
        <x:v>02/24/2026 (BW) - Updating the name from Service Call to Quote Needed for when a quote is needed</x:v>
      </x:c>
    </x:row>
    <x:row r="1303" ht="30" customHeight="1">
      <x:c r="A1303" s="117" t="str">
        <x:v>FSL_Screen_Request_Parts_on_WO</x:v>
      </x:c>
      <x:c r="B1303" s="117" t="str">
        <x:v>300Ro00000cnT4cIAE</x:v>
      </x:c>
      <x:c r="C1303" s="117" t="str">
        <x:v>301Ro00000zFVjbIAG</x:v>
      </x:c>
      <x:c r="D1303" s="118" t="n">
        <x:v>94</x:v>
      </x:c>
      <x:c r="E1303" s="117" t="str">
        <x:v>Obsolete</x:v>
      </x:c>
      <x:c r="F1303" s="117" t="str">
        <x:v>No</x:v>
      </x:c>
      <x:c r="G1303" s="117" t="str">
        <x:v>No</x:v>
      </x:c>
      <x:c r="H1303" s="117" t="str">
        <x:v>FieldServiceMobile</x:v>
      </x:c>
      <x:c r="I1303" s="118"/>
      <x:c r="J1303" s="117" t="str">
        <x:v>unmanaged</x:v>
      </x:c>
      <x:c r="K1303" s="123" t="b">
        <x:v>0</x:v>
      </x:c>
      <x:c r="L1303" s="117"/>
      <x:c r="M1303" s="118"/>
      <x:c r="N1303" s="120" t="n">
        <x:v>46079.01012731482</x:v>
      </x:c>
      <x:c r="O1303" s="117" t="str">
        <x:v>Delegate</x:v>
      </x:c>
      <x:c r="P1303" s="120" t="n">
        <x:v>46079.01037037037</x:v>
      </x:c>
      <x:c r="Q1303" s="117" t="str">
        <x:v>Delegate</x:v>
      </x:c>
      <x:c r="R1303" s="117" t="str">
        <x:v>FSL - Screen - Request Parts on WO</x:v>
      </x:c>
      <x:c r="S1303" s="119" t="str">
        <x:v>02/24/2026 (BW) - Updating the name from Service Call to Quote Needed for when a quote is needed</x:v>
      </x:c>
    </x:row>
    <x:row r="1304" ht="30" customHeight="1">
      <x:c r="A1304" s="117" t="str">
        <x:v>FSL_Screen_Request_Parts_on_WO</x:v>
      </x:c>
      <x:c r="B1304" s="117" t="str">
        <x:v>300Ro00000cnT4cIAE</x:v>
      </x:c>
      <x:c r="C1304" s="117" t="str">
        <x:v>301Ro00000zO20jIAC</x:v>
      </x:c>
      <x:c r="D1304" s="118" t="n">
        <x:v>95</x:v>
      </x:c>
      <x:c r="E1304" s="117" t="str">
        <x:v>Obsolete</x:v>
      </x:c>
      <x:c r="F1304" s="117" t="str">
        <x:v>No</x:v>
      </x:c>
      <x:c r="G1304" s="117" t="str">
        <x:v>No</x:v>
      </x:c>
      <x:c r="H1304" s="117" t="str">
        <x:v>FieldServiceMobile</x:v>
      </x:c>
      <x:c r="I1304" s="118"/>
      <x:c r="J1304" s="117" t="str">
        <x:v>unmanaged</x:v>
      </x:c>
      <x:c r="K1304" s="123" t="b">
        <x:v>0</x:v>
      </x:c>
      <x:c r="L1304" s="117"/>
      <x:c r="M1304" s="118"/>
      <x:c r="N1304" s="120" t="n">
        <x:v>46080.547800925924</x:v>
      </x:c>
      <x:c r="O1304" s="117" t="str">
        <x:v>Delegate</x:v>
      </x:c>
      <x:c r="P1304" s="120" t="n">
        <x:v>46080.548055555555</x:v>
      </x:c>
      <x:c r="Q1304" s="117" t="str">
        <x:v>Delegate</x:v>
      </x:c>
      <x:c r="R1304" s="117" t="str">
        <x:v>FSL - Screen - Request Parts on WO</x:v>
      </x:c>
      <x:c r="S1304" s="119" t="str">
        <x:v>02/27/2026 (BW) - Updates from 02/26/2026 reviews</x:v>
      </x:c>
    </x:row>
    <x:row r="1305" ht="30" customHeight="1">
      <x:c r="A1305" s="117" t="str">
        <x:v>FSL_Screen_Request_Parts_on_WO</x:v>
      </x:c>
      <x:c r="B1305" s="117" t="str">
        <x:v>300Ro00000cnT4cIAE</x:v>
      </x:c>
      <x:c r="C1305" s="117" t="str">
        <x:v>301Ro00000zOjqUIAS</x:v>
      </x:c>
      <x:c r="D1305" s="118" t="n">
        <x:v>96</x:v>
      </x:c>
      <x:c r="E1305" s="117" t="str">
        <x:v>Obsolete</x:v>
      </x:c>
      <x:c r="F1305" s="117" t="str">
        <x:v>No</x:v>
      </x:c>
      <x:c r="G1305" s="117" t="str">
        <x:v>No</x:v>
      </x:c>
      <x:c r="H1305" s="117" t="str">
        <x:v>FieldServiceMobile</x:v>
      </x:c>
      <x:c r="I1305" s="118"/>
      <x:c r="J1305" s="117" t="str">
        <x:v>unmanaged</x:v>
      </x:c>
      <x:c r="K1305" s="123" t="b">
        <x:v>0</x:v>
      </x:c>
      <x:c r="L1305" s="117"/>
      <x:c r="M1305" s="118"/>
      <x:c r="N1305" s="120" t="n">
        <x:v>46080.64769675926</x:v>
      </x:c>
      <x:c r="O1305" s="117" t="str">
        <x:v>Delegate</x:v>
      </x:c>
      <x:c r="P1305" s="120" t="n">
        <x:v>46080.64800925926</x:v>
      </x:c>
      <x:c r="Q1305" s="117" t="str">
        <x:v>Delegate</x:v>
      </x:c>
      <x:c r="R1305" s="117" t="str">
        <x:v>FSL - Screen - Request Parts on WO</x:v>
      </x:c>
      <x:c r="S1305" s="119" t="str">
        <x:v>02/27/2026 (BW) - Updates from 02/26/2026 reviews</x:v>
      </x:c>
    </x:row>
    <x:row r="1306" ht="30" customHeight="1">
      <x:c r="A1306" s="117" t="str">
        <x:v>FSL_Screen_Request_Parts_on_WO</x:v>
      </x:c>
      <x:c r="B1306" s="117" t="str">
        <x:v>300Ro00000cnT4cIAE</x:v>
      </x:c>
      <x:c r="C1306" s="117" t="str">
        <x:v>301Ro00000zPfRVIA0</x:v>
      </x:c>
      <x:c r="D1306" s="118" t="n">
        <x:v>97</x:v>
      </x:c>
      <x:c r="E1306" s="117" t="str">
        <x:v>Draft</x:v>
      </x:c>
      <x:c r="F1306" s="117" t="str">
        <x:v>No</x:v>
      </x:c>
      <x:c r="G1306" s="117" t="str">
        <x:v>No</x:v>
      </x:c>
      <x:c r="H1306" s="117" t="str">
        <x:v>FieldServiceMobile</x:v>
      </x:c>
      <x:c r="I1306" s="118"/>
      <x:c r="J1306" s="117" t="str">
        <x:v>unmanaged</x:v>
      </x:c>
      <x:c r="K1306" s="123" t="b">
        <x:v>0</x:v>
      </x:c>
      <x:c r="L1306" s="117"/>
      <x:c r="M1306" s="118"/>
      <x:c r="N1306" s="120" t="n">
        <x:v>46080.77642361111</x:v>
      </x:c>
      <x:c r="O1306" s="117" t="str">
        <x:v>Delegate</x:v>
      </x:c>
      <x:c r="P1306" s="120" t="n">
        <x:v>46080.776504629626</x:v>
      </x:c>
      <x:c r="Q1306" s="117" t="str">
        <x:v>Delegate</x:v>
      </x:c>
      <x:c r="R1306" s="117" t="str">
        <x:v>FSL - Screen - Request Parts on WO</x:v>
      </x:c>
      <x:c r="S1306" s="119" t="str">
        <x:v>02/27/2026 (BW) - Updates from 02/26/2026 reviews</x:v>
      </x:c>
    </x:row>
    <x:row r="1307" ht="30" customHeight="1">
      <x:c r="A1307" s="117" t="str">
        <x:v>FSL_Screen_Request_Parts_on_WO</x:v>
      </x:c>
      <x:c r="B1307" s="117" t="str">
        <x:v>300Ro00000cnT4cIAE</x:v>
      </x:c>
      <x:c r="C1307" s="117" t="str">
        <x:v>301Ro00000zPGXxIAO</x:v>
      </x:c>
      <x:c r="D1307" s="118" t="n">
        <x:v>98</x:v>
      </x:c>
      <x:c r="E1307" s="117" t="str">
        <x:v>Obsolete</x:v>
      </x:c>
      <x:c r="F1307" s="117" t="str">
        <x:v>No</x:v>
      </x:c>
      <x:c r="G1307" s="117" t="str">
        <x:v>No</x:v>
      </x:c>
      <x:c r="H1307" s="117" t="str">
        <x:v>FieldServiceMobile</x:v>
      </x:c>
      <x:c r="I1307" s="118"/>
      <x:c r="J1307" s="117" t="str">
        <x:v>unmanaged</x:v>
      </x:c>
      <x:c r="K1307" s="123" t="b">
        <x:v>0</x:v>
      </x:c>
      <x:c r="L1307" s="117"/>
      <x:c r="M1307" s="118"/>
      <x:c r="N1307" s="120" t="n">
        <x:v>46080.77693287037</x:v>
      </x:c>
      <x:c r="O1307" s="117" t="str">
        <x:v>Delegate</x:v>
      </x:c>
      <x:c r="P1307" s="120" t="n">
        <x:v>46080.77711805556</x:v>
      </x:c>
      <x:c r="Q1307" s="117" t="str">
        <x:v>Delegate</x:v>
      </x:c>
      <x:c r="R1307" s="117" t="str">
        <x:v>FSL - Screen - Request Parts on WO</x:v>
      </x:c>
      <x:c r="S1307" s="119" t="str">
        <x:v>02/27/2026 (BW) - Updates from 02/26/2026 reviews</x:v>
      </x:c>
    </x:row>
    <x:row r="1308" ht="30" customHeight="1">
      <x:c r="A1308" s="117" t="str">
        <x:v>FSL_Screen_Request_Parts_on_WO</x:v>
      </x:c>
      <x:c r="B1308" s="117" t="str">
        <x:v>300Ro00000cnT4cIAE</x:v>
      </x:c>
      <x:c r="C1308" s="117" t="str">
        <x:v>301Ro00000zQ1OjIAK</x:v>
      </x:c>
      <x:c r="D1308" s="118" t="n">
        <x:v>99</x:v>
      </x:c>
      <x:c r="E1308" s="117" t="str">
        <x:v>Obsolete</x:v>
      </x:c>
      <x:c r="F1308" s="117" t="str">
        <x:v>No</x:v>
      </x:c>
      <x:c r="G1308" s="117" t="str">
        <x:v>No</x:v>
      </x:c>
      <x:c r="H1308" s="117" t="str">
        <x:v>FieldServiceMobile</x:v>
      </x:c>
      <x:c r="I1308" s="118"/>
      <x:c r="J1308" s="117" t="str">
        <x:v>unmanaged</x:v>
      </x:c>
      <x:c r="K1308" s="123" t="b">
        <x:v>0</x:v>
      </x:c>
      <x:c r="L1308" s="117"/>
      <x:c r="M1308" s="118"/>
      <x:c r="N1308" s="120" t="n">
        <x:v>46080.781331018516</x:v>
      </x:c>
      <x:c r="O1308" s="117" t="str">
        <x:v>Delegate</x:v>
      </x:c>
      <x:c r="P1308" s="120" t="n">
        <x:v>46080.782638888886</x:v>
      </x:c>
      <x:c r="Q1308" s="117" t="str">
        <x:v>Delegate</x:v>
      </x:c>
      <x:c r="R1308" s="117" t="str">
        <x:v>FSL - Screen - Request Parts on WO</x:v>
      </x:c>
      <x:c r="S1308" s="119" t="str">
        <x:v>02/27/2026 (BW) - Updates from 02/26/2026 reviews</x:v>
      </x:c>
    </x:row>
    <x:row r="1309" ht="30" customHeight="1">
      <x:c r="A1309" s="117" t="str">
        <x:v>FSL_Screen_Request_Parts_on_WO</x:v>
      </x:c>
      <x:c r="B1309" s="117" t="str">
        <x:v>300Ro00000cnT4cIAE</x:v>
      </x:c>
      <x:c r="C1309" s="117" t="str">
        <x:v>301Ro00000zkiJ3IAI</x:v>
      </x:c>
      <x:c r="D1309" s="118" t="n">
        <x:v>100</x:v>
      </x:c>
      <x:c r="E1309" s="117" t="str">
        <x:v>Draft</x:v>
      </x:c>
      <x:c r="F1309" s="117" t="str">
        <x:v>No</x:v>
      </x:c>
      <x:c r="G1309" s="117" t="str">
        <x:v>No</x:v>
      </x:c>
      <x:c r="H1309" s="117" t="str">
        <x:v>FieldServiceMobile</x:v>
      </x:c>
      <x:c r="I1309" s="118"/>
      <x:c r="J1309" s="117" t="str">
        <x:v>unmanaged</x:v>
      </x:c>
      <x:c r="K1309" s="123" t="b">
        <x:v>0</x:v>
      </x:c>
      <x:c r="L1309" s="117"/>
      <x:c r="M1309" s="118"/>
      <x:c r="N1309" s="120" t="n">
        <x:v>46085.54206018519</x:v>
      </x:c>
      <x:c r="O1309" s="117" t="str">
        <x:v>Delegate</x:v>
      </x:c>
      <x:c r="P1309" s="120" t="n">
        <x:v>46085.54216435185</x:v>
      </x:c>
      <x:c r="Q1309" s="117" t="str">
        <x:v>Delegate</x:v>
      </x:c>
      <x:c r="R1309" s="117" t="str">
        <x:v>FSL - Screen - Request Parts on WO</x:v>
      </x:c>
      <x:c r="S1309" s="119" t="str">
        <x:v>03/04/2026 (BW) - Added the probe for repair serial number to be populated from the serial number of the probe that is getting repaired</x:v>
      </x:c>
    </x:row>
    <x:row r="1310" ht="30" customHeight="1">
      <x:c r="A1310" s="117" t="str">
        <x:v>FSL_Screen_Request_Parts_on_WO</x:v>
      </x:c>
      <x:c r="B1310" s="117" t="str">
        <x:v>300Ro00000cnT4cIAE</x:v>
      </x:c>
      <x:c r="C1310" s="117" t="str">
        <x:v>301Ro000010BESAIA4</x:v>
      </x:c>
      <x:c r="D1310" s="118" t="n">
        <x:v>101</x:v>
      </x:c>
      <x:c r="E1310" s="117" t="str">
        <x:v>Obsolete</x:v>
      </x:c>
      <x:c r="F1310" s="117" t="str">
        <x:v>No</x:v>
      </x:c>
      <x:c r="G1310" s="117" t="str">
        <x:v>No</x:v>
      </x:c>
      <x:c r="H1310" s="117" t="str">
        <x:v>FieldServiceMobile</x:v>
      </x:c>
      <x:c r="I1310" s="118"/>
      <x:c r="J1310" s="117" t="str">
        <x:v>unmanaged</x:v>
      </x:c>
      <x:c r="K1310" s="123" t="b">
        <x:v>0</x:v>
      </x:c>
      <x:c r="L1310" s="117"/>
      <x:c r="M1310" s="118"/>
      <x:c r="N1310" s="120" t="n">
        <x:v>46091.00082175926</x:v>
      </x:c>
      <x:c r="O1310" s="117" t="str">
        <x:v>Delegate</x:v>
      </x:c>
      <x:c r="P1310" s="120" t="n">
        <x:v>46091.00105324074</x:v>
      </x:c>
      <x:c r="Q1310" s="117" t="str">
        <x:v>Delegate</x:v>
      </x:c>
      <x:c r="R1310" s="117" t="str">
        <x:v>FSL - Screen - Request Parts on WO</x:v>
      </x:c>
      <x:c r="S1310" s="119" t="str">
        <x:v>03/09/2026 (BW) - Updating lines to be labor and travel appropriately</x:v>
      </x:c>
    </x:row>
    <x:row r="1311" ht="30" customHeight="1">
      <x:c r="A1311" s="117" t="str">
        <x:v>FSL_Screen_Request_Parts_on_WO</x:v>
      </x:c>
      <x:c r="B1311" s="117" t="str">
        <x:v>300Ro00000cnT4cIAE</x:v>
      </x:c>
      <x:c r="C1311" s="117" t="str">
        <x:v>301Ro000010m0DMIAY</x:v>
      </x:c>
      <x:c r="D1311" s="118" t="n">
        <x:v>102</x:v>
      </x:c>
      <x:c r="E1311" s="117" t="str">
        <x:v>Obsolete</x:v>
      </x:c>
      <x:c r="F1311" s="117" t="str">
        <x:v>No</x:v>
      </x:c>
      <x:c r="G1311" s="117" t="str">
        <x:v>No</x:v>
      </x:c>
      <x:c r="H1311" s="117" t="str">
        <x:v>FieldServiceMobile</x:v>
      </x:c>
      <x:c r="I1311" s="118"/>
      <x:c r="J1311" s="117" t="str">
        <x:v>unmanaged</x:v>
      </x:c>
      <x:c r="K1311" s="123" t="b">
        <x:v>0</x:v>
      </x:c>
      <x:c r="L1311" s="117"/>
      <x:c r="M1311" s="118"/>
      <x:c r="N1311" s="120" t="n">
        <x:v>46098.58121527778</x:v>
      </x:c>
      <x:c r="O1311" s="117" t="str">
        <x:v>Delegate</x:v>
      </x:c>
      <x:c r="P1311" s="120" t="n">
        <x:v>46098.58146990741</x:v>
      </x:c>
      <x:c r="Q1311" s="117" t="str">
        <x:v>Delegate</x:v>
      </x:c>
      <x:c r="R1311" s="117" t="str">
        <x:v>FSL - Screen - Request Parts on WO</x:v>
      </x:c>
      <x:c r="S1311" s="119" t="str">
        <x:v>03/17/2026 (BW) - Adding the ability to have a loaner get it's w/ loaner or no loaner by placing it on the work order</x:v>
      </x:c>
    </x:row>
    <x:row r="1312" ht="30" customHeight="1">
      <x:c r="A1312" s="117" t="str">
        <x:v>FSL_Screen_Request_Parts_on_WO</x:v>
      </x:c>
      <x:c r="B1312" s="117" t="str">
        <x:v>300Ro00000cnT4cIAE</x:v>
      </x:c>
      <x:c r="C1312" s="117" t="str">
        <x:v>301Ro0000114PbTIAU</x:v>
      </x:c>
      <x:c r="D1312" s="118" t="n">
        <x:v>103</x:v>
      </x:c>
      <x:c r="E1312" s="117" t="str">
        <x:v>Obsolete</x:v>
      </x:c>
      <x:c r="F1312" s="117" t="str">
        <x:v>No</x:v>
      </x:c>
      <x:c r="G1312" s="117" t="str">
        <x:v>No</x:v>
      </x:c>
      <x:c r="H1312" s="117" t="str">
        <x:v>FieldServiceMobile</x:v>
      </x:c>
      <x:c r="I1312" s="118"/>
      <x:c r="J1312" s="117" t="str">
        <x:v>unmanaged</x:v>
      </x:c>
      <x:c r="K1312" s="123" t="b">
        <x:v>0</x:v>
      </x:c>
      <x:c r="L1312" s="117"/>
      <x:c r="M1312" s="118"/>
      <x:c r="N1312" s="120" t="n">
        <x:v>46101.62422453704</x:v>
      </x:c>
      <x:c r="O1312" s="117" t="str">
        <x:v>Delegate</x:v>
      </x:c>
      <x:c r="P1312" s="120" t="n">
        <x:v>46101.62490740741</x:v>
      </x:c>
      <x:c r="Q1312" s="117" t="str">
        <x:v>Delegate</x:v>
      </x:c>
      <x:c r="R1312" s="117" t="str">
        <x:v>FSL - Screen - Request Parts on WO</x:v>
      </x:c>
      <x:c r="S1312" s="119" t="str">
        <x:v>03/20/2026 (BW) - Updating the flow for PMs</x:v>
      </x:c>
    </x:row>
    <x:row r="1313" ht="30" customHeight="1">
      <x:c r="A1313" s="117" t="str">
        <x:v>FSL_Screen_Request_Parts_on_WO</x:v>
      </x:c>
      <x:c r="B1313" s="117" t="str">
        <x:v>300Ro00000cnT4cIAE</x:v>
      </x:c>
      <x:c r="C1313" s="117" t="str">
        <x:v>301Ro000011HjCXIA0</x:v>
      </x:c>
      <x:c r="D1313" s="118" t="n">
        <x:v>104</x:v>
      </x:c>
      <x:c r="E1313" s="117" t="str">
        <x:v>Draft</x:v>
      </x:c>
      <x:c r="F1313" s="117" t="str">
        <x:v>No</x:v>
      </x:c>
      <x:c r="G1313" s="117" t="str">
        <x:v>No</x:v>
      </x:c>
      <x:c r="H1313" s="117" t="str">
        <x:v>FieldServiceMobile</x:v>
      </x:c>
      <x:c r="I1313" s="118"/>
      <x:c r="J1313" s="117" t="str">
        <x:v>unmanaged</x:v>
      </x:c>
      <x:c r="K1313" s="123" t="b">
        <x:v>0</x:v>
      </x:c>
      <x:c r="L1313" s="117"/>
      <x:c r="M1313" s="118"/>
      <x:c r="N1313" s="120" t="n">
        <x:v>46104.89304398148</x:v>
      </x:c>
      <x:c r="O1313" s="117" t="str">
        <x:v>Delegate</x:v>
      </x:c>
      <x:c r="P1313" s="120" t="n">
        <x:v>46104.89318287037</x:v>
      </x:c>
      <x:c r="Q1313" s="117" t="str">
        <x:v>Delegate</x:v>
      </x:c>
      <x:c r="R1313" s="117" t="str">
        <x:v>FSL - Screen - Request Parts on WO</x:v>
      </x:c>
      <x:c r="S1313" s="119" t="str">
        <x:v>03/23/2026 (BW) - Moving things around on page</x:v>
      </x:c>
    </x:row>
    <x:row r="1314" ht="30" customHeight="1">
      <x:c r="A1314" s="117" t="str">
        <x:v>FSL_Screen_Request_Parts_on_WO</x:v>
      </x:c>
      <x:c r="B1314" s="117" t="str">
        <x:v>300Ro00000cnT4cIAE</x:v>
      </x:c>
      <x:c r="C1314" s="117" t="str">
        <x:v>301Ro000011MpKXIA0</x:v>
      </x:c>
      <x:c r="D1314" s="118" t="n">
        <x:v>105</x:v>
      </x:c>
      <x:c r="E1314" s="117" t="str">
        <x:v>Obsolete</x:v>
      </x:c>
      <x:c r="F1314" s="117" t="str">
        <x:v>No</x:v>
      </x:c>
      <x:c r="G1314" s="117" t="str">
        <x:v>No</x:v>
      </x:c>
      <x:c r="H1314" s="117" t="str">
        <x:v>FieldServiceMobile</x:v>
      </x:c>
      <x:c r="I1314" s="118"/>
      <x:c r="J1314" s="117" t="str">
        <x:v>unmanaged</x:v>
      </x:c>
      <x:c r="K1314" s="123" t="b">
        <x:v>0</x:v>
      </x:c>
      <x:c r="L1314" s="117"/>
      <x:c r="M1314" s="118"/>
      <x:c r="N1314" s="120" t="n">
        <x:v>46105.78668981481</x:v>
      </x:c>
      <x:c r="O1314" s="117" t="str">
        <x:v>Delegate</x:v>
      </x:c>
      <x:c r="P1314" s="120" t="n">
        <x:v>46105.787094907406</x:v>
      </x:c>
      <x:c r="Q1314" s="117" t="str">
        <x:v>Delegate</x:v>
      </x:c>
      <x:c r="R1314" s="117" t="str">
        <x:v>FSL - Screen - Request Parts on WO</x:v>
      </x:c>
      <x:c r="S1314" s="119" t="str">
        <x:v>03/20/2026 (BW) - Updating the flow for PMs</x:v>
      </x:c>
    </x:row>
    <x:row r="1315" ht="30" customHeight="1">
      <x:c r="A1315" s="117" t="str">
        <x:v>FSL_Screen_Request_Parts_on_WO</x:v>
      </x:c>
      <x:c r="B1315" s="117" t="str">
        <x:v>300Ro00000cnT4cIAE</x:v>
      </x:c>
      <x:c r="C1315" s="117" t="str">
        <x:v>301Ro000011Ta3rIAC</x:v>
      </x:c>
      <x:c r="D1315" s="118" t="n">
        <x:v>106</x:v>
      </x:c>
      <x:c r="E1315" s="117" t="str">
        <x:v>Obsolete</x:v>
      </x:c>
      <x:c r="F1315" s="117" t="str">
        <x:v>No</x:v>
      </x:c>
      <x:c r="G1315" s="117" t="str">
        <x:v>No</x:v>
      </x:c>
      <x:c r="H1315" s="117" t="str">
        <x:v>FieldServiceMobile</x:v>
      </x:c>
      <x:c r="I1315" s="118"/>
      <x:c r="J1315" s="117" t="str">
        <x:v>unmanaged</x:v>
      </x:c>
      <x:c r="K1315" s="123" t="b">
        <x:v>0</x:v>
      </x:c>
      <x:c r="L1315" s="117"/>
      <x:c r="M1315" s="118"/>
      <x:c r="N1315" s="120" t="n">
        <x:v>46106.6484837963</x:v>
      </x:c>
      <x:c r="O1315" s="117" t="str">
        <x:v>Delegate</x:v>
      </x:c>
      <x:c r="P1315" s="120" t="n">
        <x:v>46106.64885416667</x:v>
      </x:c>
      <x:c r="Q1315" s="117" t="str">
        <x:v>Delegate</x:v>
      </x:c>
      <x:c r="R1315" s="117" t="str">
        <x:v>FSL - Screen - Request Parts on WO</x:v>
      </x:c>
      <x:c r="S1315" s="119" t="str">
        <x:v>03/25/2026 (BW) - Updating so that reported symptoms pulls into the area that asks what's wrong with the probe for probe repair.</x:v>
      </x:c>
    </x:row>
    <x:row r="1316" ht="30" customHeight="1">
      <x:c r="A1316" s="117" t="str">
        <x:v>FSL_Screen_Request_Parts_on_WO</x:v>
      </x:c>
      <x:c r="B1316" s="117" t="str">
        <x:v>300Ro00000cnT4cIAE</x:v>
      </x:c>
      <x:c r="C1316" s="117" t="str">
        <x:v>301Ro000011TCSzIAO</x:v>
      </x:c>
      <x:c r="D1316" s="118" t="n">
        <x:v>107</x:v>
      </x:c>
      <x:c r="E1316" s="117" t="str">
        <x:v>Obsolete</x:v>
      </x:c>
      <x:c r="F1316" s="117" t="str">
        <x:v>No</x:v>
      </x:c>
      <x:c r="G1316" s="117" t="str">
        <x:v>No</x:v>
      </x:c>
      <x:c r="H1316" s="117" t="str">
        <x:v>FieldServiceMobile</x:v>
      </x:c>
      <x:c r="I1316" s="118"/>
      <x:c r="J1316" s="117" t="str">
        <x:v>unmanaged</x:v>
      </x:c>
      <x:c r="K1316" s="123" t="b">
        <x:v>0</x:v>
      </x:c>
      <x:c r="L1316" s="117"/>
      <x:c r="M1316" s="118"/>
      <x:c r="N1316" s="120" t="n">
        <x:v>46106.65300925926</x:v>
      </x:c>
      <x:c r="O1316" s="117" t="str">
        <x:v>Delegate</x:v>
      </x:c>
      <x:c r="P1316" s="120" t="n">
        <x:v>46106.653715277775</x:v>
      </x:c>
      <x:c r="Q1316" s="117" t="str">
        <x:v>Delegate</x:v>
      </x:c>
      <x:c r="R1316" s="117" t="str">
        <x:v>FSL - Screen - Request Parts on WO</x:v>
      </x:c>
      <x:c r="S1316" s="119" t="str">
        <x:v>03/25/2026 (BW) - PM now gets asked if quote is needed. If no quote, then move to In Progress. If quote needed mark as action needed and set line to Quote Needed</x:v>
      </x:c>
    </x:row>
    <x:row r="1317" ht="30" customHeight="1">
      <x:c r="A1317" s="117" t="str">
        <x:v>FSL_Screen_Request_Parts_on_WO</x:v>
      </x:c>
      <x:c r="B1317" s="117" t="str">
        <x:v>300Ro00000cnT4cIAE</x:v>
      </x:c>
      <x:c r="C1317" s="117" t="str">
        <x:v>301Ro0000124uzeIAA</x:v>
      </x:c>
      <x:c r="D1317" s="118" t="n">
        <x:v>108</x:v>
      </x:c>
      <x:c r="E1317" s="117" t="str">
        <x:v>Obsolete</x:v>
      </x:c>
      <x:c r="F1317" s="117" t="str">
        <x:v>No</x:v>
      </x:c>
      <x:c r="G1317" s="117" t="str">
        <x:v>No</x:v>
      </x:c>
      <x:c r="H1317" s="117" t="str">
        <x:v>FieldServiceMobile</x:v>
      </x:c>
      <x:c r="I1317" s="118"/>
      <x:c r="J1317" s="117" t="str">
        <x:v>unmanaged</x:v>
      </x:c>
      <x:c r="K1317" s="123" t="b">
        <x:v>0</x:v>
      </x:c>
      <x:c r="L1317" s="117"/>
      <x:c r="M1317" s="118"/>
      <x:c r="N1317" s="120" t="n">
        <x:v>46113.58886574074</x:v>
      </x:c>
      <x:c r="O1317" s="117" t="str">
        <x:v>Delegate</x:v>
      </x:c>
      <x:c r="P1317" s="120" t="n">
        <x:v>46113.589166666665</x:v>
      </x:c>
      <x:c r="Q1317" s="117" t="str">
        <x:v>Delegate</x:v>
      </x:c>
      <x:c r="R1317" s="117" t="str">
        <x:v>FSL - Screen - Request Parts on WO</x:v>
      </x:c>
      <x:c r="S1317" s="119" t="str">
        <x:v>04/01/2026 (BW) - Customer ID added for PMs and Selecting of Exchange vs Outright Sale done too</x:v>
      </x:c>
    </x:row>
    <x:row r="1318" ht="30" customHeight="1">
      <x:c r="A1318" s="117" t="str">
        <x:v>FSL_Screen_Request_Parts_on_WO</x:v>
      </x:c>
      <x:c r="B1318" s="117" t="str">
        <x:v>300Ro00000cnT4cIAE</x:v>
      </x:c>
      <x:c r="C1318" s="117" t="str">
        <x:v>301Ro000012BfxRIAS</x:v>
      </x:c>
      <x:c r="D1318" s="118" t="n">
        <x:v>109</x:v>
      </x:c>
      <x:c r="E1318" s="117" t="str">
        <x:v>Obsolete</x:v>
      </x:c>
      <x:c r="F1318" s="117" t="str">
        <x:v>No</x:v>
      </x:c>
      <x:c r="G1318" s="117" t="str">
        <x:v>No</x:v>
      </x:c>
      <x:c r="H1318" s="117" t="str">
        <x:v>FieldServiceMobile</x:v>
      </x:c>
      <x:c r="I1318" s="118"/>
      <x:c r="J1318" s="117" t="str">
        <x:v>unmanaged</x:v>
      </x:c>
      <x:c r="K1318" s="123" t="b">
        <x:v>0</x:v>
      </x:c>
      <x:c r="L1318" s="117"/>
      <x:c r="M1318" s="118"/>
      <x:c r="N1318" s="120" t="n">
        <x:v>46114.602118055554</x:v>
      </x:c>
      <x:c r="O1318" s="117" t="str">
        <x:v>Delegate</x:v>
      </x:c>
      <x:c r="P1318" s="120" t="n">
        <x:v>46114.60244212963</x:v>
      </x:c>
      <x:c r="Q1318" s="117" t="str">
        <x:v>Delegate</x:v>
      </x:c>
      <x:c r="R1318" s="117" t="str">
        <x:v>FSL - Screen - Request Parts on WO</x:v>
      </x:c>
      <x:c r="S1318" s="119" t="str">
        <x:v>04/02/2026 (BW) - for Part Warranties, show a list of possible products and allow them to choose for their start</x:v>
      </x:c>
    </x:row>
    <x:row r="1319" ht="30" customHeight="1">
      <x:c r="A1319" s="117" t="str">
        <x:v>FSL_Screen_Request_Parts_on_WO</x:v>
      </x:c>
      <x:c r="B1319" s="117" t="str">
        <x:v>300Ro00000cnT4cIAE</x:v>
      </x:c>
      <x:c r="C1319" s="117" t="str">
        <x:v>301Ro000012BeV9IAK</x:v>
      </x:c>
      <x:c r="D1319" s="118" t="n">
        <x:v>110</x:v>
      </x:c>
      <x:c r="E1319" s="117" t="str">
        <x:v>Obsolete</x:v>
      </x:c>
      <x:c r="F1319" s="117" t="str">
        <x:v>No</x:v>
      </x:c>
      <x:c r="G1319" s="117" t="str">
        <x:v>No</x:v>
      </x:c>
      <x:c r="H1319" s="117" t="str">
        <x:v>FieldServiceMobile</x:v>
      </x:c>
      <x:c r="I1319" s="118"/>
      <x:c r="J1319" s="117" t="str">
        <x:v>unmanaged</x:v>
      </x:c>
      <x:c r="K1319" s="123" t="b">
        <x:v>0</x:v>
      </x:c>
      <x:c r="L1319" s="117"/>
      <x:c r="M1319" s="118"/>
      <x:c r="N1319" s="120" t="n">
        <x:v>46114.640231481484</x:v>
      </x:c>
      <x:c r="O1319" s="117" t="str">
        <x:v>Delegate</x:v>
      </x:c>
      <x:c r="P1319" s="120" t="n">
        <x:v>46114.640543981484</x:v>
      </x:c>
      <x:c r="Q1319" s="117" t="str">
        <x:v>Delegate</x:v>
      </x:c>
      <x:c r="R1319" s="117" t="str">
        <x:v>FSL - Screen - Request Parts on WO</x:v>
      </x:c>
      <x:c r="S1319" s="119" t="str">
        <x:v>04/02/2026 (BW) - for Part Warranties, show a list of possible products and allow them to choose for their start</x:v>
      </x:c>
    </x:row>
    <x:row r="1320" ht="30" customHeight="1">
      <x:c r="A1320" s="117" t="str">
        <x:v>FSL_Screen_Request_Parts_on_WO</x:v>
      </x:c>
      <x:c r="B1320" s="117" t="str">
        <x:v>300Ro00000cnT4cIAE</x:v>
      </x:c>
      <x:c r="C1320" s="117" t="str">
        <x:v>301Ro000012mjsQIAQ</x:v>
      </x:c>
      <x:c r="D1320" s="118" t="n">
        <x:v>111</x:v>
      </x:c>
      <x:c r="E1320" s="117" t="str">
        <x:v>Obsolete</x:v>
      </x:c>
      <x:c r="F1320" s="117" t="str">
        <x:v>No</x:v>
      </x:c>
      <x:c r="G1320" s="117" t="str">
        <x:v>No</x:v>
      </x:c>
      <x:c r="H1320" s="117" t="str">
        <x:v>FieldServiceMobile</x:v>
      </x:c>
      <x:c r="I1320" s="118"/>
      <x:c r="J1320" s="117" t="str">
        <x:v>unmanaged</x:v>
      </x:c>
      <x:c r="K1320" s="123" t="b">
        <x:v>0</x:v>
      </x:c>
      <x:c r="L1320" s="117"/>
      <x:c r="M1320" s="118"/>
      <x:c r="N1320" s="120" t="n">
        <x:v>46121.78668981481</x:v>
      </x:c>
      <x:c r="O1320" s="117" t="str">
        <x:v>Delegate</x:v>
      </x:c>
      <x:c r="P1320" s="120" t="n">
        <x:v>46121.78696759259</x:v>
      </x:c>
      <x:c r="Q1320" s="117" t="str">
        <x:v>Delegate</x:v>
      </x:c>
      <x:c r="R1320" s="117" t="str">
        <x:v>FSL - Screen - Request Parts on WO</x:v>
      </x:c>
      <x:c r="S1320" s="119" t="str">
        <x:v>04/02/2026 (BW) - for Part Warranties, show a list of possible products and allow them to choose for their start</x:v>
      </x:c>
    </x:row>
    <x:row r="1321" ht="30" customHeight="1">
      <x:c r="A1321" s="117" t="str">
        <x:v>FSL_Screen_Request_Parts_on_WO</x:v>
      </x:c>
      <x:c r="B1321" s="117" t="str">
        <x:v>300Ro00000cnT4cIAE</x:v>
      </x:c>
      <x:c r="C1321" s="117" t="str">
        <x:v>301Ro000013KVi9IAG</x:v>
      </x:c>
      <x:c r="D1321" s="118" t="n">
        <x:v>112</x:v>
      </x:c>
      <x:c r="E1321" s="117" t="str">
        <x:v>Obsolete</x:v>
      </x:c>
      <x:c r="F1321" s="117" t="str">
        <x:v>No</x:v>
      </x:c>
      <x:c r="G1321" s="117" t="str">
        <x:v>No</x:v>
      </x:c>
      <x:c r="H1321" s="117" t="str">
        <x:v>FieldServiceMobile</x:v>
      </x:c>
      <x:c r="I1321" s="118"/>
      <x:c r="J1321" s="117" t="str">
        <x:v>unmanaged</x:v>
      </x:c>
      <x:c r="K1321" s="123" t="b">
        <x:v>0</x:v>
      </x:c>
      <x:c r="L1321" s="117"/>
      <x:c r="M1321" s="118"/>
      <x:c r="N1321" s="120" t="n">
        <x:v>46128.48449074074</x:v>
      </x:c>
      <x:c r="O1321" s="117" t="str">
        <x:v>Delegate</x:v>
      </x:c>
      <x:c r="P1321" s="120" t="n">
        <x:v>46128.48505787037</x:v>
      </x:c>
      <x:c r="Q1321" s="117" t="str">
        <x:v>Delegate</x:v>
      </x:c>
      <x:c r="R1321" s="117" t="str">
        <x:v>FSL - Screen - Request Parts on WO</x:v>
      </x:c>
      <x:c r="S1321" s="119" t="str">
        <x:v>04/16/2026 (BW) - Updating the routing so when going through a parts request later in the process it asks the pre-intent fields &amp; Setting the Trophon PM to be 750 specifically for Trophon</x:v>
      </x:c>
    </x:row>
    <x:row r="1322" ht="30" customHeight="1">
      <x:c r="A1322" s="117" t="str">
        <x:v>FSL_Screen_Request_Parts_on_WO</x:v>
      </x:c>
      <x:c r="B1322" s="117" t="str">
        <x:v>300Ro00000cnT4cIAE</x:v>
      </x:c>
      <x:c r="C1322" s="117" t="str">
        <x:v>301Ro000013irhZIAQ</x:v>
      </x:c>
      <x:c r="D1322" s="118" t="n">
        <x:v>113</x:v>
      </x:c>
      <x:c r="E1322" s="117" t="str">
        <x:v>Obsolete</x:v>
      </x:c>
      <x:c r="F1322" s="117" t="str">
        <x:v>No</x:v>
      </x:c>
      <x:c r="G1322" s="117" t="str">
        <x:v>No</x:v>
      </x:c>
      <x:c r="H1322" s="117" t="str">
        <x:v>FieldServiceMobile</x:v>
      </x:c>
      <x:c r="I1322" s="118"/>
      <x:c r="J1322" s="117" t="str">
        <x:v>unmanaged</x:v>
      </x:c>
      <x:c r="K1322" s="123" t="b">
        <x:v>0</x:v>
      </x:c>
      <x:c r="L1322" s="117"/>
      <x:c r="M1322" s="118"/>
      <x:c r="N1322" s="120" t="n">
        <x:v>46133.67630787037</x:v>
      </x:c>
      <x:c r="O1322" s="117" t="str">
        <x:v>Delegate</x:v>
      </x:c>
      <x:c r="P1322" s="120" t="n">
        <x:v>46133.67653935185</x:v>
      </x:c>
      <x:c r="Q1322" s="117" t="str">
        <x:v>Delegate</x:v>
      </x:c>
      <x:c r="R1322" s="117" t="str">
        <x:v>FSL - Screen - Request Parts on WO</x:v>
      </x:c>
      <x:c r="S1322" s="119" t="str">
        <x:v>04/21/2026 (BW) - Updating so that the Need Quote is not getting toggled</x:v>
      </x:c>
    </x:row>
    <x:row r="1323" ht="30" customHeight="1">
      <x:c r="A1323" s="117" t="str">
        <x:v>FSL_Screen_Request_Parts_on_WO</x:v>
      </x:c>
      <x:c r="B1323" s="117" t="str">
        <x:v>300Ro00000cnT4cIAE</x:v>
      </x:c>
      <x:c r="C1323" s="117" t="str">
        <x:v>301Ro000013noeEIAQ</x:v>
      </x:c>
      <x:c r="D1323" s="118" t="n">
        <x:v>114</x:v>
      </x:c>
      <x:c r="E1323" s="117" t="str">
        <x:v>Obsolete</x:v>
      </x:c>
      <x:c r="F1323" s="117" t="str">
        <x:v>No</x:v>
      </x:c>
      <x:c r="G1323" s="117" t="str">
        <x:v>No</x:v>
      </x:c>
      <x:c r="H1323" s="117" t="str">
        <x:v>FieldServiceMobile</x:v>
      </x:c>
      <x:c r="I1323" s="118"/>
      <x:c r="J1323" s="117" t="str">
        <x:v>unmanaged</x:v>
      </x:c>
      <x:c r="K1323" s="123" t="b">
        <x:v>0</x:v>
      </x:c>
      <x:c r="L1323" s="117"/>
      <x:c r="M1323" s="118"/>
      <x:c r="N1323" s="120" t="n">
        <x:v>46134.5737037037</x:v>
      </x:c>
      <x:c r="O1323" s="117" t="str">
        <x:v>Delegate</x:v>
      </x:c>
      <x:c r="P1323" s="120" t="n">
        <x:v>46134.57417824074</x:v>
      </x:c>
      <x:c r="Q1323" s="117" t="str">
        <x:v>Delegate</x:v>
      </x:c>
      <x:c r="R1323" s="117" t="str">
        <x:v>FSL - Screen - Request Parts on WO</x:v>
      </x:c>
      <x:c r="S1323" s="119" t="str">
        <x:v>04/22/2026 (BW) -
#1. If engineer sets a PM price, then it goes with that even if it's Trophon</x:v>
      </x:c>
    </x:row>
    <x:row r="1324" ht="30" customHeight="1">
      <x:c r="A1324" s="117" t="str">
        <x:v>FSL_Screen_Request_Parts_on_WO</x:v>
      </x:c>
      <x:c r="B1324" s="117" t="str">
        <x:v>300Ro00000cnT4cIAE</x:v>
      </x:c>
      <x:c r="C1324" s="117" t="str">
        <x:v>301Ro000013nwFEIAY</x:v>
      </x:c>
      <x:c r="D1324" s="118" t="n">
        <x:v>115</x:v>
      </x:c>
      <x:c r="E1324" s="117" t="str">
        <x:v>Draft</x:v>
      </x:c>
      <x:c r="F1324" s="117" t="str">
        <x:v>No</x:v>
      </x:c>
      <x:c r="G1324" s="117" t="str">
        <x:v>No</x:v>
      </x:c>
      <x:c r="H1324" s="117" t="str">
        <x:v>FieldServiceMobile</x:v>
      </x:c>
      <x:c r="I1324" s="118"/>
      <x:c r="J1324" s="117" t="str">
        <x:v>unmanaged</x:v>
      </x:c>
      <x:c r="K1324" s="123" t="b">
        <x:v>0</x:v>
      </x:c>
      <x:c r="L1324" s="117"/>
      <x:c r="M1324" s="118"/>
      <x:c r="N1324" s="120" t="n">
        <x:v>46134.5955787037</x:v>
      </x:c>
      <x:c r="O1324" s="117" t="str">
        <x:v>Delegate</x:v>
      </x:c>
      <x:c r="P1324" s="120" t="n">
        <x:v>46134.595671296294</x:v>
      </x:c>
      <x:c r="Q1324" s="117" t="str">
        <x:v>Delegate</x:v>
      </x:c>
      <x:c r="R1324" s="117" t="str">
        <x:v>FSL - Screen - Request Parts on WO</x:v>
      </x:c>
      <x:c r="S1324" s="119" t="str">
        <x:v>04/22/2026 (BW) -
#1. If engineer sets a PM price, then it goes with that even if it's Trophon
#2. Updating the hours addition choice labels</x:v>
      </x:c>
    </x:row>
    <x:row r="1325" ht="30" customHeight="1">
      <x:c r="A1325" s="117" t="str">
        <x:v>FSL_Screen_Request_Parts_on_WO</x:v>
      </x:c>
      <x:c r="B1325" s="117" t="str">
        <x:v>300Ro00000cnT4cIAE</x:v>
      </x:c>
      <x:c r="C1325" s="117" t="str">
        <x:v>301Ro000013pUjNIAU</x:v>
      </x:c>
      <x:c r="D1325" s="118" t="n">
        <x:v>116</x:v>
      </x:c>
      <x:c r="E1325" s="117" t="str">
        <x:v>Obsolete</x:v>
      </x:c>
      <x:c r="F1325" s="117" t="str">
        <x:v>No</x:v>
      </x:c>
      <x:c r="G1325" s="117" t="str">
        <x:v>No</x:v>
      </x:c>
      <x:c r="H1325" s="117" t="str">
        <x:v>FieldServiceMobile</x:v>
      </x:c>
      <x:c r="I1325" s="118"/>
      <x:c r="J1325" s="117" t="str">
        <x:v>unmanaged</x:v>
      </x:c>
      <x:c r="K1325" s="123" t="b">
        <x:v>0</x:v>
      </x:c>
      <x:c r="L1325" s="117"/>
      <x:c r="M1325" s="118"/>
      <x:c r="N1325" s="120" t="n">
        <x:v>46134.705879629626</x:v>
      </x:c>
      <x:c r="O1325" s="117" t="str">
        <x:v>Delegate</x:v>
      </x:c>
      <x:c r="P1325" s="120" t="n">
        <x:v>46134.706099537034</x:v>
      </x:c>
      <x:c r="Q1325" s="117" t="str">
        <x:v>Delegate</x:v>
      </x:c>
      <x:c r="R1325" s="117" t="str">
        <x:v>FSL - Screen - Request Parts on WO</x:v>
      </x:c>
      <x:c r="S1325" s="119" t="str">
        <x:v>04/22/2026 (BW) -
#1. If engineer sets a PM price, then it goes with that even if it's Trophon</x:v>
      </x:c>
    </x:row>
    <x:row r="1326" ht="30" customHeight="1">
      <x:c r="A1326" s="117" t="str">
        <x:v>FSL_Screen_Request_Parts_on_WO</x:v>
      </x:c>
      <x:c r="B1326" s="117" t="str">
        <x:v>300Ro00000cnT4cIAE</x:v>
      </x:c>
      <x:c r="C1326" s="117" t="str">
        <x:v>301Ro000013pVifIAE</x:v>
      </x:c>
      <x:c r="D1326" s="118" t="n">
        <x:v>117</x:v>
      </x:c>
      <x:c r="E1326" s="117" t="str">
        <x:v>Obsolete</x:v>
      </x:c>
      <x:c r="F1326" s="117" t="str">
        <x:v>No</x:v>
      </x:c>
      <x:c r="G1326" s="117" t="str">
        <x:v>No</x:v>
      </x:c>
      <x:c r="H1326" s="117" t="str">
        <x:v>FieldServiceMobile</x:v>
      </x:c>
      <x:c r="I1326" s="118"/>
      <x:c r="J1326" s="117" t="str">
        <x:v>unmanaged</x:v>
      </x:c>
      <x:c r="K1326" s="123" t="b">
        <x:v>0</x:v>
      </x:c>
      <x:c r="L1326" s="117"/>
      <x:c r="M1326" s="118"/>
      <x:c r="N1326" s="120" t="n">
        <x:v>46134.707870370374</x:v>
      </x:c>
      <x:c r="O1326" s="117" t="str">
        <x:v>Delegate</x:v>
      </x:c>
      <x:c r="P1326" s="120" t="n">
        <x:v>46134.708125</x:v>
      </x:c>
      <x:c r="Q1326" s="117" t="str">
        <x:v>Delegate</x:v>
      </x:c>
      <x:c r="R1326" s="117" t="str">
        <x:v>FSL - Screen - Request Parts on WO</x:v>
      </x:c>
      <x:c r="S1326" s="119" t="str">
        <x:v>04/22/2026 (BW) -
Ensure certain fields are required upon entry</x:v>
      </x:c>
    </x:row>
    <x:row r="1327" ht="30" customHeight="1">
      <x:c r="A1327" s="117" t="str">
        <x:v>FSL_Screen_Request_Parts_on_WO</x:v>
      </x:c>
      <x:c r="B1327" s="117" t="str">
        <x:v>300Ro00000cnT4cIAE</x:v>
      </x:c>
      <x:c r="C1327" s="117" t="str">
        <x:v>301Ro000013vc6PIAQ</x:v>
      </x:c>
      <x:c r="D1327" s="118" t="n">
        <x:v>118</x:v>
      </x:c>
      <x:c r="E1327" s="117" t="str">
        <x:v>Obsolete</x:v>
      </x:c>
      <x:c r="F1327" s="117" t="str">
        <x:v>No</x:v>
      </x:c>
      <x:c r="G1327" s="117" t="str">
        <x:v>No</x:v>
      </x:c>
      <x:c r="H1327" s="117" t="str">
        <x:v>FieldServiceMobile</x:v>
      </x:c>
      <x:c r="I1327" s="118"/>
      <x:c r="J1327" s="117" t="str">
        <x:v>unmanaged</x:v>
      </x:c>
      <x:c r="K1327" s="123" t="b">
        <x:v>0</x:v>
      </x:c>
      <x:c r="L1327" s="117"/>
      <x:c r="M1327" s="118"/>
      <x:c r="N1327" s="120" t="n">
        <x:v>46135.700219907405</x:v>
      </x:c>
      <x:c r="O1327" s="117" t="str">
        <x:v>Delegate</x:v>
      </x:c>
      <x:c r="P1327" s="120" t="n">
        <x:v>46135.70096064815</x:v>
      </x:c>
      <x:c r="Q1327" s="117" t="str">
        <x:v>Delegate</x:v>
      </x:c>
      <x:c r="R1327" s="117" t="str">
        <x:v>FSL - Screen - Request Parts on WO</x:v>
      </x:c>
      <x:c r="S1327" s="119" t="str">
        <x:v>04/23/2026 (BW) - Fixing order of operations issue for the alert that goes to Operations Team</x:v>
      </x:c>
    </x:row>
    <x:row r="1328" ht="30" customHeight="1">
      <x:c r="A1328" s="117" t="str">
        <x:v>FSL_Screen_Request_Parts_on_WO</x:v>
      </x:c>
      <x:c r="B1328" s="117" t="str">
        <x:v>300Ro00000cnT4cIAE</x:v>
      </x:c>
      <x:c r="C1328" s="117" t="str">
        <x:v>301Ro000014zjn2IAA</x:v>
      </x:c>
      <x:c r="D1328" s="118" t="n">
        <x:v>119</x:v>
      </x:c>
      <x:c r="E1328" s="117" t="str">
        <x:v>Obsolete</x:v>
      </x:c>
      <x:c r="F1328" s="117" t="str">
        <x:v>No</x:v>
      </x:c>
      <x:c r="G1328" s="117" t="str">
        <x:v>No</x:v>
      </x:c>
      <x:c r="H1328" s="117" t="str">
        <x:v>FieldServiceMobile</x:v>
      </x:c>
      <x:c r="I1328" s="118"/>
      <x:c r="J1328" s="117" t="str">
        <x:v>unmanaged</x:v>
      </x:c>
      <x:c r="K1328" s="123" t="b">
        <x:v>0</x:v>
      </x:c>
      <x:c r="L1328" s="117"/>
      <x:c r="M1328" s="118"/>
      <x:c r="N1328" s="120" t="n">
        <x:v>46148.94721064815</x:v>
      </x:c>
      <x:c r="O1328" s="117" t="str">
        <x:v>Delegate</x:v>
      </x:c>
      <x:c r="P1328" s="120" t="n">
        <x:v>46148.947430555556</x:v>
      </x:c>
      <x:c r="Q1328" s="117" t="str">
        <x:v>Delegate</x:v>
      </x:c>
      <x:c r="R1328" s="117" t="str">
        <x:v>FSL - Screen - Request Parts on WO</x:v>
      </x:c>
      <x:c r="S1328" s="119" t="str">
        <x:v>05/06/2026 (BW) - Removed the chatter post from this flow, handled in a different spot now</x:v>
      </x:c>
    </x:row>
    <x:row r="1329" ht="30" customHeight="1">
      <x:c r="A1329" s="117" t="str">
        <x:v>FSL_Screen_Request_Parts_on_WO</x:v>
      </x:c>
      <x:c r="B1329" s="117" t="str">
        <x:v>300Ro00000cnT4cIAE</x:v>
      </x:c>
      <x:c r="C1329" s="117" t="str">
        <x:v>301Ro000016FenaIAC</x:v>
      </x:c>
      <x:c r="D1329" s="118" t="n">
        <x:v>120</x:v>
      </x:c>
      <x:c r="E1329" s="117" t="str">
        <x:v>Obsolete</x:v>
      </x:c>
      <x:c r="F1329" s="117" t="str">
        <x:v>No</x:v>
      </x:c>
      <x:c r="G1329" s="117" t="str">
        <x:v>No</x:v>
      </x:c>
      <x:c r="H1329" s="117" t="str">
        <x:v>FieldServiceMobile</x:v>
      </x:c>
      <x:c r="I1329" s="118"/>
      <x:c r="J1329" s="117" t="str">
        <x:v>unmanaged</x:v>
      </x:c>
      <x:c r="K1329" s="123" t="b">
        <x:v>0</x:v>
      </x:c>
      <x:c r="L1329" s="117"/>
      <x:c r="M1329" s="118"/>
      <x:c r="N1329" s="120" t="n">
        <x:v>46162.91291666667</x:v>
      </x:c>
      <x:c r="O1329" s="117" t="str">
        <x:v>Delegate</x:v>
      </x:c>
      <x:c r="P1329" s="120" t="n">
        <x:v>46162.91307870371</x:v>
      </x:c>
      <x:c r="Q1329" s="117" t="str">
        <x:v>Delegate</x:v>
      </x:c>
      <x:c r="R1329" s="117" t="str">
        <x:v>FSL - Screen - Request Parts on WO</x:v>
      </x:c>
      <x:c r="S1329" s="119" t="str">
        <x:v>05/20/26 (BW) – System Warranty No Parts path: set varWorkOrderToUpdate.Status to In Progress so Update_Work_Order overrides the Action Needed written by Update_Work_Order_to_Parts_Request, matching Labor &amp; Travel behavior
05/06/2026 (BW) - Removed the chatter post from this flow, handled in a different spot now</x:v>
      </x:c>
    </x:row>
    <x:row r="1330" ht="30" customHeight="1">
      <x:c r="A1330" s="117" t="str">
        <x:v>FSL_Screen_Request_Parts_on_WO</x:v>
      </x:c>
      <x:c r="B1330" s="117" t="str">
        <x:v>300Ro00000cnT4cIAE</x:v>
      </x:c>
      <x:c r="C1330" s="117" t="str">
        <x:v>301Ro000016FPi7IAG</x:v>
      </x:c>
      <x:c r="D1330" s="118" t="n">
        <x:v>121</x:v>
      </x:c>
      <x:c r="E1330" s="117" t="str">
        <x:v>Obsolete</x:v>
      </x:c>
      <x:c r="F1330" s="117" t="str">
        <x:v>No</x:v>
      </x:c>
      <x:c r="G1330" s="117" t="str">
        <x:v>No</x:v>
      </x:c>
      <x:c r="H1330" s="117" t="str">
        <x:v>FieldServiceMobile</x:v>
      </x:c>
      <x:c r="I1330" s="118"/>
      <x:c r="J1330" s="117" t="str">
        <x:v>unmanaged</x:v>
      </x:c>
      <x:c r="K1330" s="123" t="b">
        <x:v>0</x:v>
      </x:c>
      <x:c r="L1330" s="117"/>
      <x:c r="M1330" s="118"/>
      <x:c r="N1330" s="120" t="n">
        <x:v>46162.925162037034</x:v>
      </x:c>
      <x:c r="O1330" s="117" t="str">
        <x:v>Delegate</x:v>
      </x:c>
      <x:c r="P1330" s="120" t="n">
        <x:v>46162.92895833333</x:v>
      </x:c>
      <x:c r="Q1330" s="117" t="str">
        <x:v>Delegate</x:v>
      </x:c>
      <x:c r="R1330" s="117" t="str">
        <x:v>FSL - Screen - Request Parts on WO</x:v>
      </x:c>
      <x:c r="S1330" s="119" t="str">
        <x:v>05/20/26 (BW) – System Warranty No Parts path: expanded Is_a_Quote_requested PM rule to OR condition (Skip - PM or No Parts) covering varNoParts == true, routing directly to Quick_Quote_Initiated_Check and bypassing Action Needed DML entirely; also set varWorkOrderToUpdate.Status to In Progress in Set_No_Parts so Update_Work_Order writes a valid status
05/06/2026 (BW) - Removed the chatter post from this flow, handled in a different spot now</x:v>
      </x:c>
    </x:row>
    <x:row r="1331" ht="30" customHeight="1">
      <x:c r="A1331" s="117" t="str">
        <x:v>FSL_Screen_Request_Parts_on_WO</x:v>
      </x:c>
      <x:c r="B1331" s="117" t="str">
        <x:v>300Ro00000cnT4cIAE</x:v>
      </x:c>
      <x:c r="C1331" s="117" t="str">
        <x:v>301Ro000016GBA3IAO</x:v>
      </x:c>
      <x:c r="D1331" s="118" t="n">
        <x:v>122</x:v>
      </x:c>
      <x:c r="E1331" s="117" t="str">
        <x:v>Obsolete</x:v>
      </x:c>
      <x:c r="F1331" s="117" t="str">
        <x:v>No</x:v>
      </x:c>
      <x:c r="G1331" s="117" t="str">
        <x:v>No</x:v>
      </x:c>
      <x:c r="H1331" s="117" t="str">
        <x:v>FieldServiceMobile</x:v>
      </x:c>
      <x:c r="I1331" s="118"/>
      <x:c r="J1331" s="117" t="str">
        <x:v>unmanaged</x:v>
      </x:c>
      <x:c r="K1331" s="123" t="b">
        <x:v>0</x:v>
      </x:c>
      <x:c r="L1331" s="117"/>
      <x:c r="M1331" s="118"/>
      <x:c r="N1331" s="120" t="n">
        <x:v>46162.9487037037</x:v>
      </x:c>
      <x:c r="O1331" s="117" t="str">
        <x:v>Delegate</x:v>
      </x:c>
      <x:c r="P1331" s="120" t="n">
        <x:v>46162.95061342593</x:v>
      </x:c>
      <x:c r="Q1331" s="117" t="str">
        <x:v>Delegate</x:v>
      </x:c>
      <x:c r="R1331" s="117" t="str">
        <x:v>FSL - Screen - Request Parts on WO</x:v>
      </x:c>
      <x:c r="S1331" s="119" t="str">
        <x:v>05/20/26 (BW) – Guard Action Needed against empty WOLI collection: added IsNull condition on VarWorkOrderLineItemsCollection to the Skip_Action_Needed OR rule in Is_a_Quote_requested, so the "Just Labor &amp; Travel → CS Quote" path can no longer set the WO to Action Needed without having created any WOLIs; routes to Quick_Quote_Initiated_Check instead.
05/20/26 (BW) – System Warranty No Parts path: expanded Is_a_Quote_requested PM rule to OR condition (Skip - PM or No Parts) covering varNoParts == true, routing directly to Quick_Quote_Initiated_Check and bypassing Action Needed DML entirely; also set varWorkOrderToUpdate.Status to In Progress in Set_No_Parts so Update_Work_Order writes a valid status
05/06/2026 (BW) - Removed the chatter post from this flow, handled in a different spot now</x:v>
      </x:c>
    </x:row>
    <x:row r="1332" ht="30" customHeight="1">
      <x:c r="A1332" s="117" t="str">
        <x:v>FSL_Screen_Request_Parts_on_WO</x:v>
      </x:c>
      <x:c r="B1332" s="117" t="str">
        <x:v>300Ro00000cnT4cIAE</x:v>
      </x:c>
      <x:c r="C1332" s="117" t="str">
        <x:v>301Ro000016q9xhIAA</x:v>
      </x:c>
      <x:c r="D1332" s="118" t="n">
        <x:v>123</x:v>
      </x:c>
      <x:c r="E1332" s="117" t="str">
        <x:v>Obsolete</x:v>
      </x:c>
      <x:c r="F1332" s="117" t="str">
        <x:v>No</x:v>
      </x:c>
      <x:c r="G1332" s="117" t="str">
        <x:v>No</x:v>
      </x:c>
      <x:c r="H1332" s="117" t="str">
        <x:v>FieldServiceMobile</x:v>
      </x:c>
      <x:c r="I1332" s="118"/>
      <x:c r="J1332" s="117" t="str">
        <x:v>unmanaged</x:v>
      </x:c>
      <x:c r="K1332" s="123" t="b">
        <x:v>0</x:v>
      </x:c>
      <x:c r="L1332" s="117"/>
      <x:c r="M1332" s="118"/>
      <x:c r="N1332" s="120" t="n">
        <x:v>46169.69001157407</x:v>
      </x:c>
      <x:c r="O1332" s="117" t="str">
        <x:v>Delegate</x:v>
      </x:c>
      <x:c r="P1332" s="120" t="n">
        <x:v>46169.690254629626</x:v>
      </x:c>
      <x:c r="Q1332" s="117" t="str">
        <x:v>Delegate</x:v>
      </x:c>
      <x:c r="R1332" s="117" t="str">
        <x:v>FSL - Screen - Request Parts on WO</x:v>
      </x:c>
      <x:c r="S1332" s="119" t="str">
        <x:v>05/27/2026 (BW) - Added Upper and Trim guards to entering states as 2 digits</x:v>
      </x:c>
    </x:row>
    <x:row r="1333" ht="30" customHeight="1">
      <x:c r="A1333" s="117" t="str">
        <x:v>FSL_Screen_Request_Parts_on_WO</x:v>
      </x:c>
      <x:c r="B1333" s="117" t="str">
        <x:v>300Ro00000cnT4cIAE</x:v>
      </x:c>
      <x:c r="C1333" s="117" t="str">
        <x:v>301Ro0000172t3vIAA</x:v>
      </x:c>
      <x:c r="D1333" s="118" t="n">
        <x:v>124</x:v>
      </x:c>
      <x:c r="E1333" s="117" t="str">
        <x:v>Obsolete</x:v>
      </x:c>
      <x:c r="F1333" s="117" t="str">
        <x:v>No</x:v>
      </x:c>
      <x:c r="G1333" s="117" t="str">
        <x:v>No</x:v>
      </x:c>
      <x:c r="H1333" s="117" t="str">
        <x:v>FieldServiceMobile</x:v>
      </x:c>
      <x:c r="I1333" s="118"/>
      <x:c r="J1333" s="117" t="str">
        <x:v>unmanaged</x:v>
      </x:c>
      <x:c r="K1333" s="123" t="b">
        <x:v>0</x:v>
      </x:c>
      <x:c r="L1333" s="117"/>
      <x:c r="M1333" s="118"/>
      <x:c r="N1333" s="120" t="n">
        <x:v>46171.49621527778</x:v>
      </x:c>
      <x:c r="O1333" s="117" t="str">
        <x:v>Delegate</x:v>
      </x:c>
      <x:c r="P1333" s="120" t="n">
        <x:v>46171.49891203704</x:v>
      </x:c>
      <x:c r="Q1333" s="117" t="str">
        <x:v>Delegate</x:v>
      </x:c>
      <x:c r="R1333" s="117" t="str">
        <x:v>FSL - Screen - Request Parts on WO</x:v>
      </x:c>
      <x:c r="S1333" s="119" t="str">
        <x:v>05/20/26 (BW) – Guard Action Needed against empty WOLI collection: added IsNull condition on VarWorkOrderLineItemsCollection to the Skip_Action_Needed OR rule in Is_a_Quote_requested, so the "Just Labor &amp; Travel → CS Quote" path can no longer set the WO to Action Needed without having created any WOLIs; routes to Quick_Quote_Initiated_Check instead.
05/20/26 (BW) – System Warranty No Parts path: expanded Is_a_Quote_requested PM rule to OR condition (Skip - PM or No Parts) covering varNoParts == true, routing directly to Quick_Quote_Initiated_Check and bypassing Action Needed DML entirely; also set varWorkOrderToUpdate.Status to In Progress in Set_No_Parts so Update_Work_Order writes a valid status
05/06/2026 (BW) - Removed the chatter post from this flow, handled in a different spot now
05/29/26 (BW) – Added guard at flow entry: if both Id and recordId input parameters are null, immediately route to No_Record_Identified_Error screen instead of proceeding into the flow</x:v>
      </x:c>
    </x:row>
    <x:row r="1334" ht="30" customHeight="1">
      <x:c r="A1334" s="117" t="str">
        <x:v>FSL_Screen_Request_Parts_on_WO</x:v>
      </x:c>
      <x:c r="B1334" s="117" t="str">
        <x:v>300Ro00000cnT4cIAE</x:v>
      </x:c>
      <x:c r="C1334" s="117" t="str">
        <x:v>301Ro000017UAwkIAG</x:v>
      </x:c>
      <x:c r="D1334" s="118" t="n">
        <x:v>125</x:v>
      </x:c>
      <x:c r="E1334" s="117" t="str">
        <x:v>Obsolete</x:v>
      </x:c>
      <x:c r="F1334" s="117" t="str">
        <x:v>No</x:v>
      </x:c>
      <x:c r="G1334" s="117" t="str">
        <x:v>No</x:v>
      </x:c>
      <x:c r="H1334" s="117" t="str">
        <x:v>FieldServiceMobile</x:v>
      </x:c>
      <x:c r="I1334" s="118"/>
      <x:c r="J1334" s="117" t="str">
        <x:v>unmanaged</x:v>
      </x:c>
      <x:c r="K1334" s="123" t="b">
        <x:v>0</x:v>
      </x:c>
      <x:c r="L1334" s="117"/>
      <x:c r="M1334" s="118"/>
      <x:c r="N1334" s="120" t="n">
        <x:v>46176.56611111111</x:v>
      </x:c>
      <x:c r="O1334" s="117" t="str">
        <x:v>Delegate</x:v>
      </x:c>
      <x:c r="P1334" s="120" t="n">
        <x:v>46176.56628472222</x:v>
      </x:c>
      <x:c r="Q1334" s="117" t="str">
        <x:v>Delegate</x:v>
      </x:c>
      <x:c r="R1334" s="117" t="str">
        <x:v>FSL - Screen - Request Parts on WO</x:v>
      </x:c>
      <x:c r="S1334" s="119" t="str">
        <x:v>05/20/26 (BW) – Guard Action Needed against empty WOLI collection: added IsNull condition on VarWorkOrderLineItemsCollection to the Skip_Action_Needed OR rule in Is_a_Quote_requested, so the "Just Labor &amp; Travel → CS Quote" path can no longer set the WO to Action Needed without having created any WOLIs; routes to Quick_Quote_Initiated_Check instead.
05/20/26 (BW) – System Warranty No Parts path: expanded Is_a_Quote_requested PM rule to OR condition (Skip - PM or No Parts) covering varNoParts == true, routing directly to Quick_Quote_Initiated_Check and bypassing Action Needed DML entirely; also set varWorkOrderToUpdate.Status to In Progress in Set_No_Parts so Update_Work_Order writes a valid status
05/06/2026 (BW) - Removed the chatter post from this flow, handled in a different spot now
05/29/26 (BW) – Added guard at flow entry: if both Id and recordId input parameters are null, immediately route to No_Record_Identified_Error screen instead of proceeding into the flow
06/03/26 (BW) – Quote and Ship ops notes: added TT_Quote_Ship_Notes/TT_Quote_Ship_Notes_Probe LargeTextArea fields to Pre_Ask_Intent/Pre_ask screens (visible only when Quote and Ship selected); DEC_Has_QS_Notes_Non_Probe and DEC_Has_QS_Notes_Probe check for non-null notes then write to Work_Order_Notes__c via Assign_QS_Notes_to_WO_Non_Probe/Probe; chained off Copy_1/2_of_Set_Quote_Needed_to_True</x:v>
      </x:c>
    </x:row>
    <x:row r="1335" ht="30" customHeight="1">
      <x:c r="A1335" s="117" t="str">
        <x:v>FSL_Screen_Request_Parts_on_WO</x:v>
      </x:c>
      <x:c r="B1335" s="117" t="str">
        <x:v>300Ro00000cnT4cIAE</x:v>
      </x:c>
      <x:c r="C1335" s="117" t="str">
        <x:v>301Ro000017c2VhIAI</x:v>
      </x:c>
      <x:c r="D1335" s="118" t="n">
        <x:v>126</x:v>
      </x:c>
      <x:c r="E1335" s="117" t="str">
        <x:v>InvalidDraft</x:v>
      </x:c>
      <x:c r="F1335" s="117" t="str">
        <x:v>No</x:v>
      </x:c>
      <x:c r="G1335" s="117" t="str">
        <x:v>No</x:v>
      </x:c>
      <x:c r="H1335" s="117" t="str">
        <x:v>FieldServiceMobile</x:v>
      </x:c>
      <x:c r="I1335" s="118"/>
      <x:c r="J1335" s="117" t="str">
        <x:v>unmanaged</x:v>
      </x:c>
      <x:c r="K1335" s="123" t="b">
        <x:v>0</x:v>
      </x:c>
      <x:c r="L1335" s="117"/>
      <x:c r="M1335" s="118"/>
      <x:c r="N1335" s="120" t="n">
        <x:v>46177.62569444445</x:v>
      </x:c>
      <x:c r="O1335" s="117" t="str">
        <x:v>Delegate</x:v>
      </x:c>
      <x:c r="P1335" s="120" t="n">
        <x:v>46177.625925925924</x:v>
      </x:c>
      <x:c r="Q1335" s="117" t="str">
        <x:v>Delegate</x:v>
      </x:c>
      <x:c r="R1335" s="117" t="str">
        <x:v>FSL - Screen - Request Parts on WO</x:v>
      </x:c>
      <x:c r="S1335" s="119" t="str">
        <x:v>05/20/26 (BW) – Guard Action Needed against empty WOLI collection: added IsNull condition on VarWorkOrderLineItemsCollection to the Skip_Action_Needed OR rule in Is_a_Quote_requested, so the "Just Labor &amp; Travel → CS Quote" path can no longer set the WO to Action Needed without having created any WOLIs; routes to Quick_Quote_Initiated_Check instead.
05/20/26 (BW) – System Warranty No Parts path: expanded Is_a_Quote_requested PM rule to OR condition (Skip - PM or No Parts) covering varNoParts == true, routing directly to Quick_Quote_Initiated_Check and bypassing Action Needed DML entirely; also set varWorkOrderToUpdate.Status to In Progress in Set_No_Parts so Update_Work_Order writes a valid status
05/06/2026 (BW) - Removed the chatter post from this flow, handled in a different spot now
05/29/26 (BW) – Added guard at flow entry: if both Id and recordId input parameters are null, immediately route to No_Record_Identified_Error screen instead of proceeding into the flow
06/03/26 (BW) – Ops notes field (all types): TT_Quote_Ship_Notes/TT_Quote_Ship_Notes_Probe LargeTextArea added to Pre_ask and Pre_Ask_Intent screens for all type selections; DEC_Has_QS_Notes_Probe/Non_Probe guard null then write to Work_Order_Notes__c; notes write fires immediately after Assign_Initial_Intent/2 before part detail screens
06/03/26 (BW) – Subject date preservation: Var_Subject_Date formula extracts date from existing WO subject (after " on ") so subject rewrites keep the original open date; falls back to today if no date present; applies to TT_WorkOrderSubject and TT_QuoteSubject</x:v>
      </x:c>
    </x:row>
    <x:row r="1336" ht="30" customHeight="1">
      <x:c r="A1336" s="117" t="str">
        <x:v>FSL_Screen_Request_Parts_on_WO</x:v>
      </x:c>
      <x:c r="B1336" s="117" t="str">
        <x:v>300Ro00000cnT4cIAE</x:v>
      </x:c>
      <x:c r="C1336" s="117" t="str">
        <x:v>301Ro000017c36nIAA</x:v>
      </x:c>
      <x:c r="D1336" s="118" t="n">
        <x:v>127</x:v>
      </x:c>
      <x:c r="E1336" s="117" t="str">
        <x:v>Obsolete</x:v>
      </x:c>
      <x:c r="F1336" s="117" t="str">
        <x:v>No</x:v>
      </x:c>
      <x:c r="G1336" s="117" t="str">
        <x:v>No</x:v>
      </x:c>
      <x:c r="H1336" s="117" t="str">
        <x:v>FieldServiceMobile</x:v>
      </x:c>
      <x:c r="I1336" s="118"/>
      <x:c r="J1336" s="117" t="str">
        <x:v>unmanaged</x:v>
      </x:c>
      <x:c r="K1336" s="123" t="b">
        <x:v>0</x:v>
      </x:c>
      <x:c r="L1336" s="117"/>
      <x:c r="M1336" s="118"/>
      <x:c r="N1336" s="120" t="n">
        <x:v>46177.62719907407</x:v>
      </x:c>
      <x:c r="O1336" s="117" t="str">
        <x:v>Delegate</x:v>
      </x:c>
      <x:c r="P1336" s="120" t="n">
        <x:v>46177.7775</x:v>
      </x:c>
      <x:c r="Q1336" s="117" t="str">
        <x:v>Delegate</x:v>
      </x:c>
      <x:c r="R1336" s="117" t="str">
        <x:v>FSL - Screen - Request Parts on WO</x:v>
      </x:c>
      <x:c r="S1336" s="119" t="str">
        <x:v>05/20/26 (BW) – Guard Action Needed against empty WOLI collection: added IsNull condition on VarWorkOrderLineItemsCollection to the Skip_Action_Needed OR rule in Is_a_Quote_requested, so the "Just Labor &amp; Travel → CS Quote" path can no longer set the WO to Action Needed without having created any WOLIs; routes to Quick_Quote_Initiated_Check instead.
05/20/26 (BW) – System Warranty No Parts path: expanded Is_a_Quote_requested PM rule to OR condition (Skip - PM or No Parts) covering varNoParts == true, routing directly to Quick_Quote_Initiated_Check and bypassing Action Needed DML entirely; also set varWorkOrderToUpdate.Status to In Progress in Set_No_Parts so Update_Work_Order writes a valid status
05/06/2026 (BW) - Removed the chatter post from this flow, handled in a different spot now
05/29/26 (BW) – Added guard at flow entry: if both Id and recordId input parameters are null, immediately route to No_Record_Identified_Error screen instead of proceeding into the flow
06/03/26 (BW) – Ops notes field (all types): TT_Quote_Ship_Notes/TT_Quote_Ship_Notes_Probe LargeTextArea added to Pre_ask and Pre_Ask_Intent screens for all type selections; DEC_Has_QS_Notes_Probe/Non_Probe guard null then write to Work_Order_Notes__c; notes write fires immediately after Assign_Initial_Intent/2 before part detail screens
06/03/26 (BW) – Subject date preservation: Var_Subject_Date formula extracts date from existing WO subject (after " on ") so subject rewrites keep the original open date; falls back to today if no date present; applies to TT_WorkOrderSubject and TT_QuoteSubject</x:v>
      </x:c>
    </x:row>
    <x:row r="1337" ht="30" customHeight="1">
      <x:c r="A1337" s="117" t="str">
        <x:v>FSL_Screen_Request_Parts_on_WO</x:v>
      </x:c>
      <x:c r="B1337" s="117" t="str">
        <x:v>300Ro00000cnT4cIAE</x:v>
      </x:c>
      <x:c r="C1337" s="117" t="str">
        <x:v>301Ro000017ddeUIAQ</x:v>
      </x:c>
      <x:c r="D1337" s="118" t="n">
        <x:v>128</x:v>
      </x:c>
      <x:c r="E1337" s="117" t="str">
        <x:v>Obsolete</x:v>
      </x:c>
      <x:c r="F1337" s="117" t="str">
        <x:v>No</x:v>
      </x:c>
      <x:c r="G1337" s="117" t="str">
        <x:v>No</x:v>
      </x:c>
      <x:c r="H1337" s="117" t="str">
        <x:v>FieldServiceMobile</x:v>
      </x:c>
      <x:c r="I1337" s="118"/>
      <x:c r="J1337" s="117" t="str">
        <x:v>unmanaged</x:v>
      </x:c>
      <x:c r="K1337" s="123" t="b">
        <x:v>0</x:v>
      </x:c>
      <x:c r="L1337" s="117"/>
      <x:c r="M1337" s="118"/>
      <x:c r="N1337" s="120" t="n">
        <x:v>46177.78582175926</x:v>
      </x:c>
      <x:c r="O1337" s="117" t="str">
        <x:v>Delegate</x:v>
      </x:c>
      <x:c r="P1337" s="120" t="n">
        <x:v>46177.786157407405</x:v>
      </x:c>
      <x:c r="Q1337" s="117" t="str">
        <x:v>Delegate</x:v>
      </x:c>
      <x:c r="R1337" s="117" t="str">
        <x:v>FSL - Screen - Request Parts on WO</x:v>
      </x:c>
      <x:c r="S1337" s="119" t="str">
        <x:v>05/20/26 (BW) – Guard Action Needed against empty WOLI collection: added IsNull condition on VarWorkOrderLineItemsCollection to the Skip_Action_Needed OR rule in Is_a_Quote_requested, so the "Just Labor &amp; Travel → CS Quote" path can no longer set the WO to Action Needed without having created any WOLIs; routes to Quick_Quote_Initiated_Check instead.
05/20/26 (BW) – System Warranty No Parts path: expanded Is_a_Quote_requested PM rule to OR condition (Skip - PM or No Parts) covering varNoParts == true, routing directly to Quick_Quote_Initiated_Check and bypassing Action Needed DML entirely; also set varWorkOrderToUpdate.Status to In Progress in Set_No_Parts so Update_Work_Order writes a valid status
05/06/2026 (BW) - Removed the chatter post from this flow, handled in a different spot now
05/29/26 (BW) – Added guard at flow entry: if both Id and recordId input parameters are null, immediately route to No_Record_Identified_Error screen instead of proceeding into the flow
06/03/26 (BW) – Ops notes field (all types): TT_Quote_Ship_Notes/TT_Quote_Ship_Notes_Probe LargeTextArea added to Pre_ask and Pre_Ask_Intent screens for all type selections; DEC_Has_QS_Notes_Probe/Non_Probe guard null then write to Work_Order_Notes__c; notes write fires immediately after Assign_Initial_Intent/2 before part detail screens
06/03/26 (BW) – Subject date preservation: Var_Subject_Date formula extracts date from existing WO subject (after " on ") so subject rewrites keep the original open date; falls back to today if no date present; applies to TT_WorkOrderSubject and TT_QuoteSubject</x:v>
      </x:c>
    </x:row>
    <x:row r="1338" ht="30" customHeight="1">
      <x:c r="A1338" s="117" t="str">
        <x:v>FSL_Screen_Request_Parts_on_WO</x:v>
      </x:c>
      <x:c r="B1338" s="117" t="str">
        <x:v>300Ro00000cnT4cIAE</x:v>
      </x:c>
      <x:c r="C1338" s="117" t="str">
        <x:v>301Ro000017dZWeIAM</x:v>
      </x:c>
      <x:c r="D1338" s="118" t="n">
        <x:v>129</x:v>
      </x:c>
      <x:c r="E1338" s="117" t="str">
        <x:v>Obsolete</x:v>
      </x:c>
      <x:c r="F1338" s="117" t="str">
        <x:v>No</x:v>
      </x:c>
      <x:c r="G1338" s="117" t="str">
        <x:v>No</x:v>
      </x:c>
      <x:c r="H1338" s="117" t="str">
        <x:v>FieldServiceMobile</x:v>
      </x:c>
      <x:c r="I1338" s="118"/>
      <x:c r="J1338" s="117" t="str">
        <x:v>unmanaged</x:v>
      </x:c>
      <x:c r="K1338" s="123" t="b">
        <x:v>0</x:v>
      </x:c>
      <x:c r="L1338" s="117"/>
      <x:c r="M1338" s="118"/>
      <x:c r="N1338" s="120" t="n">
        <x:v>46177.78905092592</x:v>
      </x:c>
      <x:c r="O1338" s="117" t="str">
        <x:v>Delegate</x:v>
      </x:c>
      <x:c r="P1338" s="120" t="n">
        <x:v>46177.78934027778</x:v>
      </x:c>
      <x:c r="Q1338" s="117" t="str">
        <x:v>Delegate</x:v>
      </x:c>
      <x:c r="R1338" s="117" t="str">
        <x:v>FSL - Screen - Request Parts on WO</x:v>
      </x:c>
      <x:c r="S1338" s="119" t="str">
        <x:v>05/20/26 (BW) – Guard Action Needed against empty WOLI collection: added IsNull condition on VarWorkOrderLineItemsCollection to the Skip_Action_Needed OR rule in Is_a_Quote_requested, so the "Just Labor &amp; Travel → CS Quote" path can no longer set the WO to Action Needed without having created any WOLIs; routes to Quick_Quote_Initiated_Check instead.
05/20/26 (BW) – System Warranty No Parts path: expanded Is_a_Quote_requested PM rule to OR condition (Skip - PM or No Parts) covering varNoParts == true, routing directly to Quick_Quote_Initiated_Check and bypassing Action Needed DML entirely; also set varWorkOrderToUpdate.Status to In Progress in Set_No_Parts so Update_Work_Order writes a valid status
05/06/2026 (BW) - Removed the chatter post from this flow, handled in a different spot now
05/29/26 (BW) – Added guard at flow entry: if both Id and recordId input parameters are null, immediately route to No_Record_Identified_Error screen instead of proceeding into the flow
06/03/26 (BW) – Ops notes field (all types): TT_Quote_Ship_Notes/TT_Quote_Ship_Notes_Probe LargeTextArea added to Pre_ask and Pre_Ask_Intent screens for all type selections; DEC_Has_QS_Notes_Probe/Non_Probe guard null then write to Work_Order_Notes__c; notes write fires immediately after Assign_Initial_Intent/2 before part detail screens
06/03/26 (BW) – Subject date preservation: Var_Subject_Date formula extracts date from existing WO subject (after " on ") so subject rewrites keep the original open date; falls back to today if no date present; applies to TT_WorkOrderSubject and TT_QuoteSubject</x:v>
      </x:c>
    </x:row>
    <x:row r="1339" ht="30" customHeight="1">
      <x:c r="A1339" s="117" t="str">
        <x:v>FSL_Screen_Request_Parts_on_WO</x:v>
      </x:c>
      <x:c r="B1339" s="117" t="str">
        <x:v>300Ro00000cnT4cIAE</x:v>
      </x:c>
      <x:c r="C1339" s="117" t="str">
        <x:v>301Ro000017dE0CIAU</x:v>
      </x:c>
      <x:c r="D1339" s="118" t="n">
        <x:v>130</x:v>
      </x:c>
      <x:c r="E1339" s="117" t="str">
        <x:v>Obsolete</x:v>
      </x:c>
      <x:c r="F1339" s="117" t="str">
        <x:v>No</x:v>
      </x:c>
      <x:c r="G1339" s="117" t="str">
        <x:v>No</x:v>
      </x:c>
      <x:c r="H1339" s="117" t="str">
        <x:v>FieldServiceMobile</x:v>
      </x:c>
      <x:c r="I1339" s="118"/>
      <x:c r="J1339" s="117" t="str">
        <x:v>unmanaged</x:v>
      </x:c>
      <x:c r="K1339" s="123" t="b">
        <x:v>0</x:v>
      </x:c>
      <x:c r="L1339" s="117"/>
      <x:c r="M1339" s="118"/>
      <x:c r="N1339" s="120" t="n">
        <x:v>46177.79194444444</x:v>
      </x:c>
      <x:c r="O1339" s="117" t="str">
        <x:v>Delegate</x:v>
      </x:c>
      <x:c r="P1339" s="120" t="n">
        <x:v>46177.79237268519</x:v>
      </x:c>
      <x:c r="Q1339" s="117" t="str">
        <x:v>Delegate</x:v>
      </x:c>
      <x:c r="R1339" s="117" t="str">
        <x:v>FSL - Screen - Request Parts on WO</x:v>
      </x:c>
      <x:c r="S1339" s="119" t="str">
        <x:v>05/20/26 (BW) – Guard Action Needed against empty WOLI collection: added IsNull condition on VarWorkOrderLineItemsCollection to the Skip_Action_Needed OR rule in Is_a_Quote_requested, so the "Just Labor &amp; Travel → CS Quote" path can no longer set the WO to Action Needed without having created any WOLIs; routes to Quick_Quote_Initiated_Check instead.
05/20/26 (BW) – System Warranty No Parts path: expanded Is_a_Quote_requested PM rule to OR condition (Skip - PM or No Parts) covering varNoParts == true, routing directly to Quick_Quote_Initiated_Check and bypassing Action Needed DML entirely; also set varWorkOrderToUpdate.Status to In Progress in Set_No_Parts so Update_Work_Order writes a valid status
05/06/2026 (BW) - Removed the chatter post from this flow, handled in a different spot now
05/29/26 (BW) – Added guard at flow entry: if both Id and recordId input parameters are null, immediately route to No_Record_Identified_Error screen instead of proceeding into the flow
06/03/26 (BW) – Ops notes field (all types): TT_Quote_Ship_Notes/TT_Quote_Ship_Notes_Probe LargeTextArea added to Pre_ask and Pre_Ask_Intent screens for all type selections; DEC_Has_QS_Notes_Probe/Non_Probe guard null then write to Work_Order_Notes__c; notes write fires immediately after Assign_Initial_Intent/2 before part detail screens
06/03/26 (BW) – Subject date preservation: Var_Subject_Date formula extracts date from existing WO subject (after " on ") so subject rewrites keep the original open date; falls back to today if no date present; applies to TT_WorkOrderSubject and TT_QuoteSubject</x:v>
      </x:c>
    </x:row>
    <x:row r="1340" ht="30" customHeight="1">
      <x:c r="A1340" s="117" t="str">
        <x:v>FSL_Screen_Request_Parts_on_WO</x:v>
      </x:c>
      <x:c r="B1340" s="117" t="str">
        <x:v>300Ro00000cnT4cIAE</x:v>
      </x:c>
      <x:c r="C1340" s="117" t="str">
        <x:v>301Ro000017drJHIAY</x:v>
      </x:c>
      <x:c r="D1340" s="118" t="n">
        <x:v>131</x:v>
      </x:c>
      <x:c r="E1340" s="117" t="str">
        <x:v>Obsolete</x:v>
      </x:c>
      <x:c r="F1340" s="117" t="str">
        <x:v>No</x:v>
      </x:c>
      <x:c r="G1340" s="117" t="str">
        <x:v>No</x:v>
      </x:c>
      <x:c r="H1340" s="117" t="str">
        <x:v>FieldServiceMobile</x:v>
      </x:c>
      <x:c r="I1340" s="118"/>
      <x:c r="J1340" s="117" t="str">
        <x:v>unmanaged</x:v>
      </x:c>
      <x:c r="K1340" s="123" t="b">
        <x:v>0</x:v>
      </x:c>
      <x:c r="L1340" s="117"/>
      <x:c r="M1340" s="118"/>
      <x:c r="N1340" s="120" t="n">
        <x:v>46177.812418981484</x:v>
      </x:c>
      <x:c r="O1340" s="117" t="str">
        <x:v>Delegate</x:v>
      </x:c>
      <x:c r="P1340" s="120" t="n">
        <x:v>46177.81270833333</x:v>
      </x:c>
      <x:c r="Q1340" s="117" t="str">
        <x:v>Delegate</x:v>
      </x:c>
      <x:c r="R1340" s="117" t="str">
        <x:v>FSL - Screen - Request Parts on WO</x:v>
      </x:c>
      <x:c r="S1340" s="119" t="str">
        <x:v>06/04/2026 (BW) - Adding the make/model number to various screens</x:v>
      </x:c>
    </x:row>
    <x:row r="1341" ht="30" customHeight="1">
      <x:c r="A1341" s="117" t="str">
        <x:v>FSL_Screen_Request_Parts_on_WO</x:v>
      </x:c>
      <x:c r="B1341" s="117" t="str">
        <x:v>300Ro00000cnT4cIAE</x:v>
      </x:c>
      <x:c r="C1341" s="117" t="str">
        <x:v>301Ro000017lOvBIAU</x:v>
      </x:c>
      <x:c r="D1341" s="118" t="n">
        <x:v>132</x:v>
      </x:c>
      <x:c r="E1341" s="117" t="str">
        <x:v>Obsolete</x:v>
      </x:c>
      <x:c r="F1341" s="117" t="str">
        <x:v>No</x:v>
      </x:c>
      <x:c r="G1341" s="117" t="str">
        <x:v>No</x:v>
      </x:c>
      <x:c r="H1341" s="117" t="str">
        <x:v>FieldServiceMobile</x:v>
      </x:c>
      <x:c r="I1341" s="118"/>
      <x:c r="J1341" s="117" t="str">
        <x:v>unmanaged</x:v>
      </x:c>
      <x:c r="K1341" s="123" t="b">
        <x:v>0</x:v>
      </x:c>
      <x:c r="L1341" s="117"/>
      <x:c r="M1341" s="118"/>
      <x:c r="N1341" s="120" t="n">
        <x:v>46178.93585648148</x:v>
      </x:c>
      <x:c r="O1341" s="117" t="str">
        <x:v>Delegate</x:v>
      </x:c>
      <x:c r="P1341" s="120" t="n">
        <x:v>46178.94577546296</x:v>
      </x:c>
      <x:c r="Q1341" s="117" t="str">
        <x:v>Delegate</x:v>
      </x:c>
      <x:c r="R1341" s="117" t="str">
        <x:v>FSL - Screen - Request Parts on WO</x:v>
      </x:c>
      <x:c r="S1341" s="119" t="str">
        <x:v>06/04/2026 (BW) - Adding the make/model number to various screens | 06/05/2026 (BW) - If shipping address already set on WO (from Quick Quote), show confirmation screen in parts request rather than re-asking all shipping questions</x:v>
      </x:c>
    </x:row>
    <x:row r="1342" ht="30" customHeight="1">
      <x:c r="A1342" s="117" t="str">
        <x:v>FSL_Screen_Request_Parts_on_WO</x:v>
      </x:c>
      <x:c r="B1342" s="117" t="str">
        <x:v>300Ro00000cnT4cIAE</x:v>
      </x:c>
      <x:c r="C1342" s="117" t="str">
        <x:v>301Ro000017lTlBIAU</x:v>
      </x:c>
      <x:c r="D1342" s="118" t="n">
        <x:v>133</x:v>
      </x:c>
      <x:c r="E1342" s="117" t="str">
        <x:v>Obsolete</x:v>
      </x:c>
      <x:c r="F1342" s="117" t="str">
        <x:v>No</x:v>
      </x:c>
      <x:c r="G1342" s="117" t="str">
        <x:v>No</x:v>
      </x:c>
      <x:c r="H1342" s="117" t="str">
        <x:v>FieldServiceMobile</x:v>
      </x:c>
      <x:c r="I1342" s="118"/>
      <x:c r="J1342" s="117" t="str">
        <x:v>unmanaged</x:v>
      </x:c>
      <x:c r="K1342" s="123" t="b">
        <x:v>0</x:v>
      </x:c>
      <x:c r="L1342" s="117"/>
      <x:c r="M1342" s="118"/>
      <x:c r="N1342" s="120" t="n">
        <x:v>46178.95108796296</x:v>
      </x:c>
      <x:c r="O1342" s="117" t="str">
        <x:v>Delegate</x:v>
      </x:c>
      <x:c r="P1342" s="120" t="n">
        <x:v>46178.951273148145</x:v>
      </x:c>
      <x:c r="Q1342" s="117" t="str">
        <x:v>Delegate</x:v>
      </x:c>
      <x:c r="R1342" s="117" t="str">
        <x:v>FSL - Screen - Request Parts on WO</x:v>
      </x:c>
      <x:c r="S1342" s="119" t="str">
        <x:v>06/04/2026 (BW) - Adding the make/model number to various screens | 06/05/2026 (BW) - If shipping address already set on WO (from Quick Quote), show confirmation screen in parts request rather than re-asking all shipping questions</x:v>
      </x:c>
    </x:row>
    <x:row r="1343" ht="30" customHeight="1">
      <x:c r="A1343" s="117" t="str">
        <x:v>FSL_Screen_Request_Parts_on_WO</x:v>
      </x:c>
      <x:c r="B1343" s="117" t="str">
        <x:v>300Ro00000cnT4cIAE</x:v>
      </x:c>
      <x:c r="C1343" s="117" t="str">
        <x:v>301Ro000017vuoyIAA</x:v>
      </x:c>
      <x:c r="D1343" s="118" t="n">
        <x:v>134</x:v>
      </x:c>
      <x:c r="E1343" s="117" t="str">
        <x:v>Obsolete</x:v>
      </x:c>
      <x:c r="F1343" s="117" t="str">
        <x:v>No</x:v>
      </x:c>
      <x:c r="G1343" s="117" t="str">
        <x:v>No</x:v>
      </x:c>
      <x:c r="H1343" s="117" t="str">
        <x:v>FieldServiceMobile</x:v>
      </x:c>
      <x:c r="I1343" s="118"/>
      <x:c r="J1343" s="117" t="str">
        <x:v>unmanaged</x:v>
      </x:c>
      <x:c r="K1343" s="123" t="b">
        <x:v>0</x:v>
      </x:c>
      <x:c r="L1343" s="117"/>
      <x:c r="M1343" s="118"/>
      <x:c r="N1343" s="120" t="n">
        <x:v>46181.81216435185</x:v>
      </x:c>
      <x:c r="O1343" s="117" t="str">
        <x:v>Mindy Bender</x:v>
      </x:c>
      <x:c r="P1343" s="120" t="n">
        <x:v>46181.813935185186</x:v>
      </x:c>
      <x:c r="Q1343" s="117" t="str">
        <x:v>Mindy Bender</x:v>
      </x:c>
      <x:c r="R1343" s="117" t="str">
        <x:v>FSL - Screen - Request Parts on WO</x:v>
      </x:c>
      <x:c r="S1343" s="119" t="str">
        <x:v>06/08/2026 (MPB) - Added formula to account for no existing labor/travel so it doesn't error on system warranty; 06/04/2026 (BW) - Adding the make/model number to various screens | 06/05/2026 (BW) - If shipping address already set on WO (from Quick Quote), show confirmation screen in parts request rather than re-asking all shipping questions</x:v>
      </x:c>
    </x:row>
    <x:row r="1344" ht="30" customHeight="1">
      <x:c r="A1344" s="117" t="str">
        <x:v>FSL_Screen_Request_Parts_on_WO</x:v>
      </x:c>
      <x:c r="B1344" s="117" t="str">
        <x:v>300Ro00000cnT4cIAE</x:v>
      </x:c>
      <x:c r="C1344" s="117" t="str">
        <x:v>301Ro000018MvH6IAK</x:v>
      </x:c>
      <x:c r="D1344" s="118" t="n">
        <x:v>135</x:v>
      </x:c>
      <x:c r="E1344" s="117" t="str">
        <x:v>Obsolete</x:v>
      </x:c>
      <x:c r="F1344" s="117" t="str">
        <x:v>No</x:v>
      </x:c>
      <x:c r="G1344" s="117" t="str">
        <x:v>No</x:v>
      </x:c>
      <x:c r="H1344" s="117" t="str">
        <x:v>FieldServiceMobile</x:v>
      </x:c>
      <x:c r="I1344" s="118"/>
      <x:c r="J1344" s="117" t="str">
        <x:v>unmanaged</x:v>
      </x:c>
      <x:c r="K1344" s="123" t="b">
        <x:v>0</x:v>
      </x:c>
      <x:c r="L1344" s="117"/>
      <x:c r="M1344" s="118"/>
      <x:c r="N1344" s="120" t="n">
        <x:v>46185.62484953704</x:v>
      </x:c>
      <x:c r="O1344" s="117" t="str">
        <x:v>Mindy Bender</x:v>
      </x:c>
      <x:c r="P1344" s="120" t="n">
        <x:v>46185.62763888889</x:v>
      </x:c>
      <x:c r="Q1344" s="117" t="str">
        <x:v>Mindy Bender</x:v>
      </x:c>
      <x:c r="R1344" s="117" t="str">
        <x:v>FSL - Screen - Request Parts on WO</x:v>
      </x:c>
      <x:c r="S1344" s="119" t="str">
        <x:v>06/12/2026 (MPB) - Added in verifying attn lines</x:v>
      </x:c>
    </x:row>
    <x:row r="1345" ht="30" customHeight="1">
      <x:c r="A1345" s="117" t="str">
        <x:v>FSL_Screen_Request_Parts_on_WO</x:v>
      </x:c>
      <x:c r="B1345" s="117" t="str">
        <x:v>300Ro00000cnT4cIAE</x:v>
      </x:c>
      <x:c r="C1345" s="117" t="str">
        <x:v>301Ro00001AqYs9IAF</x:v>
      </x:c>
      <x:c r="D1345" s="118" t="n">
        <x:v>136</x:v>
      </x:c>
      <x:c r="E1345" s="117" t="str">
        <x:v>Obsolete</x:v>
      </x:c>
      <x:c r="F1345" s="117" t="str">
        <x:v>No</x:v>
      </x:c>
      <x:c r="G1345" s="117" t="str">
        <x:v>No</x:v>
      </x:c>
      <x:c r="H1345" s="117" t="str">
        <x:v>FieldServiceMobile</x:v>
      </x:c>
      <x:c r="I1345" s="118"/>
      <x:c r="J1345" s="117" t="str">
        <x:v>unmanaged</x:v>
      </x:c>
      <x:c r="K1345" s="123" t="b">
        <x:v>0</x:v>
      </x:c>
      <x:c r="L1345" s="117"/>
      <x:c r="M1345" s="118"/>
      <x:c r="N1345" s="120" t="n">
        <x:v>46212.863645833335</x:v>
      </x:c>
      <x:c r="O1345" s="117" t="str">
        <x:v>Mindy Bender</x:v>
      </x:c>
      <x:c r="P1345" s="120" t="n">
        <x:v>46212.86418981481</x:v>
      </x:c>
      <x:c r="Q1345" s="117" t="str">
        <x:v>Mindy Bender</x:v>
      </x:c>
      <x:c r="R1345" s="117" t="str">
        <x:v>FSL - Screen - Request Parts on WO</x:v>
      </x:c>
      <x:c r="S1345" s="119" t="str">
        <x:v>07/09/2026 (MPB) - Updated warranty work order list to use Product Name w/Serial added in case of duplicates.</x:v>
      </x:c>
    </x:row>
    <x:row r="1346" ht="30" customHeight="1">
      <x:c r="A1346" s="117" t="str">
        <x:v>FSL_Screen_Request_Parts_on_WO</x:v>
      </x:c>
      <x:c r="B1346" s="117" t="str">
        <x:v>300Ro00000cnT4cIAE</x:v>
      </x:c>
      <x:c r="C1346" s="117" t="str">
        <x:v>301jR000000ERhvQAG</x:v>
      </x:c>
      <x:c r="D1346" s="118" t="n">
        <x:v>137</x:v>
      </x:c>
      <x:c r="E1346" s="117" t="str">
        <x:v>Active</x:v>
      </x:c>
      <x:c r="F1346" s="117" t="str">
        <x:v>Yes</x:v>
      </x:c>
      <x:c r="G1346" s="117" t="str">
        <x:v>Yes</x:v>
      </x:c>
      <x:c r="H1346" s="117" t="str">
        <x:v>FieldServiceMobile</x:v>
      </x:c>
      <x:c r="I1346" s="118"/>
      <x:c r="J1346" s="117" t="str">
        <x:v>unmanaged</x:v>
      </x:c>
      <x:c r="K1346" s="123" t="b">
        <x:v>0</x:v>
      </x:c>
      <x:c r="L1346" s="117"/>
      <x:c r="M1346" s="118"/>
      <x:c r="N1346" s="120" t="n">
        <x:v>46253.61732638889</x:v>
      </x:c>
      <x:c r="O1346" s="117" t="str">
        <x:v>Mindy Bender</x:v>
      </x:c>
      <x:c r="P1346" s="120" t="n">
        <x:v>46253.61754629629</x:v>
      </x:c>
      <x:c r="Q1346" s="117" t="str">
        <x:v>Mindy Bender</x:v>
      </x:c>
      <x:c r="R1346" s="117" t="str">
        <x:v>FSL - Screen - Request Parts on WO</x:v>
      </x:c>
      <x:c r="S1346" s="119" t="str">
        <x:v>08/19/2026 (MPB) - Make/Model not pulling through on part request</x:v>
      </x:c>
    </x:row>
    <x:row r="1347" ht="30" customHeight="1">
      <x:c r="A1347" s="117" t="str">
        <x:v>FSL_Screen_SA_Closeout_on_Desktop</x:v>
      </x:c>
      <x:c r="B1347" s="117" t="str">
        <x:v>300Ro00000SLPtAIAX</x:v>
      </x:c>
      <x:c r="C1347" s="117" t="str">
        <x:v>301Ro00000WyylNIAR</x:v>
      </x:c>
      <x:c r="D1347" s="118" t="n">
        <x:v>11</x:v>
      </x:c>
      <x:c r="E1347" s="117" t="str">
        <x:v>Obsolete</x:v>
      </x:c>
      <x:c r="F1347" s="117" t="str">
        <x:v>No</x:v>
      </x:c>
      <x:c r="G1347" s="117" t="str">
        <x:v>No</x:v>
      </x:c>
      <x:c r="H1347" s="117" t="str">
        <x:v>Flow</x:v>
      </x:c>
      <x:c r="I1347" s="118" t="n">
        <x:v>49</x:v>
      </x:c>
      <x:c r="J1347" s="117" t="str">
        <x:v>unmanaged</x:v>
      </x:c>
      <x:c r="K1347" s="123" t="b">
        <x:v>0</x:v>
      </x:c>
      <x:c r="L1347" s="117"/>
      <x:c r="M1347" s="118"/>
      <x:c r="N1347" s="120" t="n">
        <x:v>45754.74799768518</x:v>
      </x:c>
      <x:c r="O1347" s="117" t="str">
        <x:v>Delegate</x:v>
      </x:c>
      <x:c r="P1347" s="120" t="n">
        <x:v>45754.74810185185</x:v>
      </x:c>
      <x:c r="Q1347" s="117" t="str">
        <x:v>Delegate</x:v>
      </x:c>
      <x:c r="R1347" s="117" t="str">
        <x:v>FSL - Screen - SA Closeout on Desktop</x:v>
      </x:c>
      <x:c r="S1347" s="119" t="str">
        <x:v>03/07/2025 - Kyle/Delegate - Flow (Equivalent to FSL Mobile version) to closeout tech service call from home/desktop
19/03/2025 - Sacha/Probo - Removed 'If on a PPM' from the Follow Up Visit Required Label
03/21/2025 - Kyle/Delegate - Updates for system not operational
03/24/2025 - Kyle/Delegate - Error handling for status transition
03/27/2025 - Kyle - Adjustment of criteria
3/27/2025 - Jordan switched Status variable from text variable to Picklist Variable
04/07/2025 - Kyle - Internal Notes text to long text area conversion updates</x:v>
      </x:c>
    </x:row>
    <x:row r="1348" ht="30" customHeight="1">
      <x:c r="A1348" s="117" t="str">
        <x:v>FSL_Screen_SA_Closeout_on_Desktop</x:v>
      </x:c>
      <x:c r="B1348" s="117" t="str">
        <x:v>300Ro00000SLPtAIAX</x:v>
      </x:c>
      <x:c r="C1348" s="117" t="str">
        <x:v>301Ro00000XAaH9IAL</x:v>
      </x:c>
      <x:c r="D1348" s="118" t="n">
        <x:v>12</x:v>
      </x:c>
      <x:c r="E1348" s="117" t="str">
        <x:v>Obsolete</x:v>
      </x:c>
      <x:c r="F1348" s="117" t="str">
        <x:v>No</x:v>
      </x:c>
      <x:c r="G1348" s="117" t="str">
        <x:v>No</x:v>
      </x:c>
      <x:c r="H1348" s="117" t="str">
        <x:v>Flow</x:v>
      </x:c>
      <x:c r="I1348" s="118" t="n">
        <x:v>49</x:v>
      </x:c>
      <x:c r="J1348" s="117" t="str">
        <x:v>unmanaged</x:v>
      </x:c>
      <x:c r="K1348" s="123" t="b">
        <x:v>0</x:v>
      </x:c>
      <x:c r="L1348" s="117"/>
      <x:c r="M1348" s="118"/>
      <x:c r="N1348" s="120" t="n">
        <x:v>45757.56869212963</x:v>
      </x:c>
      <x:c r="O1348" s="117" t="str">
        <x:v>Delegate</x:v>
      </x:c>
      <x:c r="P1348" s="120" t="n">
        <x:v>45757.5694212963</x:v>
      </x:c>
      <x:c r="Q1348" s="117" t="str">
        <x:v>Delegate</x:v>
      </x:c>
      <x:c r="R1348" s="117" t="str">
        <x:v>FSL - Screen - SA Closeout on Desktop</x:v>
      </x:c>
      <x:c r="S1348" s="119" t="str">
        <x:v>03/07/2025 - Kyle/Delegate - Flow (Equivalent to FSL Mobile version) to closeout tech service call from home/desktop
19/03/2025 - Sacha/Probo - Removed 'If on a PPM' from the Follow Up Visit Required Label
03/21/2025 - Kyle/Delegate - Updates for system not operational
03/24/2025 - Kyle/Delegate - Error handling for status transition
03/27/2025 - Kyle - Adjustment of criteria
3/27/2025 - Jordan switched Status variable from text variable to Picklist Variable
04/07/2025 - Kyle - Internal Notes text to long text area conversion updates
04/10/2025 - Kyle - Adding Hours entry to the to the screen</x:v>
      </x:c>
    </x:row>
    <x:row r="1349" ht="30" customHeight="1">
      <x:c r="A1349" s="117" t="str">
        <x:v>FSL_Screen_SA_Closeout_on_Desktop</x:v>
      </x:c>
      <x:c r="B1349" s="117" t="str">
        <x:v>300Ro00000SLPtAIAX</x:v>
      </x:c>
      <x:c r="C1349" s="117" t="str">
        <x:v>301Ro00000XAfLRIA1</x:v>
      </x:c>
      <x:c r="D1349" s="118" t="n">
        <x:v>13</x:v>
      </x:c>
      <x:c r="E1349" s="117" t="str">
        <x:v>Obsolete</x:v>
      </x:c>
      <x:c r="F1349" s="117" t="str">
        <x:v>No</x:v>
      </x:c>
      <x:c r="G1349" s="117" t="str">
        <x:v>No</x:v>
      </x:c>
      <x:c r="H1349" s="117" t="str">
        <x:v>Flow</x:v>
      </x:c>
      <x:c r="I1349" s="118" t="n">
        <x:v>49</x:v>
      </x:c>
      <x:c r="J1349" s="117" t="str">
        <x:v>unmanaged</x:v>
      </x:c>
      <x:c r="K1349" s="123" t="b">
        <x:v>0</x:v>
      </x:c>
      <x:c r="L1349" s="117"/>
      <x:c r="M1349" s="118"/>
      <x:c r="N1349" s="120" t="n">
        <x:v>45757.57340277778</x:v>
      </x:c>
      <x:c r="O1349" s="117" t="str">
        <x:v>Delegate</x:v>
      </x:c>
      <x:c r="P1349" s="120" t="n">
        <x:v>45757.57363425926</x:v>
      </x:c>
      <x:c r="Q1349" s="117" t="str">
        <x:v>Delegate</x:v>
      </x:c>
      <x:c r="R1349" s="117" t="str">
        <x:v>FSL - Screen - SA Closeout on Desktop</x:v>
      </x:c>
      <x:c r="S1349" s="119" t="str">
        <x:v>03/07/2025 - Kyle/Delegate - Flow (Equivalent to FSL Mobile version) to closeout tech service call from home/desktop
19/03/2025 - Sacha/Probo - Removed 'If on a PPM' from the Follow Up Visit Required Label
03/21/2025 - Kyle/Delegate - Updates for system not operational
03/24/2025 - Kyle/Delegate - Error handling for status transition
03/27/2025 - Kyle - Adjustment of criteria
3/27/2025 - Jordan switched Status variable from text variable to Picklist Variable
04/07/2025 - Kyle - Internal Notes text to long text area conversion updates
04/10/2025 - Kyle - Adding Hours entry to the to the screen</x:v>
      </x:c>
    </x:row>
    <x:row r="1350" ht="30" customHeight="1">
      <x:c r="A1350" s="117" t="str">
        <x:v>FSL_Screen_SA_Closeout_on_Desktop</x:v>
      </x:c>
      <x:c r="B1350" s="117" t="str">
        <x:v>300Ro00000SLPtAIAX</x:v>
      </x:c>
      <x:c r="C1350" s="117" t="str">
        <x:v>301Ro00000XQvfbIAD</x:v>
      </x:c>
      <x:c r="D1350" s="118" t="n">
        <x:v>14</x:v>
      </x:c>
      <x:c r="E1350" s="117" t="str">
        <x:v>Draft</x:v>
      </x:c>
      <x:c r="F1350" s="117" t="str">
        <x:v>No</x:v>
      </x:c>
      <x:c r="G1350" s="117" t="str">
        <x:v>No</x:v>
      </x:c>
      <x:c r="H1350" s="117" t="str">
        <x:v>Flow</x:v>
      </x:c>
      <x:c r="I1350" s="118" t="n">
        <x:v>49</x:v>
      </x:c>
      <x:c r="J1350" s="117" t="str">
        <x:v>unmanaged</x:v>
      </x:c>
      <x:c r="K1350" s="123" t="b">
        <x:v>0</x:v>
      </x:c>
      <x:c r="L1350" s="117"/>
      <x:c r="M1350" s="118"/>
      <x:c r="N1350" s="120" t="n">
        <x:v>45762.61450231481</x:v>
      </x:c>
      <x:c r="O1350" s="117" t="str">
        <x:v>Delegate</x:v>
      </x:c>
      <x:c r="P1350" s="120" t="n">
        <x:v>45762.61454861111</x:v>
      </x:c>
      <x:c r="Q1350" s="117" t="str">
        <x:v>Delegate</x:v>
      </x:c>
      <x:c r="R1350" s="117" t="str">
        <x:v>FSL - Screen - SA Closeout on Desktop</x:v>
      </x:c>
      <x:c r="S1350" s="119" t="str">
        <x:v>03/07/2025 - Kyle/Delegate - Flow (Equivalent to FSL Mobile version) to closeout tech service call from home/desktop
19/03/2025 - Sacha/Probo - Removed 'If on a PPM' from the Follow Up Visit Required Label
03/21/2025 - Kyle/Delegate - Updates for system not operational
03/24/2025 - Kyle/Delegate - Error handling for status transition
03/27/2025 - Kyle - Adjustment of criteria
3/27/2025 - Jordan switched Status variable from text variable to Picklist Variable
04/07/2025 - Kyle - Internal Notes text to long text area conversion updates
04/10/2025 - Kyle - Adding Hours entry to the to the screen
04/15/2025 - Kyle - Hours Formula Updates</x:v>
      </x:c>
    </x:row>
    <x:row r="1351" ht="30" customHeight="1">
      <x:c r="A1351" s="117" t="str">
        <x:v>FSL_Screen_SA_Closeout_on_Desktop</x:v>
      </x:c>
      <x:c r="B1351" s="117" t="str">
        <x:v>300Ro00000SLPtAIAX</x:v>
      </x:c>
      <x:c r="C1351" s="117" t="str">
        <x:v>301Ro00000aB9xvIAC</x:v>
      </x:c>
      <x:c r="D1351" s="118" t="n">
        <x:v>15</x:v>
      </x:c>
      <x:c r="E1351" s="117" t="str">
        <x:v>Obsolete</x:v>
      </x:c>
      <x:c r="F1351" s="117" t="str">
        <x:v>No</x:v>
      </x:c>
      <x:c r="G1351" s="117" t="str">
        <x:v>No</x:v>
      </x:c>
      <x:c r="H1351" s="117" t="str">
        <x:v>Flow</x:v>
      </x:c>
      <x:c r="I1351" s="118" t="n">
        <x:v>49</x:v>
      </x:c>
      <x:c r="J1351" s="117" t="str">
        <x:v>unmanaged</x:v>
      </x:c>
      <x:c r="K1351" s="123" t="b">
        <x:v>0</x:v>
      </x:c>
      <x:c r="L1351" s="117"/>
      <x:c r="M1351" s="118"/>
      <x:c r="N1351" s="120" t="n">
        <x:v>45810.60605324074</x:v>
      </x:c>
      <x:c r="O1351" s="117" t="str">
        <x:v>Sacha Pearce</x:v>
      </x:c>
      <x:c r="P1351" s="120" t="n">
        <x:v>45810.60613425926</x:v>
      </x:c>
      <x:c r="Q1351" s="117" t="str">
        <x:v>Sacha Pearce</x:v>
      </x:c>
      <x:c r="R1351" s="117" t="str">
        <x:v>FSL - Screen - SA Closeout on Desktop</x:v>
      </x:c>
      <x:c r="S1351" s="119" t="str">
        <x:v>03/07/2025 - Kyle/Delegate - Flow (Equivalent to FSL Mobile version) to closeout tech service call from home/desktop
19/03/2025 - Sacha/Probo - Removed 'If on a PPM' from the Follow Up Visit Required Label
03/21/2025 - Kyle/Delegate - Updates for system not operational
03/24/2025 - Kyle/Delegate - Error handling for status transition
03/27/2025 - Kyle - Adjustment of criteria
3/27/2025 - Jordan switched Status variable from text variable to Picklist Variable
04/07/2025 - Kyle - Internal Notes text to long text area conversion updates
04/10/2025 - Kyle - Adding Hours entry to the to the screen
06/02/2025 - Sacha Pearce - Amending the Update SA Element to change the Status to Paperwork to be Sent instead of Completed.</x:v>
      </x:c>
    </x:row>
    <x:row r="1352" ht="30" customHeight="1">
      <x:c r="A1352" s="117" t="str">
        <x:v>FSL_Screen_SA_Closeout_on_Desktop</x:v>
      </x:c>
      <x:c r="B1352" s="117" t="str">
        <x:v>300Ro00000SLPtAIAX</x:v>
      </x:c>
      <x:c r="C1352" s="117" t="str">
        <x:v>301Ro00000aF8JtIAK</x:v>
      </x:c>
      <x:c r="D1352" s="118" t="n">
        <x:v>16</x:v>
      </x:c>
      <x:c r="E1352" s="117" t="str">
        <x:v>Obsolete</x:v>
      </x:c>
      <x:c r="F1352" s="117" t="str">
        <x:v>No</x:v>
      </x:c>
      <x:c r="G1352" s="117" t="str">
        <x:v>No</x:v>
      </x:c>
      <x:c r="H1352" s="117" t="str">
        <x:v>Flow</x:v>
      </x:c>
      <x:c r="I1352" s="118" t="n">
        <x:v>49</x:v>
      </x:c>
      <x:c r="J1352" s="117" t="str">
        <x:v>unmanaged</x:v>
      </x:c>
      <x:c r="K1352" s="123" t="b">
        <x:v>0</x:v>
      </x:c>
      <x:c r="L1352" s="117"/>
      <x:c r="M1352" s="118"/>
      <x:c r="N1352" s="120" t="n">
        <x:v>45811.316203703704</x:v>
      </x:c>
      <x:c r="O1352" s="117" t="str">
        <x:v>Sacha Pearce</x:v>
      </x:c>
      <x:c r="P1352" s="120" t="n">
        <x:v>45811.31628472222</x:v>
      </x:c>
      <x:c r="Q1352" s="117" t="str">
        <x:v>Sacha Pearce</x:v>
      </x:c>
      <x:c r="R1352" s="117" t="str">
        <x:v>FSL - Screen - SA Closeout on Desktop</x:v>
      </x:c>
      <x:c r="S1352" s="119" t="str">
        <x:v>03/07/2025 - Kyle/Delegate - Flow (Equivalent to FSL Mobile version) to closeout tech service call from home/desktop
19/03/2025 - Sacha/Probo - Removed 'If on a PPM' from the Follow Up Visit Required Label
03/21/2025 - Kyle/Delegate - Updates for system not operational
03/24/2025 - Kyle/Delegate - Error handling for status transition
03/27/2025 - Kyle - Adjustment of criteria
3/27/2025 - Jordan switched Status variable from text variable to Picklist Variable
04/07/2025 - Kyle - Internal Notes text to long text area conversion updates
04/10/2025 - Kyle - Adding Hours entry to the to the screen
06/02/2025 - Sacha Pearce - Amending the Update SA Element to change the Status to Paperwork to be Sent instead of Completed.
06/03/2025 - Sacha Pearce - Reverted above change as this is for desktop (used more by Tech Support). If we need to look into building a decision then we can do so.</x:v>
      </x:c>
    </x:row>
    <x:row r="1353" ht="30" customHeight="1">
      <x:c r="A1353" s="117" t="str">
        <x:v>FSL_Screen_SA_Closeout_on_Desktop</x:v>
      </x:c>
      <x:c r="B1353" s="117" t="str">
        <x:v>300Ro00000SLPtAIAX</x:v>
      </x:c>
      <x:c r="C1353" s="117" t="str">
        <x:v>301Ro00001CNs9zIAD</x:v>
      </x:c>
      <x:c r="D1353" s="118" t="n">
        <x:v>17</x:v>
      </x:c>
      <x:c r="E1353" s="117" t="str">
        <x:v>Obsolete</x:v>
      </x:c>
      <x:c r="F1353" s="117" t="str">
        <x:v>No</x:v>
      </x:c>
      <x:c r="G1353" s="117" t="str">
        <x:v>No</x:v>
      </x:c>
      <x:c r="H1353" s="117" t="str">
        <x:v>Flow</x:v>
      </x:c>
      <x:c r="I1353" s="118" t="n">
        <x:v>49</x:v>
      </x:c>
      <x:c r="J1353" s="117" t="str">
        <x:v>unmanaged</x:v>
      </x:c>
      <x:c r="K1353" s="123" t="b">
        <x:v>0</x:v>
      </x:c>
      <x:c r="L1353" s="117"/>
      <x:c r="M1353" s="118"/>
      <x:c r="N1353" s="120" t="n">
        <x:v>46230.5577662037</x:v>
      </x:c>
      <x:c r="O1353" s="117" t="str">
        <x:v>Sacha Pearce</x:v>
      </x:c>
      <x:c r="P1353" s="120" t="n">
        <x:v>46230.557858796295</x:v>
      </x:c>
      <x:c r="Q1353" s="117" t="str">
        <x:v>Sacha Pearce</x:v>
      </x:c>
      <x:c r="R1353" s="117" t="str">
        <x:v>FSL - Screen - SA Closeout on Desktop</x:v>
      </x:c>
      <x:c r="S1353" s="119" t="str">
        <x:v>07/27/2026 - SP - Adding accidental damage fields to the "Comments" screen and "Update Service Appointment" update records element.</x:v>
      </x:c>
    </x:row>
    <x:row r="1354" ht="30" customHeight="1">
      <x:c r="A1354" s="117" t="str">
        <x:v>FSL_Screen_SA_Closeout_on_Desktop</x:v>
      </x:c>
      <x:c r="B1354" s="117" t="str">
        <x:v>300Ro00000SLPtAIAX</x:v>
      </x:c>
      <x:c r="C1354" s="117" t="str">
        <x:v>301Ro00001COF1jIAH</x:v>
      </x:c>
      <x:c r="D1354" s="118" t="n">
        <x:v>18</x:v>
      </x:c>
      <x:c r="E1354" s="117" t="str">
        <x:v>Active</x:v>
      </x:c>
      <x:c r="F1354" s="117" t="str">
        <x:v>Yes</x:v>
      </x:c>
      <x:c r="G1354" s="117" t="str">
        <x:v>Yes</x:v>
      </x:c>
      <x:c r="H1354" s="117" t="str">
        <x:v>Flow</x:v>
      </x:c>
      <x:c r="I1354" s="118" t="n">
        <x:v>49</x:v>
      </x:c>
      <x:c r="J1354" s="117" t="str">
        <x:v>unmanaged</x:v>
      </x:c>
      <x:c r="K1354" s="123" t="b">
        <x:v>0</x:v>
      </x:c>
      <x:c r="L1354" s="117"/>
      <x:c r="M1354" s="118"/>
      <x:c r="N1354" s="120" t="n">
        <x:v>46230.58974537037</x:v>
      </x:c>
      <x:c r="O1354" s="117" t="str">
        <x:v>Sacha Pearce</x:v>
      </x:c>
      <x:c r="P1354" s="120" t="n">
        <x:v>46230.595555555556</x:v>
      </x:c>
      <x:c r="Q1354" s="117" t="str">
        <x:v>Sacha Pearce</x:v>
      </x:c>
      <x:c r="R1354" s="117" t="str">
        <x:v>FSL - Screen - SA Closeout on Desktop</x:v>
      </x:c>
      <x:c r="S1354" s="119" t="str">
        <x:v>07/27/2026 - SP - Amending the Flow to set the "Status" field to "Paperwork to be Sent" when the Work Order's "Modality" is not "Ultrasound".</x:v>
      </x:c>
    </x:row>
    <x:row r="1355" ht="30" customHeight="1">
      <x:c r="A1355" s="117" t="str">
        <x:v>FSL_Service_Appointment_Collect_Assets</x:v>
      </x:c>
      <x:c r="B1355" s="117" t="str">
        <x:v>300Ro00000srgJqIAI</x:v>
      </x:c>
      <x:c r="C1355" s="117" t="str">
        <x:v>301Ro000010cFLkIAM</x:v>
      </x:c>
      <x:c r="D1355" s="118" t="n">
        <x:v>1</x:v>
      </x:c>
      <x:c r="E1355" s="117" t="str">
        <x:v>Obsolete</x:v>
      </x:c>
      <x:c r="F1355" s="117" t="str">
        <x:v>No</x:v>
      </x:c>
      <x:c r="G1355" s="117" t="str">
        <x:v>No</x:v>
      </x:c>
      <x:c r="H1355" s="117" t="str">
        <x:v>FieldServiceMobile</x:v>
      </x:c>
      <x:c r="I1355" s="118"/>
      <x:c r="J1355" s="117" t="str">
        <x:v>unmanaged</x:v>
      </x:c>
      <x:c r="K1355" s="123" t="b">
        <x:v>0</x:v>
      </x:c>
      <x:c r="L1355" s="117"/>
      <x:c r="M1355" s="118"/>
      <x:c r="N1355" s="120" t="n">
        <x:v>46096.672164351854</x:v>
      </x:c>
      <x:c r="O1355" s="117" t="str">
        <x:v>Sacha Pearce</x:v>
      </x:c>
      <x:c r="P1355" s="120" t="n">
        <x:v>46096.67225694445</x:v>
      </x:c>
      <x:c r="Q1355" s="117" t="str">
        <x:v>Sacha Pearce</x:v>
      </x:c>
      <x:c r="R1355" s="117" t="str">
        <x:v>FSL - Service Appointment - Collect Assets</x:v>
      </x:c>
      <x:c r="S1355" s="119"/>
    </x:row>
    <x:row r="1356" ht="30" customHeight="1">
      <x:c r="A1356" s="117" t="str">
        <x:v>FSL_Service_Appointment_Collect_Assets</x:v>
      </x:c>
      <x:c r="B1356" s="117" t="str">
        <x:v>300Ro00000srgJqIAI</x:v>
      </x:c>
      <x:c r="C1356" s="117" t="str">
        <x:v>301Ro000010gRGDIA2</x:v>
      </x:c>
      <x:c r="D1356" s="118" t="n">
        <x:v>2</x:v>
      </x:c>
      <x:c r="E1356" s="117" t="str">
        <x:v>Obsolete</x:v>
      </x:c>
      <x:c r="F1356" s="117" t="str">
        <x:v>No</x:v>
      </x:c>
      <x:c r="G1356" s="117" t="str">
        <x:v>No</x:v>
      </x:c>
      <x:c r="H1356" s="117" t="str">
        <x:v>FieldServiceMobile</x:v>
      </x:c>
      <x:c r="I1356" s="118"/>
      <x:c r="J1356" s="117" t="str">
        <x:v>unmanaged</x:v>
      </x:c>
      <x:c r="K1356" s="123" t="b">
        <x:v>0</x:v>
      </x:c>
      <x:c r="L1356" s="117"/>
      <x:c r="M1356" s="118"/>
      <x:c r="N1356" s="120" t="n">
        <x:v>46097.63505787037</x:v>
      </x:c>
      <x:c r="O1356" s="117" t="str">
        <x:v>Sacha Pearce</x:v>
      </x:c>
      <x:c r="P1356" s="120" t="n">
        <x:v>46097.63517361111</x:v>
      </x:c>
      <x:c r="Q1356" s="117" t="str">
        <x:v>Sacha Pearce</x:v>
      </x:c>
      <x:c r="R1356" s="117" t="str">
        <x:v>FSL - Service Appointment - Collect Assets</x:v>
      </x:c>
      <x:c r="S1356" s="119"/>
    </x:row>
    <x:row r="1357" ht="30" customHeight="1">
      <x:c r="A1357" s="117" t="str">
        <x:v>FSL_Service_Appointment_Collect_Assets</x:v>
      </x:c>
      <x:c r="B1357" s="117" t="str">
        <x:v>300Ro00000srgJqIAI</x:v>
      </x:c>
      <x:c r="C1357" s="117" t="str">
        <x:v>301Ro000011RDuXIAW</x:v>
      </x:c>
      <x:c r="D1357" s="118" t="n">
        <x:v>3</x:v>
      </x:c>
      <x:c r="E1357" s="117" t="str">
        <x:v>Obsolete</x:v>
      </x:c>
      <x:c r="F1357" s="117" t="str">
        <x:v>No</x:v>
      </x:c>
      <x:c r="G1357" s="117" t="str">
        <x:v>No</x:v>
      </x:c>
      <x:c r="H1357" s="117" t="str">
        <x:v>FieldServiceMobile</x:v>
      </x:c>
      <x:c r="I1357" s="118"/>
      <x:c r="J1357" s="117" t="str">
        <x:v>unmanaged</x:v>
      </x:c>
      <x:c r="K1357" s="123" t="b">
        <x:v>0</x:v>
      </x:c>
      <x:c r="L1357" s="117"/>
      <x:c r="M1357" s="118"/>
      <x:c r="N1357" s="120" t="n">
        <x:v>46106.38318287037</x:v>
      </x:c>
      <x:c r="O1357" s="117" t="str">
        <x:v>Sacha Pearce</x:v>
      </x:c>
      <x:c r="P1357" s="120" t="n">
        <x:v>46106.38327546296</x:v>
      </x:c>
      <x:c r="Q1357" s="117" t="str">
        <x:v>Sacha Pearce</x:v>
      </x:c>
      <x:c r="R1357" s="117" t="str">
        <x:v>FSL - Service Appointment - Collect Assets</x:v>
      </x:c>
      <x:c r="S1357" s="119" t="str">
        <x:v>25/03/2026 - SP - updating the "formulaAssetToAdd" to work on mobile</x:v>
      </x:c>
    </x:row>
    <x:row r="1358" ht="30" customHeight="1">
      <x:c r="A1358" s="117" t="str">
        <x:v>FSL_Service_Appointment_Collect_Assets</x:v>
      </x:c>
      <x:c r="B1358" s="117" t="str">
        <x:v>300Ro00000srgJqIAI</x:v>
      </x:c>
      <x:c r="C1358" s="117" t="str">
        <x:v>301Ro000011PWgSIAW</x:v>
      </x:c>
      <x:c r="D1358" s="118" t="n">
        <x:v>4</x:v>
      </x:c>
      <x:c r="E1358" s="117" t="str">
        <x:v>Obsolete</x:v>
      </x:c>
      <x:c r="F1358" s="117" t="str">
        <x:v>No</x:v>
      </x:c>
      <x:c r="G1358" s="117" t="str">
        <x:v>No</x:v>
      </x:c>
      <x:c r="H1358" s="117" t="str">
        <x:v>FieldServiceMobile</x:v>
      </x:c>
      <x:c r="I1358" s="118"/>
      <x:c r="J1358" s="117" t="str">
        <x:v>unmanaged</x:v>
      </x:c>
      <x:c r="K1358" s="123" t="b">
        <x:v>0</x:v>
      </x:c>
      <x:c r="L1358" s="117"/>
      <x:c r="M1358" s="118"/>
      <x:c r="N1358" s="120" t="n">
        <x:v>46106.38521990741</x:v>
      </x:c>
      <x:c r="O1358" s="117" t="str">
        <x:v>Sacha Pearce</x:v>
      </x:c>
      <x:c r="P1358" s="120" t="n">
        <x:v>46106.385300925926</x:v>
      </x:c>
      <x:c r="Q1358" s="117" t="str">
        <x:v>Sacha Pearce</x:v>
      </x:c>
      <x:c r="R1358" s="117" t="str">
        <x:v>FSL - Service Appointment - Collect Assets</x:v>
      </x:c>
      <x:c r="S1358" s="119" t="str">
        <x:v>25/03/2026 - SP - updating the "formulaAssetToAdd" to work on mobile</x:v>
      </x:c>
    </x:row>
    <x:row r="1359" ht="30" customHeight="1">
      <x:c r="A1359" s="117" t="str">
        <x:v>FSL_Service_Appointment_Collect_Assets</x:v>
      </x:c>
      <x:c r="B1359" s="117" t="str">
        <x:v>300Ro00000srgJqIAI</x:v>
      </x:c>
      <x:c r="C1359" s="117" t="str">
        <x:v>301Ro000011RAK0IAO</x:v>
      </x:c>
      <x:c r="D1359" s="118" t="n">
        <x:v>5</x:v>
      </x:c>
      <x:c r="E1359" s="117" t="str">
        <x:v>Obsolete</x:v>
      </x:c>
      <x:c r="F1359" s="117" t="str">
        <x:v>No</x:v>
      </x:c>
      <x:c r="G1359" s="117" t="str">
        <x:v>No</x:v>
      </x:c>
      <x:c r="H1359" s="117" t="str">
        <x:v>FieldServiceMobile</x:v>
      </x:c>
      <x:c r="I1359" s="118"/>
      <x:c r="J1359" s="117" t="str">
        <x:v>unmanaged</x:v>
      </x:c>
      <x:c r="K1359" s="123" t="b">
        <x:v>0</x:v>
      </x:c>
      <x:c r="L1359" s="117"/>
      <x:c r="M1359" s="118"/>
      <x:c r="N1359" s="120" t="n">
        <x:v>46106.39015046296</x:v>
      </x:c>
      <x:c r="O1359" s="117" t="str">
        <x:v>Sacha Pearce</x:v>
      </x:c>
      <x:c r="P1359" s="120" t="n">
        <x:v>46106.39025462963</x:v>
      </x:c>
      <x:c r="Q1359" s="117" t="str">
        <x:v>Sacha Pearce</x:v>
      </x:c>
      <x:c r="R1359" s="117" t="str">
        <x:v>FSL - Service Appointment - Collect Assets</x:v>
      </x:c>
      <x:c r="S1359" s="119" t="str">
        <x:v>25/03/2026 - SP - updating the "formulaAssetToAdd" to work on mobile</x:v>
      </x:c>
    </x:row>
    <x:row r="1360" ht="30" customHeight="1">
      <x:c r="A1360" s="117" t="str">
        <x:v>FSL_Service_Appointment_Collect_Assets</x:v>
      </x:c>
      <x:c r="B1360" s="117" t="str">
        <x:v>300Ro00000srgJqIAI</x:v>
      </x:c>
      <x:c r="C1360" s="117" t="str">
        <x:v>301Ro000011R34YIAS</x:v>
      </x:c>
      <x:c r="D1360" s="118" t="n">
        <x:v>6</x:v>
      </x:c>
      <x:c r="E1360" s="117" t="str">
        <x:v>Obsolete</x:v>
      </x:c>
      <x:c r="F1360" s="117" t="str">
        <x:v>No</x:v>
      </x:c>
      <x:c r="G1360" s="117" t="str">
        <x:v>No</x:v>
      </x:c>
      <x:c r="H1360" s="117" t="str">
        <x:v>FieldServiceMobile</x:v>
      </x:c>
      <x:c r="I1360" s="118"/>
      <x:c r="J1360" s="117" t="str">
        <x:v>unmanaged</x:v>
      </x:c>
      <x:c r="K1360" s="123" t="b">
        <x:v>0</x:v>
      </x:c>
      <x:c r="L1360" s="117"/>
      <x:c r="M1360" s="118"/>
      <x:c r="N1360" s="120" t="n">
        <x:v>46106.39818287037</x:v>
      </x:c>
      <x:c r="O1360" s="117" t="str">
        <x:v>Sacha Pearce</x:v>
      </x:c>
      <x:c r="P1360" s="120" t="n">
        <x:v>46106.3983912037</x:v>
      </x:c>
      <x:c r="Q1360" s="117" t="str">
        <x:v>Sacha Pearce</x:v>
      </x:c>
      <x:c r="R1360" s="117" t="str">
        <x:v>FSL - Service Appointment - Collect Assets</x:v>
      </x:c>
      <x:c r="S1360" s="119" t="str">
        <x:v>25/03/2026 - SP - updating the "formulaAssetToAdd" to work on mobile</x:v>
      </x:c>
    </x:row>
    <x:row r="1361" ht="30" customHeight="1">
      <x:c r="A1361" s="117" t="str">
        <x:v>FSL_Service_Appointment_Collect_Assets</x:v>
      </x:c>
      <x:c r="B1361" s="117" t="str">
        <x:v>300Ro00000srgJqIAI</x:v>
      </x:c>
      <x:c r="C1361" s="117" t="str">
        <x:v>301Ro000011PSy3IAG</x:v>
      </x:c>
      <x:c r="D1361" s="118" t="n">
        <x:v>7</x:v>
      </x:c>
      <x:c r="E1361" s="117" t="str">
        <x:v>Obsolete</x:v>
      </x:c>
      <x:c r="F1361" s="117" t="str">
        <x:v>No</x:v>
      </x:c>
      <x:c r="G1361" s="117" t="str">
        <x:v>No</x:v>
      </x:c>
      <x:c r="H1361" s="117" t="str">
        <x:v>FieldServiceMobile</x:v>
      </x:c>
      <x:c r="I1361" s="118"/>
      <x:c r="J1361" s="117" t="str">
        <x:v>unmanaged</x:v>
      </x:c>
      <x:c r="K1361" s="123" t="b">
        <x:v>0</x:v>
      </x:c>
      <x:c r="L1361" s="117"/>
      <x:c r="M1361" s="118"/>
      <x:c r="N1361" s="120" t="n">
        <x:v>46106.403865740744</x:v>
      </x:c>
      <x:c r="O1361" s="117" t="str">
        <x:v>Sacha Pearce</x:v>
      </x:c>
      <x:c r="P1361" s="120" t="n">
        <x:v>46106.40393518518</x:v>
      </x:c>
      <x:c r="Q1361" s="117" t="str">
        <x:v>Sacha Pearce</x:v>
      </x:c>
      <x:c r="R1361" s="117" t="str">
        <x:v>FSL - Service Appointment - Collect Assets</x:v>
      </x:c>
      <x:c r="S1361" s="119" t="str">
        <x:v>25/03/2026 - SP - updating the "formulaAssetToAdd" to work on mobile</x:v>
      </x:c>
    </x:row>
    <x:row r="1362" ht="30" customHeight="1">
      <x:c r="A1362" s="117" t="str">
        <x:v>FSL_Service_Appointment_Collect_Assets</x:v>
      </x:c>
      <x:c r="B1362" s="117" t="str">
        <x:v>300Ro00000srgJqIAI</x:v>
      </x:c>
      <x:c r="C1362" s="117" t="str">
        <x:v>301Ro000011PNrgIAG</x:v>
      </x:c>
      <x:c r="D1362" s="118" t="n">
        <x:v>8</x:v>
      </x:c>
      <x:c r="E1362" s="117" t="str">
        <x:v>Obsolete</x:v>
      </x:c>
      <x:c r="F1362" s="117" t="str">
        <x:v>No</x:v>
      </x:c>
      <x:c r="G1362" s="117" t="str">
        <x:v>No</x:v>
      </x:c>
      <x:c r="H1362" s="117" t="str">
        <x:v>FieldServiceMobile</x:v>
      </x:c>
      <x:c r="I1362" s="118"/>
      <x:c r="J1362" s="117" t="str">
        <x:v>unmanaged</x:v>
      </x:c>
      <x:c r="K1362" s="123" t="b">
        <x:v>0</x:v>
      </x:c>
      <x:c r="L1362" s="117"/>
      <x:c r="M1362" s="118"/>
      <x:c r="N1362" s="120" t="n">
        <x:v>46106.40621527778</x:v>
      </x:c>
      <x:c r="O1362" s="117" t="str">
        <x:v>Sacha Pearce</x:v>
      </x:c>
      <x:c r="P1362" s="120" t="n">
        <x:v>46106.4062962963</x:v>
      </x:c>
      <x:c r="Q1362" s="117" t="str">
        <x:v>Sacha Pearce</x:v>
      </x:c>
      <x:c r="R1362" s="117" t="str">
        <x:v>FSL - Service Appointment - Collect Assets</x:v>
      </x:c>
      <x:c r="S1362" s="119" t="str">
        <x:v>25/03/2026 - SP - updating the "formulaAssetToAdd" to work on mobile</x:v>
      </x:c>
    </x:row>
    <x:row r="1363" ht="30" customHeight="1">
      <x:c r="A1363" s="117" t="str">
        <x:v>FSL_Service_Appointment_Collect_Assets</x:v>
      </x:c>
      <x:c r="B1363" s="117" t="str">
        <x:v>300Ro00000srgJqIAI</x:v>
      </x:c>
      <x:c r="C1363" s="117" t="str">
        <x:v>301Ro000011RJ78IAG</x:v>
      </x:c>
      <x:c r="D1363" s="118" t="n">
        <x:v>9</x:v>
      </x:c>
      <x:c r="E1363" s="117" t="str">
        <x:v>Obsolete</x:v>
      </x:c>
      <x:c r="F1363" s="117" t="str">
        <x:v>No</x:v>
      </x:c>
      <x:c r="G1363" s="117" t="str">
        <x:v>No</x:v>
      </x:c>
      <x:c r="H1363" s="117" t="str">
        <x:v>FieldServiceMobile</x:v>
      </x:c>
      <x:c r="I1363" s="118"/>
      <x:c r="J1363" s="117" t="str">
        <x:v>unmanaged</x:v>
      </x:c>
      <x:c r="K1363" s="123" t="b">
        <x:v>0</x:v>
      </x:c>
      <x:c r="L1363" s="117"/>
      <x:c r="M1363" s="118"/>
      <x:c r="N1363" s="120" t="n">
        <x:v>46106.40923611111</x:v>
      </x:c>
      <x:c r="O1363" s="117" t="str">
        <x:v>Sacha Pearce</x:v>
      </x:c>
      <x:c r="P1363" s="120" t="n">
        <x:v>46106.40943287037</x:v>
      </x:c>
      <x:c r="Q1363" s="117" t="str">
        <x:v>Sacha Pearce</x:v>
      </x:c>
      <x:c r="R1363" s="117" t="str">
        <x:v>FSL - Service Appointment - Collect Assets</x:v>
      </x:c>
      <x:c r="S1363" s="119" t="str">
        <x:v>25/03/2026 - SP - updating the "formulaAssetToAdd" to work on mobile</x:v>
      </x:c>
    </x:row>
    <x:row r="1364" ht="30" customHeight="1">
      <x:c r="A1364" s="117" t="str">
        <x:v>FSL_Service_Appointment_Collect_Assets</x:v>
      </x:c>
      <x:c r="B1364" s="117" t="str">
        <x:v>300Ro00000srgJqIAI</x:v>
      </x:c>
      <x:c r="C1364" s="117" t="str">
        <x:v>301Ro000011RBMYIA4</x:v>
      </x:c>
      <x:c r="D1364" s="118" t="n">
        <x:v>10</x:v>
      </x:c>
      <x:c r="E1364" s="117" t="str">
        <x:v>Obsolete</x:v>
      </x:c>
      <x:c r="F1364" s="117" t="str">
        <x:v>No</x:v>
      </x:c>
      <x:c r="G1364" s="117" t="str">
        <x:v>No</x:v>
      </x:c>
      <x:c r="H1364" s="117" t="str">
        <x:v>FieldServiceMobile</x:v>
      </x:c>
      <x:c r="I1364" s="118"/>
      <x:c r="J1364" s="117" t="str">
        <x:v>unmanaged</x:v>
      </x:c>
      <x:c r="K1364" s="123" t="b">
        <x:v>0</x:v>
      </x:c>
      <x:c r="L1364" s="117"/>
      <x:c r="M1364" s="118"/>
      <x:c r="N1364" s="120" t="n">
        <x:v>46106.415613425925</x:v>
      </x:c>
      <x:c r="O1364" s="117" t="str">
        <x:v>Sacha Pearce</x:v>
      </x:c>
      <x:c r="P1364" s="120" t="n">
        <x:v>46106.41711805556</x:v>
      </x:c>
      <x:c r="Q1364" s="117" t="str">
        <x:v>Sacha Pearce</x:v>
      </x:c>
      <x:c r="R1364" s="117" t="str">
        <x:v>FSL - Service Appointment - Collect Assets</x:v>
      </x:c>
      <x:c r="S1364" s="119" t="str">
        <x:v>25/03/2026 - SP - updating the "formulaAssetToAdd" to work on mobile</x:v>
      </x:c>
    </x:row>
    <x:row r="1365" ht="30" customHeight="1">
      <x:c r="A1365" s="117" t="str">
        <x:v>FSL_Service_Appointment_Collect_Assets</x:v>
      </x:c>
      <x:c r="B1365" s="117" t="str">
        <x:v>300Ro00000srgJqIAI</x:v>
      </x:c>
      <x:c r="C1365" s="117" t="str">
        <x:v>301Ro000011RBKvIAO</x:v>
      </x:c>
      <x:c r="D1365" s="118" t="n">
        <x:v>11</x:v>
      </x:c>
      <x:c r="E1365" s="117" t="str">
        <x:v>Obsolete</x:v>
      </x:c>
      <x:c r="F1365" s="117" t="str">
        <x:v>No</x:v>
      </x:c>
      <x:c r="G1365" s="117" t="str">
        <x:v>No</x:v>
      </x:c>
      <x:c r="H1365" s="117" t="str">
        <x:v>FieldServiceMobile</x:v>
      </x:c>
      <x:c r="I1365" s="118"/>
      <x:c r="J1365" s="117" t="str">
        <x:v>unmanaged</x:v>
      </x:c>
      <x:c r="K1365" s="123" t="b">
        <x:v>0</x:v>
      </x:c>
      <x:c r="L1365" s="117"/>
      <x:c r="M1365" s="118"/>
      <x:c r="N1365" s="120" t="n">
        <x:v>46106.41780092593</x:v>
      </x:c>
      <x:c r="O1365" s="117" t="str">
        <x:v>Sacha Pearce</x:v>
      </x:c>
      <x:c r="P1365" s="120" t="n">
        <x:v>46106.41787037037</x:v>
      </x:c>
      <x:c r="Q1365" s="117" t="str">
        <x:v>Sacha Pearce</x:v>
      </x:c>
      <x:c r="R1365" s="117" t="str">
        <x:v>FSL - Service Appointment - Collect Assets</x:v>
      </x:c>
      <x:c r="S1365" s="119" t="str">
        <x:v>25/03/2026 - SP - updating the "formulaAssetToAdd" to work on mobile</x:v>
      </x:c>
    </x:row>
    <x:row r="1366" ht="30" customHeight="1">
      <x:c r="A1366" s="117" t="str">
        <x:v>FSL_Service_Appointment_Collect_Assets</x:v>
      </x:c>
      <x:c r="B1366" s="117" t="str">
        <x:v>300Ro00000srgJqIAI</x:v>
      </x:c>
      <x:c r="C1366" s="117" t="str">
        <x:v>301Ro000011RGUFIA4</x:v>
      </x:c>
      <x:c r="D1366" s="118" t="n">
        <x:v>12</x:v>
      </x:c>
      <x:c r="E1366" s="117" t="str">
        <x:v>Obsolete</x:v>
      </x:c>
      <x:c r="F1366" s="117" t="str">
        <x:v>No</x:v>
      </x:c>
      <x:c r="G1366" s="117" t="str">
        <x:v>No</x:v>
      </x:c>
      <x:c r="H1366" s="117" t="str">
        <x:v>FieldServiceMobile</x:v>
      </x:c>
      <x:c r="I1366" s="118"/>
      <x:c r="J1366" s="117" t="str">
        <x:v>unmanaged</x:v>
      </x:c>
      <x:c r="K1366" s="123" t="b">
        <x:v>0</x:v>
      </x:c>
      <x:c r="L1366" s="117"/>
      <x:c r="M1366" s="118"/>
      <x:c r="N1366" s="120" t="n">
        <x:v>46106.419027777774</x:v>
      </x:c>
      <x:c r="O1366" s="117" t="str">
        <x:v>Sacha Pearce</x:v>
      </x:c>
      <x:c r="P1366" s="120" t="n">
        <x:v>46106.41913194444</x:v>
      </x:c>
      <x:c r="Q1366" s="117" t="str">
        <x:v>Sacha Pearce</x:v>
      </x:c>
      <x:c r="R1366" s="117" t="str">
        <x:v>FSL - Service Appointment - Collect Assets</x:v>
      </x:c>
      <x:c r="S1366" s="119" t="str">
        <x:v>25/03/2026 - SP - updating the "formulaAssetToAdd" to work on mobile</x:v>
      </x:c>
    </x:row>
    <x:row r="1367" ht="30" customHeight="1">
      <x:c r="A1367" s="117" t="str">
        <x:v>FSL_Service_Appointment_Collect_Assets</x:v>
      </x:c>
      <x:c r="B1367" s="117" t="str">
        <x:v>300Ro00000srgJqIAI</x:v>
      </x:c>
      <x:c r="C1367" s="117" t="str">
        <x:v>301Ro000011QvROIA0</x:v>
      </x:c>
      <x:c r="D1367" s="118" t="n">
        <x:v>13</x:v>
      </x:c>
      <x:c r="E1367" s="117" t="str">
        <x:v>Obsolete</x:v>
      </x:c>
      <x:c r="F1367" s="117" t="str">
        <x:v>No</x:v>
      </x:c>
      <x:c r="G1367" s="117" t="str">
        <x:v>No</x:v>
      </x:c>
      <x:c r="H1367" s="117" t="str">
        <x:v>FieldServiceMobile</x:v>
      </x:c>
      <x:c r="I1367" s="118"/>
      <x:c r="J1367" s="117" t="str">
        <x:v>unmanaged</x:v>
      </x:c>
      <x:c r="K1367" s="123" t="b">
        <x:v>0</x:v>
      </x:c>
      <x:c r="L1367" s="117"/>
      <x:c r="M1367" s="118"/>
      <x:c r="N1367" s="120" t="n">
        <x:v>46106.424479166664</x:v>
      </x:c>
      <x:c r="O1367" s="117" t="str">
        <x:v>Sacha Pearce</x:v>
      </x:c>
      <x:c r="P1367" s="120" t="n">
        <x:v>46106.42458333333</x:v>
      </x:c>
      <x:c r="Q1367" s="117" t="str">
        <x:v>Sacha Pearce</x:v>
      </x:c>
      <x:c r="R1367" s="117" t="str">
        <x:v>FSL - Service Appointment - Collect Assets</x:v>
      </x:c>
      <x:c r="S1367" s="119" t="str">
        <x:v>25/03/2026 - SP - updating the "formulaAssetToAdd" to work on mobile</x:v>
      </x:c>
    </x:row>
    <x:row r="1368" ht="30" customHeight="1">
      <x:c r="A1368" s="117" t="str">
        <x:v>FSL_Service_Appointment_Collect_Assets</x:v>
      </x:c>
      <x:c r="B1368" s="117" t="str">
        <x:v>300Ro00000srgJqIAI</x:v>
      </x:c>
      <x:c r="C1368" s="117" t="str">
        <x:v>301Ro000011R6l4IAC</x:v>
      </x:c>
      <x:c r="D1368" s="118" t="n">
        <x:v>14</x:v>
      </x:c>
      <x:c r="E1368" s="117" t="str">
        <x:v>Obsolete</x:v>
      </x:c>
      <x:c r="F1368" s="117" t="str">
        <x:v>No</x:v>
      </x:c>
      <x:c r="G1368" s="117" t="str">
        <x:v>No</x:v>
      </x:c>
      <x:c r="H1368" s="117" t="str">
        <x:v>FieldServiceMobile</x:v>
      </x:c>
      <x:c r="I1368" s="118"/>
      <x:c r="J1368" s="117" t="str">
        <x:v>unmanaged</x:v>
      </x:c>
      <x:c r="K1368" s="123" t="b">
        <x:v>0</x:v>
      </x:c>
      <x:c r="L1368" s="117"/>
      <x:c r="M1368" s="118"/>
      <x:c r="N1368" s="120" t="n">
        <x:v>46106.431076388886</x:v>
      </x:c>
      <x:c r="O1368" s="117" t="str">
        <x:v>Sacha Pearce</x:v>
      </x:c>
      <x:c r="P1368" s="120" t="n">
        <x:v>46106.43115740741</x:v>
      </x:c>
      <x:c r="Q1368" s="117" t="str">
        <x:v>Sacha Pearce</x:v>
      </x:c>
      <x:c r="R1368" s="117" t="str">
        <x:v>FSL - Service Appointment - Collect Assets</x:v>
      </x:c>
      <x:c r="S1368" s="119" t="str">
        <x:v>25/03/2026 - SP - updating the "formulaAssetToAdd" to work on mobile</x:v>
      </x:c>
    </x:row>
    <x:row r="1369" ht="30" customHeight="1">
      <x:c r="A1369" s="117" t="str">
        <x:v>FSL_Service_Appointment_Collect_Assets</x:v>
      </x:c>
      <x:c r="B1369" s="117" t="str">
        <x:v>300Ro00000srgJqIAI</x:v>
      </x:c>
      <x:c r="C1369" s="117" t="str">
        <x:v>301Ro000011QqubIAC</x:v>
      </x:c>
      <x:c r="D1369" s="118" t="n">
        <x:v>15</x:v>
      </x:c>
      <x:c r="E1369" s="117" t="str">
        <x:v>Obsolete</x:v>
      </x:c>
      <x:c r="F1369" s="117" t="str">
        <x:v>No</x:v>
      </x:c>
      <x:c r="G1369" s="117" t="str">
        <x:v>No</x:v>
      </x:c>
      <x:c r="H1369" s="117" t="str">
        <x:v>FieldServiceMobile</x:v>
      </x:c>
      <x:c r="I1369" s="118"/>
      <x:c r="J1369" s="117" t="str">
        <x:v>unmanaged</x:v>
      </x:c>
      <x:c r="K1369" s="123" t="b">
        <x:v>0</x:v>
      </x:c>
      <x:c r="L1369" s="117"/>
      <x:c r="M1369" s="118"/>
      <x:c r="N1369" s="120" t="n">
        <x:v>46106.431435185186</x:v>
      </x:c>
      <x:c r="O1369" s="117" t="str">
        <x:v>Sacha Pearce</x:v>
      </x:c>
      <x:c r="P1369" s="120" t="n">
        <x:v>46106.431493055556</x:v>
      </x:c>
      <x:c r="Q1369" s="117" t="str">
        <x:v>Sacha Pearce</x:v>
      </x:c>
      <x:c r="R1369" s="117" t="str">
        <x:v>FSL - Service Appointment - Collect Assets</x:v>
      </x:c>
      <x:c r="S1369" s="119" t="str">
        <x:v>25/03/2026 - SP - updating the "formulaAssetToAdd" to work on mobile</x:v>
      </x:c>
    </x:row>
    <x:row r="1370" ht="30" customHeight="1">
      <x:c r="A1370" s="117" t="str">
        <x:v>FSL_Service_Appointment_Collect_Assets</x:v>
      </x:c>
      <x:c r="B1370" s="117" t="str">
        <x:v>300Ro00000srgJqIAI</x:v>
      </x:c>
      <x:c r="C1370" s="117" t="str">
        <x:v>301Ro000011QvXfIAK</x:v>
      </x:c>
      <x:c r="D1370" s="118" t="n">
        <x:v>16</x:v>
      </x:c>
      <x:c r="E1370" s="117" t="str">
        <x:v>Obsolete</x:v>
      </x:c>
      <x:c r="F1370" s="117" t="str">
        <x:v>No</x:v>
      </x:c>
      <x:c r="G1370" s="117" t="str">
        <x:v>No</x:v>
      </x:c>
      <x:c r="H1370" s="117" t="str">
        <x:v>FieldServiceMobile</x:v>
      </x:c>
      <x:c r="I1370" s="118"/>
      <x:c r="J1370" s="117" t="str">
        <x:v>unmanaged</x:v>
      </x:c>
      <x:c r="K1370" s="123" t="b">
        <x:v>0</x:v>
      </x:c>
      <x:c r="L1370" s="117"/>
      <x:c r="M1370" s="118"/>
      <x:c r="N1370" s="120" t="n">
        <x:v>46106.43349537037</x:v>
      </x:c>
      <x:c r="O1370" s="117" t="str">
        <x:v>Sacha Pearce</x:v>
      </x:c>
      <x:c r="P1370" s="120" t="n">
        <x:v>46106.43355324074</x:v>
      </x:c>
      <x:c r="Q1370" s="117" t="str">
        <x:v>Sacha Pearce</x:v>
      </x:c>
      <x:c r="R1370" s="117" t="str">
        <x:v>FSL - Service Appointment - Collect Assets</x:v>
      </x:c>
      <x:c r="S1370" s="119" t="str">
        <x:v>25/03/2026 - SP - updating the "formulaAssetToAdd" to work on mobile</x:v>
      </x:c>
    </x:row>
    <x:row r="1371" ht="30" customHeight="1">
      <x:c r="A1371" s="117" t="str">
        <x:v>FSL_Service_Appointment_Collect_Assets</x:v>
      </x:c>
      <x:c r="B1371" s="117" t="str">
        <x:v>300Ro00000srgJqIAI</x:v>
      </x:c>
      <x:c r="C1371" s="117" t="str">
        <x:v>301Ro000011RB9eIAG</x:v>
      </x:c>
      <x:c r="D1371" s="118" t="n">
        <x:v>17</x:v>
      </x:c>
      <x:c r="E1371" s="117" t="str">
        <x:v>Obsolete</x:v>
      </x:c>
      <x:c r="F1371" s="117" t="str">
        <x:v>No</x:v>
      </x:c>
      <x:c r="G1371" s="117" t="str">
        <x:v>No</x:v>
      </x:c>
      <x:c r="H1371" s="117" t="str">
        <x:v>FieldServiceMobile</x:v>
      </x:c>
      <x:c r="I1371" s="118"/>
      <x:c r="J1371" s="117" t="str">
        <x:v>unmanaged</x:v>
      </x:c>
      <x:c r="K1371" s="123" t="b">
        <x:v>0</x:v>
      </x:c>
      <x:c r="L1371" s="117"/>
      <x:c r="M1371" s="118"/>
      <x:c r="N1371" s="120" t="n">
        <x:v>46106.443923611114</x:v>
      </x:c>
      <x:c r="O1371" s="117" t="str">
        <x:v>Sacha Pearce</x:v>
      </x:c>
      <x:c r="P1371" s="120" t="n">
        <x:v>46106.444247685184</x:v>
      </x:c>
      <x:c r="Q1371" s="117" t="str">
        <x:v>Sacha Pearce</x:v>
      </x:c>
      <x:c r="R1371" s="117" t="str">
        <x:v>FSL - Service Appointment - Collect Assets</x:v>
      </x:c>
      <x:c r="S1371" s="119" t="str">
        <x:v>25/03/2026 - SP - updating the "formulaAssetToAdd" to work on mobile</x:v>
      </x:c>
    </x:row>
    <x:row r="1372" ht="30" customHeight="1">
      <x:c r="A1372" s="117" t="str">
        <x:v>FSL_Service_Appointment_Collect_Assets</x:v>
      </x:c>
      <x:c r="B1372" s="117" t="str">
        <x:v>300Ro00000srgJqIAI</x:v>
      </x:c>
      <x:c r="C1372" s="117" t="str">
        <x:v>301Ro000011RFhrIAG</x:v>
      </x:c>
      <x:c r="D1372" s="118" t="n">
        <x:v>18</x:v>
      </x:c>
      <x:c r="E1372" s="117" t="str">
        <x:v>Obsolete</x:v>
      </x:c>
      <x:c r="F1372" s="117" t="str">
        <x:v>No</x:v>
      </x:c>
      <x:c r="G1372" s="117" t="str">
        <x:v>No</x:v>
      </x:c>
      <x:c r="H1372" s="117" t="str">
        <x:v>FieldServiceMobile</x:v>
      </x:c>
      <x:c r="I1372" s="118"/>
      <x:c r="J1372" s="117" t="str">
        <x:v>unmanaged</x:v>
      </x:c>
      <x:c r="K1372" s="123" t="b">
        <x:v>0</x:v>
      </x:c>
      <x:c r="L1372" s="117"/>
      <x:c r="M1372" s="118"/>
      <x:c r="N1372" s="120" t="n">
        <x:v>46106.451145833336</x:v>
      </x:c>
      <x:c r="O1372" s="117" t="str">
        <x:v>Sacha Pearce</x:v>
      </x:c>
      <x:c r="P1372" s="120" t="n">
        <x:v>46106.45119212963</x:v>
      </x:c>
      <x:c r="Q1372" s="117" t="str">
        <x:v>Sacha Pearce</x:v>
      </x:c>
      <x:c r="R1372" s="117" t="str">
        <x:v>FSL - Service Appointment - Collect Assets</x:v>
      </x:c>
      <x:c r="S1372" s="119" t="str">
        <x:v>25/03/2026 - SP - updating the "formulaAssetToAdd" to work on mobile</x:v>
      </x:c>
    </x:row>
    <x:row r="1373" ht="30" customHeight="1">
      <x:c r="A1373" s="117" t="str">
        <x:v>FSL_Service_Appointment_Collect_Assets</x:v>
      </x:c>
      <x:c r="B1373" s="117" t="str">
        <x:v>300Ro00000srgJqIAI</x:v>
      </x:c>
      <x:c r="C1373" s="117" t="str">
        <x:v>301Ro000011VoaZIAS</x:v>
      </x:c>
      <x:c r="D1373" s="118" t="n">
        <x:v>19</x:v>
      </x:c>
      <x:c r="E1373" s="117" t="str">
        <x:v>Active</x:v>
      </x:c>
      <x:c r="F1373" s="117" t="str">
        <x:v>Yes</x:v>
      </x:c>
      <x:c r="G1373" s="117" t="str">
        <x:v>Yes</x:v>
      </x:c>
      <x:c r="H1373" s="117" t="str">
        <x:v>FieldServiceMobile</x:v>
      </x:c>
      <x:c r="I1373" s="118"/>
      <x:c r="J1373" s="117" t="str">
        <x:v>unmanaged</x:v>
      </x:c>
      <x:c r="K1373" s="123" t="b">
        <x:v>0</x:v>
      </x:c>
      <x:c r="L1373" s="117"/>
      <x:c r="M1373" s="118"/>
      <x:c r="N1373" s="120" t="n">
        <x:v>46106.86739583333</x:v>
      </x:c>
      <x:c r="O1373" s="117" t="str">
        <x:v>Sacha Pearce</x:v>
      </x:c>
      <x:c r="P1373" s="120" t="n">
        <x:v>46106.86746527778</x:v>
      </x:c>
      <x:c r="Q1373" s="117" t="str">
        <x:v>Sacha Pearce</x:v>
      </x:c>
      <x:c r="R1373" s="117" t="str">
        <x:v>FSL - Service Appointment - Collect Assets</x:v>
      </x:c>
      <x:c r="S1373" s="119" t="str">
        <x:v>25/03/2026 - SP - updating the "formulaAssetToAdd" to work on mobile</x:v>
      </x:c>
    </x:row>
    <x:row r="1374" ht="30" customHeight="1">
      <x:c r="A1374" s="117" t="str">
        <x:v>FSL_Service_Appointment_Work_Order_Country_Checker</x:v>
      </x:c>
      <x:c r="B1374" s="117" t="str">
        <x:v>300Ro00000qOn88IAC</x:v>
      </x:c>
      <x:c r="C1374" s="117" t="str">
        <x:v>301Ro00000xxKp6IAE</x:v>
      </x:c>
      <x:c r="D1374" s="118" t="n">
        <x:v>1</x:v>
      </x:c>
      <x:c r="E1374" s="117" t="str">
        <x:v>Obsolete</x:v>
      </x:c>
      <x:c r="F1374" s="117" t="str">
        <x:v>No</x:v>
      </x:c>
      <x:c r="G1374" s="117" t="str">
        <x:v>No</x:v>
      </x:c>
      <x:c r="H1374" s="117" t="str">
        <x:v>AutoLaunchedFlow</x:v>
      </x:c>
      <x:c r="I1374" s="118" t="n">
        <x:v>65</x:v>
      </x:c>
      <x:c r="J1374" s="117" t="str">
        <x:v>unmanaged</x:v>
      </x:c>
      <x:c r="K1374" s="123" t="b">
        <x:v>0</x:v>
      </x:c>
      <x:c r="L1374" s="117"/>
      <x:c r="M1374" s="118"/>
      <x:c r="N1374" s="120" t="n">
        <x:v>46063.57361111111</x:v>
      </x:c>
      <x:c r="O1374" s="117" t="str">
        <x:v>Sacha Pearce</x:v>
      </x:c>
      <x:c r="P1374" s="120" t="n">
        <x:v>46063.57487268518</x:v>
      </x:c>
      <x:c r="Q1374" s="117" t="str">
        <x:v>Sacha Pearce</x:v>
      </x:c>
      <x:c r="R1374" s="117" t="str">
        <x:v>FSL - Service Appointment - Work Order Country Checker</x:v>
      </x:c>
      <x:c r="S1374" s="119"/>
    </x:row>
    <x:row r="1375" ht="30" customHeight="1">
      <x:c r="A1375" s="117" t="str">
        <x:v>FSL_Service_Appointment_Work_Order_Country_Checker</x:v>
      </x:c>
      <x:c r="B1375" s="117" t="str">
        <x:v>300Ro00000qOn88IAC</x:v>
      </x:c>
      <x:c r="C1375" s="117" t="str">
        <x:v>301Ro000010zBHQIA2</x:v>
      </x:c>
      <x:c r="D1375" s="118" t="n">
        <x:v>2</x:v>
      </x:c>
      <x:c r="E1375" s="117" t="str">
        <x:v>Active</x:v>
      </x:c>
      <x:c r="F1375" s="117" t="str">
        <x:v>Yes</x:v>
      </x:c>
      <x:c r="G1375" s="117" t="str">
        <x:v>Yes</x:v>
      </x:c>
      <x:c r="H1375" s="117" t="str">
        <x:v>AutoLaunchedFlow</x:v>
      </x:c>
      <x:c r="I1375" s="118" t="n">
        <x:v>65</x:v>
      </x:c>
      <x:c r="J1375" s="117" t="str">
        <x:v>unmanaged</x:v>
      </x:c>
      <x:c r="K1375" s="123" t="b">
        <x:v>0</x:v>
      </x:c>
      <x:c r="L1375" s="117"/>
      <x:c r="M1375" s="118"/>
      <x:c r="N1375" s="120" t="n">
        <x:v>46100.709814814814</x:v>
      </x:c>
      <x:c r="O1375" s="117" t="str">
        <x:v>Sacha Pearce</x:v>
      </x:c>
      <x:c r="P1375" s="120" t="n">
        <x:v>46100.71115740741</x:v>
      </x:c>
      <x:c r="Q1375" s="117" t="str">
        <x:v>Sacha Pearce</x:v>
      </x:c>
      <x:c r="R1375" s="117" t="str">
        <x:v>FSL - Service Appointment - Work Order Country Checker</x:v>
      </x:c>
      <x:c r="S1375" s="119" t="str">
        <x:v>This Flow exists to update the Work Order "Country" field when a Service Appointment is moved to "Dispatched". Currently the "Country" field defaults to "United States" which sends engineers based in the UK down the "United States" route when trying to close a Service Appointment.</x:v>
      </x:c>
    </x:row>
    <x:row r="1376" ht="30" customHeight="1">
      <x:c r="A1376" s="117" t="str">
        <x:v>FSL_Set_Service_Report_Layout_ID_on_Checklist_Type_Update</x:v>
      </x:c>
      <x:c r="B1376" s="117" t="str">
        <x:v>300Ro00000otBqsIAE</x:v>
      </x:c>
      <x:c r="C1376" s="117" t="str">
        <x:v>301Ro00000wLKySIAW</x:v>
      </x:c>
      <x:c r="D1376" s="118" t="n">
        <x:v>1</x:v>
      </x:c>
      <x:c r="E1376" s="117" t="str">
        <x:v>Obsolete</x:v>
      </x:c>
      <x:c r="F1376" s="117" t="str">
        <x:v>No</x:v>
      </x:c>
      <x:c r="G1376" s="117" t="str">
        <x:v>No</x:v>
      </x:c>
      <x:c r="H1376" s="117" t="str">
        <x:v>AutoLaunchedFlow</x:v>
      </x:c>
      <x:c r="I1376" s="118" t="n">
        <x:v>65</x:v>
      </x:c>
      <x:c r="J1376" s="117" t="str">
        <x:v>unmanaged</x:v>
      </x:c>
      <x:c r="K1376" s="123" t="b">
        <x:v>0</x:v>
      </x:c>
      <x:c r="L1376" s="117"/>
      <x:c r="M1376" s="118"/>
      <x:c r="N1376" s="120" t="n">
        <x:v>46044.87332175926</x:v>
      </x:c>
      <x:c r="O1376" s="117" t="str">
        <x:v>Sacha Pearce</x:v>
      </x:c>
      <x:c r="P1376" s="120" t="n">
        <x:v>46044.87451388889</x:v>
      </x:c>
      <x:c r="Q1376" s="117" t="str">
        <x:v>Sacha Pearce</x:v>
      </x:c>
      <x:c r="R1376" s="117" t="str">
        <x:v>FSL - Set Service Report Layout ID on Checklist Type Update</x:v>
      </x:c>
      <x:c r="S1376" s="119"/>
    </x:row>
    <x:row r="1377" ht="30" customHeight="1">
      <x:c r="A1377" s="117" t="str">
        <x:v>FSL_Set_Service_Report_Layout_ID_on_Checklist_Type_Update</x:v>
      </x:c>
      <x:c r="B1377" s="117" t="str">
        <x:v>300Ro00000otBqsIAE</x:v>
      </x:c>
      <x:c r="C1377" s="117" t="str">
        <x:v>301Ro00000wOma2IAC</x:v>
      </x:c>
      <x:c r="D1377" s="118" t="n">
        <x:v>2</x:v>
      </x:c>
      <x:c r="E1377" s="117" t="str">
        <x:v>Obsolete</x:v>
      </x:c>
      <x:c r="F1377" s="117" t="str">
        <x:v>No</x:v>
      </x:c>
      <x:c r="G1377" s="117" t="str">
        <x:v>No</x:v>
      </x:c>
      <x:c r="H1377" s="117" t="str">
        <x:v>AutoLaunchedFlow</x:v>
      </x:c>
      <x:c r="I1377" s="118" t="n">
        <x:v>65</x:v>
      </x:c>
      <x:c r="J1377" s="117" t="str">
        <x:v>unmanaged</x:v>
      </x:c>
      <x:c r="K1377" s="123" t="b">
        <x:v>0</x:v>
      </x:c>
      <x:c r="L1377" s="117"/>
      <x:c r="M1377" s="118"/>
      <x:c r="N1377" s="120" t="n">
        <x:v>46045.47443287037</x:v>
      </x:c>
      <x:c r="O1377" s="117" t="str">
        <x:v>Sacha Pearce</x:v>
      </x:c>
      <x:c r="P1377" s="120" t="n">
        <x:v>46045.487025462964</x:v>
      </x:c>
      <x:c r="Q1377" s="117" t="str">
        <x:v>Sacha Pearce</x:v>
      </x:c>
      <x:c r="R1377" s="117" t="str">
        <x:v>FSL - Set Service Report Layout ID on Checklist Type Update</x:v>
      </x:c>
      <x:c r="S1377" s="119" t="str">
        <x:v>23/01/2026 - V2 - SP - Introducing CT to the supported templates</x:v>
      </x:c>
    </x:row>
    <x:row r="1378" ht="30" customHeight="1">
      <x:c r="A1378" s="117" t="str">
        <x:v>FSL_Set_Service_Report_Layout_ID_on_Checklist_Type_Update</x:v>
      </x:c>
      <x:c r="B1378" s="117" t="str">
        <x:v>300Ro00000otBqsIAE</x:v>
      </x:c>
      <x:c r="C1378" s="117" t="str">
        <x:v>301Ro00000wPZh7IAG</x:v>
      </x:c>
      <x:c r="D1378" s="118" t="n">
        <x:v>3</x:v>
      </x:c>
      <x:c r="E1378" s="117" t="str">
        <x:v>Obsolete</x:v>
      </x:c>
      <x:c r="F1378" s="117" t="str">
        <x:v>No</x:v>
      </x:c>
      <x:c r="G1378" s="117" t="str">
        <x:v>No</x:v>
      </x:c>
      <x:c r="H1378" s="117" t="str">
        <x:v>AutoLaunchedFlow</x:v>
      </x:c>
      <x:c r="I1378" s="118" t="n">
        <x:v>65</x:v>
      </x:c>
      <x:c r="J1378" s="117" t="str">
        <x:v>unmanaged</x:v>
      </x:c>
      <x:c r="K1378" s="123" t="b">
        <x:v>0</x:v>
      </x:c>
      <x:c r="L1378" s="117"/>
      <x:c r="M1378" s="118"/>
      <x:c r="N1378" s="120" t="n">
        <x:v>46045.57366898148</x:v>
      </x:c>
      <x:c r="O1378" s="117" t="str">
        <x:v>Sacha Pearce</x:v>
      </x:c>
      <x:c r="P1378" s="120" t="n">
        <x:v>46045.57377314815</x:v>
      </x:c>
      <x:c r="Q1378" s="117" t="str">
        <x:v>Sacha Pearce</x:v>
      </x:c>
      <x:c r="R1378" s="117" t="str">
        <x:v>FSL - Set Service Report Layout ID on Checklist Type Update</x:v>
      </x:c>
      <x:c r="S1378" s="119" t="str">
        <x:v>23/01/2026 - V2 - SP - Introducing CT to the supported templates
23/01/2026 - V3 - SP - Introducing Cardio Labs to the suppoerted templates</x:v>
      </x:c>
    </x:row>
    <x:row r="1379" ht="30" customHeight="1">
      <x:c r="A1379" s="117" t="str">
        <x:v>FSL_Set_Service_Report_Layout_ID_on_Checklist_Type_Update</x:v>
      </x:c>
      <x:c r="B1379" s="117" t="str">
        <x:v>300Ro00000otBqsIAE</x:v>
      </x:c>
      <x:c r="C1379" s="117" t="str">
        <x:v>301Ro00000wVtV3IAK</x:v>
      </x:c>
      <x:c r="D1379" s="118" t="n">
        <x:v>4</x:v>
      </x:c>
      <x:c r="E1379" s="117" t="str">
        <x:v>Obsolete</x:v>
      </x:c>
      <x:c r="F1379" s="117" t="str">
        <x:v>No</x:v>
      </x:c>
      <x:c r="G1379" s="117" t="str">
        <x:v>No</x:v>
      </x:c>
      <x:c r="H1379" s="117" t="str">
        <x:v>AutoLaunchedFlow</x:v>
      </x:c>
      <x:c r="I1379" s="118" t="n">
        <x:v>65</x:v>
      </x:c>
      <x:c r="J1379" s="117" t="str">
        <x:v>unmanaged</x:v>
      </x:c>
      <x:c r="K1379" s="123" t="b">
        <x:v>0</x:v>
      </x:c>
      <x:c r="L1379" s="117"/>
      <x:c r="M1379" s="118"/>
      <x:c r="N1379" s="120" t="n">
        <x:v>46046.518541666665</x:v>
      </x:c>
      <x:c r="O1379" s="117" t="str">
        <x:v>Sacha Pearce</x:v>
      </x:c>
      <x:c r="P1379" s="120" t="n">
        <x:v>46046.51862268519</x:v>
      </x:c>
      <x:c r="Q1379" s="117" t="str">
        <x:v>Sacha Pearce</x:v>
      </x:c>
      <x:c r="R1379" s="117" t="str">
        <x:v>FSL - Set Service Report Layout ID on Checklist Type Update</x:v>
      </x:c>
      <x:c r="S1379" s="119" t="str">
        <x:v>23/01/2026 - V2 - SP - Introducing CT to the supported templates
24/01/2026 - V4 - SP - Introducing Cardio Labs to the suppoerted templates</x:v>
      </x:c>
    </x:row>
    <x:row r="1380" ht="30" customHeight="1">
      <x:c r="A1380" s="117" t="str">
        <x:v>FSL_Set_Service_Report_Layout_ID_on_Checklist_Type_Update</x:v>
      </x:c>
      <x:c r="B1380" s="117" t="str">
        <x:v>300Ro00000otBqsIAE</x:v>
      </x:c>
      <x:c r="C1380" s="117" t="str">
        <x:v>301Ro00000wVtV5IAK</x:v>
      </x:c>
      <x:c r="D1380" s="118" t="n">
        <x:v>5</x:v>
      </x:c>
      <x:c r="E1380" s="117" t="str">
        <x:v>Obsolete</x:v>
      </x:c>
      <x:c r="F1380" s="117" t="str">
        <x:v>No</x:v>
      </x:c>
      <x:c r="G1380" s="117" t="str">
        <x:v>No</x:v>
      </x:c>
      <x:c r="H1380" s="117" t="str">
        <x:v>AutoLaunchedFlow</x:v>
      </x:c>
      <x:c r="I1380" s="118" t="n">
        <x:v>65</x:v>
      </x:c>
      <x:c r="J1380" s="117" t="str">
        <x:v>unmanaged</x:v>
      </x:c>
      <x:c r="K1380" s="123" t="b">
        <x:v>0</x:v>
      </x:c>
      <x:c r="L1380" s="117"/>
      <x:c r="M1380" s="118"/>
      <x:c r="N1380" s="120" t="n">
        <x:v>46046.525972222225</x:v>
      </x:c>
      <x:c r="O1380" s="117" t="str">
        <x:v>Sacha Pearce</x:v>
      </x:c>
      <x:c r="P1380" s="120" t="n">
        <x:v>46046.526087962964</x:v>
      </x:c>
      <x:c r="Q1380" s="117" t="str">
        <x:v>Sacha Pearce</x:v>
      </x:c>
      <x:c r="R1380" s="117" t="str">
        <x:v>FSL - Set Service Report Layout ID on Checklist Type Update</x:v>
      </x:c>
      <x:c r="S1380" s="119" t="str">
        <x:v>23/01/2026 - V2 - SP - Introducing CT to the supported templates
24/01/2026 - V4 - SP - Introducing Cardio Labs to the supported templates
24/01/2026 - V5 - SP - Introducing Static X-Ray CR to the supported templates</x:v>
      </x:c>
    </x:row>
    <x:row r="1381" ht="30" customHeight="1">
      <x:c r="A1381" s="117" t="str">
        <x:v>FSL_Set_Service_Report_Layout_ID_on_Checklist_Type_Update</x:v>
      </x:c>
      <x:c r="B1381" s="117" t="str">
        <x:v>300Ro00000otBqsIAE</x:v>
      </x:c>
      <x:c r="C1381" s="117" t="str">
        <x:v>301Ro00000wVu9OIAS</x:v>
      </x:c>
      <x:c r="D1381" s="118" t="n">
        <x:v>6</x:v>
      </x:c>
      <x:c r="E1381" s="117" t="str">
        <x:v>Obsolete</x:v>
      </x:c>
      <x:c r="F1381" s="117" t="str">
        <x:v>No</x:v>
      </x:c>
      <x:c r="G1381" s="117" t="str">
        <x:v>No</x:v>
      </x:c>
      <x:c r="H1381" s="117" t="str">
        <x:v>AutoLaunchedFlow</x:v>
      </x:c>
      <x:c r="I1381" s="118" t="n">
        <x:v>65</x:v>
      </x:c>
      <x:c r="J1381" s="117" t="str">
        <x:v>unmanaged</x:v>
      </x:c>
      <x:c r="K1381" s="123" t="b">
        <x:v>0</x:v>
      </x:c>
      <x:c r="L1381" s="117"/>
      <x:c r="M1381" s="118"/>
      <x:c r="N1381" s="120" t="n">
        <x:v>46046.528715277775</x:v>
      </x:c>
      <x:c r="O1381" s="117" t="str">
        <x:v>Sacha Pearce</x:v>
      </x:c>
      <x:c r="P1381" s="120" t="n">
        <x:v>46046.528761574074</x:v>
      </x:c>
      <x:c r="Q1381" s="117" t="str">
        <x:v>Sacha Pearce</x:v>
      </x:c>
      <x:c r="R1381" s="117" t="str">
        <x:v>FSL - Set Service Report Layout ID on Checklist Type Update</x:v>
      </x:c>
      <x:c r="S1381" s="119" t="str">
        <x:v>23/01/2026 - V2 - SP - Introducing CT to the supported templates
24/01/2026 - V4 - SP - Introducing Cardio Labs to the supported templates
24/01/2026 - V6 - SP - Introducing Static X-Ray CR to the supported templates</x:v>
      </x:c>
    </x:row>
    <x:row r="1382" ht="30" customHeight="1">
      <x:c r="A1382" s="117" t="str">
        <x:v>FSL_Set_Service_Report_Layout_ID_on_Checklist_Type_Update</x:v>
      </x:c>
      <x:c r="B1382" s="117" t="str">
        <x:v>300Ro00000otBqsIAE</x:v>
      </x:c>
      <x:c r="C1382" s="117" t="str">
        <x:v>301Ro00000wVtlfIAC</x:v>
      </x:c>
      <x:c r="D1382" s="118" t="n">
        <x:v>7</x:v>
      </x:c>
      <x:c r="E1382" s="117" t="str">
        <x:v>Obsolete</x:v>
      </x:c>
      <x:c r="F1382" s="117" t="str">
        <x:v>No</x:v>
      </x:c>
      <x:c r="G1382" s="117" t="str">
        <x:v>No</x:v>
      </x:c>
      <x:c r="H1382" s="117" t="str">
        <x:v>AutoLaunchedFlow</x:v>
      </x:c>
      <x:c r="I1382" s="118" t="n">
        <x:v>65</x:v>
      </x:c>
      <x:c r="J1382" s="117" t="str">
        <x:v>unmanaged</x:v>
      </x:c>
      <x:c r="K1382" s="123" t="b">
        <x:v>0</x:v>
      </x:c>
      <x:c r="L1382" s="117"/>
      <x:c r="M1382" s="118"/>
      <x:c r="N1382" s="120" t="n">
        <x:v>46046.61417824074</x:v>
      </x:c>
      <x:c r="O1382" s="117" t="str">
        <x:v>Sacha Pearce</x:v>
      </x:c>
      <x:c r="P1382" s="120" t="n">
        <x:v>46046.61429398148</x:v>
      </x:c>
      <x:c r="Q1382" s="117" t="str">
        <x:v>Sacha Pearce</x:v>
      </x:c>
      <x:c r="R1382" s="117" t="str">
        <x:v>FSL - Set Service Report Layout ID on Checklist Type Update</x:v>
      </x:c>
      <x:c r="S1382" s="119" t="str">
        <x:v>23/01/2026 - V2 - SP - Introducing CT to the supported templates
24/01/2026 - V4 - SP - Introducing Cardio Labs to the supported templates
24/01/2026 - V6 - SP - Introducing Static X-Ray CR to the supported templates
24/01/2026 - V7 - SP - Introducing Intraoral to the supported templates</x:v>
      </x:c>
    </x:row>
    <x:row r="1383" ht="30" customHeight="1">
      <x:c r="A1383" s="117" t="str">
        <x:v>FSL_Set_Service_Report_Layout_ID_on_Checklist_Type_Update</x:v>
      </x:c>
      <x:c r="B1383" s="117" t="str">
        <x:v>300Ro00000otBqsIAE</x:v>
      </x:c>
      <x:c r="C1383" s="117" t="str">
        <x:v>301Ro00000wvRC6IAM</x:v>
      </x:c>
      <x:c r="D1383" s="118" t="n">
        <x:v>8</x:v>
      </x:c>
      <x:c r="E1383" s="117" t="str">
        <x:v>Obsolete</x:v>
      </x:c>
      <x:c r="F1383" s="117" t="str">
        <x:v>No</x:v>
      </x:c>
      <x:c r="G1383" s="117" t="str">
        <x:v>No</x:v>
      </x:c>
      <x:c r="H1383" s="117" t="str">
        <x:v>AutoLaunchedFlow</x:v>
      </x:c>
      <x:c r="I1383" s="118" t="n">
        <x:v>65</x:v>
      </x:c>
      <x:c r="J1383" s="117" t="str">
        <x:v>unmanaged</x:v>
      </x:c>
      <x:c r="K1383" s="123" t="b">
        <x:v>0</x:v>
      </x:c>
      <x:c r="L1383" s="117"/>
      <x:c r="M1383" s="118"/>
      <x:c r="N1383" s="120" t="n">
        <x:v>46051.487488425926</x:v>
      </x:c>
      <x:c r="O1383" s="117" t="str">
        <x:v>Sacha Pearce</x:v>
      </x:c>
      <x:c r="P1383" s="120" t="n">
        <x:v>46051.487546296295</x:v>
      </x:c>
      <x:c r="Q1383" s="117" t="str">
        <x:v>Sacha Pearce</x:v>
      </x:c>
      <x:c r="R1383" s="117" t="str">
        <x:v>FSL - Set Service Report Layout ID on Checklist Type Update</x:v>
      </x:c>
      <x:c r="S1383" s="119" t="str">
        <x:v>23/01/2026 - V2 - SP - Introducing CT to the supported templates
24/01/2026 - V4 - SP - Introducing Cardio Labs to the supported templates
24/01/2026 - V6 - SP - Introducing Static X-Ray CR to the supported templates
24/01/2026 - V7 - SP - Introducing Intraoral to the supported templates
29/01/2026 - V8 - SP - Adding additional supported Checklist Types and templates</x:v>
      </x:c>
    </x:row>
    <x:row r="1384" ht="30" customHeight="1">
      <x:c r="A1384" s="117" t="str">
        <x:v>FSL_Set_Service_Report_Layout_ID_on_Checklist_Type_Update</x:v>
      </x:c>
      <x:c r="B1384" s="117" t="str">
        <x:v>300Ro00000otBqsIAE</x:v>
      </x:c>
      <x:c r="C1384" s="117" t="str">
        <x:v>301Ro000011Xj8ZIAS</x:v>
      </x:c>
      <x:c r="D1384" s="118" t="n">
        <x:v>9</x:v>
      </x:c>
      <x:c r="E1384" s="117" t="str">
        <x:v>Obsolete</x:v>
      </x:c>
      <x:c r="F1384" s="117" t="str">
        <x:v>No</x:v>
      </x:c>
      <x:c r="G1384" s="117" t="str">
        <x:v>No</x:v>
      </x:c>
      <x:c r="H1384" s="117" t="str">
        <x:v>AutoLaunchedFlow</x:v>
      </x:c>
      <x:c r="I1384" s="118" t="n">
        <x:v>65</x:v>
      </x:c>
      <x:c r="J1384" s="117" t="str">
        <x:v>unmanaged</x:v>
      </x:c>
      <x:c r="K1384" s="123" t="b">
        <x:v>0</x:v>
      </x:c>
      <x:c r="L1384" s="117"/>
      <x:c r="M1384" s="118"/>
      <x:c r="N1384" s="120" t="n">
        <x:v>46107.37869212963</x:v>
      </x:c>
      <x:c r="O1384" s="117" t="str">
        <x:v>Sacha Pearce</x:v>
      </x:c>
      <x:c r="P1384" s="120" t="n">
        <x:v>46107.37892361111</x:v>
      </x:c>
      <x:c r="Q1384" s="117" t="str">
        <x:v>Sacha Pearce</x:v>
      </x:c>
      <x:c r="R1384" s="117" t="str">
        <x:v>FSL - Set Service Report Layout ID on Checklist Type Update</x:v>
      </x:c>
      <x:c r="S1384" s="119" t="str">
        <x:v>26/03/2026 - SP - Adding Ultrasound Pre-Contract Inspections</x:v>
      </x:c>
    </x:row>
    <x:row r="1385" ht="30" customHeight="1">
      <x:c r="A1385" s="117" t="str">
        <x:v>FSL_Set_Service_Report_Layout_ID_on_Checklist_Type_Update</x:v>
      </x:c>
      <x:c r="B1385" s="117" t="str">
        <x:v>300Ro00000otBqsIAE</x:v>
      </x:c>
      <x:c r="C1385" s="117" t="str">
        <x:v>301Ro000014i21hIAA</x:v>
      </x:c>
      <x:c r="D1385" s="118" t="n">
        <x:v>10</x:v>
      </x:c>
      <x:c r="E1385" s="117" t="str">
        <x:v>Obsolete</x:v>
      </x:c>
      <x:c r="F1385" s="117" t="str">
        <x:v>No</x:v>
      </x:c>
      <x:c r="G1385" s="117" t="str">
        <x:v>No</x:v>
      </x:c>
      <x:c r="H1385" s="117" t="str">
        <x:v>AutoLaunchedFlow</x:v>
      </x:c>
      <x:c r="I1385" s="118" t="n">
        <x:v>65</x:v>
      </x:c>
      <x:c r="J1385" s="117" t="str">
        <x:v>unmanaged</x:v>
      </x:c>
      <x:c r="K1385" s="123" t="b">
        <x:v>0</x:v>
      </x:c>
      <x:c r="L1385" s="117"/>
      <x:c r="M1385" s="118"/>
      <x:c r="N1385" s="120" t="n">
        <x:v>46145.79858796296</x:v>
      </x:c>
      <x:c r="O1385" s="117" t="str">
        <x:v>Sacha Pearce</x:v>
      </x:c>
      <x:c r="P1385" s="120" t="n">
        <x:v>46145.798738425925</x:v>
      </x:c>
      <x:c r="Q1385" s="117" t="str">
        <x:v>Sacha Pearce</x:v>
      </x:c>
      <x:c r="R1385" s="117" t="str">
        <x:v>FSL - Set Service Report Layout ID on Checklist Type Update</x:v>
      </x:c>
      <x:c r="S1385" s="119" t="str">
        <x:v>26/03/2026 - SP - Adding CR Reader.</x:v>
      </x:c>
    </x:row>
    <x:row r="1386" ht="30" customHeight="1">
      <x:c r="A1386" s="117" t="str">
        <x:v>FSL_Set_Service_Report_Layout_ID_on_Checklist_Type_Update</x:v>
      </x:c>
      <x:c r="B1386" s="117" t="str">
        <x:v>300Ro00000otBqsIAE</x:v>
      </x:c>
      <x:c r="C1386" s="117" t="str">
        <x:v>301Ro000014iys7IAA</x:v>
      </x:c>
      <x:c r="D1386" s="118" t="n">
        <x:v>11</x:v>
      </x:c>
      <x:c r="E1386" s="117" t="str">
        <x:v>Obsolete</x:v>
      </x:c>
      <x:c r="F1386" s="117" t="str">
        <x:v>No</x:v>
      </x:c>
      <x:c r="G1386" s="117" t="str">
        <x:v>No</x:v>
      </x:c>
      <x:c r="H1386" s="117" t="str">
        <x:v>AutoLaunchedFlow</x:v>
      </x:c>
      <x:c r="I1386" s="118" t="n">
        <x:v>65</x:v>
      </x:c>
      <x:c r="J1386" s="117" t="str">
        <x:v>unmanaged</x:v>
      </x:c>
      <x:c r="K1386" s="123" t="b">
        <x:v>0</x:v>
      </x:c>
      <x:c r="L1386" s="117"/>
      <x:c r="M1386" s="118"/>
      <x:c r="N1386" s="120" t="n">
        <x:v>46146.35192129629</x:v>
      </x:c>
      <x:c r="O1386" s="117" t="str">
        <x:v>Sacha Pearce</x:v>
      </x:c>
      <x:c r="P1386" s="120" t="n">
        <x:v>46146.35197916667</x:v>
      </x:c>
      <x:c r="Q1386" s="117" t="str">
        <x:v>Sacha Pearce</x:v>
      </x:c>
      <x:c r="R1386" s="117" t="str">
        <x:v>FSL - Set Service Report Layout ID on Checklist Type Update</x:v>
      </x:c>
      <x:c r="S1386" s="119" t="str">
        <x:v>26/03/2026 - SP - Adding CR Reader.</x:v>
      </x:c>
    </x:row>
    <x:row r="1387" ht="30" customHeight="1">
      <x:c r="A1387" s="117" t="str">
        <x:v>FSL_Set_Service_Report_Layout_ID_on_Checklist_Type_Update</x:v>
      </x:c>
      <x:c r="B1387" s="117" t="str">
        <x:v>300Ro00000otBqsIAE</x:v>
      </x:c>
      <x:c r="C1387" s="117" t="str">
        <x:v>301Ro000014z6gqIAA</x:v>
      </x:c>
      <x:c r="D1387" s="118" t="n">
        <x:v>12</x:v>
      </x:c>
      <x:c r="E1387" s="117" t="str">
        <x:v>Obsolete</x:v>
      </x:c>
      <x:c r="F1387" s="117" t="str">
        <x:v>No</x:v>
      </x:c>
      <x:c r="G1387" s="117" t="str">
        <x:v>No</x:v>
      </x:c>
      <x:c r="H1387" s="117" t="str">
        <x:v>AutoLaunchedFlow</x:v>
      </x:c>
      <x:c r="I1387" s="118" t="n">
        <x:v>65</x:v>
      </x:c>
      <x:c r="J1387" s="117" t="str">
        <x:v>unmanaged</x:v>
      </x:c>
      <x:c r="K1387" s="123" t="b">
        <x:v>0</x:v>
      </x:c>
      <x:c r="L1387" s="117"/>
      <x:c r="M1387" s="118"/>
      <x:c r="N1387" s="120" t="n">
        <x:v>46148.86634259259</x:v>
      </x:c>
      <x:c r="O1387" s="117" t="str">
        <x:v>Sacha Pearce</x:v>
      </x:c>
      <x:c r="P1387" s="120" t="n">
        <x:v>46148.86641203704</x:v>
      </x:c>
      <x:c r="Q1387" s="117" t="str">
        <x:v>Sacha Pearce</x:v>
      </x:c>
      <x:c r="R1387" s="117" t="str">
        <x:v>FSL - Set Service Report Layout ID on Checklist Type Update</x:v>
      </x:c>
      <x:c r="S1387" s="119" t="str">
        <x:v>26/03/2026 - SP - Adding Nuclear Medicine.</x:v>
      </x:c>
    </x:row>
    <x:row r="1388" ht="30" customHeight="1">
      <x:c r="A1388" s="117" t="str">
        <x:v>FSL_Set_Service_Report_Layout_ID_on_Checklist_Type_Update</x:v>
      </x:c>
      <x:c r="B1388" s="117" t="str">
        <x:v>300Ro00000otBqsIAE</x:v>
      </x:c>
      <x:c r="C1388" s="117" t="str">
        <x:v>301Ro000014zkkfIAA</x:v>
      </x:c>
      <x:c r="D1388" s="118" t="n">
        <x:v>13</x:v>
      </x:c>
      <x:c r="E1388" s="117" t="str">
        <x:v>Obsolete</x:v>
      </x:c>
      <x:c r="F1388" s="117" t="str">
        <x:v>No</x:v>
      </x:c>
      <x:c r="G1388" s="117" t="str">
        <x:v>No</x:v>
      </x:c>
      <x:c r="H1388" s="117" t="str">
        <x:v>AutoLaunchedFlow</x:v>
      </x:c>
      <x:c r="I1388" s="118" t="n">
        <x:v>65</x:v>
      </x:c>
      <x:c r="J1388" s="117" t="str">
        <x:v>unmanaged</x:v>
      </x:c>
      <x:c r="K1388" s="123" t="b">
        <x:v>0</x:v>
      </x:c>
      <x:c r="L1388" s="117"/>
      <x:c r="M1388" s="118"/>
      <x:c r="N1388" s="120" t="n">
        <x:v>46148.89648148148</x:v>
      </x:c>
      <x:c r="O1388" s="117" t="str">
        <x:v>Sacha Pearce</x:v>
      </x:c>
      <x:c r="P1388" s="120" t="n">
        <x:v>46148.89655092593</x:v>
      </x:c>
      <x:c r="Q1388" s="117" t="str">
        <x:v>Sacha Pearce</x:v>
      </x:c>
      <x:c r="R1388" s="117" t="str">
        <x:v>FSL - Set Service Report Layout ID on Checklist Type Update</x:v>
      </x:c>
      <x:c r="S1388" s="119" t="str">
        <x:v>26/03/2026 - SP - Adding Nuclear Medicine.</x:v>
      </x:c>
    </x:row>
    <x:row r="1389" ht="30" customHeight="1">
      <x:c r="A1389" s="117" t="str">
        <x:v>FSL_Set_Service_Report_Layout_ID_on_Checklist_Type_Update</x:v>
      </x:c>
      <x:c r="B1389" s="117" t="str">
        <x:v>300Ro00000otBqsIAE</x:v>
      </x:c>
      <x:c r="C1389" s="117" t="str">
        <x:v>301Ro00001BZ1VRIA1</x:v>
      </x:c>
      <x:c r="D1389" s="118" t="n">
        <x:v>14</x:v>
      </x:c>
      <x:c r="E1389" s="117" t="str">
        <x:v>Obsolete</x:v>
      </x:c>
      <x:c r="F1389" s="117" t="str">
        <x:v>No</x:v>
      </x:c>
      <x:c r="G1389" s="117" t="str">
        <x:v>No</x:v>
      </x:c>
      <x:c r="H1389" s="117" t="str">
        <x:v>AutoLaunchedFlow</x:v>
      </x:c>
      <x:c r="I1389" s="118" t="n">
        <x:v>65</x:v>
      </x:c>
      <x:c r="J1389" s="117" t="str">
        <x:v>unmanaged</x:v>
      </x:c>
      <x:c r="K1389" s="123" t="b">
        <x:v>0</x:v>
      </x:c>
      <x:c r="L1389" s="117"/>
      <x:c r="M1389" s="118"/>
      <x:c r="N1389" s="120" t="n">
        <x:v>46220.617418981485</x:v>
      </x:c>
      <x:c r="O1389" s="117" t="str">
        <x:v>Sacha Pearce</x:v>
      </x:c>
      <x:c r="P1389" s="120" t="n">
        <x:v>46220.617685185185</x:v>
      </x:c>
      <x:c r="Q1389" s="117" t="str">
        <x:v>Sacha Pearce</x:v>
      </x:c>
      <x:c r="R1389" s="117" t="str">
        <x:v>FSL - Set Service Report Layout ID on Checklist Type Update</x:v>
      </x:c>
      <x:c r="S1389" s="119" t="str">
        <x:v>26/03/2026 - SP - Adding C-Arm Pre-Conract Inspections.</x:v>
      </x:c>
    </x:row>
    <x:row r="1390" ht="30" customHeight="1">
      <x:c r="A1390" s="117" t="str">
        <x:v>FSL_Set_Service_Report_Layout_ID_on_Checklist_Type_Update</x:v>
      </x:c>
      <x:c r="B1390" s="117" t="str">
        <x:v>300Ro00000otBqsIAE</x:v>
      </x:c>
      <x:c r="C1390" s="117" t="str">
        <x:v>301Ro00001CTLRRIA5</x:v>
      </x:c>
      <x:c r="D1390" s="118" t="n">
        <x:v>15</x:v>
      </x:c>
      <x:c r="E1390" s="117" t="str">
        <x:v>Obsolete</x:v>
      </x:c>
      <x:c r="F1390" s="117" t="str">
        <x:v>No</x:v>
      </x:c>
      <x:c r="G1390" s="117" t="str">
        <x:v>No</x:v>
      </x:c>
      <x:c r="H1390" s="117" t="str">
        <x:v>AutoLaunchedFlow</x:v>
      </x:c>
      <x:c r="I1390" s="118" t="n">
        <x:v>65</x:v>
      </x:c>
      <x:c r="J1390" s="117" t="str">
        <x:v>unmanaged</x:v>
      </x:c>
      <x:c r="K1390" s="123" t="b">
        <x:v>0</x:v>
      </x:c>
      <x:c r="L1390" s="117"/>
      <x:c r="M1390" s="118"/>
      <x:c r="N1390" s="120" t="n">
        <x:v>46231.38427083333</x:v>
      </x:c>
      <x:c r="O1390" s="117" t="str">
        <x:v>Sacha Pearce</x:v>
      </x:c>
      <x:c r="P1390" s="120" t="n">
        <x:v>46231.38434027778</x:v>
      </x:c>
      <x:c r="Q1390" s="117" t="str">
        <x:v>Sacha Pearce</x:v>
      </x:c>
      <x:c r="R1390" s="117" t="str">
        <x:v>FSL - Set Service Report Layout ID on Checklist Type Update</x:v>
      </x:c>
      <x:c r="S1390" s="119" t="str">
        <x:v>26/03/2026 - SP - Adding Ultrasound Electrical Safety Test.</x:v>
      </x:c>
    </x:row>
    <x:row r="1391" ht="30" customHeight="1">
      <x:c r="A1391" s="117" t="str">
        <x:v>FSL_Set_Service_Report_Layout_ID_on_Checklist_Type_Update</x:v>
      </x:c>
      <x:c r="B1391" s="117" t="str">
        <x:v>300Ro00000otBqsIAE</x:v>
      </x:c>
      <x:c r="C1391" s="117" t="str">
        <x:v>301Ro00001CT3RNIA1</x:v>
      </x:c>
      <x:c r="D1391" s="118" t="n">
        <x:v>16</x:v>
      </x:c>
      <x:c r="E1391" s="117" t="str">
        <x:v>Active</x:v>
      </x:c>
      <x:c r="F1391" s="117" t="str">
        <x:v>Yes</x:v>
      </x:c>
      <x:c r="G1391" s="117" t="str">
        <x:v>Yes</x:v>
      </x:c>
      <x:c r="H1391" s="117" t="str">
        <x:v>AutoLaunchedFlow</x:v>
      </x:c>
      <x:c r="I1391" s="118" t="n">
        <x:v>65</x:v>
      </x:c>
      <x:c r="J1391" s="117" t="str">
        <x:v>unmanaged</x:v>
      </x:c>
      <x:c r="K1391" s="123" t="b">
        <x:v>0</x:v>
      </x:c>
      <x:c r="L1391" s="117"/>
      <x:c r="M1391" s="118"/>
      <x:c r="N1391" s="120" t="n">
        <x:v>46231.39034722222</x:v>
      </x:c>
      <x:c r="O1391" s="117" t="str">
        <x:v>Sacha Pearce</x:v>
      </x:c>
      <x:c r="P1391" s="120" t="n">
        <x:v>46231.39041666667</x:v>
      </x:c>
      <x:c r="Q1391" s="117" t="str">
        <x:v>Sacha Pearce</x:v>
      </x:c>
      <x:c r="R1391" s="117" t="str">
        <x:v>FSL - Set Service Report Layout ID on Checklist Type Update</x:v>
      </x:c>
      <x:c r="S1391" s="119" t="str">
        <x:v>26/03/2026 - SP - Adding Ultrasound Electrical Safety Test.</x:v>
      </x:c>
    </x:row>
    <x:row r="1392" ht="30" customHeight="1">
      <x:c r="A1392" s="117" t="str">
        <x:v>FSL_Set_Service_Report_Layout_ID_on_Work_Orders</x:v>
      </x:c>
      <x:c r="B1392" s="117" t="str">
        <x:v>300Ro00000n2BUtIAM</x:v>
      </x:c>
      <x:c r="C1392" s="117" t="str">
        <x:v>301Ro00000uQcW5IAK</x:v>
      </x:c>
      <x:c r="D1392" s="118" t="n">
        <x:v>1</x:v>
      </x:c>
      <x:c r="E1392" s="117" t="str">
        <x:v>InvalidDraft</x:v>
      </x:c>
      <x:c r="F1392" s="117" t="str">
        <x:v>No</x:v>
      </x:c>
      <x:c r="G1392" s="117" t="str">
        <x:v>No</x:v>
      </x:c>
      <x:c r="H1392" s="117" t="str">
        <x:v>AutoLaunchedFlow</x:v>
      </x:c>
      <x:c r="I1392" s="118" t="n">
        <x:v>65</x:v>
      </x:c>
      <x:c r="J1392" s="117" t="str">
        <x:v>unmanaged</x:v>
      </x:c>
      <x:c r="K1392" s="123" t="b">
        <x:v>0</x:v>
      </x:c>
      <x:c r="L1392" s="117"/>
      <x:c r="M1392" s="118"/>
      <x:c r="N1392" s="120" t="n">
        <x:v>46010.77112268518</x:v>
      </x:c>
      <x:c r="O1392" s="117" t="str">
        <x:v>Sacha Pearce</x:v>
      </x:c>
      <x:c r="P1392" s="120" t="n">
        <x:v>46010.771215277775</x:v>
      </x:c>
      <x:c r="Q1392" s="117" t="str">
        <x:v>Sacha Pearce</x:v>
      </x:c>
      <x:c r="R1392" s="117" t="str">
        <x:v>FSL - Set Service Report Layout ID on Work Orders</x:v>
      </x:c>
      <x:c r="S1392" s="119"/>
    </x:row>
    <x:row r="1393" ht="30" customHeight="1">
      <x:c r="A1393" s="117" t="str">
        <x:v>FSL_Set_Service_Report_Layout_ID_on_Work_Orders</x:v>
      </x:c>
      <x:c r="B1393" s="117" t="str">
        <x:v>300Ro00000n2BUtIAM</x:v>
      </x:c>
      <x:c r="C1393" s="117" t="str">
        <x:v>301Ro00000v8wnaIAA</x:v>
      </x:c>
      <x:c r="D1393" s="118" t="n">
        <x:v>2</x:v>
      </x:c>
      <x:c r="E1393" s="117" t="str">
        <x:v>Obsolete</x:v>
      </x:c>
      <x:c r="F1393" s="117" t="str">
        <x:v>No</x:v>
      </x:c>
      <x:c r="G1393" s="117" t="str">
        <x:v>No</x:v>
      </x:c>
      <x:c r="H1393" s="117" t="str">
        <x:v>AutoLaunchedFlow</x:v>
      </x:c>
      <x:c r="I1393" s="118" t="n">
        <x:v>65</x:v>
      </x:c>
      <x:c r="J1393" s="117" t="str">
        <x:v>unmanaged</x:v>
      </x:c>
      <x:c r="K1393" s="123" t="b">
        <x:v>0</x:v>
      </x:c>
      <x:c r="L1393" s="117"/>
      <x:c r="M1393" s="118"/>
      <x:c r="N1393" s="120" t="n">
        <x:v>46027.66307870371</x:v>
      </x:c>
      <x:c r="O1393" s="117" t="str">
        <x:v>Sacha Pearce</x:v>
      </x:c>
      <x:c r="P1393" s="120" t="n">
        <x:v>46027.66336805555</x:v>
      </x:c>
      <x:c r="Q1393" s="117" t="str">
        <x:v>Sacha Pearce</x:v>
      </x:c>
      <x:c r="R1393" s="117" t="str">
        <x:v>FSL - Set Service Report Layout ID on Work Orders</x:v>
      </x:c>
      <x:c r="S1393" s="119"/>
    </x:row>
    <x:row r="1394" ht="30" customHeight="1">
      <x:c r="A1394" s="117" t="str">
        <x:v>FSL_Set_Service_Report_Layout_ID_on_Work_Orders</x:v>
      </x:c>
      <x:c r="B1394" s="117" t="str">
        <x:v>300Ro00000n2BUtIAM</x:v>
      </x:c>
      <x:c r="C1394" s="117" t="str">
        <x:v>301Ro00000vCGOOIA4</x:v>
      </x:c>
      <x:c r="D1394" s="118" t="n">
        <x:v>3</x:v>
      </x:c>
      <x:c r="E1394" s="117" t="str">
        <x:v>Obsolete</x:v>
      </x:c>
      <x:c r="F1394" s="117" t="str">
        <x:v>No</x:v>
      </x:c>
      <x:c r="G1394" s="117" t="str">
        <x:v>No</x:v>
      </x:c>
      <x:c r="H1394" s="117" t="str">
        <x:v>AutoLaunchedFlow</x:v>
      </x:c>
      <x:c r="I1394" s="118" t="n">
        <x:v>65</x:v>
      </x:c>
      <x:c r="J1394" s="117" t="str">
        <x:v>unmanaged</x:v>
      </x:c>
      <x:c r="K1394" s="123" t="b">
        <x:v>0</x:v>
      </x:c>
      <x:c r="L1394" s="117"/>
      <x:c r="M1394" s="118"/>
      <x:c r="N1394" s="120" t="n">
        <x:v>46028.3875</x:v>
      </x:c>
      <x:c r="O1394" s="117" t="str">
        <x:v>Sacha Pearce</x:v>
      </x:c>
      <x:c r="P1394" s="120" t="n">
        <x:v>46028.38756944444</x:v>
      </x:c>
      <x:c r="Q1394" s="117" t="str">
        <x:v>Sacha Pearce</x:v>
      </x:c>
      <x:c r="R1394" s="117" t="str">
        <x:v>FSL - Set Service Report Layout ID on Work Orders</x:v>
      </x:c>
      <x:c r="S1394" s="119" t="str">
        <x:v>06/01/2026 - V3 - SP - Adding "Service Report Template Name" to the "Update Work Order with Service Report Layout ID" element.</x:v>
      </x:c>
    </x:row>
    <x:row r="1395" ht="30" customHeight="1">
      <x:c r="A1395" s="117" t="str">
        <x:v>FSL_Set_Service_Report_Layout_ID_on_Work_Orders</x:v>
      </x:c>
      <x:c r="B1395" s="117" t="str">
        <x:v>300Ro00000n2BUtIAM</x:v>
      </x:c>
      <x:c r="C1395" s="117" t="str">
        <x:v>301Ro00000vCRWhIAO</x:v>
      </x:c>
      <x:c r="D1395" s="118" t="n">
        <x:v>4</x:v>
      </x:c>
      <x:c r="E1395" s="117" t="str">
        <x:v>Obsolete</x:v>
      </x:c>
      <x:c r="F1395" s="117" t="str">
        <x:v>No</x:v>
      </x:c>
      <x:c r="G1395" s="117" t="str">
        <x:v>No</x:v>
      </x:c>
      <x:c r="H1395" s="117" t="str">
        <x:v>AutoLaunchedFlow</x:v>
      </x:c>
      <x:c r="I1395" s="118" t="n">
        <x:v>65</x:v>
      </x:c>
      <x:c r="J1395" s="117" t="str">
        <x:v>unmanaged</x:v>
      </x:c>
      <x:c r="K1395" s="123" t="b">
        <x:v>0</x:v>
      </x:c>
      <x:c r="L1395" s="117"/>
      <x:c r="M1395" s="118"/>
      <x:c r="N1395" s="120" t="n">
        <x:v>46028.39697916667</x:v>
      </x:c>
      <x:c r="O1395" s="117" t="str">
        <x:v>Sacha Pearce</x:v>
      </x:c>
      <x:c r="P1395" s="120" t="n">
        <x:v>46028.39702546296</x:v>
      </x:c>
      <x:c r="Q1395" s="117" t="str">
        <x:v>Sacha Pearce</x:v>
      </x:c>
      <x:c r="R1395" s="117" t="str">
        <x:v>FSL - Set Service Report Layout ID on Work Orders</x:v>
      </x:c>
      <x:c r="S1395" s="119" t="str">
        <x:v>06/01/2026 - V3 - SP - Adding "Service Report Template Name" to the "Update Work Order with Service Report Layout ID" element.
06/01/2026 - V3 - SP - Amending the entry criteria to trigger when the "Service Report Template Set" equals "false" instead of not equal to "true".</x:v>
      </x:c>
    </x:row>
    <x:row r="1396" ht="30" customHeight="1">
      <x:c r="A1396" s="117" t="str">
        <x:v>FSL_Set_Service_Report_Layout_ID_on_Work_Orders</x:v>
      </x:c>
      <x:c r="B1396" s="117" t="str">
        <x:v>300Ro00000n2BUtIAM</x:v>
      </x:c>
      <x:c r="C1396" s="117" t="str">
        <x:v>301Ro00000vCU38IAG</x:v>
      </x:c>
      <x:c r="D1396" s="118" t="n">
        <x:v>5</x:v>
      </x:c>
      <x:c r="E1396" s="117" t="str">
        <x:v>Obsolete</x:v>
      </x:c>
      <x:c r="F1396" s="117" t="str">
        <x:v>No</x:v>
      </x:c>
      <x:c r="G1396" s="117" t="str">
        <x:v>No</x:v>
      </x:c>
      <x:c r="H1396" s="117" t="str">
        <x:v>AutoLaunchedFlow</x:v>
      </x:c>
      <x:c r="I1396" s="118" t="n">
        <x:v>65</x:v>
      </x:c>
      <x:c r="J1396" s="117" t="str">
        <x:v>unmanaged</x:v>
      </x:c>
      <x:c r="K1396" s="123" t="b">
        <x:v>0</x:v>
      </x:c>
      <x:c r="L1396" s="117"/>
      <x:c r="M1396" s="118"/>
      <x:c r="N1396" s="120" t="n">
        <x:v>46028.401296296295</x:v>
      </x:c>
      <x:c r="O1396" s="117" t="str">
        <x:v>Sacha Pearce</x:v>
      </x:c>
      <x:c r="P1396" s="120" t="n">
        <x:v>46028.40133101852</x:v>
      </x:c>
      <x:c r="Q1396" s="117" t="str">
        <x:v>Sacha Pearce</x:v>
      </x:c>
      <x:c r="R1396" s="117" t="str">
        <x:v>FSL - Set Service Report Layout ID on Work Orders</x:v>
      </x:c>
      <x:c r="S1396" s="119" t="str">
        <x:v>06/01/2026 - V3 - SP - Adding "Service Report Template Name" to the "Update Work Order with Service Report Layout ID" element.
06/01/2026 - V4 - SP - Amending the entry criteria to trigger when the "Service Report Template Set" equals "false" instead of not equal to "true".
06/01/2026 - V5 - SP - Pulling "Name" in the "Get Ultrasound Service Report Layout" element to use for the "varServiceReportTemplateName" variable assignment.</x:v>
      </x:c>
    </x:row>
    <x:row r="1397" ht="30" customHeight="1">
      <x:c r="A1397" s="117" t="str">
        <x:v>FSL_Set_Service_Report_Layout_ID_on_Work_Orders</x:v>
      </x:c>
      <x:c r="B1397" s="117" t="str">
        <x:v>300Ro00000n2BUtIAM</x:v>
      </x:c>
      <x:c r="C1397" s="117" t="str">
        <x:v>301Ro00000vjAiNIAU</x:v>
      </x:c>
      <x:c r="D1397" s="118" t="n">
        <x:v>6</x:v>
      </x:c>
      <x:c r="E1397" s="117" t="str">
        <x:v>Obsolete</x:v>
      </x:c>
      <x:c r="F1397" s="117" t="str">
        <x:v>No</x:v>
      </x:c>
      <x:c r="G1397" s="117" t="str">
        <x:v>No</x:v>
      </x:c>
      <x:c r="H1397" s="117" t="str">
        <x:v>AutoLaunchedFlow</x:v>
      </x:c>
      <x:c r="I1397" s="118" t="n">
        <x:v>65</x:v>
      </x:c>
      <x:c r="J1397" s="117" t="str">
        <x:v>unmanaged</x:v>
      </x:c>
      <x:c r="K1397" s="123" t="b">
        <x:v>0</x:v>
      </x:c>
      <x:c r="L1397" s="117"/>
      <x:c r="M1397" s="118"/>
      <x:c r="N1397" s="120" t="n">
        <x:v>46036.850798611114</x:v>
      </x:c>
      <x:c r="O1397" s="117" t="str">
        <x:v>Sacha Pearce</x:v>
      </x:c>
      <x:c r="P1397" s="120" t="n">
        <x:v>46036.88061342593</x:v>
      </x:c>
      <x:c r="Q1397" s="117" t="str">
        <x:v>Sacha Pearce</x:v>
      </x:c>
      <x:c r="R1397" s="117" t="str">
        <x:v>FSL - Set Service Report Layout ID on Work Orders</x:v>
      </x:c>
      <x:c r="S1397" s="119" t="str">
        <x:v>06/01/2026 - V3 - SP - Adding "Service Report Template Name" to the "Update Work Order with Service Report Layout ID" element.
06/01/2026 - V4 - SP - Amending the entry criteria to trigger when the "Service Report Template Set" equals "false" instead of not equal to "true".
06/01/2026 - V5 - SP - Pulling "Name" in the "Get Ultrasound Service Report Layout" element to use for the "varServiceReportTemplateName" variable assignment.
13/01/2026 V4 (Sandbox Full) - Amending to match Production Flow</x:v>
      </x:c>
    </x:row>
    <x:row r="1398" ht="30" customHeight="1">
      <x:c r="A1398" s="117" t="str">
        <x:v>FSL_Set_Service_Report_Layout_ID_on_Work_Orders</x:v>
      </x:c>
      <x:c r="B1398" s="117" t="str">
        <x:v>300Ro00000n2BUtIAM</x:v>
      </x:c>
      <x:c r="C1398" s="117" t="str">
        <x:v>301Ro00000vjWhHIAU</x:v>
      </x:c>
      <x:c r="D1398" s="118" t="n">
        <x:v>7</x:v>
      </x:c>
      <x:c r="E1398" s="117" t="str">
        <x:v>Active</x:v>
      </x:c>
      <x:c r="F1398" s="117" t="str">
        <x:v>Yes</x:v>
      </x:c>
      <x:c r="G1398" s="117" t="str">
        <x:v>No</x:v>
      </x:c>
      <x:c r="H1398" s="117" t="str">
        <x:v>AutoLaunchedFlow</x:v>
      </x:c>
      <x:c r="I1398" s="118" t="n">
        <x:v>65</x:v>
      </x:c>
      <x:c r="J1398" s="117" t="str">
        <x:v>unmanaged</x:v>
      </x:c>
      <x:c r="K1398" s="123" t="b">
        <x:v>0</x:v>
      </x:c>
      <x:c r="L1398" s="117"/>
      <x:c r="M1398" s="118"/>
      <x:c r="N1398" s="120" t="n">
        <x:v>46036.89423611111</x:v>
      </x:c>
      <x:c r="O1398" s="117" t="str">
        <x:v>Sacha Pearce</x:v>
      </x:c>
      <x:c r="P1398" s="120" t="n">
        <x:v>46036.89430555556</x:v>
      </x:c>
      <x:c r="Q1398" s="117" t="str">
        <x:v>Sacha Pearce</x:v>
      </x:c>
      <x:c r="R1398" s="117" t="str">
        <x:v>FSL - Set Service Report Layout ID on Work Orders</x:v>
      </x:c>
      <x:c r="S1398" s="119" t="str">
        <x:v>06/01/2026 - V3 - SP - Adding "Service Report Template Name" to the "Update Work Order with Service Report Layout ID" element.
06/01/2026 - V4 - SP - Amending the entry criteria to trigger when the "Service Report Template Set" equals "false" instead of not equal to "true".
06/01/2026 - V5 - SP - Pulling "Name" in the "Get Ultrasound Service Report Layout" element to use for the "varServiceReportTemplateName" variable assignment.
13/01/2026 V4 (Sandbox Full) - Amending to match Production Flow
14/01/2025 - V7 (Production) - Amending the "Time Source" to be either when the record is created or updated</x:v>
      </x:c>
    </x:row>
    <x:row r="1399" ht="30" customHeight="1">
      <x:c r="A1399" s="117" t="str">
        <x:v>FSL_Set_Service_Report_Layout_ID_on_Work_Orders</x:v>
      </x:c>
      <x:c r="B1399" s="117" t="str">
        <x:v>300Ro00000n2BUtIAM</x:v>
      </x:c>
      <x:c r="C1399" s="117" t="str">
        <x:v>301Ro00000wEWgCIAW</x:v>
      </x:c>
      <x:c r="D1399" s="118" t="n">
        <x:v>8</x:v>
      </x:c>
      <x:c r="E1399" s="117" t="str">
        <x:v>Draft</x:v>
      </x:c>
      <x:c r="F1399" s="117" t="str">
        <x:v>No</x:v>
      </x:c>
      <x:c r="G1399" s="117" t="str">
        <x:v>Yes</x:v>
      </x:c>
      <x:c r="H1399" s="117" t="str">
        <x:v>AutoLaunchedFlow</x:v>
      </x:c>
      <x:c r="I1399" s="118" t="n">
        <x:v>65</x:v>
      </x:c>
      <x:c r="J1399" s="117" t="str">
        <x:v>unmanaged</x:v>
      </x:c>
      <x:c r="K1399" s="123" t="b">
        <x:v>0</x:v>
      </x:c>
      <x:c r="L1399" s="117"/>
      <x:c r="M1399" s="118"/>
      <x:c r="N1399" s="120" t="n">
        <x:v>46043.90032407407</x:v>
      </x:c>
      <x:c r="O1399" s="117" t="str">
        <x:v>Sacha Pearce</x:v>
      </x:c>
      <x:c r="P1399" s="120" t="n">
        <x:v>46043.900358796294</x:v>
      </x:c>
      <x:c r="Q1399" s="117" t="str">
        <x:v>Sacha Pearce</x:v>
      </x:c>
      <x:c r="R1399" s="117" t="str">
        <x:v>FSL - Set Service Report Layout ID on Work Orders</x:v>
      </x:c>
      <x:c r="S1399" s="119" t="str">
        <x:v>06/01/2026 - V3 - SP - Adding "Service Report Template Name" to the "Update Work Order with Service Report Layout ID" element.
06/01/2026 - V4 - SP - Amending the entry criteria to trigger when the "Service Report Template Set" equals "false" instead of not equal to "true".
06/01/2026 - V5 - SP - Pulling "Name" in the "Get Ultrasound Service Report Layout" element to use for the "varServiceReportTemplateName" variable assignment.
13/01/2026 V4 (Sandbox Full) - Amending to match Production Flow
14/01/2025 - V7 (Production) - Amending the "Time Source" to be either when the record is created or updated
21/01/2025 - V8 (Production) - SP - Adding the CT Service Report Template</x:v>
      </x:c>
    </x:row>
    <x:row r="1400" ht="30" customHeight="1">
      <x:c r="A1400" s="117" t="str">
        <x:v>FSL_Ultrasound_Electrical_Safety_Tests_Checklist</x:v>
      </x:c>
      <x:c r="B1400" s="117" t="str">
        <x:v>300Ro000013byfhIAA</x:v>
      </x:c>
      <x:c r="C1400" s="117" t="str">
        <x:v>301Ro00001CTCpaIAH</x:v>
      </x:c>
      <x:c r="D1400" s="118" t="n">
        <x:v>1</x:v>
      </x:c>
      <x:c r="E1400" s="117" t="str">
        <x:v>Obsolete</x:v>
      </x:c>
      <x:c r="F1400" s="117" t="str">
        <x:v>No</x:v>
      </x:c>
      <x:c r="G1400" s="117" t="str">
        <x:v>No</x:v>
      </x:c>
      <x:c r="H1400" s="117" t="str">
        <x:v>FieldServiceMobile</x:v>
      </x:c>
      <x:c r="I1400" s="118"/>
      <x:c r="J1400" s="117" t="str">
        <x:v>unmanaged</x:v>
      </x:c>
      <x:c r="K1400" s="123" t="b">
        <x:v>0</x:v>
      </x:c>
      <x:c r="L1400" s="117"/>
      <x:c r="M1400" s="118"/>
      <x:c r="N1400" s="120" t="n">
        <x:v>46231.37428240741</x:v>
      </x:c>
      <x:c r="O1400" s="117" t="str">
        <x:v>Sacha Pearce</x:v>
      </x:c>
      <x:c r="P1400" s="120" t="n">
        <x:v>46231.399872685186</x:v>
      </x:c>
      <x:c r="Q1400" s="117" t="str">
        <x:v>Sacha Pearce</x:v>
      </x:c>
      <x:c r="R1400" s="117" t="str">
        <x:v>FSL - Ultrasound Electrical Safety Tests Checklist</x:v>
      </x:c>
      <x:c r="S1400" s="119"/>
    </x:row>
    <x:row r="1401" ht="30" customHeight="1">
      <x:c r="A1401" s="117" t="str">
        <x:v>FSL_Ultrasound_Electrical_Safety_Tests_Checklist</x:v>
      </x:c>
      <x:c r="B1401" s="117" t="str">
        <x:v>300Ro000013byfhIAA</x:v>
      </x:c>
      <x:c r="C1401" s="117" t="str">
        <x:v>301Ro00001CZrZvIAL</x:v>
      </x:c>
      <x:c r="D1401" s="118" t="n">
        <x:v>2</x:v>
      </x:c>
      <x:c r="E1401" s="117" t="str">
        <x:v>Active</x:v>
      </x:c>
      <x:c r="F1401" s="117" t="str">
        <x:v>Yes</x:v>
      </x:c>
      <x:c r="G1401" s="117" t="str">
        <x:v>Yes</x:v>
      </x:c>
      <x:c r="H1401" s="117" t="str">
        <x:v>FieldServiceMobile</x:v>
      </x:c>
      <x:c r="I1401" s="118"/>
      <x:c r="J1401" s="117" t="str">
        <x:v>unmanaged</x:v>
      </x:c>
      <x:c r="K1401" s="123" t="b">
        <x:v>0</x:v>
      </x:c>
      <x:c r="L1401" s="117"/>
      <x:c r="M1401" s="118"/>
      <x:c r="N1401" s="120" t="n">
        <x:v>46232.357939814814</x:v>
      </x:c>
      <x:c r="O1401" s="117" t="str">
        <x:v>Sacha Pearce</x:v>
      </x:c>
      <x:c r="P1401" s="120" t="n">
        <x:v>46232.35805555555</x:v>
      </x:c>
      <x:c r="Q1401" s="117" t="str">
        <x:v>Sacha Pearce</x:v>
      </x:c>
      <x:c r="R1401" s="117" t="str">
        <x:v>FSL - Ultrasound Electrical Safety Tests Checklist</x:v>
      </x:c>
      <x:c r="S1401" s="119" t="str">
        <x:v>29/07/2026 - SP - Making the transducer and peripheral checks required.</x:v>
      </x:c>
    </x:row>
    <x:row r="1402" ht="30" customHeight="1">
      <x:c r="A1402" s="117" t="str">
        <x:v>FSL_Update_Progress_Note_with_Parent_Recorod_Work_Order</x:v>
      </x:c>
      <x:c r="B1402" s="117" t="str">
        <x:v>300Ro00000XP4yIIAT</x:v>
      </x:c>
      <x:c r="C1402" s="117" t="str">
        <x:v>301Ro00000b1ucLIAQ</x:v>
      </x:c>
      <x:c r="D1402" s="118" t="n">
        <x:v>1</x:v>
      </x:c>
      <x:c r="E1402" s="117" t="str">
        <x:v>Active</x:v>
      </x:c>
      <x:c r="F1402" s="117" t="str">
        <x:v>Yes</x:v>
      </x:c>
      <x:c r="G1402" s="117" t="str">
        <x:v>Yes</x:v>
      </x:c>
      <x:c r="H1402" s="117" t="str">
        <x:v>AutoLaunchedFlow</x:v>
      </x:c>
      <x:c r="I1402" s="118" t="n">
        <x:v>63</x:v>
      </x:c>
      <x:c r="J1402" s="117" t="str">
        <x:v>unmanaged</x:v>
      </x:c>
      <x:c r="K1402" s="123" t="b">
        <x:v>0</x:v>
      </x:c>
      <x:c r="L1402" s="117"/>
      <x:c r="M1402" s="118"/>
      <x:c r="N1402" s="120" t="n">
        <x:v>45817.81837962963</x:v>
      </x:c>
      <x:c r="O1402" s="117" t="str">
        <x:v>Sacha Pearce</x:v>
      </x:c>
      <x:c r="P1402" s="120" t="n">
        <x:v>45817.8184375</x:v>
      </x:c>
      <x:c r="Q1402" s="117" t="str">
        <x:v>Sacha Pearce</x:v>
      </x:c>
      <x:c r="R1402" s="117" t="str">
        <x:v>FSL - Update Progress Note with Parent Recorod/Work Order</x:v>
      </x:c>
      <x:c r="S1402" s="119"/>
    </x:row>
    <x:row r="1403" ht="30" customHeight="1">
      <x:c r="A1403" s="117" t="str">
        <x:v>FSL_US_On_FSR_Attached_Update_Work_Order_to_Completed_WO</x:v>
      </x:c>
      <x:c r="B1403" s="117" t="str">
        <x:v>300Ro00000qcb76IAA</x:v>
      </x:c>
      <x:c r="C1403" s="117" t="str">
        <x:v>301Ro00000yBkGKIA0</x:v>
      </x:c>
      <x:c r="D1403" s="118" t="n">
        <x:v>1</x:v>
      </x:c>
      <x:c r="E1403" s="117" t="str">
        <x:v>Active</x:v>
      </x:c>
      <x:c r="F1403" s="117" t="str">
        <x:v>Yes</x:v>
      </x:c>
      <x:c r="G1403" s="117" t="str">
        <x:v>Yes</x:v>
      </x:c>
      <x:c r="H1403" s="117" t="str">
        <x:v>AutoLaunchedFlow</x:v>
      </x:c>
      <x:c r="I1403" s="118" t="n">
        <x:v>65</x:v>
      </x:c>
      <x:c r="J1403" s="117" t="str">
        <x:v>unmanaged</x:v>
      </x:c>
      <x:c r="K1403" s="123" t="b">
        <x:v>0</x:v>
      </x:c>
      <x:c r="L1403" s="117"/>
      <x:c r="M1403" s="118"/>
      <x:c r="N1403" s="120" t="n">
        <x:v>46065.73689814815</x:v>
      </x:c>
      <x:c r="O1403" s="117" t="str">
        <x:v>Delegate</x:v>
      </x:c>
      <x:c r="P1403" s="120" t="n">
        <x:v>46065.736967592595</x:v>
      </x:c>
      <x:c r="Q1403" s="117" t="str">
        <x:v>Delegate</x:v>
      </x:c>
      <x:c r="R1403" s="117" t="str">
        <x:v>FSL US: On FSR Attached | Update Work Order to Completed WO</x:v>
      </x:c>
      <x:c r="S1403" s="119" t="str">
        <x:v>02/12/2026 (BW) - Update the work order to "WO Completed" status on marking of the FSR attached</x:v>
      </x:c>
    </x:row>
    <x:row r="1404" ht="30" customHeight="1">
      <x:c r="A1404" s="117" t="str">
        <x:v>FSL_US_On_Submit_to_Shipping_Update_Status_to_Pending_Shipment</x:v>
      </x:c>
      <x:c r="B1404" s="117" t="str">
        <x:v>300Ro00000phiq4IAA</x:v>
      </x:c>
      <x:c r="C1404" s="117" t="str">
        <x:v>301Ro00000xDKWtIAO</x:v>
      </x:c>
      <x:c r="D1404" s="118" t="n">
        <x:v>1</x:v>
      </x:c>
      <x:c r="E1404" s="117" t="str">
        <x:v>Obsolete</x:v>
      </x:c>
      <x:c r="F1404" s="117" t="str">
        <x:v>No</x:v>
      </x:c>
      <x:c r="G1404" s="117" t="str">
        <x:v>No</x:v>
      </x:c>
      <x:c r="H1404" s="117" t="str">
        <x:v>AutoLaunchedFlow</x:v>
      </x:c>
      <x:c r="I1404" s="118" t="n">
        <x:v>65</x:v>
      </x:c>
      <x:c r="J1404" s="117" t="str">
        <x:v>unmanaged</x:v>
      </x:c>
      <x:c r="K1404" s="123" t="b">
        <x:v>0</x:v>
      </x:c>
      <x:c r="L1404" s="117"/>
      <x:c r="M1404" s="118"/>
      <x:c r="N1404" s="120" t="n">
        <x:v>46055.07041666667</x:v>
      </x:c>
      <x:c r="O1404" s="117" t="str">
        <x:v>Delegate</x:v>
      </x:c>
      <x:c r="P1404" s="120" t="n">
        <x:v>46055.07050925926</x:v>
      </x:c>
      <x:c r="Q1404" s="117" t="str">
        <x:v>Delegate</x:v>
      </x:c>
      <x:c r="R1404" s="117" t="str">
        <x:v>FSL US: On Submit to Shipping | Update Status to Pending Shipment</x:v>
      </x:c>
      <x:c r="S1404" s="119" t="str">
        <x:v>02/01/2026 (BW) - On submitting to shipping for FSL US, Update the status to pending shipment</x:v>
      </x:c>
    </x:row>
    <x:row r="1405" ht="30" customHeight="1">
      <x:c r="A1405" s="117" t="str">
        <x:v>FSL_US_On_Submit_to_Shipping_Update_Status_to_Pending_Shipment</x:v>
      </x:c>
      <x:c r="B1405" s="117" t="str">
        <x:v>300Ro00000phiq4IAA</x:v>
      </x:c>
      <x:c r="C1405" s="117" t="str">
        <x:v>301Ro0000152YBuIAM</x:v>
      </x:c>
      <x:c r="D1405" s="118" t="n">
        <x:v>2</x:v>
      </x:c>
      <x:c r="E1405" s="117" t="str">
        <x:v>Obsolete</x:v>
      </x:c>
      <x:c r="F1405" s="117" t="str">
        <x:v>No</x:v>
      </x:c>
      <x:c r="G1405" s="117" t="str">
        <x:v>No</x:v>
      </x:c>
      <x:c r="H1405" s="117" t="str">
        <x:v>AutoLaunchedFlow</x:v>
      </x:c>
      <x:c r="I1405" s="118" t="n">
        <x:v>65</x:v>
      </x:c>
      <x:c r="J1405" s="117" t="str">
        <x:v>unmanaged</x:v>
      </x:c>
      <x:c r="K1405" s="123" t="b">
        <x:v>0</x:v>
      </x:c>
      <x:c r="L1405" s="117"/>
      <x:c r="M1405" s="118"/>
      <x:c r="N1405" s="120" t="n">
        <x:v>46149.526655092595</x:v>
      </x:c>
      <x:c r="O1405" s="117" t="str">
        <x:v>Delegate</x:v>
      </x:c>
      <x:c r="P1405" s="120" t="n">
        <x:v>46149.52767361111</x:v>
      </x:c>
      <x:c r="Q1405" s="117" t="str">
        <x:v>Delegate</x:v>
      </x:c>
      <x:c r="R1405" s="117" t="str">
        <x:v>FSL US: On Submit to Shipping | Update Status to Pending Shipment and Mark Assets as Reserved</x:v>
      </x:c>
      <x:c r="S1405" s="119" t="str">
        <x:v>005/07/2026 (BW) - On submitting to shipping for the work order, reserve the assets</x:v>
      </x:c>
    </x:row>
    <x:row r="1406" ht="30" customHeight="1">
      <x:c r="A1406" s="117" t="str">
        <x:v>FSL_US_On_Submit_to_Shipping_Update_Status_to_Pending_Shipment</x:v>
      </x:c>
      <x:c r="B1406" s="117" t="str">
        <x:v>300Ro00000phiq4IAA</x:v>
      </x:c>
      <x:c r="C1406" s="117" t="str">
        <x:v>301Ro0000152ZeDIAU</x:v>
      </x:c>
      <x:c r="D1406" s="118" t="n">
        <x:v>3</x:v>
      </x:c>
      <x:c r="E1406" s="117" t="str">
        <x:v>Active</x:v>
      </x:c>
      <x:c r="F1406" s="117" t="str">
        <x:v>Yes</x:v>
      </x:c>
      <x:c r="G1406" s="117" t="str">
        <x:v>Yes</x:v>
      </x:c>
      <x:c r="H1406" s="117" t="str">
        <x:v>AutoLaunchedFlow</x:v>
      </x:c>
      <x:c r="I1406" s="118" t="n">
        <x:v>65</x:v>
      </x:c>
      <x:c r="J1406" s="117" t="str">
        <x:v>unmanaged</x:v>
      </x:c>
      <x:c r="K1406" s="123" t="b">
        <x:v>0</x:v>
      </x:c>
      <x:c r="L1406" s="117"/>
      <x:c r="M1406" s="118"/>
      <x:c r="N1406" s="120" t="n">
        <x:v>46149.52991898148</x:v>
      </x:c>
      <x:c r="O1406" s="117" t="str">
        <x:v>Delegate</x:v>
      </x:c>
      <x:c r="P1406" s="120" t="n">
        <x:v>46149.52997685185</x:v>
      </x:c>
      <x:c r="Q1406" s="117" t="str">
        <x:v>Delegate</x:v>
      </x:c>
      <x:c r="R1406" s="117" t="str">
        <x:v>FSL US: On Submit to Shipping | Update Status to Pending Shipment and Mark Assets as Reserved</x:v>
      </x:c>
      <x:c r="S1406" s="119" t="str">
        <x:v>005/07/2026 (BW) - On submitting to shipping for the work order, reserve the assets</x:v>
      </x:c>
    </x:row>
    <x:row r="1407" ht="30" customHeight="1">
      <x:c r="A1407" s="117" t="str">
        <x:v>FSL_US_On_Tracking_Update_Status_to_Parts_Probe_Shipped</x:v>
      </x:c>
      <x:c r="B1407" s="117" t="str">
        <x:v>300Ro00000pheJSIAY</x:v>
      </x:c>
      <x:c r="C1407" s="117" t="str">
        <x:v>301Ro00000xDQHGIA4</x:v>
      </x:c>
      <x:c r="D1407" s="118" t="n">
        <x:v>1</x:v>
      </x:c>
      <x:c r="E1407" s="117" t="str">
        <x:v>Obsolete</x:v>
      </x:c>
      <x:c r="F1407" s="117" t="str">
        <x:v>No</x:v>
      </x:c>
      <x:c r="G1407" s="117" t="str">
        <x:v>No</x:v>
      </x:c>
      <x:c r="H1407" s="117" t="str">
        <x:v>AutoLaunchedFlow</x:v>
      </x:c>
      <x:c r="I1407" s="118" t="n">
        <x:v>65</x:v>
      </x:c>
      <x:c r="J1407" s="117" t="str">
        <x:v>unmanaged</x:v>
      </x:c>
      <x:c r="K1407" s="123" t="b">
        <x:v>0</x:v>
      </x:c>
      <x:c r="L1407" s="117"/>
      <x:c r="M1407" s="118"/>
      <x:c r="N1407" s="120" t="n">
        <x:v>46055.071550925924</x:v>
      </x:c>
      <x:c r="O1407" s="117" t="str">
        <x:v>Delegate</x:v>
      </x:c>
      <x:c r="P1407" s="120" t="n">
        <x:v>46055.071597222224</x:v>
      </x:c>
      <x:c r="Q1407" s="117" t="str">
        <x:v>Delegate</x:v>
      </x:c>
      <x:c r="R1407" s="117" t="str">
        <x:v>FSL US: On Tracking | Update Status to "Parts/Probe Shipped"</x:v>
      </x:c>
      <x:c r="S1407" s="119" t="str">
        <x:v>02/01/2026 (BW) - On tracking being added to the work order, update the status to "Parts/Probe Shipped"</x:v>
      </x:c>
    </x:row>
    <x:row r="1408" ht="30" customHeight="1">
      <x:c r="A1408" s="117" t="str">
        <x:v>FSL_US_On_Tracking_Update_Status_to_Parts_Probe_Shipped</x:v>
      </x:c>
      <x:c r="B1408" s="117" t="str">
        <x:v>300Ro00000pheJSIAY</x:v>
      </x:c>
      <x:c r="C1408" s="117" t="str">
        <x:v>301Ro000011HmiHIAS</x:v>
      </x:c>
      <x:c r="D1408" s="118" t="n">
        <x:v>2</x:v>
      </x:c>
      <x:c r="E1408" s="117" t="str">
        <x:v>Active</x:v>
      </x:c>
      <x:c r="F1408" s="117" t="str">
        <x:v>Yes</x:v>
      </x:c>
      <x:c r="G1408" s="117" t="str">
        <x:v>Yes</x:v>
      </x:c>
      <x:c r="H1408" s="117" t="str">
        <x:v>AutoLaunchedFlow</x:v>
      </x:c>
      <x:c r="I1408" s="118" t="n">
        <x:v>65</x:v>
      </x:c>
      <x:c r="J1408" s="117" t="str">
        <x:v>unmanaged</x:v>
      </x:c>
      <x:c r="K1408" s="123" t="b">
        <x:v>0</x:v>
      </x:c>
      <x:c r="L1408" s="117"/>
      <x:c r="M1408" s="118"/>
      <x:c r="N1408" s="120" t="n">
        <x:v>46104.89917824074</x:v>
      </x:c>
      <x:c r="O1408" s="117" t="str">
        <x:v>Delegate</x:v>
      </x:c>
      <x:c r="P1408" s="120" t="n">
        <x:v>46104.89953703704</x:v>
      </x:c>
      <x:c r="Q1408" s="117" t="str">
        <x:v>Delegate</x:v>
      </x:c>
      <x:c r="R1408" s="117" t="str">
        <x:v>FSL US: On Tracking | Update Status to "Parts/Probe Shipped"</x:v>
      </x:c>
      <x:c r="S1408" s="119" t="str">
        <x:v>03/23/2026 (BW) - Updated so that the addition of the tracking number updates the parts to enroute</x:v>
      </x:c>
    </x:row>
    <x:row r="1409" ht="30" customHeight="1">
      <x:c r="A1409" s="117" t="str">
        <x:v>FSL_US_On_Update_of_Account_Update_Billing_Address_on_Work_Order</x:v>
      </x:c>
      <x:c r="B1409" s="117" t="str">
        <x:v>300Ro00000skL5dIAE</x:v>
      </x:c>
      <x:c r="C1409" s="117" t="str">
        <x:v>301Ro000010U0YOIA0</x:v>
      </x:c>
      <x:c r="D1409" s="118" t="n">
        <x:v>1</x:v>
      </x:c>
      <x:c r="E1409" s="117" t="str">
        <x:v>Obsolete</x:v>
      </x:c>
      <x:c r="F1409" s="117" t="str">
        <x:v>No</x:v>
      </x:c>
      <x:c r="G1409" s="117" t="str">
        <x:v>No</x:v>
      </x:c>
      <x:c r="H1409" s="117" t="str">
        <x:v>AutoLaunchedFlow</x:v>
      </x:c>
      <x:c r="I1409" s="118" t="n">
        <x:v>66</x:v>
      </x:c>
      <x:c r="J1409" s="117" t="str">
        <x:v>unmanaged</x:v>
      </x:c>
      <x:c r="K1409" s="123" t="b">
        <x:v>0</x:v>
      </x:c>
      <x:c r="L1409" s="117"/>
      <x:c r="M1409" s="118"/>
      <x:c r="N1409" s="120" t="n">
        <x:v>46094.48703703703</x:v>
      </x:c>
      <x:c r="O1409" s="117" t="str">
        <x:v>Delegate</x:v>
      </x:c>
      <x:c r="P1409" s="120" t="n">
        <x:v>46094.48709490741</x:v>
      </x:c>
      <x:c r="Q1409" s="117" t="str">
        <x:v>Delegate</x:v>
      </x:c>
      <x:c r="R1409" s="117" t="str">
        <x:v>FSL US: On Update of Account | Update Billing Address on Work Order</x:v>
      </x:c>
      <x:c r="S1409" s="119" t="str">
        <x:v>03/13/2026 (BW) - On updating of the account on the work order, update the billing address on the Work Order to correspond with the one on the account</x:v>
      </x:c>
    </x:row>
    <x:row r="1410" ht="30" customHeight="1">
      <x:c r="A1410" s="117" t="str">
        <x:v>FSL_US_On_Update_of_Account_Update_Billing_Address_on_Work_Order</x:v>
      </x:c>
      <x:c r="B1410" s="117" t="str">
        <x:v>300Ro00000skL5dIAE</x:v>
      </x:c>
      <x:c r="C1410" s="117" t="str">
        <x:v>301Ro000011TB8gIAG</x:v>
      </x:c>
      <x:c r="D1410" s="118" t="n">
        <x:v>2</x:v>
      </x:c>
      <x:c r="E1410" s="117" t="str">
        <x:v>Active</x:v>
      </x:c>
      <x:c r="F1410" s="117" t="str">
        <x:v>Yes</x:v>
      </x:c>
      <x:c r="G1410" s="117" t="str">
        <x:v>Yes</x:v>
      </x:c>
      <x:c r="H1410" s="117" t="str">
        <x:v>AutoLaunchedFlow</x:v>
      </x:c>
      <x:c r="I1410" s="118" t="n">
        <x:v>66</x:v>
      </x:c>
      <x:c r="J1410" s="117" t="str">
        <x:v>unmanaged</x:v>
      </x:c>
      <x:c r="K1410" s="123" t="b">
        <x:v>0</x:v>
      </x:c>
      <x:c r="L1410" s="117"/>
      <x:c r="M1410" s="118"/>
      <x:c r="N1410" s="120" t="n">
        <x:v>46106.6262037037</x:v>
      </x:c>
      <x:c r="O1410" s="117" t="str">
        <x:v>Delegate</x:v>
      </x:c>
      <x:c r="P1410" s="120" t="n">
        <x:v>46106.626435185186</x:v>
      </x:c>
      <x:c r="Q1410" s="117" t="str">
        <x:v>Delegate</x:v>
      </x:c>
      <x:c r="R1410" s="117" t="str">
        <x:v>FSL US: On Update of Account | Update Billing Address on Work Order</x:v>
      </x:c>
      <x:c r="S1410" s="119" t="str">
        <x:v>03/25/2026 (BW) - Updating the fields to also set the billing account name</x:v>
      </x:c>
    </x:row>
    <x:row r="1411" ht="30" customHeight="1">
      <x:c r="A1411" s="117" t="str">
        <x:v>FSL_US_Update_Work_Order_to_Repair_In_Progress</x:v>
      </x:c>
      <x:c r="B1411" s="117" t="str">
        <x:v>300Ro00000tD805IAC</x:v>
      </x:c>
      <x:c r="C1411" s="117" t="str">
        <x:v>301Ro000010zPllIAE</x:v>
      </x:c>
      <x:c r="D1411" s="118" t="n">
        <x:v>1</x:v>
      </x:c>
      <x:c r="E1411" s="117" t="str">
        <x:v>Active</x:v>
      </x:c>
      <x:c r="F1411" s="117" t="str">
        <x:v>Yes</x:v>
      </x:c>
      <x:c r="G1411" s="117" t="str">
        <x:v>Yes</x:v>
      </x:c>
      <x:c r="H1411" s="117" t="str">
        <x:v>AutoLaunchedFlow</x:v>
      </x:c>
      <x:c r="I1411" s="118" t="n">
        <x:v>66</x:v>
      </x:c>
      <x:c r="J1411" s="117" t="str">
        <x:v>unmanaged</x:v>
      </x:c>
      <x:c r="K1411" s="123" t="b">
        <x:v>0</x:v>
      </x:c>
      <x:c r="L1411" s="117" t="str">
        <x:v>SystemModeWithoutSharing</x:v>
      </x:c>
      <x:c r="M1411" s="118"/>
      <x:c r="N1411" s="120" t="n">
        <x:v>46100.67728009259</x:v>
      </x:c>
      <x:c r="O1411" s="117" t="str">
        <x:v>Delegate</x:v>
      </x:c>
      <x:c r="P1411" s="120" t="n">
        <x:v>46100.678402777776</x:v>
      </x:c>
      <x:c r="Q1411" s="117" t="str">
        <x:v>Delegate</x:v>
      </x:c>
      <x:c r="R1411" s="117" t="str">
        <x:v>FSL US: Update Work Order to "Repair In-Progress"</x:v>
      </x:c>
      <x:c r="S1411" s="119" t="str">
        <x:v>03/19/2026 (BW) - Used to make the update to the work order outside of user context</x:v>
      </x:c>
    </x:row>
    <x:row r="1412" ht="30" customHeight="1">
      <x:c r="A1412" s="117" t="str">
        <x:v>Full_Payment</x:v>
      </x:c>
      <x:c r="B1412" s="117" t="str">
        <x:v>300Ro00000kKs8GIAS</x:v>
      </x:c>
      <x:c r="C1412" s="117" t="str">
        <x:v>301Ro00000rhIpaIAE</x:v>
      </x:c>
      <x:c r="D1412" s="118" t="n">
        <x:v>1</x:v>
      </x:c>
      <x:c r="E1412" s="117" t="str">
        <x:v>Draft</x:v>
      </x:c>
      <x:c r="F1412" s="117" t="str">
        <x:v>No</x:v>
      </x:c>
      <x:c r="G1412" s="117" t="str">
        <x:v>Yes</x:v>
      </x:c>
      <x:c r="H1412" s="117" t="str">
        <x:v>AutoLaunchedFlow</x:v>
      </x:c>
      <x:c r="I1412" s="118" t="n">
        <x:v>64</x:v>
      </x:c>
      <x:c r="J1412" s="117" t="str">
        <x:v>installed</x:v>
      </x:c>
      <x:c r="K1412" s="123" t="b">
        <x:v>0</x:v>
      </x:c>
      <x:c r="L1412" s="117"/>
      <x:c r="M1412" s="118"/>
      <x:c r="N1412" s="120" t="n">
        <x:v>45965.97738425926</x:v>
      </x:c>
      <x:c r="O1412" s="117" t="str"/>
      <x:c r="P1412" s="120" t="n">
        <x:v>45965.97741898148</x:v>
      </x:c>
      <x:c r="Q1412" s="117" t="str"/>
      <x:c r="R1412" s="117" t="str">
        <x:v>Full Payment</x:v>
      </x:c>
      <x:c r="S1412" s="119" t="str">
        <x:v>This flow updates the Payment_Received__c field to 'Full' on ChargentOrder__c records when the Total__c equals the Transaction_Total__c, indicating a full payment has been received.</x:v>
      </x:c>
    </x:row>
    <x:row r="1413" ht="30" customHeight="1">
      <x:c r="A1413" s="117" t="str">
        <x:v>Generate_Invoice_PDF_Flow</x:v>
      </x:c>
      <x:c r="B1413" s="117" t="str">
        <x:v>3004O000000Xh6cQAC</x:v>
      </x:c>
      <x:c r="C1413" s="117" t="str">
        <x:v>3014O000000YAWTQA4</x:v>
      </x:c>
      <x:c r="D1413" s="118" t="n">
        <x:v>1</x:v>
      </x:c>
      <x:c r="E1413" s="117" t="str">
        <x:v>Draft</x:v>
      </x:c>
      <x:c r="F1413" s="117" t="str">
        <x:v>No</x:v>
      </x:c>
      <x:c r="G1413" s="117" t="str">
        <x:v>Yes</x:v>
      </x:c>
      <x:c r="H1413" s="117" t="str">
        <x:v>Flow</x:v>
      </x:c>
      <x:c r="I1413" s="118" t="n">
        <x:v>51</x:v>
      </x:c>
      <x:c r="J1413" s="117" t="str">
        <x:v>unmanaged</x:v>
      </x:c>
      <x:c r="K1413" s="123" t="b">
        <x:v>0</x:v>
      </x:c>
      <x:c r="L1413" s="117"/>
      <x:c r="M1413" s="118"/>
      <x:c r="N1413" s="120" t="n">
        <x:v>44286.08556712963</x:v>
      </x:c>
      <x:c r="O1413" s="117" t="str">
        <x:v>Delegate</x:v>
      </x:c>
      <x:c r="P1413" s="120" t="n">
        <x:v>44286.08565972222</x:v>
      </x:c>
      <x:c r="Q1413" s="117" t="str">
        <x:v>Delegate</x:v>
      </x:c>
      <x:c r="R1413" s="117" t="str">
        <x:v>Generate Invoice PDF Flow</x:v>
      </x:c>
      <x:c r="S1413" s="119"/>
    </x:row>
    <x:row r="1414" ht="30" customHeight="1">
      <x:c r="A1414" s="117" t="str">
        <x:v>Generate_Mechanical_Services_Work_Order_Screen_Flow</x:v>
      </x:c>
      <x:c r="B1414" s="117" t="str">
        <x:v>300Ro00000y33GaIAI</x:v>
      </x:c>
      <x:c r="C1414" s="117" t="str">
        <x:v>301Ro0000188sRBIAY</x:v>
      </x:c>
      <x:c r="D1414" s="118" t="n">
        <x:v>1</x:v>
      </x:c>
      <x:c r="E1414" s="117" t="str">
        <x:v>Draft</x:v>
      </x:c>
      <x:c r="F1414" s="117" t="str">
        <x:v>No</x:v>
      </x:c>
      <x:c r="G1414" s="117" t="str">
        <x:v>Yes</x:v>
      </x:c>
      <x:c r="H1414" s="117" t="str">
        <x:v>Flow</x:v>
      </x:c>
      <x:c r="I1414" s="118" t="n">
        <x:v>66</x:v>
      </x:c>
      <x:c r="J1414" s="117" t="str">
        <x:v>unmanaged</x:v>
      </x:c>
      <x:c r="K1414" s="123" t="b">
        <x:v>0</x:v>
      </x:c>
      <x:c r="L1414" s="117"/>
      <x:c r="M1414" s="118"/>
      <x:c r="N1414" s="120" t="n">
        <x:v>46183.55863425926</x:v>
      </x:c>
      <x:c r="O1414" s="117" t="str">
        <x:v>Sacha Pearce</x:v>
      </x:c>
      <x:c r="P1414" s="120" t="n">
        <x:v>46183.55866898148</x:v>
      </x:c>
      <x:c r="Q1414" s="117" t="str">
        <x:v>Sacha Pearce</x:v>
      </x:c>
      <x:c r="R1414" s="117" t="str">
        <x:v>Generate Mechanical Services Work Order - Screen Flow</x:v>
      </x:c>
      <x:c r="S1414" s="119"/>
    </x:row>
    <x:row r="1415" ht="30" customHeight="1">
      <x:c r="A1415" s="117" t="str">
        <x:v>Harvest_Work_Order_Cost_PA_Screen_Flow</x:v>
      </x:c>
      <x:c r="B1415" s="117" t="str">
        <x:v>300Ro00000FzvvKIAR</x:v>
      </x:c>
      <x:c r="C1415" s="117" t="str">
        <x:v>301Ro00000HWmMOIA1</x:v>
      </x:c>
      <x:c r="D1415" s="118" t="n">
        <x:v>1</x:v>
      </x:c>
      <x:c r="E1415" s="117" t="str">
        <x:v>InvalidDraft</x:v>
      </x:c>
      <x:c r="F1415" s="117" t="str">
        <x:v>No</x:v>
      </x:c>
      <x:c r="G1415" s="117" t="str">
        <x:v>No</x:v>
      </x:c>
      <x:c r="H1415" s="117" t="str">
        <x:v>Flow</x:v>
      </x:c>
      <x:c r="I1415" s="118" t="n">
        <x:v>61</x:v>
      </x:c>
      <x:c r="J1415" s="117" t="str">
        <x:v>unmanaged</x:v>
      </x:c>
      <x:c r="K1415" s="123" t="b">
        <x:v>0</x:v>
      </x:c>
      <x:c r="L1415" s="117"/>
      <x:c r="M1415" s="118"/>
      <x:c r="N1415" s="120" t="n">
        <x:v>45497.08391203704</x:v>
      </x:c>
      <x:c r="O1415" s="117" t="str">
        <x:v>Jace Gentil</x:v>
      </x:c>
      <x:c r="P1415" s="120" t="n">
        <x:v>45497.08393518518</x:v>
      </x:c>
      <x:c r="Q1415" s="117" t="str">
        <x:v>Jace Gentil</x:v>
      </x:c>
      <x:c r="R1415" s="117" t="str">
        <x:v>Harvest Work Order Cost PA Screen Flow</x:v>
      </x:c>
      <x:c r="S1415" s="119"/>
    </x:row>
    <x:row r="1416" ht="30" customHeight="1">
      <x:c r="A1416" s="117" t="str">
        <x:v>Harvest_Work_Order_Cost_PA_Screen_Flow</x:v>
      </x:c>
      <x:c r="B1416" s="117" t="str">
        <x:v>300Ro00000FzvvKIAR</x:v>
      </x:c>
      <x:c r="C1416" s="117" t="str">
        <x:v>301Ro00000HWoJmIAL</x:v>
      </x:c>
      <x:c r="D1416" s="118" t="n">
        <x:v>2</x:v>
      </x:c>
      <x:c r="E1416" s="117" t="str">
        <x:v>Obsolete</x:v>
      </x:c>
      <x:c r="F1416" s="117" t="str">
        <x:v>No</x:v>
      </x:c>
      <x:c r="G1416" s="117" t="str">
        <x:v>No</x:v>
      </x:c>
      <x:c r="H1416" s="117" t="str">
        <x:v>Flow</x:v>
      </x:c>
      <x:c r="I1416" s="118" t="n">
        <x:v>61</x:v>
      </x:c>
      <x:c r="J1416" s="117" t="str">
        <x:v>unmanaged</x:v>
      </x:c>
      <x:c r="K1416" s="123" t="b">
        <x:v>0</x:v>
      </x:c>
      <x:c r="L1416" s="117"/>
      <x:c r="M1416" s="118"/>
      <x:c r="N1416" s="120" t="n">
        <x:v>45497.105162037034</x:v>
      </x:c>
      <x:c r="O1416" s="117" t="str">
        <x:v>Jace Gentil</x:v>
      </x:c>
      <x:c r="P1416" s="120" t="n">
        <x:v>45497.10524305556</x:v>
      </x:c>
      <x:c r="Q1416" s="117" t="str">
        <x:v>Jace Gentil</x:v>
      </x:c>
      <x:c r="R1416" s="117" t="str">
        <x:v>Harvest Work Order Cost PA Screen Flow</x:v>
      </x:c>
      <x:c r="S1416" s="119"/>
    </x:row>
    <x:row r="1417" ht="30" customHeight="1">
      <x:c r="A1417" s="117" t="str">
        <x:v>Harvest_Work_Order_Cost_PA_Screen_Flow</x:v>
      </x:c>
      <x:c r="B1417" s="117" t="str">
        <x:v>300Ro00000FzvvKIAR</x:v>
      </x:c>
      <x:c r="C1417" s="117" t="str">
        <x:v>301Ro00000I5XfQIAV</x:v>
      </x:c>
      <x:c r="D1417" s="118" t="n">
        <x:v>3</x:v>
      </x:c>
      <x:c r="E1417" s="117" t="str">
        <x:v>Obsolete</x:v>
      </x:c>
      <x:c r="F1417" s="117" t="str">
        <x:v>No</x:v>
      </x:c>
      <x:c r="G1417" s="117" t="str">
        <x:v>No</x:v>
      </x:c>
      <x:c r="H1417" s="117" t="str">
        <x:v>Flow</x:v>
      </x:c>
      <x:c r="I1417" s="118" t="n">
        <x:v>61</x:v>
      </x:c>
      <x:c r="J1417" s="117" t="str">
        <x:v>unmanaged</x:v>
      </x:c>
      <x:c r="K1417" s="123" t="b">
        <x:v>0</x:v>
      </x:c>
      <x:c r="L1417" s="117"/>
      <x:c r="M1417" s="118"/>
      <x:c r="N1417" s="120" t="n">
        <x:v>45504.7975</x:v>
      </x:c>
      <x:c r="O1417" s="117" t="str">
        <x:v>Jace Gentil</x:v>
      </x:c>
      <x:c r="P1417" s="120" t="n">
        <x:v>45504.79755787037</x:v>
      </x:c>
      <x:c r="Q1417" s="117" t="str">
        <x:v>Jace Gentil</x:v>
      </x:c>
      <x:c r="R1417" s="117" t="str">
        <x:v>Harvest Work Order Cost PA Screen Flow</x:v>
      </x:c>
      <x:c r="S1417" s="119"/>
    </x:row>
    <x:row r="1418" ht="30" customHeight="1">
      <x:c r="A1418" s="117" t="str">
        <x:v>Harvest_Work_Order_Cost_PA_Screen_Flow</x:v>
      </x:c>
      <x:c r="B1418" s="117" t="str">
        <x:v>300Ro00000FzvvKIAR</x:v>
      </x:c>
      <x:c r="C1418" s="117" t="str">
        <x:v>301Ro00000UNnGVIA1</x:v>
      </x:c>
      <x:c r="D1418" s="118" t="n">
        <x:v>4</x:v>
      </x:c>
      <x:c r="E1418" s="117" t="str">
        <x:v>Obsolete</x:v>
      </x:c>
      <x:c r="F1418" s="117" t="str">
        <x:v>No</x:v>
      </x:c>
      <x:c r="G1418" s="117" t="str">
        <x:v>No</x:v>
      </x:c>
      <x:c r="H1418" s="117" t="str">
        <x:v>Flow</x:v>
      </x:c>
      <x:c r="I1418" s="118" t="n">
        <x:v>61</x:v>
      </x:c>
      <x:c r="J1418" s="117" t="str">
        <x:v>unmanaged</x:v>
      </x:c>
      <x:c r="K1418" s="123" t="b">
        <x:v>0</x:v>
      </x:c>
      <x:c r="L1418" s="117"/>
      <x:c r="M1418" s="118"/>
      <x:c r="N1418" s="120" t="n">
        <x:v>45708.79954861111</x:v>
      </x:c>
      <x:c r="O1418" s="117" t="str">
        <x:v>Jace Gentil</x:v>
      </x:c>
      <x:c r="P1418" s="120" t="n">
        <x:v>45708.799629629626</x:v>
      </x:c>
      <x:c r="Q1418" s="117" t="str">
        <x:v>Jace Gentil</x:v>
      </x:c>
      <x:c r="R1418" s="117" t="str">
        <x:v>Harvest Work Order Cost PA Screen Flow</x:v>
      </x:c>
      <x:c r="S1418" s="119"/>
    </x:row>
    <x:row r="1419" ht="30" customHeight="1">
      <x:c r="A1419" s="117" t="str">
        <x:v>Harvest_Work_Order_Cost_PA_Screen_Flow</x:v>
      </x:c>
      <x:c r="B1419" s="117" t="str">
        <x:v>300Ro00000FzvvKIAR</x:v>
      </x:c>
      <x:c r="C1419" s="117" t="str">
        <x:v>301Ro00000UNgiJIAT</x:v>
      </x:c>
      <x:c r="D1419" s="118" t="n">
        <x:v>5</x:v>
      </x:c>
      <x:c r="E1419" s="117" t="str">
        <x:v>Obsolete</x:v>
      </x:c>
      <x:c r="F1419" s="117" t="str">
        <x:v>No</x:v>
      </x:c>
      <x:c r="G1419" s="117" t="str">
        <x:v>No</x:v>
      </x:c>
      <x:c r="H1419" s="117" t="str">
        <x:v>Flow</x:v>
      </x:c>
      <x:c r="I1419" s="118" t="n">
        <x:v>61</x:v>
      </x:c>
      <x:c r="J1419" s="117" t="str">
        <x:v>unmanaged</x:v>
      </x:c>
      <x:c r="K1419" s="123" t="b">
        <x:v>0</x:v>
      </x:c>
      <x:c r="L1419" s="117"/>
      <x:c r="M1419" s="118"/>
      <x:c r="N1419" s="120" t="n">
        <x:v>45708.802303240744</x:v>
      </x:c>
      <x:c r="O1419" s="117" t="str">
        <x:v>Jace Gentil</x:v>
      </x:c>
      <x:c r="P1419" s="120" t="n">
        <x:v>45708.80237268518</x:v>
      </x:c>
      <x:c r="Q1419" s="117" t="str">
        <x:v>Jace Gentil</x:v>
      </x:c>
      <x:c r="R1419" s="117" t="str">
        <x:v>Harvest Work Order Cost PA Screen Flow</x:v>
      </x:c>
      <x:c r="S1419" s="119"/>
    </x:row>
    <x:row r="1420" ht="30" customHeight="1">
      <x:c r="A1420" s="117" t="str">
        <x:v>Harvest_Work_Order_Cost_PA_Screen_Flow</x:v>
      </x:c>
      <x:c r="B1420" s="117" t="str">
        <x:v>300Ro00000FzvvKIAR</x:v>
      </x:c>
      <x:c r="C1420" s="117" t="str">
        <x:v>301Ro00000UNl55IAD</x:v>
      </x:c>
      <x:c r="D1420" s="118" t="n">
        <x:v>6</x:v>
      </x:c>
      <x:c r="E1420" s="117" t="str">
        <x:v>Obsolete</x:v>
      </x:c>
      <x:c r="F1420" s="117" t="str">
        <x:v>No</x:v>
      </x:c>
      <x:c r="G1420" s="117" t="str">
        <x:v>No</x:v>
      </x:c>
      <x:c r="H1420" s="117" t="str">
        <x:v>Flow</x:v>
      </x:c>
      <x:c r="I1420" s="118" t="n">
        <x:v>61</x:v>
      </x:c>
      <x:c r="J1420" s="117" t="str">
        <x:v>unmanaged</x:v>
      </x:c>
      <x:c r="K1420" s="123" t="b">
        <x:v>0</x:v>
      </x:c>
      <x:c r="L1420" s="117"/>
      <x:c r="M1420" s="118"/>
      <x:c r="N1420" s="120" t="n">
        <x:v>45708.80841435185</x:v>
      </x:c>
      <x:c r="O1420" s="117" t="str">
        <x:v>Jace Gentil</x:v>
      </x:c>
      <x:c r="P1420" s="120" t="n">
        <x:v>45708.80850694444</x:v>
      </x:c>
      <x:c r="Q1420" s="117" t="str">
        <x:v>Jace Gentil</x:v>
      </x:c>
      <x:c r="R1420" s="117" t="str">
        <x:v>Harvest Work Order Cost PA Screen Flow</x:v>
      </x:c>
      <x:c r="S1420" s="119"/>
    </x:row>
    <x:row r="1421" ht="30" customHeight="1">
      <x:c r="A1421" s="117" t="str">
        <x:v>Harvest_Work_Order_Cost_PA_Screen_Flow</x:v>
      </x:c>
      <x:c r="B1421" s="117" t="str">
        <x:v>300Ro00000FzvvKIAR</x:v>
      </x:c>
      <x:c r="C1421" s="117" t="str">
        <x:v>301Ro00000UeaEvIAJ</x:v>
      </x:c>
      <x:c r="D1421" s="118" t="n">
        <x:v>7</x:v>
      </x:c>
      <x:c r="E1421" s="117" t="str">
        <x:v>Active</x:v>
      </x:c>
      <x:c r="F1421" s="117" t="str">
        <x:v>Yes</x:v>
      </x:c>
      <x:c r="G1421" s="117" t="str">
        <x:v>Yes</x:v>
      </x:c>
      <x:c r="H1421" s="117" t="str">
        <x:v>Flow</x:v>
      </x:c>
      <x:c r="I1421" s="118" t="n">
        <x:v>61</x:v>
      </x:c>
      <x:c r="J1421" s="117" t="str">
        <x:v>unmanaged</x:v>
      </x:c>
      <x:c r="K1421" s="123" t="b">
        <x:v>0</x:v>
      </x:c>
      <x:c r="L1421" s="117"/>
      <x:c r="M1421" s="118"/>
      <x:c r="N1421" s="120" t="n">
        <x:v>45713.7553125</x:v>
      </x:c>
      <x:c r="O1421" s="117" t="str">
        <x:v>Jace Gentil</x:v>
      </x:c>
      <x:c r="P1421" s="120" t="n">
        <x:v>45713.755381944444</x:v>
      </x:c>
      <x:c r="Q1421" s="117" t="str">
        <x:v>Jace Gentil</x:v>
      </x:c>
      <x:c r="R1421" s="117" t="str">
        <x:v>Harvest Work Order Cost PA Screen Flow</x:v>
      </x:c>
      <x:c r="S1421" s="119"/>
    </x:row>
    <x:row r="1422" ht="30" customHeight="1">
      <x:c r="A1422" s="117" t="str">
        <x:v>Harvest_Work_Order_Creation_Update_System_Work_Order_With_Harvest_Work_Order</x:v>
      </x:c>
      <x:c r="B1422" s="117" t="str">
        <x:v>300Ro00000w4O40IAE</x:v>
      </x:c>
      <x:c r="C1422" s="117" t="str">
        <x:v>301Ro0000147WuwIAE</x:v>
      </x:c>
      <x:c r="D1422" s="118" t="n">
        <x:v>1</x:v>
      </x:c>
      <x:c r="E1422" s="117" t="str">
        <x:v>Active</x:v>
      </x:c>
      <x:c r="F1422" s="117" t="str">
        <x:v>Yes</x:v>
      </x:c>
      <x:c r="G1422" s="117" t="str">
        <x:v>Yes</x:v>
      </x:c>
      <x:c r="H1422" s="117" t="str">
        <x:v>AutoLaunchedFlow</x:v>
      </x:c>
      <x:c r="I1422" s="118" t="n">
        <x:v>66</x:v>
      </x:c>
      <x:c r="J1422" s="117" t="str">
        <x:v>unmanaged</x:v>
      </x:c>
      <x:c r="K1422" s="123" t="b">
        <x:v>0</x:v>
      </x:c>
      <x:c r="L1422" s="117"/>
      <x:c r="M1422" s="118"/>
      <x:c r="N1422" s="120" t="n">
        <x:v>46138.441203703704</x:v>
      </x:c>
      <x:c r="O1422" s="117" t="str">
        <x:v>Sacha Pearce</x:v>
      </x:c>
      <x:c r="P1422" s="120" t="n">
        <x:v>46138.44341435185</x:v>
      </x:c>
      <x:c r="Q1422" s="117" t="str">
        <x:v>Sacha Pearce</x:v>
      </x:c>
      <x:c r="R1422" s="117" t="str">
        <x:v>Harvest Work Order - Creation - Update System Work Order With Harvest Work Order</x:v>
      </x:c>
      <x:c r="S1422" s="119"/>
    </x:row>
    <x:row r="1423" ht="30" customHeight="1">
      <x:c r="A1423" s="117" t="str">
        <x:v>Harvest_Work_Order_Roll_Up_Flow</x:v>
      </x:c>
      <x:c r="B1423" s="117" t="str">
        <x:v>3005b000000PzCkAAK</x:v>
      </x:c>
      <x:c r="C1423" s="117" t="str">
        <x:v>3015b000000W1O9AAK</x:v>
      </x:c>
      <x:c r="D1423" s="118" t="n">
        <x:v>1</x:v>
      </x:c>
      <x:c r="E1423" s="117" t="str">
        <x:v>Draft</x:v>
      </x:c>
      <x:c r="F1423" s="117" t="str">
        <x:v>No</x:v>
      </x:c>
      <x:c r="G1423" s="117" t="str">
        <x:v>No</x:v>
      </x:c>
      <x:c r="H1423" s="117" t="str">
        <x:v>AutoLaunchedFlow</x:v>
      </x:c>
      <x:c r="I1423" s="118" t="n">
        <x:v>57</x:v>
      </x:c>
      <x:c r="J1423" s="117" t="str">
        <x:v>unmanaged</x:v>
      </x:c>
      <x:c r="K1423" s="123" t="b">
        <x:v>0</x:v>
      </x:c>
      <x:c r="L1423" s="117"/>
      <x:c r="M1423" s="118"/>
      <x:c r="N1423" s="120" t="n">
        <x:v>45021.70659722222</x:v>
      </x:c>
      <x:c r="O1423" s="117" t="str">
        <x:v>Jace Gentil</x:v>
      </x:c>
      <x:c r="P1423" s="120" t="n">
        <x:v>45021.706608796296</x:v>
      </x:c>
      <x:c r="Q1423" s="117" t="str">
        <x:v>Jace Gentil</x:v>
      </x:c>
      <x:c r="R1423" s="117" t="str">
        <x:v>Harvest Work Order Roll-Up Flow</x:v>
      </x:c>
      <x:c r="S1423" s="119"/>
    </x:row>
    <x:row r="1424" ht="30" customHeight="1">
      <x:c r="A1424" s="117" t="str">
        <x:v>Harvest_Work_Order_Roll_Up_Flow</x:v>
      </x:c>
      <x:c r="B1424" s="117" t="str">
        <x:v>3005b000000PzCkAAK</x:v>
      </x:c>
      <x:c r="C1424" s="117" t="str">
        <x:v>3015b000000W1OJAA0</x:v>
      </x:c>
      <x:c r="D1424" s="118" t="n">
        <x:v>2</x:v>
      </x:c>
      <x:c r="E1424" s="117" t="str">
        <x:v>Active</x:v>
      </x:c>
      <x:c r="F1424" s="117" t="str">
        <x:v>Yes</x:v>
      </x:c>
      <x:c r="G1424" s="117" t="str">
        <x:v>Yes</x:v>
      </x:c>
      <x:c r="H1424" s="117" t="str">
        <x:v>AutoLaunchedFlow</x:v>
      </x:c>
      <x:c r="I1424" s="118" t="n">
        <x:v>57</x:v>
      </x:c>
      <x:c r="J1424" s="117" t="str">
        <x:v>unmanaged</x:v>
      </x:c>
      <x:c r="K1424" s="123" t="b">
        <x:v>0</x:v>
      </x:c>
      <x:c r="L1424" s="117"/>
      <x:c r="M1424" s="118"/>
      <x:c r="N1424" s="120" t="n">
        <x:v>45021.707025462965</x:v>
      </x:c>
      <x:c r="O1424" s="117" t="str">
        <x:v>Jace Gentil</x:v>
      </x:c>
      <x:c r="P1424" s="120" t="n">
        <x:v>45021.70704861111</x:v>
      </x:c>
      <x:c r="Q1424" s="117" t="str">
        <x:v>Jace Gentil</x:v>
      </x:c>
      <x:c r="R1424" s="117" t="str">
        <x:v>Harvest Work Order Roll-Up Flow</x:v>
      </x:c>
      <x:c r="S1424" s="119"/>
    </x:row>
    <x:row r="1425" ht="30" customHeight="1">
      <x:c r="A1425" s="117" t="str">
        <x:v>Harvest_Work_Order_to_System_Work_Order</x:v>
      </x:c>
      <x:c r="B1425" s="117" t="str">
        <x:v>300Ro000008sFGnIAM</x:v>
      </x:c>
      <x:c r="C1425" s="117" t="str">
        <x:v>301Ro000009nUUSIA2</x:v>
      </x:c>
      <x:c r="D1425" s="118" t="n">
        <x:v>1</x:v>
      </x:c>
      <x:c r="E1425" s="117" t="str">
        <x:v>Obsolete</x:v>
      </x:c>
      <x:c r="F1425" s="117" t="str">
        <x:v>No</x:v>
      </x:c>
      <x:c r="G1425" s="117" t="str">
        <x:v>No</x:v>
      </x:c>
      <x:c r="H1425" s="117" t="str">
        <x:v>AutoLaunchedFlow</x:v>
      </x:c>
      <x:c r="I1425" s="118" t="n">
        <x:v>57</x:v>
      </x:c>
      <x:c r="J1425" s="117" t="str">
        <x:v>unmanaged</x:v>
      </x:c>
      <x:c r="K1425" s="123" t="b">
        <x:v>0</x:v>
      </x:c>
      <x:c r="L1425" s="117"/>
      <x:c r="M1425" s="118"/>
      <x:c r="N1425" s="120" t="n">
        <x:v>45378.16743055556</x:v>
      </x:c>
      <x:c r="O1425" s="117" t="str">
        <x:v>Delegate</x:v>
      </x:c>
      <x:c r="P1425" s="120" t="n">
        <x:v>45378.169282407405</x:v>
      </x:c>
      <x:c r="Q1425" s="117" t="str">
        <x:v>Delegate</x:v>
      </x:c>
      <x:c r="R1425" s="117" t="str">
        <x:v>Harvest Work Order to System Work Order</x:v>
      </x:c>
      <x:c r="S1425" s="119" t="str">
        <x:v>03/26/24 - CDM - HWO to SWO Total Revenue and Total Cost DLRS converted to Flow</x:v>
      </x:c>
    </x:row>
    <x:row r="1426" ht="30" customHeight="1">
      <x:c r="A1426" s="117" t="str">
        <x:v>Harvest_Work_Order_to_System_Work_Order</x:v>
      </x:c>
      <x:c r="B1426" s="117" t="str">
        <x:v>300Ro000008sFGnIAM</x:v>
      </x:c>
      <x:c r="C1426" s="117" t="str">
        <x:v>301Ro00000ABmmjIAD</x:v>
      </x:c>
      <x:c r="D1426" s="118" t="n">
        <x:v>2</x:v>
      </x:c>
      <x:c r="E1426" s="117" t="str">
        <x:v>Obsolete</x:v>
      </x:c>
      <x:c r="F1426" s="117" t="str">
        <x:v>No</x:v>
      </x:c>
      <x:c r="G1426" s="117" t="str">
        <x:v>No</x:v>
      </x:c>
      <x:c r="H1426" s="117" t="str">
        <x:v>AutoLaunchedFlow</x:v>
      </x:c>
      <x:c r="I1426" s="118" t="n">
        <x:v>57</x:v>
      </x:c>
      <x:c r="J1426" s="117" t="str">
        <x:v>unmanaged</x:v>
      </x:c>
      <x:c r="K1426" s="123" t="b">
        <x:v>0</x:v>
      </x:c>
      <x:c r="L1426" s="117"/>
      <x:c r="M1426" s="118"/>
      <x:c r="N1426" s="120" t="n">
        <x:v>45384.61982638889</x:v>
      </x:c>
      <x:c r="O1426" s="117" t="str">
        <x:v>Delegate</x:v>
      </x:c>
      <x:c r="P1426" s="120" t="n">
        <x:v>45384.620300925926</x:v>
      </x:c>
      <x:c r="Q1426" s="117" t="str">
        <x:v>Delegate</x:v>
      </x:c>
      <x:c r="R1426" s="117" t="str">
        <x:v>Harvest Work Order to System Work Order</x:v>
      </x:c>
      <x:c r="S1426" s="119" t="str">
        <x:v>03/26/24 - CDM - HWO to SWO Total Revenue and Total Cost DLRS converted to Flow</x:v>
      </x:c>
    </x:row>
    <x:row r="1427" ht="30" customHeight="1">
      <x:c r="A1427" s="117" t="str">
        <x:v>Harvest_Work_Order_to_System_Work_Order</x:v>
      </x:c>
      <x:c r="B1427" s="117" t="str">
        <x:v>300Ro000008sFGnIAM</x:v>
      </x:c>
      <x:c r="C1427" s="117" t="str">
        <x:v>301Ro00000ABncLIAT</x:v>
      </x:c>
      <x:c r="D1427" s="118" t="n">
        <x:v>3</x:v>
      </x:c>
      <x:c r="E1427" s="117" t="str">
        <x:v>Obsolete</x:v>
      </x:c>
      <x:c r="F1427" s="117" t="str">
        <x:v>No</x:v>
      </x:c>
      <x:c r="G1427" s="117" t="str">
        <x:v>No</x:v>
      </x:c>
      <x:c r="H1427" s="117" t="str">
        <x:v>AutoLaunchedFlow</x:v>
      </x:c>
      <x:c r="I1427" s="118" t="n">
        <x:v>57</x:v>
      </x:c>
      <x:c r="J1427" s="117" t="str">
        <x:v>unmanaged</x:v>
      </x:c>
      <x:c r="K1427" s="123" t="b">
        <x:v>0</x:v>
      </x:c>
      <x:c r="L1427" s="117"/>
      <x:c r="M1427" s="118"/>
      <x:c r="N1427" s="120" t="n">
        <x:v>45384.621412037035</x:v>
      </x:c>
      <x:c r="O1427" s="117" t="str">
        <x:v>Delegate</x:v>
      </x:c>
      <x:c r="P1427" s="120" t="n">
        <x:v>45384.62144675926</x:v>
      </x:c>
      <x:c r="Q1427" s="117" t="str">
        <x:v>Delegate</x:v>
      </x:c>
      <x:c r="R1427" s="117" t="str">
        <x:v>Harvest Work Order to System Work Order</x:v>
      </x:c>
      <x:c r="S1427" s="119" t="str">
        <x:v>04/02/2024 CDM - Updated assignment node to pull in the current values from the triggering record.</x:v>
      </x:c>
    </x:row>
    <x:row r="1428" ht="30" customHeight="1">
      <x:c r="A1428" s="117" t="str">
        <x:v>Harvest_Work_Order_to_System_Work_Order</x:v>
      </x:c>
      <x:c r="B1428" s="117" t="str">
        <x:v>300Ro000008sFGnIAM</x:v>
      </x:c>
      <x:c r="C1428" s="117" t="str">
        <x:v>301Ro00000ABLWaIAP</x:v>
      </x:c>
      <x:c r="D1428" s="118" t="n">
        <x:v>4</x:v>
      </x:c>
      <x:c r="E1428" s="117" t="str">
        <x:v>Active</x:v>
      </x:c>
      <x:c r="F1428" s="117" t="str">
        <x:v>Yes</x:v>
      </x:c>
      <x:c r="G1428" s="117" t="str">
        <x:v>Yes</x:v>
      </x:c>
      <x:c r="H1428" s="117" t="str">
        <x:v>AutoLaunchedFlow</x:v>
      </x:c>
      <x:c r="I1428" s="118" t="n">
        <x:v>57</x:v>
      </x:c>
      <x:c r="J1428" s="117" t="str">
        <x:v>unmanaged</x:v>
      </x:c>
      <x:c r="K1428" s="123" t="b">
        <x:v>0</x:v>
      </x:c>
      <x:c r="L1428" s="117"/>
      <x:c r="M1428" s="118"/>
      <x:c r="N1428" s="120" t="n">
        <x:v>45384.621782407405</x:v>
      </x:c>
      <x:c r="O1428" s="117" t="str">
        <x:v>Delegate</x:v>
      </x:c>
      <x:c r="P1428" s="120" t="n">
        <x:v>45384.62181712963</x:v>
      </x:c>
      <x:c r="Q1428" s="117" t="str">
        <x:v>Delegate</x:v>
      </x:c>
      <x:c r="R1428" s="117" t="str">
        <x:v>Harvest Work Order to System Work Order</x:v>
      </x:c>
      <x:c r="S1428" s="119" t="str">
        <x:v>04/02/2024 CDM - Updated assignment node to pull in the current values from the triggering record.</x:v>
      </x:c>
    </x:row>
    <x:row r="1429" ht="30" customHeight="1">
      <x:c r="A1429" s="117" t="str">
        <x:v>Has_Files_Flow</x:v>
      </x:c>
      <x:c r="B1429" s="117" t="str">
        <x:v>3005b000000H3uqAAC</x:v>
      </x:c>
      <x:c r="C1429" s="117" t="str">
        <x:v>3015b000000EK8kAAG</x:v>
      </x:c>
      <x:c r="D1429" s="118" t="n">
        <x:v>1</x:v>
      </x:c>
      <x:c r="E1429" s="117" t="str">
        <x:v>Obsolete</x:v>
      </x:c>
      <x:c r="F1429" s="117" t="str">
        <x:v>No</x:v>
      </x:c>
      <x:c r="G1429" s="117" t="str">
        <x:v>Yes</x:v>
      </x:c>
      <x:c r="H1429" s="117" t="str">
        <x:v>AutoLaunchedFlow</x:v>
      </x:c>
      <x:c r="I1429" s="118" t="n">
        <x:v>54</x:v>
      </x:c>
      <x:c r="J1429" s="117" t="str">
        <x:v>unmanaged</x:v>
      </x:c>
      <x:c r="K1429" s="123" t="b">
        <x:v>0</x:v>
      </x:c>
      <x:c r="L1429" s="117"/>
      <x:c r="M1429" s="118"/>
      <x:c r="N1429" s="120" t="n">
        <x:v>44718.746458333335</x:v>
      </x:c>
      <x:c r="O1429" s="117" t="str">
        <x:v>Delegate</x:v>
      </x:c>
      <x:c r="P1429" s="120" t="n">
        <x:v>44719.51238425926</x:v>
      </x:c>
      <x:c r="Q1429" s="117" t="str">
        <x:v>Delegate</x:v>
      </x:c>
      <x:c r="R1429" s="117" t="str">
        <x:v>Has Files Flow</x:v>
      </x:c>
      <x:c r="S1429" s="119"/>
    </x:row>
    <x:row r="1430" ht="30" customHeight="1">
      <x:c r="A1430" s="117" t="str">
        <x:v>If_FSR_Not_Required_FSR_Datestamp_Blank_at_Closed_Won_Set_FSR_Datestamp_to_Today</x:v>
      </x:c>
      <x:c r="B1430" s="117" t="str">
        <x:v>300Ro00000wnmN8IAI</x:v>
      </x:c>
      <x:c r="C1430" s="117" t="str">
        <x:v>301Ro000014vSsqIAE</x:v>
      </x:c>
      <x:c r="D1430" s="118" t="n">
        <x:v>1</x:v>
      </x:c>
      <x:c r="E1430" s="117" t="str">
        <x:v>Active</x:v>
      </x:c>
      <x:c r="F1430" s="117" t="str">
        <x:v>Yes</x:v>
      </x:c>
      <x:c r="G1430" s="117" t="str">
        <x:v>Yes</x:v>
      </x:c>
      <x:c r="H1430" s="117" t="str">
        <x:v>AutoLaunchedFlow</x:v>
      </x:c>
      <x:c r="I1430" s="118" t="n">
        <x:v>66</x:v>
      </x:c>
      <x:c r="J1430" s="117" t="str">
        <x:v>unmanaged</x:v>
      </x:c>
      <x:c r="K1430" s="123" t="b">
        <x:v>0</x:v>
      </x:c>
      <x:c r="L1430" s="117"/>
      <x:c r="M1430" s="118"/>
      <x:c r="N1430" s="120" t="n">
        <x:v>46148.500868055555</x:v>
      </x:c>
      <x:c r="O1430" s="117" t="str">
        <x:v>Delegate</x:v>
      </x:c>
      <x:c r="P1430" s="120" t="n">
        <x:v>46148.500914351855</x:v>
      </x:c>
      <x:c r="Q1430" s="117" t="str">
        <x:v>Delegate</x:v>
      </x:c>
      <x:c r="R1430" s="117" t="str">
        <x:v>If FSR Not Required checked true &amp; FSR Datestamp Blank at Closed Won | Set FSR Datestamp to Today</x:v>
      </x:c>
      <x:c r="S1430" s="119" t="str">
        <x:v>05/06/2026 (BW) - Sets the FSR Datestamp to today if FSR is not required is checked to true (on create) and the FSR datestamp is blank on close winning of the opportunity</x:v>
      </x:c>
    </x:row>
    <x:row r="1431" ht="30" customHeight="1">
      <x:c r="A1431" s="117" t="str">
        <x:v>Injector_Checklist</x:v>
      </x:c>
      <x:c r="B1431" s="117" t="str">
        <x:v>300Ro00000Pz0klIAB</x:v>
      </x:c>
      <x:c r="C1431" s="117" t="str">
        <x:v>301Ro00000Sd0UlIAJ</x:v>
      </x:c>
      <x:c r="D1431" s="118" t="n">
        <x:v>1</x:v>
      </x:c>
      <x:c r="E1431" s="117" t="str">
        <x:v>Obsolete</x:v>
      </x:c>
      <x:c r="F1431" s="117" t="str">
        <x:v>No</x:v>
      </x:c>
      <x:c r="G1431" s="117" t="str">
        <x:v>No</x:v>
      </x:c>
      <x:c r="H1431" s="117" t="str">
        <x:v>FieldServiceMobile</x:v>
      </x:c>
      <x:c r="I1431" s="118"/>
      <x:c r="J1431" s="117" t="str">
        <x:v>unmanaged</x:v>
      </x:c>
      <x:c r="K1431" s="123" t="b">
        <x:v>0</x:v>
      </x:c>
      <x:c r="L1431" s="117"/>
      <x:c r="M1431" s="118"/>
      <x:c r="N1431" s="120" t="n">
        <x:v>45680.21603009259</x:v>
      </x:c>
      <x:c r="O1431" s="117" t="str">
        <x:v>Delegate</x:v>
      </x:c>
      <x:c r="P1431" s="120" t="n">
        <x:v>45680.21606481481</x:v>
      </x:c>
      <x:c r="Q1431" s="117" t="str">
        <x:v>Delegate</x:v>
      </x:c>
      <x:c r="R1431" s="117" t="str">
        <x:v>Injector Checklist</x:v>
      </x:c>
      <x:c r="S1431" s="119" t="str">
        <x:v>checklistoutput</x:v>
      </x:c>
    </x:row>
    <x:row r="1432" ht="30" customHeight="1">
      <x:c r="A1432" s="117" t="str">
        <x:v>Injector_Checklist</x:v>
      </x:c>
      <x:c r="B1432" s="117" t="str">
        <x:v>300Ro00000Pz0klIAB</x:v>
      </x:c>
      <x:c r="C1432" s="117" t="str">
        <x:v>301Ro00000SpOwJIAV</x:v>
      </x:c>
      <x:c r="D1432" s="118" t="n">
        <x:v>2</x:v>
      </x:c>
      <x:c r="E1432" s="117" t="str">
        <x:v>Obsolete</x:v>
      </x:c>
      <x:c r="F1432" s="117" t="str">
        <x:v>No</x:v>
      </x:c>
      <x:c r="G1432" s="117" t="str">
        <x:v>No</x:v>
      </x:c>
      <x:c r="H1432" s="117" t="str">
        <x:v>FieldServiceMobile</x:v>
      </x:c>
      <x:c r="I1432" s="118"/>
      <x:c r="J1432" s="117" t="str">
        <x:v>unmanaged</x:v>
      </x:c>
      <x:c r="K1432" s="123" t="b">
        <x:v>0</x:v>
      </x:c>
      <x:c r="L1432" s="117"/>
      <x:c r="M1432" s="118"/>
      <x:c r="N1432" s="120" t="n">
        <x:v>45684.13582175926</x:v>
      </x:c>
      <x:c r="O1432" s="117" t="str">
        <x:v>Delegate</x:v>
      </x:c>
      <x:c r="P1432" s="120" t="n">
        <x:v>45684.13584490741</x:v>
      </x:c>
      <x:c r="Q1432" s="117" t="str">
        <x:v>Delegate</x:v>
      </x:c>
      <x:c r="R1432" s="117" t="str">
        <x:v>Injector Checklist</x:v>
      </x:c>
      <x:c r="S1432" s="119" t="str">
        <x:v>01/26/2025 (BW) - Version to be used for testing</x:v>
      </x:c>
    </x:row>
    <x:row r="1433" ht="30" customHeight="1">
      <x:c r="A1433" s="117" t="str">
        <x:v>Injector_Checklist</x:v>
      </x:c>
      <x:c r="B1433" s="117" t="str">
        <x:v>300Ro00000Pz0klIAB</x:v>
      </x:c>
      <x:c r="C1433" s="117" t="str">
        <x:v>301Ro00000Sz49uIAB</x:v>
      </x:c>
      <x:c r="D1433" s="118" t="n">
        <x:v>3</x:v>
      </x:c>
      <x:c r="E1433" s="117" t="str">
        <x:v>Obsolete</x:v>
      </x:c>
      <x:c r="F1433" s="117" t="str">
        <x:v>No</x:v>
      </x:c>
      <x:c r="G1433" s="117" t="str">
        <x:v>No</x:v>
      </x:c>
      <x:c r="H1433" s="117" t="str">
        <x:v>FieldServiceMobile</x:v>
      </x:c>
      <x:c r="I1433" s="118"/>
      <x:c r="J1433" s="117" t="str">
        <x:v>unmanaged</x:v>
      </x:c>
      <x:c r="K1433" s="123" t="b">
        <x:v>0</x:v>
      </x:c>
      <x:c r="L1433" s="117"/>
      <x:c r="M1433" s="118"/>
      <x:c r="N1433" s="120" t="n">
        <x:v>45686.505474537036</x:v>
      </x:c>
      <x:c r="O1433" s="117" t="str">
        <x:v>Delegate</x:v>
      </x:c>
      <x:c r="P1433" s="120" t="n">
        <x:v>45686.50554398148</x:v>
      </x:c>
      <x:c r="Q1433" s="117" t="str">
        <x:v>Delegate</x:v>
      </x:c>
      <x:c r="R1433" s="117" t="str">
        <x:v>Injector Checklist</x:v>
      </x:c>
      <x:c r="S1433" s="119" t="str">
        <x:v>01/29/2025 (BW) - Updated required fields</x:v>
      </x:c>
    </x:row>
    <x:row r="1434" ht="30" customHeight="1">
      <x:c r="A1434" s="117" t="str">
        <x:v>Injector_Checklist</x:v>
      </x:c>
      <x:c r="B1434" s="117" t="str">
        <x:v>300Ro00000Pz0klIAB</x:v>
      </x:c>
      <x:c r="C1434" s="117" t="str">
        <x:v>301Ro00000WLNfEIAX</x:v>
      </x:c>
      <x:c r="D1434" s="118" t="n">
        <x:v>4</x:v>
      </x:c>
      <x:c r="E1434" s="117" t="str">
        <x:v>Active</x:v>
      </x:c>
      <x:c r="F1434" s="117" t="str">
        <x:v>Yes</x:v>
      </x:c>
      <x:c r="G1434" s="117" t="str">
        <x:v>No</x:v>
      </x:c>
      <x:c r="H1434" s="117" t="str">
        <x:v>FieldServiceMobile</x:v>
      </x:c>
      <x:c r="I1434" s="118"/>
      <x:c r="J1434" s="117" t="str">
        <x:v>unmanaged</x:v>
      </x:c>
      <x:c r="K1434" s="123" t="b">
        <x:v>0</x:v>
      </x:c>
      <x:c r="L1434" s="117"/>
      <x:c r="M1434" s="118"/>
      <x:c r="N1434" s="120" t="n">
        <x:v>45743.07278935185</x:v>
      </x:c>
      <x:c r="O1434" s="117" t="str">
        <x:v>Delegate</x:v>
      </x:c>
      <x:c r="P1434" s="120" t="n">
        <x:v>45743.0778125</x:v>
      </x:c>
      <x:c r="Q1434" s="117" t="str">
        <x:v>Delegate</x:v>
      </x:c>
      <x:c r="R1434" s="117" t="str">
        <x:v>Injector Checklist</x:v>
      </x:c>
      <x:c r="S1434" s="119" t="str">
        <x:v>03/26/2025 (BW) - Updating this Injector Checklist to the newer methodology</x:v>
      </x:c>
    </x:row>
    <x:row r="1435" ht="30" customHeight="1">
      <x:c r="A1435" s="117" t="str">
        <x:v>Injector_Checklist</x:v>
      </x:c>
      <x:c r="B1435" s="117" t="str">
        <x:v>300Ro00000Pz0klIAB</x:v>
      </x:c>
      <x:c r="C1435" s="117" t="str">
        <x:v>301Ro000013017XIAQ</x:v>
      </x:c>
      <x:c r="D1435" s="118" t="n">
        <x:v>5</x:v>
      </x:c>
      <x:c r="E1435" s="117" t="str">
        <x:v>Draft</x:v>
      </x:c>
      <x:c r="F1435" s="117" t="str">
        <x:v>No</x:v>
      </x:c>
      <x:c r="G1435" s="117" t="str">
        <x:v>Yes</x:v>
      </x:c>
      <x:c r="H1435" s="117" t="str">
        <x:v>FieldServiceMobile</x:v>
      </x:c>
      <x:c r="I1435" s="118"/>
      <x:c r="J1435" s="117" t="str">
        <x:v>unmanaged</x:v>
      </x:c>
      <x:c r="K1435" s="123" t="b">
        <x:v>0</x:v>
      </x:c>
      <x:c r="L1435" s="117"/>
      <x:c r="M1435" s="118"/>
      <x:c r="N1435" s="120" t="n">
        <x:v>46124.73372685185</x:v>
      </x:c>
      <x:c r="O1435" s="117" t="str">
        <x:v>Sacha Pearce</x:v>
      </x:c>
      <x:c r="P1435" s="120" t="n">
        <x:v>46124.73378472222</x:v>
      </x:c>
      <x:c r="Q1435" s="117" t="str">
        <x:v>Sacha Pearce</x:v>
      </x:c>
      <x:c r="R1435" s="117" t="str">
        <x:v>Injector Checklist</x:v>
      </x:c>
      <x:c r="S1435" s="119" t="str">
        <x:v>11/04/2026 - SP - Updating to new FSL process</x:v>
      </x:c>
    </x:row>
    <x:row r="1436" ht="30" customHeight="1">
      <x:c r="A1436" s="117" t="str">
        <x:v>Inter_Company_Transfer_Address_Update_Op</x:v>
      </x:c>
      <x:c r="B1436" s="117" t="str">
        <x:v>3005b000000PyxVAAS</x:v>
      </x:c>
      <x:c r="C1436" s="117" t="str">
        <x:v>3015b000000Vzp3AAC</x:v>
      </x:c>
      <x:c r="D1436" s="118" t="n">
        <x:v>1</x:v>
      </x:c>
      <x:c r="E1436" s="117" t="str">
        <x:v>Obsolete</x:v>
      </x:c>
      <x:c r="F1436" s="117" t="str">
        <x:v>No</x:v>
      </x:c>
      <x:c r="G1436" s="117" t="str">
        <x:v>No</x:v>
      </x:c>
      <x:c r="H1436" s="117" t="str">
        <x:v>AutoLaunchedFlow</x:v>
      </x:c>
      <x:c r="I1436" s="118" t="n">
        <x:v>57</x:v>
      </x:c>
      <x:c r="J1436" s="117" t="str">
        <x:v>unmanaged</x:v>
      </x:c>
      <x:c r="K1436" s="123" t="b">
        <x:v>0</x:v>
      </x:c>
      <x:c r="L1436" s="117"/>
      <x:c r="M1436" s="118"/>
      <x:c r="N1436" s="120" t="n">
        <x:v>44978.835231481484</x:v>
      </x:c>
      <x:c r="O1436" s="117" t="str">
        <x:v>Jace Gentil</x:v>
      </x:c>
      <x:c r="P1436" s="120" t="n">
        <x:v>45036.7019212963</x:v>
      </x:c>
      <x:c r="Q1436" s="117" t="str">
        <x:v>Jace Gentil</x:v>
      </x:c>
      <x:c r="R1436" s="117" t="str">
        <x:v>Inter-Company Transfer Address Update Op</x:v>
      </x:c>
      <x:c r="S1436" s="119"/>
    </x:row>
    <x:row r="1437" ht="30" customHeight="1">
      <x:c r="A1437" s="117" t="str">
        <x:v>Inter_Company_Transfer_Address_Update_Op</x:v>
      </x:c>
      <x:c r="B1437" s="117" t="str">
        <x:v>3005b000000PyxVAAS</x:v>
      </x:c>
      <x:c r="C1437" s="117" t="str">
        <x:v>3015b000000APeNAAW</x:v>
      </x:c>
      <x:c r="D1437" s="118" t="n">
        <x:v>2</x:v>
      </x:c>
      <x:c r="E1437" s="117" t="str">
        <x:v>Active</x:v>
      </x:c>
      <x:c r="F1437" s="117" t="str">
        <x:v>Yes</x:v>
      </x:c>
      <x:c r="G1437" s="117" t="str">
        <x:v>Yes</x:v>
      </x:c>
      <x:c r="H1437" s="117" t="str">
        <x:v>AutoLaunchedFlow</x:v>
      </x:c>
      <x:c r="I1437" s="118" t="n">
        <x:v>57</x:v>
      </x:c>
      <x:c r="J1437" s="117" t="str">
        <x:v>unmanaged</x:v>
      </x:c>
      <x:c r="K1437" s="123" t="b">
        <x:v>0</x:v>
      </x:c>
      <x:c r="L1437" s="117"/>
      <x:c r="M1437" s="118"/>
      <x:c r="N1437" s="120" t="n">
        <x:v>45145.53971064815</x:v>
      </x:c>
      <x:c r="O1437" s="117" t="str">
        <x:v>Delegate</x:v>
      </x:c>
      <x:c r="P1437" s="120" t="n">
        <x:v>45145.54005787037</x:v>
      </x:c>
      <x:c r="Q1437" s="117" t="str">
        <x:v>Delegate</x:v>
      </x:c>
      <x:c r="R1437" s="117" t="str">
        <x:v>Inter-Company Transfer Address Update Op</x:v>
      </x:c>
      <x:c r="S1437" s="119" t="str">
        <x:v>Added asynchronous path</x:v>
      </x:c>
    </x:row>
    <x:row r="1438" ht="30" customHeight="1">
      <x:c r="A1438" s="117" t="str">
        <x:v>Intercompany_Transfer_Automations</x:v>
      </x:c>
      <x:c r="B1438" s="117" t="str">
        <x:v>300Ro00000rK6tzIAC</x:v>
      </x:c>
      <x:c r="C1438" s="117" t="str">
        <x:v>301Ro00000ywzOyIAI</x:v>
      </x:c>
      <x:c r="D1438" s="118" t="n">
        <x:v>1</x:v>
      </x:c>
      <x:c r="E1438" s="117" t="str">
        <x:v>Active</x:v>
      </x:c>
      <x:c r="F1438" s="117" t="str">
        <x:v>Yes</x:v>
      </x:c>
      <x:c r="G1438" s="117" t="str">
        <x:v>Yes</x:v>
      </x:c>
      <x:c r="H1438" s="117" t="str">
        <x:v>AutoLaunchedFlow</x:v>
      </x:c>
      <x:c r="I1438" s="118" t="n">
        <x:v>66</x:v>
      </x:c>
      <x:c r="J1438" s="117" t="str">
        <x:v>unmanaged</x:v>
      </x:c>
      <x:c r="K1438" s="123" t="b">
        <x:v>0</x:v>
      </x:c>
      <x:c r="L1438" s="117"/>
      <x:c r="M1438" s="118"/>
      <x:c r="N1438" s="120" t="n">
        <x:v>46075.57701388889</x:v>
      </x:c>
      <x:c r="O1438" s="117" t="str">
        <x:v>Sacha Pearce</x:v>
      </x:c>
      <x:c r="P1438" s="120" t="n">
        <x:v>46075.57782407408</x:v>
      </x:c>
      <x:c r="Q1438" s="117" t="str">
        <x:v>Sacha Pearce</x:v>
      </x:c>
      <x:c r="R1438" s="117" t="str">
        <x:v>Intercompany Transfer Automations</x:v>
      </x:c>
      <x:c r="S1438" s="119"/>
    </x:row>
    <x:row r="1439" ht="30" customHeight="1">
      <x:c r="A1439" s="117" t="str">
        <x:v>IntraoralChecklist</x:v>
      </x:c>
      <x:c r="B1439" s="117" t="str">
        <x:v>300Ro00000Pz0kmIAB</x:v>
      </x:c>
      <x:c r="C1439" s="117" t="str">
        <x:v>301Ro00000Sd0UmIAJ</x:v>
      </x:c>
      <x:c r="D1439" s="118" t="n">
        <x:v>1</x:v>
      </x:c>
      <x:c r="E1439" s="117" t="str">
        <x:v>Obsolete</x:v>
      </x:c>
      <x:c r="F1439" s="117" t="str">
        <x:v>No</x:v>
      </x:c>
      <x:c r="G1439" s="117" t="str">
        <x:v>No</x:v>
      </x:c>
      <x:c r="H1439" s="117" t="str">
        <x:v>FieldServiceMobile</x:v>
      </x:c>
      <x:c r="I1439" s="118"/>
      <x:c r="J1439" s="117" t="str">
        <x:v>unmanaged</x:v>
      </x:c>
      <x:c r="K1439" s="123" t="b">
        <x:v>0</x:v>
      </x:c>
      <x:c r="L1439" s="117"/>
      <x:c r="M1439" s="118"/>
      <x:c r="N1439" s="120" t="n">
        <x:v>45680.21613425926</x:v>
      </x:c>
      <x:c r="O1439" s="117" t="str">
        <x:v>Delegate</x:v>
      </x:c>
      <x:c r="P1439" s="120" t="n">
        <x:v>45680.216145833336</x:v>
      </x:c>
      <x:c r="Q1439" s="117" t="str">
        <x:v>Delegate</x:v>
      </x:c>
      <x:c r="R1439" s="117" t="str">
        <x:v>Intraoral Checklist</x:v>
      </x:c>
      <x:c r="S1439" s="119" t="str">
        <x:v>adding checklist output</x:v>
      </x:c>
    </x:row>
    <x:row r="1440" ht="30" customHeight="1">
      <x:c r="A1440" s="117" t="str">
        <x:v>IntraoralChecklist</x:v>
      </x:c>
      <x:c r="B1440" s="117" t="str">
        <x:v>300Ro00000Pz0kmIAB</x:v>
      </x:c>
      <x:c r="C1440" s="117" t="str">
        <x:v>301Ro00000SpOwKIAV</x:v>
      </x:c>
      <x:c r="D1440" s="118" t="n">
        <x:v>2</x:v>
      </x:c>
      <x:c r="E1440" s="117" t="str">
        <x:v>Obsolete</x:v>
      </x:c>
      <x:c r="F1440" s="117" t="str">
        <x:v>No</x:v>
      </x:c>
      <x:c r="G1440" s="117" t="str">
        <x:v>No</x:v>
      </x:c>
      <x:c r="H1440" s="117" t="str">
        <x:v>FieldServiceMobile</x:v>
      </x:c>
      <x:c r="I1440" s="118"/>
      <x:c r="J1440" s="117" t="str">
        <x:v>unmanaged</x:v>
      </x:c>
      <x:c r="K1440" s="123" t="b">
        <x:v>0</x:v>
      </x:c>
      <x:c r="L1440" s="117"/>
      <x:c r="M1440" s="118"/>
      <x:c r="N1440" s="120" t="n">
        <x:v>45684.1358912037</x:v>
      </x:c>
      <x:c r="O1440" s="117" t="str">
        <x:v>Delegate</x:v>
      </x:c>
      <x:c r="P1440" s="120" t="n">
        <x:v>45684.1358912037</x:v>
      </x:c>
      <x:c r="Q1440" s="117" t="str">
        <x:v>Delegate</x:v>
      </x:c>
      <x:c r="R1440" s="117" t="str">
        <x:v>Intraoral Checklist</x:v>
      </x:c>
      <x:c r="S1440" s="119" t="str">
        <x:v>01/25/2025 (BW) - Version to be used for testing</x:v>
      </x:c>
    </x:row>
    <x:row r="1441" ht="30" customHeight="1">
      <x:c r="A1441" s="117" t="str">
        <x:v>IntraoralChecklist</x:v>
      </x:c>
      <x:c r="B1441" s="117" t="str">
        <x:v>300Ro00000Pz0kmIAB</x:v>
      </x:c>
      <x:c r="C1441" s="117" t="str">
        <x:v>301Ro00000SzIrAIAV</x:v>
      </x:c>
      <x:c r="D1441" s="118" t="n">
        <x:v>3</x:v>
      </x:c>
      <x:c r="E1441" s="117" t="str">
        <x:v>Obsolete</x:v>
      </x:c>
      <x:c r="F1441" s="117" t="str">
        <x:v>No</x:v>
      </x:c>
      <x:c r="G1441" s="117" t="str">
        <x:v>No</x:v>
      </x:c>
      <x:c r="H1441" s="117" t="str">
        <x:v>FieldServiceMobile</x:v>
      </x:c>
      <x:c r="I1441" s="118"/>
      <x:c r="J1441" s="117" t="str">
        <x:v>unmanaged</x:v>
      </x:c>
      <x:c r="K1441" s="123" t="b">
        <x:v>0</x:v>
      </x:c>
      <x:c r="L1441" s="117"/>
      <x:c r="M1441" s="118"/>
      <x:c r="N1441" s="120" t="n">
        <x:v>45686.50392361111</x:v>
      </x:c>
      <x:c r="O1441" s="117" t="str">
        <x:v>Delegate</x:v>
      </x:c>
      <x:c r="P1441" s="120" t="n">
        <x:v>45686.50408564815</x:v>
      </x:c>
      <x:c r="Q1441" s="117" t="str">
        <x:v>Delegate</x:v>
      </x:c>
      <x:c r="R1441" s="117" t="str">
        <x:v>Intraoral Checklist</x:v>
      </x:c>
      <x:c r="S1441" s="119" t="str">
        <x:v>01/29/2025 (BW) - Updated required fields</x:v>
      </x:c>
    </x:row>
    <x:row r="1442" ht="30" customHeight="1">
      <x:c r="A1442" s="117" t="str">
        <x:v>IntraoralChecklist</x:v>
      </x:c>
      <x:c r="B1442" s="117" t="str">
        <x:v>300Ro00000Pz0kmIAB</x:v>
      </x:c>
      <x:c r="C1442" s="117" t="str">
        <x:v>301Ro00000WpuKPIAZ</x:v>
      </x:c>
      <x:c r="D1442" s="118" t="n">
        <x:v>4</x:v>
      </x:c>
      <x:c r="E1442" s="117" t="str">
        <x:v>Obsolete</x:v>
      </x:c>
      <x:c r="F1442" s="117" t="str">
        <x:v>No</x:v>
      </x:c>
      <x:c r="G1442" s="117" t="str">
        <x:v>No</x:v>
      </x:c>
      <x:c r="H1442" s="117" t="str">
        <x:v>FieldServiceMobile</x:v>
      </x:c>
      <x:c r="I1442" s="118"/>
      <x:c r="J1442" s="117" t="str">
        <x:v>unmanaged</x:v>
      </x:c>
      <x:c r="K1442" s="123" t="b">
        <x:v>0</x:v>
      </x:c>
      <x:c r="L1442" s="117"/>
      <x:c r="M1442" s="118"/>
      <x:c r="N1442" s="120" t="n">
        <x:v>45751.573159722226</x:v>
      </x:c>
      <x:c r="O1442" s="117" t="str">
        <x:v>Delegate</x:v>
      </x:c>
      <x:c r="P1442" s="120" t="n">
        <x:v>45751.57361111111</x:v>
      </x:c>
      <x:c r="Q1442" s="117" t="str">
        <x:v>Delegate</x:v>
      </x:c>
      <x:c r="R1442" s="117" t="str">
        <x:v>Intraoral Checklist</x:v>
      </x:c>
      <x:c r="S1442" s="119" t="str">
        <x:v>04/04/2025 (BW) - Updating the checksheet to use the newer methodologies</x:v>
      </x:c>
    </x:row>
    <x:row r="1443" ht="30" customHeight="1">
      <x:c r="A1443" s="117" t="str">
        <x:v>IntraoralChecklist</x:v>
      </x:c>
      <x:c r="B1443" s="117" t="str">
        <x:v>300Ro00000Pz0kmIAB</x:v>
      </x:c>
      <x:c r="C1443" s="117" t="str">
        <x:v>301Ro00000wUvxGIAS</x:v>
      </x:c>
      <x:c r="D1443" s="118" t="n">
        <x:v>5</x:v>
      </x:c>
      <x:c r="E1443" s="117" t="str">
        <x:v>Obsolete</x:v>
      </x:c>
      <x:c r="F1443" s="117" t="str">
        <x:v>No</x:v>
      </x:c>
      <x:c r="G1443" s="117" t="str">
        <x:v>No</x:v>
      </x:c>
      <x:c r="H1443" s="117" t="str">
        <x:v>FieldServiceMobile</x:v>
      </x:c>
      <x:c r="I1443" s="118"/>
      <x:c r="J1443" s="117" t="str">
        <x:v>unmanaged</x:v>
      </x:c>
      <x:c r="K1443" s="123" t="b">
        <x:v>0</x:v>
      </x:c>
      <x:c r="L1443" s="117"/>
      <x:c r="M1443" s="118"/>
      <x:c r="N1443" s="120" t="n">
        <x:v>46046.610347222224</x:v>
      </x:c>
      <x:c r="O1443" s="117" t="str">
        <x:v>Sacha Pearce</x:v>
      </x:c>
      <x:c r="P1443" s="120" t="n">
        <x:v>46046.61271990741</x:v>
      </x:c>
      <x:c r="Q1443" s="117" t="str">
        <x:v>Sacha Pearce</x:v>
      </x:c>
      <x:c r="R1443" s="117" t="str">
        <x:v>Intraoral Checklist</x:v>
      </x:c>
      <x:c r="S1443" s="119" t="str">
        <x:v>04/04/2025 (BW) - Updating the checksheet to use the newer methodologies
21/01/2025 - V5 - SP - Updating to match the new FSL formatting</x:v>
      </x:c>
    </x:row>
    <x:row r="1444" ht="30" customHeight="1">
      <x:c r="A1444" s="117" t="str">
        <x:v>IntraoralChecklist</x:v>
      </x:c>
      <x:c r="B1444" s="117" t="str">
        <x:v>300Ro00000Pz0kmIAB</x:v>
      </x:c>
      <x:c r="C1444" s="117" t="str">
        <x:v>301Ro00000yh6wTIAQ</x:v>
      </x:c>
      <x:c r="D1444" s="118" t="n">
        <x:v>6</x:v>
      </x:c>
      <x:c r="E1444" s="117" t="str">
        <x:v>Active</x:v>
      </x:c>
      <x:c r="F1444" s="117" t="str">
        <x:v>Yes</x:v>
      </x:c>
      <x:c r="G1444" s="117" t="str">
        <x:v>Yes</x:v>
      </x:c>
      <x:c r="H1444" s="117" t="str">
        <x:v>FieldServiceMobile</x:v>
      </x:c>
      <x:c r="I1444" s="118"/>
      <x:c r="J1444" s="117" t="str">
        <x:v>unmanaged</x:v>
      </x:c>
      <x:c r="K1444" s="123" t="b">
        <x:v>0</x:v>
      </x:c>
      <x:c r="L1444" s="117"/>
      <x:c r="M1444" s="118"/>
      <x:c r="N1444" s="120" t="n">
        <x:v>46072.46388888889</x:v>
      </x:c>
      <x:c r="O1444" s="117" t="str">
        <x:v>Sacha Pearce</x:v>
      </x:c>
      <x:c r="P1444" s="120" t="n">
        <x:v>46072.46399305556</x:v>
      </x:c>
      <x:c r="Q1444" s="117" t="str">
        <x:v>Sacha Pearce</x:v>
      </x:c>
      <x:c r="R1444" s="117" t="str">
        <x:v>Intraoral Checklist</x:v>
      </x:c>
      <x:c r="S1444" s="119" t="str">
        <x:v>04/04/2025 (BW) - Updating the checksheet to use the newer methodologies
21/01/2025 - V5 - SP - Updating to match the new FSL formatting</x:v>
      </x:c>
    </x:row>
    <x:row r="1445" ht="30" customHeight="1">
      <x:c r="A1445" s="117" t="str">
        <x:v>Inventory_Adjustment</x:v>
      </x:c>
      <x:c r="B1445" s="117" t="str">
        <x:v>3004O000000LOscQAG</x:v>
      </x:c>
      <x:c r="C1445" s="117" t="str">
        <x:v>3014O000000M0WvQAK</x:v>
      </x:c>
      <x:c r="D1445" s="118" t="n">
        <x:v>1</x:v>
      </x:c>
      <x:c r="E1445" s="117" t="str">
        <x:v>Obsolete</x:v>
      </x:c>
      <x:c r="F1445" s="117" t="str">
        <x:v>No</x:v>
      </x:c>
      <x:c r="G1445" s="117" t="str">
        <x:v>Yes</x:v>
      </x:c>
      <x:c r="H1445" s="117" t="str">
        <x:v>Workflow</x:v>
      </x:c>
      <x:c r="I1445" s="118" t="n">
        <x:v>50</x:v>
      </x:c>
      <x:c r="J1445" s="117" t="str">
        <x:v>unmanaged</x:v>
      </x:c>
      <x:c r="K1445" s="123" t="b">
        <x:v>0</x:v>
      </x:c>
      <x:c r="L1445" s="117"/>
      <x:c r="M1445" s="118"/>
      <x:c r="N1445" s="120" t="n">
        <x:v>44199.749293981484</x:v>
      </x:c>
      <x:c r="O1445" s="117" t="str">
        <x:v>Delegate</x:v>
      </x:c>
      <x:c r="P1445" s="120" t="n">
        <x:v>45600.200844907406</x:v>
      </x:c>
      <x:c r="Q1445" s="117" t="str">
        <x:v>Delegate</x:v>
      </x:c>
      <x:c r="R1445" s="117" t="str">
        <x:v>Inventory Adjustment</x:v>
      </x:c>
      <x:c r="S1445" s="119"/>
    </x:row>
    <x:row r="1446" ht="30" customHeight="1">
      <x:c r="A1446" s="117" t="str">
        <x:v>Invoice_Automations</x:v>
      </x:c>
      <x:c r="B1446" s="117" t="str">
        <x:v>3005b000000LHdDAAW</x:v>
      </x:c>
      <x:c r="C1446" s="117" t="str">
        <x:v>3015b000000ADxqAAG</x:v>
      </x:c>
      <x:c r="D1446" s="118" t="n">
        <x:v>1</x:v>
      </x:c>
      <x:c r="E1446" s="117" t="str">
        <x:v>Draft</x:v>
      </x:c>
      <x:c r="F1446" s="117" t="str">
        <x:v>No</x:v>
      </x:c>
      <x:c r="G1446" s="117" t="str">
        <x:v>No</x:v>
      </x:c>
      <x:c r="H1446" s="117" t="str">
        <x:v>AutoLaunchedFlow</x:v>
      </x:c>
      <x:c r="I1446" s="118" t="n">
        <x:v>56</x:v>
      </x:c>
      <x:c r="J1446" s="117" t="str">
        <x:v>unmanaged</x:v>
      </x:c>
      <x:c r="K1446" s="123" t="b">
        <x:v>0</x:v>
      </x:c>
      <x:c r="L1446" s="117"/>
      <x:c r="M1446" s="118"/>
      <x:c r="N1446" s="120" t="n">
        <x:v>44936.61671296296</x:v>
      </x:c>
      <x:c r="O1446" s="117" t="str">
        <x:v>Delegate</x:v>
      </x:c>
      <x:c r="P1446" s="120" t="n">
        <x:v>44936.61675925926</x:v>
      </x:c>
      <x:c r="Q1446" s="117" t="str">
        <x:v>Delegate</x:v>
      </x:c>
      <x:c r="R1446" s="117" t="str">
        <x:v>Invoice Automations</x:v>
      </x:c>
      <x:c r="S1446" s="119"/>
    </x:row>
    <x:row r="1447" ht="30" customHeight="1">
      <x:c r="A1447" s="117" t="str">
        <x:v>Invoice_Automations</x:v>
      </x:c>
      <x:c r="B1447" s="117" t="str">
        <x:v>3005b000000LHdDAAW</x:v>
      </x:c>
      <x:c r="C1447" s="117" t="str">
        <x:v>3015b000000AEe1AAG</x:v>
      </x:c>
      <x:c r="D1447" s="118" t="n">
        <x:v>2</x:v>
      </x:c>
      <x:c r="E1447" s="117" t="str">
        <x:v>Draft</x:v>
      </x:c>
      <x:c r="F1447" s="117" t="str">
        <x:v>No</x:v>
      </x:c>
      <x:c r="G1447" s="117" t="str">
        <x:v>No</x:v>
      </x:c>
      <x:c r="H1447" s="117" t="str">
        <x:v>AutoLaunchedFlow</x:v>
      </x:c>
      <x:c r="I1447" s="118" t="n">
        <x:v>56</x:v>
      </x:c>
      <x:c r="J1447" s="117" t="str">
        <x:v>unmanaged</x:v>
      </x:c>
      <x:c r="K1447" s="123" t="b">
        <x:v>0</x:v>
      </x:c>
      <x:c r="L1447" s="117"/>
      <x:c r="M1447" s="118"/>
      <x:c r="N1447" s="120" t="n">
        <x:v>44945.768645833334</x:v>
      </x:c>
      <x:c r="O1447" s="117" t="str">
        <x:v>Delegate</x:v>
      </x:c>
      <x:c r="P1447" s="120" t="n">
        <x:v>44945.76866898148</x:v>
      </x:c>
      <x:c r="Q1447" s="117" t="str">
        <x:v>Delegate</x:v>
      </x:c>
      <x:c r="R1447" s="117" t="str">
        <x:v>Invoice Automations</x:v>
      </x:c>
      <x:c r="S1447" s="119"/>
    </x:row>
    <x:row r="1448" ht="30" customHeight="1">
      <x:c r="A1448" s="117" t="str">
        <x:v>Invoice_Automations</x:v>
      </x:c>
      <x:c r="B1448" s="117" t="str">
        <x:v>3005b000000LHdDAAW</x:v>
      </x:c>
      <x:c r="C1448" s="117" t="str">
        <x:v>3015b000000AEe6AAG</x:v>
      </x:c>
      <x:c r="D1448" s="118" t="n">
        <x:v>3</x:v>
      </x:c>
      <x:c r="E1448" s="117" t="str">
        <x:v>Obsolete</x:v>
      </x:c>
      <x:c r="F1448" s="117" t="str">
        <x:v>No</x:v>
      </x:c>
      <x:c r="G1448" s="117" t="str">
        <x:v>No</x:v>
      </x:c>
      <x:c r="H1448" s="117" t="str">
        <x:v>AutoLaunchedFlow</x:v>
      </x:c>
      <x:c r="I1448" s="118" t="n">
        <x:v>56</x:v>
      </x:c>
      <x:c r="J1448" s="117" t="str">
        <x:v>unmanaged</x:v>
      </x:c>
      <x:c r="K1448" s="123" t="b">
        <x:v>0</x:v>
      </x:c>
      <x:c r="L1448" s="117"/>
      <x:c r="M1448" s="118"/>
      <x:c r="N1448" s="120" t="n">
        <x:v>44945.78047453704</x:v>
      </x:c>
      <x:c r="O1448" s="117" t="str">
        <x:v>Delegate</x:v>
      </x:c>
      <x:c r="P1448" s="120" t="n">
        <x:v>44950.695706018516</x:v>
      </x:c>
      <x:c r="Q1448" s="117" t="str">
        <x:v>Delegate</x:v>
      </x:c>
      <x:c r="R1448" s="117" t="str">
        <x:v>Invoice Automations</x:v>
      </x:c>
      <x:c r="S1448" s="119"/>
    </x:row>
    <x:row r="1449" ht="30" customHeight="1">
      <x:c r="A1449" s="117" t="str">
        <x:v>Invoice_Automations</x:v>
      </x:c>
      <x:c r="B1449" s="117" t="str">
        <x:v>3005b000000LHdDAAW</x:v>
      </x:c>
      <x:c r="C1449" s="117" t="str">
        <x:v>3015b000000AEvCAAW</x:v>
      </x:c>
      <x:c r="D1449" s="118" t="n">
        <x:v>4</x:v>
      </x:c>
      <x:c r="E1449" s="117" t="str">
        <x:v>Obsolete</x:v>
      </x:c>
      <x:c r="F1449" s="117" t="str">
        <x:v>No</x:v>
      </x:c>
      <x:c r="G1449" s="117" t="str">
        <x:v>No</x:v>
      </x:c>
      <x:c r="H1449" s="117" t="str">
        <x:v>AutoLaunchedFlow</x:v>
      </x:c>
      <x:c r="I1449" s="118" t="n">
        <x:v>56</x:v>
      </x:c>
      <x:c r="J1449" s="117" t="str">
        <x:v>unmanaged</x:v>
      </x:c>
      <x:c r="K1449" s="123" t="b">
        <x:v>0</x:v>
      </x:c>
      <x:c r="L1449" s="117"/>
      <x:c r="M1449" s="118"/>
      <x:c r="N1449" s="120" t="n">
        <x:v>44950.78420138889</x:v>
      </x:c>
      <x:c r="O1449" s="117" t="str">
        <x:v>Delegate</x:v>
      </x:c>
      <x:c r="P1449" s="120" t="n">
        <x:v>44952.45842592593</x:v>
      </x:c>
      <x:c r="Q1449" s="117" t="str">
        <x:v>Jon Kean</x:v>
      </x:c>
      <x:c r="R1449" s="117" t="str">
        <x:v>Invoice Automations</x:v>
      </x:c>
      <x:c r="S1449" s="119" t="str">
        <x:v>Added Created Date as criteria on trigger to prevent older invoices from updating UK/FR invoice number field.</x:v>
      </x:c>
    </x:row>
    <x:row r="1450" ht="30" customHeight="1">
      <x:c r="A1450" s="117" t="str">
        <x:v>Invoice_Automations</x:v>
      </x:c>
      <x:c r="B1450" s="117" t="str">
        <x:v>3005b000000LHdDAAW</x:v>
      </x:c>
      <x:c r="C1450" s="117" t="str">
        <x:v>3015b000000AF1oAAG</x:v>
      </x:c>
      <x:c r="D1450" s="118" t="n">
        <x:v>5</x:v>
      </x:c>
      <x:c r="E1450" s="117" t="str">
        <x:v>Obsolete</x:v>
      </x:c>
      <x:c r="F1450" s="117" t="str">
        <x:v>No</x:v>
      </x:c>
      <x:c r="G1450" s="117" t="str">
        <x:v>No</x:v>
      </x:c>
      <x:c r="H1450" s="117" t="str">
        <x:v>AutoLaunchedFlow</x:v>
      </x:c>
      <x:c r="I1450" s="118" t="n">
        <x:v>56</x:v>
      </x:c>
      <x:c r="J1450" s="117" t="str">
        <x:v>unmanaged</x:v>
      </x:c>
      <x:c r="K1450" s="123" t="b">
        <x:v>0</x:v>
      </x:c>
      <x:c r="L1450" s="117"/>
      <x:c r="M1450" s="118"/>
      <x:c r="N1450" s="120" t="n">
        <x:v>44952.61278935185</x:v>
      </x:c>
      <x:c r="O1450" s="117" t="str">
        <x:v>Delegate</x:v>
      </x:c>
      <x:c r="P1450" s="120" t="n">
        <x:v>44952.61549768518</x:v>
      </x:c>
      <x:c r="Q1450" s="117" t="str">
        <x:v>Delegate</x:v>
      </x:c>
      <x:c r="R1450" s="117" t="str">
        <x:v>Invoice Automations</x:v>
      </x:c>
      <x:c r="S1450" s="119" t="str">
        <x:v>Changed from created date to custom invoice number when grabbing the last one.</x:v>
      </x:c>
    </x:row>
    <x:row r="1451" ht="30" customHeight="1">
      <x:c r="A1451" s="117" t="str">
        <x:v>Invoice_Automations</x:v>
      </x:c>
      <x:c r="B1451" s="117" t="str">
        <x:v>3005b000000LHdDAAW</x:v>
      </x:c>
      <x:c r="C1451" s="117" t="str">
        <x:v>3015b0000011LQkAAM</x:v>
      </x:c>
      <x:c r="D1451" s="118" t="n">
        <x:v>6</x:v>
      </x:c>
      <x:c r="E1451" s="117" t="str">
        <x:v>Obsolete</x:v>
      </x:c>
      <x:c r="F1451" s="117" t="str">
        <x:v>No</x:v>
      </x:c>
      <x:c r="G1451" s="117" t="str">
        <x:v>No</x:v>
      </x:c>
      <x:c r="H1451" s="117" t="str">
        <x:v>AutoLaunchedFlow</x:v>
      </x:c>
      <x:c r="I1451" s="118" t="n">
        <x:v>56</x:v>
      </x:c>
      <x:c r="J1451" s="117" t="str">
        <x:v>unmanaged</x:v>
      </x:c>
      <x:c r="K1451" s="123" t="b">
        <x:v>0</x:v>
      </x:c>
      <x:c r="L1451" s="117"/>
      <x:c r="M1451" s="118"/>
      <x:c r="N1451" s="120" t="n">
        <x:v>45218.11645833333</x:v>
      </x:c>
      <x:c r="O1451" s="117" t="str">
        <x:v>Jace Gentil</x:v>
      </x:c>
      <x:c r="P1451" s="120" t="n">
        <x:v>45218.978125</x:v>
      </x:c>
      <x:c r="Q1451" s="117" t="str">
        <x:v>Jace Gentil</x:v>
      </x:c>
      <x:c r="R1451" s="117" t="str">
        <x:v>Invoice Automations</x:v>
      </x:c>
      <x:c r="S1451" s="119" t="str">
        <x:v>Changed from created date to custom invoice number when grabbing the last one.</x:v>
      </x:c>
    </x:row>
    <x:row r="1452" ht="30" customHeight="1">
      <x:c r="A1452" s="117" t="str">
        <x:v>Invoice_Automations</x:v>
      </x:c>
      <x:c r="B1452" s="117" t="str">
        <x:v>3005b000000LHdDAAW</x:v>
      </x:c>
      <x:c r="C1452" s="117" t="str">
        <x:v>3015b0000011MXSAA2</x:v>
      </x:c>
      <x:c r="D1452" s="118" t="n">
        <x:v>7</x:v>
      </x:c>
      <x:c r="E1452" s="117" t="str">
        <x:v>Obsolete</x:v>
      </x:c>
      <x:c r="F1452" s="117" t="str">
        <x:v>No</x:v>
      </x:c>
      <x:c r="G1452" s="117" t="str">
        <x:v>No</x:v>
      </x:c>
      <x:c r="H1452" s="117" t="str">
        <x:v>AutoLaunchedFlow</x:v>
      </x:c>
      <x:c r="I1452" s="118" t="n">
        <x:v>56</x:v>
      </x:c>
      <x:c r="J1452" s="117" t="str">
        <x:v>unmanaged</x:v>
      </x:c>
      <x:c r="K1452" s="123" t="b">
        <x:v>0</x:v>
      </x:c>
      <x:c r="L1452" s="117"/>
      <x:c r="M1452" s="118"/>
      <x:c r="N1452" s="120" t="n">
        <x:v>45250.584282407406</x:v>
      </x:c>
      <x:c r="O1452" s="117" t="str">
        <x:v>Delegate</x:v>
      </x:c>
      <x:c r="P1452" s="120" t="n">
        <x:v>45250.585277777776</x:v>
      </x:c>
      <x:c r="Q1452" s="117" t="str">
        <x:v>Delegate</x:v>
      </x:c>
      <x:c r="R1452" s="117" t="str">
        <x:v>Invoice Automations</x:v>
      </x:c>
      <x:c r="S1452" s="119" t="str">
        <x:v>11/20/23 (BW) - Added automation which calculates the Total Invoice Amount on the invoices whenever the feeder fields are changed for it.</x:v>
      </x:c>
    </x:row>
    <x:row r="1453" ht="30" customHeight="1">
      <x:c r="A1453" s="117" t="str">
        <x:v>Invoice_Automations</x:v>
      </x:c>
      <x:c r="B1453" s="117" t="str">
        <x:v>3005b000000LHdDAAW</x:v>
      </x:c>
      <x:c r="C1453" s="117" t="str">
        <x:v>3015b0000011MXXAA2</x:v>
      </x:c>
      <x:c r="D1453" s="118" t="n">
        <x:v>8</x:v>
      </x:c>
      <x:c r="E1453" s="117" t="str">
        <x:v>Obsolete</x:v>
      </x:c>
      <x:c r="F1453" s="117" t="str">
        <x:v>No</x:v>
      </x:c>
      <x:c r="G1453" s="117" t="str">
        <x:v>No</x:v>
      </x:c>
      <x:c r="H1453" s="117" t="str">
        <x:v>AutoLaunchedFlow</x:v>
      </x:c>
      <x:c r="I1453" s="118" t="n">
        <x:v>56</x:v>
      </x:c>
      <x:c r="J1453" s="117" t="str">
        <x:v>unmanaged</x:v>
      </x:c>
      <x:c r="K1453" s="123" t="b">
        <x:v>0</x:v>
      </x:c>
      <x:c r="L1453" s="117"/>
      <x:c r="M1453" s="118"/>
      <x:c r="N1453" s="120" t="n">
        <x:v>45250.58746527778</x:v>
      </x:c>
      <x:c r="O1453" s="117" t="str">
        <x:v>Delegate</x:v>
      </x:c>
      <x:c r="P1453" s="120" t="n">
        <x:v>45250.5877662037</x:v>
      </x:c>
      <x:c r="Q1453" s="117" t="str">
        <x:v>Delegate</x:v>
      </x:c>
      <x:c r="R1453" s="117" t="str">
        <x:v>Invoice Automations</x:v>
      </x:c>
      <x:c r="S1453" s="119" t="str">
        <x:v>11/20/23 (BW) - Added automation which calculates the Total Invoice Amount on the invoices whenever the feeder fields are changed for it.</x:v>
      </x:c>
    </x:row>
    <x:row r="1454" ht="30" customHeight="1">
      <x:c r="A1454" s="117" t="str">
        <x:v>Invoice_Automations</x:v>
      </x:c>
      <x:c r="B1454" s="117" t="str">
        <x:v>3005b000000LHdDAAW</x:v>
      </x:c>
      <x:c r="C1454" s="117" t="str">
        <x:v>3015b0000011MhDAAU</x:v>
      </x:c>
      <x:c r="D1454" s="118" t="n">
        <x:v>9</x:v>
      </x:c>
      <x:c r="E1454" s="117" t="str">
        <x:v>Obsolete</x:v>
      </x:c>
      <x:c r="F1454" s="117" t="str">
        <x:v>No</x:v>
      </x:c>
      <x:c r="G1454" s="117" t="str">
        <x:v>No</x:v>
      </x:c>
      <x:c r="H1454" s="117" t="str">
        <x:v>AutoLaunchedFlow</x:v>
      </x:c>
      <x:c r="I1454" s="118" t="n">
        <x:v>56</x:v>
      </x:c>
      <x:c r="J1454" s="117" t="str">
        <x:v>unmanaged</x:v>
      </x:c>
      <x:c r="K1454" s="123" t="b">
        <x:v>0</x:v>
      </x:c>
      <x:c r="L1454" s="117"/>
      <x:c r="M1454" s="118"/>
      <x:c r="N1454" s="120" t="n">
        <x:v>45261.67170138889</x:v>
      </x:c>
      <x:c r="O1454" s="117" t="str">
        <x:v>Delegate</x:v>
      </x:c>
      <x:c r="P1454" s="120" t="n">
        <x:v>45489.57953703704</x:v>
      </x:c>
      <x:c r="Q1454" s="117" t="str">
        <x:v>Delegate</x:v>
      </x:c>
      <x:c r="R1454" s="117" t="str">
        <x:v>Invoice Automations</x:v>
      </x:c>
      <x:c r="S1454" s="119" t="str">
        <x:v>11/20/23 (BW) - Added automation which calculates the Total Invoice Amount on the invoices whenever the feeder fields are changed for it.</x:v>
      </x:c>
    </x:row>
    <x:row r="1455" ht="30" customHeight="1">
      <x:c r="A1455" s="117" t="str">
        <x:v>Invoice_Automations</x:v>
      </x:c>
      <x:c r="B1455" s="117" t="str">
        <x:v>3005b000000LHdDAAW</x:v>
      </x:c>
      <x:c r="C1455" s="117" t="str">
        <x:v>301Ro00000GyKVlIAN</x:v>
      </x:c>
      <x:c r="D1455" s="118" t="n">
        <x:v>10</x:v>
      </x:c>
      <x:c r="E1455" s="117" t="str">
        <x:v>Obsolete</x:v>
      </x:c>
      <x:c r="F1455" s="117" t="str">
        <x:v>No</x:v>
      </x:c>
      <x:c r="G1455" s="117" t="str">
        <x:v>No</x:v>
      </x:c>
      <x:c r="H1455" s="117" t="str">
        <x:v>AutoLaunchedFlow</x:v>
      </x:c>
      <x:c r="I1455" s="118" t="n">
        <x:v>56</x:v>
      </x:c>
      <x:c r="J1455" s="117" t="str">
        <x:v>unmanaged</x:v>
      </x:c>
      <x:c r="K1455" s="123" t="b">
        <x:v>0</x:v>
      </x:c>
      <x:c r="L1455" s="117"/>
      <x:c r="M1455" s="118"/>
      <x:c r="N1455" s="120" t="n">
        <x:v>45489.57436342593</x:v>
      </x:c>
      <x:c r="O1455" s="117" t="str">
        <x:v>Delegate</x:v>
      </x:c>
      <x:c r="P1455" s="120" t="n">
        <x:v>45489.57809027778</x:v>
      </x:c>
      <x:c r="Q1455" s="117" t="str">
        <x:v>Delegate</x:v>
      </x:c>
      <x:c r="R1455" s="117" t="str">
        <x:v>Invoice Automations</x:v>
      </x:c>
      <x:c r="S1455" s="119" t="str">
        <x:v>AM: Added Order Object Creation, Deactivated original flow</x:v>
      </x:c>
    </x:row>
    <x:row r="1456" ht="30" customHeight="1">
      <x:c r="A1456" s="117" t="str">
        <x:v>Invoice_Automations</x:v>
      </x:c>
      <x:c r="B1456" s="117" t="str">
        <x:v>3005b000000LHdDAAW</x:v>
      </x:c>
      <x:c r="C1456" s="117" t="str">
        <x:v>301Ro00000GySQ4IAN</x:v>
      </x:c>
      <x:c r="D1456" s="118" t="n">
        <x:v>11</x:v>
      </x:c>
      <x:c r="E1456" s="117" t="str">
        <x:v>Obsolete</x:v>
      </x:c>
      <x:c r="F1456" s="117" t="str">
        <x:v>No</x:v>
      </x:c>
      <x:c r="G1456" s="117" t="str">
        <x:v>No</x:v>
      </x:c>
      <x:c r="H1456" s="117" t="str">
        <x:v>AutoLaunchedFlow</x:v>
      </x:c>
      <x:c r="I1456" s="118" t="n">
        <x:v>56</x:v>
      </x:c>
      <x:c r="J1456" s="117" t="str">
        <x:v>unmanaged</x:v>
      </x:c>
      <x:c r="K1456" s="123" t="b">
        <x:v>0</x:v>
      </x:c>
      <x:c r="L1456" s="117"/>
      <x:c r="M1456" s="118"/>
      <x:c r="N1456" s="120" t="n">
        <x:v>45489.58167824074</x:v>
      </x:c>
      <x:c r="O1456" s="117" t="str">
        <x:v>Delegate</x:v>
      </x:c>
      <x:c r="P1456" s="120" t="n">
        <x:v>45532.038298611114</x:v>
      </x:c>
      <x:c r="Q1456" s="117" t="str">
        <x:v>Delegate</x:v>
      </x:c>
      <x:c r="R1456" s="117" t="str">
        <x:v>Invoice Automations</x:v>
      </x:c>
      <x:c r="S1456" s="119" t="str">
        <x:v>AM: Added Order Object Creation, Deactivated original flow</x:v>
      </x:c>
    </x:row>
    <x:row r="1457" ht="30" customHeight="1">
      <x:c r="A1457" s="117" t="str">
        <x:v>Invoice_Automations</x:v>
      </x:c>
      <x:c r="B1457" s="117" t="str">
        <x:v>3005b000000LHdDAAW</x:v>
      </x:c>
      <x:c r="C1457" s="117" t="str">
        <x:v>301Ro00000GyV4cIAF</x:v>
      </x:c>
      <x:c r="D1457" s="118" t="n">
        <x:v>12</x:v>
      </x:c>
      <x:c r="E1457" s="117" t="str">
        <x:v>Obsolete</x:v>
      </x:c>
      <x:c r="F1457" s="117" t="str">
        <x:v>No</x:v>
      </x:c>
      <x:c r="G1457" s="117" t="str">
        <x:v>No</x:v>
      </x:c>
      <x:c r="H1457" s="117" t="str">
        <x:v>AutoLaunchedFlow</x:v>
      </x:c>
      <x:c r="I1457" s="118" t="n">
        <x:v>56</x:v>
      </x:c>
      <x:c r="J1457" s="117" t="str">
        <x:v>unmanaged</x:v>
      </x:c>
      <x:c r="K1457" s="123" t="b">
        <x:v>0</x:v>
      </x:c>
      <x:c r="L1457" s="117"/>
      <x:c r="M1457" s="118"/>
      <x:c r="N1457" s="120" t="n">
        <x:v>45489.589594907404</x:v>
      </x:c>
      <x:c r="O1457" s="117" t="str">
        <x:v>Delegate</x:v>
      </x:c>
      <x:c r="P1457" s="120" t="n">
        <x:v>45532.07953703704</x:v>
      </x:c>
      <x:c r="Q1457" s="117" t="str">
        <x:v>Delegate</x:v>
      </x:c>
      <x:c r="R1457" s="117" t="str">
        <x:v>Invoice Automations</x:v>
      </x:c>
      <x:c r="S1457" s="119" t="str">
        <x:v>AM: Triggers Order when updated to.  Previous version was anytime criteria met (historical updates).</x:v>
      </x:c>
    </x:row>
    <x:row r="1458" ht="30" customHeight="1">
      <x:c r="A1458" s="117" t="str">
        <x:v>Invoice_Automations</x:v>
      </x:c>
      <x:c r="B1458" s="117" t="str">
        <x:v>3005b000000LHdDAAW</x:v>
      </x:c>
      <x:c r="C1458" s="117" t="str">
        <x:v>301Ro00000JvermIAB</x:v>
      </x:c>
      <x:c r="D1458" s="118" t="n">
        <x:v>14</x:v>
      </x:c>
      <x:c r="E1458" s="117" t="str">
        <x:v>Obsolete</x:v>
      </x:c>
      <x:c r="F1458" s="117" t="str">
        <x:v>No</x:v>
      </x:c>
      <x:c r="G1458" s="117" t="str">
        <x:v>No</x:v>
      </x:c>
      <x:c r="H1458" s="117" t="str">
        <x:v>AutoLaunchedFlow</x:v>
      </x:c>
      <x:c r="I1458" s="118" t="n">
        <x:v>56</x:v>
      </x:c>
      <x:c r="J1458" s="117" t="str">
        <x:v>unmanaged</x:v>
      </x:c>
      <x:c r="K1458" s="123" t="b">
        <x:v>0</x:v>
      </x:c>
      <x:c r="L1458" s="117"/>
      <x:c r="M1458" s="118"/>
      <x:c r="N1458" s="120" t="n">
        <x:v>45532.046631944446</x:v>
      </x:c>
      <x:c r="O1458" s="117" t="str">
        <x:v>Delegate</x:v>
      </x:c>
      <x:c r="P1458" s="120" t="n">
        <x:v>45532.04675925926</x:v>
      </x:c>
      <x:c r="Q1458" s="117" t="str">
        <x:v>Delegate</x:v>
      </x:c>
      <x:c r="R1458" s="117" t="str">
        <x:v>Invoice Automations</x:v>
      </x:c>
      <x:c r="S1458" s="119" t="str">
        <x:v>AM: Still using for historical, updated Order Creation effective date to = intacct submission date.</x:v>
      </x:c>
    </x:row>
    <x:row r="1459" ht="30" customHeight="1">
      <x:c r="A1459" s="117" t="str">
        <x:v>Invoice_Automations</x:v>
      </x:c>
      <x:c r="B1459" s="117" t="str">
        <x:v>3005b000000LHdDAAW</x:v>
      </x:c>
      <x:c r="C1459" s="117" t="str">
        <x:v>301Ro00000YlQ8PIAV</x:v>
      </x:c>
      <x:c r="D1459" s="118" t="n">
        <x:v>15</x:v>
      </x:c>
      <x:c r="E1459" s="117" t="str">
        <x:v>Obsolete</x:v>
      </x:c>
      <x:c r="F1459" s="117" t="str">
        <x:v>No</x:v>
      </x:c>
      <x:c r="G1459" s="117" t="str">
        <x:v>No</x:v>
      </x:c>
      <x:c r="H1459" s="117" t="str">
        <x:v>AutoLaunchedFlow</x:v>
      </x:c>
      <x:c r="I1459" s="118" t="n">
        <x:v>56</x:v>
      </x:c>
      <x:c r="J1459" s="117" t="str">
        <x:v>unmanaged</x:v>
      </x:c>
      <x:c r="K1459" s="123" t="b">
        <x:v>0</x:v>
      </x:c>
      <x:c r="L1459" s="117"/>
      <x:c r="M1459" s="118"/>
      <x:c r="N1459" s="120" t="n">
        <x:v>45785.6425</x:v>
      </x:c>
      <x:c r="O1459" s="117" t="str">
        <x:v>Delegate</x:v>
      </x:c>
      <x:c r="P1459" s="120" t="n">
        <x:v>45796.64275462963</x:v>
      </x:c>
      <x:c r="Q1459" s="117" t="str">
        <x:v>Delegate</x:v>
      </x:c>
      <x:c r="R1459" s="117" t="str">
        <x:v>Invoice Automations</x:v>
      </x:c>
      <x:c r="S1459" s="119" t="str">
        <x:v>03/11/2024 - CDM - Added decision to Invoice Synced path to allow for Invoice Line Items OR Opp Products</x:v>
      </x:c>
    </x:row>
    <x:row r="1460" ht="30" customHeight="1">
      <x:c r="A1460" s="117" t="str">
        <x:v>Invoice_Automations</x:v>
      </x:c>
      <x:c r="B1460" s="117" t="str">
        <x:v>3005b000000LHdDAAW</x:v>
      </x:c>
      <x:c r="C1460" s="117" t="str">
        <x:v>301Ro00000ZNRQ7IAP</x:v>
      </x:c>
      <x:c r="D1460" s="118" t="n">
        <x:v>16</x:v>
      </x:c>
      <x:c r="E1460" s="117" t="str">
        <x:v>Obsolete</x:v>
      </x:c>
      <x:c r="F1460" s="117" t="str">
        <x:v>No</x:v>
      </x:c>
      <x:c r="G1460" s="117" t="str">
        <x:v>No</x:v>
      </x:c>
      <x:c r="H1460" s="117" t="str">
        <x:v>AutoLaunchedFlow</x:v>
      </x:c>
      <x:c r="I1460" s="118" t="n">
        <x:v>56</x:v>
      </x:c>
      <x:c r="J1460" s="117" t="str">
        <x:v>unmanaged</x:v>
      </x:c>
      <x:c r="K1460" s="123" t="b">
        <x:v>0</x:v>
      </x:c>
      <x:c r="L1460" s="117"/>
      <x:c r="M1460" s="118"/>
      <x:c r="N1460" s="120" t="n">
        <x:v>45796.719826388886</x:v>
      </x:c>
      <x:c r="O1460" s="117" t="str">
        <x:v>Delegate</x:v>
      </x:c>
      <x:c r="P1460" s="120" t="n">
        <x:v>45804.046898148146</x:v>
      </x:c>
      <x:c r="Q1460" s="117" t="str">
        <x:v>Delegate</x:v>
      </x:c>
      <x:c r="R1460" s="117" t="str">
        <x:v>Invoice Automations</x:v>
      </x:c>
      <x:c r="S1460" s="119" t="str">
        <x:v>05/19/2025 (BW) - excludes lines that do not coorelate to opportunity products</x:v>
      </x:c>
    </x:row>
    <x:row r="1461" ht="30" customHeight="1">
      <x:c r="A1461" s="117" t="str">
        <x:v>Invoice_Automations</x:v>
      </x:c>
      <x:c r="B1461" s="117" t="str">
        <x:v>3005b000000LHdDAAW</x:v>
      </x:c>
      <x:c r="C1461" s="117" t="str">
        <x:v>301Ro00000c3TfWIAU</x:v>
      </x:c>
      <x:c r="D1461" s="118" t="n">
        <x:v>17</x:v>
      </x:c>
      <x:c r="E1461" s="117" t="str">
        <x:v>Obsolete</x:v>
      </x:c>
      <x:c r="F1461" s="117" t="str">
        <x:v>No</x:v>
      </x:c>
      <x:c r="G1461" s="117" t="str">
        <x:v>No</x:v>
      </x:c>
      <x:c r="H1461" s="117" t="str">
        <x:v>AutoLaunchedFlow</x:v>
      </x:c>
      <x:c r="I1461" s="118" t="n">
        <x:v>56</x:v>
      </x:c>
      <x:c r="J1461" s="117" t="str">
        <x:v>unmanaged</x:v>
      </x:c>
      <x:c r="K1461" s="123" t="b">
        <x:v>0</x:v>
      </x:c>
      <x:c r="L1461" s="117"/>
      <x:c r="M1461" s="118"/>
      <x:c r="N1461" s="120" t="n">
        <x:v>45825.612395833334</x:v>
      </x:c>
      <x:c r="O1461" s="117" t="str">
        <x:v>Delegate</x:v>
      </x:c>
      <x:c r="P1461" s="120" t="n">
        <x:v>45825.6125</x:v>
      </x:c>
      <x:c r="Q1461" s="117" t="str">
        <x:v>Delegate</x:v>
      </x:c>
      <x:c r="R1461" s="117" t="str">
        <x:v>Invoice Automations</x:v>
      </x:c>
      <x:c r="S1461" s="119" t="str">
        <x:v>06/17/2025 (BW) - Updated this flow to only commit tax if it is necessary.</x:v>
      </x:c>
    </x:row>
    <x:row r="1462" ht="30" customHeight="1">
      <x:c r="A1462" s="117" t="str">
        <x:v>Invoice_Automations</x:v>
      </x:c>
      <x:c r="B1462" s="117" t="str">
        <x:v>3005b000000LHdDAAW</x:v>
      </x:c>
      <x:c r="C1462" s="117" t="str">
        <x:v>301Ro00000efSpKIAU</x:v>
      </x:c>
      <x:c r="D1462" s="118" t="n">
        <x:v>18</x:v>
      </x:c>
      <x:c r="E1462" s="117" t="str">
        <x:v>Obsolete</x:v>
      </x:c>
      <x:c r="F1462" s="117" t="str">
        <x:v>No</x:v>
      </x:c>
      <x:c r="G1462" s="117" t="str">
        <x:v>No</x:v>
      </x:c>
      <x:c r="H1462" s="117" t="str">
        <x:v>AutoLaunchedFlow</x:v>
      </x:c>
      <x:c r="I1462" s="118" t="n">
        <x:v>56</x:v>
      </x:c>
      <x:c r="J1462" s="117" t="str">
        <x:v>unmanaged</x:v>
      </x:c>
      <x:c r="K1462" s="123" t="b">
        <x:v>0</x:v>
      </x:c>
      <x:c r="L1462" s="117"/>
      <x:c r="M1462" s="118"/>
      <x:c r="N1462" s="120" t="n">
        <x:v>45849.55755787037</x:v>
      </x:c>
      <x:c r="O1462" s="117" t="str">
        <x:v>Delegate</x:v>
      </x:c>
      <x:c r="P1462" s="120" t="n">
        <x:v>45849.55769675926</x:v>
      </x:c>
      <x:c r="Q1462" s="117" t="str">
        <x:v>Delegate</x:v>
      </x:c>
      <x:c r="R1462" s="117" t="str">
        <x:v>Invoice Automations</x:v>
      </x:c>
      <x:c r="S1462" s="119" t="str">
        <x:v>07/11/2025 (BW) - Updated how the opportunity products one fetches</x:v>
      </x:c>
    </x:row>
    <x:row r="1463" ht="30" customHeight="1">
      <x:c r="A1463" s="117" t="str">
        <x:v>Invoice_Automations</x:v>
      </x:c>
      <x:c r="B1463" s="117" t="str">
        <x:v>3005b000000LHdDAAW</x:v>
      </x:c>
      <x:c r="C1463" s="117" t="str">
        <x:v>301Ro00000gcoZxIAI</x:v>
      </x:c>
      <x:c r="D1463" s="118" t="n">
        <x:v>19</x:v>
      </x:c>
      <x:c r="E1463" s="117" t="str">
        <x:v>Obsolete</x:v>
      </x:c>
      <x:c r="F1463" s="117" t="str">
        <x:v>No</x:v>
      </x:c>
      <x:c r="G1463" s="117" t="str">
        <x:v>No</x:v>
      </x:c>
      <x:c r="H1463" s="117" t="str">
        <x:v>AutoLaunchedFlow</x:v>
      </x:c>
      <x:c r="I1463" s="118" t="n">
        <x:v>56</x:v>
      </x:c>
      <x:c r="J1463" s="117" t="str">
        <x:v>unmanaged</x:v>
      </x:c>
      <x:c r="K1463" s="123" t="b">
        <x:v>0</x:v>
      </x:c>
      <x:c r="L1463" s="117"/>
      <x:c r="M1463" s="118"/>
      <x:c r="N1463" s="120" t="n">
        <x:v>45866.760243055556</x:v>
      </x:c>
      <x:c r="O1463" s="117" t="str">
        <x:v>Delegate</x:v>
      </x:c>
      <x:c r="P1463" s="120" t="n">
        <x:v>45866.76037037037</x:v>
      </x:c>
      <x:c r="Q1463" s="117" t="str">
        <x:v>Delegate</x:v>
      </x:c>
      <x:c r="R1463" s="117" t="str">
        <x:v>Invoice Automations</x:v>
      </x:c>
      <x:c r="S1463" s="119" t="str">
        <x:v>07/28/2025 (BW) - Added a node that on creation sets the intacct submission date</x:v>
      </x:c>
    </x:row>
    <x:row r="1464" ht="30" customHeight="1">
      <x:c r="A1464" s="117" t="str">
        <x:v>Invoice_Automations</x:v>
      </x:c>
      <x:c r="B1464" s="117" t="str">
        <x:v>3005b000000LHdDAAW</x:v>
      </x:c>
      <x:c r="C1464" s="117" t="str">
        <x:v>301Ro00000ivgdtIAA</x:v>
      </x:c>
      <x:c r="D1464" s="118" t="n">
        <x:v>20</x:v>
      </x:c>
      <x:c r="E1464" s="117" t="str">
        <x:v>Obsolete</x:v>
      </x:c>
      <x:c r="F1464" s="117" t="str">
        <x:v>No</x:v>
      </x:c>
      <x:c r="G1464" s="117" t="str">
        <x:v>No</x:v>
      </x:c>
      <x:c r="H1464" s="117" t="str">
        <x:v>AutoLaunchedFlow</x:v>
      </x:c>
      <x:c r="I1464" s="118" t="n">
        <x:v>56</x:v>
      </x:c>
      <x:c r="J1464" s="117" t="str">
        <x:v>unmanaged</x:v>
      </x:c>
      <x:c r="K1464" s="123" t="b">
        <x:v>0</x:v>
      </x:c>
      <x:c r="L1464" s="117"/>
      <x:c r="M1464" s="118"/>
      <x:c r="N1464" s="120" t="n">
        <x:v>45889.55825231481</x:v>
      </x:c>
      <x:c r="O1464" s="117" t="str">
        <x:v>Delegate</x:v>
      </x:c>
      <x:c r="P1464" s="120" t="n">
        <x:v>45889.559375</x:v>
      </x:c>
      <x:c r="Q1464" s="117" t="str">
        <x:v>Delegate</x:v>
      </x:c>
      <x:c r="R1464" s="117" t="str">
        <x:v>Invoice Automations</x:v>
      </x:c>
      <x:c r="S1464" s="119" t="str">
        <x:v>08/20/2025 (BW) - Updated the Commit Tax node to ignore Probo Web Order along with DME Web Order</x:v>
      </x:c>
    </x:row>
    <x:row r="1465" ht="30" customHeight="1">
      <x:c r="A1465" s="117" t="str">
        <x:v>Invoice_Automations</x:v>
      </x:c>
      <x:c r="B1465" s="117" t="str">
        <x:v>3005b000000LHdDAAW</x:v>
      </x:c>
      <x:c r="C1465" s="117" t="str">
        <x:v>301Ro00000mq0GZIAY</x:v>
      </x:c>
      <x:c r="D1465" s="118" t="n">
        <x:v>21</x:v>
      </x:c>
      <x:c r="E1465" s="117" t="str">
        <x:v>Obsolete</x:v>
      </x:c>
      <x:c r="F1465" s="117" t="str">
        <x:v>No</x:v>
      </x:c>
      <x:c r="G1465" s="117" t="str">
        <x:v>No</x:v>
      </x:c>
      <x:c r="H1465" s="117" t="str">
        <x:v>AutoLaunchedFlow</x:v>
      </x:c>
      <x:c r="I1465" s="118" t="n">
        <x:v>56</x:v>
      </x:c>
      <x:c r="J1465" s="117" t="str">
        <x:v>unmanaged</x:v>
      </x:c>
      <x:c r="K1465" s="123" t="b">
        <x:v>0</x:v>
      </x:c>
      <x:c r="L1465" s="117"/>
      <x:c r="M1465" s="118"/>
      <x:c r="N1465" s="120" t="n">
        <x:v>45922.601851851854</x:v>
      </x:c>
      <x:c r="O1465" s="117" t="str">
        <x:v>Bill Hagarty</x:v>
      </x:c>
      <x:c r="P1465" s="120" t="n">
        <x:v>45922.858148148145</x:v>
      </x:c>
      <x:c r="Q1465" s="117" t="str">
        <x:v>Bill Hagarty</x:v>
      </x:c>
      <x:c r="R1465" s="117" t="str">
        <x:v>Invoice Automations</x:v>
      </x:c>
      <x:c r="S1465" s="119" t="str">
        <x:v>9/22/2025 BH Added Proforma Account and Proforma Amount assignment.  Acts as a snapshot of these data points at the time of creation, to detect any future changes.</x:v>
      </x:c>
    </x:row>
    <x:row r="1466" ht="30" customHeight="1">
      <x:c r="A1466" s="117" t="str">
        <x:v>Invoice_Automations</x:v>
      </x:c>
      <x:c r="B1466" s="117" t="str">
        <x:v>3005b000000LHdDAAW</x:v>
      </x:c>
      <x:c r="C1466" s="117" t="str">
        <x:v>301Ro00000qNf7wIAC</x:v>
      </x:c>
      <x:c r="D1466" s="118" t="n">
        <x:v>22</x:v>
      </x:c>
      <x:c r="E1466" s="117" t="str">
        <x:v>Obsolete</x:v>
      </x:c>
      <x:c r="F1466" s="117" t="str">
        <x:v>No</x:v>
      </x:c>
      <x:c r="G1466" s="117" t="str">
        <x:v>No</x:v>
      </x:c>
      <x:c r="H1466" s="117" t="str">
        <x:v>AutoLaunchedFlow</x:v>
      </x:c>
      <x:c r="I1466" s="118" t="n">
        <x:v>56</x:v>
      </x:c>
      <x:c r="J1466" s="117" t="str">
        <x:v>unmanaged</x:v>
      </x:c>
      <x:c r="K1466" s="123" t="b">
        <x:v>0</x:v>
      </x:c>
      <x:c r="L1466" s="117"/>
      <x:c r="M1466" s="118"/>
      <x:c r="N1466" s="120" t="n">
        <x:v>45954.5828125</x:v>
      </x:c>
      <x:c r="O1466" s="117" t="str">
        <x:v>Delegate</x:v>
      </x:c>
      <x:c r="P1466" s="120" t="n">
        <x:v>46080.840682870374</x:v>
      </x:c>
      <x:c r="Q1466" s="117" t="str">
        <x:v>Steve Dodd</x:v>
      </x:c>
      <x:c r="R1466" s="117" t="str">
        <x:v>Invoice Automations</x:v>
      </x:c>
      <x:c r="S1466" s="119" t="str">
        <x:v>10/24/2025 (BW &amp; BH) - Updated Contains for Commit Tax Exemption on Web Orders</x:v>
      </x:c>
    </x:row>
    <x:row r="1467" ht="30" customHeight="1">
      <x:c r="A1467" s="117" t="str">
        <x:v>Invoice_Automations</x:v>
      </x:c>
      <x:c r="B1467" s="117" t="str">
        <x:v>3005b000000LHdDAAW</x:v>
      </x:c>
      <x:c r="C1467" s="117" t="str">
        <x:v>301Ro0000124taYIAQ</x:v>
      </x:c>
      <x:c r="D1467" s="118" t="n">
        <x:v>23</x:v>
      </x:c>
      <x:c r="E1467" s="117" t="str">
        <x:v>Obsolete</x:v>
      </x:c>
      <x:c r="F1467" s="117" t="str">
        <x:v>No</x:v>
      </x:c>
      <x:c r="G1467" s="117" t="str">
        <x:v>No</x:v>
      </x:c>
      <x:c r="H1467" s="117" t="str">
        <x:v>AutoLaunchedFlow</x:v>
      </x:c>
      <x:c r="I1467" s="118" t="n">
        <x:v>56</x:v>
      </x:c>
      <x:c r="J1467" s="117" t="str">
        <x:v>unmanaged</x:v>
      </x:c>
      <x:c r="K1467" s="123" t="b">
        <x:v>0</x:v>
      </x:c>
      <x:c r="L1467" s="117"/>
      <x:c r="M1467" s="118"/>
      <x:c r="N1467" s="120" t="n">
        <x:v>46113.59622685185</x:v>
      </x:c>
      <x:c r="O1467" s="117" t="str">
        <x:v>Delegate</x:v>
      </x:c>
      <x:c r="P1467" s="120" t="n">
        <x:v>46113.596342592595</x:v>
      </x:c>
      <x:c r="Q1467" s="117" t="str">
        <x:v>Delegate</x:v>
      </x:c>
      <x:c r="R1467" s="117" t="str">
        <x:v>Invoice Automations</x:v>
      </x:c>
      <x:c r="S1467" s="119" t="str">
        <x:v>04/01/2026 (BW) - Adding an order exception for Quantity 0 products</x:v>
      </x:c>
    </x:row>
    <x:row r="1468" ht="30" customHeight="1">
      <x:c r="A1468" s="117" t="str">
        <x:v>Invoice_Automations</x:v>
      </x:c>
      <x:c r="B1468" s="117" t="str">
        <x:v>3005b000000LHdDAAW</x:v>
      </x:c>
      <x:c r="C1468" s="117" t="str">
        <x:v>301Ro000013EbTkIAK</x:v>
      </x:c>
      <x:c r="D1468" s="118" t="n">
        <x:v>24</x:v>
      </x:c>
      <x:c r="E1468" s="117" t="str">
        <x:v>Obsolete</x:v>
      </x:c>
      <x:c r="F1468" s="117" t="str">
        <x:v>No</x:v>
      </x:c>
      <x:c r="G1468" s="117" t="str">
        <x:v>No</x:v>
      </x:c>
      <x:c r="H1468" s="117" t="str">
        <x:v>AutoLaunchedFlow</x:v>
      </x:c>
      <x:c r="I1468" s="118" t="n">
        <x:v>56</x:v>
      </x:c>
      <x:c r="J1468" s="117" t="str">
        <x:v>unmanaged</x:v>
      </x:c>
      <x:c r="K1468" s="123" t="b">
        <x:v>0</x:v>
      </x:c>
      <x:c r="L1468" s="117"/>
      <x:c r="M1468" s="118"/>
      <x:c r="N1468" s="120" t="n">
        <x:v>46127.57769675926</x:v>
      </x:c>
      <x:c r="O1468" s="117" t="str">
        <x:v>Delegate</x:v>
      </x:c>
      <x:c r="P1468" s="120" t="n">
        <x:v>46127.57855324074</x:v>
      </x:c>
      <x:c r="Q1468" s="117" t="str">
        <x:v>Delegate</x:v>
      </x:c>
      <x:c r="R1468" s="117" t="str">
        <x:v>Invoice Automations</x:v>
      </x:c>
      <x:c r="S1468" s="119" t="str">
        <x:v>04/15/2026 (BW) - Updating so that it doesn't snag if the billing address is not the correct country designation</x:v>
      </x:c>
    </x:row>
    <x:row r="1469" ht="30" customHeight="1">
      <x:c r="A1469" s="117" t="str">
        <x:v>Invoice_Automations</x:v>
      </x:c>
      <x:c r="B1469" s="117" t="str">
        <x:v>3005b000000LHdDAAW</x:v>
      </x:c>
      <x:c r="C1469" s="117" t="str">
        <x:v>301Ro000013EVJXIA4</x:v>
      </x:c>
      <x:c r="D1469" s="118" t="n">
        <x:v>25</x:v>
      </x:c>
      <x:c r="E1469" s="117" t="str">
        <x:v>Obsolete</x:v>
      </x:c>
      <x:c r="F1469" s="117" t="str">
        <x:v>No</x:v>
      </x:c>
      <x:c r="G1469" s="117" t="str">
        <x:v>No</x:v>
      </x:c>
      <x:c r="H1469" s="117" t="str">
        <x:v>AutoLaunchedFlow</x:v>
      </x:c>
      <x:c r="I1469" s="118" t="n">
        <x:v>56</x:v>
      </x:c>
      <x:c r="J1469" s="117" t="str">
        <x:v>unmanaged</x:v>
      </x:c>
      <x:c r="K1469" s="123" t="b">
        <x:v>0</x:v>
      </x:c>
      <x:c r="L1469" s="117"/>
      <x:c r="M1469" s="118"/>
      <x:c r="N1469" s="120" t="n">
        <x:v>46127.593877314815</x:v>
      </x:c>
      <x:c r="O1469" s="117" t="str">
        <x:v>Delegate</x:v>
      </x:c>
      <x:c r="P1469" s="120" t="n">
        <x:v>46127.595358796294</x:v>
      </x:c>
      <x:c r="Q1469" s="117" t="str">
        <x:v>Delegate</x:v>
      </x:c>
      <x:c r="R1469" s="117" t="str">
        <x:v>Invoice Automations</x:v>
      </x:c>
      <x:c r="S1469" s="119" t="str">
        <x:v>04/15/2026 (BW) - Updating so that it doesn't snag if the billing address is not the correct country designation</x:v>
      </x:c>
    </x:row>
    <x:row r="1470" ht="30" customHeight="1">
      <x:c r="A1470" s="117" t="str">
        <x:v>Invoice_Automations</x:v>
      </x:c>
      <x:c r="B1470" s="117" t="str">
        <x:v>3005b000000LHdDAAW</x:v>
      </x:c>
      <x:c r="C1470" s="117" t="str">
        <x:v>301Ro000013K9EhIAK</x:v>
      </x:c>
      <x:c r="D1470" s="118" t="n">
        <x:v>26</x:v>
      </x:c>
      <x:c r="E1470" s="117" t="str">
        <x:v>Active</x:v>
      </x:c>
      <x:c r="F1470" s="117" t="str">
        <x:v>Yes</x:v>
      </x:c>
      <x:c r="G1470" s="117" t="str">
        <x:v>Yes</x:v>
      </x:c>
      <x:c r="H1470" s="117" t="str">
        <x:v>AutoLaunchedFlow</x:v>
      </x:c>
      <x:c r="I1470" s="118" t="n">
        <x:v>56</x:v>
      </x:c>
      <x:c r="J1470" s="117" t="str">
        <x:v>unmanaged</x:v>
      </x:c>
      <x:c r="K1470" s="123" t="b">
        <x:v>0</x:v>
      </x:c>
      <x:c r="L1470" s="117"/>
      <x:c r="M1470" s="118"/>
      <x:c r="N1470" s="120" t="n">
        <x:v>46128.536412037036</x:v>
      </x:c>
      <x:c r="O1470" s="117" t="str">
        <x:v>Delegate</x:v>
      </x:c>
      <x:c r="P1470" s="120" t="n">
        <x:v>46142.70002314815</x:v>
      </x:c>
      <x:c r="Q1470" s="117" t="str">
        <x:v>Delegate</x:v>
      </x:c>
      <x:c r="R1470" s="117" t="str">
        <x:v>Invoice Automations</x:v>
      </x:c>
      <x:c r="S1470" s="119" t="str">
        <x:v>04/15/2026 (BW) - Updating so that it doesn't snag if the billing address is not the correct country designation</x:v>
      </x:c>
    </x:row>
    <x:row r="1471" ht="30" customHeight="1">
      <x:c r="A1471" s="117" t="str">
        <x:v>Invoice_Create_Invoice_Line_Items</x:v>
      </x:c>
      <x:c r="B1471" s="117" t="str">
        <x:v>300Ro00000VBIe8IAH</x:v>
      </x:c>
      <x:c r="C1471" s="117" t="str">
        <x:v>301Ro00000Ykr7fIAB</x:v>
      </x:c>
      <x:c r="D1471" s="118" t="n">
        <x:v>1</x:v>
      </x:c>
      <x:c r="E1471" s="117" t="str">
        <x:v>Obsolete</x:v>
      </x:c>
      <x:c r="F1471" s="117" t="str">
        <x:v>No</x:v>
      </x:c>
      <x:c r="G1471" s="117" t="str">
        <x:v>No</x:v>
      </x:c>
      <x:c r="H1471" s="117" t="str">
        <x:v>AutoLaunchedFlow</x:v>
      </x:c>
      <x:c r="I1471" s="118" t="n">
        <x:v>62</x:v>
      </x:c>
      <x:c r="J1471" s="117" t="str">
        <x:v>unmanaged</x:v>
      </x:c>
      <x:c r="K1471" s="123" t="b">
        <x:v>0</x:v>
      </x:c>
      <x:c r="L1471" s="117"/>
      <x:c r="M1471" s="118"/>
      <x:c r="N1471" s="120" t="n">
        <x:v>45785.58414351852</x:v>
      </x:c>
      <x:c r="O1471" s="117" t="str">
        <x:v>Delegate</x:v>
      </x:c>
      <x:c r="P1471" s="120" t="n">
        <x:v>45785.65540509259</x:v>
      </x:c>
      <x:c r="Q1471" s="117" t="str">
        <x:v>Delegate</x:v>
      </x:c>
      <x:c r="R1471" s="117" t="str">
        <x:v>Invoice - Create Invoice Line Items</x:v>
      </x:c>
      <x:c r="S1471" s="119" t="str">
        <x:v>04/03/2025 (BW) - Updated this invoice to get the total sales price from the invoice line items</x:v>
      </x:c>
    </x:row>
    <x:row r="1472" ht="30" customHeight="1">
      <x:c r="A1472" s="117" t="str">
        <x:v>Invoice_Create_Invoice_Line_Items</x:v>
      </x:c>
      <x:c r="B1472" s="117" t="str">
        <x:v>300Ro00000VBIe8IAH</x:v>
      </x:c>
      <x:c r="C1472" s="117" t="str">
        <x:v>301Ro00000Yp58YIAR</x:v>
      </x:c>
      <x:c r="D1472" s="118" t="n">
        <x:v>2</x:v>
      </x:c>
      <x:c r="E1472" s="117" t="str">
        <x:v>Obsolete</x:v>
      </x:c>
      <x:c r="F1472" s="117" t="str">
        <x:v>No</x:v>
      </x:c>
      <x:c r="G1472" s="117" t="str">
        <x:v>No</x:v>
      </x:c>
      <x:c r="H1472" s="117" t="str">
        <x:v>AutoLaunchedFlow</x:v>
      </x:c>
      <x:c r="I1472" s="118" t="n">
        <x:v>62</x:v>
      </x:c>
      <x:c r="J1472" s="117" t="str">
        <x:v>unmanaged</x:v>
      </x:c>
      <x:c r="K1472" s="123" t="b">
        <x:v>0</x:v>
      </x:c>
      <x:c r="L1472" s="117"/>
      <x:c r="M1472" s="118"/>
      <x:c r="N1472" s="120" t="n">
        <x:v>45786.52353009259</x:v>
      </x:c>
      <x:c r="O1472" s="117" t="str">
        <x:v>Delegate</x:v>
      </x:c>
      <x:c r="P1472" s="120" t="n">
        <x:v>45786.52693287037</x:v>
      </x:c>
      <x:c r="Q1472" s="117" t="str">
        <x:v>Delegate</x:v>
      </x:c>
      <x:c r="R1472" s="117" t="str">
        <x:v>Invoice - Create Invoice Line Items</x:v>
      </x:c>
      <x:c r="S1472" s="119" t="str">
        <x:v>05/09/2025 (CDM) - Updated this invoice to get the Cost from Opp Products to create on the ILI's in the transform elements</x:v>
      </x:c>
    </x:row>
    <x:row r="1473" ht="30" customHeight="1">
      <x:c r="A1473" s="117" t="str">
        <x:v>Invoice_Create_Invoice_Line_Items</x:v>
      </x:c>
      <x:c r="B1473" s="117" t="str">
        <x:v>300Ro00000VBIe8IAH</x:v>
      </x:c>
      <x:c r="C1473" s="117" t="str">
        <x:v>301Ro000010nwlVIAQ</x:v>
      </x:c>
      <x:c r="D1473" s="118" t="n">
        <x:v>3</x:v>
      </x:c>
      <x:c r="E1473" s="117" t="str">
        <x:v>Obsolete</x:v>
      </x:c>
      <x:c r="F1473" s="117" t="str">
        <x:v>No</x:v>
      </x:c>
      <x:c r="G1473" s="117" t="str">
        <x:v>No</x:v>
      </x:c>
      <x:c r="H1473" s="117" t="str">
        <x:v>AutoLaunchedFlow</x:v>
      </x:c>
      <x:c r="I1473" s="118" t="n">
        <x:v>62</x:v>
      </x:c>
      <x:c r="J1473" s="117" t="str">
        <x:v>unmanaged</x:v>
      </x:c>
      <x:c r="K1473" s="123" t="b">
        <x:v>0</x:v>
      </x:c>
      <x:c r="L1473" s="117"/>
      <x:c r="M1473" s="118"/>
      <x:c r="N1473" s="120" t="n">
        <x:v>46098.746724537035</x:v>
      </x:c>
      <x:c r="O1473" s="117" t="str">
        <x:v>Delegate</x:v>
      </x:c>
      <x:c r="P1473" s="120" t="n">
        <x:v>46098.746932870374</x:v>
      </x:c>
      <x:c r="Q1473" s="117" t="str">
        <x:v>Delegate</x:v>
      </x:c>
      <x:c r="R1473" s="117" t="str">
        <x:v>Invoice - Create Invoice Line Items</x:v>
      </x:c>
      <x:c r="S1473" s="119" t="str">
        <x:v>03/17/2026 (BW) - Updated so that invoices don't get generated with Returned Cores/Unused/DOA parts</x:v>
      </x:c>
    </x:row>
    <x:row r="1474" ht="30" customHeight="1">
      <x:c r="A1474" s="117" t="str">
        <x:v>Invoice_Create_Invoice_Line_Items</x:v>
      </x:c>
      <x:c r="B1474" s="117" t="str">
        <x:v>300Ro00000VBIe8IAH</x:v>
      </x:c>
      <x:c r="C1474" s="117" t="str">
        <x:v>301Ro000010n1tnIAA</x:v>
      </x:c>
      <x:c r="D1474" s="118" t="n">
        <x:v>4</x:v>
      </x:c>
      <x:c r="E1474" s="117" t="str">
        <x:v>Active</x:v>
      </x:c>
      <x:c r="F1474" s="117" t="str">
        <x:v>Yes</x:v>
      </x:c>
      <x:c r="G1474" s="117" t="str">
        <x:v>Yes</x:v>
      </x:c>
      <x:c r="H1474" s="117" t="str">
        <x:v>AutoLaunchedFlow</x:v>
      </x:c>
      <x:c r="I1474" s="118" t="n">
        <x:v>62</x:v>
      </x:c>
      <x:c r="J1474" s="117" t="str">
        <x:v>unmanaged</x:v>
      </x:c>
      <x:c r="K1474" s="123" t="b">
        <x:v>0</x:v>
      </x:c>
      <x:c r="L1474" s="117"/>
      <x:c r="M1474" s="118"/>
      <x:c r="N1474" s="120" t="n">
        <x:v>46098.78115740741</x:v>
      </x:c>
      <x:c r="O1474" s="117" t="str">
        <x:v>Delegate</x:v>
      </x:c>
      <x:c r="P1474" s="120" t="n">
        <x:v>46142.69965277778</x:v>
      </x:c>
      <x:c r="Q1474" s="117" t="str">
        <x:v>Delegate</x:v>
      </x:c>
      <x:c r="R1474" s="117" t="str">
        <x:v>Invoice - Create Invoice Line Items</x:v>
      </x:c>
      <x:c r="S1474" s="119" t="str">
        <x:v>03/17/2026 (BW) - Updated so that invoices don't get generated with Returned Cores/Unused/DOA parts</x:v>
      </x:c>
    </x:row>
    <x:row r="1475" ht="30" customHeight="1">
      <x:c r="A1475" s="117" t="str">
        <x:v>Invoice_Line_Item_On_Update_Sum_Invoice_Total_Sales_Price</x:v>
      </x:c>
      <x:c r="B1475" s="117" t="str">
        <x:v>300Ro00000VTHYJIA5</x:v>
      </x:c>
      <x:c r="C1475" s="117" t="str">
        <x:v>301Ro00000Yg4ZvIAJ</x:v>
      </x:c>
      <x:c r="D1475" s="118" t="n">
        <x:v>1</x:v>
      </x:c>
      <x:c r="E1475" s="117" t="str">
        <x:v>Obsolete</x:v>
      </x:c>
      <x:c r="F1475" s="117" t="str">
        <x:v>No</x:v>
      </x:c>
      <x:c r="G1475" s="117" t="str">
        <x:v>No</x:v>
      </x:c>
      <x:c r="H1475" s="117" t="str">
        <x:v>AutoLaunchedFlow</x:v>
      </x:c>
      <x:c r="I1475" s="118" t="n">
        <x:v>63</x:v>
      </x:c>
      <x:c r="J1475" s="117" t="str">
        <x:v>unmanaged</x:v>
      </x:c>
      <x:c r="K1475" s="123" t="b">
        <x:v>0</x:v>
      </x:c>
      <x:c r="L1475" s="117"/>
      <x:c r="M1475" s="118"/>
      <x:c r="N1475" s="120" t="n">
        <x:v>45784.478784722225</x:v>
      </x:c>
      <x:c r="O1475" s="117" t="str">
        <x:v>Delegate</x:v>
      </x:c>
      <x:c r="P1475" s="120" t="n">
        <x:v>45785.65547453704</x:v>
      </x:c>
      <x:c r="Q1475" s="117" t="str">
        <x:v>Delegate</x:v>
      </x:c>
      <x:c r="R1475" s="117" t="str">
        <x:v>Invoice Line Item | On Update | Sum Invoice Total Sales Price</x:v>
      </x:c>
      <x:c r="S1475" s="119"/>
    </x:row>
    <x:row r="1476" ht="30" customHeight="1">
      <x:c r="A1476" s="117" t="str">
        <x:v>Invoice_Line_Item_On_Update_Sum_Invoice_Total_Sales_Price</x:v>
      </x:c>
      <x:c r="B1476" s="117" t="str">
        <x:v>300Ro00000VTHYJIA5</x:v>
      </x:c>
      <x:c r="C1476" s="117" t="str">
        <x:v>301Ro00001Bz10XIAR</x:v>
      </x:c>
      <x:c r="D1476" s="118" t="n">
        <x:v>2</x:v>
      </x:c>
      <x:c r="E1476" s="117" t="str">
        <x:v>InvalidDraft</x:v>
      </x:c>
      <x:c r="F1476" s="117" t="str">
        <x:v>No</x:v>
      </x:c>
      <x:c r="G1476" s="117" t="str">
        <x:v>No</x:v>
      </x:c>
      <x:c r="H1476" s="117" t="str">
        <x:v>AutoLaunchedFlow</x:v>
      </x:c>
      <x:c r="I1476" s="118" t="n">
        <x:v>63</x:v>
      </x:c>
      <x:c r="J1476" s="117" t="str">
        <x:v>unmanaged</x:v>
      </x:c>
      <x:c r="K1476" s="123" t="b">
        <x:v>0</x:v>
      </x:c>
      <x:c r="L1476" s="117"/>
      <x:c r="M1476" s="118"/>
      <x:c r="N1476" s="120" t="n">
        <x:v>46225.60162037037</x:v>
      </x:c>
      <x:c r="O1476" s="117" t="str">
        <x:v>Sacha Pearce</x:v>
      </x:c>
      <x:c r="P1476" s="120" t="n">
        <x:v>46225.601643518516</x:v>
      </x:c>
      <x:c r="Q1476" s="117" t="str">
        <x:v>Sacha Pearce</x:v>
      </x:c>
      <x:c r="R1476" s="117" t="str">
        <x:v>Invoice Line Item | On Update | Sum Invoice Total Sales Price</x:v>
      </x:c>
      <x:c r="S1476" s="119" t="str">
        <x:v>22/07/2026 - SP - Updating to run asynchronously.</x:v>
      </x:c>
    </x:row>
    <x:row r="1477" ht="30" customHeight="1">
      <x:c r="A1477" s="117" t="str">
        <x:v>Invoice_Line_Item_On_Update_Sum_Invoice_Total_Sales_Price</x:v>
      </x:c>
      <x:c r="B1477" s="117" t="str">
        <x:v>300Ro00000VTHYJIA5</x:v>
      </x:c>
      <x:c r="C1477" s="117" t="str">
        <x:v>301Ro00001CBpiwIAD</x:v>
      </x:c>
      <x:c r="D1477" s="118" t="n">
        <x:v>3</x:v>
      </x:c>
      <x:c r="E1477" s="117" t="str">
        <x:v>Active</x:v>
      </x:c>
      <x:c r="F1477" s="117" t="str">
        <x:v>Yes</x:v>
      </x:c>
      <x:c r="G1477" s="117" t="str">
        <x:v>Yes</x:v>
      </x:c>
      <x:c r="H1477" s="117" t="str">
        <x:v>AutoLaunchedFlow</x:v>
      </x:c>
      <x:c r="I1477" s="118" t="n">
        <x:v>63</x:v>
      </x:c>
      <x:c r="J1477" s="117" t="str">
        <x:v>unmanaged</x:v>
      </x:c>
      <x:c r="K1477" s="123" t="b">
        <x:v>0</x:v>
      </x:c>
      <x:c r="L1477" s="117"/>
      <x:c r="M1477" s="118"/>
      <x:c r="N1477" s="120" t="n">
        <x:v>46227.34271990741</x:v>
      </x:c>
      <x:c r="O1477" s="117" t="str">
        <x:v>Sacha Pearce</x:v>
      </x:c>
      <x:c r="P1477" s="120" t="n">
        <x:v>46227.34315972222</x:v>
      </x:c>
      <x:c r="Q1477" s="117" t="str">
        <x:v>Sacha Pearce</x:v>
      </x:c>
      <x:c r="R1477" s="117" t="str">
        <x:v>Invoice Line Item | On Update | Sum Invoice Total Sales Price</x:v>
      </x:c>
      <x:c r="S1477" s="119" t="str">
        <x:v>24/07/2026 - Excluding the calculation for "Total Sales Price" when Invoices are made for Disaster Record Projects (related to the Opportunity named "Generic Opportunity for DRP").</x:v>
      </x:c>
    </x:row>
    <x:row r="1478" ht="30" customHeight="1">
      <x:c r="A1478" s="117" t="str">
        <x:v>Invoice_Object</x:v>
      </x:c>
      <x:c r="B1478" s="117" t="str">
        <x:v>3004O0000000ZuBQAU</x:v>
      </x:c>
      <x:c r="C1478" s="117" t="str">
        <x:v>3015b000000EDTvAAO</x:v>
      </x:c>
      <x:c r="D1478" s="118" t="n">
        <x:v>38</x:v>
      </x:c>
      <x:c r="E1478" s="117" t="str">
        <x:v>Obsolete</x:v>
      </x:c>
      <x:c r="F1478" s="117" t="str">
        <x:v>No</x:v>
      </x:c>
      <x:c r="G1478" s="117" t="str">
        <x:v>No</x:v>
      </x:c>
      <x:c r="H1478" s="117" t="str">
        <x:v>Workflow</x:v>
      </x:c>
      <x:c r="I1478" s="118" t="n">
        <x:v>49</x:v>
      </x:c>
      <x:c r="J1478" s="117" t="str">
        <x:v>unmanaged</x:v>
      </x:c>
      <x:c r="K1478" s="123" t="b">
        <x:v>0</x:v>
      </x:c>
      <x:c r="L1478" s="117"/>
      <x:c r="M1478" s="118"/>
      <x:c r="N1478" s="120" t="n">
        <x:v>44516.21056712963</x:v>
      </x:c>
      <x:c r="O1478" s="117" t="str">
        <x:v>Delegate</x:v>
      </x:c>
      <x:c r="P1478" s="120" t="n">
        <x:v>44516.21063657408</x:v>
      </x:c>
      <x:c r="Q1478" s="117" t="str">
        <x:v>Delegate</x:v>
      </x:c>
      <x:c r="R1478" s="117" t="str">
        <x:v>Invoice Object</x:v>
      </x:c>
      <x:c r="S1478" s="119" t="str">
        <x:v>Adding trigger to create Commission</x:v>
      </x:c>
    </x:row>
    <x:row r="1479" ht="30" customHeight="1">
      <x:c r="A1479" s="117" t="str">
        <x:v>Invoice_Object</x:v>
      </x:c>
      <x:c r="B1479" s="117" t="str">
        <x:v>3004O0000000ZuBQAU</x:v>
      </x:c>
      <x:c r="C1479" s="117" t="str">
        <x:v>3015b000000EDUKAA4</x:v>
      </x:c>
      <x:c r="D1479" s="118" t="n">
        <x:v>39</x:v>
      </x:c>
      <x:c r="E1479" s="117" t="str">
        <x:v>Obsolete</x:v>
      </x:c>
      <x:c r="F1479" s="117" t="str">
        <x:v>No</x:v>
      </x:c>
      <x:c r="G1479" s="117" t="str">
        <x:v>No</x:v>
      </x:c>
      <x:c r="H1479" s="117" t="str">
        <x:v>Workflow</x:v>
      </x:c>
      <x:c r="I1479" s="118" t="n">
        <x:v>49</x:v>
      </x:c>
      <x:c r="J1479" s="117" t="str">
        <x:v>unmanaged</x:v>
      </x:c>
      <x:c r="K1479" s="123" t="b">
        <x:v>0</x:v>
      </x:c>
      <x:c r="L1479" s="117"/>
      <x:c r="M1479" s="118"/>
      <x:c r="N1479" s="120" t="n">
        <x:v>44516.26636574074</x:v>
      </x:c>
      <x:c r="O1479" s="117" t="str">
        <x:v>Delegate</x:v>
      </x:c>
      <x:c r="P1479" s="120" t="n">
        <x:v>44761.75315972222</x:v>
      </x:c>
      <x:c r="Q1479" s="117" t="str">
        <x:v>Delegate</x:v>
      </x:c>
      <x:c r="R1479" s="117" t="str">
        <x:v>Invoice Object</x:v>
      </x:c>
      <x:c r="S1479" s="119" t="str">
        <x:v>Adding trigger to create Commission</x:v>
      </x:c>
    </x:row>
    <x:row r="1480" ht="30" customHeight="1">
      <x:c r="A1480" s="117" t="str">
        <x:v>Invoice_Object</x:v>
      </x:c>
      <x:c r="B1480" s="117" t="str">
        <x:v>3004O0000000ZuBQAU</x:v>
      </x:c>
      <x:c r="C1480" s="117" t="str">
        <x:v>3015b000000EHVWAA4</x:v>
      </x:c>
      <x:c r="D1480" s="118" t="n">
        <x:v>40</x:v>
      </x:c>
      <x:c r="E1480" s="117" t="str">
        <x:v>Obsolete</x:v>
      </x:c>
      <x:c r="F1480" s="117" t="str">
        <x:v>No</x:v>
      </x:c>
      <x:c r="G1480" s="117" t="str">
        <x:v>No</x:v>
      </x:c>
      <x:c r="H1480" s="117" t="str">
        <x:v>Workflow</x:v>
      </x:c>
      <x:c r="I1480" s="118" t="n">
        <x:v>49</x:v>
      </x:c>
      <x:c r="J1480" s="117" t="str">
        <x:v>unmanaged</x:v>
      </x:c>
      <x:c r="K1480" s="123" t="b">
        <x:v>0</x:v>
      </x:c>
      <x:c r="L1480" s="117"/>
      <x:c r="M1480" s="118"/>
      <x:c r="N1480" s="120" t="n">
        <x:v>44606.77618055556</x:v>
      </x:c>
      <x:c r="O1480" s="117" t="str">
        <x:v>Delegate</x:v>
      </x:c>
      <x:c r="P1480" s="120" t="n">
        <x:v>44606.776296296295</x:v>
      </x:c>
      <x:c r="Q1480" s="117" t="str">
        <x:v>Delegate</x:v>
      </x:c>
      <x:c r="R1480" s="117" t="str">
        <x:v>Invoice Object</x:v>
      </x:c>
      <x:c r="S1480" s="119" t="str">
        <x:v>Adding Send to Lockstep</x:v>
      </x:c>
    </x:row>
    <x:row r="1481" ht="30" customHeight="1">
      <x:c r="A1481" s="117" t="str">
        <x:v>Invoice_Object</x:v>
      </x:c>
      <x:c r="B1481" s="117" t="str">
        <x:v>3004O0000000ZuBQAU</x:v>
      </x:c>
      <x:c r="C1481" s="117" t="str">
        <x:v>3015b000000AA81AAG</x:v>
      </x:c>
      <x:c r="D1481" s="118" t="n">
        <x:v>41</x:v>
      </x:c>
      <x:c r="E1481" s="117" t="str">
        <x:v>Obsolete</x:v>
      </x:c>
      <x:c r="F1481" s="117" t="str">
        <x:v>No</x:v>
      </x:c>
      <x:c r="G1481" s="117" t="str">
        <x:v>No</x:v>
      </x:c>
      <x:c r="H1481" s="117" t="str">
        <x:v>Workflow</x:v>
      </x:c>
      <x:c r="I1481" s="118" t="n">
        <x:v>49</x:v>
      </x:c>
      <x:c r="J1481" s="117" t="str">
        <x:v>unmanaged</x:v>
      </x:c>
      <x:c r="K1481" s="123" t="b">
        <x:v>0</x:v>
      </x:c>
      <x:c r="L1481" s="117"/>
      <x:c r="M1481" s="118"/>
      <x:c r="N1481" s="120" t="n">
        <x:v>44880.63469907407</x:v>
      </x:c>
      <x:c r="O1481" s="117" t="str">
        <x:v>Delegate</x:v>
      </x:c>
      <x:c r="P1481" s="120" t="n">
        <x:v>44880.63486111111</x:v>
      </x:c>
      <x:c r="Q1481" s="117" t="str">
        <x:v>Delegate</x:v>
      </x:c>
      <x:c r="R1481" s="117" t="str">
        <x:v>Invoice Object</x:v>
      </x:c>
      <x:c r="S1481" s="119" t="str">
        <x:v>Adding trigger to create Commission</x:v>
      </x:c>
    </x:row>
    <x:row r="1482" ht="30" customHeight="1">
      <x:c r="A1482" s="117" t="str">
        <x:v>Invoice_Object</x:v>
      </x:c>
      <x:c r="B1482" s="117" t="str">
        <x:v>3004O0000000ZuBQAU</x:v>
      </x:c>
      <x:c r="C1482" s="117" t="str">
        <x:v>3015b0000011MUEAA2</x:v>
      </x:c>
      <x:c r="D1482" s="118" t="n">
        <x:v>42</x:v>
      </x:c>
      <x:c r="E1482" s="117" t="str">
        <x:v>Obsolete</x:v>
      </x:c>
      <x:c r="F1482" s="117" t="str">
        <x:v>No</x:v>
      </x:c>
      <x:c r="G1482" s="117" t="str">
        <x:v>No</x:v>
      </x:c>
      <x:c r="H1482" s="117" t="str">
        <x:v>Workflow</x:v>
      </x:c>
      <x:c r="I1482" s="118" t="n">
        <x:v>49</x:v>
      </x:c>
      <x:c r="J1482" s="117" t="str">
        <x:v>unmanaged</x:v>
      </x:c>
      <x:c r="K1482" s="123" t="b">
        <x:v>0</x:v>
      </x:c>
      <x:c r="L1482" s="117"/>
      <x:c r="M1482" s="118"/>
      <x:c r="N1482" s="120" t="n">
        <x:v>45243.70915509259</x:v>
      </x:c>
      <x:c r="O1482" s="117" t="str">
        <x:v>Delegate</x:v>
      </x:c>
      <x:c r="P1482" s="120" t="n">
        <x:v>45243.71047453704</x:v>
      </x:c>
      <x:c r="Q1482" s="117" t="str">
        <x:v>Delegate</x:v>
      </x:c>
      <x:c r="R1482" s="117" t="str">
        <x:v>Invoice Object</x:v>
      </x:c>
      <x:c r="S1482" s="119" t="str">
        <x:v>Adding trigger to create Commission</x:v>
      </x:c>
    </x:row>
    <x:row r="1483" ht="30" customHeight="1">
      <x:c r="A1483" s="117" t="str">
        <x:v>Invoice_Object</x:v>
      </x:c>
      <x:c r="B1483" s="117" t="str">
        <x:v>3004O0000000ZuBQAU</x:v>
      </x:c>
      <x:c r="C1483" s="117" t="str">
        <x:v>3015b0000011MWZAA2</x:v>
      </x:c>
      <x:c r="D1483" s="118" t="n">
        <x:v>43</x:v>
      </x:c>
      <x:c r="E1483" s="117" t="str">
        <x:v>Obsolete</x:v>
      </x:c>
      <x:c r="F1483" s="117" t="str">
        <x:v>No</x:v>
      </x:c>
      <x:c r="G1483" s="117" t="str">
        <x:v>No</x:v>
      </x:c>
      <x:c r="H1483" s="117" t="str">
        <x:v>Workflow</x:v>
      </x:c>
      <x:c r="I1483" s="118" t="n">
        <x:v>49</x:v>
      </x:c>
      <x:c r="J1483" s="117" t="str">
        <x:v>unmanaged</x:v>
      </x:c>
      <x:c r="K1483" s="123" t="b">
        <x:v>0</x:v>
      </x:c>
      <x:c r="L1483" s="117"/>
      <x:c r="M1483" s="118"/>
      <x:c r="N1483" s="120" t="n">
        <x:v>45247.63747685185</x:v>
      </x:c>
      <x:c r="O1483" s="117" t="str">
        <x:v>Delegate</x:v>
      </x:c>
      <x:c r="P1483" s="120" t="n">
        <x:v>45247.63761574074</x:v>
      </x:c>
      <x:c r="Q1483" s="117" t="str">
        <x:v>Delegate</x:v>
      </x:c>
      <x:c r="R1483" s="117" t="str">
        <x:v>Invoice Object</x:v>
      </x:c>
      <x:c r="S1483" s="119" t="str">
        <x:v>Adding trigger to create Commission</x:v>
      </x:c>
    </x:row>
    <x:row r="1484" ht="30" customHeight="1">
      <x:c r="A1484" s="117" t="str">
        <x:v>Invoice_Object</x:v>
      </x:c>
      <x:c r="B1484" s="117" t="str">
        <x:v>3004O0000000ZuBQAU</x:v>
      </x:c>
      <x:c r="C1484" s="117" t="str">
        <x:v>3015b0000011Md1AAE</x:v>
      </x:c>
      <x:c r="D1484" s="118" t="n">
        <x:v>44</x:v>
      </x:c>
      <x:c r="E1484" s="117" t="str">
        <x:v>Obsolete</x:v>
      </x:c>
      <x:c r="F1484" s="117" t="str">
        <x:v>No</x:v>
      </x:c>
      <x:c r="G1484" s="117" t="str">
        <x:v>No</x:v>
      </x:c>
      <x:c r="H1484" s="117" t="str">
        <x:v>Workflow</x:v>
      </x:c>
      <x:c r="I1484" s="118" t="n">
        <x:v>49</x:v>
      </x:c>
      <x:c r="J1484" s="117" t="str">
        <x:v>unmanaged</x:v>
      </x:c>
      <x:c r="K1484" s="123" t="b">
        <x:v>0</x:v>
      </x:c>
      <x:c r="L1484" s="117"/>
      <x:c r="M1484" s="118"/>
      <x:c r="N1484" s="120" t="n">
        <x:v>45257.01415509259</x:v>
      </x:c>
      <x:c r="O1484" s="117" t="str">
        <x:v>Delegate</x:v>
      </x:c>
      <x:c r="P1484" s="120" t="n">
        <x:v>45257.046122685184</x:v>
      </x:c>
      <x:c r="Q1484" s="117" t="str">
        <x:v>Delegate</x:v>
      </x:c>
      <x:c r="R1484" s="117" t="str">
        <x:v>Invoice Object</x:v>
      </x:c>
      <x:c r="S1484" s="119" t="str">
        <x:v>Adding trigger to create Commission</x:v>
      </x:c>
    </x:row>
    <x:row r="1485" ht="30" customHeight="1">
      <x:c r="A1485" s="117" t="str">
        <x:v>Invoice_Object</x:v>
      </x:c>
      <x:c r="B1485" s="117" t="str">
        <x:v>3004O0000000ZuBQAU</x:v>
      </x:c>
      <x:c r="C1485" s="117" t="str">
        <x:v>301Ro00000NyUZeIAN</x:v>
      </x:c>
      <x:c r="D1485" s="118" t="n">
        <x:v>45</x:v>
      </x:c>
      <x:c r="E1485" s="117" t="str">
        <x:v>Obsolete</x:v>
      </x:c>
      <x:c r="F1485" s="117" t="str">
        <x:v>No</x:v>
      </x:c>
      <x:c r="G1485" s="117" t="str">
        <x:v>No</x:v>
      </x:c>
      <x:c r="H1485" s="117" t="str">
        <x:v>Workflow</x:v>
      </x:c>
      <x:c r="I1485" s="118" t="n">
        <x:v>49</x:v>
      </x:c>
      <x:c r="J1485" s="117" t="str">
        <x:v>unmanaged</x:v>
      </x:c>
      <x:c r="K1485" s="123" t="b">
        <x:v>0</x:v>
      </x:c>
      <x:c r="L1485" s="117"/>
      <x:c r="M1485" s="118"/>
      <x:c r="N1485" s="120" t="n">
        <x:v>45597.32193287037</x:v>
      </x:c>
      <x:c r="O1485" s="117" t="str">
        <x:v>Natalie Boger</x:v>
      </x:c>
      <x:c r="P1485" s="120" t="n">
        <x:v>45597.32209490741</x:v>
      </x:c>
      <x:c r="Q1485" s="117" t="str">
        <x:v>Natalie Boger</x:v>
      </x:c>
      <x:c r="R1485" s="117" t="str">
        <x:v>Invoice Object</x:v>
      </x:c>
      <x:c r="S1485" s="119" t="str">
        <x:v>Update for Cold Storage, fixing total invoice amount</x:v>
      </x:c>
    </x:row>
    <x:row r="1486" ht="30" customHeight="1">
      <x:c r="A1486" s="117" t="str">
        <x:v>Invoice_Object</x:v>
      </x:c>
      <x:c r="B1486" s="117" t="str">
        <x:v>3004O0000000ZuBQAU</x:v>
      </x:c>
      <x:c r="C1486" s="117" t="str">
        <x:v>301Ro00000QmLbGIAV</x:v>
      </x:c>
      <x:c r="D1486" s="118" t="n">
        <x:v>46</x:v>
      </x:c>
      <x:c r="E1486" s="117" t="str">
        <x:v>InvalidDraft</x:v>
      </x:c>
      <x:c r="F1486" s="117" t="str">
        <x:v>No</x:v>
      </x:c>
      <x:c r="G1486" s="117" t="str">
        <x:v>No</x:v>
      </x:c>
      <x:c r="H1486" s="117" t="str">
        <x:v>Workflow</x:v>
      </x:c>
      <x:c r="I1486" s="118" t="n">
        <x:v>49</x:v>
      </x:c>
      <x:c r="J1486" s="117" t="str">
        <x:v>unmanaged</x:v>
      </x:c>
      <x:c r="K1486" s="123" t="b">
        <x:v>0</x:v>
      </x:c>
      <x:c r="L1486" s="117"/>
      <x:c r="M1486" s="118"/>
      <x:c r="N1486" s="120" t="n">
        <x:v>45644.99303240741</x:v>
      </x:c>
      <x:c r="O1486" s="117" t="str">
        <x:v>Natalie Boger</x:v>
      </x:c>
      <x:c r="P1486" s="120" t="n">
        <x:v>45644.99319444445</x:v>
      </x:c>
      <x:c r="Q1486" s="117" t="str">
        <x:v>Natalie Boger</x:v>
      </x:c>
      <x:c r="R1486" s="117" t="str">
        <x:v>Invoice Object</x:v>
      </x:c>
      <x:c r="S1486" s="119" t="str">
        <x:v>Update for Cold Storage - adding rental start and end date fields</x:v>
      </x:c>
    </x:row>
    <x:row r="1487" ht="30" customHeight="1">
      <x:c r="A1487" s="117" t="str">
        <x:v>Invoice_Object</x:v>
      </x:c>
      <x:c r="B1487" s="117" t="str">
        <x:v>3004O0000000ZuBQAU</x:v>
      </x:c>
      <x:c r="C1487" s="117" t="str">
        <x:v>301Ro00000QmjiKIAR</x:v>
      </x:c>
      <x:c r="D1487" s="118" t="n">
        <x:v>48</x:v>
      </x:c>
      <x:c r="E1487" s="117" t="str">
        <x:v>InvalidDraft</x:v>
      </x:c>
      <x:c r="F1487" s="117" t="str">
        <x:v>No</x:v>
      </x:c>
      <x:c r="G1487" s="117" t="str">
        <x:v>No</x:v>
      </x:c>
      <x:c r="H1487" s="117" t="str">
        <x:v>Workflow</x:v>
      </x:c>
      <x:c r="I1487" s="118" t="n">
        <x:v>49</x:v>
      </x:c>
      <x:c r="J1487" s="117" t="str">
        <x:v>unmanaged</x:v>
      </x:c>
      <x:c r="K1487" s="123" t="b">
        <x:v>0</x:v>
      </x:c>
      <x:c r="L1487" s="117"/>
      <x:c r="M1487" s="118"/>
      <x:c r="N1487" s="120" t="n">
        <x:v>45645.090949074074</x:v>
      </x:c>
      <x:c r="O1487" s="117" t="str">
        <x:v>Natalie Boger</x:v>
      </x:c>
      <x:c r="P1487" s="120" t="n">
        <x:v>45645.09101851852</x:v>
      </x:c>
      <x:c r="Q1487" s="117" t="str">
        <x:v>Natalie Boger</x:v>
      </x:c>
      <x:c r="R1487" s="117" t="str">
        <x:v>Invoice Object</x:v>
      </x:c>
      <x:c r="S1487" s="119" t="str">
        <x:v>Update for Cold Storage - adding in decision tree for last invoice to include additional opp products</x:v>
      </x:c>
    </x:row>
    <x:row r="1488" ht="30" customHeight="1">
      <x:c r="A1488" s="117" t="str">
        <x:v>Invoice_Object</x:v>
      </x:c>
      <x:c r="B1488" s="117" t="str">
        <x:v>3004O0000000ZuBQAU</x:v>
      </x:c>
      <x:c r="C1488" s="117" t="str">
        <x:v>301Ro00000QmrZLIAZ</x:v>
      </x:c>
      <x:c r="D1488" s="118" t="n">
        <x:v>52</x:v>
      </x:c>
      <x:c r="E1488" s="117" t="str">
        <x:v>Obsolete</x:v>
      </x:c>
      <x:c r="F1488" s="117" t="str">
        <x:v>No</x:v>
      </x:c>
      <x:c r="G1488" s="117" t="str">
        <x:v>No</x:v>
      </x:c>
      <x:c r="H1488" s="117" t="str">
        <x:v>Workflow</x:v>
      </x:c>
      <x:c r="I1488" s="118" t="n">
        <x:v>49</x:v>
      </x:c>
      <x:c r="J1488" s="117" t="str">
        <x:v>unmanaged</x:v>
      </x:c>
      <x:c r="K1488" s="123" t="b">
        <x:v>0</x:v>
      </x:c>
      <x:c r="L1488" s="117"/>
      <x:c r="M1488" s="118"/>
      <x:c r="N1488" s="120" t="n">
        <x:v>45645.13431712963</x:v>
      </x:c>
      <x:c r="O1488" s="117" t="str">
        <x:v>Natalie Boger</x:v>
      </x:c>
      <x:c r="P1488" s="120" t="n">
        <x:v>45645.13447916666</x:v>
      </x:c>
      <x:c r="Q1488" s="117" t="str">
        <x:v>Natalie Boger</x:v>
      </x:c>
      <x:c r="R1488" s="117" t="str">
        <x:v>Invoice Object</x:v>
      </x:c>
      <x:c r="S1488" s="119" t="str">
        <x:v>Updates added for cold storage rental start and end date as well as modifying first and last invoice OLIs</x:v>
      </x:c>
    </x:row>
    <x:row r="1489" ht="30" customHeight="1">
      <x:c r="A1489" s="117" t="str">
        <x:v>Invoice_Object</x:v>
      </x:c>
      <x:c r="B1489" s="117" t="str">
        <x:v>3004O0000000ZuBQAU</x:v>
      </x:c>
      <x:c r="C1489" s="117" t="str">
        <x:v>301Ro00000QpuXWIAZ</x:v>
      </x:c>
      <x:c r="D1489" s="118" t="n">
        <x:v>53</x:v>
      </x:c>
      <x:c r="E1489" s="117" t="str">
        <x:v>Obsolete</x:v>
      </x:c>
      <x:c r="F1489" s="117" t="str">
        <x:v>No</x:v>
      </x:c>
      <x:c r="G1489" s="117" t="str">
        <x:v>No</x:v>
      </x:c>
      <x:c r="H1489" s="117" t="str">
        <x:v>Workflow</x:v>
      </x:c>
      <x:c r="I1489" s="118" t="n">
        <x:v>49</x:v>
      </x:c>
      <x:c r="J1489" s="117" t="str">
        <x:v>unmanaged</x:v>
      </x:c>
      <x:c r="K1489" s="123" t="b">
        <x:v>0</x:v>
      </x:c>
      <x:c r="L1489" s="117"/>
      <x:c r="M1489" s="118"/>
      <x:c r="N1489" s="120" t="n">
        <x:v>45645.89550925926</x:v>
      </x:c>
      <x:c r="O1489" s="117" t="str">
        <x:v>Natalie Boger</x:v>
      </x:c>
      <x:c r="P1489" s="120" t="n">
        <x:v>45645.895787037036</x:v>
      </x:c>
      <x:c r="Q1489" s="117" t="str">
        <x:v>Natalie Boger</x:v>
      </x:c>
      <x:c r="R1489" s="117" t="str">
        <x:v>Invoice Object</x:v>
      </x:c>
      <x:c r="S1489" s="119" t="str">
        <x:v>Updates added for cold storage rental start and end date as well as modifying first and last invoice OLIs</x:v>
      </x:c>
    </x:row>
    <x:row r="1490" ht="30" customHeight="1">
      <x:c r="A1490" s="117" t="str">
        <x:v>Invoice_Object</x:v>
      </x:c>
      <x:c r="B1490" s="117" t="str">
        <x:v>3004O0000000ZuBQAU</x:v>
      </x:c>
      <x:c r="C1490" s="117" t="str">
        <x:v>301Ro00000WohtoIAB</x:v>
      </x:c>
      <x:c r="D1490" s="118" t="n">
        <x:v>54</x:v>
      </x:c>
      <x:c r="E1490" s="117" t="str">
        <x:v>Obsolete</x:v>
      </x:c>
      <x:c r="F1490" s="117" t="str">
        <x:v>No</x:v>
      </x:c>
      <x:c r="G1490" s="117" t="str">
        <x:v>No</x:v>
      </x:c>
      <x:c r="H1490" s="117" t="str">
        <x:v>Workflow</x:v>
      </x:c>
      <x:c r="I1490" s="118" t="n">
        <x:v>49</x:v>
      </x:c>
      <x:c r="J1490" s="117" t="str">
        <x:v>unmanaged</x:v>
      </x:c>
      <x:c r="K1490" s="123" t="b">
        <x:v>0</x:v>
      </x:c>
      <x:c r="L1490" s="117"/>
      <x:c r="M1490" s="118"/>
      <x:c r="N1490" s="120" t="n">
        <x:v>45751.01133101852</x:v>
      </x:c>
      <x:c r="O1490" s="117" t="str">
        <x:v>Delegate</x:v>
      </x:c>
      <x:c r="P1490" s="120" t="n">
        <x:v>45751.01152777778</x:v>
      </x:c>
      <x:c r="Q1490" s="117" t="str">
        <x:v>Delegate</x:v>
      </x:c>
      <x:c r="R1490" s="117" t="str">
        <x:v>Invoice Object</x:v>
      </x:c>
      <x:c r="S1490" s="119" t="str">
        <x:v>04/03/2025 (BW) - Updated this process builder so that it correctly grabs the appropriate currency on invoice creation</x:v>
      </x:c>
    </x:row>
    <x:row r="1491" ht="30" customHeight="1">
      <x:c r="A1491" s="117" t="str">
        <x:v>Invoice_Object</x:v>
      </x:c>
      <x:c r="B1491" s="117" t="str">
        <x:v>3004O0000000ZuBQAU</x:v>
      </x:c>
      <x:c r="C1491" s="117" t="str">
        <x:v>301Ro00000Woc6BIAR</x:v>
      </x:c>
      <x:c r="D1491" s="118" t="n">
        <x:v>55</x:v>
      </x:c>
      <x:c r="E1491" s="117" t="str">
        <x:v>Active</x:v>
      </x:c>
      <x:c r="F1491" s="117" t="str">
        <x:v>Yes</x:v>
      </x:c>
      <x:c r="G1491" s="117" t="str">
        <x:v>Yes</x:v>
      </x:c>
      <x:c r="H1491" s="117" t="str">
        <x:v>Workflow</x:v>
      </x:c>
      <x:c r="I1491" s="118" t="n">
        <x:v>49</x:v>
      </x:c>
      <x:c r="J1491" s="117" t="str">
        <x:v>unmanaged</x:v>
      </x:c>
      <x:c r="K1491" s="123" t="b">
        <x:v>0</x:v>
      </x:c>
      <x:c r="L1491" s="117"/>
      <x:c r="M1491" s="118"/>
      <x:c r="N1491" s="120" t="n">
        <x:v>45751.0187037037</x:v>
      </x:c>
      <x:c r="O1491" s="117" t="str">
        <x:v>Delegate</x:v>
      </x:c>
      <x:c r="P1491" s="120" t="n">
        <x:v>46142.69998842593</x:v>
      </x:c>
      <x:c r="Q1491" s="117" t="str">
        <x:v>Delegate</x:v>
      </x:c>
      <x:c r="R1491" s="117" t="str">
        <x:v>Invoice Object</x:v>
      </x:c>
      <x:c r="S1491" s="119" t="str">
        <x:v>04/03/2025 (BW) - Updated this process builder so that it correctly grabs the appropriate currency on invoice creation</x:v>
      </x:c>
    </x:row>
    <x:row r="1492" ht="30" customHeight="1">
      <x:c r="A1492" s="117" t="str">
        <x:v>Invoice_Re_sync_if_Errored</x:v>
      </x:c>
      <x:c r="B1492" s="117" t="str">
        <x:v>300Ro00000yWAUkIAO</x:v>
      </x:c>
      <x:c r="C1492" s="117" t="str">
        <x:v>301Ro000016oOPlIAM</x:v>
      </x:c>
      <x:c r="D1492" s="118" t="n">
        <x:v>1</x:v>
      </x:c>
      <x:c r="E1492" s="117" t="str">
        <x:v>Active</x:v>
      </x:c>
      <x:c r="F1492" s="117" t="str">
        <x:v>Yes</x:v>
      </x:c>
      <x:c r="G1492" s="117" t="str">
        <x:v>Yes</x:v>
      </x:c>
      <x:c r="H1492" s="117" t="str">
        <x:v>AutoLaunchedFlow</x:v>
      </x:c>
      <x:c r="I1492" s="118" t="n">
        <x:v>65</x:v>
      </x:c>
      <x:c r="J1492" s="117" t="str">
        <x:v>unmanaged</x:v>
      </x:c>
      <x:c r="K1492" s="123" t="b">
        <x:v>0</x:v>
      </x:c>
      <x:c r="L1492" s="117"/>
      <x:c r="M1492" s="118"/>
      <x:c r="N1492" s="120" t="n">
        <x:v>46169.53228009259</x:v>
      </x:c>
      <x:c r="O1492" s="117" t="str">
        <x:v>Delegate</x:v>
      </x:c>
      <x:c r="P1492" s="120" t="n">
        <x:v>46169.53236111111</x:v>
      </x:c>
      <x:c r="Q1492" s="117" t="str">
        <x:v>Delegate</x:v>
      </x:c>
      <x:c r="R1492" s="117" t="str">
        <x:v>Invoice - Re-sync if Errored</x:v>
      </x:c>
      <x:c r="S1492" s="119" t="str">
        <x:v>05/27/26 (BW) – Created scheduled daily flow to re-sync Invoice__c records stuck in Error status. Only processes invoices created after 1/1/2026.</x:v>
      </x:c>
    </x:row>
    <x:row r="1493" ht="30" customHeight="1">
      <x:c r="A1493" s="117" t="str">
        <x:v>Invoice_Rollups</x:v>
      </x:c>
      <x:c r="B1493" s="117" t="str">
        <x:v>300Ro000007doaWIAQ</x:v>
      </x:c>
      <x:c r="C1493" s="117" t="str">
        <x:v>301Ro00000CTqKUIA1</x:v>
      </x:c>
      <x:c r="D1493" s="118" t="n">
        <x:v>1</x:v>
      </x:c>
      <x:c r="E1493" s="117" t="str">
        <x:v>Draft</x:v>
      </x:c>
      <x:c r="F1493" s="117" t="str">
        <x:v>No</x:v>
      </x:c>
      <x:c r="G1493" s="117" t="str">
        <x:v>No</x:v>
      </x:c>
      <x:c r="H1493" s="117" t="str">
        <x:v>AutoLaunchedFlow</x:v>
      </x:c>
      <x:c r="I1493" s="118" t="n">
        <x:v>57</x:v>
      </x:c>
      <x:c r="J1493" s="117" t="str">
        <x:v>unmanaged</x:v>
      </x:c>
      <x:c r="K1493" s="123" t="b">
        <x:v>0</x:v>
      </x:c>
      <x:c r="L1493" s="117"/>
      <x:c r="M1493" s="118"/>
      <x:c r="N1493" s="120" t="n">
        <x:v>45421.052037037036</x:v>
      </x:c>
      <x:c r="O1493" s="117" t="str">
        <x:v>Delegate</x:v>
      </x:c>
      <x:c r="P1493" s="120" t="n">
        <x:v>45421.052037037036</x:v>
      </x:c>
      <x:c r="Q1493" s="117" t="str">
        <x:v>Delegate</x:v>
      </x:c>
      <x:c r="R1493" s="117" t="str">
        <x:v>Invoice Rollups</x:v>
      </x:c>
      <x:c r="S1493" s="119"/>
    </x:row>
    <x:row r="1494" ht="30" customHeight="1">
      <x:c r="A1494" s="117" t="str">
        <x:v>Invoice_Rollups</x:v>
      </x:c>
      <x:c r="B1494" s="117" t="str">
        <x:v>300Ro000007doaWIAQ</x:v>
      </x:c>
      <x:c r="C1494" s="117" t="str">
        <x:v>301Ro00000CTWVoIAP</x:v>
      </x:c>
      <x:c r="D1494" s="118" t="n">
        <x:v>2</x:v>
      </x:c>
      <x:c r="E1494" s="117" t="str">
        <x:v>Active</x:v>
      </x:c>
      <x:c r="F1494" s="117" t="str">
        <x:v>Yes</x:v>
      </x:c>
      <x:c r="G1494" s="117" t="str">
        <x:v>Yes</x:v>
      </x:c>
      <x:c r="H1494" s="117" t="str">
        <x:v>AutoLaunchedFlow</x:v>
      </x:c>
      <x:c r="I1494" s="118" t="n">
        <x:v>57</x:v>
      </x:c>
      <x:c r="J1494" s="117" t="str">
        <x:v>unmanaged</x:v>
      </x:c>
      <x:c r="K1494" s="123" t="b">
        <x:v>0</x:v>
      </x:c>
      <x:c r="L1494" s="117"/>
      <x:c r="M1494" s="118"/>
      <x:c r="N1494" s="120" t="n">
        <x:v>45421.055497685185</x:v>
      </x:c>
      <x:c r="O1494" s="117" t="str">
        <x:v>Delegate</x:v>
      </x:c>
      <x:c r="P1494" s="120" t="n">
        <x:v>46142.69969907407</x:v>
      </x:c>
      <x:c r="Q1494" s="117" t="str">
        <x:v>Delegate</x:v>
      </x:c>
      <x:c r="R1494" s="117" t="str">
        <x:v>Invoice to Loaner Rollups</x:v>
      </x:c>
      <x:c r="S1494" s="119"/>
    </x:row>
    <x:row r="1495" ht="30" customHeight="1">
      <x:c r="A1495" s="117" t="str">
        <x:v>Invoice_Submission_Flow_V2</x:v>
      </x:c>
      <x:c r="B1495" s="117" t="str">
        <x:v>3004O000000LOvOQAW</x:v>
      </x:c>
      <x:c r="C1495" s="117" t="str">
        <x:v>3014O000000M11uQAC</x:v>
      </x:c>
      <x:c r="D1495" s="118" t="n">
        <x:v>1</x:v>
      </x:c>
      <x:c r="E1495" s="117" t="str">
        <x:v>Draft</x:v>
      </x:c>
      <x:c r="F1495" s="117" t="str">
        <x:v>No</x:v>
      </x:c>
      <x:c r="G1495" s="117" t="str">
        <x:v>No</x:v>
      </x:c>
      <x:c r="H1495" s="117" t="str">
        <x:v>Flow</x:v>
      </x:c>
      <x:c r="I1495" s="118" t="n">
        <x:v>50</x:v>
      </x:c>
      <x:c r="J1495" s="117" t="str">
        <x:v>unmanaged</x:v>
      </x:c>
      <x:c r="K1495" s="123" t="b">
        <x:v>0</x:v>
      </x:c>
      <x:c r="L1495" s="117"/>
      <x:c r="M1495" s="118"/>
      <x:c r="N1495" s="120" t="n">
        <x:v>44217.9065625</x:v>
      </x:c>
      <x:c r="O1495" s="117" t="str">
        <x:v>Delegate</x:v>
      </x:c>
      <x:c r="P1495" s="120" t="n">
        <x:v>44217.9065625</x:v>
      </x:c>
      <x:c r="Q1495" s="117" t="str">
        <x:v>Delegate</x:v>
      </x:c>
      <x:c r="R1495" s="117" t="str">
        <x:v>Invoice Submission Flow V2</x:v>
      </x:c>
      <x:c r="S1495" s="119"/>
    </x:row>
    <x:row r="1496" ht="30" customHeight="1">
      <x:c r="A1496" s="117" t="str">
        <x:v>Invoice_Submission_Flow_V2</x:v>
      </x:c>
      <x:c r="B1496" s="117" t="str">
        <x:v>3004O000000LOvOQAW</x:v>
      </x:c>
      <x:c r="C1496" s="117" t="str">
        <x:v>3014O000000M16AQAS</x:v>
      </x:c>
      <x:c r="D1496" s="118" t="n">
        <x:v>2</x:v>
      </x:c>
      <x:c r="E1496" s="117" t="str">
        <x:v>Obsolete</x:v>
      </x:c>
      <x:c r="F1496" s="117" t="str">
        <x:v>No</x:v>
      </x:c>
      <x:c r="G1496" s="117" t="str">
        <x:v>No</x:v>
      </x:c>
      <x:c r="H1496" s="117" t="str">
        <x:v>Flow</x:v>
      </x:c>
      <x:c r="I1496" s="118" t="n">
        <x:v>50</x:v>
      </x:c>
      <x:c r="J1496" s="117" t="str">
        <x:v>unmanaged</x:v>
      </x:c>
      <x:c r="K1496" s="123" t="b">
        <x:v>0</x:v>
      </x:c>
      <x:c r="L1496" s="117"/>
      <x:c r="M1496" s="118"/>
      <x:c r="N1496" s="120" t="n">
        <x:v>44218.77173611111</x:v>
      </x:c>
      <x:c r="O1496" s="117" t="str">
        <x:v>Delegate</x:v>
      </x:c>
      <x:c r="P1496" s="120" t="n">
        <x:v>44218.77407407408</x:v>
      </x:c>
      <x:c r="Q1496" s="117" t="str">
        <x:v>Delegate</x:v>
      </x:c>
      <x:c r="R1496" s="117" t="str">
        <x:v>Invoice Submission Flow V2</x:v>
      </x:c>
      <x:c r="S1496" s="119"/>
    </x:row>
    <x:row r="1497" ht="30" customHeight="1">
      <x:c r="A1497" s="117" t="str">
        <x:v>Invoice_Submission_Flow_V2</x:v>
      </x:c>
      <x:c r="B1497" s="117" t="str">
        <x:v>3004O000000LOvOQAW</x:v>
      </x:c>
      <x:c r="C1497" s="117" t="str">
        <x:v>3014O000000M16FQAS</x:v>
      </x:c>
      <x:c r="D1497" s="118" t="n">
        <x:v>3</x:v>
      </x:c>
      <x:c r="E1497" s="117" t="str">
        <x:v>Obsolete</x:v>
      </x:c>
      <x:c r="F1497" s="117" t="str">
        <x:v>No</x:v>
      </x:c>
      <x:c r="G1497" s="117" t="str">
        <x:v>No</x:v>
      </x:c>
      <x:c r="H1497" s="117" t="str">
        <x:v>Flow</x:v>
      </x:c>
      <x:c r="I1497" s="118" t="n">
        <x:v>50</x:v>
      </x:c>
      <x:c r="J1497" s="117" t="str">
        <x:v>unmanaged</x:v>
      </x:c>
      <x:c r="K1497" s="123" t="b">
        <x:v>0</x:v>
      </x:c>
      <x:c r="L1497" s="117"/>
      <x:c r="M1497" s="118"/>
      <x:c r="N1497" s="120" t="n">
        <x:v>44221.699479166666</x:v>
      </x:c>
      <x:c r="O1497" s="117" t="str">
        <x:v>Delegate</x:v>
      </x:c>
      <x:c r="P1497" s="120" t="n">
        <x:v>44221.69956018519</x:v>
      </x:c>
      <x:c r="Q1497" s="117" t="str">
        <x:v>Delegate</x:v>
      </x:c>
      <x:c r="R1497" s="117" t="str">
        <x:v>Invoice Submission Flow V2</x:v>
      </x:c>
      <x:c r="S1497" s="119"/>
    </x:row>
    <x:row r="1498" ht="30" customHeight="1">
      <x:c r="A1498" s="117" t="str">
        <x:v>Invoice_Submission_Flow_V2</x:v>
      </x:c>
      <x:c r="B1498" s="117" t="str">
        <x:v>3004O000000LOvOQAW</x:v>
      </x:c>
      <x:c r="C1498" s="117" t="str">
        <x:v>3014O000000M1DLQA0</x:v>
      </x:c>
      <x:c r="D1498" s="118" t="n">
        <x:v>4</x:v>
      </x:c>
      <x:c r="E1498" s="117" t="str">
        <x:v>Obsolete</x:v>
      </x:c>
      <x:c r="F1498" s="117" t="str">
        <x:v>No</x:v>
      </x:c>
      <x:c r="G1498" s="117" t="str">
        <x:v>No</x:v>
      </x:c>
      <x:c r="H1498" s="117" t="str">
        <x:v>Flow</x:v>
      </x:c>
      <x:c r="I1498" s="118" t="n">
        <x:v>50</x:v>
      </x:c>
      <x:c r="J1498" s="117" t="str">
        <x:v>unmanaged</x:v>
      </x:c>
      <x:c r="K1498" s="123" t="b">
        <x:v>0</x:v>
      </x:c>
      <x:c r="L1498" s="117"/>
      <x:c r="M1498" s="118"/>
      <x:c r="N1498" s="120" t="n">
        <x:v>44224.86883101852</x:v>
      </x:c>
      <x:c r="O1498" s="117" t="str">
        <x:v>Delegate</x:v>
      </x:c>
      <x:c r="P1498" s="120" t="n">
        <x:v>44224.86892361111</x:v>
      </x:c>
      <x:c r="Q1498" s="117" t="str">
        <x:v>Delegate</x:v>
      </x:c>
      <x:c r="R1498" s="117" t="str">
        <x:v>Invoice Submission Flow V2</x:v>
      </x:c>
      <x:c r="S1498" s="119"/>
    </x:row>
    <x:row r="1499" ht="30" customHeight="1">
      <x:c r="A1499" s="117" t="str">
        <x:v>Invoice_Submission_Flow_V2</x:v>
      </x:c>
      <x:c r="B1499" s="117" t="str">
        <x:v>3004O000000LOvOQAW</x:v>
      </x:c>
      <x:c r="C1499" s="117" t="str">
        <x:v>3014O000000M1DQQA0</x:v>
      </x:c>
      <x:c r="D1499" s="118" t="n">
        <x:v>5</x:v>
      </x:c>
      <x:c r="E1499" s="117" t="str">
        <x:v>Obsolete</x:v>
      </x:c>
      <x:c r="F1499" s="117" t="str">
        <x:v>No</x:v>
      </x:c>
      <x:c r="G1499" s="117" t="str">
        <x:v>No</x:v>
      </x:c>
      <x:c r="H1499" s="117" t="str">
        <x:v>Flow</x:v>
      </x:c>
      <x:c r="I1499" s="118" t="n">
        <x:v>50</x:v>
      </x:c>
      <x:c r="J1499" s="117" t="str">
        <x:v>unmanaged</x:v>
      </x:c>
      <x:c r="K1499" s="123" t="b">
        <x:v>0</x:v>
      </x:c>
      <x:c r="L1499" s="117"/>
      <x:c r="M1499" s="118"/>
      <x:c r="N1499" s="120" t="n">
        <x:v>44224.8728587963</x:v>
      </x:c>
      <x:c r="O1499" s="117" t="str">
        <x:v>Delegate</x:v>
      </x:c>
      <x:c r="P1499" s="120" t="n">
        <x:v>44224.87380787037</x:v>
      </x:c>
      <x:c r="Q1499" s="117" t="str">
        <x:v>Delegate</x:v>
      </x:c>
      <x:c r="R1499" s="117" t="str">
        <x:v>Invoice Submission Flow V2</x:v>
      </x:c>
      <x:c r="S1499" s="119"/>
    </x:row>
    <x:row r="1500" ht="30" customHeight="1">
      <x:c r="A1500" s="117" t="str">
        <x:v>Invoice_Submission_Flow_V2</x:v>
      </x:c>
      <x:c r="B1500" s="117" t="str">
        <x:v>3004O000000LOvOQAW</x:v>
      </x:c>
      <x:c r="C1500" s="117" t="str">
        <x:v>3014O000000M1IQQA0</x:v>
      </x:c>
      <x:c r="D1500" s="118" t="n">
        <x:v>6</x:v>
      </x:c>
      <x:c r="E1500" s="117" t="str">
        <x:v>Obsolete</x:v>
      </x:c>
      <x:c r="F1500" s="117" t="str">
        <x:v>No</x:v>
      </x:c>
      <x:c r="G1500" s="117" t="str">
        <x:v>No</x:v>
      </x:c>
      <x:c r="H1500" s="117" t="str">
        <x:v>Flow</x:v>
      </x:c>
      <x:c r="I1500" s="118" t="n">
        <x:v>50</x:v>
      </x:c>
      <x:c r="J1500" s="117" t="str">
        <x:v>unmanaged</x:v>
      </x:c>
      <x:c r="K1500" s="123" t="b">
        <x:v>0</x:v>
      </x:c>
      <x:c r="L1500" s="117"/>
      <x:c r="M1500" s="118"/>
      <x:c r="N1500" s="120" t="n">
        <x:v>44229.737233796295</x:v>
      </x:c>
      <x:c r="O1500" s="117" t="str">
        <x:v>Delegate</x:v>
      </x:c>
      <x:c r="P1500" s="120" t="n">
        <x:v>44229.73731481482</x:v>
      </x:c>
      <x:c r="Q1500" s="117" t="str">
        <x:v>Delegate</x:v>
      </x:c>
      <x:c r="R1500" s="117" t="str">
        <x:v>Invoice Submission Flow V2</x:v>
      </x:c>
      <x:c r="S1500" s="119"/>
    </x:row>
    <x:row r="1501" ht="30" customHeight="1">
      <x:c r="A1501" s="117" t="str">
        <x:v>Invoice_Submission_Flow_V2</x:v>
      </x:c>
      <x:c r="B1501" s="117" t="str">
        <x:v>3004O000000LOvOQAW</x:v>
      </x:c>
      <x:c r="C1501" s="117" t="str">
        <x:v>3014O000000M1NfQAK</x:v>
      </x:c>
      <x:c r="D1501" s="118" t="n">
        <x:v>7</x:v>
      </x:c>
      <x:c r="E1501" s="117" t="str">
        <x:v>Obsolete</x:v>
      </x:c>
      <x:c r="F1501" s="117" t="str">
        <x:v>No</x:v>
      </x:c>
      <x:c r="G1501" s="117" t="str">
        <x:v>No</x:v>
      </x:c>
      <x:c r="H1501" s="117" t="str">
        <x:v>Flow</x:v>
      </x:c>
      <x:c r="I1501" s="118" t="n">
        <x:v>50</x:v>
      </x:c>
      <x:c r="J1501" s="117" t="str">
        <x:v>unmanaged</x:v>
      </x:c>
      <x:c r="K1501" s="123" t="b">
        <x:v>0</x:v>
      </x:c>
      <x:c r="L1501" s="117"/>
      <x:c r="M1501" s="118"/>
      <x:c r="N1501" s="120" t="n">
        <x:v>44230.59600694444</x:v>
      </x:c>
      <x:c r="O1501" s="117" t="str">
        <x:v>Delegate</x:v>
      </x:c>
      <x:c r="P1501" s="120" t="n">
        <x:v>44230.5962037037</x:v>
      </x:c>
      <x:c r="Q1501" s="117" t="str">
        <x:v>Delegate</x:v>
      </x:c>
      <x:c r="R1501" s="117" t="str">
        <x:v>Invoice Submission Flow V2</x:v>
      </x:c>
      <x:c r="S1501" s="119"/>
    </x:row>
    <x:row r="1502" ht="30" customHeight="1">
      <x:c r="A1502" s="117" t="str">
        <x:v>Invoice_Submission_Flow_V2</x:v>
      </x:c>
      <x:c r="B1502" s="117" t="str">
        <x:v>3004O000000LOvOQAW</x:v>
      </x:c>
      <x:c r="C1502" s="117" t="str">
        <x:v>3014O000000M1NkQAK</x:v>
      </x:c>
      <x:c r="D1502" s="118" t="n">
        <x:v>8</x:v>
      </x:c>
      <x:c r="E1502" s="117" t="str">
        <x:v>Obsolete</x:v>
      </x:c>
      <x:c r="F1502" s="117" t="str">
        <x:v>No</x:v>
      </x:c>
      <x:c r="G1502" s="117" t="str">
        <x:v>No</x:v>
      </x:c>
      <x:c r="H1502" s="117" t="str">
        <x:v>Flow</x:v>
      </x:c>
      <x:c r="I1502" s="118" t="n">
        <x:v>50</x:v>
      </x:c>
      <x:c r="J1502" s="117" t="str">
        <x:v>unmanaged</x:v>
      </x:c>
      <x:c r="K1502" s="123" t="b">
        <x:v>0</x:v>
      </x:c>
      <x:c r="L1502" s="117"/>
      <x:c r="M1502" s="118"/>
      <x:c r="N1502" s="120" t="n">
        <x:v>44230.61935185185</x:v>
      </x:c>
      <x:c r="O1502" s="117" t="str">
        <x:v>Delegate</x:v>
      </x:c>
      <x:c r="P1502" s="120" t="n">
        <x:v>44230.619409722225</x:v>
      </x:c>
      <x:c r="Q1502" s="117" t="str">
        <x:v>Delegate</x:v>
      </x:c>
      <x:c r="R1502" s="117" t="str">
        <x:v>Invoice Submission Flow V2</x:v>
      </x:c>
      <x:c r="S1502" s="119"/>
    </x:row>
    <x:row r="1503" ht="30" customHeight="1">
      <x:c r="A1503" s="117" t="str">
        <x:v>Invoice_Submission_Flow_V2</x:v>
      </x:c>
      <x:c r="B1503" s="117" t="str">
        <x:v>3004O000000LOvOQAW</x:v>
      </x:c>
      <x:c r="C1503" s="117" t="str">
        <x:v>3014O000000M1qIQAS</x:v>
      </x:c>
      <x:c r="D1503" s="118" t="n">
        <x:v>9</x:v>
      </x:c>
      <x:c r="E1503" s="117" t="str">
        <x:v>Obsolete</x:v>
      </x:c>
      <x:c r="F1503" s="117" t="str">
        <x:v>No</x:v>
      </x:c>
      <x:c r="G1503" s="117" t="str">
        <x:v>No</x:v>
      </x:c>
      <x:c r="H1503" s="117" t="str">
        <x:v>Flow</x:v>
      </x:c>
      <x:c r="I1503" s="118" t="n">
        <x:v>50</x:v>
      </x:c>
      <x:c r="J1503" s="117" t="str">
        <x:v>unmanaged</x:v>
      </x:c>
      <x:c r="K1503" s="123" t="b">
        <x:v>0</x:v>
      </x:c>
      <x:c r="L1503" s="117"/>
      <x:c r="M1503" s="118"/>
      <x:c r="N1503" s="120" t="n">
        <x:v>44249.605625</x:v>
      </x:c>
      <x:c r="O1503" s="117" t="str">
        <x:v>Delegate</x:v>
      </x:c>
      <x:c r="P1503" s="120" t="n">
        <x:v>44264.71210648148</x:v>
      </x:c>
      <x:c r="Q1503" s="117" t="str">
        <x:v>Delegate</x:v>
      </x:c>
      <x:c r="R1503" s="117" t="str">
        <x:v>Invoice Submission Flow V3</x:v>
      </x:c>
      <x:c r="S1503" s="119" t="str">
        <x:v>This version re-vamps the recurring invoice methods</x:v>
      </x:c>
    </x:row>
    <x:row r="1504" ht="30" customHeight="1">
      <x:c r="A1504" s="117" t="str">
        <x:v>Invoice_Submission_Flow_V2</x:v>
      </x:c>
      <x:c r="B1504" s="117" t="str">
        <x:v>3004O000000LOvOQAW</x:v>
      </x:c>
      <x:c r="C1504" s="117" t="str">
        <x:v>3014O000000YA9nQAG</x:v>
      </x:c>
      <x:c r="D1504" s="118" t="n">
        <x:v>10</x:v>
      </x:c>
      <x:c r="E1504" s="117" t="str">
        <x:v>Obsolete</x:v>
      </x:c>
      <x:c r="F1504" s="117" t="str">
        <x:v>No</x:v>
      </x:c>
      <x:c r="G1504" s="117" t="str">
        <x:v>No</x:v>
      </x:c>
      <x:c r="H1504" s="117" t="str">
        <x:v>Flow</x:v>
      </x:c>
      <x:c r="I1504" s="118" t="n">
        <x:v>50</x:v>
      </x:c>
      <x:c r="J1504" s="117" t="str">
        <x:v>unmanaged</x:v>
      </x:c>
      <x:c r="K1504" s="123" t="b">
        <x:v>0</x:v>
      </x:c>
      <x:c r="L1504" s="117"/>
      <x:c r="M1504" s="118"/>
      <x:c r="N1504" s="120" t="n">
        <x:v>44264.673784722225</x:v>
      </x:c>
      <x:c r="O1504" s="117" t="str">
        <x:v>Delegate</x:v>
      </x:c>
      <x:c r="P1504" s="120" t="n">
        <x:v>44271.81217592592</x:v>
      </x:c>
      <x:c r="Q1504" s="117" t="str">
        <x:v>Delegate</x:v>
      </x:c>
      <x:c r="R1504" s="117" t="str">
        <x:v>Invoice Submission Flow V3</x:v>
      </x:c>
      <x:c r="S1504" s="119" t="str">
        <x:v>This version re-vamps the recurring invoice methods</x:v>
      </x:c>
    </x:row>
    <x:row r="1505" ht="30" customHeight="1">
      <x:c r="A1505" s="117" t="str">
        <x:v>Invoice_Submission_Flow_V2</x:v>
      </x:c>
      <x:c r="B1505" s="117" t="str">
        <x:v>3004O000000LOvOQAW</x:v>
      </x:c>
      <x:c r="C1505" s="117" t="str">
        <x:v>3014O000000YABFQA4</x:v>
      </x:c>
      <x:c r="D1505" s="118" t="n">
        <x:v>11</x:v>
      </x:c>
      <x:c r="E1505" s="117" t="str">
        <x:v>Obsolete</x:v>
      </x:c>
      <x:c r="F1505" s="117" t="str">
        <x:v>No</x:v>
      </x:c>
      <x:c r="G1505" s="117" t="str">
        <x:v>No</x:v>
      </x:c>
      <x:c r="H1505" s="117" t="str">
        <x:v>Flow</x:v>
      </x:c>
      <x:c r="I1505" s="118" t="n">
        <x:v>50</x:v>
      </x:c>
      <x:c r="J1505" s="117" t="str">
        <x:v>unmanaged</x:v>
      </x:c>
      <x:c r="K1505" s="123" t="b">
        <x:v>0</x:v>
      </x:c>
      <x:c r="L1505" s="117"/>
      <x:c r="M1505" s="118"/>
      <x:c r="N1505" s="120" t="n">
        <x:v>44264.78759259259</x:v>
      </x:c>
      <x:c r="O1505" s="117" t="str">
        <x:v>Delegate</x:v>
      </x:c>
      <x:c r="P1505" s="120" t="n">
        <x:v>44271.81178240741</x:v>
      </x:c>
      <x:c r="Q1505" s="117" t="str">
        <x:v>Delegate</x:v>
      </x:c>
      <x:c r="R1505" s="117" t="str">
        <x:v>Invoice Submission Flow V4</x:v>
      </x:c>
      <x:c r="S1505" s="119" t="str">
        <x:v>This version re-vamps the recurring invoice method with recurring opportunity product amounts.</x:v>
      </x:c>
    </x:row>
    <x:row r="1506" ht="30" customHeight="1">
      <x:c r="A1506" s="117" t="str">
        <x:v>Invoice_Submission_Flow_V2</x:v>
      </x:c>
      <x:c r="B1506" s="117" t="str">
        <x:v>3004O000000LOvOQAW</x:v>
      </x:c>
      <x:c r="C1506" s="117" t="str">
        <x:v>3014O000000YAWUQA4</x:v>
      </x:c>
      <x:c r="D1506" s="118" t="n">
        <x:v>12</x:v>
      </x:c>
      <x:c r="E1506" s="117" t="str">
        <x:v>Obsolete</x:v>
      </x:c>
      <x:c r="F1506" s="117" t="str">
        <x:v>No</x:v>
      </x:c>
      <x:c r="G1506" s="117" t="str">
        <x:v>No</x:v>
      </x:c>
      <x:c r="H1506" s="117" t="str">
        <x:v>Flow</x:v>
      </x:c>
      <x:c r="I1506" s="118" t="n">
        <x:v>50</x:v>
      </x:c>
      <x:c r="J1506" s="117" t="str">
        <x:v>unmanaged</x:v>
      </x:c>
      <x:c r="K1506" s="123" t="b">
        <x:v>0</x:v>
      </x:c>
      <x:c r="L1506" s="117"/>
      <x:c r="M1506" s="118"/>
      <x:c r="N1506" s="120" t="n">
        <x:v>44286.08557870371</x:v>
      </x:c>
      <x:c r="O1506" s="117" t="str">
        <x:v>Delegate</x:v>
      </x:c>
      <x:c r="P1506" s="120" t="n">
        <x:v>44286.51675925926</x:v>
      </x:c>
      <x:c r="Q1506" s="117" t="str">
        <x:v>Delegate</x:v>
      </x:c>
      <x:c r="R1506" s="117" t="str">
        <x:v>Invoice Submission Flow V4</x:v>
      </x:c>
      <x:c r="S1506" s="119" t="str">
        <x:v>This version re-vamps the recurring invoice method with recurring opportunity product amounts.</x:v>
      </x:c>
    </x:row>
    <x:row r="1507" ht="30" customHeight="1">
      <x:c r="A1507" s="117" t="str">
        <x:v>Invoice_Submission_Flow_V2</x:v>
      </x:c>
      <x:c r="B1507" s="117" t="str">
        <x:v>3004O000000LOvOQAW</x:v>
      </x:c>
      <x:c r="C1507" s="117" t="str">
        <x:v>3014O000000YAcVQAW</x:v>
      </x:c>
      <x:c r="D1507" s="118" t="n">
        <x:v>13</x:v>
      </x:c>
      <x:c r="E1507" s="117" t="str">
        <x:v>Obsolete</x:v>
      </x:c>
      <x:c r="F1507" s="117" t="str">
        <x:v>No</x:v>
      </x:c>
      <x:c r="G1507" s="117" t="str">
        <x:v>No</x:v>
      </x:c>
      <x:c r="H1507" s="117" t="str">
        <x:v>Flow</x:v>
      </x:c>
      <x:c r="I1507" s="118" t="n">
        <x:v>50</x:v>
      </x:c>
      <x:c r="J1507" s="117" t="str">
        <x:v>unmanaged</x:v>
      </x:c>
      <x:c r="K1507" s="123" t="b">
        <x:v>0</x:v>
      </x:c>
      <x:c r="L1507" s="117"/>
      <x:c r="M1507" s="118"/>
      <x:c r="N1507" s="120" t="n">
        <x:v>44288.72840277778</x:v>
      </x:c>
      <x:c r="O1507" s="117" t="str">
        <x:v>Delegate</x:v>
      </x:c>
      <x:c r="P1507" s="120" t="n">
        <x:v>44288.7284375</x:v>
      </x:c>
      <x:c r="Q1507" s="117" t="str">
        <x:v>Delegate</x:v>
      </x:c>
      <x:c r="R1507" s="117" t="str">
        <x:v>Invoice Submission Flow V4</x:v>
      </x:c>
      <x:c r="S1507" s="119" t="str">
        <x:v>This version re-vamps the recurring invoice method with recurring opportunity product amounts.</x:v>
      </x:c>
    </x:row>
    <x:row r="1508" ht="30" customHeight="1">
      <x:c r="A1508" s="117" t="str">
        <x:v>Invoice_Submission_Flow_V2</x:v>
      </x:c>
      <x:c r="B1508" s="117" t="str">
        <x:v>3004O000000LOvOQAW</x:v>
      </x:c>
      <x:c r="C1508" s="117" t="str">
        <x:v>3014O000000YAfKQAW</x:v>
      </x:c>
      <x:c r="D1508" s="118" t="n">
        <x:v>14</x:v>
      </x:c>
      <x:c r="E1508" s="117" t="str">
        <x:v>Obsolete</x:v>
      </x:c>
      <x:c r="F1508" s="117" t="str">
        <x:v>No</x:v>
      </x:c>
      <x:c r="G1508" s="117" t="str">
        <x:v>No</x:v>
      </x:c>
      <x:c r="H1508" s="117" t="str">
        <x:v>Flow</x:v>
      </x:c>
      <x:c r="I1508" s="118" t="n">
        <x:v>50</x:v>
      </x:c>
      <x:c r="J1508" s="117" t="str">
        <x:v>unmanaged</x:v>
      </x:c>
      <x:c r="K1508" s="123" t="b">
        <x:v>0</x:v>
      </x:c>
      <x:c r="L1508" s="117"/>
      <x:c r="M1508" s="118"/>
      <x:c r="N1508" s="120" t="n">
        <x:v>44293.88893518518</x:v>
      </x:c>
      <x:c r="O1508" s="117" t="str">
        <x:v>Delegate</x:v>
      </x:c>
      <x:c r="P1508" s="120" t="n">
        <x:v>44293.88899305555</x:v>
      </x:c>
      <x:c r="Q1508" s="117" t="str">
        <x:v>Delegate</x:v>
      </x:c>
      <x:c r="R1508" s="117" t="str">
        <x:v>Invoice Submission Flow V4</x:v>
      </x:c>
      <x:c r="S1508" s="119" t="str">
        <x:v>This version re-vamps the recurring invoice method with recurring opportunity product amounts.</x:v>
      </x:c>
    </x:row>
    <x:row r="1509" ht="30" customHeight="1">
      <x:c r="A1509" s="117" t="str">
        <x:v>Invoice_Submission_Flow_V2</x:v>
      </x:c>
      <x:c r="B1509" s="117" t="str">
        <x:v>3004O000000LOvOQAW</x:v>
      </x:c>
      <x:c r="C1509" s="117" t="str">
        <x:v>3014O000000YAjlQAG</x:v>
      </x:c>
      <x:c r="D1509" s="118" t="n">
        <x:v>15</x:v>
      </x:c>
      <x:c r="E1509" s="117" t="str">
        <x:v>Obsolete</x:v>
      </x:c>
      <x:c r="F1509" s="117" t="str">
        <x:v>No</x:v>
      </x:c>
      <x:c r="G1509" s="117" t="str">
        <x:v>No</x:v>
      </x:c>
      <x:c r="H1509" s="117" t="str">
        <x:v>Flow</x:v>
      </x:c>
      <x:c r="I1509" s="118" t="n">
        <x:v>50</x:v>
      </x:c>
      <x:c r="J1509" s="117" t="str">
        <x:v>unmanaged</x:v>
      </x:c>
      <x:c r="K1509" s="123" t="b">
        <x:v>0</x:v>
      </x:c>
      <x:c r="L1509" s="117"/>
      <x:c r="M1509" s="118"/>
      <x:c r="N1509" s="120" t="n">
        <x:v>44298.626608796294</x:v>
      </x:c>
      <x:c r="O1509" s="117" t="str">
        <x:v>Delegate</x:v>
      </x:c>
      <x:c r="P1509" s="120" t="n">
        <x:v>44298.626655092594</x:v>
      </x:c>
      <x:c r="Q1509" s="117" t="str">
        <x:v>Delegate</x:v>
      </x:c>
      <x:c r="R1509" s="117" t="str">
        <x:v>Invoice Submission Flow V4</x:v>
      </x:c>
      <x:c r="S1509" s="119" t="str">
        <x:v>This version re-vamps the recurring invoice method with recurring opportunity product amounts.</x:v>
      </x:c>
    </x:row>
    <x:row r="1510" ht="30" customHeight="1">
      <x:c r="A1510" s="117" t="str">
        <x:v>Invoice_Submission_Flow_V2</x:v>
      </x:c>
      <x:c r="B1510" s="117" t="str">
        <x:v>3004O000000LOvOQAW</x:v>
      </x:c>
      <x:c r="C1510" s="117" t="str">
        <x:v>3014O000000YAzKQAW</x:v>
      </x:c>
      <x:c r="D1510" s="118" t="n">
        <x:v>16</x:v>
      </x:c>
      <x:c r="E1510" s="117" t="str">
        <x:v>Obsolete</x:v>
      </x:c>
      <x:c r="F1510" s="117" t="str">
        <x:v>No</x:v>
      </x:c>
      <x:c r="G1510" s="117" t="str">
        <x:v>No</x:v>
      </x:c>
      <x:c r="H1510" s="117" t="str">
        <x:v>Flow</x:v>
      </x:c>
      <x:c r="I1510" s="118" t="n">
        <x:v>50</x:v>
      </x:c>
      <x:c r="J1510" s="117" t="str">
        <x:v>unmanaged</x:v>
      </x:c>
      <x:c r="K1510" s="123" t="b">
        <x:v>0</x:v>
      </x:c>
      <x:c r="L1510" s="117"/>
      <x:c r="M1510" s="118"/>
      <x:c r="N1510" s="120" t="n">
        <x:v>44307.87912037037</x:v>
      </x:c>
      <x:c r="O1510" s="117" t="str">
        <x:v>Delegate</x:v>
      </x:c>
      <x:c r="P1510" s="120" t="n">
        <x:v>44307.8803125</x:v>
      </x:c>
      <x:c r="Q1510" s="117" t="str">
        <x:v>Delegate</x:v>
      </x:c>
      <x:c r="R1510" s="117" t="str">
        <x:v>Invoice Submission Flow V4</x:v>
      </x:c>
      <x:c r="S1510" s="119" t="str">
        <x:v>This version re-vamps the recurring invoice method with recurring opportunity product amounts.</x:v>
      </x:c>
    </x:row>
    <x:row r="1511" ht="30" customHeight="1">
      <x:c r="A1511" s="117" t="str">
        <x:v>Invoice_Submission_Flow_V2</x:v>
      </x:c>
      <x:c r="B1511" s="117" t="str">
        <x:v>3004O000000LOvOQAW</x:v>
      </x:c>
      <x:c r="C1511" s="117" t="str">
        <x:v>3014O000000YAzPQAW</x:v>
      </x:c>
      <x:c r="D1511" s="118" t="n">
        <x:v>17</x:v>
      </x:c>
      <x:c r="E1511" s="117" t="str">
        <x:v>Obsolete</x:v>
      </x:c>
      <x:c r="F1511" s="117" t="str">
        <x:v>No</x:v>
      </x:c>
      <x:c r="G1511" s="117" t="str">
        <x:v>No</x:v>
      </x:c>
      <x:c r="H1511" s="117" t="str">
        <x:v>Flow</x:v>
      </x:c>
      <x:c r="I1511" s="118" t="n">
        <x:v>50</x:v>
      </x:c>
      <x:c r="J1511" s="117" t="str">
        <x:v>unmanaged</x:v>
      </x:c>
      <x:c r="K1511" s="123" t="b">
        <x:v>0</x:v>
      </x:c>
      <x:c r="L1511" s="117"/>
      <x:c r="M1511" s="118"/>
      <x:c r="N1511" s="120" t="n">
        <x:v>44307.890185185184</x:v>
      </x:c>
      <x:c r="O1511" s="117" t="str">
        <x:v>Delegate</x:v>
      </x:c>
      <x:c r="P1511" s="120" t="n">
        <x:v>44307.89030092592</x:v>
      </x:c>
      <x:c r="Q1511" s="117" t="str">
        <x:v>Delegate</x:v>
      </x:c>
      <x:c r="R1511" s="117" t="str">
        <x:v>Invoice Submission Flow V4</x:v>
      </x:c>
      <x:c r="S1511" s="119" t="str">
        <x:v>This version re-vamps the recurring invoice method with recurring opportunity product amounts.</x:v>
      </x:c>
    </x:row>
    <x:row r="1512" ht="30" customHeight="1">
      <x:c r="A1512" s="117" t="str">
        <x:v>Invoice_Submission_Flow_V2</x:v>
      </x:c>
      <x:c r="B1512" s="117" t="str">
        <x:v>3004O000000LOvOQAW</x:v>
      </x:c>
      <x:c r="C1512" s="117" t="str">
        <x:v>3014O000000YB53QAG</x:v>
      </x:c>
      <x:c r="D1512" s="118" t="n">
        <x:v>18</x:v>
      </x:c>
      <x:c r="E1512" s="117" t="str">
        <x:v>Draft</x:v>
      </x:c>
      <x:c r="F1512" s="117" t="str">
        <x:v>No</x:v>
      </x:c>
      <x:c r="G1512" s="117" t="str">
        <x:v>No</x:v>
      </x:c>
      <x:c r="H1512" s="117" t="str">
        <x:v>Flow</x:v>
      </x:c>
      <x:c r="I1512" s="118" t="n">
        <x:v>50</x:v>
      </x:c>
      <x:c r="J1512" s="117" t="str">
        <x:v>unmanaged</x:v>
      </x:c>
      <x:c r="K1512" s="123" t="b">
        <x:v>0</x:v>
      </x:c>
      <x:c r="L1512" s="117"/>
      <x:c r="M1512" s="118"/>
      <x:c r="N1512" s="120" t="n">
        <x:v>44314.10068287037</x:v>
      </x:c>
      <x:c r="O1512" s="117" t="str">
        <x:v>Delegate</x:v>
      </x:c>
      <x:c r="P1512" s="120" t="n">
        <x:v>44314.10071759259</x:v>
      </x:c>
      <x:c r="Q1512" s="117" t="str">
        <x:v>Delegate</x:v>
      </x:c>
      <x:c r="R1512" s="117" t="str">
        <x:v>Invoice Submission Flow V4</x:v>
      </x:c>
      <x:c r="S1512" s="119" t="str">
        <x:v>This version re-vamps the recurring invoice method with recurring opportunity product amounts.</x:v>
      </x:c>
    </x:row>
    <x:row r="1513" ht="30" customHeight="1">
      <x:c r="A1513" s="117" t="str">
        <x:v>Invoice_Submission_Flow_V2</x:v>
      </x:c>
      <x:c r="B1513" s="117" t="str">
        <x:v>3004O000000LOvOQAW</x:v>
      </x:c>
      <x:c r="C1513" s="117" t="str">
        <x:v>3015b000000EETSAA4</x:v>
      </x:c>
      <x:c r="D1513" s="118" t="n">
        <x:v>19</x:v>
      </x:c>
      <x:c r="E1513" s="117" t="str">
        <x:v>Draft</x:v>
      </x:c>
      <x:c r="F1513" s="117" t="str">
        <x:v>No</x:v>
      </x:c>
      <x:c r="G1513" s="117" t="str">
        <x:v>No</x:v>
      </x:c>
      <x:c r="H1513" s="117" t="str">
        <x:v>Flow</x:v>
      </x:c>
      <x:c r="I1513" s="118" t="n">
        <x:v>50</x:v>
      </x:c>
      <x:c r="J1513" s="117" t="str">
        <x:v>unmanaged</x:v>
      </x:c>
      <x:c r="K1513" s="123" t="b">
        <x:v>0</x:v>
      </x:c>
      <x:c r="L1513" s="117"/>
      <x:c r="M1513" s="118"/>
      <x:c r="N1513" s="120" t="n">
        <x:v>44543.55761574074</x:v>
      </x:c>
      <x:c r="O1513" s="117" t="str">
        <x:v>Delegate</x:v>
      </x:c>
      <x:c r="P1513" s="120" t="n">
        <x:v>44543.55763888889</x:v>
      </x:c>
      <x:c r="Q1513" s="117" t="str">
        <x:v>Delegate</x:v>
      </x:c>
      <x:c r="R1513" s="117" t="str">
        <x:v>Invoice Submission Flow V4</x:v>
      </x:c>
      <x:c r="S1513" s="119" t="str">
        <x:v>This version re-vamps the recurring invoice method with recurring opportunity product amounts.</x:v>
      </x:c>
    </x:row>
    <x:row r="1514" ht="30" customHeight="1">
      <x:c r="A1514" s="117" t="str">
        <x:v>Invoice_Submission_Flow_V2</x:v>
      </x:c>
      <x:c r="B1514" s="117" t="str">
        <x:v>3004O000000LOvOQAW</x:v>
      </x:c>
      <x:c r="C1514" s="117" t="str">
        <x:v>3015b000000EHJzAAO</x:v>
      </x:c>
      <x:c r="D1514" s="118" t="n">
        <x:v>20</x:v>
      </x:c>
      <x:c r="E1514" s="117" t="str">
        <x:v>Obsolete</x:v>
      </x:c>
      <x:c r="F1514" s="117" t="str">
        <x:v>No</x:v>
      </x:c>
      <x:c r="G1514" s="117" t="str">
        <x:v>No</x:v>
      </x:c>
      <x:c r="H1514" s="117" t="str">
        <x:v>Flow</x:v>
      </x:c>
      <x:c r="I1514" s="118" t="n">
        <x:v>50</x:v>
      </x:c>
      <x:c r="J1514" s="117" t="str">
        <x:v>unmanaged</x:v>
      </x:c>
      <x:c r="K1514" s="123" t="b">
        <x:v>0</x:v>
      </x:c>
      <x:c r="L1514" s="117"/>
      <x:c r="M1514" s="118"/>
      <x:c r="N1514" s="120" t="n">
        <x:v>44602.582824074074</x:v>
      </x:c>
      <x:c r="O1514" s="117" t="str">
        <x:v>Delegate</x:v>
      </x:c>
      <x:c r="P1514" s="120" t="n">
        <x:v>44608.51097222222</x:v>
      </x:c>
      <x:c r="Q1514" s="117" t="str">
        <x:v>Delegate</x:v>
      </x:c>
      <x:c r="R1514" s="117" t="str">
        <x:v>Invoice Submission Flow V4</x:v>
      </x:c>
      <x:c r="S1514" s="119" t="str">
        <x:v>This version re-vamps the recurring invoice method with recurring opportunity product amounts.</x:v>
      </x:c>
    </x:row>
    <x:row r="1515" ht="30" customHeight="1">
      <x:c r="A1515" s="117" t="str">
        <x:v>Invoice_Submission_Flow_V2</x:v>
      </x:c>
      <x:c r="B1515" s="117" t="str">
        <x:v>3004O000000LOvOQAW</x:v>
      </x:c>
      <x:c r="C1515" s="117" t="str">
        <x:v>3015b000000EHKdAAO</x:v>
      </x:c>
      <x:c r="D1515" s="118" t="n">
        <x:v>21</x:v>
      </x:c>
      <x:c r="E1515" s="117" t="str">
        <x:v>Obsolete</x:v>
      </x:c>
      <x:c r="F1515" s="117" t="str">
        <x:v>No</x:v>
      </x:c>
      <x:c r="G1515" s="117" t="str">
        <x:v>No</x:v>
      </x:c>
      <x:c r="H1515" s="117" t="str">
        <x:v>Flow</x:v>
      </x:c>
      <x:c r="I1515" s="118" t="n">
        <x:v>50</x:v>
      </x:c>
      <x:c r="J1515" s="117" t="str">
        <x:v>unmanaged</x:v>
      </x:c>
      <x:c r="K1515" s="123" t="b">
        <x:v>0</x:v>
      </x:c>
      <x:c r="L1515" s="117"/>
      <x:c r="M1515" s="118"/>
      <x:c r="N1515" s="120" t="n">
        <x:v>44602.65157407407</x:v>
      </x:c>
      <x:c r="O1515" s="117" t="str">
        <x:v>Delegate</x:v>
      </x:c>
      <x:c r="P1515" s="120" t="n">
        <x:v>44608.511087962965</x:v>
      </x:c>
      <x:c r="Q1515" s="117" t="str">
        <x:v>Delegate</x:v>
      </x:c>
      <x:c r="R1515" s="117" t="str">
        <x:v>Invoice Submission Flow V4</x:v>
      </x:c>
      <x:c r="S1515" s="119" t="str">
        <x:v>This version re-vamps the recurring invoice method with recurring opportunity product amounts.</x:v>
      </x:c>
    </x:row>
    <x:row r="1516" ht="30" customHeight="1">
      <x:c r="A1516" s="117" t="str">
        <x:v>Invoice_Submission_Flow_V2</x:v>
      </x:c>
      <x:c r="B1516" s="117" t="str">
        <x:v>3004O000000LOvOQAW</x:v>
      </x:c>
      <x:c r="C1516" s="117" t="str">
        <x:v>3015b000000EJB9AAO</x:v>
      </x:c>
      <x:c r="D1516" s="118" t="n">
        <x:v>22</x:v>
      </x:c>
      <x:c r="E1516" s="117" t="str">
        <x:v>Obsolete</x:v>
      </x:c>
      <x:c r="F1516" s="117" t="str">
        <x:v>No</x:v>
      </x:c>
      <x:c r="G1516" s="117" t="str">
        <x:v>No</x:v>
      </x:c>
      <x:c r="H1516" s="117" t="str">
        <x:v>Flow</x:v>
      </x:c>
      <x:c r="I1516" s="118" t="n">
        <x:v>50</x:v>
      </x:c>
      <x:c r="J1516" s="117" t="str">
        <x:v>unmanaged</x:v>
      </x:c>
      <x:c r="K1516" s="123" t="b">
        <x:v>0</x:v>
      </x:c>
      <x:c r="L1516" s="117"/>
      <x:c r="M1516" s="118"/>
      <x:c r="N1516" s="120" t="n">
        <x:v>44665.56518518519</x:v>
      </x:c>
      <x:c r="O1516" s="117" t="str">
        <x:v>Delegate</x:v>
      </x:c>
      <x:c r="P1516" s="120" t="n">
        <x:v>44665.56964120371</x:v>
      </x:c>
      <x:c r="Q1516" s="117" t="str">
        <x:v>Delegate</x:v>
      </x:c>
      <x:c r="R1516" s="117" t="str">
        <x:v>Invoice Submission Flow V4</x:v>
      </x:c>
      <x:c r="S1516" s="119" t="str">
        <x:v>This version re-vamps the recurring invoice method with recurring opportunity product amounts.</x:v>
      </x:c>
    </x:row>
    <x:row r="1517" ht="30" customHeight="1">
      <x:c r="A1517" s="117" t="str">
        <x:v>Invoice_Submission_Flow_V2</x:v>
      </x:c>
      <x:c r="B1517" s="117" t="str">
        <x:v>3004O000000LOvOQAW</x:v>
      </x:c>
      <x:c r="C1517" s="117" t="str">
        <x:v>3015b000000EJN5AAO</x:v>
      </x:c>
      <x:c r="D1517" s="118" t="n">
        <x:v>23</x:v>
      </x:c>
      <x:c r="E1517" s="117" t="str">
        <x:v>Obsolete</x:v>
      </x:c>
      <x:c r="F1517" s="117" t="str">
        <x:v>No</x:v>
      </x:c>
      <x:c r="G1517" s="117" t="str">
        <x:v>No</x:v>
      </x:c>
      <x:c r="H1517" s="117" t="str">
        <x:v>Flow</x:v>
      </x:c>
      <x:c r="I1517" s="118" t="n">
        <x:v>50</x:v>
      </x:c>
      <x:c r="J1517" s="117" t="str">
        <x:v>unmanaged</x:v>
      </x:c>
      <x:c r="K1517" s="123" t="b">
        <x:v>0</x:v>
      </x:c>
      <x:c r="L1517" s="117"/>
      <x:c r="M1517" s="118"/>
      <x:c r="N1517" s="120" t="n">
        <x:v>44678.54773148148</x:v>
      </x:c>
      <x:c r="O1517" s="117" t="str">
        <x:v>Delegate</x:v>
      </x:c>
      <x:c r="P1517" s="120" t="n">
        <x:v>44678.54788194445</x:v>
      </x:c>
      <x:c r="Q1517" s="117" t="str">
        <x:v>Delegate</x:v>
      </x:c>
      <x:c r="R1517" s="117" t="str">
        <x:v>Invoice Submission Flow V4</x:v>
      </x:c>
      <x:c r="S1517" s="119" t="str">
        <x:v>This version re-vamps the recurring invoice method with recurring opportunity product amounts.</x:v>
      </x:c>
    </x:row>
    <x:row r="1518" ht="30" customHeight="1">
      <x:c r="A1518" s="117" t="str">
        <x:v>Invoice_Submission_Flow_V2</x:v>
      </x:c>
      <x:c r="B1518" s="117" t="str">
        <x:v>3004O000000LOvOQAW</x:v>
      </x:c>
      <x:c r="C1518" s="117" t="str">
        <x:v>3015b000000EJcfAAG</x:v>
      </x:c>
      <x:c r="D1518" s="118" t="n">
        <x:v>24</x:v>
      </x:c>
      <x:c r="E1518" s="117" t="str">
        <x:v>Obsolete</x:v>
      </x:c>
      <x:c r="F1518" s="117" t="str">
        <x:v>No</x:v>
      </x:c>
      <x:c r="G1518" s="117" t="str">
        <x:v>No</x:v>
      </x:c>
      <x:c r="H1518" s="117" t="str">
        <x:v>Flow</x:v>
      </x:c>
      <x:c r="I1518" s="118" t="n">
        <x:v>50</x:v>
      </x:c>
      <x:c r="J1518" s="117" t="str">
        <x:v>unmanaged</x:v>
      </x:c>
      <x:c r="K1518" s="123" t="b">
        <x:v>0</x:v>
      </x:c>
      <x:c r="L1518" s="117"/>
      <x:c r="M1518" s="118"/>
      <x:c r="N1518" s="120" t="n">
        <x:v>44694.48196759259</x:v>
      </x:c>
      <x:c r="O1518" s="117" t="str">
        <x:v>Delegate</x:v>
      </x:c>
      <x:c r="P1518" s="120" t="n">
        <x:v>44694.48202546296</x:v>
      </x:c>
      <x:c r="Q1518" s="117" t="str">
        <x:v>Delegate</x:v>
      </x:c>
      <x:c r="R1518" s="117" t="str">
        <x:v>Invoice Submission Flow V4</x:v>
      </x:c>
      <x:c r="S1518" s="119" t="str">
        <x:v>This version re-vamps the recurring invoice method with recurring opportunity product amounts.</x:v>
      </x:c>
    </x:row>
    <x:row r="1519" ht="30" customHeight="1">
      <x:c r="A1519" s="117" t="str">
        <x:v>Invoice_Submission_Flow_V2</x:v>
      </x:c>
      <x:c r="B1519" s="117" t="str">
        <x:v>3004O000000LOvOQAW</x:v>
      </x:c>
      <x:c r="C1519" s="117" t="str">
        <x:v>3015b000000EJdwAAG</x:v>
      </x:c>
      <x:c r="D1519" s="118" t="n">
        <x:v>25</x:v>
      </x:c>
      <x:c r="E1519" s="117" t="str">
        <x:v>Obsolete</x:v>
      </x:c>
      <x:c r="F1519" s="117" t="str">
        <x:v>No</x:v>
      </x:c>
      <x:c r="G1519" s="117" t="str">
        <x:v>No</x:v>
      </x:c>
      <x:c r="H1519" s="117" t="str">
        <x:v>Flow</x:v>
      </x:c>
      <x:c r="I1519" s="118" t="n">
        <x:v>50</x:v>
      </x:c>
      <x:c r="J1519" s="117" t="str">
        <x:v>unmanaged</x:v>
      </x:c>
      <x:c r="K1519" s="123" t="b">
        <x:v>0</x:v>
      </x:c>
      <x:c r="L1519" s="117"/>
      <x:c r="M1519" s="118"/>
      <x:c r="N1519" s="120" t="n">
        <x:v>44694.5509375</x:v>
      </x:c>
      <x:c r="O1519" s="117" t="str">
        <x:v>Delegate</x:v>
      </x:c>
      <x:c r="P1519" s="120" t="n">
        <x:v>44887.67309027778</x:v>
      </x:c>
      <x:c r="Q1519" s="117" t="str">
        <x:v>Delegate</x:v>
      </x:c>
      <x:c r="R1519" s="117" t="str">
        <x:v>Invoice Submission Flow V4</x:v>
      </x:c>
      <x:c r="S1519" s="119" t="str">
        <x:v>This version re-vamps the recurring invoice method with recurring opportunity product amounts.</x:v>
      </x:c>
    </x:row>
    <x:row r="1520" ht="30" customHeight="1">
      <x:c r="A1520" s="117" t="str">
        <x:v>Invoice_Submission_Flow_V2</x:v>
      </x:c>
      <x:c r="B1520" s="117" t="str">
        <x:v>3004O000000LOvOQAW</x:v>
      </x:c>
      <x:c r="C1520" s="117" t="str">
        <x:v>3015b000000AAd4AAG</x:v>
      </x:c>
      <x:c r="D1520" s="118" t="n">
        <x:v>26</x:v>
      </x:c>
      <x:c r="E1520" s="117" t="str">
        <x:v>Obsolete</x:v>
      </x:c>
      <x:c r="F1520" s="117" t="str">
        <x:v>No</x:v>
      </x:c>
      <x:c r="G1520" s="117" t="str">
        <x:v>No</x:v>
      </x:c>
      <x:c r="H1520" s="117" t="str">
        <x:v>Flow</x:v>
      </x:c>
      <x:c r="I1520" s="118" t="n">
        <x:v>50</x:v>
      </x:c>
      <x:c r="J1520" s="117" t="str">
        <x:v>unmanaged</x:v>
      </x:c>
      <x:c r="K1520" s="123" t="b">
        <x:v>0</x:v>
      </x:c>
      <x:c r="L1520" s="117"/>
      <x:c r="M1520" s="118"/>
      <x:c r="N1520" s="120" t="n">
        <x:v>44887.596041666664</x:v>
      </x:c>
      <x:c r="O1520" s="117" t="str">
        <x:v>Delegate</x:v>
      </x:c>
      <x:c r="P1520" s="120" t="n">
        <x:v>44887.598715277774</x:v>
      </x:c>
      <x:c r="Q1520" s="117" t="str">
        <x:v>Delegate</x:v>
      </x:c>
      <x:c r="R1520" s="117" t="str">
        <x:v>Invoice Submission Flow V4</x:v>
      </x:c>
      <x:c r="S1520" s="119" t="str">
        <x:v>This version swaps out the syncing to intacct with an approval process</x:v>
      </x:c>
    </x:row>
    <x:row r="1521" ht="30" customHeight="1">
      <x:c r="A1521" s="117" t="str">
        <x:v>Invoice_Submission_Flow_V2</x:v>
      </x:c>
      <x:c r="B1521" s="117" t="str">
        <x:v>3004O000000LOvOQAW</x:v>
      </x:c>
      <x:c r="C1521" s="117" t="str">
        <x:v>3015b000000ABZrAAO</x:v>
      </x:c>
      <x:c r="D1521" s="118" t="n">
        <x:v>27</x:v>
      </x:c>
      <x:c r="E1521" s="117" t="str">
        <x:v>Obsolete</x:v>
      </x:c>
      <x:c r="F1521" s="117" t="str">
        <x:v>No</x:v>
      </x:c>
      <x:c r="G1521" s="117" t="str">
        <x:v>No</x:v>
      </x:c>
      <x:c r="H1521" s="117" t="str">
        <x:v>Flow</x:v>
      </x:c>
      <x:c r="I1521" s="118" t="n">
        <x:v>50</x:v>
      </x:c>
      <x:c r="J1521" s="117" t="str">
        <x:v>unmanaged</x:v>
      </x:c>
      <x:c r="K1521" s="123" t="b">
        <x:v>0</x:v>
      </x:c>
      <x:c r="L1521" s="117"/>
      <x:c r="M1521" s="118"/>
      <x:c r="N1521" s="120" t="n">
        <x:v>44901.61707175926</x:v>
      </x:c>
      <x:c r="O1521" s="117" t="str">
        <x:v>Delegate</x:v>
      </x:c>
      <x:c r="P1521" s="120" t="n">
        <x:v>44901.61719907408</x:v>
      </x:c>
      <x:c r="Q1521" s="117" t="str">
        <x:v>Delegate</x:v>
      </x:c>
      <x:c r="R1521" s="117" t="str">
        <x:v>Invoice Submission Flow V4</x:v>
      </x:c>
      <x:c r="S1521" s="119" t="str">
        <x:v>This version re-vamps the recurring invoice method with recurring opportunity product amounts.</x:v>
      </x:c>
    </x:row>
    <x:row r="1522" ht="30" customHeight="1">
      <x:c r="A1522" s="117" t="str">
        <x:v>Invoice_Submission_Flow_V2</x:v>
      </x:c>
      <x:c r="B1522" s="117" t="str">
        <x:v>3004O000000LOvOQAW</x:v>
      </x:c>
      <x:c r="C1522" s="117" t="str">
        <x:v>3015b000000ABZwAAO</x:v>
      </x:c>
      <x:c r="D1522" s="118" t="n">
        <x:v>28</x:v>
      </x:c>
      <x:c r="E1522" s="117" t="str">
        <x:v>Obsolete</x:v>
      </x:c>
      <x:c r="F1522" s="117" t="str">
        <x:v>No</x:v>
      </x:c>
      <x:c r="G1522" s="117" t="str">
        <x:v>No</x:v>
      </x:c>
      <x:c r="H1522" s="117" t="str">
        <x:v>Flow</x:v>
      </x:c>
      <x:c r="I1522" s="118" t="n">
        <x:v>50</x:v>
      </x:c>
      <x:c r="J1522" s="117" t="str">
        <x:v>unmanaged</x:v>
      </x:c>
      <x:c r="K1522" s="123" t="b">
        <x:v>0</x:v>
      </x:c>
      <x:c r="L1522" s="117"/>
      <x:c r="M1522" s="118"/>
      <x:c r="N1522" s="120" t="n">
        <x:v>44901.61744212963</x:v>
      </x:c>
      <x:c r="O1522" s="117" t="str">
        <x:v>Delegate</x:v>
      </x:c>
      <x:c r="P1522" s="120" t="n">
        <x:v>44901.61753472222</x:v>
      </x:c>
      <x:c r="Q1522" s="117" t="str">
        <x:v>Delegate</x:v>
      </x:c>
      <x:c r="R1522" s="117" t="str">
        <x:v>Invoice Submission Flow V4</x:v>
      </x:c>
      <x:c r="S1522" s="119" t="str">
        <x:v>This version re-vamps the recurring invoice method with recurring opportunity product amounts.</x:v>
      </x:c>
    </x:row>
    <x:row r="1523" ht="30" customHeight="1">
      <x:c r="A1523" s="117" t="str">
        <x:v>Invoice_Submission_Flow_V2</x:v>
      </x:c>
      <x:c r="B1523" s="117" t="str">
        <x:v>3004O000000LOvOQAW</x:v>
      </x:c>
      <x:c r="C1523" s="117" t="str">
        <x:v>301Ro00000H8DKrIAN</x:v>
      </x:c>
      <x:c r="D1523" s="118" t="n">
        <x:v>29</x:v>
      </x:c>
      <x:c r="E1523" s="117" t="str">
        <x:v>Obsolete</x:v>
      </x:c>
      <x:c r="F1523" s="117" t="str">
        <x:v>No</x:v>
      </x:c>
      <x:c r="G1523" s="117" t="str">
        <x:v>No</x:v>
      </x:c>
      <x:c r="H1523" s="117" t="str">
        <x:v>Flow</x:v>
      </x:c>
      <x:c r="I1523" s="118" t="n">
        <x:v>50</x:v>
      </x:c>
      <x:c r="J1523" s="117" t="str">
        <x:v>unmanaged</x:v>
      </x:c>
      <x:c r="K1523" s="123" t="b">
        <x:v>0</x:v>
      </x:c>
      <x:c r="L1523" s="117"/>
      <x:c r="M1523" s="118"/>
      <x:c r="N1523" s="120" t="n">
        <x:v>45491.53471064815</x:v>
      </x:c>
      <x:c r="O1523" s="117" t="str">
        <x:v>Delegate</x:v>
      </x:c>
      <x:c r="P1523" s="120" t="n">
        <x:v>45491.53481481481</x:v>
      </x:c>
      <x:c r="Q1523" s="117" t="str">
        <x:v>Delegate</x:v>
      </x:c>
      <x:c r="R1523" s="117" t="str">
        <x:v>Invoice Submission Flow V4</x:v>
      </x:c>
      <x:c r="S1523" s="119" t="str">
        <x:v>Removed Create Order sub-flow</x:v>
      </x:c>
    </x:row>
    <x:row r="1524" ht="30" customHeight="1">
      <x:c r="A1524" s="117" t="str">
        <x:v>Invoice_Submission_Flow_V2</x:v>
      </x:c>
      <x:c r="B1524" s="117" t="str">
        <x:v>3004O000000LOvOQAW</x:v>
      </x:c>
      <x:c r="C1524" s="117" t="str">
        <x:v>301Ro00000gcfEtIAI</x:v>
      </x:c>
      <x:c r="D1524" s="118" t="n">
        <x:v>30</x:v>
      </x:c>
      <x:c r="E1524" s="117" t="str">
        <x:v>Obsolete</x:v>
      </x:c>
      <x:c r="F1524" s="117" t="str">
        <x:v>No</x:v>
      </x:c>
      <x:c r="G1524" s="117" t="str">
        <x:v>No</x:v>
      </x:c>
      <x:c r="H1524" s="117" t="str">
        <x:v>Flow</x:v>
      </x:c>
      <x:c r="I1524" s="118" t="n">
        <x:v>50</x:v>
      </x:c>
      <x:c r="J1524" s="117" t="str">
        <x:v>unmanaged</x:v>
      </x:c>
      <x:c r="K1524" s="123" t="b">
        <x:v>0</x:v>
      </x:c>
      <x:c r="L1524" s="117"/>
      <x:c r="M1524" s="118"/>
      <x:c r="N1524" s="120" t="n">
        <x:v>45866.72287037037</x:v>
      </x:c>
      <x:c r="O1524" s="117" t="str">
        <x:v>Delegate</x:v>
      </x:c>
      <x:c r="P1524" s="120" t="n">
        <x:v>45866.72309027778</x:v>
      </x:c>
      <x:c r="Q1524" s="117" t="str">
        <x:v>Delegate</x:v>
      </x:c>
      <x:c r="R1524" s="117" t="str">
        <x:v>Invoice Submission Flow V4</x:v>
      </x:c>
      <x:c r="S1524" s="119" t="str">
        <x:v>07/28/2025 (BW) - Updated the flow which sets the intacct submission date</x:v>
      </x:c>
    </x:row>
    <x:row r="1525" ht="30" customHeight="1">
      <x:c r="A1525" s="117" t="str">
        <x:v>Invoice_Submission_Flow_V2</x:v>
      </x:c>
      <x:c r="B1525" s="117" t="str">
        <x:v>3004O000000LOvOQAW</x:v>
      </x:c>
      <x:c r="C1525" s="117" t="str">
        <x:v>301Ro00000gcfTSIAY</x:v>
      </x:c>
      <x:c r="D1525" s="118" t="n">
        <x:v>31</x:v>
      </x:c>
      <x:c r="E1525" s="117" t="str">
        <x:v>Obsolete</x:v>
      </x:c>
      <x:c r="F1525" s="117" t="str">
        <x:v>No</x:v>
      </x:c>
      <x:c r="G1525" s="117" t="str">
        <x:v>No</x:v>
      </x:c>
      <x:c r="H1525" s="117" t="str">
        <x:v>Flow</x:v>
      </x:c>
      <x:c r="I1525" s="118" t="n">
        <x:v>50</x:v>
      </x:c>
      <x:c r="J1525" s="117" t="str">
        <x:v>unmanaged</x:v>
      </x:c>
      <x:c r="K1525" s="123" t="b">
        <x:v>0</x:v>
      </x:c>
      <x:c r="L1525" s="117"/>
      <x:c r="M1525" s="118"/>
      <x:c r="N1525" s="120" t="n">
        <x:v>45866.724224537036</x:v>
      </x:c>
      <x:c r="O1525" s="117" t="str">
        <x:v>Delegate</x:v>
      </x:c>
      <x:c r="P1525" s="120" t="n">
        <x:v>45866.72450231481</x:v>
      </x:c>
      <x:c r="Q1525" s="117" t="str">
        <x:v>Delegate</x:v>
      </x:c>
      <x:c r="R1525" s="117" t="str">
        <x:v>Invoice Submission Flow V4</x:v>
      </x:c>
      <x:c r="S1525" s="119" t="str">
        <x:v>07/28/2025 (BW) - Updated the flow which sets the intacct submission date</x:v>
      </x:c>
    </x:row>
    <x:row r="1526" ht="30" customHeight="1">
      <x:c r="A1526" s="117" t="str">
        <x:v>Invoice_Submission_Flow_V2</x:v>
      </x:c>
      <x:c r="B1526" s="117" t="str">
        <x:v>3004O000000LOvOQAW</x:v>
      </x:c>
      <x:c r="C1526" s="117" t="str">
        <x:v>301Ro00000gcxeqIAA</x:v>
      </x:c>
      <x:c r="D1526" s="118" t="n">
        <x:v>32</x:v>
      </x:c>
      <x:c r="E1526" s="117" t="str">
        <x:v>Obsolete</x:v>
      </x:c>
      <x:c r="F1526" s="117" t="str">
        <x:v>No</x:v>
      </x:c>
      <x:c r="G1526" s="117" t="str">
        <x:v>No</x:v>
      </x:c>
      <x:c r="H1526" s="117" t="str">
        <x:v>Flow</x:v>
      </x:c>
      <x:c r="I1526" s="118" t="n">
        <x:v>50</x:v>
      </x:c>
      <x:c r="J1526" s="117" t="str">
        <x:v>unmanaged</x:v>
      </x:c>
      <x:c r="K1526" s="123" t="b">
        <x:v>0</x:v>
      </x:c>
      <x:c r="L1526" s="117"/>
      <x:c r="M1526" s="118"/>
      <x:c r="N1526" s="120" t="n">
        <x:v>45866.76414351852</x:v>
      </x:c>
      <x:c r="O1526" s="117" t="str">
        <x:v>Delegate</x:v>
      </x:c>
      <x:c r="P1526" s="120" t="n">
        <x:v>45866.76435185185</x:v>
      </x:c>
      <x:c r="Q1526" s="117" t="str">
        <x:v>Delegate</x:v>
      </x:c>
      <x:c r="R1526" s="117" t="str">
        <x:v>Invoice Submission Flow V4</x:v>
      </x:c>
      <x:c r="S1526" s="119" t="str">
        <x:v>07/28/2025 (BW) - Updated the flow which sets the intacct submission date</x:v>
      </x:c>
    </x:row>
    <x:row r="1527" ht="30" customHeight="1">
      <x:c r="A1527" s="117" t="str">
        <x:v>Invoice_Submission_Flow_V2</x:v>
      </x:c>
      <x:c r="B1527" s="117" t="str">
        <x:v>3004O000000LOvOQAW</x:v>
      </x:c>
      <x:c r="C1527" s="117" t="str">
        <x:v>301Ro00000gckzVIAQ</x:v>
      </x:c>
      <x:c r="D1527" s="118" t="n">
        <x:v>33</x:v>
      </x:c>
      <x:c r="E1527" s="117" t="str">
        <x:v>Obsolete</x:v>
      </x:c>
      <x:c r="F1527" s="117" t="str">
        <x:v>No</x:v>
      </x:c>
      <x:c r="G1527" s="117" t="str">
        <x:v>No</x:v>
      </x:c>
      <x:c r="H1527" s="117" t="str">
        <x:v>Flow</x:v>
      </x:c>
      <x:c r="I1527" s="118" t="n">
        <x:v>50</x:v>
      </x:c>
      <x:c r="J1527" s="117" t="str">
        <x:v>unmanaged</x:v>
      </x:c>
      <x:c r="K1527" s="123" t="b">
        <x:v>0</x:v>
      </x:c>
      <x:c r="L1527" s="117"/>
      <x:c r="M1527" s="118"/>
      <x:c r="N1527" s="120" t="n">
        <x:v>45866.765393518515</x:v>
      </x:c>
      <x:c r="O1527" s="117" t="str">
        <x:v>Delegate</x:v>
      </x:c>
      <x:c r="P1527" s="120" t="n">
        <x:v>45866.76556712963</x:v>
      </x:c>
      <x:c r="Q1527" s="117" t="str">
        <x:v>Delegate</x:v>
      </x:c>
      <x:c r="R1527" s="117" t="str">
        <x:v>Invoice Submission Flow V4</x:v>
      </x:c>
      <x:c r="S1527" s="119" t="str">
        <x:v>07/28/2025 (BW) - Updated the flow which sets the intacct submission date</x:v>
      </x:c>
    </x:row>
    <x:row r="1528" ht="30" customHeight="1">
      <x:c r="A1528" s="117" t="str">
        <x:v>Invoice_Submission_Flow_V2</x:v>
      </x:c>
      <x:c r="B1528" s="117" t="str">
        <x:v>3004O000000LOvOQAW</x:v>
      </x:c>
      <x:c r="C1528" s="117" t="str">
        <x:v>301Ro00000n4pChIAI</x:v>
      </x:c>
      <x:c r="D1528" s="118" t="n">
        <x:v>34</x:v>
      </x:c>
      <x:c r="E1528" s="117" t="str">
        <x:v>Obsolete</x:v>
      </x:c>
      <x:c r="F1528" s="117" t="str">
        <x:v>No</x:v>
      </x:c>
      <x:c r="G1528" s="117" t="str">
        <x:v>No</x:v>
      </x:c>
      <x:c r="H1528" s="117" t="str">
        <x:v>Flow</x:v>
      </x:c>
      <x:c r="I1528" s="118" t="n">
        <x:v>50</x:v>
      </x:c>
      <x:c r="J1528" s="117" t="str">
        <x:v>unmanaged</x:v>
      </x:c>
      <x:c r="K1528" s="123" t="b">
        <x:v>0</x:v>
      </x:c>
      <x:c r="L1528" s="117"/>
      <x:c r="M1528" s="118"/>
      <x:c r="N1528" s="120" t="n">
        <x:v>45924.127754629626</x:v>
      </x:c>
      <x:c r="O1528" s="117" t="str">
        <x:v>Natalie Boger</x:v>
      </x:c>
      <x:c r="P1528" s="120" t="n">
        <x:v>45932.13930555555</x:v>
      </x:c>
      <x:c r="Q1528" s="117" t="str">
        <x:v>Natalie Boger</x:v>
      </x:c>
      <x:c r="R1528" s="117" t="str">
        <x:v>Invoice Submission Flow V4</x:v>
      </x:c>
      <x:c r="S1528" s="119" t="str">
        <x:v>9/23/25 (NB) - Instead of send invoice PDF action, linked subflow for send invoice PDF so updates made in that flow will carry over here</x:v>
      </x:c>
    </x:row>
    <x:row r="1529" ht="30" customHeight="1">
      <x:c r="A1529" s="117" t="str">
        <x:v>Invoice_Submission_Flow_V2</x:v>
      </x:c>
      <x:c r="B1529" s="117" t="str">
        <x:v>3004O000000LOvOQAW</x:v>
      </x:c>
      <x:c r="C1529" s="117" t="str">
        <x:v>301Ro00000taDVLIA2</x:v>
      </x:c>
      <x:c r="D1529" s="118" t="n">
        <x:v>35</x:v>
      </x:c>
      <x:c r="E1529" s="117" t="str">
        <x:v>Obsolete</x:v>
      </x:c>
      <x:c r="F1529" s="117" t="str">
        <x:v>No</x:v>
      </x:c>
      <x:c r="G1529" s="117" t="str">
        <x:v>No</x:v>
      </x:c>
      <x:c r="H1529" s="117" t="str">
        <x:v>Flow</x:v>
      </x:c>
      <x:c r="I1529" s="118" t="n">
        <x:v>50</x:v>
      </x:c>
      <x:c r="J1529" s="117" t="str">
        <x:v>unmanaged</x:v>
      </x:c>
      <x:c r="K1529" s="123" t="b">
        <x:v>0</x:v>
      </x:c>
      <x:c r="L1529" s="117"/>
      <x:c r="M1529" s="118"/>
      <x:c r="N1529" s="120" t="n">
        <x:v>45996.16134259259</x:v>
      </x:c>
      <x:c r="O1529" s="117" t="str">
        <x:v>Natalie Boger</x:v>
      </x:c>
      <x:c r="P1529" s="120" t="n">
        <x:v>45996.161944444444</x:v>
      </x:c>
      <x:c r="Q1529" s="117" t="str">
        <x:v>Natalie Boger</x:v>
      </x:c>
      <x:c r="R1529" s="117" t="str">
        <x:v>Invoice Submission Flow V4</x:v>
      </x:c>
      <x:c r="S1529" s="119" t="str">
        <x:v>12/4/25 (NB): changed input for send invoice pdf subflow to match new requirements (text instead of record).</x:v>
      </x:c>
    </x:row>
    <x:row r="1530" ht="30" customHeight="1">
      <x:c r="A1530" s="117" t="str">
        <x:v>Invoice_Submission_Flow_V2</x:v>
      </x:c>
      <x:c r="B1530" s="117" t="str">
        <x:v>3004O000000LOvOQAW</x:v>
      </x:c>
      <x:c r="C1530" s="117" t="str">
        <x:v>301Ro00000urPyEIAU</x:v>
      </x:c>
      <x:c r="D1530" s="118" t="n">
        <x:v>36</x:v>
      </x:c>
      <x:c r="E1530" s="117" t="str">
        <x:v>Obsolete</x:v>
      </x:c>
      <x:c r="F1530" s="117" t="str">
        <x:v>No</x:v>
      </x:c>
      <x:c r="G1530" s="117" t="str">
        <x:v>No</x:v>
      </x:c>
      <x:c r="H1530" s="117" t="str">
        <x:v>Flow</x:v>
      </x:c>
      <x:c r="I1530" s="118" t="n">
        <x:v>50</x:v>
      </x:c>
      <x:c r="J1530" s="117" t="str">
        <x:v>unmanaged</x:v>
      </x:c>
      <x:c r="K1530" s="123" t="b">
        <x:v>0</x:v>
      </x:c>
      <x:c r="L1530" s="117"/>
      <x:c r="M1530" s="118"/>
      <x:c r="N1530" s="120" t="n">
        <x:v>46020.82068287037</x:v>
      </x:c>
      <x:c r="O1530" s="117" t="str">
        <x:v>Steve Dodd</x:v>
      </x:c>
      <x:c r="P1530" s="120" t="n">
        <x:v>46020.82079861111</x:v>
      </x:c>
      <x:c r="Q1530" s="117" t="str">
        <x:v>Steve Dodd</x:v>
      </x:c>
      <x:c r="R1530" s="117" t="str">
        <x:v>Invoice Submission Flow V4</x:v>
      </x:c>
      <x:c r="S1530" s="119" t="str">
        <x:v>12/4/25 (NB): changed input for send invoice pdf subflow to match new requirements (text instead of record).</x:v>
      </x:c>
    </x:row>
    <x:row r="1531" ht="30" customHeight="1">
      <x:c r="A1531" s="117" t="str">
        <x:v>Invoice_Submission_Flow_V2</x:v>
      </x:c>
      <x:c r="B1531" s="117" t="str">
        <x:v>3004O000000LOvOQAW</x:v>
      </x:c>
      <x:c r="C1531" s="117" t="str">
        <x:v>301Ro00000urIBVIA2</x:v>
      </x:c>
      <x:c r="D1531" s="118" t="n">
        <x:v>37</x:v>
      </x:c>
      <x:c r="E1531" s="117" t="str">
        <x:v>Active</x:v>
      </x:c>
      <x:c r="F1531" s="117" t="str">
        <x:v>Yes</x:v>
      </x:c>
      <x:c r="G1531" s="117" t="str">
        <x:v>Yes</x:v>
      </x:c>
      <x:c r="H1531" s="117" t="str">
        <x:v>Flow</x:v>
      </x:c>
      <x:c r="I1531" s="118" t="n">
        <x:v>50</x:v>
      </x:c>
      <x:c r="J1531" s="117" t="str">
        <x:v>unmanaged</x:v>
      </x:c>
      <x:c r="K1531" s="123" t="b">
        <x:v>0</x:v>
      </x:c>
      <x:c r="L1531" s="117"/>
      <x:c r="M1531" s="118"/>
      <x:c r="N1531" s="120" t="n">
        <x:v>46020.83320601852</x:v>
      </x:c>
      <x:c r="O1531" s="117" t="str">
        <x:v>Steve Dodd</x:v>
      </x:c>
      <x:c r="P1531" s="120" t="n">
        <x:v>46020.83331018518</x:v>
      </x:c>
      <x:c r="Q1531" s="117" t="str">
        <x:v>Steve Dodd</x:v>
      </x:c>
      <x:c r="R1531" s="117" t="str">
        <x:v>Invoice Submission Flow V4</x:v>
      </x:c>
      <x:c r="S1531" s="119" t="str">
        <x:v>9/23/25 (NB) - Instead of send invoice PDF action, linked subflow for send invoice PDF so updates made in that flow will carry over here</x:v>
      </x:c>
    </x:row>
    <x:row r="1532" ht="30" customHeight="1">
      <x:c r="A1532" s="117" t="str">
        <x:v>Invoice_Sync_Notification</x:v>
      </x:c>
      <x:c r="B1532" s="117" t="str">
        <x:v>300Ro00000FwcE1IAJ</x:v>
      </x:c>
      <x:c r="C1532" s="117" t="str">
        <x:v>301Ro00000HT1i6IAD</x:v>
      </x:c>
      <x:c r="D1532" s="118" t="n">
        <x:v>1</x:v>
      </x:c>
      <x:c r="E1532" s="117" t="str">
        <x:v>InvalidDraft</x:v>
      </x:c>
      <x:c r="F1532" s="117" t="str">
        <x:v>No</x:v>
      </x:c>
      <x:c r="G1532" s="117" t="str">
        <x:v>No</x:v>
      </x:c>
      <x:c r="H1532" s="117" t="str">
        <x:v>AutoLaunchedFlow</x:v>
      </x:c>
      <x:c r="I1532" s="118" t="n">
        <x:v>61</x:v>
      </x:c>
      <x:c r="J1532" s="117" t="str">
        <x:v>unmanaged</x:v>
      </x:c>
      <x:c r="K1532" s="123" t="b">
        <x:v>0</x:v>
      </x:c>
      <x:c r="L1532" s="117"/>
      <x:c r="M1532" s="118"/>
      <x:c r="N1532" s="120" t="n">
        <x:v>45496.57958333333</x:v>
      </x:c>
      <x:c r="O1532" s="117" t="str">
        <x:v>Delegate</x:v>
      </x:c>
      <x:c r="P1532" s="120" t="n">
        <x:v>45496.57960648148</x:v>
      </x:c>
      <x:c r="Q1532" s="117" t="str">
        <x:v>Delegate</x:v>
      </x:c>
      <x:c r="R1532" s="117" t="str">
        <x:v>Invoice Sync Notification</x:v>
      </x:c>
      <x:c r="S1532" s="119"/>
    </x:row>
    <x:row r="1533" ht="30" customHeight="1">
      <x:c r="A1533" s="117" t="str">
        <x:v>Invoice_Sync_Notification</x:v>
      </x:c>
      <x:c r="B1533" s="117" t="str">
        <x:v>300Ro00000FwcE1IAJ</x:v>
      </x:c>
      <x:c r="C1533" s="117" t="str">
        <x:v>301Ro00000IfbNqIAJ</x:v>
      </x:c>
      <x:c r="D1533" s="118" t="n">
        <x:v>2</x:v>
      </x:c>
      <x:c r="E1533" s="117" t="str">
        <x:v>Obsolete</x:v>
      </x:c>
      <x:c r="F1533" s="117" t="str">
        <x:v>No</x:v>
      </x:c>
      <x:c r="G1533" s="117" t="str">
        <x:v>No</x:v>
      </x:c>
      <x:c r="H1533" s="117" t="str">
        <x:v>AutoLaunchedFlow</x:v>
      </x:c>
      <x:c r="I1533" s="118" t="n">
        <x:v>61</x:v>
      </x:c>
      <x:c r="J1533" s="117" t="str">
        <x:v>unmanaged</x:v>
      </x:c>
      <x:c r="K1533" s="123" t="b">
        <x:v>0</x:v>
      </x:c>
      <x:c r="L1533" s="117"/>
      <x:c r="M1533" s="118"/>
      <x:c r="N1533" s="120" t="n">
        <x:v>45512.71696759259</x:v>
      </x:c>
      <x:c r="O1533" s="117" t="str">
        <x:v>Delegate</x:v>
      </x:c>
      <x:c r="P1533" s="120" t="n">
        <x:v>45512.721041666664</x:v>
      </x:c>
      <x:c r="Q1533" s="117" t="str">
        <x:v>Delegate</x:v>
      </x:c>
      <x:c r="R1533" s="117" t="str">
        <x:v>Invoice Sync Notification</x:v>
      </x:c>
      <x:c r="S1533" s="119" t="str">
        <x:v>08/01/24 (BW) - Updated the trigger for the invoice sync so that it only fires when the sync status is changed</x:v>
      </x:c>
    </x:row>
    <x:row r="1534" ht="30" customHeight="1">
      <x:c r="A1534" s="117" t="str">
        <x:v>Invoice_Sync_Notification</x:v>
      </x:c>
      <x:c r="B1534" s="117" t="str">
        <x:v>300Ro00000FwcE1IAJ</x:v>
      </x:c>
      <x:c r="C1534" s="117" t="str">
        <x:v>301Ro00000JU57QIAT</x:v>
      </x:c>
      <x:c r="D1534" s="118" t="n">
        <x:v>3</x:v>
      </x:c>
      <x:c r="E1534" s="117" t="str">
        <x:v>Obsolete</x:v>
      </x:c>
      <x:c r="F1534" s="117" t="str">
        <x:v>No</x:v>
      </x:c>
      <x:c r="G1534" s="117" t="str">
        <x:v>No</x:v>
      </x:c>
      <x:c r="H1534" s="117" t="str">
        <x:v>AutoLaunchedFlow</x:v>
      </x:c>
      <x:c r="I1534" s="118" t="n">
        <x:v>61</x:v>
      </x:c>
      <x:c r="J1534" s="117" t="str">
        <x:v>unmanaged</x:v>
      </x:c>
      <x:c r="K1534" s="123" t="b">
        <x:v>0</x:v>
      </x:c>
      <x:c r="L1534" s="117"/>
      <x:c r="M1534" s="118"/>
      <x:c r="N1534" s="120" t="n">
        <x:v>45525.49484953703</x:v>
      </x:c>
      <x:c r="O1534" s="117" t="str">
        <x:v>Delegate</x:v>
      </x:c>
      <x:c r="P1534" s="120" t="n">
        <x:v>45525.49489583333</x:v>
      </x:c>
      <x:c r="Q1534" s="117" t="str">
        <x:v>Delegate</x:v>
      </x:c>
      <x:c r="R1534" s="117" t="str">
        <x:v>Invoice Sync Notification</x:v>
      </x:c>
      <x:c r="S1534" s="119" t="str">
        <x:v>08/21/24 (BW) - Added opportunity name to the Interco version of the email.</x:v>
      </x:c>
    </x:row>
    <x:row r="1535" ht="30" customHeight="1">
      <x:c r="A1535" s="117" t="str">
        <x:v>Invoice_Sync_Notification</x:v>
      </x:c>
      <x:c r="B1535" s="117" t="str">
        <x:v>300Ro00000FwcE1IAJ</x:v>
      </x:c>
      <x:c r="C1535" s="117" t="str">
        <x:v>301Ro00000JniTEIAZ</x:v>
      </x:c>
      <x:c r="D1535" s="118" t="n">
        <x:v>4</x:v>
      </x:c>
      <x:c r="E1535" s="117" t="str">
        <x:v>Obsolete</x:v>
      </x:c>
      <x:c r="F1535" s="117" t="str">
        <x:v>No</x:v>
      </x:c>
      <x:c r="G1535" s="117" t="str">
        <x:v>No</x:v>
      </x:c>
      <x:c r="H1535" s="117" t="str">
        <x:v>AutoLaunchedFlow</x:v>
      </x:c>
      <x:c r="I1535" s="118" t="n">
        <x:v>61</x:v>
      </x:c>
      <x:c r="J1535" s="117" t="str">
        <x:v>unmanaged</x:v>
      </x:c>
      <x:c r="K1535" s="123" t="b">
        <x:v>0</x:v>
      </x:c>
      <x:c r="L1535" s="117"/>
      <x:c r="M1535" s="118"/>
      <x:c r="N1535" s="120" t="n">
        <x:v>45530.6150462963</x:v>
      </x:c>
      <x:c r="O1535" s="117" t="str">
        <x:v>Delegate</x:v>
      </x:c>
      <x:c r="P1535" s="120" t="n">
        <x:v>45530.615335648145</x:v>
      </x:c>
      <x:c r="Q1535" s="117" t="str">
        <x:v>Delegate</x:v>
      </x:c>
      <x:c r="R1535" s="117" t="str">
        <x:v>Invoice Sync Notification</x:v>
      </x:c>
      <x:c r="S1535" s="119" t="str">
        <x:v>08/26/24 (CDM) - Updated recipients to ASG distro email and copy Megan</x:v>
      </x:c>
    </x:row>
    <x:row r="1536" ht="30" customHeight="1">
      <x:c r="A1536" s="117" t="str">
        <x:v>Invoice_Sync_Notification</x:v>
      </x:c>
      <x:c r="B1536" s="117" t="str">
        <x:v>300Ro00000FwcE1IAJ</x:v>
      </x:c>
      <x:c r="C1536" s="117" t="str">
        <x:v>301Ro00000Tp8sXIAR</x:v>
      </x:c>
      <x:c r="D1536" s="118" t="n">
        <x:v>5</x:v>
      </x:c>
      <x:c r="E1536" s="117" t="str">
        <x:v>Obsolete</x:v>
      </x:c>
      <x:c r="F1536" s="117" t="str">
        <x:v>No</x:v>
      </x:c>
      <x:c r="G1536" s="117" t="str">
        <x:v>No</x:v>
      </x:c>
      <x:c r="H1536" s="117" t="str">
        <x:v>AutoLaunchedFlow</x:v>
      </x:c>
      <x:c r="I1536" s="118" t="n">
        <x:v>61</x:v>
      </x:c>
      <x:c r="J1536" s="117" t="str">
        <x:v>unmanaged</x:v>
      </x:c>
      <x:c r="K1536" s="123" t="b">
        <x:v>0</x:v>
      </x:c>
      <x:c r="L1536" s="117"/>
      <x:c r="M1536" s="118"/>
      <x:c r="N1536" s="120" t="n">
        <x:v>45699.4940625</x:v>
      </x:c>
      <x:c r="O1536" s="117" t="str">
        <x:v>Delegate</x:v>
      </x:c>
      <x:c r="P1536" s="120" t="n">
        <x:v>45699.494780092595</x:v>
      </x:c>
      <x:c r="Q1536" s="117" t="str">
        <x:v>Delegate</x:v>
      </x:c>
      <x:c r="R1536" s="117" t="str">
        <x:v>Invoice Sync Notification</x:v>
      </x:c>
      <x:c r="S1536" s="119" t="str">
        <x:v>2/11/25 (BW) - Updated the recipients to the email in the invoice's accounting contact email address so it dynamically sets based upon the account.</x:v>
      </x:c>
    </x:row>
    <x:row r="1537" ht="30" customHeight="1">
      <x:c r="A1537" s="117" t="str">
        <x:v>Invoice_Sync_Notification</x:v>
      </x:c>
      <x:c r="B1537" s="117" t="str">
        <x:v>300Ro00000FwcE1IAJ</x:v>
      </x:c>
      <x:c r="C1537" s="117" t="str">
        <x:v>301Ro00000UeejqIAB</x:v>
      </x:c>
      <x:c r="D1537" s="118" t="n">
        <x:v>6</x:v>
      </x:c>
      <x:c r="E1537" s="117" t="str">
        <x:v>Obsolete</x:v>
      </x:c>
      <x:c r="F1537" s="117" t="str">
        <x:v>No</x:v>
      </x:c>
      <x:c r="G1537" s="117" t="str">
        <x:v>No</x:v>
      </x:c>
      <x:c r="H1537" s="117" t="str">
        <x:v>AutoLaunchedFlow</x:v>
      </x:c>
      <x:c r="I1537" s="118" t="n">
        <x:v>61</x:v>
      </x:c>
      <x:c r="J1537" s="117" t="str">
        <x:v>unmanaged</x:v>
      </x:c>
      <x:c r="K1537" s="123" t="b">
        <x:v>0</x:v>
      </x:c>
      <x:c r="L1537" s="117"/>
      <x:c r="M1537" s="118"/>
      <x:c r="N1537" s="120" t="n">
        <x:v>45713.73388888889</x:v>
      </x:c>
      <x:c r="O1537" s="117" t="str">
        <x:v>Delegate</x:v>
      </x:c>
      <x:c r="P1537" s="120" t="n">
        <x:v>45713.73407407408</x:v>
      </x:c>
      <x:c r="Q1537" s="117" t="str">
        <x:v>Delegate</x:v>
      </x:c>
      <x:c r="R1537" s="117" t="str">
        <x:v>Invoice Sync Notification</x:v>
      </x:c>
      <x:c r="S1537" s="119" t="str">
        <x:v>2/25/25 (CDM) - Updated the Invoice Synced to Intacct? decision, removed the AND = Interco is True as it prevented regular invoices from sending notifications.</x:v>
      </x:c>
    </x:row>
    <x:row r="1538" ht="30" customHeight="1">
      <x:c r="A1538" s="117" t="str">
        <x:v>Invoice_Sync_Notification</x:v>
      </x:c>
      <x:c r="B1538" s="117" t="str">
        <x:v>300Ro00000FwcE1IAJ</x:v>
      </x:c>
      <x:c r="C1538" s="117" t="str">
        <x:v>301Ro00000UgP7UIAV</x:v>
      </x:c>
      <x:c r="D1538" s="118" t="n">
        <x:v>7</x:v>
      </x:c>
      <x:c r="E1538" s="117" t="str">
        <x:v>Obsolete</x:v>
      </x:c>
      <x:c r="F1538" s="117" t="str">
        <x:v>No</x:v>
      </x:c>
      <x:c r="G1538" s="117" t="str">
        <x:v>No</x:v>
      </x:c>
      <x:c r="H1538" s="117" t="str">
        <x:v>AutoLaunchedFlow</x:v>
      </x:c>
      <x:c r="I1538" s="118" t="n">
        <x:v>61</x:v>
      </x:c>
      <x:c r="J1538" s="117" t="str">
        <x:v>unmanaged</x:v>
      </x:c>
      <x:c r="K1538" s="123" t="b">
        <x:v>0</x:v>
      </x:c>
      <x:c r="L1538" s="117"/>
      <x:c r="M1538" s="118"/>
      <x:c r="N1538" s="120" t="n">
        <x:v>45714.130266203705</x:v>
      </x:c>
      <x:c r="O1538" s="117" t="str">
        <x:v>Delegate</x:v>
      </x:c>
      <x:c r="P1538" s="120" t="n">
        <x:v>45714.130324074074</x:v>
      </x:c>
      <x:c r="Q1538" s="117" t="str">
        <x:v>Delegate</x:v>
      </x:c>
      <x:c r="R1538" s="117" t="str">
        <x:v>Invoice Sync Notification</x:v>
      </x:c>
      <x:c r="S1538" s="119" t="str">
        <x:v>2/25/25 (BW) - Removed the and so that regular invoices do not send a sync email</x:v>
      </x:c>
    </x:row>
    <x:row r="1539" ht="30" customHeight="1">
      <x:c r="A1539" s="117" t="str">
        <x:v>Invoice_Sync_Notification</x:v>
      </x:c>
      <x:c r="B1539" s="117" t="str">
        <x:v>300Ro00000FwcE1IAJ</x:v>
      </x:c>
      <x:c r="C1539" s="117" t="str">
        <x:v>301Ro00000ckzvtIAA</x:v>
      </x:c>
      <x:c r="D1539" s="118" t="n">
        <x:v>8</x:v>
      </x:c>
      <x:c r="E1539" s="117" t="str">
        <x:v>Obsolete</x:v>
      </x:c>
      <x:c r="F1539" s="117" t="str">
        <x:v>No</x:v>
      </x:c>
      <x:c r="G1539" s="117" t="str">
        <x:v>No</x:v>
      </x:c>
      <x:c r="H1539" s="117" t="str">
        <x:v>AutoLaunchedFlow</x:v>
      </x:c>
      <x:c r="I1539" s="118" t="n">
        <x:v>61</x:v>
      </x:c>
      <x:c r="J1539" s="117" t="str">
        <x:v>unmanaged</x:v>
      </x:c>
      <x:c r="K1539" s="123" t="b">
        <x:v>0</x:v>
      </x:c>
      <x:c r="L1539" s="117"/>
      <x:c r="M1539" s="118"/>
      <x:c r="N1539" s="120" t="n">
        <x:v>45832.88081018518</x:v>
      </x:c>
      <x:c r="O1539" s="117" t="str">
        <x:v>Bill Hagarty</x:v>
      </x:c>
      <x:c r="P1539" s="120" t="n">
        <x:v>45832.88104166667</x:v>
      </x:c>
      <x:c r="Q1539" s="117" t="str">
        <x:v>Bill Hagarty</x:v>
      </x:c>
      <x:c r="R1539" s="117" t="str">
        <x:v>Invoice Sync Notification</x:v>
      </x:c>
      <x:c r="S1539" s="119" t="str">
        <x:v>2/25/25 (BW) - Removed the and so that regular invoices do not send a sync email</x:v>
      </x:c>
    </x:row>
    <x:row r="1540" ht="30" customHeight="1">
      <x:c r="A1540" s="117" t="str">
        <x:v>Invoice_Sync_Notification</x:v>
      </x:c>
      <x:c r="B1540" s="117" t="str">
        <x:v>300Ro00000FwcE1IAJ</x:v>
      </x:c>
      <x:c r="C1540" s="117" t="str">
        <x:v>301Ro00000eQhiKIAS</x:v>
      </x:c>
      <x:c r="D1540" s="118" t="n">
        <x:v>9</x:v>
      </x:c>
      <x:c r="E1540" s="117" t="str">
        <x:v>Obsolete</x:v>
      </x:c>
      <x:c r="F1540" s="117" t="str">
        <x:v>No</x:v>
      </x:c>
      <x:c r="G1540" s="117" t="str">
        <x:v>No</x:v>
      </x:c>
      <x:c r="H1540" s="117" t="str">
        <x:v>AutoLaunchedFlow</x:v>
      </x:c>
      <x:c r="I1540" s="118" t="n">
        <x:v>61</x:v>
      </x:c>
      <x:c r="J1540" s="117" t="str">
        <x:v>unmanaged</x:v>
      </x:c>
      <x:c r="K1540" s="123" t="b">
        <x:v>0</x:v>
      </x:c>
      <x:c r="L1540" s="117"/>
      <x:c r="M1540" s="118"/>
      <x:c r="N1540" s="120" t="n">
        <x:v>45847.61703703704</x:v>
      </x:c>
      <x:c r="O1540" s="117" t="str">
        <x:v>Bill Hagarty</x:v>
      </x:c>
      <x:c r="P1540" s="120" t="n">
        <x:v>45847.617106481484</x:v>
      </x:c>
      <x:c r="Q1540" s="117" t="str">
        <x:v>Bill Hagarty</x:v>
      </x:c>
      <x:c r="R1540" s="117" t="str">
        <x:v>Invoice Sync Notification</x:v>
      </x:c>
      <x:c r="S1540" s="119" t="str">
        <x:v>2/25/25 (BW) - Removed the and so that regular invoices do not send a sync email</x:v>
      </x:c>
    </x:row>
    <x:row r="1541" ht="30" customHeight="1">
      <x:c r="A1541" s="117" t="str">
        <x:v>Invoice_Sync_Notification</x:v>
      </x:c>
      <x:c r="B1541" s="117" t="str">
        <x:v>300Ro00000FwcE1IAJ</x:v>
      </x:c>
      <x:c r="C1541" s="117" t="str">
        <x:v>301Ro00000ijLeuIAE</x:v>
      </x:c>
      <x:c r="D1541" s="118" t="n">
        <x:v>10</x:v>
      </x:c>
      <x:c r="E1541" s="117" t="str">
        <x:v>Obsolete</x:v>
      </x:c>
      <x:c r="F1541" s="117" t="str">
        <x:v>No</x:v>
      </x:c>
      <x:c r="G1541" s="117" t="str">
        <x:v>No</x:v>
      </x:c>
      <x:c r="H1541" s="117" t="str">
        <x:v>AutoLaunchedFlow</x:v>
      </x:c>
      <x:c r="I1541" s="118" t="n">
        <x:v>61</x:v>
      </x:c>
      <x:c r="J1541" s="117" t="str">
        <x:v>unmanaged</x:v>
      </x:c>
      <x:c r="K1541" s="123" t="b">
        <x:v>0</x:v>
      </x:c>
      <x:c r="L1541" s="117"/>
      <x:c r="M1541" s="118"/>
      <x:c r="N1541" s="120" t="n">
        <x:v>45888.51563657408</x:v>
      </x:c>
      <x:c r="O1541" s="117" t="str">
        <x:v>Bill Hagarty</x:v>
      </x:c>
      <x:c r="P1541" s="120" t="n">
        <x:v>45888.51572916667</x:v>
      </x:c>
      <x:c r="Q1541" s="117" t="str">
        <x:v>Bill Hagarty</x:v>
      </x:c>
      <x:c r="R1541" s="117" t="str">
        <x:v>Invoice Sync Notification</x:v>
      </x:c>
      <x:c r="S1541" s="119" t="str">
        <x:v>2/25/25 (BW) - Removed the and so that regular invoices do not send a sync email</x:v>
      </x:c>
    </x:row>
    <x:row r="1542" ht="30" customHeight="1">
      <x:c r="A1542" s="117" t="str">
        <x:v>Invoice_Sync_Notification</x:v>
      </x:c>
      <x:c r="B1542" s="117" t="str">
        <x:v>300Ro00000FwcE1IAJ</x:v>
      </x:c>
      <x:c r="C1542" s="117" t="str">
        <x:v>301Ro00000t3XJAIA2</x:v>
      </x:c>
      <x:c r="D1542" s="118" t="n">
        <x:v>11</x:v>
      </x:c>
      <x:c r="E1542" s="117" t="str">
        <x:v>Obsolete</x:v>
      </x:c>
      <x:c r="F1542" s="117" t="str">
        <x:v>No</x:v>
      </x:c>
      <x:c r="G1542" s="117" t="str">
        <x:v>No</x:v>
      </x:c>
      <x:c r="H1542" s="117" t="str">
        <x:v>AutoLaunchedFlow</x:v>
      </x:c>
      <x:c r="I1542" s="118" t="n">
        <x:v>61</x:v>
      </x:c>
      <x:c r="J1542" s="117" t="str">
        <x:v>unmanaged</x:v>
      </x:c>
      <x:c r="K1542" s="123" t="b">
        <x:v>0</x:v>
      </x:c>
      <x:c r="L1542" s="117"/>
      <x:c r="M1542" s="118"/>
      <x:c r="N1542" s="120" t="n">
        <x:v>45987.781701388885</x:v>
      </x:c>
      <x:c r="O1542" s="117" t="str">
        <x:v>Steve Dodd</x:v>
      </x:c>
      <x:c r="P1542" s="120" t="n">
        <x:v>45987.78177083333</x:v>
      </x:c>
      <x:c r="Q1542" s="117" t="str">
        <x:v>Steve Dodd</x:v>
      </x:c>
      <x:c r="R1542" s="117" t="str">
        <x:v>Invoice Sync Notification</x:v>
      </x:c>
      <x:c r="S1542" s="119" t="str">
        <x:v>2/25/25 (BW) - Removed the and so that regular invoices do not send a sync email</x:v>
      </x:c>
    </x:row>
    <x:row r="1543" ht="30" customHeight="1">
      <x:c r="A1543" s="117" t="str">
        <x:v>Invoice_Sync_Notification</x:v>
      </x:c>
      <x:c r="B1543" s="117" t="str">
        <x:v>300Ro00000FwcE1IAJ</x:v>
      </x:c>
      <x:c r="C1543" s="117" t="str">
        <x:v>301Ro000014TarhIAC</x:v>
      </x:c>
      <x:c r="D1543" s="118" t="n">
        <x:v>12</x:v>
      </x:c>
      <x:c r="E1543" s="117" t="str">
        <x:v>Active</x:v>
      </x:c>
      <x:c r="F1543" s="117" t="str">
        <x:v>Yes</x:v>
      </x:c>
      <x:c r="G1543" s="117" t="str">
        <x:v>Yes</x:v>
      </x:c>
      <x:c r="H1543" s="117" t="str">
        <x:v>AutoLaunchedFlow</x:v>
      </x:c>
      <x:c r="I1543" s="118" t="n">
        <x:v>61</x:v>
      </x:c>
      <x:c r="J1543" s="117" t="str">
        <x:v>unmanaged</x:v>
      </x:c>
      <x:c r="K1543" s="123" t="b">
        <x:v>0</x:v>
      </x:c>
      <x:c r="L1543" s="117"/>
      <x:c r="M1543" s="118"/>
      <x:c r="N1543" s="120" t="n">
        <x:v>46142.524097222224</x:v>
      </x:c>
      <x:c r="O1543" s="117" t="str">
        <x:v>Sacha Pearce</x:v>
      </x:c>
      <x:c r="P1543" s="120" t="n">
        <x:v>46142.69967592593</x:v>
      </x:c>
      <x:c r="Q1543" s="117" t="str">
        <x:v>Delegate</x:v>
      </x:c>
      <x:c r="R1543" s="117" t="str">
        <x:v>Invoice Sync Notification</x:v>
      </x:c>
      <x:c r="S1543" s="119" t="str">
        <x:v>10/04/2026 - SP - Introducing entry conditions to exclude Invoices where the "Opportunity Entity" is either "Probo-UK" or "Probo-SAS". As these were automatically genereated in USD, we had team members sending invoices in incorrect currencies.</x:v>
      </x:c>
    </x:row>
    <x:row r="1544" ht="30" customHeight="1">
      <x:c r="A1544" s="117" t="str">
        <x:v>Invoice_to_Harvest_Work_Order_Rollups</x:v>
      </x:c>
      <x:c r="B1544" s="117" t="str">
        <x:v>300Ro000008sBV0IAM</x:v>
      </x:c>
      <x:c r="C1544" s="117" t="str">
        <x:v>301Ro00000BWYgAIAX</x:v>
      </x:c>
      <x:c r="D1544" s="118" t="n">
        <x:v>1</x:v>
      </x:c>
      <x:c r="E1544" s="117" t="str">
        <x:v>InvalidDraft</x:v>
      </x:c>
      <x:c r="F1544" s="117" t="str">
        <x:v>No</x:v>
      </x:c>
      <x:c r="G1544" s="117" t="str">
        <x:v>No</x:v>
      </x:c>
      <x:c r="H1544" s="117" t="str">
        <x:v>AutoLaunchedFlow</x:v>
      </x:c>
      <x:c r="I1544" s="118" t="n">
        <x:v>60</x:v>
      </x:c>
      <x:c r="J1544" s="117" t="str">
        <x:v>unmanaged</x:v>
      </x:c>
      <x:c r="K1544" s="123" t="b">
        <x:v>0</x:v>
      </x:c>
      <x:c r="L1544" s="117"/>
      <x:c r="M1544" s="118"/>
      <x:c r="N1544" s="120" t="n">
        <x:v>45406.174259259256</x:v>
      </x:c>
      <x:c r="O1544" s="117" t="str">
        <x:v>Delegate</x:v>
      </x:c>
      <x:c r="P1544" s="120" t="n">
        <x:v>45406.17428240741</x:v>
      </x:c>
      <x:c r="Q1544" s="117" t="str">
        <x:v>Delegate</x:v>
      </x:c>
      <x:c r="R1544" s="117" t="str">
        <x:v>Invoice to Harvest Work Order Rollups</x:v>
      </x:c>
      <x:c r="S1544" s="119"/>
    </x:row>
    <x:row r="1545" ht="30" customHeight="1">
      <x:c r="A1545" s="117" t="str">
        <x:v>Invoice_to_Harvest_Work_Order_Rollups</x:v>
      </x:c>
      <x:c r="B1545" s="117" t="str">
        <x:v>300Ro000008sBV0IAM</x:v>
      </x:c>
      <x:c r="C1545" s="117" t="str">
        <x:v>301Ro00000DFIX1IAP</x:v>
      </x:c>
      <x:c r="D1545" s="118" t="n">
        <x:v>2</x:v>
      </x:c>
      <x:c r="E1545" s="117" t="str">
        <x:v>InvalidDraft</x:v>
      </x:c>
      <x:c r="F1545" s="117" t="str">
        <x:v>No</x:v>
      </x:c>
      <x:c r="G1545" s="117" t="str">
        <x:v>Yes</x:v>
      </x:c>
      <x:c r="H1545" s="117" t="str">
        <x:v>AutoLaunchedFlow</x:v>
      </x:c>
      <x:c r="I1545" s="118" t="n">
        <x:v>60</x:v>
      </x:c>
      <x:c r="J1545" s="117" t="str">
        <x:v>unmanaged</x:v>
      </x:c>
      <x:c r="K1545" s="123" t="b">
        <x:v>0</x:v>
      </x:c>
      <x:c r="L1545" s="117"/>
      <x:c r="M1545" s="118"/>
      <x:c r="N1545" s="120" t="n">
        <x:v>45433.68819444445</x:v>
      </x:c>
      <x:c r="O1545" s="117" t="str">
        <x:v>Delegate</x:v>
      </x:c>
      <x:c r="P1545" s="120" t="n">
        <x:v>45433.68821759259</x:v>
      </x:c>
      <x:c r="Q1545" s="117" t="str">
        <x:v>Delegate</x:v>
      </x:c>
      <x:c r="R1545" s="117" t="str">
        <x:v>Product Item to Harvest Work Order Rollups</x:v>
      </x:c>
      <x:c r="S1545" s="119"/>
    </x:row>
    <x:row r="1546" ht="30" customHeight="1">
      <x:c r="A1546" s="117" t="str">
        <x:v>Invoice_Updates_and_Alerts_Flow</x:v>
      </x:c>
      <x:c r="B1546" s="117" t="str">
        <x:v>3005b000000LHanAAG</x:v>
      </x:c>
      <x:c r="C1546" s="117" t="str">
        <x:v>3015b000000ADcxAAG</x:v>
      </x:c>
      <x:c r="D1546" s="118" t="n">
        <x:v>1</x:v>
      </x:c>
      <x:c r="E1546" s="117" t="str">
        <x:v>Draft</x:v>
      </x:c>
      <x:c r="F1546" s="117" t="str">
        <x:v>No</x:v>
      </x:c>
      <x:c r="G1546" s="117" t="str">
        <x:v>Yes</x:v>
      </x:c>
      <x:c r="H1546" s="117" t="str">
        <x:v>AutoLaunchedFlow</x:v>
      </x:c>
      <x:c r="I1546" s="118" t="n">
        <x:v>56</x:v>
      </x:c>
      <x:c r="J1546" s="117" t="str">
        <x:v>unmanaged</x:v>
      </x:c>
      <x:c r="K1546" s="123" t="b">
        <x:v>0</x:v>
      </x:c>
      <x:c r="L1546" s="117"/>
      <x:c r="M1546" s="118"/>
      <x:c r="N1546" s="120" t="n">
        <x:v>44932.8481712963</x:v>
      </x:c>
      <x:c r="O1546" s="117" t="str">
        <x:v>Jace Gentil</x:v>
      </x:c>
      <x:c r="P1546" s="120" t="n">
        <x:v>44932.84818287037</x:v>
      </x:c>
      <x:c r="Q1546" s="117" t="str">
        <x:v>Jace Gentil</x:v>
      </x:c>
      <x:c r="R1546" s="117" t="str">
        <x:v>Invoice Updates and Alerts Flow</x:v>
      </x:c>
      <x:c r="S1546" s="119"/>
    </x:row>
    <x:row r="1547" ht="30" customHeight="1">
      <x:c r="A1547" s="117" t="str">
        <x:v>IR_Product_Before_Delete_Total_IR_Product_Cost_Roll_Up</x:v>
      </x:c>
      <x:c r="B1547" s="117" t="str">
        <x:v>300Ro00000zKaXGIA0</x:v>
      </x:c>
      <x:c r="C1547" s="117" t="str">
        <x:v>301Ro000017fm2xIAA</x:v>
      </x:c>
      <x:c r="D1547" s="118" t="n">
        <x:v>1</x:v>
      </x:c>
      <x:c r="E1547" s="117" t="str">
        <x:v>Active</x:v>
      </x:c>
      <x:c r="F1547" s="117" t="str">
        <x:v>Yes</x:v>
      </x:c>
      <x:c r="G1547" s="117" t="str">
        <x:v>Yes</x:v>
      </x:c>
      <x:c r="H1547" s="117" t="str">
        <x:v>AutoLaunchedFlow</x:v>
      </x:c>
      <x:c r="I1547" s="118" t="n">
        <x:v>66</x:v>
      </x:c>
      <x:c r="J1547" s="117" t="str">
        <x:v>unmanaged</x:v>
      </x:c>
      <x:c r="K1547" s="123" t="b">
        <x:v>0</x:v>
      </x:c>
      <x:c r="L1547" s="117"/>
      <x:c r="M1547" s="118"/>
      <x:c r="N1547" s="120" t="n">
        <x:v>46178.10122685185</x:v>
      </x:c>
      <x:c r="O1547" s="117" t="str">
        <x:v>Delegate</x:v>
      </x:c>
      <x:c r="P1547" s="120" t="n">
        <x:v>46178.10765046296</x:v>
      </x:c>
      <x:c r="Q1547" s="117" t="str">
        <x:v>Delegate</x:v>
      </x:c>
      <x:c r="R1547" s="117" t="str">
        <x:v>IR Product | Before Delete, Total IR Product Cost Roll Up</x:v>
      </x:c>
      <x:c r="S1547" s="119" t="str">
        <x:v>06/04/26 (GD) – DLRS-replacement: Total_IR_Product_Cost (before delete). Re-sums remaining IR_Product__c.Total_Cost__c onto Item_Receipt__c.Sum_of_IR_Product_Total_Cost__c before an IR Product is deleted. Excludes the record being deleted via Id != $Record.Id. Item_Receipt_Is_Null_Check prevents SOQL when Item_Receipt__c is blank.</x:v>
      </x:c>
    </x:row>
    <x:row r="1548" ht="30" customHeight="1">
      <x:c r="A1548" s="117" t="str">
        <x:v>IR_Product_on_create_Total_IR_Product_Cost_Roll_Up</x:v>
      </x:c>
      <x:c r="B1548" s="117" t="str">
        <x:v>300Ro00000zKaXHIA0</x:v>
      </x:c>
      <x:c r="C1548" s="117" t="str">
        <x:v>301Ro000017fm2yIAA</x:v>
      </x:c>
      <x:c r="D1548" s="118" t="n">
        <x:v>1</x:v>
      </x:c>
      <x:c r="E1548" s="117" t="str">
        <x:v>Active</x:v>
      </x:c>
      <x:c r="F1548" s="117" t="str">
        <x:v>Yes</x:v>
      </x:c>
      <x:c r="G1548" s="117" t="str">
        <x:v>Yes</x:v>
      </x:c>
      <x:c r="H1548" s="117" t="str">
        <x:v>AutoLaunchedFlow</x:v>
      </x:c>
      <x:c r="I1548" s="118" t="n">
        <x:v>66</x:v>
      </x:c>
      <x:c r="J1548" s="117" t="str">
        <x:v>unmanaged</x:v>
      </x:c>
      <x:c r="K1548" s="123" t="b">
        <x:v>0</x:v>
      </x:c>
      <x:c r="L1548" s="117"/>
      <x:c r="M1548" s="118"/>
      <x:c r="N1548" s="120" t="n">
        <x:v>46178.10128472222</x:v>
      </x:c>
      <x:c r="O1548" s="117" t="str">
        <x:v>Delegate</x:v>
      </x:c>
      <x:c r="P1548" s="120" t="n">
        <x:v>46178.107303240744</x:v>
      </x:c>
      <x:c r="Q1548" s="117" t="str">
        <x:v>Delegate</x:v>
      </x:c>
      <x:c r="R1548" s="117" t="str">
        <x:v>IR Product | On Create, Total IR Product Cost Roll Up</x:v>
      </x:c>
      <x:c r="S1548" s="119" t="str">
        <x:v>06/04/26 (GD) – DLRS-replacement: Total_IR_Product_Cost (on create). Sync path recalculates Item_Receipt__c.Sum_of_IR_Product_Total_Cost__c immediately in the same transaction. Async path recalculates after commit for bulk accuracy.</x:v>
      </x:c>
    </x:row>
    <x:row r="1549" ht="30" customHeight="1">
      <x:c r="A1549" s="117" t="str">
        <x:v>IR_Product_on_update_Total_IR_Product_Cost_Roll_Up</x:v>
      </x:c>
      <x:c r="B1549" s="117" t="str">
        <x:v>300Ro00000zKaXIIA0</x:v>
      </x:c>
      <x:c r="C1549" s="117" t="str">
        <x:v>301Ro000017fm2zIAA</x:v>
      </x:c>
      <x:c r="D1549" s="118" t="n">
        <x:v>1</x:v>
      </x:c>
      <x:c r="E1549" s="117" t="str">
        <x:v>Active</x:v>
      </x:c>
      <x:c r="F1549" s="117" t="str">
        <x:v>Yes</x:v>
      </x:c>
      <x:c r="G1549" s="117" t="str">
        <x:v>Yes</x:v>
      </x:c>
      <x:c r="H1549" s="117" t="str">
        <x:v>AutoLaunchedFlow</x:v>
      </x:c>
      <x:c r="I1549" s="118" t="n">
        <x:v>66</x:v>
      </x:c>
      <x:c r="J1549" s="117" t="str">
        <x:v>unmanaged</x:v>
      </x:c>
      <x:c r="K1549" s="123" t="b">
        <x:v>0</x:v>
      </x:c>
      <x:c r="L1549" s="117"/>
      <x:c r="M1549" s="118"/>
      <x:c r="N1549" s="120" t="n">
        <x:v>46178.10128472222</x:v>
      </x:c>
      <x:c r="O1549" s="117" t="str">
        <x:v>Delegate</x:v>
      </x:c>
      <x:c r="P1549" s="120" t="n">
        <x:v>46178.10743055555</x:v>
      </x:c>
      <x:c r="Q1549" s="117" t="str">
        <x:v>Delegate</x:v>
      </x:c>
      <x:c r="R1549" s="117" t="str">
        <x:v>IR Product | On Update, Total IR Product Cost Roll Up</x:v>
      </x:c>
      <x:c r="S1549" s="119" t="str">
        <x:v>06/04/26 (GD) – DLRS-replacement: Total_IR_Product_Cost (on update). Sync path uses $Record__Prior to recalculate the old parent when Item_Receipt__c is reparented. Async path recalculates the current parent on any qualifying change. Known gap: if Item_Receipt__c is cleared to null, the old parent is not recalculated.</x:v>
      </x:c>
    </x:row>
    <x:row r="1550" ht="30" customHeight="1">
      <x:c r="A1550" s="117" t="str">
        <x:v>IR_Submit_to_Accounting</x:v>
      </x:c>
      <x:c r="B1550" s="117" t="str">
        <x:v>300Ro00000NXcinIAD</x:v>
      </x:c>
      <x:c r="C1550" s="117" t="str">
        <x:v>301Ro00000Pw7KTIAZ</x:v>
      </x:c>
      <x:c r="D1550" s="118" t="n">
        <x:v>1</x:v>
      </x:c>
      <x:c r="E1550" s="117" t="str">
        <x:v>Obsolete</x:v>
      </x:c>
      <x:c r="F1550" s="117" t="str">
        <x:v>No</x:v>
      </x:c>
      <x:c r="G1550" s="117" t="str">
        <x:v>No</x:v>
      </x:c>
      <x:c r="H1550" s="117" t="str">
        <x:v>Flow</x:v>
      </x:c>
      <x:c r="I1550" s="118" t="n">
        <x:v>61</x:v>
      </x:c>
      <x:c r="J1550" s="117" t="str">
        <x:v>unmanaged</x:v>
      </x:c>
      <x:c r="K1550" s="123" t="b">
        <x:v>0</x:v>
      </x:c>
      <x:c r="L1550" s="117"/>
      <x:c r="M1550" s="118"/>
      <x:c r="N1550" s="120" t="n">
        <x:v>45630.785949074074</x:v>
      </x:c>
      <x:c r="O1550" s="117" t="str">
        <x:v>Delegate</x:v>
      </x:c>
      <x:c r="P1550" s="120" t="n">
        <x:v>45630.787627314814</x:v>
      </x:c>
      <x:c r="Q1550" s="117" t="str">
        <x:v>Delegate</x:v>
      </x:c>
      <x:c r="R1550" s="117" t="str">
        <x:v>IR Submit to Accounting</x:v>
      </x:c>
      <x:c r="S1550" s="119"/>
    </x:row>
    <x:row r="1551" ht="30" customHeight="1">
      <x:c r="A1551" s="117" t="str">
        <x:v>IR_Submit_to_Accounting</x:v>
      </x:c>
      <x:c r="B1551" s="117" t="str">
        <x:v>300Ro00000NXcinIAD</x:v>
      </x:c>
      <x:c r="C1551" s="117" t="str">
        <x:v>301Ro00000PzQp0IAF</x:v>
      </x:c>
      <x:c r="D1551" s="118" t="n">
        <x:v>2</x:v>
      </x:c>
      <x:c r="E1551" s="117" t="str">
        <x:v>Obsolete</x:v>
      </x:c>
      <x:c r="F1551" s="117" t="str">
        <x:v>No</x:v>
      </x:c>
      <x:c r="G1551" s="117" t="str">
        <x:v>No</x:v>
      </x:c>
      <x:c r="H1551" s="117" t="str">
        <x:v>Flow</x:v>
      </x:c>
      <x:c r="I1551" s="118" t="n">
        <x:v>61</x:v>
      </x:c>
      <x:c r="J1551" s="117" t="str">
        <x:v>unmanaged</x:v>
      </x:c>
      <x:c r="K1551" s="123" t="b">
        <x:v>0</x:v>
      </x:c>
      <x:c r="L1551" s="117"/>
      <x:c r="M1551" s="118"/>
      <x:c r="N1551" s="120" t="n">
        <x:v>45631.64571759259</x:v>
      </x:c>
      <x:c r="O1551" s="117" t="str">
        <x:v>Delegate</x:v>
      </x:c>
      <x:c r="P1551" s="120" t="n">
        <x:v>45631.64577546297</x:v>
      </x:c>
      <x:c r="Q1551" s="117" t="str">
        <x:v>Delegate</x:v>
      </x:c>
      <x:c r="R1551" s="117" t="str">
        <x:v>IR Submit to Accounting</x:v>
      </x:c>
      <x:c r="S1551" s="119" t="str">
        <x:v>AM: Added automation when submitting to accounting to also mark field as TRUE</x:v>
      </x:c>
    </x:row>
    <x:row r="1552" ht="30" customHeight="1">
      <x:c r="A1552" s="117" t="str">
        <x:v>IR_Submit_to_Accounting</x:v>
      </x:c>
      <x:c r="B1552" s="117" t="str">
        <x:v>300Ro00000NXcinIAD</x:v>
      </x:c>
      <x:c r="C1552" s="117" t="str">
        <x:v>301Ro00000Pzvr0IAB</x:v>
      </x:c>
      <x:c r="D1552" s="118" t="n">
        <x:v>3</x:v>
      </x:c>
      <x:c r="E1552" s="117" t="str">
        <x:v>Obsolete</x:v>
      </x:c>
      <x:c r="F1552" s="117" t="str">
        <x:v>No</x:v>
      </x:c>
      <x:c r="G1552" s="117" t="str">
        <x:v>No</x:v>
      </x:c>
      <x:c r="H1552" s="117" t="str">
        <x:v>Flow</x:v>
      </x:c>
      <x:c r="I1552" s="118" t="n">
        <x:v>61</x:v>
      </x:c>
      <x:c r="J1552" s="117" t="str">
        <x:v>unmanaged</x:v>
      </x:c>
      <x:c r="K1552" s="123" t="b">
        <x:v>0</x:v>
      </x:c>
      <x:c r="L1552" s="117"/>
      <x:c r="M1552" s="118"/>
      <x:c r="N1552" s="120" t="n">
        <x:v>45631.678391203706</x:v>
      </x:c>
      <x:c r="O1552" s="117" t="str">
        <x:v>Delegate</x:v>
      </x:c>
      <x:c r="P1552" s="120" t="n">
        <x:v>45631.678449074076</x:v>
      </x:c>
      <x:c r="Q1552" s="117" t="str">
        <x:v>Delegate</x:v>
      </x:c>
      <x:c r="R1552" s="117" t="str">
        <x:v>IR Submit to Accounting</x:v>
      </x:c>
      <x:c r="S1552" s="119" t="str">
        <x:v>AM: Moved Submit to Accounting to earlier in flow</x:v>
      </x:c>
    </x:row>
    <x:row r="1553" ht="30" customHeight="1">
      <x:c r="A1553" s="117" t="str">
        <x:v>IR_Submit_to_Accounting</x:v>
      </x:c>
      <x:c r="B1553" s="117" t="str">
        <x:v>300Ro00000NXcinIAD</x:v>
      </x:c>
      <x:c r="C1553" s="117" t="str">
        <x:v>301Ro00000PzcJtIAJ</x:v>
      </x:c>
      <x:c r="D1553" s="118" t="n">
        <x:v>4</x:v>
      </x:c>
      <x:c r="E1553" s="117" t="str">
        <x:v>Obsolete</x:v>
      </x:c>
      <x:c r="F1553" s="117" t="str">
        <x:v>No</x:v>
      </x:c>
      <x:c r="G1553" s="117" t="str">
        <x:v>No</x:v>
      </x:c>
      <x:c r="H1553" s="117" t="str">
        <x:v>Flow</x:v>
      </x:c>
      <x:c r="I1553" s="118" t="n">
        <x:v>61</x:v>
      </x:c>
      <x:c r="J1553" s="117" t="str">
        <x:v>unmanaged</x:v>
      </x:c>
      <x:c r="K1553" s="123" t="b">
        <x:v>0</x:v>
      </x:c>
      <x:c r="L1553" s="117"/>
      <x:c r="M1553" s="118"/>
      <x:c r="N1553" s="120" t="n">
        <x:v>45631.68483796297</x:v>
      </x:c>
      <x:c r="O1553" s="117" t="str">
        <x:v>Delegate</x:v>
      </x:c>
      <x:c r="P1553" s="120" t="n">
        <x:v>45638.64855324074</x:v>
      </x:c>
      <x:c r="Q1553" s="117" t="str">
        <x:v>Delegate</x:v>
      </x:c>
      <x:c r="R1553" s="117" t="str">
        <x:v>IR Submit to Accounting</x:v>
      </x:c>
      <x:c r="S1553" s="119" t="str">
        <x:v>AM: Added Submitted notification</x:v>
      </x:c>
    </x:row>
    <x:row r="1554" ht="30" customHeight="1">
      <x:c r="A1554" s="117" t="str">
        <x:v>IR_Submit_to_Accounting</x:v>
      </x:c>
      <x:c r="B1554" s="117" t="str">
        <x:v>300Ro00000NXcinIAD</x:v>
      </x:c>
      <x:c r="C1554" s="117" t="str">
        <x:v>301Ro00000QObdtIAD</x:v>
      </x:c>
      <x:c r="D1554" s="118" t="n">
        <x:v>5</x:v>
      </x:c>
      <x:c r="E1554" s="117" t="str">
        <x:v>Active</x:v>
      </x:c>
      <x:c r="F1554" s="117" t="str">
        <x:v>Yes</x:v>
      </x:c>
      <x:c r="G1554" s="117" t="str">
        <x:v>Yes</x:v>
      </x:c>
      <x:c r="H1554" s="117" t="str">
        <x:v>Flow</x:v>
      </x:c>
      <x:c r="I1554" s="118" t="n">
        <x:v>61</x:v>
      </x:c>
      <x:c r="J1554" s="117" t="str">
        <x:v>unmanaged</x:v>
      </x:c>
      <x:c r="K1554" s="123" t="b">
        <x:v>0</x:v>
      </x:c>
      <x:c r="L1554" s="117"/>
      <x:c r="M1554" s="118"/>
      <x:c r="N1554" s="120" t="n">
        <x:v>45638.645324074074</x:v>
      </x:c>
      <x:c r="O1554" s="117" t="str">
        <x:v>Delegate</x:v>
      </x:c>
      <x:c r="P1554" s="120" t="n">
        <x:v>45638.6559375</x:v>
      </x:c>
      <x:c r="Q1554" s="117" t="str">
        <x:v>Delegate</x:v>
      </x:c>
      <x:c r="R1554" s="117" t="str">
        <x:v>IR Submit to Accounting</x:v>
      </x:c>
      <x:c r="S1554" s="119" t="str">
        <x:v>AM: Removed Approval Process and Added sync directly to Intacct.</x:v>
      </x:c>
    </x:row>
    <x:row r="1555" ht="30" customHeight="1">
      <x:c r="A1555" s="117" t="str">
        <x:v>Iradimed_Infusion_Pump_Checklist</x:v>
      </x:c>
      <x:c r="B1555" s="117" t="str">
        <x:v>300Ro00000Pz0knIAB</x:v>
      </x:c>
      <x:c r="C1555" s="117" t="str">
        <x:v>301Ro00000Sd0UnIAJ</x:v>
      </x:c>
      <x:c r="D1555" s="118" t="n">
        <x:v>1</x:v>
      </x:c>
      <x:c r="E1555" s="117" t="str">
        <x:v>Obsolete</x:v>
      </x:c>
      <x:c r="F1555" s="117" t="str">
        <x:v>No</x:v>
      </x:c>
      <x:c r="G1555" s="117" t="str">
        <x:v>No</x:v>
      </x:c>
      <x:c r="H1555" s="117" t="str">
        <x:v>FieldServiceMobile</x:v>
      </x:c>
      <x:c r="I1555" s="118"/>
      <x:c r="J1555" s="117" t="str">
        <x:v>unmanaged</x:v>
      </x:c>
      <x:c r="K1555" s="123" t="b">
        <x:v>0</x:v>
      </x:c>
      <x:c r="L1555" s="117"/>
      <x:c r="M1555" s="118"/>
      <x:c r="N1555" s="120" t="n">
        <x:v>45680.21616898148</x:v>
      </x:c>
      <x:c r="O1555" s="117" t="str">
        <x:v>Delegate</x:v>
      </x:c>
      <x:c r="P1555" s="120" t="n">
        <x:v>45680.21619212963</x:v>
      </x:c>
      <x:c r="Q1555" s="117" t="str">
        <x:v>Delegate</x:v>
      </x:c>
      <x:c r="R1555" s="117" t="str">
        <x:v>Iradimed Infusion Pump Checklist</x:v>
      </x:c>
      <x:c r="S1555" s="119" t="str">
        <x:v>checklistoutput</x:v>
      </x:c>
    </x:row>
    <x:row r="1556" ht="30" customHeight="1">
      <x:c r="A1556" s="117" t="str">
        <x:v>Iradimed_Infusion_Pump_Checklist</x:v>
      </x:c>
      <x:c r="B1556" s="117" t="str">
        <x:v>300Ro00000Pz0knIAB</x:v>
      </x:c>
      <x:c r="C1556" s="117" t="str">
        <x:v>301Ro00000SpOwLIAV</x:v>
      </x:c>
      <x:c r="D1556" s="118" t="n">
        <x:v>2</x:v>
      </x:c>
      <x:c r="E1556" s="117" t="str">
        <x:v>Obsolete</x:v>
      </x:c>
      <x:c r="F1556" s="117" t="str">
        <x:v>No</x:v>
      </x:c>
      <x:c r="G1556" s="117" t="str">
        <x:v>No</x:v>
      </x:c>
      <x:c r="H1556" s="117" t="str">
        <x:v>FieldServiceMobile</x:v>
      </x:c>
      <x:c r="I1556" s="118"/>
      <x:c r="J1556" s="117" t="str">
        <x:v>unmanaged</x:v>
      </x:c>
      <x:c r="K1556" s="123" t="b">
        <x:v>0</x:v>
      </x:c>
      <x:c r="L1556" s="117"/>
      <x:c r="M1556" s="118"/>
      <x:c r="N1556" s="120" t="n">
        <x:v>45684.135925925926</x:v>
      </x:c>
      <x:c r="O1556" s="117" t="str">
        <x:v>Delegate</x:v>
      </x:c>
      <x:c r="P1556" s="120" t="n">
        <x:v>45684.135925925926</x:v>
      </x:c>
      <x:c r="Q1556" s="117" t="str">
        <x:v>Delegate</x:v>
      </x:c>
      <x:c r="R1556" s="117" t="str">
        <x:v>Iradimed Infusion Pump Checklist</x:v>
      </x:c>
      <x:c r="S1556" s="119" t="str">
        <x:v>01/26/2025 (BW) - Version to be used for testing</x:v>
      </x:c>
    </x:row>
    <x:row r="1557" ht="30" customHeight="1">
      <x:c r="A1557" s="117" t="str">
        <x:v>Iradimed_Infusion_Pump_Checklist</x:v>
      </x:c>
      <x:c r="B1557" s="117" t="str">
        <x:v>300Ro00000Pz0knIAB</x:v>
      </x:c>
      <x:c r="C1557" s="117" t="str">
        <x:v>301Ro00000SzLlrIAF</x:v>
      </x:c>
      <x:c r="D1557" s="118" t="n">
        <x:v>3</x:v>
      </x:c>
      <x:c r="E1557" s="117" t="str">
        <x:v>Obsolete</x:v>
      </x:c>
      <x:c r="F1557" s="117" t="str">
        <x:v>No</x:v>
      </x:c>
      <x:c r="G1557" s="117" t="str">
        <x:v>No</x:v>
      </x:c>
      <x:c r="H1557" s="117" t="str">
        <x:v>FieldServiceMobile</x:v>
      </x:c>
      <x:c r="I1557" s="118"/>
      <x:c r="J1557" s="117" t="str">
        <x:v>unmanaged</x:v>
      </x:c>
      <x:c r="K1557" s="123" t="b">
        <x:v>0</x:v>
      </x:c>
      <x:c r="L1557" s="117"/>
      <x:c r="M1557" s="118"/>
      <x:c r="N1557" s="120" t="n">
        <x:v>45686.50329861111</x:v>
      </x:c>
      <x:c r="O1557" s="117" t="str">
        <x:v>Delegate</x:v>
      </x:c>
      <x:c r="P1557" s="120" t="n">
        <x:v>45686.503969907404</x:v>
      </x:c>
      <x:c r="Q1557" s="117" t="str">
        <x:v>Delegate</x:v>
      </x:c>
      <x:c r="R1557" s="117" t="str">
        <x:v>Iradimed Infusion Pump Checklist</x:v>
      </x:c>
      <x:c r="S1557" s="119" t="str">
        <x:v>01/29/2025 (BW) - Updated required fields</x:v>
      </x:c>
    </x:row>
    <x:row r="1558" ht="30" customHeight="1">
      <x:c r="A1558" s="117" t="str">
        <x:v>Iradimed_Infusion_Pump_Checklist</x:v>
      </x:c>
      <x:c r="B1558" s="117" t="str">
        <x:v>300Ro00000Pz0knIAB</x:v>
      </x:c>
      <x:c r="C1558" s="117" t="str">
        <x:v>301Ro00000Wlj8wIAB</x:v>
      </x:c>
      <x:c r="D1558" s="118" t="n">
        <x:v>4</x:v>
      </x:c>
      <x:c r="E1558" s="117" t="str">
        <x:v>Active</x:v>
      </x:c>
      <x:c r="F1558" s="117" t="str">
        <x:v>Yes</x:v>
      </x:c>
      <x:c r="G1558" s="117" t="str">
        <x:v>Yes</x:v>
      </x:c>
      <x:c r="H1558" s="117" t="str">
        <x:v>FieldServiceMobile</x:v>
      </x:c>
      <x:c r="I1558" s="118"/>
      <x:c r="J1558" s="117" t="str">
        <x:v>unmanaged</x:v>
      </x:c>
      <x:c r="K1558" s="123" t="b">
        <x:v>0</x:v>
      </x:c>
      <x:c r="L1558" s="117"/>
      <x:c r="M1558" s="118"/>
      <x:c r="N1558" s="120" t="n">
        <x:v>45750.52375</x:v>
      </x:c>
      <x:c r="O1558" s="117" t="str">
        <x:v>Delegate</x:v>
      </x:c>
      <x:c r="P1558" s="120" t="n">
        <x:v>45750.524097222224</x:v>
      </x:c>
      <x:c r="Q1558" s="117" t="str">
        <x:v>Delegate</x:v>
      </x:c>
      <x:c r="R1558" s="117" t="str">
        <x:v>Iradimed Infusion Pump Checklist</x:v>
      </x:c>
      <x:c r="S1558" s="119" t="str">
        <x:v>04/03/2025 (BW) - Updating to utilize newer functionality</x:v>
      </x:c>
    </x:row>
    <x:row r="1559" ht="30" customHeight="1">
      <x:c r="A1559" s="117" t="str">
        <x:v>Iradimed_Patient_Monitor_Checklist</x:v>
      </x:c>
      <x:c r="B1559" s="117" t="str">
        <x:v>300Ro00000Pz0koIAB</x:v>
      </x:c>
      <x:c r="C1559" s="117" t="str">
        <x:v>301Ro00000Sd0UoIAJ</x:v>
      </x:c>
      <x:c r="D1559" s="118" t="n">
        <x:v>1</x:v>
      </x:c>
      <x:c r="E1559" s="117" t="str">
        <x:v>Obsolete</x:v>
      </x:c>
      <x:c r="F1559" s="117" t="str">
        <x:v>No</x:v>
      </x:c>
      <x:c r="G1559" s="117" t="str">
        <x:v>No</x:v>
      </x:c>
      <x:c r="H1559" s="117" t="str">
        <x:v>FieldServiceMobile</x:v>
      </x:c>
      <x:c r="I1559" s="118"/>
      <x:c r="J1559" s="117" t="str">
        <x:v>unmanaged</x:v>
      </x:c>
      <x:c r="K1559" s="123" t="b">
        <x:v>0</x:v>
      </x:c>
      <x:c r="L1559" s="117"/>
      <x:c r="M1559" s="118"/>
      <x:c r="N1559" s="120" t="n">
        <x:v>45680.216215277775</x:v>
      </x:c>
      <x:c r="O1559" s="117" t="str">
        <x:v>Delegate</x:v>
      </x:c>
      <x:c r="P1559" s="120" t="n">
        <x:v>45680.21623842593</x:v>
      </x:c>
      <x:c r="Q1559" s="117" t="str">
        <x:v>Delegate</x:v>
      </x:c>
      <x:c r="R1559" s="117" t="str">
        <x:v>Iradimed Patient Monitor Checklist</x:v>
      </x:c>
      <x:c r="S1559" s="119" t="str">
        <x:v>checklistoutput</x:v>
      </x:c>
    </x:row>
    <x:row r="1560" ht="30" customHeight="1">
      <x:c r="A1560" s="117" t="str">
        <x:v>Iradimed_Patient_Monitor_Checklist</x:v>
      </x:c>
      <x:c r="B1560" s="117" t="str">
        <x:v>300Ro00000Pz0koIAB</x:v>
      </x:c>
      <x:c r="C1560" s="117" t="str">
        <x:v>301Ro00000SpOwMIAV</x:v>
      </x:c>
      <x:c r="D1560" s="118" t="n">
        <x:v>2</x:v>
      </x:c>
      <x:c r="E1560" s="117" t="str">
        <x:v>Obsolete</x:v>
      </x:c>
      <x:c r="F1560" s="117" t="str">
        <x:v>No</x:v>
      </x:c>
      <x:c r="G1560" s="117" t="str">
        <x:v>No</x:v>
      </x:c>
      <x:c r="H1560" s="117" t="str">
        <x:v>FieldServiceMobile</x:v>
      </x:c>
      <x:c r="I1560" s="118"/>
      <x:c r="J1560" s="117" t="str">
        <x:v>unmanaged</x:v>
      </x:c>
      <x:c r="K1560" s="123" t="b">
        <x:v>0</x:v>
      </x:c>
      <x:c r="L1560" s="117"/>
      <x:c r="M1560" s="118"/>
      <x:c r="N1560" s="120" t="n">
        <x:v>45684.13596064815</x:v>
      </x:c>
      <x:c r="O1560" s="117" t="str">
        <x:v>Delegate</x:v>
      </x:c>
      <x:c r="P1560" s="120" t="n">
        <x:v>45684.13597222222</x:v>
      </x:c>
      <x:c r="Q1560" s="117" t="str">
        <x:v>Delegate</x:v>
      </x:c>
      <x:c r="R1560" s="117" t="str">
        <x:v>Iradimed Patient Monitor Checklist</x:v>
      </x:c>
      <x:c r="S1560" s="119" t="str">
        <x:v>checklistoutput</x:v>
      </x:c>
    </x:row>
    <x:row r="1561" ht="30" customHeight="1">
      <x:c r="A1561" s="117" t="str">
        <x:v>Iradimed_Patient_Monitor_Checklist</x:v>
      </x:c>
      <x:c r="B1561" s="117" t="str">
        <x:v>300Ro00000Pz0koIAB</x:v>
      </x:c>
      <x:c r="C1561" s="117" t="str">
        <x:v>301Ro00000SzQThIAN</x:v>
      </x:c>
      <x:c r="D1561" s="118" t="n">
        <x:v>3</x:v>
      </x:c>
      <x:c r="E1561" s="117" t="str">
        <x:v>Obsolete</x:v>
      </x:c>
      <x:c r="F1561" s="117" t="str">
        <x:v>No</x:v>
      </x:c>
      <x:c r="G1561" s="117" t="str">
        <x:v>No</x:v>
      </x:c>
      <x:c r="H1561" s="117" t="str">
        <x:v>FieldServiceMobile</x:v>
      </x:c>
      <x:c r="I1561" s="118"/>
      <x:c r="J1561" s="117" t="str">
        <x:v>unmanaged</x:v>
      </x:c>
      <x:c r="K1561" s="123" t="b">
        <x:v>0</x:v>
      </x:c>
      <x:c r="L1561" s="117"/>
      <x:c r="M1561" s="118"/>
      <x:c r="N1561" s="120" t="n">
        <x:v>45686.502592592595</x:v>
      </x:c>
      <x:c r="O1561" s="117" t="str">
        <x:v>Delegate</x:v>
      </x:c>
      <x:c r="P1561" s="120" t="n">
        <x:v>45686.50266203703</x:v>
      </x:c>
      <x:c r="Q1561" s="117" t="str">
        <x:v>Delegate</x:v>
      </x:c>
      <x:c r="R1561" s="117" t="str">
        <x:v>Iradimed Patient Monitor Checklist</x:v>
      </x:c>
      <x:c r="S1561" s="119" t="str">
        <x:v>01/29/2025 (BW) - Updated required fields</x:v>
      </x:c>
    </x:row>
    <x:row r="1562" ht="30" customHeight="1">
      <x:c r="A1562" s="117" t="str">
        <x:v>Iradimed_Patient_Monitor_Checklist</x:v>
      </x:c>
      <x:c r="B1562" s="117" t="str">
        <x:v>300Ro00000Pz0koIAB</x:v>
      </x:c>
      <x:c r="C1562" s="117" t="str">
        <x:v>301Ro00000WlUIPIA3</x:v>
      </x:c>
      <x:c r="D1562" s="118" t="n">
        <x:v>4</x:v>
      </x:c>
      <x:c r="E1562" s="117" t="str">
        <x:v>Active</x:v>
      </x:c>
      <x:c r="F1562" s="117" t="str">
        <x:v>Yes</x:v>
      </x:c>
      <x:c r="G1562" s="117" t="str">
        <x:v>Yes</x:v>
      </x:c>
      <x:c r="H1562" s="117" t="str">
        <x:v>FieldServiceMobile</x:v>
      </x:c>
      <x:c r="I1562" s="118"/>
      <x:c r="J1562" s="117" t="str">
        <x:v>unmanaged</x:v>
      </x:c>
      <x:c r="K1562" s="123" t="b">
        <x:v>0</x:v>
      </x:c>
      <x:c r="L1562" s="117"/>
      <x:c r="M1562" s="118"/>
      <x:c r="N1562" s="120" t="n">
        <x:v>45750.545277777775</x:v>
      </x:c>
      <x:c r="O1562" s="117" t="str">
        <x:v>Delegate</x:v>
      </x:c>
      <x:c r="P1562" s="120" t="n">
        <x:v>45750.545752314814</x:v>
      </x:c>
      <x:c r="Q1562" s="117" t="str">
        <x:v>Delegate</x:v>
      </x:c>
      <x:c r="R1562" s="117" t="str">
        <x:v>Iradimed Patient Monitor Checklist</x:v>
      </x:c>
      <x:c r="S1562" s="119" t="str">
        <x:v>04/03/2025 (BW) - Updated to use the newer method of checksheet management</x:v>
      </x:c>
    </x:row>
    <x:row r="1563" ht="30" customHeight="1">
      <x:c r="A1563" s="117" t="str">
        <x:v>Item_Receipt_Automations</x:v>
      </x:c>
      <x:c r="B1563" s="117" t="str">
        <x:v>3005b000000LI3kAAG</x:v>
      </x:c>
      <x:c r="C1563" s="117" t="str">
        <x:v>3015b000000AGfVAAW</x:v>
      </x:c>
      <x:c r="D1563" s="118" t="n">
        <x:v>1</x:v>
      </x:c>
      <x:c r="E1563" s="117" t="str">
        <x:v>Obsolete</x:v>
      </x:c>
      <x:c r="F1563" s="117" t="str">
        <x:v>No</x:v>
      </x:c>
      <x:c r="G1563" s="117" t="str">
        <x:v>No</x:v>
      </x:c>
      <x:c r="H1563" s="117" t="str">
        <x:v>AutoLaunchedFlow</x:v>
      </x:c>
      <x:c r="I1563" s="118" t="n">
        <x:v>57</x:v>
      </x:c>
      <x:c r="J1563" s="117" t="str">
        <x:v>unmanaged</x:v>
      </x:c>
      <x:c r="K1563" s="123" t="b">
        <x:v>0</x:v>
      </x:c>
      <x:c r="L1563" s="117"/>
      <x:c r="M1563" s="118"/>
      <x:c r="N1563" s="120" t="n">
        <x:v>44972.702361111114</x:v>
      </x:c>
      <x:c r="O1563" s="117" t="str">
        <x:v>Delegate</x:v>
      </x:c>
      <x:c r="P1563" s="120" t="n">
        <x:v>44972.70394675926</x:v>
      </x:c>
      <x:c r="Q1563" s="117" t="str">
        <x:v>Delegate</x:v>
      </x:c>
      <x:c r="R1563" s="117" t="str">
        <x:v>Item Receipt Automations</x:v>
      </x:c>
      <x:c r="S1563" s="119"/>
    </x:row>
    <x:row r="1564" ht="30" customHeight="1">
      <x:c r="A1564" s="117" t="str">
        <x:v>Item_Receipt_Automations</x:v>
      </x:c>
      <x:c r="B1564" s="117" t="str">
        <x:v>3005b000000LI3kAAG</x:v>
      </x:c>
      <x:c r="C1564" s="117" t="str">
        <x:v>301Ro00000ETpvAIAT</x:v>
      </x:c>
      <x:c r="D1564" s="118" t="n">
        <x:v>2</x:v>
      </x:c>
      <x:c r="E1564" s="117" t="str">
        <x:v>Obsolete</x:v>
      </x:c>
      <x:c r="F1564" s="117" t="str">
        <x:v>No</x:v>
      </x:c>
      <x:c r="G1564" s="117" t="str">
        <x:v>No</x:v>
      </x:c>
      <x:c r="H1564" s="117" t="str">
        <x:v>AutoLaunchedFlow</x:v>
      </x:c>
      <x:c r="I1564" s="118" t="n">
        <x:v>57</x:v>
      </x:c>
      <x:c r="J1564" s="117" t="str">
        <x:v>unmanaged</x:v>
      </x:c>
      <x:c r="K1564" s="123" t="b">
        <x:v>0</x:v>
      </x:c>
      <x:c r="L1564" s="117"/>
      <x:c r="M1564" s="118"/>
      <x:c r="N1564" s="120" t="n">
        <x:v>45453.013969907406</x:v>
      </x:c>
      <x:c r="O1564" s="117" t="str">
        <x:v>Jace Gentil</x:v>
      </x:c>
      <x:c r="P1564" s="120" t="n">
        <x:v>45453.01403935185</x:v>
      </x:c>
      <x:c r="Q1564" s="117" t="str">
        <x:v>Jace Gentil</x:v>
      </x:c>
      <x:c r="R1564" s="117" t="str">
        <x:v>Item Receipt Automations</x:v>
      </x:c>
      <x:c r="S1564" s="119"/>
    </x:row>
    <x:row r="1565" ht="30" customHeight="1">
      <x:c r="A1565" s="117" t="str">
        <x:v>Item_Receipt_Automations</x:v>
      </x:c>
      <x:c r="B1565" s="117" t="str">
        <x:v>3005b000000LI3kAAG</x:v>
      </x:c>
      <x:c r="C1565" s="117" t="str">
        <x:v>301Ro00000ETw2BIAT</x:v>
      </x:c>
      <x:c r="D1565" s="118" t="n">
        <x:v>3</x:v>
      </x:c>
      <x:c r="E1565" s="117" t="str">
        <x:v>Obsolete</x:v>
      </x:c>
      <x:c r="F1565" s="117" t="str">
        <x:v>No</x:v>
      </x:c>
      <x:c r="G1565" s="117" t="str">
        <x:v>No</x:v>
      </x:c>
      <x:c r="H1565" s="117" t="str">
        <x:v>AutoLaunchedFlow</x:v>
      </x:c>
      <x:c r="I1565" s="118" t="n">
        <x:v>57</x:v>
      </x:c>
      <x:c r="J1565" s="117" t="str">
        <x:v>unmanaged</x:v>
      </x:c>
      <x:c r="K1565" s="123" t="b">
        <x:v>0</x:v>
      </x:c>
      <x:c r="L1565" s="117"/>
      <x:c r="M1565" s="118"/>
      <x:c r="N1565" s="120" t="n">
        <x:v>45453.045</x:v>
      </x:c>
      <x:c r="O1565" s="117" t="str">
        <x:v>Jace Gentil</x:v>
      </x:c>
      <x:c r="P1565" s="120" t="n">
        <x:v>45453.045798611114</x:v>
      </x:c>
      <x:c r="Q1565" s="117" t="str">
        <x:v>Jace Gentil</x:v>
      </x:c>
      <x:c r="R1565" s="117" t="str">
        <x:v>Item Receipt Automations</x:v>
      </x:c>
      <x:c r="S1565" s="119"/>
    </x:row>
    <x:row r="1566" ht="30" customHeight="1">
      <x:c r="A1566" s="117" t="str">
        <x:v>Item_Receipt_Automations</x:v>
      </x:c>
      <x:c r="B1566" s="117" t="str">
        <x:v>3005b000000LI3kAAG</x:v>
      </x:c>
      <x:c r="C1566" s="117" t="str">
        <x:v>301Ro00000Qsiq3IAB</x:v>
      </x:c>
      <x:c r="D1566" s="118" t="n">
        <x:v>4</x:v>
      </x:c>
      <x:c r="E1566" s="117" t="str">
        <x:v>Draft</x:v>
      </x:c>
      <x:c r="F1566" s="117" t="str">
        <x:v>No</x:v>
      </x:c>
      <x:c r="G1566" s="117" t="str">
        <x:v>No</x:v>
      </x:c>
      <x:c r="H1566" s="117" t="str">
        <x:v>AutoLaunchedFlow</x:v>
      </x:c>
      <x:c r="I1566" s="118" t="n">
        <x:v>57</x:v>
      </x:c>
      <x:c r="J1566" s="117" t="str">
        <x:v>unmanaged</x:v>
      </x:c>
      <x:c r="K1566" s="123" t="b">
        <x:v>0</x:v>
      </x:c>
      <x:c r="L1566" s="117"/>
      <x:c r="M1566" s="118"/>
      <x:c r="N1566" s="120" t="n">
        <x:v>45646.65553240741</x:v>
      </x:c>
      <x:c r="O1566" s="117" t="str">
        <x:v>Delegate</x:v>
      </x:c>
      <x:c r="P1566" s="120" t="n">
        <x:v>45646.655543981484</x:v>
      </x:c>
      <x:c r="Q1566" s="117" t="str">
        <x:v>Delegate</x:v>
      </x:c>
      <x:c r="R1566" s="117" t="str">
        <x:v>Item Receipt Automations</x:v>
      </x:c>
      <x:c r="S1566" s="119" t="str">
        <x:v>12/20: Reviewed Prod/Sandbox variances and realigned.</x:v>
      </x:c>
    </x:row>
    <x:row r="1567" ht="30" customHeight="1">
      <x:c r="A1567" s="117" t="str">
        <x:v>Item_Receipt_Automations</x:v>
      </x:c>
      <x:c r="B1567" s="117" t="str">
        <x:v>3005b000000LI3kAAG</x:v>
      </x:c>
      <x:c r="C1567" s="117" t="str">
        <x:v>301Ro00000Rgs32IAB</x:v>
      </x:c>
      <x:c r="D1567" s="118" t="n">
        <x:v>5</x:v>
      </x:c>
      <x:c r="E1567" s="117" t="str">
        <x:v>Obsolete</x:v>
      </x:c>
      <x:c r="F1567" s="117" t="str">
        <x:v>No</x:v>
      </x:c>
      <x:c r="G1567" s="117" t="str">
        <x:v>No</x:v>
      </x:c>
      <x:c r="H1567" s="117" t="str">
        <x:v>AutoLaunchedFlow</x:v>
      </x:c>
      <x:c r="I1567" s="118" t="n">
        <x:v>57</x:v>
      </x:c>
      <x:c r="J1567" s="117" t="str">
        <x:v>unmanaged</x:v>
      </x:c>
      <x:c r="K1567" s="123" t="b">
        <x:v>0</x:v>
      </x:c>
      <x:c r="L1567" s="117"/>
      <x:c r="M1567" s="118"/>
      <x:c r="N1567" s="120" t="n">
        <x:v>45664.57409722222</x:v>
      </x:c>
      <x:c r="O1567" s="117" t="str">
        <x:v>Delegate</x:v>
      </x:c>
      <x:c r="P1567" s="120" t="n">
        <x:v>45664.57413194444</x:v>
      </x:c>
      <x:c r="Q1567" s="117" t="str">
        <x:v>Delegate</x:v>
      </x:c>
      <x:c r="R1567" s="117" t="str">
        <x:v>Item Receipt Automations</x:v>
      </x:c>
      <x:c r="S1567" s="119" t="str">
        <x:v>AM: Added Submit to Accounting = True to field updates</x:v>
      </x:c>
    </x:row>
    <x:row r="1568" ht="30" customHeight="1">
      <x:c r="A1568" s="117" t="str">
        <x:v>Item_Receipt_Automations</x:v>
      </x:c>
      <x:c r="B1568" s="117" t="str">
        <x:v>3005b000000LI3kAAG</x:v>
      </x:c>
      <x:c r="C1568" s="117" t="str">
        <x:v>301Ro00000ZuTD1IAN</x:v>
      </x:c>
      <x:c r="D1568" s="118" t="n">
        <x:v>6</x:v>
      </x:c>
      <x:c r="E1568" s="117" t="str">
        <x:v>Active</x:v>
      </x:c>
      <x:c r="F1568" s="117" t="str">
        <x:v>Yes</x:v>
      </x:c>
      <x:c r="G1568" s="117" t="str">
        <x:v>Yes</x:v>
      </x:c>
      <x:c r="H1568" s="117" t="str">
        <x:v>AutoLaunchedFlow</x:v>
      </x:c>
      <x:c r="I1568" s="118" t="n">
        <x:v>57</x:v>
      </x:c>
      <x:c r="J1568" s="117" t="str">
        <x:v>unmanaged</x:v>
      </x:c>
      <x:c r="K1568" s="123" t="b">
        <x:v>0</x:v>
      </x:c>
      <x:c r="L1568" s="117"/>
      <x:c r="M1568" s="118"/>
      <x:c r="N1568" s="120" t="n">
        <x:v>45805.82481481481</x:v>
      </x:c>
      <x:c r="O1568" s="117" t="str">
        <x:v>Delegate</x:v>
      </x:c>
      <x:c r="P1568" s="120" t="n">
        <x:v>45805.82487268518</x:v>
      </x:c>
      <x:c r="Q1568" s="117" t="str">
        <x:v>Delegate</x:v>
      </x:c>
      <x:c r="R1568" s="117" t="str">
        <x:v>Item Receipt Automations</x:v>
      </x:c>
      <x:c r="S1568" s="119" t="str">
        <x:v>05/28/2025 (BW) - Updated this version to set the item receipt total on the opportunity when the item receipt is changed</x:v>
      </x:c>
    </x:row>
    <x:row r="1569" ht="30" customHeight="1">
      <x:c r="A1569" s="117" t="str">
        <x:v>Item_Receipt_Error_Email_to_Activate_Vendor_for_Item_Receipt</x:v>
      </x:c>
      <x:c r="B1569" s="117" t="str">
        <x:v>300Ro00000qq4bBIAQ</x:v>
      </x:c>
      <x:c r="C1569" s="117" t="str">
        <x:v>301Ro00000yQ830IAC</x:v>
      </x:c>
      <x:c r="D1569" s="118" t="n">
        <x:v>1</x:v>
      </x:c>
      <x:c r="E1569" s="117" t="str">
        <x:v>Obsolete</x:v>
      </x:c>
      <x:c r="F1569" s="117" t="str">
        <x:v>No</x:v>
      </x:c>
      <x:c r="G1569" s="117" t="str">
        <x:v>No</x:v>
      </x:c>
      <x:c r="H1569" s="117" t="str">
        <x:v>AutoLaunchedFlow</x:v>
      </x:c>
      <x:c r="I1569" s="118" t="n">
        <x:v>65</x:v>
      </x:c>
      <x:c r="J1569" s="117" t="str">
        <x:v>unmanaged</x:v>
      </x:c>
      <x:c r="K1569" s="123" t="b">
        <x:v>0</x:v>
      </x:c>
      <x:c r="L1569" s="117"/>
      <x:c r="M1569" s="118"/>
      <x:c r="N1569" s="120" t="n">
        <x:v>46069.557905092595</x:v>
      </x:c>
      <x:c r="O1569" s="117" t="str">
        <x:v>Delegate</x:v>
      </x:c>
      <x:c r="P1569" s="120" t="n">
        <x:v>46069.56523148148</x:v>
      </x:c>
      <x:c r="Q1569" s="117" t="str">
        <x:v>Delegate</x:v>
      </x:c>
      <x:c r="R1569" s="117" t="str">
        <x:v>Item Receipt Error: Email to Activate Vendor for Item Receipt</x:v>
      </x:c>
      <x:c r="S1569" s="119" t="str">
        <x:v>02/16/2026 (BW) - This email goes to Lori to get the vendor activated in Sage Intacct so we can sync over an item receipt</x:v>
      </x:c>
    </x:row>
    <x:row r="1570" ht="30" customHeight="1">
      <x:c r="A1570" s="117" t="str">
        <x:v>Item_Receipt_Error_Email_to_Activate_Vendor_for_Item_Receipt</x:v>
      </x:c>
      <x:c r="B1570" s="117" t="str">
        <x:v>300Ro00000qq4bBIAQ</x:v>
      </x:c>
      <x:c r="C1570" s="117" t="str">
        <x:v>301Ro00000yo7F5IAI</x:v>
      </x:c>
      <x:c r="D1570" s="118" t="n">
        <x:v>2</x:v>
      </x:c>
      <x:c r="E1570" s="117" t="str">
        <x:v>Obsolete</x:v>
      </x:c>
      <x:c r="F1570" s="117" t="str">
        <x:v>No</x:v>
      </x:c>
      <x:c r="G1570" s="117" t="str">
        <x:v>No</x:v>
      </x:c>
      <x:c r="H1570" s="117" t="str">
        <x:v>AutoLaunchedFlow</x:v>
      </x:c>
      <x:c r="I1570" s="118" t="n">
        <x:v>65</x:v>
      </x:c>
      <x:c r="J1570" s="117" t="str">
        <x:v>unmanaged</x:v>
      </x:c>
      <x:c r="K1570" s="123" t="b">
        <x:v>0</x:v>
      </x:c>
      <x:c r="L1570" s="117"/>
      <x:c r="M1570" s="118"/>
      <x:c r="N1570" s="120" t="n">
        <x:v>46073.544282407405</x:v>
      </x:c>
      <x:c r="O1570" s="117" t="str">
        <x:v>Delegate</x:v>
      </x:c>
      <x:c r="P1570" s="120" t="n">
        <x:v>46073.54435185185</x:v>
      </x:c>
      <x:c r="Q1570" s="117" t="str">
        <x:v>Delegate</x:v>
      </x:c>
      <x:c r="R1570" s="117" t="str">
        <x:v>Item Receipt Error: Email to Activate Vendor for Item Receipt</x:v>
      </x:c>
      <x:c r="S1570" s="119" t="str">
        <x:v>02/16/2026 (BW) - This email goes to Lori to get the vendor activated in Sage Intacct so we can sync over an item receipt</x:v>
      </x:c>
    </x:row>
    <x:row r="1571" ht="30" customHeight="1">
      <x:c r="A1571" s="117" t="str">
        <x:v>Item_Receipt_Error_Email_to_Activate_Vendor_for_Item_Receipt</x:v>
      </x:c>
      <x:c r="B1571" s="117" t="str">
        <x:v>300Ro00000qq4bBIAQ</x:v>
      </x:c>
      <x:c r="C1571" s="117" t="str">
        <x:v>301Ro00000zBLNlIAO</x:v>
      </x:c>
      <x:c r="D1571" s="118" t="n">
        <x:v>3</x:v>
      </x:c>
      <x:c r="E1571" s="117" t="str">
        <x:v>Active</x:v>
      </x:c>
      <x:c r="F1571" s="117" t="str">
        <x:v>Yes</x:v>
      </x:c>
      <x:c r="G1571" s="117" t="str">
        <x:v>Yes</x:v>
      </x:c>
      <x:c r="H1571" s="117" t="str">
        <x:v>AutoLaunchedFlow</x:v>
      </x:c>
      <x:c r="I1571" s="118" t="n">
        <x:v>65</x:v>
      </x:c>
      <x:c r="J1571" s="117" t="str">
        <x:v>unmanaged</x:v>
      </x:c>
      <x:c r="K1571" s="123" t="b">
        <x:v>0</x:v>
      </x:c>
      <x:c r="L1571" s="117"/>
      <x:c r="M1571" s="118"/>
      <x:c r="N1571" s="120" t="n">
        <x:v>46078.478113425925</x:v>
      </x:c>
      <x:c r="O1571" s="117" t="str">
        <x:v>Delegate</x:v>
      </x:c>
      <x:c r="P1571" s="120" t="n">
        <x:v>46078.47818287037</x:v>
      </x:c>
      <x:c r="Q1571" s="117" t="str">
        <x:v>Delegate</x:v>
      </x:c>
      <x:c r="R1571" s="117" t="str">
        <x:v>Item Receipt Error: Email to Activate Vendor for Item Receipt</x:v>
      </x:c>
      <x:c r="S1571" s="119" t="str">
        <x:v>02/16/2026 (BW) - This email goes to Lori to get the vendor activated in Sage Intacct so we can sync over an item receipt</x:v>
      </x:c>
    </x:row>
    <x:row r="1572" ht="30" customHeight="1">
      <x:c r="A1572" s="117" t="str">
        <x:v>Item_Receipt_Run_Trigger_Update_if_needed_for_Sync</x:v>
      </x:c>
      <x:c r="B1572" s="117" t="str">
        <x:v>300Ro00000gqYztIAE</x:v>
      </x:c>
      <x:c r="C1572" s="117" t="str">
        <x:v>301Ro00000nLPjzIAG</x:v>
      </x:c>
      <x:c r="D1572" s="118" t="n">
        <x:v>1</x:v>
      </x:c>
      <x:c r="E1572" s="117" t="str">
        <x:v>Obsolete</x:v>
      </x:c>
      <x:c r="F1572" s="117" t="str">
        <x:v>No</x:v>
      </x:c>
      <x:c r="G1572" s="117" t="str">
        <x:v>No</x:v>
      </x:c>
      <x:c r="H1572" s="117" t="str">
        <x:v>AutoLaunchedFlow</x:v>
      </x:c>
      <x:c r="I1572" s="118" t="n">
        <x:v>64</x:v>
      </x:c>
      <x:c r="J1572" s="117" t="str">
        <x:v>unmanaged</x:v>
      </x:c>
      <x:c r="K1572" s="123" t="b">
        <x:v>0</x:v>
      </x:c>
      <x:c r="L1572" s="117"/>
      <x:c r="M1572" s="118"/>
      <x:c r="N1572" s="120" t="n">
        <x:v>45926.55001157407</x:v>
      </x:c>
      <x:c r="O1572" s="117" t="str">
        <x:v>Delegate</x:v>
      </x:c>
      <x:c r="P1572" s="120" t="n">
        <x:v>45926.55033564815</x:v>
      </x:c>
      <x:c r="Q1572" s="117" t="str">
        <x:v>Delegate</x:v>
      </x:c>
      <x:c r="R1572" s="117" t="str">
        <x:v>Item Receipt: Run Trigger Update if needed for Sync</x:v>
      </x:c>
      <x:c r="S1572" s="119" t="str">
        <x:v>09/26/2025 (BW) - Runs the trigger update daily and tries to re-sync</x:v>
      </x:c>
    </x:row>
    <x:row r="1573" ht="30" customHeight="1">
      <x:c r="A1573" s="117" t="str">
        <x:v>Item_Receipt_Run_Trigger_Update_if_needed_for_Sync</x:v>
      </x:c>
      <x:c r="B1573" s="117" t="str">
        <x:v>300Ro00000gqYztIAE</x:v>
      </x:c>
      <x:c r="C1573" s="117" t="str">
        <x:v>301Ro00000rPBOLIA4</x:v>
      </x:c>
      <x:c r="D1573" s="118" t="n">
        <x:v>2</x:v>
      </x:c>
      <x:c r="E1573" s="117" t="str">
        <x:v>Obsolete</x:v>
      </x:c>
      <x:c r="F1573" s="117" t="str">
        <x:v>No</x:v>
      </x:c>
      <x:c r="G1573" s="117" t="str">
        <x:v>No</x:v>
      </x:c>
      <x:c r="H1573" s="117" t="str">
        <x:v>AutoLaunchedFlow</x:v>
      </x:c>
      <x:c r="I1573" s="118" t="n">
        <x:v>64</x:v>
      </x:c>
      <x:c r="J1573" s="117" t="str">
        <x:v>unmanaged</x:v>
      </x:c>
      <x:c r="K1573" s="123" t="b">
        <x:v>0</x:v>
      </x:c>
      <x:c r="L1573" s="117"/>
      <x:c r="M1573" s="118"/>
      <x:c r="N1573" s="120" t="n">
        <x:v>45961.541134259256</x:v>
      </x:c>
      <x:c r="O1573" s="117" t="str">
        <x:v>Delegate</x:v>
      </x:c>
      <x:c r="P1573" s="120" t="n">
        <x:v>45961.5412037037</x:v>
      </x:c>
      <x:c r="Q1573" s="117" t="str">
        <x:v>Delegate</x:v>
      </x:c>
      <x:c r="R1573" s="117" t="str">
        <x:v>Item Receipt: Run Trigger Update if needed for Sync</x:v>
      </x:c>
      <x:c r="S1573" s="119" t="str">
        <x:v>09/26/2025 (BW) - Runs the trigger update daily and tries to re-sync</x:v>
      </x:c>
    </x:row>
    <x:row r="1574" ht="30" customHeight="1">
      <x:c r="A1574" s="117" t="str">
        <x:v>Item_Receipt_Run_Trigger_Update_if_needed_for_Sync</x:v>
      </x:c>
      <x:c r="B1574" s="117" t="str">
        <x:v>300Ro00000gqYztIAE</x:v>
      </x:c>
      <x:c r="C1574" s="117" t="str">
        <x:v>301Ro00000rOlXBIA0</x:v>
      </x:c>
      <x:c r="D1574" s="118" t="n">
        <x:v>3</x:v>
      </x:c>
      <x:c r="E1574" s="117" t="str">
        <x:v>Obsolete</x:v>
      </x:c>
      <x:c r="F1574" s="117" t="str">
        <x:v>No</x:v>
      </x:c>
      <x:c r="G1574" s="117" t="str">
        <x:v>No</x:v>
      </x:c>
      <x:c r="H1574" s="117" t="str">
        <x:v>AutoLaunchedFlow</x:v>
      </x:c>
      <x:c r="I1574" s="118" t="n">
        <x:v>64</x:v>
      </x:c>
      <x:c r="J1574" s="117" t="str">
        <x:v>unmanaged</x:v>
      </x:c>
      <x:c r="K1574" s="123" t="b">
        <x:v>0</x:v>
      </x:c>
      <x:c r="L1574" s="117"/>
      <x:c r="M1574" s="118"/>
      <x:c r="N1574" s="120" t="n">
        <x:v>45961.54342592593</x:v>
      </x:c>
      <x:c r="O1574" s="117" t="str">
        <x:v>Delegate</x:v>
      </x:c>
      <x:c r="P1574" s="120" t="n">
        <x:v>45961.543587962966</x:v>
      </x:c>
      <x:c r="Q1574" s="117" t="str">
        <x:v>Delegate</x:v>
      </x:c>
      <x:c r="R1574" s="117" t="str">
        <x:v>Item Receipt: Run Trigger Update if needed for Sync</x:v>
      </x:c>
      <x:c r="S1574" s="119" t="str">
        <x:v>09/26/2025 (BW) - Runs the trigger update daily and tries to re-sync</x:v>
      </x:c>
    </x:row>
    <x:row r="1575" ht="30" customHeight="1">
      <x:c r="A1575" s="117" t="str">
        <x:v>Item_Receipt_Run_Trigger_Update_if_needed_for_Sync</x:v>
      </x:c>
      <x:c r="B1575" s="117" t="str">
        <x:v>300Ro00000gqYztIAE</x:v>
      </x:c>
      <x:c r="C1575" s="117" t="str">
        <x:v>301Ro00000rPCYvIAO</x:v>
      </x:c>
      <x:c r="D1575" s="118" t="n">
        <x:v>4</x:v>
      </x:c>
      <x:c r="E1575" s="117" t="str">
        <x:v>Obsolete</x:v>
      </x:c>
      <x:c r="F1575" s="117" t="str">
        <x:v>No</x:v>
      </x:c>
      <x:c r="G1575" s="117" t="str">
        <x:v>No</x:v>
      </x:c>
      <x:c r="H1575" s="117" t="str">
        <x:v>AutoLaunchedFlow</x:v>
      </x:c>
      <x:c r="I1575" s="118" t="n">
        <x:v>64</x:v>
      </x:c>
      <x:c r="J1575" s="117" t="str">
        <x:v>unmanaged</x:v>
      </x:c>
      <x:c r="K1575" s="123" t="b">
        <x:v>0</x:v>
      </x:c>
      <x:c r="L1575" s="117"/>
      <x:c r="M1575" s="118"/>
      <x:c r="N1575" s="120" t="n">
        <x:v>45961.54381944444</x:v>
      </x:c>
      <x:c r="O1575" s="117" t="str">
        <x:v>Delegate</x:v>
      </x:c>
      <x:c r="P1575" s="120" t="n">
        <x:v>45961.543900462966</x:v>
      </x:c>
      <x:c r="Q1575" s="117" t="str">
        <x:v>Delegate</x:v>
      </x:c>
      <x:c r="R1575" s="117" t="str">
        <x:v>Item Receipt: Run Trigger Update if needed for Sync</x:v>
      </x:c>
      <x:c r="S1575" s="119" t="str">
        <x:v>09/26/2025 (BW) - Runs the trigger update daily and tries to re-sync</x:v>
      </x:c>
    </x:row>
    <x:row r="1576" ht="30" customHeight="1">
      <x:c r="A1576" s="117" t="str">
        <x:v>Item_Receipt_Run_Trigger_Update_if_needed_for_Sync</x:v>
      </x:c>
      <x:c r="B1576" s="117" t="str">
        <x:v>300Ro00000gqYztIAE</x:v>
      </x:c>
      <x:c r="C1576" s="117" t="str">
        <x:v>301Ro00000rP2ZcIAK</x:v>
      </x:c>
      <x:c r="D1576" s="118" t="n">
        <x:v>5</x:v>
      </x:c>
      <x:c r="E1576" s="117" t="str">
        <x:v>Obsolete</x:v>
      </x:c>
      <x:c r="F1576" s="117" t="str">
        <x:v>No</x:v>
      </x:c>
      <x:c r="G1576" s="117" t="str">
        <x:v>No</x:v>
      </x:c>
      <x:c r="H1576" s="117" t="str">
        <x:v>AutoLaunchedFlow</x:v>
      </x:c>
      <x:c r="I1576" s="118" t="n">
        <x:v>64</x:v>
      </x:c>
      <x:c r="J1576" s="117" t="str">
        <x:v>unmanaged</x:v>
      </x:c>
      <x:c r="K1576" s="123" t="b">
        <x:v>0</x:v>
      </x:c>
      <x:c r="L1576" s="117"/>
      <x:c r="M1576" s="118"/>
      <x:c r="N1576" s="120" t="n">
        <x:v>45961.544027777774</x:v>
      </x:c>
      <x:c r="O1576" s="117" t="str">
        <x:v>Delegate</x:v>
      </x:c>
      <x:c r="P1576" s="120" t="n">
        <x:v>45961.54408564815</x:v>
      </x:c>
      <x:c r="Q1576" s="117" t="str">
        <x:v>Delegate</x:v>
      </x:c>
      <x:c r="R1576" s="117" t="str">
        <x:v>Item Receipt: Run Trigger Update if needed for Sync</x:v>
      </x:c>
      <x:c r="S1576" s="119" t="str">
        <x:v>09/26/2025 (BW) - Runs the trigger update daily and tries to re-sync</x:v>
      </x:c>
    </x:row>
    <x:row r="1577" ht="30" customHeight="1">
      <x:c r="A1577" s="117" t="str">
        <x:v>Item_Receipt_Run_Trigger_Update_if_needed_for_Sync</x:v>
      </x:c>
      <x:c r="B1577" s="117" t="str">
        <x:v>300Ro00000gqYztIAE</x:v>
      </x:c>
      <x:c r="C1577" s="117" t="str">
        <x:v>301Ro00000sklXzIAI</x:v>
      </x:c>
      <x:c r="D1577" s="118" t="n">
        <x:v>6</x:v>
      </x:c>
      <x:c r="E1577" s="117" t="str">
        <x:v>Obsolete</x:v>
      </x:c>
      <x:c r="F1577" s="117" t="str">
        <x:v>No</x:v>
      </x:c>
      <x:c r="G1577" s="117" t="str">
        <x:v>No</x:v>
      </x:c>
      <x:c r="H1577" s="117" t="str">
        <x:v>AutoLaunchedFlow</x:v>
      </x:c>
      <x:c r="I1577" s="118" t="n">
        <x:v>64</x:v>
      </x:c>
      <x:c r="J1577" s="117" t="str">
        <x:v>unmanaged</x:v>
      </x:c>
      <x:c r="K1577" s="123" t="b">
        <x:v>0</x:v>
      </x:c>
      <x:c r="L1577" s="117"/>
      <x:c r="M1577" s="118"/>
      <x:c r="N1577" s="120" t="n">
        <x:v>45982.51688657407</x:v>
      </x:c>
      <x:c r="O1577" s="117" t="str">
        <x:v>Delegate</x:v>
      </x:c>
      <x:c r="P1577" s="120" t="n">
        <x:v>45982.51693287037</x:v>
      </x:c>
      <x:c r="Q1577" s="117" t="str">
        <x:v>Delegate</x:v>
      </x:c>
      <x:c r="R1577" s="117" t="str">
        <x:v>Item Receipt: Run Trigger Update if needed for Sync</x:v>
      </x:c>
      <x:c r="S1577" s="119" t="str">
        <x:v>09/26/2025 (BW) - Runs the trigger update daily and tries to re-sync</x:v>
      </x:c>
    </x:row>
    <x:row r="1578" ht="30" customHeight="1">
      <x:c r="A1578" s="117" t="str">
        <x:v>Item_Receipt_Run_Trigger_Update_if_needed_for_Sync</x:v>
      </x:c>
      <x:c r="B1578" s="117" t="str">
        <x:v>300Ro00000gqYztIAE</x:v>
      </x:c>
      <x:c r="C1578" s="117" t="str">
        <x:v>301Ro00000w5lkvIAA</x:v>
      </x:c>
      <x:c r="D1578" s="118" t="n">
        <x:v>7</x:v>
      </x:c>
      <x:c r="E1578" s="117" t="str">
        <x:v>Obsolete</x:v>
      </x:c>
      <x:c r="F1578" s="117" t="str">
        <x:v>No</x:v>
      </x:c>
      <x:c r="G1578" s="117" t="str">
        <x:v>No</x:v>
      </x:c>
      <x:c r="H1578" s="117" t="str">
        <x:v>AutoLaunchedFlow</x:v>
      </x:c>
      <x:c r="I1578" s="118" t="n">
        <x:v>64</x:v>
      </x:c>
      <x:c r="J1578" s="117" t="str">
        <x:v>unmanaged</x:v>
      </x:c>
      <x:c r="K1578" s="123" t="b">
        <x:v>0</x:v>
      </x:c>
      <x:c r="L1578" s="117"/>
      <x:c r="M1578" s="118"/>
      <x:c r="N1578" s="120" t="n">
        <x:v>46042.73263888889</x:v>
      </x:c>
      <x:c r="O1578" s="117" t="str">
        <x:v>Natalie Boger</x:v>
      </x:c>
      <x:c r="P1578" s="120" t="n">
        <x:v>46042.73394675926</x:v>
      </x:c>
      <x:c r="Q1578" s="117" t="str">
        <x:v>Natalie Boger</x:v>
      </x:c>
      <x:c r="R1578" s="117" t="str">
        <x:v>Item Receipt: Run Trigger Update if needed for Sync</x:v>
      </x:c>
      <x:c r="S1578" s="119" t="str">
        <x:v>09/26/2025 (BW) - Runs the trigger update daily and tries to re-sync
01/20/2026 (NB) - Check to see if any non-inventory products need GL account added before automatically triggering sending out email</x:v>
      </x:c>
    </x:row>
    <x:row r="1579" ht="30" customHeight="1">
      <x:c r="A1579" s="117" t="str">
        <x:v>Item_Receipt_Run_Trigger_Update_if_needed_for_Sync</x:v>
      </x:c>
      <x:c r="B1579" s="117" t="str">
        <x:v>300Ro00000gqYztIAE</x:v>
      </x:c>
      <x:c r="C1579" s="117" t="str">
        <x:v>301Ro00000yQW4zIAG</x:v>
      </x:c>
      <x:c r="D1579" s="118" t="n">
        <x:v>8</x:v>
      </x:c>
      <x:c r="E1579" s="117" t="str">
        <x:v>Active</x:v>
      </x:c>
      <x:c r="F1579" s="117" t="str">
        <x:v>Yes</x:v>
      </x:c>
      <x:c r="G1579" s="117" t="str">
        <x:v>Yes</x:v>
      </x:c>
      <x:c r="H1579" s="117" t="str">
        <x:v>AutoLaunchedFlow</x:v>
      </x:c>
      <x:c r="I1579" s="118" t="n">
        <x:v>64</x:v>
      </x:c>
      <x:c r="J1579" s="117" t="str">
        <x:v>unmanaged</x:v>
      </x:c>
      <x:c r="K1579" s="123" t="b">
        <x:v>0</x:v>
      </x:c>
      <x:c r="L1579" s="117"/>
      <x:c r="M1579" s="118"/>
      <x:c r="N1579" s="120" t="n">
        <x:v>46069.5684375</x:v>
      </x:c>
      <x:c r="O1579" s="117" t="str">
        <x:v>Delegate</x:v>
      </x:c>
      <x:c r="P1579" s="120" t="n">
        <x:v>46069.5684837963</x:v>
      </x:c>
      <x:c r="Q1579" s="117" t="str">
        <x:v>Delegate</x:v>
      </x:c>
      <x:c r="R1579" s="117" t="str">
        <x:v>Item Receipt: Run Trigger Update if needed for Sync</x:v>
      </x:c>
      <x:c r="S1579" s="119" t="str">
        <x:v>02/16/2026 (BW) - Updating this flow to re-sync if needed rather than running update</x:v>
      </x:c>
    </x:row>
    <x:row r="1580" ht="30" customHeight="1">
      <x:c r="A1580" s="117" t="str">
        <x:v>KloudGin_Case_Created_Email_Notification</x:v>
      </x:c>
      <x:c r="B1580" s="117" t="str">
        <x:v>3005b000000PzvpAAC</x:v>
      </x:c>
      <x:c r="C1580" s="117" t="str">
        <x:v>3015b000000W4hOAAS</x:v>
      </x:c>
      <x:c r="D1580" s="118" t="n">
        <x:v>5</x:v>
      </x:c>
      <x:c r="E1580" s="117" t="str">
        <x:v>Obsolete</x:v>
      </x:c>
      <x:c r="F1580" s="117" t="str">
        <x:v>No</x:v>
      </x:c>
      <x:c r="G1580" s="117" t="str">
        <x:v>No</x:v>
      </x:c>
      <x:c r="H1580" s="117" t="str">
        <x:v>AutoLaunchedFlow</x:v>
      </x:c>
      <x:c r="I1580" s="118" t="n">
        <x:v>58</x:v>
      </x:c>
      <x:c r="J1580" s="117" t="str">
        <x:v>unmanaged</x:v>
      </x:c>
      <x:c r="K1580" s="123" t="b">
        <x:v>0</x:v>
      </x:c>
      <x:c r="L1580" s="117"/>
      <x:c r="M1580" s="118"/>
      <x:c r="N1580" s="120" t="n">
        <x:v>45105.569074074076</x:v>
      </x:c>
      <x:c r="O1580" s="117" t="str">
        <x:v>Jace Gentil</x:v>
      </x:c>
      <x:c r="P1580" s="120" t="n">
        <x:v>45105.569131944445</x:v>
      </x:c>
      <x:c r="Q1580" s="117" t="str">
        <x:v>Jace Gentil</x:v>
      </x:c>
      <x:c r="R1580" s="117" t="str">
        <x:v>KloudGin Case Created Email Notification V2</x:v>
      </x:c>
      <x:c r="S1580" s="119"/>
    </x:row>
    <x:row r="1581" ht="30" customHeight="1">
      <x:c r="A1581" s="117" t="str">
        <x:v>KloudGin_Case_Created_Email_Notification</x:v>
      </x:c>
      <x:c r="B1581" s="117" t="str">
        <x:v>3005b000000PzvpAAC</x:v>
      </x:c>
      <x:c r="C1581" s="117" t="str">
        <x:v>3015b000000W4hdAAC</x:v>
      </x:c>
      <x:c r="D1581" s="118" t="n">
        <x:v>6</x:v>
      </x:c>
      <x:c r="E1581" s="117" t="str">
        <x:v>Obsolete</x:v>
      </x:c>
      <x:c r="F1581" s="117" t="str">
        <x:v>No</x:v>
      </x:c>
      <x:c r="G1581" s="117" t="str">
        <x:v>No</x:v>
      </x:c>
      <x:c r="H1581" s="117" t="str">
        <x:v>AutoLaunchedFlow</x:v>
      </x:c>
      <x:c r="I1581" s="118" t="n">
        <x:v>58</x:v>
      </x:c>
      <x:c r="J1581" s="117" t="str">
        <x:v>unmanaged</x:v>
      </x:c>
      <x:c r="K1581" s="123" t="b">
        <x:v>0</x:v>
      </x:c>
      <x:c r="L1581" s="117"/>
      <x:c r="M1581" s="118"/>
      <x:c r="N1581" s="120" t="n">
        <x:v>45105.58127314815</x:v>
      </x:c>
      <x:c r="O1581" s="117" t="str">
        <x:v>Jace Gentil</x:v>
      </x:c>
      <x:c r="P1581" s="120" t="n">
        <x:v>45105.58131944444</x:v>
      </x:c>
      <x:c r="Q1581" s="117" t="str">
        <x:v>Jace Gentil</x:v>
      </x:c>
      <x:c r="R1581" s="117" t="str">
        <x:v>KloudGin Case Created Email Notification V2</x:v>
      </x:c>
      <x:c r="S1581" s="119"/>
    </x:row>
    <x:row r="1582" ht="30" customHeight="1">
      <x:c r="A1582" s="117" t="str">
        <x:v>KloudGin_Case_Created_Email_Notification</x:v>
      </x:c>
      <x:c r="B1582" s="117" t="str">
        <x:v>3005b000000PzvpAAC</x:v>
      </x:c>
      <x:c r="C1582" s="117" t="str">
        <x:v>3015b000000ANDdAAO</x:v>
      </x:c>
      <x:c r="D1582" s="118" t="n">
        <x:v>7</x:v>
      </x:c>
      <x:c r="E1582" s="117" t="str">
        <x:v>Obsolete</x:v>
      </x:c>
      <x:c r="F1582" s="117" t="str">
        <x:v>No</x:v>
      </x:c>
      <x:c r="G1582" s="117" t="str">
        <x:v>No</x:v>
      </x:c>
      <x:c r="H1582" s="117" t="str">
        <x:v>AutoLaunchedFlow</x:v>
      </x:c>
      <x:c r="I1582" s="118" t="n">
        <x:v>58</x:v>
      </x:c>
      <x:c r="J1582" s="117" t="str">
        <x:v>unmanaged</x:v>
      </x:c>
      <x:c r="K1582" s="123" t="b">
        <x:v>0</x:v>
      </x:c>
      <x:c r="L1582" s="117"/>
      <x:c r="M1582" s="118"/>
      <x:c r="N1582" s="120" t="n">
        <x:v>45106.688055555554</x:v>
      </x:c>
      <x:c r="O1582" s="117" t="str">
        <x:v>Jace Gentil</x:v>
      </x:c>
      <x:c r="P1582" s="120" t="n">
        <x:v>45106.688125</x:v>
      </x:c>
      <x:c r="Q1582" s="117" t="str">
        <x:v>Jace Gentil</x:v>
      </x:c>
      <x:c r="R1582" s="117" t="str">
        <x:v>KloudGin Case Created Email Notification V2</x:v>
      </x:c>
      <x:c r="S1582" s="119"/>
    </x:row>
    <x:row r="1583" ht="30" customHeight="1">
      <x:c r="A1583" s="117" t="str">
        <x:v>KloudGin_Case_Created_Email_Notification</x:v>
      </x:c>
      <x:c r="B1583" s="117" t="str">
        <x:v>3005b000000PzvpAAC</x:v>
      </x:c>
      <x:c r="C1583" s="117" t="str">
        <x:v>3015b000000ANDiAAO</x:v>
      </x:c>
      <x:c r="D1583" s="118" t="n">
        <x:v>8</x:v>
      </x:c>
      <x:c r="E1583" s="117" t="str">
        <x:v>Obsolete</x:v>
      </x:c>
      <x:c r="F1583" s="117" t="str">
        <x:v>No</x:v>
      </x:c>
      <x:c r="G1583" s="117" t="str">
        <x:v>No</x:v>
      </x:c>
      <x:c r="H1583" s="117" t="str">
        <x:v>AutoLaunchedFlow</x:v>
      </x:c>
      <x:c r="I1583" s="118" t="n">
        <x:v>58</x:v>
      </x:c>
      <x:c r="J1583" s="117" t="str">
        <x:v>unmanaged</x:v>
      </x:c>
      <x:c r="K1583" s="123" t="b">
        <x:v>0</x:v>
      </x:c>
      <x:c r="L1583" s="117"/>
      <x:c r="M1583" s="118"/>
      <x:c r="N1583" s="120" t="n">
        <x:v>45106.688726851855</x:v>
      </x:c>
      <x:c r="O1583" s="117" t="str">
        <x:v>Jace Gentil</x:v>
      </x:c>
      <x:c r="P1583" s="120" t="n">
        <x:v>45106.69068287037</x:v>
      </x:c>
      <x:c r="Q1583" s="117" t="str">
        <x:v>Jace Gentil</x:v>
      </x:c>
      <x:c r="R1583" s="117" t="str">
        <x:v>KloudGin Case Created Email Notification V2</x:v>
      </x:c>
      <x:c r="S1583" s="119"/>
    </x:row>
    <x:row r="1584" ht="30" customHeight="1">
      <x:c r="A1584" s="117" t="str">
        <x:v>KloudGin_Case_Created_Email_Notification</x:v>
      </x:c>
      <x:c r="B1584" s="117" t="str">
        <x:v>3005b000000PzvpAAC</x:v>
      </x:c>
      <x:c r="C1584" s="117" t="str">
        <x:v>3015b000000AODFAA4</x:v>
      </x:c>
      <x:c r="D1584" s="118" t="n">
        <x:v>9</x:v>
      </x:c>
      <x:c r="E1584" s="117" t="str">
        <x:v>Obsolete</x:v>
      </x:c>
      <x:c r="F1584" s="117" t="str">
        <x:v>No</x:v>
      </x:c>
      <x:c r="G1584" s="117" t="str">
        <x:v>No</x:v>
      </x:c>
      <x:c r="H1584" s="117" t="str">
        <x:v>AutoLaunchedFlow</x:v>
      </x:c>
      <x:c r="I1584" s="118" t="n">
        <x:v>58</x:v>
      </x:c>
      <x:c r="J1584" s="117" t="str">
        <x:v>unmanaged</x:v>
      </x:c>
      <x:c r="K1584" s="123" t="b">
        <x:v>0</x:v>
      </x:c>
      <x:c r="L1584" s="117"/>
      <x:c r="M1584" s="118"/>
      <x:c r="N1584" s="120" t="n">
        <x:v>45124.76190972222</x:v>
      </x:c>
      <x:c r="O1584" s="117" t="str">
        <x:v>Jace Gentil</x:v>
      </x:c>
      <x:c r="P1584" s="120" t="n">
        <x:v>45124.761979166666</x:v>
      </x:c>
      <x:c r="Q1584" s="117" t="str">
        <x:v>Jace Gentil</x:v>
      </x:c>
      <x:c r="R1584" s="117" t="str">
        <x:v>KloudGin Case Created Email Notification V2</x:v>
      </x:c>
      <x:c r="S1584" s="119"/>
    </x:row>
    <x:row r="1585" ht="30" customHeight="1">
      <x:c r="A1585" s="117" t="str">
        <x:v>KloudGin_Case_Created_Email_Notification</x:v>
      </x:c>
      <x:c r="B1585" s="117" t="str">
        <x:v>3005b000000PzvpAAC</x:v>
      </x:c>
      <x:c r="C1585" s="117" t="str">
        <x:v>3015b000000APidAAG</x:v>
      </x:c>
      <x:c r="D1585" s="118" t="n">
        <x:v>10</x:v>
      </x:c>
      <x:c r="E1585" s="117" t="str">
        <x:v>Obsolete</x:v>
      </x:c>
      <x:c r="F1585" s="117" t="str">
        <x:v>No</x:v>
      </x:c>
      <x:c r="G1585" s="117" t="str">
        <x:v>No</x:v>
      </x:c>
      <x:c r="H1585" s="117" t="str">
        <x:v>AutoLaunchedFlow</x:v>
      </x:c>
      <x:c r="I1585" s="118" t="n">
        <x:v>58</x:v>
      </x:c>
      <x:c r="J1585" s="117" t="str">
        <x:v>unmanaged</x:v>
      </x:c>
      <x:c r="K1585" s="123" t="b">
        <x:v>0</x:v>
      </x:c>
      <x:c r="L1585" s="117"/>
      <x:c r="M1585" s="118"/>
      <x:c r="N1585" s="120" t="n">
        <x:v>45145.85821759259</x:v>
      </x:c>
      <x:c r="O1585" s="117" t="str">
        <x:v>Jace Gentil</x:v>
      </x:c>
      <x:c r="P1585" s="120" t="n">
        <x:v>45145.85827546296</x:v>
      </x:c>
      <x:c r="Q1585" s="117" t="str">
        <x:v>Jace Gentil</x:v>
      </x:c>
      <x:c r="R1585" s="117" t="str">
        <x:v>KloudGin Case Created Email Notification V2</x:v>
      </x:c>
      <x:c r="S1585" s="119"/>
    </x:row>
    <x:row r="1586" ht="30" customHeight="1">
      <x:c r="A1586" s="117" t="str">
        <x:v>KloudGin_Case_Created_Email_Notification</x:v>
      </x:c>
      <x:c r="B1586" s="117" t="str">
        <x:v>3005b000000PzvpAAC</x:v>
      </x:c>
      <x:c r="C1586" s="117" t="str">
        <x:v>3015b000000APkoAAG</x:v>
      </x:c>
      <x:c r="D1586" s="118" t="n">
        <x:v>11</x:v>
      </x:c>
      <x:c r="E1586" s="117" t="str">
        <x:v>Obsolete</x:v>
      </x:c>
      <x:c r="F1586" s="117" t="str">
        <x:v>No</x:v>
      </x:c>
      <x:c r="G1586" s="117" t="str">
        <x:v>No</x:v>
      </x:c>
      <x:c r="H1586" s="117" t="str">
        <x:v>AutoLaunchedFlow</x:v>
      </x:c>
      <x:c r="I1586" s="118" t="n">
        <x:v>58</x:v>
      </x:c>
      <x:c r="J1586" s="117" t="str">
        <x:v>unmanaged</x:v>
      </x:c>
      <x:c r="K1586" s="123" t="b">
        <x:v>0</x:v>
      </x:c>
      <x:c r="L1586" s="117"/>
      <x:c r="M1586" s="118"/>
      <x:c r="N1586" s="120" t="n">
        <x:v>45146.44489583333</x:v>
      </x:c>
      <x:c r="O1586" s="117" t="str">
        <x:v>Jace Gentil</x:v>
      </x:c>
      <x:c r="P1586" s="120" t="n">
        <x:v>45146.44494212963</x:v>
      </x:c>
      <x:c r="Q1586" s="117" t="str">
        <x:v>Jace Gentil</x:v>
      </x:c>
      <x:c r="R1586" s="117" t="str">
        <x:v>KloudGin Case Created Email Notification V2</x:v>
      </x:c>
      <x:c r="S1586" s="119"/>
    </x:row>
    <x:row r="1587" ht="30" customHeight="1">
      <x:c r="A1587" s="117" t="str">
        <x:v>KloudGin_Case_Created_Email_Notification</x:v>
      </x:c>
      <x:c r="B1587" s="117" t="str">
        <x:v>3005b000000PzvpAAC</x:v>
      </x:c>
      <x:c r="C1587" s="117" t="str">
        <x:v>3015b000000AQuzAAG</x:v>
      </x:c>
      <x:c r="D1587" s="118" t="n">
        <x:v>12</x:v>
      </x:c>
      <x:c r="E1587" s="117" t="str">
        <x:v>Obsolete</x:v>
      </x:c>
      <x:c r="F1587" s="117" t="str">
        <x:v>No</x:v>
      </x:c>
      <x:c r="G1587" s="117" t="str">
        <x:v>No</x:v>
      </x:c>
      <x:c r="H1587" s="117" t="str">
        <x:v>AutoLaunchedFlow</x:v>
      </x:c>
      <x:c r="I1587" s="118" t="n">
        <x:v>58</x:v>
      </x:c>
      <x:c r="J1587" s="117" t="str">
        <x:v>unmanaged</x:v>
      </x:c>
      <x:c r="K1587" s="123" t="b">
        <x:v>0</x:v>
      </x:c>
      <x:c r="L1587" s="117"/>
      <x:c r="M1587" s="118"/>
      <x:c r="N1587" s="120" t="n">
        <x:v>45159.82373842593</x:v>
      </x:c>
      <x:c r="O1587" s="117" t="str">
        <x:v>Jace Gentil</x:v>
      </x:c>
      <x:c r="P1587" s="120" t="n">
        <x:v>45159.823796296296</x:v>
      </x:c>
      <x:c r="Q1587" s="117" t="str">
        <x:v>Jace Gentil</x:v>
      </x:c>
      <x:c r="R1587" s="117" t="str">
        <x:v>KloudGin Case Created Email Notification V2</x:v>
      </x:c>
      <x:c r="S1587" s="119"/>
    </x:row>
    <x:row r="1588" ht="30" customHeight="1">
      <x:c r="A1588" s="117" t="str">
        <x:v>KloudGin_Case_Created_Email_Notification</x:v>
      </x:c>
      <x:c r="B1588" s="117" t="str">
        <x:v>3005b000000PzvpAAC</x:v>
      </x:c>
      <x:c r="C1588" s="117" t="str">
        <x:v>3015b000000AQvEAAW</x:v>
      </x:c>
      <x:c r="D1588" s="118" t="n">
        <x:v>13</x:v>
      </x:c>
      <x:c r="E1588" s="117" t="str">
        <x:v>Obsolete</x:v>
      </x:c>
      <x:c r="F1588" s="117" t="str">
        <x:v>No</x:v>
      </x:c>
      <x:c r="G1588" s="117" t="str">
        <x:v>No</x:v>
      </x:c>
      <x:c r="H1588" s="117" t="str">
        <x:v>AutoLaunchedFlow</x:v>
      </x:c>
      <x:c r="I1588" s="118" t="n">
        <x:v>58</x:v>
      </x:c>
      <x:c r="J1588" s="117" t="str">
        <x:v>unmanaged</x:v>
      </x:c>
      <x:c r="K1588" s="123" t="b">
        <x:v>0</x:v>
      </x:c>
      <x:c r="L1588" s="117"/>
      <x:c r="M1588" s="118"/>
      <x:c r="N1588" s="120" t="n">
        <x:v>45159.82947916666</x:v>
      </x:c>
      <x:c r="O1588" s="117" t="str">
        <x:v>Jace Gentil</x:v>
      </x:c>
      <x:c r="P1588" s="120" t="n">
        <x:v>45159.82952546296</x:v>
      </x:c>
      <x:c r="Q1588" s="117" t="str">
        <x:v>Jace Gentil</x:v>
      </x:c>
      <x:c r="R1588" s="117" t="str">
        <x:v>KloudGin Case Created Email Notification V2</x:v>
      </x:c>
      <x:c r="S1588" s="119"/>
    </x:row>
    <x:row r="1589" ht="30" customHeight="1">
      <x:c r="A1589" s="117" t="str">
        <x:v>KloudGin_Case_Created_Email_Notification</x:v>
      </x:c>
      <x:c r="B1589" s="117" t="str">
        <x:v>3005b000000PzvpAAC</x:v>
      </x:c>
      <x:c r="C1589" s="117" t="str">
        <x:v>3015b000000AR1gAAG</x:v>
      </x:c>
      <x:c r="D1589" s="118" t="n">
        <x:v>14</x:v>
      </x:c>
      <x:c r="E1589" s="117" t="str">
        <x:v>Obsolete</x:v>
      </x:c>
      <x:c r="F1589" s="117" t="str">
        <x:v>No</x:v>
      </x:c>
      <x:c r="G1589" s="117" t="str">
        <x:v>No</x:v>
      </x:c>
      <x:c r="H1589" s="117" t="str">
        <x:v>AutoLaunchedFlow</x:v>
      </x:c>
      <x:c r="I1589" s="118" t="n">
        <x:v>58</x:v>
      </x:c>
      <x:c r="J1589" s="117" t="str">
        <x:v>unmanaged</x:v>
      </x:c>
      <x:c r="K1589" s="123" t="b">
        <x:v>0</x:v>
      </x:c>
      <x:c r="L1589" s="117"/>
      <x:c r="M1589" s="118"/>
      <x:c r="N1589" s="120" t="n">
        <x:v>45161.65974537037</x:v>
      </x:c>
      <x:c r="O1589" s="117" t="str">
        <x:v>Jace Gentil</x:v>
      </x:c>
      <x:c r="P1589" s="120" t="n">
        <x:v>45161.65980324074</x:v>
      </x:c>
      <x:c r="Q1589" s="117" t="str">
        <x:v>Jace Gentil</x:v>
      </x:c>
      <x:c r="R1589" s="117" t="str">
        <x:v>KloudGin Case Created Email Notification V2</x:v>
      </x:c>
      <x:c r="S1589" s="119"/>
    </x:row>
    <x:row r="1590" ht="30" customHeight="1">
      <x:c r="A1590" s="117" t="str">
        <x:v>KloudGin_Case_Created_Email_Notification</x:v>
      </x:c>
      <x:c r="B1590" s="117" t="str">
        <x:v>3005b000000PzvpAAC</x:v>
      </x:c>
      <x:c r="C1590" s="117" t="str">
        <x:v>3015b000000AR1qAAG</x:v>
      </x:c>
      <x:c r="D1590" s="118" t="n">
        <x:v>15</x:v>
      </x:c>
      <x:c r="E1590" s="117" t="str">
        <x:v>Obsolete</x:v>
      </x:c>
      <x:c r="F1590" s="117" t="str">
        <x:v>No</x:v>
      </x:c>
      <x:c r="G1590" s="117" t="str">
        <x:v>No</x:v>
      </x:c>
      <x:c r="H1590" s="117" t="str">
        <x:v>AutoLaunchedFlow</x:v>
      </x:c>
      <x:c r="I1590" s="118" t="n">
        <x:v>58</x:v>
      </x:c>
      <x:c r="J1590" s="117" t="str">
        <x:v>unmanaged</x:v>
      </x:c>
      <x:c r="K1590" s="123" t="b">
        <x:v>0</x:v>
      </x:c>
      <x:c r="L1590" s="117"/>
      <x:c r="M1590" s="118"/>
      <x:c r="N1590" s="120" t="n">
        <x:v>45161.66328703704</x:v>
      </x:c>
      <x:c r="O1590" s="117" t="str">
        <x:v>Jace Gentil</x:v>
      </x:c>
      <x:c r="P1590" s="120" t="n">
        <x:v>45161.66333333333</x:v>
      </x:c>
      <x:c r="Q1590" s="117" t="str">
        <x:v>Jace Gentil</x:v>
      </x:c>
      <x:c r="R1590" s="117" t="str">
        <x:v>KloudGin Case Created Email Notification V2</x:v>
      </x:c>
      <x:c r="S1590" s="119"/>
    </x:row>
    <x:row r="1591" ht="30" customHeight="1">
      <x:c r="A1591" s="117" t="str">
        <x:v>KloudGin_Case_Created_Email_Notification</x:v>
      </x:c>
      <x:c r="B1591" s="117" t="str">
        <x:v>3005b000000PzvpAAC</x:v>
      </x:c>
      <x:c r="C1591" s="117" t="str">
        <x:v>3015b000000AR2AAAW</x:v>
      </x:c>
      <x:c r="D1591" s="118" t="n">
        <x:v>16</x:v>
      </x:c>
      <x:c r="E1591" s="117" t="str">
        <x:v>Obsolete</x:v>
      </x:c>
      <x:c r="F1591" s="117" t="str">
        <x:v>No</x:v>
      </x:c>
      <x:c r="G1591" s="117" t="str">
        <x:v>No</x:v>
      </x:c>
      <x:c r="H1591" s="117" t="str">
        <x:v>AutoLaunchedFlow</x:v>
      </x:c>
      <x:c r="I1591" s="118" t="n">
        <x:v>58</x:v>
      </x:c>
      <x:c r="J1591" s="117" t="str">
        <x:v>unmanaged</x:v>
      </x:c>
      <x:c r="K1591" s="123" t="b">
        <x:v>0</x:v>
      </x:c>
      <x:c r="L1591" s="117"/>
      <x:c r="M1591" s="118"/>
      <x:c r="N1591" s="120" t="n">
        <x:v>45161.692199074074</x:v>
      </x:c>
      <x:c r="O1591" s="117" t="str">
        <x:v>Jace Gentil</x:v>
      </x:c>
      <x:c r="P1591" s="120" t="n">
        <x:v>45161.69225694444</x:v>
      </x:c>
      <x:c r="Q1591" s="117" t="str">
        <x:v>Jace Gentil</x:v>
      </x:c>
      <x:c r="R1591" s="117" t="str">
        <x:v>KloudGin Case Created Email Notification V2</x:v>
      </x:c>
      <x:c r="S1591" s="119"/>
    </x:row>
    <x:row r="1592" ht="30" customHeight="1">
      <x:c r="A1592" s="117" t="str">
        <x:v>KloudGin_Case_Created_Email_Notification</x:v>
      </x:c>
      <x:c r="B1592" s="117" t="str">
        <x:v>3005b000000PzvpAAC</x:v>
      </x:c>
      <x:c r="C1592" s="117" t="str">
        <x:v>3015b000000AR2FAAW</x:v>
      </x:c>
      <x:c r="D1592" s="118" t="n">
        <x:v>17</x:v>
      </x:c>
      <x:c r="E1592" s="117" t="str">
        <x:v>Draft</x:v>
      </x:c>
      <x:c r="F1592" s="117" t="str">
        <x:v>No</x:v>
      </x:c>
      <x:c r="G1592" s="117" t="str">
        <x:v>No</x:v>
      </x:c>
      <x:c r="H1592" s="117" t="str">
        <x:v>AutoLaunchedFlow</x:v>
      </x:c>
      <x:c r="I1592" s="118" t="n">
        <x:v>58</x:v>
      </x:c>
      <x:c r="J1592" s="117" t="str">
        <x:v>unmanaged</x:v>
      </x:c>
      <x:c r="K1592" s="123" t="b">
        <x:v>0</x:v>
      </x:c>
      <x:c r="L1592" s="117"/>
      <x:c r="M1592" s="118"/>
      <x:c r="N1592" s="120" t="n">
        <x:v>45161.695393518516</x:v>
      </x:c>
      <x:c r="O1592" s="117" t="str">
        <x:v>Jace Gentil</x:v>
      </x:c>
      <x:c r="P1592" s="120" t="n">
        <x:v>45161.69540509259</x:v>
      </x:c>
      <x:c r="Q1592" s="117" t="str">
        <x:v>Jace Gentil</x:v>
      </x:c>
      <x:c r="R1592" s="117" t="str">
        <x:v>KloudGin Case Created Email Notification V2</x:v>
      </x:c>
      <x:c r="S1592" s="119"/>
    </x:row>
    <x:row r="1593" ht="30" customHeight="1">
      <x:c r="A1593" s="117" t="str">
        <x:v>KloudGin_Case_Created_Email_Notification</x:v>
      </x:c>
      <x:c r="B1593" s="117" t="str">
        <x:v>3005b000000PzvpAAC</x:v>
      </x:c>
      <x:c r="C1593" s="117" t="str">
        <x:v>3015b000000AR2BAAW</x:v>
      </x:c>
      <x:c r="D1593" s="118" t="n">
        <x:v>18</x:v>
      </x:c>
      <x:c r="E1593" s="117" t="str">
        <x:v>Obsolete</x:v>
      </x:c>
      <x:c r="F1593" s="117" t="str">
        <x:v>No</x:v>
      </x:c>
      <x:c r="G1593" s="117" t="str">
        <x:v>No</x:v>
      </x:c>
      <x:c r="H1593" s="117" t="str">
        <x:v>AutoLaunchedFlow</x:v>
      </x:c>
      <x:c r="I1593" s="118" t="n">
        <x:v>58</x:v>
      </x:c>
      <x:c r="J1593" s="117" t="str">
        <x:v>unmanaged</x:v>
      </x:c>
      <x:c r="K1593" s="123" t="b">
        <x:v>0</x:v>
      </x:c>
      <x:c r="L1593" s="117"/>
      <x:c r="M1593" s="118"/>
      <x:c r="N1593" s="120" t="n">
        <x:v>45161.69603009259</x:v>
      </x:c>
      <x:c r="O1593" s="117" t="str">
        <x:v>Jace Gentil</x:v>
      </x:c>
      <x:c r="P1593" s="120" t="n">
        <x:v>45161.69608796296</x:v>
      </x:c>
      <x:c r="Q1593" s="117" t="str">
        <x:v>Jace Gentil</x:v>
      </x:c>
      <x:c r="R1593" s="117" t="str">
        <x:v>KloudGin Case Created Email Notification V2</x:v>
      </x:c>
      <x:c r="S1593" s="119"/>
    </x:row>
    <x:row r="1594" ht="30" customHeight="1">
      <x:c r="A1594" s="117" t="str">
        <x:v>KloudGin_Case_Created_Email_Notification</x:v>
      </x:c>
      <x:c r="B1594" s="117" t="str">
        <x:v>3005b000000PzvpAAC</x:v>
      </x:c>
      <x:c r="C1594" s="117" t="str">
        <x:v>3015b000000AR4BAAW</x:v>
      </x:c>
      <x:c r="D1594" s="118" t="n">
        <x:v>19</x:v>
      </x:c>
      <x:c r="E1594" s="117" t="str">
        <x:v>Draft</x:v>
      </x:c>
      <x:c r="F1594" s="117" t="str">
        <x:v>No</x:v>
      </x:c>
      <x:c r="G1594" s="117" t="str">
        <x:v>No</x:v>
      </x:c>
      <x:c r="H1594" s="117" t="str">
        <x:v>AutoLaunchedFlow</x:v>
      </x:c>
      <x:c r="I1594" s="118" t="n">
        <x:v>58</x:v>
      </x:c>
      <x:c r="J1594" s="117" t="str">
        <x:v>unmanaged</x:v>
      </x:c>
      <x:c r="K1594" s="123" t="b">
        <x:v>0</x:v>
      </x:c>
      <x:c r="L1594" s="117"/>
      <x:c r="M1594" s="118"/>
      <x:c r="N1594" s="120" t="n">
        <x:v>45161.76598379629</x:v>
      </x:c>
      <x:c r="O1594" s="117" t="str">
        <x:v>Jace Gentil</x:v>
      </x:c>
      <x:c r="P1594" s="120" t="n">
        <x:v>45161.76599537037</x:v>
      </x:c>
      <x:c r="Q1594" s="117" t="str">
        <x:v>Jace Gentil</x:v>
      </x:c>
      <x:c r="R1594" s="117" t="str">
        <x:v>KloudGin Case Created Email Notification V2</x:v>
      </x:c>
      <x:c r="S1594" s="119"/>
    </x:row>
    <x:row r="1595" ht="30" customHeight="1">
      <x:c r="A1595" s="117" t="str">
        <x:v>KloudGin_Case_Created_Email_Notification</x:v>
      </x:c>
      <x:c r="B1595" s="117" t="str">
        <x:v>3005b000000PzvpAAC</x:v>
      </x:c>
      <x:c r="C1595" s="117" t="str">
        <x:v>3015b000000ARhwAAG</x:v>
      </x:c>
      <x:c r="D1595" s="118" t="n">
        <x:v>20</x:v>
      </x:c>
      <x:c r="E1595" s="117" t="str">
        <x:v>Obsolete</x:v>
      </x:c>
      <x:c r="F1595" s="117" t="str">
        <x:v>No</x:v>
      </x:c>
      <x:c r="G1595" s="117" t="str">
        <x:v>No</x:v>
      </x:c>
      <x:c r="H1595" s="117" t="str">
        <x:v>AutoLaunchedFlow</x:v>
      </x:c>
      <x:c r="I1595" s="118" t="n">
        <x:v>58</x:v>
      </x:c>
      <x:c r="J1595" s="117" t="str">
        <x:v>unmanaged</x:v>
      </x:c>
      <x:c r="K1595" s="123" t="b">
        <x:v>0</x:v>
      </x:c>
      <x:c r="L1595" s="117"/>
      <x:c r="M1595" s="118"/>
      <x:c r="N1595" s="120" t="n">
        <x:v>45174.70224537037</x:v>
      </x:c>
      <x:c r="O1595" s="117" t="str">
        <x:v>Jace Gentil</x:v>
      </x:c>
      <x:c r="P1595" s="120" t="n">
        <x:v>45174.702314814815</x:v>
      </x:c>
      <x:c r="Q1595" s="117" t="str">
        <x:v>Jace Gentil</x:v>
      </x:c>
      <x:c r="R1595" s="117" t="str">
        <x:v>KloudGin Case Created Email Notification V2</x:v>
      </x:c>
      <x:c r="S1595" s="119"/>
    </x:row>
    <x:row r="1596" ht="30" customHeight="1">
      <x:c r="A1596" s="117" t="str">
        <x:v>KloudGin_Case_Created_Email_Notification</x:v>
      </x:c>
      <x:c r="B1596" s="117" t="str">
        <x:v>3005b000000PzvpAAC</x:v>
      </x:c>
      <x:c r="C1596" s="117" t="str">
        <x:v>3015b000000ARxGAAW</x:v>
      </x:c>
      <x:c r="D1596" s="118" t="n">
        <x:v>21</x:v>
      </x:c>
      <x:c r="E1596" s="117" t="str">
        <x:v>Obsolete</x:v>
      </x:c>
      <x:c r="F1596" s="117" t="str">
        <x:v>No</x:v>
      </x:c>
      <x:c r="G1596" s="117" t="str">
        <x:v>No</x:v>
      </x:c>
      <x:c r="H1596" s="117" t="str">
        <x:v>AutoLaunchedFlow</x:v>
      </x:c>
      <x:c r="I1596" s="118" t="n">
        <x:v>58</x:v>
      </x:c>
      <x:c r="J1596" s="117" t="str">
        <x:v>unmanaged</x:v>
      </x:c>
      <x:c r="K1596" s="123" t="b">
        <x:v>0</x:v>
      </x:c>
      <x:c r="L1596" s="117"/>
      <x:c r="M1596" s="118"/>
      <x:c r="N1596" s="120" t="n">
        <x:v>45177.53435185185</x:v>
      </x:c>
      <x:c r="O1596" s="117" t="str">
        <x:v>Jace Gentil</x:v>
      </x:c>
      <x:c r="P1596" s="120" t="n">
        <x:v>45177.53440972222</x:v>
      </x:c>
      <x:c r="Q1596" s="117" t="str">
        <x:v>Jace Gentil</x:v>
      </x:c>
      <x:c r="R1596" s="117" t="str">
        <x:v>KloudGin Case Created Email Notification V2</x:v>
      </x:c>
      <x:c r="S1596" s="119"/>
    </x:row>
    <x:row r="1597" ht="30" customHeight="1">
      <x:c r="A1597" s="117" t="str">
        <x:v>KloudGin_Case_Created_Email_Notification</x:v>
      </x:c>
      <x:c r="B1597" s="117" t="str">
        <x:v>3005b000000PzvpAAC</x:v>
      </x:c>
      <x:c r="C1597" s="117" t="str">
        <x:v>3015b0000011MhXAAU</x:v>
      </x:c>
      <x:c r="D1597" s="118" t="n">
        <x:v>22</x:v>
      </x:c>
      <x:c r="E1597" s="117" t="str">
        <x:v>Obsolete</x:v>
      </x:c>
      <x:c r="F1597" s="117" t="str">
        <x:v>No</x:v>
      </x:c>
      <x:c r="G1597" s="117" t="str">
        <x:v>No</x:v>
      </x:c>
      <x:c r="H1597" s="117" t="str">
        <x:v>AutoLaunchedFlow</x:v>
      </x:c>
      <x:c r="I1597" s="118" t="n">
        <x:v>58</x:v>
      </x:c>
      <x:c r="J1597" s="117" t="str">
        <x:v>unmanaged</x:v>
      </x:c>
      <x:c r="K1597" s="123" t="b">
        <x:v>0</x:v>
      </x:c>
      <x:c r="L1597" s="117"/>
      <x:c r="M1597" s="118"/>
      <x:c r="N1597" s="120" t="n">
        <x:v>45261.83508101852</x:v>
      </x:c>
      <x:c r="O1597" s="117" t="str">
        <x:v>Jace Gentil</x:v>
      </x:c>
      <x:c r="P1597" s="120" t="n">
        <x:v>45261.835127314815</x:v>
      </x:c>
      <x:c r="Q1597" s="117" t="str">
        <x:v>Jace Gentil</x:v>
      </x:c>
      <x:c r="R1597" s="117" t="str">
        <x:v>KloudGin Case Created Email Notification V2</x:v>
      </x:c>
      <x:c r="S1597" s="119"/>
    </x:row>
    <x:row r="1598" ht="30" customHeight="1">
      <x:c r="A1598" s="117" t="str">
        <x:v>KloudGin_Case_Created_Email_Notification</x:v>
      </x:c>
      <x:c r="B1598" s="117" t="str">
        <x:v>3005b000000PzvpAAC</x:v>
      </x:c>
      <x:c r="C1598" s="117" t="str">
        <x:v>3015b0000011MhcAAE</x:v>
      </x:c>
      <x:c r="D1598" s="118" t="n">
        <x:v>23</x:v>
      </x:c>
      <x:c r="E1598" s="117" t="str">
        <x:v>Obsolete</x:v>
      </x:c>
      <x:c r="F1598" s="117" t="str">
        <x:v>No</x:v>
      </x:c>
      <x:c r="G1598" s="117" t="str">
        <x:v>No</x:v>
      </x:c>
      <x:c r="H1598" s="117" t="str">
        <x:v>AutoLaunchedFlow</x:v>
      </x:c>
      <x:c r="I1598" s="118" t="n">
        <x:v>58</x:v>
      </x:c>
      <x:c r="J1598" s="117" t="str">
        <x:v>unmanaged</x:v>
      </x:c>
      <x:c r="K1598" s="123" t="b">
        <x:v>0</x:v>
      </x:c>
      <x:c r="L1598" s="117"/>
      <x:c r="M1598" s="118"/>
      <x:c r="N1598" s="120" t="n">
        <x:v>45261.87517361111</x:v>
      </x:c>
      <x:c r="O1598" s="117" t="str">
        <x:v>Jace Gentil</x:v>
      </x:c>
      <x:c r="P1598" s="120" t="n">
        <x:v>45261.875243055554</x:v>
      </x:c>
      <x:c r="Q1598" s="117" t="str">
        <x:v>Jace Gentil</x:v>
      </x:c>
      <x:c r="R1598" s="117" t="str">
        <x:v>KloudGin Case Created Email Notification V2</x:v>
      </x:c>
      <x:c r="S1598" s="119"/>
    </x:row>
    <x:row r="1599" ht="30" customHeight="1">
      <x:c r="A1599" s="117" t="str">
        <x:v>KloudGin_Case_Created_Email_Notification</x:v>
      </x:c>
      <x:c r="B1599" s="117" t="str">
        <x:v>3005b000000PzvpAAC</x:v>
      </x:c>
      <x:c r="C1599" s="117" t="str">
        <x:v>3015b0000011MhhAAE</x:v>
      </x:c>
      <x:c r="D1599" s="118" t="n">
        <x:v>24</x:v>
      </x:c>
      <x:c r="E1599" s="117" t="str">
        <x:v>Obsolete</x:v>
      </x:c>
      <x:c r="F1599" s="117" t="str">
        <x:v>No</x:v>
      </x:c>
      <x:c r="G1599" s="117" t="str">
        <x:v>No</x:v>
      </x:c>
      <x:c r="H1599" s="117" t="str">
        <x:v>AutoLaunchedFlow</x:v>
      </x:c>
      <x:c r="I1599" s="118" t="n">
        <x:v>58</x:v>
      </x:c>
      <x:c r="J1599" s="117" t="str">
        <x:v>unmanaged</x:v>
      </x:c>
      <x:c r="K1599" s="123" t="b">
        <x:v>0</x:v>
      </x:c>
      <x:c r="L1599" s="117"/>
      <x:c r="M1599" s="118"/>
      <x:c r="N1599" s="120" t="n">
        <x:v>45261.876238425924</x:v>
      </x:c>
      <x:c r="O1599" s="117" t="str">
        <x:v>Jace Gentil</x:v>
      </x:c>
      <x:c r="P1599" s="120" t="n">
        <x:v>45261.876296296294</x:v>
      </x:c>
      <x:c r="Q1599" s="117" t="str">
        <x:v>Jace Gentil</x:v>
      </x:c>
      <x:c r="R1599" s="117" t="str">
        <x:v>KloudGin Case Created Email Notification V2</x:v>
      </x:c>
      <x:c r="S1599" s="119"/>
    </x:row>
    <x:row r="1600" ht="30" customHeight="1">
      <x:c r="A1600" s="117" t="str">
        <x:v>KloudGin_Case_Created_Email_Notification</x:v>
      </x:c>
      <x:c r="B1600" s="117" t="str">
        <x:v>3005b000000PzvpAAC</x:v>
      </x:c>
      <x:c r="C1600" s="117" t="str">
        <x:v>3015b0000011MjEAAU</x:v>
      </x:c>
      <x:c r="D1600" s="118" t="n">
        <x:v>25</x:v>
      </x:c>
      <x:c r="E1600" s="117" t="str">
        <x:v>Obsolete</x:v>
      </x:c>
      <x:c r="F1600" s="117" t="str">
        <x:v>No</x:v>
      </x:c>
      <x:c r="G1600" s="117" t="str">
        <x:v>No</x:v>
      </x:c>
      <x:c r="H1600" s="117" t="str">
        <x:v>AutoLaunchedFlow</x:v>
      </x:c>
      <x:c r="I1600" s="118" t="n">
        <x:v>58</x:v>
      </x:c>
      <x:c r="J1600" s="117" t="str">
        <x:v>unmanaged</x:v>
      </x:c>
      <x:c r="K1600" s="123" t="b">
        <x:v>0</x:v>
      </x:c>
      <x:c r="L1600" s="117"/>
      <x:c r="M1600" s="118"/>
      <x:c r="N1600" s="120" t="n">
        <x:v>45267.14108796296</x:v>
      </x:c>
      <x:c r="O1600" s="117" t="str">
        <x:v>Jace Gentil</x:v>
      </x:c>
      <x:c r="P1600" s="120" t="n">
        <x:v>45267.14113425926</x:v>
      </x:c>
      <x:c r="Q1600" s="117" t="str">
        <x:v>Jace Gentil</x:v>
      </x:c>
      <x:c r="R1600" s="117" t="str">
        <x:v>KloudGin Case Created Email Notification V2</x:v>
      </x:c>
      <x:c r="S1600" s="119"/>
    </x:row>
    <x:row r="1601" ht="30" customHeight="1">
      <x:c r="A1601" s="117" t="str">
        <x:v>KloudGin_Case_Created_Email_Notification</x:v>
      </x:c>
      <x:c r="B1601" s="117" t="str">
        <x:v>3005b000000PzvpAAC</x:v>
      </x:c>
      <x:c r="C1601" s="117" t="str">
        <x:v>3015b0000011NAUAA2</x:v>
      </x:c>
      <x:c r="D1601" s="118" t="n">
        <x:v>26</x:v>
      </x:c>
      <x:c r="E1601" s="117" t="str">
        <x:v>Obsolete</x:v>
      </x:c>
      <x:c r="F1601" s="117" t="str">
        <x:v>No</x:v>
      </x:c>
      <x:c r="G1601" s="117" t="str">
        <x:v>No</x:v>
      </x:c>
      <x:c r="H1601" s="117" t="str">
        <x:v>AutoLaunchedFlow</x:v>
      </x:c>
      <x:c r="I1601" s="118" t="n">
        <x:v>58</x:v>
      </x:c>
      <x:c r="J1601" s="117" t="str">
        <x:v>unmanaged</x:v>
      </x:c>
      <x:c r="K1601" s="123" t="b">
        <x:v>0</x:v>
      </x:c>
      <x:c r="L1601" s="117"/>
      <x:c r="M1601" s="118"/>
      <x:c r="N1601" s="120" t="n">
        <x:v>45303.8675</x:v>
      </x:c>
      <x:c r="O1601" s="117" t="str">
        <x:v>Jace Gentil</x:v>
      </x:c>
      <x:c r="P1601" s="120" t="n">
        <x:v>45303.86782407408</x:v>
      </x:c>
      <x:c r="Q1601" s="117" t="str">
        <x:v>Jace Gentil</x:v>
      </x:c>
      <x:c r="R1601" s="117" t="str">
        <x:v>KloudGin Case Created Email Notification V2</x:v>
      </x:c>
      <x:c r="S1601" s="119"/>
    </x:row>
    <x:row r="1602" ht="30" customHeight="1">
      <x:c r="A1602" s="117" t="str">
        <x:v>KloudGin_Case_Created_Email_Notification</x:v>
      </x:c>
      <x:c r="B1602" s="117" t="str">
        <x:v>3005b000000PzvpAAC</x:v>
      </x:c>
      <x:c r="C1602" s="117" t="str">
        <x:v>301Ro0000074oVHIAY</x:v>
      </x:c>
      <x:c r="D1602" s="118" t="n">
        <x:v>27</x:v>
      </x:c>
      <x:c r="E1602" s="117" t="str">
        <x:v>Obsolete</x:v>
      </x:c>
      <x:c r="F1602" s="117" t="str">
        <x:v>No</x:v>
      </x:c>
      <x:c r="G1602" s="117" t="str">
        <x:v>No</x:v>
      </x:c>
      <x:c r="H1602" s="117" t="str">
        <x:v>AutoLaunchedFlow</x:v>
      </x:c>
      <x:c r="I1602" s="118" t="n">
        <x:v>58</x:v>
      </x:c>
      <x:c r="J1602" s="117" t="str">
        <x:v>unmanaged</x:v>
      </x:c>
      <x:c r="K1602" s="123" t="b">
        <x:v>0</x:v>
      </x:c>
      <x:c r="L1602" s="117"/>
      <x:c r="M1602" s="118"/>
      <x:c r="N1602" s="120" t="n">
        <x:v>45329.79148148148</x:v>
      </x:c>
      <x:c r="O1602" s="117" t="str">
        <x:v>Jace Gentil</x:v>
      </x:c>
      <x:c r="P1602" s="120" t="n">
        <x:v>45329.79153935185</x:v>
      </x:c>
      <x:c r="Q1602" s="117" t="str">
        <x:v>Jace Gentil</x:v>
      </x:c>
      <x:c r="R1602" s="117" t="str">
        <x:v>KloudGin Case Created Email Notification V2</x:v>
      </x:c>
      <x:c r="S1602" s="119"/>
    </x:row>
    <x:row r="1603" ht="30" customHeight="1">
      <x:c r="A1603" s="117" t="str">
        <x:v>KloudGin_Case_Created_Email_Notification</x:v>
      </x:c>
      <x:c r="B1603" s="117" t="str">
        <x:v>3005b000000PzvpAAC</x:v>
      </x:c>
      <x:c r="C1603" s="117" t="str">
        <x:v>301Ro0000078COAIA2</x:v>
      </x:c>
      <x:c r="D1603" s="118" t="n">
        <x:v>28</x:v>
      </x:c>
      <x:c r="E1603" s="117" t="str">
        <x:v>Active</x:v>
      </x:c>
      <x:c r="F1603" s="117" t="str">
        <x:v>Yes</x:v>
      </x:c>
      <x:c r="G1603" s="117" t="str">
        <x:v>Yes</x:v>
      </x:c>
      <x:c r="H1603" s="117" t="str">
        <x:v>AutoLaunchedFlow</x:v>
      </x:c>
      <x:c r="I1603" s="118" t="n">
        <x:v>58</x:v>
      </x:c>
      <x:c r="J1603" s="117" t="str">
        <x:v>unmanaged</x:v>
      </x:c>
      <x:c r="K1603" s="123" t="b">
        <x:v>0</x:v>
      </x:c>
      <x:c r="L1603" s="117"/>
      <x:c r="M1603" s="118"/>
      <x:c r="N1603" s="120" t="n">
        <x:v>45330.74550925926</x:v>
      </x:c>
      <x:c r="O1603" s="117" t="str">
        <x:v>Jace Gentil</x:v>
      </x:c>
      <x:c r="P1603" s="120" t="n">
        <x:v>45330.74556712963</x:v>
      </x:c>
      <x:c r="Q1603" s="117" t="str">
        <x:v>Jace Gentil</x:v>
      </x:c>
      <x:c r="R1603" s="117" t="str">
        <x:v>KloudGin Case Created Email Notification V2</x:v>
      </x:c>
      <x:c r="S1603" s="119"/>
    </x:row>
    <x:row r="1604" ht="30" customHeight="1">
      <x:c r="A1604" s="117" t="str">
        <x:v>Launch_Calculate_Tax_on_Closed_Won</x:v>
      </x:c>
      <x:c r="B1604" s="117" t="str">
        <x:v>3004O000000LOsdQAG</x:v>
      </x:c>
      <x:c r="C1604" s="117" t="str">
        <x:v>3014O000000M0WxQAK</x:v>
      </x:c>
      <x:c r="D1604" s="118" t="n">
        <x:v>1</x:v>
      </x:c>
      <x:c r="E1604" s="117" t="str">
        <x:v>Draft</x:v>
      </x:c>
      <x:c r="F1604" s="117" t="str">
        <x:v>No</x:v>
      </x:c>
      <x:c r="G1604" s="117" t="str">
        <x:v>Yes</x:v>
      </x:c>
      <x:c r="H1604" s="117" t="str">
        <x:v>Workflow</x:v>
      </x:c>
      <x:c r="I1604" s="118" t="n">
        <x:v>50</x:v>
      </x:c>
      <x:c r="J1604" s="117" t="str">
        <x:v>unmanaged</x:v>
      </x:c>
      <x:c r="K1604" s="123" t="b">
        <x:v>0</x:v>
      </x:c>
      <x:c r="L1604" s="117"/>
      <x:c r="M1604" s="118"/>
      <x:c r="N1604" s="120" t="n">
        <x:v>44199.74930555555</x:v>
      </x:c>
      <x:c r="O1604" s="117" t="str">
        <x:v>Delegate</x:v>
      </x:c>
      <x:c r="P1604" s="120" t="n">
        <x:v>44199.74930555555</x:v>
      </x:c>
      <x:c r="Q1604" s="117" t="str">
        <x:v>Delegate</x:v>
      </x:c>
      <x:c r="R1604" s="117" t="str">
        <x:v>Launch Calculate Tax on Closed Won</x:v>
      </x:c>
      <x:c r="S1604" s="119"/>
    </x:row>
    <x:row r="1605" ht="30" customHeight="1">
      <x:c r="A1605" s="117" t="str">
        <x:v>Lead_Assignment_Flow</x:v>
      </x:c>
      <x:c r="B1605" s="117" t="str">
        <x:v>3005b000000LGhEAAW</x:v>
      </x:c>
      <x:c r="C1605" s="117" t="str">
        <x:v>3015b000000A7zWAAS</x:v>
      </x:c>
      <x:c r="D1605" s="118" t="n">
        <x:v>1</x:v>
      </x:c>
      <x:c r="E1605" s="117" t="str">
        <x:v>Obsolete</x:v>
      </x:c>
      <x:c r="F1605" s="117" t="str">
        <x:v>No</x:v>
      </x:c>
      <x:c r="G1605" s="117" t="str">
        <x:v>No</x:v>
      </x:c>
      <x:c r="H1605" s="117" t="str">
        <x:v>AutoLaunchedFlow</x:v>
      </x:c>
      <x:c r="I1605" s="118" t="n">
        <x:v>56</x:v>
      </x:c>
      <x:c r="J1605" s="117" t="str">
        <x:v>unmanaged</x:v>
      </x:c>
      <x:c r="K1605" s="123" t="b">
        <x:v>0</x:v>
      </x:c>
      <x:c r="L1605" s="117"/>
      <x:c r="M1605" s="118"/>
      <x:c r="N1605" s="120" t="n">
        <x:v>44853.570289351854</x:v>
      </x:c>
      <x:c r="O1605" s="117" t="str">
        <x:v>Delegate</x:v>
      </x:c>
      <x:c r="P1605" s="120" t="n">
        <x:v>44853.58188657407</x:v>
      </x:c>
      <x:c r="Q1605" s="117" t="str">
        <x:v>Delegate</x:v>
      </x:c>
      <x:c r="R1605" s="117" t="str">
        <x:v>Lead Assignment Flow</x:v>
      </x:c>
      <x:c r="S1605" s="119" t="str">
        <x:v>Moves the assignment of leads from the lead assignment rules to this flow. This allows for 2 simultaneous round robin pools and opens up future abilities to expand upon the architecture of assignments.</x:v>
      </x:c>
    </x:row>
    <x:row r="1606" ht="30" customHeight="1">
      <x:c r="A1606" s="117" t="str">
        <x:v>Lead_Assignment_Flow</x:v>
      </x:c>
      <x:c r="B1606" s="117" t="str">
        <x:v>3005b000000LGhEAAW</x:v>
      </x:c>
      <x:c r="C1606" s="117" t="str">
        <x:v>3015b000000A8gVAAS</x:v>
      </x:c>
      <x:c r="D1606" s="118" t="n">
        <x:v>2</x:v>
      </x:c>
      <x:c r="E1606" s="117" t="str">
        <x:v>Obsolete</x:v>
      </x:c>
      <x:c r="F1606" s="117" t="str">
        <x:v>No</x:v>
      </x:c>
      <x:c r="G1606" s="117" t="str">
        <x:v>No</x:v>
      </x:c>
      <x:c r="H1606" s="117" t="str">
        <x:v>AutoLaunchedFlow</x:v>
      </x:c>
      <x:c r="I1606" s="118" t="n">
        <x:v>56</x:v>
      </x:c>
      <x:c r="J1606" s="117" t="str">
        <x:v>unmanaged</x:v>
      </x:c>
      <x:c r="K1606" s="123" t="b">
        <x:v>0</x:v>
      </x:c>
      <x:c r="L1606" s="117"/>
      <x:c r="M1606" s="118"/>
      <x:c r="N1606" s="120" t="n">
        <x:v>44865.61195601852</x:v>
      </x:c>
      <x:c r="O1606" s="117" t="str">
        <x:v>Delegate</x:v>
      </x:c>
      <x:c r="P1606" s="120" t="n">
        <x:v>44865.61369212963</x:v>
      </x:c>
      <x:c r="Q1606" s="117" t="str">
        <x:v>Delegate</x:v>
      </x:c>
      <x:c r="R1606" s="117" t="str">
        <x:v>Lead Assignment Flow</x:v>
      </x:c>
      <x:c r="S1606" s="119" t="str">
        <x:v>Moves the assignment of leads from the lead assignment rules to this flow. This allows for 2 simultaneous round robin pools and opens up future abilities to expand upon the architecture of assignments.</x:v>
      </x:c>
    </x:row>
    <x:row r="1607" ht="30" customHeight="1">
      <x:c r="A1607" s="117" t="str">
        <x:v>Lead_Assignment_Flow</x:v>
      </x:c>
      <x:c r="B1607" s="117" t="str">
        <x:v>3005b000000LGhEAAW</x:v>
      </x:c>
      <x:c r="C1607" s="117" t="str">
        <x:v>3015b000000A9IeAAK</x:v>
      </x:c>
      <x:c r="D1607" s="118" t="n">
        <x:v>3</x:v>
      </x:c>
      <x:c r="E1607" s="117" t="str">
        <x:v>Obsolete</x:v>
      </x:c>
      <x:c r="F1607" s="117" t="str">
        <x:v>No</x:v>
      </x:c>
      <x:c r="G1607" s="117" t="str">
        <x:v>No</x:v>
      </x:c>
      <x:c r="H1607" s="117" t="str">
        <x:v>AutoLaunchedFlow</x:v>
      </x:c>
      <x:c r="I1607" s="118" t="n">
        <x:v>56</x:v>
      </x:c>
      <x:c r="J1607" s="117" t="str">
        <x:v>unmanaged</x:v>
      </x:c>
      <x:c r="K1607" s="123" t="b">
        <x:v>0</x:v>
      </x:c>
      <x:c r="L1607" s="117"/>
      <x:c r="M1607" s="118"/>
      <x:c r="N1607" s="120" t="n">
        <x:v>44869.509722222225</x:v>
      </x:c>
      <x:c r="O1607" s="117" t="str">
        <x:v>Delegate</x:v>
      </x:c>
      <x:c r="P1607" s="120" t="n">
        <x:v>44869.513090277775</x:v>
      </x:c>
      <x:c r="Q1607" s="117" t="str">
        <x:v>Delegate</x:v>
      </x:c>
      <x:c r="R1607" s="117" t="str">
        <x:v>Lead Assignment Flow</x:v>
      </x:c>
      <x:c r="S1607" s="119" t="str">
        <x:v>Moves the assignment of leads from the lead assignment rules to this flow. This allows for 2 simultaneous round robin pools and opens up future abilities to expand upon the architecture of assignments.</x:v>
      </x:c>
    </x:row>
    <x:row r="1608" ht="30" customHeight="1">
      <x:c r="A1608" s="117" t="str">
        <x:v>Lead_Assignment_Flow</x:v>
      </x:c>
      <x:c r="B1608" s="117" t="str">
        <x:v>3005b000000LGhEAAW</x:v>
      </x:c>
      <x:c r="C1608" s="117" t="str">
        <x:v>3015b000000ABcgAAG</x:v>
      </x:c>
      <x:c r="D1608" s="118" t="n">
        <x:v>4</x:v>
      </x:c>
      <x:c r="E1608" s="117" t="str">
        <x:v>Obsolete</x:v>
      </x:c>
      <x:c r="F1608" s="117" t="str">
        <x:v>No</x:v>
      </x:c>
      <x:c r="G1608" s="117" t="str">
        <x:v>No</x:v>
      </x:c>
      <x:c r="H1608" s="117" t="str">
        <x:v>AutoLaunchedFlow</x:v>
      </x:c>
      <x:c r="I1608" s="118" t="n">
        <x:v>56</x:v>
      </x:c>
      <x:c r="J1608" s="117" t="str">
        <x:v>unmanaged</x:v>
      </x:c>
      <x:c r="K1608" s="123" t="b">
        <x:v>0</x:v>
      </x:c>
      <x:c r="L1608" s="117"/>
      <x:c r="M1608" s="118"/>
      <x:c r="N1608" s="120" t="n">
        <x:v>44901.806122685186</x:v>
      </x:c>
      <x:c r="O1608" s="117" t="str">
        <x:v>Jace Gentil</x:v>
      </x:c>
      <x:c r="P1608" s="120" t="n">
        <x:v>44901.806180555555</x:v>
      </x:c>
      <x:c r="Q1608" s="117" t="str">
        <x:v>Jace Gentil</x:v>
      </x:c>
      <x:c r="R1608" s="117" t="str">
        <x:v>Lead Assignment Flow</x:v>
      </x:c>
      <x:c r="S1608" s="119" t="str">
        <x:v>Moves the assignment of leads from the lead assignment rules to this flow. This allows for 2 simultaneous round robin pools and opens up future abilities to expand upon the architecture of assignments.</x:v>
      </x:c>
    </x:row>
    <x:row r="1609" ht="30" customHeight="1">
      <x:c r="A1609" s="117" t="str">
        <x:v>Lead_Assignment_Flow</x:v>
      </x:c>
      <x:c r="B1609" s="117" t="str">
        <x:v>3005b000000LGhEAAW</x:v>
      </x:c>
      <x:c r="C1609" s="117" t="str">
        <x:v>3015b000000ABfLAAW</x:v>
      </x:c>
      <x:c r="D1609" s="118" t="n">
        <x:v>5</x:v>
      </x:c>
      <x:c r="E1609" s="117" t="str">
        <x:v>Obsolete</x:v>
      </x:c>
      <x:c r="F1609" s="117" t="str">
        <x:v>No</x:v>
      </x:c>
      <x:c r="G1609" s="117" t="str">
        <x:v>No</x:v>
      </x:c>
      <x:c r="H1609" s="117" t="str">
        <x:v>AutoLaunchedFlow</x:v>
      </x:c>
      <x:c r="I1609" s="118" t="n">
        <x:v>56</x:v>
      </x:c>
      <x:c r="J1609" s="117" t="str">
        <x:v>unmanaged</x:v>
      </x:c>
      <x:c r="K1609" s="123" t="b">
        <x:v>0</x:v>
      </x:c>
      <x:c r="L1609" s="117"/>
      <x:c r="M1609" s="118"/>
      <x:c r="N1609" s="120" t="n">
        <x:v>44901.90813657407</x:v>
      </x:c>
      <x:c r="O1609" s="117" t="str">
        <x:v>Jace Gentil</x:v>
      </x:c>
      <x:c r="P1609" s="120" t="n">
        <x:v>44901.90818287037</x:v>
      </x:c>
      <x:c r="Q1609" s="117" t="str">
        <x:v>Jace Gentil</x:v>
      </x:c>
      <x:c r="R1609" s="117" t="str">
        <x:v>Lead Assignment Flow</x:v>
      </x:c>
      <x:c r="S1609" s="119" t="str">
        <x:v>Moves the assignment of leads from the lead assignment rules to this flow. This allows for 2 simultaneous round robin pools and opens up future abilities to expand upon the architecture of assignments.</x:v>
      </x:c>
    </x:row>
    <x:row r="1610" ht="30" customHeight="1">
      <x:c r="A1610" s="117" t="str">
        <x:v>Lead_Assignment_Flow</x:v>
      </x:c>
      <x:c r="B1610" s="117" t="str">
        <x:v>3005b000000LGhEAAW</x:v>
      </x:c>
      <x:c r="C1610" s="117" t="str">
        <x:v>3015b000000ACnpAAG</x:v>
      </x:c>
      <x:c r="D1610" s="118" t="n">
        <x:v>6</x:v>
      </x:c>
      <x:c r="E1610" s="117" t="str">
        <x:v>Obsolete</x:v>
      </x:c>
      <x:c r="F1610" s="117" t="str">
        <x:v>No</x:v>
      </x:c>
      <x:c r="G1610" s="117" t="str">
        <x:v>No</x:v>
      </x:c>
      <x:c r="H1610" s="117" t="str">
        <x:v>AutoLaunchedFlow</x:v>
      </x:c>
      <x:c r="I1610" s="118" t="n">
        <x:v>56</x:v>
      </x:c>
      <x:c r="J1610" s="117" t="str">
        <x:v>unmanaged</x:v>
      </x:c>
      <x:c r="K1610" s="123" t="b">
        <x:v>0</x:v>
      </x:c>
      <x:c r="L1610" s="117"/>
      <x:c r="M1610" s="118"/>
      <x:c r="N1610" s="120" t="n">
        <x:v>44915.73752314815</x:v>
      </x:c>
      <x:c r="O1610" s="117" t="str">
        <x:v>Jace Gentil</x:v>
      </x:c>
      <x:c r="P1610" s="120" t="n">
        <x:v>44915.737592592595</x:v>
      </x:c>
      <x:c r="Q1610" s="117" t="str">
        <x:v>Jace Gentil</x:v>
      </x:c>
      <x:c r="R1610" s="117" t="str">
        <x:v>Lead Assignment Flow</x:v>
      </x:c>
      <x:c r="S1610" s="119" t="str">
        <x:v>Moves the assignment of leads from the lead assignment rules to this flow. This allows for 2 simultaneous round robin pools and opens up future abilities to expand upon the architecture of assignments.</x:v>
      </x:c>
    </x:row>
    <x:row r="1611" ht="30" customHeight="1">
      <x:c r="A1611" s="117" t="str">
        <x:v>Lead_Assignment_Flow</x:v>
      </x:c>
      <x:c r="B1611" s="117" t="str">
        <x:v>3005b000000LGhEAAW</x:v>
      </x:c>
      <x:c r="C1611" s="117" t="str">
        <x:v>3015b000000ACo4AAG</x:v>
      </x:c>
      <x:c r="D1611" s="118" t="n">
        <x:v>7</x:v>
      </x:c>
      <x:c r="E1611" s="117" t="str">
        <x:v>Obsolete</x:v>
      </x:c>
      <x:c r="F1611" s="117" t="str">
        <x:v>No</x:v>
      </x:c>
      <x:c r="G1611" s="117" t="str">
        <x:v>No</x:v>
      </x:c>
      <x:c r="H1611" s="117" t="str">
        <x:v>AutoLaunchedFlow</x:v>
      </x:c>
      <x:c r="I1611" s="118" t="n">
        <x:v>56</x:v>
      </x:c>
      <x:c r="J1611" s="117" t="str">
        <x:v>unmanaged</x:v>
      </x:c>
      <x:c r="K1611" s="123" t="b">
        <x:v>0</x:v>
      </x:c>
      <x:c r="L1611" s="117"/>
      <x:c r="M1611" s="118"/>
      <x:c r="N1611" s="120" t="n">
        <x:v>44915.73951388889</x:v>
      </x:c>
      <x:c r="O1611" s="117" t="str">
        <x:v>Jace Gentil</x:v>
      </x:c>
      <x:c r="P1611" s="120" t="n">
        <x:v>44915.739583333336</x:v>
      </x:c>
      <x:c r="Q1611" s="117" t="str">
        <x:v>Jace Gentil</x:v>
      </x:c>
      <x:c r="R1611" s="117" t="str">
        <x:v>Lead Assignment Flow</x:v>
      </x:c>
      <x:c r="S1611" s="119" t="str">
        <x:v>Moves the assignment of leads from the lead assignment rules to this flow. This allows for 2 simultaneous round robin pools and opens up future abilities to expand upon the architecture of assignments.</x:v>
      </x:c>
    </x:row>
    <x:row r="1612" ht="30" customHeight="1">
      <x:c r="A1612" s="117" t="str">
        <x:v>Lead_Assignment_Flow</x:v>
      </x:c>
      <x:c r="B1612" s="117" t="str">
        <x:v>3005b000000LGhEAAW</x:v>
      </x:c>
      <x:c r="C1612" s="117" t="str">
        <x:v>3015b000000ACvyAAG</x:v>
      </x:c>
      <x:c r="D1612" s="118" t="n">
        <x:v>8</x:v>
      </x:c>
      <x:c r="E1612" s="117" t="str">
        <x:v>Obsolete</x:v>
      </x:c>
      <x:c r="F1612" s="117" t="str">
        <x:v>No</x:v>
      </x:c>
      <x:c r="G1612" s="117" t="str">
        <x:v>No</x:v>
      </x:c>
      <x:c r="H1612" s="117" t="str">
        <x:v>AutoLaunchedFlow</x:v>
      </x:c>
      <x:c r="I1612" s="118" t="n">
        <x:v>56</x:v>
      </x:c>
      <x:c r="J1612" s="117" t="str">
        <x:v>unmanaged</x:v>
      </x:c>
      <x:c r="K1612" s="123" t="b">
        <x:v>0</x:v>
      </x:c>
      <x:c r="L1612" s="117"/>
      <x:c r="M1612" s="118"/>
      <x:c r="N1612" s="120" t="n">
        <x:v>44916.643472222226</x:v>
      </x:c>
      <x:c r="O1612" s="117" t="str">
        <x:v>Jace Gentil</x:v>
      </x:c>
      <x:c r="P1612" s="120" t="n">
        <x:v>44936.41168981481</x:v>
      </x:c>
      <x:c r="Q1612" s="117" t="str">
        <x:v>Jon Kean</x:v>
      </x:c>
      <x:c r="R1612" s="117" t="str">
        <x:v>Lead Assignment Flow</x:v>
      </x:c>
      <x:c r="S1612" s="119" t="str">
        <x:v>Moves the assignment of leads from the lead assignment rules to this flow. This allows for 2 simultaneous round robin pools and opens up future abilities to expand upon the architecture of assignments.</x:v>
      </x:c>
    </x:row>
    <x:row r="1613" ht="30" customHeight="1">
      <x:c r="A1613" s="117" t="str">
        <x:v>Lead_Assignment_Flow</x:v>
      </x:c>
      <x:c r="B1613" s="117" t="str">
        <x:v>3005b000000LGhEAAW</x:v>
      </x:c>
      <x:c r="C1613" s="117" t="str">
        <x:v>3015b000000AD7uAAG</x:v>
      </x:c>
      <x:c r="D1613" s="118" t="n">
        <x:v>9</x:v>
      </x:c>
      <x:c r="E1613" s="117" t="str">
        <x:v>Obsolete</x:v>
      </x:c>
      <x:c r="F1613" s="117" t="str">
        <x:v>No</x:v>
      </x:c>
      <x:c r="G1613" s="117" t="str">
        <x:v>No</x:v>
      </x:c>
      <x:c r="H1613" s="117" t="str">
        <x:v>AutoLaunchedFlow</x:v>
      </x:c>
      <x:c r="I1613" s="118" t="n">
        <x:v>56</x:v>
      </x:c>
      <x:c r="J1613" s="117" t="str">
        <x:v>unmanaged</x:v>
      </x:c>
      <x:c r="K1613" s="123" t="b">
        <x:v>0</x:v>
      </x:c>
      <x:c r="L1613" s="117"/>
      <x:c r="M1613" s="118"/>
      <x:c r="N1613" s="120" t="n">
        <x:v>44922.69210648148</x:v>
      </x:c>
      <x:c r="O1613" s="117" t="str">
        <x:v>Delegate</x:v>
      </x:c>
      <x:c r="P1613" s="120" t="n">
        <x:v>44922.69326388889</x:v>
      </x:c>
      <x:c r="Q1613" s="117" t="str">
        <x:v>Delegate</x:v>
      </x:c>
      <x:c r="R1613" s="117" t="str">
        <x:v>Lead Assignment Flow</x:v>
      </x:c>
      <x:c r="S1613" s="119" t="str">
        <x:v>Moves the assignment of leads from the lead assignment rules to this flow. This allows for 2 simultaneous round robin pools and opens up future abilities to expand upon the architecture of assignments.</x:v>
      </x:c>
    </x:row>
    <x:row r="1614" ht="30" customHeight="1">
      <x:c r="A1614" s="117" t="str">
        <x:v>Lead_Assignment_Flow</x:v>
      </x:c>
      <x:c r="B1614" s="117" t="str">
        <x:v>3005b000000LGhEAAW</x:v>
      </x:c>
      <x:c r="C1614" s="117" t="str">
        <x:v>3015b000000AG9jAAG</x:v>
      </x:c>
      <x:c r="D1614" s="118" t="n">
        <x:v>10</x:v>
      </x:c>
      <x:c r="E1614" s="117" t="str">
        <x:v>Obsolete</x:v>
      </x:c>
      <x:c r="F1614" s="117" t="str">
        <x:v>No</x:v>
      </x:c>
      <x:c r="G1614" s="117" t="str">
        <x:v>No</x:v>
      </x:c>
      <x:c r="H1614" s="117" t="str">
        <x:v>AutoLaunchedFlow</x:v>
      </x:c>
      <x:c r="I1614" s="118" t="n">
        <x:v>56</x:v>
      </x:c>
      <x:c r="J1614" s="117" t="str">
        <x:v>unmanaged</x:v>
      </x:c>
      <x:c r="K1614" s="123" t="b">
        <x:v>0</x:v>
      </x:c>
      <x:c r="L1614" s="117"/>
      <x:c r="M1614" s="118"/>
      <x:c r="N1614" s="120" t="n">
        <x:v>44963.84717592593</x:v>
      </x:c>
      <x:c r="O1614" s="117" t="str">
        <x:v>Jace Gentil</x:v>
      </x:c>
      <x:c r="P1614" s="120" t="n">
        <x:v>44963.84725694444</x:v>
      </x:c>
      <x:c r="Q1614" s="117" t="str">
        <x:v>Jace Gentil</x:v>
      </x:c>
      <x:c r="R1614" s="117" t="str">
        <x:v>Lead Assignment Flow</x:v>
      </x:c>
      <x:c r="S1614" s="119" t="str">
        <x:v>Moves the assignment of leads from the lead assignment rules to this flow. This allows for 2 simultaneous round robin pools and opens up future abilities to expand upon the architecture of assignments.</x:v>
      </x:c>
    </x:row>
    <x:row r="1615" ht="30" customHeight="1">
      <x:c r="A1615" s="117" t="str">
        <x:v>Lead_Assignment_Flow</x:v>
      </x:c>
      <x:c r="B1615" s="117" t="str">
        <x:v>3005b000000LGhEAAW</x:v>
      </x:c>
      <x:c r="C1615" s="117" t="str">
        <x:v>3015b000000AGA3AAO</x:v>
      </x:c>
      <x:c r="D1615" s="118" t="n">
        <x:v>11</x:v>
      </x:c>
      <x:c r="E1615" s="117" t="str">
        <x:v>Obsolete</x:v>
      </x:c>
      <x:c r="F1615" s="117" t="str">
        <x:v>No</x:v>
      </x:c>
      <x:c r="G1615" s="117" t="str">
        <x:v>No</x:v>
      </x:c>
      <x:c r="H1615" s="117" t="str">
        <x:v>AutoLaunchedFlow</x:v>
      </x:c>
      <x:c r="I1615" s="118" t="n">
        <x:v>56</x:v>
      </x:c>
      <x:c r="J1615" s="117" t="str">
        <x:v>unmanaged</x:v>
      </x:c>
      <x:c r="K1615" s="123" t="b">
        <x:v>0</x:v>
      </x:c>
      <x:c r="L1615" s="117"/>
      <x:c r="M1615" s="118"/>
      <x:c r="N1615" s="120" t="n">
        <x:v>44963.85530092593</x:v>
      </x:c>
      <x:c r="O1615" s="117" t="str">
        <x:v>Jace Gentil</x:v>
      </x:c>
      <x:c r="P1615" s="120" t="n">
        <x:v>44963.855358796296</x:v>
      </x:c>
      <x:c r="Q1615" s="117" t="str">
        <x:v>Jace Gentil</x:v>
      </x:c>
      <x:c r="R1615" s="117" t="str">
        <x:v>Lead Assignment Flow</x:v>
      </x:c>
      <x:c r="S1615" s="119" t="str">
        <x:v>Moves the assignment of leads from the lead assignment rules to this flow. This allows for 2 simultaneous round robin pools and opens up future abilities to expand upon the architecture of assignments.</x:v>
      </x:c>
    </x:row>
    <x:row r="1616" ht="30" customHeight="1">
      <x:c r="A1616" s="117" t="str">
        <x:v>Lead_Assignment_Flow</x:v>
      </x:c>
      <x:c r="B1616" s="117" t="str">
        <x:v>3005b000000LGhEAAW</x:v>
      </x:c>
      <x:c r="C1616" s="117" t="str">
        <x:v>3015b000000AGA8AAO</x:v>
      </x:c>
      <x:c r="D1616" s="118" t="n">
        <x:v>12</x:v>
      </x:c>
      <x:c r="E1616" s="117" t="str">
        <x:v>Obsolete</x:v>
      </x:c>
      <x:c r="F1616" s="117" t="str">
        <x:v>No</x:v>
      </x:c>
      <x:c r="G1616" s="117" t="str">
        <x:v>No</x:v>
      </x:c>
      <x:c r="H1616" s="117" t="str">
        <x:v>AutoLaunchedFlow</x:v>
      </x:c>
      <x:c r="I1616" s="118" t="n">
        <x:v>56</x:v>
      </x:c>
      <x:c r="J1616" s="117" t="str">
        <x:v>unmanaged</x:v>
      </x:c>
      <x:c r="K1616" s="123" t="b">
        <x:v>0</x:v>
      </x:c>
      <x:c r="L1616" s="117"/>
      <x:c r="M1616" s="118"/>
      <x:c r="N1616" s="120" t="n">
        <x:v>44963.858622685184</x:v>
      </x:c>
      <x:c r="O1616" s="117" t="str">
        <x:v>Jace Gentil</x:v>
      </x:c>
      <x:c r="P1616" s="120" t="n">
        <x:v>44963.85869212963</x:v>
      </x:c>
      <x:c r="Q1616" s="117" t="str">
        <x:v>Jace Gentil</x:v>
      </x:c>
      <x:c r="R1616" s="117" t="str">
        <x:v>Lead Assignment Flow</x:v>
      </x:c>
      <x:c r="S1616" s="119" t="str">
        <x:v>Moves the assignment of leads from the lead assignment rules to this flow. This allows for 2 simultaneous round robin pools and opens up future abilities to expand upon the architecture of assignments.</x:v>
      </x:c>
    </x:row>
    <x:row r="1617" ht="30" customHeight="1">
      <x:c r="A1617" s="117" t="str">
        <x:v>Lead_Assignment_Flow</x:v>
      </x:c>
      <x:c r="B1617" s="117" t="str">
        <x:v>3005b000000LGhEAAW</x:v>
      </x:c>
      <x:c r="C1617" s="117" t="str">
        <x:v>3015b000000AGBaAAO</x:v>
      </x:c>
      <x:c r="D1617" s="118" t="n">
        <x:v>13</x:v>
      </x:c>
      <x:c r="E1617" s="117" t="str">
        <x:v>Obsolete</x:v>
      </x:c>
      <x:c r="F1617" s="117" t="str">
        <x:v>No</x:v>
      </x:c>
      <x:c r="G1617" s="117" t="str">
        <x:v>No</x:v>
      </x:c>
      <x:c r="H1617" s="117" t="str">
        <x:v>AutoLaunchedFlow</x:v>
      </x:c>
      <x:c r="I1617" s="118" t="n">
        <x:v>56</x:v>
      </x:c>
      <x:c r="J1617" s="117" t="str">
        <x:v>unmanaged</x:v>
      </x:c>
      <x:c r="K1617" s="123" t="b">
        <x:v>0</x:v>
      </x:c>
      <x:c r="L1617" s="117"/>
      <x:c r="M1617" s="118"/>
      <x:c r="N1617" s="120" t="n">
        <x:v>44963.96076388889</x:v>
      </x:c>
      <x:c r="O1617" s="117" t="str">
        <x:v>Jace Gentil</x:v>
      </x:c>
      <x:c r="P1617" s="120" t="n">
        <x:v>44963.960810185185</x:v>
      </x:c>
      <x:c r="Q1617" s="117" t="str">
        <x:v>Jace Gentil</x:v>
      </x:c>
      <x:c r="R1617" s="117" t="str">
        <x:v>Lead Assignment Flow</x:v>
      </x:c>
      <x:c r="S1617" s="119" t="str">
        <x:v>Moves the assignment of leads from the lead assignment rules to this flow. This allows for 2 simultaneous round robin pools and opens up future abilities to expand upon the architecture of assignments.</x:v>
      </x:c>
    </x:row>
    <x:row r="1618" ht="30" customHeight="1">
      <x:c r="A1618" s="117" t="str">
        <x:v>Lead_Assignment_Flow</x:v>
      </x:c>
      <x:c r="B1618" s="117" t="str">
        <x:v>3005b000000LGhEAAW</x:v>
      </x:c>
      <x:c r="C1618" s="117" t="str">
        <x:v>3015b000000AGC4AAO</x:v>
      </x:c>
      <x:c r="D1618" s="118" t="n">
        <x:v>14</x:v>
      </x:c>
      <x:c r="E1618" s="117" t="str">
        <x:v>Obsolete</x:v>
      </x:c>
      <x:c r="F1618" s="117" t="str">
        <x:v>No</x:v>
      </x:c>
      <x:c r="G1618" s="117" t="str">
        <x:v>No</x:v>
      </x:c>
      <x:c r="H1618" s="117" t="str">
        <x:v>AutoLaunchedFlow</x:v>
      </x:c>
      <x:c r="I1618" s="118" t="n">
        <x:v>56</x:v>
      </x:c>
      <x:c r="J1618" s="117" t="str">
        <x:v>unmanaged</x:v>
      </x:c>
      <x:c r="K1618" s="123" t="b">
        <x:v>0</x:v>
      </x:c>
      <x:c r="L1618" s="117"/>
      <x:c r="M1618" s="118"/>
      <x:c r="N1618" s="120" t="n">
        <x:v>44964.611909722225</x:v>
      </x:c>
      <x:c r="O1618" s="117" t="str">
        <x:v>Jace Gentil</x:v>
      </x:c>
      <x:c r="P1618" s="120" t="n">
        <x:v>44964.611967592595</x:v>
      </x:c>
      <x:c r="Q1618" s="117" t="str">
        <x:v>Jace Gentil</x:v>
      </x:c>
      <x:c r="R1618" s="117" t="str">
        <x:v>Lead Assignment Flow</x:v>
      </x:c>
      <x:c r="S1618" s="119" t="str">
        <x:v>Moves the assignment of leads from the lead assignment rules to this flow. This allows for 2 simultaneous round robin pools and opens up future abilities to expand upon the architecture of assignments.</x:v>
      </x:c>
    </x:row>
    <x:row r="1619" ht="30" customHeight="1">
      <x:c r="A1619" s="117" t="str">
        <x:v>Lead_Assignment_Flow</x:v>
      </x:c>
      <x:c r="B1619" s="117" t="str">
        <x:v>3005b000000LGhEAAW</x:v>
      </x:c>
      <x:c r="C1619" s="117" t="str">
        <x:v>3015b000000AGC9AAO</x:v>
      </x:c>
      <x:c r="D1619" s="118" t="n">
        <x:v>15</x:v>
      </x:c>
      <x:c r="E1619" s="117" t="str">
        <x:v>Obsolete</x:v>
      </x:c>
      <x:c r="F1619" s="117" t="str">
        <x:v>No</x:v>
      </x:c>
      <x:c r="G1619" s="117" t="str">
        <x:v>No</x:v>
      </x:c>
      <x:c r="H1619" s="117" t="str">
        <x:v>AutoLaunchedFlow</x:v>
      </x:c>
      <x:c r="I1619" s="118" t="n">
        <x:v>56</x:v>
      </x:c>
      <x:c r="J1619" s="117" t="str">
        <x:v>unmanaged</x:v>
      </x:c>
      <x:c r="K1619" s="123" t="b">
        <x:v>0</x:v>
      </x:c>
      <x:c r="L1619" s="117"/>
      <x:c r="M1619" s="118"/>
      <x:c r="N1619" s="120" t="n">
        <x:v>44964.61246527778</x:v>
      </x:c>
      <x:c r="O1619" s="117" t="str">
        <x:v>Jace Gentil</x:v>
      </x:c>
      <x:c r="P1619" s="120" t="n">
        <x:v>44966.78212962963</x:v>
      </x:c>
      <x:c r="Q1619" s="117" t="str">
        <x:v>Delegate</x:v>
      </x:c>
      <x:c r="R1619" s="117" t="str">
        <x:v>Lead Assignment Flow</x:v>
      </x:c>
      <x:c r="S1619" s="119" t="str">
        <x:v>Moves the assignment of leads from the lead assignment rules to this flow. This allows for 2 simultaneous round robin pools and opens up future abilities to expand upon the architecture of assignments.</x:v>
      </x:c>
    </x:row>
    <x:row r="1620" ht="30" customHeight="1">
      <x:c r="A1620" s="117" t="str">
        <x:v>Lead_Assignment_Flow</x:v>
      </x:c>
      <x:c r="B1620" s="117" t="str">
        <x:v>3005b000000LGhEAAW</x:v>
      </x:c>
      <x:c r="C1620" s="117" t="str">
        <x:v>3015b000000AGMTAA4</x:v>
      </x:c>
      <x:c r="D1620" s="118" t="n">
        <x:v>16</x:v>
      </x:c>
      <x:c r="E1620" s="117" t="str">
        <x:v>Obsolete</x:v>
      </x:c>
      <x:c r="F1620" s="117" t="str">
        <x:v>No</x:v>
      </x:c>
      <x:c r="G1620" s="117" t="str">
        <x:v>No</x:v>
      </x:c>
      <x:c r="H1620" s="117" t="str">
        <x:v>AutoLaunchedFlow</x:v>
      </x:c>
      <x:c r="I1620" s="118" t="n">
        <x:v>56</x:v>
      </x:c>
      <x:c r="J1620" s="117" t="str">
        <x:v>unmanaged</x:v>
      </x:c>
      <x:c r="K1620" s="123" t="b">
        <x:v>0</x:v>
      </x:c>
      <x:c r="L1620" s="117"/>
      <x:c r="M1620" s="118"/>
      <x:c r="N1620" s="120" t="n">
        <x:v>44966.79605324074</x:v>
      </x:c>
      <x:c r="O1620" s="117" t="str">
        <x:v>Delegate</x:v>
      </x:c>
      <x:c r="P1620" s="120" t="n">
        <x:v>44966.796111111114</x:v>
      </x:c>
      <x:c r="Q1620" s="117" t="str">
        <x:v>Delegate</x:v>
      </x:c>
      <x:c r="R1620" s="117" t="str">
        <x:v>Lead Assignment Flow</x:v>
      </x:c>
      <x:c r="S1620" s="119" t="str">
        <x:v>Added Last Form Submission to = Today &amp; changed to Created &amp; Updated to trigger flow.</x:v>
      </x:c>
    </x:row>
    <x:row r="1621" ht="30" customHeight="1">
      <x:c r="A1621" s="117" t="str">
        <x:v>Lead_Assignment_Flow</x:v>
      </x:c>
      <x:c r="B1621" s="117" t="str">
        <x:v>3005b000000LGhEAAW</x:v>
      </x:c>
      <x:c r="C1621" s="117" t="str">
        <x:v>3015b000000AGMYAA4</x:v>
      </x:c>
      <x:c r="D1621" s="118" t="n">
        <x:v>17</x:v>
      </x:c>
      <x:c r="E1621" s="117" t="str">
        <x:v>Obsolete</x:v>
      </x:c>
      <x:c r="F1621" s="117" t="str">
        <x:v>No</x:v>
      </x:c>
      <x:c r="G1621" s="117" t="str">
        <x:v>No</x:v>
      </x:c>
      <x:c r="H1621" s="117" t="str">
        <x:v>AutoLaunchedFlow</x:v>
      </x:c>
      <x:c r="I1621" s="118" t="n">
        <x:v>56</x:v>
      </x:c>
      <x:c r="J1621" s="117" t="str">
        <x:v>unmanaged</x:v>
      </x:c>
      <x:c r="K1621" s="123" t="b">
        <x:v>0</x:v>
      </x:c>
      <x:c r="L1621" s="117"/>
      <x:c r="M1621" s="118"/>
      <x:c r="N1621" s="120" t="n">
        <x:v>44966.798738425925</x:v>
      </x:c>
      <x:c r="O1621" s="117" t="str">
        <x:v>Delegate</x:v>
      </x:c>
      <x:c r="P1621" s="120" t="n">
        <x:v>44966.79881944445</x:v>
      </x:c>
      <x:c r="Q1621" s="117" t="str">
        <x:v>Delegate</x:v>
      </x:c>
      <x:c r="R1621" s="117" t="str">
        <x:v>Lead Assignment Flow</x:v>
      </x:c>
      <x:c r="S1621" s="119" t="str">
        <x:v>Added Last Form Submission to = Today &amp; changed to Created &amp; Updated to trigger flow.</x:v>
      </x:c>
    </x:row>
    <x:row r="1622" ht="30" customHeight="1">
      <x:c r="A1622" s="117" t="str">
        <x:v>Lead_Assignment_Flow</x:v>
      </x:c>
      <x:c r="B1622" s="117" t="str">
        <x:v>3005b000000LGhEAAW</x:v>
      </x:c>
      <x:c r="C1622" s="117" t="str">
        <x:v>3015b000000AGMiAAO</x:v>
      </x:c>
      <x:c r="D1622" s="118" t="n">
        <x:v>18</x:v>
      </x:c>
      <x:c r="E1622" s="117" t="str">
        <x:v>Obsolete</x:v>
      </x:c>
      <x:c r="F1622" s="117" t="str">
        <x:v>No</x:v>
      </x:c>
      <x:c r="G1622" s="117" t="str">
        <x:v>No</x:v>
      </x:c>
      <x:c r="H1622" s="117" t="str">
        <x:v>AutoLaunchedFlow</x:v>
      </x:c>
      <x:c r="I1622" s="118" t="n">
        <x:v>56</x:v>
      </x:c>
      <x:c r="J1622" s="117" t="str">
        <x:v>unmanaged</x:v>
      </x:c>
      <x:c r="K1622" s="123" t="b">
        <x:v>0</x:v>
      </x:c>
      <x:c r="L1622" s="117"/>
      <x:c r="M1622" s="118"/>
      <x:c r="N1622" s="120" t="n">
        <x:v>44966.8071875</x:v>
      </x:c>
      <x:c r="O1622" s="117" t="str">
        <x:v>Delegate</x:v>
      </x:c>
      <x:c r="P1622" s="120" t="n">
        <x:v>44988.81391203704</x:v>
      </x:c>
      <x:c r="Q1622" s="117" t="str">
        <x:v>Delegate</x:v>
      </x:c>
      <x:c r="R1622" s="117" t="str">
        <x:v>Lead Assignment Flow</x:v>
      </x:c>
      <x:c r="S1622" s="119" t="str">
        <x:v>Testing no time delay</x:v>
      </x:c>
    </x:row>
    <x:row r="1623" ht="30" customHeight="1">
      <x:c r="A1623" s="117" t="str">
        <x:v>Lead_Assignment_Flow</x:v>
      </x:c>
      <x:c r="B1623" s="117" t="str">
        <x:v>3005b000000LGhEAAW</x:v>
      </x:c>
      <x:c r="C1623" s="117" t="str">
        <x:v>3015b000000W19YAAS</x:v>
      </x:c>
      <x:c r="D1623" s="118" t="n">
        <x:v>19</x:v>
      </x:c>
      <x:c r="E1623" s="117" t="str">
        <x:v>Obsolete</x:v>
      </x:c>
      <x:c r="F1623" s="117" t="str">
        <x:v>No</x:v>
      </x:c>
      <x:c r="G1623" s="117" t="str">
        <x:v>No</x:v>
      </x:c>
      <x:c r="H1623" s="117" t="str">
        <x:v>AutoLaunchedFlow</x:v>
      </x:c>
      <x:c r="I1623" s="118" t="n">
        <x:v>56</x:v>
      </x:c>
      <x:c r="J1623" s="117" t="str">
        <x:v>unmanaged</x:v>
      </x:c>
      <x:c r="K1623" s="123" t="b">
        <x:v>0</x:v>
      </x:c>
      <x:c r="L1623" s="117"/>
      <x:c r="M1623" s="118"/>
      <x:c r="N1623" s="120" t="n">
        <x:v>45014.997615740744</x:v>
      </x:c>
      <x:c r="O1623" s="117" t="str">
        <x:v>Jace Gentil</x:v>
      </x:c>
      <x:c r="P1623" s="120" t="n">
        <x:v>45014.997662037036</x:v>
      </x:c>
      <x:c r="Q1623" s="117" t="str">
        <x:v>Jace Gentil</x:v>
      </x:c>
      <x:c r="R1623" s="117" t="str">
        <x:v>Lead Assignment Flow</x:v>
      </x:c>
      <x:c r="S1623" s="119" t="str">
        <x:v>Testing no time delay</x:v>
      </x:c>
    </x:row>
    <x:row r="1624" ht="30" customHeight="1">
      <x:c r="A1624" s="117" t="str">
        <x:v>Lead_Assignment_Flow</x:v>
      </x:c>
      <x:c r="B1624" s="117" t="str">
        <x:v>3005b000000LGhEAAW</x:v>
      </x:c>
      <x:c r="C1624" s="117" t="str">
        <x:v>3015b000000W1YdAAK</x:v>
      </x:c>
      <x:c r="D1624" s="118" t="n">
        <x:v>20</x:v>
      </x:c>
      <x:c r="E1624" s="117" t="str">
        <x:v>Obsolete</x:v>
      </x:c>
      <x:c r="F1624" s="117" t="str">
        <x:v>No</x:v>
      </x:c>
      <x:c r="G1624" s="117" t="str">
        <x:v>No</x:v>
      </x:c>
      <x:c r="H1624" s="117" t="str">
        <x:v>AutoLaunchedFlow</x:v>
      </x:c>
      <x:c r="I1624" s="118" t="n">
        <x:v>56</x:v>
      </x:c>
      <x:c r="J1624" s="117" t="str">
        <x:v>unmanaged</x:v>
      </x:c>
      <x:c r="K1624" s="123" t="b">
        <x:v>0</x:v>
      </x:c>
      <x:c r="L1624" s="117"/>
      <x:c r="M1624" s="118"/>
      <x:c r="N1624" s="120" t="n">
        <x:v>45028.56046296296</x:v>
      </x:c>
      <x:c r="O1624" s="117" t="str">
        <x:v>Jace Gentil</x:v>
      </x:c>
      <x:c r="P1624" s="120" t="n">
        <x:v>45028.560520833336</x:v>
      </x:c>
      <x:c r="Q1624" s="117" t="str">
        <x:v>Jace Gentil</x:v>
      </x:c>
      <x:c r="R1624" s="117" t="str">
        <x:v>Lead Assignment Flow</x:v>
      </x:c>
      <x:c r="S1624" s="119" t="str">
        <x:v>Testing no time delay</x:v>
      </x:c>
    </x:row>
    <x:row r="1625" ht="30" customHeight="1">
      <x:c r="A1625" s="117" t="str">
        <x:v>Lead_Assignment_Flow</x:v>
      </x:c>
      <x:c r="B1625" s="117" t="str">
        <x:v>3005b000000LGhEAAW</x:v>
      </x:c>
      <x:c r="C1625" s="117" t="str">
        <x:v>3015b000000W3KYAA0</x:v>
      </x:c>
      <x:c r="D1625" s="118" t="n">
        <x:v>21</x:v>
      </x:c>
      <x:c r="E1625" s="117" t="str">
        <x:v>Obsolete</x:v>
      </x:c>
      <x:c r="F1625" s="117" t="str">
        <x:v>No</x:v>
      </x:c>
      <x:c r="G1625" s="117" t="str">
        <x:v>No</x:v>
      </x:c>
      <x:c r="H1625" s="117" t="str">
        <x:v>AutoLaunchedFlow</x:v>
      </x:c>
      <x:c r="I1625" s="118" t="n">
        <x:v>56</x:v>
      </x:c>
      <x:c r="J1625" s="117" t="str">
        <x:v>unmanaged</x:v>
      </x:c>
      <x:c r="K1625" s="123" t="b">
        <x:v>0</x:v>
      </x:c>
      <x:c r="L1625" s="117"/>
      <x:c r="M1625" s="118"/>
      <x:c r="N1625" s="120" t="n">
        <x:v>45069.70469907407</x:v>
      </x:c>
      <x:c r="O1625" s="117" t="str">
        <x:v>Jace Gentil</x:v>
      </x:c>
      <x:c r="P1625" s="120" t="n">
        <x:v>45069.70474537037</x:v>
      </x:c>
      <x:c r="Q1625" s="117" t="str">
        <x:v>Jace Gentil</x:v>
      </x:c>
      <x:c r="R1625" s="117" t="str">
        <x:v>Lead Assignment Flow</x:v>
      </x:c>
      <x:c r="S1625" s="119" t="str">
        <x:v>Testing no time delay</x:v>
      </x:c>
    </x:row>
    <x:row r="1626" ht="30" customHeight="1">
      <x:c r="A1626" s="117" t="str">
        <x:v>Lead_Assignment_Flow</x:v>
      </x:c>
      <x:c r="B1626" s="117" t="str">
        <x:v>3005b000000LGhEAAW</x:v>
      </x:c>
      <x:c r="C1626" s="117" t="str">
        <x:v>3015b000000AQfzAAG</x:v>
      </x:c>
      <x:c r="D1626" s="118" t="n">
        <x:v>22</x:v>
      </x:c>
      <x:c r="E1626" s="117" t="str">
        <x:v>Obsolete</x:v>
      </x:c>
      <x:c r="F1626" s="117" t="str">
        <x:v>No</x:v>
      </x:c>
      <x:c r="G1626" s="117" t="str">
        <x:v>No</x:v>
      </x:c>
      <x:c r="H1626" s="117" t="str">
        <x:v>AutoLaunchedFlow</x:v>
      </x:c>
      <x:c r="I1626" s="118" t="n">
        <x:v>56</x:v>
      </x:c>
      <x:c r="J1626" s="117" t="str">
        <x:v>unmanaged</x:v>
      </x:c>
      <x:c r="K1626" s="123" t="b">
        <x:v>0</x:v>
      </x:c>
      <x:c r="L1626" s="117"/>
      <x:c r="M1626" s="118"/>
      <x:c r="N1626" s="120" t="n">
        <x:v>45154.87943287037</x:v>
      </x:c>
      <x:c r="O1626" s="117" t="str">
        <x:v>Jace Gentil</x:v>
      </x:c>
      <x:c r="P1626" s="120" t="n">
        <x:v>45154.87956018518</x:v>
      </x:c>
      <x:c r="Q1626" s="117" t="str">
        <x:v>Jace Gentil</x:v>
      </x:c>
      <x:c r="R1626" s="117" t="str">
        <x:v>Lead Assignment Flow</x:v>
      </x:c>
      <x:c r="S1626" s="119" t="str">
        <x:v>Testing no time delay</x:v>
      </x:c>
    </x:row>
    <x:row r="1627" ht="30" customHeight="1">
      <x:c r="A1627" s="117" t="str">
        <x:v>Lead_Assignment_Flow</x:v>
      </x:c>
      <x:c r="B1627" s="117" t="str">
        <x:v>3005b000000LGhEAAW</x:v>
      </x:c>
      <x:c r="C1627" s="117" t="str">
        <x:v>3015b000000AR04AAG</x:v>
      </x:c>
      <x:c r="D1627" s="118" t="n">
        <x:v>23</x:v>
      </x:c>
      <x:c r="E1627" s="117" t="str">
        <x:v>Obsolete</x:v>
      </x:c>
      <x:c r="F1627" s="117" t="str">
        <x:v>No</x:v>
      </x:c>
      <x:c r="G1627" s="117" t="str">
        <x:v>No</x:v>
      </x:c>
      <x:c r="H1627" s="117" t="str">
        <x:v>AutoLaunchedFlow</x:v>
      </x:c>
      <x:c r="I1627" s="118" t="n">
        <x:v>56</x:v>
      </x:c>
      <x:c r="J1627" s="117" t="str">
        <x:v>unmanaged</x:v>
      </x:c>
      <x:c r="K1627" s="123" t="b">
        <x:v>0</x:v>
      </x:c>
      <x:c r="L1627" s="117"/>
      <x:c r="M1627" s="118"/>
      <x:c r="N1627" s="120" t="n">
        <x:v>45161.585648148146</x:v>
      </x:c>
      <x:c r="O1627" s="117" t="str">
        <x:v>Jace Gentil</x:v>
      </x:c>
      <x:c r="P1627" s="120" t="n">
        <x:v>45161.585694444446</x:v>
      </x:c>
      <x:c r="Q1627" s="117" t="str">
        <x:v>Jace Gentil</x:v>
      </x:c>
      <x:c r="R1627" s="117" t="str">
        <x:v>Lead Assignment Flow</x:v>
      </x:c>
      <x:c r="S1627" s="119" t="str">
        <x:v>Testing no time delay</x:v>
      </x:c>
    </x:row>
    <x:row r="1628" ht="30" customHeight="1">
      <x:c r="A1628" s="117" t="str">
        <x:v>Lead_Assignment_Flow</x:v>
      </x:c>
      <x:c r="B1628" s="117" t="str">
        <x:v>3005b000000LGhEAAW</x:v>
      </x:c>
      <x:c r="C1628" s="117" t="str">
        <x:v>3015b000000ARE1AAO</x:v>
      </x:c>
      <x:c r="D1628" s="118" t="n">
        <x:v>24</x:v>
      </x:c>
      <x:c r="E1628" s="117" t="str">
        <x:v>Obsolete</x:v>
      </x:c>
      <x:c r="F1628" s="117" t="str">
        <x:v>No</x:v>
      </x:c>
      <x:c r="G1628" s="117" t="str">
        <x:v>No</x:v>
      </x:c>
      <x:c r="H1628" s="117" t="str">
        <x:v>AutoLaunchedFlow</x:v>
      </x:c>
      <x:c r="I1628" s="118" t="n">
        <x:v>56</x:v>
      </x:c>
      <x:c r="J1628" s="117" t="str">
        <x:v>unmanaged</x:v>
      </x:c>
      <x:c r="K1628" s="123" t="b">
        <x:v>0</x:v>
      </x:c>
      <x:c r="L1628" s="117"/>
      <x:c r="M1628" s="118"/>
      <x:c r="N1628" s="120" t="n">
        <x:v>45163.65232638889</x:v>
      </x:c>
      <x:c r="O1628" s="117" t="str">
        <x:v>Jace Gentil</x:v>
      </x:c>
      <x:c r="P1628" s="120" t="n">
        <x:v>45163.65237268519</x:v>
      </x:c>
      <x:c r="Q1628" s="117" t="str">
        <x:v>Jace Gentil</x:v>
      </x:c>
      <x:c r="R1628" s="117" t="str">
        <x:v>Lead Assignment Flow</x:v>
      </x:c>
      <x:c r="S1628" s="119" t="str">
        <x:v>Testing no time delay</x:v>
      </x:c>
    </x:row>
    <x:row r="1629" ht="30" customHeight="1">
      <x:c r="A1629" s="117" t="str">
        <x:v>Lead_Assignment_Flow</x:v>
      </x:c>
      <x:c r="B1629" s="117" t="str">
        <x:v>3005b000000LGhEAAW</x:v>
      </x:c>
      <x:c r="C1629" s="117" t="str">
        <x:v>3015b000000ARE6AAO</x:v>
      </x:c>
      <x:c r="D1629" s="118" t="n">
        <x:v>25</x:v>
      </x:c>
      <x:c r="E1629" s="117" t="str">
        <x:v>Draft</x:v>
      </x:c>
      <x:c r="F1629" s="117" t="str">
        <x:v>No</x:v>
      </x:c>
      <x:c r="G1629" s="117" t="str">
        <x:v>No</x:v>
      </x:c>
      <x:c r="H1629" s="117" t="str">
        <x:v>AutoLaunchedFlow</x:v>
      </x:c>
      <x:c r="I1629" s="118" t="n">
        <x:v>56</x:v>
      </x:c>
      <x:c r="J1629" s="117" t="str">
        <x:v>unmanaged</x:v>
      </x:c>
      <x:c r="K1629" s="123" t="b">
        <x:v>0</x:v>
      </x:c>
      <x:c r="L1629" s="117"/>
      <x:c r="M1629" s="118"/>
      <x:c r="N1629" s="120" t="n">
        <x:v>45163.653703703705</x:v>
      </x:c>
      <x:c r="O1629" s="117" t="str">
        <x:v>Jace Gentil</x:v>
      </x:c>
      <x:c r="P1629" s="120" t="n">
        <x:v>45163.65372685185</x:v>
      </x:c>
      <x:c r="Q1629" s="117" t="str">
        <x:v>Jace Gentil</x:v>
      </x:c>
      <x:c r="R1629" s="117" t="str">
        <x:v>Lead Assignment Flow</x:v>
      </x:c>
      <x:c r="S1629" s="119" t="str">
        <x:v>Testing no time delay</x:v>
      </x:c>
    </x:row>
    <x:row r="1630" ht="30" customHeight="1">
      <x:c r="A1630" s="117" t="str">
        <x:v>Lead_Assignment_Flow</x:v>
      </x:c>
      <x:c r="B1630" s="117" t="str">
        <x:v>3005b000000LGhEAAW</x:v>
      </x:c>
      <x:c r="C1630" s="117" t="str">
        <x:v>3015b000000AREQAA4</x:v>
      </x:c>
      <x:c r="D1630" s="118" t="n">
        <x:v>26</x:v>
      </x:c>
      <x:c r="E1630" s="117" t="str">
        <x:v>Obsolete</x:v>
      </x:c>
      <x:c r="F1630" s="117" t="str">
        <x:v>No</x:v>
      </x:c>
      <x:c r="G1630" s="117" t="str">
        <x:v>No</x:v>
      </x:c>
      <x:c r="H1630" s="117" t="str">
        <x:v>AutoLaunchedFlow</x:v>
      </x:c>
      <x:c r="I1630" s="118" t="n">
        <x:v>56</x:v>
      </x:c>
      <x:c r="J1630" s="117" t="str">
        <x:v>unmanaged</x:v>
      </x:c>
      <x:c r="K1630" s="123" t="b">
        <x:v>0</x:v>
      </x:c>
      <x:c r="L1630" s="117"/>
      <x:c r="M1630" s="118"/>
      <x:c r="N1630" s="120" t="n">
        <x:v>45163.66135416667</x:v>
      </x:c>
      <x:c r="O1630" s="117" t="str">
        <x:v>Jace Gentil</x:v>
      </x:c>
      <x:c r="P1630" s="120" t="n">
        <x:v>45163.661412037036</x:v>
      </x:c>
      <x:c r="Q1630" s="117" t="str">
        <x:v>Jace Gentil</x:v>
      </x:c>
      <x:c r="R1630" s="117" t="str">
        <x:v>Lead Assignment Flow</x:v>
      </x:c>
      <x:c r="S1630" s="119" t="str">
        <x:v>Testing no time delay</x:v>
      </x:c>
    </x:row>
    <x:row r="1631" ht="30" customHeight="1">
      <x:c r="A1631" s="117" t="str">
        <x:v>Lead_Assignment_Flow</x:v>
      </x:c>
      <x:c r="B1631" s="117" t="str">
        <x:v>3005b000000LGhEAAW</x:v>
      </x:c>
      <x:c r="C1631" s="117" t="str">
        <x:v>3015b000000ARvjAAG</x:v>
      </x:c>
      <x:c r="D1631" s="118" t="n">
        <x:v>27</x:v>
      </x:c>
      <x:c r="E1631" s="117" t="str">
        <x:v>Obsolete</x:v>
      </x:c>
      <x:c r="F1631" s="117" t="str">
        <x:v>No</x:v>
      </x:c>
      <x:c r="G1631" s="117" t="str">
        <x:v>No</x:v>
      </x:c>
      <x:c r="H1631" s="117" t="str">
        <x:v>AutoLaunchedFlow</x:v>
      </x:c>
      <x:c r="I1631" s="118" t="n">
        <x:v>56</x:v>
      </x:c>
      <x:c r="J1631" s="117" t="str">
        <x:v>unmanaged</x:v>
      </x:c>
      <x:c r="K1631" s="123" t="b">
        <x:v>0</x:v>
      </x:c>
      <x:c r="L1631" s="117"/>
      <x:c r="M1631" s="118"/>
      <x:c r="N1631" s="120" t="n">
        <x:v>45176.88731481481</x:v>
      </x:c>
      <x:c r="O1631" s="117" t="str">
        <x:v>Jace Gentil</x:v>
      </x:c>
      <x:c r="P1631" s="120" t="n">
        <x:v>45176.88738425926</x:v>
      </x:c>
      <x:c r="Q1631" s="117" t="str">
        <x:v>Jace Gentil</x:v>
      </x:c>
      <x:c r="R1631" s="117" t="str">
        <x:v>Lead Assignment Flow</x:v>
      </x:c>
      <x:c r="S1631" s="119" t="str">
        <x:v>Testing no time delay</x:v>
      </x:c>
    </x:row>
    <x:row r="1632" ht="30" customHeight="1">
      <x:c r="A1632" s="117" t="str">
        <x:v>Lead_Assignment_Flow</x:v>
      </x:c>
      <x:c r="B1632" s="117" t="str">
        <x:v>3005b000000LGhEAAW</x:v>
      </x:c>
      <x:c r="C1632" s="117" t="str">
        <x:v>3015b000000ARvoAAG</x:v>
      </x:c>
      <x:c r="D1632" s="118" t="n">
        <x:v>28</x:v>
      </x:c>
      <x:c r="E1632" s="117" t="str">
        <x:v>Obsolete</x:v>
      </x:c>
      <x:c r="F1632" s="117" t="str">
        <x:v>No</x:v>
      </x:c>
      <x:c r="G1632" s="117" t="str">
        <x:v>No</x:v>
      </x:c>
      <x:c r="H1632" s="117" t="str">
        <x:v>AutoLaunchedFlow</x:v>
      </x:c>
      <x:c r="I1632" s="118" t="n">
        <x:v>56</x:v>
      </x:c>
      <x:c r="J1632" s="117" t="str">
        <x:v>unmanaged</x:v>
      </x:c>
      <x:c r="K1632" s="123" t="b">
        <x:v>0</x:v>
      </x:c>
      <x:c r="L1632" s="117"/>
      <x:c r="M1632" s="118"/>
      <x:c r="N1632" s="120" t="n">
        <x:v>45176.88994212963</x:v>
      </x:c>
      <x:c r="O1632" s="117" t="str">
        <x:v>Jace Gentil</x:v>
      </x:c>
      <x:c r="P1632" s="120" t="n">
        <x:v>45176.89</x:v>
      </x:c>
      <x:c r="Q1632" s="117" t="str">
        <x:v>Jace Gentil</x:v>
      </x:c>
      <x:c r="R1632" s="117" t="str">
        <x:v>Lead Assignment Flow</x:v>
      </x:c>
      <x:c r="S1632" s="119" t="str">
        <x:v>Testing no time delay</x:v>
      </x:c>
    </x:row>
    <x:row r="1633" ht="30" customHeight="1">
      <x:c r="A1633" s="117" t="str">
        <x:v>Lead_Assignment_Flow</x:v>
      </x:c>
      <x:c r="B1633" s="117" t="str">
        <x:v>3005b000000LGhEAAW</x:v>
      </x:c>
      <x:c r="C1633" s="117" t="str">
        <x:v>3015b000000ARvyAAG</x:v>
      </x:c>
      <x:c r="D1633" s="118" t="n">
        <x:v>29</x:v>
      </x:c>
      <x:c r="E1633" s="117" t="str">
        <x:v>Obsolete</x:v>
      </x:c>
      <x:c r="F1633" s="117" t="str">
        <x:v>No</x:v>
      </x:c>
      <x:c r="G1633" s="117" t="str">
        <x:v>No</x:v>
      </x:c>
      <x:c r="H1633" s="117" t="str">
        <x:v>AutoLaunchedFlow</x:v>
      </x:c>
      <x:c r="I1633" s="118" t="n">
        <x:v>56</x:v>
      </x:c>
      <x:c r="J1633" s="117" t="str">
        <x:v>unmanaged</x:v>
      </x:c>
      <x:c r="K1633" s="123" t="b">
        <x:v>0</x:v>
      </x:c>
      <x:c r="L1633" s="117"/>
      <x:c r="M1633" s="118"/>
      <x:c r="N1633" s="120" t="n">
        <x:v>45176.900092592594</x:v>
      </x:c>
      <x:c r="O1633" s="117" t="str">
        <x:v>Jace Gentil</x:v>
      </x:c>
      <x:c r="P1633" s="120" t="n">
        <x:v>45176.900243055556</x:v>
      </x:c>
      <x:c r="Q1633" s="117" t="str">
        <x:v>Jace Gentil</x:v>
      </x:c>
      <x:c r="R1633" s="117" t="str">
        <x:v>Lead Assignment Flow</x:v>
      </x:c>
      <x:c r="S1633" s="119" t="str">
        <x:v>Testing no time delay</x:v>
      </x:c>
    </x:row>
    <x:row r="1634" ht="30" customHeight="1">
      <x:c r="A1634" s="117" t="str">
        <x:v>Lead_Assignment_Flow</x:v>
      </x:c>
      <x:c r="B1634" s="117" t="str">
        <x:v>3005b000000LGhEAAW</x:v>
      </x:c>
      <x:c r="C1634" s="117" t="str">
        <x:v>3015b000000ARxkAAG</x:v>
      </x:c>
      <x:c r="D1634" s="118" t="n">
        <x:v>30</x:v>
      </x:c>
      <x:c r="E1634" s="117" t="str">
        <x:v>Obsolete</x:v>
      </x:c>
      <x:c r="F1634" s="117" t="str">
        <x:v>No</x:v>
      </x:c>
      <x:c r="G1634" s="117" t="str">
        <x:v>No</x:v>
      </x:c>
      <x:c r="H1634" s="117" t="str">
        <x:v>AutoLaunchedFlow</x:v>
      </x:c>
      <x:c r="I1634" s="118" t="n">
        <x:v>56</x:v>
      </x:c>
      <x:c r="J1634" s="117" t="str">
        <x:v>unmanaged</x:v>
      </x:c>
      <x:c r="K1634" s="123" t="b">
        <x:v>0</x:v>
      </x:c>
      <x:c r="L1634" s="117"/>
      <x:c r="M1634" s="118"/>
      <x:c r="N1634" s="120" t="n">
        <x:v>45177.651458333334</x:v>
      </x:c>
      <x:c r="O1634" s="117" t="str">
        <x:v>Jace Gentil</x:v>
      </x:c>
      <x:c r="P1634" s="120" t="n">
        <x:v>45177.65153935185</x:v>
      </x:c>
      <x:c r="Q1634" s="117" t="str">
        <x:v>Jace Gentil</x:v>
      </x:c>
      <x:c r="R1634" s="117" t="str">
        <x:v>Lead Assignment Flow</x:v>
      </x:c>
      <x:c r="S1634" s="119" t="str">
        <x:v>Testing no time delay</x:v>
      </x:c>
    </x:row>
    <x:row r="1635" ht="30" customHeight="1">
      <x:c r="A1635" s="117" t="str">
        <x:v>Lead_Assignment_Flow</x:v>
      </x:c>
      <x:c r="B1635" s="117" t="str">
        <x:v>3005b000000LGhEAAW</x:v>
      </x:c>
      <x:c r="C1635" s="117" t="str">
        <x:v>3015b000000ASytAAG</x:v>
      </x:c>
      <x:c r="D1635" s="118" t="n">
        <x:v>31</x:v>
      </x:c>
      <x:c r="E1635" s="117" t="str">
        <x:v>Obsolete</x:v>
      </x:c>
      <x:c r="F1635" s="117" t="str">
        <x:v>No</x:v>
      </x:c>
      <x:c r="G1635" s="117" t="str">
        <x:v>No</x:v>
      </x:c>
      <x:c r="H1635" s="117" t="str">
        <x:v>AutoLaunchedFlow</x:v>
      </x:c>
      <x:c r="I1635" s="118" t="n">
        <x:v>56</x:v>
      </x:c>
      <x:c r="J1635" s="117" t="str">
        <x:v>unmanaged</x:v>
      </x:c>
      <x:c r="K1635" s="123" t="b">
        <x:v>0</x:v>
      </x:c>
      <x:c r="L1635" s="117"/>
      <x:c r="M1635" s="118"/>
      <x:c r="N1635" s="120" t="n">
        <x:v>45194.74857638889</x:v>
      </x:c>
      <x:c r="O1635" s="117" t="str">
        <x:v>Jace Gentil</x:v>
      </x:c>
      <x:c r="P1635" s="120" t="n">
        <x:v>45194.74865740741</x:v>
      </x:c>
      <x:c r="Q1635" s="117" t="str">
        <x:v>Jace Gentil</x:v>
      </x:c>
      <x:c r="R1635" s="117" t="str">
        <x:v>Lead Assignment Flow</x:v>
      </x:c>
      <x:c r="S1635" s="119" t="str">
        <x:v>Testing no time delay</x:v>
      </x:c>
    </x:row>
    <x:row r="1636" ht="30" customHeight="1">
      <x:c r="A1636" s="117" t="str">
        <x:v>Lead_Assignment_Flow</x:v>
      </x:c>
      <x:c r="B1636" s="117" t="str">
        <x:v>3005b000000LGhEAAW</x:v>
      </x:c>
      <x:c r="C1636" s="117" t="str">
        <x:v>3015b000000AT3AAAW</x:v>
      </x:c>
      <x:c r="D1636" s="118" t="n">
        <x:v>32</x:v>
      </x:c>
      <x:c r="E1636" s="117" t="str">
        <x:v>Obsolete</x:v>
      </x:c>
      <x:c r="F1636" s="117" t="str">
        <x:v>No</x:v>
      </x:c>
      <x:c r="G1636" s="117" t="str">
        <x:v>No</x:v>
      </x:c>
      <x:c r="H1636" s="117" t="str">
        <x:v>AutoLaunchedFlow</x:v>
      </x:c>
      <x:c r="I1636" s="118" t="n">
        <x:v>56</x:v>
      </x:c>
      <x:c r="J1636" s="117" t="str">
        <x:v>unmanaged</x:v>
      </x:c>
      <x:c r="K1636" s="123" t="b">
        <x:v>0</x:v>
      </x:c>
      <x:c r="L1636" s="117"/>
      <x:c r="M1636" s="118"/>
      <x:c r="N1636" s="120" t="n">
        <x:v>45195.75824074074</x:v>
      </x:c>
      <x:c r="O1636" s="117" t="str">
        <x:v>Jace Gentil</x:v>
      </x:c>
      <x:c r="P1636" s="120" t="n">
        <x:v>45196.87976851852</x:v>
      </x:c>
      <x:c r="Q1636" s="117" t="str">
        <x:v>Jace Gentil</x:v>
      </x:c>
      <x:c r="R1636" s="117" t="str">
        <x:v>Lead Assignment Flow</x:v>
      </x:c>
      <x:c r="S1636" s="119" t="str">
        <x:v>Testing no time delay</x:v>
      </x:c>
    </x:row>
    <x:row r="1637" ht="30" customHeight="1">
      <x:c r="A1637" s="117" t="str">
        <x:v>Lead_Assignment_Flow</x:v>
      </x:c>
      <x:c r="B1637" s="117" t="str">
        <x:v>3005b000000LGhEAAW</x:v>
      </x:c>
      <x:c r="C1637" s="117" t="str">
        <x:v>3015b0000011JlvAAE</x:v>
      </x:c>
      <x:c r="D1637" s="118" t="n">
        <x:v>33</x:v>
      </x:c>
      <x:c r="E1637" s="117" t="str">
        <x:v>Obsolete</x:v>
      </x:c>
      <x:c r="F1637" s="117" t="str">
        <x:v>No</x:v>
      </x:c>
      <x:c r="G1637" s="117" t="str">
        <x:v>No</x:v>
      </x:c>
      <x:c r="H1637" s="117" t="str">
        <x:v>AutoLaunchedFlow</x:v>
      </x:c>
      <x:c r="I1637" s="118" t="n">
        <x:v>56</x:v>
      </x:c>
      <x:c r="J1637" s="117" t="str">
        <x:v>unmanaged</x:v>
      </x:c>
      <x:c r="K1637" s="123" t="b">
        <x:v>0</x:v>
      </x:c>
      <x:c r="L1637" s="117"/>
      <x:c r="M1637" s="118"/>
      <x:c r="N1637" s="120" t="n">
        <x:v>45196.75770833333</x:v>
      </x:c>
      <x:c r="O1637" s="117" t="str">
        <x:v>Jace Gentil</x:v>
      </x:c>
      <x:c r="P1637" s="120" t="n">
        <x:v>45196.85539351852</x:v>
      </x:c>
      <x:c r="Q1637" s="117" t="str">
        <x:v>Jace Gentil</x:v>
      </x:c>
      <x:c r="R1637" s="117" t="str">
        <x:v>Lead Assignment Flow - NEW Logic</x:v>
      </x:c>
      <x:c r="S1637" s="119" t="str">
        <x:v>Testing no time delay</x:v>
      </x:c>
    </x:row>
    <x:row r="1638" ht="30" customHeight="1">
      <x:c r="A1638" s="117" t="str">
        <x:v>Lead_Assignment_Flow</x:v>
      </x:c>
      <x:c r="B1638" s="117" t="str">
        <x:v>3005b000000LGhEAAW</x:v>
      </x:c>
      <x:c r="C1638" s="117" t="str">
        <x:v>3015b0000011JmZAAU</x:v>
      </x:c>
      <x:c r="D1638" s="118" t="n">
        <x:v>34</x:v>
      </x:c>
      <x:c r="E1638" s="117" t="str">
        <x:v>Obsolete</x:v>
      </x:c>
      <x:c r="F1638" s="117" t="str">
        <x:v>No</x:v>
      </x:c>
      <x:c r="G1638" s="117" t="str">
        <x:v>No</x:v>
      </x:c>
      <x:c r="H1638" s="117" t="str">
        <x:v>AutoLaunchedFlow</x:v>
      </x:c>
      <x:c r="I1638" s="118" t="n">
        <x:v>56</x:v>
      </x:c>
      <x:c r="J1638" s="117" t="str">
        <x:v>unmanaged</x:v>
      </x:c>
      <x:c r="K1638" s="123" t="b">
        <x:v>0</x:v>
      </x:c>
      <x:c r="L1638" s="117"/>
      <x:c r="M1638" s="118"/>
      <x:c r="N1638" s="120" t="n">
        <x:v>45196.89778935185</x:v>
      </x:c>
      <x:c r="O1638" s="117" t="str">
        <x:v>Jace Gentil</x:v>
      </x:c>
      <x:c r="P1638" s="120" t="n">
        <x:v>45197.59207175926</x:v>
      </x:c>
      <x:c r="Q1638" s="117" t="str">
        <x:v>Jace Gentil</x:v>
      </x:c>
      <x:c r="R1638" s="117" t="str">
        <x:v>Lead Assignment Flow - NEW Logic</x:v>
      </x:c>
      <x:c r="S1638" s="119" t="str">
        <x:v>Testing no time delay</x:v>
      </x:c>
    </x:row>
    <x:row r="1639" ht="30" customHeight="1">
      <x:c r="A1639" s="117" t="str">
        <x:v>Lead_Assignment_Flow</x:v>
      </x:c>
      <x:c r="B1639" s="117" t="str">
        <x:v>3005b000000LGhEAAW</x:v>
      </x:c>
      <x:c r="C1639" s="117" t="str">
        <x:v>3015b0000011Jo1AAE</x:v>
      </x:c>
      <x:c r="D1639" s="118" t="n">
        <x:v>35</x:v>
      </x:c>
      <x:c r="E1639" s="117" t="str">
        <x:v>Obsolete</x:v>
      </x:c>
      <x:c r="F1639" s="117" t="str">
        <x:v>No</x:v>
      </x:c>
      <x:c r="G1639" s="117" t="str">
        <x:v>No</x:v>
      </x:c>
      <x:c r="H1639" s="117" t="str">
        <x:v>AutoLaunchedFlow</x:v>
      </x:c>
      <x:c r="I1639" s="118" t="n">
        <x:v>56</x:v>
      </x:c>
      <x:c r="J1639" s="117" t="str">
        <x:v>unmanaged</x:v>
      </x:c>
      <x:c r="K1639" s="123" t="b">
        <x:v>0</x:v>
      </x:c>
      <x:c r="L1639" s="117"/>
      <x:c r="M1639" s="118"/>
      <x:c r="N1639" s="120" t="n">
        <x:v>45197.63905092593</x:v>
      </x:c>
      <x:c r="O1639" s="117" t="str">
        <x:v>Jace Gentil</x:v>
      </x:c>
      <x:c r="P1639" s="120" t="n">
        <x:v>45197.63914351852</x:v>
      </x:c>
      <x:c r="Q1639" s="117" t="str">
        <x:v>Jace Gentil</x:v>
      </x:c>
      <x:c r="R1639" s="117" t="str">
        <x:v>Lead Assignment Flow - NEW Logic</x:v>
      </x:c>
      <x:c r="S1639" s="119" t="str">
        <x:v>Testing no time delay</x:v>
      </x:c>
    </x:row>
    <x:row r="1640" ht="30" customHeight="1">
      <x:c r="A1640" s="117" t="str">
        <x:v>Lead_Assignment_Flow</x:v>
      </x:c>
      <x:c r="B1640" s="117" t="str">
        <x:v>3005b000000LGhEAAW</x:v>
      </x:c>
      <x:c r="C1640" s="117" t="str">
        <x:v>301Ro000007BkGVIA0</x:v>
      </x:c>
      <x:c r="D1640" s="118" t="n">
        <x:v>36</x:v>
      </x:c>
      <x:c r="E1640" s="117" t="str">
        <x:v>Obsolete</x:v>
      </x:c>
      <x:c r="F1640" s="117" t="str">
        <x:v>No</x:v>
      </x:c>
      <x:c r="G1640" s="117" t="str">
        <x:v>No</x:v>
      </x:c>
      <x:c r="H1640" s="117" t="str">
        <x:v>AutoLaunchedFlow</x:v>
      </x:c>
      <x:c r="I1640" s="118" t="n">
        <x:v>56</x:v>
      </x:c>
      <x:c r="J1640" s="117" t="str">
        <x:v>unmanaged</x:v>
      </x:c>
      <x:c r="K1640" s="123" t="b">
        <x:v>0</x:v>
      </x:c>
      <x:c r="L1640" s="117"/>
      <x:c r="M1640" s="118"/>
      <x:c r="N1640" s="120" t="n">
        <x:v>45331.758518518516</x:v>
      </x:c>
      <x:c r="O1640" s="117" t="str">
        <x:v>Jace Gentil</x:v>
      </x:c>
      <x:c r="P1640" s="120" t="n">
        <x:v>45331.75858796296</x:v>
      </x:c>
      <x:c r="Q1640" s="117" t="str">
        <x:v>Jace Gentil</x:v>
      </x:c>
      <x:c r="R1640" s="117" t="str">
        <x:v>Lead Assignment Flow - NEW Logic</x:v>
      </x:c>
      <x:c r="S1640" s="119" t="str">
        <x:v>Testing no time delay</x:v>
      </x:c>
    </x:row>
    <x:row r="1641" ht="30" customHeight="1">
      <x:c r="A1641" s="117" t="str">
        <x:v>Lead_Assignment_Flow</x:v>
      </x:c>
      <x:c r="B1641" s="117" t="str">
        <x:v>3005b000000LGhEAAW</x:v>
      </x:c>
      <x:c r="C1641" s="117" t="str">
        <x:v>301Ro00000ABEI2IAP</x:v>
      </x:c>
      <x:c r="D1641" s="118" t="n">
        <x:v>37</x:v>
      </x:c>
      <x:c r="E1641" s="117" t="str">
        <x:v>Obsolete</x:v>
      </x:c>
      <x:c r="F1641" s="117" t="str">
        <x:v>No</x:v>
      </x:c>
      <x:c r="G1641" s="117" t="str">
        <x:v>No</x:v>
      </x:c>
      <x:c r="H1641" s="117" t="str">
        <x:v>AutoLaunchedFlow</x:v>
      </x:c>
      <x:c r="I1641" s="118" t="n">
        <x:v>56</x:v>
      </x:c>
      <x:c r="J1641" s="117" t="str">
        <x:v>unmanaged</x:v>
      </x:c>
      <x:c r="K1641" s="123" t="b">
        <x:v>0</x:v>
      </x:c>
      <x:c r="L1641" s="117"/>
      <x:c r="M1641" s="118"/>
      <x:c r="N1641" s="120" t="n">
        <x:v>45384.54802083333</x:v>
      </x:c>
      <x:c r="O1641" s="117" t="str">
        <x:v>Jace Gentil</x:v>
      </x:c>
      <x:c r="P1641" s="120" t="n">
        <x:v>45384.54809027778</x:v>
      </x:c>
      <x:c r="Q1641" s="117" t="str">
        <x:v>Jace Gentil</x:v>
      </x:c>
      <x:c r="R1641" s="117" t="str">
        <x:v>Lead Assignment Flow - NEW Logic</x:v>
      </x:c>
      <x:c r="S1641" s="119" t="str">
        <x:v>Testing no time delay</x:v>
      </x:c>
    </x:row>
    <x:row r="1642" ht="30" customHeight="1">
      <x:c r="A1642" s="117" t="str">
        <x:v>Lead_Assignment_Flow</x:v>
      </x:c>
      <x:c r="B1642" s="117" t="str">
        <x:v>3005b000000LGhEAAW</x:v>
      </x:c>
      <x:c r="C1642" s="117" t="str">
        <x:v>301Ro00000ApnPEIAZ</x:v>
      </x:c>
      <x:c r="D1642" s="118" t="n">
        <x:v>38</x:v>
      </x:c>
      <x:c r="E1642" s="117" t="str">
        <x:v>Obsolete</x:v>
      </x:c>
      <x:c r="F1642" s="117" t="str">
        <x:v>No</x:v>
      </x:c>
      <x:c r="G1642" s="117" t="str">
        <x:v>Yes</x:v>
      </x:c>
      <x:c r="H1642" s="117" t="str">
        <x:v>AutoLaunchedFlow</x:v>
      </x:c>
      <x:c r="I1642" s="118" t="n">
        <x:v>56</x:v>
      </x:c>
      <x:c r="J1642" s="117" t="str">
        <x:v>unmanaged</x:v>
      </x:c>
      <x:c r="K1642" s="123" t="b">
        <x:v>0</x:v>
      </x:c>
      <x:c r="L1642" s="117"/>
      <x:c r="M1642" s="118"/>
      <x:c r="N1642" s="120" t="n">
        <x:v>45394.65315972222</x:v>
      </x:c>
      <x:c r="O1642" s="117" t="str">
        <x:v>Jace Gentil</x:v>
      </x:c>
      <x:c r="P1642" s="120" t="n">
        <x:v>45418.56230324074</x:v>
      </x:c>
      <x:c r="Q1642" s="117" t="str">
        <x:v>Jace Gentil</x:v>
      </x:c>
      <x:c r="R1642" s="117" t="str">
        <x:v>Lead Assignment Flow - NEW Logic</x:v>
      </x:c>
      <x:c r="S1642" s="119" t="str">
        <x:v>Testing no time delay</x:v>
      </x:c>
    </x:row>
    <x:row r="1643" ht="30" customHeight="1">
      <x:c r="A1643" s="117" t="str">
        <x:v>Lead_Assignment_Flow_New_Simpler_Logic</x:v>
      </x:c>
      <x:c r="B1643" s="117" t="str">
        <x:v>300Ro00000BDLWYIA5</x:v>
      </x:c>
      <x:c r="C1643" s="117" t="str">
        <x:v>301Ro00000CGteMIAT</x:v>
      </x:c>
      <x:c r="D1643" s="118" t="n">
        <x:v>1</x:v>
      </x:c>
      <x:c r="E1643" s="117" t="str">
        <x:v>Obsolete</x:v>
      </x:c>
      <x:c r="F1643" s="117" t="str">
        <x:v>No</x:v>
      </x:c>
      <x:c r="G1643" s="117" t="str">
        <x:v>No</x:v>
      </x:c>
      <x:c r="H1643" s="117" t="str">
        <x:v>AutoLaunchedFlow</x:v>
      </x:c>
      <x:c r="I1643" s="118" t="n">
        <x:v>56</x:v>
      </x:c>
      <x:c r="J1643" s="117" t="str">
        <x:v>unmanaged</x:v>
      </x:c>
      <x:c r="K1643" s="123" t="b">
        <x:v>0</x:v>
      </x:c>
      <x:c r="L1643" s="117"/>
      <x:c r="M1643" s="118"/>
      <x:c r="N1643" s="120" t="n">
        <x:v>45418.56171296296</x:v>
      </x:c>
      <x:c r="O1643" s="117" t="str">
        <x:v>Jace Gentil</x:v>
      </x:c>
      <x:c r="P1643" s="120" t="n">
        <x:v>45418.56236111111</x:v>
      </x:c>
      <x:c r="Q1643" s="117" t="str">
        <x:v>Jace Gentil</x:v>
      </x:c>
      <x:c r="R1643" s="117" t="str">
        <x:v>Lead Assignment Flow - New Simpler Logic</x:v>
      </x:c>
      <x:c r="S1643" s="119"/>
    </x:row>
    <x:row r="1644" ht="30" customHeight="1">
      <x:c r="A1644" s="117" t="str">
        <x:v>Lead_Assignment_Flow_New_Simpler_Logic</x:v>
      </x:c>
      <x:c r="B1644" s="117" t="str">
        <x:v>300Ro00000BDLWYIA5</x:v>
      </x:c>
      <x:c r="C1644" s="117" t="str">
        <x:v>301Ro00000GgQEbIAN</x:v>
      </x:c>
      <x:c r="D1644" s="118" t="n">
        <x:v>2</x:v>
      </x:c>
      <x:c r="E1644" s="117" t="str">
        <x:v>Obsolete</x:v>
      </x:c>
      <x:c r="F1644" s="117" t="str">
        <x:v>No</x:v>
      </x:c>
      <x:c r="G1644" s="117" t="str">
        <x:v>No</x:v>
      </x:c>
      <x:c r="H1644" s="117" t="str">
        <x:v>AutoLaunchedFlow</x:v>
      </x:c>
      <x:c r="I1644" s="118" t="n">
        <x:v>56</x:v>
      </x:c>
      <x:c r="J1644" s="117" t="str">
        <x:v>unmanaged</x:v>
      </x:c>
      <x:c r="K1644" s="123" t="b">
        <x:v>0</x:v>
      </x:c>
      <x:c r="L1644" s="117"/>
      <x:c r="M1644" s="118"/>
      <x:c r="N1644" s="120" t="n">
        <x:v>45484.80715277778</x:v>
      </x:c>
      <x:c r="O1644" s="117" t="str">
        <x:v>Jace Gentil</x:v>
      </x:c>
      <x:c r="P1644" s="120" t="n">
        <x:v>45484.807222222225</x:v>
      </x:c>
      <x:c r="Q1644" s="117" t="str">
        <x:v>Jace Gentil</x:v>
      </x:c>
      <x:c r="R1644" s="117" t="str">
        <x:v>Lead Assignment Flow - New Simpler Logic</x:v>
      </x:c>
      <x:c r="S1644" s="119"/>
    </x:row>
    <x:row r="1645" ht="30" customHeight="1">
      <x:c r="A1645" s="117" t="str">
        <x:v>Lead_Assignment_Flow_New_Simpler_Logic</x:v>
      </x:c>
      <x:c r="B1645" s="117" t="str">
        <x:v>300Ro00000BDLWYIA5</x:v>
      </x:c>
      <x:c r="C1645" s="117" t="str">
        <x:v>301Ro00000GgJ8QIAV</x:v>
      </x:c>
      <x:c r="D1645" s="118" t="n">
        <x:v>3</x:v>
      </x:c>
      <x:c r="E1645" s="117" t="str">
        <x:v>Obsolete</x:v>
      </x:c>
      <x:c r="F1645" s="117" t="str">
        <x:v>No</x:v>
      </x:c>
      <x:c r="G1645" s="117" t="str">
        <x:v>No</x:v>
      </x:c>
      <x:c r="H1645" s="117" t="str">
        <x:v>AutoLaunchedFlow</x:v>
      </x:c>
      <x:c r="I1645" s="118" t="n">
        <x:v>56</x:v>
      </x:c>
      <x:c r="J1645" s="117" t="str">
        <x:v>unmanaged</x:v>
      </x:c>
      <x:c r="K1645" s="123" t="b">
        <x:v>0</x:v>
      </x:c>
      <x:c r="L1645" s="117"/>
      <x:c r="M1645" s="118"/>
      <x:c r="N1645" s="120" t="n">
        <x:v>45484.85190972222</x:v>
      </x:c>
      <x:c r="O1645" s="117" t="str">
        <x:v>Jace Gentil</x:v>
      </x:c>
      <x:c r="P1645" s="120" t="n">
        <x:v>45616.085810185185</x:v>
      </x:c>
      <x:c r="Q1645" s="117" t="str">
        <x:v>Jace Gentil</x:v>
      </x:c>
      <x:c r="R1645" s="117" t="str">
        <x:v>Lead Assignment Flow - New Simpler Logic</x:v>
      </x:c>
      <x:c r="S1645" s="119"/>
    </x:row>
    <x:row r="1646" ht="30" customHeight="1">
      <x:c r="A1646" s="117" t="str">
        <x:v>Lead_Assignment_Flow_New_Simpler_Logic</x:v>
      </x:c>
      <x:c r="B1646" s="117" t="str">
        <x:v>300Ro00000BDLWYIA5</x:v>
      </x:c>
      <x:c r="C1646" s="117" t="str">
        <x:v>301Ro00000SwZYOIA3</x:v>
      </x:c>
      <x:c r="D1646" s="118" t="n">
        <x:v>4</x:v>
      </x:c>
      <x:c r="E1646" s="117" t="str">
        <x:v>Obsolete</x:v>
      </x:c>
      <x:c r="F1646" s="117" t="str">
        <x:v>No</x:v>
      </x:c>
      <x:c r="G1646" s="117" t="str">
        <x:v>No</x:v>
      </x:c>
      <x:c r="H1646" s="117" t="str">
        <x:v>AutoLaunchedFlow</x:v>
      </x:c>
      <x:c r="I1646" s="118" t="n">
        <x:v>56</x:v>
      </x:c>
      <x:c r="J1646" s="117" t="str">
        <x:v>unmanaged</x:v>
      </x:c>
      <x:c r="K1646" s="123" t="b">
        <x:v>0</x:v>
      </x:c>
      <x:c r="L1646" s="117"/>
      <x:c r="M1646" s="118"/>
      <x:c r="N1646" s="120" t="n">
        <x:v>45685.781747685185</x:v>
      </x:c>
      <x:c r="O1646" s="117" t="str">
        <x:v>Jace Gentil</x:v>
      </x:c>
      <x:c r="P1646" s="120" t="n">
        <x:v>45685.78885416667</x:v>
      </x:c>
      <x:c r="Q1646" s="117" t="str">
        <x:v>Jace Gentil</x:v>
      </x:c>
      <x:c r="R1646" s="117" t="str">
        <x:v>Lead Assignment Flow - New Simpler Logic</x:v>
      </x:c>
      <x:c r="S1646" s="119"/>
    </x:row>
    <x:row r="1647" ht="30" customHeight="1">
      <x:c r="A1647" s="117" t="str">
        <x:v>Lead_Assignment_Flow_New_Simpler_Logic</x:v>
      </x:c>
      <x:c r="B1647" s="117" t="str">
        <x:v>300Ro00000BDLWYIA5</x:v>
      </x:c>
      <x:c r="C1647" s="117" t="str">
        <x:v>301Ro00000X2oU1IAJ</x:v>
      </x:c>
      <x:c r="D1647" s="118" t="n">
        <x:v>5</x:v>
      </x:c>
      <x:c r="E1647" s="117" t="str">
        <x:v>Obsolete</x:v>
      </x:c>
      <x:c r="F1647" s="117" t="str">
        <x:v>No</x:v>
      </x:c>
      <x:c r="G1647" s="117" t="str">
        <x:v>No</x:v>
      </x:c>
      <x:c r="H1647" s="117" t="str">
        <x:v>AutoLaunchedFlow</x:v>
      </x:c>
      <x:c r="I1647" s="118" t="n">
        <x:v>56</x:v>
      </x:c>
      <x:c r="J1647" s="117" t="str">
        <x:v>unmanaged</x:v>
      </x:c>
      <x:c r="K1647" s="123" t="b">
        <x:v>0</x:v>
      </x:c>
      <x:c r="L1647" s="117"/>
      <x:c r="M1647" s="118"/>
      <x:c r="N1647" s="120" t="n">
        <x:v>45755.63211805555</x:v>
      </x:c>
      <x:c r="O1647" s="117" t="str">
        <x:v>Jace Gentil</x:v>
      </x:c>
      <x:c r="P1647" s="120" t="n">
        <x:v>45755.632199074076</x:v>
      </x:c>
      <x:c r="Q1647" s="117" t="str">
        <x:v>Jace Gentil</x:v>
      </x:c>
      <x:c r="R1647" s="117" t="str">
        <x:v>Lead Assignment Flow - New Simpler Logic</x:v>
      </x:c>
      <x:c r="S1647" s="119"/>
    </x:row>
    <x:row r="1648" ht="30" customHeight="1">
      <x:c r="A1648" s="117" t="str">
        <x:v>Lead_Assignment_Flow_New_Simpler_Logic</x:v>
      </x:c>
      <x:c r="B1648" s="117" t="str">
        <x:v>300Ro00000BDLWYIA5</x:v>
      </x:c>
      <x:c r="C1648" s="117" t="str">
        <x:v>301Ro00000fEAXvIAO</x:v>
      </x:c>
      <x:c r="D1648" s="118" t="n">
        <x:v>6</x:v>
      </x:c>
      <x:c r="E1648" s="117" t="str">
        <x:v>Obsolete</x:v>
      </x:c>
      <x:c r="F1648" s="117" t="str">
        <x:v>No</x:v>
      </x:c>
      <x:c r="G1648" s="117" t="str">
        <x:v>No</x:v>
      </x:c>
      <x:c r="H1648" s="117" t="str">
        <x:v>AutoLaunchedFlow</x:v>
      </x:c>
      <x:c r="I1648" s="118" t="n">
        <x:v>56</x:v>
      </x:c>
      <x:c r="J1648" s="117" t="str">
        <x:v>unmanaged</x:v>
      </x:c>
      <x:c r="K1648" s="123" t="b">
        <x:v>0</x:v>
      </x:c>
      <x:c r="L1648" s="117"/>
      <x:c r="M1648" s="118"/>
      <x:c r="N1648" s="120" t="n">
        <x:v>45854.646574074075</x:v>
      </x:c>
      <x:c r="O1648" s="117" t="str">
        <x:v>Jace Gentil</x:v>
      </x:c>
      <x:c r="P1648" s="120" t="n">
        <x:v>45854.64677083334</x:v>
      </x:c>
      <x:c r="Q1648" s="117" t="str">
        <x:v>Jace Gentil</x:v>
      </x:c>
      <x:c r="R1648" s="117" t="str">
        <x:v>Lead Assignment Flow - New Simpler Logic</x:v>
      </x:c>
      <x:c r="S1648" s="119"/>
    </x:row>
    <x:row r="1649" ht="30" customHeight="1">
      <x:c r="A1649" s="117" t="str">
        <x:v>Lead_Assignment_Flow_New_Simpler_Logic</x:v>
      </x:c>
      <x:c r="B1649" s="117" t="str">
        <x:v>300Ro00000BDLWYIA5</x:v>
      </x:c>
      <x:c r="C1649" s="117" t="str">
        <x:v>301Ro00000i8vavIAA</x:v>
      </x:c>
      <x:c r="D1649" s="118" t="n">
        <x:v>7</x:v>
      </x:c>
      <x:c r="E1649" s="117" t="str">
        <x:v>Obsolete</x:v>
      </x:c>
      <x:c r="F1649" s="117" t="str">
        <x:v>No</x:v>
      </x:c>
      <x:c r="G1649" s="117" t="str">
        <x:v>No</x:v>
      </x:c>
      <x:c r="H1649" s="117" t="str">
        <x:v>AutoLaunchedFlow</x:v>
      </x:c>
      <x:c r="I1649" s="118" t="n">
        <x:v>56</x:v>
      </x:c>
      <x:c r="J1649" s="117" t="str">
        <x:v>unmanaged</x:v>
      </x:c>
      <x:c r="K1649" s="123" t="b">
        <x:v>0</x:v>
      </x:c>
      <x:c r="L1649" s="117"/>
      <x:c r="M1649" s="118"/>
      <x:c r="N1649" s="120" t="n">
        <x:v>45880.83515046296</x:v>
      </x:c>
      <x:c r="O1649" s="117" t="str">
        <x:v>Jace Gentil</x:v>
      </x:c>
      <x:c r="P1649" s="120" t="n">
        <x:v>45891.98537037037</x:v>
      </x:c>
      <x:c r="Q1649" s="117" t="str">
        <x:v>Bill Hagarty</x:v>
      </x:c>
      <x:c r="R1649" s="117" t="str">
        <x:v>Lead Assignment Flow - New Simpler Logic</x:v>
      </x:c>
      <x:c r="S1649" s="119"/>
    </x:row>
    <x:row r="1650" ht="30" customHeight="1">
      <x:c r="A1650" s="117" t="str">
        <x:v>Lead_Assignment_Flow_New_Simpler_Logic</x:v>
      </x:c>
      <x:c r="B1650" s="117" t="str">
        <x:v>300Ro00000BDLWYIA5</x:v>
      </x:c>
      <x:c r="C1650" s="117" t="str">
        <x:v>301Ro0000138NrdIAE</x:v>
      </x:c>
      <x:c r="D1650" s="118" t="n">
        <x:v>8</x:v>
      </x:c>
      <x:c r="E1650" s="117" t="str">
        <x:v>Active</x:v>
      </x:c>
      <x:c r="F1650" s="117" t="str">
        <x:v>Yes</x:v>
      </x:c>
      <x:c r="G1650" s="117" t="str">
        <x:v>Yes</x:v>
      </x:c>
      <x:c r="H1650" s="117" t="str">
        <x:v>AutoLaunchedFlow</x:v>
      </x:c>
      <x:c r="I1650" s="118" t="n">
        <x:v>56</x:v>
      </x:c>
      <x:c r="J1650" s="117" t="str">
        <x:v>unmanaged</x:v>
      </x:c>
      <x:c r="K1650" s="123" t="b">
        <x:v>0</x:v>
      </x:c>
      <x:c r="L1650" s="117"/>
      <x:c r="M1650" s="118"/>
      <x:c r="N1650" s="120" t="n">
        <x:v>46126.55980324074</x:v>
      </x:c>
      <x:c r="O1650" s="117" t="str">
        <x:v>Mindy Bender</x:v>
      </x:c>
      <x:c r="P1650" s="120" t="n">
        <x:v>46126.55993055556</x:v>
      </x:c>
      <x:c r="Q1650" s="117" t="str">
        <x:v>Mindy Bender</x:v>
      </x:c>
      <x:c r="R1650" s="117" t="str">
        <x:v>Lead Assignment Flow - New Simpler Logic</x:v>
      </x:c>
      <x:c r="S1650" s="119" t="str">
        <x:v>V8 - MPB - Added Customer Persona=Veterinarian to Lauren Fitzgerald lead queue</x:v>
      </x:c>
    </x:row>
    <x:row r="1651" ht="30" customHeight="1">
      <x:c r="A1651" s="117" t="str">
        <x:v>Lead_Check_for_existing</x:v>
      </x:c>
      <x:c r="B1651" s="117" t="str">
        <x:v>3004O000000Tia8QAC</x:v>
      </x:c>
      <x:c r="C1651" s="117" t="str">
        <x:v>3014O000000U5idQAC</x:v>
      </x:c>
      <x:c r="D1651" s="118" t="n">
        <x:v>1</x:v>
      </x:c>
      <x:c r="E1651" s="117" t="str">
        <x:v>Active</x:v>
      </x:c>
      <x:c r="F1651" s="117" t="str">
        <x:v>Yes</x:v>
      </x:c>
      <x:c r="G1651" s="117" t="str">
        <x:v>Yes</x:v>
      </x:c>
      <x:c r="H1651" s="117" t="str">
        <x:v>Workflow</x:v>
      </x:c>
      <x:c r="I1651" s="118"/>
      <x:c r="J1651" s="117" t="str">
        <x:v>unmanaged</x:v>
      </x:c>
      <x:c r="K1651" s="123" t="b">
        <x:v>0</x:v>
      </x:c>
      <x:c r="L1651" s="117"/>
      <x:c r="M1651" s="118"/>
      <x:c r="N1651" s="120" t="n">
        <x:v>43755.23024305556</x:v>
      </x:c>
      <x:c r="O1651" s="117" t="str">
        <x:v>Jim Bartek</x:v>
      </x:c>
      <x:c r="P1651" s="120" t="n">
        <x:v>43964.74560185185</x:v>
      </x:c>
      <x:c r="Q1651" s="117" t="str">
        <x:v>Trent VanEmon</x:v>
      </x:c>
      <x:c r="R1651" s="117" t="str">
        <x:v>Lead - Check for existing</x:v>
      </x:c>
      <x:c r="S1651" s="119" t="str">
        <x:v>Checks if there is an existing account or contact for the lead</x:v>
      </x:c>
    </x:row>
    <x:row r="1652" ht="30" customHeight="1">
      <x:c r="A1652" s="117" t="str">
        <x:v>Lead_Check_for_existing_Account_Account_Name</x:v>
      </x:c>
      <x:c r="B1652" s="117" t="str">
        <x:v>3004O000000Tia9QAC</x:v>
      </x:c>
      <x:c r="C1652" s="117" t="str">
        <x:v>3014O000000U5ieQAC</x:v>
      </x:c>
      <x:c r="D1652" s="118" t="n">
        <x:v>1</x:v>
      </x:c>
      <x:c r="E1652" s="117" t="str">
        <x:v>Obsolete</x:v>
      </x:c>
      <x:c r="F1652" s="117" t="str">
        <x:v>No</x:v>
      </x:c>
      <x:c r="G1652" s="117" t="str">
        <x:v>No</x:v>
      </x:c>
      <x:c r="H1652" s="117" t="str">
        <x:v>AutoLaunchedFlow</x:v>
      </x:c>
      <x:c r="I1652" s="118"/>
      <x:c r="J1652" s="117" t="str">
        <x:v>unmanaged</x:v>
      </x:c>
      <x:c r="K1652" s="123" t="b">
        <x:v>0</x:v>
      </x:c>
      <x:c r="L1652" s="117"/>
      <x:c r="M1652" s="118"/>
      <x:c r="N1652" s="120" t="n">
        <x:v>43755.23025462963</x:v>
      </x:c>
      <x:c r="O1652" s="117" t="str">
        <x:v>Jim Bartek</x:v>
      </x:c>
      <x:c r="P1652" s="120" t="n">
        <x:v>43755.242430555554</x:v>
      </x:c>
      <x:c r="Q1652" s="117" t="str">
        <x:v>Jim Bartek</x:v>
      </x:c>
      <x:c r="R1652" s="117" t="str">
        <x:v>Lead - Check for existing Account - Account Name</x:v>
      </x:c>
      <x:c r="S1652" s="119" t="str">
        <x:v>Checks a new lead against existing accounts via Account Name</x:v>
      </x:c>
    </x:row>
    <x:row r="1653" ht="30" customHeight="1">
      <x:c r="A1653" s="117" t="str">
        <x:v>Lead_Check_for_existing_Account_Account_Name</x:v>
      </x:c>
      <x:c r="B1653" s="117" t="str">
        <x:v>3004O000000Tia9QAC</x:v>
      </x:c>
      <x:c r="C1653" s="117" t="str">
        <x:v>3014O000000U5isQAC</x:v>
      </x:c>
      <x:c r="D1653" s="118" t="n">
        <x:v>2</x:v>
      </x:c>
      <x:c r="E1653" s="117" t="str">
        <x:v>Active</x:v>
      </x:c>
      <x:c r="F1653" s="117" t="str">
        <x:v>Yes</x:v>
      </x:c>
      <x:c r="G1653" s="117" t="str">
        <x:v>Yes</x:v>
      </x:c>
      <x:c r="H1653" s="117" t="str">
        <x:v>AutoLaunchedFlow</x:v>
      </x:c>
      <x:c r="I1653" s="118"/>
      <x:c r="J1653" s="117" t="str">
        <x:v>unmanaged</x:v>
      </x:c>
      <x:c r="K1653" s="123" t="b">
        <x:v>0</x:v>
      </x:c>
      <x:c r="L1653" s="117"/>
      <x:c r="M1653" s="118"/>
      <x:c r="N1653" s="120" t="n">
        <x:v>43755.24707175926</x:v>
      </x:c>
      <x:c r="O1653" s="117" t="str">
        <x:v>Jim Bartek</x:v>
      </x:c>
      <x:c r="P1653" s="120" t="n">
        <x:v>44056.5265625</x:v>
      </x:c>
      <x:c r="Q1653" s="117" t="str">
        <x:v>Trent VanEmon</x:v>
      </x:c>
      <x:c r="R1653" s="117" t="str">
        <x:v>Lead - Check for existing Account - Account Name</x:v>
      </x:c>
      <x:c r="S1653" s="119" t="str">
        <x:v>Checks a new lead against existing accounts via Account Name</x:v>
      </x:c>
    </x:row>
    <x:row r="1654" ht="30" customHeight="1">
      <x:c r="A1654" s="117" t="str">
        <x:v>Lead_Check_for_existing_contact_Email</x:v>
      </x:c>
      <x:c r="B1654" s="117" t="str">
        <x:v>3004O000000TiaAQAS</x:v>
      </x:c>
      <x:c r="C1654" s="117" t="str">
        <x:v>3014O000000U5ifQAC</x:v>
      </x:c>
      <x:c r="D1654" s="118" t="n">
        <x:v>1</x:v>
      </x:c>
      <x:c r="E1654" s="117" t="str">
        <x:v>Obsolete</x:v>
      </x:c>
      <x:c r="F1654" s="117" t="str">
        <x:v>No</x:v>
      </x:c>
      <x:c r="G1654" s="117" t="str">
        <x:v>No</x:v>
      </x:c>
      <x:c r="H1654" s="117" t="str">
        <x:v>AutoLaunchedFlow</x:v>
      </x:c>
      <x:c r="I1654" s="118"/>
      <x:c r="J1654" s="117" t="str">
        <x:v>unmanaged</x:v>
      </x:c>
      <x:c r="K1654" s="123" t="b">
        <x:v>0</x:v>
      </x:c>
      <x:c r="L1654" s="117"/>
      <x:c r="M1654" s="118"/>
      <x:c r="N1654" s="120" t="n">
        <x:v>43755.230266203704</x:v>
      </x:c>
      <x:c r="O1654" s="117" t="str">
        <x:v>Jim Bartek</x:v>
      </x:c>
      <x:c r="P1654" s="120" t="n">
        <x:v>43755.24255787037</x:v>
      </x:c>
      <x:c r="Q1654" s="117" t="str">
        <x:v>Jim Bartek</x:v>
      </x:c>
      <x:c r="R1654" s="117" t="str">
        <x:v>Lead - Check for existing contact - Email</x:v>
      </x:c>
      <x:c r="S1654" s="119" t="str">
        <x:v>Checks a new lead against existing contacts via email value</x:v>
      </x:c>
    </x:row>
    <x:row r="1655" ht="30" customHeight="1">
      <x:c r="A1655" s="117" t="str">
        <x:v>Lead_Check_for_existing_contact_Email</x:v>
      </x:c>
      <x:c r="B1655" s="117" t="str">
        <x:v>3004O000000TiaAQAS</x:v>
      </x:c>
      <x:c r="C1655" s="117" t="str">
        <x:v>3014O000000U5iiQAC</x:v>
      </x:c>
      <x:c r="D1655" s="118" t="n">
        <x:v>2</x:v>
      </x:c>
      <x:c r="E1655" s="117" t="str">
        <x:v>Obsolete</x:v>
      </x:c>
      <x:c r="F1655" s="117" t="str">
        <x:v>No</x:v>
      </x:c>
      <x:c r="G1655" s="117" t="str">
        <x:v>No</x:v>
      </x:c>
      <x:c r="H1655" s="117" t="str">
        <x:v>AutoLaunchedFlow</x:v>
      </x:c>
      <x:c r="I1655" s="118"/>
      <x:c r="J1655" s="117" t="str">
        <x:v>unmanaged</x:v>
      </x:c>
      <x:c r="K1655" s="123" t="b">
        <x:v>0</x:v>
      </x:c>
      <x:c r="L1655" s="117"/>
      <x:c r="M1655" s="118"/>
      <x:c r="N1655" s="120" t="n">
        <x:v>43755.245891203704</x:v>
      </x:c>
      <x:c r="O1655" s="117" t="str">
        <x:v>Jim Bartek</x:v>
      </x:c>
      <x:c r="P1655" s="120" t="n">
        <x:v>43755.24594907407</x:v>
      </x:c>
      <x:c r="Q1655" s="117" t="str">
        <x:v>Jim Bartek</x:v>
      </x:c>
      <x:c r="R1655" s="117" t="str">
        <x:v>Lead - Check for existing contact - Email</x:v>
      </x:c>
      <x:c r="S1655" s="119" t="str">
        <x:v>Checks a new lead against existing contacts via email value</x:v>
      </x:c>
    </x:row>
    <x:row r="1656" ht="30" customHeight="1">
      <x:c r="A1656" s="117" t="str">
        <x:v>Lead_Check_for_existing_contact_Email</x:v>
      </x:c>
      <x:c r="B1656" s="117" t="str">
        <x:v>3004O000000TiaAQAS</x:v>
      </x:c>
      <x:c r="C1656" s="117" t="str">
        <x:v>3014O000000U5pFQAS</x:v>
      </x:c>
      <x:c r="D1656" s="118" t="n">
        <x:v>3</x:v>
      </x:c>
      <x:c r="E1656" s="117" t="str">
        <x:v>Active</x:v>
      </x:c>
      <x:c r="F1656" s="117" t="str">
        <x:v>Yes</x:v>
      </x:c>
      <x:c r="G1656" s="117" t="str">
        <x:v>Yes</x:v>
      </x:c>
      <x:c r="H1656" s="117" t="str">
        <x:v>AutoLaunchedFlow</x:v>
      </x:c>
      <x:c r="I1656" s="118"/>
      <x:c r="J1656" s="117" t="str">
        <x:v>unmanaged</x:v>
      </x:c>
      <x:c r="K1656" s="123" t="b">
        <x:v>0</x:v>
      </x:c>
      <x:c r="L1656" s="117"/>
      <x:c r="M1656" s="118"/>
      <x:c r="N1656" s="120" t="n">
        <x:v>43762.71511574074</x:v>
      </x:c>
      <x:c r="O1656" s="117" t="str">
        <x:v>Jim Bartek</x:v>
      </x:c>
      <x:c r="P1656" s="120" t="n">
        <x:v>44056.52659722222</x:v>
      </x:c>
      <x:c r="Q1656" s="117" t="str">
        <x:v>Trent VanEmon</x:v>
      </x:c>
      <x:c r="R1656" s="117" t="str">
        <x:v>Lead - Check for existing contact - Email</x:v>
      </x:c>
      <x:c r="S1656" s="119" t="str">
        <x:v>Checks a new lead against existing contacts via email value</x:v>
      </x:c>
    </x:row>
    <x:row r="1657" ht="30" customHeight="1">
      <x:c r="A1657" s="117" t="str">
        <x:v>Lead_Check_for_existing_contact_Phone</x:v>
      </x:c>
      <x:c r="B1657" s="117" t="str">
        <x:v>3004O000000TiaBQAS</x:v>
      </x:c>
      <x:c r="C1657" s="117" t="str">
        <x:v>3014O000000U5igQAC</x:v>
      </x:c>
      <x:c r="D1657" s="118" t="n">
        <x:v>1</x:v>
      </x:c>
      <x:c r="E1657" s="117" t="str">
        <x:v>Obsolete</x:v>
      </x:c>
      <x:c r="F1657" s="117" t="str">
        <x:v>No</x:v>
      </x:c>
      <x:c r="G1657" s="117" t="str">
        <x:v>No</x:v>
      </x:c>
      <x:c r="H1657" s="117" t="str">
        <x:v>AutoLaunchedFlow</x:v>
      </x:c>
      <x:c r="I1657" s="118"/>
      <x:c r="J1657" s="117" t="str">
        <x:v>unmanaged</x:v>
      </x:c>
      <x:c r="K1657" s="123" t="b">
        <x:v>0</x:v>
      </x:c>
      <x:c r="L1657" s="117"/>
      <x:c r="M1657" s="118"/>
      <x:c r="N1657" s="120" t="n">
        <x:v>43755.230266203704</x:v>
      </x:c>
      <x:c r="O1657" s="117" t="str">
        <x:v>Jim Bartek</x:v>
      </x:c>
      <x:c r="P1657" s="120" t="n">
        <x:v>43755.242638888885</x:v>
      </x:c>
      <x:c r="Q1657" s="117" t="str">
        <x:v>Jim Bartek</x:v>
      </x:c>
      <x:c r="R1657" s="117" t="str">
        <x:v>Lead - Check for existing contact - Phone</x:v>
      </x:c>
      <x:c r="S1657" s="119" t="str">
        <x:v>Checks a new lead against existing contacts via phone value</x:v>
      </x:c>
    </x:row>
    <x:row r="1658" ht="30" customHeight="1">
      <x:c r="A1658" s="117" t="str">
        <x:v>Lead_Check_for_existing_contact_Phone</x:v>
      </x:c>
      <x:c r="B1658" s="117" t="str">
        <x:v>3004O000000TiaBQAS</x:v>
      </x:c>
      <x:c r="C1658" s="117" t="str">
        <x:v>3014O000000U5inQAC</x:v>
      </x:c>
      <x:c r="D1658" s="118" t="n">
        <x:v>2</x:v>
      </x:c>
      <x:c r="E1658" s="117" t="str">
        <x:v>Obsolete</x:v>
      </x:c>
      <x:c r="F1658" s="117" t="str">
        <x:v>No</x:v>
      </x:c>
      <x:c r="G1658" s="117" t="str">
        <x:v>No</x:v>
      </x:c>
      <x:c r="H1658" s="117" t="str">
        <x:v>AutoLaunchedFlow</x:v>
      </x:c>
      <x:c r="I1658" s="118"/>
      <x:c r="J1658" s="117" t="str">
        <x:v>unmanaged</x:v>
      </x:c>
      <x:c r="K1658" s="123" t="b">
        <x:v>0</x:v>
      </x:c>
      <x:c r="L1658" s="117"/>
      <x:c r="M1658" s="118"/>
      <x:c r="N1658" s="120" t="n">
        <x:v>43755.246296296296</x:v>
      </x:c>
      <x:c r="O1658" s="117" t="str">
        <x:v>Jim Bartek</x:v>
      </x:c>
      <x:c r="P1658" s="120" t="n">
        <x:v>43755.246342592596</x:v>
      </x:c>
      <x:c r="Q1658" s="117" t="str">
        <x:v>Jim Bartek</x:v>
      </x:c>
      <x:c r="R1658" s="117" t="str">
        <x:v>Lead - Check for existing contact - Phone</x:v>
      </x:c>
      <x:c r="S1658" s="119" t="str">
        <x:v>Checks a new lead against existing contacts via phone value</x:v>
      </x:c>
    </x:row>
    <x:row r="1659" ht="30" customHeight="1">
      <x:c r="A1659" s="117" t="str">
        <x:v>Lead_Check_for_existing_contact_Phone</x:v>
      </x:c>
      <x:c r="B1659" s="117" t="str">
        <x:v>3004O000000TiaBQAS</x:v>
      </x:c>
      <x:c r="C1659" s="117" t="str">
        <x:v>3014O000000U5pKQAS</x:v>
      </x:c>
      <x:c r="D1659" s="118" t="n">
        <x:v>3</x:v>
      </x:c>
      <x:c r="E1659" s="117" t="str">
        <x:v>Active</x:v>
      </x:c>
      <x:c r="F1659" s="117" t="str">
        <x:v>Yes</x:v>
      </x:c>
      <x:c r="G1659" s="117" t="str">
        <x:v>Yes</x:v>
      </x:c>
      <x:c r="H1659" s="117" t="str">
        <x:v>AutoLaunchedFlow</x:v>
      </x:c>
      <x:c r="I1659" s="118"/>
      <x:c r="J1659" s="117" t="str">
        <x:v>unmanaged</x:v>
      </x:c>
      <x:c r="K1659" s="123" t="b">
        <x:v>0</x:v>
      </x:c>
      <x:c r="L1659" s="117"/>
      <x:c r="M1659" s="118"/>
      <x:c r="N1659" s="120" t="n">
        <x:v>43762.71569444444</x:v>
      </x:c>
      <x:c r="O1659" s="117" t="str">
        <x:v>Jim Bartek</x:v>
      </x:c>
      <x:c r="P1659" s="120" t="n">
        <x:v>44056.52662037037</x:v>
      </x:c>
      <x:c r="Q1659" s="117" t="str">
        <x:v>Trent VanEmon</x:v>
      </x:c>
      <x:c r="R1659" s="117" t="str">
        <x:v>Lead - Check for existing contact - Phone</x:v>
      </x:c>
      <x:c r="S1659" s="119" t="str">
        <x:v>Checks a new lead against existing contacts via phone value</x:v>
      </x:c>
    </x:row>
    <x:row r="1660" ht="30" customHeight="1">
      <x:c r="A1660" s="117" t="str">
        <x:v>Lead_Gen_Lead_Notification_Flow</x:v>
      </x:c>
      <x:c r="B1660" s="117" t="str">
        <x:v>300Ro00000SJwEmIAL</x:v>
      </x:c>
      <x:c r="C1660" s="117" t="str">
        <x:v>301Ro00000VHGDHIA5</x:v>
      </x:c>
      <x:c r="D1660" s="118" t="n">
        <x:v>1</x:v>
      </x:c>
      <x:c r="E1660" s="117" t="str">
        <x:v>Draft</x:v>
      </x:c>
      <x:c r="F1660" s="117" t="str">
        <x:v>No</x:v>
      </x:c>
      <x:c r="G1660" s="117" t="str">
        <x:v>No</x:v>
      </x:c>
      <x:c r="H1660" s="117" t="str">
        <x:v>AutoLaunchedFlow</x:v>
      </x:c>
      <x:c r="I1660" s="118" t="n">
        <x:v>63</x:v>
      </x:c>
      <x:c r="J1660" s="117" t="str">
        <x:v>unmanaged</x:v>
      </x:c>
      <x:c r="K1660" s="123" t="b">
        <x:v>0</x:v>
      </x:c>
      <x:c r="L1660" s="117"/>
      <x:c r="M1660" s="118"/>
      <x:c r="N1660" s="120" t="n">
        <x:v>45723.63328703704</x:v>
      </x:c>
      <x:c r="O1660" s="117" t="str">
        <x:v>Jace Gentil</x:v>
      </x:c>
      <x:c r="P1660" s="120" t="n">
        <x:v>45723.633310185185</x:v>
      </x:c>
      <x:c r="Q1660" s="117" t="str">
        <x:v>Jace Gentil</x:v>
      </x:c>
      <x:c r="R1660" s="117" t="str">
        <x:v>Lead Gen Lead Notification Flow</x:v>
      </x:c>
      <x:c r="S1660" s="119"/>
    </x:row>
    <x:row r="1661" ht="30" customHeight="1">
      <x:c r="A1661" s="117" t="str">
        <x:v>Lead_Gen_Lead_Notification_Flow</x:v>
      </x:c>
      <x:c r="B1661" s="117" t="str">
        <x:v>300Ro00000SJwEmIAL</x:v>
      </x:c>
      <x:c r="C1661" s="117" t="str">
        <x:v>301Ro00000VH2yrIAD</x:v>
      </x:c>
      <x:c r="D1661" s="118" t="n">
        <x:v>2</x:v>
      </x:c>
      <x:c r="E1661" s="117" t="str">
        <x:v>Obsolete</x:v>
      </x:c>
      <x:c r="F1661" s="117" t="str">
        <x:v>No</x:v>
      </x:c>
      <x:c r="G1661" s="117" t="str">
        <x:v>No</x:v>
      </x:c>
      <x:c r="H1661" s="117" t="str">
        <x:v>AutoLaunchedFlow</x:v>
      </x:c>
      <x:c r="I1661" s="118" t="n">
        <x:v>63</x:v>
      </x:c>
      <x:c r="J1661" s="117" t="str">
        <x:v>unmanaged</x:v>
      </x:c>
      <x:c r="K1661" s="123" t="b">
        <x:v>0</x:v>
      </x:c>
      <x:c r="L1661" s="117"/>
      <x:c r="M1661" s="118"/>
      <x:c r="N1661" s="120" t="n">
        <x:v>45723.63369212963</x:v>
      </x:c>
      <x:c r="O1661" s="117" t="str">
        <x:v>Jace Gentil</x:v>
      </x:c>
      <x:c r="P1661" s="120" t="n">
        <x:v>45723.63375</x:v>
      </x:c>
      <x:c r="Q1661" s="117" t="str">
        <x:v>Jace Gentil</x:v>
      </x:c>
      <x:c r="R1661" s="117" t="str">
        <x:v>Lead Gen Lead Notification Flow</x:v>
      </x:c>
      <x:c r="S1661" s="119"/>
    </x:row>
    <x:row r="1662" ht="30" customHeight="1">
      <x:c r="A1662" s="117" t="str">
        <x:v>Lead_Gen_Lead_Notification_Flow</x:v>
      </x:c>
      <x:c r="B1662" s="117" t="str">
        <x:v>300Ro00000SJwEmIAL</x:v>
      </x:c>
      <x:c r="C1662" s="117" t="str">
        <x:v>301Ro00000VOpsUIAT</x:v>
      </x:c>
      <x:c r="D1662" s="118" t="n">
        <x:v>3</x:v>
      </x:c>
      <x:c r="E1662" s="117" t="str">
        <x:v>Obsolete</x:v>
      </x:c>
      <x:c r="F1662" s="117" t="str">
        <x:v>No</x:v>
      </x:c>
      <x:c r="G1662" s="117" t="str">
        <x:v>No</x:v>
      </x:c>
      <x:c r="H1662" s="117" t="str">
        <x:v>AutoLaunchedFlow</x:v>
      </x:c>
      <x:c r="I1662" s="118" t="n">
        <x:v>63</x:v>
      </x:c>
      <x:c r="J1662" s="117" t="str">
        <x:v>unmanaged</x:v>
      </x:c>
      <x:c r="K1662" s="123" t="b">
        <x:v>0</x:v>
      </x:c>
      <x:c r="L1662" s="117"/>
      <x:c r="M1662" s="118"/>
      <x:c r="N1662" s="120" t="n">
        <x:v>45726.58787037037</x:v>
      </x:c>
      <x:c r="O1662" s="117" t="str">
        <x:v>Jace Gentil</x:v>
      </x:c>
      <x:c r="P1662" s="120" t="n">
        <x:v>45726.587916666664</x:v>
      </x:c>
      <x:c r="Q1662" s="117" t="str">
        <x:v>Jace Gentil</x:v>
      </x:c>
      <x:c r="R1662" s="117" t="str">
        <x:v>Lead Gen Lead Notification Flow</x:v>
      </x:c>
      <x:c r="S1662" s="119"/>
    </x:row>
    <x:row r="1663" ht="30" customHeight="1">
      <x:c r="A1663" s="117" t="str">
        <x:v>Lead_Gen_Lead_Notification_Flow</x:v>
      </x:c>
      <x:c r="B1663" s="117" t="str">
        <x:v>300Ro00000SJwEmIAL</x:v>
      </x:c>
      <x:c r="C1663" s="117" t="str">
        <x:v>301Ro00000VOt1YIAT</x:v>
      </x:c>
      <x:c r="D1663" s="118" t="n">
        <x:v>4</x:v>
      </x:c>
      <x:c r="E1663" s="117" t="str">
        <x:v>Active</x:v>
      </x:c>
      <x:c r="F1663" s="117" t="str">
        <x:v>Yes</x:v>
      </x:c>
      <x:c r="G1663" s="117" t="str">
        <x:v>Yes</x:v>
      </x:c>
      <x:c r="H1663" s="117" t="str">
        <x:v>AutoLaunchedFlow</x:v>
      </x:c>
      <x:c r="I1663" s="118" t="n">
        <x:v>63</x:v>
      </x:c>
      <x:c r="J1663" s="117" t="str">
        <x:v>unmanaged</x:v>
      </x:c>
      <x:c r="K1663" s="123" t="b">
        <x:v>0</x:v>
      </x:c>
      <x:c r="L1663" s="117"/>
      <x:c r="M1663" s="118"/>
      <x:c r="N1663" s="120" t="n">
        <x:v>45726.60649305556</x:v>
      </x:c>
      <x:c r="O1663" s="117" t="str">
        <x:v>Jace Gentil</x:v>
      </x:c>
      <x:c r="P1663" s="120" t="n">
        <x:v>45726.60655092593</x:v>
      </x:c>
      <x:c r="Q1663" s="117" t="str">
        <x:v>Jace Gentil</x:v>
      </x:c>
      <x:c r="R1663" s="117" t="str">
        <x:v>Lead Gen Lead Notification Flow</x:v>
      </x:c>
      <x:c r="S1663" s="119"/>
    </x:row>
    <x:row r="1664" ht="30" customHeight="1">
      <x:c r="A1664" s="117" t="str">
        <x:v>Lead_Product_Type_Ultrasound_System_Rental</x:v>
      </x:c>
      <x:c r="B1664" s="117" t="str">
        <x:v>300Ro00000qqeLIIAY</x:v>
      </x:c>
      <x:c r="C1664" s="117" t="str">
        <x:v>301Ro00000yQkCkIAK</x:v>
      </x:c>
      <x:c r="D1664" s="118" t="n">
        <x:v>1</x:v>
      </x:c>
      <x:c r="E1664" s="117" t="str">
        <x:v>Obsolete</x:v>
      </x:c>
      <x:c r="F1664" s="117" t="str">
        <x:v>No</x:v>
      </x:c>
      <x:c r="G1664" s="117" t="str">
        <x:v>No</x:v>
      </x:c>
      <x:c r="H1664" s="117" t="str">
        <x:v>AutoLaunchedFlow</x:v>
      </x:c>
      <x:c r="I1664" s="118" t="n">
        <x:v>65</x:v>
      </x:c>
      <x:c r="J1664" s="117" t="str">
        <x:v>unmanaged</x:v>
      </x:c>
      <x:c r="K1664" s="123" t="b">
        <x:v>0</x:v>
      </x:c>
      <x:c r="L1664" s="117"/>
      <x:c r="M1664" s="118"/>
      <x:c r="N1664" s="120" t="n">
        <x:v>46069.66663194444</x:v>
      </x:c>
      <x:c r="O1664" s="117" t="str">
        <x:v>Steve Dodd</x:v>
      </x:c>
      <x:c r="P1664" s="120" t="n">
        <x:v>46069.66680555556</x:v>
      </x:c>
      <x:c r="Q1664" s="117" t="str">
        <x:v>Steve Dodd</x:v>
      </x:c>
      <x:c r="R1664" s="117" t="str">
        <x:v>Lead: Product Type - Ultrasound System Rental</x:v>
      </x:c>
      <x:c r="S1664" s="119" t="str">
        <x:v>Assigns the Lead to Terry Mascia (0054O000008juECQAY) if the Product Type selection = "Ultrasound System Rental"</x:v>
      </x:c>
    </x:row>
    <x:row r="1665" ht="30" customHeight="1">
      <x:c r="A1665" s="117" t="str">
        <x:v>Lead_Product_Type_Ultrasound_System_Rental</x:v>
      </x:c>
      <x:c r="B1665" s="117" t="str">
        <x:v>300Ro00000qqeLIIAY</x:v>
      </x:c>
      <x:c r="C1665" s="117" t="str">
        <x:v>301Ro00000yVfncIAC</x:v>
      </x:c>
      <x:c r="D1665" s="118" t="n">
        <x:v>2</x:v>
      </x:c>
      <x:c r="E1665" s="117" t="str">
        <x:v>Active</x:v>
      </x:c>
      <x:c r="F1665" s="117" t="str">
        <x:v>Yes</x:v>
      </x:c>
      <x:c r="G1665" s="117" t="str">
        <x:v>Yes</x:v>
      </x:c>
      <x:c r="H1665" s="117" t="str">
        <x:v>AutoLaunchedFlow</x:v>
      </x:c>
      <x:c r="I1665" s="118" t="n">
        <x:v>65</x:v>
      </x:c>
      <x:c r="J1665" s="117" t="str">
        <x:v>unmanaged</x:v>
      </x:c>
      <x:c r="K1665" s="123" t="b">
        <x:v>0</x:v>
      </x:c>
      <x:c r="L1665" s="117"/>
      <x:c r="M1665" s="118"/>
      <x:c r="N1665" s="120" t="n">
        <x:v>46070.626388888886</x:v>
      </x:c>
      <x:c r="O1665" s="117" t="str">
        <x:v>Steve Dodd</x:v>
      </x:c>
      <x:c r="P1665" s="120" t="n">
        <x:v>46070.62667824074</x:v>
      </x:c>
      <x:c r="Q1665" s="117" t="str">
        <x:v>Steve Dodd</x:v>
      </x:c>
      <x:c r="R1665" s="117" t="str">
        <x:v>Lead: Product Type - Ultrasound System Rental</x:v>
      </x:c>
      <x:c r="S1665" s="119" t="str">
        <x:v>Assigns the Lead to the Terry Mascia Leads Queue (00G4O000003dLQU) if the Product Type selection = "Ultrasound System Rental"</x:v>
      </x:c>
    </x:row>
    <x:row r="1666" ht="30" customHeight="1">
      <x:c r="A1666" s="117" t="str">
        <x:v>Lead_Trigger_Notify_Ultrasound_Team_Upon_Creation</x:v>
      </x:c>
      <x:c r="B1666" s="117" t="str">
        <x:v>300Ro00000e6lWiIAI</x:v>
      </x:c>
      <x:c r="C1666" s="117" t="str">
        <x:v>301Ro00000jqXULIA2</x:v>
      </x:c>
      <x:c r="D1666" s="118" t="n">
        <x:v>1</x:v>
      </x:c>
      <x:c r="E1666" s="117" t="str">
        <x:v>Obsolete</x:v>
      </x:c>
      <x:c r="F1666" s="117" t="str">
        <x:v>No</x:v>
      </x:c>
      <x:c r="G1666" s="117" t="str">
        <x:v>No</x:v>
      </x:c>
      <x:c r="H1666" s="117" t="str">
        <x:v>AutoLaunchedFlow</x:v>
      </x:c>
      <x:c r="I1666" s="118" t="n">
        <x:v>64</x:v>
      </x:c>
      <x:c r="J1666" s="117" t="str">
        <x:v>unmanaged</x:v>
      </x:c>
      <x:c r="K1666" s="123" t="b">
        <x:v>0</x:v>
      </x:c>
      <x:c r="L1666" s="117"/>
      <x:c r="M1666" s="118"/>
      <x:c r="N1666" s="120" t="n">
        <x:v>45897.57865740741</x:v>
      </x:c>
      <x:c r="O1666" s="117" t="str">
        <x:v>Delegate</x:v>
      </x:c>
      <x:c r="P1666" s="120" t="n">
        <x:v>45897.57954861111</x:v>
      </x:c>
      <x:c r="Q1666" s="117" t="str">
        <x:v>Delegate</x:v>
      </x:c>
      <x:c r="R1666" s="117" t="str">
        <x:v>Lead - Trigger - Notify Ultrasound Team Upon Creation</x:v>
      </x:c>
      <x:c r="S1666" s="119" t="str">
        <x:v>8/28/2025 - Kyle/Delegate - Notice to Ultrasound Team for only US based FSL Leads created.</x:v>
      </x:c>
    </x:row>
    <x:row r="1667" ht="30" customHeight="1">
      <x:c r="A1667" s="117" t="str">
        <x:v>Lead_Trigger_Notify_Ultrasound_Team_Upon_Creation</x:v>
      </x:c>
      <x:c r="B1667" s="117" t="str">
        <x:v>300Ro00000e6lWiIAI</x:v>
      </x:c>
      <x:c r="C1667" s="117" t="str">
        <x:v>301Ro00000jqf3dIAA</x:v>
      </x:c>
      <x:c r="D1667" s="118" t="n">
        <x:v>2</x:v>
      </x:c>
      <x:c r="E1667" s="117" t="str">
        <x:v>Obsolete</x:v>
      </x:c>
      <x:c r="F1667" s="117" t="str">
        <x:v>No</x:v>
      </x:c>
      <x:c r="G1667" s="117" t="str">
        <x:v>No</x:v>
      </x:c>
      <x:c r="H1667" s="117" t="str">
        <x:v>AutoLaunchedFlow</x:v>
      </x:c>
      <x:c r="I1667" s="118" t="n">
        <x:v>64</x:v>
      </x:c>
      <x:c r="J1667" s="117" t="str">
        <x:v>unmanaged</x:v>
      </x:c>
      <x:c r="K1667" s="123" t="b">
        <x:v>0</x:v>
      </x:c>
      <x:c r="L1667" s="117"/>
      <x:c r="M1667" s="118"/>
      <x:c r="N1667" s="120" t="n">
        <x:v>45897.592835648145</x:v>
      </x:c>
      <x:c r="O1667" s="117" t="str">
        <x:v>Delegate</x:v>
      </x:c>
      <x:c r="P1667" s="120" t="n">
        <x:v>45897.593090277776</x:v>
      </x:c>
      <x:c r="Q1667" s="117" t="str">
        <x:v>Delegate</x:v>
      </x:c>
      <x:c r="R1667" s="117" t="str">
        <x:v>Lead - Trigger - Notify Ultrasound Team Upon Creation</x:v>
      </x:c>
      <x:c r="S1667" s="119" t="str">
        <x:v>8/28/2025 - Kyle/Delegate - Notice to Ultrasound Team for only US based FSL Leads created.</x:v>
      </x:c>
    </x:row>
    <x:row r="1668" ht="30" customHeight="1">
      <x:c r="A1668" s="117" t="str">
        <x:v>Lead_Trigger_Notify_Ultrasound_Team_Upon_Creation</x:v>
      </x:c>
      <x:c r="B1668" s="117" t="str">
        <x:v>300Ro00000e6lWiIAI</x:v>
      </x:c>
      <x:c r="C1668" s="117" t="str">
        <x:v>301Ro00000jqlicIAA</x:v>
      </x:c>
      <x:c r="D1668" s="118" t="n">
        <x:v>3</x:v>
      </x:c>
      <x:c r="E1668" s="117" t="str">
        <x:v>Obsolete</x:v>
      </x:c>
      <x:c r="F1668" s="117" t="str">
        <x:v>No</x:v>
      </x:c>
      <x:c r="G1668" s="117" t="str">
        <x:v>No</x:v>
      </x:c>
      <x:c r="H1668" s="117" t="str">
        <x:v>AutoLaunchedFlow</x:v>
      </x:c>
      <x:c r="I1668" s="118" t="n">
        <x:v>64</x:v>
      </x:c>
      <x:c r="J1668" s="117" t="str">
        <x:v>unmanaged</x:v>
      </x:c>
      <x:c r="K1668" s="123" t="b">
        <x:v>0</x:v>
      </x:c>
      <x:c r="L1668" s="117"/>
      <x:c r="M1668" s="118"/>
      <x:c r="N1668" s="120" t="n">
        <x:v>45897.63570601852</x:v>
      </x:c>
      <x:c r="O1668" s="117" t="str">
        <x:v>Delegate</x:v>
      </x:c>
      <x:c r="P1668" s="120" t="n">
        <x:v>45897.63585648148</x:v>
      </x:c>
      <x:c r="Q1668" s="117" t="str">
        <x:v>Delegate</x:v>
      </x:c>
      <x:c r="R1668" s="117" t="str">
        <x:v>Lead - Trigger - Notify Ultrasound Team Upon Creation</x:v>
      </x:c>
      <x:c r="S1668" s="119" t="str">
        <x:v>8/28/2025 - Kyle/Delegate - Notice to Ultrasound Team for only US based FSL Leads created.</x:v>
      </x:c>
    </x:row>
    <x:row r="1669" ht="30" customHeight="1">
      <x:c r="A1669" s="117" t="str">
        <x:v>Lead_Trigger_Notify_Ultrasound_Team_Upon_Creation</x:v>
      </x:c>
      <x:c r="B1669" s="117" t="str">
        <x:v>300Ro00000e6lWiIAI</x:v>
      </x:c>
      <x:c r="C1669" s="117" t="str">
        <x:v>301Ro00000kgznrIAA</x:v>
      </x:c>
      <x:c r="D1669" s="118" t="n">
        <x:v>4</x:v>
      </x:c>
      <x:c r="E1669" s="117" t="str">
        <x:v>Active</x:v>
      </x:c>
      <x:c r="F1669" s="117" t="str">
        <x:v>Yes</x:v>
      </x:c>
      <x:c r="G1669" s="117" t="str">
        <x:v>Yes</x:v>
      </x:c>
      <x:c r="H1669" s="117" t="str">
        <x:v>AutoLaunchedFlow</x:v>
      </x:c>
      <x:c r="I1669" s="118" t="n">
        <x:v>64</x:v>
      </x:c>
      <x:c r="J1669" s="117" t="str">
        <x:v>unmanaged</x:v>
      </x:c>
      <x:c r="K1669" s="123" t="b">
        <x:v>0</x:v>
      </x:c>
      <x:c r="L1669" s="117"/>
      <x:c r="M1669" s="118"/>
      <x:c r="N1669" s="120" t="n">
        <x:v>45904.623935185184</x:v>
      </x:c>
      <x:c r="O1669" s="117" t="str">
        <x:v>Delegate</x:v>
      </x:c>
      <x:c r="P1669" s="120" t="n">
        <x:v>45904.62403935185</x:v>
      </x:c>
      <x:c r="Q1669" s="117" t="str">
        <x:v>Delegate</x:v>
      </x:c>
      <x:c r="R1669" s="117" t="str">
        <x:v>Lead - Trigger - Notify Ultrasound Team Upon Creation</x:v>
      </x:c>
      <x:c r="S1669" s="119" t="str">
        <x:v>9/02/2025 - Kyle/Delegate - Adding other templates for lead type</x:v>
      </x:c>
    </x:row>
    <x:row r="1670" ht="30" customHeight="1">
      <x:c r="A1670" s="117" t="str">
        <x:v>LeadStatusDateTrackers</x:v>
      </x:c>
      <x:c r="B1670" s="117" t="str">
        <x:v>3005b000000LHS0AAO</x:v>
      </x:c>
      <x:c r="C1670" s="117" t="str">
        <x:v>3015b000000ACpCAAW</x:v>
      </x:c>
      <x:c r="D1670" s="118" t="n">
        <x:v>1</x:v>
      </x:c>
      <x:c r="E1670" s="117" t="str">
        <x:v>Active</x:v>
      </x:c>
      <x:c r="F1670" s="117" t="str">
        <x:v>Yes</x:v>
      </x:c>
      <x:c r="G1670" s="117" t="str">
        <x:v>Yes</x:v>
      </x:c>
      <x:c r="H1670" s="117" t="str">
        <x:v>AutoLaunchedFlow</x:v>
      </x:c>
      <x:c r="I1670" s="118" t="n">
        <x:v>56</x:v>
      </x:c>
      <x:c r="J1670" s="117" t="str">
        <x:v>unmanaged</x:v>
      </x:c>
      <x:c r="K1670" s="123" t="b">
        <x:v>0</x:v>
      </x:c>
      <x:c r="L1670" s="117"/>
      <x:c r="M1670" s="118"/>
      <x:c r="N1670" s="120" t="n">
        <x:v>44915.7603125</x:v>
      </x:c>
      <x:c r="O1670" s="117" t="str">
        <x:v>Jace Gentil</x:v>
      </x:c>
      <x:c r="P1670" s="120" t="n">
        <x:v>44915.760358796295</x:v>
      </x:c>
      <x:c r="Q1670" s="117" t="str">
        <x:v>Jace Gentil</x:v>
      </x:c>
      <x:c r="R1670" s="117" t="str">
        <x:v>LeadStatusDateTrackers</x:v>
      </x:c>
      <x:c r="S1670" s="119"/>
    </x:row>
    <x:row r="1671" ht="30" customHeight="1">
      <x:c r="A1671" s="117" t="str">
        <x:v>Loaner_Asset_Asynchronous_on_create_Loaner_Asset_Roll_Up</x:v>
      </x:c>
      <x:c r="B1671" s="117" t="str">
        <x:v>300Ro00000zJbteIAC</x:v>
      </x:c>
      <x:c r="C1671" s="117" t="str">
        <x:v>301Ro000017eaOUIAY</x:v>
      </x:c>
      <x:c r="D1671" s="118" t="n">
        <x:v>1</x:v>
      </x:c>
      <x:c r="E1671" s="117" t="str">
        <x:v>Obsolete</x:v>
      </x:c>
      <x:c r="F1671" s="117" t="str">
        <x:v>No</x:v>
      </x:c>
      <x:c r="G1671" s="117" t="str">
        <x:v>No</x:v>
      </x:c>
      <x:c r="H1671" s="117" t="str">
        <x:v>AutoLaunchedFlow</x:v>
      </x:c>
      <x:c r="I1671" s="118" t="n">
        <x:v>66</x:v>
      </x:c>
      <x:c r="J1671" s="117" t="str">
        <x:v>unmanaged</x:v>
      </x:c>
      <x:c r="K1671" s="123" t="b">
        <x:v>0</x:v>
      </x:c>
      <x:c r="L1671" s="117"/>
      <x:c r="M1671" s="118"/>
      <x:c r="N1671" s="120" t="n">
        <x:v>46177.93032407408</x:v>
      </x:c>
      <x:c r="O1671" s="117" t="str">
        <x:v>Delegate</x:v>
      </x:c>
      <x:c r="P1671" s="120" t="n">
        <x:v>46177.9434837963</x:v>
      </x:c>
      <x:c r="Q1671" s="117" t="str">
        <x:v>Delegate</x:v>
      </x:c>
      <x:c r="R1671" s="117" t="str">
        <x:v>Loaner Asset | Asynchronous, on create, Loaner Asset Roll Up</x:v>
      </x:c>
      <x:c r="S1671" s="119" t="str">
        <x:v>06/04/26 (GD) – Replaces DLRS Loaner_Assets_Roll_Up rule. Concatenates distinct Loaner_Asset__c.Loaner_Asset__c (ProductItem Name) values comma-delimited, truncated to 255 chars, onto Loaner__c.Loaner_Asset__c when a Loaner Asset is created. Loaner_Is_Null_Check prevents SOQL when Loaner__c is blank.</x:v>
      </x:c>
    </x:row>
    <x:row r="1672" ht="30" customHeight="1">
      <x:c r="A1672" s="117" t="str">
        <x:v>Loaner_Asset_Asynchronous_on_create_Loaner_Asset_Roll_Up</x:v>
      </x:c>
      <x:c r="B1672" s="117" t="str">
        <x:v>300Ro00000zJbteIAC</x:v>
      </x:c>
      <x:c r="C1672" s="117" t="str">
        <x:v>301Ro000017ed4cIAA</x:v>
      </x:c>
      <x:c r="D1672" s="118" t="n">
        <x:v>2</x:v>
      </x:c>
      <x:c r="E1672" s="117" t="str">
        <x:v>Active</x:v>
      </x:c>
      <x:c r="F1672" s="117" t="str">
        <x:v>Yes</x:v>
      </x:c>
      <x:c r="G1672" s="117" t="str">
        <x:v>Yes</x:v>
      </x:c>
      <x:c r="H1672" s="117" t="str">
        <x:v>AutoLaunchedFlow</x:v>
      </x:c>
      <x:c r="I1672" s="118" t="n">
        <x:v>66</x:v>
      </x:c>
      <x:c r="J1672" s="117" t="str">
        <x:v>unmanaged</x:v>
      </x:c>
      <x:c r="K1672" s="123" t="b">
        <x:v>0</x:v>
      </x:c>
      <x:c r="L1672" s="117"/>
      <x:c r="M1672" s="118"/>
      <x:c r="N1672" s="120" t="n">
        <x:v>46177.94820601852</x:v>
      </x:c>
      <x:c r="O1672" s="117" t="str">
        <x:v>Delegate</x:v>
      </x:c>
      <x:c r="P1672" s="120" t="n">
        <x:v>46177.95140046296</x:v>
      </x:c>
      <x:c r="Q1672" s="117" t="str">
        <x:v>Delegate</x:v>
      </x:c>
      <x:c r="R1672" s="117" t="str">
        <x:v>Loaner Asset | Asynchronous, on create, Loaner Asset Roll Up</x:v>
      </x:c>
      <x:c r="S1672" s="119" t="str">
        <x:v>06/04/26 (GD) – DLRS-replacement: Loaner_Assets_Roll_Up (on create). Loop over Transform: no ConcatenateDistinct, formula field (ProductItem__r.Name), no delimiter/truncation control.</x:v>
      </x:c>
    </x:row>
    <x:row r="1673" ht="30" customHeight="1">
      <x:c r="A1673" s="117" t="str">
        <x:v>Loaner_Asset_Asynchronous_on_create_Loaner_Location_Roll_Up</x:v>
      </x:c>
      <x:c r="B1673" s="117" t="str">
        <x:v>300Ro00000zEfplIAC</x:v>
      </x:c>
      <x:c r="C1673" s="117" t="str">
        <x:v>301Ro000017ZYyMIAW</x:v>
      </x:c>
      <x:c r="D1673" s="118" t="n">
        <x:v>1</x:v>
      </x:c>
      <x:c r="E1673" s="117" t="str">
        <x:v>Active</x:v>
      </x:c>
      <x:c r="F1673" s="117" t="str">
        <x:v>Yes</x:v>
      </x:c>
      <x:c r="G1673" s="117" t="str">
        <x:v>Yes</x:v>
      </x:c>
      <x:c r="H1673" s="117" t="str">
        <x:v>AutoLaunchedFlow</x:v>
      </x:c>
      <x:c r="I1673" s="118" t="n">
        <x:v>66</x:v>
      </x:c>
      <x:c r="J1673" s="117" t="str">
        <x:v>unmanaged</x:v>
      </x:c>
      <x:c r="K1673" s="123" t="b">
        <x:v>0</x:v>
      </x:c>
      <x:c r="L1673" s="117"/>
      <x:c r="M1673" s="118"/>
      <x:c r="N1673" s="120" t="n">
        <x:v>46177.157013888886</x:v>
      </x:c>
      <x:c r="O1673" s="117" t="str">
        <x:v>Delegate</x:v>
      </x:c>
      <x:c r="P1673" s="120" t="n">
        <x:v>46177.163518518515</x:v>
      </x:c>
      <x:c r="Q1673" s="117" t="str">
        <x:v>Delegate</x:v>
      </x:c>
      <x:c r="R1673" s="117" t="str">
        <x:v>Loaner Asset | Asynchronous, on create, Loaner Location Roll Up</x:v>
      </x:c>
      <x:c r="S1673" s="119" t="str">
        <x:v>06/03/26 (GD) – Replaces DLRS Loaner_Assets_Location rule. Concatenates distinct Loaner_Asset__c.Loaner_Location__c values (space-delimited) onto Loaner__c.Loaner_Location__c when a Loaner Asset is created. Loaner_Is_Null_Check decision prevents SOQL when Loaner__c is blank.</x:v>
      </x:c>
    </x:row>
    <x:row r="1674" ht="30" customHeight="1">
      <x:c r="A1674" s="117" t="str">
        <x:v>Loaner_Asset_Asynchronous_on_create_Loaner_Serial_Roll_Up</x:v>
      </x:c>
      <x:c r="B1674" s="117" t="str">
        <x:v>300Ro00000zKERvIAO</x:v>
      </x:c>
      <x:c r="C1674" s="117" t="str">
        <x:v>301Ro000017f1baIAA</x:v>
      </x:c>
      <x:c r="D1674" s="118" t="n">
        <x:v>1</x:v>
      </x:c>
      <x:c r="E1674" s="117" t="str">
        <x:v>Active</x:v>
      </x:c>
      <x:c r="F1674" s="117" t="str">
        <x:v>Yes</x:v>
      </x:c>
      <x:c r="G1674" s="117" t="str">
        <x:v>Yes</x:v>
      </x:c>
      <x:c r="H1674" s="117" t="str">
        <x:v>AutoLaunchedFlow</x:v>
      </x:c>
      <x:c r="I1674" s="118" t="n">
        <x:v>66</x:v>
      </x:c>
      <x:c r="J1674" s="117" t="str">
        <x:v>unmanaged</x:v>
      </x:c>
      <x:c r="K1674" s="123" t="b">
        <x:v>0</x:v>
      </x:c>
      <x:c r="L1674" s="117"/>
      <x:c r="M1674" s="118"/>
      <x:c r="N1674" s="120" t="n">
        <x:v>46177.99984953704</x:v>
      </x:c>
      <x:c r="O1674" s="117" t="str">
        <x:v>Delegate</x:v>
      </x:c>
      <x:c r="P1674" s="120" t="n">
        <x:v>46178.004224537035</x:v>
      </x:c>
      <x:c r="Q1674" s="117" t="str">
        <x:v>Delegate</x:v>
      </x:c>
      <x:c r="R1674" s="117" t="str">
        <x:v>Loaner Asset | Asynchronous, on create, Loaner Serial Roll Up</x:v>
      </x:c>
      <x:c r="S1674" s="119" t="str">
        <x:v>06/04/26 (GD) – Replaces DLRS dlrs__LookupRollupSummary2.Loaner_Assets_Serial (on create). Concatenates Loaner_Serial__c from child Loaner_Asset__c records onto Loaner__c.Loaner_Serial__c. No delimiter; sorted by LastModifiedDate ASC; null serials excluded; 255-char truncation guard (adjust if Loaner_Serial__c on Loaner__c is longer). Runs async to stay outside the creating transaction. Bulk note: concurrent creates on the same parent may cause row-lock contention at very high volume.</x:v>
      </x:c>
    </x:row>
    <x:row r="1675" ht="30" customHeight="1">
      <x:c r="A1675" s="117" t="str">
        <x:v>Loaner_Asset_Asynchronous_on_update_Loaner_Location_Roll_Up</x:v>
      </x:c>
      <x:c r="B1675" s="117" t="str">
        <x:v>300Ro00000zEfpmIAC</x:v>
      </x:c>
      <x:c r="C1675" s="117" t="str">
        <x:v>301Ro000017ZYyNIAW</x:v>
      </x:c>
      <x:c r="D1675" s="118" t="n">
        <x:v>1</x:v>
      </x:c>
      <x:c r="E1675" s="117" t="str">
        <x:v>Active</x:v>
      </x:c>
      <x:c r="F1675" s="117" t="str">
        <x:v>Yes</x:v>
      </x:c>
      <x:c r="G1675" s="117" t="str">
        <x:v>Yes</x:v>
      </x:c>
      <x:c r="H1675" s="117" t="str">
        <x:v>AutoLaunchedFlow</x:v>
      </x:c>
      <x:c r="I1675" s="118" t="n">
        <x:v>66</x:v>
      </x:c>
      <x:c r="J1675" s="117" t="str">
        <x:v>unmanaged</x:v>
      </x:c>
      <x:c r="K1675" s="123" t="b">
        <x:v>0</x:v>
      </x:c>
      <x:c r="L1675" s="117"/>
      <x:c r="M1675" s="118"/>
      <x:c r="N1675" s="120" t="n">
        <x:v>46177.15708333333</x:v>
      </x:c>
      <x:c r="O1675" s="117" t="str">
        <x:v>Delegate</x:v>
      </x:c>
      <x:c r="P1675" s="120" t="n">
        <x:v>46177.16354166667</x:v>
      </x:c>
      <x:c r="Q1675" s="117" t="str">
        <x:v>Delegate</x:v>
      </x:c>
      <x:c r="R1675" s="117" t="str">
        <x:v>Loaner Asset | Asynchronous, on update, Loaner Location Roll Up</x:v>
      </x:c>
      <x:c r="S1675" s="119" t="str">
        <x:v>06/03/26 (GD) – Replaces DLRS Loaner_Assets_Location rule. Recalculates Loaner__c.Loaner_Location__c when a Loaner Asset is reparented (Loaner__c changes). Concatenates distinct Loaner_Location__c values (space-delimited) for the new parent. Note: old parent is not recalculated — $Record__Prior is unavailable in async paths.</x:v>
      </x:c>
    </x:row>
    <x:row r="1676" ht="30" customHeight="1">
      <x:c r="A1676" s="117" t="str">
        <x:v>Loaner_Asset_Before_Delete_Loaner_Asset_Roll_Up</x:v>
      </x:c>
      <x:c r="B1676" s="117" t="str">
        <x:v>300Ro00000zJbtfIAC</x:v>
      </x:c>
      <x:c r="C1676" s="117" t="str">
        <x:v>301Ro000017eaOVIAY</x:v>
      </x:c>
      <x:c r="D1676" s="118" t="n">
        <x:v>1</x:v>
      </x:c>
      <x:c r="E1676" s="117" t="str">
        <x:v>Obsolete</x:v>
      </x:c>
      <x:c r="F1676" s="117" t="str">
        <x:v>No</x:v>
      </x:c>
      <x:c r="G1676" s="117" t="str">
        <x:v>No</x:v>
      </x:c>
      <x:c r="H1676" s="117" t="str">
        <x:v>AutoLaunchedFlow</x:v>
      </x:c>
      <x:c r="I1676" s="118" t="n">
        <x:v>66</x:v>
      </x:c>
      <x:c r="J1676" s="117" t="str">
        <x:v>unmanaged</x:v>
      </x:c>
      <x:c r="K1676" s="123" t="b">
        <x:v>0</x:v>
      </x:c>
      <x:c r="L1676" s="117"/>
      <x:c r="M1676" s="118"/>
      <x:c r="N1676" s="120" t="n">
        <x:v>46177.93040509259</x:v>
      </x:c>
      <x:c r="O1676" s="117" t="str">
        <x:v>Delegate</x:v>
      </x:c>
      <x:c r="P1676" s="120" t="n">
        <x:v>46177.943506944444</x:v>
      </x:c>
      <x:c r="Q1676" s="117" t="str">
        <x:v>Delegate</x:v>
      </x:c>
      <x:c r="R1676" s="117" t="str">
        <x:v>Loaner Asset | Before Delete, Loaner Asset Roll Up</x:v>
      </x:c>
      <x:c r="S1676" s="119" t="str">
        <x:v>06/04/26 (GD) – Replaces DLRS Loaner_Assets_Roll_Up rule. Re-concatenates remaining Loaner_Asset__c.Loaner_Asset__c (ProductItem Name) values comma-delimited, truncated to 255 chars, onto Loaner__c.Loaner_Asset__c before a Loaner Asset is deleted. Excludes the record being deleted from the query. Loaner_Is_Null_Check prevents SOQL when Loaner__c is blank.</x:v>
      </x:c>
    </x:row>
    <x:row r="1677" ht="30" customHeight="1">
      <x:c r="A1677" s="117" t="str">
        <x:v>Loaner_Asset_Before_Delete_Loaner_Asset_Roll_Up</x:v>
      </x:c>
      <x:c r="B1677" s="117" t="str">
        <x:v>300Ro00000zJbtfIAC</x:v>
      </x:c>
      <x:c r="C1677" s="117" t="str">
        <x:v>301Ro000017ed4dIAA</x:v>
      </x:c>
      <x:c r="D1677" s="118" t="n">
        <x:v>2</x:v>
      </x:c>
      <x:c r="E1677" s="117" t="str">
        <x:v>Active</x:v>
      </x:c>
      <x:c r="F1677" s="117" t="str">
        <x:v>Yes</x:v>
      </x:c>
      <x:c r="G1677" s="117" t="str">
        <x:v>Yes</x:v>
      </x:c>
      <x:c r="H1677" s="117" t="str">
        <x:v>AutoLaunchedFlow</x:v>
      </x:c>
      <x:c r="I1677" s="118" t="n">
        <x:v>66</x:v>
      </x:c>
      <x:c r="J1677" s="117" t="str">
        <x:v>unmanaged</x:v>
      </x:c>
      <x:c r="K1677" s="123" t="b">
        <x:v>0</x:v>
      </x:c>
      <x:c r="L1677" s="117"/>
      <x:c r="M1677" s="118"/>
      <x:c r="N1677" s="120" t="n">
        <x:v>46177.94825231482</x:v>
      </x:c>
      <x:c r="O1677" s="117" t="str">
        <x:v>Delegate</x:v>
      </x:c>
      <x:c r="P1677" s="120" t="n">
        <x:v>46177.9530787037</x:v>
      </x:c>
      <x:c r="Q1677" s="117" t="str">
        <x:v>Delegate</x:v>
      </x:c>
      <x:c r="R1677" s="117" t="str">
        <x:v>Loaner Asset | Before Delete, Loaner Asset Roll Up</x:v>
      </x:c>
      <x:c r="S1677" s="119" t="str">
        <x:v>06/04/26 (GD) – DLRS-replacement: Loaner_Assets_Roll_Up (before delete). Loop over Transform: no ConcatenateDistinct, formula field (ProductItem__r.Name), no delimiter/truncation control.</x:v>
      </x:c>
    </x:row>
    <x:row r="1678" ht="30" customHeight="1">
      <x:c r="A1678" s="117" t="str">
        <x:v>Loaner_Asset_Before_Delete_Loaner_Location_Roll_Up</x:v>
      </x:c>
      <x:c r="B1678" s="117" t="str">
        <x:v>300Ro00000zEfpnIAC</x:v>
      </x:c>
      <x:c r="C1678" s="117" t="str">
        <x:v>301Ro000017ZYyOIAW</x:v>
      </x:c>
      <x:c r="D1678" s="118" t="n">
        <x:v>1</x:v>
      </x:c>
      <x:c r="E1678" s="117" t="str">
        <x:v>Active</x:v>
      </x:c>
      <x:c r="F1678" s="117" t="str">
        <x:v>Yes</x:v>
      </x:c>
      <x:c r="G1678" s="117" t="str">
        <x:v>Yes</x:v>
      </x:c>
      <x:c r="H1678" s="117" t="str">
        <x:v>AutoLaunchedFlow</x:v>
      </x:c>
      <x:c r="I1678" s="118" t="n">
        <x:v>66</x:v>
      </x:c>
      <x:c r="J1678" s="117" t="str">
        <x:v>unmanaged</x:v>
      </x:c>
      <x:c r="K1678" s="123" t="b">
        <x:v>0</x:v>
      </x:c>
      <x:c r="L1678" s="117"/>
      <x:c r="M1678" s="118"/>
      <x:c r="N1678" s="120" t="n">
        <x:v>46177.15709490741</x:v>
      </x:c>
      <x:c r="O1678" s="117" t="str">
        <x:v>Delegate</x:v>
      </x:c>
      <x:c r="P1678" s="120" t="n">
        <x:v>46177.16355324074</x:v>
      </x:c>
      <x:c r="Q1678" s="117" t="str">
        <x:v>Delegate</x:v>
      </x:c>
      <x:c r="R1678" s="117" t="str">
        <x:v>Loaner Asset | Before Delete, Loaner Location Roll Up</x:v>
      </x:c>
      <x:c r="S1678" s="119" t="str">
        <x:v>06/03/26 (GD) – Replaces DLRS Loaner_Assets_Location rule. Re-concatenates remaining Loaner_Asset__c.Loaner_Location__c values (space-delimited) onto Loaner__c.Loaner_Location__c before a Loaner Asset is deleted. Excludes the record being deleted from the query. Loaner_Is_Null_Check prevents SOQL when Loaner__c is blank.</x:v>
      </x:c>
    </x:row>
    <x:row r="1679" ht="30" customHeight="1">
      <x:c r="A1679" s="117" t="str">
        <x:v>Loaner_Asset_Before_Delete_Loaner_Serial_Roll_Up</x:v>
      </x:c>
      <x:c r="B1679" s="117" t="str">
        <x:v>300Ro00000zKERwIAO</x:v>
      </x:c>
      <x:c r="C1679" s="117" t="str">
        <x:v>301Ro000017f1bbIAA</x:v>
      </x:c>
      <x:c r="D1679" s="118" t="n">
        <x:v>1</x:v>
      </x:c>
      <x:c r="E1679" s="117" t="str">
        <x:v>Active</x:v>
      </x:c>
      <x:c r="F1679" s="117" t="str">
        <x:v>Yes</x:v>
      </x:c>
      <x:c r="G1679" s="117" t="str">
        <x:v>Yes</x:v>
      </x:c>
      <x:c r="H1679" s="117" t="str">
        <x:v>AutoLaunchedFlow</x:v>
      </x:c>
      <x:c r="I1679" s="118" t="n">
        <x:v>66</x:v>
      </x:c>
      <x:c r="J1679" s="117" t="str">
        <x:v>unmanaged</x:v>
      </x:c>
      <x:c r="K1679" s="123" t="b">
        <x:v>0</x:v>
      </x:c>
      <x:c r="L1679" s="117"/>
      <x:c r="M1679" s="118"/>
      <x:c r="N1679" s="120" t="n">
        <x:v>46177.99990740741</x:v>
      </x:c>
      <x:c r="O1679" s="117" t="str">
        <x:v>Delegate</x:v>
      </x:c>
      <x:c r="P1679" s="120" t="n">
        <x:v>46178.00418981481</x:v>
      </x:c>
      <x:c r="Q1679" s="117" t="str">
        <x:v>Delegate</x:v>
      </x:c>
      <x:c r="R1679" s="117" t="str">
        <x:v>Loaner Asset | Before Delete, Loaner Serial Roll Up</x:v>
      </x:c>
      <x:c r="S1679" s="119" t="str">
        <x:v>06/04/26 (GD) – Replaces DLRS dlrs__LookupRollupSummary2.Loaner_Assets_Serial (before delete). Recalculates Loaner__c.Loaner_Serial__c by concatenating Loaner_Serial__c from remaining child Loaner_Asset__c records (excluding the record being deleted). No delimiter; sorted by LastModifiedDate ASC; null serials excluded; 255-char truncation guard. When no siblings remain, writes blank (null) to the parent field. Runs synchronously; async paths are not supported in Before Delete context.</x:v>
      </x:c>
    </x:row>
    <x:row r="1680" ht="30" customHeight="1">
      <x:c r="A1680" s="117" t="str">
        <x:v>Loaner_Asset_on_update_Loaner_Asset_Roll_Up</x:v>
      </x:c>
      <x:c r="B1680" s="117" t="str">
        <x:v>300Ro00000zJbtgIAC</x:v>
      </x:c>
      <x:c r="C1680" s="117" t="str">
        <x:v>301Ro000017eaOWIAY</x:v>
      </x:c>
      <x:c r="D1680" s="118" t="n">
        <x:v>1</x:v>
      </x:c>
      <x:c r="E1680" s="117" t="str">
        <x:v>Obsolete</x:v>
      </x:c>
      <x:c r="F1680" s="117" t="str">
        <x:v>No</x:v>
      </x:c>
      <x:c r="G1680" s="117" t="str">
        <x:v>No</x:v>
      </x:c>
      <x:c r="H1680" s="117" t="str">
        <x:v>AutoLaunchedFlow</x:v>
      </x:c>
      <x:c r="I1680" s="118" t="n">
        <x:v>66</x:v>
      </x:c>
      <x:c r="J1680" s="117" t="str">
        <x:v>unmanaged</x:v>
      </x:c>
      <x:c r="K1680" s="123" t="b">
        <x:v>0</x:v>
      </x:c>
      <x:c r="L1680" s="117"/>
      <x:c r="M1680" s="118"/>
      <x:c r="N1680" s="120" t="n">
        <x:v>46177.93041666667</x:v>
      </x:c>
      <x:c r="O1680" s="117" t="str">
        <x:v>Delegate</x:v>
      </x:c>
      <x:c r="P1680" s="120" t="n">
        <x:v>46177.94388888889</x:v>
      </x:c>
      <x:c r="Q1680" s="117" t="str">
        <x:v>Delegate</x:v>
      </x:c>
      <x:c r="R1680" s="117" t="str">
        <x:v>Loaner Asset | On Update, Loaner Asset Roll Up</x:v>
      </x:c>
      <x:c r="S1680" s="119" t="str">
        <x:v>06/04/26 (GD) – Replaces DLRS Loaner_Assets_Roll_Up rule. Synchronous after-save update flow (RecordAfterSave) so $Record__Prior is available. Branch A: Loaner__c changed — recalculates both the new parent and old parent rollups. Branch B: ProductItem__c changed (same Loaner) — recalculates current parent only. Concatenates distinct Loaner_Asset__c (ProductItem Name) values comma-delimited, truncated to 255 chars, onto Loaner__c.Loaner_Asset__c.</x:v>
      </x:c>
    </x:row>
    <x:row r="1681" ht="30" customHeight="1">
      <x:c r="A1681" s="117" t="str">
        <x:v>Loaner_Asset_on_update_Loaner_Asset_Roll_Up</x:v>
      </x:c>
      <x:c r="B1681" s="117" t="str">
        <x:v>300Ro00000zJbtgIAC</x:v>
      </x:c>
      <x:c r="C1681" s="117" t="str">
        <x:v>301Ro000017ed4eIAA</x:v>
      </x:c>
      <x:c r="D1681" s="118" t="n">
        <x:v>2</x:v>
      </x:c>
      <x:c r="E1681" s="117" t="str">
        <x:v>Active</x:v>
      </x:c>
      <x:c r="F1681" s="117" t="str">
        <x:v>Yes</x:v>
      </x:c>
      <x:c r="G1681" s="117" t="str">
        <x:v>Yes</x:v>
      </x:c>
      <x:c r="H1681" s="117" t="str">
        <x:v>AutoLaunchedFlow</x:v>
      </x:c>
      <x:c r="I1681" s="118" t="n">
        <x:v>66</x:v>
      </x:c>
      <x:c r="J1681" s="117" t="str">
        <x:v>unmanaged</x:v>
      </x:c>
      <x:c r="K1681" s="123" t="b">
        <x:v>0</x:v>
      </x:c>
      <x:c r="L1681" s="117"/>
      <x:c r="M1681" s="118"/>
      <x:c r="N1681" s="120" t="n">
        <x:v>46177.94826388889</x:v>
      </x:c>
      <x:c r="O1681" s="117" t="str">
        <x:v>Delegate</x:v>
      </x:c>
      <x:c r="P1681" s="120" t="n">
        <x:v>46177.95284722222</x:v>
      </x:c>
      <x:c r="Q1681" s="117" t="str">
        <x:v>Delegate</x:v>
      </x:c>
      <x:c r="R1681" s="117" t="str">
        <x:v>Loaner Asset | On Update, Loaner Asset Roll Up</x:v>
      </x:c>
      <x:c r="S1681" s="119" t="str">
        <x:v>06/04/26 (GD) – DLRS-replacement: Loaner_Assets_Roll_Up (on update). Sync path for $Record__Prior (old parent on reparent). Loop over Transform: no ConcatenateDistinct, formula field (ProductItem__r.Name), no delimiter/truncation control.</x:v>
      </x:c>
    </x:row>
    <x:row r="1682" ht="30" customHeight="1">
      <x:c r="A1682" s="117" t="str">
        <x:v>Loaner_Asset_on_update_Loaner_Serial_Roll_Up</x:v>
      </x:c>
      <x:c r="B1682" s="117" t="str">
        <x:v>300Ro00000zKERxIAO</x:v>
      </x:c>
      <x:c r="C1682" s="117" t="str">
        <x:v>301Ro000017f1bcIAA</x:v>
      </x:c>
      <x:c r="D1682" s="118" t="n">
        <x:v>1</x:v>
      </x:c>
      <x:c r="E1682" s="117" t="str">
        <x:v>Active</x:v>
      </x:c>
      <x:c r="F1682" s="117" t="str">
        <x:v>Yes</x:v>
      </x:c>
      <x:c r="G1682" s="117" t="str">
        <x:v>Yes</x:v>
      </x:c>
      <x:c r="H1682" s="117" t="str">
        <x:v>AutoLaunchedFlow</x:v>
      </x:c>
      <x:c r="I1682" s="118" t="n">
        <x:v>66</x:v>
      </x:c>
      <x:c r="J1682" s="117" t="str">
        <x:v>unmanaged</x:v>
      </x:c>
      <x:c r="K1682" s="123" t="b">
        <x:v>0</x:v>
      </x:c>
      <x:c r="L1682" s="117"/>
      <x:c r="M1682" s="118"/>
      <x:c r="N1682" s="120" t="n">
        <x:v>46177.999918981484</x:v>
      </x:c>
      <x:c r="O1682" s="117" t="str">
        <x:v>Delegate</x:v>
      </x:c>
      <x:c r="P1682" s="120" t="n">
        <x:v>46178.004212962966</x:v>
      </x:c>
      <x:c r="Q1682" s="117" t="str">
        <x:v>Delegate</x:v>
      </x:c>
      <x:c r="R1682" s="117" t="str">
        <x:v>Loaner Asset | On Update, Loaner Serial Roll Up</x:v>
      </x:c>
      <x:c r="S1682" s="119" t="str">
        <x:v>06/04/26 (GD) – Replaces DLRS dlrs__LookupRollupSummary2.Loaner_Assets_Serial (on update). Concatenates Loaner_Serial__c from child Loaner_Asset__c records onto Loaner__c.Loaner_Serial__c. No delimiter; sorted by LastModifiedDate ASC; null serials excluded; 255-char truncation guard. Handles reparenting: updates both new and old parent when Loaner__c changes. Known gap: if Loaner__c is cleared to null, the old parent is not recalculated (entry criteria require Loaner__c to be non-null post-update). Bulk note: concurrent updates on the same parent may cause row-lock contention at very high volume.</x:v>
      </x:c>
    </x:row>
    <x:row r="1683" ht="30" customHeight="1">
      <x:c r="A1683" s="117" t="str">
        <x:v>Loaner_Object_Updates_and_Alerts</x:v>
      </x:c>
      <x:c r="B1683" s="117" t="str">
        <x:v>3005b000000LHaTAAW</x:v>
      </x:c>
      <x:c r="C1683" s="117" t="str">
        <x:v>3015b000000ADbQAAW</x:v>
      </x:c>
      <x:c r="D1683" s="118" t="n">
        <x:v>1</x:v>
      </x:c>
      <x:c r="E1683" s="117" t="str">
        <x:v>Obsolete</x:v>
      </x:c>
      <x:c r="F1683" s="117" t="str">
        <x:v>No</x:v>
      </x:c>
      <x:c r="G1683" s="117" t="str">
        <x:v>No</x:v>
      </x:c>
      <x:c r="H1683" s="117" t="str">
        <x:v>AutoLaunchedFlow</x:v>
      </x:c>
      <x:c r="I1683" s="118" t="n">
        <x:v>56</x:v>
      </x:c>
      <x:c r="J1683" s="117" t="str">
        <x:v>unmanaged</x:v>
      </x:c>
      <x:c r="K1683" s="123" t="b">
        <x:v>0</x:v>
      </x:c>
      <x:c r="L1683" s="117"/>
      <x:c r="M1683" s="118"/>
      <x:c r="N1683" s="120" t="n">
        <x:v>44932.777650462966</x:v>
      </x:c>
      <x:c r="O1683" s="117" t="str">
        <x:v>Jace Gentil</x:v>
      </x:c>
      <x:c r="P1683" s="120" t="n">
        <x:v>44932.77769675926</x:v>
      </x:c>
      <x:c r="Q1683" s="117" t="str">
        <x:v>Jace Gentil</x:v>
      </x:c>
      <x:c r="R1683" s="117" t="str">
        <x:v>Loaner Object Updates and Alerts Flow</x:v>
      </x:c>
      <x:c r="S1683" s="119"/>
    </x:row>
    <x:row r="1684" ht="30" customHeight="1">
      <x:c r="A1684" s="117" t="str">
        <x:v>Loaner_Object_Updates_and_Alerts</x:v>
      </x:c>
      <x:c r="B1684" s="117" t="str">
        <x:v>3005b000000LHaTAAW</x:v>
      </x:c>
      <x:c r="C1684" s="117" t="str">
        <x:v>3015b000000W1grAAC</x:v>
      </x:c>
      <x:c r="D1684" s="118" t="n">
        <x:v>2</x:v>
      </x:c>
      <x:c r="E1684" s="117" t="str">
        <x:v>Obsolete</x:v>
      </x:c>
      <x:c r="F1684" s="117" t="str">
        <x:v>No</x:v>
      </x:c>
      <x:c r="G1684" s="117" t="str">
        <x:v>No</x:v>
      </x:c>
      <x:c r="H1684" s="117" t="str">
        <x:v>AutoLaunchedFlow</x:v>
      </x:c>
      <x:c r="I1684" s="118" t="n">
        <x:v>56</x:v>
      </x:c>
      <x:c r="J1684" s="117" t="str">
        <x:v>unmanaged</x:v>
      </x:c>
      <x:c r="K1684" s="123" t="b">
        <x:v>0</x:v>
      </x:c>
      <x:c r="L1684" s="117"/>
      <x:c r="M1684" s="118"/>
      <x:c r="N1684" s="120" t="n">
        <x:v>45033.557175925926</x:v>
      </x:c>
      <x:c r="O1684" s="117" t="str">
        <x:v>Delegate</x:v>
      </x:c>
      <x:c r="P1684" s="120" t="n">
        <x:v>45033.557222222225</x:v>
      </x:c>
      <x:c r="Q1684" s="117" t="str">
        <x:v>Delegate</x:v>
      </x:c>
      <x:c r="R1684" s="117" t="str">
        <x:v>Loaner Object Updates and Alerts Flow</x:v>
      </x:c>
      <x:c r="S1684" s="119" t="str">
        <x:v>Updates Technician Ship Location on Loaners if Needed</x:v>
      </x:c>
    </x:row>
    <x:row r="1685" ht="30" customHeight="1">
      <x:c r="A1685" s="117" t="str">
        <x:v>Loaner_Object_Updates_and_Alerts</x:v>
      </x:c>
      <x:c r="B1685" s="117" t="str">
        <x:v>3005b000000LHaTAAW</x:v>
      </x:c>
      <x:c r="C1685" s="117" t="str">
        <x:v>3015b000000W1h6AAC</x:v>
      </x:c>
      <x:c r="D1685" s="118" t="n">
        <x:v>3</x:v>
      </x:c>
      <x:c r="E1685" s="117" t="str">
        <x:v>Obsolete</x:v>
      </x:c>
      <x:c r="F1685" s="117" t="str">
        <x:v>No</x:v>
      </x:c>
      <x:c r="G1685" s="117" t="str">
        <x:v>No</x:v>
      </x:c>
      <x:c r="H1685" s="117" t="str">
        <x:v>AutoLaunchedFlow</x:v>
      </x:c>
      <x:c r="I1685" s="118" t="n">
        <x:v>56</x:v>
      </x:c>
      <x:c r="J1685" s="117" t="str">
        <x:v>unmanaged</x:v>
      </x:c>
      <x:c r="K1685" s="123" t="b">
        <x:v>0</x:v>
      </x:c>
      <x:c r="L1685" s="117"/>
      <x:c r="M1685" s="118"/>
      <x:c r="N1685" s="120" t="n">
        <x:v>45033.57108796296</x:v>
      </x:c>
      <x:c r="O1685" s="117" t="str">
        <x:v>Ashley Madson</x:v>
      </x:c>
      <x:c r="P1685" s="120" t="n">
        <x:v>45033.57115740741</x:v>
      </x:c>
      <x:c r="Q1685" s="117" t="str">
        <x:v>Ashley Madson</x:v>
      </x:c>
      <x:c r="R1685" s="117" t="str">
        <x:v>Loaner Object Updates and Alerts Flow</x:v>
      </x:c>
      <x:c r="S1685" s="119" t="str">
        <x:v>Updates Technician Ship Location on Loaners if Needed</x:v>
      </x:c>
    </x:row>
    <x:row r="1686" ht="30" customHeight="1">
      <x:c r="A1686" s="117" t="str">
        <x:v>Loaner_Object_Updates_and_Alerts</x:v>
      </x:c>
      <x:c r="B1686" s="117" t="str">
        <x:v>3005b000000LHaTAAW</x:v>
      </x:c>
      <x:c r="C1686" s="117" t="str">
        <x:v>301Ro00000AmammIAB</x:v>
      </x:c>
      <x:c r="D1686" s="118" t="n">
        <x:v>4</x:v>
      </x:c>
      <x:c r="E1686" s="117" t="str">
        <x:v>Obsolete</x:v>
      </x:c>
      <x:c r="F1686" s="117" t="str">
        <x:v>No</x:v>
      </x:c>
      <x:c r="G1686" s="117" t="str">
        <x:v>No</x:v>
      </x:c>
      <x:c r="H1686" s="117" t="str">
        <x:v>AutoLaunchedFlow</x:v>
      </x:c>
      <x:c r="I1686" s="118" t="n">
        <x:v>56</x:v>
      </x:c>
      <x:c r="J1686" s="117" t="str">
        <x:v>unmanaged</x:v>
      </x:c>
      <x:c r="K1686" s="123" t="b">
        <x:v>0</x:v>
      </x:c>
      <x:c r="L1686" s="117"/>
      <x:c r="M1686" s="118"/>
      <x:c r="N1686" s="120" t="n">
        <x:v>45393.820243055554</x:v>
      </x:c>
      <x:c r="O1686" s="117" t="str">
        <x:v>Jace Gentil</x:v>
      </x:c>
      <x:c r="P1686" s="120" t="n">
        <x:v>45393.82027777778</x:v>
      </x:c>
      <x:c r="Q1686" s="117" t="str">
        <x:v>Jace Gentil</x:v>
      </x:c>
      <x:c r="R1686" s="117" t="str">
        <x:v>Loaner Object Updates and Alerts Flow</x:v>
      </x:c>
      <x:c r="S1686" s="119" t="str">
        <x:v>Updates Technician Ship Location on Loaners if Needed</x:v>
      </x:c>
    </x:row>
    <x:row r="1687" ht="30" customHeight="1">
      <x:c r="A1687" s="117" t="str">
        <x:v>Loaner_Object_Updates_and_Alerts</x:v>
      </x:c>
      <x:c r="B1687" s="117" t="str">
        <x:v>3005b000000LHaTAAW</x:v>
      </x:c>
      <x:c r="C1687" s="117" t="str">
        <x:v>301Ro00000bAN7iIAG</x:v>
      </x:c>
      <x:c r="D1687" s="118" t="n">
        <x:v>5</x:v>
      </x:c>
      <x:c r="E1687" s="117" t="str">
        <x:v>Obsolete</x:v>
      </x:c>
      <x:c r="F1687" s="117" t="str">
        <x:v>No</x:v>
      </x:c>
      <x:c r="G1687" s="117" t="str">
        <x:v>No</x:v>
      </x:c>
      <x:c r="H1687" s="117" t="str">
        <x:v>AutoLaunchedFlow</x:v>
      </x:c>
      <x:c r="I1687" s="118" t="n">
        <x:v>56</x:v>
      </x:c>
      <x:c r="J1687" s="117" t="str">
        <x:v>unmanaged</x:v>
      </x:c>
      <x:c r="K1687" s="123" t="b">
        <x:v>0</x:v>
      </x:c>
      <x:c r="L1687" s="117"/>
      <x:c r="M1687" s="118"/>
      <x:c r="N1687" s="120" t="n">
        <x:v>45818.25908564815</x:v>
      </x:c>
      <x:c r="O1687" s="117" t="str">
        <x:v>Delegate</x:v>
      </x:c>
      <x:c r="P1687" s="120" t="n">
        <x:v>45818.28041666667</x:v>
      </x:c>
      <x:c r="Q1687" s="117" t="str">
        <x:v>Delegate</x:v>
      </x:c>
      <x:c r="R1687" s="117" t="str">
        <x:v>Loaner Object Updates and Alerts Flow</x:v>
      </x:c>
      <x:c r="S1687" s="119" t="str">
        <x:v>Updates Technician Ship Location on Loaners if Needed</x:v>
      </x:c>
    </x:row>
    <x:row r="1688" ht="30" customHeight="1">
      <x:c r="A1688" s="117" t="str">
        <x:v>Loaner_Object_Updates_and_Alerts</x:v>
      </x:c>
      <x:c r="B1688" s="117" t="str">
        <x:v>3005b000000LHaTAAW</x:v>
      </x:c>
      <x:c r="C1688" s="117" t="str">
        <x:v>301Ro00000f9xcLIAQ</x:v>
      </x:c>
      <x:c r="D1688" s="118" t="n">
        <x:v>6</x:v>
      </x:c>
      <x:c r="E1688" s="117" t="str">
        <x:v>Obsolete</x:v>
      </x:c>
      <x:c r="F1688" s="117" t="str">
        <x:v>No</x:v>
      </x:c>
      <x:c r="G1688" s="117" t="str">
        <x:v>No</x:v>
      </x:c>
      <x:c r="H1688" s="117" t="str">
        <x:v>AutoLaunchedFlow</x:v>
      </x:c>
      <x:c r="I1688" s="118" t="n">
        <x:v>56</x:v>
      </x:c>
      <x:c r="J1688" s="117" t="str">
        <x:v>unmanaged</x:v>
      </x:c>
      <x:c r="K1688" s="123" t="b">
        <x:v>0</x:v>
      </x:c>
      <x:c r="L1688" s="117"/>
      <x:c r="M1688" s="118"/>
      <x:c r="N1688" s="120" t="n">
        <x:v>45854.00225694444</x:v>
      </x:c>
      <x:c r="O1688" s="117" t="str">
        <x:v>Natalie Boger</x:v>
      </x:c>
      <x:c r="P1688" s="120" t="n">
        <x:v>45854.00237268519</x:v>
      </x:c>
      <x:c r="Q1688" s="117" t="str">
        <x:v>Natalie Boger</x:v>
      </x:c>
      <x:c r="R1688" s="117" t="str">
        <x:v>Loaner Object Updates and Alerts Flow</x:v>
      </x:c>
      <x:c r="S1688" s="119" t="str">
        <x:v>Added back in updating FSE email on loaner; simplified from V4 (removed Get Opp Record)</x:v>
      </x:c>
    </x:row>
    <x:row r="1689" ht="30" customHeight="1">
      <x:c r="A1689" s="117" t="str">
        <x:v>Loaner_Object_Updates_and_Alerts</x:v>
      </x:c>
      <x:c r="B1689" s="117" t="str">
        <x:v>3005b000000LHaTAAW</x:v>
      </x:c>
      <x:c r="C1689" s="117" t="str">
        <x:v>301Ro00000hbYBdIAM</x:v>
      </x:c>
      <x:c r="D1689" s="118" t="n">
        <x:v>7</x:v>
      </x:c>
      <x:c r="E1689" s="117" t="str">
        <x:v>Obsolete</x:v>
      </x:c>
      <x:c r="F1689" s="117" t="str">
        <x:v>No</x:v>
      </x:c>
      <x:c r="G1689" s="117" t="str">
        <x:v>No</x:v>
      </x:c>
      <x:c r="H1689" s="117" t="str">
        <x:v>AutoLaunchedFlow</x:v>
      </x:c>
      <x:c r="I1689" s="118" t="n">
        <x:v>56</x:v>
      </x:c>
      <x:c r="J1689" s="117" t="str">
        <x:v>unmanaged</x:v>
      </x:c>
      <x:c r="K1689" s="123" t="b">
        <x:v>0</x:v>
      </x:c>
      <x:c r="L1689" s="117"/>
      <x:c r="M1689" s="118"/>
      <x:c r="N1689" s="120" t="n">
        <x:v>45874.62233796297</x:v>
      </x:c>
      <x:c r="O1689" s="117" t="str">
        <x:v>Delegate</x:v>
      </x:c>
      <x:c r="P1689" s="120" t="n">
        <x:v>45874.622569444444</x:v>
      </x:c>
      <x:c r="Q1689" s="117" t="str">
        <x:v>Delegate</x:v>
      </x:c>
      <x:c r="R1689" s="117" t="str">
        <x:v>Loaner Object Updates and Alerts Flow</x:v>
      </x:c>
      <x:c r="S1689" s="119" t="str">
        <x:v>Added back in updating FSE email on loaner; simplified from V4 (removed Get Opp Record)</x:v>
      </x:c>
    </x:row>
    <x:row r="1690" ht="30" customHeight="1">
      <x:c r="A1690" s="117" t="str">
        <x:v>Loaner_Object_Updates_and_Alerts</x:v>
      </x:c>
      <x:c r="B1690" s="117" t="str">
        <x:v>3005b000000LHaTAAW</x:v>
      </x:c>
      <x:c r="C1690" s="117" t="str">
        <x:v>301Ro00000vCpE1IAK</x:v>
      </x:c>
      <x:c r="D1690" s="118" t="n">
        <x:v>8</x:v>
      </x:c>
      <x:c r="E1690" s="117" t="str">
        <x:v>Obsolete</x:v>
      </x:c>
      <x:c r="F1690" s="117" t="str">
        <x:v>No</x:v>
      </x:c>
      <x:c r="G1690" s="117" t="str">
        <x:v>No</x:v>
      </x:c>
      <x:c r="H1690" s="117" t="str">
        <x:v>AutoLaunchedFlow</x:v>
      </x:c>
      <x:c r="I1690" s="118" t="n">
        <x:v>56</x:v>
      </x:c>
      <x:c r="J1690" s="117" t="str">
        <x:v>unmanaged</x:v>
      </x:c>
      <x:c r="K1690" s="123" t="b">
        <x:v>0</x:v>
      </x:c>
      <x:c r="L1690" s="117"/>
      <x:c r="M1690" s="118"/>
      <x:c r="N1690" s="120" t="n">
        <x:v>46028.546168981484</x:v>
      </x:c>
      <x:c r="O1690" s="117" t="str">
        <x:v>Delegate</x:v>
      </x:c>
      <x:c r="P1690" s="120" t="n">
        <x:v>46028.54630787037</x:v>
      </x:c>
      <x:c r="Q1690" s="117" t="str">
        <x:v>Delegate</x:v>
      </x:c>
      <x:c r="R1690" s="117" t="str">
        <x:v>Loaner Object Updates and Alerts Flow</x:v>
      </x:c>
      <x:c r="S1690" s="119" t="str">
        <x:v>01/06/2025 (BW) - On Creation of a loaner, checks to see if there is an address on the opportunity and if there is it uses that address ship location</x:v>
      </x:c>
    </x:row>
    <x:row r="1691" ht="30" customHeight="1">
      <x:c r="A1691" s="117" t="str">
        <x:v>Loaner_Object_Updates_and_Alerts</x:v>
      </x:c>
      <x:c r="B1691" s="117" t="str">
        <x:v>3005b000000LHaTAAW</x:v>
      </x:c>
      <x:c r="C1691" s="117" t="str">
        <x:v>301Ro00000vCVVVIA4</x:v>
      </x:c>
      <x:c r="D1691" s="118" t="n">
        <x:v>9</x:v>
      </x:c>
      <x:c r="E1691" s="117" t="str">
        <x:v>Obsolete</x:v>
      </x:c>
      <x:c r="F1691" s="117" t="str">
        <x:v>No</x:v>
      </x:c>
      <x:c r="G1691" s="117" t="str">
        <x:v>No</x:v>
      </x:c>
      <x:c r="H1691" s="117" t="str">
        <x:v>AutoLaunchedFlow</x:v>
      </x:c>
      <x:c r="I1691" s="118" t="n">
        <x:v>56</x:v>
      </x:c>
      <x:c r="J1691" s="117" t="str">
        <x:v>unmanaged</x:v>
      </x:c>
      <x:c r="K1691" s="123" t="b">
        <x:v>0</x:v>
      </x:c>
      <x:c r="L1691" s="117"/>
      <x:c r="M1691" s="118"/>
      <x:c r="N1691" s="120" t="n">
        <x:v>46028.5669212963</x:v>
      </x:c>
      <x:c r="O1691" s="117" t="str">
        <x:v>Delegate</x:v>
      </x:c>
      <x:c r="P1691" s="120" t="n">
        <x:v>46028.566979166666</x:v>
      </x:c>
      <x:c r="Q1691" s="117" t="str">
        <x:v>Delegate</x:v>
      </x:c>
      <x:c r="R1691" s="117" t="str">
        <x:v>Loaner Object Updates and Alerts Flow</x:v>
      </x:c>
      <x:c r="S1691" s="119" t="str">
        <x:v>01/06/2025 (BW) - On Creation of a loaner, checks to see if there is an address on the opportunity and if there is it uses that address ship location</x:v>
      </x:c>
    </x:row>
    <x:row r="1692" ht="30" customHeight="1">
      <x:c r="A1692" s="117" t="str">
        <x:v>Loaner_Object_Updates_and_Alerts</x:v>
      </x:c>
      <x:c r="B1692" s="117" t="str">
        <x:v>3005b000000LHaTAAW</x:v>
      </x:c>
      <x:c r="C1692" s="117" t="str">
        <x:v>301Ro00000vF76vIAC</x:v>
      </x:c>
      <x:c r="D1692" s="118" t="n">
        <x:v>10</x:v>
      </x:c>
      <x:c r="E1692" s="117" t="str">
        <x:v>Active</x:v>
      </x:c>
      <x:c r="F1692" s="117" t="str">
        <x:v>Yes</x:v>
      </x:c>
      <x:c r="G1692" s="117" t="str">
        <x:v>Yes</x:v>
      </x:c>
      <x:c r="H1692" s="117" t="str">
        <x:v>AutoLaunchedFlow</x:v>
      </x:c>
      <x:c r="I1692" s="118" t="n">
        <x:v>56</x:v>
      </x:c>
      <x:c r="J1692" s="117" t="str">
        <x:v>unmanaged</x:v>
      </x:c>
      <x:c r="K1692" s="123" t="b">
        <x:v>0</x:v>
      </x:c>
      <x:c r="L1692" s="117"/>
      <x:c r="M1692" s="118"/>
      <x:c r="N1692" s="120" t="n">
        <x:v>46028.96125</x:v>
      </x:c>
      <x:c r="O1692" s="117" t="str">
        <x:v>Delegate</x:v>
      </x:c>
      <x:c r="P1692" s="120" t="n">
        <x:v>46028.961493055554</x:v>
      </x:c>
      <x:c r="Q1692" s="117" t="str">
        <x:v>Delegate</x:v>
      </x:c>
      <x:c r="R1692" s="117" t="str">
        <x:v>Loaner Object Updates and Alerts Flow</x:v>
      </x:c>
      <x:c r="S1692" s="119" t="str">
        <x:v>01/06/2025 (BW) - On Creation of a loaner, checks to see if there is an address on the opportunity and if there is it uses that address ship location</x:v>
      </x:c>
    </x:row>
    <x:row r="1693" ht="30" customHeight="1">
      <x:c r="A1693" s="117" t="str">
        <x:v>Location_to_Scrap</x:v>
      </x:c>
      <x:c r="B1693" s="117" t="str">
        <x:v>3000B000000kEPIQA2</x:v>
      </x:c>
      <x:c r="C1693" s="117" t="str">
        <x:v>3010B000000c3CLQAY</x:v>
      </x:c>
      <x:c r="D1693" s="118" t="n">
        <x:v>1</x:v>
      </x:c>
      <x:c r="E1693" s="117" t="str">
        <x:v>Obsolete</x:v>
      </x:c>
      <x:c r="F1693" s="117" t="str">
        <x:v>No</x:v>
      </x:c>
      <x:c r="G1693" s="117" t="str">
        <x:v>Yes</x:v>
      </x:c>
      <x:c r="H1693" s="117" t="str">
        <x:v>Workflow</x:v>
      </x:c>
      <x:c r="I1693" s="118"/>
      <x:c r="J1693" s="117" t="str">
        <x:v>unmanaged</x:v>
      </x:c>
      <x:c r="K1693" s="123" t="b">
        <x:v>0</x:v>
      </x:c>
      <x:c r="L1693" s="117"/>
      <x:c r="M1693" s="118"/>
      <x:c r="N1693" s="120" t="n">
        <x:v>42768.615636574075</x:v>
      </x:c>
      <x:c r="O1693" s="117" t="str">
        <x:v>QC Admin</x:v>
      </x:c>
      <x:c r="P1693" s="120" t="n">
        <x:v>42816.89200231482</x:v>
      </x:c>
      <x:c r="Q1693" s="117" t="str">
        <x:v>QC Admin</x:v>
      </x:c>
      <x:c r="R1693" s="117" t="str">
        <x:v>Location to Scrap</x:v>
      </x:c>
      <x:c r="S1693" s="119" t="str">
        <x:v>When probe is moved to scrap location, ratings get set to scrap and marked as sold</x:v>
      </x:c>
    </x:row>
    <x:row r="1694" ht="30" customHeight="1">
      <x:c r="A1694" s="117" t="str">
        <x:v>Mammography_Checklist</x:v>
      </x:c>
      <x:c r="B1694" s="117" t="str">
        <x:v>300Ro00000Pz0kqIAB</x:v>
      </x:c>
      <x:c r="C1694" s="117" t="str">
        <x:v>301Ro00000Sd0UqIAJ</x:v>
      </x:c>
      <x:c r="D1694" s="118" t="n">
        <x:v>1</x:v>
      </x:c>
      <x:c r="E1694" s="117" t="str">
        <x:v>Obsolete</x:v>
      </x:c>
      <x:c r="F1694" s="117" t="str">
        <x:v>No</x:v>
      </x:c>
      <x:c r="G1694" s="117" t="str">
        <x:v>No</x:v>
      </x:c>
      <x:c r="H1694" s="117" t="str">
        <x:v>FieldServiceMobile</x:v>
      </x:c>
      <x:c r="I1694" s="118"/>
      <x:c r="J1694" s="117" t="str">
        <x:v>unmanaged</x:v>
      </x:c>
      <x:c r="K1694" s="123" t="b">
        <x:v>0</x:v>
      </x:c>
      <x:c r="L1694" s="117"/>
      <x:c r="M1694" s="118"/>
      <x:c r="N1694" s="120" t="n">
        <x:v>45680.216365740744</x:v>
      </x:c>
      <x:c r="O1694" s="117" t="str">
        <x:v>Delegate</x:v>
      </x:c>
      <x:c r="P1694" s="120" t="n">
        <x:v>45680.21640046296</x:v>
      </x:c>
      <x:c r="Q1694" s="117" t="str">
        <x:v>Delegate</x:v>
      </x:c>
      <x:c r="R1694" s="117" t="str">
        <x:v>Mammography Checklist</x:v>
      </x:c>
      <x:c r="S1694" s="119" t="str">
        <x:v>checklistoutput fix syntax</x:v>
      </x:c>
    </x:row>
    <x:row r="1695" ht="30" customHeight="1">
      <x:c r="A1695" s="117" t="str">
        <x:v>Mammography_Checklist</x:v>
      </x:c>
      <x:c r="B1695" s="117" t="str">
        <x:v>300Ro00000Pz0kqIAB</x:v>
      </x:c>
      <x:c r="C1695" s="117" t="str">
        <x:v>301Ro00000SpOwOIAV</x:v>
      </x:c>
      <x:c r="D1695" s="118" t="n">
        <x:v>2</x:v>
      </x:c>
      <x:c r="E1695" s="117" t="str">
        <x:v>Obsolete</x:v>
      </x:c>
      <x:c r="F1695" s="117" t="str">
        <x:v>No</x:v>
      </x:c>
      <x:c r="G1695" s="117" t="str">
        <x:v>No</x:v>
      </x:c>
      <x:c r="H1695" s="117" t="str">
        <x:v>FieldServiceMobile</x:v>
      </x:c>
      <x:c r="I1695" s="118"/>
      <x:c r="J1695" s="117" t="str">
        <x:v>unmanaged</x:v>
      </x:c>
      <x:c r="K1695" s="123" t="b">
        <x:v>0</x:v>
      </x:c>
      <x:c r="L1695" s="117"/>
      <x:c r="M1695" s="118"/>
      <x:c r="N1695" s="120" t="n">
        <x:v>45684.13605324074</x:v>
      </x:c>
      <x:c r="O1695" s="117" t="str">
        <x:v>Delegate</x:v>
      </x:c>
      <x:c r="P1695" s="120" t="n">
        <x:v>45684.13607638889</x:v>
      </x:c>
      <x:c r="Q1695" s="117" t="str">
        <x:v>Delegate</x:v>
      </x:c>
      <x:c r="R1695" s="117" t="str">
        <x:v>Mammography Checklist</x:v>
      </x:c>
      <x:c r="S1695" s="119" t="str">
        <x:v>01/25/2025 (BW) - Version to be used for testing</x:v>
      </x:c>
    </x:row>
    <x:row r="1696" ht="30" customHeight="1">
      <x:c r="A1696" s="117" t="str">
        <x:v>Mammography_Checklist</x:v>
      </x:c>
      <x:c r="B1696" s="117" t="str">
        <x:v>300Ro00000Pz0kqIAB</x:v>
      </x:c>
      <x:c r="C1696" s="117" t="str">
        <x:v>301Ro00000SzDJgIAN</x:v>
      </x:c>
      <x:c r="D1696" s="118" t="n">
        <x:v>3</x:v>
      </x:c>
      <x:c r="E1696" s="117" t="str">
        <x:v>Obsolete</x:v>
      </x:c>
      <x:c r="F1696" s="117" t="str">
        <x:v>No</x:v>
      </x:c>
      <x:c r="G1696" s="117" t="str">
        <x:v>No</x:v>
      </x:c>
      <x:c r="H1696" s="117" t="str">
        <x:v>FieldServiceMobile</x:v>
      </x:c>
      <x:c r="I1696" s="118"/>
      <x:c r="J1696" s="117" t="str">
        <x:v>unmanaged</x:v>
      </x:c>
      <x:c r="K1696" s="123" t="b">
        <x:v>0</x:v>
      </x:c>
      <x:c r="L1696" s="117"/>
      <x:c r="M1696" s="118"/>
      <x:c r="N1696" s="120" t="n">
        <x:v>45686.492893518516</x:v>
      </x:c>
      <x:c r="O1696" s="117" t="str">
        <x:v>Delegate</x:v>
      </x:c>
      <x:c r="P1696" s="120" t="n">
        <x:v>45686.49296296296</x:v>
      </x:c>
      <x:c r="Q1696" s="117" t="str">
        <x:v>Delegate</x:v>
      </x:c>
      <x:c r="R1696" s="117" t="str">
        <x:v>Mammography Checklist</x:v>
      </x:c>
      <x:c r="S1696" s="119" t="str">
        <x:v>01/29/2025 (BW) - Updated required fields</x:v>
      </x:c>
    </x:row>
    <x:row r="1697" ht="30" customHeight="1">
      <x:c r="A1697" s="117" t="str">
        <x:v>Mammography_Checklist</x:v>
      </x:c>
      <x:c r="B1697" s="117" t="str">
        <x:v>300Ro00000Pz0kqIAB</x:v>
      </x:c>
      <x:c r="C1697" s="117" t="str">
        <x:v>301Ro00000WcfPeIAJ</x:v>
      </x:c>
      <x:c r="D1697" s="118" t="n">
        <x:v>4</x:v>
      </x:c>
      <x:c r="E1697" s="117" t="str">
        <x:v>Obsolete</x:v>
      </x:c>
      <x:c r="F1697" s="117" t="str">
        <x:v>No</x:v>
      </x:c>
      <x:c r="G1697" s="117" t="str">
        <x:v>No</x:v>
      </x:c>
      <x:c r="H1697" s="117" t="str">
        <x:v>FieldServiceMobile</x:v>
      </x:c>
      <x:c r="I1697" s="118"/>
      <x:c r="J1697" s="117" t="str">
        <x:v>unmanaged</x:v>
      </x:c>
      <x:c r="K1697" s="123" t="b">
        <x:v>0</x:v>
      </x:c>
      <x:c r="L1697" s="117"/>
      <x:c r="M1697" s="118"/>
      <x:c r="N1697" s="120" t="n">
        <x:v>45748.52065972222</x:v>
      </x:c>
      <x:c r="O1697" s="117" t="str">
        <x:v>Delegate</x:v>
      </x:c>
      <x:c r="P1697" s="120" t="n">
        <x:v>45748.520787037036</x:v>
      </x:c>
      <x:c r="Q1697" s="117" t="str">
        <x:v>Delegate</x:v>
      </x:c>
      <x:c r="R1697" s="117" t="str">
        <x:v>Mammography Checklist</x:v>
      </x:c>
      <x:c r="S1697" s="119" t="str">
        <x:v>04/01/2025 - Updating this to utilize the newer functionality for the checksheets</x:v>
      </x:c>
    </x:row>
    <x:row r="1698" ht="30" customHeight="1">
      <x:c r="A1698" s="117" t="str">
        <x:v>Mammography_Checklist</x:v>
      </x:c>
      <x:c r="B1698" s="117" t="str">
        <x:v>300Ro00000Pz0kqIAB</x:v>
      </x:c>
      <x:c r="C1698" s="117" t="str">
        <x:v>301Ro00000WckXGIAZ</x:v>
      </x:c>
      <x:c r="D1698" s="118" t="n">
        <x:v>5</x:v>
      </x:c>
      <x:c r="E1698" s="117" t="str">
        <x:v>Obsolete</x:v>
      </x:c>
      <x:c r="F1698" s="117" t="str">
        <x:v>No</x:v>
      </x:c>
      <x:c r="G1698" s="117" t="str">
        <x:v>No</x:v>
      </x:c>
      <x:c r="H1698" s="117" t="str">
        <x:v>FieldServiceMobile</x:v>
      </x:c>
      <x:c r="I1698" s="118"/>
      <x:c r="J1698" s="117" t="str">
        <x:v>unmanaged</x:v>
      </x:c>
      <x:c r="K1698" s="123" t="b">
        <x:v>0</x:v>
      </x:c>
      <x:c r="L1698" s="117"/>
      <x:c r="M1698" s="118"/>
      <x:c r="N1698" s="120" t="n">
        <x:v>45748.52721064815</x:v>
      </x:c>
      <x:c r="O1698" s="117" t="str">
        <x:v>Delegate</x:v>
      </x:c>
      <x:c r="P1698" s="120" t="n">
        <x:v>45748.52731481481</x:v>
      </x:c>
      <x:c r="Q1698" s="117" t="str">
        <x:v>Delegate</x:v>
      </x:c>
      <x:c r="R1698" s="117" t="str">
        <x:v>Mammography Checklist</x:v>
      </x:c>
      <x:c r="S1698" s="119" t="str">
        <x:v>04/01/2025 - Updating this to utilize the newer functionality for the checksheets</x:v>
      </x:c>
    </x:row>
    <x:row r="1699" ht="30" customHeight="1">
      <x:c r="A1699" s="117" t="str">
        <x:v>Mammography_Checklist</x:v>
      </x:c>
      <x:c r="B1699" s="117" t="str">
        <x:v>300Ro00000Pz0kqIAB</x:v>
      </x:c>
      <x:c r="C1699" s="117" t="str">
        <x:v>301Ro00000WcqXvIAJ</x:v>
      </x:c>
      <x:c r="D1699" s="118" t="n">
        <x:v>6</x:v>
      </x:c>
      <x:c r="E1699" s="117" t="str">
        <x:v>Obsolete</x:v>
      </x:c>
      <x:c r="F1699" s="117" t="str">
        <x:v>No</x:v>
      </x:c>
      <x:c r="G1699" s="117" t="str">
        <x:v>No</x:v>
      </x:c>
      <x:c r="H1699" s="117" t="str">
        <x:v>FieldServiceMobile</x:v>
      </x:c>
      <x:c r="I1699" s="118"/>
      <x:c r="J1699" s="117" t="str">
        <x:v>unmanaged</x:v>
      </x:c>
      <x:c r="K1699" s="123" t="b">
        <x:v>0</x:v>
      </x:c>
      <x:c r="L1699" s="117"/>
      <x:c r="M1699" s="118"/>
      <x:c r="N1699" s="120" t="n">
        <x:v>45748.528229166666</x:v>
      </x:c>
      <x:c r="O1699" s="117" t="str">
        <x:v>Delegate</x:v>
      </x:c>
      <x:c r="P1699" s="120" t="n">
        <x:v>45748.52832175926</x:v>
      </x:c>
      <x:c r="Q1699" s="117" t="str">
        <x:v>Delegate</x:v>
      </x:c>
      <x:c r="R1699" s="117" t="str">
        <x:v>Mammography Checklist</x:v>
      </x:c>
      <x:c r="S1699" s="119" t="str">
        <x:v>04/01/2025 - Updating this to utilize the newer functionality for the checksheets</x:v>
      </x:c>
    </x:row>
    <x:row r="1700" ht="30" customHeight="1">
      <x:c r="A1700" s="117" t="str">
        <x:v>Mammography_Checklist</x:v>
      </x:c>
      <x:c r="B1700" s="117" t="str">
        <x:v>300Ro00000Pz0kqIAB</x:v>
      </x:c>
      <x:c r="C1700" s="117" t="str">
        <x:v>301Ro00000WcrddIAB</x:v>
      </x:c>
      <x:c r="D1700" s="118" t="n">
        <x:v>7</x:v>
      </x:c>
      <x:c r="E1700" s="117" t="str">
        <x:v>Obsolete</x:v>
      </x:c>
      <x:c r="F1700" s="117" t="str">
        <x:v>No</x:v>
      </x:c>
      <x:c r="G1700" s="117" t="str">
        <x:v>No</x:v>
      </x:c>
      <x:c r="H1700" s="117" t="str">
        <x:v>FieldServiceMobile</x:v>
      </x:c>
      <x:c r="I1700" s="118"/>
      <x:c r="J1700" s="117" t="str">
        <x:v>unmanaged</x:v>
      </x:c>
      <x:c r="K1700" s="123" t="b">
        <x:v>0</x:v>
      </x:c>
      <x:c r="L1700" s="117"/>
      <x:c r="M1700" s="118"/>
      <x:c r="N1700" s="120" t="n">
        <x:v>45748.55868055556</x:v>
      </x:c>
      <x:c r="O1700" s="117" t="str">
        <x:v>Delegate</x:v>
      </x:c>
      <x:c r="P1700" s="120" t="n">
        <x:v>45748.55920138889</x:v>
      </x:c>
      <x:c r="Q1700" s="117" t="str">
        <x:v>Delegate</x:v>
      </x:c>
      <x:c r="R1700" s="117" t="str">
        <x:v>Mammography Checklist</x:v>
      </x:c>
      <x:c r="S1700" s="119" t="str">
        <x:v>04/01/2025 - Updating this to utilize the newer functionality for the checksheets</x:v>
      </x:c>
    </x:row>
    <x:row r="1701" ht="30" customHeight="1">
      <x:c r="A1701" s="117" t="str">
        <x:v>Mammography_Checklist</x:v>
      </x:c>
      <x:c r="B1701" s="117" t="str">
        <x:v>300Ro00000Pz0kqIAB</x:v>
      </x:c>
      <x:c r="C1701" s="117" t="str">
        <x:v>301Ro00000Wd3rgIAB</x:v>
      </x:c>
      <x:c r="D1701" s="118" t="n">
        <x:v>8</x:v>
      </x:c>
      <x:c r="E1701" s="117" t="str">
        <x:v>Draft</x:v>
      </x:c>
      <x:c r="F1701" s="117" t="str">
        <x:v>No</x:v>
      </x:c>
      <x:c r="G1701" s="117" t="str">
        <x:v>No</x:v>
      </x:c>
      <x:c r="H1701" s="117" t="str">
        <x:v>FieldServiceMobile</x:v>
      </x:c>
      <x:c r="I1701" s="118"/>
      <x:c r="J1701" s="117" t="str">
        <x:v>unmanaged</x:v>
      </x:c>
      <x:c r="K1701" s="123" t="b">
        <x:v>0</x:v>
      </x:c>
      <x:c r="L1701" s="117"/>
      <x:c r="M1701" s="118"/>
      <x:c r="N1701" s="120" t="n">
        <x:v>45748.56549768519</x:v>
      </x:c>
      <x:c r="O1701" s="117" t="str">
        <x:v>Delegate</x:v>
      </x:c>
      <x:c r="P1701" s="120" t="n">
        <x:v>45748.56555555556</x:v>
      </x:c>
      <x:c r="Q1701" s="117" t="str">
        <x:v>Delegate</x:v>
      </x:c>
      <x:c r="R1701" s="117" t="str">
        <x:v>Mammography Checklist</x:v>
      </x:c>
      <x:c r="S1701" s="119" t="str">
        <x:v>04/01/2025 - Updating this to utilize the newer functionality for the checksheets</x:v>
      </x:c>
    </x:row>
    <x:row r="1702" ht="30" customHeight="1">
      <x:c r="A1702" s="117" t="str">
        <x:v>Mammography_Checklist</x:v>
      </x:c>
      <x:c r="B1702" s="117" t="str">
        <x:v>300Ro00000Pz0kqIAB</x:v>
      </x:c>
      <x:c r="C1702" s="117" t="str">
        <x:v>301Ro00000wY2iyIAC</x:v>
      </x:c>
      <x:c r="D1702" s="118" t="n">
        <x:v>9</x:v>
      </x:c>
      <x:c r="E1702" s="117" t="str">
        <x:v>Obsolete</x:v>
      </x:c>
      <x:c r="F1702" s="117" t="str">
        <x:v>No</x:v>
      </x:c>
      <x:c r="G1702" s="117" t="str">
        <x:v>No</x:v>
      </x:c>
      <x:c r="H1702" s="117" t="str">
        <x:v>FieldServiceMobile</x:v>
      </x:c>
      <x:c r="I1702" s="118"/>
      <x:c r="J1702" s="117" t="str">
        <x:v>unmanaged</x:v>
      </x:c>
      <x:c r="K1702" s="123" t="b">
        <x:v>0</x:v>
      </x:c>
      <x:c r="L1702" s="117"/>
      <x:c r="M1702" s="118"/>
      <x:c r="N1702" s="120" t="n">
        <x:v>46047.487546296295</x:v>
      </x:c>
      <x:c r="O1702" s="117" t="str">
        <x:v>Sacha Pearce</x:v>
      </x:c>
      <x:c r="P1702" s="120" t="n">
        <x:v>46047.48997685185</x:v>
      </x:c>
      <x:c r="Q1702" s="117" t="str">
        <x:v>Sacha Pearce</x:v>
      </x:c>
      <x:c r="R1702" s="117" t="str">
        <x:v>Mammography Checklist</x:v>
      </x:c>
      <x:c r="S1702" s="119" t="str">
        <x:v>04/01/2025 - Updating this to utilize the newer functionality for the checksheets
01/19/2026 - V9 - SP - Updating to operate under new FSL formatting</x:v>
      </x:c>
    </x:row>
    <x:row r="1703" ht="30" customHeight="1">
      <x:c r="A1703" s="117" t="str">
        <x:v>Mammography_Checklist</x:v>
      </x:c>
      <x:c r="B1703" s="117" t="str">
        <x:v>300Ro00000Pz0kqIAB</x:v>
      </x:c>
      <x:c r="C1703" s="117" t="str">
        <x:v>301Ro00000yhI2OIAU</x:v>
      </x:c>
      <x:c r="D1703" s="118" t="n">
        <x:v>10</x:v>
      </x:c>
      <x:c r="E1703" s="117" t="str">
        <x:v>Active</x:v>
      </x:c>
      <x:c r="F1703" s="117" t="str">
        <x:v>Yes</x:v>
      </x:c>
      <x:c r="G1703" s="117" t="str">
        <x:v>Yes</x:v>
      </x:c>
      <x:c r="H1703" s="117" t="str">
        <x:v>FieldServiceMobile</x:v>
      </x:c>
      <x:c r="I1703" s="118"/>
      <x:c r="J1703" s="117" t="str">
        <x:v>unmanaged</x:v>
      </x:c>
      <x:c r="K1703" s="123" t="b">
        <x:v>0</x:v>
      </x:c>
      <x:c r="L1703" s="117"/>
      <x:c r="M1703" s="118"/>
      <x:c r="N1703" s="120" t="n">
        <x:v>46072.468773148146</x:v>
      </x:c>
      <x:c r="O1703" s="117" t="str">
        <x:v>Sacha Pearce</x:v>
      </x:c>
      <x:c r="P1703" s="120" t="n">
        <x:v>46072.46888888889</x:v>
      </x:c>
      <x:c r="Q1703" s="117" t="str">
        <x:v>Sacha Pearce</x:v>
      </x:c>
      <x:c r="R1703" s="117" t="str">
        <x:v>Mammography Checklist</x:v>
      </x:c>
      <x:c r="S1703" s="119" t="str">
        <x:v>04/01/2025 - Updating this to utilize the newer functionality for the checksheets
01/19/2026 - V9 - SP - Updating to operate under new FSL formatting</x:v>
      </x:c>
    </x:row>
    <x:row r="1704" ht="30" customHeight="1">
      <x:c r="A1704" s="117" t="str">
        <x:v>Manually_Send_Credit_Memo_to_Client</x:v>
      </x:c>
      <x:c r="B1704" s="117" t="str">
        <x:v>300Ro00000ncjmHIAQ</x:v>
      </x:c>
      <x:c r="C1704" s="117" t="str">
        <x:v>301Ro00000v2a8IIAQ</x:v>
      </x:c>
      <x:c r="D1704" s="118" t="n">
        <x:v>1</x:v>
      </x:c>
      <x:c r="E1704" s="117" t="str">
        <x:v>Obsolete</x:v>
      </x:c>
      <x:c r="F1704" s="117" t="str">
        <x:v>No</x:v>
      </x:c>
      <x:c r="G1704" s="117" t="str">
        <x:v>No</x:v>
      </x:c>
      <x:c r="H1704" s="117" t="str">
        <x:v>Flow</x:v>
      </x:c>
      <x:c r="I1704" s="118" t="n">
        <x:v>65</x:v>
      </x:c>
      <x:c r="J1704" s="117" t="str">
        <x:v>unmanaged</x:v>
      </x:c>
      <x:c r="K1704" s="123" t="b">
        <x:v>0</x:v>
      </x:c>
      <x:c r="L1704" s="117"/>
      <x:c r="M1704" s="118"/>
      <x:c r="N1704" s="120" t="n">
        <x:v>46024.644155092596</x:v>
      </x:c>
      <x:c r="O1704" s="117" t="str">
        <x:v>Delegate</x:v>
      </x:c>
      <x:c r="P1704" s="120" t="n">
        <x:v>46024.64423611111</x:v>
      </x:c>
      <x:c r="Q1704" s="117" t="str">
        <x:v>Delegate</x:v>
      </x:c>
      <x:c r="R1704" s="117" t="str">
        <x:v>Manually Send Credit Memo to Client</x:v>
      </x:c>
      <x:c r="S1704" s="119" t="str">
        <x:v>01/02/2026 (BW) - Allows for the manual sending of a credit memo to a client</x:v>
      </x:c>
    </x:row>
    <x:row r="1705" ht="30" customHeight="1">
      <x:c r="A1705" s="117" t="str">
        <x:v>Manually_Send_Credit_Memo_to_Client</x:v>
      </x:c>
      <x:c r="B1705" s="117" t="str">
        <x:v>300Ro00000ncjmHIAQ</x:v>
      </x:c>
      <x:c r="C1705" s="117" t="str">
        <x:v>301Ro000011W3jzIAC</x:v>
      </x:c>
      <x:c r="D1705" s="118" t="n">
        <x:v>2</x:v>
      </x:c>
      <x:c r="E1705" s="117" t="str">
        <x:v>Obsolete</x:v>
      </x:c>
      <x:c r="F1705" s="117" t="str">
        <x:v>No</x:v>
      </x:c>
      <x:c r="G1705" s="117" t="str">
        <x:v>No</x:v>
      </x:c>
      <x:c r="H1705" s="117" t="str">
        <x:v>Flow</x:v>
      </x:c>
      <x:c r="I1705" s="118" t="n">
        <x:v>65</x:v>
      </x:c>
      <x:c r="J1705" s="117" t="str">
        <x:v>unmanaged</x:v>
      </x:c>
      <x:c r="K1705" s="123" t="b">
        <x:v>0</x:v>
      </x:c>
      <x:c r="L1705" s="117"/>
      <x:c r="M1705" s="118"/>
      <x:c r="N1705" s="120" t="n">
        <x:v>46106.8687037037</x:v>
      </x:c>
      <x:c r="O1705" s="117" t="str">
        <x:v>Delegate</x:v>
      </x:c>
      <x:c r="P1705" s="120" t="n">
        <x:v>46106.868946759256</x:v>
      </x:c>
      <x:c r="Q1705" s="117" t="str">
        <x:v>Delegate</x:v>
      </x:c>
      <x:c r="R1705" s="117" t="str">
        <x:v>Manually Send Credit Memo to Client</x:v>
      </x:c>
      <x:c r="S1705" s="119" t="str">
        <x:v>01/02/2026 (BW) - Allows for the manual sending of a credit memo to a client</x:v>
      </x:c>
    </x:row>
    <x:row r="1706" ht="30" customHeight="1">
      <x:c r="A1706" s="117" t="str">
        <x:v>Manually_Send_Credit_Memo_to_Client</x:v>
      </x:c>
      <x:c r="B1706" s="117" t="str">
        <x:v>300Ro00000ncjmHIAQ</x:v>
      </x:c>
      <x:c r="C1706" s="117" t="str">
        <x:v>301Ro000011YZSHIA4</x:v>
      </x:c>
      <x:c r="D1706" s="118" t="n">
        <x:v>3</x:v>
      </x:c>
      <x:c r="E1706" s="117" t="str">
        <x:v>Active</x:v>
      </x:c>
      <x:c r="F1706" s="117" t="str">
        <x:v>Yes</x:v>
      </x:c>
      <x:c r="G1706" s="117" t="str">
        <x:v>Yes</x:v>
      </x:c>
      <x:c r="H1706" s="117" t="str">
        <x:v>Flow</x:v>
      </x:c>
      <x:c r="I1706" s="118" t="n">
        <x:v>65</x:v>
      </x:c>
      <x:c r="J1706" s="117" t="str">
        <x:v>unmanaged</x:v>
      </x:c>
      <x:c r="K1706" s="123" t="b">
        <x:v>0</x:v>
      </x:c>
      <x:c r="L1706" s="117"/>
      <x:c r="M1706" s="118"/>
      <x:c r="N1706" s="120" t="n">
        <x:v>46107.547743055555</x:v>
      </x:c>
      <x:c r="O1706" s="117" t="str">
        <x:v>Delegate</x:v>
      </x:c>
      <x:c r="P1706" s="120" t="n">
        <x:v>46107.54783564815</x:v>
      </x:c>
      <x:c r="Q1706" s="117" t="str">
        <x:v>Delegate</x:v>
      </x:c>
      <x:c r="R1706" s="117" t="str">
        <x:v>Manually Send Credit Memo to Client</x:v>
      </x:c>
      <x:c r="S1706" s="119" t="str">
        <x:v>01/02/2026 (BW) - Allows for the manual sending of a credit memo to a client</x:v>
      </x:c>
    </x:row>
    <x:row r="1707" ht="30" customHeight="1">
      <x:c r="A1707" s="117" t="str">
        <x:v>Mark_Asmer_Evaluation_Update_Email_Flow</x:v>
      </x:c>
      <x:c r="B1707" s="117" t="str">
        <x:v>3005b000000PzFjAAK</x:v>
      </x:c>
      <x:c r="C1707" s="117" t="str">
        <x:v>3015b000000W1YsAAK</x:v>
      </x:c>
      <x:c r="D1707" s="118" t="n">
        <x:v>1</x:v>
      </x:c>
      <x:c r="E1707" s="117" t="str">
        <x:v>Active</x:v>
      </x:c>
      <x:c r="F1707" s="117" t="str">
        <x:v>Yes</x:v>
      </x:c>
      <x:c r="G1707" s="117" t="str">
        <x:v>Yes</x:v>
      </x:c>
      <x:c r="H1707" s="117" t="str">
        <x:v>AutoLaunchedFlow</x:v>
      </x:c>
      <x:c r="I1707" s="118" t="n">
        <x:v>57</x:v>
      </x:c>
      <x:c r="J1707" s="117" t="str">
        <x:v>unmanaged</x:v>
      </x:c>
      <x:c r="K1707" s="123" t="b">
        <x:v>0</x:v>
      </x:c>
      <x:c r="L1707" s="117"/>
      <x:c r="M1707" s="118"/>
      <x:c r="N1707" s="120" t="n">
        <x:v>45028.71837962963</x:v>
      </x:c>
      <x:c r="O1707" s="117" t="str">
        <x:v>Jace Gentil</x:v>
      </x:c>
      <x:c r="P1707" s="120" t="n">
        <x:v>45028.71841435185</x:v>
      </x:c>
      <x:c r="Q1707" s="117" t="str">
        <x:v>Jace Gentil</x:v>
      </x:c>
      <x:c r="R1707" s="117" t="str">
        <x:v>Mark Asmer Evaluation Update Email Flow</x:v>
      </x:c>
      <x:c r="S1707" s="119"/>
    </x:row>
    <x:row r="1708" ht="30" customHeight="1">
      <x:c r="A1708" s="117" t="str">
        <x:v>Mark_Closed_Lost_Big_Iron_Assets_as_PAd_and_Sold</x:v>
      </x:c>
      <x:c r="B1708" s="117" t="str">
        <x:v>3005b000000H3gKAAS</x:v>
      </x:c>
      <x:c r="C1708" s="117" t="str">
        <x:v>3015b000000EJ22AAG</x:v>
      </x:c>
      <x:c r="D1708" s="118" t="n">
        <x:v>1</x:v>
      </x:c>
      <x:c r="E1708" s="117" t="str">
        <x:v>Draft</x:v>
      </x:c>
      <x:c r="F1708" s="117" t="str">
        <x:v>No</x:v>
      </x:c>
      <x:c r="G1708" s="117" t="str">
        <x:v>No</x:v>
      </x:c>
      <x:c r="H1708" s="117" t="str">
        <x:v>AutoLaunchedFlow</x:v>
      </x:c>
      <x:c r="I1708" s="118" t="n">
        <x:v>54</x:v>
      </x:c>
      <x:c r="J1708" s="117" t="str">
        <x:v>unmanaged</x:v>
      </x:c>
      <x:c r="K1708" s="123" t="b">
        <x:v>0</x:v>
      </x:c>
      <x:c r="L1708" s="117"/>
      <x:c r="M1708" s="118"/>
      <x:c r="N1708" s="120" t="n">
        <x:v>44662.64037037037</x:v>
      </x:c>
      <x:c r="O1708" s="117" t="str">
        <x:v>Jace Gentil</x:v>
      </x:c>
      <x:c r="P1708" s="120" t="n">
        <x:v>44662.640381944446</x:v>
      </x:c>
      <x:c r="Q1708" s="117" t="str">
        <x:v>Jace Gentil</x:v>
      </x:c>
      <x:c r="R1708" s="117" t="str">
        <x:v>Mark Closed Lost Big Iron Assets as PAd and Sold</x:v>
      </x:c>
      <x:c r="S1708" s="119" t="str">
        <x:v>When Big Iron Purchasing Opportunity = Closed Lost, Mark all assets associated with the opportunity as Purchasing Approved, $0.00 cost, Location = Returned to Vendor/Cust, Sales Price = $0.0, Sold = True</x:v>
      </x:c>
    </x:row>
    <x:row r="1709" ht="30" customHeight="1">
      <x:c r="A1709" s="117" t="str">
        <x:v>Mark_Closed_Lost_Big_Iron_Assets_as_PAd_and_Sold</x:v>
      </x:c>
      <x:c r="B1709" s="117" t="str">
        <x:v>3005b000000H3gKAAS</x:v>
      </x:c>
      <x:c r="C1709" s="117" t="str">
        <x:v>3015b000000EJ27AAG</x:v>
      </x:c>
      <x:c r="D1709" s="118" t="n">
        <x:v>2</x:v>
      </x:c>
      <x:c r="E1709" s="117" t="str">
        <x:v>Obsolete</x:v>
      </x:c>
      <x:c r="F1709" s="117" t="str">
        <x:v>No</x:v>
      </x:c>
      <x:c r="G1709" s="117" t="str">
        <x:v>No</x:v>
      </x:c>
      <x:c r="H1709" s="117" t="str">
        <x:v>AutoLaunchedFlow</x:v>
      </x:c>
      <x:c r="I1709" s="118" t="n">
        <x:v>54</x:v>
      </x:c>
      <x:c r="J1709" s="117" t="str">
        <x:v>unmanaged</x:v>
      </x:c>
      <x:c r="K1709" s="123" t="b">
        <x:v>0</x:v>
      </x:c>
      <x:c r="L1709" s="117"/>
      <x:c r="M1709" s="118"/>
      <x:c r="N1709" s="120" t="n">
        <x:v>44662.64084490741</x:v>
      </x:c>
      <x:c r="O1709" s="117" t="str">
        <x:v>Jace Gentil</x:v>
      </x:c>
      <x:c r="P1709" s="120" t="n">
        <x:v>44662.64097222222</x:v>
      </x:c>
      <x:c r="Q1709" s="117" t="str">
        <x:v>Jace Gentil</x:v>
      </x:c>
      <x:c r="R1709" s="117" t="str">
        <x:v>Mark Closed Lost Big Iron Assets as PAd and Sold</x:v>
      </x:c>
      <x:c r="S1709" s="119" t="str">
        <x:v>When Big Iron Purchasing Opportunity = Closed Lost, Mark all assets associated with the opportunity as Purchasing Approved, $0.00 cost, Location = Returned to Vendor/Cust, Sales Price = $0.0, Sold = True</x:v>
      </x:c>
    </x:row>
    <x:row r="1710" ht="30" customHeight="1">
      <x:c r="A1710" s="117" t="str">
        <x:v>Mark_Closed_Lost_Big_Iron_Assets_as_PAd_and_Sold</x:v>
      </x:c>
      <x:c r="B1710" s="117" t="str">
        <x:v>3005b000000H3gKAAS</x:v>
      </x:c>
      <x:c r="C1710" s="117" t="str">
        <x:v>3015b000000APf0AAG</x:v>
      </x:c>
      <x:c r="D1710" s="118" t="n">
        <x:v>3</x:v>
      </x:c>
      <x:c r="E1710" s="117" t="str">
        <x:v>Active</x:v>
      </x:c>
      <x:c r="F1710" s="117" t="str">
        <x:v>Yes</x:v>
      </x:c>
      <x:c r="G1710" s="117" t="str">
        <x:v>Yes</x:v>
      </x:c>
      <x:c r="H1710" s="117" t="str">
        <x:v>AutoLaunchedFlow</x:v>
      </x:c>
      <x:c r="I1710" s="118" t="n">
        <x:v>54</x:v>
      </x:c>
      <x:c r="J1710" s="117" t="str">
        <x:v>unmanaged</x:v>
      </x:c>
      <x:c r="K1710" s="123" t="b">
        <x:v>0</x:v>
      </x:c>
      <x:c r="L1710" s="117"/>
      <x:c r="M1710" s="118"/>
      <x:c r="N1710" s="120" t="n">
        <x:v>45145.549791666665</x:v>
      </x:c>
      <x:c r="O1710" s="117" t="str">
        <x:v>Delegate</x:v>
      </x:c>
      <x:c r="P1710" s="120" t="n">
        <x:v>45145.54986111111</x:v>
      </x:c>
      <x:c r="Q1710" s="117" t="str">
        <x:v>Delegate</x:v>
      </x:c>
      <x:c r="R1710" s="117" t="str">
        <x:v>Mark Closed Lost Big Iron Assets as PAd and Sold</x:v>
      </x:c>
      <x:c r="S1710" s="119" t="str">
        <x:v>Added asynchronous path</x:v>
      </x:c>
    </x:row>
    <x:row r="1711" ht="30" customHeight="1">
      <x:c r="A1711" s="117" t="str">
        <x:v>Mass_Move_Location_Screen_Flow</x:v>
      </x:c>
      <x:c r="B1711" s="117" t="str">
        <x:v>300Ro00000qm9iRIAQ</x:v>
      </x:c>
      <x:c r="C1711" s="117" t="str">
        <x:v>301Ro00000yMEgBIAW</x:v>
      </x:c>
      <x:c r="D1711" s="118" t="n">
        <x:v>1</x:v>
      </x:c>
      <x:c r="E1711" s="117" t="str">
        <x:v>Obsolete</x:v>
      </x:c>
      <x:c r="F1711" s="117" t="str">
        <x:v>No</x:v>
      </x:c>
      <x:c r="G1711" s="117" t="str">
        <x:v>No</x:v>
      </x:c>
      <x:c r="H1711" s="117" t="str">
        <x:v>Flow</x:v>
      </x:c>
      <x:c r="I1711" s="118" t="n">
        <x:v>65</x:v>
      </x:c>
      <x:c r="J1711" s="117" t="str">
        <x:v>unmanaged</x:v>
      </x:c>
      <x:c r="K1711" s="123" t="b">
        <x:v>0</x:v>
      </x:c>
      <x:c r="L1711" s="117"/>
      <x:c r="M1711" s="118"/>
      <x:c r="N1711" s="120" t="n">
        <x:v>46067.70431712963</x:v>
      </x:c>
      <x:c r="O1711" s="117" t="str">
        <x:v>Sacha Pearce</x:v>
      </x:c>
      <x:c r="P1711" s="120" t="n">
        <x:v>46067.77085648148</x:v>
      </x:c>
      <x:c r="Q1711" s="117" t="str">
        <x:v>Sacha Pearce</x:v>
      </x:c>
      <x:c r="R1711" s="117" t="str">
        <x:v>Mass Move Location Screen Flow</x:v>
      </x:c>
      <x:c r="S1711" s="119"/>
    </x:row>
    <x:row r="1712" ht="30" customHeight="1">
      <x:c r="A1712" s="117" t="str">
        <x:v>Mass_Move_Location_Screen_Flow</x:v>
      </x:c>
      <x:c r="B1712" s="117" t="str">
        <x:v>300Ro00000qm9iRIAQ</x:v>
      </x:c>
      <x:c r="C1712" s="117" t="str">
        <x:v>301Ro00000yNyAeIAK</x:v>
      </x:c>
      <x:c r="D1712" s="118" t="n">
        <x:v>2</x:v>
      </x:c>
      <x:c r="E1712" s="117" t="str">
        <x:v>Obsolete</x:v>
      </x:c>
      <x:c r="F1712" s="117" t="str">
        <x:v>No</x:v>
      </x:c>
      <x:c r="G1712" s="117" t="str">
        <x:v>No</x:v>
      </x:c>
      <x:c r="H1712" s="117" t="str">
        <x:v>Flow</x:v>
      </x:c>
      <x:c r="I1712" s="118" t="n">
        <x:v>65</x:v>
      </x:c>
      <x:c r="J1712" s="117" t="str">
        <x:v>unmanaged</x:v>
      </x:c>
      <x:c r="K1712" s="123" t="b">
        <x:v>0</x:v>
      </x:c>
      <x:c r="L1712" s="117" t="str">
        <x:v>SystemModeWithoutSharing</x:v>
      </x:c>
      <x:c r="M1712" s="118"/>
      <x:c r="N1712" s="120" t="n">
        <x:v>46068.54646990741</x:v>
      </x:c>
      <x:c r="O1712" s="117" t="str">
        <x:v>Sacha Pearce</x:v>
      </x:c>
      <x:c r="P1712" s="120" t="n">
        <x:v>46068.54754629629</x:v>
      </x:c>
      <x:c r="Q1712" s="117" t="str">
        <x:v>Sacha Pearce</x:v>
      </x:c>
      <x:c r="R1712" s="117" t="str">
        <x:v>Mass Move Location Screen Flow</x:v>
      </x:c>
      <x:c r="S1712" s="119" t="str">
        <x:v>Adding additional fields to the "Assign New Move Location" Assignment</x:v>
      </x:c>
    </x:row>
    <x:row r="1713" ht="30" customHeight="1">
      <x:c r="A1713" s="117" t="str">
        <x:v>Mass_Move_Location_Screen_Flow</x:v>
      </x:c>
      <x:c r="B1713" s="117" t="str">
        <x:v>300Ro00000qm9iRIAQ</x:v>
      </x:c>
      <x:c r="C1713" s="117" t="str">
        <x:v>301Ro000010f0ZqIAI</x:v>
      </x:c>
      <x:c r="D1713" s="118" t="n">
        <x:v>3</x:v>
      </x:c>
      <x:c r="E1713" s="117" t="str">
        <x:v>Obsolete</x:v>
      </x:c>
      <x:c r="F1713" s="117" t="str">
        <x:v>No</x:v>
      </x:c>
      <x:c r="G1713" s="117" t="str">
        <x:v>No</x:v>
      </x:c>
      <x:c r="H1713" s="117" t="str">
        <x:v>Flow</x:v>
      </x:c>
      <x:c r="I1713" s="118" t="n">
        <x:v>65</x:v>
      </x:c>
      <x:c r="J1713" s="117" t="str">
        <x:v>unmanaged</x:v>
      </x:c>
      <x:c r="K1713" s="123" t="b">
        <x:v>0</x:v>
      </x:c>
      <x:c r="L1713" s="117" t="str">
        <x:v>SystemModeWithoutSharing</x:v>
      </x:c>
      <x:c r="M1713" s="118"/>
      <x:c r="N1713" s="120" t="n">
        <x:v>46097.48228009259</x:v>
      </x:c>
      <x:c r="O1713" s="117" t="str">
        <x:v>Sacha Pearce</x:v>
      </x:c>
      <x:c r="P1713" s="120" t="n">
        <x:v>46097.48237268518</x:v>
      </x:c>
      <x:c r="Q1713" s="117" t="str">
        <x:v>Sacha Pearce</x:v>
      </x:c>
      <x:c r="R1713" s="117" t="str">
        <x:v>Mass Move Location Screen Flow</x:v>
      </x:c>
      <x:c r="S1713" s="119" t="str">
        <x:v>Adding additional fields to the "Assign New Move Location" Assignment</x:v>
      </x:c>
    </x:row>
    <x:row r="1714" ht="30" customHeight="1">
      <x:c r="A1714" s="117" t="str">
        <x:v>Mass_Move_Location_Screen_Flow</x:v>
      </x:c>
      <x:c r="B1714" s="117" t="str">
        <x:v>300Ro00000qm9iRIAQ</x:v>
      </x:c>
      <x:c r="C1714" s="117" t="str">
        <x:v>301Ro000011NRCzIAO</x:v>
      </x:c>
      <x:c r="D1714" s="118" t="n">
        <x:v>4</x:v>
      </x:c>
      <x:c r="E1714" s="117" t="str">
        <x:v>Obsolete</x:v>
      </x:c>
      <x:c r="F1714" s="117" t="str">
        <x:v>No</x:v>
      </x:c>
      <x:c r="G1714" s="117" t="str">
        <x:v>No</x:v>
      </x:c>
      <x:c r="H1714" s="117" t="str">
        <x:v>Flow</x:v>
      </x:c>
      <x:c r="I1714" s="118" t="n">
        <x:v>65</x:v>
      </x:c>
      <x:c r="J1714" s="117" t="str">
        <x:v>unmanaged</x:v>
      </x:c>
      <x:c r="K1714" s="123" t="b">
        <x:v>0</x:v>
      </x:c>
      <x:c r="L1714" s="117" t="str">
        <x:v>SystemModeWithoutSharing</x:v>
      </x:c>
      <x:c r="M1714" s="118"/>
      <x:c r="N1714" s="120" t="n">
        <x:v>46105.888125</x:v>
      </x:c>
      <x:c r="O1714" s="117" t="str">
        <x:v>Sacha Pearce</x:v>
      </x:c>
      <x:c r="P1714" s="120" t="n">
        <x:v>46107.88856481481</x:v>
      </x:c>
      <x:c r="Q1714" s="117" t="str">
        <x:v>Sacha Pearce</x:v>
      </x:c>
      <x:c r="R1714" s="117" t="str">
        <x:v>Mass Move Location Screen Flow</x:v>
      </x:c>
      <x:c r="S1714" s="119" t="str">
        <x:v>24/03/2026 - SP - Updating Flow to set the Asset "Stock Checked" field to the date of the running Flow interview</x:v>
      </x:c>
    </x:row>
    <x:row r="1715" ht="30" customHeight="1">
      <x:c r="A1715" s="117" t="str">
        <x:v>Mass_Move_Location_Screen_Flow</x:v>
      </x:c>
      <x:c r="B1715" s="117" t="str">
        <x:v>300Ro00000qm9iRIAQ</x:v>
      </x:c>
      <x:c r="C1715" s="117" t="str">
        <x:v>301Ro000013WEteIAG</x:v>
      </x:c>
      <x:c r="D1715" s="118" t="n">
        <x:v>5</x:v>
      </x:c>
      <x:c r="E1715" s="117" t="str">
        <x:v>Active</x:v>
      </x:c>
      <x:c r="F1715" s="117" t="str">
        <x:v>Yes</x:v>
      </x:c>
      <x:c r="G1715" s="117" t="str">
        <x:v>Yes</x:v>
      </x:c>
      <x:c r="H1715" s="117" t="str">
        <x:v>Flow</x:v>
      </x:c>
      <x:c r="I1715" s="118" t="n">
        <x:v>65</x:v>
      </x:c>
      <x:c r="J1715" s="117" t="str">
        <x:v>unmanaged</x:v>
      </x:c>
      <x:c r="K1715" s="123" t="b">
        <x:v>0</x:v>
      </x:c>
      <x:c r="L1715" s="117" t="str">
        <x:v>SystemModeWithoutSharing</x:v>
      </x:c>
      <x:c r="M1715" s="118"/>
      <x:c r="N1715" s="120" t="n">
        <x:v>46130.572534722225</x:v>
      </x:c>
      <x:c r="O1715" s="117" t="str">
        <x:v>Sacha Pearce</x:v>
      </x:c>
      <x:c r="P1715" s="120" t="n">
        <x:v>46130.57579861111</x:v>
      </x:c>
      <x:c r="Q1715" s="117" t="str">
        <x:v>Sacha Pearce</x:v>
      </x:c>
      <x:c r="R1715" s="117" t="str">
        <x:v>Mass Move Location Screen Flow</x:v>
      </x:c>
      <x:c r="S1715" s="119" t="str">
        <x:v>24/03/2026 - SP - Updating the Flow to recalculate the "Current Location" field on the related Assets. This is needed to ensure the "New Location Formula" is evaluted before the "MoveLocationUpdate" Apex Trigger updates the related Asset.</x:v>
      </x:c>
    </x:row>
    <x:row r="1716" ht="30" customHeight="1">
      <x:c r="A1716" s="117" t="str">
        <x:v>MC_Shipment_Before_Delete_Delivered_Date_Roll_Up</x:v>
      </x:c>
      <x:c r="B1716" s="117" t="str">
        <x:v>300Ro00000zK6USIA0</x:v>
      </x:c>
      <x:c r="C1716" s="117" t="str">
        <x:v>301Ro000017fFcwIAE</x:v>
      </x:c>
      <x:c r="D1716" s="118" t="n">
        <x:v>1</x:v>
      </x:c>
      <x:c r="E1716" s="117" t="str">
        <x:v>Active</x:v>
      </x:c>
      <x:c r="F1716" s="117" t="str">
        <x:v>Yes</x:v>
      </x:c>
      <x:c r="G1716" s="117" t="str">
        <x:v>Yes</x:v>
      </x:c>
      <x:c r="H1716" s="117" t="str">
        <x:v>AutoLaunchedFlow</x:v>
      </x:c>
      <x:c r="I1716" s="118" t="n">
        <x:v>66</x:v>
      </x:c>
      <x:c r="J1716" s="117" t="str">
        <x:v>unmanaged</x:v>
      </x:c>
      <x:c r="K1716" s="123" t="b">
        <x:v>0</x:v>
      </x:c>
      <x:c r="L1716" s="117"/>
      <x:c r="M1716" s="118"/>
      <x:c r="N1716" s="120" t="n">
        <x:v>46178.02241898148</x:v>
      </x:c>
      <x:c r="O1716" s="117" t="str">
        <x:v>Delegate</x:v>
      </x:c>
      <x:c r="P1716" s="120" t="n">
        <x:v>46178.028402777774</x:v>
      </x:c>
      <x:c r="Q1716" s="117" t="str">
        <x:v>Delegate</x:v>
      </x:c>
      <x:c r="R1716" s="117" t="str">
        <x:v>MC Shipment | Before Delete, Delivered Date Roll Up</x:v>
      </x:c>
      <x:c r="S1716" s="119" t="str">
        <x:v>06/04/26 (GD) – Replaces DLRS rollup 'Roll Up Delivered Date on Loaner' (before delete). Queries all remaining MCShipments for the triggered Loaner — the being-deleted record is excluded via Id != $Record.Id filter. Concatenates distinct Actual_Delivery_Date__c values (YYYY-MM-DD, comma-delimited) onto Loaner.Delivered_Date__c. Synchronous only; no async paths are supported in Before Delete flows. Distinct check uses anchored CONTAINS() pattern (",value,") to prevent substring false-positives.</x:v>
      </x:c>
    </x:row>
    <x:row r="1717" ht="30" customHeight="1">
      <x:c r="A1717" s="117" t="str">
        <x:v>MC_Shipment_Before_Delete_Ship_Date_Roll_Up</x:v>
      </x:c>
      <x:c r="B1717" s="117" t="str">
        <x:v>300Ro00000zKZzNIAW</x:v>
      </x:c>
      <x:c r="C1717" s="117" t="str">
        <x:v>301Ro000017fkf3IAA</x:v>
      </x:c>
      <x:c r="D1717" s="118" t="n">
        <x:v>1</x:v>
      </x:c>
      <x:c r="E1717" s="117" t="str">
        <x:v>Active</x:v>
      </x:c>
      <x:c r="F1717" s="117" t="str">
        <x:v>Yes</x:v>
      </x:c>
      <x:c r="G1717" s="117" t="str">
        <x:v>Yes</x:v>
      </x:c>
      <x:c r="H1717" s="117" t="str">
        <x:v>AutoLaunchedFlow</x:v>
      </x:c>
      <x:c r="I1717" s="118" t="n">
        <x:v>66</x:v>
      </x:c>
      <x:c r="J1717" s="117" t="str">
        <x:v>unmanaged</x:v>
      </x:c>
      <x:c r="K1717" s="123" t="b">
        <x:v>0</x:v>
      </x:c>
      <x:c r="L1717" s="117"/>
      <x:c r="M1717" s="118"/>
      <x:c r="N1717" s="120" t="n">
        <x:v>46178.08159722222</x:v>
      </x:c>
      <x:c r="O1717" s="117" t="str">
        <x:v>Delegate</x:v>
      </x:c>
      <x:c r="P1717" s="120" t="n">
        <x:v>46178.08491898148</x:v>
      </x:c>
      <x:c r="Q1717" s="117" t="str">
        <x:v>Delegate</x:v>
      </x:c>
      <x:c r="R1717" s="117" t="str">
        <x:v>MC Shipment | Before Delete, Ship Date Roll Up</x:v>
      </x:c>
      <x:c r="S1717" s="119" t="str">
        <x:v>06/04/26 (GD) – Replaces DLRS rollup 'Roll Up Loaner Ship Date' (before delete). Queries all remaining MCShipments for the triggered Loaner — the being-deleted record is excluded via Id != $Record.Id filter. Concatenates distinct Ship_Date__c values (YYYY-MM-DD, comma-delimited) onto Loaner.Ship_Date__c. Synchronous only; no async paths are supported in Before Delete flows. Distinct check uses anchored CONTAINS() pattern (",value,") to prevent substring false-positives.</x:v>
      </x:c>
    </x:row>
    <x:row r="1718" ht="30" customHeight="1">
      <x:c r="A1718" s="117" t="str">
        <x:v>MC_Shipment_on_create_Delivered_Date_Roll_Up</x:v>
      </x:c>
      <x:c r="B1718" s="117" t="str">
        <x:v>300Ro00000zK6UTIA0</x:v>
      </x:c>
      <x:c r="C1718" s="117" t="str">
        <x:v>301Ro000017fFcxIAE</x:v>
      </x:c>
      <x:c r="D1718" s="118" t="n">
        <x:v>1</x:v>
      </x:c>
      <x:c r="E1718" s="117" t="str">
        <x:v>Active</x:v>
      </x:c>
      <x:c r="F1718" s="117" t="str">
        <x:v>Yes</x:v>
      </x:c>
      <x:c r="G1718" s="117" t="str">
        <x:v>Yes</x:v>
      </x:c>
      <x:c r="H1718" s="117" t="str">
        <x:v>AutoLaunchedFlow</x:v>
      </x:c>
      <x:c r="I1718" s="118" t="n">
        <x:v>66</x:v>
      </x:c>
      <x:c r="J1718" s="117" t="str">
        <x:v>unmanaged</x:v>
      </x:c>
      <x:c r="K1718" s="123" t="b">
        <x:v>0</x:v>
      </x:c>
      <x:c r="L1718" s="117"/>
      <x:c r="M1718" s="118"/>
      <x:c r="N1718" s="120" t="n">
        <x:v>46178.02248842592</x:v>
      </x:c>
      <x:c r="O1718" s="117" t="str">
        <x:v>Delegate</x:v>
      </x:c>
      <x:c r="P1718" s="120" t="n">
        <x:v>46178.02804398148</x:v>
      </x:c>
      <x:c r="Q1718" s="117" t="str">
        <x:v>Delegate</x:v>
      </x:c>
      <x:c r="R1718" s="117" t="str">
        <x:v>MC Shipment | On Create, Delivered Date Roll Up</x:v>
      </x:c>
      <x:c r="S1718" s="119" t="str">
        <x:v>06/04/26 (GD) – Replaces DLRS rollup 'Roll Up Delivered Date on Loaner' (on create). Queries all MCShipments for the triggered Loaner and concatenates distinct Actual_Delivery_Date__c values (YYYY-MM-DD, comma-delimited) onto Loaner.Delivered_Date__c. Distinct check uses anchored CONTAINS() pattern (",value,") to prevent substring false-positives. AggregateAllRows: false — soft-deleted rows excluded by default SOQL.</x:v>
      </x:c>
    </x:row>
    <x:row r="1719" ht="30" customHeight="1">
      <x:c r="A1719" s="117" t="str">
        <x:v>MC_Shipment_on_create_Ship_Date_Roll_Up</x:v>
      </x:c>
      <x:c r="B1719" s="117" t="str">
        <x:v>300Ro00000zKZzOIAW</x:v>
      </x:c>
      <x:c r="C1719" s="117" t="str">
        <x:v>301Ro000017fkf4IAA</x:v>
      </x:c>
      <x:c r="D1719" s="118" t="n">
        <x:v>1</x:v>
      </x:c>
      <x:c r="E1719" s="117" t="str">
        <x:v>Active</x:v>
      </x:c>
      <x:c r="F1719" s="117" t="str">
        <x:v>Yes</x:v>
      </x:c>
      <x:c r="G1719" s="117" t="str">
        <x:v>Yes</x:v>
      </x:c>
      <x:c r="H1719" s="117" t="str">
        <x:v>AutoLaunchedFlow</x:v>
      </x:c>
      <x:c r="I1719" s="118" t="n">
        <x:v>66</x:v>
      </x:c>
      <x:c r="J1719" s="117" t="str">
        <x:v>unmanaged</x:v>
      </x:c>
      <x:c r="K1719" s="123" t="b">
        <x:v>0</x:v>
      </x:c>
      <x:c r="L1719" s="117"/>
      <x:c r="M1719" s="118"/>
      <x:c r="N1719" s="120" t="n">
        <x:v>46178.08168981481</x:v>
      </x:c>
      <x:c r="O1719" s="117" t="str">
        <x:v>Delegate</x:v>
      </x:c>
      <x:c r="P1719" s="120" t="n">
        <x:v>46178.08414351852</x:v>
      </x:c>
      <x:c r="Q1719" s="117" t="str">
        <x:v>Delegate</x:v>
      </x:c>
      <x:c r="R1719" s="117" t="str">
        <x:v>MC Shipment | On Create, Ship Date Roll Up</x:v>
      </x:c>
      <x:c r="S1719" s="119" t="str">
        <x:v>06/04/26 (GD) – Replaces DLRS rollup 'Roll Up Loaner Ship Date' (on create). Queries all MCShipments for the triggered Loaner and concatenates distinct Ship_Date__c values (YYYY-MM-DD, comma-delimited) onto Loaner.Ship_Date__c. Distinct check uses anchored CONTAINS() pattern (",value,") to prevent substring false-positives. AggregateAllRows: false — soft-deleted rows excluded by default SOQL.</x:v>
      </x:c>
    </x:row>
    <x:row r="1720" ht="30" customHeight="1">
      <x:c r="A1720" s="117" t="str">
        <x:v>MC_Shipment_on_update_Delivered_Date_Roll_Up</x:v>
      </x:c>
      <x:c r="B1720" s="117" t="str">
        <x:v>300Ro00000zK6UUIA0</x:v>
      </x:c>
      <x:c r="C1720" s="117" t="str">
        <x:v>301Ro000017fFcyIAE</x:v>
      </x:c>
      <x:c r="D1720" s="118" t="n">
        <x:v>1</x:v>
      </x:c>
      <x:c r="E1720" s="117" t="str">
        <x:v>Active</x:v>
      </x:c>
      <x:c r="F1720" s="117" t="str">
        <x:v>Yes</x:v>
      </x:c>
      <x:c r="G1720" s="117" t="str">
        <x:v>Yes</x:v>
      </x:c>
      <x:c r="H1720" s="117" t="str">
        <x:v>AutoLaunchedFlow</x:v>
      </x:c>
      <x:c r="I1720" s="118" t="n">
        <x:v>66</x:v>
      </x:c>
      <x:c r="J1720" s="117" t="str">
        <x:v>unmanaged</x:v>
      </x:c>
      <x:c r="K1720" s="123" t="b">
        <x:v>0</x:v>
      </x:c>
      <x:c r="L1720" s="117"/>
      <x:c r="M1720" s="118"/>
      <x:c r="N1720" s="120" t="n">
        <x:v>46178.0225</x:v>
      </x:c>
      <x:c r="O1720" s="117" t="str">
        <x:v>Delegate</x:v>
      </x:c>
      <x:c r="P1720" s="120" t="n">
        <x:v>46178.02847222222</x:v>
      </x:c>
      <x:c r="Q1720" s="117" t="str">
        <x:v>Delegate</x:v>
      </x:c>
      <x:c r="R1720" s="117" t="str">
        <x:v>MC Shipment | On Update, Delivered Date Roll Up</x:v>
      </x:c>
      <x:c r="S1720" s="119" t="str">
        <x:v>06/04/26 (GD) – Replaces DLRS rollup 'Roll Up Delivered Date on Loaner' (on update). Handles delivery-date change on the same Loaner and Loaner reparenting (updates both old and new parent). Known gap matching org-wide pattern: if Loaner__c is changed to null the old parent is not updated (entry criteria require current Loaner__c to be non-null). Distinct check uses anchored CONTAINS() pattern (",value,") to prevent substring false-positives. $Record__Prior is used for old-parent lookup — only available in synchronous paths.</x:v>
      </x:c>
    </x:row>
    <x:row r="1721" ht="30" customHeight="1">
      <x:c r="A1721" s="117" t="str">
        <x:v>MC_Shipment_on_update_Ship_Date_Roll_Up</x:v>
      </x:c>
      <x:c r="B1721" s="117" t="str">
        <x:v>300Ro00000zKZzPIAW</x:v>
      </x:c>
      <x:c r="C1721" s="117" t="str">
        <x:v>301Ro000017fkf5IAA</x:v>
      </x:c>
      <x:c r="D1721" s="118" t="n">
        <x:v>1</x:v>
      </x:c>
      <x:c r="E1721" s="117" t="str">
        <x:v>Active</x:v>
      </x:c>
      <x:c r="F1721" s="117" t="str">
        <x:v>Yes</x:v>
      </x:c>
      <x:c r="G1721" s="117" t="str">
        <x:v>Yes</x:v>
      </x:c>
      <x:c r="H1721" s="117" t="str">
        <x:v>AutoLaunchedFlow</x:v>
      </x:c>
      <x:c r="I1721" s="118" t="n">
        <x:v>66</x:v>
      </x:c>
      <x:c r="J1721" s="117" t="str">
        <x:v>unmanaged</x:v>
      </x:c>
      <x:c r="K1721" s="123" t="b">
        <x:v>0</x:v>
      </x:c>
      <x:c r="L1721" s="117"/>
      <x:c r="M1721" s="118"/>
      <x:c r="N1721" s="120" t="n">
        <x:v>46178.08170138889</x:v>
      </x:c>
      <x:c r="O1721" s="117" t="str">
        <x:v>Delegate</x:v>
      </x:c>
      <x:c r="P1721" s="120" t="n">
        <x:v>46178.084444444445</x:v>
      </x:c>
      <x:c r="Q1721" s="117" t="str">
        <x:v>Delegate</x:v>
      </x:c>
      <x:c r="R1721" s="117" t="str">
        <x:v>MC Shipment | On Update, Ship Date Roll Up</x:v>
      </x:c>
      <x:c r="S1721" s="119" t="str">
        <x:v>06/04/26 (GD) – Replaces DLRS rollup 'Roll Up Loaner Ship Date' (on update). Handles ship-date change on the same Loaner and Loaner reparenting (updates both old and new parent). Known gap matching org-wide pattern: if Loaner__c is changed to null the old parent is not updated (entry criteria require current Loaner__c to be non-null). Distinct check uses anchored CONTAINS() pattern (",value,") to prevent substring false-positives. $Record__Prior is used for old-parent lookup — only available in synchronous paths.</x:v>
      </x:c>
    </x:row>
    <x:row r="1722" ht="30" customHeight="1">
      <x:c r="A1722" s="117" t="str">
        <x:v>MC_Shipment_Rollups</x:v>
      </x:c>
      <x:c r="B1722" s="117" t="str">
        <x:v>300Ro000007doaXIAQ</x:v>
      </x:c>
      <x:c r="C1722" s="117" t="str">
        <x:v>301Ro00000DIMVhIAP</x:v>
      </x:c>
      <x:c r="D1722" s="118" t="n">
        <x:v>1</x:v>
      </x:c>
      <x:c r="E1722" s="117" t="str">
        <x:v>Draft</x:v>
      </x:c>
      <x:c r="F1722" s="117" t="str">
        <x:v>No</x:v>
      </x:c>
      <x:c r="G1722" s="117" t="str">
        <x:v>No</x:v>
      </x:c>
      <x:c r="H1722" s="117" t="str">
        <x:v>AutoLaunchedFlow</x:v>
      </x:c>
      <x:c r="I1722" s="118" t="n">
        <x:v>57</x:v>
      </x:c>
      <x:c r="J1722" s="117" t="str">
        <x:v>unmanaged</x:v>
      </x:c>
      <x:c r="K1722" s="123" t="b">
        <x:v>0</x:v>
      </x:c>
      <x:c r="L1722" s="117"/>
      <x:c r="M1722" s="118"/>
      <x:c r="N1722" s="120" t="n">
        <x:v>45434.10743055555</x:v>
      </x:c>
      <x:c r="O1722" s="117" t="str">
        <x:v>Delegate</x:v>
      </x:c>
      <x:c r="P1722" s="120" t="n">
        <x:v>45434.10744212963</x:v>
      </x:c>
      <x:c r="Q1722" s="117" t="str">
        <x:v>Delegate</x:v>
      </x:c>
      <x:c r="R1722" s="117" t="str">
        <x:v>MC Shipment Rollups</x:v>
      </x:c>
      <x:c r="S1722" s="119"/>
    </x:row>
    <x:row r="1723" ht="30" customHeight="1">
      <x:c r="A1723" s="117" t="str">
        <x:v>MC_Shipment_Rollups</x:v>
      </x:c>
      <x:c r="B1723" s="117" t="str">
        <x:v>300Ro000007doaXIAQ</x:v>
      </x:c>
      <x:c r="C1723" s="117" t="str">
        <x:v>301Ro00000DIMKNIA5</x:v>
      </x:c>
      <x:c r="D1723" s="118" t="n">
        <x:v>2</x:v>
      </x:c>
      <x:c r="E1723" s="117" t="str">
        <x:v>Active</x:v>
      </x:c>
      <x:c r="F1723" s="117" t="str">
        <x:v>Yes</x:v>
      </x:c>
      <x:c r="G1723" s="117" t="str">
        <x:v>Yes</x:v>
      </x:c>
      <x:c r="H1723" s="117" t="str">
        <x:v>AutoLaunchedFlow</x:v>
      </x:c>
      <x:c r="I1723" s="118" t="n">
        <x:v>57</x:v>
      </x:c>
      <x:c r="J1723" s="117" t="str">
        <x:v>unmanaged</x:v>
      </x:c>
      <x:c r="K1723" s="123" t="b">
        <x:v>0</x:v>
      </x:c>
      <x:c r="L1723" s="117"/>
      <x:c r="M1723" s="118"/>
      <x:c r="N1723" s="120" t="n">
        <x:v>45434.11109953704</x:v>
      </x:c>
      <x:c r="O1723" s="117" t="str">
        <x:v>Delegate</x:v>
      </x:c>
      <x:c r="P1723" s="120" t="n">
        <x:v>45434.11304398148</x:v>
      </x:c>
      <x:c r="Q1723" s="117" t="str">
        <x:v>Delegate</x:v>
      </x:c>
      <x:c r="R1723" s="117" t="str">
        <x:v>Sum Loaner Shipping Cost Rollup</x:v>
      </x:c>
      <x:c r="S1723" s="119"/>
    </x:row>
    <x:row r="1724" ht="30" customHeight="1">
      <x:c r="A1724" s="117" t="str">
        <x:v>MCShipment_Before_Delete_Tracking_to_Loaner_Roll_Up</x:v>
      </x:c>
      <x:c r="B1724" s="117" t="str">
        <x:v>300Ro00000zKj13IAC</x:v>
      </x:c>
      <x:c r="C1724" s="117" t="str">
        <x:v>301Ro000017fwgDIAQ</x:v>
      </x:c>
      <x:c r="D1724" s="118" t="n">
        <x:v>1</x:v>
      </x:c>
      <x:c r="E1724" s="117" t="str">
        <x:v>Active</x:v>
      </x:c>
      <x:c r="F1724" s="117" t="str">
        <x:v>Yes</x:v>
      </x:c>
      <x:c r="G1724" s="117" t="str">
        <x:v>Yes</x:v>
      </x:c>
      <x:c r="H1724" s="117" t="str">
        <x:v>AutoLaunchedFlow</x:v>
      </x:c>
      <x:c r="I1724" s="118" t="n">
        <x:v>66</x:v>
      </x:c>
      <x:c r="J1724" s="117" t="str">
        <x:v>unmanaged</x:v>
      </x:c>
      <x:c r="K1724" s="123" t="b">
        <x:v>0</x:v>
      </x:c>
      <x:c r="L1724" s="117"/>
      <x:c r="M1724" s="118"/>
      <x:c r="N1724" s="120" t="n">
        <x:v>46178.1262037037</x:v>
      </x:c>
      <x:c r="O1724" s="117" t="str">
        <x:v>Delegate</x:v>
      </x:c>
      <x:c r="P1724" s="120" t="n">
        <x:v>46178.12871527778</x:v>
      </x:c>
      <x:c r="Q1724" s="117" t="str">
        <x:v>Delegate</x:v>
      </x:c>
      <x:c r="R1724" s="117" t="str">
        <x:v>MCShipment | Before Delete, Tracking to Loaner Roll Up</x:v>
      </x:c>
      <x:c r="S1724" s="119" t="str">
        <x:v>06/04/26 (GD) – DLRS-replacement: Tracking_to_Loaner_Record (before delete, synchronous). No delimiter — tracking numbers concatenated directly with no separator (deviates from org comma standard). No CONTAINS-based dedup implemented (dedup pattern requires a comma delimiter to work safely). Revisit delimiter and dedup in a future iteration.</x:v>
      </x:c>
    </x:row>
    <x:row r="1725" ht="30" customHeight="1">
      <x:c r="A1725" s="117" t="str">
        <x:v>MCShipment_on_create_Tracking_to_Loaner_Roll_Up</x:v>
      </x:c>
      <x:c r="B1725" s="117" t="str">
        <x:v>300Ro00000zKj14IAC</x:v>
      </x:c>
      <x:c r="C1725" s="117" t="str">
        <x:v>301Ro000017fwgEIAQ</x:v>
      </x:c>
      <x:c r="D1725" s="118" t="n">
        <x:v>1</x:v>
      </x:c>
      <x:c r="E1725" s="117" t="str">
        <x:v>Active</x:v>
      </x:c>
      <x:c r="F1725" s="117" t="str">
        <x:v>Yes</x:v>
      </x:c>
      <x:c r="G1725" s="117" t="str">
        <x:v>Yes</x:v>
      </x:c>
      <x:c r="H1725" s="117" t="str">
        <x:v>AutoLaunchedFlow</x:v>
      </x:c>
      <x:c r="I1725" s="118" t="n">
        <x:v>66</x:v>
      </x:c>
      <x:c r="J1725" s="117" t="str">
        <x:v>unmanaged</x:v>
      </x:c>
      <x:c r="K1725" s="123" t="b">
        <x:v>0</x:v>
      </x:c>
      <x:c r="L1725" s="117"/>
      <x:c r="M1725" s="118"/>
      <x:c r="N1725" s="120" t="n">
        <x:v>46178.12626157407</x:v>
      </x:c>
      <x:c r="O1725" s="117" t="str">
        <x:v>Delegate</x:v>
      </x:c>
      <x:c r="P1725" s="120" t="n">
        <x:v>46178.12866898148</x:v>
      </x:c>
      <x:c r="Q1725" s="117" t="str">
        <x:v>Delegate</x:v>
      </x:c>
      <x:c r="R1725" s="117" t="str">
        <x:v>MCShipment | On Create, Tracking to Loaner Roll Up</x:v>
      </x:c>
      <x:c r="S1725" s="119" t="str">
        <x:v>06/04/26 (GD) – DLRS-replacement: Tracking_to_Loaner_Record (on create, async). No delimiter — tracking numbers concatenated directly with no separator (deviates from org comma standard). No CONTAINS-based dedup implemented (dedup pattern requires a comma delimiter to work safely). Revisit delimiter and dedup in a future iteration.</x:v>
      </x:c>
    </x:row>
    <x:row r="1726" ht="30" customHeight="1">
      <x:c r="A1726" s="117" t="str">
        <x:v>MCShipment_on_update_Tracking_to_Loaner_Roll_Up</x:v>
      </x:c>
      <x:c r="B1726" s="117" t="str">
        <x:v>300Ro00000zKj15IAC</x:v>
      </x:c>
      <x:c r="C1726" s="117" t="str">
        <x:v>301Ro000017fwgFIAQ</x:v>
      </x:c>
      <x:c r="D1726" s="118" t="n">
        <x:v>1</x:v>
      </x:c>
      <x:c r="E1726" s="117" t="str">
        <x:v>Active</x:v>
      </x:c>
      <x:c r="F1726" s="117" t="str">
        <x:v>Yes</x:v>
      </x:c>
      <x:c r="G1726" s="117" t="str">
        <x:v>Yes</x:v>
      </x:c>
      <x:c r="H1726" s="117" t="str">
        <x:v>AutoLaunchedFlow</x:v>
      </x:c>
      <x:c r="I1726" s="118" t="n">
        <x:v>66</x:v>
      </x:c>
      <x:c r="J1726" s="117" t="str">
        <x:v>unmanaged</x:v>
      </x:c>
      <x:c r="K1726" s="123" t="b">
        <x:v>0</x:v>
      </x:c>
      <x:c r="L1726" s="117"/>
      <x:c r="M1726" s="118"/>
      <x:c r="N1726" s="120" t="n">
        <x:v>46178.12627314815</x:v>
      </x:c>
      <x:c r="O1726" s="117" t="str">
        <x:v>Delegate</x:v>
      </x:c>
      <x:c r="P1726" s="120" t="n">
        <x:v>46178.12869212963</x:v>
      </x:c>
      <x:c r="Q1726" s="117" t="str">
        <x:v>Delegate</x:v>
      </x:c>
      <x:c r="R1726" s="117" t="str">
        <x:v>MCShipment | On Update, Tracking to Loaner Roll Up</x:v>
      </x:c>
      <x:c r="S1726" s="119" t="str">
        <x:v>06/04/26 (GD) – DLRS-replacement: Tracking_to_Loaner_Record (on update, synchronous). No delimiter — tracking numbers concatenated directly with no separator (deviates from org comma standard). No CONTAINS-based dedup implemented (dedup pattern requires a comma delimiter to work safely). Known gap: if Loaner__c changes to null, old parent is not recalculated (org-wide pattern). Revisit delimiter and dedup in a future iteration.</x:v>
      </x:c>
    </x:row>
    <x:row r="1727" ht="30" customHeight="1">
      <x:c r="A1727" s="117" t="str">
        <x:v>Missing_Asset_Checkbox_Notification_on_Asset2</x:v>
      </x:c>
      <x:c r="B1727" s="117" t="str">
        <x:v>3005b000000H43JAAS</x:v>
      </x:c>
      <x:c r="C1727" s="117" t="str">
        <x:v>3015b000000ELANAA4</x:v>
      </x:c>
      <x:c r="D1727" s="118" t="n">
        <x:v>1</x:v>
      </x:c>
      <x:c r="E1727" s="117" t="str">
        <x:v>Obsolete</x:v>
      </x:c>
      <x:c r="F1727" s="117" t="str">
        <x:v>No</x:v>
      </x:c>
      <x:c r="G1727" s="117" t="str">
        <x:v>No</x:v>
      </x:c>
      <x:c r="H1727" s="117" t="str">
        <x:v>AutoLaunchedFlow</x:v>
      </x:c>
      <x:c r="I1727" s="118" t="n">
        <x:v>55</x:v>
      </x:c>
      <x:c r="J1727" s="117" t="str">
        <x:v>unmanaged</x:v>
      </x:c>
      <x:c r="K1727" s="123" t="b">
        <x:v>0</x:v>
      </x:c>
      <x:c r="L1727" s="117"/>
      <x:c r="M1727" s="118"/>
      <x:c r="N1727" s="120" t="n">
        <x:v>44776.36883101852</x:v>
      </x:c>
      <x:c r="O1727" s="117" t="str">
        <x:v>Jace Gentil</x:v>
      </x:c>
      <x:c r="P1727" s="120" t="n">
        <x:v>44776.36887731482</x:v>
      </x:c>
      <x:c r="Q1727" s="117" t="str">
        <x:v>Jace Gentil</x:v>
      </x:c>
      <x:c r="R1727" s="117" t="str">
        <x:v>Missing Asset Checkbox Notification on Asset2</x:v>
      </x:c>
      <x:c r="S1727" s="119"/>
    </x:row>
    <x:row r="1728" ht="30" customHeight="1">
      <x:c r="A1728" s="117" t="str">
        <x:v>Missing_Asset_Checkbox_Notification_on_Asset2</x:v>
      </x:c>
      <x:c r="B1728" s="117" t="str">
        <x:v>3005b000000H43JAAS</x:v>
      </x:c>
      <x:c r="C1728" s="117" t="str">
        <x:v>3015b000000ELAOAA4</x:v>
      </x:c>
      <x:c r="D1728" s="118" t="n">
        <x:v>2</x:v>
      </x:c>
      <x:c r="E1728" s="117" t="str">
        <x:v>Active</x:v>
      </x:c>
      <x:c r="F1728" s="117" t="str">
        <x:v>Yes</x:v>
      </x:c>
      <x:c r="G1728" s="117" t="str">
        <x:v>Yes</x:v>
      </x:c>
      <x:c r="H1728" s="117" t="str">
        <x:v>AutoLaunchedFlow</x:v>
      </x:c>
      <x:c r="I1728" s="118" t="n">
        <x:v>55</x:v>
      </x:c>
      <x:c r="J1728" s="117" t="str">
        <x:v>unmanaged</x:v>
      </x:c>
      <x:c r="K1728" s="123" t="b">
        <x:v>0</x:v>
      </x:c>
      <x:c r="L1728" s="117"/>
      <x:c r="M1728" s="118"/>
      <x:c r="N1728" s="120" t="n">
        <x:v>44776.370150462964</x:v>
      </x:c>
      <x:c r="O1728" s="117" t="str">
        <x:v>Jace Gentil</x:v>
      </x:c>
      <x:c r="P1728" s="120" t="n">
        <x:v>45548.62605324074</x:v>
      </x:c>
      <x:c r="Q1728" s="117" t="str">
        <x:v>Jon Kean</x:v>
      </x:c>
      <x:c r="R1728" s="117" t="str">
        <x:v>Missing Asset Checkbox Notification on Asset2</x:v>
      </x:c>
      <x:c r="S1728" s="119"/>
    </x:row>
    <x:row r="1729" ht="30" customHeight="1">
      <x:c r="A1729" s="117" t="str">
        <x:v>MIUS_Stores_Shipping_Notification</x:v>
      </x:c>
      <x:c r="B1729" s="117" t="str">
        <x:v>3005b000000H1iiAAC</x:v>
      </x:c>
      <x:c r="C1729" s="117" t="str">
        <x:v>3015b000000E9zUAAS</x:v>
      </x:c>
      <x:c r="D1729" s="118" t="n">
        <x:v>1</x:v>
      </x:c>
      <x:c r="E1729" s="117" t="str">
        <x:v>Draft</x:v>
      </x:c>
      <x:c r="F1729" s="117" t="str">
        <x:v>No</x:v>
      </x:c>
      <x:c r="G1729" s="117" t="str">
        <x:v>Yes</x:v>
      </x:c>
      <x:c r="H1729" s="117" t="str">
        <x:v>Workflow</x:v>
      </x:c>
      <x:c r="I1729" s="118" t="n">
        <x:v>52</x:v>
      </x:c>
      <x:c r="J1729" s="117" t="str">
        <x:v>unmanaged</x:v>
      </x:c>
      <x:c r="K1729" s="123" t="b">
        <x:v>0</x:v>
      </x:c>
      <x:c r="L1729" s="117"/>
      <x:c r="M1729" s="118"/>
      <x:c r="N1729" s="120" t="n">
        <x:v>44440.42865740741</x:v>
      </x:c>
      <x:c r="O1729" s="117" t="str">
        <x:v>Jace Gentil</x:v>
      </x:c>
      <x:c r="P1729" s="120" t="n">
        <x:v>44440.42866898148</x:v>
      </x:c>
      <x:c r="Q1729" s="117" t="str">
        <x:v>Jace Gentil</x:v>
      </x:c>
      <x:c r="R1729" s="117" t="str">
        <x:v>MIUS Stores Shipping Notification</x:v>
      </x:c>
      <x:c r="S1729" s="119" t="str">
        <x:v>Sends MIUS Stores and Stephen/Jordan an e-mail when equipment is shipped from the states to Gloucester/Bristol</x:v>
      </x:c>
    </x:row>
    <x:row r="1730" ht="30" customHeight="1">
      <x:c r="A1730" s="117" t="str">
        <x:v>Mobile_Create_Work_Order_From_Account</x:v>
      </x:c>
      <x:c r="B1730" s="117" t="str">
        <x:v>300Ro00000cwVggIAE</x:v>
      </x:c>
      <x:c r="C1730" s="117" t="str">
        <x:v>301Ro00000iXAs6IAG</x:v>
      </x:c>
      <x:c r="D1730" s="118" t="n">
        <x:v>1</x:v>
      </x:c>
      <x:c r="E1730" s="117" t="str">
        <x:v>Active</x:v>
      </x:c>
      <x:c r="F1730" s="117" t="str">
        <x:v>Yes</x:v>
      </x:c>
      <x:c r="G1730" s="117" t="str">
        <x:v>Yes</x:v>
      </x:c>
      <x:c r="H1730" s="117" t="str">
        <x:v>FieldServiceMobile</x:v>
      </x:c>
      <x:c r="I1730" s="118"/>
      <x:c r="J1730" s="117" t="str">
        <x:v>unmanaged</x:v>
      </x:c>
      <x:c r="K1730" s="123" t="b">
        <x:v>0</x:v>
      </x:c>
      <x:c r="L1730" s="117"/>
      <x:c r="M1730" s="118"/>
      <x:c r="N1730" s="120" t="n">
        <x:v>45884.74859953704</x:v>
      </x:c>
      <x:c r="O1730" s="117" t="str">
        <x:v>Delegate</x:v>
      </x:c>
      <x:c r="P1730" s="120" t="n">
        <x:v>45884.748611111114</x:v>
      </x:c>
      <x:c r="Q1730" s="117" t="str">
        <x:v>Delegate</x:v>
      </x:c>
      <x:c r="R1730" s="117" t="str">
        <x:v>(Mobile) Create Work Order From Account</x:v>
      </x:c>
      <x:c r="S1730" s="119"/>
    </x:row>
    <x:row r="1731" ht="30" customHeight="1">
      <x:c r="A1731" s="117" t="str">
        <x:v>Mobile_Create_Work_Order_From_Contract_Line_Item</x:v>
      </x:c>
      <x:c r="B1731" s="117" t="str">
        <x:v>300Ro00000cwVghIAE</x:v>
      </x:c>
      <x:c r="C1731" s="117" t="str">
        <x:v>301Ro00000iXAs7IAG</x:v>
      </x:c>
      <x:c r="D1731" s="118" t="n">
        <x:v>1</x:v>
      </x:c>
      <x:c r="E1731" s="117" t="str">
        <x:v>Active</x:v>
      </x:c>
      <x:c r="F1731" s="117" t="str">
        <x:v>Yes</x:v>
      </x:c>
      <x:c r="G1731" s="117" t="str">
        <x:v>Yes</x:v>
      </x:c>
      <x:c r="H1731" s="117" t="str">
        <x:v>FieldServiceMobile</x:v>
      </x:c>
      <x:c r="I1731" s="118"/>
      <x:c r="J1731" s="117" t="str">
        <x:v>unmanaged</x:v>
      </x:c>
      <x:c r="K1731" s="123" t="b">
        <x:v>0</x:v>
      </x:c>
      <x:c r="L1731" s="117"/>
      <x:c r="M1731" s="118"/>
      <x:c r="N1731" s="120" t="n">
        <x:v>45884.74863425926</x:v>
      </x:c>
      <x:c r="O1731" s="117" t="str">
        <x:v>Delegate</x:v>
      </x:c>
      <x:c r="P1731" s="120" t="n">
        <x:v>45884.74863425926</x:v>
      </x:c>
      <x:c r="Q1731" s="117" t="str">
        <x:v>Delegate</x:v>
      </x:c>
      <x:c r="R1731" s="117" t="str">
        <x:v>(Mobile) Create Work Order From Contract Line Item</x:v>
      </x:c>
      <x:c r="S1731" s="119"/>
    </x:row>
    <x:row r="1732" ht="30" customHeight="1">
      <x:c r="A1732" s="117" t="str">
        <x:v>Mobile_X_Ray_Checklist</x:v>
      </x:c>
      <x:c r="B1732" s="117" t="str">
        <x:v>300Ro00000Pz0krIAB</x:v>
      </x:c>
      <x:c r="C1732" s="117" t="str">
        <x:v>301Ro00000Sd0UrIAJ</x:v>
      </x:c>
      <x:c r="D1732" s="118" t="n">
        <x:v>1</x:v>
      </x:c>
      <x:c r="E1732" s="117" t="str">
        <x:v>Obsolete</x:v>
      </x:c>
      <x:c r="F1732" s="117" t="str">
        <x:v>No</x:v>
      </x:c>
      <x:c r="G1732" s="117" t="str">
        <x:v>No</x:v>
      </x:c>
      <x:c r="H1732" s="117" t="str">
        <x:v>FieldServiceMobile</x:v>
      </x:c>
      <x:c r="I1732" s="118"/>
      <x:c r="J1732" s="117" t="str">
        <x:v>unmanaged</x:v>
      </x:c>
      <x:c r="K1732" s="123" t="b">
        <x:v>0</x:v>
      </x:c>
      <x:c r="L1732" s="117"/>
      <x:c r="M1732" s="118"/>
      <x:c r="N1732" s="120" t="n">
        <x:v>45680.216458333336</x:v>
      </x:c>
      <x:c r="O1732" s="117" t="str">
        <x:v>Delegate</x:v>
      </x:c>
      <x:c r="P1732" s="120" t="n">
        <x:v>45680.21649305556</x:v>
      </x:c>
      <x:c r="Q1732" s="117" t="str">
        <x:v>Delegate</x:v>
      </x:c>
      <x:c r="R1732" s="117" t="str">
        <x:v>Mobile X-Ray Checklist</x:v>
      </x:c>
      <x:c r="S1732" s="119" t="str">
        <x:v>checklistoutput, fix syntax</x:v>
      </x:c>
    </x:row>
    <x:row r="1733" ht="30" customHeight="1">
      <x:c r="A1733" s="117" t="str">
        <x:v>Mobile_X_Ray_Checklist</x:v>
      </x:c>
      <x:c r="B1733" s="117" t="str">
        <x:v>300Ro00000Pz0krIAB</x:v>
      </x:c>
      <x:c r="C1733" s="117" t="str">
        <x:v>301Ro00000SpOwPIAV</x:v>
      </x:c>
      <x:c r="D1733" s="118" t="n">
        <x:v>2</x:v>
      </x:c>
      <x:c r="E1733" s="117" t="str">
        <x:v>Obsolete</x:v>
      </x:c>
      <x:c r="F1733" s="117" t="str">
        <x:v>No</x:v>
      </x:c>
      <x:c r="G1733" s="117" t="str">
        <x:v>No</x:v>
      </x:c>
      <x:c r="H1733" s="117" t="str">
        <x:v>FieldServiceMobile</x:v>
      </x:c>
      <x:c r="I1733" s="118"/>
      <x:c r="J1733" s="117" t="str">
        <x:v>unmanaged</x:v>
      </x:c>
      <x:c r="K1733" s="123" t="b">
        <x:v>0</x:v>
      </x:c>
      <x:c r="L1733" s="117"/>
      <x:c r="M1733" s="118"/>
      <x:c r="N1733" s="120" t="n">
        <x:v>45684.13611111111</x:v>
      </x:c>
      <x:c r="O1733" s="117" t="str">
        <x:v>Delegate</x:v>
      </x:c>
      <x:c r="P1733" s="120" t="n">
        <x:v>45684.13613425926</x:v>
      </x:c>
      <x:c r="Q1733" s="117" t="str">
        <x:v>Delegate</x:v>
      </x:c>
      <x:c r="R1733" s="117" t="str">
        <x:v>Mobile X-Ray Checklist</x:v>
      </x:c>
      <x:c r="S1733" s="119" t="str">
        <x:v>01/25/2025 (BW) - Version to be used for testing</x:v>
      </x:c>
    </x:row>
    <x:row r="1734" ht="30" customHeight="1">
      <x:c r="A1734" s="117" t="str">
        <x:v>Mobile_X_Ray_Checklist</x:v>
      </x:c>
      <x:c r="B1734" s="117" t="str">
        <x:v>300Ro00000Pz0krIAB</x:v>
      </x:c>
      <x:c r="C1734" s="117" t="str">
        <x:v>301Ro00000SzKszIAF</x:v>
      </x:c>
      <x:c r="D1734" s="118" t="n">
        <x:v>3</x:v>
      </x:c>
      <x:c r="E1734" s="117" t="str">
        <x:v>Obsolete</x:v>
      </x:c>
      <x:c r="F1734" s="117" t="str">
        <x:v>No</x:v>
      </x:c>
      <x:c r="G1734" s="117" t="str">
        <x:v>No</x:v>
      </x:c>
      <x:c r="H1734" s="117" t="str">
        <x:v>FieldServiceMobile</x:v>
      </x:c>
      <x:c r="I1734" s="118"/>
      <x:c r="J1734" s="117" t="str">
        <x:v>unmanaged</x:v>
      </x:c>
      <x:c r="K1734" s="123" t="b">
        <x:v>0</x:v>
      </x:c>
      <x:c r="L1734" s="117"/>
      <x:c r="M1734" s="118"/>
      <x:c r="N1734" s="120" t="n">
        <x:v>45686.494479166664</x:v>
      </x:c>
      <x:c r="O1734" s="117" t="str">
        <x:v>Delegate</x:v>
      </x:c>
      <x:c r="P1734" s="120" t="n">
        <x:v>45686.49453703704</x:v>
      </x:c>
      <x:c r="Q1734" s="117" t="str">
        <x:v>Delegate</x:v>
      </x:c>
      <x:c r="R1734" s="117" t="str">
        <x:v>Mobile X-Ray Checklist</x:v>
      </x:c>
      <x:c r="S1734" s="119" t="str">
        <x:v>01/29/2025 (BW) - Updated required fields</x:v>
      </x:c>
    </x:row>
    <x:row r="1735" ht="30" customHeight="1">
      <x:c r="A1735" s="117" t="str">
        <x:v>Mobile_X_Ray_Checklist</x:v>
      </x:c>
      <x:c r="B1735" s="117" t="str">
        <x:v>300Ro00000Pz0krIAB</x:v>
      </x:c>
      <x:c r="C1735" s="117" t="str">
        <x:v>301Ro00000TPBxJIAX</x:v>
      </x:c>
      <x:c r="D1735" s="118" t="n">
        <x:v>4</x:v>
      </x:c>
      <x:c r="E1735" s="117" t="str">
        <x:v>Obsolete</x:v>
      </x:c>
      <x:c r="F1735" s="117" t="str">
        <x:v>No</x:v>
      </x:c>
      <x:c r="G1735" s="117" t="str">
        <x:v>No</x:v>
      </x:c>
      <x:c r="H1735" s="117" t="str">
        <x:v>FieldServiceMobile</x:v>
      </x:c>
      <x:c r="I1735" s="118"/>
      <x:c r="J1735" s="117" t="str">
        <x:v>unmanaged</x:v>
      </x:c>
      <x:c r="K1735" s="123" t="b">
        <x:v>0</x:v>
      </x:c>
      <x:c r="L1735" s="117"/>
      <x:c r="M1735" s="118"/>
      <x:c r="N1735" s="120" t="n">
        <x:v>45693.58106481482</x:v>
      </x:c>
      <x:c r="O1735" s="117" t="str">
        <x:v>Delegate</x:v>
      </x:c>
      <x:c r="P1735" s="120" t="n">
        <x:v>45693.58113425926</x:v>
      </x:c>
      <x:c r="Q1735" s="117" t="str">
        <x:v>Delegate</x:v>
      </x:c>
      <x:c r="R1735" s="117" t="str">
        <x:v>Mobile X-Ray Checklist</x:v>
      </x:c>
      <x:c r="S1735" s="119" t="str">
        <x:v>01/29/2025 (BW) - Updated required fields</x:v>
      </x:c>
    </x:row>
    <x:row r="1736" ht="30" customHeight="1">
      <x:c r="A1736" s="117" t="str">
        <x:v>Mobile_X_Ray_Checklist</x:v>
      </x:c>
      <x:c r="B1736" s="117" t="str">
        <x:v>300Ro00000Pz0krIAB</x:v>
      </x:c>
      <x:c r="C1736" s="117" t="str">
        <x:v>301Ro00000TPIidIAH</x:v>
      </x:c>
      <x:c r="D1736" s="118" t="n">
        <x:v>5</x:v>
      </x:c>
      <x:c r="E1736" s="117" t="str">
        <x:v>Obsolete</x:v>
      </x:c>
      <x:c r="F1736" s="117" t="str">
        <x:v>No</x:v>
      </x:c>
      <x:c r="G1736" s="117" t="str">
        <x:v>No</x:v>
      </x:c>
      <x:c r="H1736" s="117" t="str">
        <x:v>FieldServiceMobile</x:v>
      </x:c>
      <x:c r="I1736" s="118"/>
      <x:c r="J1736" s="117" t="str">
        <x:v>unmanaged</x:v>
      </x:c>
      <x:c r="K1736" s="123" t="b">
        <x:v>0</x:v>
      </x:c>
      <x:c r="L1736" s="117"/>
      <x:c r="M1736" s="118"/>
      <x:c r="N1736" s="120" t="n">
        <x:v>45693.58277777778</x:v>
      </x:c>
      <x:c r="O1736" s="117" t="str">
        <x:v>Delegate</x:v>
      </x:c>
      <x:c r="P1736" s="120" t="n">
        <x:v>45693.58284722222</x:v>
      </x:c>
      <x:c r="Q1736" s="117" t="str">
        <x:v>Delegate</x:v>
      </x:c>
      <x:c r="R1736" s="117" t="str">
        <x:v>Mobile X-Ray Checklist</x:v>
      </x:c>
      <x:c r="S1736" s="119" t="str">
        <x:v>01/29/2025 (BW) - Updated required fields</x:v>
      </x:c>
    </x:row>
    <x:row r="1737" ht="30" customHeight="1">
      <x:c r="A1737" s="117" t="str">
        <x:v>Mobile_X_Ray_Checklist</x:v>
      </x:c>
      <x:c r="B1737" s="117" t="str">
        <x:v>300Ro00000Pz0krIAB</x:v>
      </x:c>
      <x:c r="C1737" s="117" t="str">
        <x:v>301Ro00000TPYp9IAH</x:v>
      </x:c>
      <x:c r="D1737" s="118" t="n">
        <x:v>6</x:v>
      </x:c>
      <x:c r="E1737" s="117" t="str">
        <x:v>Obsolete</x:v>
      </x:c>
      <x:c r="F1737" s="117" t="str">
        <x:v>No</x:v>
      </x:c>
      <x:c r="G1737" s="117" t="str">
        <x:v>No</x:v>
      </x:c>
      <x:c r="H1737" s="117" t="str">
        <x:v>FieldServiceMobile</x:v>
      </x:c>
      <x:c r="I1737" s="118"/>
      <x:c r="J1737" s="117" t="str">
        <x:v>unmanaged</x:v>
      </x:c>
      <x:c r="K1737" s="123" t="b">
        <x:v>0</x:v>
      </x:c>
      <x:c r="L1737" s="117"/>
      <x:c r="M1737" s="118"/>
      <x:c r="N1737" s="120" t="n">
        <x:v>45693.668344907404</x:v>
      </x:c>
      <x:c r="O1737" s="117" t="str">
        <x:v>Delegate</x:v>
      </x:c>
      <x:c r="P1737" s="120" t="n">
        <x:v>45693.66855324074</x:v>
      </x:c>
      <x:c r="Q1737" s="117" t="str">
        <x:v>Delegate</x:v>
      </x:c>
      <x:c r="R1737" s="117" t="str">
        <x:v>Mobile X-Ray Checklist</x:v>
      </x:c>
      <x:c r="S1737" s="119" t="str">
        <x:v>01/29/2025 (BW) - Updated required fields</x:v>
      </x:c>
    </x:row>
    <x:row r="1738" ht="30" customHeight="1">
      <x:c r="A1738" s="117" t="str">
        <x:v>Mobile_X_Ray_Checklist</x:v>
      </x:c>
      <x:c r="B1738" s="117" t="str">
        <x:v>300Ro00000Pz0krIAB</x:v>
      </x:c>
      <x:c r="C1738" s="117" t="str">
        <x:v>301Ro00000VuJXmIAN</x:v>
      </x:c>
      <x:c r="D1738" s="118" t="n">
        <x:v>7</x:v>
      </x:c>
      <x:c r="E1738" s="117" t="str">
        <x:v>Obsolete</x:v>
      </x:c>
      <x:c r="F1738" s="117" t="str">
        <x:v>No</x:v>
      </x:c>
      <x:c r="G1738" s="117" t="str">
        <x:v>No</x:v>
      </x:c>
      <x:c r="H1738" s="117" t="str">
        <x:v>FieldServiceMobile</x:v>
      </x:c>
      <x:c r="I1738" s="118"/>
      <x:c r="J1738" s="117" t="str">
        <x:v>unmanaged</x:v>
      </x:c>
      <x:c r="K1738" s="123" t="b">
        <x:v>0</x:v>
      </x:c>
      <x:c r="L1738" s="117"/>
      <x:c r="M1738" s="118"/>
      <x:c r="N1738" s="120" t="n">
        <x:v>45735.499606481484</x:v>
      </x:c>
      <x:c r="O1738" s="117" t="str">
        <x:v>Delegate</x:v>
      </x:c>
      <x:c r="P1738" s="120" t="n">
        <x:v>45735.4996875</x:v>
      </x:c>
      <x:c r="Q1738" s="117" t="str">
        <x:v>Delegate</x:v>
      </x:c>
      <x:c r="R1738" s="117" t="str">
        <x:v>Mobile X-Ray Checklist</x:v>
      </x:c>
      <x:c r="S1738" s="119" t="str">
        <x:v>03/19/2025 (BW) - Removing AEC fields and C-Arm movements and angulations</x:v>
      </x:c>
    </x:row>
    <x:row r="1739" ht="30" customHeight="1">
      <x:c r="A1739" s="117" t="str">
        <x:v>Mobile_X_Ray_Checklist</x:v>
      </x:c>
      <x:c r="B1739" s="117" t="str">
        <x:v>300Ro00000Pz0krIAB</x:v>
      </x:c>
      <x:c r="C1739" s="117" t="str">
        <x:v>301Ro00000W1abrIAB</x:v>
      </x:c>
      <x:c r="D1739" s="118" t="n">
        <x:v>8</x:v>
      </x:c>
      <x:c r="E1739" s="117" t="str">
        <x:v>Obsolete</x:v>
      </x:c>
      <x:c r="F1739" s="117" t="str">
        <x:v>No</x:v>
      </x:c>
      <x:c r="G1739" s="117" t="str">
        <x:v>No</x:v>
      </x:c>
      <x:c r="H1739" s="117" t="str">
        <x:v>FieldServiceMobile</x:v>
      </x:c>
      <x:c r="I1739" s="118"/>
      <x:c r="J1739" s="117" t="str">
        <x:v>unmanaged</x:v>
      </x:c>
      <x:c r="K1739" s="123" t="b">
        <x:v>0</x:v>
      </x:c>
      <x:c r="L1739" s="117"/>
      <x:c r="M1739" s="118"/>
      <x:c r="N1739" s="120" t="n">
        <x:v>45737.06905092593</x:v>
      </x:c>
      <x:c r="O1739" s="117" t="str">
        <x:v>Delegate</x:v>
      </x:c>
      <x:c r="P1739" s="120" t="n">
        <x:v>45737.06912037037</x:v>
      </x:c>
      <x:c r="Q1739" s="117" t="str">
        <x:v>Delegate</x:v>
      </x:c>
      <x:c r="R1739" s="117" t="str">
        <x:v>Mobile X-Ray Checklist</x:v>
      </x:c>
      <x:c r="S1739" s="119" t="str">
        <x:v>03/20/2025 (BW) - Modifying this method to follow the new progressive update process</x:v>
      </x:c>
    </x:row>
    <x:row r="1740" ht="30" customHeight="1">
      <x:c r="A1740" s="117" t="str">
        <x:v>Mobile_X_Ray_Checklist</x:v>
      </x:c>
      <x:c r="B1740" s="117" t="str">
        <x:v>300Ro00000Pz0krIAB</x:v>
      </x:c>
      <x:c r="C1740" s="117" t="str">
        <x:v>301Ro00000WcaksIAB</x:v>
      </x:c>
      <x:c r="D1740" s="118" t="n">
        <x:v>9</x:v>
      </x:c>
      <x:c r="E1740" s="117" t="str">
        <x:v>Obsolete</x:v>
      </x:c>
      <x:c r="F1740" s="117" t="str">
        <x:v>No</x:v>
      </x:c>
      <x:c r="G1740" s="117" t="str">
        <x:v>No</x:v>
      </x:c>
      <x:c r="H1740" s="117" t="str">
        <x:v>FieldServiceMobile</x:v>
      </x:c>
      <x:c r="I1740" s="118"/>
      <x:c r="J1740" s="117" t="str">
        <x:v>unmanaged</x:v>
      </x:c>
      <x:c r="K1740" s="123" t="b">
        <x:v>0</x:v>
      </x:c>
      <x:c r="L1740" s="117"/>
      <x:c r="M1740" s="118"/>
      <x:c r="N1740" s="120" t="n">
        <x:v>45748.489907407406</x:v>
      </x:c>
      <x:c r="O1740" s="117" t="str">
        <x:v>Delegate</x:v>
      </x:c>
      <x:c r="P1740" s="120" t="n">
        <x:v>45748.49072916667</x:v>
      </x:c>
      <x:c r="Q1740" s="117" t="str">
        <x:v>Delegate</x:v>
      </x:c>
      <x:c r="R1740" s="117" t="str">
        <x:v>Mobile X-Ray Checklist</x:v>
      </x:c>
      <x:c r="S1740" s="119" t="str">
        <x:v>03/25/2025 (BW) - Updating the process to follow the new method of progressive updates and historical population of fields</x:v>
      </x:c>
    </x:row>
    <x:row r="1741" ht="30" customHeight="1">
      <x:c r="A1741" s="117" t="str">
        <x:v>Mobile_X_Ray_Checklist</x:v>
      </x:c>
      <x:c r="B1741" s="117" t="str">
        <x:v>300Ro00000Pz0krIAB</x:v>
      </x:c>
      <x:c r="C1741" s="117" t="str">
        <x:v>301Ro00000XvjS6IAJ</x:v>
      </x:c>
      <x:c r="D1741" s="118" t="n">
        <x:v>10</x:v>
      </x:c>
      <x:c r="E1741" s="117" t="str">
        <x:v>Draft</x:v>
      </x:c>
      <x:c r="F1741" s="117" t="str">
        <x:v>No</x:v>
      </x:c>
      <x:c r="G1741" s="117" t="str">
        <x:v>No</x:v>
      </x:c>
      <x:c r="H1741" s="117" t="str">
        <x:v>FieldServiceMobile</x:v>
      </x:c>
      <x:c r="I1741" s="118"/>
      <x:c r="J1741" s="117" t="str">
        <x:v>unmanaged</x:v>
      </x:c>
      <x:c r="K1741" s="123" t="b">
        <x:v>0</x:v>
      </x:c>
      <x:c r="L1741" s="117"/>
      <x:c r="M1741" s="118"/>
      <x:c r="N1741" s="120" t="n">
        <x:v>45771.55043981481</x:v>
      </x:c>
      <x:c r="O1741" s="117" t="str">
        <x:v>Delegate</x:v>
      </x:c>
      <x:c r="P1741" s="120" t="n">
        <x:v>45771.550474537034</x:v>
      </x:c>
      <x:c r="Q1741" s="117" t="str">
        <x:v>Delegate</x:v>
      </x:c>
      <x:c r="R1741" s="117" t="str">
        <x:v>Mobile X-Ray Checklist</x:v>
      </x:c>
      <x:c r="S1741" s="119" t="str">
        <x:v>04/24/2025 (BW) - Updated FF and BF to be written as Fine Focus and Broad Focus for the checksheets and technicians</x:v>
      </x:c>
    </x:row>
    <x:row r="1742" ht="30" customHeight="1">
      <x:c r="A1742" s="117" t="str">
        <x:v>Mobile_X_Ray_Checklist</x:v>
      </x:c>
      <x:c r="B1742" s="117" t="str">
        <x:v>300Ro00000Pz0krIAB</x:v>
      </x:c>
      <x:c r="C1742" s="117" t="str">
        <x:v>301Ro00000wpUymIAE</x:v>
      </x:c>
      <x:c r="D1742" s="118" t="n">
        <x:v>11</x:v>
      </x:c>
      <x:c r="E1742" s="117" t="str">
        <x:v>Obsolete</x:v>
      </x:c>
      <x:c r="F1742" s="117" t="str">
        <x:v>No</x:v>
      </x:c>
      <x:c r="G1742" s="117" t="str">
        <x:v>No</x:v>
      </x:c>
      <x:c r="H1742" s="117" t="str">
        <x:v>FieldServiceMobile</x:v>
      </x:c>
      <x:c r="I1742" s="118"/>
      <x:c r="J1742" s="117" t="str">
        <x:v>unmanaged</x:v>
      </x:c>
      <x:c r="K1742" s="123" t="b">
        <x:v>0</x:v>
      </x:c>
      <x:c r="L1742" s="117"/>
      <x:c r="M1742" s="118"/>
      <x:c r="N1742" s="120" t="n">
        <x:v>46050.574479166666</x:v>
      </x:c>
      <x:c r="O1742" s="117" t="str">
        <x:v>Sacha Pearce</x:v>
      </x:c>
      <x:c r="P1742" s="120" t="n">
        <x:v>46051.46430555556</x:v>
      </x:c>
      <x:c r="Q1742" s="117" t="str">
        <x:v>Sacha Pearce</x:v>
      </x:c>
      <x:c r="R1742" s="117" t="str">
        <x:v>Mobile X-Ray Checklist</x:v>
      </x:c>
      <x:c r="S1742" s="119" t="str">
        <x:v>03/25/2025 (BW) - Updating the process to follow the new method of progressive updates and historical population of fields
25/01/2025 - V10 - SP - Updaing to match new FSL standards</x:v>
      </x:c>
    </x:row>
    <x:row r="1743" ht="30" customHeight="1">
      <x:c r="A1743" s="117" t="str">
        <x:v>Mobile_X_Ray_Checklist</x:v>
      </x:c>
      <x:c r="B1743" s="117" t="str">
        <x:v>300Ro00000Pz0krIAB</x:v>
      </x:c>
      <x:c r="C1743" s="117" t="str">
        <x:v>301Ro00000yhMPLIA2</x:v>
      </x:c>
      <x:c r="D1743" s="118" t="n">
        <x:v>12</x:v>
      </x:c>
      <x:c r="E1743" s="117" t="str">
        <x:v>Active</x:v>
      </x:c>
      <x:c r="F1743" s="117" t="str">
        <x:v>Yes</x:v>
      </x:c>
      <x:c r="G1743" s="117" t="str">
        <x:v>Yes</x:v>
      </x:c>
      <x:c r="H1743" s="117" t="str">
        <x:v>FieldServiceMobile</x:v>
      </x:c>
      <x:c r="I1743" s="118"/>
      <x:c r="J1743" s="117" t="str">
        <x:v>unmanaged</x:v>
      </x:c>
      <x:c r="K1743" s="123" t="b">
        <x:v>0</x:v>
      </x:c>
      <x:c r="L1743" s="117"/>
      <x:c r="M1743" s="118"/>
      <x:c r="N1743" s="120" t="n">
        <x:v>46072.469293981485</x:v>
      </x:c>
      <x:c r="O1743" s="117" t="str">
        <x:v>Sacha Pearce</x:v>
      </x:c>
      <x:c r="P1743" s="120" t="n">
        <x:v>46072.469375</x:v>
      </x:c>
      <x:c r="Q1743" s="117" t="str">
        <x:v>Sacha Pearce</x:v>
      </x:c>
      <x:c r="R1743" s="117" t="str">
        <x:v>Mobile X-Ray Checklist</x:v>
      </x:c>
      <x:c r="S1743" s="119" t="str">
        <x:v>03/25/2025 (BW) - Updating the process to follow the new method of progressive updates and historical population of fields
25/01/2025 - V10 - SP - Updaing to match new FSL standards</x:v>
      </x:c>
    </x:row>
    <x:row r="1744" ht="30" customHeight="1">
      <x:c r="A1744" s="117" t="str">
        <x:v>MP_Test</x:v>
      </x:c>
      <x:c r="B1744" s="117" t="str">
        <x:v>300Ro00000RkPiDIAV</x:v>
      </x:c>
      <x:c r="C1744" s="117" t="str">
        <x:v>301Ro00000UcSutIAF</x:v>
      </x:c>
      <x:c r="D1744" s="118" t="n">
        <x:v>1</x:v>
      </x:c>
      <x:c r="E1744" s="117" t="str">
        <x:v>Obsolete</x:v>
      </x:c>
      <x:c r="F1744" s="117" t="str">
        <x:v>No</x:v>
      </x:c>
      <x:c r="G1744" s="117" t="str">
        <x:v>No</x:v>
      </x:c>
      <x:c r="H1744" s="117" t="str">
        <x:v>AutoLaunchedFlow</x:v>
      </x:c>
      <x:c r="I1744" s="118" t="n">
        <x:v>62</x:v>
      </x:c>
      <x:c r="J1744" s="117" t="str">
        <x:v>unmanaged</x:v>
      </x:c>
      <x:c r="K1744" s="123" t="b">
        <x:v>0</x:v>
      </x:c>
      <x:c r="L1744" s="117"/>
      <x:c r="M1744" s="118"/>
      <x:c r="N1744" s="120" t="n">
        <x:v>45713.09306712963</x:v>
      </x:c>
      <x:c r="O1744" s="117" t="str">
        <x:v>Delegate</x:v>
      </x:c>
      <x:c r="P1744" s="120" t="n">
        <x:v>45713.66255787037</x:v>
      </x:c>
      <x:c r="Q1744" s="117" t="str">
        <x:v>Delegate</x:v>
      </x:c>
      <x:c r="R1744" s="117" t="str">
        <x:v>MP Test</x:v>
      </x:c>
      <x:c r="S1744" s="119"/>
    </x:row>
    <x:row r="1745" ht="30" customHeight="1">
      <x:c r="A1745" s="117" t="str">
        <x:v>MP_Test</x:v>
      </x:c>
      <x:c r="B1745" s="117" t="str">
        <x:v>300Ro00000RkPiDIAV</x:v>
      </x:c>
      <x:c r="C1745" s="117" t="str">
        <x:v>301Ro00000YkzxpIAB</x:v>
      </x:c>
      <x:c r="D1745" s="118" t="n">
        <x:v>2</x:v>
      </x:c>
      <x:c r="E1745" s="117" t="str">
        <x:v>Draft</x:v>
      </x:c>
      <x:c r="F1745" s="117" t="str">
        <x:v>No</x:v>
      </x:c>
      <x:c r="G1745" s="117" t="str">
        <x:v>No</x:v>
      </x:c>
      <x:c r="H1745" s="117" t="str">
        <x:v>AutoLaunchedFlow</x:v>
      </x:c>
      <x:c r="I1745" s="118" t="n">
        <x:v>62</x:v>
      </x:c>
      <x:c r="J1745" s="117" t="str">
        <x:v>unmanaged</x:v>
      </x:c>
      <x:c r="K1745" s="123" t="b">
        <x:v>0</x:v>
      </x:c>
      <x:c r="L1745" s="117"/>
      <x:c r="M1745" s="118"/>
      <x:c r="N1745" s="120" t="n">
        <x:v>45785.56806712963</x:v>
      </x:c>
      <x:c r="O1745" s="117" t="str">
        <x:v>Sacha Pearce</x:v>
      </x:c>
      <x:c r="P1745" s="120" t="n">
        <x:v>45785.568090277775</x:v>
      </x:c>
      <x:c r="Q1745" s="117" t="str">
        <x:v>Sacha Pearce</x:v>
      </x:c>
      <x:c r="R1745" s="117" t="str">
        <x:v>Interco Request Flow</x:v>
      </x:c>
      <x:c r="S1745" s="119"/>
    </x:row>
    <x:row r="1746" ht="30" customHeight="1">
      <x:c r="A1746" s="117" t="str">
        <x:v>MP_Test</x:v>
      </x:c>
      <x:c r="B1746" s="117" t="str">
        <x:v>300Ro00000RkPiDIAV</x:v>
      </x:c>
      <x:c r="C1746" s="117" t="str">
        <x:v>301Ro00000Z3LVBIA3</x:v>
      </x:c>
      <x:c r="D1746" s="118" t="n">
        <x:v>3</x:v>
      </x:c>
      <x:c r="E1746" s="117" t="str">
        <x:v>Draft</x:v>
      </x:c>
      <x:c r="F1746" s="117" t="str">
        <x:v>No</x:v>
      </x:c>
      <x:c r="G1746" s="117" t="str">
        <x:v>No</x:v>
      </x:c>
      <x:c r="H1746" s="117" t="str">
        <x:v>AutoLaunchedFlow</x:v>
      </x:c>
      <x:c r="I1746" s="118" t="n">
        <x:v>62</x:v>
      </x:c>
      <x:c r="J1746" s="117" t="str">
        <x:v>unmanaged</x:v>
      </x:c>
      <x:c r="K1746" s="123" t="b">
        <x:v>0</x:v>
      </x:c>
      <x:c r="L1746" s="117"/>
      <x:c r="M1746" s="118"/>
      <x:c r="N1746" s="120" t="n">
        <x:v>45790.845138888886</x:v>
      </x:c>
      <x:c r="O1746" s="117" t="str">
        <x:v>Sacha Pearce</x:v>
      </x:c>
      <x:c r="P1746" s="120" t="n">
        <x:v>45790.84517361111</x:v>
      </x:c>
      <x:c r="Q1746" s="117" t="str">
        <x:v>Sacha Pearce</x:v>
      </x:c>
      <x:c r="R1746" s="117" t="str">
        <x:v>Interco Request</x:v>
      </x:c>
      <x:c r="S1746" s="119" t="str">
        <x:v>11/05/2025 - Changed Currency to Asset Requested &gt; Ownership</x:v>
      </x:c>
    </x:row>
    <x:row r="1747" ht="30" customHeight="1">
      <x:c r="A1747" s="117" t="str">
        <x:v>MP_Test</x:v>
      </x:c>
      <x:c r="B1747" s="117" t="str">
        <x:v>300Ro00000RkPiDIAV</x:v>
      </x:c>
      <x:c r="C1747" s="117" t="str">
        <x:v>301Ro00000Z38OMIAZ</x:v>
      </x:c>
      <x:c r="D1747" s="118" t="n">
        <x:v>4</x:v>
      </x:c>
      <x:c r="E1747" s="117" t="str">
        <x:v>Obsolete</x:v>
      </x:c>
      <x:c r="F1747" s="117" t="str">
        <x:v>No</x:v>
      </x:c>
      <x:c r="G1747" s="117" t="str">
        <x:v>No</x:v>
      </x:c>
      <x:c r="H1747" s="117" t="str">
        <x:v>AutoLaunchedFlow</x:v>
      </x:c>
      <x:c r="I1747" s="118" t="n">
        <x:v>62</x:v>
      </x:c>
      <x:c r="J1747" s="117" t="str">
        <x:v>unmanaged</x:v>
      </x:c>
      <x:c r="K1747" s="123" t="b">
        <x:v>0</x:v>
      </x:c>
      <x:c r="L1747" s="117"/>
      <x:c r="M1747" s="118"/>
      <x:c r="N1747" s="120" t="n">
        <x:v>45790.85</x:v>
      </x:c>
      <x:c r="O1747" s="117" t="str">
        <x:v>Sacha Pearce</x:v>
      </x:c>
      <x:c r="P1747" s="120" t="n">
        <x:v>45790.85430555556</x:v>
      </x:c>
      <x:c r="Q1747" s="117" t="str">
        <x:v>Sacha Pearce</x:v>
      </x:c>
      <x:c r="R1747" s="117" t="str">
        <x:v>Interco Request</x:v>
      </x:c>
      <x:c r="S1747" s="119" t="str">
        <x:v>11/05/2025 - Changed Currency to Asset Requested &gt; Ownership
13/05/2025 - Delayed Create Purchase Product by 1 minute</x:v>
      </x:c>
    </x:row>
    <x:row r="1748" ht="30" customHeight="1">
      <x:c r="A1748" s="117" t="str">
        <x:v>MP_Test</x:v>
      </x:c>
      <x:c r="B1748" s="117" t="str">
        <x:v>300Ro00000RkPiDIAV</x:v>
      </x:c>
      <x:c r="C1748" s="117" t="str">
        <x:v>301Ro00000Z59UlIAJ</x:v>
      </x:c>
      <x:c r="D1748" s="118" t="n">
        <x:v>5</x:v>
      </x:c>
      <x:c r="E1748" s="117" t="str">
        <x:v>Draft</x:v>
      </x:c>
      <x:c r="F1748" s="117" t="str">
        <x:v>No</x:v>
      </x:c>
      <x:c r="G1748" s="117" t="str">
        <x:v>No</x:v>
      </x:c>
      <x:c r="H1748" s="117" t="str">
        <x:v>AutoLaunchedFlow</x:v>
      </x:c>
      <x:c r="I1748" s="118" t="n">
        <x:v>62</x:v>
      </x:c>
      <x:c r="J1748" s="117" t="str">
        <x:v>unmanaged</x:v>
      </x:c>
      <x:c r="K1748" s="123" t="b">
        <x:v>0</x:v>
      </x:c>
      <x:c r="L1748" s="117"/>
      <x:c r="M1748" s="118"/>
      <x:c r="N1748" s="120" t="n">
        <x:v>45791.41533564815</x:v>
      </x:c>
      <x:c r="O1748" s="117" t="str">
        <x:v>Sacha Pearce</x:v>
      </x:c>
      <x:c r="P1748" s="120" t="n">
        <x:v>45791.415358796294</x:v>
      </x:c>
      <x:c r="Q1748" s="117" t="str">
        <x:v>Sacha Pearce</x:v>
      </x:c>
      <x:c r="R1748" s="117" t="str">
        <x:v>Interco Request</x:v>
      </x:c>
      <x:c r="S1748" s="119" t="str">
        <x:v>11/05/2025 - Changed Currency to Asset Requested &gt; Ownership
13/05/2025 - Delayed Create Purchase Product by 1 minute</x:v>
      </x:c>
    </x:row>
    <x:row r="1749" ht="30" customHeight="1">
      <x:c r="A1749" s="117" t="str">
        <x:v>MP_Test</x:v>
      </x:c>
      <x:c r="B1749" s="117" t="str">
        <x:v>300Ro00000RkPiDIAV</x:v>
      </x:c>
      <x:c r="C1749" s="117" t="str">
        <x:v>301Ro00000m3jwLIAQ</x:v>
      </x:c>
      <x:c r="D1749" s="118" t="n">
        <x:v>6</x:v>
      </x:c>
      <x:c r="E1749" s="117" t="str">
        <x:v>Draft</x:v>
      </x:c>
      <x:c r="F1749" s="117" t="str">
        <x:v>No</x:v>
      </x:c>
      <x:c r="G1749" s="117" t="str">
        <x:v>No</x:v>
      </x:c>
      <x:c r="H1749" s="117" t="str">
        <x:v>AutoLaunchedFlow</x:v>
      </x:c>
      <x:c r="I1749" s="118" t="n">
        <x:v>62</x:v>
      </x:c>
      <x:c r="J1749" s="117" t="str">
        <x:v>unmanaged</x:v>
      </x:c>
      <x:c r="K1749" s="123" t="b">
        <x:v>0</x:v>
      </x:c>
      <x:c r="L1749" s="117"/>
      <x:c r="M1749" s="118"/>
      <x:c r="N1749" s="120" t="n">
        <x:v>45914.887037037035</x:v>
      </x:c>
      <x:c r="O1749" s="117" t="str">
        <x:v>Sacha Pearce</x:v>
      </x:c>
      <x:c r="P1749" s="120" t="n">
        <x:v>45914.88707175926</x:v>
      </x:c>
      <x:c r="Q1749" s="117" t="str">
        <x:v>Sacha Pearce</x:v>
      </x:c>
      <x:c r="R1749" s="117" t="str">
        <x:v>Intercompany Transation</x:v>
      </x:c>
      <x:c r="S1749" s="119" t="str">
        <x:v>V12 - Includes the Intercompany Transaction = True and Variables for Asset creation.
V13 - Updating for all varFinalAsset Assignments
V14 - Reducing number of fields for Assignments
V25- Added formulaInternalSalesOpportunityRecordId</x:v>
      </x:c>
    </x:row>
    <x:row r="1750" ht="30" customHeight="1">
      <x:c r="A1750" s="117" t="str">
        <x:v>MP_Test</x:v>
      </x:c>
      <x:c r="B1750" s="117" t="str">
        <x:v>300Ro00000RkPiDIAV</x:v>
      </x:c>
      <x:c r="C1750" s="117" t="str">
        <x:v>301Ro00000q1g0uIAA</x:v>
      </x:c>
      <x:c r="D1750" s="118" t="n">
        <x:v>7</x:v>
      </x:c>
      <x:c r="E1750" s="117" t="str">
        <x:v>Obsolete</x:v>
      </x:c>
      <x:c r="F1750" s="117" t="str">
        <x:v>No</x:v>
      </x:c>
      <x:c r="G1750" s="117" t="str">
        <x:v>Yes</x:v>
      </x:c>
      <x:c r="H1750" s="117" t="str">
        <x:v>AutoLaunchedFlow</x:v>
      </x:c>
      <x:c r="I1750" s="118" t="n">
        <x:v>62</x:v>
      </x:c>
      <x:c r="J1750" s="117" t="str">
        <x:v>unmanaged</x:v>
      </x:c>
      <x:c r="K1750" s="123" t="b">
        <x:v>0</x:v>
      </x:c>
      <x:c r="L1750" s="117"/>
      <x:c r="M1750" s="118"/>
      <x:c r="N1750" s="120" t="n">
        <x:v>45952.80322916667</x:v>
      </x:c>
      <x:c r="O1750" s="117" t="str">
        <x:v>Sacha Pearce</x:v>
      </x:c>
      <x:c r="P1750" s="120" t="n">
        <x:v>46075.5258912037</x:v>
      </x:c>
      <x:c r="Q1750" s="117" t="str">
        <x:v>Sacha Pearce</x:v>
      </x:c>
      <x:c r="R1750" s="117" t="str">
        <x:v>Intercompany Transaction</x:v>
      </x:c>
      <x:c r="S1750" s="119" t="str">
        <x:v>V12 - Includes the Intercompany Transaction = True and Variables for Asset creation.
V13 - Updating for all varFinalAsset Assignments
V14 - Reducing number of fields for Assignments
V25- Added formulaInternalSalesOpportunityRecordId
V15 - Amending Accounts to be based off "Transfer To" and "Ship To" fields</x:v>
      </x:c>
    </x:row>
    <x:row r="1751" ht="30" customHeight="1">
      <x:c r="A1751" s="117" t="str">
        <x:v>MRI_Checklist</x:v>
      </x:c>
      <x:c r="B1751" s="117" t="str">
        <x:v>300Ro00000Pz0kpIAB</x:v>
      </x:c>
      <x:c r="C1751" s="117" t="str">
        <x:v>301Ro00000Sd0UpIAJ</x:v>
      </x:c>
      <x:c r="D1751" s="118" t="n">
        <x:v>1</x:v>
      </x:c>
      <x:c r="E1751" s="117" t="str">
        <x:v>Obsolete</x:v>
      </x:c>
      <x:c r="F1751" s="117" t="str">
        <x:v>No</x:v>
      </x:c>
      <x:c r="G1751" s="117" t="str">
        <x:v>No</x:v>
      </x:c>
      <x:c r="H1751" s="117" t="str">
        <x:v>FieldServiceMobile</x:v>
      </x:c>
      <x:c r="I1751" s="118"/>
      <x:c r="J1751" s="117" t="str">
        <x:v>unmanaged</x:v>
      </x:c>
      <x:c r="K1751" s="123" t="b">
        <x:v>0</x:v>
      </x:c>
      <x:c r="L1751" s="117"/>
      <x:c r="M1751" s="118"/>
      <x:c r="N1751" s="120" t="n">
        <x:v>45680.21628472222</x:v>
      </x:c>
      <x:c r="O1751" s="117" t="str">
        <x:v>Delegate</x:v>
      </x:c>
      <x:c r="P1751" s="120" t="n">
        <x:v>45680.216319444444</x:v>
      </x:c>
      <x:c r="Q1751" s="117" t="str">
        <x:v>Delegate</x:v>
      </x:c>
      <x:c r="R1751" s="117" t="str">
        <x:v>MRI Checklist</x:v>
      </x:c>
      <x:c r="S1751" s="119" t="str">
        <x:v>checklistoutput blank string variable</x:v>
      </x:c>
    </x:row>
    <x:row r="1752" ht="30" customHeight="1">
      <x:c r="A1752" s="117" t="str">
        <x:v>MRI_Checklist</x:v>
      </x:c>
      <x:c r="B1752" s="117" t="str">
        <x:v>300Ro00000Pz0kpIAB</x:v>
      </x:c>
      <x:c r="C1752" s="117" t="str">
        <x:v>301Ro00000SpOwNIAV</x:v>
      </x:c>
      <x:c r="D1752" s="118" t="n">
        <x:v>2</x:v>
      </x:c>
      <x:c r="E1752" s="117" t="str">
        <x:v>Obsolete</x:v>
      </x:c>
      <x:c r="F1752" s="117" t="str">
        <x:v>No</x:v>
      </x:c>
      <x:c r="G1752" s="117" t="str">
        <x:v>No</x:v>
      </x:c>
      <x:c r="H1752" s="117" t="str">
        <x:v>FieldServiceMobile</x:v>
      </x:c>
      <x:c r="I1752" s="118"/>
      <x:c r="J1752" s="117" t="str">
        <x:v>unmanaged</x:v>
      </x:c>
      <x:c r="K1752" s="123" t="b">
        <x:v>0</x:v>
      </x:c>
      <x:c r="L1752" s="117"/>
      <x:c r="M1752" s="118"/>
      <x:c r="N1752" s="120" t="n">
        <x:v>45684.13599537037</x:v>
      </x:c>
      <x:c r="O1752" s="117" t="str">
        <x:v>Delegate</x:v>
      </x:c>
      <x:c r="P1752" s="120" t="n">
        <x:v>45684.13600694444</x:v>
      </x:c>
      <x:c r="Q1752" s="117" t="str">
        <x:v>Delegate</x:v>
      </x:c>
      <x:c r="R1752" s="117" t="str">
        <x:v>MRI Checklist</x:v>
      </x:c>
      <x:c r="S1752" s="119" t="str">
        <x:v>01/25/2025 (BW) - Final Version</x:v>
      </x:c>
    </x:row>
    <x:row r="1753" ht="30" customHeight="1">
      <x:c r="A1753" s="117" t="str">
        <x:v>MRI_Checklist</x:v>
      </x:c>
      <x:c r="B1753" s="117" t="str">
        <x:v>300Ro00000Pz0kpIAB</x:v>
      </x:c>
      <x:c r="C1753" s="117" t="str">
        <x:v>301Ro00000SzOZzIAN</x:v>
      </x:c>
      <x:c r="D1753" s="118" t="n">
        <x:v>3</x:v>
      </x:c>
      <x:c r="E1753" s="117" t="str">
        <x:v>Active</x:v>
      </x:c>
      <x:c r="F1753" s="117" t="str">
        <x:v>Yes</x:v>
      </x:c>
      <x:c r="G1753" s="117" t="str">
        <x:v>No</x:v>
      </x:c>
      <x:c r="H1753" s="117" t="str">
        <x:v>FieldServiceMobile</x:v>
      </x:c>
      <x:c r="I1753" s="118"/>
      <x:c r="J1753" s="117" t="str">
        <x:v>unmanaged</x:v>
      </x:c>
      <x:c r="K1753" s="123" t="b">
        <x:v>0</x:v>
      </x:c>
      <x:c r="L1753" s="117"/>
      <x:c r="M1753" s="118"/>
      <x:c r="N1753" s="120" t="n">
        <x:v>45686.501655092594</x:v>
      </x:c>
      <x:c r="O1753" s="117" t="str">
        <x:v>Delegate</x:v>
      </x:c>
      <x:c r="P1753" s="120" t="n">
        <x:v>45686.50171296296</x:v>
      </x:c>
      <x:c r="Q1753" s="117" t="str">
        <x:v>Delegate</x:v>
      </x:c>
      <x:c r="R1753" s="117" t="str">
        <x:v>MRI Checklist</x:v>
      </x:c>
      <x:c r="S1753" s="119" t="str">
        <x:v>01/29/2025 (BW) - Updated required fields</x:v>
      </x:c>
    </x:row>
    <x:row r="1754" ht="30" customHeight="1">
      <x:c r="A1754" s="117" t="str">
        <x:v>MRI_Checklist</x:v>
      </x:c>
      <x:c r="B1754" s="117" t="str">
        <x:v>300Ro00000Pz0kpIAB</x:v>
      </x:c>
      <x:c r="C1754" s="117" t="str">
        <x:v>301Ro00000Wq7JIIAZ</x:v>
      </x:c>
      <x:c r="D1754" s="118" t="n">
        <x:v>4</x:v>
      </x:c>
      <x:c r="E1754" s="117" t="str">
        <x:v>Draft</x:v>
      </x:c>
      <x:c r="F1754" s="117" t="str">
        <x:v>No</x:v>
      </x:c>
      <x:c r="G1754" s="117" t="str">
        <x:v>No</x:v>
      </x:c>
      <x:c r="H1754" s="117" t="str">
        <x:v>FieldServiceMobile</x:v>
      </x:c>
      <x:c r="I1754" s="118"/>
      <x:c r="J1754" s="117" t="str">
        <x:v>unmanaged</x:v>
      </x:c>
      <x:c r="K1754" s="123" t="b">
        <x:v>0</x:v>
      </x:c>
      <x:c r="L1754" s="117"/>
      <x:c r="M1754" s="118"/>
      <x:c r="N1754" s="120" t="n">
        <x:v>45751.63018518518</x:v>
      </x:c>
      <x:c r="O1754" s="117" t="str">
        <x:v>Delegate</x:v>
      </x:c>
      <x:c r="P1754" s="120" t="n">
        <x:v>45751.63025462963</x:v>
      </x:c>
      <x:c r="Q1754" s="117" t="str">
        <x:v>Delegate</x:v>
      </x:c>
      <x:c r="R1754" s="117" t="str">
        <x:v>MRI Checklist</x:v>
      </x:c>
      <x:c r="S1754" s="119" t="str">
        <x:v>04/04/2025 (BW) - Updating this checksheet to follow newer methodology</x:v>
      </x:c>
    </x:row>
    <x:row r="1755" ht="30" customHeight="1">
      <x:c r="A1755" s="117" t="str">
        <x:v>MRI_Checklist</x:v>
      </x:c>
      <x:c r="B1755" s="117" t="str">
        <x:v>300Ro00000Pz0kpIAB</x:v>
      </x:c>
      <x:c r="C1755" s="117" t="str">
        <x:v>301Ro00000wAwuFIAS</x:v>
      </x:c>
      <x:c r="D1755" s="118" t="n">
        <x:v>5</x:v>
      </x:c>
      <x:c r="E1755" s="117" t="str">
        <x:v>Draft</x:v>
      </x:c>
      <x:c r="F1755" s="117" t="str">
        <x:v>No</x:v>
      </x:c>
      <x:c r="G1755" s="117" t="str">
        <x:v>Yes</x:v>
      </x:c>
      <x:c r="H1755" s="117" t="str">
        <x:v>FieldServiceMobile</x:v>
      </x:c>
      <x:c r="I1755" s="118"/>
      <x:c r="J1755" s="117" t="str">
        <x:v>unmanaged</x:v>
      </x:c>
      <x:c r="K1755" s="123" t="b">
        <x:v>0</x:v>
      </x:c>
      <x:c r="L1755" s="117"/>
      <x:c r="M1755" s="118"/>
      <x:c r="N1755" s="120" t="n">
        <x:v>46043.4428587963</x:v>
      </x:c>
      <x:c r="O1755" s="117" t="str">
        <x:v>Sacha Pearce</x:v>
      </x:c>
      <x:c r="P1755" s="120" t="n">
        <x:v>46043.44290509259</x:v>
      </x:c>
      <x:c r="Q1755" s="117" t="str">
        <x:v>Sacha Pearce</x:v>
      </x:c>
      <x:c r="R1755" s="117" t="str">
        <x:v>MRI Checklist</x:v>
      </x:c>
      <x:c r="S1755" s="119" t="str">
        <x:v>04/04/2025 (BW) - Updating this checksheet to follow newer methodology
21/01/2025 - V5 - SP - Updating to match the current FSL formatting process</x:v>
      </x:c>
    </x:row>
    <x:row r="1756" ht="30" customHeight="1">
      <x:c r="A1756" s="117" t="str">
        <x:v>New_BIAN</x:v>
      </x:c>
      <x:c r="B1756" s="117" t="str">
        <x:v>3005b000000LJX2AAO</x:v>
      </x:c>
      <x:c r="C1756" s="117" t="str">
        <x:v>3015b000000AQjJAAW</x:v>
      </x:c>
      <x:c r="D1756" s="118" t="n">
        <x:v>1</x:v>
      </x:c>
      <x:c r="E1756" s="117" t="str">
        <x:v>Obsolete</x:v>
      </x:c>
      <x:c r="F1756" s="117" t="str">
        <x:v>No</x:v>
      </x:c>
      <x:c r="G1756" s="117" t="str">
        <x:v>No</x:v>
      </x:c>
      <x:c r="H1756" s="117" t="str">
        <x:v>AutoLaunchedFlow</x:v>
      </x:c>
      <x:c r="I1756" s="118" t="n">
        <x:v>58</x:v>
      </x:c>
      <x:c r="J1756" s="117" t="str">
        <x:v>unmanaged</x:v>
      </x:c>
      <x:c r="K1756" s="123" t="b">
        <x:v>0</x:v>
      </x:c>
      <x:c r="L1756" s="117"/>
      <x:c r="M1756" s="118"/>
      <x:c r="N1756" s="120" t="n">
        <x:v>45155.6859375</x:v>
      </x:c>
      <x:c r="O1756" s="117" t="str">
        <x:v>Jordan Reeves</x:v>
      </x:c>
      <x:c r="P1756" s="120" t="n">
        <x:v>45155.68603009259</x:v>
      </x:c>
      <x:c r="Q1756" s="117" t="str">
        <x:v>Jordan Reeves</x:v>
      </x:c>
      <x:c r="R1756" s="117" t="str">
        <x:v>EU - Asset notification</x:v>
      </x:c>
      <x:c r="S1756" s="119"/>
    </x:row>
    <x:row r="1757" ht="30" customHeight="1">
      <x:c r="A1757" s="117" t="str">
        <x:v>New_BIAN</x:v>
      </x:c>
      <x:c r="B1757" s="117" t="str">
        <x:v>3005b000000LJX2AAO</x:v>
      </x:c>
      <x:c r="C1757" s="117" t="str">
        <x:v>3015b000000AQsjAAG</x:v>
      </x:c>
      <x:c r="D1757" s="118" t="n">
        <x:v>2</x:v>
      </x:c>
      <x:c r="E1757" s="117" t="str">
        <x:v>Draft</x:v>
      </x:c>
      <x:c r="F1757" s="117" t="str">
        <x:v>No</x:v>
      </x:c>
      <x:c r="G1757" s="117" t="str">
        <x:v>Yes</x:v>
      </x:c>
      <x:c r="H1757" s="117" t="str">
        <x:v>AutoLaunchedFlow</x:v>
      </x:c>
      <x:c r="I1757" s="118" t="n">
        <x:v>58</x:v>
      </x:c>
      <x:c r="J1757" s="117" t="str">
        <x:v>unmanaged</x:v>
      </x:c>
      <x:c r="K1757" s="123" t="b">
        <x:v>0</x:v>
      </x:c>
      <x:c r="L1757" s="117"/>
      <x:c r="M1757" s="118"/>
      <x:c r="N1757" s="120" t="n">
        <x:v>45159.51195601852</x:v>
      </x:c>
      <x:c r="O1757" s="117" t="str">
        <x:v>Jon Kean</x:v>
      </x:c>
      <x:c r="P1757" s="120" t="n">
        <x:v>45159.511967592596</x:v>
      </x:c>
      <x:c r="Q1757" s="117" t="str">
        <x:v>Jon Kean</x:v>
      </x:c>
      <x:c r="R1757" s="117" t="str">
        <x:v>EU - Asset notification</x:v>
      </x:c>
      <x:c r="S1757" s="119"/>
    </x:row>
    <x:row r="1758" ht="30" customHeight="1">
      <x:c r="A1758" s="117" t="str">
        <x:v>New_Child_Work_Order_from_Work_Order</x:v>
      </x:c>
      <x:c r="B1758" s="117" t="str">
        <x:v>3005b000000H3duAAC</x:v>
      </x:c>
      <x:c r="C1758" s="117" t="str">
        <x:v>3015b000000EIpNAAW</x:v>
      </x:c>
      <x:c r="D1758" s="118" t="n">
        <x:v>1</x:v>
      </x:c>
      <x:c r="E1758" s="117" t="str">
        <x:v>Obsolete</x:v>
      </x:c>
      <x:c r="F1758" s="117" t="str">
        <x:v>No</x:v>
      </x:c>
      <x:c r="G1758" s="117" t="str">
        <x:v>No</x:v>
      </x:c>
      <x:c r="H1758" s="117" t="str">
        <x:v>Flow</x:v>
      </x:c>
      <x:c r="I1758" s="118" t="n">
        <x:v>54</x:v>
      </x:c>
      <x:c r="J1758" s="117" t="str">
        <x:v>unmanaged</x:v>
      </x:c>
      <x:c r="K1758" s="123" t="b">
        <x:v>0</x:v>
      </x:c>
      <x:c r="L1758" s="117"/>
      <x:c r="M1758" s="118"/>
      <x:c r="N1758" s="120" t="n">
        <x:v>44656.52179398148</x:v>
      </x:c>
      <x:c r="O1758" s="117" t="str">
        <x:v>Jace Gentil</x:v>
      </x:c>
      <x:c r="P1758" s="120" t="n">
        <x:v>44656.521828703706</x:v>
      </x:c>
      <x:c r="Q1758" s="117" t="str">
        <x:v>Jace Gentil</x:v>
      </x:c>
      <x:c r="R1758" s="117" t="str">
        <x:v>New Child Work Order from Work Order</x:v>
      </x:c>
      <x:c r="S1758" s="119"/>
    </x:row>
    <x:row r="1759" ht="30" customHeight="1">
      <x:c r="A1759" s="117" t="str">
        <x:v>New_Child_Work_Order_from_Work_Order</x:v>
      </x:c>
      <x:c r="B1759" s="117" t="str">
        <x:v>3005b000000H3duAAC</x:v>
      </x:c>
      <x:c r="C1759" s="117" t="str">
        <x:v>3015b000000EIqGAAW</x:v>
      </x:c>
      <x:c r="D1759" s="118" t="n">
        <x:v>2</x:v>
      </x:c>
      <x:c r="E1759" s="117" t="str">
        <x:v>Obsolete</x:v>
      </x:c>
      <x:c r="F1759" s="117" t="str">
        <x:v>No</x:v>
      </x:c>
      <x:c r="G1759" s="117" t="str">
        <x:v>No</x:v>
      </x:c>
      <x:c r="H1759" s="117" t="str">
        <x:v>Flow</x:v>
      </x:c>
      <x:c r="I1759" s="118" t="n">
        <x:v>54</x:v>
      </x:c>
      <x:c r="J1759" s="117" t="str">
        <x:v>unmanaged</x:v>
      </x:c>
      <x:c r="K1759" s="123" t="b">
        <x:v>0</x:v>
      </x:c>
      <x:c r="L1759" s="117"/>
      <x:c r="M1759" s="118"/>
      <x:c r="N1759" s="120" t="n">
        <x:v>44656.79037037037</x:v>
      </x:c>
      <x:c r="O1759" s="117" t="str">
        <x:v>Jace Gentil</x:v>
      </x:c>
      <x:c r="P1759" s="120" t="n">
        <x:v>44656.79041666666</x:v>
      </x:c>
      <x:c r="Q1759" s="117" t="str">
        <x:v>Jace Gentil</x:v>
      </x:c>
      <x:c r="R1759" s="117" t="str">
        <x:v>New Child Work Order from Work Order</x:v>
      </x:c>
      <x:c r="S1759" s="119"/>
    </x:row>
    <x:row r="1760" ht="30" customHeight="1">
      <x:c r="A1760" s="117" t="str">
        <x:v>New_Child_Work_Order_from_Work_Order</x:v>
      </x:c>
      <x:c r="B1760" s="117" t="str">
        <x:v>3005b000000H3duAAC</x:v>
      </x:c>
      <x:c r="C1760" s="117" t="str">
        <x:v>3015b000000EJrUAAW</x:v>
      </x:c>
      <x:c r="D1760" s="118" t="n">
        <x:v>3</x:v>
      </x:c>
      <x:c r="E1760" s="117" t="str">
        <x:v>Obsolete</x:v>
      </x:c>
      <x:c r="F1760" s="117" t="str">
        <x:v>No</x:v>
      </x:c>
      <x:c r="G1760" s="117" t="str">
        <x:v>No</x:v>
      </x:c>
      <x:c r="H1760" s="117" t="str">
        <x:v>Flow</x:v>
      </x:c>
      <x:c r="I1760" s="118" t="n">
        <x:v>54</x:v>
      </x:c>
      <x:c r="J1760" s="117" t="str">
        <x:v>unmanaged</x:v>
      </x:c>
      <x:c r="K1760" s="123" t="b">
        <x:v>0</x:v>
      </x:c>
      <x:c r="L1760" s="117"/>
      <x:c r="M1760" s="118"/>
      <x:c r="N1760" s="120" t="n">
        <x:v>44701.47975694444</x:v>
      </x:c>
      <x:c r="O1760" s="117" t="str">
        <x:v>Jace Gentil</x:v>
      </x:c>
      <x:c r="P1760" s="120" t="n">
        <x:v>44701.479791666665</x:v>
      </x:c>
      <x:c r="Q1760" s="117" t="str">
        <x:v>Jace Gentil</x:v>
      </x:c>
      <x:c r="R1760" s="117" t="str">
        <x:v>New Child Work Order from Work Order</x:v>
      </x:c>
      <x:c r="S1760" s="119"/>
    </x:row>
    <x:row r="1761" ht="30" customHeight="1">
      <x:c r="A1761" s="117" t="str">
        <x:v>New_Child_Work_Order_from_Work_Order</x:v>
      </x:c>
      <x:c r="B1761" s="117" t="str">
        <x:v>3005b000000H3duAAC</x:v>
      </x:c>
      <x:c r="C1761" s="117" t="str">
        <x:v>3015b000000ELOtAAO</x:v>
      </x:c>
      <x:c r="D1761" s="118" t="n">
        <x:v>4</x:v>
      </x:c>
      <x:c r="E1761" s="117" t="str">
        <x:v>Obsolete</x:v>
      </x:c>
      <x:c r="F1761" s="117" t="str">
        <x:v>No</x:v>
      </x:c>
      <x:c r="G1761" s="117" t="str">
        <x:v>No</x:v>
      </x:c>
      <x:c r="H1761" s="117" t="str">
        <x:v>Flow</x:v>
      </x:c>
      <x:c r="I1761" s="118" t="n">
        <x:v>54</x:v>
      </x:c>
      <x:c r="J1761" s="117" t="str">
        <x:v>unmanaged</x:v>
      </x:c>
      <x:c r="K1761" s="123" t="b">
        <x:v>0</x:v>
      </x:c>
      <x:c r="L1761" s="117"/>
      <x:c r="M1761" s="118"/>
      <x:c r="N1761" s="120" t="n">
        <x:v>44797.553981481484</x:v>
      </x:c>
      <x:c r="O1761" s="117" t="str">
        <x:v>Jace Gentil</x:v>
      </x:c>
      <x:c r="P1761" s="120" t="n">
        <x:v>44797.55403935185</x:v>
      </x:c>
      <x:c r="Q1761" s="117" t="str">
        <x:v>Jace Gentil</x:v>
      </x:c>
      <x:c r="R1761" s="117" t="str">
        <x:v>New Child Work Order from Work Order</x:v>
      </x:c>
      <x:c r="S1761" s="119"/>
    </x:row>
    <x:row r="1762" ht="30" customHeight="1">
      <x:c r="A1762" s="117" t="str">
        <x:v>New_Child_Work_Order_from_Work_Order</x:v>
      </x:c>
      <x:c r="B1762" s="117" t="str">
        <x:v>3005b000000H3duAAC</x:v>
      </x:c>
      <x:c r="C1762" s="117" t="str">
        <x:v>3015b000000ELiZAAW</x:v>
      </x:c>
      <x:c r="D1762" s="118" t="n">
        <x:v>5</x:v>
      </x:c>
      <x:c r="E1762" s="117" t="str">
        <x:v>Obsolete</x:v>
      </x:c>
      <x:c r="F1762" s="117" t="str">
        <x:v>No</x:v>
      </x:c>
      <x:c r="G1762" s="117" t="str">
        <x:v>No</x:v>
      </x:c>
      <x:c r="H1762" s="117" t="str">
        <x:v>Flow</x:v>
      </x:c>
      <x:c r="I1762" s="118" t="n">
        <x:v>54</x:v>
      </x:c>
      <x:c r="J1762" s="117" t="str">
        <x:v>unmanaged</x:v>
      </x:c>
      <x:c r="K1762" s="123" t="b">
        <x:v>0</x:v>
      </x:c>
      <x:c r="L1762" s="117"/>
      <x:c r="M1762" s="118"/>
      <x:c r="N1762" s="120" t="n">
        <x:v>44817.85839120371</x:v>
      </x:c>
      <x:c r="O1762" s="117" t="str">
        <x:v>Jace Gentil</x:v>
      </x:c>
      <x:c r="P1762" s="120" t="n">
        <x:v>44817.858460648145</x:v>
      </x:c>
      <x:c r="Q1762" s="117" t="str">
        <x:v>Jace Gentil</x:v>
      </x:c>
      <x:c r="R1762" s="117" t="str">
        <x:v>New Child Work Order from Work Order</x:v>
      </x:c>
      <x:c r="S1762" s="119"/>
    </x:row>
    <x:row r="1763" ht="30" customHeight="1">
      <x:c r="A1763" s="117" t="str">
        <x:v>New_Child_Work_Order_from_Work_Order</x:v>
      </x:c>
      <x:c r="B1763" s="117" t="str">
        <x:v>3005b000000H3duAAC</x:v>
      </x:c>
      <x:c r="C1763" s="117" t="str">
        <x:v>3015b0000011LorAAE</x:v>
      </x:c>
      <x:c r="D1763" s="118" t="n">
        <x:v>6</x:v>
      </x:c>
      <x:c r="E1763" s="117" t="str">
        <x:v>Obsolete</x:v>
      </x:c>
      <x:c r="F1763" s="117" t="str">
        <x:v>No</x:v>
      </x:c>
      <x:c r="G1763" s="117" t="str">
        <x:v>No</x:v>
      </x:c>
      <x:c r="H1763" s="117" t="str">
        <x:v>Flow</x:v>
      </x:c>
      <x:c r="I1763" s="118" t="n">
        <x:v>54</x:v>
      </x:c>
      <x:c r="J1763" s="117" t="str">
        <x:v>unmanaged</x:v>
      </x:c>
      <x:c r="K1763" s="123" t="b">
        <x:v>0</x:v>
      </x:c>
      <x:c r="L1763" s="117"/>
      <x:c r="M1763" s="118"/>
      <x:c r="N1763" s="120" t="n">
        <x:v>45225.58930555556</x:v>
      </x:c>
      <x:c r="O1763" s="117" t="str">
        <x:v>Jon Kean</x:v>
      </x:c>
      <x:c r="P1763" s="120" t="n">
        <x:v>45225.589375</x:v>
      </x:c>
      <x:c r="Q1763" s="117" t="str">
        <x:v>Jon Kean</x:v>
      </x:c>
      <x:c r="R1763" s="117" t="str">
        <x:v>New Child Work Order from Work Order</x:v>
      </x:c>
      <x:c r="S1763" s="119"/>
    </x:row>
    <x:row r="1764" ht="30" customHeight="1">
      <x:c r="A1764" s="117" t="str">
        <x:v>New_Child_Work_Order_from_Work_Order</x:v>
      </x:c>
      <x:c r="B1764" s="117" t="str">
        <x:v>3005b000000H3duAAC</x:v>
      </x:c>
      <x:c r="C1764" s="117" t="str">
        <x:v>301Ro000007PJbMIAW</x:v>
      </x:c>
      <x:c r="D1764" s="118" t="n">
        <x:v>7</x:v>
      </x:c>
      <x:c r="E1764" s="117" t="str">
        <x:v>Active</x:v>
      </x:c>
      <x:c r="F1764" s="117" t="str">
        <x:v>Yes</x:v>
      </x:c>
      <x:c r="G1764" s="117" t="str">
        <x:v>Yes</x:v>
      </x:c>
      <x:c r="H1764" s="117" t="str">
        <x:v>Flow</x:v>
      </x:c>
      <x:c r="I1764" s="118" t="n">
        <x:v>54</x:v>
      </x:c>
      <x:c r="J1764" s="117" t="str">
        <x:v>unmanaged</x:v>
      </x:c>
      <x:c r="K1764" s="123" t="b">
        <x:v>0</x:v>
      </x:c>
      <x:c r="L1764" s="117"/>
      <x:c r="M1764" s="118"/>
      <x:c r="N1764" s="120" t="n">
        <x:v>45336.53119212963</x:v>
      </x:c>
      <x:c r="O1764" s="117" t="str">
        <x:v>Jon Kean</x:v>
      </x:c>
      <x:c r="P1764" s="120" t="n">
        <x:v>45336.53123842592</x:v>
      </x:c>
      <x:c r="Q1764" s="117" t="str">
        <x:v>Jon Kean</x:v>
      </x:c>
      <x:c r="R1764" s="117" t="str">
        <x:v>New Child Work Order from Work Order</x:v>
      </x:c>
      <x:c r="S1764" s="119"/>
    </x:row>
    <x:row r="1765" ht="30" customHeight="1">
      <x:c r="A1765" s="117" t="str">
        <x:v>New_Move_Location_Flow_TEST</x:v>
      </x:c>
      <x:c r="B1765" s="117" t="str">
        <x:v>3005b000000H3xpAAC</x:v>
      </x:c>
      <x:c r="C1765" s="117" t="str">
        <x:v>3015b000000EKZgAAO</x:v>
      </x:c>
      <x:c r="D1765" s="118" t="n">
        <x:v>1</x:v>
      </x:c>
      <x:c r="E1765" s="117" t="str">
        <x:v>Draft</x:v>
      </x:c>
      <x:c r="F1765" s="117" t="str">
        <x:v>No</x:v>
      </x:c>
      <x:c r="G1765" s="117" t="str">
        <x:v>Yes</x:v>
      </x:c>
      <x:c r="H1765" s="117" t="str">
        <x:v>Flow</x:v>
      </x:c>
      <x:c r="I1765" s="118" t="n">
        <x:v>55</x:v>
      </x:c>
      <x:c r="J1765" s="117" t="str">
        <x:v>unmanaged</x:v>
      </x:c>
      <x:c r="K1765" s="123" t="b">
        <x:v>0</x:v>
      </x:c>
      <x:c r="L1765" s="117"/>
      <x:c r="M1765" s="118"/>
      <x:c r="N1765" s="120" t="n">
        <x:v>44739.548472222225</x:v>
      </x:c>
      <x:c r="O1765" s="117" t="str">
        <x:v>Jace Gentil</x:v>
      </x:c>
      <x:c r="P1765" s="120" t="n">
        <x:v>44739.548483796294</x:v>
      </x:c>
      <x:c r="Q1765" s="117" t="str">
        <x:v>Jace Gentil</x:v>
      </x:c>
      <x:c r="R1765" s="117" t="str">
        <x:v>New Move Location Flow - TEST</x:v>
      </x:c>
      <x:c r="S1765" s="119"/>
    </x:row>
    <x:row r="1766" ht="30" customHeight="1">
      <x:c r="A1766" s="117" t="str">
        <x:v>New_Move_Location_Screen_Flow</x:v>
      </x:c>
      <x:c r="B1766" s="117" t="str">
        <x:v>3005b000000H42QAAS</x:v>
      </x:c>
      <x:c r="C1766" s="117" t="str">
        <x:v>3015b000000EL37AAG</x:v>
      </x:c>
      <x:c r="D1766" s="118" t="n">
        <x:v>1</x:v>
      </x:c>
      <x:c r="E1766" s="117" t="str">
        <x:v>Obsolete</x:v>
      </x:c>
      <x:c r="F1766" s="117" t="str">
        <x:v>No</x:v>
      </x:c>
      <x:c r="G1766" s="117" t="str">
        <x:v>No</x:v>
      </x:c>
      <x:c r="H1766" s="117" t="str">
        <x:v>Flow</x:v>
      </x:c>
      <x:c r="I1766" s="118" t="n">
        <x:v>55</x:v>
      </x:c>
      <x:c r="J1766" s="117" t="str">
        <x:v>unmanaged</x:v>
      </x:c>
      <x:c r="K1766" s="123" t="b">
        <x:v>0</x:v>
      </x:c>
      <x:c r="L1766" s="117"/>
      <x:c r="M1766" s="118"/>
      <x:c r="N1766" s="120" t="n">
        <x:v>44768.17387731482</x:v>
      </x:c>
      <x:c r="O1766" s="117" t="str">
        <x:v>Natalie Boger</x:v>
      </x:c>
      <x:c r="P1766" s="120" t="n">
        <x:v>44768.1778125</x:v>
      </x:c>
      <x:c r="Q1766" s="117" t="str">
        <x:v>Natalie Boger</x:v>
      </x:c>
      <x:c r="R1766" s="117" t="str">
        <x:v>New Move Location Screen Flow</x:v>
      </x:c>
      <x:c r="S1766" s="119"/>
    </x:row>
    <x:row r="1767" ht="30" customHeight="1">
      <x:c r="A1767" s="117" t="str">
        <x:v>New_Move_Location_Screen_Flow</x:v>
      </x:c>
      <x:c r="B1767" s="117" t="str">
        <x:v>3005b000000H42QAAS</x:v>
      </x:c>
      <x:c r="C1767" s="117" t="str">
        <x:v>3015b000000EL66AAG</x:v>
      </x:c>
      <x:c r="D1767" s="118" t="n">
        <x:v>2</x:v>
      </x:c>
      <x:c r="E1767" s="117" t="str">
        <x:v>Obsolete</x:v>
      </x:c>
      <x:c r="F1767" s="117" t="str">
        <x:v>No</x:v>
      </x:c>
      <x:c r="G1767" s="117" t="str">
        <x:v>No</x:v>
      </x:c>
      <x:c r="H1767" s="117" t="str">
        <x:v>Flow</x:v>
      </x:c>
      <x:c r="I1767" s="118" t="n">
        <x:v>55</x:v>
      </x:c>
      <x:c r="J1767" s="117" t="str">
        <x:v>unmanaged</x:v>
      </x:c>
      <x:c r="K1767" s="123" t="b">
        <x:v>0</x:v>
      </x:c>
      <x:c r="L1767" s="117"/>
      <x:c r="M1767" s="118"/>
      <x:c r="N1767" s="120" t="n">
        <x:v>44771.67493055556</x:v>
      </x:c>
      <x:c r="O1767" s="117" t="str">
        <x:v>Jace Gentil</x:v>
      </x:c>
      <x:c r="P1767" s="120" t="n">
        <x:v>44771.675</x:v>
      </x:c>
      <x:c r="Q1767" s="117" t="str">
        <x:v>Jace Gentil</x:v>
      </x:c>
      <x:c r="R1767" s="117" t="str">
        <x:v>New Move Location Screen Flow</x:v>
      </x:c>
      <x:c r="S1767" s="119"/>
    </x:row>
    <x:row r="1768" ht="30" customHeight="1">
      <x:c r="A1768" s="117" t="str">
        <x:v>New_Move_Location_Screen_Flow</x:v>
      </x:c>
      <x:c r="B1768" s="117" t="str">
        <x:v>3005b000000H42QAAS</x:v>
      </x:c>
      <x:c r="C1768" s="117" t="str">
        <x:v>3015b000000EL6BAAW</x:v>
      </x:c>
      <x:c r="D1768" s="118" t="n">
        <x:v>3</x:v>
      </x:c>
      <x:c r="E1768" s="117" t="str">
        <x:v>Obsolete</x:v>
      </x:c>
      <x:c r="F1768" s="117" t="str">
        <x:v>No</x:v>
      </x:c>
      <x:c r="G1768" s="117" t="str">
        <x:v>No</x:v>
      </x:c>
      <x:c r="H1768" s="117" t="str">
        <x:v>Flow</x:v>
      </x:c>
      <x:c r="I1768" s="118" t="n">
        <x:v>55</x:v>
      </x:c>
      <x:c r="J1768" s="117" t="str">
        <x:v>unmanaged</x:v>
      </x:c>
      <x:c r="K1768" s="123" t="b">
        <x:v>0</x:v>
      </x:c>
      <x:c r="L1768" s="117"/>
      <x:c r="M1768" s="118"/>
      <x:c r="N1768" s="120" t="n">
        <x:v>44771.679293981484</x:v>
      </x:c>
      <x:c r="O1768" s="117" t="str">
        <x:v>Jace Gentil</x:v>
      </x:c>
      <x:c r="P1768" s="120" t="n">
        <x:v>44771.67934027778</x:v>
      </x:c>
      <x:c r="Q1768" s="117" t="str">
        <x:v>Jace Gentil</x:v>
      </x:c>
      <x:c r="R1768" s="117" t="str">
        <x:v>New Move Location Screen Flow</x:v>
      </x:c>
      <x:c r="S1768" s="119"/>
    </x:row>
    <x:row r="1769" ht="30" customHeight="1">
      <x:c r="A1769" s="117" t="str">
        <x:v>New_Move_Location_Screen_Flow</x:v>
      </x:c>
      <x:c r="B1769" s="117" t="str">
        <x:v>3005b000000H42QAAS</x:v>
      </x:c>
      <x:c r="C1769" s="117" t="str">
        <x:v>3015b000000EL6GAAW</x:v>
      </x:c>
      <x:c r="D1769" s="118" t="n">
        <x:v>4</x:v>
      </x:c>
      <x:c r="E1769" s="117" t="str">
        <x:v>Obsolete</x:v>
      </x:c>
      <x:c r="F1769" s="117" t="str">
        <x:v>No</x:v>
      </x:c>
      <x:c r="G1769" s="117" t="str">
        <x:v>No</x:v>
      </x:c>
      <x:c r="H1769" s="117" t="str">
        <x:v>Flow</x:v>
      </x:c>
      <x:c r="I1769" s="118" t="n">
        <x:v>55</x:v>
      </x:c>
      <x:c r="J1769" s="117" t="str">
        <x:v>unmanaged</x:v>
      </x:c>
      <x:c r="K1769" s="123" t="b">
        <x:v>0</x:v>
      </x:c>
      <x:c r="L1769" s="117"/>
      <x:c r="M1769" s="118"/>
      <x:c r="N1769" s="120" t="n">
        <x:v>44771.68002314815</x:v>
      </x:c>
      <x:c r="O1769" s="117" t="str">
        <x:v>Jace Gentil</x:v>
      </x:c>
      <x:c r="P1769" s="120" t="n">
        <x:v>44771.68004629629</x:v>
      </x:c>
      <x:c r="Q1769" s="117" t="str">
        <x:v>Jace Gentil</x:v>
      </x:c>
      <x:c r="R1769" s="117" t="str">
        <x:v>New Move Location Screen Flow</x:v>
      </x:c>
      <x:c r="S1769" s="119"/>
    </x:row>
    <x:row r="1770" ht="30" customHeight="1">
      <x:c r="A1770" s="117" t="str">
        <x:v>New_Move_Location_Screen_Flow</x:v>
      </x:c>
      <x:c r="B1770" s="117" t="str">
        <x:v>3005b000000H42QAAS</x:v>
      </x:c>
      <x:c r="C1770" s="117" t="str">
        <x:v>3015b000000A9IUAA0</x:v>
      </x:c>
      <x:c r="D1770" s="118" t="n">
        <x:v>5</x:v>
      </x:c>
      <x:c r="E1770" s="117" t="str">
        <x:v>Obsolete</x:v>
      </x:c>
      <x:c r="F1770" s="117" t="str">
        <x:v>No</x:v>
      </x:c>
      <x:c r="G1770" s="117" t="str">
        <x:v>No</x:v>
      </x:c>
      <x:c r="H1770" s="117" t="str">
        <x:v>Flow</x:v>
      </x:c>
      <x:c r="I1770" s="118" t="n">
        <x:v>55</x:v>
      </x:c>
      <x:c r="J1770" s="117" t="str">
        <x:v>unmanaged</x:v>
      </x:c>
      <x:c r="K1770" s="123" t="b">
        <x:v>0</x:v>
      </x:c>
      <x:c r="L1770" s="117"/>
      <x:c r="M1770" s="118"/>
      <x:c r="N1770" s="120" t="n">
        <x:v>44869.42789351852</x:v>
      </x:c>
      <x:c r="O1770" s="117" t="str">
        <x:v>Jace Gentil</x:v>
      </x:c>
      <x:c r="P1770" s="120" t="n">
        <x:v>44869.42841435185</x:v>
      </x:c>
      <x:c r="Q1770" s="117" t="str">
        <x:v>Jace Gentil</x:v>
      </x:c>
      <x:c r="R1770" s="117" t="str">
        <x:v>New Move Location Screen Flow</x:v>
      </x:c>
      <x:c r="S1770" s="119"/>
    </x:row>
    <x:row r="1771" ht="30" customHeight="1">
      <x:c r="A1771" s="117" t="str">
        <x:v>New_Move_Location_Screen_Flow</x:v>
      </x:c>
      <x:c r="B1771" s="117" t="str">
        <x:v>3005b000000H42QAAS</x:v>
      </x:c>
      <x:c r="C1771" s="117" t="str">
        <x:v>3015b000000VzqfAAC</x:v>
      </x:c>
      <x:c r="D1771" s="118" t="n">
        <x:v>6</x:v>
      </x:c>
      <x:c r="E1771" s="117" t="str">
        <x:v>Obsolete</x:v>
      </x:c>
      <x:c r="F1771" s="117" t="str">
        <x:v>No</x:v>
      </x:c>
      <x:c r="G1771" s="117" t="str">
        <x:v>No</x:v>
      </x:c>
      <x:c r="H1771" s="117" t="str">
        <x:v>Flow</x:v>
      </x:c>
      <x:c r="I1771" s="118" t="n">
        <x:v>55</x:v>
      </x:c>
      <x:c r="J1771" s="117" t="str">
        <x:v>unmanaged</x:v>
      </x:c>
      <x:c r="K1771" s="123" t="b">
        <x:v>0</x:v>
      </x:c>
      <x:c r="L1771" s="117"/>
      <x:c r="M1771" s="118"/>
      <x:c r="N1771" s="120" t="n">
        <x:v>44979.682442129626</x:v>
      </x:c>
      <x:c r="O1771" s="117" t="str">
        <x:v>Jace Gentil</x:v>
      </x:c>
      <x:c r="P1771" s="120" t="n">
        <x:v>44979.687372685185</x:v>
      </x:c>
      <x:c r="Q1771" s="117" t="str">
        <x:v>Jace Gentil</x:v>
      </x:c>
      <x:c r="R1771" s="117" t="str">
        <x:v>New Move Location Screen Flow</x:v>
      </x:c>
      <x:c r="S1771" s="119"/>
    </x:row>
    <x:row r="1772" ht="30" customHeight="1">
      <x:c r="A1772" s="117" t="str">
        <x:v>New_Move_Location_Screen_Flow</x:v>
      </x:c>
      <x:c r="B1772" s="117" t="str">
        <x:v>3005b000000H42QAAS</x:v>
      </x:c>
      <x:c r="C1772" s="117" t="str">
        <x:v>301Ro00000BPuqIIAT</x:v>
      </x:c>
      <x:c r="D1772" s="118" t="n">
        <x:v>7</x:v>
      </x:c>
      <x:c r="E1772" s="117" t="str">
        <x:v>Obsolete</x:v>
      </x:c>
      <x:c r="F1772" s="117" t="str">
        <x:v>No</x:v>
      </x:c>
      <x:c r="G1772" s="117" t="str">
        <x:v>No</x:v>
      </x:c>
      <x:c r="H1772" s="117" t="str">
        <x:v>Flow</x:v>
      </x:c>
      <x:c r="I1772" s="118" t="n">
        <x:v>55</x:v>
      </x:c>
      <x:c r="J1772" s="117" t="str">
        <x:v>unmanaged</x:v>
      </x:c>
      <x:c r="K1772" s="123" t="b">
        <x:v>0</x:v>
      </x:c>
      <x:c r="L1772" s="117"/>
      <x:c r="M1772" s="118"/>
      <x:c r="N1772" s="120" t="n">
        <x:v>45404.75645833334</x:v>
      </x:c>
      <x:c r="O1772" s="117" t="str">
        <x:v>Jon Kean</x:v>
      </x:c>
      <x:c r="P1772" s="120" t="n">
        <x:v>45404.756527777776</x:v>
      </x:c>
      <x:c r="Q1772" s="117" t="str">
        <x:v>Jon Kean</x:v>
      </x:c>
      <x:c r="R1772" s="117" t="str">
        <x:v>New Move Location Screen Flow</x:v>
      </x:c>
      <x:c r="S1772" s="119"/>
    </x:row>
    <x:row r="1773" ht="30" customHeight="1">
      <x:c r="A1773" s="117" t="str">
        <x:v>New_Move_Location_Screen_Flow</x:v>
      </x:c>
      <x:c r="B1773" s="117" t="str">
        <x:v>3005b000000H42QAAS</x:v>
      </x:c>
      <x:c r="C1773" s="117" t="str">
        <x:v>301Ro00000BPszoIAD</x:v>
      </x:c>
      <x:c r="D1773" s="118" t="n">
        <x:v>8</x:v>
      </x:c>
      <x:c r="E1773" s="117" t="str">
        <x:v>Obsolete</x:v>
      </x:c>
      <x:c r="F1773" s="117" t="str">
        <x:v>No</x:v>
      </x:c>
      <x:c r="G1773" s="117" t="str">
        <x:v>No</x:v>
      </x:c>
      <x:c r="H1773" s="117" t="str">
        <x:v>Flow</x:v>
      </x:c>
      <x:c r="I1773" s="118" t="n">
        <x:v>55</x:v>
      </x:c>
      <x:c r="J1773" s="117" t="str">
        <x:v>unmanaged</x:v>
      </x:c>
      <x:c r="K1773" s="123" t="b">
        <x:v>0</x:v>
      </x:c>
      <x:c r="L1773" s="117"/>
      <x:c r="M1773" s="118"/>
      <x:c r="N1773" s="120" t="n">
        <x:v>45404.75822916667</x:v>
      </x:c>
      <x:c r="O1773" s="117" t="str">
        <x:v>Jon Kean</x:v>
      </x:c>
      <x:c r="P1773" s="120" t="n">
        <x:v>45404.75829861111</x:v>
      </x:c>
      <x:c r="Q1773" s="117" t="str">
        <x:v>Jon Kean</x:v>
      </x:c>
      <x:c r="R1773" s="117" t="str">
        <x:v>New Move Location Screen Flow</x:v>
      </x:c>
      <x:c r="S1773" s="119"/>
    </x:row>
    <x:row r="1774" ht="30" customHeight="1">
      <x:c r="A1774" s="117" t="str">
        <x:v>New_Move_Location_Screen_Flow</x:v>
      </x:c>
      <x:c r="B1774" s="117" t="str">
        <x:v>3005b000000H42QAAS</x:v>
      </x:c>
      <x:c r="C1774" s="117" t="str">
        <x:v>301Ro00000BPdmIIAT</x:v>
      </x:c>
      <x:c r="D1774" s="118" t="n">
        <x:v>9</x:v>
      </x:c>
      <x:c r="E1774" s="117" t="str">
        <x:v>Obsolete</x:v>
      </x:c>
      <x:c r="F1774" s="117" t="str">
        <x:v>No</x:v>
      </x:c>
      <x:c r="G1774" s="117" t="str">
        <x:v>No</x:v>
      </x:c>
      <x:c r="H1774" s="117" t="str">
        <x:v>Flow</x:v>
      </x:c>
      <x:c r="I1774" s="118" t="n">
        <x:v>55</x:v>
      </x:c>
      <x:c r="J1774" s="117" t="str">
        <x:v>unmanaged</x:v>
      </x:c>
      <x:c r="K1774" s="123" t="b">
        <x:v>0</x:v>
      </x:c>
      <x:c r="L1774" s="117"/>
      <x:c r="M1774" s="118"/>
      <x:c r="N1774" s="120" t="n">
        <x:v>45404.75983796296</x:v>
      </x:c>
      <x:c r="O1774" s="117" t="str">
        <x:v>Jon Kean</x:v>
      </x:c>
      <x:c r="P1774" s="120" t="n">
        <x:v>45404.759884259256</x:v>
      </x:c>
      <x:c r="Q1774" s="117" t="str">
        <x:v>Jon Kean</x:v>
      </x:c>
      <x:c r="R1774" s="117" t="str">
        <x:v>New Move Location Screen Flow</x:v>
      </x:c>
      <x:c r="S1774" s="119"/>
    </x:row>
    <x:row r="1775" ht="30" customHeight="1">
      <x:c r="A1775" s="117" t="str">
        <x:v>New_Move_Location_Screen_Flow</x:v>
      </x:c>
      <x:c r="B1775" s="117" t="str">
        <x:v>3005b000000H42QAAS</x:v>
      </x:c>
      <x:c r="C1775" s="117" t="str">
        <x:v>301Ro00000BXEvWIAX</x:v>
      </x:c>
      <x:c r="D1775" s="118" t="n">
        <x:v>10</x:v>
      </x:c>
      <x:c r="E1775" s="117" t="str">
        <x:v>Obsolete</x:v>
      </x:c>
      <x:c r="F1775" s="117" t="str">
        <x:v>No</x:v>
      </x:c>
      <x:c r="G1775" s="117" t="str">
        <x:v>No</x:v>
      </x:c>
      <x:c r="H1775" s="117" t="str">
        <x:v>Flow</x:v>
      </x:c>
      <x:c r="I1775" s="118" t="n">
        <x:v>55</x:v>
      </x:c>
      <x:c r="J1775" s="117" t="str">
        <x:v>unmanaged</x:v>
      </x:c>
      <x:c r="K1775" s="123" t="b">
        <x:v>0</x:v>
      </x:c>
      <x:c r="L1775" s="117"/>
      <x:c r="M1775" s="118"/>
      <x:c r="N1775" s="120" t="n">
        <x:v>45406.4458912037</x:v>
      </x:c>
      <x:c r="O1775" s="117" t="str">
        <x:v>Jon Kean</x:v>
      </x:c>
      <x:c r="P1775" s="120" t="n">
        <x:v>45406.44594907408</x:v>
      </x:c>
      <x:c r="Q1775" s="117" t="str">
        <x:v>Jon Kean</x:v>
      </x:c>
      <x:c r="R1775" s="117" t="str">
        <x:v>New Move Location Screen Flow</x:v>
      </x:c>
      <x:c r="S1775" s="119"/>
    </x:row>
    <x:row r="1776" ht="30" customHeight="1">
      <x:c r="A1776" s="117" t="str">
        <x:v>New_Move_Location_Screen_Flow</x:v>
      </x:c>
      <x:c r="B1776" s="117" t="str">
        <x:v>3005b000000H42QAAS</x:v>
      </x:c>
      <x:c r="C1776" s="117" t="str">
        <x:v>301Ro00000BXGAvIAP</x:v>
      </x:c>
      <x:c r="D1776" s="118" t="n">
        <x:v>11</x:v>
      </x:c>
      <x:c r="E1776" s="117" t="str">
        <x:v>Obsolete</x:v>
      </x:c>
      <x:c r="F1776" s="117" t="str">
        <x:v>No</x:v>
      </x:c>
      <x:c r="G1776" s="117" t="str">
        <x:v>No</x:v>
      </x:c>
      <x:c r="H1776" s="117" t="str">
        <x:v>Flow</x:v>
      </x:c>
      <x:c r="I1776" s="118" t="n">
        <x:v>55</x:v>
      </x:c>
      <x:c r="J1776" s="117" t="str">
        <x:v>unmanaged</x:v>
      </x:c>
      <x:c r="K1776" s="123" t="b">
        <x:v>0</x:v>
      </x:c>
      <x:c r="L1776" s="117"/>
      <x:c r="M1776" s="118"/>
      <x:c r="N1776" s="120" t="n">
        <x:v>45406.44664351852</x:v>
      </x:c>
      <x:c r="O1776" s="117" t="str">
        <x:v>Jon Kean</x:v>
      </x:c>
      <x:c r="P1776" s="120" t="n">
        <x:v>45406.44668981482</x:v>
      </x:c>
      <x:c r="Q1776" s="117" t="str">
        <x:v>Jon Kean</x:v>
      </x:c>
      <x:c r="R1776" s="117" t="str">
        <x:v>New Move Location Screen Flow</x:v>
      </x:c>
      <x:c r="S1776" s="119"/>
    </x:row>
    <x:row r="1777" ht="30" customHeight="1">
      <x:c r="A1777" s="117" t="str">
        <x:v>New_Move_Location_Screen_Flow</x:v>
      </x:c>
      <x:c r="B1777" s="117" t="str">
        <x:v>3005b000000H42QAAS</x:v>
      </x:c>
      <x:c r="C1777" s="117" t="str">
        <x:v>301Ro00000BWqTPIA1</x:v>
      </x:c>
      <x:c r="D1777" s="118" t="n">
        <x:v>12</x:v>
      </x:c>
      <x:c r="E1777" s="117" t="str">
        <x:v>Obsolete</x:v>
      </x:c>
      <x:c r="F1777" s="117" t="str">
        <x:v>No</x:v>
      </x:c>
      <x:c r="G1777" s="117" t="str">
        <x:v>No</x:v>
      </x:c>
      <x:c r="H1777" s="117" t="str">
        <x:v>Flow</x:v>
      </x:c>
      <x:c r="I1777" s="118" t="n">
        <x:v>55</x:v>
      </x:c>
      <x:c r="J1777" s="117" t="str">
        <x:v>unmanaged</x:v>
      </x:c>
      <x:c r="K1777" s="123" t="b">
        <x:v>0</x:v>
      </x:c>
      <x:c r="L1777" s="117"/>
      <x:c r="M1777" s="118"/>
      <x:c r="N1777" s="120" t="n">
        <x:v>45406.44736111111</x:v>
      </x:c>
      <x:c r="O1777" s="117" t="str">
        <x:v>Jon Kean</x:v>
      </x:c>
      <x:c r="P1777" s="120" t="n">
        <x:v>45406.44739583333</x:v>
      </x:c>
      <x:c r="Q1777" s="117" t="str">
        <x:v>Jon Kean</x:v>
      </x:c>
      <x:c r="R1777" s="117" t="str">
        <x:v>New Move Location Screen Flow</x:v>
      </x:c>
      <x:c r="S1777" s="119"/>
    </x:row>
    <x:row r="1778" ht="30" customHeight="1">
      <x:c r="A1778" s="117" t="str">
        <x:v>New_Move_Location_Screen_Flow</x:v>
      </x:c>
      <x:c r="B1778" s="117" t="str">
        <x:v>3005b000000H42QAAS</x:v>
      </x:c>
      <x:c r="C1778" s="117" t="str">
        <x:v>301Ro00000IAJ5RIAX</x:v>
      </x:c>
      <x:c r="D1778" s="118" t="n">
        <x:v>13</x:v>
      </x:c>
      <x:c r="E1778" s="117" t="str">
        <x:v>Obsolete</x:v>
      </x:c>
      <x:c r="F1778" s="117" t="str">
        <x:v>No</x:v>
      </x:c>
      <x:c r="G1778" s="117" t="str">
        <x:v>No</x:v>
      </x:c>
      <x:c r="H1778" s="117" t="str">
        <x:v>Flow</x:v>
      </x:c>
      <x:c r="I1778" s="118" t="n">
        <x:v>55</x:v>
      </x:c>
      <x:c r="J1778" s="117" t="str">
        <x:v>unmanaged</x:v>
      </x:c>
      <x:c r="K1778" s="123" t="b">
        <x:v>0</x:v>
      </x:c>
      <x:c r="L1778" s="117"/>
      <x:c r="M1778" s="118"/>
      <x:c r="N1778" s="120" t="n">
        <x:v>45505.664456018516</x:v>
      </x:c>
      <x:c r="O1778" s="117" t="str">
        <x:v>Jon Kean</x:v>
      </x:c>
      <x:c r="P1778" s="120" t="n">
        <x:v>45505.66452546296</x:v>
      </x:c>
      <x:c r="Q1778" s="117" t="str">
        <x:v>Jon Kean</x:v>
      </x:c>
      <x:c r="R1778" s="117" t="str">
        <x:v>New Move Location Screen Flow</x:v>
      </x:c>
      <x:c r="S1778" s="119"/>
    </x:row>
    <x:row r="1779" ht="30" customHeight="1">
      <x:c r="A1779" s="117" t="str">
        <x:v>New_Move_Location_Screen_Flow</x:v>
      </x:c>
      <x:c r="B1779" s="117" t="str">
        <x:v>3005b000000H42QAAS</x:v>
      </x:c>
      <x:c r="C1779" s="117" t="str">
        <x:v>301Ro00000I9mzIIAR</x:v>
      </x:c>
      <x:c r="D1779" s="118" t="n">
        <x:v>14</x:v>
      </x:c>
      <x:c r="E1779" s="117" t="str">
        <x:v>Obsolete</x:v>
      </x:c>
      <x:c r="F1779" s="117" t="str">
        <x:v>No</x:v>
      </x:c>
      <x:c r="G1779" s="117" t="str">
        <x:v>No</x:v>
      </x:c>
      <x:c r="H1779" s="117" t="str">
        <x:v>Flow</x:v>
      </x:c>
      <x:c r="I1779" s="118" t="n">
        <x:v>55</x:v>
      </x:c>
      <x:c r="J1779" s="117" t="str">
        <x:v>unmanaged</x:v>
      </x:c>
      <x:c r="K1779" s="123" t="b">
        <x:v>0</x:v>
      </x:c>
      <x:c r="L1779" s="117"/>
      <x:c r="M1779" s="118"/>
      <x:c r="N1779" s="120" t="n">
        <x:v>45505.66521990741</x:v>
      </x:c>
      <x:c r="O1779" s="117" t="str">
        <x:v>Jon Kean</x:v>
      </x:c>
      <x:c r="P1779" s="120" t="n">
        <x:v>45505.665289351855</x:v>
      </x:c>
      <x:c r="Q1779" s="117" t="str">
        <x:v>Jon Kean</x:v>
      </x:c>
      <x:c r="R1779" s="117" t="str">
        <x:v>New Move Location Screen Flow</x:v>
      </x:c>
      <x:c r="S1779" s="119"/>
    </x:row>
    <x:row r="1780" ht="30" customHeight="1">
      <x:c r="A1780" s="117" t="str">
        <x:v>New_Move_Location_Screen_Flow</x:v>
      </x:c>
      <x:c r="B1780" s="117" t="str">
        <x:v>3005b000000H42QAAS</x:v>
      </x:c>
      <x:c r="C1780" s="117" t="str">
        <x:v>301Ro00000IAL8sIAH</x:v>
      </x:c>
      <x:c r="D1780" s="118" t="n">
        <x:v>15</x:v>
      </x:c>
      <x:c r="E1780" s="117" t="str">
        <x:v>Obsolete</x:v>
      </x:c>
      <x:c r="F1780" s="117" t="str">
        <x:v>No</x:v>
      </x:c>
      <x:c r="G1780" s="117" t="str">
        <x:v>No</x:v>
      </x:c>
      <x:c r="H1780" s="117" t="str">
        <x:v>Flow</x:v>
      </x:c>
      <x:c r="I1780" s="118" t="n">
        <x:v>55</x:v>
      </x:c>
      <x:c r="J1780" s="117" t="str">
        <x:v>unmanaged</x:v>
      </x:c>
      <x:c r="K1780" s="123" t="b">
        <x:v>0</x:v>
      </x:c>
      <x:c r="L1780" s="117"/>
      <x:c r="M1780" s="118"/>
      <x:c r="N1780" s="120" t="n">
        <x:v>45505.66935185185</x:v>
      </x:c>
      <x:c r="O1780" s="117" t="str">
        <x:v>Jon Kean</x:v>
      </x:c>
      <x:c r="P1780" s="120" t="n">
        <x:v>45505.66943287037</x:v>
      </x:c>
      <x:c r="Q1780" s="117" t="str">
        <x:v>Jon Kean</x:v>
      </x:c>
      <x:c r="R1780" s="117" t="str">
        <x:v>New Move Location Screen Flow</x:v>
      </x:c>
      <x:c r="S1780" s="119"/>
    </x:row>
    <x:row r="1781" ht="30" customHeight="1">
      <x:c r="A1781" s="117" t="str">
        <x:v>New_Move_Location_Screen_Flow</x:v>
      </x:c>
      <x:c r="B1781" s="117" t="str">
        <x:v>3005b000000H42QAAS</x:v>
      </x:c>
      <x:c r="C1781" s="117" t="str">
        <x:v>301Ro00000I9ysNIAR</x:v>
      </x:c>
      <x:c r="D1781" s="118" t="n">
        <x:v>16</x:v>
      </x:c>
      <x:c r="E1781" s="117" t="str">
        <x:v>Obsolete</x:v>
      </x:c>
      <x:c r="F1781" s="117" t="str">
        <x:v>No</x:v>
      </x:c>
      <x:c r="G1781" s="117" t="str">
        <x:v>No</x:v>
      </x:c>
      <x:c r="H1781" s="117" t="str">
        <x:v>Flow</x:v>
      </x:c>
      <x:c r="I1781" s="118" t="n">
        <x:v>55</x:v>
      </x:c>
      <x:c r="J1781" s="117" t="str">
        <x:v>unmanaged</x:v>
      </x:c>
      <x:c r="K1781" s="123" t="b">
        <x:v>0</x:v>
      </x:c>
      <x:c r="L1781" s="117"/>
      <x:c r="M1781" s="118"/>
      <x:c r="N1781" s="120" t="n">
        <x:v>45505.67260416667</x:v>
      </x:c>
      <x:c r="O1781" s="117" t="str">
        <x:v>Jon Kean</x:v>
      </x:c>
      <x:c r="P1781" s="120" t="n">
        <x:v>45505.67265046296</x:v>
      </x:c>
      <x:c r="Q1781" s="117" t="str">
        <x:v>Jon Kean</x:v>
      </x:c>
      <x:c r="R1781" s="117" t="str">
        <x:v>New Move Location Screen Flow</x:v>
      </x:c>
      <x:c r="S1781" s="119"/>
    </x:row>
    <x:row r="1782" ht="30" customHeight="1">
      <x:c r="A1782" s="117" t="str">
        <x:v>New_Move_Location_Screen_Flow</x:v>
      </x:c>
      <x:c r="B1782" s="117" t="str">
        <x:v>3005b000000H42QAAS</x:v>
      </x:c>
      <x:c r="C1782" s="117" t="str">
        <x:v>301Ro00000IA6meIAD</x:v>
      </x:c>
      <x:c r="D1782" s="118" t="n">
        <x:v>17</x:v>
      </x:c>
      <x:c r="E1782" s="117" t="str">
        <x:v>Obsolete</x:v>
      </x:c>
      <x:c r="F1782" s="117" t="str">
        <x:v>No</x:v>
      </x:c>
      <x:c r="G1782" s="117" t="str">
        <x:v>No</x:v>
      </x:c>
      <x:c r="H1782" s="117" t="str">
        <x:v>Flow</x:v>
      </x:c>
      <x:c r="I1782" s="118" t="n">
        <x:v>55</x:v>
      </x:c>
      <x:c r="J1782" s="117" t="str">
        <x:v>unmanaged</x:v>
      </x:c>
      <x:c r="K1782" s="123" t="b">
        <x:v>0</x:v>
      </x:c>
      <x:c r="L1782" s="117"/>
      <x:c r="M1782" s="118"/>
      <x:c r="N1782" s="120" t="n">
        <x:v>45505.677615740744</x:v>
      </x:c>
      <x:c r="O1782" s="117" t="str">
        <x:v>Jon Kean</x:v>
      </x:c>
      <x:c r="P1782" s="120" t="n">
        <x:v>45505.67769675926</x:v>
      </x:c>
      <x:c r="Q1782" s="117" t="str">
        <x:v>Jon Kean</x:v>
      </x:c>
      <x:c r="R1782" s="117" t="str">
        <x:v>New Move Location Screen Flow</x:v>
      </x:c>
      <x:c r="S1782" s="119"/>
    </x:row>
    <x:row r="1783" ht="30" customHeight="1">
      <x:c r="A1783" s="117" t="str">
        <x:v>New_Move_Location_Screen_Flow</x:v>
      </x:c>
      <x:c r="B1783" s="117" t="str">
        <x:v>3005b000000H42QAAS</x:v>
      </x:c>
      <x:c r="C1783" s="117" t="str">
        <x:v>301Ro00000IAEFYIA5</x:v>
      </x:c>
      <x:c r="D1783" s="118" t="n">
        <x:v>18</x:v>
      </x:c>
      <x:c r="E1783" s="117" t="str">
        <x:v>Draft</x:v>
      </x:c>
      <x:c r="F1783" s="117" t="str">
        <x:v>No</x:v>
      </x:c>
      <x:c r="G1783" s="117" t="str">
        <x:v>No</x:v>
      </x:c>
      <x:c r="H1783" s="117" t="str">
        <x:v>Flow</x:v>
      </x:c>
      <x:c r="I1783" s="118" t="n">
        <x:v>55</x:v>
      </x:c>
      <x:c r="J1783" s="117" t="str">
        <x:v>unmanaged</x:v>
      </x:c>
      <x:c r="K1783" s="123" t="b">
        <x:v>0</x:v>
      </x:c>
      <x:c r="L1783" s="117"/>
      <x:c r="M1783" s="118"/>
      <x:c r="N1783" s="120" t="n">
        <x:v>45505.679236111115</x:v>
      </x:c>
      <x:c r="O1783" s="117" t="str">
        <x:v>Jon Kean</x:v>
      </x:c>
      <x:c r="P1783" s="120" t="n">
        <x:v>45505.67925925926</x:v>
      </x:c>
      <x:c r="Q1783" s="117" t="str">
        <x:v>Jon Kean</x:v>
      </x:c>
      <x:c r="R1783" s="117" t="str">
        <x:v>New Move Location Screen Flow</x:v>
      </x:c>
      <x:c r="S1783" s="119"/>
    </x:row>
    <x:row r="1784" ht="30" customHeight="1">
      <x:c r="A1784" s="117" t="str">
        <x:v>New_Move_Location_Screen_Flow</x:v>
      </x:c>
      <x:c r="B1784" s="117" t="str">
        <x:v>3005b000000H42QAAS</x:v>
      </x:c>
      <x:c r="C1784" s="117" t="str">
        <x:v>301Ro00000IA66jIAD</x:v>
      </x:c>
      <x:c r="D1784" s="118" t="n">
        <x:v>19</x:v>
      </x:c>
      <x:c r="E1784" s="117" t="str">
        <x:v>Obsolete</x:v>
      </x:c>
      <x:c r="F1784" s="117" t="str">
        <x:v>No</x:v>
      </x:c>
      <x:c r="G1784" s="117" t="str">
        <x:v>No</x:v>
      </x:c>
      <x:c r="H1784" s="117" t="str">
        <x:v>Flow</x:v>
      </x:c>
      <x:c r="I1784" s="118" t="n">
        <x:v>55</x:v>
      </x:c>
      <x:c r="J1784" s="117" t="str">
        <x:v>unmanaged</x:v>
      </x:c>
      <x:c r="K1784" s="123" t="b">
        <x:v>0</x:v>
      </x:c>
      <x:c r="L1784" s="117"/>
      <x:c r="M1784" s="118"/>
      <x:c r="N1784" s="120" t="n">
        <x:v>45505.68085648148</x:v>
      </x:c>
      <x:c r="O1784" s="117" t="str">
        <x:v>Jon Kean</x:v>
      </x:c>
      <x:c r="P1784" s="120" t="n">
        <x:v>45505.680925925924</x:v>
      </x:c>
      <x:c r="Q1784" s="117" t="str">
        <x:v>Jon Kean</x:v>
      </x:c>
      <x:c r="R1784" s="117" t="str">
        <x:v>New Move Location Screen Flow</x:v>
      </x:c>
      <x:c r="S1784" s="119"/>
    </x:row>
    <x:row r="1785" ht="30" customHeight="1">
      <x:c r="A1785" s="117" t="str">
        <x:v>New_Move_Location_Screen_Flow</x:v>
      </x:c>
      <x:c r="B1785" s="117" t="str">
        <x:v>3005b000000H42QAAS</x:v>
      </x:c>
      <x:c r="C1785" s="117" t="str">
        <x:v>301Ro00000IA4JSIA1</x:v>
      </x:c>
      <x:c r="D1785" s="118" t="n">
        <x:v>20</x:v>
      </x:c>
      <x:c r="E1785" s="117" t="str">
        <x:v>Obsolete</x:v>
      </x:c>
      <x:c r="F1785" s="117" t="str">
        <x:v>No</x:v>
      </x:c>
      <x:c r="G1785" s="117" t="str">
        <x:v>No</x:v>
      </x:c>
      <x:c r="H1785" s="117" t="str">
        <x:v>Flow</x:v>
      </x:c>
      <x:c r="I1785" s="118" t="n">
        <x:v>55</x:v>
      </x:c>
      <x:c r="J1785" s="117" t="str">
        <x:v>unmanaged</x:v>
      </x:c>
      <x:c r="K1785" s="123" t="b">
        <x:v>0</x:v>
      </x:c>
      <x:c r="L1785" s="117"/>
      <x:c r="M1785" s="118"/>
      <x:c r="N1785" s="120" t="n">
        <x:v>45505.68623842593</x:v>
      </x:c>
      <x:c r="O1785" s="117" t="str">
        <x:v>Jon Kean</x:v>
      </x:c>
      <x:c r="P1785" s="120" t="n">
        <x:v>45505.68630787037</x:v>
      </x:c>
      <x:c r="Q1785" s="117" t="str">
        <x:v>Jon Kean</x:v>
      </x:c>
      <x:c r="R1785" s="117" t="str">
        <x:v>New Move Location Screen Flow</x:v>
      </x:c>
      <x:c r="S1785" s="119"/>
    </x:row>
    <x:row r="1786" ht="30" customHeight="1">
      <x:c r="A1786" s="117" t="str">
        <x:v>New_Move_Location_Screen_Flow</x:v>
      </x:c>
      <x:c r="B1786" s="117" t="str">
        <x:v>3005b000000H42QAAS</x:v>
      </x:c>
      <x:c r="C1786" s="117" t="str">
        <x:v>301Ro00000IA3k3IAD</x:v>
      </x:c>
      <x:c r="D1786" s="118" t="n">
        <x:v>21</x:v>
      </x:c>
      <x:c r="E1786" s="117" t="str">
        <x:v>Obsolete</x:v>
      </x:c>
      <x:c r="F1786" s="117" t="str">
        <x:v>No</x:v>
      </x:c>
      <x:c r="G1786" s="117" t="str">
        <x:v>No</x:v>
      </x:c>
      <x:c r="H1786" s="117" t="str">
        <x:v>Flow</x:v>
      </x:c>
      <x:c r="I1786" s="118" t="n">
        <x:v>55</x:v>
      </x:c>
      <x:c r="J1786" s="117" t="str">
        <x:v>unmanaged</x:v>
      </x:c>
      <x:c r="K1786" s="123" t="b">
        <x:v>0</x:v>
      </x:c>
      <x:c r="L1786" s="117"/>
      <x:c r="M1786" s="118"/>
      <x:c r="N1786" s="120" t="n">
        <x:v>45505.68733796296</x:v>
      </x:c>
      <x:c r="O1786" s="117" t="str">
        <x:v>Jon Kean</x:v>
      </x:c>
      <x:c r="P1786" s="120" t="n">
        <x:v>45505.68739583333</x:v>
      </x:c>
      <x:c r="Q1786" s="117" t="str">
        <x:v>Jon Kean</x:v>
      </x:c>
      <x:c r="R1786" s="117" t="str">
        <x:v>New Move Location Screen Flow</x:v>
      </x:c>
      <x:c r="S1786" s="119"/>
    </x:row>
    <x:row r="1787" ht="30" customHeight="1">
      <x:c r="A1787" s="117" t="str">
        <x:v>New_Move_Location_Screen_Flow</x:v>
      </x:c>
      <x:c r="B1787" s="117" t="str">
        <x:v>3005b000000H42QAAS</x:v>
      </x:c>
      <x:c r="C1787" s="117" t="str">
        <x:v>301Ro00000IATG6IAP</x:v>
      </x:c>
      <x:c r="D1787" s="118" t="n">
        <x:v>22</x:v>
      </x:c>
      <x:c r="E1787" s="117" t="str">
        <x:v>Obsolete</x:v>
      </x:c>
      <x:c r="F1787" s="117" t="str">
        <x:v>No</x:v>
      </x:c>
      <x:c r="G1787" s="117" t="str">
        <x:v>No</x:v>
      </x:c>
      <x:c r="H1787" s="117" t="str">
        <x:v>Flow</x:v>
      </x:c>
      <x:c r="I1787" s="118" t="n">
        <x:v>55</x:v>
      </x:c>
      <x:c r="J1787" s="117" t="str">
        <x:v>unmanaged</x:v>
      </x:c>
      <x:c r="K1787" s="123" t="b">
        <x:v>0</x:v>
      </x:c>
      <x:c r="L1787" s="117"/>
      <x:c r="M1787" s="118"/>
      <x:c r="N1787" s="120" t="n">
        <x:v>45505.6987037037</x:v>
      </x:c>
      <x:c r="O1787" s="117" t="str">
        <x:v>Jon Kean</x:v>
      </x:c>
      <x:c r="P1787" s="120" t="n">
        <x:v>45505.69878472222</x:v>
      </x:c>
      <x:c r="Q1787" s="117" t="str">
        <x:v>Jon Kean</x:v>
      </x:c>
      <x:c r="R1787" s="117" t="str">
        <x:v>New Move Location Screen Flow</x:v>
      </x:c>
      <x:c r="S1787" s="119"/>
    </x:row>
    <x:row r="1788" ht="30" customHeight="1">
      <x:c r="A1788" s="117" t="str">
        <x:v>New_Move_Location_Screen_Flow</x:v>
      </x:c>
      <x:c r="B1788" s="117" t="str">
        <x:v>3005b000000H42QAAS</x:v>
      </x:c>
      <x:c r="C1788" s="117" t="str">
        <x:v>301Ro00000Jz9TFIAZ</x:v>
      </x:c>
      <x:c r="D1788" s="118" t="n">
        <x:v>23</x:v>
      </x:c>
      <x:c r="E1788" s="117" t="str">
        <x:v>Obsolete</x:v>
      </x:c>
      <x:c r="F1788" s="117" t="str">
        <x:v>No</x:v>
      </x:c>
      <x:c r="G1788" s="117" t="str">
        <x:v>No</x:v>
      </x:c>
      <x:c r="H1788" s="117" t="str">
        <x:v>Flow</x:v>
      </x:c>
      <x:c r="I1788" s="118" t="n">
        <x:v>55</x:v>
      </x:c>
      <x:c r="J1788" s="117" t="str">
        <x:v>unmanaged</x:v>
      </x:c>
      <x:c r="K1788" s="123" t="b">
        <x:v>0</x:v>
      </x:c>
      <x:c r="L1788" s="117"/>
      <x:c r="M1788" s="118"/>
      <x:c r="N1788" s="120" t="n">
        <x:v>45532.802256944444</x:v>
      </x:c>
      <x:c r="O1788" s="117" t="str">
        <x:v>Natalie Boger</x:v>
      </x:c>
      <x:c r="P1788" s="120" t="n">
        <x:v>45532.802349537036</x:v>
      </x:c>
      <x:c r="Q1788" s="117" t="str">
        <x:v>Natalie Boger</x:v>
      </x:c>
      <x:c r="R1788" s="117" t="str">
        <x:v>New Move Location Screen Flow</x:v>
      </x:c>
      <x:c r="S1788" s="119" t="str">
        <x:v>Added Jeffersonville</x:v>
      </x:c>
    </x:row>
    <x:row r="1789" ht="30" customHeight="1">
      <x:c r="A1789" s="117" t="str">
        <x:v>New_Move_Location_Screen_Flow</x:v>
      </x:c>
      <x:c r="B1789" s="117" t="str">
        <x:v>3005b000000H42QAAS</x:v>
      </x:c>
      <x:c r="C1789" s="117" t="str">
        <x:v>301Ro00000K054GIAR</x:v>
      </x:c>
      <x:c r="D1789" s="118" t="n">
        <x:v>24</x:v>
      </x:c>
      <x:c r="E1789" s="117" t="str">
        <x:v>Obsolete</x:v>
      </x:c>
      <x:c r="F1789" s="117" t="str">
        <x:v>No</x:v>
      </x:c>
      <x:c r="G1789" s="117" t="str">
        <x:v>No</x:v>
      </x:c>
      <x:c r="H1789" s="117" t="str">
        <x:v>Flow</x:v>
      </x:c>
      <x:c r="I1789" s="118" t="n">
        <x:v>55</x:v>
      </x:c>
      <x:c r="J1789" s="117" t="str">
        <x:v>unmanaged</x:v>
      </x:c>
      <x:c r="K1789" s="123" t="b">
        <x:v>0</x:v>
      </x:c>
      <x:c r="L1789" s="117"/>
      <x:c r="M1789" s="118"/>
      <x:c r="N1789" s="120" t="n">
        <x:v>45532.93372685185</x:v>
      </x:c>
      <x:c r="O1789" s="117" t="str">
        <x:v>Natalie Boger</x:v>
      </x:c>
      <x:c r="P1789" s="120" t="n">
        <x:v>45532.93386574074</x:v>
      </x:c>
      <x:c r="Q1789" s="117" t="str">
        <x:v>Natalie Boger</x:v>
      </x:c>
      <x:c r="R1789" s="117" t="str">
        <x:v>New Move Location Screen Flow</x:v>
      </x:c>
      <x:c r="S1789" s="119" t="str">
        <x:v>Added Jeffersonville</x:v>
      </x:c>
    </x:row>
    <x:row r="1790" ht="30" customHeight="1">
      <x:c r="A1790" s="117" t="str">
        <x:v>New_Move_Location_Screen_Flow</x:v>
      </x:c>
      <x:c r="B1790" s="117" t="str">
        <x:v>3005b000000H42QAAS</x:v>
      </x:c>
      <x:c r="C1790" s="117" t="str">
        <x:v>301Ro00000LuwekIAB</x:v>
      </x:c>
      <x:c r="D1790" s="118" t="n">
        <x:v>25</x:v>
      </x:c>
      <x:c r="E1790" s="117" t="str">
        <x:v>Obsolete</x:v>
      </x:c>
      <x:c r="F1790" s="117" t="str">
        <x:v>No</x:v>
      </x:c>
      <x:c r="G1790" s="117" t="str">
        <x:v>No</x:v>
      </x:c>
      <x:c r="H1790" s="117" t="str">
        <x:v>Flow</x:v>
      </x:c>
      <x:c r="I1790" s="118" t="n">
        <x:v>55</x:v>
      </x:c>
      <x:c r="J1790" s="117" t="str">
        <x:v>unmanaged</x:v>
      </x:c>
      <x:c r="K1790" s="123" t="b">
        <x:v>0</x:v>
      </x:c>
      <x:c r="L1790" s="117"/>
      <x:c r="M1790" s="118"/>
      <x:c r="N1790" s="120" t="n">
        <x:v>45562.7890625</x:v>
      </x:c>
      <x:c r="O1790" s="117" t="str">
        <x:v>Jace Gentil</x:v>
      </x:c>
      <x:c r="P1790" s="120" t="n">
        <x:v>45562.789131944446</x:v>
      </x:c>
      <x:c r="Q1790" s="117" t="str">
        <x:v>Jace Gentil</x:v>
      </x:c>
      <x:c r="R1790" s="117" t="str">
        <x:v>New Move Location Screen Flow</x:v>
      </x:c>
      <x:c r="S1790" s="119" t="str">
        <x:v>Added Jeffersonville</x:v>
      </x:c>
    </x:row>
    <x:row r="1791" ht="30" customHeight="1">
      <x:c r="A1791" s="117" t="str">
        <x:v>New_Move_Location_Screen_Flow</x:v>
      </x:c>
      <x:c r="B1791" s="117" t="str">
        <x:v>3005b000000H42QAAS</x:v>
      </x:c>
      <x:c r="C1791" s="117" t="str">
        <x:v>301Ro00000RLcPOIA1</x:v>
      </x:c>
      <x:c r="D1791" s="118" t="n">
        <x:v>26</x:v>
      </x:c>
      <x:c r="E1791" s="117" t="str">
        <x:v>Obsolete</x:v>
      </x:c>
      <x:c r="F1791" s="117" t="str">
        <x:v>No</x:v>
      </x:c>
      <x:c r="G1791" s="117" t="str">
        <x:v>No</x:v>
      </x:c>
      <x:c r="H1791" s="117" t="str">
        <x:v>Flow</x:v>
      </x:c>
      <x:c r="I1791" s="118" t="n">
        <x:v>55</x:v>
      </x:c>
      <x:c r="J1791" s="117" t="str">
        <x:v>unmanaged</x:v>
      </x:c>
      <x:c r="K1791" s="123" t="b">
        <x:v>0</x:v>
      </x:c>
      <x:c r="L1791" s="117"/>
      <x:c r="M1791" s="118"/>
      <x:c r="N1791" s="120" t="n">
        <x:v>45657.43615740741</x:v>
      </x:c>
      <x:c r="O1791" s="117" t="str">
        <x:v>Jon Kean</x:v>
      </x:c>
      <x:c r="P1791" s="120" t="n">
        <x:v>45657.43622685185</x:v>
      </x:c>
      <x:c r="Q1791" s="117" t="str">
        <x:v>Jon Kean</x:v>
      </x:c>
      <x:c r="R1791" s="117" t="str">
        <x:v>New Move Location Screen Flow</x:v>
      </x:c>
      <x:c r="S1791" s="119" t="str">
        <x:v>Added Software Cabinet in Electron Locations</x:v>
      </x:c>
    </x:row>
    <x:row r="1792" ht="30" customHeight="1">
      <x:c r="A1792" s="117" t="str">
        <x:v>New_Move_Location_Screen_Flow</x:v>
      </x:c>
      <x:c r="B1792" s="117" t="str">
        <x:v>3005b000000H42QAAS</x:v>
      </x:c>
      <x:c r="C1792" s="117" t="str">
        <x:v>301Ro00000UyjFaIAJ</x:v>
      </x:c>
      <x:c r="D1792" s="118" t="n">
        <x:v>27</x:v>
      </x:c>
      <x:c r="E1792" s="117" t="str">
        <x:v>Obsolete</x:v>
      </x:c>
      <x:c r="F1792" s="117" t="str">
        <x:v>No</x:v>
      </x:c>
      <x:c r="G1792" s="117" t="str">
        <x:v>No</x:v>
      </x:c>
      <x:c r="H1792" s="117" t="str">
        <x:v>Flow</x:v>
      </x:c>
      <x:c r="I1792" s="118" t="n">
        <x:v>55</x:v>
      </x:c>
      <x:c r="J1792" s="117" t="str">
        <x:v>unmanaged</x:v>
      </x:c>
      <x:c r="K1792" s="123" t="b">
        <x:v>0</x:v>
      </x:c>
      <x:c r="L1792" s="117"/>
      <x:c r="M1792" s="118"/>
      <x:c r="N1792" s="120" t="n">
        <x:v>45719.6028125</x:v>
      </x:c>
      <x:c r="O1792" s="117" t="str">
        <x:v>Jordan Reeves</x:v>
      </x:c>
      <x:c r="P1792" s="120" t="n">
        <x:v>45743.906493055554</x:v>
      </x:c>
      <x:c r="Q1792" s="117" t="str">
        <x:v>Natalie Boger</x:v>
      </x:c>
      <x:c r="R1792" s="117" t="str">
        <x:v>New Move Location Screen Flow</x:v>
      </x:c>
      <x:c r="S1792" s="119" t="str">
        <x:v>Added Nantes Locations</x:v>
      </x:c>
    </x:row>
    <x:row r="1793" ht="30" customHeight="1">
      <x:c r="A1793" s="117" t="str">
        <x:v>New_Move_Location_Screen_Flow</x:v>
      </x:c>
      <x:c r="B1793" s="117" t="str">
        <x:v>3005b000000H42QAAS</x:v>
      </x:c>
      <x:c r="C1793" s="117" t="str">
        <x:v>301Ro00000WP02QIAT</x:v>
      </x:c>
      <x:c r="D1793" s="118" t="n">
        <x:v>28</x:v>
      </x:c>
      <x:c r="E1793" s="117" t="str">
        <x:v>Obsolete</x:v>
      </x:c>
      <x:c r="F1793" s="117" t="str">
        <x:v>No</x:v>
      </x:c>
      <x:c r="G1793" s="117" t="str">
        <x:v>No</x:v>
      </x:c>
      <x:c r="H1793" s="117" t="str">
        <x:v>Flow</x:v>
      </x:c>
      <x:c r="I1793" s="118" t="n">
        <x:v>55</x:v>
      </x:c>
      <x:c r="J1793" s="117" t="str">
        <x:v>unmanaged</x:v>
      </x:c>
      <x:c r="K1793" s="123" t="b">
        <x:v>0</x:v>
      </x:c>
      <x:c r="L1793" s="117"/>
      <x:c r="M1793" s="118"/>
      <x:c r="N1793" s="120" t="n">
        <x:v>45743.863900462966</x:v>
      </x:c>
      <x:c r="O1793" s="117" t="str">
        <x:v>Natalie Boger</x:v>
      </x:c>
      <x:c r="P1793" s="120" t="n">
        <x:v>45745.78381944444</x:v>
      </x:c>
      <x:c r="Q1793" s="117" t="str">
        <x:v>Natalie Boger</x:v>
      </x:c>
      <x:c r="R1793" s="117" t="str">
        <x:v>New Move Location Screen Flow</x:v>
      </x:c>
      <x:c r="S1793" s="119" t="str">
        <x:v>Added Nantes Locations to Move Location record (previously not connected)</x:v>
      </x:c>
    </x:row>
    <x:row r="1794" ht="30" customHeight="1">
      <x:c r="A1794" s="117" t="str">
        <x:v>New_Move_Location_Screen_Flow</x:v>
      </x:c>
      <x:c r="B1794" s="117" t="str">
        <x:v>3005b000000H42QAAS</x:v>
      </x:c>
      <x:c r="C1794" s="117" t="str">
        <x:v>301Ro00000XbrTpIAJ</x:v>
      </x:c>
      <x:c r="D1794" s="118" t="n">
        <x:v>29</x:v>
      </x:c>
      <x:c r="E1794" s="117" t="str">
        <x:v>Obsolete</x:v>
      </x:c>
      <x:c r="F1794" s="117" t="str">
        <x:v>No</x:v>
      </x:c>
      <x:c r="G1794" s="117" t="str">
        <x:v>No</x:v>
      </x:c>
      <x:c r="H1794" s="117" t="str">
        <x:v>Flow</x:v>
      </x:c>
      <x:c r="I1794" s="118" t="n">
        <x:v>55</x:v>
      </x:c>
      <x:c r="J1794" s="117" t="str">
        <x:v>unmanaged</x:v>
      </x:c>
      <x:c r="K1794" s="123" t="b">
        <x:v>0</x:v>
      </x:c>
      <x:c r="L1794" s="117"/>
      <x:c r="M1794" s="118"/>
      <x:c r="N1794" s="120" t="n">
        <x:v>45765.169328703705</x:v>
      </x:c>
      <x:c r="O1794" s="117" t="str">
        <x:v>Natalie Boger</x:v>
      </x:c>
      <x:c r="P1794" s="120" t="n">
        <x:v>45765.1694212963</x:v>
      </x:c>
      <x:c r="Q1794" s="117" t="str">
        <x:v>Natalie Boger</x:v>
      </x:c>
      <x:c r="R1794" s="117" t="str">
        <x:v>New Move Location Screen Flow</x:v>
      </x:c>
      <x:c r="S1794" s="119" t="str">
        <x:v>Added FSE name list</x:v>
      </x:c>
    </x:row>
    <x:row r="1795" ht="30" customHeight="1">
      <x:c r="A1795" s="117" t="str">
        <x:v>New_Move_Location_Screen_Flow</x:v>
      </x:c>
      <x:c r="B1795" s="117" t="str">
        <x:v>3005b000000H42QAAS</x:v>
      </x:c>
      <x:c r="C1795" s="117" t="str">
        <x:v>301Ro00000XiEfUIAV</x:v>
      </x:c>
      <x:c r="D1795" s="118" t="n">
        <x:v>30</x:v>
      </x:c>
      <x:c r="E1795" s="117" t="str">
        <x:v>Obsolete</x:v>
      </x:c>
      <x:c r="F1795" s="117" t="str">
        <x:v>No</x:v>
      </x:c>
      <x:c r="G1795" s="117" t="str">
        <x:v>No</x:v>
      </x:c>
      <x:c r="H1795" s="117" t="str">
        <x:v>Flow</x:v>
      </x:c>
      <x:c r="I1795" s="118" t="n">
        <x:v>55</x:v>
      </x:c>
      <x:c r="J1795" s="117" t="str">
        <x:v>unmanaged</x:v>
      </x:c>
      <x:c r="K1795" s="123" t="b">
        <x:v>0</x:v>
      </x:c>
      <x:c r="L1795" s="117"/>
      <x:c r="M1795" s="118"/>
      <x:c r="N1795" s="120" t="n">
        <x:v>45767.947118055556</x:v>
      </x:c>
      <x:c r="O1795" s="117" t="str">
        <x:v>Natalie Boger</x:v>
      </x:c>
      <x:c r="P1795" s="120" t="n">
        <x:v>45767.94721064815</x:v>
      </x:c>
      <x:c r="Q1795" s="117" t="str">
        <x:v>Natalie Boger</x:v>
      </x:c>
      <x:c r="R1795" s="117" t="str">
        <x:v>New Move Location Screen Flow</x:v>
      </x:c>
      <x:c r="S1795" s="119" t="str">
        <x:v>Corrected issue with FSE field</x:v>
      </x:c>
    </x:row>
    <x:row r="1796" ht="30" customHeight="1">
      <x:c r="A1796" s="117" t="str">
        <x:v>New_Move_Location_Screen_Flow</x:v>
      </x:c>
      <x:c r="B1796" s="117" t="str">
        <x:v>3005b000000H42QAAS</x:v>
      </x:c>
      <x:c r="C1796" s="117" t="str">
        <x:v>301Ro00000YUodKIAT</x:v>
      </x:c>
      <x:c r="D1796" s="118" t="n">
        <x:v>31</x:v>
      </x:c>
      <x:c r="E1796" s="117" t="str">
        <x:v>Obsolete</x:v>
      </x:c>
      <x:c r="F1796" s="117" t="str">
        <x:v>No</x:v>
      </x:c>
      <x:c r="G1796" s="117" t="str">
        <x:v>No</x:v>
      </x:c>
      <x:c r="H1796" s="117" t="str">
        <x:v>Flow</x:v>
      </x:c>
      <x:c r="I1796" s="118" t="n">
        <x:v>55</x:v>
      </x:c>
      <x:c r="J1796" s="117" t="str">
        <x:v>unmanaged</x:v>
      </x:c>
      <x:c r="K1796" s="123" t="b">
        <x:v>0</x:v>
      </x:c>
      <x:c r="L1796" s="117"/>
      <x:c r="M1796" s="118"/>
      <x:c r="N1796" s="120" t="n">
        <x:v>45781.14451388889</x:v>
      </x:c>
      <x:c r="O1796" s="117" t="str">
        <x:v>Natalie Boger</x:v>
      </x:c>
      <x:c r="P1796" s="120" t="n">
        <x:v>45781.14461805556</x:v>
      </x:c>
      <x:c r="Q1796" s="117" t="str">
        <x:v>Natalie Boger</x:v>
      </x:c>
      <x:c r="R1796" s="117" t="str">
        <x:v>New Move Location Screen Flow</x:v>
      </x:c>
      <x:c r="S1796" s="119" t="str">
        <x:v>Added Tamarac Locations</x:v>
      </x:c>
    </x:row>
    <x:row r="1797" ht="30" customHeight="1">
      <x:c r="A1797" s="117" t="str">
        <x:v>New_Move_Location_Screen_Flow</x:v>
      </x:c>
      <x:c r="B1797" s="117" t="str">
        <x:v>3005b000000H42QAAS</x:v>
      </x:c>
      <x:c r="C1797" s="117" t="str">
        <x:v>301Ro00000ZGylfIAD</x:v>
      </x:c>
      <x:c r="D1797" s="118" t="n">
        <x:v>32</x:v>
      </x:c>
      <x:c r="E1797" s="117" t="str">
        <x:v>Obsolete</x:v>
      </x:c>
      <x:c r="F1797" s="117" t="str">
        <x:v>No</x:v>
      </x:c>
      <x:c r="G1797" s="117" t="str">
        <x:v>No</x:v>
      </x:c>
      <x:c r="H1797" s="117" t="str">
        <x:v>Flow</x:v>
      </x:c>
      <x:c r="I1797" s="118" t="n">
        <x:v>55</x:v>
      </x:c>
      <x:c r="J1797" s="117" t="str">
        <x:v>unmanaged</x:v>
      </x:c>
      <x:c r="K1797" s="123" t="b">
        <x:v>0</x:v>
      </x:c>
      <x:c r="L1797" s="117"/>
      <x:c r="M1797" s="118"/>
      <x:c r="N1797" s="120" t="n">
        <x:v>45793.98819444444</x:v>
      </x:c>
      <x:c r="O1797" s="117" t="str">
        <x:v>Natalie Boger</x:v>
      </x:c>
      <x:c r="P1797" s="120" t="n">
        <x:v>45793.98831018519</x:v>
      </x:c>
      <x:c r="Q1797" s="117" t="str">
        <x:v>Natalie Boger</x:v>
      </x:c>
      <x:c r="R1797" s="117" t="str">
        <x:v>New Move Location Screen Flow</x:v>
      </x:c>
      <x:c r="S1797" s="119" t="str">
        <x:v>Updated OldLocationToUpdate formula to account for all values in geographic locations pick list -- this is what drives updating the standard "Location" field on Asset2.</x:v>
      </x:c>
    </x:row>
    <x:row r="1798" ht="30" customHeight="1">
      <x:c r="A1798" s="117" t="str">
        <x:v>New_Move_Location_Screen_Flow</x:v>
      </x:c>
      <x:c r="B1798" s="117" t="str">
        <x:v>3005b000000H42QAAS</x:v>
      </x:c>
      <x:c r="C1798" s="117" t="str">
        <x:v>301Ro00000y2bCEIAY</x:v>
      </x:c>
      <x:c r="D1798" s="118" t="n">
        <x:v>33</x:v>
      </x:c>
      <x:c r="E1798" s="117" t="str">
        <x:v>Obsolete</x:v>
      </x:c>
      <x:c r="F1798" s="117" t="str">
        <x:v>No</x:v>
      </x:c>
      <x:c r="G1798" s="117" t="str">
        <x:v>No</x:v>
      </x:c>
      <x:c r="H1798" s="117" t="str">
        <x:v>Flow</x:v>
      </x:c>
      <x:c r="I1798" s="118" t="n">
        <x:v>55</x:v>
      </x:c>
      <x:c r="J1798" s="117" t="str">
        <x:v>unmanaged</x:v>
      </x:c>
      <x:c r="K1798" s="123" t="b">
        <x:v>0</x:v>
      </x:c>
      <x:c r="L1798" s="117"/>
      <x:c r="M1798" s="118"/>
      <x:c r="N1798" s="120" t="n">
        <x:v>46064.19681712963</x:v>
      </x:c>
      <x:c r="O1798" s="117" t="str">
        <x:v>Natalie Boger</x:v>
      </x:c>
      <x:c r="P1798" s="120" t="n">
        <x:v>46064.20686342593</x:v>
      </x:c>
      <x:c r="Q1798" s="117" t="str">
        <x:v>Natalie Boger</x:v>
      </x:c>
      <x:c r="R1798" s="117" t="str">
        <x:v>New Move Location Screen Flow</x:v>
      </x:c>
      <x:c r="S1798" s="119" t="str">
        <x:v>2.9.26 - Updated new Tampa WIP and FG locations. Also set sub-location on asset page to blank if using flow. NB</x:v>
      </x:c>
    </x:row>
    <x:row r="1799" ht="30" customHeight="1">
      <x:c r="A1799" s="117" t="str">
        <x:v>New_Move_Location_Screen_Flow</x:v>
      </x:c>
      <x:c r="B1799" s="117" t="str">
        <x:v>3005b000000H42QAAS</x:v>
      </x:c>
      <x:c r="C1799" s="117" t="str">
        <x:v>301Ro00000yhB8xIAE</x:v>
      </x:c>
      <x:c r="D1799" s="118" t="n">
        <x:v>34</x:v>
      </x:c>
      <x:c r="E1799" s="117" t="str">
        <x:v>Obsolete</x:v>
      </x:c>
      <x:c r="F1799" s="117" t="str">
        <x:v>No</x:v>
      </x:c>
      <x:c r="G1799" s="117" t="str">
        <x:v>No</x:v>
      </x:c>
      <x:c r="H1799" s="117" t="str">
        <x:v>Flow</x:v>
      </x:c>
      <x:c r="I1799" s="118" t="n">
        <x:v>55</x:v>
      </x:c>
      <x:c r="J1799" s="117" t="str">
        <x:v>unmanaged</x:v>
      </x:c>
      <x:c r="K1799" s="123" t="b">
        <x:v>0</x:v>
      </x:c>
      <x:c r="L1799" s="117"/>
      <x:c r="M1799" s="118"/>
      <x:c r="N1799" s="120" t="n">
        <x:v>46072.40972222222</x:v>
      </x:c>
      <x:c r="O1799" s="117" t="str">
        <x:v>Sacha Pearce</x:v>
      </x:c>
      <x:c r="P1799" s="120" t="n">
        <x:v>46072.4128125</x:v>
      </x:c>
      <x:c r="Q1799" s="117" t="str">
        <x:v>Sacha Pearce</x:v>
      </x:c>
      <x:c r="R1799" s="117" t="str">
        <x:v>New Move Location Screen Flow</x:v>
      </x:c>
      <x:c r="S1799" s="119" t="str">
        <x:v>2.17.26: add option for mass asset move location; also set picklist visibility on screen to be more specific (equals vs contains, using quotation marks). NB</x:v>
      </x:c>
    </x:row>
    <x:row r="1800" ht="30" customHeight="1">
      <x:c r="A1800" s="117" t="str">
        <x:v>New_Move_Location_Screen_Flow</x:v>
      </x:c>
      <x:c r="B1800" s="117" t="str">
        <x:v>3005b000000H42QAAS</x:v>
      </x:c>
      <x:c r="C1800" s="117" t="str">
        <x:v>301Ro000010ZOofIAG</x:v>
      </x:c>
      <x:c r="D1800" s="118" t="n">
        <x:v>35</x:v>
      </x:c>
      <x:c r="E1800" s="117" t="str">
        <x:v>Obsolete</x:v>
      </x:c>
      <x:c r="F1800" s="117" t="str">
        <x:v>No</x:v>
      </x:c>
      <x:c r="G1800" s="117" t="str">
        <x:v>No</x:v>
      </x:c>
      <x:c r="H1800" s="117" t="str">
        <x:v>Flow</x:v>
      </x:c>
      <x:c r="I1800" s="118" t="n">
        <x:v>55</x:v>
      </x:c>
      <x:c r="J1800" s="117" t="str">
        <x:v>unmanaged</x:v>
      </x:c>
      <x:c r="K1800" s="123" t="b">
        <x:v>0</x:v>
      </x:c>
      <x:c r="L1800" s="117"/>
      <x:c r="M1800" s="118"/>
      <x:c r="N1800" s="120" t="n">
        <x:v>46095.59921296296</x:v>
      </x:c>
      <x:c r="O1800" s="117" t="str">
        <x:v>Sacha Pearce</x:v>
      </x:c>
      <x:c r="P1800" s="120" t="n">
        <x:v>46095.599386574075</x:v>
      </x:c>
      <x:c r="Q1800" s="117" t="str">
        <x:v>Sacha Pearce</x:v>
      </x:c>
      <x:c r="R1800" s="117" t="str">
        <x:v>New Move Location Screen Flow</x:v>
      </x:c>
      <x:c r="S1800" s="119" t="str">
        <x:v>14/03/2026 - V35 - SP - Introducing the ability to move Assets from a Harvest Work Order</x:v>
      </x:c>
    </x:row>
    <x:row r="1801" ht="30" customHeight="1">
      <x:c r="A1801" s="117" t="str">
        <x:v>New_Move_Location_Screen_Flow</x:v>
      </x:c>
      <x:c r="B1801" s="117" t="str">
        <x:v>3005b000000H42QAAS</x:v>
      </x:c>
      <x:c r="C1801" s="117" t="str">
        <x:v>301Ro000010xRWmIAM</x:v>
      </x:c>
      <x:c r="D1801" s="118" t="n">
        <x:v>36</x:v>
      </x:c>
      <x:c r="E1801" s="117" t="str">
        <x:v>Obsolete</x:v>
      </x:c>
      <x:c r="F1801" s="117" t="str">
        <x:v>No</x:v>
      </x:c>
      <x:c r="G1801" s="117" t="str">
        <x:v>No</x:v>
      </x:c>
      <x:c r="H1801" s="117" t="str">
        <x:v>Flow</x:v>
      </x:c>
      <x:c r="I1801" s="118" t="n">
        <x:v>55</x:v>
      </x:c>
      <x:c r="J1801" s="117" t="str">
        <x:v>unmanaged</x:v>
      </x:c>
      <x:c r="K1801" s="123" t="b">
        <x:v>0</x:v>
      </x:c>
      <x:c r="L1801" s="117"/>
      <x:c r="M1801" s="118"/>
      <x:c r="N1801" s="120" t="n">
        <x:v>46100.465729166666</x:v>
      </x:c>
      <x:c r="O1801" s="117" t="str">
        <x:v>Sacha Pearce</x:v>
      </x:c>
      <x:c r="P1801" s="120" t="n">
        <x:v>46246.410266203704</x:v>
      </x:c>
      <x:c r="Q1801" s="117" t="str">
        <x:v>Sacha Pearce</x:v>
      </x:c>
      <x:c r="R1801" s="117" t="str">
        <x:v>New Move Location Screen Flow</x:v>
      </x:c>
      <x:c r="S1801" s="119" t="str">
        <x:v>14/03/2026 - V35 - SP - Adding "Shelf" visibility for when "Glocuester, UK - Proton" and "Tube Room" is selected.</x:v>
      </x:c>
    </x:row>
    <x:row r="1802" ht="30" customHeight="1">
      <x:c r="A1802" s="117" t="str">
        <x:v>New_Move_Location_Screen_Flow</x:v>
      </x:c>
      <x:c r="B1802" s="117" t="str">
        <x:v>3005b000000H42QAAS</x:v>
      </x:c>
      <x:c r="C1802" s="117" t="str">
        <x:v>301Ro00001DwhZJIAZ</x:v>
      </x:c>
      <x:c r="D1802" s="118" t="n">
        <x:v>37</x:v>
      </x:c>
      <x:c r="E1802" s="117" t="str">
        <x:v>Obsolete</x:v>
      </x:c>
      <x:c r="F1802" s="117" t="str">
        <x:v>No</x:v>
      </x:c>
      <x:c r="G1802" s="117" t="str">
        <x:v>No</x:v>
      </x:c>
      <x:c r="H1802" s="117" t="str">
        <x:v>Flow</x:v>
      </x:c>
      <x:c r="I1802" s="118" t="n">
        <x:v>55</x:v>
      </x:c>
      <x:c r="J1802" s="117" t="str">
        <x:v>unmanaged</x:v>
      </x:c>
      <x:c r="K1802" s="123" t="b">
        <x:v>0</x:v>
      </x:c>
      <x:c r="L1802" s="117"/>
      <x:c r="M1802" s="118"/>
      <x:c r="N1802" s="120" t="n">
        <x:v>46246.400972222225</x:v>
      </x:c>
      <x:c r="O1802" s="117" t="str">
        <x:v>Sacha Pearce</x:v>
      </x:c>
      <x:c r="P1802" s="120" t="n">
        <x:v>46246.409375</x:v>
      </x:c>
      <x:c r="Q1802" s="117" t="str">
        <x:v>Sacha Pearce</x:v>
      </x:c>
      <x:c r="R1802" s="117" t="str">
        <x:v>New Move Location Screen Flow</x:v>
      </x:c>
      <x:c r="S1802" s="119" t="str">
        <x:v>19/06/2026 - SP - Introducing New Locations for Tampa</x:v>
      </x:c>
    </x:row>
    <x:row r="1803" ht="30" customHeight="1">
      <x:c r="A1803" s="117" t="str">
        <x:v>New_Move_Location_Screen_Flow</x:v>
      </x:c>
      <x:c r="B1803" s="117" t="str">
        <x:v>3005b000000H42QAAS</x:v>
      </x:c>
      <x:c r="C1803" s="117" t="str">
        <x:v>301Ro00001DwqB7IAJ</x:v>
      </x:c>
      <x:c r="D1803" s="118" t="n">
        <x:v>38</x:v>
      </x:c>
      <x:c r="E1803" s="117" t="str">
        <x:v>Active</x:v>
      </x:c>
      <x:c r="F1803" s="117" t="str">
        <x:v>Yes</x:v>
      </x:c>
      <x:c r="G1803" s="117" t="str">
        <x:v>Yes</x:v>
      </x:c>
      <x:c r="H1803" s="117" t="str">
        <x:v>Flow</x:v>
      </x:c>
      <x:c r="I1803" s="118" t="n">
        <x:v>55</x:v>
      </x:c>
      <x:c r="J1803" s="117" t="str">
        <x:v>unmanaged</x:v>
      </x:c>
      <x:c r="K1803" s="123" t="b">
        <x:v>0</x:v>
      </x:c>
      <x:c r="L1803" s="117"/>
      <x:c r="M1803" s="118"/>
      <x:c r="N1803" s="120" t="n">
        <x:v>46246.42424768519</x:v>
      </x:c>
      <x:c r="O1803" s="117" t="str">
        <x:v>Sacha Pearce</x:v>
      </x:c>
      <x:c r="P1803" s="120" t="n">
        <x:v>46246.42511574074</x:v>
      </x:c>
      <x:c r="Q1803" s="117" t="str">
        <x:v>Sacha Pearce</x:v>
      </x:c>
      <x:c r="R1803" s="117" t="str">
        <x:v>New Move Location Screen Flow</x:v>
      </x:c>
      <x:c r="S1803" s="119" t="str">
        <x:v>19/06/2026 - SP - Introducing New Locations for Tampa</x:v>
      </x:c>
    </x:row>
    <x:row r="1804" ht="30" customHeight="1">
      <x:c r="A1804" s="117" t="str">
        <x:v>New_Opportunity_for_Existing_Contact_Form_Submissions</x:v>
      </x:c>
      <x:c r="B1804" s="117" t="str">
        <x:v>3004O0000008mBQQAY</x:v>
      </x:c>
      <x:c r="C1804" s="117" t="str">
        <x:v>3014O0000009HguQAE</x:v>
      </x:c>
      <x:c r="D1804" s="118" t="n">
        <x:v>1</x:v>
      </x:c>
      <x:c r="E1804" s="117" t="str">
        <x:v>Obsolete</x:v>
      </x:c>
      <x:c r="F1804" s="117" t="str">
        <x:v>No</x:v>
      </x:c>
      <x:c r="G1804" s="117" t="str">
        <x:v>No</x:v>
      </x:c>
      <x:c r="H1804" s="117" t="str">
        <x:v>Workflow</x:v>
      </x:c>
      <x:c r="I1804" s="118"/>
      <x:c r="J1804" s="117" t="str">
        <x:v>unmanaged</x:v>
      </x:c>
      <x:c r="K1804" s="123" t="b">
        <x:v>0</x:v>
      </x:c>
      <x:c r="L1804" s="117"/>
      <x:c r="M1804" s="118"/>
      <x:c r="N1804" s="120" t="n">
        <x:v>43963.72282407407</x:v>
      </x:c>
      <x:c r="O1804" s="117" t="str">
        <x:v>Trent VanEmon</x:v>
      </x:c>
      <x:c r="P1804" s="120" t="n">
        <x:v>43963.73869212963</x:v>
      </x:c>
      <x:c r="Q1804" s="117" t="str">
        <x:v>Trent VanEmon</x:v>
      </x:c>
      <x:c r="R1804" s="117" t="str">
        <x:v>New Opportunity for Existing Contact Form Submissions</x:v>
      </x:c>
      <x:c r="S1804" s="119" t="str">
        <x:v>When an existing contact submits a new form inquiry an opportunity is created</x:v>
      </x:c>
    </x:row>
    <x:row r="1805" ht="30" customHeight="1">
      <x:c r="A1805" s="117" t="str">
        <x:v>New_Opportunity_for_Existing_Contact_Form_Submissions</x:v>
      </x:c>
      <x:c r="B1805" s="117" t="str">
        <x:v>3004O0000008mBQQAY</x:v>
      </x:c>
      <x:c r="C1805" s="117" t="str">
        <x:v>3014O0000009Hh5QAE</x:v>
      </x:c>
      <x:c r="D1805" s="118" t="n">
        <x:v>2</x:v>
      </x:c>
      <x:c r="E1805" s="117" t="str">
        <x:v>Obsolete</x:v>
      </x:c>
      <x:c r="F1805" s="117" t="str">
        <x:v>No</x:v>
      </x:c>
      <x:c r="G1805" s="117" t="str">
        <x:v>No</x:v>
      </x:c>
      <x:c r="H1805" s="117" t="str">
        <x:v>Workflow</x:v>
      </x:c>
      <x:c r="I1805" s="118"/>
      <x:c r="J1805" s="117" t="str">
        <x:v>unmanaged</x:v>
      </x:c>
      <x:c r="K1805" s="123" t="b">
        <x:v>0</x:v>
      </x:c>
      <x:c r="L1805" s="117"/>
      <x:c r="M1805" s="118"/>
      <x:c r="N1805" s="120" t="n">
        <x:v>43963.74077546296</x:v>
      </x:c>
      <x:c r="O1805" s="117" t="str">
        <x:v>Trent VanEmon</x:v>
      </x:c>
      <x:c r="P1805" s="120" t="n">
        <x:v>43963.744421296295</x:v>
      </x:c>
      <x:c r="Q1805" s="117" t="str">
        <x:v>Trent VanEmon</x:v>
      </x:c>
      <x:c r="R1805" s="117" t="str">
        <x:v>New Opportunity for Existing Contact Form Submissions</x:v>
      </x:c>
      <x:c r="S1805" s="119" t="str">
        <x:v>When an existing contact submits a new form inquiry an opportunity is created</x:v>
      </x:c>
    </x:row>
    <x:row r="1806" ht="30" customHeight="1">
      <x:c r="A1806" s="117" t="str">
        <x:v>New_Opportunity_for_Existing_Contact_Form_Submissions</x:v>
      </x:c>
      <x:c r="B1806" s="117" t="str">
        <x:v>3004O0000008mBQQAY</x:v>
      </x:c>
      <x:c r="C1806" s="117" t="str">
        <x:v>3014O0000009HhJQAU</x:v>
      </x:c>
      <x:c r="D1806" s="118" t="n">
        <x:v>3</x:v>
      </x:c>
      <x:c r="E1806" s="117" t="str">
        <x:v>Obsolete</x:v>
      </x:c>
      <x:c r="F1806" s="117" t="str">
        <x:v>No</x:v>
      </x:c>
      <x:c r="G1806" s="117" t="str">
        <x:v>No</x:v>
      </x:c>
      <x:c r="H1806" s="117" t="str">
        <x:v>Workflow</x:v>
      </x:c>
      <x:c r="I1806" s="118"/>
      <x:c r="J1806" s="117" t="str">
        <x:v>unmanaged</x:v>
      </x:c>
      <x:c r="K1806" s="123" t="b">
        <x:v>0</x:v>
      </x:c>
      <x:c r="L1806" s="117"/>
      <x:c r="M1806" s="118"/>
      <x:c r="N1806" s="120" t="n">
        <x:v>43963.74928240741</x:v>
      </x:c>
      <x:c r="O1806" s="117" t="str">
        <x:v>Trent VanEmon</x:v>
      </x:c>
      <x:c r="P1806" s="120" t="n">
        <x:v>43963.758993055555</x:v>
      </x:c>
      <x:c r="Q1806" s="117" t="str">
        <x:v>Trent VanEmon</x:v>
      </x:c>
      <x:c r="R1806" s="117" t="str">
        <x:v>New Opportunity for Existing Contact Form Submissions</x:v>
      </x:c>
      <x:c r="S1806" s="119" t="str">
        <x:v>When an existing contact submits a new form inquiry an opportunity is created</x:v>
      </x:c>
    </x:row>
    <x:row r="1807" ht="30" customHeight="1">
      <x:c r="A1807" s="117" t="str">
        <x:v>New_Opportunity_for_Existing_Contact_Form_Submissions</x:v>
      </x:c>
      <x:c r="B1807" s="117" t="str">
        <x:v>3004O0000008mBQQAY</x:v>
      </x:c>
      <x:c r="C1807" s="117" t="str">
        <x:v>3014O0000009HhPQAU</x:v>
      </x:c>
      <x:c r="D1807" s="118" t="n">
        <x:v>4</x:v>
      </x:c>
      <x:c r="E1807" s="117" t="str">
        <x:v>Obsolete</x:v>
      </x:c>
      <x:c r="F1807" s="117" t="str">
        <x:v>No</x:v>
      </x:c>
      <x:c r="G1807" s="117" t="str">
        <x:v>No</x:v>
      </x:c>
      <x:c r="H1807" s="117" t="str">
        <x:v>Workflow</x:v>
      </x:c>
      <x:c r="I1807" s="118"/>
      <x:c r="J1807" s="117" t="str">
        <x:v>unmanaged</x:v>
      </x:c>
      <x:c r="K1807" s="123" t="b">
        <x:v>0</x:v>
      </x:c>
      <x:c r="L1807" s="117"/>
      <x:c r="M1807" s="118"/>
      <x:c r="N1807" s="120" t="n">
        <x:v>43963.75925925926</x:v>
      </x:c>
      <x:c r="O1807" s="117" t="str">
        <x:v>Trent VanEmon</x:v>
      </x:c>
      <x:c r="P1807" s="120" t="n">
        <x:v>43963.760358796295</x:v>
      </x:c>
      <x:c r="Q1807" s="117" t="str">
        <x:v>Trent VanEmon</x:v>
      </x:c>
      <x:c r="R1807" s="117" t="str">
        <x:v>New Opportunity for Existing Contact Form Submissions</x:v>
      </x:c>
      <x:c r="S1807" s="119" t="str">
        <x:v>When an existing contact submits a new form inquiry an opportunity is created</x:v>
      </x:c>
    </x:row>
    <x:row r="1808" ht="30" customHeight="1">
      <x:c r="A1808" s="117" t="str">
        <x:v>New_Opportunity_for_Existing_Contact_Form_Submissions</x:v>
      </x:c>
      <x:c r="B1808" s="117" t="str">
        <x:v>3004O0000008mBQQAY</x:v>
      </x:c>
      <x:c r="C1808" s="117" t="str">
        <x:v>3014O0000009HhQQAU</x:v>
      </x:c>
      <x:c r="D1808" s="118" t="n">
        <x:v>5</x:v>
      </x:c>
      <x:c r="E1808" s="117" t="str">
        <x:v>Obsolete</x:v>
      </x:c>
      <x:c r="F1808" s="117" t="str">
        <x:v>No</x:v>
      </x:c>
      <x:c r="G1808" s="117" t="str">
        <x:v>No</x:v>
      </x:c>
      <x:c r="H1808" s="117" t="str">
        <x:v>Workflow</x:v>
      </x:c>
      <x:c r="I1808" s="118"/>
      <x:c r="J1808" s="117" t="str">
        <x:v>unmanaged</x:v>
      </x:c>
      <x:c r="K1808" s="123" t="b">
        <x:v>0</x:v>
      </x:c>
      <x:c r="L1808" s="117"/>
      <x:c r="M1808" s="118"/>
      <x:c r="N1808" s="120" t="n">
        <x:v>43963.76054398148</x:v>
      </x:c>
      <x:c r="O1808" s="117" t="str">
        <x:v>Trent VanEmon</x:v>
      </x:c>
      <x:c r="P1808" s="120" t="n">
        <x:v>43963.91203703704</x:v>
      </x:c>
      <x:c r="Q1808" s="117" t="str">
        <x:v>Trent VanEmon</x:v>
      </x:c>
      <x:c r="R1808" s="117" t="str">
        <x:v>New Opportunity for Existing Contact Form Submissions</x:v>
      </x:c>
      <x:c r="S1808" s="119" t="str">
        <x:v>When an existing contact submits a new form inquiry an opportunity is created</x:v>
      </x:c>
    </x:row>
    <x:row r="1809" ht="30" customHeight="1">
      <x:c r="A1809" s="117" t="str">
        <x:v>New_Opportunity_for_Existing_Contact_Form_Submissions</x:v>
      </x:c>
      <x:c r="B1809" s="117" t="str">
        <x:v>3004O0000008mBQQAY</x:v>
      </x:c>
      <x:c r="C1809" s="117" t="str">
        <x:v>3014O0000009HhsQAE</x:v>
      </x:c>
      <x:c r="D1809" s="118" t="n">
        <x:v>6</x:v>
      </x:c>
      <x:c r="E1809" s="117" t="str">
        <x:v>Obsolete</x:v>
      </x:c>
      <x:c r="F1809" s="117" t="str">
        <x:v>No</x:v>
      </x:c>
      <x:c r="G1809" s="117" t="str">
        <x:v>No</x:v>
      </x:c>
      <x:c r="H1809" s="117" t="str">
        <x:v>Workflow</x:v>
      </x:c>
      <x:c r="I1809" s="118"/>
      <x:c r="J1809" s="117" t="str">
        <x:v>unmanaged</x:v>
      </x:c>
      <x:c r="K1809" s="123" t="b">
        <x:v>0</x:v>
      </x:c>
      <x:c r="L1809" s="117"/>
      <x:c r="M1809" s="118"/>
      <x:c r="N1809" s="120" t="n">
        <x:v>43963.912094907406</x:v>
      </x:c>
      <x:c r="O1809" s="117" t="str">
        <x:v>Trent VanEmon</x:v>
      </x:c>
      <x:c r="P1809" s="120" t="n">
        <x:v>43963.92123842592</x:v>
      </x:c>
      <x:c r="Q1809" s="117" t="str">
        <x:v>Trent VanEmon</x:v>
      </x:c>
      <x:c r="R1809" s="117" t="str">
        <x:v>New Opportunity for Existing Contact Form Submissions</x:v>
      </x:c>
      <x:c r="S1809" s="119" t="str">
        <x:v>When an existing contact submits a new form inquiry an opportunity is created</x:v>
      </x:c>
    </x:row>
    <x:row r="1810" ht="30" customHeight="1">
      <x:c r="A1810" s="117" t="str">
        <x:v>New_Opportunity_for_Existing_Contact_Form_Submissions</x:v>
      </x:c>
      <x:c r="B1810" s="117" t="str">
        <x:v>3004O0000008mBQQAY</x:v>
      </x:c>
      <x:c r="C1810" s="117" t="str">
        <x:v>3014O0000009Hi2QAE</x:v>
      </x:c>
      <x:c r="D1810" s="118" t="n">
        <x:v>7</x:v>
      </x:c>
      <x:c r="E1810" s="117" t="str">
        <x:v>Obsolete</x:v>
      </x:c>
      <x:c r="F1810" s="117" t="str">
        <x:v>No</x:v>
      </x:c>
      <x:c r="G1810" s="117" t="str">
        <x:v>Yes</x:v>
      </x:c>
      <x:c r="H1810" s="117" t="str">
        <x:v>Workflow</x:v>
      </x:c>
      <x:c r="I1810" s="118"/>
      <x:c r="J1810" s="117" t="str">
        <x:v>unmanaged</x:v>
      </x:c>
      <x:c r="K1810" s="123" t="b">
        <x:v>0</x:v>
      </x:c>
      <x:c r="L1810" s="117"/>
      <x:c r="M1810" s="118"/>
      <x:c r="N1810" s="120" t="n">
        <x:v>43963.92493055556</x:v>
      </x:c>
      <x:c r="O1810" s="117" t="str">
        <x:v>Trent VanEmon</x:v>
      </x:c>
      <x:c r="P1810" s="120" t="n">
        <x:v>43997.631273148145</x:v>
      </x:c>
      <x:c r="Q1810" s="117" t="str">
        <x:v>Trent VanEmon</x:v>
      </x:c>
      <x:c r="R1810" s="117" t="str">
        <x:v>New Opportunity for Existing Contact Form Submissions</x:v>
      </x:c>
      <x:c r="S1810" s="119" t="str">
        <x:v>When an existing contact submits a new form inquiry an opportunity is created</x:v>
      </x:c>
    </x:row>
    <x:row r="1811" ht="30" customHeight="1">
      <x:c r="A1811" s="117" t="str">
        <x:v>New_Parts_Opportunity_From_Work_Orker</x:v>
      </x:c>
      <x:c r="B1811" s="117" t="str">
        <x:v>3005b000000H3eJAAS</x:v>
      </x:c>
      <x:c r="C1811" s="117" t="str">
        <x:v>301Ro00000J5zHdIAJ</x:v>
      </x:c>
      <x:c r="D1811" s="118" t="n">
        <x:v>13</x:v>
      </x:c>
      <x:c r="E1811" s="117" t="str">
        <x:v>Obsolete</x:v>
      </x:c>
      <x:c r="F1811" s="117" t="str">
        <x:v>No</x:v>
      </x:c>
      <x:c r="G1811" s="117" t="str">
        <x:v>No</x:v>
      </x:c>
      <x:c r="H1811" s="117" t="str">
        <x:v>Flow</x:v>
      </x:c>
      <x:c r="I1811" s="118" t="n">
        <x:v>54</x:v>
      </x:c>
      <x:c r="J1811" s="117" t="str">
        <x:v>unmanaged</x:v>
      </x:c>
      <x:c r="K1811" s="123" t="b">
        <x:v>0</x:v>
      </x:c>
      <x:c r="L1811" s="117"/>
      <x:c r="M1811" s="118"/>
      <x:c r="N1811" s="120" t="n">
        <x:v>45519.3677662037</x:v>
      </x:c>
      <x:c r="O1811" s="117" t="str">
        <x:v>Jon Kean</x:v>
      </x:c>
      <x:c r="P1811" s="120" t="n">
        <x:v>45519.367800925924</x:v>
      </x:c>
      <x:c r="Q1811" s="117" t="str">
        <x:v>Jon Kean</x:v>
      </x:c>
      <x:c r="R1811" s="117" t="str">
        <x:v>New Parts/Probe Opportunity From Work Orker</x:v>
      </x:c>
      <x:c r="S1811" s="119"/>
    </x:row>
    <x:row r="1812" ht="30" customHeight="1">
      <x:c r="A1812" s="117" t="str">
        <x:v>New_Parts_Opportunity_From_Work_Orker</x:v>
      </x:c>
      <x:c r="B1812" s="117" t="str">
        <x:v>3005b000000H3eJAAS</x:v>
      </x:c>
      <x:c r="C1812" s="117" t="str">
        <x:v>301Ro00000J5vKUIAZ</x:v>
      </x:c>
      <x:c r="D1812" s="118" t="n">
        <x:v>14</x:v>
      </x:c>
      <x:c r="E1812" s="117" t="str">
        <x:v>Obsolete</x:v>
      </x:c>
      <x:c r="F1812" s="117" t="str">
        <x:v>No</x:v>
      </x:c>
      <x:c r="G1812" s="117" t="str">
        <x:v>No</x:v>
      </x:c>
      <x:c r="H1812" s="117" t="str">
        <x:v>Flow</x:v>
      </x:c>
      <x:c r="I1812" s="118" t="n">
        <x:v>54</x:v>
      </x:c>
      <x:c r="J1812" s="117" t="str">
        <x:v>unmanaged</x:v>
      </x:c>
      <x:c r="K1812" s="123" t="b">
        <x:v>0</x:v>
      </x:c>
      <x:c r="L1812" s="117"/>
      <x:c r="M1812" s="118"/>
      <x:c r="N1812" s="120" t="n">
        <x:v>45519.36858796296</x:v>
      </x:c>
      <x:c r="O1812" s="117" t="str">
        <x:v>Jon Kean</x:v>
      </x:c>
      <x:c r="P1812" s="120" t="n">
        <x:v>45519.36866898148</x:v>
      </x:c>
      <x:c r="Q1812" s="117" t="str">
        <x:v>Jon Kean</x:v>
      </x:c>
      <x:c r="R1812" s="117" t="str">
        <x:v>New Parts/Probe Opportunity From Work Orker</x:v>
      </x:c>
      <x:c r="S1812" s="119"/>
    </x:row>
    <x:row r="1813" ht="30" customHeight="1">
      <x:c r="A1813" s="117" t="str">
        <x:v>New_Parts_Opportunity_From_Work_Orker</x:v>
      </x:c>
      <x:c r="B1813" s="117" t="str">
        <x:v>3005b000000H3eJAAS</x:v>
      </x:c>
      <x:c r="C1813" s="117" t="str">
        <x:v>301Ro00000SziQlIAJ</x:v>
      </x:c>
      <x:c r="D1813" s="118" t="n">
        <x:v>15</x:v>
      </x:c>
      <x:c r="E1813" s="117" t="str">
        <x:v>Obsolete</x:v>
      </x:c>
      <x:c r="F1813" s="117" t="str">
        <x:v>No</x:v>
      </x:c>
      <x:c r="G1813" s="117" t="str">
        <x:v>No</x:v>
      </x:c>
      <x:c r="H1813" s="117" t="str">
        <x:v>Flow</x:v>
      </x:c>
      <x:c r="I1813" s="118" t="n">
        <x:v>54</x:v>
      </x:c>
      <x:c r="J1813" s="117" t="str">
        <x:v>unmanaged</x:v>
      </x:c>
      <x:c r="K1813" s="123" t="b">
        <x:v>0</x:v>
      </x:c>
      <x:c r="L1813" s="117"/>
      <x:c r="M1813" s="118"/>
      <x:c r="N1813" s="120" t="n">
        <x:v>45686.62189814815</x:v>
      </x:c>
      <x:c r="O1813" s="117" t="str">
        <x:v>Jon Kean</x:v>
      </x:c>
      <x:c r="P1813" s="120" t="n">
        <x:v>45686.62196759259</x:v>
      </x:c>
      <x:c r="Q1813" s="117" t="str">
        <x:v>Jon Kean</x:v>
      </x:c>
      <x:c r="R1813" s="117" t="str">
        <x:v>New Parts/Probe Opportunity From Work Orker</x:v>
      </x:c>
      <x:c r="S1813" s="119"/>
    </x:row>
    <x:row r="1814" ht="30" customHeight="1">
      <x:c r="A1814" s="117" t="str">
        <x:v>New_Parts_Opportunity_From_Work_Orker</x:v>
      </x:c>
      <x:c r="B1814" s="117" t="str">
        <x:v>3005b000000H3eJAAS</x:v>
      </x:c>
      <x:c r="C1814" s="117" t="str">
        <x:v>301Ro00000YYOWfIAP</x:v>
      </x:c>
      <x:c r="D1814" s="118" t="n">
        <x:v>16</x:v>
      </x:c>
      <x:c r="E1814" s="117" t="str">
        <x:v>Obsolete</x:v>
      </x:c>
      <x:c r="F1814" s="117" t="str">
        <x:v>No</x:v>
      </x:c>
      <x:c r="G1814" s="117" t="str">
        <x:v>No</x:v>
      </x:c>
      <x:c r="H1814" s="117" t="str">
        <x:v>Flow</x:v>
      </x:c>
      <x:c r="I1814" s="118" t="n">
        <x:v>54</x:v>
      </x:c>
      <x:c r="J1814" s="117" t="str">
        <x:v>unmanaged</x:v>
      </x:c>
      <x:c r="K1814" s="123" t="b">
        <x:v>0</x:v>
      </x:c>
      <x:c r="L1814" s="117"/>
      <x:c r="M1814" s="118"/>
      <x:c r="N1814" s="120" t="n">
        <x:v>45782.70612268519</x:v>
      </x:c>
      <x:c r="O1814" s="117" t="str">
        <x:v>Delegate</x:v>
      </x:c>
      <x:c r="P1814" s="120" t="n">
        <x:v>45783.508043981485</x:v>
      </x:c>
      <x:c r="Q1814" s="117" t="str">
        <x:v>Delegate</x:v>
      </x:c>
      <x:c r="R1814" s="117" t="str">
        <x:v>New Parts/Probe Opportunity From Work Orker</x:v>
      </x:c>
      <x:c r="S1814" s="119" t="str">
        <x:v>05/05/2025 - Kyle/Delegate - Serial Nu Updates</x:v>
      </x:c>
    </x:row>
    <x:row r="1815" ht="30" customHeight="1">
      <x:c r="A1815" s="117" t="str">
        <x:v>New_Parts_Opportunity_From_Work_Orker</x:v>
      </x:c>
      <x:c r="B1815" s="117" t="str">
        <x:v>3005b000000H3eJAAS</x:v>
      </x:c>
      <x:c r="C1815" s="117" t="str">
        <x:v>301Ro00000YbjynIAB</x:v>
      </x:c>
      <x:c r="D1815" s="118" t="n">
        <x:v>17</x:v>
      </x:c>
      <x:c r="E1815" s="117" t="str">
        <x:v>Obsolete</x:v>
      </x:c>
      <x:c r="F1815" s="117" t="str">
        <x:v>No</x:v>
      </x:c>
      <x:c r="G1815" s="117" t="str">
        <x:v>No</x:v>
      </x:c>
      <x:c r="H1815" s="117" t="str">
        <x:v>Flow</x:v>
      </x:c>
      <x:c r="I1815" s="118" t="n">
        <x:v>54</x:v>
      </x:c>
      <x:c r="J1815" s="117" t="str">
        <x:v>unmanaged</x:v>
      </x:c>
      <x:c r="K1815" s="123" t="b">
        <x:v>0</x:v>
      </x:c>
      <x:c r="L1815" s="117"/>
      <x:c r="M1815" s="118"/>
      <x:c r="N1815" s="120" t="n">
        <x:v>45783.508356481485</x:v>
      </x:c>
      <x:c r="O1815" s="117" t="str">
        <x:v>Delegate</x:v>
      </x:c>
      <x:c r="P1815" s="120" t="n">
        <x:v>45783.508425925924</x:v>
      </x:c>
      <x:c r="Q1815" s="117" t="str">
        <x:v>Delegate</x:v>
      </x:c>
      <x:c r="R1815" s="117" t="str">
        <x:v>New Parts/Probe Opportunity From Work Orker</x:v>
      </x:c>
      <x:c r="S1815" s="119"/>
    </x:row>
    <x:row r="1816" ht="30" customHeight="1">
      <x:c r="A1816" s="117" t="str">
        <x:v>New_Parts_Opportunity_From_Work_Orker</x:v>
      </x:c>
      <x:c r="B1816" s="117" t="str">
        <x:v>3005b000000H3eJAAS</x:v>
      </x:c>
      <x:c r="C1816" s="117" t="str">
        <x:v>301Ro00000YbvmwIAB</x:v>
      </x:c>
      <x:c r="D1816" s="118" t="n">
        <x:v>18</x:v>
      </x:c>
      <x:c r="E1816" s="117" t="str">
        <x:v>Obsolete</x:v>
      </x:c>
      <x:c r="F1816" s="117" t="str">
        <x:v>No</x:v>
      </x:c>
      <x:c r="G1816" s="117" t="str">
        <x:v>No</x:v>
      </x:c>
      <x:c r="H1816" s="117" t="str">
        <x:v>Flow</x:v>
      </x:c>
      <x:c r="I1816" s="118" t="n">
        <x:v>54</x:v>
      </x:c>
      <x:c r="J1816" s="117" t="str">
        <x:v>unmanaged</x:v>
      </x:c>
      <x:c r="K1816" s="123" t="b">
        <x:v>0</x:v>
      </x:c>
      <x:c r="L1816" s="117"/>
      <x:c r="M1816" s="118"/>
      <x:c r="N1816" s="120" t="n">
        <x:v>45783.53256944445</x:v>
      </x:c>
      <x:c r="O1816" s="117" t="str">
        <x:v>Delegate</x:v>
      </x:c>
      <x:c r="P1816" s="120" t="n">
        <x:v>45783.54162037037</x:v>
      </x:c>
      <x:c r="Q1816" s="117" t="str">
        <x:v>Delegate</x:v>
      </x:c>
      <x:c r="R1816" s="117" t="str">
        <x:v>New Parts/Probe Opportunity From Work Orker</x:v>
      </x:c>
      <x:c r="S1816" s="119" t="str">
        <x:v>05/05/2025 - Kyle/Delegate - Serial Number Updates</x:v>
      </x:c>
    </x:row>
    <x:row r="1817" ht="30" customHeight="1">
      <x:c r="A1817" s="117" t="str">
        <x:v>New_Parts_Opportunity_From_Work_Orker</x:v>
      </x:c>
      <x:c r="B1817" s="117" t="str">
        <x:v>3005b000000H3eJAAS</x:v>
      </x:c>
      <x:c r="C1817" s="117" t="str">
        <x:v>301Ro00000uZeAPIA0</x:v>
      </x:c>
      <x:c r="D1817" s="118" t="n">
        <x:v>19</x:v>
      </x:c>
      <x:c r="E1817" s="117" t="str">
        <x:v>Obsolete</x:v>
      </x:c>
      <x:c r="F1817" s="117" t="str">
        <x:v>No</x:v>
      </x:c>
      <x:c r="G1817" s="117" t="str">
        <x:v>No</x:v>
      </x:c>
      <x:c r="H1817" s="117" t="str">
        <x:v>Flow</x:v>
      </x:c>
      <x:c r="I1817" s="118" t="n">
        <x:v>65</x:v>
      </x:c>
      <x:c r="J1817" s="117" t="str">
        <x:v>unmanaged</x:v>
      </x:c>
      <x:c r="K1817" s="123" t="b">
        <x:v>0</x:v>
      </x:c>
      <x:c r="L1817" s="117"/>
      <x:c r="M1817" s="118"/>
      <x:c r="N1817" s="120" t="n">
        <x:v>46013.87773148148</x:v>
      </x:c>
      <x:c r="O1817" s="117" t="str">
        <x:v>Delegate</x:v>
      </x:c>
      <x:c r="P1817" s="120" t="n">
        <x:v>46013.87783564815</x:v>
      </x:c>
      <x:c r="Q1817" s="117" t="str">
        <x:v>Delegate</x:v>
      </x:c>
      <x:c r="R1817" s="117" t="str">
        <x:v>New Parts/Probe Opportunity From Work Orker</x:v>
      </x:c>
      <x:c r="S1817" s="119" t="str">
        <x:v>12/22/2025 (BW) - Adding updates from the 12/19/2025 walkthrough with US Operations</x:v>
      </x:c>
    </x:row>
    <x:row r="1818" ht="30" customHeight="1">
      <x:c r="A1818" s="117" t="str">
        <x:v>New_Parts_Opportunity_From_Work_Orker</x:v>
      </x:c>
      <x:c r="B1818" s="117" t="str">
        <x:v>3005b000000H3eJAAS</x:v>
      </x:c>
      <x:c r="C1818" s="117" t="str">
        <x:v>301Ro00000uZJyrIAG</x:v>
      </x:c>
      <x:c r="D1818" s="118" t="n">
        <x:v>20</x:v>
      </x:c>
      <x:c r="E1818" s="117" t="str">
        <x:v>Obsolete</x:v>
      </x:c>
      <x:c r="F1818" s="117" t="str">
        <x:v>No</x:v>
      </x:c>
      <x:c r="G1818" s="117" t="str">
        <x:v>No</x:v>
      </x:c>
      <x:c r="H1818" s="117" t="str">
        <x:v>Flow</x:v>
      </x:c>
      <x:c r="I1818" s="118" t="n">
        <x:v>65</x:v>
      </x:c>
      <x:c r="J1818" s="117" t="str">
        <x:v>unmanaged</x:v>
      </x:c>
      <x:c r="K1818" s="123" t="b">
        <x:v>0</x:v>
      </x:c>
      <x:c r="L1818" s="117"/>
      <x:c r="M1818" s="118"/>
      <x:c r="N1818" s="120" t="n">
        <x:v>46013.87825231482</x:v>
      </x:c>
      <x:c r="O1818" s="117" t="str">
        <x:v>Delegate</x:v>
      </x:c>
      <x:c r="P1818" s="120" t="n">
        <x:v>46013.87841435185</x:v>
      </x:c>
      <x:c r="Q1818" s="117" t="str">
        <x:v>Delegate</x:v>
      </x:c>
      <x:c r="R1818" s="117" t="str">
        <x:v>New Parts/Probe Opportunity From Work Orker</x:v>
      </x:c>
      <x:c r="S1818" s="119" t="str">
        <x:v>12/22/2025 (BW) - Adding updates from the 12/19/2025 walkthrough with US Operations</x:v>
      </x:c>
    </x:row>
    <x:row r="1819" ht="30" customHeight="1">
      <x:c r="A1819" s="117" t="str">
        <x:v>New_Parts_Opportunity_From_Work_Orker</x:v>
      </x:c>
      <x:c r="B1819" s="117" t="str">
        <x:v>3005b000000H3eJAAS</x:v>
      </x:c>
      <x:c r="C1819" s="117" t="str">
        <x:v>301Ro00000uZg2YIAS</x:v>
      </x:c>
      <x:c r="D1819" s="118" t="n">
        <x:v>21</x:v>
      </x:c>
      <x:c r="E1819" s="117" t="str">
        <x:v>Obsolete</x:v>
      </x:c>
      <x:c r="F1819" s="117" t="str">
        <x:v>No</x:v>
      </x:c>
      <x:c r="G1819" s="117" t="str">
        <x:v>No</x:v>
      </x:c>
      <x:c r="H1819" s="117" t="str">
        <x:v>Flow</x:v>
      </x:c>
      <x:c r="I1819" s="118" t="n">
        <x:v>65</x:v>
      </x:c>
      <x:c r="J1819" s="117" t="str">
        <x:v>unmanaged</x:v>
      </x:c>
      <x:c r="K1819" s="123" t="b">
        <x:v>0</x:v>
      </x:c>
      <x:c r="L1819" s="117"/>
      <x:c r="M1819" s="118"/>
      <x:c r="N1819" s="120" t="n">
        <x:v>46013.88407407407</x:v>
      </x:c>
      <x:c r="O1819" s="117" t="str">
        <x:v>Delegate</x:v>
      </x:c>
      <x:c r="P1819" s="120" t="n">
        <x:v>46013.88414351852</x:v>
      </x:c>
      <x:c r="Q1819" s="117" t="str">
        <x:v>Delegate</x:v>
      </x:c>
      <x:c r="R1819" s="117" t="str">
        <x:v>New Parts/Probe Opportunity From Work Orker</x:v>
      </x:c>
      <x:c r="S1819" s="119" t="str">
        <x:v>12/22/2025 (BW) - Adding updates from the 12/19/2025 walkthrough with US Operations</x:v>
      </x:c>
    </x:row>
    <x:row r="1820" ht="30" customHeight="1">
      <x:c r="A1820" s="117" t="str">
        <x:v>New_Parts_Opportunity_From_Work_Orker</x:v>
      </x:c>
      <x:c r="B1820" s="117" t="str">
        <x:v>3005b000000H3eJAAS</x:v>
      </x:c>
      <x:c r="C1820" s="117" t="str">
        <x:v>301Ro00000uZM8oIAG</x:v>
      </x:c>
      <x:c r="D1820" s="118" t="n">
        <x:v>22</x:v>
      </x:c>
      <x:c r="E1820" s="117" t="str">
        <x:v>Obsolete</x:v>
      </x:c>
      <x:c r="F1820" s="117" t="str">
        <x:v>No</x:v>
      </x:c>
      <x:c r="G1820" s="117" t="str">
        <x:v>No</x:v>
      </x:c>
      <x:c r="H1820" s="117" t="str">
        <x:v>Flow</x:v>
      </x:c>
      <x:c r="I1820" s="118" t="n">
        <x:v>65</x:v>
      </x:c>
      <x:c r="J1820" s="117" t="str">
        <x:v>unmanaged</x:v>
      </x:c>
      <x:c r="K1820" s="123" t="b">
        <x:v>0</x:v>
      </x:c>
      <x:c r="L1820" s="117"/>
      <x:c r="M1820" s="118"/>
      <x:c r="N1820" s="120" t="n">
        <x:v>46013.88690972222</x:v>
      </x:c>
      <x:c r="O1820" s="117" t="str">
        <x:v>Delegate</x:v>
      </x:c>
      <x:c r="P1820" s="120" t="n">
        <x:v>46013.886979166666</x:v>
      </x:c>
      <x:c r="Q1820" s="117" t="str">
        <x:v>Delegate</x:v>
      </x:c>
      <x:c r="R1820" s="117" t="str">
        <x:v>New Parts/Probe Opportunity From Work Orker</x:v>
      </x:c>
      <x:c r="S1820" s="119" t="str">
        <x:v>12/22/2025 (BW) - Adding updates from the 12/19/2025 walkthrough with US Operations</x:v>
      </x:c>
    </x:row>
    <x:row r="1821" ht="30" customHeight="1">
      <x:c r="A1821" s="117" t="str">
        <x:v>New_Parts_Opportunity_From_Work_Orker</x:v>
      </x:c>
      <x:c r="B1821" s="117" t="str">
        <x:v>3005b000000H3eJAAS</x:v>
      </x:c>
      <x:c r="C1821" s="117" t="str">
        <x:v>301Ro00000uZTi6IAG</x:v>
      </x:c>
      <x:c r="D1821" s="118" t="n">
        <x:v>23</x:v>
      </x:c>
      <x:c r="E1821" s="117" t="str">
        <x:v>Obsolete</x:v>
      </x:c>
      <x:c r="F1821" s="117" t="str">
        <x:v>No</x:v>
      </x:c>
      <x:c r="G1821" s="117" t="str">
        <x:v>No</x:v>
      </x:c>
      <x:c r="H1821" s="117" t="str">
        <x:v>Flow</x:v>
      </x:c>
      <x:c r="I1821" s="118" t="n">
        <x:v>65</x:v>
      </x:c>
      <x:c r="J1821" s="117" t="str">
        <x:v>unmanaged</x:v>
      </x:c>
      <x:c r="K1821" s="123" t="b">
        <x:v>0</x:v>
      </x:c>
      <x:c r="L1821" s="117"/>
      <x:c r="M1821" s="118"/>
      <x:c r="N1821" s="120" t="n">
        <x:v>46013.89561342593</x:v>
      </x:c>
      <x:c r="O1821" s="117" t="str">
        <x:v>Delegate</x:v>
      </x:c>
      <x:c r="P1821" s="120" t="n">
        <x:v>46013.89570601852</x:v>
      </x:c>
      <x:c r="Q1821" s="117" t="str">
        <x:v>Delegate</x:v>
      </x:c>
      <x:c r="R1821" s="117" t="str">
        <x:v>New Parts/Probe Opportunity From Work Orker</x:v>
      </x:c>
      <x:c r="S1821" s="119" t="str">
        <x:v>12/22/2025 (BW) - Adding updates from the 12/19/2025 walkthrough with US Operations</x:v>
      </x:c>
    </x:row>
    <x:row r="1822" ht="30" customHeight="1">
      <x:c r="A1822" s="117" t="str">
        <x:v>New_Parts_Opportunity_From_Work_Orker</x:v>
      </x:c>
      <x:c r="B1822" s="117" t="str">
        <x:v>3005b000000H3eJAAS</x:v>
      </x:c>
      <x:c r="C1822" s="117" t="str">
        <x:v>301Ro00000ufaCHIAY</x:v>
      </x:c>
      <x:c r="D1822" s="118" t="n">
        <x:v>24</x:v>
      </x:c>
      <x:c r="E1822" s="117" t="str">
        <x:v>Obsolete</x:v>
      </x:c>
      <x:c r="F1822" s="117" t="str">
        <x:v>No</x:v>
      </x:c>
      <x:c r="G1822" s="117" t="str">
        <x:v>No</x:v>
      </x:c>
      <x:c r="H1822" s="117" t="str">
        <x:v>Flow</x:v>
      </x:c>
      <x:c r="I1822" s="118" t="n">
        <x:v>65</x:v>
      </x:c>
      <x:c r="J1822" s="117" t="str">
        <x:v>unmanaged</x:v>
      </x:c>
      <x:c r="K1822" s="123" t="b">
        <x:v>0</x:v>
      </x:c>
      <x:c r="L1822" s="117"/>
      <x:c r="M1822" s="118"/>
      <x:c r="N1822" s="120" t="n">
        <x:v>46015.579363425924</x:v>
      </x:c>
      <x:c r="O1822" s="117" t="str">
        <x:v>Delegate</x:v>
      </x:c>
      <x:c r="P1822" s="120" t="n">
        <x:v>46015.579733796294</x:v>
      </x:c>
      <x:c r="Q1822" s="117" t="str">
        <x:v>Delegate</x:v>
      </x:c>
      <x:c r="R1822" s="117" t="str">
        <x:v>New Parts/Probe Opportunity From Work Orker</x:v>
      </x:c>
      <x:c r="S1822" s="119" t="str">
        <x:v>12/23/2025 (BW) - Added Shipping Address, FSE Email, and FSE to the opportunity upon creation</x:v>
      </x:c>
    </x:row>
    <x:row r="1823" ht="30" customHeight="1">
      <x:c r="A1823" s="117" t="str">
        <x:v>New_Parts_Opportunity_From_Work_Orker</x:v>
      </x:c>
      <x:c r="B1823" s="117" t="str">
        <x:v>3005b000000H3eJAAS</x:v>
      </x:c>
      <x:c r="C1823" s="117" t="str">
        <x:v>301Ro00000vCiHPIA0</x:v>
      </x:c>
      <x:c r="D1823" s="118" t="n">
        <x:v>25</x:v>
      </x:c>
      <x:c r="E1823" s="117" t="str">
        <x:v>Obsolete</x:v>
      </x:c>
      <x:c r="F1823" s="117" t="str">
        <x:v>No</x:v>
      </x:c>
      <x:c r="G1823" s="117" t="str">
        <x:v>No</x:v>
      </x:c>
      <x:c r="H1823" s="117" t="str">
        <x:v>Flow</x:v>
      </x:c>
      <x:c r="I1823" s="118" t="n">
        <x:v>65</x:v>
      </x:c>
      <x:c r="J1823" s="117" t="str">
        <x:v>unmanaged</x:v>
      </x:c>
      <x:c r="K1823" s="123" t="b">
        <x:v>0</x:v>
      </x:c>
      <x:c r="L1823" s="117"/>
      <x:c r="M1823" s="118"/>
      <x:c r="N1823" s="120" t="n">
        <x:v>46028.552083333336</x:v>
      </x:c>
      <x:c r="O1823" s="117" t="str">
        <x:v>Delegate</x:v>
      </x:c>
      <x:c r="P1823" s="120" t="n">
        <x:v>46028.55247685185</x:v>
      </x:c>
      <x:c r="Q1823" s="117" t="str">
        <x:v>Delegate</x:v>
      </x:c>
      <x:c r="R1823" s="117" t="str">
        <x:v>New Parts/Probe Opportunity From Work Orker</x:v>
      </x:c>
      <x:c r="S1823" s="119" t="str">
        <x:v>01/06/2025 (BW) - Added breakout of various items on the creation of probe repair opportunties</x:v>
      </x:c>
    </x:row>
    <x:row r="1824" ht="30" customHeight="1">
      <x:c r="A1824" s="117" t="str">
        <x:v>New_Parts_Opportunity_From_Work_Orker</x:v>
      </x:c>
      <x:c r="B1824" s="117" t="str">
        <x:v>3005b000000H3eJAAS</x:v>
      </x:c>
      <x:c r="C1824" s="117" t="str">
        <x:v>301Ro00000vCrkUIAS</x:v>
      </x:c>
      <x:c r="D1824" s="118" t="n">
        <x:v>26</x:v>
      </x:c>
      <x:c r="E1824" s="117" t="str">
        <x:v>Obsolete</x:v>
      </x:c>
      <x:c r="F1824" s="117" t="str">
        <x:v>No</x:v>
      </x:c>
      <x:c r="G1824" s="117" t="str">
        <x:v>No</x:v>
      </x:c>
      <x:c r="H1824" s="117" t="str">
        <x:v>Flow</x:v>
      </x:c>
      <x:c r="I1824" s="118" t="n">
        <x:v>65</x:v>
      </x:c>
      <x:c r="J1824" s="117" t="str">
        <x:v>unmanaged</x:v>
      </x:c>
      <x:c r="K1824" s="123" t="b">
        <x:v>0</x:v>
      </x:c>
      <x:c r="L1824" s="117"/>
      <x:c r="M1824" s="118"/>
      <x:c r="N1824" s="120" t="n">
        <x:v>46028.55739583333</x:v>
      </x:c>
      <x:c r="O1824" s="117" t="str">
        <x:v>Delegate</x:v>
      </x:c>
      <x:c r="P1824" s="120" t="n">
        <x:v>46028.55746527778</x:v>
      </x:c>
      <x:c r="Q1824" s="117" t="str">
        <x:v>Delegate</x:v>
      </x:c>
      <x:c r="R1824" s="117" t="str">
        <x:v>New Parts/Probe Opportunity From Work Orker</x:v>
      </x:c>
      <x:c r="S1824" s="119" t="str">
        <x:v>01/06/2025 (BW) - Added breakout of various items on the creation of probe repair opportunties</x:v>
      </x:c>
    </x:row>
    <x:row r="1825" ht="30" customHeight="1">
      <x:c r="A1825" s="117" t="str">
        <x:v>New_Parts_Opportunity_From_Work_Orker</x:v>
      </x:c>
      <x:c r="B1825" s="117" t="str">
        <x:v>3005b000000H3eJAAS</x:v>
      </x:c>
      <x:c r="C1825" s="117" t="str">
        <x:v>301Ro00000vCUT4IAO</x:v>
      </x:c>
      <x:c r="D1825" s="118" t="n">
        <x:v>27</x:v>
      </x:c>
      <x:c r="E1825" s="117" t="str">
        <x:v>Obsolete</x:v>
      </x:c>
      <x:c r="F1825" s="117" t="str">
        <x:v>No</x:v>
      </x:c>
      <x:c r="G1825" s="117" t="str">
        <x:v>No</x:v>
      </x:c>
      <x:c r="H1825" s="117" t="str">
        <x:v>Flow</x:v>
      </x:c>
      <x:c r="I1825" s="118" t="n">
        <x:v>65</x:v>
      </x:c>
      <x:c r="J1825" s="117" t="str">
        <x:v>unmanaged</x:v>
      </x:c>
      <x:c r="K1825" s="123" t="b">
        <x:v>0</x:v>
      </x:c>
      <x:c r="L1825" s="117"/>
      <x:c r="M1825" s="118"/>
      <x:c r="N1825" s="120" t="n">
        <x:v>46028.561064814814</x:v>
      </x:c>
      <x:c r="O1825" s="117" t="str">
        <x:v>Delegate</x:v>
      </x:c>
      <x:c r="P1825" s="120" t="n">
        <x:v>46028.56115740741</x:v>
      </x:c>
      <x:c r="Q1825" s="117" t="str">
        <x:v>Delegate</x:v>
      </x:c>
      <x:c r="R1825" s="117" t="str">
        <x:v>New Parts/Probe Opportunity From Work Orker</x:v>
      </x:c>
      <x:c r="S1825" s="119" t="str">
        <x:v>01/06/2025 (BW) - Added breakout of various items on the creation of probe repair opportunties</x:v>
      </x:c>
    </x:row>
    <x:row r="1826" ht="30" customHeight="1">
      <x:c r="A1826" s="117" t="str">
        <x:v>New_Parts_Opportunity_From_Work_Orker</x:v>
      </x:c>
      <x:c r="B1826" s="117" t="str">
        <x:v>3005b000000H3eJAAS</x:v>
      </x:c>
      <x:c r="C1826" s="117" t="str">
        <x:v>301Ro00000vCtcbIAC</x:v>
      </x:c>
      <x:c r="D1826" s="118" t="n">
        <x:v>28</x:v>
      </x:c>
      <x:c r="E1826" s="117" t="str">
        <x:v>Obsolete</x:v>
      </x:c>
      <x:c r="F1826" s="117" t="str">
        <x:v>No</x:v>
      </x:c>
      <x:c r="G1826" s="117" t="str">
        <x:v>No</x:v>
      </x:c>
      <x:c r="H1826" s="117" t="str">
        <x:v>Flow</x:v>
      </x:c>
      <x:c r="I1826" s="118" t="n">
        <x:v>65</x:v>
      </x:c>
      <x:c r="J1826" s="117" t="str">
        <x:v>unmanaged</x:v>
      </x:c>
      <x:c r="K1826" s="123" t="b">
        <x:v>0</x:v>
      </x:c>
      <x:c r="L1826" s="117"/>
      <x:c r="M1826" s="118"/>
      <x:c r="N1826" s="120" t="n">
        <x:v>46028.56253472222</x:v>
      </x:c>
      <x:c r="O1826" s="117" t="str">
        <x:v>Delegate</x:v>
      </x:c>
      <x:c r="P1826" s="120" t="n">
        <x:v>46028.56275462963</x:v>
      </x:c>
      <x:c r="Q1826" s="117" t="str">
        <x:v>Delegate</x:v>
      </x:c>
      <x:c r="R1826" s="117" t="str">
        <x:v>New Parts/Probe Opportunity From Work Orker</x:v>
      </x:c>
      <x:c r="S1826" s="119" t="str">
        <x:v>01/06/2025 (BW) - Added breakout of various items on the creation of probe repair opportunties</x:v>
      </x:c>
    </x:row>
    <x:row r="1827" ht="30" customHeight="1">
      <x:c r="A1827" s="117" t="str">
        <x:v>New_Parts_Opportunity_From_Work_Orker</x:v>
      </x:c>
      <x:c r="B1827" s="117" t="str">
        <x:v>3005b000000H3eJAAS</x:v>
      </x:c>
      <x:c r="C1827" s="117" t="str">
        <x:v>301Ro00000vCkeBIAS</x:v>
      </x:c>
      <x:c r="D1827" s="118" t="n">
        <x:v>29</x:v>
      </x:c>
      <x:c r="E1827" s="117" t="str">
        <x:v>Obsolete</x:v>
      </x:c>
      <x:c r="F1827" s="117" t="str">
        <x:v>No</x:v>
      </x:c>
      <x:c r="G1827" s="117" t="str">
        <x:v>No</x:v>
      </x:c>
      <x:c r="H1827" s="117" t="str">
        <x:v>Flow</x:v>
      </x:c>
      <x:c r="I1827" s="118" t="n">
        <x:v>65</x:v>
      </x:c>
      <x:c r="J1827" s="117" t="str">
        <x:v>unmanaged</x:v>
      </x:c>
      <x:c r="K1827" s="123" t="b">
        <x:v>0</x:v>
      </x:c>
      <x:c r="L1827" s="117"/>
      <x:c r="M1827" s="118"/>
      <x:c r="N1827" s="120" t="n">
        <x:v>46028.56429398148</x:v>
      </x:c>
      <x:c r="O1827" s="117" t="str">
        <x:v>Delegate</x:v>
      </x:c>
      <x:c r="P1827" s="120" t="n">
        <x:v>46028.56439814815</x:v>
      </x:c>
      <x:c r="Q1827" s="117" t="str">
        <x:v>Delegate</x:v>
      </x:c>
      <x:c r="R1827" s="117" t="str">
        <x:v>New Parts/Probe Opportunity From Work Orker</x:v>
      </x:c>
      <x:c r="S1827" s="119" t="str">
        <x:v>01/06/2025 (BW) - Added breakout of various items on the creation of probe repair opportunties</x:v>
      </x:c>
    </x:row>
    <x:row r="1828" ht="30" customHeight="1">
      <x:c r="A1828" s="117" t="str">
        <x:v>New_Parts_Opportunity_From_Work_Orker</x:v>
      </x:c>
      <x:c r="B1828" s="117" t="str">
        <x:v>3005b000000H3eJAAS</x:v>
      </x:c>
      <x:c r="C1828" s="117" t="str">
        <x:v>301Ro00000vDLM1IAO</x:v>
      </x:c>
      <x:c r="D1828" s="118" t="n">
        <x:v>30</x:v>
      </x:c>
      <x:c r="E1828" s="117" t="str">
        <x:v>Obsolete</x:v>
      </x:c>
      <x:c r="F1828" s="117" t="str">
        <x:v>No</x:v>
      </x:c>
      <x:c r="G1828" s="117" t="str">
        <x:v>No</x:v>
      </x:c>
      <x:c r="H1828" s="117" t="str">
        <x:v>Flow</x:v>
      </x:c>
      <x:c r="I1828" s="118" t="n">
        <x:v>65</x:v>
      </x:c>
      <x:c r="J1828" s="117" t="str">
        <x:v>unmanaged</x:v>
      </x:c>
      <x:c r="K1828" s="123" t="b">
        <x:v>0</x:v>
      </x:c>
      <x:c r="L1828" s="117"/>
      <x:c r="M1828" s="118"/>
      <x:c r="N1828" s="120" t="n">
        <x:v>46028.748136574075</x:v>
      </x:c>
      <x:c r="O1828" s="117" t="str">
        <x:v>Delegate</x:v>
      </x:c>
      <x:c r="P1828" s="120" t="n">
        <x:v>46028.748773148145</x:v>
      </x:c>
      <x:c r="Q1828" s="117" t="str">
        <x:v>Delegate</x:v>
      </x:c>
      <x:c r="R1828" s="117" t="str">
        <x:v>New Parts/Probe Opportunity From Work Orker</x:v>
      </x:c>
      <x:c r="S1828" s="119" t="str">
        <x:v>01/06/2025 (BW) - Added breakout of various items on the creation of probe repair opportunties</x:v>
      </x:c>
    </x:row>
    <x:row r="1829" ht="30" customHeight="1">
      <x:c r="A1829" s="117" t="str">
        <x:v>New_Parts_Opportunity_From_Work_Orker</x:v>
      </x:c>
      <x:c r="B1829" s="117" t="str">
        <x:v>3005b000000H3eJAAS</x:v>
      </x:c>
      <x:c r="C1829" s="117" t="str">
        <x:v>301Ro00000vF8vjIAC</x:v>
      </x:c>
      <x:c r="D1829" s="118" t="n">
        <x:v>31</x:v>
      </x:c>
      <x:c r="E1829" s="117" t="str">
        <x:v>Obsolete</x:v>
      </x:c>
      <x:c r="F1829" s="117" t="str">
        <x:v>No</x:v>
      </x:c>
      <x:c r="G1829" s="117" t="str">
        <x:v>No</x:v>
      </x:c>
      <x:c r="H1829" s="117" t="str">
        <x:v>Flow</x:v>
      </x:c>
      <x:c r="I1829" s="118" t="n">
        <x:v>65</x:v>
      </x:c>
      <x:c r="J1829" s="117" t="str">
        <x:v>unmanaged</x:v>
      </x:c>
      <x:c r="K1829" s="123" t="b">
        <x:v>0</x:v>
      </x:c>
      <x:c r="L1829" s="117"/>
      <x:c r="M1829" s="118"/>
      <x:c r="N1829" s="120" t="n">
        <x:v>46028.963796296295</x:v>
      </x:c>
      <x:c r="O1829" s="117" t="str">
        <x:v>Delegate</x:v>
      </x:c>
      <x:c r="P1829" s="120" t="n">
        <x:v>46028.963958333334</x:v>
      </x:c>
      <x:c r="Q1829" s="117" t="str">
        <x:v>Delegate</x:v>
      </x:c>
      <x:c r="R1829" s="117" t="str">
        <x:v>New Parts/Probe Opportunity From Work Orker</x:v>
      </x:c>
      <x:c r="S1829" s="119" t="str">
        <x:v>01/06/2025 (BW) - Updated the description that gets generated and pulled into the work order</x:v>
      </x:c>
    </x:row>
    <x:row r="1830" ht="30" customHeight="1">
      <x:c r="A1830" s="117" t="str">
        <x:v>New_Parts_Opportunity_From_Work_Orker</x:v>
      </x:c>
      <x:c r="B1830" s="117" t="str">
        <x:v>3005b000000H3eJAAS</x:v>
      </x:c>
      <x:c r="C1830" s="117" t="str">
        <x:v>301Ro00000vF0QIIA0</x:v>
      </x:c>
      <x:c r="D1830" s="118" t="n">
        <x:v>32</x:v>
      </x:c>
      <x:c r="E1830" s="117" t="str">
        <x:v>Obsolete</x:v>
      </x:c>
      <x:c r="F1830" s="117" t="str">
        <x:v>No</x:v>
      </x:c>
      <x:c r="G1830" s="117" t="str">
        <x:v>No</x:v>
      </x:c>
      <x:c r="H1830" s="117" t="str">
        <x:v>Flow</x:v>
      </x:c>
      <x:c r="I1830" s="118" t="n">
        <x:v>65</x:v>
      </x:c>
      <x:c r="J1830" s="117" t="str">
        <x:v>unmanaged</x:v>
      </x:c>
      <x:c r="K1830" s="123" t="b">
        <x:v>0</x:v>
      </x:c>
      <x:c r="L1830" s="117"/>
      <x:c r="M1830" s="118"/>
      <x:c r="N1830" s="120" t="n">
        <x:v>46028.970601851855</x:v>
      </x:c>
      <x:c r="O1830" s="117" t="str">
        <x:v>Delegate</x:v>
      </x:c>
      <x:c r="P1830" s="120" t="n">
        <x:v>46028.97314814815</x:v>
      </x:c>
      <x:c r="Q1830" s="117" t="str">
        <x:v>Delegate</x:v>
      </x:c>
      <x:c r="R1830" s="117" t="str">
        <x:v>New Parts/Probe Opportunity From Work Orker</x:v>
      </x:c>
      <x:c r="S1830" s="119" t="str">
        <x:v>01/06/2025 (BW) - Setting the ship to account name as well</x:v>
      </x:c>
    </x:row>
    <x:row r="1831" ht="30" customHeight="1">
      <x:c r="A1831" s="117" t="str">
        <x:v>New_Parts_Opportunity_From_Work_Orker</x:v>
      </x:c>
      <x:c r="B1831" s="117" t="str">
        <x:v>3005b000000H3eJAAS</x:v>
      </x:c>
      <x:c r="C1831" s="117" t="str">
        <x:v>301Ro00000vLLexIAG</x:v>
      </x:c>
      <x:c r="D1831" s="118" t="n">
        <x:v>33</x:v>
      </x:c>
      <x:c r="E1831" s="117" t="str">
        <x:v>Obsolete</x:v>
      </x:c>
      <x:c r="F1831" s="117" t="str">
        <x:v>No</x:v>
      </x:c>
      <x:c r="G1831" s="117" t="str">
        <x:v>No</x:v>
      </x:c>
      <x:c r="H1831" s="117" t="str">
        <x:v>Flow</x:v>
      </x:c>
      <x:c r="I1831" s="118" t="n">
        <x:v>65</x:v>
      </x:c>
      <x:c r="J1831" s="117" t="str">
        <x:v>unmanaged</x:v>
      </x:c>
      <x:c r="K1831" s="123" t="b">
        <x:v>0</x:v>
      </x:c>
      <x:c r="L1831" s="117"/>
      <x:c r="M1831" s="118"/>
      <x:c r="N1831" s="120" t="n">
        <x:v>46030.572291666664</x:v>
      </x:c>
      <x:c r="O1831" s="117" t="str">
        <x:v>Delegate</x:v>
      </x:c>
      <x:c r="P1831" s="120" t="n">
        <x:v>46030.57240740741</x:v>
      </x:c>
      <x:c r="Q1831" s="117" t="str">
        <x:v>Delegate</x:v>
      </x:c>
      <x:c r="R1831" s="117" t="str">
        <x:v>New Parts/Probe Opportunity From Work Orker</x:v>
      </x:c>
      <x:c r="S1831" s="119" t="str">
        <x:v>01/08/2025 (BW) - Updated FormAttn and the relationship between the Ship to Account and the Attn line</x:v>
      </x:c>
    </x:row>
    <x:row r="1832" ht="30" customHeight="1">
      <x:c r="A1832" s="117" t="str">
        <x:v>New_Parts_Opportunity_From_Work_Orker</x:v>
      </x:c>
      <x:c r="B1832" s="117" t="str">
        <x:v>3005b000000H3eJAAS</x:v>
      </x:c>
      <x:c r="C1832" s="117" t="str">
        <x:v>301Ro00000vfv7xIAA</x:v>
      </x:c>
      <x:c r="D1832" s="118" t="n">
        <x:v>34</x:v>
      </x:c>
      <x:c r="E1832" s="117" t="str">
        <x:v>Obsolete</x:v>
      </x:c>
      <x:c r="F1832" s="117" t="str">
        <x:v>No</x:v>
      </x:c>
      <x:c r="G1832" s="117" t="str">
        <x:v>No</x:v>
      </x:c>
      <x:c r="H1832" s="117" t="str">
        <x:v>Flow</x:v>
      </x:c>
      <x:c r="I1832" s="118" t="n">
        <x:v>65</x:v>
      </x:c>
      <x:c r="J1832" s="117" t="str">
        <x:v>unmanaged</x:v>
      </x:c>
      <x:c r="K1832" s="123" t="b">
        <x:v>0</x:v>
      </x:c>
      <x:c r="L1832" s="117"/>
      <x:c r="M1832" s="118"/>
      <x:c r="N1832" s="120" t="n">
        <x:v>46036.02459490741</x:v>
      </x:c>
      <x:c r="O1832" s="117" t="str">
        <x:v>Delegate</x:v>
      </x:c>
      <x:c r="P1832" s="120" t="n">
        <x:v>46036.024675925924</x:v>
      </x:c>
      <x:c r="Q1832" s="117" t="str">
        <x:v>Delegate</x:v>
      </x:c>
      <x:c r="R1832" s="117" t="str">
        <x:v>New Parts/Probe Opportunity From Work Orker</x:v>
      </x:c>
      <x:c r="S1832" s="119" t="str">
        <x:v>01/13/2025 (BW) - Updating the system that sets the FSE Email upon creation of the opportunity</x:v>
      </x:c>
    </x:row>
    <x:row r="1833" ht="30" customHeight="1">
      <x:c r="A1833" s="117" t="str">
        <x:v>New_Parts_Opportunity_From_Work_Orker</x:v>
      </x:c>
      <x:c r="B1833" s="117" t="str">
        <x:v>3005b000000H3eJAAS</x:v>
      </x:c>
      <x:c r="C1833" s="117" t="str">
        <x:v>301Ro00000vfx1hIAA</x:v>
      </x:c>
      <x:c r="D1833" s="118" t="n">
        <x:v>35</x:v>
      </x:c>
      <x:c r="E1833" s="117" t="str">
        <x:v>Obsolete</x:v>
      </x:c>
      <x:c r="F1833" s="117" t="str">
        <x:v>No</x:v>
      </x:c>
      <x:c r="G1833" s="117" t="str">
        <x:v>No</x:v>
      </x:c>
      <x:c r="H1833" s="117" t="str">
        <x:v>Flow</x:v>
      </x:c>
      <x:c r="I1833" s="118" t="n">
        <x:v>65</x:v>
      </x:c>
      <x:c r="J1833" s="117" t="str">
        <x:v>unmanaged</x:v>
      </x:c>
      <x:c r="K1833" s="123" t="b">
        <x:v>0</x:v>
      </x:c>
      <x:c r="L1833" s="117"/>
      <x:c r="M1833" s="118"/>
      <x:c r="N1833" s="120" t="n">
        <x:v>46036.0287962963</x:v>
      </x:c>
      <x:c r="O1833" s="117" t="str">
        <x:v>Delegate</x:v>
      </x:c>
      <x:c r="P1833" s="120" t="n">
        <x:v>46036.028912037036</x:v>
      </x:c>
      <x:c r="Q1833" s="117" t="str">
        <x:v>Delegate</x:v>
      </x:c>
      <x:c r="R1833" s="117" t="str">
        <x:v>New Parts/Probe Opportunity From Work Orker</x:v>
      </x:c>
      <x:c r="S1833" s="119" t="str">
        <x:v>01/13/2025 (BW) - Updating the system that sets the FSE Email upon creation of the opportunity</x:v>
      </x:c>
    </x:row>
    <x:row r="1834" ht="30" customHeight="1">
      <x:c r="A1834" s="117" t="str">
        <x:v>New_Parts_Opportunity_From_Work_Orker</x:v>
      </x:c>
      <x:c r="B1834" s="117" t="str">
        <x:v>3005b000000H3eJAAS</x:v>
      </x:c>
      <x:c r="C1834" s="117" t="str">
        <x:v>301Ro00000vfyqbIAA</x:v>
      </x:c>
      <x:c r="D1834" s="118" t="n">
        <x:v>36</x:v>
      </x:c>
      <x:c r="E1834" s="117" t="str">
        <x:v>Obsolete</x:v>
      </x:c>
      <x:c r="F1834" s="117" t="str">
        <x:v>No</x:v>
      </x:c>
      <x:c r="G1834" s="117" t="str">
        <x:v>No</x:v>
      </x:c>
      <x:c r="H1834" s="117" t="str">
        <x:v>Flow</x:v>
      </x:c>
      <x:c r="I1834" s="118" t="n">
        <x:v>65</x:v>
      </x:c>
      <x:c r="J1834" s="117" t="str">
        <x:v>unmanaged</x:v>
      </x:c>
      <x:c r="K1834" s="123" t="b">
        <x:v>0</x:v>
      </x:c>
      <x:c r="L1834" s="117"/>
      <x:c r="M1834" s="118"/>
      <x:c r="N1834" s="120" t="n">
        <x:v>46036.03251157407</x:v>
      </x:c>
      <x:c r="O1834" s="117" t="str">
        <x:v>Delegate</x:v>
      </x:c>
      <x:c r="P1834" s="120" t="n">
        <x:v>46036.03260416666</x:v>
      </x:c>
      <x:c r="Q1834" s="117" t="str">
        <x:v>Delegate</x:v>
      </x:c>
      <x:c r="R1834" s="117" t="str">
        <x:v>New Parts/Probe Opportunity From Work Orker</x:v>
      </x:c>
      <x:c r="S1834" s="119" t="str">
        <x:v>01/13/2025 (BW) - Updating the system that sets the FSE Email upon creation of the opportunity</x:v>
      </x:c>
    </x:row>
    <x:row r="1835" ht="30" customHeight="1">
      <x:c r="A1835" s="117" t="str">
        <x:v>New_Parts_Opportunity_From_Work_Orker</x:v>
      </x:c>
      <x:c r="B1835" s="117" t="str">
        <x:v>3005b000000H3eJAAS</x:v>
      </x:c>
      <x:c r="C1835" s="117" t="str">
        <x:v>301Ro00000vfzecIAA</x:v>
      </x:c>
      <x:c r="D1835" s="118" t="n">
        <x:v>37</x:v>
      </x:c>
      <x:c r="E1835" s="117" t="str">
        <x:v>Obsolete</x:v>
      </x:c>
      <x:c r="F1835" s="117" t="str">
        <x:v>No</x:v>
      </x:c>
      <x:c r="G1835" s="117" t="str">
        <x:v>No</x:v>
      </x:c>
      <x:c r="H1835" s="117" t="str">
        <x:v>Flow</x:v>
      </x:c>
      <x:c r="I1835" s="118" t="n">
        <x:v>65</x:v>
      </x:c>
      <x:c r="J1835" s="117" t="str">
        <x:v>unmanaged</x:v>
      </x:c>
      <x:c r="K1835" s="123" t="b">
        <x:v>0</x:v>
      </x:c>
      <x:c r="L1835" s="117"/>
      <x:c r="M1835" s="118"/>
      <x:c r="N1835" s="120" t="n">
        <x:v>46036.03420138889</x:v>
      </x:c>
      <x:c r="O1835" s="117" t="str">
        <x:v>Delegate</x:v>
      </x:c>
      <x:c r="P1835" s="120" t="n">
        <x:v>46036.03428240741</x:v>
      </x:c>
      <x:c r="Q1835" s="117" t="str">
        <x:v>Delegate</x:v>
      </x:c>
      <x:c r="R1835" s="117" t="str">
        <x:v>New Parts/Probe Opportunity From Work Orker</x:v>
      </x:c>
      <x:c r="S1835" s="119" t="str">
        <x:v>01/13/2025 (BW) - Updating the system that sets the FSE Email upon creation of the opportunity</x:v>
      </x:c>
    </x:row>
    <x:row r="1836" ht="30" customHeight="1">
      <x:c r="A1836" s="117" t="str">
        <x:v>New_Parts_Opportunity_From_Work_Orker</x:v>
      </x:c>
      <x:c r="B1836" s="117" t="str">
        <x:v>3005b000000H3eJAAS</x:v>
      </x:c>
      <x:c r="C1836" s="117" t="str">
        <x:v>301Ro00000vg0ytIAA</x:v>
      </x:c>
      <x:c r="D1836" s="118" t="n">
        <x:v>38</x:v>
      </x:c>
      <x:c r="E1836" s="117" t="str">
        <x:v>Obsolete</x:v>
      </x:c>
      <x:c r="F1836" s="117" t="str">
        <x:v>No</x:v>
      </x:c>
      <x:c r="G1836" s="117" t="str">
        <x:v>No</x:v>
      </x:c>
      <x:c r="H1836" s="117" t="str">
        <x:v>Flow</x:v>
      </x:c>
      <x:c r="I1836" s="118" t="n">
        <x:v>65</x:v>
      </x:c>
      <x:c r="J1836" s="117" t="str">
        <x:v>unmanaged</x:v>
      </x:c>
      <x:c r="K1836" s="123" t="b">
        <x:v>0</x:v>
      </x:c>
      <x:c r="L1836" s="117"/>
      <x:c r="M1836" s="118"/>
      <x:c r="N1836" s="120" t="n">
        <x:v>46036.03716435185</x:v>
      </x:c>
      <x:c r="O1836" s="117" t="str">
        <x:v>Delegate</x:v>
      </x:c>
      <x:c r="P1836" s="120" t="n">
        <x:v>46036.0372337963</x:v>
      </x:c>
      <x:c r="Q1836" s="117" t="str">
        <x:v>Delegate</x:v>
      </x:c>
      <x:c r="R1836" s="117" t="str">
        <x:v>New Parts/Probe Opportunity From Work Orker</x:v>
      </x:c>
      <x:c r="S1836" s="119" t="str">
        <x:v>01/13/2025 (BW) - Updating the system that sets the FSE Email upon creation of the opportunity</x:v>
      </x:c>
    </x:row>
    <x:row r="1837" ht="30" customHeight="1">
      <x:c r="A1837" s="117" t="str">
        <x:v>New_Parts_Opportunity_From_Work_Orker</x:v>
      </x:c>
      <x:c r="B1837" s="117" t="str">
        <x:v>3005b000000H3eJAAS</x:v>
      </x:c>
      <x:c r="C1837" s="117" t="str">
        <x:v>301Ro00000vg21NIAQ</x:v>
      </x:c>
      <x:c r="D1837" s="118" t="n">
        <x:v>39</x:v>
      </x:c>
      <x:c r="E1837" s="117" t="str">
        <x:v>Obsolete</x:v>
      </x:c>
      <x:c r="F1837" s="117" t="str">
        <x:v>No</x:v>
      </x:c>
      <x:c r="G1837" s="117" t="str">
        <x:v>No</x:v>
      </x:c>
      <x:c r="H1837" s="117" t="str">
        <x:v>Flow</x:v>
      </x:c>
      <x:c r="I1837" s="118" t="n">
        <x:v>65</x:v>
      </x:c>
      <x:c r="J1837" s="117" t="str">
        <x:v>unmanaged</x:v>
      </x:c>
      <x:c r="K1837" s="123" t="b">
        <x:v>0</x:v>
      </x:c>
      <x:c r="L1837" s="117"/>
      <x:c r="M1837" s="118"/>
      <x:c r="N1837" s="120" t="n">
        <x:v>46036.039143518516</x:v>
      </x:c>
      <x:c r="O1837" s="117" t="str">
        <x:v>Delegate</x:v>
      </x:c>
      <x:c r="P1837" s="120" t="n">
        <x:v>46036.03923611111</x:v>
      </x:c>
      <x:c r="Q1837" s="117" t="str">
        <x:v>Delegate</x:v>
      </x:c>
      <x:c r="R1837" s="117" t="str">
        <x:v>New Parts/Probe Opportunity From Work Order</x:v>
      </x:c>
      <x:c r="S1837" s="119" t="str">
        <x:v>01/13/2025 (BW) - Updating the system that sets the FSE Email upon creation of the opportunity</x:v>
      </x:c>
    </x:row>
    <x:row r="1838" ht="30" customHeight="1">
      <x:c r="A1838" s="117" t="str">
        <x:v>New_Parts_Opportunity_From_Work_Orker</x:v>
      </x:c>
      <x:c r="B1838" s="117" t="str">
        <x:v>3005b000000H3eJAAS</x:v>
      </x:c>
      <x:c r="C1838" s="117" t="str">
        <x:v>301Ro00000vg2ivIAA</x:v>
      </x:c>
      <x:c r="D1838" s="118" t="n">
        <x:v>40</x:v>
      </x:c>
      <x:c r="E1838" s="117" t="str">
        <x:v>Obsolete</x:v>
      </x:c>
      <x:c r="F1838" s="117" t="str">
        <x:v>No</x:v>
      </x:c>
      <x:c r="G1838" s="117" t="str">
        <x:v>No</x:v>
      </x:c>
      <x:c r="H1838" s="117" t="str">
        <x:v>Flow</x:v>
      </x:c>
      <x:c r="I1838" s="118" t="n">
        <x:v>65</x:v>
      </x:c>
      <x:c r="J1838" s="117" t="str">
        <x:v>unmanaged</x:v>
      </x:c>
      <x:c r="K1838" s="123" t="b">
        <x:v>0</x:v>
      </x:c>
      <x:c r="L1838" s="117"/>
      <x:c r="M1838" s="118"/>
      <x:c r="N1838" s="120" t="n">
        <x:v>46036.04042824074</x:v>
      </x:c>
      <x:c r="O1838" s="117" t="str">
        <x:v>Delegate</x:v>
      </x:c>
      <x:c r="P1838" s="120" t="n">
        <x:v>46036.040497685186</x:v>
      </x:c>
      <x:c r="Q1838" s="117" t="str">
        <x:v>Delegate</x:v>
      </x:c>
      <x:c r="R1838" s="117" t="str">
        <x:v>New Parts/Probe Opportunity From Work Order</x:v>
      </x:c>
      <x:c r="S1838" s="119" t="str">
        <x:v>01/13/2025 (BW) - Updating the system that sets the FSE Email upon creation of the opportunity</x:v>
      </x:c>
    </x:row>
    <x:row r="1839" ht="30" customHeight="1">
      <x:c r="A1839" s="117" t="str">
        <x:v>New_Parts_Opportunity_From_Work_Orker</x:v>
      </x:c>
      <x:c r="B1839" s="117" t="str">
        <x:v>3005b000000H3eJAAS</x:v>
      </x:c>
      <x:c r="C1839" s="117" t="str">
        <x:v>301Ro00000vhDM9IAM</x:v>
      </x:c>
      <x:c r="D1839" s="118" t="n">
        <x:v>41</x:v>
      </x:c>
      <x:c r="E1839" s="117" t="str">
        <x:v>Obsolete</x:v>
      </x:c>
      <x:c r="F1839" s="117" t="str">
        <x:v>No</x:v>
      </x:c>
      <x:c r="G1839" s="117" t="str">
        <x:v>No</x:v>
      </x:c>
      <x:c r="H1839" s="117" t="str">
        <x:v>Flow</x:v>
      </x:c>
      <x:c r="I1839" s="118" t="n">
        <x:v>65</x:v>
      </x:c>
      <x:c r="J1839" s="117" t="str">
        <x:v>unmanaged</x:v>
      </x:c>
      <x:c r="K1839" s="123" t="b">
        <x:v>0</x:v>
      </x:c>
      <x:c r="L1839" s="117"/>
      <x:c r="M1839" s="118"/>
      <x:c r="N1839" s="120" t="n">
        <x:v>46036.51851851852</x:v>
      </x:c>
      <x:c r="O1839" s="117" t="str">
        <x:v>Delegate</x:v>
      </x:c>
      <x:c r="P1839" s="120" t="n">
        <x:v>46036.522361111114</x:v>
      </x:c>
      <x:c r="Q1839" s="117" t="str">
        <x:v>Delegate</x:v>
      </x:c>
      <x:c r="R1839" s="117" t="str">
        <x:v>New Parts/Probe Opportunity From Work Order</x:v>
      </x:c>
      <x:c r="S1839" s="119" t="str">
        <x:v>01/14/2025 (BW) - Updating this flow so it sets the Opportunity on the service appointments</x:v>
      </x:c>
    </x:row>
    <x:row r="1840" ht="30" customHeight="1">
      <x:c r="A1840" s="117" t="str">
        <x:v>New_Parts_Opportunity_From_Work_Orker</x:v>
      </x:c>
      <x:c r="B1840" s="117" t="str">
        <x:v>3005b000000H3eJAAS</x:v>
      </x:c>
      <x:c r="C1840" s="117" t="str">
        <x:v>301Ro00000xDMp7IAG</x:v>
      </x:c>
      <x:c r="D1840" s="118" t="n">
        <x:v>42</x:v>
      </x:c>
      <x:c r="E1840" s="117" t="str">
        <x:v>Obsolete</x:v>
      </x:c>
      <x:c r="F1840" s="117" t="str">
        <x:v>No</x:v>
      </x:c>
      <x:c r="G1840" s="117" t="str">
        <x:v>No</x:v>
      </x:c>
      <x:c r="H1840" s="117" t="str">
        <x:v>Flow</x:v>
      </x:c>
      <x:c r="I1840" s="118" t="n">
        <x:v>65</x:v>
      </x:c>
      <x:c r="J1840" s="117" t="str">
        <x:v>unmanaged</x:v>
      </x:c>
      <x:c r="K1840" s="123" t="b">
        <x:v>0</x:v>
      </x:c>
      <x:c r="L1840" s="117"/>
      <x:c r="M1840" s="118"/>
      <x:c r="N1840" s="120" t="n">
        <x:v>46055.16341435185</x:v>
      </x:c>
      <x:c r="O1840" s="117" t="str">
        <x:v>Delegate</x:v>
      </x:c>
      <x:c r="P1840" s="120" t="n">
        <x:v>46055.16358796296</x:v>
      </x:c>
      <x:c r="Q1840" s="117" t="str">
        <x:v>Delegate</x:v>
      </x:c>
      <x:c r="R1840" s="117" t="str">
        <x:v>New Parts/Probe Opportunity From Work Order</x:v>
      </x:c>
      <x:c r="S1840" s="119" t="str">
        <x:v>02/01/2026 (BW) - Updating the Opp Default Naming so it appears in the flow</x:v>
      </x:c>
    </x:row>
    <x:row r="1841" ht="30" customHeight="1">
      <x:c r="A1841" s="117" t="str">
        <x:v>New_Parts_Opportunity_From_Work_Orker</x:v>
      </x:c>
      <x:c r="B1841" s="117" t="str">
        <x:v>3005b000000H3eJAAS</x:v>
      </x:c>
      <x:c r="C1841" s="117" t="str">
        <x:v>301Ro00000xDfBSIA0</x:v>
      </x:c>
      <x:c r="D1841" s="118" t="n">
        <x:v>43</x:v>
      </x:c>
      <x:c r="E1841" s="117" t="str">
        <x:v>Obsolete</x:v>
      </x:c>
      <x:c r="F1841" s="117" t="str">
        <x:v>No</x:v>
      </x:c>
      <x:c r="G1841" s="117" t="str">
        <x:v>No</x:v>
      </x:c>
      <x:c r="H1841" s="117" t="str">
        <x:v>Flow</x:v>
      </x:c>
      <x:c r="I1841" s="118" t="n">
        <x:v>65</x:v>
      </x:c>
      <x:c r="J1841" s="117" t="str">
        <x:v>unmanaged</x:v>
      </x:c>
      <x:c r="K1841" s="123" t="b">
        <x:v>0</x:v>
      </x:c>
      <x:c r="L1841" s="117"/>
      <x:c r="M1841" s="118"/>
      <x:c r="N1841" s="120" t="n">
        <x:v>46055.164131944446</x:v>
      </x:c>
      <x:c r="O1841" s="117" t="str">
        <x:v>Delegate</x:v>
      </x:c>
      <x:c r="P1841" s="120" t="n">
        <x:v>46055.16422453704</x:v>
      </x:c>
      <x:c r="Q1841" s="117" t="str">
        <x:v>Delegate</x:v>
      </x:c>
      <x:c r="R1841" s="117" t="str">
        <x:v>New Parts/Probe Opportunity From Work Order</x:v>
      </x:c>
      <x:c r="S1841" s="119" t="str">
        <x:v>02/01/2026 (BW) - Updating the Opp Default Naming so it appears in the flow</x:v>
      </x:c>
    </x:row>
    <x:row r="1842" ht="30" customHeight="1">
      <x:c r="A1842" s="117" t="str">
        <x:v>New_Parts_Opportunity_From_Work_Orker</x:v>
      </x:c>
      <x:c r="B1842" s="117" t="str">
        <x:v>3005b000000H3eJAAS</x:v>
      </x:c>
      <x:c r="C1842" s="117" t="str">
        <x:v>301Ro00000xFpmbIAC</x:v>
      </x:c>
      <x:c r="D1842" s="118" t="n">
        <x:v>44</x:v>
      </x:c>
      <x:c r="E1842" s="117" t="str">
        <x:v>Obsolete</x:v>
      </x:c>
      <x:c r="F1842" s="117" t="str">
        <x:v>No</x:v>
      </x:c>
      <x:c r="G1842" s="117" t="str">
        <x:v>No</x:v>
      </x:c>
      <x:c r="H1842" s="117" t="str">
        <x:v>Flow</x:v>
      </x:c>
      <x:c r="I1842" s="118" t="n">
        <x:v>65</x:v>
      </x:c>
      <x:c r="J1842" s="117" t="str">
        <x:v>unmanaged</x:v>
      </x:c>
      <x:c r="K1842" s="123" t="b">
        <x:v>0</x:v>
      </x:c>
      <x:c r="L1842" s="117"/>
      <x:c r="M1842" s="118"/>
      <x:c r="N1842" s="120" t="n">
        <x:v>46055.659421296295</x:v>
      </x:c>
      <x:c r="O1842" s="117" t="str">
        <x:v>Steve Dodd</x:v>
      </x:c>
      <x:c r="P1842" s="120" t="n">
        <x:v>46055.659733796296</x:v>
      </x:c>
      <x:c r="Q1842" s="117" t="str">
        <x:v>Steve Dodd</x:v>
      </x:c>
      <x:c r="R1842" s="117" t="str">
        <x:v>New Parts/Probe Opportunity From Work Order</x:v>
      </x:c>
      <x:c r="S1842" s="119" t="str">
        <x:v>01/14/2025 (BW) - Updating this flow so it sets the Opportunity on the service appointments</x:v>
      </x:c>
    </x:row>
    <x:row r="1843" ht="30" customHeight="1">
      <x:c r="A1843" s="117" t="str">
        <x:v>New_Parts_Opportunity_From_Work_Orker</x:v>
      </x:c>
      <x:c r="B1843" s="117" t="str">
        <x:v>3005b000000H3eJAAS</x:v>
      </x:c>
      <x:c r="C1843" s="117" t="str">
        <x:v>301Ro00000xFQgFIAW</x:v>
      </x:c>
      <x:c r="D1843" s="118" t="n">
        <x:v>45</x:v>
      </x:c>
      <x:c r="E1843" s="117" t="str">
        <x:v>Obsolete</x:v>
      </x:c>
      <x:c r="F1843" s="117" t="str">
        <x:v>No</x:v>
      </x:c>
      <x:c r="G1843" s="117" t="str">
        <x:v>No</x:v>
      </x:c>
      <x:c r="H1843" s="117" t="str">
        <x:v>Flow</x:v>
      </x:c>
      <x:c r="I1843" s="118" t="n">
        <x:v>65</x:v>
      </x:c>
      <x:c r="J1843" s="117" t="str">
        <x:v>unmanaged</x:v>
      </x:c>
      <x:c r="K1843" s="123" t="b">
        <x:v>0</x:v>
      </x:c>
      <x:c r="L1843" s="117"/>
      <x:c r="M1843" s="118"/>
      <x:c r="N1843" s="120" t="n">
        <x:v>46055.70574074074</x:v>
      </x:c>
      <x:c r="O1843" s="117" t="str">
        <x:v>Delegate</x:v>
      </x:c>
      <x:c r="P1843" s="120" t="n">
        <x:v>46055.70584490741</x:v>
      </x:c>
      <x:c r="Q1843" s="117" t="str">
        <x:v>Delegate</x:v>
      </x:c>
      <x:c r="R1843" s="117" t="str">
        <x:v>New Parts/Probe Opportunity From Work Order</x:v>
      </x:c>
      <x:c r="S1843" s="119" t="str">
        <x:v>01/14/2025 (BW) - Updating this flow so it sets the Opportunity on the service appointments</x:v>
      </x:c>
    </x:row>
    <x:row r="1844" ht="30" customHeight="1">
      <x:c r="A1844" s="117" t="str">
        <x:v>New_Parts_Opportunity_From_Work_Orker</x:v>
      </x:c>
      <x:c r="B1844" s="117" t="str">
        <x:v>3005b000000H3eJAAS</x:v>
      </x:c>
      <x:c r="C1844" s="117" t="str">
        <x:v>301Ro00000xGR3uIAG</x:v>
      </x:c>
      <x:c r="D1844" s="118" t="n">
        <x:v>46</x:v>
      </x:c>
      <x:c r="E1844" s="117" t="str">
        <x:v>Obsolete</x:v>
      </x:c>
      <x:c r="F1844" s="117" t="str">
        <x:v>No</x:v>
      </x:c>
      <x:c r="G1844" s="117" t="str">
        <x:v>No</x:v>
      </x:c>
      <x:c r="H1844" s="117" t="str">
        <x:v>Flow</x:v>
      </x:c>
      <x:c r="I1844" s="118" t="n">
        <x:v>65</x:v>
      </x:c>
      <x:c r="J1844" s="117" t="str">
        <x:v>unmanaged</x:v>
      </x:c>
      <x:c r="K1844" s="123" t="b">
        <x:v>0</x:v>
      </x:c>
      <x:c r="L1844" s="117"/>
      <x:c r="M1844" s="118"/>
      <x:c r="N1844" s="120" t="n">
        <x:v>46055.7225</x:v>
      </x:c>
      <x:c r="O1844" s="117" t="str">
        <x:v>Delegate</x:v>
      </x:c>
      <x:c r="P1844" s="120" t="n">
        <x:v>46055.72386574074</x:v>
      </x:c>
      <x:c r="Q1844" s="117" t="str">
        <x:v>Delegate</x:v>
      </x:c>
      <x:c r="R1844" s="117" t="str">
        <x:v>New Parts/Probe Opportunity From Work Order</x:v>
      </x:c>
      <x:c r="S1844" s="119" t="str">
        <x:v>02/02/2026 (BW) - Updating the Probe Repair Side</x:v>
      </x:c>
    </x:row>
    <x:row r="1845" ht="30" customHeight="1">
      <x:c r="A1845" s="117" t="str">
        <x:v>New_Parts_Opportunity_From_Work_Orker</x:v>
      </x:c>
      <x:c r="B1845" s="117" t="str">
        <x:v>3005b000000H3eJAAS</x:v>
      </x:c>
      <x:c r="C1845" s="117" t="str">
        <x:v>301Ro00000xNtRfIAK</x:v>
      </x:c>
      <x:c r="D1845" s="118" t="n">
        <x:v>47</x:v>
      </x:c>
      <x:c r="E1845" s="117" t="str">
        <x:v>Draft</x:v>
      </x:c>
      <x:c r="F1845" s="117" t="str">
        <x:v>No</x:v>
      </x:c>
      <x:c r="G1845" s="117" t="str">
        <x:v>No</x:v>
      </x:c>
      <x:c r="H1845" s="117" t="str">
        <x:v>Flow</x:v>
      </x:c>
      <x:c r="I1845" s="118" t="n">
        <x:v>65</x:v>
      </x:c>
      <x:c r="J1845" s="117" t="str">
        <x:v>unmanaged</x:v>
      </x:c>
      <x:c r="K1845" s="123" t="b">
        <x:v>0</x:v>
      </x:c>
      <x:c r="L1845" s="117"/>
      <x:c r="M1845" s="118"/>
      <x:c r="N1845" s="120" t="n">
        <x:v>46056.817407407405</x:v>
      </x:c>
      <x:c r="O1845" s="117" t="str">
        <x:v>Delegate</x:v>
      </x:c>
      <x:c r="P1845" s="120" t="n">
        <x:v>46056.817453703705</x:v>
      </x:c>
      <x:c r="Q1845" s="117" t="str">
        <x:v>Delegate</x:v>
      </x:c>
      <x:c r="R1845" s="117" t="str">
        <x:v>New Parts/Probe Opportunity From Work Order</x:v>
      </x:c>
      <x:c r="S1845" s="119" t="str">
        <x:v>02/03/2026 (BW) - Update the ship to account on the opportunity when created</x:v>
      </x:c>
    </x:row>
    <x:row r="1846" ht="30" customHeight="1">
      <x:c r="A1846" s="117" t="str">
        <x:v>New_Parts_Opportunity_From_Work_Orker</x:v>
      </x:c>
      <x:c r="B1846" s="117" t="str">
        <x:v>3005b000000H3eJAAS</x:v>
      </x:c>
      <x:c r="C1846" s="117" t="str">
        <x:v>301Ro00000xaPxBIAU</x:v>
      </x:c>
      <x:c r="D1846" s="118" t="n">
        <x:v>48</x:v>
      </x:c>
      <x:c r="E1846" s="117" t="str">
        <x:v>Obsolete</x:v>
      </x:c>
      <x:c r="F1846" s="117" t="str">
        <x:v>No</x:v>
      </x:c>
      <x:c r="G1846" s="117" t="str">
        <x:v>No</x:v>
      </x:c>
      <x:c r="H1846" s="117" t="str">
        <x:v>Flow</x:v>
      </x:c>
      <x:c r="I1846" s="118" t="n">
        <x:v>65</x:v>
      </x:c>
      <x:c r="J1846" s="117" t="str">
        <x:v>unmanaged</x:v>
      </x:c>
      <x:c r="K1846" s="123" t="b">
        <x:v>0</x:v>
      </x:c>
      <x:c r="L1846" s="117"/>
      <x:c r="M1846" s="118"/>
      <x:c r="N1846" s="120" t="n">
        <x:v>46058.63780092593</x:v>
      </x:c>
      <x:c r="O1846" s="117" t="str">
        <x:v>Delegate</x:v>
      </x:c>
      <x:c r="P1846" s="120" t="n">
        <x:v>46058.63796296297</x:v>
      </x:c>
      <x:c r="Q1846" s="117" t="str">
        <x:v>Delegate</x:v>
      </x:c>
      <x:c r="R1846" s="117" t="str">
        <x:v>New Parts/Probe Opportunity From Work Order</x:v>
      </x:c>
      <x:c r="S1846" s="119" t="str">
        <x:v>02/05/2026 (BW) - Updating probe repair chain so that it moves the status to "In Progress" once the opportunity is created</x:v>
      </x:c>
    </x:row>
    <x:row r="1847" ht="30" customHeight="1">
      <x:c r="A1847" s="117" t="str">
        <x:v>New_Parts_Opportunity_From_Work_Orker</x:v>
      </x:c>
      <x:c r="B1847" s="117" t="str">
        <x:v>3005b000000H3eJAAS</x:v>
      </x:c>
      <x:c r="C1847" s="117" t="str">
        <x:v>301Ro00000y3YFbIAM</x:v>
      </x:c>
      <x:c r="D1847" s="118" t="n">
        <x:v>49</x:v>
      </x:c>
      <x:c r="E1847" s="117" t="str">
        <x:v>Obsolete</x:v>
      </x:c>
      <x:c r="F1847" s="117" t="str">
        <x:v>No</x:v>
      </x:c>
      <x:c r="G1847" s="117" t="str">
        <x:v>No</x:v>
      </x:c>
      <x:c r="H1847" s="117" t="str">
        <x:v>Flow</x:v>
      </x:c>
      <x:c r="I1847" s="118" t="n">
        <x:v>65</x:v>
      </x:c>
      <x:c r="J1847" s="117" t="str">
        <x:v>unmanaged</x:v>
      </x:c>
      <x:c r="K1847" s="123" t="b">
        <x:v>0</x:v>
      </x:c>
      <x:c r="L1847" s="117"/>
      <x:c r="M1847" s="118"/>
      <x:c r="N1847" s="120" t="n">
        <x:v>46064.54628472222</x:v>
      </x:c>
      <x:c r="O1847" s="117" t="str">
        <x:v>Delegate</x:v>
      </x:c>
      <x:c r="P1847" s="120" t="n">
        <x:v>46064.546956018516</x:v>
      </x:c>
      <x:c r="Q1847" s="117" t="str">
        <x:v>Delegate</x:v>
      </x:c>
      <x:c r="R1847" s="117" t="str">
        <x:v>New Parts/Probe Opportunity From Work Order</x:v>
      </x:c>
      <x:c r="S1847" s="119" t="str">
        <x:v>02/10/2026 (BW) - Updating so that the system serial number and the make/model come over on creation of the opportunity if they are on the work order</x:v>
      </x:c>
    </x:row>
    <x:row r="1848" ht="30" customHeight="1">
      <x:c r="A1848" s="117" t="str">
        <x:v>New_Parts_Opportunity_From_Work_Orker</x:v>
      </x:c>
      <x:c r="B1848" s="117" t="str">
        <x:v>3005b000000H3eJAAS</x:v>
      </x:c>
      <x:c r="C1848" s="117" t="str">
        <x:v>301Ro00000yA3wcIAC</x:v>
      </x:c>
      <x:c r="D1848" s="118" t="n">
        <x:v>50</x:v>
      </x:c>
      <x:c r="E1848" s="117" t="str">
        <x:v>Obsolete</x:v>
      </x:c>
      <x:c r="F1848" s="117" t="str">
        <x:v>No</x:v>
      </x:c>
      <x:c r="G1848" s="117" t="str">
        <x:v>No</x:v>
      </x:c>
      <x:c r="H1848" s="117" t="str">
        <x:v>Flow</x:v>
      </x:c>
      <x:c r="I1848" s="118" t="n">
        <x:v>65</x:v>
      </x:c>
      <x:c r="J1848" s="117" t="str">
        <x:v>unmanaged</x:v>
      </x:c>
      <x:c r="K1848" s="123" t="b">
        <x:v>0</x:v>
      </x:c>
      <x:c r="L1848" s="117"/>
      <x:c r="M1848" s="118"/>
      <x:c r="N1848" s="120" t="n">
        <x:v>46065.55795138889</x:v>
      </x:c>
      <x:c r="O1848" s="117" t="str">
        <x:v>Delegate</x:v>
      </x:c>
      <x:c r="P1848" s="120" t="n">
        <x:v>46065.55883101852</x:v>
      </x:c>
      <x:c r="Q1848" s="117" t="str">
        <x:v>Delegate</x:v>
      </x:c>
      <x:c r="R1848" s="117" t="str">
        <x:v>New Parts/Probe Opportunity From Work Order</x:v>
      </x:c>
      <x:c r="S1848" s="119" t="str">
        <x:v>02/12/2026 (BW) - Updating the fields that populate the flow so that they set the hold ship to upon creation of the opportunity</x:v>
      </x:c>
    </x:row>
    <x:row r="1849" ht="30" customHeight="1">
      <x:c r="A1849" s="117" t="str">
        <x:v>New_Parts_Opportunity_From_Work_Orker</x:v>
      </x:c>
      <x:c r="B1849" s="117" t="str">
        <x:v>3005b000000H3eJAAS</x:v>
      </x:c>
      <x:c r="C1849" s="117" t="str">
        <x:v>301Ro00000yAQzaIAG</x:v>
      </x:c>
      <x:c r="D1849" s="118" t="n">
        <x:v>51</x:v>
      </x:c>
      <x:c r="E1849" s="117" t="str">
        <x:v>Obsolete</x:v>
      </x:c>
      <x:c r="F1849" s="117" t="str">
        <x:v>No</x:v>
      </x:c>
      <x:c r="G1849" s="117" t="str">
        <x:v>No</x:v>
      </x:c>
      <x:c r="H1849" s="117" t="str">
        <x:v>Flow</x:v>
      </x:c>
      <x:c r="I1849" s="118" t="n">
        <x:v>65</x:v>
      </x:c>
      <x:c r="J1849" s="117" t="str">
        <x:v>unmanaged</x:v>
      </x:c>
      <x:c r="K1849" s="123" t="b">
        <x:v>0</x:v>
      </x:c>
      <x:c r="L1849" s="117"/>
      <x:c r="M1849" s="118"/>
      <x:c r="N1849" s="120" t="n">
        <x:v>46065.56402777778</x:v>
      </x:c>
      <x:c r="O1849" s="117" t="str">
        <x:v>Delegate</x:v>
      </x:c>
      <x:c r="P1849" s="120" t="n">
        <x:v>46065.56412037037</x:v>
      </x:c>
      <x:c r="Q1849" s="117" t="str">
        <x:v>Delegate</x:v>
      </x:c>
      <x:c r="R1849" s="117" t="str">
        <x:v>New Parts/Probe Opportunity From Work Order</x:v>
      </x:c>
      <x:c r="S1849" s="119" t="str">
        <x:v>02/12/2026 (BW) - Updating the fields that populate the flow so that they set the hold ship to upon creation of the opportunity</x:v>
      </x:c>
    </x:row>
    <x:row r="1850" ht="30" customHeight="1">
      <x:c r="A1850" s="117" t="str">
        <x:v>New_Parts_Opportunity_From_Work_Orker</x:v>
      </x:c>
      <x:c r="B1850" s="117" t="str">
        <x:v>3005b000000H3eJAAS</x:v>
      </x:c>
      <x:c r="C1850" s="117" t="str">
        <x:v>301Ro00000yQVqRIAW</x:v>
      </x:c>
      <x:c r="D1850" s="118" t="n">
        <x:v>52</x:v>
      </x:c>
      <x:c r="E1850" s="117" t="str">
        <x:v>Obsolete</x:v>
      </x:c>
      <x:c r="F1850" s="117" t="str">
        <x:v>No</x:v>
      </x:c>
      <x:c r="G1850" s="117" t="str">
        <x:v>No</x:v>
      </x:c>
      <x:c r="H1850" s="117" t="str">
        <x:v>Flow</x:v>
      </x:c>
      <x:c r="I1850" s="118" t="n">
        <x:v>65</x:v>
      </x:c>
      <x:c r="J1850" s="117" t="str">
        <x:v>unmanaged</x:v>
      </x:c>
      <x:c r="K1850" s="123" t="b">
        <x:v>0</x:v>
      </x:c>
      <x:c r="L1850" s="117"/>
      <x:c r="M1850" s="118"/>
      <x:c r="N1850" s="120" t="n">
        <x:v>46069.612349537034</x:v>
      </x:c>
      <x:c r="O1850" s="117" t="str">
        <x:v>Delegate</x:v>
      </x:c>
      <x:c r="P1850" s="120" t="n">
        <x:v>46069.61269675926</x:v>
      </x:c>
      <x:c r="Q1850" s="117" t="str">
        <x:v>Delegate</x:v>
      </x:c>
      <x:c r="R1850" s="117" t="str">
        <x:v>New Parts/Probe Opportunity From Work Order</x:v>
      </x:c>
      <x:c r="S1850" s="119" t="str">
        <x:v>02/16/2026 (BW) - Added setting of the PO number on the created opportunity</x:v>
      </x:c>
    </x:row>
    <x:row r="1851" ht="30" customHeight="1">
      <x:c r="A1851" s="117" t="str">
        <x:v>New_Parts_Opportunity_From_Work_Orker</x:v>
      </x:c>
      <x:c r="B1851" s="117" t="str">
        <x:v>3005b000000H3eJAAS</x:v>
      </x:c>
      <x:c r="C1851" s="117" t="str">
        <x:v>301Ro00000ybTF4IAM</x:v>
      </x:c>
      <x:c r="D1851" s="118" t="n">
        <x:v>53</x:v>
      </x:c>
      <x:c r="E1851" s="117" t="str">
        <x:v>Obsolete</x:v>
      </x:c>
      <x:c r="F1851" s="117" t="str">
        <x:v>No</x:v>
      </x:c>
      <x:c r="G1851" s="117" t="str">
        <x:v>No</x:v>
      </x:c>
      <x:c r="H1851" s="117" t="str">
        <x:v>Flow</x:v>
      </x:c>
      <x:c r="I1851" s="118" t="n">
        <x:v>65</x:v>
      </x:c>
      <x:c r="J1851" s="117" t="str">
        <x:v>unmanaged</x:v>
      </x:c>
      <x:c r="K1851" s="123" t="b">
        <x:v>0</x:v>
      </x:c>
      <x:c r="L1851" s="117"/>
      <x:c r="M1851" s="118"/>
      <x:c r="N1851" s="120" t="n">
        <x:v>46071.620416666665</x:v>
      </x:c>
      <x:c r="O1851" s="117" t="str">
        <x:v>Delegate</x:v>
      </x:c>
      <x:c r="P1851" s="120" t="n">
        <x:v>46071.62056712963</x:v>
      </x:c>
      <x:c r="Q1851" s="117" t="str">
        <x:v>Delegate</x:v>
      </x:c>
      <x:c r="R1851" s="117" t="str">
        <x:v>New Parts/Probe Opportunity From Work Order</x:v>
      </x:c>
      <x:c r="S1851" s="119" t="str">
        <x:v>02/18/2026 (BW) - Updated to correctly set the name on the ship to account when a account is needed</x:v>
      </x:c>
    </x:row>
    <x:row r="1852" ht="30" customHeight="1">
      <x:c r="A1852" s="117" t="str">
        <x:v>New_Parts_Opportunity_From_Work_Orker</x:v>
      </x:c>
      <x:c r="B1852" s="117" t="str">
        <x:v>3005b000000H3eJAAS</x:v>
      </x:c>
      <x:c r="C1852" s="117" t="str">
        <x:v>301Ro00000ycSYgIAM</x:v>
      </x:c>
      <x:c r="D1852" s="118" t="n">
        <x:v>54</x:v>
      </x:c>
      <x:c r="E1852" s="117" t="str">
        <x:v>Obsolete</x:v>
      </x:c>
      <x:c r="F1852" s="117" t="str">
        <x:v>No</x:v>
      </x:c>
      <x:c r="G1852" s="117" t="str">
        <x:v>No</x:v>
      </x:c>
      <x:c r="H1852" s="117" t="str">
        <x:v>Flow</x:v>
      </x:c>
      <x:c r="I1852" s="118" t="n">
        <x:v>65</x:v>
      </x:c>
      <x:c r="J1852" s="117" t="str">
        <x:v>unmanaged</x:v>
      </x:c>
      <x:c r="K1852" s="123" t="b">
        <x:v>0</x:v>
      </x:c>
      <x:c r="L1852" s="117"/>
      <x:c r="M1852" s="118"/>
      <x:c r="N1852" s="120" t="n">
        <x:v>46071.69577546296</x:v>
      </x:c>
      <x:c r="O1852" s="117" t="str">
        <x:v>Delegate</x:v>
      </x:c>
      <x:c r="P1852" s="120" t="n">
        <x:v>46071.69665509259</x:v>
      </x:c>
      <x:c r="Q1852" s="117" t="str">
        <x:v>Delegate</x:v>
      </x:c>
      <x:c r="R1852" s="117" t="str">
        <x:v>New Parts/Probe Opportunity From Work Order</x:v>
      </x:c>
      <x:c r="S1852" s="119" t="str">
        <x:v>02/18/2026 (BW) - Updated to correctly set the hold location account name</x:v>
      </x:c>
    </x:row>
    <x:row r="1853" ht="30" customHeight="1">
      <x:c r="A1853" s="117" t="str">
        <x:v>New_Parts_Opportunity_From_Work_Orker</x:v>
      </x:c>
      <x:c r="B1853" s="117" t="str">
        <x:v>3005b000000H3eJAAS</x:v>
      </x:c>
      <x:c r="C1853" s="117" t="str">
        <x:v>301Ro000010OifJIAS</x:v>
      </x:c>
      <x:c r="D1853" s="118" t="n">
        <x:v>55</x:v>
      </x:c>
      <x:c r="E1853" s="117" t="str">
        <x:v>Obsolete</x:v>
      </x:c>
      <x:c r="F1853" s="117" t="str">
        <x:v>No</x:v>
      </x:c>
      <x:c r="G1853" s="117" t="str">
        <x:v>No</x:v>
      </x:c>
      <x:c r="H1853" s="117" t="str">
        <x:v>Flow</x:v>
      </x:c>
      <x:c r="I1853" s="118" t="n">
        <x:v>65</x:v>
      </x:c>
      <x:c r="J1853" s="117" t="str">
        <x:v>unmanaged</x:v>
      </x:c>
      <x:c r="K1853" s="123" t="b">
        <x:v>0</x:v>
      </x:c>
      <x:c r="L1853" s="117"/>
      <x:c r="M1853" s="118"/>
      <x:c r="N1853" s="120" t="n">
        <x:v>46093.52605324074</x:v>
      </x:c>
      <x:c r="O1853" s="117" t="str">
        <x:v>Delegate</x:v>
      </x:c>
      <x:c r="P1853" s="120" t="n">
        <x:v>46093.52621527778</x:v>
      </x:c>
      <x:c r="Q1853" s="117" t="str">
        <x:v>Delegate</x:v>
      </x:c>
      <x:c r="R1853" s="117" t="str">
        <x:v>New Parts/Probe Opportunity From Work Order</x:v>
      </x:c>
      <x:c r="S1853" s="119" t="str">
        <x:v>03/12/2026 (BW) - Pending Receipt of Probe update</x:v>
      </x:c>
    </x:row>
    <x:row r="1854" ht="30" customHeight="1">
      <x:c r="A1854" s="117" t="str">
        <x:v>New_Parts_Opportunity_From_Work_Orker</x:v>
      </x:c>
      <x:c r="B1854" s="117" t="str">
        <x:v>3005b000000H3eJAAS</x:v>
      </x:c>
      <x:c r="C1854" s="117" t="str">
        <x:v>301Ro000013nfKrIAI</x:v>
      </x:c>
      <x:c r="D1854" s="118" t="n">
        <x:v>56</x:v>
      </x:c>
      <x:c r="E1854" s="117" t="str">
        <x:v>Obsolete</x:v>
      </x:c>
      <x:c r="F1854" s="117" t="str">
        <x:v>No</x:v>
      </x:c>
      <x:c r="G1854" s="117" t="str">
        <x:v>No</x:v>
      </x:c>
      <x:c r="H1854" s="117" t="str">
        <x:v>Flow</x:v>
      </x:c>
      <x:c r="I1854" s="118" t="n">
        <x:v>65</x:v>
      </x:c>
      <x:c r="J1854" s="117" t="str">
        <x:v>unmanaged</x:v>
      </x:c>
      <x:c r="K1854" s="123" t="b">
        <x:v>0</x:v>
      </x:c>
      <x:c r="L1854" s="117"/>
      <x:c r="M1854" s="118"/>
      <x:c r="N1854" s="120" t="n">
        <x:v>46134.56761574074</x:v>
      </x:c>
      <x:c r="O1854" s="117" t="str">
        <x:v>Delegate</x:v>
      </x:c>
      <x:c r="P1854" s="120" t="n">
        <x:v>46134.567719907405</x:v>
      </x:c>
      <x:c r="Q1854" s="117" t="str">
        <x:v>Delegate</x:v>
      </x:c>
      <x:c r="R1854" s="117" t="str">
        <x:v>New Parts/Probe Opportunity From Work Order</x:v>
      </x:c>
      <x:c r="S1854" s="119" t="str">
        <x:v>04/22/2026 (BW) - Updating so that non Probo-US created work orders don't get the FSE added in automatically</x:v>
      </x:c>
    </x:row>
    <x:row r="1855" ht="30" customHeight="1">
      <x:c r="A1855" s="117" t="str">
        <x:v>New_Parts_Opportunity_From_Work_Orker</x:v>
      </x:c>
      <x:c r="B1855" s="117" t="str">
        <x:v>3005b000000H3eJAAS</x:v>
      </x:c>
      <x:c r="C1855" s="117" t="str">
        <x:v>301Ro0000141QCDIA2</x:v>
      </x:c>
      <x:c r="D1855" s="118" t="n">
        <x:v>57</x:v>
      </x:c>
      <x:c r="E1855" s="117" t="str">
        <x:v>Obsolete</x:v>
      </x:c>
      <x:c r="F1855" s="117" t="str">
        <x:v>No</x:v>
      </x:c>
      <x:c r="G1855" s="117" t="str">
        <x:v>No</x:v>
      </x:c>
      <x:c r="H1855" s="117" t="str">
        <x:v>Flow</x:v>
      </x:c>
      <x:c r="I1855" s="118" t="n">
        <x:v>65</x:v>
      </x:c>
      <x:c r="J1855" s="117" t="str">
        <x:v>unmanaged</x:v>
      </x:c>
      <x:c r="K1855" s="123" t="b">
        <x:v>0</x:v>
      </x:c>
      <x:c r="L1855" s="117"/>
      <x:c r="M1855" s="118"/>
      <x:c r="N1855" s="120" t="n">
        <x:v>46136.716990740744</x:v>
      </x:c>
      <x:c r="O1855" s="117" t="str">
        <x:v>Delegate</x:v>
      </x:c>
      <x:c r="P1855" s="120" t="n">
        <x:v>46142.671319444446</x:v>
      </x:c>
      <x:c r="Q1855" s="117" t="str">
        <x:v>Delegate</x:v>
      </x:c>
      <x:c r="R1855" s="117" t="str">
        <x:v>New Parts/Probe Opportunity From Work Order</x:v>
      </x:c>
      <x:c r="S1855" s="119" t="str">
        <x:v>04/24/2026 (BW) - Updating so the PO Number comes over on creation of the Opportunity from the work order</x:v>
      </x:c>
    </x:row>
    <x:row r="1856" ht="30" customHeight="1">
      <x:c r="A1856" s="117" t="str">
        <x:v>New_Parts_Opportunity_From_Work_Orker</x:v>
      </x:c>
      <x:c r="B1856" s="117" t="str">
        <x:v>3005b000000H3eJAAS</x:v>
      </x:c>
      <x:c r="C1856" s="117" t="str">
        <x:v>301Ro000014Uf9RIAS</x:v>
      </x:c>
      <x:c r="D1856" s="118" t="n">
        <x:v>58</x:v>
      </x:c>
      <x:c r="E1856" s="117" t="str">
        <x:v>Obsolete</x:v>
      </x:c>
      <x:c r="F1856" s="117" t="str">
        <x:v>No</x:v>
      </x:c>
      <x:c r="G1856" s="117" t="str">
        <x:v>No</x:v>
      </x:c>
      <x:c r="H1856" s="117" t="str">
        <x:v>Flow</x:v>
      </x:c>
      <x:c r="I1856" s="118" t="n">
        <x:v>65</x:v>
      </x:c>
      <x:c r="J1856" s="117" t="str">
        <x:v>unmanaged</x:v>
      </x:c>
      <x:c r="K1856" s="123" t="b">
        <x:v>0</x:v>
      </x:c>
      <x:c r="L1856" s="117"/>
      <x:c r="M1856" s="118"/>
      <x:c r="N1856" s="120" t="n">
        <x:v>46142.70564814815</x:v>
      </x:c>
      <x:c r="O1856" s="117" t="str">
        <x:v>Delegate</x:v>
      </x:c>
      <x:c r="P1856" s="120" t="n">
        <x:v>46142.70694444444</x:v>
      </x:c>
      <x:c r="Q1856" s="117" t="str">
        <x:v>Delegate</x:v>
      </x:c>
      <x:c r="R1856" s="117" t="str">
        <x:v>New Parts/Probe Opportunity From Work Order</x:v>
      </x:c>
      <x:c r="S1856" s="119" t="str">
        <x:v>04/30/2026 (BW) - Updating this flow so the shipping address is set on a newly created opportunity.</x:v>
      </x:c>
    </x:row>
    <x:row r="1857" ht="30" customHeight="1">
      <x:c r="A1857" s="117" t="str">
        <x:v>New_Parts_Opportunity_From_Work_Orker</x:v>
      </x:c>
      <x:c r="B1857" s="117" t="str">
        <x:v>3005b000000H3eJAAS</x:v>
      </x:c>
      <x:c r="C1857" s="117" t="str">
        <x:v>301Ro0000154YwIIAU</x:v>
      </x:c>
      <x:c r="D1857" s="118" t="n">
        <x:v>59</x:v>
      </x:c>
      <x:c r="E1857" s="117" t="str">
        <x:v>Obsolete</x:v>
      </x:c>
      <x:c r="F1857" s="117" t="str">
        <x:v>No</x:v>
      </x:c>
      <x:c r="G1857" s="117" t="str">
        <x:v>No</x:v>
      </x:c>
      <x:c r="H1857" s="117" t="str">
        <x:v>Flow</x:v>
      </x:c>
      <x:c r="I1857" s="118" t="n">
        <x:v>65</x:v>
      </x:c>
      <x:c r="J1857" s="117" t="str">
        <x:v>unmanaged</x:v>
      </x:c>
      <x:c r="K1857" s="123" t="b">
        <x:v>0</x:v>
      </x:c>
      <x:c r="L1857" s="117"/>
      <x:c r="M1857" s="118"/>
      <x:c r="N1857" s="120" t="n">
        <x:v>46149.75462962963</x:v>
      </x:c>
      <x:c r="O1857" s="117" t="str">
        <x:v>Delegate</x:v>
      </x:c>
      <x:c r="P1857" s="120" t="n">
        <x:v>46149.7587037037</x:v>
      </x:c>
      <x:c r="Q1857" s="117" t="str">
        <x:v>Delegate</x:v>
      </x:c>
      <x:c r="R1857" s="117" t="str">
        <x:v>New Parts/Probe Opportunity From Work Order</x:v>
      </x:c>
      <x:c r="S1857" s="119" t="str">
        <x:v>04/30/2026 (BW) - Updating this flow so the shipping address is set on a newly created opportunity.</x:v>
      </x:c>
    </x:row>
    <x:row r="1858" ht="30" customHeight="1">
      <x:c r="A1858" s="117" t="str">
        <x:v>New_Parts_Opportunity_From_Work_Orker</x:v>
      </x:c>
      <x:c r="B1858" s="117" t="str">
        <x:v>3005b000000H3eJAAS</x:v>
      </x:c>
      <x:c r="C1858" s="117" t="str">
        <x:v>301Ro000016ENwtIAG</x:v>
      </x:c>
      <x:c r="D1858" s="118" t="n">
        <x:v>60</x:v>
      </x:c>
      <x:c r="E1858" s="117" t="str">
        <x:v>Obsolete</x:v>
      </x:c>
      <x:c r="F1858" s="117" t="str">
        <x:v>No</x:v>
      </x:c>
      <x:c r="G1858" s="117" t="str">
        <x:v>No</x:v>
      </x:c>
      <x:c r="H1858" s="117" t="str">
        <x:v>Flow</x:v>
      </x:c>
      <x:c r="I1858" s="118" t="n">
        <x:v>65</x:v>
      </x:c>
      <x:c r="J1858" s="117" t="str">
        <x:v>unmanaged</x:v>
      </x:c>
      <x:c r="K1858" s="123" t="b">
        <x:v>0</x:v>
      </x:c>
      <x:c r="L1858" s="117"/>
      <x:c r="M1858" s="118"/>
      <x:c r="N1858" s="120" t="n">
        <x:v>46162.81957175926</x:v>
      </x:c>
      <x:c r="O1858" s="117" t="str">
        <x:v>Delegate</x:v>
      </x:c>
      <x:c r="P1858" s="120" t="n">
        <x:v>46162.81978009259</x:v>
      </x:c>
      <x:c r="Q1858" s="117" t="str">
        <x:v>Delegate</x:v>
      </x:c>
      <x:c r="R1858" s="117" t="str">
        <x:v>New Parts/Probe Opportunity From Work Order</x:v>
      </x:c>
      <x:c r="S1858" s="119" t="str">
        <x:v>04/30/2026 (BW) - Updating this flow so the shipping address is set on a newly created opportunity.
05/20/26 (BW) – Attn on new Parts/Probe Opportunity now defaults to WO Attn__c; Fedex Hold addresses use the WO creator name instead.</x:v>
      </x:c>
    </x:row>
    <x:row r="1859" ht="30" customHeight="1">
      <x:c r="A1859" s="117" t="str">
        <x:v>New_Parts_Opportunity_From_Work_Orker</x:v>
      </x:c>
      <x:c r="B1859" s="117" t="str">
        <x:v>3005b000000H3eJAAS</x:v>
      </x:c>
      <x:c r="C1859" s="117" t="str">
        <x:v>301Ro000016NT5OIAW</x:v>
      </x:c>
      <x:c r="D1859" s="118" t="n">
        <x:v>61</x:v>
      </x:c>
      <x:c r="E1859" s="117" t="str">
        <x:v>Obsolete</x:v>
      </x:c>
      <x:c r="F1859" s="117" t="str">
        <x:v>No</x:v>
      </x:c>
      <x:c r="G1859" s="117" t="str">
        <x:v>No</x:v>
      </x:c>
      <x:c r="H1859" s="117" t="str">
        <x:v>Flow</x:v>
      </x:c>
      <x:c r="I1859" s="118" t="n">
        <x:v>65</x:v>
      </x:c>
      <x:c r="J1859" s="117" t="str">
        <x:v>unmanaged</x:v>
      </x:c>
      <x:c r="K1859" s="123" t="b">
        <x:v>0</x:v>
      </x:c>
      <x:c r="L1859" s="117"/>
      <x:c r="M1859" s="118"/>
      <x:c r="N1859" s="120" t="n">
        <x:v>46163.96587962963</x:v>
      </x:c>
      <x:c r="O1859" s="117" t="str">
        <x:v>Delegate</x:v>
      </x:c>
      <x:c r="P1859" s="120" t="n">
        <x:v>46163.96734953704</x:v>
      </x:c>
      <x:c r="Q1859" s="117" t="str">
        <x:v>Delegate</x:v>
      </x:c>
      <x:c r="R1859" s="117" t="str">
        <x:v>New Parts/Probe Opportunity From Work Order</x:v>
      </x:c>
      <x:c r="S1859" s="119" t="str">
        <x:v>04/30/2026 (BW) - Updating this flow so the shipping address is set on a newly created opportunity.
05/20/26 (BW) – Attn on new Parts/Probe Opportunity now defaults to WO Attn__c; Fedex Hold addresses use the WO creator name instead.
05/21/26 (BW) – CDL copy now links only the single most recently created PDF (FSR) instead of all files.</x:v>
      </x:c>
    </x:row>
    <x:row r="1860" ht="30" customHeight="1">
      <x:c r="A1860" s="117" t="str">
        <x:v>New_Parts_Opportunity_From_Work_Orker</x:v>
      </x:c>
      <x:c r="B1860" s="117" t="str">
        <x:v>3005b000000H3eJAAS</x:v>
      </x:c>
      <x:c r="C1860" s="117" t="str">
        <x:v>301Ro00001E3LLuIAN</x:v>
      </x:c>
      <x:c r="D1860" s="118" t="n">
        <x:v>62</x:v>
      </x:c>
      <x:c r="E1860" s="117" t="str">
        <x:v>Active</x:v>
      </x:c>
      <x:c r="F1860" s="117" t="str">
        <x:v>Yes</x:v>
      </x:c>
      <x:c r="G1860" s="117" t="str">
        <x:v>Yes</x:v>
      </x:c>
      <x:c r="H1860" s="117" t="str">
        <x:v>Flow</x:v>
      </x:c>
      <x:c r="I1860" s="118" t="n">
        <x:v>65</x:v>
      </x:c>
      <x:c r="J1860" s="117" t="str">
        <x:v>unmanaged</x:v>
      </x:c>
      <x:c r="K1860" s="123" t="b">
        <x:v>0</x:v>
      </x:c>
      <x:c r="L1860" s="117" t="str">
        <x:v>SystemModeWithoutSharing</x:v>
      </x:c>
      <x:c r="M1860" s="118"/>
      <x:c r="N1860" s="120" t="n">
        <x:v>46247.347407407404</x:v>
      </x:c>
      <x:c r="O1860" s="117" t="str">
        <x:v>Sacha Pearce</x:v>
      </x:c>
      <x:c r="P1860" s="120" t="n">
        <x:v>46247.34751157407</x:v>
      </x:c>
      <x:c r="Q1860" s="117" t="str">
        <x:v>Sacha Pearce</x:v>
      </x:c>
      <x:c r="R1860" s="117" t="str">
        <x:v>New Parts/Probe Opportunity From Work Order</x:v>
      </x:c>
      <x:c r="S1860" s="119" t="str">
        <x:v>08/13/2026 - V62 - SP - Updating the Flow to run in system context to prevent errors from hierarchies.</x:v>
      </x:c>
    </x:row>
    <x:row r="1861" ht="30" customHeight="1">
      <x:c r="A1861" s="117" t="str">
        <x:v>Notify_existing_contact_owner_of_email_inquiry_submission</x:v>
      </x:c>
      <x:c r="B1861" s="117" t="str">
        <x:v>3004O0000008mADQAY</x:v>
      </x:c>
      <x:c r="C1861" s="117" t="str">
        <x:v>3014O0000009Hc6QAE</x:v>
      </x:c>
      <x:c r="D1861" s="118" t="n">
        <x:v>1</x:v>
      </x:c>
      <x:c r="E1861" s="117" t="str">
        <x:v>Obsolete</x:v>
      </x:c>
      <x:c r="F1861" s="117" t="str">
        <x:v>No</x:v>
      </x:c>
      <x:c r="G1861" s="117" t="str">
        <x:v>No</x:v>
      </x:c>
      <x:c r="H1861" s="117" t="str">
        <x:v>Workflow</x:v>
      </x:c>
      <x:c r="I1861" s="118"/>
      <x:c r="J1861" s="117" t="str">
        <x:v>unmanaged</x:v>
      </x:c>
      <x:c r="K1861" s="123" t="b">
        <x:v>0</x:v>
      </x:c>
      <x:c r="L1861" s="117"/>
      <x:c r="M1861" s="118"/>
      <x:c r="N1861" s="120" t="n">
        <x:v>43959.657118055555</x:v>
      </x:c>
      <x:c r="O1861" s="117" t="str">
        <x:v>Trent VanEmon</x:v>
      </x:c>
      <x:c r="P1861" s="120" t="n">
        <x:v>43959.68193287037</x:v>
      </x:c>
      <x:c r="Q1861" s="117" t="str">
        <x:v>Trent VanEmon</x:v>
      </x:c>
      <x:c r="R1861" s="117" t="str">
        <x:v>Notify existing contact owner of email inquiry submission</x:v>
      </x:c>
      <x:c r="S1861" s="119" t="str">
        <x:v>Notify existing contact owner of email inquiry submission</x:v>
      </x:c>
    </x:row>
    <x:row r="1862" ht="30" customHeight="1">
      <x:c r="A1862" s="117" t="str">
        <x:v>Notify_existing_contact_owner_of_email_inquiry_submission</x:v>
      </x:c>
      <x:c r="B1862" s="117" t="str">
        <x:v>3004O0000008mADQAY</x:v>
      </x:c>
      <x:c r="C1862" s="117" t="str">
        <x:v>3014O0000009HeiQAE</x:v>
      </x:c>
      <x:c r="D1862" s="118" t="n">
        <x:v>2</x:v>
      </x:c>
      <x:c r="E1862" s="117" t="str">
        <x:v>Obsolete</x:v>
      </x:c>
      <x:c r="F1862" s="117" t="str">
        <x:v>No</x:v>
      </x:c>
      <x:c r="G1862" s="117" t="str">
        <x:v>No</x:v>
      </x:c>
      <x:c r="H1862" s="117" t="str">
        <x:v>Workflow</x:v>
      </x:c>
      <x:c r="I1862" s="118"/>
      <x:c r="J1862" s="117" t="str">
        <x:v>unmanaged</x:v>
      </x:c>
      <x:c r="K1862" s="123" t="b">
        <x:v>0</x:v>
      </x:c>
      <x:c r="L1862" s="117"/>
      <x:c r="M1862" s="118"/>
      <x:c r="N1862" s="120" t="n">
        <x:v>43962.89240740741</x:v>
      </x:c>
      <x:c r="O1862" s="117" t="str">
        <x:v>Trent VanEmon</x:v>
      </x:c>
      <x:c r="P1862" s="120" t="n">
        <x:v>43962.89501157407</x:v>
      </x:c>
      <x:c r="Q1862" s="117" t="str">
        <x:v>Trent VanEmon</x:v>
      </x:c>
      <x:c r="R1862" s="117" t="str">
        <x:v>Notify existing contact owner of email inquiry submission v 0.2</x:v>
      </x:c>
      <x:c r="S1862" s="119" t="str">
        <x:v>Notify existing contact owner of email inquiry submission</x:v>
      </x:c>
    </x:row>
    <x:row r="1863" ht="30" customHeight="1">
      <x:c r="A1863" s="117" t="str">
        <x:v>Notify_existing_contact_owner_of_email_inquiry_submission</x:v>
      </x:c>
      <x:c r="B1863" s="117" t="str">
        <x:v>3004O0000008mADQAY</x:v>
      </x:c>
      <x:c r="C1863" s="117" t="str">
        <x:v>3014O0000009HhnQAE</x:v>
      </x:c>
      <x:c r="D1863" s="118" t="n">
        <x:v>3</x:v>
      </x:c>
      <x:c r="E1863" s="117" t="str">
        <x:v>Obsolete</x:v>
      </x:c>
      <x:c r="F1863" s="117" t="str">
        <x:v>No</x:v>
      </x:c>
      <x:c r="G1863" s="117" t="str">
        <x:v>No</x:v>
      </x:c>
      <x:c r="H1863" s="117" t="str">
        <x:v>Workflow</x:v>
      </x:c>
      <x:c r="I1863" s="118"/>
      <x:c r="J1863" s="117" t="str">
        <x:v>unmanaged</x:v>
      </x:c>
      <x:c r="K1863" s="123" t="b">
        <x:v>0</x:v>
      </x:c>
      <x:c r="L1863" s="117"/>
      <x:c r="M1863" s="118"/>
      <x:c r="N1863" s="120" t="n">
        <x:v>43963.79943287037</x:v>
      </x:c>
      <x:c r="O1863" s="117" t="str">
        <x:v>Trent VanEmon</x:v>
      </x:c>
      <x:c r="P1863" s="120" t="n">
        <x:v>43963.93311342593</x:v>
      </x:c>
      <x:c r="Q1863" s="117" t="str">
        <x:v>Trent VanEmon</x:v>
      </x:c>
      <x:c r="R1863" s="117" t="str">
        <x:v>Notify existing contact owner of email inquiry submission v 0.3</x:v>
      </x:c>
      <x:c r="S1863" s="119" t="str">
        <x:v>Notify existing contact owner of email inquiry submission</x:v>
      </x:c>
    </x:row>
    <x:row r="1864" ht="30" customHeight="1">
      <x:c r="A1864" s="117" t="str">
        <x:v>Notify_existing_contact_owner_of_email_inquiry_submission</x:v>
      </x:c>
      <x:c r="B1864" s="117" t="str">
        <x:v>3004O0000008mADQAY</x:v>
      </x:c>
      <x:c r="C1864" s="117" t="str">
        <x:v>3014O0000009HiHQAU</x:v>
      </x:c>
      <x:c r="D1864" s="118" t="n">
        <x:v>4</x:v>
      </x:c>
      <x:c r="E1864" s="117" t="str">
        <x:v>Obsolete</x:v>
      </x:c>
      <x:c r="F1864" s="117" t="str">
        <x:v>No</x:v>
      </x:c>
      <x:c r="G1864" s="117" t="str">
        <x:v>No</x:v>
      </x:c>
      <x:c r="H1864" s="117" t="str">
        <x:v>Workflow</x:v>
      </x:c>
      <x:c r="I1864" s="118"/>
      <x:c r="J1864" s="117" t="str">
        <x:v>unmanaged</x:v>
      </x:c>
      <x:c r="K1864" s="123" t="b">
        <x:v>0</x:v>
      </x:c>
      <x:c r="L1864" s="117"/>
      <x:c r="M1864" s="118"/>
      <x:c r="N1864" s="120" t="n">
        <x:v>43963.93517361111</x:v>
      </x:c>
      <x:c r="O1864" s="117" t="str">
        <x:v>Trent VanEmon</x:v>
      </x:c>
      <x:c r="P1864" s="120" t="n">
        <x:v>43964.781064814815</x:v>
      </x:c>
      <x:c r="Q1864" s="117" t="str">
        <x:v>Trent VanEmon</x:v>
      </x:c>
      <x:c r="R1864" s="117" t="str">
        <x:v>Notify existing contact owner of email inquiry submission v 0.3</x:v>
      </x:c>
      <x:c r="S1864" s="119" t="str">
        <x:v>Notify existing contact owner of email inquiry submission</x:v>
      </x:c>
    </x:row>
    <x:row r="1865" ht="30" customHeight="1">
      <x:c r="A1865" s="117" t="str">
        <x:v>Notify_existing_contact_owner_of_email_inquiry_submission</x:v>
      </x:c>
      <x:c r="B1865" s="117" t="str">
        <x:v>3004O0000008mADQAY</x:v>
      </x:c>
      <x:c r="C1865" s="117" t="str">
        <x:v>3014O0000009HjKQAU</x:v>
      </x:c>
      <x:c r="D1865" s="118" t="n">
        <x:v>5</x:v>
      </x:c>
      <x:c r="E1865" s="117" t="str">
        <x:v>Obsolete</x:v>
      </x:c>
      <x:c r="F1865" s="117" t="str">
        <x:v>No</x:v>
      </x:c>
      <x:c r="G1865" s="117" t="str">
        <x:v>No</x:v>
      </x:c>
      <x:c r="H1865" s="117" t="str">
        <x:v>Workflow</x:v>
      </x:c>
      <x:c r="I1865" s="118"/>
      <x:c r="J1865" s="117" t="str">
        <x:v>unmanaged</x:v>
      </x:c>
      <x:c r="K1865" s="123" t="b">
        <x:v>0</x:v>
      </x:c>
      <x:c r="L1865" s="117"/>
      <x:c r="M1865" s="118"/>
      <x:c r="N1865" s="120" t="n">
        <x:v>43964.79728009259</x:v>
      </x:c>
      <x:c r="O1865" s="117" t="str">
        <x:v>Trent VanEmon</x:v>
      </x:c>
      <x:c r="P1865" s="120" t="n">
        <x:v>43997.6424537037</x:v>
      </x:c>
      <x:c r="Q1865" s="117" t="str">
        <x:v>Trent VanEmon</x:v>
      </x:c>
      <x:c r="R1865" s="117" t="str">
        <x:v>Notify existing contact owner of email inquiry submission v 0.4</x:v>
      </x:c>
      <x:c r="S1865" s="119" t="str">
        <x:v>Notify existing contact owner of email inquiry submission</x:v>
      </x:c>
    </x:row>
    <x:row r="1866" ht="30" customHeight="1">
      <x:c r="A1866" s="117" t="str">
        <x:v>Notify_existing_contact_owner_of_email_inquiry_submission</x:v>
      </x:c>
      <x:c r="B1866" s="117" t="str">
        <x:v>3004O0000008mADQAY</x:v>
      </x:c>
      <x:c r="C1866" s="117" t="str">
        <x:v>3014O000000Y6saQAC</x:v>
      </x:c>
      <x:c r="D1866" s="118" t="n">
        <x:v>6</x:v>
      </x:c>
      <x:c r="E1866" s="117" t="str">
        <x:v>Obsolete</x:v>
      </x:c>
      <x:c r="F1866" s="117" t="str">
        <x:v>No</x:v>
      </x:c>
      <x:c r="G1866" s="117" t="str">
        <x:v>No</x:v>
      </x:c>
      <x:c r="H1866" s="117" t="str">
        <x:v>Workflow</x:v>
      </x:c>
      <x:c r="I1866" s="118"/>
      <x:c r="J1866" s="117" t="str">
        <x:v>unmanaged</x:v>
      </x:c>
      <x:c r="K1866" s="123" t="b">
        <x:v>0</x:v>
      </x:c>
      <x:c r="L1866" s="117"/>
      <x:c r="M1866" s="118"/>
      <x:c r="N1866" s="120" t="n">
        <x:v>43997.64302083333</x:v>
      </x:c>
      <x:c r="O1866" s="117" t="str">
        <x:v>Trent VanEmon</x:v>
      </x:c>
      <x:c r="P1866" s="120" t="n">
        <x:v>43997.64912037037</x:v>
      </x:c>
      <x:c r="Q1866" s="117" t="str">
        <x:v>Trent VanEmon</x:v>
      </x:c>
      <x:c r="R1866" s="117" t="str">
        <x:v>Notify existing contact owner of email inquiry submission v 0.4</x:v>
      </x:c>
      <x:c r="S1866" s="119" t="str">
        <x:v>Notify existing contact owner of email inquiry submission</x:v>
      </x:c>
    </x:row>
    <x:row r="1867" ht="30" customHeight="1">
      <x:c r="A1867" s="117" t="str">
        <x:v>Notify_existing_contact_owner_of_email_inquiry_submission</x:v>
      </x:c>
      <x:c r="B1867" s="117" t="str">
        <x:v>3004O0000008mADQAY</x:v>
      </x:c>
      <x:c r="C1867" s="117" t="str">
        <x:v>3014O000000Y6sbQAC</x:v>
      </x:c>
      <x:c r="D1867" s="118" t="n">
        <x:v>7</x:v>
      </x:c>
      <x:c r="E1867" s="117" t="str">
        <x:v>Obsolete</x:v>
      </x:c>
      <x:c r="F1867" s="117" t="str">
        <x:v>No</x:v>
      </x:c>
      <x:c r="G1867" s="117" t="str">
        <x:v>No</x:v>
      </x:c>
      <x:c r="H1867" s="117" t="str">
        <x:v>Workflow</x:v>
      </x:c>
      <x:c r="I1867" s="118"/>
      <x:c r="J1867" s="117" t="str">
        <x:v>unmanaged</x:v>
      </x:c>
      <x:c r="K1867" s="123" t="b">
        <x:v>0</x:v>
      </x:c>
      <x:c r="L1867" s="117"/>
      <x:c r="M1867" s="118"/>
      <x:c r="N1867" s="120" t="n">
        <x:v>43997.64944444445</x:v>
      </x:c>
      <x:c r="O1867" s="117" t="str">
        <x:v>Trent VanEmon</x:v>
      </x:c>
      <x:c r="P1867" s="120" t="n">
        <x:v>44229.7830787037</x:v>
      </x:c>
      <x:c r="Q1867" s="117" t="str">
        <x:v>Delegate</x:v>
      </x:c>
      <x:c r="R1867" s="117" t="str">
        <x:v>Notify existing contact owner of email inquiry submission v 0.4</x:v>
      </x:c>
      <x:c r="S1867" s="119" t="str">
        <x:v>Notify existing contact owner of email inquiry submission</x:v>
      </x:c>
    </x:row>
    <x:row r="1868" ht="30" customHeight="1">
      <x:c r="A1868" s="117" t="str">
        <x:v>Notify_existing_contact_owner_of_email_inquiry_submission</x:v>
      </x:c>
      <x:c r="B1868" s="117" t="str">
        <x:v>3004O0000008mADQAY</x:v>
      </x:c>
      <x:c r="C1868" s="117" t="str">
        <x:v>3014O0000001MYAQA2</x:v>
      </x:c>
      <x:c r="D1868" s="118" t="n">
        <x:v>8</x:v>
      </x:c>
      <x:c r="E1868" s="117" t="str">
        <x:v>Obsolete</x:v>
      </x:c>
      <x:c r="F1868" s="117" t="str">
        <x:v>No</x:v>
      </x:c>
      <x:c r="G1868" s="117" t="str">
        <x:v>Yes</x:v>
      </x:c>
      <x:c r="H1868" s="117" t="str">
        <x:v>Workflow</x:v>
      </x:c>
      <x:c r="I1868" s="118" t="n">
        <x:v>49</x:v>
      </x:c>
      <x:c r="J1868" s="117" t="str">
        <x:v>unmanaged</x:v>
      </x:c>
      <x:c r="K1868" s="123" t="b">
        <x:v>0</x:v>
      </x:c>
      <x:c r="L1868" s="117"/>
      <x:c r="M1868" s="118"/>
      <x:c r="N1868" s="120" t="n">
        <x:v>44124.790451388886</x:v>
      </x:c>
      <x:c r="O1868" s="117" t="str">
        <x:v>Trent VanEmon</x:v>
      </x:c>
      <x:c r="P1868" s="120" t="n">
        <x:v>44124.79157407407</x:v>
      </x:c>
      <x:c r="Q1868" s="117" t="str">
        <x:v>Trent VanEmon</x:v>
      </x:c>
      <x:c r="R1868" s="117" t="str">
        <x:v>Notify existing contact owner of email inquiry submission v 0.4</x:v>
      </x:c>
      <x:c r="S1868" s="119" t="str">
        <x:v>Notify existing contact owner of email inquiry submission</x:v>
      </x:c>
    </x:row>
    <x:row r="1869" ht="30" customHeight="1">
      <x:c r="A1869" s="117" t="str">
        <x:v>Notify_When_Asset_Goes_from_Good_to_Bad</x:v>
      </x:c>
      <x:c r="B1869" s="117" t="str">
        <x:v>3004O000000TiVcQAK</x:v>
      </x:c>
      <x:c r="C1869" s="117" t="str">
        <x:v>3014O000000U4yaQAC</x:v>
      </x:c>
      <x:c r="D1869" s="118" t="n">
        <x:v>1</x:v>
      </x:c>
      <x:c r="E1869" s="117" t="str">
        <x:v>Obsolete</x:v>
      </x:c>
      <x:c r="F1869" s="117" t="str">
        <x:v>No</x:v>
      </x:c>
      <x:c r="G1869" s="117" t="str">
        <x:v>Yes</x:v>
      </x:c>
      <x:c r="H1869" s="117" t="str">
        <x:v>Workflow</x:v>
      </x:c>
      <x:c r="I1869" s="118"/>
      <x:c r="J1869" s="117" t="str">
        <x:v>unmanaged</x:v>
      </x:c>
      <x:c r="K1869" s="123" t="b">
        <x:v>0</x:v>
      </x:c>
      <x:c r="L1869" s="117"/>
      <x:c r="M1869" s="118"/>
      <x:c r="N1869" s="120" t="n">
        <x:v>43696.64173611111</x:v>
      </x:c>
      <x:c r="O1869" s="117" t="str">
        <x:v>Jace Gentil</x:v>
      </x:c>
      <x:c r="P1869" s="120" t="n">
        <x:v>44260.156018518515</x:v>
      </x:c>
      <x:c r="Q1869" s="117" t="str">
        <x:v>Delegate</x:v>
      </x:c>
      <x:c r="R1869" s="117" t="str">
        <x:v>Notify When Asset Goes from Good to Bad</x:v>
      </x:c>
      <x:c r="S1869" s="119" t="str">
        <x:v>Sends Jace and Adam a notification for when an Purchased Asset goes from "Good" to "Bad" functionally</x:v>
      </x:c>
    </x:row>
    <x:row r="1870" ht="30" customHeight="1">
      <x:c r="A1870" s="117" t="str">
        <x:v>Notify_When_Opportunity_Ships_without_Being_Close_Won</x:v>
      </x:c>
      <x:c r="B1870" s="117" t="str">
        <x:v>3004O000000TiW1QAK</x:v>
      </x:c>
      <x:c r="C1870" s="117" t="str">
        <x:v>3014O000000U51oQAC</x:v>
      </x:c>
      <x:c r="D1870" s="118" t="n">
        <x:v>1</x:v>
      </x:c>
      <x:c r="E1870" s="117" t="str">
        <x:v>Obsolete</x:v>
      </x:c>
      <x:c r="F1870" s="117" t="str">
        <x:v>No</x:v>
      </x:c>
      <x:c r="G1870" s="117" t="str">
        <x:v>No</x:v>
      </x:c>
      <x:c r="H1870" s="117" t="str">
        <x:v>Workflow</x:v>
      </x:c>
      <x:c r="I1870" s="118"/>
      <x:c r="J1870" s="117" t="str">
        <x:v>unmanaged</x:v>
      </x:c>
      <x:c r="K1870" s="123" t="b">
        <x:v>0</x:v>
      </x:c>
      <x:c r="L1870" s="117"/>
      <x:c r="M1870" s="118"/>
      <x:c r="N1870" s="120" t="n">
        <x:v>43698.05756944444</x:v>
      </x:c>
      <x:c r="O1870" s="117" t="str">
        <x:v>Jace Gentil</x:v>
      </x:c>
      <x:c r="P1870" s="120" t="n">
        <x:v>44153.009560185186</x:v>
      </x:c>
      <x:c r="Q1870" s="117" t="str">
        <x:v>Trent VanEmon</x:v>
      </x:c>
      <x:c r="R1870" s="117" t="str">
        <x:v>Notify When Opportunity Ships without Being Close Won</x:v>
      </x:c>
      <x:c r="S1870" s="119" t="str">
        <x:v>Notifys Adam when an opportunity ships without being closed won</x:v>
      </x:c>
    </x:row>
    <x:row r="1871" ht="30" customHeight="1">
      <x:c r="A1871" s="117" t="str">
        <x:v>Notify_When_Opportunity_Ships_without_Being_Close_Won</x:v>
      </x:c>
      <x:c r="B1871" s="117" t="str">
        <x:v>3004O000000TiW1QAK</x:v>
      </x:c>
      <x:c r="C1871" s="117" t="str">
        <x:v>3014O0000001NEBQA2</x:v>
      </x:c>
      <x:c r="D1871" s="118" t="n">
        <x:v>2</x:v>
      </x:c>
      <x:c r="E1871" s="117" t="str">
        <x:v>Obsolete</x:v>
      </x:c>
      <x:c r="F1871" s="117" t="str">
        <x:v>No</x:v>
      </x:c>
      <x:c r="G1871" s="117" t="str">
        <x:v>No</x:v>
      </x:c>
      <x:c r="H1871" s="117" t="str">
        <x:v>Workflow</x:v>
      </x:c>
      <x:c r="I1871" s="118" t="n">
        <x:v>49</x:v>
      </x:c>
      <x:c r="J1871" s="117" t="str">
        <x:v>unmanaged</x:v>
      </x:c>
      <x:c r="K1871" s="123" t="b">
        <x:v>0</x:v>
      </x:c>
      <x:c r="L1871" s="117"/>
      <x:c r="M1871" s="118"/>
      <x:c r="N1871" s="120" t="n">
        <x:v>44153.023043981484</x:v>
      </x:c>
      <x:c r="O1871" s="117" t="str">
        <x:v>Trent VanEmon</x:v>
      </x:c>
      <x:c r="P1871" s="120" t="n">
        <x:v>44153.02681712963</x:v>
      </x:c>
      <x:c r="Q1871" s="117" t="str">
        <x:v>Trent VanEmon</x:v>
      </x:c>
      <x:c r="R1871" s="117" t="str">
        <x:v>Notify When Opportunity Ships without Being Close Won</x:v>
      </x:c>
      <x:c r="S1871" s="119" t="str">
        <x:v>Notifys Adam when an opportunity ships without being closed won</x:v>
      </x:c>
    </x:row>
    <x:row r="1872" ht="30" customHeight="1">
      <x:c r="A1872" s="117" t="str">
        <x:v>Notify_When_Opportunity_Ships_without_Being_Close_Won</x:v>
      </x:c>
      <x:c r="B1872" s="117" t="str">
        <x:v>3004O000000TiW1QAK</x:v>
      </x:c>
      <x:c r="C1872" s="117" t="str">
        <x:v>3014O0000001NDpQAM</x:v>
      </x:c>
      <x:c r="D1872" s="118" t="n">
        <x:v>3</x:v>
      </x:c>
      <x:c r="E1872" s="117" t="str">
        <x:v>Obsolete</x:v>
      </x:c>
      <x:c r="F1872" s="117" t="str">
        <x:v>No</x:v>
      </x:c>
      <x:c r="G1872" s="117" t="str">
        <x:v>No</x:v>
      </x:c>
      <x:c r="H1872" s="117" t="str">
        <x:v>Workflow</x:v>
      </x:c>
      <x:c r="I1872" s="118" t="n">
        <x:v>49</x:v>
      </x:c>
      <x:c r="J1872" s="117" t="str">
        <x:v>unmanaged</x:v>
      </x:c>
      <x:c r="K1872" s="123" t="b">
        <x:v>0</x:v>
      </x:c>
      <x:c r="L1872" s="117"/>
      <x:c r="M1872" s="118"/>
      <x:c r="N1872" s="120" t="n">
        <x:v>44153.03052083333</x:v>
      </x:c>
      <x:c r="O1872" s="117" t="str">
        <x:v>Trent VanEmon</x:v>
      </x:c>
      <x:c r="P1872" s="120" t="n">
        <x:v>44153.03109953704</x:v>
      </x:c>
      <x:c r="Q1872" s="117" t="str">
        <x:v>Trent VanEmon</x:v>
      </x:c>
      <x:c r="R1872" s="117" t="str">
        <x:v>Notify When Opportunity Ships without Being Close Won</x:v>
      </x:c>
      <x:c r="S1872" s="119" t="str">
        <x:v>Notifys Adam when an opportunity ships without being closed won</x:v>
      </x:c>
    </x:row>
    <x:row r="1873" ht="30" customHeight="1">
      <x:c r="A1873" s="117" t="str">
        <x:v>Notify_When_Opportunity_Ships_without_Being_Close_Won</x:v>
      </x:c>
      <x:c r="B1873" s="117" t="str">
        <x:v>3004O000000TiW1QAK</x:v>
      </x:c>
      <x:c r="C1873" s="117" t="str">
        <x:v>3014O0000001NEHQA2</x:v>
      </x:c>
      <x:c r="D1873" s="118" t="n">
        <x:v>4</x:v>
      </x:c>
      <x:c r="E1873" s="117" t="str">
        <x:v>Obsolete</x:v>
      </x:c>
      <x:c r="F1873" s="117" t="str">
        <x:v>No</x:v>
      </x:c>
      <x:c r="G1873" s="117" t="str">
        <x:v>No</x:v>
      </x:c>
      <x:c r="H1873" s="117" t="str">
        <x:v>Workflow</x:v>
      </x:c>
      <x:c r="I1873" s="118" t="n">
        <x:v>49</x:v>
      </x:c>
      <x:c r="J1873" s="117" t="str">
        <x:v>unmanaged</x:v>
      </x:c>
      <x:c r="K1873" s="123" t="b">
        <x:v>0</x:v>
      </x:c>
      <x:c r="L1873" s="117"/>
      <x:c r="M1873" s="118"/>
      <x:c r="N1873" s="120" t="n">
        <x:v>44153.03173611111</x:v>
      </x:c>
      <x:c r="O1873" s="117" t="str">
        <x:v>Trent VanEmon</x:v>
      </x:c>
      <x:c r="P1873" s="120" t="n">
        <x:v>44153.03362268519</x:v>
      </x:c>
      <x:c r="Q1873" s="117" t="str">
        <x:v>Trent VanEmon</x:v>
      </x:c>
      <x:c r="R1873" s="117" t="str">
        <x:v>Notify When Opportunity Ships without Being Close Won</x:v>
      </x:c>
      <x:c r="S1873" s="119" t="str">
        <x:v>Notifys Adam when an opportunity ships without being closed won</x:v>
      </x:c>
    </x:row>
    <x:row r="1874" ht="30" customHeight="1">
      <x:c r="A1874" s="117" t="str">
        <x:v>Notify_When_Opportunity_Ships_without_Being_Close_Won</x:v>
      </x:c>
      <x:c r="B1874" s="117" t="str">
        <x:v>3004O000000TiW1QAK</x:v>
      </x:c>
      <x:c r="C1874" s="117" t="str">
        <x:v>3014O0000001NDzQAM</x:v>
      </x:c>
      <x:c r="D1874" s="118" t="n">
        <x:v>5</x:v>
      </x:c>
      <x:c r="E1874" s="117" t="str">
        <x:v>Obsolete</x:v>
      </x:c>
      <x:c r="F1874" s="117" t="str">
        <x:v>No</x:v>
      </x:c>
      <x:c r="G1874" s="117" t="str">
        <x:v>No</x:v>
      </x:c>
      <x:c r="H1874" s="117" t="str">
        <x:v>Workflow</x:v>
      </x:c>
      <x:c r="I1874" s="118" t="n">
        <x:v>49</x:v>
      </x:c>
      <x:c r="J1874" s="117" t="str">
        <x:v>unmanaged</x:v>
      </x:c>
      <x:c r="K1874" s="123" t="b">
        <x:v>0</x:v>
      </x:c>
      <x:c r="L1874" s="117"/>
      <x:c r="M1874" s="118"/>
      <x:c r="N1874" s="120" t="n">
        <x:v>44153.03414351852</x:v>
      </x:c>
      <x:c r="O1874" s="117" t="str">
        <x:v>Trent VanEmon</x:v>
      </x:c>
      <x:c r="P1874" s="120" t="n">
        <x:v>44153.03465277778</x:v>
      </x:c>
      <x:c r="Q1874" s="117" t="str">
        <x:v>Trent VanEmon</x:v>
      </x:c>
      <x:c r="R1874" s="117" t="str">
        <x:v>Notify When Opportunity Ships without Being Close Won</x:v>
      </x:c>
      <x:c r="S1874" s="119" t="str">
        <x:v>Notifys Adam when an opportunity ships without being closed won</x:v>
      </x:c>
    </x:row>
    <x:row r="1875" ht="30" customHeight="1">
      <x:c r="A1875" s="117" t="str">
        <x:v>Notify_When_Opportunity_Ships_without_Being_Close_Won</x:v>
      </x:c>
      <x:c r="B1875" s="117" t="str">
        <x:v>3004O000000TiW1QAK</x:v>
      </x:c>
      <x:c r="C1875" s="117" t="str">
        <x:v>3014O0000001NE0QAM</x:v>
      </x:c>
      <x:c r="D1875" s="118" t="n">
        <x:v>6</x:v>
      </x:c>
      <x:c r="E1875" s="117" t="str">
        <x:v>Obsolete</x:v>
      </x:c>
      <x:c r="F1875" s="117" t="str">
        <x:v>No</x:v>
      </x:c>
      <x:c r="G1875" s="117" t="str">
        <x:v>No</x:v>
      </x:c>
      <x:c r="H1875" s="117" t="str">
        <x:v>Workflow</x:v>
      </x:c>
      <x:c r="I1875" s="118" t="n">
        <x:v>49</x:v>
      </x:c>
      <x:c r="J1875" s="117" t="str">
        <x:v>unmanaged</x:v>
      </x:c>
      <x:c r="K1875" s="123" t="b">
        <x:v>0</x:v>
      </x:c>
      <x:c r="L1875" s="117"/>
      <x:c r="M1875" s="118"/>
      <x:c r="N1875" s="120" t="n">
        <x:v>44153.03487268519</x:v>
      </x:c>
      <x:c r="O1875" s="117" t="str">
        <x:v>Trent VanEmon</x:v>
      </x:c>
      <x:c r="P1875" s="120" t="n">
        <x:v>44153.035416666666</x:v>
      </x:c>
      <x:c r="Q1875" s="117" t="str">
        <x:v>Trent VanEmon</x:v>
      </x:c>
      <x:c r="R1875" s="117" t="str">
        <x:v>Notify When Opportunity Ships without Being Close Won</x:v>
      </x:c>
      <x:c r="S1875" s="119" t="str">
        <x:v>Notifys Adam when an opportunity ships without being closed won</x:v>
      </x:c>
    </x:row>
    <x:row r="1876" ht="30" customHeight="1">
      <x:c r="A1876" s="117" t="str">
        <x:v>Notify_When_Opportunity_Ships_without_Being_Close_Won</x:v>
      </x:c>
      <x:c r="B1876" s="117" t="str">
        <x:v>3004O000000TiW1QAK</x:v>
      </x:c>
      <x:c r="C1876" s="117" t="str">
        <x:v>3014O0000001NEVQA2</x:v>
      </x:c>
      <x:c r="D1876" s="118" t="n">
        <x:v>7</x:v>
      </x:c>
      <x:c r="E1876" s="117" t="str">
        <x:v>Obsolete</x:v>
      </x:c>
      <x:c r="F1876" s="117" t="str">
        <x:v>No</x:v>
      </x:c>
      <x:c r="G1876" s="117" t="str">
        <x:v>No</x:v>
      </x:c>
      <x:c r="H1876" s="117" t="str">
        <x:v>Workflow</x:v>
      </x:c>
      <x:c r="I1876" s="118" t="n">
        <x:v>49</x:v>
      </x:c>
      <x:c r="J1876" s="117" t="str">
        <x:v>unmanaged</x:v>
      </x:c>
      <x:c r="K1876" s="123" t="b">
        <x:v>0</x:v>
      </x:c>
      <x:c r="L1876" s="117"/>
      <x:c r="M1876" s="118"/>
      <x:c r="N1876" s="120" t="n">
        <x:v>44153.03556712963</x:v>
      </x:c>
      <x:c r="O1876" s="117" t="str">
        <x:v>Trent VanEmon</x:v>
      </x:c>
      <x:c r="P1876" s="120" t="n">
        <x:v>44153.03601851852</x:v>
      </x:c>
      <x:c r="Q1876" s="117" t="str">
        <x:v>Trent VanEmon</x:v>
      </x:c>
      <x:c r="R1876" s="117" t="str">
        <x:v>Notify When Opportunity Ships without Being Close Won</x:v>
      </x:c>
      <x:c r="S1876" s="119" t="str">
        <x:v>Notifys Adam when an opportunity ships without being closed won</x:v>
      </x:c>
    </x:row>
    <x:row r="1877" ht="30" customHeight="1">
      <x:c r="A1877" s="117" t="str">
        <x:v>Notify_When_Opportunity_Ships_without_Being_Close_Won</x:v>
      </x:c>
      <x:c r="B1877" s="117" t="str">
        <x:v>3004O000000TiW1QAK</x:v>
      </x:c>
      <x:c r="C1877" s="117" t="str">
        <x:v>3014O0000001NEJQA2</x:v>
      </x:c>
      <x:c r="D1877" s="118" t="n">
        <x:v>8</x:v>
      </x:c>
      <x:c r="E1877" s="117" t="str">
        <x:v>Obsolete</x:v>
      </x:c>
      <x:c r="F1877" s="117" t="str">
        <x:v>No</x:v>
      </x:c>
      <x:c r="G1877" s="117" t="str">
        <x:v>No</x:v>
      </x:c>
      <x:c r="H1877" s="117" t="str">
        <x:v>Workflow</x:v>
      </x:c>
      <x:c r="I1877" s="118" t="n">
        <x:v>49</x:v>
      </x:c>
      <x:c r="J1877" s="117" t="str">
        <x:v>unmanaged</x:v>
      </x:c>
      <x:c r="K1877" s="123" t="b">
        <x:v>0</x:v>
      </x:c>
      <x:c r="L1877" s="117"/>
      <x:c r="M1877" s="118"/>
      <x:c r="N1877" s="120" t="n">
        <x:v>44153.037569444445</x:v>
      </x:c>
      <x:c r="O1877" s="117" t="str">
        <x:v>Trent VanEmon</x:v>
      </x:c>
      <x:c r="P1877" s="120" t="n">
        <x:v>44153.038564814815</x:v>
      </x:c>
      <x:c r="Q1877" s="117" t="str">
        <x:v>Trent VanEmon</x:v>
      </x:c>
      <x:c r="R1877" s="117" t="str">
        <x:v>Notify When Opportunity Ships without Being Close Won</x:v>
      </x:c>
      <x:c r="S1877" s="119" t="str">
        <x:v>Notifys Adam when an opportunity ships without being closed won</x:v>
      </x:c>
    </x:row>
    <x:row r="1878" ht="30" customHeight="1">
      <x:c r="A1878" s="117" t="str">
        <x:v>Notify_When_Opportunity_Ships_without_Being_Close_Won</x:v>
      </x:c>
      <x:c r="B1878" s="117" t="str">
        <x:v>3004O000000TiW1QAK</x:v>
      </x:c>
      <x:c r="C1878" s="117" t="str">
        <x:v>3014O0000001NEWQA2</x:v>
      </x:c>
      <x:c r="D1878" s="118" t="n">
        <x:v>9</x:v>
      </x:c>
      <x:c r="E1878" s="117" t="str">
        <x:v>Obsolete</x:v>
      </x:c>
      <x:c r="F1878" s="117" t="str">
        <x:v>No</x:v>
      </x:c>
      <x:c r="G1878" s="117" t="str">
        <x:v>No</x:v>
      </x:c>
      <x:c r="H1878" s="117" t="str">
        <x:v>Workflow</x:v>
      </x:c>
      <x:c r="I1878" s="118" t="n">
        <x:v>49</x:v>
      </x:c>
      <x:c r="J1878" s="117" t="str">
        <x:v>unmanaged</x:v>
      </x:c>
      <x:c r="K1878" s="123" t="b">
        <x:v>0</x:v>
      </x:c>
      <x:c r="L1878" s="117"/>
      <x:c r="M1878" s="118"/>
      <x:c r="N1878" s="120" t="n">
        <x:v>44153.03869212963</x:v>
      </x:c>
      <x:c r="O1878" s="117" t="str">
        <x:v>Trent VanEmon</x:v>
      </x:c>
      <x:c r="P1878" s="120" t="n">
        <x:v>44153.043599537035</x:v>
      </x:c>
      <x:c r="Q1878" s="117" t="str">
        <x:v>Trent VanEmon</x:v>
      </x:c>
      <x:c r="R1878" s="117" t="str">
        <x:v>Notify When Opportunity Ships without Being Close Won</x:v>
      </x:c>
      <x:c r="S1878" s="119" t="str">
        <x:v>Notifys Adam when an opportunity ships without being closed won</x:v>
      </x:c>
    </x:row>
    <x:row r="1879" ht="30" customHeight="1">
      <x:c r="A1879" s="117" t="str">
        <x:v>Notify_When_Opportunity_Ships_without_Being_Close_Won</x:v>
      </x:c>
      <x:c r="B1879" s="117" t="str">
        <x:v>3004O000000TiW1QAK</x:v>
      </x:c>
      <x:c r="C1879" s="117" t="str">
        <x:v>3014O0000001NEfQAM</x:v>
      </x:c>
      <x:c r="D1879" s="118" t="n">
        <x:v>10</x:v>
      </x:c>
      <x:c r="E1879" s="117" t="str">
        <x:v>Obsolete</x:v>
      </x:c>
      <x:c r="F1879" s="117" t="str">
        <x:v>No</x:v>
      </x:c>
      <x:c r="G1879" s="117" t="str">
        <x:v>No</x:v>
      </x:c>
      <x:c r="H1879" s="117" t="str">
        <x:v>Workflow</x:v>
      </x:c>
      <x:c r="I1879" s="118" t="n">
        <x:v>49</x:v>
      </x:c>
      <x:c r="J1879" s="117" t="str">
        <x:v>unmanaged</x:v>
      </x:c>
      <x:c r="K1879" s="123" t="b">
        <x:v>0</x:v>
      </x:c>
      <x:c r="L1879" s="117"/>
      <x:c r="M1879" s="118"/>
      <x:c r="N1879" s="120" t="n">
        <x:v>44153.0441087963</x:v>
      </x:c>
      <x:c r="O1879" s="117" t="str">
        <x:v>Trent VanEmon</x:v>
      </x:c>
      <x:c r="P1879" s="120" t="n">
        <x:v>44153.052256944444</x:v>
      </x:c>
      <x:c r="Q1879" s="117" t="str">
        <x:v>Trent VanEmon</x:v>
      </x:c>
      <x:c r="R1879" s="117" t="str">
        <x:v>Notify When Opportunity Ships without Being Close Won</x:v>
      </x:c>
      <x:c r="S1879" s="119" t="str">
        <x:v>Notifys Adam when an opportunity ships without being closed won</x:v>
      </x:c>
    </x:row>
    <x:row r="1880" ht="30" customHeight="1">
      <x:c r="A1880" s="117" t="str">
        <x:v>Notify_When_Opportunity_Ships_without_Being_Close_Won</x:v>
      </x:c>
      <x:c r="B1880" s="117" t="str">
        <x:v>3004O000000TiW1QAK</x:v>
      </x:c>
      <x:c r="C1880" s="117" t="str">
        <x:v>3014O0000001NEpQAM</x:v>
      </x:c>
      <x:c r="D1880" s="118" t="n">
        <x:v>11</x:v>
      </x:c>
      <x:c r="E1880" s="117" t="str">
        <x:v>Obsolete</x:v>
      </x:c>
      <x:c r="F1880" s="117" t="str">
        <x:v>No</x:v>
      </x:c>
      <x:c r="G1880" s="117" t="str">
        <x:v>No</x:v>
      </x:c>
      <x:c r="H1880" s="117" t="str">
        <x:v>Workflow</x:v>
      </x:c>
      <x:c r="I1880" s="118" t="n">
        <x:v>49</x:v>
      </x:c>
      <x:c r="J1880" s="117" t="str">
        <x:v>unmanaged</x:v>
      </x:c>
      <x:c r="K1880" s="123" t="b">
        <x:v>0</x:v>
      </x:c>
      <x:c r="L1880" s="117"/>
      <x:c r="M1880" s="118"/>
      <x:c r="N1880" s="120" t="n">
        <x:v>44153.05540509259</x:v>
      </x:c>
      <x:c r="O1880" s="117" t="str">
        <x:v>Trent VanEmon</x:v>
      </x:c>
      <x:c r="P1880" s="120" t="n">
        <x:v>44153.056296296294</x:v>
      </x:c>
      <x:c r="Q1880" s="117" t="str">
        <x:v>Trent VanEmon</x:v>
      </x:c>
      <x:c r="R1880" s="117" t="str">
        <x:v>Notify When Opportunity Ships without Being Close Won</x:v>
      </x:c>
      <x:c r="S1880" s="119" t="str">
        <x:v>Notifys Adam when an opportunity ships without being closed won</x:v>
      </x:c>
    </x:row>
    <x:row r="1881" ht="30" customHeight="1">
      <x:c r="A1881" s="117" t="str">
        <x:v>Notify_When_Opportunity_Ships_without_Being_Close_Won</x:v>
      </x:c>
      <x:c r="B1881" s="117" t="str">
        <x:v>3004O000000TiW1QAK</x:v>
      </x:c>
      <x:c r="C1881" s="117" t="str">
        <x:v>3014O0000001NEdQAM</x:v>
      </x:c>
      <x:c r="D1881" s="118" t="n">
        <x:v>12</x:v>
      </x:c>
      <x:c r="E1881" s="117" t="str">
        <x:v>Obsolete</x:v>
      </x:c>
      <x:c r="F1881" s="117" t="str">
        <x:v>No</x:v>
      </x:c>
      <x:c r="G1881" s="117" t="str">
        <x:v>No</x:v>
      </x:c>
      <x:c r="H1881" s="117" t="str">
        <x:v>Workflow</x:v>
      </x:c>
      <x:c r="I1881" s="118" t="n">
        <x:v>49</x:v>
      </x:c>
      <x:c r="J1881" s="117" t="str">
        <x:v>unmanaged</x:v>
      </x:c>
      <x:c r="K1881" s="123" t="b">
        <x:v>0</x:v>
      </x:c>
      <x:c r="L1881" s="117"/>
      <x:c r="M1881" s="118"/>
      <x:c r="N1881" s="120" t="n">
        <x:v>44153.056805555556</x:v>
      </x:c>
      <x:c r="O1881" s="117" t="str">
        <x:v>Trent VanEmon</x:v>
      </x:c>
      <x:c r="P1881" s="120" t="n">
        <x:v>44153.05737268519</x:v>
      </x:c>
      <x:c r="Q1881" s="117" t="str">
        <x:v>Trent VanEmon</x:v>
      </x:c>
      <x:c r="R1881" s="117" t="str">
        <x:v>Notify When Opportunity Ships without Being Close Won</x:v>
      </x:c>
      <x:c r="S1881" s="119" t="str">
        <x:v>Notifys Adam when an opportunity ships without being closed won</x:v>
      </x:c>
    </x:row>
    <x:row r="1882" ht="30" customHeight="1">
      <x:c r="A1882" s="117" t="str">
        <x:v>Notify_When_Opportunity_Ships_without_Being_Close_Won</x:v>
      </x:c>
      <x:c r="B1882" s="117" t="str">
        <x:v>3004O000000TiW1QAK</x:v>
      </x:c>
      <x:c r="C1882" s="117" t="str">
        <x:v>3014O0000001NEuQAM</x:v>
      </x:c>
      <x:c r="D1882" s="118" t="n">
        <x:v>13</x:v>
      </x:c>
      <x:c r="E1882" s="117" t="str">
        <x:v>Obsolete</x:v>
      </x:c>
      <x:c r="F1882" s="117" t="str">
        <x:v>No</x:v>
      </x:c>
      <x:c r="G1882" s="117" t="str">
        <x:v>No</x:v>
      </x:c>
      <x:c r="H1882" s="117" t="str">
        <x:v>Workflow</x:v>
      </x:c>
      <x:c r="I1882" s="118" t="n">
        <x:v>49</x:v>
      </x:c>
      <x:c r="J1882" s="117" t="str">
        <x:v>unmanaged</x:v>
      </x:c>
      <x:c r="K1882" s="123" t="b">
        <x:v>0</x:v>
      </x:c>
      <x:c r="L1882" s="117"/>
      <x:c r="M1882" s="118"/>
      <x:c r="N1882" s="120" t="n">
        <x:v>44153.057592592595</x:v>
      </x:c>
      <x:c r="O1882" s="117" t="str">
        <x:v>Trent VanEmon</x:v>
      </x:c>
      <x:c r="P1882" s="120" t="n">
        <x:v>44153.05909722222</x:v>
      </x:c>
      <x:c r="Q1882" s="117" t="str">
        <x:v>Trent VanEmon</x:v>
      </x:c>
      <x:c r="R1882" s="117" t="str">
        <x:v>Notify When Opportunity Ships without Being Close Won</x:v>
      </x:c>
      <x:c r="S1882" s="119" t="str">
        <x:v>Notifys Adam when an opportunity ships without being closed won</x:v>
      </x:c>
    </x:row>
    <x:row r="1883" ht="30" customHeight="1">
      <x:c r="A1883" s="117" t="str">
        <x:v>Notify_When_Opportunity_Ships_without_Being_Close_Won</x:v>
      </x:c>
      <x:c r="B1883" s="117" t="str">
        <x:v>3004O000000TiW1QAK</x:v>
      </x:c>
      <x:c r="C1883" s="117" t="str">
        <x:v>3014O0000001NF6QAM</x:v>
      </x:c>
      <x:c r="D1883" s="118" t="n">
        <x:v>14</x:v>
      </x:c>
      <x:c r="E1883" s="117" t="str">
        <x:v>Obsolete</x:v>
      </x:c>
      <x:c r="F1883" s="117" t="str">
        <x:v>No</x:v>
      </x:c>
      <x:c r="G1883" s="117" t="str">
        <x:v>Yes</x:v>
      </x:c>
      <x:c r="H1883" s="117" t="str">
        <x:v>Workflow</x:v>
      </x:c>
      <x:c r="I1883" s="118" t="n">
        <x:v>49</x:v>
      </x:c>
      <x:c r="J1883" s="117" t="str">
        <x:v>unmanaged</x:v>
      </x:c>
      <x:c r="K1883" s="123" t="b">
        <x:v>0</x:v>
      </x:c>
      <x:c r="L1883" s="117"/>
      <x:c r="M1883" s="118"/>
      <x:c r="N1883" s="120" t="n">
        <x:v>44153.065833333334</x:v>
      </x:c>
      <x:c r="O1883" s="117" t="str">
        <x:v>Trent VanEmon</x:v>
      </x:c>
      <x:c r="P1883" s="120" t="n">
        <x:v>44228.73650462963</x:v>
      </x:c>
      <x:c r="Q1883" s="117" t="str">
        <x:v>Delegate</x:v>
      </x:c>
      <x:c r="R1883" s="117" t="str">
        <x:v>Notify When Opportunity Ships without Being Close Won</x:v>
      </x:c>
      <x:c r="S1883" s="119" t="str">
        <x:v>Notifys Adam when an opportunity ships without being closed won</x:v>
      </x:c>
    </x:row>
    <x:row r="1884" ht="30" customHeight="1">
      <x:c r="A1884" s="117" t="str">
        <x:v>On_Asset_Creation_Set_Currency_to_Purchasing_Opportunity_Currency</x:v>
      </x:c>
      <x:c r="B1884" s="117" t="str">
        <x:v>300Ro00000QYP8LIAX</x:v>
      </x:c>
      <x:c r="C1884" s="117" t="str">
        <x:v>301Ro00000TF3umIAD</x:v>
      </x:c>
      <x:c r="D1884" s="118" t="n">
        <x:v>1</x:v>
      </x:c>
      <x:c r="E1884" s="117" t="str">
        <x:v>Active</x:v>
      </x:c>
      <x:c r="F1884" s="117" t="str">
        <x:v>Yes</x:v>
      </x:c>
      <x:c r="G1884" s="117" t="str">
        <x:v>Yes</x:v>
      </x:c>
      <x:c r="H1884" s="117" t="str">
        <x:v>AutoLaunchedFlow</x:v>
      </x:c>
      <x:c r="I1884" s="118" t="n">
        <x:v>62</x:v>
      </x:c>
      <x:c r="J1884" s="117" t="str">
        <x:v>unmanaged</x:v>
      </x:c>
      <x:c r="K1884" s="123" t="b">
        <x:v>0</x:v>
      </x:c>
      <x:c r="L1884" s="117"/>
      <x:c r="M1884" s="118"/>
      <x:c r="N1884" s="120" t="n">
        <x:v>45691.47521990741</x:v>
      </x:c>
      <x:c r="O1884" s="117" t="str">
        <x:v>Delegate</x:v>
      </x:c>
      <x:c r="P1884" s="120" t="n">
        <x:v>45691.47954861111</x:v>
      </x:c>
      <x:c r="Q1884" s="117" t="str">
        <x:v>Delegate</x:v>
      </x:c>
      <x:c r="R1884" s="117" t="str">
        <x:v>On Asset Creation | Set Currency to Purchasing Opportunity Currency</x:v>
      </x:c>
      <x:c r="S1884" s="119" t="str">
        <x:v>01/24/2025 (BW) - Sets the currency of the asset to the purchasing opportunity currency upon creation of the asset</x:v>
      </x:c>
    </x:row>
    <x:row r="1885" ht="30" customHeight="1">
      <x:c r="A1885" s="117" t="str">
        <x:v>On_Create_Asynchronous_Update_RMA_with_Related_Work_Order</x:v>
      </x:c>
      <x:c r="B1885" s="117" t="str">
        <x:v>300Ro00000nuqvmIAA</x:v>
      </x:c>
      <x:c r="C1885" s="117" t="str">
        <x:v>301Ro00000vLHReIAO</x:v>
      </x:c>
      <x:c r="D1885" s="118" t="n">
        <x:v>1</x:v>
      </x:c>
      <x:c r="E1885" s="117" t="str">
        <x:v>Obsolete</x:v>
      </x:c>
      <x:c r="F1885" s="117" t="str">
        <x:v>No</x:v>
      </x:c>
      <x:c r="G1885" s="117" t="str">
        <x:v>No</x:v>
      </x:c>
      <x:c r="H1885" s="117" t="str">
        <x:v>AutoLaunchedFlow</x:v>
      </x:c>
      <x:c r="I1885" s="118" t="n">
        <x:v>65</x:v>
      </x:c>
      <x:c r="J1885" s="117" t="str">
        <x:v>unmanaged</x:v>
      </x:c>
      <x:c r="K1885" s="123" t="b">
        <x:v>0</x:v>
      </x:c>
      <x:c r="L1885" s="117"/>
      <x:c r="M1885" s="118"/>
      <x:c r="N1885" s="120" t="n">
        <x:v>46030.562314814815</x:v>
      </x:c>
      <x:c r="O1885" s="117" t="str">
        <x:v>Delegate</x:v>
      </x:c>
      <x:c r="P1885" s="120" t="n">
        <x:v>46030.56236111111</x:v>
      </x:c>
      <x:c r="Q1885" s="117" t="str">
        <x:v>Delegate</x:v>
      </x:c>
      <x:c r="R1885" s="117" t="str">
        <x:v>On Create: Asynchronous Update RMA with Related Work Order</x:v>
      </x:c>
      <x:c r="S1885" s="119" t="str">
        <x:v>01/08/2025 (BW) - Sets the Work Order on the RMA upon creation if there is a work order to set</x:v>
      </x:c>
    </x:row>
    <x:row r="1886" ht="30" customHeight="1">
      <x:c r="A1886" s="117" t="str">
        <x:v>On_Create_Asynchronous_Update_RMA_with_Related_Work_Order</x:v>
      </x:c>
      <x:c r="B1886" s="117" t="str">
        <x:v>300Ro00000nuqvmIAA</x:v>
      </x:c>
      <x:c r="C1886" s="117" t="str">
        <x:v>301Ro0000139byzIAA</x:v>
      </x:c>
      <x:c r="D1886" s="118" t="n">
        <x:v>2</x:v>
      </x:c>
      <x:c r="E1886" s="117" t="str">
        <x:v>Active</x:v>
      </x:c>
      <x:c r="F1886" s="117" t="str">
        <x:v>Yes</x:v>
      </x:c>
      <x:c r="G1886" s="117" t="str">
        <x:v>Yes</x:v>
      </x:c>
      <x:c r="H1886" s="117" t="str">
        <x:v>AutoLaunchedFlow</x:v>
      </x:c>
      <x:c r="I1886" s="118" t="n">
        <x:v>65</x:v>
      </x:c>
      <x:c r="J1886" s="117" t="str">
        <x:v>unmanaged</x:v>
      </x:c>
      <x:c r="K1886" s="123" t="b">
        <x:v>0</x:v>
      </x:c>
      <x:c r="L1886" s="117"/>
      <x:c r="M1886" s="118"/>
      <x:c r="N1886" s="120" t="n">
        <x:v>46126.67366898148</x:v>
      </x:c>
      <x:c r="O1886" s="117" t="str">
        <x:v>Delegate</x:v>
      </x:c>
      <x:c r="P1886" s="120" t="n">
        <x:v>46126.67375</x:v>
      </x:c>
      <x:c r="Q1886" s="117" t="str">
        <x:v>Delegate</x:v>
      </x:c>
      <x:c r="R1886" s="117" t="str">
        <x:v>On Create: Asynchronous Update RMA with Related Work Order</x:v>
      </x:c>
      <x:c r="S1886" s="119" t="str">
        <x:v>04/14/2026 (BW) - Ensuring this only runs if there is not currently a work order attached to this RMA</x:v>
      </x:c>
    </x:row>
    <x:row r="1887" ht="30" customHeight="1">
      <x:c r="A1887" s="117" t="str">
        <x:v>On_Create_of_SRI_Check_if_SA_status_needs_to_be_updated</x:v>
      </x:c>
      <x:c r="B1887" s="117" t="str">
        <x:v>300Ro00000REVFjIAP</x:v>
      </x:c>
      <x:c r="C1887" s="117" t="str">
        <x:v>301Ro00000U2CgeIAF</x:v>
      </x:c>
      <x:c r="D1887" s="118" t="n">
        <x:v>1</x:v>
      </x:c>
      <x:c r="E1887" s="117" t="str">
        <x:v>Active</x:v>
      </x:c>
      <x:c r="F1887" s="117" t="str">
        <x:v>Yes</x:v>
      </x:c>
      <x:c r="G1887" s="117" t="str">
        <x:v>Yes</x:v>
      </x:c>
      <x:c r="H1887" s="117" t="str">
        <x:v>AutoLaunchedFlow</x:v>
      </x:c>
      <x:c r="I1887" s="118" t="n">
        <x:v>62</x:v>
      </x:c>
      <x:c r="J1887" s="117" t="str">
        <x:v>unmanaged</x:v>
      </x:c>
      <x:c r="K1887" s="123" t="b">
        <x:v>0</x:v>
      </x:c>
      <x:c r="L1887" s="117"/>
      <x:c r="M1887" s="118"/>
      <x:c r="N1887" s="120" t="n">
        <x:v>45702.602997685186</x:v>
      </x:c>
      <x:c r="O1887" s="117" t="str">
        <x:v>Delegate</x:v>
      </x:c>
      <x:c r="P1887" s="120" t="n">
        <x:v>45702.6030787037</x:v>
      </x:c>
      <x:c r="Q1887" s="117" t="str">
        <x:v>Delegate</x:v>
      </x:c>
      <x:c r="R1887" s="117" t="str">
        <x:v>On Create of SRI | Check if SA status needs to be updated</x:v>
      </x:c>
      <x:c r="S1887" s="119" t="str">
        <x:v>02/14/2025 (BW) - Updating API Version</x:v>
      </x:c>
    </x:row>
    <x:row r="1888" ht="30" customHeight="1">
      <x:c r="A1888" s="117" t="str">
        <x:v>On_Create_Parts_Sales_Value_Rollup</x:v>
      </x:c>
      <x:c r="B1888" s="117" t="str">
        <x:v>300Ro00000xL7RAIA0</x:v>
      </x:c>
      <x:c r="C1888" s="117" t="str">
        <x:v>301Ro000015Xgy0IAC</x:v>
      </x:c>
      <x:c r="D1888" s="118" t="n">
        <x:v>1</x:v>
      </x:c>
      <x:c r="E1888" s="117" t="str">
        <x:v>Obsolete</x:v>
      </x:c>
      <x:c r="F1888" s="117" t="str">
        <x:v>No</x:v>
      </x:c>
      <x:c r="G1888" s="117" t="str">
        <x:v>No</x:v>
      </x:c>
      <x:c r="H1888" s="117" t="str">
        <x:v>AutoLaunchedFlow</x:v>
      </x:c>
      <x:c r="I1888" s="118" t="n">
        <x:v>57</x:v>
      </x:c>
      <x:c r="J1888" s="117" t="str">
        <x:v>unmanaged</x:v>
      </x:c>
      <x:c r="K1888" s="123" t="b">
        <x:v>0</x:v>
      </x:c>
      <x:c r="L1888" s="117"/>
      <x:c r="M1888" s="118"/>
      <x:c r="N1888" s="120" t="n">
        <x:v>46155.61641203704</x:v>
      </x:c>
      <x:c r="O1888" s="117" t="str">
        <x:v>Delegate</x:v>
      </x:c>
      <x:c r="P1888" s="120" t="n">
        <x:v>46155.616481481484</x:v>
      </x:c>
      <x:c r="Q1888" s="117" t="str">
        <x:v>Delegate</x:v>
      </x:c>
      <x:c r="R1888" s="117" t="str">
        <x:v>On Create | Parts Sales Value Rollup</x:v>
      </x:c>
      <x:c r="S1888" s="119" t="str">
        <x:v>05/13/2026 (BW) - Creation version of the On Update of Unit Price | Parts Sales Value Rollup</x:v>
      </x:c>
    </x:row>
    <x:row r="1889" ht="30" customHeight="1">
      <x:c r="A1889" s="117" t="str">
        <x:v>On_Create_Parts_Sales_Value_Rollup</x:v>
      </x:c>
      <x:c r="B1889" s="117" t="str">
        <x:v>300Ro00000xL7RAIA0</x:v>
      </x:c>
      <x:c r="C1889" s="117" t="str">
        <x:v>301Ro000015XjmBIAS</x:v>
      </x:c>
      <x:c r="D1889" s="118" t="n">
        <x:v>2</x:v>
      </x:c>
      <x:c r="E1889" s="117" t="str">
        <x:v>Obsolete</x:v>
      </x:c>
      <x:c r="F1889" s="117" t="str">
        <x:v>No</x:v>
      </x:c>
      <x:c r="G1889" s="117" t="str">
        <x:v>No</x:v>
      </x:c>
      <x:c r="H1889" s="117" t="str">
        <x:v>AutoLaunchedFlow</x:v>
      </x:c>
      <x:c r="I1889" s="118" t="n">
        <x:v>57</x:v>
      </x:c>
      <x:c r="J1889" s="117" t="str">
        <x:v>unmanaged</x:v>
      </x:c>
      <x:c r="K1889" s="123" t="b">
        <x:v>0</x:v>
      </x:c>
      <x:c r="L1889" s="117"/>
      <x:c r="M1889" s="118"/>
      <x:c r="N1889" s="120" t="n">
        <x:v>46155.61670138889</x:v>
      </x:c>
      <x:c r="O1889" s="117" t="str">
        <x:v>Delegate</x:v>
      </x:c>
      <x:c r="P1889" s="120" t="n">
        <x:v>46160.56706018518</x:v>
      </x:c>
      <x:c r="Q1889" s="117" t="str">
        <x:v>Sacha Pearce</x:v>
      </x:c>
      <x:c r="R1889" s="117" t="str">
        <x:v>On Create | Parts Sales Value Rollup</x:v>
      </x:c>
      <x:c r="S1889" s="119" t="str">
        <x:v>05/13/2026 (BW) - Creation version of the On Update of Unit Price | Parts Sales Value Rollup</x:v>
      </x:c>
    </x:row>
    <x:row r="1890" ht="30" customHeight="1">
      <x:c r="A1890" s="117" t="str">
        <x:v>On_Create_Parts_Sales_Value_Rollup</x:v>
      </x:c>
      <x:c r="B1890" s="117" t="str">
        <x:v>300Ro00000xL7RAIA0</x:v>
      </x:c>
      <x:c r="C1890" s="117" t="str">
        <x:v>301Ro000016M14oIAC</x:v>
      </x:c>
      <x:c r="D1890" s="118" t="n">
        <x:v>3</x:v>
      </x:c>
      <x:c r="E1890" s="117" t="str">
        <x:v>Active</x:v>
      </x:c>
      <x:c r="F1890" s="117" t="str">
        <x:v>Yes</x:v>
      </x:c>
      <x:c r="G1890" s="117" t="str">
        <x:v>Yes</x:v>
      </x:c>
      <x:c r="H1890" s="117" t="str">
        <x:v>AutoLaunchedFlow</x:v>
      </x:c>
      <x:c r="I1890" s="118" t="n">
        <x:v>57</x:v>
      </x:c>
      <x:c r="J1890" s="117" t="str">
        <x:v>unmanaged</x:v>
      </x:c>
      <x:c r="K1890" s="123" t="b">
        <x:v>0</x:v>
      </x:c>
      <x:c r="L1890" s="117"/>
      <x:c r="M1890" s="118"/>
      <x:c r="N1890" s="120" t="n">
        <x:v>46163.8503587963</x:v>
      </x:c>
      <x:c r="O1890" s="117" t="str">
        <x:v>Delegate</x:v>
      </x:c>
      <x:c r="P1890" s="120" t="n">
        <x:v>46163.85041666667</x:v>
      </x:c>
      <x:c r="Q1890" s="117" t="str">
        <x:v>Delegate</x:v>
      </x:c>
      <x:c r="R1890" s="117" t="str">
        <x:v>On Create | Parts Sales Value Rollup</x:v>
      </x:c>
      <x:c r="S1890" s="119" t="str">
        <x:v>05/21/2026 (BW) - Updating this flow to use the transform element for summing</x:v>
      </x:c>
    </x:row>
    <x:row r="1891" ht="30" customHeight="1">
      <x:c r="A1891" s="117" t="str">
        <x:v>On_Create_Update_Opp_Record_Type_Name_on_RMA_Asset</x:v>
      </x:c>
      <x:c r="B1891" s="117" t="str">
        <x:v>300Ro00000ialvCIAQ</x:v>
      </x:c>
      <x:c r="C1891" s="117" t="str">
        <x:v>301Ro00000pcQPFIA2</x:v>
      </x:c>
      <x:c r="D1891" s="118" t="n">
        <x:v>1</x:v>
      </x:c>
      <x:c r="E1891" s="117" t="str">
        <x:v>Draft</x:v>
      </x:c>
      <x:c r="F1891" s="117" t="str">
        <x:v>No</x:v>
      </x:c>
      <x:c r="G1891" s="117" t="str">
        <x:v>Yes</x:v>
      </x:c>
      <x:c r="H1891" s="117" t="str">
        <x:v>AutoLaunchedFlow</x:v>
      </x:c>
      <x:c r="I1891" s="118" t="n">
        <x:v>65</x:v>
      </x:c>
      <x:c r="J1891" s="117" t="str">
        <x:v>unmanaged</x:v>
      </x:c>
      <x:c r="K1891" s="123" t="b">
        <x:v>0</x:v>
      </x:c>
      <x:c r="L1891" s="117"/>
      <x:c r="M1891" s="118"/>
      <x:c r="N1891" s="120" t="n">
        <x:v>45947.576828703706</x:v>
      </x:c>
      <x:c r="O1891" s="117" t="str">
        <x:v>Delegate</x:v>
      </x:c>
      <x:c r="P1891" s="120" t="n">
        <x:v>45947.57685185185</x:v>
      </x:c>
      <x:c r="Q1891" s="117" t="str">
        <x:v>Delegate</x:v>
      </x:c>
      <x:c r="R1891" s="117" t="str">
        <x:v>On Create | Update Opp Record Type Name on RMA Asset</x:v>
      </x:c>
      <x:c r="S1891" s="119" t="str">
        <x:v>10/17/2025 (BW) - Updates the Opportunity Record Type Name on RMA Assets if needed</x:v>
      </x:c>
    </x:row>
    <x:row r="1892" ht="30" customHeight="1">
      <x:c r="A1892" s="117" t="str">
        <x:v>On_Creation_of_Loaner_Set_Shipping_Account_to_Bill_Customer_Fedex_System</x:v>
      </x:c>
      <x:c r="B1892" s="117" t="str">
        <x:v>300Ro00000vmC7nIAE</x:v>
      </x:c>
      <x:c r="C1892" s="117" t="str">
        <x:v>301Ro000013nTLDIA2</x:v>
      </x:c>
      <x:c r="D1892" s="118" t="n">
        <x:v>1</x:v>
      </x:c>
      <x:c r="E1892" s="117" t="str">
        <x:v>Active</x:v>
      </x:c>
      <x:c r="F1892" s="117" t="str">
        <x:v>Yes</x:v>
      </x:c>
      <x:c r="G1892" s="117" t="str">
        <x:v>Yes</x:v>
      </x:c>
      <x:c r="H1892" s="117" t="str">
        <x:v>AutoLaunchedFlow</x:v>
      </x:c>
      <x:c r="I1892" s="118" t="n">
        <x:v>66</x:v>
      </x:c>
      <x:c r="J1892" s="117" t="str">
        <x:v>unmanaged</x:v>
      </x:c>
      <x:c r="K1892" s="123" t="b">
        <x:v>0</x:v>
      </x:c>
      <x:c r="L1892" s="117"/>
      <x:c r="M1892" s="118"/>
      <x:c r="N1892" s="120" t="n">
        <x:v>46134.519907407404</x:v>
      </x:c>
      <x:c r="O1892" s="117" t="str">
        <x:v>Delegate</x:v>
      </x:c>
      <x:c r="P1892" s="120" t="n">
        <x:v>46134.51997685185</x:v>
      </x:c>
      <x:c r="Q1892" s="117" t="str">
        <x:v>Delegate</x:v>
      </x:c>
      <x:c r="R1892" s="117" t="str">
        <x:v>On Creation of Loaner: Set Shipping Account to Bill (Customer Fedex System)</x:v>
      </x:c>
      <x:c r="S1892" s="119" t="str">
        <x:v>04/22/2026 (BW) - This sets the Shipping Account to Bill from the account</x:v>
      </x:c>
    </x:row>
    <x:row r="1893" ht="30" customHeight="1">
      <x:c r="A1893" s="117" t="str">
        <x:v>On_Creation_of_Opportunity_Set_Shipping_Account_to_Bill_Customer_Fedex_System</x:v>
      </x:c>
      <x:c r="B1893" s="117" t="str">
        <x:v>300Ro00000vmJp8IAE</x:v>
      </x:c>
      <x:c r="C1893" s="117" t="str">
        <x:v>301Ro000013nfFtIAI</x:v>
      </x:c>
      <x:c r="D1893" s="118" t="n">
        <x:v>1</x:v>
      </x:c>
      <x:c r="E1893" s="117" t="str">
        <x:v>Active</x:v>
      </x:c>
      <x:c r="F1893" s="117" t="str">
        <x:v>Yes</x:v>
      </x:c>
      <x:c r="G1893" s="117" t="str">
        <x:v>Yes</x:v>
      </x:c>
      <x:c r="H1893" s="117" t="str">
        <x:v>AutoLaunchedFlow</x:v>
      </x:c>
      <x:c r="I1893" s="118" t="n">
        <x:v>66</x:v>
      </x:c>
      <x:c r="J1893" s="117" t="str">
        <x:v>unmanaged</x:v>
      </x:c>
      <x:c r="K1893" s="123" t="b">
        <x:v>0</x:v>
      </x:c>
      <x:c r="L1893" s="117"/>
      <x:c r="M1893" s="118"/>
      <x:c r="N1893" s="120" t="n">
        <x:v>46134.49696759259</x:v>
      </x:c>
      <x:c r="O1893" s="117" t="str">
        <x:v>Delegate</x:v>
      </x:c>
      <x:c r="P1893" s="120" t="n">
        <x:v>46134.49701388889</x:v>
      </x:c>
      <x:c r="Q1893" s="117" t="str">
        <x:v>Delegate</x:v>
      </x:c>
      <x:c r="R1893" s="117" t="str">
        <x:v>On Creation of Opportunity: Set Shipping Account to Bill (Customer Fedex System)</x:v>
      </x:c>
      <x:c r="S1893" s="119" t="str">
        <x:v>04/22/2026 (BW) - This sets the Shipping Account to Bill from the account</x:v>
      </x:c>
    </x:row>
    <x:row r="1894" ht="30" customHeight="1">
      <x:c r="A1894" s="117" t="str">
        <x:v>On_Creation_of_Service_Appointment_Set_Shipping_Account_to_Bill_Customer_Fedex_S</x:v>
      </x:c>
      <x:c r="B1894" s="117" t="str">
        <x:v>300Ro00000vmQvUIAU</x:v>
      </x:c>
      <x:c r="C1894" s="117" t="str">
        <x:v>301Ro000013noSsIAI</x:v>
      </x:c>
      <x:c r="D1894" s="118" t="n">
        <x:v>1</x:v>
      </x:c>
      <x:c r="E1894" s="117" t="str">
        <x:v>Active</x:v>
      </x:c>
      <x:c r="F1894" s="117" t="str">
        <x:v>Yes</x:v>
      </x:c>
      <x:c r="G1894" s="117" t="str">
        <x:v>Yes</x:v>
      </x:c>
      <x:c r="H1894" s="117" t="str">
        <x:v>AutoLaunchedFlow</x:v>
      </x:c>
      <x:c r="I1894" s="118" t="n">
        <x:v>66</x:v>
      </x:c>
      <x:c r="J1894" s="117" t="str">
        <x:v>unmanaged</x:v>
      </x:c>
      <x:c r="K1894" s="123" t="b">
        <x:v>0</x:v>
      </x:c>
      <x:c r="L1894" s="117"/>
      <x:c r="M1894" s="118"/>
      <x:c r="N1894" s="120" t="n">
        <x:v>46134.524409722224</x:v>
      </x:c>
      <x:c r="O1894" s="117" t="str">
        <x:v>Delegate</x:v>
      </x:c>
      <x:c r="P1894" s="120" t="n">
        <x:v>46134.52446759259</x:v>
      </x:c>
      <x:c r="Q1894" s="117" t="str">
        <x:v>Delegate</x:v>
      </x:c>
      <x:c r="R1894" s="117" t="str">
        <x:v>On Creation of Service Appointment: Set Shipping Account to Bill (Customer Fedex System)</x:v>
      </x:c>
      <x:c r="S1894" s="119" t="str">
        <x:v>04/22/2026 (BW) - This sets the Shipping Account to Bill from the account</x:v>
      </x:c>
    </x:row>
    <x:row r="1895" ht="30" customHeight="1">
      <x:c r="A1895" s="117" t="str">
        <x:v>On_Creation_of_Work_Order_Set_Shipping_Account_to_Bill_Customer_Fedex_System</x:v>
      </x:c>
      <x:c r="B1895" s="117" t="str">
        <x:v>300Ro00000vmUXdIAM</x:v>
      </x:c>
      <x:c r="C1895" s="117" t="str">
        <x:v>301Ro000013nT0LIAU</x:v>
      </x:c>
      <x:c r="D1895" s="118" t="n">
        <x:v>1</x:v>
      </x:c>
      <x:c r="E1895" s="117" t="str">
        <x:v>Active</x:v>
      </x:c>
      <x:c r="F1895" s="117" t="str">
        <x:v>Yes</x:v>
      </x:c>
      <x:c r="G1895" s="117" t="str">
        <x:v>Yes</x:v>
      </x:c>
      <x:c r="H1895" s="117" t="str">
        <x:v>AutoLaunchedFlow</x:v>
      </x:c>
      <x:c r="I1895" s="118" t="n">
        <x:v>66</x:v>
      </x:c>
      <x:c r="J1895" s="117" t="str">
        <x:v>unmanaged</x:v>
      </x:c>
      <x:c r="K1895" s="123" t="b">
        <x:v>0</x:v>
      </x:c>
      <x:c r="L1895" s="117"/>
      <x:c r="M1895" s="118"/>
      <x:c r="N1895" s="120" t="n">
        <x:v>46134.515914351854</x:v>
      </x:c>
      <x:c r="O1895" s="117" t="str">
        <x:v>Delegate</x:v>
      </x:c>
      <x:c r="P1895" s="120" t="n">
        <x:v>46134.51604166667</x:v>
      </x:c>
      <x:c r="Q1895" s="117" t="str">
        <x:v>Delegate</x:v>
      </x:c>
      <x:c r="R1895" s="117" t="str">
        <x:v>On Account Setting of Work Order: Set Shipping Account to Bill (Customer Fedex System)</x:v>
      </x:c>
      <x:c r="S1895" s="119" t="str">
        <x:v>04/22/2026 (BW) - This sets the Shipping Account to Bill from the account</x:v>
      </x:c>
    </x:row>
    <x:row r="1896" ht="30" customHeight="1">
      <x:c r="A1896" s="117" t="str">
        <x:v>On_Creation_of_Work_Order_Set_Shipping_Account_to_Bill_Customer_Fedex_System_1</x:v>
      </x:c>
      <x:c r="B1896" s="117" t="str">
        <x:v>300Ro00000vmMtSIAU</x:v>
      </x:c>
      <x:c r="C1896" s="117" t="str">
        <x:v>301Ro000013nj0BIAQ</x:v>
      </x:c>
      <x:c r="D1896" s="118" t="n">
        <x:v>1</x:v>
      </x:c>
      <x:c r="E1896" s="117" t="str">
        <x:v>Active</x:v>
      </x:c>
      <x:c r="F1896" s="117" t="str">
        <x:v>Yes</x:v>
      </x:c>
      <x:c r="G1896" s="117" t="str">
        <x:v>Yes</x:v>
      </x:c>
      <x:c r="H1896" s="117" t="str">
        <x:v>AutoLaunchedFlow</x:v>
      </x:c>
      <x:c r="I1896" s="118" t="n">
        <x:v>66</x:v>
      </x:c>
      <x:c r="J1896" s="117" t="str">
        <x:v>unmanaged</x:v>
      </x:c>
      <x:c r="K1896" s="123" t="b">
        <x:v>0</x:v>
      </x:c>
      <x:c r="L1896" s="117"/>
      <x:c r="M1896" s="118"/>
      <x:c r="N1896" s="120" t="n">
        <x:v>46134.51666666667</x:v>
      </x:c>
      <x:c r="O1896" s="117" t="str">
        <x:v>Delegate</x:v>
      </x:c>
      <x:c r="P1896" s="120" t="n">
        <x:v>46134.516909722224</x:v>
      </x:c>
      <x:c r="Q1896" s="117" t="str">
        <x:v>Delegate</x:v>
      </x:c>
      <x:c r="R1896" s="117" t="str">
        <x:v>On Creation of Work Order: Set Shipping Account to Bill (Customer Fedex System)</x:v>
      </x:c>
      <x:c r="S1896" s="119" t="str">
        <x:v>04/22/2026 (BW) - This sets the Shipping Account to Bill from the account</x:v>
      </x:c>
    </x:row>
    <x:row r="1897" ht="30" customHeight="1">
      <x:c r="A1897" s="117" t="str">
        <x:v>On_Deletion_Remove_Service_Resource_on_SA</x:v>
      </x:c>
      <x:c r="B1897" s="117" t="str">
        <x:v>300Ro00000QzDmKIAV</x:v>
      </x:c>
      <x:c r="C1897" s="117" t="str">
        <x:v>301Ro00000TmKQQIA3</x:v>
      </x:c>
      <x:c r="D1897" s="118" t="n">
        <x:v>1</x:v>
      </x:c>
      <x:c r="E1897" s="117" t="str">
        <x:v>Obsolete</x:v>
      </x:c>
      <x:c r="F1897" s="117" t="str">
        <x:v>No</x:v>
      </x:c>
      <x:c r="G1897" s="117" t="str">
        <x:v>No</x:v>
      </x:c>
      <x:c r="H1897" s="117" t="str">
        <x:v>AutoLaunchedFlow</x:v>
      </x:c>
      <x:c r="I1897" s="118" t="n">
        <x:v>62</x:v>
      </x:c>
      <x:c r="J1897" s="117" t="str">
        <x:v>unmanaged</x:v>
      </x:c>
      <x:c r="K1897" s="123" t="b">
        <x:v>0</x:v>
      </x:c>
      <x:c r="L1897" s="117"/>
      <x:c r="M1897" s="118"/>
      <x:c r="N1897" s="120" t="n">
        <x:v>45698.724953703706</x:v>
      </x:c>
      <x:c r="O1897" s="117" t="str">
        <x:v>Delegate</x:v>
      </x:c>
      <x:c r="P1897" s="120" t="n">
        <x:v>45730.77809027778</x:v>
      </x:c>
      <x:c r="Q1897" s="117" t="str">
        <x:v>Delegate</x:v>
      </x:c>
      <x:c r="R1897" s="117" t="str">
        <x:v>On Deletion | Remove Service Resource on SAR</x:v>
      </x:c>
      <x:c r="S1897" s="119" t="str">
        <x:v>02/10/2025 (BW) - On deletion of an SAR, this flow removes the individual from being listed on the service appointment</x:v>
      </x:c>
    </x:row>
    <x:row r="1898" ht="30" customHeight="1">
      <x:c r="A1898" s="117" t="str">
        <x:v>On_Deletion_Remove_Service_Resource_on_SA</x:v>
      </x:c>
      <x:c r="B1898" s="117" t="str">
        <x:v>300Ro00000QzDmKIAV</x:v>
      </x:c>
      <x:c r="C1898" s="117" t="str">
        <x:v>301Ro00000Vg3J1IAJ</x:v>
      </x:c>
      <x:c r="D1898" s="118" t="n">
        <x:v>2</x:v>
      </x:c>
      <x:c r="E1898" s="117" t="str">
        <x:v>Draft</x:v>
      </x:c>
      <x:c r="F1898" s="117" t="str">
        <x:v>No</x:v>
      </x:c>
      <x:c r="G1898" s="117" t="str">
        <x:v>No</x:v>
      </x:c>
      <x:c r="H1898" s="117" t="str">
        <x:v>AutoLaunchedFlow</x:v>
      </x:c>
      <x:c r="I1898" s="118" t="n">
        <x:v>62</x:v>
      </x:c>
      <x:c r="J1898" s="117" t="str">
        <x:v>unmanaged</x:v>
      </x:c>
      <x:c r="K1898" s="123" t="b">
        <x:v>0</x:v>
      </x:c>
      <x:c r="L1898" s="117"/>
      <x:c r="M1898" s="118"/>
      <x:c r="N1898" s="120" t="n">
        <x:v>45730.656377314815</x:v>
      </x:c>
      <x:c r="O1898" s="117" t="str">
        <x:v>Delegate</x:v>
      </x:c>
      <x:c r="P1898" s="120" t="n">
        <x:v>45730.65641203704</x:v>
      </x:c>
      <x:c r="Q1898" s="117" t="str">
        <x:v>Delegate</x:v>
      </x:c>
      <x:c r="R1898" s="117" t="str">
        <x:v>On Deletion | Remove Service Resource on SAR</x:v>
      </x:c>
      <x:c r="S1898" s="119" t="str">
        <x:v>02/10/2025 (BW) - On deletion of an SAR, this flow removes the individual from being listed on the service appointment
03/11/2025 - Kyle / Delegate Updates for error handling</x:v>
      </x:c>
    </x:row>
    <x:row r="1899" ht="30" customHeight="1">
      <x:c r="A1899" s="117" t="str">
        <x:v>On_Deletion_Remove_Service_Resource_on_SA</x:v>
      </x:c>
      <x:c r="B1899" s="117" t="str">
        <x:v>300Ro00000QzDmKIAV</x:v>
      </x:c>
      <x:c r="C1899" s="117" t="str">
        <x:v>301Ro00000VgDDhIAN</x:v>
      </x:c>
      <x:c r="D1899" s="118" t="n">
        <x:v>3</x:v>
      </x:c>
      <x:c r="E1899" s="117" t="str">
        <x:v>Draft</x:v>
      </x:c>
      <x:c r="F1899" s="117" t="str">
        <x:v>No</x:v>
      </x:c>
      <x:c r="G1899" s="117" t="str">
        <x:v>Yes</x:v>
      </x:c>
      <x:c r="H1899" s="117" t="str">
        <x:v>AutoLaunchedFlow</x:v>
      </x:c>
      <x:c r="I1899" s="118" t="n">
        <x:v>62</x:v>
      </x:c>
      <x:c r="J1899" s="117" t="str">
        <x:v>unmanaged</x:v>
      </x:c>
      <x:c r="K1899" s="123" t="b">
        <x:v>0</x:v>
      </x:c>
      <x:c r="L1899" s="117"/>
      <x:c r="M1899" s="118"/>
      <x:c r="N1899" s="120" t="n">
        <x:v>45730.73060185185</x:v>
      </x:c>
      <x:c r="O1899" s="117" t="str">
        <x:v>Delegate</x:v>
      </x:c>
      <x:c r="P1899" s="120" t="n">
        <x:v>45730.730625</x:v>
      </x:c>
      <x:c r="Q1899" s="117" t="str">
        <x:v>Delegate</x:v>
      </x:c>
      <x:c r="R1899" s="117" t="str">
        <x:v>On Deletion | Remove Service Resource on SAR</x:v>
      </x:c>
      <x:c r="S1899" s="119" t="str">
        <x:v>02/10/2025 (BW) - On deletion of an SAR, this flow removes the individual from being listed on the service appointment
03/11/2025 - Kyle / Delegate Updates for error handling</x:v>
      </x:c>
    </x:row>
    <x:row r="1900" ht="30" customHeight="1">
      <x:c r="A1900" s="117" t="str">
        <x:v>On_Entry_of_Confirmation_Number_Send_Prepay_Received_Email</x:v>
      </x:c>
      <x:c r="B1900" s="117" t="str">
        <x:v>300Ro00000vL6mQIAS</x:v>
      </x:c>
      <x:c r="C1900" s="117" t="str">
        <x:v>301Ro000013KPg5IAG</x:v>
      </x:c>
      <x:c r="D1900" s="118" t="n">
        <x:v>1</x:v>
      </x:c>
      <x:c r="E1900" s="117" t="str">
        <x:v>Obsolete</x:v>
      </x:c>
      <x:c r="F1900" s="117" t="str">
        <x:v>No</x:v>
      </x:c>
      <x:c r="G1900" s="117" t="str">
        <x:v>No</x:v>
      </x:c>
      <x:c r="H1900" s="117" t="str">
        <x:v>AutoLaunchedFlow</x:v>
      </x:c>
      <x:c r="I1900" s="118" t="n">
        <x:v>66</x:v>
      </x:c>
      <x:c r="J1900" s="117" t="str">
        <x:v>unmanaged</x:v>
      </x:c>
      <x:c r="K1900" s="123" t="b">
        <x:v>0</x:v>
      </x:c>
      <x:c r="L1900" s="117"/>
      <x:c r="M1900" s="118"/>
      <x:c r="N1900" s="120" t="n">
        <x:v>46128.529398148145</x:v>
      </x:c>
      <x:c r="O1900" s="117" t="str">
        <x:v>Delegate</x:v>
      </x:c>
      <x:c r="P1900" s="120" t="n">
        <x:v>46128.52946759259</x:v>
      </x:c>
      <x:c r="Q1900" s="117" t="str">
        <x:v>Delegate</x:v>
      </x:c>
      <x:c r="R1900" s="117" t="str">
        <x:v>On Entry of Confirmation Number, Send Prepay Received Email</x:v>
      </x:c>
      <x:c r="S1900" s="119" t="str">
        <x:v>04/16/2026 (BW) - Send the prepay received email and also makes a chatter post if needed to the work order</x:v>
      </x:c>
    </x:row>
    <x:row r="1901" ht="30" customHeight="1">
      <x:c r="A1901" s="117" t="str">
        <x:v>On_Entry_of_Confirmation_Number_Send_Prepay_Received_Email</x:v>
      </x:c>
      <x:c r="B1901" s="117" t="str">
        <x:v>300Ro00000vL6mQIAS</x:v>
      </x:c>
      <x:c r="C1901" s="117" t="str">
        <x:v>301Ro000013KicAIAS</x:v>
      </x:c>
      <x:c r="D1901" s="118" t="n">
        <x:v>2</x:v>
      </x:c>
      <x:c r="E1901" s="117" t="str">
        <x:v>Obsolete</x:v>
      </x:c>
      <x:c r="F1901" s="117" t="str">
        <x:v>No</x:v>
      </x:c>
      <x:c r="G1901" s="117" t="str">
        <x:v>No</x:v>
      </x:c>
      <x:c r="H1901" s="117" t="str">
        <x:v>AutoLaunchedFlow</x:v>
      </x:c>
      <x:c r="I1901" s="118" t="n">
        <x:v>66</x:v>
      </x:c>
      <x:c r="J1901" s="117" t="str">
        <x:v>unmanaged</x:v>
      </x:c>
      <x:c r="K1901" s="123" t="b">
        <x:v>0</x:v>
      </x:c>
      <x:c r="L1901" s="117"/>
      <x:c r="M1901" s="118"/>
      <x:c r="N1901" s="120" t="n">
        <x:v>46128.54319444444</x:v>
      </x:c>
      <x:c r="O1901" s="117" t="str">
        <x:v>Delegate</x:v>
      </x:c>
      <x:c r="P1901" s="120" t="n">
        <x:v>46128.54324074074</x:v>
      </x:c>
      <x:c r="Q1901" s="117" t="str">
        <x:v>Delegate</x:v>
      </x:c>
      <x:c r="R1901" s="117" t="str">
        <x:v>On Entry of Confirmation Number, Send Prepay Received Email</x:v>
      </x:c>
      <x:c r="S1901" s="119" t="str">
        <x:v>04/16/2026 (BW) - Send the prepay received email and also makes a chatter post if needed to the work order</x:v>
      </x:c>
    </x:row>
    <x:row r="1902" ht="30" customHeight="1">
      <x:c r="A1902" s="117" t="str">
        <x:v>On_Entry_of_Confirmation_Number_Send_Prepay_Received_Email</x:v>
      </x:c>
      <x:c r="B1902" s="117" t="str">
        <x:v>300Ro00000vL6mQIAS</x:v>
      </x:c>
      <x:c r="C1902" s="117" t="str">
        <x:v>301Ro000013LQ0WIAW</x:v>
      </x:c>
      <x:c r="D1902" s="118" t="n">
        <x:v>3</x:v>
      </x:c>
      <x:c r="E1902" s="117" t="str">
        <x:v>Active</x:v>
      </x:c>
      <x:c r="F1902" s="117" t="str">
        <x:v>Yes</x:v>
      </x:c>
      <x:c r="G1902" s="117" t="str">
        <x:v>Yes</x:v>
      </x:c>
      <x:c r="H1902" s="117" t="str">
        <x:v>AutoLaunchedFlow</x:v>
      </x:c>
      <x:c r="I1902" s="118" t="n">
        <x:v>66</x:v>
      </x:c>
      <x:c r="J1902" s="117" t="str">
        <x:v>unmanaged</x:v>
      </x:c>
      <x:c r="K1902" s="123" t="b">
        <x:v>0</x:v>
      </x:c>
      <x:c r="L1902" s="117"/>
      <x:c r="M1902" s="118"/>
      <x:c r="N1902" s="120" t="n">
        <x:v>46128.63895833334</x:v>
      </x:c>
      <x:c r="O1902" s="117" t="str">
        <x:v>Delegate</x:v>
      </x:c>
      <x:c r="P1902" s="120" t="n">
        <x:v>46128.63916666667</x:v>
      </x:c>
      <x:c r="Q1902" s="117" t="str">
        <x:v>Delegate</x:v>
      </x:c>
      <x:c r="R1902" s="117" t="str">
        <x:v>On Entry of Confirmation Number, Send Prepay Received Email</x:v>
      </x:c>
      <x:c r="S1902" s="119" t="str">
        <x:v>04/16/2026 (BW) - Updated the chatter message going to the engineers</x:v>
      </x:c>
    </x:row>
    <x:row r="1903" ht="30" customHeight="1">
      <x:c r="A1903" s="117" t="str">
        <x:v>On_Make_Model_or_Serial_Number_Change_Update_the_Opportunity</x:v>
      </x:c>
      <x:c r="B1903" s="117" t="str">
        <x:v>300Ro00000vo1ZZIAY</x:v>
      </x:c>
      <x:c r="C1903" s="117" t="str">
        <x:v>301Ro000013orv1IAA</x:v>
      </x:c>
      <x:c r="D1903" s="118" t="n">
        <x:v>1</x:v>
      </x:c>
      <x:c r="E1903" s="117" t="str">
        <x:v>Obsolete</x:v>
      </x:c>
      <x:c r="F1903" s="117" t="str">
        <x:v>No</x:v>
      </x:c>
      <x:c r="G1903" s="117" t="str">
        <x:v>No</x:v>
      </x:c>
      <x:c r="H1903" s="117" t="str">
        <x:v>AutoLaunchedFlow</x:v>
      </x:c>
      <x:c r="I1903" s="118" t="n">
        <x:v>65</x:v>
      </x:c>
      <x:c r="J1903" s="117" t="str">
        <x:v>unmanaged</x:v>
      </x:c>
      <x:c r="K1903" s="123" t="b">
        <x:v>0</x:v>
      </x:c>
      <x:c r="L1903" s="117"/>
      <x:c r="M1903" s="118"/>
      <x:c r="N1903" s="120" t="n">
        <x:v>46134.693773148145</x:v>
      </x:c>
      <x:c r="O1903" s="117" t="str">
        <x:v>Delegate</x:v>
      </x:c>
      <x:c r="P1903" s="120" t="n">
        <x:v>46134.693877314814</x:v>
      </x:c>
      <x:c r="Q1903" s="117" t="str">
        <x:v>Delegate</x:v>
      </x:c>
      <x:c r="R1903" s="117" t="str">
        <x:v>On Make/Model or Serial Number Change, Update the Opportunity</x:v>
      </x:c>
      <x:c r="S1903" s="119" t="str">
        <x:v>04/22/2026 (BW) - On Changing of the Make/Model or Serial Number, update the Opportunity</x:v>
      </x:c>
    </x:row>
    <x:row r="1904" ht="30" customHeight="1">
      <x:c r="A1904" s="117" t="str">
        <x:v>On_Make_Model_or_Serial_Number_Change_Update_the_Opportunity</x:v>
      </x:c>
      <x:c r="B1904" s="117" t="str">
        <x:v>300Ro00000vo1ZZIAY</x:v>
      </x:c>
      <x:c r="C1904" s="117" t="str">
        <x:v>301Ro000013p5DCIAY</x:v>
      </x:c>
      <x:c r="D1904" s="118" t="n">
        <x:v>2</x:v>
      </x:c>
      <x:c r="E1904" s="117" t="str">
        <x:v>Active</x:v>
      </x:c>
      <x:c r="F1904" s="117" t="str">
        <x:v>Yes</x:v>
      </x:c>
      <x:c r="G1904" s="117" t="str">
        <x:v>Yes</x:v>
      </x:c>
      <x:c r="H1904" s="117" t="str">
        <x:v>AutoLaunchedFlow</x:v>
      </x:c>
      <x:c r="I1904" s="118" t="n">
        <x:v>65</x:v>
      </x:c>
      <x:c r="J1904" s="117" t="str">
        <x:v>unmanaged</x:v>
      </x:c>
      <x:c r="K1904" s="123" t="b">
        <x:v>0</x:v>
      </x:c>
      <x:c r="L1904" s="117"/>
      <x:c r="M1904" s="118"/>
      <x:c r="N1904" s="120" t="n">
        <x:v>46134.69700231482</x:v>
      </x:c>
      <x:c r="O1904" s="117" t="str">
        <x:v>Delegate</x:v>
      </x:c>
      <x:c r="P1904" s="120" t="n">
        <x:v>46134.697060185186</x:v>
      </x:c>
      <x:c r="Q1904" s="117" t="str">
        <x:v>Delegate</x:v>
      </x:c>
      <x:c r="R1904" s="117" t="str">
        <x:v>On Make/Model change Update the Opportunity</x:v>
      </x:c>
      <x:c r="S1904" s="119" t="str">
        <x:v>04/22/2026 (BW) - On Changing of the Make/Model, update the Opportunity</x:v>
      </x:c>
    </x:row>
    <x:row r="1905" ht="30" customHeight="1">
      <x:c r="A1905" s="117" t="str">
        <x:v>On_New_WOLI_Update_Type_if_Probe_Repair_Opp</x:v>
      </x:c>
      <x:c r="B1905" s="117" t="str">
        <x:v>300Ro00000t0d06IAA</x:v>
      </x:c>
      <x:c r="C1905" s="117" t="str">
        <x:v>301Ro000010mGZqIAM</x:v>
      </x:c>
      <x:c r="D1905" s="118" t="n">
        <x:v>1</x:v>
      </x:c>
      <x:c r="E1905" s="117" t="str">
        <x:v>Obsolete</x:v>
      </x:c>
      <x:c r="F1905" s="117" t="str">
        <x:v>No</x:v>
      </x:c>
      <x:c r="G1905" s="117" t="str">
        <x:v>No</x:v>
      </x:c>
      <x:c r="H1905" s="117" t="str">
        <x:v>AutoLaunchedFlow</x:v>
      </x:c>
      <x:c r="I1905" s="118" t="n">
        <x:v>64</x:v>
      </x:c>
      <x:c r="J1905" s="117" t="str">
        <x:v>unmanaged</x:v>
      </x:c>
      <x:c r="K1905" s="123" t="b">
        <x:v>0</x:v>
      </x:c>
      <x:c r="L1905" s="117"/>
      <x:c r="M1905" s="118"/>
      <x:c r="N1905" s="120" t="n">
        <x:v>46098.58935185185</x:v>
      </x:c>
      <x:c r="O1905" s="117" t="str">
        <x:v>Delegate</x:v>
      </x:c>
      <x:c r="P1905" s="120" t="n">
        <x:v>46098.589421296296</x:v>
      </x:c>
      <x:c r="Q1905" s="117" t="str">
        <x:v>Delegate</x:v>
      </x:c>
      <x:c r="R1905" s="117" t="str">
        <x:v>On New WOLI, Update Type if Probe Repair Opp</x:v>
      </x:c>
      <x:c r="S1905" s="119" t="str">
        <x:v>03/17/2026 (BW) - Updates the Type of the work order line if on a probe repair opportunity</x:v>
      </x:c>
    </x:row>
    <x:row r="1906" ht="30" customHeight="1">
      <x:c r="A1906" s="117" t="str">
        <x:v>On_New_WOLI_Update_Type_if_Probe_Repair_Opp</x:v>
      </x:c>
      <x:c r="B1906" s="117" t="str">
        <x:v>300Ro00000t0d06IAA</x:v>
      </x:c>
      <x:c r="C1906" s="117" t="str">
        <x:v>301Ro000010mEWQIA2</x:v>
      </x:c>
      <x:c r="D1906" s="118" t="n">
        <x:v>2</x:v>
      </x:c>
      <x:c r="E1906" s="117" t="str">
        <x:v>Obsolete</x:v>
      </x:c>
      <x:c r="F1906" s="117" t="str">
        <x:v>No</x:v>
      </x:c>
      <x:c r="G1906" s="117" t="str">
        <x:v>No</x:v>
      </x:c>
      <x:c r="H1906" s="117" t="str">
        <x:v>AutoLaunchedFlow</x:v>
      </x:c>
      <x:c r="I1906" s="118" t="n">
        <x:v>64</x:v>
      </x:c>
      <x:c r="J1906" s="117" t="str">
        <x:v>unmanaged</x:v>
      </x:c>
      <x:c r="K1906" s="123" t="b">
        <x:v>0</x:v>
      </x:c>
      <x:c r="L1906" s="117"/>
      <x:c r="M1906" s="118"/>
      <x:c r="N1906" s="120" t="n">
        <x:v>46098.589907407404</x:v>
      </x:c>
      <x:c r="O1906" s="117" t="str">
        <x:v>Delegate</x:v>
      </x:c>
      <x:c r="P1906" s="120" t="n">
        <x:v>46098.59</x:v>
      </x:c>
      <x:c r="Q1906" s="117" t="str">
        <x:v>Delegate</x:v>
      </x:c>
      <x:c r="R1906" s="117" t="str">
        <x:v>On New WOLI, Update Type if Probe Repair Opp</x:v>
      </x:c>
      <x:c r="S1906" s="119" t="str">
        <x:v>03/17/2026 (BW) - Updates the Type of the work order line if on a probe repair opportunity</x:v>
      </x:c>
    </x:row>
    <x:row r="1907" ht="30" customHeight="1">
      <x:c r="A1907" s="117" t="str">
        <x:v>On_New_WOLI_Update_Type_if_Probe_Repair_Opp</x:v>
      </x:c>
      <x:c r="B1907" s="117" t="str">
        <x:v>300Ro00000t0d06IAA</x:v>
      </x:c>
      <x:c r="C1907" s="117" t="str">
        <x:v>301Ro000010n4LOIAY</x:v>
      </x:c>
      <x:c r="D1907" s="118" t="n">
        <x:v>3</x:v>
      </x:c>
      <x:c r="E1907" s="117" t="str">
        <x:v>Obsolete</x:v>
      </x:c>
      <x:c r="F1907" s="117" t="str">
        <x:v>No</x:v>
      </x:c>
      <x:c r="G1907" s="117" t="str">
        <x:v>No</x:v>
      </x:c>
      <x:c r="H1907" s="117" t="str">
        <x:v>AutoLaunchedFlow</x:v>
      </x:c>
      <x:c r="I1907" s="118" t="n">
        <x:v>64</x:v>
      </x:c>
      <x:c r="J1907" s="117" t="str">
        <x:v>unmanaged</x:v>
      </x:c>
      <x:c r="K1907" s="123" t="b">
        <x:v>0</x:v>
      </x:c>
      <x:c r="L1907" s="117"/>
      <x:c r="M1907" s="118"/>
      <x:c r="N1907" s="120" t="n">
        <x:v>46098.727476851855</x:v>
      </x:c>
      <x:c r="O1907" s="117" t="str">
        <x:v>Delegate</x:v>
      </x:c>
      <x:c r="P1907" s="120" t="n">
        <x:v>46098.72754629629</x:v>
      </x:c>
      <x:c r="Q1907" s="117" t="str">
        <x:v>Delegate</x:v>
      </x:c>
      <x:c r="R1907" s="117" t="str">
        <x:v>On New WOLI, Update Type if Probe Repair Opp</x:v>
      </x:c>
      <x:c r="S1907" s="119" t="str">
        <x:v>03/17/2026 (BW) - Updates the Type of the work order line if on a probe repair opportunity</x:v>
      </x:c>
    </x:row>
    <x:row r="1908" ht="30" customHeight="1">
      <x:c r="A1908" s="117" t="str">
        <x:v>On_New_WOLI_Update_Type_if_Probe_Repair_Opp</x:v>
      </x:c>
      <x:c r="B1908" s="117" t="str">
        <x:v>300Ro00000t0d06IAA</x:v>
      </x:c>
      <x:c r="C1908" s="117" t="str">
        <x:v>301Ro000012AyZ9IAK</x:v>
      </x:c>
      <x:c r="D1908" s="118" t="n">
        <x:v>4</x:v>
      </x:c>
      <x:c r="E1908" s="117" t="str">
        <x:v>Obsolete</x:v>
      </x:c>
      <x:c r="F1908" s="117" t="str">
        <x:v>No</x:v>
      </x:c>
      <x:c r="G1908" s="117" t="str">
        <x:v>No</x:v>
      </x:c>
      <x:c r="H1908" s="117" t="str">
        <x:v>AutoLaunchedFlow</x:v>
      </x:c>
      <x:c r="I1908" s="118" t="n">
        <x:v>64</x:v>
      </x:c>
      <x:c r="J1908" s="117" t="str">
        <x:v>unmanaged</x:v>
      </x:c>
      <x:c r="K1908" s="123" t="b">
        <x:v>0</x:v>
      </x:c>
      <x:c r="L1908" s="117"/>
      <x:c r="M1908" s="118"/>
      <x:c r="N1908" s="120" t="n">
        <x:v>46114.54738425926</x:v>
      </x:c>
      <x:c r="O1908" s="117" t="str">
        <x:v>Delegate</x:v>
      </x:c>
      <x:c r="P1908" s="120" t="n">
        <x:v>46114.54761574074</x:v>
      </x:c>
      <x:c r="Q1908" s="117" t="str">
        <x:v>Delegate</x:v>
      </x:c>
      <x:c r="R1908" s="117" t="str">
        <x:v>On New WOLI, Update Type if Probe Repair Opp</x:v>
      </x:c>
      <x:c r="S1908" s="119" t="str">
        <x:v>03/17/2026 (BW) - Updates the Type of the work order line if on a probe repair opportunity</x:v>
      </x:c>
    </x:row>
    <x:row r="1909" ht="30" customHeight="1">
      <x:c r="A1909" s="117" t="str">
        <x:v>On_New_WOLI_Update_Type_if_Probe_Repair_Opp</x:v>
      </x:c>
      <x:c r="B1909" s="117" t="str">
        <x:v>300Ro00000t0d06IAA</x:v>
      </x:c>
      <x:c r="C1909" s="117" t="str">
        <x:v>301Ro000012Av8EIAS</x:v>
      </x:c>
      <x:c r="D1909" s="118" t="n">
        <x:v>5</x:v>
      </x:c>
      <x:c r="E1909" s="117" t="str">
        <x:v>Obsolete</x:v>
      </x:c>
      <x:c r="F1909" s="117" t="str">
        <x:v>No</x:v>
      </x:c>
      <x:c r="G1909" s="117" t="str">
        <x:v>No</x:v>
      </x:c>
      <x:c r="H1909" s="117" t="str">
        <x:v>AutoLaunchedFlow</x:v>
      </x:c>
      <x:c r="I1909" s="118" t="n">
        <x:v>64</x:v>
      </x:c>
      <x:c r="J1909" s="117" t="str">
        <x:v>unmanaged</x:v>
      </x:c>
      <x:c r="K1909" s="123" t="b">
        <x:v>0</x:v>
      </x:c>
      <x:c r="L1909" s="117"/>
      <x:c r="M1909" s="118"/>
      <x:c r="N1909" s="120" t="n">
        <x:v>46114.54796296296</x:v>
      </x:c>
      <x:c r="O1909" s="117" t="str">
        <x:v>Delegate</x:v>
      </x:c>
      <x:c r="P1909" s="120" t="n">
        <x:v>46114.54803240741</x:v>
      </x:c>
      <x:c r="Q1909" s="117" t="str">
        <x:v>Delegate</x:v>
      </x:c>
      <x:c r="R1909" s="117" t="str">
        <x:v>On New WOLI, Update Type if Probe Repair Opp</x:v>
      </x:c>
      <x:c r="S1909" s="119" t="str">
        <x:v>04/02/2026 (BW) - Having this ignore if the line is labor/travel/shipping</x:v>
      </x:c>
    </x:row>
    <x:row r="1910" ht="30" customHeight="1">
      <x:c r="A1910" s="117" t="str">
        <x:v>On_New_WOLI_Update_Type_if_Probe_Repair_Opp</x:v>
      </x:c>
      <x:c r="B1910" s="117" t="str">
        <x:v>300Ro00000t0d06IAA</x:v>
      </x:c>
      <x:c r="C1910" s="117" t="str">
        <x:v>301Ro000012BFOgIAO</x:v>
      </x:c>
      <x:c r="D1910" s="118" t="n">
        <x:v>6</x:v>
      </x:c>
      <x:c r="E1910" s="117" t="str">
        <x:v>Active</x:v>
      </x:c>
      <x:c r="F1910" s="117" t="str">
        <x:v>Yes</x:v>
      </x:c>
      <x:c r="G1910" s="117" t="str">
        <x:v>Yes</x:v>
      </x:c>
      <x:c r="H1910" s="117" t="str">
        <x:v>AutoLaunchedFlow</x:v>
      </x:c>
      <x:c r="I1910" s="118" t="n">
        <x:v>64</x:v>
      </x:c>
      <x:c r="J1910" s="117" t="str">
        <x:v>unmanaged</x:v>
      </x:c>
      <x:c r="K1910" s="123" t="b">
        <x:v>0</x:v>
      </x:c>
      <x:c r="L1910" s="117"/>
      <x:c r="M1910" s="118"/>
      <x:c r="N1910" s="120" t="n">
        <x:v>46114.55070601852</x:v>
      </x:c>
      <x:c r="O1910" s="117" t="str">
        <x:v>Delegate</x:v>
      </x:c>
      <x:c r="P1910" s="120" t="n">
        <x:v>46114.55091435185</x:v>
      </x:c>
      <x:c r="Q1910" s="117" t="str">
        <x:v>Delegate</x:v>
      </x:c>
      <x:c r="R1910" s="117" t="str">
        <x:v>On New WOLI, Update Type if Probe Repair Opp</x:v>
      </x:c>
      <x:c r="S1910" s="119" t="str">
        <x:v>04/02/2026 (BW) - Having this ignore if the line is labor/travel/shipping</x:v>
      </x:c>
    </x:row>
    <x:row r="1911" ht="30" customHeight="1">
      <x:c r="A1911" s="117" t="str">
        <x:v>On_Opportunity_Product_Creation_Run_Avg_Inventory_Life_Rollup</x:v>
      </x:c>
      <x:c r="B1911" s="117" t="str">
        <x:v>300Ro00000vvGyaIAE</x:v>
      </x:c>
      <x:c r="C1911" s="117" t="str">
        <x:v>301Ro000013xZ7aIAE</x:v>
      </x:c>
      <x:c r="D1911" s="118" t="n">
        <x:v>1</x:v>
      </x:c>
      <x:c r="E1911" s="117" t="str">
        <x:v>Obsolete</x:v>
      </x:c>
      <x:c r="F1911" s="117" t="str">
        <x:v>No</x:v>
      </x:c>
      <x:c r="G1911" s="117" t="str">
        <x:v>Yes</x:v>
      </x:c>
      <x:c r="H1911" s="117" t="str">
        <x:v>AutoLaunchedFlow</x:v>
      </x:c>
      <x:c r="I1911" s="118" t="n">
        <x:v>66</x:v>
      </x:c>
      <x:c r="J1911" s="117" t="str">
        <x:v>unmanaged</x:v>
      </x:c>
      <x:c r="K1911" s="123" t="b">
        <x:v>0</x:v>
      </x:c>
      <x:c r="L1911" s="117"/>
      <x:c r="M1911" s="118"/>
      <x:c r="N1911" s="120" t="n">
        <x:v>46135.87907407407</x:v>
      </x:c>
      <x:c r="O1911" s="117" t="str">
        <x:v>Delegate</x:v>
      </x:c>
      <x:c r="P1911" s="120" t="n">
        <x:v>46157.598969907405</x:v>
      </x:c>
      <x:c r="Q1911" s="117" t="str">
        <x:v>Delegate</x:v>
      </x:c>
      <x:c r="R1911" s="117" t="str">
        <x:v>On Opportunity Product Creation, Run Avg Inventory Life Rollup</x:v>
      </x:c>
      <x:c r="S1911" s="119" t="str">
        <x:v>04/23/2026 (BW) - Runs the Avg Inventory Life Rollup</x:v>
      </x:c>
    </x:row>
    <x:row r="1912" ht="30" customHeight="1">
      <x:c r="A1912" s="117" t="str">
        <x:v>On_Payment_of_Invoice_Update_Opportunity_to_Invoice_Paid</x:v>
      </x:c>
      <x:c r="B1912" s="117" t="str">
        <x:v>300Ro00000vEvAWIA0</x:v>
      </x:c>
      <x:c r="C1912" s="117" t="str">
        <x:v>301Ro000013DuqAIAS</x:v>
      </x:c>
      <x:c r="D1912" s="118" t="n">
        <x:v>1</x:v>
      </x:c>
      <x:c r="E1912" s="117" t="str">
        <x:v>Obsolete</x:v>
      </x:c>
      <x:c r="F1912" s="117" t="str">
        <x:v>No</x:v>
      </x:c>
      <x:c r="G1912" s="117" t="str">
        <x:v>No</x:v>
      </x:c>
      <x:c r="H1912" s="117" t="str">
        <x:v>AutoLaunchedFlow</x:v>
      </x:c>
      <x:c r="I1912" s="118" t="n">
        <x:v>66</x:v>
      </x:c>
      <x:c r="J1912" s="117" t="str">
        <x:v>unmanaged</x:v>
      </x:c>
      <x:c r="K1912" s="123" t="b">
        <x:v>0</x:v>
      </x:c>
      <x:c r="L1912" s="117"/>
      <x:c r="M1912" s="118"/>
      <x:c r="N1912" s="120" t="n">
        <x:v>46127.511030092595</x:v>
      </x:c>
      <x:c r="O1912" s="117" t="str">
        <x:v>Delegate</x:v>
      </x:c>
      <x:c r="P1912" s="120" t="n">
        <x:v>46127.511099537034</x:v>
      </x:c>
      <x:c r="Q1912" s="117" t="str">
        <x:v>Delegate</x:v>
      </x:c>
      <x:c r="R1912" s="117" t="str">
        <x:v>On Payment of Invoice, Update Opportunity to Invoice Paid</x:v>
      </x:c>
      <x:c r="S1912" s="119" t="str">
        <x:v>04/15/2026 (BW) - Updates the status of the invoice paid date on the opportunity when an invoice is fully paid</x:v>
      </x:c>
    </x:row>
    <x:row r="1913" ht="30" customHeight="1">
      <x:c r="A1913" s="117" t="str">
        <x:v>On_Payment_of_Invoice_Update_Opportunity_to_Invoice_Paid</x:v>
      </x:c>
      <x:c r="B1913" s="117" t="str">
        <x:v>300Ro00000vEvAWIA0</x:v>
      </x:c>
      <x:c r="C1913" s="117" t="str">
        <x:v>301Ro000013E7yiIAC</x:v>
      </x:c>
      <x:c r="D1913" s="118" t="n">
        <x:v>2</x:v>
      </x:c>
      <x:c r="E1913" s="117" t="str">
        <x:v>Obsolete</x:v>
      </x:c>
      <x:c r="F1913" s="117" t="str">
        <x:v>No</x:v>
      </x:c>
      <x:c r="G1913" s="117" t="str">
        <x:v>No</x:v>
      </x:c>
      <x:c r="H1913" s="117" t="str">
        <x:v>AutoLaunchedFlow</x:v>
      </x:c>
      <x:c r="I1913" s="118" t="n">
        <x:v>66</x:v>
      </x:c>
      <x:c r="J1913" s="117" t="str">
        <x:v>unmanaged</x:v>
      </x:c>
      <x:c r="K1913" s="123" t="b">
        <x:v>0</x:v>
      </x:c>
      <x:c r="L1913" s="117"/>
      <x:c r="M1913" s="118"/>
      <x:c r="N1913" s="120" t="n">
        <x:v>46127.512650462966</x:v>
      </x:c>
      <x:c r="O1913" s="117" t="str">
        <x:v>Delegate</x:v>
      </x:c>
      <x:c r="P1913" s="120" t="n">
        <x:v>46127.51269675926</x:v>
      </x:c>
      <x:c r="Q1913" s="117" t="str">
        <x:v>Delegate</x:v>
      </x:c>
      <x:c r="R1913" s="117" t="str">
        <x:v>On Payment of Invoice, Update Opportunity to Invoice Paid</x:v>
      </x:c>
      <x:c r="S1913" s="119" t="str">
        <x:v>04/15/2026 (BW) - Updates the status of the invoice paid date on the opportunity when an invoice is fully paid</x:v>
      </x:c>
    </x:row>
    <x:row r="1914" ht="30" customHeight="1">
      <x:c r="A1914" s="117" t="str">
        <x:v>On_Payment_of_Invoice_Update_Opportunity_to_Invoice_Paid</x:v>
      </x:c>
      <x:c r="B1914" s="117" t="str">
        <x:v>300Ro00000vEvAWIA0</x:v>
      </x:c>
      <x:c r="C1914" s="117" t="str">
        <x:v>301Ro000013E061IAC</x:v>
      </x:c>
      <x:c r="D1914" s="118" t="n">
        <x:v>3</x:v>
      </x:c>
      <x:c r="E1914" s="117" t="str">
        <x:v>Active</x:v>
      </x:c>
      <x:c r="F1914" s="117" t="str">
        <x:v>Yes</x:v>
      </x:c>
      <x:c r="G1914" s="117" t="str">
        <x:v>Yes</x:v>
      </x:c>
      <x:c r="H1914" s="117" t="str">
        <x:v>AutoLaunchedFlow</x:v>
      </x:c>
      <x:c r="I1914" s="118" t="n">
        <x:v>66</x:v>
      </x:c>
      <x:c r="J1914" s="117" t="str">
        <x:v>unmanaged</x:v>
      </x:c>
      <x:c r="K1914" s="123" t="b">
        <x:v>0</x:v>
      </x:c>
      <x:c r="L1914" s="117"/>
      <x:c r="M1914" s="118"/>
      <x:c r="N1914" s="120" t="n">
        <x:v>46127.55300925926</x:v>
      </x:c>
      <x:c r="O1914" s="117" t="str">
        <x:v>Delegate</x:v>
      </x:c>
      <x:c r="P1914" s="120" t="n">
        <x:v>46142.69972222222</x:v>
      </x:c>
      <x:c r="Q1914" s="117" t="str">
        <x:v>Delegate</x:v>
      </x:c>
      <x:c r="R1914" s="117" t="str">
        <x:v>On Payment Applied to Invoice, Control Invoice Paid Date on Opporutnity</x:v>
      </x:c>
      <x:c r="S1914" s="119" t="str">
        <x:v>04/15/2026 (BW) - Adding functionality to remove the invoice paid date on the opportunity if the payment is rolled back</x:v>
      </x:c>
    </x:row>
    <x:row r="1915" ht="30" customHeight="1">
      <x:c r="A1915" s="117" t="str">
        <x:v>On_SA_Cancellation_Close_all_Open_Sourcing_Requests</x:v>
      </x:c>
      <x:c r="B1915" s="117" t="str">
        <x:v>300Ro00000VTizyIAD</x:v>
      </x:c>
      <x:c r="C1915" s="117" t="str">
        <x:v>301Ro00000YgetXIAR</x:v>
      </x:c>
      <x:c r="D1915" s="118" t="n">
        <x:v>1</x:v>
      </x:c>
      <x:c r="E1915" s="117" t="str">
        <x:v>Obsolete</x:v>
      </x:c>
      <x:c r="F1915" s="117" t="str">
        <x:v>No</x:v>
      </x:c>
      <x:c r="G1915" s="117" t="str">
        <x:v>No</x:v>
      </x:c>
      <x:c r="H1915" s="117" t="str">
        <x:v>AutoLaunchedFlow</x:v>
      </x:c>
      <x:c r="I1915" s="118" t="n">
        <x:v>63</x:v>
      </x:c>
      <x:c r="J1915" s="117" t="str">
        <x:v>unmanaged</x:v>
      </x:c>
      <x:c r="K1915" s="123" t="b">
        <x:v>0</x:v>
      </x:c>
      <x:c r="L1915" s="117"/>
      <x:c r="M1915" s="118"/>
      <x:c r="N1915" s="120" t="n">
        <x:v>45784.58436342593</x:v>
      </x:c>
      <x:c r="O1915" s="117" t="str">
        <x:v>Delegate</x:v>
      </x:c>
      <x:c r="P1915" s="120" t="n">
        <x:v>45784.5844212963</x:v>
      </x:c>
      <x:c r="Q1915" s="117" t="str">
        <x:v>Delegate</x:v>
      </x:c>
      <x:c r="R1915" s="117" t="str">
        <x:v>On SA Cancellation: Close all Open Sourcing Requests</x:v>
      </x:c>
      <x:c r="S1915" s="119" t="str">
        <x:v>05/07/2025 (BW) - On cancellation of an SA, this closes all associated open sourcing requests</x:v>
      </x:c>
    </x:row>
    <x:row r="1916" ht="30" customHeight="1">
      <x:c r="A1916" s="117" t="str">
        <x:v>On_SA_Cancellation_Close_all_Open_Sourcing_Requests</x:v>
      </x:c>
      <x:c r="B1916" s="117" t="str">
        <x:v>300Ro00000VTizyIAD</x:v>
      </x:c>
      <x:c r="C1916" s="117" t="str">
        <x:v>301Ro0000157hxnIAA</x:v>
      </x:c>
      <x:c r="D1916" s="118" t="n">
        <x:v>2</x:v>
      </x:c>
      <x:c r="E1916" s="117" t="str">
        <x:v>Active</x:v>
      </x:c>
      <x:c r="F1916" s="117" t="str">
        <x:v>Yes</x:v>
      </x:c>
      <x:c r="G1916" s="117" t="str">
        <x:v>Yes</x:v>
      </x:c>
      <x:c r="H1916" s="117" t="str">
        <x:v>AutoLaunchedFlow</x:v>
      </x:c>
      <x:c r="I1916" s="118" t="n">
        <x:v>63</x:v>
      </x:c>
      <x:c r="J1916" s="117" t="str">
        <x:v>unmanaged</x:v>
      </x:c>
      <x:c r="K1916" s="123" t="b">
        <x:v>0</x:v>
      </x:c>
      <x:c r="L1916" s="117"/>
      <x:c r="M1916" s="118"/>
      <x:c r="N1916" s="120" t="n">
        <x:v>46150.416979166665</x:v>
      </x:c>
      <x:c r="O1916" s="117" t="str">
        <x:v>Sacha Pearce</x:v>
      </x:c>
      <x:c r="P1916" s="120" t="n">
        <x:v>46150.417083333334</x:v>
      </x:c>
      <x:c r="Q1916" s="117" t="str">
        <x:v>Sacha Pearce</x:v>
      </x:c>
      <x:c r="R1916" s="117" t="str">
        <x:v>On SA Cancellation: Close all Open Sourcing Requests</x:v>
      </x:c>
      <x:c r="S1916" s="119" t="str">
        <x:v>08/05/2026 - SP - Removing my email from the Send Email element.</x:v>
      </x:c>
    </x:row>
    <x:row r="1917" ht="30" customHeight="1">
      <x:c r="A1917" s="117" t="str">
        <x:v>On_Serial_Number_Change_Update_the_Opportunity</x:v>
      </x:c>
      <x:c r="B1917" s="117" t="str">
        <x:v>300Ro00000vo6MLIAY</x:v>
      </x:c>
      <x:c r="C1917" s="117" t="str">
        <x:v>301Ro000013pPIKIA2</x:v>
      </x:c>
      <x:c r="D1917" s="118" t="n">
        <x:v>1</x:v>
      </x:c>
      <x:c r="E1917" s="117" t="str">
        <x:v>Active</x:v>
      </x:c>
      <x:c r="F1917" s="117" t="str">
        <x:v>Yes</x:v>
      </x:c>
      <x:c r="G1917" s="117" t="str">
        <x:v>Yes</x:v>
      </x:c>
      <x:c r="H1917" s="117" t="str">
        <x:v>AutoLaunchedFlow</x:v>
      </x:c>
      <x:c r="I1917" s="118" t="n">
        <x:v>65</x:v>
      </x:c>
      <x:c r="J1917" s="117" t="str">
        <x:v>unmanaged</x:v>
      </x:c>
      <x:c r="K1917" s="123" t="b">
        <x:v>0</x:v>
      </x:c>
      <x:c r="L1917" s="117"/>
      <x:c r="M1917" s="118"/>
      <x:c r="N1917" s="120" t="n">
        <x:v>46134.69831018519</x:v>
      </x:c>
      <x:c r="O1917" s="117" t="str">
        <x:v>Delegate</x:v>
      </x:c>
      <x:c r="P1917" s="120" t="n">
        <x:v>46134.69836805556</x:v>
      </x:c>
      <x:c r="Q1917" s="117" t="str">
        <x:v>Delegate</x:v>
      </x:c>
      <x:c r="R1917" s="117" t="str">
        <x:v>On Serial Number Change, Update the Opportunity</x:v>
      </x:c>
      <x:c r="S1917" s="119" t="str">
        <x:v>04/22/2026 (BW) - On change of the System Serial Number, Update the Opportunity's System Serial Number</x:v>
      </x:c>
    </x:row>
    <x:row r="1918" ht="30" customHeight="1">
      <x:c r="A1918" s="117" t="str">
        <x:v>On_Service_Appointment_Enable_Zenkraft_Shipping_Label_Creation</x:v>
      </x:c>
      <x:c r="B1918" s="117" t="str">
        <x:v>300Ro00000oFvSfIAK</x:v>
      </x:c>
      <x:c r="C1918" s="117" t="str">
        <x:v>301Ro00000vhVirIAE</x:v>
      </x:c>
      <x:c r="D1918" s="118" t="n">
        <x:v>1</x:v>
      </x:c>
      <x:c r="E1918" s="117" t="str">
        <x:v>Draft</x:v>
      </x:c>
      <x:c r="F1918" s="117" t="str">
        <x:v>No</x:v>
      </x:c>
      <x:c r="G1918" s="117" t="str">
        <x:v>Yes</x:v>
      </x:c>
      <x:c r="H1918" s="117" t="str">
        <x:v>Flow</x:v>
      </x:c>
      <x:c r="I1918" s="118" t="n">
        <x:v>65</x:v>
      </x:c>
      <x:c r="J1918" s="117" t="str">
        <x:v>unmanaged</x:v>
      </x:c>
      <x:c r="K1918" s="123" t="b">
        <x:v>0</x:v>
      </x:c>
      <x:c r="L1918" s="117"/>
      <x:c r="M1918" s="118"/>
      <x:c r="N1918" s="120" t="n">
        <x:v>46036.568090277775</x:v>
      </x:c>
      <x:c r="O1918" s="117" t="str">
        <x:v>Delegate</x:v>
      </x:c>
      <x:c r="P1918" s="120" t="n">
        <x:v>46036.568125</x:v>
      </x:c>
      <x:c r="Q1918" s="117" t="str">
        <x:v>Delegate</x:v>
      </x:c>
      <x:c r="R1918" s="117" t="str">
        <x:v>On Service Appointment | Enable Zenkraft Shipping Label Creation</x:v>
      </x:c>
      <x:c r="S1918" s="119" t="str">
        <x:v>01/14/2026 (BW) - Enables the creation of the Zenkraft Shipping Label on Service Appointments</x:v>
      </x:c>
    </x:row>
    <x:row r="1919" ht="30" customHeight="1">
      <x:c r="A1919" s="117" t="str">
        <x:v>On_Setting_of_Price_Update_Service_Appointment_to_Pending_Customer_Authorization</x:v>
      </x:c>
      <x:c r="B1919" s="117" t="str">
        <x:v>300Ro00000REVFkIAP</x:v>
      </x:c>
      <x:c r="C1919" s="117" t="str">
        <x:v>301Ro00000U2G7ZIAV</x:v>
      </x:c>
      <x:c r="D1919" s="118" t="n">
        <x:v>1</x:v>
      </x:c>
      <x:c r="E1919" s="117" t="str">
        <x:v>Obsolete</x:v>
      </x:c>
      <x:c r="F1919" s="117" t="str">
        <x:v>No</x:v>
      </x:c>
      <x:c r="G1919" s="117" t="str">
        <x:v>Yes</x:v>
      </x:c>
      <x:c r="H1919" s="117" t="str">
        <x:v>AutoLaunchedFlow</x:v>
      </x:c>
      <x:c r="I1919" s="118" t="n">
        <x:v>62</x:v>
      </x:c>
      <x:c r="J1919" s="117" t="str">
        <x:v>unmanaged</x:v>
      </x:c>
      <x:c r="K1919" s="123" t="b">
        <x:v>0</x:v>
      </x:c>
      <x:c r="L1919" s="117"/>
      <x:c r="M1919" s="118"/>
      <x:c r="N1919" s="120" t="n">
        <x:v>45702.592465277776</x:v>
      </x:c>
      <x:c r="O1919" s="117" t="str">
        <x:v>Delegate</x:v>
      </x:c>
      <x:c r="P1919" s="120" t="n">
        <x:v>46058.35585648148</x:v>
      </x:c>
      <x:c r="Q1919" s="117" t="str">
        <x:v>Sacha Pearce</x:v>
      </x:c>
      <x:c r="R1919" s="117" t="str">
        <x:v>On Setting of Price | Update Service Appointment to "Pending Customer Authorization</x:v>
      </x:c>
      <x:c r="S1919" s="119" t="str">
        <x:v>02/14/2025 (BW) - Updating API Version</x:v>
      </x:c>
    </x:row>
    <x:row r="1920" ht="30" customHeight="1">
      <x:c r="A1920" s="117" t="str">
        <x:v>On_Setting_of_Repair_Opportunity_Set_Shipping_Account_to_Bill_Customer_Fedex_Sys</x:v>
      </x:c>
      <x:c r="B1920" s="117" t="str">
        <x:v>300Ro00000vm5FvIAI</x:v>
      </x:c>
      <x:c r="C1920" s="117" t="str">
        <x:v>301Ro000013nNAyIAM</x:v>
      </x:c>
      <x:c r="D1920" s="118" t="n">
        <x:v>1</x:v>
      </x:c>
      <x:c r="E1920" s="117" t="str">
        <x:v>Active</x:v>
      </x:c>
      <x:c r="F1920" s="117" t="str">
        <x:v>Yes</x:v>
      </x:c>
      <x:c r="G1920" s="117" t="str">
        <x:v>Yes</x:v>
      </x:c>
      <x:c r="H1920" s="117" t="str">
        <x:v>AutoLaunchedFlow</x:v>
      </x:c>
      <x:c r="I1920" s="118" t="n">
        <x:v>66</x:v>
      </x:c>
      <x:c r="J1920" s="117" t="str">
        <x:v>unmanaged</x:v>
      </x:c>
      <x:c r="K1920" s="123" t="b">
        <x:v>0</x:v>
      </x:c>
      <x:c r="L1920" s="117"/>
      <x:c r="M1920" s="118"/>
      <x:c r="N1920" s="120" t="n">
        <x:v>46134.520532407405</x:v>
      </x:c>
      <x:c r="O1920" s="117" t="str">
        <x:v>Delegate</x:v>
      </x:c>
      <x:c r="P1920" s="120" t="n">
        <x:v>46134.520578703705</x:v>
      </x:c>
      <x:c r="Q1920" s="117" t="str">
        <x:v>Delegate</x:v>
      </x:c>
      <x:c r="R1920" s="117" t="str">
        <x:v>On Setting of Repair Opportunity: Set Shipping Account to Bill (Customer Fedex System)</x:v>
      </x:c>
      <x:c r="S1920" s="119" t="str">
        <x:v>04/22/2026 (BW) - This sets the Shipping Account to Bill from the account</x:v>
      </x:c>
    </x:row>
    <x:row r="1921" ht="30" customHeight="1">
      <x:c r="A1921" s="117" t="str">
        <x:v>On_Submit_to_Shipping_Update_SA_to_Ready_to_Book</x:v>
      </x:c>
      <x:c r="B1921" s="117" t="str">
        <x:v>300Ro00000REVFlIAP</x:v>
      </x:c>
      <x:c r="C1921" s="117" t="str">
        <x:v>301Ro00000U2G7aIAF</x:v>
      </x:c>
      <x:c r="D1921" s="118" t="n">
        <x:v>1</x:v>
      </x:c>
      <x:c r="E1921" s="117" t="str">
        <x:v>Active</x:v>
      </x:c>
      <x:c r="F1921" s="117" t="str">
        <x:v>Yes</x:v>
      </x:c>
      <x:c r="G1921" s="117" t="str">
        <x:v>Yes</x:v>
      </x:c>
      <x:c r="H1921" s="117" t="str">
        <x:v>AutoLaunchedFlow</x:v>
      </x:c>
      <x:c r="I1921" s="118" t="n">
        <x:v>62</x:v>
      </x:c>
      <x:c r="J1921" s="117" t="str">
        <x:v>unmanaged</x:v>
      </x:c>
      <x:c r="K1921" s="123" t="b">
        <x:v>0</x:v>
      </x:c>
      <x:c r="L1921" s="117"/>
      <x:c r="M1921" s="118"/>
      <x:c r="N1921" s="120" t="n">
        <x:v>45702.592465277776</x:v>
      </x:c>
      <x:c r="O1921" s="117" t="str">
        <x:v>Delegate</x:v>
      </x:c>
      <x:c r="P1921" s="120" t="n">
        <x:v>45702.60040509259</x:v>
      </x:c>
      <x:c r="Q1921" s="117" t="str">
        <x:v>Delegate</x:v>
      </x:c>
      <x:c r="R1921" s="117" t="str">
        <x:v>On Submit to Shipping | Update SA to "Ready to Book"</x:v>
      </x:c>
      <x:c r="S1921" s="119" t="str">
        <x:v>02/14/2025 (BW) - Updating API Version</x:v>
      </x:c>
    </x:row>
    <x:row r="1922" ht="30" customHeight="1">
      <x:c r="A1922" s="117" t="str">
        <x:v>On_Update_Completed_Undo_Update_Needed_Checkbox_and_Reset_Status</x:v>
      </x:c>
      <x:c r="B1922" s="117" t="str">
        <x:v>300Ro00000vx4WjIAI</x:v>
      </x:c>
      <x:c r="C1922" s="117" t="str">
        <x:v>301Ro000013zbQJIAY</x:v>
      </x:c>
      <x:c r="D1922" s="118" t="n">
        <x:v>1</x:v>
      </x:c>
      <x:c r="E1922" s="117" t="str">
        <x:v>Obsolete</x:v>
      </x:c>
      <x:c r="F1922" s="117" t="str">
        <x:v>No</x:v>
      </x:c>
      <x:c r="G1922" s="117" t="str">
        <x:v>No</x:v>
      </x:c>
      <x:c r="H1922" s="117" t="str">
        <x:v>AutoLaunchedFlow</x:v>
      </x:c>
      <x:c r="I1922" s="118" t="n">
        <x:v>66</x:v>
      </x:c>
      <x:c r="J1922" s="117" t="str">
        <x:v>unmanaged</x:v>
      </x:c>
      <x:c r="K1922" s="123" t="b">
        <x:v>0</x:v>
      </x:c>
      <x:c r="L1922" s="117"/>
      <x:c r="M1922" s="118"/>
      <x:c r="N1922" s="120" t="n">
        <x:v>46136.505960648145</x:v>
      </x:c>
      <x:c r="O1922" s="117" t="str">
        <x:v>Delegate</x:v>
      </x:c>
      <x:c r="P1922" s="120" t="n">
        <x:v>46136.50607638889</x:v>
      </x:c>
      <x:c r="Q1922" s="117" t="str">
        <x:v>Delegate</x:v>
      </x:c>
      <x:c r="R1922" s="117" t="str">
        <x:v>On Update Completed - Undo Update Completed Status and Reset Status</x:v>
      </x:c>
      <x:c r="S1922" s="119" t="str">
        <x:v>04/24/2026 (BW) - updates the "Update Completed" checkbox to be un-checked and returns the status to it's previous value.</x:v>
      </x:c>
    </x:row>
    <x:row r="1923" ht="30" customHeight="1">
      <x:c r="A1923" s="117" t="str">
        <x:v>On_Update_Completed_Undo_Update_Needed_Checkbox_and_Reset_Status</x:v>
      </x:c>
      <x:c r="B1923" s="117" t="str">
        <x:v>300Ro00000vx4WjIAI</x:v>
      </x:c>
      <x:c r="C1923" s="117" t="str">
        <x:v>301Ro000016KhuUIAS</x:v>
      </x:c>
      <x:c r="D1923" s="118" t="n">
        <x:v>2</x:v>
      </x:c>
      <x:c r="E1923" s="117" t="str">
        <x:v>Active</x:v>
      </x:c>
      <x:c r="F1923" s="117" t="str">
        <x:v>Yes</x:v>
      </x:c>
      <x:c r="G1923" s="117" t="str">
        <x:v>Yes</x:v>
      </x:c>
      <x:c r="H1923" s="117" t="str">
        <x:v>AutoLaunchedFlow</x:v>
      </x:c>
      <x:c r="I1923" s="118" t="n">
        <x:v>66</x:v>
      </x:c>
      <x:c r="J1923" s="117" t="str">
        <x:v>unmanaged</x:v>
      </x:c>
      <x:c r="K1923" s="123" t="b">
        <x:v>0</x:v>
      </x:c>
      <x:c r="L1923" s="117"/>
      <x:c r="M1923" s="118"/>
      <x:c r="N1923" s="120" t="n">
        <x:v>46163.705092592594</x:v>
      </x:c>
      <x:c r="O1923" s="117" t="str">
        <x:v>Delegate</x:v>
      </x:c>
      <x:c r="P1923" s="120" t="n">
        <x:v>46163.705879629626</x:v>
      </x:c>
      <x:c r="Q1923" s="117" t="str">
        <x:v>Delegate</x:v>
      </x:c>
      <x:c r="R1923" s="117" t="str">
        <x:v>On Update Completed - Undo Update Completed Status and Reset Status</x:v>
      </x:c>
      <x:c r="S1923" s="119" t="str">
        <x:v>04/24/2026 (BW) - updates the "Update Completed" checkbox to be un-checked and returns the status to it's previous value.
05/21/2026 (BW) - removed NewValue filter on WorkOrderHistory lookup (platform does not allow filtering on polymorphic NewValue); sorts by CreatedDate DESC instead to get the most recent Status history entry.</x:v>
      </x:c>
    </x:row>
    <x:row r="1924" ht="30" customHeight="1">
      <x:c r="A1924" s="117" t="str">
        <x:v>On_Update_Line_Item_Swap_on_Opp_Updates_Information_on_the_WOLI</x:v>
      </x:c>
      <x:c r="B1924" s="117" t="str">
        <x:v>300Ro00000cnT4eIAE</x:v>
      </x:c>
      <x:c r="C1924" s="117" t="str">
        <x:v>301Ro00000iNPpNIAW</x:v>
      </x:c>
      <x:c r="D1924" s="118" t="n">
        <x:v>1</x:v>
      </x:c>
      <x:c r="E1924" s="117" t="str">
        <x:v>Obsolete</x:v>
      </x:c>
      <x:c r="F1924" s="117" t="str">
        <x:v>No</x:v>
      </x:c>
      <x:c r="G1924" s="117" t="str">
        <x:v>No</x:v>
      </x:c>
      <x:c r="H1924" s="117" t="str">
        <x:v>AutoLaunchedFlow</x:v>
      </x:c>
      <x:c r="I1924" s="118" t="n">
        <x:v>64</x:v>
      </x:c>
      <x:c r="J1924" s="117" t="str">
        <x:v>unmanaged</x:v>
      </x:c>
      <x:c r="K1924" s="123" t="b">
        <x:v>0</x:v>
      </x:c>
      <x:c r="L1924" s="117"/>
      <x:c r="M1924" s="118"/>
      <x:c r="N1924" s="120" t="n">
        <x:v>45882.85223379629</x:v>
      </x:c>
      <x:c r="O1924" s="117" t="str">
        <x:v>Delegate</x:v>
      </x:c>
      <x:c r="P1924" s="120" t="n">
        <x:v>45883.07960648148</x:v>
      </x:c>
      <x:c r="Q1924" s="117" t="str">
        <x:v>Delegate</x:v>
      </x:c>
      <x:c r="R1924" s="117" t="str">
        <x:v>On Update | Line Item Swap on Opp Updates Information on the WOLI</x:v>
      </x:c>
      <x:c r="S1924" s="119" t="str">
        <x:v>07/24/2025 (BW) - Updated "Part Sourced" to "Part Assigned"</x:v>
      </x:c>
    </x:row>
    <x:row r="1925" ht="30" customHeight="1">
      <x:c r="A1925" s="117" t="str">
        <x:v>On_Update_Line_Item_Swap_on_Opp_Updates_Information_on_the_WOLI</x:v>
      </x:c>
      <x:c r="B1925" s="117" t="str">
        <x:v>300Ro00000cnT4eIAE</x:v>
      </x:c>
      <x:c r="C1925" s="117" t="str">
        <x:v>301Ro00000wwWsbIAE</x:v>
      </x:c>
      <x:c r="D1925" s="118" t="n">
        <x:v>2</x:v>
      </x:c>
      <x:c r="E1925" s="117" t="str">
        <x:v>Obsolete</x:v>
      </x:c>
      <x:c r="F1925" s="117" t="str">
        <x:v>No</x:v>
      </x:c>
      <x:c r="G1925" s="117" t="str">
        <x:v>No</x:v>
      </x:c>
      <x:c r="H1925" s="117" t="str">
        <x:v>AutoLaunchedFlow</x:v>
      </x:c>
      <x:c r="I1925" s="118" t="n">
        <x:v>64</x:v>
      </x:c>
      <x:c r="J1925" s="117" t="str">
        <x:v>unmanaged</x:v>
      </x:c>
      <x:c r="K1925" s="123" t="b">
        <x:v>0</x:v>
      </x:c>
      <x:c r="L1925" s="117"/>
      <x:c r="M1925" s="118"/>
      <x:c r="N1925" s="120" t="n">
        <x:v>46051.62241898148</x:v>
      </x:c>
      <x:c r="O1925" s="117" t="str">
        <x:v>Delegate</x:v>
      </x:c>
      <x:c r="P1925" s="120" t="n">
        <x:v>46051.6225</x:v>
      </x:c>
      <x:c r="Q1925" s="117" t="str">
        <x:v>Delegate</x:v>
      </x:c>
      <x:c r="R1925" s="117" t="str">
        <x:v>On Update | Line Item Swap on Opp Updates Information on the WOLI</x:v>
      </x:c>
      <x:c r="S1925" s="119" t="str">
        <x:v>07/24/2025 (BW) - Updated "Part Sourced" to "Part Assigned"</x:v>
      </x:c>
    </x:row>
    <x:row r="1926" ht="30" customHeight="1">
      <x:c r="A1926" s="117" t="str">
        <x:v>On_Update_Line_Item_Swap_on_Opp_Updates_Information_on_the_WOLI</x:v>
      </x:c>
      <x:c r="B1926" s="117" t="str">
        <x:v>300Ro00000cnT4eIAE</x:v>
      </x:c>
      <x:c r="C1926" s="117" t="str">
        <x:v>301Ro00000ww09cIAA</x:v>
      </x:c>
      <x:c r="D1926" s="118" t="n">
        <x:v>3</x:v>
      </x:c>
      <x:c r="E1926" s="117" t="str">
        <x:v>Obsolete</x:v>
      </x:c>
      <x:c r="F1926" s="117" t="str">
        <x:v>No</x:v>
      </x:c>
      <x:c r="G1926" s="117" t="str">
        <x:v>No</x:v>
      </x:c>
      <x:c r="H1926" s="117" t="str">
        <x:v>AutoLaunchedFlow</x:v>
      </x:c>
      <x:c r="I1926" s="118" t="n">
        <x:v>64</x:v>
      </x:c>
      <x:c r="J1926" s="117" t="str">
        <x:v>unmanaged</x:v>
      </x:c>
      <x:c r="K1926" s="123" t="b">
        <x:v>0</x:v>
      </x:c>
      <x:c r="L1926" s="117"/>
      <x:c r="M1926" s="118"/>
      <x:c r="N1926" s="120" t="n">
        <x:v>46051.63136574074</x:v>
      </x:c>
      <x:c r="O1926" s="117" t="str">
        <x:v>Delegate</x:v>
      </x:c>
      <x:c r="P1926" s="120" t="n">
        <x:v>46051.63145833334</x:v>
      </x:c>
      <x:c r="Q1926" s="117" t="str">
        <x:v>Delegate</x:v>
      </x:c>
      <x:c r="R1926" s="117" t="str">
        <x:v>On Update | Line Item Swap on Opp Updates Information on the WOLI</x:v>
      </x:c>
      <x:c r="S1926" s="119" t="str">
        <x:v>07/24/2025 (BW) - Updated "Part Sourced" to "Part Assigned"</x:v>
      </x:c>
    </x:row>
    <x:row r="1927" ht="30" customHeight="1">
      <x:c r="A1927" s="117" t="str">
        <x:v>On_Update_Line_Item_Swap_on_Opp_Updates_Information_on_the_WOLI</x:v>
      </x:c>
      <x:c r="B1927" s="117" t="str">
        <x:v>300Ro00000cnT4eIAE</x:v>
      </x:c>
      <x:c r="C1927" s="117" t="str">
        <x:v>301Ro00000wwTMpIAM</x:v>
      </x:c>
      <x:c r="D1927" s="118" t="n">
        <x:v>4</x:v>
      </x:c>
      <x:c r="E1927" s="117" t="str">
        <x:v>Obsolete</x:v>
      </x:c>
      <x:c r="F1927" s="117" t="str">
        <x:v>No</x:v>
      </x:c>
      <x:c r="G1927" s="117" t="str">
        <x:v>No</x:v>
      </x:c>
      <x:c r="H1927" s="117" t="str">
        <x:v>AutoLaunchedFlow</x:v>
      </x:c>
      <x:c r="I1927" s="118" t="n">
        <x:v>64</x:v>
      </x:c>
      <x:c r="J1927" s="117" t="str">
        <x:v>unmanaged</x:v>
      </x:c>
      <x:c r="K1927" s="123" t="b">
        <x:v>0</x:v>
      </x:c>
      <x:c r="L1927" s="117"/>
      <x:c r="M1927" s="118"/>
      <x:c r="N1927" s="120" t="n">
        <x:v>46051.63267361111</x:v>
      </x:c>
      <x:c r="O1927" s="117" t="str">
        <x:v>Delegate</x:v>
      </x:c>
      <x:c r="P1927" s="120" t="n">
        <x:v>46078.87069444444</x:v>
      </x:c>
      <x:c r="Q1927" s="117" t="str">
        <x:v>Delegate</x:v>
      </x:c>
      <x:c r="R1927" s="117" t="str">
        <x:v>On Update | Line Item Swap on Opp Updates Information on the WOLI</x:v>
      </x:c>
      <x:c r="S1927" s="119" t="str">
        <x:v>07/24/2025 (BW) - Updated "Part Sourced" to "Part Assigned"</x:v>
      </x:c>
    </x:row>
    <x:row r="1928" ht="30" customHeight="1">
      <x:c r="A1928" s="117" t="str">
        <x:v>On_Update_Line_Item_Swap_on_Opp_Updates_Information_on_the_WOLI</x:v>
      </x:c>
      <x:c r="B1928" s="117" t="str">
        <x:v>300Ro00000cnT4eIAE</x:v>
      </x:c>
      <x:c r="C1928" s="117" t="str">
        <x:v>301Ro00000zHdGLIA0</x:v>
      </x:c>
      <x:c r="D1928" s="118" t="n">
        <x:v>5</x:v>
      </x:c>
      <x:c r="E1928" s="117" t="str">
        <x:v>Draft</x:v>
      </x:c>
      <x:c r="F1928" s="117" t="str">
        <x:v>No</x:v>
      </x:c>
      <x:c r="G1928" s="117" t="str">
        <x:v>No</x:v>
      </x:c>
      <x:c r="H1928" s="117" t="str">
        <x:v>AutoLaunchedFlow</x:v>
      </x:c>
      <x:c r="I1928" s="118" t="n">
        <x:v>64</x:v>
      </x:c>
      <x:c r="J1928" s="117" t="str">
        <x:v>unmanaged</x:v>
      </x:c>
      <x:c r="K1928" s="123" t="b">
        <x:v>0</x:v>
      </x:c>
      <x:c r="L1928" s="117"/>
      <x:c r="M1928" s="118"/>
      <x:c r="N1928" s="120" t="n">
        <x:v>46079.51913194444</x:v>
      </x:c>
      <x:c r="O1928" s="117" t="str">
        <x:v>Delegate</x:v>
      </x:c>
      <x:c r="P1928" s="120" t="n">
        <x:v>46079.519155092596</x:v>
      </x:c>
      <x:c r="Q1928" s="117" t="str">
        <x:v>Delegate</x:v>
      </x:c>
      <x:c r="R1928" s="117" t="str">
        <x:v>On Update | Line Item Swap on Opp Updates Information on the WOLI</x:v>
      </x:c>
      <x:c r="S1928" s="119" t="str">
        <x:v>02/26/2026 (BW) - Repurposing this flow to better cater to the swap system</x:v>
      </x:c>
    </x:row>
    <x:row r="1929" ht="30" customHeight="1">
      <x:c r="A1929" s="117" t="str">
        <x:v>On_Update_Line_Item_Swap_on_Opp_Updates_Information_on_the_WOLI</x:v>
      </x:c>
      <x:c r="B1929" s="117" t="str">
        <x:v>300Ro00000cnT4eIAE</x:v>
      </x:c>
      <x:c r="C1929" s="117" t="str">
        <x:v>301Ro00000zHiMUIA0</x:v>
      </x:c>
      <x:c r="D1929" s="118" t="n">
        <x:v>6</x:v>
      </x:c>
      <x:c r="E1929" s="117" t="str">
        <x:v>Obsolete</x:v>
      </x:c>
      <x:c r="F1929" s="117" t="str">
        <x:v>No</x:v>
      </x:c>
      <x:c r="G1929" s="117" t="str">
        <x:v>Yes</x:v>
      </x:c>
      <x:c r="H1929" s="117" t="str">
        <x:v>AutoLaunchedFlow</x:v>
      </x:c>
      <x:c r="I1929" s="118" t="n">
        <x:v>64</x:v>
      </x:c>
      <x:c r="J1929" s="117" t="str">
        <x:v>unmanaged</x:v>
      </x:c>
      <x:c r="K1929" s="123" t="b">
        <x:v>0</x:v>
      </x:c>
      <x:c r="L1929" s="117"/>
      <x:c r="M1929" s="118"/>
      <x:c r="N1929" s="120" t="n">
        <x:v>46079.553125</x:v>
      </x:c>
      <x:c r="O1929" s="117" t="str">
        <x:v>Delegate</x:v>
      </x:c>
      <x:c r="P1929" s="120" t="n">
        <x:v>46098.58390046296</x:v>
      </x:c>
      <x:c r="Q1929" s="117" t="str">
        <x:v>Delegate</x:v>
      </x:c>
      <x:c r="R1929" s="117" t="str">
        <x:v>On Update | Line Item Swap on Opp Updates Information on the WOLI</x:v>
      </x:c>
      <x:c r="S1929" s="119" t="str">
        <x:v>02/26/2026 (BW) - Updated the behavior so that line intent is pulled appropriately</x:v>
      </x:c>
    </x:row>
    <x:row r="1930" ht="30" customHeight="1">
      <x:c r="A1930" s="117" t="str">
        <x:v>On_Update_of_Address_Update_Opportunity_Shipping_if_Needed</x:v>
      </x:c>
      <x:c r="B1930" s="117" t="str">
        <x:v>300Ro00000oEe0pIAC</x:v>
      </x:c>
      <x:c r="C1930" s="117" t="str">
        <x:v>301Ro00000vg4HjIAI</x:v>
      </x:c>
      <x:c r="D1930" s="118" t="n">
        <x:v>1</x:v>
      </x:c>
      <x:c r="E1930" s="117" t="str">
        <x:v>Obsolete</x:v>
      </x:c>
      <x:c r="F1930" s="117" t="str">
        <x:v>No</x:v>
      </x:c>
      <x:c r="G1930" s="117" t="str">
        <x:v>No</x:v>
      </x:c>
      <x:c r="H1930" s="117" t="str">
        <x:v>AutoLaunchedFlow</x:v>
      </x:c>
      <x:c r="I1930" s="118" t="n">
        <x:v>65</x:v>
      </x:c>
      <x:c r="J1930" s="117" t="str">
        <x:v>unmanaged</x:v>
      </x:c>
      <x:c r="K1930" s="123" t="b">
        <x:v>0</x:v>
      </x:c>
      <x:c r="L1930" s="117"/>
      <x:c r="M1930" s="118"/>
      <x:c r="N1930" s="120" t="n">
        <x:v>46036.053148148145</x:v>
      </x:c>
      <x:c r="O1930" s="117" t="str">
        <x:v>Delegate</x:v>
      </x:c>
      <x:c r="P1930" s="120" t="n">
        <x:v>46036.0534375</x:v>
      </x:c>
      <x:c r="Q1930" s="117" t="str">
        <x:v>Delegate</x:v>
      </x:c>
      <x:c r="R1930" s="117" t="str">
        <x:v>On Update of Address | Update Opportunity Shipping if Needed</x:v>
      </x:c>
      <x:c r="S1930" s="119" t="str">
        <x:v>Update the shipping on the opportunity if it's needed</x:v>
      </x:c>
    </x:row>
    <x:row r="1931" ht="30" customHeight="1">
      <x:c r="A1931" s="117" t="str">
        <x:v>On_Update_of_Address_Update_Opportunity_Shipping_if_Needed</x:v>
      </x:c>
      <x:c r="B1931" s="117" t="str">
        <x:v>300Ro00000oEe0pIAC</x:v>
      </x:c>
      <x:c r="C1931" s="117" t="str">
        <x:v>301Ro00000vzZQ5IAM</x:v>
      </x:c>
      <x:c r="D1931" s="118" t="n">
        <x:v>2</x:v>
      </x:c>
      <x:c r="E1931" s="117" t="str">
        <x:v>Obsolete</x:v>
      </x:c>
      <x:c r="F1931" s="117" t="str">
        <x:v>No</x:v>
      </x:c>
      <x:c r="G1931" s="117" t="str">
        <x:v>No</x:v>
      </x:c>
      <x:c r="H1931" s="117" t="str">
        <x:v>AutoLaunchedFlow</x:v>
      </x:c>
      <x:c r="I1931" s="118" t="n">
        <x:v>65</x:v>
      </x:c>
      <x:c r="J1931" s="117" t="str">
        <x:v>unmanaged</x:v>
      </x:c>
      <x:c r="K1931" s="123" t="b">
        <x:v>0</x:v>
      </x:c>
      <x:c r="L1931" s="117"/>
      <x:c r="M1931" s="118"/>
      <x:c r="N1931" s="120" t="n">
        <x:v>46041.684282407405</x:v>
      </x:c>
      <x:c r="O1931" s="117" t="str">
        <x:v>Delegate</x:v>
      </x:c>
      <x:c r="P1931" s="120" t="n">
        <x:v>46041.68434027778</x:v>
      </x:c>
      <x:c r="Q1931" s="117" t="str">
        <x:v>Delegate</x:v>
      </x:c>
      <x:c r="R1931" s="117" t="str">
        <x:v>On Update of Address | Update Opportunity Shipping if Needed</x:v>
      </x:c>
      <x:c r="S1931" s="119" t="str">
        <x:v>Update the shipping on the opportunity if it's needed</x:v>
      </x:c>
    </x:row>
    <x:row r="1932" ht="30" customHeight="1">
      <x:c r="A1932" s="117" t="str">
        <x:v>On_Update_of_Address_Update_Opportunity_Shipping_if_Needed</x:v>
      </x:c>
      <x:c r="B1932" s="117" t="str">
        <x:v>300Ro00000oEe0pIAC</x:v>
      </x:c>
      <x:c r="C1932" s="117" t="str">
        <x:v>301Ro00000wxN5gIAE</x:v>
      </x:c>
      <x:c r="D1932" s="118" t="n">
        <x:v>3</x:v>
      </x:c>
      <x:c r="E1932" s="117" t="str">
        <x:v>Obsolete</x:v>
      </x:c>
      <x:c r="F1932" s="117" t="str">
        <x:v>No</x:v>
      </x:c>
      <x:c r="G1932" s="117" t="str">
        <x:v>No</x:v>
      </x:c>
      <x:c r="H1932" s="117" t="str">
        <x:v>AutoLaunchedFlow</x:v>
      </x:c>
      <x:c r="I1932" s="118" t="n">
        <x:v>65</x:v>
      </x:c>
      <x:c r="J1932" s="117" t="str">
        <x:v>unmanaged</x:v>
      </x:c>
      <x:c r="K1932" s="123" t="b">
        <x:v>0</x:v>
      </x:c>
      <x:c r="L1932" s="117"/>
      <x:c r="M1932" s="118"/>
      <x:c r="N1932" s="120" t="n">
        <x:v>46051.74994212963</x:v>
      </x:c>
      <x:c r="O1932" s="117" t="str">
        <x:v>Delegate</x:v>
      </x:c>
      <x:c r="P1932" s="120" t="n">
        <x:v>46051.75001157408</x:v>
      </x:c>
      <x:c r="Q1932" s="117" t="str">
        <x:v>Delegate</x:v>
      </x:c>
      <x:c r="R1932" s="117" t="str">
        <x:v>On Update of Address | Update Opportunity Shipping if Needed</x:v>
      </x:c>
      <x:c r="S1932" s="119" t="str">
        <x:v>01/29/2026 (BW) - Update so that it fires more robustly</x:v>
      </x:c>
    </x:row>
    <x:row r="1933" ht="30" customHeight="1">
      <x:c r="A1933" s="117" t="str">
        <x:v>On_Update_of_Address_Update_Opportunity_Shipping_if_Needed</x:v>
      </x:c>
      <x:c r="B1933" s="117" t="str">
        <x:v>300Ro00000oEe0pIAC</x:v>
      </x:c>
      <x:c r="C1933" s="117" t="str">
        <x:v>301Ro00000wxosFIAQ</x:v>
      </x:c>
      <x:c r="D1933" s="118" t="n">
        <x:v>4</x:v>
      </x:c>
      <x:c r="E1933" s="117" t="str">
        <x:v>Obsolete</x:v>
      </x:c>
      <x:c r="F1933" s="117" t="str">
        <x:v>No</x:v>
      </x:c>
      <x:c r="G1933" s="117" t="str">
        <x:v>No</x:v>
      </x:c>
      <x:c r="H1933" s="117" t="str">
        <x:v>AutoLaunchedFlow</x:v>
      </x:c>
      <x:c r="I1933" s="118" t="n">
        <x:v>65</x:v>
      </x:c>
      <x:c r="J1933" s="117" t="str">
        <x:v>unmanaged</x:v>
      </x:c>
      <x:c r="K1933" s="123" t="b">
        <x:v>0</x:v>
      </x:c>
      <x:c r="L1933" s="117"/>
      <x:c r="M1933" s="118"/>
      <x:c r="N1933" s="120" t="n">
        <x:v>46051.752754629626</x:v>
      </x:c>
      <x:c r="O1933" s="117" t="str">
        <x:v>Delegate</x:v>
      </x:c>
      <x:c r="P1933" s="120" t="n">
        <x:v>46051.75282407407</x:v>
      </x:c>
      <x:c r="Q1933" s="117" t="str">
        <x:v>Delegate</x:v>
      </x:c>
      <x:c r="R1933" s="117" t="str">
        <x:v>On Update of Address | Update Opportunity Shipping if Needed</x:v>
      </x:c>
      <x:c r="S1933" s="119" t="str">
        <x:v>01/29/2026 (BW) - Updating the items that get updated to include the hold address and the standard address</x:v>
      </x:c>
    </x:row>
    <x:row r="1934" ht="30" customHeight="1">
      <x:c r="A1934" s="117" t="str">
        <x:v>On_Update_of_Address_Update_Opportunity_Shipping_if_Needed</x:v>
      </x:c>
      <x:c r="B1934" s="117" t="str">
        <x:v>300Ro00000oEe0pIAC</x:v>
      </x:c>
      <x:c r="C1934" s="117" t="str">
        <x:v>301Ro00000wxm4MIAQ</x:v>
      </x:c>
      <x:c r="D1934" s="118" t="n">
        <x:v>5</x:v>
      </x:c>
      <x:c r="E1934" s="117" t="str">
        <x:v>Obsolete</x:v>
      </x:c>
      <x:c r="F1934" s="117" t="str">
        <x:v>No</x:v>
      </x:c>
      <x:c r="G1934" s="117" t="str">
        <x:v>No</x:v>
      </x:c>
      <x:c r="H1934" s="117" t="str">
        <x:v>AutoLaunchedFlow</x:v>
      </x:c>
      <x:c r="I1934" s="118" t="n">
        <x:v>65</x:v>
      </x:c>
      <x:c r="J1934" s="117" t="str">
        <x:v>unmanaged</x:v>
      </x:c>
      <x:c r="K1934" s="123" t="b">
        <x:v>0</x:v>
      </x:c>
      <x:c r="L1934" s="117"/>
      <x:c r="M1934" s="118"/>
      <x:c r="N1934" s="120" t="n">
        <x:v>46051.75356481481</x:v>
      </x:c>
      <x:c r="O1934" s="117" t="str">
        <x:v>Delegate</x:v>
      </x:c>
      <x:c r="P1934" s="120" t="n">
        <x:v>46051.75363425926</x:v>
      </x:c>
      <x:c r="Q1934" s="117" t="str">
        <x:v>Delegate</x:v>
      </x:c>
      <x:c r="R1934" s="117" t="str">
        <x:v>On Update of Address | Update Opportunity Shipping if Needed</x:v>
      </x:c>
      <x:c r="S1934" s="119" t="str">
        <x:v>01/29/2026 (BW) - Updating the items that get updated to include the hold address and the standard address</x:v>
      </x:c>
    </x:row>
    <x:row r="1935" ht="30" customHeight="1">
      <x:c r="A1935" s="117" t="str">
        <x:v>On_Update_of_Address_Update_Opportunity_Shipping_if_Needed</x:v>
      </x:c>
      <x:c r="B1935" s="117" t="str">
        <x:v>300Ro00000oEe0pIAC</x:v>
      </x:c>
      <x:c r="C1935" s="117" t="str">
        <x:v>301Ro00000y9qTfIAI</x:v>
      </x:c>
      <x:c r="D1935" s="118" t="n">
        <x:v>6</x:v>
      </x:c>
      <x:c r="E1935" s="117" t="str">
        <x:v>Obsolete</x:v>
      </x:c>
      <x:c r="F1935" s="117" t="str">
        <x:v>No</x:v>
      </x:c>
      <x:c r="G1935" s="117" t="str">
        <x:v>No</x:v>
      </x:c>
      <x:c r="H1935" s="117" t="str">
        <x:v>AutoLaunchedFlow</x:v>
      </x:c>
      <x:c r="I1935" s="118" t="n">
        <x:v>65</x:v>
      </x:c>
      <x:c r="J1935" s="117" t="str">
        <x:v>unmanaged</x:v>
      </x:c>
      <x:c r="K1935" s="123" t="b">
        <x:v>0</x:v>
      </x:c>
      <x:c r="L1935" s="117"/>
      <x:c r="M1935" s="118"/>
      <x:c r="N1935" s="120" t="n">
        <x:v>46065.56211805555</x:v>
      </x:c>
      <x:c r="O1935" s="117" t="str">
        <x:v>Delegate</x:v>
      </x:c>
      <x:c r="P1935" s="120" t="n">
        <x:v>46065.56219907408</x:v>
      </x:c>
      <x:c r="Q1935" s="117" t="str">
        <x:v>Delegate</x:v>
      </x:c>
      <x:c r="R1935" s="117" t="str">
        <x:v>On Update of Address | Update Opportunity Shipping if Needed</x:v>
      </x:c>
      <x:c r="S1935" s="119" t="str">
        <x:v>02/12/2026 (BW) - Updated the opportunity variable to contain the ID so this flow doesn't fail</x:v>
      </x:c>
    </x:row>
    <x:row r="1936" ht="30" customHeight="1">
      <x:c r="A1936" s="117" t="str">
        <x:v>On_Update_of_Address_Update_Opportunity_Shipping_if_Needed</x:v>
      </x:c>
      <x:c r="B1936" s="117" t="str">
        <x:v>300Ro00000oEe0pIAC</x:v>
      </x:c>
      <x:c r="C1936" s="117" t="str">
        <x:v>301Ro00000yA5LeIAK</x:v>
      </x:c>
      <x:c r="D1936" s="118" t="n">
        <x:v>7</x:v>
      </x:c>
      <x:c r="E1936" s="117" t="str">
        <x:v>Obsolete</x:v>
      </x:c>
      <x:c r="F1936" s="117" t="str">
        <x:v>No</x:v>
      </x:c>
      <x:c r="G1936" s="117" t="str">
        <x:v>No</x:v>
      </x:c>
      <x:c r="H1936" s="117" t="str">
        <x:v>AutoLaunchedFlow</x:v>
      </x:c>
      <x:c r="I1936" s="118" t="n">
        <x:v>65</x:v>
      </x:c>
      <x:c r="J1936" s="117" t="str">
        <x:v>unmanaged</x:v>
      </x:c>
      <x:c r="K1936" s="123" t="b">
        <x:v>0</x:v>
      </x:c>
      <x:c r="L1936" s="117"/>
      <x:c r="M1936" s="118"/>
      <x:c r="N1936" s="120" t="n">
        <x:v>46065.56684027778</x:v>
      </x:c>
      <x:c r="O1936" s="117" t="str">
        <x:v>Delegate</x:v>
      </x:c>
      <x:c r="P1936" s="120" t="n">
        <x:v>46065.56756944444</x:v>
      </x:c>
      <x:c r="Q1936" s="117" t="str">
        <x:v>Delegate</x:v>
      </x:c>
      <x:c r="R1936" s="117" t="str">
        <x:v>On Update of Address | Update Opportunity Shipping if Needed</x:v>
      </x:c>
      <x:c r="S1936" s="119" t="str">
        <x:v>02/12/2026 (BW) - Added the hold shipping address as well to the ship directly to site</x:v>
      </x:c>
    </x:row>
    <x:row r="1937" ht="30" customHeight="1">
      <x:c r="A1937" s="117" t="str">
        <x:v>On_Update_of_Address_Update_Opportunity_Shipping_if_Needed</x:v>
      </x:c>
      <x:c r="B1937" s="117" t="str">
        <x:v>300Ro00000oEe0pIAC</x:v>
      </x:c>
      <x:c r="C1937" s="117" t="str">
        <x:v>301Ro00000yANQcIAO</x:v>
      </x:c>
      <x:c r="D1937" s="118" t="n">
        <x:v>8</x:v>
      </x:c>
      <x:c r="E1937" s="117" t="str">
        <x:v>Obsolete</x:v>
      </x:c>
      <x:c r="F1937" s="117" t="str">
        <x:v>No</x:v>
      </x:c>
      <x:c r="G1937" s="117" t="str">
        <x:v>No</x:v>
      </x:c>
      <x:c r="H1937" s="117" t="str">
        <x:v>AutoLaunchedFlow</x:v>
      </x:c>
      <x:c r="I1937" s="118" t="n">
        <x:v>65</x:v>
      </x:c>
      <x:c r="J1937" s="117" t="str">
        <x:v>unmanaged</x:v>
      </x:c>
      <x:c r="K1937" s="123" t="b">
        <x:v>0</x:v>
      </x:c>
      <x:c r="L1937" s="117"/>
      <x:c r="M1937" s="118"/>
      <x:c r="N1937" s="120" t="n">
        <x:v>46065.571597222224</x:v>
      </x:c>
      <x:c r="O1937" s="117" t="str">
        <x:v>Delegate</x:v>
      </x:c>
      <x:c r="P1937" s="120" t="n">
        <x:v>46065.57166666666</x:v>
      </x:c>
      <x:c r="Q1937" s="117" t="str">
        <x:v>Delegate</x:v>
      </x:c>
      <x:c r="R1937" s="117" t="str">
        <x:v>On Update of Address | Update Opportunity Shipping if Needed</x:v>
      </x:c>
      <x:c r="S1937" s="119" t="str">
        <x:v>02/12/2026 (BW) - Updating how this is fired and how it updates the opportunity</x:v>
      </x:c>
    </x:row>
    <x:row r="1938" ht="30" customHeight="1">
      <x:c r="A1938" s="117" t="str">
        <x:v>On_Update_of_Address_Update_Opportunity_Shipping_if_Needed</x:v>
      </x:c>
      <x:c r="B1938" s="117" t="str">
        <x:v>300Ro00000oEe0pIAC</x:v>
      </x:c>
      <x:c r="C1938" s="117" t="str">
        <x:v>301Ro00000yAXL7IAO</x:v>
      </x:c>
      <x:c r="D1938" s="118" t="n">
        <x:v>9</x:v>
      </x:c>
      <x:c r="E1938" s="117" t="str">
        <x:v>Obsolete</x:v>
      </x:c>
      <x:c r="F1938" s="117" t="str">
        <x:v>No</x:v>
      </x:c>
      <x:c r="G1938" s="117" t="str">
        <x:v>No</x:v>
      </x:c>
      <x:c r="H1938" s="117" t="str">
        <x:v>AutoLaunchedFlow</x:v>
      </x:c>
      <x:c r="I1938" s="118" t="n">
        <x:v>65</x:v>
      </x:c>
      <x:c r="J1938" s="117" t="str">
        <x:v>unmanaged</x:v>
      </x:c>
      <x:c r="K1938" s="123" t="b">
        <x:v>0</x:v>
      </x:c>
      <x:c r="L1938" s="117"/>
      <x:c r="M1938" s="118"/>
      <x:c r="N1938" s="120" t="n">
        <x:v>46065.57568287037</x:v>
      </x:c>
      <x:c r="O1938" s="117" t="str">
        <x:v>Delegate</x:v>
      </x:c>
      <x:c r="P1938" s="120" t="n">
        <x:v>46065.57609953704</x:v>
      </x:c>
      <x:c r="Q1938" s="117" t="str">
        <x:v>Delegate</x:v>
      </x:c>
      <x:c r="R1938" s="117" t="str">
        <x:v>On Update of Address | Update Opportunity Shipping if Needed</x:v>
      </x:c>
      <x:c r="S1938" s="119" t="str">
        <x:v>02/12/2026 (BW) - Updating how this is fired and how it updates the opportunity</x:v>
      </x:c>
    </x:row>
    <x:row r="1939" ht="30" customHeight="1">
      <x:c r="A1939" s="117" t="str">
        <x:v>On_Update_of_Address_Update_Opportunity_Shipping_if_Needed</x:v>
      </x:c>
      <x:c r="B1939" s="117" t="str">
        <x:v>300Ro00000oEe0pIAC</x:v>
      </x:c>
      <x:c r="C1939" s="117" t="str">
        <x:v>301Ro00000yGO8fIAG</x:v>
      </x:c>
      <x:c r="D1939" s="118" t="n">
        <x:v>10</x:v>
      </x:c>
      <x:c r="E1939" s="117" t="str">
        <x:v>Obsolete</x:v>
      </x:c>
      <x:c r="F1939" s="117" t="str">
        <x:v>No</x:v>
      </x:c>
      <x:c r="G1939" s="117" t="str">
        <x:v>No</x:v>
      </x:c>
      <x:c r="H1939" s="117" t="str">
        <x:v>AutoLaunchedFlow</x:v>
      </x:c>
      <x:c r="I1939" s="118" t="n">
        <x:v>65</x:v>
      </x:c>
      <x:c r="J1939" s="117" t="str">
        <x:v>unmanaged</x:v>
      </x:c>
      <x:c r="K1939" s="123" t="b">
        <x:v>0</x:v>
      </x:c>
      <x:c r="L1939" s="117"/>
      <x:c r="M1939" s="118"/>
      <x:c r="N1939" s="120" t="n">
        <x:v>46066.55197916667</x:v>
      </x:c>
      <x:c r="O1939" s="117" t="str">
        <x:v>Delegate</x:v>
      </x:c>
      <x:c r="P1939" s="120" t="n">
        <x:v>46066.552083333336</x:v>
      </x:c>
      <x:c r="Q1939" s="117" t="str">
        <x:v>Delegate</x:v>
      </x:c>
      <x:c r="R1939" s="117" t="str">
        <x:v>On Update of Address | Update Opportunity Shipping if Needed</x:v>
      </x:c>
      <x:c r="S1939" s="119" t="str">
        <x:v>02/12/2026 (BW) - Updating how this is fired and how it updates the opportunity</x:v>
      </x:c>
    </x:row>
    <x:row r="1940" ht="30" customHeight="1">
      <x:c r="A1940" s="117" t="str">
        <x:v>On_Update_of_Address_Update_Opportunity_Shipping_if_Needed</x:v>
      </x:c>
      <x:c r="B1940" s="117" t="str">
        <x:v>300Ro00000oEe0pIAC</x:v>
      </x:c>
      <x:c r="C1940" s="117" t="str">
        <x:v>301Ro00000ycuUuIAI</x:v>
      </x:c>
      <x:c r="D1940" s="118" t="n">
        <x:v>11</x:v>
      </x:c>
      <x:c r="E1940" s="117" t="str">
        <x:v>Obsolete</x:v>
      </x:c>
      <x:c r="F1940" s="117" t="str">
        <x:v>No</x:v>
      </x:c>
      <x:c r="G1940" s="117" t="str">
        <x:v>No</x:v>
      </x:c>
      <x:c r="H1940" s="117" t="str">
        <x:v>AutoLaunchedFlow</x:v>
      </x:c>
      <x:c r="I1940" s="118" t="n">
        <x:v>65</x:v>
      </x:c>
      <x:c r="J1940" s="117" t="str">
        <x:v>unmanaged</x:v>
      </x:c>
      <x:c r="K1940" s="123" t="b">
        <x:v>0</x:v>
      </x:c>
      <x:c r="L1940" s="117"/>
      <x:c r="M1940" s="118"/>
      <x:c r="N1940" s="120" t="n">
        <x:v>46071.69663194445</x:v>
      </x:c>
      <x:c r="O1940" s="117" t="str">
        <x:v>Delegate</x:v>
      </x:c>
      <x:c r="P1940" s="120" t="n">
        <x:v>46071.69671296296</x:v>
      </x:c>
      <x:c r="Q1940" s="117" t="str">
        <x:v>Delegate</x:v>
      </x:c>
      <x:c r="R1940" s="117" t="str">
        <x:v>On Update of Address | Update Opportunity Shipping if Needed</x:v>
      </x:c>
      <x:c r="S1940" s="119" t="str">
        <x:v>02/18/2026 (BW) - Updated to set the hold ship to account to the service site name</x:v>
      </x:c>
    </x:row>
    <x:row r="1941" ht="30" customHeight="1">
      <x:c r="A1941" s="117" t="str">
        <x:v>On_Update_of_Address_Update_Opportunity_Shipping_if_Needed</x:v>
      </x:c>
      <x:c r="B1941" s="117" t="str">
        <x:v>300Ro00000oEe0pIAC</x:v>
      </x:c>
      <x:c r="C1941" s="117" t="str">
        <x:v>301Ro00000yfE2vIAE</x:v>
      </x:c>
      <x:c r="D1941" s="118" t="n">
        <x:v>12</x:v>
      </x:c>
      <x:c r="E1941" s="117" t="str">
        <x:v>Obsolete</x:v>
      </x:c>
      <x:c r="F1941" s="117" t="str">
        <x:v>No</x:v>
      </x:c>
      <x:c r="G1941" s="117" t="str">
        <x:v>No</x:v>
      </x:c>
      <x:c r="H1941" s="117" t="str">
        <x:v>AutoLaunchedFlow</x:v>
      </x:c>
      <x:c r="I1941" s="118" t="n">
        <x:v>65</x:v>
      </x:c>
      <x:c r="J1941" s="117" t="str">
        <x:v>unmanaged</x:v>
      </x:c>
      <x:c r="K1941" s="123" t="b">
        <x:v>0</x:v>
      </x:c>
      <x:c r="L1941" s="117"/>
      <x:c r="M1941" s="118"/>
      <x:c r="N1941" s="120" t="n">
        <x:v>46071.94520833333</x:v>
      </x:c>
      <x:c r="O1941" s="117" t="str">
        <x:v>Delegate</x:v>
      </x:c>
      <x:c r="P1941" s="120" t="n">
        <x:v>46071.94527777778</x:v>
      </x:c>
      <x:c r="Q1941" s="117" t="str">
        <x:v>Delegate</x:v>
      </x:c>
      <x:c r="R1941" s="117" t="str">
        <x:v>On Update of Address | Update Opportunity Shipping if Needed</x:v>
      </x:c>
      <x:c r="S1941" s="119" t="str">
        <x:v>02/18/2026 (BW) - Updated to set the hold ship to account to the service site name</x:v>
      </x:c>
    </x:row>
    <x:row r="1942" ht="30" customHeight="1">
      <x:c r="A1942" s="117" t="str">
        <x:v>On_Update_of_Address_Update_Opportunity_Shipping_if_Needed</x:v>
      </x:c>
      <x:c r="B1942" s="117" t="str">
        <x:v>300Ro00000oEe0pIAC</x:v>
      </x:c>
      <x:c r="C1942" s="117" t="str">
        <x:v>301Ro00000yy7NUIAY</x:v>
      </x:c>
      <x:c r="D1942" s="118" t="n">
        <x:v>13</x:v>
      </x:c>
      <x:c r="E1942" s="117" t="str">
        <x:v>Obsolete</x:v>
      </x:c>
      <x:c r="F1942" s="117" t="str">
        <x:v>No</x:v>
      </x:c>
      <x:c r="G1942" s="117" t="str">
        <x:v>No</x:v>
      </x:c>
      <x:c r="H1942" s="117" t="str">
        <x:v>AutoLaunchedFlow</x:v>
      </x:c>
      <x:c r="I1942" s="118" t="n">
        <x:v>65</x:v>
      </x:c>
      <x:c r="J1942" s="117" t="str">
        <x:v>unmanaged</x:v>
      </x:c>
      <x:c r="K1942" s="123" t="b">
        <x:v>0</x:v>
      </x:c>
      <x:c r="L1942" s="117"/>
      <x:c r="M1942" s="118"/>
      <x:c r="N1942" s="120" t="n">
        <x:v>46076.14030092592</x:v>
      </x:c>
      <x:c r="O1942" s="117" t="str">
        <x:v>Delegate</x:v>
      </x:c>
      <x:c r="P1942" s="120" t="n">
        <x:v>46076.140393518515</x:v>
      </x:c>
      <x:c r="Q1942" s="117" t="str">
        <x:v>Delegate</x:v>
      </x:c>
      <x:c r="R1942" s="117" t="str">
        <x:v>On Update of Address | Update Opportunity Shipping if Needed</x:v>
      </x:c>
      <x:c r="S1942" s="119" t="str">
        <x:v>02/18/2026 (BW) - Updated to set the hold ship to account to the service site name</x:v>
      </x:c>
    </x:row>
    <x:row r="1943" ht="30" customHeight="1">
      <x:c r="A1943" s="117" t="str">
        <x:v>On_Update_of_Address_Update_Opportunity_Shipping_if_Needed</x:v>
      </x:c>
      <x:c r="B1943" s="117" t="str">
        <x:v>300Ro00000oEe0pIAC</x:v>
      </x:c>
      <x:c r="C1943" s="117" t="str">
        <x:v>301Ro00000z5RBBIA2</x:v>
      </x:c>
      <x:c r="D1943" s="118" t="n">
        <x:v>14</x:v>
      </x:c>
      <x:c r="E1943" s="117" t="str">
        <x:v>Obsolete</x:v>
      </x:c>
      <x:c r="F1943" s="117" t="str">
        <x:v>No</x:v>
      </x:c>
      <x:c r="G1943" s="117" t="str">
        <x:v>No</x:v>
      </x:c>
      <x:c r="H1943" s="117" t="str">
        <x:v>AutoLaunchedFlow</x:v>
      </x:c>
      <x:c r="I1943" s="118" t="n">
        <x:v>65</x:v>
      </x:c>
      <x:c r="J1943" s="117" t="str">
        <x:v>unmanaged</x:v>
      </x:c>
      <x:c r="K1943" s="123" t="b">
        <x:v>0</x:v>
      </x:c>
      <x:c r="L1943" s="117"/>
      <x:c r="M1943" s="118"/>
      <x:c r="N1943" s="120" t="n">
        <x:v>46077.52804398148</x:v>
      </x:c>
      <x:c r="O1943" s="117" t="str">
        <x:v>Delegate</x:v>
      </x:c>
      <x:c r="P1943" s="120" t="n">
        <x:v>46077.5300462963</x:v>
      </x:c>
      <x:c r="Q1943" s="117" t="str">
        <x:v>Delegate</x:v>
      </x:c>
      <x:c r="R1943" s="117" t="str">
        <x:v>On Update of Address | Update Opportunity Shipping if Needed</x:v>
      </x:c>
      <x:c r="S1943" s="119" t="str">
        <x:v>02/18/2026 (BW) - Updated to set the hold ship to account to the service site name</x:v>
      </x:c>
    </x:row>
    <x:row r="1944" ht="30" customHeight="1">
      <x:c r="A1944" s="117" t="str">
        <x:v>On_Update_of_Address_Update_Opportunity_Shipping_if_Needed</x:v>
      </x:c>
      <x:c r="B1944" s="117" t="str">
        <x:v>300Ro00000oEe0pIAC</x:v>
      </x:c>
      <x:c r="C1944" s="117" t="str">
        <x:v>301Ro00000z5SSnIAM</x:v>
      </x:c>
      <x:c r="D1944" s="118" t="n">
        <x:v>15</x:v>
      </x:c>
      <x:c r="E1944" s="117" t="str">
        <x:v>Obsolete</x:v>
      </x:c>
      <x:c r="F1944" s="117" t="str">
        <x:v>No</x:v>
      </x:c>
      <x:c r="G1944" s="117" t="str">
        <x:v>No</x:v>
      </x:c>
      <x:c r="H1944" s="117" t="str">
        <x:v>AutoLaunchedFlow</x:v>
      </x:c>
      <x:c r="I1944" s="118" t="n">
        <x:v>65</x:v>
      </x:c>
      <x:c r="J1944" s="117" t="str">
        <x:v>unmanaged</x:v>
      </x:c>
      <x:c r="K1944" s="123" t="b">
        <x:v>0</x:v>
      </x:c>
      <x:c r="L1944" s="117"/>
      <x:c r="M1944" s="118"/>
      <x:c r="N1944" s="120" t="n">
        <x:v>46077.53255787037</x:v>
      </x:c>
      <x:c r="O1944" s="117" t="str">
        <x:v>Delegate</x:v>
      </x:c>
      <x:c r="P1944" s="120" t="n">
        <x:v>46077.53565972222</x:v>
      </x:c>
      <x:c r="Q1944" s="117" t="str">
        <x:v>Delegate</x:v>
      </x:c>
      <x:c r="R1944" s="117" t="str">
        <x:v>On Update of Address | Update Opportunity Shipping if Needed</x:v>
      </x:c>
      <x:c r="S1944" s="119" t="str">
        <x:v>02/18/2026 (BW) - Updated to set the hold ship to account to the service site name</x:v>
      </x:c>
    </x:row>
    <x:row r="1945" ht="30" customHeight="1">
      <x:c r="A1945" s="117" t="str">
        <x:v>On_Update_of_Address_Update_Opportunity_Shipping_if_Needed</x:v>
      </x:c>
      <x:c r="B1945" s="117" t="str">
        <x:v>300Ro00000oEe0pIAC</x:v>
      </x:c>
      <x:c r="C1945" s="117" t="str">
        <x:v>301Ro000010xhbbIAA</x:v>
      </x:c>
      <x:c r="D1945" s="118" t="n">
        <x:v>16</x:v>
      </x:c>
      <x:c r="E1945" s="117" t="str">
        <x:v>Obsolete</x:v>
      </x:c>
      <x:c r="F1945" s="117" t="str">
        <x:v>No</x:v>
      </x:c>
      <x:c r="G1945" s="117" t="str">
        <x:v>No</x:v>
      </x:c>
      <x:c r="H1945" s="117" t="str">
        <x:v>AutoLaunchedFlow</x:v>
      </x:c>
      <x:c r="I1945" s="118" t="n">
        <x:v>65</x:v>
      </x:c>
      <x:c r="J1945" s="117" t="str">
        <x:v>unmanaged</x:v>
      </x:c>
      <x:c r="K1945" s="123" t="b">
        <x:v>0</x:v>
      </x:c>
      <x:c r="L1945" s="117"/>
      <x:c r="M1945" s="118"/>
      <x:c r="N1945" s="120" t="n">
        <x:v>46100.5453587963</x:v>
      </x:c>
      <x:c r="O1945" s="117" t="str">
        <x:v>Delegate</x:v>
      </x:c>
      <x:c r="P1945" s="120" t="n">
        <x:v>46100.54561342593</x:v>
      </x:c>
      <x:c r="Q1945" s="117" t="str">
        <x:v>Delegate</x:v>
      </x:c>
      <x:c r="R1945" s="117" t="str">
        <x:v>On Update of Address | Update Opportunity Shipping if Needed</x:v>
      </x:c>
      <x:c r="S1945" s="119" t="str">
        <x:v>02/18/2026 (BW) - Updated to set the hold ship to account to the service site name</x:v>
      </x:c>
    </x:row>
    <x:row r="1946" ht="30" customHeight="1">
      <x:c r="A1946" s="117" t="str">
        <x:v>On_Update_of_Address_Update_Opportunity_Shipping_if_Needed</x:v>
      </x:c>
      <x:c r="B1946" s="117" t="str">
        <x:v>300Ro00000oEe0pIAC</x:v>
      </x:c>
      <x:c r="C1946" s="117" t="str">
        <x:v>301Ro0000140BykIAE</x:v>
      </x:c>
      <x:c r="D1946" s="118" t="n">
        <x:v>17</x:v>
      </x:c>
      <x:c r="E1946" s="117" t="str">
        <x:v>Obsolete</x:v>
      </x:c>
      <x:c r="F1946" s="117" t="str">
        <x:v>No</x:v>
      </x:c>
      <x:c r="G1946" s="117" t="str">
        <x:v>No</x:v>
      </x:c>
      <x:c r="H1946" s="117" t="str">
        <x:v>AutoLaunchedFlow</x:v>
      </x:c>
      <x:c r="I1946" s="118" t="n">
        <x:v>65</x:v>
      </x:c>
      <x:c r="J1946" s="117" t="str">
        <x:v>unmanaged</x:v>
      </x:c>
      <x:c r="K1946" s="123" t="b">
        <x:v>0</x:v>
      </x:c>
      <x:c r="L1946" s="117"/>
      <x:c r="M1946" s="118"/>
      <x:c r="N1946" s="120" t="n">
        <x:v>46136.52918981481</x:v>
      </x:c>
      <x:c r="O1946" s="117" t="str">
        <x:v>Delegate</x:v>
      </x:c>
      <x:c r="P1946" s="120" t="n">
        <x:v>46136.529340277775</x:v>
      </x:c>
      <x:c r="Q1946" s="117" t="str">
        <x:v>Delegate</x:v>
      </x:c>
      <x:c r="R1946" s="117" t="str">
        <x:v>On Update of Address | Update Opportunity Shipping if Needed</x:v>
      </x:c>
      <x:c r="S1946" s="119" t="str">
        <x:v>04/24/2026 (BW) - Updating the address population system so that it sets the shipping address if there is a site address but no shipping address</x:v>
      </x:c>
    </x:row>
    <x:row r="1947" ht="30" customHeight="1">
      <x:c r="A1947" s="117" t="str">
        <x:v>On_Update_of_Address_Update_Opportunity_Shipping_if_Needed</x:v>
      </x:c>
      <x:c r="B1947" s="117" t="str">
        <x:v>300Ro00000oEe0pIAC</x:v>
      </x:c>
      <x:c r="C1947" s="117" t="str">
        <x:v>301Ro000014AKAlIAO</x:v>
      </x:c>
      <x:c r="D1947" s="118" t="n">
        <x:v>18</x:v>
      </x:c>
      <x:c r="E1947" s="117" t="str">
        <x:v>Obsolete</x:v>
      </x:c>
      <x:c r="F1947" s="117" t="str">
        <x:v>No</x:v>
      </x:c>
      <x:c r="G1947" s="117" t="str">
        <x:v>No</x:v>
      </x:c>
      <x:c r="H1947" s="117" t="str">
        <x:v>AutoLaunchedFlow</x:v>
      </x:c>
      <x:c r="I1947" s="118" t="n">
        <x:v>65</x:v>
      </x:c>
      <x:c r="J1947" s="117" t="str">
        <x:v>unmanaged</x:v>
      </x:c>
      <x:c r="K1947" s="123" t="b">
        <x:v>0</x:v>
      </x:c>
      <x:c r="L1947" s="117"/>
      <x:c r="M1947" s="118"/>
      <x:c r="N1947" s="120" t="n">
        <x:v>46139.51621527778</x:v>
      </x:c>
      <x:c r="O1947" s="117" t="str">
        <x:v>Delegate</x:v>
      </x:c>
      <x:c r="P1947" s="120" t="n">
        <x:v>46139.516284722224</x:v>
      </x:c>
      <x:c r="Q1947" s="117" t="str">
        <x:v>Delegate</x:v>
      </x:c>
      <x:c r="R1947" s="117" t="str">
        <x:v>On Update of Address | Update Opportunity Shipping if Needed</x:v>
      </x:c>
      <x:c r="S1947" s="119" t="str">
        <x:v>04/27/2026 (BW) - Updating how the ship to account field is getting populated with the new Shipping Address Name field</x:v>
      </x:c>
    </x:row>
    <x:row r="1948" ht="30" customHeight="1">
      <x:c r="A1948" s="117" t="str">
        <x:v>On_Update_of_Address_Update_Opportunity_Shipping_if_Needed</x:v>
      </x:c>
      <x:c r="B1948" s="117" t="str">
        <x:v>300Ro00000oEe0pIAC</x:v>
      </x:c>
      <x:c r="C1948" s="117" t="str">
        <x:v>301Ro000016oG2PIAU</x:v>
      </x:c>
      <x:c r="D1948" s="118" t="n">
        <x:v>19</x:v>
      </x:c>
      <x:c r="E1948" s="117" t="str">
        <x:v>Active</x:v>
      </x:c>
      <x:c r="F1948" s="117" t="str">
        <x:v>Yes</x:v>
      </x:c>
      <x:c r="G1948" s="117" t="str">
        <x:v>Yes</x:v>
      </x:c>
      <x:c r="H1948" s="117" t="str">
        <x:v>AutoLaunchedFlow</x:v>
      </x:c>
      <x:c r="I1948" s="118" t="n">
        <x:v>65</x:v>
      </x:c>
      <x:c r="J1948" s="117" t="str">
        <x:v>unmanaged</x:v>
      </x:c>
      <x:c r="K1948" s="123" t="b">
        <x:v>0</x:v>
      </x:c>
      <x:c r="L1948" s="117"/>
      <x:c r="M1948" s="118"/>
      <x:c r="N1948" s="120" t="n">
        <x:v>46169.520208333335</x:v>
      </x:c>
      <x:c r="O1948" s="117" t="str">
        <x:v>Delegate</x:v>
      </x:c>
      <x:c r="P1948" s="120" t="n">
        <x:v>46169.62364583334</x:v>
      </x:c>
      <x:c r="Q1948" s="117" t="str">
        <x:v>Delegate</x:v>
      </x:c>
      <x:c r="R1948" s="117" t="str">
        <x:v>On Update of Address | Update Opportunity Shipping if Needed</x:v>
      </x:c>
      <x:c r="S1948" s="119" t="str">
        <x:v>05/27/2026 (BW) - Updating so that the flow doesn't error our by moving the initial update of the work order to a separate asynchronous flow.</x:v>
      </x:c>
    </x:row>
    <x:row r="1949" ht="30" customHeight="1">
      <x:c r="A1949" s="117" t="str">
        <x:v>On_Update_of_Shipping_Location_on_Work_Order_Update_Location_on_Open_Service_App</x:v>
      </x:c>
      <x:c r="B1949" s="117" t="str">
        <x:v>300Ro00000cnT4gIAE</x:v>
      </x:c>
      <x:c r="C1949" s="117" t="str">
        <x:v>301Ro00000iNPpPIAW</x:v>
      </x:c>
      <x:c r="D1949" s="118" t="n">
        <x:v>1</x:v>
      </x:c>
      <x:c r="E1949" s="117" t="str">
        <x:v>Obsolete</x:v>
      </x:c>
      <x:c r="F1949" s="117" t="str">
        <x:v>No</x:v>
      </x:c>
      <x:c r="G1949" s="117" t="str">
        <x:v>No</x:v>
      </x:c>
      <x:c r="H1949" s="117" t="str">
        <x:v>AutoLaunchedFlow</x:v>
      </x:c>
      <x:c r="I1949" s="118" t="n">
        <x:v>64</x:v>
      </x:c>
      <x:c r="J1949" s="117" t="str">
        <x:v>unmanaged</x:v>
      </x:c>
      <x:c r="K1949" s="123" t="b">
        <x:v>0</x:v>
      </x:c>
      <x:c r="L1949" s="117"/>
      <x:c r="M1949" s="118"/>
      <x:c r="N1949" s="120" t="n">
        <x:v>45882.85225694445</x:v>
      </x:c>
      <x:c r="O1949" s="117" t="str">
        <x:v>Delegate</x:v>
      </x:c>
      <x:c r="P1949" s="120" t="n">
        <x:v>45883.035266203704</x:v>
      </x:c>
      <x:c r="Q1949" s="117" t="str">
        <x:v>Delegate</x:v>
      </x:c>
      <x:c r="R1949" s="117" t="str">
        <x:v>On Update of Shipping Location on Work Order | Update Location on Open Service Appointments</x:v>
      </x:c>
      <x:c r="S1949" s="119" t="str">
        <x:v>08/05/2025 (BW) - On update of the shipping location on the work order, we are going to update the service appointment as well</x:v>
      </x:c>
    </x:row>
    <x:row r="1950" ht="30" customHeight="1">
      <x:c r="A1950" s="117" t="str">
        <x:v>On_Update_of_Shipping_Location_on_Work_Order_Update_Location_on_Open_Service_App</x:v>
      </x:c>
      <x:c r="B1950" s="117" t="str">
        <x:v>300Ro00000cnT4gIAE</x:v>
      </x:c>
      <x:c r="C1950" s="117" t="str">
        <x:v>301Ro00000jZmG1IAK</x:v>
      </x:c>
      <x:c r="D1950" s="118" t="n">
        <x:v>2</x:v>
      </x:c>
      <x:c r="E1950" s="117" t="str">
        <x:v>Obsolete</x:v>
      </x:c>
      <x:c r="F1950" s="117" t="str">
        <x:v>No</x:v>
      </x:c>
      <x:c r="G1950" s="117" t="str">
        <x:v>No</x:v>
      </x:c>
      <x:c r="H1950" s="117" t="str">
        <x:v>AutoLaunchedFlow</x:v>
      </x:c>
      <x:c r="I1950" s="118" t="n">
        <x:v>64</x:v>
      </x:c>
      <x:c r="J1950" s="117" t="str">
        <x:v>unmanaged</x:v>
      </x:c>
      <x:c r="K1950" s="123" t="b">
        <x:v>0</x:v>
      </x:c>
      <x:c r="L1950" s="117"/>
      <x:c r="M1950" s="118"/>
      <x:c r="N1950" s="120" t="n">
        <x:v>45895.78555555556</x:v>
      </x:c>
      <x:c r="O1950" s="117" t="str">
        <x:v>Delegate</x:v>
      </x:c>
      <x:c r="P1950" s="120" t="n">
        <x:v>45895.78561342593</x:v>
      </x:c>
      <x:c r="Q1950" s="117" t="str">
        <x:v>Delegate</x:v>
      </x:c>
      <x:c r="R1950" s="117" t="str">
        <x:v>On Update of Shipping Location on Work Order | Update Location on Open Service Appointments</x:v>
      </x:c>
      <x:c r="S1950" s="119" t="str">
        <x:v>08/05/2025 (BW) - On update of the shipping location on the work order, we are going to update the service appointment as well</x:v>
      </x:c>
    </x:row>
    <x:row r="1951" ht="30" customHeight="1">
      <x:c r="A1951" s="117" t="str">
        <x:v>On_Update_of_Shipping_Location_on_Work_Order_Update_Location_on_Open_Service_App</x:v>
      </x:c>
      <x:c r="B1951" s="117" t="str">
        <x:v>300Ro00000cnT4gIAE</x:v>
      </x:c>
      <x:c r="C1951" s="117" t="str">
        <x:v>301Ro00000jZTLKIA4</x:v>
      </x:c>
      <x:c r="D1951" s="118" t="n">
        <x:v>3</x:v>
      </x:c>
      <x:c r="E1951" s="117" t="str">
        <x:v>Obsolete</x:v>
      </x:c>
      <x:c r="F1951" s="117" t="str">
        <x:v>No</x:v>
      </x:c>
      <x:c r="G1951" s="117" t="str">
        <x:v>No</x:v>
      </x:c>
      <x:c r="H1951" s="117" t="str">
        <x:v>AutoLaunchedFlow</x:v>
      </x:c>
      <x:c r="I1951" s="118" t="n">
        <x:v>64</x:v>
      </x:c>
      <x:c r="J1951" s="117" t="str">
        <x:v>unmanaged</x:v>
      </x:c>
      <x:c r="K1951" s="123" t="b">
        <x:v>0</x:v>
      </x:c>
      <x:c r="L1951" s="117"/>
      <x:c r="M1951" s="118"/>
      <x:c r="N1951" s="120" t="n">
        <x:v>45895.78748842593</x:v>
      </x:c>
      <x:c r="O1951" s="117" t="str">
        <x:v>Delegate</x:v>
      </x:c>
      <x:c r="P1951" s="120" t="n">
        <x:v>45895.78753472222</x:v>
      </x:c>
      <x:c r="Q1951" s="117" t="str">
        <x:v>Delegate</x:v>
      </x:c>
      <x:c r="R1951" s="117" t="str">
        <x:v>On Update of Shipping Location on Work Order | Update Location on Open Service Appointments</x:v>
      </x:c>
      <x:c r="S1951" s="119" t="str">
        <x:v>08/05/2025 (BW) - On update of the shipping location on the work order, we are going to update the service appointment as well</x:v>
      </x:c>
    </x:row>
    <x:row r="1952" ht="30" customHeight="1">
      <x:c r="A1952" s="117" t="str">
        <x:v>On_Update_of_Shipping_Location_on_Work_Order_Update_Location_on_Open_Service_App</x:v>
      </x:c>
      <x:c r="B1952" s="117" t="str">
        <x:v>300Ro00000cnT4gIAE</x:v>
      </x:c>
      <x:c r="C1952" s="117" t="str">
        <x:v>301Ro00000lSnIuIAK</x:v>
      </x:c>
      <x:c r="D1952" s="118" t="n">
        <x:v>4</x:v>
      </x:c>
      <x:c r="E1952" s="117" t="str">
        <x:v>Draft</x:v>
      </x:c>
      <x:c r="F1952" s="117" t="str">
        <x:v>No</x:v>
      </x:c>
      <x:c r="G1952" s="117" t="str">
        <x:v>No</x:v>
      </x:c>
      <x:c r="H1952" s="117" t="str">
        <x:v>AutoLaunchedFlow</x:v>
      </x:c>
      <x:c r="I1952" s="118" t="n">
        <x:v>64</x:v>
      </x:c>
      <x:c r="J1952" s="117" t="str">
        <x:v>unmanaged</x:v>
      </x:c>
      <x:c r="K1952" s="123" t="b">
        <x:v>0</x:v>
      </x:c>
      <x:c r="L1952" s="117"/>
      <x:c r="M1952" s="118"/>
      <x:c r="N1952" s="120" t="n">
        <x:v>45909.783738425926</x:v>
      </x:c>
      <x:c r="O1952" s="117" t="str">
        <x:v>Delegate</x:v>
      </x:c>
      <x:c r="P1952" s="120" t="n">
        <x:v>45909.78376157407</x:v>
      </x:c>
      <x:c r="Q1952" s="117" t="str">
        <x:v>Delegate</x:v>
      </x:c>
      <x:c r="R1952" s="117" t="str">
        <x:v>On Update of Shipping Location on Work Order | Update Location on Open Service Appointments</x:v>
      </x:c>
      <x:c r="S1952" s="119" t="str">
        <x:v>08/05/2025 (BW) - On update of the shipping location on the work order, we are going to update the service appointment as well</x:v>
      </x:c>
    </x:row>
    <x:row r="1953" ht="30" customHeight="1">
      <x:c r="A1953" s="117" t="str">
        <x:v>On_Update_of_Shipping_Location_on_Work_Order_Update_Location_on_Open_Service_App</x:v>
      </x:c>
      <x:c r="B1953" s="117" t="str">
        <x:v>300Ro00000cnT4gIAE</x:v>
      </x:c>
      <x:c r="C1953" s="117" t="str">
        <x:v>301Ro00000lSfzmIAC</x:v>
      </x:c>
      <x:c r="D1953" s="118" t="n">
        <x:v>5</x:v>
      </x:c>
      <x:c r="E1953" s="117" t="str">
        <x:v>Obsolete</x:v>
      </x:c>
      <x:c r="F1953" s="117" t="str">
        <x:v>No</x:v>
      </x:c>
      <x:c r="G1953" s="117" t="str">
        <x:v>No</x:v>
      </x:c>
      <x:c r="H1953" s="117" t="str">
        <x:v>AutoLaunchedFlow</x:v>
      </x:c>
      <x:c r="I1953" s="118" t="n">
        <x:v>64</x:v>
      </x:c>
      <x:c r="J1953" s="117" t="str">
        <x:v>unmanaged</x:v>
      </x:c>
      <x:c r="K1953" s="123" t="b">
        <x:v>0</x:v>
      </x:c>
      <x:c r="L1953" s="117"/>
      <x:c r="M1953" s="118"/>
      <x:c r="N1953" s="120" t="n">
        <x:v>45909.78408564815</x:v>
      </x:c>
      <x:c r="O1953" s="117" t="str">
        <x:v>Delegate</x:v>
      </x:c>
      <x:c r="P1953" s="120" t="n">
        <x:v>45909.784166666665</x:v>
      </x:c>
      <x:c r="Q1953" s="117" t="str">
        <x:v>Delegate</x:v>
      </x:c>
      <x:c r="R1953" s="117" t="str">
        <x:v>On Update of Shipping Location on Work Order | Update Location on Open Service Appointments</x:v>
      </x:c>
      <x:c r="S1953" s="119" t="str">
        <x:v>08/05/2025 (BW) - On update of the shipping location on the work order, we are going to update the service appointment as well</x:v>
      </x:c>
    </x:row>
    <x:row r="1954" ht="30" customHeight="1">
      <x:c r="A1954" s="117" t="str">
        <x:v>On_Update_of_Shipping_Location_on_Work_Order_Update_Location_on_Open_Service_App</x:v>
      </x:c>
      <x:c r="B1954" s="117" t="str">
        <x:v>300Ro00000cnT4gIAE</x:v>
      </x:c>
      <x:c r="C1954" s="117" t="str">
        <x:v>301Ro00000rngh8IAA</x:v>
      </x:c>
      <x:c r="D1954" s="118" t="n">
        <x:v>6</x:v>
      </x:c>
      <x:c r="E1954" s="117" t="str">
        <x:v>Obsolete</x:v>
      </x:c>
      <x:c r="F1954" s="117" t="str">
        <x:v>No</x:v>
      </x:c>
      <x:c r="G1954" s="117" t="str">
        <x:v>No</x:v>
      </x:c>
      <x:c r="H1954" s="117" t="str">
        <x:v>AutoLaunchedFlow</x:v>
      </x:c>
      <x:c r="I1954" s="118" t="n">
        <x:v>64</x:v>
      </x:c>
      <x:c r="J1954" s="117" t="str">
        <x:v>unmanaged</x:v>
      </x:c>
      <x:c r="K1954" s="123" t="b">
        <x:v>0</x:v>
      </x:c>
      <x:c r="L1954" s="117"/>
      <x:c r="M1954" s="118"/>
      <x:c r="N1954" s="120" t="n">
        <x:v>45967.63900462963</x:v>
      </x:c>
      <x:c r="O1954" s="117" t="str">
        <x:v>Delegate</x:v>
      </x:c>
      <x:c r="P1954" s="120" t="n">
        <x:v>45967.6390625</x:v>
      </x:c>
      <x:c r="Q1954" s="117" t="str">
        <x:v>Delegate</x:v>
      </x:c>
      <x:c r="R1954" s="117" t="str">
        <x:v>On Update of Shipping Location on Work Order | Update Location on Open Service Appointments</x:v>
      </x:c>
      <x:c r="S1954" s="119" t="str">
        <x:v>11/06/2025 (BW) - This also updates the work order's shipping address now too</x:v>
      </x:c>
    </x:row>
    <x:row r="1955" ht="30" customHeight="1">
      <x:c r="A1955" s="117" t="str">
        <x:v>On_Update_of_Shipping_Location_on_Work_Order_Update_Location_on_Open_Service_App</x:v>
      </x:c>
      <x:c r="B1955" s="117" t="str">
        <x:v>300Ro00000cnT4gIAE</x:v>
      </x:c>
      <x:c r="C1955" s="117" t="str">
        <x:v>301Ro00000ufdRmIAI</x:v>
      </x:c>
      <x:c r="D1955" s="118" t="n">
        <x:v>7</x:v>
      </x:c>
      <x:c r="E1955" s="117" t="str">
        <x:v>Active</x:v>
      </x:c>
      <x:c r="F1955" s="117" t="str">
        <x:v>Yes</x:v>
      </x:c>
      <x:c r="G1955" s="117" t="str">
        <x:v>Yes</x:v>
      </x:c>
      <x:c r="H1955" s="117" t="str">
        <x:v>AutoLaunchedFlow</x:v>
      </x:c>
      <x:c r="I1955" s="118" t="n">
        <x:v>64</x:v>
      </x:c>
      <x:c r="J1955" s="117" t="str">
        <x:v>unmanaged</x:v>
      </x:c>
      <x:c r="K1955" s="123" t="b">
        <x:v>0</x:v>
      </x:c>
      <x:c r="L1955" s="117"/>
      <x:c r="M1955" s="118"/>
      <x:c r="N1955" s="120" t="n">
        <x:v>46015.56255787037</x:v>
      </x:c>
      <x:c r="O1955" s="117" t="str">
        <x:v>Delegate</x:v>
      </x:c>
      <x:c r="P1955" s="120" t="n">
        <x:v>46015.56263888889</x:v>
      </x:c>
      <x:c r="Q1955" s="117" t="str">
        <x:v>Delegate</x:v>
      </x:c>
      <x:c r="R1955" s="117" t="str">
        <x:v>On Update of Shipping Location on Work Order | Update Location on Open Service Appointments</x:v>
      </x:c>
      <x:c r="S1955" s="119" t="str">
        <x:v>12/24/2025 (BW) - Updated this version so it sets the shipping address appropriately (Zip code needs to be updated)</x:v>
      </x:c>
    </x:row>
    <x:row r="1956" ht="30" customHeight="1">
      <x:c r="A1956" s="117" t="str">
        <x:v>On_Update_Update_Checkbox_on_WOLI</x:v>
      </x:c>
      <x:c r="B1956" s="117" t="str">
        <x:v>300Ro00000cnT4fIAE</x:v>
      </x:c>
      <x:c r="C1956" s="117" t="str">
        <x:v>301Ro00000iNPpOIAW</x:v>
      </x:c>
      <x:c r="D1956" s="118" t="n">
        <x:v>1</x:v>
      </x:c>
      <x:c r="E1956" s="117" t="str">
        <x:v>Obsolete</x:v>
      </x:c>
      <x:c r="F1956" s="117" t="str">
        <x:v>No</x:v>
      </x:c>
      <x:c r="G1956" s="117" t="str">
        <x:v>Yes</x:v>
      </x:c>
      <x:c r="H1956" s="117" t="str">
        <x:v>AutoLaunchedFlow</x:v>
      </x:c>
      <x:c r="I1956" s="118" t="n">
        <x:v>64</x:v>
      </x:c>
      <x:c r="J1956" s="117" t="str">
        <x:v>unmanaged</x:v>
      </x:c>
      <x:c r="K1956" s="123" t="b">
        <x:v>0</x:v>
      </x:c>
      <x:c r="L1956" s="117"/>
      <x:c r="M1956" s="118"/>
      <x:c r="N1956" s="120" t="n">
        <x:v>45882.85224537037</x:v>
      </x:c>
      <x:c r="O1956" s="117" t="str">
        <x:v>Delegate</x:v>
      </x:c>
      <x:c r="P1956" s="120" t="n">
        <x:v>46051.63494212963</x:v>
      </x:c>
      <x:c r="Q1956" s="117" t="str">
        <x:v>Delegate</x:v>
      </x:c>
      <x:c r="R1956" s="117" t="str">
        <x:v>On Update | Update Checkbox on WOLI</x:v>
      </x:c>
      <x:c r="S1956" s="119" t="str">
        <x:v>07/21/2025 (BW) - Updating this flow so that it swaps the product on the work order line item when swapped on the product</x:v>
      </x:c>
    </x:row>
    <x:row r="1957" ht="30" customHeight="1">
      <x:c r="A1957" s="117" t="str">
        <x:v>On_US_FSL_Lead_Conversion_Bring_Work_Order_Over_to_Contact_Account_Opportunity</x:v>
      </x:c>
      <x:c r="B1957" s="117" t="str">
        <x:v>300Ro00000cnT4dIAE</x:v>
      </x:c>
      <x:c r="C1957" s="117" t="str">
        <x:v>301Ro00000iNPpMIAW</x:v>
      </x:c>
      <x:c r="D1957" s="118" t="n">
        <x:v>1</x:v>
      </x:c>
      <x:c r="E1957" s="117" t="str">
        <x:v>Obsolete</x:v>
      </x:c>
      <x:c r="F1957" s="117" t="str">
        <x:v>No</x:v>
      </x:c>
      <x:c r="G1957" s="117" t="str">
        <x:v>No</x:v>
      </x:c>
      <x:c r="H1957" s="117" t="str">
        <x:v>AutoLaunchedFlow</x:v>
      </x:c>
      <x:c r="I1957" s="118" t="n">
        <x:v>64</x:v>
      </x:c>
      <x:c r="J1957" s="117" t="str">
        <x:v>unmanaged</x:v>
      </x:c>
      <x:c r="K1957" s="123" t="b">
        <x:v>0</x:v>
      </x:c>
      <x:c r="L1957" s="117"/>
      <x:c r="M1957" s="118"/>
      <x:c r="N1957" s="120" t="n">
        <x:v>45882.85221064815</x:v>
      </x:c>
      <x:c r="O1957" s="117" t="str">
        <x:v>Delegate</x:v>
      </x:c>
      <x:c r="P1957" s="120" t="n">
        <x:v>45883.08246527778</x:v>
      </x:c>
      <x:c r="Q1957" s="117" t="str">
        <x:v>Delegate</x:v>
      </x:c>
      <x:c r="R1957" s="117" t="str">
        <x:v>On US FSL Lead Conversion | Bring Work Order Over to Contact/Account/Opportunity</x:v>
      </x:c>
      <x:c r="S1957" s="119" t="str">
        <x:v>08/05/2025 (BW) - Sets the Opportunity Number if there is one on related work orders</x:v>
      </x:c>
    </x:row>
    <x:row r="1958" ht="30" customHeight="1">
      <x:c r="A1958" s="117" t="str">
        <x:v>On_US_FSL_Lead_Conversion_Bring_Work_Order_Over_to_Contact_Account_Opportunity</x:v>
      </x:c>
      <x:c r="B1958" s="117" t="str">
        <x:v>300Ro00000cnT4dIAE</x:v>
      </x:c>
      <x:c r="C1958" s="117" t="str">
        <x:v>301Ro00000kgfx8IAA</x:v>
      </x:c>
      <x:c r="D1958" s="118" t="n">
        <x:v>2</x:v>
      </x:c>
      <x:c r="E1958" s="117" t="str">
        <x:v>Obsolete</x:v>
      </x:c>
      <x:c r="F1958" s="117" t="str">
        <x:v>No</x:v>
      </x:c>
      <x:c r="G1958" s="117" t="str">
        <x:v>No</x:v>
      </x:c>
      <x:c r="H1958" s="117" t="str">
        <x:v>AutoLaunchedFlow</x:v>
      </x:c>
      <x:c r="I1958" s="118" t="n">
        <x:v>64</x:v>
      </x:c>
      <x:c r="J1958" s="117" t="str">
        <x:v>unmanaged</x:v>
      </x:c>
      <x:c r="K1958" s="123" t="b">
        <x:v>0</x:v>
      </x:c>
      <x:c r="L1958" s="117"/>
      <x:c r="M1958" s="118"/>
      <x:c r="N1958" s="120" t="n">
        <x:v>45904.596863425926</x:v>
      </x:c>
      <x:c r="O1958" s="117" t="str">
        <x:v>Delegate</x:v>
      </x:c>
      <x:c r="P1958" s="120" t="n">
        <x:v>45904.59741898148</x:v>
      </x:c>
      <x:c r="Q1958" s="117" t="str">
        <x:v>Delegate</x:v>
      </x:c>
      <x:c r="R1958" s="117" t="str">
        <x:v>On US FSL Lead Conversion | Bring Work Order Over to Contact/Account/Opportunity</x:v>
      </x:c>
      <x:c r="S1958" s="119" t="str">
        <x:v>08/05/2025 (BW) - Sets the Opportunity Number if there is one on related work orders
09/03/2025 (KL) - Adding sales asset</x:v>
      </x:c>
    </x:row>
    <x:row r="1959" ht="30" customHeight="1">
      <x:c r="A1959" s="117" t="str">
        <x:v>On_US_FSL_Lead_Conversion_Bring_Work_Order_Over_to_Contact_Account_Opportunity</x:v>
      </x:c>
      <x:c r="B1959" s="117" t="str">
        <x:v>300Ro00000cnT4dIAE</x:v>
      </x:c>
      <x:c r="C1959" s="117" t="str">
        <x:v>301Ro00000lCOl4IAG</x:v>
      </x:c>
      <x:c r="D1959" s="118" t="n">
        <x:v>3</x:v>
      </x:c>
      <x:c r="E1959" s="117" t="str">
        <x:v>Draft</x:v>
      </x:c>
      <x:c r="F1959" s="117" t="str">
        <x:v>No</x:v>
      </x:c>
      <x:c r="G1959" s="117" t="str">
        <x:v>No</x:v>
      </x:c>
      <x:c r="H1959" s="117" t="str">
        <x:v>AutoLaunchedFlow</x:v>
      </x:c>
      <x:c r="I1959" s="118" t="n">
        <x:v>64</x:v>
      </x:c>
      <x:c r="J1959" s="117" t="str">
        <x:v>unmanaged</x:v>
      </x:c>
      <x:c r="K1959" s="123" t="b">
        <x:v>0</x:v>
      </x:c>
      <x:c r="L1959" s="117"/>
      <x:c r="M1959" s="118"/>
      <x:c r="N1959" s="120" t="n">
        <x:v>45908.727743055555</x:v>
      </x:c>
      <x:c r="O1959" s="117" t="str">
        <x:v>Delegate</x:v>
      </x:c>
      <x:c r="P1959" s="120" t="n">
        <x:v>45908.72777777778</x:v>
      </x:c>
      <x:c r="Q1959" s="117" t="str">
        <x:v>Delegate</x:v>
      </x:c>
      <x:c r="R1959" s="117" t="str">
        <x:v>On US FSL Lead Conversion | Bring Work Order Over to Contact/Account/Opportunity</x:v>
      </x:c>
      <x:c r="S1959" s="119" t="str">
        <x:v>08/05/2025 (BW) - Sets the Opportunity Number if there is one on related work orders
09/03/2025 (KL) - Adding sales asset
09/08/2025 (KL) - Adding Assigned Resource</x:v>
      </x:c>
    </x:row>
    <x:row r="1960" ht="30" customHeight="1">
      <x:c r="A1960" s="117" t="str">
        <x:v>On_US_FSL_Lead_Conversion_Bring_Work_Order_Over_to_Contact_Account_Opportunity</x:v>
      </x:c>
      <x:c r="B1960" s="117" t="str">
        <x:v>300Ro00000cnT4dIAE</x:v>
      </x:c>
      <x:c r="C1960" s="117" t="str">
        <x:v>301Ro00000n1ZqnIAE</x:v>
      </x:c>
      <x:c r="D1960" s="118" t="n">
        <x:v>4</x:v>
      </x:c>
      <x:c r="E1960" s="117" t="str">
        <x:v>Obsolete</x:v>
      </x:c>
      <x:c r="F1960" s="117" t="str">
        <x:v>No</x:v>
      </x:c>
      <x:c r="G1960" s="117" t="str">
        <x:v>No</x:v>
      </x:c>
      <x:c r="H1960" s="117" t="str">
        <x:v>AutoLaunchedFlow</x:v>
      </x:c>
      <x:c r="I1960" s="118" t="n">
        <x:v>64</x:v>
      </x:c>
      <x:c r="J1960" s="117" t="str">
        <x:v>unmanaged</x:v>
      </x:c>
      <x:c r="K1960" s="123" t="b">
        <x:v>0</x:v>
      </x:c>
      <x:c r="L1960" s="117"/>
      <x:c r="M1960" s="118"/>
      <x:c r="N1960" s="120" t="n">
        <x:v>45923.789976851855</x:v>
      </x:c>
      <x:c r="O1960" s="117" t="str">
        <x:v>Delegate</x:v>
      </x:c>
      <x:c r="P1960" s="120" t="n">
        <x:v>45923.79004629629</x:v>
      </x:c>
      <x:c r="Q1960" s="117" t="str">
        <x:v>Delegate</x:v>
      </x:c>
      <x:c r="R1960" s="117" t="str">
        <x:v>On US FSL Lead Conversion | Bring Work Order Over to Contact/Account/Opportunity</x:v>
      </x:c>
      <x:c r="S1960" s="119" t="str">
        <x:v>08/05/2025 (BW) - Sets the Opportunity Number if there is one on related work orders
09/03/2025 (KL) - Adding sales asset</x:v>
      </x:c>
    </x:row>
    <x:row r="1961" ht="30" customHeight="1">
      <x:c r="A1961" s="117" t="str">
        <x:v>On_US_FSL_Lead_Conversion_Bring_Work_Order_Over_to_Contact_Account_Opportunity</x:v>
      </x:c>
      <x:c r="B1961" s="117" t="str">
        <x:v>300Ro00000cnT4dIAE</x:v>
      </x:c>
      <x:c r="C1961" s="117" t="str">
        <x:v>301Ro00000n1y5xIAA</x:v>
      </x:c>
      <x:c r="D1961" s="118" t="n">
        <x:v>5</x:v>
      </x:c>
      <x:c r="E1961" s="117" t="str">
        <x:v>Obsolete</x:v>
      </x:c>
      <x:c r="F1961" s="117" t="str">
        <x:v>No</x:v>
      </x:c>
      <x:c r="G1961" s="117" t="str">
        <x:v>No</x:v>
      </x:c>
      <x:c r="H1961" s="117" t="str">
        <x:v>AutoLaunchedFlow</x:v>
      </x:c>
      <x:c r="I1961" s="118" t="n">
        <x:v>64</x:v>
      </x:c>
      <x:c r="J1961" s="117" t="str">
        <x:v>unmanaged</x:v>
      </x:c>
      <x:c r="K1961" s="123" t="b">
        <x:v>0</x:v>
      </x:c>
      <x:c r="L1961" s="117"/>
      <x:c r="M1961" s="118"/>
      <x:c r="N1961" s="120" t="n">
        <x:v>45923.79287037037</x:v>
      </x:c>
      <x:c r="O1961" s="117" t="str">
        <x:v>Delegate</x:v>
      </x:c>
      <x:c r="P1961" s="120" t="n">
        <x:v>45923.79292824074</x:v>
      </x:c>
      <x:c r="Q1961" s="117" t="str">
        <x:v>Delegate</x:v>
      </x:c>
      <x:c r="R1961" s="117" t="str">
        <x:v>On US FSL Lead Conversion | Bring Work Order Over to Contact/Account/Opportunity</x:v>
      </x:c>
      <x:c r="S1961" s="119" t="str">
        <x:v>08/05/2025 (BW) - Sets the Opportunity Number if there is one on related work orders
09/03/2025 (KL) - Adding sales asset</x:v>
      </x:c>
    </x:row>
    <x:row r="1962" ht="30" customHeight="1">
      <x:c r="A1962" s="117" t="str">
        <x:v>On_US_FSL_Lead_Conversion_Bring_Work_Order_Over_to_Contact_Account_Opportunity</x:v>
      </x:c>
      <x:c r="B1962" s="117" t="str">
        <x:v>300Ro00000cnT4dIAE</x:v>
      </x:c>
      <x:c r="C1962" s="117" t="str">
        <x:v>301Ro00000nDnTDIA0</x:v>
      </x:c>
      <x:c r="D1962" s="118" t="n">
        <x:v>6</x:v>
      </x:c>
      <x:c r="E1962" s="117" t="str">
        <x:v>Obsolete</x:v>
      </x:c>
      <x:c r="F1962" s="117" t="str">
        <x:v>No</x:v>
      </x:c>
      <x:c r="G1962" s="117" t="str">
        <x:v>No</x:v>
      </x:c>
      <x:c r="H1962" s="117" t="str">
        <x:v>AutoLaunchedFlow</x:v>
      </x:c>
      <x:c r="I1962" s="118" t="n">
        <x:v>64</x:v>
      </x:c>
      <x:c r="J1962" s="117" t="str">
        <x:v>unmanaged</x:v>
      </x:c>
      <x:c r="K1962" s="123" t="b">
        <x:v>0</x:v>
      </x:c>
      <x:c r="L1962" s="117"/>
      <x:c r="M1962" s="118"/>
      <x:c r="N1962" s="120" t="n">
        <x:v>45925.48829861111</x:v>
      </x:c>
      <x:c r="O1962" s="117" t="str">
        <x:v>Delegate</x:v>
      </x:c>
      <x:c r="P1962" s="120" t="n">
        <x:v>45925.488391203704</x:v>
      </x:c>
      <x:c r="Q1962" s="117" t="str">
        <x:v>Delegate</x:v>
      </x:c>
      <x:c r="R1962" s="117" t="str">
        <x:v>On US FSL Lead Conversion | Bring Work Order Over to Contact/Account/Opportunity</x:v>
      </x:c>
      <x:c r="S1962" s="119" t="str">
        <x:v>09/25/2025 (BW) - Added work order to the service appointment when the lead is converted to an opportunity</x:v>
      </x:c>
    </x:row>
    <x:row r="1963" ht="30" customHeight="1">
      <x:c r="A1963" s="117" t="str">
        <x:v>On_US_FSL_Lead_Conversion_Bring_Work_Order_Over_to_Contact_Account_Opportunity</x:v>
      </x:c>
      <x:c r="B1963" s="117" t="str">
        <x:v>300Ro00000cnT4dIAE</x:v>
      </x:c>
      <x:c r="C1963" s="117" t="str">
        <x:v>301Ro00000nDolyIAC</x:v>
      </x:c>
      <x:c r="D1963" s="118" t="n">
        <x:v>7</x:v>
      </x:c>
      <x:c r="E1963" s="117" t="str">
        <x:v>Obsolete</x:v>
      </x:c>
      <x:c r="F1963" s="117" t="str">
        <x:v>No</x:v>
      </x:c>
      <x:c r="G1963" s="117" t="str">
        <x:v>No</x:v>
      </x:c>
      <x:c r="H1963" s="117" t="str">
        <x:v>AutoLaunchedFlow</x:v>
      </x:c>
      <x:c r="I1963" s="118" t="n">
        <x:v>64</x:v>
      </x:c>
      <x:c r="J1963" s="117" t="str">
        <x:v>unmanaged</x:v>
      </x:c>
      <x:c r="K1963" s="123" t="b">
        <x:v>0</x:v>
      </x:c>
      <x:c r="L1963" s="117"/>
      <x:c r="M1963" s="118"/>
      <x:c r="N1963" s="120" t="n">
        <x:v>45925.494039351855</x:v>
      </x:c>
      <x:c r="O1963" s="117" t="str">
        <x:v>Delegate</x:v>
      </x:c>
      <x:c r="P1963" s="120" t="n">
        <x:v>45925.494097222225</x:v>
      </x:c>
      <x:c r="Q1963" s="117" t="str">
        <x:v>Delegate</x:v>
      </x:c>
      <x:c r="R1963" s="117" t="str">
        <x:v>On US FSL Lead Conversion | Bring Work Order Over to Contact/Account/Opportunity</x:v>
      </x:c>
      <x:c r="S1963" s="119" t="str">
        <x:v>09/25/2025 (BW) - Added the automatic migration of Rep, Email, Phone over to the opportunity upon conversion</x:v>
      </x:c>
    </x:row>
    <x:row r="1964" ht="30" customHeight="1">
      <x:c r="A1964" s="117" t="str">
        <x:v>On_US_FSL_Lead_Conversion_Bring_Work_Order_Over_to_Contact_Account_Opportunity</x:v>
      </x:c>
      <x:c r="B1964" s="117" t="str">
        <x:v>300Ro00000cnT4dIAE</x:v>
      </x:c>
      <x:c r="C1964" s="117" t="str">
        <x:v>301Ro00000ndgBFIAY</x:v>
      </x:c>
      <x:c r="D1964" s="118" t="n">
        <x:v>8</x:v>
      </x:c>
      <x:c r="E1964" s="117" t="str">
        <x:v>Obsolete</x:v>
      </x:c>
      <x:c r="F1964" s="117" t="str">
        <x:v>No</x:v>
      </x:c>
      <x:c r="G1964" s="117" t="str">
        <x:v>No</x:v>
      </x:c>
      <x:c r="H1964" s="117" t="str">
        <x:v>AutoLaunchedFlow</x:v>
      </x:c>
      <x:c r="I1964" s="118" t="n">
        <x:v>64</x:v>
      </x:c>
      <x:c r="J1964" s="117" t="str">
        <x:v>unmanaged</x:v>
      </x:c>
      <x:c r="K1964" s="123" t="b">
        <x:v>0</x:v>
      </x:c>
      <x:c r="L1964" s="117"/>
      <x:c r="M1964" s="118"/>
      <x:c r="N1964" s="120" t="n">
        <x:v>45929.64037037037</x:v>
      </x:c>
      <x:c r="O1964" s="117" t="str">
        <x:v>Delegate</x:v>
      </x:c>
      <x:c r="P1964" s="120" t="n">
        <x:v>45929.64047453704</x:v>
      </x:c>
      <x:c r="Q1964" s="117" t="str">
        <x:v>Delegate</x:v>
      </x:c>
      <x:c r="R1964" s="117" t="str">
        <x:v>On US FSL Lead Conversion | Bring Work Order Over to Contact/Account/Opportunity</x:v>
      </x:c>
      <x:c r="S1964" s="119" t="str">
        <x:v>09/29/2025 (BW) - Removes the error upon conversion if it's not following the FSL Motion</x:v>
      </x:c>
    </x:row>
    <x:row r="1965" ht="30" customHeight="1">
      <x:c r="A1965" s="117" t="str">
        <x:v>On_US_FSL_Lead_Conversion_Bring_Work_Order_Over_to_Contact_Account_Opportunity</x:v>
      </x:c>
      <x:c r="B1965" s="117" t="str">
        <x:v>300Ro00000cnT4dIAE</x:v>
      </x:c>
      <x:c r="C1965" s="117" t="str">
        <x:v>301Ro00000ndJ5KIAU</x:v>
      </x:c>
      <x:c r="D1965" s="118" t="n">
        <x:v>9</x:v>
      </x:c>
      <x:c r="E1965" s="117" t="str">
        <x:v>Obsolete</x:v>
      </x:c>
      <x:c r="F1965" s="117" t="str">
        <x:v>No</x:v>
      </x:c>
      <x:c r="G1965" s="117" t="str">
        <x:v>No</x:v>
      </x:c>
      <x:c r="H1965" s="117" t="str">
        <x:v>AutoLaunchedFlow</x:v>
      </x:c>
      <x:c r="I1965" s="118" t="n">
        <x:v>64</x:v>
      </x:c>
      <x:c r="J1965" s="117" t="str">
        <x:v>unmanaged</x:v>
      </x:c>
      <x:c r="K1965" s="123" t="b">
        <x:v>0</x:v>
      </x:c>
      <x:c r="L1965" s="117"/>
      <x:c r="M1965" s="118"/>
      <x:c r="N1965" s="120" t="n">
        <x:v>45929.643472222226</x:v>
      </x:c>
      <x:c r="O1965" s="117" t="str">
        <x:v>Delegate</x:v>
      </x:c>
      <x:c r="P1965" s="120" t="n">
        <x:v>45929.64355324074</x:v>
      </x:c>
      <x:c r="Q1965" s="117" t="str">
        <x:v>Delegate</x:v>
      </x:c>
      <x:c r="R1965" s="117" t="str">
        <x:v>On US FSL Lead Conversion | Bring Work Order Over to Contact/Account/Opportunity</x:v>
      </x:c>
      <x:c r="S1965" s="119" t="str">
        <x:v>09/29/2025 (BW) - Removes the error upon conversion if it's not following the FSL Motion</x:v>
      </x:c>
    </x:row>
    <x:row r="1966" ht="30" customHeight="1">
      <x:c r="A1966" s="117" t="str">
        <x:v>On_US_FSL_Lead_Conversion_Bring_Work_Order_Over_to_Contact_Account_Opportunity</x:v>
      </x:c>
      <x:c r="B1966" s="117" t="str">
        <x:v>300Ro00000cnT4dIAE</x:v>
      </x:c>
      <x:c r="C1966" s="117" t="str">
        <x:v>301Ro00000owOJmIAM</x:v>
      </x:c>
      <x:c r="D1966" s="118" t="n">
        <x:v>10</x:v>
      </x:c>
      <x:c r="E1966" s="117" t="str">
        <x:v>Obsolete</x:v>
      </x:c>
      <x:c r="F1966" s="117" t="str">
        <x:v>No</x:v>
      </x:c>
      <x:c r="G1966" s="117" t="str">
        <x:v>No</x:v>
      </x:c>
      <x:c r="H1966" s="117" t="str">
        <x:v>AutoLaunchedFlow</x:v>
      </x:c>
      <x:c r="I1966" s="118" t="n">
        <x:v>64</x:v>
      </x:c>
      <x:c r="J1966" s="117" t="str">
        <x:v>unmanaged</x:v>
      </x:c>
      <x:c r="K1966" s="123" t="b">
        <x:v>0</x:v>
      </x:c>
      <x:c r="L1966" s="117"/>
      <x:c r="M1966" s="118"/>
      <x:c r="N1966" s="120" t="n">
        <x:v>45937.56621527778</x:v>
      </x:c>
      <x:c r="O1966" s="117" t="str">
        <x:v>Delegate</x:v>
      </x:c>
      <x:c r="P1966" s="120" t="n">
        <x:v>45937.56648148148</x:v>
      </x:c>
      <x:c r="Q1966" s="117" t="str">
        <x:v>Delegate</x:v>
      </x:c>
      <x:c r="R1966" s="117" t="str">
        <x:v>On US FSL Lead Conversion | Bring Work Order Over to Contact/Account/Opportunity</x:v>
      </x:c>
      <x:c r="S1966" s="119" t="str">
        <x:v>10/07/2025 (BW) - Updated this FSL Conversion so that it grabs the service contract if there is one.</x:v>
      </x:c>
    </x:row>
    <x:row r="1967" ht="30" customHeight="1">
      <x:c r="A1967" s="117" t="str">
        <x:v>On_US_FSL_Lead_Conversion_Bring_Work_Order_Over_to_Contact_Account_Opportunity</x:v>
      </x:c>
      <x:c r="B1967" s="117" t="str">
        <x:v>300Ro00000cnT4dIAE</x:v>
      </x:c>
      <x:c r="C1967" s="117" t="str">
        <x:v>301Ro00000oydBNIAY</x:v>
      </x:c>
      <x:c r="D1967" s="118" t="n">
        <x:v>11</x:v>
      </x:c>
      <x:c r="E1967" s="117" t="str">
        <x:v>Obsolete</x:v>
      </x:c>
      <x:c r="F1967" s="117" t="str">
        <x:v>No</x:v>
      </x:c>
      <x:c r="G1967" s="117" t="str">
        <x:v>No</x:v>
      </x:c>
      <x:c r="H1967" s="117" t="str">
        <x:v>AutoLaunchedFlow</x:v>
      </x:c>
      <x:c r="I1967" s="118" t="n">
        <x:v>64</x:v>
      </x:c>
      <x:c r="J1967" s="117" t="str">
        <x:v>unmanaged</x:v>
      </x:c>
      <x:c r="K1967" s="123" t="b">
        <x:v>0</x:v>
      </x:c>
      <x:c r="L1967" s="117"/>
      <x:c r="M1967" s="118"/>
      <x:c r="N1967" s="120" t="n">
        <x:v>45937.84396990741</x:v>
      </x:c>
      <x:c r="O1967" s="117" t="str">
        <x:v>Delegate</x:v>
      </x:c>
      <x:c r="P1967" s="120" t="n">
        <x:v>45937.85172453704</x:v>
      </x:c>
      <x:c r="Q1967" s="117" t="str">
        <x:v>Delegate</x:v>
      </x:c>
      <x:c r="R1967" s="117" t="str">
        <x:v>On US FSL Lead Conversion | Bring Work Order Over to Contact/Account/Opportunity</x:v>
      </x:c>
      <x:c r="S1967" s="119" t="str">
        <x:v>10/07/2025 (BW) - Updated this FSL Conversion so that it grabs the service contract if there is one.</x:v>
      </x:c>
    </x:row>
    <x:row r="1968" ht="30" customHeight="1">
      <x:c r="A1968" s="117" t="str">
        <x:v>On_US_FSL_Lead_Conversion_Bring_Work_Order_Over_to_Contact_Account_Opportunity</x:v>
      </x:c>
      <x:c r="B1968" s="117" t="str">
        <x:v>300Ro00000cnT4dIAE</x:v>
      </x:c>
      <x:c r="C1968" s="117" t="str">
        <x:v>301Ro00000pcEMMIA2</x:v>
      </x:c>
      <x:c r="D1968" s="118" t="n">
        <x:v>12</x:v>
      </x:c>
      <x:c r="E1968" s="117" t="str">
        <x:v>Draft</x:v>
      </x:c>
      <x:c r="F1968" s="117" t="str">
        <x:v>No</x:v>
      </x:c>
      <x:c r="G1968" s="117" t="str">
        <x:v>No</x:v>
      </x:c>
      <x:c r="H1968" s="117" t="str">
        <x:v>AutoLaunchedFlow</x:v>
      </x:c>
      <x:c r="I1968" s="118" t="n">
        <x:v>64</x:v>
      </x:c>
      <x:c r="J1968" s="117" t="str">
        <x:v>unmanaged</x:v>
      </x:c>
      <x:c r="K1968" s="123" t="b">
        <x:v>0</x:v>
      </x:c>
      <x:c r="L1968" s="117"/>
      <x:c r="M1968" s="118"/>
      <x:c r="N1968" s="120" t="n">
        <x:v>45947.513194444444</x:v>
      </x:c>
      <x:c r="O1968" s="117" t="str">
        <x:v>Delegate</x:v>
      </x:c>
      <x:c r="P1968" s="120" t="n">
        <x:v>45947.51321759259</x:v>
      </x:c>
      <x:c r="Q1968" s="117" t="str">
        <x:v>Delegate</x:v>
      </x:c>
      <x:c r="R1968" s="117" t="str">
        <x:v>On US FSL Lead Conversion | Bring Work Order Over to Contact/Account/Opportunity</x:v>
      </x:c>
      <x:c r="S1968" s="119" t="str">
        <x:v>10/17/2025 (BW) - Updated so that the conversion sets the Shipping Address as well upon conversion</x:v>
      </x:c>
    </x:row>
    <x:row r="1969" ht="30" customHeight="1">
      <x:c r="A1969" s="117" t="str">
        <x:v>On_US_FSL_Lead_Conversion_Bring_Work_Order_Over_to_Contact_Account_Opportunity</x:v>
      </x:c>
      <x:c r="B1969" s="117" t="str">
        <x:v>300Ro00000cnT4dIAE</x:v>
      </x:c>
      <x:c r="C1969" s="117" t="str">
        <x:v>301Ro00000uQUTgIAO</x:v>
      </x:c>
      <x:c r="D1969" s="118" t="n">
        <x:v>13</x:v>
      </x:c>
      <x:c r="E1969" s="117" t="str">
        <x:v>Obsolete</x:v>
      </x:c>
      <x:c r="F1969" s="117" t="str">
        <x:v>No</x:v>
      </x:c>
      <x:c r="G1969" s="117" t="str">
        <x:v>No</x:v>
      </x:c>
      <x:c r="H1969" s="117" t="str">
        <x:v>AutoLaunchedFlow</x:v>
      </x:c>
      <x:c r="I1969" s="118" t="n">
        <x:v>64</x:v>
      </x:c>
      <x:c r="J1969" s="117" t="str">
        <x:v>unmanaged</x:v>
      </x:c>
      <x:c r="K1969" s="123" t="b">
        <x:v>0</x:v>
      </x:c>
      <x:c r="L1969" s="117"/>
      <x:c r="M1969" s="118"/>
      <x:c r="N1969" s="120" t="n">
        <x:v>46010.63579861111</x:v>
      </x:c>
      <x:c r="O1969" s="117" t="str">
        <x:v>Delegate</x:v>
      </x:c>
      <x:c r="P1969" s="120" t="n">
        <x:v>46010.63599537037</x:v>
      </x:c>
      <x:c r="Q1969" s="117" t="str">
        <x:v>Delegate</x:v>
      </x:c>
      <x:c r="R1969" s="117" t="str">
        <x:v>On Opportunity Creation, Grab Work Order Line Items</x:v>
      </x:c>
      <x:c r="S1969" s="119" t="str">
        <x:v>12/19/2025 (BW) - On creation of the work order's opportunity, this grabs the work order line items and creates opportunity line items for them</x:v>
      </x:c>
    </x:row>
    <x:row r="1970" ht="30" customHeight="1">
      <x:c r="A1970" s="117" t="str">
        <x:v>On_US_FSL_Lead_Conversion_Bring_Work_Order_Over_to_Contact_Account_Opportunity</x:v>
      </x:c>
      <x:c r="B1970" s="117" t="str">
        <x:v>300Ro00000cnT4dIAE</x:v>
      </x:c>
      <x:c r="C1970" s="117" t="str">
        <x:v>301Ro00000vCw4EIAS</x:v>
      </x:c>
      <x:c r="D1970" s="118" t="n">
        <x:v>14</x:v>
      </x:c>
      <x:c r="E1970" s="117" t="str">
        <x:v>Obsolete</x:v>
      </x:c>
      <x:c r="F1970" s="117" t="str">
        <x:v>No</x:v>
      </x:c>
      <x:c r="G1970" s="117" t="str">
        <x:v>No</x:v>
      </x:c>
      <x:c r="H1970" s="117" t="str">
        <x:v>AutoLaunchedFlow</x:v>
      </x:c>
      <x:c r="I1970" s="118" t="n">
        <x:v>64</x:v>
      </x:c>
      <x:c r="J1970" s="117" t="str">
        <x:v>unmanaged</x:v>
      </x:c>
      <x:c r="K1970" s="123" t="b">
        <x:v>0</x:v>
      </x:c>
      <x:c r="L1970" s="117"/>
      <x:c r="M1970" s="118"/>
      <x:c r="N1970" s="120" t="n">
        <x:v>46028.5808912037</x:v>
      </x:c>
      <x:c r="O1970" s="117" t="str">
        <x:v>Delegate</x:v>
      </x:c>
      <x:c r="P1970" s="120" t="n">
        <x:v>46028.58173611111</x:v>
      </x:c>
      <x:c r="Q1970" s="117" t="str">
        <x:v>Delegate</x:v>
      </x:c>
      <x:c r="R1970" s="117" t="str">
        <x:v>On Opportunity Creation, Grab Work Order Line Items</x:v>
      </x:c>
      <x:c r="S1970" s="119" t="str">
        <x:v>01/06/2026 (BW) - Update the fields that map over to the creation of the Opportunity Line Item</x:v>
      </x:c>
    </x:row>
    <x:row r="1971" ht="30" customHeight="1">
      <x:c r="A1971" s="117" t="str">
        <x:v>On_US_FSL_Lead_Conversion_Bring_Work_Order_Over_to_Contact_Account_Opportunity</x:v>
      </x:c>
      <x:c r="B1971" s="117" t="str">
        <x:v>300Ro00000cnT4dIAE</x:v>
      </x:c>
      <x:c r="C1971" s="117" t="str">
        <x:v>301Ro00000vF7bZIAS</x:v>
      </x:c>
      <x:c r="D1971" s="118" t="n">
        <x:v>15</x:v>
      </x:c>
      <x:c r="E1971" s="117" t="str">
        <x:v>Draft</x:v>
      </x:c>
      <x:c r="F1971" s="117" t="str">
        <x:v>No</x:v>
      </x:c>
      <x:c r="G1971" s="117" t="str">
        <x:v>No</x:v>
      </x:c>
      <x:c r="H1971" s="117" t="str">
        <x:v>AutoLaunchedFlow</x:v>
      </x:c>
      <x:c r="I1971" s="118" t="n">
        <x:v>64</x:v>
      </x:c>
      <x:c r="J1971" s="117" t="str">
        <x:v>unmanaged</x:v>
      </x:c>
      <x:c r="K1971" s="123" t="b">
        <x:v>0</x:v>
      </x:c>
      <x:c r="L1971" s="117"/>
      <x:c r="M1971" s="118"/>
      <x:c r="N1971" s="120" t="n">
        <x:v>46028.96549768518</x:v>
      </x:c>
      <x:c r="O1971" s="117" t="str">
        <x:v>Delegate</x:v>
      </x:c>
      <x:c r="P1971" s="120" t="n">
        <x:v>46028.965532407405</x:v>
      </x:c>
      <x:c r="Q1971" s="117" t="str">
        <x:v>Delegate</x:v>
      </x:c>
      <x:c r="R1971" s="117" t="str">
        <x:v>On Opportunity Creation, Grab Work Order Line Items</x:v>
      </x:c>
      <x:c r="S1971" s="119" t="str">
        <x:v>01/06/2026 (BW) - Excluding Probe Repair Opportunities from this system</x:v>
      </x:c>
    </x:row>
    <x:row r="1972" ht="30" customHeight="1">
      <x:c r="A1972" s="117" t="str">
        <x:v>On_US_FSL_Lead_Conversion_Bring_Work_Order_Over_to_Contact_Account_Opportunity</x:v>
      </x:c>
      <x:c r="B1972" s="117" t="str">
        <x:v>300Ro00000cnT4dIAE</x:v>
      </x:c>
      <x:c r="C1972" s="117" t="str">
        <x:v>301Ro00000vg0sPIAQ</x:v>
      </x:c>
      <x:c r="D1972" s="118" t="n">
        <x:v>16</x:v>
      </x:c>
      <x:c r="E1972" s="117" t="str">
        <x:v>Obsolete</x:v>
      </x:c>
      <x:c r="F1972" s="117" t="str">
        <x:v>No</x:v>
      </x:c>
      <x:c r="G1972" s="117" t="str">
        <x:v>No</x:v>
      </x:c>
      <x:c r="H1972" s="117" t="str">
        <x:v>AutoLaunchedFlow</x:v>
      </x:c>
      <x:c r="I1972" s="118" t="n">
        <x:v>64</x:v>
      </x:c>
      <x:c r="J1972" s="117" t="str">
        <x:v>unmanaged</x:v>
      </x:c>
      <x:c r="K1972" s="123" t="b">
        <x:v>0</x:v>
      </x:c>
      <x:c r="L1972" s="117"/>
      <x:c r="M1972" s="118"/>
      <x:c r="N1972" s="120" t="n">
        <x:v>46036.036215277774</x:v>
      </x:c>
      <x:c r="O1972" s="117" t="str">
        <x:v>Delegate</x:v>
      </x:c>
      <x:c r="P1972" s="120" t="n">
        <x:v>46041.66153935185</x:v>
      </x:c>
      <x:c r="Q1972" s="117" t="str">
        <x:v>Delegate</x:v>
      </x:c>
      <x:c r="R1972" s="117" t="str">
        <x:v>On Opportunity Creation, Grab Work Order Line Items</x:v>
      </x:c>
      <x:c r="S1972" s="119" t="str">
        <x:v>01/06/2026 (BW) - Update the fields that map over to the creation of the Opportunity Line Item</x:v>
      </x:c>
    </x:row>
    <x:row r="1973" ht="30" customHeight="1">
      <x:c r="A1973" s="117" t="str">
        <x:v>On_US_FSL_Lead_Conversion_Bring_Work_Order_Over_to_Contact_Account_Opportunity</x:v>
      </x:c>
      <x:c r="B1973" s="117" t="str">
        <x:v>300Ro00000cnT4dIAE</x:v>
      </x:c>
      <x:c r="C1973" s="117" t="str">
        <x:v>301Ro00000wiSk5IAE</x:v>
      </x:c>
      <x:c r="D1973" s="118" t="n">
        <x:v>17</x:v>
      </x:c>
      <x:c r="E1973" s="117" t="str">
        <x:v>Obsolete</x:v>
      </x:c>
      <x:c r="F1973" s="117" t="str">
        <x:v>No</x:v>
      </x:c>
      <x:c r="G1973" s="117" t="str">
        <x:v>No</x:v>
      </x:c>
      <x:c r="H1973" s="117" t="str">
        <x:v>AutoLaunchedFlow</x:v>
      </x:c>
      <x:c r="I1973" s="118" t="n">
        <x:v>64</x:v>
      </x:c>
      <x:c r="J1973" s="117" t="str">
        <x:v>unmanaged</x:v>
      </x:c>
      <x:c r="K1973" s="123" t="b">
        <x:v>0</x:v>
      </x:c>
      <x:c r="L1973" s="117"/>
      <x:c r="M1973" s="118"/>
      <x:c r="N1973" s="120" t="n">
        <x:v>46049.542650462965</x:v>
      </x:c>
      <x:c r="O1973" s="117" t="str">
        <x:v>Delegate</x:v>
      </x:c>
      <x:c r="P1973" s="120" t="n">
        <x:v>46049.56835648148</x:v>
      </x:c>
      <x:c r="Q1973" s="117" t="str">
        <x:v>Delegate</x:v>
      </x:c>
      <x:c r="R1973" s="117" t="str">
        <x:v>On Opportunity Creation, Grab Work Order Line Items</x:v>
      </x:c>
      <x:c r="S1973" s="119" t="str">
        <x:v>01/27/2026 (BW) - Update Pricebook ID on Work Order when Opportunity Created</x:v>
      </x:c>
    </x:row>
    <x:row r="1974" ht="30" customHeight="1">
      <x:c r="A1974" s="117" t="str">
        <x:v>On_US_FSL_Lead_Conversion_Bring_Work_Order_Over_to_Contact_Account_Opportunity</x:v>
      </x:c>
      <x:c r="B1974" s="117" t="str">
        <x:v>300Ro00000cnT4dIAE</x:v>
      </x:c>
      <x:c r="C1974" s="117" t="str">
        <x:v>301Ro00000wwAcFIAU</x:v>
      </x:c>
      <x:c r="D1974" s="118" t="n">
        <x:v>18</x:v>
      </x:c>
      <x:c r="E1974" s="117" t="str">
        <x:v>Obsolete</x:v>
      </x:c>
      <x:c r="F1974" s="117" t="str">
        <x:v>No</x:v>
      </x:c>
      <x:c r="G1974" s="117" t="str">
        <x:v>No</x:v>
      </x:c>
      <x:c r="H1974" s="117" t="str">
        <x:v>AutoLaunchedFlow</x:v>
      </x:c>
      <x:c r="I1974" s="118" t="n">
        <x:v>64</x:v>
      </x:c>
      <x:c r="J1974" s="117" t="str">
        <x:v>unmanaged</x:v>
      </x:c>
      <x:c r="K1974" s="123" t="b">
        <x:v>0</x:v>
      </x:c>
      <x:c r="L1974" s="117"/>
      <x:c r="M1974" s="118"/>
      <x:c r="N1974" s="120" t="n">
        <x:v>46051.60091435185</x:v>
      </x:c>
      <x:c r="O1974" s="117" t="str">
        <x:v>Delegate</x:v>
      </x:c>
      <x:c r="P1974" s="120" t="n">
        <x:v>46051.601006944446</x:v>
      </x:c>
      <x:c r="Q1974" s="117" t="str">
        <x:v>Delegate</x:v>
      </x:c>
      <x:c r="R1974" s="117" t="str">
        <x:v>On Opportunity Creation, Grab Work Order Line Items</x:v>
      </x:c>
      <x:c r="S1974" s="119" t="str">
        <x:v>01/28/2026 (BW) - Adding Labor and Travel to be brought over to the opportunity upon creation</x:v>
      </x:c>
    </x:row>
    <x:row r="1975" ht="30" customHeight="1">
      <x:c r="A1975" s="117" t="str">
        <x:v>On_US_FSL_Lead_Conversion_Bring_Work_Order_Over_to_Contact_Account_Opportunity</x:v>
      </x:c>
      <x:c r="B1975" s="117" t="str">
        <x:v>300Ro00000cnT4dIAE</x:v>
      </x:c>
      <x:c r="C1975" s="117" t="str">
        <x:v>301Ro00000wwWsXIAU</x:v>
      </x:c>
      <x:c r="D1975" s="118" t="n">
        <x:v>19</x:v>
      </x:c>
      <x:c r="E1975" s="117" t="str">
        <x:v>Obsolete</x:v>
      </x:c>
      <x:c r="F1975" s="117" t="str">
        <x:v>No</x:v>
      </x:c>
      <x:c r="G1975" s="117" t="str">
        <x:v>No</x:v>
      </x:c>
      <x:c r="H1975" s="117" t="str">
        <x:v>AutoLaunchedFlow</x:v>
      </x:c>
      <x:c r="I1975" s="118" t="n">
        <x:v>64</x:v>
      </x:c>
      <x:c r="J1975" s="117" t="str">
        <x:v>unmanaged</x:v>
      </x:c>
      <x:c r="K1975" s="123" t="b">
        <x:v>0</x:v>
      </x:c>
      <x:c r="L1975" s="117"/>
      <x:c r="M1975" s="118"/>
      <x:c r="N1975" s="120" t="n">
        <x:v>46051.60737268518</x:v>
      </x:c>
      <x:c r="O1975" s="117" t="str">
        <x:v>Delegate</x:v>
      </x:c>
      <x:c r="P1975" s="120" t="n">
        <x:v>46051.607453703706</x:v>
      </x:c>
      <x:c r="Q1975" s="117" t="str">
        <x:v>Delegate</x:v>
      </x:c>
      <x:c r="R1975" s="117" t="str">
        <x:v>On Opportunity Creation, Grab Work Order Line Items</x:v>
      </x:c>
      <x:c r="S1975" s="119" t="str">
        <x:v>01/29/2026 (BW) - Updating pricing and quantity information, along with the actual asset</x:v>
      </x:c>
    </x:row>
    <x:row r="1976" ht="30" customHeight="1">
      <x:c r="A1976" s="117" t="str">
        <x:v>On_US_FSL_Lead_Conversion_Bring_Work_Order_Over_to_Contact_Account_Opportunity</x:v>
      </x:c>
      <x:c r="B1976" s="117" t="str">
        <x:v>300Ro00000cnT4dIAE</x:v>
      </x:c>
      <x:c r="C1976" s="117" t="str">
        <x:v>301Ro00000zEmclIAC</x:v>
      </x:c>
      <x:c r="D1976" s="118" t="n">
        <x:v>20</x:v>
      </x:c>
      <x:c r="E1976" s="117" t="str">
        <x:v>Obsolete</x:v>
      </x:c>
      <x:c r="F1976" s="117" t="str">
        <x:v>No</x:v>
      </x:c>
      <x:c r="G1976" s="117" t="str">
        <x:v>No</x:v>
      </x:c>
      <x:c r="H1976" s="117" t="str">
        <x:v>AutoLaunchedFlow</x:v>
      </x:c>
      <x:c r="I1976" s="118" t="n">
        <x:v>64</x:v>
      </x:c>
      <x:c r="J1976" s="117" t="str">
        <x:v>unmanaged</x:v>
      </x:c>
      <x:c r="K1976" s="123" t="b">
        <x:v>0</x:v>
      </x:c>
      <x:c r="L1976" s="117"/>
      <x:c r="M1976" s="118"/>
      <x:c r="N1976" s="120" t="n">
        <x:v>46078.90258101852</x:v>
      </x:c>
      <x:c r="O1976" s="117" t="str">
        <x:v>Delegate</x:v>
      </x:c>
      <x:c r="P1976" s="120" t="n">
        <x:v>46078.902974537035</x:v>
      </x:c>
      <x:c r="Q1976" s="117" t="str">
        <x:v>Delegate</x:v>
      </x:c>
      <x:c r="R1976" s="117" t="str">
        <x:v>On Opportunity Creation, Grab Work Order Line Items</x:v>
      </x:c>
      <x:c r="S1976" s="119" t="str">
        <x:v>02/25/2026 (BW) - Updating the back-tracing so that this links appropriately</x:v>
      </x:c>
    </x:row>
    <x:row r="1977" ht="30" customHeight="1">
      <x:c r="A1977" s="117" t="str">
        <x:v>On_US_FSL_Lead_Conversion_Bring_Work_Order_Over_to_Contact_Account_Opportunity</x:v>
      </x:c>
      <x:c r="B1977" s="117" t="str">
        <x:v>300Ro00000cnT4dIAE</x:v>
      </x:c>
      <x:c r="C1977" s="117" t="str">
        <x:v>301Ro00000zHm5DIAS</x:v>
      </x:c>
      <x:c r="D1977" s="118" t="n">
        <x:v>21</x:v>
      </x:c>
      <x:c r="E1977" s="117" t="str">
        <x:v>Obsolete</x:v>
      </x:c>
      <x:c r="F1977" s="117" t="str">
        <x:v>No</x:v>
      </x:c>
      <x:c r="G1977" s="117" t="str">
        <x:v>No</x:v>
      </x:c>
      <x:c r="H1977" s="117" t="str">
        <x:v>AutoLaunchedFlow</x:v>
      </x:c>
      <x:c r="I1977" s="118" t="n">
        <x:v>64</x:v>
      </x:c>
      <x:c r="J1977" s="117" t="str">
        <x:v>unmanaged</x:v>
      </x:c>
      <x:c r="K1977" s="123" t="b">
        <x:v>0</x:v>
      </x:c>
      <x:c r="L1977" s="117"/>
      <x:c r="M1977" s="118"/>
      <x:c r="N1977" s="120" t="n">
        <x:v>46079.577685185184</x:v>
      </x:c>
      <x:c r="O1977" s="117" t="str">
        <x:v>Delegate</x:v>
      </x:c>
      <x:c r="P1977" s="120" t="n">
        <x:v>46079.57798611111</x:v>
      </x:c>
      <x:c r="Q1977" s="117" t="str">
        <x:v>Delegate</x:v>
      </x:c>
      <x:c r="R1977" s="117" t="str">
        <x:v>On Opportunity Creation, Grab Work Order Line Items</x:v>
      </x:c>
      <x:c r="S1977" s="119" t="str">
        <x:v>02/25/2026 (BW) - Updating the back-tracing so that this links appropriately</x:v>
      </x:c>
    </x:row>
    <x:row r="1978" ht="30" customHeight="1">
      <x:c r="A1978" s="117" t="str">
        <x:v>On_US_FSL_Lead_Conversion_Bring_Work_Order_Over_to_Contact_Account_Opportunity</x:v>
      </x:c>
      <x:c r="B1978" s="117" t="str">
        <x:v>300Ro00000cnT4dIAE</x:v>
      </x:c>
      <x:c r="C1978" s="117" t="str">
        <x:v>301Ro000015e9J3IAI</x:v>
      </x:c>
      <x:c r="D1978" s="118" t="n">
        <x:v>22</x:v>
      </x:c>
      <x:c r="E1978" s="117" t="str">
        <x:v>Active</x:v>
      </x:c>
      <x:c r="F1978" s="117" t="str">
        <x:v>Yes</x:v>
      </x:c>
      <x:c r="G1978" s="117" t="str">
        <x:v>Yes</x:v>
      </x:c>
      <x:c r="H1978" s="117" t="str">
        <x:v>AutoLaunchedFlow</x:v>
      </x:c>
      <x:c r="I1978" s="118" t="n">
        <x:v>64</x:v>
      </x:c>
      <x:c r="J1978" s="117" t="str">
        <x:v>unmanaged</x:v>
      </x:c>
      <x:c r="K1978" s="123" t="b">
        <x:v>0</x:v>
      </x:c>
      <x:c r="L1978" s="117"/>
      <x:c r="M1978" s="118"/>
      <x:c r="N1978" s="120" t="n">
        <x:v>46156.57792824074</x:v>
      </x:c>
      <x:c r="O1978" s="117" t="str">
        <x:v>Delegate</x:v>
      </x:c>
      <x:c r="P1978" s="120" t="n">
        <x:v>46156.578043981484</x:v>
      </x:c>
      <x:c r="Q1978" s="117" t="str">
        <x:v>Delegate</x:v>
      </x:c>
      <x:c r="R1978" s="117" t="str">
        <x:v>On Opportunity Creation, Grab Work Order Line Items</x:v>
      </x:c>
      <x:c r="S1978" s="119" t="str">
        <x:v>05/14/2026 (BW) - Updating so that it pulls all parts to move over</x:v>
      </x:c>
    </x:row>
    <x:row r="1979" ht="30" customHeight="1">
      <x:c r="A1979" s="117" t="str">
        <x:v>On_Vendor_Sourcing_Update_Update_Purchasing_Opportunity_on_Service_Appointment</x:v>
      </x:c>
      <x:c r="B1979" s="117" t="str">
        <x:v>300Ro00000iqyyLIAQ</x:v>
      </x:c>
      <x:c r="C1979" s="117" t="str">
        <x:v>301Ro00000ptiT0IAI</x:v>
      </x:c>
      <x:c r="D1979" s="118" t="n">
        <x:v>1</x:v>
      </x:c>
      <x:c r="E1979" s="117" t="str">
        <x:v>Active</x:v>
      </x:c>
      <x:c r="F1979" s="117" t="str">
        <x:v>Yes</x:v>
      </x:c>
      <x:c r="G1979" s="117" t="str">
        <x:v>Yes</x:v>
      </x:c>
      <x:c r="H1979" s="117" t="str">
        <x:v>AutoLaunchedFlow</x:v>
      </x:c>
      <x:c r="I1979" s="118" t="n">
        <x:v>65</x:v>
      </x:c>
      <x:c r="J1979" s="117" t="str">
        <x:v>unmanaged</x:v>
      </x:c>
      <x:c r="K1979" s="123" t="b">
        <x:v>0</x:v>
      </x:c>
      <x:c r="L1979" s="117"/>
      <x:c r="M1979" s="118"/>
      <x:c r="N1979" s="120" t="n">
        <x:v>45951.75947916666</x:v>
      </x:c>
      <x:c r="O1979" s="117" t="str">
        <x:v>Delegate</x:v>
      </x:c>
      <x:c r="P1979" s="120" t="n">
        <x:v>45951.75983796296</x:v>
      </x:c>
      <x:c r="Q1979" s="117" t="str">
        <x:v>Delegate</x:v>
      </x:c>
      <x:c r="R1979" s="117" t="str">
        <x:v>On Vendor Sourcing Update | Update Purchasing Opportunity on Service Appointment</x:v>
      </x:c>
      <x:c r="S1979" s="119" t="str">
        <x:v>10/21/2025 (BW) - Updates the purchasing opportunity on the service appointment when the Vendor Sourcing gets a purchasing opportunity</x:v>
      </x:c>
    </x:row>
    <x:row r="1980" ht="30" customHeight="1">
      <x:c r="A1980" s="117" t="str">
        <x:v>On_Work_Order_Creation_Set_Chatter_Follow</x:v>
      </x:c>
      <x:c r="B1980" s="117" t="str">
        <x:v>300Ro00000cnT4oIAE</x:v>
      </x:c>
      <x:c r="C1980" s="117" t="str">
        <x:v>301Ro00000iNPpXIAW</x:v>
      </x:c>
      <x:c r="D1980" s="118" t="n">
        <x:v>1</x:v>
      </x:c>
      <x:c r="E1980" s="117" t="str">
        <x:v>Obsolete</x:v>
      </x:c>
      <x:c r="F1980" s="117" t="str">
        <x:v>No</x:v>
      </x:c>
      <x:c r="G1980" s="117" t="str">
        <x:v>Yes</x:v>
      </x:c>
      <x:c r="H1980" s="117" t="str">
        <x:v>AutoLaunchedFlow</x:v>
      </x:c>
      <x:c r="I1980" s="118" t="n">
        <x:v>64</x:v>
      </x:c>
      <x:c r="J1980" s="117" t="str">
        <x:v>unmanaged</x:v>
      </x:c>
      <x:c r="K1980" s="123" t="b">
        <x:v>0</x:v>
      </x:c>
      <x:c r="L1980" s="117"/>
      <x:c r="M1980" s="118"/>
      <x:c r="N1980" s="120" t="n">
        <x:v>45882.852326388886</x:v>
      </x:c>
      <x:c r="O1980" s="117" t="str">
        <x:v>Delegate</x:v>
      </x:c>
      <x:c r="P1980" s="120" t="n">
        <x:v>45945.59307870371</x:v>
      </x:c>
      <x:c r="Q1980" s="117" t="str">
        <x:v>Delegate</x:v>
      </x:c>
      <x:c r="R1980" s="117" t="str">
        <x:v>On Work Order Creation | Set Chatter Follow</x:v>
      </x:c>
      <x:c r="S1980" s="119" t="str">
        <x:v>08/29/2025 (BW) - Sets the individual to follow the work order when they create it</x:v>
      </x:c>
    </x:row>
    <x:row r="1981" ht="30" customHeight="1">
      <x:c r="A1981" s="117" t="str">
        <x:v>On_Work_Order_Line_Item_Edit_Update_Unit_Price_Quantity</x:v>
      </x:c>
      <x:c r="B1981" s="117" t="str">
        <x:v>300Ro00000pTM4dIAG</x:v>
      </x:c>
      <x:c r="C1981" s="117" t="str">
        <x:v>301Ro00000wxVw4IAE</x:v>
      </x:c>
      <x:c r="D1981" s="118" t="n">
        <x:v>1</x:v>
      </x:c>
      <x:c r="E1981" s="117" t="str">
        <x:v>Obsolete</x:v>
      </x:c>
      <x:c r="F1981" s="117" t="str">
        <x:v>No</x:v>
      </x:c>
      <x:c r="G1981" s="117" t="str">
        <x:v>No</x:v>
      </x:c>
      <x:c r="H1981" s="117" t="str">
        <x:v>AutoLaunchedFlow</x:v>
      </x:c>
      <x:c r="I1981" s="118" t="n">
        <x:v>65</x:v>
      </x:c>
      <x:c r="J1981" s="117" t="str">
        <x:v>unmanaged</x:v>
      </x:c>
      <x:c r="K1981" s="123" t="b">
        <x:v>0</x:v>
      </x:c>
      <x:c r="L1981" s="117"/>
      <x:c r="M1981" s="118"/>
      <x:c r="N1981" s="120" t="n">
        <x:v>46051.7353125</x:v>
      </x:c>
      <x:c r="O1981" s="117" t="str">
        <x:v>Delegate</x:v>
      </x:c>
      <x:c r="P1981" s="120" t="n">
        <x:v>46051.743796296294</x:v>
      </x:c>
      <x:c r="Q1981" s="117" t="str">
        <x:v>Delegate</x:v>
      </x:c>
      <x:c r="R1981" s="117" t="str">
        <x:v>On Work Order Line Item Edit | Update Unit Price &amp; Quantity</x:v>
      </x:c>
      <x:c r="S1981" s="119" t="str">
        <x:v>01/29/2026 (BW) - When Unit Price and Quantity are changed on a work order line item, reciprocate the update on the opportunity product</x:v>
      </x:c>
    </x:row>
    <x:row r="1982" ht="30" customHeight="1">
      <x:c r="A1982" s="117" t="str">
        <x:v>On_Work_Order_Line_Item_Edit_Update_Unit_Price_Quantity</x:v>
      </x:c>
      <x:c r="B1982" s="117" t="str">
        <x:v>300Ro00000pTM4dIAG</x:v>
      </x:c>
      <x:c r="C1982" s="117" t="str">
        <x:v>301Ro00000x2OKlIAM</x:v>
      </x:c>
      <x:c r="D1982" s="118" t="n">
        <x:v>2</x:v>
      </x:c>
      <x:c r="E1982" s="117" t="str">
        <x:v>Obsolete</x:v>
      </x:c>
      <x:c r="F1982" s="117" t="str">
        <x:v>No</x:v>
      </x:c>
      <x:c r="G1982" s="117" t="str">
        <x:v>Yes</x:v>
      </x:c>
      <x:c r="H1982" s="117" t="str">
        <x:v>AutoLaunchedFlow</x:v>
      </x:c>
      <x:c r="I1982" s="118" t="n">
        <x:v>65</x:v>
      </x:c>
      <x:c r="J1982" s="117" t="str">
        <x:v>unmanaged</x:v>
      </x:c>
      <x:c r="K1982" s="123" t="b">
        <x:v>0</x:v>
      </x:c>
      <x:c r="L1982" s="117"/>
      <x:c r="M1982" s="118"/>
      <x:c r="N1982" s="120" t="n">
        <x:v>46052.52605324074</x:v>
      </x:c>
      <x:c r="O1982" s="117" t="str">
        <x:v>Delegate</x:v>
      </x:c>
      <x:c r="P1982" s="120" t="n">
        <x:v>46078.87085648148</x:v>
      </x:c>
      <x:c r="Q1982" s="117" t="str">
        <x:v>Delegate</x:v>
      </x:c>
      <x:c r="R1982" s="117" t="str">
        <x:v>On Work Order Line Item Edit | Update Unit Price &amp; Quantity</x:v>
      </x:c>
      <x:c r="S1982" s="119" t="str">
        <x:v>01/29/2026 (BW) - When Unit Price and Quantity are changed on a work order line item, reciprocate the update on the opportunity product</x:v>
      </x:c>
    </x:row>
    <x:row r="1983" ht="30" customHeight="1">
      <x:c r="A1983" s="117" t="str">
        <x:v>Operations_Sheet_Screen_Flow</x:v>
      </x:c>
      <x:c r="B1983" s="117" t="str">
        <x:v>3005b00000113mFAAQ</x:v>
      </x:c>
      <x:c r="C1983" s="117" t="str">
        <x:v>3015b0000011N6NAAU</x:v>
      </x:c>
      <x:c r="D1983" s="118" t="n">
        <x:v>1</x:v>
      </x:c>
      <x:c r="E1983" s="117" t="str">
        <x:v>Obsolete</x:v>
      </x:c>
      <x:c r="F1983" s="117" t="str">
        <x:v>No</x:v>
      </x:c>
      <x:c r="G1983" s="117" t="str">
        <x:v>No</x:v>
      </x:c>
      <x:c r="H1983" s="117" t="str">
        <x:v>Flow</x:v>
      </x:c>
      <x:c r="I1983" s="118" t="n">
        <x:v>54</x:v>
      </x:c>
      <x:c r="J1983" s="117" t="str">
        <x:v>unmanaged</x:v>
      </x:c>
      <x:c r="K1983" s="123" t="b">
        <x:v>0</x:v>
      </x:c>
      <x:c r="L1983" s="117"/>
      <x:c r="M1983" s="118"/>
      <x:c r="N1983" s="120" t="n">
        <x:v>45301.3747337963</x:v>
      </x:c>
      <x:c r="O1983" s="117" t="str">
        <x:v>Jon Kean</x:v>
      </x:c>
      <x:c r="P1983" s="120" t="n">
        <x:v>45302.34239583334</x:v>
      </x:c>
      <x:c r="Q1983" s="117" t="str">
        <x:v>Jon Kean</x:v>
      </x:c>
      <x:c r="R1983" s="117" t="str">
        <x:v>Operations Sheet Screen Flow</x:v>
      </x:c>
      <x:c r="S1983" s="119"/>
    </x:row>
    <x:row r="1984" ht="30" customHeight="1">
      <x:c r="A1984" s="117" t="str">
        <x:v>Operations_Sheet_Screen_Flow</x:v>
      </x:c>
      <x:c r="B1984" s="117" t="str">
        <x:v>3005b00000113mFAAQ</x:v>
      </x:c>
      <x:c r="C1984" s="117" t="str">
        <x:v>3015b0000011N7GAAU</x:v>
      </x:c>
      <x:c r="D1984" s="118" t="n">
        <x:v>2</x:v>
      </x:c>
      <x:c r="E1984" s="117" t="str">
        <x:v>Obsolete</x:v>
      </x:c>
      <x:c r="F1984" s="117" t="str">
        <x:v>No</x:v>
      </x:c>
      <x:c r="G1984" s="117" t="str">
        <x:v>No</x:v>
      </x:c>
      <x:c r="H1984" s="117" t="str">
        <x:v>Flow</x:v>
      </x:c>
      <x:c r="I1984" s="118" t="n">
        <x:v>54</x:v>
      </x:c>
      <x:c r="J1984" s="117" t="str">
        <x:v>unmanaged</x:v>
      </x:c>
      <x:c r="K1984" s="123" t="b">
        <x:v>0</x:v>
      </x:c>
      <x:c r="L1984" s="117"/>
      <x:c r="M1984" s="118"/>
      <x:c r="N1984" s="120" t="n">
        <x:v>45302.42165509259</x:v>
      </x:c>
      <x:c r="O1984" s="117" t="str">
        <x:v>Jon Kean</x:v>
      </x:c>
      <x:c r="P1984" s="120" t="n">
        <x:v>45302.42171296296</x:v>
      </x:c>
      <x:c r="Q1984" s="117" t="str">
        <x:v>Jon Kean</x:v>
      </x:c>
      <x:c r="R1984" s="117" t="str">
        <x:v>Operations Sheet Screen Flow</x:v>
      </x:c>
      <x:c r="S1984" s="119"/>
    </x:row>
    <x:row r="1985" ht="30" customHeight="1">
      <x:c r="A1985" s="117" t="str">
        <x:v>Operations_Sheet_Screen_Flow</x:v>
      </x:c>
      <x:c r="B1985" s="117" t="str">
        <x:v>3005b00000113mFAAQ</x:v>
      </x:c>
      <x:c r="C1985" s="117" t="str">
        <x:v>3015b0000011N7LAAU</x:v>
      </x:c>
      <x:c r="D1985" s="118" t="n">
        <x:v>3</x:v>
      </x:c>
      <x:c r="E1985" s="117" t="str">
        <x:v>Obsolete</x:v>
      </x:c>
      <x:c r="F1985" s="117" t="str">
        <x:v>No</x:v>
      </x:c>
      <x:c r="G1985" s="117" t="str">
        <x:v>No</x:v>
      </x:c>
      <x:c r="H1985" s="117" t="str">
        <x:v>Flow</x:v>
      </x:c>
      <x:c r="I1985" s="118" t="n">
        <x:v>54</x:v>
      </x:c>
      <x:c r="J1985" s="117" t="str">
        <x:v>unmanaged</x:v>
      </x:c>
      <x:c r="K1985" s="123" t="b">
        <x:v>0</x:v>
      </x:c>
      <x:c r="L1985" s="117"/>
      <x:c r="M1985" s="118"/>
      <x:c r="N1985" s="120" t="n">
        <x:v>45302.42277777778</x:v>
      </x:c>
      <x:c r="O1985" s="117" t="str">
        <x:v>Jon Kean</x:v>
      </x:c>
      <x:c r="P1985" s="120" t="n">
        <x:v>45302.42282407408</x:v>
      </x:c>
      <x:c r="Q1985" s="117" t="str">
        <x:v>Jon Kean</x:v>
      </x:c>
      <x:c r="R1985" s="117" t="str">
        <x:v>Operations Sheet Screen Flow</x:v>
      </x:c>
      <x:c r="S1985" s="119"/>
    </x:row>
    <x:row r="1986" ht="30" customHeight="1">
      <x:c r="A1986" s="117" t="str">
        <x:v>Operations_Sheet_Screen_Flow</x:v>
      </x:c>
      <x:c r="B1986" s="117" t="str">
        <x:v>3005b00000113mFAAQ</x:v>
      </x:c>
      <x:c r="C1986" s="117" t="str">
        <x:v>3015b0000011N7QAAU</x:v>
      </x:c>
      <x:c r="D1986" s="118" t="n">
        <x:v>4</x:v>
      </x:c>
      <x:c r="E1986" s="117" t="str">
        <x:v>Obsolete</x:v>
      </x:c>
      <x:c r="F1986" s="117" t="str">
        <x:v>No</x:v>
      </x:c>
      <x:c r="G1986" s="117" t="str">
        <x:v>No</x:v>
      </x:c>
      <x:c r="H1986" s="117" t="str">
        <x:v>Flow</x:v>
      </x:c>
      <x:c r="I1986" s="118" t="n">
        <x:v>54</x:v>
      </x:c>
      <x:c r="J1986" s="117" t="str">
        <x:v>unmanaged</x:v>
      </x:c>
      <x:c r="K1986" s="123" t="b">
        <x:v>0</x:v>
      </x:c>
      <x:c r="L1986" s="117"/>
      <x:c r="M1986" s="118"/>
      <x:c r="N1986" s="120" t="n">
        <x:v>45302.434270833335</x:v>
      </x:c>
      <x:c r="O1986" s="117" t="str">
        <x:v>Jon Kean</x:v>
      </x:c>
      <x:c r="P1986" s="120" t="n">
        <x:v>45302.43431712963</x:v>
      </x:c>
      <x:c r="Q1986" s="117" t="str">
        <x:v>Jon Kean</x:v>
      </x:c>
      <x:c r="R1986" s="117" t="str">
        <x:v>Operations Sheet Screen Flow</x:v>
      </x:c>
      <x:c r="S1986" s="119"/>
    </x:row>
    <x:row r="1987" ht="30" customHeight="1">
      <x:c r="A1987" s="117" t="str">
        <x:v>Operations_Sheet_Screen_Flow</x:v>
      </x:c>
      <x:c r="B1987" s="117" t="str">
        <x:v>3005b00000113mFAAQ</x:v>
      </x:c>
      <x:c r="C1987" s="117" t="str">
        <x:v>3015b0000011N7aAAE</x:v>
      </x:c>
      <x:c r="D1987" s="118" t="n">
        <x:v>5</x:v>
      </x:c>
      <x:c r="E1987" s="117" t="str">
        <x:v>Draft</x:v>
      </x:c>
      <x:c r="F1987" s="117" t="str">
        <x:v>No</x:v>
      </x:c>
      <x:c r="G1987" s="117" t="str">
        <x:v>No</x:v>
      </x:c>
      <x:c r="H1987" s="117" t="str">
        <x:v>Flow</x:v>
      </x:c>
      <x:c r="I1987" s="118" t="n">
        <x:v>54</x:v>
      </x:c>
      <x:c r="J1987" s="117" t="str">
        <x:v>unmanaged</x:v>
      </x:c>
      <x:c r="K1987" s="123" t="b">
        <x:v>0</x:v>
      </x:c>
      <x:c r="L1987" s="117"/>
      <x:c r="M1987" s="118"/>
      <x:c r="N1987" s="120" t="n">
        <x:v>45302.51420138889</x:v>
      </x:c>
      <x:c r="O1987" s="117" t="str">
        <x:v>Jon Kean</x:v>
      </x:c>
      <x:c r="P1987" s="120" t="n">
        <x:v>45302.51421296296</x:v>
      </x:c>
      <x:c r="Q1987" s="117" t="str">
        <x:v>Jon Kean</x:v>
      </x:c>
      <x:c r="R1987" s="117" t="str">
        <x:v>Operations Sheet Screen Flow</x:v>
      </x:c>
      <x:c r="S1987" s="119"/>
    </x:row>
    <x:row r="1988" ht="30" customHeight="1">
      <x:c r="A1988" s="117" t="str">
        <x:v>Operations_Sheet_Screen_Flow</x:v>
      </x:c>
      <x:c r="B1988" s="117" t="str">
        <x:v>3005b00000113mFAAQ</x:v>
      </x:c>
      <x:c r="C1988" s="117" t="str">
        <x:v>3015b0000011N9HAAU</x:v>
      </x:c>
      <x:c r="D1988" s="118" t="n">
        <x:v>6</x:v>
      </x:c>
      <x:c r="E1988" s="117" t="str">
        <x:v>Obsolete</x:v>
      </x:c>
      <x:c r="F1988" s="117" t="str">
        <x:v>No</x:v>
      </x:c>
      <x:c r="G1988" s="117" t="str">
        <x:v>No</x:v>
      </x:c>
      <x:c r="H1988" s="117" t="str">
        <x:v>Flow</x:v>
      </x:c>
      <x:c r="I1988" s="118" t="n">
        <x:v>54</x:v>
      </x:c>
      <x:c r="J1988" s="117" t="str">
        <x:v>unmanaged</x:v>
      </x:c>
      <x:c r="K1988" s="123" t="b">
        <x:v>0</x:v>
      </x:c>
      <x:c r="L1988" s="117"/>
      <x:c r="M1988" s="118"/>
      <x:c r="N1988" s="120" t="n">
        <x:v>45303.3953587963</x:v>
      </x:c>
      <x:c r="O1988" s="117" t="str">
        <x:v>Jon Kean</x:v>
      </x:c>
      <x:c r="P1988" s="120" t="n">
        <x:v>45303.39540509259</x:v>
      </x:c>
      <x:c r="Q1988" s="117" t="str">
        <x:v>Jon Kean</x:v>
      </x:c>
      <x:c r="R1988" s="117" t="str">
        <x:v>Operations Sheet Screen Flow</x:v>
      </x:c>
      <x:c r="S1988" s="119"/>
    </x:row>
    <x:row r="1989" ht="30" customHeight="1">
      <x:c r="A1989" s="117" t="str">
        <x:v>Operations_Sheet_Screen_Flow</x:v>
      </x:c>
      <x:c r="B1989" s="117" t="str">
        <x:v>3005b00000113mFAAQ</x:v>
      </x:c>
      <x:c r="C1989" s="117" t="str">
        <x:v>3015b0000011N9WAAU</x:v>
      </x:c>
      <x:c r="D1989" s="118" t="n">
        <x:v>7</x:v>
      </x:c>
      <x:c r="E1989" s="117" t="str">
        <x:v>Obsolete</x:v>
      </x:c>
      <x:c r="F1989" s="117" t="str">
        <x:v>No</x:v>
      </x:c>
      <x:c r="G1989" s="117" t="str">
        <x:v>No</x:v>
      </x:c>
      <x:c r="H1989" s="117" t="str">
        <x:v>Flow</x:v>
      </x:c>
      <x:c r="I1989" s="118" t="n">
        <x:v>54</x:v>
      </x:c>
      <x:c r="J1989" s="117" t="str">
        <x:v>unmanaged</x:v>
      </x:c>
      <x:c r="K1989" s="123" t="b">
        <x:v>0</x:v>
      </x:c>
      <x:c r="L1989" s="117"/>
      <x:c r="M1989" s="118"/>
      <x:c r="N1989" s="120" t="n">
        <x:v>45303.437789351854</x:v>
      </x:c>
      <x:c r="O1989" s="117" t="str">
        <x:v>Jon Kean</x:v>
      </x:c>
      <x:c r="P1989" s="120" t="n">
        <x:v>45303.43782407408</x:v>
      </x:c>
      <x:c r="Q1989" s="117" t="str">
        <x:v>Jon Kean</x:v>
      </x:c>
      <x:c r="R1989" s="117" t="str">
        <x:v>Operations Sheet Screen Flow</x:v>
      </x:c>
      <x:c r="S1989" s="119"/>
    </x:row>
    <x:row r="1990" ht="30" customHeight="1">
      <x:c r="A1990" s="117" t="str">
        <x:v>Operations_Sheet_Screen_Flow</x:v>
      </x:c>
      <x:c r="B1990" s="117" t="str">
        <x:v>3005b00000113mFAAQ</x:v>
      </x:c>
      <x:c r="C1990" s="117" t="str">
        <x:v>3015b0000011N9gAAE</x:v>
      </x:c>
      <x:c r="D1990" s="118" t="n">
        <x:v>8</x:v>
      </x:c>
      <x:c r="E1990" s="117" t="str">
        <x:v>Obsolete</x:v>
      </x:c>
      <x:c r="F1990" s="117" t="str">
        <x:v>No</x:v>
      </x:c>
      <x:c r="G1990" s="117" t="str">
        <x:v>No</x:v>
      </x:c>
      <x:c r="H1990" s="117" t="str">
        <x:v>Flow</x:v>
      </x:c>
      <x:c r="I1990" s="118" t="n">
        <x:v>54</x:v>
      </x:c>
      <x:c r="J1990" s="117" t="str">
        <x:v>unmanaged</x:v>
      </x:c>
      <x:c r="K1990" s="123" t="b">
        <x:v>0</x:v>
      </x:c>
      <x:c r="L1990" s="117"/>
      <x:c r="M1990" s="118"/>
      <x:c r="N1990" s="120" t="n">
        <x:v>45303.606261574074</x:v>
      </x:c>
      <x:c r="O1990" s="117" t="str">
        <x:v>Jon Kean</x:v>
      </x:c>
      <x:c r="P1990" s="120" t="n">
        <x:v>45303.60642361111</x:v>
      </x:c>
      <x:c r="Q1990" s="117" t="str">
        <x:v>Jon Kean</x:v>
      </x:c>
      <x:c r="R1990" s="117" t="str">
        <x:v>Operations Sheet Screen Flow</x:v>
      </x:c>
      <x:c r="S1990" s="119"/>
    </x:row>
    <x:row r="1991" ht="30" customHeight="1">
      <x:c r="A1991" s="117" t="str">
        <x:v>Operations_Sheet_Screen_Flow</x:v>
      </x:c>
      <x:c r="B1991" s="117" t="str">
        <x:v>3005b00000113mFAAQ</x:v>
      </x:c>
      <x:c r="C1991" s="117" t="str">
        <x:v>3015b0000011N9lAAE</x:v>
      </x:c>
      <x:c r="D1991" s="118" t="n">
        <x:v>9</x:v>
      </x:c>
      <x:c r="E1991" s="117" t="str">
        <x:v>Obsolete</x:v>
      </x:c>
      <x:c r="F1991" s="117" t="str">
        <x:v>No</x:v>
      </x:c>
      <x:c r="G1991" s="117" t="str">
        <x:v>No</x:v>
      </x:c>
      <x:c r="H1991" s="117" t="str">
        <x:v>Flow</x:v>
      </x:c>
      <x:c r="I1991" s="118" t="n">
        <x:v>54</x:v>
      </x:c>
      <x:c r="J1991" s="117" t="str">
        <x:v>unmanaged</x:v>
      </x:c>
      <x:c r="K1991" s="123" t="b">
        <x:v>0</x:v>
      </x:c>
      <x:c r="L1991" s="117" t="str">
        <x:v>SystemModeWithoutSharing</x:v>
      </x:c>
      <x:c r="M1991" s="118"/>
      <x:c r="N1991" s="120" t="n">
        <x:v>45303.60636574074</x:v>
      </x:c>
      <x:c r="O1991" s="117" t="str">
        <x:v>Jon Kean</x:v>
      </x:c>
      <x:c r="P1991" s="120" t="n">
        <x:v>45303.60638888889</x:v>
      </x:c>
      <x:c r="Q1991" s="117" t="str">
        <x:v>Jon Kean</x:v>
      </x:c>
      <x:c r="R1991" s="117" t="str">
        <x:v>Operations Sheet Screen Flow</x:v>
      </x:c>
      <x:c r="S1991" s="119"/>
    </x:row>
    <x:row r="1992" ht="30" customHeight="1">
      <x:c r="A1992" s="117" t="str">
        <x:v>Operations_Sheet_Screen_Flow</x:v>
      </x:c>
      <x:c r="B1992" s="117" t="str">
        <x:v>3005b00000113mFAAQ</x:v>
      </x:c>
      <x:c r="C1992" s="117" t="str">
        <x:v>3015b0000011N9qAAE</x:v>
      </x:c>
      <x:c r="D1992" s="118" t="n">
        <x:v>10</x:v>
      </x:c>
      <x:c r="E1992" s="117" t="str">
        <x:v>Obsolete</x:v>
      </x:c>
      <x:c r="F1992" s="117" t="str">
        <x:v>No</x:v>
      </x:c>
      <x:c r="G1992" s="117" t="str">
        <x:v>No</x:v>
      </x:c>
      <x:c r="H1992" s="117" t="str">
        <x:v>Flow</x:v>
      </x:c>
      <x:c r="I1992" s="118" t="n">
        <x:v>54</x:v>
      </x:c>
      <x:c r="J1992" s="117" t="str">
        <x:v>unmanaged</x:v>
      </x:c>
      <x:c r="K1992" s="123" t="b">
        <x:v>0</x:v>
      </x:c>
      <x:c r="L1992" s="117"/>
      <x:c r="M1992" s="118"/>
      <x:c r="N1992" s="120" t="n">
        <x:v>45303.69001157407</x:v>
      </x:c>
      <x:c r="O1992" s="117" t="str">
        <x:v>Jon Kean</x:v>
      </x:c>
      <x:c r="P1992" s="120" t="n">
        <x:v>45303.69005787037</x:v>
      </x:c>
      <x:c r="Q1992" s="117" t="str">
        <x:v>Jon Kean</x:v>
      </x:c>
      <x:c r="R1992" s="117" t="str">
        <x:v>Operations Sheet Screen Flow</x:v>
      </x:c>
      <x:c r="S1992" s="119"/>
    </x:row>
    <x:row r="1993" ht="30" customHeight="1">
      <x:c r="A1993" s="117" t="str">
        <x:v>Operations_Sheet_Screen_Flow</x:v>
      </x:c>
      <x:c r="B1993" s="117" t="str">
        <x:v>3005b00000113mFAAQ</x:v>
      </x:c>
      <x:c r="C1993" s="117" t="str">
        <x:v>3015b0000011N9vAAE</x:v>
      </x:c>
      <x:c r="D1993" s="118" t="n">
        <x:v>11</x:v>
      </x:c>
      <x:c r="E1993" s="117" t="str">
        <x:v>Obsolete</x:v>
      </x:c>
      <x:c r="F1993" s="117" t="str">
        <x:v>No</x:v>
      </x:c>
      <x:c r="G1993" s="117" t="str">
        <x:v>No</x:v>
      </x:c>
      <x:c r="H1993" s="117" t="str">
        <x:v>Flow</x:v>
      </x:c>
      <x:c r="I1993" s="118" t="n">
        <x:v>54</x:v>
      </x:c>
      <x:c r="J1993" s="117" t="str">
        <x:v>unmanaged</x:v>
      </x:c>
      <x:c r="K1993" s="123" t="b">
        <x:v>0</x:v>
      </x:c>
      <x:c r="L1993" s="117"/>
      <x:c r="M1993" s="118"/>
      <x:c r="N1993" s="120" t="n">
        <x:v>45303.690833333334</x:v>
      </x:c>
      <x:c r="O1993" s="117" t="str">
        <x:v>Jon Kean</x:v>
      </x:c>
      <x:c r="P1993" s="120" t="n">
        <x:v>45303.69086805556</x:v>
      </x:c>
      <x:c r="Q1993" s="117" t="str">
        <x:v>Jon Kean</x:v>
      </x:c>
      <x:c r="R1993" s="117" t="str">
        <x:v>Operations Sheet Screen Flow</x:v>
      </x:c>
      <x:c r="S1993" s="119"/>
    </x:row>
    <x:row r="1994" ht="30" customHeight="1">
      <x:c r="A1994" s="117" t="str">
        <x:v>Operations_Sheet_Screen_Flow</x:v>
      </x:c>
      <x:c r="B1994" s="117" t="str">
        <x:v>3005b00000113mFAAQ</x:v>
      </x:c>
      <x:c r="C1994" s="117" t="str">
        <x:v>3015b0000011NA0AAM</x:v>
      </x:c>
      <x:c r="D1994" s="118" t="n">
        <x:v>12</x:v>
      </x:c>
      <x:c r="E1994" s="117" t="str">
        <x:v>Obsolete</x:v>
      </x:c>
      <x:c r="F1994" s="117" t="str">
        <x:v>No</x:v>
      </x:c>
      <x:c r="G1994" s="117" t="str">
        <x:v>No</x:v>
      </x:c>
      <x:c r="H1994" s="117" t="str">
        <x:v>Flow</x:v>
      </x:c>
      <x:c r="I1994" s="118" t="n">
        <x:v>54</x:v>
      </x:c>
      <x:c r="J1994" s="117" t="str">
        <x:v>unmanaged</x:v>
      </x:c>
      <x:c r="K1994" s="123" t="b">
        <x:v>0</x:v>
      </x:c>
      <x:c r="L1994" s="117"/>
      <x:c r="M1994" s="118"/>
      <x:c r="N1994" s="120" t="n">
        <x:v>45303.694652777776</x:v>
      </x:c>
      <x:c r="O1994" s="117" t="str">
        <x:v>Jon Kean</x:v>
      </x:c>
      <x:c r="P1994" s="120" t="n">
        <x:v>45303.69474537037</x:v>
      </x:c>
      <x:c r="Q1994" s="117" t="str">
        <x:v>Jon Kean</x:v>
      </x:c>
      <x:c r="R1994" s="117" t="str">
        <x:v>Operations Sheet Screen Flow</x:v>
      </x:c>
      <x:c r="S1994" s="119"/>
    </x:row>
    <x:row r="1995" ht="30" customHeight="1">
      <x:c r="A1995" s="117" t="str">
        <x:v>Operations_Sheet_Screen_Flow</x:v>
      </x:c>
      <x:c r="B1995" s="117" t="str">
        <x:v>3005b00000113mFAAQ</x:v>
      </x:c>
      <x:c r="C1995" s="117" t="str">
        <x:v>3015b0000011NCuAAM</x:v>
      </x:c>
      <x:c r="D1995" s="118" t="n">
        <x:v>13</x:v>
      </x:c>
      <x:c r="E1995" s="117" t="str">
        <x:v>Obsolete</x:v>
      </x:c>
      <x:c r="F1995" s="117" t="str">
        <x:v>No</x:v>
      </x:c>
      <x:c r="G1995" s="117" t="str">
        <x:v>No</x:v>
      </x:c>
      <x:c r="H1995" s="117" t="str">
        <x:v>Flow</x:v>
      </x:c>
      <x:c r="I1995" s="118" t="n">
        <x:v>54</x:v>
      </x:c>
      <x:c r="J1995" s="117" t="str">
        <x:v>unmanaged</x:v>
      </x:c>
      <x:c r="K1995" s="123" t="b">
        <x:v>0</x:v>
      </x:c>
      <x:c r="L1995" s="117"/>
      <x:c r="M1995" s="118"/>
      <x:c r="N1995" s="120" t="n">
        <x:v>45307.45662037037</x:v>
      </x:c>
      <x:c r="O1995" s="117" t="str">
        <x:v>Jon Kean</x:v>
      </x:c>
      <x:c r="P1995" s="120" t="n">
        <x:v>45307.456666666665</x:v>
      </x:c>
      <x:c r="Q1995" s="117" t="str">
        <x:v>Jon Kean</x:v>
      </x:c>
      <x:c r="R1995" s="117" t="str">
        <x:v>Operations Sheet Screen Flow</x:v>
      </x:c>
      <x:c r="S1995" s="119"/>
    </x:row>
    <x:row r="1996" ht="30" customHeight="1">
      <x:c r="A1996" s="117" t="str">
        <x:v>Operations_Sheet_Screen_Flow</x:v>
      </x:c>
      <x:c r="B1996" s="117" t="str">
        <x:v>3005b00000113mFAAQ</x:v>
      </x:c>
      <x:c r="C1996" s="117" t="str">
        <x:v>3015b0000011NCvAAM</x:v>
      </x:c>
      <x:c r="D1996" s="118" t="n">
        <x:v>14</x:v>
      </x:c>
      <x:c r="E1996" s="117" t="str">
        <x:v>Obsolete</x:v>
      </x:c>
      <x:c r="F1996" s="117" t="str">
        <x:v>No</x:v>
      </x:c>
      <x:c r="G1996" s="117" t="str">
        <x:v>No</x:v>
      </x:c>
      <x:c r="H1996" s="117" t="str">
        <x:v>Flow</x:v>
      </x:c>
      <x:c r="I1996" s="118" t="n">
        <x:v>54</x:v>
      </x:c>
      <x:c r="J1996" s="117" t="str">
        <x:v>unmanaged</x:v>
      </x:c>
      <x:c r="K1996" s="123" t="b">
        <x:v>0</x:v>
      </x:c>
      <x:c r="L1996" s="117"/>
      <x:c r="M1996" s="118"/>
      <x:c r="N1996" s="120" t="n">
        <x:v>45307.45778935185</x:v>
      </x:c>
      <x:c r="O1996" s="117" t="str">
        <x:v>Jon Kean</x:v>
      </x:c>
      <x:c r="P1996" s="120" t="n">
        <x:v>45307.457824074074</x:v>
      </x:c>
      <x:c r="Q1996" s="117" t="str">
        <x:v>Jon Kean</x:v>
      </x:c>
      <x:c r="R1996" s="117" t="str">
        <x:v>Operations Sheet Screen Flow</x:v>
      </x:c>
      <x:c r="S1996" s="119"/>
    </x:row>
    <x:row r="1997" ht="30" customHeight="1">
      <x:c r="A1997" s="117" t="str">
        <x:v>Operations_Sheet_Screen_Flow</x:v>
      </x:c>
      <x:c r="B1997" s="117" t="str">
        <x:v>3005b00000113mFAAQ</x:v>
      </x:c>
      <x:c r="C1997" s="117" t="str">
        <x:v>301Ro00000AqbvVIAR</x:v>
      </x:c>
      <x:c r="D1997" s="118" t="n">
        <x:v>15</x:v>
      </x:c>
      <x:c r="E1997" s="117" t="str">
        <x:v>Active</x:v>
      </x:c>
      <x:c r="F1997" s="117" t="str">
        <x:v>Yes</x:v>
      </x:c>
      <x:c r="G1997" s="117" t="str">
        <x:v>Yes</x:v>
      </x:c>
      <x:c r="H1997" s="117" t="str">
        <x:v>Flow</x:v>
      </x:c>
      <x:c r="I1997" s="118" t="n">
        <x:v>54</x:v>
      </x:c>
      <x:c r="J1997" s="117" t="str">
        <x:v>unmanaged</x:v>
      </x:c>
      <x:c r="K1997" s="123" t="b">
        <x:v>0</x:v>
      </x:c>
      <x:c r="L1997" s="117" t="str">
        <x:v>SystemModeWithoutSharing</x:v>
      </x:c>
      <x:c r="M1997" s="118"/>
      <x:c r="N1997" s="120" t="n">
        <x:v>45394.78025462963</x:v>
      </x:c>
      <x:c r="O1997" s="117" t="str">
        <x:v>Jace Gentil</x:v>
      </x:c>
      <x:c r="P1997" s="120" t="n">
        <x:v>45394.78028935185</x:v>
      </x:c>
      <x:c r="Q1997" s="117" t="str">
        <x:v>Jace Gentil</x:v>
      </x:c>
      <x:c r="R1997" s="117" t="str">
        <x:v>Operations Sheet Screen Flow</x:v>
      </x:c>
      <x:c r="S1997" s="119"/>
    </x:row>
    <x:row r="1998" ht="30" customHeight="1">
      <x:c r="A1998" s="117" t="str">
        <x:v>Opportunity_Asset_Management_Screen_Flow</x:v>
      </x:c>
      <x:c r="B1998" s="117" t="str">
        <x:v>300Ro00000rL43hIAC</x:v>
      </x:c>
      <x:c r="C1998" s="117" t="str">
        <x:v>301Ro00000yxuy8IAA</x:v>
      </x:c>
      <x:c r="D1998" s="118" t="n">
        <x:v>1</x:v>
      </x:c>
      <x:c r="E1998" s="117" t="str">
        <x:v>Obsolete</x:v>
      </x:c>
      <x:c r="F1998" s="117" t="str">
        <x:v>No</x:v>
      </x:c>
      <x:c r="G1998" s="117" t="str">
        <x:v>No</x:v>
      </x:c>
      <x:c r="H1998" s="117" t="str">
        <x:v>Flow</x:v>
      </x:c>
      <x:c r="I1998" s="118" t="n">
        <x:v>65</x:v>
      </x:c>
      <x:c r="J1998" s="117" t="str">
        <x:v>unmanaged</x:v>
      </x:c>
      <x:c r="K1998" s="123" t="b">
        <x:v>0</x:v>
      </x:c>
      <x:c r="L1998" s="117" t="str">
        <x:v>DefaultMode</x:v>
      </x:c>
      <x:c r="M1998" s="118"/>
      <x:c r="N1998" s="120" t="n">
        <x:v>46075.92905092592</x:v>
      </x:c>
      <x:c r="O1998" s="117" t="str">
        <x:v>Sacha Pearce</x:v>
      </x:c>
      <x:c r="P1998" s="120" t="n">
        <x:v>46075.931284722225</x:v>
      </x:c>
      <x:c r="Q1998" s="117" t="str">
        <x:v>Sacha Pearce</x:v>
      </x:c>
      <x:c r="R1998" s="117" t="str">
        <x:v>Opportunity Asset Management Screen Flow</x:v>
      </x:c>
      <x:c r="S1998" s="119" t="str">
        <x:v>2.17.26: moved queries outside of loop. simplified flow. NB</x:v>
      </x:c>
    </x:row>
    <x:row r="1999" ht="30" customHeight="1">
      <x:c r="A1999" s="117" t="str">
        <x:v>Opportunity_Asset_Management_Screen_Flow</x:v>
      </x:c>
      <x:c r="B1999" s="117" t="str">
        <x:v>300Ro00000rL43hIAC</x:v>
      </x:c>
      <x:c r="C1999" s="117" t="str">
        <x:v>301Ro00000zIZXGIA4</x:v>
      </x:c>
      <x:c r="D1999" s="118" t="n">
        <x:v>2</x:v>
      </x:c>
      <x:c r="E1999" s="117" t="str">
        <x:v>Obsolete</x:v>
      </x:c>
      <x:c r="F1999" s="117" t="str">
        <x:v>No</x:v>
      </x:c>
      <x:c r="G1999" s="117" t="str">
        <x:v>No</x:v>
      </x:c>
      <x:c r="H1999" s="117" t="str">
        <x:v>Flow</x:v>
      </x:c>
      <x:c r="I1999" s="118" t="n">
        <x:v>65</x:v>
      </x:c>
      <x:c r="J1999" s="117" t="str">
        <x:v>unmanaged</x:v>
      </x:c>
      <x:c r="K1999" s="123" t="b">
        <x:v>0</x:v>
      </x:c>
      <x:c r="L1999" s="117" t="str">
        <x:v>SystemModeWithoutSharing</x:v>
      </x:c>
      <x:c r="M1999" s="118"/>
      <x:c r="N1999" s="120" t="n">
        <x:v>46079.664814814816</x:v>
      </x:c>
      <x:c r="O1999" s="117" t="str">
        <x:v>Sacha Pearce</x:v>
      </x:c>
      <x:c r="P1999" s="120" t="n">
        <x:v>46079.66489583333</x:v>
      </x:c>
      <x:c r="Q1999" s="117" t="str">
        <x:v>Sacha Pearce</x:v>
      </x:c>
      <x:c r="R1999" s="117" t="str">
        <x:v>Opportunity Asset Management Screen Flow</x:v>
      </x:c>
      <x:c r="S1999" s="119" t="str">
        <x:v>2.17.26: moved queries outside of loop. simplified flow. NB</x:v>
      </x:c>
    </x:row>
    <x:row r="2000" ht="30" customHeight="1">
      <x:c r="A2000" s="117" t="str">
        <x:v>Opportunity_Asset_Management_Screen_Flow</x:v>
      </x:c>
      <x:c r="B2000" s="117" t="str">
        <x:v>300Ro00000rL43hIAC</x:v>
      </x:c>
      <x:c r="C2000" s="117" t="str">
        <x:v>301Ro00000zIh3RIAS</x:v>
      </x:c>
      <x:c r="D2000" s="118" t="n">
        <x:v>3</x:v>
      </x:c>
      <x:c r="E2000" s="117" t="str">
        <x:v>Obsolete</x:v>
      </x:c>
      <x:c r="F2000" s="117" t="str">
        <x:v>No</x:v>
      </x:c>
      <x:c r="G2000" s="117" t="str">
        <x:v>No</x:v>
      </x:c>
      <x:c r="H2000" s="117" t="str">
        <x:v>Flow</x:v>
      </x:c>
      <x:c r="I2000" s="118" t="n">
        <x:v>65</x:v>
      </x:c>
      <x:c r="J2000" s="117" t="str">
        <x:v>unmanaged</x:v>
      </x:c>
      <x:c r="K2000" s="123" t="b">
        <x:v>0</x:v>
      </x:c>
      <x:c r="L2000" s="117" t="str">
        <x:v>SystemModeWithoutSharing</x:v>
      </x:c>
      <x:c r="M2000" s="118"/>
      <x:c r="N2000" s="120" t="n">
        <x:v>46079.66650462963</x:v>
      </x:c>
      <x:c r="O2000" s="117" t="str">
        <x:v>Sacha Pearce</x:v>
      </x:c>
      <x:c r="P2000" s="120" t="n">
        <x:v>46079.66657407407</x:v>
      </x:c>
      <x:c r="Q2000" s="117" t="str">
        <x:v>Sacha Pearce</x:v>
      </x:c>
      <x:c r="R2000" s="117" t="str">
        <x:v>Opportunity Asset Management Screen Flow</x:v>
      </x:c>
      <x:c r="S2000" s="119" t="str">
        <x:v>2.17.26: moved queries outside of loop. simplified flow. NB</x:v>
      </x:c>
    </x:row>
    <x:row r="2001" ht="30" customHeight="1">
      <x:c r="A2001" s="117" t="str">
        <x:v>Opportunity_Asset_Management_Screen_Flow</x:v>
      </x:c>
      <x:c r="B2001" s="117" t="str">
        <x:v>300Ro00000rL43hIAC</x:v>
      </x:c>
      <x:c r="C2001" s="117" t="str">
        <x:v>301Ro00000zTik9IAC</x:v>
      </x:c>
      <x:c r="D2001" s="118" t="n">
        <x:v>4</x:v>
      </x:c>
      <x:c r="E2001" s="117" t="str">
        <x:v>Obsolete</x:v>
      </x:c>
      <x:c r="F2001" s="117" t="str">
        <x:v>No</x:v>
      </x:c>
      <x:c r="G2001" s="117" t="str">
        <x:v>No</x:v>
      </x:c>
      <x:c r="H2001" s="117" t="str">
        <x:v>Flow</x:v>
      </x:c>
      <x:c r="I2001" s="118" t="n">
        <x:v>65</x:v>
      </x:c>
      <x:c r="J2001" s="117" t="str">
        <x:v>unmanaged</x:v>
      </x:c>
      <x:c r="K2001" s="123" t="b">
        <x:v>0</x:v>
      </x:c>
      <x:c r="L2001" s="117" t="str">
        <x:v>SystemModeWithoutSharing</x:v>
      </x:c>
      <x:c r="M2001" s="118"/>
      <x:c r="N2001" s="120" t="n">
        <x:v>46081.730462962965</x:v>
      </x:c>
      <x:c r="O2001" s="117" t="str">
        <x:v>Sacha Pearce</x:v>
      </x:c>
      <x:c r="P2001" s="120" t="n">
        <x:v>46081.73061342593</x:v>
      </x:c>
      <x:c r="Q2001" s="117" t="str">
        <x:v>Sacha Pearce</x:v>
      </x:c>
      <x:c r="R2001" s="117" t="str">
        <x:v>Opportunity Asset Management Screen Flow</x:v>
      </x:c>
      <x:c r="S2001" s="119" t="str">
        <x:v>28/02/2026 - SP - Removing the "Previous" button from the "Edit Assets" screen and setting "recvarAsset PO Number" to be the Opportunity Line Item Opportunity's "PO_auto__c" field</x:v>
      </x:c>
    </x:row>
    <x:row r="2002" ht="30" customHeight="1">
      <x:c r="A2002" s="117" t="str">
        <x:v>Opportunity_Asset_Management_Screen_Flow</x:v>
      </x:c>
      <x:c r="B2002" s="117" t="str">
        <x:v>300Ro00000rL43hIAC</x:v>
      </x:c>
      <x:c r="C2002" s="117" t="str">
        <x:v>301Ro00000zn0JyIAI</x:v>
      </x:c>
      <x:c r="D2002" s="118" t="n">
        <x:v>5</x:v>
      </x:c>
      <x:c r="E2002" s="117" t="str">
        <x:v>Obsolete</x:v>
      </x:c>
      <x:c r="F2002" s="117" t="str">
        <x:v>No</x:v>
      </x:c>
      <x:c r="G2002" s="117" t="str">
        <x:v>No</x:v>
      </x:c>
      <x:c r="H2002" s="117" t="str">
        <x:v>Flow</x:v>
      </x:c>
      <x:c r="I2002" s="118" t="n">
        <x:v>65</x:v>
      </x:c>
      <x:c r="J2002" s="117" t="str">
        <x:v>unmanaged</x:v>
      </x:c>
      <x:c r="K2002" s="123" t="b">
        <x:v>0</x:v>
      </x:c>
      <x:c r="L2002" s="117" t="str">
        <x:v>SystemModeWithoutSharing</x:v>
      </x:c>
      <x:c r="M2002" s="118"/>
      <x:c r="N2002" s="120" t="n">
        <x:v>46085.831782407404</x:v>
      </x:c>
      <x:c r="O2002" s="117" t="str">
        <x:v>Sacha Pearce</x:v>
      </x:c>
      <x:c r="P2002" s="120" t="n">
        <x:v>46085.83186342593</x:v>
      </x:c>
      <x:c r="Q2002" s="117" t="str">
        <x:v>Sacha Pearce</x:v>
      </x:c>
      <x:c r="R2002" s="117" t="str">
        <x:v>Opportunity Asset Management Screen Flow</x:v>
      </x:c>
      <x:c r="S2002" s="119" t="str">
        <x:v>04/03/2026 - V4 - SP - Mapping the "Update Assets" path to into the "Edit Assets" screen.</x:v>
      </x:c>
    </x:row>
    <x:row r="2003" ht="30" customHeight="1">
      <x:c r="A2003" s="117" t="str">
        <x:v>Opportunity_Asset_Management_Screen_Flow</x:v>
      </x:c>
      <x:c r="B2003" s="117" t="str">
        <x:v>300Ro00000rL43hIAC</x:v>
      </x:c>
      <x:c r="C2003" s="117" t="str">
        <x:v>301Ro00000znI8lIAE</x:v>
      </x:c>
      <x:c r="D2003" s="118" t="n">
        <x:v>6</x:v>
      </x:c>
      <x:c r="E2003" s="117" t="str">
        <x:v>Obsolete</x:v>
      </x:c>
      <x:c r="F2003" s="117" t="str">
        <x:v>No</x:v>
      </x:c>
      <x:c r="G2003" s="117" t="str">
        <x:v>No</x:v>
      </x:c>
      <x:c r="H2003" s="117" t="str">
        <x:v>Flow</x:v>
      </x:c>
      <x:c r="I2003" s="118" t="n">
        <x:v>65</x:v>
      </x:c>
      <x:c r="J2003" s="117" t="str">
        <x:v>unmanaged</x:v>
      </x:c>
      <x:c r="K2003" s="123" t="b">
        <x:v>0</x:v>
      </x:c>
      <x:c r="L2003" s="117" t="str">
        <x:v>SystemModeWithoutSharing</x:v>
      </x:c>
      <x:c r="M2003" s="118"/>
      <x:c r="N2003" s="120" t="n">
        <x:v>46085.83267361111</x:v>
      </x:c>
      <x:c r="O2003" s="117" t="str">
        <x:v>Sacha Pearce</x:v>
      </x:c>
      <x:c r="P2003" s="120" t="n">
        <x:v>46085.833090277774</x:v>
      </x:c>
      <x:c r="Q2003" s="117" t="str">
        <x:v>Sacha Pearce</x:v>
      </x:c>
      <x:c r="R2003" s="117" t="str">
        <x:v>Opportunity Asset Management Screen Flow</x:v>
      </x:c>
      <x:c r="S2003" s="119" t="str">
        <x:v>04/03/2026 - V4 - SP - Mapping the "Update Assets" path to into the "Get Assets on Opportunity" screen.</x:v>
      </x:c>
    </x:row>
    <x:row r="2004" ht="30" customHeight="1">
      <x:c r="A2004" s="117" t="str">
        <x:v>Opportunity_Asset_Management_Screen_Flow</x:v>
      </x:c>
      <x:c r="B2004" s="117" t="str">
        <x:v>300Ro00000rL43hIAC</x:v>
      </x:c>
      <x:c r="C2004" s="117" t="str">
        <x:v>301Ro000011CFySIAW</x:v>
      </x:c>
      <x:c r="D2004" s="118" t="n">
        <x:v>7</x:v>
      </x:c>
      <x:c r="E2004" s="117" t="str">
        <x:v>Obsolete</x:v>
      </x:c>
      <x:c r="F2004" s="117" t="str">
        <x:v>No</x:v>
      </x:c>
      <x:c r="G2004" s="117" t="str">
        <x:v>No</x:v>
      </x:c>
      <x:c r="H2004" s="117" t="str">
        <x:v>Flow</x:v>
      </x:c>
      <x:c r="I2004" s="118" t="n">
        <x:v>65</x:v>
      </x:c>
      <x:c r="J2004" s="117" t="str">
        <x:v>unmanaged</x:v>
      </x:c>
      <x:c r="K2004" s="123" t="b">
        <x:v>0</x:v>
      </x:c>
      <x:c r="L2004" s="117" t="str">
        <x:v>SystemModeWithoutSharing</x:v>
      </x:c>
      <x:c r="M2004" s="118"/>
      <x:c r="N2004" s="120" t="n">
        <x:v>46103.91578703704</x:v>
      </x:c>
      <x:c r="O2004" s="117" t="str">
        <x:v>Sacha Pearce</x:v>
      </x:c>
      <x:c r="P2004" s="120" t="n">
        <x:v>46103.918958333335</x:v>
      </x:c>
      <x:c r="Q2004" s="117" t="str">
        <x:v>Sacha Pearce</x:v>
      </x:c>
      <x:c r="R2004" s="117" t="str">
        <x:v>Opportunity Asset Management Screen Flow</x:v>
      </x:c>
      <x:c r="S2004" s="119" t="str">
        <x:v>22/03/2026 - SP - Adding Print Barcodes</x:v>
      </x:c>
    </x:row>
    <x:row r="2005" ht="30" customHeight="1">
      <x:c r="A2005" s="117" t="str">
        <x:v>Opportunity_Asset_Management_Screen_Flow</x:v>
      </x:c>
      <x:c r="B2005" s="117" t="str">
        <x:v>300Ro00000rL43hIAC</x:v>
      </x:c>
      <x:c r="C2005" s="117" t="str">
        <x:v>301Ro000013or5KIAQ</x:v>
      </x:c>
      <x:c r="D2005" s="118" t="n">
        <x:v>8</x:v>
      </x:c>
      <x:c r="E2005" s="117" t="str">
        <x:v>Draft</x:v>
      </x:c>
      <x:c r="F2005" s="117" t="str">
        <x:v>No</x:v>
      </x:c>
      <x:c r="G2005" s="117" t="str">
        <x:v>No</x:v>
      </x:c>
      <x:c r="H2005" s="117" t="str">
        <x:v>Flow</x:v>
      </x:c>
      <x:c r="I2005" s="118" t="n">
        <x:v>65</x:v>
      </x:c>
      <x:c r="J2005" s="117" t="str">
        <x:v>unmanaged</x:v>
      </x:c>
      <x:c r="K2005" s="123" t="b">
        <x:v>0</x:v>
      </x:c>
      <x:c r="L2005" s="117" t="str">
        <x:v>SystemModeWithoutSharing</x:v>
      </x:c>
      <x:c r="M2005" s="118"/>
      <x:c r="N2005" s="120" t="n">
        <x:v>46134.663310185184</x:v>
      </x:c>
      <x:c r="O2005" s="117" t="str">
        <x:v>Sacha Pearce</x:v>
      </x:c>
      <x:c r="P2005" s="120" t="n">
        <x:v>46134.66334490741</x:v>
      </x:c>
      <x:c r="Q2005" s="117" t="str">
        <x:v>Sacha Pearce</x:v>
      </x:c>
      <x:c r="R2005" s="117" t="str">
        <x:v>Opportunity Asset Management Screen Flow</x:v>
      </x:c>
      <x:c r="S2005" s="119" t="str">
        <x:v>22/03/2026 - SP - Amending descriptions to help with debugging for future expansion.</x:v>
      </x:c>
    </x:row>
    <x:row r="2006" ht="30" customHeight="1">
      <x:c r="A2006" s="117" t="str">
        <x:v>Opportunity_Asset_Management_Screen_Flow</x:v>
      </x:c>
      <x:c r="B2006" s="117" t="str">
        <x:v>300Ro00000rL43hIAC</x:v>
      </x:c>
      <x:c r="C2006" s="117" t="str">
        <x:v>301Ro000019cfClIAI</x:v>
      </x:c>
      <x:c r="D2006" s="118" t="n">
        <x:v>9</x:v>
      </x:c>
      <x:c r="E2006" s="117" t="str">
        <x:v>Active</x:v>
      </x:c>
      <x:c r="F2006" s="117" t="str">
        <x:v>Yes</x:v>
      </x:c>
      <x:c r="G2006" s="117" t="str">
        <x:v>Yes</x:v>
      </x:c>
      <x:c r="H2006" s="117" t="str">
        <x:v>Flow</x:v>
      </x:c>
      <x:c r="I2006" s="118" t="n">
        <x:v>65</x:v>
      </x:c>
      <x:c r="J2006" s="117" t="str">
        <x:v>unmanaged</x:v>
      </x:c>
      <x:c r="K2006" s="123" t="b">
        <x:v>0</x:v>
      </x:c>
      <x:c r="L2006" s="117" t="str">
        <x:v>SystemModeWithoutSharing</x:v>
      </x:c>
      <x:c r="M2006" s="118"/>
      <x:c r="N2006" s="120" t="n">
        <x:v>46199.42435185185</x:v>
      </x:c>
      <x:c r="O2006" s="117" t="str">
        <x:v>Sacha Pearce</x:v>
      </x:c>
      <x:c r="P2006" s="120" t="n">
        <x:v>46205.61173611111</x:v>
      </x:c>
      <x:c r="Q2006" s="117" t="str">
        <x:v>Sacha Pearce</x:v>
      </x:c>
      <x:c r="R2006" s="117" t="str">
        <x:v>Opportunity Asset Management Screen Flow</x:v>
      </x:c>
      <x:c r="S2006" s="119" t="str">
        <x:v>22/03/2026 - SP - Setting the Product Analytics (labelled Product Name) in the "Set Asset Fields" element.</x:v>
      </x:c>
    </x:row>
    <x:row r="2007" ht="30" customHeight="1">
      <x:c r="A2007" s="117" t="str">
        <x:v>Opportunity_Asset_Mass_Move_Location_Screen_Flow</x:v>
      </x:c>
      <x:c r="B2007" s="117" t="str">
        <x:v>300Ro00000qqKG6IAM</x:v>
      </x:c>
      <x:c r="C2007" s="117" t="str">
        <x:v>301Ro00000yQVVUIA4</x:v>
      </x:c>
      <x:c r="D2007" s="118" t="n">
        <x:v>1</x:v>
      </x:c>
      <x:c r="E2007" s="117" t="str">
        <x:v>Obsolete</x:v>
      </x:c>
      <x:c r="F2007" s="117" t="str">
        <x:v>No</x:v>
      </x:c>
      <x:c r="G2007" s="117" t="str">
        <x:v>No</x:v>
      </x:c>
      <x:c r="H2007" s="117" t="str">
        <x:v>Flow</x:v>
      </x:c>
      <x:c r="I2007" s="118" t="n">
        <x:v>55</x:v>
      </x:c>
      <x:c r="J2007" s="117" t="str">
        <x:v>unmanaged</x:v>
      </x:c>
      <x:c r="K2007" s="123" t="b">
        <x:v>0</x:v>
      </x:c>
      <x:c r="L2007" s="117"/>
      <x:c r="M2007" s="118"/>
      <x:c r="N2007" s="120" t="n">
        <x:v>46069.60400462963</x:v>
      </x:c>
      <x:c r="O2007" s="117" t="str">
        <x:v>Sacha Pearce</x:v>
      </x:c>
      <x:c r="P2007" s="120" t="n">
        <x:v>46070.86908564815</x:v>
      </x:c>
      <x:c r="Q2007" s="117" t="str">
        <x:v>Sacha Pearce</x:v>
      </x:c>
      <x:c r="R2007" s="117" t="str">
        <x:v>Opportunity - Asset Mass Move Location Screen Flow</x:v>
      </x:c>
      <x:c r="S2007" s="119"/>
    </x:row>
    <x:row r="2008" ht="30" customHeight="1">
      <x:c r="A2008" s="117" t="str">
        <x:v>Opportunity_Asset_Mass_Move_Location_Screen_Flow</x:v>
      </x:c>
      <x:c r="B2008" s="117" t="str">
        <x:v>300Ro00000qqKG6IAM</x:v>
      </x:c>
      <x:c r="C2008" s="117" t="str">
        <x:v>301Ro00000yQruAIAS</x:v>
      </x:c>
      <x:c r="D2008" s="118" t="n">
        <x:v>2</x:v>
      </x:c>
      <x:c r="E2008" s="117" t="str">
        <x:v>Draft</x:v>
      </x:c>
      <x:c r="F2008" s="117" t="str">
        <x:v>No</x:v>
      </x:c>
      <x:c r="G2008" s="117" t="str">
        <x:v>Yes</x:v>
      </x:c>
      <x:c r="H2008" s="117" t="str">
        <x:v>Flow</x:v>
      </x:c>
      <x:c r="I2008" s="118" t="n">
        <x:v>55</x:v>
      </x:c>
      <x:c r="J2008" s="117" t="str">
        <x:v>unmanaged</x:v>
      </x:c>
      <x:c r="K2008" s="123" t="b">
        <x:v>0</x:v>
      </x:c>
      <x:c r="L2008" s="117"/>
      <x:c r="M2008" s="118"/>
      <x:c r="N2008" s="120" t="n">
        <x:v>46069.66711805556</x:v>
      </x:c>
      <x:c r="O2008" s="117" t="str">
        <x:v>Sacha Pearce</x:v>
      </x:c>
      <x:c r="P2008" s="120" t="n">
        <x:v>46069.667175925926</x:v>
      </x:c>
      <x:c r="Q2008" s="117" t="str">
        <x:v>Sacha Pearce</x:v>
      </x:c>
      <x:c r="R2008" s="117" t="str">
        <x:v>Opportunity - Asset Mass Move Location Screen Flow</x:v>
      </x:c>
      <x:c r="S2008" s="119" t="str">
        <x:v>16/02/2026 - SP - Adding new logic into the "GetAssets" Get Records element so that Assets are also pulled if "recordId" is a sales Opportunity</x:v>
      </x:c>
    </x:row>
    <x:row r="2009" ht="30" customHeight="1">
      <x:c r="A2009" s="117" t="str">
        <x:v>Opportunity_Asynchronous_on_create_Update_Total_Cost_of_Project_POs</x:v>
      </x:c>
      <x:c r="B2009" s="117" t="str">
        <x:v>300Ro00000xUsgvIAC</x:v>
      </x:c>
      <x:c r="C2009" s="117" t="str">
        <x:v>301Ro000015kXiWIAU</x:v>
      </x:c>
      <x:c r="D2009" s="118" t="n">
        <x:v>1</x:v>
      </x:c>
      <x:c r="E2009" s="117" t="str">
        <x:v>Active</x:v>
      </x:c>
      <x:c r="F2009" s="117" t="str">
        <x:v>Yes</x:v>
      </x:c>
      <x:c r="G2009" s="117" t="str">
        <x:v>Yes</x:v>
      </x:c>
      <x:c r="H2009" s="117" t="str">
        <x:v>AutoLaunchedFlow</x:v>
      </x:c>
      <x:c r="I2009" s="118" t="n">
        <x:v>65</x:v>
      </x:c>
      <x:c r="J2009" s="117" t="str">
        <x:v>unmanaged</x:v>
      </x:c>
      <x:c r="K2009" s="123" t="b">
        <x:v>0</x:v>
      </x:c>
      <x:c r="L2009" s="117"/>
      <x:c r="M2009" s="118"/>
      <x:c r="N2009" s="120" t="n">
        <x:v>46157.56328703704</x:v>
      </x:c>
      <x:c r="O2009" s="117" t="str">
        <x:v>Delegate</x:v>
      </x:c>
      <x:c r="P2009" s="120" t="n">
        <x:v>46157.571875</x:v>
      </x:c>
      <x:c r="Q2009" s="117" t="str">
        <x:v>Delegate</x:v>
      </x:c>
      <x:c r="R2009" s="117" t="str">
        <x:v>Opportunity | Asynchronous, on create, Update Total Cost of Project POs</x:v>
      </x:c>
      <x:c r="S2009" s="119" t="str">
        <x:v>05/14/26 (BW) – Async replacement for DLRS Total_Cost_of_Project_POs rollup (create path). Sums Probo_s_Offer_Total__c across all Opportunities on the related Project and writes the result to Total_Cost_of_Related_PO_s__c.</x:v>
      </x:c>
    </x:row>
    <x:row r="2010" ht="30" customHeight="1">
      <x:c r="A2010" s="117" t="str">
        <x:v>Opportunity_Asynchronous_on_delete_Update_Total_Cost_of_Project_POs</x:v>
      </x:c>
      <x:c r="B2010" s="117" t="str">
        <x:v>300Ro00000xUsgwIAC</x:v>
      </x:c>
      <x:c r="C2010" s="117" t="str">
        <x:v>301Ro000015lI1LIAU</x:v>
      </x:c>
      <x:c r="D2010" s="118" t="n">
        <x:v>1</x:v>
      </x:c>
      <x:c r="E2010" s="117" t="str">
        <x:v>Active</x:v>
      </x:c>
      <x:c r="F2010" s="117" t="str">
        <x:v>Yes</x:v>
      </x:c>
      <x:c r="G2010" s="117" t="str">
        <x:v>Yes</x:v>
      </x:c>
      <x:c r="H2010" s="117" t="str">
        <x:v>AutoLaunchedFlow</x:v>
      </x:c>
      <x:c r="I2010" s="118" t="n">
        <x:v>65</x:v>
      </x:c>
      <x:c r="J2010" s="117" t="str">
        <x:v>unmanaged</x:v>
      </x:c>
      <x:c r="K2010" s="123" t="b">
        <x:v>0</x:v>
      </x:c>
      <x:c r="L2010" s="117"/>
      <x:c r="M2010" s="118"/>
      <x:c r="N2010" s="120" t="n">
        <x:v>46157.57037037037</x:v>
      </x:c>
      <x:c r="O2010" s="117" t="str">
        <x:v>Delegate</x:v>
      </x:c>
      <x:c r="P2010" s="120" t="n">
        <x:v>46157.571863425925</x:v>
      </x:c>
      <x:c r="Q2010" s="117" t="str">
        <x:v>Delegate</x:v>
      </x:c>
      <x:c r="R2010" s="117" t="str">
        <x:v>Opportunity | Before delete, Update Total Cost of Project POs</x:v>
      </x:c>
      <x:c r="S2010" s="119" t="str">
        <x:v>05/14/26 (BW) – Replacement for DLRS Total_Cost_of_Project_POs rollup (delete path). Runs synchronously before delete; excludes the being-deleted Opportunity from the re-query so the sum on the Project is correct after deletion.</x:v>
      </x:c>
    </x:row>
    <x:row r="2011" ht="30" customHeight="1">
      <x:c r="A2011" s="117" t="str">
        <x:v>Opportunity_Asynchronous_on_update_Update_Total_Cost_of_Project_POs</x:v>
      </x:c>
      <x:c r="B2011" s="117" t="str">
        <x:v>300Ro00000xUsgxIAC</x:v>
      </x:c>
      <x:c r="C2011" s="117" t="str">
        <x:v>301Ro000015lI1MIAU</x:v>
      </x:c>
      <x:c r="D2011" s="118" t="n">
        <x:v>1</x:v>
      </x:c>
      <x:c r="E2011" s="117" t="str">
        <x:v>Active</x:v>
      </x:c>
      <x:c r="F2011" s="117" t="str">
        <x:v>Yes</x:v>
      </x:c>
      <x:c r="G2011" s="117" t="str">
        <x:v>Yes</x:v>
      </x:c>
      <x:c r="H2011" s="117" t="str">
        <x:v>AutoLaunchedFlow</x:v>
      </x:c>
      <x:c r="I2011" s="118" t="n">
        <x:v>65</x:v>
      </x:c>
      <x:c r="J2011" s="117" t="str">
        <x:v>unmanaged</x:v>
      </x:c>
      <x:c r="K2011" s="123" t="b">
        <x:v>0</x:v>
      </x:c>
      <x:c r="L2011" s="117"/>
      <x:c r="M2011" s="118"/>
      <x:c r="N2011" s="120" t="n">
        <x:v>46157.57042824074</x:v>
      </x:c>
      <x:c r="O2011" s="117" t="str">
        <x:v>Delegate</x:v>
      </x:c>
      <x:c r="P2011" s="120" t="n">
        <x:v>46157.57184027778</x:v>
      </x:c>
      <x:c r="Q2011" s="117" t="str">
        <x:v>Delegate</x:v>
      </x:c>
      <x:c r="R2011" s="117" t="str">
        <x:v>Opportunity | Asynchronous, on update, Update Total Cost of Project POs</x:v>
      </x:c>
      <x:c r="S2011" s="119" t="str">
        <x:v>05/14/26 (BW) – Async replacement for DLRS Total_Cost_of_Project_POs rollup (update path). Fires when Related_Project__c or Probo_s_Offer_Total__c changes. Immediate path recalculates the prior Project when the lookup changes; async path recalculates the current Project.</x:v>
      </x:c>
    </x:row>
    <x:row r="2012" ht="30" customHeight="1">
      <x:c r="A2012" s="117" t="str">
        <x:v>Opportunity_Automations</x:v>
      </x:c>
      <x:c r="B2012" s="117" t="str">
        <x:v>300Ro00000fleLpIAI</x:v>
      </x:c>
      <x:c r="C2012" s="117" t="str">
        <x:v>301Ro00000m0a9pIAA</x:v>
      </x:c>
      <x:c r="D2012" s="118" t="n">
        <x:v>1</x:v>
      </x:c>
      <x:c r="E2012" s="117" t="str">
        <x:v>Active</x:v>
      </x:c>
      <x:c r="F2012" s="117" t="str">
        <x:v>Yes</x:v>
      </x:c>
      <x:c r="G2012" s="117" t="str">
        <x:v>Yes</x:v>
      </x:c>
      <x:c r="H2012" s="117" t="str">
        <x:v>AutoLaunchedFlow</x:v>
      </x:c>
      <x:c r="I2012" s="118" t="n">
        <x:v>64</x:v>
      </x:c>
      <x:c r="J2012" s="117" t="str">
        <x:v>unmanaged</x:v>
      </x:c>
      <x:c r="K2012" s="123" t="b">
        <x:v>0</x:v>
      </x:c>
      <x:c r="L2012" s="117"/>
      <x:c r="M2012" s="118"/>
      <x:c r="N2012" s="120" t="n">
        <x:v>45913.62092592593</x:v>
      </x:c>
      <x:c r="O2012" s="117" t="str">
        <x:v>Sacha Pearce</x:v>
      </x:c>
      <x:c r="P2012" s="120" t="n">
        <x:v>46090.616689814815</x:v>
      </x:c>
      <x:c r="Q2012" s="117" t="str">
        <x:v>Steve Dodd</x:v>
      </x:c>
      <x:c r="R2012" s="117" t="str">
        <x:v>Opportunity Automations</x:v>
      </x:c>
      <x:c r="S2012" s="119" t="str">
        <x:v>09/12/2025 - V4 - SP - Removed the Part Sales Opportunity path and adjusted the decision to look at the Opportunity Record Type's Developer Name
09/13/2025 - V5 - SP - Adjusting the Record Type Check to run only if the record that triggered the flow to run is updated to meet the condition requirements
09/13/2025 - V6 - SP - Adjusting the Rental Not Paid or Confirmed Custom Error Message
09/13/2025 - V7 - SP - Adjusting the description boxes on elements to improve clarity and understanding</x:v>
      </x:c>
    </x:row>
    <x:row r="2013" ht="30" customHeight="1">
      <x:c r="A2013" s="117" t="str">
        <x:v>Opportunity_Calculate_Tax_on_Amount_Change</x:v>
      </x:c>
      <x:c r="B2013" s="117" t="str">
        <x:v>3004O000000LOu6QAG</x:v>
      </x:c>
      <x:c r="C2013" s="117" t="str">
        <x:v>3014O000000M0shQAC</x:v>
      </x:c>
      <x:c r="D2013" s="118" t="n">
        <x:v>1</x:v>
      </x:c>
      <x:c r="E2013" s="117" t="str">
        <x:v>Obsolete</x:v>
      </x:c>
      <x:c r="F2013" s="117" t="str">
        <x:v>No</x:v>
      </x:c>
      <x:c r="G2013" s="117" t="str">
        <x:v>Yes</x:v>
      </x:c>
      <x:c r="H2013" s="117" t="str">
        <x:v>Workflow</x:v>
      </x:c>
      <x:c r="I2013" s="118" t="n">
        <x:v>50</x:v>
      </x:c>
      <x:c r="J2013" s="117" t="str">
        <x:v>unmanaged</x:v>
      </x:c>
      <x:c r="K2013" s="123" t="b">
        <x:v>0</x:v>
      </x:c>
      <x:c r="L2013" s="117"/>
      <x:c r="M2013" s="118"/>
      <x:c r="N2013" s="120" t="n">
        <x:v>44210.7891087963</x:v>
      </x:c>
      <x:c r="O2013" s="117" t="str">
        <x:v>Delegate</x:v>
      </x:c>
      <x:c r="P2013" s="120" t="n">
        <x:v>44229.783125</x:v>
      </x:c>
      <x:c r="Q2013" s="117" t="str">
        <x:v>Delegate</x:v>
      </x:c>
      <x:c r="R2013" s="117" t="str">
        <x:v>Opportunity - Calculate Tax on Amount Change</x:v>
      </x:c>
      <x:c r="S2013" s="119" t="str">
        <x:v>Calculate Tax on amount change</x:v>
      </x:c>
    </x:row>
    <x:row r="2014" ht="30" customHeight="1">
      <x:c r="A2014" s="117" t="str">
        <x:v>Opportunity_Canadian_Entity</x:v>
      </x:c>
      <x:c r="B2014" s="117" t="str">
        <x:v>300Ro00000h8pnpIAA</x:v>
      </x:c>
      <x:c r="C2014" s="117" t="str">
        <x:v>301Ro00000nmPBHIA2</x:v>
      </x:c>
      <x:c r="D2014" s="118" t="n">
        <x:v>1</x:v>
      </x:c>
      <x:c r="E2014" s="117" t="str">
        <x:v>Obsolete</x:v>
      </x:c>
      <x:c r="F2014" s="117" t="str">
        <x:v>No</x:v>
      </x:c>
      <x:c r="G2014" s="117" t="str">
        <x:v>No</x:v>
      </x:c>
      <x:c r="H2014" s="117" t="str">
        <x:v>AutoLaunchedFlow</x:v>
      </x:c>
      <x:c r="I2014" s="118" t="n">
        <x:v>64</x:v>
      </x:c>
      <x:c r="J2014" s="117" t="str">
        <x:v>unmanaged</x:v>
      </x:c>
      <x:c r="K2014" s="123" t="b">
        <x:v>0</x:v>
      </x:c>
      <x:c r="L2014" s="117"/>
      <x:c r="M2014" s="118"/>
      <x:c r="N2014" s="120" t="n">
        <x:v>45930.60952546296</x:v>
      </x:c>
      <x:c r="O2014" s="117" t="str">
        <x:v>Bill Hagarty</x:v>
      </x:c>
      <x:c r="P2014" s="120" t="n">
        <x:v>45950.61170138889</x:v>
      </x:c>
      <x:c r="Q2014" s="117" t="str">
        <x:v>Bill Hagarty</x:v>
      </x:c>
      <x:c r="R2014" s="117" t="str">
        <x:v>Opportunity Canadian Entity</x:v>
      </x:c>
      <x:c r="S2014" s="119" t="str">
        <x:v>Controls the initial operation of any Opportunity designated as a Canadian Entity sale.  As of 9/23/25 that includes Siemans Canada 001U000000pNlw4IAC when the Opportunity currency is CAD.</x:v>
      </x:c>
    </x:row>
    <x:row r="2015" ht="30" customHeight="1">
      <x:c r="A2015" s="117" t="str">
        <x:v>Opportunity_Canadian_Entity</x:v>
      </x:c>
      <x:c r="B2015" s="117" t="str">
        <x:v>300Ro00000h8pnpIAA</x:v>
      </x:c>
      <x:c r="C2015" s="117" t="str">
        <x:v>301Ro00000rt4AxIAI</x:v>
      </x:c>
      <x:c r="D2015" s="118" t="n">
        <x:v>2</x:v>
      </x:c>
      <x:c r="E2015" s="117" t="str">
        <x:v>Obsolete</x:v>
      </x:c>
      <x:c r="F2015" s="117" t="str">
        <x:v>No</x:v>
      </x:c>
      <x:c r="G2015" s="117" t="str">
        <x:v>No</x:v>
      </x:c>
      <x:c r="H2015" s="117" t="str">
        <x:v>AutoLaunchedFlow</x:v>
      </x:c>
      <x:c r="I2015" s="118" t="n">
        <x:v>64</x:v>
      </x:c>
      <x:c r="J2015" s="117" t="str">
        <x:v>unmanaged</x:v>
      </x:c>
      <x:c r="K2015" s="123" t="b">
        <x:v>0</x:v>
      </x:c>
      <x:c r="L2015" s="117"/>
      <x:c r="M2015" s="118"/>
      <x:c r="N2015" s="120" t="n">
        <x:v>45968.64743055555</x:v>
      </x:c>
      <x:c r="O2015" s="117" t="str">
        <x:v>Delegate</x:v>
      </x:c>
      <x:c r="P2015" s="120" t="n">
        <x:v>45968.647511574076</x:v>
      </x:c>
      <x:c r="Q2015" s="117" t="str">
        <x:v>Delegate</x:v>
      </x:c>
      <x:c r="R2015" s="117" t="str">
        <x:v>Opportunity Canadian Entity</x:v>
      </x:c>
      <x:c r="S2015" s="119" t="str">
        <x:v>11/07/2025 (BW) - Updated to run asynchronously when product count is changing</x:v>
      </x:c>
    </x:row>
    <x:row r="2016" ht="30" customHeight="1">
      <x:c r="A2016" s="117" t="str">
        <x:v>Opportunity_Canadian_Entity</x:v>
      </x:c>
      <x:c r="B2016" s="117" t="str">
        <x:v>300Ro00000h8pnpIAA</x:v>
      </x:c>
      <x:c r="C2016" s="117" t="str">
        <x:v>301Ro00000sXZccIAG</x:v>
      </x:c>
      <x:c r="D2016" s="118" t="n">
        <x:v>3</x:v>
      </x:c>
      <x:c r="E2016" s="117" t="str">
        <x:v>Obsolete</x:v>
      </x:c>
      <x:c r="F2016" s="117" t="str">
        <x:v>No</x:v>
      </x:c>
      <x:c r="G2016" s="117" t="str">
        <x:v>Yes</x:v>
      </x:c>
      <x:c r="H2016" s="117" t="str">
        <x:v>AutoLaunchedFlow</x:v>
      </x:c>
      <x:c r="I2016" s="118" t="n">
        <x:v>64</x:v>
      </x:c>
      <x:c r="J2016" s="117" t="str">
        <x:v>unmanaged</x:v>
      </x:c>
      <x:c r="K2016" s="123" t="b">
        <x:v>0</x:v>
      </x:c>
      <x:c r="L2016" s="117"/>
      <x:c r="M2016" s="118"/>
      <x:c r="N2016" s="120" t="n">
        <x:v>45979.71591435185</x:v>
      </x:c>
      <x:c r="O2016" s="117" t="str">
        <x:v>Delegate</x:v>
      </x:c>
      <x:c r="P2016" s="120" t="n">
        <x:v>46237.424988425926</x:v>
      </x:c>
      <x:c r="Q2016" s="117" t="str">
        <x:v>Sacha Pearce</x:v>
      </x:c>
      <x:c r="R2016" s="117" t="str">
        <x:v>Opportunity Canadian Entity</x:v>
      </x:c>
      <x:c r="S2016" s="119" t="str">
        <x:v>11/18/2025 (BW) - Added a "Lock for Recursive Update" system which provents the flow from triggering itself again.</x:v>
      </x:c>
    </x:row>
    <x:row r="2017" ht="30" customHeight="1">
      <x:c r="A2017" s="117" t="str">
        <x:v>Opportunity_Create_Processes</x:v>
      </x:c>
      <x:c r="B2017" s="117" t="str">
        <x:v>3004O000000LOvxQAG</x:v>
      </x:c>
      <x:c r="C2017" s="117" t="str">
        <x:v>3014O000000M1FbQAK</x:v>
      </x:c>
      <x:c r="D2017" s="118" t="n">
        <x:v>1</x:v>
      </x:c>
      <x:c r="E2017" s="117" t="str">
        <x:v>Obsolete</x:v>
      </x:c>
      <x:c r="F2017" s="117" t="str">
        <x:v>No</x:v>
      </x:c>
      <x:c r="G2017" s="117" t="str">
        <x:v>No</x:v>
      </x:c>
      <x:c r="H2017" s="117" t="str">
        <x:v>Workflow</x:v>
      </x:c>
      <x:c r="I2017" s="118" t="n">
        <x:v>49</x:v>
      </x:c>
      <x:c r="J2017" s="117" t="str">
        <x:v>unmanaged</x:v>
      </x:c>
      <x:c r="K2017" s="123" t="b">
        <x:v>0</x:v>
      </x:c>
      <x:c r="L2017" s="117"/>
      <x:c r="M2017" s="118"/>
      <x:c r="N2017" s="120" t="n">
        <x:v>44228.73138888889</x:v>
      </x:c>
      <x:c r="O2017" s="117" t="str">
        <x:v>Venn</x:v>
      </x:c>
      <x:c r="P2017" s="120" t="n">
        <x:v>44229.78304398148</x:v>
      </x:c>
      <x:c r="Q2017" s="117" t="str">
        <x:v>Delegate</x:v>
      </x:c>
      <x:c r="R2017" s="117" t="str">
        <x:v>Opportunity Create Processes</x:v>
      </x:c>
      <x:c r="S2017" s="119" t="str">
        <x:v>Processes that run when an opportunity is created</x:v>
      </x:c>
    </x:row>
    <x:row r="2018" ht="30" customHeight="1">
      <x:c r="A2018" s="117" t="str">
        <x:v>Opportunity_Create_Processes</x:v>
      </x:c>
      <x:c r="B2018" s="117" t="str">
        <x:v>3004O000000LOvxQAG</x:v>
      </x:c>
      <x:c r="C2018" s="117" t="str">
        <x:v>3014O000000M1IuQAK</x:v>
      </x:c>
      <x:c r="D2018" s="118" t="n">
        <x:v>2</x:v>
      </x:c>
      <x:c r="E2018" s="117" t="str">
        <x:v>Draft</x:v>
      </x:c>
      <x:c r="F2018" s="117" t="str">
        <x:v>No</x:v>
      </x:c>
      <x:c r="G2018" s="117" t="str">
        <x:v>No</x:v>
      </x:c>
      <x:c r="H2018" s="117" t="str">
        <x:v>Workflow</x:v>
      </x:c>
      <x:c r="I2018" s="118" t="n">
        <x:v>49</x:v>
      </x:c>
      <x:c r="J2018" s="117" t="str">
        <x:v>unmanaged</x:v>
      </x:c>
      <x:c r="K2018" s="123" t="b">
        <x:v>0</x:v>
      </x:c>
      <x:c r="L2018" s="117"/>
      <x:c r="M2018" s="118"/>
      <x:c r="N2018" s="120" t="n">
        <x:v>44229.77689814815</x:v>
      </x:c>
      <x:c r="O2018" s="117" t="str">
        <x:v>Delegate</x:v>
      </x:c>
      <x:c r="P2018" s="120" t="n">
        <x:v>44229.77690972222</x:v>
      </x:c>
      <x:c r="Q2018" s="117" t="str">
        <x:v>Delegate</x:v>
      </x:c>
      <x:c r="R2018" s="117" t="str">
        <x:v>Opportunity Create Processes</x:v>
      </x:c>
      <x:c r="S2018" s="119" t="str">
        <x:v>Processes that run when an opportunity is created</x:v>
      </x:c>
    </x:row>
    <x:row r="2019" ht="30" customHeight="1">
      <x:c r="A2019" s="117" t="str">
        <x:v>Opportunity_Create_Processes</x:v>
      </x:c>
      <x:c r="B2019" s="117" t="str">
        <x:v>3004O000000LOvxQAG</x:v>
      </x:c>
      <x:c r="C2019" s="117" t="str">
        <x:v>3014O000000M1JiQAK</x:v>
      </x:c>
      <x:c r="D2019" s="118" t="n">
        <x:v>3</x:v>
      </x:c>
      <x:c r="E2019" s="117" t="str">
        <x:v>Obsolete</x:v>
      </x:c>
      <x:c r="F2019" s="117" t="str">
        <x:v>No</x:v>
      </x:c>
      <x:c r="G2019" s="117" t="str">
        <x:v>No</x:v>
      </x:c>
      <x:c r="H2019" s="117" t="str">
        <x:v>Workflow</x:v>
      </x:c>
      <x:c r="I2019" s="118" t="n">
        <x:v>49</x:v>
      </x:c>
      <x:c r="J2019" s="117" t="str">
        <x:v>unmanaged</x:v>
      </x:c>
      <x:c r="K2019" s="123" t="b">
        <x:v>0</x:v>
      </x:c>
      <x:c r="L2019" s="117"/>
      <x:c r="M2019" s="118"/>
      <x:c r="N2019" s="120" t="n">
        <x:v>44229.796805555554</x:v>
      </x:c>
      <x:c r="O2019" s="117" t="str">
        <x:v>Delegate</x:v>
      </x:c>
      <x:c r="P2019" s="120" t="n">
        <x:v>44403.25171296296</x:v>
      </x:c>
      <x:c r="Q2019" s="117" t="str">
        <x:v>Natalie Boger</x:v>
      </x:c>
      <x:c r="R2019" s="117" t="str">
        <x:v>Opportunity Create Processes</x:v>
      </x:c>
      <x:c r="S2019" s="119" t="str">
        <x:v>Processes that run when an opportunity is created</x:v>
      </x:c>
    </x:row>
    <x:row r="2020" ht="30" customHeight="1">
      <x:c r="A2020" s="117" t="str">
        <x:v>Opportunity_Create_Processes</x:v>
      </x:c>
      <x:c r="B2020" s="117" t="str">
        <x:v>3004O000000LOvxQAG</x:v>
      </x:c>
      <x:c r="C2020" s="117" t="str">
        <x:v>3014O000000YBQ2QAO</x:v>
      </x:c>
      <x:c r="D2020" s="118" t="n">
        <x:v>4</x:v>
      </x:c>
      <x:c r="E2020" s="117" t="str">
        <x:v>Draft</x:v>
      </x:c>
      <x:c r="F2020" s="117" t="str">
        <x:v>No</x:v>
      </x:c>
      <x:c r="G2020" s="117" t="str">
        <x:v>Yes</x:v>
      </x:c>
      <x:c r="H2020" s="117" t="str">
        <x:v>Workflow</x:v>
      </x:c>
      <x:c r="I2020" s="118" t="n">
        <x:v>49</x:v>
      </x:c>
      <x:c r="J2020" s="117" t="str">
        <x:v>unmanaged</x:v>
      </x:c>
      <x:c r="K2020" s="123" t="b">
        <x:v>0</x:v>
      </x:c>
      <x:c r="L2020" s="117"/>
      <x:c r="M2020" s="118"/>
      <x:c r="N2020" s="120" t="n">
        <x:v>44349.9143287037</x:v>
      </x:c>
      <x:c r="O2020" s="117" t="str">
        <x:v>Delegate</x:v>
      </x:c>
      <x:c r="P2020" s="120" t="n">
        <x:v>44349.914351851854</x:v>
      </x:c>
      <x:c r="Q2020" s="117" t="str">
        <x:v>Delegate</x:v>
      </x:c>
      <x:c r="R2020" s="117" t="str">
        <x:v>Opportunity Create Processes</x:v>
      </x:c>
      <x:c r="S2020" s="119" t="str">
        <x:v>Processes that run when an opportunity is created</x:v>
      </x:c>
    </x:row>
    <x:row r="2021" ht="30" customHeight="1">
      <x:c r="A2021" s="117" t="str">
        <x:v>Opportunity_Create_Warranty_Service_Contract</x:v>
      </x:c>
      <x:c r="B2021" s="117" t="str">
        <x:v>3005b000000H1eMAAS</x:v>
      </x:c>
      <x:c r="C2021" s="117" t="str">
        <x:v>3015b000000E9YNAA0</x:v>
      </x:c>
      <x:c r="D2021" s="118" t="n">
        <x:v>1</x:v>
      </x:c>
      <x:c r="E2021" s="117" t="str">
        <x:v>Obsolete</x:v>
      </x:c>
      <x:c r="F2021" s="117" t="str">
        <x:v>No</x:v>
      </x:c>
      <x:c r="G2021" s="117" t="str">
        <x:v>No</x:v>
      </x:c>
      <x:c r="H2021" s="117" t="str">
        <x:v>AutoLaunchedFlow</x:v>
      </x:c>
      <x:c r="I2021" s="118" t="n">
        <x:v>52</x:v>
      </x:c>
      <x:c r="J2021" s="117" t="str">
        <x:v>unmanaged</x:v>
      </x:c>
      <x:c r="K2021" s="123" t="b">
        <x:v>0</x:v>
      </x:c>
      <x:c r="L2021" s="117"/>
      <x:c r="M2021" s="118"/>
      <x:c r="N2021" s="120" t="n">
        <x:v>44431.1931712963</x:v>
      </x:c>
      <x:c r="O2021" s="117" t="str">
        <x:v>Natalie Boger</x:v>
      </x:c>
      <x:c r="P2021" s="120" t="n">
        <x:v>44452.618159722224</x:v>
      </x:c>
      <x:c r="Q2021" s="117" t="str">
        <x:v>Natalie Boger</x:v>
      </x:c>
      <x:c r="R2021" s="117" t="str">
        <x:v>Opportunity - Create Warranty Service Contract</x:v>
      </x:c>
      <x:c r="S2021" s="119" t="str">
        <x:v>Creates a warranty service contract if a closed won opportunity has a warranty product.</x:v>
      </x:c>
    </x:row>
    <x:row r="2022" ht="30" customHeight="1">
      <x:c r="A2022" s="117" t="str">
        <x:v>Opportunity_Create_Warranty_Service_Contract</x:v>
      </x:c>
      <x:c r="B2022" s="117" t="str">
        <x:v>3005b000000H1eMAAS</x:v>
      </x:c>
      <x:c r="C2022" s="117" t="str">
        <x:v>3015b000000EARDAA4</x:v>
      </x:c>
      <x:c r="D2022" s="118" t="n">
        <x:v>2</x:v>
      </x:c>
      <x:c r="E2022" s="117" t="str">
        <x:v>Obsolete</x:v>
      </x:c>
      <x:c r="F2022" s="117" t="str">
        <x:v>No</x:v>
      </x:c>
      <x:c r="G2022" s="117" t="str">
        <x:v>No</x:v>
      </x:c>
      <x:c r="H2022" s="117" t="str">
        <x:v>AutoLaunchedFlow</x:v>
      </x:c>
      <x:c r="I2022" s="118" t="n">
        <x:v>52</x:v>
      </x:c>
      <x:c r="J2022" s="117" t="str">
        <x:v>unmanaged</x:v>
      </x:c>
      <x:c r="K2022" s="123" t="b">
        <x:v>0</x:v>
      </x:c>
      <x:c r="L2022" s="117"/>
      <x:c r="M2022" s="118"/>
      <x:c r="N2022" s="120" t="n">
        <x:v>44452.62747685185</x:v>
      </x:c>
      <x:c r="O2022" s="117" t="str">
        <x:v>Natalie Boger</x:v>
      </x:c>
      <x:c r="P2022" s="120" t="n">
        <x:v>44452.62751157407</x:v>
      </x:c>
      <x:c r="Q2022" s="117" t="str">
        <x:v>Natalie Boger</x:v>
      </x:c>
      <x:c r="R2022" s="117" t="str">
        <x:v>Opportunity - Create Warranty Service Contract</x:v>
      </x:c>
      <x:c r="S2022" s="119" t="str">
        <x:v>Creates a warranty service contract if a closed won opportunity has a warranty product.</x:v>
      </x:c>
    </x:row>
    <x:row r="2023" ht="30" customHeight="1">
      <x:c r="A2023" s="117" t="str">
        <x:v>Opportunity_Create_Warranty_Service_Contract</x:v>
      </x:c>
      <x:c r="B2023" s="117" t="str">
        <x:v>3005b000000H1eMAAS</x:v>
      </x:c>
      <x:c r="C2023" s="117" t="str">
        <x:v>3015b000000EDgQAAW</x:v>
      </x:c>
      <x:c r="D2023" s="118" t="n">
        <x:v>3</x:v>
      </x:c>
      <x:c r="E2023" s="117" t="str">
        <x:v>Obsolete</x:v>
      </x:c>
      <x:c r="F2023" s="117" t="str">
        <x:v>No</x:v>
      </x:c>
      <x:c r="G2023" s="117" t="str">
        <x:v>No</x:v>
      </x:c>
      <x:c r="H2023" s="117" t="str">
        <x:v>AutoLaunchedFlow</x:v>
      </x:c>
      <x:c r="I2023" s="118" t="n">
        <x:v>52</x:v>
      </x:c>
      <x:c r="J2023" s="117" t="str">
        <x:v>unmanaged</x:v>
      </x:c>
      <x:c r="K2023" s="123" t="b">
        <x:v>0</x:v>
      </x:c>
      <x:c r="L2023" s="117"/>
      <x:c r="M2023" s="118"/>
      <x:c r="N2023" s="120" t="n">
        <x:v>44522.35215277778</x:v>
      </x:c>
      <x:c r="O2023" s="117" t="str">
        <x:v>Natalie Boger</x:v>
      </x:c>
      <x:c r="P2023" s="120" t="n">
        <x:v>44522.66380787037</x:v>
      </x:c>
      <x:c r="Q2023" s="117" t="str">
        <x:v>Natalie Boger</x:v>
      </x:c>
      <x:c r="R2023" s="117" t="str">
        <x:v>Opportunity - Create Warranty Service Contract</x:v>
      </x:c>
      <x:c r="S2023" s="119" t="str">
        <x:v>Creates a warranty service contract if a closed won opportunity has a warranty product.</x:v>
      </x:c>
    </x:row>
    <x:row r="2024" ht="30" customHeight="1">
      <x:c r="A2024" s="117" t="str">
        <x:v>Opportunity_Create_Warranty_Service_Contract</x:v>
      </x:c>
      <x:c r="B2024" s="117" t="str">
        <x:v>3005b000000H1eMAAS</x:v>
      </x:c>
      <x:c r="C2024" s="117" t="str">
        <x:v>3015b000000EJDpAAO</x:v>
      </x:c>
      <x:c r="D2024" s="118" t="n">
        <x:v>4</x:v>
      </x:c>
      <x:c r="E2024" s="117" t="str">
        <x:v>Obsolete</x:v>
      </x:c>
      <x:c r="F2024" s="117" t="str">
        <x:v>No</x:v>
      </x:c>
      <x:c r="G2024" s="117" t="str">
        <x:v>No</x:v>
      </x:c>
      <x:c r="H2024" s="117" t="str">
        <x:v>AutoLaunchedFlow</x:v>
      </x:c>
      <x:c r="I2024" s="118" t="n">
        <x:v>52</x:v>
      </x:c>
      <x:c r="J2024" s="117" t="str">
        <x:v>unmanaged</x:v>
      </x:c>
      <x:c r="K2024" s="123" t="b">
        <x:v>0</x:v>
      </x:c>
      <x:c r="L2024" s="117"/>
      <x:c r="M2024" s="118"/>
      <x:c r="N2024" s="120" t="n">
        <x:v>44665.927465277775</x:v>
      </x:c>
      <x:c r="O2024" s="117" t="str">
        <x:v>Natalie Boger</x:v>
      </x:c>
      <x:c r="P2024" s="120" t="n">
        <x:v>44665.927511574075</x:v>
      </x:c>
      <x:c r="Q2024" s="117" t="str">
        <x:v>Natalie Boger</x:v>
      </x:c>
      <x:c r="R2024" s="117" t="str">
        <x:v>Opportunity - Create Warranty Service Contract</x:v>
      </x:c>
      <x:c r="S2024" s="119" t="str">
        <x:v>Creates a warranty service contract if a closed won opportunity has a warranty product.</x:v>
      </x:c>
    </x:row>
    <x:row r="2025" ht="30" customHeight="1">
      <x:c r="A2025" s="117" t="str">
        <x:v>Opportunity_Create_Warranty_Service_Contract</x:v>
      </x:c>
      <x:c r="B2025" s="117" t="str">
        <x:v>3005b000000H1eMAAS</x:v>
      </x:c>
      <x:c r="C2025" s="117" t="str">
        <x:v>3015b000000A8HuAAK</x:v>
      </x:c>
      <x:c r="D2025" s="118" t="n">
        <x:v>5</x:v>
      </x:c>
      <x:c r="E2025" s="117" t="str">
        <x:v>Obsolete</x:v>
      </x:c>
      <x:c r="F2025" s="117" t="str">
        <x:v>No</x:v>
      </x:c>
      <x:c r="G2025" s="117" t="str">
        <x:v>No</x:v>
      </x:c>
      <x:c r="H2025" s="117" t="str">
        <x:v>AutoLaunchedFlow</x:v>
      </x:c>
      <x:c r="I2025" s="118" t="n">
        <x:v>52</x:v>
      </x:c>
      <x:c r="J2025" s="117" t="str">
        <x:v>unmanaged</x:v>
      </x:c>
      <x:c r="K2025" s="123" t="b">
        <x:v>0</x:v>
      </x:c>
      <x:c r="L2025" s="117"/>
      <x:c r="M2025" s="118"/>
      <x:c r="N2025" s="120" t="n">
        <x:v>44855.83814814815</x:v>
      </x:c>
      <x:c r="O2025" s="117" t="str">
        <x:v>Jace Gentil</x:v>
      </x:c>
      <x:c r="P2025" s="120" t="n">
        <x:v>44855.87327546296</x:v>
      </x:c>
      <x:c r="Q2025" s="117" t="str">
        <x:v>Jace Gentil</x:v>
      </x:c>
      <x:c r="R2025" s="117" t="str">
        <x:v>Opportunity - Create Warranty Service Contract</x:v>
      </x:c>
      <x:c r="S2025" s="119" t="str">
        <x:v>Creates a warranty service contract if a closed won opportunity has a warranty product.</x:v>
      </x:c>
    </x:row>
    <x:row r="2026" ht="30" customHeight="1">
      <x:c r="A2026" s="117" t="str">
        <x:v>Opportunity_Create_Warranty_Service_Contract</x:v>
      </x:c>
      <x:c r="B2026" s="117" t="str">
        <x:v>3005b000000H1eMAAS</x:v>
      </x:c>
      <x:c r="C2026" s="117" t="str">
        <x:v>3015b000000A8IYAA0</x:v>
      </x:c>
      <x:c r="D2026" s="118" t="n">
        <x:v>6</x:v>
      </x:c>
      <x:c r="E2026" s="117" t="str">
        <x:v>Obsolete</x:v>
      </x:c>
      <x:c r="F2026" s="117" t="str">
        <x:v>No</x:v>
      </x:c>
      <x:c r="G2026" s="117" t="str">
        <x:v>No</x:v>
      </x:c>
      <x:c r="H2026" s="117" t="str">
        <x:v>AutoLaunchedFlow</x:v>
      </x:c>
      <x:c r="I2026" s="118" t="n">
        <x:v>52</x:v>
      </x:c>
      <x:c r="J2026" s="117" t="str">
        <x:v>unmanaged</x:v>
      </x:c>
      <x:c r="K2026" s="123" t="b">
        <x:v>0</x:v>
      </x:c>
      <x:c r="L2026" s="117"/>
      <x:c r="M2026" s="118"/>
      <x:c r="N2026" s="120" t="n">
        <x:v>44855.868125</x:v>
      </x:c>
      <x:c r="O2026" s="117" t="str">
        <x:v>Jace Gentil</x:v>
      </x:c>
      <x:c r="P2026" s="120" t="n">
        <x:v>44855.868159722224</x:v>
      </x:c>
      <x:c r="Q2026" s="117" t="str">
        <x:v>Jace Gentil</x:v>
      </x:c>
      <x:c r="R2026" s="117" t="str">
        <x:v>Opportunity - Create Warranty Service Contract</x:v>
      </x:c>
      <x:c r="S2026" s="119" t="str">
        <x:v>Creates a warranty service contract if a closed won opportunity has a warranty product.</x:v>
      </x:c>
    </x:row>
    <x:row r="2027" ht="30" customHeight="1">
      <x:c r="A2027" s="117" t="str">
        <x:v>Opportunity_Create_Warranty_Service_Contract</x:v>
      </x:c>
      <x:c r="B2027" s="117" t="str">
        <x:v>3005b000000H1eMAAS</x:v>
      </x:c>
      <x:c r="C2027" s="117" t="str">
        <x:v>3015b000000A8IdAAK</x:v>
      </x:c>
      <x:c r="D2027" s="118" t="n">
        <x:v>7</x:v>
      </x:c>
      <x:c r="E2027" s="117" t="str">
        <x:v>Obsolete</x:v>
      </x:c>
      <x:c r="F2027" s="117" t="str">
        <x:v>No</x:v>
      </x:c>
      <x:c r="G2027" s="117" t="str">
        <x:v>No</x:v>
      </x:c>
      <x:c r="H2027" s="117" t="str">
        <x:v>AutoLaunchedFlow</x:v>
      </x:c>
      <x:c r="I2027" s="118" t="n">
        <x:v>52</x:v>
      </x:c>
      <x:c r="J2027" s="117" t="str">
        <x:v>unmanaged</x:v>
      </x:c>
      <x:c r="K2027" s="123" t="b">
        <x:v>0</x:v>
      </x:c>
      <x:c r="L2027" s="117"/>
      <x:c r="M2027" s="118"/>
      <x:c r="N2027" s="120" t="n">
        <x:v>44855.87547453704</x:v>
      </x:c>
      <x:c r="O2027" s="117" t="str">
        <x:v>Jace Gentil</x:v>
      </x:c>
      <x:c r="P2027" s="120" t="n">
        <x:v>44855.87550925926</x:v>
      </x:c>
      <x:c r="Q2027" s="117" t="str">
        <x:v>Jace Gentil</x:v>
      </x:c>
      <x:c r="R2027" s="117" t="str">
        <x:v>Opportunity - Create Warranty Service Contract</x:v>
      </x:c>
      <x:c r="S2027" s="119" t="str">
        <x:v>Creates a warranty service contract if a closed won opportunity has a warranty product.</x:v>
      </x:c>
    </x:row>
    <x:row r="2028" ht="30" customHeight="1">
      <x:c r="A2028" s="117" t="str">
        <x:v>Opportunity_Create_Warranty_Service_Contract</x:v>
      </x:c>
      <x:c r="B2028" s="117" t="str">
        <x:v>3005b000000H1eMAAS</x:v>
      </x:c>
      <x:c r="C2028" s="117" t="str">
        <x:v>3015b000000AEhtAAG</x:v>
      </x:c>
      <x:c r="D2028" s="118" t="n">
        <x:v>8</x:v>
      </x:c>
      <x:c r="E2028" s="117" t="str">
        <x:v>Obsolete</x:v>
      </x:c>
      <x:c r="F2028" s="117" t="str">
        <x:v>No</x:v>
      </x:c>
      <x:c r="G2028" s="117" t="str">
        <x:v>No</x:v>
      </x:c>
      <x:c r="H2028" s="117" t="str">
        <x:v>AutoLaunchedFlow</x:v>
      </x:c>
      <x:c r="I2028" s="118" t="n">
        <x:v>52</x:v>
      </x:c>
      <x:c r="J2028" s="117" t="str">
        <x:v>unmanaged</x:v>
      </x:c>
      <x:c r="K2028" s="123" t="b">
        <x:v>0</x:v>
      </x:c>
      <x:c r="L2028" s="117"/>
      <x:c r="M2028" s="118"/>
      <x:c r="N2028" s="120" t="n">
        <x:v>44946.69700231482</x:v>
      </x:c>
      <x:c r="O2028" s="117" t="str">
        <x:v>Jace Gentil</x:v>
      </x:c>
      <x:c r="P2028" s="120" t="n">
        <x:v>44949.4203125</x:v>
      </x:c>
      <x:c r="Q2028" s="117" t="str">
        <x:v>Jon Kean</x:v>
      </x:c>
      <x:c r="R2028" s="117" t="str">
        <x:v>Opportunity - Create Warranty Service Contract</x:v>
      </x:c>
      <x:c r="S2028" s="119" t="str">
        <x:v>Creates a warranty service contract if a closed won opportunity has a warranty product.</x:v>
      </x:c>
    </x:row>
    <x:row r="2029" ht="30" customHeight="1">
      <x:c r="A2029" s="117" t="str">
        <x:v>Opportunity_Create_Warranty_Service_Contract</x:v>
      </x:c>
      <x:c r="B2029" s="117" t="str">
        <x:v>3005b000000H1eMAAS</x:v>
      </x:c>
      <x:c r="C2029" s="117" t="str">
        <x:v>3015b000000W0AaAAK</x:v>
      </x:c>
      <x:c r="D2029" s="118" t="n">
        <x:v>9</x:v>
      </x:c>
      <x:c r="E2029" s="117" t="str">
        <x:v>Obsolete</x:v>
      </x:c>
      <x:c r="F2029" s="117" t="str">
        <x:v>No</x:v>
      </x:c>
      <x:c r="G2029" s="117" t="str">
        <x:v>No</x:v>
      </x:c>
      <x:c r="H2029" s="117" t="str">
        <x:v>AutoLaunchedFlow</x:v>
      </x:c>
      <x:c r="I2029" s="118" t="n">
        <x:v>52</x:v>
      </x:c>
      <x:c r="J2029" s="117" t="str">
        <x:v>unmanaged</x:v>
      </x:c>
      <x:c r="K2029" s="123" t="b">
        <x:v>0</x:v>
      </x:c>
      <x:c r="L2029" s="117"/>
      <x:c r="M2029" s="118"/>
      <x:c r="N2029" s="120" t="n">
        <x:v>44992.5284375</x:v>
      </x:c>
      <x:c r="O2029" s="117" t="str">
        <x:v>Jon Kean</x:v>
      </x:c>
      <x:c r="P2029" s="120" t="n">
        <x:v>45069.72934027778</x:v>
      </x:c>
      <x:c r="Q2029" s="117" t="str">
        <x:v>Jace Gentil</x:v>
      </x:c>
      <x:c r="R2029" s="117" t="str">
        <x:v>Opportunity - Create Warranty Service Contract</x:v>
      </x:c>
      <x:c r="S2029" s="119" t="str">
        <x:v>Creates a warranty service contract if a closed won opportunity has a warranty product.</x:v>
      </x:c>
    </x:row>
    <x:row r="2030" ht="30" customHeight="1">
      <x:c r="A2030" s="117" t="str">
        <x:v>Opportunity_Create_Warranty_Service_Contract</x:v>
      </x:c>
      <x:c r="B2030" s="117" t="str">
        <x:v>3005b000000H1eMAAS</x:v>
      </x:c>
      <x:c r="C2030" s="117" t="str">
        <x:v>3015b000000W2a6AAC</x:v>
      </x:c>
      <x:c r="D2030" s="118" t="n">
        <x:v>10</x:v>
      </x:c>
      <x:c r="E2030" s="117" t="str">
        <x:v>Obsolete</x:v>
      </x:c>
      <x:c r="F2030" s="117" t="str">
        <x:v>No</x:v>
      </x:c>
      <x:c r="G2030" s="117" t="str">
        <x:v>No</x:v>
      </x:c>
      <x:c r="H2030" s="117" t="str">
        <x:v>AutoLaunchedFlow</x:v>
      </x:c>
      <x:c r="I2030" s="118" t="n">
        <x:v>52</x:v>
      </x:c>
      <x:c r="J2030" s="117" t="str">
        <x:v>unmanaged</x:v>
      </x:c>
      <x:c r="K2030" s="123" t="b">
        <x:v>0</x:v>
      </x:c>
      <x:c r="L2030" s="117"/>
      <x:c r="M2030" s="118"/>
      <x:c r="N2030" s="120" t="n">
        <x:v>45051.551840277774</x:v>
      </x:c>
      <x:c r="O2030" s="117" t="str">
        <x:v>Jace Gentil</x:v>
      </x:c>
      <x:c r="P2030" s="120" t="n">
        <x:v>45051.609351851854</x:v>
      </x:c>
      <x:c r="Q2030" s="117" t="str">
        <x:v>Jace Gentil</x:v>
      </x:c>
      <x:c r="R2030" s="117" t="str">
        <x:v>Opportunity - Create Warranty Service Contract</x:v>
      </x:c>
      <x:c r="S2030" s="119" t="str">
        <x:v>Creates a warranty service contract if a closed won opportunity has a warranty product.</x:v>
      </x:c>
    </x:row>
    <x:row r="2031" ht="30" customHeight="1">
      <x:c r="A2031" s="117" t="str">
        <x:v>Opportunity_Create_Warranty_Service_Contract</x:v>
      </x:c>
      <x:c r="B2031" s="117" t="str">
        <x:v>3005b000000H1eMAAS</x:v>
      </x:c>
      <x:c r="C2031" s="117" t="str">
        <x:v>3015b000000W3JfAAK</x:v>
      </x:c>
      <x:c r="D2031" s="118" t="n">
        <x:v>11</x:v>
      </x:c>
      <x:c r="E2031" s="117" t="str">
        <x:v>Obsolete</x:v>
      </x:c>
      <x:c r="F2031" s="117" t="str">
        <x:v>No</x:v>
      </x:c>
      <x:c r="G2031" s="117" t="str">
        <x:v>No</x:v>
      </x:c>
      <x:c r="H2031" s="117" t="str">
        <x:v>AutoLaunchedFlow</x:v>
      </x:c>
      <x:c r="I2031" s="118" t="n">
        <x:v>52</x:v>
      </x:c>
      <x:c r="J2031" s="117" t="str">
        <x:v>unmanaged</x:v>
      </x:c>
      <x:c r="K2031" s="123" t="b">
        <x:v>0</x:v>
      </x:c>
      <x:c r="L2031" s="117"/>
      <x:c r="M2031" s="118"/>
      <x:c r="N2031" s="120" t="n">
        <x:v>45069.642858796295</x:v>
      </x:c>
      <x:c r="O2031" s="117" t="str">
        <x:v>Delegate</x:v>
      </x:c>
      <x:c r="P2031" s="120" t="n">
        <x:v>45069.64292824074</x:v>
      </x:c>
      <x:c r="Q2031" s="117" t="str">
        <x:v>Delegate</x:v>
      </x:c>
      <x:c r="R2031" s="117" t="str">
        <x:v>Opportunity - Create Warranty Service Contract</x:v>
      </x:c>
      <x:c r="S2031" s="119" t="str">
        <x:v>Creates a warranty service contract if a closed won opportunity has a warranty product.</x:v>
      </x:c>
    </x:row>
    <x:row r="2032" ht="30" customHeight="1">
      <x:c r="A2032" s="117" t="str">
        <x:v>Opportunity_Create_Warranty_Service_Contract</x:v>
      </x:c>
      <x:c r="B2032" s="117" t="str">
        <x:v>3005b000000H1eMAAS</x:v>
      </x:c>
      <x:c r="C2032" s="117" t="str">
        <x:v>3015b000000W3JpAAK</x:v>
      </x:c>
      <x:c r="D2032" s="118" t="n">
        <x:v>12</x:v>
      </x:c>
      <x:c r="E2032" s="117" t="str">
        <x:v>Obsolete</x:v>
      </x:c>
      <x:c r="F2032" s="117" t="str">
        <x:v>No</x:v>
      </x:c>
      <x:c r="G2032" s="117" t="str">
        <x:v>No</x:v>
      </x:c>
      <x:c r="H2032" s="117" t="str">
        <x:v>AutoLaunchedFlow</x:v>
      </x:c>
      <x:c r="I2032" s="118" t="n">
        <x:v>52</x:v>
      </x:c>
      <x:c r="J2032" s="117" t="str">
        <x:v>unmanaged</x:v>
      </x:c>
      <x:c r="K2032" s="123" t="b">
        <x:v>0</x:v>
      </x:c>
      <x:c r="L2032" s="117"/>
      <x:c r="M2032" s="118"/>
      <x:c r="N2032" s="120" t="n">
        <x:v>45069.65403935185</x:v>
      </x:c>
      <x:c r="O2032" s="117" t="str">
        <x:v>Jon Kean</x:v>
      </x:c>
      <x:c r="P2032" s="120" t="n">
        <x:v>45069.6541087963</x:v>
      </x:c>
      <x:c r="Q2032" s="117" t="str">
        <x:v>Jon Kean</x:v>
      </x:c>
      <x:c r="R2032" s="117" t="str">
        <x:v>Opportunity - Create Warranty Service Contract</x:v>
      </x:c>
      <x:c r="S2032" s="119" t="str">
        <x:v>Creates a warranty service contract if a closed won opportunity has a warranty product.</x:v>
      </x:c>
    </x:row>
    <x:row r="2033" ht="30" customHeight="1">
      <x:c r="A2033" s="117" t="str">
        <x:v>Opportunity_Create_Warranty_Service_Contract</x:v>
      </x:c>
      <x:c r="B2033" s="117" t="str">
        <x:v>3005b000000H1eMAAS</x:v>
      </x:c>
      <x:c r="C2033" s="117" t="str">
        <x:v>3015b000000W3leAAC</x:v>
      </x:c>
      <x:c r="D2033" s="118" t="n">
        <x:v>13</x:v>
      </x:c>
      <x:c r="E2033" s="117" t="str">
        <x:v>Obsolete</x:v>
      </x:c>
      <x:c r="F2033" s="117" t="str">
        <x:v>No</x:v>
      </x:c>
      <x:c r="G2033" s="117" t="str">
        <x:v>No</x:v>
      </x:c>
      <x:c r="H2033" s="117" t="str">
        <x:v>AutoLaunchedFlow</x:v>
      </x:c>
      <x:c r="I2033" s="118" t="n">
        <x:v>52</x:v>
      </x:c>
      <x:c r="J2033" s="117" t="str">
        <x:v>unmanaged</x:v>
      </x:c>
      <x:c r="K2033" s="123" t="b">
        <x:v>0</x:v>
      </x:c>
      <x:c r="L2033" s="117"/>
      <x:c r="M2033" s="118"/>
      <x:c r="N2033" s="120" t="n">
        <x:v>45083.525671296295</x:v>
      </x:c>
      <x:c r="O2033" s="117" t="str">
        <x:v>Delegate</x:v>
      </x:c>
      <x:c r="P2033" s="120" t="n">
        <x:v>45083.52616898148</x:v>
      </x:c>
      <x:c r="Q2033" s="117" t="str">
        <x:v>Delegate</x:v>
      </x:c>
      <x:c r="R2033" s="117" t="str">
        <x:v>Opportunity - Create Warranty Service Contract</x:v>
      </x:c>
      <x:c r="S2033" s="119" t="str">
        <x:v>Creates a warranty service contract if a closed won opportunity has a warranty product.</x:v>
      </x:c>
    </x:row>
    <x:row r="2034" ht="30" customHeight="1">
      <x:c r="A2034" s="117" t="str">
        <x:v>Opportunity_Create_Warranty_Service_Contract</x:v>
      </x:c>
      <x:c r="B2034" s="117" t="str">
        <x:v>3005b000000H1eMAAS</x:v>
      </x:c>
      <x:c r="C2034" s="117" t="str">
        <x:v>3015b000000APeTAAW</x:v>
      </x:c>
      <x:c r="D2034" s="118" t="n">
        <x:v>14</x:v>
      </x:c>
      <x:c r="E2034" s="117" t="str">
        <x:v>Obsolete</x:v>
      </x:c>
      <x:c r="F2034" s="117" t="str">
        <x:v>No</x:v>
      </x:c>
      <x:c r="G2034" s="117" t="str">
        <x:v>No</x:v>
      </x:c>
      <x:c r="H2034" s="117" t="str">
        <x:v>AutoLaunchedFlow</x:v>
      </x:c>
      <x:c r="I2034" s="118" t="n">
        <x:v>52</x:v>
      </x:c>
      <x:c r="J2034" s="117" t="str">
        <x:v>unmanaged</x:v>
      </x:c>
      <x:c r="K2034" s="123" t="b">
        <x:v>0</x:v>
      </x:c>
      <x:c r="L2034" s="117"/>
      <x:c r="M2034" s="118"/>
      <x:c r="N2034" s="120" t="n">
        <x:v>45145.5493287037</x:v>
      </x:c>
      <x:c r="O2034" s="117" t="str">
        <x:v>Delegate</x:v>
      </x:c>
      <x:c r="P2034" s="120" t="n">
        <x:v>45145.54939814815</x:v>
      </x:c>
      <x:c r="Q2034" s="117" t="str">
        <x:v>Delegate</x:v>
      </x:c>
      <x:c r="R2034" s="117" t="str">
        <x:v>Opportunity - Create Warranty Service Contract</x:v>
      </x:c>
      <x:c r="S2034" s="119" t="str">
        <x:v>Added asynchronous path</x:v>
      </x:c>
    </x:row>
    <x:row r="2035" ht="30" customHeight="1">
      <x:c r="A2035" s="117" t="str">
        <x:v>Opportunity_Create_Warranty_Service_Contract</x:v>
      </x:c>
      <x:c r="B2035" s="117" t="str">
        <x:v>3005b000000H1eMAAS</x:v>
      </x:c>
      <x:c r="C2035" s="117" t="str">
        <x:v>301Ro000016PeO8IAK</x:v>
      </x:c>
      <x:c r="D2035" s="118" t="n">
        <x:v>15</x:v>
      </x:c>
      <x:c r="E2035" s="117" t="str">
        <x:v>Obsolete</x:v>
      </x:c>
      <x:c r="F2035" s="117" t="str">
        <x:v>No</x:v>
      </x:c>
      <x:c r="G2035" s="117" t="str">
        <x:v>No</x:v>
      </x:c>
      <x:c r="H2035" s="117" t="str">
        <x:v>AutoLaunchedFlow</x:v>
      </x:c>
      <x:c r="I2035" s="118" t="n">
        <x:v>52</x:v>
      </x:c>
      <x:c r="J2035" s="117" t="str">
        <x:v>unmanaged</x:v>
      </x:c>
      <x:c r="K2035" s="123" t="b">
        <x:v>0</x:v>
      </x:c>
      <x:c r="L2035" s="117"/>
      <x:c r="M2035" s="118"/>
      <x:c r="N2035" s="120" t="n">
        <x:v>46164.53083333333</x:v>
      </x:c>
      <x:c r="O2035" s="117" t="str">
        <x:v>Delegate</x:v>
      </x:c>
      <x:c r="P2035" s="120" t="n">
        <x:v>46164.531377314815</x:v>
      </x:c>
      <x:c r="Q2035" s="117" t="str">
        <x:v>Delegate</x:v>
      </x:c>
      <x:c r="R2035" s="117" t="str">
        <x:v>Opportunity - Create Warranty Service Contract</x:v>
      </x:c>
      <x:c r="S2035" s="119" t="str">
        <x:v>05/22/2026 (BW) - Fixed the Shipping Country issue by adding an exception parameter for "US" to be changed to "United States"</x:v>
      </x:c>
    </x:row>
    <x:row r="2036" ht="30" customHeight="1">
      <x:c r="A2036" s="117" t="str">
        <x:v>Opportunity_Create_Warranty_Service_Contract</x:v>
      </x:c>
      <x:c r="B2036" s="117" t="str">
        <x:v>3005b000000H1eMAAS</x:v>
      </x:c>
      <x:c r="C2036" s="117" t="str">
        <x:v>301Ro000017i2EXIAY</x:v>
      </x:c>
      <x:c r="D2036" s="118" t="n">
        <x:v>16</x:v>
      </x:c>
      <x:c r="E2036" s="117" t="str">
        <x:v>Active</x:v>
      </x:c>
      <x:c r="F2036" s="117" t="str">
        <x:v>Yes</x:v>
      </x:c>
      <x:c r="G2036" s="117" t="str">
        <x:v>Yes</x:v>
      </x:c>
      <x:c r="H2036" s="117" t="str">
        <x:v>AutoLaunchedFlow</x:v>
      </x:c>
      <x:c r="I2036" s="118" t="n">
        <x:v>52</x:v>
      </x:c>
      <x:c r="J2036" s="117" t="str">
        <x:v>unmanaged</x:v>
      </x:c>
      <x:c r="K2036" s="123" t="b">
        <x:v>0</x:v>
      </x:c>
      <x:c r="L2036" s="117"/>
      <x:c r="M2036" s="118"/>
      <x:c r="N2036" s="120" t="n">
        <x:v>46178.63716435185</x:v>
      </x:c>
      <x:c r="O2036" s="117" t="str">
        <x:v>Delegate</x:v>
      </x:c>
      <x:c r="P2036" s="120" t="n">
        <x:v>46178.638136574074</x:v>
      </x:c>
      <x:c r="Q2036" s="117" t="str">
        <x:v>Delegate</x:v>
      </x:c>
      <x:c r="R2036" s="117" t="str">
        <x:v>Opportunity - Create Warranty Service Contract</x:v>
      </x:c>
      <x:c r="S2036" s="119" t="str">
        <x:v>05/22/2026 (BW) - Fixed the Shipping Country issue by adding an exception parameter for "US" to be changed to "United States"
06/05/2026 (BW) - Added StateTranslation__mdt lookup to convert 2-letter state abbreviations to full state names for Shipping and Billing state fields before creating the Service Contract</x:v>
      </x:c>
    </x:row>
    <x:row r="2037" ht="30" customHeight="1">
      <x:c r="A2037" s="117" t="str">
        <x:v>Opportunity_Creation_and_Update_Set_Intercompany_Transaction_Opportunity_Name</x:v>
      </x:c>
      <x:c r="B2037" s="117" t="str">
        <x:v>300Ro00000wIHDtIAO</x:v>
      </x:c>
      <x:c r="C2037" s="117" t="str">
        <x:v>301Ro000014SS6iIAG</x:v>
      </x:c>
      <x:c r="D2037" s="118" t="n">
        <x:v>1</x:v>
      </x:c>
      <x:c r="E2037" s="117" t="str">
        <x:v>Obsolete</x:v>
      </x:c>
      <x:c r="F2037" s="117" t="str">
        <x:v>No</x:v>
      </x:c>
      <x:c r="G2037" s="117" t="str">
        <x:v>No</x:v>
      </x:c>
      <x:c r="H2037" s="117" t="str">
        <x:v>AutoLaunchedFlow</x:v>
      </x:c>
      <x:c r="I2037" s="118" t="n">
        <x:v>66</x:v>
      </x:c>
      <x:c r="J2037" s="117" t="str">
        <x:v>unmanaged</x:v>
      </x:c>
      <x:c r="K2037" s="123" t="b">
        <x:v>0</x:v>
      </x:c>
      <x:c r="L2037" s="117"/>
      <x:c r="M2037" s="118"/>
      <x:c r="N2037" s="120" t="n">
        <x:v>46142.3637962963</x:v>
      </x:c>
      <x:c r="O2037" s="117" t="str">
        <x:v>Sacha Pearce</x:v>
      </x:c>
      <x:c r="P2037" s="120" t="n">
        <x:v>46142.36530092593</x:v>
      </x:c>
      <x:c r="Q2037" s="117" t="str">
        <x:v>Sacha Pearce</x:v>
      </x:c>
      <x:c r="R2037" s="117" t="str">
        <x:v>Opportunity - Creation and Update - Set Intercompany Transaction Opportunity Name</x:v>
      </x:c>
      <x:c r="S2037" s="119"/>
    </x:row>
    <x:row r="2038" ht="30" customHeight="1">
      <x:c r="A2038" s="117" t="str">
        <x:v>Opportunity_Creation_and_Update_Set_Intercompany_Transaction_Opportunity_Name</x:v>
      </x:c>
      <x:c r="B2038" s="117" t="str">
        <x:v>300Ro00000wIHDtIAO</x:v>
      </x:c>
      <x:c r="C2038" s="117" t="str">
        <x:v>301Ro000014UMebIAG</x:v>
      </x:c>
      <x:c r="D2038" s="118" t="n">
        <x:v>2</x:v>
      </x:c>
      <x:c r="E2038" s="117" t="str">
        <x:v>Obsolete</x:v>
      </x:c>
      <x:c r="F2038" s="117" t="str">
        <x:v>No</x:v>
      </x:c>
      <x:c r="G2038" s="117" t="str">
        <x:v>No</x:v>
      </x:c>
      <x:c r="H2038" s="117" t="str">
        <x:v>AutoLaunchedFlow</x:v>
      </x:c>
      <x:c r="I2038" s="118" t="n">
        <x:v>66</x:v>
      </x:c>
      <x:c r="J2038" s="117" t="str">
        <x:v>unmanaged</x:v>
      </x:c>
      <x:c r="K2038" s="123" t="b">
        <x:v>0</x:v>
      </x:c>
      <x:c r="L2038" s="117"/>
      <x:c r="M2038" s="118"/>
      <x:c r="N2038" s="120" t="n">
        <x:v>46142.61703703704</x:v>
      </x:c>
      <x:c r="O2038" s="117" t="str">
        <x:v>Sacha Pearce</x:v>
      </x:c>
      <x:c r="P2038" s="120" t="n">
        <x:v>46142.6172337963</x:v>
      </x:c>
      <x:c r="Q2038" s="117" t="str">
        <x:v>Sacha Pearce</x:v>
      </x:c>
      <x:c r="R2038" s="117" t="str">
        <x:v>Opportunity - Creation and Update - Set Intercompany Transaction Opportunity Name</x:v>
      </x:c>
      <x:c r="S2038" s="119"/>
    </x:row>
    <x:row r="2039" ht="30" customHeight="1">
      <x:c r="A2039" s="117" t="str">
        <x:v>Opportunity_Creation_and_Update_Set_Intercompany_Transaction_Opportunity_Name</x:v>
      </x:c>
      <x:c r="B2039" s="117" t="str">
        <x:v>300Ro00000wIHDtIAO</x:v>
      </x:c>
      <x:c r="C2039" s="117" t="str">
        <x:v>301Ro000014VaZ7IAK</x:v>
      </x:c>
      <x:c r="D2039" s="118" t="n">
        <x:v>3</x:v>
      </x:c>
      <x:c r="E2039" s="117" t="str">
        <x:v>Obsolete</x:v>
      </x:c>
      <x:c r="F2039" s="117" t="str">
        <x:v>No</x:v>
      </x:c>
      <x:c r="G2039" s="117" t="str">
        <x:v>No</x:v>
      </x:c>
      <x:c r="H2039" s="117" t="str">
        <x:v>AutoLaunchedFlow</x:v>
      </x:c>
      <x:c r="I2039" s="118" t="n">
        <x:v>66</x:v>
      </x:c>
      <x:c r="J2039" s="117" t="str">
        <x:v>unmanaged</x:v>
      </x:c>
      <x:c r="K2039" s="123" t="b">
        <x:v>0</x:v>
      </x:c>
      <x:c r="L2039" s="117"/>
      <x:c r="M2039" s="118"/>
      <x:c r="N2039" s="120" t="n">
        <x:v>46142.772523148145</x:v>
      </x:c>
      <x:c r="O2039" s="117" t="str">
        <x:v>Sacha Pearce</x:v>
      </x:c>
      <x:c r="P2039" s="120" t="n">
        <x:v>46142.77259259259</x:v>
      </x:c>
      <x:c r="Q2039" s="117" t="str">
        <x:v>Sacha Pearce</x:v>
      </x:c>
      <x:c r="R2039" s="117" t="str">
        <x:v>Opportunity - Creation and Update - Set Intercompany Transaction Opportunity Name</x:v>
      </x:c>
      <x:c r="S2039" s="119"/>
    </x:row>
    <x:row r="2040" ht="30" customHeight="1">
      <x:c r="A2040" s="117" t="str">
        <x:v>Opportunity_Creation_and_Update_Set_Intercompany_Transaction_Opportunity_Name</x:v>
      </x:c>
      <x:c r="B2040" s="117" t="str">
        <x:v>300Ro00000wIHDtIAO</x:v>
      </x:c>
      <x:c r="C2040" s="117" t="str">
        <x:v>301Ro000014pPhVIAU</x:v>
      </x:c>
      <x:c r="D2040" s="118" t="n">
        <x:v>4</x:v>
      </x:c>
      <x:c r="E2040" s="117" t="str">
        <x:v>Obsolete</x:v>
      </x:c>
      <x:c r="F2040" s="117" t="str">
        <x:v>No</x:v>
      </x:c>
      <x:c r="G2040" s="117" t="str">
        <x:v>No</x:v>
      </x:c>
      <x:c r="H2040" s="117" t="str">
        <x:v>AutoLaunchedFlow</x:v>
      </x:c>
      <x:c r="I2040" s="118" t="n">
        <x:v>66</x:v>
      </x:c>
      <x:c r="J2040" s="117" t="str">
        <x:v>unmanaged</x:v>
      </x:c>
      <x:c r="K2040" s="123" t="b">
        <x:v>0</x:v>
      </x:c>
      <x:c r="L2040" s="117"/>
      <x:c r="M2040" s="118"/>
      <x:c r="N2040" s="120" t="n">
        <x:v>46147.37938657407</x:v>
      </x:c>
      <x:c r="O2040" s="117" t="str">
        <x:v>Sacha Pearce</x:v>
      </x:c>
      <x:c r="P2040" s="120" t="n">
        <x:v>46147.379525462966</x:v>
      </x:c>
      <x:c r="Q2040" s="117" t="str">
        <x:v>Sacha Pearce</x:v>
      </x:c>
      <x:c r="R2040" s="117" t="str">
        <x:v>Opportunity - Creation and Update - Set Intercompany Transaction Opportunity Name</x:v>
      </x:c>
      <x:c r="S2040" s="119" t="str">
        <x:v>05/05/2026 - SP - Improving entry criteria.</x:v>
      </x:c>
    </x:row>
    <x:row r="2041" ht="30" customHeight="1">
      <x:c r="A2041" s="117" t="str">
        <x:v>Opportunity_Creation_and_Update_Set_Intercompany_Transaction_Opportunity_Name</x:v>
      </x:c>
      <x:c r="B2041" s="117" t="str">
        <x:v>300Ro00000wIHDtIAO</x:v>
      </x:c>
      <x:c r="C2041" s="117" t="str">
        <x:v>301Ro000016guTFIAY</x:v>
      </x:c>
      <x:c r="D2041" s="118" t="n">
        <x:v>5</x:v>
      </x:c>
      <x:c r="E2041" s="117" t="str">
        <x:v>Obsolete</x:v>
      </x:c>
      <x:c r="F2041" s="117" t="str">
        <x:v>No</x:v>
      </x:c>
      <x:c r="G2041" s="117" t="str">
        <x:v>No</x:v>
      </x:c>
      <x:c r="H2041" s="117" t="str">
        <x:v>AutoLaunchedFlow</x:v>
      </x:c>
      <x:c r="I2041" s="118" t="n">
        <x:v>66</x:v>
      </x:c>
      <x:c r="J2041" s="117" t="str">
        <x:v>unmanaged</x:v>
      </x:c>
      <x:c r="K2041" s="123" t="b">
        <x:v>0</x:v>
      </x:c>
      <x:c r="L2041" s="117"/>
      <x:c r="M2041" s="118"/>
      <x:c r="N2041" s="120" t="n">
        <x:v>46168.51582175926</x:v>
      </x:c>
      <x:c r="O2041" s="117" t="str">
        <x:v>Sacha Pearce</x:v>
      </x:c>
      <x:c r="P2041" s="120" t="n">
        <x:v>46168.51590277778</x:v>
      </x:c>
      <x:c r="Q2041" s="117" t="str">
        <x:v>Sacha Pearce</x:v>
      </x:c>
      <x:c r="R2041" s="117" t="str">
        <x:v>Opportunity - Creation and Update - Set Intercompany Transaction Opportunity Name</x:v>
      </x:c>
      <x:c r="S2041" s="119" t="str">
        <x:v>05/05/2026 - SP - Updating formulaOpportunityName to respect the 120 character limit.</x:v>
      </x:c>
    </x:row>
    <x:row r="2042" ht="30" customHeight="1">
      <x:c r="A2042" s="117" t="str">
        <x:v>Opportunity_Creation_and_Update_Set_Intercompany_Transaction_Opportunity_Name</x:v>
      </x:c>
      <x:c r="B2042" s="117" t="str">
        <x:v>300Ro00000wIHDtIAO</x:v>
      </x:c>
      <x:c r="C2042" s="117" t="str">
        <x:v>301Ro000016nC46IAE</x:v>
      </x:c>
      <x:c r="D2042" s="118" t="n">
        <x:v>6</x:v>
      </x:c>
      <x:c r="E2042" s="117" t="str">
        <x:v>Obsolete</x:v>
      </x:c>
      <x:c r="F2042" s="117" t="str">
        <x:v>No</x:v>
      </x:c>
      <x:c r="G2042" s="117" t="str">
        <x:v>No</x:v>
      </x:c>
      <x:c r="H2042" s="117" t="str">
        <x:v>AutoLaunchedFlow</x:v>
      </x:c>
      <x:c r="I2042" s="118" t="n">
        <x:v>66</x:v>
      </x:c>
      <x:c r="J2042" s="117" t="str">
        <x:v>unmanaged</x:v>
      </x:c>
      <x:c r="K2042" s="123" t="b">
        <x:v>0</x:v>
      </x:c>
      <x:c r="L2042" s="117"/>
      <x:c r="M2042" s="118"/>
      <x:c r="N2042" s="120" t="n">
        <x:v>46169.35690972222</x:v>
      </x:c>
      <x:c r="O2042" s="117" t="str">
        <x:v>Sacha Pearce</x:v>
      </x:c>
      <x:c r="P2042" s="120" t="n">
        <x:v>46169.35701388889</x:v>
      </x:c>
      <x:c r="Q2042" s="117" t="str">
        <x:v>Sacha Pearce</x:v>
      </x:c>
      <x:c r="R2042" s="117" t="str">
        <x:v>Opportunity - Creation and Update - Set Intercompany Transaction Opportunity Name</x:v>
      </x:c>
      <x:c r="S2042" s="119" t="str">
        <x:v>05/05/2026 - SP - Excluding the "Probo Medical - Exhibition/Demo Account" ID in the entry criteria.</x:v>
      </x:c>
    </x:row>
    <x:row r="2043" ht="30" customHeight="1">
      <x:c r="A2043" s="117" t="str">
        <x:v>Opportunity_Creation_and_Update_Set_Intercompany_Transaction_Opportunity_Name</x:v>
      </x:c>
      <x:c r="B2043" s="117" t="str">
        <x:v>300Ro00000wIHDtIAO</x:v>
      </x:c>
      <x:c r="C2043" s="117" t="str">
        <x:v>301Ro000016uY1UIAU</x:v>
      </x:c>
      <x:c r="D2043" s="118" t="n">
        <x:v>7</x:v>
      </x:c>
      <x:c r="E2043" s="117" t="str">
        <x:v>Obsolete</x:v>
      </x:c>
      <x:c r="F2043" s="117" t="str">
        <x:v>No</x:v>
      </x:c>
      <x:c r="G2043" s="117" t="str">
        <x:v>No</x:v>
      </x:c>
      <x:c r="H2043" s="117" t="str">
        <x:v>AutoLaunchedFlow</x:v>
      </x:c>
      <x:c r="I2043" s="118" t="n">
        <x:v>66</x:v>
      </x:c>
      <x:c r="J2043" s="117" t="str">
        <x:v>unmanaged</x:v>
      </x:c>
      <x:c r="K2043" s="123" t="b">
        <x:v>0</x:v>
      </x:c>
      <x:c r="L2043" s="117"/>
      <x:c r="M2043" s="118"/>
      <x:c r="N2043" s="120" t="n">
        <x:v>46170.34488425926</x:v>
      </x:c>
      <x:c r="O2043" s="117" t="str">
        <x:v>Sacha Pearce</x:v>
      </x:c>
      <x:c r="P2043" s="120" t="n">
        <x:v>46170.34496527778</x:v>
      </x:c>
      <x:c r="Q2043" s="117" t="str">
        <x:v>Sacha Pearce</x:v>
      </x:c>
      <x:c r="R2043" s="117" t="str">
        <x:v>Opportunity - Creation and Update - Set Intercompany Transaction Opportunity Name</x:v>
      </x:c>
      <x:c r="S2043" s="119" t="str">
        <x:v>05/05/2026 - SP - Excluding the "Returns" Opportunity ID in the entry criteria.</x:v>
      </x:c>
    </x:row>
    <x:row r="2044" ht="30" customHeight="1">
      <x:c r="A2044" s="117" t="str">
        <x:v>Opportunity_Creation_and_Update_Set_Intercompany_Transaction_Opportunity_Name</x:v>
      </x:c>
      <x:c r="B2044" s="117" t="str">
        <x:v>300Ro00000wIHDtIAO</x:v>
      </x:c>
      <x:c r="C2044" s="117" t="str">
        <x:v>301Ro000018Xp6gIAC</x:v>
      </x:c>
      <x:c r="D2044" s="118" t="n">
        <x:v>8</x:v>
      </x:c>
      <x:c r="E2044" s="117" t="str">
        <x:v>Obsolete</x:v>
      </x:c>
      <x:c r="F2044" s="117" t="str">
        <x:v>No</x:v>
      </x:c>
      <x:c r="G2044" s="117" t="str">
        <x:v>No</x:v>
      </x:c>
      <x:c r="H2044" s="117" t="str">
        <x:v>AutoLaunchedFlow</x:v>
      </x:c>
      <x:c r="I2044" s="118" t="n">
        <x:v>66</x:v>
      </x:c>
      <x:c r="J2044" s="117" t="str">
        <x:v>unmanaged</x:v>
      </x:c>
      <x:c r="K2044" s="123" t="b">
        <x:v>0</x:v>
      </x:c>
      <x:c r="L2044" s="117"/>
      <x:c r="M2044" s="118"/>
      <x:c r="N2044" s="120" t="n">
        <x:v>46188.379224537035</x:v>
      </x:c>
      <x:c r="O2044" s="117" t="str">
        <x:v>Sacha Pearce</x:v>
      </x:c>
      <x:c r="P2044" s="120" t="n">
        <x:v>46188.379537037035</x:v>
      </x:c>
      <x:c r="Q2044" s="117" t="str">
        <x:v>Sacha Pearce</x:v>
      </x:c>
      <x:c r="R2044" s="117" t="str">
        <x:v>Opportunity - Creation and Update - Set Intercompany Transaction Opportunity Name</x:v>
      </x:c>
      <x:c r="S2044" s="119" t="str">
        <x:v>15/06/2026 - SP - Excluding the "Returns" Opportunity ID in the entry criteria.</x:v>
      </x:c>
    </x:row>
    <x:row r="2045" ht="30" customHeight="1">
      <x:c r="A2045" s="117" t="str">
        <x:v>Opportunity_Creation_and_Update_Set_Intercompany_Transaction_Opportunity_Name</x:v>
      </x:c>
      <x:c r="B2045" s="117" t="str">
        <x:v>300Ro00000wIHDtIAO</x:v>
      </x:c>
      <x:c r="C2045" s="117" t="str">
        <x:v>301Ro00001BJMilIAH</x:v>
      </x:c>
      <x:c r="D2045" s="118" t="n">
        <x:v>9</x:v>
      </x:c>
      <x:c r="E2045" s="117" t="str">
        <x:v>Active</x:v>
      </x:c>
      <x:c r="F2045" s="117" t="str">
        <x:v>Yes</x:v>
      </x:c>
      <x:c r="G2045" s="117" t="str">
        <x:v>Yes</x:v>
      </x:c>
      <x:c r="H2045" s="117" t="str">
        <x:v>AutoLaunchedFlow</x:v>
      </x:c>
      <x:c r="I2045" s="118" t="n">
        <x:v>66</x:v>
      </x:c>
      <x:c r="J2045" s="117" t="str">
        <x:v>unmanaged</x:v>
      </x:c>
      <x:c r="K2045" s="123" t="b">
        <x:v>0</x:v>
      </x:c>
      <x:c r="L2045" s="117"/>
      <x:c r="M2045" s="118"/>
      <x:c r="N2045" s="120" t="n">
        <x:v>46218.362905092596</x:v>
      </x:c>
      <x:c r="O2045" s="117" t="str">
        <x:v>Sacha Pearce</x:v>
      </x:c>
      <x:c r="P2045" s="120" t="n">
        <x:v>46218.36309027778</x:v>
      </x:c>
      <x:c r="Q2045" s="117" t="str">
        <x:v>Sacha Pearce</x:v>
      </x:c>
      <x:c r="R2045" s="117" t="str">
        <x:v>Opportunity - Creation and Update - Set Intercompany Transaction Opportunity Name</x:v>
      </x:c>
      <x:c r="S2045" s="119" t="str">
        <x:v>15/06/2026 - SP - Excluding the "External Repair / Testing" Opportunity ID (012U00000001sNsIAI) and and Opportunities with the "Purchasing Opportunity Type" as "Sourcing" in the entry criteria.</x:v>
      </x:c>
    </x:row>
    <x:row r="2046" ht="30" customHeight="1">
      <x:c r="A2046" s="117" t="str">
        <x:v>Opportunity_Line_Item_Creation_or_Update_Set_Opportunity_Asset_Summary</x:v>
      </x:c>
      <x:c r="B2046" s="117" t="str">
        <x:v>300Ro00000wHiZaIAK</x:v>
      </x:c>
      <x:c r="C2046" s="117" t="str">
        <x:v>301Ro000014PwFkIAK</x:v>
      </x:c>
      <x:c r="D2046" s="118" t="n">
        <x:v>1</x:v>
      </x:c>
      <x:c r="E2046" s="117" t="str">
        <x:v>Obsolete</x:v>
      </x:c>
      <x:c r="F2046" s="117" t="str">
        <x:v>No</x:v>
      </x:c>
      <x:c r="G2046" s="117" t="str">
        <x:v>No</x:v>
      </x:c>
      <x:c r="H2046" s="117" t="str">
        <x:v>AutoLaunchedFlow</x:v>
      </x:c>
      <x:c r="I2046" s="118" t="n">
        <x:v>66</x:v>
      </x:c>
      <x:c r="J2046" s="117" t="str">
        <x:v>unmanaged</x:v>
      </x:c>
      <x:c r="K2046" s="123" t="b">
        <x:v>0</x:v>
      </x:c>
      <x:c r="L2046" s="117"/>
      <x:c r="M2046" s="118"/>
      <x:c r="N2046" s="120" t="n">
        <x:v>46141.84578703704</x:v>
      </x:c>
      <x:c r="O2046" s="117" t="str">
        <x:v>Sacha Pearce</x:v>
      </x:c>
      <x:c r="P2046" s="120" t="n">
        <x:v>46141.8458912037</x:v>
      </x:c>
      <x:c r="Q2046" s="117" t="str">
        <x:v>Sacha Pearce</x:v>
      </x:c>
      <x:c r="R2046" s="117" t="str">
        <x:v>Opportunity Line Item - Creation or Update - Set Opportunity Asset Summary</x:v>
      </x:c>
      <x:c r="S2046" s="119"/>
    </x:row>
    <x:row r="2047" ht="30" customHeight="1">
      <x:c r="A2047" s="117" t="str">
        <x:v>Opportunity_Line_Item_Creation_or_Update_Set_Opportunity_Asset_Summary</x:v>
      </x:c>
      <x:c r="B2047" s="117" t="str">
        <x:v>300Ro00000wHiZaIAK</x:v>
      </x:c>
      <x:c r="C2047" s="117" t="str">
        <x:v>301Ro000014SPv9IAG</x:v>
      </x:c>
      <x:c r="D2047" s="118" t="n">
        <x:v>2</x:v>
      </x:c>
      <x:c r="E2047" s="117" t="str">
        <x:v>Obsolete</x:v>
      </x:c>
      <x:c r="F2047" s="117" t="str">
        <x:v>No</x:v>
      </x:c>
      <x:c r="G2047" s="117" t="str">
        <x:v>No</x:v>
      </x:c>
      <x:c r="H2047" s="117" t="str">
        <x:v>AutoLaunchedFlow</x:v>
      </x:c>
      <x:c r="I2047" s="118" t="n">
        <x:v>66</x:v>
      </x:c>
      <x:c r="J2047" s="117" t="str">
        <x:v>unmanaged</x:v>
      </x:c>
      <x:c r="K2047" s="123" t="b">
        <x:v>0</x:v>
      </x:c>
      <x:c r="L2047" s="117"/>
      <x:c r="M2047" s="118"/>
      <x:c r="N2047" s="120" t="n">
        <x:v>46142.352106481485</x:v>
      </x:c>
      <x:c r="O2047" s="117" t="str">
        <x:v>Sacha Pearce</x:v>
      </x:c>
      <x:c r="P2047" s="120" t="n">
        <x:v>46142.35586805556</x:v>
      </x:c>
      <x:c r="Q2047" s="117" t="str">
        <x:v>Sacha Pearce</x:v>
      </x:c>
      <x:c r="R2047" s="117" t="str">
        <x:v>Opportunity Line Item - Creation or Update - Set Opportunity Asset Summary</x:v>
      </x:c>
      <x:c r="S2047" s="119"/>
    </x:row>
    <x:row r="2048" ht="30" customHeight="1">
      <x:c r="A2048" s="117" t="str">
        <x:v>Opportunity_Line_Item_Creation_or_Update_Set_Opportunity_Asset_Summary</x:v>
      </x:c>
      <x:c r="B2048" s="117" t="str">
        <x:v>300Ro00000wHiZaIAK</x:v>
      </x:c>
      <x:c r="C2048" s="117" t="str">
        <x:v>301Ro000014ScsYIAS</x:v>
      </x:c>
      <x:c r="D2048" s="118" t="n">
        <x:v>3</x:v>
      </x:c>
      <x:c r="E2048" s="117" t="str">
        <x:v>Obsolete</x:v>
      </x:c>
      <x:c r="F2048" s="117" t="str">
        <x:v>No</x:v>
      </x:c>
      <x:c r="G2048" s="117" t="str">
        <x:v>No</x:v>
      </x:c>
      <x:c r="H2048" s="117" t="str">
        <x:v>AutoLaunchedFlow</x:v>
      </x:c>
      <x:c r="I2048" s="118" t="n">
        <x:v>66</x:v>
      </x:c>
      <x:c r="J2048" s="117" t="str">
        <x:v>unmanaged</x:v>
      </x:c>
      <x:c r="K2048" s="123" t="b">
        <x:v>0</x:v>
      </x:c>
      <x:c r="L2048" s="117"/>
      <x:c r="M2048" s="118"/>
      <x:c r="N2048" s="120" t="n">
        <x:v>46142.35601851852</x:v>
      </x:c>
      <x:c r="O2048" s="117" t="str">
        <x:v>Sacha Pearce</x:v>
      </x:c>
      <x:c r="P2048" s="120" t="n">
        <x:v>46142.35644675926</x:v>
      </x:c>
      <x:c r="Q2048" s="117" t="str">
        <x:v>Sacha Pearce</x:v>
      </x:c>
      <x:c r="R2048" s="117" t="str">
        <x:v>Opportunity Line Item - Creation or Update - Set Opportunity Asset Summary</x:v>
      </x:c>
      <x:c r="S2048" s="119"/>
    </x:row>
    <x:row r="2049" ht="30" customHeight="1">
      <x:c r="A2049" s="117" t="str">
        <x:v>Opportunity_Line_Item_Creation_or_Update_Set_Opportunity_Asset_Summary</x:v>
      </x:c>
      <x:c r="B2049" s="117" t="str">
        <x:v>300Ro00000wHiZaIAK</x:v>
      </x:c>
      <x:c r="C2049" s="117" t="str">
        <x:v>301Ro000014SZBYIA4</x:v>
      </x:c>
      <x:c r="D2049" s="118" t="n">
        <x:v>4</x:v>
      </x:c>
      <x:c r="E2049" s="117" t="str">
        <x:v>Obsolete</x:v>
      </x:c>
      <x:c r="F2049" s="117" t="str">
        <x:v>No</x:v>
      </x:c>
      <x:c r="G2049" s="117" t="str">
        <x:v>No</x:v>
      </x:c>
      <x:c r="H2049" s="117" t="str">
        <x:v>AutoLaunchedFlow</x:v>
      </x:c>
      <x:c r="I2049" s="118" t="n">
        <x:v>66</x:v>
      </x:c>
      <x:c r="J2049" s="117" t="str">
        <x:v>unmanaged</x:v>
      </x:c>
      <x:c r="K2049" s="123" t="b">
        <x:v>0</x:v>
      </x:c>
      <x:c r="L2049" s="117"/>
      <x:c r="M2049" s="118"/>
      <x:c r="N2049" s="120" t="n">
        <x:v>46142.35653935185</x:v>
      </x:c>
      <x:c r="O2049" s="117" t="str">
        <x:v>Sacha Pearce</x:v>
      </x:c>
      <x:c r="P2049" s="120" t="n">
        <x:v>46142.70003472222</x:v>
      </x:c>
      <x:c r="Q2049" s="117" t="str">
        <x:v>Delegate</x:v>
      </x:c>
      <x:c r="R2049" s="117" t="str">
        <x:v>Opportunity Line Item - Creation or Update - Set Opportunity Asset Summary</x:v>
      </x:c>
      <x:c r="S2049" s="119"/>
    </x:row>
    <x:row r="2050" ht="30" customHeight="1">
      <x:c r="A2050" s="117" t="str">
        <x:v>Opportunity_Line_Item_Creation_or_Update_Set_Opportunity_Asset_Summary</x:v>
      </x:c>
      <x:c r="B2050" s="117" t="str">
        <x:v>300Ro00000wHiZaIAK</x:v>
      </x:c>
      <x:c r="C2050" s="117" t="str">
        <x:v>301Ro000019Yyk1IAC</x:v>
      </x:c>
      <x:c r="D2050" s="118" t="n">
        <x:v>5</x:v>
      </x:c>
      <x:c r="E2050" s="117" t="str">
        <x:v>Obsolete</x:v>
      </x:c>
      <x:c r="F2050" s="117" t="str">
        <x:v>No</x:v>
      </x:c>
      <x:c r="G2050" s="117" t="str">
        <x:v>No</x:v>
      </x:c>
      <x:c r="H2050" s="117" t="str">
        <x:v>AutoLaunchedFlow</x:v>
      </x:c>
      <x:c r="I2050" s="118" t="n">
        <x:v>66</x:v>
      </x:c>
      <x:c r="J2050" s="117" t="str">
        <x:v>unmanaged</x:v>
      </x:c>
      <x:c r="K2050" s="123" t="b">
        <x:v>0</x:v>
      </x:c>
      <x:c r="L2050" s="117"/>
      <x:c r="M2050" s="118"/>
      <x:c r="N2050" s="120" t="n">
        <x:v>46198.74978009259</x:v>
      </x:c>
      <x:c r="O2050" s="117" t="str">
        <x:v>Natalie Boger</x:v>
      </x:c>
      <x:c r="P2050" s="120" t="n">
        <x:v>46198.74986111111</x:v>
      </x:c>
      <x:c r="Q2050" s="117" t="str">
        <x:v>Natalie Boger</x:v>
      </x:c>
      <x:c r="R2050" s="117" t="str">
        <x:v>Opportunity Line Item - Creation or Update - Set Opportunity Asset Summary</x:v>
      </x:c>
      <x:c r="S2050" s="119" t="str">
        <x:v>6.25.26 - Moved to async (was causing SOQL limit error) and changed starting logic so it only runs if product item or product are changed. NB</x:v>
      </x:c>
    </x:row>
    <x:row r="2051" ht="30" customHeight="1">
      <x:c r="A2051" s="117" t="str">
        <x:v>Opportunity_Line_Item_Creation_or_Update_Set_Opportunity_Asset_Summary</x:v>
      </x:c>
      <x:c r="B2051" s="117" t="str">
        <x:v>300Ro00000wHiZaIAK</x:v>
      </x:c>
      <x:c r="C2051" s="117" t="str">
        <x:v>301Ro00001CTmqhIAD</x:v>
      </x:c>
      <x:c r="D2051" s="118" t="n">
        <x:v>6</x:v>
      </x:c>
      <x:c r="E2051" s="117" t="str">
        <x:v>Active</x:v>
      </x:c>
      <x:c r="F2051" s="117" t="str">
        <x:v>Yes</x:v>
      </x:c>
      <x:c r="G2051" s="117" t="str">
        <x:v>Yes</x:v>
      </x:c>
      <x:c r="H2051" s="117" t="str">
        <x:v>AutoLaunchedFlow</x:v>
      </x:c>
      <x:c r="I2051" s="118" t="n">
        <x:v>66</x:v>
      </x:c>
      <x:c r="J2051" s="117" t="str">
        <x:v>unmanaged</x:v>
      </x:c>
      <x:c r="K2051" s="123" t="b">
        <x:v>0</x:v>
      </x:c>
      <x:c r="L2051" s="117"/>
      <x:c r="M2051" s="118"/>
      <x:c r="N2051" s="120" t="n">
        <x:v>46231.63315972222</x:v>
      </x:c>
      <x:c r="O2051" s="117" t="str">
        <x:v>Sacha Pearce</x:v>
      </x:c>
      <x:c r="P2051" s="120" t="n">
        <x:v>46231.63334490741</x:v>
      </x:c>
      <x:c r="Q2051" s="117" t="str">
        <x:v>Sacha Pearce</x:v>
      </x:c>
      <x:c r="R2051" s="117" t="str">
        <x:v>Opportunity Line Item - Creation or Update - Set Opportunity Asset Summary</x:v>
      </x:c>
      <x:c r="S2051" s="119" t="str">
        <x:v>07/28/2026 - SP - Updating to run off the "Generate Asset Summary" checkbox for better functionality.</x:v>
      </x:c>
    </x:row>
    <x:row r="2052" ht="30" customHeight="1">
      <x:c r="A2052" s="117" t="str">
        <x:v>Opportunity_Line_Item_Creation_or_Update_Tick_Generate_Asset_Summary_Checkbox</x:v>
      </x:c>
      <x:c r="B2052" s="117" t="str">
        <x:v>300Ro000013hrwWIAQ</x:v>
      </x:c>
      <x:c r="C2052" s="117" t="str">
        <x:v>301Ro00001CVBivIAH</x:v>
      </x:c>
      <x:c r="D2052" s="118" t="n">
        <x:v>1</x:v>
      </x:c>
      <x:c r="E2052" s="117" t="str">
        <x:v>Obsolete</x:v>
      </x:c>
      <x:c r="F2052" s="117" t="str">
        <x:v>No</x:v>
      </x:c>
      <x:c r="G2052" s="117" t="str">
        <x:v>No</x:v>
      </x:c>
      <x:c r="H2052" s="117" t="str">
        <x:v>AutoLaunchedFlow</x:v>
      </x:c>
      <x:c r="I2052" s="118" t="n">
        <x:v>66</x:v>
      </x:c>
      <x:c r="J2052" s="117" t="str">
        <x:v>unmanaged</x:v>
      </x:c>
      <x:c r="K2052" s="123" t="b">
        <x:v>0</x:v>
      </x:c>
      <x:c r="L2052" s="117"/>
      <x:c r="M2052" s="118"/>
      <x:c r="N2052" s="120" t="n">
        <x:v>46231.63023148148</x:v>
      </x:c>
      <x:c r="O2052" s="117" t="str">
        <x:v>Sacha Pearce</x:v>
      </x:c>
      <x:c r="P2052" s="120" t="n">
        <x:v>46231.63075231481</x:v>
      </x:c>
      <x:c r="Q2052" s="117" t="str">
        <x:v>Sacha Pearce</x:v>
      </x:c>
      <x:c r="R2052" s="117" t="str">
        <x:v>Opportunity Line Item - Creation or Update - Tick Generate Asset Summary Checkbox</x:v>
      </x:c>
      <x:c r="S2052" s="119"/>
    </x:row>
    <x:row r="2053" ht="30" customHeight="1">
      <x:c r="A2053" s="117" t="str">
        <x:v>Opportunity_Line_Item_Creation_or_Update_Tick_Generate_Asset_Summary_Checkbox</x:v>
      </x:c>
      <x:c r="B2053" s="117" t="str">
        <x:v>300Ro000013hrwWIAQ</x:v>
      </x:c>
      <x:c r="C2053" s="117" t="str">
        <x:v>301Ro00001CVNQjIAP</x:v>
      </x:c>
      <x:c r="D2053" s="118" t="n">
        <x:v>2</x:v>
      </x:c>
      <x:c r="E2053" s="117" t="str">
        <x:v>Obsolete</x:v>
      </x:c>
      <x:c r="F2053" s="117" t="str">
        <x:v>No</x:v>
      </x:c>
      <x:c r="G2053" s="117" t="str">
        <x:v>No</x:v>
      </x:c>
      <x:c r="H2053" s="117" t="str">
        <x:v>AutoLaunchedFlow</x:v>
      </x:c>
      <x:c r="I2053" s="118" t="n">
        <x:v>66</x:v>
      </x:c>
      <x:c r="J2053" s="117" t="str">
        <x:v>unmanaged</x:v>
      </x:c>
      <x:c r="K2053" s="123" t="b">
        <x:v>0</x:v>
      </x:c>
      <x:c r="L2053" s="117"/>
      <x:c r="M2053" s="118"/>
      <x:c r="N2053" s="120" t="n">
        <x:v>46231.64571759259</x:v>
      </x:c>
      <x:c r="O2053" s="117" t="str">
        <x:v>Sacha Pearce</x:v>
      </x:c>
      <x:c r="P2053" s="120" t="n">
        <x:v>46231.64582175926</x:v>
      </x:c>
      <x:c r="Q2053" s="117" t="str">
        <x:v>Sacha Pearce</x:v>
      </x:c>
      <x:c r="R2053" s="117" t="str">
        <x:v>Opportunity Line Item - Creation or Update - Tick Generate Asset Summary Checkbox</x:v>
      </x:c>
      <x:c r="S2053" s="119"/>
    </x:row>
    <x:row r="2054" ht="30" customHeight="1">
      <x:c r="A2054" s="117" t="str">
        <x:v>Opportunity_Line_Item_Creation_or_Update_Tick_Generate_Asset_Summary_Checkbox</x:v>
      </x:c>
      <x:c r="B2054" s="117" t="str">
        <x:v>300Ro000013hrwWIAQ</x:v>
      </x:c>
      <x:c r="C2054" s="117" t="str">
        <x:v>301Ro00001Ca3ODIAZ</x:v>
      </x:c>
      <x:c r="D2054" s="118" t="n">
        <x:v>3</x:v>
      </x:c>
      <x:c r="E2054" s="117" t="str">
        <x:v>Obsolete</x:v>
      </x:c>
      <x:c r="F2054" s="117" t="str">
        <x:v>No</x:v>
      </x:c>
      <x:c r="G2054" s="117" t="str">
        <x:v>No</x:v>
      </x:c>
      <x:c r="H2054" s="117" t="str">
        <x:v>AutoLaunchedFlow</x:v>
      </x:c>
      <x:c r="I2054" s="118" t="n">
        <x:v>66</x:v>
      </x:c>
      <x:c r="J2054" s="117" t="str">
        <x:v>unmanaged</x:v>
      </x:c>
      <x:c r="K2054" s="123" t="b">
        <x:v>0</x:v>
      </x:c>
      <x:c r="L2054" s="117"/>
      <x:c r="M2054" s="118"/>
      <x:c r="N2054" s="120" t="n">
        <x:v>46232.422106481485</x:v>
      </x:c>
      <x:c r="O2054" s="117" t="str">
        <x:v>Sacha Pearce</x:v>
      </x:c>
      <x:c r="P2054" s="120" t="n">
        <x:v>46232.42221064815</x:v>
      </x:c>
      <x:c r="Q2054" s="117" t="str">
        <x:v>Sacha Pearce</x:v>
      </x:c>
      <x:c r="R2054" s="117" t="str">
        <x:v>Opportunity Line Item - Creation or Update - Tick Generate Asset Summary Checkbox</x:v>
      </x:c>
      <x:c r="S2054" s="119" t="str">
        <x:v>29/07/2026 - SP - Updating Flow so that the "Generate Asset Summary" runs for all entities.</x:v>
      </x:c>
    </x:row>
    <x:row r="2055" ht="30" customHeight="1">
      <x:c r="A2055" s="117" t="str">
        <x:v>Opportunity_Line_Item_Creation_or_Update_Tick_Generate_Asset_Summary_Checkbox</x:v>
      </x:c>
      <x:c r="B2055" s="117" t="str">
        <x:v>300Ro000013hrwWIAQ</x:v>
      </x:c>
      <x:c r="C2055" s="117" t="str">
        <x:v>301Ro00001D1BW5IAN</x:v>
      </x:c>
      <x:c r="D2055" s="118" t="n">
        <x:v>4</x:v>
      </x:c>
      <x:c r="E2055" s="117" t="str">
        <x:v>Active</x:v>
      </x:c>
      <x:c r="F2055" s="117" t="str">
        <x:v>Yes</x:v>
      </x:c>
      <x:c r="G2055" s="117" t="str">
        <x:v>Yes</x:v>
      </x:c>
      <x:c r="H2055" s="117" t="str">
        <x:v>AutoLaunchedFlow</x:v>
      </x:c>
      <x:c r="I2055" s="118" t="n">
        <x:v>66</x:v>
      </x:c>
      <x:c r="J2055" s="117" t="str">
        <x:v>unmanaged</x:v>
      </x:c>
      <x:c r="K2055" s="123" t="b">
        <x:v>0</x:v>
      </x:c>
      <x:c r="L2055" s="117"/>
      <x:c r="M2055" s="118"/>
      <x:c r="N2055" s="120" t="n">
        <x:v>46237.418912037036</x:v>
      </x:c>
      <x:c r="O2055" s="117" t="str">
        <x:v>Sacha Pearce</x:v>
      </x:c>
      <x:c r="P2055" s="120" t="n">
        <x:v>46237.41898148148</x:v>
      </x:c>
      <x:c r="Q2055" s="117" t="str">
        <x:v>Sacha Pearce</x:v>
      </x:c>
      <x:c r="R2055" s="117" t="str">
        <x:v>Opportunity Line Item - Creation or Update - Tick Generate Asset Summary Checkbox</x:v>
      </x:c>
      <x:c r="S2055" s="119" t="str">
        <x:v>29/07/2026 - SP - Updating Flow to run on creation.</x:v>
      </x:c>
    </x:row>
    <x:row r="2056" ht="30" customHeight="1">
      <x:c r="A2056" s="117" t="str">
        <x:v>Opportunity_Line_Item_On_Delete_Set_Opportunity_Asset_Summary</x:v>
      </x:c>
      <x:c r="B2056" s="117" t="str">
        <x:v>300Ro00000wLIlNIAW</x:v>
      </x:c>
      <x:c r="C2056" s="117" t="str">
        <x:v>301Ro000014QOOuIAO</x:v>
      </x:c>
      <x:c r="D2056" s="118" t="n">
        <x:v>1</x:v>
      </x:c>
      <x:c r="E2056" s="117" t="str">
        <x:v>Obsolete</x:v>
      </x:c>
      <x:c r="F2056" s="117" t="str">
        <x:v>No</x:v>
      </x:c>
      <x:c r="G2056" s="117" t="str">
        <x:v>No</x:v>
      </x:c>
      <x:c r="H2056" s="117" t="str">
        <x:v>AutoLaunchedFlow</x:v>
      </x:c>
      <x:c r="I2056" s="118" t="n">
        <x:v>66</x:v>
      </x:c>
      <x:c r="J2056" s="117" t="str">
        <x:v>unmanaged</x:v>
      </x:c>
      <x:c r="K2056" s="123" t="b">
        <x:v>0</x:v>
      </x:c>
      <x:c r="L2056" s="117"/>
      <x:c r="M2056" s="118"/>
      <x:c r="N2056" s="120" t="n">
        <x:v>46141.84878472222</x:v>
      </x:c>
      <x:c r="O2056" s="117" t="str">
        <x:v>Sacha Pearce</x:v>
      </x:c>
      <x:c r="P2056" s="120" t="n">
        <x:v>46141.84892361111</x:v>
      </x:c>
      <x:c r="Q2056" s="117" t="str">
        <x:v>Sacha Pearce</x:v>
      </x:c>
      <x:c r="R2056" s="117" t="str">
        <x:v>Opportunity Line Item - On Delete - Set Opportunity Asset Summary</x:v>
      </x:c>
      <x:c r="S2056" s="119"/>
    </x:row>
    <x:row r="2057" ht="30" customHeight="1">
      <x:c r="A2057" s="117" t="str">
        <x:v>Opportunity_Line_Item_On_Delete_Set_Opportunity_Asset_Summary</x:v>
      </x:c>
      <x:c r="B2057" s="117" t="str">
        <x:v>300Ro00000wLIlNIAW</x:v>
      </x:c>
      <x:c r="C2057" s="117" t="str">
        <x:v>301Ro000014QXjvIAG</x:v>
      </x:c>
      <x:c r="D2057" s="118" t="n">
        <x:v>2</x:v>
      </x:c>
      <x:c r="E2057" s="117" t="str">
        <x:v>Obsolete</x:v>
      </x:c>
      <x:c r="F2057" s="117" t="str">
        <x:v>No</x:v>
      </x:c>
      <x:c r="G2057" s="117" t="str">
        <x:v>No</x:v>
      </x:c>
      <x:c r="H2057" s="117" t="str">
        <x:v>AutoLaunchedFlow</x:v>
      </x:c>
      <x:c r="I2057" s="118" t="n">
        <x:v>66</x:v>
      </x:c>
      <x:c r="J2057" s="117" t="str">
        <x:v>unmanaged</x:v>
      </x:c>
      <x:c r="K2057" s="123" t="b">
        <x:v>0</x:v>
      </x:c>
      <x:c r="L2057" s="117"/>
      <x:c r="M2057" s="118"/>
      <x:c r="N2057" s="120" t="n">
        <x:v>46141.866747685184</x:v>
      </x:c>
      <x:c r="O2057" s="117" t="str">
        <x:v>Sacha Pearce</x:v>
      </x:c>
      <x:c r="P2057" s="120" t="n">
        <x:v>46141.86728009259</x:v>
      </x:c>
      <x:c r="Q2057" s="117" t="str">
        <x:v>Sacha Pearce</x:v>
      </x:c>
      <x:c r="R2057" s="117" t="str">
        <x:v>Opportunity Line Item - On Delete - Set Opportunity Asset Summary</x:v>
      </x:c>
      <x:c r="S2057" s="119"/>
    </x:row>
    <x:row r="2058" ht="30" customHeight="1">
      <x:c r="A2058" s="117" t="str">
        <x:v>Opportunity_Line_Item_On_Delete_Set_Opportunity_Asset_Summary</x:v>
      </x:c>
      <x:c r="B2058" s="117" t="str">
        <x:v>300Ro00000wLIlNIAW</x:v>
      </x:c>
      <x:c r="C2058" s="117" t="str">
        <x:v>301Ro000014Qmz3IAC</x:v>
      </x:c>
      <x:c r="D2058" s="118" t="n">
        <x:v>3</x:v>
      </x:c>
      <x:c r="E2058" s="117" t="str">
        <x:v>Active</x:v>
      </x:c>
      <x:c r="F2058" s="117" t="str">
        <x:v>Yes</x:v>
      </x:c>
      <x:c r="G2058" s="117" t="str">
        <x:v>Yes</x:v>
      </x:c>
      <x:c r="H2058" s="117" t="str">
        <x:v>AutoLaunchedFlow</x:v>
      </x:c>
      <x:c r="I2058" s="118" t="n">
        <x:v>66</x:v>
      </x:c>
      <x:c r="J2058" s="117" t="str">
        <x:v>unmanaged</x:v>
      </x:c>
      <x:c r="K2058" s="123" t="b">
        <x:v>0</x:v>
      </x:c>
      <x:c r="L2058" s="117"/>
      <x:c r="M2058" s="118"/>
      <x:c r="N2058" s="120" t="n">
        <x:v>46141.870300925926</x:v>
      </x:c>
      <x:c r="O2058" s="117" t="str">
        <x:v>Sacha Pearce</x:v>
      </x:c>
      <x:c r="P2058" s="120" t="n">
        <x:v>46141.870405092595</x:v>
      </x:c>
      <x:c r="Q2058" s="117" t="str">
        <x:v>Sacha Pearce</x:v>
      </x:c>
      <x:c r="R2058" s="117" t="str">
        <x:v>Opportunity Line Item - On Delete - Set Opportunity Asset Summary</x:v>
      </x:c>
      <x:c r="S2058" s="119"/>
    </x:row>
    <x:row r="2059" ht="30" customHeight="1">
      <x:c r="A2059" s="117" t="str">
        <x:v>Opportunity_Product_Ansynchronous_on_update_Update_WOLI_with_pricing_quantity</x:v>
      </x:c>
      <x:c r="B2059" s="117" t="str">
        <x:v>300Ro00000pErn3IAC</x:v>
      </x:c>
      <x:c r="C2059" s="117" t="str">
        <x:v>301Ro00000wiWvdIAE</x:v>
      </x:c>
      <x:c r="D2059" s="118" t="n">
        <x:v>1</x:v>
      </x:c>
      <x:c r="E2059" s="117" t="str">
        <x:v>Obsolete</x:v>
      </x:c>
      <x:c r="F2059" s="117" t="str">
        <x:v>No</x:v>
      </x:c>
      <x:c r="G2059" s="117" t="str">
        <x:v>No</x:v>
      </x:c>
      <x:c r="H2059" s="117" t="str">
        <x:v>AutoLaunchedFlow</x:v>
      </x:c>
      <x:c r="I2059" s="118" t="n">
        <x:v>64</x:v>
      </x:c>
      <x:c r="J2059" s="117" t="str">
        <x:v>unmanaged</x:v>
      </x:c>
      <x:c r="K2059" s="123" t="b">
        <x:v>0</x:v>
      </x:c>
      <x:c r="L2059" s="117"/>
      <x:c r="M2059" s="118"/>
      <x:c r="N2059" s="120" t="n">
        <x:v>46049.54759259259</x:v>
      </x:c>
      <x:c r="O2059" s="117" t="str">
        <x:v>Delegate</x:v>
      </x:c>
      <x:c r="P2059" s="120" t="n">
        <x:v>46049.54770833333</x:v>
      </x:c>
      <x:c r="Q2059" s="117" t="str">
        <x:v>Delegate</x:v>
      </x:c>
      <x:c r="R2059" s="117" t="str">
        <x:v>Opportunity Product | Ansynchronous, on update, Update WOLI with pricing &amp; quantity</x:v>
      </x:c>
      <x:c r="S2059" s="119" t="str">
        <x:v>01/27/2026 (BW) - On Opportunity Product update, set the WOLI information</x:v>
      </x:c>
    </x:row>
    <x:row r="2060" ht="30" customHeight="1">
      <x:c r="A2060" s="117" t="str">
        <x:v>Opportunity_Product_Ansynchronous_on_update_Update_WOLI_with_pricing_quantity</x:v>
      </x:c>
      <x:c r="B2060" s="117" t="str">
        <x:v>300Ro00000pErn3IAC</x:v>
      </x:c>
      <x:c r="C2060" s="117" t="str">
        <x:v>301Ro00000wiX0TIAU</x:v>
      </x:c>
      <x:c r="D2060" s="118" t="n">
        <x:v>2</x:v>
      </x:c>
      <x:c r="E2060" s="117" t="str">
        <x:v>Active</x:v>
      </x:c>
      <x:c r="F2060" s="117" t="str">
        <x:v>Yes</x:v>
      </x:c>
      <x:c r="G2060" s="117" t="str">
        <x:v>Yes</x:v>
      </x:c>
      <x:c r="H2060" s="117" t="str">
        <x:v>AutoLaunchedFlow</x:v>
      </x:c>
      <x:c r="I2060" s="118" t="n">
        <x:v>64</x:v>
      </x:c>
      <x:c r="J2060" s="117" t="str">
        <x:v>unmanaged</x:v>
      </x:c>
      <x:c r="K2060" s="123" t="b">
        <x:v>0</x:v>
      </x:c>
      <x:c r="L2060" s="117"/>
      <x:c r="M2060" s="118"/>
      <x:c r="N2060" s="120" t="n">
        <x:v>46049.547847222224</x:v>
      </x:c>
      <x:c r="O2060" s="117" t="str">
        <x:v>Delegate</x:v>
      </x:c>
      <x:c r="P2060" s="120" t="n">
        <x:v>46049.54790509259</x:v>
      </x:c>
      <x:c r="Q2060" s="117" t="str">
        <x:v>Delegate</x:v>
      </x:c>
      <x:c r="R2060" s="117" t="str">
        <x:v>Opportunity Product | Ansynchronous, on update, Update WOLI with pricing &amp; quantity</x:v>
      </x:c>
      <x:c r="S2060" s="119" t="str">
        <x:v>01/27/2026 (BW) - On Opportunity Product update, set the WOLI information</x:v>
      </x:c>
    </x:row>
    <x:row r="2061" ht="30" customHeight="1">
      <x:c r="A2061" s="117" t="str">
        <x:v>Opportunity_Product_Asynchronous_on_create_update_WOLI_with_Opp_Product_if_Appli</x:v>
      </x:c>
      <x:c r="B2061" s="117" t="str">
        <x:v>300Ro00000cnT4hIAE</x:v>
      </x:c>
      <x:c r="C2061" s="117" t="str">
        <x:v>301Ro00000iNPpQIAW</x:v>
      </x:c>
      <x:c r="D2061" s="118" t="n">
        <x:v>1</x:v>
      </x:c>
      <x:c r="E2061" s="117" t="str">
        <x:v>Obsolete</x:v>
      </x:c>
      <x:c r="F2061" s="117" t="str">
        <x:v>No</x:v>
      </x:c>
      <x:c r="G2061" s="117" t="str">
        <x:v>No</x:v>
      </x:c>
      <x:c r="H2061" s="117" t="str">
        <x:v>AutoLaunchedFlow</x:v>
      </x:c>
      <x:c r="I2061" s="118" t="n">
        <x:v>64</x:v>
      </x:c>
      <x:c r="J2061" s="117" t="str">
        <x:v>unmanaged</x:v>
      </x:c>
      <x:c r="K2061" s="123" t="b">
        <x:v>0</x:v>
      </x:c>
      <x:c r="L2061" s="117"/>
      <x:c r="M2061" s="118"/>
      <x:c r="N2061" s="120" t="n">
        <x:v>45882.852268518516</x:v>
      </x:c>
      <x:c r="O2061" s="117" t="str">
        <x:v>Delegate</x:v>
      </x:c>
      <x:c r="P2061" s="120" t="n">
        <x:v>45883.080717592595</x:v>
      </x:c>
      <x:c r="Q2061" s="117" t="str">
        <x:v>Delegate</x:v>
      </x:c>
      <x:c r="R2061" s="117" t="str">
        <x:v>Opportunity Product | Asynchronous, on create, update WOLI with Opp Product if Applicable</x:v>
      </x:c>
      <x:c r="S2061" s="119" t="str">
        <x:v>07/15/2025 (BW) upon creation of an opportunity product, update a work order line item to link it to the opportunity product if applicable</x:v>
      </x:c>
    </x:row>
    <x:row r="2062" ht="30" customHeight="1">
      <x:c r="A2062" s="117" t="str">
        <x:v>Opportunity_Product_Asynchronous_on_create_update_WOLI_with_Opp_Product_if_Appli</x:v>
      </x:c>
      <x:c r="B2062" s="117" t="str">
        <x:v>300Ro00000cnT4hIAE</x:v>
      </x:c>
      <x:c r="C2062" s="117" t="str">
        <x:v>301Ro00000wiEcaIAE</x:v>
      </x:c>
      <x:c r="D2062" s="118" t="n">
        <x:v>2</x:v>
      </x:c>
      <x:c r="E2062" s="117" t="str">
        <x:v>Active</x:v>
      </x:c>
      <x:c r="F2062" s="117" t="str">
        <x:v>Yes</x:v>
      </x:c>
      <x:c r="G2062" s="117" t="str">
        <x:v>Yes</x:v>
      </x:c>
      <x:c r="H2062" s="117" t="str">
        <x:v>AutoLaunchedFlow</x:v>
      </x:c>
      <x:c r="I2062" s="118" t="n">
        <x:v>64</x:v>
      </x:c>
      <x:c r="J2062" s="117" t="str">
        <x:v>unmanaged</x:v>
      </x:c>
      <x:c r="K2062" s="123" t="b">
        <x:v>0</x:v>
      </x:c>
      <x:c r="L2062" s="117"/>
      <x:c r="M2062" s="118"/>
      <x:c r="N2062" s="120" t="n">
        <x:v>46049.54429398148</x:v>
      </x:c>
      <x:c r="O2062" s="117" t="str">
        <x:v>Delegate</x:v>
      </x:c>
      <x:c r="P2062" s="120" t="n">
        <x:v>46049.54439814815</x:v>
      </x:c>
      <x:c r="Q2062" s="117" t="str">
        <x:v>Delegate</x:v>
      </x:c>
      <x:c r="R2062" s="117" t="str">
        <x:v>Opportunity Product | Asynchronous, on create, update WOLI with Opp Product if Applicable</x:v>
      </x:c>
      <x:c r="S2062" s="119" t="str">
        <x:v>01/27/2026 (BW) Updated so that the unit price and quantity come over from the opportunity as well</x:v>
      </x:c>
    </x:row>
    <x:row r="2063" ht="30" customHeight="1">
      <x:c r="A2063" s="117" t="str">
        <x:v>Opportunity_Product_On_Delete</x:v>
      </x:c>
      <x:c r="B2063" s="117" t="str">
        <x:v>300Ro00000cnT4iIAE</x:v>
      </x:c>
      <x:c r="C2063" s="117" t="str">
        <x:v>301Ro00000iNPpRIAW</x:v>
      </x:c>
      <x:c r="D2063" s="118" t="n">
        <x:v>1</x:v>
      </x:c>
      <x:c r="E2063" s="117" t="str">
        <x:v>Active</x:v>
      </x:c>
      <x:c r="F2063" s="117" t="str">
        <x:v>Yes</x:v>
      </x:c>
      <x:c r="G2063" s="117" t="str">
        <x:v>Yes</x:v>
      </x:c>
      <x:c r="H2063" s="117" t="str">
        <x:v>AutoLaunchedFlow</x:v>
      </x:c>
      <x:c r="I2063" s="118" t="n">
        <x:v>64</x:v>
      </x:c>
      <x:c r="J2063" s="117" t="str">
        <x:v>unmanaged</x:v>
      </x:c>
      <x:c r="K2063" s="123" t="b">
        <x:v>0</x:v>
      </x:c>
      <x:c r="L2063" s="117"/>
      <x:c r="M2063" s="118"/>
      <x:c r="N2063" s="120" t="n">
        <x:v>45882.852268518516</x:v>
      </x:c>
      <x:c r="O2063" s="117" t="str">
        <x:v>Delegate</x:v>
      </x:c>
      <x:c r="P2063" s="120" t="n">
        <x:v>45883.0802662037</x:v>
      </x:c>
      <x:c r="Q2063" s="117" t="str">
        <x:v>Delegate</x:v>
      </x:c>
      <x:c r="R2063" s="117" t="str">
        <x:v>Opportunity Product | On Delete</x:v>
      </x:c>
      <x:c r="S2063" s="119" t="str">
        <x:v>07/18/2025 (BW) - Call the removal of the opportunity product myself</x:v>
      </x:c>
    </x:row>
    <x:row r="2064" ht="30" customHeight="1">
      <x:c r="A2064" s="117" t="str">
        <x:v>Opportunity_Product_Rollups</x:v>
      </x:c>
      <x:c r="B2064" s="117" t="str">
        <x:v>3005b000000Pz1DAAS</x:v>
      </x:c>
      <x:c r="C2064" s="117" t="str">
        <x:v>3015b0000011KwBAAU</x:v>
      </x:c>
      <x:c r="D2064" s="118" t="n">
        <x:v>1</x:v>
      </x:c>
      <x:c r="E2064" s="117" t="str">
        <x:v>Draft</x:v>
      </x:c>
      <x:c r="F2064" s="117" t="str">
        <x:v>No</x:v>
      </x:c>
      <x:c r="G2064" s="117" t="str">
        <x:v>No</x:v>
      </x:c>
      <x:c r="H2064" s="117" t="str">
        <x:v>AutoLaunchedFlow</x:v>
      </x:c>
      <x:c r="I2064" s="118" t="n">
        <x:v>57</x:v>
      </x:c>
      <x:c r="J2064" s="117" t="str">
        <x:v>unmanaged</x:v>
      </x:c>
      <x:c r="K2064" s="123" t="b">
        <x:v>0</x:v>
      </x:c>
      <x:c r="L2064" s="117"/>
      <x:c r="M2064" s="118"/>
      <x:c r="N2064" s="120" t="n">
        <x:v>45210.6316087963</x:v>
      </x:c>
      <x:c r="O2064" s="117" t="str">
        <x:v>Delegate</x:v>
      </x:c>
      <x:c r="P2064" s="120" t="n">
        <x:v>45210.63164351852</x:v>
      </x:c>
      <x:c r="Q2064" s="117" t="str">
        <x:v>Delegate</x:v>
      </x:c>
      <x:c r="R2064" s="117" t="str">
        <x:v>Opportunity Product Rollups</x:v>
      </x:c>
      <x:c r="S2064" s="119" t="str">
        <x:v>This flow contains all the rollup calculations that need to happen for the opportunity products.</x:v>
      </x:c>
    </x:row>
    <x:row r="2065" ht="30" customHeight="1">
      <x:c r="A2065" s="117" t="str">
        <x:v>Opportunity_Product_Rollups</x:v>
      </x:c>
      <x:c r="B2065" s="117" t="str">
        <x:v>3005b000000Pz1DAAS</x:v>
      </x:c>
      <x:c r="C2065" s="117" t="str">
        <x:v>3015b0000011LiyAAE</x:v>
      </x:c>
      <x:c r="D2065" s="118" t="n">
        <x:v>2</x:v>
      </x:c>
      <x:c r="E2065" s="117" t="str">
        <x:v>Obsolete</x:v>
      </x:c>
      <x:c r="F2065" s="117" t="str">
        <x:v>No</x:v>
      </x:c>
      <x:c r="G2065" s="117" t="str">
        <x:v>No</x:v>
      </x:c>
      <x:c r="H2065" s="117" t="str">
        <x:v>AutoLaunchedFlow</x:v>
      </x:c>
      <x:c r="I2065" s="118" t="n">
        <x:v>57</x:v>
      </x:c>
      <x:c r="J2065" s="117" t="str">
        <x:v>unmanaged</x:v>
      </x:c>
      <x:c r="K2065" s="123" t="b">
        <x:v>0</x:v>
      </x:c>
      <x:c r="L2065" s="117"/>
      <x:c r="M2065" s="118"/>
      <x:c r="N2065" s="120" t="n">
        <x:v>45224.081967592596</x:v>
      </x:c>
      <x:c r="O2065" s="117" t="str">
        <x:v>Delegate</x:v>
      </x:c>
      <x:c r="P2065" s="120" t="n">
        <x:v>45224.10152777778</x:v>
      </x:c>
      <x:c r="Q2065" s="117" t="str">
        <x:v>Delegate</x:v>
      </x:c>
      <x:c r="R2065" s="117" t="str">
        <x:v>Opportunity Product Rollups - On Update</x:v>
      </x:c>
      <x:c r="S2065" s="119" t="str">
        <x:v>This flow contains all the rollup calculations that need to happen for the opportunity products on Update.</x:v>
      </x:c>
    </x:row>
    <x:row r="2066" ht="30" customHeight="1">
      <x:c r="A2066" s="117" t="str">
        <x:v>Opportunity_Product_Rollups</x:v>
      </x:c>
      <x:c r="B2066" s="117" t="str">
        <x:v>3005b000000Pz1DAAS</x:v>
      </x:c>
      <x:c r="C2066" s="117" t="str">
        <x:v>3015b0000011Lj3AAE</x:v>
      </x:c>
      <x:c r="D2066" s="118" t="n">
        <x:v>3</x:v>
      </x:c>
      <x:c r="E2066" s="117" t="str">
        <x:v>Obsolete</x:v>
      </x:c>
      <x:c r="F2066" s="117" t="str">
        <x:v>No</x:v>
      </x:c>
      <x:c r="G2066" s="117" t="str">
        <x:v>No</x:v>
      </x:c>
      <x:c r="H2066" s="117" t="str">
        <x:v>AutoLaunchedFlow</x:v>
      </x:c>
      <x:c r="I2066" s="118" t="n">
        <x:v>57</x:v>
      </x:c>
      <x:c r="J2066" s="117" t="str">
        <x:v>unmanaged</x:v>
      </x:c>
      <x:c r="K2066" s="123" t="b">
        <x:v>0</x:v>
      </x:c>
      <x:c r="L2066" s="117"/>
      <x:c r="M2066" s="118"/>
      <x:c r="N2066" s="120" t="n">
        <x:v>45224.118784722225</x:v>
      </x:c>
      <x:c r="O2066" s="117" t="str">
        <x:v>Delegate</x:v>
      </x:c>
      <x:c r="P2066" s="120" t="n">
        <x:v>45224.11887731482</x:v>
      </x:c>
      <x:c r="Q2066" s="117" t="str">
        <x:v>Delegate</x:v>
      </x:c>
      <x:c r="R2066" s="117" t="str">
        <x:v>Opportunity Product Rollups - On Update</x:v>
      </x:c>
      <x:c r="S2066" s="119" t="str">
        <x:v>This flow contains all the rollup calculations that need to happen for the opportunity products on Update.</x:v>
      </x:c>
    </x:row>
    <x:row r="2067" ht="30" customHeight="1">
      <x:c r="A2067" s="117" t="str">
        <x:v>Opportunity_Product_Rollups</x:v>
      </x:c>
      <x:c r="B2067" s="117" t="str">
        <x:v>3005b000000Pz1DAAS</x:v>
      </x:c>
      <x:c r="C2067" s="117" t="str">
        <x:v>3015b0000011Lj4AAE</x:v>
      </x:c>
      <x:c r="D2067" s="118" t="n">
        <x:v>4</x:v>
      </x:c>
      <x:c r="E2067" s="117" t="str">
        <x:v>Obsolete</x:v>
      </x:c>
      <x:c r="F2067" s="117" t="str">
        <x:v>No</x:v>
      </x:c>
      <x:c r="G2067" s="117" t="str">
        <x:v>No</x:v>
      </x:c>
      <x:c r="H2067" s="117" t="str">
        <x:v>AutoLaunchedFlow</x:v>
      </x:c>
      <x:c r="I2067" s="118" t="n">
        <x:v>57</x:v>
      </x:c>
      <x:c r="J2067" s="117" t="str">
        <x:v>unmanaged</x:v>
      </x:c>
      <x:c r="K2067" s="123" t="b">
        <x:v>0</x:v>
      </x:c>
      <x:c r="L2067" s="117"/>
      <x:c r="M2067" s="118"/>
      <x:c r="N2067" s="120" t="n">
        <x:v>45224.119618055556</x:v>
      </x:c>
      <x:c r="O2067" s="117" t="str">
        <x:v>Delegate</x:v>
      </x:c>
      <x:c r="P2067" s="120" t="n">
        <x:v>45224.119722222225</x:v>
      </x:c>
      <x:c r="Q2067" s="117" t="str">
        <x:v>Delegate</x:v>
      </x:c>
      <x:c r="R2067" s="117" t="str">
        <x:v>Opportunity Product Rollups - On Update</x:v>
      </x:c>
      <x:c r="S2067" s="119" t="str">
        <x:v>This flow contains all the rollup calculations that need to happen for the opportunity products on Update.</x:v>
      </x:c>
    </x:row>
    <x:row r="2068" ht="30" customHeight="1">
      <x:c r="A2068" s="117" t="str">
        <x:v>Opportunity_Product_Rollups</x:v>
      </x:c>
      <x:c r="B2068" s="117" t="str">
        <x:v>3005b000000Pz1DAAS</x:v>
      </x:c>
      <x:c r="C2068" s="117" t="str">
        <x:v>3015b0000011LtmAAE</x:v>
      </x:c>
      <x:c r="D2068" s="118" t="n">
        <x:v>5</x:v>
      </x:c>
      <x:c r="E2068" s="117" t="str">
        <x:v>Obsolete</x:v>
      </x:c>
      <x:c r="F2068" s="117" t="str">
        <x:v>No</x:v>
      </x:c>
      <x:c r="G2068" s="117" t="str">
        <x:v>No</x:v>
      </x:c>
      <x:c r="H2068" s="117" t="str">
        <x:v>AutoLaunchedFlow</x:v>
      </x:c>
      <x:c r="I2068" s="118" t="n">
        <x:v>57</x:v>
      </x:c>
      <x:c r="J2068" s="117" t="str">
        <x:v>unmanaged</x:v>
      </x:c>
      <x:c r="K2068" s="123" t="b">
        <x:v>0</x:v>
      </x:c>
      <x:c r="L2068" s="117"/>
      <x:c r="M2068" s="118"/>
      <x:c r="N2068" s="120" t="n">
        <x:v>45226.808391203704</x:v>
      </x:c>
      <x:c r="O2068" s="117" t="str">
        <x:v>Delegate</x:v>
      </x:c>
      <x:c r="P2068" s="120" t="n">
        <x:v>45226.80918981481</x:v>
      </x:c>
      <x:c r="Q2068" s="117" t="str">
        <x:v>Delegate</x:v>
      </x:c>
      <x:c r="R2068" s="117" t="str">
        <x:v>Opportunity Product Rollups - On Update</x:v>
      </x:c>
      <x:c r="S2068" s="119" t="str">
        <x:v>10/27/23 (BW) - Updated criteria node to run off of loop through products rather than the record assignments</x:v>
      </x:c>
    </x:row>
    <x:row r="2069" ht="30" customHeight="1">
      <x:c r="A2069" s="117" t="str">
        <x:v>Opportunity_Product_Rollups</x:v>
      </x:c>
      <x:c r="B2069" s="117" t="str">
        <x:v>3005b000000Pz1DAAS</x:v>
      </x:c>
      <x:c r="C2069" s="117" t="str">
        <x:v>3015b0000011M2UAAU</x:v>
      </x:c>
      <x:c r="D2069" s="118" t="n">
        <x:v>6</x:v>
      </x:c>
      <x:c r="E2069" s="117" t="str">
        <x:v>Obsolete</x:v>
      </x:c>
      <x:c r="F2069" s="117" t="str">
        <x:v>No</x:v>
      </x:c>
      <x:c r="G2069" s="117" t="str">
        <x:v>No</x:v>
      </x:c>
      <x:c r="H2069" s="117" t="str">
        <x:v>AutoLaunchedFlow</x:v>
      </x:c>
      <x:c r="I2069" s="118" t="n">
        <x:v>57</x:v>
      </x:c>
      <x:c r="J2069" s="117" t="str">
        <x:v>unmanaged</x:v>
      </x:c>
      <x:c r="K2069" s="123" t="b">
        <x:v>0</x:v>
      </x:c>
      <x:c r="L2069" s="117"/>
      <x:c r="M2069" s="118"/>
      <x:c r="N2069" s="120" t="n">
        <x:v>45230.63982638889</x:v>
      </x:c>
      <x:c r="O2069" s="117" t="str">
        <x:v>Delegate</x:v>
      </x:c>
      <x:c r="P2069" s="120" t="n">
        <x:v>45230.63997685185</x:v>
      </x:c>
      <x:c r="Q2069" s="117" t="str">
        <x:v>Delegate</x:v>
      </x:c>
      <x:c r="R2069" s="117" t="str">
        <x:v>Opportunity Product Rollups - On Update</x:v>
      </x:c>
      <x:c r="S2069" s="119" t="str">
        <x:v>10/27/23 (BW) - Updated criteria node to run off of loop through products rather than the record assignments</x:v>
      </x:c>
    </x:row>
    <x:row r="2070" ht="30" customHeight="1">
      <x:c r="A2070" s="117" t="str">
        <x:v>Opportunity_Product_Rollups</x:v>
      </x:c>
      <x:c r="B2070" s="117" t="str">
        <x:v>3005b000000Pz1DAAS</x:v>
      </x:c>
      <x:c r="C2070" s="117" t="str">
        <x:v>3015b0000011MJfAAM</x:v>
      </x:c>
      <x:c r="D2070" s="118" t="n">
        <x:v>7</x:v>
      </x:c>
      <x:c r="E2070" s="117" t="str">
        <x:v>Obsolete</x:v>
      </x:c>
      <x:c r="F2070" s="117" t="str">
        <x:v>No</x:v>
      </x:c>
      <x:c r="G2070" s="117" t="str">
        <x:v>No</x:v>
      </x:c>
      <x:c r="H2070" s="117" t="str">
        <x:v>AutoLaunchedFlow</x:v>
      </x:c>
      <x:c r="I2070" s="118" t="n">
        <x:v>57</x:v>
      </x:c>
      <x:c r="J2070" s="117" t="str">
        <x:v>unmanaged</x:v>
      </x:c>
      <x:c r="K2070" s="123" t="b">
        <x:v>0</x:v>
      </x:c>
      <x:c r="L2070" s="117"/>
      <x:c r="M2070" s="118"/>
      <x:c r="N2070" s="120" t="n">
        <x:v>45232.80743055556</x:v>
      </x:c>
      <x:c r="O2070" s="117" t="str">
        <x:v>Jace Gentil</x:v>
      </x:c>
      <x:c r="P2070" s="120" t="n">
        <x:v>45232.807534722226</x:v>
      </x:c>
      <x:c r="Q2070" s="117" t="str">
        <x:v>Jace Gentil</x:v>
      </x:c>
      <x:c r="R2070" s="117" t="str">
        <x:v>Opportunity Product Rollups - On Update</x:v>
      </x:c>
      <x:c r="S2070" s="119" t="str">
        <x:v>This flow contains all the rollup calculations that need to happen for the opportunity products on Update.</x:v>
      </x:c>
    </x:row>
    <x:row r="2071" ht="30" customHeight="1">
      <x:c r="A2071" s="117" t="str">
        <x:v>Opportunity_Product_Rollups</x:v>
      </x:c>
      <x:c r="B2071" s="117" t="str">
        <x:v>3005b000000Pz1DAAS</x:v>
      </x:c>
      <x:c r="C2071" s="117" t="str">
        <x:v>3015b0000011MJkAAM</x:v>
      </x:c>
      <x:c r="D2071" s="118" t="n">
        <x:v>8</x:v>
      </x:c>
      <x:c r="E2071" s="117" t="str">
        <x:v>Obsolete</x:v>
      </x:c>
      <x:c r="F2071" s="117" t="str">
        <x:v>No</x:v>
      </x:c>
      <x:c r="G2071" s="117" t="str">
        <x:v>No</x:v>
      </x:c>
      <x:c r="H2071" s="117" t="str">
        <x:v>AutoLaunchedFlow</x:v>
      </x:c>
      <x:c r="I2071" s="118" t="n">
        <x:v>57</x:v>
      </x:c>
      <x:c r="J2071" s="117" t="str">
        <x:v>unmanaged</x:v>
      </x:c>
      <x:c r="K2071" s="123" t="b">
        <x:v>0</x:v>
      </x:c>
      <x:c r="L2071" s="117"/>
      <x:c r="M2071" s="118"/>
      <x:c r="N2071" s="120" t="n">
        <x:v>45232.80804398148</x:v>
      </x:c>
      <x:c r="O2071" s="117" t="str">
        <x:v>Jace Gentil</x:v>
      </x:c>
      <x:c r="P2071" s="120" t="n">
        <x:v>45232.80813657407</x:v>
      </x:c>
      <x:c r="Q2071" s="117" t="str">
        <x:v>Jace Gentil</x:v>
      </x:c>
      <x:c r="R2071" s="117" t="str">
        <x:v>Opportunity Product Rollups - On Update</x:v>
      </x:c>
      <x:c r="S2071" s="119" t="str">
        <x:v>This flow contains all the rollup calculations that need to happen for the opportunity products on Update.</x:v>
      </x:c>
    </x:row>
    <x:row r="2072" ht="30" customHeight="1">
      <x:c r="A2072" s="117" t="str">
        <x:v>Opportunity_Product_Rollups</x:v>
      </x:c>
      <x:c r="B2072" s="117" t="str">
        <x:v>3005b000000Pz1DAAS</x:v>
      </x:c>
      <x:c r="C2072" s="117" t="str">
        <x:v>3015b0000011MJlAAM</x:v>
      </x:c>
      <x:c r="D2072" s="118" t="n">
        <x:v>9</x:v>
      </x:c>
      <x:c r="E2072" s="117" t="str">
        <x:v>Obsolete</x:v>
      </x:c>
      <x:c r="F2072" s="117" t="str">
        <x:v>No</x:v>
      </x:c>
      <x:c r="G2072" s="117" t="str">
        <x:v>No</x:v>
      </x:c>
      <x:c r="H2072" s="117" t="str">
        <x:v>AutoLaunchedFlow</x:v>
      </x:c>
      <x:c r="I2072" s="118" t="n">
        <x:v>57</x:v>
      </x:c>
      <x:c r="J2072" s="117" t="str">
        <x:v>unmanaged</x:v>
      </x:c>
      <x:c r="K2072" s="123" t="b">
        <x:v>0</x:v>
      </x:c>
      <x:c r="L2072" s="117"/>
      <x:c r="M2072" s="118"/>
      <x:c r="N2072" s="120" t="n">
        <x:v>45232.81013888889</x:v>
      </x:c>
      <x:c r="O2072" s="117" t="str">
        <x:v>Jace Gentil</x:v>
      </x:c>
      <x:c r="P2072" s="120" t="n">
        <x:v>45232.81023148148</x:v>
      </x:c>
      <x:c r="Q2072" s="117" t="str">
        <x:v>Jace Gentil</x:v>
      </x:c>
      <x:c r="R2072" s="117" t="str">
        <x:v>Opportunity Product Rollups - On Update</x:v>
      </x:c>
      <x:c r="S2072" s="119" t="str">
        <x:v>This flow contains all the rollup calculations that need to happen for the opportunity products on Update.</x:v>
      </x:c>
    </x:row>
    <x:row r="2073" ht="30" customHeight="1">
      <x:c r="A2073" s="117" t="str">
        <x:v>Opportunity_Product_Rollups</x:v>
      </x:c>
      <x:c r="B2073" s="117" t="str">
        <x:v>3005b000000Pz1DAAS</x:v>
      </x:c>
      <x:c r="C2073" s="117" t="str">
        <x:v>3015b0000011MLlAAM</x:v>
      </x:c>
      <x:c r="D2073" s="118" t="n">
        <x:v>10</x:v>
      </x:c>
      <x:c r="E2073" s="117" t="str">
        <x:v>Obsolete</x:v>
      </x:c>
      <x:c r="F2073" s="117" t="str">
        <x:v>No</x:v>
      </x:c>
      <x:c r="G2073" s="117" t="str">
        <x:v>No</x:v>
      </x:c>
      <x:c r="H2073" s="117" t="str">
        <x:v>AutoLaunchedFlow</x:v>
      </x:c>
      <x:c r="I2073" s="118" t="n">
        <x:v>57</x:v>
      </x:c>
      <x:c r="J2073" s="117" t="str">
        <x:v>unmanaged</x:v>
      </x:c>
      <x:c r="K2073" s="123" t="b">
        <x:v>0</x:v>
      </x:c>
      <x:c r="L2073" s="117"/>
      <x:c r="M2073" s="118"/>
      <x:c r="N2073" s="120" t="n">
        <x:v>45233.63334490741</x:v>
      </x:c>
      <x:c r="O2073" s="117" t="str">
        <x:v>Delegate</x:v>
      </x:c>
      <x:c r="P2073" s="120" t="n">
        <x:v>45233.6405787037</x:v>
      </x:c>
      <x:c r="Q2073" s="117" t="str">
        <x:v>Delegate</x:v>
      </x:c>
      <x:c r="R2073" s="117" t="str">
        <x:v>Opportunity Product Rollups - On Update</x:v>
      </x:c>
      <x:c r="S2073" s="119" t="str">
        <x:v>Testing Invoice ID correction</x:v>
      </x:c>
    </x:row>
    <x:row r="2074" ht="30" customHeight="1">
      <x:c r="A2074" s="117" t="str">
        <x:v>Opportunity_Product_Rollups</x:v>
      </x:c>
      <x:c r="B2074" s="117" t="str">
        <x:v>3005b000000Pz1DAAS</x:v>
      </x:c>
      <x:c r="C2074" s="117" t="str">
        <x:v>3015b0000011MM5AAM</x:v>
      </x:c>
      <x:c r="D2074" s="118" t="n">
        <x:v>11</x:v>
      </x:c>
      <x:c r="E2074" s="117" t="str">
        <x:v>Obsolete</x:v>
      </x:c>
      <x:c r="F2074" s="117" t="str">
        <x:v>No</x:v>
      </x:c>
      <x:c r="G2074" s="117" t="str">
        <x:v>No</x:v>
      </x:c>
      <x:c r="H2074" s="117" t="str">
        <x:v>AutoLaunchedFlow</x:v>
      </x:c>
      <x:c r="I2074" s="118" t="n">
        <x:v>57</x:v>
      </x:c>
      <x:c r="J2074" s="117" t="str">
        <x:v>unmanaged</x:v>
      </x:c>
      <x:c r="K2074" s="123" t="b">
        <x:v>0</x:v>
      </x:c>
      <x:c r="L2074" s="117"/>
      <x:c r="M2074" s="118"/>
      <x:c r="N2074" s="120" t="n">
        <x:v>45233.67517361111</x:v>
      </x:c>
      <x:c r="O2074" s="117" t="str">
        <x:v>Delegate</x:v>
      </x:c>
      <x:c r="P2074" s="120" t="n">
        <x:v>45238.69787037037</x:v>
      </x:c>
      <x:c r="Q2074" s="117" t="str">
        <x:v>Delegate</x:v>
      </x:c>
      <x:c r="R2074" s="117" t="str">
        <x:v>Opportunity Product Rollups - On Update</x:v>
      </x:c>
      <x:c r="S2074" s="119" t="str">
        <x:v>Updating loop reference to item in loop vs triggering record</x:v>
      </x:c>
    </x:row>
    <x:row r="2075" ht="30" customHeight="1">
      <x:c r="A2075" s="117" t="str">
        <x:v>Opportunity_Product_Rollups</x:v>
      </x:c>
      <x:c r="B2075" s="117" t="str">
        <x:v>3005b000000Pz1DAAS</x:v>
      </x:c>
      <x:c r="C2075" s="117" t="str">
        <x:v>3015b0000011MWAAA2</x:v>
      </x:c>
      <x:c r="D2075" s="118" t="n">
        <x:v>12</x:v>
      </x:c>
      <x:c r="E2075" s="117" t="str">
        <x:v>Draft</x:v>
      </x:c>
      <x:c r="F2075" s="117" t="str">
        <x:v>No</x:v>
      </x:c>
      <x:c r="G2075" s="117" t="str">
        <x:v>No</x:v>
      </x:c>
      <x:c r="H2075" s="117" t="str">
        <x:v>AutoLaunchedFlow</x:v>
      </x:c>
      <x:c r="I2075" s="118" t="n">
        <x:v>57</x:v>
      </x:c>
      <x:c r="J2075" s="117" t="str">
        <x:v>unmanaged</x:v>
      </x:c>
      <x:c r="K2075" s="123" t="b">
        <x:v>0</x:v>
      </x:c>
      <x:c r="L2075" s="117"/>
      <x:c r="M2075" s="118"/>
      <x:c r="N2075" s="120" t="n">
        <x:v>45247.606354166666</x:v>
      </x:c>
      <x:c r="O2075" s="117" t="str">
        <x:v>Delegate</x:v>
      </x:c>
      <x:c r="P2075" s="120" t="n">
        <x:v>45247.60638888889</x:v>
      </x:c>
      <x:c r="Q2075" s="117" t="str">
        <x:v>Delegate</x:v>
      </x:c>
      <x:c r="R2075" s="117" t="str">
        <x:v>Opportunity Product Rollups - On Update</x:v>
      </x:c>
      <x:c r="S2075" s="119" t="str">
        <x:v>11/17/23 (BW) - Debugging to figure out why Totaling is wrong on invoices</x:v>
      </x:c>
    </x:row>
    <x:row r="2076" ht="30" customHeight="1">
      <x:c r="A2076" s="117" t="str">
        <x:v>Opportunity_Product_Rollups</x:v>
      </x:c>
      <x:c r="B2076" s="117" t="str">
        <x:v>3005b000000Pz1DAAS</x:v>
      </x:c>
      <x:c r="C2076" s="117" t="str">
        <x:v>3015b0000011MhNAAU</x:v>
      </x:c>
      <x:c r="D2076" s="118" t="n">
        <x:v>13</x:v>
      </x:c>
      <x:c r="E2076" s="117" t="str">
        <x:v>Draft</x:v>
      </x:c>
      <x:c r="F2076" s="117" t="str">
        <x:v>No</x:v>
      </x:c>
      <x:c r="G2076" s="117" t="str">
        <x:v>No</x:v>
      </x:c>
      <x:c r="H2076" s="117" t="str">
        <x:v>AutoLaunchedFlow</x:v>
      </x:c>
      <x:c r="I2076" s="118" t="n">
        <x:v>57</x:v>
      </x:c>
      <x:c r="J2076" s="117" t="str">
        <x:v>unmanaged</x:v>
      </x:c>
      <x:c r="K2076" s="123" t="b">
        <x:v>0</x:v>
      </x:c>
      <x:c r="L2076" s="117"/>
      <x:c r="M2076" s="118"/>
      <x:c r="N2076" s="120" t="n">
        <x:v>45261.67800925926</x:v>
      </x:c>
      <x:c r="O2076" s="117" t="str">
        <x:v>Delegate</x:v>
      </x:c>
      <x:c r="P2076" s="120" t="n">
        <x:v>45261.67804398148</x:v>
      </x:c>
      <x:c r="Q2076" s="117" t="str">
        <x:v>Delegate</x:v>
      </x:c>
      <x:c r="R2076" s="117" t="str">
        <x:v>Opportunity Product Rollups - On Update</x:v>
      </x:c>
      <x:c r="S2076" s="119" t="str">
        <x:v>Updating loop reference to item in loop vs triggering record</x:v>
      </x:c>
    </x:row>
    <x:row r="2077" ht="30" customHeight="1">
      <x:c r="A2077" s="117" t="str">
        <x:v>Opportunity_Product_Rollups</x:v>
      </x:c>
      <x:c r="B2077" s="117" t="str">
        <x:v>3005b000000Pz1DAAS</x:v>
      </x:c>
      <x:c r="C2077" s="117" t="str">
        <x:v>3015b0000011MhSAAU</x:v>
      </x:c>
      <x:c r="D2077" s="118" t="n">
        <x:v>14</x:v>
      </x:c>
      <x:c r="E2077" s="117" t="str">
        <x:v>Obsolete</x:v>
      </x:c>
      <x:c r="F2077" s="117" t="str">
        <x:v>No</x:v>
      </x:c>
      <x:c r="G2077" s="117" t="str">
        <x:v>No</x:v>
      </x:c>
      <x:c r="H2077" s="117" t="str">
        <x:v>AutoLaunchedFlow</x:v>
      </x:c>
      <x:c r="I2077" s="118" t="n">
        <x:v>57</x:v>
      </x:c>
      <x:c r="J2077" s="117" t="str">
        <x:v>unmanaged</x:v>
      </x:c>
      <x:c r="K2077" s="123" t="b">
        <x:v>0</x:v>
      </x:c>
      <x:c r="L2077" s="117"/>
      <x:c r="M2077" s="118"/>
      <x:c r="N2077" s="120" t="n">
        <x:v>45261.678773148145</x:v>
      </x:c>
      <x:c r="O2077" s="117" t="str">
        <x:v>Delegate</x:v>
      </x:c>
      <x:c r="P2077" s="120" t="n">
        <x:v>45261.67920138889</x:v>
      </x:c>
      <x:c r="Q2077" s="117" t="str">
        <x:v>Delegate</x:v>
      </x:c>
      <x:c r="R2077" s="117" t="str">
        <x:v>Opportunity Product Rollups - On Update</x:v>
      </x:c>
      <x:c r="S2077" s="119" t="str">
        <x:v>Updating loop reference to item in loop vs triggering record</x:v>
      </x:c>
    </x:row>
    <x:row r="2078" ht="30" customHeight="1">
      <x:c r="A2078" s="117" t="str">
        <x:v>Opportunity_Product_Rollups</x:v>
      </x:c>
      <x:c r="B2078" s="117" t="str">
        <x:v>3005b000000Pz1DAAS</x:v>
      </x:c>
      <x:c r="C2078" s="117" t="str">
        <x:v>301Ro00000NyHPcIAN</x:v>
      </x:c>
      <x:c r="D2078" s="118" t="n">
        <x:v>15</x:v>
      </x:c>
      <x:c r="E2078" s="117" t="str">
        <x:v>Obsolete</x:v>
      </x:c>
      <x:c r="F2078" s="117" t="str">
        <x:v>No</x:v>
      </x:c>
      <x:c r="G2078" s="117" t="str">
        <x:v>No</x:v>
      </x:c>
      <x:c r="H2078" s="117" t="str">
        <x:v>AutoLaunchedFlow</x:v>
      </x:c>
      <x:c r="I2078" s="118" t="n">
        <x:v>57</x:v>
      </x:c>
      <x:c r="J2078" s="117" t="str">
        <x:v>unmanaged</x:v>
      </x:c>
      <x:c r="K2078" s="123" t="b">
        <x:v>0</x:v>
      </x:c>
      <x:c r="L2078" s="117"/>
      <x:c r="M2078" s="118"/>
      <x:c r="N2078" s="120" t="n">
        <x:v>45597.254953703705</x:v>
      </x:c>
      <x:c r="O2078" s="117" t="str">
        <x:v>Natalie Boger</x:v>
      </x:c>
      <x:c r="P2078" s="120" t="n">
        <x:v>45597.301828703705</x:v>
      </x:c>
      <x:c r="Q2078" s="117" t="str">
        <x:v>Natalie Boger</x:v>
      </x:c>
      <x:c r="R2078" s="117" t="str">
        <x:v>Opportunity Product Rollups - On Update</x:v>
      </x:c>
      <x:c r="S2078" s="119" t="str">
        <x:v>09/09/24 - updating storage unit price and total storage days fields on invoice</x:v>
      </x:c>
    </x:row>
    <x:row r="2079" ht="30" customHeight="1">
      <x:c r="A2079" s="117" t="str">
        <x:v>Opportunity_Product_Rollups</x:v>
      </x:c>
      <x:c r="B2079" s="117" t="str">
        <x:v>3005b000000Pz1DAAS</x:v>
      </x:c>
      <x:c r="C2079" s="117" t="str">
        <x:v>301Ro00000QlycrIAB</x:v>
      </x:c>
      <x:c r="D2079" s="118" t="n">
        <x:v>16</x:v>
      </x:c>
      <x:c r="E2079" s="117" t="str">
        <x:v>Obsolete</x:v>
      </x:c>
      <x:c r="F2079" s="117" t="str">
        <x:v>No</x:v>
      </x:c>
      <x:c r="G2079" s="117" t="str">
        <x:v>No</x:v>
      </x:c>
      <x:c r="H2079" s="117" t="str">
        <x:v>AutoLaunchedFlow</x:v>
      </x:c>
      <x:c r="I2079" s="118" t="n">
        <x:v>57</x:v>
      </x:c>
      <x:c r="J2079" s="117" t="str">
        <x:v>unmanaged</x:v>
      </x:c>
      <x:c r="K2079" s="123" t="b">
        <x:v>0</x:v>
      </x:c>
      <x:c r="L2079" s="117"/>
      <x:c r="M2079" s="118"/>
      <x:c r="N2079" s="120" t="n">
        <x:v>45644.89916666667</x:v>
      </x:c>
      <x:c r="O2079" s="117" t="str">
        <x:v>Natalie Boger</x:v>
      </x:c>
      <x:c r="P2079" s="120" t="n">
        <x:v>45644.9005787037</x:v>
      </x:c>
      <x:c r="Q2079" s="117" t="str">
        <x:v>Natalie Boger</x:v>
      </x:c>
      <x:c r="R2079" s="117" t="str">
        <x:v>Opportunity Product Rollups - On Update</x:v>
      </x:c>
      <x:c r="S2079" s="119" t="str">
        <x:v>12/18/24 - updating decision tree for cold storage product to include storage bay in product name</x:v>
      </x:c>
    </x:row>
    <x:row r="2080" ht="30" customHeight="1">
      <x:c r="A2080" s="117" t="str">
        <x:v>Opportunity_Product_Rollups</x:v>
      </x:c>
      <x:c r="B2080" s="117" t="str">
        <x:v>3005b000000Pz1DAAS</x:v>
      </x:c>
      <x:c r="C2080" s="117" t="str">
        <x:v>301Ro00000Qlu1QIAR</x:v>
      </x:c>
      <x:c r="D2080" s="118" t="n">
        <x:v>17</x:v>
      </x:c>
      <x:c r="E2080" s="117" t="str">
        <x:v>Obsolete</x:v>
      </x:c>
      <x:c r="F2080" s="117" t="str">
        <x:v>No</x:v>
      </x:c>
      <x:c r="G2080" s="117" t="str">
        <x:v>No</x:v>
      </x:c>
      <x:c r="H2080" s="117" t="str">
        <x:v>AutoLaunchedFlow</x:v>
      </x:c>
      <x:c r="I2080" s="118" t="n">
        <x:v>57</x:v>
      </x:c>
      <x:c r="J2080" s="117" t="str">
        <x:v>unmanaged</x:v>
      </x:c>
      <x:c r="K2080" s="123" t="b">
        <x:v>0</x:v>
      </x:c>
      <x:c r="L2080" s="117"/>
      <x:c r="M2080" s="118"/>
      <x:c r="N2080" s="120" t="n">
        <x:v>45644.90740740741</x:v>
      </x:c>
      <x:c r="O2080" s="117" t="str">
        <x:v>Natalie Boger</x:v>
      </x:c>
      <x:c r="P2080" s="120" t="n">
        <x:v>45644.90792824074</x:v>
      </x:c>
      <x:c r="Q2080" s="117" t="str">
        <x:v>Natalie Boger</x:v>
      </x:c>
      <x:c r="R2080" s="117" t="str">
        <x:v>Opportunity Product Rollups - On Update</x:v>
      </x:c>
      <x:c r="S2080" s="119" t="str">
        <x:v>12/18/24 - updating decision tree for cold storage product to include storage bay in product name</x:v>
      </x:c>
    </x:row>
    <x:row r="2081" ht="30" customHeight="1">
      <x:c r="A2081" s="117" t="str">
        <x:v>Opportunity_Product_Rollups</x:v>
      </x:c>
      <x:c r="B2081" s="117" t="str">
        <x:v>3005b000000Pz1DAAS</x:v>
      </x:c>
      <x:c r="C2081" s="117" t="str">
        <x:v>301Ro00000QmLbHIAV</x:v>
      </x:c>
      <x:c r="D2081" s="118" t="n">
        <x:v>18</x:v>
      </x:c>
      <x:c r="E2081" s="117" t="str">
        <x:v>Active</x:v>
      </x:c>
      <x:c r="F2081" s="117" t="str">
        <x:v>Yes</x:v>
      </x:c>
      <x:c r="G2081" s="117" t="str">
        <x:v>Yes</x:v>
      </x:c>
      <x:c r="H2081" s="117" t="str">
        <x:v>AutoLaunchedFlow</x:v>
      </x:c>
      <x:c r="I2081" s="118" t="n">
        <x:v>57</x:v>
      </x:c>
      <x:c r="J2081" s="117" t="str">
        <x:v>unmanaged</x:v>
      </x:c>
      <x:c r="K2081" s="123" t="b">
        <x:v>0</x:v>
      </x:c>
      <x:c r="L2081" s="117"/>
      <x:c r="M2081" s="118"/>
      <x:c r="N2081" s="120" t="n">
        <x:v>45644.99304398148</x:v>
      </x:c>
      <x:c r="O2081" s="117" t="str">
        <x:v>Natalie Boger</x:v>
      </x:c>
      <x:c r="P2081" s="120" t="n">
        <x:v>45645.07633101852</x:v>
      </x:c>
      <x:c r="Q2081" s="117" t="str">
        <x:v>Natalie Boger</x:v>
      </x:c>
      <x:c r="R2081" s="117" t="str">
        <x:v>Opportunity Product Rollups - On Update</x:v>
      </x:c>
      <x:c r="S2081" s="119" t="str">
        <x:v>12/18/24 - updating decision tree for cold storage product to include storage in product name</x:v>
      </x:c>
    </x:row>
    <x:row r="2082" ht="30" customHeight="1">
      <x:c r="A2082" s="117" t="str">
        <x:v>Opportunity_Product_Rollups_On_Create</x:v>
      </x:c>
      <x:c r="B2082" s="117" t="str">
        <x:v>3005b00000113QYAAY</x:v>
      </x:c>
      <x:c r="C2082" s="117" t="str">
        <x:v>3015b0000011LizAAE</x:v>
      </x:c>
      <x:c r="D2082" s="118" t="n">
        <x:v>1</x:v>
      </x:c>
      <x:c r="E2082" s="117" t="str">
        <x:v>Obsolete</x:v>
      </x:c>
      <x:c r="F2082" s="117" t="str">
        <x:v>No</x:v>
      </x:c>
      <x:c r="G2082" s="117" t="str">
        <x:v>No</x:v>
      </x:c>
      <x:c r="H2082" s="117" t="str">
        <x:v>AutoLaunchedFlow</x:v>
      </x:c>
      <x:c r="I2082" s="118" t="n">
        <x:v>57</x:v>
      </x:c>
      <x:c r="J2082" s="117" t="str">
        <x:v>unmanaged</x:v>
      </x:c>
      <x:c r="K2082" s="123" t="b">
        <x:v>0</x:v>
      </x:c>
      <x:c r="L2082" s="117"/>
      <x:c r="M2082" s="118"/>
      <x:c r="N2082" s="120" t="n">
        <x:v>45224.0858912037</x:v>
      </x:c>
      <x:c r="O2082" s="117" t="str">
        <x:v>Delegate</x:v>
      </x:c>
      <x:c r="P2082" s="120" t="n">
        <x:v>45224.10165509259</x:v>
      </x:c>
      <x:c r="Q2082" s="117" t="str">
        <x:v>Delegate</x:v>
      </x:c>
      <x:c r="R2082" s="117" t="str">
        <x:v>Opportunity Product Rollups - On Create</x:v>
      </x:c>
      <x:c r="S2082" s="119" t="str">
        <x:v>This flow contains all the rollup calculations that need to happen for the opportunity products on Create.</x:v>
      </x:c>
    </x:row>
    <x:row r="2083" ht="30" customHeight="1">
      <x:c r="A2083" s="117" t="str">
        <x:v>Opportunity_Product_Rollups_On_Create</x:v>
      </x:c>
      <x:c r="B2083" s="117" t="str">
        <x:v>3005b00000113QYAAY</x:v>
      </x:c>
      <x:c r="C2083" s="117" t="str">
        <x:v>3015b0000011Lj8AAE</x:v>
      </x:c>
      <x:c r="D2083" s="118" t="n">
        <x:v>2</x:v>
      </x:c>
      <x:c r="E2083" s="117" t="str">
        <x:v>Obsolete</x:v>
      </x:c>
      <x:c r="F2083" s="117" t="str">
        <x:v>No</x:v>
      </x:c>
      <x:c r="G2083" s="117" t="str">
        <x:v>No</x:v>
      </x:c>
      <x:c r="H2083" s="117" t="str">
        <x:v>AutoLaunchedFlow</x:v>
      </x:c>
      <x:c r="I2083" s="118" t="n">
        <x:v>57</x:v>
      </x:c>
      <x:c r="J2083" s="117" t="str">
        <x:v>unmanaged</x:v>
      </x:c>
      <x:c r="K2083" s="123" t="b">
        <x:v>0</x:v>
      </x:c>
      <x:c r="L2083" s="117"/>
      <x:c r="M2083" s="118"/>
      <x:c r="N2083" s="120" t="n">
        <x:v>45224.13253472222</x:v>
      </x:c>
      <x:c r="O2083" s="117" t="str">
        <x:v>Delegate</x:v>
      </x:c>
      <x:c r="P2083" s="120" t="n">
        <x:v>45224.13261574074</x:v>
      </x:c>
      <x:c r="Q2083" s="117" t="str">
        <x:v>Delegate</x:v>
      </x:c>
      <x:c r="R2083" s="117" t="str">
        <x:v>Opportunity Product Rollups - On Create</x:v>
      </x:c>
      <x:c r="S2083" s="119" t="str">
        <x:v>This flow contains all the rollup calculations that need to happen for the opportunity products on Create.</x:v>
      </x:c>
    </x:row>
    <x:row r="2084" ht="30" customHeight="1">
      <x:c r="A2084" s="117" t="str">
        <x:v>Opportunity_Product_Rollups_On_Create</x:v>
      </x:c>
      <x:c r="B2084" s="117" t="str">
        <x:v>3005b00000113QYAAY</x:v>
      </x:c>
      <x:c r="C2084" s="117" t="str">
        <x:v>3015b0000011LtrAAE</x:v>
      </x:c>
      <x:c r="D2084" s="118" t="n">
        <x:v>3</x:v>
      </x:c>
      <x:c r="E2084" s="117" t="str">
        <x:v>Obsolete</x:v>
      </x:c>
      <x:c r="F2084" s="117" t="str">
        <x:v>No</x:v>
      </x:c>
      <x:c r="G2084" s="117" t="str">
        <x:v>No</x:v>
      </x:c>
      <x:c r="H2084" s="117" t="str">
        <x:v>AutoLaunchedFlow</x:v>
      </x:c>
      <x:c r="I2084" s="118" t="n">
        <x:v>57</x:v>
      </x:c>
      <x:c r="J2084" s="117" t="str">
        <x:v>unmanaged</x:v>
      </x:c>
      <x:c r="K2084" s="123" t="b">
        <x:v>0</x:v>
      </x:c>
      <x:c r="L2084" s="117"/>
      <x:c r="M2084" s="118"/>
      <x:c r="N2084" s="120" t="n">
        <x:v>45226.81391203704</x:v>
      </x:c>
      <x:c r="O2084" s="117" t="str">
        <x:v>Delegate</x:v>
      </x:c>
      <x:c r="P2084" s="120" t="n">
        <x:v>45226.8140162037</x:v>
      </x:c>
      <x:c r="Q2084" s="117" t="str">
        <x:v>Delegate</x:v>
      </x:c>
      <x:c r="R2084" s="117" t="str">
        <x:v>Opportunity Product Rollups - On Create</x:v>
      </x:c>
      <x:c r="S2084" s="119" t="str">
        <x:v>10/27/23 (BW) - Updated the decisions to run off their respective loops rather than the record variable.</x:v>
      </x:c>
    </x:row>
    <x:row r="2085" ht="30" customHeight="1">
      <x:c r="A2085" s="117" t="str">
        <x:v>Opportunity_Product_Rollups_On_Create</x:v>
      </x:c>
      <x:c r="B2085" s="117" t="str">
        <x:v>3005b00000113QYAAY</x:v>
      </x:c>
      <x:c r="C2085" s="117" t="str">
        <x:v>301Ro00000WMX6DIAX</x:v>
      </x:c>
      <x:c r="D2085" s="118" t="n">
        <x:v>4</x:v>
      </x:c>
      <x:c r="E2085" s="117" t="str">
        <x:v>Active</x:v>
      </x:c>
      <x:c r="F2085" s="117" t="str">
        <x:v>Yes</x:v>
      </x:c>
      <x:c r="G2085" s="117" t="str">
        <x:v>Yes</x:v>
      </x:c>
      <x:c r="H2085" s="117" t="str">
        <x:v>AutoLaunchedFlow</x:v>
      </x:c>
      <x:c r="I2085" s="118" t="n">
        <x:v>57</x:v>
      </x:c>
      <x:c r="J2085" s="117" t="str">
        <x:v>unmanaged</x:v>
      </x:c>
      <x:c r="K2085" s="123" t="b">
        <x:v>0</x:v>
      </x:c>
      <x:c r="L2085" s="117"/>
      <x:c r="M2085" s="118"/>
      <x:c r="N2085" s="120" t="n">
        <x:v>45743.54754629629</x:v>
      </x:c>
      <x:c r="O2085" s="117" t="str">
        <x:v>Delegate</x:v>
      </x:c>
      <x:c r="P2085" s="120" t="n">
        <x:v>45743.54785879629</x:v>
      </x:c>
      <x:c r="Q2085" s="117" t="str">
        <x:v>Delegate</x:v>
      </x:c>
      <x:c r="R2085" s="117" t="str">
        <x:v>Opportunity Product Rollups - On Create</x:v>
      </x:c>
      <x:c r="S2085" s="119" t="str">
        <x:v>AM: Added Quantity Remaining = Quantity on create.</x:v>
      </x:c>
    </x:row>
    <x:row r="2086" ht="30" customHeight="1">
      <x:c r="A2086" s="117" t="str">
        <x:v>Opportunity_Product_Updates_Flow</x:v>
      </x:c>
      <x:c r="B2086" s="117" t="str">
        <x:v>3005b000000LHqlAAG</x:v>
      </x:c>
      <x:c r="C2086" s="117" t="str">
        <x:v>3015b000000AF2cAAG</x:v>
      </x:c>
      <x:c r="D2086" s="118" t="n">
        <x:v>1</x:v>
      </x:c>
      <x:c r="E2086" s="117" t="str">
        <x:v>Obsolete</x:v>
      </x:c>
      <x:c r="F2086" s="117" t="str">
        <x:v>No</x:v>
      </x:c>
      <x:c r="G2086" s="117" t="str">
        <x:v>No</x:v>
      </x:c>
      <x:c r="H2086" s="117" t="str">
        <x:v>AutoLaunchedFlow</x:v>
      </x:c>
      <x:c r="I2086" s="118" t="n">
        <x:v>56</x:v>
      </x:c>
      <x:c r="J2086" s="117" t="str">
        <x:v>unmanaged</x:v>
      </x:c>
      <x:c r="K2086" s="123" t="b">
        <x:v>0</x:v>
      </x:c>
      <x:c r="L2086" s="117"/>
      <x:c r="M2086" s="118"/>
      <x:c r="N2086" s="120" t="n">
        <x:v>44952.696388888886</x:v>
      </x:c>
      <x:c r="O2086" s="117" t="str">
        <x:v>Jace Gentil</x:v>
      </x:c>
      <x:c r="P2086" s="120" t="n">
        <x:v>44952.69642361111</x:v>
      </x:c>
      <x:c r="Q2086" s="117" t="str">
        <x:v>Jace Gentil</x:v>
      </x:c>
      <x:c r="R2086" s="117" t="str">
        <x:v>Opportunity Product Updates Flow</x:v>
      </x:c>
      <x:c r="S2086" s="119"/>
    </x:row>
    <x:row r="2087" ht="30" customHeight="1">
      <x:c r="A2087" s="117" t="str">
        <x:v>Opportunity_Product_Updates_Flow</x:v>
      </x:c>
      <x:c r="B2087" s="117" t="str">
        <x:v>3005b000000LHqlAAG</x:v>
      </x:c>
      <x:c r="C2087" s="117" t="str">
        <x:v>3015b000000ANVDAA4</x:v>
      </x:c>
      <x:c r="D2087" s="118" t="n">
        <x:v>2</x:v>
      </x:c>
      <x:c r="E2087" s="117" t="str">
        <x:v>Draft</x:v>
      </x:c>
      <x:c r="F2087" s="117" t="str">
        <x:v>No</x:v>
      </x:c>
      <x:c r="G2087" s="117" t="str">
        <x:v>No</x:v>
      </x:c>
      <x:c r="H2087" s="117" t="str">
        <x:v>AutoLaunchedFlow</x:v>
      </x:c>
      <x:c r="I2087" s="118" t="n">
        <x:v>56</x:v>
      </x:c>
      <x:c r="J2087" s="117" t="str">
        <x:v>unmanaged</x:v>
      </x:c>
      <x:c r="K2087" s="123" t="b">
        <x:v>0</x:v>
      </x:c>
      <x:c r="L2087" s="117"/>
      <x:c r="M2087" s="118"/>
      <x:c r="N2087" s="120" t="n">
        <x:v>45113.568506944444</x:v>
      </x:c>
      <x:c r="O2087" s="117" t="str">
        <x:v>Jace Gentil</x:v>
      </x:c>
      <x:c r="P2087" s="120" t="n">
        <x:v>45113.56853009259</x:v>
      </x:c>
      <x:c r="Q2087" s="117" t="str">
        <x:v>Jace Gentil</x:v>
      </x:c>
      <x:c r="R2087" s="117" t="str">
        <x:v>Opportunity Product Updates Flow</x:v>
      </x:c>
      <x:c r="S2087" s="119"/>
    </x:row>
    <x:row r="2088" ht="30" customHeight="1">
      <x:c r="A2088" s="117" t="str">
        <x:v>Opportunity_Product_Updates_Flow</x:v>
      </x:c>
      <x:c r="B2088" s="117" t="str">
        <x:v>3005b000000LHqlAAG</x:v>
      </x:c>
      <x:c r="C2088" s="117" t="str">
        <x:v>3015b000000ANVIAA4</x:v>
      </x:c>
      <x:c r="D2088" s="118" t="n">
        <x:v>3</x:v>
      </x:c>
      <x:c r="E2088" s="117" t="str">
        <x:v>Obsolete</x:v>
      </x:c>
      <x:c r="F2088" s="117" t="str">
        <x:v>No</x:v>
      </x:c>
      <x:c r="G2088" s="117" t="str">
        <x:v>No</x:v>
      </x:c>
      <x:c r="H2088" s="117" t="str">
        <x:v>AutoLaunchedFlow</x:v>
      </x:c>
      <x:c r="I2088" s="118" t="n">
        <x:v>56</x:v>
      </x:c>
      <x:c r="J2088" s="117" t="str">
        <x:v>unmanaged</x:v>
      </x:c>
      <x:c r="K2088" s="123" t="b">
        <x:v>0</x:v>
      </x:c>
      <x:c r="L2088" s="117"/>
      <x:c r="M2088" s="118"/>
      <x:c r="N2088" s="120" t="n">
        <x:v>45113.56958333333</x:v>
      </x:c>
      <x:c r="O2088" s="117" t="str">
        <x:v>Jace Gentil</x:v>
      </x:c>
      <x:c r="P2088" s="120" t="n">
        <x:v>45113.56961805555</x:v>
      </x:c>
      <x:c r="Q2088" s="117" t="str">
        <x:v>Jace Gentil</x:v>
      </x:c>
      <x:c r="R2088" s="117" t="str">
        <x:v>Opportunity Product Updates Flow</x:v>
      </x:c>
      <x:c r="S2088" s="119"/>
    </x:row>
    <x:row r="2089" ht="30" customHeight="1">
      <x:c r="A2089" s="117" t="str">
        <x:v>Opportunity_Product_Updates_Flow</x:v>
      </x:c>
      <x:c r="B2089" s="117" t="str">
        <x:v>3005b000000LHqlAAG</x:v>
      </x:c>
      <x:c r="C2089" s="117" t="str">
        <x:v>3015b000000ANVNAA4</x:v>
      </x:c>
      <x:c r="D2089" s="118" t="n">
        <x:v>4</x:v>
      </x:c>
      <x:c r="E2089" s="117" t="str">
        <x:v>Draft</x:v>
      </x:c>
      <x:c r="F2089" s="117" t="str">
        <x:v>No</x:v>
      </x:c>
      <x:c r="G2089" s="117" t="str">
        <x:v>No</x:v>
      </x:c>
      <x:c r="H2089" s="117" t="str">
        <x:v>AutoLaunchedFlow</x:v>
      </x:c>
      <x:c r="I2089" s="118" t="n">
        <x:v>56</x:v>
      </x:c>
      <x:c r="J2089" s="117" t="str">
        <x:v>unmanaged</x:v>
      </x:c>
      <x:c r="K2089" s="123" t="b">
        <x:v>0</x:v>
      </x:c>
      <x:c r="L2089" s="117"/>
      <x:c r="M2089" s="118"/>
      <x:c r="N2089" s="120" t="n">
        <x:v>45113.57082175926</x:v>
      </x:c>
      <x:c r="O2089" s="117" t="str">
        <x:v>Jace Gentil</x:v>
      </x:c>
      <x:c r="P2089" s="120" t="n">
        <x:v>45113.57083333333</x:v>
      </x:c>
      <x:c r="Q2089" s="117" t="str">
        <x:v>Jace Gentil</x:v>
      </x:c>
      <x:c r="R2089" s="117" t="str">
        <x:v>Opportunity Product Updates Flow</x:v>
      </x:c>
      <x:c r="S2089" s="119"/>
    </x:row>
    <x:row r="2090" ht="30" customHeight="1">
      <x:c r="A2090" s="117" t="str">
        <x:v>Opportunity_Product_Updates_Flow</x:v>
      </x:c>
      <x:c r="B2090" s="117" t="str">
        <x:v>3005b000000LHqlAAG</x:v>
      </x:c>
      <x:c r="C2090" s="117" t="str">
        <x:v>3015b000000ANVSAA4</x:v>
      </x:c>
      <x:c r="D2090" s="118" t="n">
        <x:v>5</x:v>
      </x:c>
      <x:c r="E2090" s="117" t="str">
        <x:v>Obsolete</x:v>
      </x:c>
      <x:c r="F2090" s="117" t="str">
        <x:v>No</x:v>
      </x:c>
      <x:c r="G2090" s="117" t="str">
        <x:v>No</x:v>
      </x:c>
      <x:c r="H2090" s="117" t="str">
        <x:v>AutoLaunchedFlow</x:v>
      </x:c>
      <x:c r="I2090" s="118" t="n">
        <x:v>56</x:v>
      </x:c>
      <x:c r="J2090" s="117" t="str">
        <x:v>unmanaged</x:v>
      </x:c>
      <x:c r="K2090" s="123" t="b">
        <x:v>0</x:v>
      </x:c>
      <x:c r="L2090" s="117"/>
      <x:c r="M2090" s="118"/>
      <x:c r="N2090" s="120" t="n">
        <x:v>45113.5725</x:v>
      </x:c>
      <x:c r="O2090" s="117" t="str">
        <x:v>Jace Gentil</x:v>
      </x:c>
      <x:c r="P2090" s="120" t="n">
        <x:v>45139.13688657407</x:v>
      </x:c>
      <x:c r="Q2090" s="117" t="str">
        <x:v>Natalie Boger</x:v>
      </x:c>
      <x:c r="R2090" s="117" t="str">
        <x:v>Opportunity Product Updates Flow</x:v>
      </x:c>
      <x:c r="S2090" s="119"/>
    </x:row>
    <x:row r="2091" ht="30" customHeight="1">
      <x:c r="A2091" s="117" t="str">
        <x:v>Opportunity_Product_Updates_Flow</x:v>
      </x:c>
      <x:c r="B2091" s="117" t="str">
        <x:v>3005b000000LHqlAAG</x:v>
      </x:c>
      <x:c r="C2091" s="117" t="str">
        <x:v>3015b000000APHmAAO</x:v>
      </x:c>
      <x:c r="D2091" s="118" t="n">
        <x:v>6</x:v>
      </x:c>
      <x:c r="E2091" s="117" t="str">
        <x:v>Draft</x:v>
      </x:c>
      <x:c r="F2091" s="117" t="str">
        <x:v>No</x:v>
      </x:c>
      <x:c r="G2091" s="117" t="str">
        <x:v>No</x:v>
      </x:c>
      <x:c r="H2091" s="117" t="str">
        <x:v>AutoLaunchedFlow</x:v>
      </x:c>
      <x:c r="I2091" s="118" t="n">
        <x:v>56</x:v>
      </x:c>
      <x:c r="J2091" s="117" t="str">
        <x:v>unmanaged</x:v>
      </x:c>
      <x:c r="K2091" s="123" t="b">
        <x:v>0</x:v>
      </x:c>
      <x:c r="L2091" s="117"/>
      <x:c r="M2091" s="118"/>
      <x:c r="N2091" s="120" t="n">
        <x:v>45139.134675925925</x:v>
      </x:c>
      <x:c r="O2091" s="117" t="str">
        <x:v>Natalie Boger</x:v>
      </x:c>
      <x:c r="P2091" s="120" t="n">
        <x:v>45139.1346875</x:v>
      </x:c>
      <x:c r="Q2091" s="117" t="str">
        <x:v>Natalie Boger</x:v>
      </x:c>
      <x:c r="R2091" s="117" t="str">
        <x:v>Opportunity Product Updates Flow</x:v>
      </x:c>
      <x:c r="S2091" s="119" t="str">
        <x:v>DO NOT UPDATE FIELDS INSIDE FLOW - UPDATE APEX!</x:v>
      </x:c>
    </x:row>
    <x:row r="2092" ht="30" customHeight="1">
      <x:c r="A2092" s="117" t="str">
        <x:v>Opportunity_Product_Updates_Flow</x:v>
      </x:c>
      <x:c r="B2092" s="117" t="str">
        <x:v>3005b000000LHqlAAG</x:v>
      </x:c>
      <x:c r="C2092" s="117" t="str">
        <x:v>3015b000000AREGAA4</x:v>
      </x:c>
      <x:c r="D2092" s="118" t="n">
        <x:v>7</x:v>
      </x:c>
      <x:c r="E2092" s="117" t="str">
        <x:v>Obsolete</x:v>
      </x:c>
      <x:c r="F2092" s="117" t="str">
        <x:v>No</x:v>
      </x:c>
      <x:c r="G2092" s="117" t="str">
        <x:v>No</x:v>
      </x:c>
      <x:c r="H2092" s="117" t="str">
        <x:v>AutoLaunchedFlow</x:v>
      </x:c>
      <x:c r="I2092" s="118" t="n">
        <x:v>56</x:v>
      </x:c>
      <x:c r="J2092" s="117" t="str">
        <x:v>unmanaged</x:v>
      </x:c>
      <x:c r="K2092" s="123" t="b">
        <x:v>0</x:v>
      </x:c>
      <x:c r="L2092" s="117"/>
      <x:c r="M2092" s="118"/>
      <x:c r="N2092" s="120" t="n">
        <x:v>45163.65841435185</x:v>
      </x:c>
      <x:c r="O2092" s="117" t="str">
        <x:v>Jace Gentil</x:v>
      </x:c>
      <x:c r="P2092" s="120" t="n">
        <x:v>45163.6584375</x:v>
      </x:c>
      <x:c r="Q2092" s="117" t="str">
        <x:v>Jace Gentil</x:v>
      </x:c>
      <x:c r="R2092" s="117" t="str">
        <x:v>Opportunity Product Updates Flow</x:v>
      </x:c>
      <x:c r="S2092" s="119"/>
    </x:row>
    <x:row r="2093" ht="30" customHeight="1">
      <x:c r="A2093" s="117" t="str">
        <x:v>Opportunity_Product_Updates_Flow</x:v>
      </x:c>
      <x:c r="B2093" s="117" t="str">
        <x:v>3005b000000LHqlAAG</x:v>
      </x:c>
      <x:c r="C2093" s="117" t="str">
        <x:v>301Ro00000UeN33IAF</x:v>
      </x:c>
      <x:c r="D2093" s="118" t="n">
        <x:v>8</x:v>
      </x:c>
      <x:c r="E2093" s="117" t="str">
        <x:v>Obsolete</x:v>
      </x:c>
      <x:c r="F2093" s="117" t="str">
        <x:v>No</x:v>
      </x:c>
      <x:c r="G2093" s="117" t="str">
        <x:v>No</x:v>
      </x:c>
      <x:c r="H2093" s="117" t="str">
        <x:v>AutoLaunchedFlow</x:v>
      </x:c>
      <x:c r="I2093" s="118" t="n">
        <x:v>56</x:v>
      </x:c>
      <x:c r="J2093" s="117" t="str">
        <x:v>unmanaged</x:v>
      </x:c>
      <x:c r="K2093" s="123" t="b">
        <x:v>0</x:v>
      </x:c>
      <x:c r="L2093" s="117"/>
      <x:c r="M2093" s="118"/>
      <x:c r="N2093" s="120" t="n">
        <x:v>45713.673842592594</x:v>
      </x:c>
      <x:c r="O2093" s="117" t="str">
        <x:v>Jace Gentil</x:v>
      </x:c>
      <x:c r="P2093" s="120" t="n">
        <x:v>45713.67391203704</x:v>
      </x:c>
      <x:c r="Q2093" s="117" t="str">
        <x:v>Jace Gentil</x:v>
      </x:c>
      <x:c r="R2093" s="117" t="str">
        <x:v>Opportunity Product Updates Flow</x:v>
      </x:c>
      <x:c r="S2093" s="119"/>
    </x:row>
    <x:row r="2094" ht="30" customHeight="1">
      <x:c r="A2094" s="117" t="str">
        <x:v>Opportunity_Product_Updates_Flow</x:v>
      </x:c>
      <x:c r="B2094" s="117" t="str">
        <x:v>3005b000000LHqlAAG</x:v>
      </x:c>
      <x:c r="C2094" s="117" t="str">
        <x:v>301Ro00000UeLXWIA3</x:v>
      </x:c>
      <x:c r="D2094" s="118" t="n">
        <x:v>9</x:v>
      </x:c>
      <x:c r="E2094" s="117" t="str">
        <x:v>Obsolete</x:v>
      </x:c>
      <x:c r="F2094" s="117" t="str">
        <x:v>No</x:v>
      </x:c>
      <x:c r="G2094" s="117" t="str">
        <x:v>No</x:v>
      </x:c>
      <x:c r="H2094" s="117" t="str">
        <x:v>AutoLaunchedFlow</x:v>
      </x:c>
      <x:c r="I2094" s="118" t="n">
        <x:v>56</x:v>
      </x:c>
      <x:c r="J2094" s="117" t="str">
        <x:v>unmanaged</x:v>
      </x:c>
      <x:c r="K2094" s="123" t="b">
        <x:v>0</x:v>
      </x:c>
      <x:c r="L2094" s="117"/>
      <x:c r="M2094" s="118"/>
      <x:c r="N2094" s="120" t="n">
        <x:v>45713.67459490741</x:v>
      </x:c>
      <x:c r="O2094" s="117" t="str">
        <x:v>Jace Gentil</x:v>
      </x:c>
      <x:c r="P2094" s="120" t="n">
        <x:v>45713.6746412037</x:v>
      </x:c>
      <x:c r="Q2094" s="117" t="str">
        <x:v>Jace Gentil</x:v>
      </x:c>
      <x:c r="R2094" s="117" t="str">
        <x:v>Opportunity Product Updates Flow</x:v>
      </x:c>
      <x:c r="S2094" s="119"/>
    </x:row>
    <x:row r="2095" ht="30" customHeight="1">
      <x:c r="A2095" s="117" t="str">
        <x:v>Opportunity_Product_Updates_Flow</x:v>
      </x:c>
      <x:c r="B2095" s="117" t="str">
        <x:v>3005b000000LHqlAAG</x:v>
      </x:c>
      <x:c r="C2095" s="117" t="str">
        <x:v>301Ro00000XuYXEIA3</x:v>
      </x:c>
      <x:c r="D2095" s="118" t="n">
        <x:v>10</x:v>
      </x:c>
      <x:c r="E2095" s="117" t="str">
        <x:v>Draft</x:v>
      </x:c>
      <x:c r="F2095" s="117" t="str">
        <x:v>No</x:v>
      </x:c>
      <x:c r="G2095" s="117" t="str">
        <x:v>No</x:v>
      </x:c>
      <x:c r="H2095" s="117" t="str">
        <x:v>AutoLaunchedFlow</x:v>
      </x:c>
      <x:c r="I2095" s="118" t="n">
        <x:v>56</x:v>
      </x:c>
      <x:c r="J2095" s="117" t="str">
        <x:v>unmanaged</x:v>
      </x:c>
      <x:c r="K2095" s="123" t="b">
        <x:v>0</x:v>
      </x:c>
      <x:c r="L2095" s="117"/>
      <x:c r="M2095" s="118"/>
      <x:c r="N2095" s="120" t="n">
        <x:v>45771.11119212963</x:v>
      </x:c>
      <x:c r="O2095" s="117" t="str">
        <x:v>Natalie Boger</x:v>
      </x:c>
      <x:c r="P2095" s="120" t="n">
        <x:v>45771.11121527778</x:v>
      </x:c>
      <x:c r="Q2095" s="117" t="str">
        <x:v>Natalie Boger</x:v>
      </x:c>
      <x:c r="R2095" s="117" t="str">
        <x:v>Opportunity Product Updates Flow</x:v>
      </x:c>
      <x:c r="S2095" s="119" t="str">
        <x:v>Fixed enter criteria to be *not* null instead of null; added "asset is system" checkbox so code from apex could be removed completely and all updated here in one spot, minus purchasing approved</x:v>
      </x:c>
    </x:row>
    <x:row r="2096" ht="30" customHeight="1">
      <x:c r="A2096" s="117" t="str">
        <x:v>Opportunity_Product_Updates_Flow</x:v>
      </x:c>
      <x:c r="B2096" s="117" t="str">
        <x:v>3005b000000LHqlAAG</x:v>
      </x:c>
      <x:c r="C2096" s="117" t="str">
        <x:v>301Ro00000XuYP9IAN</x:v>
      </x:c>
      <x:c r="D2096" s="118" t="n">
        <x:v>11</x:v>
      </x:c>
      <x:c r="E2096" s="117" t="str">
        <x:v>Obsolete</x:v>
      </x:c>
      <x:c r="F2096" s="117" t="str">
        <x:v>No</x:v>
      </x:c>
      <x:c r="G2096" s="117" t="str">
        <x:v>No</x:v>
      </x:c>
      <x:c r="H2096" s="117" t="str">
        <x:v>AutoLaunchedFlow</x:v>
      </x:c>
      <x:c r="I2096" s="118" t="n">
        <x:v>56</x:v>
      </x:c>
      <x:c r="J2096" s="117" t="str">
        <x:v>unmanaged</x:v>
      </x:c>
      <x:c r="K2096" s="123" t="b">
        <x:v>0</x:v>
      </x:c>
      <x:c r="L2096" s="117"/>
      <x:c r="M2096" s="118"/>
      <x:c r="N2096" s="120" t="n">
        <x:v>45771.15623842592</x:v>
      </x:c>
      <x:c r="O2096" s="117" t="str">
        <x:v>Natalie Boger</x:v>
      </x:c>
      <x:c r="P2096" s="120" t="n">
        <x:v>45771.15792824074</x:v>
      </x:c>
      <x:c r="Q2096" s="117" t="str">
        <x:v>Natalie Boger</x:v>
      </x:c>
      <x:c r="R2096" s="117" t="str">
        <x:v>Opportunity Product Updates Flow</x:v>
      </x:c>
      <x:c r="S2096" s="119" t="str">
        <x:v>look up to product item only instead of product</x:v>
      </x:c>
    </x:row>
    <x:row r="2097" ht="30" customHeight="1">
      <x:c r="A2097" s="117" t="str">
        <x:v>Opportunity_Product_Updates_Flow</x:v>
      </x:c>
      <x:c r="B2097" s="117" t="str">
        <x:v>3005b000000LHqlAAG</x:v>
      </x:c>
      <x:c r="C2097" s="117" t="str">
        <x:v>301Ro00000glBKpIAM</x:v>
      </x:c>
      <x:c r="D2097" s="118" t="n">
        <x:v>12</x:v>
      </x:c>
      <x:c r="E2097" s="117" t="str">
        <x:v>Active</x:v>
      </x:c>
      <x:c r="F2097" s="117" t="str">
        <x:v>Yes</x:v>
      </x:c>
      <x:c r="G2097" s="117" t="str">
        <x:v>No</x:v>
      </x:c>
      <x:c r="H2097" s="117" t="str">
        <x:v>AutoLaunchedFlow</x:v>
      </x:c>
      <x:c r="I2097" s="118" t="n">
        <x:v>56</x:v>
      </x:c>
      <x:c r="J2097" s="117" t="str">
        <x:v>unmanaged</x:v>
      </x:c>
      <x:c r="K2097" s="123" t="b">
        <x:v>0</x:v>
      </x:c>
      <x:c r="L2097" s="117"/>
      <x:c r="M2097" s="118"/>
      <x:c r="N2097" s="120" t="n">
        <x:v>45867.66974537037</x:v>
      </x:c>
      <x:c r="O2097" s="117" t="str">
        <x:v>Delegate</x:v>
      </x:c>
      <x:c r="P2097" s="120" t="n">
        <x:v>45867.67270833333</x:v>
      </x:c>
      <x:c r="Q2097" s="117" t="str">
        <x:v>Delegate</x:v>
      </x:c>
      <x:c r="R2097" s="117" t="str">
        <x:v>Opportunity Product Updates Flow</x:v>
      </x:c>
      <x:c r="S2097" s="119" t="str">
        <x:v>if quantity changes, update Quantity Remaining for purposes of IRs</x:v>
      </x:c>
    </x:row>
    <x:row r="2098" ht="30" customHeight="1">
      <x:c r="A2098" s="117" t="str">
        <x:v>Opportunity_Product_Updates_Flow</x:v>
      </x:c>
      <x:c r="B2098" s="117" t="str">
        <x:v>3005b000000LHqlAAG</x:v>
      </x:c>
      <x:c r="C2098" s="117" t="str">
        <x:v>301Ro00000iNPpFIAW</x:v>
      </x:c>
      <x:c r="D2098" s="118" t="n">
        <x:v>13</x:v>
      </x:c>
      <x:c r="E2098" s="117" t="str">
        <x:v>Draft</x:v>
      </x:c>
      <x:c r="F2098" s="117" t="str">
        <x:v>No</x:v>
      </x:c>
      <x:c r="G2098" s="117" t="str">
        <x:v>Yes</x:v>
      </x:c>
      <x:c r="H2098" s="117" t="str">
        <x:v>AutoLaunchedFlow</x:v>
      </x:c>
      <x:c r="I2098" s="118" t="n">
        <x:v>56</x:v>
      </x:c>
      <x:c r="J2098" s="117" t="str">
        <x:v>unmanaged</x:v>
      </x:c>
      <x:c r="K2098" s="123" t="b">
        <x:v>0</x:v>
      </x:c>
      <x:c r="L2098" s="117"/>
      <x:c r="M2098" s="118"/>
      <x:c r="N2098" s="120" t="n">
        <x:v>45882.85208333333</x:v>
      </x:c>
      <x:c r="O2098" s="117" t="str">
        <x:v>Delegate</x:v>
      </x:c>
      <x:c r="P2098" s="120" t="n">
        <x:v>45882.85209490741</x:v>
      </x:c>
      <x:c r="Q2098" s="117" t="str">
        <x:v>Delegate</x:v>
      </x:c>
      <x:c r="R2098" s="117" t="str">
        <x:v>Opportunity Product Updates Flow</x:v>
      </x:c>
      <x:c r="S2098" s="119" t="str">
        <x:v>update Quantity Remaining on Quantity edits</x:v>
      </x:c>
    </x:row>
    <x:row r="2099" ht="30" customHeight="1">
      <x:c r="A2099" s="117" t="str">
        <x:v>Opportunity_Resync_System</x:v>
      </x:c>
      <x:c r="B2099" s="117" t="str">
        <x:v>300Ro00000ia9zdIAA</x:v>
      </x:c>
      <x:c r="C2099" s="117" t="str">
        <x:v>301Ro00000pc1fNIAQ</x:v>
      </x:c>
      <x:c r="D2099" s="118" t="n">
        <x:v>1</x:v>
      </x:c>
      <x:c r="E2099" s="117" t="str">
        <x:v>Obsolete</x:v>
      </x:c>
      <x:c r="F2099" s="117" t="str">
        <x:v>No</x:v>
      </x:c>
      <x:c r="G2099" s="117" t="str">
        <x:v>No</x:v>
      </x:c>
      <x:c r="H2099" s="117" t="str">
        <x:v>AutoLaunchedFlow</x:v>
      </x:c>
      <x:c r="I2099" s="118" t="n">
        <x:v>65</x:v>
      </x:c>
      <x:c r="J2099" s="117" t="str">
        <x:v>unmanaged</x:v>
      </x:c>
      <x:c r="K2099" s="123" t="b">
        <x:v>0</x:v>
      </x:c>
      <x:c r="L2099" s="117"/>
      <x:c r="M2099" s="118"/>
      <x:c r="N2099" s="120" t="n">
        <x:v>45947.48762731482</x:v>
      </x:c>
      <x:c r="O2099" s="117" t="str">
        <x:v>Delegate</x:v>
      </x:c>
      <x:c r="P2099" s="120" t="n">
        <x:v>45947.4878125</x:v>
      </x:c>
      <x:c r="Q2099" s="117" t="str">
        <x:v>Delegate</x:v>
      </x:c>
      <x:c r="R2099" s="117" t="str">
        <x:v>Opportunity - Resync System</x:v>
      </x:c>
      <x:c r="S2099" s="119" t="str">
        <x:v>10/17/2025 (BW) - Attempts to Re-sync opportunities if certain errors appear</x:v>
      </x:c>
    </x:row>
    <x:row r="2100" ht="30" customHeight="1">
      <x:c r="A2100" s="117" t="str">
        <x:v>Opportunity_Resync_System</x:v>
      </x:c>
      <x:c r="B2100" s="117" t="str">
        <x:v>300Ro00000ia9zdIAA</x:v>
      </x:c>
      <x:c r="C2100" s="117" t="str">
        <x:v>301Ro00000pbzZ5IAI</x:v>
      </x:c>
      <x:c r="D2100" s="118" t="n">
        <x:v>2</x:v>
      </x:c>
      <x:c r="E2100" s="117" t="str">
        <x:v>Obsolete</x:v>
      </x:c>
      <x:c r="F2100" s="117" t="str">
        <x:v>No</x:v>
      </x:c>
      <x:c r="G2100" s="117" t="str">
        <x:v>No</x:v>
      </x:c>
      <x:c r="H2100" s="117" t="str">
        <x:v>AutoLaunchedFlow</x:v>
      </x:c>
      <x:c r="I2100" s="118" t="n">
        <x:v>65</x:v>
      </x:c>
      <x:c r="J2100" s="117" t="str">
        <x:v>unmanaged</x:v>
      </x:c>
      <x:c r="K2100" s="123" t="b">
        <x:v>0</x:v>
      </x:c>
      <x:c r="L2100" s="117"/>
      <x:c r="M2100" s="118"/>
      <x:c r="N2100" s="120" t="n">
        <x:v>45947.4924537037</x:v>
      </x:c>
      <x:c r="O2100" s="117" t="str">
        <x:v>Delegate</x:v>
      </x:c>
      <x:c r="P2100" s="120" t="n">
        <x:v>45947.49248842592</x:v>
      </x:c>
      <x:c r="Q2100" s="117" t="str">
        <x:v>Delegate</x:v>
      </x:c>
      <x:c r="R2100" s="117" t="str">
        <x:v>Opportunity - Resync System</x:v>
      </x:c>
      <x:c r="S2100" s="119" t="str">
        <x:v>10/17/2025 (BW) - Added Ship Date to the helper so that we reduce these errors</x:v>
      </x:c>
    </x:row>
    <x:row r="2101" ht="30" customHeight="1">
      <x:c r="A2101" s="117" t="str">
        <x:v>Opportunity_Resync_System</x:v>
      </x:c>
      <x:c r="B2101" s="117" t="str">
        <x:v>300Ro00000ia9zdIAA</x:v>
      </x:c>
      <x:c r="C2101" s="117" t="str">
        <x:v>301Ro00000py97tIAA</x:v>
      </x:c>
      <x:c r="D2101" s="118" t="n">
        <x:v>3</x:v>
      </x:c>
      <x:c r="E2101" s="117" t="str">
        <x:v>Obsolete</x:v>
      </x:c>
      <x:c r="F2101" s="117" t="str">
        <x:v>No</x:v>
      </x:c>
      <x:c r="G2101" s="117" t="str">
        <x:v>No</x:v>
      </x:c>
      <x:c r="H2101" s="117" t="str">
        <x:v>AutoLaunchedFlow</x:v>
      </x:c>
      <x:c r="I2101" s="118" t="n">
        <x:v>65</x:v>
      </x:c>
      <x:c r="J2101" s="117" t="str">
        <x:v>unmanaged</x:v>
      </x:c>
      <x:c r="K2101" s="123" t="b">
        <x:v>0</x:v>
      </x:c>
      <x:c r="L2101" s="117"/>
      <x:c r="M2101" s="118"/>
      <x:c r="N2101" s="120" t="n">
        <x:v>45952.49</x:v>
      </x:c>
      <x:c r="O2101" s="117" t="str">
        <x:v>Delegate</x:v>
      </x:c>
      <x:c r="P2101" s="120" t="n">
        <x:v>45952.49015046296</x:v>
      </x:c>
      <x:c r="Q2101" s="117" t="str">
        <x:v>Delegate</x:v>
      </x:c>
      <x:c r="R2101" s="117" t="str">
        <x:v>Opportunity - Resync System</x:v>
      </x:c>
      <x:c r="S2101" s="119" t="str">
        <x:v>10/22/2025 (BW) - Added "Could not fetch exchange rate" to the re-syncing system</x:v>
      </x:c>
    </x:row>
    <x:row r="2102" ht="30" customHeight="1">
      <x:c r="A2102" s="117" t="str">
        <x:v>Opportunity_Resync_System</x:v>
      </x:c>
      <x:c r="B2102" s="117" t="str">
        <x:v>300Ro00000ia9zdIAA</x:v>
      </x:c>
      <x:c r="C2102" s="117" t="str">
        <x:v>301Ro00000qN8bdIAC</x:v>
      </x:c>
      <x:c r="D2102" s="118" t="n">
        <x:v>4</x:v>
      </x:c>
      <x:c r="E2102" s="117" t="str">
        <x:v>Obsolete</x:v>
      </x:c>
      <x:c r="F2102" s="117" t="str">
        <x:v>No</x:v>
      </x:c>
      <x:c r="G2102" s="117" t="str">
        <x:v>No</x:v>
      </x:c>
      <x:c r="H2102" s="117" t="str">
        <x:v>AutoLaunchedFlow</x:v>
      </x:c>
      <x:c r="I2102" s="118" t="n">
        <x:v>65</x:v>
      </x:c>
      <x:c r="J2102" s="117" t="str">
        <x:v>unmanaged</x:v>
      </x:c>
      <x:c r="K2102" s="123" t="b">
        <x:v>0</x:v>
      </x:c>
      <x:c r="L2102" s="117"/>
      <x:c r="M2102" s="118"/>
      <x:c r="N2102" s="120" t="n">
        <x:v>45954.46758101852</x:v>
      </x:c>
      <x:c r="O2102" s="117" t="str">
        <x:v>Delegate</x:v>
      </x:c>
      <x:c r="P2102" s="120" t="n">
        <x:v>45954.46765046296</x:v>
      </x:c>
      <x:c r="Q2102" s="117" t="str">
        <x:v>Delegate</x:v>
      </x:c>
      <x:c r="R2102" s="117" t="str">
        <x:v>Opportunity - Resync System</x:v>
      </x:c>
      <x:c r="S2102" s="119" t="str">
        <x:v>10/24/2025 (BW) - Added "502 Bad Gateway" to the list</x:v>
      </x:c>
    </x:row>
    <x:row r="2103" ht="30" customHeight="1">
      <x:c r="A2103" s="117" t="str">
        <x:v>Opportunity_Resync_System</x:v>
      </x:c>
      <x:c r="B2103" s="117" t="str">
        <x:v>300Ro00000ia9zdIAA</x:v>
      </x:c>
      <x:c r="C2103" s="117" t="str">
        <x:v>301Ro00000qN94fIAC</x:v>
      </x:c>
      <x:c r="D2103" s="118" t="n">
        <x:v>5</x:v>
      </x:c>
      <x:c r="E2103" s="117" t="str">
        <x:v>Obsolete</x:v>
      </x:c>
      <x:c r="F2103" s="117" t="str">
        <x:v>No</x:v>
      </x:c>
      <x:c r="G2103" s="117" t="str">
        <x:v>No</x:v>
      </x:c>
      <x:c r="H2103" s="117" t="str">
        <x:v>AutoLaunchedFlow</x:v>
      </x:c>
      <x:c r="I2103" s="118" t="n">
        <x:v>65</x:v>
      </x:c>
      <x:c r="J2103" s="117" t="str">
        <x:v>unmanaged</x:v>
      </x:c>
      <x:c r="K2103" s="123" t="b">
        <x:v>0</x:v>
      </x:c>
      <x:c r="L2103" s="117"/>
      <x:c r="M2103" s="118"/>
      <x:c r="N2103" s="120" t="n">
        <x:v>45954.46891203704</x:v>
      </x:c>
      <x:c r="O2103" s="117" t="str">
        <x:v>Delegate</x:v>
      </x:c>
      <x:c r="P2103" s="120" t="n">
        <x:v>45954.46896990741</x:v>
      </x:c>
      <x:c r="Q2103" s="117" t="str">
        <x:v>Delegate</x:v>
      </x:c>
      <x:c r="R2103" s="117" t="str">
        <x:v>Opportunity - Resync System</x:v>
      </x:c>
      <x:c r="S2103" s="119" t="str">
        <x:v>10/24/2025 (BW) - Added "502 Bad Gateway" to the list</x:v>
      </x:c>
    </x:row>
    <x:row r="2104" ht="30" customHeight="1">
      <x:c r="A2104" s="117" t="str">
        <x:v>Opportunity_Resync_System</x:v>
      </x:c>
      <x:c r="B2104" s="117" t="str">
        <x:v>300Ro00000ia9zdIAA</x:v>
      </x:c>
      <x:c r="C2104" s="117" t="str">
        <x:v>301Ro00000qMkeGIAS</x:v>
      </x:c>
      <x:c r="D2104" s="118" t="n">
        <x:v>6</x:v>
      </x:c>
      <x:c r="E2104" s="117" t="str">
        <x:v>Obsolete</x:v>
      </x:c>
      <x:c r="F2104" s="117" t="str">
        <x:v>No</x:v>
      </x:c>
      <x:c r="G2104" s="117" t="str">
        <x:v>No</x:v>
      </x:c>
      <x:c r="H2104" s="117" t="str">
        <x:v>AutoLaunchedFlow</x:v>
      </x:c>
      <x:c r="I2104" s="118" t="n">
        <x:v>65</x:v>
      </x:c>
      <x:c r="J2104" s="117" t="str">
        <x:v>unmanaged</x:v>
      </x:c>
      <x:c r="K2104" s="123" t="b">
        <x:v>0</x:v>
      </x:c>
      <x:c r="L2104" s="117"/>
      <x:c r="M2104" s="118"/>
      <x:c r="N2104" s="120" t="n">
        <x:v>45954.46960648148</x:v>
      </x:c>
      <x:c r="O2104" s="117" t="str">
        <x:v>Delegate</x:v>
      </x:c>
      <x:c r="P2104" s="120" t="n">
        <x:v>45954.46965277778</x:v>
      </x:c>
      <x:c r="Q2104" s="117" t="str">
        <x:v>Delegate</x:v>
      </x:c>
      <x:c r="R2104" s="117" t="str">
        <x:v>Opportunity - Resync System</x:v>
      </x:c>
      <x:c r="S2104" s="119" t="str">
        <x:v>10/24/2025 (BW) - Added "502 Bad Gateway" to the list</x:v>
      </x:c>
    </x:row>
    <x:row r="2105" ht="30" customHeight="1">
      <x:c r="A2105" s="117" t="str">
        <x:v>Opportunity_Resync_System</x:v>
      </x:c>
      <x:c r="B2105" s="117" t="str">
        <x:v>300Ro00000ia9zdIAA</x:v>
      </x:c>
      <x:c r="C2105" s="117" t="str">
        <x:v>301Ro00000qNBG9IAO</x:v>
      </x:c>
      <x:c r="D2105" s="118" t="n">
        <x:v>7</x:v>
      </x:c>
      <x:c r="E2105" s="117" t="str">
        <x:v>Obsolete</x:v>
      </x:c>
      <x:c r="F2105" s="117" t="str">
        <x:v>No</x:v>
      </x:c>
      <x:c r="G2105" s="117" t="str">
        <x:v>No</x:v>
      </x:c>
      <x:c r="H2105" s="117" t="str">
        <x:v>AutoLaunchedFlow</x:v>
      </x:c>
      <x:c r="I2105" s="118" t="n">
        <x:v>65</x:v>
      </x:c>
      <x:c r="J2105" s="117" t="str">
        <x:v>unmanaged</x:v>
      </x:c>
      <x:c r="K2105" s="123" t="b">
        <x:v>0</x:v>
      </x:c>
      <x:c r="L2105" s="117"/>
      <x:c r="M2105" s="118"/>
      <x:c r="N2105" s="120" t="n">
        <x:v>45954.4762962963</x:v>
      </x:c>
      <x:c r="O2105" s="117" t="str">
        <x:v>Delegate</x:v>
      </x:c>
      <x:c r="P2105" s="120" t="n">
        <x:v>45954.47634259259</x:v>
      </x:c>
      <x:c r="Q2105" s="117" t="str">
        <x:v>Delegate</x:v>
      </x:c>
      <x:c r="R2105" s="117" t="str">
        <x:v>Opportunity - Resync System</x:v>
      </x:c>
      <x:c r="S2105" s="119" t="str">
        <x:v>10/24/2025 (BW) - Added "502 Bad Gateway" to the list</x:v>
      </x:c>
    </x:row>
    <x:row r="2106" ht="30" customHeight="1">
      <x:c r="A2106" s="117" t="str">
        <x:v>Opportunity_Resync_System</x:v>
      </x:c>
      <x:c r="B2106" s="117" t="str">
        <x:v>300Ro00000ia9zdIAA</x:v>
      </x:c>
      <x:c r="C2106" s="117" t="str">
        <x:v>301Ro00000qNCQjIAO</x:v>
      </x:c>
      <x:c r="D2106" s="118" t="n">
        <x:v>8</x:v>
      </x:c>
      <x:c r="E2106" s="117" t="str">
        <x:v>Obsolete</x:v>
      </x:c>
      <x:c r="F2106" s="117" t="str">
        <x:v>No</x:v>
      </x:c>
      <x:c r="G2106" s="117" t="str">
        <x:v>No</x:v>
      </x:c>
      <x:c r="H2106" s="117" t="str">
        <x:v>AutoLaunchedFlow</x:v>
      </x:c>
      <x:c r="I2106" s="118" t="n">
        <x:v>65</x:v>
      </x:c>
      <x:c r="J2106" s="117" t="str">
        <x:v>unmanaged</x:v>
      </x:c>
      <x:c r="K2106" s="123" t="b">
        <x:v>0</x:v>
      </x:c>
      <x:c r="L2106" s="117"/>
      <x:c r="M2106" s="118"/>
      <x:c r="N2106" s="120" t="n">
        <x:v>45954.480717592596</x:v>
      </x:c>
      <x:c r="O2106" s="117" t="str">
        <x:v>Delegate</x:v>
      </x:c>
      <x:c r="P2106" s="120" t="n">
        <x:v>45954.48081018519</x:v>
      </x:c>
      <x:c r="Q2106" s="117" t="str">
        <x:v>Delegate</x:v>
      </x:c>
      <x:c r="R2106" s="117" t="str">
        <x:v>Opportunity - Resync System</x:v>
      </x:c>
      <x:c r="S2106" s="119" t="str">
        <x:v>10/24/2025 (BW) - Added "502 Bad Gateway" to the list</x:v>
      </x:c>
    </x:row>
    <x:row r="2107" ht="30" customHeight="1">
      <x:c r="A2107" s="117" t="str">
        <x:v>Opportunity_Resync_System</x:v>
      </x:c>
      <x:c r="B2107" s="117" t="str">
        <x:v>300Ro00000ia9zdIAA</x:v>
      </x:c>
      <x:c r="C2107" s="117" t="str">
        <x:v>301Ro00000qNCqXIAW</x:v>
      </x:c>
      <x:c r="D2107" s="118" t="n">
        <x:v>9</x:v>
      </x:c>
      <x:c r="E2107" s="117" t="str">
        <x:v>Obsolete</x:v>
      </x:c>
      <x:c r="F2107" s="117" t="str">
        <x:v>No</x:v>
      </x:c>
      <x:c r="G2107" s="117" t="str">
        <x:v>No</x:v>
      </x:c>
      <x:c r="H2107" s="117" t="str">
        <x:v>AutoLaunchedFlow</x:v>
      </x:c>
      <x:c r="I2107" s="118" t="n">
        <x:v>65</x:v>
      </x:c>
      <x:c r="J2107" s="117" t="str">
        <x:v>unmanaged</x:v>
      </x:c>
      <x:c r="K2107" s="123" t="b">
        <x:v>0</x:v>
      </x:c>
      <x:c r="L2107" s="117"/>
      <x:c r="M2107" s="118"/>
      <x:c r="N2107" s="120" t="n">
        <x:v>45954.483136574076</x:v>
      </x:c>
      <x:c r="O2107" s="117" t="str">
        <x:v>Delegate</x:v>
      </x:c>
      <x:c r="P2107" s="120" t="n">
        <x:v>45954.483194444445</x:v>
      </x:c>
      <x:c r="Q2107" s="117" t="str">
        <x:v>Delegate</x:v>
      </x:c>
      <x:c r="R2107" s="117" t="str">
        <x:v>Opportunity - Resync System</x:v>
      </x:c>
      <x:c r="S2107" s="119" t="str">
        <x:v>10/24/2025 (BW) - Added "502 Bad Gateway" to the list</x:v>
      </x:c>
    </x:row>
    <x:row r="2108" ht="30" customHeight="1">
      <x:c r="A2108" s="117" t="str">
        <x:v>Opportunity_Resync_System</x:v>
      </x:c>
      <x:c r="B2108" s="117" t="str">
        <x:v>300Ro00000ia9zdIAA</x:v>
      </x:c>
      <x:c r="C2108" s="117" t="str">
        <x:v>301Ro00000rOmUpIAK</x:v>
      </x:c>
      <x:c r="D2108" s="118" t="n">
        <x:v>10</x:v>
      </x:c>
      <x:c r="E2108" s="117" t="str">
        <x:v>Obsolete</x:v>
      </x:c>
      <x:c r="F2108" s="117" t="str">
        <x:v>No</x:v>
      </x:c>
      <x:c r="G2108" s="117" t="str">
        <x:v>No</x:v>
      </x:c>
      <x:c r="H2108" s="117" t="str">
        <x:v>AutoLaunchedFlow</x:v>
      </x:c>
      <x:c r="I2108" s="118" t="n">
        <x:v>65</x:v>
      </x:c>
      <x:c r="J2108" s="117" t="str">
        <x:v>unmanaged</x:v>
      </x:c>
      <x:c r="K2108" s="123" t="b">
        <x:v>0</x:v>
      </x:c>
      <x:c r="L2108" s="117"/>
      <x:c r="M2108" s="118"/>
      <x:c r="N2108" s="120" t="n">
        <x:v>45961.49429398148</x:v>
      </x:c>
      <x:c r="O2108" s="117" t="str">
        <x:v>Delegate</x:v>
      </x:c>
      <x:c r="P2108" s="120" t="n">
        <x:v>45961.49434027778</x:v>
      </x:c>
      <x:c r="Q2108" s="117" t="str">
        <x:v>Delegate</x:v>
      </x:c>
      <x:c r="R2108" s="117" t="str">
        <x:v>Opportunity - Resync System</x:v>
      </x:c>
      <x:c r="S2108" s="119" t="str">
        <x:v>10/31/2025 (BW) - Updating the run-time of this system</x:v>
      </x:c>
    </x:row>
    <x:row r="2109" ht="30" customHeight="1">
      <x:c r="A2109" s="117" t="str">
        <x:v>Opportunity_Resync_System</x:v>
      </x:c>
      <x:c r="B2109" s="117" t="str">
        <x:v>300Ro00000ia9zdIAA</x:v>
      </x:c>
      <x:c r="C2109" s="117" t="str">
        <x:v>301Ro00000rOnp8IAC</x:v>
      </x:c>
      <x:c r="D2109" s="118" t="n">
        <x:v>11</x:v>
      </x:c>
      <x:c r="E2109" s="117" t="str">
        <x:v>Obsolete</x:v>
      </x:c>
      <x:c r="F2109" s="117" t="str">
        <x:v>No</x:v>
      </x:c>
      <x:c r="G2109" s="117" t="str">
        <x:v>No</x:v>
      </x:c>
      <x:c r="H2109" s="117" t="str">
        <x:v>AutoLaunchedFlow</x:v>
      </x:c>
      <x:c r="I2109" s="118" t="n">
        <x:v>65</x:v>
      </x:c>
      <x:c r="J2109" s="117" t="str">
        <x:v>unmanaged</x:v>
      </x:c>
      <x:c r="K2109" s="123" t="b">
        <x:v>0</x:v>
      </x:c>
      <x:c r="L2109" s="117"/>
      <x:c r="M2109" s="118"/>
      <x:c r="N2109" s="120" t="n">
        <x:v>45961.49994212963</x:v>
      </x:c>
      <x:c r="O2109" s="117" t="str">
        <x:v>Delegate</x:v>
      </x:c>
      <x:c r="P2109" s="120" t="n">
        <x:v>45961.49998842592</x:v>
      </x:c>
      <x:c r="Q2109" s="117" t="str">
        <x:v>Delegate</x:v>
      </x:c>
      <x:c r="R2109" s="117" t="str">
        <x:v>Opportunity - Resync System</x:v>
      </x:c>
      <x:c r="S2109" s="119" t="str">
        <x:v>10/31/2025 (BW) - Updating the run-time of this system</x:v>
      </x:c>
    </x:row>
    <x:row r="2110" ht="30" customHeight="1">
      <x:c r="A2110" s="117" t="str">
        <x:v>Opportunity_Resync_System</x:v>
      </x:c>
      <x:c r="B2110" s="117" t="str">
        <x:v>300Ro00000ia9zdIAA</x:v>
      </x:c>
      <x:c r="C2110" s="117" t="str">
        <x:v>301Ro0000164vjhIAA</x:v>
      </x:c>
      <x:c r="D2110" s="118" t="n">
        <x:v>12</x:v>
      </x:c>
      <x:c r="E2110" s="117" t="str">
        <x:v>Obsolete</x:v>
      </x:c>
      <x:c r="F2110" s="117" t="str">
        <x:v>No</x:v>
      </x:c>
      <x:c r="G2110" s="117" t="str">
        <x:v>No</x:v>
      </x:c>
      <x:c r="H2110" s="117" t="str">
        <x:v>AutoLaunchedFlow</x:v>
      </x:c>
      <x:c r="I2110" s="118" t="n">
        <x:v>65</x:v>
      </x:c>
      <x:c r="J2110" s="117" t="str">
        <x:v>unmanaged</x:v>
      </x:c>
      <x:c r="K2110" s="123" t="b">
        <x:v>0</x:v>
      </x:c>
      <x:c r="L2110" s="117"/>
      <x:c r="M2110" s="118"/>
      <x:c r="N2110" s="120" t="n">
        <x:v>46161.56068287037</x:v>
      </x:c>
      <x:c r="O2110" s="117" t="str">
        <x:v>Delegate</x:v>
      </x:c>
      <x:c r="P2110" s="120" t="n">
        <x:v>46161.560740740744</x:v>
      </x:c>
      <x:c r="Q2110" s="117" t="str">
        <x:v>Delegate</x:v>
      </x:c>
      <x:c r="R2110" s="117" t="str">
        <x:v>Opportunity - Resync System</x:v>
      </x:c>
      <x:c r="S2110" s="119" t="str">
        <x:v>05/19/2026 (BW) - Updating so that "Transaction requires a date" also triggers a re-sync</x:v>
      </x:c>
    </x:row>
    <x:row r="2111" ht="30" customHeight="1">
      <x:c r="A2111" s="117" t="str">
        <x:v>Opportunity_Resync_System</x:v>
      </x:c>
      <x:c r="B2111" s="117" t="str">
        <x:v>300Ro00000ia9zdIAA</x:v>
      </x:c>
      <x:c r="C2111" s="117" t="str">
        <x:v>301Ro0000164Z06IAE</x:v>
      </x:c>
      <x:c r="D2111" s="118" t="n">
        <x:v>13</x:v>
      </x:c>
      <x:c r="E2111" s="117" t="str">
        <x:v>Obsolete</x:v>
      </x:c>
      <x:c r="F2111" s="117" t="str">
        <x:v>No</x:v>
      </x:c>
      <x:c r="G2111" s="117" t="str">
        <x:v>No</x:v>
      </x:c>
      <x:c r="H2111" s="117" t="str">
        <x:v>AutoLaunchedFlow</x:v>
      </x:c>
      <x:c r="I2111" s="118" t="n">
        <x:v>65</x:v>
      </x:c>
      <x:c r="J2111" s="117" t="str">
        <x:v>unmanaged</x:v>
      </x:c>
      <x:c r="K2111" s="123" t="b">
        <x:v>0</x:v>
      </x:c>
      <x:c r="L2111" s="117"/>
      <x:c r="M2111" s="118"/>
      <x:c r="N2111" s="120" t="n">
        <x:v>46161.5625462963</x:v>
      </x:c>
      <x:c r="O2111" s="117" t="str">
        <x:v>Delegate</x:v>
      </x:c>
      <x:c r="P2111" s="120" t="n">
        <x:v>46161.56261574074</x:v>
      </x:c>
      <x:c r="Q2111" s="117" t="str">
        <x:v>Delegate</x:v>
      </x:c>
      <x:c r="R2111" s="117" t="str">
        <x:v>Opportunity - Resync System</x:v>
      </x:c>
      <x:c r="S2111" s="119" t="str">
        <x:v>05/19/2026 (BW) - Updating so that "Transaction requires a date" also triggers a re-sync</x:v>
      </x:c>
    </x:row>
    <x:row r="2112" ht="30" customHeight="1">
      <x:c r="A2112" s="117" t="str">
        <x:v>Opportunity_Resync_System</x:v>
      </x:c>
      <x:c r="B2112" s="117" t="str">
        <x:v>300Ro00000ia9zdIAA</x:v>
      </x:c>
      <x:c r="C2112" s="117" t="str">
        <x:v>301Ro000016BasEIAS</x:v>
      </x:c>
      <x:c r="D2112" s="118" t="n">
        <x:v>14</x:v>
      </x:c>
      <x:c r="E2112" s="117" t="str">
        <x:v>Draft</x:v>
      </x:c>
      <x:c r="F2112" s="117" t="str">
        <x:v>No</x:v>
      </x:c>
      <x:c r="G2112" s="117" t="str">
        <x:v>No</x:v>
      </x:c>
      <x:c r="H2112" s="117" t="str">
        <x:v>AutoLaunchedFlow</x:v>
      </x:c>
      <x:c r="I2112" s="118" t="n">
        <x:v>65</x:v>
      </x:c>
      <x:c r="J2112" s="117" t="str">
        <x:v>unmanaged</x:v>
      </x:c>
      <x:c r="K2112" s="123" t="b">
        <x:v>0</x:v>
      </x:c>
      <x:c r="L2112" s="117"/>
      <x:c r="M2112" s="118"/>
      <x:c r="N2112" s="120" t="n">
        <x:v>46162.53430555556</x:v>
      </x:c>
      <x:c r="O2112" s="117" t="str">
        <x:v>Delegate</x:v>
      </x:c>
      <x:c r="P2112" s="120" t="n">
        <x:v>46162.53434027778</x:v>
      </x:c>
      <x:c r="Q2112" s="117" t="str">
        <x:v>Delegate</x:v>
      </x:c>
      <x:c r="R2112" s="117" t="str">
        <x:v>Opportunity - Resync System</x:v>
      </x:c>
      <x:c r="S2112" s="119" t="str">
        <x:v>05/19/2026 (BW) - Updating so that "Transaction requires a date" also triggers a re-sync</x:v>
      </x:c>
    </x:row>
    <x:row r="2113" ht="30" customHeight="1">
      <x:c r="A2113" s="117" t="str">
        <x:v>Opportunity_Resync_System</x:v>
      </x:c>
      <x:c r="B2113" s="117" t="str">
        <x:v>300Ro00000ia9zdIAA</x:v>
      </x:c>
      <x:c r="C2113" s="117" t="str">
        <x:v>301Ro000016Q39aIAC</x:v>
      </x:c>
      <x:c r="D2113" s="118" t="n">
        <x:v>15</x:v>
      </x:c>
      <x:c r="E2113" s="117" t="str">
        <x:v>Active</x:v>
      </x:c>
      <x:c r="F2113" s="117" t="str">
        <x:v>Yes</x:v>
      </x:c>
      <x:c r="G2113" s="117" t="str">
        <x:v>Yes</x:v>
      </x:c>
      <x:c r="H2113" s="117" t="str">
        <x:v>AutoLaunchedFlow</x:v>
      </x:c>
      <x:c r="I2113" s="118" t="n">
        <x:v>65</x:v>
      </x:c>
      <x:c r="J2113" s="117" t="str">
        <x:v>unmanaged</x:v>
      </x:c>
      <x:c r="K2113" s="123" t="b">
        <x:v>0</x:v>
      </x:c>
      <x:c r="L2113" s="117"/>
      <x:c r="M2113" s="118"/>
      <x:c r="N2113" s="120" t="n">
        <x:v>46164.51002314815</x:v>
      </x:c>
      <x:c r="O2113" s="117" t="str">
        <x:v>Delegate</x:v>
      </x:c>
      <x:c r="P2113" s="120" t="n">
        <x:v>46164.510104166664</x:v>
      </x:c>
      <x:c r="Q2113" s="117" t="str">
        <x:v>Delegate</x:v>
      </x:c>
      <x:c r="R2113" s="117" t="str">
        <x:v>Opportunity - Resync System</x:v>
      </x:c>
      <x:c r="S2113" s="119" t="str">
        <x:v>05/19/2026 (BW) - Updating so that "Transaction requires a date" also triggers a re-sync</x:v>
      </x:c>
    </x:row>
    <x:row r="2114" ht="30" customHeight="1">
      <x:c r="A2114" s="117" t="str">
        <x:v>Opportunity_Rollups</x:v>
      </x:c>
      <x:c r="B2114" s="117" t="str">
        <x:v>300Ro000007doaYIAQ</x:v>
      </x:c>
      <x:c r="C2114" s="117" t="str">
        <x:v>301Ro000008UfpJIAS</x:v>
      </x:c>
      <x:c r="D2114" s="118" t="n">
        <x:v>1</x:v>
      </x:c>
      <x:c r="E2114" s="117" t="str">
        <x:v>Draft</x:v>
      </x:c>
      <x:c r="F2114" s="117" t="str">
        <x:v>No</x:v>
      </x:c>
      <x:c r="G2114" s="117" t="str">
        <x:v>Yes</x:v>
      </x:c>
      <x:c r="H2114" s="117" t="str">
        <x:v>AutoLaunchedFlow</x:v>
      </x:c>
      <x:c r="I2114" s="118" t="n">
        <x:v>57</x:v>
      </x:c>
      <x:c r="J2114" s="117" t="str">
        <x:v>unmanaged</x:v>
      </x:c>
      <x:c r="K2114" s="123" t="b">
        <x:v>0</x:v>
      </x:c>
      <x:c r="L2114" s="117"/>
      <x:c r="M2114" s="118"/>
      <x:c r="N2114" s="120" t="n">
        <x:v>45356.55144675926</x:v>
      </x:c>
      <x:c r="O2114" s="117" t="str">
        <x:v>Delegate</x:v>
      </x:c>
      <x:c r="P2114" s="120" t="n">
        <x:v>45356.55144675926</x:v>
      </x:c>
      <x:c r="Q2114" s="117" t="str">
        <x:v>Delegate</x:v>
      </x:c>
      <x:c r="R2114" s="117" t="str">
        <x:v>Opportunity Rollups</x:v>
      </x:c>
      <x:c r="S2114" s="119"/>
    </x:row>
    <x:row r="2115" ht="30" customHeight="1">
      <x:c r="A2115" s="117" t="str">
        <x:v>Opportunity_Update_Fields_Flow</x:v>
      </x:c>
      <x:c r="B2115" s="117" t="str">
        <x:v>3005b000000PzJCAA0</x:v>
      </x:c>
      <x:c r="C2115" s="117" t="str">
        <x:v>3015b000000W1nxAAC</x:v>
      </x:c>
      <x:c r="D2115" s="118" t="n">
        <x:v>1</x:v>
      </x:c>
      <x:c r="E2115" s="117" t="str">
        <x:v>Obsolete</x:v>
      </x:c>
      <x:c r="F2115" s="117" t="str">
        <x:v>No</x:v>
      </x:c>
      <x:c r="G2115" s="117" t="str">
        <x:v>No</x:v>
      </x:c>
      <x:c r="H2115" s="117" t="str">
        <x:v>AutoLaunchedFlow</x:v>
      </x:c>
      <x:c r="I2115" s="118" t="n">
        <x:v>57</x:v>
      </x:c>
      <x:c r="J2115" s="117" t="str">
        <x:v>unmanaged</x:v>
      </x:c>
      <x:c r="K2115" s="123" t="b">
        <x:v>0</x:v>
      </x:c>
      <x:c r="L2115" s="117"/>
      <x:c r="M2115" s="118"/>
      <x:c r="N2115" s="120" t="n">
        <x:v>45035.77627314815</x:v>
      </x:c>
      <x:c r="O2115" s="117" t="str">
        <x:v>Jace Gentil</x:v>
      </x:c>
      <x:c r="P2115" s="120" t="n">
        <x:v>45035.77636574074</x:v>
      </x:c>
      <x:c r="Q2115" s="117" t="str">
        <x:v>Jace Gentil</x:v>
      </x:c>
      <x:c r="R2115" s="117" t="str">
        <x:v>Opportunity Update Fields Flow</x:v>
      </x:c>
      <x:c r="S2115" s="119"/>
    </x:row>
    <x:row r="2116" ht="30" customHeight="1">
      <x:c r="A2116" s="117" t="str">
        <x:v>Opportunity_Update_Fields_Flow</x:v>
      </x:c>
      <x:c r="B2116" s="117" t="str">
        <x:v>3005b000000PzJCAA0</x:v>
      </x:c>
      <x:c r="C2116" s="117" t="str">
        <x:v>3015b000000W1oCAAS</x:v>
      </x:c>
      <x:c r="D2116" s="118" t="n">
        <x:v>2</x:v>
      </x:c>
      <x:c r="E2116" s="117" t="str">
        <x:v>Draft</x:v>
      </x:c>
      <x:c r="F2116" s="117" t="str">
        <x:v>No</x:v>
      </x:c>
      <x:c r="G2116" s="117" t="str">
        <x:v>No</x:v>
      </x:c>
      <x:c r="H2116" s="117" t="str">
        <x:v>AutoLaunchedFlow</x:v>
      </x:c>
      <x:c r="I2116" s="118" t="n">
        <x:v>57</x:v>
      </x:c>
      <x:c r="J2116" s="117" t="str">
        <x:v>unmanaged</x:v>
      </x:c>
      <x:c r="K2116" s="123" t="b">
        <x:v>0</x:v>
      </x:c>
      <x:c r="L2116" s="117"/>
      <x:c r="M2116" s="118"/>
      <x:c r="N2116" s="120" t="n">
        <x:v>45035.79761574074</x:v>
      </x:c>
      <x:c r="O2116" s="117" t="str">
        <x:v>Jace Gentil</x:v>
      </x:c>
      <x:c r="P2116" s="120" t="n">
        <x:v>45035.797638888886</x:v>
      </x:c>
      <x:c r="Q2116" s="117" t="str">
        <x:v>Jace Gentil</x:v>
      </x:c>
      <x:c r="R2116" s="117" t="str">
        <x:v>Opportunity Update Fields Flow</x:v>
      </x:c>
      <x:c r="S2116" s="119"/>
    </x:row>
    <x:row r="2117" ht="30" customHeight="1">
      <x:c r="A2117" s="117" t="str">
        <x:v>Opportunity_Update_Fields_Flow</x:v>
      </x:c>
      <x:c r="B2117" s="117" t="str">
        <x:v>3005b000000PzJCAA0</x:v>
      </x:c>
      <x:c r="C2117" s="117" t="str">
        <x:v>3015b000000W1oHAAS</x:v>
      </x:c>
      <x:c r="D2117" s="118" t="n">
        <x:v>3</x:v>
      </x:c>
      <x:c r="E2117" s="117" t="str">
        <x:v>Draft</x:v>
      </x:c>
      <x:c r="F2117" s="117" t="str">
        <x:v>No</x:v>
      </x:c>
      <x:c r="G2117" s="117" t="str">
        <x:v>No</x:v>
      </x:c>
      <x:c r="H2117" s="117" t="str">
        <x:v>AutoLaunchedFlow</x:v>
      </x:c>
      <x:c r="I2117" s="118" t="n">
        <x:v>57</x:v>
      </x:c>
      <x:c r="J2117" s="117" t="str">
        <x:v>unmanaged</x:v>
      </x:c>
      <x:c r="K2117" s="123" t="b">
        <x:v>0</x:v>
      </x:c>
      <x:c r="L2117" s="117"/>
      <x:c r="M2117" s="118"/>
      <x:c r="N2117" s="120" t="n">
        <x:v>45035.79803240741</x:v>
      </x:c>
      <x:c r="O2117" s="117" t="str">
        <x:v>Jace Gentil</x:v>
      </x:c>
      <x:c r="P2117" s="120" t="n">
        <x:v>45035.79804398148</x:v>
      </x:c>
      <x:c r="Q2117" s="117" t="str">
        <x:v>Jace Gentil</x:v>
      </x:c>
      <x:c r="R2117" s="117" t="str">
        <x:v>Opportunity Update Fields Flow</x:v>
      </x:c>
      <x:c r="S2117" s="119"/>
    </x:row>
    <x:row r="2118" ht="30" customHeight="1">
      <x:c r="A2118" s="117" t="str">
        <x:v>Opportunity_Update_Fields_Flow</x:v>
      </x:c>
      <x:c r="B2118" s="117" t="str">
        <x:v>3005b000000PzJCAA0</x:v>
      </x:c>
      <x:c r="C2118" s="117" t="str">
        <x:v>3015b000000W1oMAAS</x:v>
      </x:c>
      <x:c r="D2118" s="118" t="n">
        <x:v>4</x:v>
      </x:c>
      <x:c r="E2118" s="117" t="str">
        <x:v>Obsolete</x:v>
      </x:c>
      <x:c r="F2118" s="117" t="str">
        <x:v>No</x:v>
      </x:c>
      <x:c r="G2118" s="117" t="str">
        <x:v>No</x:v>
      </x:c>
      <x:c r="H2118" s="117" t="str">
        <x:v>AutoLaunchedFlow</x:v>
      </x:c>
      <x:c r="I2118" s="118" t="n">
        <x:v>57</x:v>
      </x:c>
      <x:c r="J2118" s="117" t="str">
        <x:v>unmanaged</x:v>
      </x:c>
      <x:c r="K2118" s="123" t="b">
        <x:v>0</x:v>
      </x:c>
      <x:c r="L2118" s="117"/>
      <x:c r="M2118" s="118"/>
      <x:c r="N2118" s="120" t="n">
        <x:v>45035.798310185186</x:v>
      </x:c>
      <x:c r="O2118" s="117" t="str">
        <x:v>Jace Gentil</x:v>
      </x:c>
      <x:c r="P2118" s="120" t="n">
        <x:v>45035.79834490741</x:v>
      </x:c>
      <x:c r="Q2118" s="117" t="str">
        <x:v>Jace Gentil</x:v>
      </x:c>
      <x:c r="R2118" s="117" t="str">
        <x:v>Opportunity Update Fields Flow</x:v>
      </x:c>
      <x:c r="S2118" s="119"/>
    </x:row>
    <x:row r="2119" ht="30" customHeight="1">
      <x:c r="A2119" s="117" t="str">
        <x:v>Opportunity_Update_Fields_Flow</x:v>
      </x:c>
      <x:c r="B2119" s="117" t="str">
        <x:v>3005b000000PzJCAA0</x:v>
      </x:c>
      <x:c r="C2119" s="117" t="str">
        <x:v>3015b000000W1oRAAS</x:v>
      </x:c>
      <x:c r="D2119" s="118" t="n">
        <x:v>5</x:v>
      </x:c>
      <x:c r="E2119" s="117" t="str">
        <x:v>Obsolete</x:v>
      </x:c>
      <x:c r="F2119" s="117" t="str">
        <x:v>No</x:v>
      </x:c>
      <x:c r="G2119" s="117" t="str">
        <x:v>No</x:v>
      </x:c>
      <x:c r="H2119" s="117" t="str">
        <x:v>AutoLaunchedFlow</x:v>
      </x:c>
      <x:c r="I2119" s="118" t="n">
        <x:v>57</x:v>
      </x:c>
      <x:c r="J2119" s="117" t="str">
        <x:v>unmanaged</x:v>
      </x:c>
      <x:c r="K2119" s="123" t="b">
        <x:v>0</x:v>
      </x:c>
      <x:c r="L2119" s="117"/>
      <x:c r="M2119" s="118"/>
      <x:c r="N2119" s="120" t="n">
        <x:v>45035.80375</x:v>
      </x:c>
      <x:c r="O2119" s="117" t="str">
        <x:v>Jace Gentil</x:v>
      </x:c>
      <x:c r="P2119" s="120" t="n">
        <x:v>45035.80378472222</x:v>
      </x:c>
      <x:c r="Q2119" s="117" t="str">
        <x:v>Jace Gentil</x:v>
      </x:c>
      <x:c r="R2119" s="117" t="str">
        <x:v>Opportunity Update Fields Flow</x:v>
      </x:c>
      <x:c r="S2119" s="119"/>
    </x:row>
    <x:row r="2120" ht="30" customHeight="1">
      <x:c r="A2120" s="117" t="str">
        <x:v>Opportunity_Update_Fields_Flow</x:v>
      </x:c>
      <x:c r="B2120" s="117" t="str">
        <x:v>3005b000000PzJCAA0</x:v>
      </x:c>
      <x:c r="C2120" s="117" t="str">
        <x:v>3015b000000W1oWAAS</x:v>
      </x:c>
      <x:c r="D2120" s="118" t="n">
        <x:v>6</x:v>
      </x:c>
      <x:c r="E2120" s="117" t="str">
        <x:v>Obsolete</x:v>
      </x:c>
      <x:c r="F2120" s="117" t="str">
        <x:v>No</x:v>
      </x:c>
      <x:c r="G2120" s="117" t="str">
        <x:v>No</x:v>
      </x:c>
      <x:c r="H2120" s="117" t="str">
        <x:v>AutoLaunchedFlow</x:v>
      </x:c>
      <x:c r="I2120" s="118" t="n">
        <x:v>57</x:v>
      </x:c>
      <x:c r="J2120" s="117" t="str">
        <x:v>unmanaged</x:v>
      </x:c>
      <x:c r="K2120" s="123" t="b">
        <x:v>0</x:v>
      </x:c>
      <x:c r="L2120" s="117"/>
      <x:c r="M2120" s="118"/>
      <x:c r="N2120" s="120" t="n">
        <x:v>45035.80472222222</x:v>
      </x:c>
      <x:c r="O2120" s="117" t="str">
        <x:v>Jace Gentil</x:v>
      </x:c>
      <x:c r="P2120" s="120" t="n">
        <x:v>45035.804756944446</x:v>
      </x:c>
      <x:c r="Q2120" s="117" t="str">
        <x:v>Jace Gentil</x:v>
      </x:c>
      <x:c r="R2120" s="117" t="str">
        <x:v>Opportunity Update Fields Flow</x:v>
      </x:c>
      <x:c r="S2120" s="119"/>
    </x:row>
    <x:row r="2121" ht="30" customHeight="1">
      <x:c r="A2121" s="117" t="str">
        <x:v>Opportunity_Update_Fields_Flow</x:v>
      </x:c>
      <x:c r="B2121" s="117" t="str">
        <x:v>3005b000000PzJCAA0</x:v>
      </x:c>
      <x:c r="C2121" s="117" t="str">
        <x:v>3015b000000W1obAAC</x:v>
      </x:c>
      <x:c r="D2121" s="118" t="n">
        <x:v>7</x:v>
      </x:c>
      <x:c r="E2121" s="117" t="str">
        <x:v>Obsolete</x:v>
      </x:c>
      <x:c r="F2121" s="117" t="str">
        <x:v>No</x:v>
      </x:c>
      <x:c r="G2121" s="117" t="str">
        <x:v>No</x:v>
      </x:c>
      <x:c r="H2121" s="117" t="str">
        <x:v>AutoLaunchedFlow</x:v>
      </x:c>
      <x:c r="I2121" s="118" t="n">
        <x:v>57</x:v>
      </x:c>
      <x:c r="J2121" s="117" t="str">
        <x:v>unmanaged</x:v>
      </x:c>
      <x:c r="K2121" s="123" t="b">
        <x:v>0</x:v>
      </x:c>
      <x:c r="L2121" s="117"/>
      <x:c r="M2121" s="118"/>
      <x:c r="N2121" s="120" t="n">
        <x:v>45035.81024305556</x:v>
      </x:c>
      <x:c r="O2121" s="117" t="str">
        <x:v>Jace Gentil</x:v>
      </x:c>
      <x:c r="P2121" s="120" t="n">
        <x:v>45035.810277777775</x:v>
      </x:c>
      <x:c r="Q2121" s="117" t="str">
        <x:v>Jace Gentil</x:v>
      </x:c>
      <x:c r="R2121" s="117" t="str">
        <x:v>Opportunity Update Fields Flow</x:v>
      </x:c>
      <x:c r="S2121" s="119"/>
    </x:row>
    <x:row r="2122" ht="30" customHeight="1">
      <x:c r="A2122" s="117" t="str">
        <x:v>Opportunity_Update_Fields_Flow</x:v>
      </x:c>
      <x:c r="B2122" s="117" t="str">
        <x:v>3005b000000PzJCAA0</x:v>
      </x:c>
      <x:c r="C2122" s="117" t="str">
        <x:v>3015b000000W1olAAC</x:v>
      </x:c>
      <x:c r="D2122" s="118" t="n">
        <x:v>8</x:v>
      </x:c>
      <x:c r="E2122" s="117" t="str">
        <x:v>Obsolete</x:v>
      </x:c>
      <x:c r="F2122" s="117" t="str">
        <x:v>No</x:v>
      </x:c>
      <x:c r="G2122" s="117" t="str">
        <x:v>No</x:v>
      </x:c>
      <x:c r="H2122" s="117" t="str">
        <x:v>AutoLaunchedFlow</x:v>
      </x:c>
      <x:c r="I2122" s="118" t="n">
        <x:v>57</x:v>
      </x:c>
      <x:c r="J2122" s="117" t="str">
        <x:v>unmanaged</x:v>
      </x:c>
      <x:c r="K2122" s="123" t="b">
        <x:v>0</x:v>
      </x:c>
      <x:c r="L2122" s="117"/>
      <x:c r="M2122" s="118"/>
      <x:c r="N2122" s="120" t="n">
        <x:v>45035.815046296295</x:v>
      </x:c>
      <x:c r="O2122" s="117" t="str">
        <x:v>Jace Gentil</x:v>
      </x:c>
      <x:c r="P2122" s="120" t="n">
        <x:v>45035.815092592595</x:v>
      </x:c>
      <x:c r="Q2122" s="117" t="str">
        <x:v>Jace Gentil</x:v>
      </x:c>
      <x:c r="R2122" s="117" t="str">
        <x:v>Opportunity Update Fields Flow</x:v>
      </x:c>
      <x:c r="S2122" s="119"/>
    </x:row>
    <x:row r="2123" ht="30" customHeight="1">
      <x:c r="A2123" s="117" t="str">
        <x:v>Opportunity_Update_Fields_Flow</x:v>
      </x:c>
      <x:c r="B2123" s="117" t="str">
        <x:v>3005b000000PzJCAA0</x:v>
      </x:c>
      <x:c r="C2123" s="117" t="str">
        <x:v>3015b000000W1ovAAC</x:v>
      </x:c>
      <x:c r="D2123" s="118" t="n">
        <x:v>9</x:v>
      </x:c>
      <x:c r="E2123" s="117" t="str">
        <x:v>Obsolete</x:v>
      </x:c>
      <x:c r="F2123" s="117" t="str">
        <x:v>No</x:v>
      </x:c>
      <x:c r="G2123" s="117" t="str">
        <x:v>No</x:v>
      </x:c>
      <x:c r="H2123" s="117" t="str">
        <x:v>AutoLaunchedFlow</x:v>
      </x:c>
      <x:c r="I2123" s="118" t="n">
        <x:v>57</x:v>
      </x:c>
      <x:c r="J2123" s="117" t="str">
        <x:v>unmanaged</x:v>
      </x:c>
      <x:c r="K2123" s="123" t="b">
        <x:v>0</x:v>
      </x:c>
      <x:c r="L2123" s="117"/>
      <x:c r="M2123" s="118"/>
      <x:c r="N2123" s="120" t="n">
        <x:v>45035.860138888886</x:v>
      </x:c>
      <x:c r="O2123" s="117" t="str">
        <x:v>Jace Gentil</x:v>
      </x:c>
      <x:c r="P2123" s="120" t="n">
        <x:v>45035.86017361111</x:v>
      </x:c>
      <x:c r="Q2123" s="117" t="str">
        <x:v>Jace Gentil</x:v>
      </x:c>
      <x:c r="R2123" s="117" t="str">
        <x:v>Opportunity Update Fields Flow</x:v>
      </x:c>
      <x:c r="S2123" s="119"/>
    </x:row>
    <x:row r="2124" ht="30" customHeight="1">
      <x:c r="A2124" s="117" t="str">
        <x:v>Opportunity_Update_Fields_Flow</x:v>
      </x:c>
      <x:c r="B2124" s="117" t="str">
        <x:v>3005b000000PzJCAA0</x:v>
      </x:c>
      <x:c r="C2124" s="117" t="str">
        <x:v>3015b000000W1p0AAC</x:v>
      </x:c>
      <x:c r="D2124" s="118" t="n">
        <x:v>10</x:v>
      </x:c>
      <x:c r="E2124" s="117" t="str">
        <x:v>Obsolete</x:v>
      </x:c>
      <x:c r="F2124" s="117" t="str">
        <x:v>No</x:v>
      </x:c>
      <x:c r="G2124" s="117" t="str">
        <x:v>No</x:v>
      </x:c>
      <x:c r="H2124" s="117" t="str">
        <x:v>AutoLaunchedFlow</x:v>
      </x:c>
      <x:c r="I2124" s="118" t="n">
        <x:v>57</x:v>
      </x:c>
      <x:c r="J2124" s="117" t="str">
        <x:v>unmanaged</x:v>
      </x:c>
      <x:c r="K2124" s="123" t="b">
        <x:v>0</x:v>
      </x:c>
      <x:c r="L2124" s="117"/>
      <x:c r="M2124" s="118"/>
      <x:c r="N2124" s="120" t="n">
        <x:v>45035.86378472222</x:v>
      </x:c>
      <x:c r="O2124" s="117" t="str">
        <x:v>Jace Gentil</x:v>
      </x:c>
      <x:c r="P2124" s="120" t="n">
        <x:v>45035.86383101852</x:v>
      </x:c>
      <x:c r="Q2124" s="117" t="str">
        <x:v>Jace Gentil</x:v>
      </x:c>
      <x:c r="R2124" s="117" t="str">
        <x:v>Opportunity Update Fields Flow</x:v>
      </x:c>
      <x:c r="S2124" s="119"/>
    </x:row>
    <x:row r="2125" ht="30" customHeight="1">
      <x:c r="A2125" s="117" t="str">
        <x:v>Opportunity_Update_Fields_Flow</x:v>
      </x:c>
      <x:c r="B2125" s="117" t="str">
        <x:v>3005b000000PzJCAA0</x:v>
      </x:c>
      <x:c r="C2125" s="117" t="str">
        <x:v>3015b000000W1p5AAC</x:v>
      </x:c>
      <x:c r="D2125" s="118" t="n">
        <x:v>11</x:v>
      </x:c>
      <x:c r="E2125" s="117" t="str">
        <x:v>Obsolete</x:v>
      </x:c>
      <x:c r="F2125" s="117" t="str">
        <x:v>No</x:v>
      </x:c>
      <x:c r="G2125" s="117" t="str">
        <x:v>No</x:v>
      </x:c>
      <x:c r="H2125" s="117" t="str">
        <x:v>AutoLaunchedFlow</x:v>
      </x:c>
      <x:c r="I2125" s="118" t="n">
        <x:v>57</x:v>
      </x:c>
      <x:c r="J2125" s="117" t="str">
        <x:v>unmanaged</x:v>
      </x:c>
      <x:c r="K2125" s="123" t="b">
        <x:v>0</x:v>
      </x:c>
      <x:c r="L2125" s="117"/>
      <x:c r="M2125" s="118"/>
      <x:c r="N2125" s="120" t="n">
        <x:v>45035.864224537036</x:v>
      </x:c>
      <x:c r="O2125" s="117" t="str">
        <x:v>Jace Gentil</x:v>
      </x:c>
      <x:c r="P2125" s="120" t="n">
        <x:v>45035.88827546296</x:v>
      </x:c>
      <x:c r="Q2125" s="117" t="str">
        <x:v>Jace Gentil</x:v>
      </x:c>
      <x:c r="R2125" s="117" t="str">
        <x:v>Opportunity Update Fields Flow</x:v>
      </x:c>
      <x:c r="S2125" s="119"/>
    </x:row>
    <x:row r="2126" ht="30" customHeight="1">
      <x:c r="A2126" s="117" t="str">
        <x:v>Opportunity_Update_Fields_Flow</x:v>
      </x:c>
      <x:c r="B2126" s="117" t="str">
        <x:v>3005b000000PzJCAA0</x:v>
      </x:c>
      <x:c r="C2126" s="117" t="str">
        <x:v>3015b000000W1rBAAS</x:v>
      </x:c>
      <x:c r="D2126" s="118" t="n">
        <x:v>12</x:v>
      </x:c>
      <x:c r="E2126" s="117" t="str">
        <x:v>Draft</x:v>
      </x:c>
      <x:c r="F2126" s="117" t="str">
        <x:v>No</x:v>
      </x:c>
      <x:c r="G2126" s="117" t="str">
        <x:v>Yes</x:v>
      </x:c>
      <x:c r="H2126" s="117" t="str">
        <x:v>AutoLaunchedFlow</x:v>
      </x:c>
      <x:c r="I2126" s="118" t="n">
        <x:v>57</x:v>
      </x:c>
      <x:c r="J2126" s="117" t="str">
        <x:v>unmanaged</x:v>
      </x:c>
      <x:c r="K2126" s="123" t="b">
        <x:v>0</x:v>
      </x:c>
      <x:c r="L2126" s="117"/>
      <x:c r="M2126" s="118"/>
      <x:c r="N2126" s="120" t="n">
        <x:v>45036.55128472222</x:v>
      </x:c>
      <x:c r="O2126" s="117" t="str">
        <x:v>Jace Gentil</x:v>
      </x:c>
      <x:c r="P2126" s="120" t="n">
        <x:v>45036.55130787037</x:v>
      </x:c>
      <x:c r="Q2126" s="117" t="str">
        <x:v>Jace Gentil</x:v>
      </x:c>
      <x:c r="R2126" s="117" t="str">
        <x:v>Opportunity Update Fields Flow</x:v>
      </x:c>
      <x:c r="S2126" s="119"/>
    </x:row>
    <x:row r="2127" ht="30" customHeight="1">
      <x:c r="A2127" s="117" t="str">
        <x:v>Opportunity_Update_FSE_Email_Record_Triggered_Flow</x:v>
      </x:c>
      <x:c r="B2127" s="117" t="str">
        <x:v>300Ro00000tF5irIAC</x:v>
      </x:c>
      <x:c r="C2127" s="117" t="str">
        <x:v>301Ro0000111PWLIA2</x:v>
      </x:c>
      <x:c r="D2127" s="118" t="n">
        <x:v>1</x:v>
      </x:c>
      <x:c r="E2127" s="117" t="str">
        <x:v>Obsolete</x:v>
      </x:c>
      <x:c r="F2127" s="117" t="str">
        <x:v>No</x:v>
      </x:c>
      <x:c r="G2127" s="117" t="str">
        <x:v>No</x:v>
      </x:c>
      <x:c r="H2127" s="117" t="str">
        <x:v>AutoLaunchedFlow</x:v>
      </x:c>
      <x:c r="I2127" s="118" t="n">
        <x:v>66</x:v>
      </x:c>
      <x:c r="J2127" s="117" t="str">
        <x:v>unmanaged</x:v>
      </x:c>
      <x:c r="K2127" s="123" t="b">
        <x:v>0</x:v>
      </x:c>
      <x:c r="L2127" s="117"/>
      <x:c r="M2127" s="118"/>
      <x:c r="N2127" s="120" t="n">
        <x:v>46100.887337962966</x:v>
      </x:c>
      <x:c r="O2127" s="117" t="str">
        <x:v>Sacha Pearce</x:v>
      </x:c>
      <x:c r="P2127" s="120" t="n">
        <x:v>46100.89309027778</x:v>
      </x:c>
      <x:c r="Q2127" s="117" t="str">
        <x:v>Sacha Pearce</x:v>
      </x:c>
      <x:c r="R2127" s="117" t="str">
        <x:v>Opportunity - Update FSE Email - Record-Triggered Flow</x:v>
      </x:c>
      <x:c r="S2127" s="119" t="str">
        <x:v>This Flow exists to update the "FSE Email" field on Opportunities. This is needed as some picklist values are returning incorrect emails.</x:v>
      </x:c>
    </x:row>
    <x:row r="2128" ht="30" customHeight="1">
      <x:c r="A2128" s="117" t="str">
        <x:v>Opportunity_Update_FSE_Email_Record_Triggered_Flow</x:v>
      </x:c>
      <x:c r="B2128" s="117" t="str">
        <x:v>300Ro00000tF5irIAC</x:v>
      </x:c>
      <x:c r="C2128" s="117" t="str">
        <x:v>301Ro0000158rdIIAQ</x:v>
      </x:c>
      <x:c r="D2128" s="118" t="n">
        <x:v>2</x:v>
      </x:c>
      <x:c r="E2128" s="117" t="str">
        <x:v>Active</x:v>
      </x:c>
      <x:c r="F2128" s="117" t="str">
        <x:v>Yes</x:v>
      </x:c>
      <x:c r="G2128" s="117" t="str">
        <x:v>Yes</x:v>
      </x:c>
      <x:c r="H2128" s="117" t="str">
        <x:v>AutoLaunchedFlow</x:v>
      </x:c>
      <x:c r="I2128" s="118" t="n">
        <x:v>66</x:v>
      </x:c>
      <x:c r="J2128" s="117" t="str">
        <x:v>unmanaged</x:v>
      </x:c>
      <x:c r="K2128" s="123" t="b">
        <x:v>0</x:v>
      </x:c>
      <x:c r="L2128" s="117"/>
      <x:c r="M2128" s="118"/>
      <x:c r="N2128" s="120" t="n">
        <x:v>46150.52987268518</x:v>
      </x:c>
      <x:c r="O2128" s="117" t="str">
        <x:v>Sacha Pearce</x:v>
      </x:c>
      <x:c r="P2128" s="120" t="n">
        <x:v>46150.529953703706</x:v>
      </x:c>
      <x:c r="Q2128" s="117" t="str">
        <x:v>Sacha Pearce</x:v>
      </x:c>
      <x:c r="R2128" s="117" t="str">
        <x:v>Opportunity - Update FSE Email - Record-Triggered Flow</x:v>
      </x:c>
      <x:c r="S2128" s="119" t="str">
        <x:v>08/05/2026 - Updating Flow's logic by introducing the "Field Service Engineer Changed Check". This is to set the "FSE Email" on Opportunity creation. Currently Opportunities made for Accounts with a "Field Service Engineer" entered are sometimes returning incorrect emails.</x:v>
      </x:c>
    </x:row>
    <x:row r="2129" ht="30" customHeight="1">
      <x:c r="A2129" s="117" t="str">
        <x:v>Opportunity_Update_Processes</x:v>
      </x:c>
      <x:c r="B2129" s="117" t="str">
        <x:v>3004O000000LOvyQAG</x:v>
      </x:c>
      <x:c r="C2129" s="117" t="str">
        <x:v>3015b000000EDTgAAO</x:v>
      </x:c>
      <x:c r="D2129" s="118" t="n">
        <x:v>46</x:v>
      </x:c>
      <x:c r="E2129" s="117" t="str">
        <x:v>Obsolete</x:v>
      </x:c>
      <x:c r="F2129" s="117" t="str">
        <x:v>No</x:v>
      </x:c>
      <x:c r="G2129" s="117" t="str">
        <x:v>No</x:v>
      </x:c>
      <x:c r="H2129" s="117" t="str">
        <x:v>Workflow</x:v>
      </x:c>
      <x:c r="I2129" s="118" t="n">
        <x:v>49</x:v>
      </x:c>
      <x:c r="J2129" s="117" t="str">
        <x:v>unmanaged</x:v>
      </x:c>
      <x:c r="K2129" s="123" t="b">
        <x:v>0</x:v>
      </x:c>
      <x:c r="L2129" s="117"/>
      <x:c r="M2129" s="118"/>
      <x:c r="N2129" s="120" t="n">
        <x:v>44516.209699074076</x:v>
      </x:c>
      <x:c r="O2129" s="117" t="str">
        <x:v>Delegate</x:v>
      </x:c>
      <x:c r="P2129" s="120" t="n">
        <x:v>44516.20980324074</x:v>
      </x:c>
      <x:c r="Q2129" s="117" t="str">
        <x:v>Delegate</x:v>
      </x:c>
      <x:c r="R2129" s="117" t="str">
        <x:v>PB: Opportunity</x:v>
      </x:c>
      <x:c r="S2129" s="119" t="str">
        <x:v>Contains all the processes for the Opportunity Object</x:v>
      </x:c>
    </x:row>
    <x:row r="2130" ht="30" customHeight="1">
      <x:c r="A2130" s="117" t="str">
        <x:v>Opportunity_Update_Processes</x:v>
      </x:c>
      <x:c r="B2130" s="117" t="str">
        <x:v>3004O000000LOvyQAG</x:v>
      </x:c>
      <x:c r="C2130" s="117" t="str">
        <x:v>3015b000000EDUUAA4</x:v>
      </x:c>
      <x:c r="D2130" s="118" t="n">
        <x:v>47</x:v>
      </x:c>
      <x:c r="E2130" s="117" t="str">
        <x:v>Obsolete</x:v>
      </x:c>
      <x:c r="F2130" s="117" t="str">
        <x:v>No</x:v>
      </x:c>
      <x:c r="G2130" s="117" t="str">
        <x:v>No</x:v>
      </x:c>
      <x:c r="H2130" s="117" t="str">
        <x:v>Workflow</x:v>
      </x:c>
      <x:c r="I2130" s="118" t="n">
        <x:v>49</x:v>
      </x:c>
      <x:c r="J2130" s="117" t="str">
        <x:v>unmanaged</x:v>
      </x:c>
      <x:c r="K2130" s="123" t="b">
        <x:v>0</x:v>
      </x:c>
      <x:c r="L2130" s="117"/>
      <x:c r="M2130" s="118"/>
      <x:c r="N2130" s="120" t="n">
        <x:v>44516.26702546296</x:v>
      </x:c>
      <x:c r="O2130" s="117" t="str">
        <x:v>Delegate</x:v>
      </x:c>
      <x:c r="P2130" s="120" t="n">
        <x:v>44516.26712962963</x:v>
      </x:c>
      <x:c r="Q2130" s="117" t="str">
        <x:v>Delegate</x:v>
      </x:c>
      <x:c r="R2130" s="117" t="str">
        <x:v>PB: Opportunity</x:v>
      </x:c>
      <x:c r="S2130" s="119" t="str">
        <x:v>Contains all the processes for the Opportunity Object</x:v>
      </x:c>
    </x:row>
    <x:row r="2131" ht="30" customHeight="1">
      <x:c r="A2131" s="117" t="str">
        <x:v>Opportunity_Update_Processes</x:v>
      </x:c>
      <x:c r="B2131" s="117" t="str">
        <x:v>3004O000000LOvyQAG</x:v>
      </x:c>
      <x:c r="C2131" s="117" t="str">
        <x:v>3015b000000EDpwAAG</x:v>
      </x:c>
      <x:c r="D2131" s="118" t="n">
        <x:v>48</x:v>
      </x:c>
      <x:c r="E2131" s="117" t="str">
        <x:v>Obsolete</x:v>
      </x:c>
      <x:c r="F2131" s="117" t="str">
        <x:v>No</x:v>
      </x:c>
      <x:c r="G2131" s="117" t="str">
        <x:v>No</x:v>
      </x:c>
      <x:c r="H2131" s="117" t="str">
        <x:v>Workflow</x:v>
      </x:c>
      <x:c r="I2131" s="118" t="n">
        <x:v>49</x:v>
      </x:c>
      <x:c r="J2131" s="117" t="str">
        <x:v>unmanaged</x:v>
      </x:c>
      <x:c r="K2131" s="123" t="b">
        <x:v>0</x:v>
      </x:c>
      <x:c r="L2131" s="117"/>
      <x:c r="M2131" s="118"/>
      <x:c r="N2131" s="120" t="n">
        <x:v>44524.702372685184</x:v>
      </x:c>
      <x:c r="O2131" s="117" t="str">
        <x:v>Natalie Boger</x:v>
      </x:c>
      <x:c r="P2131" s="120" t="n">
        <x:v>44529.93818287037</x:v>
      </x:c>
      <x:c r="Q2131" s="117" t="str">
        <x:v>Natalie Boger</x:v>
      </x:c>
      <x:c r="R2131" s="117" t="str">
        <x:v>PB: Opportunity</x:v>
      </x:c>
      <x:c r="S2131" s="119" t="str">
        <x:v>Contains all the processes for the Opportunity Object</x:v>
      </x:c>
    </x:row>
    <x:row r="2132" ht="30" customHeight="1">
      <x:c r="A2132" s="117" t="str">
        <x:v>Opportunity_Update_Processes</x:v>
      </x:c>
      <x:c r="B2132" s="117" t="str">
        <x:v>3004O000000LOvyQAG</x:v>
      </x:c>
      <x:c r="C2132" s="117" t="str">
        <x:v>3015b000000EDuNAAW</x:v>
      </x:c>
      <x:c r="D2132" s="118" t="n">
        <x:v>49</x:v>
      </x:c>
      <x:c r="E2132" s="117" t="str">
        <x:v>Obsolete</x:v>
      </x:c>
      <x:c r="F2132" s="117" t="str">
        <x:v>No</x:v>
      </x:c>
      <x:c r="G2132" s="117" t="str">
        <x:v>No</x:v>
      </x:c>
      <x:c r="H2132" s="117" t="str">
        <x:v>Workflow</x:v>
      </x:c>
      <x:c r="I2132" s="118" t="n">
        <x:v>49</x:v>
      </x:c>
      <x:c r="J2132" s="117" t="str">
        <x:v>unmanaged</x:v>
      </x:c>
      <x:c r="K2132" s="123" t="b">
        <x:v>0</x:v>
      </x:c>
      <x:c r="L2132" s="117"/>
      <x:c r="M2132" s="118"/>
      <x:c r="N2132" s="120" t="n">
        <x:v>44529.94273148148</x:v>
      </x:c>
      <x:c r="O2132" s="117" t="str">
        <x:v>Natalie Boger</x:v>
      </x:c>
      <x:c r="P2132" s="120" t="n">
        <x:v>44529.942824074074</x:v>
      </x:c>
      <x:c r="Q2132" s="117" t="str">
        <x:v>Natalie Boger</x:v>
      </x:c>
      <x:c r="R2132" s="117" t="str">
        <x:v>PB: Opportunity</x:v>
      </x:c>
      <x:c r="S2132" s="119" t="str">
        <x:v>Contains all the processes for the Opportunity Object</x:v>
      </x:c>
    </x:row>
    <x:row r="2133" ht="30" customHeight="1">
      <x:c r="A2133" s="117" t="str">
        <x:v>Opportunity_Update_Processes</x:v>
      </x:c>
      <x:c r="B2133" s="117" t="str">
        <x:v>3004O000000LOvyQAG</x:v>
      </x:c>
      <x:c r="C2133" s="117" t="str">
        <x:v>3015b000000EE2HAAW</x:v>
      </x:c>
      <x:c r="D2133" s="118" t="n">
        <x:v>50</x:v>
      </x:c>
      <x:c r="E2133" s="117" t="str">
        <x:v>Obsolete</x:v>
      </x:c>
      <x:c r="F2133" s="117" t="str">
        <x:v>No</x:v>
      </x:c>
      <x:c r="G2133" s="117" t="str">
        <x:v>No</x:v>
      </x:c>
      <x:c r="H2133" s="117" t="str">
        <x:v>Workflow</x:v>
      </x:c>
      <x:c r="I2133" s="118" t="n">
        <x:v>49</x:v>
      </x:c>
      <x:c r="J2133" s="117" t="str">
        <x:v>unmanaged</x:v>
      </x:c>
      <x:c r="K2133" s="123" t="b">
        <x:v>0</x:v>
      </x:c>
      <x:c r="L2133" s="117"/>
      <x:c r="M2133" s="118"/>
      <x:c r="N2133" s="120" t="n">
        <x:v>44532.70927083334</x:v>
      </x:c>
      <x:c r="O2133" s="117" t="str">
        <x:v>Natalie Boger</x:v>
      </x:c>
      <x:c r="P2133" s="120" t="n">
        <x:v>44532.70945601852</x:v>
      </x:c>
      <x:c r="Q2133" s="117" t="str">
        <x:v>Natalie Boger</x:v>
      </x:c>
      <x:c r="R2133" s="117" t="str">
        <x:v>PB: Opportunity</x:v>
      </x:c>
      <x:c r="S2133" s="119" t="str">
        <x:v>Contains all the processes for the Opportunity Object</x:v>
      </x:c>
    </x:row>
    <x:row r="2134" ht="30" customHeight="1">
      <x:c r="A2134" s="117" t="str">
        <x:v>Opportunity_Update_Processes</x:v>
      </x:c>
      <x:c r="B2134" s="117" t="str">
        <x:v>3004O000000LOvyQAG</x:v>
      </x:c>
      <x:c r="C2134" s="117" t="str">
        <x:v>3015b000000EILpAAO</x:v>
      </x:c>
      <x:c r="D2134" s="118" t="n">
        <x:v>51</x:v>
      </x:c>
      <x:c r="E2134" s="117" t="str">
        <x:v>Obsolete</x:v>
      </x:c>
      <x:c r="F2134" s="117" t="str">
        <x:v>No</x:v>
      </x:c>
      <x:c r="G2134" s="117" t="str">
        <x:v>No</x:v>
      </x:c>
      <x:c r="H2134" s="117" t="str">
        <x:v>Workflow</x:v>
      </x:c>
      <x:c r="I2134" s="118" t="n">
        <x:v>49</x:v>
      </x:c>
      <x:c r="J2134" s="117" t="str">
        <x:v>unmanaged</x:v>
      </x:c>
      <x:c r="K2134" s="123" t="b">
        <x:v>0</x:v>
      </x:c>
      <x:c r="L2134" s="117"/>
      <x:c r="M2134" s="118"/>
      <x:c r="N2134" s="120" t="n">
        <x:v>44635.728946759256</x:v>
      </x:c>
      <x:c r="O2134" s="117" t="str">
        <x:v>Delegate</x:v>
      </x:c>
      <x:c r="P2134" s="120" t="n">
        <x:v>44635.72903935185</x:v>
      </x:c>
      <x:c r="Q2134" s="117" t="str">
        <x:v>Delegate</x:v>
      </x:c>
      <x:c r="R2134" s="117" t="str">
        <x:v>PB: Opportunity</x:v>
      </x:c>
      <x:c r="S2134" s="119" t="str">
        <x:v>Contains all the processes for the Opportunity Object</x:v>
      </x:c>
    </x:row>
    <x:row r="2135" ht="30" customHeight="1">
      <x:c r="A2135" s="117" t="str">
        <x:v>Opportunity_Update_Processes</x:v>
      </x:c>
      <x:c r="B2135" s="117" t="str">
        <x:v>3004O000000LOvyQAG</x:v>
      </x:c>
      <x:c r="C2135" s="117" t="str">
        <x:v>3015b000000EJNFAA4</x:v>
      </x:c>
      <x:c r="D2135" s="118" t="n">
        <x:v>52</x:v>
      </x:c>
      <x:c r="E2135" s="117" t="str">
        <x:v>Obsolete</x:v>
      </x:c>
      <x:c r="F2135" s="117" t="str">
        <x:v>No</x:v>
      </x:c>
      <x:c r="G2135" s="117" t="str">
        <x:v>No</x:v>
      </x:c>
      <x:c r="H2135" s="117" t="str">
        <x:v>Workflow</x:v>
      </x:c>
      <x:c r="I2135" s="118" t="n">
        <x:v>49</x:v>
      </x:c>
      <x:c r="J2135" s="117" t="str">
        <x:v>unmanaged</x:v>
      </x:c>
      <x:c r="K2135" s="123" t="b">
        <x:v>0</x:v>
      </x:c>
      <x:c r="L2135" s="117"/>
      <x:c r="M2135" s="118"/>
      <x:c r="N2135" s="120" t="n">
        <x:v>44678.55793981482</x:v>
      </x:c>
      <x:c r="O2135" s="117" t="str">
        <x:v>Delegate</x:v>
      </x:c>
      <x:c r="P2135" s="120" t="n">
        <x:v>44678.55805555556</x:v>
      </x:c>
      <x:c r="Q2135" s="117" t="str">
        <x:v>Delegate</x:v>
      </x:c>
      <x:c r="R2135" s="117" t="str">
        <x:v>PB: Opportunity</x:v>
      </x:c>
      <x:c r="S2135" s="119" t="str">
        <x:v>Contains all the processes for the Opportunity Object</x:v>
      </x:c>
    </x:row>
    <x:row r="2136" ht="30" customHeight="1">
      <x:c r="A2136" s="117" t="str">
        <x:v>Opportunity_Update_Processes</x:v>
      </x:c>
      <x:c r="B2136" s="117" t="str">
        <x:v>3004O000000LOvyQAG</x:v>
      </x:c>
      <x:c r="C2136" s="117" t="str">
        <x:v>3015b000000EJceAAG</x:v>
      </x:c>
      <x:c r="D2136" s="118" t="n">
        <x:v>53</x:v>
      </x:c>
      <x:c r="E2136" s="117" t="str">
        <x:v>Obsolete</x:v>
      </x:c>
      <x:c r="F2136" s="117" t="str">
        <x:v>No</x:v>
      </x:c>
      <x:c r="G2136" s="117" t="str">
        <x:v>No</x:v>
      </x:c>
      <x:c r="H2136" s="117" t="str">
        <x:v>Workflow</x:v>
      </x:c>
      <x:c r="I2136" s="118" t="n">
        <x:v>49</x:v>
      </x:c>
      <x:c r="J2136" s="117" t="str">
        <x:v>unmanaged</x:v>
      </x:c>
      <x:c r="K2136" s="123" t="b">
        <x:v>0</x:v>
      </x:c>
      <x:c r="L2136" s="117"/>
      <x:c r="M2136" s="118"/>
      <x:c r="N2136" s="120" t="n">
        <x:v>44694.48133101852</x:v>
      </x:c>
      <x:c r="O2136" s="117" t="str">
        <x:v>Delegate</x:v>
      </x:c>
      <x:c r="P2136" s="120" t="n">
        <x:v>44694.48142361111</x:v>
      </x:c>
      <x:c r="Q2136" s="117" t="str">
        <x:v>Delegate</x:v>
      </x:c>
      <x:c r="R2136" s="117" t="str">
        <x:v>PB: Opportunity</x:v>
      </x:c>
      <x:c r="S2136" s="119" t="str">
        <x:v>Contains all the processes for the Opportunity Object</x:v>
      </x:c>
    </x:row>
    <x:row r="2137" ht="30" customHeight="1">
      <x:c r="A2137" s="117" t="str">
        <x:v>Opportunity_Update_Processes</x:v>
      </x:c>
      <x:c r="B2137" s="117" t="str">
        <x:v>3004O000000LOvyQAG</x:v>
      </x:c>
      <x:c r="C2137" s="117" t="str">
        <x:v>3015b000000ELJVAA4</x:v>
      </x:c>
      <x:c r="D2137" s="118" t="n">
        <x:v>54</x:v>
      </x:c>
      <x:c r="E2137" s="117" t="str">
        <x:v>Obsolete</x:v>
      </x:c>
      <x:c r="F2137" s="117" t="str">
        <x:v>No</x:v>
      </x:c>
      <x:c r="G2137" s="117" t="str">
        <x:v>No</x:v>
      </x:c>
      <x:c r="H2137" s="117" t="str">
        <x:v>Workflow</x:v>
      </x:c>
      <x:c r="I2137" s="118" t="n">
        <x:v>49</x:v>
      </x:c>
      <x:c r="J2137" s="117" t="str">
        <x:v>unmanaged</x:v>
      </x:c>
      <x:c r="K2137" s="123" t="b">
        <x:v>0</x:v>
      </x:c>
      <x:c r="L2137" s="117"/>
      <x:c r="M2137" s="118"/>
      <x:c r="N2137" s="120" t="n">
        <x:v>44789.85395833333</x:v>
      </x:c>
      <x:c r="O2137" s="117" t="str">
        <x:v>Delegate</x:v>
      </x:c>
      <x:c r="P2137" s="120" t="n">
        <x:v>44789.8540625</x:v>
      </x:c>
      <x:c r="Q2137" s="117" t="str">
        <x:v>Delegate</x:v>
      </x:c>
      <x:c r="R2137" s="117" t="str">
        <x:v>PB: Opportunity</x:v>
      </x:c>
      <x:c r="S2137" s="119" t="str">
        <x:v>Contains all the processes for the Opportunity Object</x:v>
      </x:c>
    </x:row>
    <x:row r="2138" ht="30" customHeight="1">
      <x:c r="A2138" s="117" t="str">
        <x:v>Opportunity_Update_Processes</x:v>
      </x:c>
      <x:c r="B2138" s="117" t="str">
        <x:v>3004O000000LOvyQAG</x:v>
      </x:c>
      <x:c r="C2138" s="117" t="str">
        <x:v>3015b000000ELUNAA4</x:v>
      </x:c>
      <x:c r="D2138" s="118" t="n">
        <x:v>55</x:v>
      </x:c>
      <x:c r="E2138" s="117" t="str">
        <x:v>Obsolete</x:v>
      </x:c>
      <x:c r="F2138" s="117" t="str">
        <x:v>No</x:v>
      </x:c>
      <x:c r="G2138" s="117" t="str">
        <x:v>No</x:v>
      </x:c>
      <x:c r="H2138" s="117" t="str">
        <x:v>Workflow</x:v>
      </x:c>
      <x:c r="I2138" s="118" t="n">
        <x:v>49</x:v>
      </x:c>
      <x:c r="J2138" s="117" t="str">
        <x:v>unmanaged</x:v>
      </x:c>
      <x:c r="K2138" s="123" t="b">
        <x:v>0</x:v>
      </x:c>
      <x:c r="L2138" s="117"/>
      <x:c r="M2138" s="118"/>
      <x:c r="N2138" s="120" t="n">
        <x:v>44806.633935185186</x:v>
      </x:c>
      <x:c r="O2138" s="117" t="str">
        <x:v>Delegate</x:v>
      </x:c>
      <x:c r="P2138" s="120" t="n">
        <x:v>44806.63408564815</x:v>
      </x:c>
      <x:c r="Q2138" s="117" t="str">
        <x:v>Delegate</x:v>
      </x:c>
      <x:c r="R2138" s="117" t="str">
        <x:v>PB: Opportunity</x:v>
      </x:c>
      <x:c r="S2138" s="119" t="str">
        <x:v>Contains all the processes for the Opportunity Object</x:v>
      </x:c>
    </x:row>
    <x:row r="2139" ht="30" customHeight="1">
      <x:c r="A2139" s="117" t="str">
        <x:v>Opportunity_Update_Processes</x:v>
      </x:c>
      <x:c r="B2139" s="117" t="str">
        <x:v>3004O000000LOvyQAG</x:v>
      </x:c>
      <x:c r="C2139" s="117" t="str">
        <x:v>3015b000000ELUXAA4</x:v>
      </x:c>
      <x:c r="D2139" s="118" t="n">
        <x:v>56</x:v>
      </x:c>
      <x:c r="E2139" s="117" t="str">
        <x:v>Obsolete</x:v>
      </x:c>
      <x:c r="F2139" s="117" t="str">
        <x:v>No</x:v>
      </x:c>
      <x:c r="G2139" s="117" t="str">
        <x:v>No</x:v>
      </x:c>
      <x:c r="H2139" s="117" t="str">
        <x:v>Workflow</x:v>
      </x:c>
      <x:c r="I2139" s="118" t="n">
        <x:v>49</x:v>
      </x:c>
      <x:c r="J2139" s="117" t="str">
        <x:v>unmanaged</x:v>
      </x:c>
      <x:c r="K2139" s="123" t="b">
        <x:v>0</x:v>
      </x:c>
      <x:c r="L2139" s="117"/>
      <x:c r="M2139" s="118"/>
      <x:c r="N2139" s="120" t="n">
        <x:v>44806.638136574074</x:v>
      </x:c>
      <x:c r="O2139" s="117" t="str">
        <x:v>Delegate</x:v>
      </x:c>
      <x:c r="P2139" s="120" t="n">
        <x:v>45007.64564814815</x:v>
      </x:c>
      <x:c r="Q2139" s="117" t="str">
        <x:v>Delegate</x:v>
      </x:c>
      <x:c r="R2139" s="117" t="str">
        <x:v>PB: Opportunity</x:v>
      </x:c>
      <x:c r="S2139" s="119" t="str">
        <x:v>Contains all the processes for the Opportunity Object</x:v>
      </x:c>
    </x:row>
    <x:row r="2140" ht="30" customHeight="1">
      <x:c r="A2140" s="117" t="str">
        <x:v>Opportunity_Update_Processes</x:v>
      </x:c>
      <x:c r="B2140" s="117" t="str">
        <x:v>3004O000000LOvyQAG</x:v>
      </x:c>
      <x:c r="C2140" s="117" t="str">
        <x:v>3015b000000W1EsAAK</x:v>
      </x:c>
      <x:c r="D2140" s="118" t="n">
        <x:v>59</x:v>
      </x:c>
      <x:c r="E2140" s="117" t="str">
        <x:v>Obsolete</x:v>
      </x:c>
      <x:c r="F2140" s="117" t="str">
        <x:v>No</x:v>
      </x:c>
      <x:c r="G2140" s="117" t="str">
        <x:v>No</x:v>
      </x:c>
      <x:c r="H2140" s="117" t="str">
        <x:v>Workflow</x:v>
      </x:c>
      <x:c r="I2140" s="118" t="n">
        <x:v>49</x:v>
      </x:c>
      <x:c r="J2140" s="117" t="str">
        <x:v>unmanaged</x:v>
      </x:c>
      <x:c r="K2140" s="123" t="b">
        <x:v>0</x:v>
      </x:c>
      <x:c r="L2140" s="117"/>
      <x:c r="M2140" s="118"/>
      <x:c r="N2140" s="120" t="n">
        <x:v>45016.97424768518</x:v>
      </x:c>
      <x:c r="O2140" s="117" t="str">
        <x:v>Delegate</x:v>
      </x:c>
      <x:c r="P2140" s="120" t="n">
        <x:v>45080.56046296296</x:v>
      </x:c>
      <x:c r="Q2140" s="117" t="str">
        <x:v>Jace Gentil</x:v>
      </x:c>
      <x:c r="R2140" s="117" t="str">
        <x:v>PB: Opportunity</x:v>
      </x:c>
      <x:c r="S2140" s="119" t="str">
        <x:v>Contains all the processes for the Opportunity Object</x:v>
      </x:c>
    </x:row>
    <x:row r="2141" ht="30" customHeight="1">
      <x:c r="A2141" s="117" t="str">
        <x:v>Opportunity_Update_Processes</x:v>
      </x:c>
      <x:c r="B2141" s="117" t="str">
        <x:v>3004O000000LOvyQAG</x:v>
      </x:c>
      <x:c r="C2141" s="117" t="str">
        <x:v>3015b000000AOAQAA4</x:v>
      </x:c>
      <x:c r="D2141" s="118" t="n">
        <x:v>60</x:v>
      </x:c>
      <x:c r="E2141" s="117" t="str">
        <x:v>Obsolete</x:v>
      </x:c>
      <x:c r="F2141" s="117" t="str">
        <x:v>No</x:v>
      </x:c>
      <x:c r="G2141" s="117" t="str">
        <x:v>No</x:v>
      </x:c>
      <x:c r="H2141" s="117" t="str">
        <x:v>Workflow</x:v>
      </x:c>
      <x:c r="I2141" s="118" t="n">
        <x:v>49</x:v>
      </x:c>
      <x:c r="J2141" s="117" t="str">
        <x:v>unmanaged</x:v>
      </x:c>
      <x:c r="K2141" s="123" t="b">
        <x:v>0</x:v>
      </x:c>
      <x:c r="L2141" s="117"/>
      <x:c r="M2141" s="118"/>
      <x:c r="N2141" s="120" t="n">
        <x:v>45124.64847222222</x:v>
      </x:c>
      <x:c r="O2141" s="117" t="str">
        <x:v>Natalie Boger</x:v>
      </x:c>
      <x:c r="P2141" s="120" t="n">
        <x:v>45124.64864583333</x:v>
      </x:c>
      <x:c r="Q2141" s="117" t="str">
        <x:v>Natalie Boger</x:v>
      </x:c>
      <x:c r="R2141" s="117" t="str">
        <x:v>PB: Opportunity</x:v>
      </x:c>
      <x:c r="S2141" s="119" t="str">
        <x:v>Contains all the processes for the Opportunity Object</x:v>
      </x:c>
    </x:row>
    <x:row r="2142" ht="30" customHeight="1">
      <x:c r="A2142" s="117" t="str">
        <x:v>Opportunity_Update_Processes</x:v>
      </x:c>
      <x:c r="B2142" s="117" t="str">
        <x:v>3004O000000LOvyQAG</x:v>
      </x:c>
      <x:c r="C2142" s="117" t="str">
        <x:v>3015b000000AOAVAA4</x:v>
      </x:c>
      <x:c r="D2142" s="118" t="n">
        <x:v>61</x:v>
      </x:c>
      <x:c r="E2142" s="117" t="str">
        <x:v>Obsolete</x:v>
      </x:c>
      <x:c r="F2142" s="117" t="str">
        <x:v>No</x:v>
      </x:c>
      <x:c r="G2142" s="117" t="str">
        <x:v>No</x:v>
      </x:c>
      <x:c r="H2142" s="117" t="str">
        <x:v>Workflow</x:v>
      </x:c>
      <x:c r="I2142" s="118" t="n">
        <x:v>49</x:v>
      </x:c>
      <x:c r="J2142" s="117" t="str">
        <x:v>unmanaged</x:v>
      </x:c>
      <x:c r="K2142" s="123" t="b">
        <x:v>0</x:v>
      </x:c>
      <x:c r="L2142" s="117"/>
      <x:c r="M2142" s="118"/>
      <x:c r="N2142" s="120" t="n">
        <x:v>45124.649502314816</x:v>
      </x:c>
      <x:c r="O2142" s="117" t="str">
        <x:v>Natalie Boger</x:v>
      </x:c>
      <x:c r="P2142" s="120" t="n">
        <x:v>45440.575474537036</x:v>
      </x:c>
      <x:c r="Q2142" s="117" t="str">
        <x:v>Delegate</x:v>
      </x:c>
      <x:c r="R2142" s="117" t="str">
        <x:v>PB: Opportunity</x:v>
      </x:c>
      <x:c r="S2142" s="119" t="str">
        <x:v>Contains all the processes for the Opportunity Object</x:v>
      </x:c>
    </x:row>
    <x:row r="2143" ht="30" customHeight="1">
      <x:c r="A2143" s="117" t="str">
        <x:v>Opportunity_Update_Processes</x:v>
      </x:c>
      <x:c r="B2143" s="117" t="str">
        <x:v>3004O000000LOvyQAG</x:v>
      </x:c>
      <x:c r="C2143" s="117" t="str">
        <x:v>301Ro00000Avxf8IAB</x:v>
      </x:c>
      <x:c r="D2143" s="118" t="n">
        <x:v>62</x:v>
      </x:c>
      <x:c r="E2143" s="117" t="str">
        <x:v>Obsolete</x:v>
      </x:c>
      <x:c r="F2143" s="117" t="str">
        <x:v>No</x:v>
      </x:c>
      <x:c r="G2143" s="117" t="str">
        <x:v>No</x:v>
      </x:c>
      <x:c r="H2143" s="117" t="str">
        <x:v>Workflow</x:v>
      </x:c>
      <x:c r="I2143" s="118" t="n">
        <x:v>49</x:v>
      </x:c>
      <x:c r="J2143" s="117" t="str">
        <x:v>unmanaged</x:v>
      </x:c>
      <x:c r="K2143" s="123" t="b">
        <x:v>0</x:v>
      </x:c>
      <x:c r="L2143" s="117"/>
      <x:c r="M2143" s="118"/>
      <x:c r="N2143" s="120" t="n">
        <x:v>45396.9233912037</x:v>
      </x:c>
      <x:c r="O2143" s="117" t="str">
        <x:v>Delegate</x:v>
      </x:c>
      <x:c r="P2143" s="120" t="n">
        <x:v>45396.92350694445</x:v>
      </x:c>
      <x:c r="Q2143" s="117" t="str">
        <x:v>Delegate</x:v>
      </x:c>
      <x:c r="R2143" s="117" t="str">
        <x:v>PB: Opportunity</x:v>
      </x:c>
      <x:c r="S2143" s="119" t="str">
        <x:v>Contains all the processes for the Opportunity Object</x:v>
      </x:c>
    </x:row>
    <x:row r="2144" ht="30" customHeight="1">
      <x:c r="A2144" s="117" t="str">
        <x:v>Opportunity_Update_Processes</x:v>
      </x:c>
      <x:c r="B2144" s="117" t="str">
        <x:v>3004O000000LOvyQAG</x:v>
      </x:c>
      <x:c r="C2144" s="117" t="str">
        <x:v>301Ro00000IUbSrIAL</x:v>
      </x:c>
      <x:c r="D2144" s="118" t="n">
        <x:v>63</x:v>
      </x:c>
      <x:c r="E2144" s="117" t="str">
        <x:v>Obsolete</x:v>
      </x:c>
      <x:c r="F2144" s="117" t="str">
        <x:v>No</x:v>
      </x:c>
      <x:c r="G2144" s="117" t="str">
        <x:v>No</x:v>
      </x:c>
      <x:c r="H2144" s="117" t="str">
        <x:v>Workflow</x:v>
      </x:c>
      <x:c r="I2144" s="118" t="n">
        <x:v>49</x:v>
      </x:c>
      <x:c r="J2144" s="117" t="str">
        <x:v>unmanaged</x:v>
      </x:c>
      <x:c r="K2144" s="123" t="b">
        <x:v>0</x:v>
      </x:c>
      <x:c r="L2144" s="117"/>
      <x:c r="M2144" s="118"/>
      <x:c r="N2144" s="120" t="n">
        <x:v>45510.660949074074</x:v>
      </x:c>
      <x:c r="O2144" s="117" t="str">
        <x:v>Delegate</x:v>
      </x:c>
      <x:c r="P2144" s="120" t="n">
        <x:v>45618.044074074074</x:v>
      </x:c>
      <x:c r="Q2144" s="117" t="str">
        <x:v>Delegate</x:v>
      </x:c>
      <x:c r="R2144" s="117" t="str">
        <x:v>PB: Opportunity</x:v>
      </x:c>
      <x:c r="S2144" s="119" t="str">
        <x:v>Contains all the processes for the Opportunity Object</x:v>
      </x:c>
    </x:row>
    <x:row r="2145" ht="30" customHeight="1">
      <x:c r="A2145" s="117" t="str">
        <x:v>Opportunity_Update_Processes</x:v>
      </x:c>
      <x:c r="B2145" s="117" t="str">
        <x:v>3004O000000LOvyQAG</x:v>
      </x:c>
      <x:c r="C2145" s="117" t="str">
        <x:v>301Ro00000QUbCzIAL</x:v>
      </x:c>
      <x:c r="D2145" s="118" t="n">
        <x:v>64</x:v>
      </x:c>
      <x:c r="E2145" s="117" t="str">
        <x:v>Obsolete</x:v>
      </x:c>
      <x:c r="F2145" s="117" t="str">
        <x:v>No</x:v>
      </x:c>
      <x:c r="G2145" s="117" t="str">
        <x:v>No</x:v>
      </x:c>
      <x:c r="H2145" s="117" t="str">
        <x:v>Workflow</x:v>
      </x:c>
      <x:c r="I2145" s="118" t="n">
        <x:v>49</x:v>
      </x:c>
      <x:c r="J2145" s="117" t="str">
        <x:v>unmanaged</x:v>
      </x:c>
      <x:c r="K2145" s="123" t="b">
        <x:v>0</x:v>
      </x:c>
      <x:c r="L2145" s="117"/>
      <x:c r="M2145" s="118"/>
      <x:c r="N2145" s="120" t="n">
        <x:v>45639.85497685185</x:v>
      </x:c>
      <x:c r="O2145" s="117" t="str">
        <x:v>Delegate</x:v>
      </x:c>
      <x:c r="P2145" s="120" t="n">
        <x:v>45639.85524305556</x:v>
      </x:c>
      <x:c r="Q2145" s="117" t="str">
        <x:v>Delegate</x:v>
      </x:c>
      <x:c r="R2145" s="117" t="str">
        <x:v>PB: Opportunity</x:v>
      </x:c>
      <x:c r="S2145" s="119" t="str">
        <x:v>Contains all the processes for the Opportunity Object</x:v>
      </x:c>
    </x:row>
    <x:row r="2146" ht="30" customHeight="1">
      <x:c r="A2146" s="117" t="str">
        <x:v>Opportunity_Update_Processes</x:v>
      </x:c>
      <x:c r="B2146" s="117" t="str">
        <x:v>3004O000000LOvyQAG</x:v>
      </x:c>
      <x:c r="C2146" s="117" t="str">
        <x:v>301Ro00000mq8ibIAA</x:v>
      </x:c>
      <x:c r="D2146" s="118" t="n">
        <x:v>65</x:v>
      </x:c>
      <x:c r="E2146" s="117" t="str">
        <x:v>Obsolete</x:v>
      </x:c>
      <x:c r="F2146" s="117" t="str">
        <x:v>No</x:v>
      </x:c>
      <x:c r="G2146" s="117" t="str">
        <x:v>No</x:v>
      </x:c>
      <x:c r="H2146" s="117" t="str">
        <x:v>Workflow</x:v>
      </x:c>
      <x:c r="I2146" s="118" t="n">
        <x:v>49</x:v>
      </x:c>
      <x:c r="J2146" s="117" t="str">
        <x:v>unmanaged</x:v>
      </x:c>
      <x:c r="K2146" s="123" t="b">
        <x:v>0</x:v>
      </x:c>
      <x:c r="L2146" s="117"/>
      <x:c r="M2146" s="118"/>
      <x:c r="N2146" s="120" t="n">
        <x:v>45922.5831712963</x:v>
      </x:c>
      <x:c r="O2146" s="117" t="str">
        <x:v>Bill Hagarty</x:v>
      </x:c>
      <x:c r="P2146" s="120" t="n">
        <x:v>46042.664768518516</x:v>
      </x:c>
      <x:c r="Q2146" s="117" t="str">
        <x:v>Steve Dodd</x:v>
      </x:c>
      <x:c r="R2146" s="117" t="str">
        <x:v>PB: Opportunity</x:v>
      </x:c>
      <x:c r="S2146" s="119" t="str">
        <x:v>Contains all the processes for the Opportunity Object</x:v>
      </x:c>
    </x:row>
    <x:row r="2147" ht="30" customHeight="1">
      <x:c r="A2147" s="117" t="str">
        <x:v>Opportunity_Update_Processes</x:v>
      </x:c>
      <x:c r="B2147" s="117" t="str">
        <x:v>3004O000000LOvyQAG</x:v>
      </x:c>
      <x:c r="C2147" s="117" t="str">
        <x:v>301Ro000013Kob7IAC</x:v>
      </x:c>
      <x:c r="D2147" s="118" t="n">
        <x:v>66</x:v>
      </x:c>
      <x:c r="E2147" s="117" t="str">
        <x:v>Active</x:v>
      </x:c>
      <x:c r="F2147" s="117" t="str">
        <x:v>Yes</x:v>
      </x:c>
      <x:c r="G2147" s="117" t="str">
        <x:v>Yes</x:v>
      </x:c>
      <x:c r="H2147" s="117" t="str">
        <x:v>Workflow</x:v>
      </x:c>
      <x:c r="I2147" s="118" t="n">
        <x:v>49</x:v>
      </x:c>
      <x:c r="J2147" s="117" t="str">
        <x:v>unmanaged</x:v>
      </x:c>
      <x:c r="K2147" s="123" t="b">
        <x:v>0</x:v>
      </x:c>
      <x:c r="L2147" s="117"/>
      <x:c r="M2147" s="118"/>
      <x:c r="N2147" s="120" t="n">
        <x:v>46128.52957175926</x:v>
      </x:c>
      <x:c r="O2147" s="117" t="str">
        <x:v>Delegate</x:v>
      </x:c>
      <x:c r="P2147" s="120" t="n">
        <x:v>46128.529710648145</x:v>
      </x:c>
      <x:c r="Q2147" s="117" t="str">
        <x:v>Delegate</x:v>
      </x:c>
      <x:c r="R2147" s="117" t="str">
        <x:v>PB: Opportunity</x:v>
      </x:c>
      <x:c r="S2147" s="119" t="str">
        <x:v>Adding a chatter post to the owner of the work order that it's been pre-paid</x:v>
      </x:c>
    </x:row>
    <x:row r="2148" ht="30" customHeight="1">
      <x:c r="A2148" s="117" t="str">
        <x:v>OpportunityLineItem_Async_on_create_Update_Avg_Inventory_Life_on_Opportunity</x:v>
      </x:c>
      <x:c r="B2148" s="117" t="str">
        <x:v>300Ro00000xXpjKIAS</x:v>
      </x:c>
      <x:c r="C2148" s="117" t="str">
        <x:v>301Ro000015lRfiIAE</x:v>
      </x:c>
      <x:c r="D2148" s="118" t="n">
        <x:v>1</x:v>
      </x:c>
      <x:c r="E2148" s="117" t="str">
        <x:v>Active</x:v>
      </x:c>
      <x:c r="F2148" s="117" t="str">
        <x:v>Yes</x:v>
      </x:c>
      <x:c r="G2148" s="117" t="str">
        <x:v>Yes</x:v>
      </x:c>
      <x:c r="H2148" s="117" t="str">
        <x:v>AutoLaunchedFlow</x:v>
      </x:c>
      <x:c r="I2148" s="118" t="n">
        <x:v>65</x:v>
      </x:c>
      <x:c r="J2148" s="117" t="str">
        <x:v>unmanaged</x:v>
      </x:c>
      <x:c r="K2148" s="123" t="b">
        <x:v>0</x:v>
      </x:c>
      <x:c r="L2148" s="117"/>
      <x:c r="M2148" s="118"/>
      <x:c r="N2148" s="120" t="n">
        <x:v>46157.586493055554</x:v>
      </x:c>
      <x:c r="O2148" s="117" t="str">
        <x:v>Delegate</x:v>
      </x:c>
      <x:c r="P2148" s="120" t="n">
        <x:v>46157.59815972222</x:v>
      </x:c>
      <x:c r="Q2148" s="117" t="str">
        <x:v>Delegate</x:v>
      </x:c>
      <x:c r="R2148" s="117" t="str">
        <x:v>OpportunityLineItem | Async, on create, Update Avg Inventory Life on Opportunity</x:v>
      </x:c>
      <x:c r="S2148" s="119" t="str">
        <x:v>05/15/26 (BW) – Async replacement for DLRS Avg_Inventory_Life_Opp_Product rollup (create path). Averages Avg_Inventory_Life__c across all OpportunityLineItems on the related Opportunity and writes the result to Working_Capital_Usage_Days_Generic_Pur__c.</x:v>
      </x:c>
    </x:row>
    <x:row r="2149" ht="30" customHeight="1">
      <x:c r="A2149" s="117" t="str">
        <x:v>OpportunityLineItem_Async_on_update_Update_Avg_Inventory_Life_on_Opportunity</x:v>
      </x:c>
      <x:c r="B2149" s="117" t="str">
        <x:v>300Ro00000xXpjLIAS</x:v>
      </x:c>
      <x:c r="C2149" s="117" t="str">
        <x:v>301Ro000015leJaIAI</x:v>
      </x:c>
      <x:c r="D2149" s="118" t="n">
        <x:v>1</x:v>
      </x:c>
      <x:c r="E2149" s="117" t="str">
        <x:v>Active</x:v>
      </x:c>
      <x:c r="F2149" s="117" t="str">
        <x:v>Yes</x:v>
      </x:c>
      <x:c r="G2149" s="117" t="str">
        <x:v>Yes</x:v>
      </x:c>
      <x:c r="H2149" s="117" t="str">
        <x:v>AutoLaunchedFlow</x:v>
      </x:c>
      <x:c r="I2149" s="118" t="n">
        <x:v>65</x:v>
      </x:c>
      <x:c r="J2149" s="117" t="str">
        <x:v>unmanaged</x:v>
      </x:c>
      <x:c r="K2149" s="123" t="b">
        <x:v>0</x:v>
      </x:c>
      <x:c r="L2149" s="117"/>
      <x:c r="M2149" s="118"/>
      <x:c r="N2149" s="120" t="n">
        <x:v>46157.59402777778</x:v>
      </x:c>
      <x:c r="O2149" s="117" t="str">
        <x:v>Delegate</x:v>
      </x:c>
      <x:c r="P2149" s="120" t="n">
        <x:v>46157.59813657407</x:v>
      </x:c>
      <x:c r="Q2149" s="117" t="str">
        <x:v>Delegate</x:v>
      </x:c>
      <x:c r="R2149" s="117" t="str">
        <x:v>OpportunityLineItem | Async, on update, Update Avg Inventory Life on Opportunity</x:v>
      </x:c>
      <x:c r="S2149" s="119" t="str">
        <x:v>05/15/26 (BW) – Async replacement for DLRS Avg_Inventory_Life_Opp_Product rollup (update path). Fires when OpportunityId or Avg_Inventory_Life__c changes. Immediate path recalculates the prior Opportunity when the lookup changes; async path recalculates the current Opportunity.</x:v>
      </x:c>
    </x:row>
    <x:row r="2150" ht="30" customHeight="1">
      <x:c r="A2150" s="117" t="str">
        <x:v>OpportunityLineItem_Before_delete_Update_Avg_Inventory_Life_on_Opportunity</x:v>
      </x:c>
      <x:c r="B2150" s="117" t="str">
        <x:v>300Ro00000xXpjMIAS</x:v>
      </x:c>
      <x:c r="C2150" s="117" t="str">
        <x:v>301Ro000015leJbIAI</x:v>
      </x:c>
      <x:c r="D2150" s="118" t="n">
        <x:v>1</x:v>
      </x:c>
      <x:c r="E2150" s="117" t="str">
        <x:v>Active</x:v>
      </x:c>
      <x:c r="F2150" s="117" t="str">
        <x:v>Yes</x:v>
      </x:c>
      <x:c r="G2150" s="117" t="str">
        <x:v>Yes</x:v>
      </x:c>
      <x:c r="H2150" s="117" t="str">
        <x:v>AutoLaunchedFlow</x:v>
      </x:c>
      <x:c r="I2150" s="118" t="n">
        <x:v>65</x:v>
      </x:c>
      <x:c r="J2150" s="117" t="str">
        <x:v>unmanaged</x:v>
      </x:c>
      <x:c r="K2150" s="123" t="b">
        <x:v>0</x:v>
      </x:c>
      <x:c r="L2150" s="117"/>
      <x:c r="M2150" s="118"/>
      <x:c r="N2150" s="120" t="n">
        <x:v>46157.59408564815</x:v>
      </x:c>
      <x:c r="O2150" s="117" t="str">
        <x:v>Delegate</x:v>
      </x:c>
      <x:c r="P2150" s="120" t="n">
        <x:v>46157.59811342593</x:v>
      </x:c>
      <x:c r="Q2150" s="117" t="str">
        <x:v>Delegate</x:v>
      </x:c>
      <x:c r="R2150" s="117" t="str">
        <x:v>OpportunityLineItem | Before delete, Update Avg Inventory Life on Opportunity</x:v>
      </x:c>
      <x:c r="S2150" s="119" t="str">
        <x:v>05/15/26 (BW) – Replacement for DLRS Avg_Inventory_Life_Opp_Product rollup (delete path). Runs synchronously before delete; excludes the being-deleted OpportunityLineItem from the re-query so the average on the Opportunity is correct after deletion.</x:v>
      </x:c>
    </x:row>
    <x:row r="2151" ht="30" customHeight="1">
      <x:c r="A2151" s="117" t="str">
        <x:v>Original_Time_Warranty_Loaner_Action_Approved_Update</x:v>
      </x:c>
      <x:c r="B2151" s="117" t="str">
        <x:v>3005b000000LHYwAAO</x:v>
      </x:c>
      <x:c r="C2151" s="117" t="str">
        <x:v>3015b000000ADUtAAO</x:v>
      </x:c>
      <x:c r="D2151" s="118" t="n">
        <x:v>1</x:v>
      </x:c>
      <x:c r="E2151" s="117" t="str">
        <x:v>Obsolete</x:v>
      </x:c>
      <x:c r="F2151" s="117" t="str">
        <x:v>No</x:v>
      </x:c>
      <x:c r="G2151" s="117" t="str">
        <x:v>No</x:v>
      </x:c>
      <x:c r="H2151" s="117" t="str">
        <x:v>AutoLaunchedFlow</x:v>
      </x:c>
      <x:c r="I2151" s="118" t="n">
        <x:v>56</x:v>
      </x:c>
      <x:c r="J2151" s="117" t="str">
        <x:v>unmanaged</x:v>
      </x:c>
      <x:c r="K2151" s="123" t="b">
        <x:v>0</x:v>
      </x:c>
      <x:c r="L2151" s="117"/>
      <x:c r="M2151" s="118"/>
      <x:c r="N2151" s="120" t="n">
        <x:v>44931.82861111111</x:v>
      </x:c>
      <x:c r="O2151" s="117" t="str">
        <x:v>Jace Gentil</x:v>
      </x:c>
      <x:c r="P2151" s="120" t="n">
        <x:v>44931.828738425924</x:v>
      </x:c>
      <x:c r="Q2151" s="117" t="str">
        <x:v>Jace Gentil</x:v>
      </x:c>
      <x:c r="R2151" s="117" t="str">
        <x:v>Original Time Warranty/Loaner Action Approved Update</x:v>
      </x:c>
      <x:c r="S2151" s="119"/>
    </x:row>
    <x:row r="2152" ht="30" customHeight="1">
      <x:c r="A2152" s="117" t="str">
        <x:v>Original_Time_Warranty_Loaner_Action_Approved_Update</x:v>
      </x:c>
      <x:c r="B2152" s="117" t="str">
        <x:v>3005b000000LHYwAAO</x:v>
      </x:c>
      <x:c r="C2152" s="117" t="str">
        <x:v>3015b000000W0K6AAK</x:v>
      </x:c>
      <x:c r="D2152" s="118" t="n">
        <x:v>2</x:v>
      </x:c>
      <x:c r="E2152" s="117" t="str">
        <x:v>Obsolete</x:v>
      </x:c>
      <x:c r="F2152" s="117" t="str">
        <x:v>No</x:v>
      </x:c>
      <x:c r="G2152" s="117" t="str">
        <x:v>No</x:v>
      </x:c>
      <x:c r="H2152" s="117" t="str">
        <x:v>AutoLaunchedFlow</x:v>
      </x:c>
      <x:c r="I2152" s="118" t="n">
        <x:v>56</x:v>
      </x:c>
      <x:c r="J2152" s="117" t="str">
        <x:v>unmanaged</x:v>
      </x:c>
      <x:c r="K2152" s="123" t="b">
        <x:v>0</x:v>
      </x:c>
      <x:c r="L2152" s="117"/>
      <x:c r="M2152" s="118"/>
      <x:c r="N2152" s="120" t="n">
        <x:v>44994.66737268519</x:v>
      </x:c>
      <x:c r="O2152" s="117" t="str">
        <x:v>Jace Gentil</x:v>
      </x:c>
      <x:c r="P2152" s="120" t="n">
        <x:v>44994.66741898148</x:v>
      </x:c>
      <x:c r="Q2152" s="117" t="str">
        <x:v>Jace Gentil</x:v>
      </x:c>
      <x:c r="R2152" s="117" t="str">
        <x:v>Original Time Warranty/Loaner Action Approved Update</x:v>
      </x:c>
      <x:c r="S2152" s="119"/>
    </x:row>
    <x:row r="2153" ht="30" customHeight="1">
      <x:c r="A2153" s="117" t="str">
        <x:v>Original_Time_Warranty_Loaner_Action_Approved_Update</x:v>
      </x:c>
      <x:c r="B2153" s="117" t="str">
        <x:v>3005b000000LHYwAAO</x:v>
      </x:c>
      <x:c r="C2153" s="117" t="str">
        <x:v>3015b000000W0M2AAK</x:v>
      </x:c>
      <x:c r="D2153" s="118" t="n">
        <x:v>3</x:v>
      </x:c>
      <x:c r="E2153" s="117" t="str">
        <x:v>Draft</x:v>
      </x:c>
      <x:c r="F2153" s="117" t="str">
        <x:v>No</x:v>
      </x:c>
      <x:c r="G2153" s="117" t="str">
        <x:v>No</x:v>
      </x:c>
      <x:c r="H2153" s="117" t="str">
        <x:v>AutoLaunchedFlow</x:v>
      </x:c>
      <x:c r="I2153" s="118" t="n">
        <x:v>56</x:v>
      </x:c>
      <x:c r="J2153" s="117" t="str">
        <x:v>unmanaged</x:v>
      </x:c>
      <x:c r="K2153" s="123" t="b">
        <x:v>0</x:v>
      </x:c>
      <x:c r="L2153" s="117"/>
      <x:c r="M2153" s="118"/>
      <x:c r="N2153" s="120" t="n">
        <x:v>44995.19913194444</x:v>
      </x:c>
      <x:c r="O2153" s="117" t="str">
        <x:v>Jace Gentil</x:v>
      </x:c>
      <x:c r="P2153" s="120" t="n">
        <x:v>44995.199155092596</x:v>
      </x:c>
      <x:c r="Q2153" s="117" t="str">
        <x:v>Jace Gentil</x:v>
      </x:c>
      <x:c r="R2153" s="117" t="str">
        <x:v>Original Time Warranty/Loaner Action Approved Update</x:v>
      </x:c>
      <x:c r="S2153" s="119"/>
    </x:row>
    <x:row r="2154" ht="30" customHeight="1">
      <x:c r="A2154" s="117" t="str">
        <x:v>Original_Time_Warranty_Loaner_Action_Approved_Update</x:v>
      </x:c>
      <x:c r="B2154" s="117" t="str">
        <x:v>3005b000000LHYwAAO</x:v>
      </x:c>
      <x:c r="C2154" s="117" t="str">
        <x:v>3015b000000W0M7AAK</x:v>
      </x:c>
      <x:c r="D2154" s="118" t="n">
        <x:v>4</x:v>
      </x:c>
      <x:c r="E2154" s="117" t="str">
        <x:v>Obsolete</x:v>
      </x:c>
      <x:c r="F2154" s="117" t="str">
        <x:v>No</x:v>
      </x:c>
      <x:c r="G2154" s="117" t="str">
        <x:v>No</x:v>
      </x:c>
      <x:c r="H2154" s="117" t="str">
        <x:v>AutoLaunchedFlow</x:v>
      </x:c>
      <x:c r="I2154" s="118" t="n">
        <x:v>56</x:v>
      </x:c>
      <x:c r="J2154" s="117" t="str">
        <x:v>unmanaged</x:v>
      </x:c>
      <x:c r="K2154" s="123" t="b">
        <x:v>0</x:v>
      </x:c>
      <x:c r="L2154" s="117"/>
      <x:c r="M2154" s="118"/>
      <x:c r="N2154" s="120" t="n">
        <x:v>44995.201145833336</x:v>
      </x:c>
      <x:c r="O2154" s="117" t="str">
        <x:v>Jace Gentil</x:v>
      </x:c>
      <x:c r="P2154" s="120" t="n">
        <x:v>44995.75114583333</x:v>
      </x:c>
      <x:c r="Q2154" s="117" t="str">
        <x:v>Jace Gentil</x:v>
      </x:c>
      <x:c r="R2154" s="117" t="str">
        <x:v>Original Time Warranty/Loaner Action Approved Update</x:v>
      </x:c>
      <x:c r="S2154" s="119"/>
    </x:row>
    <x:row r="2155" ht="30" customHeight="1">
      <x:c r="A2155" s="117" t="str">
        <x:v>Original_Time_Warranty_Loaner_Action_Approved_Update</x:v>
      </x:c>
      <x:c r="B2155" s="117" t="str">
        <x:v>3005b000000LHYwAAO</x:v>
      </x:c>
      <x:c r="C2155" s="117" t="str">
        <x:v>3015b000000W0O8AAK</x:v>
      </x:c>
      <x:c r="D2155" s="118" t="n">
        <x:v>5</x:v>
      </x:c>
      <x:c r="E2155" s="117" t="str">
        <x:v>Obsolete</x:v>
      </x:c>
      <x:c r="F2155" s="117" t="str">
        <x:v>No</x:v>
      </x:c>
      <x:c r="G2155" s="117" t="str">
        <x:v>No</x:v>
      </x:c>
      <x:c r="H2155" s="117" t="str">
        <x:v>AutoLaunchedFlow</x:v>
      </x:c>
      <x:c r="I2155" s="118" t="n">
        <x:v>56</x:v>
      </x:c>
      <x:c r="J2155" s="117" t="str">
        <x:v>unmanaged</x:v>
      </x:c>
      <x:c r="K2155" s="123" t="b">
        <x:v>0</x:v>
      </x:c>
      <x:c r="L2155" s="117"/>
      <x:c r="M2155" s="118"/>
      <x:c r="N2155" s="120" t="n">
        <x:v>44995.753275462965</x:v>
      </x:c>
      <x:c r="O2155" s="117" t="str">
        <x:v>Jace Gentil</x:v>
      </x:c>
      <x:c r="P2155" s="120" t="n">
        <x:v>44995.75331018519</x:v>
      </x:c>
      <x:c r="Q2155" s="117" t="str">
        <x:v>Jace Gentil</x:v>
      </x:c>
      <x:c r="R2155" s="117" t="str">
        <x:v>Original Time Warranty/Loaner Action Approved Update</x:v>
      </x:c>
      <x:c r="S2155" s="119"/>
    </x:row>
    <x:row r="2156" ht="30" customHeight="1">
      <x:c r="A2156" s="117" t="str">
        <x:v>Original_Time_Warranty_Loaner_Action_Approved_Update</x:v>
      </x:c>
      <x:c r="B2156" s="117" t="str">
        <x:v>3005b000000LHYwAAO</x:v>
      </x:c>
      <x:c r="C2156" s="117" t="str">
        <x:v>3015b000000W0ODAA0</x:v>
      </x:c>
      <x:c r="D2156" s="118" t="n">
        <x:v>6</x:v>
      </x:c>
      <x:c r="E2156" s="117" t="str">
        <x:v>Obsolete</x:v>
      </x:c>
      <x:c r="F2156" s="117" t="str">
        <x:v>No</x:v>
      </x:c>
      <x:c r="G2156" s="117" t="str">
        <x:v>No</x:v>
      </x:c>
      <x:c r="H2156" s="117" t="str">
        <x:v>AutoLaunchedFlow</x:v>
      </x:c>
      <x:c r="I2156" s="118" t="n">
        <x:v>56</x:v>
      </x:c>
      <x:c r="J2156" s="117" t="str">
        <x:v>unmanaged</x:v>
      </x:c>
      <x:c r="K2156" s="123" t="b">
        <x:v>0</x:v>
      </x:c>
      <x:c r="L2156" s="117"/>
      <x:c r="M2156" s="118"/>
      <x:c r="N2156" s="120" t="n">
        <x:v>44995.75560185185</x:v>
      </x:c>
      <x:c r="O2156" s="117" t="str">
        <x:v>Jace Gentil</x:v>
      </x:c>
      <x:c r="P2156" s="120" t="n">
        <x:v>44998.849074074074</x:v>
      </x:c>
      <x:c r="Q2156" s="117" t="str">
        <x:v>Jace Gentil</x:v>
      </x:c>
      <x:c r="R2156" s="117" t="str">
        <x:v>Original Time Warranty/Loaner Action Approved Update</x:v>
      </x:c>
      <x:c r="S2156" s="119"/>
    </x:row>
    <x:row r="2157" ht="30" customHeight="1">
      <x:c r="A2157" s="117" t="str">
        <x:v>Original_Time_Warranty_Loaner_Action_Approved_Update</x:v>
      </x:c>
      <x:c r="B2157" s="117" t="str">
        <x:v>3005b000000LHYwAAO</x:v>
      </x:c>
      <x:c r="C2157" s="117" t="str">
        <x:v>3015b000000W0S0AAK</x:v>
      </x:c>
      <x:c r="D2157" s="118" t="n">
        <x:v>7</x:v>
      </x:c>
      <x:c r="E2157" s="117" t="str">
        <x:v>Obsolete</x:v>
      </x:c>
      <x:c r="F2157" s="117" t="str">
        <x:v>No</x:v>
      </x:c>
      <x:c r="G2157" s="117" t="str">
        <x:v>No</x:v>
      </x:c>
      <x:c r="H2157" s="117" t="str">
        <x:v>AutoLaunchedFlow</x:v>
      </x:c>
      <x:c r="I2157" s="118" t="n">
        <x:v>56</x:v>
      </x:c>
      <x:c r="J2157" s="117" t="str">
        <x:v>unmanaged</x:v>
      </x:c>
      <x:c r="K2157" s="123" t="b">
        <x:v>0</x:v>
      </x:c>
      <x:c r="L2157" s="117"/>
      <x:c r="M2157" s="118"/>
      <x:c r="N2157" s="120" t="n">
        <x:v>44998.84951388889</x:v>
      </x:c>
      <x:c r="O2157" s="117" t="str">
        <x:v>Jace Gentil</x:v>
      </x:c>
      <x:c r="P2157" s="120" t="n">
        <x:v>44998.84993055555</x:v>
      </x:c>
      <x:c r="Q2157" s="117" t="str">
        <x:v>Jace Gentil</x:v>
      </x:c>
      <x:c r="R2157" s="117" t="str">
        <x:v>Original Time Warranty/Loaner Action Approved Update</x:v>
      </x:c>
      <x:c r="S2157" s="119"/>
    </x:row>
    <x:row r="2158" ht="30" customHeight="1">
      <x:c r="A2158" s="117" t="str">
        <x:v>Original_Time_Warranty_Loaner_Action_Approved_Update</x:v>
      </x:c>
      <x:c r="B2158" s="117" t="str">
        <x:v>3005b000000LHYwAAO</x:v>
      </x:c>
      <x:c r="C2158" s="117" t="str">
        <x:v>3015b000000W0S5AAK</x:v>
      </x:c>
      <x:c r="D2158" s="118" t="n">
        <x:v>8</x:v>
      </x:c>
      <x:c r="E2158" s="117" t="str">
        <x:v>Obsolete</x:v>
      </x:c>
      <x:c r="F2158" s="117" t="str">
        <x:v>No</x:v>
      </x:c>
      <x:c r="G2158" s="117" t="str">
        <x:v>No</x:v>
      </x:c>
      <x:c r="H2158" s="117" t="str">
        <x:v>AutoLaunchedFlow</x:v>
      </x:c>
      <x:c r="I2158" s="118" t="n">
        <x:v>56</x:v>
      </x:c>
      <x:c r="J2158" s="117" t="str">
        <x:v>unmanaged</x:v>
      </x:c>
      <x:c r="K2158" s="123" t="b">
        <x:v>0</x:v>
      </x:c>
      <x:c r="L2158" s="117"/>
      <x:c r="M2158" s="118"/>
      <x:c r="N2158" s="120" t="n">
        <x:v>44998.85122685185</x:v>
      </x:c>
      <x:c r="O2158" s="117" t="str">
        <x:v>Jace Gentil</x:v>
      </x:c>
      <x:c r="P2158" s="120" t="n">
        <x:v>44998.851273148146</x:v>
      </x:c>
      <x:c r="Q2158" s="117" t="str">
        <x:v>Jace Gentil</x:v>
      </x:c>
      <x:c r="R2158" s="117" t="str">
        <x:v>Original Time Warranty/Loaner Action Approved Update</x:v>
      </x:c>
      <x:c r="S2158" s="119"/>
    </x:row>
    <x:row r="2159" ht="30" customHeight="1">
      <x:c r="A2159" s="117" t="str">
        <x:v>Original_Time_Warranty_Loaner_Action_Approved_Update</x:v>
      </x:c>
      <x:c r="B2159" s="117" t="str">
        <x:v>3005b000000LHYwAAO</x:v>
      </x:c>
      <x:c r="C2159" s="117" t="str">
        <x:v>3015b000000W0SAAA0</x:v>
      </x:c>
      <x:c r="D2159" s="118" t="n">
        <x:v>9</x:v>
      </x:c>
      <x:c r="E2159" s="117" t="str">
        <x:v>Obsolete</x:v>
      </x:c>
      <x:c r="F2159" s="117" t="str">
        <x:v>No</x:v>
      </x:c>
      <x:c r="G2159" s="117" t="str">
        <x:v>No</x:v>
      </x:c>
      <x:c r="H2159" s="117" t="str">
        <x:v>AutoLaunchedFlow</x:v>
      </x:c>
      <x:c r="I2159" s="118" t="n">
        <x:v>56</x:v>
      </x:c>
      <x:c r="J2159" s="117" t="str">
        <x:v>unmanaged</x:v>
      </x:c>
      <x:c r="K2159" s="123" t="b">
        <x:v>0</x:v>
      </x:c>
      <x:c r="L2159" s="117"/>
      <x:c r="M2159" s="118"/>
      <x:c r="N2159" s="120" t="n">
        <x:v>44998.862604166665</x:v>
      </x:c>
      <x:c r="O2159" s="117" t="str">
        <x:v>Jace Gentil</x:v>
      </x:c>
      <x:c r="P2159" s="120" t="n">
        <x:v>44998.862650462965</x:v>
      </x:c>
      <x:c r="Q2159" s="117" t="str">
        <x:v>Jace Gentil</x:v>
      </x:c>
      <x:c r="R2159" s="117" t="str">
        <x:v>Original Time Warranty/Loaner Action Approved Update</x:v>
      </x:c>
      <x:c r="S2159" s="119"/>
    </x:row>
    <x:row r="2160" ht="30" customHeight="1">
      <x:c r="A2160" s="117" t="str">
        <x:v>Original_Time_Warranty_Loaner_Action_Approved_Update</x:v>
      </x:c>
      <x:c r="B2160" s="117" t="str">
        <x:v>3005b000000LHYwAAO</x:v>
      </x:c>
      <x:c r="C2160" s="117" t="str">
        <x:v>3015b000000W0SFAA0</x:v>
      </x:c>
      <x:c r="D2160" s="118" t="n">
        <x:v>10</x:v>
      </x:c>
      <x:c r="E2160" s="117" t="str">
        <x:v>Obsolete</x:v>
      </x:c>
      <x:c r="F2160" s="117" t="str">
        <x:v>No</x:v>
      </x:c>
      <x:c r="G2160" s="117" t="str">
        <x:v>No</x:v>
      </x:c>
      <x:c r="H2160" s="117" t="str">
        <x:v>AutoLaunchedFlow</x:v>
      </x:c>
      <x:c r="I2160" s="118" t="n">
        <x:v>56</x:v>
      </x:c>
      <x:c r="J2160" s="117" t="str">
        <x:v>unmanaged</x:v>
      </x:c>
      <x:c r="K2160" s="123" t="b">
        <x:v>0</x:v>
      </x:c>
      <x:c r="L2160" s="117"/>
      <x:c r="M2160" s="118"/>
      <x:c r="N2160" s="120" t="n">
        <x:v>44998.863657407404</x:v>
      </x:c>
      <x:c r="O2160" s="117" t="str">
        <x:v>Jace Gentil</x:v>
      </x:c>
      <x:c r="P2160" s="120" t="n">
        <x:v>44998.86369212963</x:v>
      </x:c>
      <x:c r="Q2160" s="117" t="str">
        <x:v>Jace Gentil</x:v>
      </x:c>
      <x:c r="R2160" s="117" t="str">
        <x:v>Original Time Warranty/Loaner Action Approved Update</x:v>
      </x:c>
      <x:c r="S2160" s="119"/>
    </x:row>
    <x:row r="2161" ht="30" customHeight="1">
      <x:c r="A2161" s="117" t="str">
        <x:v>Original_Time_Warranty_Loaner_Action_Approved_Update</x:v>
      </x:c>
      <x:c r="B2161" s="117" t="str">
        <x:v>3005b000000LHYwAAO</x:v>
      </x:c>
      <x:c r="C2161" s="117" t="str">
        <x:v>3015b000000W0SKAA0</x:v>
      </x:c>
      <x:c r="D2161" s="118" t="n">
        <x:v>11</x:v>
      </x:c>
      <x:c r="E2161" s="117" t="str">
        <x:v>Obsolete</x:v>
      </x:c>
      <x:c r="F2161" s="117" t="str">
        <x:v>No</x:v>
      </x:c>
      <x:c r="G2161" s="117" t="str">
        <x:v>No</x:v>
      </x:c>
      <x:c r="H2161" s="117" t="str">
        <x:v>AutoLaunchedFlow</x:v>
      </x:c>
      <x:c r="I2161" s="118" t="n">
        <x:v>56</x:v>
      </x:c>
      <x:c r="J2161" s="117" t="str">
        <x:v>unmanaged</x:v>
      </x:c>
      <x:c r="K2161" s="123" t="b">
        <x:v>0</x:v>
      </x:c>
      <x:c r="L2161" s="117"/>
      <x:c r="M2161" s="118"/>
      <x:c r="N2161" s="120" t="n">
        <x:v>44998.86402777778</x:v>
      </x:c>
      <x:c r="O2161" s="117" t="str">
        <x:v>Jace Gentil</x:v>
      </x:c>
      <x:c r="P2161" s="120" t="n">
        <x:v>44998.86405092593</x:v>
      </x:c>
      <x:c r="Q2161" s="117" t="str">
        <x:v>Jace Gentil</x:v>
      </x:c>
      <x:c r="R2161" s="117" t="str">
        <x:v>Original Time Warranty/Loaner Action Approved Update</x:v>
      </x:c>
      <x:c r="S2161" s="119"/>
    </x:row>
    <x:row r="2162" ht="30" customHeight="1">
      <x:c r="A2162" s="117" t="str">
        <x:v>Original_Time_Warranty_Loaner_Action_Approved_Update</x:v>
      </x:c>
      <x:c r="B2162" s="117" t="str">
        <x:v>3005b000000LHYwAAO</x:v>
      </x:c>
      <x:c r="C2162" s="117" t="str">
        <x:v>301Ro000008r3o4IAA</x:v>
      </x:c>
      <x:c r="D2162" s="118" t="n">
        <x:v>12</x:v>
      </x:c>
      <x:c r="E2162" s="117" t="str">
        <x:v>Obsolete</x:v>
      </x:c>
      <x:c r="F2162" s="117" t="str">
        <x:v>No</x:v>
      </x:c>
      <x:c r="G2162" s="117" t="str">
        <x:v>No</x:v>
      </x:c>
      <x:c r="H2162" s="117" t="str">
        <x:v>AutoLaunchedFlow</x:v>
      </x:c>
      <x:c r="I2162" s="118" t="n">
        <x:v>56</x:v>
      </x:c>
      <x:c r="J2162" s="117" t="str">
        <x:v>unmanaged</x:v>
      </x:c>
      <x:c r="K2162" s="123" t="b">
        <x:v>0</x:v>
      </x:c>
      <x:c r="L2162" s="117"/>
      <x:c r="M2162" s="118"/>
      <x:c r="N2162" s="120" t="n">
        <x:v>45362.869942129626</x:v>
      </x:c>
      <x:c r="O2162" s="117" t="str">
        <x:v>Jace Gentil</x:v>
      </x:c>
      <x:c r="P2162" s="120" t="n">
        <x:v>45362.869988425926</x:v>
      </x:c>
      <x:c r="Q2162" s="117" t="str">
        <x:v>Jace Gentil</x:v>
      </x:c>
      <x:c r="R2162" s="117" t="str">
        <x:v>Original Time Warranty/Loaner Action Approved Update</x:v>
      </x:c>
      <x:c r="S2162" s="119"/>
    </x:row>
    <x:row r="2163" ht="30" customHeight="1">
      <x:c r="A2163" s="117" t="str">
        <x:v>Original_Time_Warranty_Loaner_Action_Approved_Update</x:v>
      </x:c>
      <x:c r="B2163" s="117" t="str">
        <x:v>3005b000000LHYwAAO</x:v>
      </x:c>
      <x:c r="C2163" s="117" t="str">
        <x:v>301Ro0000091aaZIAQ</x:v>
      </x:c>
      <x:c r="D2163" s="118" t="n">
        <x:v>13</x:v>
      </x:c>
      <x:c r="E2163" s="117" t="str">
        <x:v>Active</x:v>
      </x:c>
      <x:c r="F2163" s="117" t="str">
        <x:v>Yes</x:v>
      </x:c>
      <x:c r="G2163" s="117" t="str">
        <x:v>Yes</x:v>
      </x:c>
      <x:c r="H2163" s="117" t="str">
        <x:v>AutoLaunchedFlow</x:v>
      </x:c>
      <x:c r="I2163" s="118" t="n">
        <x:v>56</x:v>
      </x:c>
      <x:c r="J2163" s="117" t="str">
        <x:v>unmanaged</x:v>
      </x:c>
      <x:c r="K2163" s="123" t="b">
        <x:v>0</x:v>
      </x:c>
      <x:c r="L2163" s="117"/>
      <x:c r="M2163" s="118"/>
      <x:c r="N2163" s="120" t="n">
        <x:v>45365.54576388889</x:v>
      </x:c>
      <x:c r="O2163" s="117" t="str">
        <x:v>Jace Gentil</x:v>
      </x:c>
      <x:c r="P2163" s="120" t="n">
        <x:v>45365.54583333333</x:v>
      </x:c>
      <x:c r="Q2163" s="117" t="str">
        <x:v>Jace Gentil</x:v>
      </x:c>
      <x:c r="R2163" s="117" t="str">
        <x:v>Original Time Warranty/Loaner Action Approved Update</x:v>
      </x:c>
      <x:c r="S2163" s="119"/>
    </x:row>
    <x:row r="2164" ht="30" customHeight="1">
      <x:c r="A2164" s="117" t="str">
        <x:v>Partial_Payment</x:v>
      </x:c>
      <x:c r="B2164" s="117" t="str">
        <x:v>300Ro00000kKs8HIAS</x:v>
      </x:c>
      <x:c r="C2164" s="117" t="str">
        <x:v>301Ro00000rhIpbIAE</x:v>
      </x:c>
      <x:c r="D2164" s="118" t="n">
        <x:v>1</x:v>
      </x:c>
      <x:c r="E2164" s="117" t="str">
        <x:v>Draft</x:v>
      </x:c>
      <x:c r="F2164" s="117" t="str">
        <x:v>No</x:v>
      </x:c>
      <x:c r="G2164" s="117" t="str">
        <x:v>Yes</x:v>
      </x:c>
      <x:c r="H2164" s="117" t="str">
        <x:v>AutoLaunchedFlow</x:v>
      </x:c>
      <x:c r="I2164" s="118" t="n">
        <x:v>64</x:v>
      </x:c>
      <x:c r="J2164" s="117" t="str">
        <x:v>installed</x:v>
      </x:c>
      <x:c r="K2164" s="123" t="b">
        <x:v>0</x:v>
      </x:c>
      <x:c r="L2164" s="117"/>
      <x:c r="M2164" s="118"/>
      <x:c r="N2164" s="120" t="n">
        <x:v>45965.97741898148</x:v>
      </x:c>
      <x:c r="O2164" s="117" t="str"/>
      <x:c r="P2164" s="120" t="n">
        <x:v>45965.977430555555</x:v>
      </x:c>
      <x:c r="Q2164" s="117" t="str"/>
      <x:c r="R2164" s="117" t="str">
        <x:v>Partial Payment</x:v>
      </x:c>
      <x:c r="S2164" s="119" t="str">
        <x:v>This flow updates the Payment_Received__c field to 'Partial' on ChargentOrder__c records when the Transaction_Total__c is greater than 0 and less than the Total__c, indicating a partial payment has been received.</x:v>
      </x:c>
    </x:row>
    <x:row r="2165" ht="30" customHeight="1">
      <x:c r="A2165" s="117" t="str">
        <x:v>Parts_Pool_10k_Alert_Flow</x:v>
      </x:c>
      <x:c r="B2165" s="117" t="str">
        <x:v>3005b000000H3y9AAC</x:v>
      </x:c>
      <x:c r="C2165" s="117" t="str">
        <x:v>3015b000000EKcBAAW</x:v>
      </x:c>
      <x:c r="D2165" s="118" t="n">
        <x:v>1</x:v>
      </x:c>
      <x:c r="E2165" s="117" t="str">
        <x:v>Active</x:v>
      </x:c>
      <x:c r="F2165" s="117" t="str">
        <x:v>Yes</x:v>
      </x:c>
      <x:c r="G2165" s="117" t="str">
        <x:v>Yes</x:v>
      </x:c>
      <x:c r="H2165" s="117" t="str">
        <x:v>AutoLaunchedFlow</x:v>
      </x:c>
      <x:c r="I2165" s="118" t="n">
        <x:v>55</x:v>
      </x:c>
      <x:c r="J2165" s="117" t="str">
        <x:v>unmanaged</x:v>
      </x:c>
      <x:c r="K2165" s="123" t="b">
        <x:v>0</x:v>
      </x:c>
      <x:c r="L2165" s="117"/>
      <x:c r="M2165" s="118"/>
      <x:c r="N2165" s="120" t="n">
        <x:v>44741.59003472222</x:v>
      </x:c>
      <x:c r="O2165" s="117" t="str">
        <x:v>Jace Gentil</x:v>
      </x:c>
      <x:c r="P2165" s="120" t="n">
        <x:v>44741.590104166666</x:v>
      </x:c>
      <x:c r="Q2165" s="117" t="str">
        <x:v>Jace Gentil</x:v>
      </x:c>
      <x:c r="R2165" s="117" t="str">
        <x:v>Parts Pool &lt; 10k Alert Flow</x:v>
      </x:c>
      <x:c r="S2165" s="119"/>
    </x:row>
    <x:row r="2166" ht="30" customHeight="1">
      <x:c r="A2166" s="117" t="str">
        <x:v>Parts_Validation_Approval_Process</x:v>
      </x:c>
      <x:c r="B2166" s="117" t="str">
        <x:v>3004O0000000a9zQAA</x:v>
      </x:c>
      <x:c r="C2166" s="117" t="str">
        <x:v>3014O0000001N5TQAU</x:v>
      </x:c>
      <x:c r="D2166" s="118" t="n">
        <x:v>1</x:v>
      </x:c>
      <x:c r="E2166" s="117" t="str">
        <x:v>Obsolete</x:v>
      </x:c>
      <x:c r="F2166" s="117" t="str">
        <x:v>No</x:v>
      </x:c>
      <x:c r="G2166" s="117" t="str">
        <x:v>No</x:v>
      </x:c>
      <x:c r="H2166" s="117" t="str">
        <x:v>Workflow</x:v>
      </x:c>
      <x:c r="I2166" s="118" t="n">
        <x:v>50</x:v>
      </x:c>
      <x:c r="J2166" s="117" t="str">
        <x:v>unmanaged</x:v>
      </x:c>
      <x:c r="K2166" s="123" t="b">
        <x:v>0</x:v>
      </x:c>
      <x:c r="L2166" s="117"/>
      <x:c r="M2166" s="118"/>
      <x:c r="N2166" s="120" t="n">
        <x:v>44145.960023148145</x:v>
      </x:c>
      <x:c r="O2166" s="117" t="str">
        <x:v>Trent VanEmon</x:v>
      </x:c>
      <x:c r="P2166" s="120" t="n">
        <x:v>44145.96005787037</x:v>
      </x:c>
      <x:c r="Q2166" s="117" t="str">
        <x:v>Trent VanEmon</x:v>
      </x:c>
      <x:c r="R2166" s="117" t="str">
        <x:v>Parts Validation Approval Process</x:v>
      </x:c>
      <x:c r="S2166" s="119"/>
    </x:row>
    <x:row r="2167" ht="30" customHeight="1">
      <x:c r="A2167" s="117" t="str">
        <x:v>Parts_Validation_Approval_Process</x:v>
      </x:c>
      <x:c r="B2167" s="117" t="str">
        <x:v>3004O0000000a9zQAA</x:v>
      </x:c>
      <x:c r="C2167" s="117" t="str">
        <x:v>3014O000000M1j7QAC</x:v>
      </x:c>
      <x:c r="D2167" s="118" t="n">
        <x:v>2</x:v>
      </x:c>
      <x:c r="E2167" s="117" t="str">
        <x:v>Obsolete</x:v>
      </x:c>
      <x:c r="F2167" s="117" t="str">
        <x:v>No</x:v>
      </x:c>
      <x:c r="G2167" s="117" t="str">
        <x:v>No</x:v>
      </x:c>
      <x:c r="H2167" s="117" t="str">
        <x:v>Workflow</x:v>
      </x:c>
      <x:c r="I2167" s="118" t="n">
        <x:v>50</x:v>
      </x:c>
      <x:c r="J2167" s="117" t="str">
        <x:v>unmanaged</x:v>
      </x:c>
      <x:c r="K2167" s="123" t="b">
        <x:v>0</x:v>
      </x:c>
      <x:c r="L2167" s="117"/>
      <x:c r="M2167" s="118"/>
      <x:c r="N2167" s="120" t="n">
        <x:v>44242.79204861111</x:v>
      </x:c>
      <x:c r="O2167" s="117" t="str">
        <x:v>Delegate</x:v>
      </x:c>
      <x:c r="P2167" s="120" t="n">
        <x:v>44246.621712962966</x:v>
      </x:c>
      <x:c r="Q2167" s="117" t="str">
        <x:v>Delegate</x:v>
      </x:c>
      <x:c r="R2167" s="117" t="str">
        <x:v>Parts Validation Approval Process</x:v>
      </x:c>
      <x:c r="S2167" s="119"/>
    </x:row>
    <x:row r="2168" ht="30" customHeight="1">
      <x:c r="A2168" s="117" t="str">
        <x:v>Parts_Validation_Approval_Process</x:v>
      </x:c>
      <x:c r="B2168" s="117" t="str">
        <x:v>3004O0000000a9zQAA</x:v>
      </x:c>
      <x:c r="C2168" s="117" t="str">
        <x:v>3015b000000EISFAA4</x:v>
      </x:c>
      <x:c r="D2168" s="118" t="n">
        <x:v>3</x:v>
      </x:c>
      <x:c r="E2168" s="117" t="str">
        <x:v>Obsolete</x:v>
      </x:c>
      <x:c r="F2168" s="117" t="str">
        <x:v>No</x:v>
      </x:c>
      <x:c r="G2168" s="117" t="str">
        <x:v>No</x:v>
      </x:c>
      <x:c r="H2168" s="117" t="str">
        <x:v>Workflow</x:v>
      </x:c>
      <x:c r="I2168" s="118" t="n">
        <x:v>50</x:v>
      </x:c>
      <x:c r="J2168" s="117" t="str">
        <x:v>unmanaged</x:v>
      </x:c>
      <x:c r="K2168" s="123" t="b">
        <x:v>0</x:v>
      </x:c>
      <x:c r="L2168" s="117"/>
      <x:c r="M2168" s="118"/>
      <x:c r="N2168" s="120" t="n">
        <x:v>44639.99385416666</x:v>
      </x:c>
      <x:c r="O2168" s="117" t="str">
        <x:v>Natalie Boger</x:v>
      </x:c>
      <x:c r="P2168" s="120" t="n">
        <x:v>44679.72472222222</x:v>
      </x:c>
      <x:c r="Q2168" s="117" t="str">
        <x:v>Natalie Boger</x:v>
      </x:c>
      <x:c r="R2168" s="117" t="str">
        <x:v>Parts Validation Approval Process</x:v>
      </x:c>
      <x:c r="S2168" s="119"/>
    </x:row>
    <x:row r="2169" ht="30" customHeight="1">
      <x:c r="A2169" s="117" t="str">
        <x:v>Parts_Validation_Approval_Process</x:v>
      </x:c>
      <x:c r="B2169" s="117" t="str">
        <x:v>3004O0000000a9zQAA</x:v>
      </x:c>
      <x:c r="C2169" s="117" t="str">
        <x:v>3015b000000EJb8AAG</x:v>
      </x:c>
      <x:c r="D2169" s="118" t="n">
        <x:v>4</x:v>
      </x:c>
      <x:c r="E2169" s="117" t="str">
        <x:v>Obsolete</x:v>
      </x:c>
      <x:c r="F2169" s="117" t="str">
        <x:v>No</x:v>
      </x:c>
      <x:c r="G2169" s="117" t="str">
        <x:v>No</x:v>
      </x:c>
      <x:c r="H2169" s="117" t="str">
        <x:v>Workflow</x:v>
      </x:c>
      <x:c r="I2169" s="118" t="n">
        <x:v>50</x:v>
      </x:c>
      <x:c r="J2169" s="117" t="str">
        <x:v>unmanaged</x:v>
      </x:c>
      <x:c r="K2169" s="123" t="b">
        <x:v>0</x:v>
      </x:c>
      <x:c r="L2169" s="117"/>
      <x:c r="M2169" s="118"/>
      <x:c r="N2169" s="120" t="n">
        <x:v>44692.061215277776</x:v>
      </x:c>
      <x:c r="O2169" s="117" t="str">
        <x:v>Natalie Boger</x:v>
      </x:c>
      <x:c r="P2169" s="120" t="n">
        <x:v>44692.061273148145</x:v>
      </x:c>
      <x:c r="Q2169" s="117" t="str">
        <x:v>Natalie Boger</x:v>
      </x:c>
      <x:c r="R2169" s="117" t="str">
        <x:v>Parts Validation Approval Process</x:v>
      </x:c>
      <x:c r="S2169" s="119"/>
    </x:row>
    <x:row r="2170" ht="30" customHeight="1">
      <x:c r="A2170" s="117" t="str">
        <x:v>Parts_Validation_Approval_Process</x:v>
      </x:c>
      <x:c r="B2170" s="117" t="str">
        <x:v>3004O0000000a9zQAA</x:v>
      </x:c>
      <x:c r="C2170" s="117" t="str">
        <x:v>301Ro00000BXd4HIAT</x:v>
      </x:c>
      <x:c r="D2170" s="118" t="n">
        <x:v>5</x:v>
      </x:c>
      <x:c r="E2170" s="117" t="str">
        <x:v>Obsolete</x:v>
      </x:c>
      <x:c r="F2170" s="117" t="str">
        <x:v>No</x:v>
      </x:c>
      <x:c r="G2170" s="117" t="str">
        <x:v>No</x:v>
      </x:c>
      <x:c r="H2170" s="117" t="str">
        <x:v>Workflow</x:v>
      </x:c>
      <x:c r="I2170" s="118" t="n">
        <x:v>50</x:v>
      </x:c>
      <x:c r="J2170" s="117" t="str">
        <x:v>unmanaged</x:v>
      </x:c>
      <x:c r="K2170" s="123" t="b">
        <x:v>0</x:v>
      </x:c>
      <x:c r="L2170" s="117"/>
      <x:c r="M2170" s="118"/>
      <x:c r="N2170" s="120" t="n">
        <x:v>45406.55202546297</x:v>
      </x:c>
      <x:c r="O2170" s="117" t="str">
        <x:v>Jace Gentil</x:v>
      </x:c>
      <x:c r="P2170" s="120" t="n">
        <x:v>45425.84662037037</x:v>
      </x:c>
      <x:c r="Q2170" s="117" t="str">
        <x:v>Jace Gentil</x:v>
      </x:c>
      <x:c r="R2170" s="117" t="str">
        <x:v>Parts Validation Approval Process</x:v>
      </x:c>
      <x:c r="S2170" s="119"/>
    </x:row>
    <x:row r="2171" ht="30" customHeight="1">
      <x:c r="A2171" s="117" t="str">
        <x:v>Parts_Validation_Approval_Process</x:v>
      </x:c>
      <x:c r="B2171" s="117" t="str">
        <x:v>3004O0000000a9zQAA</x:v>
      </x:c>
      <x:c r="C2171" s="117" t="str">
        <x:v>301Ro00000CkSFMIA3</x:v>
      </x:c>
      <x:c r="D2171" s="118" t="n">
        <x:v>6</x:v>
      </x:c>
      <x:c r="E2171" s="117" t="str">
        <x:v>Draft</x:v>
      </x:c>
      <x:c r="F2171" s="117" t="str">
        <x:v>No</x:v>
      </x:c>
      <x:c r="G2171" s="117" t="str">
        <x:v>Yes</x:v>
      </x:c>
      <x:c r="H2171" s="117" t="str">
        <x:v>Workflow</x:v>
      </x:c>
      <x:c r="I2171" s="118" t="n">
        <x:v>50</x:v>
      </x:c>
      <x:c r="J2171" s="117" t="str">
        <x:v>unmanaged</x:v>
      </x:c>
      <x:c r="K2171" s="123" t="b">
        <x:v>0</x:v>
      </x:c>
      <x:c r="L2171" s="117"/>
      <x:c r="M2171" s="118"/>
      <x:c r="N2171" s="120" t="n">
        <x:v>45425.84237268518</x:v>
      </x:c>
      <x:c r="O2171" s="117" t="str">
        <x:v>Jace Gentil</x:v>
      </x:c>
      <x:c r="P2171" s="120" t="n">
        <x:v>45425.84238425926</x:v>
      </x:c>
      <x:c r="Q2171" s="117" t="str">
        <x:v>Jace Gentil</x:v>
      </x:c>
      <x:c r="R2171" s="117" t="str">
        <x:v>Parts Validation Approval Process</x:v>
      </x:c>
      <x:c r="S2171" s="119"/>
    </x:row>
    <x:row r="2172" ht="30" customHeight="1">
      <x:c r="A2172" s="117" t="str">
        <x:v>Parts_Validation_Approval_Process_1</x:v>
      </x:c>
      <x:c r="B2172" s="117" t="str">
        <x:v>300Ro00000BfBE6IAN</x:v>
      </x:c>
      <x:c r="C2172" s="117" t="str">
        <x:v>301Ro00000CkQjmIAF</x:v>
      </x:c>
      <x:c r="D2172" s="118" t="n">
        <x:v>1</x:v>
      </x:c>
      <x:c r="E2172" s="117" t="str">
        <x:v>InvalidDraft</x:v>
      </x:c>
      <x:c r="F2172" s="117" t="str">
        <x:v>No</x:v>
      </x:c>
      <x:c r="G2172" s="117" t="str">
        <x:v>No</x:v>
      </x:c>
      <x:c r="H2172" s="117" t="str">
        <x:v>AutoLaunchedFlow</x:v>
      </x:c>
      <x:c r="I2172" s="118" t="n">
        <x:v>60</x:v>
      </x:c>
      <x:c r="J2172" s="117" t="str">
        <x:v>unmanaged</x:v>
      </x:c>
      <x:c r="K2172" s="123" t="b">
        <x:v>0</x:v>
      </x:c>
      <x:c r="L2172" s="117"/>
      <x:c r="M2172" s="118"/>
      <x:c r="N2172" s="120" t="n">
        <x:v>45425.84373842592</x:v>
      </x:c>
      <x:c r="O2172" s="117" t="str">
        <x:v>Jace Gentil</x:v>
      </x:c>
      <x:c r="P2172" s="120" t="n">
        <x:v>45425.84373842592</x:v>
      </x:c>
      <x:c r="Q2172" s="117" t="str">
        <x:v>Jace Gentil</x:v>
      </x:c>
      <x:c r="R2172" s="117" t="str">
        <x:v>Parts Validation Approval Process_1</x:v>
      </x:c>
      <x:c r="S2172" s="119" t="str">
        <x:v>Migrated from the Parts Validation Approval Process process using Part criteria.</x:v>
      </x:c>
    </x:row>
    <x:row r="2173" ht="30" customHeight="1">
      <x:c r="A2173" s="117" t="str">
        <x:v>Parts_Validation_Approval_Process_1</x:v>
      </x:c>
      <x:c r="B2173" s="117" t="str">
        <x:v>300Ro00000BfBE6IAN</x:v>
      </x:c>
      <x:c r="C2173" s="117" t="str">
        <x:v>301Ro00000CkE9HIAV</x:v>
      </x:c>
      <x:c r="D2173" s="118" t="n">
        <x:v>2</x:v>
      </x:c>
      <x:c r="E2173" s="117" t="str">
        <x:v>Obsolete</x:v>
      </x:c>
      <x:c r="F2173" s="117" t="str">
        <x:v>No</x:v>
      </x:c>
      <x:c r="G2173" s="117" t="str">
        <x:v>No</x:v>
      </x:c>
      <x:c r="H2173" s="117" t="str">
        <x:v>AutoLaunchedFlow</x:v>
      </x:c>
      <x:c r="I2173" s="118" t="n">
        <x:v>60</x:v>
      </x:c>
      <x:c r="J2173" s="117" t="str">
        <x:v>unmanaged</x:v>
      </x:c>
      <x:c r="K2173" s="123" t="b">
        <x:v>0</x:v>
      </x:c>
      <x:c r="L2173" s="117"/>
      <x:c r="M2173" s="118"/>
      <x:c r="N2173" s="120" t="n">
        <x:v>45425.8459375</x:v>
      </x:c>
      <x:c r="O2173" s="117" t="str">
        <x:v>Jace Gentil</x:v>
      </x:c>
      <x:c r="P2173" s="120" t="n">
        <x:v>45425.845972222225</x:v>
      </x:c>
      <x:c r="Q2173" s="117" t="str">
        <x:v>Jace Gentil</x:v>
      </x:c>
      <x:c r="R2173" s="117" t="str">
        <x:v>Parts Validation Approval Process_1</x:v>
      </x:c>
      <x:c r="S2173" s="119" t="str">
        <x:v>Migrated from the Parts Validation Approval Process process using Part criteria.</x:v>
      </x:c>
    </x:row>
    <x:row r="2174" ht="30" customHeight="1">
      <x:c r="A2174" s="117" t="str">
        <x:v>Parts_Validation_Approval_Process_1</x:v>
      </x:c>
      <x:c r="B2174" s="117" t="str">
        <x:v>300Ro00000BfBE6IAN</x:v>
      </x:c>
      <x:c r="C2174" s="117" t="str">
        <x:v>301Ro00000CkAs3IAF</x:v>
      </x:c>
      <x:c r="D2174" s="118" t="n">
        <x:v>3</x:v>
      </x:c>
      <x:c r="E2174" s="117" t="str">
        <x:v>Obsolete</x:v>
      </x:c>
      <x:c r="F2174" s="117" t="str">
        <x:v>No</x:v>
      </x:c>
      <x:c r="G2174" s="117" t="str">
        <x:v>No</x:v>
      </x:c>
      <x:c r="H2174" s="117" t="str">
        <x:v>AutoLaunchedFlow</x:v>
      </x:c>
      <x:c r="I2174" s="118" t="n">
        <x:v>60</x:v>
      </x:c>
      <x:c r="J2174" s="117" t="str">
        <x:v>unmanaged</x:v>
      </x:c>
      <x:c r="K2174" s="123" t="b">
        <x:v>0</x:v>
      </x:c>
      <x:c r="L2174" s="117"/>
      <x:c r="M2174" s="118"/>
      <x:c r="N2174" s="120" t="n">
        <x:v>45425.850439814814</x:v>
      </x:c>
      <x:c r="O2174" s="117" t="str">
        <x:v>Jace Gentil</x:v>
      </x:c>
      <x:c r="P2174" s="120" t="n">
        <x:v>45425.85047453704</x:v>
      </x:c>
      <x:c r="Q2174" s="117" t="str">
        <x:v>Jace Gentil</x:v>
      </x:c>
      <x:c r="R2174" s="117" t="str">
        <x:v>Parts Validation Approval Process_1</x:v>
      </x:c>
      <x:c r="S2174" s="119" t="str">
        <x:v>Migrated from the Parts Validation Approval Process process using Part criteria.</x:v>
      </x:c>
    </x:row>
    <x:row r="2175" ht="30" customHeight="1">
      <x:c r="A2175" s="117" t="str">
        <x:v>Parts_Validation_Approval_Process_1</x:v>
      </x:c>
      <x:c r="B2175" s="117" t="str">
        <x:v>300Ro00000BfBE6IAN</x:v>
      </x:c>
      <x:c r="C2175" s="117" t="str">
        <x:v>301Ro00000CkZn4IAF</x:v>
      </x:c>
      <x:c r="D2175" s="118" t="n">
        <x:v>4</x:v>
      </x:c>
      <x:c r="E2175" s="117" t="str">
        <x:v>Active</x:v>
      </x:c>
      <x:c r="F2175" s="117" t="str">
        <x:v>Yes</x:v>
      </x:c>
      <x:c r="G2175" s="117" t="str">
        <x:v>Yes</x:v>
      </x:c>
      <x:c r="H2175" s="117" t="str">
        <x:v>AutoLaunchedFlow</x:v>
      </x:c>
      <x:c r="I2175" s="118" t="n">
        <x:v>60</x:v>
      </x:c>
      <x:c r="J2175" s="117" t="str">
        <x:v>unmanaged</x:v>
      </x:c>
      <x:c r="K2175" s="123" t="b">
        <x:v>0</x:v>
      </x:c>
      <x:c r="L2175" s="117"/>
      <x:c r="M2175" s="118"/>
      <x:c r="N2175" s="120" t="n">
        <x:v>45425.85125</x:v>
      </x:c>
      <x:c r="O2175" s="117" t="str">
        <x:v>Jace Gentil</x:v>
      </x:c>
      <x:c r="P2175" s="120" t="n">
        <x:v>45425.8512962963</x:v>
      </x:c>
      <x:c r="Q2175" s="117" t="str">
        <x:v>Jace Gentil</x:v>
      </x:c>
      <x:c r="R2175" s="117" t="str">
        <x:v>Parts Validation Approval Process_1</x:v>
      </x:c>
      <x:c r="S2175" s="119" t="str">
        <x:v>Migrated from the Parts Validation Approval Process process using Part criteria.</x:v>
      </x:c>
    </x:row>
    <x:row r="2176" ht="30" customHeight="1">
      <x:c r="A2176" s="117" t="str">
        <x:v>Parts_Validation_Process</x:v>
      </x:c>
      <x:c r="B2176" s="117" t="str">
        <x:v>3004O0000000a6CQAQ</x:v>
      </x:c>
      <x:c r="C2176" s="117" t="str">
        <x:v>3014O0000001MiFQAU</x:v>
      </x:c>
      <x:c r="D2176" s="118" t="n">
        <x:v>1</x:v>
      </x:c>
      <x:c r="E2176" s="117" t="str">
        <x:v>InvalidDraft</x:v>
      </x:c>
      <x:c r="F2176" s="117" t="str">
        <x:v>No</x:v>
      </x:c>
      <x:c r="G2176" s="117" t="str">
        <x:v>Yes</x:v>
      </x:c>
      <x:c r="H2176" s="117" t="str">
        <x:v>Workflow</x:v>
      </x:c>
      <x:c r="I2176" s="118" t="n">
        <x:v>50</x:v>
      </x:c>
      <x:c r="J2176" s="117" t="str">
        <x:v>unmanaged</x:v>
      </x:c>
      <x:c r="K2176" s="123" t="b">
        <x:v>0</x:v>
      </x:c>
      <x:c r="L2176" s="117"/>
      <x:c r="M2176" s="118"/>
      <x:c r="N2176" s="120" t="n">
        <x:v>44132.533900462964</x:v>
      </x:c>
      <x:c r="O2176" s="117" t="str">
        <x:v>Trent VanEmon</x:v>
      </x:c>
      <x:c r="P2176" s="120" t="n">
        <x:v>44132.533900462964</x:v>
      </x:c>
      <x:c r="Q2176" s="117" t="str">
        <x:v>Trent VanEmon</x:v>
      </x:c>
      <x:c r="R2176" s="117" t="str">
        <x:v>Parts Validation Process</x:v>
      </x:c>
      <x:c r="S2176" s="119"/>
    </x:row>
    <x:row r="2177" ht="30" customHeight="1">
      <x:c r="A2177" s="117" t="str">
        <x:v>PartsReadyForCollectionServiceAppointmentAlert</x:v>
      </x:c>
      <x:c r="B2177" s="117" t="str">
        <x:v>300Ro00000REVFoIAP</x:v>
      </x:c>
      <x:c r="C2177" s="117" t="str">
        <x:v>301Ro00000U2G7dIAF</x:v>
      </x:c>
      <x:c r="D2177" s="118" t="n">
        <x:v>1</x:v>
      </x:c>
      <x:c r="E2177" s="117" t="str">
        <x:v>Obsolete</x:v>
      </x:c>
      <x:c r="F2177" s="117" t="str">
        <x:v>No</x:v>
      </x:c>
      <x:c r="G2177" s="117" t="str">
        <x:v>No</x:v>
      </x:c>
      <x:c r="H2177" s="117" t="str">
        <x:v>AutoLaunchedFlow</x:v>
      </x:c>
      <x:c r="I2177" s="118" t="n">
        <x:v>56</x:v>
      </x:c>
      <x:c r="J2177" s="117" t="str">
        <x:v>unmanaged</x:v>
      </x:c>
      <x:c r="K2177" s="123" t="b">
        <x:v>0</x:v>
      </x:c>
      <x:c r="L2177" s="117"/>
      <x:c r="M2177" s="118"/>
      <x:c r="N2177" s="120" t="n">
        <x:v>45702.59248842593</x:v>
      </x:c>
      <x:c r="O2177" s="117" t="str">
        <x:v>Delegate</x:v>
      </x:c>
      <x:c r="P2177" s="120" t="n">
        <x:v>45702.60423611111</x:v>
      </x:c>
      <x:c r="Q2177" s="117" t="str">
        <x:v>Delegate</x:v>
      </x:c>
      <x:c r="R2177" s="117" t="str">
        <x:v>PartsReadyForCollectionServiceAppointmentAlert</x:v>
      </x:c>
      <x:c r="S2177" s="119" t="str">
        <x:v>02/11/2025 (BW) - Alert for the service appointment assigned resource to pick up the parts</x:v>
      </x:c>
    </x:row>
    <x:row r="2178" ht="30" customHeight="1">
      <x:c r="A2178" s="117" t="str">
        <x:v>PartsReadyForCollectionServiceAppointmentAlert</x:v>
      </x:c>
      <x:c r="B2178" s="117" t="str">
        <x:v>300Ro00000REVFoIAP</x:v>
      </x:c>
      <x:c r="C2178" s="117" t="str">
        <x:v>301Ro00001654TdIAI</x:v>
      </x:c>
      <x:c r="D2178" s="118" t="n">
        <x:v>2</x:v>
      </x:c>
      <x:c r="E2178" s="117" t="str">
        <x:v>Active</x:v>
      </x:c>
      <x:c r="F2178" s="117" t="str">
        <x:v>Yes</x:v>
      </x:c>
      <x:c r="G2178" s="117" t="str">
        <x:v>Yes</x:v>
      </x:c>
      <x:c r="H2178" s="117" t="str">
        <x:v>AutoLaunchedFlow</x:v>
      </x:c>
      <x:c r="I2178" s="118" t="n">
        <x:v>56</x:v>
      </x:c>
      <x:c r="J2178" s="117" t="str">
        <x:v>unmanaged</x:v>
      </x:c>
      <x:c r="K2178" s="123" t="b">
        <x:v>0</x:v>
      </x:c>
      <x:c r="L2178" s="117"/>
      <x:c r="M2178" s="118"/>
      <x:c r="N2178" s="120" t="n">
        <x:v>46161.57349537037</x:v>
      </x:c>
      <x:c r="O2178" s="117" t="str">
        <x:v>Sacha Pearce</x:v>
      </x:c>
      <x:c r="P2178" s="120" t="n">
        <x:v>46161.57511574074</x:v>
      </x:c>
      <x:c r="Q2178" s="117" t="str">
        <x:v>Sacha Pearce</x:v>
      </x:c>
      <x:c r="R2178" s="117" t="str">
        <x:v>PartsReadyForCollectionServiceAppointmentAlert</x:v>
      </x:c>
      <x:c r="S2178" s="119" t="str">
        <x:v>19/05/2026 - SP - Updating the Flow to run on "Ship Date" entry instead of "Date Item Prepped"</x:v>
      </x:c>
    </x:row>
    <x:row r="2179" ht="30" customHeight="1">
      <x:c r="A2179" s="117" t="str">
        <x:v>PartsReadyForCollectionWorkOrderAlert</x:v>
      </x:c>
      <x:c r="B2179" s="117" t="str">
        <x:v>3005b000000LHI0AAO</x:v>
      </x:c>
      <x:c r="C2179" s="117" t="str">
        <x:v>3015b000000ADRfAAO</x:v>
      </x:c>
      <x:c r="D2179" s="118" t="n">
        <x:v>1</x:v>
      </x:c>
      <x:c r="E2179" s="117" t="str">
        <x:v>Obsolete</x:v>
      </x:c>
      <x:c r="F2179" s="117" t="str">
        <x:v>No</x:v>
      </x:c>
      <x:c r="G2179" s="117" t="str">
        <x:v>No</x:v>
      </x:c>
      <x:c r="H2179" s="117" t="str">
        <x:v>AutoLaunchedFlow</x:v>
      </x:c>
      <x:c r="I2179" s="118" t="n">
        <x:v>56</x:v>
      </x:c>
      <x:c r="J2179" s="117" t="str">
        <x:v>unmanaged</x:v>
      </x:c>
      <x:c r="K2179" s="123" t="b">
        <x:v>0</x:v>
      </x:c>
      <x:c r="L2179" s="117"/>
      <x:c r="M2179" s="118"/>
      <x:c r="N2179" s="120" t="n">
        <x:v>44931.38179398148</x:v>
      </x:c>
      <x:c r="O2179" s="117" t="str">
        <x:v>Jon Kean</x:v>
      </x:c>
      <x:c r="P2179" s="120" t="n">
        <x:v>44932.46209490741</x:v>
      </x:c>
      <x:c r="Q2179" s="117" t="str">
        <x:v>Jon Kean</x:v>
      </x:c>
      <x:c r="R2179" s="117" t="str">
        <x:v>PartsReadyForCollectionWorkOrderAlert</x:v>
      </x:c>
      <x:c r="S2179" s="119"/>
    </x:row>
    <x:row r="2180" ht="30" customHeight="1">
      <x:c r="A2180" s="117" t="str">
        <x:v>PartsReadyForCollectionWorkOrderAlert</x:v>
      </x:c>
      <x:c r="B2180" s="117" t="str">
        <x:v>3005b000000LHI0AAO</x:v>
      </x:c>
      <x:c r="C2180" s="117" t="str">
        <x:v>3015b000000ADaXAAW</x:v>
      </x:c>
      <x:c r="D2180" s="118" t="n">
        <x:v>2</x:v>
      </x:c>
      <x:c r="E2180" s="117" t="str">
        <x:v>Obsolete</x:v>
      </x:c>
      <x:c r="F2180" s="117" t="str">
        <x:v>No</x:v>
      </x:c>
      <x:c r="G2180" s="117" t="str">
        <x:v>No</x:v>
      </x:c>
      <x:c r="H2180" s="117" t="str">
        <x:v>AutoLaunchedFlow</x:v>
      </x:c>
      <x:c r="I2180" s="118" t="n">
        <x:v>56</x:v>
      </x:c>
      <x:c r="J2180" s="117" t="str">
        <x:v>unmanaged</x:v>
      </x:c>
      <x:c r="K2180" s="123" t="b">
        <x:v>0</x:v>
      </x:c>
      <x:c r="L2180" s="117"/>
      <x:c r="M2180" s="118"/>
      <x:c r="N2180" s="120" t="n">
        <x:v>44932.62043981482</x:v>
      </x:c>
      <x:c r="O2180" s="117" t="str">
        <x:v>Jace Gentil</x:v>
      </x:c>
      <x:c r="P2180" s="120" t="n">
        <x:v>44932.62049768519</x:v>
      </x:c>
      <x:c r="Q2180" s="117" t="str">
        <x:v>Jace Gentil</x:v>
      </x:c>
      <x:c r="R2180" s="117" t="str">
        <x:v>PartsReadyForCollectionWorkOrderAlert</x:v>
      </x:c>
      <x:c r="S2180" s="119"/>
    </x:row>
    <x:row r="2181" ht="30" customHeight="1">
      <x:c r="A2181" s="117" t="str">
        <x:v>PartsReadyForCollectionWorkOrderAlert</x:v>
      </x:c>
      <x:c r="B2181" s="117" t="str">
        <x:v>3005b000000LHI0AAO</x:v>
      </x:c>
      <x:c r="C2181" s="117" t="str">
        <x:v>3015b000000ADahAAG</x:v>
      </x:c>
      <x:c r="D2181" s="118" t="n">
        <x:v>3</x:v>
      </x:c>
      <x:c r="E2181" s="117" t="str">
        <x:v>Draft</x:v>
      </x:c>
      <x:c r="F2181" s="117" t="str">
        <x:v>No</x:v>
      </x:c>
      <x:c r="G2181" s="117" t="str">
        <x:v>No</x:v>
      </x:c>
      <x:c r="H2181" s="117" t="str">
        <x:v>AutoLaunchedFlow</x:v>
      </x:c>
      <x:c r="I2181" s="118" t="n">
        <x:v>56</x:v>
      </x:c>
      <x:c r="J2181" s="117" t="str">
        <x:v>unmanaged</x:v>
      </x:c>
      <x:c r="K2181" s="123" t="b">
        <x:v>0</x:v>
      </x:c>
      <x:c r="L2181" s="117"/>
      <x:c r="M2181" s="118"/>
      <x:c r="N2181" s="120" t="n">
        <x:v>44932.64655092593</x:v>
      </x:c>
      <x:c r="O2181" s="117" t="str">
        <x:v>Jon Kean</x:v>
      </x:c>
      <x:c r="P2181" s="120" t="n">
        <x:v>44932.646585648145</x:v>
      </x:c>
      <x:c r="Q2181" s="117" t="str">
        <x:v>Jon Kean</x:v>
      </x:c>
      <x:c r="R2181" s="117" t="str">
        <x:v>PartsReadyForCollectionWorkOrderAlert</x:v>
      </x:c>
      <x:c r="S2181" s="119"/>
    </x:row>
    <x:row r="2182" ht="30" customHeight="1">
      <x:c r="A2182" s="117" t="str">
        <x:v>PartsReadyForCollectionWorkOrderAlert</x:v>
      </x:c>
      <x:c r="B2182" s="117" t="str">
        <x:v>3005b000000LHI0AAO</x:v>
      </x:c>
      <x:c r="C2182" s="117" t="str">
        <x:v>3015b000000AENZAA4</x:v>
      </x:c>
      <x:c r="D2182" s="118" t="n">
        <x:v>4</x:v>
      </x:c>
      <x:c r="E2182" s="117" t="str">
        <x:v>Obsolete</x:v>
      </x:c>
      <x:c r="F2182" s="117" t="str">
        <x:v>No</x:v>
      </x:c>
      <x:c r="G2182" s="117" t="str">
        <x:v>No</x:v>
      </x:c>
      <x:c r="H2182" s="117" t="str">
        <x:v>AutoLaunchedFlow</x:v>
      </x:c>
      <x:c r="I2182" s="118" t="n">
        <x:v>56</x:v>
      </x:c>
      <x:c r="J2182" s="117" t="str">
        <x:v>unmanaged</x:v>
      </x:c>
      <x:c r="K2182" s="123" t="b">
        <x:v>0</x:v>
      </x:c>
      <x:c r="L2182" s="117"/>
      <x:c r="M2182" s="118"/>
      <x:c r="N2182" s="120" t="n">
        <x:v>44942.67545138889</x:v>
      </x:c>
      <x:c r="O2182" s="117" t="str">
        <x:v>Jon Kean</x:v>
      </x:c>
      <x:c r="P2182" s="120" t="n">
        <x:v>44942.675520833334</x:v>
      </x:c>
      <x:c r="Q2182" s="117" t="str">
        <x:v>Jon Kean</x:v>
      </x:c>
      <x:c r="R2182" s="117" t="str">
        <x:v>PartsReadyForCollectionWorkOrderAlert</x:v>
      </x:c>
      <x:c r="S2182" s="119"/>
    </x:row>
    <x:row r="2183" ht="30" customHeight="1">
      <x:c r="A2183" s="117" t="str">
        <x:v>PartsReadyForCollectionWorkOrderAlert</x:v>
      </x:c>
      <x:c r="B2183" s="117" t="str">
        <x:v>3005b000000LHI0AAO</x:v>
      </x:c>
      <x:c r="C2183" s="117" t="str">
        <x:v>3015b000000AENeAAO</x:v>
      </x:c>
      <x:c r="D2183" s="118" t="n">
        <x:v>5</x:v>
      </x:c>
      <x:c r="E2183" s="117" t="str">
        <x:v>Obsolete</x:v>
      </x:c>
      <x:c r="F2183" s="117" t="str">
        <x:v>No</x:v>
      </x:c>
      <x:c r="G2183" s="117" t="str">
        <x:v>No</x:v>
      </x:c>
      <x:c r="H2183" s="117" t="str">
        <x:v>AutoLaunchedFlow</x:v>
      </x:c>
      <x:c r="I2183" s="118" t="n">
        <x:v>56</x:v>
      </x:c>
      <x:c r="J2183" s="117" t="str">
        <x:v>unmanaged</x:v>
      </x:c>
      <x:c r="K2183" s="123" t="b">
        <x:v>0</x:v>
      </x:c>
      <x:c r="L2183" s="117"/>
      <x:c r="M2183" s="118"/>
      <x:c r="N2183" s="120" t="n">
        <x:v>44942.676516203705</x:v>
      </x:c>
      <x:c r="O2183" s="117" t="str">
        <x:v>Jon Kean</x:v>
      </x:c>
      <x:c r="P2183" s="120" t="n">
        <x:v>44942.67655092593</x:v>
      </x:c>
      <x:c r="Q2183" s="117" t="str">
        <x:v>Jon Kean</x:v>
      </x:c>
      <x:c r="R2183" s="117" t="str">
        <x:v>PartsReadyForCollectionWorkOrderAlert</x:v>
      </x:c>
      <x:c r="S2183" s="119"/>
    </x:row>
    <x:row r="2184" ht="30" customHeight="1">
      <x:c r="A2184" s="117" t="str">
        <x:v>PartsReadyForCollectionWorkOrderAlert</x:v>
      </x:c>
      <x:c r="B2184" s="117" t="str">
        <x:v>3005b000000LHI0AAO</x:v>
      </x:c>
      <x:c r="C2184" s="117" t="str">
        <x:v>3015b000000W11oAAC</x:v>
      </x:c>
      <x:c r="D2184" s="118" t="n">
        <x:v>6</x:v>
      </x:c>
      <x:c r="E2184" s="117" t="str">
        <x:v>Obsolete</x:v>
      </x:c>
      <x:c r="F2184" s="117" t="str">
        <x:v>No</x:v>
      </x:c>
      <x:c r="G2184" s="117" t="str">
        <x:v>No</x:v>
      </x:c>
      <x:c r="H2184" s="117" t="str">
        <x:v>AutoLaunchedFlow</x:v>
      </x:c>
      <x:c r="I2184" s="118" t="n">
        <x:v>56</x:v>
      </x:c>
      <x:c r="J2184" s="117" t="str">
        <x:v>unmanaged</x:v>
      </x:c>
      <x:c r="K2184" s="123" t="b">
        <x:v>0</x:v>
      </x:c>
      <x:c r="L2184" s="117"/>
      <x:c r="M2184" s="118"/>
      <x:c r="N2184" s="120" t="n">
        <x:v>45009.6703587963</x:v>
      </x:c>
      <x:c r="O2184" s="117" t="str">
        <x:v>Jon Kean</x:v>
      </x:c>
      <x:c r="P2184" s="120" t="n">
        <x:v>45009.670439814814</x:v>
      </x:c>
      <x:c r="Q2184" s="117" t="str">
        <x:v>Jon Kean</x:v>
      </x:c>
      <x:c r="R2184" s="117" t="str">
        <x:v>PartsReadyForCollectionWorkOrderAlert</x:v>
      </x:c>
      <x:c r="S2184" s="119"/>
    </x:row>
    <x:row r="2185" ht="30" customHeight="1">
      <x:c r="A2185" s="117" t="str">
        <x:v>PartsReadyForCollectionWorkOrderAlert</x:v>
      </x:c>
      <x:c r="B2185" s="117" t="str">
        <x:v>3005b000000LHI0AAO</x:v>
      </x:c>
      <x:c r="C2185" s="117" t="str">
        <x:v>301Ro00000U1BrPIAV</x:v>
      </x:c>
      <x:c r="D2185" s="118" t="n">
        <x:v>7</x:v>
      </x:c>
      <x:c r="E2185" s="117" t="str">
        <x:v>Active</x:v>
      </x:c>
      <x:c r="F2185" s="117" t="str">
        <x:v>Yes</x:v>
      </x:c>
      <x:c r="G2185" s="117" t="str">
        <x:v>Yes</x:v>
      </x:c>
      <x:c r="H2185" s="117" t="str">
        <x:v>AutoLaunchedFlow</x:v>
      </x:c>
      <x:c r="I2185" s="118" t="n">
        <x:v>56</x:v>
      </x:c>
      <x:c r="J2185" s="117" t="str">
        <x:v>unmanaged</x:v>
      </x:c>
      <x:c r="K2185" s="123" t="b">
        <x:v>0</x:v>
      </x:c>
      <x:c r="L2185" s="117"/>
      <x:c r="M2185" s="118"/>
      <x:c r="N2185" s="120" t="n">
        <x:v>45702.38091435185</x:v>
      </x:c>
      <x:c r="O2185" s="117" t="str">
        <x:v>Jon Kean</x:v>
      </x:c>
      <x:c r="P2185" s="120" t="n">
        <x:v>45702.380960648145</x:v>
      </x:c>
      <x:c r="Q2185" s="117" t="str">
        <x:v>Jon Kean</x:v>
      </x:c>
      <x:c r="R2185" s="117" t="str">
        <x:v>PartsReadyForCollectionWorkOrderAlert</x:v>
      </x:c>
      <x:c r="S2185" s="119"/>
    </x:row>
    <x:row r="2186" ht="30" customHeight="1">
      <x:c r="A2186" s="117" t="str">
        <x:v>Payment_Request_Email</x:v>
      </x:c>
      <x:c r="B2186" s="117" t="str">
        <x:v>300Ro00000kKs8MIAS</x:v>
      </x:c>
      <x:c r="C2186" s="117" t="str">
        <x:v>301Ro00000rhIpgIAE</x:v>
      </x:c>
      <x:c r="D2186" s="118" t="n">
        <x:v>1</x:v>
      </x:c>
      <x:c r="E2186" s="117" t="str">
        <x:v>Draft</x:v>
      </x:c>
      <x:c r="F2186" s="117" t="str">
        <x:v>No</x:v>
      </x:c>
      <x:c r="G2186" s="117" t="str">
        <x:v>Yes</x:v>
      </x:c>
      <x:c r="H2186" s="117" t="str">
        <x:v>AutoLaunchedFlow</x:v>
      </x:c>
      <x:c r="I2186" s="118" t="n">
        <x:v>64</x:v>
      </x:c>
      <x:c r="J2186" s="117" t="str">
        <x:v>installed</x:v>
      </x:c>
      <x:c r="K2186" s="123" t="b">
        <x:v>0</x:v>
      </x:c>
      <x:c r="L2186" s="117"/>
      <x:c r="M2186" s="118"/>
      <x:c r="N2186" s="120" t="n">
        <x:v>45965.9774537037</x:v>
      </x:c>
      <x:c r="O2186" s="117" t="str"/>
      <x:c r="P2186" s="120" t="n">
        <x:v>45965.97775462963</x:v>
      </x:c>
      <x:c r="Q2186" s="117" t="str"/>
      <x:c r="R2186" s="117" t="str">
        <x:v>Payment Request Email</x:v>
      </x:c>
      <x:c r="S2186" s="119" t="str">
        <x:v>Send email when a Payment Request object is created or updated with the Send Payment Request Email is true and Status is not Paid</x:v>
      </x:c>
    </x:row>
    <x:row r="2187" ht="30" customHeight="1">
      <x:c r="A2187" s="117" t="str">
        <x:v>Payment_Status_Recurring</x:v>
      </x:c>
      <x:c r="B2187" s="117" t="str">
        <x:v>300Ro00000kKs8IIAS</x:v>
      </x:c>
      <x:c r="C2187" s="117" t="str">
        <x:v>301Ro00000rhIpcIAE</x:v>
      </x:c>
      <x:c r="D2187" s="118" t="n">
        <x:v>1</x:v>
      </x:c>
      <x:c r="E2187" s="117" t="str">
        <x:v>Draft</x:v>
      </x:c>
      <x:c r="F2187" s="117" t="str">
        <x:v>No</x:v>
      </x:c>
      <x:c r="G2187" s="117" t="str">
        <x:v>Yes</x:v>
      </x:c>
      <x:c r="H2187" s="117" t="str">
        <x:v>AutoLaunchedFlow</x:v>
      </x:c>
      <x:c r="I2187" s="118" t="n">
        <x:v>64</x:v>
      </x:c>
      <x:c r="J2187" s="117" t="str">
        <x:v>installed</x:v>
      </x:c>
      <x:c r="K2187" s="123" t="b">
        <x:v>0</x:v>
      </x:c>
      <x:c r="L2187" s="117"/>
      <x:c r="M2187" s="118"/>
      <x:c r="N2187" s="120" t="n">
        <x:v>45965.977430555555</x:v>
      </x:c>
      <x:c r="O2187" s="117" t="str"/>
      <x:c r="P2187" s="120" t="n">
        <x:v>45965.977430555555</x:v>
      </x:c>
      <x:c r="Q2187" s="117" t="str"/>
      <x:c r="R2187" s="117" t="str">
        <x:v>Payment Status Recurring</x:v>
      </x:c>
      <x:c r="S2187" s="119" t="str">
        <x:v>This flow runs when the Chargent Payment Status field equals 'Recurring.' Use this flow to set any values that should be defined every time the Payment Status field is set to 'Recurring.'</x:v>
      </x:c>
    </x:row>
    <x:row r="2188" ht="30" customHeight="1">
      <x:c r="A2188" s="117" t="str">
        <x:v>PB_Asset2</x:v>
      </x:c>
      <x:c r="B2188" s="117" t="str">
        <x:v>3004O000000Xh3YQAS</x:v>
      </x:c>
      <x:c r="C2188" s="117" t="str">
        <x:v>3014O000000YA82QAG</x:v>
      </x:c>
      <x:c r="D2188" s="118" t="n">
        <x:v>1</x:v>
      </x:c>
      <x:c r="E2188" s="117" t="str">
        <x:v>Obsolete</x:v>
      </x:c>
      <x:c r="F2188" s="117" t="str">
        <x:v>No</x:v>
      </x:c>
      <x:c r="G2188" s="117" t="str">
        <x:v>No</x:v>
      </x:c>
      <x:c r="H2188" s="117" t="str">
        <x:v>Workflow</x:v>
      </x:c>
      <x:c r="I2188" s="118" t="n">
        <x:v>50</x:v>
      </x:c>
      <x:c r="J2188" s="117" t="str">
        <x:v>unmanaged</x:v>
      </x:c>
      <x:c r="K2188" s="123" t="b">
        <x:v>0</x:v>
      </x:c>
      <x:c r="L2188" s="117"/>
      <x:c r="M2188" s="118"/>
      <x:c r="N2188" s="120" t="n">
        <x:v>44260.15555555555</x:v>
      </x:c>
      <x:c r="O2188" s="117" t="str">
        <x:v>Delegate</x:v>
      </x:c>
      <x:c r="P2188" s="120" t="n">
        <x:v>44260.155810185184</x:v>
      </x:c>
      <x:c r="Q2188" s="117" t="str">
        <x:v>Delegate</x:v>
      </x:c>
      <x:c r="R2188" s="117" t="str">
        <x:v>PB: Asset2</x:v>
      </x:c>
      <x:c r="S2188" s="119" t="str">
        <x:v>Handles changes on the Asset2 object</x:v>
      </x:c>
    </x:row>
    <x:row r="2189" ht="30" customHeight="1">
      <x:c r="A2189" s="117" t="str">
        <x:v>PB_Asset2</x:v>
      </x:c>
      <x:c r="B2189" s="117" t="str">
        <x:v>3004O000000Xh3YQAS</x:v>
      </x:c>
      <x:c r="C2189" s="117" t="str">
        <x:v>3014O000000YA8fQAG</x:v>
      </x:c>
      <x:c r="D2189" s="118" t="n">
        <x:v>2</x:v>
      </x:c>
      <x:c r="E2189" s="117" t="str">
        <x:v>Obsolete</x:v>
      </x:c>
      <x:c r="F2189" s="117" t="str">
        <x:v>No</x:v>
      </x:c>
      <x:c r="G2189" s="117" t="str">
        <x:v>No</x:v>
      </x:c>
      <x:c r="H2189" s="117" t="str">
        <x:v>Workflow</x:v>
      </x:c>
      <x:c r="I2189" s="118" t="n">
        <x:v>50</x:v>
      </x:c>
      <x:c r="J2189" s="117" t="str">
        <x:v>unmanaged</x:v>
      </x:c>
      <x:c r="K2189" s="123" t="b">
        <x:v>0</x:v>
      </x:c>
      <x:c r="L2189" s="117"/>
      <x:c r="M2189" s="118"/>
      <x:c r="N2189" s="120" t="n">
        <x:v>44260.63872685185</x:v>
      </x:c>
      <x:c r="O2189" s="117" t="str">
        <x:v>Delegate</x:v>
      </x:c>
      <x:c r="P2189" s="120" t="n">
        <x:v>44260.639016203706</x:v>
      </x:c>
      <x:c r="Q2189" s="117" t="str">
        <x:v>Delegate</x:v>
      </x:c>
      <x:c r="R2189" s="117" t="str">
        <x:v>PB: Asset2</x:v>
      </x:c>
      <x:c r="S2189" s="119" t="str">
        <x:v>Handles changes on the Asset2 object</x:v>
      </x:c>
    </x:row>
    <x:row r="2190" ht="30" customHeight="1">
      <x:c r="A2190" s="117" t="str">
        <x:v>PB_Asset2</x:v>
      </x:c>
      <x:c r="B2190" s="117" t="str">
        <x:v>3004O000000Xh3YQAS</x:v>
      </x:c>
      <x:c r="C2190" s="117" t="str">
        <x:v>3014O000000YB3MQAW</x:v>
      </x:c>
      <x:c r="D2190" s="118" t="n">
        <x:v>3</x:v>
      </x:c>
      <x:c r="E2190" s="117" t="str">
        <x:v>Obsolete</x:v>
      </x:c>
      <x:c r="F2190" s="117" t="str">
        <x:v>No</x:v>
      </x:c>
      <x:c r="G2190" s="117" t="str">
        <x:v>No</x:v>
      </x:c>
      <x:c r="H2190" s="117" t="str">
        <x:v>Workflow</x:v>
      </x:c>
      <x:c r="I2190" s="118" t="n">
        <x:v>50</x:v>
      </x:c>
      <x:c r="J2190" s="117" t="str">
        <x:v>unmanaged</x:v>
      </x:c>
      <x:c r="K2190" s="123" t="b">
        <x:v>0</x:v>
      </x:c>
      <x:c r="L2190" s="117"/>
      <x:c r="M2190" s="118"/>
      <x:c r="N2190" s="120" t="n">
        <x:v>44309.80762731482</x:v>
      </x:c>
      <x:c r="O2190" s="117" t="str">
        <x:v>Natalie Boger</x:v>
      </x:c>
      <x:c r="P2190" s="120" t="n">
        <x:v>44330.05409722222</x:v>
      </x:c>
      <x:c r="Q2190" s="117" t="str">
        <x:v>Delegate</x:v>
      </x:c>
      <x:c r="R2190" s="117" t="str">
        <x:v>PB: Asset2</x:v>
      </x:c>
      <x:c r="S2190" s="119" t="str">
        <x:v>Handles changes on the Asset2 object</x:v>
      </x:c>
    </x:row>
    <x:row r="2191" ht="30" customHeight="1">
      <x:c r="A2191" s="117" t="str">
        <x:v>PB_Asset2</x:v>
      </x:c>
      <x:c r="B2191" s="117" t="str">
        <x:v>3004O000000Xh3YQAS</x:v>
      </x:c>
      <x:c r="C2191" s="117" t="str">
        <x:v>3014O000000YBHYQA4</x:v>
      </x:c>
      <x:c r="D2191" s="118" t="n">
        <x:v>4</x:v>
      </x:c>
      <x:c r="E2191" s="117" t="str">
        <x:v>Obsolete</x:v>
      </x:c>
      <x:c r="F2191" s="117" t="str">
        <x:v>No</x:v>
      </x:c>
      <x:c r="G2191" s="117" t="str">
        <x:v>Yes</x:v>
      </x:c>
      <x:c r="H2191" s="117" t="str">
        <x:v>Workflow</x:v>
      </x:c>
      <x:c r="I2191" s="118" t="n">
        <x:v>50</x:v>
      </x:c>
      <x:c r="J2191" s="117" t="str">
        <x:v>unmanaged</x:v>
      </x:c>
      <x:c r="K2191" s="123" t="b">
        <x:v>0</x:v>
      </x:c>
      <x:c r="L2191" s="117"/>
      <x:c r="M2191" s="118"/>
      <x:c r="N2191" s="120" t="n">
        <x:v>44330.074270833335</x:v>
      </x:c>
      <x:c r="O2191" s="117" t="str">
        <x:v>Delegate</x:v>
      </x:c>
      <x:c r="P2191" s="120" t="n">
        <x:v>44751.41998842593</x:v>
      </x:c>
      <x:c r="Q2191" s="117" t="str">
        <x:v>Jace Gentil</x:v>
      </x:c>
      <x:c r="R2191" s="117" t="str">
        <x:v>PB: Asset2</x:v>
      </x:c>
      <x:c r="S2191" s="119" t="str">
        <x:v>Handles changes on the Asset2 object</x:v>
      </x:c>
    </x:row>
    <x:row r="2192" ht="30" customHeight="1">
      <x:c r="A2192" s="117" t="str">
        <x:v>PB_Invoice</x:v>
      </x:c>
      <x:c r="B2192" s="117" t="str">
        <x:v>3004O000000LOseQAG</x:v>
      </x:c>
      <x:c r="C2192" s="117" t="str">
        <x:v>3014O000000M0WyQAK</x:v>
      </x:c>
      <x:c r="D2192" s="118" t="n">
        <x:v>1</x:v>
      </x:c>
      <x:c r="E2192" s="117" t="str">
        <x:v>Draft</x:v>
      </x:c>
      <x:c r="F2192" s="117" t="str">
        <x:v>No</x:v>
      </x:c>
      <x:c r="G2192" s="117" t="str">
        <x:v>No</x:v>
      </x:c>
      <x:c r="H2192" s="117" t="str">
        <x:v>Workflow</x:v>
      </x:c>
      <x:c r="I2192" s="118" t="n">
        <x:v>50</x:v>
      </x:c>
      <x:c r="J2192" s="117" t="str">
        <x:v>unmanaged</x:v>
      </x:c>
      <x:c r="K2192" s="123" t="b">
        <x:v>0</x:v>
      </x:c>
      <x:c r="L2192" s="117"/>
      <x:c r="M2192" s="118"/>
      <x:c r="N2192" s="120" t="n">
        <x:v>44199.74930555555</x:v>
      </x:c>
      <x:c r="O2192" s="117" t="str">
        <x:v>Delegate</x:v>
      </x:c>
      <x:c r="P2192" s="120" t="n">
        <x:v>44199.749398148146</x:v>
      </x:c>
      <x:c r="Q2192" s="117" t="str">
        <x:v>Delegate</x:v>
      </x:c>
      <x:c r="R2192" s="117" t="str">
        <x:v>PB: Invoice</x:v>
      </x:c>
      <x:c r="S2192" s="119" t="str">
        <x:v>Handles operations on the invoicing object</x:v>
      </x:c>
    </x:row>
    <x:row r="2193" ht="30" customHeight="1">
      <x:c r="A2193" s="117" t="str">
        <x:v>PB_Invoice</x:v>
      </x:c>
      <x:c r="B2193" s="117" t="str">
        <x:v>3004O000000LOseQAG</x:v>
      </x:c>
      <x:c r="C2193" s="117" t="str">
        <x:v>3014O000000M0XHQA0</x:v>
      </x:c>
      <x:c r="D2193" s="118" t="n">
        <x:v>2</x:v>
      </x:c>
      <x:c r="E2193" s="117" t="str">
        <x:v>Obsolete</x:v>
      </x:c>
      <x:c r="F2193" s="117" t="str">
        <x:v>No</x:v>
      </x:c>
      <x:c r="G2193" s="117" t="str">
        <x:v>No</x:v>
      </x:c>
      <x:c r="H2193" s="117" t="str">
        <x:v>Workflow</x:v>
      </x:c>
      <x:c r="I2193" s="118" t="n">
        <x:v>50</x:v>
      </x:c>
      <x:c r="J2193" s="117" t="str">
        <x:v>unmanaged</x:v>
      </x:c>
      <x:c r="K2193" s="123" t="b">
        <x:v>0</x:v>
      </x:c>
      <x:c r="L2193" s="117"/>
      <x:c r="M2193" s="118"/>
      <x:c r="N2193" s="120" t="n">
        <x:v>44199.80042824074</x:v>
      </x:c>
      <x:c r="O2193" s="117" t="str">
        <x:v>Delegate</x:v>
      </x:c>
      <x:c r="P2193" s="120" t="n">
        <x:v>44203.694872685184</x:v>
      </x:c>
      <x:c r="Q2193" s="117" t="str">
        <x:v>Trent VanEmon</x:v>
      </x:c>
      <x:c r="R2193" s="117" t="str">
        <x:v>PB: Invoice</x:v>
      </x:c>
      <x:c r="S2193" s="119" t="str">
        <x:v>Handles operations on the invoicing object</x:v>
      </x:c>
    </x:row>
    <x:row r="2194" ht="30" customHeight="1">
      <x:c r="A2194" s="117" t="str">
        <x:v>PB_Invoice</x:v>
      </x:c>
      <x:c r="B2194" s="117" t="str">
        <x:v>3004O000000LOseQAG</x:v>
      </x:c>
      <x:c r="C2194" s="117" t="str">
        <x:v>3014O000000M0dSQAS</x:v>
      </x:c>
      <x:c r="D2194" s="118" t="n">
        <x:v>3</x:v>
      </x:c>
      <x:c r="E2194" s="117" t="str">
        <x:v>Obsolete</x:v>
      </x:c>
      <x:c r="F2194" s="117" t="str">
        <x:v>No</x:v>
      </x:c>
      <x:c r="G2194" s="117" t="str">
        <x:v>No</x:v>
      </x:c>
      <x:c r="H2194" s="117" t="str">
        <x:v>Workflow</x:v>
      </x:c>
      <x:c r="I2194" s="118" t="n">
        <x:v>50</x:v>
      </x:c>
      <x:c r="J2194" s="117" t="str">
        <x:v>unmanaged</x:v>
      </x:c>
      <x:c r="K2194" s="123" t="b">
        <x:v>0</x:v>
      </x:c>
      <x:c r="L2194" s="117"/>
      <x:c r="M2194" s="118"/>
      <x:c r="N2194" s="120" t="n">
        <x:v>44203.69672453704</x:v>
      </x:c>
      <x:c r="O2194" s="117" t="str">
        <x:v>Trent VanEmon</x:v>
      </x:c>
      <x:c r="P2194" s="120" t="n">
        <x:v>44217.838159722225</x:v>
      </x:c>
      <x:c r="Q2194" s="117" t="str">
        <x:v>Trent VanEmon</x:v>
      </x:c>
      <x:c r="R2194" s="117" t="str">
        <x:v>PB: Invoice</x:v>
      </x:c>
      <x:c r="S2194" s="119" t="str">
        <x:v>Handles operations on the invoicing object</x:v>
      </x:c>
    </x:row>
    <x:row r="2195" ht="30" customHeight="1">
      <x:c r="A2195" s="117" t="str">
        <x:v>PB_Invoice</x:v>
      </x:c>
      <x:c r="B2195" s="117" t="str">
        <x:v>3004O000000LOseQAG</x:v>
      </x:c>
      <x:c r="C2195" s="117" t="str">
        <x:v>3014O000000M11eQAC</x:v>
      </x:c>
      <x:c r="D2195" s="118" t="n">
        <x:v>4</x:v>
      </x:c>
      <x:c r="E2195" s="117" t="str">
        <x:v>Obsolete</x:v>
      </x:c>
      <x:c r="F2195" s="117" t="str">
        <x:v>No</x:v>
      </x:c>
      <x:c r="G2195" s="117" t="str">
        <x:v>No</x:v>
      </x:c>
      <x:c r="H2195" s="117" t="str">
        <x:v>Workflow</x:v>
      </x:c>
      <x:c r="I2195" s="118" t="n">
        <x:v>50</x:v>
      </x:c>
      <x:c r="J2195" s="117" t="str">
        <x:v>unmanaged</x:v>
      </x:c>
      <x:c r="K2195" s="123" t="b">
        <x:v>0</x:v>
      </x:c>
      <x:c r="L2195" s="117"/>
      <x:c r="M2195" s="118"/>
      <x:c r="N2195" s="120" t="n">
        <x:v>44217.83831018519</x:v>
      </x:c>
      <x:c r="O2195" s="117" t="str">
        <x:v>Trent VanEmon</x:v>
      </x:c>
      <x:c r="P2195" s="120" t="n">
        <x:v>44217.83835648148</x:v>
      </x:c>
      <x:c r="Q2195" s="117" t="str">
        <x:v>Trent VanEmon</x:v>
      </x:c>
      <x:c r="R2195" s="117" t="str">
        <x:v>PB: Invoice</x:v>
      </x:c>
      <x:c r="S2195" s="119" t="str">
        <x:v>Handles operations on the invoicing object</x:v>
      </x:c>
    </x:row>
    <x:row r="2196" ht="30" customHeight="1">
      <x:c r="A2196" s="117" t="str">
        <x:v>PB_Invoice</x:v>
      </x:c>
      <x:c r="B2196" s="117" t="str">
        <x:v>3004O000000LOseQAG</x:v>
      </x:c>
      <x:c r="C2196" s="117" t="str">
        <x:v>3014O000000M1GpQAK</x:v>
      </x:c>
      <x:c r="D2196" s="118" t="n">
        <x:v>5</x:v>
      </x:c>
      <x:c r="E2196" s="117" t="str">
        <x:v>Obsolete</x:v>
      </x:c>
      <x:c r="F2196" s="117" t="str">
        <x:v>No</x:v>
      </x:c>
      <x:c r="G2196" s="117" t="str">
        <x:v>No</x:v>
      </x:c>
      <x:c r="H2196" s="117" t="str">
        <x:v>Workflow</x:v>
      </x:c>
      <x:c r="I2196" s="118" t="n">
        <x:v>50</x:v>
      </x:c>
      <x:c r="J2196" s="117" t="str">
        <x:v>unmanaged</x:v>
      </x:c>
      <x:c r="K2196" s="123" t="b">
        <x:v>0</x:v>
      </x:c>
      <x:c r="L2196" s="117"/>
      <x:c r="M2196" s="118"/>
      <x:c r="N2196" s="120" t="n">
        <x:v>44228.931909722225</x:v>
      </x:c>
      <x:c r="O2196" s="117" t="str">
        <x:v>Delegate</x:v>
      </x:c>
      <x:c r="P2196" s="120" t="n">
        <x:v>44228.93206018519</x:v>
      </x:c>
      <x:c r="Q2196" s="117" t="str">
        <x:v>Delegate</x:v>
      </x:c>
      <x:c r="R2196" s="117" t="str">
        <x:v>PB: Invoice</x:v>
      </x:c>
      <x:c r="S2196" s="119" t="str">
        <x:v>Handles operations on the invoicing object</x:v>
      </x:c>
    </x:row>
    <x:row r="2197" ht="30" customHeight="1">
      <x:c r="A2197" s="117" t="str">
        <x:v>PB_Invoice</x:v>
      </x:c>
      <x:c r="B2197" s="117" t="str">
        <x:v>3004O000000LOseQAG</x:v>
      </x:c>
      <x:c r="C2197" s="117" t="str">
        <x:v>3014O000000YA9xQAG</x:v>
      </x:c>
      <x:c r="D2197" s="118" t="n">
        <x:v>6</x:v>
      </x:c>
      <x:c r="E2197" s="117" t="str">
        <x:v>Obsolete</x:v>
      </x:c>
      <x:c r="F2197" s="117" t="str">
        <x:v>No</x:v>
      </x:c>
      <x:c r="G2197" s="117" t="str">
        <x:v>No</x:v>
      </x:c>
      <x:c r="H2197" s="117" t="str">
        <x:v>Workflow</x:v>
      </x:c>
      <x:c r="I2197" s="118" t="n">
        <x:v>50</x:v>
      </x:c>
      <x:c r="J2197" s="117" t="str">
        <x:v>unmanaged</x:v>
      </x:c>
      <x:c r="K2197" s="123" t="b">
        <x:v>0</x:v>
      </x:c>
      <x:c r="L2197" s="117"/>
      <x:c r="M2197" s="118"/>
      <x:c r="N2197" s="120" t="n">
        <x:v>44264.68491898148</x:v>
      </x:c>
      <x:c r="O2197" s="117" t="str">
        <x:v>Delegate</x:v>
      </x:c>
      <x:c r="P2197" s="120" t="n">
        <x:v>44264.68498842593</x:v>
      </x:c>
      <x:c r="Q2197" s="117" t="str">
        <x:v>Delegate</x:v>
      </x:c>
      <x:c r="R2197" s="117" t="str">
        <x:v>PB: Invoice</x:v>
      </x:c>
      <x:c r="S2197" s="119" t="str">
        <x:v>Handles operations on the invoicing object</x:v>
      </x:c>
    </x:row>
    <x:row r="2198" ht="30" customHeight="1">
      <x:c r="A2198" s="117" t="str">
        <x:v>PB_Invoice</x:v>
      </x:c>
      <x:c r="B2198" s="117" t="str">
        <x:v>3004O000000LOseQAG</x:v>
      </x:c>
      <x:c r="C2198" s="117" t="str">
        <x:v>3014O000000YAWjQAO</x:v>
      </x:c>
      <x:c r="D2198" s="118" t="n">
        <x:v>7</x:v>
      </x:c>
      <x:c r="E2198" s="117" t="str">
        <x:v>Obsolete</x:v>
      </x:c>
      <x:c r="F2198" s="117" t="str">
        <x:v>No</x:v>
      </x:c>
      <x:c r="G2198" s="117" t="str">
        <x:v>No</x:v>
      </x:c>
      <x:c r="H2198" s="117" t="str">
        <x:v>Workflow</x:v>
      </x:c>
      <x:c r="I2198" s="118" t="n">
        <x:v>50</x:v>
      </x:c>
      <x:c r="J2198" s="117" t="str">
        <x:v>unmanaged</x:v>
      </x:c>
      <x:c r="K2198" s="123" t="b">
        <x:v>0</x:v>
      </x:c>
      <x:c r="L2198" s="117"/>
      <x:c r="M2198" s="118"/>
      <x:c r="N2198" s="120" t="n">
        <x:v>44286.52244212963</x:v>
      </x:c>
      <x:c r="O2198" s="117" t="str">
        <x:v>Delegate</x:v>
      </x:c>
      <x:c r="P2198" s="120" t="n">
        <x:v>44286.5225</x:v>
      </x:c>
      <x:c r="Q2198" s="117" t="str">
        <x:v>Delegate</x:v>
      </x:c>
      <x:c r="R2198" s="117" t="str">
        <x:v>PB: Invoice</x:v>
      </x:c>
      <x:c r="S2198" s="119" t="str">
        <x:v>Handles operations on the invoicing object</x:v>
      </x:c>
    </x:row>
    <x:row r="2199" ht="30" customHeight="1">
      <x:c r="A2199" s="117" t="str">
        <x:v>PB_Invoice</x:v>
      </x:c>
      <x:c r="B2199" s="117" t="str">
        <x:v>3004O000000LOseQAG</x:v>
      </x:c>
      <x:c r="C2199" s="117" t="str">
        <x:v>3014O000000YAXGQA4</x:v>
      </x:c>
      <x:c r="D2199" s="118" t="n">
        <x:v>8</x:v>
      </x:c>
      <x:c r="E2199" s="117" t="str">
        <x:v>Obsolete</x:v>
      </x:c>
      <x:c r="F2199" s="117" t="str">
        <x:v>No</x:v>
      </x:c>
      <x:c r="G2199" s="117" t="str">
        <x:v>No</x:v>
      </x:c>
      <x:c r="H2199" s="117" t="str">
        <x:v>Workflow</x:v>
      </x:c>
      <x:c r="I2199" s="118" t="n">
        <x:v>50</x:v>
      </x:c>
      <x:c r="J2199" s="117" t="str">
        <x:v>unmanaged</x:v>
      </x:c>
      <x:c r="K2199" s="123" t="b">
        <x:v>0</x:v>
      </x:c>
      <x:c r="L2199" s="117"/>
      <x:c r="M2199" s="118"/>
      <x:c r="N2199" s="120" t="n">
        <x:v>44286.57067129629</x:v>
      </x:c>
      <x:c r="O2199" s="117" t="str">
        <x:v>Delegate</x:v>
      </x:c>
      <x:c r="P2199" s="120" t="n">
        <x:v>44286.57077546296</x:v>
      </x:c>
      <x:c r="Q2199" s="117" t="str">
        <x:v>Delegate</x:v>
      </x:c>
      <x:c r="R2199" s="117" t="str">
        <x:v>PB: Invoice</x:v>
      </x:c>
      <x:c r="S2199" s="119" t="str">
        <x:v>Handles operations on the invoicing object</x:v>
      </x:c>
    </x:row>
    <x:row r="2200" ht="30" customHeight="1">
      <x:c r="A2200" s="117" t="str">
        <x:v>PB_Invoice</x:v>
      </x:c>
      <x:c r="B2200" s="117" t="str">
        <x:v>3004O000000LOseQAG</x:v>
      </x:c>
      <x:c r="C2200" s="117" t="str">
        <x:v>3014O000000YAcLQAW</x:v>
      </x:c>
      <x:c r="D2200" s="118" t="n">
        <x:v>9</x:v>
      </x:c>
      <x:c r="E2200" s="117" t="str">
        <x:v>Obsolete</x:v>
      </x:c>
      <x:c r="F2200" s="117" t="str">
        <x:v>No</x:v>
      </x:c>
      <x:c r="G2200" s="117" t="str">
        <x:v>No</x:v>
      </x:c>
      <x:c r="H2200" s="117" t="str">
        <x:v>Workflow</x:v>
      </x:c>
      <x:c r="I2200" s="118" t="n">
        <x:v>50</x:v>
      </x:c>
      <x:c r="J2200" s="117" t="str">
        <x:v>unmanaged</x:v>
      </x:c>
      <x:c r="K2200" s="123" t="b">
        <x:v>0</x:v>
      </x:c>
      <x:c r="L2200" s="117"/>
      <x:c r="M2200" s="118"/>
      <x:c r="N2200" s="120" t="n">
        <x:v>44288.70518518519</x:v>
      </x:c>
      <x:c r="O2200" s="117" t="str">
        <x:v>Delegate</x:v>
      </x:c>
      <x:c r="P2200" s="120" t="n">
        <x:v>44288.705300925925</x:v>
      </x:c>
      <x:c r="Q2200" s="117" t="str">
        <x:v>Delegate</x:v>
      </x:c>
      <x:c r="R2200" s="117" t="str">
        <x:v>PB: Invoice</x:v>
      </x:c>
      <x:c r="S2200" s="119" t="str">
        <x:v>Handles operations on the invoicing object</x:v>
      </x:c>
    </x:row>
    <x:row r="2201" ht="30" customHeight="1">
      <x:c r="A2201" s="117" t="str">
        <x:v>PB_Invoice</x:v>
      </x:c>
      <x:c r="B2201" s="117" t="str">
        <x:v>3004O000000LOseQAG</x:v>
      </x:c>
      <x:c r="C2201" s="117" t="str">
        <x:v>3014O000000YAjMQAW</x:v>
      </x:c>
      <x:c r="D2201" s="118" t="n">
        <x:v>10</x:v>
      </x:c>
      <x:c r="E2201" s="117" t="str">
        <x:v>Obsolete</x:v>
      </x:c>
      <x:c r="F2201" s="117" t="str">
        <x:v>No</x:v>
      </x:c>
      <x:c r="G2201" s="117" t="str">
        <x:v>No</x:v>
      </x:c>
      <x:c r="H2201" s="117" t="str">
        <x:v>Workflow</x:v>
      </x:c>
      <x:c r="I2201" s="118" t="n">
        <x:v>50</x:v>
      </x:c>
      <x:c r="J2201" s="117" t="str">
        <x:v>unmanaged</x:v>
      </x:c>
      <x:c r="K2201" s="123" t="b">
        <x:v>0</x:v>
      </x:c>
      <x:c r="L2201" s="117"/>
      <x:c r="M2201" s="118"/>
      <x:c r="N2201" s="120" t="n">
        <x:v>44295.85105324074</x:v>
      </x:c>
      <x:c r="O2201" s="117" t="str">
        <x:v>Delegate</x:v>
      </x:c>
      <x:c r="P2201" s="120" t="n">
        <x:v>44295.85113425926</x:v>
      </x:c>
      <x:c r="Q2201" s="117" t="str">
        <x:v>Delegate</x:v>
      </x:c>
      <x:c r="R2201" s="117" t="str">
        <x:v>PB: Invoice</x:v>
      </x:c>
      <x:c r="S2201" s="119" t="str">
        <x:v>Handles operations on the invoicing object</x:v>
      </x:c>
    </x:row>
    <x:row r="2202" ht="30" customHeight="1">
      <x:c r="A2202" s="117" t="str">
        <x:v>PB_Invoice</x:v>
      </x:c>
      <x:c r="B2202" s="117" t="str">
        <x:v>3004O000000LOseQAG</x:v>
      </x:c>
      <x:c r="C2202" s="117" t="str">
        <x:v>3014O000000YAtMQAW</x:v>
      </x:c>
      <x:c r="D2202" s="118" t="n">
        <x:v>11</x:v>
      </x:c>
      <x:c r="E2202" s="117" t="str">
        <x:v>Obsolete</x:v>
      </x:c>
      <x:c r="F2202" s="117" t="str">
        <x:v>No</x:v>
      </x:c>
      <x:c r="G2202" s="117" t="str">
        <x:v>No</x:v>
      </x:c>
      <x:c r="H2202" s="117" t="str">
        <x:v>Workflow</x:v>
      </x:c>
      <x:c r="I2202" s="118" t="n">
        <x:v>50</x:v>
      </x:c>
      <x:c r="J2202" s="117" t="str">
        <x:v>unmanaged</x:v>
      </x:c>
      <x:c r="K2202" s="123" t="b">
        <x:v>0</x:v>
      </x:c>
      <x:c r="L2202" s="117"/>
      <x:c r="M2202" s="118"/>
      <x:c r="N2202" s="120" t="n">
        <x:v>44305.96229166666</x:v>
      </x:c>
      <x:c r="O2202" s="117" t="str">
        <x:v>Delegate</x:v>
      </x:c>
      <x:c r="P2202" s="120" t="n">
        <x:v>44305.96239583333</x:v>
      </x:c>
      <x:c r="Q2202" s="117" t="str">
        <x:v>Delegate</x:v>
      </x:c>
      <x:c r="R2202" s="117" t="str">
        <x:v>PB: Invoice</x:v>
      </x:c>
      <x:c r="S2202" s="119" t="str">
        <x:v>Handles operations on the invoicing object</x:v>
      </x:c>
    </x:row>
    <x:row r="2203" ht="30" customHeight="1">
      <x:c r="A2203" s="117" t="str">
        <x:v>PB_Invoice</x:v>
      </x:c>
      <x:c r="B2203" s="117" t="str">
        <x:v>3004O000000LOseQAG</x:v>
      </x:c>
      <x:c r="C2203" s="117" t="str">
        <x:v>3014O000000YCJlQAO</x:v>
      </x:c>
      <x:c r="D2203" s="118" t="n">
        <x:v>12</x:v>
      </x:c>
      <x:c r="E2203" s="117" t="str">
        <x:v>Obsolete</x:v>
      </x:c>
      <x:c r="F2203" s="117" t="str">
        <x:v>No</x:v>
      </x:c>
      <x:c r="G2203" s="117" t="str">
        <x:v>No</x:v>
      </x:c>
      <x:c r="H2203" s="117" t="str">
        <x:v>Workflow</x:v>
      </x:c>
      <x:c r="I2203" s="118" t="n">
        <x:v>50</x:v>
      </x:c>
      <x:c r="J2203" s="117" t="str">
        <x:v>unmanaged</x:v>
      </x:c>
      <x:c r="K2203" s="123" t="b">
        <x:v>0</x:v>
      </x:c>
      <x:c r="L2203" s="117"/>
      <x:c r="M2203" s="118"/>
      <x:c r="N2203" s="120" t="n">
        <x:v>44407.72597222222</x:v>
      </x:c>
      <x:c r="O2203" s="117" t="str">
        <x:v>Delegate</x:v>
      </x:c>
      <x:c r="P2203" s="120" t="n">
        <x:v>44407.72609953704</x:v>
      </x:c>
      <x:c r="Q2203" s="117" t="str">
        <x:v>Delegate</x:v>
      </x:c>
      <x:c r="R2203" s="117" t="str">
        <x:v>PB: Invoice</x:v>
      </x:c>
      <x:c r="S2203" s="119" t="str">
        <x:v>Handles operations on the invoicing object</x:v>
      </x:c>
    </x:row>
    <x:row r="2204" ht="30" customHeight="1">
      <x:c r="A2204" s="117" t="str">
        <x:v>PB_Invoice</x:v>
      </x:c>
      <x:c r="B2204" s="117" t="str">
        <x:v>3004O000000LOseQAG</x:v>
      </x:c>
      <x:c r="C2204" s="117" t="str">
        <x:v>3015b000000EAN1AAO</x:v>
      </x:c>
      <x:c r="D2204" s="118" t="n">
        <x:v>13</x:v>
      </x:c>
      <x:c r="E2204" s="117" t="str">
        <x:v>Obsolete</x:v>
      </x:c>
      <x:c r="F2204" s="117" t="str">
        <x:v>No</x:v>
      </x:c>
      <x:c r="G2204" s="117" t="str">
        <x:v>No</x:v>
      </x:c>
      <x:c r="H2204" s="117" t="str">
        <x:v>Workflow</x:v>
      </x:c>
      <x:c r="I2204" s="118" t="n">
        <x:v>50</x:v>
      </x:c>
      <x:c r="J2204" s="117" t="str">
        <x:v>unmanaged</x:v>
      </x:c>
      <x:c r="K2204" s="123" t="b">
        <x:v>0</x:v>
      </x:c>
      <x:c r="L2204" s="117"/>
      <x:c r="M2204" s="118"/>
      <x:c r="N2204" s="120" t="n">
        <x:v>44449.58017361111</x:v>
      </x:c>
      <x:c r="O2204" s="117" t="str">
        <x:v>Delegate</x:v>
      </x:c>
      <x:c r="P2204" s="120" t="n">
        <x:v>44449.58025462963</x:v>
      </x:c>
      <x:c r="Q2204" s="117" t="str">
        <x:v>Delegate</x:v>
      </x:c>
      <x:c r="R2204" s="117" t="str">
        <x:v>PB: Invoice</x:v>
      </x:c>
      <x:c r="S2204" s="119" t="str">
        <x:v>Handles operations on the invoicing object</x:v>
      </x:c>
    </x:row>
    <x:row r="2205" ht="30" customHeight="1">
      <x:c r="A2205" s="117" t="str">
        <x:v>PB_Invoice</x:v>
      </x:c>
      <x:c r="B2205" s="117" t="str">
        <x:v>3004O000000LOseQAG</x:v>
      </x:c>
      <x:c r="C2205" s="117" t="str">
        <x:v>3015b000000EANaAAO</x:v>
      </x:c>
      <x:c r="D2205" s="118" t="n">
        <x:v>14</x:v>
      </x:c>
      <x:c r="E2205" s="117" t="str">
        <x:v>Obsolete</x:v>
      </x:c>
      <x:c r="F2205" s="117" t="str">
        <x:v>No</x:v>
      </x:c>
      <x:c r="G2205" s="117" t="str">
        <x:v>No</x:v>
      </x:c>
      <x:c r="H2205" s="117" t="str">
        <x:v>Workflow</x:v>
      </x:c>
      <x:c r="I2205" s="118" t="n">
        <x:v>50</x:v>
      </x:c>
      <x:c r="J2205" s="117" t="str">
        <x:v>unmanaged</x:v>
      </x:c>
      <x:c r="K2205" s="123" t="b">
        <x:v>0</x:v>
      </x:c>
      <x:c r="L2205" s="117"/>
      <x:c r="M2205" s="118"/>
      <x:c r="N2205" s="120" t="n">
        <x:v>44449.62107638889</x:v>
      </x:c>
      <x:c r="O2205" s="117" t="str">
        <x:v>Delegate</x:v>
      </x:c>
      <x:c r="P2205" s="120" t="n">
        <x:v>44449.62118055556</x:v>
      </x:c>
      <x:c r="Q2205" s="117" t="str">
        <x:v>Delegate</x:v>
      </x:c>
      <x:c r="R2205" s="117" t="str">
        <x:v>PB: Invoice</x:v>
      </x:c>
      <x:c r="S2205" s="119" t="str">
        <x:v>Handles operations on the invoicing object</x:v>
      </x:c>
    </x:row>
    <x:row r="2206" ht="30" customHeight="1">
      <x:c r="A2206" s="117" t="str">
        <x:v>PB_Invoice</x:v>
      </x:c>
      <x:c r="B2206" s="117" t="str">
        <x:v>3004O000000LOseQAG</x:v>
      </x:c>
      <x:c r="C2206" s="117" t="str">
        <x:v>3015b000000EAWoAAO</x:v>
      </x:c>
      <x:c r="D2206" s="118" t="n">
        <x:v>15</x:v>
      </x:c>
      <x:c r="E2206" s="117" t="str">
        <x:v>Obsolete</x:v>
      </x:c>
      <x:c r="F2206" s="117" t="str">
        <x:v>No</x:v>
      </x:c>
      <x:c r="G2206" s="117" t="str">
        <x:v>No</x:v>
      </x:c>
      <x:c r="H2206" s="117" t="str">
        <x:v>Workflow</x:v>
      </x:c>
      <x:c r="I2206" s="118" t="n">
        <x:v>50</x:v>
      </x:c>
      <x:c r="J2206" s="117" t="str">
        <x:v>unmanaged</x:v>
      </x:c>
      <x:c r="K2206" s="123" t="b">
        <x:v>0</x:v>
      </x:c>
      <x:c r="L2206" s="117"/>
      <x:c r="M2206" s="118"/>
      <x:c r="N2206" s="120" t="n">
        <x:v>44454.63791666667</x:v>
      </x:c>
      <x:c r="O2206" s="117" t="str">
        <x:v>Delegate</x:v>
      </x:c>
      <x:c r="P2206" s="120" t="n">
        <x:v>44760.55494212963</x:v>
      </x:c>
      <x:c r="Q2206" s="117" t="str">
        <x:v>Delegate</x:v>
      </x:c>
      <x:c r="R2206" s="117" t="str">
        <x:v>PB: Invoice</x:v>
      </x:c>
      <x:c r="S2206" s="119" t="str">
        <x:v>Handles operations on the invoicing object</x:v>
      </x:c>
    </x:row>
    <x:row r="2207" ht="30" customHeight="1">
      <x:c r="A2207" s="117" t="str">
        <x:v>PB_Invoice</x:v>
      </x:c>
      <x:c r="B2207" s="117" t="str">
        <x:v>3004O000000LOseQAG</x:v>
      </x:c>
      <x:c r="C2207" s="117" t="str">
        <x:v>3015b000000AP7wAAG</x:v>
      </x:c>
      <x:c r="D2207" s="118" t="n">
        <x:v>16</x:v>
      </x:c>
      <x:c r="E2207" s="117" t="str">
        <x:v>Obsolete</x:v>
      </x:c>
      <x:c r="F2207" s="117" t="str">
        <x:v>No</x:v>
      </x:c>
      <x:c r="G2207" s="117" t="str">
        <x:v>No</x:v>
      </x:c>
      <x:c r="H2207" s="117" t="str">
        <x:v>Workflow</x:v>
      </x:c>
      <x:c r="I2207" s="118" t="n">
        <x:v>50</x:v>
      </x:c>
      <x:c r="J2207" s="117" t="str">
        <x:v>unmanaged</x:v>
      </x:c>
      <x:c r="K2207" s="123" t="b">
        <x:v>0</x:v>
      </x:c>
      <x:c r="L2207" s="117"/>
      <x:c r="M2207" s="118"/>
      <x:c r="N2207" s="120" t="n">
        <x:v>45135.56554398148</x:v>
      </x:c>
      <x:c r="O2207" s="117" t="str">
        <x:v>Delegate</x:v>
      </x:c>
      <x:c r="P2207" s="120" t="n">
        <x:v>45265.64627314815</x:v>
      </x:c>
      <x:c r="Q2207" s="117" t="str">
        <x:v>Jace Gentil</x:v>
      </x:c>
      <x:c r="R2207" s="117" t="str">
        <x:v>PB: Invoice</x:v>
      </x:c>
      <x:c r="S2207" s="119" t="str">
        <x:v>Handles operations on the invoicing object</x:v>
      </x:c>
    </x:row>
    <x:row r="2208" ht="30" customHeight="1">
      <x:c r="A2208" s="117" t="str">
        <x:v>PB_Invoice</x:v>
      </x:c>
      <x:c r="B2208" s="117" t="str">
        <x:v>3004O000000LOseQAG</x:v>
      </x:c>
      <x:c r="C2208" s="117" t="str">
        <x:v>3015b0000011MiLAAU</x:v>
      </x:c>
      <x:c r="D2208" s="118" t="n">
        <x:v>17</x:v>
      </x:c>
      <x:c r="E2208" s="117" t="str">
        <x:v>Obsolete</x:v>
      </x:c>
      <x:c r="F2208" s="117" t="str">
        <x:v>No</x:v>
      </x:c>
      <x:c r="G2208" s="117" t="str">
        <x:v>No</x:v>
      </x:c>
      <x:c r="H2208" s="117" t="str">
        <x:v>Workflow</x:v>
      </x:c>
      <x:c r="I2208" s="118" t="n">
        <x:v>50</x:v>
      </x:c>
      <x:c r="J2208" s="117" t="str">
        <x:v>unmanaged</x:v>
      </x:c>
      <x:c r="K2208" s="123" t="b">
        <x:v>0</x:v>
      </x:c>
      <x:c r="L2208" s="117"/>
      <x:c r="M2208" s="118"/>
      <x:c r="N2208" s="120" t="n">
        <x:v>45265.64418981481</x:v>
      </x:c>
      <x:c r="O2208" s="117" t="str">
        <x:v>Jace Gentil</x:v>
      </x:c>
      <x:c r="P2208" s="120" t="n">
        <x:v>45265.64429398148</x:v>
      </x:c>
      <x:c r="Q2208" s="117" t="str">
        <x:v>Jace Gentil</x:v>
      </x:c>
      <x:c r="R2208" s="117" t="str">
        <x:v>PB: Invoice</x:v>
      </x:c>
      <x:c r="S2208" s="119" t="str">
        <x:v>Handles operations on the invoicing object</x:v>
      </x:c>
    </x:row>
    <x:row r="2209" ht="30" customHeight="1">
      <x:c r="A2209" s="117" t="str">
        <x:v>PB_Invoice</x:v>
      </x:c>
      <x:c r="B2209" s="117" t="str">
        <x:v>3004O000000LOseQAG</x:v>
      </x:c>
      <x:c r="C2209" s="117" t="str">
        <x:v>301Ro00000gLKJmIAO</x:v>
      </x:c>
      <x:c r="D2209" s="118" t="n">
        <x:v>18</x:v>
      </x:c>
      <x:c r="E2209" s="117" t="str">
        <x:v>Obsolete</x:v>
      </x:c>
      <x:c r="F2209" s="117" t="str">
        <x:v>No</x:v>
      </x:c>
      <x:c r="G2209" s="117" t="str">
        <x:v>No</x:v>
      </x:c>
      <x:c r="H2209" s="117" t="str">
        <x:v>Workflow</x:v>
      </x:c>
      <x:c r="I2209" s="118" t="n">
        <x:v>50</x:v>
      </x:c>
      <x:c r="J2209" s="117" t="str">
        <x:v>unmanaged</x:v>
      </x:c>
      <x:c r="K2209" s="123" t="b">
        <x:v>0</x:v>
      </x:c>
      <x:c r="L2209" s="117"/>
      <x:c r="M2209" s="118"/>
      <x:c r="N2209" s="120" t="n">
        <x:v>45863.508206018516</x:v>
      </x:c>
      <x:c r="O2209" s="117" t="str">
        <x:v>Delegate</x:v>
      </x:c>
      <x:c r="P2209" s="120" t="n">
        <x:v>45866.76081018519</x:v>
      </x:c>
      <x:c r="Q2209" s="117" t="str">
        <x:v>Bill Hagarty</x:v>
      </x:c>
      <x:c r="R2209" s="117" t="str">
        <x:v>PB: Invoice</x:v>
      </x:c>
      <x:c r="S2209" s="119" t="str">
        <x:v>Removing the count invoice products flow</x:v>
      </x:c>
    </x:row>
    <x:row r="2210" ht="30" customHeight="1">
      <x:c r="A2210" s="117" t="str">
        <x:v>PB_Invoice</x:v>
      </x:c>
      <x:c r="B2210" s="117" t="str">
        <x:v>3004O000000LOseQAG</x:v>
      </x:c>
      <x:c r="C2210" s="117" t="str">
        <x:v>301Ro00000gd2mXIAQ</x:v>
      </x:c>
      <x:c r="D2210" s="118" t="n">
        <x:v>19</x:v>
      </x:c>
      <x:c r="E2210" s="117" t="str">
        <x:v>Obsolete</x:v>
      </x:c>
      <x:c r="F2210" s="117" t="str">
        <x:v>No</x:v>
      </x:c>
      <x:c r="G2210" s="117" t="str">
        <x:v>No</x:v>
      </x:c>
      <x:c r="H2210" s="117" t="str">
        <x:v>Workflow</x:v>
      </x:c>
      <x:c r="I2210" s="118" t="n">
        <x:v>50</x:v>
      </x:c>
      <x:c r="J2210" s="117" t="str">
        <x:v>unmanaged</x:v>
      </x:c>
      <x:c r="K2210" s="123" t="b">
        <x:v>0</x:v>
      </x:c>
      <x:c r="L2210" s="117"/>
      <x:c r="M2210" s="118"/>
      <x:c r="N2210" s="120" t="n">
        <x:v>45866.76311342593</x:v>
      </x:c>
      <x:c r="O2210" s="117" t="str">
        <x:v>Bill Hagarty</x:v>
      </x:c>
      <x:c r="P2210" s="120" t="n">
        <x:v>45866.76335648148</x:v>
      </x:c>
      <x:c r="Q2210" s="117" t="str">
        <x:v>Bill Hagarty</x:v>
      </x:c>
      <x:c r="R2210" s="117" t="str">
        <x:v>PB: Invoice</x:v>
      </x:c>
      <x:c r="S2210" s="119" t="str">
        <x:v>Removing the count invoice products flow</x:v>
      </x:c>
    </x:row>
    <x:row r="2211" ht="30" customHeight="1">
      <x:c r="A2211" s="117" t="str">
        <x:v>PB_Invoice</x:v>
      </x:c>
      <x:c r="B2211" s="117" t="str">
        <x:v>3004O000000LOseQAG</x:v>
      </x:c>
      <x:c r="C2211" s="117" t="str">
        <x:v>301Ro00000gxdoTIAQ</x:v>
      </x:c>
      <x:c r="D2211" s="118" t="n">
        <x:v>20</x:v>
      </x:c>
      <x:c r="E2211" s="117" t="str">
        <x:v>Obsolete</x:v>
      </x:c>
      <x:c r="F2211" s="117" t="str">
        <x:v>No</x:v>
      </x:c>
      <x:c r="G2211" s="117" t="str">
        <x:v>No</x:v>
      </x:c>
      <x:c r="H2211" s="117" t="str">
        <x:v>Workflow</x:v>
      </x:c>
      <x:c r="I2211" s="118" t="n">
        <x:v>50</x:v>
      </x:c>
      <x:c r="J2211" s="117" t="str">
        <x:v>unmanaged</x:v>
      </x:c>
      <x:c r="K2211" s="123" t="b">
        <x:v>0</x:v>
      </x:c>
      <x:c r="L2211" s="117"/>
      <x:c r="M2211" s="118"/>
      <x:c r="N2211" s="120" t="n">
        <x:v>45869.719513888886</x:v>
      </x:c>
      <x:c r="O2211" s="117" t="str">
        <x:v>Natalie Boger</x:v>
      </x:c>
      <x:c r="P2211" s="120" t="n">
        <x:v>46127.5015625</x:v>
      </x:c>
      <x:c r="Q2211" s="117" t="str">
        <x:v>Delegate</x:v>
      </x:c>
      <x:c r="R2211" s="117" t="str">
        <x:v>PB: Invoice</x:v>
      </x:c>
      <x:c r="S2211" s="119" t="str">
        <x:v>Removing the count invoice products flow</x:v>
      </x:c>
    </x:row>
    <x:row r="2212" ht="30" customHeight="1">
      <x:c r="A2212" s="117" t="str">
        <x:v>PB_Invoice</x:v>
      </x:c>
      <x:c r="B2212" s="117" t="str">
        <x:v>3004O000000LOseQAG</x:v>
      </x:c>
      <x:c r="C2212" s="117" t="str">
        <x:v>301Ro000013EHzdIAG</x:v>
      </x:c>
      <x:c r="D2212" s="118" t="n">
        <x:v>21</x:v>
      </x:c>
      <x:c r="E2212" s="117" t="str">
        <x:v>Active</x:v>
      </x:c>
      <x:c r="F2212" s="117" t="str">
        <x:v>Yes</x:v>
      </x:c>
      <x:c r="G2212" s="117" t="str">
        <x:v>Yes</x:v>
      </x:c>
      <x:c r="H2212" s="117" t="str">
        <x:v>Workflow</x:v>
      </x:c>
      <x:c r="I2212" s="118" t="n">
        <x:v>50</x:v>
      </x:c>
      <x:c r="J2212" s="117" t="str">
        <x:v>unmanaged</x:v>
      </x:c>
      <x:c r="K2212" s="123" t="b">
        <x:v>0</x:v>
      </x:c>
      <x:c r="L2212" s="117"/>
      <x:c r="M2212" s="118"/>
      <x:c r="N2212" s="120" t="n">
        <x:v>46127.50189814815</x:v>
      </x:c>
      <x:c r="O2212" s="117" t="str">
        <x:v>Delegate</x:v>
      </x:c>
      <x:c r="P2212" s="120" t="n">
        <x:v>46142.699791666666</x:v>
      </x:c>
      <x:c r="Q2212" s="117" t="str">
        <x:v>Delegate</x:v>
      </x:c>
      <x:c r="R2212" s="117" t="str">
        <x:v>PB: Invoice</x:v>
      </x:c>
      <x:c r="S2212" s="119" t="str">
        <x:v>Removing the Invoice Paid Logic to migrate to flow</x:v>
      </x:c>
    </x:row>
    <x:row r="2213" ht="30" customHeight="1">
      <x:c r="A2213" s="117" t="str">
        <x:v>PB_Item_Receipt</x:v>
      </x:c>
      <x:c r="B2213" s="117" t="str">
        <x:v>3004O000000XhK0QAK</x:v>
      </x:c>
      <x:c r="C2213" s="117" t="str">
        <x:v>3014O000000YCJbQAO</x:v>
      </x:c>
      <x:c r="D2213" s="118" t="n">
        <x:v>1</x:v>
      </x:c>
      <x:c r="E2213" s="117" t="str">
        <x:v>Obsolete</x:v>
      </x:c>
      <x:c r="F2213" s="117" t="str">
        <x:v>No</x:v>
      </x:c>
      <x:c r="G2213" s="117" t="str">
        <x:v>No</x:v>
      </x:c>
      <x:c r="H2213" s="117" t="str">
        <x:v>Workflow</x:v>
      </x:c>
      <x:c r="I2213" s="118" t="n">
        <x:v>52</x:v>
      </x:c>
      <x:c r="J2213" s="117" t="str">
        <x:v>unmanaged</x:v>
      </x:c>
      <x:c r="K2213" s="123" t="b">
        <x:v>0</x:v>
      </x:c>
      <x:c r="L2213" s="117"/>
      <x:c r="M2213" s="118"/>
      <x:c r="N2213" s="120" t="n">
        <x:v>44407.717569444445</x:v>
      </x:c>
      <x:c r="O2213" s="117" t="str">
        <x:v>Delegate</x:v>
      </x:c>
      <x:c r="P2213" s="120" t="n">
        <x:v>44407.73399305555</x:v>
      </x:c>
      <x:c r="Q2213" s="117" t="str">
        <x:v>Delegate</x:v>
      </x:c>
      <x:c r="R2213" s="117" t="str">
        <x:v>PB: Item Receipt</x:v>
      </x:c>
      <x:c r="S2213" s="119"/>
    </x:row>
    <x:row r="2214" ht="30" customHeight="1">
      <x:c r="A2214" s="117" t="str">
        <x:v>PB_Item_Receipt</x:v>
      </x:c>
      <x:c r="B2214" s="117" t="str">
        <x:v>3004O000000XhK0QAK</x:v>
      </x:c>
      <x:c r="C2214" s="117" t="str">
        <x:v>3014O000000YCJrQAO</x:v>
      </x:c>
      <x:c r="D2214" s="118" t="n">
        <x:v>2</x:v>
      </x:c>
      <x:c r="E2214" s="117" t="str">
        <x:v>Active</x:v>
      </x:c>
      <x:c r="F2214" s="117" t="str">
        <x:v>Yes</x:v>
      </x:c>
      <x:c r="G2214" s="117" t="str">
        <x:v>Yes</x:v>
      </x:c>
      <x:c r="H2214" s="117" t="str">
        <x:v>Workflow</x:v>
      </x:c>
      <x:c r="I2214" s="118" t="n">
        <x:v>52</x:v>
      </x:c>
      <x:c r="J2214" s="117" t="str">
        <x:v>unmanaged</x:v>
      </x:c>
      <x:c r="K2214" s="123" t="b">
        <x:v>0</x:v>
      </x:c>
      <x:c r="L2214" s="117"/>
      <x:c r="M2214" s="118"/>
      <x:c r="N2214" s="120" t="n">
        <x:v>44407.73810185185</x:v>
      </x:c>
      <x:c r="O2214" s="117" t="str">
        <x:v>Delegate</x:v>
      </x:c>
      <x:c r="P2214" s="120" t="n">
        <x:v>44407.73815972222</x:v>
      </x:c>
      <x:c r="Q2214" s="117" t="str">
        <x:v>Delegate</x:v>
      </x:c>
      <x:c r="R2214" s="117" t="str">
        <x:v>PB: Item Receipt</x:v>
      </x:c>
      <x:c r="S2214" s="119"/>
    </x:row>
    <x:row r="2215" ht="30" customHeight="1">
      <x:c r="A2215" s="117" t="str">
        <x:v>PB_Opportunity_Line_Items</x:v>
      </x:c>
      <x:c r="B2215" s="117" t="str">
        <x:v>3004O000000Xh3dQAC</x:v>
      </x:c>
      <x:c r="C2215" s="117" t="str">
        <x:v>3014O000000YA89QAG</x:v>
      </x:c>
      <x:c r="D2215" s="118" t="n">
        <x:v>1</x:v>
      </x:c>
      <x:c r="E2215" s="117" t="str">
        <x:v>Obsolete</x:v>
      </x:c>
      <x:c r="F2215" s="117" t="str">
        <x:v>No</x:v>
      </x:c>
      <x:c r="G2215" s="117" t="str">
        <x:v>No</x:v>
      </x:c>
      <x:c r="H2215" s="117" t="str">
        <x:v>Workflow</x:v>
      </x:c>
      <x:c r="I2215" s="118" t="n">
        <x:v>50</x:v>
      </x:c>
      <x:c r="J2215" s="117" t="str">
        <x:v>unmanaged</x:v>
      </x:c>
      <x:c r="K2215" s="123" t="b">
        <x:v>0</x:v>
      </x:c>
      <x:c r="L2215" s="117"/>
      <x:c r="M2215" s="118"/>
      <x:c r="N2215" s="120" t="n">
        <x:v>44260.173055555555</x:v>
      </x:c>
      <x:c r="O2215" s="117" t="str">
        <x:v>Delegate</x:v>
      </x:c>
      <x:c r="P2215" s="120" t="n">
        <x:v>44330.05478009259</x:v>
      </x:c>
      <x:c r="Q2215" s="117" t="str">
        <x:v>Delegate</x:v>
      </x:c>
      <x:c r="R2215" s="117" t="str">
        <x:v>PB: Opportunity Line Items</x:v>
      </x:c>
      <x:c r="S2215" s="119" t="str">
        <x:v>Handles changes on Opportunity Line Items</x:v>
      </x:c>
    </x:row>
    <x:row r="2216" ht="30" customHeight="1">
      <x:c r="A2216" s="117" t="str">
        <x:v>PB_Opportunity_Line_Items</x:v>
      </x:c>
      <x:c r="B2216" s="117" t="str">
        <x:v>3004O000000Xh3dQAC</x:v>
      </x:c>
      <x:c r="C2216" s="117" t="str">
        <x:v>3014O000000YBHZQA4</x:v>
      </x:c>
      <x:c r="D2216" s="118" t="n">
        <x:v>2</x:v>
      </x:c>
      <x:c r="E2216" s="117" t="str">
        <x:v>Obsolete</x:v>
      </x:c>
      <x:c r="F2216" s="117" t="str">
        <x:v>No</x:v>
      </x:c>
      <x:c r="G2216" s="117" t="str">
        <x:v>No</x:v>
      </x:c>
      <x:c r="H2216" s="117" t="str">
        <x:v>Workflow</x:v>
      </x:c>
      <x:c r="I2216" s="118" t="n">
        <x:v>50</x:v>
      </x:c>
      <x:c r="J2216" s="117" t="str">
        <x:v>unmanaged</x:v>
      </x:c>
      <x:c r="K2216" s="123" t="b">
        <x:v>0</x:v>
      </x:c>
      <x:c r="L2216" s="117"/>
      <x:c r="M2216" s="118"/>
      <x:c r="N2216" s="120" t="n">
        <x:v>44330.074282407404</x:v>
      </x:c>
      <x:c r="O2216" s="117" t="str">
        <x:v>Delegate</x:v>
      </x:c>
      <x:c r="P2216" s="120" t="n">
        <x:v>44449.627754629626</x:v>
      </x:c>
      <x:c r="Q2216" s="117" t="str">
        <x:v>Delegate</x:v>
      </x:c>
      <x:c r="R2216" s="117" t="str">
        <x:v>PB: Opportunity Line Items</x:v>
      </x:c>
      <x:c r="S2216" s="119" t="str">
        <x:v>Handles changes on Opportunity Line Items</x:v>
      </x:c>
    </x:row>
    <x:row r="2217" ht="30" customHeight="1">
      <x:c r="A2217" s="117" t="str">
        <x:v>PB_Opportunity_Line_Items</x:v>
      </x:c>
      <x:c r="B2217" s="117" t="str">
        <x:v>3004O000000Xh3dQAC</x:v>
      </x:c>
      <x:c r="C2217" s="117" t="str">
        <x:v>3015b000000EANlAAO</x:v>
      </x:c>
      <x:c r="D2217" s="118" t="n">
        <x:v>3</x:v>
      </x:c>
      <x:c r="E2217" s="117" t="str">
        <x:v>Obsolete</x:v>
      </x:c>
      <x:c r="F2217" s="117" t="str">
        <x:v>No</x:v>
      </x:c>
      <x:c r="G2217" s="117" t="str">
        <x:v>No</x:v>
      </x:c>
      <x:c r="H2217" s="117" t="str">
        <x:v>Workflow</x:v>
      </x:c>
      <x:c r="I2217" s="118" t="n">
        <x:v>50</x:v>
      </x:c>
      <x:c r="J2217" s="117" t="str">
        <x:v>unmanaged</x:v>
      </x:c>
      <x:c r="K2217" s="123" t="b">
        <x:v>0</x:v>
      </x:c>
      <x:c r="L2217" s="117"/>
      <x:c r="M2217" s="118"/>
      <x:c r="N2217" s="120" t="n">
        <x:v>44449.626435185186</x:v>
      </x:c>
      <x:c r="O2217" s="117" t="str">
        <x:v>Delegate</x:v>
      </x:c>
      <x:c r="P2217" s="120" t="n">
        <x:v>44449.62758101852</x:v>
      </x:c>
      <x:c r="Q2217" s="117" t="str">
        <x:v>Delegate</x:v>
      </x:c>
      <x:c r="R2217" s="117" t="str">
        <x:v>PB: Opportunity Line Items</x:v>
      </x:c>
      <x:c r="S2217" s="119" t="str">
        <x:v>Handles changes on Opportunity Line Items</x:v>
      </x:c>
    </x:row>
    <x:row r="2218" ht="30" customHeight="1">
      <x:c r="A2218" s="117" t="str">
        <x:v>PB_Opportunity_Line_Items</x:v>
      </x:c>
      <x:c r="B2218" s="117" t="str">
        <x:v>3004O000000Xh3dQAC</x:v>
      </x:c>
      <x:c r="C2218" s="117" t="str">
        <x:v>3015b000000EANsAAO</x:v>
      </x:c>
      <x:c r="D2218" s="118" t="n">
        <x:v>4</x:v>
      </x:c>
      <x:c r="E2218" s="117" t="str">
        <x:v>Obsolete</x:v>
      </x:c>
      <x:c r="F2218" s="117" t="str">
        <x:v>No</x:v>
      </x:c>
      <x:c r="G2218" s="117" t="str">
        <x:v>Yes</x:v>
      </x:c>
      <x:c r="H2218" s="117" t="str">
        <x:v>Workflow</x:v>
      </x:c>
      <x:c r="I2218" s="118" t="n">
        <x:v>50</x:v>
      </x:c>
      <x:c r="J2218" s="117" t="str">
        <x:v>unmanaged</x:v>
      </x:c>
      <x:c r="K2218" s="123" t="b">
        <x:v>0</x:v>
      </x:c>
      <x:c r="L2218" s="117"/>
      <x:c r="M2218" s="118"/>
      <x:c r="N2218" s="120" t="n">
        <x:v>44449.62871527778</x:v>
      </x:c>
      <x:c r="O2218" s="117" t="str">
        <x:v>Delegate</x:v>
      </x:c>
      <x:c r="P2218" s="120" t="n">
        <x:v>45863.73111111111</x:v>
      </x:c>
      <x:c r="Q2218" s="117" t="str">
        <x:v>Bill Hagarty</x:v>
      </x:c>
      <x:c r="R2218" s="117" t="str">
        <x:v>PB: Opportunity Line Items</x:v>
      </x:c>
      <x:c r="S2218" s="119" t="str">
        <x:v>Handles changes on Opportunity Line Items</x:v>
      </x:c>
    </x:row>
    <x:row r="2219" ht="30" customHeight="1">
      <x:c r="A2219" s="117" t="str">
        <x:v>PB_Payment_Request</x:v>
      </x:c>
      <x:c r="B2219" s="117" t="str">
        <x:v>3004O000000LOsoQAG</x:v>
      </x:c>
      <x:c r="C2219" s="117" t="str">
        <x:v>3014O000000M0XPQA0</x:v>
      </x:c>
      <x:c r="D2219" s="118" t="n">
        <x:v>1</x:v>
      </x:c>
      <x:c r="E2219" s="117" t="str">
        <x:v>Obsolete</x:v>
      </x:c>
      <x:c r="F2219" s="117" t="str">
        <x:v>No</x:v>
      </x:c>
      <x:c r="G2219" s="117" t="str">
        <x:v>No</x:v>
      </x:c>
      <x:c r="H2219" s="117" t="str">
        <x:v>Workflow</x:v>
      </x:c>
      <x:c r="I2219" s="118" t="n">
        <x:v>50</x:v>
      </x:c>
      <x:c r="J2219" s="117" t="str">
        <x:v>unmanaged</x:v>
      </x:c>
      <x:c r="K2219" s="123" t="b">
        <x:v>0</x:v>
      </x:c>
      <x:c r="L2219" s="117"/>
      <x:c r="M2219" s="118"/>
      <x:c r="N2219" s="120" t="n">
        <x:v>44199.813738425924</x:v>
      </x:c>
      <x:c r="O2219" s="117" t="str">
        <x:v>Delegate</x:v>
      </x:c>
      <x:c r="P2219" s="120" t="n">
        <x:v>44199.84386574074</x:v>
      </x:c>
      <x:c r="Q2219" s="117" t="str">
        <x:v>Trent VanEmon</x:v>
      </x:c>
      <x:c r="R2219" s="117" t="str">
        <x:v>PB: Payment Request</x:v>
      </x:c>
      <x:c r="S2219" s="119" t="str">
        <x:v>Handles changes on the payment request object</x:v>
      </x:c>
    </x:row>
    <x:row r="2220" ht="30" customHeight="1">
      <x:c r="A2220" s="117" t="str">
        <x:v>PB_Payment_Request</x:v>
      </x:c>
      <x:c r="B2220" s="117" t="str">
        <x:v>3004O000000LOsoQAG</x:v>
      </x:c>
      <x:c r="C2220" s="117" t="str">
        <x:v>3014O000000M1ILQA0</x:v>
      </x:c>
      <x:c r="D2220" s="118" t="n">
        <x:v>2</x:v>
      </x:c>
      <x:c r="E2220" s="117" t="str">
        <x:v>Active</x:v>
      </x:c>
      <x:c r="F2220" s="117" t="str">
        <x:v>Yes</x:v>
      </x:c>
      <x:c r="G2220" s="117" t="str">
        <x:v>Yes</x:v>
      </x:c>
      <x:c r="H2220" s="117" t="str">
        <x:v>Workflow</x:v>
      </x:c>
      <x:c r="I2220" s="118" t="n">
        <x:v>50</x:v>
      </x:c>
      <x:c r="J2220" s="117" t="str">
        <x:v>unmanaged</x:v>
      </x:c>
      <x:c r="K2220" s="123" t="b">
        <x:v>0</x:v>
      </x:c>
      <x:c r="L2220" s="117"/>
      <x:c r="M2220" s="118"/>
      <x:c r="N2220" s="120" t="n">
        <x:v>44229.657476851855</x:v>
      </x:c>
      <x:c r="O2220" s="117" t="str">
        <x:v>Delegate</x:v>
      </x:c>
      <x:c r="P2220" s="120" t="n">
        <x:v>44229.657534722224</x:v>
      </x:c>
      <x:c r="Q2220" s="117" t="str">
        <x:v>Delegate</x:v>
      </x:c>
      <x:c r="R2220" s="117" t="str">
        <x:v>PB: Payment Request</x:v>
      </x:c>
      <x:c r="S2220" s="119" t="str">
        <x:v>Handles changes on the payment request object</x:v>
      </x:c>
    </x:row>
    <x:row r="2221" ht="30" customHeight="1">
      <x:c r="A2221" s="117" t="str">
        <x:v>PB_Product_Repair</x:v>
      </x:c>
      <x:c r="B2221" s="117" t="str">
        <x:v>3004O000000Xh55QAC</x:v>
      </x:c>
      <x:c r="C2221" s="117" t="str">
        <x:v>3014O000000YAMaQAO</x:v>
      </x:c>
      <x:c r="D2221" s="118" t="n">
        <x:v>1</x:v>
      </x:c>
      <x:c r="E2221" s="117" t="str">
        <x:v>Obsolete</x:v>
      </x:c>
      <x:c r="F2221" s="117" t="str">
        <x:v>No</x:v>
      </x:c>
      <x:c r="G2221" s="117" t="str">
        <x:v>No</x:v>
      </x:c>
      <x:c r="H2221" s="117" t="str">
        <x:v>Workflow</x:v>
      </x:c>
      <x:c r="I2221" s="118" t="n">
        <x:v>51</x:v>
      </x:c>
      <x:c r="J2221" s="117" t="str">
        <x:v>unmanaged</x:v>
      </x:c>
      <x:c r="K2221" s="123" t="b">
        <x:v>0</x:v>
      </x:c>
      <x:c r="L2221" s="117"/>
      <x:c r="M2221" s="118"/>
      <x:c r="N2221" s="120" t="n">
        <x:v>44274.32707175926</x:v>
      </x:c>
      <x:c r="O2221" s="117" t="str">
        <x:v>Delegate</x:v>
      </x:c>
      <x:c r="P2221" s="120" t="n">
        <x:v>44274.328576388885</x:v>
      </x:c>
      <x:c r="Q2221" s="117" t="str">
        <x:v>Delegate</x:v>
      </x:c>
      <x:c r="R2221" s="117" t="str">
        <x:v>PB: Product Repair</x:v>
      </x:c>
      <x:c r="S2221" s="119" t="str">
        <x:v>Runs on Product Repair</x:v>
      </x:c>
    </x:row>
    <x:row r="2222" ht="30" customHeight="1">
      <x:c r="A2222" s="117" t="str">
        <x:v>PB_Product_Repair</x:v>
      </x:c>
      <x:c r="B2222" s="117" t="str">
        <x:v>3004O000000Xh55QAC</x:v>
      </x:c>
      <x:c r="C2222" s="117" t="str">
        <x:v>3014O000000YCEVQA4</x:v>
      </x:c>
      <x:c r="D2222" s="118" t="n">
        <x:v>2</x:v>
      </x:c>
      <x:c r="E2222" s="117" t="str">
        <x:v>Draft</x:v>
      </x:c>
      <x:c r="F2222" s="117" t="str">
        <x:v>No</x:v>
      </x:c>
      <x:c r="G2222" s="117" t="str">
        <x:v>No</x:v>
      </x:c>
      <x:c r="H2222" s="117" t="str">
        <x:v>Workflow</x:v>
      </x:c>
      <x:c r="I2222" s="118" t="n">
        <x:v>51</x:v>
      </x:c>
      <x:c r="J2222" s="117" t="str">
        <x:v>unmanaged</x:v>
      </x:c>
      <x:c r="K2222" s="123" t="b">
        <x:v>0</x:v>
      </x:c>
      <x:c r="L2222" s="117"/>
      <x:c r="M2222" s="118"/>
      <x:c r="N2222" s="120" t="n">
        <x:v>44403.24408564815</x:v>
      </x:c>
      <x:c r="O2222" s="117" t="str">
        <x:v>Natalie Boger</x:v>
      </x:c>
      <x:c r="P2222" s="120" t="n">
        <x:v>44403.24421296296</x:v>
      </x:c>
      <x:c r="Q2222" s="117" t="str">
        <x:v>Natalie Boger</x:v>
      </x:c>
      <x:c r="R2222" s="117" t="str">
        <x:v>PB: Product Repair</x:v>
      </x:c>
      <x:c r="S2222" s="119" t="str">
        <x:v>Runs on Product Repair</x:v>
      </x:c>
    </x:row>
    <x:row r="2223" ht="30" customHeight="1">
      <x:c r="A2223" s="117" t="str">
        <x:v>PB_Product_Repair</x:v>
      </x:c>
      <x:c r="B2223" s="117" t="str">
        <x:v>3004O000000Xh55QAC</x:v>
      </x:c>
      <x:c r="C2223" s="117" t="str">
        <x:v>3015b000000IzQzAAK</x:v>
      </x:c>
      <x:c r="D2223" s="118" t="n">
        <x:v>3</x:v>
      </x:c>
      <x:c r="E2223" s="117" t="str">
        <x:v>Obsolete</x:v>
      </x:c>
      <x:c r="F2223" s="117" t="str">
        <x:v>No</x:v>
      </x:c>
      <x:c r="G2223" s="117" t="str">
        <x:v>Yes</x:v>
      </x:c>
      <x:c r="H2223" s="117" t="str">
        <x:v>Workflow</x:v>
      </x:c>
      <x:c r="I2223" s="118" t="n">
        <x:v>51</x:v>
      </x:c>
      <x:c r="J2223" s="117" t="str">
        <x:v>unmanaged</x:v>
      </x:c>
      <x:c r="K2223" s="123" t="b">
        <x:v>0</x:v>
      </x:c>
      <x:c r="L2223" s="117"/>
      <x:c r="M2223" s="118"/>
      <x:c r="N2223" s="120" t="n">
        <x:v>44417.12409722222</x:v>
      </x:c>
      <x:c r="O2223" s="117" t="str">
        <x:v>Natalie Boger</x:v>
      </x:c>
      <x:c r="P2223" s="120" t="n">
        <x:v>45712.96207175926</x:v>
      </x:c>
      <x:c r="Q2223" s="117" t="str">
        <x:v>Jace Gentil</x:v>
      </x:c>
      <x:c r="R2223" s="117" t="str">
        <x:v>PB: Product Repair</x:v>
      </x:c>
      <x:c r="S2223" s="119" t="str">
        <x:v>Runs on Product Repair</x:v>
      </x:c>
    </x:row>
    <x:row r="2224" ht="30" customHeight="1">
      <x:c r="A2224" s="117" t="str">
        <x:v>PB_Service_Contract</x:v>
      </x:c>
      <x:c r="B2224" s="117" t="str">
        <x:v>3005b000000H1uuAAC</x:v>
      </x:c>
      <x:c r="C2224" s="117" t="str">
        <x:v>3015b000000EBRyAAO</x:v>
      </x:c>
      <x:c r="D2224" s="118" t="n">
        <x:v>1</x:v>
      </x:c>
      <x:c r="E2224" s="117" t="str">
        <x:v>Obsolete</x:v>
      </x:c>
      <x:c r="F2224" s="117" t="str">
        <x:v>No</x:v>
      </x:c>
      <x:c r="G2224" s="117" t="str">
        <x:v>No</x:v>
      </x:c>
      <x:c r="H2224" s="117" t="str">
        <x:v>Workflow</x:v>
      </x:c>
      <x:c r="I2224" s="118" t="n">
        <x:v>52</x:v>
      </x:c>
      <x:c r="J2224" s="117" t="str">
        <x:v>unmanaged</x:v>
      </x:c>
      <x:c r="K2224" s="123" t="b">
        <x:v>0</x:v>
      </x:c>
      <x:c r="L2224" s="117"/>
      <x:c r="M2224" s="118"/>
      <x:c r="N2224" s="120" t="n">
        <x:v>44472.69712962963</x:v>
      </x:c>
      <x:c r="O2224" s="117" t="str">
        <x:v>Natalie Boger</x:v>
      </x:c>
      <x:c r="P2224" s="120" t="n">
        <x:v>44481.580717592595</x:v>
      </x:c>
      <x:c r="Q2224" s="117" t="str">
        <x:v>Natalie Boger</x:v>
      </x:c>
      <x:c r="R2224" s="117" t="str">
        <x:v>PB: Service Contract</x:v>
      </x:c>
      <x:c r="S2224" s="119" t="str">
        <x:v>Handles processes on the Service Contract Object</x:v>
      </x:c>
    </x:row>
    <x:row r="2225" ht="30" customHeight="1">
      <x:c r="A2225" s="117" t="str">
        <x:v>PB_Service_Contract</x:v>
      </x:c>
      <x:c r="B2225" s="117" t="str">
        <x:v>3005b000000H1uuAAC</x:v>
      </x:c>
      <x:c r="C2225" s="117" t="str">
        <x:v>3015b000000EBvOAAW</x:v>
      </x:c>
      <x:c r="D2225" s="118" t="n">
        <x:v>2</x:v>
      </x:c>
      <x:c r="E2225" s="117" t="str">
        <x:v>Obsolete</x:v>
      </x:c>
      <x:c r="F2225" s="117" t="str">
        <x:v>No</x:v>
      </x:c>
      <x:c r="G2225" s="117" t="str">
        <x:v>No</x:v>
      </x:c>
      <x:c r="H2225" s="117" t="str">
        <x:v>Workflow</x:v>
      </x:c>
      <x:c r="I2225" s="118" t="n">
        <x:v>52</x:v>
      </x:c>
      <x:c r="J2225" s="117" t="str">
        <x:v>unmanaged</x:v>
      </x:c>
      <x:c r="K2225" s="123" t="b">
        <x:v>0</x:v>
      </x:c>
      <x:c r="L2225" s="117"/>
      <x:c r="M2225" s="118"/>
      <x:c r="N2225" s="120" t="n">
        <x:v>44481.61253472222</x:v>
      </x:c>
      <x:c r="O2225" s="117" t="str">
        <x:v>Natalie Boger</x:v>
      </x:c>
      <x:c r="P2225" s="120" t="n">
        <x:v>44481.61274305556</x:v>
      </x:c>
      <x:c r="Q2225" s="117" t="str">
        <x:v>Natalie Boger</x:v>
      </x:c>
      <x:c r="R2225" s="117" t="str">
        <x:v>PB: Service Contract</x:v>
      </x:c>
      <x:c r="S2225" s="119" t="str">
        <x:v>Handles processes on the Service Contract Object</x:v>
      </x:c>
    </x:row>
    <x:row r="2226" ht="30" customHeight="1">
      <x:c r="A2226" s="117" t="str">
        <x:v>PB_Service_Contract</x:v>
      </x:c>
      <x:c r="B2226" s="117" t="str">
        <x:v>3005b000000H1uuAAC</x:v>
      </x:c>
      <x:c r="C2226" s="117" t="str">
        <x:v>3015b000000EJUCAA4</x:v>
      </x:c>
      <x:c r="D2226" s="118" t="n">
        <x:v>3</x:v>
      </x:c>
      <x:c r="E2226" s="117" t="str">
        <x:v>Obsolete</x:v>
      </x:c>
      <x:c r="F2226" s="117" t="str">
        <x:v>No</x:v>
      </x:c>
      <x:c r="G2226" s="117" t="str">
        <x:v>Yes</x:v>
      </x:c>
      <x:c r="H2226" s="117" t="str">
        <x:v>Workflow</x:v>
      </x:c>
      <x:c r="I2226" s="118" t="n">
        <x:v>52</x:v>
      </x:c>
      <x:c r="J2226" s="117" t="str">
        <x:v>unmanaged</x:v>
      </x:c>
      <x:c r="K2226" s="123" t="b">
        <x:v>0</x:v>
      </x:c>
      <x:c r="L2226" s="117"/>
      <x:c r="M2226" s="118"/>
      <x:c r="N2226" s="120" t="n">
        <x:v>44686.76112268519</x:v>
      </x:c>
      <x:c r="O2226" s="117" t="str">
        <x:v>Natalie Boger</x:v>
      </x:c>
      <x:c r="P2226" s="120" t="n">
        <x:v>44729.69244212963</x:v>
      </x:c>
      <x:c r="Q2226" s="117" t="str">
        <x:v>Delegate</x:v>
      </x:c>
      <x:c r="R2226" s="117" t="str">
        <x:v>PB: Service Contract</x:v>
      </x:c>
      <x:c r="S2226" s="119" t="str">
        <x:v>Handles processes on the Service Contract Object</x:v>
      </x:c>
    </x:row>
    <x:row r="2227" ht="30" customHeight="1">
      <x:c r="A2227" s="117" t="str">
        <x:v>PB_Task</x:v>
      </x:c>
      <x:c r="B2227" s="117" t="str">
        <x:v>3004O000000XhLhQAK</x:v>
      </x:c>
      <x:c r="C2227" s="117" t="str">
        <x:v>3014O000000YCSDQA4</x:v>
      </x:c>
      <x:c r="D2227" s="118" t="n">
        <x:v>1</x:v>
      </x:c>
      <x:c r="E2227" s="117" t="str">
        <x:v>Active</x:v>
      </x:c>
      <x:c r="F2227" s="117" t="str">
        <x:v>Yes</x:v>
      </x:c>
      <x:c r="G2227" s="117" t="str">
        <x:v>Yes</x:v>
      </x:c>
      <x:c r="H2227" s="117" t="str">
        <x:v>Workflow</x:v>
      </x:c>
      <x:c r="I2227" s="118" t="n">
        <x:v>52</x:v>
      </x:c>
      <x:c r="J2227" s="117" t="str">
        <x:v>unmanaged</x:v>
      </x:c>
      <x:c r="K2227" s="123" t="b">
        <x:v>0</x:v>
      </x:c>
      <x:c r="L2227" s="117"/>
      <x:c r="M2227" s="118"/>
      <x:c r="N2227" s="120" t="n">
        <x:v>44414.647986111115</x:v>
      </x:c>
      <x:c r="O2227" s="117" t="str">
        <x:v>Delegate</x:v>
      </x:c>
      <x:c r="P2227" s="120" t="n">
        <x:v>44414.648043981484</x:v>
      </x:c>
      <x:c r="Q2227" s="117" t="str">
        <x:v>Delegate</x:v>
      </x:c>
      <x:c r="R2227" s="117" t="str">
        <x:v>PB: Task</x:v>
      </x:c>
      <x:c r="S2227" s="119"/>
    </x:row>
    <x:row r="2228" ht="30" customHeight="1">
      <x:c r="A2228" s="117" t="str">
        <x:v>PB_Transaction</x:v>
      </x:c>
      <x:c r="B2228" s="117" t="str">
        <x:v>3004O000000LOspQAG</x:v>
      </x:c>
      <x:c r="C2228" s="117" t="str">
        <x:v>3014O000000M0XJQA0</x:v>
      </x:c>
      <x:c r="D2228" s="118" t="n">
        <x:v>1</x:v>
      </x:c>
      <x:c r="E2228" s="117" t="str">
        <x:v>Obsolete</x:v>
      </x:c>
      <x:c r="F2228" s="117" t="str">
        <x:v>No</x:v>
      </x:c>
      <x:c r="G2228" s="117" t="str">
        <x:v>No</x:v>
      </x:c>
      <x:c r="H2228" s="117" t="str">
        <x:v>Workflow</x:v>
      </x:c>
      <x:c r="I2228" s="118" t="n">
        <x:v>50</x:v>
      </x:c>
      <x:c r="J2228" s="117" t="str">
        <x:v>unmanaged</x:v>
      </x:c>
      <x:c r="K2228" s="123" t="b">
        <x:v>0</x:v>
      </x:c>
      <x:c r="L2228" s="117"/>
      <x:c r="M2228" s="118"/>
      <x:c r="N2228" s="120" t="n">
        <x:v>44199.80043981481</x:v>
      </x:c>
      <x:c r="O2228" s="117" t="str">
        <x:v>Delegate</x:v>
      </x:c>
      <x:c r="P2228" s="120" t="n">
        <x:v>44199.843668981484</x:v>
      </x:c>
      <x:c r="Q2228" s="117" t="str">
        <x:v>Trent VanEmon</x:v>
      </x:c>
      <x:c r="R2228" s="117" t="str">
        <x:v>PB: Transaction</x:v>
      </x:c>
      <x:c r="S2228" s="119"/>
    </x:row>
    <x:row r="2229" ht="30" customHeight="1">
      <x:c r="A2229" s="117" t="str">
        <x:v>PB_Transaction</x:v>
      </x:c>
      <x:c r="B2229" s="117" t="str">
        <x:v>3004O000000LOspQAG</x:v>
      </x:c>
      <x:c r="C2229" s="117" t="str">
        <x:v>3014O000000M1lDQAS</x:v>
      </x:c>
      <x:c r="D2229" s="118" t="n">
        <x:v>2</x:v>
      </x:c>
      <x:c r="E2229" s="117" t="str">
        <x:v>Obsolete</x:v>
      </x:c>
      <x:c r="F2229" s="117" t="str">
        <x:v>No</x:v>
      </x:c>
      <x:c r="G2229" s="117" t="str">
        <x:v>No</x:v>
      </x:c>
      <x:c r="H2229" s="117" t="str">
        <x:v>Workflow</x:v>
      </x:c>
      <x:c r="I2229" s="118" t="n">
        <x:v>50</x:v>
      </x:c>
      <x:c r="J2229" s="117" t="str">
        <x:v>unmanaged</x:v>
      </x:c>
      <x:c r="K2229" s="123" t="b">
        <x:v>0</x:v>
      </x:c>
      <x:c r="L2229" s="117"/>
      <x:c r="M2229" s="118"/>
      <x:c r="N2229" s="120" t="n">
        <x:v>44244.8725</x:v>
      </x:c>
      <x:c r="O2229" s="117" t="str">
        <x:v>Delegate</x:v>
      </x:c>
      <x:c r="P2229" s="120" t="n">
        <x:v>44244.872569444444</x:v>
      </x:c>
      <x:c r="Q2229" s="117" t="str">
        <x:v>Delegate</x:v>
      </x:c>
      <x:c r="R2229" s="117" t="str">
        <x:v>PB: Transaction</x:v>
      </x:c>
      <x:c r="S2229" s="119"/>
    </x:row>
    <x:row r="2230" ht="30" customHeight="1">
      <x:c r="A2230" s="117" t="str">
        <x:v>PB_Transaction</x:v>
      </x:c>
      <x:c r="B2230" s="117" t="str">
        <x:v>3004O000000LOspQAG</x:v>
      </x:c>
      <x:c r="C2230" s="117" t="str">
        <x:v>3014O000000M1lXQAS</x:v>
      </x:c>
      <x:c r="D2230" s="118" t="n">
        <x:v>3</x:v>
      </x:c>
      <x:c r="E2230" s="117" t="str">
        <x:v>Obsolete</x:v>
      </x:c>
      <x:c r="F2230" s="117" t="str">
        <x:v>No</x:v>
      </x:c>
      <x:c r="G2230" s="117" t="str">
        <x:v>No</x:v>
      </x:c>
      <x:c r="H2230" s="117" t="str">
        <x:v>Workflow</x:v>
      </x:c>
      <x:c r="I2230" s="118" t="n">
        <x:v>50</x:v>
      </x:c>
      <x:c r="J2230" s="117" t="str">
        <x:v>unmanaged</x:v>
      </x:c>
      <x:c r="K2230" s="123" t="b">
        <x:v>0</x:v>
      </x:c>
      <x:c r="L2230" s="117"/>
      <x:c r="M2230" s="118"/>
      <x:c r="N2230" s="120" t="n">
        <x:v>44244.87465277778</x:v>
      </x:c>
      <x:c r="O2230" s="117" t="str">
        <x:v>Delegate</x:v>
      </x:c>
      <x:c r="P2230" s="120" t="n">
        <x:v>44244.87472222222</x:v>
      </x:c>
      <x:c r="Q2230" s="117" t="str">
        <x:v>Delegate</x:v>
      </x:c>
      <x:c r="R2230" s="117" t="str">
        <x:v>PB: Transaction</x:v>
      </x:c>
      <x:c r="S2230" s="119"/>
    </x:row>
    <x:row r="2231" ht="30" customHeight="1">
      <x:c r="A2231" s="117" t="str">
        <x:v>PB_Transaction</x:v>
      </x:c>
      <x:c r="B2231" s="117" t="str">
        <x:v>3004O000000LOspQAG</x:v>
      </x:c>
      <x:c r="C2231" s="117" t="str">
        <x:v>3014O000000M1liQAC</x:v>
      </x:c>
      <x:c r="D2231" s="118" t="n">
        <x:v>4</x:v>
      </x:c>
      <x:c r="E2231" s="117" t="str">
        <x:v>Obsolete</x:v>
      </x:c>
      <x:c r="F2231" s="117" t="str">
        <x:v>No</x:v>
      </x:c>
      <x:c r="G2231" s="117" t="str">
        <x:v>No</x:v>
      </x:c>
      <x:c r="H2231" s="117" t="str">
        <x:v>Workflow</x:v>
      </x:c>
      <x:c r="I2231" s="118" t="n">
        <x:v>50</x:v>
      </x:c>
      <x:c r="J2231" s="117" t="str">
        <x:v>unmanaged</x:v>
      </x:c>
      <x:c r="K2231" s="123" t="b">
        <x:v>0</x:v>
      </x:c>
      <x:c r="L2231" s="117"/>
      <x:c r="M2231" s="118"/>
      <x:c r="N2231" s="120" t="n">
        <x:v>44244.87503472222</x:v>
      </x:c>
      <x:c r="O2231" s="117" t="str">
        <x:v>Delegate</x:v>
      </x:c>
      <x:c r="P2231" s="120" t="n">
        <x:v>44244.87510416667</x:v>
      </x:c>
      <x:c r="Q2231" s="117" t="str">
        <x:v>Delegate</x:v>
      </x:c>
      <x:c r="R2231" s="117" t="str">
        <x:v>PB: Transaction</x:v>
      </x:c>
      <x:c r="S2231" s="119"/>
    </x:row>
    <x:row r="2232" ht="30" customHeight="1">
      <x:c r="A2232" s="117" t="str">
        <x:v>PB_Transaction</x:v>
      </x:c>
      <x:c r="B2232" s="117" t="str">
        <x:v>3004O000000LOspQAG</x:v>
      </x:c>
      <x:c r="C2232" s="117" t="str">
        <x:v>3014O000000M1lwQAC</x:v>
      </x:c>
      <x:c r="D2232" s="118" t="n">
        <x:v>5</x:v>
      </x:c>
      <x:c r="E2232" s="117" t="str">
        <x:v>Obsolete</x:v>
      </x:c>
      <x:c r="F2232" s="117" t="str">
        <x:v>No</x:v>
      </x:c>
      <x:c r="G2232" s="117" t="str">
        <x:v>No</x:v>
      </x:c>
      <x:c r="H2232" s="117" t="str">
        <x:v>Workflow</x:v>
      </x:c>
      <x:c r="I2232" s="118" t="n">
        <x:v>50</x:v>
      </x:c>
      <x:c r="J2232" s="117" t="str">
        <x:v>unmanaged</x:v>
      </x:c>
      <x:c r="K2232" s="123" t="b">
        <x:v>0</x:v>
      </x:c>
      <x:c r="L2232" s="117"/>
      <x:c r="M2232" s="118"/>
      <x:c r="N2232" s="120" t="n">
        <x:v>44244.87771990741</x:v>
      </x:c>
      <x:c r="O2232" s="117" t="str">
        <x:v>Delegate</x:v>
      </x:c>
      <x:c r="P2232" s="120" t="n">
        <x:v>44244.87778935185</x:v>
      </x:c>
      <x:c r="Q2232" s="117" t="str">
        <x:v>Delegate</x:v>
      </x:c>
      <x:c r="R2232" s="117" t="str">
        <x:v>PB: Transaction</x:v>
      </x:c>
      <x:c r="S2232" s="119"/>
    </x:row>
    <x:row r="2233" ht="30" customHeight="1">
      <x:c r="A2233" s="117" t="str">
        <x:v>PB_Transaction</x:v>
      </x:c>
      <x:c r="B2233" s="117" t="str">
        <x:v>3004O000000LOspQAG</x:v>
      </x:c>
      <x:c r="C2233" s="117" t="str">
        <x:v>3014O000000M1mBQAS</x:v>
      </x:c>
      <x:c r="D2233" s="118" t="n">
        <x:v>6</x:v>
      </x:c>
      <x:c r="E2233" s="117" t="str">
        <x:v>Obsolete</x:v>
      </x:c>
      <x:c r="F2233" s="117" t="str">
        <x:v>No</x:v>
      </x:c>
      <x:c r="G2233" s="117" t="str">
        <x:v>No</x:v>
      </x:c>
      <x:c r="H2233" s="117" t="str">
        <x:v>Workflow</x:v>
      </x:c>
      <x:c r="I2233" s="118" t="n">
        <x:v>50</x:v>
      </x:c>
      <x:c r="J2233" s="117" t="str">
        <x:v>unmanaged</x:v>
      </x:c>
      <x:c r="K2233" s="123" t="b">
        <x:v>0</x:v>
      </x:c>
      <x:c r="L2233" s="117"/>
      <x:c r="M2233" s="118"/>
      <x:c r="N2233" s="120" t="n">
        <x:v>44244.88018518518</x:v>
      </x:c>
      <x:c r="O2233" s="117" t="str">
        <x:v>Delegate</x:v>
      </x:c>
      <x:c r="P2233" s="120" t="n">
        <x:v>44244.88030092593</x:v>
      </x:c>
      <x:c r="Q2233" s="117" t="str">
        <x:v>Delegate</x:v>
      </x:c>
      <x:c r="R2233" s="117" t="str">
        <x:v>PB: Transaction</x:v>
      </x:c>
      <x:c r="S2233" s="119"/>
    </x:row>
    <x:row r="2234" ht="30" customHeight="1">
      <x:c r="A2234" s="117" t="str">
        <x:v>PB_Transaction</x:v>
      </x:c>
      <x:c r="B2234" s="117" t="str">
        <x:v>3004O000000LOspQAG</x:v>
      </x:c>
      <x:c r="C2234" s="117" t="str">
        <x:v>3014O000000M1pFQAS</x:v>
      </x:c>
      <x:c r="D2234" s="118" t="n">
        <x:v>7</x:v>
      </x:c>
      <x:c r="E2234" s="117" t="str">
        <x:v>Active</x:v>
      </x:c>
      <x:c r="F2234" s="117" t="str">
        <x:v>Yes</x:v>
      </x:c>
      <x:c r="G2234" s="117" t="str">
        <x:v>Yes</x:v>
      </x:c>
      <x:c r="H2234" s="117" t="str">
        <x:v>Workflow</x:v>
      </x:c>
      <x:c r="I2234" s="118" t="n">
        <x:v>50</x:v>
      </x:c>
      <x:c r="J2234" s="117" t="str">
        <x:v>unmanaged</x:v>
      </x:c>
      <x:c r="K2234" s="123" t="b">
        <x:v>0</x:v>
      </x:c>
      <x:c r="L2234" s="117"/>
      <x:c r="M2234" s="118"/>
      <x:c r="N2234" s="120" t="n">
        <x:v>44246.754953703705</x:v>
      </x:c>
      <x:c r="O2234" s="117" t="str">
        <x:v>Delegate</x:v>
      </x:c>
      <x:c r="P2234" s="120" t="n">
        <x:v>44246.755</x:v>
      </x:c>
      <x:c r="Q2234" s="117" t="str">
        <x:v>Delegate</x:v>
      </x:c>
      <x:c r="R2234" s="117" t="str">
        <x:v>PB: Transaction</x:v>
      </x:c>
      <x:c r="S2234" s="119"/>
    </x:row>
    <x:row r="2235" ht="30" customHeight="1">
      <x:c r="A2235" s="117" t="str">
        <x:v>PB_Work_Order_Line_Item</x:v>
      </x:c>
      <x:c r="B2235" s="117" t="str">
        <x:v>3005b000000H2TKAA0</x:v>
      </x:c>
      <x:c r="C2235" s="117" t="str">
        <x:v>3015b000000EERMAA4</x:v>
      </x:c>
      <x:c r="D2235" s="118" t="n">
        <x:v>1</x:v>
      </x:c>
      <x:c r="E2235" s="117" t="str">
        <x:v>Draft</x:v>
      </x:c>
      <x:c r="F2235" s="117" t="str">
        <x:v>No</x:v>
      </x:c>
      <x:c r="G2235" s="117" t="str">
        <x:v>Yes</x:v>
      </x:c>
      <x:c r="H2235" s="117" t="str">
        <x:v>Workflow</x:v>
      </x:c>
      <x:c r="I2235" s="118" t="n">
        <x:v>53</x:v>
      </x:c>
      <x:c r="J2235" s="117" t="str">
        <x:v>unmanaged</x:v>
      </x:c>
      <x:c r="K2235" s="123" t="b">
        <x:v>0</x:v>
      </x:c>
      <x:c r="L2235" s="117"/>
      <x:c r="M2235" s="118"/>
      <x:c r="N2235" s="120" t="n">
        <x:v>44540.69695601852</x:v>
      </x:c>
      <x:c r="O2235" s="117" t="str">
        <x:v>Delegate</x:v>
      </x:c>
      <x:c r="P2235" s="120" t="n">
        <x:v>44540.69697916666</x:v>
      </x:c>
      <x:c r="Q2235" s="117" t="str">
        <x:v>Delegate</x:v>
      </x:c>
      <x:c r="R2235" s="117" t="str">
        <x:v>PB: Work Order Line Item</x:v>
      </x:c>
      <x:c r="S2235" s="119" t="str">
        <x:v>Handles processes on the work order line item object</x:v>
      </x:c>
    </x:row>
    <x:row r="2236" ht="30" customHeight="1">
      <x:c r="A2236" s="117" t="str">
        <x:v>Platform_Record_Triggered_Update_Intacct_Sync_Status</x:v>
      </x:c>
      <x:c r="B2236" s="117" t="str">
        <x:v>300Ro00000WbzIHIAZ</x:v>
      </x:c>
      <x:c r="C2236" s="117" t="str">
        <x:v>301Ro00000ZwY5bIAF</x:v>
      </x:c>
      <x:c r="D2236" s="118" t="n">
        <x:v>1</x:v>
      </x:c>
      <x:c r="E2236" s="117" t="str">
        <x:v>Obsolete</x:v>
      </x:c>
      <x:c r="F2236" s="117" t="str">
        <x:v>No</x:v>
      </x:c>
      <x:c r="G2236" s="117" t="str">
        <x:v>No</x:v>
      </x:c>
      <x:c r="H2236" s="117" t="str">
        <x:v>AutoLaunchedFlow</x:v>
      </x:c>
      <x:c r="I2236" s="118" t="n">
        <x:v>60</x:v>
      </x:c>
      <x:c r="J2236" s="117" t="str">
        <x:v>unmanaged</x:v>
      </x:c>
      <x:c r="K2236" s="123" t="b">
        <x:v>0</x:v>
      </x:c>
      <x:c r="L2236" s="117"/>
      <x:c r="M2236" s="118"/>
      <x:c r="N2236" s="120" t="n">
        <x:v>45806.30584490741</x:v>
      </x:c>
      <x:c r="O2236" s="117" t="str">
        <x:v>Delegate</x:v>
      </x:c>
      <x:c r="P2236" s="120" t="n">
        <x:v>45806.30914351852</x:v>
      </x:c>
      <x:c r="Q2236" s="117" t="str">
        <x:v>Delegate</x:v>
      </x:c>
      <x:c r="R2236" s="117" t="str">
        <x:v>Platform Record-Triggered: Update Intacct Sync Status</x:v>
      </x:c>
      <x:c r="S2236" s="119"/>
    </x:row>
    <x:row r="2237" ht="30" customHeight="1">
      <x:c r="A2237" s="117" t="str">
        <x:v>Platform_Record_Triggered_Update_Intacct_Sync_Status</x:v>
      </x:c>
      <x:c r="B2237" s="117" t="str">
        <x:v>300Ro00000WbzIHIAZ</x:v>
      </x:c>
      <x:c r="C2237" s="117" t="str">
        <x:v>301Ro00000cuc6OIAQ</x:v>
      </x:c>
      <x:c r="D2237" s="118" t="n">
        <x:v>2</x:v>
      </x:c>
      <x:c r="E2237" s="117" t="str">
        <x:v>Obsolete</x:v>
      </x:c>
      <x:c r="F2237" s="117" t="str">
        <x:v>No</x:v>
      </x:c>
      <x:c r="G2237" s="117" t="str">
        <x:v>Yes</x:v>
      </x:c>
      <x:c r="H2237" s="117" t="str">
        <x:v>AutoLaunchedFlow</x:v>
      </x:c>
      <x:c r="I2237" s="118" t="n">
        <x:v>60</x:v>
      </x:c>
      <x:c r="J2237" s="117" t="str">
        <x:v>unmanaged</x:v>
      </x:c>
      <x:c r="K2237" s="123" t="b">
        <x:v>0</x:v>
      </x:c>
      <x:c r="L2237" s="117"/>
      <x:c r="M2237" s="118"/>
      <x:c r="N2237" s="120" t="n">
        <x:v>45834.80700231482</x:v>
      </x:c>
      <x:c r="O2237" s="117" t="str">
        <x:v>Delegate</x:v>
      </x:c>
      <x:c r="P2237" s="120" t="n">
        <x:v>45888.60736111111</x:v>
      </x:c>
      <x:c r="Q2237" s="117" t="str">
        <x:v>Delegate</x:v>
      </x:c>
      <x:c r="R2237" s="117" t="str">
        <x:v>Platform Record-Triggered: Update Intacct Sync Status</x:v>
      </x:c>
      <x:c r="S2237" s="119" t="str">
        <x:v>06/26/2025 (BW) - Added an exception so that if an account is already synced, it will not sync it again.</x:v>
      </x:c>
    </x:row>
    <x:row r="2238" ht="30" customHeight="1">
      <x:c r="A2238" s="117" t="str">
        <x:v>PM_Task_Assigned_E_Mail_Alerts</x:v>
      </x:c>
      <x:c r="B2238" s="117" t="str">
        <x:v>3005b000000H4EgAAK</x:v>
      </x:c>
      <x:c r="C2238" s="117" t="str">
        <x:v>3015b000000ELl9AAG</x:v>
      </x:c>
      <x:c r="D2238" s="118" t="n">
        <x:v>1</x:v>
      </x:c>
      <x:c r="E2238" s="117" t="str">
        <x:v>Obsolete</x:v>
      </x:c>
      <x:c r="F2238" s="117" t="str">
        <x:v>No</x:v>
      </x:c>
      <x:c r="G2238" s="117" t="str">
        <x:v>No</x:v>
      </x:c>
      <x:c r="H2238" s="117" t="str">
        <x:v>AutoLaunchedFlow</x:v>
      </x:c>
      <x:c r="I2238" s="118" t="n">
        <x:v>55</x:v>
      </x:c>
      <x:c r="J2238" s="117" t="str">
        <x:v>unmanaged</x:v>
      </x:c>
      <x:c r="K2238" s="123" t="b">
        <x:v>0</x:v>
      </x:c>
      <x:c r="L2238" s="117"/>
      <x:c r="M2238" s="118"/>
      <x:c r="N2238" s="120" t="n">
        <x:v>44819.118113425924</x:v>
      </x:c>
      <x:c r="O2238" s="117" t="str">
        <x:v>Jace Gentil</x:v>
      </x:c>
      <x:c r="P2238" s="120" t="n">
        <x:v>44819.11846064815</x:v>
      </x:c>
      <x:c r="Q2238" s="117" t="str">
        <x:v>Jace Gentil</x:v>
      </x:c>
      <x:c r="R2238" s="117" t="str">
        <x:v>PM Task Assigned E-Mail Alerts</x:v>
      </x:c>
      <x:c r="S2238" s="119"/>
    </x:row>
    <x:row r="2239" ht="30" customHeight="1">
      <x:c r="A2239" s="117" t="str">
        <x:v>PM_Task_Assigned_E_Mail_Alerts</x:v>
      </x:c>
      <x:c r="B2239" s="117" t="str">
        <x:v>3005b000000H4EgAAK</x:v>
      </x:c>
      <x:c r="C2239" s="117" t="str">
        <x:v>3015b000000ELlEAAW</x:v>
      </x:c>
      <x:c r="D2239" s="118" t="n">
        <x:v>2</x:v>
      </x:c>
      <x:c r="E2239" s="117" t="str">
        <x:v>Obsolete</x:v>
      </x:c>
      <x:c r="F2239" s="117" t="str">
        <x:v>No</x:v>
      </x:c>
      <x:c r="G2239" s="117" t="str">
        <x:v>No</x:v>
      </x:c>
      <x:c r="H2239" s="117" t="str">
        <x:v>AutoLaunchedFlow</x:v>
      </x:c>
      <x:c r="I2239" s="118" t="n">
        <x:v>55</x:v>
      </x:c>
      <x:c r="J2239" s="117" t="str">
        <x:v>unmanaged</x:v>
      </x:c>
      <x:c r="K2239" s="123" t="b">
        <x:v>0</x:v>
      </x:c>
      <x:c r="L2239" s="117"/>
      <x:c r="M2239" s="118"/>
      <x:c r="N2239" s="120" t="n">
        <x:v>44819.124189814815</x:v>
      </x:c>
      <x:c r="O2239" s="117" t="str">
        <x:v>Jace Gentil</x:v>
      </x:c>
      <x:c r="P2239" s="120" t="n">
        <x:v>44819.12422453704</x:v>
      </x:c>
      <x:c r="Q2239" s="117" t="str">
        <x:v>Jace Gentil</x:v>
      </x:c>
      <x:c r="R2239" s="117" t="str">
        <x:v>PM Task Assigned E-Mail Alerts</x:v>
      </x:c>
      <x:c r="S2239" s="119"/>
    </x:row>
    <x:row r="2240" ht="30" customHeight="1">
      <x:c r="A2240" s="117" t="str">
        <x:v>PM_Task_Assigned_E_Mail_Alerts</x:v>
      </x:c>
      <x:c r="B2240" s="117" t="str">
        <x:v>3005b000000H4EgAAK</x:v>
      </x:c>
      <x:c r="C2240" s="117" t="str">
        <x:v>3015b000000ELlPAAW</x:v>
      </x:c>
      <x:c r="D2240" s="118" t="n">
        <x:v>3</x:v>
      </x:c>
      <x:c r="E2240" s="117" t="str">
        <x:v>Active</x:v>
      </x:c>
      <x:c r="F2240" s="117" t="str">
        <x:v>Yes</x:v>
      </x:c>
      <x:c r="G2240" s="117" t="str">
        <x:v>Yes</x:v>
      </x:c>
      <x:c r="H2240" s="117" t="str">
        <x:v>AutoLaunchedFlow</x:v>
      </x:c>
      <x:c r="I2240" s="118" t="n">
        <x:v>55</x:v>
      </x:c>
      <x:c r="J2240" s="117" t="str">
        <x:v>unmanaged</x:v>
      </x:c>
      <x:c r="K2240" s="123" t="b">
        <x:v>0</x:v>
      </x:c>
      <x:c r="L2240" s="117"/>
      <x:c r="M2240" s="118"/>
      <x:c r="N2240" s="120" t="n">
        <x:v>44819.13260416667</x:v>
      </x:c>
      <x:c r="O2240" s="117" t="str">
        <x:v>Jace Gentil</x:v>
      </x:c>
      <x:c r="P2240" s="120" t="n">
        <x:v>44819.132685185185</x:v>
      </x:c>
      <x:c r="Q2240" s="117" t="str">
        <x:v>Jace Gentil</x:v>
      </x:c>
      <x:c r="R2240" s="117" t="str">
        <x:v>PM Task Assigned E-Mail Alerts</x:v>
      </x:c>
      <x:c r="S2240" s="119"/>
    </x:row>
    <x:row r="2241" ht="30" customHeight="1">
      <x:c r="A2241" s="117" t="str">
        <x:v>PMT_Create_Resource_Availability_on_User_activation1</x:v>
      </x:c>
      <x:c r="B2241" s="117" t="str">
        <x:v>3005b000000H4EPAA0</x:v>
      </x:c>
      <x:c r="C2241" s="117" t="str">
        <x:v>3015b000000ELkJAAW</x:v>
      </x:c>
      <x:c r="D2241" s="118" t="n">
        <x:v>1</x:v>
      </x:c>
      <x:c r="E2241" s="117" t="str">
        <x:v>Active</x:v>
      </x:c>
      <x:c r="F2241" s="117" t="str">
        <x:v>Yes</x:v>
      </x:c>
      <x:c r="G2241" s="117" t="str">
        <x:v>Yes</x:v>
      </x:c>
      <x:c r="H2241" s="117" t="str">
        <x:v>InvocableProcess</x:v>
      </x:c>
      <x:c r="I2241" s="118" t="n">
        <x:v>50</x:v>
      </x:c>
      <x:c r="J2241" s="117" t="str">
        <x:v>unmanaged</x:v>
      </x:c>
      <x:c r="K2241" s="123" t="b">
        <x:v>0</x:v>
      </x:c>
      <x:c r="L2241" s="117"/>
      <x:c r="M2241" s="118"/>
      <x:c r="N2241" s="120" t="n">
        <x:v>44818.56450231482</x:v>
      </x:c>
      <x:c r="O2241" s="117" t="str">
        <x:v>Delegate</x:v>
      </x:c>
      <x:c r="P2241" s="120" t="n">
        <x:v>44818.56501157407</x:v>
      </x:c>
      <x:c r="Q2241" s="117" t="str">
        <x:v>Delegate</x:v>
      </x:c>
      <x:c r="R2241" s="117" t="str">
        <x:v>PMT - Create Resource Availability on User activation</x:v>
      </x:c>
      <x:c r="S2241" s="119"/>
    </x:row>
    <x:row r="2242" ht="30" customHeight="1">
      <x:c r="A2242" s="117" t="str">
        <x:v>PMT_Mass_update_Task_Assignee</x:v>
      </x:c>
      <x:c r="B2242" s="117" t="str">
        <x:v>3005b000000H4EMAA0</x:v>
      </x:c>
      <x:c r="C2242" s="117" t="str">
        <x:v>3015b000000ELkGAAW</x:v>
      </x:c>
      <x:c r="D2242" s="118" t="n">
        <x:v>1</x:v>
      </x:c>
      <x:c r="E2242" s="117" t="str">
        <x:v>Active</x:v>
      </x:c>
      <x:c r="F2242" s="117" t="str">
        <x:v>Yes</x:v>
      </x:c>
      <x:c r="G2242" s="117" t="str">
        <x:v>Yes</x:v>
      </x:c>
      <x:c r="H2242" s="117" t="str">
        <x:v>Flow</x:v>
      </x:c>
      <x:c r="I2242" s="118" t="n">
        <x:v>49</x:v>
      </x:c>
      <x:c r="J2242" s="117" t="str">
        <x:v>unmanaged</x:v>
      </x:c>
      <x:c r="K2242" s="123" t="b">
        <x:v>0</x:v>
      </x:c>
      <x:c r="L2242" s="117"/>
      <x:c r="M2242" s="118"/>
      <x:c r="N2242" s="120" t="n">
        <x:v>44818.56444444445</x:v>
      </x:c>
      <x:c r="O2242" s="117" t="str">
        <x:v>Delegate</x:v>
      </x:c>
      <x:c r="P2242" s="120" t="n">
        <x:v>44818.564467592594</x:v>
      </x:c>
      <x:c r="Q2242" s="117" t="str">
        <x:v>Delegate</x:v>
      </x:c>
      <x:c r="R2242" s="117" t="str">
        <x:v>PMT Mass update Task Assignee</x:v>
      </x:c>
      <x:c r="S2242" s="119" t="str">
        <x:v>Flow active on Project to mass update PMT Task assignee in Task Datatable component due to component limitations on lookup edits.</x:v>
      </x:c>
    </x:row>
    <x:row r="2243" ht="30" customHeight="1">
      <x:c r="A2243" s="117" t="str">
        <x:v>PMT_Mass_update_Task_Status</x:v>
      </x:c>
      <x:c r="B2243" s="117" t="str">
        <x:v>3005b000000H4ENAA0</x:v>
      </x:c>
      <x:c r="C2243" s="117" t="str">
        <x:v>3015b000000ELkHAAW</x:v>
      </x:c>
      <x:c r="D2243" s="118" t="n">
        <x:v>1</x:v>
      </x:c>
      <x:c r="E2243" s="117" t="str">
        <x:v>Active</x:v>
      </x:c>
      <x:c r="F2243" s="117" t="str">
        <x:v>Yes</x:v>
      </x:c>
      <x:c r="G2243" s="117" t="str">
        <x:v>Yes</x:v>
      </x:c>
      <x:c r="H2243" s="117" t="str">
        <x:v>Flow</x:v>
      </x:c>
      <x:c r="I2243" s="118" t="n">
        <x:v>49</x:v>
      </x:c>
      <x:c r="J2243" s="117" t="str">
        <x:v>unmanaged</x:v>
      </x:c>
      <x:c r="K2243" s="123" t="b">
        <x:v>0</x:v>
      </x:c>
      <x:c r="L2243" s="117"/>
      <x:c r="M2243" s="118"/>
      <x:c r="N2243" s="120" t="n">
        <x:v>44818.564467592594</x:v>
      </x:c>
      <x:c r="O2243" s="117" t="str">
        <x:v>Delegate</x:v>
      </x:c>
      <x:c r="P2243" s="120" t="n">
        <x:v>44818.564467592594</x:v>
      </x:c>
      <x:c r="Q2243" s="117" t="str">
        <x:v>Delegate</x:v>
      </x:c>
      <x:c r="R2243" s="117" t="str">
        <x:v>PMT Mass update Task Status</x:v>
      </x:c>
      <x:c r="S2243" s="119" t="str">
        <x:v>Flow on Project to update PMT Task status in Task Datatable component due to limitations on component picklist field edit.</x:v>
      </x:c>
    </x:row>
    <x:row r="2244" ht="30" customHeight="1">
      <x:c r="A2244" s="117" t="str">
        <x:v>PMT_Project_Templates</x:v>
      </x:c>
      <x:c r="B2244" s="117" t="str">
        <x:v>3005b00000113aEAAQ</x:v>
      </x:c>
      <x:c r="C2244" s="117" t="str">
        <x:v>3015b0000011MUTAA2</x:v>
      </x:c>
      <x:c r="D2244" s="118" t="n">
        <x:v>1</x:v>
      </x:c>
      <x:c r="E2244" s="117" t="str">
        <x:v>Active</x:v>
      </x:c>
      <x:c r="F2244" s="117" t="str">
        <x:v>Yes</x:v>
      </x:c>
      <x:c r="G2244" s="117" t="str">
        <x:v>Yes</x:v>
      </x:c>
      <x:c r="H2244" s="117" t="str">
        <x:v>Flow</x:v>
      </x:c>
      <x:c r="I2244" s="118" t="n">
        <x:v>53</x:v>
      </x:c>
      <x:c r="J2244" s="117" t="str">
        <x:v>unmanaged</x:v>
      </x:c>
      <x:c r="K2244" s="123" t="b">
        <x:v>0</x:v>
      </x:c>
      <x:c r="L2244" s="117"/>
      <x:c r="M2244" s="118"/>
      <x:c r="N2244" s="120" t="n">
        <x:v>45243.823217592595</x:v>
      </x:c>
      <x:c r="O2244" s="117" t="str">
        <x:v>Delegate</x:v>
      </x:c>
      <x:c r="P2244" s="120" t="n">
        <x:v>45243.82341435185</x:v>
      </x:c>
      <x:c r="Q2244" s="117" t="str">
        <x:v>Delegate</x:v>
      </x:c>
      <x:c r="R2244" s="117" t="str">
        <x:v>PMT Project Templates</x:v>
      </x:c>
      <x:c r="S2244" s="119" t="str">
        <x:v>Flow to clone Projects/Phases/Tasks using "Use This Template" or "Clone Phases/Tasks" action on Project record</x:v>
      </x:c>
    </x:row>
    <x:row r="2245" ht="30" customHeight="1">
      <x:c r="A2245" s="117" t="str">
        <x:v>PMT_Update_Task_status_and_percentage_completion</x:v>
      </x:c>
      <x:c r="B2245" s="117" t="str">
        <x:v>3005b000000H4EOAA0</x:v>
      </x:c>
      <x:c r="C2245" s="117" t="str">
        <x:v>3015b000000ELkIAAW</x:v>
      </x:c>
      <x:c r="D2245" s="118" t="n">
        <x:v>1</x:v>
      </x:c>
      <x:c r="E2245" s="117" t="str">
        <x:v>Active</x:v>
      </x:c>
      <x:c r="F2245" s="117" t="str">
        <x:v>Yes</x:v>
      </x:c>
      <x:c r="G2245" s="117" t="str">
        <x:v>Yes</x:v>
      </x:c>
      <x:c r="H2245" s="117" t="str">
        <x:v>Workflow</x:v>
      </x:c>
      <x:c r="I2245" s="118" t="n">
        <x:v>49</x:v>
      </x:c>
      <x:c r="J2245" s="117" t="str">
        <x:v>unmanaged</x:v>
      </x:c>
      <x:c r="K2245" s="123" t="b">
        <x:v>0</x:v>
      </x:c>
      <x:c r="L2245" s="117"/>
      <x:c r="M2245" s="118"/>
      <x:c r="N2245" s="120" t="n">
        <x:v>44818.564479166664</x:v>
      </x:c>
      <x:c r="O2245" s="117" t="str">
        <x:v>Delegate</x:v>
      </x:c>
      <x:c r="P2245" s="120" t="n">
        <x:v>44818.56449074074</x:v>
      </x:c>
      <x:c r="Q2245" s="117" t="str">
        <x:v>Delegate</x:v>
      </x:c>
      <x:c r="R2245" s="117" t="str">
        <x:v>PMT - Update Task status and percentage completion</x:v>
      </x:c>
      <x:c r="S2245" s="119" t="str">
        <x:v>Process keeps PMT task status and percentage completion in sync</x:v>
      </x:c>
    </x:row>
    <x:row r="2246" ht="30" customHeight="1">
      <x:c r="A2246" s="117" t="str">
        <x:v>PO_Bill_Automations</x:v>
      </x:c>
      <x:c r="B2246" s="117" t="str">
        <x:v>3005b000000LHRgAAO</x:v>
      </x:c>
      <x:c r="C2246" s="117" t="str">
        <x:v>3015b000000AClKAAW</x:v>
      </x:c>
      <x:c r="D2246" s="118" t="n">
        <x:v>1</x:v>
      </x:c>
      <x:c r="E2246" s="117" t="str">
        <x:v>Active</x:v>
      </x:c>
      <x:c r="F2246" s="117" t="str">
        <x:v>Yes</x:v>
      </x:c>
      <x:c r="G2246" s="117" t="str">
        <x:v>No</x:v>
      </x:c>
      <x:c r="H2246" s="117" t="str">
        <x:v>AutoLaunchedFlow</x:v>
      </x:c>
      <x:c r="I2246" s="118" t="n">
        <x:v>56</x:v>
      </x:c>
      <x:c r="J2246" s="117" t="str">
        <x:v>unmanaged</x:v>
      </x:c>
      <x:c r="K2246" s="123" t="b">
        <x:v>0</x:v>
      </x:c>
      <x:c r="L2246" s="117"/>
      <x:c r="M2246" s="118"/>
      <x:c r="N2246" s="120" t="n">
        <x:v>44915.6478587963</x:v>
      </x:c>
      <x:c r="O2246" s="117" t="str">
        <x:v>Delegate</x:v>
      </x:c>
      <x:c r="P2246" s="120" t="n">
        <x:v>45483.56811342593</x:v>
      </x:c>
      <x:c r="Q2246" s="117" t="str">
        <x:v>Delegate</x:v>
      </x:c>
      <x:c r="R2246" s="117" t="str">
        <x:v>PO Bill Automations</x:v>
      </x:c>
      <x:c r="S2246" s="119"/>
    </x:row>
    <x:row r="2247" ht="30" customHeight="1">
      <x:c r="A2247" s="117" t="str">
        <x:v>PO_Bill_Automations</x:v>
      </x:c>
      <x:c r="B2247" s="117" t="str">
        <x:v>3005b000000LHRgAAO</x:v>
      </x:c>
      <x:c r="C2247" s="117" t="str">
        <x:v>301Ro000008UfpDIAS</x:v>
      </x:c>
      <x:c r="D2247" s="118" t="n">
        <x:v>2</x:v>
      </x:c>
      <x:c r="E2247" s="117" t="str">
        <x:v>Draft</x:v>
      </x:c>
      <x:c r="F2247" s="117" t="str">
        <x:v>No</x:v>
      </x:c>
      <x:c r="G2247" s="117" t="str">
        <x:v>Yes</x:v>
      </x:c>
      <x:c r="H2247" s="117" t="str">
        <x:v>AutoLaunchedFlow</x:v>
      </x:c>
      <x:c r="I2247" s="118" t="n">
        <x:v>56</x:v>
      </x:c>
      <x:c r="J2247" s="117" t="str">
        <x:v>unmanaged</x:v>
      </x:c>
      <x:c r="K2247" s="123" t="b">
        <x:v>0</x:v>
      </x:c>
      <x:c r="L2247" s="117"/>
      <x:c r="M2247" s="118"/>
      <x:c r="N2247" s="120" t="n">
        <x:v>45356.55134259259</x:v>
      </x:c>
      <x:c r="O2247" s="117" t="str">
        <x:v>Delegate</x:v>
      </x:c>
      <x:c r="P2247" s="120" t="n">
        <x:v>45356.55142361111</x:v>
      </x:c>
      <x:c r="Q2247" s="117" t="str">
        <x:v>Delegate</x:v>
      </x:c>
      <x:c r="R2247" s="117" t="str">
        <x:v>PO Bill Automations</x:v>
      </x:c>
      <x:c r="S2247" s="119"/>
    </x:row>
    <x:row r="2248" ht="30" customHeight="1">
      <x:c r="A2248" s="117" t="str">
        <x:v>PO_Bill_Prevent_Deletion</x:v>
      </x:c>
      <x:c r="B2248" s="117" t="str">
        <x:v>300Ro00000KtsfTIAR</x:v>
      </x:c>
      <x:c r="C2248" s="117" t="str">
        <x:v>301Ro00000MxiIJIAZ</x:v>
      </x:c>
      <x:c r="D2248" s="118" t="n">
        <x:v>1</x:v>
      </x:c>
      <x:c r="E2248" s="117" t="str">
        <x:v>Active</x:v>
      </x:c>
      <x:c r="F2248" s="117" t="str">
        <x:v>Yes</x:v>
      </x:c>
      <x:c r="G2248" s="117" t="str">
        <x:v>Yes</x:v>
      </x:c>
      <x:c r="H2248" s="117" t="str">
        <x:v>AutoLaunchedFlow</x:v>
      </x:c>
      <x:c r="I2248" s="118" t="n">
        <x:v>62</x:v>
      </x:c>
      <x:c r="J2248" s="117" t="str">
        <x:v>unmanaged</x:v>
      </x:c>
      <x:c r="K2248" s="123" t="b">
        <x:v>0</x:v>
      </x:c>
      <x:c r="L2248" s="117"/>
      <x:c r="M2248" s="118"/>
      <x:c r="N2248" s="120" t="n">
        <x:v>45581.38211805555</x:v>
      </x:c>
      <x:c r="O2248" s="117" t="str">
        <x:v>Jon Kean</x:v>
      </x:c>
      <x:c r="P2248" s="120" t="n">
        <x:v>45581.38217592592</x:v>
      </x:c>
      <x:c r="Q2248" s="117" t="str">
        <x:v>Jon Kean</x:v>
      </x:c>
      <x:c r="R2248" s="117" t="str">
        <x:v>PO Bill Prevent Deletion</x:v>
      </x:c>
      <x:c r="S2248" s="119" t="str">
        <x:v>Flow created to prevent non-admin users from deleting synced PO Bills</x:v>
      </x:c>
    </x:row>
    <x:row r="2249" ht="30" customHeight="1">
      <x:c r="A2249" s="117" t="str">
        <x:v>PO_Bill_Resync_if_error_is_received</x:v>
      </x:c>
      <x:c r="B2249" s="117" t="str">
        <x:v>300Ro00000k2kfNIAQ</x:v>
      </x:c>
      <x:c r="C2249" s="117" t="str">
        <x:v>301Ro00000rOrJCIA0</x:v>
      </x:c>
      <x:c r="D2249" s="118" t="n">
        <x:v>1</x:v>
      </x:c>
      <x:c r="E2249" s="117" t="str">
        <x:v>Obsolete</x:v>
      </x:c>
      <x:c r="F2249" s="117" t="str">
        <x:v>No</x:v>
      </x:c>
      <x:c r="G2249" s="117" t="str">
        <x:v>No</x:v>
      </x:c>
      <x:c r="H2249" s="117" t="str">
        <x:v>AutoLaunchedFlow</x:v>
      </x:c>
      <x:c r="I2249" s="118" t="n">
        <x:v>65</x:v>
      </x:c>
      <x:c r="J2249" s="117" t="str">
        <x:v>unmanaged</x:v>
      </x:c>
      <x:c r="K2249" s="123" t="b">
        <x:v>0</x:v>
      </x:c>
      <x:c r="L2249" s="117"/>
      <x:c r="M2249" s="118"/>
      <x:c r="N2249" s="120" t="n">
        <x:v>45961.499085648145</x:v>
      </x:c>
      <x:c r="O2249" s="117" t="str">
        <x:v>Delegate</x:v>
      </x:c>
      <x:c r="P2249" s="120" t="n">
        <x:v>45961.499131944445</x:v>
      </x:c>
      <x:c r="Q2249" s="117" t="str">
        <x:v>Delegate</x:v>
      </x:c>
      <x:c r="R2249" s="117" t="str">
        <x:v>PO Bill - Resync if error is received.</x:v>
      </x:c>
      <x:c r="S2249" s="119" t="str">
        <x:v>10/31/2025 - Resyncs a PO Bill if there is a date that can be fixed</x:v>
      </x:c>
    </x:row>
    <x:row r="2250" ht="30" customHeight="1">
      <x:c r="A2250" s="117" t="str">
        <x:v>PO_Bill_Resync_if_error_is_received</x:v>
      </x:c>
      <x:c r="B2250" s="117" t="str">
        <x:v>300Ro00000k2kfNIAQ</x:v>
      </x:c>
      <x:c r="C2250" s="117" t="str">
        <x:v>301Ro00000rOeAqIAK</x:v>
      </x:c>
      <x:c r="D2250" s="118" t="n">
        <x:v>2</x:v>
      </x:c>
      <x:c r="E2250" s="117" t="str">
        <x:v>Active</x:v>
      </x:c>
      <x:c r="F2250" s="117" t="str">
        <x:v>Yes</x:v>
      </x:c>
      <x:c r="G2250" s="117" t="str">
        <x:v>Yes</x:v>
      </x:c>
      <x:c r="H2250" s="117" t="str">
        <x:v>AutoLaunchedFlow</x:v>
      </x:c>
      <x:c r="I2250" s="118" t="n">
        <x:v>65</x:v>
      </x:c>
      <x:c r="J2250" s="117" t="str">
        <x:v>unmanaged</x:v>
      </x:c>
      <x:c r="K2250" s="123" t="b">
        <x:v>0</x:v>
      </x:c>
      <x:c r="L2250" s="117"/>
      <x:c r="M2250" s="118"/>
      <x:c r="N2250" s="120" t="n">
        <x:v>45961.49962962963</x:v>
      </x:c>
      <x:c r="O2250" s="117" t="str">
        <x:v>Delegate</x:v>
      </x:c>
      <x:c r="P2250" s="120" t="n">
        <x:v>45961.49967592592</x:v>
      </x:c>
      <x:c r="Q2250" s="117" t="str">
        <x:v>Delegate</x:v>
      </x:c>
      <x:c r="R2250" s="117" t="str">
        <x:v>PO Bill - Resync if error is received.</x:v>
      </x:c>
      <x:c r="S2250" s="119" t="str">
        <x:v>10/31/2025 - Resyncs a PO Bill if there is a date that can be fixed</x:v>
      </x:c>
    </x:row>
    <x:row r="2251" ht="30" customHeight="1">
      <x:c r="A2251" s="117" t="str">
        <x:v>Prevent_Deletion_Credit_Memo</x:v>
      </x:c>
      <x:c r="B2251" s="117" t="str">
        <x:v>300Ro00000MYUv7IAH</x:v>
      </x:c>
      <x:c r="C2251" s="117" t="str">
        <x:v>301Ro00000OpzF2IAJ</x:v>
      </x:c>
      <x:c r="D2251" s="118" t="n">
        <x:v>1</x:v>
      </x:c>
      <x:c r="E2251" s="117" t="str">
        <x:v>Draft</x:v>
      </x:c>
      <x:c r="F2251" s="117" t="str">
        <x:v>No</x:v>
      </x:c>
      <x:c r="G2251" s="117" t="str">
        <x:v>Yes</x:v>
      </x:c>
      <x:c r="H2251" s="117" t="str">
        <x:v>AutoLaunchedFlow</x:v>
      </x:c>
      <x:c r="I2251" s="118" t="n">
        <x:v>62</x:v>
      </x:c>
      <x:c r="J2251" s="117" t="str">
        <x:v>unmanaged</x:v>
      </x:c>
      <x:c r="K2251" s="123" t="b">
        <x:v>0</x:v>
      </x:c>
      <x:c r="L2251" s="117"/>
      <x:c r="M2251" s="118"/>
      <x:c r="N2251" s="120" t="n">
        <x:v>45611.48190972222</x:v>
      </x:c>
      <x:c r="O2251" s="117" t="str">
        <x:v>Jon Kean</x:v>
      </x:c>
      <x:c r="P2251" s="120" t="n">
        <x:v>45611.48193287037</x:v>
      </x:c>
      <x:c r="Q2251" s="117" t="str">
        <x:v>Jon Kean</x:v>
      </x:c>
      <x:c r="R2251" s="117" t="str">
        <x:v>Prevent Deletion - Credit Memo</x:v>
      </x:c>
      <x:c r="S2251" s="119"/>
    </x:row>
    <x:row r="2252" ht="30" customHeight="1">
      <x:c r="A2252" s="117" t="str">
        <x:v>Prevent_Deletion_Debit_Memo</x:v>
      </x:c>
      <x:c r="B2252" s="117" t="str">
        <x:v>300Ro00000MYUv8IAH</x:v>
      </x:c>
      <x:c r="C2252" s="117" t="str">
        <x:v>301Ro00000OpzF3IAJ</x:v>
      </x:c>
      <x:c r="D2252" s="118" t="n">
        <x:v>1</x:v>
      </x:c>
      <x:c r="E2252" s="117" t="str">
        <x:v>Draft</x:v>
      </x:c>
      <x:c r="F2252" s="117" t="str">
        <x:v>No</x:v>
      </x:c>
      <x:c r="G2252" s="117" t="str">
        <x:v>Yes</x:v>
      </x:c>
      <x:c r="H2252" s="117" t="str">
        <x:v>AutoLaunchedFlow</x:v>
      </x:c>
      <x:c r="I2252" s="118" t="n">
        <x:v>62</x:v>
      </x:c>
      <x:c r="J2252" s="117" t="str">
        <x:v>unmanaged</x:v>
      </x:c>
      <x:c r="K2252" s="123" t="b">
        <x:v>0</x:v>
      </x:c>
      <x:c r="L2252" s="117"/>
      <x:c r="M2252" s="118"/>
      <x:c r="N2252" s="120" t="n">
        <x:v>45611.48193287037</x:v>
      </x:c>
      <x:c r="O2252" s="117" t="str">
        <x:v>Jon Kean</x:v>
      </x:c>
      <x:c r="P2252" s="120" t="n">
        <x:v>45611.48193287037</x:v>
      </x:c>
      <x:c r="Q2252" s="117" t="str">
        <x:v>Jon Kean</x:v>
      </x:c>
      <x:c r="R2252" s="117" t="str">
        <x:v>Prevent Deletion - Debit Memo</x:v>
      </x:c>
      <x:c r="S2252" s="119"/>
    </x:row>
    <x:row r="2253" ht="30" customHeight="1">
      <x:c r="A2253" s="117" t="str">
        <x:v>Prevent_Deletion_Inventory_Adjustment</x:v>
      </x:c>
      <x:c r="B2253" s="117" t="str">
        <x:v>300Ro00000MYUv9IAH</x:v>
      </x:c>
      <x:c r="C2253" s="117" t="str">
        <x:v>301Ro00000OpzF4IAJ</x:v>
      </x:c>
      <x:c r="D2253" s="118" t="n">
        <x:v>1</x:v>
      </x:c>
      <x:c r="E2253" s="117" t="str">
        <x:v>Draft</x:v>
      </x:c>
      <x:c r="F2253" s="117" t="str">
        <x:v>No</x:v>
      </x:c>
      <x:c r="G2253" s="117" t="str">
        <x:v>Yes</x:v>
      </x:c>
      <x:c r="H2253" s="117" t="str">
        <x:v>AutoLaunchedFlow</x:v>
      </x:c>
      <x:c r="I2253" s="118" t="n">
        <x:v>62</x:v>
      </x:c>
      <x:c r="J2253" s="117" t="str">
        <x:v>unmanaged</x:v>
      </x:c>
      <x:c r="K2253" s="123" t="b">
        <x:v>0</x:v>
      </x:c>
      <x:c r="L2253" s="117"/>
      <x:c r="M2253" s="118"/>
      <x:c r="N2253" s="120" t="n">
        <x:v>45611.481944444444</x:v>
      </x:c>
      <x:c r="O2253" s="117" t="str">
        <x:v>Jon Kean</x:v>
      </x:c>
      <x:c r="P2253" s="120" t="n">
        <x:v>45611.481944444444</x:v>
      </x:c>
      <x:c r="Q2253" s="117" t="str">
        <x:v>Jon Kean</x:v>
      </x:c>
      <x:c r="R2253" s="117" t="str">
        <x:v>Prevent Deletion - Inventory Adjustment</x:v>
      </x:c>
      <x:c r="S2253" s="119"/>
    </x:row>
    <x:row r="2254" ht="30" customHeight="1">
      <x:c r="A2254" s="117" t="str">
        <x:v>Prevent_Deletion_Invoice</x:v>
      </x:c>
      <x:c r="B2254" s="117" t="str">
        <x:v>300Ro00000MYUvAIAX</x:v>
      </x:c>
      <x:c r="C2254" s="117" t="str">
        <x:v>301Ro00000OpzF5IAJ</x:v>
      </x:c>
      <x:c r="D2254" s="118" t="n">
        <x:v>1</x:v>
      </x:c>
      <x:c r="E2254" s="117" t="str">
        <x:v>Draft</x:v>
      </x:c>
      <x:c r="F2254" s="117" t="str">
        <x:v>No</x:v>
      </x:c>
      <x:c r="G2254" s="117" t="str">
        <x:v>Yes</x:v>
      </x:c>
      <x:c r="H2254" s="117" t="str">
        <x:v>AutoLaunchedFlow</x:v>
      </x:c>
      <x:c r="I2254" s="118" t="n">
        <x:v>62</x:v>
      </x:c>
      <x:c r="J2254" s="117" t="str">
        <x:v>unmanaged</x:v>
      </x:c>
      <x:c r="K2254" s="123" t="b">
        <x:v>0</x:v>
      </x:c>
      <x:c r="L2254" s="117"/>
      <x:c r="M2254" s="118"/>
      <x:c r="N2254" s="120" t="n">
        <x:v>45611.481944444444</x:v>
      </x:c>
      <x:c r="O2254" s="117" t="str">
        <x:v>Jon Kean</x:v>
      </x:c>
      <x:c r="P2254" s="120" t="n">
        <x:v>45611.481944444444</x:v>
      </x:c>
      <x:c r="Q2254" s="117" t="str">
        <x:v>Jon Kean</x:v>
      </x:c>
      <x:c r="R2254" s="117" t="str">
        <x:v>Prevent Deletion - Invoice</x:v>
      </x:c>
      <x:c r="S2254" s="119"/>
    </x:row>
    <x:row r="2255" ht="30" customHeight="1">
      <x:c r="A2255" s="117" t="str">
        <x:v>Prevent_Deletion_Item_Receipt</x:v>
      </x:c>
      <x:c r="B2255" s="117" t="str">
        <x:v>300Ro00000MYUvBIAX</x:v>
      </x:c>
      <x:c r="C2255" s="117" t="str">
        <x:v>301Ro00000OpzF6IAJ</x:v>
      </x:c>
      <x:c r="D2255" s="118" t="n">
        <x:v>1</x:v>
      </x:c>
      <x:c r="E2255" s="117" t="str">
        <x:v>Draft</x:v>
      </x:c>
      <x:c r="F2255" s="117" t="str">
        <x:v>No</x:v>
      </x:c>
      <x:c r="G2255" s="117" t="str">
        <x:v>Yes</x:v>
      </x:c>
      <x:c r="H2255" s="117" t="str">
        <x:v>AutoLaunchedFlow</x:v>
      </x:c>
      <x:c r="I2255" s="118" t="n">
        <x:v>62</x:v>
      </x:c>
      <x:c r="J2255" s="117" t="str">
        <x:v>unmanaged</x:v>
      </x:c>
      <x:c r="K2255" s="123" t="b">
        <x:v>0</x:v>
      </x:c>
      <x:c r="L2255" s="117"/>
      <x:c r="M2255" s="118"/>
      <x:c r="N2255" s="120" t="n">
        <x:v>45611.481944444444</x:v>
      </x:c>
      <x:c r="O2255" s="117" t="str">
        <x:v>Jon Kean</x:v>
      </x:c>
      <x:c r="P2255" s="120" t="n">
        <x:v>45611.481944444444</x:v>
      </x:c>
      <x:c r="Q2255" s="117" t="str">
        <x:v>Jon Kean</x:v>
      </x:c>
      <x:c r="R2255" s="117" t="str">
        <x:v>Prevent Deletion - Item Receipt</x:v>
      </x:c>
      <x:c r="S2255" s="119"/>
    </x:row>
    <x:row r="2256" ht="30" customHeight="1">
      <x:c r="A2256" s="117" t="str">
        <x:v>Prevent_Deletion_Opportunity</x:v>
      </x:c>
      <x:c r="B2256" s="117" t="str">
        <x:v>300Ro00000MYUvCIAX</x:v>
      </x:c>
      <x:c r="C2256" s="117" t="str">
        <x:v>301Ro00000OpzF7IAJ</x:v>
      </x:c>
      <x:c r="D2256" s="118" t="n">
        <x:v>1</x:v>
      </x:c>
      <x:c r="E2256" s="117" t="str">
        <x:v>Draft</x:v>
      </x:c>
      <x:c r="F2256" s="117" t="str">
        <x:v>No</x:v>
      </x:c>
      <x:c r="G2256" s="117" t="str">
        <x:v>Yes</x:v>
      </x:c>
      <x:c r="H2256" s="117" t="str">
        <x:v>AutoLaunchedFlow</x:v>
      </x:c>
      <x:c r="I2256" s="118" t="n">
        <x:v>62</x:v>
      </x:c>
      <x:c r="J2256" s="117" t="str">
        <x:v>unmanaged</x:v>
      </x:c>
      <x:c r="K2256" s="123" t="b">
        <x:v>0</x:v>
      </x:c>
      <x:c r="L2256" s="117"/>
      <x:c r="M2256" s="118"/>
      <x:c r="N2256" s="120" t="n">
        <x:v>45611.481944444444</x:v>
      </x:c>
      <x:c r="O2256" s="117" t="str">
        <x:v>Jon Kean</x:v>
      </x:c>
      <x:c r="P2256" s="120" t="n">
        <x:v>45611.48196759259</x:v>
      </x:c>
      <x:c r="Q2256" s="117" t="str">
        <x:v>Jon Kean</x:v>
      </x:c>
      <x:c r="R2256" s="117" t="str">
        <x:v>Prevent Deletion - Opportunity</x:v>
      </x:c>
      <x:c r="S2256" s="119"/>
    </x:row>
    <x:row r="2257" ht="30" customHeight="1">
      <x:c r="A2257" s="117" t="str">
        <x:v>Prevent_Deletion_Purchasing_Return</x:v>
      </x:c>
      <x:c r="B2257" s="117" t="str">
        <x:v>300Ro00000MYUvDIAX</x:v>
      </x:c>
      <x:c r="C2257" s="117" t="str">
        <x:v>301Ro00000OpzF8IAJ</x:v>
      </x:c>
      <x:c r="D2257" s="118" t="n">
        <x:v>1</x:v>
      </x:c>
      <x:c r="E2257" s="117" t="str">
        <x:v>Draft</x:v>
      </x:c>
      <x:c r="F2257" s="117" t="str">
        <x:v>No</x:v>
      </x:c>
      <x:c r="G2257" s="117" t="str">
        <x:v>Yes</x:v>
      </x:c>
      <x:c r="H2257" s="117" t="str">
        <x:v>AutoLaunchedFlow</x:v>
      </x:c>
      <x:c r="I2257" s="118" t="n">
        <x:v>62</x:v>
      </x:c>
      <x:c r="J2257" s="117" t="str">
        <x:v>unmanaged</x:v>
      </x:c>
      <x:c r="K2257" s="123" t="b">
        <x:v>0</x:v>
      </x:c>
      <x:c r="L2257" s="117"/>
      <x:c r="M2257" s="118"/>
      <x:c r="N2257" s="120" t="n">
        <x:v>45611.48196759259</x:v>
      </x:c>
      <x:c r="O2257" s="117" t="str">
        <x:v>Jon Kean</x:v>
      </x:c>
      <x:c r="P2257" s="120" t="n">
        <x:v>45611.48197916667</x:v>
      </x:c>
      <x:c r="Q2257" s="117" t="str">
        <x:v>Jon Kean</x:v>
      </x:c>
      <x:c r="R2257" s="117" t="str">
        <x:v>Prevent Deletion - Purchasing Return</x:v>
      </x:c>
      <x:c r="S2257" s="119"/>
    </x:row>
    <x:row r="2258" ht="30" customHeight="1">
      <x:c r="A2258" s="117" t="str">
        <x:v>Prevent_Deletion_RMA</x:v>
      </x:c>
      <x:c r="B2258" s="117" t="str">
        <x:v>300Ro00000MYUvEIAX</x:v>
      </x:c>
      <x:c r="C2258" s="117" t="str">
        <x:v>301Ro00000OpzF9IAJ</x:v>
      </x:c>
      <x:c r="D2258" s="118" t="n">
        <x:v>1</x:v>
      </x:c>
      <x:c r="E2258" s="117" t="str">
        <x:v>Draft</x:v>
      </x:c>
      <x:c r="F2258" s="117" t="str">
        <x:v>No</x:v>
      </x:c>
      <x:c r="G2258" s="117" t="str">
        <x:v>Yes</x:v>
      </x:c>
      <x:c r="H2258" s="117" t="str">
        <x:v>AutoLaunchedFlow</x:v>
      </x:c>
      <x:c r="I2258" s="118" t="n">
        <x:v>62</x:v>
      </x:c>
      <x:c r="J2258" s="117" t="str">
        <x:v>unmanaged</x:v>
      </x:c>
      <x:c r="K2258" s="123" t="b">
        <x:v>0</x:v>
      </x:c>
      <x:c r="L2258" s="117"/>
      <x:c r="M2258" s="118"/>
      <x:c r="N2258" s="120" t="n">
        <x:v>45611.48197916667</x:v>
      </x:c>
      <x:c r="O2258" s="117" t="str">
        <x:v>Jon Kean</x:v>
      </x:c>
      <x:c r="P2258" s="120" t="n">
        <x:v>45611.48197916667</x:v>
      </x:c>
      <x:c r="Q2258" s="117" t="str">
        <x:v>Jon Kean</x:v>
      </x:c>
      <x:c r="R2258" s="117" t="str">
        <x:v>Prevent Deletion - RMA</x:v>
      </x:c>
      <x:c r="S2258" s="119"/>
    </x:row>
    <x:row r="2259" ht="30" customHeight="1">
      <x:c r="A2259" s="117" t="str">
        <x:v>Pricing_Request_Response_Notification_Flow</x:v>
      </x:c>
      <x:c r="B2259" s="117" t="str">
        <x:v>3005b000000Pz5KAAS</x:v>
      </x:c>
      <x:c r="C2259" s="117" t="str">
        <x:v>3015b000000W0drAAC</x:v>
      </x:c>
      <x:c r="D2259" s="118" t="n">
        <x:v>1</x:v>
      </x:c>
      <x:c r="E2259" s="117" t="str">
        <x:v>Obsolete</x:v>
      </x:c>
      <x:c r="F2259" s="117" t="str">
        <x:v>No</x:v>
      </x:c>
      <x:c r="G2259" s="117" t="str">
        <x:v>No</x:v>
      </x:c>
      <x:c r="H2259" s="117" t="str">
        <x:v>AutoLaunchedFlow</x:v>
      </x:c>
      <x:c r="I2259" s="118" t="n">
        <x:v>57</x:v>
      </x:c>
      <x:c r="J2259" s="117" t="str">
        <x:v>unmanaged</x:v>
      </x:c>
      <x:c r="K2259" s="123" t="b">
        <x:v>0</x:v>
      </x:c>
      <x:c r="L2259" s="117"/>
      <x:c r="M2259" s="118"/>
      <x:c r="N2259" s="120" t="n">
        <x:v>45001.6915625</x:v>
      </x:c>
      <x:c r="O2259" s="117" t="str">
        <x:v>Jace Gentil</x:v>
      </x:c>
      <x:c r="P2259" s="120" t="n">
        <x:v>45001.69893518519</x:v>
      </x:c>
      <x:c r="Q2259" s="117" t="str">
        <x:v>Jace Gentil</x:v>
      </x:c>
      <x:c r="R2259" s="117" t="str">
        <x:v>Pricing Request Response Notification Flow</x:v>
      </x:c>
      <x:c r="S2259" s="119"/>
    </x:row>
    <x:row r="2260" ht="30" customHeight="1">
      <x:c r="A2260" s="117" t="str">
        <x:v>Pricing_Request_Response_Notification_Flow</x:v>
      </x:c>
      <x:c r="B2260" s="117" t="str">
        <x:v>3005b000000Pz5KAAS</x:v>
      </x:c>
      <x:c r="C2260" s="117" t="str">
        <x:v>3015b000000W0e6AAC</x:v>
      </x:c>
      <x:c r="D2260" s="118" t="n">
        <x:v>2</x:v>
      </x:c>
      <x:c r="E2260" s="117" t="str">
        <x:v>Obsolete</x:v>
      </x:c>
      <x:c r="F2260" s="117" t="str">
        <x:v>No</x:v>
      </x:c>
      <x:c r="G2260" s="117" t="str">
        <x:v>No</x:v>
      </x:c>
      <x:c r="H2260" s="117" t="str">
        <x:v>AutoLaunchedFlow</x:v>
      </x:c>
      <x:c r="I2260" s="118" t="n">
        <x:v>57</x:v>
      </x:c>
      <x:c r="J2260" s="117" t="str">
        <x:v>unmanaged</x:v>
      </x:c>
      <x:c r="K2260" s="123" t="b">
        <x:v>0</x:v>
      </x:c>
      <x:c r="L2260" s="117"/>
      <x:c r="M2260" s="118"/>
      <x:c r="N2260" s="120" t="n">
        <x:v>45001.69783564815</x:v>
      </x:c>
      <x:c r="O2260" s="117" t="str">
        <x:v>Jace Gentil</x:v>
      </x:c>
      <x:c r="P2260" s="120" t="n">
        <x:v>45001.69797453703</x:v>
      </x:c>
      <x:c r="Q2260" s="117" t="str">
        <x:v>Jace Gentil</x:v>
      </x:c>
      <x:c r="R2260" s="117" t="str">
        <x:v>Pricing Request Response Notification Flow</x:v>
      </x:c>
      <x:c r="S2260" s="119"/>
    </x:row>
    <x:row r="2261" ht="30" customHeight="1">
      <x:c r="A2261" s="117" t="str">
        <x:v>Pricing_Request_Response_Notification_Flow</x:v>
      </x:c>
      <x:c r="B2261" s="117" t="str">
        <x:v>3005b000000Pz5KAAS</x:v>
      </x:c>
      <x:c r="C2261" s="117" t="str">
        <x:v>3015b000000W0eBAAS</x:v>
      </x:c>
      <x:c r="D2261" s="118" t="n">
        <x:v>3</x:v>
      </x:c>
      <x:c r="E2261" s="117" t="str">
        <x:v>Obsolete</x:v>
      </x:c>
      <x:c r="F2261" s="117" t="str">
        <x:v>No</x:v>
      </x:c>
      <x:c r="G2261" s="117" t="str">
        <x:v>No</x:v>
      </x:c>
      <x:c r="H2261" s="117" t="str">
        <x:v>AutoLaunchedFlow</x:v>
      </x:c>
      <x:c r="I2261" s="118" t="n">
        <x:v>57</x:v>
      </x:c>
      <x:c r="J2261" s="117" t="str">
        <x:v>unmanaged</x:v>
      </x:c>
      <x:c r="K2261" s="123" t="b">
        <x:v>0</x:v>
      </x:c>
      <x:c r="L2261" s="117"/>
      <x:c r="M2261" s="118"/>
      <x:c r="N2261" s="120" t="n">
        <x:v>45001.70123842593</x:v>
      </x:c>
      <x:c r="O2261" s="117" t="str">
        <x:v>Jace Gentil</x:v>
      </x:c>
      <x:c r="P2261" s="120" t="n">
        <x:v>45001.701261574075</x:v>
      </x:c>
      <x:c r="Q2261" s="117" t="str">
        <x:v>Jace Gentil</x:v>
      </x:c>
      <x:c r="R2261" s="117" t="str">
        <x:v>Pricing Request Response Notification Flow</x:v>
      </x:c>
      <x:c r="S2261" s="119"/>
    </x:row>
    <x:row r="2262" ht="30" customHeight="1">
      <x:c r="A2262" s="117" t="str">
        <x:v>Pricing_Request_Response_Notification_Flow</x:v>
      </x:c>
      <x:c r="B2262" s="117" t="str">
        <x:v>3005b000000Pz5KAAS</x:v>
      </x:c>
      <x:c r="C2262" s="117" t="str">
        <x:v>3015b000000W0eGAAS</x:v>
      </x:c>
      <x:c r="D2262" s="118" t="n">
        <x:v>4</x:v>
      </x:c>
      <x:c r="E2262" s="117" t="str">
        <x:v>Obsolete</x:v>
      </x:c>
      <x:c r="F2262" s="117" t="str">
        <x:v>No</x:v>
      </x:c>
      <x:c r="G2262" s="117" t="str">
        <x:v>No</x:v>
      </x:c>
      <x:c r="H2262" s="117" t="str">
        <x:v>AutoLaunchedFlow</x:v>
      </x:c>
      <x:c r="I2262" s="118" t="n">
        <x:v>57</x:v>
      </x:c>
      <x:c r="J2262" s="117" t="str">
        <x:v>unmanaged</x:v>
      </x:c>
      <x:c r="K2262" s="123" t="b">
        <x:v>0</x:v>
      </x:c>
      <x:c r="L2262" s="117"/>
      <x:c r="M2262" s="118"/>
      <x:c r="N2262" s="120" t="n">
        <x:v>45001.70171296296</x:v>
      </x:c>
      <x:c r="O2262" s="117" t="str">
        <x:v>Jace Gentil</x:v>
      </x:c>
      <x:c r="P2262" s="120" t="n">
        <x:v>45001.701736111114</x:v>
      </x:c>
      <x:c r="Q2262" s="117" t="str">
        <x:v>Jace Gentil</x:v>
      </x:c>
      <x:c r="R2262" s="117" t="str">
        <x:v>Pricing Request Response Notification Flow</x:v>
      </x:c>
      <x:c r="S2262" s="119"/>
    </x:row>
    <x:row r="2263" ht="30" customHeight="1">
      <x:c r="A2263" s="117" t="str">
        <x:v>Pricing_Request_Response_Notification_Flow</x:v>
      </x:c>
      <x:c r="B2263" s="117" t="str">
        <x:v>3005b000000Pz5KAAS</x:v>
      </x:c>
      <x:c r="C2263" s="117" t="str">
        <x:v>3015b000000W0w0AAC</x:v>
      </x:c>
      <x:c r="D2263" s="118" t="n">
        <x:v>5</x:v>
      </x:c>
      <x:c r="E2263" s="117" t="str">
        <x:v>Obsolete</x:v>
      </x:c>
      <x:c r="F2263" s="117" t="str">
        <x:v>No</x:v>
      </x:c>
      <x:c r="G2263" s="117" t="str">
        <x:v>No</x:v>
      </x:c>
      <x:c r="H2263" s="117" t="str">
        <x:v>AutoLaunchedFlow</x:v>
      </x:c>
      <x:c r="I2263" s="118" t="n">
        <x:v>57</x:v>
      </x:c>
      <x:c r="J2263" s="117" t="str">
        <x:v>unmanaged</x:v>
      </x:c>
      <x:c r="K2263" s="123" t="b">
        <x:v>0</x:v>
      </x:c>
      <x:c r="L2263" s="117"/>
      <x:c r="M2263" s="118"/>
      <x:c r="N2263" s="120" t="n">
        <x:v>45006.91203703704</x:v>
      </x:c>
      <x:c r="O2263" s="117" t="str">
        <x:v>Jace Gentil</x:v>
      </x:c>
      <x:c r="P2263" s="120" t="n">
        <x:v>45006.912083333336</x:v>
      </x:c>
      <x:c r="Q2263" s="117" t="str">
        <x:v>Jace Gentil</x:v>
      </x:c>
      <x:c r="R2263" s="117" t="str">
        <x:v>Pricing Request Response Notification Flow</x:v>
      </x:c>
      <x:c r="S2263" s="119"/>
    </x:row>
    <x:row r="2264" ht="30" customHeight="1">
      <x:c r="A2264" s="117" t="str">
        <x:v>Pricing_Request_Response_Notification_Flow</x:v>
      </x:c>
      <x:c r="B2264" s="117" t="str">
        <x:v>3005b000000Pz5KAAS</x:v>
      </x:c>
      <x:c r="C2264" s="117" t="str">
        <x:v>3015b000000W0y6AAC</x:v>
      </x:c>
      <x:c r="D2264" s="118" t="n">
        <x:v>6</x:v>
      </x:c>
      <x:c r="E2264" s="117" t="str">
        <x:v>Obsolete</x:v>
      </x:c>
      <x:c r="F2264" s="117" t="str">
        <x:v>No</x:v>
      </x:c>
      <x:c r="G2264" s="117" t="str">
        <x:v>No</x:v>
      </x:c>
      <x:c r="H2264" s="117" t="str">
        <x:v>AutoLaunchedFlow</x:v>
      </x:c>
      <x:c r="I2264" s="118" t="n">
        <x:v>57</x:v>
      </x:c>
      <x:c r="J2264" s="117" t="str">
        <x:v>unmanaged</x:v>
      </x:c>
      <x:c r="K2264" s="123" t="b">
        <x:v>0</x:v>
      </x:c>
      <x:c r="L2264" s="117"/>
      <x:c r="M2264" s="118"/>
      <x:c r="N2264" s="120" t="n">
        <x:v>45007.873877314814</x:v>
      </x:c>
      <x:c r="O2264" s="117" t="str">
        <x:v>Jace Gentil</x:v>
      </x:c>
      <x:c r="P2264" s="120" t="n">
        <x:v>45007.87391203704</x:v>
      </x:c>
      <x:c r="Q2264" s="117" t="str">
        <x:v>Jace Gentil</x:v>
      </x:c>
      <x:c r="R2264" s="117" t="str">
        <x:v>Pricing Request Response Notification Flow</x:v>
      </x:c>
      <x:c r="S2264" s="119"/>
    </x:row>
    <x:row r="2265" ht="30" customHeight="1">
      <x:c r="A2265" s="117" t="str">
        <x:v>Pricing_Request_Response_Notification_Flow</x:v>
      </x:c>
      <x:c r="B2265" s="117" t="str">
        <x:v>3005b000000Pz5KAAS</x:v>
      </x:c>
      <x:c r="C2265" s="117" t="str">
        <x:v>3015b000000ASB8AAO</x:v>
      </x:c>
      <x:c r="D2265" s="118" t="n">
        <x:v>7</x:v>
      </x:c>
      <x:c r="E2265" s="117" t="str">
        <x:v>Obsolete</x:v>
      </x:c>
      <x:c r="F2265" s="117" t="str">
        <x:v>No</x:v>
      </x:c>
      <x:c r="G2265" s="117" t="str">
        <x:v>No</x:v>
      </x:c>
      <x:c r="H2265" s="117" t="str">
        <x:v>AutoLaunchedFlow</x:v>
      </x:c>
      <x:c r="I2265" s="118" t="n">
        <x:v>57</x:v>
      </x:c>
      <x:c r="J2265" s="117" t="str">
        <x:v>unmanaged</x:v>
      </x:c>
      <x:c r="K2265" s="123" t="b">
        <x:v>0</x:v>
      </x:c>
      <x:c r="L2265" s="117"/>
      <x:c r="M2265" s="118"/>
      <x:c r="N2265" s="120" t="n">
        <x:v>45181.614386574074</x:v>
      </x:c>
      <x:c r="O2265" s="117" t="str">
        <x:v>Jace Gentil</x:v>
      </x:c>
      <x:c r="P2265" s="120" t="n">
        <x:v>45181.61446759259</x:v>
      </x:c>
      <x:c r="Q2265" s="117" t="str">
        <x:v>Jace Gentil</x:v>
      </x:c>
      <x:c r="R2265" s="117" t="str">
        <x:v>Pricing Request Response Notification Flow</x:v>
      </x:c>
      <x:c r="S2265" s="119"/>
    </x:row>
    <x:row r="2266" ht="30" customHeight="1">
      <x:c r="A2266" s="117" t="str">
        <x:v>Pricing_Request_Response_Notification_Flow</x:v>
      </x:c>
      <x:c r="B2266" s="117" t="str">
        <x:v>3005b000000Pz5KAAS</x:v>
      </x:c>
      <x:c r="C2266" s="117" t="str">
        <x:v>3015b0000011NDnAAM</x:v>
      </x:c>
      <x:c r="D2266" s="118" t="n">
        <x:v>8</x:v>
      </x:c>
      <x:c r="E2266" s="117" t="str">
        <x:v>Obsolete</x:v>
      </x:c>
      <x:c r="F2266" s="117" t="str">
        <x:v>No</x:v>
      </x:c>
      <x:c r="G2266" s="117" t="str">
        <x:v>No</x:v>
      </x:c>
      <x:c r="H2266" s="117" t="str">
        <x:v>AutoLaunchedFlow</x:v>
      </x:c>
      <x:c r="I2266" s="118" t="n">
        <x:v>57</x:v>
      </x:c>
      <x:c r="J2266" s="117" t="str">
        <x:v>unmanaged</x:v>
      </x:c>
      <x:c r="K2266" s="123" t="b">
        <x:v>0</x:v>
      </x:c>
      <x:c r="L2266" s="117"/>
      <x:c r="M2266" s="118"/>
      <x:c r="N2266" s="120" t="n">
        <x:v>45308.66454861111</x:v>
      </x:c>
      <x:c r="O2266" s="117" t="str">
        <x:v>Jace Gentil</x:v>
      </x:c>
      <x:c r="P2266" s="120" t="n">
        <x:v>45308.66458333333</x:v>
      </x:c>
      <x:c r="Q2266" s="117" t="str">
        <x:v>Jace Gentil</x:v>
      </x:c>
      <x:c r="R2266" s="117" t="str">
        <x:v>Pricing Request Response Notification Flow</x:v>
      </x:c>
      <x:c r="S2266" s="119"/>
    </x:row>
    <x:row r="2267" ht="30" customHeight="1">
      <x:c r="A2267" s="117" t="str">
        <x:v>Pricing_Request_Response_Notification_Flow</x:v>
      </x:c>
      <x:c r="B2267" s="117" t="str">
        <x:v>3005b000000Pz5KAAS</x:v>
      </x:c>
      <x:c r="C2267" s="117" t="str">
        <x:v>301Ro00000A8wadIAB</x:v>
      </x:c>
      <x:c r="D2267" s="118" t="n">
        <x:v>9</x:v>
      </x:c>
      <x:c r="E2267" s="117" t="str">
        <x:v>Active</x:v>
      </x:c>
      <x:c r="F2267" s="117" t="str">
        <x:v>Yes</x:v>
      </x:c>
      <x:c r="G2267" s="117" t="str">
        <x:v>Yes</x:v>
      </x:c>
      <x:c r="H2267" s="117" t="str">
        <x:v>AutoLaunchedFlow</x:v>
      </x:c>
      <x:c r="I2267" s="118" t="n">
        <x:v>57</x:v>
      </x:c>
      <x:c r="J2267" s="117" t="str">
        <x:v>unmanaged</x:v>
      </x:c>
      <x:c r="K2267" s="123" t="b">
        <x:v>0</x:v>
      </x:c>
      <x:c r="L2267" s="117"/>
      <x:c r="M2267" s="118"/>
      <x:c r="N2267" s="120" t="n">
        <x:v>45383.84991898148</x:v>
      </x:c>
      <x:c r="O2267" s="117" t="str">
        <x:v>Jace Gentil</x:v>
      </x:c>
      <x:c r="P2267" s="120" t="n">
        <x:v>45383.8500462963</x:v>
      </x:c>
      <x:c r="Q2267" s="117" t="str">
        <x:v>Jace Gentil</x:v>
      </x:c>
      <x:c r="R2267" s="117" t="str">
        <x:v>Pricing Request Response Notification Flow</x:v>
      </x:c>
      <x:c r="S2267" s="119"/>
    </x:row>
    <x:row r="2268" ht="30" customHeight="1">
      <x:c r="A2268" s="117" t="str">
        <x:v>Pricing_Request_Trigger_Update_Req_Opp_WO_SA</x:v>
      </x:c>
      <x:c r="B2268" s="117" t="str">
        <x:v>300Ro00000VLr5uIAD</x:v>
      </x:c>
      <x:c r="C2268" s="117" t="str">
        <x:v>301Ro00000YXxSPIA1</x:v>
      </x:c>
      <x:c r="D2268" s="118" t="n">
        <x:v>1</x:v>
      </x:c>
      <x:c r="E2268" s="117" t="str">
        <x:v>Active</x:v>
      </x:c>
      <x:c r="F2268" s="117" t="str">
        <x:v>Yes</x:v>
      </x:c>
      <x:c r="G2268" s="117" t="str">
        <x:v>Yes</x:v>
      </x:c>
      <x:c r="H2268" s="117" t="str">
        <x:v>AutoLaunchedFlow</x:v>
      </x:c>
      <x:c r="I2268" s="118" t="n">
        <x:v>63</x:v>
      </x:c>
      <x:c r="J2268" s="117" t="str">
        <x:v>unmanaged</x:v>
      </x:c>
      <x:c r="K2268" s="123" t="b">
        <x:v>0</x:v>
      </x:c>
      <x:c r="L2268" s="117"/>
      <x:c r="M2268" s="118"/>
      <x:c r="N2268" s="120" t="n">
        <x:v>45782.618125</x:v>
      </x:c>
      <x:c r="O2268" s="117" t="str">
        <x:v>Delegate</x:v>
      </x:c>
      <x:c r="P2268" s="120" t="n">
        <x:v>45782.621041666665</x:v>
      </x:c>
      <x:c r="Q2268" s="117" t="str">
        <x:v>Delegate</x:v>
      </x:c>
      <x:c r="R2268" s="117" t="str">
        <x:v>Pricing Request - Trigger - Update Req. Opp WO/SA</x:v>
      </x:c>
      <x:c r="S2268" s="119" t="str">
        <x:v>04/30/2025 - Kyle - Update requesting Opp data when PR is created or updated</x:v>
      </x:c>
    </x:row>
    <x:row r="2269" ht="30" customHeight="1">
      <x:c r="A2269" s="117" t="str">
        <x:v>Probe_Loan_Calculation_Tool</x:v>
      </x:c>
      <x:c r="B2269" s="117" t="str">
        <x:v>300Ro00000726mtIAA</x:v>
      </x:c>
      <x:c r="C2269" s="117" t="str">
        <x:v>301Ro000007uVJjIAM</x:v>
      </x:c>
      <x:c r="D2269" s="118" t="n">
        <x:v>1</x:v>
      </x:c>
      <x:c r="E2269" s="117" t="str">
        <x:v>Obsolete</x:v>
      </x:c>
      <x:c r="F2269" s="117" t="str">
        <x:v>No</x:v>
      </x:c>
      <x:c r="G2269" s="117" t="str">
        <x:v>No</x:v>
      </x:c>
      <x:c r="H2269" s="117" t="str">
        <x:v>Flow</x:v>
      </x:c>
      <x:c r="I2269" s="118" t="n">
        <x:v>60</x:v>
      </x:c>
      <x:c r="J2269" s="117" t="str">
        <x:v>unmanaged</x:v>
      </x:c>
      <x:c r="K2269" s="123" t="b">
        <x:v>0</x:v>
      </x:c>
      <x:c r="L2269" s="117"/>
      <x:c r="M2269" s="118"/>
      <x:c r="N2269" s="120" t="n">
        <x:v>45345.791342592594</x:v>
      </x:c>
      <x:c r="O2269" s="117" t="str">
        <x:v>Jace Gentil</x:v>
      </x:c>
      <x:c r="P2269" s="120" t="n">
        <x:v>45345.79167824074</x:v>
      </x:c>
      <x:c r="Q2269" s="117" t="str">
        <x:v>Jace Gentil</x:v>
      </x:c>
      <x:c r="R2269" s="117" t="str">
        <x:v>Probe Loan Calculation Tool</x:v>
      </x:c>
      <x:c r="S2269" s="119"/>
    </x:row>
    <x:row r="2270" ht="30" customHeight="1">
      <x:c r="A2270" s="117" t="str">
        <x:v>Probe_Loan_Calculation_Tool</x:v>
      </x:c>
      <x:c r="B2270" s="117" t="str">
        <x:v>300Ro00000726mtIAA</x:v>
      </x:c>
      <x:c r="C2270" s="117" t="str">
        <x:v>301Ro000007ukIgIAI</x:v>
      </x:c>
      <x:c r="D2270" s="118" t="n">
        <x:v>2</x:v>
      </x:c>
      <x:c r="E2270" s="117" t="str">
        <x:v>Active</x:v>
      </x:c>
      <x:c r="F2270" s="117" t="str">
        <x:v>Yes</x:v>
      </x:c>
      <x:c r="G2270" s="117" t="str">
        <x:v>Yes</x:v>
      </x:c>
      <x:c r="H2270" s="117" t="str">
        <x:v>Flow</x:v>
      </x:c>
      <x:c r="I2270" s="118" t="n">
        <x:v>60</x:v>
      </x:c>
      <x:c r="J2270" s="117" t="str">
        <x:v>unmanaged</x:v>
      </x:c>
      <x:c r="K2270" s="123" t="b">
        <x:v>0</x:v>
      </x:c>
      <x:c r="L2270" s="117"/>
      <x:c r="M2270" s="118"/>
      <x:c r="N2270" s="120" t="n">
        <x:v>45345.80342592593</x:v>
      </x:c>
      <x:c r="O2270" s="117" t="str">
        <x:v>Jace Gentil</x:v>
      </x:c>
      <x:c r="P2270" s="120" t="n">
        <x:v>45345.803460648145</x:v>
      </x:c>
      <x:c r="Q2270" s="117" t="str">
        <x:v>Jace Gentil</x:v>
      </x:c>
      <x:c r="R2270" s="117" t="str">
        <x:v>Probe Loan Calculation Tool</x:v>
      </x:c>
      <x:c r="S2270" s="119"/>
    </x:row>
    <x:row r="2271" ht="30" customHeight="1">
      <x:c r="A2271" s="117" t="str">
        <x:v>Probe_Loan_ROI_Calculations_FLow</x:v>
      </x:c>
      <x:c r="B2271" s="117" t="str">
        <x:v>300Ro0000075fUlIAI</x:v>
      </x:c>
      <x:c r="C2271" s="117" t="str">
        <x:v>301Ro000007vAl1IAE</x:v>
      </x:c>
      <x:c r="D2271" s="118" t="n">
        <x:v>1</x:v>
      </x:c>
      <x:c r="E2271" s="117" t="str">
        <x:v>Obsolete</x:v>
      </x:c>
      <x:c r="F2271" s="117" t="str">
        <x:v>No</x:v>
      </x:c>
      <x:c r="G2271" s="117" t="str">
        <x:v>No</x:v>
      </x:c>
      <x:c r="H2271" s="117" t="str">
        <x:v>AutoLaunchedFlow</x:v>
      </x:c>
      <x:c r="I2271" s="118" t="n">
        <x:v>60</x:v>
      </x:c>
      <x:c r="J2271" s="117" t="str">
        <x:v>unmanaged</x:v>
      </x:c>
      <x:c r="K2271" s="123" t="b">
        <x:v>0</x:v>
      </x:c>
      <x:c r="L2271" s="117"/>
      <x:c r="M2271" s="118"/>
      <x:c r="N2271" s="120" t="n">
        <x:v>45345.90002314815</x:v>
      </x:c>
      <x:c r="O2271" s="117" t="str">
        <x:v>Jace Gentil</x:v>
      </x:c>
      <x:c r="P2271" s="120" t="n">
        <x:v>45716.59581018519</x:v>
      </x:c>
      <x:c r="Q2271" s="117" t="str">
        <x:v>Jace Gentil</x:v>
      </x:c>
      <x:c r="R2271" s="117" t="str">
        <x:v>Probe Loan ROI Calculations FLow</x:v>
      </x:c>
      <x:c r="S2271" s="119"/>
    </x:row>
    <x:row r="2272" ht="30" customHeight="1">
      <x:c r="A2272" s="117" t="str">
        <x:v>Probe_Loan_ROI_Calculations_FLow</x:v>
      </x:c>
      <x:c r="B2272" s="117" t="str">
        <x:v>300Ro0000075fUlIAI</x:v>
      </x:c>
      <x:c r="C2272" s="117" t="str">
        <x:v>301Ro00000eIHY6IAO</x:v>
      </x:c>
      <x:c r="D2272" s="118" t="n">
        <x:v>2</x:v>
      </x:c>
      <x:c r="E2272" s="117" t="str">
        <x:v>Obsolete</x:v>
      </x:c>
      <x:c r="F2272" s="117" t="str">
        <x:v>No</x:v>
      </x:c>
      <x:c r="G2272" s="117" t="str">
        <x:v>No</x:v>
      </x:c>
      <x:c r="H2272" s="117" t="str">
        <x:v>AutoLaunchedFlow</x:v>
      </x:c>
      <x:c r="I2272" s="118" t="n">
        <x:v>60</x:v>
      </x:c>
      <x:c r="J2272" s="117" t="str">
        <x:v>unmanaged</x:v>
      </x:c>
      <x:c r="K2272" s="123" t="b">
        <x:v>0</x:v>
      </x:c>
      <x:c r="L2272" s="117"/>
      <x:c r="M2272" s="118"/>
      <x:c r="N2272" s="120" t="n">
        <x:v>45846.4853125</x:v>
      </x:c>
      <x:c r="O2272" s="117" t="str">
        <x:v>Delegate</x:v>
      </x:c>
      <x:c r="P2272" s="120" t="n">
        <x:v>45846.48540509259</x:v>
      </x:c>
      <x:c r="Q2272" s="117" t="str">
        <x:v>Delegate</x:v>
      </x:c>
      <x:c r="R2272" s="117" t="str">
        <x:v>Probe Loan ROI Calculations FLow</x:v>
      </x:c>
      <x:c r="S2272" s="119" t="str">
        <x:v>07/08/2025 (BW) - Updating flow to run asynchronously</x:v>
      </x:c>
    </x:row>
    <x:row r="2273" ht="30" customHeight="1">
      <x:c r="A2273" s="117" t="str">
        <x:v>Probe_Loan_ROI_Calculations_FLow</x:v>
      </x:c>
      <x:c r="B2273" s="117" t="str">
        <x:v>300Ro0000075fUlIAI</x:v>
      </x:c>
      <x:c r="C2273" s="117" t="str">
        <x:v>301Ro00000eICznIAG</x:v>
      </x:c>
      <x:c r="D2273" s="118" t="n">
        <x:v>3</x:v>
      </x:c>
      <x:c r="E2273" s="117" t="str">
        <x:v>Obsolete</x:v>
      </x:c>
      <x:c r="F2273" s="117" t="str">
        <x:v>No</x:v>
      </x:c>
      <x:c r="G2273" s="117" t="str">
        <x:v>No</x:v>
      </x:c>
      <x:c r="H2273" s="117" t="str">
        <x:v>AutoLaunchedFlow</x:v>
      </x:c>
      <x:c r="I2273" s="118" t="n">
        <x:v>60</x:v>
      </x:c>
      <x:c r="J2273" s="117" t="str">
        <x:v>unmanaged</x:v>
      </x:c>
      <x:c r="K2273" s="123" t="b">
        <x:v>0</x:v>
      </x:c>
      <x:c r="L2273" s="117"/>
      <x:c r="M2273" s="118"/>
      <x:c r="N2273" s="120" t="n">
        <x:v>45846.48606481482</x:v>
      </x:c>
      <x:c r="O2273" s="117" t="str">
        <x:v>Delegate</x:v>
      </x:c>
      <x:c r="P2273" s="120" t="n">
        <x:v>45846.486134259256</x:v>
      </x:c>
      <x:c r="Q2273" s="117" t="str">
        <x:v>Delegate</x:v>
      </x:c>
      <x:c r="R2273" s="117" t="str">
        <x:v>Probe Loan ROI Calculations FLow</x:v>
      </x:c>
      <x:c r="S2273" s="119" t="str">
        <x:v>07/08/2025 (BW) - Updating flow to run asynchronously</x:v>
      </x:c>
    </x:row>
    <x:row r="2274" ht="30" customHeight="1">
      <x:c r="A2274" s="117" t="str">
        <x:v>Probe_Loan_ROI_Calculations_FLow</x:v>
      </x:c>
      <x:c r="B2274" s="117" t="str">
        <x:v>300Ro0000075fUlIAI</x:v>
      </x:c>
      <x:c r="C2274" s="117" t="str">
        <x:v>301Ro00000eIJbRIAW</x:v>
      </x:c>
      <x:c r="D2274" s="118" t="n">
        <x:v>4</x:v>
      </x:c>
      <x:c r="E2274" s="117" t="str">
        <x:v>InvalidDraft</x:v>
      </x:c>
      <x:c r="F2274" s="117" t="str">
        <x:v>No</x:v>
      </x:c>
      <x:c r="G2274" s="117" t="str">
        <x:v>No</x:v>
      </x:c>
      <x:c r="H2274" s="117" t="str">
        <x:v>AutoLaunchedFlow</x:v>
      </x:c>
      <x:c r="I2274" s="118" t="n">
        <x:v>60</x:v>
      </x:c>
      <x:c r="J2274" s="117" t="str">
        <x:v>unmanaged</x:v>
      </x:c>
      <x:c r="K2274" s="123" t="b">
        <x:v>0</x:v>
      </x:c>
      <x:c r="L2274" s="117"/>
      <x:c r="M2274" s="118"/>
      <x:c r="N2274" s="120" t="n">
        <x:v>45846.48829861111</x:v>
      </x:c>
      <x:c r="O2274" s="117" t="str">
        <x:v>Delegate</x:v>
      </x:c>
      <x:c r="P2274" s="120" t="n">
        <x:v>45846.488333333335</x:v>
      </x:c>
      <x:c r="Q2274" s="117" t="str">
        <x:v>Delegate</x:v>
      </x:c>
      <x:c r="R2274" s="117" t="str">
        <x:v>Probe Loan ROI Calculations FLow</x:v>
      </x:c>
      <x:c r="S2274" s="119" t="str">
        <x:v>07/08/2025 (BW) - Updating flow to run asynchronously</x:v>
      </x:c>
    </x:row>
    <x:row r="2275" ht="30" customHeight="1">
      <x:c r="A2275" s="117" t="str">
        <x:v>Probe_Loan_ROI_Calculations_FLow</x:v>
      </x:c>
      <x:c r="B2275" s="117" t="str">
        <x:v>300Ro0000075fUlIAI</x:v>
      </x:c>
      <x:c r="C2275" s="117" t="str">
        <x:v>301Ro00000eI3eoIAC</x:v>
      </x:c>
      <x:c r="D2275" s="118" t="n">
        <x:v>5</x:v>
      </x:c>
      <x:c r="E2275" s="117" t="str">
        <x:v>Obsolete</x:v>
      </x:c>
      <x:c r="F2275" s="117" t="str">
        <x:v>No</x:v>
      </x:c>
      <x:c r="G2275" s="117" t="str">
        <x:v>No</x:v>
      </x:c>
      <x:c r="H2275" s="117" t="str">
        <x:v>AutoLaunchedFlow</x:v>
      </x:c>
      <x:c r="I2275" s="118" t="n">
        <x:v>60</x:v>
      </x:c>
      <x:c r="J2275" s="117" t="str">
        <x:v>unmanaged</x:v>
      </x:c>
      <x:c r="K2275" s="123" t="b">
        <x:v>0</x:v>
      </x:c>
      <x:c r="L2275" s="117"/>
      <x:c r="M2275" s="118"/>
      <x:c r="N2275" s="120" t="n">
        <x:v>45846.49238425926</x:v>
      </x:c>
      <x:c r="O2275" s="117" t="str">
        <x:v>Delegate</x:v>
      </x:c>
      <x:c r="P2275" s="120" t="n">
        <x:v>45846.4924537037</x:v>
      </x:c>
      <x:c r="Q2275" s="117" t="str">
        <x:v>Delegate</x:v>
      </x:c>
      <x:c r="R2275" s="117" t="str">
        <x:v>Probe Loan ROI Calculations FLow</x:v>
      </x:c>
      <x:c r="S2275" s="119" t="str">
        <x:v>07/08/2025 (BW) - Bringing this back to the way it was originally</x:v>
      </x:c>
    </x:row>
    <x:row r="2276" ht="30" customHeight="1">
      <x:c r="A2276" s="117" t="str">
        <x:v>Probe_Loan_ROI_Calculations_FLow</x:v>
      </x:c>
      <x:c r="B2276" s="117" t="str">
        <x:v>300Ro0000075fUlIAI</x:v>
      </x:c>
      <x:c r="C2276" s="117" t="str">
        <x:v>301Ro00000eIJOYIA4</x:v>
      </x:c>
      <x:c r="D2276" s="118" t="n">
        <x:v>6</x:v>
      </x:c>
      <x:c r="E2276" s="117" t="str">
        <x:v>Active</x:v>
      </x:c>
      <x:c r="F2276" s="117" t="str">
        <x:v>Yes</x:v>
      </x:c>
      <x:c r="G2276" s="117" t="str">
        <x:v>Yes</x:v>
      </x:c>
      <x:c r="H2276" s="117" t="str">
        <x:v>AutoLaunchedFlow</x:v>
      </x:c>
      <x:c r="I2276" s="118" t="n">
        <x:v>60</x:v>
      </x:c>
      <x:c r="J2276" s="117" t="str">
        <x:v>unmanaged</x:v>
      </x:c>
      <x:c r="K2276" s="123" t="b">
        <x:v>0</x:v>
      </x:c>
      <x:c r="L2276" s="117"/>
      <x:c r="M2276" s="118"/>
      <x:c r="N2276" s="120" t="n">
        <x:v>45846.49511574074</x:v>
      </x:c>
      <x:c r="O2276" s="117" t="str">
        <x:v>Delegate</x:v>
      </x:c>
      <x:c r="P2276" s="120" t="n">
        <x:v>45846.49518518519</x:v>
      </x:c>
      <x:c r="Q2276" s="117" t="str">
        <x:v>Delegate</x:v>
      </x:c>
      <x:c r="R2276" s="117" t="str">
        <x:v>Probe Loan ROI Calculations FLow</x:v>
      </x:c>
      <x:c r="S2276" s="119" t="str">
        <x:v>07/08/2025 (BW) - Updating this back to the way it was before</x:v>
      </x:c>
    </x:row>
    <x:row r="2277" ht="30" customHeight="1">
      <x:c r="A2277" s="117" t="str">
        <x:v>Probe_Repair_Update_from_RMA</x:v>
      </x:c>
      <x:c r="B2277" s="117" t="str">
        <x:v>3004O0000000aB7QAI</x:v>
      </x:c>
      <x:c r="C2277" s="117" t="str">
        <x:v>3014O0000001NHPQA2</x:v>
      </x:c>
      <x:c r="D2277" s="118" t="n">
        <x:v>1</x:v>
      </x:c>
      <x:c r="E2277" s="117" t="str">
        <x:v>Obsolete</x:v>
      </x:c>
      <x:c r="F2277" s="117" t="str">
        <x:v>No</x:v>
      </x:c>
      <x:c r="G2277" s="117" t="str">
        <x:v>No</x:v>
      </x:c>
      <x:c r="H2277" s="117" t="str">
        <x:v>Workflow</x:v>
      </x:c>
      <x:c r="I2277" s="118" t="n">
        <x:v>50</x:v>
      </x:c>
      <x:c r="J2277" s="117" t="str">
        <x:v>unmanaged</x:v>
      </x:c>
      <x:c r="K2277" s="123" t="b">
        <x:v>0</x:v>
      </x:c>
      <x:c r="L2277" s="117"/>
      <x:c r="M2277" s="118"/>
      <x:c r="N2277" s="120" t="n">
        <x:v>44154.00215277778</x:v>
      </x:c>
      <x:c r="O2277" s="117" t="str">
        <x:v>Trent VanEmon</x:v>
      </x:c>
      <x:c r="P2277" s="120" t="n">
        <x:v>44154.012974537036</x:v>
      </x:c>
      <x:c r="Q2277" s="117" t="str">
        <x:v>Trent VanEmon</x:v>
      </x:c>
      <x:c r="R2277" s="117" t="str">
        <x:v>Probe Repair Update from RMA</x:v>
      </x:c>
      <x:c r="S2277" s="119" t="str">
        <x:v>Used for Customer Probe Repair to bring data to opp and stage changes</x:v>
      </x:c>
    </x:row>
    <x:row r="2278" ht="30" customHeight="1">
      <x:c r="A2278" s="117" t="str">
        <x:v>Probe_Repair_Update_from_RMA</x:v>
      </x:c>
      <x:c r="B2278" s="117" t="str">
        <x:v>3004O0000000aB7QAI</x:v>
      </x:c>
      <x:c r="C2278" s="117" t="str">
        <x:v>3014O0000001NHZQA2</x:v>
      </x:c>
      <x:c r="D2278" s="118" t="n">
        <x:v>2</x:v>
      </x:c>
      <x:c r="E2278" s="117" t="str">
        <x:v>Obsolete</x:v>
      </x:c>
      <x:c r="F2278" s="117" t="str">
        <x:v>No</x:v>
      </x:c>
      <x:c r="G2278" s="117" t="str">
        <x:v>No</x:v>
      </x:c>
      <x:c r="H2278" s="117" t="str">
        <x:v>Workflow</x:v>
      </x:c>
      <x:c r="I2278" s="118" t="n">
        <x:v>50</x:v>
      </x:c>
      <x:c r="J2278" s="117" t="str">
        <x:v>unmanaged</x:v>
      </x:c>
      <x:c r="K2278" s="123" t="b">
        <x:v>0</x:v>
      </x:c>
      <x:c r="L2278" s="117"/>
      <x:c r="M2278" s="118"/>
      <x:c r="N2278" s="120" t="n">
        <x:v>44154.015381944446</x:v>
      </x:c>
      <x:c r="O2278" s="117" t="str">
        <x:v>Trent VanEmon</x:v>
      </x:c>
      <x:c r="P2278" s="120" t="n">
        <x:v>44154.63484953704</x:v>
      </x:c>
      <x:c r="Q2278" s="117" t="str">
        <x:v>Trent VanEmon</x:v>
      </x:c>
      <x:c r="R2278" s="117" t="str">
        <x:v>Probe Repair Update from RMA</x:v>
      </x:c>
      <x:c r="S2278" s="119" t="str">
        <x:v>Used for Customer Probe Repair to bring data to opp and stage changes</x:v>
      </x:c>
    </x:row>
    <x:row r="2279" ht="30" customHeight="1">
      <x:c r="A2279" s="117" t="str">
        <x:v>Probe_Repair_Update_from_RMA</x:v>
      </x:c>
      <x:c r="B2279" s="117" t="str">
        <x:v>3004O0000000aB7QAI</x:v>
      </x:c>
      <x:c r="C2279" s="117" t="str">
        <x:v>3014O0000001NIXQA2</x:v>
      </x:c>
      <x:c r="D2279" s="118" t="n">
        <x:v>3</x:v>
      </x:c>
      <x:c r="E2279" s="117" t="str">
        <x:v>Obsolete</x:v>
      </x:c>
      <x:c r="F2279" s="117" t="str">
        <x:v>No</x:v>
      </x:c>
      <x:c r="G2279" s="117" t="str">
        <x:v>No</x:v>
      </x:c>
      <x:c r="H2279" s="117" t="str">
        <x:v>Workflow</x:v>
      </x:c>
      <x:c r="I2279" s="118" t="n">
        <x:v>50</x:v>
      </x:c>
      <x:c r="J2279" s="117" t="str">
        <x:v>unmanaged</x:v>
      </x:c>
      <x:c r="K2279" s="123" t="b">
        <x:v>0</x:v>
      </x:c>
      <x:c r="L2279" s="117"/>
      <x:c r="M2279" s="118"/>
      <x:c r="N2279" s="120" t="n">
        <x:v>44154.642858796295</x:v>
      </x:c>
      <x:c r="O2279" s="117" t="str">
        <x:v>Trent VanEmon</x:v>
      </x:c>
      <x:c r="P2279" s="120" t="n">
        <x:v>44154.691828703704</x:v>
      </x:c>
      <x:c r="Q2279" s="117" t="str">
        <x:v>Trent VanEmon</x:v>
      </x:c>
      <x:c r="R2279" s="117" t="str">
        <x:v>Probe Repair Update from RMA</x:v>
      </x:c>
      <x:c r="S2279" s="119" t="str">
        <x:v>Used for Customer Probe Repair to bring data to opp and stage changes</x:v>
      </x:c>
    </x:row>
    <x:row r="2280" ht="30" customHeight="1">
      <x:c r="A2280" s="117" t="str">
        <x:v>Probe_Repair_Update_from_RMA</x:v>
      </x:c>
      <x:c r="B2280" s="117" t="str">
        <x:v>3004O0000000aB7QAI</x:v>
      </x:c>
      <x:c r="C2280" s="117" t="str">
        <x:v>3014O0000001NIhQAM</x:v>
      </x:c>
      <x:c r="D2280" s="118" t="n">
        <x:v>4</x:v>
      </x:c>
      <x:c r="E2280" s="117" t="str">
        <x:v>Obsolete</x:v>
      </x:c>
      <x:c r="F2280" s="117" t="str">
        <x:v>No</x:v>
      </x:c>
      <x:c r="G2280" s="117" t="str">
        <x:v>No</x:v>
      </x:c>
      <x:c r="H2280" s="117" t="str">
        <x:v>Workflow</x:v>
      </x:c>
      <x:c r="I2280" s="118" t="n">
        <x:v>50</x:v>
      </x:c>
      <x:c r="J2280" s="117" t="str">
        <x:v>unmanaged</x:v>
      </x:c>
      <x:c r="K2280" s="123" t="b">
        <x:v>0</x:v>
      </x:c>
      <x:c r="L2280" s="117"/>
      <x:c r="M2280" s="118"/>
      <x:c r="N2280" s="120" t="n">
        <x:v>44154.69256944444</x:v>
      </x:c>
      <x:c r="O2280" s="117" t="str">
        <x:v>Trent VanEmon</x:v>
      </x:c>
      <x:c r="P2280" s="120" t="n">
        <x:v>44154.69262731481</x:v>
      </x:c>
      <x:c r="Q2280" s="117" t="str">
        <x:v>Trent VanEmon</x:v>
      </x:c>
      <x:c r="R2280" s="117" t="str">
        <x:v>Probe Repair Update from RMA</x:v>
      </x:c>
      <x:c r="S2280" s="119" t="str">
        <x:v>Used for Customer Probe Repair to bring data to opp and stage changes</x:v>
      </x:c>
    </x:row>
    <x:row r="2281" ht="30" customHeight="1">
      <x:c r="A2281" s="117" t="str">
        <x:v>Probe_Repair_Update_from_RMA</x:v>
      </x:c>
      <x:c r="B2281" s="117" t="str">
        <x:v>3004O0000000aB7QAI</x:v>
      </x:c>
      <x:c r="C2281" s="117" t="str">
        <x:v>3014O000000YAYyQAO</x:v>
      </x:c>
      <x:c r="D2281" s="118" t="n">
        <x:v>5</x:v>
      </x:c>
      <x:c r="E2281" s="117" t="str">
        <x:v>Draft</x:v>
      </x:c>
      <x:c r="F2281" s="117" t="str">
        <x:v>No</x:v>
      </x:c>
      <x:c r="G2281" s="117" t="str">
        <x:v>No</x:v>
      </x:c>
      <x:c r="H2281" s="117" t="str">
        <x:v>Workflow</x:v>
      </x:c>
      <x:c r="I2281" s="118" t="n">
        <x:v>50</x:v>
      </x:c>
      <x:c r="J2281" s="117" t="str">
        <x:v>unmanaged</x:v>
      </x:c>
      <x:c r="K2281" s="123" t="b">
        <x:v>0</x:v>
      </x:c>
      <x:c r="L2281" s="117"/>
      <x:c r="M2281" s="118"/>
      <x:c r="N2281" s="120" t="n">
        <x:v>44287.63224537037</x:v>
      </x:c>
      <x:c r="O2281" s="117" t="str">
        <x:v>Delegate</x:v>
      </x:c>
      <x:c r="P2281" s="120" t="n">
        <x:v>44287.63232638889</x:v>
      </x:c>
      <x:c r="Q2281" s="117" t="str">
        <x:v>Delegate</x:v>
      </x:c>
      <x:c r="R2281" s="117" t="str">
        <x:v>PB: RMA</x:v>
      </x:c>
      <x:c r="S2281" s="119" t="str">
        <x:v>Handles changes on the RMA object</x:v>
      </x:c>
    </x:row>
    <x:row r="2282" ht="30" customHeight="1">
      <x:c r="A2282" s="117" t="str">
        <x:v>Probe_Repair_Update_from_RMA</x:v>
      </x:c>
      <x:c r="B2282" s="117" t="str">
        <x:v>3004O0000000aB7QAI</x:v>
      </x:c>
      <x:c r="C2282" s="117" t="str">
        <x:v>3014O000000YAaIQAW</x:v>
      </x:c>
      <x:c r="D2282" s="118" t="n">
        <x:v>6</x:v>
      </x:c>
      <x:c r="E2282" s="117" t="str">
        <x:v>Obsolete</x:v>
      </x:c>
      <x:c r="F2282" s="117" t="str">
        <x:v>No</x:v>
      </x:c>
      <x:c r="G2282" s="117" t="str">
        <x:v>No</x:v>
      </x:c>
      <x:c r="H2282" s="117" t="str">
        <x:v>Workflow</x:v>
      </x:c>
      <x:c r="I2282" s="118" t="n">
        <x:v>50</x:v>
      </x:c>
      <x:c r="J2282" s="117" t="str">
        <x:v>unmanaged</x:v>
      </x:c>
      <x:c r="K2282" s="123" t="b">
        <x:v>0</x:v>
      </x:c>
      <x:c r="L2282" s="117"/>
      <x:c r="M2282" s="118"/>
      <x:c r="N2282" s="120" t="n">
        <x:v>44287.829201388886</x:v>
      </x:c>
      <x:c r="O2282" s="117" t="str">
        <x:v>Delegate</x:v>
      </x:c>
      <x:c r="P2282" s="120" t="n">
        <x:v>44294.13019675926</x:v>
      </x:c>
      <x:c r="Q2282" s="117" t="str">
        <x:v>Delegate</x:v>
      </x:c>
      <x:c r="R2282" s="117" t="str">
        <x:v>PB: RMA</x:v>
      </x:c>
      <x:c r="S2282" s="119" t="str">
        <x:v>Handles changes on the RMA object</x:v>
      </x:c>
    </x:row>
    <x:row r="2283" ht="30" customHeight="1">
      <x:c r="A2283" s="117" t="str">
        <x:v>Probe_Repair_Update_from_RMA</x:v>
      </x:c>
      <x:c r="B2283" s="117" t="str">
        <x:v>3004O0000000aB7QAI</x:v>
      </x:c>
      <x:c r="C2283" s="117" t="str">
        <x:v>3014O000000YAg8QAG</x:v>
      </x:c>
      <x:c r="D2283" s="118" t="n">
        <x:v>7</x:v>
      </x:c>
      <x:c r="E2283" s="117" t="str">
        <x:v>Obsolete</x:v>
      </x:c>
      <x:c r="F2283" s="117" t="str">
        <x:v>No</x:v>
      </x:c>
      <x:c r="G2283" s="117" t="str">
        <x:v>No</x:v>
      </x:c>
      <x:c r="H2283" s="117" t="str">
        <x:v>Workflow</x:v>
      </x:c>
      <x:c r="I2283" s="118" t="n">
        <x:v>50</x:v>
      </x:c>
      <x:c r="J2283" s="117" t="str">
        <x:v>unmanaged</x:v>
      </x:c>
      <x:c r="K2283" s="123" t="b">
        <x:v>0</x:v>
      </x:c>
      <x:c r="L2283" s="117"/>
      <x:c r="M2283" s="118"/>
      <x:c r="N2283" s="120" t="n">
        <x:v>44294.534780092596</x:v>
      </x:c>
      <x:c r="O2283" s="117" t="str">
        <x:v>Natalie Boger</x:v>
      </x:c>
      <x:c r="P2283" s="120" t="n">
        <x:v>44294.73547453704</x:v>
      </x:c>
      <x:c r="Q2283" s="117" t="str">
        <x:v>Natalie Boger</x:v>
      </x:c>
      <x:c r="R2283" s="117" t="str">
        <x:v>PB: RMA</x:v>
      </x:c>
      <x:c r="S2283" s="119" t="str">
        <x:v>Handles changes on the RMA object</x:v>
      </x:c>
    </x:row>
    <x:row r="2284" ht="30" customHeight="1">
      <x:c r="A2284" s="117" t="str">
        <x:v>Probe_Repair_Update_from_RMA</x:v>
      </x:c>
      <x:c r="B2284" s="117" t="str">
        <x:v>3004O0000000aB7QAI</x:v>
      </x:c>
      <x:c r="C2284" s="117" t="str">
        <x:v>3014O000000YAhBQAW</x:v>
      </x:c>
      <x:c r="D2284" s="118" t="n">
        <x:v>8</x:v>
      </x:c>
      <x:c r="E2284" s="117" t="str">
        <x:v>Obsolete</x:v>
      </x:c>
      <x:c r="F2284" s="117" t="str">
        <x:v>No</x:v>
      </x:c>
      <x:c r="G2284" s="117" t="str">
        <x:v>No</x:v>
      </x:c>
      <x:c r="H2284" s="117" t="str">
        <x:v>Workflow</x:v>
      </x:c>
      <x:c r="I2284" s="118" t="n">
        <x:v>50</x:v>
      </x:c>
      <x:c r="J2284" s="117" t="str">
        <x:v>unmanaged</x:v>
      </x:c>
      <x:c r="K2284" s="123" t="b">
        <x:v>0</x:v>
      </x:c>
      <x:c r="L2284" s="117"/>
      <x:c r="M2284" s="118"/>
      <x:c r="N2284" s="120" t="n">
        <x:v>44294.73637731482</x:v>
      </x:c>
      <x:c r="O2284" s="117" t="str">
        <x:v>Natalie Boger</x:v>
      </x:c>
      <x:c r="P2284" s="120" t="n">
        <x:v>44294.73652777778</x:v>
      </x:c>
      <x:c r="Q2284" s="117" t="str">
        <x:v>Natalie Boger</x:v>
      </x:c>
      <x:c r="R2284" s="117" t="str">
        <x:v>PB: RMA</x:v>
      </x:c>
      <x:c r="S2284" s="119" t="str">
        <x:v>Handles changes on the RMA object</x:v>
      </x:c>
    </x:row>
    <x:row r="2285" ht="30" customHeight="1">
      <x:c r="A2285" s="117" t="str">
        <x:v>Probe_Repair_Update_from_RMA</x:v>
      </x:c>
      <x:c r="B2285" s="117" t="str">
        <x:v>3004O0000000aB7QAI</x:v>
      </x:c>
      <x:c r="C2285" s="117" t="str">
        <x:v>3014O000000YCEWQA4</x:v>
      </x:c>
      <x:c r="D2285" s="118" t="n">
        <x:v>9</x:v>
      </x:c>
      <x:c r="E2285" s="117" t="str">
        <x:v>Draft</x:v>
      </x:c>
      <x:c r="F2285" s="117" t="str">
        <x:v>No</x:v>
      </x:c>
      <x:c r="G2285" s="117" t="str">
        <x:v>No</x:v>
      </x:c>
      <x:c r="H2285" s="117" t="str">
        <x:v>Workflow</x:v>
      </x:c>
      <x:c r="I2285" s="118" t="n">
        <x:v>50</x:v>
      </x:c>
      <x:c r="J2285" s="117" t="str">
        <x:v>unmanaged</x:v>
      </x:c>
      <x:c r="K2285" s="123" t="b">
        <x:v>0</x:v>
      </x:c>
      <x:c r="L2285" s="117"/>
      <x:c r="M2285" s="118"/>
      <x:c r="N2285" s="120" t="n">
        <x:v>44403.244097222225</x:v>
      </x:c>
      <x:c r="O2285" s="117" t="str">
        <x:v>Natalie Boger</x:v>
      </x:c>
      <x:c r="P2285" s="120" t="n">
        <x:v>44403.24424768519</x:v>
      </x:c>
      <x:c r="Q2285" s="117" t="str">
        <x:v>Natalie Boger</x:v>
      </x:c>
      <x:c r="R2285" s="117" t="str">
        <x:v>PB: RMA</x:v>
      </x:c>
      <x:c r="S2285" s="119" t="str">
        <x:v>Handles changes on the RMA object</x:v>
      </x:c>
    </x:row>
    <x:row r="2286" ht="30" customHeight="1">
      <x:c r="A2286" s="117" t="str">
        <x:v>Probe_Repair_Update_from_RMA</x:v>
      </x:c>
      <x:c r="B2286" s="117" t="str">
        <x:v>3004O0000000aB7QAI</x:v>
      </x:c>
      <x:c r="C2286" s="117" t="str">
        <x:v>3015b000000IzQtAAK</x:v>
      </x:c>
      <x:c r="D2286" s="118" t="n">
        <x:v>10</x:v>
      </x:c>
      <x:c r="E2286" s="117" t="str">
        <x:v>Obsolete</x:v>
      </x:c>
      <x:c r="F2286" s="117" t="str">
        <x:v>No</x:v>
      </x:c>
      <x:c r="G2286" s="117" t="str">
        <x:v>No</x:v>
      </x:c>
      <x:c r="H2286" s="117" t="str">
        <x:v>Workflow</x:v>
      </x:c>
      <x:c r="I2286" s="118" t="n">
        <x:v>50</x:v>
      </x:c>
      <x:c r="J2286" s="117" t="str">
        <x:v>unmanaged</x:v>
      </x:c>
      <x:c r="K2286" s="123" t="b">
        <x:v>0</x:v>
      </x:c>
      <x:c r="L2286" s="117"/>
      <x:c r="M2286" s="118"/>
      <x:c r="N2286" s="120" t="n">
        <x:v>44417.123703703706</x:v>
      </x:c>
      <x:c r="O2286" s="117" t="str">
        <x:v>Natalie Boger</x:v>
      </x:c>
      <x:c r="P2286" s="120" t="n">
        <x:v>44417.1237962963</x:v>
      </x:c>
      <x:c r="Q2286" s="117" t="str">
        <x:v>Natalie Boger</x:v>
      </x:c>
      <x:c r="R2286" s="117" t="str">
        <x:v>PB: RMA</x:v>
      </x:c>
      <x:c r="S2286" s="119" t="str">
        <x:v>Handles changes on the RMA object</x:v>
      </x:c>
    </x:row>
    <x:row r="2287" ht="30" customHeight="1">
      <x:c r="A2287" s="117" t="str">
        <x:v>Probe_Repair_Update_from_RMA</x:v>
      </x:c>
      <x:c r="B2287" s="117" t="str">
        <x:v>3004O0000000aB7QAI</x:v>
      </x:c>
      <x:c r="C2287" s="117" t="str">
        <x:v>3015b000000AA8QAAW</x:v>
      </x:c>
      <x:c r="D2287" s="118" t="n">
        <x:v>11</x:v>
      </x:c>
      <x:c r="E2287" s="117" t="str">
        <x:v>Obsolete</x:v>
      </x:c>
      <x:c r="F2287" s="117" t="str">
        <x:v>No</x:v>
      </x:c>
      <x:c r="G2287" s="117" t="str">
        <x:v>No</x:v>
      </x:c>
      <x:c r="H2287" s="117" t="str">
        <x:v>Workflow</x:v>
      </x:c>
      <x:c r="I2287" s="118" t="n">
        <x:v>50</x:v>
      </x:c>
      <x:c r="J2287" s="117" t="str">
        <x:v>unmanaged</x:v>
      </x:c>
      <x:c r="K2287" s="123" t="b">
        <x:v>0</x:v>
      </x:c>
      <x:c r="L2287" s="117"/>
      <x:c r="M2287" s="118"/>
      <x:c r="N2287" s="120" t="n">
        <x:v>44880.65594907408</x:v>
      </x:c>
      <x:c r="O2287" s="117" t="str">
        <x:v>Delegate</x:v>
      </x:c>
      <x:c r="P2287" s="120" t="n">
        <x:v>44880.6571412037</x:v>
      </x:c>
      <x:c r="Q2287" s="117" t="str">
        <x:v>Delegate</x:v>
      </x:c>
      <x:c r="R2287" s="117" t="str">
        <x:v>PB: RMA</x:v>
      </x:c>
      <x:c r="S2287" s="119" t="str">
        <x:v>Handles changes on the RMA object</x:v>
      </x:c>
    </x:row>
    <x:row r="2288" ht="30" customHeight="1">
      <x:c r="A2288" s="117" t="str">
        <x:v>Probe_Repair_Update_from_RMA</x:v>
      </x:c>
      <x:c r="B2288" s="117" t="str">
        <x:v>3004O0000000aB7QAI</x:v>
      </x:c>
      <x:c r="C2288" s="117" t="str">
        <x:v>3015b000000AA8VAAW</x:v>
      </x:c>
      <x:c r="D2288" s="118" t="n">
        <x:v>12</x:v>
      </x:c>
      <x:c r="E2288" s="117" t="str">
        <x:v>Obsolete</x:v>
      </x:c>
      <x:c r="F2288" s="117" t="str">
        <x:v>No</x:v>
      </x:c>
      <x:c r="G2288" s="117" t="str">
        <x:v>No</x:v>
      </x:c>
      <x:c r="H2288" s="117" t="str">
        <x:v>Workflow</x:v>
      </x:c>
      <x:c r="I2288" s="118" t="n">
        <x:v>50</x:v>
      </x:c>
      <x:c r="J2288" s="117" t="str">
        <x:v>unmanaged</x:v>
      </x:c>
      <x:c r="K2288" s="123" t="b">
        <x:v>0</x:v>
      </x:c>
      <x:c r="L2288" s="117"/>
      <x:c r="M2288" s="118"/>
      <x:c r="N2288" s="120" t="n">
        <x:v>44880.65797453704</x:v>
      </x:c>
      <x:c r="O2288" s="117" t="str">
        <x:v>Delegate</x:v>
      </x:c>
      <x:c r="P2288" s="120" t="n">
        <x:v>44887.602222222224</x:v>
      </x:c>
      <x:c r="Q2288" s="117" t="str">
        <x:v>Delegate</x:v>
      </x:c>
      <x:c r="R2288" s="117" t="str">
        <x:v>PB: RMA</x:v>
      </x:c>
      <x:c r="S2288" s="119" t="str">
        <x:v>Handles changes on the RMA object</x:v>
      </x:c>
    </x:row>
    <x:row r="2289" ht="30" customHeight="1">
      <x:c r="A2289" s="117" t="str">
        <x:v>Probe_Repair_Update_from_RMA</x:v>
      </x:c>
      <x:c r="B2289" s="117" t="str">
        <x:v>3004O0000000aB7QAI</x:v>
      </x:c>
      <x:c r="C2289" s="117" t="str">
        <x:v>3015b000000AAdJAAW</x:v>
      </x:c>
      <x:c r="D2289" s="118" t="n">
        <x:v>13</x:v>
      </x:c>
      <x:c r="E2289" s="117" t="str">
        <x:v>Obsolete</x:v>
      </x:c>
      <x:c r="F2289" s="117" t="str">
        <x:v>No</x:v>
      </x:c>
      <x:c r="G2289" s="117" t="str">
        <x:v>No</x:v>
      </x:c>
      <x:c r="H2289" s="117" t="str">
        <x:v>Workflow</x:v>
      </x:c>
      <x:c r="I2289" s="118" t="n">
        <x:v>50</x:v>
      </x:c>
      <x:c r="J2289" s="117" t="str">
        <x:v>unmanaged</x:v>
      </x:c>
      <x:c r="K2289" s="123" t="b">
        <x:v>0</x:v>
      </x:c>
      <x:c r="L2289" s="117"/>
      <x:c r="M2289" s="118"/>
      <x:c r="N2289" s="120" t="n">
        <x:v>44887.607037037036</x:v>
      </x:c>
      <x:c r="O2289" s="117" t="str">
        <x:v>Delegate</x:v>
      </x:c>
      <x:c r="P2289" s="120" t="n">
        <x:v>44887.60755787037</x:v>
      </x:c>
      <x:c r="Q2289" s="117" t="str">
        <x:v>Delegate</x:v>
      </x:c>
      <x:c r="R2289" s="117" t="str">
        <x:v>PB: RMA</x:v>
      </x:c>
      <x:c r="S2289" s="119" t="str">
        <x:v>Handles changes on the RMA object</x:v>
      </x:c>
    </x:row>
    <x:row r="2290" ht="30" customHeight="1">
      <x:c r="A2290" s="117" t="str">
        <x:v>Probe_Repair_Update_from_RMA</x:v>
      </x:c>
      <x:c r="B2290" s="117" t="str">
        <x:v>3004O0000000aB7QAI</x:v>
      </x:c>
      <x:c r="C2290" s="117" t="str">
        <x:v>301Ro00000DFTVHIA5</x:v>
      </x:c>
      <x:c r="D2290" s="118" t="n">
        <x:v>14</x:v>
      </x:c>
      <x:c r="E2290" s="117" t="str">
        <x:v>Obsolete</x:v>
      </x:c>
      <x:c r="F2290" s="117" t="str">
        <x:v>No</x:v>
      </x:c>
      <x:c r="G2290" s="117" t="str">
        <x:v>No</x:v>
      </x:c>
      <x:c r="H2290" s="117" t="str">
        <x:v>Workflow</x:v>
      </x:c>
      <x:c r="I2290" s="118" t="n">
        <x:v>50</x:v>
      </x:c>
      <x:c r="J2290" s="117" t="str">
        <x:v>unmanaged</x:v>
      </x:c>
      <x:c r="K2290" s="123" t="b">
        <x:v>0</x:v>
      </x:c>
      <x:c r="L2290" s="117"/>
      <x:c r="M2290" s="118"/>
      <x:c r="N2290" s="120" t="n">
        <x:v>45433.64068287037</x:v>
      </x:c>
      <x:c r="O2290" s="117" t="str">
        <x:v>Natalie Boger</x:v>
      </x:c>
      <x:c r="P2290" s="120" t="n">
        <x:v>45433.641226851854</x:v>
      </x:c>
      <x:c r="Q2290" s="117" t="str">
        <x:v>Natalie Boger</x:v>
      </x:c>
      <x:c r="R2290" s="117" t="str">
        <x:v>PB: RMA</x:v>
      </x:c>
      <x:c r="S2290" s="119" t="str">
        <x:v>Handles changes on the RMA object</x:v>
      </x:c>
    </x:row>
    <x:row r="2291" ht="30" customHeight="1">
      <x:c r="A2291" s="117" t="str">
        <x:v>Probe_Repair_Update_from_RMA</x:v>
      </x:c>
      <x:c r="B2291" s="117" t="str">
        <x:v>3004O0000000aB7QAI</x:v>
      </x:c>
      <x:c r="C2291" s="117" t="str">
        <x:v>301Ro00000XbopIIAR</x:v>
      </x:c>
      <x:c r="D2291" s="118" t="n">
        <x:v>15</x:v>
      </x:c>
      <x:c r="E2291" s="117" t="str">
        <x:v>Active</x:v>
      </x:c>
      <x:c r="F2291" s="117" t="str">
        <x:v>Yes</x:v>
      </x:c>
      <x:c r="G2291" s="117" t="str">
        <x:v>Yes</x:v>
      </x:c>
      <x:c r="H2291" s="117" t="str">
        <x:v>Workflow</x:v>
      </x:c>
      <x:c r="I2291" s="118" t="n">
        <x:v>50</x:v>
      </x:c>
      <x:c r="J2291" s="117" t="str">
        <x:v>unmanaged</x:v>
      </x:c>
      <x:c r="K2291" s="123" t="b">
        <x:v>0</x:v>
      </x:c>
      <x:c r="L2291" s="117"/>
      <x:c r="M2291" s="118"/>
      <x:c r="N2291" s="120" t="n">
        <x:v>45765.14392361111</x:v>
      </x:c>
      <x:c r="O2291" s="117" t="str">
        <x:v>Natalie Boger</x:v>
      </x:c>
      <x:c r="P2291" s="120" t="n">
        <x:v>45765.14412037037</x:v>
      </x:c>
      <x:c r="Q2291" s="117" t="str">
        <x:v>Natalie Boger</x:v>
      </x:c>
      <x:c r="R2291" s="117" t="str">
        <x:v>PB: RMA</x:v>
      </x:c>
      <x:c r="S2291" s="119" t="str">
        <x:v>Handles changes on the RMA object</x:v>
      </x:c>
    </x:row>
    <x:row r="2292" ht="30" customHeight="1">
      <x:c r="A2292" s="117" t="str">
        <x:v>ProbeRepairOpportunityStageUpdates</x:v>
      </x:c>
      <x:c r="B2292" s="117" t="str">
        <x:v>3005b000000LHHCAA4</x:v>
      </x:c>
      <x:c r="C2292" s="117" t="str">
        <x:v>3015b000000ABiUAAW</x:v>
      </x:c>
      <x:c r="D2292" s="118" t="n">
        <x:v>1</x:v>
      </x:c>
      <x:c r="E2292" s="117" t="str">
        <x:v>Obsolete</x:v>
      </x:c>
      <x:c r="F2292" s="117" t="str">
        <x:v>No</x:v>
      </x:c>
      <x:c r="G2292" s="117" t="str">
        <x:v>No</x:v>
      </x:c>
      <x:c r="H2292" s="117" t="str">
        <x:v>AutoLaunchedFlow</x:v>
      </x:c>
      <x:c r="I2292" s="118" t="n">
        <x:v>56</x:v>
      </x:c>
      <x:c r="J2292" s="117" t="str">
        <x:v>unmanaged</x:v>
      </x:c>
      <x:c r="K2292" s="123" t="b">
        <x:v>0</x:v>
      </x:c>
      <x:c r="L2292" s="117"/>
      <x:c r="M2292" s="118"/>
      <x:c r="N2292" s="120" t="n">
        <x:v>44902.80799768519</x:v>
      </x:c>
      <x:c r="O2292" s="117" t="str">
        <x:v>Jace Gentil</x:v>
      </x:c>
      <x:c r="P2292" s="120" t="n">
        <x:v>44902.83189814815</x:v>
      </x:c>
      <x:c r="Q2292" s="117" t="str">
        <x:v>Jace Gentil</x:v>
      </x:c>
      <x:c r="R2292" s="117" t="str">
        <x:v>ProbeRepairOpportunityStageUpdates</x:v>
      </x:c>
      <x:c r="S2292" s="119"/>
    </x:row>
    <x:row r="2293" ht="30" customHeight="1">
      <x:c r="A2293" s="117" t="str">
        <x:v>ProbeRepairOpportunityStageUpdates</x:v>
      </x:c>
      <x:c r="B2293" s="117" t="str">
        <x:v>3005b000000LHHCAA4</x:v>
      </x:c>
      <x:c r="C2293" s="117" t="str">
        <x:v>3015b000000ABijAAG</x:v>
      </x:c>
      <x:c r="D2293" s="118" t="n">
        <x:v>2</x:v>
      </x:c>
      <x:c r="E2293" s="117" t="str">
        <x:v>Obsolete</x:v>
      </x:c>
      <x:c r="F2293" s="117" t="str">
        <x:v>No</x:v>
      </x:c>
      <x:c r="G2293" s="117" t="str">
        <x:v>No</x:v>
      </x:c>
      <x:c r="H2293" s="117" t="str">
        <x:v>AutoLaunchedFlow</x:v>
      </x:c>
      <x:c r="I2293" s="118" t="n">
        <x:v>56</x:v>
      </x:c>
      <x:c r="J2293" s="117" t="str">
        <x:v>unmanaged</x:v>
      </x:c>
      <x:c r="K2293" s="123" t="b">
        <x:v>0</x:v>
      </x:c>
      <x:c r="L2293" s="117"/>
      <x:c r="M2293" s="118"/>
      <x:c r="N2293" s="120" t="n">
        <x:v>44902.843935185185</x:v>
      </x:c>
      <x:c r="O2293" s="117" t="str">
        <x:v>Jace Gentil</x:v>
      </x:c>
      <x:c r="P2293" s="120" t="n">
        <x:v>44902.84395833333</x:v>
      </x:c>
      <x:c r="Q2293" s="117" t="str">
        <x:v>Jace Gentil</x:v>
      </x:c>
      <x:c r="R2293" s="117" t="str">
        <x:v>ProbeRepairOpportunityStageUpdates</x:v>
      </x:c>
      <x:c r="S2293" s="119"/>
    </x:row>
    <x:row r="2294" ht="30" customHeight="1">
      <x:c r="A2294" s="117" t="str">
        <x:v>ProbeRepairOpportunityStageUpdates</x:v>
      </x:c>
      <x:c r="B2294" s="117" t="str">
        <x:v>3005b000000LHHCAA4</x:v>
      </x:c>
      <x:c r="C2294" s="117" t="str">
        <x:v>3015b000000ABioAAG</x:v>
      </x:c>
      <x:c r="D2294" s="118" t="n">
        <x:v>3</x:v>
      </x:c>
      <x:c r="E2294" s="117" t="str">
        <x:v>Obsolete</x:v>
      </x:c>
      <x:c r="F2294" s="117" t="str">
        <x:v>No</x:v>
      </x:c>
      <x:c r="G2294" s="117" t="str">
        <x:v>No</x:v>
      </x:c>
      <x:c r="H2294" s="117" t="str">
        <x:v>AutoLaunchedFlow</x:v>
      </x:c>
      <x:c r="I2294" s="118" t="n">
        <x:v>56</x:v>
      </x:c>
      <x:c r="J2294" s="117" t="str">
        <x:v>unmanaged</x:v>
      </x:c>
      <x:c r="K2294" s="123" t="b">
        <x:v>0</x:v>
      </x:c>
      <x:c r="L2294" s="117"/>
      <x:c r="M2294" s="118"/>
      <x:c r="N2294" s="120" t="n">
        <x:v>44902.84427083333</x:v>
      </x:c>
      <x:c r="O2294" s="117" t="str">
        <x:v>Jace Gentil</x:v>
      </x:c>
      <x:c r="P2294" s="120" t="n">
        <x:v>44902.844351851854</x:v>
      </x:c>
      <x:c r="Q2294" s="117" t="str">
        <x:v>Jace Gentil</x:v>
      </x:c>
      <x:c r="R2294" s="117" t="str">
        <x:v>ProbeRepairOpportunityStageUpdates</x:v>
      </x:c>
      <x:c r="S2294" s="119"/>
    </x:row>
    <x:row r="2295" ht="30" customHeight="1">
      <x:c r="A2295" s="117" t="str">
        <x:v>ProbeRepairOpportunityStageUpdates</x:v>
      </x:c>
      <x:c r="B2295" s="117" t="str">
        <x:v>3005b000000LHHCAA4</x:v>
      </x:c>
      <x:c r="C2295" s="117" t="str">
        <x:v>3015b000000ABitAAG</x:v>
      </x:c>
      <x:c r="D2295" s="118" t="n">
        <x:v>4</x:v>
      </x:c>
      <x:c r="E2295" s="117" t="str">
        <x:v>Obsolete</x:v>
      </x:c>
      <x:c r="F2295" s="117" t="str">
        <x:v>No</x:v>
      </x:c>
      <x:c r="G2295" s="117" t="str">
        <x:v>No</x:v>
      </x:c>
      <x:c r="H2295" s="117" t="str">
        <x:v>AutoLaunchedFlow</x:v>
      </x:c>
      <x:c r="I2295" s="118" t="n">
        <x:v>56</x:v>
      </x:c>
      <x:c r="J2295" s="117" t="str">
        <x:v>unmanaged</x:v>
      </x:c>
      <x:c r="K2295" s="123" t="b">
        <x:v>0</x:v>
      </x:c>
      <x:c r="L2295" s="117"/>
      <x:c r="M2295" s="118"/>
      <x:c r="N2295" s="120" t="n">
        <x:v>44902.849375</x:v>
      </x:c>
      <x:c r="O2295" s="117" t="str">
        <x:v>Jace Gentil</x:v>
      </x:c>
      <x:c r="P2295" s="120" t="n">
        <x:v>44902.84940972222</x:v>
      </x:c>
      <x:c r="Q2295" s="117" t="str">
        <x:v>Jace Gentil</x:v>
      </x:c>
      <x:c r="R2295" s="117" t="str">
        <x:v>ProbeRepairOpportunityStageUpdates</x:v>
      </x:c>
      <x:c r="S2295" s="119"/>
    </x:row>
    <x:row r="2296" ht="30" customHeight="1">
      <x:c r="A2296" s="117" t="str">
        <x:v>ProbeRepairOpportunityStageUpdates</x:v>
      </x:c>
      <x:c r="B2296" s="117" t="str">
        <x:v>3005b000000LHHCAA4</x:v>
      </x:c>
      <x:c r="C2296" s="117" t="str">
        <x:v>3015b000000ABiyAAG</x:v>
      </x:c>
      <x:c r="D2296" s="118" t="n">
        <x:v>5</x:v>
      </x:c>
      <x:c r="E2296" s="117" t="str">
        <x:v>Obsolete</x:v>
      </x:c>
      <x:c r="F2296" s="117" t="str">
        <x:v>No</x:v>
      </x:c>
      <x:c r="G2296" s="117" t="str">
        <x:v>No</x:v>
      </x:c>
      <x:c r="H2296" s="117" t="str">
        <x:v>AutoLaunchedFlow</x:v>
      </x:c>
      <x:c r="I2296" s="118" t="n">
        <x:v>56</x:v>
      </x:c>
      <x:c r="J2296" s="117" t="str">
        <x:v>unmanaged</x:v>
      </x:c>
      <x:c r="K2296" s="123" t="b">
        <x:v>0</x:v>
      </x:c>
      <x:c r="L2296" s="117"/>
      <x:c r="M2296" s="118"/>
      <x:c r="N2296" s="120" t="n">
        <x:v>44902.86283564815</x:v>
      </x:c>
      <x:c r="O2296" s="117" t="str">
        <x:v>Jace Gentil</x:v>
      </x:c>
      <x:c r="P2296" s="120" t="n">
        <x:v>44902.86289351852</x:v>
      </x:c>
      <x:c r="Q2296" s="117" t="str">
        <x:v>Jace Gentil</x:v>
      </x:c>
      <x:c r="R2296" s="117" t="str">
        <x:v>ProbeRepairOpportunityStageUpdates</x:v>
      </x:c>
      <x:c r="S2296" s="119"/>
    </x:row>
    <x:row r="2297" ht="30" customHeight="1">
      <x:c r="A2297" s="117" t="str">
        <x:v>ProbeRepairOpportunityStageUpdates</x:v>
      </x:c>
      <x:c r="B2297" s="117" t="str">
        <x:v>3005b000000LHHCAA4</x:v>
      </x:c>
      <x:c r="C2297" s="117" t="str">
        <x:v>3015b000000ABj8AAG</x:v>
      </x:c>
      <x:c r="D2297" s="118" t="n">
        <x:v>6</x:v>
      </x:c>
      <x:c r="E2297" s="117" t="str">
        <x:v>Obsolete</x:v>
      </x:c>
      <x:c r="F2297" s="117" t="str">
        <x:v>No</x:v>
      </x:c>
      <x:c r="G2297" s="117" t="str">
        <x:v>No</x:v>
      </x:c>
      <x:c r="H2297" s="117" t="str">
        <x:v>AutoLaunchedFlow</x:v>
      </x:c>
      <x:c r="I2297" s="118" t="n">
        <x:v>56</x:v>
      </x:c>
      <x:c r="J2297" s="117" t="str">
        <x:v>unmanaged</x:v>
      </x:c>
      <x:c r="K2297" s="123" t="b">
        <x:v>0</x:v>
      </x:c>
      <x:c r="L2297" s="117"/>
      <x:c r="M2297" s="118"/>
      <x:c r="N2297" s="120" t="n">
        <x:v>44902.865381944444</x:v>
      </x:c>
      <x:c r="O2297" s="117" t="str">
        <x:v>Jace Gentil</x:v>
      </x:c>
      <x:c r="P2297" s="120" t="n">
        <x:v>44902.865428240744</x:v>
      </x:c>
      <x:c r="Q2297" s="117" t="str">
        <x:v>Jace Gentil</x:v>
      </x:c>
      <x:c r="R2297" s="117" t="str">
        <x:v>ProbeRepairOpportunityStageUpdates</x:v>
      </x:c>
      <x:c r="S2297" s="119"/>
    </x:row>
    <x:row r="2298" ht="30" customHeight="1">
      <x:c r="A2298" s="117" t="str">
        <x:v>ProbeRepairOpportunityStageUpdates</x:v>
      </x:c>
      <x:c r="B2298" s="117" t="str">
        <x:v>3005b000000LHHCAA4</x:v>
      </x:c>
      <x:c r="C2298" s="117" t="str">
        <x:v>3015b000000ABjDAAW</x:v>
      </x:c>
      <x:c r="D2298" s="118" t="n">
        <x:v>7</x:v>
      </x:c>
      <x:c r="E2298" s="117" t="str">
        <x:v>Obsolete</x:v>
      </x:c>
      <x:c r="F2298" s="117" t="str">
        <x:v>No</x:v>
      </x:c>
      <x:c r="G2298" s="117" t="str">
        <x:v>No</x:v>
      </x:c>
      <x:c r="H2298" s="117" t="str">
        <x:v>AutoLaunchedFlow</x:v>
      </x:c>
      <x:c r="I2298" s="118" t="n">
        <x:v>56</x:v>
      </x:c>
      <x:c r="J2298" s="117" t="str">
        <x:v>unmanaged</x:v>
      </x:c>
      <x:c r="K2298" s="123" t="b">
        <x:v>0</x:v>
      </x:c>
      <x:c r="L2298" s="117"/>
      <x:c r="M2298" s="118"/>
      <x:c r="N2298" s="120" t="n">
        <x:v>44902.86649305555</x:v>
      </x:c>
      <x:c r="O2298" s="117" t="str">
        <x:v>Jace Gentil</x:v>
      </x:c>
      <x:c r="P2298" s="120" t="n">
        <x:v>44902.866527777776</x:v>
      </x:c>
      <x:c r="Q2298" s="117" t="str">
        <x:v>Jace Gentil</x:v>
      </x:c>
      <x:c r="R2298" s="117" t="str">
        <x:v>ProbeRepairOpportunityStageUpdates</x:v>
      </x:c>
      <x:c r="S2298" s="119"/>
    </x:row>
    <x:row r="2299" ht="30" customHeight="1">
      <x:c r="A2299" s="117" t="str">
        <x:v>ProbeRepairOpportunityStageUpdates</x:v>
      </x:c>
      <x:c r="B2299" s="117" t="str">
        <x:v>3005b000000LHHCAA4</x:v>
      </x:c>
      <x:c r="C2299" s="117" t="str">
        <x:v>3015b000000ABjIAAW</x:v>
      </x:c>
      <x:c r="D2299" s="118" t="n">
        <x:v>8</x:v>
      </x:c>
      <x:c r="E2299" s="117" t="str">
        <x:v>Obsolete</x:v>
      </x:c>
      <x:c r="F2299" s="117" t="str">
        <x:v>No</x:v>
      </x:c>
      <x:c r="G2299" s="117" t="str">
        <x:v>No</x:v>
      </x:c>
      <x:c r="H2299" s="117" t="str">
        <x:v>AutoLaunchedFlow</x:v>
      </x:c>
      <x:c r="I2299" s="118" t="n">
        <x:v>56</x:v>
      </x:c>
      <x:c r="J2299" s="117" t="str">
        <x:v>unmanaged</x:v>
      </x:c>
      <x:c r="K2299" s="123" t="b">
        <x:v>0</x:v>
      </x:c>
      <x:c r="L2299" s="117"/>
      <x:c r="M2299" s="118"/>
      <x:c r="N2299" s="120" t="n">
        <x:v>44902.867106481484</x:v>
      </x:c>
      <x:c r="O2299" s="117" t="str">
        <x:v>Jace Gentil</x:v>
      </x:c>
      <x:c r="P2299" s="120" t="n">
        <x:v>44902.86712962963</x:v>
      </x:c>
      <x:c r="Q2299" s="117" t="str">
        <x:v>Jace Gentil</x:v>
      </x:c>
      <x:c r="R2299" s="117" t="str">
        <x:v>ProbeRepairOpportunityStageUpdates</x:v>
      </x:c>
      <x:c r="S2299" s="119"/>
    </x:row>
    <x:row r="2300" ht="30" customHeight="1">
      <x:c r="A2300" s="117" t="str">
        <x:v>ProbeRepairOpportunityStageUpdates</x:v>
      </x:c>
      <x:c r="B2300" s="117" t="str">
        <x:v>3005b000000LHHCAA4</x:v>
      </x:c>
      <x:c r="C2300" s="117" t="str">
        <x:v>3015b000000ABjNAAW</x:v>
      </x:c>
      <x:c r="D2300" s="118" t="n">
        <x:v>9</x:v>
      </x:c>
      <x:c r="E2300" s="117" t="str">
        <x:v>Obsolete</x:v>
      </x:c>
      <x:c r="F2300" s="117" t="str">
        <x:v>No</x:v>
      </x:c>
      <x:c r="G2300" s="117" t="str">
        <x:v>No</x:v>
      </x:c>
      <x:c r="H2300" s="117" t="str">
        <x:v>AutoLaunchedFlow</x:v>
      </x:c>
      <x:c r="I2300" s="118" t="n">
        <x:v>56</x:v>
      </x:c>
      <x:c r="J2300" s="117" t="str">
        <x:v>unmanaged</x:v>
      </x:c>
      <x:c r="K2300" s="123" t="b">
        <x:v>0</x:v>
      </x:c>
      <x:c r="L2300" s="117"/>
      <x:c r="M2300" s="118"/>
      <x:c r="N2300" s="120" t="n">
        <x:v>44902.871099537035</x:v>
      </x:c>
      <x:c r="O2300" s="117" t="str">
        <x:v>Jace Gentil</x:v>
      </x:c>
      <x:c r="P2300" s="120" t="n">
        <x:v>44902.87113425926</x:v>
      </x:c>
      <x:c r="Q2300" s="117" t="str">
        <x:v>Jace Gentil</x:v>
      </x:c>
      <x:c r="R2300" s="117" t="str">
        <x:v>ProbeRepairOpportunityStageUpdates</x:v>
      </x:c>
      <x:c r="S2300" s="119"/>
    </x:row>
    <x:row r="2301" ht="30" customHeight="1">
      <x:c r="A2301" s="117" t="str">
        <x:v>ProbeRepairOpportunityStageUpdates</x:v>
      </x:c>
      <x:c r="B2301" s="117" t="str">
        <x:v>3005b000000LHHCAA4</x:v>
      </x:c>
      <x:c r="C2301" s="117" t="str">
        <x:v>3015b000000ABjSAAW</x:v>
      </x:c>
      <x:c r="D2301" s="118" t="n">
        <x:v>10</x:v>
      </x:c>
      <x:c r="E2301" s="117" t="str">
        <x:v>Obsolete</x:v>
      </x:c>
      <x:c r="F2301" s="117" t="str">
        <x:v>No</x:v>
      </x:c>
      <x:c r="G2301" s="117" t="str">
        <x:v>No</x:v>
      </x:c>
      <x:c r="H2301" s="117" t="str">
        <x:v>AutoLaunchedFlow</x:v>
      </x:c>
      <x:c r="I2301" s="118" t="n">
        <x:v>56</x:v>
      </x:c>
      <x:c r="J2301" s="117" t="str">
        <x:v>unmanaged</x:v>
      </x:c>
      <x:c r="K2301" s="123" t="b">
        <x:v>0</x:v>
      </x:c>
      <x:c r="L2301" s="117"/>
      <x:c r="M2301" s="118"/>
      <x:c r="N2301" s="120" t="n">
        <x:v>44902.87615740741</x:v>
      </x:c>
      <x:c r="O2301" s="117" t="str">
        <x:v>Jace Gentil</x:v>
      </x:c>
      <x:c r="P2301" s="120" t="n">
        <x:v>44902.87621527778</x:v>
      </x:c>
      <x:c r="Q2301" s="117" t="str">
        <x:v>Jace Gentil</x:v>
      </x:c>
      <x:c r="R2301" s="117" t="str">
        <x:v>ProbeRepairOpportunityStageUpdates</x:v>
      </x:c>
      <x:c r="S2301" s="119"/>
    </x:row>
    <x:row r="2302" ht="30" customHeight="1">
      <x:c r="A2302" s="117" t="str">
        <x:v>ProbeRepairOpportunityStageUpdates</x:v>
      </x:c>
      <x:c r="B2302" s="117" t="str">
        <x:v>3005b000000LHHCAA4</x:v>
      </x:c>
      <x:c r="C2302" s="117" t="str">
        <x:v>3015b000000ABkuAAG</x:v>
      </x:c>
      <x:c r="D2302" s="118" t="n">
        <x:v>11</x:v>
      </x:c>
      <x:c r="E2302" s="117" t="str">
        <x:v>Obsolete</x:v>
      </x:c>
      <x:c r="F2302" s="117" t="str">
        <x:v>No</x:v>
      </x:c>
      <x:c r="G2302" s="117" t="str">
        <x:v>No</x:v>
      </x:c>
      <x:c r="H2302" s="117" t="str">
        <x:v>AutoLaunchedFlow</x:v>
      </x:c>
      <x:c r="I2302" s="118" t="n">
        <x:v>56</x:v>
      </x:c>
      <x:c r="J2302" s="117" t="str">
        <x:v>unmanaged</x:v>
      </x:c>
      <x:c r="K2302" s="123" t="b">
        <x:v>0</x:v>
      </x:c>
      <x:c r="L2302" s="117"/>
      <x:c r="M2302" s="118"/>
      <x:c r="N2302" s="120" t="n">
        <x:v>44903.13857638889</x:v>
      </x:c>
      <x:c r="O2302" s="117" t="str">
        <x:v>Jace Gentil</x:v>
      </x:c>
      <x:c r="P2302" s="120" t="n">
        <x:v>44903.13859953704</x:v>
      </x:c>
      <x:c r="Q2302" s="117" t="str">
        <x:v>Jace Gentil</x:v>
      </x:c>
      <x:c r="R2302" s="117" t="str">
        <x:v>ProbeRepairOpportunityStageUpdates</x:v>
      </x:c>
      <x:c r="S2302" s="119"/>
    </x:row>
    <x:row r="2303" ht="30" customHeight="1">
      <x:c r="A2303" s="117" t="str">
        <x:v>ProbeRepairOpportunityStageUpdates</x:v>
      </x:c>
      <x:c r="B2303" s="117" t="str">
        <x:v>3005b000000LHHCAA4</x:v>
      </x:c>
      <x:c r="C2303" s="117" t="str">
        <x:v>3015b000000ABlJAAW</x:v>
      </x:c>
      <x:c r="D2303" s="118" t="n">
        <x:v>12</x:v>
      </x:c>
      <x:c r="E2303" s="117" t="str">
        <x:v>Obsolete</x:v>
      </x:c>
      <x:c r="F2303" s="117" t="str">
        <x:v>No</x:v>
      </x:c>
      <x:c r="G2303" s="117" t="str">
        <x:v>No</x:v>
      </x:c>
      <x:c r="H2303" s="117" t="str">
        <x:v>AutoLaunchedFlow</x:v>
      </x:c>
      <x:c r="I2303" s="118" t="n">
        <x:v>56</x:v>
      </x:c>
      <x:c r="J2303" s="117" t="str">
        <x:v>unmanaged</x:v>
      </x:c>
      <x:c r="K2303" s="123" t="b">
        <x:v>0</x:v>
      </x:c>
      <x:c r="L2303" s="117"/>
      <x:c r="M2303" s="118"/>
      <x:c r="N2303" s="120" t="n">
        <x:v>44903.153078703705</x:v>
      </x:c>
      <x:c r="O2303" s="117" t="str">
        <x:v>Jace Gentil</x:v>
      </x:c>
      <x:c r="P2303" s="120" t="n">
        <x:v>45405.4725</x:v>
      </x:c>
      <x:c r="Q2303" s="117" t="str">
        <x:v>Delegate</x:v>
      </x:c>
      <x:c r="R2303" s="117" t="str">
        <x:v>ProbeRepairOpportunityStageUpdates</x:v>
      </x:c>
      <x:c r="S2303" s="119"/>
    </x:row>
    <x:row r="2304" ht="30" customHeight="1">
      <x:c r="A2304" s="117" t="str">
        <x:v>ProbeRepairOpportunityStageUpdates</x:v>
      </x:c>
      <x:c r="B2304" s="117" t="str">
        <x:v>3005b000000LHHCAA4</x:v>
      </x:c>
      <x:c r="C2304" s="117" t="str">
        <x:v>3015b000000APeWAAW</x:v>
      </x:c>
      <x:c r="D2304" s="118" t="n">
        <x:v>13</x:v>
      </x:c>
      <x:c r="E2304" s="117" t="str">
        <x:v>InvalidDraft</x:v>
      </x:c>
      <x:c r="F2304" s="117" t="str">
        <x:v>No</x:v>
      </x:c>
      <x:c r="G2304" s="117" t="str">
        <x:v>Yes</x:v>
      </x:c>
      <x:c r="H2304" s="117" t="str">
        <x:v>AutoLaunchedFlow</x:v>
      </x:c>
      <x:c r="I2304" s="118" t="n">
        <x:v>56</x:v>
      </x:c>
      <x:c r="J2304" s="117" t="str">
        <x:v>unmanaged</x:v>
      </x:c>
      <x:c r="K2304" s="123" t="b">
        <x:v>0</x:v>
      </x:c>
      <x:c r="L2304" s="117"/>
      <x:c r="M2304" s="118"/>
      <x:c r="N2304" s="120" t="n">
        <x:v>45145.54148148148</x:v>
      </x:c>
      <x:c r="O2304" s="117" t="str">
        <x:v>Delegate</x:v>
      </x:c>
      <x:c r="P2304" s="120" t="n">
        <x:v>45145.541493055556</x:v>
      </x:c>
      <x:c r="Q2304" s="117" t="str">
        <x:v>Delegate</x:v>
      </x:c>
      <x:c r="R2304" s="117" t="str">
        <x:v>ProbeRepairOpportunityStageUpdates</x:v>
      </x:c>
      <x:c r="S2304" s="119" t="str">
        <x:v>Added asynchronous path</x:v>
      </x:c>
    </x:row>
    <x:row r="2305" ht="30" customHeight="1">
      <x:c r="A2305" s="117" t="str">
        <x:v>Product2_All</x:v>
      </x:c>
      <x:c r="B2305" s="117" t="str">
        <x:v>3004O000000LNqwQAG</x:v>
      </x:c>
      <x:c r="C2305" s="117" t="str">
        <x:v>3014O000000LuXxQAK</x:v>
      </x:c>
      <x:c r="D2305" s="118" t="n">
        <x:v>1</x:v>
      </x:c>
      <x:c r="E2305" s="117" t="str">
        <x:v>Obsolete</x:v>
      </x:c>
      <x:c r="F2305" s="117" t="str">
        <x:v>No</x:v>
      </x:c>
      <x:c r="G2305" s="117" t="str">
        <x:v>No</x:v>
      </x:c>
      <x:c r="H2305" s="117" t="str">
        <x:v>Workflow</x:v>
      </x:c>
      <x:c r="I2305" s="118"/>
      <x:c r="J2305" s="117" t="str">
        <x:v>unmanaged</x:v>
      </x:c>
      <x:c r="K2305" s="123" t="b">
        <x:v>0</x:v>
      </x:c>
      <x:c r="L2305" s="117"/>
      <x:c r="M2305" s="118"/>
      <x:c r="N2305" s="120" t="n">
        <x:v>43592.90222222222</x:v>
      </x:c>
      <x:c r="O2305" s="117" t="str">
        <x:v>Jim Bartek</x:v>
      </x:c>
      <x:c r="P2305" s="120" t="n">
        <x:v>44132.53444444444</x:v>
      </x:c>
      <x:c r="Q2305" s="117" t="str">
        <x:v>Trent VanEmon</x:v>
      </x:c>
      <x:c r="R2305" s="117" t="str">
        <x:v>Product2 - All</x:v>
      </x:c>
      <x:c r="S2305" s="119" t="str">
        <x:v>create Generic Asset for new Products</x:v>
      </x:c>
    </x:row>
    <x:row r="2306" ht="30" customHeight="1">
      <x:c r="A2306" s="117" t="str">
        <x:v>Product2_All</x:v>
      </x:c>
      <x:c r="B2306" s="117" t="str">
        <x:v>3004O000000LNqwQAG</x:v>
      </x:c>
      <x:c r="C2306" s="117" t="str">
        <x:v>3014O0000001MiPQAU</x:v>
      </x:c>
      <x:c r="D2306" s="118" t="n">
        <x:v>2</x:v>
      </x:c>
      <x:c r="E2306" s="117" t="str">
        <x:v>Obsolete</x:v>
      </x:c>
      <x:c r="F2306" s="117" t="str">
        <x:v>No</x:v>
      </x:c>
      <x:c r="G2306" s="117" t="str">
        <x:v>No</x:v>
      </x:c>
      <x:c r="H2306" s="117" t="str">
        <x:v>Workflow</x:v>
      </x:c>
      <x:c r="I2306" s="118" t="n">
        <x:v>49</x:v>
      </x:c>
      <x:c r="J2306" s="117" t="str">
        <x:v>unmanaged</x:v>
      </x:c>
      <x:c r="K2306" s="123" t="b">
        <x:v>0</x:v>
      </x:c>
      <x:c r="L2306" s="117"/>
      <x:c r="M2306" s="118"/>
      <x:c r="N2306" s="120" t="n">
        <x:v>44132.53530092593</x:v>
      </x:c>
      <x:c r="O2306" s="117" t="str">
        <x:v>Trent VanEmon</x:v>
      </x:c>
      <x:c r="P2306" s="120" t="n">
        <x:v>44132.79293981481</x:v>
      </x:c>
      <x:c r="Q2306" s="117" t="str">
        <x:v>Trent VanEmon</x:v>
      </x:c>
      <x:c r="R2306" s="117" t="str">
        <x:v>Product2 - All</x:v>
      </x:c>
      <x:c r="S2306" s="119" t="str">
        <x:v>create Generic Asset for new Products</x:v>
      </x:c>
    </x:row>
    <x:row r="2307" ht="30" customHeight="1">
      <x:c r="A2307" s="117" t="str">
        <x:v>Product2_All</x:v>
      </x:c>
      <x:c r="B2307" s="117" t="str">
        <x:v>3004O000000LNqwQAG</x:v>
      </x:c>
      <x:c r="C2307" s="117" t="str">
        <x:v>3014O0000001MjNQAU</x:v>
      </x:c>
      <x:c r="D2307" s="118" t="n">
        <x:v>3</x:v>
      </x:c>
      <x:c r="E2307" s="117" t="str">
        <x:v>Obsolete</x:v>
      </x:c>
      <x:c r="F2307" s="117" t="str">
        <x:v>No</x:v>
      </x:c>
      <x:c r="G2307" s="117" t="str">
        <x:v>No</x:v>
      </x:c>
      <x:c r="H2307" s="117" t="str">
        <x:v>Workflow</x:v>
      </x:c>
      <x:c r="I2307" s="118" t="n">
        <x:v>49</x:v>
      </x:c>
      <x:c r="J2307" s="117" t="str">
        <x:v>unmanaged</x:v>
      </x:c>
      <x:c r="K2307" s="123" t="b">
        <x:v>0</x:v>
      </x:c>
      <x:c r="L2307" s="117"/>
      <x:c r="M2307" s="118"/>
      <x:c r="N2307" s="120" t="n">
        <x:v>44132.793171296296</x:v>
      </x:c>
      <x:c r="O2307" s="117" t="str">
        <x:v>Trent VanEmon</x:v>
      </x:c>
      <x:c r="P2307" s="120" t="n">
        <x:v>44133.68486111111</x:v>
      </x:c>
      <x:c r="Q2307" s="117" t="str">
        <x:v>Trent VanEmon</x:v>
      </x:c>
      <x:c r="R2307" s="117" t="str">
        <x:v>Product2 - All</x:v>
      </x:c>
      <x:c r="S2307" s="119" t="str">
        <x:v>create Generic Asset for new Products</x:v>
      </x:c>
    </x:row>
    <x:row r="2308" ht="30" customHeight="1">
      <x:c r="A2308" s="117" t="str">
        <x:v>Product2_All</x:v>
      </x:c>
      <x:c r="B2308" s="117" t="str">
        <x:v>3004O000000LNqwQAG</x:v>
      </x:c>
      <x:c r="C2308" s="117" t="str">
        <x:v>3014O0000001MliQAE</x:v>
      </x:c>
      <x:c r="D2308" s="118" t="n">
        <x:v>4</x:v>
      </x:c>
      <x:c r="E2308" s="117" t="str">
        <x:v>Obsolete</x:v>
      </x:c>
      <x:c r="F2308" s="117" t="str">
        <x:v>No</x:v>
      </x:c>
      <x:c r="G2308" s="117" t="str">
        <x:v>No</x:v>
      </x:c>
      <x:c r="H2308" s="117" t="str">
        <x:v>Workflow</x:v>
      </x:c>
      <x:c r="I2308" s="118" t="n">
        <x:v>49</x:v>
      </x:c>
      <x:c r="J2308" s="117" t="str">
        <x:v>unmanaged</x:v>
      </x:c>
      <x:c r="K2308" s="123" t="b">
        <x:v>0</x:v>
      </x:c>
      <x:c r="L2308" s="117"/>
      <x:c r="M2308" s="118"/>
      <x:c r="N2308" s="120" t="n">
        <x:v>44133.68512731481</x:v>
      </x:c>
      <x:c r="O2308" s="117" t="str">
        <x:v>Trent VanEmon</x:v>
      </x:c>
      <x:c r="P2308" s="120" t="n">
        <x:v>44141.66810185185</x:v>
      </x:c>
      <x:c r="Q2308" s="117" t="str">
        <x:v>Trent VanEmon</x:v>
      </x:c>
      <x:c r="R2308" s="117" t="str">
        <x:v>Product2 - All</x:v>
      </x:c>
      <x:c r="S2308" s="119" t="str">
        <x:v>create Generic Asset for new Products</x:v>
      </x:c>
    </x:row>
    <x:row r="2309" ht="30" customHeight="1">
      <x:c r="A2309" s="117" t="str">
        <x:v>Product2_All</x:v>
      </x:c>
      <x:c r="B2309" s="117" t="str">
        <x:v>3004O000000LNqwQAG</x:v>
      </x:c>
      <x:c r="C2309" s="117" t="str">
        <x:v>3014O0000001MzbQAE</x:v>
      </x:c>
      <x:c r="D2309" s="118" t="n">
        <x:v>5</x:v>
      </x:c>
      <x:c r="E2309" s="117" t="str">
        <x:v>Obsolete</x:v>
      </x:c>
      <x:c r="F2309" s="117" t="str">
        <x:v>No</x:v>
      </x:c>
      <x:c r="G2309" s="117" t="str">
        <x:v>No</x:v>
      </x:c>
      <x:c r="H2309" s="117" t="str">
        <x:v>Workflow</x:v>
      </x:c>
      <x:c r="I2309" s="118" t="n">
        <x:v>49</x:v>
      </x:c>
      <x:c r="J2309" s="117" t="str">
        <x:v>unmanaged</x:v>
      </x:c>
      <x:c r="K2309" s="123" t="b">
        <x:v>0</x:v>
      </x:c>
      <x:c r="L2309" s="117"/>
      <x:c r="M2309" s="118"/>
      <x:c r="N2309" s="120" t="n">
        <x:v>44141.66837962963</x:v>
      </x:c>
      <x:c r="O2309" s="117" t="str">
        <x:v>Trent VanEmon</x:v>
      </x:c>
      <x:c r="P2309" s="120" t="n">
        <x:v>44141.6802662037</x:v>
      </x:c>
      <x:c r="Q2309" s="117" t="str">
        <x:v>Trent VanEmon</x:v>
      </x:c>
      <x:c r="R2309" s="117" t="str">
        <x:v>Product2 - All</x:v>
      </x:c>
      <x:c r="S2309" s="119" t="str">
        <x:v>create Generic Asset for new Products</x:v>
      </x:c>
    </x:row>
    <x:row r="2310" ht="30" customHeight="1">
      <x:c r="A2310" s="117" t="str">
        <x:v>Product2_All</x:v>
      </x:c>
      <x:c r="B2310" s="117" t="str">
        <x:v>3004O000000LNqwQAG</x:v>
      </x:c>
      <x:c r="C2310" s="117" t="str">
        <x:v>3014O0000001MzcQAE</x:v>
      </x:c>
      <x:c r="D2310" s="118" t="n">
        <x:v>6</x:v>
      </x:c>
      <x:c r="E2310" s="117" t="str">
        <x:v>Obsolete</x:v>
      </x:c>
      <x:c r="F2310" s="117" t="str">
        <x:v>No</x:v>
      </x:c>
      <x:c r="G2310" s="117" t="str">
        <x:v>No</x:v>
      </x:c>
      <x:c r="H2310" s="117" t="str">
        <x:v>Workflow</x:v>
      </x:c>
      <x:c r="I2310" s="118" t="n">
        <x:v>49</x:v>
      </x:c>
      <x:c r="J2310" s="117" t="str">
        <x:v>unmanaged</x:v>
      </x:c>
      <x:c r="K2310" s="123" t="b">
        <x:v>0</x:v>
      </x:c>
      <x:c r="L2310" s="117"/>
      <x:c r="M2310" s="118"/>
      <x:c r="N2310" s="120" t="n">
        <x:v>44141.68050925926</x:v>
      </x:c>
      <x:c r="O2310" s="117" t="str">
        <x:v>Trent VanEmon</x:v>
      </x:c>
      <x:c r="P2310" s="120" t="n">
        <x:v>44145.95893518518</x:v>
      </x:c>
      <x:c r="Q2310" s="117" t="str">
        <x:v>Trent VanEmon</x:v>
      </x:c>
      <x:c r="R2310" s="117" t="str">
        <x:v>Product2 - All</x:v>
      </x:c>
      <x:c r="S2310" s="119" t="str">
        <x:v>create Generic Asset for new Products</x:v>
      </x:c>
    </x:row>
    <x:row r="2311" ht="30" customHeight="1">
      <x:c r="A2311" s="117" t="str">
        <x:v>Product2_All</x:v>
      </x:c>
      <x:c r="B2311" s="117" t="str">
        <x:v>3004O000000LNqwQAG</x:v>
      </x:c>
      <x:c r="C2311" s="117" t="str">
        <x:v>3014O0000001N5OQAU</x:v>
      </x:c>
      <x:c r="D2311" s="118" t="n">
        <x:v>7</x:v>
      </x:c>
      <x:c r="E2311" s="117" t="str">
        <x:v>Obsolete</x:v>
      </x:c>
      <x:c r="F2311" s="117" t="str">
        <x:v>No</x:v>
      </x:c>
      <x:c r="G2311" s="117" t="str">
        <x:v>Yes</x:v>
      </x:c>
      <x:c r="H2311" s="117" t="str">
        <x:v>Workflow</x:v>
      </x:c>
      <x:c r="I2311" s="118" t="n">
        <x:v>49</x:v>
      </x:c>
      <x:c r="J2311" s="117" t="str">
        <x:v>unmanaged</x:v>
      </x:c>
      <x:c r="K2311" s="123" t="b">
        <x:v>0</x:v>
      </x:c>
      <x:c r="L2311" s="117"/>
      <x:c r="M2311" s="118"/>
      <x:c r="N2311" s="120" t="n">
        <x:v>44145.9590625</x:v>
      </x:c>
      <x:c r="O2311" s="117" t="str">
        <x:v>Trent VanEmon</x:v>
      </x:c>
      <x:c r="P2311" s="120" t="n">
        <x:v>46197.29893518519</x:v>
      </x:c>
      <x:c r="Q2311" s="117" t="str">
        <x:v>Natalie Boger</x:v>
      </x:c>
      <x:c r="R2311" s="117" t="str">
        <x:v>Product2 - All</x:v>
      </x:c>
      <x:c r="S2311" s="119" t="str">
        <x:v>create Generic Asset for new Products</x:v>
      </x:c>
    </x:row>
    <x:row r="2312" ht="30" customHeight="1">
      <x:c r="A2312" s="117" t="str">
        <x:v>Product_Creation_Actions_Flow</x:v>
      </x:c>
      <x:c r="B2312" s="117" t="str">
        <x:v>3005b000000LJC9AAO</x:v>
      </x:c>
      <x:c r="C2312" s="117" t="str">
        <x:v>3015b000000ANxHAAW</x:v>
      </x:c>
      <x:c r="D2312" s="118" t="n">
        <x:v>1</x:v>
      </x:c>
      <x:c r="E2312" s="117" t="str">
        <x:v>Obsolete</x:v>
      </x:c>
      <x:c r="F2312" s="117" t="str">
        <x:v>No</x:v>
      </x:c>
      <x:c r="G2312" s="117" t="str">
        <x:v>No</x:v>
      </x:c>
      <x:c r="H2312" s="117" t="str">
        <x:v>AutoLaunchedFlow</x:v>
      </x:c>
      <x:c r="I2312" s="118" t="n">
        <x:v>58</x:v>
      </x:c>
      <x:c r="J2312" s="117" t="str">
        <x:v>unmanaged</x:v>
      </x:c>
      <x:c r="K2312" s="123" t="b">
        <x:v>0</x:v>
      </x:c>
      <x:c r="L2312" s="117"/>
      <x:c r="M2312" s="118"/>
      <x:c r="N2312" s="120" t="n">
        <x:v>45120.61016203704</x:v>
      </x:c>
      <x:c r="O2312" s="117" t="str">
        <x:v>Jace Gentil</x:v>
      </x:c>
      <x:c r="P2312" s="120" t="n">
        <x:v>45121.34488425926</x:v>
      </x:c>
      <x:c r="Q2312" s="117" t="str">
        <x:v>Jon Kean</x:v>
      </x:c>
      <x:c r="R2312" s="117" t="str">
        <x:v>Product Creation Actions Flow</x:v>
      </x:c>
      <x:c r="S2312" s="119" t="str">
        <x:v>For actions to do on Product Creationi - Specifically the auto-submit for approval</x:v>
      </x:c>
    </x:row>
    <x:row r="2313" ht="30" customHeight="1">
      <x:c r="A2313" s="117" t="str">
        <x:v>Product_Creation_Actions_Flow</x:v>
      </x:c>
      <x:c r="B2313" s="117" t="str">
        <x:v>3005b000000LJC9AAO</x:v>
      </x:c>
      <x:c r="C2313" s="117" t="str">
        <x:v>3015b000000AO27AAG</x:v>
      </x:c>
      <x:c r="D2313" s="118" t="n">
        <x:v>2</x:v>
      </x:c>
      <x:c r="E2313" s="117" t="str">
        <x:v>Obsolete</x:v>
      </x:c>
      <x:c r="F2313" s="117" t="str">
        <x:v>No</x:v>
      </x:c>
      <x:c r="G2313" s="117" t="str">
        <x:v>No</x:v>
      </x:c>
      <x:c r="H2313" s="117" t="str">
        <x:v>AutoLaunchedFlow</x:v>
      </x:c>
      <x:c r="I2313" s="118" t="n">
        <x:v>58</x:v>
      </x:c>
      <x:c r="J2313" s="117" t="str">
        <x:v>unmanaged</x:v>
      </x:c>
      <x:c r="K2313" s="123" t="b">
        <x:v>0</x:v>
      </x:c>
      <x:c r="L2313" s="117"/>
      <x:c r="M2313" s="118"/>
      <x:c r="N2313" s="120" t="n">
        <x:v>45121.547534722224</x:v>
      </x:c>
      <x:c r="O2313" s="117" t="str">
        <x:v>Jace Gentil</x:v>
      </x:c>
      <x:c r="P2313" s="120" t="n">
        <x:v>45121.547638888886</x:v>
      </x:c>
      <x:c r="Q2313" s="117" t="str">
        <x:v>Jace Gentil</x:v>
      </x:c>
      <x:c r="R2313" s="117" t="str">
        <x:v>Product Creation Actions Flow</x:v>
      </x:c>
      <x:c r="S2313" s="119" t="str">
        <x:v>For actions to do on Product Creationi - Specifically the auto-submit for approval</x:v>
      </x:c>
    </x:row>
    <x:row r="2314" ht="30" customHeight="1">
      <x:c r="A2314" s="117" t="str">
        <x:v>Product_Creation_Actions_Flow</x:v>
      </x:c>
      <x:c r="B2314" s="117" t="str">
        <x:v>3005b000000LJC9AAO</x:v>
      </x:c>
      <x:c r="C2314" s="117" t="str">
        <x:v>3015b000000AO9hAAG</x:v>
      </x:c>
      <x:c r="D2314" s="118" t="n">
        <x:v>3</x:v>
      </x:c>
      <x:c r="E2314" s="117" t="str">
        <x:v>InvalidDraft</x:v>
      </x:c>
      <x:c r="F2314" s="117" t="str">
        <x:v>No</x:v>
      </x:c>
      <x:c r="G2314" s="117" t="str">
        <x:v>No</x:v>
      </x:c>
      <x:c r="H2314" s="117" t="str">
        <x:v>AutoLaunchedFlow</x:v>
      </x:c>
      <x:c r="I2314" s="118" t="n">
        <x:v>58</x:v>
      </x:c>
      <x:c r="J2314" s="117" t="str">
        <x:v>unmanaged</x:v>
      </x:c>
      <x:c r="K2314" s="123" t="b">
        <x:v>0</x:v>
      </x:c>
      <x:c r="L2314" s="117"/>
      <x:c r="M2314" s="118"/>
      <x:c r="N2314" s="120" t="n">
        <x:v>45124.61950231482</x:v>
      </x:c>
      <x:c r="O2314" s="117" t="str">
        <x:v>Jace Gentil</x:v>
      </x:c>
      <x:c r="P2314" s="120" t="n">
        <x:v>45124.619525462964</x:v>
      </x:c>
      <x:c r="Q2314" s="117" t="str">
        <x:v>Jace Gentil</x:v>
      </x:c>
      <x:c r="R2314" s="117" t="str">
        <x:v>Product Creation Actions Flow</x:v>
      </x:c>
      <x:c r="S2314" s="119" t="str">
        <x:v>For actions to do on Product Creationi - Specifically the auto-submit for approval</x:v>
      </x:c>
    </x:row>
    <x:row r="2315" ht="30" customHeight="1">
      <x:c r="A2315" s="117" t="str">
        <x:v>Product_Creation_Actions_Flow</x:v>
      </x:c>
      <x:c r="B2315" s="117" t="str">
        <x:v>3005b000000LJC9AAO</x:v>
      </x:c>
      <x:c r="C2315" s="117" t="str">
        <x:v>3015b000000AO9mAAG</x:v>
      </x:c>
      <x:c r="D2315" s="118" t="n">
        <x:v>4</x:v>
      </x:c>
      <x:c r="E2315" s="117" t="str">
        <x:v>Obsolete</x:v>
      </x:c>
      <x:c r="F2315" s="117" t="str">
        <x:v>No</x:v>
      </x:c>
      <x:c r="G2315" s="117" t="str">
        <x:v>No</x:v>
      </x:c>
      <x:c r="H2315" s="117" t="str">
        <x:v>AutoLaunchedFlow</x:v>
      </x:c>
      <x:c r="I2315" s="118" t="n">
        <x:v>58</x:v>
      </x:c>
      <x:c r="J2315" s="117" t="str">
        <x:v>unmanaged</x:v>
      </x:c>
      <x:c r="K2315" s="123" t="b">
        <x:v>0</x:v>
      </x:c>
      <x:c r="L2315" s="117"/>
      <x:c r="M2315" s="118"/>
      <x:c r="N2315" s="120" t="n">
        <x:v>45124.61971064815</x:v>
      </x:c>
      <x:c r="O2315" s="117" t="str">
        <x:v>Jace Gentil</x:v>
      </x:c>
      <x:c r="P2315" s="120" t="n">
        <x:v>45406.43292824074</x:v>
      </x:c>
      <x:c r="Q2315" s="117" t="str">
        <x:v>Jon Kean</x:v>
      </x:c>
      <x:c r="R2315" s="117" t="str">
        <x:v>Product Creation Actions Flow</x:v>
      </x:c>
      <x:c r="S2315" s="119" t="str">
        <x:v>For actions to do on Product Creationi - Specifically the auto-submit for approval</x:v>
      </x:c>
    </x:row>
    <x:row r="2316" ht="30" customHeight="1">
      <x:c r="A2316" s="117" t="str">
        <x:v>Product_Creation_Actions_Flow</x:v>
      </x:c>
      <x:c r="B2316" s="117" t="str">
        <x:v>3005b000000LJC9AAO</x:v>
      </x:c>
      <x:c r="C2316" s="117" t="str">
        <x:v>301Ro00000BX88aIAD</x:v>
      </x:c>
      <x:c r="D2316" s="118" t="n">
        <x:v>5</x:v>
      </x:c>
      <x:c r="E2316" s="117" t="str">
        <x:v>Obsolete</x:v>
      </x:c>
      <x:c r="F2316" s="117" t="str">
        <x:v>No</x:v>
      </x:c>
      <x:c r="G2316" s="117" t="str">
        <x:v>No</x:v>
      </x:c>
      <x:c r="H2316" s="117" t="str">
        <x:v>AutoLaunchedFlow</x:v>
      </x:c>
      <x:c r="I2316" s="118" t="n">
        <x:v>58</x:v>
      </x:c>
      <x:c r="J2316" s="117" t="str">
        <x:v>unmanaged</x:v>
      </x:c>
      <x:c r="K2316" s="123" t="b">
        <x:v>0</x:v>
      </x:c>
      <x:c r="L2316" s="117"/>
      <x:c r="M2316" s="118"/>
      <x:c r="N2316" s="120" t="n">
        <x:v>45406.403703703705</x:v>
      </x:c>
      <x:c r="O2316" s="117" t="str">
        <x:v>Jon Kean</x:v>
      </x:c>
      <x:c r="P2316" s="120" t="n">
        <x:v>45406.40373842593</x:v>
      </x:c>
      <x:c r="Q2316" s="117" t="str">
        <x:v>Jon Kean</x:v>
      </x:c>
      <x:c r="R2316" s="117" t="str">
        <x:v>Product Creation Actions Flow</x:v>
      </x:c>
      <x:c r="S2316" s="119" t="str">
        <x:v>For actions to do on Product Creationi - Specifically the auto-submit for approval</x:v>
      </x:c>
    </x:row>
    <x:row r="2317" ht="30" customHeight="1">
      <x:c r="A2317" s="117" t="str">
        <x:v>Product_Creation_Actions_Flow</x:v>
      </x:c>
      <x:c r="B2317" s="117" t="str">
        <x:v>3005b000000LJC9AAO</x:v>
      </x:c>
      <x:c r="C2317" s="117" t="str">
        <x:v>301Ro00000BX1YZIA1</x:v>
      </x:c>
      <x:c r="D2317" s="118" t="n">
        <x:v>6</x:v>
      </x:c>
      <x:c r="E2317" s="117" t="str">
        <x:v>Obsolete</x:v>
      </x:c>
      <x:c r="F2317" s="117" t="str">
        <x:v>No</x:v>
      </x:c>
      <x:c r="G2317" s="117" t="str">
        <x:v>No</x:v>
      </x:c>
      <x:c r="H2317" s="117" t="str">
        <x:v>AutoLaunchedFlow</x:v>
      </x:c>
      <x:c r="I2317" s="118" t="n">
        <x:v>58</x:v>
      </x:c>
      <x:c r="J2317" s="117" t="str">
        <x:v>unmanaged</x:v>
      </x:c>
      <x:c r="K2317" s="123" t="b">
        <x:v>0</x:v>
      </x:c>
      <x:c r="L2317" s="117"/>
      <x:c r="M2317" s="118"/>
      <x:c r="N2317" s="120" t="n">
        <x:v>45406.40447916667</x:v>
      </x:c>
      <x:c r="O2317" s="117" t="str">
        <x:v>Jon Kean</x:v>
      </x:c>
      <x:c r="P2317" s="120" t="n">
        <x:v>45406.40609953704</x:v>
      </x:c>
      <x:c r="Q2317" s="117" t="str">
        <x:v>Jon Kean</x:v>
      </x:c>
      <x:c r="R2317" s="117" t="str">
        <x:v>Product Creation Actions Flow</x:v>
      </x:c>
      <x:c r="S2317" s="119" t="str">
        <x:v>For actions to do on Product Creationi - Specifically the auto-submit for approval</x:v>
      </x:c>
    </x:row>
    <x:row r="2318" ht="30" customHeight="1">
      <x:c r="A2318" s="117" t="str">
        <x:v>Product_Creation_Actions_Flow</x:v>
      </x:c>
      <x:c r="B2318" s="117" t="str">
        <x:v>3005b000000LJC9AAO</x:v>
      </x:c>
      <x:c r="C2318" s="117" t="str">
        <x:v>301Ro00000BWvBNIA1</x:v>
      </x:c>
      <x:c r="D2318" s="118" t="n">
        <x:v>7</x:v>
      </x:c>
      <x:c r="E2318" s="117" t="str">
        <x:v>Obsolete</x:v>
      </x:c>
      <x:c r="F2318" s="117" t="str">
        <x:v>No</x:v>
      </x:c>
      <x:c r="G2318" s="117" t="str">
        <x:v>No</x:v>
      </x:c>
      <x:c r="H2318" s="117" t="str">
        <x:v>AutoLaunchedFlow</x:v>
      </x:c>
      <x:c r="I2318" s="118" t="n">
        <x:v>58</x:v>
      </x:c>
      <x:c r="J2318" s="117" t="str">
        <x:v>unmanaged</x:v>
      </x:c>
      <x:c r="K2318" s="123" t="b">
        <x:v>0</x:v>
      </x:c>
      <x:c r="L2318" s="117"/>
      <x:c r="M2318" s="118"/>
      <x:c r="N2318" s="120" t="n">
        <x:v>45406.41075231481</x:v>
      </x:c>
      <x:c r="O2318" s="117" t="str">
        <x:v>Jon Kean</x:v>
      </x:c>
      <x:c r="P2318" s="120" t="n">
        <x:v>45406.410787037035</x:v>
      </x:c>
      <x:c r="Q2318" s="117" t="str">
        <x:v>Jon Kean</x:v>
      </x:c>
      <x:c r="R2318" s="117" t="str">
        <x:v>Product Creation Actions Flow</x:v>
      </x:c>
      <x:c r="S2318" s="119" t="str">
        <x:v>For actions to do on Product Creationi - Specifically the auto-submit for approval</x:v>
      </x:c>
    </x:row>
    <x:row r="2319" ht="30" customHeight="1">
      <x:c r="A2319" s="117" t="str">
        <x:v>Product_Creation_Actions_Flow</x:v>
      </x:c>
      <x:c r="B2319" s="117" t="str">
        <x:v>3005b000000LJC9AAO</x:v>
      </x:c>
      <x:c r="C2319" s="117" t="str">
        <x:v>301Ro00000BXB4nIAH</x:v>
      </x:c>
      <x:c r="D2319" s="118" t="n">
        <x:v>8</x:v>
      </x:c>
      <x:c r="E2319" s="117" t="str">
        <x:v>Obsolete</x:v>
      </x:c>
      <x:c r="F2319" s="117" t="str">
        <x:v>No</x:v>
      </x:c>
      <x:c r="G2319" s="117" t="str">
        <x:v>No</x:v>
      </x:c>
      <x:c r="H2319" s="117" t="str">
        <x:v>AutoLaunchedFlow</x:v>
      </x:c>
      <x:c r="I2319" s="118" t="n">
        <x:v>58</x:v>
      </x:c>
      <x:c r="J2319" s="117" t="str">
        <x:v>unmanaged</x:v>
      </x:c>
      <x:c r="K2319" s="123" t="b">
        <x:v>0</x:v>
      </x:c>
      <x:c r="L2319" s="117"/>
      <x:c r="M2319" s="118"/>
      <x:c r="N2319" s="120" t="n">
        <x:v>45406.411215277774</x:v>
      </x:c>
      <x:c r="O2319" s="117" t="str">
        <x:v>Jon Kean</x:v>
      </x:c>
      <x:c r="P2319" s="120" t="n">
        <x:v>45406.41125</x:v>
      </x:c>
      <x:c r="Q2319" s="117" t="str">
        <x:v>Jon Kean</x:v>
      </x:c>
      <x:c r="R2319" s="117" t="str">
        <x:v>Product Creation Actions Flow</x:v>
      </x:c>
      <x:c r="S2319" s="119" t="str">
        <x:v>For actions to do on Product Creationi - Specifically the auto-submit for approval</x:v>
      </x:c>
    </x:row>
    <x:row r="2320" ht="30" customHeight="1">
      <x:c r="A2320" s="117" t="str">
        <x:v>Product_Creation_Actions_Flow</x:v>
      </x:c>
      <x:c r="B2320" s="117" t="str">
        <x:v>3005b000000LJC9AAO</x:v>
      </x:c>
      <x:c r="C2320" s="117" t="str">
        <x:v>301Ro00000BWy9FIAT</x:v>
      </x:c>
      <x:c r="D2320" s="118" t="n">
        <x:v>9</x:v>
      </x:c>
      <x:c r="E2320" s="117" t="str">
        <x:v>Obsolete</x:v>
      </x:c>
      <x:c r="F2320" s="117" t="str">
        <x:v>No</x:v>
      </x:c>
      <x:c r="G2320" s="117" t="str">
        <x:v>No</x:v>
      </x:c>
      <x:c r="H2320" s="117" t="str">
        <x:v>AutoLaunchedFlow</x:v>
      </x:c>
      <x:c r="I2320" s="118" t="n">
        <x:v>58</x:v>
      </x:c>
      <x:c r="J2320" s="117" t="str">
        <x:v>unmanaged</x:v>
      </x:c>
      <x:c r="K2320" s="123" t="b">
        <x:v>0</x:v>
      </x:c>
      <x:c r="L2320" s="117"/>
      <x:c r="M2320" s="118"/>
      <x:c r="N2320" s="120" t="n">
        <x:v>45406.41211805555</x:v>
      </x:c>
      <x:c r="O2320" s="117" t="str">
        <x:v>Jon Kean</x:v>
      </x:c>
      <x:c r="P2320" s="120" t="n">
        <x:v>45406.43636574074</x:v>
      </x:c>
      <x:c r="Q2320" s="117" t="str">
        <x:v>Jon Kean</x:v>
      </x:c>
      <x:c r="R2320" s="117" t="str">
        <x:v>Product Creation Actions Flow</x:v>
      </x:c>
      <x:c r="S2320" s="119" t="str">
        <x:v>For actions to do on Product Creationi - Specifically the auto-submit for approval</x:v>
      </x:c>
    </x:row>
    <x:row r="2321" ht="30" customHeight="1">
      <x:c r="A2321" s="117" t="str">
        <x:v>Product_Creation_Actions_Flow</x:v>
      </x:c>
      <x:c r="B2321" s="117" t="str">
        <x:v>3005b000000LJC9AAO</x:v>
      </x:c>
      <x:c r="C2321" s="117" t="str">
        <x:v>301Ro00000DPS86IAH</x:v>
      </x:c>
      <x:c r="D2321" s="118" t="n">
        <x:v>10</x:v>
      </x:c>
      <x:c r="E2321" s="117" t="str">
        <x:v>Active</x:v>
      </x:c>
      <x:c r="F2321" s="117" t="str">
        <x:v>Yes</x:v>
      </x:c>
      <x:c r="G2321" s="117" t="str">
        <x:v>Yes</x:v>
      </x:c>
      <x:c r="H2321" s="117" t="str">
        <x:v>AutoLaunchedFlow</x:v>
      </x:c>
      <x:c r="I2321" s="118" t="n">
        <x:v>58</x:v>
      </x:c>
      <x:c r="J2321" s="117" t="str">
        <x:v>unmanaged</x:v>
      </x:c>
      <x:c r="K2321" s="123" t="b">
        <x:v>0</x:v>
      </x:c>
      <x:c r="L2321" s="117"/>
      <x:c r="M2321" s="118"/>
      <x:c r="N2321" s="120" t="n">
        <x:v>45435.61837962963</x:v>
      </x:c>
      <x:c r="O2321" s="117" t="str">
        <x:v>Jace Gentil</x:v>
      </x:c>
      <x:c r="P2321" s="120" t="n">
        <x:v>45435.618425925924</x:v>
      </x:c>
      <x:c r="Q2321" s="117" t="str">
        <x:v>Jace Gentil</x:v>
      </x:c>
      <x:c r="R2321" s="117" t="str">
        <x:v>Product Creation Actions Flow</x:v>
      </x:c>
      <x:c r="S2321" s="119" t="str">
        <x:v>For actions to do on Product Creationi - Specifically the auto-submit for approval</x:v>
      </x:c>
    </x:row>
    <x:row r="2322" ht="30" customHeight="1">
      <x:c r="A2322" s="117" t="str">
        <x:v>Product_Item_Rollups</x:v>
      </x:c>
      <x:c r="B2322" s="117" t="str">
        <x:v>300Ro000007doaZIAQ</x:v>
      </x:c>
      <x:c r="C2322" s="117" t="str">
        <x:v>301Ro000008UfpKIAS</x:v>
      </x:c>
      <x:c r="D2322" s="118" t="n">
        <x:v>1</x:v>
      </x:c>
      <x:c r="E2322" s="117" t="str">
        <x:v>Obsolete</x:v>
      </x:c>
      <x:c r="F2322" s="117" t="str">
        <x:v>No</x:v>
      </x:c>
      <x:c r="G2322" s="117" t="str">
        <x:v>No</x:v>
      </x:c>
      <x:c r="H2322" s="117" t="str">
        <x:v>AutoLaunchedFlow</x:v>
      </x:c>
      <x:c r="I2322" s="118" t="n">
        <x:v>57</x:v>
      </x:c>
      <x:c r="J2322" s="117" t="str">
        <x:v>unmanaged</x:v>
      </x:c>
      <x:c r="K2322" s="123" t="b">
        <x:v>0</x:v>
      </x:c>
      <x:c r="L2322" s="117"/>
      <x:c r="M2322" s="118"/>
      <x:c r="N2322" s="120" t="n">
        <x:v>45356.551458333335</x:v>
      </x:c>
      <x:c r="O2322" s="117" t="str">
        <x:v>Delegate</x:v>
      </x:c>
      <x:c r="P2322" s="120" t="n">
        <x:v>45721.98609953704</x:v>
      </x:c>
      <x:c r="Q2322" s="117" t="str">
        <x:v>Delegate</x:v>
      </x:c>
      <x:c r="R2322" s="117" t="str">
        <x:v>Product Item Rollups</x:v>
      </x:c>
      <x:c r="S2322" s="119"/>
    </x:row>
    <x:row r="2323" ht="30" customHeight="1">
      <x:c r="A2323" s="117" t="str">
        <x:v>Product_Item_Rollups</x:v>
      </x:c>
      <x:c r="B2323" s="117" t="str">
        <x:v>300Ro000007doaZIAQ</x:v>
      </x:c>
      <x:c r="C2323" s="117" t="str">
        <x:v>301Ro00000TF3ukIAD</x:v>
      </x:c>
      <x:c r="D2323" s="118" t="n">
        <x:v>2</x:v>
      </x:c>
      <x:c r="E2323" s="117" t="str">
        <x:v>Obsolete</x:v>
      </x:c>
      <x:c r="F2323" s="117" t="str">
        <x:v>No</x:v>
      </x:c>
      <x:c r="G2323" s="117" t="str">
        <x:v>Yes</x:v>
      </x:c>
      <x:c r="H2323" s="117" t="str">
        <x:v>AutoLaunchedFlow</x:v>
      </x:c>
      <x:c r="I2323" s="118" t="n">
        <x:v>57</x:v>
      </x:c>
      <x:c r="J2323" s="117" t="str">
        <x:v>unmanaged</x:v>
      </x:c>
      <x:c r="K2323" s="123" t="b">
        <x:v>0</x:v>
      </x:c>
      <x:c r="L2323" s="117"/>
      <x:c r="M2323" s="118"/>
      <x:c r="N2323" s="120" t="n">
        <x:v>45691.475173611114</x:v>
      </x:c>
      <x:c r="O2323" s="117" t="str">
        <x:v>Delegate</x:v>
      </x:c>
      <x:c r="P2323" s="120" t="n">
        <x:v>45721.92222222222</x:v>
      </x:c>
      <x:c r="Q2323" s="117" t="str">
        <x:v>Delegate</x:v>
      </x:c>
      <x:c r="R2323" s="117" t="str">
        <x:v>Product Item Rollups</x:v>
      </x:c>
      <x:c r="S2323" s="119" t="str">
        <x:v>12/29/2024 (BW) - Updated total cost of unsold and sold to factor in changes to currency amounts. This should keep the two systems in sync</x:v>
      </x:c>
    </x:row>
    <x:row r="2324" ht="30" customHeight="1">
      <x:c r="A2324" s="117" t="str">
        <x:v>Product_name_from_lead_to_opp</x:v>
      </x:c>
      <x:c r="B2324" s="117" t="str">
        <x:v>3000B0000008l3gQAA</x:v>
      </x:c>
      <x:c r="C2324" s="117" t="str">
        <x:v>3010B00000099h0QAA</x:v>
      </x:c>
      <x:c r="D2324" s="118" t="n">
        <x:v>3</x:v>
      </x:c>
      <x:c r="E2324" s="117" t="str">
        <x:v>Obsolete</x:v>
      </x:c>
      <x:c r="F2324" s="117" t="str">
        <x:v>No</x:v>
      </x:c>
      <x:c r="G2324" s="117" t="str">
        <x:v>No</x:v>
      </x:c>
      <x:c r="H2324" s="117" t="str">
        <x:v>Workflow</x:v>
      </x:c>
      <x:c r="I2324" s="118"/>
      <x:c r="J2324" s="117" t="str">
        <x:v>unmanaged</x:v>
      </x:c>
      <x:c r="K2324" s="123" t="b">
        <x:v>0</x:v>
      </x:c>
      <x:c r="L2324" s="117"/>
      <x:c r="M2324" s="118"/>
      <x:c r="N2324" s="120" t="n">
        <x:v>43304.58335648148</x:v>
      </x:c>
      <x:c r="O2324" s="117" t="str">
        <x:v>Zach Wills</x:v>
      </x:c>
      <x:c r="P2324" s="120" t="n">
        <x:v>43304.58341435185</x:v>
      </x:c>
      <x:c r="Q2324" s="117" t="str">
        <x:v>Zach Wills</x:v>
      </x:c>
      <x:c r="R2324" s="117" t="str">
        <x:v>Product name from lead to opp</x:v>
      </x:c>
      <x:c r="S2324" s="119"/>
    </x:row>
    <x:row r="2325" ht="30" customHeight="1">
      <x:c r="A2325" s="117" t="str">
        <x:v>Product_name_from_lead_to_opp</x:v>
      </x:c>
      <x:c r="B2325" s="117" t="str">
        <x:v>3000B0000008l3gQAA</x:v>
      </x:c>
      <x:c r="C2325" s="117" t="str">
        <x:v>3010B00000099laQAA</x:v>
      </x:c>
      <x:c r="D2325" s="118" t="n">
        <x:v>4</x:v>
      </x:c>
      <x:c r="E2325" s="117" t="str">
        <x:v>Obsolete</x:v>
      </x:c>
      <x:c r="F2325" s="117" t="str">
        <x:v>No</x:v>
      </x:c>
      <x:c r="G2325" s="117" t="str">
        <x:v>No</x:v>
      </x:c>
      <x:c r="H2325" s="117" t="str">
        <x:v>Workflow</x:v>
      </x:c>
      <x:c r="I2325" s="118"/>
      <x:c r="J2325" s="117" t="str">
        <x:v>unmanaged</x:v>
      </x:c>
      <x:c r="K2325" s="123" t="b">
        <x:v>0</x:v>
      </x:c>
      <x:c r="L2325" s="117"/>
      <x:c r="M2325" s="118"/>
      <x:c r="N2325" s="120" t="n">
        <x:v>43306.55173611111</x:v>
      </x:c>
      <x:c r="O2325" s="117" t="str">
        <x:v>Zach Wills</x:v>
      </x:c>
      <x:c r="P2325" s="120" t="n">
        <x:v>43306.55181712963</x:v>
      </x:c>
      <x:c r="Q2325" s="117" t="str">
        <x:v>Zach Wills</x:v>
      </x:c>
      <x:c r="R2325" s="117" t="str">
        <x:v>Product name from lead to opp</x:v>
      </x:c>
      <x:c r="S2325" s="119"/>
    </x:row>
    <x:row r="2326" ht="30" customHeight="1">
      <x:c r="A2326" s="117" t="str">
        <x:v>Product_name_from_lead_to_opp</x:v>
      </x:c>
      <x:c r="B2326" s="117" t="str">
        <x:v>3000B0000008l3gQAA</x:v>
      </x:c>
      <x:c r="C2326" s="117" t="str">
        <x:v>3014O000000U4l2QAC</x:v>
      </x:c>
      <x:c r="D2326" s="118" t="n">
        <x:v>5</x:v>
      </x:c>
      <x:c r="E2326" s="117" t="str">
        <x:v>Obsolete</x:v>
      </x:c>
      <x:c r="F2326" s="117" t="str">
        <x:v>No</x:v>
      </x:c>
      <x:c r="G2326" s="117" t="str">
        <x:v>No</x:v>
      </x:c>
      <x:c r="H2326" s="117" t="str">
        <x:v>Workflow</x:v>
      </x:c>
      <x:c r="I2326" s="118"/>
      <x:c r="J2326" s="117" t="str">
        <x:v>unmanaged</x:v>
      </x:c>
      <x:c r="K2326" s="123" t="b">
        <x:v>0</x:v>
      </x:c>
      <x:c r="L2326" s="117"/>
      <x:c r="M2326" s="118"/>
      <x:c r="N2326" s="120" t="n">
        <x:v>43677.94328703704</x:v>
      </x:c>
      <x:c r="O2326" s="117" t="str">
        <x:v>Jace Gentil</x:v>
      </x:c>
      <x:c r="P2326" s="120" t="n">
        <x:v>43677.94342592593</x:v>
      </x:c>
      <x:c r="Q2326" s="117" t="str">
        <x:v>Jace Gentil</x:v>
      </x:c>
      <x:c r="R2326" s="117" t="str">
        <x:v>Product name from lead to opp</x:v>
      </x:c>
      <x:c r="S2326" s="119"/>
    </x:row>
    <x:row r="2327" ht="30" customHeight="1">
      <x:c r="A2327" s="117" t="str">
        <x:v>Product_name_from_lead_to_opp</x:v>
      </x:c>
      <x:c r="B2327" s="117" t="str">
        <x:v>3000B0000008l3gQAA</x:v>
      </x:c>
      <x:c r="C2327" s="117" t="str">
        <x:v>3015b000000EEekAAG</x:v>
      </x:c>
      <x:c r="D2327" s="118" t="n">
        <x:v>6</x:v>
      </x:c>
      <x:c r="E2327" s="117" t="str">
        <x:v>Draft</x:v>
      </x:c>
      <x:c r="F2327" s="117" t="str">
        <x:v>No</x:v>
      </x:c>
      <x:c r="G2327" s="117" t="str">
        <x:v>No</x:v>
      </x:c>
      <x:c r="H2327" s="117" t="str">
        <x:v>Workflow</x:v>
      </x:c>
      <x:c r="I2327" s="118" t="n">
        <x:v>49</x:v>
      </x:c>
      <x:c r="J2327" s="117" t="str">
        <x:v>unmanaged</x:v>
      </x:c>
      <x:c r="K2327" s="123" t="b">
        <x:v>0</x:v>
      </x:c>
      <x:c r="L2327" s="117"/>
      <x:c r="M2327" s="118"/>
      <x:c r="N2327" s="120" t="n">
        <x:v>44547.69939814815</x:v>
      </x:c>
      <x:c r="O2327" s="117" t="str">
        <x:v>Delegate</x:v>
      </x:c>
      <x:c r="P2327" s="120" t="n">
        <x:v>44547.69940972222</x:v>
      </x:c>
      <x:c r="Q2327" s="117" t="str">
        <x:v>Delegate</x:v>
      </x:c>
      <x:c r="R2327" s="117" t="str">
        <x:v>Product name from lead to opp</x:v>
      </x:c>
      <x:c r="S2327" s="119"/>
    </x:row>
    <x:row r="2328" ht="30" customHeight="1">
      <x:c r="A2328" s="117" t="str">
        <x:v>Product_name_from_lead_to_opp</x:v>
      </x:c>
      <x:c r="B2328" s="117" t="str">
        <x:v>3000B0000008l3gQAA</x:v>
      </x:c>
      <x:c r="C2328" s="117" t="str">
        <x:v>3015b000000EEudAAG</x:v>
      </x:c>
      <x:c r="D2328" s="118" t="n">
        <x:v>7</x:v>
      </x:c>
      <x:c r="E2328" s="117" t="str">
        <x:v>Obsolete</x:v>
      </x:c>
      <x:c r="F2328" s="117" t="str">
        <x:v>No</x:v>
      </x:c>
      <x:c r="G2328" s="117" t="str">
        <x:v>No</x:v>
      </x:c>
      <x:c r="H2328" s="117" t="str">
        <x:v>Workflow</x:v>
      </x:c>
      <x:c r="I2328" s="118" t="n">
        <x:v>49</x:v>
      </x:c>
      <x:c r="J2328" s="117" t="str">
        <x:v>unmanaged</x:v>
      </x:c>
      <x:c r="K2328" s="123" t="b">
        <x:v>0</x:v>
      </x:c>
      <x:c r="L2328" s="117"/>
      <x:c r="M2328" s="118"/>
      <x:c r="N2328" s="120" t="n">
        <x:v>44560.62355324074</x:v>
      </x:c>
      <x:c r="O2328" s="117" t="str">
        <x:v>Delegate</x:v>
      </x:c>
      <x:c r="P2328" s="120" t="n">
        <x:v>44560.62362268518</x:v>
      </x:c>
      <x:c r="Q2328" s="117" t="str">
        <x:v>Delegate</x:v>
      </x:c>
      <x:c r="R2328" s="117" t="str">
        <x:v>Product name from lead to opp</x:v>
      </x:c>
      <x:c r="S2328" s="119"/>
    </x:row>
    <x:row r="2329" ht="30" customHeight="1">
      <x:c r="A2329" s="117" t="str">
        <x:v>Product_name_from_lead_to_opp</x:v>
      </x:c>
      <x:c r="B2329" s="117" t="str">
        <x:v>3000B0000008l3gQAA</x:v>
      </x:c>
      <x:c r="C2329" s="117" t="str">
        <x:v>3015b000000EIFuAAO</x:v>
      </x:c>
      <x:c r="D2329" s="118" t="n">
        <x:v>8</x:v>
      </x:c>
      <x:c r="E2329" s="117" t="str">
        <x:v>Obsolete</x:v>
      </x:c>
      <x:c r="F2329" s="117" t="str">
        <x:v>No</x:v>
      </x:c>
      <x:c r="G2329" s="117" t="str">
        <x:v>No</x:v>
      </x:c>
      <x:c r="H2329" s="117" t="str">
        <x:v>Workflow</x:v>
      </x:c>
      <x:c r="I2329" s="118" t="n">
        <x:v>49</x:v>
      </x:c>
      <x:c r="J2329" s="117" t="str">
        <x:v>unmanaged</x:v>
      </x:c>
      <x:c r="K2329" s="123" t="b">
        <x:v>0</x:v>
      </x:c>
      <x:c r="L2329" s="117"/>
      <x:c r="M2329" s="118"/>
      <x:c r="N2329" s="120" t="n">
        <x:v>44631.55510416667</x:v>
      </x:c>
      <x:c r="O2329" s="117" t="str">
        <x:v>Delegate</x:v>
      </x:c>
      <x:c r="P2329" s="120" t="n">
        <x:v>44631.557025462964</x:v>
      </x:c>
      <x:c r="Q2329" s="117" t="str">
        <x:v>Delegate</x:v>
      </x:c>
      <x:c r="R2329" s="117" t="str">
        <x:v>Product name from lead to opp</x:v>
      </x:c>
      <x:c r="S2329" s="119"/>
    </x:row>
    <x:row r="2330" ht="30" customHeight="1">
      <x:c r="A2330" s="117" t="str">
        <x:v>Product_name_from_lead_to_opp</x:v>
      </x:c>
      <x:c r="B2330" s="117" t="str">
        <x:v>3000B0000008l3gQAA</x:v>
      </x:c>
      <x:c r="C2330" s="117" t="str">
        <x:v>3015b000000EIG8AAO</x:v>
      </x:c>
      <x:c r="D2330" s="118" t="n">
        <x:v>9</x:v>
      </x:c>
      <x:c r="E2330" s="117" t="str">
        <x:v>Obsolete</x:v>
      </x:c>
      <x:c r="F2330" s="117" t="str">
        <x:v>No</x:v>
      </x:c>
      <x:c r="G2330" s="117" t="str">
        <x:v>No</x:v>
      </x:c>
      <x:c r="H2330" s="117" t="str">
        <x:v>Workflow</x:v>
      </x:c>
      <x:c r="I2330" s="118" t="n">
        <x:v>49</x:v>
      </x:c>
      <x:c r="J2330" s="117" t="str">
        <x:v>unmanaged</x:v>
      </x:c>
      <x:c r="K2330" s="123" t="b">
        <x:v>0</x:v>
      </x:c>
      <x:c r="L2330" s="117"/>
      <x:c r="M2330" s="118"/>
      <x:c r="N2330" s="120" t="n">
        <x:v>44631.55730324074</x:v>
      </x:c>
      <x:c r="O2330" s="117" t="str">
        <x:v>Delegate</x:v>
      </x:c>
      <x:c r="P2330" s="120" t="n">
        <x:v>44631.55737268519</x:v>
      </x:c>
      <x:c r="Q2330" s="117" t="str">
        <x:v>Delegate</x:v>
      </x:c>
      <x:c r="R2330" s="117" t="str">
        <x:v>PB: Contact</x:v>
      </x:c>
      <x:c r="S2330" s="119" t="str">
        <x:v>Added functionality to mark if lead is created in UK/EU</x:v>
      </x:c>
    </x:row>
    <x:row r="2331" ht="30" customHeight="1">
      <x:c r="A2331" s="117" t="str">
        <x:v>Product_name_from_lead_to_opp</x:v>
      </x:c>
      <x:c r="B2331" s="117" t="str">
        <x:v>3000B0000008l3gQAA</x:v>
      </x:c>
      <x:c r="C2331" s="117" t="str">
        <x:v>3015b000000A8hJAAS</x:v>
      </x:c>
      <x:c r="D2331" s="118" t="n">
        <x:v>10</x:v>
      </x:c>
      <x:c r="E2331" s="117" t="str">
        <x:v>Active</x:v>
      </x:c>
      <x:c r="F2331" s="117" t="str">
        <x:v>Yes</x:v>
      </x:c>
      <x:c r="G2331" s="117" t="str">
        <x:v>No</x:v>
      </x:c>
      <x:c r="H2331" s="117" t="str">
        <x:v>Workflow</x:v>
      </x:c>
      <x:c r="I2331" s="118" t="n">
        <x:v>49</x:v>
      </x:c>
      <x:c r="J2331" s="117" t="str">
        <x:v>unmanaged</x:v>
      </x:c>
      <x:c r="K2331" s="123" t="b">
        <x:v>0</x:v>
      </x:c>
      <x:c r="L2331" s="117"/>
      <x:c r="M2331" s="118"/>
      <x:c r="N2331" s="120" t="n">
        <x:v>44865.62133101852</x:v>
      </x:c>
      <x:c r="O2331" s="117" t="str">
        <x:v>Delegate</x:v>
      </x:c>
      <x:c r="P2331" s="120" t="n">
        <x:v>44865.62189814815</x:v>
      </x:c>
      <x:c r="Q2331" s="117" t="str">
        <x:v>Delegate</x:v>
      </x:c>
      <x:c r="R2331" s="117" t="str">
        <x:v>PB: Contact</x:v>
      </x:c>
      <x:c r="S2331" s="119" t="str">
        <x:v>Added functionality to mark if lead is created in UK/EU</x:v>
      </x:c>
    </x:row>
    <x:row r="2332" ht="30" customHeight="1">
      <x:c r="A2332" s="117" t="str">
        <x:v>Product_name_from_lead_to_opp</x:v>
      </x:c>
      <x:c r="B2332" s="117" t="str">
        <x:v>3000B0000008l3gQAA</x:v>
      </x:c>
      <x:c r="C2332" s="117" t="str">
        <x:v>3015b000000W17wAAC</x:v>
      </x:c>
      <x:c r="D2332" s="118" t="n">
        <x:v>11</x:v>
      </x:c>
      <x:c r="E2332" s="117" t="str">
        <x:v>Draft</x:v>
      </x:c>
      <x:c r="F2332" s="117" t="str">
        <x:v>No</x:v>
      </x:c>
      <x:c r="G2332" s="117" t="str">
        <x:v>Yes</x:v>
      </x:c>
      <x:c r="H2332" s="117" t="str">
        <x:v>Workflow</x:v>
      </x:c>
      <x:c r="I2332" s="118" t="n">
        <x:v>49</x:v>
      </x:c>
      <x:c r="J2332" s="117" t="str">
        <x:v>unmanaged</x:v>
      </x:c>
      <x:c r="K2332" s="123" t="b">
        <x:v>0</x:v>
      </x:c>
      <x:c r="L2332" s="117"/>
      <x:c r="M2332" s="118"/>
      <x:c r="N2332" s="120" t="n">
        <x:v>45014.83298611111</x:v>
      </x:c>
      <x:c r="O2332" s="117" t="str">
        <x:v>Jace Gentil</x:v>
      </x:c>
      <x:c r="P2332" s="120" t="n">
        <x:v>45014.833020833335</x:v>
      </x:c>
      <x:c r="Q2332" s="117" t="str">
        <x:v>Jace Gentil</x:v>
      </x:c>
      <x:c r="R2332" s="117" t="str">
        <x:v>PB: Contact</x:v>
      </x:c>
      <x:c r="S2332" s="119" t="str">
        <x:v>Added functionality to mark if lead is created in UK/EU</x:v>
      </x:c>
    </x:row>
    <x:row r="2333" ht="30" customHeight="1">
      <x:c r="A2333" s="117" t="str">
        <x:v>Product_On_Creation</x:v>
      </x:c>
      <x:c r="B2333" s="117" t="str">
        <x:v>300Ro000010uR0GIAU</x:v>
      </x:c>
      <x:c r="C2333" s="117" t="str">
        <x:v>301Ro000019ORMOIA4</x:v>
      </x:c>
      <x:c r="D2333" s="118" t="n">
        <x:v>1</x:v>
      </x:c>
      <x:c r="E2333" s="117" t="str">
        <x:v>Obsolete</x:v>
      </x:c>
      <x:c r="F2333" s="117" t="str">
        <x:v>No</x:v>
      </x:c>
      <x:c r="G2333" s="117" t="str">
        <x:v>No</x:v>
      </x:c>
      <x:c r="H2333" s="117" t="str">
        <x:v>AutoLaunchedFlow</x:v>
      </x:c>
      <x:c r="I2333" s="118" t="n">
        <x:v>66</x:v>
      </x:c>
      <x:c r="J2333" s="117" t="str">
        <x:v>unmanaged</x:v>
      </x:c>
      <x:c r="K2333" s="123" t="b">
        <x:v>0</x:v>
      </x:c>
      <x:c r="L2333" s="117"/>
      <x:c r="M2333" s="118"/>
      <x:c r="N2333" s="120" t="n">
        <x:v>46197.28706018518</x:v>
      </x:c>
      <x:c r="O2333" s="117" t="str">
        <x:v>Natalie Boger</x:v>
      </x:c>
      <x:c r="P2333" s="120" t="n">
        <x:v>46197.29996527778</x:v>
      </x:c>
      <x:c r="Q2333" s="117" t="str">
        <x:v>Natalie Boger</x:v>
      </x:c>
      <x:c r="R2333" s="117" t="str">
        <x:v>Product - On Creation</x:v>
      </x:c>
      <x:c r="S2333" s="119" t="str">
        <x:v>Converted original autolaunched "create generic asset..." flow to record-triggered flow. NB 06.15.26</x:v>
      </x:c>
    </x:row>
    <x:row r="2334" ht="30" customHeight="1">
      <x:c r="A2334" s="117" t="str">
        <x:v>Product_On_Creation</x:v>
      </x:c>
      <x:c r="B2334" s="117" t="str">
        <x:v>300Ro000010uR0GIAU</x:v>
      </x:c>
      <x:c r="C2334" s="117" t="str">
        <x:v>301Ro000019nSP4IAM</x:v>
      </x:c>
      <x:c r="D2334" s="118" t="n">
        <x:v>2</x:v>
      </x:c>
      <x:c r="E2334" s="117" t="str">
        <x:v>Active</x:v>
      </x:c>
      <x:c r="F2334" s="117" t="str">
        <x:v>Yes</x:v>
      </x:c>
      <x:c r="G2334" s="117" t="str">
        <x:v>Yes</x:v>
      </x:c>
      <x:c r="H2334" s="117" t="str">
        <x:v>AutoLaunchedFlow</x:v>
      </x:c>
      <x:c r="I2334" s="118" t="n">
        <x:v>66</x:v>
      </x:c>
      <x:c r="J2334" s="117" t="str">
        <x:v>unmanaged</x:v>
      </x:c>
      <x:c r="K2334" s="123" t="b">
        <x:v>0</x:v>
      </x:c>
      <x:c r="L2334" s="117"/>
      <x:c r="M2334" s="118"/>
      <x:c r="N2334" s="120" t="n">
        <x:v>46201.73767361111</x:v>
      </x:c>
      <x:c r="O2334" s="117" t="str">
        <x:v>Sacha Pearce</x:v>
      </x:c>
      <x:c r="P2334" s="120" t="n">
        <x:v>46201.73780092593</x:v>
      </x:c>
      <x:c r="Q2334" s="117" t="str">
        <x:v>Sacha Pearce</x:v>
      </x:c>
      <x:c r="R2334" s="117" t="str">
        <x:v>Product - On Creation</x:v>
      </x:c>
      <x:c r="S2334" s="119" t="str">
        <x:v>06/28/2026 - SP - Adding "Product Part Number" to the "Create Product Analytics" element.</x:v>
      </x:c>
    </x:row>
    <x:row r="2335" ht="30" customHeight="1">
      <x:c r="A2335" s="117" t="str">
        <x:v>Product_Repair_Line_Item_Deletion</x:v>
      </x:c>
      <x:c r="B2335" s="117" t="str">
        <x:v>300Ro00000degLSIAY</x:v>
      </x:c>
      <x:c r="C2335" s="117" t="str">
        <x:v>301Ro00000jLhbBIAS</x:v>
      </x:c>
      <x:c r="D2335" s="118" t="n">
        <x:v>1</x:v>
      </x:c>
      <x:c r="E2335" s="117" t="str">
        <x:v>Active</x:v>
      </x:c>
      <x:c r="F2335" s="117" t="str">
        <x:v>Yes</x:v>
      </x:c>
      <x:c r="G2335" s="117" t="str">
        <x:v>Yes</x:v>
      </x:c>
      <x:c r="H2335" s="117" t="str">
        <x:v>AutoLaunchedFlow</x:v>
      </x:c>
      <x:c r="I2335" s="118" t="n">
        <x:v>64</x:v>
      </x:c>
      <x:c r="J2335" s="117" t="str">
        <x:v>unmanaged</x:v>
      </x:c>
      <x:c r="K2335" s="123" t="b">
        <x:v>0</x:v>
      </x:c>
      <x:c r="L2335" s="117"/>
      <x:c r="M2335" s="118"/>
      <x:c r="N2335" s="120" t="n">
        <x:v>45894.18140046296</x:v>
      </x:c>
      <x:c r="O2335" s="117" t="str">
        <x:v>Natalie Boger</x:v>
      </x:c>
      <x:c r="P2335" s="120" t="n">
        <x:v>45894.18413194444</x:v>
      </x:c>
      <x:c r="Q2335" s="117" t="str">
        <x:v>Natalie Boger</x:v>
      </x:c>
      <x:c r="R2335" s="117" t="str">
        <x:v>Product Repair Line Item Deletion</x:v>
      </x:c>
      <x:c r="S2335" s="119"/>
    </x:row>
    <x:row r="2336" ht="30" customHeight="1">
      <x:c r="A2336" s="117" t="str">
        <x:v>Product_Scheduled_Build_Missing_Product_Analytics_Records</x:v>
      </x:c>
      <x:c r="B2336" s="117" t="str">
        <x:v>300Ro00000xFMPfIAO</x:v>
      </x:c>
      <x:c r="C2336" s="117" t="str">
        <x:v>301Ro000015QeCLIA0</x:v>
      </x:c>
      <x:c r="D2336" s="118" t="n">
        <x:v>1</x:v>
      </x:c>
      <x:c r="E2336" s="117" t="str">
        <x:v>Obsolete</x:v>
      </x:c>
      <x:c r="F2336" s="117" t="str">
        <x:v>No</x:v>
      </x:c>
      <x:c r="G2336" s="117" t="str">
        <x:v>Yes</x:v>
      </x:c>
      <x:c r="H2336" s="117" t="str">
        <x:v>AutoLaunchedFlow</x:v>
      </x:c>
      <x:c r="I2336" s="118" t="n">
        <x:v>66</x:v>
      </x:c>
      <x:c r="J2336" s="117" t="str">
        <x:v>unmanaged</x:v>
      </x:c>
      <x:c r="K2336" s="123" t="b">
        <x:v>0</x:v>
      </x:c>
      <x:c r="L2336" s="117"/>
      <x:c r="M2336" s="118"/>
      <x:c r="N2336" s="120" t="n">
        <x:v>46154.6105787037</x:v>
      </x:c>
      <x:c r="O2336" s="117" t="str">
        <x:v>Sacha Pearce</x:v>
      </x:c>
      <x:c r="P2336" s="120" t="n">
        <x:v>46154.6127662037</x:v>
      </x:c>
      <x:c r="Q2336" s="117" t="str">
        <x:v>Sacha Pearce</x:v>
      </x:c>
      <x:c r="R2336" s="117" t="str">
        <x:v>Product - Scheduled - Build Missing Product Analytics Records</x:v>
      </x:c>
      <x:c r="S2336" s="119"/>
    </x:row>
    <x:row r="2337" ht="30" customHeight="1">
      <x:c r="A2337" s="117" t="str">
        <x:v>ProductItem_Asynchronous_on_create_Estimated_Sales_Price_Roll_Up</x:v>
      </x:c>
      <x:c r="B2337" s="117" t="str">
        <x:v>300Ro00000yRspoIAC</x:v>
      </x:c>
      <x:c r="C2337" s="117" t="str">
        <x:v>301Ro000016jW3EIAU</x:v>
      </x:c>
      <x:c r="D2337" s="118" t="n">
        <x:v>1</x:v>
      </x:c>
      <x:c r="E2337" s="117" t="str">
        <x:v>Obsolete</x:v>
      </x:c>
      <x:c r="F2337" s="117" t="str">
        <x:v>No</x:v>
      </x:c>
      <x:c r="G2337" s="117" t="str">
        <x:v>No</x:v>
      </x:c>
      <x:c r="H2337" s="117" t="str">
        <x:v>AutoLaunchedFlow</x:v>
      </x:c>
      <x:c r="I2337" s="118" t="n">
        <x:v>57</x:v>
      </x:c>
      <x:c r="J2337" s="117" t="str">
        <x:v>unmanaged</x:v>
      </x:c>
      <x:c r="K2337" s="123" t="b">
        <x:v>0</x:v>
      </x:c>
      <x:c r="L2337" s="117"/>
      <x:c r="M2337" s="118"/>
      <x:c r="N2337" s="120" t="n">
        <x:v>46168.815567129626</x:v>
      </x:c>
      <x:c r="O2337" s="117" t="str">
        <x:v>Delegate</x:v>
      </x:c>
      <x:c r="P2337" s="120" t="n">
        <x:v>46168.902037037034</x:v>
      </x:c>
      <x:c r="Q2337" s="117" t="str">
        <x:v>Delegate</x:v>
      </x:c>
      <x:c r="R2337" s="117" t="str">
        <x:v>ProductItem | Asynchronous, on create, Estimated Sales Price Roll Up</x:v>
      </x:c>
      <x:c r="S2337" s="119" t="str">
        <x:v>05/26/26 (BW) – Replaces DLRS rule Estimated_Sales_Price_Roll_Up. On ProductItem create, sums Estimated_Sales_Price__c for the Purchasing Opportunity and writes the total to Opportunity.Estimated_Sales_Price__c.</x:v>
      </x:c>
    </x:row>
    <x:row r="2338" ht="30" customHeight="1">
      <x:c r="A2338" s="117" t="str">
        <x:v>ProductItem_Asynchronous_on_create_Estimated_Sales_Price_Roll_Up</x:v>
      </x:c>
      <x:c r="B2338" s="117" t="str">
        <x:v>300Ro00000yRspoIAC</x:v>
      </x:c>
      <x:c r="C2338" s="117" t="str">
        <x:v>301Ro000016o3jVIAQ</x:v>
      </x:c>
      <x:c r="D2338" s="118" t="n">
        <x:v>2</x:v>
      </x:c>
      <x:c r="E2338" s="117" t="str">
        <x:v>Obsolete</x:v>
      </x:c>
      <x:c r="F2338" s="117" t="str">
        <x:v>No</x:v>
      </x:c>
      <x:c r="G2338" s="117" t="str">
        <x:v>No</x:v>
      </x:c>
      <x:c r="H2338" s="117" t="str">
        <x:v>AutoLaunchedFlow</x:v>
      </x:c>
      <x:c r="I2338" s="118" t="n">
        <x:v>57</x:v>
      </x:c>
      <x:c r="J2338" s="117" t="str">
        <x:v>unmanaged</x:v>
      </x:c>
      <x:c r="K2338" s="123" t="b">
        <x:v>0</x:v>
      </x:c>
      <x:c r="L2338" s="117"/>
      <x:c r="M2338" s="118"/>
      <x:c r="N2338" s="120" t="n">
        <x:v>46169.49943287037</x:v>
      </x:c>
      <x:c r="O2338" s="117" t="str">
        <x:v>Delegate</x:v>
      </x:c>
      <x:c r="P2338" s="120" t="n">
        <x:v>46169.49952546296</x:v>
      </x:c>
      <x:c r="Q2338" s="117" t="str">
        <x:v>Delegate</x:v>
      </x:c>
      <x:c r="R2338" s="117" t="str">
        <x:v>ProductItem | Asynchronous, on create, Estimated Sales Price Roll Up</x:v>
      </x:c>
      <x:c r="S2338" s="119" t="str">
        <x:v>05/27/26 (BW) – Updating so the purchasing opportunity is not null</x:v>
      </x:c>
    </x:row>
    <x:row r="2339" ht="30" customHeight="1">
      <x:c r="A2339" s="117" t="str">
        <x:v>ProductItem_Asynchronous_on_create_Estimated_Sales_Price_Roll_Up</x:v>
      </x:c>
      <x:c r="B2339" s="117" t="str">
        <x:v>300Ro00000yRspoIAC</x:v>
      </x:c>
      <x:c r="C2339" s="117" t="str">
        <x:v>301Ro000016nzdhIAA</x:v>
      </x:c>
      <x:c r="D2339" s="118" t="n">
        <x:v>3</x:v>
      </x:c>
      <x:c r="E2339" s="117" t="str">
        <x:v>Active</x:v>
      </x:c>
      <x:c r="F2339" s="117" t="str">
        <x:v>Yes</x:v>
      </x:c>
      <x:c r="G2339" s="117" t="str">
        <x:v>Yes</x:v>
      </x:c>
      <x:c r="H2339" s="117" t="str">
        <x:v>AutoLaunchedFlow</x:v>
      </x:c>
      <x:c r="I2339" s="118" t="n">
        <x:v>57</x:v>
      </x:c>
      <x:c r="J2339" s="117" t="str">
        <x:v>unmanaged</x:v>
      </x:c>
      <x:c r="K2339" s="123" t="b">
        <x:v>0</x:v>
      </x:c>
      <x:c r="L2339" s="117"/>
      <x:c r="M2339" s="118"/>
      <x:c r="N2339" s="120" t="n">
        <x:v>46169.50181712963</x:v>
      </x:c>
      <x:c r="O2339" s="117" t="str">
        <x:v>Delegate</x:v>
      </x:c>
      <x:c r="P2339" s="120" t="n">
        <x:v>46169.50189814815</x:v>
      </x:c>
      <x:c r="Q2339" s="117" t="str">
        <x:v>Delegate</x:v>
      </x:c>
      <x:c r="R2339" s="117" t="str">
        <x:v>ProductItem | Asynchronous, on create, Estimated Sales Price Roll Up</x:v>
      </x:c>
      <x:c r="S2339" s="119" t="str">
        <x:v>05/27/26 (BW) – Updating so the purchasing opportunity is not null</x:v>
      </x:c>
    </x:row>
    <x:row r="2340" ht="30" customHeight="1">
      <x:c r="A2340" s="117" t="str">
        <x:v>ProductItem_Asynchronous_on_create_HWO_Total_Cost_Roll_Up</x:v>
      </x:c>
      <x:c r="B2340" s="117" t="str">
        <x:v>300Ro00000yTV5xIAG</x:v>
      </x:c>
      <x:c r="C2340" s="117" t="str">
        <x:v>301Ro000016kq7kIAA</x:v>
      </x:c>
      <x:c r="D2340" s="118" t="n">
        <x:v>1</x:v>
      </x:c>
      <x:c r="E2340" s="117" t="str">
        <x:v>Obsolete</x:v>
      </x:c>
      <x:c r="F2340" s="117" t="str">
        <x:v>No</x:v>
      </x:c>
      <x:c r="G2340" s="117" t="str">
        <x:v>No</x:v>
      </x:c>
      <x:c r="H2340" s="117" t="str">
        <x:v>AutoLaunchedFlow</x:v>
      </x:c>
      <x:c r="I2340" s="118" t="n">
        <x:v>57</x:v>
      </x:c>
      <x:c r="J2340" s="117" t="str">
        <x:v>unmanaged</x:v>
      </x:c>
      <x:c r="K2340" s="123" t="b">
        <x:v>0</x:v>
      </x:c>
      <x:c r="L2340" s="117"/>
      <x:c r="M2340" s="118"/>
      <x:c r="N2340" s="120" t="n">
        <x:v>46168.906493055554</x:v>
      </x:c>
      <x:c r="O2340" s="117" t="str">
        <x:v>Delegate</x:v>
      </x:c>
      <x:c r="P2340" s="120" t="n">
        <x:v>46168.91578703704</x:v>
      </x:c>
      <x:c r="Q2340" s="117" t="str">
        <x:v>Delegate</x:v>
      </x:c>
      <x:c r="R2340" s="117" t="str">
        <x:v>ProductItem | Asynchronous, on create, HWO Total Cost Roll Up</x:v>
      </x:c>
      <x:c r="S2340" s="119" t="str">
        <x:v>05/26/26 (BW) – Replaces DLRS rule HWO_Total_Cost. On ProductItem create, sums Cost__c for the Harvest Work Order and writes the total to Harvest_Work_Order__c.HWO_Total_Cost__c.</x:v>
      </x:c>
    </x:row>
    <x:row r="2341" ht="30" customHeight="1">
      <x:c r="A2341" s="117" t="str">
        <x:v>ProductItem_Asynchronous_on_create_HWO_Total_Cost_Roll_Up</x:v>
      </x:c>
      <x:c r="B2341" s="117" t="str">
        <x:v>300Ro00000yTV5xIAG</x:v>
      </x:c>
      <x:c r="C2341" s="117" t="str">
        <x:v>301Ro000016nTo8IAE</x:v>
      </x:c>
      <x:c r="D2341" s="118" t="n">
        <x:v>2</x:v>
      </x:c>
      <x:c r="E2341" s="117" t="str">
        <x:v>Obsolete</x:v>
      </x:c>
      <x:c r="F2341" s="117" t="str">
        <x:v>No</x:v>
      </x:c>
      <x:c r="G2341" s="117" t="str">
        <x:v>No</x:v>
      </x:c>
      <x:c r="H2341" s="117" t="str">
        <x:v>AutoLaunchedFlow</x:v>
      </x:c>
      <x:c r="I2341" s="118" t="n">
        <x:v>57</x:v>
      </x:c>
      <x:c r="J2341" s="117" t="str">
        <x:v>unmanaged</x:v>
      </x:c>
      <x:c r="K2341" s="123" t="b">
        <x:v>0</x:v>
      </x:c>
      <x:c r="L2341" s="117"/>
      <x:c r="M2341" s="118"/>
      <x:c r="N2341" s="120" t="n">
        <x:v>46169.49763888889</x:v>
      </x:c>
      <x:c r="O2341" s="117" t="str">
        <x:v>Delegate</x:v>
      </x:c>
      <x:c r="P2341" s="120" t="n">
        <x:v>46169.49769675926</x:v>
      </x:c>
      <x:c r="Q2341" s="117" t="str">
        <x:v>Delegate</x:v>
      </x:c>
      <x:c r="R2341" s="117" t="str">
        <x:v>ProductItem | Asynchronous, on create, HWO Total Cost Roll Up</x:v>
      </x:c>
      <x:c r="S2341" s="119" t="str">
        <x:v>05/26/26 (GD) - Stops this from firing if the Harvest Work Order is Null</x:v>
      </x:c>
    </x:row>
    <x:row r="2342" ht="30" customHeight="1">
      <x:c r="A2342" s="117" t="str">
        <x:v>ProductItem_Asynchronous_on_create_HWO_Total_Cost_Roll_Up</x:v>
      </x:c>
      <x:c r="B2342" s="117" t="str">
        <x:v>300Ro00000yTV5xIAG</x:v>
      </x:c>
      <x:c r="C2342" s="117" t="str">
        <x:v>301Ro000016o66IIAQ</x:v>
      </x:c>
      <x:c r="D2342" s="118" t="n">
        <x:v>3</x:v>
      </x:c>
      <x:c r="E2342" s="117" t="str">
        <x:v>Active</x:v>
      </x:c>
      <x:c r="F2342" s="117" t="str">
        <x:v>Yes</x:v>
      </x:c>
      <x:c r="G2342" s="117" t="str">
        <x:v>Yes</x:v>
      </x:c>
      <x:c r="H2342" s="117" t="str">
        <x:v>AutoLaunchedFlow</x:v>
      </x:c>
      <x:c r="I2342" s="118" t="n">
        <x:v>57</x:v>
      </x:c>
      <x:c r="J2342" s="117" t="str">
        <x:v>unmanaged</x:v>
      </x:c>
      <x:c r="K2342" s="123" t="b">
        <x:v>0</x:v>
      </x:c>
      <x:c r="L2342" s="117"/>
      <x:c r="M2342" s="118"/>
      <x:c r="N2342" s="120" t="n">
        <x:v>46169.50655092593</x:v>
      </x:c>
      <x:c r="O2342" s="117" t="str">
        <x:v>Delegate</x:v>
      </x:c>
      <x:c r="P2342" s="120" t="n">
        <x:v>46169.50664351852</x:v>
      </x:c>
      <x:c r="Q2342" s="117" t="str">
        <x:v>Delegate</x:v>
      </x:c>
      <x:c r="R2342" s="117" t="str">
        <x:v>ProductItem | Asynchronous, on create, HWO Total Cost Roll Up</x:v>
      </x:c>
      <x:c r="S2342" s="119" t="str">
        <x:v>05/27/26 (GD) - Stops this from firing if the Harvest Work Order is Null</x:v>
      </x:c>
    </x:row>
    <x:row r="2343" ht="30" customHeight="1">
      <x:c r="A2343" s="117" t="str">
        <x:v>ProductItem_Asynchronous_on_create_HWO_Total_Revenue_Roll_Up</x:v>
      </x:c>
      <x:c r="B2343" s="117" t="str">
        <x:v>300Ro00000yTWmlIAG</x:v>
      </x:c>
      <x:c r="C2343" s="117" t="str">
        <x:v>301Ro000016kzfgIAA</x:v>
      </x:c>
      <x:c r="D2343" s="118" t="n">
        <x:v>1</x:v>
      </x:c>
      <x:c r="E2343" s="117" t="str">
        <x:v>Obsolete</x:v>
      </x:c>
      <x:c r="F2343" s="117" t="str">
        <x:v>No</x:v>
      </x:c>
      <x:c r="G2343" s="117" t="str">
        <x:v>No</x:v>
      </x:c>
      <x:c r="H2343" s="117" t="str">
        <x:v>AutoLaunchedFlow</x:v>
      </x:c>
      <x:c r="I2343" s="118" t="n">
        <x:v>57</x:v>
      </x:c>
      <x:c r="J2343" s="117" t="str">
        <x:v>unmanaged</x:v>
      </x:c>
      <x:c r="K2343" s="123" t="b">
        <x:v>0</x:v>
      </x:c>
      <x:c r="L2343" s="117"/>
      <x:c r="M2343" s="118"/>
      <x:c r="N2343" s="120" t="n">
        <x:v>46168.91930555556</x:v>
      </x:c>
      <x:c r="O2343" s="117" t="str">
        <x:v>Delegate</x:v>
      </x:c>
      <x:c r="P2343" s="120" t="n">
        <x:v>46168.92391203704</x:v>
      </x:c>
      <x:c r="Q2343" s="117" t="str">
        <x:v>Delegate</x:v>
      </x:c>
      <x:c r="R2343" s="117" t="str">
        <x:v>ProductItem | Asynchronous, on create, HWO Total Revenue Roll Up</x:v>
      </x:c>
      <x:c r="S2343" s="119" t="str">
        <x:v>05/26/26 (BW) – Replaces DLRS rule HWO_Total_Price. On ProductItem create, sums Sales_Price__c for the Harvest Work Order and writes the total to Harvest_Work_Order__c.HWO_Total_Revenue__c.</x:v>
      </x:c>
    </x:row>
    <x:row r="2344" ht="30" customHeight="1">
      <x:c r="A2344" s="117" t="str">
        <x:v>ProductItem_Asynchronous_on_create_HWO_Total_Revenue_Roll_Up</x:v>
      </x:c>
      <x:c r="B2344" s="117" t="str">
        <x:v>300Ro00000yTWmlIAG</x:v>
      </x:c>
      <x:c r="C2344" s="117" t="str">
        <x:v>301Ro000016nlMrIAI</x:v>
      </x:c>
      <x:c r="D2344" s="118" t="n">
        <x:v>2</x:v>
      </x:c>
      <x:c r="E2344" s="117" t="str">
        <x:v>Obsolete</x:v>
      </x:c>
      <x:c r="F2344" s="117" t="str">
        <x:v>No</x:v>
      </x:c>
      <x:c r="G2344" s="117" t="str">
        <x:v>No</x:v>
      </x:c>
      <x:c r="H2344" s="117" t="str">
        <x:v>AutoLaunchedFlow</x:v>
      </x:c>
      <x:c r="I2344" s="118" t="n">
        <x:v>57</x:v>
      </x:c>
      <x:c r="J2344" s="117" t="str">
        <x:v>unmanaged</x:v>
      </x:c>
      <x:c r="K2344" s="123" t="b">
        <x:v>0</x:v>
      </x:c>
      <x:c r="L2344" s="117"/>
      <x:c r="M2344" s="118"/>
      <x:c r="N2344" s="120" t="n">
        <x:v>46169.50083333333</x:v>
      </x:c>
      <x:c r="O2344" s="117" t="str">
        <x:v>Delegate</x:v>
      </x:c>
      <x:c r="P2344" s="120" t="n">
        <x:v>46169.50087962963</x:v>
      </x:c>
      <x:c r="Q2344" s="117" t="str">
        <x:v>Delegate</x:v>
      </x:c>
      <x:c r="R2344" s="117" t="str">
        <x:v>ProductItem | Asynchronous, on create, HWO Total Revenue Roll Up</x:v>
      </x:c>
      <x:c r="S2344" s="119" t="str">
        <x:v>05/27/26 (BW) - Updating so the Harvest Work Order can not be null</x:v>
      </x:c>
    </x:row>
    <x:row r="2345" ht="30" customHeight="1">
      <x:c r="A2345" s="117" t="str">
        <x:v>ProductItem_Asynchronous_on_create_HWO_Total_Revenue_Roll_Up</x:v>
      </x:c>
      <x:c r="B2345" s="117" t="str">
        <x:v>300Ro00000yTWmlIAG</x:v>
      </x:c>
      <x:c r="C2345" s="117" t="str">
        <x:v>301Ro000016ndqgIAA</x:v>
      </x:c>
      <x:c r="D2345" s="118" t="n">
        <x:v>3</x:v>
      </x:c>
      <x:c r="E2345" s="117" t="str">
        <x:v>Active</x:v>
      </x:c>
      <x:c r="F2345" s="117" t="str">
        <x:v>Yes</x:v>
      </x:c>
      <x:c r="G2345" s="117" t="str">
        <x:v>Yes</x:v>
      </x:c>
      <x:c r="H2345" s="117" t="str">
        <x:v>AutoLaunchedFlow</x:v>
      </x:c>
      <x:c r="I2345" s="118" t="n">
        <x:v>57</x:v>
      </x:c>
      <x:c r="J2345" s="117" t="str">
        <x:v>unmanaged</x:v>
      </x:c>
      <x:c r="K2345" s="123" t="b">
        <x:v>0</x:v>
      </x:c>
      <x:c r="L2345" s="117"/>
      <x:c r="M2345" s="118"/>
      <x:c r="N2345" s="120" t="n">
        <x:v>46169.50548611111</x:v>
      </x:c>
      <x:c r="O2345" s="117" t="str">
        <x:v>Delegate</x:v>
      </x:c>
      <x:c r="P2345" s="120" t="n">
        <x:v>46169.505590277775</x:v>
      </x:c>
      <x:c r="Q2345" s="117" t="str">
        <x:v>Delegate</x:v>
      </x:c>
      <x:c r="R2345" s="117" t="str">
        <x:v>ProductItem | Asynchronous, on create, HWO Total Revenue Roll Up</x:v>
      </x:c>
      <x:c r="S2345" s="119" t="str">
        <x:v>05/27/26 (BW) - Updating so the Harvest Work Order can not be null</x:v>
      </x:c>
    </x:row>
    <x:row r="2346" ht="30" customHeight="1">
      <x:c r="A2346" s="117" t="str">
        <x:v>ProductItem_Asynchronous_on_create_Item_Receipt_Amount_Roll_Up</x:v>
      </x:c>
      <x:c r="B2346" s="117" t="str">
        <x:v>300Ro00000yXXXJIA4</x:v>
      </x:c>
      <x:c r="C2346" s="117" t="str">
        <x:v>301Ro000016pTSEIA2</x:v>
      </x:c>
      <x:c r="D2346" s="118" t="n">
        <x:v>1</x:v>
      </x:c>
      <x:c r="E2346" s="117" t="str">
        <x:v>Active</x:v>
      </x:c>
      <x:c r="F2346" s="117" t="str">
        <x:v>Yes</x:v>
      </x:c>
      <x:c r="G2346" s="117" t="str">
        <x:v>Yes</x:v>
      </x:c>
      <x:c r="H2346" s="117" t="str">
        <x:v>AutoLaunchedFlow</x:v>
      </x:c>
      <x:c r="I2346" s="118" t="n">
        <x:v>62</x:v>
      </x:c>
      <x:c r="J2346" s="117" t="str">
        <x:v>unmanaged</x:v>
      </x:c>
      <x:c r="K2346" s="123" t="b">
        <x:v>0</x:v>
      </x:c>
      <x:c r="L2346" s="117"/>
      <x:c r="M2346" s="118"/>
      <x:c r="N2346" s="120" t="n">
        <x:v>46169.63831018518</x:v>
      </x:c>
      <x:c r="O2346" s="117" t="str">
        <x:v>Delegate</x:v>
      </x:c>
      <x:c r="P2346" s="120" t="n">
        <x:v>46169.80960648148</x:v>
      </x:c>
      <x:c r="Q2346" s="117" t="str">
        <x:v>Delegate</x:v>
      </x:c>
      <x:c r="R2346" s="117" t="str">
        <x:v>ProductItem | Asynchronous, on create, Item Receipt Amount Roll Up</x:v>
      </x:c>
      <x:c r="S2346" s="119" t="str">
        <x:v>05/27/26 (BW) – Replaces DLRS Item_Receipt_Amount rule. Sums ProductItem__c.Cost__c onto Item_Receipt__c.Item_Receipt_Amount__c when a ProductItem is created. Item_Receipt_Is_Null_Check decision prevents SOQL when Item_Receipt__c is blank.</x:v>
      </x:c>
    </x:row>
    <x:row r="2347" ht="30" customHeight="1">
      <x:c r="A2347" s="117" t="str">
        <x:v>ProductItem_Asynchronous_on_create_Loaner_Asset_Number_Roll_Up</x:v>
      </x:c>
      <x:c r="B2347" s="117" t="str">
        <x:v>300Ro00000zEWo5IAG</x:v>
      </x:c>
      <x:c r="C2347" s="117" t="str">
        <x:v>301Ro000017ZP3qIAG</x:v>
      </x:c>
      <x:c r="D2347" s="118" t="n">
        <x:v>1</x:v>
      </x:c>
      <x:c r="E2347" s="117" t="str">
        <x:v>Active</x:v>
      </x:c>
      <x:c r="F2347" s="117" t="str">
        <x:v>Yes</x:v>
      </x:c>
      <x:c r="G2347" s="117" t="str">
        <x:v>Yes</x:v>
      </x:c>
      <x:c r="H2347" s="117" t="str">
        <x:v>AutoLaunchedFlow</x:v>
      </x:c>
      <x:c r="I2347" s="118" t="n">
        <x:v>62</x:v>
      </x:c>
      <x:c r="J2347" s="117" t="str">
        <x:v>unmanaged</x:v>
      </x:c>
      <x:c r="K2347" s="123" t="b">
        <x:v>0</x:v>
      </x:c>
      <x:c r="L2347" s="117"/>
      <x:c r="M2347" s="118"/>
      <x:c r="N2347" s="120" t="n">
        <x:v>46177.11783564815</x:v>
      </x:c>
      <x:c r="O2347" s="117" t="str">
        <x:v>Delegate</x:v>
      </x:c>
      <x:c r="P2347" s="120" t="n">
        <x:v>46177.12162037037</x:v>
      </x:c>
      <x:c r="Q2347" s="117" t="str">
        <x:v>Delegate</x:v>
      </x:c>
      <x:c r="R2347" s="117" t="str">
        <x:v>ProductItem | Asynchronous, on create, Loaner Asset Number Roll Up</x:v>
      </x:c>
      <x:c r="S2347" s="119" t="str">
        <x:v>06/03/26 (GD) – Replaces DLRS Roll_Up_Asset_Numbers_to_Loaner rule on create. Concatenates distinct ProductItem__c.Name values onto Loaner__c.Loaner_Asset__c when a ProductItem is created with a Loaner. Entry criteria and Loaner_Is_Null_Check prevent SOQL when Loaner__c is blank. Writes null when result is empty.</x:v>
      </x:c>
    </x:row>
    <x:row r="2348" ht="30" customHeight="1">
      <x:c r="A2348" s="117" t="str">
        <x:v>ProductItem_Asynchronous_on_create_Loaner_Location_Roll_Up</x:v>
      </x:c>
      <x:c r="B2348" s="117" t="str">
        <x:v>300Ro00000yYvjAIAS</x:v>
      </x:c>
      <x:c r="C2348" s="117" t="str">
        <x:v>301Ro000016rOuhIAE</x:v>
      </x:c>
      <x:c r="D2348" s="118" t="n">
        <x:v>1</x:v>
      </x:c>
      <x:c r="E2348" s="117" t="str">
        <x:v>Obsolete</x:v>
      </x:c>
      <x:c r="F2348" s="117" t="str">
        <x:v>No</x:v>
      </x:c>
      <x:c r="G2348" s="117" t="str">
        <x:v>No</x:v>
      </x:c>
      <x:c r="H2348" s="117" t="str">
        <x:v>AutoLaunchedFlow</x:v>
      </x:c>
      <x:c r="I2348" s="118" t="n">
        <x:v>62</x:v>
      </x:c>
      <x:c r="J2348" s="117" t="str">
        <x:v>unmanaged</x:v>
      </x:c>
      <x:c r="K2348" s="123" t="b">
        <x:v>0</x:v>
      </x:c>
      <x:c r="L2348" s="117"/>
      <x:c r="M2348" s="118"/>
      <x:c r="N2348" s="120" t="n">
        <x:v>46169.85539351852</x:v>
      </x:c>
      <x:c r="O2348" s="117" t="str">
        <x:v>Delegate</x:v>
      </x:c>
      <x:c r="P2348" s="120" t="n">
        <x:v>46170.59819444444</x:v>
      </x:c>
      <x:c r="Q2348" s="117" t="str">
        <x:v>Delegate</x:v>
      </x:c>
      <x:c r="R2348" s="117" t="str">
        <x:v>ProductItem | Asynchronous, on create, Loaner Location Roll Up</x:v>
      </x:c>
      <x:c r="S2348" s="119" t="str">
        <x:v>05/27/26 (GD) – Replaces DLRS Loaner_Location rule. Adds distinct ProductItem__c.Location__c onto Loaner__c.Loaner_Location__c when a ProductItem is created. Loaner_Is_Null_Check decision prevents SOQL when Loaner__c is blank.</x:v>
      </x:c>
    </x:row>
    <x:row r="2349" ht="30" customHeight="1">
      <x:c r="A2349" s="117" t="str">
        <x:v>ProductItem_Asynchronous_on_create_Loaner_Location_Roll_Up</x:v>
      </x:c>
      <x:c r="B2349" s="117" t="str">
        <x:v>300Ro00000yYvjAIAS</x:v>
      </x:c>
      <x:c r="C2349" s="117" t="str">
        <x:v>301Ro000017IaAAIA0</x:v>
      </x:c>
      <x:c r="D2349" s="118" t="n">
        <x:v>2</x:v>
      </x:c>
      <x:c r="E2349" s="117" t="str">
        <x:v>Active</x:v>
      </x:c>
      <x:c r="F2349" s="117" t="str">
        <x:v>Yes</x:v>
      </x:c>
      <x:c r="G2349" s="117" t="str">
        <x:v>Yes</x:v>
      </x:c>
      <x:c r="H2349" s="117" t="str">
        <x:v>AutoLaunchedFlow</x:v>
      </x:c>
      <x:c r="I2349" s="118" t="n">
        <x:v>62</x:v>
      </x:c>
      <x:c r="J2349" s="117" t="str">
        <x:v>unmanaged</x:v>
      </x:c>
      <x:c r="K2349" s="123" t="b">
        <x:v>0</x:v>
      </x:c>
      <x:c r="L2349" s="117"/>
      <x:c r="M2349" s="118"/>
      <x:c r="N2349" s="120" t="n">
        <x:v>46174.797789351855</x:v>
      </x:c>
      <x:c r="O2349" s="117" t="str">
        <x:v>Delegate</x:v>
      </x:c>
      <x:c r="P2349" s="120" t="n">
        <x:v>46174.802083333336</x:v>
      </x:c>
      <x:c r="Q2349" s="117" t="str">
        <x:v>Delegate</x:v>
      </x:c>
      <x:c r="R2349" s="117" t="str">
        <x:v>ProductItem | Asynchronous, on create, Loaner Location Roll Up</x:v>
      </x:c>
      <x:c r="S2349" s="119" t="str">
        <x:v>05/27/26 (GD) – Replaces DLRS Loaner_Location rule. Adds distinct ProductItem__c.Location__c onto Loaner__c.Loaner_Location__c when a ProductItem is created. Loaner_Is_Null_Check decision prevents SOQL when Loaner__c is blank.
06/01/26 (GD) – Added Loaner__c IsNull false entry criteria to prevent async scheduling on every ProductItem create when no Loaner is set.</x:v>
      </x:c>
    </x:row>
    <x:row r="2350" ht="30" customHeight="1">
      <x:c r="A2350" s="117" t="str">
        <x:v>ProductItem_Asynchronous_on_create_Loaner_Serial_Number_Roll_Up</x:v>
      </x:c>
      <x:c r="B2350" s="117" t="str">
        <x:v>300Ro00000ydLwWIAU</x:v>
      </x:c>
      <x:c r="C2350" s="117" t="str">
        <x:v>301Ro000016vt76IAA</x:v>
      </x:c>
      <x:c r="D2350" s="118" t="n">
        <x:v>1</x:v>
      </x:c>
      <x:c r="E2350" s="117" t="str">
        <x:v>Obsolete</x:v>
      </x:c>
      <x:c r="F2350" s="117" t="str">
        <x:v>No</x:v>
      </x:c>
      <x:c r="G2350" s="117" t="str">
        <x:v>No</x:v>
      </x:c>
      <x:c r="H2350" s="117" t="str">
        <x:v>AutoLaunchedFlow</x:v>
      </x:c>
      <x:c r="I2350" s="118" t="n">
        <x:v>62</x:v>
      </x:c>
      <x:c r="J2350" s="117" t="str">
        <x:v>unmanaged</x:v>
      </x:c>
      <x:c r="K2350" s="123" t="b">
        <x:v>0</x:v>
      </x:c>
      <x:c r="L2350" s="117"/>
      <x:c r="M2350" s="118"/>
      <x:c r="N2350" s="120" t="n">
        <x:v>46170.60847222222</x:v>
      </x:c>
      <x:c r="O2350" s="117" t="str">
        <x:v>Delegate</x:v>
      </x:c>
      <x:c r="P2350" s="120" t="n">
        <x:v>46170.615266203706</x:v>
      </x:c>
      <x:c r="Q2350" s="117" t="str">
        <x:v>Delegate</x:v>
      </x:c>
      <x:c r="R2350" s="117" t="str">
        <x:v>ProductItem | Asynchronous, on create, Loaner Serial Number Roll Up</x:v>
      </x:c>
      <x:c r="S2350" s="119" t="str">
        <x:v>05/28/26 (GD) – Replaces DLRS Loaner_Serial_Number rule. Concatenates ProductItem__c.Serial_No__c onto Loaner__c.Loaner_Serial__c when a ProductItem is created. Loaner_Is_Null_Check decision prevents SOQL when Loaner__c is blank.</x:v>
      </x:c>
    </x:row>
    <x:row r="2351" ht="30" customHeight="1">
      <x:c r="A2351" s="117" t="str">
        <x:v>ProductItem_Asynchronous_on_create_Loaner_Serial_Number_Roll_Up</x:v>
      </x:c>
      <x:c r="B2351" s="117" t="str">
        <x:v>300Ro00000ydLwWIAU</x:v>
      </x:c>
      <x:c r="C2351" s="117" t="str">
        <x:v>301Ro000017IaABIA0</x:v>
      </x:c>
      <x:c r="D2351" s="118" t="n">
        <x:v>2</x:v>
      </x:c>
      <x:c r="E2351" s="117" t="str">
        <x:v>Active</x:v>
      </x:c>
      <x:c r="F2351" s="117" t="str">
        <x:v>Yes</x:v>
      </x:c>
      <x:c r="G2351" s="117" t="str">
        <x:v>Yes</x:v>
      </x:c>
      <x:c r="H2351" s="117" t="str">
        <x:v>AutoLaunchedFlow</x:v>
      </x:c>
      <x:c r="I2351" s="118" t="n">
        <x:v>62</x:v>
      </x:c>
      <x:c r="J2351" s="117" t="str">
        <x:v>unmanaged</x:v>
      </x:c>
      <x:c r="K2351" s="123" t="b">
        <x:v>0</x:v>
      </x:c>
      <x:c r="L2351" s="117"/>
      <x:c r="M2351" s="118"/>
      <x:c r="N2351" s="120" t="n">
        <x:v>46174.79785879629</x:v>
      </x:c>
      <x:c r="O2351" s="117" t="str">
        <x:v>Delegate</x:v>
      </x:c>
      <x:c r="P2351" s="120" t="n">
        <x:v>46174.802511574075</x:v>
      </x:c>
      <x:c r="Q2351" s="117" t="str">
        <x:v>Delegate</x:v>
      </x:c>
      <x:c r="R2351" s="117" t="str">
        <x:v>ProductItem | Asynchronous, on create, Loaner Serial Number Roll Up</x:v>
      </x:c>
      <x:c r="S2351" s="119" t="str">
        <x:v>05/28/26 (GD) – Replaces DLRS Loaner_Serial_Number rule. Concatenates ProductItem__c.Serial_No__c onto Loaner__c.Loaner_Serial__c when a ProductItem is created. Loaner_Is_Null_Check decision prevents SOQL when Loaner__c is blank.
06/01/26 (GD) – Added Loaner__c IsNull false entry criteria to prevent async scheduling on every ProductItem create when no Loaner is set.</x:v>
      </x:c>
    </x:row>
    <x:row r="2352" ht="30" customHeight="1">
      <x:c r="A2352" s="117" t="str">
        <x:v>ProductItem_Asynchronous_on_create_Max_Bid_Roll_Up</x:v>
      </x:c>
      <x:c r="B2352" s="117" t="str">
        <x:v>300Ro00000ye8igIAA</x:v>
      </x:c>
      <x:c r="C2352" s="117" t="str">
        <x:v>301Ro000016wZz9IAE</x:v>
      </x:c>
      <x:c r="D2352" s="118" t="n">
        <x:v>1</x:v>
      </x:c>
      <x:c r="E2352" s="117" t="str">
        <x:v>Active</x:v>
      </x:c>
      <x:c r="F2352" s="117" t="str">
        <x:v>Yes</x:v>
      </x:c>
      <x:c r="G2352" s="117" t="str">
        <x:v>Yes</x:v>
      </x:c>
      <x:c r="H2352" s="117" t="str">
        <x:v>AutoLaunchedFlow</x:v>
      </x:c>
      <x:c r="I2352" s="118" t="n">
        <x:v>57</x:v>
      </x:c>
      <x:c r="J2352" s="117" t="str">
        <x:v>unmanaged</x:v>
      </x:c>
      <x:c r="K2352" s="123" t="b">
        <x:v>0</x:v>
      </x:c>
      <x:c r="L2352" s="117"/>
      <x:c r="M2352" s="118"/>
      <x:c r="N2352" s="120" t="n">
        <x:v>46170.62844907407</x:v>
      </x:c>
      <x:c r="O2352" s="117" t="str">
        <x:v>Delegate</x:v>
      </x:c>
      <x:c r="P2352" s="120" t="n">
        <x:v>46170.6294212963</x:v>
      </x:c>
      <x:c r="Q2352" s="117" t="str">
        <x:v>Delegate</x:v>
      </x:c>
      <x:c r="R2352" s="117" t="str">
        <x:v>ProductItem | Asynchronous, on create, Max Bid Roll Up</x:v>
      </x:c>
      <x:c r="S2352" s="119" t="str">
        <x:v>05/28/26 (GD) – Created to replace the DLRS Max_Bid rollup (on create). Fires async after ProductItem__c create. Sums Max_Bid__c across all ProductItems on the Purchasing Opportunity and writes the total to Opportunity.Max_Bid__c.</x:v>
      </x:c>
    </x:row>
    <x:row r="2353" ht="30" customHeight="1">
      <x:c r="A2353" s="117" t="str">
        <x:v>ProductItem_Asynchronous_on_create_NumberCheckedIn_PO_Roll_Up</x:v>
      </x:c>
      <x:c r="B2353" s="117" t="str">
        <x:v>300Ro00000yeuH3IAI</x:v>
      </x:c>
      <x:c r="C2353" s="117" t="str">
        <x:v>301Ro000016xMq9IAE</x:v>
      </x:c>
      <x:c r="D2353" s="118" t="n">
        <x:v>1</x:v>
      </x:c>
      <x:c r="E2353" s="117" t="str">
        <x:v>Active</x:v>
      </x:c>
      <x:c r="F2353" s="117" t="str">
        <x:v>Yes</x:v>
      </x:c>
      <x:c r="G2353" s="117" t="str">
        <x:v>Yes</x:v>
      </x:c>
      <x:c r="H2353" s="117" t="str">
        <x:v>AutoLaunchedFlow</x:v>
      </x:c>
      <x:c r="I2353" s="118" t="n">
        <x:v>66</x:v>
      </x:c>
      <x:c r="J2353" s="117" t="str">
        <x:v>unmanaged</x:v>
      </x:c>
      <x:c r="K2353" s="123" t="b">
        <x:v>0</x:v>
      </x:c>
      <x:c r="L2353" s="117"/>
      <x:c r="M2353" s="118"/>
      <x:c r="N2353" s="120" t="n">
        <x:v>46170.64787037037</x:v>
      </x:c>
      <x:c r="O2353" s="117" t="str">
        <x:v>Delegate</x:v>
      </x:c>
      <x:c r="P2353" s="120" t="n">
        <x:v>46170.65025462963</x:v>
      </x:c>
      <x:c r="Q2353" s="117" t="str">
        <x:v>Delegate</x:v>
      </x:c>
      <x:c r="R2353" s="117" t="str">
        <x:v>ProductItem | Asynchronous, on create, Number of Checked In Items PO Roll Up</x:v>
      </x:c>
      <x:c r="S2353" s="119" t="str">
        <x:v>05/28/26 (GD) – Replaces DLRS rule NumberOfCheckedInItemsPO. On ProductItem creation, counts all ProductItems related to the Purchasing Opportunity and writes the total to Opportunity.Number_of_Checked_In_Items__c.</x:v>
      </x:c>
    </x:row>
    <x:row r="2354" ht="30" customHeight="1">
      <x:c r="A2354" s="117" t="str">
        <x:v>ProductItem_Asynchronous_on_create_Pur_Op_Total_Cost_of_Unsold_Assets_Roll_Up</x:v>
      </x:c>
      <x:c r="B2354" s="117" t="str">
        <x:v>300Ro00000yyHEnIAM</x:v>
      </x:c>
      <x:c r="C2354" s="117" t="str">
        <x:v>301Ro000017I0oGIAS</x:v>
      </x:c>
      <x:c r="D2354" s="118" t="n">
        <x:v>1</x:v>
      </x:c>
      <x:c r="E2354" s="117" t="str">
        <x:v>Active</x:v>
      </x:c>
      <x:c r="F2354" s="117" t="str">
        <x:v>Yes</x:v>
      </x:c>
      <x:c r="G2354" s="117" t="str">
        <x:v>Yes</x:v>
      </x:c>
      <x:c r="H2354" s="117" t="str">
        <x:v>AutoLaunchedFlow</x:v>
      </x:c>
      <x:c r="I2354" s="118" t="n">
        <x:v>62</x:v>
      </x:c>
      <x:c r="J2354" s="117" t="str">
        <x:v>unmanaged</x:v>
      </x:c>
      <x:c r="K2354" s="123" t="b">
        <x:v>0</x:v>
      </x:c>
      <x:c r="L2354" s="117"/>
      <x:c r="M2354" s="118"/>
      <x:c r="N2354" s="120" t="n">
        <x:v>46174.82045138889</x:v>
      </x:c>
      <x:c r="O2354" s="117" t="str">
        <x:v>Delegate</x:v>
      </x:c>
      <x:c r="P2354" s="120" t="n">
        <x:v>46174.88429398148</x:v>
      </x:c>
      <x:c r="Q2354" s="117" t="str">
        <x:v>Delegate</x:v>
      </x:c>
      <x:c r="R2354" s="117" t="str">
        <x:v>ProductItem | Asynchronous, on create, Pur Op Total Cost of Unsold Assets Roll Up</x:v>
      </x:c>
      <x:c r="S2354" s="119" t="str">
        <x:v>06/01/26 (GD) – Replaces DLRS TotalCostOfUnsoldAssetsPurchasing rule. On create, sums ProductItem__c.Cost__c where Sold__c = false onto Opportunity.Total_Cost_of_Unsold_Assets__c via Purchasing_Opportunity__c. Runs async after commit.</x:v>
      </x:c>
    </x:row>
    <x:row r="2355" ht="30" customHeight="1">
      <x:c r="A2355" s="117" t="str">
        <x:v>ProductItem_Asynchronous_on_create_Pur_Op_Total_Cost_Roll_Up</x:v>
      </x:c>
      <x:c r="B2355" s="117" t="str">
        <x:v>300Ro00000yyBCYIA2</x:v>
      </x:c>
      <x:c r="C2355" s="117" t="str">
        <x:v>301Ro000017Hi4xIAC</x:v>
      </x:c>
      <x:c r="D2355" s="118" t="n">
        <x:v>1</x:v>
      </x:c>
      <x:c r="E2355" s="117" t="str">
        <x:v>Active</x:v>
      </x:c>
      <x:c r="F2355" s="117" t="str">
        <x:v>Yes</x:v>
      </x:c>
      <x:c r="G2355" s="117" t="str">
        <x:v>Yes</x:v>
      </x:c>
      <x:c r="H2355" s="117" t="str">
        <x:v>AutoLaunchedFlow</x:v>
      </x:c>
      <x:c r="I2355" s="118" t="n">
        <x:v>62</x:v>
      </x:c>
      <x:c r="J2355" s="117" t="str">
        <x:v>unmanaged</x:v>
      </x:c>
      <x:c r="K2355" s="123" t="b">
        <x:v>0</x:v>
      </x:c>
      <x:c r="L2355" s="117"/>
      <x:c r="M2355" s="118"/>
      <x:c r="N2355" s="120" t="n">
        <x:v>46174.77976851852</x:v>
      </x:c>
      <x:c r="O2355" s="117" t="str">
        <x:v>Delegate</x:v>
      </x:c>
      <x:c r="P2355" s="120" t="n">
        <x:v>46174.781875</x:v>
      </x:c>
      <x:c r="Q2355" s="117" t="str">
        <x:v>Delegate</x:v>
      </x:c>
      <x:c r="R2355" s="117" t="str">
        <x:v>ProductItem | Asynchronous, on create, Pur Op Total Cost Roll Up</x:v>
      </x:c>
      <x:c r="S2355" s="119" t="str">
        <x:v>06/01/26 (GD) – Replaces DLRS TotalCostOfAssetsOnPurchasingOp rule. On create, sums ProductItem__c.Cost__c onto Opportunity.Total_Cost_of_Assets__c via Purchasing_Opportunity__c. Runs async after commit.</x:v>
      </x:c>
    </x:row>
    <x:row r="2356" ht="30" customHeight="1">
      <x:c r="A2356" s="117" t="str">
        <x:v>ProductItem_Asynchronous_on_create_Pur_Op_Working_Capital_Usage_Days_Roll_Up</x:v>
      </x:c>
      <x:c r="B2356" s="117" t="str">
        <x:v>300Ro00000yzeikIAA</x:v>
      </x:c>
      <x:c r="C2356" s="117" t="str">
        <x:v>301Ro000017JcBYIA0</x:v>
      </x:c>
      <x:c r="D2356" s="118" t="n">
        <x:v>1</x:v>
      </x:c>
      <x:c r="E2356" s="117" t="str">
        <x:v>Active</x:v>
      </x:c>
      <x:c r="F2356" s="117" t="str">
        <x:v>Yes</x:v>
      </x:c>
      <x:c r="G2356" s="117" t="str">
        <x:v>Yes</x:v>
      </x:c>
      <x:c r="H2356" s="117" t="str">
        <x:v>AutoLaunchedFlow</x:v>
      </x:c>
      <x:c r="I2356" s="118" t="n">
        <x:v>62</x:v>
      </x:c>
      <x:c r="J2356" s="117" t="str">
        <x:v>unmanaged</x:v>
      </x:c>
      <x:c r="K2356" s="123" t="b">
        <x:v>0</x:v>
      </x:c>
      <x:c r="L2356" s="117"/>
      <x:c r="M2356" s="118"/>
      <x:c r="N2356" s="120" t="n">
        <x:v>46174.90991898148</x:v>
      </x:c>
      <x:c r="O2356" s="117" t="str">
        <x:v>Delegate</x:v>
      </x:c>
      <x:c r="P2356" s="120" t="n">
        <x:v>46174.95391203704</x:v>
      </x:c>
      <x:c r="Q2356" s="117" t="str">
        <x:v>Delegate</x:v>
      </x:c>
      <x:c r="R2356" s="117" t="str">
        <x:v>ProductItem | Asynchronous, on create, Pur Op Working Capital Usage Days Roll Up</x:v>
      </x:c>
      <x:c r="S2356" s="119" t="str">
        <x:v>06/01/26 (GD) – Replaces DLRS Working_Capital_Usage_Days_Roll_Up rule. On create, averages ProductItem__c.Working_Capital_Usage_Days__c onto Opportunity.Working_Capital_Usage_Days__c via Purchasing_Opportunity__c. Only processes records where Working_Capital_Usage_Days__c is not null. Sets parent to null when no qualifying records exist. Runs async after commit.</x:v>
      </x:c>
    </x:row>
    <x:row r="2357" ht="30" customHeight="1">
      <x:c r="A2357" s="117" t="str">
        <x:v>ProductItem_Asynchronous_on_create_Rental_Order_Price_Roll_Up</x:v>
      </x:c>
      <x:c r="B2357" s="117" t="str">
        <x:v>300Ro00000zDVIzIAO</x:v>
      </x:c>
      <x:c r="C2357" s="117" t="str">
        <x:v>301Ro000017YI61IAG</x:v>
      </x:c>
      <x:c r="D2357" s="118" t="n">
        <x:v>1</x:v>
      </x:c>
      <x:c r="E2357" s="117" t="str">
        <x:v>Active</x:v>
      </x:c>
      <x:c r="F2357" s="117" t="str">
        <x:v>Yes</x:v>
      </x:c>
      <x:c r="G2357" s="117" t="str">
        <x:v>Yes</x:v>
      </x:c>
      <x:c r="H2357" s="117" t="str">
        <x:v>AutoLaunchedFlow</x:v>
      </x:c>
      <x:c r="I2357" s="118" t="n">
        <x:v>66</x:v>
      </x:c>
      <x:c r="J2357" s="117" t="str">
        <x:v>unmanaged</x:v>
      </x:c>
      <x:c r="K2357" s="123" t="b">
        <x:v>0</x:v>
      </x:c>
      <x:c r="L2357" s="117"/>
      <x:c r="M2357" s="118"/>
      <x:c r="N2357" s="120" t="n">
        <x:v>46176.91547453704</x:v>
      </x:c>
      <x:c r="O2357" s="117" t="str">
        <x:v>Delegate</x:v>
      </x:c>
      <x:c r="P2357" s="120" t="n">
        <x:v>46177.11332175926</x:v>
      </x:c>
      <x:c r="Q2357" s="117" t="str">
        <x:v>Delegate</x:v>
      </x:c>
      <x:c r="R2357" s="117" t="str">
        <x:v>ProductItem | Asynchronous, on create, Rental Order Price Roll Up</x:v>
      </x:c>
      <x:c r="S2357" s="119" t="str">
        <x:v>06/03/26 (GD) – Replaces DLRS Rental_Order_Price rule (on create). When a ProductItem__c is created with a Rental_Order__c populated, sums all sibling Sales_Price__c values and writes the total to Rental_Order__c.Rental_Amount__c. Runs asynchronously after commit.</x:v>
      </x:c>
    </x:row>
    <x:row r="2358" ht="30" customHeight="1">
      <x:c r="A2358" s="117" t="str">
        <x:v>ProductItem_Asynchronous_on_create_Starting_Bid_Roll_Up</x:v>
      </x:c>
      <x:c r="B2358" s="117" t="str">
        <x:v>300Ro00000yxeS0IAI</x:v>
      </x:c>
      <x:c r="C2358" s="117" t="str">
        <x:v>301Ro000017HNzuIAG</x:v>
      </x:c>
      <x:c r="D2358" s="118" t="n">
        <x:v>1</x:v>
      </x:c>
      <x:c r="E2358" s="117" t="str">
        <x:v>Active</x:v>
      </x:c>
      <x:c r="F2358" s="117" t="str">
        <x:v>Yes</x:v>
      </x:c>
      <x:c r="G2358" s="117" t="str">
        <x:v>Yes</x:v>
      </x:c>
      <x:c r="H2358" s="117" t="str">
        <x:v>AutoLaunchedFlow</x:v>
      </x:c>
      <x:c r="I2358" s="118" t="n">
        <x:v>57</x:v>
      </x:c>
      <x:c r="J2358" s="117" t="str">
        <x:v>unmanaged</x:v>
      </x:c>
      <x:c r="K2358" s="123" t="b">
        <x:v>0</x:v>
      </x:c>
      <x:c r="L2358" s="117"/>
      <x:c r="M2358" s="118"/>
      <x:c r="N2358" s="120" t="n">
        <x:v>46174.74978009259</x:v>
      </x:c>
      <x:c r="O2358" s="117" t="str">
        <x:v>Delegate</x:v>
      </x:c>
      <x:c r="P2358" s="120" t="n">
        <x:v>46174.75163194445</x:v>
      </x:c>
      <x:c r="Q2358" s="117" t="str">
        <x:v>Delegate</x:v>
      </x:c>
      <x:c r="R2358" s="117" t="str">
        <x:v>ProductItem | Asynchronous, on create, Starting Bid Roll Up</x:v>
      </x:c>
      <x:c r="S2358" s="119" t="str">
        <x:v>06/01/26 (GD) – Created to replace the DLRS Starting_Bid rollup (on create). Fires async after ProductItem__c create. Sums Starting_Bid__c across all ProductItems on the Purchasing Opportunity and writes the total to Opportunity.Starting_Bid__c.</x:v>
      </x:c>
    </x:row>
    <x:row r="2359" ht="30" customHeight="1">
      <x:c r="A2359" s="117" t="str">
        <x:v>ProductItem_Asynchronous_on_update_Estimated_Sales_Price_Roll_Up</x:v>
      </x:c>
      <x:c r="B2359" s="117" t="str">
        <x:v>300Ro00000yT0jdIAC</x:v>
      </x:c>
      <x:c r="C2359" s="117" t="str">
        <x:v>301Ro000016khpCIAQ</x:v>
      </x:c>
      <x:c r="D2359" s="118" t="n">
        <x:v>1</x:v>
      </x:c>
      <x:c r="E2359" s="117" t="str">
        <x:v>Active</x:v>
      </x:c>
      <x:c r="F2359" s="117" t="str">
        <x:v>Yes</x:v>
      </x:c>
      <x:c r="G2359" s="117" t="str">
        <x:v>Yes</x:v>
      </x:c>
      <x:c r="H2359" s="117" t="str">
        <x:v>AutoLaunchedFlow</x:v>
      </x:c>
      <x:c r="I2359" s="118" t="n">
        <x:v>57</x:v>
      </x:c>
      <x:c r="J2359" s="117" t="str">
        <x:v>unmanaged</x:v>
      </x:c>
      <x:c r="K2359" s="123" t="b">
        <x:v>0</x:v>
      </x:c>
      <x:c r="L2359" s="117"/>
      <x:c r="M2359" s="118"/>
      <x:c r="N2359" s="120" t="n">
        <x:v>46168.84846064815</x:v>
      </x:c>
      <x:c r="O2359" s="117" t="str">
        <x:v>Delegate</x:v>
      </x:c>
      <x:c r="P2359" s="120" t="n">
        <x:v>46168.902233796296</x:v>
      </x:c>
      <x:c r="Q2359" s="117" t="str">
        <x:v>Delegate</x:v>
      </x:c>
      <x:c r="R2359" s="117" t="str">
        <x:v>ProductItem | Asynchronous, on update, Estimated Sales Price Roll Up</x:v>
      </x:c>
      <x:c r="S2359" s="119" t="str">
        <x:v>05/26/26 (BW) – Update counterpart to the on-create Estimated Sales Price roll-up. Fires async when Estimated_Sales_Price__c changes; sums all ProductItems on the Purchasing Opportunity and writes the total to Opportunity.Estimated_Sales_Price__c.</x:v>
      </x:c>
    </x:row>
    <x:row r="2360" ht="30" customHeight="1">
      <x:c r="A2360" s="117" t="str">
        <x:v>ProductItem_Asynchronous_on_update_HWO_Total_Cost_Roll_Up</x:v>
      </x:c>
      <x:c r="B2360" s="117" t="str">
        <x:v>300Ro00000yTV5yIAG</x:v>
      </x:c>
      <x:c r="C2360" s="117" t="str">
        <x:v>301Ro000016kq7lIAA</x:v>
      </x:c>
      <x:c r="D2360" s="118" t="n">
        <x:v>1</x:v>
      </x:c>
      <x:c r="E2360" s="117" t="str">
        <x:v>Obsolete</x:v>
      </x:c>
      <x:c r="F2360" s="117" t="str">
        <x:v>No</x:v>
      </x:c>
      <x:c r="G2360" s="117" t="str">
        <x:v>No</x:v>
      </x:c>
      <x:c r="H2360" s="117" t="str">
        <x:v>AutoLaunchedFlow</x:v>
      </x:c>
      <x:c r="I2360" s="118" t="n">
        <x:v>57</x:v>
      </x:c>
      <x:c r="J2360" s="117" t="str">
        <x:v>unmanaged</x:v>
      </x:c>
      <x:c r="K2360" s="123" t="b">
        <x:v>0</x:v>
      </x:c>
      <x:c r="L2360" s="117"/>
      <x:c r="M2360" s="118"/>
      <x:c r="N2360" s="120" t="n">
        <x:v>46168.906539351854</x:v>
      </x:c>
      <x:c r="O2360" s="117" t="str">
        <x:v>Delegate</x:v>
      </x:c>
      <x:c r="P2360" s="120" t="n">
        <x:v>46168.91584490741</x:v>
      </x:c>
      <x:c r="Q2360" s="117" t="str">
        <x:v>Delegate</x:v>
      </x:c>
      <x:c r="R2360" s="117" t="str">
        <x:v>ProductItem | Asynchronous, on update, HWO Total Cost Roll Up</x:v>
      </x:c>
      <x:c r="S2360" s="119" t="str">
        <x:v>05/26/26 (BW) – Update counterpart to the on-create HWO Total Cost roll-up. Fires async when Cost__c changes; sums all ProductItems on the Harvest Work Order and writes the total to Harvest_Work_Order__c.HWO_Total_Cost__c.</x:v>
      </x:c>
    </x:row>
    <x:row r="2361" ht="30" customHeight="1">
      <x:c r="A2361" s="117" t="str">
        <x:v>ProductItem_Asynchronous_on_update_HWO_Total_Cost_Roll_Up</x:v>
      </x:c>
      <x:c r="B2361" s="117" t="str">
        <x:v>300Ro00000yTV5yIAG</x:v>
      </x:c>
      <x:c r="C2361" s="117" t="str">
        <x:v>301Ro000016o3WbIAI</x:v>
      </x:c>
      <x:c r="D2361" s="118" t="n">
        <x:v>2</x:v>
      </x:c>
      <x:c r="E2361" s="117" t="str">
        <x:v>Obsolete</x:v>
      </x:c>
      <x:c r="F2361" s="117" t="str">
        <x:v>No</x:v>
      </x:c>
      <x:c r="G2361" s="117" t="str">
        <x:v>No</x:v>
      </x:c>
      <x:c r="H2361" s="117" t="str">
        <x:v>AutoLaunchedFlow</x:v>
      </x:c>
      <x:c r="I2361" s="118" t="n">
        <x:v>57</x:v>
      </x:c>
      <x:c r="J2361" s="117" t="str">
        <x:v>unmanaged</x:v>
      </x:c>
      <x:c r="K2361" s="123" t="b">
        <x:v>0</x:v>
      </x:c>
      <x:c r="L2361" s="117"/>
      <x:c r="M2361" s="118"/>
      <x:c r="N2361" s="120" t="n">
        <x:v>46169.49880787037</x:v>
      </x:c>
      <x:c r="O2361" s="117" t="str">
        <x:v>Delegate</x:v>
      </x:c>
      <x:c r="P2361" s="120" t="n">
        <x:v>46169.49886574074</x:v>
      </x:c>
      <x:c r="Q2361" s="117" t="str">
        <x:v>Delegate</x:v>
      </x:c>
      <x:c r="R2361" s="117" t="str">
        <x:v>ProductItem | Asynchronous, on update, HWO Total Cost Roll Up</x:v>
      </x:c>
      <x:c r="S2361" s="119" t="str">
        <x:v>05/27/2026 (BW) - Updating so that Harvest Work Order can not be null for this to fire</x:v>
      </x:c>
    </x:row>
    <x:row r="2362" ht="30" customHeight="1">
      <x:c r="A2362" s="117" t="str">
        <x:v>ProductItem_Asynchronous_on_update_HWO_Total_Cost_Roll_Up</x:v>
      </x:c>
      <x:c r="B2362" s="117" t="str">
        <x:v>300Ro00000yTV5yIAG</x:v>
      </x:c>
      <x:c r="C2362" s="117" t="str">
        <x:v>301Ro000016oLA9IAM</x:v>
      </x:c>
      <x:c r="D2362" s="118" t="n">
        <x:v>3</x:v>
      </x:c>
      <x:c r="E2362" s="117" t="str">
        <x:v>Active</x:v>
      </x:c>
      <x:c r="F2362" s="117" t="str">
        <x:v>Yes</x:v>
      </x:c>
      <x:c r="G2362" s="117" t="str">
        <x:v>Yes</x:v>
      </x:c>
      <x:c r="H2362" s="117" t="str">
        <x:v>AutoLaunchedFlow</x:v>
      </x:c>
      <x:c r="I2362" s="118" t="n">
        <x:v>57</x:v>
      </x:c>
      <x:c r="J2362" s="117" t="str">
        <x:v>unmanaged</x:v>
      </x:c>
      <x:c r="K2362" s="123" t="b">
        <x:v>0</x:v>
      </x:c>
      <x:c r="L2362" s="117"/>
      <x:c r="M2362" s="118"/>
      <x:c r="N2362" s="120" t="n">
        <x:v>46169.526087962964</x:v>
      </x:c>
      <x:c r="O2362" s="117" t="str">
        <x:v>Delegate</x:v>
      </x:c>
      <x:c r="P2362" s="120" t="n">
        <x:v>46169.52616898148</x:v>
      </x:c>
      <x:c r="Q2362" s="117" t="str">
        <x:v>Delegate</x:v>
      </x:c>
      <x:c r="R2362" s="117" t="str">
        <x:v>ProductItem | Asynchronous, on update, HWO Total Cost Roll Up</x:v>
      </x:c>
      <x:c r="S2362" s="119" t="str">
        <x:v>05/27/2026 (BW) - Updating so that Harvest Work Order can not be null for this to fire</x:v>
      </x:c>
    </x:row>
    <x:row r="2363" ht="30" customHeight="1">
      <x:c r="A2363" s="117" t="str">
        <x:v>ProductItem_Asynchronous_on_update_HWO_Total_Revenue_Roll_Up</x:v>
      </x:c>
      <x:c r="B2363" s="117" t="str">
        <x:v>300Ro00000yTWmmIAG</x:v>
      </x:c>
      <x:c r="C2363" s="117" t="str">
        <x:v>301Ro000016kzfhIAA</x:v>
      </x:c>
      <x:c r="D2363" s="118" t="n">
        <x:v>1</x:v>
      </x:c>
      <x:c r="E2363" s="117" t="str">
        <x:v>Obsolete</x:v>
      </x:c>
      <x:c r="F2363" s="117" t="str">
        <x:v>No</x:v>
      </x:c>
      <x:c r="G2363" s="117" t="str">
        <x:v>No</x:v>
      </x:c>
      <x:c r="H2363" s="117" t="str">
        <x:v>AutoLaunchedFlow</x:v>
      </x:c>
      <x:c r="I2363" s="118" t="n">
        <x:v>57</x:v>
      </x:c>
      <x:c r="J2363" s="117" t="str">
        <x:v>unmanaged</x:v>
      </x:c>
      <x:c r="K2363" s="123" t="b">
        <x:v>0</x:v>
      </x:c>
      <x:c r="L2363" s="117"/>
      <x:c r="M2363" s="118"/>
      <x:c r="N2363" s="120" t="n">
        <x:v>46168.91935185185</x:v>
      </x:c>
      <x:c r="O2363" s="117" t="str">
        <x:v>Delegate</x:v>
      </x:c>
      <x:c r="P2363" s="120" t="n">
        <x:v>46169.3669212963</x:v>
      </x:c>
      <x:c r="Q2363" s="117" t="str">
        <x:v>Sacha Pearce</x:v>
      </x:c>
      <x:c r="R2363" s="117" t="str">
        <x:v>ProductItem | Asynchronous, on update, HWO Total Revenue Roll Up</x:v>
      </x:c>
      <x:c r="S2363" s="119" t="str">
        <x:v>05/26/26 (BW) – Update counterpart to the on-create HWO Total Revenue roll-up. Fires async when Sales_Price__c changes; sums all ProductItems on the Harvest Work Order and writes the total to Harvest_Work_Order__c.HWO_Total_Revenue__c.</x:v>
      </x:c>
    </x:row>
    <x:row r="2364" ht="30" customHeight="1">
      <x:c r="A2364" s="117" t="str">
        <x:v>ProductItem_Asynchronous_on_update_HWO_Total_Revenue_Roll_Up</x:v>
      </x:c>
      <x:c r="B2364" s="117" t="str">
        <x:v>300Ro00000yTWmmIAG</x:v>
      </x:c>
      <x:c r="C2364" s="117" t="str">
        <x:v>301Ro000016nJTlIAM</x:v>
      </x:c>
      <x:c r="D2364" s="118" t="n">
        <x:v>2</x:v>
      </x:c>
      <x:c r="E2364" s="117" t="str">
        <x:v>Active</x:v>
      </x:c>
      <x:c r="F2364" s="117" t="str">
        <x:v>Yes</x:v>
      </x:c>
      <x:c r="G2364" s="117" t="str">
        <x:v>Yes</x:v>
      </x:c>
      <x:c r="H2364" s="117" t="str">
        <x:v>AutoLaunchedFlow</x:v>
      </x:c>
      <x:c r="I2364" s="118" t="n">
        <x:v>57</x:v>
      </x:c>
      <x:c r="J2364" s="117" t="str">
        <x:v>unmanaged</x:v>
      </x:c>
      <x:c r="K2364" s="123" t="b">
        <x:v>0</x:v>
      </x:c>
      <x:c r="L2364" s="117"/>
      <x:c r="M2364" s="118"/>
      <x:c r="N2364" s="120" t="n">
        <x:v>46169.36001157408</x:v>
      </x:c>
      <x:c r="O2364" s="117" t="str">
        <x:v>Sacha Pearce</x:v>
      </x:c>
      <x:c r="P2364" s="120" t="n">
        <x:v>46169.49704861111</x:v>
      </x:c>
      <x:c r="Q2364" s="117" t="str">
        <x:v>Delegate</x:v>
      </x:c>
      <x:c r="R2364" s="117" t="str">
        <x:v>ProductItem | Asynchronous, on update, HWO Total Revenue Roll Up</x:v>
      </x:c>
      <x:c r="S2364" s="119" t="str">
        <x:v>05/26/26 (BW) – Introducing the "Harvest Work Order Is Null Check" Decision element to avoid SOQL limits where the "Harvest Work Order" is blank.</x:v>
      </x:c>
    </x:row>
    <x:row r="2365" ht="30" customHeight="1">
      <x:c r="A2365" s="117" t="str">
        <x:v>ProductItem_Asynchronous_on_update_Item_Receipt_Amount_Roll_Up</x:v>
      </x:c>
      <x:c r="B2365" s="117" t="str">
        <x:v>300Ro00000yXXXKIA4</x:v>
      </x:c>
      <x:c r="C2365" s="117" t="str">
        <x:v>301Ro000016pTSFIA2</x:v>
      </x:c>
      <x:c r="D2365" s="118" t="n">
        <x:v>1</x:v>
      </x:c>
      <x:c r="E2365" s="117" t="str">
        <x:v>Active</x:v>
      </x:c>
      <x:c r="F2365" s="117" t="str">
        <x:v>Yes</x:v>
      </x:c>
      <x:c r="G2365" s="117" t="str">
        <x:v>Yes</x:v>
      </x:c>
      <x:c r="H2365" s="117" t="str">
        <x:v>AutoLaunchedFlow</x:v>
      </x:c>
      <x:c r="I2365" s="118" t="n">
        <x:v>62</x:v>
      </x:c>
      <x:c r="J2365" s="117" t="str">
        <x:v>unmanaged</x:v>
      </x:c>
      <x:c r="K2365" s="123" t="b">
        <x:v>0</x:v>
      </x:c>
      <x:c r="L2365" s="117"/>
      <x:c r="M2365" s="118"/>
      <x:c r="N2365" s="120" t="n">
        <x:v>46169.63836805556</x:v>
      </x:c>
      <x:c r="O2365" s="117" t="str">
        <x:v>Delegate</x:v>
      </x:c>
      <x:c r="P2365" s="120" t="n">
        <x:v>46169.814108796294</x:v>
      </x:c>
      <x:c r="Q2365" s="117" t="str">
        <x:v>Delegate</x:v>
      </x:c>
      <x:c r="R2365" s="117" t="str">
        <x:v>ProductItem | Asynchronous, on update, Item Receipt Amount Roll Up</x:v>
      </x:c>
      <x:c r="S2365" s="119" t="str">
        <x:v>05/27/26 (BW) – Replaces DLRS Item_Receipt_Amount rule. Sums ProductItem__c.Cost__c onto Item_Receipt__c.Item_Receipt_Amount__c when a ProductItem is updated. Item_Receipt_Is_Null_Check decision prevents SOQL when Item_Receipt__c is blank. Note: if Item_Receipt__c is reparented, the old parent is not recalculated — $Record__Prior is unavailable in async paths.</x:v>
      </x:c>
    </x:row>
    <x:row r="2366" ht="30" customHeight="1">
      <x:c r="A2366" s="117" t="str">
        <x:v>ProductItem_Asynchronous_on_update_Loaner_Asset_Number_Roll_Up</x:v>
      </x:c>
      <x:c r="B2366" s="117" t="str">
        <x:v>300Ro00000zEWo6IAG</x:v>
      </x:c>
      <x:c r="C2366" s="117" t="str">
        <x:v>301Ro000017ZP3rIAG</x:v>
      </x:c>
      <x:c r="D2366" s="118" t="n">
        <x:v>1</x:v>
      </x:c>
      <x:c r="E2366" s="117" t="str">
        <x:v>Active</x:v>
      </x:c>
      <x:c r="F2366" s="117" t="str">
        <x:v>Yes</x:v>
      </x:c>
      <x:c r="G2366" s="117" t="str">
        <x:v>Yes</x:v>
      </x:c>
      <x:c r="H2366" s="117" t="str">
        <x:v>AutoLaunchedFlow</x:v>
      </x:c>
      <x:c r="I2366" s="118" t="n">
        <x:v>62</x:v>
      </x:c>
      <x:c r="J2366" s="117" t="str">
        <x:v>unmanaged</x:v>
      </x:c>
      <x:c r="K2366" s="123" t="b">
        <x:v>0</x:v>
      </x:c>
      <x:c r="L2366" s="117"/>
      <x:c r="M2366" s="118"/>
      <x:c r="N2366" s="120" t="n">
        <x:v>46177.11790509259</x:v>
      </x:c>
      <x:c r="O2366" s="117" t="str">
        <x:v>Delegate</x:v>
      </x:c>
      <x:c r="P2366" s="120" t="n">
        <x:v>46177.12164351852</x:v>
      </x:c>
      <x:c r="Q2366" s="117" t="str">
        <x:v>Delegate</x:v>
      </x:c>
      <x:c r="R2366" s="117" t="str">
        <x:v>ProductItem | Asynchronous, on update, Loaner Asset Number Roll Up</x:v>
      </x:c>
      <x:c r="S2366" s="119" t="str">
        <x:v>06/03/26 (GD) – Replaces DLRS Roll_Up_Asset_Numbers_to_Loaner rule on update. Recalculates Loaner__c.Loaner_Asset__c by re-concatenating distinct ProductItem__c.Name values when a ProductItem's Name or Loaner__c changes. Fires when Name or Loaner__c is changed and current Loaner__c is not null. Note: if Loaner__c is reparented, the old parent's rollup is not recalculated — $Record__Prior is unavailable in async paths. Writes null when result is empty.</x:v>
      </x:c>
    </x:row>
    <x:row r="2367" ht="30" customHeight="1">
      <x:c r="A2367" s="117" t="str">
        <x:v>ProductItem_Asynchronous_on_update_Loaner_Location_Roll_Up</x:v>
      </x:c>
      <x:c r="B2367" s="117" t="str">
        <x:v>300Ro00000yYvjBIAS</x:v>
      </x:c>
      <x:c r="C2367" s="117" t="str">
        <x:v>301Ro000016rOuiIAE</x:v>
      </x:c>
      <x:c r="D2367" s="118" t="n">
        <x:v>1</x:v>
      </x:c>
      <x:c r="E2367" s="117" t="str">
        <x:v>Obsolete</x:v>
      </x:c>
      <x:c r="F2367" s="117" t="str">
        <x:v>No</x:v>
      </x:c>
      <x:c r="G2367" s="117" t="str">
        <x:v>No</x:v>
      </x:c>
      <x:c r="H2367" s="117" t="str">
        <x:v>AutoLaunchedFlow</x:v>
      </x:c>
      <x:c r="I2367" s="118" t="n">
        <x:v>62</x:v>
      </x:c>
      <x:c r="J2367" s="117" t="str">
        <x:v>unmanaged</x:v>
      </x:c>
      <x:c r="K2367" s="123" t="b">
        <x:v>0</x:v>
      </x:c>
      <x:c r="L2367" s="117"/>
      <x:c r="M2367" s="118"/>
      <x:c r="N2367" s="120" t="n">
        <x:v>46169.855462962965</x:v>
      </x:c>
      <x:c r="O2367" s="117" t="str">
        <x:v>Delegate</x:v>
      </x:c>
      <x:c r="P2367" s="120" t="n">
        <x:v>46170.59825231481</x:v>
      </x:c>
      <x:c r="Q2367" s="117" t="str">
        <x:v>Delegate</x:v>
      </x:c>
      <x:c r="R2367" s="117" t="str">
        <x:v>ProductItem | Asynchronous, on update, Loaner Location Roll Up</x:v>
      </x:c>
      <x:c r="S2367" s="119" t="str">
        <x:v>05/27/26 (GD) – Replaces DLRS Loaner_Location rule. Adds distinct ProductItem__c.Location__c onto Loaner__c.Loaner_Location__c when a ProductItem is updated. Loaner_Is_Null_Check decision prevents SOQL when Loaner__c is blank. Note: if Loaner__c is reparented, the old parent is not recalculated — $Record__Prior is unavailable in async paths.</x:v>
      </x:c>
    </x:row>
    <x:row r="2368" ht="30" customHeight="1">
      <x:c r="A2368" s="117" t="str">
        <x:v>ProductItem_Asynchronous_on_update_Loaner_Location_Roll_Up</x:v>
      </x:c>
      <x:c r="B2368" s="117" t="str">
        <x:v>300Ro00000yYvjBIAS</x:v>
      </x:c>
      <x:c r="C2368" s="117" t="str">
        <x:v>301Ro000017IaACIA0</x:v>
      </x:c>
      <x:c r="D2368" s="118" t="n">
        <x:v>2</x:v>
      </x:c>
      <x:c r="E2368" s="117" t="str">
        <x:v>Active</x:v>
      </x:c>
      <x:c r="F2368" s="117" t="str">
        <x:v>Yes</x:v>
      </x:c>
      <x:c r="G2368" s="117" t="str">
        <x:v>Yes</x:v>
      </x:c>
      <x:c r="H2368" s="117" t="str">
        <x:v>AutoLaunchedFlow</x:v>
      </x:c>
      <x:c r="I2368" s="118" t="n">
        <x:v>62</x:v>
      </x:c>
      <x:c r="J2368" s="117" t="str">
        <x:v>unmanaged</x:v>
      </x:c>
      <x:c r="K2368" s="123" t="b">
        <x:v>0</x:v>
      </x:c>
      <x:c r="L2368" s="117"/>
      <x:c r="M2368" s="118"/>
      <x:c r="N2368" s="120" t="n">
        <x:v>46174.79787037037</x:v>
      </x:c>
      <x:c r="O2368" s="117" t="str">
        <x:v>Delegate</x:v>
      </x:c>
      <x:c r="P2368" s="120" t="n">
        <x:v>46174.8028125</x:v>
      </x:c>
      <x:c r="Q2368" s="117" t="str">
        <x:v>Delegate</x:v>
      </x:c>
      <x:c r="R2368" s="117" t="str">
        <x:v>ProductItem | Asynchronous, on update, Loaner Location Roll Up</x:v>
      </x:c>
      <x:c r="S2368" s="119" t="str">
        <x:v>05/27/26 (GD) – Replaces DLRS Loaner_Location rule. Adds distinct ProductItem__c.Location__c onto Loaner__c.Loaner_Location__c when a ProductItem is updated. Loaner_Is_Null_Check decision prevents SOQL when Loaner__c is blank. Note: if Loaner__c is reparented, the old parent is not recalculated — $Record__Prior is unavailable in async paths.
06/01/26 (GD) – Added Loaner__c IsNull false to entry criteria to prevent async scheduling when Location__c changes on a ProductItem with no Loaner.</x:v>
      </x:c>
    </x:row>
    <x:row r="2369" ht="30" customHeight="1">
      <x:c r="A2369" s="117" t="str">
        <x:v>ProductItem_Asynchronous_on_update_Loaner_Serial_Number_Roll_Up</x:v>
      </x:c>
      <x:c r="B2369" s="117" t="str">
        <x:v>300Ro00000ydLwXIAU</x:v>
      </x:c>
      <x:c r="C2369" s="117" t="str">
        <x:v>301Ro000016vt77IAA</x:v>
      </x:c>
      <x:c r="D2369" s="118" t="n">
        <x:v>1</x:v>
      </x:c>
      <x:c r="E2369" s="117" t="str">
        <x:v>Obsolete</x:v>
      </x:c>
      <x:c r="F2369" s="117" t="str">
        <x:v>No</x:v>
      </x:c>
      <x:c r="G2369" s="117" t="str">
        <x:v>No</x:v>
      </x:c>
      <x:c r="H2369" s="117" t="str">
        <x:v>AutoLaunchedFlow</x:v>
      </x:c>
      <x:c r="I2369" s="118" t="n">
        <x:v>62</x:v>
      </x:c>
      <x:c r="J2369" s="117" t="str">
        <x:v>unmanaged</x:v>
      </x:c>
      <x:c r="K2369" s="123" t="b">
        <x:v>0</x:v>
      </x:c>
      <x:c r="L2369" s="117"/>
      <x:c r="M2369" s="118"/>
      <x:c r="N2369" s="120" t="n">
        <x:v>46170.60854166667</x:v>
      </x:c>
      <x:c r="O2369" s="117" t="str">
        <x:v>Delegate</x:v>
      </x:c>
      <x:c r="P2369" s="120" t="n">
        <x:v>46170.61528935185</x:v>
      </x:c>
      <x:c r="Q2369" s="117" t="str">
        <x:v>Delegate</x:v>
      </x:c>
      <x:c r="R2369" s="117" t="str">
        <x:v>ProductItem | Asynchronous, on update, Loaner Serial Number Roll Up</x:v>
      </x:c>
      <x:c r="S2369" s="119" t="str">
        <x:v>05/28/26 (GD) – Replaces DLRS Loaner_Serial_Number rule. Recalculates Loaner__c.Loaner_Serial__c by re-concatenating ProductItem__c.Serial_No__c values when a ProductItem's serial number is updated. Loaner_Is_Null_Check decision prevents SOQL when Loaner__c is blank. Note: if Loaner__c is reparented, the old parent is not recalculated — $Record__Prior is unavailable in async paths.</x:v>
      </x:c>
    </x:row>
    <x:row r="2370" ht="30" customHeight="1">
      <x:c r="A2370" s="117" t="str">
        <x:v>ProductItem_Asynchronous_on_update_Loaner_Serial_Number_Roll_Up</x:v>
      </x:c>
      <x:c r="B2370" s="117" t="str">
        <x:v>300Ro00000ydLwXIAU</x:v>
      </x:c>
      <x:c r="C2370" s="117" t="str">
        <x:v>301Ro000017IaADIA0</x:v>
      </x:c>
      <x:c r="D2370" s="118" t="n">
        <x:v>2</x:v>
      </x:c>
      <x:c r="E2370" s="117" t="str">
        <x:v>Active</x:v>
      </x:c>
      <x:c r="F2370" s="117" t="str">
        <x:v>Yes</x:v>
      </x:c>
      <x:c r="G2370" s="117" t="str">
        <x:v>Yes</x:v>
      </x:c>
      <x:c r="H2370" s="117" t="str">
        <x:v>AutoLaunchedFlow</x:v>
      </x:c>
      <x:c r="I2370" s="118" t="n">
        <x:v>62</x:v>
      </x:c>
      <x:c r="J2370" s="117" t="str">
        <x:v>unmanaged</x:v>
      </x:c>
      <x:c r="K2370" s="123" t="b">
        <x:v>0</x:v>
      </x:c>
      <x:c r="L2370" s="117"/>
      <x:c r="M2370" s="118"/>
      <x:c r="N2370" s="120" t="n">
        <x:v>46174.79788194445</x:v>
      </x:c>
      <x:c r="O2370" s="117" t="str">
        <x:v>Delegate</x:v>
      </x:c>
      <x:c r="P2370" s="120" t="n">
        <x:v>46174.803125</x:v>
      </x:c>
      <x:c r="Q2370" s="117" t="str">
        <x:v>Delegate</x:v>
      </x:c>
      <x:c r="R2370" s="117" t="str">
        <x:v>ProductItem | Asynchronous, on update, Loaner Serial Number Roll Up</x:v>
      </x:c>
      <x:c r="S2370" s="119" t="str">
        <x:v>05/28/26 (GD) – Replaces DLRS Loaner_Serial_Number rule. Recalculates Loaner__c.Loaner_Serial__c by re-concatenating ProductItem__c.Serial_No__c values when a ProductItem's serial number is updated. Loaner_Is_Null_Check decision prevents SOQL when Loaner__c is blank. Note: if Loaner__c is reparented, the old parent is not recalculated — $Record__Prior is unavailable in async paths.
06/01/26 (GD) – Added Loaner__c IsNull false to entry criteria to prevent async scheduling when Serial_No__c changes on a ProductItem with no Loaner.</x:v>
      </x:c>
    </x:row>
    <x:row r="2371" ht="30" customHeight="1">
      <x:c r="A2371" s="117" t="str">
        <x:v>ProductItem_Asynchronous_on_update_Max_Bid_Roll_Up</x:v>
      </x:c>
      <x:c r="B2371" s="117" t="str">
        <x:v>300Ro00000ye8ihIAA</x:v>
      </x:c>
      <x:c r="C2371" s="117" t="str">
        <x:v>301Ro000016wZzAIAU</x:v>
      </x:c>
      <x:c r="D2371" s="118" t="n">
        <x:v>1</x:v>
      </x:c>
      <x:c r="E2371" s="117" t="str">
        <x:v>Obsolete</x:v>
      </x:c>
      <x:c r="F2371" s="117" t="str">
        <x:v>No</x:v>
      </x:c>
      <x:c r="G2371" s="117" t="str">
        <x:v>No</x:v>
      </x:c>
      <x:c r="H2371" s="117" t="str">
        <x:v>AutoLaunchedFlow</x:v>
      </x:c>
      <x:c r="I2371" s="118" t="n">
        <x:v>57</x:v>
      </x:c>
      <x:c r="J2371" s="117" t="str">
        <x:v>unmanaged</x:v>
      </x:c>
      <x:c r="K2371" s="123" t="b">
        <x:v>0</x:v>
      </x:c>
      <x:c r="L2371" s="117"/>
      <x:c r="M2371" s="118"/>
      <x:c r="N2371" s="120" t="n">
        <x:v>46170.62850694444</x:v>
      </x:c>
      <x:c r="O2371" s="117" t="str">
        <x:v>Delegate</x:v>
      </x:c>
      <x:c r="P2371" s="120" t="n">
        <x:v>46170.62957175926</x:v>
      </x:c>
      <x:c r="Q2371" s="117" t="str">
        <x:v>Delegate</x:v>
      </x:c>
      <x:c r="R2371" s="117" t="str">
        <x:v>ProductItem | Asynchronous, on update, Max Bid Roll Up</x:v>
      </x:c>
      <x:c r="S2371" s="119" t="str">
        <x:v>05/28/26 (GD) – Created to replace the DLRS Max_Bid rollup (on update). Fires async when Max_Bid__c changes. Sums Max_Bid__c across all ProductItems on the Purchasing Opportunity and writes the total to Opportunity.Max_Bid__c.</x:v>
      </x:c>
    </x:row>
    <x:row r="2372" ht="30" customHeight="1">
      <x:c r="A2372" s="117" t="str">
        <x:v>ProductItem_Asynchronous_on_update_Max_Bid_Roll_Up</x:v>
      </x:c>
      <x:c r="B2372" s="117" t="str">
        <x:v>300Ro00000ye8ihIAA</x:v>
      </x:c>
      <x:c r="C2372" s="117" t="str">
        <x:v>301Ro000017I5eFIAS</x:v>
      </x:c>
      <x:c r="D2372" s="118" t="n">
        <x:v>2</x:v>
      </x:c>
      <x:c r="E2372" s="117" t="str">
        <x:v>Active</x:v>
      </x:c>
      <x:c r="F2372" s="117" t="str">
        <x:v>Yes</x:v>
      </x:c>
      <x:c r="G2372" s="117" t="str">
        <x:v>Yes</x:v>
      </x:c>
      <x:c r="H2372" s="117" t="str">
        <x:v>AutoLaunchedFlow</x:v>
      </x:c>
      <x:c r="I2372" s="118" t="n">
        <x:v>57</x:v>
      </x:c>
      <x:c r="J2372" s="117" t="str">
        <x:v>unmanaged</x:v>
      </x:c>
      <x:c r="K2372" s="123" t="b">
        <x:v>0</x:v>
      </x:c>
      <x:c r="L2372" s="117"/>
      <x:c r="M2372" s="118"/>
      <x:c r="N2372" s="120" t="n">
        <x:v>46174.80063657407</x:v>
      </x:c>
      <x:c r="O2372" s="117" t="str">
        <x:v>Delegate</x:v>
      </x:c>
      <x:c r="P2372" s="120" t="n">
        <x:v>46174.800729166665</x:v>
      </x:c>
      <x:c r="Q2372" s="117" t="str">
        <x:v>Delegate</x:v>
      </x:c>
      <x:c r="R2372" s="117" t="str">
        <x:v>ProductItem | Asynchronous, on update, Max Bid Roll Up</x:v>
      </x:c>
      <x:c r="S2372" s="119" t="str">
        <x:v>05/28/26 (GD) – Created to replace the DLRS Max_Bid rollup (on update). Fires async when Max_Bid__c changes. Sums Max_Bid__c across all ProductItems on the Purchasing Opportunity and writes the total to Opportunity.Max_Bid__c.
06/01/26 (GD) – Added Purchasing_Opportunity__c IsNull false to entry criteria to prevent async scheduling and SOQL errors when the lookup is blank.</x:v>
      </x:c>
    </x:row>
    <x:row r="2373" ht="30" customHeight="1">
      <x:c r="A2373" s="117" t="str">
        <x:v>ProductItem_Asynchronous_on_update_NumberCheckedIn_PO_Roll_Up</x:v>
      </x:c>
      <x:c r="B2373" s="117" t="str">
        <x:v>300Ro00000yeuH4IAI</x:v>
      </x:c>
      <x:c r="C2373" s="117" t="str">
        <x:v>301Ro000016xMqAIAU</x:v>
      </x:c>
      <x:c r="D2373" s="118" t="n">
        <x:v>1</x:v>
      </x:c>
      <x:c r="E2373" s="117" t="str">
        <x:v>Active</x:v>
      </x:c>
      <x:c r="F2373" s="117" t="str">
        <x:v>Yes</x:v>
      </x:c>
      <x:c r="G2373" s="117" t="str">
        <x:v>Yes</x:v>
      </x:c>
      <x:c r="H2373" s="117" t="str">
        <x:v>AutoLaunchedFlow</x:v>
      </x:c>
      <x:c r="I2373" s="118" t="n">
        <x:v>66</x:v>
      </x:c>
      <x:c r="J2373" s="117" t="str">
        <x:v>unmanaged</x:v>
      </x:c>
      <x:c r="K2373" s="123" t="b">
        <x:v>0</x:v>
      </x:c>
      <x:c r="L2373" s="117"/>
      <x:c r="M2373" s="118"/>
      <x:c r="N2373" s="120" t="n">
        <x:v>46170.64796296296</x:v>
      </x:c>
      <x:c r="O2373" s="117" t="str">
        <x:v>Delegate</x:v>
      </x:c>
      <x:c r="P2373" s="120" t="n">
        <x:v>46170.6502662037</x:v>
      </x:c>
      <x:c r="Q2373" s="117" t="str">
        <x:v>Delegate</x:v>
      </x:c>
      <x:c r="R2373" s="117" t="str">
        <x:v>ProductItem | Asynchronous, on update, Number of Checked In Items PO Roll Up</x:v>
      </x:c>
      <x:c r="S2373" s="119" t="str">
        <x:v>05/28/26 (GD) – Replaces DLRS rule NumberOfCheckedInItemsPO update path. Fires when Purchasing_Opportunity__c changes on ProductItem. Synchronous path recalculates the prior Opportunity count using $Record__Prior; async path recalculates the current Opportunity count.</x:v>
      </x:c>
    </x:row>
    <x:row r="2374" ht="30" customHeight="1">
      <x:c r="A2374" s="117" t="str">
        <x:v>ProductItem_Asynchronous_on_update_Starting_Bid_Roll_Up</x:v>
      </x:c>
      <x:c r="B2374" s="117" t="str">
        <x:v>300Ro00000yxeS1IAI</x:v>
      </x:c>
      <x:c r="C2374" s="117" t="str">
        <x:v>301Ro000017HNzvIAG</x:v>
      </x:c>
      <x:c r="D2374" s="118" t="n">
        <x:v>1</x:v>
      </x:c>
      <x:c r="E2374" s="117" t="str">
        <x:v>Obsolete</x:v>
      </x:c>
      <x:c r="F2374" s="117" t="str">
        <x:v>No</x:v>
      </x:c>
      <x:c r="G2374" s="117" t="str">
        <x:v>No</x:v>
      </x:c>
      <x:c r="H2374" s="117" t="str">
        <x:v>AutoLaunchedFlow</x:v>
      </x:c>
      <x:c r="I2374" s="118" t="n">
        <x:v>57</x:v>
      </x:c>
      <x:c r="J2374" s="117" t="str">
        <x:v>unmanaged</x:v>
      </x:c>
      <x:c r="K2374" s="123" t="b">
        <x:v>0</x:v>
      </x:c>
      <x:c r="L2374" s="117"/>
      <x:c r="M2374" s="118"/>
      <x:c r="N2374" s="120" t="n">
        <x:v>46174.74984953704</x:v>
      </x:c>
      <x:c r="O2374" s="117" t="str">
        <x:v>Delegate</x:v>
      </x:c>
      <x:c r="P2374" s="120" t="n">
        <x:v>46174.755636574075</x:v>
      </x:c>
      <x:c r="Q2374" s="117" t="str">
        <x:v>Delegate</x:v>
      </x:c>
      <x:c r="R2374" s="117" t="str">
        <x:v>ProductItem | Asynchronous, on update, Starting Bid Roll Up</x:v>
      </x:c>
      <x:c r="S2374" s="119" t="str">
        <x:v>06/01/26 (GD) – Created to replace the DLRS Starting_Bid rollup (on update). Fires async when Starting_Bid__c changes. Sums Starting_Bid__c across all ProductItems on the Purchasing Opportunity and writes the total to Opportunity.Starting_Bid__c.</x:v>
      </x:c>
    </x:row>
    <x:row r="2375" ht="30" customHeight="1">
      <x:c r="A2375" s="117" t="str">
        <x:v>ProductItem_Asynchronous_on_update_Starting_Bid_Roll_Up</x:v>
      </x:c>
      <x:c r="B2375" s="117" t="str">
        <x:v>300Ro00000yxeS1IAI</x:v>
      </x:c>
      <x:c r="C2375" s="117" t="str">
        <x:v>301Ro000017IaAFIA0</x:v>
      </x:c>
      <x:c r="D2375" s="118" t="n">
        <x:v>2</x:v>
      </x:c>
      <x:c r="E2375" s="117" t="str">
        <x:v>Active</x:v>
      </x:c>
      <x:c r="F2375" s="117" t="str">
        <x:v>Yes</x:v>
      </x:c>
      <x:c r="G2375" s="117" t="str">
        <x:v>Yes</x:v>
      </x:c>
      <x:c r="H2375" s="117" t="str">
        <x:v>AutoLaunchedFlow</x:v>
      </x:c>
      <x:c r="I2375" s="118" t="n">
        <x:v>57</x:v>
      </x:c>
      <x:c r="J2375" s="117" t="str">
        <x:v>unmanaged</x:v>
      </x:c>
      <x:c r="K2375" s="123" t="b">
        <x:v>0</x:v>
      </x:c>
      <x:c r="L2375" s="117"/>
      <x:c r="M2375" s="118"/>
      <x:c r="N2375" s="120" t="n">
        <x:v>46174.79791666667</x:v>
      </x:c>
      <x:c r="O2375" s="117" t="str">
        <x:v>Delegate</x:v>
      </x:c>
      <x:c r="P2375" s="120" t="n">
        <x:v>46174.803391203706</x:v>
      </x:c>
      <x:c r="Q2375" s="117" t="str">
        <x:v>Delegate</x:v>
      </x:c>
      <x:c r="R2375" s="117" t="str">
        <x:v>ProductItem | Asynchronous, on update, Starting Bid Roll Up</x:v>
      </x:c>
      <x:c r="S2375" s="119" t="str">
        <x:v>06/01/26 (GD) – Created to replace the DLRS Starting_Bid rollup (on update). Fires async when Starting_Bid__c changes. Sums Starting_Bid__c across all ProductItems on the Purchasing Opportunity and writes the total to Opportunity.Starting_Bid__c.
06/01/26 (GD) – Added Purchasing_Opportunity__c IsNull false to entry criteria to prevent async scheduling and SOQL errors when the lookup is blank.</x:v>
      </x:c>
    </x:row>
    <x:row r="2376" ht="30" customHeight="1">
      <x:c r="A2376" s="117" t="str">
        <x:v>ProductItem_Before_delete_Estimated_Sales_Price_Roll_Up</x:v>
      </x:c>
      <x:c r="B2376" s="117" t="str">
        <x:v>300Ro00000yS5oeIAC</x:v>
      </x:c>
      <x:c r="C2376" s="117" t="str">
        <x:v>301Ro000016jt7iIAA</x:v>
      </x:c>
      <x:c r="D2376" s="118" t="n">
        <x:v>1</x:v>
      </x:c>
      <x:c r="E2376" s="117" t="str">
        <x:v>Obsolete</x:v>
      </x:c>
      <x:c r="F2376" s="117" t="str">
        <x:v>No</x:v>
      </x:c>
      <x:c r="G2376" s="117" t="str">
        <x:v>No</x:v>
      </x:c>
      <x:c r="H2376" s="117" t="str">
        <x:v>AutoLaunchedFlow</x:v>
      </x:c>
      <x:c r="I2376" s="118" t="n">
        <x:v>57</x:v>
      </x:c>
      <x:c r="J2376" s="117" t="str">
        <x:v>unmanaged</x:v>
      </x:c>
      <x:c r="K2376" s="123" t="b">
        <x:v>0</x:v>
      </x:c>
      <x:c r="L2376" s="117"/>
      <x:c r="M2376" s="118"/>
      <x:c r="N2376" s="120" t="n">
        <x:v>46168.830613425926</x:v>
      </x:c>
      <x:c r="O2376" s="117" t="str">
        <x:v>Delegate</x:v>
      </x:c>
      <x:c r="P2376" s="120" t="n">
        <x:v>46168.902349537035</x:v>
      </x:c>
      <x:c r="Q2376" s="117" t="str">
        <x:v>Delegate</x:v>
      </x:c>
      <x:c r="R2376" s="117" t="str">
        <x:v>ProductItem | Before delete, Estimated Sales Price Roll Up</x:v>
      </x:c>
      <x:c r="S2376" s="119" t="str">
        <x:v>05/26/26 (BW) – Delete counterpart to the on-create Estimated Sales Price roll-up. Runs synchronously before delete (Salesforce does not support async after-delete flows). Queries remaining ProductItems on the Purchasing Opportunity (excluding the record being deleted) and writes the summed Estimated_Sales_Price__c to Opportunity.Estimated_Sales_Price__c.</x:v>
      </x:c>
    </x:row>
    <x:row r="2377" ht="30" customHeight="1">
      <x:c r="A2377" s="117" t="str">
        <x:v>ProductItem_Before_delete_Estimated_Sales_Price_Roll_Up</x:v>
      </x:c>
      <x:c r="B2377" s="117" t="str">
        <x:v>300Ro00000yS5oeIAC</x:v>
      </x:c>
      <x:c r="C2377" s="117" t="str">
        <x:v>301Ro00001830HhIAI</x:v>
      </x:c>
      <x:c r="D2377" s="118" t="n">
        <x:v>2</x:v>
      </x:c>
      <x:c r="E2377" s="117" t="str">
        <x:v>Active</x:v>
      </x:c>
      <x:c r="F2377" s="117" t="str">
        <x:v>Yes</x:v>
      </x:c>
      <x:c r="G2377" s="117" t="str">
        <x:v>Yes</x:v>
      </x:c>
      <x:c r="H2377" s="117" t="str">
        <x:v>AutoLaunchedFlow</x:v>
      </x:c>
      <x:c r="I2377" s="118" t="n">
        <x:v>57</x:v>
      </x:c>
      <x:c r="J2377" s="117" t="str">
        <x:v>unmanaged</x:v>
      </x:c>
      <x:c r="K2377" s="123" t="b">
        <x:v>0</x:v>
      </x:c>
      <x:c r="L2377" s="117"/>
      <x:c r="M2377" s="118"/>
      <x:c r="N2377" s="120" t="n">
        <x:v>46182.745625</x:v>
      </x:c>
      <x:c r="O2377" s="117" t="str">
        <x:v>Mindy Bender</x:v>
      </x:c>
      <x:c r="P2377" s="120" t="n">
        <x:v>46182.74570601852</x:v>
      </x:c>
      <x:c r="Q2377" s="117" t="str">
        <x:v>Mindy Bender</x:v>
      </x:c>
      <x:c r="R2377" s="117" t="str">
        <x:v>ProductItem | Before delete, Estimated Sales Price Roll Up</x:v>
      </x:c>
      <x:c r="S2377" s="119" t="str">
        <x:v>06/09/2026 (MPB) - Added decision to only process the flow if the Purchasing Opportunity is present.
05/26/26 (BW) – Delete counterpart to the on-create Estimated Sales Price roll-up. Runs synchronously before delete (Salesforce does not support async after-delete flows). Queries remaining ProductItems on the Purchasing Opportunity (excluding the record being deleted) and writes the summed Estimated_Sales_Price__c to Opportunity.Estimated_Sales_Price__c.</x:v>
      </x:c>
    </x:row>
    <x:row r="2378" ht="30" customHeight="1">
      <x:c r="A2378" s="117" t="str">
        <x:v>ProductItem_Before_delete_HWO_Total_Cost_Roll_Up</x:v>
      </x:c>
      <x:c r="B2378" s="117" t="str">
        <x:v>300Ro00000yTV5zIAG</x:v>
      </x:c>
      <x:c r="C2378" s="117" t="str">
        <x:v>301Ro000016kq7mIAA</x:v>
      </x:c>
      <x:c r="D2378" s="118" t="n">
        <x:v>1</x:v>
      </x:c>
      <x:c r="E2378" s="117" t="str">
        <x:v>Obsolete</x:v>
      </x:c>
      <x:c r="F2378" s="117" t="str">
        <x:v>No</x:v>
      </x:c>
      <x:c r="G2378" s="117" t="str">
        <x:v>No</x:v>
      </x:c>
      <x:c r="H2378" s="117" t="str">
        <x:v>AutoLaunchedFlow</x:v>
      </x:c>
      <x:c r="I2378" s="118" t="n">
        <x:v>57</x:v>
      </x:c>
      <x:c r="J2378" s="117" t="str">
        <x:v>unmanaged</x:v>
      </x:c>
      <x:c r="K2378" s="123" t="b">
        <x:v>0</x:v>
      </x:c>
      <x:c r="L2378" s="117"/>
      <x:c r="M2378" s="118"/>
      <x:c r="N2378" s="120" t="n">
        <x:v>46168.90655092592</x:v>
      </x:c>
      <x:c r="O2378" s="117" t="str">
        <x:v>Delegate</x:v>
      </x:c>
      <x:c r="P2378" s="120" t="n">
        <x:v>46168.91587962963</x:v>
      </x:c>
      <x:c r="Q2378" s="117" t="str">
        <x:v>Delegate</x:v>
      </x:c>
      <x:c r="R2378" s="117" t="str">
        <x:v>ProductItem | Before delete, HWO Total Cost Roll Up</x:v>
      </x:c>
      <x:c r="S2378" s="119" t="str">
        <x:v>05/26/26 (BW) – Delete counterpart to the on-create HWO Total Cost roll-up. Runs synchronously before delete (Salesforce does not support async after-delete flows). Queries remaining ProductItems on the Harvest Work Order (excluding the record being deleted) and writes the summed Cost__c to Harvest_Work_Order__c.HWO_Total_Cost__c.</x:v>
      </x:c>
    </x:row>
    <x:row r="2379" ht="30" customHeight="1">
      <x:c r="A2379" s="117" t="str">
        <x:v>ProductItem_Before_delete_HWO_Total_Cost_Roll_Up</x:v>
      </x:c>
      <x:c r="B2379" s="117" t="str">
        <x:v>300Ro00000yTV5zIAG</x:v>
      </x:c>
      <x:c r="C2379" s="117" t="str">
        <x:v>301Ro0000182y7pIAA</x:v>
      </x:c>
      <x:c r="D2379" s="118" t="n">
        <x:v>2</x:v>
      </x:c>
      <x:c r="E2379" s="117" t="str">
        <x:v>Active</x:v>
      </x:c>
      <x:c r="F2379" s="117" t="str">
        <x:v>Yes</x:v>
      </x:c>
      <x:c r="G2379" s="117" t="str">
        <x:v>Yes</x:v>
      </x:c>
      <x:c r="H2379" s="117" t="str">
        <x:v>AutoLaunchedFlow</x:v>
      </x:c>
      <x:c r="I2379" s="118" t="n">
        <x:v>57</x:v>
      </x:c>
      <x:c r="J2379" s="117" t="str">
        <x:v>unmanaged</x:v>
      </x:c>
      <x:c r="K2379" s="123" t="b">
        <x:v>0</x:v>
      </x:c>
      <x:c r="L2379" s="117"/>
      <x:c r="M2379" s="118"/>
      <x:c r="N2379" s="120" t="n">
        <x:v>46182.74171296296</x:v>
      </x:c>
      <x:c r="O2379" s="117" t="str">
        <x:v>Mindy Bender</x:v>
      </x:c>
      <x:c r="P2379" s="120" t="n">
        <x:v>46182.74178240741</x:v>
      </x:c>
      <x:c r="Q2379" s="117" t="str">
        <x:v>Mindy Bender</x:v>
      </x:c>
      <x:c r="R2379" s="117" t="str">
        <x:v>ProductItem | Before delete, HWO Total Cost Roll Up</x:v>
      </x:c>
      <x:c r="S2379" s="119" t="str">
        <x:v>06/09/26 (MPB) - Modified so get all records ONLY performs if there is a Harvest Work Order on the record
05/26/26 (BW) – Delete counterpart to the on-create HWO Total Cost roll-up. Runs synchronously before delete (Salesforce does not support async after-delete flows). Queries remaining ProductItems on the Harvest Work Order (excluding the record being deleted) and writes the summed Cost__c to Harvest_Work_Order__c.HWO_Total_Cost__c.</x:v>
      </x:c>
    </x:row>
    <x:row r="2380" ht="30" customHeight="1">
      <x:c r="A2380" s="117" t="str">
        <x:v>ProductItem_Before_delete_HWO_Total_Revenue_Roll_Up</x:v>
      </x:c>
      <x:c r="B2380" s="117" t="str">
        <x:v>300Ro00000yTWmnIAG</x:v>
      </x:c>
      <x:c r="C2380" s="117" t="str">
        <x:v>301Ro000016kzfiIAA</x:v>
      </x:c>
      <x:c r="D2380" s="118" t="n">
        <x:v>1</x:v>
      </x:c>
      <x:c r="E2380" s="117" t="str">
        <x:v>Obsolete</x:v>
      </x:c>
      <x:c r="F2380" s="117" t="str">
        <x:v>No</x:v>
      </x:c>
      <x:c r="G2380" s="117" t="str">
        <x:v>No</x:v>
      </x:c>
      <x:c r="H2380" s="117" t="str">
        <x:v>AutoLaunchedFlow</x:v>
      </x:c>
      <x:c r="I2380" s="118" t="n">
        <x:v>57</x:v>
      </x:c>
      <x:c r="J2380" s="117" t="str">
        <x:v>unmanaged</x:v>
      </x:c>
      <x:c r="K2380" s="123" t="b">
        <x:v>0</x:v>
      </x:c>
      <x:c r="L2380" s="117"/>
      <x:c r="M2380" s="118"/>
      <x:c r="N2380" s="120" t="n">
        <x:v>46168.91935185185</x:v>
      </x:c>
      <x:c r="O2380" s="117" t="str">
        <x:v>Delegate</x:v>
      </x:c>
      <x:c r="P2380" s="120" t="n">
        <x:v>46168.92512731482</x:v>
      </x:c>
      <x:c r="Q2380" s="117" t="str">
        <x:v>Delegate</x:v>
      </x:c>
      <x:c r="R2380" s="117" t="str">
        <x:v>ProductItem | Before delete, HWO Total Revenue Roll Up</x:v>
      </x:c>
      <x:c r="S2380" s="119" t="str">
        <x:v>05/26/26 (BW) – Delete counterpart to the on-create HWO Total Revenue roll-up. Runs synchronously before delete (Salesforce does not support async after-delete flows). Queries remaining ProductItems on the Harvest Work Order (excluding the record being deleted) and writes the summed Sales_Price__c to Harvest_Work_Order__c.HWO_Total_Revenue__c.</x:v>
      </x:c>
    </x:row>
    <x:row r="2381" ht="30" customHeight="1">
      <x:c r="A2381" s="117" t="str">
        <x:v>ProductItem_Before_delete_HWO_Total_Revenue_Roll_Up</x:v>
      </x:c>
      <x:c r="B2381" s="117" t="str">
        <x:v>300Ro00000yTWmnIAG</x:v>
      </x:c>
      <x:c r="C2381" s="117" t="str">
        <x:v>301Ro000017He1RIAS</x:v>
      </x:c>
      <x:c r="D2381" s="118" t="n">
        <x:v>2</x:v>
      </x:c>
      <x:c r="E2381" s="117" t="str">
        <x:v>Active</x:v>
      </x:c>
      <x:c r="F2381" s="117" t="str">
        <x:v>Yes</x:v>
      </x:c>
      <x:c r="G2381" s="117" t="str">
        <x:v>Yes</x:v>
      </x:c>
      <x:c r="H2381" s="117" t="str">
        <x:v>AutoLaunchedFlow</x:v>
      </x:c>
      <x:c r="I2381" s="118" t="n">
        <x:v>57</x:v>
      </x:c>
      <x:c r="J2381" s="117" t="str">
        <x:v>unmanaged</x:v>
      </x:c>
      <x:c r="K2381" s="123" t="b">
        <x:v>0</x:v>
      </x:c>
      <x:c r="L2381" s="117"/>
      <x:c r="M2381" s="118"/>
      <x:c r="N2381" s="120" t="n">
        <x:v>46174.76230324074</x:v>
      </x:c>
      <x:c r="O2381" s="117" t="str">
        <x:v>Delegate</x:v>
      </x:c>
      <x:c r="P2381" s="120" t="n">
        <x:v>46174.762395833335</x:v>
      </x:c>
      <x:c r="Q2381" s="117" t="str">
        <x:v>Delegate</x:v>
      </x:c>
      <x:c r="R2381" s="117" t="str">
        <x:v>ProductItem | Before delete, HWO Total Revenue Roll Up</x:v>
      </x:c>
      <x:c r="S2381" s="119" t="str">
        <x:v>05/26/26 (BW) – Delete counterpart to the on-create HWO Total Revenue roll-up. Runs synchronously before delete (Salesforce does not support async after-delete flows). Queries remaining ProductItems on the Harvest Work Order (excluding the record being deleted) and writes the summed Sales_Price__c to Harvest_Work_Order__c.HWO_Total_Revenue__c.
06/01/26 (GD) – Updated entry criteria</x:v>
      </x:c>
    </x:row>
    <x:row r="2382" ht="30" customHeight="1">
      <x:c r="A2382" s="117" t="str">
        <x:v>ProductItem_Before_Delete_Item_Receipt_Amount_Roll_Up</x:v>
      </x:c>
      <x:c r="B2382" s="117" t="str">
        <x:v>300Ro00000yXXXLIA4</x:v>
      </x:c>
      <x:c r="C2382" s="117" t="str">
        <x:v>301Ro000016pTSGIA2</x:v>
      </x:c>
      <x:c r="D2382" s="118" t="n">
        <x:v>1</x:v>
      </x:c>
      <x:c r="E2382" s="117" t="str">
        <x:v>Active</x:v>
      </x:c>
      <x:c r="F2382" s="117" t="str">
        <x:v>Yes</x:v>
      </x:c>
      <x:c r="G2382" s="117" t="str">
        <x:v>Yes</x:v>
      </x:c>
      <x:c r="H2382" s="117" t="str">
        <x:v>AutoLaunchedFlow</x:v>
      </x:c>
      <x:c r="I2382" s="118" t="n">
        <x:v>62</x:v>
      </x:c>
      <x:c r="J2382" s="117" t="str">
        <x:v>unmanaged</x:v>
      </x:c>
      <x:c r="K2382" s="123" t="b">
        <x:v>0</x:v>
      </x:c>
      <x:c r="L2382" s="117"/>
      <x:c r="M2382" s="118"/>
      <x:c r="N2382" s="120" t="n">
        <x:v>46169.63837962963</x:v>
      </x:c>
      <x:c r="O2382" s="117" t="str">
        <x:v>Delegate</x:v>
      </x:c>
      <x:c r="P2382" s="120" t="n">
        <x:v>46169.81542824074</x:v>
      </x:c>
      <x:c r="Q2382" s="117" t="str">
        <x:v>Delegate</x:v>
      </x:c>
      <x:c r="R2382" s="117" t="str">
        <x:v>ProductItem | Before Delete, Item Receipt Amount Roll Up</x:v>
      </x:c>
      <x:c r="S2382" s="119" t="str">
        <x:v>05/27/26 (BW) – Replaces DLRS Item_Receipt_Amount rule. Re-sums remaining ProductItem__c.Cost__c onto Item_Receipt__c.Item_Receipt_Amount__c before a ProductItem is deleted. Excludes the record being deleted from the sum. Item_Receipt_Is_Null_Check decision prevents SOQL when Item_Receipt__c is blank.</x:v>
      </x:c>
    </x:row>
    <x:row r="2383" ht="30" customHeight="1">
      <x:c r="A2383" s="117" t="str">
        <x:v>ProductItem_Before_Delete_Loaner_Asset_Number_Roll_Up</x:v>
      </x:c>
      <x:c r="B2383" s="117" t="str">
        <x:v>300Ro00000zEWo7IAG</x:v>
      </x:c>
      <x:c r="C2383" s="117" t="str">
        <x:v>301Ro000017ZP3sIAG</x:v>
      </x:c>
      <x:c r="D2383" s="118" t="n">
        <x:v>1</x:v>
      </x:c>
      <x:c r="E2383" s="117" t="str">
        <x:v>Active</x:v>
      </x:c>
      <x:c r="F2383" s="117" t="str">
        <x:v>Yes</x:v>
      </x:c>
      <x:c r="G2383" s="117" t="str">
        <x:v>Yes</x:v>
      </x:c>
      <x:c r="H2383" s="117" t="str">
        <x:v>AutoLaunchedFlow</x:v>
      </x:c>
      <x:c r="I2383" s="118" t="n">
        <x:v>62</x:v>
      </x:c>
      <x:c r="J2383" s="117" t="str">
        <x:v>unmanaged</x:v>
      </x:c>
      <x:c r="K2383" s="123" t="b">
        <x:v>0</x:v>
      </x:c>
      <x:c r="L2383" s="117"/>
      <x:c r="M2383" s="118"/>
      <x:c r="N2383" s="120" t="n">
        <x:v>46177.11790509259</x:v>
      </x:c>
      <x:c r="O2383" s="117" t="str">
        <x:v>Delegate</x:v>
      </x:c>
      <x:c r="P2383" s="120" t="n">
        <x:v>46177.121666666666</x:v>
      </x:c>
      <x:c r="Q2383" s="117" t="str">
        <x:v>Delegate</x:v>
      </x:c>
      <x:c r="R2383" s="117" t="str">
        <x:v>ProductItem | Before Delete, Loaner Asset Number Roll Up</x:v>
      </x:c>
      <x:c r="S2383" s="119" t="str">
        <x:v>06/03/26 (GD) – Replaces DLRS Roll_Up_Asset_Numbers_to_Loaner rule on delete. Re-concatenates remaining distinct ProductItem__c.Name values onto Loaner__c.Loaner_Asset__c before a ProductItem is deleted. Excludes the record being deleted via Id != $Record.Id filter on the Get Records. Entry criteria and Loaner_Is_Null_Check prevent SOQL when Loaner__c is blank. Writes null when no items remain.</x:v>
      </x:c>
    </x:row>
    <x:row r="2384" ht="30" customHeight="1">
      <x:c r="A2384" s="117" t="str">
        <x:v>ProductItem_Before_Delete_Loaner_Location_Roll_Up</x:v>
      </x:c>
      <x:c r="B2384" s="117" t="str">
        <x:v>300Ro00000yYvjCIAS</x:v>
      </x:c>
      <x:c r="C2384" s="117" t="str">
        <x:v>301Ro000016rOujIAE</x:v>
      </x:c>
      <x:c r="D2384" s="118" t="n">
        <x:v>1</x:v>
      </x:c>
      <x:c r="E2384" s="117" t="str">
        <x:v>Obsolete</x:v>
      </x:c>
      <x:c r="F2384" s="117" t="str">
        <x:v>No</x:v>
      </x:c>
      <x:c r="G2384" s="117" t="str">
        <x:v>No</x:v>
      </x:c>
      <x:c r="H2384" s="117" t="str">
        <x:v>AutoLaunchedFlow</x:v>
      </x:c>
      <x:c r="I2384" s="118" t="n">
        <x:v>62</x:v>
      </x:c>
      <x:c r="J2384" s="117" t="str">
        <x:v>unmanaged</x:v>
      </x:c>
      <x:c r="K2384" s="123" t="b">
        <x:v>0</x:v>
      </x:c>
      <x:c r="L2384" s="117"/>
      <x:c r="M2384" s="118"/>
      <x:c r="N2384" s="120" t="n">
        <x:v>46169.85548611111</x:v>
      </x:c>
      <x:c r="O2384" s="117" t="str">
        <x:v>Delegate</x:v>
      </x:c>
      <x:c r="P2384" s="120" t="n">
        <x:v>46170.59829861111</x:v>
      </x:c>
      <x:c r="Q2384" s="117" t="str">
        <x:v>Delegate</x:v>
      </x:c>
      <x:c r="R2384" s="117" t="str">
        <x:v>ProductItem | Before Delete, Loaner Location Roll Up</x:v>
      </x:c>
      <x:c r="S2384" s="119" t="str">
        <x:v>05/27/26 (GD) – Replaces DLRS Loaner_Location rule. Re-concatenates remaining ProductItem__c.Location__c onto Loaner__c.Loaner_Location__c before a ProductItem is deleted. Excludes the record being deleted from the concatenation. Loaner_Is_Null_Check decision prevents SOQL when Loaner__c is blank.</x:v>
      </x:c>
    </x:row>
    <x:row r="2385" ht="30" customHeight="1">
      <x:c r="A2385" s="117" t="str">
        <x:v>ProductItem_Before_Delete_Loaner_Location_Roll_Up</x:v>
      </x:c>
      <x:c r="B2385" s="117" t="str">
        <x:v>300Ro00000yYvjCIAS</x:v>
      </x:c>
      <x:c r="C2385" s="117" t="str">
        <x:v>301Ro000017IaAGIA0</x:v>
      </x:c>
      <x:c r="D2385" s="118" t="n">
        <x:v>2</x:v>
      </x:c>
      <x:c r="E2385" s="117" t="str">
        <x:v>Active</x:v>
      </x:c>
      <x:c r="F2385" s="117" t="str">
        <x:v>Yes</x:v>
      </x:c>
      <x:c r="G2385" s="117" t="str">
        <x:v>Yes</x:v>
      </x:c>
      <x:c r="H2385" s="117" t="str">
        <x:v>AutoLaunchedFlow</x:v>
      </x:c>
      <x:c r="I2385" s="118" t="n">
        <x:v>62</x:v>
      </x:c>
      <x:c r="J2385" s="117" t="str">
        <x:v>unmanaged</x:v>
      </x:c>
      <x:c r="K2385" s="123" t="b">
        <x:v>0</x:v>
      </x:c>
      <x:c r="L2385" s="117"/>
      <x:c r="M2385" s="118"/>
      <x:c r="N2385" s="120" t="n">
        <x:v>46174.79792824074</x:v>
      </x:c>
      <x:c r="O2385" s="117" t="str">
        <x:v>Delegate</x:v>
      </x:c>
      <x:c r="P2385" s="120" t="n">
        <x:v>46174.80363425926</x:v>
      </x:c>
      <x:c r="Q2385" s="117" t="str">
        <x:v>Delegate</x:v>
      </x:c>
      <x:c r="R2385" s="117" t="str">
        <x:v>ProductItem | Before Delete, Loaner Location Roll Up</x:v>
      </x:c>
      <x:c r="S2385" s="119" t="str">
        <x:v>05/27/26 (GD) – Replaces DLRS Loaner_Location rule. Re-concatenates remaining ProductItem__c.Location__c onto Loaner__c.Loaner_Location__c before a ProductItem is deleted. Excludes the record being deleted from the concatenation. Loaner_Is_Null_Check decision prevents SOQL when Loaner__c is blank.
06/01/26 (GD) – Added Loaner__c IsNull false entry criteria to prevent execution on every ProductItem delete when no Loaner is set.</x:v>
      </x:c>
    </x:row>
    <x:row r="2386" ht="30" customHeight="1">
      <x:c r="A2386" s="117" t="str">
        <x:v>ProductItem_Before_Delete_Loaner_Serial_Number_Roll_Up</x:v>
      </x:c>
      <x:c r="B2386" s="117" t="str">
        <x:v>300Ro00000ydLwYIAU</x:v>
      </x:c>
      <x:c r="C2386" s="117" t="str">
        <x:v>301Ro000016vt78IAA</x:v>
      </x:c>
      <x:c r="D2386" s="118" t="n">
        <x:v>1</x:v>
      </x:c>
      <x:c r="E2386" s="117" t="str">
        <x:v>Obsolete</x:v>
      </x:c>
      <x:c r="F2386" s="117" t="str">
        <x:v>No</x:v>
      </x:c>
      <x:c r="G2386" s="117" t="str">
        <x:v>No</x:v>
      </x:c>
      <x:c r="H2386" s="117" t="str">
        <x:v>AutoLaunchedFlow</x:v>
      </x:c>
      <x:c r="I2386" s="118" t="n">
        <x:v>62</x:v>
      </x:c>
      <x:c r="J2386" s="117" t="str">
        <x:v>unmanaged</x:v>
      </x:c>
      <x:c r="K2386" s="123" t="b">
        <x:v>0</x:v>
      </x:c>
      <x:c r="L2386" s="117"/>
      <x:c r="M2386" s="118"/>
      <x:c r="N2386" s="120" t="n">
        <x:v>46170.60855324074</x:v>
      </x:c>
      <x:c r="O2386" s="117" t="str">
        <x:v>Delegate</x:v>
      </x:c>
      <x:c r="P2386" s="120" t="n">
        <x:v>46170.61530092593</x:v>
      </x:c>
      <x:c r="Q2386" s="117" t="str">
        <x:v>Delegate</x:v>
      </x:c>
      <x:c r="R2386" s="117" t="str">
        <x:v>ProductItem | Before Delete, Loaner Serial Number Roll Up</x:v>
      </x:c>
      <x:c r="S2386" s="119" t="str">
        <x:v>05/28/26 (GD) – Replaces DLRS Loaner_Serial_Number rule. Re-concatenates remaining ProductItem__c.Serial_No__c onto Loaner__c.Loaner_Serial__c before a ProductItem is deleted. Excludes the record being deleted from the concatenation. Loaner_Is_Null_Check decision prevents SOQL when Loaner__c is blank.</x:v>
      </x:c>
    </x:row>
    <x:row r="2387" ht="30" customHeight="1">
      <x:c r="A2387" s="117" t="str">
        <x:v>ProductItem_Before_Delete_Loaner_Serial_Number_Roll_Up</x:v>
      </x:c>
      <x:c r="B2387" s="117" t="str">
        <x:v>300Ro00000ydLwYIAU</x:v>
      </x:c>
      <x:c r="C2387" s="117" t="str">
        <x:v>301Ro000017IaAHIA0</x:v>
      </x:c>
      <x:c r="D2387" s="118" t="n">
        <x:v>2</x:v>
      </x:c>
      <x:c r="E2387" s="117" t="str">
        <x:v>Active</x:v>
      </x:c>
      <x:c r="F2387" s="117" t="str">
        <x:v>Yes</x:v>
      </x:c>
      <x:c r="G2387" s="117" t="str">
        <x:v>Yes</x:v>
      </x:c>
      <x:c r="H2387" s="117" t="str">
        <x:v>AutoLaunchedFlow</x:v>
      </x:c>
      <x:c r="I2387" s="118" t="n">
        <x:v>62</x:v>
      </x:c>
      <x:c r="J2387" s="117" t="str">
        <x:v>unmanaged</x:v>
      </x:c>
      <x:c r="K2387" s="123" t="b">
        <x:v>0</x:v>
      </x:c>
      <x:c r="L2387" s="117"/>
      <x:c r="M2387" s="118"/>
      <x:c r="N2387" s="120" t="n">
        <x:v>46174.797939814816</x:v>
      </x:c>
      <x:c r="O2387" s="117" t="str">
        <x:v>Delegate</x:v>
      </x:c>
      <x:c r="P2387" s="120" t="n">
        <x:v>46174.80401620371</x:v>
      </x:c>
      <x:c r="Q2387" s="117" t="str">
        <x:v>Delegate</x:v>
      </x:c>
      <x:c r="R2387" s="117" t="str">
        <x:v>ProductItem | Before Delete, Loaner Serial Number Roll Up</x:v>
      </x:c>
      <x:c r="S2387" s="119" t="str">
        <x:v>05/28/26 (GD) – Replaces DLRS Loaner_Serial_Number rule. Re-concatenates remaining ProductItem__c.Serial_No__c onto Loaner__c.Loaner_Serial__c before a ProductItem is deleted. Excludes the record being deleted from the concatenation. Loaner_Is_Null_Check decision prevents SOQL when Loaner__c is blank.
06/01/26 (GD) – Added Loaner__c IsNull false entry criteria to prevent execution on every ProductItem delete when no Loaner is set.</x:v>
      </x:c>
    </x:row>
    <x:row r="2388" ht="30" customHeight="1">
      <x:c r="A2388" s="117" t="str">
        <x:v>ProductItem_Before_delete_Max_Bid_Roll_Up</x:v>
      </x:c>
      <x:c r="B2388" s="117" t="str">
        <x:v>300Ro00000ye8iiIAA</x:v>
      </x:c>
      <x:c r="C2388" s="117" t="str">
        <x:v>301Ro000016wZzBIAU</x:v>
      </x:c>
      <x:c r="D2388" s="118" t="n">
        <x:v>1</x:v>
      </x:c>
      <x:c r="E2388" s="117" t="str">
        <x:v>Obsolete</x:v>
      </x:c>
      <x:c r="F2388" s="117" t="str">
        <x:v>No</x:v>
      </x:c>
      <x:c r="G2388" s="117" t="str">
        <x:v>No</x:v>
      </x:c>
      <x:c r="H2388" s="117" t="str">
        <x:v>AutoLaunchedFlow</x:v>
      </x:c>
      <x:c r="I2388" s="118" t="n">
        <x:v>57</x:v>
      </x:c>
      <x:c r="J2388" s="117" t="str">
        <x:v>unmanaged</x:v>
      </x:c>
      <x:c r="K2388" s="123" t="b">
        <x:v>0</x:v>
      </x:c>
      <x:c r="L2388" s="117"/>
      <x:c r="M2388" s="118"/>
      <x:c r="N2388" s="120" t="n">
        <x:v>46170.62851851852</x:v>
      </x:c>
      <x:c r="O2388" s="117" t="str">
        <x:v>Delegate</x:v>
      </x:c>
      <x:c r="P2388" s="120" t="n">
        <x:v>46170.62972222222</x:v>
      </x:c>
      <x:c r="Q2388" s="117" t="str">
        <x:v>Delegate</x:v>
      </x:c>
      <x:c r="R2388" s="117" t="str">
        <x:v>ProductItem | Before delete, Max Bid Roll Up</x:v>
      </x:c>
      <x:c r="S2388" s="119" t="str">
        <x:v>05/28/26 (GD) – Created to replace the DLRS Max_Bid rollup (on delete). Runs synchronously before delete (Salesforce does not support async after-delete flows). Queries remaining ProductItems on the Purchasing Opportunity (excluding the record being deleted) and writes the summed Max_Bid__c to Opportunity.Max_Bid__c.</x:v>
      </x:c>
    </x:row>
    <x:row r="2389" ht="30" customHeight="1">
      <x:c r="A2389" s="117" t="str">
        <x:v>ProductItem_Before_delete_Max_Bid_Roll_Up</x:v>
      </x:c>
      <x:c r="B2389" s="117" t="str">
        <x:v>300Ro00000ye8iiIAA</x:v>
      </x:c>
      <x:c r="C2389" s="117" t="str">
        <x:v>301Ro000017I3NtIAK</x:v>
      </x:c>
      <x:c r="D2389" s="118" t="n">
        <x:v>2</x:v>
      </x:c>
      <x:c r="E2389" s="117" t="str">
        <x:v>Active</x:v>
      </x:c>
      <x:c r="F2389" s="117" t="str">
        <x:v>Yes</x:v>
      </x:c>
      <x:c r="G2389" s="117" t="str">
        <x:v>Yes</x:v>
      </x:c>
      <x:c r="H2389" s="117" t="str">
        <x:v>AutoLaunchedFlow</x:v>
      </x:c>
      <x:c r="I2389" s="118" t="n">
        <x:v>57</x:v>
      </x:c>
      <x:c r="J2389" s="117" t="str">
        <x:v>unmanaged</x:v>
      </x:c>
      <x:c r="K2389" s="123" t="b">
        <x:v>0</x:v>
      </x:c>
      <x:c r="L2389" s="117"/>
      <x:c r="M2389" s="118"/>
      <x:c r="N2389" s="120" t="n">
        <x:v>46174.75939814815</x:v>
      </x:c>
      <x:c r="O2389" s="117" t="str">
        <x:v>Delegate</x:v>
      </x:c>
      <x:c r="P2389" s="120" t="n">
        <x:v>46174.75947916666</x:v>
      </x:c>
      <x:c r="Q2389" s="117" t="str">
        <x:v>Delegate</x:v>
      </x:c>
      <x:c r="R2389" s="117" t="str">
        <x:v>ProductItem | Before delete, Max Bid Roll Up</x:v>
      </x:c>
      <x:c r="S2389" s="119" t="str">
        <x:v>05/28/26 (GD) – Created to replace the DLRS Max_Bid rollup (on delete). Runs synchronously before delete (Salesforce does not support async after-delete flows). Queries remaining ProductItems on the Purchasing Opportunity (excluding the record being deleted) and writes the summed Max_Bid__c to Opportunity.Max_Bid__c.
06/01/26 (GD) – Updated entry criteria</x:v>
      </x:c>
    </x:row>
    <x:row r="2390" ht="30" customHeight="1">
      <x:c r="A2390" s="117" t="str">
        <x:v>ProductItem_Before_delete_NumberCheckedIn_PO_Roll_Up</x:v>
      </x:c>
      <x:c r="B2390" s="117" t="str">
        <x:v>300Ro00000yeuH5IAI</x:v>
      </x:c>
      <x:c r="C2390" s="117" t="str">
        <x:v>301Ro000016xMqBIAU</x:v>
      </x:c>
      <x:c r="D2390" s="118" t="n">
        <x:v>1</x:v>
      </x:c>
      <x:c r="E2390" s="117" t="str">
        <x:v>Active</x:v>
      </x:c>
      <x:c r="F2390" s="117" t="str">
        <x:v>Yes</x:v>
      </x:c>
      <x:c r="G2390" s="117" t="str">
        <x:v>Yes</x:v>
      </x:c>
      <x:c r="H2390" s="117" t="str">
        <x:v>AutoLaunchedFlow</x:v>
      </x:c>
      <x:c r="I2390" s="118" t="n">
        <x:v>66</x:v>
      </x:c>
      <x:c r="J2390" s="117" t="str">
        <x:v>unmanaged</x:v>
      </x:c>
      <x:c r="K2390" s="123" t="b">
        <x:v>0</x:v>
      </x:c>
      <x:c r="L2390" s="117"/>
      <x:c r="M2390" s="118"/>
      <x:c r="N2390" s="120" t="n">
        <x:v>46170.64797453704</x:v>
      </x:c>
      <x:c r="O2390" s="117" t="str">
        <x:v>Delegate</x:v>
      </x:c>
      <x:c r="P2390" s="120" t="n">
        <x:v>46170.650300925925</x:v>
      </x:c>
      <x:c r="Q2390" s="117" t="str">
        <x:v>Delegate</x:v>
      </x:c>
      <x:c r="R2390" s="117" t="str">
        <x:v>ProductItem | Before delete, Number of Checked In Items PO Roll Up</x:v>
      </x:c>
      <x:c r="S2390" s="119" t="str">
        <x:v>05/28/26 (GD) – Replaces DLRS rule NumberOfCheckedInItemsPO delete path. Runs before the ProductItem is deleted; excludes the being-deleted record from the re-query so Opportunity.Number_of_Checked_In_Items__c is accurate after deletion.</x:v>
      </x:c>
    </x:row>
    <x:row r="2391" ht="30" customHeight="1">
      <x:c r="A2391" s="117" t="str">
        <x:v>ProductItem_Before_Delete_Pur_Op_Total_Cost_of_Unsold_Assets_Roll_Up</x:v>
      </x:c>
      <x:c r="B2391" s="117" t="str">
        <x:v>300Ro00000yyHEoIAM</x:v>
      </x:c>
      <x:c r="C2391" s="117" t="str">
        <x:v>301Ro000017I0oHIAS</x:v>
      </x:c>
      <x:c r="D2391" s="118" t="n">
        <x:v>1</x:v>
      </x:c>
      <x:c r="E2391" s="117" t="str">
        <x:v>Active</x:v>
      </x:c>
      <x:c r="F2391" s="117" t="str">
        <x:v>Yes</x:v>
      </x:c>
      <x:c r="G2391" s="117" t="str">
        <x:v>Yes</x:v>
      </x:c>
      <x:c r="H2391" s="117" t="str">
        <x:v>AutoLaunchedFlow</x:v>
      </x:c>
      <x:c r="I2391" s="118" t="n">
        <x:v>62</x:v>
      </x:c>
      <x:c r="J2391" s="117" t="str">
        <x:v>unmanaged</x:v>
      </x:c>
      <x:c r="K2391" s="123" t="b">
        <x:v>0</x:v>
      </x:c>
      <x:c r="L2391" s="117"/>
      <x:c r="M2391" s="118"/>
      <x:c r="N2391" s="120" t="n">
        <x:v>46174.82052083333</x:v>
      </x:c>
      <x:c r="O2391" s="117" t="str">
        <x:v>Delegate</x:v>
      </x:c>
      <x:c r="P2391" s="120" t="n">
        <x:v>46174.884247685186</x:v>
      </x:c>
      <x:c r="Q2391" s="117" t="str">
        <x:v>Delegate</x:v>
      </x:c>
      <x:c r="R2391" s="117" t="str">
        <x:v>ProductItem | Before Delete, Pur Op Total Cost of Unsold Assets Roll Up</x:v>
      </x:c>
      <x:c r="S2391" s="119" t="str">
        <x:v>06/01/26 (GD) – Replaces DLRS TotalCostOfUnsoldAssetsPurchasing rule. Before delete, re-sums remaining ProductItem__c.Cost__c where Sold__c = false onto Opportunity.Total_Cost_of_Unsold_Assets__c. Excludes the record being deleted. Entry criteria and null check prevent execution when Purchasing_Opportunity__c is blank or record was already sold.</x:v>
      </x:c>
    </x:row>
    <x:row r="2392" ht="30" customHeight="1">
      <x:c r="A2392" s="117" t="str">
        <x:v>ProductItem_Before_Delete_Pur_Op_Total_Cost_Roll_Up</x:v>
      </x:c>
      <x:c r="B2392" s="117" t="str">
        <x:v>300Ro00000yyBCZIA2</x:v>
      </x:c>
      <x:c r="C2392" s="117" t="str">
        <x:v>301Ro000017Hi4yIAC</x:v>
      </x:c>
      <x:c r="D2392" s="118" t="n">
        <x:v>1</x:v>
      </x:c>
      <x:c r="E2392" s="117" t="str">
        <x:v>Active</x:v>
      </x:c>
      <x:c r="F2392" s="117" t="str">
        <x:v>Yes</x:v>
      </x:c>
      <x:c r="G2392" s="117" t="str">
        <x:v>Yes</x:v>
      </x:c>
      <x:c r="H2392" s="117" t="str">
        <x:v>AutoLaunchedFlow</x:v>
      </x:c>
      <x:c r="I2392" s="118" t="n">
        <x:v>62</x:v>
      </x:c>
      <x:c r="J2392" s="117" t="str">
        <x:v>unmanaged</x:v>
      </x:c>
      <x:c r="K2392" s="123" t="b">
        <x:v>0</x:v>
      </x:c>
      <x:c r="L2392" s="117"/>
      <x:c r="M2392" s="118"/>
      <x:c r="N2392" s="120" t="n">
        <x:v>46174.779861111114</x:v>
      </x:c>
      <x:c r="O2392" s="117" t="str">
        <x:v>Delegate</x:v>
      </x:c>
      <x:c r="P2392" s="120" t="n">
        <x:v>46174.78138888889</x:v>
      </x:c>
      <x:c r="Q2392" s="117" t="str">
        <x:v>Delegate</x:v>
      </x:c>
      <x:c r="R2392" s="117" t="str">
        <x:v>ProductItem | Before Delete, Pur Op Total Cost Roll Up</x:v>
      </x:c>
      <x:c r="S2392" s="119" t="str">
        <x:v>06/01/26 (GD) – Replaces DLRS TotalCostOfAssetsOnPurchasingOp rule. Before delete, re-sums remaining ProductItem__c.Cost__c onto Opportunity.Total_Cost_of_Assets__c. Excludes the record being deleted from the sum. Entry criteria and Purchasing_Opportunity_Is_Null_Check prevent execution when Purchasing_Opportunity__c is blank.</x:v>
      </x:c>
    </x:row>
    <x:row r="2393" ht="30" customHeight="1">
      <x:c r="A2393" s="117" t="str">
        <x:v>ProductItem_Before_Delete_Pur_Op_Working_Capital_Usage_Days_Roll_Up</x:v>
      </x:c>
      <x:c r="B2393" s="117" t="str">
        <x:v>300Ro00000yzeilIAA</x:v>
      </x:c>
      <x:c r="C2393" s="117" t="str">
        <x:v>301Ro000017JcBZIA0</x:v>
      </x:c>
      <x:c r="D2393" s="118" t="n">
        <x:v>1</x:v>
      </x:c>
      <x:c r="E2393" s="117" t="str">
        <x:v>Active</x:v>
      </x:c>
      <x:c r="F2393" s="117" t="str">
        <x:v>Yes</x:v>
      </x:c>
      <x:c r="G2393" s="117" t="str">
        <x:v>Yes</x:v>
      </x:c>
      <x:c r="H2393" s="117" t="str">
        <x:v>AutoLaunchedFlow</x:v>
      </x:c>
      <x:c r="I2393" s="118" t="n">
        <x:v>62</x:v>
      </x:c>
      <x:c r="J2393" s="117" t="str">
        <x:v>unmanaged</x:v>
      </x:c>
      <x:c r="K2393" s="123" t="b">
        <x:v>0</x:v>
      </x:c>
      <x:c r="L2393" s="117"/>
      <x:c r="M2393" s="118"/>
      <x:c r="N2393" s="120" t="n">
        <x:v>46174.90998842593</x:v>
      </x:c>
      <x:c r="O2393" s="117" t="str">
        <x:v>Delegate</x:v>
      </x:c>
      <x:c r="P2393" s="120" t="n">
        <x:v>46174.953877314816</x:v>
      </x:c>
      <x:c r="Q2393" s="117" t="str">
        <x:v>Delegate</x:v>
      </x:c>
      <x:c r="R2393" s="117" t="str">
        <x:v>ProductItem | Before Delete, Pur Op Working Capital Usage Days Roll Up</x:v>
      </x:c>
      <x:c r="S2393" s="119" t="str">
        <x:v>06/01/26 (GD) – Replaces DLRS Working_Capital_Usage_Days_Roll_Up rule. Before delete, re-averages remaining ProductItem__c.Working_Capital_Usage_Days__c onto Opportunity.Working_Capital_Usage_Days__c. Excludes the record being deleted and any records with null Working_Capital_Usage_Days__c. Sets parent to null when no qualifying records remain. Entry criteria and null check prevent execution when Purchasing_Opportunity__c is blank or the deleted record had no value in Working_Capital_Usage_Days__c.</x:v>
      </x:c>
    </x:row>
    <x:row r="2394" ht="30" customHeight="1">
      <x:c r="A2394" s="117" t="str">
        <x:v>ProductItem_Before_delete_Rental_Order_Price_Roll_Up</x:v>
      </x:c>
      <x:c r="B2394" s="117" t="str">
        <x:v>300Ro00000zDVJ0IAO</x:v>
      </x:c>
      <x:c r="C2394" s="117" t="str">
        <x:v>301Ro000017YI62IAG</x:v>
      </x:c>
      <x:c r="D2394" s="118" t="n">
        <x:v>1</x:v>
      </x:c>
      <x:c r="E2394" s="117" t="str">
        <x:v>Active</x:v>
      </x:c>
      <x:c r="F2394" s="117" t="str">
        <x:v>Yes</x:v>
      </x:c>
      <x:c r="G2394" s="117" t="str">
        <x:v>Yes</x:v>
      </x:c>
      <x:c r="H2394" s="117" t="str">
        <x:v>AutoLaunchedFlow</x:v>
      </x:c>
      <x:c r="I2394" s="118" t="n">
        <x:v>66</x:v>
      </x:c>
      <x:c r="J2394" s="117" t="str">
        <x:v>unmanaged</x:v>
      </x:c>
      <x:c r="K2394" s="123" t="b">
        <x:v>0</x:v>
      </x:c>
      <x:c r="L2394" s="117"/>
      <x:c r="M2394" s="118"/>
      <x:c r="N2394" s="120" t="n">
        <x:v>46176.91552083333</x:v>
      </x:c>
      <x:c r="O2394" s="117" t="str">
        <x:v>Delegate</x:v>
      </x:c>
      <x:c r="P2394" s="120" t="n">
        <x:v>46177.11329861111</x:v>
      </x:c>
      <x:c r="Q2394" s="117" t="str">
        <x:v>Delegate</x:v>
      </x:c>
      <x:c r="R2394" s="117" t="str">
        <x:v>ProductItem | Before delete, Rental Order Price Roll Up</x:v>
      </x:c>
      <x:c r="S2394" s="119" t="str">
        <x:v>06/03/26 (GD) – Replaces DLRS Rental_Order_Price rule (on delete). Runs synchronously before delete (Salesforce does not support async after-delete flows). Queries remaining ProductItems on the Rental Order (excluding the record being deleted) and writes the summed Sales_Price__c to Rental_Order__c.Rental_Amount__c. Entry criteria guards against null Rental_Order__c to avoid unnecessary SOQL.</x:v>
      </x:c>
    </x:row>
    <x:row r="2395" ht="30" customHeight="1">
      <x:c r="A2395" s="117" t="str">
        <x:v>ProductItem_Before_delete_Starting_Bid_Roll_Up</x:v>
      </x:c>
      <x:c r="B2395" s="117" t="str">
        <x:v>300Ro00000yxeS2IAI</x:v>
      </x:c>
      <x:c r="C2395" s="117" t="str">
        <x:v>301Ro000017HNzwIAG</x:v>
      </x:c>
      <x:c r="D2395" s="118" t="n">
        <x:v>1</x:v>
      </x:c>
      <x:c r="E2395" s="117" t="str">
        <x:v>Obsolete</x:v>
      </x:c>
      <x:c r="F2395" s="117" t="str">
        <x:v>No</x:v>
      </x:c>
      <x:c r="G2395" s="117" t="str">
        <x:v>No</x:v>
      </x:c>
      <x:c r="H2395" s="117" t="str">
        <x:v>AutoLaunchedFlow</x:v>
      </x:c>
      <x:c r="I2395" s="118" t="n">
        <x:v>57</x:v>
      </x:c>
      <x:c r="J2395" s="117" t="str">
        <x:v>unmanaged</x:v>
      </x:c>
      <x:c r="K2395" s="123" t="b">
        <x:v>0</x:v>
      </x:c>
      <x:c r="L2395" s="117"/>
      <x:c r="M2395" s="118"/>
      <x:c r="N2395" s="120" t="n">
        <x:v>46174.74986111111</x:v>
      </x:c>
      <x:c r="O2395" s="117" t="str">
        <x:v>Delegate</x:v>
      </x:c>
      <x:c r="P2395" s="120" t="n">
        <x:v>46174.75206018519</x:v>
      </x:c>
      <x:c r="Q2395" s="117" t="str">
        <x:v>Delegate</x:v>
      </x:c>
      <x:c r="R2395" s="117" t="str">
        <x:v>ProductItem | Before delete, Starting Bid Roll Up</x:v>
      </x:c>
      <x:c r="S2395" s="119" t="str">
        <x:v>06/01/26 (GD) – Created to replace the DLRS Starting_Bid rollup (on delete). Runs synchronously before delete. Queries remaining ProductItems on the Purchasing Opportunity (excluding the record being deleted) and writes the summed Starting_Bid__c to Opportunity.Starting_Bid__c.</x:v>
      </x:c>
    </x:row>
    <x:row r="2396" ht="30" customHeight="1">
      <x:c r="A2396" s="117" t="str">
        <x:v>ProductItem_Before_delete_Starting_Bid_Roll_Up</x:v>
      </x:c>
      <x:c r="B2396" s="117" t="str">
        <x:v>300Ro00000yxeS2IAI</x:v>
      </x:c>
      <x:c r="C2396" s="117" t="str">
        <x:v>301Ro000017HjPEIA0</x:v>
      </x:c>
      <x:c r="D2396" s="118" t="n">
        <x:v>2</x:v>
      </x:c>
      <x:c r="E2396" s="117" t="str">
        <x:v>Active</x:v>
      </x:c>
      <x:c r="F2396" s="117" t="str">
        <x:v>Yes</x:v>
      </x:c>
      <x:c r="G2396" s="117" t="str">
        <x:v>Yes</x:v>
      </x:c>
      <x:c r="H2396" s="117" t="str">
        <x:v>AutoLaunchedFlow</x:v>
      </x:c>
      <x:c r="I2396" s="118" t="n">
        <x:v>57</x:v>
      </x:c>
      <x:c r="J2396" s="117" t="str">
        <x:v>unmanaged</x:v>
      </x:c>
      <x:c r="K2396" s="123" t="b">
        <x:v>0</x:v>
      </x:c>
      <x:c r="L2396" s="117"/>
      <x:c r="M2396" s="118"/>
      <x:c r="N2396" s="120" t="n">
        <x:v>46174.75508101852</x:v>
      </x:c>
      <x:c r="O2396" s="117" t="str">
        <x:v>Delegate</x:v>
      </x:c>
      <x:c r="P2396" s="120" t="n">
        <x:v>46174.75519675926</x:v>
      </x:c>
      <x:c r="Q2396" s="117" t="str">
        <x:v>Delegate</x:v>
      </x:c>
      <x:c r="R2396" s="117" t="str">
        <x:v>ProductItem | Before delete, Starting Bid Roll Up</x:v>
      </x:c>
      <x:c r="S2396" s="119" t="str">
        <x:v>06/01/26 (GD) – Created to replace the DLRS Starting_Bid rollup (on delete). Runs synchronously before delete. Queries remaining ProductItems on the Purchasing Opportunity (excluding the record being deleted) and writes the summed Starting_Bid__c to Opportunity.Starting_Bid__c.</x:v>
      </x:c>
    </x:row>
    <x:row r="2397" ht="30" customHeight="1">
      <x:c r="A2397" s="117" t="str">
        <x:v>ProductItem_on_update_Pur_Op_Total_Cost_of_Unsold_Assets_Roll_Up</x:v>
      </x:c>
      <x:c r="B2397" s="117" t="str">
        <x:v>300Ro00000yyHEpIAM</x:v>
      </x:c>
      <x:c r="C2397" s="117" t="str">
        <x:v>301Ro000017I0oIIAS</x:v>
      </x:c>
      <x:c r="D2397" s="118" t="n">
        <x:v>1</x:v>
      </x:c>
      <x:c r="E2397" s="117" t="str">
        <x:v>Obsolete</x:v>
      </x:c>
      <x:c r="F2397" s="117" t="str">
        <x:v>No</x:v>
      </x:c>
      <x:c r="G2397" s="117" t="str">
        <x:v>No</x:v>
      </x:c>
      <x:c r="H2397" s="117" t="str">
        <x:v>AutoLaunchedFlow</x:v>
      </x:c>
      <x:c r="I2397" s="118" t="n">
        <x:v>62</x:v>
      </x:c>
      <x:c r="J2397" s="117" t="str">
        <x:v>unmanaged</x:v>
      </x:c>
      <x:c r="K2397" s="123" t="b">
        <x:v>0</x:v>
      </x:c>
      <x:c r="L2397" s="117"/>
      <x:c r="M2397" s="118"/>
      <x:c r="N2397" s="120" t="n">
        <x:v>46174.82053240741</x:v>
      </x:c>
      <x:c r="O2397" s="117" t="str">
        <x:v>Delegate</x:v>
      </x:c>
      <x:c r="P2397" s="120" t="n">
        <x:v>46174.88417824074</x:v>
      </x:c>
      <x:c r="Q2397" s="117" t="str">
        <x:v>Delegate</x:v>
      </x:c>
      <x:c r="R2397" s="117" t="str">
        <x:v>ProductItem | on update, Pur Op Total Cost of Unsold Assets Roll Up</x:v>
      </x:c>
      <x:c r="S2397" s="119" t="str">
        <x:v>06/01/26 (GD) – Replaces DLRS TotalCostOfUnsoldAssetsPurchasing rule. On update when Cost__c, Sold__c, or Purchasing_Opportunity__c changes, sums ProductItem__c.Cost__c where Sold__c = false onto Opportunity.Total_Cost_of_Unsold_Assets__c. Runs synchronously to support reparenting via $Record__Prior. On reparent, updates both old and new Opportunity.</x:v>
      </x:c>
    </x:row>
    <x:row r="2398" ht="30" customHeight="1">
      <x:c r="A2398" s="117" t="str">
        <x:v>ProductItem_on_update_Pur_Op_Total_Cost_of_Unsold_Assets_Roll_Up</x:v>
      </x:c>
      <x:c r="B2398" s="117" t="str">
        <x:v>300Ro00000yyHEpIAM</x:v>
      </x:c>
      <x:c r="C2398" s="117" t="str">
        <x:v>301Ro000019bsBqIAI</x:v>
      </x:c>
      <x:c r="D2398" s="118" t="n">
        <x:v>2</x:v>
      </x:c>
      <x:c r="E2398" s="117" t="str">
        <x:v>Active</x:v>
      </x:c>
      <x:c r="F2398" s="117" t="str">
        <x:v>Yes</x:v>
      </x:c>
      <x:c r="G2398" s="117" t="str">
        <x:v>Yes</x:v>
      </x:c>
      <x:c r="H2398" s="117" t="str">
        <x:v>AutoLaunchedFlow</x:v>
      </x:c>
      <x:c r="I2398" s="118" t="n">
        <x:v>62</x:v>
      </x:c>
      <x:c r="J2398" s="117" t="str">
        <x:v>unmanaged</x:v>
      </x:c>
      <x:c r="K2398" s="123" t="b">
        <x:v>0</x:v>
      </x:c>
      <x:c r="L2398" s="117"/>
      <x:c r="M2398" s="118"/>
      <x:c r="N2398" s="120" t="n">
        <x:v>46199.19366898148</x:v>
      </x:c>
      <x:c r="O2398" s="117" t="str">
        <x:v>Natalie Boger</x:v>
      </x:c>
      <x:c r="P2398" s="120" t="n">
        <x:v>46199.193773148145</x:v>
      </x:c>
      <x:c r="Q2398" s="117" t="str">
        <x:v>Natalie Boger</x:v>
      </x:c>
      <x:c r="R2398" s="117" t="str">
        <x:v>ProductItem | on update, Pur Op Total Cost of Unsold Assets Roll Up</x:v>
      </x:c>
      <x:c r="S2398" s="119" t="str">
        <x:v>6.25.26 - Added bypass opp trigger invocable methods to avoid SOQL limit errors. NB</x:v>
      </x:c>
    </x:row>
    <x:row r="2399" ht="30" customHeight="1">
      <x:c r="A2399" s="117" t="str">
        <x:v>ProductItem_on_update_Pur_Op_Total_Cost_Roll_Up</x:v>
      </x:c>
      <x:c r="B2399" s="117" t="str">
        <x:v>300Ro00000yyBCaIAM</x:v>
      </x:c>
      <x:c r="C2399" s="117" t="str">
        <x:v>301Ro000017Hi4zIAC</x:v>
      </x:c>
      <x:c r="D2399" s="118" t="n">
        <x:v>1</x:v>
      </x:c>
      <x:c r="E2399" s="117" t="str">
        <x:v>Active</x:v>
      </x:c>
      <x:c r="F2399" s="117" t="str">
        <x:v>Yes</x:v>
      </x:c>
      <x:c r="G2399" s="117" t="str">
        <x:v>Yes</x:v>
      </x:c>
      <x:c r="H2399" s="117" t="str">
        <x:v>AutoLaunchedFlow</x:v>
      </x:c>
      <x:c r="I2399" s="118" t="n">
        <x:v>62</x:v>
      </x:c>
      <x:c r="J2399" s="117" t="str">
        <x:v>unmanaged</x:v>
      </x:c>
      <x:c r="K2399" s="123" t="b">
        <x:v>0</x:v>
      </x:c>
      <x:c r="L2399" s="117"/>
      <x:c r="M2399" s="118"/>
      <x:c r="N2399" s="120" t="n">
        <x:v>46174.77987268518</x:v>
      </x:c>
      <x:c r="O2399" s="117" t="str">
        <x:v>Delegate</x:v>
      </x:c>
      <x:c r="P2399" s="120" t="n">
        <x:v>46174.781851851854</x:v>
      </x:c>
      <x:c r="Q2399" s="117" t="str">
        <x:v>Delegate</x:v>
      </x:c>
      <x:c r="R2399" s="117" t="str">
        <x:v>ProductItem | on update, Pur Op Total Cost Roll Up</x:v>
      </x:c>
      <x:c r="S2399" s="119" t="str">
        <x:v>06/01/26 (GD) – Replaces DLRS TotalCostOfAssetsOnPurchasingOp rule. On update when Cost__c or Purchasing_Opportunity__c changes, sums ProductItem__c.Cost__c onto Opportunity.Total_Cost_of_Assets__c. Runs synchronously to support reparenting via $Record__Prior. On reparent, updates both old and new Opportunity.</x:v>
      </x:c>
    </x:row>
    <x:row r="2400" ht="30" customHeight="1">
      <x:c r="A2400" s="117" t="str">
        <x:v>ProductItem_on_update_Pur_Op_Working_Capital_Usage_Days_Roll_Up</x:v>
      </x:c>
      <x:c r="B2400" s="117" t="str">
        <x:v>300Ro00000yzeimIAA</x:v>
      </x:c>
      <x:c r="C2400" s="117" t="str">
        <x:v>301Ro000017JcBaIAK</x:v>
      </x:c>
      <x:c r="D2400" s="118" t="n">
        <x:v>1</x:v>
      </x:c>
      <x:c r="E2400" s="117" t="str">
        <x:v>Active</x:v>
      </x:c>
      <x:c r="F2400" s="117" t="str">
        <x:v>Yes</x:v>
      </x:c>
      <x:c r="G2400" s="117" t="str">
        <x:v>Yes</x:v>
      </x:c>
      <x:c r="H2400" s="117" t="str">
        <x:v>AutoLaunchedFlow</x:v>
      </x:c>
      <x:c r="I2400" s="118" t="n">
        <x:v>62</x:v>
      </x:c>
      <x:c r="J2400" s="117" t="str">
        <x:v>unmanaged</x:v>
      </x:c>
      <x:c r="K2400" s="123" t="b">
        <x:v>0</x:v>
      </x:c>
      <x:c r="L2400" s="117"/>
      <x:c r="M2400" s="118"/>
      <x:c r="N2400" s="120" t="n">
        <x:v>46174.91</x:v>
      </x:c>
      <x:c r="O2400" s="117" t="str">
        <x:v>Delegate</x:v>
      </x:c>
      <x:c r="P2400" s="120" t="n">
        <x:v>46174.953888888886</x:v>
      </x:c>
      <x:c r="Q2400" s="117" t="str">
        <x:v>Delegate</x:v>
      </x:c>
      <x:c r="R2400" s="117" t="str">
        <x:v>ProductItem | on update, Pur Op Working Capital Usage Days Roll Up</x:v>
      </x:c>
      <x:c r="S2400" s="119" t="str">
        <x:v>06/01/26 (GD) – Replaces DLRS Working_Capital_Usage_Days_Roll_Up rule. On update when Working_Capital_Usage_Days__c or Purchasing_Opportunity__c changes, averages ProductItem__c.Working_Capital_Usage_Days__c onto Opportunity.Working_Capital_Usage_Days__c. Only includes records where Working_Capital_Usage_Days__c is not null. Sets parent to null when no qualifying records exist. Runs synchronously to support reparenting via $Record__Prior. On reparent, updates both old and new Opportunity.</x:v>
      </x:c>
    </x:row>
    <x:row r="2401" ht="30" customHeight="1">
      <x:c r="A2401" s="117" t="str">
        <x:v>ProductItem_on_update_Rental_Order_Price_Roll_Up</x:v>
      </x:c>
      <x:c r="B2401" s="117" t="str">
        <x:v>300Ro00000zDVJ1IAO</x:v>
      </x:c>
      <x:c r="C2401" s="117" t="str">
        <x:v>301Ro000017YI63IAG</x:v>
      </x:c>
      <x:c r="D2401" s="118" t="n">
        <x:v>1</x:v>
      </x:c>
      <x:c r="E2401" s="117" t="str">
        <x:v>Active</x:v>
      </x:c>
      <x:c r="F2401" s="117" t="str">
        <x:v>Yes</x:v>
      </x:c>
      <x:c r="G2401" s="117" t="str">
        <x:v>Yes</x:v>
      </x:c>
      <x:c r="H2401" s="117" t="str">
        <x:v>AutoLaunchedFlow</x:v>
      </x:c>
      <x:c r="I2401" s="118" t="n">
        <x:v>66</x:v>
      </x:c>
      <x:c r="J2401" s="117" t="str">
        <x:v>unmanaged</x:v>
      </x:c>
      <x:c r="K2401" s="123" t="b">
        <x:v>0</x:v>
      </x:c>
      <x:c r="L2401" s="117"/>
      <x:c r="M2401" s="118"/>
      <x:c r="N2401" s="120" t="n">
        <x:v>46176.91553240741</x:v>
      </x:c>
      <x:c r="O2401" s="117" t="str">
        <x:v>Delegate</x:v>
      </x:c>
      <x:c r="P2401" s="120" t="n">
        <x:v>46177.11326388889</x:v>
      </x:c>
      <x:c r="Q2401" s="117" t="str">
        <x:v>Delegate</x:v>
      </x:c>
      <x:c r="R2401" s="117" t="str">
        <x:v>ProductItem | on update, Rental Order Price Roll Up</x:v>
      </x:c>
      <x:c r="S2401" s="119" t="str">
        <x:v>06/03/26 (GD) – Replaces DLRS Rental_Order_Price rule (on update). When Sales_Price__c or Rental_Order__c changes, recalculates Rental_Order__c.Rental_Amount__c. Runs synchronously to support reparenting via $Record__Prior. On reparent, updates both the old and new Rental Order.</x:v>
      </x:c>
    </x:row>
    <x:row r="2402" ht="30" customHeight="1">
      <x:c r="A2402" s="117" t="str">
        <x:v>ProductUpdatesFlow</x:v>
      </x:c>
      <x:c r="B2402" s="117" t="str">
        <x:v>3005b000000LJCEAA4</x:v>
      </x:c>
      <x:c r="C2402" s="117" t="str">
        <x:v>3015b000000ANxRAAW</x:v>
      </x:c>
      <x:c r="D2402" s="118" t="n">
        <x:v>1</x:v>
      </x:c>
      <x:c r="E2402" s="117" t="str">
        <x:v>Obsolete</x:v>
      </x:c>
      <x:c r="F2402" s="117" t="str">
        <x:v>No</x:v>
      </x:c>
      <x:c r="G2402" s="117" t="str">
        <x:v>No</x:v>
      </x:c>
      <x:c r="H2402" s="117" t="str">
        <x:v>AutoLaunchedFlow</x:v>
      </x:c>
      <x:c r="I2402" s="118" t="n">
        <x:v>58</x:v>
      </x:c>
      <x:c r="J2402" s="117" t="str">
        <x:v>unmanaged</x:v>
      </x:c>
      <x:c r="K2402" s="123" t="b">
        <x:v>0</x:v>
      </x:c>
      <x:c r="L2402" s="117"/>
      <x:c r="M2402" s="118"/>
      <x:c r="N2402" s="120" t="n">
        <x:v>45120.6159375</x:v>
      </x:c>
      <x:c r="O2402" s="117" t="str">
        <x:v>Jace Gentil</x:v>
      </x:c>
      <x:c r="P2402" s="120" t="n">
        <x:v>45120.61601851852</x:v>
      </x:c>
      <x:c r="Q2402" s="117" t="str">
        <x:v>Jace Gentil</x:v>
      </x:c>
      <x:c r="R2402" s="117" t="str">
        <x:v>ProductUpdatesFlow</x:v>
      </x:c>
      <x:c r="S2402" s="119" t="str">
        <x:v>For updates that need to happen when a product is updated, mainly the PriceBookEntry creations</x:v>
      </x:c>
    </x:row>
    <x:row r="2403" ht="30" customHeight="1">
      <x:c r="A2403" s="117" t="str">
        <x:v>ProductUpdatesFlow</x:v>
      </x:c>
      <x:c r="B2403" s="117" t="str">
        <x:v>3005b000000LJCEAA4</x:v>
      </x:c>
      <x:c r="C2403" s="117" t="str">
        <x:v>3015b000000ANyFAAW</x:v>
      </x:c>
      <x:c r="D2403" s="118" t="n">
        <x:v>2</x:v>
      </x:c>
      <x:c r="E2403" s="117" t="str">
        <x:v>Obsolete</x:v>
      </x:c>
      <x:c r="F2403" s="117" t="str">
        <x:v>No</x:v>
      </x:c>
      <x:c r="G2403" s="117" t="str">
        <x:v>No</x:v>
      </x:c>
      <x:c r="H2403" s="117" t="str">
        <x:v>AutoLaunchedFlow</x:v>
      </x:c>
      <x:c r="I2403" s="118" t="n">
        <x:v>58</x:v>
      </x:c>
      <x:c r="J2403" s="117" t="str">
        <x:v>unmanaged</x:v>
      </x:c>
      <x:c r="K2403" s="123" t="b">
        <x:v>0</x:v>
      </x:c>
      <x:c r="L2403" s="117"/>
      <x:c r="M2403" s="118"/>
      <x:c r="N2403" s="120" t="n">
        <x:v>45120.6352662037</x:v>
      </x:c>
      <x:c r="O2403" s="117" t="str">
        <x:v>Jace Gentil</x:v>
      </x:c>
      <x:c r="P2403" s="120" t="n">
        <x:v>45120.63532407407</x:v>
      </x:c>
      <x:c r="Q2403" s="117" t="str">
        <x:v>Jace Gentil</x:v>
      </x:c>
      <x:c r="R2403" s="117" t="str">
        <x:v>ProductUpdatesFlow</x:v>
      </x:c>
      <x:c r="S2403" s="119" t="str">
        <x:v>For updates that need to happen when a product is updated, mainly the PriceBookEntry creations</x:v>
      </x:c>
    </x:row>
    <x:row r="2404" ht="30" customHeight="1">
      <x:c r="A2404" s="117" t="str">
        <x:v>ProductUpdatesFlow</x:v>
      </x:c>
      <x:c r="B2404" s="117" t="str">
        <x:v>3005b000000LJCEAA4</x:v>
      </x:c>
      <x:c r="C2404" s="117" t="str">
        <x:v>3015b000000ANyKAAW</x:v>
      </x:c>
      <x:c r="D2404" s="118" t="n">
        <x:v>3</x:v>
      </x:c>
      <x:c r="E2404" s="117" t="str">
        <x:v>Obsolete</x:v>
      </x:c>
      <x:c r="F2404" s="117" t="str">
        <x:v>No</x:v>
      </x:c>
      <x:c r="G2404" s="117" t="str">
        <x:v>No</x:v>
      </x:c>
      <x:c r="H2404" s="117" t="str">
        <x:v>AutoLaunchedFlow</x:v>
      </x:c>
      <x:c r="I2404" s="118" t="n">
        <x:v>58</x:v>
      </x:c>
      <x:c r="J2404" s="117" t="str">
        <x:v>unmanaged</x:v>
      </x:c>
      <x:c r="K2404" s="123" t="b">
        <x:v>0</x:v>
      </x:c>
      <x:c r="L2404" s="117"/>
      <x:c r="M2404" s="118"/>
      <x:c r="N2404" s="120" t="n">
        <x:v>45120.63630787037</x:v>
      </x:c>
      <x:c r="O2404" s="117" t="str">
        <x:v>Jace Gentil</x:v>
      </x:c>
      <x:c r="P2404" s="120" t="n">
        <x:v>45120.636354166665</x:v>
      </x:c>
      <x:c r="Q2404" s="117" t="str">
        <x:v>Jace Gentil</x:v>
      </x:c>
      <x:c r="R2404" s="117" t="str">
        <x:v>ProductUpdatesFlow</x:v>
      </x:c>
      <x:c r="S2404" s="119" t="str">
        <x:v>For updates that need to happen when a product is updated, mainly the PriceBookEntry creations</x:v>
      </x:c>
    </x:row>
    <x:row r="2405" ht="30" customHeight="1">
      <x:c r="A2405" s="117" t="str">
        <x:v>ProductUpdatesFlow</x:v>
      </x:c>
      <x:c r="B2405" s="117" t="str">
        <x:v>3005b000000LJCEAA4</x:v>
      </x:c>
      <x:c r="C2405" s="117" t="str">
        <x:v>3015b000000ANyPAAW</x:v>
      </x:c>
      <x:c r="D2405" s="118" t="n">
        <x:v>4</x:v>
      </x:c>
      <x:c r="E2405" s="117" t="str">
        <x:v>Obsolete</x:v>
      </x:c>
      <x:c r="F2405" s="117" t="str">
        <x:v>No</x:v>
      </x:c>
      <x:c r="G2405" s="117" t="str">
        <x:v>No</x:v>
      </x:c>
      <x:c r="H2405" s="117" t="str">
        <x:v>AutoLaunchedFlow</x:v>
      </x:c>
      <x:c r="I2405" s="118" t="n">
        <x:v>58</x:v>
      </x:c>
      <x:c r="J2405" s="117" t="str">
        <x:v>unmanaged</x:v>
      </x:c>
      <x:c r="K2405" s="123" t="b">
        <x:v>0</x:v>
      </x:c>
      <x:c r="L2405" s="117"/>
      <x:c r="M2405" s="118"/>
      <x:c r="N2405" s="120" t="n">
        <x:v>45120.64298611111</x:v>
      </x:c>
      <x:c r="O2405" s="117" t="str">
        <x:v>Jace Gentil</x:v>
      </x:c>
      <x:c r="P2405" s="120" t="n">
        <x:v>45120.64303240741</x:v>
      </x:c>
      <x:c r="Q2405" s="117" t="str">
        <x:v>Jace Gentil</x:v>
      </x:c>
      <x:c r="R2405" s="117" t="str">
        <x:v>ProductUpdatesFlow</x:v>
      </x:c>
      <x:c r="S2405" s="119" t="str">
        <x:v>For updates that need to happen when a product is updated, mainly the PriceBookEntry creations</x:v>
      </x:c>
    </x:row>
    <x:row r="2406" ht="30" customHeight="1">
      <x:c r="A2406" s="117" t="str">
        <x:v>ProductUpdatesFlow</x:v>
      </x:c>
      <x:c r="B2406" s="117" t="str">
        <x:v>3005b000000LJCEAA4</x:v>
      </x:c>
      <x:c r="C2406" s="117" t="str">
        <x:v>3015b000000AO0GAAW</x:v>
      </x:c>
      <x:c r="D2406" s="118" t="n">
        <x:v>5</x:v>
      </x:c>
      <x:c r="E2406" s="117" t="str">
        <x:v>Obsolete</x:v>
      </x:c>
      <x:c r="F2406" s="117" t="str">
        <x:v>No</x:v>
      </x:c>
      <x:c r="G2406" s="117" t="str">
        <x:v>No</x:v>
      </x:c>
      <x:c r="H2406" s="117" t="str">
        <x:v>AutoLaunchedFlow</x:v>
      </x:c>
      <x:c r="I2406" s="118" t="n">
        <x:v>58</x:v>
      </x:c>
      <x:c r="J2406" s="117" t="str">
        <x:v>unmanaged</x:v>
      </x:c>
      <x:c r="K2406" s="123" t="b">
        <x:v>0</x:v>
      </x:c>
      <x:c r="L2406" s="117"/>
      <x:c r="M2406" s="118"/>
      <x:c r="N2406" s="120" t="n">
        <x:v>45120.86402777778</x:v>
      </x:c>
      <x:c r="O2406" s="117" t="str">
        <x:v>Jace Gentil</x:v>
      </x:c>
      <x:c r="P2406" s="120" t="n">
        <x:v>45120.8640625</x:v>
      </x:c>
      <x:c r="Q2406" s="117" t="str">
        <x:v>Jace Gentil</x:v>
      </x:c>
      <x:c r="R2406" s="117" t="str">
        <x:v>ProductUpdatesFlow</x:v>
      </x:c>
      <x:c r="S2406" s="119" t="str">
        <x:v>For updates that need to happen when a product is updated, mainly the PriceBookEntry creations</x:v>
      </x:c>
    </x:row>
    <x:row r="2407" ht="30" customHeight="1">
      <x:c r="A2407" s="117" t="str">
        <x:v>ProductUpdatesFlow</x:v>
      </x:c>
      <x:c r="B2407" s="117" t="str">
        <x:v>3005b000000LJCEAA4</x:v>
      </x:c>
      <x:c r="C2407" s="117" t="str">
        <x:v>3015b000000ARAOAA4</x:v>
      </x:c>
      <x:c r="D2407" s="118" t="n">
        <x:v>6</x:v>
      </x:c>
      <x:c r="E2407" s="117" t="str">
        <x:v>Obsolete</x:v>
      </x:c>
      <x:c r="F2407" s="117" t="str">
        <x:v>No</x:v>
      </x:c>
      <x:c r="G2407" s="117" t="str">
        <x:v>No</x:v>
      </x:c>
      <x:c r="H2407" s="117" t="str">
        <x:v>AutoLaunchedFlow</x:v>
      </x:c>
      <x:c r="I2407" s="118" t="n">
        <x:v>58</x:v>
      </x:c>
      <x:c r="J2407" s="117" t="str">
        <x:v>unmanaged</x:v>
      </x:c>
      <x:c r="K2407" s="123" t="b">
        <x:v>0</x:v>
      </x:c>
      <x:c r="L2407" s="117"/>
      <x:c r="M2407" s="118"/>
      <x:c r="N2407" s="120" t="n">
        <x:v>45162.55877314815</x:v>
      </x:c>
      <x:c r="O2407" s="117" t="str">
        <x:v>Jace Gentil</x:v>
      </x:c>
      <x:c r="P2407" s="120" t="n">
        <x:v>45162.55880787037</x:v>
      </x:c>
      <x:c r="Q2407" s="117" t="str">
        <x:v>Jace Gentil</x:v>
      </x:c>
      <x:c r="R2407" s="117" t="str">
        <x:v>ProductUpdatesFlow</x:v>
      </x:c>
      <x:c r="S2407" s="119" t="str">
        <x:v>For updates that need to happen when a product is updated, mainly the PriceBookEntry creations</x:v>
      </x:c>
    </x:row>
    <x:row r="2408" ht="30" customHeight="1">
      <x:c r="A2408" s="117" t="str">
        <x:v>ProductUpdatesFlow</x:v>
      </x:c>
      <x:c r="B2408" s="117" t="str">
        <x:v>3005b000000LJCEAA4</x:v>
      </x:c>
      <x:c r="C2408" s="117" t="str">
        <x:v>3015b000000ARATAA4</x:v>
      </x:c>
      <x:c r="D2408" s="118" t="n">
        <x:v>7</x:v>
      </x:c>
      <x:c r="E2408" s="117" t="str">
        <x:v>Obsolete</x:v>
      </x:c>
      <x:c r="F2408" s="117" t="str">
        <x:v>No</x:v>
      </x:c>
      <x:c r="G2408" s="117" t="str">
        <x:v>No</x:v>
      </x:c>
      <x:c r="H2408" s="117" t="str">
        <x:v>AutoLaunchedFlow</x:v>
      </x:c>
      <x:c r="I2408" s="118" t="n">
        <x:v>58</x:v>
      </x:c>
      <x:c r="J2408" s="117" t="str">
        <x:v>unmanaged</x:v>
      </x:c>
      <x:c r="K2408" s="123" t="b">
        <x:v>0</x:v>
      </x:c>
      <x:c r="L2408" s="117"/>
      <x:c r="M2408" s="118"/>
      <x:c r="N2408" s="120" t="n">
        <x:v>45162.564108796294</x:v>
      </x:c>
      <x:c r="O2408" s="117" t="str">
        <x:v>Jace Gentil</x:v>
      </x:c>
      <x:c r="P2408" s="120" t="n">
        <x:v>45162.564155092594</x:v>
      </x:c>
      <x:c r="Q2408" s="117" t="str">
        <x:v>Jace Gentil</x:v>
      </x:c>
      <x:c r="R2408" s="117" t="str">
        <x:v>ProductUpdatesFlow</x:v>
      </x:c>
      <x:c r="S2408" s="119" t="str">
        <x:v>For updates that need to happen when a product is updated, mainly the PriceBookEntry creations</x:v>
      </x:c>
    </x:row>
    <x:row r="2409" ht="30" customHeight="1">
      <x:c r="A2409" s="117" t="str">
        <x:v>ProductUpdatesFlow</x:v>
      </x:c>
      <x:c r="B2409" s="117" t="str">
        <x:v>3005b000000LJCEAA4</x:v>
      </x:c>
      <x:c r="C2409" s="117" t="str">
        <x:v>3015b000000ARAYAA4</x:v>
      </x:c>
      <x:c r="D2409" s="118" t="n">
        <x:v>8</x:v>
      </x:c>
      <x:c r="E2409" s="117" t="str">
        <x:v>Obsolete</x:v>
      </x:c>
      <x:c r="F2409" s="117" t="str">
        <x:v>No</x:v>
      </x:c>
      <x:c r="G2409" s="117" t="str">
        <x:v>No</x:v>
      </x:c>
      <x:c r="H2409" s="117" t="str">
        <x:v>AutoLaunchedFlow</x:v>
      </x:c>
      <x:c r="I2409" s="118" t="n">
        <x:v>58</x:v>
      </x:c>
      <x:c r="J2409" s="117" t="str">
        <x:v>unmanaged</x:v>
      </x:c>
      <x:c r="K2409" s="123" t="b">
        <x:v>0</x:v>
      </x:c>
      <x:c r="L2409" s="117"/>
      <x:c r="M2409" s="118"/>
      <x:c r="N2409" s="120" t="n">
        <x:v>45162.576516203706</x:v>
      </x:c>
      <x:c r="O2409" s="117" t="str">
        <x:v>Jace Gentil</x:v>
      </x:c>
      <x:c r="P2409" s="120" t="n">
        <x:v>45162.57655092593</x:v>
      </x:c>
      <x:c r="Q2409" s="117" t="str">
        <x:v>Jace Gentil</x:v>
      </x:c>
      <x:c r="R2409" s="117" t="str">
        <x:v>ProductUpdatesFlow</x:v>
      </x:c>
      <x:c r="S2409" s="119" t="str">
        <x:v>For updates that need to happen when a product is updated, mainly the PriceBookEntry creations</x:v>
      </x:c>
    </x:row>
    <x:row r="2410" ht="30" customHeight="1">
      <x:c r="A2410" s="117" t="str">
        <x:v>ProductUpdatesFlow</x:v>
      </x:c>
      <x:c r="B2410" s="117" t="str">
        <x:v>3005b000000LJCEAA4</x:v>
      </x:c>
      <x:c r="C2410" s="117" t="str">
        <x:v>3015b000000ARAdAAO</x:v>
      </x:c>
      <x:c r="D2410" s="118" t="n">
        <x:v>9</x:v>
      </x:c>
      <x:c r="E2410" s="117" t="str">
        <x:v>Obsolete</x:v>
      </x:c>
      <x:c r="F2410" s="117" t="str">
        <x:v>No</x:v>
      </x:c>
      <x:c r="G2410" s="117" t="str">
        <x:v>No</x:v>
      </x:c>
      <x:c r="H2410" s="117" t="str">
        <x:v>AutoLaunchedFlow</x:v>
      </x:c>
      <x:c r="I2410" s="118" t="n">
        <x:v>58</x:v>
      </x:c>
      <x:c r="J2410" s="117" t="str">
        <x:v>unmanaged</x:v>
      </x:c>
      <x:c r="K2410" s="123" t="b">
        <x:v>0</x:v>
      </x:c>
      <x:c r="L2410" s="117"/>
      <x:c r="M2410" s="118"/>
      <x:c r="N2410" s="120" t="n">
        <x:v>45162.577152777776</x:v>
      </x:c>
      <x:c r="O2410" s="117" t="str">
        <x:v>Jace Gentil</x:v>
      </x:c>
      <x:c r="P2410" s="120" t="n">
        <x:v>45162.577199074076</x:v>
      </x:c>
      <x:c r="Q2410" s="117" t="str">
        <x:v>Jace Gentil</x:v>
      </x:c>
      <x:c r="R2410" s="117" t="str">
        <x:v>ProductUpdatesFlow</x:v>
      </x:c>
      <x:c r="S2410" s="119" t="str">
        <x:v>For updates that need to happen when a product is updated, mainly the PriceBookEntry creations</x:v>
      </x:c>
    </x:row>
    <x:row r="2411" ht="30" customHeight="1">
      <x:c r="A2411" s="117" t="str">
        <x:v>ProductUpdatesFlow</x:v>
      </x:c>
      <x:c r="B2411" s="117" t="str">
        <x:v>3005b000000LJCEAA4</x:v>
      </x:c>
      <x:c r="C2411" s="117" t="str">
        <x:v>3015b000000ARAiAAO</x:v>
      </x:c>
      <x:c r="D2411" s="118" t="n">
        <x:v>10</x:v>
      </x:c>
      <x:c r="E2411" s="117" t="str">
        <x:v>Obsolete</x:v>
      </x:c>
      <x:c r="F2411" s="117" t="str">
        <x:v>No</x:v>
      </x:c>
      <x:c r="G2411" s="117" t="str">
        <x:v>No</x:v>
      </x:c>
      <x:c r="H2411" s="117" t="str">
        <x:v>AutoLaunchedFlow</x:v>
      </x:c>
      <x:c r="I2411" s="118" t="n">
        <x:v>58</x:v>
      </x:c>
      <x:c r="J2411" s="117" t="str">
        <x:v>unmanaged</x:v>
      </x:c>
      <x:c r="K2411" s="123" t="b">
        <x:v>0</x:v>
      </x:c>
      <x:c r="L2411" s="117"/>
      <x:c r="M2411" s="118"/>
      <x:c r="N2411" s="120" t="n">
        <x:v>45162.577361111114</x:v>
      </x:c>
      <x:c r="O2411" s="117" t="str">
        <x:v>Jace Gentil</x:v>
      </x:c>
      <x:c r="P2411" s="120" t="n">
        <x:v>45162.57739583333</x:v>
      </x:c>
      <x:c r="Q2411" s="117" t="str">
        <x:v>Jace Gentil</x:v>
      </x:c>
      <x:c r="R2411" s="117" t="str">
        <x:v>ProductUpdatesFlow</x:v>
      </x:c>
      <x:c r="S2411" s="119" t="str">
        <x:v>For updates that need to happen when a product is updated, mainly the PriceBookEntry creations</x:v>
      </x:c>
    </x:row>
    <x:row r="2412" ht="30" customHeight="1">
      <x:c r="A2412" s="117" t="str">
        <x:v>ProductUpdatesFlow</x:v>
      </x:c>
      <x:c r="B2412" s="117" t="str">
        <x:v>3005b000000LJCEAA4</x:v>
      </x:c>
      <x:c r="C2412" s="117" t="str">
        <x:v>3015b000000ARAnAAO</x:v>
      </x:c>
      <x:c r="D2412" s="118" t="n">
        <x:v>11</x:v>
      </x:c>
      <x:c r="E2412" s="117" t="str">
        <x:v>Obsolete</x:v>
      </x:c>
      <x:c r="F2412" s="117" t="str">
        <x:v>No</x:v>
      </x:c>
      <x:c r="G2412" s="117" t="str">
        <x:v>No</x:v>
      </x:c>
      <x:c r="H2412" s="117" t="str">
        <x:v>AutoLaunchedFlow</x:v>
      </x:c>
      <x:c r="I2412" s="118" t="n">
        <x:v>58</x:v>
      </x:c>
      <x:c r="J2412" s="117" t="str">
        <x:v>unmanaged</x:v>
      </x:c>
      <x:c r="K2412" s="123" t="b">
        <x:v>0</x:v>
      </x:c>
      <x:c r="L2412" s="117"/>
      <x:c r="M2412" s="118"/>
      <x:c r="N2412" s="120" t="n">
        <x:v>45162.59258101852</x:v>
      </x:c>
      <x:c r="O2412" s="117" t="str">
        <x:v>Jace Gentil</x:v>
      </x:c>
      <x:c r="P2412" s="120" t="n">
        <x:v>45162.59263888889</x:v>
      </x:c>
      <x:c r="Q2412" s="117" t="str">
        <x:v>Jace Gentil</x:v>
      </x:c>
      <x:c r="R2412" s="117" t="str">
        <x:v>ProductUpdatesFlow</x:v>
      </x:c>
      <x:c r="S2412" s="119" t="str">
        <x:v>For updates that need to happen when a product is updated, mainly the PriceBookEntry creations</x:v>
      </x:c>
    </x:row>
    <x:row r="2413" ht="30" customHeight="1">
      <x:c r="A2413" s="117" t="str">
        <x:v>ProductUpdatesFlow</x:v>
      </x:c>
      <x:c r="B2413" s="117" t="str">
        <x:v>3005b000000LJCEAA4</x:v>
      </x:c>
      <x:c r="C2413" s="117" t="str">
        <x:v>301Ro00000DOu3JIAT</x:v>
      </x:c>
      <x:c r="D2413" s="118" t="n">
        <x:v>12</x:v>
      </x:c>
      <x:c r="E2413" s="117" t="str">
        <x:v>Obsolete</x:v>
      </x:c>
      <x:c r="F2413" s="117" t="str">
        <x:v>No</x:v>
      </x:c>
      <x:c r="G2413" s="117" t="str">
        <x:v>No</x:v>
      </x:c>
      <x:c r="H2413" s="117" t="str">
        <x:v>AutoLaunchedFlow</x:v>
      </x:c>
      <x:c r="I2413" s="118" t="n">
        <x:v>58</x:v>
      </x:c>
      <x:c r="J2413" s="117" t="str">
        <x:v>unmanaged</x:v>
      </x:c>
      <x:c r="K2413" s="123" t="b">
        <x:v>0</x:v>
      </x:c>
      <x:c r="L2413" s="117"/>
      <x:c r="M2413" s="118"/>
      <x:c r="N2413" s="120" t="n">
        <x:v>45435.61931712963</x:v>
      </x:c>
      <x:c r="O2413" s="117" t="str">
        <x:v>Jace Gentil</x:v>
      </x:c>
      <x:c r="P2413" s="120" t="n">
        <x:v>45435.619363425925</x:v>
      </x:c>
      <x:c r="Q2413" s="117" t="str">
        <x:v>Jace Gentil</x:v>
      </x:c>
      <x:c r="R2413" s="117" t="str">
        <x:v>ProductUpdatesFlow</x:v>
      </x:c>
      <x:c r="S2413" s="119" t="str">
        <x:v>For updates that need to happen when a product is updated, mainly the PriceBookEntry creations</x:v>
      </x:c>
    </x:row>
    <x:row r="2414" ht="30" customHeight="1">
      <x:c r="A2414" s="117" t="str">
        <x:v>ProductUpdatesFlow</x:v>
      </x:c>
      <x:c r="B2414" s="117" t="str">
        <x:v>3005b000000LJCEAA4</x:v>
      </x:c>
      <x:c r="C2414" s="117" t="str">
        <x:v>301Ro00000TmUb5IAF</x:v>
      </x:c>
      <x:c r="D2414" s="118" t="n">
        <x:v>13</x:v>
      </x:c>
      <x:c r="E2414" s="117" t="str">
        <x:v>Obsolete</x:v>
      </x:c>
      <x:c r="F2414" s="117" t="str">
        <x:v>No</x:v>
      </x:c>
      <x:c r="G2414" s="117" t="str">
        <x:v>No</x:v>
      </x:c>
      <x:c r="H2414" s="117" t="str">
        <x:v>AutoLaunchedFlow</x:v>
      </x:c>
      <x:c r="I2414" s="118" t="n">
        <x:v>58</x:v>
      </x:c>
      <x:c r="J2414" s="117" t="str">
        <x:v>unmanaged</x:v>
      </x:c>
      <x:c r="K2414" s="123" t="b">
        <x:v>0</x:v>
      </x:c>
      <x:c r="L2414" s="117"/>
      <x:c r="M2414" s="118"/>
      <x:c r="N2414" s="120" t="n">
        <x:v>45698.74765046296</x:v>
      </x:c>
      <x:c r="O2414" s="117" t="str">
        <x:v>Jace Gentil</x:v>
      </x:c>
      <x:c r="P2414" s="120" t="n">
        <x:v>45698.74769675926</x:v>
      </x:c>
      <x:c r="Q2414" s="117" t="str">
        <x:v>Jace Gentil</x:v>
      </x:c>
      <x:c r="R2414" s="117" t="str">
        <x:v>ProductUpdatesFlow</x:v>
      </x:c>
      <x:c r="S2414" s="119" t="str">
        <x:v>For updates that need to happen when a product is updated, mainly the PriceBookEntry creations</x:v>
      </x:c>
    </x:row>
    <x:row r="2415" ht="30" customHeight="1">
      <x:c r="A2415" s="117" t="str">
        <x:v>ProductUpdatesFlow</x:v>
      </x:c>
      <x:c r="B2415" s="117" t="str">
        <x:v>3005b000000LJCEAA4</x:v>
      </x:c>
      <x:c r="C2415" s="117" t="str">
        <x:v>301Ro00000iLFp8IAG</x:v>
      </x:c>
      <x:c r="D2415" s="118" t="n">
        <x:v>14</x:v>
      </x:c>
      <x:c r="E2415" s="117" t="str">
        <x:v>Active</x:v>
      </x:c>
      <x:c r="F2415" s="117" t="str">
        <x:v>Yes</x:v>
      </x:c>
      <x:c r="G2415" s="117" t="str">
        <x:v>Yes</x:v>
      </x:c>
      <x:c r="H2415" s="117" t="str">
        <x:v>AutoLaunchedFlow</x:v>
      </x:c>
      <x:c r="I2415" s="118" t="n">
        <x:v>58</x:v>
      </x:c>
      <x:c r="J2415" s="117" t="str">
        <x:v>unmanaged</x:v>
      </x:c>
      <x:c r="K2415" s="123" t="b">
        <x:v>0</x:v>
      </x:c>
      <x:c r="L2415" s="117"/>
      <x:c r="M2415" s="118"/>
      <x:c r="N2415" s="120" t="n">
        <x:v>45882.5291087963</x:v>
      </x:c>
      <x:c r="O2415" s="117" t="str">
        <x:v>Delegate</x:v>
      </x:c>
      <x:c r="P2415" s="120" t="n">
        <x:v>46063.756898148145</x:v>
      </x:c>
      <x:c r="Q2415" s="117" t="str">
        <x:v>Steve Dodd</x:v>
      </x:c>
      <x:c r="R2415" s="117" t="str">
        <x:v>ProductUpdatesFlow</x:v>
      </x:c>
      <x:c r="S2415" s="119" t="str">
        <x:v>08/13/2025 (BW) - Updated so that the system always creates pricebook entries for each pricebook, even if those are 0</x:v>
      </x:c>
    </x:row>
    <x:row r="2416" ht="30" customHeight="1">
      <x:c r="A2416" s="117" t="str">
        <x:v>Project_Expenses_Rollups</x:v>
      </x:c>
      <x:c r="B2416" s="117" t="str">
        <x:v>300Ro000007doaaIAA</x:v>
      </x:c>
      <x:c r="C2416" s="117" t="str">
        <x:v>301Ro00000EB8YnIAL</x:v>
      </x:c>
      <x:c r="D2416" s="118" t="n">
        <x:v>1</x:v>
      </x:c>
      <x:c r="E2416" s="117" t="str">
        <x:v>Active</x:v>
      </x:c>
      <x:c r="F2416" s="117" t="str">
        <x:v>Yes</x:v>
      </x:c>
      <x:c r="G2416" s="117" t="str">
        <x:v>Yes</x:v>
      </x:c>
      <x:c r="H2416" s="117" t="str">
        <x:v>AutoLaunchedFlow</x:v>
      </x:c>
      <x:c r="I2416" s="118" t="n">
        <x:v>57</x:v>
      </x:c>
      <x:c r="J2416" s="117" t="str">
        <x:v>unmanaged</x:v>
      </x:c>
      <x:c r="K2416" s="123" t="b">
        <x:v>0</x:v>
      </x:c>
      <x:c r="L2416" s="117"/>
      <x:c r="M2416" s="118"/>
      <x:c r="N2416" s="120" t="n">
        <x:v>45448.0834837963</x:v>
      </x:c>
      <x:c r="O2416" s="117" t="str">
        <x:v>Delegate</x:v>
      </x:c>
      <x:c r="P2416" s="120" t="n">
        <x:v>45448.09061342593</x:v>
      </x:c>
      <x:c r="Q2416" s="117" t="str">
        <x:v>Delegate</x:v>
      </x:c>
      <x:c r="R2416" s="117" t="str">
        <x:v>Project Expenses Rollups</x:v>
      </x:c>
      <x:c r="S2416" s="119"/>
    </x:row>
    <x:row r="2417" ht="30" customHeight="1">
      <x:c r="A2417" s="117" t="str">
        <x:v>Project_Flow_to_Calculate_Removal_Shipping_Costs</x:v>
      </x:c>
      <x:c r="B2417" s="117" t="str">
        <x:v>3005b000000LHepAAG</x:v>
      </x:c>
      <x:c r="C2417" s="117" t="str">
        <x:v>3015b000000AE8UAAW</x:v>
      </x:c>
      <x:c r="D2417" s="118" t="n">
        <x:v>1</x:v>
      </x:c>
      <x:c r="E2417" s="117" t="str">
        <x:v>Obsolete</x:v>
      </x:c>
      <x:c r="F2417" s="117" t="str">
        <x:v>No</x:v>
      </x:c>
      <x:c r="G2417" s="117" t="str">
        <x:v>Yes</x:v>
      </x:c>
      <x:c r="H2417" s="117" t="str">
        <x:v>AutoLaunchedFlow</x:v>
      </x:c>
      <x:c r="I2417" s="118" t="n">
        <x:v>56</x:v>
      </x:c>
      <x:c r="J2417" s="117" t="str">
        <x:v>unmanaged</x:v>
      </x:c>
      <x:c r="K2417" s="123" t="b">
        <x:v>0</x:v>
      </x:c>
      <x:c r="L2417" s="117"/>
      <x:c r="M2417" s="118"/>
      <x:c r="N2417" s="120" t="n">
        <x:v>44938.19520833333</x:v>
      </x:c>
      <x:c r="O2417" s="117" t="str">
        <x:v>Jace Gentil</x:v>
      </x:c>
      <x:c r="P2417" s="120" t="n">
        <x:v>44938.64350694444</x:v>
      </x:c>
      <x:c r="Q2417" s="117" t="str">
        <x:v>Jace Gentil</x:v>
      </x:c>
      <x:c r="R2417" s="117" t="str">
        <x:v>Project Flow to Calculate Removal/Shipping Costs</x:v>
      </x:c>
      <x:c r="S2417" s="119"/>
    </x:row>
    <x:row r="2418" ht="30" customHeight="1">
      <x:c r="A2418" s="117" t="str">
        <x:v>Purchasing_Opportunity_Field_Updates_Flow</x:v>
      </x:c>
      <x:c r="B2418" s="117" t="str">
        <x:v>300Ro000006dI4tIAE</x:v>
      </x:c>
      <x:c r="C2418" s="117" t="str">
        <x:v>301Ro000007RJfJIAW</x:v>
      </x:c>
      <x:c r="D2418" s="118" t="n">
        <x:v>1</x:v>
      </x:c>
      <x:c r="E2418" s="117" t="str">
        <x:v>Obsolete</x:v>
      </x:c>
      <x:c r="F2418" s="117" t="str">
        <x:v>No</x:v>
      </x:c>
      <x:c r="G2418" s="117" t="str">
        <x:v>No</x:v>
      </x:c>
      <x:c r="H2418" s="117" t="str">
        <x:v>AutoLaunchedFlow</x:v>
      </x:c>
      <x:c r="I2418" s="118" t="n">
        <x:v>60</x:v>
      </x:c>
      <x:c r="J2418" s="117" t="str">
        <x:v>unmanaged</x:v>
      </x:c>
      <x:c r="K2418" s="123" t="b">
        <x:v>0</x:v>
      </x:c>
      <x:c r="L2418" s="117"/>
      <x:c r="M2418" s="118"/>
      <x:c r="N2418" s="120" t="n">
        <x:v>45336.8690162037</x:v>
      </x:c>
      <x:c r="O2418" s="117" t="str">
        <x:v>Jace Gentil</x:v>
      </x:c>
      <x:c r="P2418" s="120" t="n">
        <x:v>45336.86908564815</x:v>
      </x:c>
      <x:c r="Q2418" s="117" t="str">
        <x:v>Jace Gentil</x:v>
      </x:c>
      <x:c r="R2418" s="117" t="str">
        <x:v>Purchasing Opportunity Field Updates Flow</x:v>
      </x:c>
      <x:c r="S2418" s="119"/>
    </x:row>
    <x:row r="2419" ht="30" customHeight="1">
      <x:c r="A2419" s="117" t="str">
        <x:v>Purchasing_Opportunity_Field_Updates_Flow</x:v>
      </x:c>
      <x:c r="B2419" s="117" t="str">
        <x:v>300Ro000006dI4tIAE</x:v>
      </x:c>
      <x:c r="C2419" s="117" t="str">
        <x:v>301Ro000007RQIcIAO</x:v>
      </x:c>
      <x:c r="D2419" s="118" t="n">
        <x:v>2</x:v>
      </x:c>
      <x:c r="E2419" s="117" t="str">
        <x:v>Obsolete</x:v>
      </x:c>
      <x:c r="F2419" s="117" t="str">
        <x:v>No</x:v>
      </x:c>
      <x:c r="G2419" s="117" t="str">
        <x:v>No</x:v>
      </x:c>
      <x:c r="H2419" s="117" t="str">
        <x:v>AutoLaunchedFlow</x:v>
      </x:c>
      <x:c r="I2419" s="118" t="n">
        <x:v>60</x:v>
      </x:c>
      <x:c r="J2419" s="117" t="str">
        <x:v>unmanaged</x:v>
      </x:c>
      <x:c r="K2419" s="123" t="b">
        <x:v>0</x:v>
      </x:c>
      <x:c r="L2419" s="117"/>
      <x:c r="M2419" s="118"/>
      <x:c r="N2419" s="120" t="n">
        <x:v>45336.87200231481</x:v>
      </x:c>
      <x:c r="O2419" s="117" t="str">
        <x:v>Jace Gentil</x:v>
      </x:c>
      <x:c r="P2419" s="120" t="n">
        <x:v>45336.872037037036</x:v>
      </x:c>
      <x:c r="Q2419" s="117" t="str">
        <x:v>Jace Gentil</x:v>
      </x:c>
      <x:c r="R2419" s="117" t="str">
        <x:v>Purchasing Opportunity Field Updates Flow</x:v>
      </x:c>
      <x:c r="S2419" s="119"/>
    </x:row>
    <x:row r="2420" ht="30" customHeight="1">
      <x:c r="A2420" s="117" t="str">
        <x:v>Purchasing_Opportunity_Field_Updates_Flow</x:v>
      </x:c>
      <x:c r="B2420" s="117" t="str">
        <x:v>300Ro000006dI4tIAE</x:v>
      </x:c>
      <x:c r="C2420" s="117" t="str">
        <x:v>301Ro000007RS7TIAW</x:v>
      </x:c>
      <x:c r="D2420" s="118" t="n">
        <x:v>3</x:v>
      </x:c>
      <x:c r="E2420" s="117" t="str">
        <x:v>Obsolete</x:v>
      </x:c>
      <x:c r="F2420" s="117" t="str">
        <x:v>No</x:v>
      </x:c>
      <x:c r="G2420" s="117" t="str">
        <x:v>No</x:v>
      </x:c>
      <x:c r="H2420" s="117" t="str">
        <x:v>AutoLaunchedFlow</x:v>
      </x:c>
      <x:c r="I2420" s="118" t="n">
        <x:v>60</x:v>
      </x:c>
      <x:c r="J2420" s="117" t="str">
        <x:v>unmanaged</x:v>
      </x:c>
      <x:c r="K2420" s="123" t="b">
        <x:v>0</x:v>
      </x:c>
      <x:c r="L2420" s="117"/>
      <x:c r="M2420" s="118"/>
      <x:c r="N2420" s="120" t="n">
        <x:v>45336.87768518519</x:v>
      </x:c>
      <x:c r="O2420" s="117" t="str">
        <x:v>Jace Gentil</x:v>
      </x:c>
      <x:c r="P2420" s="120" t="n">
        <x:v>45336.87773148148</x:v>
      </x:c>
      <x:c r="Q2420" s="117" t="str">
        <x:v>Jace Gentil</x:v>
      </x:c>
      <x:c r="R2420" s="117" t="str">
        <x:v>Purchasing Opportunity Field Updates Flow</x:v>
      </x:c>
      <x:c r="S2420" s="119"/>
    </x:row>
    <x:row r="2421" ht="30" customHeight="1">
      <x:c r="A2421" s="117" t="str">
        <x:v>Purchasing_Opportunity_Field_Updates_Flow</x:v>
      </x:c>
      <x:c r="B2421" s="117" t="str">
        <x:v>300Ro000006dI4tIAE</x:v>
      </x:c>
      <x:c r="C2421" s="117" t="str">
        <x:v>301Ro000007RUIwIAO</x:v>
      </x:c>
      <x:c r="D2421" s="118" t="n">
        <x:v>4</x:v>
      </x:c>
      <x:c r="E2421" s="117" t="str">
        <x:v>Obsolete</x:v>
      </x:c>
      <x:c r="F2421" s="117" t="str">
        <x:v>No</x:v>
      </x:c>
      <x:c r="G2421" s="117" t="str">
        <x:v>No</x:v>
      </x:c>
      <x:c r="H2421" s="117" t="str">
        <x:v>AutoLaunchedFlow</x:v>
      </x:c>
      <x:c r="I2421" s="118" t="n">
        <x:v>60</x:v>
      </x:c>
      <x:c r="J2421" s="117" t="str">
        <x:v>unmanaged</x:v>
      </x:c>
      <x:c r="K2421" s="123" t="b">
        <x:v>0</x:v>
      </x:c>
      <x:c r="L2421" s="117"/>
      <x:c r="M2421" s="118"/>
      <x:c r="N2421" s="120" t="n">
        <x:v>45336.88116898148</x:v>
      </x:c>
      <x:c r="O2421" s="117" t="str">
        <x:v>Jace Gentil</x:v>
      </x:c>
      <x:c r="P2421" s="120" t="n">
        <x:v>45336.881203703706</x:v>
      </x:c>
      <x:c r="Q2421" s="117" t="str">
        <x:v>Jace Gentil</x:v>
      </x:c>
      <x:c r="R2421" s="117" t="str">
        <x:v>Purchasing Opportunity Field Updates Flow</x:v>
      </x:c>
      <x:c r="S2421" s="119"/>
    </x:row>
    <x:row r="2422" ht="30" customHeight="1">
      <x:c r="A2422" s="117" t="str">
        <x:v>Purchasing_Opportunity_Field_Updates_Flow</x:v>
      </x:c>
      <x:c r="B2422" s="117" t="str">
        <x:v>300Ro000006dI4tIAE</x:v>
      </x:c>
      <x:c r="C2422" s="117" t="str">
        <x:v>301Ro000007RblpIAC</x:v>
      </x:c>
      <x:c r="D2422" s="118" t="n">
        <x:v>5</x:v>
      </x:c>
      <x:c r="E2422" s="117" t="str">
        <x:v>Draft</x:v>
      </x:c>
      <x:c r="F2422" s="117" t="str">
        <x:v>No</x:v>
      </x:c>
      <x:c r="G2422" s="117" t="str">
        <x:v>No</x:v>
      </x:c>
      <x:c r="H2422" s="117" t="str">
        <x:v>AutoLaunchedFlow</x:v>
      </x:c>
      <x:c r="I2422" s="118" t="n">
        <x:v>60</x:v>
      </x:c>
      <x:c r="J2422" s="117" t="str">
        <x:v>unmanaged</x:v>
      </x:c>
      <x:c r="K2422" s="123" t="b">
        <x:v>0</x:v>
      </x:c>
      <x:c r="L2422" s="117"/>
      <x:c r="M2422" s="118"/>
      <x:c r="N2422" s="120" t="n">
        <x:v>45336.891238425924</x:v>
      </x:c>
      <x:c r="O2422" s="117" t="str">
        <x:v>Jace Gentil</x:v>
      </x:c>
      <x:c r="P2422" s="120" t="n">
        <x:v>45336.89125</x:v>
      </x:c>
      <x:c r="Q2422" s="117" t="str">
        <x:v>Jace Gentil</x:v>
      </x:c>
      <x:c r="R2422" s="117" t="str">
        <x:v>Purchasing Opportunity Field Updates Flow</x:v>
      </x:c>
      <x:c r="S2422" s="119"/>
    </x:row>
    <x:row r="2423" ht="30" customHeight="1">
      <x:c r="A2423" s="117" t="str">
        <x:v>Purchasing_Opportunity_Field_Updates_Flow</x:v>
      </x:c>
      <x:c r="B2423" s="117" t="str">
        <x:v>300Ro000006dI4tIAE</x:v>
      </x:c>
      <x:c r="C2423" s="117" t="str">
        <x:v>301Ro000007RSieIAG</x:v>
      </x:c>
      <x:c r="D2423" s="118" t="n">
        <x:v>6</x:v>
      </x:c>
      <x:c r="E2423" s="117" t="str">
        <x:v>Obsolete</x:v>
      </x:c>
      <x:c r="F2423" s="117" t="str">
        <x:v>No</x:v>
      </x:c>
      <x:c r="G2423" s="117" t="str">
        <x:v>No</x:v>
      </x:c>
      <x:c r="H2423" s="117" t="str">
        <x:v>AutoLaunchedFlow</x:v>
      </x:c>
      <x:c r="I2423" s="118" t="n">
        <x:v>60</x:v>
      </x:c>
      <x:c r="J2423" s="117" t="str">
        <x:v>unmanaged</x:v>
      </x:c>
      <x:c r="K2423" s="123" t="b">
        <x:v>0</x:v>
      </x:c>
      <x:c r="L2423" s="117"/>
      <x:c r="M2423" s="118"/>
      <x:c r="N2423" s="120" t="n">
        <x:v>45336.89145833333</x:v>
      </x:c>
      <x:c r="O2423" s="117" t="str">
        <x:v>Jace Gentil</x:v>
      </x:c>
      <x:c r="P2423" s="120" t="n">
        <x:v>45336.936944444446</x:v>
      </x:c>
      <x:c r="Q2423" s="117" t="str">
        <x:v>Jace Gentil</x:v>
      </x:c>
      <x:c r="R2423" s="117" t="str">
        <x:v>Purchasing Opportunity Field Updates Flow</x:v>
      </x:c>
      <x:c r="S2423" s="119"/>
    </x:row>
    <x:row r="2424" ht="30" customHeight="1">
      <x:c r="A2424" s="117" t="str">
        <x:v>Purchasing_Opportunity_Field_Updates_Flow</x:v>
      </x:c>
      <x:c r="B2424" s="117" t="str">
        <x:v>300Ro000006dI4tIAE</x:v>
      </x:c>
      <x:c r="C2424" s="117" t="str">
        <x:v>301Ro000007Ra9xIAC</x:v>
      </x:c>
      <x:c r="D2424" s="118" t="n">
        <x:v>7</x:v>
      </x:c>
      <x:c r="E2424" s="117" t="str">
        <x:v>Obsolete</x:v>
      </x:c>
      <x:c r="F2424" s="117" t="str">
        <x:v>No</x:v>
      </x:c>
      <x:c r="G2424" s="117" t="str">
        <x:v>No</x:v>
      </x:c>
      <x:c r="H2424" s="117" t="str">
        <x:v>AutoLaunchedFlow</x:v>
      </x:c>
      <x:c r="I2424" s="118" t="n">
        <x:v>60</x:v>
      </x:c>
      <x:c r="J2424" s="117" t="str">
        <x:v>unmanaged</x:v>
      </x:c>
      <x:c r="K2424" s="123" t="b">
        <x:v>0</x:v>
      </x:c>
      <x:c r="L2424" s="117"/>
      <x:c r="M2424" s="118"/>
      <x:c r="N2424" s="120" t="n">
        <x:v>45336.94033564815</x:v>
      </x:c>
      <x:c r="O2424" s="117" t="str">
        <x:v>Jace Gentil</x:v>
      </x:c>
      <x:c r="P2424" s="120" t="n">
        <x:v>45336.94037037037</x:v>
      </x:c>
      <x:c r="Q2424" s="117" t="str">
        <x:v>Jace Gentil</x:v>
      </x:c>
      <x:c r="R2424" s="117" t="str">
        <x:v>Purchasing Opportunity Field Updates Flow</x:v>
      </x:c>
      <x:c r="S2424" s="119"/>
    </x:row>
    <x:row r="2425" ht="30" customHeight="1">
      <x:c r="A2425" s="117" t="str">
        <x:v>Purchasing_Opportunity_Field_Updates_Flow</x:v>
      </x:c>
      <x:c r="B2425" s="117" t="str">
        <x:v>300Ro000006dI4tIAE</x:v>
      </x:c>
      <x:c r="C2425" s="117" t="str">
        <x:v>301Ro000007TybAIAS</x:v>
      </x:c>
      <x:c r="D2425" s="118" t="n">
        <x:v>8</x:v>
      </x:c>
      <x:c r="E2425" s="117" t="str">
        <x:v>Obsolete</x:v>
      </x:c>
      <x:c r="F2425" s="117" t="str">
        <x:v>No</x:v>
      </x:c>
      <x:c r="G2425" s="117" t="str">
        <x:v>No</x:v>
      </x:c>
      <x:c r="H2425" s="117" t="str">
        <x:v>AutoLaunchedFlow</x:v>
      </x:c>
      <x:c r="I2425" s="118" t="n">
        <x:v>60</x:v>
      </x:c>
      <x:c r="J2425" s="117" t="str">
        <x:v>unmanaged</x:v>
      </x:c>
      <x:c r="K2425" s="123" t="b">
        <x:v>0</x:v>
      </x:c>
      <x:c r="L2425" s="117"/>
      <x:c r="M2425" s="118"/>
      <x:c r="N2425" s="120" t="n">
        <x:v>45337.72503472222</x:v>
      </x:c>
      <x:c r="O2425" s="117" t="str">
        <x:v>Jace Gentil</x:v>
      </x:c>
      <x:c r="P2425" s="120" t="n">
        <x:v>45337.72509259259</x:v>
      </x:c>
      <x:c r="Q2425" s="117" t="str">
        <x:v>Jace Gentil</x:v>
      </x:c>
      <x:c r="R2425" s="117" t="str">
        <x:v>Purchasing Opportunity Field Updates Flow</x:v>
      </x:c>
      <x:c r="S2425" s="119"/>
    </x:row>
    <x:row r="2426" ht="30" customHeight="1">
      <x:c r="A2426" s="117" t="str">
        <x:v>Purchasing_Opportunity_Field_Updates_Flow</x:v>
      </x:c>
      <x:c r="B2426" s="117" t="str">
        <x:v>300Ro000006dI4tIAE</x:v>
      </x:c>
      <x:c r="C2426" s="117" t="str">
        <x:v>301Ro000007U3AHIA0</x:v>
      </x:c>
      <x:c r="D2426" s="118" t="n">
        <x:v>9</x:v>
      </x:c>
      <x:c r="E2426" s="117" t="str">
        <x:v>Obsolete</x:v>
      </x:c>
      <x:c r="F2426" s="117" t="str">
        <x:v>No</x:v>
      </x:c>
      <x:c r="G2426" s="117" t="str">
        <x:v>No</x:v>
      </x:c>
      <x:c r="H2426" s="117" t="str">
        <x:v>AutoLaunchedFlow</x:v>
      </x:c>
      <x:c r="I2426" s="118" t="n">
        <x:v>60</x:v>
      </x:c>
      <x:c r="J2426" s="117" t="str">
        <x:v>unmanaged</x:v>
      </x:c>
      <x:c r="K2426" s="123" t="b">
        <x:v>0</x:v>
      </x:c>
      <x:c r="L2426" s="117"/>
      <x:c r="M2426" s="118"/>
      <x:c r="N2426" s="120" t="n">
        <x:v>45337.73505787037</x:v>
      </x:c>
      <x:c r="O2426" s="117" t="str">
        <x:v>Jace Gentil</x:v>
      </x:c>
      <x:c r="P2426" s="120" t="n">
        <x:v>45337.759305555555</x:v>
      </x:c>
      <x:c r="Q2426" s="117" t="str">
        <x:v>Jace Gentil</x:v>
      </x:c>
      <x:c r="R2426" s="117" t="str">
        <x:v>Purchasing Opportunity Field Updates Flow</x:v>
      </x:c>
      <x:c r="S2426" s="119"/>
    </x:row>
    <x:row r="2427" ht="30" customHeight="1">
      <x:c r="A2427" s="117" t="str">
        <x:v>Purchasing_Opportunity_Field_Updates_Flow</x:v>
      </x:c>
      <x:c r="B2427" s="117" t="str">
        <x:v>300Ro000006dI4tIAE</x:v>
      </x:c>
      <x:c r="C2427" s="117" t="str">
        <x:v>301Ro000007UTVDIA4</x:v>
      </x:c>
      <x:c r="D2427" s="118" t="n">
        <x:v>10</x:v>
      </x:c>
      <x:c r="E2427" s="117" t="str">
        <x:v>Obsolete</x:v>
      </x:c>
      <x:c r="F2427" s="117" t="str">
        <x:v>No</x:v>
      </x:c>
      <x:c r="G2427" s="117" t="str">
        <x:v>No</x:v>
      </x:c>
      <x:c r="H2427" s="117" t="str">
        <x:v>AutoLaunchedFlow</x:v>
      </x:c>
      <x:c r="I2427" s="118" t="n">
        <x:v>60</x:v>
      </x:c>
      <x:c r="J2427" s="117" t="str">
        <x:v>unmanaged</x:v>
      </x:c>
      <x:c r="K2427" s="123" t="b">
        <x:v>0</x:v>
      </x:c>
      <x:c r="L2427" s="117"/>
      <x:c r="M2427" s="118"/>
      <x:c r="N2427" s="120" t="n">
        <x:v>45337.76431712963</x:v>
      </x:c>
      <x:c r="O2427" s="117" t="str">
        <x:v>Jace Gentil</x:v>
      </x:c>
      <x:c r="P2427" s="120" t="n">
        <x:v>45337.76436342593</x:v>
      </x:c>
      <x:c r="Q2427" s="117" t="str">
        <x:v>Jace Gentil</x:v>
      </x:c>
      <x:c r="R2427" s="117" t="str">
        <x:v>Purchasing Opportunity Field Updates Flow</x:v>
      </x:c>
      <x:c r="S2427" s="119"/>
    </x:row>
    <x:row r="2428" ht="30" customHeight="1">
      <x:c r="A2428" s="117" t="str">
        <x:v>Purchasing_Opportunity_Field_Updates_Flow</x:v>
      </x:c>
      <x:c r="B2428" s="117" t="str">
        <x:v>300Ro000006dI4tIAE</x:v>
      </x:c>
      <x:c r="C2428" s="117" t="str">
        <x:v>301Ro000007UCCmIAO</x:v>
      </x:c>
      <x:c r="D2428" s="118" t="n">
        <x:v>11</x:v>
      </x:c>
      <x:c r="E2428" s="117" t="str">
        <x:v>Obsolete</x:v>
      </x:c>
      <x:c r="F2428" s="117" t="str">
        <x:v>No</x:v>
      </x:c>
      <x:c r="G2428" s="117" t="str">
        <x:v>No</x:v>
      </x:c>
      <x:c r="H2428" s="117" t="str">
        <x:v>AutoLaunchedFlow</x:v>
      </x:c>
      <x:c r="I2428" s="118" t="n">
        <x:v>60</x:v>
      </x:c>
      <x:c r="J2428" s="117" t="str">
        <x:v>unmanaged</x:v>
      </x:c>
      <x:c r="K2428" s="123" t="b">
        <x:v>0</x:v>
      </x:c>
      <x:c r="L2428" s="117"/>
      <x:c r="M2428" s="118"/>
      <x:c r="N2428" s="120" t="n">
        <x:v>45337.765856481485</x:v>
      </x:c>
      <x:c r="O2428" s="117" t="str">
        <x:v>Jace Gentil</x:v>
      </x:c>
      <x:c r="P2428" s="120" t="n">
        <x:v>45401.65188657407</x:v>
      </x:c>
      <x:c r="Q2428" s="117" t="str">
        <x:v>Jace Gentil</x:v>
      </x:c>
      <x:c r="R2428" s="117" t="str">
        <x:v>Purchasing Opportunity Field Updates Flow</x:v>
      </x:c>
      <x:c r="S2428" s="119"/>
    </x:row>
    <x:row r="2429" ht="30" customHeight="1">
      <x:c r="A2429" s="117" t="str">
        <x:v>Purchasing_Opportunity_Field_Updates_Flow</x:v>
      </x:c>
      <x:c r="B2429" s="117" t="str">
        <x:v>300Ro000006dI4tIAE</x:v>
      </x:c>
      <x:c r="C2429" s="117" t="str">
        <x:v>301Ro00000BGZLJIA5</x:v>
      </x:c>
      <x:c r="D2429" s="118" t="n">
        <x:v>12</x:v>
      </x:c>
      <x:c r="E2429" s="117" t="str">
        <x:v>Obsolete</x:v>
      </x:c>
      <x:c r="F2429" s="117" t="str">
        <x:v>No</x:v>
      </x:c>
      <x:c r="G2429" s="117" t="str">
        <x:v>No</x:v>
      </x:c>
      <x:c r="H2429" s="117" t="str">
        <x:v>AutoLaunchedFlow</x:v>
      </x:c>
      <x:c r="I2429" s="118" t="n">
        <x:v>60</x:v>
      </x:c>
      <x:c r="J2429" s="117" t="str">
        <x:v>unmanaged</x:v>
      </x:c>
      <x:c r="K2429" s="123" t="b">
        <x:v>0</x:v>
      </x:c>
      <x:c r="L2429" s="117"/>
      <x:c r="M2429" s="118"/>
      <x:c r="N2429" s="120" t="n">
        <x:v>45401.65466435185</x:v>
      </x:c>
      <x:c r="O2429" s="117" t="str">
        <x:v>Jace Gentil</x:v>
      </x:c>
      <x:c r="P2429" s="120" t="n">
        <x:v>45401.65474537037</x:v>
      </x:c>
      <x:c r="Q2429" s="117" t="str">
        <x:v>Jace Gentil</x:v>
      </x:c>
      <x:c r="R2429" s="117" t="str">
        <x:v>Purchasing Opportunity Field Updates Flow</x:v>
      </x:c>
      <x:c r="S2429" s="119"/>
    </x:row>
    <x:row r="2430" ht="30" customHeight="1">
      <x:c r="A2430" s="117" t="str">
        <x:v>Purchasing_Opportunity_Field_Updates_Flow</x:v>
      </x:c>
      <x:c r="B2430" s="117" t="str">
        <x:v>300Ro000006dI4tIAE</x:v>
      </x:c>
      <x:c r="C2430" s="117" t="str">
        <x:v>301Ro00000V44MbIAJ</x:v>
      </x:c>
      <x:c r="D2430" s="118" t="n">
        <x:v>13</x:v>
      </x:c>
      <x:c r="E2430" s="117" t="str">
        <x:v>Obsolete</x:v>
      </x:c>
      <x:c r="F2430" s="117" t="str">
        <x:v>No</x:v>
      </x:c>
      <x:c r="G2430" s="117" t="str">
        <x:v>No</x:v>
      </x:c>
      <x:c r="H2430" s="117" t="str">
        <x:v>AutoLaunchedFlow</x:v>
      </x:c>
      <x:c r="I2430" s="118" t="n">
        <x:v>60</x:v>
      </x:c>
      <x:c r="J2430" s="117" t="str">
        <x:v>unmanaged</x:v>
      </x:c>
      <x:c r="K2430" s="123" t="b">
        <x:v>0</x:v>
      </x:c>
      <x:c r="L2430" s="117"/>
      <x:c r="M2430" s="118"/>
      <x:c r="N2430" s="120" t="n">
        <x:v>45720.73221064815</x:v>
      </x:c>
      <x:c r="O2430" s="117" t="str">
        <x:v>Jace Gentil</x:v>
      </x:c>
      <x:c r="P2430" s="120" t="n">
        <x:v>45720.73231481481</x:v>
      </x:c>
      <x:c r="Q2430" s="117" t="str">
        <x:v>Jace Gentil</x:v>
      </x:c>
      <x:c r="R2430" s="117" t="str">
        <x:v>Purchasing Opportunity Field Updates Flow</x:v>
      </x:c>
      <x:c r="S2430" s="119"/>
    </x:row>
    <x:row r="2431" ht="30" customHeight="1">
      <x:c r="A2431" s="117" t="str">
        <x:v>Purchasing_Opportunity_Field_Updates_Flow</x:v>
      </x:c>
      <x:c r="B2431" s="117" t="str">
        <x:v>300Ro000006dI4tIAE</x:v>
      </x:c>
      <x:c r="C2431" s="117" t="str">
        <x:v>301Ro00000V3qDEIAZ</x:v>
      </x:c>
      <x:c r="D2431" s="118" t="n">
        <x:v>14</x:v>
      </x:c>
      <x:c r="E2431" s="117" t="str">
        <x:v>Obsolete</x:v>
      </x:c>
      <x:c r="F2431" s="117" t="str">
        <x:v>No</x:v>
      </x:c>
      <x:c r="G2431" s="117" t="str">
        <x:v>No</x:v>
      </x:c>
      <x:c r="H2431" s="117" t="str">
        <x:v>AutoLaunchedFlow</x:v>
      </x:c>
      <x:c r="I2431" s="118" t="n">
        <x:v>60</x:v>
      </x:c>
      <x:c r="J2431" s="117" t="str">
        <x:v>unmanaged</x:v>
      </x:c>
      <x:c r="K2431" s="123" t="b">
        <x:v>0</x:v>
      </x:c>
      <x:c r="L2431" s="117"/>
      <x:c r="M2431" s="118"/>
      <x:c r="N2431" s="120" t="n">
        <x:v>45720.73609953704</x:v>
      </x:c>
      <x:c r="O2431" s="117" t="str">
        <x:v>Jace Gentil</x:v>
      </x:c>
      <x:c r="P2431" s="120" t="n">
        <x:v>45720.73619212963</x:v>
      </x:c>
      <x:c r="Q2431" s="117" t="str">
        <x:v>Jace Gentil</x:v>
      </x:c>
      <x:c r="R2431" s="117" t="str">
        <x:v>Purchasing Opportunity Field Updates Flow</x:v>
      </x:c>
      <x:c r="S2431" s="119"/>
    </x:row>
    <x:row r="2432" ht="30" customHeight="1">
      <x:c r="A2432" s="117" t="str">
        <x:v>Purchasing_Opportunity_Field_Updates_Flow</x:v>
      </x:c>
      <x:c r="B2432" s="117" t="str">
        <x:v>300Ro000006dI4tIAE</x:v>
      </x:c>
      <x:c r="C2432" s="117" t="str">
        <x:v>301Ro00000cb5ffIAA</x:v>
      </x:c>
      <x:c r="D2432" s="118" t="n">
        <x:v>15</x:v>
      </x:c>
      <x:c r="E2432" s="117" t="str">
        <x:v>Active</x:v>
      </x:c>
      <x:c r="F2432" s="117" t="str">
        <x:v>Yes</x:v>
      </x:c>
      <x:c r="G2432" s="117" t="str">
        <x:v>Yes</x:v>
      </x:c>
      <x:c r="H2432" s="117" t="str">
        <x:v>AutoLaunchedFlow</x:v>
      </x:c>
      <x:c r="I2432" s="118" t="n">
        <x:v>60</x:v>
      </x:c>
      <x:c r="J2432" s="117" t="str">
        <x:v>unmanaged</x:v>
      </x:c>
      <x:c r="K2432" s="123" t="b">
        <x:v>0</x:v>
      </x:c>
      <x:c r="L2432" s="117"/>
      <x:c r="M2432" s="118"/>
      <x:c r="N2432" s="120" t="n">
        <x:v>45831.80295138889</x:v>
      </x:c>
      <x:c r="O2432" s="117" t="str">
        <x:v>Bill Hagarty</x:v>
      </x:c>
      <x:c r="P2432" s="120" t="n">
        <x:v>45831.803125</x:v>
      </x:c>
      <x:c r="Q2432" s="117" t="str">
        <x:v>Bill Hagarty</x:v>
      </x:c>
      <x:c r="R2432" s="117" t="str">
        <x:v>Purchasing Opportunity Field Updates Flow</x:v>
      </x:c>
      <x:c r="S2432" s="119" t="str">
        <x:v>Change entry criteria conditional logic from "AND( 6 OR 7) OR 8" to "AND( 6 OR 7 OR 8)"</x:v>
      </x:c>
    </x:row>
    <x:row r="2433" ht="30" customHeight="1">
      <x:c r="A2433" s="117" t="str">
        <x:v>Purchasing_Return_Update_Fields</x:v>
      </x:c>
      <x:c r="B2433" s="117" t="str">
        <x:v>3004O000000LOr9QAG</x:v>
      </x:c>
      <x:c r="C2433" s="117" t="str">
        <x:v>3014O000000M0UwQAK</x:v>
      </x:c>
      <x:c r="D2433" s="118" t="n">
        <x:v>1</x:v>
      </x:c>
      <x:c r="E2433" s="117" t="str">
        <x:v>Draft</x:v>
      </x:c>
      <x:c r="F2433" s="117" t="str">
        <x:v>No</x:v>
      </x:c>
      <x:c r="G2433" s="117" t="str">
        <x:v>No</x:v>
      </x:c>
      <x:c r="H2433" s="117" t="str">
        <x:v>Workflow</x:v>
      </x:c>
      <x:c r="I2433" s="118" t="n">
        <x:v>50</x:v>
      </x:c>
      <x:c r="J2433" s="117" t="str">
        <x:v>unmanaged</x:v>
      </x:c>
      <x:c r="K2433" s="123" t="b">
        <x:v>0</x:v>
      </x:c>
      <x:c r="L2433" s="117"/>
      <x:c r="M2433" s="118"/>
      <x:c r="N2433" s="120" t="n">
        <x:v>44199.60534722222</x:v>
      </x:c>
      <x:c r="O2433" s="117" t="str">
        <x:v>Delegate</x:v>
      </x:c>
      <x:c r="P2433" s="120" t="n">
        <x:v>44199.60579861111</x:v>
      </x:c>
      <x:c r="Q2433" s="117" t="str">
        <x:v>Delegate</x:v>
      </x:c>
      <x:c r="R2433" s="117" t="str">
        <x:v>Purchasing Return Update Fields</x:v>
      </x:c>
      <x:c r="S2433" s="119"/>
    </x:row>
    <x:row r="2434" ht="30" customHeight="1">
      <x:c r="A2434" s="117" t="str">
        <x:v>Purchasing_Return_Update_Fields</x:v>
      </x:c>
      <x:c r="B2434" s="117" t="str">
        <x:v>3004O000000LOr9QAG</x:v>
      </x:c>
      <x:c r="C2434" s="117" t="str">
        <x:v>3014O000000M0WGQA0</x:v>
      </x:c>
      <x:c r="D2434" s="118" t="n">
        <x:v>2</x:v>
      </x:c>
      <x:c r="E2434" s="117" t="str">
        <x:v>Obsolete</x:v>
      </x:c>
      <x:c r="F2434" s="117" t="str">
        <x:v>No</x:v>
      </x:c>
      <x:c r="G2434" s="117" t="str">
        <x:v>Yes</x:v>
      </x:c>
      <x:c r="H2434" s="117" t="str">
        <x:v>Workflow</x:v>
      </x:c>
      <x:c r="I2434" s="118" t="n">
        <x:v>50</x:v>
      </x:c>
      <x:c r="J2434" s="117" t="str">
        <x:v>unmanaged</x:v>
      </x:c>
      <x:c r="K2434" s="123" t="b">
        <x:v>0</x:v>
      </x:c>
      <x:c r="L2434" s="117"/>
      <x:c r="M2434" s="118"/>
      <x:c r="N2434" s="120" t="n">
        <x:v>44199.68256944444</x:v>
      </x:c>
      <x:c r="O2434" s="117" t="str">
        <x:v>Delegate</x:v>
      </x:c>
      <x:c r="P2434" s="120" t="n">
        <x:v>45600.21026620371</x:v>
      </x:c>
      <x:c r="Q2434" s="117" t="str">
        <x:v>Delegate</x:v>
      </x:c>
      <x:c r="R2434" s="117" t="str">
        <x:v>Purchasing Return Update Fields</x:v>
      </x:c>
      <x:c r="S2434" s="119"/>
    </x:row>
    <x:row r="2435" ht="30" customHeight="1">
      <x:c r="A2435" s="117" t="str">
        <x:v>QA_Required_Auto_Update_from_Assets_for_UK</x:v>
      </x:c>
      <x:c r="B2435" s="117" t="str">
        <x:v>3005b000000H3hXAAS</x:v>
      </x:c>
      <x:c r="C2435" s="117" t="str">
        <x:v>3015b000000EJAkAAO</x:v>
      </x:c>
      <x:c r="D2435" s="118" t="n">
        <x:v>1</x:v>
      </x:c>
      <x:c r="E2435" s="117" t="str">
        <x:v>Obsolete</x:v>
      </x:c>
      <x:c r="F2435" s="117" t="str">
        <x:v>No</x:v>
      </x:c>
      <x:c r="G2435" s="117" t="str">
        <x:v>No</x:v>
      </x:c>
      <x:c r="H2435" s="117" t="str">
        <x:v>AutoLaunchedFlow</x:v>
      </x:c>
      <x:c r="I2435" s="118" t="n">
        <x:v>54</x:v>
      </x:c>
      <x:c r="J2435" s="117" t="str">
        <x:v>unmanaged</x:v>
      </x:c>
      <x:c r="K2435" s="123" t="b">
        <x:v>0</x:v>
      </x:c>
      <x:c r="L2435" s="117"/>
      <x:c r="M2435" s="118"/>
      <x:c r="N2435" s="120" t="n">
        <x:v>44665.48563657407</x:v>
      </x:c>
      <x:c r="O2435" s="117" t="str">
        <x:v>Jace Gentil</x:v>
      </x:c>
      <x:c r="P2435" s="120" t="n">
        <x:v>44687.53607638889</x:v>
      </x:c>
      <x:c r="Q2435" s="117" t="str">
        <x:v>Jace Gentil</x:v>
      </x:c>
      <x:c r="R2435" s="117" t="str">
        <x:v>QA Required Auto-Update from Assets for UK</x:v>
      </x:c>
      <x:c r="S2435" s="119"/>
    </x:row>
    <x:row r="2436" ht="30" customHeight="1">
      <x:c r="A2436" s="117" t="str">
        <x:v>QA_Required_Auto_Update_from_Assets_for_UK</x:v>
      </x:c>
      <x:c r="B2436" s="117" t="str">
        <x:v>3005b000000H3hXAAS</x:v>
      </x:c>
      <x:c r="C2436" s="117" t="str">
        <x:v>3015b000000APeSAAW</x:v>
      </x:c>
      <x:c r="D2436" s="118" t="n">
        <x:v>2</x:v>
      </x:c>
      <x:c r="E2436" s="117" t="str">
        <x:v>InvalidDraft</x:v>
      </x:c>
      <x:c r="F2436" s="117" t="str">
        <x:v>No</x:v>
      </x:c>
      <x:c r="G2436" s="117" t="str">
        <x:v>No</x:v>
      </x:c>
      <x:c r="H2436" s="117" t="str">
        <x:v>AutoLaunchedFlow</x:v>
      </x:c>
      <x:c r="I2436" s="118" t="n">
        <x:v>54</x:v>
      </x:c>
      <x:c r="J2436" s="117" t="str">
        <x:v>unmanaged</x:v>
      </x:c>
      <x:c r="K2436" s="123" t="b">
        <x:v>0</x:v>
      </x:c>
      <x:c r="L2436" s="117"/>
      <x:c r="M2436" s="118"/>
      <x:c r="N2436" s="120" t="n">
        <x:v>45145.54723379629</x:v>
      </x:c>
      <x:c r="O2436" s="117" t="str">
        <x:v>Delegate</x:v>
      </x:c>
      <x:c r="P2436" s="120" t="n">
        <x:v>45145.54723379629</x:v>
      </x:c>
      <x:c r="Q2436" s="117" t="str">
        <x:v>Delegate</x:v>
      </x:c>
      <x:c r="R2436" s="117" t="str">
        <x:v>QA Required Auto-Update from Assets for UK</x:v>
      </x:c>
      <x:c r="S2436" s="119" t="str">
        <x:v>Added asynchronous path</x:v>
      </x:c>
    </x:row>
    <x:row r="2437" ht="30" customHeight="1">
      <x:c r="A2437" s="117" t="str">
        <x:v>QA_Required_Auto_Update_from_Assets_for_UK</x:v>
      </x:c>
      <x:c r="B2437" s="117" t="str">
        <x:v>3005b000000H3hXAAS</x:v>
      </x:c>
      <x:c r="C2437" s="117" t="str">
        <x:v>3015b0000011MrhAAE</x:v>
      </x:c>
      <x:c r="D2437" s="118" t="n">
        <x:v>3</x:v>
      </x:c>
      <x:c r="E2437" s="117" t="str">
        <x:v>Obsolete</x:v>
      </x:c>
      <x:c r="F2437" s="117" t="str">
        <x:v>No</x:v>
      </x:c>
      <x:c r="G2437" s="117" t="str">
        <x:v>No</x:v>
      </x:c>
      <x:c r="H2437" s="117" t="str">
        <x:v>AutoLaunchedFlow</x:v>
      </x:c>
      <x:c r="I2437" s="118" t="n">
        <x:v>54</x:v>
      </x:c>
      <x:c r="J2437" s="117" t="str">
        <x:v>unmanaged</x:v>
      </x:c>
      <x:c r="K2437" s="123" t="b">
        <x:v>0</x:v>
      </x:c>
      <x:c r="L2437" s="117"/>
      <x:c r="M2437" s="118"/>
      <x:c r="N2437" s="120" t="n">
        <x:v>45275.492997685185</x:v>
      </x:c>
      <x:c r="O2437" s="117" t="str">
        <x:v>Jordan Reeves</x:v>
      </x:c>
      <x:c r="P2437" s="120" t="n">
        <x:v>45275.49306712963</x:v>
      </x:c>
      <x:c r="Q2437" s="117" t="str">
        <x:v>Jordan Reeves</x:v>
      </x:c>
      <x:c r="R2437" s="117" t="str">
        <x:v>QA Required Auto-Update from Assets for UK</x:v>
      </x:c>
      <x:c r="S2437" s="119"/>
    </x:row>
    <x:row r="2438" ht="30" customHeight="1">
      <x:c r="A2438" s="117" t="str">
        <x:v>QA_Required_Auto_Update_from_Assets_for_UK</x:v>
      </x:c>
      <x:c r="B2438" s="117" t="str">
        <x:v>3005b000000H3hXAAS</x:v>
      </x:c>
      <x:c r="C2438" s="117" t="str">
        <x:v>301Ro00000BSgu1IAD</x:v>
      </x:c>
      <x:c r="D2438" s="118" t="n">
        <x:v>4</x:v>
      </x:c>
      <x:c r="E2438" s="117" t="str">
        <x:v>Active</x:v>
      </x:c>
      <x:c r="F2438" s="117" t="str">
        <x:v>Yes</x:v>
      </x:c>
      <x:c r="G2438" s="117" t="str">
        <x:v>Yes</x:v>
      </x:c>
      <x:c r="H2438" s="117" t="str">
        <x:v>AutoLaunchedFlow</x:v>
      </x:c>
      <x:c r="I2438" s="118" t="n">
        <x:v>54</x:v>
      </x:c>
      <x:c r="J2438" s="117" t="str">
        <x:v>unmanaged</x:v>
      </x:c>
      <x:c r="K2438" s="123" t="b">
        <x:v>0</x:v>
      </x:c>
      <x:c r="L2438" s="117"/>
      <x:c r="M2438" s="118"/>
      <x:c r="N2438" s="120" t="n">
        <x:v>45405.479108796295</x:v>
      </x:c>
      <x:c r="O2438" s="117" t="str">
        <x:v>Delegate</x:v>
      </x:c>
      <x:c r="P2438" s="120" t="n">
        <x:v>45405.479155092595</x:v>
      </x:c>
      <x:c r="Q2438" s="117" t="str">
        <x:v>Delegate</x:v>
      </x:c>
      <x:c r="R2438" s="117" t="str">
        <x:v>QA Required Auto-Update from Assets for UK</x:v>
      </x:c>
      <x:c r="S2438" s="119" t="str">
        <x:v>04/23/24 (BW) - Updated this flow to run asynchronously and only run off the asset, not off the opportunity</x:v>
      </x:c>
    </x:row>
    <x:row r="2439" ht="30" customHeight="1">
      <x:c r="A2439" s="117" t="str">
        <x:v>Radiology_Basic_Product_Test_Screen_Flow_UK</x:v>
      </x:c>
      <x:c r="B2439" s="117" t="str">
        <x:v>3005b000000LGwJAAW</x:v>
      </x:c>
      <x:c r="C2439" s="117" t="str">
        <x:v>3015b000000A9uEAAS</x:v>
      </x:c>
      <x:c r="D2439" s="118" t="n">
        <x:v>1</x:v>
      </x:c>
      <x:c r="E2439" s="117" t="str">
        <x:v>Draft</x:v>
      </x:c>
      <x:c r="F2439" s="117" t="str">
        <x:v>No</x:v>
      </x:c>
      <x:c r="G2439" s="117" t="str">
        <x:v>No</x:v>
      </x:c>
      <x:c r="H2439" s="117" t="str">
        <x:v>Flow</x:v>
      </x:c>
      <x:c r="I2439" s="118" t="n">
        <x:v>56</x:v>
      </x:c>
      <x:c r="J2439" s="117" t="str">
        <x:v>unmanaged</x:v>
      </x:c>
      <x:c r="K2439" s="123" t="b">
        <x:v>0</x:v>
      </x:c>
      <x:c r="L2439" s="117"/>
      <x:c r="M2439" s="118"/>
      <x:c r="N2439" s="120" t="n">
        <x:v>44876.646886574075</x:v>
      </x:c>
      <x:c r="O2439" s="117" t="str">
        <x:v>Jace Gentil</x:v>
      </x:c>
      <x:c r="P2439" s="120" t="n">
        <x:v>44876.646898148145</x:v>
      </x:c>
      <x:c r="Q2439" s="117" t="str">
        <x:v>Jace Gentil</x:v>
      </x:c>
      <x:c r="R2439" s="117" t="str">
        <x:v>Radiology Basic Product Test Screen Flow - UK</x:v>
      </x:c>
      <x:c r="S2439" s="119"/>
    </x:row>
    <x:row r="2440" ht="30" customHeight="1">
      <x:c r="A2440" s="117" t="str">
        <x:v>Radiology_Basic_Product_Test_Screen_Flow_UK</x:v>
      </x:c>
      <x:c r="B2440" s="117" t="str">
        <x:v>3005b000000LGwJAAW</x:v>
      </x:c>
      <x:c r="C2440" s="117" t="str">
        <x:v>3015b000000A9uPAAS</x:v>
      </x:c>
      <x:c r="D2440" s="118" t="n">
        <x:v>2</x:v>
      </x:c>
      <x:c r="E2440" s="117" t="str">
        <x:v>Obsolete</x:v>
      </x:c>
      <x:c r="F2440" s="117" t="str">
        <x:v>No</x:v>
      </x:c>
      <x:c r="G2440" s="117" t="str">
        <x:v>No</x:v>
      </x:c>
      <x:c r="H2440" s="117" t="str">
        <x:v>Flow</x:v>
      </x:c>
      <x:c r="I2440" s="118" t="n">
        <x:v>56</x:v>
      </x:c>
      <x:c r="J2440" s="117" t="str">
        <x:v>unmanaged</x:v>
      </x:c>
      <x:c r="K2440" s="123" t="b">
        <x:v>0</x:v>
      </x:c>
      <x:c r="L2440" s="117"/>
      <x:c r="M2440" s="118"/>
      <x:c r="N2440" s="120" t="n">
        <x:v>44876.65436342593</x:v>
      </x:c>
      <x:c r="O2440" s="117" t="str">
        <x:v>Jace Gentil</x:v>
      </x:c>
      <x:c r="P2440" s="120" t="n">
        <x:v>44952.53497685185</x:v>
      </x:c>
      <x:c r="Q2440" s="117" t="str">
        <x:v>Jon Kean</x:v>
      </x:c>
      <x:c r="R2440" s="117" t="str">
        <x:v>Radiology Basic Product Test Screen Flow - UK</x:v>
      </x:c>
      <x:c r="S2440" s="119"/>
    </x:row>
    <x:row r="2441" ht="30" customHeight="1">
      <x:c r="A2441" s="117" t="str">
        <x:v>Radiology_Basic_Product_Test_Screen_Flow_UK</x:v>
      </x:c>
      <x:c r="B2441" s="117" t="str">
        <x:v>3005b000000LGwJAAW</x:v>
      </x:c>
      <x:c r="C2441" s="117" t="str">
        <x:v>3015b000000A9uYAAS</x:v>
      </x:c>
      <x:c r="D2441" s="118" t="n">
        <x:v>3</x:v>
      </x:c>
      <x:c r="E2441" s="117" t="str">
        <x:v>Obsolete</x:v>
      </x:c>
      <x:c r="F2441" s="117" t="str">
        <x:v>No</x:v>
      </x:c>
      <x:c r="G2441" s="117" t="str">
        <x:v>No</x:v>
      </x:c>
      <x:c r="H2441" s="117" t="str">
        <x:v>Flow</x:v>
      </x:c>
      <x:c r="I2441" s="118" t="n">
        <x:v>56</x:v>
      </x:c>
      <x:c r="J2441" s="117" t="str">
        <x:v>unmanaged</x:v>
      </x:c>
      <x:c r="K2441" s="123" t="b">
        <x:v>0</x:v>
      </x:c>
      <x:c r="L2441" s="117"/>
      <x:c r="M2441" s="118"/>
      <x:c r="N2441" s="120" t="n">
        <x:v>44876.657164351855</x:v>
      </x:c>
      <x:c r="O2441" s="117" t="str">
        <x:v>Jace Gentil</x:v>
      </x:c>
      <x:c r="P2441" s="120" t="n">
        <x:v>44952.53480324074</x:v>
      </x:c>
      <x:c r="Q2441" s="117" t="str">
        <x:v>Jon Kean</x:v>
      </x:c>
      <x:c r="R2441" s="117" t="str">
        <x:v>Radiology Basic Product Test Screen Flow - UK</x:v>
      </x:c>
      <x:c r="S2441" s="119"/>
    </x:row>
    <x:row r="2442" ht="30" customHeight="1">
      <x:c r="A2442" s="117" t="str">
        <x:v>Radiology_Basic_Product_Test_Screen_Flow_UK</x:v>
      </x:c>
      <x:c r="B2442" s="117" t="str">
        <x:v>3005b000000LGwJAAW</x:v>
      </x:c>
      <x:c r="C2442" s="117" t="str">
        <x:v>3015b000000AF15AAG</x:v>
      </x:c>
      <x:c r="D2442" s="118" t="n">
        <x:v>4</x:v>
      </x:c>
      <x:c r="E2442" s="117" t="str">
        <x:v>Obsolete</x:v>
      </x:c>
      <x:c r="F2442" s="117" t="str">
        <x:v>No</x:v>
      </x:c>
      <x:c r="G2442" s="117" t="str">
        <x:v>No</x:v>
      </x:c>
      <x:c r="H2442" s="117" t="str">
        <x:v>Flow</x:v>
      </x:c>
      <x:c r="I2442" s="118" t="n">
        <x:v>56</x:v>
      </x:c>
      <x:c r="J2442" s="117" t="str">
        <x:v>unmanaged</x:v>
      </x:c>
      <x:c r="K2442" s="123" t="b">
        <x:v>0</x:v>
      </x:c>
      <x:c r="L2442" s="117"/>
      <x:c r="M2442" s="118"/>
      <x:c r="N2442" s="120" t="n">
        <x:v>44952.491423611114</x:v>
      </x:c>
      <x:c r="O2442" s="117" t="str">
        <x:v>Jordan Reeves</x:v>
      </x:c>
      <x:c r="P2442" s="120" t="n">
        <x:v>44952.49153935185</x:v>
      </x:c>
      <x:c r="Q2442" s="117" t="str">
        <x:v>Jordan Reeves</x:v>
      </x:c>
      <x:c r="R2442" s="117" t="str">
        <x:v>Radiology Basic Product Test Screen Flow - UK</x:v>
      </x:c>
      <x:c r="S2442" s="119"/>
    </x:row>
    <x:row r="2443" ht="30" customHeight="1">
      <x:c r="A2443" s="117" t="str">
        <x:v>Radiology_Basic_Product_Test_Screen_Flow_UK</x:v>
      </x:c>
      <x:c r="B2443" s="117" t="str">
        <x:v>3005b000000LGwJAAW</x:v>
      </x:c>
      <x:c r="C2443" s="117" t="str">
        <x:v>3015b000000AF1AAAW</x:v>
      </x:c>
      <x:c r="D2443" s="118" t="n">
        <x:v>5</x:v>
      </x:c>
      <x:c r="E2443" s="117" t="str">
        <x:v>Obsolete</x:v>
      </x:c>
      <x:c r="F2443" s="117" t="str">
        <x:v>No</x:v>
      </x:c>
      <x:c r="G2443" s="117" t="str">
        <x:v>No</x:v>
      </x:c>
      <x:c r="H2443" s="117" t="str">
        <x:v>Flow</x:v>
      </x:c>
      <x:c r="I2443" s="118" t="n">
        <x:v>56</x:v>
      </x:c>
      <x:c r="J2443" s="117" t="str">
        <x:v>unmanaged</x:v>
      </x:c>
      <x:c r="K2443" s="123" t="b">
        <x:v>0</x:v>
      </x:c>
      <x:c r="L2443" s="117"/>
      <x:c r="M2443" s="118"/>
      <x:c r="N2443" s="120" t="n">
        <x:v>44952.49395833333</x:v>
      </x:c>
      <x:c r="O2443" s="117" t="str">
        <x:v>Jordan Reeves</x:v>
      </x:c>
      <x:c r="P2443" s="120" t="n">
        <x:v>44952.49400462963</x:v>
      </x:c>
      <x:c r="Q2443" s="117" t="str">
        <x:v>Jordan Reeves</x:v>
      </x:c>
      <x:c r="R2443" s="117" t="str">
        <x:v>Radiology Basic Product Test Screen Flow - UK</x:v>
      </x:c>
      <x:c r="S2443" s="119"/>
    </x:row>
    <x:row r="2444" ht="30" customHeight="1">
      <x:c r="A2444" s="117" t="str">
        <x:v>Radiology_Basic_Product_Test_Screen_Flow_UK</x:v>
      </x:c>
      <x:c r="B2444" s="117" t="str">
        <x:v>3005b000000LGwJAAW</x:v>
      </x:c>
      <x:c r="C2444" s="117" t="str">
        <x:v>3015b000000AF1FAAW</x:v>
      </x:c>
      <x:c r="D2444" s="118" t="n">
        <x:v>6</x:v>
      </x:c>
      <x:c r="E2444" s="117" t="str">
        <x:v>Obsolete</x:v>
      </x:c>
      <x:c r="F2444" s="117" t="str">
        <x:v>No</x:v>
      </x:c>
      <x:c r="G2444" s="117" t="str">
        <x:v>No</x:v>
      </x:c>
      <x:c r="H2444" s="117" t="str">
        <x:v>Flow</x:v>
      </x:c>
      <x:c r="I2444" s="118" t="n">
        <x:v>56</x:v>
      </x:c>
      <x:c r="J2444" s="117" t="str">
        <x:v>unmanaged</x:v>
      </x:c>
      <x:c r="K2444" s="123" t="b">
        <x:v>0</x:v>
      </x:c>
      <x:c r="L2444" s="117"/>
      <x:c r="M2444" s="118"/>
      <x:c r="N2444" s="120" t="n">
        <x:v>44952.497465277775</x:v>
      </x:c>
      <x:c r="O2444" s="117" t="str">
        <x:v>Jordan Reeves</x:v>
      </x:c>
      <x:c r="P2444" s="120" t="n">
        <x:v>44952.4975</x:v>
      </x:c>
      <x:c r="Q2444" s="117" t="str">
        <x:v>Jordan Reeves</x:v>
      </x:c>
      <x:c r="R2444" s="117" t="str">
        <x:v>Radiology Basic Product Test Screen Flow - UK</x:v>
      </x:c>
      <x:c r="S2444" s="119"/>
    </x:row>
    <x:row r="2445" ht="30" customHeight="1">
      <x:c r="A2445" s="117" t="str">
        <x:v>Radiology_Basic_Product_Test_Screen_Flow_UK</x:v>
      </x:c>
      <x:c r="B2445" s="117" t="str">
        <x:v>3005b000000LGwJAAW</x:v>
      </x:c>
      <x:c r="C2445" s="117" t="str">
        <x:v>3015b000000AF1KAAW</x:v>
      </x:c>
      <x:c r="D2445" s="118" t="n">
        <x:v>7</x:v>
      </x:c>
      <x:c r="E2445" s="117" t="str">
        <x:v>Obsolete</x:v>
      </x:c>
      <x:c r="F2445" s="117" t="str">
        <x:v>No</x:v>
      </x:c>
      <x:c r="G2445" s="117" t="str">
        <x:v>No</x:v>
      </x:c>
      <x:c r="H2445" s="117" t="str">
        <x:v>Flow</x:v>
      </x:c>
      <x:c r="I2445" s="118" t="n">
        <x:v>56</x:v>
      </x:c>
      <x:c r="J2445" s="117" t="str">
        <x:v>unmanaged</x:v>
      </x:c>
      <x:c r="K2445" s="123" t="b">
        <x:v>0</x:v>
      </x:c>
      <x:c r="L2445" s="117"/>
      <x:c r="M2445" s="118"/>
      <x:c r="N2445" s="120" t="n">
        <x:v>44952.49831018518</x:v>
      </x:c>
      <x:c r="O2445" s="117" t="str">
        <x:v>Jordan Reeves</x:v>
      </x:c>
      <x:c r="P2445" s="120" t="n">
        <x:v>44952.498344907406</x:v>
      </x:c>
      <x:c r="Q2445" s="117" t="str">
        <x:v>Jordan Reeves</x:v>
      </x:c>
      <x:c r="R2445" s="117" t="str">
        <x:v>Radiology Basic Product Test Screen Flow - UK</x:v>
      </x:c>
      <x:c r="S2445" s="119"/>
    </x:row>
    <x:row r="2446" ht="30" customHeight="1">
      <x:c r="A2446" s="117" t="str">
        <x:v>Radiology_Basic_Product_Test_Screen_Flow_UK</x:v>
      </x:c>
      <x:c r="B2446" s="117" t="str">
        <x:v>3005b000000LGwJAAW</x:v>
      </x:c>
      <x:c r="C2446" s="117" t="str">
        <x:v>3015b000000AF8QAAW</x:v>
      </x:c>
      <x:c r="D2446" s="118" t="n">
        <x:v>8</x:v>
      </x:c>
      <x:c r="E2446" s="117" t="str">
        <x:v>Obsolete</x:v>
      </x:c>
      <x:c r="F2446" s="117" t="str">
        <x:v>No</x:v>
      </x:c>
      <x:c r="G2446" s="117" t="str">
        <x:v>No</x:v>
      </x:c>
      <x:c r="H2446" s="117" t="str">
        <x:v>Flow</x:v>
      </x:c>
      <x:c r="I2446" s="118" t="n">
        <x:v>56</x:v>
      </x:c>
      <x:c r="J2446" s="117" t="str">
        <x:v>unmanaged</x:v>
      </x:c>
      <x:c r="K2446" s="123" t="b">
        <x:v>0</x:v>
      </x:c>
      <x:c r="L2446" s="117"/>
      <x:c r="M2446" s="118"/>
      <x:c r="N2446" s="120" t="n">
        <x:v>44953.602314814816</x:v>
      </x:c>
      <x:c r="O2446" s="117" t="str">
        <x:v>Jace Gentil</x:v>
      </x:c>
      <x:c r="P2446" s="120" t="n">
        <x:v>44953.60239583333</x:v>
      </x:c>
      <x:c r="Q2446" s="117" t="str">
        <x:v>Jace Gentil</x:v>
      </x:c>
      <x:c r="R2446" s="117" t="str">
        <x:v>Radiology Basic Product Test Screen Flow - UK</x:v>
      </x:c>
      <x:c r="S2446" s="119"/>
    </x:row>
    <x:row r="2447" ht="30" customHeight="1">
      <x:c r="A2447" s="117" t="str">
        <x:v>Radiology_Basic_Product_Test_Screen_Flow_UK</x:v>
      </x:c>
      <x:c r="B2447" s="117" t="str">
        <x:v>3005b000000LGwJAAW</x:v>
      </x:c>
      <x:c r="C2447" s="117" t="str">
        <x:v>301Ro00000PZ1alIAD</x:v>
      </x:c>
      <x:c r="D2447" s="118" t="n">
        <x:v>9</x:v>
      </x:c>
      <x:c r="E2447" s="117" t="str">
        <x:v>Obsolete</x:v>
      </x:c>
      <x:c r="F2447" s="117" t="str">
        <x:v>No</x:v>
      </x:c>
      <x:c r="G2447" s="117" t="str">
        <x:v>No</x:v>
      </x:c>
      <x:c r="H2447" s="117" t="str">
        <x:v>Flow</x:v>
      </x:c>
      <x:c r="I2447" s="118" t="n">
        <x:v>56</x:v>
      </x:c>
      <x:c r="J2447" s="117" t="str">
        <x:v>unmanaged</x:v>
      </x:c>
      <x:c r="K2447" s="123" t="b">
        <x:v>0</x:v>
      </x:c>
      <x:c r="L2447" s="117"/>
      <x:c r="M2447" s="118"/>
      <x:c r="N2447" s="120" t="n">
        <x:v>45624.470671296294</x:v>
      </x:c>
      <x:c r="O2447" s="117" t="str">
        <x:v>Jon Kean</x:v>
      </x:c>
      <x:c r="P2447" s="120" t="n">
        <x:v>45637.42219907408</x:v>
      </x:c>
      <x:c r="Q2447" s="117" t="str">
        <x:v>Jon Kean</x:v>
      </x:c>
      <x:c r="R2447" s="117" t="str">
        <x:v>Radiology Basic Product Test Screen Flow - UK</x:v>
      </x:c>
      <x:c r="S2447" s="119"/>
    </x:row>
    <x:row r="2448" ht="30" customHeight="1">
      <x:c r="A2448" s="117" t="str">
        <x:v>Radiology_Basic_Product_Test_Screen_Flow_UK</x:v>
      </x:c>
      <x:c r="B2448" s="117" t="str">
        <x:v>3005b000000LGwJAAW</x:v>
      </x:c>
      <x:c r="C2448" s="117" t="str">
        <x:v>301Ro00000QJXqvIAH</x:v>
      </x:c>
      <x:c r="D2448" s="118" t="n">
        <x:v>10</x:v>
      </x:c>
      <x:c r="E2448" s="117" t="str">
        <x:v>Obsolete</x:v>
      </x:c>
      <x:c r="F2448" s="117" t="str">
        <x:v>No</x:v>
      </x:c>
      <x:c r="G2448" s="117" t="str">
        <x:v>No</x:v>
      </x:c>
      <x:c r="H2448" s="117" t="str">
        <x:v>Flow</x:v>
      </x:c>
      <x:c r="I2448" s="118" t="n">
        <x:v>56</x:v>
      </x:c>
      <x:c r="J2448" s="117" t="str">
        <x:v>unmanaged</x:v>
      </x:c>
      <x:c r="K2448" s="123" t="b">
        <x:v>0</x:v>
      </x:c>
      <x:c r="L2448" s="117"/>
      <x:c r="M2448" s="118"/>
      <x:c r="N2448" s="120" t="n">
        <x:v>45637.42165509259</x:v>
      </x:c>
      <x:c r="O2448" s="117" t="str">
        <x:v>Jon Kean</x:v>
      </x:c>
      <x:c r="P2448" s="120" t="n">
        <x:v>45637.42173611111</x:v>
      </x:c>
      <x:c r="Q2448" s="117" t="str">
        <x:v>Jon Kean</x:v>
      </x:c>
      <x:c r="R2448" s="117" t="str">
        <x:v>Radiology Basic Product Test Screen Flow - UK</x:v>
      </x:c>
      <x:c r="S2448" s="119"/>
    </x:row>
    <x:row r="2449" ht="30" customHeight="1">
      <x:c r="A2449" s="117" t="str">
        <x:v>Radiology_Basic_Product_Test_Screen_Flow_UK</x:v>
      </x:c>
      <x:c r="B2449" s="117" t="str">
        <x:v>3005b000000LGwJAAW</x:v>
      </x:c>
      <x:c r="C2449" s="117" t="str">
        <x:v>301Ro00000Sz7vqIAB</x:v>
      </x:c>
      <x:c r="D2449" s="118" t="n">
        <x:v>11</x:v>
      </x:c>
      <x:c r="E2449" s="117" t="str">
        <x:v>Active</x:v>
      </x:c>
      <x:c r="F2449" s="117" t="str">
        <x:v>Yes</x:v>
      </x:c>
      <x:c r="G2449" s="117" t="str">
        <x:v>Yes</x:v>
      </x:c>
      <x:c r="H2449" s="117" t="str">
        <x:v>Flow</x:v>
      </x:c>
      <x:c r="I2449" s="118" t="n">
        <x:v>56</x:v>
      </x:c>
      <x:c r="J2449" s="117" t="str">
        <x:v>unmanaged</x:v>
      </x:c>
      <x:c r="K2449" s="123" t="b">
        <x:v>0</x:v>
      </x:c>
      <x:c r="L2449" s="117"/>
      <x:c r="M2449" s="118"/>
      <x:c r="N2449" s="120" t="n">
        <x:v>45686.372407407405</x:v>
      </x:c>
      <x:c r="O2449" s="117" t="str">
        <x:v>Jon Kean</x:v>
      </x:c>
      <x:c r="P2449" s="120" t="n">
        <x:v>45686.372465277775</x:v>
      </x:c>
      <x:c r="Q2449" s="117" t="str">
        <x:v>Jon Kean</x:v>
      </x:c>
      <x:c r="R2449" s="117" t="str">
        <x:v>Radiology Basic Product Test Screen Flow - UK</x:v>
      </x:c>
      <x:c r="S2449" s="119"/>
    </x:row>
    <x:row r="2450" ht="30" customHeight="1">
      <x:c r="A2450" s="117" t="str">
        <x:v>Re_submit_for_Accounting_Approval</x:v>
      </x:c>
      <x:c r="B2450" s="117" t="str">
        <x:v>3005b000000LHqCAAW</x:v>
      </x:c>
      <x:c r="C2450" s="117" t="str">
        <x:v>3015b000000AEzdAAG</x:v>
      </x:c>
      <x:c r="D2450" s="118" t="n">
        <x:v>1</x:v>
      </x:c>
      <x:c r="E2450" s="117" t="str">
        <x:v>Active</x:v>
      </x:c>
      <x:c r="F2450" s="117" t="str">
        <x:v>Yes</x:v>
      </x:c>
      <x:c r="G2450" s="117" t="str">
        <x:v>Yes</x:v>
      </x:c>
      <x:c r="H2450" s="117" t="str">
        <x:v>Flow</x:v>
      </x:c>
      <x:c r="I2450" s="118" t="n">
        <x:v>56</x:v>
      </x:c>
      <x:c r="J2450" s="117" t="str">
        <x:v>unmanaged</x:v>
      </x:c>
      <x:c r="K2450" s="123" t="b">
        <x:v>0</x:v>
      </x:c>
      <x:c r="L2450" s="117"/>
      <x:c r="M2450" s="118"/>
      <x:c r="N2450" s="120" t="n">
        <x:v>44951.789560185185</x:v>
      </x:c>
      <x:c r="O2450" s="117" t="str">
        <x:v>Delegate</x:v>
      </x:c>
      <x:c r="P2450" s="120" t="n">
        <x:v>44951.78962962963</x:v>
      </x:c>
      <x:c r="Q2450" s="117" t="str">
        <x:v>Delegate</x:v>
      </x:c>
      <x:c r="R2450" s="117" t="str">
        <x:v>Re-submit for Accounting Approval</x:v>
      </x:c>
      <x:c r="S2450" s="119"/>
    </x:row>
    <x:row r="2451" ht="30" customHeight="1">
      <x:c r="A2451" s="117" t="str">
        <x:v>Record_Triggered_Account_Prevent_Intacct_Sync_Status_Change</x:v>
      </x:c>
      <x:c r="B2451" s="117" t="str">
        <x:v>300Ro00000d8DPqIAM</x:v>
      </x:c>
      <x:c r="C2451" s="117" t="str">
        <x:v>301Ro00000ijmOzIAI</x:v>
      </x:c>
      <x:c r="D2451" s="118" t="n">
        <x:v>1</x:v>
      </x:c>
      <x:c r="E2451" s="117" t="str">
        <x:v>Obsolete</x:v>
      </x:c>
      <x:c r="F2451" s="117" t="str">
        <x:v>No</x:v>
      </x:c>
      <x:c r="G2451" s="117" t="str">
        <x:v>Yes</x:v>
      </x:c>
      <x:c r="H2451" s="117" t="str">
        <x:v>AutoLaunchedFlow</x:v>
      </x:c>
      <x:c r="I2451" s="118" t="n">
        <x:v>64</x:v>
      </x:c>
      <x:c r="J2451" s="117" t="str">
        <x:v>unmanaged</x:v>
      </x:c>
      <x:c r="K2451" s="123" t="b">
        <x:v>0</x:v>
      </x:c>
      <x:c r="L2451" s="117"/>
      <x:c r="M2451" s="118" t="n">
        <x:v>1</x:v>
      </x:c>
      <x:c r="N2451" s="120" t="n">
        <x:v>45888.60444444444</x:v>
      </x:c>
      <x:c r="O2451" s="117" t="str">
        <x:v>Delegate</x:v>
      </x:c>
      <x:c r="P2451" s="120" t="n">
        <x:v>45889.9346875</x:v>
      </x:c>
      <x:c r="Q2451" s="117" t="str">
        <x:v>Delegate</x:v>
      </x:c>
      <x:c r="R2451" s="117" t="str">
        <x:v>Record-Triggered Account: Prevent Intacct Sync Status Change</x:v>
      </x:c>
      <x:c r="S2451" s="119" t="str">
        <x:v>Prevents a user from changing the Intacct Sync Status if they are not assigned to the 'Manage Intacct Synced Records' permission set.</x:v>
      </x:c>
    </x:row>
    <x:row r="2452" ht="30" customHeight="1">
      <x:c r="A2452" s="117" t="str">
        <x:v>Record_Triggered_Account_Update_Intacct_Customer_Sync_Status</x:v>
      </x:c>
      <x:c r="B2452" s="117" t="str">
        <x:v>300Ro00000WbzIIIAZ</x:v>
      </x:c>
      <x:c r="C2452" s="117" t="str">
        <x:v>301Ro00000ZwY5cIAF</x:v>
      </x:c>
      <x:c r="D2452" s="118" t="n">
        <x:v>1</x:v>
      </x:c>
      <x:c r="E2452" s="117" t="str">
        <x:v>Obsolete</x:v>
      </x:c>
      <x:c r="F2452" s="117" t="str">
        <x:v>No</x:v>
      </x:c>
      <x:c r="G2452" s="117" t="str">
        <x:v>Yes</x:v>
      </x:c>
      <x:c r="H2452" s="117" t="str">
        <x:v>AutoLaunchedFlow</x:v>
      </x:c>
      <x:c r="I2452" s="118" t="n">
        <x:v>60</x:v>
      </x:c>
      <x:c r="J2452" s="117" t="str">
        <x:v>unmanaged</x:v>
      </x:c>
      <x:c r="K2452" s="123" t="b">
        <x:v>0</x:v>
      </x:c>
      <x:c r="L2452" s="117" t="str">
        <x:v>SystemModeWithoutSharing</x:v>
      </x:c>
      <x:c r="M2452" s="118"/>
      <x:c r="N2452" s="120" t="n">
        <x:v>45806.30590277778</x:v>
      </x:c>
      <x:c r="O2452" s="117" t="str">
        <x:v>Delegate</x:v>
      </x:c>
      <x:c r="P2452" s="120" t="n">
        <x:v>45888.60842592592</x:v>
      </x:c>
      <x:c r="Q2452" s="117" t="str">
        <x:v>Delegate</x:v>
      </x:c>
      <x:c r="R2452" s="117" t="str">
        <x:v>Record Triggered Account: Update Intacct Customer Sync Status</x:v>
      </x:c>
      <x:c r="S2452" s="119"/>
    </x:row>
    <x:row r="2453" ht="30" customHeight="1">
      <x:c r="A2453" s="117" t="str">
        <x:v>Record_Triggered_Account_Update_Intacct_Sync_Status</x:v>
      </x:c>
      <x:c r="B2453" s="117" t="str">
        <x:v>300Ro00000d8DPrIAM</x:v>
      </x:c>
      <x:c r="C2453" s="117" t="str">
        <x:v>301Ro00000ijmP0IAI</x:v>
      </x:c>
      <x:c r="D2453" s="118" t="n">
        <x:v>1</x:v>
      </x:c>
      <x:c r="E2453" s="117" t="str">
        <x:v>Obsolete</x:v>
      </x:c>
      <x:c r="F2453" s="117" t="str">
        <x:v>No</x:v>
      </x:c>
      <x:c r="G2453" s="117" t="str">
        <x:v>No</x:v>
      </x:c>
      <x:c r="H2453" s="117" t="str">
        <x:v>AutoLaunchedFlow</x:v>
      </x:c>
      <x:c r="I2453" s="118" t="n">
        <x:v>60</x:v>
      </x:c>
      <x:c r="J2453" s="117" t="str">
        <x:v>unmanaged</x:v>
      </x:c>
      <x:c r="K2453" s="123" t="b">
        <x:v>0</x:v>
      </x:c>
      <x:c r="L2453" s="117" t="str">
        <x:v>SystemModeWithoutSharing</x:v>
      </x:c>
      <x:c r="M2453" s="118"/>
      <x:c r="N2453" s="120" t="n">
        <x:v>45888.604525462964</x:v>
      </x:c>
      <x:c r="O2453" s="117" t="str">
        <x:v>Delegate</x:v>
      </x:c>
      <x:c r="P2453" s="120" t="n">
        <x:v>45888.60638888889</x:v>
      </x:c>
      <x:c r="Q2453" s="117" t="str">
        <x:v>Delegate</x:v>
      </x:c>
      <x:c r="R2453" s="117" t="str">
        <x:v>Record Triggered Account: Update Intacct Sync Status</x:v>
      </x:c>
      <x:c r="S2453" s="119"/>
    </x:row>
    <x:row r="2454" ht="30" customHeight="1">
      <x:c r="A2454" s="117" t="str">
        <x:v>Record_Triggered_Account_Update_Intacct_Sync_Status</x:v>
      </x:c>
      <x:c r="B2454" s="117" t="str">
        <x:v>300Ro00000d8DPrIAM</x:v>
      </x:c>
      <x:c r="C2454" s="117" t="str">
        <x:v>301Ro00000iyab5IAA</x:v>
      </x:c>
      <x:c r="D2454" s="118" t="n">
        <x:v>2</x:v>
      </x:c>
      <x:c r="E2454" s="117" t="str">
        <x:v>Obsolete</x:v>
      </x:c>
      <x:c r="F2454" s="117" t="str">
        <x:v>No</x:v>
      </x:c>
      <x:c r="G2454" s="117" t="str">
        <x:v>No</x:v>
      </x:c>
      <x:c r="H2454" s="117" t="str">
        <x:v>AutoLaunchedFlow</x:v>
      </x:c>
      <x:c r="I2454" s="118" t="n">
        <x:v>60</x:v>
      </x:c>
      <x:c r="J2454" s="117" t="str">
        <x:v>unmanaged</x:v>
      </x:c>
      <x:c r="K2454" s="123" t="b">
        <x:v>0</x:v>
      </x:c>
      <x:c r="L2454" s="117" t="str">
        <x:v>SystemModeWithoutSharing</x:v>
      </x:c>
      <x:c r="M2454" s="118"/>
      <x:c r="N2454" s="120" t="n">
        <x:v>45889.95417824074</x:v>
      </x:c>
      <x:c r="O2454" s="117" t="str">
        <x:v>Delegate</x:v>
      </x:c>
      <x:c r="P2454" s="120" t="n">
        <x:v>45889.95748842593</x:v>
      </x:c>
      <x:c r="Q2454" s="117" t="str">
        <x:v>Delegate</x:v>
      </x:c>
      <x:c r="R2454" s="117" t="str">
        <x:v>Record Triggered Account: Update Intacct Sync Status</x:v>
      </x:c>
      <x:c r="S2454" s="119"/>
    </x:row>
    <x:row r="2455" ht="30" customHeight="1">
      <x:c r="A2455" s="117" t="str">
        <x:v>Record_Triggered_Account_Update_Intacct_Sync_Status</x:v>
      </x:c>
      <x:c r="B2455" s="117" t="str">
        <x:v>300Ro00000d8DPrIAM</x:v>
      </x:c>
      <x:c r="C2455" s="117" t="str">
        <x:v>301Ro00000iyk3TIAQ</x:v>
      </x:c>
      <x:c r="D2455" s="118" t="n">
        <x:v>3</x:v>
      </x:c>
      <x:c r="E2455" s="117" t="str">
        <x:v>Obsolete</x:v>
      </x:c>
      <x:c r="F2455" s="117" t="str">
        <x:v>No</x:v>
      </x:c>
      <x:c r="G2455" s="117" t="str">
        <x:v>No</x:v>
      </x:c>
      <x:c r="H2455" s="117" t="str">
        <x:v>AutoLaunchedFlow</x:v>
      </x:c>
      <x:c r="I2455" s="118" t="n">
        <x:v>60</x:v>
      </x:c>
      <x:c r="J2455" s="117" t="str">
        <x:v>unmanaged</x:v>
      </x:c>
      <x:c r="K2455" s="123" t="b">
        <x:v>0</x:v>
      </x:c>
      <x:c r="L2455" s="117" t="str">
        <x:v>SystemModeWithoutSharing</x:v>
      </x:c>
      <x:c r="M2455" s="118"/>
      <x:c r="N2455" s="120" t="n">
        <x:v>45889.95989583333</x:v>
      </x:c>
      <x:c r="O2455" s="117" t="str">
        <x:v>Delegate</x:v>
      </x:c>
      <x:c r="P2455" s="120" t="n">
        <x:v>45889.97126157407</x:v>
      </x:c>
      <x:c r="Q2455" s="117" t="str">
        <x:v>Delegate</x:v>
      </x:c>
      <x:c r="R2455" s="117" t="str">
        <x:v>Record Triggered Account: Update Intacct Sync Status</x:v>
      </x:c>
      <x:c r="S2455" s="119"/>
    </x:row>
    <x:row r="2456" ht="30" customHeight="1">
      <x:c r="A2456" s="117" t="str">
        <x:v>Record_Triggered_Account_Update_Intacct_Sync_Status</x:v>
      </x:c>
      <x:c r="B2456" s="117" t="str">
        <x:v>300Ro00000d8DPrIAM</x:v>
      </x:c>
      <x:c r="C2456" s="117" t="str">
        <x:v>301Ro00000iyFRuIAM</x:v>
      </x:c>
      <x:c r="D2456" s="118" t="n">
        <x:v>4</x:v>
      </x:c>
      <x:c r="E2456" s="117" t="str">
        <x:v>Draft</x:v>
      </x:c>
      <x:c r="F2456" s="117" t="str">
        <x:v>No</x:v>
      </x:c>
      <x:c r="G2456" s="117" t="str">
        <x:v>Yes</x:v>
      </x:c>
      <x:c r="H2456" s="117" t="str">
        <x:v>AutoLaunchedFlow</x:v>
      </x:c>
      <x:c r="I2456" s="118" t="n">
        <x:v>60</x:v>
      </x:c>
      <x:c r="J2456" s="117" t="str">
        <x:v>unmanaged</x:v>
      </x:c>
      <x:c r="K2456" s="123" t="b">
        <x:v>0</x:v>
      </x:c>
      <x:c r="L2456" s="117" t="str">
        <x:v>SystemModeWithoutSharing</x:v>
      </x:c>
      <x:c r="M2456" s="118"/>
      <x:c r="N2456" s="120" t="n">
        <x:v>45889.969513888886</x:v>
      </x:c>
      <x:c r="O2456" s="117" t="str">
        <x:v>Delegate</x:v>
      </x:c>
      <x:c r="P2456" s="120" t="n">
        <x:v>45889.969560185185</x:v>
      </x:c>
      <x:c r="Q2456" s="117" t="str">
        <x:v>Delegate</x:v>
      </x:c>
      <x:c r="R2456" s="117" t="str">
        <x:v>Record Triggered Account: Update Intacct Sync Status</x:v>
      </x:c>
      <x:c r="S2456" s="119"/>
    </x:row>
    <x:row r="2457" ht="30" customHeight="1">
      <x:c r="A2457" s="117" t="str">
        <x:v>Record_Triggered_After_Account_Prevent_Intact_Sync_Status_Change</x:v>
      </x:c>
      <x:c r="B2457" s="117" t="str">
        <x:v>300Ro00000dKR41IAG</x:v>
      </x:c>
      <x:c r="C2457" s="117" t="str">
        <x:v>301Ro00000iyxThIAI</x:v>
      </x:c>
      <x:c r="D2457" s="118" t="n">
        <x:v>1</x:v>
      </x:c>
      <x:c r="E2457" s="117" t="str">
        <x:v>Obsolete</x:v>
      </x:c>
      <x:c r="F2457" s="117" t="str">
        <x:v>No</x:v>
      </x:c>
      <x:c r="G2457" s="117" t="str">
        <x:v>No</x:v>
      </x:c>
      <x:c r="H2457" s="117" t="str">
        <x:v>AutoLaunchedFlow</x:v>
      </x:c>
      <x:c r="I2457" s="118" t="n">
        <x:v>60</x:v>
      </x:c>
      <x:c r="J2457" s="117" t="str">
        <x:v>unmanaged</x:v>
      </x:c>
      <x:c r="K2457" s="123" t="b">
        <x:v>0</x:v>
      </x:c>
      <x:c r="L2457" s="117" t="str">
        <x:v>SystemModeWithoutSharing</x:v>
      </x:c>
      <x:c r="M2457" s="118"/>
      <x:c r="N2457" s="120" t="n">
        <x:v>45889.970868055556</x:v>
      </x:c>
      <x:c r="O2457" s="117" t="str">
        <x:v>Delegate</x:v>
      </x:c>
      <x:c r="P2457" s="120" t="n">
        <x:v>45889.97109953704</x:v>
      </x:c>
      <x:c r="Q2457" s="117" t="str">
        <x:v>Delegate</x:v>
      </x:c>
      <x:c r="R2457" s="117" t="str">
        <x:v>Record-Triggered After Account: Prevent Intact Sync Status Change</x:v>
      </x:c>
      <x:c r="S2457" s="119" t="str">
        <x:v>Prevents the Intacct Customer Sync Status and Intacct Vendor Sync Status from direct change or indirect change from other field updates.</x:v>
      </x:c>
    </x:row>
    <x:row r="2458" ht="30" customHeight="1">
      <x:c r="A2458" s="117" t="str">
        <x:v>Record_Triggered_After_Account_Prevent_Intact_Sync_Status_Change</x:v>
      </x:c>
      <x:c r="B2458" s="117" t="str">
        <x:v>300Ro00000dKR41IAG</x:v>
      </x:c>
      <x:c r="C2458" s="117" t="str">
        <x:v>301Ro00000iybptIAA</x:v>
      </x:c>
      <x:c r="D2458" s="118" t="n">
        <x:v>2</x:v>
      </x:c>
      <x:c r="E2458" s="117" t="str">
        <x:v>Obsolete</x:v>
      </x:c>
      <x:c r="F2458" s="117" t="str">
        <x:v>No</x:v>
      </x:c>
      <x:c r="G2458" s="117" t="str">
        <x:v>No</x:v>
      </x:c>
      <x:c r="H2458" s="117" t="str">
        <x:v>AutoLaunchedFlow</x:v>
      </x:c>
      <x:c r="I2458" s="118" t="n">
        <x:v>60</x:v>
      </x:c>
      <x:c r="J2458" s="117" t="str">
        <x:v>unmanaged</x:v>
      </x:c>
      <x:c r="K2458" s="123" t="b">
        <x:v>0</x:v>
      </x:c>
      <x:c r="L2458" s="117" t="str">
        <x:v>SystemModeWithoutSharing</x:v>
      </x:c>
      <x:c r="M2458" s="118"/>
      <x:c r="N2458" s="120" t="n">
        <x:v>45889.97287037037</x:v>
      </x:c>
      <x:c r="O2458" s="117" t="str">
        <x:v>Delegate</x:v>
      </x:c>
      <x:c r="P2458" s="120" t="n">
        <x:v>45889.97292824074</x:v>
      </x:c>
      <x:c r="Q2458" s="117" t="str">
        <x:v>Delegate</x:v>
      </x:c>
      <x:c r="R2458" s="117" t="str">
        <x:v>Record-Triggered After Account: Prevent Intact Sync Status Change</x:v>
      </x:c>
      <x:c r="S2458" s="119" t="str">
        <x:v>Prevents the Intacct Customer Sync Status and Intacct Vendor Sync Status from direct change or indirect change from other field updates.</x:v>
      </x:c>
    </x:row>
    <x:row r="2459" ht="30" customHeight="1">
      <x:c r="A2459" s="117" t="str">
        <x:v>Record_Triggered_After_Account_Prevent_Intact_Sync_Status_Change</x:v>
      </x:c>
      <x:c r="B2459" s="117" t="str">
        <x:v>300Ro00000dKR41IAG</x:v>
      </x:c>
      <x:c r="C2459" s="117" t="str">
        <x:v>301Ro00000iy14zIAA</x:v>
      </x:c>
      <x:c r="D2459" s="118" t="n">
        <x:v>3</x:v>
      </x:c>
      <x:c r="E2459" s="117" t="str">
        <x:v>Obsolete</x:v>
      </x:c>
      <x:c r="F2459" s="117" t="str">
        <x:v>No</x:v>
      </x:c>
      <x:c r="G2459" s="117" t="str">
        <x:v>No</x:v>
      </x:c>
      <x:c r="H2459" s="117" t="str">
        <x:v>AutoLaunchedFlow</x:v>
      </x:c>
      <x:c r="I2459" s="118" t="n">
        <x:v>60</x:v>
      </x:c>
      <x:c r="J2459" s="117" t="str">
        <x:v>unmanaged</x:v>
      </x:c>
      <x:c r="K2459" s="123" t="b">
        <x:v>0</x:v>
      </x:c>
      <x:c r="L2459" s="117" t="str">
        <x:v>SystemModeWithoutSharing</x:v>
      </x:c>
      <x:c r="M2459" s="118"/>
      <x:c r="N2459" s="120" t="n">
        <x:v>45889.973275462966</x:v>
      </x:c>
      <x:c r="O2459" s="117" t="str">
        <x:v>Delegate</x:v>
      </x:c>
      <x:c r="P2459" s="120" t="n">
        <x:v>45889.989328703705</x:v>
      </x:c>
      <x:c r="Q2459" s="117" t="str">
        <x:v>Delegate</x:v>
      </x:c>
      <x:c r="R2459" s="117" t="str">
        <x:v>Record-Triggered After Account: Prevent Intact Sync Status Change</x:v>
      </x:c>
      <x:c r="S2459" s="119" t="str">
        <x:v>Prevents the Intacct Customer Sync Status and Intacct Vendor Sync Status from direct change or indirect change from other field updates.</x:v>
      </x:c>
    </x:row>
    <x:row r="2460" ht="30" customHeight="1">
      <x:c r="A2460" s="117" t="str">
        <x:v>Record_Triggered_After_Account_Prevent_Intact_Sync_Status_Change</x:v>
      </x:c>
      <x:c r="B2460" s="117" t="str">
        <x:v>300Ro00000dKR41IAG</x:v>
      </x:c>
      <x:c r="C2460" s="117" t="str">
        <x:v>301Ro00000izG8AIAU</x:v>
      </x:c>
      <x:c r="D2460" s="118" t="n">
        <x:v>4</x:v>
      </x:c>
      <x:c r="E2460" s="117" t="str">
        <x:v>Active</x:v>
      </x:c>
      <x:c r="F2460" s="117" t="str">
        <x:v>Yes</x:v>
      </x:c>
      <x:c r="G2460" s="117" t="str">
        <x:v>Yes</x:v>
      </x:c>
      <x:c r="H2460" s="117" t="str">
        <x:v>AutoLaunchedFlow</x:v>
      </x:c>
      <x:c r="I2460" s="118" t="n">
        <x:v>60</x:v>
      </x:c>
      <x:c r="J2460" s="117" t="str">
        <x:v>unmanaged</x:v>
      </x:c>
      <x:c r="K2460" s="123" t="b">
        <x:v>0</x:v>
      </x:c>
      <x:c r="L2460" s="117" t="str">
        <x:v>SystemModeWithoutSharing</x:v>
      </x:c>
      <x:c r="M2460" s="118"/>
      <x:c r="N2460" s="120" t="n">
        <x:v>45890.00114583333</x:v>
      </x:c>
      <x:c r="O2460" s="117" t="str">
        <x:v>Delegate</x:v>
      </x:c>
      <x:c r="P2460" s="120" t="n">
        <x:v>45890.001238425924</x:v>
      </x:c>
      <x:c r="Q2460" s="117" t="str">
        <x:v>Delegate</x:v>
      </x:c>
      <x:c r="R2460" s="117" t="str">
        <x:v>Record-Triggered After Account: Prevent Intact Sync Status Change</x:v>
      </x:c>
      <x:c r="S2460" s="119" t="str">
        <x:v>Prevents the Intacct Customer Sync Status and Intacct Vendor Sync Status from direct change or indirect change from other field updates.</x:v>
      </x:c>
    </x:row>
    <x:row r="2461" ht="30" customHeight="1">
      <x:c r="A2461" s="117" t="str">
        <x:v>Record_Triggered_After_Address_Update_Related_Lookups</x:v>
      </x:c>
      <x:c r="B2461" s="117" t="str">
        <x:v>300Ro00000GpZybIAF</x:v>
      </x:c>
      <x:c r="C2461" s="117" t="str">
        <x:v>301Ro00000IRzt3IAD</x:v>
      </x:c>
      <x:c r="D2461" s="118" t="n">
        <x:v>1</x:v>
      </x:c>
      <x:c r="E2461" s="117" t="str">
        <x:v>Draft</x:v>
      </x:c>
      <x:c r="F2461" s="117" t="str">
        <x:v>No</x:v>
      </x:c>
      <x:c r="G2461" s="117" t="str">
        <x:v>No</x:v>
      </x:c>
      <x:c r="H2461" s="117" t="str">
        <x:v>AutoLaunchedFlow</x:v>
      </x:c>
      <x:c r="I2461" s="118" t="n">
        <x:v>61</x:v>
      </x:c>
      <x:c r="J2461" s="117" t="str">
        <x:v>unmanaged</x:v>
      </x:c>
      <x:c r="K2461" s="123" t="b">
        <x:v>0</x:v>
      </x:c>
      <x:c r="L2461" s="117"/>
      <x:c r="M2461" s="118"/>
      <x:c r="N2461" s="120" t="n">
        <x:v>45509.960381944446</x:v>
      </x:c>
      <x:c r="O2461" s="117" t="str">
        <x:v>Delegate</x:v>
      </x:c>
      <x:c r="P2461" s="120" t="n">
        <x:v>45509.96045138889</x:v>
      </x:c>
      <x:c r="Q2461" s="117" t="str">
        <x:v>Delegate</x:v>
      </x:c>
      <x:c r="R2461" s="117" t="str">
        <x:v>Record-Triggered After Address: Update Related Lookups</x:v>
      </x:c>
      <x:c r="S2461" s="119"/>
    </x:row>
    <x:row r="2462" ht="30" customHeight="1">
      <x:c r="A2462" s="117" t="str">
        <x:v>Record_Triggered_After_Address_Update_Related_Lookups</x:v>
      </x:c>
      <x:c r="B2462" s="117" t="str">
        <x:v>300Ro00000GpZybIAF</x:v>
      </x:c>
      <x:c r="C2462" s="117" t="str">
        <x:v>301Ro00000bAN7jIAG</x:v>
      </x:c>
      <x:c r="D2462" s="118" t="n">
        <x:v>2</x:v>
      </x:c>
      <x:c r="E2462" s="117" t="str">
        <x:v>Obsolete</x:v>
      </x:c>
      <x:c r="F2462" s="117" t="str">
        <x:v>No</x:v>
      </x:c>
      <x:c r="G2462" s="117" t="str">
        <x:v>No</x:v>
      </x:c>
      <x:c r="H2462" s="117" t="str">
        <x:v>AutoLaunchedFlow</x:v>
      </x:c>
      <x:c r="I2462" s="118" t="n">
        <x:v>61</x:v>
      </x:c>
      <x:c r="J2462" s="117" t="str">
        <x:v>unmanaged</x:v>
      </x:c>
      <x:c r="K2462" s="123" t="b">
        <x:v>0</x:v>
      </x:c>
      <x:c r="L2462" s="117"/>
      <x:c r="M2462" s="118"/>
      <x:c r="N2462" s="120" t="n">
        <x:v>45818.25916666666</x:v>
      </x:c>
      <x:c r="O2462" s="117" t="str">
        <x:v>Delegate</x:v>
      </x:c>
      <x:c r="P2462" s="120" t="n">
        <x:v>45818.28028935185</x:v>
      </x:c>
      <x:c r="Q2462" s="117" t="str">
        <x:v>Delegate</x:v>
      </x:c>
      <x:c r="R2462" s="117" t="str">
        <x:v>Record-Triggered After Address: Update Related Lookups</x:v>
      </x:c>
      <x:c r="S2462" s="119"/>
    </x:row>
    <x:row r="2463" ht="30" customHeight="1">
      <x:c r="A2463" s="117" t="str">
        <x:v>Record_Triggered_After_Address_Update_Related_Lookups</x:v>
      </x:c>
      <x:c r="B2463" s="117" t="str">
        <x:v>300Ro00000GpZybIAF</x:v>
      </x:c>
      <x:c r="C2463" s="117" t="str">
        <x:v>301Ro00000vzSReIAM</x:v>
      </x:c>
      <x:c r="D2463" s="118" t="n">
        <x:v>3</x:v>
      </x:c>
      <x:c r="E2463" s="117" t="str">
        <x:v>Active</x:v>
      </x:c>
      <x:c r="F2463" s="117" t="str">
        <x:v>Yes</x:v>
      </x:c>
      <x:c r="G2463" s="117" t="str">
        <x:v>Yes</x:v>
      </x:c>
      <x:c r="H2463" s="117" t="str">
        <x:v>AutoLaunchedFlow</x:v>
      </x:c>
      <x:c r="I2463" s="118" t="n">
        <x:v>61</x:v>
      </x:c>
      <x:c r="J2463" s="117" t="str">
        <x:v>unmanaged</x:v>
      </x:c>
      <x:c r="K2463" s="123" t="b">
        <x:v>0</x:v>
      </x:c>
      <x:c r="L2463" s="117"/>
      <x:c r="M2463" s="118"/>
      <x:c r="N2463" s="120" t="n">
        <x:v>46041.64619212963</x:v>
      </x:c>
      <x:c r="O2463" s="117" t="str">
        <x:v>Delegate</x:v>
      </x:c>
      <x:c r="P2463" s="120" t="n">
        <x:v>46149.90288194444</x:v>
      </x:c>
      <x:c r="Q2463" s="117" t="str">
        <x:v>Mindy Bender</x:v>
      </x:c>
      <x:c r="R2463" s="117" t="str">
        <x:v>Record-Triggered After Address: Update Related Lookups</x:v>
      </x:c>
      <x:c r="S2463" s="119"/>
    </x:row>
    <x:row r="2464" ht="30" customHeight="1">
      <x:c r="A2464" s="117" t="str">
        <x:v>Record_Triggered_After_Debit_Memo</x:v>
      </x:c>
      <x:c r="B2464" s="117" t="str">
        <x:v>300Ro00000M9akLIAR</x:v>
      </x:c>
      <x:c r="C2464" s="117" t="str">
        <x:v>301Ro00000ONFARIA5</x:v>
      </x:c>
      <x:c r="D2464" s="118" t="n">
        <x:v>1</x:v>
      </x:c>
      <x:c r="E2464" s="117" t="str">
        <x:v>Active</x:v>
      </x:c>
      <x:c r="F2464" s="117" t="str">
        <x:v>Yes</x:v>
      </x:c>
      <x:c r="G2464" s="117" t="str">
        <x:v>Yes</x:v>
      </x:c>
      <x:c r="H2464" s="117" t="str">
        <x:v>AutoLaunchedFlow</x:v>
      </x:c>
      <x:c r="I2464" s="118" t="n">
        <x:v>57</x:v>
      </x:c>
      <x:c r="J2464" s="117" t="str">
        <x:v>unmanaged</x:v>
      </x:c>
      <x:c r="K2464" s="123" t="b">
        <x:v>0</x:v>
      </x:c>
      <x:c r="L2464" s="117"/>
      <x:c r="M2464" s="118"/>
      <x:c r="N2464" s="120" t="n">
        <x:v>45604.031701388885</x:v>
      </x:c>
      <x:c r="O2464" s="117" t="str">
        <x:v>Delegate</x:v>
      </x:c>
      <x:c r="P2464" s="120" t="n">
        <x:v>45604.03707175926</x:v>
      </x:c>
      <x:c r="Q2464" s="117" t="str">
        <x:v>Delegate</x:v>
      </x:c>
      <x:c r="R2464" s="117" t="str">
        <x:v>Record Triggered After: Debit Memo</x:v>
      </x:c>
      <x:c r="S2464" s="119"/>
    </x:row>
    <x:row r="2465" ht="30" customHeight="1">
      <x:c r="A2465" s="117" t="str">
        <x:v>Record_Triggered_After_Inventory_Adjustment</x:v>
      </x:c>
      <x:c r="B2465" s="117" t="str">
        <x:v>300Ro00000LtI8NIAV</x:v>
      </x:c>
      <x:c r="C2465" s="117" t="str">
        <x:v>301Ro00000O5xI9IAJ</x:v>
      </x:c>
      <x:c r="D2465" s="118" t="n">
        <x:v>1</x:v>
      </x:c>
      <x:c r="E2465" s="117" t="str">
        <x:v>Obsolete</x:v>
      </x:c>
      <x:c r="F2465" s="117" t="str">
        <x:v>No</x:v>
      </x:c>
      <x:c r="G2465" s="117" t="str">
        <x:v>No</x:v>
      </x:c>
      <x:c r="H2465" s="117" t="str">
        <x:v>AutoLaunchedFlow</x:v>
      </x:c>
      <x:c r="I2465" s="118" t="n">
        <x:v>62</x:v>
      </x:c>
      <x:c r="J2465" s="117" t="str">
        <x:v>unmanaged</x:v>
      </x:c>
      <x:c r="K2465" s="123" t="b">
        <x:v>0</x:v>
      </x:c>
      <x:c r="L2465" s="117"/>
      <x:c r="M2465" s="118"/>
      <x:c r="N2465" s="120" t="n">
        <x:v>45600.18755787037</x:v>
      </x:c>
      <x:c r="O2465" s="117" t="str">
        <x:v>Delegate</x:v>
      </x:c>
      <x:c r="P2465" s="120" t="n">
        <x:v>45600.19702546296</x:v>
      </x:c>
      <x:c r="Q2465" s="117" t="str">
        <x:v>Delegate</x:v>
      </x:c>
      <x:c r="R2465" s="117" t="str">
        <x:v>Record-Triggered After: Inventory Adjustment</x:v>
      </x:c>
      <x:c r="S2465" s="119"/>
    </x:row>
    <x:row r="2466" ht="30" customHeight="1">
      <x:c r="A2466" s="117" t="str">
        <x:v>Record_Triggered_After_Inventory_Adjustment</x:v>
      </x:c>
      <x:c r="B2466" s="117" t="str">
        <x:v>300Ro00000LtI8NIAV</x:v>
      </x:c>
      <x:c r="C2466" s="117" t="str">
        <x:v>301Ro00000O6GQsIAN</x:v>
      </x:c>
      <x:c r="D2466" s="118" t="n">
        <x:v>2</x:v>
      </x:c>
      <x:c r="E2466" s="117" t="str">
        <x:v>Active</x:v>
      </x:c>
      <x:c r="F2466" s="117" t="str">
        <x:v>Yes</x:v>
      </x:c>
      <x:c r="G2466" s="117" t="str">
        <x:v>Yes</x:v>
      </x:c>
      <x:c r="H2466" s="117" t="str">
        <x:v>AutoLaunchedFlow</x:v>
      </x:c>
      <x:c r="I2466" s="118" t="n">
        <x:v>62</x:v>
      </x:c>
      <x:c r="J2466" s="117" t="str">
        <x:v>unmanaged</x:v>
      </x:c>
      <x:c r="K2466" s="123" t="b">
        <x:v>0</x:v>
      </x:c>
      <x:c r="L2466" s="117"/>
      <x:c r="M2466" s="118"/>
      <x:c r="N2466" s="120" t="n">
        <x:v>45600.20961805555</x:v>
      </x:c>
      <x:c r="O2466" s="117" t="str">
        <x:v>Delegate</x:v>
      </x:c>
      <x:c r="P2466" s="120" t="n">
        <x:v>45600.20967592593</x:v>
      </x:c>
      <x:c r="Q2466" s="117" t="str">
        <x:v>Delegate</x:v>
      </x:c>
      <x:c r="R2466" s="117" t="str">
        <x:v>Record-Triggered After: Inventory Adjustment</x:v>
      </x:c>
      <x:c r="S2466" s="119"/>
    </x:row>
    <x:row r="2467" ht="30" customHeight="1">
      <x:c r="A2467" s="117" t="str">
        <x:v>Record_Triggered_After_Purchasing_Return</x:v>
      </x:c>
      <x:c r="B2467" s="117" t="str">
        <x:v>300Ro00000LtJsOIAV</x:v>
      </x:c>
      <x:c r="C2467" s="117" t="str">
        <x:v>301Ro00000O5uiGIAR</x:v>
      </x:c>
      <x:c r="D2467" s="118" t="n">
        <x:v>1</x:v>
      </x:c>
      <x:c r="E2467" s="117" t="str">
        <x:v>Obsolete</x:v>
      </x:c>
      <x:c r="F2467" s="117" t="str">
        <x:v>No</x:v>
      </x:c>
      <x:c r="G2467" s="117" t="str">
        <x:v>No</x:v>
      </x:c>
      <x:c r="H2467" s="117" t="str">
        <x:v>AutoLaunchedFlow</x:v>
      </x:c>
      <x:c r="I2467" s="118" t="n">
        <x:v>61</x:v>
      </x:c>
      <x:c r="J2467" s="117" t="str">
        <x:v>unmanaged</x:v>
      </x:c>
      <x:c r="K2467" s="123" t="b">
        <x:v>0</x:v>
      </x:c>
      <x:c r="L2467" s="117"/>
      <x:c r="M2467" s="118"/>
      <x:c r="N2467" s="120" t="n">
        <x:v>45600.18287037037</x:v>
      </x:c>
      <x:c r="O2467" s="117" t="str">
        <x:v>Delegate</x:v>
      </x:c>
      <x:c r="P2467" s="120" t="n">
        <x:v>45600.185578703706</x:v>
      </x:c>
      <x:c r="Q2467" s="117" t="str">
        <x:v>Delegate</x:v>
      </x:c>
      <x:c r="R2467" s="117" t="str">
        <x:v>Record-Triggered After: Purchasing Return</x:v>
      </x:c>
      <x:c r="S2467" s="119"/>
    </x:row>
    <x:row r="2468" ht="30" customHeight="1">
      <x:c r="A2468" s="117" t="str">
        <x:v>Record_Triggered_After_Purchasing_Return</x:v>
      </x:c>
      <x:c r="B2468" s="117" t="str">
        <x:v>300Ro00000LtJsOIAV</x:v>
      </x:c>
      <x:c r="C2468" s="117" t="str">
        <x:v>301Ro00000PEyypIAD</x:v>
      </x:c>
      <x:c r="D2468" s="118" t="n">
        <x:v>2</x:v>
      </x:c>
      <x:c r="E2468" s="117" t="str">
        <x:v>Obsolete</x:v>
      </x:c>
      <x:c r="F2468" s="117" t="str">
        <x:v>No</x:v>
      </x:c>
      <x:c r="G2468" s="117" t="str">
        <x:v>No</x:v>
      </x:c>
      <x:c r="H2468" s="117" t="str">
        <x:v>AutoLaunchedFlow</x:v>
      </x:c>
      <x:c r="I2468" s="118" t="n">
        <x:v>61</x:v>
      </x:c>
      <x:c r="J2468" s="117" t="str">
        <x:v>unmanaged</x:v>
      </x:c>
      <x:c r="K2468" s="123" t="b">
        <x:v>0</x:v>
      </x:c>
      <x:c r="L2468" s="117"/>
      <x:c r="M2468" s="118"/>
      <x:c r="N2468" s="120" t="n">
        <x:v>45618.01082175926</x:v>
      </x:c>
      <x:c r="O2468" s="117" t="str">
        <x:v>Delegate</x:v>
      </x:c>
      <x:c r="P2468" s="120" t="n">
        <x:v>45618.044074074074</x:v>
      </x:c>
      <x:c r="Q2468" s="117" t="str">
        <x:v>Delegate</x:v>
      </x:c>
      <x:c r="R2468" s="117" t="str">
        <x:v>Record-Triggered After: Purchasing Return</x:v>
      </x:c>
      <x:c r="S2468" s="119"/>
    </x:row>
    <x:row r="2469" ht="30" customHeight="1">
      <x:c r="A2469" s="117" t="str">
        <x:v>Record_Triggered_After_Purchasing_Return</x:v>
      </x:c>
      <x:c r="B2469" s="117" t="str">
        <x:v>300Ro00000LtJsOIAV</x:v>
      </x:c>
      <x:c r="C2469" s="117" t="str">
        <x:v>301Ro00000R9IUWIA3</x:v>
      </x:c>
      <x:c r="D2469" s="118" t="n">
        <x:v>3</x:v>
      </x:c>
      <x:c r="E2469" s="117" t="str">
        <x:v>Obsolete</x:v>
      </x:c>
      <x:c r="F2469" s="117" t="str">
        <x:v>No</x:v>
      </x:c>
      <x:c r="G2469" s="117" t="str">
        <x:v>No</x:v>
      </x:c>
      <x:c r="H2469" s="117" t="str">
        <x:v>AutoLaunchedFlow</x:v>
      </x:c>
      <x:c r="I2469" s="118" t="n">
        <x:v>61</x:v>
      </x:c>
      <x:c r="J2469" s="117" t="str">
        <x:v>unmanaged</x:v>
      </x:c>
      <x:c r="K2469" s="123" t="b">
        <x:v>0</x:v>
      </x:c>
      <x:c r="L2469" s="117"/>
      <x:c r="M2469" s="118"/>
      <x:c r="N2469" s="120" t="n">
        <x:v>45652.78605324074</x:v>
      </x:c>
      <x:c r="O2469" s="117" t="str">
        <x:v>Delegate</x:v>
      </x:c>
      <x:c r="P2469" s="120" t="n">
        <x:v>45652.78612268518</x:v>
      </x:c>
      <x:c r="Q2469" s="117" t="str">
        <x:v>Delegate</x:v>
      </x:c>
      <x:c r="R2469" s="117" t="str">
        <x:v>Record-Triggered After: Purchasing Return</x:v>
      </x:c>
      <x:c r="S2469" s="119" t="str">
        <x:v>12/26/2024 (BW) - Updated the Shipped? Node to better reflect if the ship date has been populated or not.</x:v>
      </x:c>
    </x:row>
    <x:row r="2470" ht="30" customHeight="1">
      <x:c r="A2470" s="117" t="str">
        <x:v>Record_Triggered_After_Purchasing_Return</x:v>
      </x:c>
      <x:c r="B2470" s="117" t="str">
        <x:v>300Ro00000LtJsOIAV</x:v>
      </x:c>
      <x:c r="C2470" s="117" t="str">
        <x:v>301Ro00000SkJKUIA3</x:v>
      </x:c>
      <x:c r="D2470" s="118" t="n">
        <x:v>4</x:v>
      </x:c>
      <x:c r="E2470" s="117" t="str">
        <x:v>Obsolete</x:v>
      </x:c>
      <x:c r="F2470" s="117" t="str">
        <x:v>No</x:v>
      </x:c>
      <x:c r="G2470" s="117" t="str">
        <x:v>No</x:v>
      </x:c>
      <x:c r="H2470" s="117" t="str">
        <x:v>AutoLaunchedFlow</x:v>
      </x:c>
      <x:c r="I2470" s="118" t="n">
        <x:v>61</x:v>
      </x:c>
      <x:c r="J2470" s="117" t="str">
        <x:v>unmanaged</x:v>
      </x:c>
      <x:c r="K2470" s="123" t="b">
        <x:v>0</x:v>
      </x:c>
      <x:c r="L2470" s="117"/>
      <x:c r="M2470" s="118"/>
      <x:c r="N2470" s="120" t="n">
        <x:v>45681.80194444444</x:v>
      </x:c>
      <x:c r="O2470" s="117" t="str">
        <x:v>Delegate</x:v>
      </x:c>
      <x:c r="P2470" s="120" t="n">
        <x:v>45681.802083333336</x:v>
      </x:c>
      <x:c r="Q2470" s="117" t="str">
        <x:v>Delegate</x:v>
      </x:c>
      <x:c r="R2470" s="117" t="str">
        <x:v>Record-Triggered After: Purchasing Return</x:v>
      </x:c>
      <x:c r="S2470" s="119"/>
    </x:row>
    <x:row r="2471" ht="30" customHeight="1">
      <x:c r="A2471" s="117" t="str">
        <x:v>Record_Triggered_After_Purchasing_Return</x:v>
      </x:c>
      <x:c r="B2471" s="117" t="str">
        <x:v>300Ro00000LtJsOIAV</x:v>
      </x:c>
      <x:c r="C2471" s="117" t="str">
        <x:v>301Ro00000SkPXyIAN</x:v>
      </x:c>
      <x:c r="D2471" s="118" t="n">
        <x:v>5</x:v>
      </x:c>
      <x:c r="E2471" s="117" t="str">
        <x:v>Obsolete</x:v>
      </x:c>
      <x:c r="F2471" s="117" t="str">
        <x:v>No</x:v>
      </x:c>
      <x:c r="G2471" s="117" t="str">
        <x:v>No</x:v>
      </x:c>
      <x:c r="H2471" s="117" t="str">
        <x:v>AutoLaunchedFlow</x:v>
      </x:c>
      <x:c r="I2471" s="118" t="n">
        <x:v>61</x:v>
      </x:c>
      <x:c r="J2471" s="117" t="str">
        <x:v>unmanaged</x:v>
      </x:c>
      <x:c r="K2471" s="123" t="b">
        <x:v>0</x:v>
      </x:c>
      <x:c r="L2471" s="117"/>
      <x:c r="M2471" s="118"/>
      <x:c r="N2471" s="120" t="n">
        <x:v>45681.819502314815</x:v>
      </x:c>
      <x:c r="O2471" s="117" t="str">
        <x:v>Delegate</x:v>
      </x:c>
      <x:c r="P2471" s="120" t="n">
        <x:v>45681.81964120371</x:v>
      </x:c>
      <x:c r="Q2471" s="117" t="str">
        <x:v>Delegate</x:v>
      </x:c>
      <x:c r="R2471" s="117" t="str">
        <x:v>Record-Triggered After: Purchasing Return</x:v>
      </x:c>
      <x:c r="S2471" s="119"/>
    </x:row>
    <x:row r="2472" ht="30" customHeight="1">
      <x:c r="A2472" s="117" t="str">
        <x:v>Record_Triggered_After_Purchasing_Return</x:v>
      </x:c>
      <x:c r="B2472" s="117" t="str">
        <x:v>300Ro00000LtJsOIAV</x:v>
      </x:c>
      <x:c r="C2472" s="117" t="str">
        <x:v>301Ro00000UgEi7IAF</x:v>
      </x:c>
      <x:c r="D2472" s="118" t="n">
        <x:v>6</x:v>
      </x:c>
      <x:c r="E2472" s="117" t="str">
        <x:v>InvalidDraft</x:v>
      </x:c>
      <x:c r="F2472" s="117" t="str">
        <x:v>No</x:v>
      </x:c>
      <x:c r="G2472" s="117" t="str">
        <x:v>No</x:v>
      </x:c>
      <x:c r="H2472" s="117" t="str">
        <x:v>AutoLaunchedFlow</x:v>
      </x:c>
      <x:c r="I2472" s="118" t="n">
        <x:v>61</x:v>
      </x:c>
      <x:c r="J2472" s="117" t="str">
        <x:v>unmanaged</x:v>
      </x:c>
      <x:c r="K2472" s="123" t="b">
        <x:v>0</x:v>
      </x:c>
      <x:c r="L2472" s="117"/>
      <x:c r="M2472" s="118"/>
      <x:c r="N2472" s="120" t="n">
        <x:v>45714.012141203704</x:v>
      </x:c>
      <x:c r="O2472" s="117" t="str">
        <x:v>Delegate</x:v>
      </x:c>
      <x:c r="P2472" s="120" t="n">
        <x:v>45714.01216435185</x:v>
      </x:c>
      <x:c r="Q2472" s="117" t="str">
        <x:v>Delegate</x:v>
      </x:c>
      <x:c r="R2472" s="117" t="str">
        <x:v>Record-Triggered After: Purchasing Return</x:v>
      </x:c>
      <x:c r="S2472" s="119"/>
    </x:row>
    <x:row r="2473" ht="30" customHeight="1">
      <x:c r="A2473" s="117" t="str">
        <x:v>Record_Triggered_After_Purchasing_Return</x:v>
      </x:c>
      <x:c r="B2473" s="117" t="str">
        <x:v>300Ro00000LtJsOIAV</x:v>
      </x:c>
      <x:c r="C2473" s="117" t="str">
        <x:v>301Ro00000V3mz7IAB</x:v>
      </x:c>
      <x:c r="D2473" s="118" t="n">
        <x:v>7</x:v>
      </x:c>
      <x:c r="E2473" s="117" t="str">
        <x:v>Obsolete</x:v>
      </x:c>
      <x:c r="F2473" s="117" t="str">
        <x:v>No</x:v>
      </x:c>
      <x:c r="G2473" s="117" t="str">
        <x:v>No</x:v>
      </x:c>
      <x:c r="H2473" s="117" t="str">
        <x:v>AutoLaunchedFlow</x:v>
      </x:c>
      <x:c r="I2473" s="118" t="n">
        <x:v>61</x:v>
      </x:c>
      <x:c r="J2473" s="117" t="str">
        <x:v>unmanaged</x:v>
      </x:c>
      <x:c r="K2473" s="123" t="b">
        <x:v>0</x:v>
      </x:c>
      <x:c r="L2473" s="117"/>
      <x:c r="M2473" s="118"/>
      <x:c r="N2473" s="120" t="n">
        <x:v>45720.667037037034</x:v>
      </x:c>
      <x:c r="O2473" s="117" t="str">
        <x:v>Delegate</x:v>
      </x:c>
      <x:c r="P2473" s="120" t="n">
        <x:v>45720.667129629626</x:v>
      </x:c>
      <x:c r="Q2473" s="117" t="str">
        <x:v>Delegate</x:v>
      </x:c>
      <x:c r="R2473" s="117" t="str">
        <x:v>Record-Triggered After: Purchasing Return</x:v>
      </x:c>
      <x:c r="S2473" s="119"/>
    </x:row>
    <x:row r="2474" ht="30" customHeight="1">
      <x:c r="A2474" s="117" t="str">
        <x:v>Record_Triggered_After_Purchasing_Return</x:v>
      </x:c>
      <x:c r="B2474" s="117" t="str">
        <x:v>300Ro00000LtJsOIAV</x:v>
      </x:c>
      <x:c r="C2474" s="117" t="str">
        <x:v>301Ro00000rOoBeIAK</x:v>
      </x:c>
      <x:c r="D2474" s="118" t="n">
        <x:v>8</x:v>
      </x:c>
      <x:c r="E2474" s="117" t="str">
        <x:v>Obsolete</x:v>
      </x:c>
      <x:c r="F2474" s="117" t="str">
        <x:v>No</x:v>
      </x:c>
      <x:c r="G2474" s="117" t="str">
        <x:v>No</x:v>
      </x:c>
      <x:c r="H2474" s="117" t="str">
        <x:v>AutoLaunchedFlow</x:v>
      </x:c>
      <x:c r="I2474" s="118" t="n">
        <x:v>61</x:v>
      </x:c>
      <x:c r="J2474" s="117" t="str">
        <x:v>unmanaged</x:v>
      </x:c>
      <x:c r="K2474" s="123" t="b">
        <x:v>0</x:v>
      </x:c>
      <x:c r="L2474" s="117"/>
      <x:c r="M2474" s="118"/>
      <x:c r="N2474" s="120" t="n">
        <x:v>45961.4871875</x:v>
      </x:c>
      <x:c r="O2474" s="117" t="str">
        <x:v>Delegate</x:v>
      </x:c>
      <x:c r="P2474" s="120" t="n">
        <x:v>45961.48725694444</x:v>
      </x:c>
      <x:c r="Q2474" s="117" t="str">
        <x:v>Delegate</x:v>
      </x:c>
      <x:c r="R2474" s="117" t="str">
        <x:v>Record-Triggered After: Purchasing Return</x:v>
      </x:c>
      <x:c r="S2474" s="119" t="str">
        <x:v>10/31/2025 (BW) - Updating the posting date to be today. Ship date can remain as it is, posting date should be the date it's posted to Intacct</x:v>
      </x:c>
    </x:row>
    <x:row r="2475" ht="30" customHeight="1">
      <x:c r="A2475" s="117" t="str">
        <x:v>Record_Triggered_After_Purchasing_Return</x:v>
      </x:c>
      <x:c r="B2475" s="117" t="str">
        <x:v>300Ro00000LtJsOIAV</x:v>
      </x:c>
      <x:c r="C2475" s="117" t="str">
        <x:v>301Ro00001B7ZJxIAN</x:v>
      </x:c>
      <x:c r="D2475" s="118" t="n">
        <x:v>9</x:v>
      </x:c>
      <x:c r="E2475" s="117" t="str">
        <x:v>Active</x:v>
      </x:c>
      <x:c r="F2475" s="117" t="str">
        <x:v>Yes</x:v>
      </x:c>
      <x:c r="G2475" s="117" t="str">
        <x:v>Yes</x:v>
      </x:c>
      <x:c r="H2475" s="117" t="str">
        <x:v>AutoLaunchedFlow</x:v>
      </x:c>
      <x:c r="I2475" s="118" t="n">
        <x:v>61</x:v>
      </x:c>
      <x:c r="J2475" s="117" t="str">
        <x:v>unmanaged</x:v>
      </x:c>
      <x:c r="K2475" s="123" t="b">
        <x:v>0</x:v>
      </x:c>
      <x:c r="L2475" s="117"/>
      <x:c r="M2475" s="118"/>
      <x:c r="N2475" s="120" t="n">
        <x:v>46216.644849537035</x:v>
      </x:c>
      <x:c r="O2475" s="117" t="str">
        <x:v>Mindy Bender</x:v>
      </x:c>
      <x:c r="P2475" s="120" t="n">
        <x:v>46216.64585648148</x:v>
      </x:c>
      <x:c r="Q2475" s="117" t="str">
        <x:v>Mindy Bender</x:v>
      </x:c>
      <x:c r="R2475" s="117" t="str">
        <x:v>Record-Triggered After: Purchasing Return</x:v>
      </x:c>
      <x:c r="S2475" s="119" t="str">
        <x:v>07/13/2026 - MPB - Updating to round the SumCost to prevent Intacct sync errors when there are 3 decimals.</x:v>
      </x:c>
    </x:row>
    <x:row r="2476" ht="30" customHeight="1">
      <x:c r="A2476" s="117" t="str">
        <x:v>Record_Triggered_Location_After_Create_After_Update_Inactive_Changed</x:v>
      </x:c>
      <x:c r="B2476" s="117" t="str">
        <x:v>300Ro00000ZiY6fIAF</x:v>
      </x:c>
      <x:c r="C2476" s="117" t="str">
        <x:v>301Ro00000eDYOEIA4</x:v>
      </x:c>
      <x:c r="D2476" s="118" t="n">
        <x:v>1</x:v>
      </x:c>
      <x:c r="E2476" s="117" t="str">
        <x:v>Active</x:v>
      </x:c>
      <x:c r="F2476" s="117" t="str">
        <x:v>Yes</x:v>
      </x:c>
      <x:c r="G2476" s="117" t="str">
        <x:v>Yes</x:v>
      </x:c>
      <x:c r="H2476" s="117" t="str">
        <x:v>AutoLaunchedFlow</x:v>
      </x:c>
      <x:c r="I2476" s="118" t="n">
        <x:v>64</x:v>
      </x:c>
      <x:c r="J2476" s="117" t="str">
        <x:v>unmanaged</x:v>
      </x:c>
      <x:c r="K2476" s="123" t="b">
        <x:v>0</x:v>
      </x:c>
      <x:c r="L2476" s="117"/>
      <x:c r="M2476" s="118"/>
      <x:c r="N2476" s="120" t="n">
        <x:v>45846.00373842593</x:v>
      </x:c>
      <x:c r="O2476" s="117" t="str">
        <x:v>Delegate</x:v>
      </x:c>
      <x:c r="P2476" s="120" t="n">
        <x:v>45846.00824074074</x:v>
      </x:c>
      <x:c r="Q2476" s="117" t="str">
        <x:v>Delegate</x:v>
      </x:c>
      <x:c r="R2476" s="117" t="str">
        <x:v>Record-Triggered - Location - After Create, After Update: Inactive Changed</x:v>
      </x:c>
      <x:c r="S2476" s="119" t="str">
        <x:v>Keeps the Inactive__c field in sync between parent (Location) and child (Address) records when changed on the parent.</x:v>
      </x:c>
    </x:row>
    <x:row r="2477" ht="30" customHeight="1">
      <x:c r="A2477" s="117" t="str">
        <x:v>Record_Triggered_Opportunity_Send_Tracking_Confirmation_for_WooCommerce_Orders</x:v>
      </x:c>
      <x:c r="B2477" s="117" t="str">
        <x:v>300Ro00000GMXAcIAP</x:v>
      </x:c>
      <x:c r="C2477" s="117" t="str">
        <x:v>301Ro00000HvEHeIAN</x:v>
      </x:c>
      <x:c r="D2477" s="118" t="n">
        <x:v>1</x:v>
      </x:c>
      <x:c r="E2477" s="117" t="str">
        <x:v>Active</x:v>
      </x:c>
      <x:c r="F2477" s="117" t="str">
        <x:v>Yes</x:v>
      </x:c>
      <x:c r="G2477" s="117" t="str">
        <x:v>Yes</x:v>
      </x:c>
      <x:c r="H2477" s="117" t="str">
        <x:v>AutoLaunchedFlow</x:v>
      </x:c>
      <x:c r="I2477" s="118" t="n">
        <x:v>61</x:v>
      </x:c>
      <x:c r="J2477" s="117" t="str">
        <x:v>unmanaged</x:v>
      </x:c>
      <x:c r="K2477" s="123" t="b">
        <x:v>0</x:v>
      </x:c>
      <x:c r="L2477" s="117"/>
      <x:c r="M2477" s="118"/>
      <x:c r="N2477" s="120" t="n">
        <x:v>45502.91025462963</x:v>
      </x:c>
      <x:c r="O2477" s="117" t="str">
        <x:v>Delegate</x:v>
      </x:c>
      <x:c r="P2477" s="120" t="n">
        <x:v>45503.03413194444</x:v>
      </x:c>
      <x:c r="Q2477" s="117" t="str">
        <x:v>Delegate</x:v>
      </x:c>
      <x:c r="R2477" s="117" t="str">
        <x:v>Record-Triggered Opportunity: Send Tracking Confirmation for WooCommerce Orders</x:v>
      </x:c>
      <x:c r="S2477" s="119"/>
    </x:row>
    <x:row r="2478" ht="30" customHeight="1">
      <x:c r="A2478" s="117" t="str">
        <x:v>Recurring_Billing_Flow</x:v>
      </x:c>
      <x:c r="B2478" s="117" t="str">
        <x:v>3004O000000LOsqQAG</x:v>
      </x:c>
      <x:c r="C2478" s="117" t="str">
        <x:v>3014O000000M0XKQA0</x:v>
      </x:c>
      <x:c r="D2478" s="118" t="n">
        <x:v>1</x:v>
      </x:c>
      <x:c r="E2478" s="117" t="str">
        <x:v>Obsolete</x:v>
      </x:c>
      <x:c r="F2478" s="117" t="str">
        <x:v>No</x:v>
      </x:c>
      <x:c r="G2478" s="117" t="str">
        <x:v>No</x:v>
      </x:c>
      <x:c r="H2478" s="117" t="str">
        <x:v>AutoLaunchedFlow</x:v>
      </x:c>
      <x:c r="I2478" s="118" t="n">
        <x:v>50</x:v>
      </x:c>
      <x:c r="J2478" s="117" t="str">
        <x:v>unmanaged</x:v>
      </x:c>
      <x:c r="K2478" s="123" t="b">
        <x:v>0</x:v>
      </x:c>
      <x:c r="L2478" s="117"/>
      <x:c r="M2478" s="118"/>
      <x:c r="N2478" s="120" t="n">
        <x:v>44199.80043981481</x:v>
      </x:c>
      <x:c r="O2478" s="117" t="str">
        <x:v>Delegate</x:v>
      </x:c>
      <x:c r="P2478" s="120" t="n">
        <x:v>44199.84644675926</x:v>
      </x:c>
      <x:c r="Q2478" s="117" t="str">
        <x:v>Trent VanEmon</x:v>
      </x:c>
      <x:c r="R2478" s="117" t="str">
        <x:v>Recurring Billing Flow</x:v>
      </x:c>
      <x:c r="S2478" s="119"/>
    </x:row>
    <x:row r="2479" ht="30" customHeight="1">
      <x:c r="A2479" s="117" t="str">
        <x:v>Recurring_Billing_Flow</x:v>
      </x:c>
      <x:c r="B2479" s="117" t="str">
        <x:v>3004O000000LOsqQAG</x:v>
      </x:c>
      <x:c r="C2479" s="117" t="str">
        <x:v>3014O000000M1WIQA0</x:v>
      </x:c>
      <x:c r="D2479" s="118" t="n">
        <x:v>2</x:v>
      </x:c>
      <x:c r="E2479" s="117" t="str">
        <x:v>Obsolete</x:v>
      </x:c>
      <x:c r="F2479" s="117" t="str">
        <x:v>No</x:v>
      </x:c>
      <x:c r="G2479" s="117" t="str">
        <x:v>No</x:v>
      </x:c>
      <x:c r="H2479" s="117" t="str">
        <x:v>AutoLaunchedFlow</x:v>
      </x:c>
      <x:c r="I2479" s="118" t="n">
        <x:v>50</x:v>
      </x:c>
      <x:c r="J2479" s="117" t="str">
        <x:v>unmanaged</x:v>
      </x:c>
      <x:c r="K2479" s="123" t="b">
        <x:v>0</x:v>
      </x:c>
      <x:c r="L2479" s="117"/>
      <x:c r="M2479" s="118"/>
      <x:c r="N2479" s="120" t="n">
        <x:v>44232.76440972222</x:v>
      </x:c>
      <x:c r="O2479" s="117" t="str">
        <x:v>Delegate</x:v>
      </x:c>
      <x:c r="P2479" s="120" t="n">
        <x:v>44232.76445601852</x:v>
      </x:c>
      <x:c r="Q2479" s="117" t="str">
        <x:v>Delegate</x:v>
      </x:c>
      <x:c r="R2479" s="117" t="str">
        <x:v>Recurring Billing Flow</x:v>
      </x:c>
      <x:c r="S2479" s="119"/>
    </x:row>
    <x:row r="2480" ht="30" customHeight="1">
      <x:c r="A2480" s="117" t="str">
        <x:v>Recurring_Billing_Flow</x:v>
      </x:c>
      <x:c r="B2480" s="117" t="str">
        <x:v>3004O000000LOsqQAG</x:v>
      </x:c>
      <x:c r="C2480" s="117" t="str">
        <x:v>3014O000000M1q8QAC</x:v>
      </x:c>
      <x:c r="D2480" s="118" t="n">
        <x:v>3</x:v>
      </x:c>
      <x:c r="E2480" s="117" t="str">
        <x:v>Obsolete</x:v>
      </x:c>
      <x:c r="F2480" s="117" t="str">
        <x:v>No</x:v>
      </x:c>
      <x:c r="G2480" s="117" t="str">
        <x:v>No</x:v>
      </x:c>
      <x:c r="H2480" s="117" t="str">
        <x:v>AutoLaunchedFlow</x:v>
      </x:c>
      <x:c r="I2480" s="118" t="n">
        <x:v>50</x:v>
      </x:c>
      <x:c r="J2480" s="117" t="str">
        <x:v>unmanaged</x:v>
      </x:c>
      <x:c r="K2480" s="123" t="b">
        <x:v>0</x:v>
      </x:c>
      <x:c r="L2480" s="117"/>
      <x:c r="M2480" s="118"/>
      <x:c r="N2480" s="120" t="n">
        <x:v>44249.58550925926</x:v>
      </x:c>
      <x:c r="O2480" s="117" t="str">
        <x:v>Delegate</x:v>
      </x:c>
      <x:c r="P2480" s="120" t="n">
        <x:v>44250.6619212963</x:v>
      </x:c>
      <x:c r="Q2480" s="117" t="str">
        <x:v>Trent VanEmon</x:v>
      </x:c>
      <x:c r="R2480" s="117" t="str">
        <x:v>Recurring Billing Flow</x:v>
      </x:c>
      <x:c r="S2480" s="119"/>
    </x:row>
    <x:row r="2481" ht="30" customHeight="1">
      <x:c r="A2481" s="117" t="str">
        <x:v>Recurring_Billing_Flow</x:v>
      </x:c>
      <x:c r="B2481" s="117" t="str">
        <x:v>3004O000000LOsqQAG</x:v>
      </x:c>
      <x:c r="C2481" s="117" t="str">
        <x:v>3014O000000M1ruQAC</x:v>
      </x:c>
      <x:c r="D2481" s="118" t="n">
        <x:v>4</x:v>
      </x:c>
      <x:c r="E2481" s="117" t="str">
        <x:v>Obsolete</x:v>
      </x:c>
      <x:c r="F2481" s="117" t="str">
        <x:v>No</x:v>
      </x:c>
      <x:c r="G2481" s="117" t="str">
        <x:v>No</x:v>
      </x:c>
      <x:c r="H2481" s="117" t="str">
        <x:v>AutoLaunchedFlow</x:v>
      </x:c>
      <x:c r="I2481" s="118" t="n">
        <x:v>50</x:v>
      </x:c>
      <x:c r="J2481" s="117" t="str">
        <x:v>unmanaged</x:v>
      </x:c>
      <x:c r="K2481" s="123" t="b">
        <x:v>0</x:v>
      </x:c>
      <x:c r="L2481" s="117"/>
      <x:c r="M2481" s="118"/>
      <x:c r="N2481" s="120" t="n">
        <x:v>44250.71979166667</x:v>
      </x:c>
      <x:c r="O2481" s="117" t="str">
        <x:v>Delegate</x:v>
      </x:c>
      <x:c r="P2481" s="120" t="n">
        <x:v>44250.71983796296</x:v>
      </x:c>
      <x:c r="Q2481" s="117" t="str">
        <x:v>Delegate</x:v>
      </x:c>
      <x:c r="R2481" s="117" t="str">
        <x:v>Recurring Billing Flow</x:v>
      </x:c>
      <x:c r="S2481" s="119"/>
    </x:row>
    <x:row r="2482" ht="30" customHeight="1">
      <x:c r="A2482" s="117" t="str">
        <x:v>Recurring_Billing_Flow</x:v>
      </x:c>
      <x:c r="B2482" s="117" t="str">
        <x:v>3004O000000LOsqQAG</x:v>
      </x:c>
      <x:c r="C2482" s="117" t="str">
        <x:v>3014O000000M1sxQAC</x:v>
      </x:c>
      <x:c r="D2482" s="118" t="n">
        <x:v>5</x:v>
      </x:c>
      <x:c r="E2482" s="117" t="str">
        <x:v>Obsolete</x:v>
      </x:c>
      <x:c r="F2482" s="117" t="str">
        <x:v>No</x:v>
      </x:c>
      <x:c r="G2482" s="117" t="str">
        <x:v>No</x:v>
      </x:c>
      <x:c r="H2482" s="117" t="str">
        <x:v>AutoLaunchedFlow</x:v>
      </x:c>
      <x:c r="I2482" s="118" t="n">
        <x:v>50</x:v>
      </x:c>
      <x:c r="J2482" s="117" t="str">
        <x:v>unmanaged</x:v>
      </x:c>
      <x:c r="K2482" s="123" t="b">
        <x:v>0</x:v>
      </x:c>
      <x:c r="L2482" s="117"/>
      <x:c r="M2482" s="118"/>
      <x:c r="N2482" s="120" t="n">
        <x:v>44251.613287037035</x:v>
      </x:c>
      <x:c r="O2482" s="117" t="str">
        <x:v>Delegate</x:v>
      </x:c>
      <x:c r="P2482" s="120" t="n">
        <x:v>44251.613333333335</x:v>
      </x:c>
      <x:c r="Q2482" s="117" t="str">
        <x:v>Delegate</x:v>
      </x:c>
      <x:c r="R2482" s="117" t="str">
        <x:v>Recurring Billing Flow</x:v>
      </x:c>
      <x:c r="S2482" s="119"/>
    </x:row>
    <x:row r="2483" ht="30" customHeight="1">
      <x:c r="A2483" s="117" t="str">
        <x:v>Recurring_Billing_Flow</x:v>
      </x:c>
      <x:c r="B2483" s="117" t="str">
        <x:v>3004O000000LOsqQAG</x:v>
      </x:c>
      <x:c r="C2483" s="117" t="str">
        <x:v>3014O000000M1t7QAC</x:v>
      </x:c>
      <x:c r="D2483" s="118" t="n">
        <x:v>6</x:v>
      </x:c>
      <x:c r="E2483" s="117" t="str">
        <x:v>Obsolete</x:v>
      </x:c>
      <x:c r="F2483" s="117" t="str">
        <x:v>No</x:v>
      </x:c>
      <x:c r="G2483" s="117" t="str">
        <x:v>No</x:v>
      </x:c>
      <x:c r="H2483" s="117" t="str">
        <x:v>AutoLaunchedFlow</x:v>
      </x:c>
      <x:c r="I2483" s="118" t="n">
        <x:v>50</x:v>
      </x:c>
      <x:c r="J2483" s="117" t="str">
        <x:v>unmanaged</x:v>
      </x:c>
      <x:c r="K2483" s="123" t="b">
        <x:v>0</x:v>
      </x:c>
      <x:c r="L2483" s="117"/>
      <x:c r="M2483" s="118"/>
      <x:c r="N2483" s="120" t="n">
        <x:v>44251.623090277775</x:v>
      </x:c>
      <x:c r="O2483" s="117" t="str">
        <x:v>Delegate</x:v>
      </x:c>
      <x:c r="P2483" s="120" t="n">
        <x:v>44251.623125</x:v>
      </x:c>
      <x:c r="Q2483" s="117" t="str">
        <x:v>Delegate</x:v>
      </x:c>
      <x:c r="R2483" s="117" t="str">
        <x:v>Recurring Billing Flow</x:v>
      </x:c>
      <x:c r="S2483" s="119"/>
    </x:row>
    <x:row r="2484" ht="30" customHeight="1">
      <x:c r="A2484" s="117" t="str">
        <x:v>Recurring_Billing_Flow</x:v>
      </x:c>
      <x:c r="B2484" s="117" t="str">
        <x:v>3004O000000LOsqQAG</x:v>
      </x:c>
      <x:c r="C2484" s="117" t="str">
        <x:v>3014O000000M1tvQAC</x:v>
      </x:c>
      <x:c r="D2484" s="118" t="n">
        <x:v>7</x:v>
      </x:c>
      <x:c r="E2484" s="117" t="str">
        <x:v>Obsolete</x:v>
      </x:c>
      <x:c r="F2484" s="117" t="str">
        <x:v>No</x:v>
      </x:c>
      <x:c r="G2484" s="117" t="str">
        <x:v>No</x:v>
      </x:c>
      <x:c r="H2484" s="117" t="str">
        <x:v>AutoLaunchedFlow</x:v>
      </x:c>
      <x:c r="I2484" s="118" t="n">
        <x:v>50</x:v>
      </x:c>
      <x:c r="J2484" s="117" t="str">
        <x:v>unmanaged</x:v>
      </x:c>
      <x:c r="K2484" s="123" t="b">
        <x:v>0</x:v>
      </x:c>
      <x:c r="L2484" s="117"/>
      <x:c r="M2484" s="118"/>
      <x:c r="N2484" s="120" t="n">
        <x:v>44253.68835648148</x:v>
      </x:c>
      <x:c r="O2484" s="117" t="str">
        <x:v>Delegate</x:v>
      </x:c>
      <x:c r="P2484" s="120" t="n">
        <x:v>44253.68894675926</x:v>
      </x:c>
      <x:c r="Q2484" s="117" t="str">
        <x:v>Delegate</x:v>
      </x:c>
      <x:c r="R2484" s="117" t="str">
        <x:v>Recurring Billing Flow</x:v>
      </x:c>
      <x:c r="S2484" s="119"/>
    </x:row>
    <x:row r="2485" ht="30" customHeight="1">
      <x:c r="A2485" s="117" t="str">
        <x:v>Recurring_Billing_Flow</x:v>
      </x:c>
      <x:c r="B2485" s="117" t="str">
        <x:v>3004O000000LOsqQAG</x:v>
      </x:c>
      <x:c r="C2485" s="117" t="str">
        <x:v>3014O000000YACIQA4</x:v>
      </x:c>
      <x:c r="D2485" s="118" t="n">
        <x:v>8</x:v>
      </x:c>
      <x:c r="E2485" s="117" t="str">
        <x:v>Draft</x:v>
      </x:c>
      <x:c r="F2485" s="117" t="str">
        <x:v>No</x:v>
      </x:c>
      <x:c r="G2485" s="117" t="str">
        <x:v>No</x:v>
      </x:c>
      <x:c r="H2485" s="117" t="str">
        <x:v>AutoLaunchedFlow</x:v>
      </x:c>
      <x:c r="I2485" s="118" t="n">
        <x:v>50</x:v>
      </x:c>
      <x:c r="J2485" s="117" t="str">
        <x:v>unmanaged</x:v>
      </x:c>
      <x:c r="K2485" s="123" t="b">
        <x:v>0</x:v>
      </x:c>
      <x:c r="L2485" s="117"/>
      <x:c r="M2485" s="118"/>
      <x:c r="N2485" s="120" t="n">
        <x:v>44264.8115625</x:v>
      </x:c>
      <x:c r="O2485" s="117" t="str">
        <x:v>Delegate</x:v>
      </x:c>
      <x:c r="P2485" s="120" t="n">
        <x:v>44264.811574074076</x:v>
      </x:c>
      <x:c r="Q2485" s="117" t="str">
        <x:v>Delegate</x:v>
      </x:c>
      <x:c r="R2485" s="117" t="str">
        <x:v>Recurring Billing Flow</x:v>
      </x:c>
      <x:c r="S2485" s="119"/>
    </x:row>
    <x:row r="2486" ht="30" customHeight="1">
      <x:c r="A2486" s="117" t="str">
        <x:v>Recurring_Billing_Flow</x:v>
      </x:c>
      <x:c r="B2486" s="117" t="str">
        <x:v>3004O000000LOsqQAG</x:v>
      </x:c>
      <x:c r="C2486" s="117" t="str">
        <x:v>3014O000000YAWrQAO</x:v>
      </x:c>
      <x:c r="D2486" s="118" t="n">
        <x:v>9</x:v>
      </x:c>
      <x:c r="E2486" s="117" t="str">
        <x:v>Obsolete</x:v>
      </x:c>
      <x:c r="F2486" s="117" t="str">
        <x:v>No</x:v>
      </x:c>
      <x:c r="G2486" s="117" t="str">
        <x:v>No</x:v>
      </x:c>
      <x:c r="H2486" s="117" t="str">
        <x:v>AutoLaunchedFlow</x:v>
      </x:c>
      <x:c r="I2486" s="118" t="n">
        <x:v>50</x:v>
      </x:c>
      <x:c r="J2486" s="117" t="str">
        <x:v>unmanaged</x:v>
      </x:c>
      <x:c r="K2486" s="123" t="b">
        <x:v>0</x:v>
      </x:c>
      <x:c r="L2486" s="117"/>
      <x:c r="M2486" s="118"/>
      <x:c r="N2486" s="120" t="n">
        <x:v>44286.525</x:v>
      </x:c>
      <x:c r="O2486" s="117" t="str">
        <x:v>Delegate</x:v>
      </x:c>
      <x:c r="P2486" s="120" t="n">
        <x:v>44286.525034722225</x:v>
      </x:c>
      <x:c r="Q2486" s="117" t="str">
        <x:v>Delegate</x:v>
      </x:c>
      <x:c r="R2486" s="117" t="str">
        <x:v>Recurring Billing Flow</x:v>
      </x:c>
      <x:c r="S2486" s="119"/>
    </x:row>
    <x:row r="2487" ht="30" customHeight="1">
      <x:c r="A2487" s="117" t="str">
        <x:v>Recurring_Billing_Flow</x:v>
      </x:c>
      <x:c r="B2487" s="117" t="str">
        <x:v>3004O000000LOsqQAG</x:v>
      </x:c>
      <x:c r="C2487" s="117" t="str">
        <x:v>3015b000000EK9dAAG</x:v>
      </x:c>
      <x:c r="D2487" s="118" t="n">
        <x:v>10</x:v>
      </x:c>
      <x:c r="E2487" s="117" t="str">
        <x:v>Obsolete</x:v>
      </x:c>
      <x:c r="F2487" s="117" t="str">
        <x:v>No</x:v>
      </x:c>
      <x:c r="G2487" s="117" t="str">
        <x:v>No</x:v>
      </x:c>
      <x:c r="H2487" s="117" t="str">
        <x:v>AutoLaunchedFlow</x:v>
      </x:c>
      <x:c r="I2487" s="118" t="n">
        <x:v>50</x:v>
      </x:c>
      <x:c r="J2487" s="117" t="str">
        <x:v>unmanaged</x:v>
      </x:c>
      <x:c r="K2487" s="123" t="b">
        <x:v>0</x:v>
      </x:c>
      <x:c r="L2487" s="117"/>
      <x:c r="M2487" s="118"/>
      <x:c r="N2487" s="120" t="n">
        <x:v>44719.556967592594</x:v>
      </x:c>
      <x:c r="O2487" s="117" t="str">
        <x:v>Delegate</x:v>
      </x:c>
      <x:c r="P2487" s="120" t="n">
        <x:v>44719.55708333333</x:v>
      </x:c>
      <x:c r="Q2487" s="117" t="str">
        <x:v>Delegate</x:v>
      </x:c>
      <x:c r="R2487" s="117" t="str">
        <x:v>Recurring Billing Flow</x:v>
      </x:c>
      <x:c r="S2487" s="119"/>
    </x:row>
    <x:row r="2488" ht="30" customHeight="1">
      <x:c r="A2488" s="117" t="str">
        <x:v>Recurring_Billing_Flow</x:v>
      </x:c>
      <x:c r="B2488" s="117" t="str">
        <x:v>3004O000000LOsqQAG</x:v>
      </x:c>
      <x:c r="C2488" s="117" t="str">
        <x:v>3015b000000AAx4AAG</x:v>
      </x:c>
      <x:c r="D2488" s="118" t="n">
        <x:v>11</x:v>
      </x:c>
      <x:c r="E2488" s="117" t="str">
        <x:v>Active</x:v>
      </x:c>
      <x:c r="F2488" s="117" t="str">
        <x:v>Yes</x:v>
      </x:c>
      <x:c r="G2488" s="117" t="str">
        <x:v>Yes</x:v>
      </x:c>
      <x:c r="H2488" s="117" t="str">
        <x:v>AutoLaunchedFlow</x:v>
      </x:c>
      <x:c r="I2488" s="118" t="n">
        <x:v>50</x:v>
      </x:c>
      <x:c r="J2488" s="117" t="str">
        <x:v>unmanaged</x:v>
      </x:c>
      <x:c r="K2488" s="123" t="b">
        <x:v>0</x:v>
      </x:c>
      <x:c r="L2488" s="117"/>
      <x:c r="M2488" s="118"/>
      <x:c r="N2488" s="120" t="n">
        <x:v>44894.6222337963</x:v>
      </x:c>
      <x:c r="O2488" s="117" t="str">
        <x:v>Delegate</x:v>
      </x:c>
      <x:c r="P2488" s="120" t="n">
        <x:v>44894.62229166667</x:v>
      </x:c>
      <x:c r="Q2488" s="117" t="str">
        <x:v>Delegate</x:v>
      </x:c>
      <x:c r="R2488" s="117" t="str">
        <x:v>Recurring Billing Flow</x:v>
      </x:c>
      <x:c r="S2488" s="119"/>
    </x:row>
    <x:row r="2489" ht="30" customHeight="1">
      <x:c r="A2489" s="117" t="str">
        <x:v>Refurb_Part_Request_Field_Updates_Flow</x:v>
      </x:c>
      <x:c r="B2489" s="117" t="str">
        <x:v>3005b000000PzrOAAS</x:v>
      </x:c>
      <x:c r="C2489" s="117" t="str">
        <x:v>3015b000000W421AAC</x:v>
      </x:c>
      <x:c r="D2489" s="118" t="n">
        <x:v>1</x:v>
      </x:c>
      <x:c r="E2489" s="117" t="str">
        <x:v>Obsolete</x:v>
      </x:c>
      <x:c r="F2489" s="117" t="str">
        <x:v>No</x:v>
      </x:c>
      <x:c r="G2489" s="117" t="str">
        <x:v>No</x:v>
      </x:c>
      <x:c r="H2489" s="117" t="str">
        <x:v>AutoLaunchedFlow</x:v>
      </x:c>
      <x:c r="I2489" s="118" t="n">
        <x:v>58</x:v>
      </x:c>
      <x:c r="J2489" s="117" t="str">
        <x:v>unmanaged</x:v>
      </x:c>
      <x:c r="K2489" s="123" t="b">
        <x:v>0</x:v>
      </x:c>
      <x:c r="L2489" s="117"/>
      <x:c r="M2489" s="118"/>
      <x:c r="N2489" s="120" t="n">
        <x:v>45089.806284722225</x:v>
      </x:c>
      <x:c r="O2489" s="117" t="str">
        <x:v>Jace Gentil</x:v>
      </x:c>
      <x:c r="P2489" s="120" t="n">
        <x:v>45089.81400462963</x:v>
      </x:c>
      <x:c r="Q2489" s="117" t="str">
        <x:v>Jace Gentil</x:v>
      </x:c>
      <x:c r="R2489" s="117" t="str">
        <x:v>Refurb Part Request Field Updates Flow</x:v>
      </x:c>
      <x:c r="S2489" s="119"/>
    </x:row>
    <x:row r="2490" ht="30" customHeight="1">
      <x:c r="A2490" s="117" t="str">
        <x:v>Refurb_Part_Request_Field_Updates_Flow</x:v>
      </x:c>
      <x:c r="B2490" s="117" t="str">
        <x:v>3005b000000PzrOAAS</x:v>
      </x:c>
      <x:c r="C2490" s="117" t="str">
        <x:v>3015b000000W426AAC</x:v>
      </x:c>
      <x:c r="D2490" s="118" t="n">
        <x:v>2</x:v>
      </x:c>
      <x:c r="E2490" s="117" t="str">
        <x:v>Obsolete</x:v>
      </x:c>
      <x:c r="F2490" s="117" t="str">
        <x:v>No</x:v>
      </x:c>
      <x:c r="G2490" s="117" t="str">
        <x:v>No</x:v>
      </x:c>
      <x:c r="H2490" s="117" t="str">
        <x:v>AutoLaunchedFlow</x:v>
      </x:c>
      <x:c r="I2490" s="118" t="n">
        <x:v>58</x:v>
      </x:c>
      <x:c r="J2490" s="117" t="str">
        <x:v>unmanaged</x:v>
      </x:c>
      <x:c r="K2490" s="123" t="b">
        <x:v>0</x:v>
      </x:c>
      <x:c r="L2490" s="117"/>
      <x:c r="M2490" s="118"/>
      <x:c r="N2490" s="120" t="n">
        <x:v>45089.833287037036</x:v>
      </x:c>
      <x:c r="O2490" s="117" t="str">
        <x:v>Jace Gentil</x:v>
      </x:c>
      <x:c r="P2490" s="120" t="n">
        <x:v>45089.833344907405</x:v>
      </x:c>
      <x:c r="Q2490" s="117" t="str">
        <x:v>Jace Gentil</x:v>
      </x:c>
      <x:c r="R2490" s="117" t="str">
        <x:v>Refurb Part Request Field Updates Flow</x:v>
      </x:c>
      <x:c r="S2490" s="119"/>
    </x:row>
    <x:row r="2491" ht="30" customHeight="1">
      <x:c r="A2491" s="117" t="str">
        <x:v>Refurb_Part_Request_Field_Updates_Flow</x:v>
      </x:c>
      <x:c r="B2491" s="117" t="str">
        <x:v>3005b000000PzrOAAS</x:v>
      </x:c>
      <x:c r="C2491" s="117" t="str">
        <x:v>3015b000000W42BAAS</x:v>
      </x:c>
      <x:c r="D2491" s="118" t="n">
        <x:v>3</x:v>
      </x:c>
      <x:c r="E2491" s="117" t="str">
        <x:v>Obsolete</x:v>
      </x:c>
      <x:c r="F2491" s="117" t="str">
        <x:v>No</x:v>
      </x:c>
      <x:c r="G2491" s="117" t="str">
        <x:v>No</x:v>
      </x:c>
      <x:c r="H2491" s="117" t="str">
        <x:v>AutoLaunchedFlow</x:v>
      </x:c>
      <x:c r="I2491" s="118" t="n">
        <x:v>58</x:v>
      </x:c>
      <x:c r="J2491" s="117" t="str">
        <x:v>unmanaged</x:v>
      </x:c>
      <x:c r="K2491" s="123" t="b">
        <x:v>0</x:v>
      </x:c>
      <x:c r="L2491" s="117"/>
      <x:c r="M2491" s="118"/>
      <x:c r="N2491" s="120" t="n">
        <x:v>45089.83427083334</x:v>
      </x:c>
      <x:c r="O2491" s="117" t="str">
        <x:v>Jace Gentil</x:v>
      </x:c>
      <x:c r="P2491" s="120" t="n">
        <x:v>45089.834328703706</x:v>
      </x:c>
      <x:c r="Q2491" s="117" t="str">
        <x:v>Jace Gentil</x:v>
      </x:c>
      <x:c r="R2491" s="117" t="str">
        <x:v>Refurb Part Request Field Updates Flow</x:v>
      </x:c>
      <x:c r="S2491" s="119"/>
    </x:row>
    <x:row r="2492" ht="30" customHeight="1">
      <x:c r="A2492" s="117" t="str">
        <x:v>Refurb_Part_Request_Field_Updates_Flow</x:v>
      </x:c>
      <x:c r="B2492" s="117" t="str">
        <x:v>3005b000000PzrOAAS</x:v>
      </x:c>
      <x:c r="C2492" s="117" t="str">
        <x:v>3015b000000W42GAAS</x:v>
      </x:c>
      <x:c r="D2492" s="118" t="n">
        <x:v>4</x:v>
      </x:c>
      <x:c r="E2492" s="117" t="str">
        <x:v>Obsolete</x:v>
      </x:c>
      <x:c r="F2492" s="117" t="str">
        <x:v>No</x:v>
      </x:c>
      <x:c r="G2492" s="117" t="str">
        <x:v>No</x:v>
      </x:c>
      <x:c r="H2492" s="117" t="str">
        <x:v>AutoLaunchedFlow</x:v>
      </x:c>
      <x:c r="I2492" s="118" t="n">
        <x:v>58</x:v>
      </x:c>
      <x:c r="J2492" s="117" t="str">
        <x:v>unmanaged</x:v>
      </x:c>
      <x:c r="K2492" s="123" t="b">
        <x:v>0</x:v>
      </x:c>
      <x:c r="L2492" s="117"/>
      <x:c r="M2492" s="118"/>
      <x:c r="N2492" s="120" t="n">
        <x:v>45089.83729166666</x:v>
      </x:c>
      <x:c r="O2492" s="117" t="str">
        <x:v>Jace Gentil</x:v>
      </x:c>
      <x:c r="P2492" s="120" t="n">
        <x:v>45089.837326388886</x:v>
      </x:c>
      <x:c r="Q2492" s="117" t="str">
        <x:v>Jace Gentil</x:v>
      </x:c>
      <x:c r="R2492" s="117" t="str">
        <x:v>Refurb Part Request Field Updates Flow</x:v>
      </x:c>
      <x:c r="S2492" s="119"/>
    </x:row>
    <x:row r="2493" ht="30" customHeight="1">
      <x:c r="A2493" s="117" t="str">
        <x:v>Refurb_Part_Request_Field_Updates_Flow</x:v>
      </x:c>
      <x:c r="B2493" s="117" t="str">
        <x:v>3005b000000PzrOAAS</x:v>
      </x:c>
      <x:c r="C2493" s="117" t="str">
        <x:v>3015b000000W4QwAAK</x:v>
      </x:c>
      <x:c r="D2493" s="118" t="n">
        <x:v>5</x:v>
      </x:c>
      <x:c r="E2493" s="117" t="str">
        <x:v>Obsolete</x:v>
      </x:c>
      <x:c r="F2493" s="117" t="str">
        <x:v>No</x:v>
      </x:c>
      <x:c r="G2493" s="117" t="str">
        <x:v>No</x:v>
      </x:c>
      <x:c r="H2493" s="117" t="str">
        <x:v>AutoLaunchedFlow</x:v>
      </x:c>
      <x:c r="I2493" s="118" t="n">
        <x:v>58</x:v>
      </x:c>
      <x:c r="J2493" s="117" t="str">
        <x:v>unmanaged</x:v>
      </x:c>
      <x:c r="K2493" s="123" t="b">
        <x:v>0</x:v>
      </x:c>
      <x:c r="L2493" s="117"/>
      <x:c r="M2493" s="118"/>
      <x:c r="N2493" s="120" t="n">
        <x:v>45099.710011574076</x:v>
      </x:c>
      <x:c r="O2493" s="117" t="str">
        <x:v>Jace Gentil</x:v>
      </x:c>
      <x:c r="P2493" s="120" t="n">
        <x:v>45099.71026620371</x:v>
      </x:c>
      <x:c r="Q2493" s="117" t="str">
        <x:v>Jace Gentil</x:v>
      </x:c>
      <x:c r="R2493" s="117" t="str">
        <x:v>Refurb Part Request Field Updates Flow</x:v>
      </x:c>
      <x:c r="S2493" s="119"/>
    </x:row>
    <x:row r="2494" ht="30" customHeight="1">
      <x:c r="A2494" s="117" t="str">
        <x:v>Refurb_Part_Request_Field_Updates_Flow</x:v>
      </x:c>
      <x:c r="B2494" s="117" t="str">
        <x:v>3005b000000PzrOAAS</x:v>
      </x:c>
      <x:c r="C2494" s="117" t="str">
        <x:v>3015b000000W4SJAA0</x:v>
      </x:c>
      <x:c r="D2494" s="118" t="n">
        <x:v>6</x:v>
      </x:c>
      <x:c r="E2494" s="117" t="str">
        <x:v>Obsolete</x:v>
      </x:c>
      <x:c r="F2494" s="117" t="str">
        <x:v>No</x:v>
      </x:c>
      <x:c r="G2494" s="117" t="str">
        <x:v>No</x:v>
      </x:c>
      <x:c r="H2494" s="117" t="str">
        <x:v>AutoLaunchedFlow</x:v>
      </x:c>
      <x:c r="I2494" s="118" t="n">
        <x:v>58</x:v>
      </x:c>
      <x:c r="J2494" s="117" t="str">
        <x:v>unmanaged</x:v>
      </x:c>
      <x:c r="K2494" s="123" t="b">
        <x:v>0</x:v>
      </x:c>
      <x:c r="L2494" s="117"/>
      <x:c r="M2494" s="118"/>
      <x:c r="N2494" s="120" t="n">
        <x:v>45099.79494212963</x:v>
      </x:c>
      <x:c r="O2494" s="117" t="str">
        <x:v>Jace Gentil</x:v>
      </x:c>
      <x:c r="P2494" s="120" t="n">
        <x:v>45099.79497685185</x:v>
      </x:c>
      <x:c r="Q2494" s="117" t="str">
        <x:v>Jace Gentil</x:v>
      </x:c>
      <x:c r="R2494" s="117" t="str">
        <x:v>Refurb Part Request Field Updates Flow</x:v>
      </x:c>
      <x:c r="S2494" s="119"/>
    </x:row>
    <x:row r="2495" ht="30" customHeight="1">
      <x:c r="A2495" s="117" t="str">
        <x:v>Refurb_Part_Request_Field_Updates_Flow</x:v>
      </x:c>
      <x:c r="B2495" s="117" t="str">
        <x:v>3005b000000PzrOAAS</x:v>
      </x:c>
      <x:c r="C2495" s="117" t="str">
        <x:v>3015b000000ANSOAA4</x:v>
      </x:c>
      <x:c r="D2495" s="118" t="n">
        <x:v>7</x:v>
      </x:c>
      <x:c r="E2495" s="117" t="str">
        <x:v>Obsolete</x:v>
      </x:c>
      <x:c r="F2495" s="117" t="str">
        <x:v>No</x:v>
      </x:c>
      <x:c r="G2495" s="117" t="str">
        <x:v>No</x:v>
      </x:c>
      <x:c r="H2495" s="117" t="str">
        <x:v>AutoLaunchedFlow</x:v>
      </x:c>
      <x:c r="I2495" s="118" t="n">
        <x:v>58</x:v>
      </x:c>
      <x:c r="J2495" s="117" t="str">
        <x:v>unmanaged</x:v>
      </x:c>
      <x:c r="K2495" s="123" t="b">
        <x:v>0</x:v>
      </x:c>
      <x:c r="L2495" s="117"/>
      <x:c r="M2495" s="118"/>
      <x:c r="N2495" s="120" t="n">
        <x:v>45112.66960648148</x:v>
      </x:c>
      <x:c r="O2495" s="117" t="str">
        <x:v>Jace Gentil</x:v>
      </x:c>
      <x:c r="P2495" s="120" t="n">
        <x:v>45112.66966435185</x:v>
      </x:c>
      <x:c r="Q2495" s="117" t="str">
        <x:v>Jace Gentil</x:v>
      </x:c>
      <x:c r="R2495" s="117" t="str">
        <x:v>Refurb Part Request Field Updates Flow</x:v>
      </x:c>
      <x:c r="S2495" s="119"/>
    </x:row>
    <x:row r="2496" ht="30" customHeight="1">
      <x:c r="A2496" s="117" t="str">
        <x:v>Refurb_Part_Request_Field_Updates_Flow</x:v>
      </x:c>
      <x:c r="B2496" s="117" t="str">
        <x:v>3005b000000PzrOAAS</x:v>
      </x:c>
      <x:c r="C2496" s="117" t="str">
        <x:v>3015b000000ANSYAA4</x:v>
      </x:c>
      <x:c r="D2496" s="118" t="n">
        <x:v>8</x:v>
      </x:c>
      <x:c r="E2496" s="117" t="str">
        <x:v>Obsolete</x:v>
      </x:c>
      <x:c r="F2496" s="117" t="str">
        <x:v>No</x:v>
      </x:c>
      <x:c r="G2496" s="117" t="str">
        <x:v>No</x:v>
      </x:c>
      <x:c r="H2496" s="117" t="str">
        <x:v>AutoLaunchedFlow</x:v>
      </x:c>
      <x:c r="I2496" s="118" t="n">
        <x:v>58</x:v>
      </x:c>
      <x:c r="J2496" s="117" t="str">
        <x:v>unmanaged</x:v>
      </x:c>
      <x:c r="K2496" s="123" t="b">
        <x:v>0</x:v>
      </x:c>
      <x:c r="L2496" s="117"/>
      <x:c r="M2496" s="118"/>
      <x:c r="N2496" s="120" t="n">
        <x:v>45112.683287037034</x:v>
      </x:c>
      <x:c r="O2496" s="117" t="str">
        <x:v>Jace Gentil</x:v>
      </x:c>
      <x:c r="P2496" s="120" t="n">
        <x:v>45112.683333333334</x:v>
      </x:c>
      <x:c r="Q2496" s="117" t="str">
        <x:v>Jace Gentil</x:v>
      </x:c>
      <x:c r="R2496" s="117" t="str">
        <x:v>Refurb Part Request Field Updates Flow</x:v>
      </x:c>
      <x:c r="S2496" s="119"/>
    </x:row>
    <x:row r="2497" ht="30" customHeight="1">
      <x:c r="A2497" s="117" t="str">
        <x:v>Refurb_Part_Request_Field_Updates_Flow</x:v>
      </x:c>
      <x:c r="B2497" s="117" t="str">
        <x:v>3005b000000PzrOAAS</x:v>
      </x:c>
      <x:c r="C2497" s="117" t="str">
        <x:v>3015b000000ANlVAAW</x:v>
      </x:c>
      <x:c r="D2497" s="118" t="n">
        <x:v>9</x:v>
      </x:c>
      <x:c r="E2497" s="117" t="str">
        <x:v>Obsolete</x:v>
      </x:c>
      <x:c r="F2497" s="117" t="str">
        <x:v>No</x:v>
      </x:c>
      <x:c r="G2497" s="117" t="str">
        <x:v>No</x:v>
      </x:c>
      <x:c r="H2497" s="117" t="str">
        <x:v>AutoLaunchedFlow</x:v>
      </x:c>
      <x:c r="I2497" s="118" t="n">
        <x:v>58</x:v>
      </x:c>
      <x:c r="J2497" s="117" t="str">
        <x:v>unmanaged</x:v>
      </x:c>
      <x:c r="K2497" s="123" t="b">
        <x:v>0</x:v>
      </x:c>
      <x:c r="L2497" s="117"/>
      <x:c r="M2497" s="118"/>
      <x:c r="N2497" s="120" t="n">
        <x:v>45117.74800925926</x:v>
      </x:c>
      <x:c r="O2497" s="117" t="str">
        <x:v>Jace Gentil</x:v>
      </x:c>
      <x:c r="P2497" s="120" t="n">
        <x:v>45117.74828703704</x:v>
      </x:c>
      <x:c r="Q2497" s="117" t="str">
        <x:v>Jace Gentil</x:v>
      </x:c>
      <x:c r="R2497" s="117" t="str">
        <x:v>Refurb Part Request Field Updates Flow</x:v>
      </x:c>
      <x:c r="S2497" s="119"/>
    </x:row>
    <x:row r="2498" ht="30" customHeight="1">
      <x:c r="A2498" s="117" t="str">
        <x:v>Refurb_Part_Request_Field_Updates_Flow</x:v>
      </x:c>
      <x:c r="B2498" s="117" t="str">
        <x:v>3005b000000PzrOAAS</x:v>
      </x:c>
      <x:c r="C2498" s="117" t="str">
        <x:v>3015b000000APkUAAW</x:v>
      </x:c>
      <x:c r="D2498" s="118" t="n">
        <x:v>10</x:v>
      </x:c>
      <x:c r="E2498" s="117" t="str">
        <x:v>Obsolete</x:v>
      </x:c>
      <x:c r="F2498" s="117" t="str">
        <x:v>No</x:v>
      </x:c>
      <x:c r="G2498" s="117" t="str">
        <x:v>No</x:v>
      </x:c>
      <x:c r="H2498" s="117" t="str">
        <x:v>AutoLaunchedFlow</x:v>
      </x:c>
      <x:c r="I2498" s="118" t="n">
        <x:v>58</x:v>
      </x:c>
      <x:c r="J2498" s="117" t="str">
        <x:v>unmanaged</x:v>
      </x:c>
      <x:c r="K2498" s="123" t="b">
        <x:v>0</x:v>
      </x:c>
      <x:c r="L2498" s="117"/>
      <x:c r="M2498" s="118"/>
      <x:c r="N2498" s="120" t="n">
        <x:v>45146.41508101852</x:v>
      </x:c>
      <x:c r="O2498" s="117" t="str">
        <x:v>Jace Gentil</x:v>
      </x:c>
      <x:c r="P2498" s="120" t="n">
        <x:v>45146.415127314816</x:v>
      </x:c>
      <x:c r="Q2498" s="117" t="str">
        <x:v>Jace Gentil</x:v>
      </x:c>
      <x:c r="R2498" s="117" t="str">
        <x:v>Refurb Part Request Field Updates Flow</x:v>
      </x:c>
      <x:c r="S2498" s="119"/>
    </x:row>
    <x:row r="2499" ht="30" customHeight="1">
      <x:c r="A2499" s="117" t="str">
        <x:v>Refurb_Part_Request_Field_Updates_Flow</x:v>
      </x:c>
      <x:c r="B2499" s="117" t="str">
        <x:v>3005b000000PzrOAAS</x:v>
      </x:c>
      <x:c r="C2499" s="117" t="str">
        <x:v>3015b0000011KUCAA2</x:v>
      </x:c>
      <x:c r="D2499" s="118" t="n">
        <x:v>11</x:v>
      </x:c>
      <x:c r="E2499" s="117" t="str">
        <x:v>Obsolete</x:v>
      </x:c>
      <x:c r="F2499" s="117" t="str">
        <x:v>No</x:v>
      </x:c>
      <x:c r="G2499" s="117" t="str">
        <x:v>No</x:v>
      </x:c>
      <x:c r="H2499" s="117" t="str">
        <x:v>AutoLaunchedFlow</x:v>
      </x:c>
      <x:c r="I2499" s="118" t="n">
        <x:v>58</x:v>
      </x:c>
      <x:c r="J2499" s="117" t="str">
        <x:v>unmanaged</x:v>
      </x:c>
      <x:c r="K2499" s="123" t="b">
        <x:v>0</x:v>
      </x:c>
      <x:c r="L2499" s="117"/>
      <x:c r="M2499" s="118"/>
      <x:c r="N2499" s="120" t="n">
        <x:v>45204.72319444444</x:v>
      </x:c>
      <x:c r="O2499" s="117" t="str">
        <x:v>Jace Gentil</x:v>
      </x:c>
      <x:c r="P2499" s="120" t="n">
        <x:v>45204.72324074074</x:v>
      </x:c>
      <x:c r="Q2499" s="117" t="str">
        <x:v>Jace Gentil</x:v>
      </x:c>
      <x:c r="R2499" s="117" t="str">
        <x:v>Refurb Part Request Field Updates Flow</x:v>
      </x:c>
      <x:c r="S2499" s="119"/>
    </x:row>
    <x:row r="2500" ht="30" customHeight="1">
      <x:c r="A2500" s="117" t="str">
        <x:v>Refurb_Part_Request_Field_Updates_Flow</x:v>
      </x:c>
      <x:c r="B2500" s="117" t="str">
        <x:v>3005b000000PzrOAAS</x:v>
      </x:c>
      <x:c r="C2500" s="117" t="str">
        <x:v>3015b0000011KUDAA2</x:v>
      </x:c>
      <x:c r="D2500" s="118" t="n">
        <x:v>12</x:v>
      </x:c>
      <x:c r="E2500" s="117" t="str">
        <x:v>Draft</x:v>
      </x:c>
      <x:c r="F2500" s="117" t="str">
        <x:v>No</x:v>
      </x:c>
      <x:c r="G2500" s="117" t="str">
        <x:v>No</x:v>
      </x:c>
      <x:c r="H2500" s="117" t="str">
        <x:v>AutoLaunchedFlow</x:v>
      </x:c>
      <x:c r="I2500" s="118" t="n">
        <x:v>58</x:v>
      </x:c>
      <x:c r="J2500" s="117" t="str">
        <x:v>unmanaged</x:v>
      </x:c>
      <x:c r="K2500" s="123" t="b">
        <x:v>0</x:v>
      </x:c>
      <x:c r="L2500" s="117"/>
      <x:c r="M2500" s="118"/>
      <x:c r="N2500" s="120" t="n">
        <x:v>45204.7241087963</x:v>
      </x:c>
      <x:c r="O2500" s="117" t="str">
        <x:v>Jace Gentil</x:v>
      </x:c>
      <x:c r="P2500" s="120" t="n">
        <x:v>45204.72412037037</x:v>
      </x:c>
      <x:c r="Q2500" s="117" t="str">
        <x:v>Jace Gentil</x:v>
      </x:c>
      <x:c r="R2500" s="117" t="str">
        <x:v>Refurb Part Request Field Updates Flow</x:v>
      </x:c>
      <x:c r="S2500" s="119"/>
    </x:row>
    <x:row r="2501" ht="30" customHeight="1">
      <x:c r="A2501" s="117" t="str">
        <x:v>Refurb_Part_Request_Field_Updates_Flow</x:v>
      </x:c>
      <x:c r="B2501" s="117" t="str">
        <x:v>3005b000000PzrOAAS</x:v>
      </x:c>
      <x:c r="C2501" s="117" t="str">
        <x:v>3015b0000011KUHAA2</x:v>
      </x:c>
      <x:c r="D2501" s="118" t="n">
        <x:v>13</x:v>
      </x:c>
      <x:c r="E2501" s="117" t="str">
        <x:v>Obsolete</x:v>
      </x:c>
      <x:c r="F2501" s="117" t="str">
        <x:v>No</x:v>
      </x:c>
      <x:c r="G2501" s="117" t="str">
        <x:v>No</x:v>
      </x:c>
      <x:c r="H2501" s="117" t="str">
        <x:v>AutoLaunchedFlow</x:v>
      </x:c>
      <x:c r="I2501" s="118" t="n">
        <x:v>58</x:v>
      </x:c>
      <x:c r="J2501" s="117" t="str">
        <x:v>unmanaged</x:v>
      </x:c>
      <x:c r="K2501" s="123" t="b">
        <x:v>0</x:v>
      </x:c>
      <x:c r="L2501" s="117"/>
      <x:c r="M2501" s="118"/>
      <x:c r="N2501" s="120" t="n">
        <x:v>45204.74019675926</x:v>
      </x:c>
      <x:c r="O2501" s="117" t="str">
        <x:v>Jace Gentil</x:v>
      </x:c>
      <x:c r="P2501" s="120" t="n">
        <x:v>45204.74023148148</x:v>
      </x:c>
      <x:c r="Q2501" s="117" t="str">
        <x:v>Jace Gentil</x:v>
      </x:c>
      <x:c r="R2501" s="117" t="str">
        <x:v>Refurb Part Request Field Updates Flow</x:v>
      </x:c>
      <x:c r="S2501" s="119"/>
    </x:row>
    <x:row r="2502" ht="30" customHeight="1">
      <x:c r="A2502" s="117" t="str">
        <x:v>Refurb_Part_Request_Field_Updates_Flow</x:v>
      </x:c>
      <x:c r="B2502" s="117" t="str">
        <x:v>3005b000000PzrOAAS</x:v>
      </x:c>
      <x:c r="C2502" s="117" t="str">
        <x:v>3015b0000011KV0AAM</x:v>
      </x:c>
      <x:c r="D2502" s="118" t="n">
        <x:v>14</x:v>
      </x:c>
      <x:c r="E2502" s="117" t="str">
        <x:v>Obsolete</x:v>
      </x:c>
      <x:c r="F2502" s="117" t="str">
        <x:v>No</x:v>
      </x:c>
      <x:c r="G2502" s="117" t="str">
        <x:v>No</x:v>
      </x:c>
      <x:c r="H2502" s="117" t="str">
        <x:v>AutoLaunchedFlow</x:v>
      </x:c>
      <x:c r="I2502" s="118" t="n">
        <x:v>58</x:v>
      </x:c>
      <x:c r="J2502" s="117" t="str">
        <x:v>unmanaged</x:v>
      </x:c>
      <x:c r="K2502" s="123" t="b">
        <x:v>0</x:v>
      </x:c>
      <x:c r="L2502" s="117"/>
      <x:c r="M2502" s="118"/>
      <x:c r="N2502" s="120" t="n">
        <x:v>45204.85140046296</x:v>
      </x:c>
      <x:c r="O2502" s="117" t="str">
        <x:v>Jace Gentil</x:v>
      </x:c>
      <x:c r="P2502" s="120" t="n">
        <x:v>45204.85145833333</x:v>
      </x:c>
      <x:c r="Q2502" s="117" t="str">
        <x:v>Jace Gentil</x:v>
      </x:c>
      <x:c r="R2502" s="117" t="str">
        <x:v>Refurb Part Request Field Updates Flow</x:v>
      </x:c>
      <x:c r="S2502" s="119"/>
    </x:row>
    <x:row r="2503" ht="30" customHeight="1">
      <x:c r="A2503" s="117" t="str">
        <x:v>Refurb_Part_Request_Field_Updates_Flow</x:v>
      </x:c>
      <x:c r="B2503" s="117" t="str">
        <x:v>3005b000000PzrOAAS</x:v>
      </x:c>
      <x:c r="C2503" s="117" t="str">
        <x:v>3015b0000011N4mAAE</x:v>
      </x:c>
      <x:c r="D2503" s="118" t="n">
        <x:v>15</x:v>
      </x:c>
      <x:c r="E2503" s="117" t="str">
        <x:v>Draft</x:v>
      </x:c>
      <x:c r="F2503" s="117" t="str">
        <x:v>No</x:v>
      </x:c>
      <x:c r="G2503" s="117" t="str">
        <x:v>No</x:v>
      </x:c>
      <x:c r="H2503" s="117" t="str">
        <x:v>AutoLaunchedFlow</x:v>
      </x:c>
      <x:c r="I2503" s="118" t="n">
        <x:v>58</x:v>
      </x:c>
      <x:c r="J2503" s="117" t="str">
        <x:v>unmanaged</x:v>
      </x:c>
      <x:c r="K2503" s="123" t="b">
        <x:v>0</x:v>
      </x:c>
      <x:c r="L2503" s="117"/>
      <x:c r="M2503" s="118"/>
      <x:c r="N2503" s="120" t="n">
        <x:v>45299.82641203704</x:v>
      </x:c>
      <x:c r="O2503" s="117" t="str">
        <x:v>Jace Gentil</x:v>
      </x:c>
      <x:c r="P2503" s="120" t="n">
        <x:v>45299.82643518518</x:v>
      </x:c>
      <x:c r="Q2503" s="117" t="str">
        <x:v>Jace Gentil</x:v>
      </x:c>
      <x:c r="R2503" s="117" t="str">
        <x:v>Refurb Part Request Field Updates Flow</x:v>
      </x:c>
      <x:c r="S2503" s="119"/>
    </x:row>
    <x:row r="2504" ht="30" customHeight="1">
      <x:c r="A2504" s="117" t="str">
        <x:v>Refurb_Part_Request_Field_Updates_Flow</x:v>
      </x:c>
      <x:c r="B2504" s="117" t="str">
        <x:v>3005b000000PzrOAAS</x:v>
      </x:c>
      <x:c r="C2504" s="117" t="str">
        <x:v>3015b0000011N4nAAE</x:v>
      </x:c>
      <x:c r="D2504" s="118" t="n">
        <x:v>16</x:v>
      </x:c>
      <x:c r="E2504" s="117" t="str">
        <x:v>Active</x:v>
      </x:c>
      <x:c r="F2504" s="117" t="str">
        <x:v>Yes</x:v>
      </x:c>
      <x:c r="G2504" s="117" t="str">
        <x:v>Yes</x:v>
      </x:c>
      <x:c r="H2504" s="117" t="str">
        <x:v>AutoLaunchedFlow</x:v>
      </x:c>
      <x:c r="I2504" s="118" t="n">
        <x:v>58</x:v>
      </x:c>
      <x:c r="J2504" s="117" t="str">
        <x:v>unmanaged</x:v>
      </x:c>
      <x:c r="K2504" s="123" t="b">
        <x:v>0</x:v>
      </x:c>
      <x:c r="L2504" s="117"/>
      <x:c r="M2504" s="118"/>
      <x:c r="N2504" s="120" t="n">
        <x:v>45299.82680555555</x:v>
      </x:c>
      <x:c r="O2504" s="117" t="str">
        <x:v>Jace Gentil</x:v>
      </x:c>
      <x:c r="P2504" s="120" t="n">
        <x:v>45299.826886574076</x:v>
      </x:c>
      <x:c r="Q2504" s="117" t="str">
        <x:v>Jace Gentil</x:v>
      </x:c>
      <x:c r="R2504" s="117" t="str">
        <x:v>Refurb Part Request Field Updates Flow</x:v>
      </x:c>
      <x:c r="S2504" s="119"/>
    </x:row>
    <x:row r="2505" ht="30" customHeight="1">
      <x:c r="A2505" s="117" t="str">
        <x:v>Refurb_Test_Asset_Selection_Screen_Flow</x:v>
      </x:c>
      <x:c r="B2505" s="117" t="str">
        <x:v>3005b000000PyyOAAS</x:v>
      </x:c>
      <x:c r="C2505" s="117" t="str">
        <x:v>3015b000000VzuXAAS</x:v>
      </x:c>
      <x:c r="D2505" s="118" t="n">
        <x:v>1</x:v>
      </x:c>
      <x:c r="E2505" s="117" t="str">
        <x:v>Obsolete</x:v>
      </x:c>
      <x:c r="F2505" s="117" t="str">
        <x:v>No</x:v>
      </x:c>
      <x:c r="G2505" s="117" t="str">
        <x:v>No</x:v>
      </x:c>
      <x:c r="H2505" s="117" t="str">
        <x:v>Flow</x:v>
      </x:c>
      <x:c r="I2505" s="118" t="n">
        <x:v>57</x:v>
      </x:c>
      <x:c r="J2505" s="117" t="str">
        <x:v>unmanaged</x:v>
      </x:c>
      <x:c r="K2505" s="123" t="b">
        <x:v>0</x:v>
      </x:c>
      <x:c r="L2505" s="117"/>
      <x:c r="M2505" s="118"/>
      <x:c r="N2505" s="120" t="n">
        <x:v>44981.09005787037</x:v>
      </x:c>
      <x:c r="O2505" s="117" t="str">
        <x:v>Jace Gentil</x:v>
      </x:c>
      <x:c r="P2505" s="120" t="n">
        <x:v>44981.09028935185</x:v>
      </x:c>
      <x:c r="Q2505" s="117" t="str">
        <x:v>Jace Gentil</x:v>
      </x:c>
      <x:c r="R2505" s="117" t="str">
        <x:v>Refurb Test Asset Selection Screen Flow</x:v>
      </x:c>
      <x:c r="S2505" s="119"/>
    </x:row>
    <x:row r="2506" ht="30" customHeight="1">
      <x:c r="A2506" s="117" t="str">
        <x:v>Refurb_Test_Asset_Selection_Screen_Flow</x:v>
      </x:c>
      <x:c r="B2506" s="117" t="str">
        <x:v>3005b000000PyyOAAS</x:v>
      </x:c>
      <x:c r="C2506" s="117" t="str">
        <x:v>3015b000000W3f7AAC</x:v>
      </x:c>
      <x:c r="D2506" s="118" t="n">
        <x:v>2</x:v>
      </x:c>
      <x:c r="E2506" s="117" t="str">
        <x:v>Obsolete</x:v>
      </x:c>
      <x:c r="F2506" s="117" t="str">
        <x:v>No</x:v>
      </x:c>
      <x:c r="G2506" s="117" t="str">
        <x:v>No</x:v>
      </x:c>
      <x:c r="H2506" s="117" t="str">
        <x:v>Flow</x:v>
      </x:c>
      <x:c r="I2506" s="118" t="n">
        <x:v>57</x:v>
      </x:c>
      <x:c r="J2506" s="117" t="str">
        <x:v>unmanaged</x:v>
      </x:c>
      <x:c r="K2506" s="123" t="b">
        <x:v>0</x:v>
      </x:c>
      <x:c r="L2506" s="117"/>
      <x:c r="M2506" s="118"/>
      <x:c r="N2506" s="120" t="n">
        <x:v>45081.5883912037</x:v>
      </x:c>
      <x:c r="O2506" s="117" t="str">
        <x:v>Jace Gentil</x:v>
      </x:c>
      <x:c r="P2506" s="120" t="n">
        <x:v>45081.58846064815</x:v>
      </x:c>
      <x:c r="Q2506" s="117" t="str">
        <x:v>Jace Gentil</x:v>
      </x:c>
      <x:c r="R2506" s="117" t="str">
        <x:v>Refurb Test Asset Selection Screen Flow</x:v>
      </x:c>
      <x:c r="S2506" s="119"/>
    </x:row>
    <x:row r="2507" ht="30" customHeight="1">
      <x:c r="A2507" s="117" t="str">
        <x:v>Refurb_Test_Asset_Selection_Screen_Flow</x:v>
      </x:c>
      <x:c r="B2507" s="117" t="str">
        <x:v>3005b000000PyyOAAS</x:v>
      </x:c>
      <x:c r="C2507" s="117" t="str">
        <x:v>3015b000000W3fCAAS</x:v>
      </x:c>
      <x:c r="D2507" s="118" t="n">
        <x:v>3</x:v>
      </x:c>
      <x:c r="E2507" s="117" t="str">
        <x:v>Obsolete</x:v>
      </x:c>
      <x:c r="F2507" s="117" t="str">
        <x:v>No</x:v>
      </x:c>
      <x:c r="G2507" s="117" t="str">
        <x:v>No</x:v>
      </x:c>
      <x:c r="H2507" s="117" t="str">
        <x:v>Flow</x:v>
      </x:c>
      <x:c r="I2507" s="118" t="n">
        <x:v>57</x:v>
      </x:c>
      <x:c r="J2507" s="117" t="str">
        <x:v>unmanaged</x:v>
      </x:c>
      <x:c r="K2507" s="123" t="b">
        <x:v>0</x:v>
      </x:c>
      <x:c r="L2507" s="117"/>
      <x:c r="M2507" s="118"/>
      <x:c r="N2507" s="120" t="n">
        <x:v>45081.59841435185</x:v>
      </x:c>
      <x:c r="O2507" s="117" t="str">
        <x:v>Jace Gentil</x:v>
      </x:c>
      <x:c r="P2507" s="120" t="n">
        <x:v>45081.598449074074</x:v>
      </x:c>
      <x:c r="Q2507" s="117" t="str">
        <x:v>Jace Gentil</x:v>
      </x:c>
      <x:c r="R2507" s="117" t="str">
        <x:v>Refurb Test Asset Selection Screen Flow</x:v>
      </x:c>
      <x:c r="S2507" s="119"/>
    </x:row>
    <x:row r="2508" ht="30" customHeight="1">
      <x:c r="A2508" s="117" t="str">
        <x:v>Refurb_Test_Asset_Selection_Screen_Flow</x:v>
      </x:c>
      <x:c r="B2508" s="117" t="str">
        <x:v>3005b000000PyyOAAS</x:v>
      </x:c>
      <x:c r="C2508" s="117" t="str">
        <x:v>3015b000000W3fHAAS</x:v>
      </x:c>
      <x:c r="D2508" s="118" t="n">
        <x:v>4</x:v>
      </x:c>
      <x:c r="E2508" s="117" t="str">
        <x:v>Obsolete</x:v>
      </x:c>
      <x:c r="F2508" s="117" t="str">
        <x:v>No</x:v>
      </x:c>
      <x:c r="G2508" s="117" t="str">
        <x:v>No</x:v>
      </x:c>
      <x:c r="H2508" s="117" t="str">
        <x:v>Flow</x:v>
      </x:c>
      <x:c r="I2508" s="118" t="n">
        <x:v>57</x:v>
      </x:c>
      <x:c r="J2508" s="117" t="str">
        <x:v>unmanaged</x:v>
      </x:c>
      <x:c r="K2508" s="123" t="b">
        <x:v>0</x:v>
      </x:c>
      <x:c r="L2508" s="117"/>
      <x:c r="M2508" s="118"/>
      <x:c r="N2508" s="120" t="n">
        <x:v>45081.602222222224</x:v>
      </x:c>
      <x:c r="O2508" s="117" t="str">
        <x:v>Jace Gentil</x:v>
      </x:c>
      <x:c r="P2508" s="120" t="n">
        <x:v>45081.602268518516</x:v>
      </x:c>
      <x:c r="Q2508" s="117" t="str">
        <x:v>Jace Gentil</x:v>
      </x:c>
      <x:c r="R2508" s="117" t="str">
        <x:v>Refurb Test Asset Selection Screen Flow</x:v>
      </x:c>
      <x:c r="S2508" s="119"/>
    </x:row>
    <x:row r="2509" ht="30" customHeight="1">
      <x:c r="A2509" s="117" t="str">
        <x:v>Refurb_Test_Asset_Selection_Screen_Flow</x:v>
      </x:c>
      <x:c r="B2509" s="117" t="str">
        <x:v>3005b000000PyyOAAS</x:v>
      </x:c>
      <x:c r="C2509" s="117" t="str">
        <x:v>3015b000000W3fWAAS</x:v>
      </x:c>
      <x:c r="D2509" s="118" t="n">
        <x:v>5</x:v>
      </x:c>
      <x:c r="E2509" s="117" t="str">
        <x:v>Obsolete</x:v>
      </x:c>
      <x:c r="F2509" s="117" t="str">
        <x:v>No</x:v>
      </x:c>
      <x:c r="G2509" s="117" t="str">
        <x:v>No</x:v>
      </x:c>
      <x:c r="H2509" s="117" t="str">
        <x:v>Flow</x:v>
      </x:c>
      <x:c r="I2509" s="118" t="n">
        <x:v>57</x:v>
      </x:c>
      <x:c r="J2509" s="117" t="str">
        <x:v>unmanaged</x:v>
      </x:c>
      <x:c r="K2509" s="123" t="b">
        <x:v>0</x:v>
      </x:c>
      <x:c r="L2509" s="117"/>
      <x:c r="M2509" s="118"/>
      <x:c r="N2509" s="120" t="n">
        <x:v>45081.67644675926</x:v>
      </x:c>
      <x:c r="O2509" s="117" t="str">
        <x:v>Jace Gentil</x:v>
      </x:c>
      <x:c r="P2509" s="120" t="n">
        <x:v>45081.67648148148</x:v>
      </x:c>
      <x:c r="Q2509" s="117" t="str">
        <x:v>Jace Gentil</x:v>
      </x:c>
      <x:c r="R2509" s="117" t="str">
        <x:v>Refurb Test Asset Selection Screen Flow</x:v>
      </x:c>
      <x:c r="S2509" s="119"/>
    </x:row>
    <x:row r="2510" ht="30" customHeight="1">
      <x:c r="A2510" s="117" t="str">
        <x:v>Refurb_Test_Asset_Selection_Screen_Flow</x:v>
      </x:c>
      <x:c r="B2510" s="117" t="str">
        <x:v>3005b000000PyyOAAS</x:v>
      </x:c>
      <x:c r="C2510" s="117" t="str">
        <x:v>3015b000000W3iLAAS</x:v>
      </x:c>
      <x:c r="D2510" s="118" t="n">
        <x:v>6</x:v>
      </x:c>
      <x:c r="E2510" s="117" t="str">
        <x:v>Obsolete</x:v>
      </x:c>
      <x:c r="F2510" s="117" t="str">
        <x:v>No</x:v>
      </x:c>
      <x:c r="G2510" s="117" t="str">
        <x:v>No</x:v>
      </x:c>
      <x:c r="H2510" s="117" t="str">
        <x:v>Flow</x:v>
      </x:c>
      <x:c r="I2510" s="118" t="n">
        <x:v>57</x:v>
      </x:c>
      <x:c r="J2510" s="117" t="str">
        <x:v>unmanaged</x:v>
      </x:c>
      <x:c r="K2510" s="123" t="b">
        <x:v>0</x:v>
      </x:c>
      <x:c r="L2510" s="117"/>
      <x:c r="M2510" s="118"/>
      <x:c r="N2510" s="120" t="n">
        <x:v>45082.784953703704</x:v>
      </x:c>
      <x:c r="O2510" s="117" t="str">
        <x:v>Jace Gentil</x:v>
      </x:c>
      <x:c r="P2510" s="120" t="n">
        <x:v>45082.785</x:v>
      </x:c>
      <x:c r="Q2510" s="117" t="str">
        <x:v>Jace Gentil</x:v>
      </x:c>
      <x:c r="R2510" s="117" t="str">
        <x:v>Refurb Test Asset Selection Screen Flow</x:v>
      </x:c>
      <x:c r="S2510" s="119"/>
    </x:row>
    <x:row r="2511" ht="30" customHeight="1">
      <x:c r="A2511" s="117" t="str">
        <x:v>Refurb_Test_Asset_Selection_Screen_Flow</x:v>
      </x:c>
      <x:c r="B2511" s="117" t="str">
        <x:v>3005b000000PyyOAAS</x:v>
      </x:c>
      <x:c r="C2511" s="117" t="str">
        <x:v>3015b000000W3iQAAS</x:v>
      </x:c>
      <x:c r="D2511" s="118" t="n">
        <x:v>7</x:v>
      </x:c>
      <x:c r="E2511" s="117" t="str">
        <x:v>Obsolete</x:v>
      </x:c>
      <x:c r="F2511" s="117" t="str">
        <x:v>No</x:v>
      </x:c>
      <x:c r="G2511" s="117" t="str">
        <x:v>No</x:v>
      </x:c>
      <x:c r="H2511" s="117" t="str">
        <x:v>Flow</x:v>
      </x:c>
      <x:c r="I2511" s="118" t="n">
        <x:v>57</x:v>
      </x:c>
      <x:c r="J2511" s="117" t="str">
        <x:v>unmanaged</x:v>
      </x:c>
      <x:c r="K2511" s="123" t="b">
        <x:v>0</x:v>
      </x:c>
      <x:c r="L2511" s="117"/>
      <x:c r="M2511" s="118"/>
      <x:c r="N2511" s="120" t="n">
        <x:v>45082.7884837963</x:v>
      </x:c>
      <x:c r="O2511" s="117" t="str">
        <x:v>Jace Gentil</x:v>
      </x:c>
      <x:c r="P2511" s="120" t="n">
        <x:v>45082.78853009259</x:v>
      </x:c>
      <x:c r="Q2511" s="117" t="str">
        <x:v>Jace Gentil</x:v>
      </x:c>
      <x:c r="R2511" s="117" t="str">
        <x:v>Refurb Test Asset Selection Screen Flow</x:v>
      </x:c>
      <x:c r="S2511" s="119"/>
    </x:row>
    <x:row r="2512" ht="30" customHeight="1">
      <x:c r="A2512" s="117" t="str">
        <x:v>Refurb_Test_Asset_Selection_Screen_Flow</x:v>
      </x:c>
      <x:c r="B2512" s="117" t="str">
        <x:v>3005b000000PyyOAAS</x:v>
      </x:c>
      <x:c r="C2512" s="117" t="str">
        <x:v>3015b000000W3ipAAC</x:v>
      </x:c>
      <x:c r="D2512" s="118" t="n">
        <x:v>8</x:v>
      </x:c>
      <x:c r="E2512" s="117" t="str">
        <x:v>Obsolete</x:v>
      </x:c>
      <x:c r="F2512" s="117" t="str">
        <x:v>No</x:v>
      </x:c>
      <x:c r="G2512" s="117" t="str">
        <x:v>No</x:v>
      </x:c>
      <x:c r="H2512" s="117" t="str">
        <x:v>Flow</x:v>
      </x:c>
      <x:c r="I2512" s="118" t="n">
        <x:v>57</x:v>
      </x:c>
      <x:c r="J2512" s="117" t="str">
        <x:v>unmanaged</x:v>
      </x:c>
      <x:c r="K2512" s="123" t="b">
        <x:v>0</x:v>
      </x:c>
      <x:c r="L2512" s="117"/>
      <x:c r="M2512" s="118"/>
      <x:c r="N2512" s="120" t="n">
        <x:v>45082.813055555554</x:v>
      </x:c>
      <x:c r="O2512" s="117" t="str">
        <x:v>Jace Gentil</x:v>
      </x:c>
      <x:c r="P2512" s="120" t="n">
        <x:v>45082.813113425924</x:v>
      </x:c>
      <x:c r="Q2512" s="117" t="str">
        <x:v>Jace Gentil</x:v>
      </x:c>
      <x:c r="R2512" s="117" t="str">
        <x:v>Refurb Test Asset Selection Screen Flow</x:v>
      </x:c>
      <x:c r="S2512" s="119"/>
    </x:row>
    <x:row r="2513" ht="30" customHeight="1">
      <x:c r="A2513" s="117" t="str">
        <x:v>Refurb_Test_Asset_Selection_Screen_Flow</x:v>
      </x:c>
      <x:c r="B2513" s="117" t="str">
        <x:v>3005b000000PyyOAAS</x:v>
      </x:c>
      <x:c r="C2513" s="117" t="str">
        <x:v>3015b000000W3iuAAC</x:v>
      </x:c>
      <x:c r="D2513" s="118" t="n">
        <x:v>9</x:v>
      </x:c>
      <x:c r="E2513" s="117" t="str">
        <x:v>Obsolete</x:v>
      </x:c>
      <x:c r="F2513" s="117" t="str">
        <x:v>No</x:v>
      </x:c>
      <x:c r="G2513" s="117" t="str">
        <x:v>No</x:v>
      </x:c>
      <x:c r="H2513" s="117" t="str">
        <x:v>Flow</x:v>
      </x:c>
      <x:c r="I2513" s="118" t="n">
        <x:v>57</x:v>
      </x:c>
      <x:c r="J2513" s="117" t="str">
        <x:v>unmanaged</x:v>
      </x:c>
      <x:c r="K2513" s="123" t="b">
        <x:v>0</x:v>
      </x:c>
      <x:c r="L2513" s="117"/>
      <x:c r="M2513" s="118"/>
      <x:c r="N2513" s="120" t="n">
        <x:v>45082.81380787037</x:v>
      </x:c>
      <x:c r="O2513" s="117" t="str">
        <x:v>Jace Gentil</x:v>
      </x:c>
      <x:c r="P2513" s="120" t="n">
        <x:v>45082.81385416666</x:v>
      </x:c>
      <x:c r="Q2513" s="117" t="str">
        <x:v>Jace Gentil</x:v>
      </x:c>
      <x:c r="R2513" s="117" t="str">
        <x:v>Refurb Test Asset Selection Screen Flow</x:v>
      </x:c>
      <x:c r="S2513" s="119"/>
    </x:row>
    <x:row r="2514" ht="30" customHeight="1">
      <x:c r="A2514" s="117" t="str">
        <x:v>Refurb_Test_Asset_Selection_Screen_Flow</x:v>
      </x:c>
      <x:c r="B2514" s="117" t="str">
        <x:v>3005b000000PyyOAAS</x:v>
      </x:c>
      <x:c r="C2514" s="117" t="str">
        <x:v>3015b000000W41IAAS</x:v>
      </x:c>
      <x:c r="D2514" s="118" t="n">
        <x:v>10</x:v>
      </x:c>
      <x:c r="E2514" s="117" t="str">
        <x:v>Obsolete</x:v>
      </x:c>
      <x:c r="F2514" s="117" t="str">
        <x:v>No</x:v>
      </x:c>
      <x:c r="G2514" s="117" t="str">
        <x:v>No</x:v>
      </x:c>
      <x:c r="H2514" s="117" t="str">
        <x:v>Flow</x:v>
      </x:c>
      <x:c r="I2514" s="118" t="n">
        <x:v>57</x:v>
      </x:c>
      <x:c r="J2514" s="117" t="str">
        <x:v>unmanaged</x:v>
      </x:c>
      <x:c r="K2514" s="123" t="b">
        <x:v>0</x:v>
      </x:c>
      <x:c r="L2514" s="117"/>
      <x:c r="M2514" s="118"/>
      <x:c r="N2514" s="120" t="n">
        <x:v>45089.77761574074</x:v>
      </x:c>
      <x:c r="O2514" s="117" t="str">
        <x:v>Jace Gentil</x:v>
      </x:c>
      <x:c r="P2514" s="120" t="n">
        <x:v>45089.77769675926</x:v>
      </x:c>
      <x:c r="Q2514" s="117" t="str">
        <x:v>Jace Gentil</x:v>
      </x:c>
      <x:c r="R2514" s="117" t="str">
        <x:v>Refurb Test Asset Selection Screen Flow</x:v>
      </x:c>
      <x:c r="S2514" s="119"/>
    </x:row>
    <x:row r="2515" ht="30" customHeight="1">
      <x:c r="A2515" s="117" t="str">
        <x:v>Refurb_Test_Asset_Selection_Screen_Flow</x:v>
      </x:c>
      <x:c r="B2515" s="117" t="str">
        <x:v>3005b000000PyyOAAS</x:v>
      </x:c>
      <x:c r="C2515" s="117" t="str">
        <x:v>3015b000000ANSTAA4</x:v>
      </x:c>
      <x:c r="D2515" s="118" t="n">
        <x:v>11</x:v>
      </x:c>
      <x:c r="E2515" s="117" t="str">
        <x:v>Obsolete</x:v>
      </x:c>
      <x:c r="F2515" s="117" t="str">
        <x:v>No</x:v>
      </x:c>
      <x:c r="G2515" s="117" t="str">
        <x:v>No</x:v>
      </x:c>
      <x:c r="H2515" s="117" t="str">
        <x:v>Flow</x:v>
      </x:c>
      <x:c r="I2515" s="118" t="n">
        <x:v>57</x:v>
      </x:c>
      <x:c r="J2515" s="117" t="str">
        <x:v>unmanaged</x:v>
      </x:c>
      <x:c r="K2515" s="123" t="b">
        <x:v>0</x:v>
      </x:c>
      <x:c r="L2515" s="117"/>
      <x:c r="M2515" s="118"/>
      <x:c r="N2515" s="120" t="n">
        <x:v>45112.677037037036</x:v>
      </x:c>
      <x:c r="O2515" s="117" t="str">
        <x:v>Jace Gentil</x:v>
      </x:c>
      <x:c r="P2515" s="120" t="n">
        <x:v>45112.67710648148</x:v>
      </x:c>
      <x:c r="Q2515" s="117" t="str">
        <x:v>Jace Gentil</x:v>
      </x:c>
      <x:c r="R2515" s="117" t="str">
        <x:v>Refurb Test Asset Selection Screen Flow</x:v>
      </x:c>
      <x:c r="S2515" s="119"/>
    </x:row>
    <x:row r="2516" ht="30" customHeight="1">
      <x:c r="A2516" s="117" t="str">
        <x:v>Refurb_Test_Asset_Selection_Screen_Flow</x:v>
      </x:c>
      <x:c r="B2516" s="117" t="str">
        <x:v>3005b000000PyyOAAS</x:v>
      </x:c>
      <x:c r="C2516" s="117" t="str">
        <x:v>3015b000000ANgpAAG</x:v>
      </x:c>
      <x:c r="D2516" s="118" t="n">
        <x:v>12</x:v>
      </x:c>
      <x:c r="E2516" s="117" t="str">
        <x:v>Obsolete</x:v>
      </x:c>
      <x:c r="F2516" s="117" t="str">
        <x:v>No</x:v>
      </x:c>
      <x:c r="G2516" s="117" t="str">
        <x:v>No</x:v>
      </x:c>
      <x:c r="H2516" s="117" t="str">
        <x:v>Flow</x:v>
      </x:c>
      <x:c r="I2516" s="118" t="n">
        <x:v>57</x:v>
      </x:c>
      <x:c r="J2516" s="117" t="str">
        <x:v>unmanaged</x:v>
      </x:c>
      <x:c r="K2516" s="123" t="b">
        <x:v>0</x:v>
      </x:c>
      <x:c r="L2516" s="117"/>
      <x:c r="M2516" s="118"/>
      <x:c r="N2516" s="120" t="n">
        <x:v>45114.85621527778</x:v>
      </x:c>
      <x:c r="O2516" s="117" t="str">
        <x:v>Jace Gentil</x:v>
      </x:c>
      <x:c r="P2516" s="120" t="n">
        <x:v>45114.856261574074</x:v>
      </x:c>
      <x:c r="Q2516" s="117" t="str">
        <x:v>Jace Gentil</x:v>
      </x:c>
      <x:c r="R2516" s="117" t="str">
        <x:v>Refurb Test Asset Selection Screen Flow</x:v>
      </x:c>
      <x:c r="S2516" s="119"/>
    </x:row>
    <x:row r="2517" ht="30" customHeight="1">
      <x:c r="A2517" s="117" t="str">
        <x:v>Refurb_Test_Asset_Selection_Screen_Flow</x:v>
      </x:c>
      <x:c r="B2517" s="117" t="str">
        <x:v>3005b000000PyyOAAS</x:v>
      </x:c>
      <x:c r="C2517" s="117" t="str">
        <x:v>3015b000000ANmOAAW</x:v>
      </x:c>
      <x:c r="D2517" s="118" t="n">
        <x:v>13</x:v>
      </x:c>
      <x:c r="E2517" s="117" t="str">
        <x:v>Obsolete</x:v>
      </x:c>
      <x:c r="F2517" s="117" t="str">
        <x:v>No</x:v>
      </x:c>
      <x:c r="G2517" s="117" t="str">
        <x:v>No</x:v>
      </x:c>
      <x:c r="H2517" s="117" t="str">
        <x:v>Flow</x:v>
      </x:c>
      <x:c r="I2517" s="118" t="n">
        <x:v>57</x:v>
      </x:c>
      <x:c r="J2517" s="117" t="str">
        <x:v>unmanaged</x:v>
      </x:c>
      <x:c r="K2517" s="123" t="b">
        <x:v>0</x:v>
      </x:c>
      <x:c r="L2517" s="117"/>
      <x:c r="M2517" s="118"/>
      <x:c r="N2517" s="120" t="n">
        <x:v>45117.81025462963</x:v>
      </x:c>
      <x:c r="O2517" s="117" t="str">
        <x:v>Jace Gentil</x:v>
      </x:c>
      <x:c r="P2517" s="120" t="n">
        <x:v>45117.81033564815</x:v>
      </x:c>
      <x:c r="Q2517" s="117" t="str">
        <x:v>Jace Gentil</x:v>
      </x:c>
      <x:c r="R2517" s="117" t="str">
        <x:v>Refurb Test Asset Selection Screen Flow</x:v>
      </x:c>
      <x:c r="S2517" s="119"/>
    </x:row>
    <x:row r="2518" ht="30" customHeight="1">
      <x:c r="A2518" s="117" t="str">
        <x:v>Refurb_Test_Asset_Selection_Screen_Flow</x:v>
      </x:c>
      <x:c r="B2518" s="117" t="str">
        <x:v>3005b000000PyyOAAS</x:v>
      </x:c>
      <x:c r="C2518" s="117" t="str">
        <x:v>3015b000000APjvAAG</x:v>
      </x:c>
      <x:c r="D2518" s="118" t="n">
        <x:v>14</x:v>
      </x:c>
      <x:c r="E2518" s="117" t="str">
        <x:v>Obsolete</x:v>
      </x:c>
      <x:c r="F2518" s="117" t="str">
        <x:v>No</x:v>
      </x:c>
      <x:c r="G2518" s="117" t="str">
        <x:v>No</x:v>
      </x:c>
      <x:c r="H2518" s="117" t="str">
        <x:v>Flow</x:v>
      </x:c>
      <x:c r="I2518" s="118" t="n">
        <x:v>57</x:v>
      </x:c>
      <x:c r="J2518" s="117" t="str">
        <x:v>unmanaged</x:v>
      </x:c>
      <x:c r="K2518" s="123" t="b">
        <x:v>0</x:v>
      </x:c>
      <x:c r="L2518" s="117"/>
      <x:c r="M2518" s="118"/>
      <x:c r="N2518" s="120" t="n">
        <x:v>45146.40052083333</x:v>
      </x:c>
      <x:c r="O2518" s="117" t="str">
        <x:v>Jace Gentil</x:v>
      </x:c>
      <x:c r="P2518" s="120" t="n">
        <x:v>45146.4005787037</x:v>
      </x:c>
      <x:c r="Q2518" s="117" t="str">
        <x:v>Jace Gentil</x:v>
      </x:c>
      <x:c r="R2518" s="117" t="str">
        <x:v>Refurb Test Asset Selection Screen Flow</x:v>
      </x:c>
      <x:c r="S2518" s="119"/>
    </x:row>
    <x:row r="2519" ht="30" customHeight="1">
      <x:c r="A2519" s="117" t="str">
        <x:v>Refurb_Test_Asset_Selection_Screen_Flow</x:v>
      </x:c>
      <x:c r="B2519" s="117" t="str">
        <x:v>3005b000000PyyOAAS</x:v>
      </x:c>
      <x:c r="C2519" s="117" t="str">
        <x:v>3015b000000APk0AAG</x:v>
      </x:c>
      <x:c r="D2519" s="118" t="n">
        <x:v>15</x:v>
      </x:c>
      <x:c r="E2519" s="117" t="str">
        <x:v>Obsolete</x:v>
      </x:c>
      <x:c r="F2519" s="117" t="str">
        <x:v>No</x:v>
      </x:c>
      <x:c r="G2519" s="117" t="str">
        <x:v>No</x:v>
      </x:c>
      <x:c r="H2519" s="117" t="str">
        <x:v>Flow</x:v>
      </x:c>
      <x:c r="I2519" s="118" t="n">
        <x:v>57</x:v>
      </x:c>
      <x:c r="J2519" s="117" t="str">
        <x:v>unmanaged</x:v>
      </x:c>
      <x:c r="K2519" s="123" t="b">
        <x:v>0</x:v>
      </x:c>
      <x:c r="L2519" s="117"/>
      <x:c r="M2519" s="118"/>
      <x:c r="N2519" s="120" t="n">
        <x:v>45146.40436342593</x:v>
      </x:c>
      <x:c r="O2519" s="117" t="str">
        <x:v>Jace Gentil</x:v>
      </x:c>
      <x:c r="P2519" s="120" t="n">
        <x:v>45146.4044212963</x:v>
      </x:c>
      <x:c r="Q2519" s="117" t="str">
        <x:v>Jace Gentil</x:v>
      </x:c>
      <x:c r="R2519" s="117" t="str">
        <x:v>Refurb Test Asset Selection Screen Flow</x:v>
      </x:c>
      <x:c r="S2519" s="119"/>
    </x:row>
    <x:row r="2520" ht="30" customHeight="1">
      <x:c r="A2520" s="117" t="str">
        <x:v>Refurb_Test_Asset_Selection_Screen_Flow</x:v>
      </x:c>
      <x:c r="B2520" s="117" t="str">
        <x:v>3005b000000PyyOAAS</x:v>
      </x:c>
      <x:c r="C2520" s="117" t="str">
        <x:v>3015b000000APkKAAW</x:v>
      </x:c>
      <x:c r="D2520" s="118" t="n">
        <x:v>16</x:v>
      </x:c>
      <x:c r="E2520" s="117" t="str">
        <x:v>Obsolete</x:v>
      </x:c>
      <x:c r="F2520" s="117" t="str">
        <x:v>No</x:v>
      </x:c>
      <x:c r="G2520" s="117" t="str">
        <x:v>No</x:v>
      </x:c>
      <x:c r="H2520" s="117" t="str">
        <x:v>Flow</x:v>
      </x:c>
      <x:c r="I2520" s="118" t="n">
        <x:v>57</x:v>
      </x:c>
      <x:c r="J2520" s="117" t="str">
        <x:v>unmanaged</x:v>
      </x:c>
      <x:c r="K2520" s="123" t="b">
        <x:v>0</x:v>
      </x:c>
      <x:c r="L2520" s="117"/>
      <x:c r="M2520" s="118"/>
      <x:c r="N2520" s="120" t="n">
        <x:v>45146.408472222225</x:v>
      </x:c>
      <x:c r="O2520" s="117" t="str">
        <x:v>Jace Gentil</x:v>
      </x:c>
      <x:c r="P2520" s="120" t="n">
        <x:v>45146.40851851852</x:v>
      </x:c>
      <x:c r="Q2520" s="117" t="str">
        <x:v>Jace Gentil</x:v>
      </x:c>
      <x:c r="R2520" s="117" t="str">
        <x:v>Refurb Test Asset Selection Screen Flow</x:v>
      </x:c>
      <x:c r="S2520" s="119"/>
    </x:row>
    <x:row r="2521" ht="30" customHeight="1">
      <x:c r="A2521" s="117" t="str">
        <x:v>Refurb_Test_Asset_Selection_Screen_Flow</x:v>
      </x:c>
      <x:c r="B2521" s="117" t="str">
        <x:v>3005b000000PyyOAAS</x:v>
      </x:c>
      <x:c r="C2521" s="117" t="str">
        <x:v>3015b000000APkPAAW</x:v>
      </x:c>
      <x:c r="D2521" s="118" t="n">
        <x:v>17</x:v>
      </x:c>
      <x:c r="E2521" s="117" t="str">
        <x:v>Obsolete</x:v>
      </x:c>
      <x:c r="F2521" s="117" t="str">
        <x:v>No</x:v>
      </x:c>
      <x:c r="G2521" s="117" t="str">
        <x:v>No</x:v>
      </x:c>
      <x:c r="H2521" s="117" t="str">
        <x:v>Flow</x:v>
      </x:c>
      <x:c r="I2521" s="118" t="n">
        <x:v>57</x:v>
      </x:c>
      <x:c r="J2521" s="117" t="str">
        <x:v>unmanaged</x:v>
      </x:c>
      <x:c r="K2521" s="123" t="b">
        <x:v>0</x:v>
      </x:c>
      <x:c r="L2521" s="117"/>
      <x:c r="M2521" s="118"/>
      <x:c r="N2521" s="120" t="n">
        <x:v>45146.41065972222</x:v>
      </x:c>
      <x:c r="O2521" s="117" t="str">
        <x:v>Jace Gentil</x:v>
      </x:c>
      <x:c r="P2521" s="120" t="n">
        <x:v>45146.410729166666</x:v>
      </x:c>
      <x:c r="Q2521" s="117" t="str">
        <x:v>Jace Gentil</x:v>
      </x:c>
      <x:c r="R2521" s="117" t="str">
        <x:v>Refurb Test Asset Selection Screen Flow</x:v>
      </x:c>
      <x:c r="S2521" s="119"/>
    </x:row>
    <x:row r="2522" ht="30" customHeight="1">
      <x:c r="A2522" s="117" t="str">
        <x:v>Refurb_Test_Asset_Selection_Screen_Flow</x:v>
      </x:c>
      <x:c r="B2522" s="117" t="str">
        <x:v>3005b000000PyyOAAS</x:v>
      </x:c>
      <x:c r="C2522" s="117" t="str">
        <x:v>3015b000000APkZAAW</x:v>
      </x:c>
      <x:c r="D2522" s="118" t="n">
        <x:v>18</x:v>
      </x:c>
      <x:c r="E2522" s="117" t="str">
        <x:v>Active</x:v>
      </x:c>
      <x:c r="F2522" s="117" t="str">
        <x:v>Yes</x:v>
      </x:c>
      <x:c r="G2522" s="117" t="str">
        <x:v>Yes</x:v>
      </x:c>
      <x:c r="H2522" s="117" t="str">
        <x:v>Flow</x:v>
      </x:c>
      <x:c r="I2522" s="118" t="n">
        <x:v>57</x:v>
      </x:c>
      <x:c r="J2522" s="117" t="str">
        <x:v>unmanaged</x:v>
      </x:c>
      <x:c r="K2522" s="123" t="b">
        <x:v>0</x:v>
      </x:c>
      <x:c r="L2522" s="117"/>
      <x:c r="M2522" s="118"/>
      <x:c r="N2522" s="120" t="n">
        <x:v>45146.42149305555</x:v>
      </x:c>
      <x:c r="O2522" s="117" t="str">
        <x:v>Jace Gentil</x:v>
      </x:c>
      <x:c r="P2522" s="120" t="n">
        <x:v>45146.42155092592</x:v>
      </x:c>
      <x:c r="Q2522" s="117" t="str">
        <x:v>Jace Gentil</x:v>
      </x:c>
      <x:c r="R2522" s="117" t="str">
        <x:v>Refurb Test Asset Selection Screen Flow</x:v>
      </x:c>
      <x:c r="S2522" s="119"/>
    </x:row>
    <x:row r="2523" ht="30" customHeight="1">
      <x:c r="A2523" s="117" t="str">
        <x:v>Refurb_Test_Update_After_Save_Change_Owner_to_Engineer_on_Acceptance</x:v>
      </x:c>
      <x:c r="B2523" s="117" t="str">
        <x:v>300Ro00000z7Z2mIAE</x:v>
      </x:c>
      <x:c r="C2523" s="117" t="str">
        <x:v>301Ro000017ScWWIA0</x:v>
      </x:c>
      <x:c r="D2523" s="118" t="n">
        <x:v>1</x:v>
      </x:c>
      <x:c r="E2523" s="117" t="str">
        <x:v>Active</x:v>
      </x:c>
      <x:c r="F2523" s="117" t="str">
        <x:v>Yes</x:v>
      </x:c>
      <x:c r="G2523" s="117" t="str">
        <x:v>Yes</x:v>
      </x:c>
      <x:c r="H2523" s="117" t="str">
        <x:v>AutoLaunchedFlow</x:v>
      </x:c>
      <x:c r="I2523" s="118" t="n">
        <x:v>66</x:v>
      </x:c>
      <x:c r="J2523" s="117" t="str">
        <x:v>unmanaged</x:v>
      </x:c>
      <x:c r="K2523" s="123" t="b">
        <x:v>0</x:v>
      </x:c>
      <x:c r="L2523" s="117"/>
      <x:c r="M2523" s="118"/>
      <x:c r="N2523" s="120" t="n">
        <x:v>46176.35748842593</x:v>
      </x:c>
      <x:c r="O2523" s="117" t="str">
        <x:v>Sacha Pearce</x:v>
      </x:c>
      <x:c r="P2523" s="120" t="n">
        <x:v>46176.357569444444</x:v>
      </x:c>
      <x:c r="Q2523" s="117" t="str">
        <x:v>Sacha Pearce</x:v>
      </x:c>
      <x:c r="R2523" s="117" t="str">
        <x:v>Refurb Test - Update - After Save - Change Owner to Engineer on Acceptance</x:v>
      </x:c>
      <x:c r="S2523" s="119" t="str">
        <x:v>This Flow has been designed to update the "Owner" on Refurb Tests with the "Refrub Test - Lifecycle" Record Type when the "Status" is updated to "Workshop Investigation".</x:v>
      </x:c>
    </x:row>
    <x:row r="2524" ht="30" customHeight="1">
      <x:c r="A2524" s="117" t="str">
        <x:v>Refurb_Test_Update_Fields_FLow</x:v>
      </x:c>
      <x:c r="B2524" s="117" t="str">
        <x:v>3005b000000PzoZAAS</x:v>
      </x:c>
      <x:c r="C2524" s="117" t="str">
        <x:v>3015b000000W4SYAA0</x:v>
      </x:c>
      <x:c r="D2524" s="118" t="n">
        <x:v>1</x:v>
      </x:c>
      <x:c r="E2524" s="117" t="str">
        <x:v>Obsolete</x:v>
      </x:c>
      <x:c r="F2524" s="117" t="str">
        <x:v>No</x:v>
      </x:c>
      <x:c r="G2524" s="117" t="str">
        <x:v>No</x:v>
      </x:c>
      <x:c r="H2524" s="117" t="str">
        <x:v>AutoLaunchedFlow</x:v>
      </x:c>
      <x:c r="I2524" s="118" t="n">
        <x:v>57</x:v>
      </x:c>
      <x:c r="J2524" s="117" t="str">
        <x:v>unmanaged</x:v>
      </x:c>
      <x:c r="K2524" s="123" t="b">
        <x:v>0</x:v>
      </x:c>
      <x:c r="L2524" s="117"/>
      <x:c r="M2524" s="118"/>
      <x:c r="N2524" s="120" t="n">
        <x:v>45099.80297453704</x:v>
      </x:c>
      <x:c r="O2524" s="117" t="str">
        <x:v>Jace Gentil</x:v>
      </x:c>
      <x:c r="P2524" s="120" t="n">
        <x:v>45099.80302083334</x:v>
      </x:c>
      <x:c r="Q2524" s="117" t="str">
        <x:v>Jace Gentil</x:v>
      </x:c>
      <x:c r="R2524" s="117" t="str">
        <x:v>Refurb Test Update Fields FLow</x:v>
      </x:c>
      <x:c r="S2524" s="119"/>
    </x:row>
    <x:row r="2525" ht="30" customHeight="1">
      <x:c r="A2525" s="117" t="str">
        <x:v>Refurb_Test_Update_Fields_FLow</x:v>
      </x:c>
      <x:c r="B2525" s="117" t="str">
        <x:v>3005b000000PzoZAAS</x:v>
      </x:c>
      <x:c r="C2525" s="117" t="str">
        <x:v>3015b0000011KUMAA2</x:v>
      </x:c>
      <x:c r="D2525" s="118" t="n">
        <x:v>2</x:v>
      </x:c>
      <x:c r="E2525" s="117" t="str">
        <x:v>Obsolete</x:v>
      </x:c>
      <x:c r="F2525" s="117" t="str">
        <x:v>No</x:v>
      </x:c>
      <x:c r="G2525" s="117" t="str">
        <x:v>No</x:v>
      </x:c>
      <x:c r="H2525" s="117" t="str">
        <x:v>AutoLaunchedFlow</x:v>
      </x:c>
      <x:c r="I2525" s="118" t="n">
        <x:v>57</x:v>
      </x:c>
      <x:c r="J2525" s="117" t="str">
        <x:v>unmanaged</x:v>
      </x:c>
      <x:c r="K2525" s="123" t="b">
        <x:v>0</x:v>
      </x:c>
      <x:c r="L2525" s="117"/>
      <x:c r="M2525" s="118"/>
      <x:c r="N2525" s="120" t="n">
        <x:v>45204.743796296294</x:v>
      </x:c>
      <x:c r="O2525" s="117" t="str">
        <x:v>Jace Gentil</x:v>
      </x:c>
      <x:c r="P2525" s="120" t="n">
        <x:v>45204.74383101852</x:v>
      </x:c>
      <x:c r="Q2525" s="117" t="str">
        <x:v>Jace Gentil</x:v>
      </x:c>
      <x:c r="R2525" s="117" t="str">
        <x:v>Refurb Test Update Fields FLow</x:v>
      </x:c>
      <x:c r="S2525" s="119"/>
    </x:row>
    <x:row r="2526" ht="30" customHeight="1">
      <x:c r="A2526" s="117" t="str">
        <x:v>Refurb_Test_Update_Fields_FLow</x:v>
      </x:c>
      <x:c r="B2526" s="117" t="str">
        <x:v>3005b000000PzoZAAS</x:v>
      </x:c>
      <x:c r="C2526" s="117" t="str">
        <x:v>3015b0000011KXGAA2</x:v>
      </x:c>
      <x:c r="D2526" s="118" t="n">
        <x:v>3</x:v>
      </x:c>
      <x:c r="E2526" s="117" t="str">
        <x:v>Obsolete</x:v>
      </x:c>
      <x:c r="F2526" s="117" t="str">
        <x:v>No</x:v>
      </x:c>
      <x:c r="G2526" s="117" t="str">
        <x:v>No</x:v>
      </x:c>
      <x:c r="H2526" s="117" t="str">
        <x:v>AutoLaunchedFlow</x:v>
      </x:c>
      <x:c r="I2526" s="118" t="n">
        <x:v>57</x:v>
      </x:c>
      <x:c r="J2526" s="117" t="str">
        <x:v>unmanaged</x:v>
      </x:c>
      <x:c r="K2526" s="123" t="b">
        <x:v>0</x:v>
      </x:c>
      <x:c r="L2526" s="117"/>
      <x:c r="M2526" s="118"/>
      <x:c r="N2526" s="120" t="n">
        <x:v>45205.582233796296</x:v>
      </x:c>
      <x:c r="O2526" s="117" t="str">
        <x:v>Jace Gentil</x:v>
      </x:c>
      <x:c r="P2526" s="120" t="n">
        <x:v>45205.582280092596</x:v>
      </x:c>
      <x:c r="Q2526" s="117" t="str">
        <x:v>Jace Gentil</x:v>
      </x:c>
      <x:c r="R2526" s="117" t="str">
        <x:v>Refurb Test Update Fields FLow</x:v>
      </x:c>
      <x:c r="S2526" s="119"/>
    </x:row>
    <x:row r="2527" ht="30" customHeight="1">
      <x:c r="A2527" s="117" t="str">
        <x:v>Refurb_Test_Update_Fields_FLow</x:v>
      </x:c>
      <x:c r="B2527" s="117" t="str">
        <x:v>3005b000000PzoZAAS</x:v>
      </x:c>
      <x:c r="C2527" s="117" t="str">
        <x:v>3015b0000011N4WAAU</x:v>
      </x:c>
      <x:c r="D2527" s="118" t="n">
        <x:v>4</x:v>
      </x:c>
      <x:c r="E2527" s="117" t="str">
        <x:v>Obsolete</x:v>
      </x:c>
      <x:c r="F2527" s="117" t="str">
        <x:v>No</x:v>
      </x:c>
      <x:c r="G2527" s="117" t="str">
        <x:v>No</x:v>
      </x:c>
      <x:c r="H2527" s="117" t="str">
        <x:v>AutoLaunchedFlow</x:v>
      </x:c>
      <x:c r="I2527" s="118" t="n">
        <x:v>57</x:v>
      </x:c>
      <x:c r="J2527" s="117" t="str">
        <x:v>unmanaged</x:v>
      </x:c>
      <x:c r="K2527" s="123" t="b">
        <x:v>0</x:v>
      </x:c>
      <x:c r="L2527" s="117"/>
      <x:c r="M2527" s="118"/>
      <x:c r="N2527" s="120" t="n">
        <x:v>45299.81596064815</x:v>
      </x:c>
      <x:c r="O2527" s="117" t="str">
        <x:v>Jace Gentil</x:v>
      </x:c>
      <x:c r="P2527" s="120" t="n">
        <x:v>45299.81600694444</x:v>
      </x:c>
      <x:c r="Q2527" s="117" t="str">
        <x:v>Jace Gentil</x:v>
      </x:c>
      <x:c r="R2527" s="117" t="str">
        <x:v>Refurb Test Update Fields FLow</x:v>
      </x:c>
      <x:c r="S2527" s="119"/>
    </x:row>
    <x:row r="2528" ht="30" customHeight="1">
      <x:c r="A2528" s="117" t="str">
        <x:v>Refurb_Test_Update_Fields_FLow</x:v>
      </x:c>
      <x:c r="B2528" s="117" t="str">
        <x:v>3005b000000PzoZAAS</x:v>
      </x:c>
      <x:c r="C2528" s="117" t="str">
        <x:v>3015b0000011N4bAAE</x:v>
      </x:c>
      <x:c r="D2528" s="118" t="n">
        <x:v>5</x:v>
      </x:c>
      <x:c r="E2528" s="117" t="str">
        <x:v>Obsolete</x:v>
      </x:c>
      <x:c r="F2528" s="117" t="str">
        <x:v>No</x:v>
      </x:c>
      <x:c r="G2528" s="117" t="str">
        <x:v>No</x:v>
      </x:c>
      <x:c r="H2528" s="117" t="str">
        <x:v>AutoLaunchedFlow</x:v>
      </x:c>
      <x:c r="I2528" s="118" t="n">
        <x:v>57</x:v>
      </x:c>
      <x:c r="J2528" s="117" t="str">
        <x:v>unmanaged</x:v>
      </x:c>
      <x:c r="K2528" s="123" t="b">
        <x:v>0</x:v>
      </x:c>
      <x:c r="L2528" s="117"/>
      <x:c r="M2528" s="118"/>
      <x:c r="N2528" s="120" t="n">
        <x:v>45299.81810185185</x:v>
      </x:c>
      <x:c r="O2528" s="117" t="str">
        <x:v>Jace Gentil</x:v>
      </x:c>
      <x:c r="P2528" s="120" t="n">
        <x:v>45299.818136574075</x:v>
      </x:c>
      <x:c r="Q2528" s="117" t="str">
        <x:v>Jace Gentil</x:v>
      </x:c>
      <x:c r="R2528" s="117" t="str">
        <x:v>Refurb Test Update Fields FLow</x:v>
      </x:c>
      <x:c r="S2528" s="119"/>
    </x:row>
    <x:row r="2529" ht="30" customHeight="1">
      <x:c r="A2529" s="117" t="str">
        <x:v>Refurb_Test_Update_Fields_FLow</x:v>
      </x:c>
      <x:c r="B2529" s="117" t="str">
        <x:v>3005b000000PzoZAAS</x:v>
      </x:c>
      <x:c r="C2529" s="117" t="str">
        <x:v>3015b0000011N4gAAE</x:v>
      </x:c>
      <x:c r="D2529" s="118" t="n">
        <x:v>6</x:v>
      </x:c>
      <x:c r="E2529" s="117" t="str">
        <x:v>Obsolete</x:v>
      </x:c>
      <x:c r="F2529" s="117" t="str">
        <x:v>No</x:v>
      </x:c>
      <x:c r="G2529" s="117" t="str">
        <x:v>No</x:v>
      </x:c>
      <x:c r="H2529" s="117" t="str">
        <x:v>AutoLaunchedFlow</x:v>
      </x:c>
      <x:c r="I2529" s="118" t="n">
        <x:v>57</x:v>
      </x:c>
      <x:c r="J2529" s="117" t="str">
        <x:v>unmanaged</x:v>
      </x:c>
      <x:c r="K2529" s="123" t="b">
        <x:v>0</x:v>
      </x:c>
      <x:c r="L2529" s="117"/>
      <x:c r="M2529" s="118"/>
      <x:c r="N2529" s="120" t="n">
        <x:v>45299.81853009259</x:v>
      </x:c>
      <x:c r="O2529" s="117" t="str">
        <x:v>Jace Gentil</x:v>
      </x:c>
      <x:c r="P2529" s="120" t="n">
        <x:v>45299.81857638889</x:v>
      </x:c>
      <x:c r="Q2529" s="117" t="str">
        <x:v>Jace Gentil</x:v>
      </x:c>
      <x:c r="R2529" s="117" t="str">
        <x:v>Refurb Test Update Fields FLow</x:v>
      </x:c>
      <x:c r="S2529" s="119"/>
    </x:row>
    <x:row r="2530" ht="30" customHeight="1">
      <x:c r="A2530" s="117" t="str">
        <x:v>Refurb_Test_Update_Fields_FLow</x:v>
      </x:c>
      <x:c r="B2530" s="117" t="str">
        <x:v>3005b000000PzoZAAS</x:v>
      </x:c>
      <x:c r="C2530" s="117" t="str">
        <x:v>3015b0000011N4lAAE</x:v>
      </x:c>
      <x:c r="D2530" s="118" t="n">
        <x:v>7</x:v>
      </x:c>
      <x:c r="E2530" s="117" t="str">
        <x:v>Obsolete</x:v>
      </x:c>
      <x:c r="F2530" s="117" t="str">
        <x:v>No</x:v>
      </x:c>
      <x:c r="G2530" s="117" t="str">
        <x:v>No</x:v>
      </x:c>
      <x:c r="H2530" s="117" t="str">
        <x:v>AutoLaunchedFlow</x:v>
      </x:c>
      <x:c r="I2530" s="118" t="n">
        <x:v>57</x:v>
      </x:c>
      <x:c r="J2530" s="117" t="str">
        <x:v>unmanaged</x:v>
      </x:c>
      <x:c r="K2530" s="123" t="b">
        <x:v>0</x:v>
      </x:c>
      <x:c r="L2530" s="117"/>
      <x:c r="M2530" s="118"/>
      <x:c r="N2530" s="120" t="n">
        <x:v>45299.82016203704</x:v>
      </x:c>
      <x:c r="O2530" s="117" t="str">
        <x:v>Jace Gentil</x:v>
      </x:c>
      <x:c r="P2530" s="120" t="n">
        <x:v>45299.8202662037</x:v>
      </x:c>
      <x:c r="Q2530" s="117" t="str">
        <x:v>Jace Gentil</x:v>
      </x:c>
      <x:c r="R2530" s="117" t="str">
        <x:v>Refurb Test Update Fields FLow</x:v>
      </x:c>
      <x:c r="S2530" s="119"/>
    </x:row>
    <x:row r="2531" ht="30" customHeight="1">
      <x:c r="A2531" s="117" t="str">
        <x:v>Refurb_Test_Update_Fields_FLow</x:v>
      </x:c>
      <x:c r="B2531" s="117" t="str">
        <x:v>3005b000000PzoZAAS</x:v>
      </x:c>
      <x:c r="C2531" s="117" t="str">
        <x:v>3015b0000011N55AAE</x:v>
      </x:c>
      <x:c r="D2531" s="118" t="n">
        <x:v>8</x:v>
      </x:c>
      <x:c r="E2531" s="117" t="str">
        <x:v>Obsolete</x:v>
      </x:c>
      <x:c r="F2531" s="117" t="str">
        <x:v>No</x:v>
      </x:c>
      <x:c r="G2531" s="117" t="str">
        <x:v>No</x:v>
      </x:c>
      <x:c r="H2531" s="117" t="str">
        <x:v>AutoLaunchedFlow</x:v>
      </x:c>
      <x:c r="I2531" s="118" t="n">
        <x:v>57</x:v>
      </x:c>
      <x:c r="J2531" s="117" t="str">
        <x:v>unmanaged</x:v>
      </x:c>
      <x:c r="K2531" s="123" t="b">
        <x:v>0</x:v>
      </x:c>
      <x:c r="L2531" s="117"/>
      <x:c r="M2531" s="118"/>
      <x:c r="N2531" s="120" t="n">
        <x:v>45300.62106481481</x:v>
      </x:c>
      <x:c r="O2531" s="117" t="str">
        <x:v>Jace Gentil</x:v>
      </x:c>
      <x:c r="P2531" s="120" t="n">
        <x:v>45300.62111111111</x:v>
      </x:c>
      <x:c r="Q2531" s="117" t="str">
        <x:v>Jace Gentil</x:v>
      </x:c>
      <x:c r="R2531" s="117" t="str">
        <x:v>Refurb Test Update Fields FLow</x:v>
      </x:c>
      <x:c r="S2531" s="119"/>
    </x:row>
    <x:row r="2532" ht="30" customHeight="1">
      <x:c r="A2532" s="117" t="str">
        <x:v>Refurb_Test_Update_Fields_FLow</x:v>
      </x:c>
      <x:c r="B2532" s="117" t="str">
        <x:v>3005b000000PzoZAAS</x:v>
      </x:c>
      <x:c r="C2532" s="117" t="str">
        <x:v>3015b0000011N5AAAU</x:v>
      </x:c>
      <x:c r="D2532" s="118" t="n">
        <x:v>9</x:v>
      </x:c>
      <x:c r="E2532" s="117" t="str">
        <x:v>Obsolete</x:v>
      </x:c>
      <x:c r="F2532" s="117" t="str">
        <x:v>No</x:v>
      </x:c>
      <x:c r="G2532" s="117" t="str">
        <x:v>No</x:v>
      </x:c>
      <x:c r="H2532" s="117" t="str">
        <x:v>AutoLaunchedFlow</x:v>
      </x:c>
      <x:c r="I2532" s="118" t="n">
        <x:v>57</x:v>
      </x:c>
      <x:c r="J2532" s="117" t="str">
        <x:v>unmanaged</x:v>
      </x:c>
      <x:c r="K2532" s="123" t="b">
        <x:v>0</x:v>
      </x:c>
      <x:c r="L2532" s="117"/>
      <x:c r="M2532" s="118"/>
      <x:c r="N2532" s="120" t="n">
        <x:v>45300.62877314815</x:v>
      </x:c>
      <x:c r="O2532" s="117" t="str">
        <x:v>Jace Gentil</x:v>
      </x:c>
      <x:c r="P2532" s="120" t="n">
        <x:v>45300.62880787037</x:v>
      </x:c>
      <x:c r="Q2532" s="117" t="str">
        <x:v>Jace Gentil</x:v>
      </x:c>
      <x:c r="R2532" s="117" t="str">
        <x:v>Refurb Test Update Fields FLow</x:v>
      </x:c>
      <x:c r="S2532" s="119"/>
    </x:row>
    <x:row r="2533" ht="30" customHeight="1">
      <x:c r="A2533" s="117" t="str">
        <x:v>Refurb_Test_Update_Fields_FLow</x:v>
      </x:c>
      <x:c r="B2533" s="117" t="str">
        <x:v>3005b000000PzoZAAS</x:v>
      </x:c>
      <x:c r="C2533" s="117" t="str">
        <x:v>301Ro00000xqlfBIAQ</x:v>
      </x:c>
      <x:c r="D2533" s="118" t="n">
        <x:v>10</x:v>
      </x:c>
      <x:c r="E2533" s="117" t="str">
        <x:v>Active</x:v>
      </x:c>
      <x:c r="F2533" s="117" t="str">
        <x:v>Yes</x:v>
      </x:c>
      <x:c r="G2533" s="117" t="str">
        <x:v>Yes</x:v>
      </x:c>
      <x:c r="H2533" s="117" t="str">
        <x:v>AutoLaunchedFlow</x:v>
      </x:c>
      <x:c r="I2533" s="118" t="n">
        <x:v>57</x:v>
      </x:c>
      <x:c r="J2533" s="117" t="str">
        <x:v>unmanaged</x:v>
      </x:c>
      <x:c r="K2533" s="123" t="b">
        <x:v>0</x:v>
      </x:c>
      <x:c r="L2533" s="117"/>
      <x:c r="M2533" s="118"/>
      <x:c r="N2533" s="120" t="n">
        <x:v>46062.47386574074</x:v>
      </x:c>
      <x:c r="O2533" s="117" t="str">
        <x:v>Sacha Pearce</x:v>
      </x:c>
      <x:c r="P2533" s="120" t="n">
        <x:v>46062.47394675926</x:v>
      </x:c>
      <x:c r="Q2533" s="117" t="str">
        <x:v>Sacha Pearce</x:v>
      </x:c>
      <x:c r="R2533" s="117" t="str">
        <x:v>Refurb Test Update Fields FLow</x:v>
      </x:c>
      <x:c r="S2533" s="119" t="str">
        <x:v>09/02/2026 - SP - Excluding the "Refurb Test - Lifecycle" Record Type (012Ro000005oXYzIAM) from the entry criteria</x:v>
      </x:c>
    </x:row>
    <x:row r="2534" ht="30" customHeight="1">
      <x:c r="A2534" s="117" t="str">
        <x:v>Register_System_Lead_with_Mindray_Button_Flow</x:v>
      </x:c>
      <x:c r="B2534" s="117" t="str">
        <x:v>3005b000000PzkmAAC</x:v>
      </x:c>
      <x:c r="C2534" s="117" t="str">
        <x:v>3015b000000W3QbAAK</x:v>
      </x:c>
      <x:c r="D2534" s="118" t="n">
        <x:v>1</x:v>
      </x:c>
      <x:c r="E2534" s="117" t="str">
        <x:v>Obsolete</x:v>
      </x:c>
      <x:c r="F2534" s="117" t="str">
        <x:v>No</x:v>
      </x:c>
      <x:c r="G2534" s="117" t="str">
        <x:v>No</x:v>
      </x:c>
      <x:c r="H2534" s="117" t="str">
        <x:v>Flow</x:v>
      </x:c>
      <x:c r="I2534" s="118" t="n">
        <x:v>57</x:v>
      </x:c>
      <x:c r="J2534" s="117" t="str">
        <x:v>unmanaged</x:v>
      </x:c>
      <x:c r="K2534" s="123" t="b">
        <x:v>0</x:v>
      </x:c>
      <x:c r="L2534" s="117"/>
      <x:c r="M2534" s="118"/>
      <x:c r="N2534" s="120" t="n">
        <x:v>45071.760358796295</x:v>
      </x:c>
      <x:c r="O2534" s="117" t="str">
        <x:v>Jace Gentil</x:v>
      </x:c>
      <x:c r="P2534" s="120" t="n">
        <x:v>45071.760567129626</x:v>
      </x:c>
      <x:c r="Q2534" s="117" t="str">
        <x:v>Jace Gentil</x:v>
      </x:c>
      <x:c r="R2534" s="117" t="str">
        <x:v>Register System Lead with Mindray Button Flow</x:v>
      </x:c>
      <x:c r="S2534" s="119"/>
    </x:row>
    <x:row r="2535" ht="30" customHeight="1">
      <x:c r="A2535" s="117" t="str">
        <x:v>Register_System_Lead_with_Mindray_Button_Flow</x:v>
      </x:c>
      <x:c r="B2535" s="117" t="str">
        <x:v>3005b000000PzkmAAC</x:v>
      </x:c>
      <x:c r="C2535" s="117" t="str">
        <x:v>3015b000000W3QgAAK</x:v>
      </x:c>
      <x:c r="D2535" s="118" t="n">
        <x:v>2</x:v>
      </x:c>
      <x:c r="E2535" s="117" t="str">
        <x:v>Obsolete</x:v>
      </x:c>
      <x:c r="F2535" s="117" t="str">
        <x:v>No</x:v>
      </x:c>
      <x:c r="G2535" s="117" t="str">
        <x:v>No</x:v>
      </x:c>
      <x:c r="H2535" s="117" t="str">
        <x:v>Flow</x:v>
      </x:c>
      <x:c r="I2535" s="118" t="n">
        <x:v>57</x:v>
      </x:c>
      <x:c r="J2535" s="117" t="str">
        <x:v>unmanaged</x:v>
      </x:c>
      <x:c r="K2535" s="123" t="b">
        <x:v>0</x:v>
      </x:c>
      <x:c r="L2535" s="117"/>
      <x:c r="M2535" s="118"/>
      <x:c r="N2535" s="120" t="n">
        <x:v>45071.763194444444</x:v>
      </x:c>
      <x:c r="O2535" s="117" t="str">
        <x:v>Jace Gentil</x:v>
      </x:c>
      <x:c r="P2535" s="120" t="n">
        <x:v>45071.76325231481</x:v>
      </x:c>
      <x:c r="Q2535" s="117" t="str">
        <x:v>Jace Gentil</x:v>
      </x:c>
      <x:c r="R2535" s="117" t="str">
        <x:v>Register System Lead with Mindray Button Flow</x:v>
      </x:c>
      <x:c r="S2535" s="119"/>
    </x:row>
    <x:row r="2536" ht="30" customHeight="1">
      <x:c r="A2536" s="117" t="str">
        <x:v>Register_System_Lead_with_Mindray_Button_Flow</x:v>
      </x:c>
      <x:c r="B2536" s="117" t="str">
        <x:v>3005b000000PzkmAAC</x:v>
      </x:c>
      <x:c r="C2536" s="117" t="str">
        <x:v>3015b000000AOYrAAO</x:v>
      </x:c>
      <x:c r="D2536" s="118" t="n">
        <x:v>3</x:v>
      </x:c>
      <x:c r="E2536" s="117" t="str">
        <x:v>Obsolete</x:v>
      </x:c>
      <x:c r="F2536" s="117" t="str">
        <x:v>No</x:v>
      </x:c>
      <x:c r="G2536" s="117" t="str">
        <x:v>No</x:v>
      </x:c>
      <x:c r="H2536" s="117" t="str">
        <x:v>Flow</x:v>
      </x:c>
      <x:c r="I2536" s="118" t="n">
        <x:v>57</x:v>
      </x:c>
      <x:c r="J2536" s="117" t="str">
        <x:v>unmanaged</x:v>
      </x:c>
      <x:c r="K2536" s="123" t="b">
        <x:v>0</x:v>
      </x:c>
      <x:c r="L2536" s="117" t="str">
        <x:v>SystemModeWithoutSharing</x:v>
      </x:c>
      <x:c r="M2536" s="118"/>
      <x:c r="N2536" s="120" t="n">
        <x:v>45127.79859953704</x:v>
      </x:c>
      <x:c r="O2536" s="117" t="str">
        <x:v>Jace Gentil</x:v>
      </x:c>
      <x:c r="P2536" s="120" t="n">
        <x:v>45127.80310185185</x:v>
      </x:c>
      <x:c r="Q2536" s="117" t="str">
        <x:v>Jace Gentil</x:v>
      </x:c>
      <x:c r="R2536" s="117" t="str">
        <x:v>Register System Lead with Mindray Button Flow UPDATED</x:v>
      </x:c>
      <x:c r="S2536" s="119"/>
    </x:row>
    <x:row r="2537" ht="30" customHeight="1">
      <x:c r="A2537" s="117" t="str">
        <x:v>Register_System_Lead_with_Mindray_Button_Flow</x:v>
      </x:c>
      <x:c r="B2537" s="117" t="str">
        <x:v>3005b000000PzkmAAC</x:v>
      </x:c>
      <x:c r="C2537" s="117" t="str">
        <x:v>3015b000000AOd3AAG</x:v>
      </x:c>
      <x:c r="D2537" s="118" t="n">
        <x:v>4</x:v>
      </x:c>
      <x:c r="E2537" s="117" t="str">
        <x:v>Obsolete</x:v>
      </x:c>
      <x:c r="F2537" s="117" t="str">
        <x:v>No</x:v>
      </x:c>
      <x:c r="G2537" s="117" t="str">
        <x:v>No</x:v>
      </x:c>
      <x:c r="H2537" s="117" t="str">
        <x:v>Flow</x:v>
      </x:c>
      <x:c r="I2537" s="118" t="n">
        <x:v>57</x:v>
      </x:c>
      <x:c r="J2537" s="117" t="str">
        <x:v>unmanaged</x:v>
      </x:c>
      <x:c r="K2537" s="123" t="b">
        <x:v>0</x:v>
      </x:c>
      <x:c r="L2537" s="117" t="str">
        <x:v>SystemModeWithoutSharing</x:v>
      </x:c>
      <x:c r="M2537" s="118"/>
      <x:c r="N2537" s="120" t="n">
        <x:v>45128.8859375</x:v>
      </x:c>
      <x:c r="O2537" s="117" t="str">
        <x:v>Jace Gentil</x:v>
      </x:c>
      <x:c r="P2537" s="120" t="n">
        <x:v>45128.88600694444</x:v>
      </x:c>
      <x:c r="Q2537" s="117" t="str">
        <x:v>Jace Gentil</x:v>
      </x:c>
      <x:c r="R2537" s="117" t="str">
        <x:v>Register System Lead with Mindray Button Flow UPDATED</x:v>
      </x:c>
      <x:c r="S2537" s="119"/>
    </x:row>
    <x:row r="2538" ht="30" customHeight="1">
      <x:c r="A2538" s="117" t="str">
        <x:v>Register_System_Lead_with_Mindray_Button_Flow</x:v>
      </x:c>
      <x:c r="B2538" s="117" t="str">
        <x:v>3005b000000PzkmAAC</x:v>
      </x:c>
      <x:c r="C2538" s="117" t="str">
        <x:v>3015b000000AOvgAAG</x:v>
      </x:c>
      <x:c r="D2538" s="118" t="n">
        <x:v>5</x:v>
      </x:c>
      <x:c r="E2538" s="117" t="str">
        <x:v>Obsolete</x:v>
      </x:c>
      <x:c r="F2538" s="117" t="str">
        <x:v>No</x:v>
      </x:c>
      <x:c r="G2538" s="117" t="str">
        <x:v>No</x:v>
      </x:c>
      <x:c r="H2538" s="117" t="str">
        <x:v>Flow</x:v>
      </x:c>
      <x:c r="I2538" s="118" t="n">
        <x:v>57</x:v>
      </x:c>
      <x:c r="J2538" s="117" t="str">
        <x:v>unmanaged</x:v>
      </x:c>
      <x:c r="K2538" s="123" t="b">
        <x:v>0</x:v>
      </x:c>
      <x:c r="L2538" s="117" t="str">
        <x:v>SystemModeWithoutSharing</x:v>
      </x:c>
      <x:c r="M2538" s="118"/>
      <x:c r="N2538" s="120" t="n">
        <x:v>45133.59789351852</x:v>
      </x:c>
      <x:c r="O2538" s="117" t="str">
        <x:v>Jace Gentil</x:v>
      </x:c>
      <x:c r="P2538" s="120" t="n">
        <x:v>45133.597962962966</x:v>
      </x:c>
      <x:c r="Q2538" s="117" t="str">
        <x:v>Jace Gentil</x:v>
      </x:c>
      <x:c r="R2538" s="117" t="str">
        <x:v>Register System Lead with Mindray Button Flow UPDATED</x:v>
      </x:c>
      <x:c r="S2538" s="119"/>
    </x:row>
    <x:row r="2539" ht="30" customHeight="1">
      <x:c r="A2539" s="117" t="str">
        <x:v>Register_System_Lead_with_Mindray_Button_Flow</x:v>
      </x:c>
      <x:c r="B2539" s="117" t="str">
        <x:v>3005b000000PzkmAAC</x:v>
      </x:c>
      <x:c r="C2539" s="117" t="str">
        <x:v>3015b000000APi9AAG</x:v>
      </x:c>
      <x:c r="D2539" s="118" t="n">
        <x:v>6</x:v>
      </x:c>
      <x:c r="E2539" s="117" t="str">
        <x:v>Obsolete</x:v>
      </x:c>
      <x:c r="F2539" s="117" t="str">
        <x:v>No</x:v>
      </x:c>
      <x:c r="G2539" s="117" t="str">
        <x:v>No</x:v>
      </x:c>
      <x:c r="H2539" s="117" t="str">
        <x:v>Flow</x:v>
      </x:c>
      <x:c r="I2539" s="118" t="n">
        <x:v>57</x:v>
      </x:c>
      <x:c r="J2539" s="117" t="str">
        <x:v>unmanaged</x:v>
      </x:c>
      <x:c r="K2539" s="123" t="b">
        <x:v>0</x:v>
      </x:c>
      <x:c r="L2539" s="117" t="str">
        <x:v>SystemModeWithoutSharing</x:v>
      </x:c>
      <x:c r="M2539" s="118"/>
      <x:c r="N2539" s="120" t="n">
        <x:v>45145.78771990741</x:v>
      </x:c>
      <x:c r="O2539" s="117" t="str">
        <x:v>Jace Gentil</x:v>
      </x:c>
      <x:c r="P2539" s="120" t="n">
        <x:v>45145.78780092593</x:v>
      </x:c>
      <x:c r="Q2539" s="117" t="str">
        <x:v>Jace Gentil</x:v>
      </x:c>
      <x:c r="R2539" s="117" t="str">
        <x:v>Register System Lead with Mindray Button Flow UPDATED</x:v>
      </x:c>
      <x:c r="S2539" s="119"/>
    </x:row>
    <x:row r="2540" ht="30" customHeight="1">
      <x:c r="A2540" s="117" t="str">
        <x:v>Register_System_Lead_with_Mindray_Button_Flow</x:v>
      </x:c>
      <x:c r="B2540" s="117" t="str">
        <x:v>3005b000000PzkmAAC</x:v>
      </x:c>
      <x:c r="C2540" s="117" t="str">
        <x:v>3015b000000ARDwAAO</x:v>
      </x:c>
      <x:c r="D2540" s="118" t="n">
        <x:v>7</x:v>
      </x:c>
      <x:c r="E2540" s="117" t="str">
        <x:v>Obsolete</x:v>
      </x:c>
      <x:c r="F2540" s="117" t="str">
        <x:v>No</x:v>
      </x:c>
      <x:c r="G2540" s="117" t="str">
        <x:v>No</x:v>
      </x:c>
      <x:c r="H2540" s="117" t="str">
        <x:v>Flow</x:v>
      </x:c>
      <x:c r="I2540" s="118" t="n">
        <x:v>57</x:v>
      </x:c>
      <x:c r="J2540" s="117" t="str">
        <x:v>unmanaged</x:v>
      </x:c>
      <x:c r="K2540" s="123" t="b">
        <x:v>0</x:v>
      </x:c>
      <x:c r="L2540" s="117" t="str">
        <x:v>SystemModeWithoutSharing</x:v>
      </x:c>
      <x:c r="M2540" s="118"/>
      <x:c r="N2540" s="120" t="n">
        <x:v>45163.627384259256</x:v>
      </x:c>
      <x:c r="O2540" s="117" t="str">
        <x:v>Jace Gentil</x:v>
      </x:c>
      <x:c r="P2540" s="120" t="n">
        <x:v>45163.62744212963</x:v>
      </x:c>
      <x:c r="Q2540" s="117" t="str">
        <x:v>Jace Gentil</x:v>
      </x:c>
      <x:c r="R2540" s="117" t="str">
        <x:v>Register System Lead with Mindray Button Flow UPDATED</x:v>
      </x:c>
      <x:c r="S2540" s="119"/>
    </x:row>
    <x:row r="2541" ht="30" customHeight="1">
      <x:c r="A2541" s="117" t="str">
        <x:v>Register_System_Lead_with_Mindray_Button_Flow</x:v>
      </x:c>
      <x:c r="B2541" s="117" t="str">
        <x:v>3005b000000PzkmAAC</x:v>
      </x:c>
      <x:c r="C2541" s="117" t="str">
        <x:v>301Ro000006PaMeIAK</x:v>
      </x:c>
      <x:c r="D2541" s="118" t="n">
        <x:v>8</x:v>
      </x:c>
      <x:c r="E2541" s="117" t="str">
        <x:v>Obsolete</x:v>
      </x:c>
      <x:c r="F2541" s="117" t="str">
        <x:v>No</x:v>
      </x:c>
      <x:c r="G2541" s="117" t="str">
        <x:v>No</x:v>
      </x:c>
      <x:c r="H2541" s="117" t="str">
        <x:v>Flow</x:v>
      </x:c>
      <x:c r="I2541" s="118" t="n">
        <x:v>57</x:v>
      </x:c>
      <x:c r="J2541" s="117" t="str">
        <x:v>unmanaged</x:v>
      </x:c>
      <x:c r="K2541" s="123" t="b">
        <x:v>0</x:v>
      </x:c>
      <x:c r="L2541" s="117" t="str">
        <x:v>SystemModeWithoutSharing</x:v>
      </x:c>
      <x:c r="M2541" s="118"/>
      <x:c r="N2541" s="120" t="n">
        <x:v>45316.76534722222</x:v>
      </x:c>
      <x:c r="O2541" s="117" t="str">
        <x:v>Jace Gentil</x:v>
      </x:c>
      <x:c r="P2541" s="120" t="n">
        <x:v>45316.76540509259</x:v>
      </x:c>
      <x:c r="Q2541" s="117" t="str">
        <x:v>Jace Gentil</x:v>
      </x:c>
      <x:c r="R2541" s="117" t="str">
        <x:v>Register System Lead with Mindray Button Flow UPDATED</x:v>
      </x:c>
      <x:c r="S2541" s="119"/>
    </x:row>
    <x:row r="2542" ht="30" customHeight="1">
      <x:c r="A2542" s="117" t="str">
        <x:v>Register_System_Lead_with_Mindray_Button_Flow</x:v>
      </x:c>
      <x:c r="B2542" s="117" t="str">
        <x:v>3005b000000PzkmAAC</x:v>
      </x:c>
      <x:c r="C2542" s="117" t="str">
        <x:v>301Ro00000HkNZMIA3</x:v>
      </x:c>
      <x:c r="D2542" s="118" t="n">
        <x:v>9</x:v>
      </x:c>
      <x:c r="E2542" s="117" t="str">
        <x:v>Draft</x:v>
      </x:c>
      <x:c r="F2542" s="117" t="str">
        <x:v>No</x:v>
      </x:c>
      <x:c r="G2542" s="117" t="str">
        <x:v>No</x:v>
      </x:c>
      <x:c r="H2542" s="117" t="str">
        <x:v>Flow</x:v>
      </x:c>
      <x:c r="I2542" s="118" t="n">
        <x:v>57</x:v>
      </x:c>
      <x:c r="J2542" s="117" t="str">
        <x:v>unmanaged</x:v>
      </x:c>
      <x:c r="K2542" s="123" t="b">
        <x:v>0</x:v>
      </x:c>
      <x:c r="L2542" s="117" t="str">
        <x:v>SystemModeWithoutSharing</x:v>
      </x:c>
      <x:c r="M2542" s="118"/>
      <x:c r="N2542" s="120" t="n">
        <x:v>45499.75366898148</x:v>
      </x:c>
      <x:c r="O2542" s="117" t="str">
        <x:v>Jace Gentil</x:v>
      </x:c>
      <x:c r="P2542" s="120" t="n">
        <x:v>45499.753703703704</x:v>
      </x:c>
      <x:c r="Q2542" s="117" t="str">
        <x:v>Jace Gentil</x:v>
      </x:c>
      <x:c r="R2542" s="117" t="str">
        <x:v>Register System Lead with Mindray Button Flow UPDATED</x:v>
      </x:c>
      <x:c r="S2542" s="119"/>
    </x:row>
    <x:row r="2543" ht="30" customHeight="1">
      <x:c r="A2543" s="117" t="str">
        <x:v>Register_System_Lead_with_Mindray_Button_Flow</x:v>
      </x:c>
      <x:c r="B2543" s="117" t="str">
        <x:v>3005b000000PzkmAAC</x:v>
      </x:c>
      <x:c r="C2543" s="117" t="str">
        <x:v>301Ro00000HkOUFIA3</x:v>
      </x:c>
      <x:c r="D2543" s="118" t="n">
        <x:v>10</x:v>
      </x:c>
      <x:c r="E2543" s="117" t="str">
        <x:v>Obsolete</x:v>
      </x:c>
      <x:c r="F2543" s="117" t="str">
        <x:v>No</x:v>
      </x:c>
      <x:c r="G2543" s="117" t="str">
        <x:v>No</x:v>
      </x:c>
      <x:c r="H2543" s="117" t="str">
        <x:v>Flow</x:v>
      </x:c>
      <x:c r="I2543" s="118" t="n">
        <x:v>57</x:v>
      </x:c>
      <x:c r="J2543" s="117" t="str">
        <x:v>unmanaged</x:v>
      </x:c>
      <x:c r="K2543" s="123" t="b">
        <x:v>0</x:v>
      </x:c>
      <x:c r="L2543" s="117" t="str">
        <x:v>SystemModeWithoutSharing</x:v>
      </x:c>
      <x:c r="M2543" s="118"/>
      <x:c r="N2543" s="120" t="n">
        <x:v>45499.75414351852</x:v>
      </x:c>
      <x:c r="O2543" s="117" t="str">
        <x:v>Jace Gentil</x:v>
      </x:c>
      <x:c r="P2543" s="120" t="n">
        <x:v>45499.754212962966</x:v>
      </x:c>
      <x:c r="Q2543" s="117" t="str">
        <x:v>Jace Gentil</x:v>
      </x:c>
      <x:c r="R2543" s="117" t="str">
        <x:v>Register System Lead with Mindray Button Flow UPDATED</x:v>
      </x:c>
      <x:c r="S2543" s="119"/>
    </x:row>
    <x:row r="2544" ht="30" customHeight="1">
      <x:c r="A2544" s="117" t="str">
        <x:v>Register_System_Lead_with_Mindray_Button_Flow</x:v>
      </x:c>
      <x:c r="B2544" s="117" t="str">
        <x:v>3005b000000PzkmAAC</x:v>
      </x:c>
      <x:c r="C2544" s="117" t="str">
        <x:v>301Ro00000tbhntIAA</x:v>
      </x:c>
      <x:c r="D2544" s="118" t="n">
        <x:v>11</x:v>
      </x:c>
      <x:c r="E2544" s="117" t="str">
        <x:v>Active</x:v>
      </x:c>
      <x:c r="F2544" s="117" t="str">
        <x:v>Yes</x:v>
      </x:c>
      <x:c r="G2544" s="117" t="str">
        <x:v>Yes</x:v>
      </x:c>
      <x:c r="H2544" s="117" t="str">
        <x:v>Flow</x:v>
      </x:c>
      <x:c r="I2544" s="118" t="n">
        <x:v>57</x:v>
      </x:c>
      <x:c r="J2544" s="117" t="str">
        <x:v>unmanaged</x:v>
      </x:c>
      <x:c r="K2544" s="123" t="b">
        <x:v>0</x:v>
      </x:c>
      <x:c r="L2544" s="117" t="str">
        <x:v>SystemModeWithoutSharing</x:v>
      </x:c>
      <x:c r="M2544" s="118"/>
      <x:c r="N2544" s="120" t="n">
        <x:v>45996.631736111114</x:v>
      </x:c>
      <x:c r="O2544" s="117" t="str">
        <x:v>Natalie Boger</x:v>
      </x:c>
      <x:c r="P2544" s="120" t="n">
        <x:v>45996.6321875</x:v>
      </x:c>
      <x:c r="Q2544" s="117" t="str">
        <x:v>Natalie Boger</x:v>
      </x:c>
      <x:c r="R2544" s="117" t="str">
        <x:v>Register System Lead with Mindray Button Flow UPDATED</x:v>
      </x:c>
      <x:c r="S2544" s="119" t="str">
        <x:v>12/5/25: swapped emails (removed H. Bai and added Bin Liu) for vet deals. NB</x:v>
      </x:c>
    </x:row>
    <x:row r="2545" ht="30" customHeight="1">
      <x:c r="A2545" s="117" t="str">
        <x:v>Rejecting_Credit_Memo_Request_Screen_Flow</x:v>
      </x:c>
      <x:c r="B2545" s="117" t="str">
        <x:v>3005b00000113h0AAA</x:v>
      </x:c>
      <x:c r="C2545" s="117" t="str">
        <x:v>3015b0000011MtnAAE</x:v>
      </x:c>
      <x:c r="D2545" s="118" t="n">
        <x:v>1</x:v>
      </x:c>
      <x:c r="E2545" s="117" t="str">
        <x:v>Obsolete</x:v>
      </x:c>
      <x:c r="F2545" s="117" t="str">
        <x:v>No</x:v>
      </x:c>
      <x:c r="G2545" s="117" t="str">
        <x:v>No</x:v>
      </x:c>
      <x:c r="H2545" s="117" t="str">
        <x:v>Flow</x:v>
      </x:c>
      <x:c r="I2545" s="118" t="n">
        <x:v>59</x:v>
      </x:c>
      <x:c r="J2545" s="117" t="str">
        <x:v>unmanaged</x:v>
      </x:c>
      <x:c r="K2545" s="123" t="b">
        <x:v>0</x:v>
      </x:c>
      <x:c r="L2545" s="117"/>
      <x:c r="M2545" s="118"/>
      <x:c r="N2545" s="120" t="n">
        <x:v>45279.63851851852</x:v>
      </x:c>
      <x:c r="O2545" s="117" t="str">
        <x:v>Delegate</x:v>
      </x:c>
      <x:c r="P2545" s="120" t="n">
        <x:v>45279.639398148145</x:v>
      </x:c>
      <x:c r="Q2545" s="117" t="str">
        <x:v>Delegate</x:v>
      </x:c>
      <x:c r="R2545" s="117" t="str">
        <x:v>Rejecting Credit Memo Request Screen Flow</x:v>
      </x:c>
      <x:c r="S2545" s="119" t="str">
        <x:v>12/19/23 (BW) - This flow allows finance to reject credit memos easily from the task screen.</x:v>
      </x:c>
    </x:row>
    <x:row r="2546" ht="30" customHeight="1">
      <x:c r="A2546" s="117" t="str">
        <x:v>Rejecting_Credit_Memo_Request_Screen_Flow</x:v>
      </x:c>
      <x:c r="B2546" s="117" t="str">
        <x:v>3005b00000113h0AAA</x:v>
      </x:c>
      <x:c r="C2546" s="117" t="str">
        <x:v>3015b0000011MtsAAE</x:v>
      </x:c>
      <x:c r="D2546" s="118" t="n">
        <x:v>2</x:v>
      </x:c>
      <x:c r="E2546" s="117" t="str">
        <x:v>Obsolete</x:v>
      </x:c>
      <x:c r="F2546" s="117" t="str">
        <x:v>No</x:v>
      </x:c>
      <x:c r="G2546" s="117" t="str">
        <x:v>No</x:v>
      </x:c>
      <x:c r="H2546" s="117" t="str">
        <x:v>Flow</x:v>
      </x:c>
      <x:c r="I2546" s="118" t="n">
        <x:v>59</x:v>
      </x:c>
      <x:c r="J2546" s="117" t="str">
        <x:v>unmanaged</x:v>
      </x:c>
      <x:c r="K2546" s="123" t="b">
        <x:v>0</x:v>
      </x:c>
      <x:c r="L2546" s="117"/>
      <x:c r="M2546" s="118"/>
      <x:c r="N2546" s="120" t="n">
        <x:v>45279.642372685186</x:v>
      </x:c>
      <x:c r="O2546" s="117" t="str">
        <x:v>Delegate</x:v>
      </x:c>
      <x:c r="P2546" s="120" t="n">
        <x:v>45279.642858796295</x:v>
      </x:c>
      <x:c r="Q2546" s="117" t="str">
        <x:v>Delegate</x:v>
      </x:c>
      <x:c r="R2546" s="117" t="str">
        <x:v>Rejecting Credit Memo Request Screen Flow</x:v>
      </x:c>
      <x:c r="S2546" s="119" t="str">
        <x:v>12/19/23 (BW) - This flow allows finance to reject credit memos easily from the task screen.</x:v>
      </x:c>
    </x:row>
    <x:row r="2547" ht="30" customHeight="1">
      <x:c r="A2547" s="117" t="str">
        <x:v>Rejecting_Credit_Memo_Request_Screen_Flow</x:v>
      </x:c>
      <x:c r="B2547" s="117" t="str">
        <x:v>3005b00000113h0AAA</x:v>
      </x:c>
      <x:c r="C2547" s="117" t="str">
        <x:v>3015b0000011MwNAAU</x:v>
      </x:c>
      <x:c r="D2547" s="118" t="n">
        <x:v>3</x:v>
      </x:c>
      <x:c r="E2547" s="117" t="str">
        <x:v>Active</x:v>
      </x:c>
      <x:c r="F2547" s="117" t="str">
        <x:v>Yes</x:v>
      </x:c>
      <x:c r="G2547" s="117" t="str">
        <x:v>Yes</x:v>
      </x:c>
      <x:c r="H2547" s="117" t="str">
        <x:v>Flow</x:v>
      </x:c>
      <x:c r="I2547" s="118" t="n">
        <x:v>59</x:v>
      </x:c>
      <x:c r="J2547" s="117" t="str">
        <x:v>unmanaged</x:v>
      </x:c>
      <x:c r="K2547" s="123" t="b">
        <x:v>0</x:v>
      </x:c>
      <x:c r="L2547" s="117"/>
      <x:c r="M2547" s="118"/>
      <x:c r="N2547" s="120" t="n">
        <x:v>45286.56675925926</x:v>
      </x:c>
      <x:c r="O2547" s="117" t="str">
        <x:v>Delegate</x:v>
      </x:c>
      <x:c r="P2547" s="120" t="n">
        <x:v>45391.53462962963</x:v>
      </x:c>
      <x:c r="Q2547" s="117" t="str">
        <x:v>Delegate</x:v>
      </x:c>
      <x:c r="R2547" s="117" t="str">
        <x:v>Rejecting Credit Memo Request Screen Flow</x:v>
      </x:c>
      <x:c r="S2547" s="119" t="str">
        <x:v>12/19/23 (BW) - Updates the status the task gets set to from "Completed" to "Rejected CM". This is to differentiate between a completed success and a completed rejected, as to allow for an email to be sent to the requestor upon completed success.</x:v>
      </x:c>
    </x:row>
    <x:row r="2548" ht="30" customHeight="1">
      <x:c r="A2548" s="117" t="str">
        <x:v>Rental_Order</x:v>
      </x:c>
      <x:c r="B2548" s="117" t="str">
        <x:v>3004O000000LOsfQAG</x:v>
      </x:c>
      <x:c r="C2548" s="117" t="str">
        <x:v>301Ro00000HvKEpIAN</x:v>
      </x:c>
      <x:c r="D2548" s="118" t="n">
        <x:v>8</x:v>
      </x:c>
      <x:c r="E2548" s="117" t="str">
        <x:v>Obsolete</x:v>
      </x:c>
      <x:c r="F2548" s="117" t="str">
        <x:v>No</x:v>
      </x:c>
      <x:c r="G2548" s="117" t="str">
        <x:v>No</x:v>
      </x:c>
      <x:c r="H2548" s="117" t="str">
        <x:v>Workflow</x:v>
      </x:c>
      <x:c r="I2548" s="118" t="n">
        <x:v>50</x:v>
      </x:c>
      <x:c r="J2548" s="117" t="str">
        <x:v>unmanaged</x:v>
      </x:c>
      <x:c r="K2548" s="123" t="b">
        <x:v>0</x:v>
      </x:c>
      <x:c r="L2548" s="117"/>
      <x:c r="M2548" s="118"/>
      <x:c r="N2548" s="120" t="n">
        <x:v>45502.8884375</x:v>
      </x:c>
      <x:c r="O2548" s="117" t="str">
        <x:v>Delegate</x:v>
      </x:c>
      <x:c r="P2548" s="120" t="n">
        <x:v>45502.89885416667</x:v>
      </x:c>
      <x:c r="Q2548" s="117" t="str">
        <x:v>Delegate</x:v>
      </x:c>
      <x:c r="R2548" s="117" t="str">
        <x:v>Rental Order</x:v>
      </x:c>
      <x:c r="S2548" s="119"/>
    </x:row>
    <x:row r="2549" ht="30" customHeight="1">
      <x:c r="A2549" s="117" t="str">
        <x:v>Rental_Order</x:v>
      </x:c>
      <x:c r="B2549" s="117" t="str">
        <x:v>3004O000000LOsfQAG</x:v>
      </x:c>
      <x:c r="C2549" s="117" t="str">
        <x:v>301Ro00000HvEUTIA3</x:v>
      </x:c>
      <x:c r="D2549" s="118" t="n">
        <x:v>9</x:v>
      </x:c>
      <x:c r="E2549" s="117" t="str">
        <x:v>Active</x:v>
      </x:c>
      <x:c r="F2549" s="117" t="str">
        <x:v>Yes</x:v>
      </x:c>
      <x:c r="G2549" s="117" t="str">
        <x:v>Yes</x:v>
      </x:c>
      <x:c r="H2549" s="117" t="str">
        <x:v>Workflow</x:v>
      </x:c>
      <x:c r="I2549" s="118" t="n">
        <x:v>50</x:v>
      </x:c>
      <x:c r="J2549" s="117" t="str">
        <x:v>unmanaged</x:v>
      </x:c>
      <x:c r="K2549" s="123" t="b">
        <x:v>0</x:v>
      </x:c>
      <x:c r="L2549" s="117"/>
      <x:c r="M2549" s="118"/>
      <x:c r="N2549" s="120" t="n">
        <x:v>45502.90013888889</x:v>
      </x:c>
      <x:c r="O2549" s="117" t="str">
        <x:v>Delegate</x:v>
      </x:c>
      <x:c r="P2549" s="120" t="n">
        <x:v>45502.90530092592</x:v>
      </x:c>
      <x:c r="Q2549" s="117" t="str">
        <x:v>Delegate</x:v>
      </x:c>
      <x:c r="R2549" s="117" t="str">
        <x:v>Rental Order</x:v>
      </x:c>
      <x:c r="S2549" s="119"/>
    </x:row>
    <x:row r="2550" ht="30" customHeight="1">
      <x:c r="A2550" s="117" t="str">
        <x:v>Rental_Orders_create_RMA</x:v>
      </x:c>
      <x:c r="B2550" s="117" t="str">
        <x:v>3004O000000LOsgQAG</x:v>
      </x:c>
      <x:c r="C2550" s="117" t="str">
        <x:v>3014O000000M0X0QAK</x:v>
      </x:c>
      <x:c r="D2550" s="118" t="n">
        <x:v>1</x:v>
      </x:c>
      <x:c r="E2550" s="117" t="str">
        <x:v>Draft</x:v>
      </x:c>
      <x:c r="F2550" s="117" t="str">
        <x:v>No</x:v>
      </x:c>
      <x:c r="G2550" s="117" t="str">
        <x:v>Yes</x:v>
      </x:c>
      <x:c r="H2550" s="117" t="str">
        <x:v>AutoLaunchedFlow</x:v>
      </x:c>
      <x:c r="I2550" s="118" t="n">
        <x:v>50</x:v>
      </x:c>
      <x:c r="J2550" s="117" t="str">
        <x:v>unmanaged</x:v>
      </x:c>
      <x:c r="K2550" s="123" t="b">
        <x:v>0</x:v>
      </x:c>
      <x:c r="L2550" s="117"/>
      <x:c r="M2550" s="118"/>
      <x:c r="N2550" s="120" t="n">
        <x:v>44199.74931712963</x:v>
      </x:c>
      <x:c r="O2550" s="117" t="str">
        <x:v>Delegate</x:v>
      </x:c>
      <x:c r="P2550" s="120" t="n">
        <x:v>44199.74931712963</x:v>
      </x:c>
      <x:c r="Q2550" s="117" t="str">
        <x:v>Delegate</x:v>
      </x:c>
      <x:c r="R2550" s="117" t="str">
        <x:v>Rental Orders create RMA</x:v>
      </x:c>
      <x:c r="S2550" s="119"/>
    </x:row>
    <x:row r="2551" ht="30" customHeight="1">
      <x:c r="A2551" s="117" t="str">
        <x:v>Rep_Email_Field_Update_Flow</x:v>
      </x:c>
      <x:c r="B2551" s="117" t="str">
        <x:v>3005b000000PzlkAAC</x:v>
      </x:c>
      <x:c r="C2551" s="117" t="str">
        <x:v>3015b000000W3WoAAK</x:v>
      </x:c>
      <x:c r="D2551" s="118" t="n">
        <x:v>5</x:v>
      </x:c>
      <x:c r="E2551" s="117" t="str">
        <x:v>Obsolete</x:v>
      </x:c>
      <x:c r="F2551" s="117" t="str">
        <x:v>No</x:v>
      </x:c>
      <x:c r="G2551" s="117" t="str">
        <x:v>No</x:v>
      </x:c>
      <x:c r="H2551" s="117" t="str">
        <x:v>AutoLaunchedFlow</x:v>
      </x:c>
      <x:c r="I2551" s="118" t="n">
        <x:v>57</x:v>
      </x:c>
      <x:c r="J2551" s="117" t="str">
        <x:v>unmanaged</x:v>
      </x:c>
      <x:c r="K2551" s="123" t="b">
        <x:v>0</x:v>
      </x:c>
      <x:c r="L2551" s="117"/>
      <x:c r="M2551" s="118"/>
      <x:c r="N2551" s="120" t="n">
        <x:v>45076.76464120371</x:v>
      </x:c>
      <x:c r="O2551" s="117" t="str">
        <x:v>Jace Gentil</x:v>
      </x:c>
      <x:c r="P2551" s="120" t="n">
        <x:v>45076.765601851854</x:v>
      </x:c>
      <x:c r="Q2551" s="117" t="str">
        <x:v>Jace Gentil</x:v>
      </x:c>
      <x:c r="R2551" s="117" t="str">
        <x:v>Rep Email Field Update Flow</x:v>
      </x:c>
      <x:c r="S2551" s="119"/>
    </x:row>
    <x:row r="2552" ht="30" customHeight="1">
      <x:c r="A2552" s="117" t="str">
        <x:v>Rep_Email_Field_Update_Flow</x:v>
      </x:c>
      <x:c r="B2552" s="117" t="str">
        <x:v>3005b000000PzlkAAC</x:v>
      </x:c>
      <x:c r="C2552" s="117" t="str">
        <x:v>3015b000000APeCAAW</x:v>
      </x:c>
      <x:c r="D2552" s="118" t="n">
        <x:v>6</x:v>
      </x:c>
      <x:c r="E2552" s="117" t="str">
        <x:v>Obsolete</x:v>
      </x:c>
      <x:c r="F2552" s="117" t="str">
        <x:v>No</x:v>
      </x:c>
      <x:c r="G2552" s="117" t="str">
        <x:v>No</x:v>
      </x:c>
      <x:c r="H2552" s="117" t="str">
        <x:v>AutoLaunchedFlow</x:v>
      </x:c>
      <x:c r="I2552" s="118" t="n">
        <x:v>57</x:v>
      </x:c>
      <x:c r="J2552" s="117" t="str">
        <x:v>unmanaged</x:v>
      </x:c>
      <x:c r="K2552" s="123" t="b">
        <x:v>0</x:v>
      </x:c>
      <x:c r="L2552" s="117"/>
      <x:c r="M2552" s="118"/>
      <x:c r="N2552" s="120" t="n">
        <x:v>45145.53627314815</x:v>
      </x:c>
      <x:c r="O2552" s="117" t="str">
        <x:v>Delegate</x:v>
      </x:c>
      <x:c r="P2552" s="120" t="n">
        <x:v>45145.53631944444</x:v>
      </x:c>
      <x:c r="Q2552" s="117" t="str">
        <x:v>Delegate</x:v>
      </x:c>
      <x:c r="R2552" s="117" t="str">
        <x:v>Rep Email Field Update Flow</x:v>
      </x:c>
      <x:c r="S2552" s="119" t="str">
        <x:v>Added asynchronous path</x:v>
      </x:c>
    </x:row>
    <x:row r="2553" ht="30" customHeight="1">
      <x:c r="A2553" s="117" t="str">
        <x:v>Rep_Email_Field_Update_Flow</x:v>
      </x:c>
      <x:c r="B2553" s="117" t="str">
        <x:v>3005b000000PzlkAAC</x:v>
      </x:c>
      <x:c r="C2553" s="117" t="str">
        <x:v>301Ro000009jZffIAE</x:v>
      </x:c>
      <x:c r="D2553" s="118" t="n">
        <x:v>7</x:v>
      </x:c>
      <x:c r="E2553" s="117" t="str">
        <x:v>Obsolete</x:v>
      </x:c>
      <x:c r="F2553" s="117" t="str">
        <x:v>No</x:v>
      </x:c>
      <x:c r="G2553" s="117" t="str">
        <x:v>No</x:v>
      </x:c>
      <x:c r="H2553" s="117" t="str">
        <x:v>AutoLaunchedFlow</x:v>
      </x:c>
      <x:c r="I2553" s="118" t="n">
        <x:v>57</x:v>
      </x:c>
      <x:c r="J2553" s="117" t="str">
        <x:v>unmanaged</x:v>
      </x:c>
      <x:c r="K2553" s="123" t="b">
        <x:v>0</x:v>
      </x:c>
      <x:c r="L2553" s="117"/>
      <x:c r="M2553" s="118"/>
      <x:c r="N2553" s="120" t="n">
        <x:v>45377.45931712963</x:v>
      </x:c>
      <x:c r="O2553" s="117" t="str">
        <x:v>Jon Kean</x:v>
      </x:c>
      <x:c r="P2553" s="120" t="n">
        <x:v>45377.45936342593</x:v>
      </x:c>
      <x:c r="Q2553" s="117" t="str">
        <x:v>Jon Kean</x:v>
      </x:c>
      <x:c r="R2553" s="117" t="str">
        <x:v>Rep Email Field Update Flow</x:v>
      </x:c>
      <x:c r="S2553" s="119" t="str">
        <x:v>Added asynchronous path
JK 26/03/2024 - Added UK path for UK email format</x:v>
      </x:c>
    </x:row>
    <x:row r="2554" ht="30" customHeight="1">
      <x:c r="A2554" s="117" t="str">
        <x:v>Rep_Email_Field_Update_Flow</x:v>
      </x:c>
      <x:c r="B2554" s="117" t="str">
        <x:v>3005b000000PzlkAAC</x:v>
      </x:c>
      <x:c r="C2554" s="117" t="str">
        <x:v>301Ro000009pLoPIAU</x:v>
      </x:c>
      <x:c r="D2554" s="118" t="n">
        <x:v>8</x:v>
      </x:c>
      <x:c r="E2554" s="117" t="str">
        <x:v>Obsolete</x:v>
      </x:c>
      <x:c r="F2554" s="117" t="str">
        <x:v>No</x:v>
      </x:c>
      <x:c r="G2554" s="117" t="str">
        <x:v>No</x:v>
      </x:c>
      <x:c r="H2554" s="117" t="str">
        <x:v>AutoLaunchedFlow</x:v>
      </x:c>
      <x:c r="I2554" s="118" t="n">
        <x:v>57</x:v>
      </x:c>
      <x:c r="J2554" s="117" t="str">
        <x:v>unmanaged</x:v>
      </x:c>
      <x:c r="K2554" s="123" t="b">
        <x:v>0</x:v>
      </x:c>
      <x:c r="L2554" s="117"/>
      <x:c r="M2554" s="118"/>
      <x:c r="N2554" s="120" t="n">
        <x:v>45378.602002314816</x:v>
      </x:c>
      <x:c r="O2554" s="117" t="str">
        <x:v>Jon Kean</x:v>
      </x:c>
      <x:c r="P2554" s="120" t="n">
        <x:v>45378.60204861111</x:v>
      </x:c>
      <x:c r="Q2554" s="117" t="str">
        <x:v>Jon Kean</x:v>
      </x:c>
      <x:c r="R2554" s="117" t="str">
        <x:v>Rep Email Field Update Flow</x:v>
      </x:c>
      <x:c r="S2554" s="119" t="str">
        <x:v>Added asynchronous path
JK 26/03/2024 - Added UK path for UK email format</x:v>
      </x:c>
    </x:row>
    <x:row r="2555" ht="30" customHeight="1">
      <x:c r="A2555" s="117" t="str">
        <x:v>Rep_Email_Field_Update_Flow</x:v>
      </x:c>
      <x:c r="B2555" s="117" t="str">
        <x:v>3005b000000PzlkAAC</x:v>
      </x:c>
      <x:c r="C2555" s="117" t="str">
        <x:v>301Ro000009u7XzIAI</x:v>
      </x:c>
      <x:c r="D2555" s="118" t="n">
        <x:v>9</x:v>
      </x:c>
      <x:c r="E2555" s="117" t="str">
        <x:v>Obsolete</x:v>
      </x:c>
      <x:c r="F2555" s="117" t="str">
        <x:v>No</x:v>
      </x:c>
      <x:c r="G2555" s="117" t="str">
        <x:v>No</x:v>
      </x:c>
      <x:c r="H2555" s="117" t="str">
        <x:v>AutoLaunchedFlow</x:v>
      </x:c>
      <x:c r="I2555" s="118" t="n">
        <x:v>57</x:v>
      </x:c>
      <x:c r="J2555" s="117" t="str">
        <x:v>unmanaged</x:v>
      </x:c>
      <x:c r="K2555" s="123" t="b">
        <x:v>0</x:v>
      </x:c>
      <x:c r="L2555" s="117"/>
      <x:c r="M2555" s="118"/>
      <x:c r="N2555" s="120" t="n">
        <x:v>45379.57612268518</x:v>
      </x:c>
      <x:c r="O2555" s="117" t="str">
        <x:v>Jace Gentil</x:v>
      </x:c>
      <x:c r="P2555" s="120" t="n">
        <x:v>45379.57616898148</x:v>
      </x:c>
      <x:c r="Q2555" s="117" t="str">
        <x:v>Jace Gentil</x:v>
      </x:c>
      <x:c r="R2555" s="117" t="str">
        <x:v>Rep Email Field Update Flow</x:v>
      </x:c>
      <x:c r="S2555" s="119" t="str">
        <x:v>Added asynchronous path</x:v>
      </x:c>
    </x:row>
    <x:row r="2556" ht="30" customHeight="1">
      <x:c r="A2556" s="117" t="str">
        <x:v>Rep_Email_Field_Update_Flow</x:v>
      </x:c>
      <x:c r="B2556" s="117" t="str">
        <x:v>3005b000000PzlkAAC</x:v>
      </x:c>
      <x:c r="C2556" s="117" t="str">
        <x:v>301Ro00000B2UeuIAF</x:v>
      </x:c>
      <x:c r="D2556" s="118" t="n">
        <x:v>10</x:v>
      </x:c>
      <x:c r="E2556" s="117" t="str">
        <x:v>Obsolete</x:v>
      </x:c>
      <x:c r="F2556" s="117" t="str">
        <x:v>No</x:v>
      </x:c>
      <x:c r="G2556" s="117" t="str">
        <x:v>No</x:v>
      </x:c>
      <x:c r="H2556" s="117" t="str">
        <x:v>AutoLaunchedFlow</x:v>
      </x:c>
      <x:c r="I2556" s="118" t="n">
        <x:v>57</x:v>
      </x:c>
      <x:c r="J2556" s="117" t="str">
        <x:v>unmanaged</x:v>
      </x:c>
      <x:c r="K2556" s="123" t="b">
        <x:v>0</x:v>
      </x:c>
      <x:c r="L2556" s="117"/>
      <x:c r="M2556" s="118"/>
      <x:c r="N2556" s="120" t="n">
        <x:v>45398.63946759259</x:v>
      </x:c>
      <x:c r="O2556" s="117" t="str">
        <x:v>Delegate</x:v>
      </x:c>
      <x:c r="P2556" s="120" t="n">
        <x:v>45398.639502314814</x:v>
      </x:c>
      <x:c r="Q2556" s="117" t="str">
        <x:v>Delegate</x:v>
      </x:c>
      <x:c r="R2556" s="117" t="str">
        <x:v>Rep Email Field Update Flow</x:v>
      </x:c>
      <x:c r="S2556" s="119" t="str">
        <x:v>04/16/2024 (BW) - Updated final update records to remove initial SOQL Query</x:v>
      </x:c>
    </x:row>
    <x:row r="2557" ht="30" customHeight="1">
      <x:c r="A2557" s="117" t="str">
        <x:v>Rep_Email_Field_Update_Flow</x:v>
      </x:c>
      <x:c r="B2557" s="117" t="str">
        <x:v>3005b000000PzlkAAC</x:v>
      </x:c>
      <x:c r="C2557" s="117" t="str">
        <x:v>301Ro000017N8eqIAC</x:v>
      </x:c>
      <x:c r="D2557" s="118" t="n">
        <x:v>11</x:v>
      </x:c>
      <x:c r="E2557" s="117" t="str">
        <x:v>Active</x:v>
      </x:c>
      <x:c r="F2557" s="117" t="str">
        <x:v>Yes</x:v>
      </x:c>
      <x:c r="G2557" s="117" t="str">
        <x:v>Yes</x:v>
      </x:c>
      <x:c r="H2557" s="117" t="str">
        <x:v>AutoLaunchedFlow</x:v>
      </x:c>
      <x:c r="I2557" s="118" t="n">
        <x:v>57</x:v>
      </x:c>
      <x:c r="J2557" s="117" t="str">
        <x:v>unmanaged</x:v>
      </x:c>
      <x:c r="K2557" s="123" t="b">
        <x:v>0</x:v>
      </x:c>
      <x:c r="L2557" s="117"/>
      <x:c r="M2557" s="118"/>
      <x:c r="N2557" s="120" t="n">
        <x:v>46175.6278125</x:v>
      </x:c>
      <x:c r="O2557" s="117" t="str">
        <x:v>Sacha Pearce</x:v>
      </x:c>
      <x:c r="P2557" s="120" t="n">
        <x:v>46175.6283912037</x:v>
      </x:c>
      <x:c r="Q2557" s="117" t="str">
        <x:v>Sacha Pearce</x:v>
      </x:c>
      <x:c r="R2557" s="117" t="str">
        <x:v>Rep Email Field Update Flow</x:v>
      </x:c>
      <x:c r="S2557" s="119" t="str">
        <x:v>06/02/2026 (SP) - Setting the Canadian email by pulling the User record of the entered "Sales Representative".</x:v>
      </x:c>
    </x:row>
    <x:row r="2558" ht="30" customHeight="1">
      <x:c r="A2558" s="117" t="str">
        <x:v>Return_to_Vendor_Create_DB</x:v>
      </x:c>
      <x:c r="B2558" s="117" t="str">
        <x:v>3004O000000LOrAQAW</x:v>
      </x:c>
      <x:c r="C2558" s="117" t="str">
        <x:v>3014O000000M0UxQAK</x:v>
      </x:c>
      <x:c r="D2558" s="118" t="n">
        <x:v>1</x:v>
      </x:c>
      <x:c r="E2558" s="117" t="str">
        <x:v>Draft</x:v>
      </x:c>
      <x:c r="F2558" s="117" t="str">
        <x:v>No</x:v>
      </x:c>
      <x:c r="G2558" s="117" t="str">
        <x:v>No</x:v>
      </x:c>
      <x:c r="H2558" s="117" t="str">
        <x:v>AutoLaunchedFlow</x:v>
      </x:c>
      <x:c r="I2558" s="118" t="n">
        <x:v>50</x:v>
      </x:c>
      <x:c r="J2558" s="117" t="str">
        <x:v>unmanaged</x:v>
      </x:c>
      <x:c r="K2558" s="123" t="b">
        <x:v>0</x:v>
      </x:c>
      <x:c r="L2558" s="117"/>
      <x:c r="M2558" s="118"/>
      <x:c r="N2558" s="120" t="n">
        <x:v>44199.60534722222</x:v>
      </x:c>
      <x:c r="O2558" s="117" t="str">
        <x:v>Delegate</x:v>
      </x:c>
      <x:c r="P2558" s="120" t="n">
        <x:v>44199.605358796296</x:v>
      </x:c>
      <x:c r="Q2558" s="117" t="str">
        <x:v>Delegate</x:v>
      </x:c>
      <x:c r="R2558" s="117" t="str">
        <x:v>Return to Vendor Create DB</x:v>
      </x:c>
      <x:c r="S2558" s="119"/>
    </x:row>
    <x:row r="2559" ht="30" customHeight="1">
      <x:c r="A2559" s="117" t="str">
        <x:v>Return_to_Vendor_Create_DB</x:v>
      </x:c>
      <x:c r="B2559" s="117" t="str">
        <x:v>3004O000000LOrAQAW</x:v>
      </x:c>
      <x:c r="C2559" s="117" t="str">
        <x:v>3014O000000M0X1QAK</x:v>
      </x:c>
      <x:c r="D2559" s="118" t="n">
        <x:v>2</x:v>
      </x:c>
      <x:c r="E2559" s="117" t="str">
        <x:v>Obsolete</x:v>
      </x:c>
      <x:c r="F2559" s="117" t="str">
        <x:v>No</x:v>
      </x:c>
      <x:c r="G2559" s="117" t="str">
        <x:v>No</x:v>
      </x:c>
      <x:c r="H2559" s="117" t="str">
        <x:v>AutoLaunchedFlow</x:v>
      </x:c>
      <x:c r="I2559" s="118" t="n">
        <x:v>50</x:v>
      </x:c>
      <x:c r="J2559" s="117" t="str">
        <x:v>unmanaged</x:v>
      </x:c>
      <x:c r="K2559" s="123" t="b">
        <x:v>0</x:v>
      </x:c>
      <x:c r="L2559" s="117"/>
      <x:c r="M2559" s="118"/>
      <x:c r="N2559" s="120" t="n">
        <x:v>44199.74931712963</x:v>
      </x:c>
      <x:c r="O2559" s="117" t="str">
        <x:v>Delegate</x:v>
      </x:c>
      <x:c r="P2559" s="120" t="n">
        <x:v>44199.846817129626</x:v>
      </x:c>
      <x:c r="Q2559" s="117" t="str">
        <x:v>Trent VanEmon</x:v>
      </x:c>
      <x:c r="R2559" s="117" t="str">
        <x:v>Return to Vendor Create DB</x:v>
      </x:c>
      <x:c r="S2559" s="119"/>
    </x:row>
    <x:row r="2560" ht="30" customHeight="1">
      <x:c r="A2560" s="117" t="str">
        <x:v>Return_to_Vendor_Create_DB</x:v>
      </x:c>
      <x:c r="B2560" s="117" t="str">
        <x:v>3004O000000LOrAQAW</x:v>
      </x:c>
      <x:c r="C2560" s="117" t="str">
        <x:v>3014O000000M0XZQA0</x:v>
      </x:c>
      <x:c r="D2560" s="118" t="n">
        <x:v>3</x:v>
      </x:c>
      <x:c r="E2560" s="117" t="str">
        <x:v>Obsolete</x:v>
      </x:c>
      <x:c r="F2560" s="117" t="str">
        <x:v>No</x:v>
      </x:c>
      <x:c r="G2560" s="117" t="str">
        <x:v>No</x:v>
      </x:c>
      <x:c r="H2560" s="117" t="str">
        <x:v>AutoLaunchedFlow</x:v>
      </x:c>
      <x:c r="I2560" s="118" t="n">
        <x:v>50</x:v>
      </x:c>
      <x:c r="J2560" s="117" t="str">
        <x:v>unmanaged</x:v>
      </x:c>
      <x:c r="K2560" s="123" t="b">
        <x:v>0</x:v>
      </x:c>
      <x:c r="L2560" s="117"/>
      <x:c r="M2560" s="118"/>
      <x:c r="N2560" s="120" t="n">
        <x:v>44200.10901620371</x:v>
      </x:c>
      <x:c r="O2560" s="117" t="str">
        <x:v>Trent VanEmon</x:v>
      </x:c>
      <x:c r="P2560" s="120" t="n">
        <x:v>44200.10907407408</x:v>
      </x:c>
      <x:c r="Q2560" s="117" t="str">
        <x:v>Trent VanEmon</x:v>
      </x:c>
      <x:c r="R2560" s="117" t="str">
        <x:v>Return to Vendor Create DB</x:v>
      </x:c>
      <x:c r="S2560" s="119"/>
    </x:row>
    <x:row r="2561" ht="30" customHeight="1">
      <x:c r="A2561" s="117" t="str">
        <x:v>Return_to_Vendor_Create_DB</x:v>
      </x:c>
      <x:c r="B2561" s="117" t="str">
        <x:v>3004O000000LOrAQAW</x:v>
      </x:c>
      <x:c r="C2561" s="117" t="str">
        <x:v>3014O000000M0XeQAK</x:v>
      </x:c>
      <x:c r="D2561" s="118" t="n">
        <x:v>4</x:v>
      </x:c>
      <x:c r="E2561" s="117" t="str">
        <x:v>Obsolete</x:v>
      </x:c>
      <x:c r="F2561" s="117" t="str">
        <x:v>No</x:v>
      </x:c>
      <x:c r="G2561" s="117" t="str">
        <x:v>No</x:v>
      </x:c>
      <x:c r="H2561" s="117" t="str">
        <x:v>AutoLaunchedFlow</x:v>
      </x:c>
      <x:c r="I2561" s="118" t="n">
        <x:v>50</x:v>
      </x:c>
      <x:c r="J2561" s="117" t="str">
        <x:v>unmanaged</x:v>
      </x:c>
      <x:c r="K2561" s="123" t="b">
        <x:v>0</x:v>
      </x:c>
      <x:c r="L2561" s="117"/>
      <x:c r="M2561" s="118"/>
      <x:c r="N2561" s="120" t="n">
        <x:v>44200.12144675926</x:v>
      </x:c>
      <x:c r="O2561" s="117" t="str">
        <x:v>Trent VanEmon</x:v>
      </x:c>
      <x:c r="P2561" s="120" t="n">
        <x:v>44200.121469907404</x:v>
      </x:c>
      <x:c r="Q2561" s="117" t="str">
        <x:v>Trent VanEmon</x:v>
      </x:c>
      <x:c r="R2561" s="117" t="str">
        <x:v>Return to Vendor Create DB</x:v>
      </x:c>
      <x:c r="S2561" s="119"/>
    </x:row>
    <x:row r="2562" ht="30" customHeight="1">
      <x:c r="A2562" s="117" t="str">
        <x:v>Return_to_Vendor_Create_DB</x:v>
      </x:c>
      <x:c r="B2562" s="117" t="str">
        <x:v>3004O000000LOrAQAW</x:v>
      </x:c>
      <x:c r="C2562" s="117" t="str">
        <x:v>301Ro00000ONSvhIAH</x:v>
      </x:c>
      <x:c r="D2562" s="118" t="n">
        <x:v>5</x:v>
      </x:c>
      <x:c r="E2562" s="117" t="str">
        <x:v>Obsolete</x:v>
      </x:c>
      <x:c r="F2562" s="117" t="str">
        <x:v>No</x:v>
      </x:c>
      <x:c r="G2562" s="117" t="str">
        <x:v>No</x:v>
      </x:c>
      <x:c r="H2562" s="117" t="str">
        <x:v>AutoLaunchedFlow</x:v>
      </x:c>
      <x:c r="I2562" s="118" t="n">
        <x:v>50</x:v>
      </x:c>
      <x:c r="J2562" s="117" t="str">
        <x:v>unmanaged</x:v>
      </x:c>
      <x:c r="K2562" s="123" t="b">
        <x:v>0</x:v>
      </x:c>
      <x:c r="L2562" s="117"/>
      <x:c r="M2562" s="118"/>
      <x:c r="N2562" s="120" t="n">
        <x:v>45604.039247685185</x:v>
      </x:c>
      <x:c r="O2562" s="117" t="str">
        <x:v>Delegate</x:v>
      </x:c>
      <x:c r="P2562" s="120" t="n">
        <x:v>45604.039305555554</x:v>
      </x:c>
      <x:c r="Q2562" s="117" t="str">
        <x:v>Delegate</x:v>
      </x:c>
      <x:c r="R2562" s="117" t="str">
        <x:v>Return to Vendor Create DB</x:v>
      </x:c>
      <x:c r="S2562" s="119"/>
    </x:row>
    <x:row r="2563" ht="30" customHeight="1">
      <x:c r="A2563" s="117" t="str">
        <x:v>Return_to_Vendor_Create_DB</x:v>
      </x:c>
      <x:c r="B2563" s="117" t="str">
        <x:v>3004O000000LOrAQAW</x:v>
      </x:c>
      <x:c r="C2563" s="117" t="str">
        <x:v>301Ro00000OzNuoIAF</x:v>
      </x:c>
      <x:c r="D2563" s="118" t="n">
        <x:v>6</x:v>
      </x:c>
      <x:c r="E2563" s="117" t="str">
        <x:v>Active</x:v>
      </x:c>
      <x:c r="F2563" s="117" t="str">
        <x:v>Yes</x:v>
      </x:c>
      <x:c r="G2563" s="117" t="str">
        <x:v>Yes</x:v>
      </x:c>
      <x:c r="H2563" s="117" t="str">
        <x:v>AutoLaunchedFlow</x:v>
      </x:c>
      <x:c r="I2563" s="118" t="n">
        <x:v>50</x:v>
      </x:c>
      <x:c r="J2563" s="117" t="str">
        <x:v>unmanaged</x:v>
      </x:c>
      <x:c r="K2563" s="123" t="b">
        <x:v>0</x:v>
      </x:c>
      <x:c r="L2563" s="117"/>
      <x:c r="M2563" s="118"/>
      <x:c r="N2563" s="120" t="n">
        <x:v>45614.77878472222</x:v>
      </x:c>
      <x:c r="O2563" s="117" t="str">
        <x:v>Delegate</x:v>
      </x:c>
      <x:c r="P2563" s="120" t="n">
        <x:v>45614.77908564815</x:v>
      </x:c>
      <x:c r="Q2563" s="117" t="str">
        <x:v>Delegate</x:v>
      </x:c>
      <x:c r="R2563" s="117" t="str">
        <x:v>Return to Vendor Create DB</x:v>
      </x:c>
      <x:c r="S2563" s="119"/>
    </x:row>
    <x:row r="2564" ht="30" customHeight="1">
      <x:c r="A2564" s="117" t="str">
        <x:v>RMA_Automations</x:v>
      </x:c>
      <x:c r="B2564" s="117" t="str">
        <x:v>300Ro00000SjMhAIAV</x:v>
      </x:c>
      <x:c r="C2564" s="117" t="str">
        <x:v>301Ro00000VjOFoIAN</x:v>
      </x:c>
      <x:c r="D2564" s="118" t="n">
        <x:v>1</x:v>
      </x:c>
      <x:c r="E2564" s="117" t="str">
        <x:v>Obsolete</x:v>
      </x:c>
      <x:c r="F2564" s="117" t="str">
        <x:v>No</x:v>
      </x:c>
      <x:c r="G2564" s="117" t="str">
        <x:v>No</x:v>
      </x:c>
      <x:c r="H2564" s="117" t="str">
        <x:v>AutoLaunchedFlow</x:v>
      </x:c>
      <x:c r="I2564" s="118" t="n">
        <x:v>63</x:v>
      </x:c>
      <x:c r="J2564" s="117" t="str">
        <x:v>unmanaged</x:v>
      </x:c>
      <x:c r="K2564" s="123" t="b">
        <x:v>0</x:v>
      </x:c>
      <x:c r="L2564" s="117"/>
      <x:c r="M2564" s="118"/>
      <x:c r="N2564" s="120" t="n">
        <x:v>45731.88141203704</x:v>
      </x:c>
      <x:c r="O2564" s="117" t="str">
        <x:v>Delegate</x:v>
      </x:c>
      <x:c r="P2564" s="120" t="n">
        <x:v>45731.88177083333</x:v>
      </x:c>
      <x:c r="Q2564" s="117" t="str">
        <x:v>Delegate</x:v>
      </x:c>
      <x:c r="R2564" s="117" t="str">
        <x:v>RMA Automations</x:v>
      </x:c>
      <x:c r="S2564" s="119"/>
    </x:row>
    <x:row r="2565" ht="30" customHeight="1">
      <x:c r="A2565" s="117" t="str">
        <x:v>RMA_Automations</x:v>
      </x:c>
      <x:c r="B2565" s="117" t="str">
        <x:v>300Ro00000SjMhAIAV</x:v>
      </x:c>
      <x:c r="C2565" s="117" t="str">
        <x:v>301Ro00000VjOanIAF</x:v>
      </x:c>
      <x:c r="D2565" s="118" t="n">
        <x:v>2</x:v>
      </x:c>
      <x:c r="E2565" s="117" t="str">
        <x:v>Obsolete</x:v>
      </x:c>
      <x:c r="F2565" s="117" t="str">
        <x:v>No</x:v>
      </x:c>
      <x:c r="G2565" s="117" t="str">
        <x:v>No</x:v>
      </x:c>
      <x:c r="H2565" s="117" t="str">
        <x:v>AutoLaunchedFlow</x:v>
      </x:c>
      <x:c r="I2565" s="118" t="n">
        <x:v>63</x:v>
      </x:c>
      <x:c r="J2565" s="117" t="str">
        <x:v>unmanaged</x:v>
      </x:c>
      <x:c r="K2565" s="123" t="b">
        <x:v>0</x:v>
      </x:c>
      <x:c r="L2565" s="117"/>
      <x:c r="M2565" s="118"/>
      <x:c r="N2565" s="120" t="n">
        <x:v>45731.882997685185</x:v>
      </x:c>
      <x:c r="O2565" s="117" t="str">
        <x:v>Delegate</x:v>
      </x:c>
      <x:c r="P2565" s="120" t="n">
        <x:v>45731.883043981485</x:v>
      </x:c>
      <x:c r="Q2565" s="117" t="str">
        <x:v>Delegate</x:v>
      </x:c>
      <x:c r="R2565" s="117" t="str">
        <x:v>RMA Automations</x:v>
      </x:c>
      <x:c r="S2565" s="119"/>
    </x:row>
    <x:row r="2566" ht="30" customHeight="1">
      <x:c r="A2566" s="117" t="str">
        <x:v>RMA_Automations</x:v>
      </x:c>
      <x:c r="B2566" s="117" t="str">
        <x:v>300Ro00000SjMhAIAV</x:v>
      </x:c>
      <x:c r="C2566" s="117" t="str">
        <x:v>301Ro00000VjSRYIA3</x:v>
      </x:c>
      <x:c r="D2566" s="118" t="n">
        <x:v>3</x:v>
      </x:c>
      <x:c r="E2566" s="117" t="str">
        <x:v>Obsolete</x:v>
      </x:c>
      <x:c r="F2566" s="117" t="str">
        <x:v>No</x:v>
      </x:c>
      <x:c r="G2566" s="117" t="str">
        <x:v>No</x:v>
      </x:c>
      <x:c r="H2566" s="117" t="str">
        <x:v>AutoLaunchedFlow</x:v>
      </x:c>
      <x:c r="I2566" s="118" t="n">
        <x:v>63</x:v>
      </x:c>
      <x:c r="J2566" s="117" t="str">
        <x:v>unmanaged</x:v>
      </x:c>
      <x:c r="K2566" s="123" t="b">
        <x:v>0</x:v>
      </x:c>
      <x:c r="L2566" s="117"/>
      <x:c r="M2566" s="118"/>
      <x:c r="N2566" s="120" t="n">
        <x:v>45731.88662037037</x:v>
      </x:c>
      <x:c r="O2566" s="117" t="str">
        <x:v>Delegate</x:v>
      </x:c>
      <x:c r="P2566" s="120" t="n">
        <x:v>45731.88668981481</x:v>
      </x:c>
      <x:c r="Q2566" s="117" t="str">
        <x:v>Delegate</x:v>
      </x:c>
      <x:c r="R2566" s="117" t="str">
        <x:v>RMA Automations</x:v>
      </x:c>
      <x:c r="S2566" s="119"/>
    </x:row>
    <x:row r="2567" ht="30" customHeight="1">
      <x:c r="A2567" s="117" t="str">
        <x:v>RMA_Automations</x:v>
      </x:c>
      <x:c r="B2567" s="117" t="str">
        <x:v>300Ro00000SjMhAIAV</x:v>
      </x:c>
      <x:c r="C2567" s="117" t="str">
        <x:v>301Ro00000VjETSIA3</x:v>
      </x:c>
      <x:c r="D2567" s="118" t="n">
        <x:v>4</x:v>
      </x:c>
      <x:c r="E2567" s="117" t="str">
        <x:v>Obsolete</x:v>
      </x:c>
      <x:c r="F2567" s="117" t="str">
        <x:v>No</x:v>
      </x:c>
      <x:c r="G2567" s="117" t="str">
        <x:v>No</x:v>
      </x:c>
      <x:c r="H2567" s="117" t="str">
        <x:v>AutoLaunchedFlow</x:v>
      </x:c>
      <x:c r="I2567" s="118" t="n">
        <x:v>63</x:v>
      </x:c>
      <x:c r="J2567" s="117" t="str">
        <x:v>unmanaged</x:v>
      </x:c>
      <x:c r="K2567" s="123" t="b">
        <x:v>0</x:v>
      </x:c>
      <x:c r="L2567" s="117"/>
      <x:c r="M2567" s="118"/>
      <x:c r="N2567" s="120" t="n">
        <x:v>45731.8890625</x:v>
      </x:c>
      <x:c r="O2567" s="117" t="str">
        <x:v>Delegate</x:v>
      </x:c>
      <x:c r="P2567" s="120" t="n">
        <x:v>45731.88914351852</x:v>
      </x:c>
      <x:c r="Q2567" s="117" t="str">
        <x:v>Delegate</x:v>
      </x:c>
      <x:c r="R2567" s="117" t="str">
        <x:v>RMA Automations</x:v>
      </x:c>
      <x:c r="S2567" s="119"/>
    </x:row>
    <x:row r="2568" ht="30" customHeight="1">
      <x:c r="A2568" s="117" t="str">
        <x:v>RMA_Automations</x:v>
      </x:c>
      <x:c r="B2568" s="117" t="str">
        <x:v>300Ro00000SjMhAIAV</x:v>
      </x:c>
      <x:c r="C2568" s="117" t="str">
        <x:v>301Ro00000Y05fHIAR</x:v>
      </x:c>
      <x:c r="D2568" s="118" t="n">
        <x:v>5</x:v>
      </x:c>
      <x:c r="E2568" s="117" t="str">
        <x:v>Obsolete</x:v>
      </x:c>
      <x:c r="F2568" s="117" t="str">
        <x:v>No</x:v>
      </x:c>
      <x:c r="G2568" s="117" t="str">
        <x:v>No</x:v>
      </x:c>
      <x:c r="H2568" s="117" t="str">
        <x:v>AutoLaunchedFlow</x:v>
      </x:c>
      <x:c r="I2568" s="118" t="n">
        <x:v>63</x:v>
      </x:c>
      <x:c r="J2568" s="117" t="str">
        <x:v>unmanaged</x:v>
      </x:c>
      <x:c r="K2568" s="123" t="b">
        <x:v>0</x:v>
      </x:c>
      <x:c r="L2568" s="117"/>
      <x:c r="M2568" s="118"/>
      <x:c r="N2568" s="120" t="n">
        <x:v>45772.61179398148</x:v>
      </x:c>
      <x:c r="O2568" s="117" t="str">
        <x:v>Delegate</x:v>
      </x:c>
      <x:c r="P2568" s="120" t="n">
        <x:v>45772.61219907407</x:v>
      </x:c>
      <x:c r="Q2568" s="117" t="str">
        <x:v>Delegate</x:v>
      </x:c>
      <x:c r="R2568" s="117" t="str">
        <x:v>RMA Automations</x:v>
      </x:c>
      <x:c r="S2568" s="119" t="str">
        <x:v>Corrected Decision node to trigger update</x:v>
      </x:c>
    </x:row>
    <x:row r="2569" ht="30" customHeight="1">
      <x:c r="A2569" s="117" t="str">
        <x:v>RMA_Automations</x:v>
      </x:c>
      <x:c r="B2569" s="117" t="str">
        <x:v>300Ro00000SjMhAIAV</x:v>
      </x:c>
      <x:c r="C2569" s="117" t="str">
        <x:v>301Ro00000Y00pTIAR</x:v>
      </x:c>
      <x:c r="D2569" s="118" t="n">
        <x:v>6</x:v>
      </x:c>
      <x:c r="E2569" s="117" t="str">
        <x:v>Obsolete</x:v>
      </x:c>
      <x:c r="F2569" s="117" t="str">
        <x:v>No</x:v>
      </x:c>
      <x:c r="G2569" s="117" t="str">
        <x:v>No</x:v>
      </x:c>
      <x:c r="H2569" s="117" t="str">
        <x:v>AutoLaunchedFlow</x:v>
      </x:c>
      <x:c r="I2569" s="118" t="n">
        <x:v>63</x:v>
      </x:c>
      <x:c r="J2569" s="117" t="str">
        <x:v>unmanaged</x:v>
      </x:c>
      <x:c r="K2569" s="123" t="b">
        <x:v>0</x:v>
      </x:c>
      <x:c r="L2569" s="117"/>
      <x:c r="M2569" s="118"/>
      <x:c r="N2569" s="120" t="n">
        <x:v>45772.63398148148</x:v>
      </x:c>
      <x:c r="O2569" s="117" t="str">
        <x:v>Delegate</x:v>
      </x:c>
      <x:c r="P2569" s="120" t="n">
        <x:v>45772.63449074074</x:v>
      </x:c>
      <x:c r="Q2569" s="117" t="str">
        <x:v>Delegate</x:v>
      </x:c>
      <x:c r="R2569" s="117" t="str">
        <x:v>RMA Automations</x:v>
      </x:c>
      <x:c r="S2569" s="119" t="str">
        <x:v>Added Vendor Sourcing</x:v>
      </x:c>
    </x:row>
    <x:row r="2570" ht="30" customHeight="1">
      <x:c r="A2570" s="117" t="str">
        <x:v>RMA_Automations</x:v>
      </x:c>
      <x:c r="B2570" s="117" t="str">
        <x:v>300Ro00000SjMhAIAV</x:v>
      </x:c>
      <x:c r="C2570" s="117" t="str">
        <x:v>301Ro00000Y0KSzIAN</x:v>
      </x:c>
      <x:c r="D2570" s="118" t="n">
        <x:v>7</x:v>
      </x:c>
      <x:c r="E2570" s="117" t="str">
        <x:v>Obsolete</x:v>
      </x:c>
      <x:c r="F2570" s="117" t="str">
        <x:v>No</x:v>
      </x:c>
      <x:c r="G2570" s="117" t="str">
        <x:v>No</x:v>
      </x:c>
      <x:c r="H2570" s="117" t="str">
        <x:v>AutoLaunchedFlow</x:v>
      </x:c>
      <x:c r="I2570" s="118" t="n">
        <x:v>63</x:v>
      </x:c>
      <x:c r="J2570" s="117" t="str">
        <x:v>unmanaged</x:v>
      </x:c>
      <x:c r="K2570" s="123" t="b">
        <x:v>0</x:v>
      </x:c>
      <x:c r="L2570" s="117"/>
      <x:c r="M2570" s="118"/>
      <x:c r="N2570" s="120" t="n">
        <x:v>45772.640694444446</x:v>
      </x:c>
      <x:c r="O2570" s="117" t="str">
        <x:v>Delegate</x:v>
      </x:c>
      <x:c r="P2570" s="120" t="n">
        <x:v>45772.640856481485</x:v>
      </x:c>
      <x:c r="Q2570" s="117" t="str">
        <x:v>Delegate</x:v>
      </x:c>
      <x:c r="R2570" s="117" t="str">
        <x:v>RMA Automations</x:v>
      </x:c>
      <x:c r="S2570" s="119" t="str">
        <x:v>Tagging Vendor Sourced</x:v>
      </x:c>
    </x:row>
    <x:row r="2571" ht="30" customHeight="1">
      <x:c r="A2571" s="117" t="str">
        <x:v>RMA_Automations</x:v>
      </x:c>
      <x:c r="B2571" s="117" t="str">
        <x:v>300Ro00000SjMhAIAV</x:v>
      </x:c>
      <x:c r="C2571" s="117" t="str">
        <x:v>301Ro00000civb2IAA</x:v>
      </x:c>
      <x:c r="D2571" s="118" t="n">
        <x:v>8</x:v>
      </x:c>
      <x:c r="E2571" s="117" t="str">
        <x:v>Obsolete</x:v>
      </x:c>
      <x:c r="F2571" s="117" t="str">
        <x:v>No</x:v>
      </x:c>
      <x:c r="G2571" s="117" t="str">
        <x:v>No</x:v>
      </x:c>
      <x:c r="H2571" s="117" t="str">
        <x:v>AutoLaunchedFlow</x:v>
      </x:c>
      <x:c r="I2571" s="118" t="n">
        <x:v>63</x:v>
      </x:c>
      <x:c r="J2571" s="117" t="str">
        <x:v>unmanaged</x:v>
      </x:c>
      <x:c r="K2571" s="123" t="b">
        <x:v>0</x:v>
      </x:c>
      <x:c r="L2571" s="117"/>
      <x:c r="M2571" s="118"/>
      <x:c r="N2571" s="120" t="n">
        <x:v>45832.61702546296</x:v>
      </x:c>
      <x:c r="O2571" s="117" t="str">
        <x:v>Delegate</x:v>
      </x:c>
      <x:c r="P2571" s="120" t="n">
        <x:v>45832.61876157407</x:v>
      </x:c>
      <x:c r="Q2571" s="117" t="str">
        <x:v>Delegate</x:v>
      </x:c>
      <x:c r="R2571" s="117" t="str">
        <x:v>RMA Automations</x:v>
      </x:c>
      <x:c r="S2571" s="119" t="str">
        <x:v>Add Invoice to RMA</x:v>
      </x:c>
    </x:row>
    <x:row r="2572" ht="30" customHeight="1">
      <x:c r="A2572" s="117" t="str">
        <x:v>RMA_Automations</x:v>
      </x:c>
      <x:c r="B2572" s="117" t="str">
        <x:v>300Ro00000SjMhAIAV</x:v>
      </x:c>
      <x:c r="C2572" s="117" t="str">
        <x:v>301Ro00000cjBkbIAE</x:v>
      </x:c>
      <x:c r="D2572" s="118" t="n">
        <x:v>9</x:v>
      </x:c>
      <x:c r="E2572" s="117" t="str">
        <x:v>Obsolete</x:v>
      </x:c>
      <x:c r="F2572" s="117" t="str">
        <x:v>No</x:v>
      </x:c>
      <x:c r="G2572" s="117" t="str">
        <x:v>No</x:v>
      </x:c>
      <x:c r="H2572" s="117" t="str">
        <x:v>AutoLaunchedFlow</x:v>
      </x:c>
      <x:c r="I2572" s="118" t="n">
        <x:v>63</x:v>
      </x:c>
      <x:c r="J2572" s="117" t="str">
        <x:v>unmanaged</x:v>
      </x:c>
      <x:c r="K2572" s="123" t="b">
        <x:v>0</x:v>
      </x:c>
      <x:c r="L2572" s="117"/>
      <x:c r="M2572" s="118"/>
      <x:c r="N2572" s="120" t="n">
        <x:v>45832.620034722226</x:v>
      </x:c>
      <x:c r="O2572" s="117" t="str">
        <x:v>Delegate</x:v>
      </x:c>
      <x:c r="P2572" s="120" t="n">
        <x:v>45832.620405092595</x:v>
      </x:c>
      <x:c r="Q2572" s="117" t="str">
        <x:v>Delegate</x:v>
      </x:c>
      <x:c r="R2572" s="117" t="str">
        <x:v>RMA Automations</x:v>
      </x:c>
      <x:c r="S2572" s="119" t="str">
        <x:v>Add Invoice to RMA</x:v>
      </x:c>
    </x:row>
    <x:row r="2573" ht="30" customHeight="1">
      <x:c r="A2573" s="117" t="str">
        <x:v>RMA_Automations</x:v>
      </x:c>
      <x:c r="B2573" s="117" t="str">
        <x:v>300Ro00000SjMhAIAV</x:v>
      </x:c>
      <x:c r="C2573" s="117" t="str">
        <x:v>301Ro00000ciqjXIAQ</x:v>
      </x:c>
      <x:c r="D2573" s="118" t="n">
        <x:v>10</x:v>
      </x:c>
      <x:c r="E2573" s="117" t="str">
        <x:v>Obsolete</x:v>
      </x:c>
      <x:c r="F2573" s="117" t="str">
        <x:v>No</x:v>
      </x:c>
      <x:c r="G2573" s="117" t="str">
        <x:v>No</x:v>
      </x:c>
      <x:c r="H2573" s="117" t="str">
        <x:v>AutoLaunchedFlow</x:v>
      </x:c>
      <x:c r="I2573" s="118" t="n">
        <x:v>63</x:v>
      </x:c>
      <x:c r="J2573" s="117" t="str">
        <x:v>unmanaged</x:v>
      </x:c>
      <x:c r="K2573" s="123" t="b">
        <x:v>0</x:v>
      </x:c>
      <x:c r="L2573" s="117"/>
      <x:c r="M2573" s="118"/>
      <x:c r="N2573" s="120" t="n">
        <x:v>45832.63082175926</x:v>
      </x:c>
      <x:c r="O2573" s="117" t="str">
        <x:v>Delegate</x:v>
      </x:c>
      <x:c r="P2573" s="120" t="n">
        <x:v>45832.631423611114</x:v>
      </x:c>
      <x:c r="Q2573" s="117" t="str">
        <x:v>Delegate</x:v>
      </x:c>
      <x:c r="R2573" s="117" t="str">
        <x:v>RMA Automations</x:v>
      </x:c>
      <x:c r="S2573" s="119" t="str">
        <x:v>Add Invoice to RMA</x:v>
      </x:c>
    </x:row>
    <x:row r="2574" ht="30" customHeight="1">
      <x:c r="A2574" s="117" t="str">
        <x:v>RMA_Automations</x:v>
      </x:c>
      <x:c r="B2574" s="117" t="str">
        <x:v>300Ro00000SjMhAIAV</x:v>
      </x:c>
      <x:c r="C2574" s="117" t="str">
        <x:v>301Ro00000cij0UIAQ</x:v>
      </x:c>
      <x:c r="D2574" s="118" t="n">
        <x:v>11</x:v>
      </x:c>
      <x:c r="E2574" s="117" t="str">
        <x:v>Obsolete</x:v>
      </x:c>
      <x:c r="F2574" s="117" t="str">
        <x:v>No</x:v>
      </x:c>
      <x:c r="G2574" s="117" t="str">
        <x:v>No</x:v>
      </x:c>
      <x:c r="H2574" s="117" t="str">
        <x:v>AutoLaunchedFlow</x:v>
      </x:c>
      <x:c r="I2574" s="118" t="n">
        <x:v>63</x:v>
      </x:c>
      <x:c r="J2574" s="117" t="str">
        <x:v>unmanaged</x:v>
      </x:c>
      <x:c r="K2574" s="123" t="b">
        <x:v>0</x:v>
      </x:c>
      <x:c r="L2574" s="117"/>
      <x:c r="M2574" s="118"/>
      <x:c r="N2574" s="120" t="n">
        <x:v>45832.63769675926</x:v>
      </x:c>
      <x:c r="O2574" s="117" t="str">
        <x:v>Delegate</x:v>
      </x:c>
      <x:c r="P2574" s="120" t="n">
        <x:v>45832.63780092593</x:v>
      </x:c>
      <x:c r="Q2574" s="117" t="str">
        <x:v>Delegate</x:v>
      </x:c>
      <x:c r="R2574" s="117" t="str">
        <x:v>RMA Automations</x:v>
      </x:c>
      <x:c r="S2574" s="119" t="str">
        <x:v>Add Invoice to RMA</x:v>
      </x:c>
    </x:row>
    <x:row r="2575" ht="30" customHeight="1">
      <x:c r="A2575" s="117" t="str">
        <x:v>RMA_Automations</x:v>
      </x:c>
      <x:c r="B2575" s="117" t="str">
        <x:v>300Ro00000SjMhAIAV</x:v>
      </x:c>
      <x:c r="C2575" s="117" t="str">
        <x:v>301Ro00000gDdzVIAS</x:v>
      </x:c>
      <x:c r="D2575" s="118" t="n">
        <x:v>12</x:v>
      </x:c>
      <x:c r="E2575" s="117" t="str">
        <x:v>Draft</x:v>
      </x:c>
      <x:c r="F2575" s="117" t="str">
        <x:v>No</x:v>
      </x:c>
      <x:c r="G2575" s="117" t="str">
        <x:v>No</x:v>
      </x:c>
      <x:c r="H2575" s="117" t="str">
        <x:v>AutoLaunchedFlow</x:v>
      </x:c>
      <x:c r="I2575" s="118" t="n">
        <x:v>64</x:v>
      </x:c>
      <x:c r="J2575" s="117" t="str">
        <x:v>unmanaged</x:v>
      </x:c>
      <x:c r="K2575" s="123" t="b">
        <x:v>0</x:v>
      </x:c>
      <x:c r="L2575" s="117"/>
      <x:c r="M2575" s="118"/>
      <x:c r="N2575" s="120" t="n">
        <x:v>45861.90356481481</x:v>
      </x:c>
      <x:c r="O2575" s="117" t="str">
        <x:v>Sacha Pearce</x:v>
      </x:c>
      <x:c r="P2575" s="120" t="n">
        <x:v>45861.90361111111</x:v>
      </x:c>
      <x:c r="Q2575" s="117" t="str">
        <x:v>Sacha Pearce</x:v>
      </x:c>
      <x:c r="R2575" s="117" t="str">
        <x:v>RMA Automations</x:v>
      </x:c>
      <x:c r="S2575" s="119"/>
    </x:row>
    <x:row r="2576" ht="30" customHeight="1">
      <x:c r="A2576" s="117" t="str">
        <x:v>RMA_Automations</x:v>
      </x:c>
      <x:c r="B2576" s="117" t="str">
        <x:v>300Ro00000SjMhAIAV</x:v>
      </x:c>
      <x:c r="C2576" s="117" t="str">
        <x:v>301Ro00000gFcZRIA0</x:v>
      </x:c>
      <x:c r="D2576" s="118" t="n">
        <x:v>13</x:v>
      </x:c>
      <x:c r="E2576" s="117" t="str">
        <x:v>Obsolete</x:v>
      </x:c>
      <x:c r="F2576" s="117" t="str">
        <x:v>No</x:v>
      </x:c>
      <x:c r="G2576" s="117" t="str">
        <x:v>No</x:v>
      </x:c>
      <x:c r="H2576" s="117" t="str">
        <x:v>AutoLaunchedFlow</x:v>
      </x:c>
      <x:c r="I2576" s="118" t="n">
        <x:v>63</x:v>
      </x:c>
      <x:c r="J2576" s="117" t="str">
        <x:v>unmanaged</x:v>
      </x:c>
      <x:c r="K2576" s="123" t="b">
        <x:v>0</x:v>
      </x:c>
      <x:c r="L2576" s="117"/>
      <x:c r="M2576" s="118"/>
      <x:c r="N2576" s="120" t="n">
        <x:v>45862.37793981482</x:v>
      </x:c>
      <x:c r="O2576" s="117" t="str">
        <x:v>Sacha Pearce</x:v>
      </x:c>
      <x:c r="P2576" s="120" t="n">
        <x:v>45862.37800925926</x:v>
      </x:c>
      <x:c r="Q2576" s="117" t="str">
        <x:v>Sacha Pearce</x:v>
      </x:c>
      <x:c r="R2576" s="117" t="str">
        <x:v>RMA Automations</x:v>
      </x:c>
      <x:c r="S2576" s="119" t="str">
        <x:v>Add Invoice to RMA
24/07/2025 - V13 - SP - Adding a Decision that looks at the Part Return Condition to assign an appropriate Functional Rating.</x:v>
      </x:c>
    </x:row>
    <x:row r="2577" ht="30" customHeight="1">
      <x:c r="A2577" s="117" t="str">
        <x:v>RMA_Automations</x:v>
      </x:c>
      <x:c r="B2577" s="117" t="str">
        <x:v>300Ro00000SjMhAIAV</x:v>
      </x:c>
      <x:c r="C2577" s="117" t="str">
        <x:v>301Ro00000gFnjOIAS</x:v>
      </x:c>
      <x:c r="D2577" s="118" t="n">
        <x:v>14</x:v>
      </x:c>
      <x:c r="E2577" s="117" t="str">
        <x:v>Obsolete</x:v>
      </x:c>
      <x:c r="F2577" s="117" t="str">
        <x:v>No</x:v>
      </x:c>
      <x:c r="G2577" s="117" t="str">
        <x:v>No</x:v>
      </x:c>
      <x:c r="H2577" s="117" t="str">
        <x:v>AutoLaunchedFlow</x:v>
      </x:c>
      <x:c r="I2577" s="118" t="n">
        <x:v>63</x:v>
      </x:c>
      <x:c r="J2577" s="117" t="str">
        <x:v>unmanaged</x:v>
      </x:c>
      <x:c r="K2577" s="123" t="b">
        <x:v>0</x:v>
      </x:c>
      <x:c r="L2577" s="117"/>
      <x:c r="M2577" s="118"/>
      <x:c r="N2577" s="120" t="n">
        <x:v>45862.45643518519</x:v>
      </x:c>
      <x:c r="O2577" s="117" t="str">
        <x:v>Sacha Pearce</x:v>
      </x:c>
      <x:c r="P2577" s="120" t="n">
        <x:v>45862.45650462963</x:v>
      </x:c>
      <x:c r="Q2577" s="117" t="str">
        <x:v>Sacha Pearce</x:v>
      </x:c>
      <x:c r="R2577" s="117" t="str">
        <x:v>RMA Automations</x:v>
      </x:c>
      <x:c r="S2577" s="119" t="str">
        <x:v>Add Invoice to RMA
24/07/2025 - V13 - SP - Adding a Decision that looks at the Part Return Condition to assign an appropriate Functional Rating.
24/07/2025 - V14 - SP - Amended Asset changed to RMA Item Receive Date changed.</x:v>
      </x:c>
    </x:row>
    <x:row r="2578" ht="30" customHeight="1">
      <x:c r="A2578" s="117" t="str">
        <x:v>RMA_Automations</x:v>
      </x:c>
      <x:c r="B2578" s="117" t="str">
        <x:v>300Ro00000SjMhAIAV</x:v>
      </x:c>
      <x:c r="C2578" s="117" t="str">
        <x:v>301Ro00000gFp6rIAC</x:v>
      </x:c>
      <x:c r="D2578" s="118" t="n">
        <x:v>15</x:v>
      </x:c>
      <x:c r="E2578" s="117" t="str">
        <x:v>Obsolete</x:v>
      </x:c>
      <x:c r="F2578" s="117" t="str">
        <x:v>No</x:v>
      </x:c>
      <x:c r="G2578" s="117" t="str">
        <x:v>No</x:v>
      </x:c>
      <x:c r="H2578" s="117" t="str">
        <x:v>AutoLaunchedFlow</x:v>
      </x:c>
      <x:c r="I2578" s="118" t="n">
        <x:v>63</x:v>
      </x:c>
      <x:c r="J2578" s="117" t="str">
        <x:v>unmanaged</x:v>
      </x:c>
      <x:c r="K2578" s="123" t="b">
        <x:v>0</x:v>
      </x:c>
      <x:c r="L2578" s="117"/>
      <x:c r="M2578" s="118"/>
      <x:c r="N2578" s="120" t="n">
        <x:v>45862.46207175926</x:v>
      </x:c>
      <x:c r="O2578" s="117" t="str">
        <x:v>Sacha Pearce</x:v>
      </x:c>
      <x:c r="P2578" s="120" t="n">
        <x:v>45862.4621412037</x:v>
      </x:c>
      <x:c r="Q2578" s="117" t="str">
        <x:v>Sacha Pearce</x:v>
      </x:c>
      <x:c r="R2578" s="117" t="str">
        <x:v>RMA Automations</x:v>
      </x:c>
      <x:c r="S2578" s="119" t="str">
        <x:v>Add Invoice to RMA
24/07/2025 - V13 - SP - Adding a Decision that looks at the Part Return Condition to assign an appropriate Functional Rating.
24/07/2025 - V14 - SP - Amended Asset changed to RMA Item Receive Date changed.
24/07/2025 - V15 - SP - Amended RMA ID to 0120B000000QxnDQAS</x:v>
      </x:c>
    </x:row>
    <x:row r="2579" ht="30" customHeight="1">
      <x:c r="A2579" s="117" t="str">
        <x:v>RMA_Automations</x:v>
      </x:c>
      <x:c r="B2579" s="117" t="str">
        <x:v>300Ro00000SjMhAIAV</x:v>
      </x:c>
      <x:c r="C2579" s="117" t="str">
        <x:v>301Ro00000gFxXRIA0</x:v>
      </x:c>
      <x:c r="D2579" s="118" t="n">
        <x:v>16</x:v>
      </x:c>
      <x:c r="E2579" s="117" t="str">
        <x:v>Obsolete</x:v>
      </x:c>
      <x:c r="F2579" s="117" t="str">
        <x:v>No</x:v>
      </x:c>
      <x:c r="G2579" s="117" t="str">
        <x:v>No</x:v>
      </x:c>
      <x:c r="H2579" s="117" t="str">
        <x:v>AutoLaunchedFlow</x:v>
      </x:c>
      <x:c r="I2579" s="118" t="n">
        <x:v>63</x:v>
      </x:c>
      <x:c r="J2579" s="117" t="str">
        <x:v>unmanaged</x:v>
      </x:c>
      <x:c r="K2579" s="123" t="b">
        <x:v>0</x:v>
      </x:c>
      <x:c r="L2579" s="117"/>
      <x:c r="M2579" s="118"/>
      <x:c r="N2579" s="120" t="n">
        <x:v>45862.50849537037</x:v>
      </x:c>
      <x:c r="O2579" s="117" t="str">
        <x:v>Sacha Pearce</x:v>
      </x:c>
      <x:c r="P2579" s="120" t="n">
        <x:v>45862.508622685185</x:v>
      </x:c>
      <x:c r="Q2579" s="117" t="str">
        <x:v>Sacha Pearce</x:v>
      </x:c>
      <x:c r="R2579" s="117" t="str">
        <x:v>RMA Automations</x:v>
      </x:c>
      <x:c r="S2579" s="119" t="str">
        <x:v>Add Invoice to RMA
24/07/2025 - V13 - SP - Adding a Decision that looks at the Part Return Condition to assign an appropriate Functional Rating.
24/07/2025 - V14 - SP - Amended Asset changed to RMA Item Receive Date changed.
24/07/2025 - V15 - SP - Amended RMA ID to 0120B000000QxnDQAS
25/07/2025 - V16 - SP - Amended Assign Previous Functional Rating Element</x:v>
      </x:c>
    </x:row>
    <x:row r="2580" ht="30" customHeight="1">
      <x:c r="A2580" s="117" t="str">
        <x:v>RMA_Automations</x:v>
      </x:c>
      <x:c r="B2580" s="117" t="str">
        <x:v>300Ro00000SjMhAIAV</x:v>
      </x:c>
      <x:c r="C2580" s="117" t="str">
        <x:v>301Ro00000gFyzlIAC</x:v>
      </x:c>
      <x:c r="D2580" s="118" t="n">
        <x:v>17</x:v>
      </x:c>
      <x:c r="E2580" s="117" t="str">
        <x:v>Obsolete</x:v>
      </x:c>
      <x:c r="F2580" s="117" t="str">
        <x:v>No</x:v>
      </x:c>
      <x:c r="G2580" s="117" t="str">
        <x:v>No</x:v>
      </x:c>
      <x:c r="H2580" s="117" t="str">
        <x:v>AutoLaunchedFlow</x:v>
      </x:c>
      <x:c r="I2580" s="118" t="n">
        <x:v>63</x:v>
      </x:c>
      <x:c r="J2580" s="117" t="str">
        <x:v>unmanaged</x:v>
      </x:c>
      <x:c r="K2580" s="123" t="b">
        <x:v>0</x:v>
      </x:c>
      <x:c r="L2580" s="117"/>
      <x:c r="M2580" s="118"/>
      <x:c r="N2580" s="120" t="n">
        <x:v>45862.51118055556</x:v>
      </x:c>
      <x:c r="O2580" s="117" t="str">
        <x:v>Sacha Pearce</x:v>
      </x:c>
      <x:c r="P2580" s="120" t="n">
        <x:v>45862.51130787037</x:v>
      </x:c>
      <x:c r="Q2580" s="117" t="str">
        <x:v>Sacha Pearce</x:v>
      </x:c>
      <x:c r="R2580" s="117" t="str">
        <x:v>RMA Automations</x:v>
      </x:c>
      <x:c r="S2580" s="119" t="str">
        <x:v>Add Invoice to RMA
24/07/2025 - V13 - SP - Adding a Decision that looks at the Part Return Condition to assign an appropriate Functional Rating.
24/07/2025 - V14 - SP - Amended Asset changed to RMA Item Receive Date changed.
24/07/2025 - V15 - SP - Amended RMA ID to 0120B000000QxnDQAS
25/07/2025 - V16 - SP - Amended Assign Previous Functional Rating Element
25/07/2025 - V17 - SP - Added Get Records to Not Fitted route</x:v>
      </x:c>
    </x:row>
    <x:row r="2581" ht="30" customHeight="1">
      <x:c r="A2581" s="117" t="str">
        <x:v>RMA_Automations</x:v>
      </x:c>
      <x:c r="B2581" s="117" t="str">
        <x:v>300Ro00000SjMhAIAV</x:v>
      </x:c>
      <x:c r="C2581" s="117" t="str">
        <x:v>301Ro00000gG1WEIA0</x:v>
      </x:c>
      <x:c r="D2581" s="118" t="n">
        <x:v>18</x:v>
      </x:c>
      <x:c r="E2581" s="117" t="str">
        <x:v>Obsolete</x:v>
      </x:c>
      <x:c r="F2581" s="117" t="str">
        <x:v>No</x:v>
      </x:c>
      <x:c r="G2581" s="117" t="str">
        <x:v>No</x:v>
      </x:c>
      <x:c r="H2581" s="117" t="str">
        <x:v>AutoLaunchedFlow</x:v>
      </x:c>
      <x:c r="I2581" s="118" t="n">
        <x:v>63</x:v>
      </x:c>
      <x:c r="J2581" s="117" t="str">
        <x:v>unmanaged</x:v>
      </x:c>
      <x:c r="K2581" s="123" t="b">
        <x:v>0</x:v>
      </x:c>
      <x:c r="L2581" s="117"/>
      <x:c r="M2581" s="118"/>
      <x:c r="N2581" s="120" t="n">
        <x:v>45862.52009259259</x:v>
      </x:c>
      <x:c r="O2581" s="117" t="str">
        <x:v>Sacha Pearce</x:v>
      </x:c>
      <x:c r="P2581" s="120" t="n">
        <x:v>45862.52017361111</x:v>
      </x:c>
      <x:c r="Q2581" s="117" t="str">
        <x:v>Sacha Pearce</x:v>
      </x:c>
      <x:c r="R2581" s="117" t="str">
        <x:v>RMA Automations</x:v>
      </x:c>
      <x:c r="S2581" s="119" t="str">
        <x:v>Add Invoice to RMA
24/07/2025 - V13 - SP - Adding a Decision that looks at the Part Return Condition to assign an appropriate Functional Rating.
24/07/2025 - V14 - SP - Amended Asset changed to RMA Item Receive Date changed.
24/07/2025 - V15 - SP - Amended RMA ID to 0120B000000QxnDQAS
25/07/2025 - V16 - SP - Amended Assign Previous Functional Rating Element
25/07/2025 - V17 - SP - Added Get Records to Not Fitted route
25/07/2025 - V18 - SP - Adjusting the Part Note Fitter route to pull historical ratings</x:v>
      </x:c>
    </x:row>
    <x:row r="2582" ht="30" customHeight="1">
      <x:c r="A2582" s="117" t="str">
        <x:v>RMA_Automations</x:v>
      </x:c>
      <x:c r="B2582" s="117" t="str">
        <x:v>300Ro00000SjMhAIAV</x:v>
      </x:c>
      <x:c r="C2582" s="117" t="str">
        <x:v>301Ro00000gFlUlIAK</x:v>
      </x:c>
      <x:c r="D2582" s="118" t="n">
        <x:v>19</x:v>
      </x:c>
      <x:c r="E2582" s="117" t="str">
        <x:v>Obsolete</x:v>
      </x:c>
      <x:c r="F2582" s="117" t="str">
        <x:v>No</x:v>
      </x:c>
      <x:c r="G2582" s="117" t="str">
        <x:v>No</x:v>
      </x:c>
      <x:c r="H2582" s="117" t="str">
        <x:v>AutoLaunchedFlow</x:v>
      </x:c>
      <x:c r="I2582" s="118" t="n">
        <x:v>63</x:v>
      </x:c>
      <x:c r="J2582" s="117" t="str">
        <x:v>unmanaged</x:v>
      </x:c>
      <x:c r="K2582" s="123" t="b">
        <x:v>0</x:v>
      </x:c>
      <x:c r="L2582" s="117"/>
      <x:c r="M2582" s="118"/>
      <x:c r="N2582" s="120" t="n">
        <x:v>45862.524351851855</x:v>
      </x:c>
      <x:c r="O2582" s="117" t="str">
        <x:v>Sacha Pearce</x:v>
      </x:c>
      <x:c r="P2582" s="120" t="n">
        <x:v>45862.52443287037</x:v>
      </x:c>
      <x:c r="Q2582" s="117" t="str">
        <x:v>Sacha Pearce</x:v>
      </x:c>
      <x:c r="R2582" s="117" t="str">
        <x:v>RMA Automations</x:v>
      </x:c>
      <x:c r="S2582" s="119" t="str">
        <x:v>Add Invoice to RMA
24/07/2025 - V13 - SP - Adding a Decision that looks at the Part Return Condition to assign an appropriate Functional Rating.
24/07/2025 - V14 - SP - Amended Asset changed to RMA Item Receive Date changed.
24/07/2025 - V15 - SP - Amended RMA ID to 0120B000000QxnDQAS
25/07/2025 - V16 - SP - Amended Assign Previous Functional Rating Element
25/07/2025 - V17 - SP - Added Get Records to Not Fitted route
25/07/2025 - V18 - SP - Adjusting the Part Not Fitted route to pull historical ratings
25/07/2025 - V19 - SP - Adjusting the Part Not Fitted route to pull historical ratings</x:v>
      </x:c>
    </x:row>
    <x:row r="2583" ht="30" customHeight="1">
      <x:c r="A2583" s="117" t="str">
        <x:v>RMA_Automations</x:v>
      </x:c>
      <x:c r="B2583" s="117" t="str">
        <x:v>300Ro00000SjMhAIAV</x:v>
      </x:c>
      <x:c r="C2583" s="117" t="str">
        <x:v>301Ro00000gG2fCIAS</x:v>
      </x:c>
      <x:c r="D2583" s="118" t="n">
        <x:v>20</x:v>
      </x:c>
      <x:c r="E2583" s="117" t="str">
        <x:v>Active</x:v>
      </x:c>
      <x:c r="F2583" s="117" t="str">
        <x:v>Yes</x:v>
      </x:c>
      <x:c r="G2583" s="117" t="str">
        <x:v>Yes</x:v>
      </x:c>
      <x:c r="H2583" s="117" t="str">
        <x:v>AutoLaunchedFlow</x:v>
      </x:c>
      <x:c r="I2583" s="118" t="n">
        <x:v>63</x:v>
      </x:c>
      <x:c r="J2583" s="117" t="str">
        <x:v>unmanaged</x:v>
      </x:c>
      <x:c r="K2583" s="123" t="b">
        <x:v>0</x:v>
      </x:c>
      <x:c r="L2583" s="117"/>
      <x:c r="M2583" s="118"/>
      <x:c r="N2583" s="120" t="n">
        <x:v>45862.5490162037</x:v>
      </x:c>
      <x:c r="O2583" s="117" t="str">
        <x:v>Sacha Pearce</x:v>
      </x:c>
      <x:c r="P2583" s="120" t="n">
        <x:v>46078.699583333335</x:v>
      </x:c>
      <x:c r="Q2583" s="117" t="str">
        <x:v>Steve Dodd</x:v>
      </x:c>
      <x:c r="R2583" s="117" t="str">
        <x:v>RMA Automations</x:v>
      </x:c>
      <x:c r="S2583" s="119" t="str">
        <x:v>Add Invoice to RMA
24/07/2025 - V13 - SP - Adding a Decision that looks at the Part Return Condition to assign an appropriate Functional Rating.
24/07/2025 - V14 - SP - Amended Asset changed to RMA Item Receive Date changed.
24/07/2025 - V15 - SP - Amended RMA ID to 0120B000000QxnDQAS
25/07/2025 - V16 - SP - Amended Assign Previous Functional Rating Element
25/07/2025 - V17 - SP - Added Get Records to Not Fitted route
25/07/2025 - V18 - SP - Adjusting the Part Not Fitted route to pull historical ratings
25/07/2025 - V19 - SP - Adjusting the Part Not Fitted route to pull historical ratings
25/07/2025 - V20 - SP - Adjusting the Part Not Fitted route to pull historical ratings</x:v>
      </x:c>
    </x:row>
    <x:row r="2584" ht="30" customHeight="1">
      <x:c r="A2584" s="117" t="str">
        <x:v>RMA_Notify_Engineer_on_Probe_Repair_WO_Creation</x:v>
      </x:c>
      <x:c r="B2584" s="117" t="str">
        <x:v>300Ro00000yzHB6IAM</x:v>
      </x:c>
      <x:c r="C2584" s="117" t="str">
        <x:v>301Ro000017JYhOIAW</x:v>
      </x:c>
      <x:c r="D2584" s="118" t="n">
        <x:v>1</x:v>
      </x:c>
      <x:c r="E2584" s="117" t="str">
        <x:v>Active</x:v>
      </x:c>
      <x:c r="F2584" s="117" t="str">
        <x:v>Yes</x:v>
      </x:c>
      <x:c r="G2584" s="117" t="str">
        <x:v>Yes</x:v>
      </x:c>
      <x:c r="H2584" s="117" t="str">
        <x:v>AutoLaunchedFlow</x:v>
      </x:c>
      <x:c r="I2584" s="118" t="n">
        <x:v>65</x:v>
      </x:c>
      <x:c r="J2584" s="117" t="str">
        <x:v>unmanaged</x:v>
      </x:c>
      <x:c r="K2584" s="123" t="b">
        <x:v>0</x:v>
      </x:c>
      <x:c r="L2584" s="117"/>
      <x:c r="M2584" s="118"/>
      <x:c r="N2584" s="120" t="n">
        <x:v>46174.88511574074</x:v>
      </x:c>
      <x:c r="O2584" s="117" t="str">
        <x:v>Delegate</x:v>
      </x:c>
      <x:c r="P2584" s="120" t="n">
        <x:v>46174.88858796296</x:v>
      </x:c>
      <x:c r="Q2584" s="117" t="str">
        <x:v>Delegate</x:v>
      </x:c>
      <x:c r="R2584" s="117" t="str">
        <x:v>RMA | Notify Engineer on Probe Repair WO Creation</x:v>
      </x:c>
      <x:c r="S2584" s="119" t="str">
        <x:v>06/01/26 (BW) – Created to send a mobile push notification to the engineer (WO owner) when an RMA is created on a Probe Repair Work Order; scoped to FSL Work Order record type, US country, and Probe Repair Opportunity record type only</x:v>
      </x:c>
    </x:row>
    <x:row r="2585" ht="30" customHeight="1">
      <x:c r="A2585" s="117" t="str">
        <x:v>RMA_On_Setting_of_Date_Approved_to_Ship_update_Opportunity_Stage_to_Ready_to_Shi</x:v>
      </x:c>
      <x:c r="B2585" s="117" t="str">
        <x:v>300Ro00000pia8wIAA</x:v>
      </x:c>
      <x:c r="C2585" s="117" t="str">
        <x:v>301Ro00000xEOWmIAO</x:v>
      </x:c>
      <x:c r="D2585" s="118" t="n">
        <x:v>1</x:v>
      </x:c>
      <x:c r="E2585" s="117" t="str">
        <x:v>Active</x:v>
      </x:c>
      <x:c r="F2585" s="117" t="str">
        <x:v>Yes</x:v>
      </x:c>
      <x:c r="G2585" s="117" t="str">
        <x:v>Yes</x:v>
      </x:c>
      <x:c r="H2585" s="117" t="str">
        <x:v>AutoLaunchedFlow</x:v>
      </x:c>
      <x:c r="I2585" s="118" t="n">
        <x:v>65</x:v>
      </x:c>
      <x:c r="J2585" s="117" t="str">
        <x:v>unmanaged</x:v>
      </x:c>
      <x:c r="K2585" s="123" t="b">
        <x:v>0</x:v>
      </x:c>
      <x:c r="L2585" s="117"/>
      <x:c r="M2585" s="118"/>
      <x:c r="N2585" s="120" t="n">
        <x:v>46055.52916666667</x:v>
      </x:c>
      <x:c r="O2585" s="117" t="str">
        <x:v>Delegate</x:v>
      </x:c>
      <x:c r="P2585" s="120" t="n">
        <x:v>46055.52930555555</x:v>
      </x:c>
      <x:c r="Q2585" s="117" t="str">
        <x:v>Delegate</x:v>
      </x:c>
      <x:c r="R2585" s="117" t="str">
        <x:v>RMA | On Setting of "Date Approved to Ship", update Opportunity Stage to "Ready to Ship"</x:v>
      </x:c>
      <x:c r="S2585" s="119" t="str">
        <x:v>02/02/2026 (BW) - From Probe Repair Request, when RMA is set for "Date Approved to Ship", then automatically switch the stage to "ready to ship"</x:v>
      </x:c>
    </x:row>
    <x:row r="2586" ht="30" customHeight="1">
      <x:c r="A2586" s="117" t="str">
        <x:v>RMA_Re_sync_RMA_if_Errored</x:v>
      </x:c>
      <x:c r="B2586" s="117" t="str">
        <x:v>300Ro00000jezCXIAY</x:v>
      </x:c>
      <x:c r="C2586" s="117" t="str">
        <x:v>301Ro00000qxAobIAE</x:v>
      </x:c>
      <x:c r="D2586" s="118" t="n">
        <x:v>1</x:v>
      </x:c>
      <x:c r="E2586" s="117" t="str">
        <x:v>Active</x:v>
      </x:c>
      <x:c r="F2586" s="117" t="str">
        <x:v>Yes</x:v>
      </x:c>
      <x:c r="G2586" s="117" t="str">
        <x:v>Yes</x:v>
      </x:c>
      <x:c r="H2586" s="117" t="str">
        <x:v>AutoLaunchedFlow</x:v>
      </x:c>
      <x:c r="I2586" s="118" t="n">
        <x:v>65</x:v>
      </x:c>
      <x:c r="J2586" s="117" t="str">
        <x:v>unmanaged</x:v>
      </x:c>
      <x:c r="K2586" s="123" t="b">
        <x:v>0</x:v>
      </x:c>
      <x:c r="L2586" s="117"/>
      <x:c r="M2586" s="118"/>
      <x:c r="N2586" s="120" t="n">
        <x:v>45958.5084375</x:v>
      </x:c>
      <x:c r="O2586" s="117" t="str">
        <x:v>Delegate</x:v>
      </x:c>
      <x:c r="P2586" s="120" t="n">
        <x:v>45958.50848379629</x:v>
      </x:c>
      <x:c r="Q2586" s="117" t="str">
        <x:v>Delegate</x:v>
      </x:c>
      <x:c r="R2586" s="117" t="str">
        <x:v>RMA - Re-sync RMA if Errored</x:v>
      </x:c>
      <x:c r="S2586" s="119" t="str">
        <x:v>10/28/2025 (BW) - Resyncs the RMA if it's errored out</x:v>
      </x:c>
    </x:row>
    <x:row r="2587" ht="30" customHeight="1">
      <x:c r="A2587" s="117" t="str">
        <x:v>RMA_Rollups</x:v>
      </x:c>
      <x:c r="B2587" s="117" t="str">
        <x:v>300Ro000007doabIAA</x:v>
      </x:c>
      <x:c r="C2587" s="117" t="str">
        <x:v>301Ro000008epnRIAQ</x:v>
      </x:c>
      <x:c r="D2587" s="118" t="n">
        <x:v>1</x:v>
      </x:c>
      <x:c r="E2587" s="117" t="str">
        <x:v>Obsolete</x:v>
      </x:c>
      <x:c r="F2587" s="117" t="str">
        <x:v>No</x:v>
      </x:c>
      <x:c r="G2587" s="117" t="str">
        <x:v>No</x:v>
      </x:c>
      <x:c r="H2587" s="117" t="str">
        <x:v>AutoLaunchedFlow</x:v>
      </x:c>
      <x:c r="I2587" s="118" t="n">
        <x:v>58</x:v>
      </x:c>
      <x:c r="J2587" s="117" t="str">
        <x:v>unmanaged</x:v>
      </x:c>
      <x:c r="K2587" s="123" t="b">
        <x:v>0</x:v>
      </x:c>
      <x:c r="L2587" s="117"/>
      <x:c r="M2587" s="118"/>
      <x:c r="N2587" s="120" t="n">
        <x:v>45358.83630787037</x:v>
      </x:c>
      <x:c r="O2587" s="117" t="str">
        <x:v>Delegate</x:v>
      </x:c>
      <x:c r="P2587" s="120" t="n">
        <x:v>45359.04798611111</x:v>
      </x:c>
      <x:c r="Q2587" s="117" t="str">
        <x:v>Delegate</x:v>
      </x:c>
      <x:c r="R2587" s="117" t="str">
        <x:v>Credit Memo Rollups</x:v>
      </x:c>
      <x:c r="S2587" s="119"/>
    </x:row>
    <x:row r="2588" ht="30" customHeight="1">
      <x:c r="A2588" s="117" t="str">
        <x:v>RMA_Rollups</x:v>
      </x:c>
      <x:c r="B2588" s="117" t="str">
        <x:v>300Ro000007doabIAA</x:v>
      </x:c>
      <x:c r="C2588" s="117" t="str">
        <x:v>301Ro000008iLKHIA2</x:v>
      </x:c>
      <x:c r="D2588" s="118" t="n">
        <x:v>2</x:v>
      </x:c>
      <x:c r="E2588" s="117" t="str">
        <x:v>Active</x:v>
      </x:c>
      <x:c r="F2588" s="117" t="str">
        <x:v>Yes</x:v>
      </x:c>
      <x:c r="G2588" s="117" t="str">
        <x:v>Yes</x:v>
      </x:c>
      <x:c r="H2588" s="117" t="str">
        <x:v>AutoLaunchedFlow</x:v>
      </x:c>
      <x:c r="I2588" s="118" t="n">
        <x:v>58</x:v>
      </x:c>
      <x:c r="J2588" s="117" t="str">
        <x:v>unmanaged</x:v>
      </x:c>
      <x:c r="K2588" s="123" t="b">
        <x:v>0</x:v>
      </x:c>
      <x:c r="L2588" s="117"/>
      <x:c r="M2588" s="118"/>
      <x:c r="N2588" s="120" t="n">
        <x:v>45359.706400462965</x:v>
      </x:c>
      <x:c r="O2588" s="117" t="str">
        <x:v>Delegate</x:v>
      </x:c>
      <x:c r="P2588" s="120" t="n">
        <x:v>45359.70653935185</x:v>
      </x:c>
      <x:c r="Q2588" s="117" t="str">
        <x:v>Delegate</x:v>
      </x:c>
      <x:c r="R2588" s="117" t="str">
        <x:v>Credit Memo Rollups</x:v>
      </x:c>
      <x:c r="S2588" s="119" t="str">
        <x:v>03/08/2024 (CDM) - Updated to run async and removed loop element</x:v>
      </x:c>
    </x:row>
    <x:row r="2589" ht="30" customHeight="1">
      <x:c r="A2589" s="117" t="str">
        <x:v>Sales_Sheet_Screen_Flow</x:v>
      </x:c>
      <x:c r="B2589" s="117" t="str">
        <x:v>3005b000000H3voAAC</x:v>
      </x:c>
      <x:c r="C2589" s="117" t="str">
        <x:v>3015b000000EKDzAAO</x:v>
      </x:c>
      <x:c r="D2589" s="118" t="n">
        <x:v>1</x:v>
      </x:c>
      <x:c r="E2589" s="117" t="str">
        <x:v>Obsolete</x:v>
      </x:c>
      <x:c r="F2589" s="117" t="str">
        <x:v>No</x:v>
      </x:c>
      <x:c r="G2589" s="117" t="str">
        <x:v>No</x:v>
      </x:c>
      <x:c r="H2589" s="117" t="str">
        <x:v>Flow</x:v>
      </x:c>
      <x:c r="I2589" s="118" t="n">
        <x:v>54</x:v>
      </x:c>
      <x:c r="J2589" s="117" t="str">
        <x:v>unmanaged</x:v>
      </x:c>
      <x:c r="K2589" s="123" t="b">
        <x:v>0</x:v>
      </x:c>
      <x:c r="L2589" s="117"/>
      <x:c r="M2589" s="118"/>
      <x:c r="N2589" s="120" t="n">
        <x:v>44722.69123842593</x:v>
      </x:c>
      <x:c r="O2589" s="117" t="str">
        <x:v>Jace Gentil</x:v>
      </x:c>
      <x:c r="P2589" s="120" t="n">
        <x:v>44722.69138888889</x:v>
      </x:c>
      <x:c r="Q2589" s="117" t="str">
        <x:v>Jace Gentil</x:v>
      </x:c>
      <x:c r="R2589" s="117" t="str">
        <x:v>Sales Sheet Screen Flow</x:v>
      </x:c>
      <x:c r="S2589" s="119"/>
    </x:row>
    <x:row r="2590" ht="30" customHeight="1">
      <x:c r="A2590" s="117" t="str">
        <x:v>Sales_Sheet_Screen_Flow</x:v>
      </x:c>
      <x:c r="B2590" s="117" t="str">
        <x:v>3005b000000H3voAAC</x:v>
      </x:c>
      <x:c r="C2590" s="117" t="str">
        <x:v>3015b000000EKXBAA4</x:v>
      </x:c>
      <x:c r="D2590" s="118" t="n">
        <x:v>2</x:v>
      </x:c>
      <x:c r="E2590" s="117" t="str">
        <x:v>Obsolete</x:v>
      </x:c>
      <x:c r="F2590" s="117" t="str">
        <x:v>No</x:v>
      </x:c>
      <x:c r="G2590" s="117" t="str">
        <x:v>No</x:v>
      </x:c>
      <x:c r="H2590" s="117" t="str">
        <x:v>Flow</x:v>
      </x:c>
      <x:c r="I2590" s="118" t="n">
        <x:v>54</x:v>
      </x:c>
      <x:c r="J2590" s="117" t="str">
        <x:v>unmanaged</x:v>
      </x:c>
      <x:c r="K2590" s="123" t="b">
        <x:v>0</x:v>
      </x:c>
      <x:c r="L2590" s="117"/>
      <x:c r="M2590" s="118"/>
      <x:c r="N2590" s="120" t="n">
        <x:v>44734.83128472222</x:v>
      </x:c>
      <x:c r="O2590" s="117" t="str">
        <x:v>Jace Gentil</x:v>
      </x:c>
      <x:c r="P2590" s="120" t="n">
        <x:v>44734.83207175926</x:v>
      </x:c>
      <x:c r="Q2590" s="117" t="str">
        <x:v>Jace Gentil</x:v>
      </x:c>
      <x:c r="R2590" s="117" t="str">
        <x:v>Sales Sheet Screen Flow</x:v>
      </x:c>
      <x:c r="S2590" s="119"/>
    </x:row>
    <x:row r="2591" ht="30" customHeight="1">
      <x:c r="A2591" s="117" t="str">
        <x:v>Sales_Sheet_Screen_Flow</x:v>
      </x:c>
      <x:c r="B2591" s="117" t="str">
        <x:v>3005b000000H3voAAC</x:v>
      </x:c>
      <x:c r="C2591" s="117" t="str">
        <x:v>3015b000000EKXGAA4</x:v>
      </x:c>
      <x:c r="D2591" s="118" t="n">
        <x:v>3</x:v>
      </x:c>
      <x:c r="E2591" s="117" t="str">
        <x:v>Obsolete</x:v>
      </x:c>
      <x:c r="F2591" s="117" t="str">
        <x:v>No</x:v>
      </x:c>
      <x:c r="G2591" s="117" t="str">
        <x:v>No</x:v>
      </x:c>
      <x:c r="H2591" s="117" t="str">
        <x:v>Flow</x:v>
      </x:c>
      <x:c r="I2591" s="118" t="n">
        <x:v>54</x:v>
      </x:c>
      <x:c r="J2591" s="117" t="str">
        <x:v>unmanaged</x:v>
      </x:c>
      <x:c r="K2591" s="123" t="b">
        <x:v>0</x:v>
      </x:c>
      <x:c r="L2591" s="117"/>
      <x:c r="M2591" s="118"/>
      <x:c r="N2591" s="120" t="n">
        <x:v>44734.832141203704</x:v>
      </x:c>
      <x:c r="O2591" s="117" t="str">
        <x:v>Jace Gentil</x:v>
      </x:c>
      <x:c r="P2591" s="120" t="n">
        <x:v>44734.8321875</x:v>
      </x:c>
      <x:c r="Q2591" s="117" t="str">
        <x:v>Jace Gentil</x:v>
      </x:c>
      <x:c r="R2591" s="117" t="str">
        <x:v>Sales Sheet Screen Flow</x:v>
      </x:c>
      <x:c r="S2591" s="119"/>
    </x:row>
    <x:row r="2592" ht="30" customHeight="1">
      <x:c r="A2592" s="117" t="str">
        <x:v>Sales_Sheet_Screen_Flow</x:v>
      </x:c>
      <x:c r="B2592" s="117" t="str">
        <x:v>3005b000000H3voAAC</x:v>
      </x:c>
      <x:c r="C2592" s="117" t="str">
        <x:v>3015b000000EKaKAAW</x:v>
      </x:c>
      <x:c r="D2592" s="118" t="n">
        <x:v>4</x:v>
      </x:c>
      <x:c r="E2592" s="117" t="str">
        <x:v>Obsolete</x:v>
      </x:c>
      <x:c r="F2592" s="117" t="str">
        <x:v>No</x:v>
      </x:c>
      <x:c r="G2592" s="117" t="str">
        <x:v>No</x:v>
      </x:c>
      <x:c r="H2592" s="117" t="str">
        <x:v>Flow</x:v>
      </x:c>
      <x:c r="I2592" s="118" t="n">
        <x:v>54</x:v>
      </x:c>
      <x:c r="J2592" s="117" t="str">
        <x:v>unmanaged</x:v>
      </x:c>
      <x:c r="K2592" s="123" t="b">
        <x:v>0</x:v>
      </x:c>
      <x:c r="L2592" s="117"/>
      <x:c r="M2592" s="118"/>
      <x:c r="N2592" s="120" t="n">
        <x:v>44739.928715277776</x:v>
      </x:c>
      <x:c r="O2592" s="117" t="str">
        <x:v>Jace Gentil</x:v>
      </x:c>
      <x:c r="P2592" s="120" t="n">
        <x:v>44739.928819444445</x:v>
      </x:c>
      <x:c r="Q2592" s="117" t="str">
        <x:v>Jace Gentil</x:v>
      </x:c>
      <x:c r="R2592" s="117" t="str">
        <x:v>Sales Sheet Screen Flow</x:v>
      </x:c>
      <x:c r="S2592" s="119"/>
    </x:row>
    <x:row r="2593" ht="30" customHeight="1">
      <x:c r="A2593" s="117" t="str">
        <x:v>Sales_Sheet_Screen_Flow</x:v>
      </x:c>
      <x:c r="B2593" s="117" t="str">
        <x:v>3005b000000H3voAAC</x:v>
      </x:c>
      <x:c r="C2593" s="117" t="str">
        <x:v>3015b000000EL7EAAW</x:v>
      </x:c>
      <x:c r="D2593" s="118" t="n">
        <x:v>5</x:v>
      </x:c>
      <x:c r="E2593" s="117" t="str">
        <x:v>Obsolete</x:v>
      </x:c>
      <x:c r="F2593" s="117" t="str">
        <x:v>No</x:v>
      </x:c>
      <x:c r="G2593" s="117" t="str">
        <x:v>No</x:v>
      </x:c>
      <x:c r="H2593" s="117" t="str">
        <x:v>Flow</x:v>
      </x:c>
      <x:c r="I2593" s="118" t="n">
        <x:v>54</x:v>
      </x:c>
      <x:c r="J2593" s="117" t="str">
        <x:v>unmanaged</x:v>
      </x:c>
      <x:c r="K2593" s="123" t="b">
        <x:v>0</x:v>
      </x:c>
      <x:c r="L2593" s="117"/>
      <x:c r="M2593" s="118"/>
      <x:c r="N2593" s="120" t="n">
        <x:v>44774.54344907407</x:v>
      </x:c>
      <x:c r="O2593" s="117" t="str">
        <x:v>Jace Gentil</x:v>
      </x:c>
      <x:c r="P2593" s="120" t="n">
        <x:v>44774.54366898148</x:v>
      </x:c>
      <x:c r="Q2593" s="117" t="str">
        <x:v>Jace Gentil</x:v>
      </x:c>
      <x:c r="R2593" s="117" t="str">
        <x:v>Sales Sheet Screen Flow</x:v>
      </x:c>
      <x:c r="S2593" s="119"/>
    </x:row>
    <x:row r="2594" ht="30" customHeight="1">
      <x:c r="A2594" s="117" t="str">
        <x:v>Sales_Sheet_Screen_Flow</x:v>
      </x:c>
      <x:c r="B2594" s="117" t="str">
        <x:v>3005b000000H3voAAC</x:v>
      </x:c>
      <x:c r="C2594" s="117" t="str">
        <x:v>3015b000000EL7JAAW</x:v>
      </x:c>
      <x:c r="D2594" s="118" t="n">
        <x:v>6</x:v>
      </x:c>
      <x:c r="E2594" s="117" t="str">
        <x:v>Obsolete</x:v>
      </x:c>
      <x:c r="F2594" s="117" t="str">
        <x:v>No</x:v>
      </x:c>
      <x:c r="G2594" s="117" t="str">
        <x:v>No</x:v>
      </x:c>
      <x:c r="H2594" s="117" t="str">
        <x:v>Flow</x:v>
      </x:c>
      <x:c r="I2594" s="118" t="n">
        <x:v>54</x:v>
      </x:c>
      <x:c r="J2594" s="117" t="str">
        <x:v>unmanaged</x:v>
      </x:c>
      <x:c r="K2594" s="123" t="b">
        <x:v>0</x:v>
      </x:c>
      <x:c r="L2594" s="117"/>
      <x:c r="M2594" s="118"/>
      <x:c r="N2594" s="120" t="n">
        <x:v>44774.54678240741</x:v>
      </x:c>
      <x:c r="O2594" s="117" t="str">
        <x:v>Jace Gentil</x:v>
      </x:c>
      <x:c r="P2594" s="120" t="n">
        <x:v>44774.54681712963</x:v>
      </x:c>
      <x:c r="Q2594" s="117" t="str">
        <x:v>Jace Gentil</x:v>
      </x:c>
      <x:c r="R2594" s="117" t="str">
        <x:v>Sales Sheet Screen Flow</x:v>
      </x:c>
      <x:c r="S2594" s="119"/>
    </x:row>
    <x:row r="2595" ht="30" customHeight="1">
      <x:c r="A2595" s="117" t="str">
        <x:v>Sales_Sheet_Screen_Flow</x:v>
      </x:c>
      <x:c r="B2595" s="117" t="str">
        <x:v>3005b000000H3voAAC</x:v>
      </x:c>
      <x:c r="C2595" s="117" t="str">
        <x:v>3015b000000EL7OAAW</x:v>
      </x:c>
      <x:c r="D2595" s="118" t="n">
        <x:v>7</x:v>
      </x:c>
      <x:c r="E2595" s="117" t="str">
        <x:v>Obsolete</x:v>
      </x:c>
      <x:c r="F2595" s="117" t="str">
        <x:v>No</x:v>
      </x:c>
      <x:c r="G2595" s="117" t="str">
        <x:v>No</x:v>
      </x:c>
      <x:c r="H2595" s="117" t="str">
        <x:v>Flow</x:v>
      </x:c>
      <x:c r="I2595" s="118" t="n">
        <x:v>54</x:v>
      </x:c>
      <x:c r="J2595" s="117" t="str">
        <x:v>unmanaged</x:v>
      </x:c>
      <x:c r="K2595" s="123" t="b">
        <x:v>0</x:v>
      </x:c>
      <x:c r="L2595" s="117"/>
      <x:c r="M2595" s="118"/>
      <x:c r="N2595" s="120" t="n">
        <x:v>44774.54703703704</x:v>
      </x:c>
      <x:c r="O2595" s="117" t="str">
        <x:v>Jace Gentil</x:v>
      </x:c>
      <x:c r="P2595" s="120" t="n">
        <x:v>44774.547060185185</x:v>
      </x:c>
      <x:c r="Q2595" s="117" t="str">
        <x:v>Jace Gentil</x:v>
      </x:c>
      <x:c r="R2595" s="117" t="str">
        <x:v>Sales Sheet Screen Flow</x:v>
      </x:c>
      <x:c r="S2595" s="119"/>
    </x:row>
    <x:row r="2596" ht="30" customHeight="1">
      <x:c r="A2596" s="117" t="str">
        <x:v>Sales_Sheet_Screen_Flow</x:v>
      </x:c>
      <x:c r="B2596" s="117" t="str">
        <x:v>3005b000000H3voAAC</x:v>
      </x:c>
      <x:c r="C2596" s="117" t="str">
        <x:v>3015b000000EL7TAAW</x:v>
      </x:c>
      <x:c r="D2596" s="118" t="n">
        <x:v>8</x:v>
      </x:c>
      <x:c r="E2596" s="117" t="str">
        <x:v>Obsolete</x:v>
      </x:c>
      <x:c r="F2596" s="117" t="str">
        <x:v>No</x:v>
      </x:c>
      <x:c r="G2596" s="117" t="str">
        <x:v>No</x:v>
      </x:c>
      <x:c r="H2596" s="117" t="str">
        <x:v>Flow</x:v>
      </x:c>
      <x:c r="I2596" s="118" t="n">
        <x:v>54</x:v>
      </x:c>
      <x:c r="J2596" s="117" t="str">
        <x:v>unmanaged</x:v>
      </x:c>
      <x:c r="K2596" s="123" t="b">
        <x:v>0</x:v>
      </x:c>
      <x:c r="L2596" s="117"/>
      <x:c r="M2596" s="118"/>
      <x:c r="N2596" s="120" t="n">
        <x:v>44774.55332175926</x:v>
      </x:c>
      <x:c r="O2596" s="117" t="str">
        <x:v>Jace Gentil</x:v>
      </x:c>
      <x:c r="P2596" s="120" t="n">
        <x:v>44774.55336805555</x:v>
      </x:c>
      <x:c r="Q2596" s="117" t="str">
        <x:v>Jace Gentil</x:v>
      </x:c>
      <x:c r="R2596" s="117" t="str">
        <x:v>Sales Sheet Screen Flow</x:v>
      </x:c>
      <x:c r="S2596" s="119"/>
    </x:row>
    <x:row r="2597" ht="30" customHeight="1">
      <x:c r="A2597" s="117" t="str">
        <x:v>Sales_Sheet_Screen_Flow</x:v>
      </x:c>
      <x:c r="B2597" s="117" t="str">
        <x:v>3005b000000H3voAAC</x:v>
      </x:c>
      <x:c r="C2597" s="117" t="str">
        <x:v>3015b000000EL7YAAW</x:v>
      </x:c>
      <x:c r="D2597" s="118" t="n">
        <x:v>9</x:v>
      </x:c>
      <x:c r="E2597" s="117" t="str">
        <x:v>InvalidDraft</x:v>
      </x:c>
      <x:c r="F2597" s="117" t="str">
        <x:v>No</x:v>
      </x:c>
      <x:c r="G2597" s="117" t="str">
        <x:v>No</x:v>
      </x:c>
      <x:c r="H2597" s="117" t="str">
        <x:v>Flow</x:v>
      </x:c>
      <x:c r="I2597" s="118" t="n">
        <x:v>54</x:v>
      </x:c>
      <x:c r="J2597" s="117" t="str">
        <x:v>unmanaged</x:v>
      </x:c>
      <x:c r="K2597" s="123" t="b">
        <x:v>0</x:v>
      </x:c>
      <x:c r="L2597" s="117"/>
      <x:c r="M2597" s="118"/>
      <x:c r="N2597" s="120" t="n">
        <x:v>44774.55751157407</x:v>
      </x:c>
      <x:c r="O2597" s="117" t="str">
        <x:v>Jace Gentil</x:v>
      </x:c>
      <x:c r="P2597" s="120" t="n">
        <x:v>44774.55751157407</x:v>
      </x:c>
      <x:c r="Q2597" s="117" t="str">
        <x:v>Jace Gentil</x:v>
      </x:c>
      <x:c r="R2597" s="117" t="str">
        <x:v>Sales Sheet Screen Flow</x:v>
      </x:c>
      <x:c r="S2597" s="119"/>
    </x:row>
    <x:row r="2598" ht="30" customHeight="1">
      <x:c r="A2598" s="117" t="str">
        <x:v>Sales_Sheet_Screen_Flow</x:v>
      </x:c>
      <x:c r="B2598" s="117" t="str">
        <x:v>3005b000000H3voAAC</x:v>
      </x:c>
      <x:c r="C2598" s="117" t="str">
        <x:v>3015b000000EL7dAAG</x:v>
      </x:c>
      <x:c r="D2598" s="118" t="n">
        <x:v>10</x:v>
      </x:c>
      <x:c r="E2598" s="117" t="str">
        <x:v>Obsolete</x:v>
      </x:c>
      <x:c r="F2598" s="117" t="str">
        <x:v>No</x:v>
      </x:c>
      <x:c r="G2598" s="117" t="str">
        <x:v>No</x:v>
      </x:c>
      <x:c r="H2598" s="117" t="str">
        <x:v>Flow</x:v>
      </x:c>
      <x:c r="I2598" s="118" t="n">
        <x:v>54</x:v>
      </x:c>
      <x:c r="J2598" s="117" t="str">
        <x:v>unmanaged</x:v>
      </x:c>
      <x:c r="K2598" s="123" t="b">
        <x:v>0</x:v>
      </x:c>
      <x:c r="L2598" s="117"/>
      <x:c r="M2598" s="118"/>
      <x:c r="N2598" s="120" t="n">
        <x:v>44774.55795138889</x:v>
      </x:c>
      <x:c r="O2598" s="117" t="str">
        <x:v>Jace Gentil</x:v>
      </x:c>
      <x:c r="P2598" s="120" t="n">
        <x:v>44774.557974537034</x:v>
      </x:c>
      <x:c r="Q2598" s="117" t="str">
        <x:v>Jace Gentil</x:v>
      </x:c>
      <x:c r="R2598" s="117" t="str">
        <x:v>Sales Sheet Screen Flow</x:v>
      </x:c>
      <x:c r="S2598" s="119"/>
    </x:row>
    <x:row r="2599" ht="30" customHeight="1">
      <x:c r="A2599" s="117" t="str">
        <x:v>Sales_Sheet_Screen_Flow</x:v>
      </x:c>
      <x:c r="B2599" s="117" t="str">
        <x:v>3005b000000H3voAAC</x:v>
      </x:c>
      <x:c r="C2599" s="117" t="str">
        <x:v>3015b000000EL7iAAG</x:v>
      </x:c>
      <x:c r="D2599" s="118" t="n">
        <x:v>11</x:v>
      </x:c>
      <x:c r="E2599" s="117" t="str">
        <x:v>Obsolete</x:v>
      </x:c>
      <x:c r="F2599" s="117" t="str">
        <x:v>No</x:v>
      </x:c>
      <x:c r="G2599" s="117" t="str">
        <x:v>No</x:v>
      </x:c>
      <x:c r="H2599" s="117" t="str">
        <x:v>Flow</x:v>
      </x:c>
      <x:c r="I2599" s="118" t="n">
        <x:v>54</x:v>
      </x:c>
      <x:c r="J2599" s="117" t="str">
        <x:v>unmanaged</x:v>
      </x:c>
      <x:c r="K2599" s="123" t="b">
        <x:v>0</x:v>
      </x:c>
      <x:c r="L2599" s="117"/>
      <x:c r="M2599" s="118"/>
      <x:c r="N2599" s="120" t="n">
        <x:v>44774.5603125</x:v>
      </x:c>
      <x:c r="O2599" s="117" t="str">
        <x:v>Jace Gentil</x:v>
      </x:c>
      <x:c r="P2599" s="120" t="n">
        <x:v>44774.56034722222</x:v>
      </x:c>
      <x:c r="Q2599" s="117" t="str">
        <x:v>Jace Gentil</x:v>
      </x:c>
      <x:c r="R2599" s="117" t="str">
        <x:v>Sales Sheet Screen Flow</x:v>
      </x:c>
      <x:c r="S2599" s="119"/>
    </x:row>
    <x:row r="2600" ht="30" customHeight="1">
      <x:c r="A2600" s="117" t="str">
        <x:v>Sales_Sheet_Screen_Flow</x:v>
      </x:c>
      <x:c r="B2600" s="117" t="str">
        <x:v>3005b000000H3voAAC</x:v>
      </x:c>
      <x:c r="C2600" s="117" t="str">
        <x:v>3015b000000A72yAAC</x:v>
      </x:c>
      <x:c r="D2600" s="118" t="n">
        <x:v>12</x:v>
      </x:c>
      <x:c r="E2600" s="117" t="str">
        <x:v>Obsolete</x:v>
      </x:c>
      <x:c r="F2600" s="117" t="str">
        <x:v>No</x:v>
      </x:c>
      <x:c r="G2600" s="117" t="str">
        <x:v>No</x:v>
      </x:c>
      <x:c r="H2600" s="117" t="str">
        <x:v>Flow</x:v>
      </x:c>
      <x:c r="I2600" s="118" t="n">
        <x:v>54</x:v>
      </x:c>
      <x:c r="J2600" s="117" t="str">
        <x:v>unmanaged</x:v>
      </x:c>
      <x:c r="K2600" s="123" t="b">
        <x:v>0</x:v>
      </x:c>
      <x:c r="L2600" s="117"/>
      <x:c r="M2600" s="118"/>
      <x:c r="N2600" s="120" t="n">
        <x:v>44840.583657407406</x:v>
      </x:c>
      <x:c r="O2600" s="117" t="str">
        <x:v>Jon Kean</x:v>
      </x:c>
      <x:c r="P2600" s="120" t="n">
        <x:v>44840.58385416667</x:v>
      </x:c>
      <x:c r="Q2600" s="117" t="str">
        <x:v>Jon Kean</x:v>
      </x:c>
      <x:c r="R2600" s="117" t="str">
        <x:v>Sales Sheet Screen Flow</x:v>
      </x:c>
      <x:c r="S2600" s="119"/>
    </x:row>
    <x:row r="2601" ht="30" customHeight="1">
      <x:c r="A2601" s="117" t="str">
        <x:v>Sales_Sheet_Screen_Flow</x:v>
      </x:c>
      <x:c r="B2601" s="117" t="str">
        <x:v>3005b000000H3voAAC</x:v>
      </x:c>
      <x:c r="C2601" s="117" t="str">
        <x:v>3015b000000A733AAC</x:v>
      </x:c>
      <x:c r="D2601" s="118" t="n">
        <x:v>13</x:v>
      </x:c>
      <x:c r="E2601" s="117" t="str">
        <x:v>Obsolete</x:v>
      </x:c>
      <x:c r="F2601" s="117" t="str">
        <x:v>No</x:v>
      </x:c>
      <x:c r="G2601" s="117" t="str">
        <x:v>No</x:v>
      </x:c>
      <x:c r="H2601" s="117" t="str">
        <x:v>Flow</x:v>
      </x:c>
      <x:c r="I2601" s="118" t="n">
        <x:v>54</x:v>
      </x:c>
      <x:c r="J2601" s="117" t="str">
        <x:v>unmanaged</x:v>
      </x:c>
      <x:c r="K2601" s="123" t="b">
        <x:v>0</x:v>
      </x:c>
      <x:c r="L2601" s="117"/>
      <x:c r="M2601" s="118"/>
      <x:c r="N2601" s="120" t="n">
        <x:v>44840.5850462963</x:v>
      </x:c>
      <x:c r="O2601" s="117" t="str">
        <x:v>Jace Gentil</x:v>
      </x:c>
      <x:c r="P2601" s="120" t="n">
        <x:v>44840.585127314815</x:v>
      </x:c>
      <x:c r="Q2601" s="117" t="str">
        <x:v>Jace Gentil</x:v>
      </x:c>
      <x:c r="R2601" s="117" t="str">
        <x:v>Sales Sheet Screen Flow</x:v>
      </x:c>
      <x:c r="S2601" s="119"/>
    </x:row>
    <x:row r="2602" ht="30" customHeight="1">
      <x:c r="A2602" s="117" t="str">
        <x:v>Sales_Sheet_Screen_Flow</x:v>
      </x:c>
      <x:c r="B2602" s="117" t="str">
        <x:v>3005b000000H3voAAC</x:v>
      </x:c>
      <x:c r="C2602" s="117" t="str">
        <x:v>3015b000000AAmGAAW</x:v>
      </x:c>
      <x:c r="D2602" s="118" t="n">
        <x:v>14</x:v>
      </x:c>
      <x:c r="E2602" s="117" t="str">
        <x:v>Obsolete</x:v>
      </x:c>
      <x:c r="F2602" s="117" t="str">
        <x:v>No</x:v>
      </x:c>
      <x:c r="G2602" s="117" t="str">
        <x:v>No</x:v>
      </x:c>
      <x:c r="H2602" s="117" t="str">
        <x:v>Flow</x:v>
      </x:c>
      <x:c r="I2602" s="118" t="n">
        <x:v>54</x:v>
      </x:c>
      <x:c r="J2602" s="117" t="str">
        <x:v>unmanaged</x:v>
      </x:c>
      <x:c r="K2602" s="123" t="b">
        <x:v>0</x:v>
      </x:c>
      <x:c r="L2602" s="117"/>
      <x:c r="M2602" s="118"/>
      <x:c r="N2602" s="120" t="n">
        <x:v>44889.68733796296</x:v>
      </x:c>
      <x:c r="O2602" s="117" t="str">
        <x:v>Jon Kean</x:v>
      </x:c>
      <x:c r="P2602" s="120" t="n">
        <x:v>44889.688310185185</x:v>
      </x:c>
      <x:c r="Q2602" s="117" t="str">
        <x:v>Jon Kean</x:v>
      </x:c>
      <x:c r="R2602" s="117" t="str">
        <x:v>Sales Sheet Screen Flow</x:v>
      </x:c>
      <x:c r="S2602" s="119"/>
    </x:row>
    <x:row r="2603" ht="30" customHeight="1">
      <x:c r="A2603" s="117" t="str">
        <x:v>Sales_Sheet_Screen_Flow</x:v>
      </x:c>
      <x:c r="B2603" s="117" t="str">
        <x:v>3005b000000H3voAAC</x:v>
      </x:c>
      <x:c r="C2603" s="117" t="str">
        <x:v>3015b000000AAmLAAW</x:v>
      </x:c>
      <x:c r="D2603" s="118" t="n">
        <x:v>15</x:v>
      </x:c>
      <x:c r="E2603" s="117" t="str">
        <x:v>Obsolete</x:v>
      </x:c>
      <x:c r="F2603" s="117" t="str">
        <x:v>No</x:v>
      </x:c>
      <x:c r="G2603" s="117" t="str">
        <x:v>No</x:v>
      </x:c>
      <x:c r="H2603" s="117" t="str">
        <x:v>Flow</x:v>
      </x:c>
      <x:c r="I2603" s="118" t="n">
        <x:v>54</x:v>
      </x:c>
      <x:c r="J2603" s="117" t="str">
        <x:v>unmanaged</x:v>
      </x:c>
      <x:c r="K2603" s="123" t="b">
        <x:v>0</x:v>
      </x:c>
      <x:c r="L2603" s="117"/>
      <x:c r="M2603" s="118"/>
      <x:c r="N2603" s="120" t="n">
        <x:v>44889.701006944444</x:v>
      </x:c>
      <x:c r="O2603" s="117" t="str">
        <x:v>Jon Kean</x:v>
      </x:c>
      <x:c r="P2603" s="120" t="n">
        <x:v>44889.70106481481</x:v>
      </x:c>
      <x:c r="Q2603" s="117" t="str">
        <x:v>Jon Kean</x:v>
      </x:c>
      <x:c r="R2603" s="117" t="str">
        <x:v>Sales Sheet Screen Flow</x:v>
      </x:c>
      <x:c r="S2603" s="119"/>
    </x:row>
    <x:row r="2604" ht="30" customHeight="1">
      <x:c r="A2604" s="117" t="str">
        <x:v>Sales_Sheet_Screen_Flow</x:v>
      </x:c>
      <x:c r="B2604" s="117" t="str">
        <x:v>3005b000000H3voAAC</x:v>
      </x:c>
      <x:c r="C2604" s="117" t="str">
        <x:v>3015b000000AEGxAAO</x:v>
      </x:c>
      <x:c r="D2604" s="118" t="n">
        <x:v>16</x:v>
      </x:c>
      <x:c r="E2604" s="117" t="str">
        <x:v>Obsolete</x:v>
      </x:c>
      <x:c r="F2604" s="117" t="str">
        <x:v>No</x:v>
      </x:c>
      <x:c r="G2604" s="117" t="str">
        <x:v>No</x:v>
      </x:c>
      <x:c r="H2604" s="117" t="str">
        <x:v>Flow</x:v>
      </x:c>
      <x:c r="I2604" s="118" t="n">
        <x:v>54</x:v>
      </x:c>
      <x:c r="J2604" s="117" t="str">
        <x:v>unmanaged</x:v>
      </x:c>
      <x:c r="K2604" s="123" t="b">
        <x:v>0</x:v>
      </x:c>
      <x:c r="L2604" s="117"/>
      <x:c r="M2604" s="118"/>
      <x:c r="N2604" s="120" t="n">
        <x:v>44939.60971064815</x:v>
      </x:c>
      <x:c r="O2604" s="117" t="str">
        <x:v>Jon Kean</x:v>
      </x:c>
      <x:c r="P2604" s="120" t="n">
        <x:v>44939.60978009259</x:v>
      </x:c>
      <x:c r="Q2604" s="117" t="str">
        <x:v>Jon Kean</x:v>
      </x:c>
      <x:c r="R2604" s="117" t="str">
        <x:v>Sales Sheet Screen Flow</x:v>
      </x:c>
      <x:c r="S2604" s="119"/>
    </x:row>
    <x:row r="2605" ht="30" customHeight="1">
      <x:c r="A2605" s="117" t="str">
        <x:v>Sales_Sheet_Screen_Flow</x:v>
      </x:c>
      <x:c r="B2605" s="117" t="str">
        <x:v>3005b000000H3voAAC</x:v>
      </x:c>
      <x:c r="C2605" s="117" t="str">
        <x:v>3015b000000AEHCAA4</x:v>
      </x:c>
      <x:c r="D2605" s="118" t="n">
        <x:v>17</x:v>
      </x:c>
      <x:c r="E2605" s="117" t="str">
        <x:v>Obsolete</x:v>
      </x:c>
      <x:c r="F2605" s="117" t="str">
        <x:v>No</x:v>
      </x:c>
      <x:c r="G2605" s="117" t="str">
        <x:v>No</x:v>
      </x:c>
      <x:c r="H2605" s="117" t="str">
        <x:v>Flow</x:v>
      </x:c>
      <x:c r="I2605" s="118" t="n">
        <x:v>54</x:v>
      </x:c>
      <x:c r="J2605" s="117" t="str">
        <x:v>unmanaged</x:v>
      </x:c>
      <x:c r="K2605" s="123" t="b">
        <x:v>0</x:v>
      </x:c>
      <x:c r="L2605" s="117"/>
      <x:c r="M2605" s="118"/>
      <x:c r="N2605" s="120" t="n">
        <x:v>44939.610763888886</x:v>
      </x:c>
      <x:c r="O2605" s="117" t="str">
        <x:v>Jon Kean</x:v>
      </x:c>
      <x:c r="P2605" s="120" t="n">
        <x:v>44939.61078703704</x:v>
      </x:c>
      <x:c r="Q2605" s="117" t="str">
        <x:v>Jon Kean</x:v>
      </x:c>
      <x:c r="R2605" s="117" t="str">
        <x:v>Sales Sheet Screen Flow</x:v>
      </x:c>
      <x:c r="S2605" s="119"/>
    </x:row>
    <x:row r="2606" ht="30" customHeight="1">
      <x:c r="A2606" s="117" t="str">
        <x:v>Sales_Sheet_Screen_Flow</x:v>
      </x:c>
      <x:c r="B2606" s="117" t="str">
        <x:v>3005b000000H3voAAC</x:v>
      </x:c>
      <x:c r="C2606" s="117" t="str">
        <x:v>3015b000000AEHMAA4</x:v>
      </x:c>
      <x:c r="D2606" s="118" t="n">
        <x:v>18</x:v>
      </x:c>
      <x:c r="E2606" s="117" t="str">
        <x:v>Obsolete</x:v>
      </x:c>
      <x:c r="F2606" s="117" t="str">
        <x:v>No</x:v>
      </x:c>
      <x:c r="G2606" s="117" t="str">
        <x:v>No</x:v>
      </x:c>
      <x:c r="H2606" s="117" t="str">
        <x:v>Flow</x:v>
      </x:c>
      <x:c r="I2606" s="118" t="n">
        <x:v>54</x:v>
      </x:c>
      <x:c r="J2606" s="117" t="str">
        <x:v>unmanaged</x:v>
      </x:c>
      <x:c r="K2606" s="123" t="b">
        <x:v>0</x:v>
      </x:c>
      <x:c r="L2606" s="117"/>
      <x:c r="M2606" s="118"/>
      <x:c r="N2606" s="120" t="n">
        <x:v>44939.61547453704</x:v>
      </x:c>
      <x:c r="O2606" s="117" t="str">
        <x:v>Jon Kean</x:v>
      </x:c>
      <x:c r="P2606" s="120" t="n">
        <x:v>44939.61552083334</x:v>
      </x:c>
      <x:c r="Q2606" s="117" t="str">
        <x:v>Jon Kean</x:v>
      </x:c>
      <x:c r="R2606" s="117" t="str">
        <x:v>Sales Sheet Screen Flow</x:v>
      </x:c>
      <x:c r="S2606" s="119"/>
    </x:row>
    <x:row r="2607" ht="30" customHeight="1">
      <x:c r="A2607" s="117" t="str">
        <x:v>Sales_Sheet_Screen_Flow</x:v>
      </x:c>
      <x:c r="B2607" s="117" t="str">
        <x:v>3005b000000H3voAAC</x:v>
      </x:c>
      <x:c r="C2607" s="117" t="str">
        <x:v>3015b000000AGGaAAO</x:v>
      </x:c>
      <x:c r="D2607" s="118" t="n">
        <x:v>19</x:v>
      </x:c>
      <x:c r="E2607" s="117" t="str">
        <x:v>Obsolete</x:v>
      </x:c>
      <x:c r="F2607" s="117" t="str">
        <x:v>No</x:v>
      </x:c>
      <x:c r="G2607" s="117" t="str">
        <x:v>No</x:v>
      </x:c>
      <x:c r="H2607" s="117" t="str">
        <x:v>Flow</x:v>
      </x:c>
      <x:c r="I2607" s="118" t="n">
        <x:v>54</x:v>
      </x:c>
      <x:c r="J2607" s="117" t="str">
        <x:v>unmanaged</x:v>
      </x:c>
      <x:c r="K2607" s="123" t="b">
        <x:v>0</x:v>
      </x:c>
      <x:c r="L2607" s="117"/>
      <x:c r="M2607" s="118"/>
      <x:c r="N2607" s="120" t="n">
        <x:v>44965.691516203704</x:v>
      </x:c>
      <x:c r="O2607" s="117" t="str">
        <x:v>Jordan Reeves</x:v>
      </x:c>
      <x:c r="P2607" s="120" t="n">
        <x:v>44965.69179398148</x:v>
      </x:c>
      <x:c r="Q2607" s="117" t="str">
        <x:v>Jordan Reeves</x:v>
      </x:c>
      <x:c r="R2607" s="117" t="str">
        <x:v>Sales Sheet Screen Flow</x:v>
      </x:c>
      <x:c r="S2607" s="119"/>
    </x:row>
    <x:row r="2608" ht="30" customHeight="1">
      <x:c r="A2608" s="117" t="str">
        <x:v>Sales_Sheet_Screen_Flow</x:v>
      </x:c>
      <x:c r="B2608" s="117" t="str">
        <x:v>3005b000000H3voAAC</x:v>
      </x:c>
      <x:c r="C2608" s="117" t="str">
        <x:v>3015b000000AQVLAA4</x:v>
      </x:c>
      <x:c r="D2608" s="118" t="n">
        <x:v>20</x:v>
      </x:c>
      <x:c r="E2608" s="117" t="str">
        <x:v>Obsolete</x:v>
      </x:c>
      <x:c r="F2608" s="117" t="str">
        <x:v>No</x:v>
      </x:c>
      <x:c r="G2608" s="117" t="str">
        <x:v>No</x:v>
      </x:c>
      <x:c r="H2608" s="117" t="str">
        <x:v>Flow</x:v>
      </x:c>
      <x:c r="I2608" s="118" t="n">
        <x:v>54</x:v>
      </x:c>
      <x:c r="J2608" s="117" t="str">
        <x:v>unmanaged</x:v>
      </x:c>
      <x:c r="K2608" s="123" t="b">
        <x:v>0</x:v>
      </x:c>
      <x:c r="L2608" s="117"/>
      <x:c r="M2608" s="118"/>
      <x:c r="N2608" s="120" t="n">
        <x:v>45154.46954861111</x:v>
      </x:c>
      <x:c r="O2608" s="117" t="str">
        <x:v>Jon Kean</x:v>
      </x:c>
      <x:c r="P2608" s="120" t="n">
        <x:v>45154.46965277778</x:v>
      </x:c>
      <x:c r="Q2608" s="117" t="str">
        <x:v>Jon Kean</x:v>
      </x:c>
      <x:c r="R2608" s="117" t="str">
        <x:v>Sales Sheet Screen Flow</x:v>
      </x:c>
      <x:c r="S2608" s="119"/>
    </x:row>
    <x:row r="2609" ht="30" customHeight="1">
      <x:c r="A2609" s="117" t="str">
        <x:v>Sales_Sheet_Screen_Flow</x:v>
      </x:c>
      <x:c r="B2609" s="117" t="str">
        <x:v>3005b000000H3voAAC</x:v>
      </x:c>
      <x:c r="C2609" s="117" t="str">
        <x:v>3015b000000AQVQAA4</x:v>
      </x:c>
      <x:c r="D2609" s="118" t="n">
        <x:v>21</x:v>
      </x:c>
      <x:c r="E2609" s="117" t="str">
        <x:v>Obsolete</x:v>
      </x:c>
      <x:c r="F2609" s="117" t="str">
        <x:v>No</x:v>
      </x:c>
      <x:c r="G2609" s="117" t="str">
        <x:v>No</x:v>
      </x:c>
      <x:c r="H2609" s="117" t="str">
        <x:v>Flow</x:v>
      </x:c>
      <x:c r="I2609" s="118" t="n">
        <x:v>54</x:v>
      </x:c>
      <x:c r="J2609" s="117" t="str">
        <x:v>unmanaged</x:v>
      </x:c>
      <x:c r="K2609" s="123" t="b">
        <x:v>0</x:v>
      </x:c>
      <x:c r="L2609" s="117"/>
      <x:c r="M2609" s="118"/>
      <x:c r="N2609" s="120" t="n">
        <x:v>45154.474282407406</x:v>
      </x:c>
      <x:c r="O2609" s="117" t="str">
        <x:v>Jon Kean</x:v>
      </x:c>
      <x:c r="P2609" s="120" t="n">
        <x:v>45154.474375</x:v>
      </x:c>
      <x:c r="Q2609" s="117" t="str">
        <x:v>Jon Kean</x:v>
      </x:c>
      <x:c r="R2609" s="117" t="str">
        <x:v>Sales Sheet Screen Flow</x:v>
      </x:c>
      <x:c r="S2609" s="119"/>
    </x:row>
    <x:row r="2610" ht="30" customHeight="1">
      <x:c r="A2610" s="117" t="str">
        <x:v>Sales_Sheet_Screen_Flow</x:v>
      </x:c>
      <x:c r="B2610" s="117" t="str">
        <x:v>3005b000000H3voAAC</x:v>
      </x:c>
      <x:c r="C2610" s="117" t="str">
        <x:v>3015b000000AQm2AAG</x:v>
      </x:c>
      <x:c r="D2610" s="118" t="n">
        <x:v>22</x:v>
      </x:c>
      <x:c r="E2610" s="117" t="str">
        <x:v>Obsolete</x:v>
      </x:c>
      <x:c r="F2610" s="117" t="str">
        <x:v>No</x:v>
      </x:c>
      <x:c r="G2610" s="117" t="str">
        <x:v>No</x:v>
      </x:c>
      <x:c r="H2610" s="117" t="str">
        <x:v>Flow</x:v>
      </x:c>
      <x:c r="I2610" s="118" t="n">
        <x:v>54</x:v>
      </x:c>
      <x:c r="J2610" s="117" t="str">
        <x:v>unmanaged</x:v>
      </x:c>
      <x:c r="K2610" s="123" t="b">
        <x:v>0</x:v>
      </x:c>
      <x:c r="L2610" s="117"/>
      <x:c r="M2610" s="118"/>
      <x:c r="N2610" s="120" t="n">
        <x:v>45156.33657407408</x:v>
      </x:c>
      <x:c r="O2610" s="117" t="str">
        <x:v>Jon Kean</x:v>
      </x:c>
      <x:c r="P2610" s="120" t="n">
        <x:v>45156.336643518516</x:v>
      </x:c>
      <x:c r="Q2610" s="117" t="str">
        <x:v>Jon Kean</x:v>
      </x:c>
      <x:c r="R2610" s="117" t="str">
        <x:v>Sales Sheet Screen Flow</x:v>
      </x:c>
      <x:c r="S2610" s="119"/>
    </x:row>
    <x:row r="2611" ht="30" customHeight="1">
      <x:c r="A2611" s="117" t="str">
        <x:v>Sales_Sheet_Screen_Flow</x:v>
      </x:c>
      <x:c r="B2611" s="117" t="str">
        <x:v>3005b000000H3voAAC</x:v>
      </x:c>
      <x:c r="C2611" s="117" t="str">
        <x:v>3015b0000011N9MAAU</x:v>
      </x:c>
      <x:c r="D2611" s="118" t="n">
        <x:v>23</x:v>
      </x:c>
      <x:c r="E2611" s="117" t="str">
        <x:v>Obsolete</x:v>
      </x:c>
      <x:c r="F2611" s="117" t="str">
        <x:v>No</x:v>
      </x:c>
      <x:c r="G2611" s="117" t="str">
        <x:v>No</x:v>
      </x:c>
      <x:c r="H2611" s="117" t="str">
        <x:v>Flow</x:v>
      </x:c>
      <x:c r="I2611" s="118" t="n">
        <x:v>54</x:v>
      </x:c>
      <x:c r="J2611" s="117" t="str">
        <x:v>unmanaged</x:v>
      </x:c>
      <x:c r="K2611" s="123" t="b">
        <x:v>0</x:v>
      </x:c>
      <x:c r="L2611" s="117"/>
      <x:c r="M2611" s="118"/>
      <x:c r="N2611" s="120" t="n">
        <x:v>45303.39708333334</x:v>
      </x:c>
      <x:c r="O2611" s="117" t="str">
        <x:v>Jon Kean</x:v>
      </x:c>
      <x:c r="P2611" s="120" t="n">
        <x:v>45303.39711805555</x:v>
      </x:c>
      <x:c r="Q2611" s="117" t="str">
        <x:v>Jon Kean</x:v>
      </x:c>
      <x:c r="R2611" s="117" t="str">
        <x:v>Sales Sheet Screen Flow</x:v>
      </x:c>
      <x:c r="S2611" s="119"/>
    </x:row>
    <x:row r="2612" ht="30" customHeight="1">
      <x:c r="A2612" s="117" t="str">
        <x:v>Sales_Sheet_Screen_Flow</x:v>
      </x:c>
      <x:c r="B2612" s="117" t="str">
        <x:v>3005b000000H3voAAC</x:v>
      </x:c>
      <x:c r="C2612" s="117" t="str">
        <x:v>3015b0000011N9RAAU</x:v>
      </x:c>
      <x:c r="D2612" s="118" t="n">
        <x:v>24</x:v>
      </x:c>
      <x:c r="E2612" s="117" t="str">
        <x:v>Obsolete</x:v>
      </x:c>
      <x:c r="F2612" s="117" t="str">
        <x:v>No</x:v>
      </x:c>
      <x:c r="G2612" s="117" t="str">
        <x:v>No</x:v>
      </x:c>
      <x:c r="H2612" s="117" t="str">
        <x:v>Flow</x:v>
      </x:c>
      <x:c r="I2612" s="118" t="n">
        <x:v>54</x:v>
      </x:c>
      <x:c r="J2612" s="117" t="str">
        <x:v>unmanaged</x:v>
      </x:c>
      <x:c r="K2612" s="123" t="b">
        <x:v>0</x:v>
      </x:c>
      <x:c r="L2612" s="117"/>
      <x:c r="M2612" s="118"/>
      <x:c r="N2612" s="120" t="n">
        <x:v>45303.3983912037</x:v>
      </x:c>
      <x:c r="O2612" s="117" t="str">
        <x:v>Jon Kean</x:v>
      </x:c>
      <x:c r="P2612" s="120" t="n">
        <x:v>45303.3984375</x:v>
      </x:c>
      <x:c r="Q2612" s="117" t="str">
        <x:v>Jon Kean</x:v>
      </x:c>
      <x:c r="R2612" s="117" t="str">
        <x:v>Sales Sheet Screen Flow</x:v>
      </x:c>
      <x:c r="S2612" s="119"/>
    </x:row>
    <x:row r="2613" ht="30" customHeight="1">
      <x:c r="A2613" s="117" t="str">
        <x:v>Sales_Sheet_Screen_Flow</x:v>
      </x:c>
      <x:c r="B2613" s="117" t="str">
        <x:v>3005b000000H3voAAC</x:v>
      </x:c>
      <x:c r="C2613" s="117" t="str">
        <x:v>301Ro00000AqsHtIAJ</x:v>
      </x:c>
      <x:c r="D2613" s="118" t="n">
        <x:v>25</x:v>
      </x:c>
      <x:c r="E2613" s="117" t="str">
        <x:v>Obsolete</x:v>
      </x:c>
      <x:c r="F2613" s="117" t="str">
        <x:v>No</x:v>
      </x:c>
      <x:c r="G2613" s="117" t="str">
        <x:v>No</x:v>
      </x:c>
      <x:c r="H2613" s="117" t="str">
        <x:v>Flow</x:v>
      </x:c>
      <x:c r="I2613" s="118" t="n">
        <x:v>54</x:v>
      </x:c>
      <x:c r="J2613" s="117" t="str">
        <x:v>unmanaged</x:v>
      </x:c>
      <x:c r="K2613" s="123" t="b">
        <x:v>0</x:v>
      </x:c>
      <x:c r="L2613" s="117" t="str">
        <x:v>SystemModeWithoutSharing</x:v>
      </x:c>
      <x:c r="M2613" s="118"/>
      <x:c r="N2613" s="120" t="n">
        <x:v>45394.77988425926</x:v>
      </x:c>
      <x:c r="O2613" s="117" t="str">
        <x:v>Jace Gentil</x:v>
      </x:c>
      <x:c r="P2613" s="120" t="n">
        <x:v>45394.77991898148</x:v>
      </x:c>
      <x:c r="Q2613" s="117" t="str">
        <x:v>Jace Gentil</x:v>
      </x:c>
      <x:c r="R2613" s="117" t="str">
        <x:v>Sales Sheet Screen Flow</x:v>
      </x:c>
      <x:c r="S2613" s="119"/>
    </x:row>
    <x:row r="2614" ht="30" customHeight="1">
      <x:c r="A2614" s="117" t="str">
        <x:v>Sales_Sheet_Screen_Flow</x:v>
      </x:c>
      <x:c r="B2614" s="117" t="str">
        <x:v>3005b000000H3voAAC</x:v>
      </x:c>
      <x:c r="C2614" s="117" t="str">
        <x:v>301Ro00000KldC9IAJ</x:v>
      </x:c>
      <x:c r="D2614" s="118" t="n">
        <x:v>26</x:v>
      </x:c>
      <x:c r="E2614" s="117" t="str">
        <x:v>Obsolete</x:v>
      </x:c>
      <x:c r="F2614" s="117" t="str">
        <x:v>No</x:v>
      </x:c>
      <x:c r="G2614" s="117" t="str">
        <x:v>No</x:v>
      </x:c>
      <x:c r="H2614" s="117" t="str">
        <x:v>Flow</x:v>
      </x:c>
      <x:c r="I2614" s="118" t="n">
        <x:v>54</x:v>
      </x:c>
      <x:c r="J2614" s="117" t="str">
        <x:v>unmanaged</x:v>
      </x:c>
      <x:c r="K2614" s="123" t="b">
        <x:v>0</x:v>
      </x:c>
      <x:c r="L2614" s="117" t="str">
        <x:v>SystemModeWithoutSharing</x:v>
      </x:c>
      <x:c r="M2614" s="118"/>
      <x:c r="N2614" s="120" t="n">
        <x:v>45545.56637731481</x:v>
      </x:c>
      <x:c r="O2614" s="117" t="str">
        <x:v>Jon Kean</x:v>
      </x:c>
      <x:c r="P2614" s="120" t="n">
        <x:v>45545.56642361111</x:v>
      </x:c>
      <x:c r="Q2614" s="117" t="str">
        <x:v>Jon Kean</x:v>
      </x:c>
      <x:c r="R2614" s="117" t="str">
        <x:v>Sales Sheet Screen Flow</x:v>
      </x:c>
      <x:c r="S2614" s="119"/>
    </x:row>
    <x:row r="2615" ht="30" customHeight="1">
      <x:c r="A2615" s="117" t="str">
        <x:v>Sales_Sheet_Screen_Flow</x:v>
      </x:c>
      <x:c r="B2615" s="117" t="str">
        <x:v>3005b000000H3voAAC</x:v>
      </x:c>
      <x:c r="C2615" s="117" t="str">
        <x:v>301Ro00000RswqkIAB</x:v>
      </x:c>
      <x:c r="D2615" s="118" t="n">
        <x:v>27</x:v>
      </x:c>
      <x:c r="E2615" s="117" t="str">
        <x:v>Active</x:v>
      </x:c>
      <x:c r="F2615" s="117" t="str">
        <x:v>Yes</x:v>
      </x:c>
      <x:c r="G2615" s="117" t="str">
        <x:v>Yes</x:v>
      </x:c>
      <x:c r="H2615" s="117" t="str">
        <x:v>Flow</x:v>
      </x:c>
      <x:c r="I2615" s="118" t="n">
        <x:v>54</x:v>
      </x:c>
      <x:c r="J2615" s="117" t="str">
        <x:v>unmanaged</x:v>
      </x:c>
      <x:c r="K2615" s="123" t="b">
        <x:v>0</x:v>
      </x:c>
      <x:c r="L2615" s="117" t="str">
        <x:v>SystemModeWithoutSharing</x:v>
      </x:c>
      <x:c r="M2615" s="118"/>
      <x:c r="N2615" s="120" t="n">
        <x:v>45667.43513888889</x:v>
      </x:c>
      <x:c r="O2615" s="117" t="str">
        <x:v>Jon Kean</x:v>
      </x:c>
      <x:c r="P2615" s="120" t="n">
        <x:v>45667.43519675926</x:v>
      </x:c>
      <x:c r="Q2615" s="117" t="str">
        <x:v>Jon Kean</x:v>
      </x:c>
      <x:c r="R2615" s="117" t="str">
        <x:v>Sales Sheet Screen Flow</x:v>
      </x:c>
      <x:c r="S2615" s="119"/>
    </x:row>
    <x:row r="2616" ht="30" customHeight="1">
      <x:c r="A2616" s="117" t="str">
        <x:v>Salesforce_Case_Notifications</x:v>
      </x:c>
      <x:c r="B2616" s="117" t="str">
        <x:v>3005b000000H4ElAAK</x:v>
      </x:c>
      <x:c r="C2616" s="117" t="str">
        <x:v>3015b000000ELldAAG</x:v>
      </x:c>
      <x:c r="D2616" s="118" t="n">
        <x:v>1</x:v>
      </x:c>
      <x:c r="E2616" s="117" t="str">
        <x:v>Obsolete</x:v>
      </x:c>
      <x:c r="F2616" s="117" t="str">
        <x:v>No</x:v>
      </x:c>
      <x:c r="G2616" s="117" t="str">
        <x:v>No</x:v>
      </x:c>
      <x:c r="H2616" s="117" t="str">
        <x:v>AutoLaunchedFlow</x:v>
      </x:c>
      <x:c r="I2616" s="118" t="n">
        <x:v>55</x:v>
      </x:c>
      <x:c r="J2616" s="117" t="str">
        <x:v>unmanaged</x:v>
      </x:c>
      <x:c r="K2616" s="123" t="b">
        <x:v>0</x:v>
      </x:c>
      <x:c r="L2616" s="117"/>
      <x:c r="M2616" s="118"/>
      <x:c r="N2616" s="120" t="n">
        <x:v>44819.79619212963</x:v>
      </x:c>
      <x:c r="O2616" s="117" t="str">
        <x:v>Jace Gentil</x:v>
      </x:c>
      <x:c r="P2616" s="120" t="n">
        <x:v>44819.79628472222</x:v>
      </x:c>
      <x:c r="Q2616" s="117" t="str">
        <x:v>Jace Gentil</x:v>
      </x:c>
      <x:c r="R2616" s="117" t="str">
        <x:v>Salesforce Case Notifications</x:v>
      </x:c>
      <x:c r="S2616" s="119"/>
    </x:row>
    <x:row r="2617" ht="30" customHeight="1">
      <x:c r="A2617" s="117" t="str">
        <x:v>Salesforce_Case_Notifications</x:v>
      </x:c>
      <x:c r="B2617" s="117" t="str">
        <x:v>3005b000000H4ElAAK</x:v>
      </x:c>
      <x:c r="C2617" s="117" t="str">
        <x:v>3015b000000ELm8AAG</x:v>
      </x:c>
      <x:c r="D2617" s="118" t="n">
        <x:v>2</x:v>
      </x:c>
      <x:c r="E2617" s="117" t="str">
        <x:v>Obsolete</x:v>
      </x:c>
      <x:c r="F2617" s="117" t="str">
        <x:v>No</x:v>
      </x:c>
      <x:c r="G2617" s="117" t="str">
        <x:v>No</x:v>
      </x:c>
      <x:c r="H2617" s="117" t="str">
        <x:v>AutoLaunchedFlow</x:v>
      </x:c>
      <x:c r="I2617" s="118" t="n">
        <x:v>55</x:v>
      </x:c>
      <x:c r="J2617" s="117" t="str">
        <x:v>unmanaged</x:v>
      </x:c>
      <x:c r="K2617" s="123" t="b">
        <x:v>0</x:v>
      </x:c>
      <x:c r="L2617" s="117"/>
      <x:c r="M2617" s="118"/>
      <x:c r="N2617" s="120" t="n">
        <x:v>44819.86537037037</x:v>
      </x:c>
      <x:c r="O2617" s="117" t="str">
        <x:v>Jace Gentil</x:v>
      </x:c>
      <x:c r="P2617" s="120" t="n">
        <x:v>44819.86541666667</x:v>
      </x:c>
      <x:c r="Q2617" s="117" t="str">
        <x:v>Jace Gentil</x:v>
      </x:c>
      <x:c r="R2617" s="117" t="str">
        <x:v>Salesforce Case Notifications</x:v>
      </x:c>
      <x:c r="S2617" s="119"/>
    </x:row>
    <x:row r="2618" ht="30" customHeight="1">
      <x:c r="A2618" s="117" t="str">
        <x:v>Salesforce_Case_Notifications</x:v>
      </x:c>
      <x:c r="B2618" s="117" t="str">
        <x:v>3005b000000H4ElAAK</x:v>
      </x:c>
      <x:c r="C2618" s="117" t="str">
        <x:v>3015b000000ELmbAAG</x:v>
      </x:c>
      <x:c r="D2618" s="118" t="n">
        <x:v>3</x:v>
      </x:c>
      <x:c r="E2618" s="117" t="str">
        <x:v>Obsolete</x:v>
      </x:c>
      <x:c r="F2618" s="117" t="str">
        <x:v>No</x:v>
      </x:c>
      <x:c r="G2618" s="117" t="str">
        <x:v>No</x:v>
      </x:c>
      <x:c r="H2618" s="117" t="str">
        <x:v>AutoLaunchedFlow</x:v>
      </x:c>
      <x:c r="I2618" s="118" t="n">
        <x:v>55</x:v>
      </x:c>
      <x:c r="J2618" s="117" t="str">
        <x:v>unmanaged</x:v>
      </x:c>
      <x:c r="K2618" s="123" t="b">
        <x:v>0</x:v>
      </x:c>
      <x:c r="L2618" s="117"/>
      <x:c r="M2618" s="118"/>
      <x:c r="N2618" s="120" t="n">
        <x:v>44819.88895833334</x:v>
      </x:c>
      <x:c r="O2618" s="117" t="str">
        <x:v>Jace Gentil</x:v>
      </x:c>
      <x:c r="P2618" s="120" t="n">
        <x:v>44819.88899305555</x:v>
      </x:c>
      <x:c r="Q2618" s="117" t="str">
        <x:v>Jace Gentil</x:v>
      </x:c>
      <x:c r="R2618" s="117" t="str">
        <x:v>Salesforce Case Notifications</x:v>
      </x:c>
      <x:c r="S2618" s="119"/>
    </x:row>
    <x:row r="2619" ht="30" customHeight="1">
      <x:c r="A2619" s="117" t="str">
        <x:v>Salesforce_Case_Notifications</x:v>
      </x:c>
      <x:c r="B2619" s="117" t="str">
        <x:v>3005b000000H4ElAAK</x:v>
      </x:c>
      <x:c r="C2619" s="117" t="str">
        <x:v>3015b000000ELs0AAG</x:v>
      </x:c>
      <x:c r="D2619" s="118" t="n">
        <x:v>4</x:v>
      </x:c>
      <x:c r="E2619" s="117" t="str">
        <x:v>Obsolete</x:v>
      </x:c>
      <x:c r="F2619" s="117" t="str">
        <x:v>No</x:v>
      </x:c>
      <x:c r="G2619" s="117" t="str">
        <x:v>No</x:v>
      </x:c>
      <x:c r="H2619" s="117" t="str">
        <x:v>AutoLaunchedFlow</x:v>
      </x:c>
      <x:c r="I2619" s="118" t="n">
        <x:v>55</x:v>
      </x:c>
      <x:c r="J2619" s="117" t="str">
        <x:v>unmanaged</x:v>
      </x:c>
      <x:c r="K2619" s="123" t="b">
        <x:v>0</x:v>
      </x:c>
      <x:c r="L2619" s="117"/>
      <x:c r="M2619" s="118"/>
      <x:c r="N2619" s="120" t="n">
        <x:v>44824.83813657407</x:v>
      </x:c>
      <x:c r="O2619" s="117" t="str">
        <x:v>Jace Gentil</x:v>
      </x:c>
      <x:c r="P2619" s="120" t="n">
        <x:v>44824.838217592594</x:v>
      </x:c>
      <x:c r="Q2619" s="117" t="str">
        <x:v>Jace Gentil</x:v>
      </x:c>
      <x:c r="R2619" s="117" t="str">
        <x:v>Salesforce Case Notifications</x:v>
      </x:c>
      <x:c r="S2619" s="119"/>
    </x:row>
    <x:row r="2620" ht="30" customHeight="1">
      <x:c r="A2620" s="117" t="str">
        <x:v>Salesforce_Case_Notifications</x:v>
      </x:c>
      <x:c r="B2620" s="117" t="str">
        <x:v>3005b000000H4ElAAK</x:v>
      </x:c>
      <x:c r="C2620" s="117" t="str">
        <x:v>3015b000000ELt4AAG</x:v>
      </x:c>
      <x:c r="D2620" s="118" t="n">
        <x:v>5</x:v>
      </x:c>
      <x:c r="E2620" s="117" t="str">
        <x:v>Obsolete</x:v>
      </x:c>
      <x:c r="F2620" s="117" t="str">
        <x:v>No</x:v>
      </x:c>
      <x:c r="G2620" s="117" t="str">
        <x:v>No</x:v>
      </x:c>
      <x:c r="H2620" s="117" t="str">
        <x:v>AutoLaunchedFlow</x:v>
      </x:c>
      <x:c r="I2620" s="118" t="n">
        <x:v>55</x:v>
      </x:c>
      <x:c r="J2620" s="117" t="str">
        <x:v>unmanaged</x:v>
      </x:c>
      <x:c r="K2620" s="123" t="b">
        <x:v>0</x:v>
      </x:c>
      <x:c r="L2620" s="117"/>
      <x:c r="M2620" s="118"/>
      <x:c r="N2620" s="120" t="n">
        <x:v>44825.81037037037</x:v>
      </x:c>
      <x:c r="O2620" s="117" t="str">
        <x:v>Jace Gentil</x:v>
      </x:c>
      <x:c r="P2620" s="120" t="n">
        <x:v>44825.810694444444</x:v>
      </x:c>
      <x:c r="Q2620" s="117" t="str">
        <x:v>Jace Gentil</x:v>
      </x:c>
      <x:c r="R2620" s="117" t="str">
        <x:v>Salesforce Case Notifications</x:v>
      </x:c>
      <x:c r="S2620" s="119"/>
    </x:row>
    <x:row r="2621" ht="30" customHeight="1">
      <x:c r="A2621" s="117" t="str">
        <x:v>Salesforce_Case_Notifications</x:v>
      </x:c>
      <x:c r="B2621" s="117" t="str">
        <x:v>3005b000000H4ElAAK</x:v>
      </x:c>
      <x:c r="C2621" s="117" t="str">
        <x:v>3015b000000AEgqAAG</x:v>
      </x:c>
      <x:c r="D2621" s="118" t="n">
        <x:v>6</x:v>
      </x:c>
      <x:c r="E2621" s="117" t="str">
        <x:v>Obsolete</x:v>
      </x:c>
      <x:c r="F2621" s="117" t="str">
        <x:v>No</x:v>
      </x:c>
      <x:c r="G2621" s="117" t="str">
        <x:v>No</x:v>
      </x:c>
      <x:c r="H2621" s="117" t="str">
        <x:v>AutoLaunchedFlow</x:v>
      </x:c>
      <x:c r="I2621" s="118" t="n">
        <x:v>55</x:v>
      </x:c>
      <x:c r="J2621" s="117" t="str">
        <x:v>unmanaged</x:v>
      </x:c>
      <x:c r="K2621" s="123" t="b">
        <x:v>0</x:v>
      </x:c>
      <x:c r="L2621" s="117"/>
      <x:c r="M2621" s="118"/>
      <x:c r="N2621" s="120" t="n">
        <x:v>44946.60346064815</x:v>
      </x:c>
      <x:c r="O2621" s="117" t="str">
        <x:v>Jace Gentil</x:v>
      </x:c>
      <x:c r="P2621" s="120" t="n">
        <x:v>44946.60350694445</x:v>
      </x:c>
      <x:c r="Q2621" s="117" t="str">
        <x:v>Jace Gentil</x:v>
      </x:c>
      <x:c r="R2621" s="117" t="str">
        <x:v>Salesforce Case Notifications</x:v>
      </x:c>
      <x:c r="S2621" s="119"/>
    </x:row>
    <x:row r="2622" ht="30" customHeight="1">
      <x:c r="A2622" s="117" t="str">
        <x:v>Salesforce_Case_Notifications</x:v>
      </x:c>
      <x:c r="B2622" s="117" t="str">
        <x:v>3005b000000H4ElAAK</x:v>
      </x:c>
      <x:c r="C2622" s="117" t="str">
        <x:v>3015b000000AExrAAG</x:v>
      </x:c>
      <x:c r="D2622" s="118" t="n">
        <x:v>7</x:v>
      </x:c>
      <x:c r="E2622" s="117" t="str">
        <x:v>Draft</x:v>
      </x:c>
      <x:c r="F2622" s="117" t="str">
        <x:v>No</x:v>
      </x:c>
      <x:c r="G2622" s="117" t="str">
        <x:v>No</x:v>
      </x:c>
      <x:c r="H2622" s="117" t="str">
        <x:v>AutoLaunchedFlow</x:v>
      </x:c>
      <x:c r="I2622" s="118" t="n">
        <x:v>55</x:v>
      </x:c>
      <x:c r="J2622" s="117" t="str">
        <x:v>unmanaged</x:v>
      </x:c>
      <x:c r="K2622" s="123" t="b">
        <x:v>0</x:v>
      </x:c>
      <x:c r="L2622" s="117"/>
      <x:c r="M2622" s="118"/>
      <x:c r="N2622" s="120" t="n">
        <x:v>44951.6128125</x:v>
      </x:c>
      <x:c r="O2622" s="117" t="str">
        <x:v>Jon Kean</x:v>
      </x:c>
      <x:c r="P2622" s="120" t="n">
        <x:v>44951.612858796296</x:v>
      </x:c>
      <x:c r="Q2622" s="117" t="str">
        <x:v>Jon Kean</x:v>
      </x:c>
      <x:c r="R2622" s="117" t="str">
        <x:v>Salesforce Case Notifications</x:v>
      </x:c>
      <x:c r="S2622" s="119"/>
    </x:row>
    <x:row r="2623" ht="30" customHeight="1">
      <x:c r="A2623" s="117" t="str">
        <x:v>Salesforce_Case_Notifications</x:v>
      </x:c>
      <x:c r="B2623" s="117" t="str">
        <x:v>3005b000000H4ElAAK</x:v>
      </x:c>
      <x:c r="C2623" s="117" t="str">
        <x:v>3015b000000AExwAAG</x:v>
      </x:c>
      <x:c r="D2623" s="118" t="n">
        <x:v>8</x:v>
      </x:c>
      <x:c r="E2623" s="117" t="str">
        <x:v>Obsolete</x:v>
      </x:c>
      <x:c r="F2623" s="117" t="str">
        <x:v>No</x:v>
      </x:c>
      <x:c r="G2623" s="117" t="str">
        <x:v>No</x:v>
      </x:c>
      <x:c r="H2623" s="117" t="str">
        <x:v>AutoLaunchedFlow</x:v>
      </x:c>
      <x:c r="I2623" s="118" t="n">
        <x:v>55</x:v>
      </x:c>
      <x:c r="J2623" s="117" t="str">
        <x:v>unmanaged</x:v>
      </x:c>
      <x:c r="K2623" s="123" t="b">
        <x:v>0</x:v>
      </x:c>
      <x:c r="L2623" s="117"/>
      <x:c r="M2623" s="118"/>
      <x:c r="N2623" s="120" t="n">
        <x:v>44951.61325231481</x:v>
      </x:c>
      <x:c r="O2623" s="117" t="str">
        <x:v>Jon Kean</x:v>
      </x:c>
      <x:c r="P2623" s="120" t="n">
        <x:v>44951.613287037035</x:v>
      </x:c>
      <x:c r="Q2623" s="117" t="str">
        <x:v>Jon Kean</x:v>
      </x:c>
      <x:c r="R2623" s="117" t="str">
        <x:v>Salesforce Case Notifications</x:v>
      </x:c>
      <x:c r="S2623" s="119"/>
    </x:row>
    <x:row r="2624" ht="30" customHeight="1">
      <x:c r="A2624" s="117" t="str">
        <x:v>Salesforce_Case_Notifications</x:v>
      </x:c>
      <x:c r="B2624" s="117" t="str">
        <x:v>3005b000000H4ElAAK</x:v>
      </x:c>
      <x:c r="C2624" s="117" t="str">
        <x:v>3015b000000AFrLAAW</x:v>
      </x:c>
      <x:c r="D2624" s="118" t="n">
        <x:v>9</x:v>
      </x:c>
      <x:c r="E2624" s="117" t="str">
        <x:v>Obsolete</x:v>
      </x:c>
      <x:c r="F2624" s="117" t="str">
        <x:v>No</x:v>
      </x:c>
      <x:c r="G2624" s="117" t="str">
        <x:v>No</x:v>
      </x:c>
      <x:c r="H2624" s="117" t="str">
        <x:v>AutoLaunchedFlow</x:v>
      </x:c>
      <x:c r="I2624" s="118" t="n">
        <x:v>55</x:v>
      </x:c>
      <x:c r="J2624" s="117" t="str">
        <x:v>unmanaged</x:v>
      </x:c>
      <x:c r="K2624" s="123" t="b">
        <x:v>0</x:v>
      </x:c>
      <x:c r="L2624" s="117"/>
      <x:c r="M2624" s="118"/>
      <x:c r="N2624" s="120" t="n">
        <x:v>44958.84894675926</x:v>
      </x:c>
      <x:c r="O2624" s="117" t="str">
        <x:v>Jace Gentil</x:v>
      </x:c>
      <x:c r="P2624" s="120" t="n">
        <x:v>44958.84898148148</x:v>
      </x:c>
      <x:c r="Q2624" s="117" t="str">
        <x:v>Jace Gentil</x:v>
      </x:c>
      <x:c r="R2624" s="117" t="str">
        <x:v>Salesforce Case Notifications</x:v>
      </x:c>
      <x:c r="S2624" s="119"/>
    </x:row>
    <x:row r="2625" ht="30" customHeight="1">
      <x:c r="A2625" s="117" t="str">
        <x:v>Salesforce_Case_Notifications</x:v>
      </x:c>
      <x:c r="B2625" s="117" t="str">
        <x:v>3005b000000H4ElAAK</x:v>
      </x:c>
      <x:c r="C2625" s="117" t="str">
        <x:v>3015b000000AFwVAAW</x:v>
      </x:c>
      <x:c r="D2625" s="118" t="n">
        <x:v>10</x:v>
      </x:c>
      <x:c r="E2625" s="117" t="str">
        <x:v>Obsolete</x:v>
      </x:c>
      <x:c r="F2625" s="117" t="str">
        <x:v>No</x:v>
      </x:c>
      <x:c r="G2625" s="117" t="str">
        <x:v>No</x:v>
      </x:c>
      <x:c r="H2625" s="117" t="str">
        <x:v>AutoLaunchedFlow</x:v>
      </x:c>
      <x:c r="I2625" s="118" t="n">
        <x:v>55</x:v>
      </x:c>
      <x:c r="J2625" s="117" t="str">
        <x:v>unmanaged</x:v>
      </x:c>
      <x:c r="K2625" s="123" t="b">
        <x:v>0</x:v>
      </x:c>
      <x:c r="L2625" s="117"/>
      <x:c r="M2625" s="118"/>
      <x:c r="N2625" s="120" t="n">
        <x:v>44959.715844907405</x:v>
      </x:c>
      <x:c r="O2625" s="117" t="str">
        <x:v>Jon Kean</x:v>
      </x:c>
      <x:c r="P2625" s="120" t="n">
        <x:v>44959.7159375</x:v>
      </x:c>
      <x:c r="Q2625" s="117" t="str">
        <x:v>Jon Kean</x:v>
      </x:c>
      <x:c r="R2625" s="117" t="str">
        <x:v>Salesforce Case Notifications</x:v>
      </x:c>
      <x:c r="S2625" s="119"/>
    </x:row>
    <x:row r="2626" ht="30" customHeight="1">
      <x:c r="A2626" s="117" t="str">
        <x:v>Salesforce_Case_Notifications</x:v>
      </x:c>
      <x:c r="B2626" s="117" t="str">
        <x:v>3005b000000H4ElAAK</x:v>
      </x:c>
      <x:c r="C2626" s="117" t="str">
        <x:v>3015b000000AGDCAA4</x:v>
      </x:c>
      <x:c r="D2626" s="118" t="n">
        <x:v>11</x:v>
      </x:c>
      <x:c r="E2626" s="117" t="str">
        <x:v>Draft</x:v>
      </x:c>
      <x:c r="F2626" s="117" t="str">
        <x:v>No</x:v>
      </x:c>
      <x:c r="G2626" s="117" t="str">
        <x:v>No</x:v>
      </x:c>
      <x:c r="H2626" s="117" t="str">
        <x:v>AutoLaunchedFlow</x:v>
      </x:c>
      <x:c r="I2626" s="118" t="n">
        <x:v>55</x:v>
      </x:c>
      <x:c r="J2626" s="117" t="str">
        <x:v>unmanaged</x:v>
      </x:c>
      <x:c r="K2626" s="123" t="b">
        <x:v>0</x:v>
      </x:c>
      <x:c r="L2626" s="117"/>
      <x:c r="M2626" s="118"/>
      <x:c r="N2626" s="120" t="n">
        <x:v>44964.7040162037</x:v>
      </x:c>
      <x:c r="O2626" s="117" t="str">
        <x:v>Jon Kean</x:v>
      </x:c>
      <x:c r="P2626" s="120" t="n">
        <x:v>44964.70402777778</x:v>
      </x:c>
      <x:c r="Q2626" s="117" t="str">
        <x:v>Jon Kean</x:v>
      </x:c>
      <x:c r="R2626" s="117" t="str">
        <x:v>Salesforce Case Notifications</x:v>
      </x:c>
      <x:c r="S2626" s="119"/>
    </x:row>
    <x:row r="2627" ht="30" customHeight="1">
      <x:c r="A2627" s="117" t="str">
        <x:v>Salesforce_Case_Notifications</x:v>
      </x:c>
      <x:c r="B2627" s="117" t="str">
        <x:v>3005b000000H4ElAAK</x:v>
      </x:c>
      <x:c r="C2627" s="117" t="str">
        <x:v>3015b000000AGDHAA4</x:v>
      </x:c>
      <x:c r="D2627" s="118" t="n">
        <x:v>12</x:v>
      </x:c>
      <x:c r="E2627" s="117" t="str">
        <x:v>Obsolete</x:v>
      </x:c>
      <x:c r="F2627" s="117" t="str">
        <x:v>No</x:v>
      </x:c>
      <x:c r="G2627" s="117" t="str">
        <x:v>No</x:v>
      </x:c>
      <x:c r="H2627" s="117" t="str">
        <x:v>AutoLaunchedFlow</x:v>
      </x:c>
      <x:c r="I2627" s="118" t="n">
        <x:v>55</x:v>
      </x:c>
      <x:c r="J2627" s="117" t="str">
        <x:v>unmanaged</x:v>
      </x:c>
      <x:c r="K2627" s="123" t="b">
        <x:v>0</x:v>
      </x:c>
      <x:c r="L2627" s="117"/>
      <x:c r="M2627" s="118"/>
      <x:c r="N2627" s="120" t="n">
        <x:v>44964.704733796294</x:v>
      </x:c>
      <x:c r="O2627" s="117" t="str">
        <x:v>Jon Kean</x:v>
      </x:c>
      <x:c r="P2627" s="120" t="n">
        <x:v>44964.704780092594</x:v>
      </x:c>
      <x:c r="Q2627" s="117" t="str">
        <x:v>Jon Kean</x:v>
      </x:c>
      <x:c r="R2627" s="117" t="str">
        <x:v>Salesforce Case Notifications</x:v>
      </x:c>
      <x:c r="S2627" s="119"/>
    </x:row>
    <x:row r="2628" ht="30" customHeight="1">
      <x:c r="A2628" s="117" t="str">
        <x:v>Salesforce_Case_Notifications</x:v>
      </x:c>
      <x:c r="B2628" s="117" t="str">
        <x:v>3005b000000H4ElAAK</x:v>
      </x:c>
      <x:c r="C2628" s="117" t="str">
        <x:v>3015b000000AGDMAA4</x:v>
      </x:c>
      <x:c r="D2628" s="118" t="n">
        <x:v>13</x:v>
      </x:c>
      <x:c r="E2628" s="117" t="str">
        <x:v>Obsolete</x:v>
      </x:c>
      <x:c r="F2628" s="117" t="str">
        <x:v>No</x:v>
      </x:c>
      <x:c r="G2628" s="117" t="str">
        <x:v>No</x:v>
      </x:c>
      <x:c r="H2628" s="117" t="str">
        <x:v>AutoLaunchedFlow</x:v>
      </x:c>
      <x:c r="I2628" s="118" t="n">
        <x:v>55</x:v>
      </x:c>
      <x:c r="J2628" s="117" t="str">
        <x:v>unmanaged</x:v>
      </x:c>
      <x:c r="K2628" s="123" t="b">
        <x:v>0</x:v>
      </x:c>
      <x:c r="L2628" s="117"/>
      <x:c r="M2628" s="118"/>
      <x:c r="N2628" s="120" t="n">
        <x:v>44964.716412037036</x:v>
      </x:c>
      <x:c r="O2628" s="117" t="str">
        <x:v>Jon Kean</x:v>
      </x:c>
      <x:c r="P2628" s="120" t="n">
        <x:v>44964.716469907406</x:v>
      </x:c>
      <x:c r="Q2628" s="117" t="str">
        <x:v>Jon Kean</x:v>
      </x:c>
      <x:c r="R2628" s="117" t="str">
        <x:v>Salesforce Case Notifications</x:v>
      </x:c>
      <x:c r="S2628" s="119"/>
    </x:row>
    <x:row r="2629" ht="30" customHeight="1">
      <x:c r="A2629" s="117" t="str">
        <x:v>Salesforce_Case_Notifications</x:v>
      </x:c>
      <x:c r="B2629" s="117" t="str">
        <x:v>3005b000000H4ElAAK</x:v>
      </x:c>
      <x:c r="C2629" s="117" t="str">
        <x:v>3015b000000AGQkAAO</x:v>
      </x:c>
      <x:c r="D2629" s="118" t="n">
        <x:v>14</x:v>
      </x:c>
      <x:c r="E2629" s="117" t="str">
        <x:v>Obsolete</x:v>
      </x:c>
      <x:c r="F2629" s="117" t="str">
        <x:v>No</x:v>
      </x:c>
      <x:c r="G2629" s="117" t="str">
        <x:v>No</x:v>
      </x:c>
      <x:c r="H2629" s="117" t="str">
        <x:v>AutoLaunchedFlow</x:v>
      </x:c>
      <x:c r="I2629" s="118" t="n">
        <x:v>55</x:v>
      </x:c>
      <x:c r="J2629" s="117" t="str">
        <x:v>unmanaged</x:v>
      </x:c>
      <x:c r="K2629" s="123" t="b">
        <x:v>0</x:v>
      </x:c>
      <x:c r="L2629" s="117"/>
      <x:c r="M2629" s="118"/>
      <x:c r="N2629" s="120" t="n">
        <x:v>44967.596134259256</x:v>
      </x:c>
      <x:c r="O2629" s="117" t="str">
        <x:v>Jon Kean</x:v>
      </x:c>
      <x:c r="P2629" s="120" t="n">
        <x:v>44967.59619212963</x:v>
      </x:c>
      <x:c r="Q2629" s="117" t="str">
        <x:v>Jon Kean</x:v>
      </x:c>
      <x:c r="R2629" s="117" t="str">
        <x:v>Salesforce Case Notifications</x:v>
      </x:c>
      <x:c r="S2629" s="119"/>
    </x:row>
    <x:row r="2630" ht="30" customHeight="1">
      <x:c r="A2630" s="117" t="str">
        <x:v>Salesforce_Case_Notifications</x:v>
      </x:c>
      <x:c r="B2630" s="117" t="str">
        <x:v>3005b000000H4ElAAK</x:v>
      </x:c>
      <x:c r="C2630" s="117" t="str">
        <x:v>3015b000000AGQpAAO</x:v>
      </x:c>
      <x:c r="D2630" s="118" t="n">
        <x:v>15</x:v>
      </x:c>
      <x:c r="E2630" s="117" t="str">
        <x:v>Obsolete</x:v>
      </x:c>
      <x:c r="F2630" s="117" t="str">
        <x:v>No</x:v>
      </x:c>
      <x:c r="G2630" s="117" t="str">
        <x:v>No</x:v>
      </x:c>
      <x:c r="H2630" s="117" t="str">
        <x:v>AutoLaunchedFlow</x:v>
      </x:c>
      <x:c r="I2630" s="118" t="n">
        <x:v>55</x:v>
      </x:c>
      <x:c r="J2630" s="117" t="str">
        <x:v>unmanaged</x:v>
      </x:c>
      <x:c r="K2630" s="123" t="b">
        <x:v>0</x:v>
      </x:c>
      <x:c r="L2630" s="117"/>
      <x:c r="M2630" s="118"/>
      <x:c r="N2630" s="120" t="n">
        <x:v>44967.606307870374</x:v>
      </x:c>
      <x:c r="O2630" s="117" t="str">
        <x:v>Jon Kean</x:v>
      </x:c>
      <x:c r="P2630" s="120" t="n">
        <x:v>44967.60637731481</x:v>
      </x:c>
      <x:c r="Q2630" s="117" t="str">
        <x:v>Jon Kean</x:v>
      </x:c>
      <x:c r="R2630" s="117" t="str">
        <x:v>Salesforce Case Notifications</x:v>
      </x:c>
      <x:c r="S2630" s="119"/>
    </x:row>
    <x:row r="2631" ht="30" customHeight="1">
      <x:c r="A2631" s="117" t="str">
        <x:v>Salesforce_Case_Notifications</x:v>
      </x:c>
      <x:c r="B2631" s="117" t="str">
        <x:v>3005b000000H4ElAAK</x:v>
      </x:c>
      <x:c r="C2631" s="117" t="str">
        <x:v>3015b000000AGQuAAO</x:v>
      </x:c>
      <x:c r="D2631" s="118" t="n">
        <x:v>16</x:v>
      </x:c>
      <x:c r="E2631" s="117" t="str">
        <x:v>Obsolete</x:v>
      </x:c>
      <x:c r="F2631" s="117" t="str">
        <x:v>No</x:v>
      </x:c>
      <x:c r="G2631" s="117" t="str">
        <x:v>No</x:v>
      </x:c>
      <x:c r="H2631" s="117" t="str">
        <x:v>AutoLaunchedFlow</x:v>
      </x:c>
      <x:c r="I2631" s="118" t="n">
        <x:v>55</x:v>
      </x:c>
      <x:c r="J2631" s="117" t="str">
        <x:v>unmanaged</x:v>
      </x:c>
      <x:c r="K2631" s="123" t="b">
        <x:v>0</x:v>
      </x:c>
      <x:c r="L2631" s="117"/>
      <x:c r="M2631" s="118"/>
      <x:c r="N2631" s="120" t="n">
        <x:v>44967.609930555554</x:v>
      </x:c>
      <x:c r="O2631" s="117" t="str">
        <x:v>Jace Gentil</x:v>
      </x:c>
      <x:c r="P2631" s="120" t="n">
        <x:v>44967.60996527778</x:v>
      </x:c>
      <x:c r="Q2631" s="117" t="str">
        <x:v>Jace Gentil</x:v>
      </x:c>
      <x:c r="R2631" s="117" t="str">
        <x:v>Salesforce Case Notifications</x:v>
      </x:c>
      <x:c r="S2631" s="119"/>
    </x:row>
    <x:row r="2632" ht="30" customHeight="1">
      <x:c r="A2632" s="117" t="str">
        <x:v>Salesforce_Case_Notifications</x:v>
      </x:c>
      <x:c r="B2632" s="117" t="str">
        <x:v>3005b000000H4ElAAK</x:v>
      </x:c>
      <x:c r="C2632" s="117" t="str">
        <x:v>3015b000000AGR4AAO</x:v>
      </x:c>
      <x:c r="D2632" s="118" t="n">
        <x:v>17</x:v>
      </x:c>
      <x:c r="E2632" s="117" t="str">
        <x:v>Obsolete</x:v>
      </x:c>
      <x:c r="F2632" s="117" t="str">
        <x:v>No</x:v>
      </x:c>
      <x:c r="G2632" s="117" t="str">
        <x:v>No</x:v>
      </x:c>
      <x:c r="H2632" s="117" t="str">
        <x:v>AutoLaunchedFlow</x:v>
      </x:c>
      <x:c r="I2632" s="118" t="n">
        <x:v>55</x:v>
      </x:c>
      <x:c r="J2632" s="117" t="str">
        <x:v>unmanaged</x:v>
      </x:c>
      <x:c r="K2632" s="123" t="b">
        <x:v>0</x:v>
      </x:c>
      <x:c r="L2632" s="117"/>
      <x:c r="M2632" s="118"/>
      <x:c r="N2632" s="120" t="n">
        <x:v>44967.61369212963</x:v>
      </x:c>
      <x:c r="O2632" s="117" t="str">
        <x:v>Jace Gentil</x:v>
      </x:c>
      <x:c r="P2632" s="120" t="n">
        <x:v>44967.61376157407</x:v>
      </x:c>
      <x:c r="Q2632" s="117" t="str">
        <x:v>Jace Gentil</x:v>
      </x:c>
      <x:c r="R2632" s="117" t="str">
        <x:v>Salesforce Case Notifications</x:v>
      </x:c>
      <x:c r="S2632" s="119"/>
    </x:row>
    <x:row r="2633" ht="30" customHeight="1">
      <x:c r="A2633" s="117" t="str">
        <x:v>Salesforce_Case_Notifications</x:v>
      </x:c>
      <x:c r="B2633" s="117" t="str">
        <x:v>3005b000000H4ElAAK</x:v>
      </x:c>
      <x:c r="C2633" s="117" t="str">
        <x:v>3015b000000AGdeAAG</x:v>
      </x:c>
      <x:c r="D2633" s="118" t="n">
        <x:v>18</x:v>
      </x:c>
      <x:c r="E2633" s="117" t="str">
        <x:v>Obsolete</x:v>
      </x:c>
      <x:c r="F2633" s="117" t="str">
        <x:v>No</x:v>
      </x:c>
      <x:c r="G2633" s="117" t="str">
        <x:v>No</x:v>
      </x:c>
      <x:c r="H2633" s="117" t="str">
        <x:v>AutoLaunchedFlow</x:v>
      </x:c>
      <x:c r="I2633" s="118" t="n">
        <x:v>55</x:v>
      </x:c>
      <x:c r="J2633" s="117" t="str">
        <x:v>unmanaged</x:v>
      </x:c>
      <x:c r="K2633" s="123" t="b">
        <x:v>0</x:v>
      </x:c>
      <x:c r="L2633" s="117"/>
      <x:c r="M2633" s="118"/>
      <x:c r="N2633" s="120" t="n">
        <x:v>44972.42689814815</x:v>
      </x:c>
      <x:c r="O2633" s="117" t="str">
        <x:v>Jon Kean</x:v>
      </x:c>
      <x:c r="P2633" s="120" t="n">
        <x:v>44972.42694444444</x:v>
      </x:c>
      <x:c r="Q2633" s="117" t="str">
        <x:v>Jon Kean</x:v>
      </x:c>
      <x:c r="R2633" s="117" t="str">
        <x:v>Salesforce Case Notifications</x:v>
      </x:c>
      <x:c r="S2633" s="119"/>
    </x:row>
    <x:row r="2634" ht="30" customHeight="1">
      <x:c r="A2634" s="117" t="str">
        <x:v>Salesforce_Case_Notifications</x:v>
      </x:c>
      <x:c r="B2634" s="117" t="str">
        <x:v>3005b000000H4ElAAK</x:v>
      </x:c>
      <x:c r="C2634" s="117" t="str">
        <x:v>3015b000000AGdjAAG</x:v>
      </x:c>
      <x:c r="D2634" s="118" t="n">
        <x:v>19</x:v>
      </x:c>
      <x:c r="E2634" s="117" t="str">
        <x:v>Obsolete</x:v>
      </x:c>
      <x:c r="F2634" s="117" t="str">
        <x:v>No</x:v>
      </x:c>
      <x:c r="G2634" s="117" t="str">
        <x:v>No</x:v>
      </x:c>
      <x:c r="H2634" s="117" t="str">
        <x:v>AutoLaunchedFlow</x:v>
      </x:c>
      <x:c r="I2634" s="118" t="n">
        <x:v>55</x:v>
      </x:c>
      <x:c r="J2634" s="117" t="str">
        <x:v>unmanaged</x:v>
      </x:c>
      <x:c r="K2634" s="123" t="b">
        <x:v>0</x:v>
      </x:c>
      <x:c r="L2634" s="117"/>
      <x:c r="M2634" s="118"/>
      <x:c r="N2634" s="120" t="n">
        <x:v>44972.42733796296</x:v>
      </x:c>
      <x:c r="O2634" s="117" t="str">
        <x:v>Jon Kean</x:v>
      </x:c>
      <x:c r="P2634" s="120" t="n">
        <x:v>44972.42737268518</x:v>
      </x:c>
      <x:c r="Q2634" s="117" t="str">
        <x:v>Jon Kean</x:v>
      </x:c>
      <x:c r="R2634" s="117" t="str">
        <x:v>Salesforce Case Notifications</x:v>
      </x:c>
      <x:c r="S2634" s="119"/>
    </x:row>
    <x:row r="2635" ht="30" customHeight="1">
      <x:c r="A2635" s="117" t="str">
        <x:v>Salesforce_Case_Notifications</x:v>
      </x:c>
      <x:c r="B2635" s="117" t="str">
        <x:v>3005b000000H4ElAAK</x:v>
      </x:c>
      <x:c r="C2635" s="117" t="str">
        <x:v>3015b000000AGi5AAG</x:v>
      </x:c>
      <x:c r="D2635" s="118" t="n">
        <x:v>20</x:v>
      </x:c>
      <x:c r="E2635" s="117" t="str">
        <x:v>Obsolete</x:v>
      </x:c>
      <x:c r="F2635" s="117" t="str">
        <x:v>No</x:v>
      </x:c>
      <x:c r="G2635" s="117" t="str">
        <x:v>No</x:v>
      </x:c>
      <x:c r="H2635" s="117" t="str">
        <x:v>AutoLaunchedFlow</x:v>
      </x:c>
      <x:c r="I2635" s="118" t="n">
        <x:v>55</x:v>
      </x:c>
      <x:c r="J2635" s="117" t="str">
        <x:v>unmanaged</x:v>
      </x:c>
      <x:c r="K2635" s="123" t="b">
        <x:v>0</x:v>
      </x:c>
      <x:c r="L2635" s="117"/>
      <x:c r="M2635" s="118"/>
      <x:c r="N2635" s="120" t="n">
        <x:v>44973.40993055556</x:v>
      </x:c>
      <x:c r="O2635" s="117" t="str">
        <x:v>Jon Kean</x:v>
      </x:c>
      <x:c r="P2635" s="120" t="n">
        <x:v>44973.40998842593</x:v>
      </x:c>
      <x:c r="Q2635" s="117" t="str">
        <x:v>Jon Kean</x:v>
      </x:c>
      <x:c r="R2635" s="117" t="str">
        <x:v>Salesforce Case Notifications</x:v>
      </x:c>
      <x:c r="S2635" s="119"/>
    </x:row>
    <x:row r="2636" ht="30" customHeight="1">
      <x:c r="A2636" s="117" t="str">
        <x:v>Salesforce_Case_Notifications</x:v>
      </x:c>
      <x:c r="B2636" s="117" t="str">
        <x:v>3005b000000H4ElAAK</x:v>
      </x:c>
      <x:c r="C2636" s="117" t="str">
        <x:v>3015b000000AGiAAAW</x:v>
      </x:c>
      <x:c r="D2636" s="118" t="n">
        <x:v>21</x:v>
      </x:c>
      <x:c r="E2636" s="117" t="str">
        <x:v>Obsolete</x:v>
      </x:c>
      <x:c r="F2636" s="117" t="str">
        <x:v>No</x:v>
      </x:c>
      <x:c r="G2636" s="117" t="str">
        <x:v>No</x:v>
      </x:c>
      <x:c r="H2636" s="117" t="str">
        <x:v>AutoLaunchedFlow</x:v>
      </x:c>
      <x:c r="I2636" s="118" t="n">
        <x:v>55</x:v>
      </x:c>
      <x:c r="J2636" s="117" t="str">
        <x:v>unmanaged</x:v>
      </x:c>
      <x:c r="K2636" s="123" t="b">
        <x:v>0</x:v>
      </x:c>
      <x:c r="L2636" s="117"/>
      <x:c r="M2636" s="118"/>
      <x:c r="N2636" s="120" t="n">
        <x:v>44973.411516203705</x:v>
      </x:c>
      <x:c r="O2636" s="117" t="str">
        <x:v>Jon Kean</x:v>
      </x:c>
      <x:c r="P2636" s="120" t="n">
        <x:v>44973.4115625</x:v>
      </x:c>
      <x:c r="Q2636" s="117" t="str">
        <x:v>Jon Kean</x:v>
      </x:c>
      <x:c r="R2636" s="117" t="str">
        <x:v>Salesforce Case Notifications</x:v>
      </x:c>
      <x:c r="S2636" s="119"/>
    </x:row>
    <x:row r="2637" ht="30" customHeight="1">
      <x:c r="A2637" s="117" t="str">
        <x:v>Salesforce_Case_Notifications</x:v>
      </x:c>
      <x:c r="B2637" s="117" t="str">
        <x:v>3005b000000H4ElAAK</x:v>
      </x:c>
      <x:c r="C2637" s="117" t="str">
        <x:v>3015b000000AGiBAAW</x:v>
      </x:c>
      <x:c r="D2637" s="118" t="n">
        <x:v>22</x:v>
      </x:c>
      <x:c r="E2637" s="117" t="str">
        <x:v>Obsolete</x:v>
      </x:c>
      <x:c r="F2637" s="117" t="str">
        <x:v>No</x:v>
      </x:c>
      <x:c r="G2637" s="117" t="str">
        <x:v>No</x:v>
      </x:c>
      <x:c r="H2637" s="117" t="str">
        <x:v>AutoLaunchedFlow</x:v>
      </x:c>
      <x:c r="I2637" s="118" t="n">
        <x:v>55</x:v>
      </x:c>
      <x:c r="J2637" s="117" t="str">
        <x:v>unmanaged</x:v>
      </x:c>
      <x:c r="K2637" s="123" t="b">
        <x:v>0</x:v>
      </x:c>
      <x:c r="L2637" s="117"/>
      <x:c r="M2637" s="118"/>
      <x:c r="N2637" s="120" t="n">
        <x:v>44973.41228009259</x:v>
      </x:c>
      <x:c r="O2637" s="117" t="str">
        <x:v>Jon Kean</x:v>
      </x:c>
      <x:c r="P2637" s="120" t="n">
        <x:v>44973.412314814814</x:v>
      </x:c>
      <x:c r="Q2637" s="117" t="str">
        <x:v>Jon Kean</x:v>
      </x:c>
      <x:c r="R2637" s="117" t="str">
        <x:v>Salesforce Case Notifications</x:v>
      </x:c>
      <x:c r="S2637" s="119"/>
    </x:row>
    <x:row r="2638" ht="30" customHeight="1">
      <x:c r="A2638" s="117" t="str">
        <x:v>Salesforce_Case_Notifications</x:v>
      </x:c>
      <x:c r="B2638" s="117" t="str">
        <x:v>3005b000000H4ElAAK</x:v>
      </x:c>
      <x:c r="C2638" s="117" t="str">
        <x:v>3015b000000AGiFAAW</x:v>
      </x:c>
      <x:c r="D2638" s="118" t="n">
        <x:v>23</x:v>
      </x:c>
      <x:c r="E2638" s="117" t="str">
        <x:v>Obsolete</x:v>
      </x:c>
      <x:c r="F2638" s="117" t="str">
        <x:v>No</x:v>
      </x:c>
      <x:c r="G2638" s="117" t="str">
        <x:v>No</x:v>
      </x:c>
      <x:c r="H2638" s="117" t="str">
        <x:v>AutoLaunchedFlow</x:v>
      </x:c>
      <x:c r="I2638" s="118" t="n">
        <x:v>55</x:v>
      </x:c>
      <x:c r="J2638" s="117" t="str">
        <x:v>unmanaged</x:v>
      </x:c>
      <x:c r="K2638" s="123" t="b">
        <x:v>0</x:v>
      </x:c>
      <x:c r="L2638" s="117"/>
      <x:c r="M2638" s="118"/>
      <x:c r="N2638" s="120" t="n">
        <x:v>44973.413622685184</x:v>
      </x:c>
      <x:c r="O2638" s="117" t="str">
        <x:v>Jon Kean</x:v>
      </x:c>
      <x:c r="P2638" s="120" t="n">
        <x:v>44973.41365740741</x:v>
      </x:c>
      <x:c r="Q2638" s="117" t="str">
        <x:v>Jon Kean</x:v>
      </x:c>
      <x:c r="R2638" s="117" t="str">
        <x:v>Salesforce Case Notifications</x:v>
      </x:c>
      <x:c r="S2638" s="119"/>
    </x:row>
    <x:row r="2639" ht="30" customHeight="1">
      <x:c r="A2639" s="117" t="str">
        <x:v>Salesforce_Case_Notifications</x:v>
      </x:c>
      <x:c r="B2639" s="117" t="str">
        <x:v>3005b000000H4ElAAK</x:v>
      </x:c>
      <x:c r="C2639" s="117" t="str">
        <x:v>3015b000000AGiKAAW</x:v>
      </x:c>
      <x:c r="D2639" s="118" t="n">
        <x:v>24</x:v>
      </x:c>
      <x:c r="E2639" s="117" t="str">
        <x:v>Obsolete</x:v>
      </x:c>
      <x:c r="F2639" s="117" t="str">
        <x:v>No</x:v>
      </x:c>
      <x:c r="G2639" s="117" t="str">
        <x:v>No</x:v>
      </x:c>
      <x:c r="H2639" s="117" t="str">
        <x:v>AutoLaunchedFlow</x:v>
      </x:c>
      <x:c r="I2639" s="118" t="n">
        <x:v>55</x:v>
      </x:c>
      <x:c r="J2639" s="117" t="str">
        <x:v>unmanaged</x:v>
      </x:c>
      <x:c r="K2639" s="123" t="b">
        <x:v>0</x:v>
      </x:c>
      <x:c r="L2639" s="117"/>
      <x:c r="M2639" s="118"/>
      <x:c r="N2639" s="120" t="n">
        <x:v>44973.41541666666</x:v>
      </x:c>
      <x:c r="O2639" s="117" t="str">
        <x:v>Jon Kean</x:v>
      </x:c>
      <x:c r="P2639" s="120" t="n">
        <x:v>44973.41546296296</x:v>
      </x:c>
      <x:c r="Q2639" s="117" t="str">
        <x:v>Jon Kean</x:v>
      </x:c>
      <x:c r="R2639" s="117" t="str">
        <x:v>Salesforce Case Notifications</x:v>
      </x:c>
      <x:c r="S2639" s="119"/>
    </x:row>
    <x:row r="2640" ht="30" customHeight="1">
      <x:c r="A2640" s="117" t="str">
        <x:v>Salesforce_Case_Notifications</x:v>
      </x:c>
      <x:c r="B2640" s="117" t="str">
        <x:v>3005b000000H4ElAAK</x:v>
      </x:c>
      <x:c r="C2640" s="117" t="str">
        <x:v>3015b000000AGiPAAW</x:v>
      </x:c>
      <x:c r="D2640" s="118" t="n">
        <x:v>25</x:v>
      </x:c>
      <x:c r="E2640" s="117" t="str">
        <x:v>Obsolete</x:v>
      </x:c>
      <x:c r="F2640" s="117" t="str">
        <x:v>No</x:v>
      </x:c>
      <x:c r="G2640" s="117" t="str">
        <x:v>No</x:v>
      </x:c>
      <x:c r="H2640" s="117" t="str">
        <x:v>AutoLaunchedFlow</x:v>
      </x:c>
      <x:c r="I2640" s="118" t="n">
        <x:v>55</x:v>
      </x:c>
      <x:c r="J2640" s="117" t="str">
        <x:v>unmanaged</x:v>
      </x:c>
      <x:c r="K2640" s="123" t="b">
        <x:v>0</x:v>
      </x:c>
      <x:c r="L2640" s="117"/>
      <x:c r="M2640" s="118"/>
      <x:c r="N2640" s="120" t="n">
        <x:v>44973.416863425926</x:v>
      </x:c>
      <x:c r="O2640" s="117" t="str">
        <x:v>Jon Kean</x:v>
      </x:c>
      <x:c r="P2640" s="120" t="n">
        <x:v>44973.416909722226</x:v>
      </x:c>
      <x:c r="Q2640" s="117" t="str">
        <x:v>Jon Kean</x:v>
      </x:c>
      <x:c r="R2640" s="117" t="str">
        <x:v>Salesforce Case Notifications</x:v>
      </x:c>
      <x:c r="S2640" s="119"/>
    </x:row>
    <x:row r="2641" ht="30" customHeight="1">
      <x:c r="A2641" s="117" t="str">
        <x:v>Salesforce_Case_Notifications</x:v>
      </x:c>
      <x:c r="B2641" s="117" t="str">
        <x:v>3005b000000H4ElAAK</x:v>
      </x:c>
      <x:c r="C2641" s="117" t="str">
        <x:v>3015b000000VzgfAAC</x:v>
      </x:c>
      <x:c r="D2641" s="118" t="n">
        <x:v>26</x:v>
      </x:c>
      <x:c r="E2641" s="117" t="str">
        <x:v>Obsolete</x:v>
      </x:c>
      <x:c r="F2641" s="117" t="str">
        <x:v>No</x:v>
      </x:c>
      <x:c r="G2641" s="117" t="str">
        <x:v>No</x:v>
      </x:c>
      <x:c r="H2641" s="117" t="str">
        <x:v>AutoLaunchedFlow</x:v>
      </x:c>
      <x:c r="I2641" s="118" t="n">
        <x:v>55</x:v>
      </x:c>
      <x:c r="J2641" s="117" t="str">
        <x:v>unmanaged</x:v>
      </x:c>
      <x:c r="K2641" s="123" t="b">
        <x:v>0</x:v>
      </x:c>
      <x:c r="L2641" s="117"/>
      <x:c r="M2641" s="118"/>
      <x:c r="N2641" s="120" t="n">
        <x:v>44974.68168981482</x:v>
      </x:c>
      <x:c r="O2641" s="117" t="str">
        <x:v>Jon Kean</x:v>
      </x:c>
      <x:c r="P2641" s="120" t="n">
        <x:v>44974.68173611111</x:v>
      </x:c>
      <x:c r="Q2641" s="117" t="str">
        <x:v>Jon Kean</x:v>
      </x:c>
      <x:c r="R2641" s="117" t="str">
        <x:v>Salesforce Case Notifications</x:v>
      </x:c>
      <x:c r="S2641" s="119"/>
    </x:row>
    <x:row r="2642" ht="30" customHeight="1">
      <x:c r="A2642" s="117" t="str">
        <x:v>Salesforce_Case_Notifications</x:v>
      </x:c>
      <x:c r="B2642" s="117" t="str">
        <x:v>3005b000000H4ElAAK</x:v>
      </x:c>
      <x:c r="C2642" s="117" t="str">
        <x:v>3015b000000W1BKAA0</x:v>
      </x:c>
      <x:c r="D2642" s="118" t="n">
        <x:v>27</x:v>
      </x:c>
      <x:c r="E2642" s="117" t="str">
        <x:v>Obsolete</x:v>
      </x:c>
      <x:c r="F2642" s="117" t="str">
        <x:v>No</x:v>
      </x:c>
      <x:c r="G2642" s="117" t="str">
        <x:v>No</x:v>
      </x:c>
      <x:c r="H2642" s="117" t="str">
        <x:v>AutoLaunchedFlow</x:v>
      </x:c>
      <x:c r="I2642" s="118" t="n">
        <x:v>55</x:v>
      </x:c>
      <x:c r="J2642" s="117" t="str">
        <x:v>unmanaged</x:v>
      </x:c>
      <x:c r="K2642" s="123" t="b">
        <x:v>0</x:v>
      </x:c>
      <x:c r="L2642" s="117"/>
      <x:c r="M2642" s="118"/>
      <x:c r="N2642" s="120" t="n">
        <x:v>45015.88309027778</x:v>
      </x:c>
      <x:c r="O2642" s="117" t="str">
        <x:v>Jace Gentil</x:v>
      </x:c>
      <x:c r="P2642" s="120" t="n">
        <x:v>45015.88313657408</x:v>
      </x:c>
      <x:c r="Q2642" s="117" t="str">
        <x:v>Jace Gentil</x:v>
      </x:c>
      <x:c r="R2642" s="117" t="str">
        <x:v>Salesforce Case Notifications</x:v>
      </x:c>
      <x:c r="S2642" s="119"/>
    </x:row>
    <x:row r="2643" ht="30" customHeight="1">
      <x:c r="A2643" s="117" t="str">
        <x:v>Salesforce_Case_Notifications</x:v>
      </x:c>
      <x:c r="B2643" s="117" t="str">
        <x:v>3005b000000H4ElAAK</x:v>
      </x:c>
      <x:c r="C2643" s="117" t="str">
        <x:v>3015b000000W1BPAA0</x:v>
      </x:c>
      <x:c r="D2643" s="118" t="n">
        <x:v>28</x:v>
      </x:c>
      <x:c r="E2643" s="117" t="str">
        <x:v>Obsolete</x:v>
      </x:c>
      <x:c r="F2643" s="117" t="str">
        <x:v>No</x:v>
      </x:c>
      <x:c r="G2643" s="117" t="str">
        <x:v>No</x:v>
      </x:c>
      <x:c r="H2643" s="117" t="str">
        <x:v>AutoLaunchedFlow</x:v>
      </x:c>
      <x:c r="I2643" s="118" t="n">
        <x:v>55</x:v>
      </x:c>
      <x:c r="J2643" s="117" t="str">
        <x:v>unmanaged</x:v>
      </x:c>
      <x:c r="K2643" s="123" t="b">
        <x:v>0</x:v>
      </x:c>
      <x:c r="L2643" s="117"/>
      <x:c r="M2643" s="118"/>
      <x:c r="N2643" s="120" t="n">
        <x:v>45015.884930555556</x:v>
      </x:c>
      <x:c r="O2643" s="117" t="str">
        <x:v>Jace Gentil</x:v>
      </x:c>
      <x:c r="P2643" s="120" t="n">
        <x:v>45015.88496527778</x:v>
      </x:c>
      <x:c r="Q2643" s="117" t="str">
        <x:v>Jace Gentil</x:v>
      </x:c>
      <x:c r="R2643" s="117" t="str">
        <x:v>Salesforce Case Notifications</x:v>
      </x:c>
      <x:c r="S2643" s="119"/>
    </x:row>
    <x:row r="2644" ht="30" customHeight="1">
      <x:c r="A2644" s="117" t="str">
        <x:v>Salesforce_Case_Notifications</x:v>
      </x:c>
      <x:c r="B2644" s="117" t="str">
        <x:v>3005b000000H4ElAAK</x:v>
      </x:c>
      <x:c r="C2644" s="117" t="str">
        <x:v>3015b000000APisAAG</x:v>
      </x:c>
      <x:c r="D2644" s="118" t="n">
        <x:v>29</x:v>
      </x:c>
      <x:c r="E2644" s="117" t="str">
        <x:v>Obsolete</x:v>
      </x:c>
      <x:c r="F2644" s="117" t="str">
        <x:v>No</x:v>
      </x:c>
      <x:c r="G2644" s="117" t="str">
        <x:v>No</x:v>
      </x:c>
      <x:c r="H2644" s="117" t="str">
        <x:v>AutoLaunchedFlow</x:v>
      </x:c>
      <x:c r="I2644" s="118" t="n">
        <x:v>55</x:v>
      </x:c>
      <x:c r="J2644" s="117" t="str">
        <x:v>unmanaged</x:v>
      </x:c>
      <x:c r="K2644" s="123" t="b">
        <x:v>0</x:v>
      </x:c>
      <x:c r="L2644" s="117"/>
      <x:c r="M2644" s="118"/>
      <x:c r="N2644" s="120" t="n">
        <x:v>45145.87924768519</x:v>
      </x:c>
      <x:c r="O2644" s="117" t="str">
        <x:v>Jace Gentil</x:v>
      </x:c>
      <x:c r="P2644" s="120" t="n">
        <x:v>45145.87930555556</x:v>
      </x:c>
      <x:c r="Q2644" s="117" t="str">
        <x:v>Jace Gentil</x:v>
      </x:c>
      <x:c r="R2644" s="117" t="str">
        <x:v>Salesforce Case Notifications</x:v>
      </x:c>
      <x:c r="S2644" s="119"/>
    </x:row>
    <x:row r="2645" ht="30" customHeight="1">
      <x:c r="A2645" s="117" t="str">
        <x:v>Salesforce_Case_Notifications</x:v>
      </x:c>
      <x:c r="B2645" s="117" t="str">
        <x:v>3005b000000H4ElAAK</x:v>
      </x:c>
      <x:c r="C2645" s="117" t="str">
        <x:v>3015b0000011KXVAA2</x:v>
      </x:c>
      <x:c r="D2645" s="118" t="n">
        <x:v>30</x:v>
      </x:c>
      <x:c r="E2645" s="117" t="str">
        <x:v>Obsolete</x:v>
      </x:c>
      <x:c r="F2645" s="117" t="str">
        <x:v>No</x:v>
      </x:c>
      <x:c r="G2645" s="117" t="str">
        <x:v>No</x:v>
      </x:c>
      <x:c r="H2645" s="117" t="str">
        <x:v>AutoLaunchedFlow</x:v>
      </x:c>
      <x:c r="I2645" s="118" t="n">
        <x:v>55</x:v>
      </x:c>
      <x:c r="J2645" s="117" t="str">
        <x:v>unmanaged</x:v>
      </x:c>
      <x:c r="K2645" s="123" t="b">
        <x:v>0</x:v>
      </x:c>
      <x:c r="L2645" s="117"/>
      <x:c r="M2645" s="118"/>
      <x:c r="N2645" s="120" t="n">
        <x:v>45205.61817129629</x:v>
      </x:c>
      <x:c r="O2645" s="117" t="str">
        <x:v>Jon Kean</x:v>
      </x:c>
      <x:c r="P2645" s="120" t="n">
        <x:v>45205.61821759259</x:v>
      </x:c>
      <x:c r="Q2645" s="117" t="str">
        <x:v>Jon Kean</x:v>
      </x:c>
      <x:c r="R2645" s="117" t="str">
        <x:v>Salesforce Case Notifications</x:v>
      </x:c>
      <x:c r="S2645" s="119"/>
    </x:row>
    <x:row r="2646" ht="30" customHeight="1">
      <x:c r="A2646" s="117" t="str">
        <x:v>Salesforce_Case_Notifications</x:v>
      </x:c>
      <x:c r="B2646" s="117" t="str">
        <x:v>3005b000000H4ElAAK</x:v>
      </x:c>
      <x:c r="C2646" s="117" t="str">
        <x:v>3015b0000011LaLAAU</x:v>
      </x:c>
      <x:c r="D2646" s="118" t="n">
        <x:v>31</x:v>
      </x:c>
      <x:c r="E2646" s="117" t="str">
        <x:v>Obsolete</x:v>
      </x:c>
      <x:c r="F2646" s="117" t="str">
        <x:v>No</x:v>
      </x:c>
      <x:c r="G2646" s="117" t="str">
        <x:v>No</x:v>
      </x:c>
      <x:c r="H2646" s="117" t="str">
        <x:v>AutoLaunchedFlow</x:v>
      </x:c>
      <x:c r="I2646" s="118" t="n">
        <x:v>55</x:v>
      </x:c>
      <x:c r="J2646" s="117" t="str">
        <x:v>unmanaged</x:v>
      </x:c>
      <x:c r="K2646" s="123" t="b">
        <x:v>0</x:v>
      </x:c>
      <x:c r="L2646" s="117"/>
      <x:c r="M2646" s="118"/>
      <x:c r="N2646" s="120" t="n">
        <x:v>45222.60349537037</x:v>
      </x:c>
      <x:c r="O2646" s="117" t="str">
        <x:v>Jon Kean</x:v>
      </x:c>
      <x:c r="P2646" s="120" t="n">
        <x:v>45222.60355324074</x:v>
      </x:c>
      <x:c r="Q2646" s="117" t="str">
        <x:v>Jon Kean</x:v>
      </x:c>
      <x:c r="R2646" s="117" t="str">
        <x:v>Salesforce Case Notifications</x:v>
      </x:c>
      <x:c r="S2646" s="119"/>
    </x:row>
    <x:row r="2647" ht="30" customHeight="1">
      <x:c r="A2647" s="117" t="str">
        <x:v>Salesforce_Case_Notifications</x:v>
      </x:c>
      <x:c r="B2647" s="117" t="str">
        <x:v>3005b000000H4ElAAK</x:v>
      </x:c>
      <x:c r="C2647" s="117" t="str">
        <x:v>3015b0000011MSNAA2</x:v>
      </x:c>
      <x:c r="D2647" s="118" t="n">
        <x:v>32</x:v>
      </x:c>
      <x:c r="E2647" s="117" t="str">
        <x:v>Obsolete</x:v>
      </x:c>
      <x:c r="F2647" s="117" t="str">
        <x:v>No</x:v>
      </x:c>
      <x:c r="G2647" s="117" t="str">
        <x:v>No</x:v>
      </x:c>
      <x:c r="H2647" s="117" t="str">
        <x:v>AutoLaunchedFlow</x:v>
      </x:c>
      <x:c r="I2647" s="118" t="n">
        <x:v>55</x:v>
      </x:c>
      <x:c r="J2647" s="117" t="str">
        <x:v>unmanaged</x:v>
      </x:c>
      <x:c r="K2647" s="123" t="b">
        <x:v>0</x:v>
      </x:c>
      <x:c r="L2647" s="117"/>
      <x:c r="M2647" s="118"/>
      <x:c r="N2647" s="120" t="n">
        <x:v>45240.59782407407</x:v>
      </x:c>
      <x:c r="O2647" s="117" t="str">
        <x:v>Jace Gentil</x:v>
      </x:c>
      <x:c r="P2647" s="120" t="n">
        <x:v>45240.74484953703</x:v>
      </x:c>
      <x:c r="Q2647" s="117" t="str">
        <x:v>Delegate</x:v>
      </x:c>
      <x:c r="R2647" s="117" t="str">
        <x:v>Salesforce Case Notifications</x:v>
      </x:c>
      <x:c r="S2647" s="119"/>
    </x:row>
    <x:row r="2648" ht="30" customHeight="1">
      <x:c r="A2648" s="117" t="str">
        <x:v>Salesforce_Case_Notifications</x:v>
      </x:c>
      <x:c r="B2648" s="117" t="str">
        <x:v>3005b000000H4ElAAK</x:v>
      </x:c>
      <x:c r="C2648" s="117" t="str">
        <x:v>301Ro00000BVg3BIAT</x:v>
      </x:c>
      <x:c r="D2648" s="118" t="n">
        <x:v>33</x:v>
      </x:c>
      <x:c r="E2648" s="117" t="str">
        <x:v>Obsolete</x:v>
      </x:c>
      <x:c r="F2648" s="117" t="str">
        <x:v>No</x:v>
      </x:c>
      <x:c r="G2648" s="117" t="str">
        <x:v>No</x:v>
      </x:c>
      <x:c r="H2648" s="117" t="str">
        <x:v>AutoLaunchedFlow</x:v>
      </x:c>
      <x:c r="I2648" s="118" t="n">
        <x:v>55</x:v>
      </x:c>
      <x:c r="J2648" s="117" t="str">
        <x:v>unmanaged</x:v>
      </x:c>
      <x:c r="K2648" s="123" t="b">
        <x:v>0</x:v>
      </x:c>
      <x:c r="L2648" s="117"/>
      <x:c r="M2648" s="118"/>
      <x:c r="N2648" s="120" t="n">
        <x:v>45405.945069444446</x:v>
      </x:c>
      <x:c r="O2648" s="117" t="str">
        <x:v>Jace Gentil</x:v>
      </x:c>
      <x:c r="P2648" s="120" t="n">
        <x:v>45405.945243055554</x:v>
      </x:c>
      <x:c r="Q2648" s="117" t="str">
        <x:v>Jace Gentil</x:v>
      </x:c>
      <x:c r="R2648" s="117" t="str">
        <x:v>Salesforce Case Notifications</x:v>
      </x:c>
      <x:c r="S2648" s="119"/>
    </x:row>
    <x:row r="2649" ht="30" customHeight="1">
      <x:c r="A2649" s="117" t="str">
        <x:v>Salesforce_Case_Notifications</x:v>
      </x:c>
      <x:c r="B2649" s="117" t="str">
        <x:v>3005b000000H4ElAAK</x:v>
      </x:c>
      <x:c r="C2649" s="117" t="str">
        <x:v>301Ro00000BXeJnIAL</x:v>
      </x:c>
      <x:c r="D2649" s="118" t="n">
        <x:v>34</x:v>
      </x:c>
      <x:c r="E2649" s="117" t="str">
        <x:v>Obsolete</x:v>
      </x:c>
      <x:c r="F2649" s="117" t="str">
        <x:v>No</x:v>
      </x:c>
      <x:c r="G2649" s="117" t="str">
        <x:v>No</x:v>
      </x:c>
      <x:c r="H2649" s="117" t="str">
        <x:v>AutoLaunchedFlow</x:v>
      </x:c>
      <x:c r="I2649" s="118" t="n">
        <x:v>55</x:v>
      </x:c>
      <x:c r="J2649" s="117" t="str">
        <x:v>unmanaged</x:v>
      </x:c>
      <x:c r="K2649" s="123" t="b">
        <x:v>0</x:v>
      </x:c>
      <x:c r="L2649" s="117"/>
      <x:c r="M2649" s="118"/>
      <x:c r="N2649" s="120" t="n">
        <x:v>45406.583136574074</x:v>
      </x:c>
      <x:c r="O2649" s="117" t="str">
        <x:v>Jace Gentil</x:v>
      </x:c>
      <x:c r="P2649" s="120" t="n">
        <x:v>45406.58320601852</x:v>
      </x:c>
      <x:c r="Q2649" s="117" t="str">
        <x:v>Jace Gentil</x:v>
      </x:c>
      <x:c r="R2649" s="117" t="str">
        <x:v>Salesforce Case Notifications</x:v>
      </x:c>
      <x:c r="S2649" s="119"/>
    </x:row>
    <x:row r="2650" ht="30" customHeight="1">
      <x:c r="A2650" s="117" t="str">
        <x:v>Salesforce_Case_Notifications</x:v>
      </x:c>
      <x:c r="B2650" s="117" t="str">
        <x:v>3005b000000H4ElAAK</x:v>
      </x:c>
      <x:c r="C2650" s="117" t="str">
        <x:v>301Ro00000BqGLhIAN</x:v>
      </x:c>
      <x:c r="D2650" s="118" t="n">
        <x:v>35</x:v>
      </x:c>
      <x:c r="E2650" s="117" t="str">
        <x:v>Obsolete</x:v>
      </x:c>
      <x:c r="F2650" s="117" t="str">
        <x:v>No</x:v>
      </x:c>
      <x:c r="G2650" s="117" t="str">
        <x:v>No</x:v>
      </x:c>
      <x:c r="H2650" s="117" t="str">
        <x:v>AutoLaunchedFlow</x:v>
      </x:c>
      <x:c r="I2650" s="118" t="n">
        <x:v>55</x:v>
      </x:c>
      <x:c r="J2650" s="117" t="str">
        <x:v>unmanaged</x:v>
      </x:c>
      <x:c r="K2650" s="123" t="b">
        <x:v>0</x:v>
      </x:c>
      <x:c r="L2650" s="117"/>
      <x:c r="M2650" s="118"/>
      <x:c r="N2650" s="120" t="n">
        <x:v>45411.583553240744</x:v>
      </x:c>
      <x:c r="O2650" s="117" t="str">
        <x:v>Jace Gentil</x:v>
      </x:c>
      <x:c r="P2650" s="120" t="n">
        <x:v>45411.58361111111</x:v>
      </x:c>
      <x:c r="Q2650" s="117" t="str">
        <x:v>Jace Gentil</x:v>
      </x:c>
      <x:c r="R2650" s="117" t="str">
        <x:v>Salesforce Case Notifications</x:v>
      </x:c>
      <x:c r="S2650" s="119"/>
    </x:row>
    <x:row r="2651" ht="30" customHeight="1">
      <x:c r="A2651" s="117" t="str">
        <x:v>Salesforce_Case_Notifications</x:v>
      </x:c>
      <x:c r="B2651" s="117" t="str">
        <x:v>3005b000000H4ElAAK</x:v>
      </x:c>
      <x:c r="C2651" s="117" t="str">
        <x:v>301Ro00000CkfSlIAJ</x:v>
      </x:c>
      <x:c r="D2651" s="118" t="n">
        <x:v>36</x:v>
      </x:c>
      <x:c r="E2651" s="117" t="str">
        <x:v>Obsolete</x:v>
      </x:c>
      <x:c r="F2651" s="117" t="str">
        <x:v>No</x:v>
      </x:c>
      <x:c r="G2651" s="117" t="str">
        <x:v>No</x:v>
      </x:c>
      <x:c r="H2651" s="117" t="str">
        <x:v>AutoLaunchedFlow</x:v>
      </x:c>
      <x:c r="I2651" s="118" t="n">
        <x:v>55</x:v>
      </x:c>
      <x:c r="J2651" s="117" t="str">
        <x:v>unmanaged</x:v>
      </x:c>
      <x:c r="K2651" s="123" t="b">
        <x:v>0</x:v>
      </x:c>
      <x:c r="L2651" s="117"/>
      <x:c r="M2651" s="118"/>
      <x:c r="N2651" s="120" t="n">
        <x:v>45425.87516203704</x:v>
      </x:c>
      <x:c r="O2651" s="117" t="str">
        <x:v>Jace Gentil</x:v>
      </x:c>
      <x:c r="P2651" s="120" t="n">
        <x:v>45425.87520833333</x:v>
      </x:c>
      <x:c r="Q2651" s="117" t="str">
        <x:v>Jace Gentil</x:v>
      </x:c>
      <x:c r="R2651" s="117" t="str">
        <x:v>Salesforce Case Notifications</x:v>
      </x:c>
      <x:c r="S2651" s="119"/>
    </x:row>
    <x:row r="2652" ht="30" customHeight="1">
      <x:c r="A2652" s="117" t="str">
        <x:v>Salesforce_Case_Notifications</x:v>
      </x:c>
      <x:c r="B2652" s="117" t="str">
        <x:v>3005b000000H4ElAAK</x:v>
      </x:c>
      <x:c r="C2652" s="117" t="str">
        <x:v>301Ro00000zIAU7IAO</x:v>
      </x:c>
      <x:c r="D2652" s="118" t="n">
        <x:v>47</x:v>
      </x:c>
      <x:c r="E2652" s="117" t="str">
        <x:v>Draft</x:v>
      </x:c>
      <x:c r="F2652" s="117" t="str">
        <x:v>No</x:v>
      </x:c>
      <x:c r="G2652" s="117" t="str">
        <x:v>No</x:v>
      </x:c>
      <x:c r="H2652" s="117" t="str">
        <x:v>AutoLaunchedFlow</x:v>
      </x:c>
      <x:c r="I2652" s="118" t="n">
        <x:v>55</x:v>
      </x:c>
      <x:c r="J2652" s="117" t="str">
        <x:v>unmanaged</x:v>
      </x:c>
      <x:c r="K2652" s="123" t="b">
        <x:v>0</x:v>
      </x:c>
      <x:c r="L2652" s="117"/>
      <x:c r="M2652" s="118"/>
      <x:c r="N2652" s="120" t="n">
        <x:v>46079.64388888889</x:v>
      </x:c>
      <x:c r="O2652" s="117" t="str">
        <x:v>Sacha Pearce</x:v>
      </x:c>
      <x:c r="P2652" s="120" t="n">
        <x:v>46079.64392361111</x:v>
      </x:c>
      <x:c r="Q2652" s="117" t="str">
        <x:v>Sacha Pearce</x:v>
      </x:c>
      <x:c r="R2652" s="117" t="str">
        <x:v>Salesforce Case Notifications</x:v>
      </x:c>
      <x:c r="S2652" s="119"/>
    </x:row>
    <x:row r="2653" ht="30" customHeight="1">
      <x:c r="A2653" s="117" t="str">
        <x:v>Salesforce_Case_Notifications</x:v>
      </x:c>
      <x:c r="B2653" s="117" t="str">
        <x:v>3005b000000H4ElAAK</x:v>
      </x:c>
      <x:c r="C2653" s="117" t="str">
        <x:v>301Ro00000zIWfqIAG</x:v>
      </x:c>
      <x:c r="D2653" s="118" t="n">
        <x:v>48</x:v>
      </x:c>
      <x:c r="E2653" s="117" t="str">
        <x:v>Obsolete</x:v>
      </x:c>
      <x:c r="F2653" s="117" t="str">
        <x:v>No</x:v>
      </x:c>
      <x:c r="G2653" s="117" t="str">
        <x:v>No</x:v>
      </x:c>
      <x:c r="H2653" s="117" t="str">
        <x:v>AutoLaunchedFlow</x:v>
      </x:c>
      <x:c r="I2653" s="118" t="n">
        <x:v>55</x:v>
      </x:c>
      <x:c r="J2653" s="117" t="str">
        <x:v>unmanaged</x:v>
      </x:c>
      <x:c r="K2653" s="123" t="b">
        <x:v>0</x:v>
      </x:c>
      <x:c r="L2653" s="117"/>
      <x:c r="M2653" s="118"/>
      <x:c r="N2653" s="120" t="n">
        <x:v>46079.658101851855</x:v>
      </x:c>
      <x:c r="O2653" s="117" t="str">
        <x:v>Sacha Pearce</x:v>
      </x:c>
      <x:c r="P2653" s="120" t="n">
        <x:v>46079.6584375</x:v>
      </x:c>
      <x:c r="Q2653" s="117" t="str">
        <x:v>Sacha Pearce</x:v>
      </x:c>
      <x:c r="R2653" s="117" t="str">
        <x:v>Salesforce Case Notifications</x:v>
      </x:c>
      <x:c r="S2653" s="119" t="str">
        <x:v>26/02/2026 - SP - Removing "{!$Record.Error_Message__c}" from case created Text Templates to edit field type to long text area.</x:v>
      </x:c>
    </x:row>
    <x:row r="2654" ht="30" customHeight="1">
      <x:c r="A2654" s="117" t="str">
        <x:v>Salesforce_Case_Notifications</x:v>
      </x:c>
      <x:c r="B2654" s="117" t="str">
        <x:v>3005b000000H4ElAAK</x:v>
      </x:c>
      <x:c r="C2654" s="117" t="str">
        <x:v>301Ro00001D2PTnIAN</x:v>
      </x:c>
      <x:c r="D2654" s="118" t="n">
        <x:v>49</x:v>
      </x:c>
      <x:c r="E2654" s="117" t="str">
        <x:v>Active</x:v>
      </x:c>
      <x:c r="F2654" s="117" t="str">
        <x:v>Yes</x:v>
      </x:c>
      <x:c r="G2654" s="117" t="str">
        <x:v>Yes</x:v>
      </x:c>
      <x:c r="H2654" s="117" t="str">
        <x:v>AutoLaunchedFlow</x:v>
      </x:c>
      <x:c r="I2654" s="118" t="n">
        <x:v>55</x:v>
      </x:c>
      <x:c r="J2654" s="117" t="str">
        <x:v>unmanaged</x:v>
      </x:c>
      <x:c r="K2654" s="123" t="b">
        <x:v>0</x:v>
      </x:c>
      <x:c r="L2654" s="117"/>
      <x:c r="M2654" s="118"/>
      <x:c r="N2654" s="120" t="n">
        <x:v>46237.61305555556</x:v>
      </x:c>
      <x:c r="O2654" s="117" t="str">
        <x:v>Sacha Pearce</x:v>
      </x:c>
      <x:c r="P2654" s="120" t="n">
        <x:v>46237.61313657407</x:v>
      </x:c>
      <x:c r="Q2654" s="117" t="str">
        <x:v>Sacha Pearce</x:v>
      </x:c>
      <x:c r="R2654" s="117" t="str">
        <x:v>Salesforce Case Notifications</x:v>
      </x:c>
      <x:c r="S2654" s="119" t="str">
        <x:v>03/08/2026 - SP - Updating the "Notify Teams Case Creator" decision route to only run when the "Status" equals "Closed" with the record's prior "Status" value not equalling "Closed".</x:v>
      </x:c>
    </x:row>
    <x:row r="2655" ht="30" customHeight="1">
      <x:c r="A2655" s="117" t="str">
        <x:v>Save_QA_Certificate_as_PDF</x:v>
      </x:c>
      <x:c r="B2655" s="117" t="str">
        <x:v>300Ro00000VQapGIAT</x:v>
      </x:c>
      <x:c r="C2655" s="117" t="str">
        <x:v>301Ro00000Yd4I2IAJ</x:v>
      </x:c>
      <x:c r="D2655" s="118" t="n">
        <x:v>1</x:v>
      </x:c>
      <x:c r="E2655" s="117" t="str">
        <x:v>Active</x:v>
      </x:c>
      <x:c r="F2655" s="117" t="str">
        <x:v>Yes</x:v>
      </x:c>
      <x:c r="G2655" s="117" t="str">
        <x:v>Yes</x:v>
      </x:c>
      <x:c r="H2655" s="117" t="str">
        <x:v>Flow</x:v>
      </x:c>
      <x:c r="I2655" s="118" t="n">
        <x:v>63</x:v>
      </x:c>
      <x:c r="J2655" s="117" t="str">
        <x:v>unmanaged</x:v>
      </x:c>
      <x:c r="K2655" s="123" t="b">
        <x:v>0</x:v>
      </x:c>
      <x:c r="L2655" s="117" t="str">
        <x:v>SystemModeWithoutSharing</x:v>
      </x:c>
      <x:c r="M2655" s="118"/>
      <x:c r="N2655" s="120" t="n">
        <x:v>45783.74334490741</x:v>
      </x:c>
      <x:c r="O2655" s="117" t="str">
        <x:v>Delegate</x:v>
      </x:c>
      <x:c r="P2655" s="120" t="n">
        <x:v>45784.47673611111</x:v>
      </x:c>
      <x:c r="Q2655" s="117" t="str">
        <x:v>Delegate</x:v>
      </x:c>
      <x:c r="R2655" s="117" t="str">
        <x:v>Save QA Certificate as PDF</x:v>
      </x:c>
      <x:c r="S2655" s="119" t="str">
        <x:v>04/18/2025 (BW) - Save QA Certificate as a PDF (replacing an apex method that does not want to work)</x:v>
      </x:c>
    </x:row>
    <x:row r="2656" ht="30" customHeight="1">
      <x:c r="A2656" s="117" t="str">
        <x:v>Scheduled_Flow_Clean_Up_Historical_Service_Appointments</x:v>
      </x:c>
      <x:c r="B2656" s="117" t="str">
        <x:v>300Ro00000REVFmIAP</x:v>
      </x:c>
      <x:c r="C2656" s="117" t="str">
        <x:v>301Ro00000U2G7bIAF</x:v>
      </x:c>
      <x:c r="D2656" s="118" t="n">
        <x:v>1</x:v>
      </x:c>
      <x:c r="E2656" s="117" t="str">
        <x:v>Active</x:v>
      </x:c>
      <x:c r="F2656" s="117" t="str">
        <x:v>Yes</x:v>
      </x:c>
      <x:c r="G2656" s="117" t="str">
        <x:v>Yes</x:v>
      </x:c>
      <x:c r="H2656" s="117" t="str">
        <x:v>AutoLaunchedFlow</x:v>
      </x:c>
      <x:c r="I2656" s="118" t="n">
        <x:v>62</x:v>
      </x:c>
      <x:c r="J2656" s="117" t="str">
        <x:v>unmanaged</x:v>
      </x:c>
      <x:c r="K2656" s="123" t="b">
        <x:v>0</x:v>
      </x:c>
      <x:c r="L2656" s="117"/>
      <x:c r="M2656" s="118"/>
      <x:c r="N2656" s="120" t="n">
        <x:v>45702.59247685185</x:v>
      </x:c>
      <x:c r="O2656" s="117" t="str">
        <x:v>Delegate</x:v>
      </x:c>
      <x:c r="P2656" s="120" t="n">
        <x:v>45702.60037037037</x:v>
      </x:c>
      <x:c r="Q2656" s="117" t="str">
        <x:v>Delegate</x:v>
      </x:c>
      <x:c r="R2656" s="117" t="str">
        <x:v>Scheduled Flow | Clean Up Historical Service Appointments</x:v>
      </x:c>
      <x:c r="S2656" s="119" t="str">
        <x:v>02/14/2025 (BW) - Updating API Version</x:v>
      </x:c>
    </x:row>
    <x:row r="2657" ht="30" customHeight="1">
      <x:c r="A2657" s="117" t="str">
        <x:v>Scheduled_Update_Earliest_Permitted_Start_Date_to_Show_in_Dispatch_Console_Prope</x:v>
      </x:c>
      <x:c r="B2657" s="117" t="str">
        <x:v>300Ro00000SQVeNIAX</x:v>
      </x:c>
      <x:c r="C2657" s="117" t="str">
        <x:v>301Ro00000VOXKLIA5</x:v>
      </x:c>
      <x:c r="D2657" s="118" t="n">
        <x:v>1</x:v>
      </x:c>
      <x:c r="E2657" s="117" t="str">
        <x:v>Obsolete</x:v>
      </x:c>
      <x:c r="F2657" s="117" t="str">
        <x:v>No</x:v>
      </x:c>
      <x:c r="G2657" s="117" t="str">
        <x:v>No</x:v>
      </x:c>
      <x:c r="H2657" s="117" t="str">
        <x:v>AutoLaunchedFlow</x:v>
      </x:c>
      <x:c r="I2657" s="118" t="n">
        <x:v>63</x:v>
      </x:c>
      <x:c r="J2657" s="117" t="str">
        <x:v>unmanaged</x:v>
      </x:c>
      <x:c r="K2657" s="123" t="b">
        <x:v>0</x:v>
      </x:c>
      <x:c r="L2657" s="117"/>
      <x:c r="M2657" s="118"/>
      <x:c r="N2657" s="120" t="n">
        <x:v>45726.536631944444</x:v>
      </x:c>
      <x:c r="O2657" s="117" t="str">
        <x:v>Delegate</x:v>
      </x:c>
      <x:c r="P2657" s="120" t="n">
        <x:v>45726.53668981481</x:v>
      </x:c>
      <x:c r="Q2657" s="117" t="str">
        <x:v>Delegate</x:v>
      </x:c>
      <x:c r="R2657" s="117" t="str">
        <x:v>Scheduled: Update Earliest Permitted Start Date to Show in Dispatch Console Properly</x:v>
      </x:c>
      <x:c r="S2657" s="119" t="str">
        <x:v>03/10/2025 (BW) - Updates the earliest permitted start date to today so that old service appointments or SAs intended to be scheduled within the next 5 months get pulled into the dispatch console</x:v>
      </x:c>
    </x:row>
    <x:row r="2658" ht="30" customHeight="1">
      <x:c r="A2658" s="117" t="str">
        <x:v>Scheduled_Update_Earliest_Permitted_Start_Date_to_Show_in_Dispatch_Console_Prope</x:v>
      </x:c>
      <x:c r="B2658" s="117" t="str">
        <x:v>300Ro00000SQVeNIAX</x:v>
      </x:c>
      <x:c r="C2658" s="117" t="str">
        <x:v>301Ro00000YYEeaIAH</x:v>
      </x:c>
      <x:c r="D2658" s="118" t="n">
        <x:v>2</x:v>
      </x:c>
      <x:c r="E2658" s="117" t="str">
        <x:v>Active</x:v>
      </x:c>
      <x:c r="F2658" s="117" t="str">
        <x:v>Yes</x:v>
      </x:c>
      <x:c r="G2658" s="117" t="str">
        <x:v>Yes</x:v>
      </x:c>
      <x:c r="H2658" s="117" t="str">
        <x:v>AutoLaunchedFlow</x:v>
      </x:c>
      <x:c r="I2658" s="118" t="n">
        <x:v>63</x:v>
      </x:c>
      <x:c r="J2658" s="117" t="str">
        <x:v>unmanaged</x:v>
      </x:c>
      <x:c r="K2658" s="123" t="b">
        <x:v>0</x:v>
      </x:c>
      <x:c r="L2658" s="117"/>
      <x:c r="M2658" s="118"/>
      <x:c r="N2658" s="120" t="n">
        <x:v>45782.67574074074</x:v>
      </x:c>
      <x:c r="O2658" s="117" t="str">
        <x:v>Delegate</x:v>
      </x:c>
      <x:c r="P2658" s="120" t="n">
        <x:v>45782.67581018519</x:v>
      </x:c>
      <x:c r="Q2658" s="117" t="str">
        <x:v>Delegate</x:v>
      </x:c>
      <x:c r="R2658" s="117" t="str">
        <x:v>Scheduled: Update Earliest Permitted Start Date to Show in Dispatch Console Properly</x:v>
      </x:c>
      <x:c r="S2658" s="119" t="str">
        <x:v>05/05/2025 (BW) - Updated the flow so that it doesn't error when trying to set the earliest start time</x:v>
      </x:c>
    </x:row>
    <x:row r="2659" ht="30" customHeight="1">
      <x:c r="A2659" s="117" t="str">
        <x:v>Screen_Flow_Add_Purchasing_Return</x:v>
      </x:c>
      <x:c r="B2659" s="117" t="str">
        <x:v>300Ro00000LtJsPIAV</x:v>
      </x:c>
      <x:c r="C2659" s="117" t="str">
        <x:v>301Ro00000O5uiHIAR</x:v>
      </x:c>
      <x:c r="D2659" s="118" t="n">
        <x:v>1</x:v>
      </x:c>
      <x:c r="E2659" s="117" t="str">
        <x:v>Obsolete</x:v>
      </x:c>
      <x:c r="F2659" s="117" t="str">
        <x:v>No</x:v>
      </x:c>
      <x:c r="G2659" s="117" t="str">
        <x:v>No</x:v>
      </x:c>
      <x:c r="H2659" s="117" t="str">
        <x:v>Flow</x:v>
      </x:c>
      <x:c r="I2659" s="118" t="n">
        <x:v>62</x:v>
      </x:c>
      <x:c r="J2659" s="117" t="str">
        <x:v>unmanaged</x:v>
      </x:c>
      <x:c r="K2659" s="123" t="b">
        <x:v>0</x:v>
      </x:c>
      <x:c r="L2659" s="117"/>
      <x:c r="M2659" s="118"/>
      <x:c r="N2659" s="120" t="n">
        <x:v>45600.18288194444</x:v>
      </x:c>
      <x:c r="O2659" s="117" t="str">
        <x:v>Delegate</x:v>
      </x:c>
      <x:c r="P2659" s="120" t="n">
        <x:v>45600.18583333334</x:v>
      </x:c>
      <x:c r="Q2659" s="117" t="str">
        <x:v>Delegate</x:v>
      </x:c>
      <x:c r="R2659" s="117" t="str">
        <x:v>Screen Flow: Add Purchasing Return</x:v>
      </x:c>
      <x:c r="S2659" s="119"/>
    </x:row>
    <x:row r="2660" ht="30" customHeight="1">
      <x:c r="A2660" s="117" t="str">
        <x:v>Screen_Flow_Add_Purchasing_Return</x:v>
      </x:c>
      <x:c r="B2660" s="117" t="str">
        <x:v>300Ro00000LtJsPIAV</x:v>
      </x:c>
      <x:c r="C2660" s="117" t="str">
        <x:v>301Ro00000ONe6zIAD</x:v>
      </x:c>
      <x:c r="D2660" s="118" t="n">
        <x:v>2</x:v>
      </x:c>
      <x:c r="E2660" s="117" t="str">
        <x:v>Obsolete</x:v>
      </x:c>
      <x:c r="F2660" s="117" t="str">
        <x:v>No</x:v>
      </x:c>
      <x:c r="G2660" s="117" t="str">
        <x:v>No</x:v>
      </x:c>
      <x:c r="H2660" s="117" t="str">
        <x:v>Flow</x:v>
      </x:c>
      <x:c r="I2660" s="118" t="n">
        <x:v>62</x:v>
      </x:c>
      <x:c r="J2660" s="117" t="str">
        <x:v>unmanaged</x:v>
      </x:c>
      <x:c r="K2660" s="123" t="b">
        <x:v>0</x:v>
      </x:c>
      <x:c r="L2660" s="117"/>
      <x:c r="M2660" s="118"/>
      <x:c r="N2660" s="120" t="n">
        <x:v>45604.01366898148</x:v>
      </x:c>
      <x:c r="O2660" s="117" t="str">
        <x:v>Delegate</x:v>
      </x:c>
      <x:c r="P2660" s="120" t="n">
        <x:v>45604.01375</x:v>
      </x:c>
      <x:c r="Q2660" s="117" t="str">
        <x:v>Delegate</x:v>
      </x:c>
      <x:c r="R2660" s="117" t="str">
        <x:v>Screen Flow: Add Purchasing Return</x:v>
      </x:c>
      <x:c r="S2660" s="119"/>
    </x:row>
    <x:row r="2661" ht="30" customHeight="1">
      <x:c r="A2661" s="117" t="str">
        <x:v>Screen_Flow_Add_Purchasing_Return</x:v>
      </x:c>
      <x:c r="B2661" s="117" t="str">
        <x:v>300Ro00000LtJsPIAV</x:v>
      </x:c>
      <x:c r="C2661" s="117" t="str">
        <x:v>301Ro00000ONeLXIA1</x:v>
      </x:c>
      <x:c r="D2661" s="118" t="n">
        <x:v>3</x:v>
      </x:c>
      <x:c r="E2661" s="117" t="str">
        <x:v>Obsolete</x:v>
      </x:c>
      <x:c r="F2661" s="117" t="str">
        <x:v>No</x:v>
      </x:c>
      <x:c r="G2661" s="117" t="str">
        <x:v>No</x:v>
      </x:c>
      <x:c r="H2661" s="117" t="str">
        <x:v>Flow</x:v>
      </x:c>
      <x:c r="I2661" s="118" t="n">
        <x:v>62</x:v>
      </x:c>
      <x:c r="J2661" s="117" t="str">
        <x:v>unmanaged</x:v>
      </x:c>
      <x:c r="K2661" s="123" t="b">
        <x:v>0</x:v>
      </x:c>
      <x:c r="L2661" s="117"/>
      <x:c r="M2661" s="118"/>
      <x:c r="N2661" s="120" t="n">
        <x:v>45604.01766203704</x:v>
      </x:c>
      <x:c r="O2661" s="117" t="str">
        <x:v>Delegate</x:v>
      </x:c>
      <x:c r="P2661" s="120" t="n">
        <x:v>45604.01771990741</x:v>
      </x:c>
      <x:c r="Q2661" s="117" t="str">
        <x:v>Delegate</x:v>
      </x:c>
      <x:c r="R2661" s="117" t="str">
        <x:v>Screen Flow: Add Purchasing Return</x:v>
      </x:c>
      <x:c r="S2661" s="119"/>
    </x:row>
    <x:row r="2662" ht="30" customHeight="1">
      <x:c r="A2662" s="117" t="str">
        <x:v>Screen_Flow_Add_Purchasing_Return</x:v>
      </x:c>
      <x:c r="B2662" s="117" t="str">
        <x:v>300Ro00000LtJsPIAV</x:v>
      </x:c>
      <x:c r="C2662" s="117" t="str">
        <x:v>301Ro00000OQFSVIA5</x:v>
      </x:c>
      <x:c r="D2662" s="118" t="n">
        <x:v>4</x:v>
      </x:c>
      <x:c r="E2662" s="117" t="str">
        <x:v>Obsolete</x:v>
      </x:c>
      <x:c r="F2662" s="117" t="str">
        <x:v>No</x:v>
      </x:c>
      <x:c r="G2662" s="117" t="str">
        <x:v>No</x:v>
      </x:c>
      <x:c r="H2662" s="117" t="str">
        <x:v>Flow</x:v>
      </x:c>
      <x:c r="I2662" s="118" t="n">
        <x:v>62</x:v>
      </x:c>
      <x:c r="J2662" s="117" t="str">
        <x:v>unmanaged</x:v>
      </x:c>
      <x:c r="K2662" s="123" t="b">
        <x:v>0</x:v>
      </x:c>
      <x:c r="L2662" s="117"/>
      <x:c r="M2662" s="118"/>
      <x:c r="N2662" s="120" t="n">
        <x:v>45604.78239583333</x:v>
      </x:c>
      <x:c r="O2662" s="117" t="str">
        <x:v>Delegate</x:v>
      </x:c>
      <x:c r="P2662" s="120" t="n">
        <x:v>45604.78244212963</x:v>
      </x:c>
      <x:c r="Q2662" s="117" t="str">
        <x:v>Delegate</x:v>
      </x:c>
      <x:c r="R2662" s="117" t="str">
        <x:v>Screen Flow: Add Purchasing Return</x:v>
      </x:c>
      <x:c r="S2662" s="119"/>
    </x:row>
    <x:row r="2663" ht="30" customHeight="1">
      <x:c r="A2663" s="117" t="str">
        <x:v>Screen_Flow_Add_Purchasing_Return</x:v>
      </x:c>
      <x:c r="B2663" s="117" t="str">
        <x:v>300Ro00000LtJsPIAV</x:v>
      </x:c>
      <x:c r="C2663" s="117" t="str">
        <x:v>301Ro00000RA4EBIA1</x:v>
      </x:c>
      <x:c r="D2663" s="118" t="n">
        <x:v>5</x:v>
      </x:c>
      <x:c r="E2663" s="117" t="str">
        <x:v>Obsolete</x:v>
      </x:c>
      <x:c r="F2663" s="117" t="str">
        <x:v>No</x:v>
      </x:c>
      <x:c r="G2663" s="117" t="str">
        <x:v>No</x:v>
      </x:c>
      <x:c r="H2663" s="117" t="str">
        <x:v>Flow</x:v>
      </x:c>
      <x:c r="I2663" s="118" t="n">
        <x:v>62</x:v>
      </x:c>
      <x:c r="J2663" s="117" t="str">
        <x:v>unmanaged</x:v>
      </x:c>
      <x:c r="K2663" s="123" t="b">
        <x:v>0</x:v>
      </x:c>
      <x:c r="L2663" s="117"/>
      <x:c r="M2663" s="118"/>
      <x:c r="N2663" s="120" t="n">
        <x:v>45652.930810185186</x:v>
      </x:c>
      <x:c r="O2663" s="117" t="str">
        <x:v>Delegate</x:v>
      </x:c>
      <x:c r="P2663" s="120" t="n">
        <x:v>45652.94417824074</x:v>
      </x:c>
      <x:c r="Q2663" s="117" t="str">
        <x:v>Delegate</x:v>
      </x:c>
      <x:c r="R2663" s="117" t="str">
        <x:v>Screen Flow: Add Purchasing Return</x:v>
      </x:c>
      <x:c r="S2663" s="119"/>
    </x:row>
    <x:row r="2664" ht="30" customHeight="1">
      <x:c r="A2664" s="117" t="str">
        <x:v>Screen_Flow_Add_Purchasing_Return</x:v>
      </x:c>
      <x:c r="B2664" s="117" t="str">
        <x:v>300Ro00000LtJsPIAV</x:v>
      </x:c>
      <x:c r="C2664" s="117" t="str">
        <x:v>301Ro00000RC59aIAD</x:v>
      </x:c>
      <x:c r="D2664" s="118" t="n">
        <x:v>6</x:v>
      </x:c>
      <x:c r="E2664" s="117" t="str">
        <x:v>Obsolete</x:v>
      </x:c>
      <x:c r="F2664" s="117" t="str">
        <x:v>No</x:v>
      </x:c>
      <x:c r="G2664" s="117" t="str">
        <x:v>No</x:v>
      </x:c>
      <x:c r="H2664" s="117" t="str">
        <x:v>Flow</x:v>
      </x:c>
      <x:c r="I2664" s="118" t="n">
        <x:v>62</x:v>
      </x:c>
      <x:c r="J2664" s="117" t="str">
        <x:v>unmanaged</x:v>
      </x:c>
      <x:c r="K2664" s="123" t="b">
        <x:v>0</x:v>
      </x:c>
      <x:c r="L2664" s="117"/>
      <x:c r="M2664" s="118"/>
      <x:c r="N2664" s="120" t="n">
        <x:v>45653.66212962963</x:v>
      </x:c>
      <x:c r="O2664" s="117" t="str">
        <x:v>Delegate</x:v>
      </x:c>
      <x:c r="P2664" s="120" t="n">
        <x:v>45653.66224537037</x:v>
      </x:c>
      <x:c r="Q2664" s="117" t="str">
        <x:v>Delegate</x:v>
      </x:c>
      <x:c r="R2664" s="117" t="str">
        <x:v>Screen Flow: Add Purchasing Return</x:v>
      </x:c>
      <x:c r="S2664" s="119"/>
    </x:row>
    <x:row r="2665" ht="30" customHeight="1">
      <x:c r="A2665" s="117" t="str">
        <x:v>Screen_Flow_Add_Purchasing_Return</x:v>
      </x:c>
      <x:c r="B2665" s="117" t="str">
        <x:v>300Ro00000LtJsPIAV</x:v>
      </x:c>
      <x:c r="C2665" s="117" t="str">
        <x:v>301Ro00000Sk3sWIAR</x:v>
      </x:c>
      <x:c r="D2665" s="118" t="n">
        <x:v>7</x:v>
      </x:c>
      <x:c r="E2665" s="117" t="str">
        <x:v>Draft</x:v>
      </x:c>
      <x:c r="F2665" s="117" t="str">
        <x:v>No</x:v>
      </x:c>
      <x:c r="G2665" s="117" t="str">
        <x:v>No</x:v>
      </x:c>
      <x:c r="H2665" s="117" t="str">
        <x:v>Flow</x:v>
      </x:c>
      <x:c r="I2665" s="118" t="n">
        <x:v>62</x:v>
      </x:c>
      <x:c r="J2665" s="117" t="str">
        <x:v>unmanaged</x:v>
      </x:c>
      <x:c r="K2665" s="123" t="b">
        <x:v>0</x:v>
      </x:c>
      <x:c r="L2665" s="117"/>
      <x:c r="M2665" s="118"/>
      <x:c r="N2665" s="120" t="n">
        <x:v>45681.79756944445</x:v>
      </x:c>
      <x:c r="O2665" s="117" t="str">
        <x:v>Delegate</x:v>
      </x:c>
      <x:c r="P2665" s="120" t="n">
        <x:v>45681.79767361111</x:v>
      </x:c>
      <x:c r="Q2665" s="117" t="str">
        <x:v>Delegate</x:v>
      </x:c>
      <x:c r="R2665" s="117" t="str">
        <x:v>Screen Flow: Add Purchasing Return</x:v>
      </x:c>
      <x:c r="S2665" s="119"/>
    </x:row>
    <x:row r="2666" ht="30" customHeight="1">
      <x:c r="A2666" s="117" t="str">
        <x:v>Screen_Flow_Add_Purchasing_Return</x:v>
      </x:c>
      <x:c r="B2666" s="117" t="str">
        <x:v>300Ro00000LtJsPIAV</x:v>
      </x:c>
      <x:c r="C2666" s="117" t="str">
        <x:v>301Ro00000TR1IlIAL</x:v>
      </x:c>
      <x:c r="D2666" s="118" t="n">
        <x:v>8</x:v>
      </x:c>
      <x:c r="E2666" s="117" t="str">
        <x:v>Obsolete</x:v>
      </x:c>
      <x:c r="F2666" s="117" t="str">
        <x:v>No</x:v>
      </x:c>
      <x:c r="G2666" s="117" t="str">
        <x:v>No</x:v>
      </x:c>
      <x:c r="H2666" s="117" t="str">
        <x:v>Flow</x:v>
      </x:c>
      <x:c r="I2666" s="118" t="n">
        <x:v>62</x:v>
      </x:c>
      <x:c r="J2666" s="117" t="str">
        <x:v>unmanaged</x:v>
      </x:c>
      <x:c r="K2666" s="123" t="b">
        <x:v>0</x:v>
      </x:c>
      <x:c r="L2666" s="117"/>
      <x:c r="M2666" s="118"/>
      <x:c r="N2666" s="120" t="n">
        <x:v>45693.831967592596</x:v>
      </x:c>
      <x:c r="O2666" s="117" t="str">
        <x:v>Delegate</x:v>
      </x:c>
      <x:c r="P2666" s="120" t="n">
        <x:v>45693.832083333335</x:v>
      </x:c>
      <x:c r="Q2666" s="117" t="str">
        <x:v>Delegate</x:v>
      </x:c>
      <x:c r="R2666" s="117" t="str">
        <x:v>Screen Flow: Add Purchasing Return</x:v>
      </x:c>
      <x:c r="S2666" s="119" t="str">
        <x:v>02/05/2025 (BW) - Update to have nomenclature correctly reflect the distinction between what we consider in inventory and what is not in inventory.</x:v>
      </x:c>
    </x:row>
    <x:row r="2667" ht="30" customHeight="1">
      <x:c r="A2667" s="117" t="str">
        <x:v>Screen_Flow_Add_Purchasing_Return</x:v>
      </x:c>
      <x:c r="B2667" s="117" t="str">
        <x:v>300Ro00000LtJsPIAV</x:v>
      </x:c>
      <x:c r="C2667" s="117" t="str">
        <x:v>301Ro00000UfXTSIA3</x:v>
      </x:c>
      <x:c r="D2667" s="118" t="n">
        <x:v>9</x:v>
      </x:c>
      <x:c r="E2667" s="117" t="str">
        <x:v>Obsolete</x:v>
      </x:c>
      <x:c r="F2667" s="117" t="str">
        <x:v>No</x:v>
      </x:c>
      <x:c r="G2667" s="117" t="str">
        <x:v>No</x:v>
      </x:c>
      <x:c r="H2667" s="117" t="str">
        <x:v>Flow</x:v>
      </x:c>
      <x:c r="I2667" s="118" t="n">
        <x:v>62</x:v>
      </x:c>
      <x:c r="J2667" s="117" t="str">
        <x:v>unmanaged</x:v>
      </x:c>
      <x:c r="K2667" s="123" t="b">
        <x:v>0</x:v>
      </x:c>
      <x:c r="L2667" s="117"/>
      <x:c r="M2667" s="118"/>
      <x:c r="N2667" s="120" t="n">
        <x:v>45713.89876157408</x:v>
      </x:c>
      <x:c r="O2667" s="117" t="str">
        <x:v>Delegate</x:v>
      </x:c>
      <x:c r="P2667" s="120" t="n">
        <x:v>45713.93145833333</x:v>
      </x:c>
      <x:c r="Q2667" s="117" t="str">
        <x:v>Delegate</x:v>
      </x:c>
      <x:c r="R2667" s="117" t="str">
        <x:v>Screen Flow: Add Purchasing Return</x:v>
      </x:c>
      <x:c r="S2667" s="119"/>
    </x:row>
    <x:row r="2668" ht="30" customHeight="1">
      <x:c r="A2668" s="117" t="str">
        <x:v>Screen_Flow_Add_Purchasing_Return</x:v>
      </x:c>
      <x:c r="B2668" s="117" t="str">
        <x:v>300Ro00000LtJsPIAV</x:v>
      </x:c>
      <x:c r="C2668" s="117" t="str">
        <x:v>301Ro00000UgHUdIAN</x:v>
      </x:c>
      <x:c r="D2668" s="118" t="n">
        <x:v>10</x:v>
      </x:c>
      <x:c r="E2668" s="117" t="str">
        <x:v>Obsolete</x:v>
      </x:c>
      <x:c r="F2668" s="117" t="str">
        <x:v>No</x:v>
      </x:c>
      <x:c r="G2668" s="117" t="str">
        <x:v>No</x:v>
      </x:c>
      <x:c r="H2668" s="117" t="str">
        <x:v>Flow</x:v>
      </x:c>
      <x:c r="I2668" s="118" t="n">
        <x:v>62</x:v>
      </x:c>
      <x:c r="J2668" s="117" t="str">
        <x:v>unmanaged</x:v>
      </x:c>
      <x:c r="K2668" s="123" t="b">
        <x:v>0</x:v>
      </x:c>
      <x:c r="L2668" s="117"/>
      <x:c r="M2668" s="118"/>
      <x:c r="N2668" s="120" t="n">
        <x:v>45714.02091435185</x:v>
      </x:c>
      <x:c r="O2668" s="117" t="str">
        <x:v>Delegate</x:v>
      </x:c>
      <x:c r="P2668" s="120" t="n">
        <x:v>45714.021053240744</x:v>
      </x:c>
      <x:c r="Q2668" s="117" t="str">
        <x:v>Delegate</x:v>
      </x:c>
      <x:c r="R2668" s="117" t="str">
        <x:v>Screen Flow: Add Purchasing Return</x:v>
      </x:c>
      <x:c r="S2668" s="119"/>
    </x:row>
    <x:row r="2669" ht="30" customHeight="1">
      <x:c r="A2669" s="117" t="str">
        <x:v>Screen_Flow_Add_Purchasing_Return</x:v>
      </x:c>
      <x:c r="B2669" s="117" t="str">
        <x:v>300Ro00000LtJsPIAV</x:v>
      </x:c>
      <x:c r="C2669" s="117" t="str">
        <x:v>301Ro00000UgA1nIAF</x:v>
      </x:c>
      <x:c r="D2669" s="118" t="n">
        <x:v>11</x:v>
      </x:c>
      <x:c r="E2669" s="117" t="str">
        <x:v>Obsolete</x:v>
      </x:c>
      <x:c r="F2669" s="117" t="str">
        <x:v>No</x:v>
      </x:c>
      <x:c r="G2669" s="117" t="str">
        <x:v>No</x:v>
      </x:c>
      <x:c r="H2669" s="117" t="str">
        <x:v>Flow</x:v>
      </x:c>
      <x:c r="I2669" s="118" t="n">
        <x:v>62</x:v>
      </x:c>
      <x:c r="J2669" s="117" t="str">
        <x:v>unmanaged</x:v>
      </x:c>
      <x:c r="K2669" s="123" t="b">
        <x:v>0</x:v>
      </x:c>
      <x:c r="L2669" s="117"/>
      <x:c r="M2669" s="118"/>
      <x:c r="N2669" s="120" t="n">
        <x:v>45714.02349537037</x:v>
      </x:c>
      <x:c r="O2669" s="117" t="str">
        <x:v>Delegate</x:v>
      </x:c>
      <x:c r="P2669" s="120" t="n">
        <x:v>45714.02359953704</x:v>
      </x:c>
      <x:c r="Q2669" s="117" t="str">
        <x:v>Delegate</x:v>
      </x:c>
      <x:c r="R2669" s="117" t="str">
        <x:v>Screen Flow: Add Purchasing Return</x:v>
      </x:c>
      <x:c r="S2669" s="119"/>
    </x:row>
    <x:row r="2670" ht="30" customHeight="1">
      <x:c r="A2670" s="117" t="str">
        <x:v>Screen_Flow_Add_Purchasing_Return</x:v>
      </x:c>
      <x:c r="B2670" s="117" t="str">
        <x:v>300Ro00000LtJsPIAV</x:v>
      </x:c>
      <x:c r="C2670" s="117" t="str">
        <x:v>301Ro00000X0gIwIAJ</x:v>
      </x:c>
      <x:c r="D2670" s="118" t="n">
        <x:v>12</x:v>
      </x:c>
      <x:c r="E2670" s="117" t="str">
        <x:v>Obsolete</x:v>
      </x:c>
      <x:c r="F2670" s="117" t="str">
        <x:v>No</x:v>
      </x:c>
      <x:c r="G2670" s="117" t="str">
        <x:v>No</x:v>
      </x:c>
      <x:c r="H2670" s="117" t="str">
        <x:v>Flow</x:v>
      </x:c>
      <x:c r="I2670" s="118" t="n">
        <x:v>62</x:v>
      </x:c>
      <x:c r="J2670" s="117" t="str">
        <x:v>unmanaged</x:v>
      </x:c>
      <x:c r="K2670" s="123" t="b">
        <x:v>0</x:v>
      </x:c>
      <x:c r="L2670" s="117"/>
      <x:c r="M2670" s="118"/>
      <x:c r="N2670" s="120" t="n">
        <x:v>45755.00702546296</x:v>
      </x:c>
      <x:c r="O2670" s="117" t="str">
        <x:v>Delegate</x:v>
      </x:c>
      <x:c r="P2670" s="120" t="n">
        <x:v>45755.009664351855</x:v>
      </x:c>
      <x:c r="Q2670" s="117" t="str">
        <x:v>Delegate</x:v>
      </x:c>
      <x:c r="R2670" s="117" t="str">
        <x:v>Screen Flow: Add Purchasing Return</x:v>
      </x:c>
      <x:c r="S2670" s="119"/>
    </x:row>
    <x:row r="2671" ht="30" customHeight="1">
      <x:c r="A2671" s="117" t="str">
        <x:v>Screen_Flow_Add_Purchasing_Return</x:v>
      </x:c>
      <x:c r="B2671" s="117" t="str">
        <x:v>300Ro00000LtJsPIAV</x:v>
      </x:c>
      <x:c r="C2671" s="117" t="str">
        <x:v>301Ro00000X0ZpIIAV</x:v>
      </x:c>
      <x:c r="D2671" s="118" t="n">
        <x:v>13</x:v>
      </x:c>
      <x:c r="E2671" s="117" t="str">
        <x:v>Obsolete</x:v>
      </x:c>
      <x:c r="F2671" s="117" t="str">
        <x:v>No</x:v>
      </x:c>
      <x:c r="G2671" s="117" t="str">
        <x:v>No</x:v>
      </x:c>
      <x:c r="H2671" s="117" t="str">
        <x:v>Flow</x:v>
      </x:c>
      <x:c r="I2671" s="118" t="n">
        <x:v>62</x:v>
      </x:c>
      <x:c r="J2671" s="117" t="str">
        <x:v>unmanaged</x:v>
      </x:c>
      <x:c r="K2671" s="123" t="b">
        <x:v>0</x:v>
      </x:c>
      <x:c r="L2671" s="117"/>
      <x:c r="M2671" s="118"/>
      <x:c r="N2671" s="120" t="n">
        <x:v>45755.01552083333</x:v>
      </x:c>
      <x:c r="O2671" s="117" t="str">
        <x:v>Delegate</x:v>
      </x:c>
      <x:c r="P2671" s="120" t="n">
        <x:v>45797.62501157408</x:v>
      </x:c>
      <x:c r="Q2671" s="117" t="str">
        <x:v>Delegate</x:v>
      </x:c>
      <x:c r="R2671" s="117" t="str">
        <x:v>Screen Flow: Add Purchasing Return</x:v>
      </x:c>
      <x:c r="S2671" s="119"/>
    </x:row>
    <x:row r="2672" ht="30" customHeight="1">
      <x:c r="A2672" s="117" t="str">
        <x:v>Screen_Flow_Add_Purchasing_Return</x:v>
      </x:c>
      <x:c r="B2672" s="117" t="str">
        <x:v>300Ro00000LtJsPIAV</x:v>
      </x:c>
      <x:c r="C2672" s="117" t="str">
        <x:v>301Ro00000YMoylIAD</x:v>
      </x:c>
      <x:c r="D2672" s="118" t="n">
        <x:v>14</x:v>
      </x:c>
      <x:c r="E2672" s="117" t="str">
        <x:v>Obsolete</x:v>
      </x:c>
      <x:c r="F2672" s="117" t="str">
        <x:v>No</x:v>
      </x:c>
      <x:c r="G2672" s="117" t="str">
        <x:v>No</x:v>
      </x:c>
      <x:c r="H2672" s="117" t="str">
        <x:v>Flow</x:v>
      </x:c>
      <x:c r="I2672" s="118" t="n">
        <x:v>62</x:v>
      </x:c>
      <x:c r="J2672" s="117" t="str">
        <x:v>unmanaged</x:v>
      </x:c>
      <x:c r="K2672" s="123" t="b">
        <x:v>0</x:v>
      </x:c>
      <x:c r="L2672" s="117"/>
      <x:c r="M2672" s="118"/>
      <x:c r="N2672" s="120" t="n">
        <x:v>45778.73436342592</x:v>
      </x:c>
      <x:c r="O2672" s="117" t="str">
        <x:v>Jace Gentil</x:v>
      </x:c>
      <x:c r="P2672" s="120" t="n">
        <x:v>45778.734456018516</x:v>
      </x:c>
      <x:c r="Q2672" s="117" t="str">
        <x:v>Jace Gentil</x:v>
      </x:c>
      <x:c r="R2672" s="117" t="str">
        <x:v>Screen Flow: Add Purchasing Return</x:v>
      </x:c>
      <x:c r="S2672" s="119"/>
    </x:row>
    <x:row r="2673" ht="30" customHeight="1">
      <x:c r="A2673" s="117" t="str">
        <x:v>Screen_Flow_Add_Purchasing_Return</x:v>
      </x:c>
      <x:c r="B2673" s="117" t="str">
        <x:v>300Ro00000LtJsPIAV</x:v>
      </x:c>
      <x:c r="C2673" s="117" t="str">
        <x:v>301Ro00000ySGs6IAG</x:v>
      </x:c>
      <x:c r="D2673" s="118" t="n">
        <x:v>15</x:v>
      </x:c>
      <x:c r="E2673" s="117" t="str">
        <x:v>Obsolete</x:v>
      </x:c>
      <x:c r="F2673" s="117" t="str">
        <x:v>No</x:v>
      </x:c>
      <x:c r="G2673" s="117" t="str">
        <x:v>No</x:v>
      </x:c>
      <x:c r="H2673" s="117" t="str">
        <x:v>Flow</x:v>
      </x:c>
      <x:c r="I2673" s="118" t="n">
        <x:v>62</x:v>
      </x:c>
      <x:c r="J2673" s="117" t="str">
        <x:v>unmanaged</x:v>
      </x:c>
      <x:c r="K2673" s="123" t="b">
        <x:v>0</x:v>
      </x:c>
      <x:c r="L2673" s="117"/>
      <x:c r="M2673" s="118"/>
      <x:c r="N2673" s="120" t="n">
        <x:v>46069.83855324074</x:v>
      </x:c>
      <x:c r="O2673" s="117" t="str">
        <x:v>Delegate</x:v>
      </x:c>
      <x:c r="P2673" s="120" t="n">
        <x:v>46069.83866898148</x:v>
      </x:c>
      <x:c r="Q2673" s="117" t="str">
        <x:v>Delegate</x:v>
      </x:c>
      <x:c r="R2673" s="117" t="str">
        <x:v>Screen Flow: Add Purchasing Return</x:v>
      </x:c>
      <x:c r="S2673" s="119" t="str">
        <x:v>02/16/2026 (BW) - Updated to allow for double purchasing returns</x:v>
      </x:c>
    </x:row>
    <x:row r="2674" ht="30" customHeight="1">
      <x:c r="A2674" s="117" t="str">
        <x:v>Screen_Flow_Add_Purchasing_Return</x:v>
      </x:c>
      <x:c r="B2674" s="117" t="str">
        <x:v>300Ro00000LtJsPIAV</x:v>
      </x:c>
      <x:c r="C2674" s="117" t="str">
        <x:v>301Ro0000129oNNIAY</x:v>
      </x:c>
      <x:c r="D2674" s="118" t="n">
        <x:v>16</x:v>
      </x:c>
      <x:c r="E2674" s="117" t="str">
        <x:v>Obsolete</x:v>
      </x:c>
      <x:c r="F2674" s="117" t="str">
        <x:v>No</x:v>
      </x:c>
      <x:c r="G2674" s="117" t="str">
        <x:v>No</x:v>
      </x:c>
      <x:c r="H2674" s="117" t="str">
        <x:v>Flow</x:v>
      </x:c>
      <x:c r="I2674" s="118" t="n">
        <x:v>62</x:v>
      </x:c>
      <x:c r="J2674" s="117" t="str">
        <x:v>unmanaged</x:v>
      </x:c>
      <x:c r="K2674" s="123" t="b">
        <x:v>0</x:v>
      </x:c>
      <x:c r="L2674" s="117" t="str">
        <x:v>SystemModeWithoutSharing</x:v>
      </x:c>
      <x:c r="M2674" s="118"/>
      <x:c r="N2674" s="120" t="n">
        <x:v>46114.38791666667</x:v>
      </x:c>
      <x:c r="O2674" s="117" t="str">
        <x:v>Sacha Pearce</x:v>
      </x:c>
      <x:c r="P2674" s="120" t="n">
        <x:v>46114.38799768518</x:v>
      </x:c>
      <x:c r="Q2674" s="117" t="str">
        <x:v>Sacha Pearce</x:v>
      </x:c>
      <x:c r="R2674" s="117" t="str">
        <x:v>Screen Flow: Add Purchasing Return</x:v>
      </x:c>
      <x:c r="S2674" s="119" t="str">
        <x:v>04/02/2026 - SP - Updating to run in System Context so users can create these without needing additional access to fields</x:v>
      </x:c>
    </x:row>
    <x:row r="2675" ht="30" customHeight="1">
      <x:c r="A2675" s="117" t="str">
        <x:v>Screen_Flow_Add_Purchasing_Return</x:v>
      </x:c>
      <x:c r="B2675" s="117" t="str">
        <x:v>300Ro00000LtJsPIAV</x:v>
      </x:c>
      <x:c r="C2675" s="117" t="str">
        <x:v>301Ro000018ejpKIAQ</x:v>
      </x:c>
      <x:c r="D2675" s="118" t="n">
        <x:v>17</x:v>
      </x:c>
      <x:c r="E2675" s="117" t="str">
        <x:v>Obsolete</x:v>
      </x:c>
      <x:c r="F2675" s="117" t="str">
        <x:v>No</x:v>
      </x:c>
      <x:c r="G2675" s="117" t="str">
        <x:v>No</x:v>
      </x:c>
      <x:c r="H2675" s="117" t="str">
        <x:v>Flow</x:v>
      </x:c>
      <x:c r="I2675" s="118" t="n">
        <x:v>62</x:v>
      </x:c>
      <x:c r="J2675" s="117" t="str">
        <x:v>unmanaged</x:v>
      </x:c>
      <x:c r="K2675" s="123" t="b">
        <x:v>0</x:v>
      </x:c>
      <x:c r="L2675" s="117" t="str">
        <x:v>SystemModeWithoutSharing</x:v>
      </x:c>
      <x:c r="M2675" s="118"/>
      <x:c r="N2675" s="120" t="n">
        <x:v>46189.40315972222</x:v>
      </x:c>
      <x:c r="O2675" s="117" t="str">
        <x:v>Sacha Pearce</x:v>
      </x:c>
      <x:c r="P2675" s="120" t="n">
        <x:v>46189.40331018518</x:v>
      </x:c>
      <x:c r="Q2675" s="117" t="str">
        <x:v>Sacha Pearce</x:v>
      </x:c>
      <x:c r="R2675" s="117" t="str">
        <x:v>Screen Flow: Add Purchasing Return</x:v>
      </x:c>
      <x:c r="S2675" s="119" t="str">
        <x:v>04/02/2026 - SP - Introducing the "formulaSubmitToShipping" formula to return "FALSE" if the if Asset's "Ownership" field is "PROBO-UK".</x:v>
      </x:c>
    </x:row>
    <x:row r="2676" ht="30" customHeight="1">
      <x:c r="A2676" s="117" t="str">
        <x:v>Screen_Flow_Add_Purchasing_Return</x:v>
      </x:c>
      <x:c r="B2676" s="117" t="str">
        <x:v>300Ro00000LtJsPIAV</x:v>
      </x:c>
      <x:c r="C2676" s="117" t="str">
        <x:v>301Ro000019VL90IAG</x:v>
      </x:c>
      <x:c r="D2676" s="118" t="n">
        <x:v>18</x:v>
      </x:c>
      <x:c r="E2676" s="117" t="str">
        <x:v>Obsolete</x:v>
      </x:c>
      <x:c r="F2676" s="117" t="str">
        <x:v>No</x:v>
      </x:c>
      <x:c r="G2676" s="117" t="str">
        <x:v>No</x:v>
      </x:c>
      <x:c r="H2676" s="117" t="str">
        <x:v>Flow</x:v>
      </x:c>
      <x:c r="I2676" s="118" t="n">
        <x:v>62</x:v>
      </x:c>
      <x:c r="J2676" s="117" t="str">
        <x:v>unmanaged</x:v>
      </x:c>
      <x:c r="K2676" s="123" t="b">
        <x:v>0</x:v>
      </x:c>
      <x:c r="L2676" s="117" t="str">
        <x:v>SystemModeWithoutSharing</x:v>
      </x:c>
      <x:c r="M2676" s="118"/>
      <x:c r="N2676" s="120" t="n">
        <x:v>46198.38542824074</x:v>
      </x:c>
      <x:c r="O2676" s="117" t="str">
        <x:v>Sacha Pearce</x:v>
      </x:c>
      <x:c r="P2676" s="120" t="n">
        <x:v>46198.3855787037</x:v>
      </x:c>
      <x:c r="Q2676" s="117" t="str">
        <x:v>Sacha Pearce</x:v>
      </x:c>
      <x:c r="R2676" s="117" t="str">
        <x:v>Screen Flow: Add Purchasing Return</x:v>
      </x:c>
      <x:c r="S2676" s="119" t="str">
        <x:v>25/06/2026 - SP - Introducing the "formulaSubmitToShipping" formula to return "FALSE" if the if Asset's "Ownership" field is "PROBO-UK".</x:v>
      </x:c>
    </x:row>
    <x:row r="2677" ht="30" customHeight="1">
      <x:c r="A2677" s="117" t="str">
        <x:v>Screen_Flow_Add_Purchasing_Return</x:v>
      </x:c>
      <x:c r="B2677" s="117" t="str">
        <x:v>300Ro00000LtJsPIAV</x:v>
      </x:c>
      <x:c r="C2677" s="117" t="str">
        <x:v>301Ro000019VWcJIAW</x:v>
      </x:c>
      <x:c r="D2677" s="118" t="n">
        <x:v>19</x:v>
      </x:c>
      <x:c r="E2677" s="117" t="str">
        <x:v>Active</x:v>
      </x:c>
      <x:c r="F2677" s="117" t="str">
        <x:v>Yes</x:v>
      </x:c>
      <x:c r="G2677" s="117" t="str">
        <x:v>No</x:v>
      </x:c>
      <x:c r="H2677" s="117" t="str">
        <x:v>Flow</x:v>
      </x:c>
      <x:c r="I2677" s="118" t="n">
        <x:v>62</x:v>
      </x:c>
      <x:c r="J2677" s="117" t="str">
        <x:v>unmanaged</x:v>
      </x:c>
      <x:c r="K2677" s="123" t="b">
        <x:v>0</x:v>
      </x:c>
      <x:c r="L2677" s="117" t="str">
        <x:v>SystemModeWithoutSharing</x:v>
      </x:c>
      <x:c r="M2677" s="118"/>
      <x:c r="N2677" s="120" t="n">
        <x:v>46198.38597222222</x:v>
      </x:c>
      <x:c r="O2677" s="117" t="str">
        <x:v>Sacha Pearce</x:v>
      </x:c>
      <x:c r="P2677" s="120" t="n">
        <x:v>46198.38630787037</x:v>
      </x:c>
      <x:c r="Q2677" s="117" t="str">
        <x:v>Sacha Pearce</x:v>
      </x:c>
      <x:c r="R2677" s="117" t="str">
        <x:v>Screen Flow: Add Purchasing Return</x:v>
      </x:c>
      <x:c r="S2677" s="119" t="str">
        <x:v>25/06/2026 - SP - Introducing the "formulaSubmitToShipping" formula to return "FALSE" if the if Asset's "Ownership" field is "PROBO-UK".</x:v>
      </x:c>
    </x:row>
    <x:row r="2678" ht="30" customHeight="1">
      <x:c r="A2678" s="117" t="str">
        <x:v>Screen_Flow_Add_Purchasing_Return</x:v>
      </x:c>
      <x:c r="B2678" s="117" t="str">
        <x:v>300Ro00000LtJsPIAV</x:v>
      </x:c>
      <x:c r="C2678" s="117" t="str">
        <x:v>301Ro00001Aim5xIAB</x:v>
      </x:c>
      <x:c r="D2678" s="118" t="n">
        <x:v>20</x:v>
      </x:c>
      <x:c r="E2678" s="117" t="str">
        <x:v>Draft</x:v>
      </x:c>
      <x:c r="F2678" s="117" t="str">
        <x:v>No</x:v>
      </x:c>
      <x:c r="G2678" s="117" t="str">
        <x:v>Yes</x:v>
      </x:c>
      <x:c r="H2678" s="117" t="str">
        <x:v>Flow</x:v>
      </x:c>
      <x:c r="I2678" s="118" t="n">
        <x:v>62</x:v>
      </x:c>
      <x:c r="J2678" s="117" t="str">
        <x:v>unmanaged</x:v>
      </x:c>
      <x:c r="K2678" s="123" t="b">
        <x:v>0</x:v>
      </x:c>
      <x:c r="L2678" s="117" t="str">
        <x:v>SystemModeWithoutSharing</x:v>
      </x:c>
      <x:c r="M2678" s="118"/>
      <x:c r="N2678" s="120" t="n">
        <x:v>46211.8780787037</x:v>
      </x:c>
      <x:c r="O2678" s="117" t="str">
        <x:v>Mindy Bender</x:v>
      </x:c>
      <x:c r="P2678" s="120" t="n">
        <x:v>46211.87810185185</x:v>
      </x:c>
      <x:c r="Q2678" s="117" t="str">
        <x:v>Mindy Bender</x:v>
      </x:c>
      <x:c r="R2678" s="117" t="str">
        <x:v>Screen Flow: Add Purchasing Return</x:v>
      </x:c>
      <x:c r="S2678" s="119" t="str">
        <x:v>2026-07-08: Updating to use Ship FROM Location Dropdown instead of Ship From free text field</x:v>
      </x:c>
    </x:row>
    <x:row r="2679" ht="30" customHeight="1">
      <x:c r="A2679" s="117" t="str">
        <x:v>Screen_Flow_Convert_TSLJ_to_Location_Address</x:v>
      </x:c>
      <x:c r="B2679" s="117" t="str">
        <x:v>300Ro00000XmLK7IAN</x:v>
      </x:c>
      <x:c r="C2679" s="117" t="str">
        <x:v>301Ro00000baqMIIAY</x:v>
      </x:c>
      <x:c r="D2679" s="118" t="n">
        <x:v>1</x:v>
      </x:c>
      <x:c r="E2679" s="117" t="str">
        <x:v>Obsolete</x:v>
      </x:c>
      <x:c r="F2679" s="117" t="str">
        <x:v>No</x:v>
      </x:c>
      <x:c r="G2679" s="117" t="str">
        <x:v>No</x:v>
      </x:c>
      <x:c r="H2679" s="117" t="str">
        <x:v>Flow</x:v>
      </x:c>
      <x:c r="I2679" s="118" t="n">
        <x:v>63</x:v>
      </x:c>
      <x:c r="J2679" s="117" t="str">
        <x:v>unmanaged</x:v>
      </x:c>
      <x:c r="K2679" s="123" t="b">
        <x:v>0</x:v>
      </x:c>
      <x:c r="L2679" s="117"/>
      <x:c r="M2679" s="118"/>
      <x:c r="N2679" s="120" t="n">
        <x:v>45821.67114583333</x:v>
      </x:c>
      <x:c r="O2679" s="117" t="str">
        <x:v>Delegate</x:v>
      </x:c>
      <x:c r="P2679" s="120" t="n">
        <x:v>45821.67167824074</x:v>
      </x:c>
      <x:c r="Q2679" s="117" t="str">
        <x:v>Delegate</x:v>
      </x:c>
      <x:c r="R2679" s="117" t="str">
        <x:v>Screen Flow: Convert TSLJ to Location/Address</x:v>
      </x:c>
      <x:c r="S2679" s="119"/>
    </x:row>
    <x:row r="2680" ht="30" customHeight="1">
      <x:c r="A2680" s="117" t="str">
        <x:v>Screen_Flow_Convert_TSLJ_to_Location_Address</x:v>
      </x:c>
      <x:c r="B2680" s="117" t="str">
        <x:v>300Ro00000XmLK7IAN</x:v>
      </x:c>
      <x:c r="C2680" s="117" t="str">
        <x:v>301Ro00000bagmpIAA</x:v>
      </x:c>
      <x:c r="D2680" s="118" t="n">
        <x:v>2</x:v>
      </x:c>
      <x:c r="E2680" s="117" t="str">
        <x:v>Active</x:v>
      </x:c>
      <x:c r="F2680" s="117" t="str">
        <x:v>Yes</x:v>
      </x:c>
      <x:c r="G2680" s="117" t="str">
        <x:v>Yes</x:v>
      </x:c>
      <x:c r="H2680" s="117" t="str">
        <x:v>Flow</x:v>
      </x:c>
      <x:c r="I2680" s="118" t="n">
        <x:v>63</x:v>
      </x:c>
      <x:c r="J2680" s="117" t="str">
        <x:v>unmanaged</x:v>
      </x:c>
      <x:c r="K2680" s="123" t="b">
        <x:v>0</x:v>
      </x:c>
      <x:c r="L2680" s="117"/>
      <x:c r="M2680" s="118"/>
      <x:c r="N2680" s="120" t="n">
        <x:v>45821.68035879629</x:v>
      </x:c>
      <x:c r="O2680" s="117" t="str">
        <x:v>Delegate</x:v>
      </x:c>
      <x:c r="P2680" s="120" t="n">
        <x:v>45821.680439814816</x:v>
      </x:c>
      <x:c r="Q2680" s="117" t="str">
        <x:v>Delegate</x:v>
      </x:c>
      <x:c r="R2680" s="117" t="str">
        <x:v>Screen Flow: Convert TSLJ to Location/Address</x:v>
      </x:c>
      <x:c r="S2680" s="119"/>
    </x:row>
    <x:row r="2681" ht="30" customHeight="1">
      <x:c r="A2681" s="117" t="str">
        <x:v>Screen_Flow_Create_New_Service_Asset_From_Work_Order</x:v>
      </x:c>
      <x:c r="B2681" s="117" t="str">
        <x:v>300Ro00000cwVgkIAE</x:v>
      </x:c>
      <x:c r="C2681" s="117" t="str">
        <x:v>301Ro00000iXAsAIAW</x:v>
      </x:c>
      <x:c r="D2681" s="118" t="n">
        <x:v>1</x:v>
      </x:c>
      <x:c r="E2681" s="117" t="str">
        <x:v>Active</x:v>
      </x:c>
      <x:c r="F2681" s="117" t="str">
        <x:v>Yes</x:v>
      </x:c>
      <x:c r="G2681" s="117" t="str">
        <x:v>Yes</x:v>
      </x:c>
      <x:c r="H2681" s="117" t="str">
        <x:v>Flow</x:v>
      </x:c>
      <x:c r="I2681" s="118" t="n">
        <x:v>62</x:v>
      </x:c>
      <x:c r="J2681" s="117" t="str">
        <x:v>unmanaged</x:v>
      </x:c>
      <x:c r="K2681" s="123" t="b">
        <x:v>0</x:v>
      </x:c>
      <x:c r="L2681" s="117"/>
      <x:c r="M2681" s="118"/>
      <x:c r="N2681" s="120" t="n">
        <x:v>45884.74865740741</x:v>
      </x:c>
      <x:c r="O2681" s="117" t="str">
        <x:v>Delegate</x:v>
      </x:c>
      <x:c r="P2681" s="120" t="n">
        <x:v>45888.79201388889</x:v>
      </x:c>
      <x:c r="Q2681" s="117" t="str">
        <x:v>Delegate</x:v>
      </x:c>
      <x:c r="R2681" s="117" t="str">
        <x:v>Screen Flow | Create New Service Asset From Work Order</x:v>
      </x:c>
      <x:c r="S2681" s="119" t="str">
        <x:v>09/20/2024 (BW) - Added node to update the current work order with the new service asset ID</x:v>
      </x:c>
    </x:row>
    <x:row r="2682" ht="30" customHeight="1">
      <x:c r="A2682" s="117" t="str">
        <x:v>Screen_Flow_Create_Sales_Asset_from_Service_Asset</x:v>
      </x:c>
      <x:c r="B2682" s="117" t="str">
        <x:v>300Ro00000cwVglIAE</x:v>
      </x:c>
      <x:c r="C2682" s="117" t="str">
        <x:v>301Ro00000iXAsBIAW</x:v>
      </x:c>
      <x:c r="D2682" s="118" t="n">
        <x:v>1</x:v>
      </x:c>
      <x:c r="E2682" s="117" t="str">
        <x:v>Draft</x:v>
      </x:c>
      <x:c r="F2682" s="117" t="str">
        <x:v>No</x:v>
      </x:c>
      <x:c r="G2682" s="117" t="str">
        <x:v>Yes</x:v>
      </x:c>
      <x:c r="H2682" s="117" t="str">
        <x:v>Flow</x:v>
      </x:c>
      <x:c r="I2682" s="118" t="n">
        <x:v>62</x:v>
      </x:c>
      <x:c r="J2682" s="117" t="str">
        <x:v>unmanaged</x:v>
      </x:c>
      <x:c r="K2682" s="123" t="b">
        <x:v>0</x:v>
      </x:c>
      <x:c r="L2682" s="117"/>
      <x:c r="M2682" s="118"/>
      <x:c r="N2682" s="120" t="n">
        <x:v>45884.74865740741</x:v>
      </x:c>
      <x:c r="O2682" s="117" t="str">
        <x:v>Delegate</x:v>
      </x:c>
      <x:c r="P2682" s="120" t="n">
        <x:v>45884.748761574076</x:v>
      </x:c>
      <x:c r="Q2682" s="117" t="str">
        <x:v>Delegate</x:v>
      </x:c>
      <x:c r="R2682" s="117" t="str">
        <x:v>Screen Flow | Create Sales Asset from Service Asset</x:v>
      </x:c>
      <x:c r="S2682" s="119" t="str">
        <x:v>09/16/2024 (BW) - Creates a Sales Asset off of a Service Asset</x:v>
      </x:c>
    </x:row>
    <x:row r="2683" ht="30" customHeight="1">
      <x:c r="A2683" s="117" t="str">
        <x:v>Screen_Flow_Create_Service_Asset_from_Sales_Asset</x:v>
      </x:c>
      <x:c r="B2683" s="117" t="str">
        <x:v>300Ro00000cwVgmIAE</x:v>
      </x:c>
      <x:c r="C2683" s="117" t="str">
        <x:v>301Ro00000iXAsCIAW</x:v>
      </x:c>
      <x:c r="D2683" s="118" t="n">
        <x:v>1</x:v>
      </x:c>
      <x:c r="E2683" s="117" t="str">
        <x:v>InvalidDraft</x:v>
      </x:c>
      <x:c r="F2683" s="117" t="str">
        <x:v>No</x:v>
      </x:c>
      <x:c r="G2683" s="117" t="str">
        <x:v>Yes</x:v>
      </x:c>
      <x:c r="H2683" s="117" t="str">
        <x:v>Flow</x:v>
      </x:c>
      <x:c r="I2683" s="118" t="n">
        <x:v>62</x:v>
      </x:c>
      <x:c r="J2683" s="117" t="str">
        <x:v>unmanaged</x:v>
      </x:c>
      <x:c r="K2683" s="123" t="b">
        <x:v>0</x:v>
      </x:c>
      <x:c r="L2683" s="117"/>
      <x:c r="M2683" s="118"/>
      <x:c r="N2683" s="120" t="n">
        <x:v>45884.74865740741</x:v>
      </x:c>
      <x:c r="O2683" s="117" t="str">
        <x:v>Delegate</x:v>
      </x:c>
      <x:c r="P2683" s="120" t="n">
        <x:v>45884.748773148145</x:v>
      </x:c>
      <x:c r="Q2683" s="117" t="str">
        <x:v>Delegate</x:v>
      </x:c>
      <x:c r="R2683" s="117" t="str">
        <x:v>Screen Flow | Create Service Asset from Sales Asset</x:v>
      </x:c>
      <x:c r="S2683" s="119" t="str">
        <x:v>09/16/2024 (BW) - Added a portion so that a second service asset can not be created for the same sales asset</x:v>
      </x:c>
    </x:row>
    <x:row r="2684" ht="30" customHeight="1">
      <x:c r="A2684" s="117" t="str">
        <x:v>Screen_Flow_Scrap_Asset_on_System_Work_Order</x:v>
      </x:c>
      <x:c r="B2684" s="117" t="str">
        <x:v>300Ro00000LtI8OIAV</x:v>
      </x:c>
      <x:c r="C2684" s="117" t="str">
        <x:v>301Ro00000O5xIAIAZ</x:v>
      </x:c>
      <x:c r="D2684" s="118" t="n">
        <x:v>1</x:v>
      </x:c>
      <x:c r="E2684" s="117" t="str">
        <x:v>Active</x:v>
      </x:c>
      <x:c r="F2684" s="117" t="str">
        <x:v>Yes</x:v>
      </x:c>
      <x:c r="G2684" s="117" t="str">
        <x:v>Yes</x:v>
      </x:c>
      <x:c r="H2684" s="117" t="str">
        <x:v>Flow</x:v>
      </x:c>
      <x:c r="I2684" s="118" t="n">
        <x:v>62</x:v>
      </x:c>
      <x:c r="J2684" s="117" t="str">
        <x:v>unmanaged</x:v>
      </x:c>
      <x:c r="K2684" s="123" t="b">
        <x:v>0</x:v>
      </x:c>
      <x:c r="L2684" s="117"/>
      <x:c r="M2684" s="118"/>
      <x:c r="N2684" s="120" t="n">
        <x:v>45600.18755787037</x:v>
      </x:c>
      <x:c r="O2684" s="117" t="str">
        <x:v>Delegate</x:v>
      </x:c>
      <x:c r="P2684" s="120" t="n">
        <x:v>45600.197696759256</x:v>
      </x:c>
      <x:c r="Q2684" s="117" t="str">
        <x:v>Delegate</x:v>
      </x:c>
      <x:c r="R2684" s="117" t="str">
        <x:v>Screen Flow: Scrap Asset on System Work Order</x:v>
      </x:c>
      <x:c r="S2684" s="119"/>
    </x:row>
    <x:row r="2685" ht="30" customHeight="1">
      <x:c r="A2685" s="117" t="str">
        <x:v>Screen_Flow_Select_IR_Assets</x:v>
      </x:c>
      <x:c r="B2685" s="117" t="str">
        <x:v>300Ro00000tAYdSIAW</x:v>
      </x:c>
      <x:c r="C2685" s="117" t="str">
        <x:v>301Ro0000119zjKIAQ</x:v>
      </x:c>
      <x:c r="D2685" s="118" t="n">
        <x:v>4</x:v>
      </x:c>
      <x:c r="E2685" s="117" t="str">
        <x:v>Active</x:v>
      </x:c>
      <x:c r="F2685" s="117" t="str">
        <x:v>Yes</x:v>
      </x:c>
      <x:c r="G2685" s="117" t="str">
        <x:v>Yes</x:v>
      </x:c>
      <x:c r="H2685" s="117" t="str">
        <x:v>Flow</x:v>
      </x:c>
      <x:c r="I2685" s="118" t="n">
        <x:v>66</x:v>
      </x:c>
      <x:c r="J2685" s="117" t="str">
        <x:v>unmanaged</x:v>
      </x:c>
      <x:c r="K2685" s="123" t="b">
        <x:v>0</x:v>
      </x:c>
      <x:c r="L2685" s="117"/>
      <x:c r="M2685" s="118"/>
      <x:c r="N2685" s="120" t="n">
        <x:v>46102.92658564815</x:v>
      </x:c>
      <x:c r="O2685" s="117" t="str">
        <x:v>Delegate</x:v>
      </x:c>
      <x:c r="P2685" s="120" t="n">
        <x:v>46102.92675925926</x:v>
      </x:c>
      <x:c r="Q2685" s="117" t="str">
        <x:v>Delegate</x:v>
      </x:c>
      <x:c r="R2685" s="117" t="str">
        <x:v>Screen Flow: Select IR Assets</x:v>
      </x:c>
      <x:c r="S2685" s="119"/>
    </x:row>
    <x:row r="2686" ht="30" customHeight="1">
      <x:c r="A2686" s="117" t="str">
        <x:v>Screen_Flow_Select_Products_to_Invoice_on_Equipment_Storage_Opps</x:v>
      </x:c>
      <x:c r="B2686" s="117" t="str">
        <x:v>300Ro00000ViqyjIAB</x:v>
      </x:c>
      <x:c r="C2686" s="117" t="str">
        <x:v>301Ro00000Yx1irIAB</x:v>
      </x:c>
      <x:c r="D2686" s="118" t="n">
        <x:v>1</x:v>
      </x:c>
      <x:c r="E2686" s="117" t="str">
        <x:v>InvalidDraft</x:v>
      </x:c>
      <x:c r="F2686" s="117" t="str">
        <x:v>No</x:v>
      </x:c>
      <x:c r="G2686" s="117" t="str">
        <x:v>No</x:v>
      </x:c>
      <x:c r="H2686" s="117" t="str">
        <x:v>Flow</x:v>
      </x:c>
      <x:c r="I2686" s="118" t="n">
        <x:v>63</x:v>
      </x:c>
      <x:c r="J2686" s="117" t="str">
        <x:v>unmanaged</x:v>
      </x:c>
      <x:c r="K2686" s="123" t="b">
        <x:v>0</x:v>
      </x:c>
      <x:c r="L2686" s="117"/>
      <x:c r="M2686" s="118"/>
      <x:c r="N2686" s="120" t="n">
        <x:v>45789.56721064815</x:v>
      </x:c>
      <x:c r="O2686" s="117" t="str">
        <x:v>Delegate</x:v>
      </x:c>
      <x:c r="P2686" s="120" t="n">
        <x:v>45789.56738425926</x:v>
      </x:c>
      <x:c r="Q2686" s="117" t="str">
        <x:v>Delegate</x:v>
      </x:c>
      <x:c r="R2686" s="117" t="str">
        <x:v>Screen Flow | Select Products to Invoice on Equipment Storage Opps</x:v>
      </x:c>
      <x:c r="S2686" s="119" t="str">
        <x:v>04/18/2025 (BW) - Updated the names of the fields in the screen</x:v>
      </x:c>
    </x:row>
    <x:row r="2687" ht="30" customHeight="1">
      <x:c r="A2687" s="117" t="str">
        <x:v>Screen_Flow_Select_Products_to_Invoice_on_Equipment_Storage_Opps</x:v>
      </x:c>
      <x:c r="B2687" s="117" t="str">
        <x:v>300Ro00000ViqyjIAB</x:v>
      </x:c>
      <x:c r="C2687" s="117" t="str">
        <x:v>301Ro00000YwyWXIAZ</x:v>
      </x:c>
      <x:c r="D2687" s="118" t="n">
        <x:v>2</x:v>
      </x:c>
      <x:c r="E2687" s="117" t="str">
        <x:v>Active</x:v>
      </x:c>
      <x:c r="F2687" s="117" t="str">
        <x:v>Yes</x:v>
      </x:c>
      <x:c r="G2687" s="117" t="str">
        <x:v>Yes</x:v>
      </x:c>
      <x:c r="H2687" s="117" t="str">
        <x:v>Flow</x:v>
      </x:c>
      <x:c r="I2687" s="118" t="n">
        <x:v>63</x:v>
      </x:c>
      <x:c r="J2687" s="117" t="str">
        <x:v>unmanaged</x:v>
      </x:c>
      <x:c r="K2687" s="123" t="b">
        <x:v>0</x:v>
      </x:c>
      <x:c r="L2687" s="117"/>
      <x:c r="M2687" s="118"/>
      <x:c r="N2687" s="120" t="n">
        <x:v>45789.578414351854</x:v>
      </x:c>
      <x:c r="O2687" s="117" t="str">
        <x:v>Delegate</x:v>
      </x:c>
      <x:c r="P2687" s="120" t="n">
        <x:v>45789.58305555556</x:v>
      </x:c>
      <x:c r="Q2687" s="117" t="str">
        <x:v>Delegate</x:v>
      </x:c>
      <x:c r="R2687" s="117" t="str">
        <x:v>Screen Flow | Select Products to Invoice on Equipment Storage Opps</x:v>
      </x:c>
      <x:c r="S2687" s="119" t="str">
        <x:v>04/18/2025 (BW) - Updated the names of the fields in the screen</x:v>
      </x:c>
    </x:row>
    <x:row r="2688" ht="30" customHeight="1">
      <x:c r="A2688" s="117" t="str">
        <x:v>Screen_Flow_Update_Classification_From_SA</x:v>
      </x:c>
      <x:c r="B2688" s="117" t="str">
        <x:v>300Ro00000H90tSIAR</x:v>
      </x:c>
      <x:c r="C2688" s="117" t="str">
        <x:v>301Ro00000Io2mHIAR</x:v>
      </x:c>
      <x:c r="D2688" s="118" t="n">
        <x:v>1</x:v>
      </x:c>
      <x:c r="E2688" s="117" t="str">
        <x:v>Active</x:v>
      </x:c>
      <x:c r="F2688" s="117" t="str">
        <x:v>Yes</x:v>
      </x:c>
      <x:c r="G2688" s="117" t="str">
        <x:v>Yes</x:v>
      </x:c>
      <x:c r="H2688" s="117" t="str">
        <x:v>Flow</x:v>
      </x:c>
      <x:c r="I2688" s="118" t="n">
        <x:v>61</x:v>
      </x:c>
      <x:c r="J2688" s="117" t="str">
        <x:v>unmanaged</x:v>
      </x:c>
      <x:c r="K2688" s="123" t="b">
        <x:v>0</x:v>
      </x:c>
      <x:c r="L2688" s="117"/>
      <x:c r="M2688" s="118"/>
      <x:c r="N2688" s="120" t="n">
        <x:v>45514.78525462963</x:v>
      </x:c>
      <x:c r="O2688" s="117" t="str">
        <x:v>Delegate</x:v>
      </x:c>
      <x:c r="P2688" s="120" t="n">
        <x:v>45514.78563657407</x:v>
      </x:c>
      <x:c r="Q2688" s="117" t="str">
        <x:v>Delegate</x:v>
      </x:c>
      <x:c r="R2688" s="117" t="str">
        <x:v>Screen Flow: Update Classification From SA</x:v>
      </x:c>
      <x:c r="S2688" s="119"/>
    </x:row>
    <x:row r="2689" ht="30" customHeight="1">
      <x:c r="A2689" s="117" t="str">
        <x:v>Screen_Flow_Update_Shipping_FIelds</x:v>
      </x:c>
      <x:c r="B2689" s="117" t="str">
        <x:v>300Ro00000GpZycIAF</x:v>
      </x:c>
      <x:c r="C2689" s="117" t="str">
        <x:v>301Ro00000IRql9IAD</x:v>
      </x:c>
      <x:c r="D2689" s="118" t="n">
        <x:v>1</x:v>
      </x:c>
      <x:c r="E2689" s="117" t="str">
        <x:v>Obsolete</x:v>
      </x:c>
      <x:c r="F2689" s="117" t="str">
        <x:v>No</x:v>
      </x:c>
      <x:c r="G2689" s="117" t="str">
        <x:v>No</x:v>
      </x:c>
      <x:c r="H2689" s="117" t="str">
        <x:v>Flow</x:v>
      </x:c>
      <x:c r="I2689" s="118" t="n">
        <x:v>61</x:v>
      </x:c>
      <x:c r="J2689" s="117" t="str">
        <x:v>unmanaged</x:v>
      </x:c>
      <x:c r="K2689" s="123" t="b">
        <x:v>0</x:v>
      </x:c>
      <x:c r="L2689" s="117"/>
      <x:c r="M2689" s="118"/>
      <x:c r="N2689" s="120" t="n">
        <x:v>45510.00653935185</x:v>
      </x:c>
      <x:c r="O2689" s="117" t="str">
        <x:v>Delegate</x:v>
      </x:c>
      <x:c r="P2689" s="120" t="n">
        <x:v>45510.006631944445</x:v>
      </x:c>
      <x:c r="Q2689" s="117" t="str">
        <x:v>Delegate</x:v>
      </x:c>
      <x:c r="R2689" s="117" t="str">
        <x:v>Screen Flow: Update Shipping FIelds</x:v>
      </x:c>
      <x:c r="S2689" s="119"/>
    </x:row>
    <x:row r="2690" ht="30" customHeight="1">
      <x:c r="A2690" s="117" t="str">
        <x:v>Screen_Flow_Update_Shipping_FIelds</x:v>
      </x:c>
      <x:c r="B2690" s="117" t="str">
        <x:v>300Ro00000GpZycIAF</x:v>
      </x:c>
      <x:c r="C2690" s="117" t="str">
        <x:v>301Ro00000ISn3UIAT</x:v>
      </x:c>
      <x:c r="D2690" s="118" t="n">
        <x:v>2</x:v>
      </x:c>
      <x:c r="E2690" s="117" t="str">
        <x:v>Active</x:v>
      </x:c>
      <x:c r="F2690" s="117" t="str">
        <x:v>Yes</x:v>
      </x:c>
      <x:c r="G2690" s="117" t="str">
        <x:v>Yes</x:v>
      </x:c>
      <x:c r="H2690" s="117" t="str">
        <x:v>Flow</x:v>
      </x:c>
      <x:c r="I2690" s="118" t="n">
        <x:v>61</x:v>
      </x:c>
      <x:c r="J2690" s="117" t="str">
        <x:v>unmanaged</x:v>
      </x:c>
      <x:c r="K2690" s="123" t="b">
        <x:v>0</x:v>
      </x:c>
      <x:c r="L2690" s="117"/>
      <x:c r="M2690" s="118"/>
      <x:c r="N2690" s="120" t="n">
        <x:v>45510.241631944446</x:v>
      </x:c>
      <x:c r="O2690" s="117" t="str">
        <x:v>Delegate</x:v>
      </x:c>
      <x:c r="P2690" s="120" t="n">
        <x:v>45510.241689814815</x:v>
      </x:c>
      <x:c r="Q2690" s="117" t="str">
        <x:v>Delegate</x:v>
      </x:c>
      <x:c r="R2690" s="117" t="str">
        <x:v>Screen Flow: Update Shipping FIelds</x:v>
      </x:c>
      <x:c r="S2690" s="119"/>
    </x:row>
    <x:row r="2691" ht="30" customHeight="1">
      <x:c r="A2691" s="117" t="str">
        <x:v>Screen_Work_Order_Asset_Contract_Line_Update</x:v>
      </x:c>
      <x:c r="B2691" s="117" t="str">
        <x:v>300Ro00000U7G8UIAV</x:v>
      </x:c>
      <x:c r="C2691" s="117" t="str">
        <x:v>301Ro00000XCcpoIAD</x:v>
      </x:c>
      <x:c r="D2691" s="118" t="n">
        <x:v>1</x:v>
      </x:c>
      <x:c r="E2691" s="117" t="str">
        <x:v>Active</x:v>
      </x:c>
      <x:c r="F2691" s="117" t="str">
        <x:v>Yes</x:v>
      </x:c>
      <x:c r="G2691" s="117" t="str">
        <x:v>No</x:v>
      </x:c>
      <x:c r="H2691" s="117" t="str">
        <x:v>Flow</x:v>
      </x:c>
      <x:c r="I2691" s="118" t="n">
        <x:v>63</x:v>
      </x:c>
      <x:c r="J2691" s="117" t="str">
        <x:v>unmanaged</x:v>
      </x:c>
      <x:c r="K2691" s="123" t="b">
        <x:v>0</x:v>
      </x:c>
      <x:c r="L2691" s="117"/>
      <x:c r="M2691" s="118"/>
      <x:c r="N2691" s="120" t="n">
        <x:v>45757.876122685186</x:v>
      </x:c>
      <x:c r="O2691" s="117" t="str">
        <x:v>Delegate</x:v>
      </x:c>
      <x:c r="P2691" s="120" t="n">
        <x:v>45757.881203703706</x:v>
      </x:c>
      <x:c r="Q2691" s="117" t="str">
        <x:v>Delegate</x:v>
      </x:c>
      <x:c r="R2691" s="117" t="str">
        <x:v>Screen - Work Order - Asset &amp; Contract Line Update</x:v>
      </x:c>
      <x:c r="S2691" s="119" t="str">
        <x:v>03/24/2025 - Kyle/Delegate - Button to be used on Work Order object to search for related asset associations and easily swap it from one contract line to correct contract line.
04/03/2025 - Kyle/Delegate - Continued updates and testing.
04/10/2025 - Kyle/Delegate - Updates to displayed data table from Sacha's requests</x:v>
      </x:c>
    </x:row>
    <x:row r="2692" ht="30" customHeight="1">
      <x:c r="A2692" s="117" t="str">
        <x:v>Screen_Work_Order_Asset_Contract_Line_Update</x:v>
      </x:c>
      <x:c r="B2692" s="117" t="str">
        <x:v>300Ro00000U7G8UIAV</x:v>
      </x:c>
      <x:c r="C2692" s="117" t="str">
        <x:v>301Ro00000Y7Ko7IAF</x:v>
      </x:c>
      <x:c r="D2692" s="118" t="n">
        <x:v>2</x:v>
      </x:c>
      <x:c r="E2692" s="117" t="str">
        <x:v>Draft</x:v>
      </x:c>
      <x:c r="F2692" s="117" t="str">
        <x:v>No</x:v>
      </x:c>
      <x:c r="G2692" s="117" t="str">
        <x:v>Yes</x:v>
      </x:c>
      <x:c r="H2692" s="117" t="str">
        <x:v>Flow</x:v>
      </x:c>
      <x:c r="I2692" s="118" t="n">
        <x:v>63</x:v>
      </x:c>
      <x:c r="J2692" s="117" t="str">
        <x:v>unmanaged</x:v>
      </x:c>
      <x:c r="K2692" s="123" t="b">
        <x:v>0</x:v>
      </x:c>
      <x:c r="L2692" s="117"/>
      <x:c r="M2692" s="118"/>
      <x:c r="N2692" s="120" t="n">
        <x:v>45775.54914351852</x:v>
      </x:c>
      <x:c r="O2692" s="117" t="str">
        <x:v>Delegate</x:v>
      </x:c>
      <x:c r="P2692" s="120" t="n">
        <x:v>45775.54917824074</x:v>
      </x:c>
      <x:c r="Q2692" s="117" t="str">
        <x:v>Delegate</x:v>
      </x:c>
      <x:c r="R2692" s="117" t="str">
        <x:v>Screen - Work Order - Asset &amp; Contract Line Update</x:v>
      </x:c>
      <x:c r="S2692" s="119" t="str">
        <x:v>03/24/2025 - Kyle/Delegate - Button to be used on Work Order object to search for related asset associations and easily swap it from one contract line to correct contract line.
04/03/2025 - Kyle/Delegate - Continued updates and testing.
04/10/2025 - Kyle/Delegate - Updates to displayed data table from Sacha's requests
04/28/2025 - Kyle - Error handling additions</x:v>
      </x:c>
    </x:row>
    <x:row r="2693" ht="30" customHeight="1">
      <x:c r="A2693" s="117" t="str">
        <x:v>Screen_Work_Order_Create_Tentative_SAs</x:v>
      </x:c>
      <x:c r="B2693" s="117" t="str">
        <x:v>300Ro00000UfjBLIAZ</x:v>
      </x:c>
      <x:c r="C2693" s="117" t="str">
        <x:v>301Ro00000XvhYLIAZ</x:v>
      </x:c>
      <x:c r="D2693" s="118" t="n">
        <x:v>1</x:v>
      </x:c>
      <x:c r="E2693" s="117" t="str">
        <x:v>Active</x:v>
      </x:c>
      <x:c r="F2693" s="117" t="str">
        <x:v>Yes</x:v>
      </x:c>
      <x:c r="G2693" s="117" t="str">
        <x:v>Yes</x:v>
      </x:c>
      <x:c r="H2693" s="117" t="str">
        <x:v>Flow</x:v>
      </x:c>
      <x:c r="I2693" s="118" t="n">
        <x:v>63</x:v>
      </x:c>
      <x:c r="J2693" s="117" t="str">
        <x:v>unmanaged</x:v>
      </x:c>
      <x:c r="K2693" s="123" t="b">
        <x:v>0</x:v>
      </x:c>
      <x:c r="L2693" s="117"/>
      <x:c r="M2693" s="118"/>
      <x:c r="N2693" s="120" t="n">
        <x:v>45771.540659722225</x:v>
      </x:c>
      <x:c r="O2693" s="117" t="str">
        <x:v>Delegate</x:v>
      </x:c>
      <x:c r="P2693" s="120" t="n">
        <x:v>45771.540925925925</x:v>
      </x:c>
      <x:c r="Q2693" s="117" t="str">
        <x:v>Delegate</x:v>
      </x:c>
      <x:c r="R2693" s="117" t="str">
        <x:v>Screen - Work Order - Create Tentative SAs</x:v>
      </x:c>
      <x:c r="S2693" s="119" t="str">
        <x:v>04/17/2025 - Kyle/Delegate - Create placeholder Service Appointments based on Client scheduling needs</x:v>
      </x:c>
    </x:row>
    <x:row r="2694" ht="30" customHeight="1">
      <x:c r="A2694" s="117" t="str">
        <x:v>Scrub_AvaTax_Exception_Code_from_New_Products</x:v>
      </x:c>
      <x:c r="B2694" s="117" t="str">
        <x:v>300Ro00000uulooIAA</x:v>
      </x:c>
      <x:c r="C2694" s="117" t="str">
        <x:v>301Ro000012s2nzIAA</x:v>
      </x:c>
      <x:c r="D2694" s="118" t="n">
        <x:v>1</x:v>
      </x:c>
      <x:c r="E2694" s="117" t="str">
        <x:v>Active</x:v>
      </x:c>
      <x:c r="F2694" s="117" t="str">
        <x:v>Yes</x:v>
      </x:c>
      <x:c r="G2694" s="117" t="str">
        <x:v>Yes</x:v>
      </x:c>
      <x:c r="H2694" s="117" t="str">
        <x:v>AutoLaunchedFlow</x:v>
      </x:c>
      <x:c r="I2694" s="118" t="n">
        <x:v>66</x:v>
      </x:c>
      <x:c r="J2694" s="117" t="str">
        <x:v>unmanaged</x:v>
      </x:c>
      <x:c r="K2694" s="123" t="b">
        <x:v>0</x:v>
      </x:c>
      <x:c r="L2694" s="117"/>
      <x:c r="M2694" s="118"/>
      <x:c r="N2694" s="120" t="n">
        <x:v>46122.62532407408</x:v>
      </x:c>
      <x:c r="O2694" s="117" t="str">
        <x:v>Delegate</x:v>
      </x:c>
      <x:c r="P2694" s="120" t="n">
        <x:v>46122.626979166664</x:v>
      </x:c>
      <x:c r="Q2694" s="117" t="str">
        <x:v>Delegate</x:v>
      </x:c>
      <x:c r="R2694" s="117" t="str">
        <x:v>Scrub AvaTax Exception Code from New Products</x:v>
      </x:c>
      <x:c r="S2694" s="119" t="str">
        <x:v>04/10/2026 (BW) - Ensures Cloned Products do not carry the same exemption codes</x:v>
      </x:c>
    </x:row>
    <x:row r="2695" ht="30" customHeight="1">
      <x:c r="A2695" s="117" t="str">
        <x:v>Search_Contacts_for_Account_Name_Company</x:v>
      </x:c>
      <x:c r="B2695" s="117" t="str">
        <x:v>3000B0000008l9tQAA</x:v>
      </x:c>
      <x:c r="C2695" s="117" t="str">
        <x:v>3010B00000099vBQAQ</x:v>
      </x:c>
      <x:c r="D2695" s="118" t="n">
        <x:v>1</x:v>
      </x:c>
      <x:c r="E2695" s="117" t="str">
        <x:v>Obsolete</x:v>
      </x:c>
      <x:c r="F2695" s="117" t="str">
        <x:v>No</x:v>
      </x:c>
      <x:c r="G2695" s="117" t="str">
        <x:v>Yes</x:v>
      </x:c>
      <x:c r="H2695" s="117" t="str">
        <x:v>AutoLaunchedFlow</x:v>
      </x:c>
      <x:c r="I2695" s="118"/>
      <x:c r="J2695" s="117" t="str">
        <x:v>unmanaged</x:v>
      </x:c>
      <x:c r="K2695" s="123" t="b">
        <x:v>0</x:v>
      </x:c>
      <x:c r="L2695" s="117"/>
      <x:c r="M2695" s="118"/>
      <x:c r="N2695" s="120" t="n">
        <x:v>43314.635787037034</x:v>
      </x:c>
      <x:c r="O2695" s="117" t="str">
        <x:v>Zach Wills</x:v>
      </x:c>
      <x:c r="P2695" s="120" t="n">
        <x:v>43755.24159722222</x:v>
      </x:c>
      <x:c r="Q2695" s="117" t="str">
        <x:v>Jim Bartek</x:v>
      </x:c>
      <x:c r="R2695" s="117" t="str">
        <x:v>Search Contacts for Account Name/Company</x:v>
      </x:c>
      <x:c r="S2695" s="119"/>
    </x:row>
    <x:row r="2696" ht="30" customHeight="1">
      <x:c r="A2696" s="117" t="str">
        <x:v>Search_Contacts_for_New_Lead_Email_Address</x:v>
      </x:c>
      <x:c r="B2696" s="117" t="str">
        <x:v>3000B0000008l2xQAA</x:v>
      </x:c>
      <x:c r="C2696" s="117" t="str">
        <x:v>3010B00000098vPQAQ</x:v>
      </x:c>
      <x:c r="D2696" s="118" t="n">
        <x:v>1</x:v>
      </x:c>
      <x:c r="E2696" s="117" t="str">
        <x:v>Obsolete</x:v>
      </x:c>
      <x:c r="F2696" s="117" t="str">
        <x:v>No</x:v>
      </x:c>
      <x:c r="G2696" s="117" t="str">
        <x:v>No</x:v>
      </x:c>
      <x:c r="H2696" s="117" t="str">
        <x:v>AutoLaunchedFlow</x:v>
      </x:c>
      <x:c r="I2696" s="118"/>
      <x:c r="J2696" s="117" t="str">
        <x:v>unmanaged</x:v>
      </x:c>
      <x:c r="K2696" s="123" t="b">
        <x:v>0</x:v>
      </x:c>
      <x:c r="L2696" s="117"/>
      <x:c r="M2696" s="118"/>
      <x:c r="N2696" s="120" t="n">
        <x:v>43271.853055555555</x:v>
      </x:c>
      <x:c r="O2696" s="117" t="str">
        <x:v>Zach Wills</x:v>
      </x:c>
      <x:c r="P2696" s="120" t="n">
        <x:v>43272.58094907407</x:v>
      </x:c>
      <x:c r="Q2696" s="117" t="str">
        <x:v>Zach Wills</x:v>
      </x:c>
      <x:c r="R2696" s="117" t="str">
        <x:v>Search Contacts for New Lead Email Address</x:v>
      </x:c>
      <x:c r="S2696" s="119"/>
    </x:row>
    <x:row r="2697" ht="30" customHeight="1">
      <x:c r="A2697" s="117" t="str">
        <x:v>Search_Contacts_for_New_Lead_Email_Address</x:v>
      </x:c>
      <x:c r="B2697" s="117" t="str">
        <x:v>3000B0000008l2xQAA</x:v>
      </x:c>
      <x:c r="C2697" s="117" t="str">
        <x:v>3010B00000098xkQAA</x:v>
      </x:c>
      <x:c r="D2697" s="118" t="n">
        <x:v>2</x:v>
      </x:c>
      <x:c r="E2697" s="117" t="str">
        <x:v>Obsolete</x:v>
      </x:c>
      <x:c r="F2697" s="117" t="str">
        <x:v>No</x:v>
      </x:c>
      <x:c r="G2697" s="117" t="str">
        <x:v>No</x:v>
      </x:c>
      <x:c r="H2697" s="117" t="str">
        <x:v>AutoLaunchedFlow</x:v>
      </x:c>
      <x:c r="I2697" s="118"/>
      <x:c r="J2697" s="117" t="str">
        <x:v>unmanaged</x:v>
      </x:c>
      <x:c r="K2697" s="123" t="b">
        <x:v>0</x:v>
      </x:c>
      <x:c r="L2697" s="117"/>
      <x:c r="M2697" s="118"/>
      <x:c r="N2697" s="120" t="n">
        <x:v>43272.60505787037</x:v>
      </x:c>
      <x:c r="O2697" s="117" t="str">
        <x:v>Zach Wills</x:v>
      </x:c>
      <x:c r="P2697" s="120" t="n">
        <x:v>43272.62107638889</x:v>
      </x:c>
      <x:c r="Q2697" s="117" t="str">
        <x:v>Zach Wills</x:v>
      </x:c>
      <x:c r="R2697" s="117" t="str">
        <x:v>Search Contacts for New Lead Email Address</x:v>
      </x:c>
      <x:c r="S2697" s="119"/>
    </x:row>
    <x:row r="2698" ht="30" customHeight="1">
      <x:c r="A2698" s="117" t="str">
        <x:v>Search_Contacts_for_New_Lead_Email_Address</x:v>
      </x:c>
      <x:c r="B2698" s="117" t="str">
        <x:v>3000B0000008l2xQAA</x:v>
      </x:c>
      <x:c r="C2698" s="117" t="str">
        <x:v>3010B00000098xuQAA</x:v>
      </x:c>
      <x:c r="D2698" s="118" t="n">
        <x:v>3</x:v>
      </x:c>
      <x:c r="E2698" s="117" t="str">
        <x:v>Obsolete</x:v>
      </x:c>
      <x:c r="F2698" s="117" t="str">
        <x:v>No</x:v>
      </x:c>
      <x:c r="G2698" s="117" t="str">
        <x:v>No</x:v>
      </x:c>
      <x:c r="H2698" s="117" t="str">
        <x:v>AutoLaunchedFlow</x:v>
      </x:c>
      <x:c r="I2698" s="118"/>
      <x:c r="J2698" s="117" t="str">
        <x:v>unmanaged</x:v>
      </x:c>
      <x:c r="K2698" s="123" t="b">
        <x:v>0</x:v>
      </x:c>
      <x:c r="L2698" s="117"/>
      <x:c r="M2698" s="118"/>
      <x:c r="N2698" s="120" t="n">
        <x:v>43272.620983796296</x:v>
      </x:c>
      <x:c r="O2698" s="117" t="str">
        <x:v>Zach Wills</x:v>
      </x:c>
      <x:c r="P2698" s="120" t="n">
        <x:v>43273.519849537035</x:v>
      </x:c>
      <x:c r="Q2698" s="117" t="str">
        <x:v>Zach Wills</x:v>
      </x:c>
      <x:c r="R2698" s="117" t="str">
        <x:v>Search Contacts for New Lead Email Address</x:v>
      </x:c>
      <x:c r="S2698" s="119"/>
    </x:row>
    <x:row r="2699" ht="30" customHeight="1">
      <x:c r="A2699" s="117" t="str">
        <x:v>Search_Contacts_for_New_Lead_Email_Address</x:v>
      </x:c>
      <x:c r="B2699" s="117" t="str">
        <x:v>3000B0000008l2xQAA</x:v>
      </x:c>
      <x:c r="C2699" s="117" t="str">
        <x:v>3010B00000099ojQAA</x:v>
      </x:c>
      <x:c r="D2699" s="118" t="n">
        <x:v>4</x:v>
      </x:c>
      <x:c r="E2699" s="117" t="str">
        <x:v>Obsolete</x:v>
      </x:c>
      <x:c r="F2699" s="117" t="str">
        <x:v>No</x:v>
      </x:c>
      <x:c r="G2699" s="117" t="str">
        <x:v>Yes</x:v>
      </x:c>
      <x:c r="H2699" s="117" t="str">
        <x:v>AutoLaunchedFlow</x:v>
      </x:c>
      <x:c r="I2699" s="118"/>
      <x:c r="J2699" s="117" t="str">
        <x:v>unmanaged</x:v>
      </x:c>
      <x:c r="K2699" s="123" t="b">
        <x:v>0</x:v>
      </x:c>
      <x:c r="L2699" s="117"/>
      <x:c r="M2699" s="118"/>
      <x:c r="N2699" s="120" t="n">
        <x:v>43312.72699074074</x:v>
      </x:c>
      <x:c r="O2699" s="117" t="str">
        <x:v>Zach Wills</x:v>
      </x:c>
      <x:c r="P2699" s="120" t="n">
        <x:v>43755.241875</x:v>
      </x:c>
      <x:c r="Q2699" s="117" t="str">
        <x:v>Jim Bartek</x:v>
      </x:c>
      <x:c r="R2699" s="117" t="str">
        <x:v>Search Contacts for New Lead Email Address</x:v>
      </x:c>
      <x:c r="S2699" s="119"/>
    </x:row>
    <x:row r="2700" ht="30" customHeight="1">
      <x:c r="A2700" s="117" t="str">
        <x:v>Search_Contacts_for_Phone_Number</x:v>
      </x:c>
      <x:c r="B2700" s="117" t="str">
        <x:v>3000B0000008l9oQAA</x:v>
      </x:c>
      <x:c r="C2700" s="117" t="str">
        <x:v>3010B00000099v6QAA</x:v>
      </x:c>
      <x:c r="D2700" s="118" t="n">
        <x:v>1</x:v>
      </x:c>
      <x:c r="E2700" s="117" t="str">
        <x:v>Obsolete</x:v>
      </x:c>
      <x:c r="F2700" s="117" t="str">
        <x:v>No</x:v>
      </x:c>
      <x:c r="G2700" s="117" t="str">
        <x:v>Yes</x:v>
      </x:c>
      <x:c r="H2700" s="117" t="str">
        <x:v>AutoLaunchedFlow</x:v>
      </x:c>
      <x:c r="I2700" s="118"/>
      <x:c r="J2700" s="117" t="str">
        <x:v>unmanaged</x:v>
      </x:c>
      <x:c r="K2700" s="123" t="b">
        <x:v>0</x:v>
      </x:c>
      <x:c r="L2700" s="117"/>
      <x:c r="M2700" s="118"/>
      <x:c r="N2700" s="120" t="n">
        <x:v>43314.63172453704</x:v>
      </x:c>
      <x:c r="O2700" s="117" t="str">
        <x:v>Zach Wills</x:v>
      </x:c>
      <x:c r="P2700" s="120" t="n">
        <x:v>43755.24197916667</x:v>
      </x:c>
      <x:c r="Q2700" s="117" t="str">
        <x:v>Jim Bartek</x:v>
      </x:c>
      <x:c r="R2700" s="117" t="str">
        <x:v>Search Contacts for Phone Number</x:v>
      </x:c>
      <x:c r="S2700" s="119"/>
    </x:row>
    <x:row r="2701" ht="30" customHeight="1">
      <x:c r="A2701" s="117" t="str">
        <x:v>SelectRecommendedRepairs</x:v>
      </x:c>
      <x:c r="B2701" s="117" t="str">
        <x:v>300Ro00000ugDlfIAE</x:v>
      </x:c>
      <x:c r="C2701" s="117" t="str">
        <x:v>301Ro000012cJEVIA2</x:v>
      </x:c>
      <x:c r="D2701" s="118" t="n">
        <x:v>1</x:v>
      </x:c>
      <x:c r="E2701" s="117" t="str">
        <x:v>Active</x:v>
      </x:c>
      <x:c r="F2701" s="117" t="str">
        <x:v>Yes</x:v>
      </x:c>
      <x:c r="G2701" s="117" t="str">
        <x:v>Yes</x:v>
      </x:c>
      <x:c r="H2701" s="117" t="str">
        <x:v>Flow</x:v>
      </x:c>
      <x:c r="I2701" s="118" t="n">
        <x:v>65</x:v>
      </x:c>
      <x:c r="J2701" s="117" t="str">
        <x:v>unmanaged</x:v>
      </x:c>
      <x:c r="K2701" s="123" t="b">
        <x:v>0</x:v>
      </x:c>
      <x:c r="L2701" s="117"/>
      <x:c r="M2701" s="118"/>
      <x:c r="N2701" s="120" t="n">
        <x:v>46120.187256944446</x:v>
      </x:c>
      <x:c r="O2701" s="117" t="str">
        <x:v>Natalie Boger</x:v>
      </x:c>
      <x:c r="P2701" s="120" t="n">
        <x:v>46120.21409722222</x:v>
      </x:c>
      <x:c r="Q2701" s="117" t="str">
        <x:v>Natalie Boger</x:v>
      </x:c>
      <x:c r="R2701" s="117" t="str">
        <x:v>SelectRecommendedRepairs</x:v>
      </x:c>
      <x:c r="S2701" s="119" t="str">
        <x:v>on Evaluation</x:v>
      </x:c>
    </x:row>
    <x:row r="2702" ht="30" customHeight="1">
      <x:c r="A2702" s="117" t="str">
        <x:v>Send_Account_Update_Email</x:v>
      </x:c>
      <x:c r="B2702" s="117" t="str">
        <x:v>300Ro00000kKs8NIAS</x:v>
      </x:c>
      <x:c r="C2702" s="117" t="str">
        <x:v>301Ro00000rhIphIAE</x:v>
      </x:c>
      <x:c r="D2702" s="118" t="n">
        <x:v>1</x:v>
      </x:c>
      <x:c r="E2702" s="117" t="str">
        <x:v>Draft</x:v>
      </x:c>
      <x:c r="F2702" s="117" t="str">
        <x:v>No</x:v>
      </x:c>
      <x:c r="G2702" s="117" t="str">
        <x:v>Yes</x:v>
      </x:c>
      <x:c r="H2702" s="117" t="str">
        <x:v>AutoLaunchedFlow</x:v>
      </x:c>
      <x:c r="I2702" s="118" t="n">
        <x:v>64</x:v>
      </x:c>
      <x:c r="J2702" s="117" t="str">
        <x:v>installed</x:v>
      </x:c>
      <x:c r="K2702" s="123" t="b">
        <x:v>0</x:v>
      </x:c>
      <x:c r="L2702" s="117"/>
      <x:c r="M2702" s="118"/>
      <x:c r="N2702" s="120" t="n">
        <x:v>45965.9774537037</x:v>
      </x:c>
      <x:c r="O2702" s="117" t="str"/>
      <x:c r="P2702" s="120" t="n">
        <x:v>45965.9777662037</x:v>
      </x:c>
      <x:c r="Q2702" s="117" t="str"/>
      <x:c r="R2702" s="117" t="str">
        <x:v>Send Account Update Email</x:v>
      </x:c>
      <x:c r="S2702" s="119" t="str">
        <x:v>Send account update email</x:v>
      </x:c>
    </x:row>
    <x:row r="2703" ht="30" customHeight="1">
      <x:c r="A2703" s="117" t="str">
        <x:v>Send_Better_Email_Testflow</x:v>
      </x:c>
      <x:c r="B2703" s="117" t="str">
        <x:v>3005b000000LJFiAAO</x:v>
      </x:c>
      <x:c r="C2703" s="117" t="str">
        <x:v>3015b000000AOYOAA4</x:v>
      </x:c>
      <x:c r="D2703" s="118" t="n">
        <x:v>1</x:v>
      </x:c>
      <x:c r="E2703" s="117" t="str">
        <x:v>Active</x:v>
      </x:c>
      <x:c r="F2703" s="117" t="str">
        <x:v>Yes</x:v>
      </x:c>
      <x:c r="G2703" s="117" t="str">
        <x:v>Yes</x:v>
      </x:c>
      <x:c r="H2703" s="117" t="str">
        <x:v>Flow</x:v>
      </x:c>
      <x:c r="I2703" s="118" t="n">
        <x:v>49</x:v>
      </x:c>
      <x:c r="J2703" s="117" t="str">
        <x:v>unmanaged</x:v>
      </x:c>
      <x:c r="K2703" s="123" t="b">
        <x:v>0</x:v>
      </x:c>
      <x:c r="L2703" s="117"/>
      <x:c r="M2703" s="118"/>
      <x:c r="N2703" s="120" t="n">
        <x:v>45127.7703587963</x:v>
      </x:c>
      <x:c r="O2703" s="117" t="str">
        <x:v>Jace Gentil</x:v>
      </x:c>
      <x:c r="P2703" s="120" t="n">
        <x:v>45127.77054398148</x:v>
      </x:c>
      <x:c r="Q2703" s="117" t="str">
        <x:v>Jace Gentil</x:v>
      </x:c>
      <x:c r="R2703" s="117" t="str">
        <x:v>Send Better Email Testflow</x:v>
      </x:c>
      <x:c r="S2703" s="119" t="str">
        <x:v>A series of 5 examples for testing and demonstrating Send Better Email Action Component</x:v>
      </x:c>
    </x:row>
    <x:row r="2704" ht="30" customHeight="1">
      <x:c r="A2704" s="117" t="str">
        <x:v>Send_Credit_Memo_PDF_to_Customer</x:v>
      </x:c>
      <x:c r="B2704" s="117" t="str">
        <x:v>300Ro00000nZYx4IAG</x:v>
      </x:c>
      <x:c r="C2704" s="117" t="str">
        <x:v>301Ro00000uzPMIIA2</x:v>
      </x:c>
      <x:c r="D2704" s="118" t="n">
        <x:v>1</x:v>
      </x:c>
      <x:c r="E2704" s="117" t="str">
        <x:v>Obsolete</x:v>
      </x:c>
      <x:c r="F2704" s="117" t="str">
        <x:v>No</x:v>
      </x:c>
      <x:c r="G2704" s="117" t="str">
        <x:v>No</x:v>
      </x:c>
      <x:c r="H2704" s="117" t="str">
        <x:v>AutoLaunchedFlow</x:v>
      </x:c>
      <x:c r="I2704" s="118" t="n">
        <x:v>65</x:v>
      </x:c>
      <x:c r="J2704" s="117" t="str">
        <x:v>unmanaged</x:v>
      </x:c>
      <x:c r="K2704" s="123" t="b">
        <x:v>0</x:v>
      </x:c>
      <x:c r="L2704" s="117"/>
      <x:c r="M2704" s="118"/>
      <x:c r="N2704" s="120" t="n">
        <x:v>46022.99810185185</x:v>
      </x:c>
      <x:c r="O2704" s="117" t="str">
        <x:v>Delegate</x:v>
      </x:c>
      <x:c r="P2704" s="120" t="n">
        <x:v>46023.00021990741</x:v>
      </x:c>
      <x:c r="Q2704" s="117" t="str">
        <x:v>Delegate</x:v>
      </x:c>
      <x:c r="R2704" s="117" t="str">
        <x:v>Send Credit Memo PDF to Customer</x:v>
      </x:c>
      <x:c r="S2704" s="119" t="str">
        <x:v>12/31/2025 (BW) - Updated the flow to not run if the Don't Send to Client is checkmarked</x:v>
      </x:c>
    </x:row>
    <x:row r="2705" ht="30" customHeight="1">
      <x:c r="A2705" s="117" t="str">
        <x:v>Send_Credit_Memo_PDF_to_Customer</x:v>
      </x:c>
      <x:c r="B2705" s="117" t="str">
        <x:v>300Ro00000nZYx4IAG</x:v>
      </x:c>
      <x:c r="C2705" s="117" t="str">
        <x:v>301Ro00000v2gS9IAI</x:v>
      </x:c>
      <x:c r="D2705" s="118" t="n">
        <x:v>2</x:v>
      </x:c>
      <x:c r="E2705" s="117" t="str">
        <x:v>Obsolete</x:v>
      </x:c>
      <x:c r="F2705" s="117" t="str">
        <x:v>No</x:v>
      </x:c>
      <x:c r="G2705" s="117" t="str">
        <x:v>No</x:v>
      </x:c>
      <x:c r="H2705" s="117" t="str">
        <x:v>AutoLaunchedFlow</x:v>
      </x:c>
      <x:c r="I2705" s="118" t="n">
        <x:v>65</x:v>
      </x:c>
      <x:c r="J2705" s="117" t="str">
        <x:v>unmanaged</x:v>
      </x:c>
      <x:c r="K2705" s="123" t="b">
        <x:v>0</x:v>
      </x:c>
      <x:c r="L2705" s="117"/>
      <x:c r="M2705" s="118"/>
      <x:c r="N2705" s="120" t="n">
        <x:v>46024.638287037036</x:v>
      </x:c>
      <x:c r="O2705" s="117" t="str">
        <x:v>Delegate</x:v>
      </x:c>
      <x:c r="P2705" s="120" t="n">
        <x:v>46024.63835648148</x:v>
      </x:c>
      <x:c r="Q2705" s="117" t="str">
        <x:v>Delegate</x:v>
      </x:c>
      <x:c r="R2705" s="117" t="str">
        <x:v>Send Credit Memo PDF to Customer</x:v>
      </x:c>
      <x:c r="S2705" s="119" t="str">
        <x:v>12/31/2025 (BW) - Updated the flow to not run if the Don't Send to Client is checkmarked</x:v>
      </x:c>
    </x:row>
    <x:row r="2706" ht="30" customHeight="1">
      <x:c r="A2706" s="117" t="str">
        <x:v>Send_Credit_Memo_PDF_to_Customer</x:v>
      </x:c>
      <x:c r="B2706" s="117" t="str">
        <x:v>300Ro00000nZYx4IAG</x:v>
      </x:c>
      <x:c r="C2706" s="117" t="str">
        <x:v>301Ro00000vLbyDIAS</x:v>
      </x:c>
      <x:c r="D2706" s="118" t="n">
        <x:v>3</x:v>
      </x:c>
      <x:c r="E2706" s="117" t="str">
        <x:v>Active</x:v>
      </x:c>
      <x:c r="F2706" s="117" t="str">
        <x:v>Yes</x:v>
      </x:c>
      <x:c r="G2706" s="117" t="str">
        <x:v>Yes</x:v>
      </x:c>
      <x:c r="H2706" s="117" t="str">
        <x:v>AutoLaunchedFlow</x:v>
      </x:c>
      <x:c r="I2706" s="118" t="n">
        <x:v>65</x:v>
      </x:c>
      <x:c r="J2706" s="117" t="str">
        <x:v>unmanaged</x:v>
      </x:c>
      <x:c r="K2706" s="123" t="b">
        <x:v>0</x:v>
      </x:c>
      <x:c r="L2706" s="117"/>
      <x:c r="M2706" s="118"/>
      <x:c r="N2706" s="120" t="n">
        <x:v>46030.60392361111</x:v>
      </x:c>
      <x:c r="O2706" s="117" t="str">
        <x:v>Delegate</x:v>
      </x:c>
      <x:c r="P2706" s="120" t="n">
        <x:v>46030.60400462963</x:v>
      </x:c>
      <x:c r="Q2706" s="117" t="str">
        <x:v>Delegate</x:v>
      </x:c>
      <x:c r="R2706" s="117" t="str">
        <x:v>Send Credit Memo PDF to Customer</x:v>
      </x:c>
      <x:c r="S2706" s="119" t="str">
        <x:v>01/08/2026 (BW) - Updated the contact for Credit Memo Sending</x:v>
      </x:c>
    </x:row>
    <x:row r="2707" ht="30" customHeight="1">
      <x:c r="A2707" s="117" t="str">
        <x:v>Send_Email_For_Automated_Bundling_Failures</x:v>
      </x:c>
      <x:c r="B2707" s="117" t="str">
        <x:v>300Ro00000H8rdKIAR</x:v>
      </x:c>
      <x:c r="C2707" s="117" t="str">
        <x:v>301Ro00000InqG4IAJ</x:v>
      </x:c>
      <x:c r="D2707" s="118" t="n">
        <x:v>10</x:v>
      </x:c>
      <x:c r="E2707" s="117" t="str">
        <x:v>Draft</x:v>
      </x:c>
      <x:c r="F2707" s="117" t="str">
        <x:v>No</x:v>
      </x:c>
      <x:c r="G2707" s="117" t="str">
        <x:v>Yes</x:v>
      </x:c>
      <x:c r="H2707" s="117" t="str">
        <x:v>AutoLaunchedFlow</x:v>
      </x:c>
      <x:c r="I2707" s="118" t="n">
        <x:v>59</x:v>
      </x:c>
      <x:c r="J2707" s="117" t="str">
        <x:v>installed</x:v>
      </x:c>
      <x:c r="K2707" s="123" t="b">
        <x:v>1</x:v>
      </x:c>
      <x:c r="L2707" s="117"/>
      <x:c r="M2707" s="118"/>
      <x:c r="N2707" s="120" t="n">
        <x:v>45514.643229166664</x:v>
      </x:c>
      <x:c r="O2707" s="117" t="str">
        <x:v>Delegate</x:v>
      </x:c>
      <x:c r="P2707" s="120" t="n">
        <x:v>45703.39630787037</x:v>
      </x:c>
      <x:c r="Q2707" s="117" t="str"/>
      <x:c r="R2707" s="117" t="str">
        <x:v>Send Email For Automated Bundling Failures</x:v>
      </x:c>
      <x:c r="S2707" s="119" t="str">
        <x:v>Sends an email to the Field Service admin to notify them about failed Automated Bundling optimization requests.</x:v>
      </x:c>
    </x:row>
    <x:row r="2708" ht="30" customHeight="1">
      <x:c r="A2708" s="117" t="str">
        <x:v>Send_email_with_attachment_shipment</x:v>
      </x:c>
      <x:c r="B2708" s="117" t="str">
        <x:v>3005b000000H3vUAAS</x:v>
      </x:c>
      <x:c r="C2708" s="117" t="str">
        <x:v>3015b000000EKBpAAO</x:v>
      </x:c>
      <x:c r="D2708" s="118" t="n">
        <x:v>1</x:v>
      </x:c>
      <x:c r="E2708" s="117" t="str">
        <x:v>Obsolete</x:v>
      </x:c>
      <x:c r="F2708" s="117" t="str">
        <x:v>No</x:v>
      </x:c>
      <x:c r="G2708" s="117" t="str">
        <x:v>No</x:v>
      </x:c>
      <x:c r="H2708" s="117" t="str">
        <x:v>AutoLaunchedFlow</x:v>
      </x:c>
      <x:c r="I2708" s="118" t="n">
        <x:v>54</x:v>
      </x:c>
      <x:c r="J2708" s="117" t="str">
        <x:v>unmanaged</x:v>
      </x:c>
      <x:c r="K2708" s="123" t="b">
        <x:v>0</x:v>
      </x:c>
      <x:c r="L2708" s="117"/>
      <x:c r="M2708" s="118"/>
      <x:c r="N2708" s="120" t="n">
        <x:v>44721.16662037037</x:v>
      </x:c>
      <x:c r="O2708" s="117" t="str">
        <x:v>Natalie Boger</x:v>
      </x:c>
      <x:c r="P2708" s="120" t="n">
        <x:v>44721.171273148146</x:v>
      </x:c>
      <x:c r="Q2708" s="117" t="str">
        <x:v>Natalie Boger</x:v>
      </x:c>
      <x:c r="R2708" s="117" t="str">
        <x:v>Send email with attachment - shipment</x:v>
      </x:c>
      <x:c r="S2708" s="119" t="str">
        <x:v>based on record update</x:v>
      </x:c>
    </x:row>
    <x:row r="2709" ht="30" customHeight="1">
      <x:c r="A2709" s="117" t="str">
        <x:v>Send_email_with_attachment_shipment</x:v>
      </x:c>
      <x:c r="B2709" s="117" t="str">
        <x:v>3005b000000H3vUAAS</x:v>
      </x:c>
      <x:c r="C2709" s="117" t="str">
        <x:v>3015b000000EKdTAAW</x:v>
      </x:c>
      <x:c r="D2709" s="118" t="n">
        <x:v>2</x:v>
      </x:c>
      <x:c r="E2709" s="117" t="str">
        <x:v>Obsolete</x:v>
      </x:c>
      <x:c r="F2709" s="117" t="str">
        <x:v>No</x:v>
      </x:c>
      <x:c r="G2709" s="117" t="str">
        <x:v>No</x:v>
      </x:c>
      <x:c r="H2709" s="117" t="str">
        <x:v>AutoLaunchedFlow</x:v>
      </x:c>
      <x:c r="I2709" s="118" t="n">
        <x:v>54</x:v>
      </x:c>
      <x:c r="J2709" s="117" t="str">
        <x:v>unmanaged</x:v>
      </x:c>
      <x:c r="K2709" s="123" t="b">
        <x:v>0</x:v>
      </x:c>
      <x:c r="L2709" s="117"/>
      <x:c r="M2709" s="118"/>
      <x:c r="N2709" s="120" t="n">
        <x:v>44742.06438657407</x:v>
      </x:c>
      <x:c r="O2709" s="117" t="str">
        <x:v>Natalie Boger</x:v>
      </x:c>
      <x:c r="P2709" s="120" t="n">
        <x:v>44742.06443287037</x:v>
      </x:c>
      <x:c r="Q2709" s="117" t="str">
        <x:v>Natalie Boger</x:v>
      </x:c>
      <x:c r="R2709" s="117" t="str">
        <x:v>Send email with attachment - shipment</x:v>
      </x:c>
      <x:c r="S2709" s="119" t="str">
        <x:v>based on record update</x:v>
      </x:c>
    </x:row>
    <x:row r="2710" ht="30" customHeight="1">
      <x:c r="A2710" s="117" t="str">
        <x:v>Send_email_with_attachment_shipment</x:v>
      </x:c>
      <x:c r="B2710" s="117" t="str">
        <x:v>3005b000000H3vUAAS</x:v>
      </x:c>
      <x:c r="C2710" s="117" t="str">
        <x:v>3015b000000EKfjAAG</x:v>
      </x:c>
      <x:c r="D2710" s="118" t="n">
        <x:v>3</x:v>
      </x:c>
      <x:c r="E2710" s="117" t="str">
        <x:v>Obsolete</x:v>
      </x:c>
      <x:c r="F2710" s="117" t="str">
        <x:v>No</x:v>
      </x:c>
      <x:c r="G2710" s="117" t="str">
        <x:v>No</x:v>
      </x:c>
      <x:c r="H2710" s="117" t="str">
        <x:v>AutoLaunchedFlow</x:v>
      </x:c>
      <x:c r="I2710" s="118" t="n">
        <x:v>54</x:v>
      </x:c>
      <x:c r="J2710" s="117" t="str">
        <x:v>unmanaged</x:v>
      </x:c>
      <x:c r="K2710" s="123" t="b">
        <x:v>0</x:v>
      </x:c>
      <x:c r="L2710" s="117"/>
      <x:c r="M2710" s="118"/>
      <x:c r="N2710" s="120" t="n">
        <x:v>44748.744375</x:v>
      </x:c>
      <x:c r="O2710" s="117" t="str">
        <x:v>Natalie Boger</x:v>
      </x:c>
      <x:c r="P2710" s="120" t="n">
        <x:v>44748.773368055554</x:v>
      </x:c>
      <x:c r="Q2710" s="117" t="str">
        <x:v>Natalie Boger</x:v>
      </x:c>
      <x:c r="R2710" s="117" t="str">
        <x:v>Send email with attachment - shipment</x:v>
      </x:c>
      <x:c r="S2710" s="119" t="str">
        <x:v>based on record update</x:v>
      </x:c>
    </x:row>
    <x:row r="2711" ht="30" customHeight="1">
      <x:c r="A2711" s="117" t="str">
        <x:v>Send_email_with_attachment_shipment</x:v>
      </x:c>
      <x:c r="B2711" s="117" t="str">
        <x:v>3005b000000H3vUAAS</x:v>
      </x:c>
      <x:c r="C2711" s="117" t="str">
        <x:v>3015b000000EKftAAG</x:v>
      </x:c>
      <x:c r="D2711" s="118" t="n">
        <x:v>4</x:v>
      </x:c>
      <x:c r="E2711" s="117" t="str">
        <x:v>Obsolete</x:v>
      </x:c>
      <x:c r="F2711" s="117" t="str">
        <x:v>No</x:v>
      </x:c>
      <x:c r="G2711" s="117" t="str">
        <x:v>No</x:v>
      </x:c>
      <x:c r="H2711" s="117" t="str">
        <x:v>AutoLaunchedFlow</x:v>
      </x:c>
      <x:c r="I2711" s="118" t="n">
        <x:v>54</x:v>
      </x:c>
      <x:c r="J2711" s="117" t="str">
        <x:v>unmanaged</x:v>
      </x:c>
      <x:c r="K2711" s="123" t="b">
        <x:v>0</x:v>
      </x:c>
      <x:c r="L2711" s="117"/>
      <x:c r="M2711" s="118"/>
      <x:c r="N2711" s="120" t="n">
        <x:v>44748.788993055554</x:v>
      </x:c>
      <x:c r="O2711" s="117" t="str">
        <x:v>Natalie Boger</x:v>
      </x:c>
      <x:c r="P2711" s="120" t="n">
        <x:v>44748.78905092592</x:v>
      </x:c>
      <x:c r="Q2711" s="117" t="str">
        <x:v>Natalie Boger</x:v>
      </x:c>
      <x:c r="R2711" s="117" t="str">
        <x:v>Send email with attachment - shipment</x:v>
      </x:c>
      <x:c r="S2711" s="119" t="str">
        <x:v>based on record update</x:v>
      </x:c>
    </x:row>
    <x:row r="2712" ht="30" customHeight="1">
      <x:c r="A2712" s="117" t="str">
        <x:v>Send_email_with_attachment_shipment</x:v>
      </x:c>
      <x:c r="B2712" s="117" t="str">
        <x:v>3005b000000H3vUAAS</x:v>
      </x:c>
      <x:c r="C2712" s="117" t="str">
        <x:v>3015b000000EKgnAAG</x:v>
      </x:c>
      <x:c r="D2712" s="118" t="n">
        <x:v>5</x:v>
      </x:c>
      <x:c r="E2712" s="117" t="str">
        <x:v>Obsolete</x:v>
      </x:c>
      <x:c r="F2712" s="117" t="str">
        <x:v>No</x:v>
      </x:c>
      <x:c r="G2712" s="117" t="str">
        <x:v>No</x:v>
      </x:c>
      <x:c r="H2712" s="117" t="str">
        <x:v>AutoLaunchedFlow</x:v>
      </x:c>
      <x:c r="I2712" s="118" t="n">
        <x:v>54</x:v>
      </x:c>
      <x:c r="J2712" s="117" t="str">
        <x:v>unmanaged</x:v>
      </x:c>
      <x:c r="K2712" s="123" t="b">
        <x:v>0</x:v>
      </x:c>
      <x:c r="L2712" s="117"/>
      <x:c r="M2712" s="118"/>
      <x:c r="N2712" s="120" t="n">
        <x:v>44748.85356481482</x:v>
      </x:c>
      <x:c r="O2712" s="117" t="str">
        <x:v>Natalie Boger</x:v>
      </x:c>
      <x:c r="P2712" s="120" t="n">
        <x:v>44748.85358796296</x:v>
      </x:c>
      <x:c r="Q2712" s="117" t="str">
        <x:v>Natalie Boger</x:v>
      </x:c>
      <x:c r="R2712" s="117" t="str">
        <x:v>Send email with attachment - shipment</x:v>
      </x:c>
      <x:c r="S2712" s="119" t="str">
        <x:v>based on record update</x:v>
      </x:c>
    </x:row>
    <x:row r="2713" ht="30" customHeight="1">
      <x:c r="A2713" s="117" t="str">
        <x:v>Send_email_with_attachment_shipment</x:v>
      </x:c>
      <x:c r="B2713" s="117" t="str">
        <x:v>3005b000000H3vUAAS</x:v>
      </x:c>
      <x:c r="C2713" s="117" t="str">
        <x:v>3015b000000EKwBAAW</x:v>
      </x:c>
      <x:c r="D2713" s="118" t="n">
        <x:v>6</x:v>
      </x:c>
      <x:c r="E2713" s="117" t="str">
        <x:v>Obsolete</x:v>
      </x:c>
      <x:c r="F2713" s="117" t="str">
        <x:v>No</x:v>
      </x:c>
      <x:c r="G2713" s="117" t="str">
        <x:v>No</x:v>
      </x:c>
      <x:c r="H2713" s="117" t="str">
        <x:v>AutoLaunchedFlow</x:v>
      </x:c>
      <x:c r="I2713" s="118" t="n">
        <x:v>54</x:v>
      </x:c>
      <x:c r="J2713" s="117" t="str">
        <x:v>unmanaged</x:v>
      </x:c>
      <x:c r="K2713" s="123" t="b">
        <x:v>0</x:v>
      </x:c>
      <x:c r="L2713" s="117"/>
      <x:c r="M2713" s="118"/>
      <x:c r="N2713" s="120" t="n">
        <x:v>44757.08356481481</x:v>
      </x:c>
      <x:c r="O2713" s="117" t="str">
        <x:v>Natalie Boger</x:v>
      </x:c>
      <x:c r="P2713" s="120" t="n">
        <x:v>44757.083599537036</x:v>
      </x:c>
      <x:c r="Q2713" s="117" t="str">
        <x:v>Natalie Boger</x:v>
      </x:c>
      <x:c r="R2713" s="117" t="str">
        <x:v>Send email with attachment - shipment</x:v>
      </x:c>
      <x:c r="S2713" s="119" t="str">
        <x:v>based on record update</x:v>
      </x:c>
    </x:row>
    <x:row r="2714" ht="30" customHeight="1">
      <x:c r="A2714" s="117" t="str">
        <x:v>Send_email_with_attachment_shipment</x:v>
      </x:c>
      <x:c r="B2714" s="117" t="str">
        <x:v>3005b000000H3vUAAS</x:v>
      </x:c>
      <x:c r="C2714" s="117" t="str">
        <x:v>3015b000000EKyWAAW</x:v>
      </x:c>
      <x:c r="D2714" s="118" t="n">
        <x:v>7</x:v>
      </x:c>
      <x:c r="E2714" s="117" t="str">
        <x:v>Obsolete</x:v>
      </x:c>
      <x:c r="F2714" s="117" t="str">
        <x:v>No</x:v>
      </x:c>
      <x:c r="G2714" s="117" t="str">
        <x:v>No</x:v>
      </x:c>
      <x:c r="H2714" s="117" t="str">
        <x:v>AutoLaunchedFlow</x:v>
      </x:c>
      <x:c r="I2714" s="118" t="n">
        <x:v>54</x:v>
      </x:c>
      <x:c r="J2714" s="117" t="str">
        <x:v>unmanaged</x:v>
      </x:c>
      <x:c r="K2714" s="123" t="b">
        <x:v>0</x:v>
      </x:c>
      <x:c r="L2714" s="117"/>
      <x:c r="M2714" s="118"/>
      <x:c r="N2714" s="120" t="n">
        <x:v>44761.762766203705</x:v>
      </x:c>
      <x:c r="O2714" s="117" t="str">
        <x:v>Natalie Boger</x:v>
      </x:c>
      <x:c r="P2714" s="120" t="n">
        <x:v>44761.76280092593</x:v>
      </x:c>
      <x:c r="Q2714" s="117" t="str">
        <x:v>Natalie Boger</x:v>
      </x:c>
      <x:c r="R2714" s="117" t="str">
        <x:v>Send email with attachment - shipment</x:v>
      </x:c>
      <x:c r="S2714" s="119" t="str">
        <x:v>based on record update</x:v>
      </x:c>
    </x:row>
    <x:row r="2715" ht="30" customHeight="1">
      <x:c r="A2715" s="117" t="str">
        <x:v>Send_email_with_attachment_shipment</x:v>
      </x:c>
      <x:c r="B2715" s="117" t="str">
        <x:v>3005b000000H3vUAAS</x:v>
      </x:c>
      <x:c r="C2715" s="117" t="str">
        <x:v>3015b000000A6VIAA0</x:v>
      </x:c>
      <x:c r="D2715" s="118" t="n">
        <x:v>8</x:v>
      </x:c>
      <x:c r="E2715" s="117" t="str">
        <x:v>Obsolete</x:v>
      </x:c>
      <x:c r="F2715" s="117" t="str">
        <x:v>No</x:v>
      </x:c>
      <x:c r="G2715" s="117" t="str">
        <x:v>No</x:v>
      </x:c>
      <x:c r="H2715" s="117" t="str">
        <x:v>AutoLaunchedFlow</x:v>
      </x:c>
      <x:c r="I2715" s="118" t="n">
        <x:v>54</x:v>
      </x:c>
      <x:c r="J2715" s="117" t="str">
        <x:v>unmanaged</x:v>
      </x:c>
      <x:c r="K2715" s="123" t="b">
        <x:v>0</x:v>
      </x:c>
      <x:c r="L2715" s="117"/>
      <x:c r="M2715" s="118"/>
      <x:c r="N2715" s="120" t="n">
        <x:v>44833.53969907408</x:v>
      </x:c>
      <x:c r="O2715" s="117" t="str">
        <x:v>Natalie Boger</x:v>
      </x:c>
      <x:c r="P2715" s="120" t="n">
        <x:v>44855.107615740744</x:v>
      </x:c>
      <x:c r="Q2715" s="117" t="str">
        <x:v>Natalie Boger</x:v>
      </x:c>
      <x:c r="R2715" s="117" t="str">
        <x:v>Send email with attachment - shipment</x:v>
      </x:c>
      <x:c r="S2715" s="119" t="str">
        <x:v>added UK option</x:v>
      </x:c>
    </x:row>
    <x:row r="2716" ht="30" customHeight="1">
      <x:c r="A2716" s="117" t="str">
        <x:v>Send_email_with_attachment_shipment</x:v>
      </x:c>
      <x:c r="B2716" s="117" t="str">
        <x:v>3005b000000H3vUAAS</x:v>
      </x:c>
      <x:c r="C2716" s="117" t="str">
        <x:v>3015b000000A9RWAA0</x:v>
      </x:c>
      <x:c r="D2716" s="118" t="n">
        <x:v>9</x:v>
      </x:c>
      <x:c r="E2716" s="117" t="str">
        <x:v>Obsolete</x:v>
      </x:c>
      <x:c r="F2716" s="117" t="str">
        <x:v>No</x:v>
      </x:c>
      <x:c r="G2716" s="117" t="str">
        <x:v>No</x:v>
      </x:c>
      <x:c r="H2716" s="117" t="str">
        <x:v>AutoLaunchedFlow</x:v>
      </x:c>
      <x:c r="I2716" s="118" t="n">
        <x:v>54</x:v>
      </x:c>
      <x:c r="J2716" s="117" t="str">
        <x:v>unmanaged</x:v>
      </x:c>
      <x:c r="K2716" s="123" t="b">
        <x:v>0</x:v>
      </x:c>
      <x:c r="L2716" s="117"/>
      <x:c r="M2716" s="118"/>
      <x:c r="N2716" s="120" t="n">
        <x:v>44870.0916087963</x:v>
      </x:c>
      <x:c r="O2716" s="117" t="str">
        <x:v>Natalie Boger</x:v>
      </x:c>
      <x:c r="P2716" s="120" t="n">
        <x:v>44870.113020833334</x:v>
      </x:c>
      <x:c r="Q2716" s="117" t="str">
        <x:v>Natalie Boger</x:v>
      </x:c>
      <x:c r="R2716" s="117" t="str">
        <x:v>Send email with attachment - shipment</x:v>
      </x:c>
      <x:c r="S2716" s="119" t="str">
        <x:v>added UK option</x:v>
      </x:c>
    </x:row>
    <x:row r="2717" ht="30" customHeight="1">
      <x:c r="A2717" s="117" t="str">
        <x:v>Send_email_with_attachment_shipment</x:v>
      </x:c>
      <x:c r="B2717" s="117" t="str">
        <x:v>3005b000000H3vUAAS</x:v>
      </x:c>
      <x:c r="C2717" s="117" t="str">
        <x:v>3015b000000AAA7AAO</x:v>
      </x:c>
      <x:c r="D2717" s="118" t="n">
        <x:v>10</x:v>
      </x:c>
      <x:c r="E2717" s="117" t="str">
        <x:v>Obsolete</x:v>
      </x:c>
      <x:c r="F2717" s="117" t="str">
        <x:v>No</x:v>
      </x:c>
      <x:c r="G2717" s="117" t="str">
        <x:v>No</x:v>
      </x:c>
      <x:c r="H2717" s="117" t="str">
        <x:v>AutoLaunchedFlow</x:v>
      </x:c>
      <x:c r="I2717" s="118" t="n">
        <x:v>54</x:v>
      </x:c>
      <x:c r="J2717" s="117" t="str">
        <x:v>unmanaged</x:v>
      </x:c>
      <x:c r="K2717" s="123" t="b">
        <x:v>0</x:v>
      </x:c>
      <x:c r="L2717" s="117"/>
      <x:c r="M2717" s="118"/>
      <x:c r="N2717" s="120" t="n">
        <x:v>44880.76733796296</x:v>
      </x:c>
      <x:c r="O2717" s="117" t="str">
        <x:v>Natalie Boger</x:v>
      </x:c>
      <x:c r="P2717" s="120" t="n">
        <x:v>44880.76739583333</x:v>
      </x:c>
      <x:c r="Q2717" s="117" t="str">
        <x:v>Natalie Boger</x:v>
      </x:c>
      <x:c r="R2717" s="117" t="str">
        <x:v>Send email with attachment - shipment</x:v>
      </x:c>
      <x:c r="S2717" s="119" t="str">
        <x:v>added UK option</x:v>
      </x:c>
    </x:row>
    <x:row r="2718" ht="30" customHeight="1">
      <x:c r="A2718" s="117" t="str">
        <x:v>Send_email_with_attachment_shipment</x:v>
      </x:c>
      <x:c r="B2718" s="117" t="str">
        <x:v>3005b000000H3vUAAS</x:v>
      </x:c>
      <x:c r="C2718" s="117" t="str">
        <x:v>3015b000000AAACAA4</x:v>
      </x:c>
      <x:c r="D2718" s="118" t="n">
        <x:v>11</x:v>
      </x:c>
      <x:c r="E2718" s="117" t="str">
        <x:v>Active</x:v>
      </x:c>
      <x:c r="F2718" s="117" t="str">
        <x:v>Yes</x:v>
      </x:c>
      <x:c r="G2718" s="117" t="str">
        <x:v>Yes</x:v>
      </x:c>
      <x:c r="H2718" s="117" t="str">
        <x:v>AutoLaunchedFlow</x:v>
      </x:c>
      <x:c r="I2718" s="118" t="n">
        <x:v>54</x:v>
      </x:c>
      <x:c r="J2718" s="117" t="str">
        <x:v>unmanaged</x:v>
      </x:c>
      <x:c r="K2718" s="123" t="b">
        <x:v>0</x:v>
      </x:c>
      <x:c r="L2718" s="117"/>
      <x:c r="M2718" s="118"/>
      <x:c r="N2718" s="120" t="n">
        <x:v>44880.77263888889</x:v>
      </x:c>
      <x:c r="O2718" s="117" t="str">
        <x:v>Natalie Boger</x:v>
      </x:c>
      <x:c r="P2718" s="120" t="n">
        <x:v>44880.772685185184</x:v>
      </x:c>
      <x:c r="Q2718" s="117" t="str">
        <x:v>Natalie Boger</x:v>
      </x:c>
      <x:c r="R2718" s="117" t="str">
        <x:v>Send email with attachment - shipment</x:v>
      </x:c>
      <x:c r="S2718" s="119" t="str">
        <x:v>added UK option</x:v>
      </x:c>
    </x:row>
    <x:row r="2719" ht="30" customHeight="1">
      <x:c r="A2719" s="117" t="str">
        <x:v>Send_Email_Work_Order_PDF</x:v>
      </x:c>
      <x:c r="B2719" s="117" t="str">
        <x:v>3005b000000H3XNAA0</x:v>
      </x:c>
      <x:c r="C2719" s="117" t="str">
        <x:v>3015b000000EI9gAAG</x:v>
      </x:c>
      <x:c r="D2719" s="118" t="n">
        <x:v>1</x:v>
      </x:c>
      <x:c r="E2719" s="117" t="str">
        <x:v>Obsolete</x:v>
      </x:c>
      <x:c r="F2719" s="117" t="str">
        <x:v>No</x:v>
      </x:c>
      <x:c r="G2719" s="117" t="str">
        <x:v>No</x:v>
      </x:c>
      <x:c r="H2719" s="117" t="str">
        <x:v>AutoLaunchedFlow</x:v>
      </x:c>
      <x:c r="I2719" s="118" t="n">
        <x:v>54</x:v>
      </x:c>
      <x:c r="J2719" s="117" t="str">
        <x:v>unmanaged</x:v>
      </x:c>
      <x:c r="K2719" s="123" t="b">
        <x:v>0</x:v>
      </x:c>
      <x:c r="L2719" s="117"/>
      <x:c r="M2719" s="118"/>
      <x:c r="N2719" s="120" t="n">
        <x:v>44628.32451388889</x:v>
      </x:c>
      <x:c r="O2719" s="117" t="str">
        <x:v>Natalie Boger</x:v>
      </x:c>
      <x:c r="P2719" s="120" t="n">
        <x:v>44628.32733796296</x:v>
      </x:c>
      <x:c r="Q2719" s="117" t="str">
        <x:v>Natalie Boger</x:v>
      </x:c>
      <x:c r="R2719" s="117" t="str">
        <x:v>Send Email Work Order PDF</x:v>
      </x:c>
      <x:c r="S2719" s="119"/>
    </x:row>
    <x:row r="2720" ht="30" customHeight="1">
      <x:c r="A2720" s="117" t="str">
        <x:v>Send_Email_Work_Order_PDF</x:v>
      </x:c>
      <x:c r="B2720" s="117" t="str">
        <x:v>3005b000000H3XNAA0</x:v>
      </x:c>
      <x:c r="C2720" s="117" t="str">
        <x:v>3015b000000EIF0AAO</x:v>
      </x:c>
      <x:c r="D2720" s="118" t="n">
        <x:v>2</x:v>
      </x:c>
      <x:c r="E2720" s="117" t="str">
        <x:v>Obsolete</x:v>
      </x:c>
      <x:c r="F2720" s="117" t="str">
        <x:v>No</x:v>
      </x:c>
      <x:c r="G2720" s="117" t="str">
        <x:v>No</x:v>
      </x:c>
      <x:c r="H2720" s="117" t="str">
        <x:v>AutoLaunchedFlow</x:v>
      </x:c>
      <x:c r="I2720" s="118" t="n">
        <x:v>54</x:v>
      </x:c>
      <x:c r="J2720" s="117" t="str">
        <x:v>unmanaged</x:v>
      </x:c>
      <x:c r="K2720" s="123" t="b">
        <x:v>0</x:v>
      </x:c>
      <x:c r="L2720" s="117"/>
      <x:c r="M2720" s="118"/>
      <x:c r="N2720" s="120" t="n">
        <x:v>44630.9325</x:v>
      </x:c>
      <x:c r="O2720" s="117" t="str">
        <x:v>Natalie Boger</x:v>
      </x:c>
      <x:c r="P2720" s="120" t="n">
        <x:v>44630.93256944444</x:v>
      </x:c>
      <x:c r="Q2720" s="117" t="str">
        <x:v>Natalie Boger</x:v>
      </x:c>
      <x:c r="R2720" s="117" t="str">
        <x:v>Send Email Work Order PDF</x:v>
      </x:c>
      <x:c r="S2720" s="119"/>
    </x:row>
    <x:row r="2721" ht="30" customHeight="1">
      <x:c r="A2721" s="117" t="str">
        <x:v>Send_Email_Work_Order_PDF</x:v>
      </x:c>
      <x:c r="B2721" s="117" t="str">
        <x:v>3005b000000H3XNAA0</x:v>
      </x:c>
      <x:c r="C2721" s="117" t="str">
        <x:v>3015b000000EIF5AAO</x:v>
      </x:c>
      <x:c r="D2721" s="118" t="n">
        <x:v>3</x:v>
      </x:c>
      <x:c r="E2721" s="117" t="str">
        <x:v>Obsolete</x:v>
      </x:c>
      <x:c r="F2721" s="117" t="str">
        <x:v>No</x:v>
      </x:c>
      <x:c r="G2721" s="117" t="str">
        <x:v>No</x:v>
      </x:c>
      <x:c r="H2721" s="117" t="str">
        <x:v>AutoLaunchedFlow</x:v>
      </x:c>
      <x:c r="I2721" s="118" t="n">
        <x:v>54</x:v>
      </x:c>
      <x:c r="J2721" s="117" t="str">
        <x:v>unmanaged</x:v>
      </x:c>
      <x:c r="K2721" s="123" t="b">
        <x:v>0</x:v>
      </x:c>
      <x:c r="L2721" s="117"/>
      <x:c r="M2721" s="118"/>
      <x:c r="N2721" s="120" t="n">
        <x:v>44630.9459375</x:v>
      </x:c>
      <x:c r="O2721" s="117" t="str">
        <x:v>Natalie Boger</x:v>
      </x:c>
      <x:c r="P2721" s="120" t="n">
        <x:v>44630.94609953704</x:v>
      </x:c>
      <x:c r="Q2721" s="117" t="str">
        <x:v>Natalie Boger</x:v>
      </x:c>
      <x:c r="R2721" s="117" t="str">
        <x:v>Send Email Work Order PDF</x:v>
      </x:c>
      <x:c r="S2721" s="119"/>
    </x:row>
    <x:row r="2722" ht="30" customHeight="1">
      <x:c r="A2722" s="117" t="str">
        <x:v>Send_Email_Work_Order_PDF</x:v>
      </x:c>
      <x:c r="B2722" s="117" t="str">
        <x:v>3005b000000H3XNAA0</x:v>
      </x:c>
      <x:c r="C2722" s="117" t="str">
        <x:v>3015b000000EIFKAA4</x:v>
      </x:c>
      <x:c r="D2722" s="118" t="n">
        <x:v>4</x:v>
      </x:c>
      <x:c r="E2722" s="117" t="str">
        <x:v>Obsolete</x:v>
      </x:c>
      <x:c r="F2722" s="117" t="str">
        <x:v>No</x:v>
      </x:c>
      <x:c r="G2722" s="117" t="str">
        <x:v>No</x:v>
      </x:c>
      <x:c r="H2722" s="117" t="str">
        <x:v>AutoLaunchedFlow</x:v>
      </x:c>
      <x:c r="I2722" s="118" t="n">
        <x:v>54</x:v>
      </x:c>
      <x:c r="J2722" s="117" t="str">
        <x:v>unmanaged</x:v>
      </x:c>
      <x:c r="K2722" s="123" t="b">
        <x:v>0</x:v>
      </x:c>
      <x:c r="L2722" s="117"/>
      <x:c r="M2722" s="118"/>
      <x:c r="N2722" s="120" t="n">
        <x:v>44631.03527777778</x:v>
      </x:c>
      <x:c r="O2722" s="117" t="str">
        <x:v>Natalie Boger</x:v>
      </x:c>
      <x:c r="P2722" s="120" t="n">
        <x:v>44656.79356481481</x:v>
      </x:c>
      <x:c r="Q2722" s="117" t="str">
        <x:v>Natalie Boger</x:v>
      </x:c>
      <x:c r="R2722" s="117" t="str">
        <x:v>Send Email Work Order PDF</x:v>
      </x:c>
      <x:c r="S2722" s="119"/>
    </x:row>
    <x:row r="2723" ht="30" customHeight="1">
      <x:c r="A2723" s="117" t="str">
        <x:v>Send_Email_Work_Order_PDF</x:v>
      </x:c>
      <x:c r="B2723" s="117" t="str">
        <x:v>3005b000000H3XNAA0</x:v>
      </x:c>
      <x:c r="C2723" s="117" t="str">
        <x:v>3015b000000EIqQAAW</x:v>
      </x:c>
      <x:c r="D2723" s="118" t="n">
        <x:v>5</x:v>
      </x:c>
      <x:c r="E2723" s="117" t="str">
        <x:v>Obsolete</x:v>
      </x:c>
      <x:c r="F2723" s="117" t="str">
        <x:v>No</x:v>
      </x:c>
      <x:c r="G2723" s="117" t="str">
        <x:v>No</x:v>
      </x:c>
      <x:c r="H2723" s="117" t="str">
        <x:v>AutoLaunchedFlow</x:v>
      </x:c>
      <x:c r="I2723" s="118" t="n">
        <x:v>54</x:v>
      </x:c>
      <x:c r="J2723" s="117" t="str">
        <x:v>unmanaged</x:v>
      </x:c>
      <x:c r="K2723" s="123" t="b">
        <x:v>0</x:v>
      </x:c>
      <x:c r="L2723" s="117"/>
      <x:c r="M2723" s="118"/>
      <x:c r="N2723" s="120" t="n">
        <x:v>44656.795</x:v>
      </x:c>
      <x:c r="O2723" s="117" t="str">
        <x:v>Natalie Boger</x:v>
      </x:c>
      <x:c r="P2723" s="120" t="n">
        <x:v>44656.79509259259</x:v>
      </x:c>
      <x:c r="Q2723" s="117" t="str">
        <x:v>Natalie Boger</x:v>
      </x:c>
      <x:c r="R2723" s="117" t="str">
        <x:v>Send Email Work Order PDF</x:v>
      </x:c>
      <x:c r="S2723" s="119"/>
    </x:row>
    <x:row r="2724" ht="30" customHeight="1">
      <x:c r="A2724" s="117" t="str">
        <x:v>Send_Email_Work_Order_PDF</x:v>
      </x:c>
      <x:c r="B2724" s="117" t="str">
        <x:v>3005b000000H3XNAA0</x:v>
      </x:c>
      <x:c r="C2724" s="117" t="str">
        <x:v>3015b000000EIqzAAG</x:v>
      </x:c>
      <x:c r="D2724" s="118" t="n">
        <x:v>6</x:v>
      </x:c>
      <x:c r="E2724" s="117" t="str">
        <x:v>Active</x:v>
      </x:c>
      <x:c r="F2724" s="117" t="str">
        <x:v>Yes</x:v>
      </x:c>
      <x:c r="G2724" s="117" t="str">
        <x:v>Yes</x:v>
      </x:c>
      <x:c r="H2724" s="117" t="str">
        <x:v>AutoLaunchedFlow</x:v>
      </x:c>
      <x:c r="I2724" s="118" t="n">
        <x:v>54</x:v>
      </x:c>
      <x:c r="J2724" s="117" t="str">
        <x:v>unmanaged</x:v>
      </x:c>
      <x:c r="K2724" s="123" t="b">
        <x:v>0</x:v>
      </x:c>
      <x:c r="L2724" s="117"/>
      <x:c r="M2724" s="118"/>
      <x:c r="N2724" s="120" t="n">
        <x:v>44656.81570601852</x:v>
      </x:c>
      <x:c r="O2724" s="117" t="str">
        <x:v>Natalie Boger</x:v>
      </x:c>
      <x:c r="P2724" s="120" t="n">
        <x:v>44656.81575231482</x:v>
      </x:c>
      <x:c r="Q2724" s="117" t="str">
        <x:v>Natalie Boger</x:v>
      </x:c>
      <x:c r="R2724" s="117" t="str">
        <x:v>Send Email Work Order PDF</x:v>
      </x:c>
      <x:c r="S2724" s="119"/>
    </x:row>
    <x:row r="2725" ht="30" customHeight="1">
      <x:c r="A2725" s="117" t="str">
        <x:v>Send_Invoice_PDF_Email</x:v>
      </x:c>
      <x:c r="B2725" s="117" t="str">
        <x:v>3004O000000Xh6dQAC</x:v>
      </x:c>
      <x:c r="C2725" s="117" t="str">
        <x:v>3014O000000YAWVQA4</x:v>
      </x:c>
      <x:c r="D2725" s="118" t="n">
        <x:v>1</x:v>
      </x:c>
      <x:c r="E2725" s="117" t="str">
        <x:v>Obsolete</x:v>
      </x:c>
      <x:c r="F2725" s="117" t="str">
        <x:v>No</x:v>
      </x:c>
      <x:c r="G2725" s="117" t="str">
        <x:v>No</x:v>
      </x:c>
      <x:c r="H2725" s="117" t="str">
        <x:v>Flow</x:v>
      </x:c>
      <x:c r="I2725" s="118" t="n">
        <x:v>51</x:v>
      </x:c>
      <x:c r="J2725" s="117" t="str">
        <x:v>unmanaged</x:v>
      </x:c>
      <x:c r="K2725" s="123" t="b">
        <x:v>0</x:v>
      </x:c>
      <x:c r="L2725" s="117"/>
      <x:c r="M2725" s="118"/>
      <x:c r="N2725" s="120" t="n">
        <x:v>44286.08557870371</x:v>
      </x:c>
      <x:c r="O2725" s="117" t="str">
        <x:v>Delegate</x:v>
      </x:c>
      <x:c r="P2725" s="120" t="n">
        <x:v>44288.8234375</x:v>
      </x:c>
      <x:c r="Q2725" s="117" t="str">
        <x:v>Delegate</x:v>
      </x:c>
      <x:c r="R2725" s="117" t="str">
        <x:v>Send Invoice PDF Email</x:v>
      </x:c>
      <x:c r="S2725" s="119"/>
    </x:row>
    <x:row r="2726" ht="30" customHeight="1">
      <x:c r="A2726" s="117" t="str">
        <x:v>Send_Invoice_PDF_Email</x:v>
      </x:c>
      <x:c r="B2726" s="117" t="str">
        <x:v>3004O000000Xh6dQAC</x:v>
      </x:c>
      <x:c r="C2726" s="117" t="str">
        <x:v>3015b000000AA7mAAG</x:v>
      </x:c>
      <x:c r="D2726" s="118" t="n">
        <x:v>2</x:v>
      </x:c>
      <x:c r="E2726" s="117" t="str">
        <x:v>Obsolete</x:v>
      </x:c>
      <x:c r="F2726" s="117" t="str">
        <x:v>No</x:v>
      </x:c>
      <x:c r="G2726" s="117" t="str">
        <x:v>No</x:v>
      </x:c>
      <x:c r="H2726" s="117" t="str">
        <x:v>Flow</x:v>
      </x:c>
      <x:c r="I2726" s="118" t="n">
        <x:v>51</x:v>
      </x:c>
      <x:c r="J2726" s="117" t="str">
        <x:v>unmanaged</x:v>
      </x:c>
      <x:c r="K2726" s="123" t="b">
        <x:v>0</x:v>
      </x:c>
      <x:c r="L2726" s="117"/>
      <x:c r="M2726" s="118"/>
      <x:c r="N2726" s="120" t="n">
        <x:v>44880.59172453704</x:v>
      </x:c>
      <x:c r="O2726" s="117" t="str">
        <x:v>Delegate</x:v>
      </x:c>
      <x:c r="P2726" s="120" t="n">
        <x:v>44880.59607638889</x:v>
      </x:c>
      <x:c r="Q2726" s="117" t="str">
        <x:v>Delegate</x:v>
      </x:c>
      <x:c r="R2726" s="117" t="str">
        <x:v>Send Invoice PDF Email</x:v>
      </x:c>
      <x:c r="S2726" s="119"/>
    </x:row>
    <x:row r="2727" ht="30" customHeight="1">
      <x:c r="A2727" s="117" t="str">
        <x:v>Send_Invoice_PDF_Email</x:v>
      </x:c>
      <x:c r="B2727" s="117" t="str">
        <x:v>3004O000000Xh6dQAC</x:v>
      </x:c>
      <x:c r="C2727" s="117" t="str">
        <x:v>3015b000000ABZmAAO</x:v>
      </x:c>
      <x:c r="D2727" s="118" t="n">
        <x:v>3</x:v>
      </x:c>
      <x:c r="E2727" s="117" t="str">
        <x:v>Obsolete</x:v>
      </x:c>
      <x:c r="F2727" s="117" t="str">
        <x:v>No</x:v>
      </x:c>
      <x:c r="G2727" s="117" t="str">
        <x:v>No</x:v>
      </x:c>
      <x:c r="H2727" s="117" t="str">
        <x:v>Flow</x:v>
      </x:c>
      <x:c r="I2727" s="118" t="n">
        <x:v>51</x:v>
      </x:c>
      <x:c r="J2727" s="117" t="str">
        <x:v>unmanaged</x:v>
      </x:c>
      <x:c r="K2727" s="123" t="b">
        <x:v>0</x:v>
      </x:c>
      <x:c r="L2727" s="117"/>
      <x:c r="M2727" s="118"/>
      <x:c r="N2727" s="120" t="n">
        <x:v>44901.60108796296</x:v>
      </x:c>
      <x:c r="O2727" s="117" t="str">
        <x:v>Delegate</x:v>
      </x:c>
      <x:c r="P2727" s="120" t="n">
        <x:v>44901.60121527778</x:v>
      </x:c>
      <x:c r="Q2727" s="117" t="str">
        <x:v>Delegate</x:v>
      </x:c>
      <x:c r="R2727" s="117" t="str">
        <x:v>Send Invoice PDF Email</x:v>
      </x:c>
      <x:c r="S2727" s="119"/>
    </x:row>
    <x:row r="2728" ht="30" customHeight="1">
      <x:c r="A2728" s="117" t="str">
        <x:v>Send_Invoice_PDF_Email</x:v>
      </x:c>
      <x:c r="B2728" s="117" t="str">
        <x:v>3004O000000Xh6dQAC</x:v>
      </x:c>
      <x:c r="C2728" s="117" t="str">
        <x:v>301Ro00000CLPsXIAX</x:v>
      </x:c>
      <x:c r="D2728" s="118" t="n">
        <x:v>4</x:v>
      </x:c>
      <x:c r="E2728" s="117" t="str">
        <x:v>Obsolete</x:v>
      </x:c>
      <x:c r="F2728" s="117" t="str">
        <x:v>No</x:v>
      </x:c>
      <x:c r="G2728" s="117" t="str">
        <x:v>No</x:v>
      </x:c>
      <x:c r="H2728" s="117" t="str">
        <x:v>Flow</x:v>
      </x:c>
      <x:c r="I2728" s="118" t="n">
        <x:v>51</x:v>
      </x:c>
      <x:c r="J2728" s="117" t="str">
        <x:v>unmanaged</x:v>
      </x:c>
      <x:c r="K2728" s="123" t="b">
        <x:v>0</x:v>
      </x:c>
      <x:c r="L2728" s="117"/>
      <x:c r="M2728" s="118"/>
      <x:c r="N2728" s="120" t="n">
        <x:v>45419.46635416667</x:v>
      </x:c>
      <x:c r="O2728" s="117" t="str">
        <x:v>Delegate</x:v>
      </x:c>
      <x:c r="P2728" s="120" t="n">
        <x:v>45419.47488425926</x:v>
      </x:c>
      <x:c r="Q2728" s="117" t="str">
        <x:v>Delegate</x:v>
      </x:c>
      <x:c r="R2728" s="117" t="str">
        <x:v>Send Invoice PDF Email</x:v>
      </x:c>
      <x:c r="S2728" s="119" t="str">
        <x:v>04/30/2024 (BW) - Added a screen which prompts the user to attach the FSR to the invoice record</x:v>
      </x:c>
    </x:row>
    <x:row r="2729" ht="30" customHeight="1">
      <x:c r="A2729" s="117" t="str">
        <x:v>Send_Invoice_PDF_Email</x:v>
      </x:c>
      <x:c r="B2729" s="117" t="str">
        <x:v>3004O000000Xh6dQAC</x:v>
      </x:c>
      <x:c r="C2729" s="117" t="str">
        <x:v>301Ro00000goKUxIAM</x:v>
      </x:c>
      <x:c r="D2729" s="118" t="n">
        <x:v>5</x:v>
      </x:c>
      <x:c r="E2729" s="117" t="str">
        <x:v>Obsolete</x:v>
      </x:c>
      <x:c r="F2729" s="117" t="str">
        <x:v>No</x:v>
      </x:c>
      <x:c r="G2729" s="117" t="str">
        <x:v>No</x:v>
      </x:c>
      <x:c r="H2729" s="117" t="str">
        <x:v>Flow</x:v>
      </x:c>
      <x:c r="I2729" s="118" t="n">
        <x:v>51</x:v>
      </x:c>
      <x:c r="J2729" s="117" t="str">
        <x:v>unmanaged</x:v>
      </x:c>
      <x:c r="K2729" s="123" t="b">
        <x:v>0</x:v>
      </x:c>
      <x:c r="L2729" s="117"/>
      <x:c r="M2729" s="118"/>
      <x:c r="N2729" s="120" t="n">
        <x:v>45868.15655092592</x:v>
      </x:c>
      <x:c r="O2729" s="117" t="str">
        <x:v>Natalie Boger</x:v>
      </x:c>
      <x:c r="P2729" s="120" t="n">
        <x:v>45868.16290509259</x:v>
      </x:c>
      <x:c r="Q2729" s="117" t="str">
        <x:v>Natalie Boger</x:v>
      </x:c>
      <x:c r="R2729" s="117" t="str">
        <x:v>Send Invoice PDF Email</x:v>
      </x:c>
      <x:c r="S2729" s="119" t="str">
        <x:v>7/29/25: Only updating to add second email address of accounting email cc in the to address list. NB</x:v>
      </x:c>
    </x:row>
    <x:row r="2730" ht="30" customHeight="1">
      <x:c r="A2730" s="117" t="str">
        <x:v>Send_Invoice_PDF_Email</x:v>
      </x:c>
      <x:c r="B2730" s="117" t="str">
        <x:v>3004O000000Xh6dQAC</x:v>
      </x:c>
      <x:c r="C2730" s="117" t="str">
        <x:v>301Ro00000iJfMRIA0</x:v>
      </x:c>
      <x:c r="D2730" s="118" t="n">
        <x:v>6</x:v>
      </x:c>
      <x:c r="E2730" s="117" t="str">
        <x:v>Obsolete</x:v>
      </x:c>
      <x:c r="F2730" s="117" t="str">
        <x:v>No</x:v>
      </x:c>
      <x:c r="G2730" s="117" t="str">
        <x:v>No</x:v>
      </x:c>
      <x:c r="H2730" s="117" t="str">
        <x:v>Flow</x:v>
      </x:c>
      <x:c r="I2730" s="118" t="n">
        <x:v>51</x:v>
      </x:c>
      <x:c r="J2730" s="117" t="str">
        <x:v>unmanaged</x:v>
      </x:c>
      <x:c r="K2730" s="123" t="b">
        <x:v>0</x:v>
      </x:c>
      <x:c r="L2730" s="117"/>
      <x:c r="M2730" s="118"/>
      <x:c r="N2730" s="120" t="n">
        <x:v>45882.12758101852</x:v>
      </x:c>
      <x:c r="O2730" s="117" t="str">
        <x:v>Natalie Boger</x:v>
      </x:c>
      <x:c r="P2730" s="120" t="n">
        <x:v>45882.14326388889</x:v>
      </x:c>
      <x:c r="Q2730" s="117" t="str">
        <x:v>Natalie Boger</x:v>
      </x:c>
      <x:c r="R2730" s="117" t="str">
        <x:v>Send Invoice PDF Email</x:v>
      </x:c>
      <x:c r="S2730" s="119" t="str">
        <x:v>8/7/25: Revamped - automatically attach all FSRs from opp. Give user ability to choose to not attach FSR if allowed by account. Still sends to both emails on account. Error generates if apex cannot find FSR attached to opportunity. NB</x:v>
      </x:c>
    </x:row>
    <x:row r="2731" ht="30" customHeight="1">
      <x:c r="A2731" s="117" t="str">
        <x:v>Send_Invoice_PDF_Email</x:v>
      </x:c>
      <x:c r="B2731" s="117" t="str">
        <x:v>3004O000000Xh6dQAC</x:v>
      </x:c>
      <x:c r="C2731" s="117" t="str">
        <x:v>301Ro00000iWogRIAS</x:v>
      </x:c>
      <x:c r="D2731" s="118" t="n">
        <x:v>7</x:v>
      </x:c>
      <x:c r="E2731" s="117" t="str">
        <x:v>Obsolete</x:v>
      </x:c>
      <x:c r="F2731" s="117" t="str">
        <x:v>No</x:v>
      </x:c>
      <x:c r="G2731" s="117" t="str">
        <x:v>No</x:v>
      </x:c>
      <x:c r="H2731" s="117" t="str">
        <x:v>Flow</x:v>
      </x:c>
      <x:c r="I2731" s="118" t="n">
        <x:v>51</x:v>
      </x:c>
      <x:c r="J2731" s="117" t="str">
        <x:v>unmanaged</x:v>
      </x:c>
      <x:c r="K2731" s="123" t="b">
        <x:v>0</x:v>
      </x:c>
      <x:c r="L2731" s="117"/>
      <x:c r="M2731" s="118"/>
      <x:c r="N2731" s="120" t="n">
        <x:v>45884.73186342593</x:v>
      </x:c>
      <x:c r="O2731" s="117" t="str">
        <x:v>Natalie Boger</x:v>
      </x:c>
      <x:c r="P2731" s="120" t="n">
        <x:v>45884.732986111114</x:v>
      </x:c>
      <x:c r="Q2731" s="117" t="str">
        <x:v>Natalie Boger</x:v>
      </x:c>
      <x:c r="R2731" s="117" t="str">
        <x:v>Send Invoice PDF Email</x:v>
      </x:c>
      <x:c r="S2731" s="119" t="str">
        <x:v>8/14/25: Added PMR (in addition to FSR) for title name search in opp attachments. Also added a screen component to ask about a HIPAA warning added to the invoice. NB</x:v>
      </x:c>
    </x:row>
    <x:row r="2732" ht="30" customHeight="1">
      <x:c r="A2732" s="117" t="str">
        <x:v>Send_Invoice_PDF_Email</x:v>
      </x:c>
      <x:c r="B2732" s="117" t="str">
        <x:v>3004O000000Xh6dQAC</x:v>
      </x:c>
      <x:c r="C2732" s="117" t="str">
        <x:v>301Ro00000iXY55IAG</x:v>
      </x:c>
      <x:c r="D2732" s="118" t="n">
        <x:v>8</x:v>
      </x:c>
      <x:c r="E2732" s="117" t="str">
        <x:v>Obsolete</x:v>
      </x:c>
      <x:c r="F2732" s="117" t="str">
        <x:v>No</x:v>
      </x:c>
      <x:c r="G2732" s="117" t="str">
        <x:v>No</x:v>
      </x:c>
      <x:c r="H2732" s="117" t="str">
        <x:v>Flow</x:v>
      </x:c>
      <x:c r="I2732" s="118" t="n">
        <x:v>51</x:v>
      </x:c>
      <x:c r="J2732" s="117" t="str">
        <x:v>unmanaged</x:v>
      </x:c>
      <x:c r="K2732" s="123" t="b">
        <x:v>0</x:v>
      </x:c>
      <x:c r="L2732" s="117"/>
      <x:c r="M2732" s="118"/>
      <x:c r="N2732" s="120" t="n">
        <x:v>45884.8578125</x:v>
      </x:c>
      <x:c r="O2732" s="117" t="str">
        <x:v>Natalie Boger</x:v>
      </x:c>
      <x:c r="P2732" s="120" t="n">
        <x:v>45986.068194444444</x:v>
      </x:c>
      <x:c r="Q2732" s="117" t="str">
        <x:v>Natalie Boger</x:v>
      </x:c>
      <x:c r="R2732" s="117" t="str">
        <x:v>Send Invoice PDF Email</x:v>
      </x:c>
      <x:c r="S2732" s="119" t="str">
        <x:v>8/15/25: Removed unnecessary query for invoice. NB</x:v>
      </x:c>
    </x:row>
    <x:row r="2733" ht="30" customHeight="1">
      <x:c r="A2733" s="117" t="str">
        <x:v>Send_Invoice_PDF_Email</x:v>
      </x:c>
      <x:c r="B2733" s="117" t="str">
        <x:v>3004O000000Xh6dQAC</x:v>
      </x:c>
      <x:c r="C2733" s="117" t="str">
        <x:v>301Ro00000ta2P4IAI</x:v>
      </x:c>
      <x:c r="D2733" s="118" t="n">
        <x:v>9</x:v>
      </x:c>
      <x:c r="E2733" s="117" t="str">
        <x:v>Active</x:v>
      </x:c>
      <x:c r="F2733" s="117" t="str">
        <x:v>Yes</x:v>
      </x:c>
      <x:c r="G2733" s="117" t="str">
        <x:v>Yes</x:v>
      </x:c>
      <x:c r="H2733" s="117" t="str">
        <x:v>Flow</x:v>
      </x:c>
      <x:c r="I2733" s="118" t="n">
        <x:v>51</x:v>
      </x:c>
      <x:c r="J2733" s="117" t="str">
        <x:v>unmanaged</x:v>
      </x:c>
      <x:c r="K2733" s="123" t="b">
        <x:v>0</x:v>
      </x:c>
      <x:c r="L2733" s="117"/>
      <x:c r="M2733" s="118"/>
      <x:c r="N2733" s="120" t="n">
        <x:v>45996.15688657408</x:v>
      </x:c>
      <x:c r="O2733" s="117" t="str">
        <x:v>Natalie Boger</x:v>
      </x:c>
      <x:c r="P2733" s="120" t="n">
        <x:v>45996.157002314816</x:v>
      </x:c>
      <x:c r="Q2733" s="117" t="str">
        <x:v>Natalie Boger</x:v>
      </x:c>
      <x:c r="R2733" s="117" t="str">
        <x:v>Send Invoice PDF Email</x:v>
      </x:c>
      <x:c r="S2733" s="119" t="str">
        <x:v>12/4/25: Reverted to using recordId as text instead of record - added back in query for get invoice. This is to match the input/output requirements from the Invoice Submission Flow (which calls this as a subflow). NB</x:v>
      </x:c>
    </x:row>
    <x:row r="2734" ht="30" customHeight="1">
      <x:c r="A2734" s="117" t="str">
        <x:v>Send_Invoice_to_Lockstep_Flow</x:v>
      </x:c>
      <x:c r="B2734" s="117" t="str">
        <x:v>3005b000000H3J6AAK</x:v>
      </x:c>
      <x:c r="C2734" s="117" t="str">
        <x:v>3015b000000EHVHAA4</x:v>
      </x:c>
      <x:c r="D2734" s="118" t="n">
        <x:v>1</x:v>
      </x:c>
      <x:c r="E2734" s="117" t="str">
        <x:v>Active</x:v>
      </x:c>
      <x:c r="F2734" s="117" t="str">
        <x:v>Yes</x:v>
      </x:c>
      <x:c r="G2734" s="117" t="str">
        <x:v>Yes</x:v>
      </x:c>
      <x:c r="H2734" s="117" t="str">
        <x:v>AutoLaunchedFlow</x:v>
      </x:c>
      <x:c r="I2734" s="118" t="n">
        <x:v>54</x:v>
      </x:c>
      <x:c r="J2734" s="117" t="str">
        <x:v>unmanaged</x:v>
      </x:c>
      <x:c r="K2734" s="123" t="b">
        <x:v>0</x:v>
      </x:c>
      <x:c r="L2734" s="117"/>
      <x:c r="M2734" s="118"/>
      <x:c r="N2734" s="120" t="n">
        <x:v>44606.77421296296</x:v>
      </x:c>
      <x:c r="O2734" s="117" t="str">
        <x:v>Delegate</x:v>
      </x:c>
      <x:c r="P2734" s="120" t="n">
        <x:v>44606.774247685185</x:v>
      </x:c>
      <x:c r="Q2734" s="117" t="str">
        <x:v>Delegate</x:v>
      </x:c>
      <x:c r="R2734" s="117" t="str">
        <x:v>Send Invoice to Lockstep Flow</x:v>
      </x:c>
      <x:c r="S2734" s="119"/>
    </x:row>
    <x:row r="2735" ht="30" customHeight="1">
      <x:c r="A2735" s="117" t="str">
        <x:v>Send_Post_Repair_Evaluation_Email</x:v>
      </x:c>
      <x:c r="B2735" s="117" t="str">
        <x:v>300Ro00000UU24nIAD</x:v>
      </x:c>
      <x:c r="C2735" s="117" t="str">
        <x:v>301Ro00000XbmqsIAB</x:v>
      </x:c>
      <x:c r="D2735" s="118" t="n">
        <x:v>1</x:v>
      </x:c>
      <x:c r="E2735" s="117" t="str">
        <x:v>Active</x:v>
      </x:c>
      <x:c r="F2735" s="117" t="str">
        <x:v>Yes</x:v>
      </x:c>
      <x:c r="G2735" s="117" t="str">
        <x:v>Yes</x:v>
      </x:c>
      <x:c r="H2735" s="117" t="str">
        <x:v>AutoLaunchedFlow</x:v>
      </x:c>
      <x:c r="I2735" s="118" t="n">
        <x:v>63</x:v>
      </x:c>
      <x:c r="J2735" s="117" t="str">
        <x:v>unmanaged</x:v>
      </x:c>
      <x:c r="K2735" s="123" t="b">
        <x:v>0</x:v>
      </x:c>
      <x:c r="L2735" s="117"/>
      <x:c r="M2735" s="118"/>
      <x:c r="N2735" s="120" t="n">
        <x:v>45765.13670138889</x:v>
      </x:c>
      <x:c r="O2735" s="117" t="str">
        <x:v>Natalie Boger</x:v>
      </x:c>
      <x:c r="P2735" s="120" t="n">
        <x:v>45765.14528935185</x:v>
      </x:c>
      <x:c r="Q2735" s="117" t="str">
        <x:v>Natalie Boger</x:v>
      </x:c>
      <x:c r="R2735" s="117" t="str">
        <x:v>Send Post Repair Evaluation Email</x:v>
      </x:c>
      <x:c r="S2735" s="119"/>
    </x:row>
    <x:row r="2736" ht="30" customHeight="1">
      <x:c r="A2736" s="117" t="str">
        <x:v>Send_Sobject_Error_Email</x:v>
      </x:c>
      <x:c r="B2736" s="117" t="str">
        <x:v>300Ro00000kKs8OIAS</x:v>
      </x:c>
      <x:c r="C2736" s="117" t="str">
        <x:v>301Ro00000rhIpiIAE</x:v>
      </x:c>
      <x:c r="D2736" s="118" t="n">
        <x:v>2</x:v>
      </x:c>
      <x:c r="E2736" s="117" t="str">
        <x:v>Draft</x:v>
      </x:c>
      <x:c r="F2736" s="117" t="str">
        <x:v>No</x:v>
      </x:c>
      <x:c r="G2736" s="117" t="str">
        <x:v>No</x:v>
      </x:c>
      <x:c r="H2736" s="117" t="str">
        <x:v>AutoLaunchedFlow</x:v>
      </x:c>
      <x:c r="I2736" s="118" t="n">
        <x:v>64</x:v>
      </x:c>
      <x:c r="J2736" s="117" t="str">
        <x:v>installed</x:v>
      </x:c>
      <x:c r="K2736" s="123" t="b">
        <x:v>0</x:v>
      </x:c>
      <x:c r="L2736" s="117"/>
      <x:c r="M2736" s="118"/>
      <x:c r="N2736" s="120" t="n">
        <x:v>45965.97746527778</x:v>
      </x:c>
      <x:c r="O2736" s="117" t="str"/>
      <x:c r="P2736" s="120" t="n">
        <x:v>45965.9777662037</x:v>
      </x:c>
      <x:c r="Q2736" s="117" t="str"/>
      <x:c r="R2736" s="117" t="str">
        <x:v>Send Sobject Error Email</x:v>
      </x:c>
      <x:c r="S2736" s="119" t="str">
        <x:v>Send error email</x:v>
      </x:c>
    </x:row>
    <x:row r="2737" ht="30" customHeight="1">
      <x:c r="A2737" s="117" t="str">
        <x:v>Send_Sobject_Error_Email</x:v>
      </x:c>
      <x:c r="B2737" s="117" t="str">
        <x:v>300Ro00000kKs8OIAS</x:v>
      </x:c>
      <x:c r="C2737" s="117" t="str">
        <x:v>301Ro00000zihe3IAA</x:v>
      </x:c>
      <x:c r="D2737" s="118" t="n">
        <x:v>5</x:v>
      </x:c>
      <x:c r="E2737" s="117" t="str">
        <x:v>Draft</x:v>
      </x:c>
      <x:c r="F2737" s="117" t="str">
        <x:v>No</x:v>
      </x:c>
      <x:c r="G2737" s="117" t="str">
        <x:v>No</x:v>
      </x:c>
      <x:c r="H2737" s="117" t="str">
        <x:v>AutoLaunchedFlow</x:v>
      </x:c>
      <x:c r="I2737" s="118" t="n">
        <x:v>64</x:v>
      </x:c>
      <x:c r="J2737" s="117" t="str">
        <x:v>installed</x:v>
      </x:c>
      <x:c r="K2737" s="123" t="b">
        <x:v>0</x:v>
      </x:c>
      <x:c r="L2737" s="117"/>
      <x:c r="M2737" s="118"/>
      <x:c r="N2737" s="120" t="n">
        <x:v>46085.01673611111</x:v>
      </x:c>
      <x:c r="O2737" s="117" t="str"/>
      <x:c r="P2737" s="120" t="n">
        <x:v>46085.01700231482</x:v>
      </x:c>
      <x:c r="Q2737" s="117" t="str"/>
      <x:c r="R2737" s="117" t="str">
        <x:v>Send Sobject Error Email</x:v>
      </x:c>
      <x:c r="S2737" s="119" t="str">
        <x:v>Send error email</x:v>
      </x:c>
    </x:row>
    <x:row r="2738" ht="30" customHeight="1">
      <x:c r="A2738" s="117" t="str">
        <x:v>Send_Sobject_Error_Email</x:v>
      </x:c>
      <x:c r="B2738" s="117" t="str">
        <x:v>300Ro00000kKs8OIAS</x:v>
      </x:c>
      <x:c r="C2738" s="117" t="str">
        <x:v>301Ro00001AcxLlIAJ</x:v>
      </x:c>
      <x:c r="D2738" s="118" t="n">
        <x:v>8</x:v>
      </x:c>
      <x:c r="E2738" s="117" t="str">
        <x:v>Draft</x:v>
      </x:c>
      <x:c r="F2738" s="117" t="str">
        <x:v>No</x:v>
      </x:c>
      <x:c r="G2738" s="117" t="str">
        <x:v>Yes</x:v>
      </x:c>
      <x:c r="H2738" s="117" t="str">
        <x:v>AutoLaunchedFlow</x:v>
      </x:c>
      <x:c r="I2738" s="118" t="n">
        <x:v>64</x:v>
      </x:c>
      <x:c r="J2738" s="117" t="str">
        <x:v>installed</x:v>
      </x:c>
      <x:c r="K2738" s="123" t="b">
        <x:v>0</x:v>
      </x:c>
      <x:c r="L2738" s="117"/>
      <x:c r="M2738" s="118"/>
      <x:c r="N2738" s="120" t="n">
        <x:v>46210.93546296296</x:v>
      </x:c>
      <x:c r="O2738" s="117" t="str"/>
      <x:c r="P2738" s="120" t="n">
        <x:v>46210.93581018518</x:v>
      </x:c>
      <x:c r="Q2738" s="117" t="str"/>
      <x:c r="R2738" s="117" t="str">
        <x:v>Send Sobject Error Email</x:v>
      </x:c>
      <x:c r="S2738" s="119" t="str">
        <x:v>Send error email</x:v>
      </x:c>
    </x:row>
    <x:row r="2739" ht="30" customHeight="1">
      <x:c r="A2739" s="117" t="str">
        <x:v>Send_Sourcing_Request_Mass_Email_UK</x:v>
      </x:c>
      <x:c r="B2739" s="117" t="str">
        <x:v>3005b000000H3qjAAC</x:v>
      </x:c>
      <x:c r="C2739" s="117" t="str">
        <x:v>3015b000000EJsSAAW</x:v>
      </x:c>
      <x:c r="D2739" s="118" t="n">
        <x:v>1</x:v>
      </x:c>
      <x:c r="E2739" s="117" t="str">
        <x:v>Active</x:v>
      </x:c>
      <x:c r="F2739" s="117" t="str">
        <x:v>Yes</x:v>
      </x:c>
      <x:c r="G2739" s="117" t="str">
        <x:v>Yes</x:v>
      </x:c>
      <x:c r="H2739" s="117" t="str">
        <x:v>Flow</x:v>
      </x:c>
      <x:c r="I2739" s="118" t="n">
        <x:v>54</x:v>
      </x:c>
      <x:c r="J2739" s="117" t="str">
        <x:v>unmanaged</x:v>
      </x:c>
      <x:c r="K2739" s="123" t="b">
        <x:v>0</x:v>
      </x:c>
      <x:c r="L2739" s="117"/>
      <x:c r="M2739" s="118"/>
      <x:c r="N2739" s="120" t="n">
        <x:v>44701.59799768519</x:v>
      </x:c>
      <x:c r="O2739" s="117" t="str">
        <x:v>Jace Gentil</x:v>
      </x:c>
      <x:c r="P2739" s="120" t="n">
        <x:v>44701.6</x:v>
      </x:c>
      <x:c r="Q2739" s="117" t="str">
        <x:v>Jace Gentil</x:v>
      </x:c>
      <x:c r="R2739" s="117" t="str">
        <x:v>Send Sourcing Request Mass Email - UK</x:v>
      </x:c>
      <x:c r="S2739" s="119"/>
    </x:row>
    <x:row r="2740" ht="30" customHeight="1">
      <x:c r="A2740" s="117" t="str">
        <x:v>sendBetterEmail_Test_Create_Test_Templates_if_needed</x:v>
      </x:c>
      <x:c r="B2740" s="117" t="str">
        <x:v>3005b000000LJFhAAO</x:v>
      </x:c>
      <x:c r="C2740" s="117" t="str">
        <x:v>3015b000000AOYNAA4</x:v>
      </x:c>
      <x:c r="D2740" s="118" t="n">
        <x:v>1</x:v>
      </x:c>
      <x:c r="E2740" s="117" t="str">
        <x:v>Draft</x:v>
      </x:c>
      <x:c r="F2740" s="117" t="str">
        <x:v>No</x:v>
      </x:c>
      <x:c r="G2740" s="117" t="str">
        <x:v>Yes</x:v>
      </x:c>
      <x:c r="H2740" s="117" t="str">
        <x:v>Flow</x:v>
      </x:c>
      <x:c r="I2740" s="118" t="n">
        <x:v>49</x:v>
      </x:c>
      <x:c r="J2740" s="117" t="str">
        <x:v>unmanaged</x:v>
      </x:c>
      <x:c r="K2740" s="123" t="b">
        <x:v>0</x:v>
      </x:c>
      <x:c r="L2740" s="117"/>
      <x:c r="M2740" s="118"/>
      <x:c r="N2740" s="120" t="n">
        <x:v>45127.77033564815</x:v>
      </x:c>
      <x:c r="O2740" s="117" t="str">
        <x:v>Jace Gentil</x:v>
      </x:c>
      <x:c r="P2740" s="120" t="n">
        <x:v>45127.7703587963</x:v>
      </x:c>
      <x:c r="Q2740" s="117" t="str">
        <x:v>Jace Gentil</x:v>
      </x:c>
      <x:c r="R2740" s="117" t="str">
        <x:v>sendBetterEmail Test - Create Test Templates if Needed</x:v>
      </x:c>
      <x:c r="S2740" s="119" t="str">
        <x:v>Flow to test if the templates named sendBetterEmaiTest have been created, and if not, create them</x:v>
      </x:c>
    </x:row>
    <x:row r="2741" ht="30" customHeight="1">
      <x:c r="A2741" s="117" t="str">
        <x:v>Service_Alert_60_Days_til_Exp_Alert</x:v>
      </x:c>
      <x:c r="B2741" s="117" t="str">
        <x:v>3004O000000LOxPQAW</x:v>
      </x:c>
      <x:c r="C2741" s="117" t="str">
        <x:v>3014O000000M1inQAC</x:v>
      </x:c>
      <x:c r="D2741" s="118" t="n">
        <x:v>1</x:v>
      </x:c>
      <x:c r="E2741" s="117" t="str">
        <x:v>Active</x:v>
      </x:c>
      <x:c r="F2741" s="117" t="str">
        <x:v>Yes</x:v>
      </x:c>
      <x:c r="G2741" s="117" t="str">
        <x:v>Yes</x:v>
      </x:c>
      <x:c r="H2741" s="117" t="str">
        <x:v>AutoLaunchedFlow</x:v>
      </x:c>
      <x:c r="I2741" s="118" t="n">
        <x:v>51</x:v>
      </x:c>
      <x:c r="J2741" s="117" t="str">
        <x:v>unmanaged</x:v>
      </x:c>
      <x:c r="K2741" s="123" t="b">
        <x:v>0</x:v>
      </x:c>
      <x:c r="L2741" s="117"/>
      <x:c r="M2741" s="118"/>
      <x:c r="N2741" s="120" t="n">
        <x:v>44242.72310185185</x:v>
      </x:c>
      <x:c r="O2741" s="117" t="str">
        <x:v>Delegate</x:v>
      </x:c>
      <x:c r="P2741" s="120" t="n">
        <x:v>44242.723333333335</x:v>
      </x:c>
      <x:c r="Q2741" s="117" t="str">
        <x:v>Delegate</x:v>
      </x:c>
      <x:c r="R2741" s="117" t="str">
        <x:v>Service Alert 60 Days til Exp. Alert</x:v>
      </x:c>
      <x:c r="S2741" s="119" t="str">
        <x:v>Sends an alert to fseorders@probomedical.com when a service contract comes within 60 days of expiring.</x:v>
      </x:c>
    </x:row>
    <x:row r="2742" ht="30" customHeight="1">
      <x:c r="A2742" s="117" t="str">
        <x:v>Service_Appointment_Automations</x:v>
      </x:c>
      <x:c r="B2742" s="117" t="str">
        <x:v>300Ro00000kCmCvIAK</x:v>
      </x:c>
      <x:c r="C2742" s="117" t="str">
        <x:v>301Ro00000rZa6xIAC</x:v>
      </x:c>
      <x:c r="D2742" s="118" t="n">
        <x:v>1</x:v>
      </x:c>
      <x:c r="E2742" s="117" t="str">
        <x:v>Obsolete</x:v>
      </x:c>
      <x:c r="F2742" s="117" t="str">
        <x:v>No</x:v>
      </x:c>
      <x:c r="G2742" s="117" t="str">
        <x:v>No</x:v>
      </x:c>
      <x:c r="H2742" s="117" t="str">
        <x:v>AutoLaunchedFlow</x:v>
      </x:c>
      <x:c r="I2742" s="118" t="n">
        <x:v>65</x:v>
      </x:c>
      <x:c r="J2742" s="117" t="str">
        <x:v>unmanaged</x:v>
      </x:c>
      <x:c r="K2742" s="123" t="b">
        <x:v>0</x:v>
      </x:c>
      <x:c r="L2742" s="117"/>
      <x:c r="M2742" s="118"/>
      <x:c r="N2742" s="120" t="n">
        <x:v>45964.596238425926</x:v>
      </x:c>
      <x:c r="O2742" s="117" t="str">
        <x:v>Sacha Pearce</x:v>
      </x:c>
      <x:c r="P2742" s="120" t="n">
        <x:v>45989.415185185186</x:v>
      </x:c>
      <x:c r="Q2742" s="117" t="str">
        <x:v>Sacha Pearce</x:v>
      </x:c>
      <x:c r="R2742" s="117" t="str">
        <x:v>Service Appointment Automations</x:v>
      </x:c>
      <x:c r="S2742" s="119" t="str">
        <x:v>03/11/2025 - SP - First decision is to check if the Service Appointment was previously "Dispatched" and moved to "Scheduled". If so, the Subflow element will trigger the "Delete Event Autolaunched Flow" to delete the related Event and Outlook Calendar Appointment.</x:v>
      </x:c>
    </x:row>
    <x:row r="2743" ht="30" customHeight="1">
      <x:c r="A2743" s="117" t="str">
        <x:v>Service_Appointment_Automations</x:v>
      </x:c>
      <x:c r="B2743" s="117" t="str">
        <x:v>300Ro00000kCmCvIAK</x:v>
      </x:c>
      <x:c r="C2743" s="117" t="str">
        <x:v>301Ro00000va9OxIAI</x:v>
      </x:c>
      <x:c r="D2743" s="118" t="n">
        <x:v>2</x:v>
      </x:c>
      <x:c r="E2743" s="117" t="str">
        <x:v>Obsolete</x:v>
      </x:c>
      <x:c r="F2743" s="117" t="str">
        <x:v>No</x:v>
      </x:c>
      <x:c r="G2743" s="117" t="str">
        <x:v>No</x:v>
      </x:c>
      <x:c r="H2743" s="117" t="str">
        <x:v>AutoLaunchedFlow</x:v>
      </x:c>
      <x:c r="I2743" s="118" t="n">
        <x:v>65</x:v>
      </x:c>
      <x:c r="J2743" s="117" t="str">
        <x:v>unmanaged</x:v>
      </x:c>
      <x:c r="K2743" s="123" t="b">
        <x:v>0</x:v>
      </x:c>
      <x:c r="L2743" s="117"/>
      <x:c r="M2743" s="118"/>
      <x:c r="N2743" s="120" t="n">
        <x:v>46034.8709375</x:v>
      </x:c>
      <x:c r="O2743" s="117" t="str">
        <x:v>Sacha Pearce</x:v>
      </x:c>
      <x:c r="P2743" s="120" t="n">
        <x:v>46035.361875</x:v>
      </x:c>
      <x:c r="Q2743" s="117" t="str">
        <x:v>Sacha Pearce</x:v>
      </x:c>
      <x:c r="R2743" s="117" t="str">
        <x:v>Service Appointment Automations</x:v>
      </x:c>
      <x:c r="S2743" s="119" t="str">
        <x:v>03/11/2025 - SP - First decision is to check if the Service Appointment was previously "Dispatched" and moved to "Scheduled". If so, the Subflow element will trigger the "Delete Event Autolaunched Flow" to delete the related Event and Outlook Calendar Appointment.
01/12/2025 - SP - Repurposing Flow to update "Scheduled Service Date" on the Parent Record/Work Order whenever the Service Appointment's "Scheduled Start" field is changed.
01/12/2025 - V3 - SP - Adding "Work Type Name" equals "PPM" to the Service Appointment Scheduled and is PPM decision element.</x:v>
      </x:c>
    </x:row>
    <x:row r="2744" ht="30" customHeight="1">
      <x:c r="A2744" s="117" t="str">
        <x:v>Service_Appointment_Automations</x:v>
      </x:c>
      <x:c r="B2744" s="117" t="str">
        <x:v>300Ro00000kCmCvIAK</x:v>
      </x:c>
      <x:c r="C2744" s="117" t="str">
        <x:v>301Ro00000vcSTuIAM</x:v>
      </x:c>
      <x:c r="D2744" s="118" t="n">
        <x:v>3</x:v>
      </x:c>
      <x:c r="E2744" s="117" t="str">
        <x:v>Obsolete</x:v>
      </x:c>
      <x:c r="F2744" s="117" t="str">
        <x:v>No</x:v>
      </x:c>
      <x:c r="G2744" s="117" t="str">
        <x:v>No</x:v>
      </x:c>
      <x:c r="H2744" s="117" t="str">
        <x:v>AutoLaunchedFlow</x:v>
      </x:c>
      <x:c r="I2744" s="118" t="n">
        <x:v>65</x:v>
      </x:c>
      <x:c r="J2744" s="117" t="str">
        <x:v>unmanaged</x:v>
      </x:c>
      <x:c r="K2744" s="123" t="b">
        <x:v>0</x:v>
      </x:c>
      <x:c r="L2744" s="117"/>
      <x:c r="M2744" s="118"/>
      <x:c r="N2744" s="120" t="n">
        <x:v>46035.40045138889</x:v>
      </x:c>
      <x:c r="O2744" s="117" t="str">
        <x:v>Sacha Pearce</x:v>
      </x:c>
      <x:c r="P2744" s="120" t="n">
        <x:v>46035.40049768519</x:v>
      </x:c>
      <x:c r="Q2744" s="117" t="str">
        <x:v>Sacha Pearce</x:v>
      </x:c>
      <x:c r="R2744" s="117" t="str">
        <x:v>Service Appointment Automations</x:v>
      </x:c>
      <x:c r="S2744" s="119" t="str">
        <x:v>03/11/2025 - SP - First decision is to check if the Service Appointment was previously "Dispatched" and moved to "Scheduled". If so, the Subflow element will trigger the "Delete Event Autolaunched Flow" to delete the related Event and Outlook Calendar Appointment.
01/12/2025 - SP - Repurposing Flow to update "Scheduled Service Date" on the Parent Record/Work Order whenever the Service Appointment's "Scheduled Start" field is changed.
01/12/2025 - V3 - SP - Adding "Work Type Name" equals "PPM" to the Service Appointment Scheduled and is PPM decision element.
01/13/2025 - V3 (Production) - SP - Adding "Status" set to "In Progress" in the "Update Work Order Scheduled Service Date" element.</x:v>
      </x:c>
    </x:row>
    <x:row r="2745" ht="30" customHeight="1">
      <x:c r="A2745" s="117" t="str">
        <x:v>Service_Appointment_Automations</x:v>
      </x:c>
      <x:c r="B2745" s="117" t="str">
        <x:v>300Ro00000kCmCvIAK</x:v>
      </x:c>
      <x:c r="C2745" s="117" t="str">
        <x:v>301Ro00000vcfAzIAI</x:v>
      </x:c>
      <x:c r="D2745" s="118" t="n">
        <x:v>4</x:v>
      </x:c>
      <x:c r="E2745" s="117" t="str">
        <x:v>Obsolete</x:v>
      </x:c>
      <x:c r="F2745" s="117" t="str">
        <x:v>No</x:v>
      </x:c>
      <x:c r="G2745" s="117" t="str">
        <x:v>No</x:v>
      </x:c>
      <x:c r="H2745" s="117" t="str">
        <x:v>AutoLaunchedFlow</x:v>
      </x:c>
      <x:c r="I2745" s="118" t="n">
        <x:v>65</x:v>
      </x:c>
      <x:c r="J2745" s="117" t="str">
        <x:v>unmanaged</x:v>
      </x:c>
      <x:c r="K2745" s="123" t="b">
        <x:v>0</x:v>
      </x:c>
      <x:c r="L2745" s="117"/>
      <x:c r="M2745" s="118"/>
      <x:c r="N2745" s="120" t="n">
        <x:v>46035.49828703704</x:v>
      </x:c>
      <x:c r="O2745" s="117" t="str">
        <x:v>Sacha Pearce</x:v>
      </x:c>
      <x:c r="P2745" s="120" t="n">
        <x:v>46035.49835648148</x:v>
      </x:c>
      <x:c r="Q2745" s="117" t="str">
        <x:v>Sacha Pearce</x:v>
      </x:c>
      <x:c r="R2745" s="117" t="str">
        <x:v>Service Appointment Automations</x:v>
      </x:c>
      <x:c r="S2745" s="119" t="str">
        <x:v>03/11/2025 - SP - First decision is to check if the Service Appointment was previously "Dispatched" and moved to "Scheduled". If so, the Subflow element will trigger the "Delete Event Autolaunched Flow" to delete the related Event and Outlook Calendar Appointment.
01/12/2025 - SP - Repurposing Flow to update "Scheduled Service Date" on the Parent Record/Work Order whenever the Service Appointment's "Scheduled Start" field is changed.
01/12/2025 - V3 - SP - Adding "Work Type Name" equals "PPM" to the Service Appointment Scheduled and is PPM decision element.
01/13/2025 - V3 (Production) - SP - Adding "Status" set to "In Progress" in the "Update Work Order Scheduled Service Date" element.
01/13/2025 - V4 (Production) - SP - Amending the "Service Appointment Scheduld and is PPM" decision to check if the Service Appointment's "Scheduled Start" does not match its prior "Scheduled Start" date instead of evaluating if the "Is Changed" condition is "True".</x:v>
      </x:c>
    </x:row>
    <x:row r="2746" ht="30" customHeight="1">
      <x:c r="A2746" s="117" t="str">
        <x:v>Service_Appointment_Automations</x:v>
      </x:c>
      <x:c r="B2746" s="117" t="str">
        <x:v>300Ro00000kCmCvIAK</x:v>
      </x:c>
      <x:c r="C2746" s="117" t="str">
        <x:v>301Ro000013hHLHIA2</x:v>
      </x:c>
      <x:c r="D2746" s="118" t="n">
        <x:v>5</x:v>
      </x:c>
      <x:c r="E2746" s="117" t="str">
        <x:v>Active</x:v>
      </x:c>
      <x:c r="F2746" s="117" t="str">
        <x:v>Yes</x:v>
      </x:c>
      <x:c r="G2746" s="117" t="str">
        <x:v>Yes</x:v>
      </x:c>
      <x:c r="H2746" s="117" t="str">
        <x:v>AutoLaunchedFlow</x:v>
      </x:c>
      <x:c r="I2746" s="118" t="n">
        <x:v>65</x:v>
      </x:c>
      <x:c r="J2746" s="117" t="str">
        <x:v>unmanaged</x:v>
      </x:c>
      <x:c r="K2746" s="123" t="b">
        <x:v>0</x:v>
      </x:c>
      <x:c r="L2746" s="117"/>
      <x:c r="M2746" s="118"/>
      <x:c r="N2746" s="120" t="n">
        <x:v>46133.44813657407</x:v>
      </x:c>
      <x:c r="O2746" s="117" t="str">
        <x:v>Sacha Pearce</x:v>
      </x:c>
      <x:c r="P2746" s="120" t="n">
        <x:v>46133.44819444444</x:v>
      </x:c>
      <x:c r="Q2746" s="117" t="str">
        <x:v>Sacha Pearce</x:v>
      </x:c>
      <x:c r="R2746" s="117" t="str">
        <x:v>Service Appointment Automations</x:v>
      </x:c>
      <x:c r="S2746" s="119" t="str">
        <x:v>21/04/2026 - SP - Adding "Pre-Contract Inspection (PCI)" into the "Service Appointment Scheduled Check" decision element.</x:v>
      </x:c>
    </x:row>
    <x:row r="2747" ht="30" customHeight="1">
      <x:c r="A2747" s="117" t="str">
        <x:v>Service_Appointment_Calculate_Tech_Support_Response_Time_Business_Minutes</x:v>
      </x:c>
      <x:c r="B2747" s="117" t="str">
        <x:v>300Ro00000v3vsAIAQ</x:v>
      </x:c>
      <x:c r="C2747" s="117" t="str">
        <x:v>301Ro00001328bxIAA</x:v>
      </x:c>
      <x:c r="D2747" s="118" t="n">
        <x:v>1</x:v>
      </x:c>
      <x:c r="E2747" s="117" t="str">
        <x:v>Active</x:v>
      </x:c>
      <x:c r="F2747" s="117" t="str">
        <x:v>Yes</x:v>
      </x:c>
      <x:c r="G2747" s="117" t="str">
        <x:v>Yes</x:v>
      </x:c>
      <x:c r="H2747" s="117" t="str">
        <x:v>AutoLaunchedFlow</x:v>
      </x:c>
      <x:c r="I2747" s="118" t="n">
        <x:v>65</x:v>
      </x:c>
      <x:c r="J2747" s="117" t="str">
        <x:v>unmanaged</x:v>
      </x:c>
      <x:c r="K2747" s="123" t="b">
        <x:v>0</x:v>
      </x:c>
      <x:c r="L2747" s="117"/>
      <x:c r="M2747" s="118"/>
      <x:c r="N2747" s="120" t="n">
        <x:v>46125.55594907407</x:v>
      </x:c>
      <x:c r="O2747" s="117" t="str">
        <x:v>Sacha Pearce</x:v>
      </x:c>
      <x:c r="P2747" s="120" t="n">
        <x:v>46125.55601851852</x:v>
      </x:c>
      <x:c r="Q2747" s="117" t="str">
        <x:v>Sacha Pearce</x:v>
      </x:c>
      <x:c r="R2747" s="117" t="str">
        <x:v>Service Appointment - Calculate Tech Support Response Time (Business Minutes)</x:v>
      </x:c>
      <x:c r="S2747" s="119"/>
    </x:row>
    <x:row r="2748" ht="30" customHeight="1">
      <x:c r="A2748" s="117" t="str">
        <x:v>Service_Appointment_Creation_and_Update_Set_Contract_Line_Item</x:v>
      </x:c>
      <x:c r="B2748" s="117" t="str">
        <x:v>300Ro000014GODFIA4</x:v>
      </x:c>
      <x:c r="C2748" s="117" t="str">
        <x:v>301Ro00001D8wOdIAJ</x:v>
      </x:c>
      <x:c r="D2748" s="118" t="n">
        <x:v>1</x:v>
      </x:c>
      <x:c r="E2748" s="117" t="str">
        <x:v>Obsolete</x:v>
      </x:c>
      <x:c r="F2748" s="117" t="str">
        <x:v>No</x:v>
      </x:c>
      <x:c r="G2748" s="117" t="str">
        <x:v>No</x:v>
      </x:c>
      <x:c r="H2748" s="117" t="str">
        <x:v>AutoLaunchedFlow</x:v>
      </x:c>
      <x:c r="I2748" s="118" t="n">
        <x:v>67</x:v>
      </x:c>
      <x:c r="J2748" s="117" t="str">
        <x:v>unmanaged</x:v>
      </x:c>
      <x:c r="K2748" s="123" t="b">
        <x:v>0</x:v>
      </x:c>
      <x:c r="L2748" s="117"/>
      <x:c r="M2748" s="118"/>
      <x:c r="N2748" s="120" t="n">
        <x:v>46238.59923611111</x:v>
      </x:c>
      <x:c r="O2748" s="117" t="str">
        <x:v>Sacha Pearce</x:v>
      </x:c>
      <x:c r="P2748" s="120" t="n">
        <x:v>46238.59935185185</x:v>
      </x:c>
      <x:c r="Q2748" s="117" t="str">
        <x:v>Sacha Pearce</x:v>
      </x:c>
      <x:c r="R2748" s="117" t="str">
        <x:v>Service Appointment - Creation and Update - Set Contract Line Item</x:v>
      </x:c>
      <x:c r="S2748" s="119" t="str">
        <x:v>This Flow has been built to set the "Contract Line Item" field whenever a Service Appointment with the "Country" field as "United Kingdom" is updated or created without a "Contract Line Item" saved.</x:v>
      </x:c>
    </x:row>
    <x:row r="2749" ht="30" customHeight="1">
      <x:c r="A2749" s="117" t="str">
        <x:v>Service_Appointment_Creation_and_Update_Set_Contract_Line_Item</x:v>
      </x:c>
      <x:c r="B2749" s="117" t="str">
        <x:v>300Ro000014GODFIA4</x:v>
      </x:c>
      <x:c r="C2749" s="117" t="str">
        <x:v>301Ro00001D8wi0IAB</x:v>
      </x:c>
      <x:c r="D2749" s="118" t="n">
        <x:v>2</x:v>
      </x:c>
      <x:c r="E2749" s="117" t="str">
        <x:v>Obsolete</x:v>
      </x:c>
      <x:c r="F2749" s="117" t="str">
        <x:v>No</x:v>
      </x:c>
      <x:c r="G2749" s="117" t="str">
        <x:v>No</x:v>
      </x:c>
      <x:c r="H2749" s="117" t="str">
        <x:v>AutoLaunchedFlow</x:v>
      </x:c>
      <x:c r="I2749" s="118" t="n">
        <x:v>67</x:v>
      </x:c>
      <x:c r="J2749" s="117" t="str">
        <x:v>unmanaged</x:v>
      </x:c>
      <x:c r="K2749" s="123" t="b">
        <x:v>0</x:v>
      </x:c>
      <x:c r="L2749" s="117"/>
      <x:c r="M2749" s="118"/>
      <x:c r="N2749" s="120" t="n">
        <x:v>46238.60791666667</x:v>
      </x:c>
      <x:c r="O2749" s="117" t="str">
        <x:v>Sacha Pearce</x:v>
      </x:c>
      <x:c r="P2749" s="120" t="n">
        <x:v>46238.607986111114</x:v>
      </x:c>
      <x:c r="Q2749" s="117" t="str">
        <x:v>Sacha Pearce</x:v>
      </x:c>
      <x:c r="R2749" s="117" t="str">
        <x:v>Service Appointment - Creation and Update - Set Contract Line Item</x:v>
      </x:c>
      <x:c r="S2749" s="119" t="str">
        <x:v>This Flow has been built to set the "Contract Line Item" field whenever a Service Appointment with the "Country" field as "United Kingdom" is updated or created without a "Contract Line Item" saved.</x:v>
      </x:c>
    </x:row>
    <x:row r="2750" ht="30" customHeight="1">
      <x:c r="A2750" s="117" t="str">
        <x:v>Service_Appointment_Creation_and_Update_Set_Contract_Line_Item</x:v>
      </x:c>
      <x:c r="B2750" s="117" t="str">
        <x:v>300Ro000014GODFIA4</x:v>
      </x:c>
      <x:c r="C2750" s="117" t="str">
        <x:v>301Ro00001D9MEDIA3</x:v>
      </x:c>
      <x:c r="D2750" s="118" t="n">
        <x:v>3</x:v>
      </x:c>
      <x:c r="E2750" s="117" t="str">
        <x:v>Active</x:v>
      </x:c>
      <x:c r="F2750" s="117" t="str">
        <x:v>Yes</x:v>
      </x:c>
      <x:c r="G2750" s="117" t="str">
        <x:v>Yes</x:v>
      </x:c>
      <x:c r="H2750" s="117" t="str">
        <x:v>AutoLaunchedFlow</x:v>
      </x:c>
      <x:c r="I2750" s="118" t="n">
        <x:v>67</x:v>
      </x:c>
      <x:c r="J2750" s="117" t="str">
        <x:v>unmanaged</x:v>
      </x:c>
      <x:c r="K2750" s="123" t="b">
        <x:v>0</x:v>
      </x:c>
      <x:c r="L2750" s="117"/>
      <x:c r="M2750" s="118"/>
      <x:c r="N2750" s="120" t="n">
        <x:v>46238.61075231482</x:v>
      </x:c>
      <x:c r="O2750" s="117" t="str">
        <x:v>Sacha Pearce</x:v>
      </x:c>
      <x:c r="P2750" s="120" t="n">
        <x:v>46238.61085648148</x:v>
      </x:c>
      <x:c r="Q2750" s="117" t="str">
        <x:v>Sacha Pearce</x:v>
      </x:c>
      <x:c r="R2750" s="117" t="str">
        <x:v>Service Appointment - Creation and Update - Set Contract Line Item</x:v>
      </x:c>
      <x:c r="S2750" s="119" t="str">
        <x:v>This Flow has been built to set the "Contract Line Item" field whenever a Service Appointment with the "Country" field as "United Kingdom" is updated or created without a "Contract Line Item" saved.</x:v>
      </x:c>
    </x:row>
    <x:row r="2751" ht="30" customHeight="1">
      <x:c r="A2751" s="117" t="str">
        <x:v>Service_Appointment_Creation_or_Update_Work_Order_Service_Appointments_Counts</x:v>
      </x:c>
      <x:c r="B2751" s="117" t="str">
        <x:v>300Ro00000unJZAIA2</x:v>
      </x:c>
      <x:c r="C2751" s="117" t="str">
        <x:v>301Ro000012kHp1IAE</x:v>
      </x:c>
      <x:c r="D2751" s="118" t="n">
        <x:v>1</x:v>
      </x:c>
      <x:c r="E2751" s="117" t="str">
        <x:v>Active</x:v>
      </x:c>
      <x:c r="F2751" s="117" t="str">
        <x:v>Yes</x:v>
      </x:c>
      <x:c r="G2751" s="117" t="str">
        <x:v>Yes</x:v>
      </x:c>
      <x:c r="H2751" s="117" t="str">
        <x:v>AutoLaunchedFlow</x:v>
      </x:c>
      <x:c r="I2751" s="118" t="n">
        <x:v>66</x:v>
      </x:c>
      <x:c r="J2751" s="117" t="str">
        <x:v>unmanaged</x:v>
      </x:c>
      <x:c r="K2751" s="123" t="b">
        <x:v>0</x:v>
      </x:c>
      <x:c r="L2751" s="117"/>
      <x:c r="M2751" s="118"/>
      <x:c r="N2751" s="120" t="n">
        <x:v>46121.57356481482</x:v>
      </x:c>
      <x:c r="O2751" s="117" t="str">
        <x:v>Sacha Pearce</x:v>
      </x:c>
      <x:c r="P2751" s="120" t="n">
        <x:v>46121.57790509259</x:v>
      </x:c>
      <x:c r="Q2751" s="117" t="str">
        <x:v>Sacha Pearce</x:v>
      </x:c>
      <x:c r="R2751" s="117" t="str">
        <x:v>Service Appointment - Creation or Update - Update Work Order Number of Service Appointments Counts</x:v>
      </x:c>
      <x:c r="S2751" s="119"/>
    </x:row>
    <x:row r="2752" ht="30" customHeight="1">
      <x:c r="A2752" s="117" t="str">
        <x:v>Service_Appointment_Delete_Unneeded_Time_Blocks</x:v>
      </x:c>
      <x:c r="B2752" s="117" t="str">
        <x:v>300Ro00000UfjBKIAZ</x:v>
      </x:c>
      <x:c r="C2752" s="117" t="str">
        <x:v>301Ro00000XodUfIAJ</x:v>
      </x:c>
      <x:c r="D2752" s="118" t="n">
        <x:v>1</x:v>
      </x:c>
      <x:c r="E2752" s="117" t="str">
        <x:v>Active</x:v>
      </x:c>
      <x:c r="F2752" s="117" t="str">
        <x:v>Yes</x:v>
      </x:c>
      <x:c r="G2752" s="117" t="str">
        <x:v>Yes</x:v>
      </x:c>
      <x:c r="H2752" s="117" t="str">
        <x:v>AutoLaunchedFlow</x:v>
      </x:c>
      <x:c r="I2752" s="118" t="n">
        <x:v>63</x:v>
      </x:c>
      <x:c r="J2752" s="117" t="str">
        <x:v>unmanaged</x:v>
      </x:c>
      <x:c r="K2752" s="123" t="b">
        <x:v>0</x:v>
      </x:c>
      <x:c r="L2752" s="117"/>
      <x:c r="M2752" s="118"/>
      <x:c r="N2752" s="120" t="n">
        <x:v>45769.705300925925</x:v>
      </x:c>
      <x:c r="O2752" s="117" t="str">
        <x:v>Delegate</x:v>
      </x:c>
      <x:c r="P2752" s="120" t="n">
        <x:v>45771.541134259256</x:v>
      </x:c>
      <x:c r="Q2752" s="117" t="str">
        <x:v>Delegate</x:v>
      </x:c>
      <x:c r="R2752" s="117" t="str">
        <x:v>Service Appointment - Delete Unneeded Time Blocks</x:v>
      </x:c>
      <x:c r="S2752" s="119" t="str">
        <x:v>04/18/2025 - Kyle/Delegate - When a time block Service Appointment is dispatched, cancel the unnecessary time block service appointments from that work order.</x:v>
      </x:c>
    </x:row>
    <x:row r="2753" ht="30" customHeight="1">
      <x:c r="A2753" s="117" t="str">
        <x:v>Service_Appointment_On_Shipment_Change_Lines_to_Enroute</x:v>
      </x:c>
      <x:c r="B2753" s="117" t="str">
        <x:v>300Ro00000cnT4jIAE</x:v>
      </x:c>
      <x:c r="C2753" s="117" t="str">
        <x:v>301Ro00000iNPpSIAW</x:v>
      </x:c>
      <x:c r="D2753" s="118" t="n">
        <x:v>1</x:v>
      </x:c>
      <x:c r="E2753" s="117" t="str">
        <x:v>Obsolete</x:v>
      </x:c>
      <x:c r="F2753" s="117" t="str">
        <x:v>No</x:v>
      </x:c>
      <x:c r="G2753" s="117" t="str">
        <x:v>No</x:v>
      </x:c>
      <x:c r="H2753" s="117" t="str">
        <x:v>AutoLaunchedFlow</x:v>
      </x:c>
      <x:c r="I2753" s="118" t="n">
        <x:v>64</x:v>
      </x:c>
      <x:c r="J2753" s="117" t="str">
        <x:v>unmanaged</x:v>
      </x:c>
      <x:c r="K2753" s="123" t="b">
        <x:v>0</x:v>
      </x:c>
      <x:c r="L2753" s="117"/>
      <x:c r="M2753" s="118"/>
      <x:c r="N2753" s="120" t="n">
        <x:v>45882.85228009259</x:v>
      </x:c>
      <x:c r="O2753" s="117" t="str">
        <x:v>Delegate</x:v>
      </x:c>
      <x:c r="P2753" s="120" t="n">
        <x:v>45883.07178240741</x:v>
      </x:c>
      <x:c r="Q2753" s="117" t="str">
        <x:v>Delegate</x:v>
      </x:c>
      <x:c r="R2753" s="117" t="str">
        <x:v>Service Appointment | On Shipment Change Lines to Enroute</x:v>
      </x:c>
      <x:c r="S2753" s="119" t="str">
        <x:v>07/22/2025 (BW) - Upon adding shipment information to a service appointment, the lines get changed to enroute</x:v>
      </x:c>
    </x:row>
    <x:row r="2754" ht="30" customHeight="1">
      <x:c r="A2754" s="117" t="str">
        <x:v>Service_Appointment_On_Shipment_Change_Lines_to_Enroute</x:v>
      </x:c>
      <x:c r="B2754" s="117" t="str">
        <x:v>300Ro00000cnT4jIAE</x:v>
      </x:c>
      <x:c r="C2754" s="117" t="str">
        <x:v>301Ro00000nDtowIAC</x:v>
      </x:c>
      <x:c r="D2754" s="118" t="n">
        <x:v>2</x:v>
      </x:c>
      <x:c r="E2754" s="117" t="str">
        <x:v>Active</x:v>
      </x:c>
      <x:c r="F2754" s="117" t="str">
        <x:v>Yes</x:v>
      </x:c>
      <x:c r="G2754" s="117" t="str">
        <x:v>Yes</x:v>
      </x:c>
      <x:c r="H2754" s="117" t="str">
        <x:v>AutoLaunchedFlow</x:v>
      </x:c>
      <x:c r="I2754" s="118" t="n">
        <x:v>64</x:v>
      </x:c>
      <x:c r="J2754" s="117" t="str">
        <x:v>unmanaged</x:v>
      </x:c>
      <x:c r="K2754" s="123" t="b">
        <x:v>0</x:v>
      </x:c>
      <x:c r="L2754" s="117"/>
      <x:c r="M2754" s="118"/>
      <x:c r="N2754" s="120" t="n">
        <x:v>45925.53015046296</x:v>
      </x:c>
      <x:c r="O2754" s="117" t="str">
        <x:v>Delegate</x:v>
      </x:c>
      <x:c r="P2754" s="120" t="n">
        <x:v>45925.53019675926</x:v>
      </x:c>
      <x:c r="Q2754" s="117" t="str">
        <x:v>Delegate</x:v>
      </x:c>
      <x:c r="R2754" s="117" t="str">
        <x:v>Service Appointment | On Shipment Change Lines to Enroute</x:v>
      </x:c>
      <x:c r="S2754" s="119" t="str">
        <x:v>09/25/2025 (BW) - Updating so that it also sets the work order back to in-progress</x:v>
      </x:c>
    </x:row>
    <x:row r="2755" ht="30" customHeight="1">
      <x:c r="A2755" s="117" t="str">
        <x:v>Service_Appointment_On_Update_of_Ship_To_Date_Set_Address</x:v>
      </x:c>
      <x:c r="B2755" s="117" t="str">
        <x:v>300Ro00000cnT4kIAE</x:v>
      </x:c>
      <x:c r="C2755" s="117" t="str">
        <x:v>301Ro00000iNPpTIAW</x:v>
      </x:c>
      <x:c r="D2755" s="118" t="n">
        <x:v>1</x:v>
      </x:c>
      <x:c r="E2755" s="117" t="str">
        <x:v>Active</x:v>
      </x:c>
      <x:c r="F2755" s="117" t="str">
        <x:v>Yes</x:v>
      </x:c>
      <x:c r="G2755" s="117" t="str">
        <x:v>Yes</x:v>
      </x:c>
      <x:c r="H2755" s="117" t="str">
        <x:v>AutoLaunchedFlow</x:v>
      </x:c>
      <x:c r="I2755" s="118" t="n">
        <x:v>64</x:v>
      </x:c>
      <x:c r="J2755" s="117" t="str">
        <x:v>unmanaged</x:v>
      </x:c>
      <x:c r="K2755" s="123" t="b">
        <x:v>0</x:v>
      </x:c>
      <x:c r="L2755" s="117"/>
      <x:c r="M2755" s="118"/>
      <x:c r="N2755" s="120" t="n">
        <x:v>45882.85229166667</x:v>
      </x:c>
      <x:c r="O2755" s="117" t="str">
        <x:v>Delegate</x:v>
      </x:c>
      <x:c r="P2755" s="120" t="n">
        <x:v>45883.0628125</x:v>
      </x:c>
      <x:c r="Q2755" s="117" t="str">
        <x:v>Delegate</x:v>
      </x:c>
      <x:c r="R2755" s="117" t="str">
        <x:v>Service Appointment | On Update of Ship To Date, Set Address</x:v>
      </x:c>
      <x:c r="S2755" s="119" t="str">
        <x:v>07/24/2025 (BW) - Update the shipping address on the Service Appointment when populated or removed</x:v>
      </x:c>
    </x:row>
    <x:row r="2756" ht="30" customHeight="1">
      <x:c r="A2756" s="117" t="str">
        <x:v>Service_Appointment_Status_Set_to_Canceled</x:v>
      </x:c>
      <x:c r="B2756" s="117" t="str">
        <x:v>300Ro00000SgtMcIAJ</x:v>
      </x:c>
      <x:c r="C2756" s="117" t="str">
        <x:v>301Ro00000VgTIPIA3</x:v>
      </x:c>
      <x:c r="D2756" s="118" t="n">
        <x:v>1</x:v>
      </x:c>
      <x:c r="E2756" s="117" t="str">
        <x:v>Active</x:v>
      </x:c>
      <x:c r="F2756" s="117" t="str">
        <x:v>Yes</x:v>
      </x:c>
      <x:c r="G2756" s="117" t="str">
        <x:v>No</x:v>
      </x:c>
      <x:c r="H2756" s="117" t="str">
        <x:v>AutoLaunchedFlow</x:v>
      </x:c>
      <x:c r="I2756" s="118" t="n">
        <x:v>63</x:v>
      </x:c>
      <x:c r="J2756" s="117" t="str">
        <x:v>unmanaged</x:v>
      </x:c>
      <x:c r="K2756" s="123" t="b">
        <x:v>0</x:v>
      </x:c>
      <x:c r="L2756" s="117"/>
      <x:c r="M2756" s="118"/>
      <x:c r="N2756" s="120" t="n">
        <x:v>45730.78277777778</x:v>
      </x:c>
      <x:c r="O2756" s="117" t="str">
        <x:v>Delegate</x:v>
      </x:c>
      <x:c r="P2756" s="120" t="n">
        <x:v>45989.57371527778</x:v>
      </x:c>
      <x:c r="Q2756" s="117" t="str">
        <x:v>Sacha Pearce</x:v>
      </x:c>
      <x:c r="R2756" s="117" t="str">
        <x:v>Service Appointment - Status Set to Canceled</x:v>
      </x:c>
      <x:c r="S2756" s="119"/>
    </x:row>
    <x:row r="2757" ht="30" customHeight="1">
      <x:c r="A2757" s="117" t="str">
        <x:v>Service_Appointment_Status_Set_to_Canceled</x:v>
      </x:c>
      <x:c r="B2757" s="117" t="str">
        <x:v>300Ro00000SgtMcIAJ</x:v>
      </x:c>
      <x:c r="C2757" s="117" t="str">
        <x:v>301Ro00000rZ1kKIAS</x:v>
      </x:c>
      <x:c r="D2757" s="118" t="n">
        <x:v>2</x:v>
      </x:c>
      <x:c r="E2757" s="117" t="str">
        <x:v>Obsolete</x:v>
      </x:c>
      <x:c r="F2757" s="117" t="str">
        <x:v>No</x:v>
      </x:c>
      <x:c r="G2757" s="117" t="str">
        <x:v>No</x:v>
      </x:c>
      <x:c r="H2757" s="117" t="str">
        <x:v>AutoLaunchedFlow</x:v>
      </x:c>
      <x:c r="I2757" s="118" t="n">
        <x:v>63</x:v>
      </x:c>
      <x:c r="J2757" s="117" t="str">
        <x:v>unmanaged</x:v>
      </x:c>
      <x:c r="K2757" s="123" t="b">
        <x:v>0</x:v>
      </x:c>
      <x:c r="L2757" s="117"/>
      <x:c r="M2757" s="118"/>
      <x:c r="N2757" s="120" t="n">
        <x:v>45964.48809027778</x:v>
      </x:c>
      <x:c r="O2757" s="117" t="str">
        <x:v>Sacha Pearce</x:v>
      </x:c>
      <x:c r="P2757" s="120" t="n">
        <x:v>45964.489328703705</x:v>
      </x:c>
      <x:c r="Q2757" s="117" t="str">
        <x:v>Sacha Pearce</x:v>
      </x:c>
      <x:c r="R2757" s="117" t="str">
        <x:v>Service Appointment - Status Set to Canceled</x:v>
      </x:c>
      <x:c r="S2757" s="119" t="str">
        <x:v>03/11/2025 - SP - Adding the "Get Event ID" and "Delete Event" elements to remove events from the Outlook calendars.</x:v>
      </x:c>
    </x:row>
    <x:row r="2758" ht="30" customHeight="1">
      <x:c r="A2758" s="117" t="str">
        <x:v>Service_Appointment_Status_Set_to_Canceled</x:v>
      </x:c>
      <x:c r="B2758" s="117" t="str">
        <x:v>300Ro00000SgtMcIAJ</x:v>
      </x:c>
      <x:c r="C2758" s="117" t="str">
        <x:v>301Ro00000rZQHHIA4</x:v>
      </x:c>
      <x:c r="D2758" s="118" t="n">
        <x:v>3</x:v>
      </x:c>
      <x:c r="E2758" s="117" t="str">
        <x:v>Obsolete</x:v>
      </x:c>
      <x:c r="F2758" s="117" t="str">
        <x:v>No</x:v>
      </x:c>
      <x:c r="G2758" s="117" t="str">
        <x:v>Yes</x:v>
      </x:c>
      <x:c r="H2758" s="117" t="str">
        <x:v>AutoLaunchedFlow</x:v>
      </x:c>
      <x:c r="I2758" s="118" t="n">
        <x:v>63</x:v>
      </x:c>
      <x:c r="J2758" s="117" t="str">
        <x:v>unmanaged</x:v>
      </x:c>
      <x:c r="K2758" s="123" t="b">
        <x:v>0</x:v>
      </x:c>
      <x:c r="L2758" s="117"/>
      <x:c r="M2758" s="118"/>
      <x:c r="N2758" s="120" t="n">
        <x:v>45964.57414351852</x:v>
      </x:c>
      <x:c r="O2758" s="117" t="str">
        <x:v>Sacha Pearce</x:v>
      </x:c>
      <x:c r="P2758" s="120" t="n">
        <x:v>45989.57365740741</x:v>
      </x:c>
      <x:c r="Q2758" s="117" t="str">
        <x:v>Sacha Pearce</x:v>
      </x:c>
      <x:c r="R2758" s="117" t="str">
        <x:v>Service Appointment - Status Set to Canceled</x:v>
      </x:c>
      <x:c r="S2758" s="119" t="str">
        <x:v>03/11/2025 - SP - Adding the "Get Event ID" and "Delete Event" elements to remove events from the Outlook calendars.
03/11/2025 - SP - Adjsuted the Flow to have a Subflow element to enable system-level view to facilitate the deletion of Events.</x:v>
      </x:c>
    </x:row>
    <x:row r="2759" ht="30" customHeight="1">
      <x:c r="A2759" s="117" t="str">
        <x:v>Service_Appointment_Trigger_If_SA_updated_update_event</x:v>
      </x:c>
      <x:c r="B2759" s="117" t="str">
        <x:v>300Ro00000SgtMdIAJ</x:v>
      </x:c>
      <x:c r="C2759" s="117" t="str">
        <x:v>301Ro00000VgXYuIAN</x:v>
      </x:c>
      <x:c r="D2759" s="118" t="n">
        <x:v>1</x:v>
      </x:c>
      <x:c r="E2759" s="117" t="str">
        <x:v>Active</x:v>
      </x:c>
      <x:c r="F2759" s="117" t="str">
        <x:v>Yes</x:v>
      </x:c>
      <x:c r="G2759" s="117" t="str">
        <x:v>No</x:v>
      </x:c>
      <x:c r="H2759" s="117" t="str">
        <x:v>AutoLaunchedFlow</x:v>
      </x:c>
      <x:c r="I2759" s="118" t="n">
        <x:v>63</x:v>
      </x:c>
      <x:c r="J2759" s="117" t="str">
        <x:v>unmanaged</x:v>
      </x:c>
      <x:c r="K2759" s="123" t="b">
        <x:v>0</x:v>
      </x:c>
      <x:c r="L2759" s="117"/>
      <x:c r="M2759" s="118"/>
      <x:c r="N2759" s="120" t="n">
        <x:v>45730.78625</x:v>
      </x:c>
      <x:c r="O2759" s="117" t="str">
        <x:v>Delegate</x:v>
      </x:c>
      <x:c r="P2759" s="120" t="n">
        <x:v>45730.78662037037</x:v>
      </x:c>
      <x:c r="Q2759" s="117" t="str">
        <x:v>Delegate</x:v>
      </x:c>
      <x:c r="R2759" s="117" t="str">
        <x:v>Service Appointment - Trigger - If SA updated, update event</x:v>
      </x:c>
      <x:c r="S2759" s="119" t="str">
        <x:v>03/13/2025 - Kyle/Delegate - There is already a flow on Assigned resource to create and update the Service Event for the coordinator calendar when the AR record is created or updated. This flow aims to close the gap for when the Service Appointment is updated to maintain accuracy of the service event calendar.</x:v>
      </x:c>
    </x:row>
    <x:row r="2760" ht="30" customHeight="1">
      <x:c r="A2760" s="117" t="str">
        <x:v>Service_Appointment_Trigger_If_SA_updated_update_event</x:v>
      </x:c>
      <x:c r="B2760" s="117" t="str">
        <x:v>300Ro00000SgtMdIAJ</x:v>
      </x:c>
      <x:c r="C2760" s="117" t="str">
        <x:v>301Ro00000trXpRIAU</x:v>
      </x:c>
      <x:c r="D2760" s="118" t="n">
        <x:v>2</x:v>
      </x:c>
      <x:c r="E2760" s="117" t="str">
        <x:v>Draft</x:v>
      </x:c>
      <x:c r="F2760" s="117" t="str">
        <x:v>No</x:v>
      </x:c>
      <x:c r="G2760" s="117" t="str">
        <x:v>Yes</x:v>
      </x:c>
      <x:c r="H2760" s="117" t="str">
        <x:v>AutoLaunchedFlow</x:v>
      </x:c>
      <x:c r="I2760" s="118" t="n">
        <x:v>63</x:v>
      </x:c>
      <x:c r="J2760" s="117" t="str">
        <x:v>unmanaged</x:v>
      </x:c>
      <x:c r="K2760" s="123" t="b">
        <x:v>0</x:v>
      </x:c>
      <x:c r="L2760" s="117"/>
      <x:c r="M2760" s="118"/>
      <x:c r="N2760" s="120" t="n">
        <x:v>46001.54230324074</x:v>
      </x:c>
      <x:c r="O2760" s="117" t="str">
        <x:v>Delegate</x:v>
      </x:c>
      <x:c r="P2760" s="120" t="n">
        <x:v>46001.54231481482</x:v>
      </x:c>
      <x:c r="Q2760" s="117" t="str">
        <x:v>Delegate</x:v>
      </x:c>
      <x:c r="R2760" s="117" t="str">
        <x:v>Service Appointment - Trigger - If SA updated, update event</x:v>
      </x:c>
      <x:c r="S2760" s="119" t="str">
        <x:v>11/25/2025 (BW) - Updating so that this doesn't error if a service crew is assigned</x:v>
      </x:c>
    </x:row>
    <x:row r="2761" ht="30" customHeight="1">
      <x:c r="A2761" s="117" t="str">
        <x:v>Service_Appointment_Trigger_Send_Email_to_AR_Upon_Dispatch</x:v>
      </x:c>
      <x:c r="B2761" s="117" t="str">
        <x:v>300Ro00000SgtMeIAJ</x:v>
      </x:c>
      <x:c r="C2761" s="117" t="str">
        <x:v>301Ro00000VgUuSIAV</x:v>
      </x:c>
      <x:c r="D2761" s="118" t="n">
        <x:v>1</x:v>
      </x:c>
      <x:c r="E2761" s="117" t="str">
        <x:v>Obsolete</x:v>
      </x:c>
      <x:c r="F2761" s="117" t="str">
        <x:v>No</x:v>
      </x:c>
      <x:c r="G2761" s="117" t="str">
        <x:v>No</x:v>
      </x:c>
      <x:c r="H2761" s="117" t="str">
        <x:v>AutoLaunchedFlow</x:v>
      </x:c>
      <x:c r="I2761" s="118" t="n">
        <x:v>63</x:v>
      </x:c>
      <x:c r="J2761" s="117" t="str">
        <x:v>unmanaged</x:v>
      </x:c>
      <x:c r="K2761" s="123" t="b">
        <x:v>0</x:v>
      </x:c>
      <x:c r="L2761" s="117"/>
      <x:c r="M2761" s="118"/>
      <x:c r="N2761" s="120" t="n">
        <x:v>45730.77056712963</x:v>
      </x:c>
      <x:c r="O2761" s="117" t="str">
        <x:v>Delegate</x:v>
      </x:c>
      <x:c r="P2761" s="120" t="n">
        <x:v>45730.78189814815</x:v>
      </x:c>
      <x:c r="Q2761" s="117" t="str">
        <x:v>Delegate</x:v>
      </x:c>
      <x:c r="R2761" s="117" t="str">
        <x:v>Service Appointment - Trigger - Send Email to AR Upon Dispatch</x:v>
      </x:c>
      <x:c r="S2761" s="119" t="str">
        <x:v>03/14/2025 - Kyle/Delegate - Adjustments to process call for email notification ONLY when SA is actually dispatched.</x:v>
      </x:c>
    </x:row>
    <x:row r="2762" ht="30" customHeight="1">
      <x:c r="A2762" s="117" t="str">
        <x:v>Service_Appointment_Trigger_Send_Email_to_AR_Upon_Dispatch</x:v>
      </x:c>
      <x:c r="B2762" s="117" t="str">
        <x:v>300Ro00000SgtMeIAJ</x:v>
      </x:c>
      <x:c r="C2762" s="117" t="str">
        <x:v>301Ro00000W2P82IAF</x:v>
      </x:c>
      <x:c r="D2762" s="118" t="n">
        <x:v>2</x:v>
      </x:c>
      <x:c r="E2762" s="117" t="str">
        <x:v>Obsolete</x:v>
      </x:c>
      <x:c r="F2762" s="117" t="str">
        <x:v>No</x:v>
      </x:c>
      <x:c r="G2762" s="117" t="str">
        <x:v>No</x:v>
      </x:c>
      <x:c r="H2762" s="117" t="str">
        <x:v>AutoLaunchedFlow</x:v>
      </x:c>
      <x:c r="I2762" s="118" t="n">
        <x:v>63</x:v>
      </x:c>
      <x:c r="J2762" s="117" t="str">
        <x:v>unmanaged</x:v>
      </x:c>
      <x:c r="K2762" s="123" t="b">
        <x:v>0</x:v>
      </x:c>
      <x:c r="L2762" s="117"/>
      <x:c r="M2762" s="118"/>
      <x:c r="N2762" s="120" t="n">
        <x:v>45737.540451388886</x:v>
      </x:c>
      <x:c r="O2762" s="117" t="str">
        <x:v>Delegate</x:v>
      </x:c>
      <x:c r="P2762" s="120" t="n">
        <x:v>45737.54173611111</x:v>
      </x:c>
      <x:c r="Q2762" s="117" t="str">
        <x:v>Delegate</x:v>
      </x:c>
      <x:c r="R2762" s="117" t="str">
        <x:v>Service Appointment - Trigger - Send Email to AR Upon Dispatch</x:v>
      </x:c>
      <x:c r="S2762" s="119" t="str">
        <x:v>03/14/2025 - Kyle/Delegate - Adjustments to process call for email notification ONLY when SA is actually dispatched.
03/21/2025 - Kyle - Additional error handling</x:v>
      </x:c>
    </x:row>
    <x:row r="2763" ht="30" customHeight="1">
      <x:c r="A2763" s="117" t="str">
        <x:v>Service_Appointment_Trigger_Send_Email_to_AR_Upon_Dispatch</x:v>
      </x:c>
      <x:c r="B2763" s="117" t="str">
        <x:v>300Ro00000SgtMeIAJ</x:v>
      </x:c>
      <x:c r="C2763" s="117" t="str">
        <x:v>301Ro00000XBRwQIAX</x:v>
      </x:c>
      <x:c r="D2763" s="118" t="n">
        <x:v>3</x:v>
      </x:c>
      <x:c r="E2763" s="117" t="str">
        <x:v>Obsolete</x:v>
      </x:c>
      <x:c r="F2763" s="117" t="str">
        <x:v>No</x:v>
      </x:c>
      <x:c r="G2763" s="117" t="str">
        <x:v>No</x:v>
      </x:c>
      <x:c r="H2763" s="117" t="str">
        <x:v>AutoLaunchedFlow</x:v>
      </x:c>
      <x:c r="I2763" s="118" t="n">
        <x:v>63</x:v>
      </x:c>
      <x:c r="J2763" s="117" t="str">
        <x:v>unmanaged</x:v>
      </x:c>
      <x:c r="K2763" s="123" t="b">
        <x:v>0</x:v>
      </x:c>
      <x:c r="L2763" s="117"/>
      <x:c r="M2763" s="118"/>
      <x:c r="N2763" s="120" t="n">
        <x:v>45757.71994212963</x:v>
      </x:c>
      <x:c r="O2763" s="117" t="str">
        <x:v>Delegate</x:v>
      </x:c>
      <x:c r="P2763" s="120" t="n">
        <x:v>45757.725381944445</x:v>
      </x:c>
      <x:c r="Q2763" s="117" t="str">
        <x:v>Delegate</x:v>
      </x:c>
      <x:c r="R2763" s="117" t="str">
        <x:v>Service Appointment - Trigger - Send Email to AR Upon Dispatch</x:v>
      </x:c>
      <x:c r="S2763" s="119" t="str">
        <x:v>03/14/2025 - Kyle/Delegate - Adjustments to process call for email notification ONLY when SA is actually dispatched.
03/21/2025 - Kyle - Additional error handling
04/10/2025 - Kyle - Additional criteria to exclude subcontractor email notifications</x:v>
      </x:c>
    </x:row>
    <x:row r="2764" ht="30" customHeight="1">
      <x:c r="A2764" s="117" t="str">
        <x:v>Service_Appointment_Trigger_Send_Email_to_AR_Upon_Dispatch</x:v>
      </x:c>
      <x:c r="B2764" s="117" t="str">
        <x:v>300Ro00000SgtMeIAJ</x:v>
      </x:c>
      <x:c r="C2764" s="117" t="str">
        <x:v>301Ro00000vgknCIAQ</x:v>
      </x:c>
      <x:c r="D2764" s="118" t="n">
        <x:v>4</x:v>
      </x:c>
      <x:c r="E2764" s="117" t="str">
        <x:v>Obsolete</x:v>
      </x:c>
      <x:c r="F2764" s="117" t="str">
        <x:v>No</x:v>
      </x:c>
      <x:c r="G2764" s="117" t="str">
        <x:v>No</x:v>
      </x:c>
      <x:c r="H2764" s="117" t="str">
        <x:v>AutoLaunchedFlow</x:v>
      </x:c>
      <x:c r="I2764" s="118" t="n">
        <x:v>63</x:v>
      </x:c>
      <x:c r="J2764" s="117" t="str">
        <x:v>unmanaged</x:v>
      </x:c>
      <x:c r="K2764" s="123" t="b">
        <x:v>0</x:v>
      </x:c>
      <x:c r="L2764" s="117"/>
      <x:c r="M2764" s="118"/>
      <x:c r="N2764" s="120" t="n">
        <x:v>46036.39097222222</x:v>
      </x:c>
      <x:c r="O2764" s="117" t="str">
        <x:v>Sacha Pearce</x:v>
      </x:c>
      <x:c r="P2764" s="120" t="n">
        <x:v>46036.39126157408</x:v>
      </x:c>
      <x:c r="Q2764" s="117" t="str">
        <x:v>Sacha Pearce</x:v>
      </x:c>
      <x:c r="R2764" s="117" t="str">
        <x:v>Service Appointment - Trigger - Send Email to AR Upon Dispatch</x:v>
      </x:c>
      <x:c r="S2764" s="119" t="str">
        <x:v>03/14/2025 - Kyle/Delegate - Adjustments to process call for email notification ONLY when SA is actually dispatched.
03/21/2025 - Kyle - Additional error handling
04/10/2025 - Kyle - Additional criteria to exclude subcontractor email notifications
01/14/2025 - V4 - SP - Amending email template and notification to be "Plain Text"</x:v>
      </x:c>
    </x:row>
    <x:row r="2765" ht="30" customHeight="1">
      <x:c r="A2765" s="117" t="str">
        <x:v>Service_Appointment_Trigger_Send_Email_to_AR_Upon_Dispatch</x:v>
      </x:c>
      <x:c r="B2765" s="117" t="str">
        <x:v>300Ro00000SgtMeIAJ</x:v>
      </x:c>
      <x:c r="C2765" s="117" t="str">
        <x:v>301Ro00000vgxFlIAI</x:v>
      </x:c>
      <x:c r="D2765" s="118" t="n">
        <x:v>5</x:v>
      </x:c>
      <x:c r="E2765" s="117" t="str">
        <x:v>Active</x:v>
      </x:c>
      <x:c r="F2765" s="117" t="str">
        <x:v>Yes</x:v>
      </x:c>
      <x:c r="G2765" s="117" t="str">
        <x:v>Yes</x:v>
      </x:c>
      <x:c r="H2765" s="117" t="str">
        <x:v>AutoLaunchedFlow</x:v>
      </x:c>
      <x:c r="I2765" s="118" t="n">
        <x:v>63</x:v>
      </x:c>
      <x:c r="J2765" s="117" t="str">
        <x:v>unmanaged</x:v>
      </x:c>
      <x:c r="K2765" s="123" t="b">
        <x:v>0</x:v>
      </x:c>
      <x:c r="L2765" s="117"/>
      <x:c r="M2765" s="118"/>
      <x:c r="N2765" s="120" t="n">
        <x:v>46036.395462962966</x:v>
      </x:c>
      <x:c r="O2765" s="117" t="str">
        <x:v>Sacha Pearce</x:v>
      </x:c>
      <x:c r="P2765" s="120" t="n">
        <x:v>46036.395520833335</x:v>
      </x:c>
      <x:c r="Q2765" s="117" t="str">
        <x:v>Sacha Pearce</x:v>
      </x:c>
      <x:c r="R2765" s="117" t="str">
        <x:v>Service Appointment - Trigger - Send Email to AR Upon Dispatch</x:v>
      </x:c>
      <x:c r="S2765" s="119" t="str">
        <x:v>03/14/2025 - Kyle/Delegate - Adjustments to process call for email notification ONLY when SA is actually dispatched.
03/21/2025 - Kyle - Additional error handling
04/10/2025 - Kyle - Additional criteria to exclude subcontractor email notifications
01/14/2025 - V4 - SP - Amending "EmailBody" and notification to be formatted/processed as "Plain Text"
01/14/2025 - V5 - SP - Amending "EmailSubject" to be "Plain Text"</x:v>
      </x:c>
    </x:row>
    <x:row r="2766" ht="30" customHeight="1">
      <x:c r="A2766" s="117" t="str">
        <x:v>Service_Appointment_Trigger_Update_Gantt_Label</x:v>
      </x:c>
      <x:c r="B2766" s="117" t="str">
        <x:v>300Ro00000STzUgIAL</x:v>
      </x:c>
      <x:c r="C2766" s="117" t="str">
        <x:v>301Ro00000VSlevIAD</x:v>
      </x:c>
      <x:c r="D2766" s="118" t="n">
        <x:v>1</x:v>
      </x:c>
      <x:c r="E2766" s="117" t="str">
        <x:v>Obsolete</x:v>
      </x:c>
      <x:c r="F2766" s="117" t="str">
        <x:v>No</x:v>
      </x:c>
      <x:c r="G2766" s="117" t="str">
        <x:v>No</x:v>
      </x:c>
      <x:c r="H2766" s="117" t="str">
        <x:v>AutoLaunchedFlow</x:v>
      </x:c>
      <x:c r="I2766" s="118" t="n">
        <x:v>63</x:v>
      </x:c>
      <x:c r="J2766" s="117" t="str">
        <x:v>unmanaged</x:v>
      </x:c>
      <x:c r="K2766" s="123" t="b">
        <x:v>0</x:v>
      </x:c>
      <x:c r="L2766" s="117"/>
      <x:c r="M2766" s="118"/>
      <x:c r="N2766" s="120" t="n">
        <x:v>45727.51315972222</x:v>
      </x:c>
      <x:c r="O2766" s="117" t="str">
        <x:v>Delegate</x:v>
      </x:c>
      <x:c r="P2766" s="120" t="n">
        <x:v>45727.5159375</x:v>
      </x:c>
      <x:c r="Q2766" s="117" t="str">
        <x:v>Delegate</x:v>
      </x:c>
      <x:c r="R2766" s="117" t="str">
        <x:v>Service Appointment - Trigger - Update Gantt Label</x:v>
      </x:c>
      <x:c r="S2766" s="119" t="str">
        <x:v>03/10/2025 - Kyle/Delegate - Keep Gantt label Updated</x:v>
      </x:c>
    </x:row>
    <x:row r="2767" ht="30" customHeight="1">
      <x:c r="A2767" s="117" t="str">
        <x:v>Service_Appointment_Trigger_Update_Gantt_Label</x:v>
      </x:c>
      <x:c r="B2767" s="117" t="str">
        <x:v>300Ro00000STzUgIAL</x:v>
      </x:c>
      <x:c r="C2767" s="117" t="str">
        <x:v>301Ro00000VTYZ9IAP</x:v>
      </x:c>
      <x:c r="D2767" s="118" t="n">
        <x:v>2</x:v>
      </x:c>
      <x:c r="E2767" s="117" t="str">
        <x:v>Obsolete</x:v>
      </x:c>
      <x:c r="F2767" s="117" t="str">
        <x:v>No</x:v>
      </x:c>
      <x:c r="G2767" s="117" t="str">
        <x:v>No</x:v>
      </x:c>
      <x:c r="H2767" s="117" t="str">
        <x:v>AutoLaunchedFlow</x:v>
      </x:c>
      <x:c r="I2767" s="118" t="n">
        <x:v>63</x:v>
      </x:c>
      <x:c r="J2767" s="117" t="str">
        <x:v>unmanaged</x:v>
      </x:c>
      <x:c r="K2767" s="123" t="b">
        <x:v>0</x:v>
      </x:c>
      <x:c r="L2767" s="117"/>
      <x:c r="M2767" s="118"/>
      <x:c r="N2767" s="120" t="n">
        <x:v>45727.6362037037</x:v>
      </x:c>
      <x:c r="O2767" s="117" t="str">
        <x:v>Delegate</x:v>
      </x:c>
      <x:c r="P2767" s="120" t="n">
        <x:v>45727.63630787037</x:v>
      </x:c>
      <x:c r="Q2767" s="117" t="str">
        <x:v>Delegate</x:v>
      </x:c>
      <x:c r="R2767" s="117" t="str">
        <x:v>Service Appointment - Trigger - Update Gantt Label</x:v>
      </x:c>
      <x:c r="S2767" s="119" t="str">
        <x:v>03/10/2025 - Kyle/Delegate - Keep Gantt label Updated</x:v>
      </x:c>
    </x:row>
    <x:row r="2768" ht="30" customHeight="1">
      <x:c r="A2768" s="117" t="str">
        <x:v>Service_Appointment_Trigger_Update_Gantt_Label</x:v>
      </x:c>
      <x:c r="B2768" s="117" t="str">
        <x:v>300Ro00000STzUgIAL</x:v>
      </x:c>
      <x:c r="C2768" s="117" t="str">
        <x:v>301Ro00000VXMsmIAH</x:v>
      </x:c>
      <x:c r="D2768" s="118" t="n">
        <x:v>3</x:v>
      </x:c>
      <x:c r="E2768" s="117" t="str">
        <x:v>Obsolete</x:v>
      </x:c>
      <x:c r="F2768" s="117" t="str">
        <x:v>No</x:v>
      </x:c>
      <x:c r="G2768" s="117" t="str">
        <x:v>No</x:v>
      </x:c>
      <x:c r="H2768" s="117" t="str">
        <x:v>AutoLaunchedFlow</x:v>
      </x:c>
      <x:c r="I2768" s="118" t="n">
        <x:v>63</x:v>
      </x:c>
      <x:c r="J2768" s="117" t="str">
        <x:v>unmanaged</x:v>
      </x:c>
      <x:c r="K2768" s="123" t="b">
        <x:v>0</x:v>
      </x:c>
      <x:c r="L2768" s="117"/>
      <x:c r="M2768" s="118"/>
      <x:c r="N2768" s="120" t="n">
        <x:v>45728.52815972222</x:v>
      </x:c>
      <x:c r="O2768" s="117" t="str">
        <x:v>Delegate</x:v>
      </x:c>
      <x:c r="P2768" s="120" t="n">
        <x:v>45728.528449074074</x:v>
      </x:c>
      <x:c r="Q2768" s="117" t="str">
        <x:v>Delegate</x:v>
      </x:c>
      <x:c r="R2768" s="117" t="str">
        <x:v>Service Appointment - Trigger - Update Gantt Label</x:v>
      </x:c>
      <x:c r="S2768" s="119" t="str">
        <x:v>03/10/2025 - Kyle/Delegate - Keep Gantt label Updated
03/12/2025 - Kyle/Delegate - Adding Gantt Icon updates</x:v>
      </x:c>
    </x:row>
    <x:row r="2769" ht="30" customHeight="1">
      <x:c r="A2769" s="117" t="str">
        <x:v>Service_Appointment_Trigger_Update_Gantt_Label</x:v>
      </x:c>
      <x:c r="B2769" s="117" t="str">
        <x:v>300Ro00000STzUgIAL</x:v>
      </x:c>
      <x:c r="C2769" s="117" t="str">
        <x:v>301Ro00000XodUeIAJ</x:v>
      </x:c>
      <x:c r="D2769" s="118" t="n">
        <x:v>4</x:v>
      </x:c>
      <x:c r="E2769" s="117" t="str">
        <x:v>Draft</x:v>
      </x:c>
      <x:c r="F2769" s="117" t="str">
        <x:v>No</x:v>
      </x:c>
      <x:c r="G2769" s="117" t="str">
        <x:v>No</x:v>
      </x:c>
      <x:c r="H2769" s="117" t="str">
        <x:v>AutoLaunchedFlow</x:v>
      </x:c>
      <x:c r="I2769" s="118" t="n">
        <x:v>63</x:v>
      </x:c>
      <x:c r="J2769" s="117" t="str">
        <x:v>unmanaged</x:v>
      </x:c>
      <x:c r="K2769" s="123" t="b">
        <x:v>0</x:v>
      </x:c>
      <x:c r="L2769" s="117"/>
      <x:c r="M2769" s="118"/>
      <x:c r="N2769" s="120" t="n">
        <x:v>45769.70525462963</x:v>
      </x:c>
      <x:c r="O2769" s="117" t="str">
        <x:v>Delegate</x:v>
      </x:c>
      <x:c r="P2769" s="120" t="n">
        <x:v>45769.705300925925</x:v>
      </x:c>
      <x:c r="Q2769" s="117" t="str">
        <x:v>Delegate</x:v>
      </x:c>
      <x:c r="R2769" s="117" t="str">
        <x:v>Service Appointment - Trigger - Update Gantt Label</x:v>
      </x:c>
      <x:c r="S2769" s="119" t="str">
        <x:v>03/10/2025 - Kyle/Delegate - Keep Gantt label Updated
04/18/2025 - Kyle - Updates for Tentative Time Blocks</x:v>
      </x:c>
    </x:row>
    <x:row r="2770" ht="30" customHeight="1">
      <x:c r="A2770" s="117" t="str">
        <x:v>Service_Appointment_Trigger_Update_Gantt_Label</x:v>
      </x:c>
      <x:c r="B2770" s="117" t="str">
        <x:v>300Ro00000STzUgIAL</x:v>
      </x:c>
      <x:c r="C2770" s="117" t="str">
        <x:v>301Ro00000XvhuvIAB</x:v>
      </x:c>
      <x:c r="D2770" s="118" t="n">
        <x:v>5</x:v>
      </x:c>
      <x:c r="E2770" s="117" t="str">
        <x:v>Obsolete</x:v>
      </x:c>
      <x:c r="F2770" s="117" t="str">
        <x:v>No</x:v>
      </x:c>
      <x:c r="G2770" s="117" t="str">
        <x:v>No</x:v>
      </x:c>
      <x:c r="H2770" s="117" t="str">
        <x:v>AutoLaunchedFlow</x:v>
      </x:c>
      <x:c r="I2770" s="118" t="n">
        <x:v>63</x:v>
      </x:c>
      <x:c r="J2770" s="117" t="str">
        <x:v>unmanaged</x:v>
      </x:c>
      <x:c r="K2770" s="123" t="b">
        <x:v>0</x:v>
      </x:c>
      <x:c r="L2770" s="117"/>
      <x:c r="M2770" s="118"/>
      <x:c r="N2770" s="120" t="n">
        <x:v>45771.56267361111</x:v>
      </x:c>
      <x:c r="O2770" s="117" t="str">
        <x:v>Delegate</x:v>
      </x:c>
      <x:c r="P2770" s="120" t="n">
        <x:v>45771.56517361111</x:v>
      </x:c>
      <x:c r="Q2770" s="117" t="str">
        <x:v>Delegate</x:v>
      </x:c>
      <x:c r="R2770" s="117" t="str">
        <x:v>Service Appointment - Trigger - Update Gantt Label</x:v>
      </x:c>
      <x:c r="S2770" s="119" t="str">
        <x:v>03/10/2025 - Kyle/Delegate - Keep Gantt label Updated
03/12/2025 - Kyle/Delegate - Adding Gantt Icon updates
04/24/2025 - Kyle/Delegate - Adding Tentative Time block title info</x:v>
      </x:c>
    </x:row>
    <x:row r="2771" ht="30" customHeight="1">
      <x:c r="A2771" s="117" t="str">
        <x:v>Service_Appointment_Trigger_Update_Gantt_Label</x:v>
      </x:c>
      <x:c r="B2771" s="117" t="str">
        <x:v>300Ro00000STzUgIAL</x:v>
      </x:c>
      <x:c r="C2771" s="117" t="str">
        <x:v>301Ro00000Y7bSJIAZ</x:v>
      </x:c>
      <x:c r="D2771" s="118" t="n">
        <x:v>6</x:v>
      </x:c>
      <x:c r="E2771" s="117" t="str">
        <x:v>Active</x:v>
      </x:c>
      <x:c r="F2771" s="117" t="str">
        <x:v>Yes</x:v>
      </x:c>
      <x:c r="G2771" s="117" t="str">
        <x:v>Yes</x:v>
      </x:c>
      <x:c r="H2771" s="117" t="str">
        <x:v>AutoLaunchedFlow</x:v>
      </x:c>
      <x:c r="I2771" s="118" t="n">
        <x:v>63</x:v>
      </x:c>
      <x:c r="J2771" s="117" t="str">
        <x:v>unmanaged</x:v>
      </x:c>
      <x:c r="K2771" s="123" t="b">
        <x:v>0</x:v>
      </x:c>
      <x:c r="L2771" s="117"/>
      <x:c r="M2771" s="118"/>
      <x:c r="N2771" s="120" t="n">
        <x:v>45775.5955787037</x:v>
      </x:c>
      <x:c r="O2771" s="117" t="str">
        <x:v>Delegate</x:v>
      </x:c>
      <x:c r="P2771" s="120" t="n">
        <x:v>45775.595625</x:v>
      </x:c>
      <x:c r="Q2771" s="117" t="str">
        <x:v>Delegate</x:v>
      </x:c>
      <x:c r="R2771" s="117" t="str">
        <x:v>Service Appointment - Trigger - Update Gantt Label</x:v>
      </x:c>
      <x:c r="S2771" s="119" t="str">
        <x:v>03/10/2025 - Kyle/Delegate - Keep Gantt label Updated
03/12/2025 - Kyle/Delegate - Adding Gantt Icon updates
04/24/2025 - Kyle/Delegate - Adding Tentative Time block title info</x:v>
      </x:c>
    </x:row>
    <x:row r="2772" ht="30" customHeight="1">
      <x:c r="A2772" s="117" t="str">
        <x:v>Service_Appointment_Trigger_Update_Offsite_Appointment_Checkbox</x:v>
      </x:c>
      <x:c r="B2772" s="117" t="str">
        <x:v>300Ro00000RldXrIAJ</x:v>
      </x:c>
      <x:c r="C2772" s="117" t="str">
        <x:v>301Ro00000UdtoCIAR</x:v>
      </x:c>
      <x:c r="D2772" s="118" t="n">
        <x:v>1</x:v>
      </x:c>
      <x:c r="E2772" s="117" t="str">
        <x:v>Active</x:v>
      </x:c>
      <x:c r="F2772" s="117" t="str">
        <x:v>Yes</x:v>
      </x:c>
      <x:c r="G2772" s="117" t="str">
        <x:v>Yes</x:v>
      </x:c>
      <x:c r="H2772" s="117" t="str">
        <x:v>AutoLaunchedFlow</x:v>
      </x:c>
      <x:c r="I2772" s="118" t="n">
        <x:v>63</x:v>
      </x:c>
      <x:c r="J2772" s="117" t="str">
        <x:v>unmanaged</x:v>
      </x:c>
      <x:c r="K2772" s="123" t="b">
        <x:v>0</x:v>
      </x:c>
      <x:c r="L2772" s="117"/>
      <x:c r="M2772" s="118"/>
      <x:c r="N2772" s="120" t="n">
        <x:v>45713.620671296296</x:v>
      </x:c>
      <x:c r="O2772" s="117" t="str">
        <x:v>Delegate</x:v>
      </x:c>
      <x:c r="P2772" s="120" t="n">
        <x:v>45713.62216435185</x:v>
      </x:c>
      <x:c r="Q2772" s="117" t="str">
        <x:v>Delegate</x:v>
      </x:c>
      <x:c r="R2772" s="117" t="str">
        <x:v>Service Appointment - Trigger - Update Offsite Appointment Checkbox</x:v>
      </x:c>
      <x:c r="S2772" s="119" t="str">
        <x:v>02/24/2024 - Kyle L @ Delegate - This flow guarantees that the "Offsite Appointment" Checkbox is marked "TRUE" when an SA is created or updated when the Appointment Type field value is "Tech Call".</x:v>
      </x:c>
    </x:row>
    <x:row r="2773" ht="30" customHeight="1">
      <x:c r="A2773" s="117" t="str">
        <x:v>Service_Appointment_Update_Set_Duration_on_Actual_Start_or_Actual_End_Change</x:v>
      </x:c>
      <x:c r="B2773" s="117" t="str">
        <x:v>300Ro00000wzNWEIA2</x:v>
      </x:c>
      <x:c r="C2773" s="117" t="str">
        <x:v>301Ro0000158ZLXIA2</x:v>
      </x:c>
      <x:c r="D2773" s="118" t="n">
        <x:v>1</x:v>
      </x:c>
      <x:c r="E2773" s="117" t="str">
        <x:v>Obsolete</x:v>
      </x:c>
      <x:c r="F2773" s="117" t="str">
        <x:v>No</x:v>
      </x:c>
      <x:c r="G2773" s="117" t="str">
        <x:v>Yes</x:v>
      </x:c>
      <x:c r="H2773" s="117" t="str">
        <x:v>AutoLaunchedFlow</x:v>
      </x:c>
      <x:c r="I2773" s="118" t="n">
        <x:v>66</x:v>
      </x:c>
      <x:c r="J2773" s="117" t="str">
        <x:v>unmanaged</x:v>
      </x:c>
      <x:c r="K2773" s="123" t="b">
        <x:v>0</x:v>
      </x:c>
      <x:c r="L2773" s="117"/>
      <x:c r="M2773" s="118"/>
      <x:c r="N2773" s="120" t="n">
        <x:v>46150.56748842593</x:v>
      </x:c>
      <x:c r="O2773" s="117" t="str">
        <x:v>Sacha Pearce</x:v>
      </x:c>
      <x:c r="P2773" s="120" t="n">
        <x:v>46150.57425925926</x:v>
      </x:c>
      <x:c r="Q2773" s="117" t="str">
        <x:v>Sacha Pearce</x:v>
      </x:c>
      <x:c r="R2773" s="117" t="str">
        <x:v>Service Appointment - Update - Set Duration on Actual Start or Actual End Change</x:v>
      </x:c>
      <x:c r="S2773" s="119"/>
    </x:row>
    <x:row r="2774" ht="30" customHeight="1">
      <x:c r="A2774" s="117" t="str">
        <x:v>Service_Contract_Billing_Flow</x:v>
      </x:c>
      <x:c r="B2774" s="117" t="str">
        <x:v>3005b000000H1uvAAC</x:v>
      </x:c>
      <x:c r="C2774" s="117" t="str">
        <x:v>3015b000000EBRzAAO</x:v>
      </x:c>
      <x:c r="D2774" s="118" t="n">
        <x:v>1</x:v>
      </x:c>
      <x:c r="E2774" s="117" t="str">
        <x:v>Obsolete</x:v>
      </x:c>
      <x:c r="F2774" s="117" t="str">
        <x:v>No</x:v>
      </x:c>
      <x:c r="G2774" s="117" t="str">
        <x:v>No</x:v>
      </x:c>
      <x:c r="H2774" s="117" t="str">
        <x:v>AutoLaunchedFlow</x:v>
      </x:c>
      <x:c r="I2774" s="118" t="n">
        <x:v>52</x:v>
      </x:c>
      <x:c r="J2774" s="117" t="str">
        <x:v>unmanaged</x:v>
      </x:c>
      <x:c r="K2774" s="123" t="b">
        <x:v>0</x:v>
      </x:c>
      <x:c r="L2774" s="117"/>
      <x:c r="M2774" s="118"/>
      <x:c r="N2774" s="120" t="n">
        <x:v>44472.69712962963</x:v>
      </x:c>
      <x:c r="O2774" s="117" t="str">
        <x:v>Natalie Boger</x:v>
      </x:c>
      <x:c r="P2774" s="120" t="n">
        <x:v>44473.69155092593</x:v>
      </x:c>
      <x:c r="Q2774" s="117" t="str">
        <x:v>Natalie Boger</x:v>
      </x:c>
      <x:c r="R2774" s="117" t="str">
        <x:v>Service Contract Billing Flow</x:v>
      </x:c>
      <x:c r="S2774" s="119"/>
    </x:row>
    <x:row r="2775" ht="30" customHeight="1">
      <x:c r="A2775" s="117" t="str">
        <x:v>Service_Contract_Billing_Flow</x:v>
      </x:c>
      <x:c r="B2775" s="117" t="str">
        <x:v>3005b000000H1uvAAC</x:v>
      </x:c>
      <x:c r="C2775" s="117" t="str">
        <x:v>3015b000000EBpfAAG</x:v>
      </x:c>
      <x:c r="D2775" s="118" t="n">
        <x:v>2</x:v>
      </x:c>
      <x:c r="E2775" s="117" t="str">
        <x:v>Obsolete</x:v>
      </x:c>
      <x:c r="F2775" s="117" t="str">
        <x:v>No</x:v>
      </x:c>
      <x:c r="G2775" s="117" t="str">
        <x:v>No</x:v>
      </x:c>
      <x:c r="H2775" s="117" t="str">
        <x:v>AutoLaunchedFlow</x:v>
      </x:c>
      <x:c r="I2775" s="118" t="n">
        <x:v>52</x:v>
      </x:c>
      <x:c r="J2775" s="117" t="str">
        <x:v>unmanaged</x:v>
      </x:c>
      <x:c r="K2775" s="123" t="b">
        <x:v>0</x:v>
      </x:c>
      <x:c r="L2775" s="117"/>
      <x:c r="M2775" s="118"/>
      <x:c r="N2775" s="120" t="n">
        <x:v>44477.867847222224</x:v>
      </x:c>
      <x:c r="O2775" s="117" t="str">
        <x:v>Delegate</x:v>
      </x:c>
      <x:c r="P2775" s="120" t="n">
        <x:v>44477.868842592594</x:v>
      </x:c>
      <x:c r="Q2775" s="117" t="str">
        <x:v>Delegate</x:v>
      </x:c>
      <x:c r="R2775" s="117" t="str">
        <x:v>Service Contract Billing Flow</x:v>
      </x:c>
      <x:c r="S2775" s="119"/>
    </x:row>
    <x:row r="2776" ht="30" customHeight="1">
      <x:c r="A2776" s="117" t="str">
        <x:v>Service_Contract_Billing_Flow</x:v>
      </x:c>
      <x:c r="B2776" s="117" t="str">
        <x:v>3005b000000H1uvAAC</x:v>
      </x:c>
      <x:c r="C2776" s="117" t="str">
        <x:v>3015b000000ECD8AAO</x:v>
      </x:c>
      <x:c r="D2776" s="118" t="n">
        <x:v>3</x:v>
      </x:c>
      <x:c r="E2776" s="117" t="str">
        <x:v>Obsolete</x:v>
      </x:c>
      <x:c r="F2776" s="117" t="str">
        <x:v>No</x:v>
      </x:c>
      <x:c r="G2776" s="117" t="str">
        <x:v>No</x:v>
      </x:c>
      <x:c r="H2776" s="117" t="str">
        <x:v>AutoLaunchedFlow</x:v>
      </x:c>
      <x:c r="I2776" s="118" t="n">
        <x:v>52</x:v>
      </x:c>
      <x:c r="J2776" s="117" t="str">
        <x:v>unmanaged</x:v>
      </x:c>
      <x:c r="K2776" s="123" t="b">
        <x:v>0</x:v>
      </x:c>
      <x:c r="L2776" s="117"/>
      <x:c r="M2776" s="118"/>
      <x:c r="N2776" s="120" t="n">
        <x:v>44484.56449074074</x:v>
      </x:c>
      <x:c r="O2776" s="117" t="str">
        <x:v>Delegate</x:v>
      </x:c>
      <x:c r="P2776" s="120" t="n">
        <x:v>44484.56453703704</x:v>
      </x:c>
      <x:c r="Q2776" s="117" t="str">
        <x:v>Delegate</x:v>
      </x:c>
      <x:c r="R2776" s="117" t="str">
        <x:v>Service Contract Billing Flow</x:v>
      </x:c>
      <x:c r="S2776" s="119"/>
    </x:row>
    <x:row r="2777" ht="30" customHeight="1">
      <x:c r="A2777" s="117" t="str">
        <x:v>Service_Contract_Billing_Flow</x:v>
      </x:c>
      <x:c r="B2777" s="117" t="str">
        <x:v>3005b000000H1uvAAC</x:v>
      </x:c>
      <x:c r="C2777" s="117" t="str">
        <x:v>3015b000000ECDDAA4</x:v>
      </x:c>
      <x:c r="D2777" s="118" t="n">
        <x:v>4</x:v>
      </x:c>
      <x:c r="E2777" s="117" t="str">
        <x:v>Obsolete</x:v>
      </x:c>
      <x:c r="F2777" s="117" t="str">
        <x:v>No</x:v>
      </x:c>
      <x:c r="G2777" s="117" t="str">
        <x:v>No</x:v>
      </x:c>
      <x:c r="H2777" s="117" t="str">
        <x:v>AutoLaunchedFlow</x:v>
      </x:c>
      <x:c r="I2777" s="118" t="n">
        <x:v>52</x:v>
      </x:c>
      <x:c r="J2777" s="117" t="str">
        <x:v>unmanaged</x:v>
      </x:c>
      <x:c r="K2777" s="123" t="b">
        <x:v>0</x:v>
      </x:c>
      <x:c r="L2777" s="117"/>
      <x:c r="M2777" s="118"/>
      <x:c r="N2777" s="120" t="n">
        <x:v>44484.564930555556</x:v>
      </x:c>
      <x:c r="O2777" s="117" t="str">
        <x:v>Delegate</x:v>
      </x:c>
      <x:c r="P2777" s="120" t="n">
        <x:v>44484.56496527778</x:v>
      </x:c>
      <x:c r="Q2777" s="117" t="str">
        <x:v>Delegate</x:v>
      </x:c>
      <x:c r="R2777" s="117" t="str">
        <x:v>Service Contract Billing Flow</x:v>
      </x:c>
      <x:c r="S2777" s="119"/>
    </x:row>
    <x:row r="2778" ht="30" customHeight="1">
      <x:c r="A2778" s="117" t="str">
        <x:v>Service_Contract_Billing_Flow</x:v>
      </x:c>
      <x:c r="B2778" s="117" t="str">
        <x:v>3005b000000H1uvAAC</x:v>
      </x:c>
      <x:c r="C2778" s="117" t="str">
        <x:v>3015b000000ECCzAAO</x:v>
      </x:c>
      <x:c r="D2778" s="118" t="n">
        <x:v>5</x:v>
      </x:c>
      <x:c r="E2778" s="117" t="str">
        <x:v>Draft</x:v>
      </x:c>
      <x:c r="F2778" s="117" t="str">
        <x:v>No</x:v>
      </x:c>
      <x:c r="G2778" s="117" t="str">
        <x:v>No</x:v>
      </x:c>
      <x:c r="H2778" s="117" t="str">
        <x:v>AutoLaunchedFlow</x:v>
      </x:c>
      <x:c r="I2778" s="118" t="n">
        <x:v>52</x:v>
      </x:c>
      <x:c r="J2778" s="117" t="str">
        <x:v>unmanaged</x:v>
      </x:c>
      <x:c r="K2778" s="123" t="b">
        <x:v>0</x:v>
      </x:c>
      <x:c r="L2778" s="117"/>
      <x:c r="M2778" s="118"/>
      <x:c r="N2778" s="120" t="n">
        <x:v>44484.57045138889</x:v>
      </x:c>
      <x:c r="O2778" s="117" t="str">
        <x:v>Delegate</x:v>
      </x:c>
      <x:c r="P2778" s="120" t="n">
        <x:v>44484.57046296296</x:v>
      </x:c>
      <x:c r="Q2778" s="117" t="str">
        <x:v>Delegate</x:v>
      </x:c>
      <x:c r="R2778" s="117" t="str">
        <x:v>Service Contract Billing Flow</x:v>
      </x:c>
      <x:c r="S2778" s="119"/>
    </x:row>
    <x:row r="2779" ht="30" customHeight="1">
      <x:c r="A2779" s="117" t="str">
        <x:v>Service_Contract_Billing_Flow</x:v>
      </x:c>
      <x:c r="B2779" s="117" t="str">
        <x:v>3005b000000H1uvAAC</x:v>
      </x:c>
      <x:c r="C2779" s="117" t="str">
        <x:v>3015b000000ECVRAA4</x:v>
      </x:c>
      <x:c r="D2779" s="118" t="n">
        <x:v>6</x:v>
      </x:c>
      <x:c r="E2779" s="117" t="str">
        <x:v>Obsolete</x:v>
      </x:c>
      <x:c r="F2779" s="117" t="str">
        <x:v>No</x:v>
      </x:c>
      <x:c r="G2779" s="117" t="str">
        <x:v>No</x:v>
      </x:c>
      <x:c r="H2779" s="117" t="str">
        <x:v>AutoLaunchedFlow</x:v>
      </x:c>
      <x:c r="I2779" s="118" t="n">
        <x:v>52</x:v>
      </x:c>
      <x:c r="J2779" s="117" t="str">
        <x:v>unmanaged</x:v>
      </x:c>
      <x:c r="K2779" s="123" t="b">
        <x:v>0</x:v>
      </x:c>
      <x:c r="L2779" s="117"/>
      <x:c r="M2779" s="118"/>
      <x:c r="N2779" s="120" t="n">
        <x:v>44491.649050925924</x:v>
      </x:c>
      <x:c r="O2779" s="117" t="str">
        <x:v>Delegate</x:v>
      </x:c>
      <x:c r="P2779" s="120" t="n">
        <x:v>44491.649189814816</x:v>
      </x:c>
      <x:c r="Q2779" s="117" t="str">
        <x:v>Delegate</x:v>
      </x:c>
      <x:c r="R2779" s="117" t="str">
        <x:v>Service Contract Billing Flow</x:v>
      </x:c>
      <x:c r="S2779" s="119"/>
    </x:row>
    <x:row r="2780" ht="30" customHeight="1">
      <x:c r="A2780" s="117" t="str">
        <x:v>Service_Contract_Billing_Flow</x:v>
      </x:c>
      <x:c r="B2780" s="117" t="str">
        <x:v>3005b000000H1uvAAC</x:v>
      </x:c>
      <x:c r="C2780" s="117" t="str">
        <x:v>3015b000000ECVWAA4</x:v>
      </x:c>
      <x:c r="D2780" s="118" t="n">
        <x:v>7</x:v>
      </x:c>
      <x:c r="E2780" s="117" t="str">
        <x:v>Obsolete</x:v>
      </x:c>
      <x:c r="F2780" s="117" t="str">
        <x:v>No</x:v>
      </x:c>
      <x:c r="G2780" s="117" t="str">
        <x:v>No</x:v>
      </x:c>
      <x:c r="H2780" s="117" t="str">
        <x:v>AutoLaunchedFlow</x:v>
      </x:c>
      <x:c r="I2780" s="118" t="n">
        <x:v>52</x:v>
      </x:c>
      <x:c r="J2780" s="117" t="str">
        <x:v>unmanaged</x:v>
      </x:c>
      <x:c r="K2780" s="123" t="b">
        <x:v>0</x:v>
      </x:c>
      <x:c r="L2780" s="117"/>
      <x:c r="M2780" s="118"/>
      <x:c r="N2780" s="120" t="n">
        <x:v>44491.65126157407</x:v>
      </x:c>
      <x:c r="O2780" s="117" t="str">
        <x:v>Delegate</x:v>
      </x:c>
      <x:c r="P2780" s="120" t="n">
        <x:v>44491.65131944444</x:v>
      </x:c>
      <x:c r="Q2780" s="117" t="str">
        <x:v>Delegate</x:v>
      </x:c>
      <x:c r="R2780" s="117" t="str">
        <x:v>Service Contract Billing Flow</x:v>
      </x:c>
      <x:c r="S2780" s="119"/>
    </x:row>
    <x:row r="2781" ht="30" customHeight="1">
      <x:c r="A2781" s="117" t="str">
        <x:v>Service_Contract_Billing_Flow</x:v>
      </x:c>
      <x:c r="B2781" s="117" t="str">
        <x:v>3005b000000H1uvAAC</x:v>
      </x:c>
      <x:c r="C2781" s="117" t="str">
        <x:v>3015b000000ECgeAAG</x:v>
      </x:c>
      <x:c r="D2781" s="118" t="n">
        <x:v>8</x:v>
      </x:c>
      <x:c r="E2781" s="117" t="str">
        <x:v>Obsolete</x:v>
      </x:c>
      <x:c r="F2781" s="117" t="str">
        <x:v>No</x:v>
      </x:c>
      <x:c r="G2781" s="117" t="str">
        <x:v>No</x:v>
      </x:c>
      <x:c r="H2781" s="117" t="str">
        <x:v>AutoLaunchedFlow</x:v>
      </x:c>
      <x:c r="I2781" s="118" t="n">
        <x:v>52</x:v>
      </x:c>
      <x:c r="J2781" s="117" t="str">
        <x:v>unmanaged</x:v>
      </x:c>
      <x:c r="K2781" s="123" t="b">
        <x:v>0</x:v>
      </x:c>
      <x:c r="L2781" s="117"/>
      <x:c r="M2781" s="118"/>
      <x:c r="N2781" s="120" t="n">
        <x:v>44496.62600694445</x:v>
      </x:c>
      <x:c r="O2781" s="117" t="str">
        <x:v>Delegate</x:v>
      </x:c>
      <x:c r="P2781" s="120" t="n">
        <x:v>44496.62608796296</x:v>
      </x:c>
      <x:c r="Q2781" s="117" t="str">
        <x:v>Delegate</x:v>
      </x:c>
      <x:c r="R2781" s="117" t="str">
        <x:v>Service Contract Billing Flow</x:v>
      </x:c>
      <x:c r="S2781" s="119"/>
    </x:row>
    <x:row r="2782" ht="30" customHeight="1">
      <x:c r="A2782" s="117" t="str">
        <x:v>Service_Contract_Billing_Flow</x:v>
      </x:c>
      <x:c r="B2782" s="117" t="str">
        <x:v>3005b000000H1uvAAC</x:v>
      </x:c>
      <x:c r="C2782" s="117" t="str">
        <x:v>3015b000000EE01AAG</x:v>
      </x:c>
      <x:c r="D2782" s="118" t="n">
        <x:v>9</x:v>
      </x:c>
      <x:c r="E2782" s="117" t="str">
        <x:v>Obsolete</x:v>
      </x:c>
      <x:c r="F2782" s="117" t="str">
        <x:v>No</x:v>
      </x:c>
      <x:c r="G2782" s="117" t="str">
        <x:v>No</x:v>
      </x:c>
      <x:c r="H2782" s="117" t="str">
        <x:v>AutoLaunchedFlow</x:v>
      </x:c>
      <x:c r="I2782" s="118" t="n">
        <x:v>52</x:v>
      </x:c>
      <x:c r="J2782" s="117" t="str">
        <x:v>unmanaged</x:v>
      </x:c>
      <x:c r="K2782" s="123" t="b">
        <x:v>0</x:v>
      </x:c>
      <x:c r="L2782" s="117"/>
      <x:c r="M2782" s="118"/>
      <x:c r="N2782" s="120" t="n">
        <x:v>44531.83555555555</x:v>
      </x:c>
      <x:c r="O2782" s="117" t="str">
        <x:v>Natalie Boger</x:v>
      </x:c>
      <x:c r="P2782" s="120" t="n">
        <x:v>44531.835694444446</x:v>
      </x:c>
      <x:c r="Q2782" s="117" t="str">
        <x:v>Natalie Boger</x:v>
      </x:c>
      <x:c r="R2782" s="117" t="str">
        <x:v>Service Contract Billing Flow</x:v>
      </x:c>
      <x:c r="S2782" s="119"/>
    </x:row>
    <x:row r="2783" ht="30" customHeight="1">
      <x:c r="A2783" s="117" t="str">
        <x:v>Service_Contract_Billing_Flow</x:v>
      </x:c>
      <x:c r="B2783" s="117" t="str">
        <x:v>3005b000000H1uvAAC</x:v>
      </x:c>
      <x:c r="C2783" s="117" t="str">
        <x:v>3015b000000EE2MAAW</x:v>
      </x:c>
      <x:c r="D2783" s="118" t="n">
        <x:v>10</x:v>
      </x:c>
      <x:c r="E2783" s="117" t="str">
        <x:v>Obsolete</x:v>
      </x:c>
      <x:c r="F2783" s="117" t="str">
        <x:v>No</x:v>
      </x:c>
      <x:c r="G2783" s="117" t="str">
        <x:v>Yes</x:v>
      </x:c>
      <x:c r="H2783" s="117" t="str">
        <x:v>AutoLaunchedFlow</x:v>
      </x:c>
      <x:c r="I2783" s="118" t="n">
        <x:v>52</x:v>
      </x:c>
      <x:c r="J2783" s="117" t="str">
        <x:v>unmanaged</x:v>
      </x:c>
      <x:c r="K2783" s="123" t="b">
        <x:v>0</x:v>
      </x:c>
      <x:c r="L2783" s="117"/>
      <x:c r="M2783" s="118"/>
      <x:c r="N2783" s="120" t="n">
        <x:v>44532.72667824074</x:v>
      </x:c>
      <x:c r="O2783" s="117" t="str">
        <x:v>Natalie Boger</x:v>
      </x:c>
      <x:c r="P2783" s="120" t="n">
        <x:v>44538.71664351852</x:v>
      </x:c>
      <x:c r="Q2783" s="117" t="str">
        <x:v>Natalie Boger</x:v>
      </x:c>
      <x:c r="R2783" s="117" t="str">
        <x:v>Service Contract Billing Flow</x:v>
      </x:c>
      <x:c r="S2783" s="119"/>
    </x:row>
    <x:row r="2784" ht="30" customHeight="1">
      <x:c r="A2784" s="117" t="str">
        <x:v>Service_Contract_Billing_Scheduling_Flow</x:v>
      </x:c>
      <x:c r="B2784" s="117" t="str">
        <x:v>3005b000000H1uwAAC</x:v>
      </x:c>
      <x:c r="C2784" s="117" t="str">
        <x:v>3015b000000EBS0AAO</x:v>
      </x:c>
      <x:c r="D2784" s="118" t="n">
        <x:v>1</x:v>
      </x:c>
      <x:c r="E2784" s="117" t="str">
        <x:v>Obsolete</x:v>
      </x:c>
      <x:c r="F2784" s="117" t="str">
        <x:v>No</x:v>
      </x:c>
      <x:c r="G2784" s="117" t="str">
        <x:v>Yes</x:v>
      </x:c>
      <x:c r="H2784" s="117" t="str">
        <x:v>AutoLaunchedFlow</x:v>
      </x:c>
      <x:c r="I2784" s="118" t="n">
        <x:v>52</x:v>
      </x:c>
      <x:c r="J2784" s="117" t="str">
        <x:v>unmanaged</x:v>
      </x:c>
      <x:c r="K2784" s="123" t="b">
        <x:v>0</x:v>
      </x:c>
      <x:c r="L2784" s="117"/>
      <x:c r="M2784" s="118"/>
      <x:c r="N2784" s="120" t="n">
        <x:v>44472.69715277778</x:v>
      </x:c>
      <x:c r="O2784" s="117" t="str">
        <x:v>Natalie Boger</x:v>
      </x:c>
      <x:c r="P2784" s="120" t="n">
        <x:v>44538.7175</x:v>
      </x:c>
      <x:c r="Q2784" s="117" t="str">
        <x:v>Natalie Boger</x:v>
      </x:c>
      <x:c r="R2784" s="117" t="str">
        <x:v>Service Contract Billing Scheduling Flow</x:v>
      </x:c>
      <x:c r="S2784" s="119"/>
    </x:row>
    <x:row r="2785" ht="30" customHeight="1">
      <x:c r="A2785" s="117" t="str">
        <x:v>Service_Contract_Calculate_Last_Quarter_Uptime</x:v>
      </x:c>
      <x:c r="B2785" s="117" t="str">
        <x:v>300Ro00000ra4TLIAY</x:v>
      </x:c>
      <x:c r="C2785" s="117" t="str">
        <x:v>301Ro00000zEwFVIA0</x:v>
      </x:c>
      <x:c r="D2785" s="118" t="n">
        <x:v>1</x:v>
      </x:c>
      <x:c r="E2785" s="117" t="str">
        <x:v>Obsolete</x:v>
      </x:c>
      <x:c r="F2785" s="117" t="str">
        <x:v>No</x:v>
      </x:c>
      <x:c r="G2785" s="117" t="str">
        <x:v>No</x:v>
      </x:c>
      <x:c r="H2785" s="117" t="str">
        <x:v>Flow</x:v>
      </x:c>
      <x:c r="I2785" s="118" t="n">
        <x:v>65</x:v>
      </x:c>
      <x:c r="J2785" s="117" t="str">
        <x:v>unmanaged</x:v>
      </x:c>
      <x:c r="K2785" s="123" t="b">
        <x:v>0</x:v>
      </x:c>
      <x:c r="L2785" s="117" t="str">
        <x:v>SystemModeWithoutSharing</x:v>
      </x:c>
      <x:c r="M2785" s="118"/>
      <x:c r="N2785" s="120" t="n">
        <x:v>46078.88203703704</x:v>
      </x:c>
      <x:c r="O2785" s="117" t="str">
        <x:v>Sacha Pearce</x:v>
      </x:c>
      <x:c r="P2785" s="120" t="n">
        <x:v>46086.37540509259</x:v>
      </x:c>
      <x:c r="Q2785" s="117" t="str">
        <x:v>Sacha Pearce</x:v>
      </x:c>
      <x:c r="R2785" s="117" t="str">
        <x:v>Service Contract - Calculate Last Quarter Uptime</x:v>
      </x:c>
      <x:c r="S2785" s="119"/>
    </x:row>
    <x:row r="2786" ht="30" customHeight="1">
      <x:c r="A2786" s="117" t="str">
        <x:v>Service_Contract_Calculate_Last_Quarter_Uptime</x:v>
      </x:c>
      <x:c r="B2786" s="117" t="str">
        <x:v>300Ro00000ra4TLIAY</x:v>
      </x:c>
      <x:c r="C2786" s="117" t="str">
        <x:v>301Ro00001A6tzhIAB</x:v>
      </x:c>
      <x:c r="D2786" s="118" t="n">
        <x:v>2</x:v>
      </x:c>
      <x:c r="E2786" s="117" t="str">
        <x:v>Active</x:v>
      </x:c>
      <x:c r="F2786" s="117" t="str">
        <x:v>Yes</x:v>
      </x:c>
      <x:c r="G2786" s="117" t="str">
        <x:v>Yes</x:v>
      </x:c>
      <x:c r="H2786" s="117" t="str">
        <x:v>Flow</x:v>
      </x:c>
      <x:c r="I2786" s="118" t="n">
        <x:v>65</x:v>
      </x:c>
      <x:c r="J2786" s="117" t="str">
        <x:v>unmanaged</x:v>
      </x:c>
      <x:c r="K2786" s="123" t="b">
        <x:v>0</x:v>
      </x:c>
      <x:c r="L2786" s="117" t="str">
        <x:v>SystemModeWithoutSharing</x:v>
      </x:c>
      <x:c r="M2786" s="118"/>
      <x:c r="N2786" s="120" t="n">
        <x:v>46204.843090277776</x:v>
      </x:c>
      <x:c r="O2786" s="117" t="str">
        <x:v>Sacha Pearce</x:v>
      </x:c>
      <x:c r="P2786" s="120" t="n">
        <x:v>46204.84369212963</x:v>
      </x:c>
      <x:c r="Q2786" s="117" t="str">
        <x:v>Sacha Pearce</x:v>
      </x:c>
      <x:c r="R2786" s="117" t="str">
        <x:v>Service Contract - Calculate Last Quarter Uptime</x:v>
      </x:c>
      <x:c r="S2786" s="119" t="str">
        <x:v>01/07/2026 - SP - Updating the Flow to not use a get records element in the calculation loop as this was causing SOQL limits to be hit.</x:v>
      </x:c>
    </x:row>
    <x:row r="2787" ht="30" customHeight="1">
      <x:c r="A2787" s="117" t="str">
        <x:v>Service_Contract_Calculate_Running_Coverage_Duration_Business_Hours_Screen_Flow</x:v>
      </x:c>
      <x:c r="B2787" s="117" t="str">
        <x:v>300Ro00000q8wfGIAQ</x:v>
      </x:c>
      <x:c r="C2787" s="117" t="str">
        <x:v>301Ro00000xgCh9IAE</x:v>
      </x:c>
      <x:c r="D2787" s="118" t="n">
        <x:v>1</x:v>
      </x:c>
      <x:c r="E2787" s="117" t="str">
        <x:v>Obsolete</x:v>
      </x:c>
      <x:c r="F2787" s="117" t="str">
        <x:v>No</x:v>
      </x:c>
      <x:c r="G2787" s="117" t="str">
        <x:v>No</x:v>
      </x:c>
      <x:c r="H2787" s="117" t="str">
        <x:v>Flow</x:v>
      </x:c>
      <x:c r="I2787" s="118" t="n">
        <x:v>65</x:v>
      </x:c>
      <x:c r="J2787" s="117" t="str">
        <x:v>unmanaged</x:v>
      </x:c>
      <x:c r="K2787" s="123" t="b">
        <x:v>0</x:v>
      </x:c>
      <x:c r="L2787" s="117" t="str">
        <x:v>SystemModeWithoutSharing</x:v>
      </x:c>
      <x:c r="M2787" s="118"/>
      <x:c r="N2787" s="120" t="n">
        <x:v>46059.61688657408</x:v>
      </x:c>
      <x:c r="O2787" s="117" t="str">
        <x:v>Sacha Pearce</x:v>
      </x:c>
      <x:c r="P2787" s="120" t="n">
        <x:v>46059.61712962963</x:v>
      </x:c>
      <x:c r="Q2787" s="117" t="str">
        <x:v>Sacha Pearce</x:v>
      </x:c>
      <x:c r="R2787" s="117" t="str">
        <x:v>Service Contract - Calculate Running Coverage Duration (Business Hours) Screen Flow</x:v>
      </x:c>
      <x:c r="S2787" s="119"/>
    </x:row>
    <x:row r="2788" ht="30" customHeight="1">
      <x:c r="A2788" s="117" t="str">
        <x:v>Service_Contract_Calculate_Running_Coverage_Duration_Business_Hours_Screen_Flow</x:v>
      </x:c>
      <x:c r="B2788" s="117" t="str">
        <x:v>300Ro00000q8wfGIAQ</x:v>
      </x:c>
      <x:c r="C2788" s="117" t="str">
        <x:v>301Ro00000xgIg6IAE</x:v>
      </x:c>
      <x:c r="D2788" s="118" t="n">
        <x:v>2</x:v>
      </x:c>
      <x:c r="E2788" s="117" t="str">
        <x:v>Obsolete</x:v>
      </x:c>
      <x:c r="F2788" s="117" t="str">
        <x:v>No</x:v>
      </x:c>
      <x:c r="G2788" s="117" t="str">
        <x:v>No</x:v>
      </x:c>
      <x:c r="H2788" s="117" t="str">
        <x:v>Flow</x:v>
      </x:c>
      <x:c r="I2788" s="118" t="n">
        <x:v>65</x:v>
      </x:c>
      <x:c r="J2788" s="117" t="str">
        <x:v>unmanaged</x:v>
      </x:c>
      <x:c r="K2788" s="123" t="b">
        <x:v>0</x:v>
      </x:c>
      <x:c r="L2788" s="117" t="str">
        <x:v>SystemModeWithoutSharing</x:v>
      </x:c>
      <x:c r="M2788" s="118"/>
      <x:c r="N2788" s="120" t="n">
        <x:v>46059.61854166666</x:v>
      </x:c>
      <x:c r="O2788" s="117" t="str">
        <x:v>Sacha Pearce</x:v>
      </x:c>
      <x:c r="P2788" s="120" t="n">
        <x:v>46059.618622685186</x:v>
      </x:c>
      <x:c r="Q2788" s="117" t="str">
        <x:v>Sacha Pearce</x:v>
      </x:c>
      <x:c r="R2788" s="117" t="str">
        <x:v>Service Contract - Calculate Running Coverage Duration (Business Hours) Screen Flow</x:v>
      </x:c>
      <x:c r="S2788" s="119"/>
    </x:row>
    <x:row r="2789" ht="30" customHeight="1">
      <x:c r="A2789" s="117" t="str">
        <x:v>Service_Contract_Calculate_Running_Coverage_Duration_Business_Hours_Screen_Flow</x:v>
      </x:c>
      <x:c r="B2789" s="117" t="str">
        <x:v>300Ro00000q8wfGIAQ</x:v>
      </x:c>
      <x:c r="C2789" s="117" t="str">
        <x:v>301Ro00000xgnlVIAQ</x:v>
      </x:c>
      <x:c r="D2789" s="118" t="n">
        <x:v>3</x:v>
      </x:c>
      <x:c r="E2789" s="117" t="str">
        <x:v>Obsolete</x:v>
      </x:c>
      <x:c r="F2789" s="117" t="str">
        <x:v>No</x:v>
      </x:c>
      <x:c r="G2789" s="117" t="str">
        <x:v>No</x:v>
      </x:c>
      <x:c r="H2789" s="117" t="str">
        <x:v>Flow</x:v>
      </x:c>
      <x:c r="I2789" s="118" t="n">
        <x:v>65</x:v>
      </x:c>
      <x:c r="J2789" s="117" t="str">
        <x:v>unmanaged</x:v>
      </x:c>
      <x:c r="K2789" s="123" t="b">
        <x:v>0</x:v>
      </x:c>
      <x:c r="L2789" s="117" t="str">
        <x:v>SystemModeWithoutSharing</x:v>
      </x:c>
      <x:c r="M2789" s="118"/>
      <x:c r="N2789" s="120" t="n">
        <x:v>46059.65986111111</x:v>
      </x:c>
      <x:c r="O2789" s="117" t="str">
        <x:v>Sacha Pearce</x:v>
      </x:c>
      <x:c r="P2789" s="120" t="n">
        <x:v>46059.66023148148</x:v>
      </x:c>
      <x:c r="Q2789" s="117" t="str">
        <x:v>Sacha Pearce</x:v>
      </x:c>
      <x:c r="R2789" s="117" t="str">
        <x:v>Service Contract - Calculate Running Coverage Duration (Business Hours) Screen Flow</x:v>
      </x:c>
      <x:c r="S2789" s="119"/>
    </x:row>
    <x:row r="2790" ht="30" customHeight="1">
      <x:c r="A2790" s="117" t="str">
        <x:v>Service_Contract_Calculate_Running_Coverage_Duration_Business_Hours_Screen_Flow</x:v>
      </x:c>
      <x:c r="B2790" s="117" t="str">
        <x:v>300Ro00000q8wfGIAQ</x:v>
      </x:c>
      <x:c r="C2790" s="117" t="str">
        <x:v>301Ro0000132R0SIAU</x:v>
      </x:c>
      <x:c r="D2790" s="118" t="n">
        <x:v>4</x:v>
      </x:c>
      <x:c r="E2790" s="117" t="str">
        <x:v>Active</x:v>
      </x:c>
      <x:c r="F2790" s="117" t="str">
        <x:v>Yes</x:v>
      </x:c>
      <x:c r="G2790" s="117" t="str">
        <x:v>Yes</x:v>
      </x:c>
      <x:c r="H2790" s="117" t="str">
        <x:v>Flow</x:v>
      </x:c>
      <x:c r="I2790" s="118" t="n">
        <x:v>65</x:v>
      </x:c>
      <x:c r="J2790" s="117" t="str">
        <x:v>unmanaged</x:v>
      </x:c>
      <x:c r="K2790" s="123" t="b">
        <x:v>0</x:v>
      </x:c>
      <x:c r="L2790" s="117" t="str">
        <x:v>SystemModeWithoutSharing</x:v>
      </x:c>
      <x:c r="M2790" s="118"/>
      <x:c r="N2790" s="120" t="n">
        <x:v>46125.65712962963</x:v>
      </x:c>
      <x:c r="O2790" s="117" t="str">
        <x:v>Sacha Pearce</x:v>
      </x:c>
      <x:c r="P2790" s="120" t="n">
        <x:v>46125.65719907408</x:v>
      </x:c>
      <x:c r="Q2790" s="117" t="str">
        <x:v>Sacha Pearce</x:v>
      </x:c>
      <x:c r="R2790" s="117" t="str">
        <x:v>Service Contract - Calculate Running Coverage Duration (Business Hours) Screen Flow</x:v>
      </x:c>
      <x:c r="S2790" s="119"/>
    </x:row>
    <x:row r="2791" ht="30" customHeight="1">
      <x:c r="A2791" s="117" t="str">
        <x:v>Service_Contract_Confirm_Downtimes</x:v>
      </x:c>
      <x:c r="B2791" s="117" t="str">
        <x:v>300Ro00000v4CHtIAM</x:v>
      </x:c>
      <x:c r="C2791" s="117" t="str">
        <x:v>301Ro0000132oZbIAI</x:v>
      </x:c>
      <x:c r="D2791" s="118" t="n">
        <x:v>1</x:v>
      </x:c>
      <x:c r="E2791" s="117" t="str">
        <x:v>Obsolete</x:v>
      </x:c>
      <x:c r="F2791" s="117" t="str">
        <x:v>No</x:v>
      </x:c>
      <x:c r="G2791" s="117" t="str">
        <x:v>No</x:v>
      </x:c>
      <x:c r="H2791" s="117" t="str">
        <x:v>Flow</x:v>
      </x:c>
      <x:c r="I2791" s="118" t="n">
        <x:v>65</x:v>
      </x:c>
      <x:c r="J2791" s="117" t="str">
        <x:v>unmanaged</x:v>
      </x:c>
      <x:c r="K2791" s="123" t="b">
        <x:v>0</x:v>
      </x:c>
      <x:c r="L2791" s="117" t="str">
        <x:v>SystemModeWithoutSharing</x:v>
      </x:c>
      <x:c r="M2791" s="118"/>
      <x:c r="N2791" s="120" t="n">
        <x:v>46125.64320601852</x:v>
      </x:c>
      <x:c r="O2791" s="117" t="str">
        <x:v>Sacha Pearce</x:v>
      </x:c>
      <x:c r="P2791" s="120" t="n">
        <x:v>46125.64443287037</x:v>
      </x:c>
      <x:c r="Q2791" s="117" t="str">
        <x:v>Sacha Pearce</x:v>
      </x:c>
      <x:c r="R2791" s="117" t="str">
        <x:v>Service Contract - Confirm Downtimes</x:v>
      </x:c>
      <x:c r="S2791" s="119"/>
    </x:row>
    <x:row r="2792" ht="30" customHeight="1">
      <x:c r="A2792" s="117" t="str">
        <x:v>Service_Contract_Confirm_Downtimes</x:v>
      </x:c>
      <x:c r="B2792" s="117" t="str">
        <x:v>300Ro00000v4CHtIAM</x:v>
      </x:c>
      <x:c r="C2792" s="117" t="str">
        <x:v>301Ro0000132uDbIAI</x:v>
      </x:c>
      <x:c r="D2792" s="118" t="n">
        <x:v>2</x:v>
      </x:c>
      <x:c r="E2792" s="117" t="str">
        <x:v>Active</x:v>
      </x:c>
      <x:c r="F2792" s="117" t="str">
        <x:v>Yes</x:v>
      </x:c>
      <x:c r="G2792" s="117" t="str">
        <x:v>Yes</x:v>
      </x:c>
      <x:c r="H2792" s="117" t="str">
        <x:v>Flow</x:v>
      </x:c>
      <x:c r="I2792" s="118" t="n">
        <x:v>65</x:v>
      </x:c>
      <x:c r="J2792" s="117" t="str">
        <x:v>unmanaged</x:v>
      </x:c>
      <x:c r="K2792" s="123" t="b">
        <x:v>0</x:v>
      </x:c>
      <x:c r="L2792" s="117" t="str">
        <x:v>SystemModeWithoutSharing</x:v>
      </x:c>
      <x:c r="M2792" s="118"/>
      <x:c r="N2792" s="120" t="n">
        <x:v>46125.64949074074</x:v>
      </x:c>
      <x:c r="O2792" s="117" t="str">
        <x:v>Sacha Pearce</x:v>
      </x:c>
      <x:c r="P2792" s="120" t="n">
        <x:v>46125.64957175926</x:v>
      </x:c>
      <x:c r="Q2792" s="117" t="str">
        <x:v>Sacha Pearce</x:v>
      </x:c>
      <x:c r="R2792" s="117" t="str">
        <x:v>Service Contract - Confirm Downtimes</x:v>
      </x:c>
      <x:c r="S2792" s="119"/>
    </x:row>
    <x:row r="2793" ht="30" customHeight="1">
      <x:c r="A2793" s="117" t="str">
        <x:v>Service_Contract_Create_Contract_Line_Item_Screen_Flow</x:v>
      </x:c>
      <x:c r="B2793" s="117" t="str">
        <x:v>300Ro00000wE1KhIAK</x:v>
      </x:c>
      <x:c r="C2793" s="117" t="str">
        <x:v>301Ro000014HhAdIAK</x:v>
      </x:c>
      <x:c r="D2793" s="118" t="n">
        <x:v>1</x:v>
      </x:c>
      <x:c r="E2793" s="117" t="str">
        <x:v>Draft</x:v>
      </x:c>
      <x:c r="F2793" s="117" t="str">
        <x:v>No</x:v>
      </x:c>
      <x:c r="G2793" s="117" t="str">
        <x:v>No</x:v>
      </x:c>
      <x:c r="H2793" s="117" t="str">
        <x:v>Flow</x:v>
      </x:c>
      <x:c r="I2793" s="118" t="n">
        <x:v>52</x:v>
      </x:c>
      <x:c r="J2793" s="117" t="str">
        <x:v>unmanaged</x:v>
      </x:c>
      <x:c r="K2793" s="123" t="b">
        <x:v>0</x:v>
      </x:c>
      <x:c r="L2793" s="117"/>
      <x:c r="M2793" s="118"/>
      <x:c r="N2793" s="120" t="n">
        <x:v>46140.663506944446</x:v>
      </x:c>
      <x:c r="O2793" s="117" t="str">
        <x:v>Sacha Pearce</x:v>
      </x:c>
      <x:c r="P2793" s="120" t="n">
        <x:v>46140.66355324074</x:v>
      </x:c>
      <x:c r="Q2793" s="117" t="str">
        <x:v>Sacha Pearce</x:v>
      </x:c>
      <x:c r="R2793" s="117" t="str">
        <x:v>Service Contract - Create Contract Line Item - Screen Flow</x:v>
      </x:c>
      <x:c r="S2793" s="119" t="str">
        <x:v>This has been developed to remove items that the UK do not use.</x:v>
      </x:c>
    </x:row>
    <x:row r="2794" ht="30" customHeight="1">
      <x:c r="A2794" s="117" t="str">
        <x:v>Service_Contract_Create_Contract_Line_Item_Screen_Flow</x:v>
      </x:c>
      <x:c r="B2794" s="117" t="str">
        <x:v>300Ro00000wE1KhIAK</x:v>
      </x:c>
      <x:c r="C2794" s="117" t="str">
        <x:v>301Ro000014MPc6IAG</x:v>
      </x:c>
      <x:c r="D2794" s="118" t="n">
        <x:v>2</x:v>
      </x:c>
      <x:c r="E2794" s="117" t="str">
        <x:v>Obsolete</x:v>
      </x:c>
      <x:c r="F2794" s="117" t="str">
        <x:v>No</x:v>
      </x:c>
      <x:c r="G2794" s="117" t="str">
        <x:v>No</x:v>
      </x:c>
      <x:c r="H2794" s="117" t="str">
        <x:v>Flow</x:v>
      </x:c>
      <x:c r="I2794" s="118" t="n">
        <x:v>52</x:v>
      </x:c>
      <x:c r="J2794" s="117" t="str">
        <x:v>unmanaged</x:v>
      </x:c>
      <x:c r="K2794" s="123" t="b">
        <x:v>0</x:v>
      </x:c>
      <x:c r="L2794" s="117"/>
      <x:c r="M2794" s="118"/>
      <x:c r="N2794" s="120" t="n">
        <x:v>46141.36247685185</x:v>
      </x:c>
      <x:c r="O2794" s="117" t="str">
        <x:v>Sacha Pearce</x:v>
      </x:c>
      <x:c r="P2794" s="120" t="n">
        <x:v>46141.36263888889</x:v>
      </x:c>
      <x:c r="Q2794" s="117" t="str">
        <x:v>Sacha Pearce</x:v>
      </x:c>
      <x:c r="R2794" s="117" t="str">
        <x:v>Service Contract - Create Contract Line Item - Screen Flow</x:v>
      </x:c>
      <x:c r="S2794" s="119" t="str">
        <x:v>29/04/2026 - SP - Saving new version to change logic.</x:v>
      </x:c>
    </x:row>
    <x:row r="2795" ht="30" customHeight="1">
      <x:c r="A2795" s="117" t="str">
        <x:v>Service_Contract_Create_Contract_Line_Item_Screen_Flow</x:v>
      </x:c>
      <x:c r="B2795" s="117" t="str">
        <x:v>300Ro00000wE1KhIAK</x:v>
      </x:c>
      <x:c r="C2795" s="117" t="str">
        <x:v>301Ro000014MgiXIAS</x:v>
      </x:c>
      <x:c r="D2795" s="118" t="n">
        <x:v>3</x:v>
      </x:c>
      <x:c r="E2795" s="117" t="str">
        <x:v>Obsolete</x:v>
      </x:c>
      <x:c r="F2795" s="117" t="str">
        <x:v>No</x:v>
      </x:c>
      <x:c r="G2795" s="117" t="str">
        <x:v>No</x:v>
      </x:c>
      <x:c r="H2795" s="117" t="str">
        <x:v>Flow</x:v>
      </x:c>
      <x:c r="I2795" s="118" t="n">
        <x:v>52</x:v>
      </x:c>
      <x:c r="J2795" s="117" t="str">
        <x:v>unmanaged</x:v>
      </x:c>
      <x:c r="K2795" s="123" t="b">
        <x:v>0</x:v>
      </x:c>
      <x:c r="L2795" s="117"/>
      <x:c r="M2795" s="118"/>
      <x:c r="N2795" s="120" t="n">
        <x:v>46141.36913194445</x:v>
      </x:c>
      <x:c r="O2795" s="117" t="str">
        <x:v>Sacha Pearce</x:v>
      </x:c>
      <x:c r="P2795" s="120" t="n">
        <x:v>46141.36920138889</x:v>
      </x:c>
      <x:c r="Q2795" s="117" t="str">
        <x:v>Sacha Pearce</x:v>
      </x:c>
      <x:c r="R2795" s="117" t="str">
        <x:v>Service Contract - Create Contract Line Item - Screen Flow</x:v>
      </x:c>
      <x:c r="S2795" s="119" t="str">
        <x:v>29/04/2026 - SP - Saving new version to change logic.</x:v>
      </x:c>
    </x:row>
    <x:row r="2796" ht="30" customHeight="1">
      <x:c r="A2796" s="117" t="str">
        <x:v>Service_Contract_Create_Contract_Line_Item_Screen_Flow</x:v>
      </x:c>
      <x:c r="B2796" s="117" t="str">
        <x:v>300Ro00000wE1KhIAK</x:v>
      </x:c>
      <x:c r="C2796" s="117" t="str">
        <x:v>301Ro000014MS7lIAG</x:v>
      </x:c>
      <x:c r="D2796" s="118" t="n">
        <x:v>4</x:v>
      </x:c>
      <x:c r="E2796" s="117" t="str">
        <x:v>Active</x:v>
      </x:c>
      <x:c r="F2796" s="117" t="str">
        <x:v>Yes</x:v>
      </x:c>
      <x:c r="G2796" s="117" t="str">
        <x:v>Yes</x:v>
      </x:c>
      <x:c r="H2796" s="117" t="str">
        <x:v>Flow</x:v>
      </x:c>
      <x:c r="I2796" s="118" t="n">
        <x:v>52</x:v>
      </x:c>
      <x:c r="J2796" s="117" t="str">
        <x:v>unmanaged</x:v>
      </x:c>
      <x:c r="K2796" s="123" t="b">
        <x:v>0</x:v>
      </x:c>
      <x:c r="L2796" s="117"/>
      <x:c r="M2796" s="118"/>
      <x:c r="N2796" s="120" t="n">
        <x:v>46141.37290509259</x:v>
      </x:c>
      <x:c r="O2796" s="117" t="str">
        <x:v>Sacha Pearce</x:v>
      </x:c>
      <x:c r="P2796" s="120" t="n">
        <x:v>46141.37298611111</x:v>
      </x:c>
      <x:c r="Q2796" s="117" t="str">
        <x:v>Sacha Pearce</x:v>
      </x:c>
      <x:c r="R2796" s="117" t="str">
        <x:v>Service Contract - Create Contract Line Item - Screen Flow</x:v>
      </x:c>
      <x:c r="S2796" s="119" t="str">
        <x:v>29/04/2026 - SP - Saving new version to change logic.</x:v>
      </x:c>
    </x:row>
    <x:row r="2797" ht="30" customHeight="1">
      <x:c r="A2797" s="117" t="str">
        <x:v>Service_Contract_Create_Contract_Line_Items_Screen_Flow</x:v>
      </x:c>
      <x:c r="B2797" s="117" t="str">
        <x:v>300Ro00000wDQ8DIAW</x:v>
      </x:c>
      <x:c r="C2797" s="117" t="str">
        <x:v>301Ro000014HDfvIAG</x:v>
      </x:c>
      <x:c r="D2797" s="118" t="n">
        <x:v>1</x:v>
      </x:c>
      <x:c r="E2797" s="117" t="str">
        <x:v>Draft</x:v>
      </x:c>
      <x:c r="F2797" s="117" t="str">
        <x:v>No</x:v>
      </x:c>
      <x:c r="G2797" s="117" t="str">
        <x:v>Yes</x:v>
      </x:c>
      <x:c r="H2797" s="117" t="str">
        <x:v>Flow</x:v>
      </x:c>
      <x:c r="I2797" s="118" t="n">
        <x:v>52</x:v>
      </x:c>
      <x:c r="J2797" s="117" t="str">
        <x:v>unmanaged</x:v>
      </x:c>
      <x:c r="K2797" s="123" t="b">
        <x:v>0</x:v>
      </x:c>
      <x:c r="L2797" s="117"/>
      <x:c r="M2797" s="118"/>
      <x:c r="N2797" s="120" t="n">
        <x:v>46140.65435185185</x:v>
      </x:c>
      <x:c r="O2797" s="117" t="str">
        <x:v>Sacha Pearce</x:v>
      </x:c>
      <x:c r="P2797" s="120" t="n">
        <x:v>46140.65440972222</x:v>
      </x:c>
      <x:c r="Q2797" s="117" t="str">
        <x:v>Sacha Pearce</x:v>
      </x:c>
      <x:c r="R2797" s="117" t="str">
        <x:v>Service Contract  - Create Contract Line Items - Screen Flow</x:v>
      </x:c>
      <x:c r="S2797" s="119" t="str">
        <x:v>This has been developed to remove items that the UK do not use.</x:v>
      </x:c>
    </x:row>
    <x:row r="2798" ht="30" customHeight="1">
      <x:c r="A2798" s="117" t="str">
        <x:v>Service_Contract_Notification_Flow</x:v>
      </x:c>
      <x:c r="B2798" s="117" t="str">
        <x:v>300Ro00000Mkf0LIAR</x:v>
      </x:c>
      <x:c r="C2798" s="117" t="str">
        <x:v>301Ro00000P3ONdIAN</x:v>
      </x:c>
      <x:c r="D2798" s="118" t="n">
        <x:v>1</x:v>
      </x:c>
      <x:c r="E2798" s="117" t="str">
        <x:v>Draft</x:v>
      </x:c>
      <x:c r="F2798" s="117" t="str">
        <x:v>No</x:v>
      </x:c>
      <x:c r="G2798" s="117" t="str">
        <x:v>No</x:v>
      </x:c>
      <x:c r="H2798" s="117" t="str">
        <x:v>AutoLaunchedFlow</x:v>
      </x:c>
      <x:c r="I2798" s="118" t="n">
        <x:v>56</x:v>
      </x:c>
      <x:c r="J2798" s="117" t="str">
        <x:v>unmanaged</x:v>
      </x:c>
      <x:c r="K2798" s="123" t="b">
        <x:v>0</x:v>
      </x:c>
      <x:c r="L2798" s="117"/>
      <x:c r="M2798" s="118"/>
      <x:c r="N2798" s="120" t="n">
        <x:v>45615.710625</x:v>
      </x:c>
      <x:c r="O2798" s="117" t="str">
        <x:v>Jace Gentil</x:v>
      </x:c>
      <x:c r="P2798" s="120" t="n">
        <x:v>45615.710648148146</x:v>
      </x:c>
      <x:c r="Q2798" s="117" t="str">
        <x:v>Jace Gentil</x:v>
      </x:c>
      <x:c r="R2798" s="117" t="str">
        <x:v>Service Contract Notification Flow</x:v>
      </x:c>
      <x:c r="S2798" s="119"/>
    </x:row>
    <x:row r="2799" ht="30" customHeight="1">
      <x:c r="A2799" s="117" t="str">
        <x:v>Service_Contract_Notification_Flow</x:v>
      </x:c>
      <x:c r="B2799" s="117" t="str">
        <x:v>300Ro00000Mkf0LIAR</x:v>
      </x:c>
      <x:c r="C2799" s="117" t="str">
        <x:v>301Ro00000P3MnLIAV</x:v>
      </x:c>
      <x:c r="D2799" s="118" t="n">
        <x:v>2</x:v>
      </x:c>
      <x:c r="E2799" s="117" t="str">
        <x:v>Obsolete</x:v>
      </x:c>
      <x:c r="F2799" s="117" t="str">
        <x:v>No</x:v>
      </x:c>
      <x:c r="G2799" s="117" t="str">
        <x:v>No</x:v>
      </x:c>
      <x:c r="H2799" s="117" t="str">
        <x:v>AutoLaunchedFlow</x:v>
      </x:c>
      <x:c r="I2799" s="118" t="n">
        <x:v>56</x:v>
      </x:c>
      <x:c r="J2799" s="117" t="str">
        <x:v>unmanaged</x:v>
      </x:c>
      <x:c r="K2799" s="123" t="b">
        <x:v>0</x:v>
      </x:c>
      <x:c r="L2799" s="117"/>
      <x:c r="M2799" s="118"/>
      <x:c r="N2799" s="120" t="n">
        <x:v>45615.71362268519</x:v>
      </x:c>
      <x:c r="O2799" s="117" t="str">
        <x:v>Jace Gentil</x:v>
      </x:c>
      <x:c r="P2799" s="120" t="n">
        <x:v>45615.71368055556</x:v>
      </x:c>
      <x:c r="Q2799" s="117" t="str">
        <x:v>Jace Gentil</x:v>
      </x:c>
      <x:c r="R2799" s="117" t="str">
        <x:v>Service Contract Notification Flow</x:v>
      </x:c>
      <x:c r="S2799" s="119"/>
    </x:row>
    <x:row r="2800" ht="30" customHeight="1">
      <x:c r="A2800" s="117" t="str">
        <x:v>Service_Contract_Notification_Flow</x:v>
      </x:c>
      <x:c r="B2800" s="117" t="str">
        <x:v>300Ro00000Mkf0LIAR</x:v>
      </x:c>
      <x:c r="C2800" s="117" t="str">
        <x:v>301Ro00000P3M4BIAV</x:v>
      </x:c>
      <x:c r="D2800" s="118" t="n">
        <x:v>3</x:v>
      </x:c>
      <x:c r="E2800" s="117" t="str">
        <x:v>Active</x:v>
      </x:c>
      <x:c r="F2800" s="117" t="str">
        <x:v>Yes</x:v>
      </x:c>
      <x:c r="G2800" s="117" t="str">
        <x:v>Yes</x:v>
      </x:c>
      <x:c r="H2800" s="117" t="str">
        <x:v>AutoLaunchedFlow</x:v>
      </x:c>
      <x:c r="I2800" s="118" t="n">
        <x:v>56</x:v>
      </x:c>
      <x:c r="J2800" s="117" t="str">
        <x:v>unmanaged</x:v>
      </x:c>
      <x:c r="K2800" s="123" t="b">
        <x:v>0</x:v>
      </x:c>
      <x:c r="L2800" s="117"/>
      <x:c r="M2800" s="118"/>
      <x:c r="N2800" s="120" t="n">
        <x:v>45615.71413194444</x:v>
      </x:c>
      <x:c r="O2800" s="117" t="str">
        <x:v>Jace Gentil</x:v>
      </x:c>
      <x:c r="P2800" s="120" t="n">
        <x:v>45615.714166666665</x:v>
      </x:c>
      <x:c r="Q2800" s="117" t="str">
        <x:v>Jace Gentil</x:v>
      </x:c>
      <x:c r="R2800" s="117" t="str">
        <x:v>Service Contract Notification Flow</x:v>
      </x:c>
      <x:c r="S2800" s="119"/>
    </x:row>
    <x:row r="2801" ht="30" customHeight="1">
      <x:c r="A2801" s="117" t="str">
        <x:v>Service_Contract_Renewal</x:v>
      </x:c>
      <x:c r="B2801" s="117" t="str">
        <x:v>300Ro00000Zp8kCIAR</x:v>
      </x:c>
      <x:c r="C2801" s="117" t="str">
        <x:v>301Ro00000eM3LFIA0</x:v>
      </x:c>
      <x:c r="D2801" s="118" t="n">
        <x:v>1</x:v>
      </x:c>
      <x:c r="E2801" s="117" t="str">
        <x:v>Draft</x:v>
      </x:c>
      <x:c r="F2801" s="117" t="str">
        <x:v>No</x:v>
      </x:c>
      <x:c r="G2801" s="117" t="str">
        <x:v>No</x:v>
      </x:c>
      <x:c r="H2801" s="117" t="str">
        <x:v>Flow</x:v>
      </x:c>
      <x:c r="I2801" s="118" t="n">
        <x:v>64</x:v>
      </x:c>
      <x:c r="J2801" s="117" t="str">
        <x:v>unmanaged</x:v>
      </x:c>
      <x:c r="K2801" s="123" t="b">
        <x:v>0</x:v>
      </x:c>
      <x:c r="L2801" s="117"/>
      <x:c r="M2801" s="118"/>
      <x:c r="N2801" s="120" t="n">
        <x:v>45846.909224537034</x:v>
      </x:c>
      <x:c r="O2801" s="117" t="str">
        <x:v>Sacha Pearce</x:v>
      </x:c>
      <x:c r="P2801" s="120" t="n">
        <x:v>45846.90929398148</x:v>
      </x:c>
      <x:c r="Q2801" s="117" t="str">
        <x:v>Sacha Pearce</x:v>
      </x:c>
      <x:c r="R2801" s="117" t="str">
        <x:v>Service Contract Renewal</x:v>
      </x:c>
      <x:c r="S2801" s="119" t="str">
        <x:v>Version 6 - Testing building Work Orders from updating the Ready to Generate Work Orders field.
Version 7 - Solving the Coverage Type error.</x:v>
      </x:c>
    </x:row>
    <x:row r="2802" ht="30" customHeight="1">
      <x:c r="A2802" s="117" t="str">
        <x:v>Service_Contract_Renewal</x:v>
      </x:c>
      <x:c r="B2802" s="117" t="str">
        <x:v>300Ro00000Zp8kCIAR</x:v>
      </x:c>
      <x:c r="C2802" s="117" t="str">
        <x:v>301Ro00000f3U3CIAU</x:v>
      </x:c>
      <x:c r="D2802" s="118" t="n">
        <x:v>2</x:v>
      </x:c>
      <x:c r="E2802" s="117" t="str">
        <x:v>Obsolete</x:v>
      </x:c>
      <x:c r="F2802" s="117" t="str">
        <x:v>No</x:v>
      </x:c>
      <x:c r="G2802" s="117" t="str">
        <x:v>No</x:v>
      </x:c>
      <x:c r="H2802" s="117" t="str">
        <x:v>Flow</x:v>
      </x:c>
      <x:c r="I2802" s="118" t="n">
        <x:v>64</x:v>
      </x:c>
      <x:c r="J2802" s="117" t="str">
        <x:v>unmanaged</x:v>
      </x:c>
      <x:c r="K2802" s="123" t="b">
        <x:v>0</x:v>
      </x:c>
      <x:c r="L2802" s="117"/>
      <x:c r="M2802" s="118"/>
      <x:c r="N2802" s="120" t="n">
        <x:v>45853.4321412037</x:v>
      </x:c>
      <x:c r="O2802" s="117" t="str">
        <x:v>Sacha Pearce</x:v>
      </x:c>
      <x:c r="P2802" s="120" t="n">
        <x:v>45853.4325</x:v>
      </x:c>
      <x:c r="Q2802" s="117" t="str">
        <x:v>Sacha Pearce</x:v>
      </x:c>
      <x:c r="R2802" s="117" t="str">
        <x:v>Service Contract Renewal</x:v>
      </x:c>
      <x:c r="S2802" s="119" t="str">
        <x:v>Version 6 - Testing building Work Orders from updating the Ready to Generate Work Orders field.
Version 7 - Solving the Coverage Type error.</x:v>
      </x:c>
    </x:row>
    <x:row r="2803" ht="30" customHeight="1">
      <x:c r="A2803" s="117" t="str">
        <x:v>Service_Contract_Renewal</x:v>
      </x:c>
      <x:c r="B2803" s="117" t="str">
        <x:v>300Ro00000Zp8kCIAR</x:v>
      </x:c>
      <x:c r="C2803" s="117" t="str">
        <x:v>301Ro00000f5JKAIA2</x:v>
      </x:c>
      <x:c r="D2803" s="118" t="n">
        <x:v>3</x:v>
      </x:c>
      <x:c r="E2803" s="117" t="str">
        <x:v>Obsolete</x:v>
      </x:c>
      <x:c r="F2803" s="117" t="str">
        <x:v>No</x:v>
      </x:c>
      <x:c r="G2803" s="117" t="str">
        <x:v>No</x:v>
      </x:c>
      <x:c r="H2803" s="117" t="str">
        <x:v>Flow</x:v>
      </x:c>
      <x:c r="I2803" s="118" t="n">
        <x:v>64</x:v>
      </x:c>
      <x:c r="J2803" s="117" t="str">
        <x:v>unmanaged</x:v>
      </x:c>
      <x:c r="K2803" s="123" t="b">
        <x:v>0</x:v>
      </x:c>
      <x:c r="L2803" s="117"/>
      <x:c r="M2803" s="118"/>
      <x:c r="N2803" s="120" t="n">
        <x:v>45853.570127314815</x:v>
      </x:c>
      <x:c r="O2803" s="117" t="str">
        <x:v>Sacha Pearce</x:v>
      </x:c>
      <x:c r="P2803" s="120" t="n">
        <x:v>45853.573067129626</x:v>
      </x:c>
      <x:c r="Q2803" s="117" t="str">
        <x:v>Sacha Pearce</x:v>
      </x:c>
      <x:c r="R2803" s="117" t="str">
        <x:v>Service Contract Renewal</x:v>
      </x:c>
      <x:c r="S2803" s="119" t="str">
        <x:v>Version 6 - Testing building Work Orders from updating the Ready to Generate Work Orders field.
Version 7 - Solving the Coverage Type error
Version 10 - Setting Ready to Generate Work Orders to be updated later in the Flow</x:v>
      </x:c>
    </x:row>
    <x:row r="2804" ht="30" customHeight="1">
      <x:c r="A2804" s="117" t="str">
        <x:v>Service_Contract_Renewal</x:v>
      </x:c>
      <x:c r="B2804" s="117" t="str">
        <x:v>300Ro00000Zp8kCIAR</x:v>
      </x:c>
      <x:c r="C2804" s="117" t="str">
        <x:v>301Ro00000f5MMtIAM</x:v>
      </x:c>
      <x:c r="D2804" s="118" t="n">
        <x:v>4</x:v>
      </x:c>
      <x:c r="E2804" s="117" t="str">
        <x:v>Obsolete</x:v>
      </x:c>
      <x:c r="F2804" s="117" t="str">
        <x:v>No</x:v>
      </x:c>
      <x:c r="G2804" s="117" t="str">
        <x:v>No</x:v>
      </x:c>
      <x:c r="H2804" s="117" t="str">
        <x:v>Flow</x:v>
      </x:c>
      <x:c r="I2804" s="118" t="n">
        <x:v>64</x:v>
      </x:c>
      <x:c r="J2804" s="117" t="str">
        <x:v>unmanaged</x:v>
      </x:c>
      <x:c r="K2804" s="123" t="b">
        <x:v>0</x:v>
      </x:c>
      <x:c r="L2804" s="117"/>
      <x:c r="M2804" s="118"/>
      <x:c r="N2804" s="120" t="n">
        <x:v>45853.5837962963</x:v>
      </x:c>
      <x:c r="O2804" s="117" t="str">
        <x:v>Sacha Pearce</x:v>
      </x:c>
      <x:c r="P2804" s="120" t="n">
        <x:v>45853.583958333336</x:v>
      </x:c>
      <x:c r="Q2804" s="117" t="str">
        <x:v>Sacha Pearce</x:v>
      </x:c>
      <x:c r="R2804" s="117" t="str">
        <x:v>Service Contract Renewal</x:v>
      </x:c>
      <x:c r="S2804" s="119" t="str">
        <x:v>Version 4 - 15/07/2025 - SP - Adding Currency ISO Code = recordId &gt; Currency ISO Code (tested in Sandbox first).</x:v>
      </x:c>
    </x:row>
    <x:row r="2805" ht="30" customHeight="1">
      <x:c r="A2805" s="117" t="str">
        <x:v>Service_Contract_Renewal</x:v>
      </x:c>
      <x:c r="B2805" s="117" t="str">
        <x:v>300Ro00000Zp8kCIAR</x:v>
      </x:c>
      <x:c r="C2805" s="117" t="str">
        <x:v>301Ro00000f5MWbIAM</x:v>
      </x:c>
      <x:c r="D2805" s="118" t="n">
        <x:v>5</x:v>
      </x:c>
      <x:c r="E2805" s="117" t="str">
        <x:v>Obsolete</x:v>
      </x:c>
      <x:c r="F2805" s="117" t="str">
        <x:v>No</x:v>
      </x:c>
      <x:c r="G2805" s="117" t="str">
        <x:v>No</x:v>
      </x:c>
      <x:c r="H2805" s="117" t="str">
        <x:v>Flow</x:v>
      </x:c>
      <x:c r="I2805" s="118" t="n">
        <x:v>64</x:v>
      </x:c>
      <x:c r="J2805" s="117" t="str">
        <x:v>unmanaged</x:v>
      </x:c>
      <x:c r="K2805" s="123" t="b">
        <x:v>0</x:v>
      </x:c>
      <x:c r="L2805" s="117"/>
      <x:c r="M2805" s="118"/>
      <x:c r="N2805" s="120" t="n">
        <x:v>45853.591099537036</x:v>
      </x:c>
      <x:c r="O2805" s="117" t="str">
        <x:v>Sacha Pearce</x:v>
      </x:c>
      <x:c r="P2805" s="120" t="n">
        <x:v>45853.59130787037</x:v>
      </x:c>
      <x:c r="Q2805" s="117" t="str">
        <x:v>Sacha Pearce</x:v>
      </x:c>
      <x:c r="R2805" s="117" t="str">
        <x:v>Service Contract Renewal</x:v>
      </x:c>
      <x:c r="S2805" s="119" t="str">
        <x:v>Version 4 - 15/07/2025 - SP - Adding Currency ISO Code = recordId &gt; Currency ISO Code (tested in Sandbox first).
Version 5 - 15/07/2025 - SP - Adding Special Terms to Prepare New CLI</x:v>
      </x:c>
    </x:row>
    <x:row r="2806" ht="30" customHeight="1">
      <x:c r="A2806" s="117" t="str">
        <x:v>Service_Contract_Renewal</x:v>
      </x:c>
      <x:c r="B2806" s="117" t="str">
        <x:v>300Ro00000Zp8kCIAR</x:v>
      </x:c>
      <x:c r="C2806" s="117" t="str">
        <x:v>301Ro00000f5mHLIAY</x:v>
      </x:c>
      <x:c r="D2806" s="118" t="n">
        <x:v>6</x:v>
      </x:c>
      <x:c r="E2806" s="117" t="str">
        <x:v>Obsolete</x:v>
      </x:c>
      <x:c r="F2806" s="117" t="str">
        <x:v>No</x:v>
      </x:c>
      <x:c r="G2806" s="117" t="str">
        <x:v>No</x:v>
      </x:c>
      <x:c r="H2806" s="117" t="str">
        <x:v>Flow</x:v>
      </x:c>
      <x:c r="I2806" s="118" t="n">
        <x:v>64</x:v>
      </x:c>
      <x:c r="J2806" s="117" t="str">
        <x:v>unmanaged</x:v>
      </x:c>
      <x:c r="K2806" s="123" t="b">
        <x:v>0</x:v>
      </x:c>
      <x:c r="L2806" s="117"/>
      <x:c r="M2806" s="118"/>
      <x:c r="N2806" s="120" t="n">
        <x:v>45853.62349537037</x:v>
      </x:c>
      <x:c r="O2806" s="117" t="str">
        <x:v>Sacha Pearce</x:v>
      </x:c>
      <x:c r="P2806" s="120" t="n">
        <x:v>45853.625289351854</x:v>
      </x:c>
      <x:c r="Q2806" s="117" t="str">
        <x:v>Sacha Pearce</x:v>
      </x:c>
      <x:c r="R2806" s="117" t="str">
        <x:v>Service Contract Renewal</x:v>
      </x:c>
      <x:c r="S2806" s="119" t="str">
        <x:v>Version 4 - 15/07/2025 - SP - Adding Currency ISO Code = recordId &gt; Currency ISO Code (tested in Sandbox first).
Version 5 - 15/07/2025 - SP - Adding Special Terms to Prepare New CLI.
Version 6 - 15/07/2025 - SP - Amending links for confirmation screens.</x:v>
      </x:c>
    </x:row>
    <x:row r="2807" ht="30" customHeight="1">
      <x:c r="A2807" s="117" t="str">
        <x:v>Service_Contract_Renewal</x:v>
      </x:c>
      <x:c r="B2807" s="117" t="str">
        <x:v>300Ro00000Zp8kCIAR</x:v>
      </x:c>
      <x:c r="C2807" s="117" t="str">
        <x:v>301Ro00000fUTTCIA4</x:v>
      </x:c>
      <x:c r="D2807" s="118" t="n">
        <x:v>7</x:v>
      </x:c>
      <x:c r="E2807" s="117" t="str">
        <x:v>Obsolete</x:v>
      </x:c>
      <x:c r="F2807" s="117" t="str">
        <x:v>No</x:v>
      </x:c>
      <x:c r="G2807" s="117" t="str">
        <x:v>No</x:v>
      </x:c>
      <x:c r="H2807" s="117" t="str">
        <x:v>Flow</x:v>
      </x:c>
      <x:c r="I2807" s="118" t="n">
        <x:v>64</x:v>
      </x:c>
      <x:c r="J2807" s="117" t="str">
        <x:v>unmanaged</x:v>
      </x:c>
      <x:c r="K2807" s="123" t="b">
        <x:v>0</x:v>
      </x:c>
      <x:c r="L2807" s="117"/>
      <x:c r="M2807" s="118"/>
      <x:c r="N2807" s="120" t="n">
        <x:v>45856.405069444445</x:v>
      </x:c>
      <x:c r="O2807" s="117" t="str">
        <x:v>Sacha Pearce</x:v>
      </x:c>
      <x:c r="P2807" s="120" t="n">
        <x:v>45856.40520833333</x:v>
      </x:c>
      <x:c r="Q2807" s="117" t="str">
        <x:v>Sacha Pearce</x:v>
      </x:c>
      <x:c r="R2807" s="117" t="str">
        <x:v>Service Contract Renewal</x:v>
      </x:c>
      <x:c r="S2807" s="119" t="str">
        <x:v>Version 4 - 15/07/2025 - SP - Adding Currency ISO Code = recordId &gt; Currency ISO Code (tested in Sandbox first).
Version 5 - 15/07/2025 - SP - Adding Special Terms to Prepare New CLI.
Version 6 - 15/07/2025 - SP - Amending links for confirmation screens.
Version 7 - 18/07/2025 - SP - Added Number of PMs and Number of Probe Replacements to pull from recordId.</x:v>
      </x:c>
    </x:row>
    <x:row r="2808" ht="30" customHeight="1">
      <x:c r="A2808" s="117" t="str">
        <x:v>Service_Contract_Renewal</x:v>
      </x:c>
      <x:c r="B2808" s="117" t="str">
        <x:v>300Ro00000Zp8kCIAR</x:v>
      </x:c>
      <x:c r="C2808" s="117" t="str">
        <x:v>301Ro00000foSjDIAU</x:v>
      </x:c>
      <x:c r="D2808" s="118" t="n">
        <x:v>8</x:v>
      </x:c>
      <x:c r="E2808" s="117" t="str">
        <x:v>Obsolete</x:v>
      </x:c>
      <x:c r="F2808" s="117" t="str">
        <x:v>No</x:v>
      </x:c>
      <x:c r="G2808" s="117" t="str">
        <x:v>No</x:v>
      </x:c>
      <x:c r="H2808" s="117" t="str">
        <x:v>Flow</x:v>
      </x:c>
      <x:c r="I2808" s="118" t="n">
        <x:v>64</x:v>
      </x:c>
      <x:c r="J2808" s="117" t="str">
        <x:v>unmanaged</x:v>
      </x:c>
      <x:c r="K2808" s="123" t="b">
        <x:v>0</x:v>
      </x:c>
      <x:c r="L2808" s="117"/>
      <x:c r="M2808" s="118"/>
      <x:c r="N2808" s="120" t="n">
        <x:v>45859.821238425924</x:v>
      </x:c>
      <x:c r="O2808" s="117" t="str">
        <x:v>Sacha Pearce</x:v>
      </x:c>
      <x:c r="P2808" s="120" t="n">
        <x:v>45859.822118055556</x:v>
      </x:c>
      <x:c r="Q2808" s="117" t="str">
        <x:v>Sacha Pearce</x:v>
      </x:c>
      <x:c r="R2808" s="117" t="str">
        <x:v>Service Contract Renewal</x:v>
      </x:c>
      <x:c r="S2808" s="119" t="str">
        <x:v>Version 4 - 15/07/2025 - SP - Adding Currency ISO Code = recordId &gt; Currency ISO Code (tested in Sandbox first).
Version 5 - 15/07/2025 - SP - Adding Special Terms to Prepare New CLI.
Version 6 - 15/07/2025 - SP - Amending links for confirmation screens.
Version 7 - 18/07/2025 - SP - Added Number of PMs and Number of Probe Replacements to pull from recordId.
Version 8 - 18/07/2025 - SP - Added Contact ID to the Create Service Contract element.</x:v>
      </x:c>
    </x:row>
    <x:row r="2809" ht="30" customHeight="1">
      <x:c r="A2809" s="117" t="str">
        <x:v>Service_Contract_Renewal</x:v>
      </x:c>
      <x:c r="B2809" s="117" t="str">
        <x:v>300Ro00000Zp8kCIAR</x:v>
      </x:c>
      <x:c r="C2809" s="117" t="str">
        <x:v>301Ro00000gx7rlIAA</x:v>
      </x:c>
      <x:c r="D2809" s="118" t="n">
        <x:v>9</x:v>
      </x:c>
      <x:c r="E2809" s="117" t="str">
        <x:v>Obsolete</x:v>
      </x:c>
      <x:c r="F2809" s="117" t="str">
        <x:v>No</x:v>
      </x:c>
      <x:c r="G2809" s="117" t="str">
        <x:v>No</x:v>
      </x:c>
      <x:c r="H2809" s="117" t="str">
        <x:v>Flow</x:v>
      </x:c>
      <x:c r="I2809" s="118" t="n">
        <x:v>64</x:v>
      </x:c>
      <x:c r="J2809" s="117" t="str">
        <x:v>unmanaged</x:v>
      </x:c>
      <x:c r="K2809" s="123" t="b">
        <x:v>0</x:v>
      </x:c>
      <x:c r="L2809" s="117"/>
      <x:c r="M2809" s="118"/>
      <x:c r="N2809" s="120" t="n">
        <x:v>45869.575208333335</x:v>
      </x:c>
      <x:c r="O2809" s="117" t="str">
        <x:v>Sacha Pearce</x:v>
      </x:c>
      <x:c r="P2809" s="120" t="n">
        <x:v>45869.57534722222</x:v>
      </x:c>
      <x:c r="Q2809" s="117" t="str">
        <x:v>Sacha Pearce</x:v>
      </x:c>
      <x:c r="R2809" s="117" t="str">
        <x:v>Service Contract Renewal</x:v>
      </x:c>
      <x:c r="S2809" s="119" t="str">
        <x:v>Version 4 - 15/07/2025 - SP - Adding Currency ISO Code = recordId &gt; Currency ISO Code (tested in Sandbox first).
Version 5 - 15/07/2025 - SP - Adding Special Terms to Prepare New CLI.
Version 6 - 15/07/2025 - SP - Amending links for confirmation screens.
Version 7 - 18/07/2025 - SP - Added Number of PMs and Number of Probe Replacements to pull from recordId.
Version 8 - 18/07/2025 - SP - Added Contact ID to the Create Service Contract element.
Version 9 - 31/07/2025 - SP - Adjusted Create Opportunity to have Sales Lead Source Detail set to Outbound Email.</x:v>
      </x:c>
    </x:row>
    <x:row r="2810" ht="30" customHeight="1">
      <x:c r="A2810" s="117" t="str">
        <x:v>Service_Contract_Renewal</x:v>
      </x:c>
      <x:c r="B2810" s="117" t="str">
        <x:v>300Ro00000Zp8kCIAR</x:v>
      </x:c>
      <x:c r="C2810" s="117" t="str">
        <x:v>301Ro00000mzR1IIAU</x:v>
      </x:c>
      <x:c r="D2810" s="118" t="n">
        <x:v>10</x:v>
      </x:c>
      <x:c r="E2810" s="117" t="str">
        <x:v>Obsolete</x:v>
      </x:c>
      <x:c r="F2810" s="117" t="str">
        <x:v>No</x:v>
      </x:c>
      <x:c r="G2810" s="117" t="str">
        <x:v>No</x:v>
      </x:c>
      <x:c r="H2810" s="117" t="str">
        <x:v>Flow</x:v>
      </x:c>
      <x:c r="I2810" s="118" t="n">
        <x:v>64</x:v>
      </x:c>
      <x:c r="J2810" s="117" t="str">
        <x:v>unmanaged</x:v>
      </x:c>
      <x:c r="K2810" s="123" t="b">
        <x:v>0</x:v>
      </x:c>
      <x:c r="L2810" s="117"/>
      <x:c r="M2810" s="118"/>
      <x:c r="N2810" s="120" t="n">
        <x:v>45923.40880787037</x:v>
      </x:c>
      <x:c r="O2810" s="117" t="str">
        <x:v>Sacha Pearce</x:v>
      </x:c>
      <x:c r="P2810" s="120" t="n">
        <x:v>45925.42167824074</x:v>
      </x:c>
      <x:c r="Q2810" s="117" t="str">
        <x:v>Sacha Pearce</x:v>
      </x:c>
      <x:c r="R2810" s="117" t="str">
        <x:v>Service Contract Renewal</x:v>
      </x:c>
      <x:c r="S2810" s="119" t="str">
        <x:v>Version 4 - 15/07/2025 - SP - Adding Currency ISO Code = recordId &gt; Currency ISO Code (tested in Sandbox first).
Version 5 - 15/07/2025 - SP - Adding Special Terms to Prepare New CLI.
Version 6 - 15/07/2025 - SP - Amending links for confirmation screens.
Version 7 - 18/07/2025 - SP - Added Number of PMs and Number of Probe Replacements to pull from recordId.
Version 8 - 18/07/2025 - SP - Added Contact ID to the Create Service Contract element.
Version 9 - 31/07/2025 - SP - Adjusted Create Opportunity to have Sales Lead Source Detail set to Outbound Email.
Version 10 - 23/09/2025 - SP - Adjusted the formulaStartDateMinus30Days to formulaNextInvoiceDate. The logic has been updated to set the Next Invoice Date to Today whenever the Contract Start Date is in the past or within the next 30 days. Otherwise, the Next Invoice Date is set to the Contract Start Date minus 30 days.</x:v>
      </x:c>
    </x:row>
    <x:row r="2811" ht="30" customHeight="1">
      <x:c r="A2811" s="117" t="str">
        <x:v>Service_Contract_Renewal</x:v>
      </x:c>
      <x:c r="B2811" s="117" t="str">
        <x:v>300Ro00000Zp8kCIAR</x:v>
      </x:c>
      <x:c r="C2811" s="117" t="str">
        <x:v>301Ro00000y4I0gIAE</x:v>
      </x:c>
      <x:c r="D2811" s="118" t="n">
        <x:v>11</x:v>
      </x:c>
      <x:c r="E2811" s="117" t="str">
        <x:v>Obsolete</x:v>
      </x:c>
      <x:c r="F2811" s="117" t="str">
        <x:v>No</x:v>
      </x:c>
      <x:c r="G2811" s="117" t="str">
        <x:v>No</x:v>
      </x:c>
      <x:c r="H2811" s="117" t="str">
        <x:v>Flow</x:v>
      </x:c>
      <x:c r="I2811" s="118" t="n">
        <x:v>64</x:v>
      </x:c>
      <x:c r="J2811" s="117" t="str">
        <x:v>unmanaged</x:v>
      </x:c>
      <x:c r="K2811" s="123" t="b">
        <x:v>0</x:v>
      </x:c>
      <x:c r="L2811" s="117"/>
      <x:c r="M2811" s="118"/>
      <x:c r="N2811" s="120" t="n">
        <x:v>46064.70762731481</x:v>
      </x:c>
      <x:c r="O2811" s="117" t="str">
        <x:v>Sacha Pearce</x:v>
      </x:c>
      <x:c r="P2811" s="120" t="n">
        <x:v>46065.43976851852</x:v>
      </x:c>
      <x:c r="Q2811" s="117" t="str">
        <x:v>Sacha Pearce</x:v>
      </x:c>
      <x:c r="R2811" s="117" t="str">
        <x:v>Service Contract Renewal</x:v>
      </x:c>
      <x:c r="S2811" s="119" t="str">
        <x:v>11/02/2026 - V11 - SP - Updating the "Create New Service Contract" to include the previous record's address information</x:v>
      </x:c>
    </x:row>
    <x:row r="2812" ht="30" customHeight="1">
      <x:c r="A2812" s="117" t="str">
        <x:v>Service_Contract_Renewal</x:v>
      </x:c>
      <x:c r="B2812" s="117" t="str">
        <x:v>300Ro00000Zp8kCIAR</x:v>
      </x:c>
      <x:c r="C2812" s="117" t="str">
        <x:v>301Ro000011U5UDIA0</x:v>
      </x:c>
      <x:c r="D2812" s="118" t="n">
        <x:v>12</x:v>
      </x:c>
      <x:c r="E2812" s="117" t="str">
        <x:v>Obsolete</x:v>
      </x:c>
      <x:c r="F2812" s="117" t="str">
        <x:v>No</x:v>
      </x:c>
      <x:c r="G2812" s="117" t="str">
        <x:v>No</x:v>
      </x:c>
      <x:c r="H2812" s="117" t="str">
        <x:v>Flow</x:v>
      </x:c>
      <x:c r="I2812" s="118" t="n">
        <x:v>64</x:v>
      </x:c>
      <x:c r="J2812" s="117" t="str">
        <x:v>unmanaged</x:v>
      </x:c>
      <x:c r="K2812" s="123" t="b">
        <x:v>0</x:v>
      </x:c>
      <x:c r="L2812" s="117"/>
      <x:c r="M2812" s="118"/>
      <x:c r="N2812" s="120" t="n">
        <x:v>46106.68929398148</x:v>
      </x:c>
      <x:c r="O2812" s="117" t="str">
        <x:v>Sacha Pearce</x:v>
      </x:c>
      <x:c r="P2812" s="120" t="n">
        <x:v>46106.68949074074</x:v>
      </x:c>
      <x:c r="Q2812" s="117" t="str">
        <x:v>Sacha Pearce</x:v>
      </x:c>
      <x:c r="R2812" s="117" t="str">
        <x:v>Service Contract Renewal</x:v>
      </x:c>
      <x:c r="S2812" s="119" t="str">
        <x:v>25/03/2026 - SP - Updating "formulaOpportunityName" to check if the Opportunity Name is greater than 120 characters. If so, then the Trust Group is dropped</x:v>
      </x:c>
    </x:row>
    <x:row r="2813" ht="30" customHeight="1">
      <x:c r="A2813" s="117" t="str">
        <x:v>Service_Contract_Renewal</x:v>
      </x:c>
      <x:c r="B2813" s="117" t="str">
        <x:v>300Ro00000Zp8kCIAR</x:v>
      </x:c>
      <x:c r="C2813" s="117" t="str">
        <x:v>301Ro000011lh28IAA</x:v>
      </x:c>
      <x:c r="D2813" s="118" t="n">
        <x:v>13</x:v>
      </x:c>
      <x:c r="E2813" s="117" t="str">
        <x:v>Obsolete</x:v>
      </x:c>
      <x:c r="F2813" s="117" t="str">
        <x:v>No</x:v>
      </x:c>
      <x:c r="G2813" s="117" t="str">
        <x:v>No</x:v>
      </x:c>
      <x:c r="H2813" s="117" t="str">
        <x:v>Flow</x:v>
      </x:c>
      <x:c r="I2813" s="118" t="n">
        <x:v>64</x:v>
      </x:c>
      <x:c r="J2813" s="117" t="str">
        <x:v>unmanaged</x:v>
      </x:c>
      <x:c r="K2813" s="123" t="b">
        <x:v>0</x:v>
      </x:c>
      <x:c r="L2813" s="117"/>
      <x:c r="M2813" s="118"/>
      <x:c r="N2813" s="120" t="n">
        <x:v>46109.77148148148</x:v>
      </x:c>
      <x:c r="O2813" s="117" t="str">
        <x:v>Sacha Pearce</x:v>
      </x:c>
      <x:c r="P2813" s="120" t="n">
        <x:v>46109.77291666667</x:v>
      </x:c>
      <x:c r="Q2813" s="117" t="str">
        <x:v>Sacha Pearce</x:v>
      </x:c>
      <x:c r="R2813" s="117" t="str">
        <x:v>Service Contract Renewal</x:v>
      </x:c>
      <x:c r="S2813" s="119" t="str">
        <x:v>25/03/2026 - SP - Setting the Opportunity Name to include the Opportunity Number</x:v>
      </x:c>
    </x:row>
    <x:row r="2814" ht="30" customHeight="1">
      <x:c r="A2814" s="117" t="str">
        <x:v>Service_Contract_Renewal</x:v>
      </x:c>
      <x:c r="B2814" s="117" t="str">
        <x:v>300Ro00000Zp8kCIAR</x:v>
      </x:c>
      <x:c r="C2814" s="117" t="str">
        <x:v>301Ro000011lVM2IAM</x:v>
      </x:c>
      <x:c r="D2814" s="118" t="n">
        <x:v>14</x:v>
      </x:c>
      <x:c r="E2814" s="117" t="str">
        <x:v>Obsolete</x:v>
      </x:c>
      <x:c r="F2814" s="117" t="str">
        <x:v>No</x:v>
      </x:c>
      <x:c r="G2814" s="117" t="str">
        <x:v>No</x:v>
      </x:c>
      <x:c r="H2814" s="117" t="str">
        <x:v>Flow</x:v>
      </x:c>
      <x:c r="I2814" s="118" t="n">
        <x:v>64</x:v>
      </x:c>
      <x:c r="J2814" s="117" t="str">
        <x:v>unmanaged</x:v>
      </x:c>
      <x:c r="K2814" s="123" t="b">
        <x:v>0</x:v>
      </x:c>
      <x:c r="L2814" s="117"/>
      <x:c r="M2814" s="118"/>
      <x:c r="N2814" s="120" t="n">
        <x:v>46109.77469907407</x:v>
      </x:c>
      <x:c r="O2814" s="117" t="str">
        <x:v>Sacha Pearce</x:v>
      </x:c>
      <x:c r="P2814" s="120" t="n">
        <x:v>46109.77483796296</x:v>
      </x:c>
      <x:c r="Q2814" s="117" t="str">
        <x:v>Sacha Pearce</x:v>
      </x:c>
      <x:c r="R2814" s="117" t="str">
        <x:v>Service Contract Renewal</x:v>
      </x:c>
      <x:c r="S2814" s="119" t="str">
        <x:v>25/03/2026 - SP - Setting the Opportunity Name to include the Opportunity Number</x:v>
      </x:c>
    </x:row>
    <x:row r="2815" ht="30" customHeight="1">
      <x:c r="A2815" s="117" t="str">
        <x:v>Service_Contract_Renewal</x:v>
      </x:c>
      <x:c r="B2815" s="117" t="str">
        <x:v>300Ro00000Zp8kCIAR</x:v>
      </x:c>
      <x:c r="C2815" s="117" t="str">
        <x:v>301Ro000017sMyJIAU</x:v>
      </x:c>
      <x:c r="D2815" s="118" t="n">
        <x:v>15</x:v>
      </x:c>
      <x:c r="E2815" s="117" t="str">
        <x:v>Obsolete</x:v>
      </x:c>
      <x:c r="F2815" s="117" t="str">
        <x:v>No</x:v>
      </x:c>
      <x:c r="G2815" s="117" t="str">
        <x:v>No</x:v>
      </x:c>
      <x:c r="H2815" s="117" t="str">
        <x:v>Flow</x:v>
      </x:c>
      <x:c r="I2815" s="118" t="n">
        <x:v>64</x:v>
      </x:c>
      <x:c r="J2815" s="117" t="str">
        <x:v>unmanaged</x:v>
      </x:c>
      <x:c r="K2815" s="123" t="b">
        <x:v>0</x:v>
      </x:c>
      <x:c r="L2815" s="117"/>
      <x:c r="M2815" s="118"/>
      <x:c r="N2815" s="120" t="n">
        <x:v>46181.40913194444</x:v>
      </x:c>
      <x:c r="O2815" s="117" t="str">
        <x:v>Sacha Pearce</x:v>
      </x:c>
      <x:c r="P2815" s="120" t="n">
        <x:v>46181.40925925926</x:v>
      </x:c>
      <x:c r="Q2815" s="117" t="str">
        <x:v>Sacha Pearce</x:v>
      </x:c>
      <x:c r="R2815" s="117" t="str">
        <x:v>Service Contract Renewal</x:v>
      </x:c>
      <x:c r="S2815" s="119" t="str">
        <x:v>08/06/2026 - SP - Introducing the setting of the "Previous Service Contract Type" field on Service Contract renewal.</x:v>
      </x:c>
    </x:row>
    <x:row r="2816" ht="30" customHeight="1">
      <x:c r="A2816" s="117" t="str">
        <x:v>Service_Contract_Renewal</x:v>
      </x:c>
      <x:c r="B2816" s="117" t="str">
        <x:v>300Ro00000Zp8kCIAR</x:v>
      </x:c>
      <x:c r="C2816" s="117" t="str">
        <x:v>301Ro000017svSzIAI</x:v>
      </x:c>
      <x:c r="D2816" s="118" t="n">
        <x:v>16</x:v>
      </x:c>
      <x:c r="E2816" s="117" t="str">
        <x:v>Obsolete</x:v>
      </x:c>
      <x:c r="F2816" s="117" t="str">
        <x:v>No</x:v>
      </x:c>
      <x:c r="G2816" s="117" t="str">
        <x:v>No</x:v>
      </x:c>
      <x:c r="H2816" s="117" t="str">
        <x:v>Flow</x:v>
      </x:c>
      <x:c r="I2816" s="118" t="n">
        <x:v>64</x:v>
      </x:c>
      <x:c r="J2816" s="117" t="str">
        <x:v>unmanaged</x:v>
      </x:c>
      <x:c r="K2816" s="123" t="b">
        <x:v>0</x:v>
      </x:c>
      <x:c r="L2816" s="117"/>
      <x:c r="M2816" s="118"/>
      <x:c r="N2816" s="120" t="n">
        <x:v>46181.44902777778</x:v>
      </x:c>
      <x:c r="O2816" s="117" t="str">
        <x:v>Sacha Pearce</x:v>
      </x:c>
      <x:c r="P2816" s="120" t="n">
        <x:v>46181.449375</x:v>
      </x:c>
      <x:c r="Q2816" s="117" t="str">
        <x:v>Sacha Pearce</x:v>
      </x:c>
      <x:c r="R2816" s="117" t="str">
        <x:v>Service Contract Renewal</x:v>
      </x:c>
      <x:c r="S2816" s="119" t="str">
        <x:v>08/06/2026 - SP - Introducing the setting of the "Previous Service Contract Type" field on Opportunity renewal.</x:v>
      </x:c>
    </x:row>
    <x:row r="2817" ht="30" customHeight="1">
      <x:c r="A2817" s="117" t="str">
        <x:v>Service_Contract_Renewal</x:v>
      </x:c>
      <x:c r="B2817" s="117" t="str">
        <x:v>300Ro00000Zp8kCIAR</x:v>
      </x:c>
      <x:c r="C2817" s="117" t="str">
        <x:v>301Ro00001AAVHKIA5</x:v>
      </x:c>
      <x:c r="D2817" s="118" t="n">
        <x:v>17</x:v>
      </x:c>
      <x:c r="E2817" s="117" t="str">
        <x:v>Obsolete</x:v>
      </x:c>
      <x:c r="F2817" s="117" t="str">
        <x:v>No</x:v>
      </x:c>
      <x:c r="G2817" s="117" t="str">
        <x:v>No</x:v>
      </x:c>
      <x:c r="H2817" s="117" t="str">
        <x:v>Flow</x:v>
      </x:c>
      <x:c r="I2817" s="118" t="n">
        <x:v>64</x:v>
      </x:c>
      <x:c r="J2817" s="117" t="str">
        <x:v>unmanaged</x:v>
      </x:c>
      <x:c r="K2817" s="123" t="b">
        <x:v>0</x:v>
      </x:c>
      <x:c r="L2817" s="117"/>
      <x:c r="M2817" s="118"/>
      <x:c r="N2817" s="120" t="n">
        <x:v>46205.420335648145</x:v>
      </x:c>
      <x:c r="O2817" s="117" t="str">
        <x:v>Sacha Pearce</x:v>
      </x:c>
      <x:c r="P2817" s="120" t="n">
        <x:v>46205.42047453704</x:v>
      </x:c>
      <x:c r="Q2817" s="117" t="str">
        <x:v>Sacha Pearce</x:v>
      </x:c>
      <x:c r="R2817" s="117" t="str">
        <x:v>Service Contract Renewal</x:v>
      </x:c>
      <x:c r="S2817" s="119" t="str">
        <x:v>02/07/2026 - SP - Setting the "Service Contract" field on the Opportunity saved in the "Renewal Opportunity" field with the created Service Contract in the "Renew Contract" path.</x:v>
      </x:c>
    </x:row>
    <x:row r="2818" ht="30" customHeight="1">
      <x:c r="A2818" s="117" t="str">
        <x:v>Service_Contract_Renewal</x:v>
      </x:c>
      <x:c r="B2818" s="117" t="str">
        <x:v>300Ro00000Zp8kCIAR</x:v>
      </x:c>
      <x:c r="C2818" s="117" t="str">
        <x:v>301Ro00001AR1BRIA1</x:v>
      </x:c>
      <x:c r="D2818" s="118" t="n">
        <x:v>18</x:v>
      </x:c>
      <x:c r="E2818" s="117" t="str">
        <x:v>Active</x:v>
      </x:c>
      <x:c r="F2818" s="117" t="str">
        <x:v>Yes</x:v>
      </x:c>
      <x:c r="G2818" s="117" t="str">
        <x:v>Yes</x:v>
      </x:c>
      <x:c r="H2818" s="117" t="str">
        <x:v>Flow</x:v>
      </x:c>
      <x:c r="I2818" s="118" t="n">
        <x:v>64</x:v>
      </x:c>
      <x:c r="J2818" s="117" t="str">
        <x:v>unmanaged</x:v>
      </x:c>
      <x:c r="K2818" s="123" t="b">
        <x:v>0</x:v>
      </x:c>
      <x:c r="L2818" s="117"/>
      <x:c r="M2818" s="118"/>
      <x:c r="N2818" s="120" t="n">
        <x:v>46209.40589120371</x:v>
      </x:c>
      <x:c r="O2818" s="117" t="str">
        <x:v>Sacha Pearce</x:v>
      </x:c>
      <x:c r="P2818" s="120" t="n">
        <x:v>46209.4065162037</x:v>
      </x:c>
      <x:c r="Q2818" s="117" t="str">
        <x:v>Sacha Pearce</x:v>
      </x:c>
      <x:c r="R2818" s="117" t="str">
        <x:v>Service Contract Renewal</x:v>
      </x:c>
      <x:c r="S2818" s="119" t="str">
        <x:v>06/07/2026 - SP - Adding fields from previous Contract Line Items into the new Contract Line Item. The fields being pulled contain information for network settings, transducers, peripherals and hardware etc.</x:v>
      </x:c>
    </x:row>
    <x:row r="2819" ht="30" customHeight="1">
      <x:c r="A2819" s="117" t="str">
        <x:v>Service_Contract_Renewal_US1</x:v>
      </x:c>
      <x:c r="B2819" s="117" t="str">
        <x:v>300Ro00000nsEpqIAE</x:v>
      </x:c>
      <x:c r="C2819" s="117" t="str">
        <x:v>301Ro00000vIb5IIAS</x:v>
      </x:c>
      <x:c r="D2819" s="118" t="n">
        <x:v>1</x:v>
      </x:c>
      <x:c r="E2819" s="117" t="str">
        <x:v>Obsolete</x:v>
      </x:c>
      <x:c r="F2819" s="117" t="str">
        <x:v>No</x:v>
      </x:c>
      <x:c r="G2819" s="117" t="str">
        <x:v>No</x:v>
      </x:c>
      <x:c r="H2819" s="117" t="str">
        <x:v>Flow</x:v>
      </x:c>
      <x:c r="I2819" s="118" t="n">
        <x:v>64</x:v>
      </x:c>
      <x:c r="J2819" s="117" t="str">
        <x:v>unmanaged</x:v>
      </x:c>
      <x:c r="K2819" s="123" t="b">
        <x:v>0</x:v>
      </x:c>
      <x:c r="L2819" s="117"/>
      <x:c r="M2819" s="118"/>
      <x:c r="N2819" s="120" t="n">
        <x:v>46029.85212962963</x:v>
      </x:c>
      <x:c r="O2819" s="117" t="str">
        <x:v>Sacha Pearce</x:v>
      </x:c>
      <x:c r="P2819" s="120" t="n">
        <x:v>46029.864016203705</x:v>
      </x:c>
      <x:c r="Q2819" s="117" t="str">
        <x:v>Sacha Pearce</x:v>
      </x:c>
      <x:c r="R2819" s="117" t="str">
        <x:v>Service Contract Renewal US</x:v>
      </x:c>
      <x:c r="S2819" s="119"/>
    </x:row>
    <x:row r="2820" ht="30" customHeight="1">
      <x:c r="A2820" s="117" t="str">
        <x:v>Service_Contract_Renewal_US1</x:v>
      </x:c>
      <x:c r="B2820" s="117" t="str">
        <x:v>300Ro00000nsEpqIAE</x:v>
      </x:c>
      <x:c r="C2820" s="117" t="str">
        <x:v>301Ro00000xHszhIAC</x:v>
      </x:c>
      <x:c r="D2820" s="118" t="n">
        <x:v>2</x:v>
      </x:c>
      <x:c r="E2820" s="117" t="str">
        <x:v>Obsolete</x:v>
      </x:c>
      <x:c r="F2820" s="117" t="str">
        <x:v>No</x:v>
      </x:c>
      <x:c r="G2820" s="117" t="str">
        <x:v>No</x:v>
      </x:c>
      <x:c r="H2820" s="117" t="str">
        <x:v>Flow</x:v>
      </x:c>
      <x:c r="I2820" s="118" t="n">
        <x:v>64</x:v>
      </x:c>
      <x:c r="J2820" s="117" t="str">
        <x:v>unmanaged</x:v>
      </x:c>
      <x:c r="K2820" s="123" t="b">
        <x:v>0</x:v>
      </x:c>
      <x:c r="L2820" s="117"/>
      <x:c r="M2820" s="118"/>
      <x:c r="N2820" s="120" t="n">
        <x:v>46055.86880787037</x:v>
      </x:c>
      <x:c r="O2820" s="117" t="str">
        <x:v>Sacha Pearce</x:v>
      </x:c>
      <x:c r="P2820" s="120" t="n">
        <x:v>46055.868935185186</x:v>
      </x:c>
      <x:c r="Q2820" s="117" t="str">
        <x:v>Sacha Pearce</x:v>
      </x:c>
      <x:c r="R2820" s="117" t="str">
        <x:v>Service Contract Renewal US</x:v>
      </x:c>
      <x:c r="S2820" s="119" t="str">
        <x:v>02/02/2026 - V2 - SP - Removing the "Coverage Level" picklist from the "Confirm Renewal Opportunity" screen</x:v>
      </x:c>
    </x:row>
    <x:row r="2821" ht="30" customHeight="1">
      <x:c r="A2821" s="117" t="str">
        <x:v>Service_Contract_Renewal_US1</x:v>
      </x:c>
      <x:c r="B2821" s="117" t="str">
        <x:v>300Ro00000nsEpqIAE</x:v>
      </x:c>
      <x:c r="C2821" s="117" t="str">
        <x:v>301Ro00000xHrp9IAC</x:v>
      </x:c>
      <x:c r="D2821" s="118" t="n">
        <x:v>3</x:v>
      </x:c>
      <x:c r="E2821" s="117" t="str">
        <x:v>Obsolete</x:v>
      </x:c>
      <x:c r="F2821" s="117" t="str">
        <x:v>No</x:v>
      </x:c>
      <x:c r="G2821" s="117" t="str">
        <x:v>No</x:v>
      </x:c>
      <x:c r="H2821" s="117" t="str">
        <x:v>Flow</x:v>
      </x:c>
      <x:c r="I2821" s="118" t="n">
        <x:v>64</x:v>
      </x:c>
      <x:c r="J2821" s="117" t="str">
        <x:v>unmanaged</x:v>
      </x:c>
      <x:c r="K2821" s="123" t="b">
        <x:v>0</x:v>
      </x:c>
      <x:c r="L2821" s="117"/>
      <x:c r="M2821" s="118"/>
      <x:c r="N2821" s="120" t="n">
        <x:v>46055.87449074074</x:v>
      </x:c>
      <x:c r="O2821" s="117" t="str">
        <x:v>Sacha Pearce</x:v>
      </x:c>
      <x:c r="P2821" s="120" t="n">
        <x:v>46055.87465277778</x:v>
      </x:c>
      <x:c r="Q2821" s="117" t="str">
        <x:v>Sacha Pearce</x:v>
      </x:c>
      <x:c r="R2821" s="117" t="str">
        <x:v>Service Contract Renewal US</x:v>
      </x:c>
      <x:c r="S2821" s="119" t="str">
        <x:v>02/02/2026 - V2 - SP - Removing the "Coverage Level" picklist from the "Confirm Renewal Opportunity" screen
02/02/2026 - V3 - SP - Removing the "Contract Length" picklist from the "Confirm Renewal Opportunity" screen</x:v>
      </x:c>
    </x:row>
    <x:row r="2822" ht="30" customHeight="1">
      <x:c r="A2822" s="117" t="str">
        <x:v>Service_Contract_Renewal_US1</x:v>
      </x:c>
      <x:c r="B2822" s="117" t="str">
        <x:v>300Ro00000nsEpqIAE</x:v>
      </x:c>
      <x:c r="C2822" s="117" t="str">
        <x:v>301Ro00000xHOQvIAO</x:v>
      </x:c>
      <x:c r="D2822" s="118" t="n">
        <x:v>4</x:v>
      </x:c>
      <x:c r="E2822" s="117" t="str">
        <x:v>Draft</x:v>
      </x:c>
      <x:c r="F2822" s="117" t="str">
        <x:v>No</x:v>
      </x:c>
      <x:c r="G2822" s="117" t="str">
        <x:v>No</x:v>
      </x:c>
      <x:c r="H2822" s="117" t="str">
        <x:v>Flow</x:v>
      </x:c>
      <x:c r="I2822" s="118" t="n">
        <x:v>64</x:v>
      </x:c>
      <x:c r="J2822" s="117" t="str">
        <x:v>unmanaged</x:v>
      </x:c>
      <x:c r="K2822" s="123" t="b">
        <x:v>0</x:v>
      </x:c>
      <x:c r="L2822" s="117"/>
      <x:c r="M2822" s="118"/>
      <x:c r="N2822" s="120" t="n">
        <x:v>46055.8796875</x:v>
      </x:c>
      <x:c r="O2822" s="117" t="str">
        <x:v>Sacha Pearce</x:v>
      </x:c>
      <x:c r="P2822" s="120" t="n">
        <x:v>46055.87975694444</x:v>
      </x:c>
      <x:c r="Q2822" s="117" t="str">
        <x:v>Sacha Pearce</x:v>
      </x:c>
      <x:c r="R2822" s="117" t="str">
        <x:v>Service Contract Renewal US</x:v>
      </x:c>
      <x:c r="S2822" s="119" t="str">
        <x:v>02/02/2026 - V2 - SP - Removing the "Coverage Level" picklist from the "Confirm Renewal Opportunity" screen
02/02/2026 - V3 - SP - Removing the "Contract Length" picklist from the "Confirm Renewal Opportunity" screen</x:v>
      </x:c>
    </x:row>
    <x:row r="2823" ht="30" customHeight="1">
      <x:c r="A2823" s="117" t="str">
        <x:v>Service_Contract_Renewal_US1</x:v>
      </x:c>
      <x:c r="B2823" s="117" t="str">
        <x:v>300Ro00000nsEpqIAE</x:v>
      </x:c>
      <x:c r="C2823" s="117" t="str">
        <x:v>301Ro00000xHtJ5IAK</x:v>
      </x:c>
      <x:c r="D2823" s="118" t="n">
        <x:v>5</x:v>
      </x:c>
      <x:c r="E2823" s="117" t="str">
        <x:v>Obsolete</x:v>
      </x:c>
      <x:c r="F2823" s="117" t="str">
        <x:v>No</x:v>
      </x:c>
      <x:c r="G2823" s="117" t="str">
        <x:v>No</x:v>
      </x:c>
      <x:c r="H2823" s="117" t="str">
        <x:v>Flow</x:v>
      </x:c>
      <x:c r="I2823" s="118" t="n">
        <x:v>64</x:v>
      </x:c>
      <x:c r="J2823" s="117" t="str">
        <x:v>unmanaged</x:v>
      </x:c>
      <x:c r="K2823" s="123" t="b">
        <x:v>0</x:v>
      </x:c>
      <x:c r="L2823" s="117"/>
      <x:c r="M2823" s="118"/>
      <x:c r="N2823" s="120" t="n">
        <x:v>46055.8849537037</x:v>
      </x:c>
      <x:c r="O2823" s="117" t="str">
        <x:v>Sacha Pearce</x:v>
      </x:c>
      <x:c r="P2823" s="120" t="n">
        <x:v>46055.885092592594</x:v>
      </x:c>
      <x:c r="Q2823" s="117" t="str">
        <x:v>Sacha Pearce</x:v>
      </x:c>
      <x:c r="R2823" s="117" t="str">
        <x:v>Service Contract Renewal US</x:v>
      </x:c>
      <x:c r="S2823" s="119" t="str">
        <x:v>02/02/2026 - V2 - SP - Removing the "Coverage Level" picklist from the "Confirm Renewal Opportunity" screen
02/02/2026 - V5 - SP - Amending the "Create Opp Product Item" create records element to set the "Sales Price" instead of "Total Price"</x:v>
      </x:c>
    </x:row>
    <x:row r="2824" ht="30" customHeight="1">
      <x:c r="A2824" s="117" t="str">
        <x:v>Service_Contract_Renewal_US1</x:v>
      </x:c>
      <x:c r="B2824" s="117" t="str">
        <x:v>300Ro00000nsEpqIAE</x:v>
      </x:c>
      <x:c r="C2824" s="117" t="str">
        <x:v>301Ro000010u8KHIAY</x:v>
      </x:c>
      <x:c r="D2824" s="118" t="n">
        <x:v>6</x:v>
      </x:c>
      <x:c r="E2824" s="117" t="str">
        <x:v>Draft</x:v>
      </x:c>
      <x:c r="F2824" s="117" t="str">
        <x:v>No</x:v>
      </x:c>
      <x:c r="G2824" s="117" t="str">
        <x:v>No</x:v>
      </x:c>
      <x:c r="H2824" s="117" t="str">
        <x:v>Flow</x:v>
      </x:c>
      <x:c r="I2824" s="118" t="n">
        <x:v>64</x:v>
      </x:c>
      <x:c r="J2824" s="117" t="str">
        <x:v>unmanaged</x:v>
      </x:c>
      <x:c r="K2824" s="123" t="b">
        <x:v>0</x:v>
      </x:c>
      <x:c r="L2824" s="117"/>
      <x:c r="M2824" s="118"/>
      <x:c r="N2824" s="120" t="n">
        <x:v>46099.85549768519</x:v>
      </x:c>
      <x:c r="O2824" s="117" t="str">
        <x:v>Mindy Bender</x:v>
      </x:c>
      <x:c r="P2824" s="120" t="n">
        <x:v>46099.855578703704</x:v>
      </x:c>
      <x:c r="Q2824" s="117" t="str">
        <x:v>Mindy Bender</x:v>
      </x:c>
      <x:c r="R2824" s="117" t="str">
        <x:v>Service Contract Renewal US</x:v>
      </x:c>
      <x:c r="S2824" s="119" t="str">
        <x:v>02/02/2026 - V2 - SP - Removing the "Coverage Level" picklist from the "Confirm Renewal Opportunity" screen
02/02/2026 - V5 - SP - Amending the "Create Opp Product Item" create records element to set the "Sales Price" instead of "Total Price"
03/18/2026 - V6 - MB - Creating Popup if Renewal Opporutnity doesn't exist as will throw error for creating contract and line items.</x:v>
      </x:c>
    </x:row>
    <x:row r="2825" ht="30" customHeight="1">
      <x:c r="A2825" s="117" t="str">
        <x:v>Service_Contract_Renewal_US1</x:v>
      </x:c>
      <x:c r="B2825" s="117" t="str">
        <x:v>300Ro00000nsEpqIAE</x:v>
      </x:c>
      <x:c r="C2825" s="117" t="str">
        <x:v>301Ro000012TT3SIAW</x:v>
      </x:c>
      <x:c r="D2825" s="118" t="n">
        <x:v>7</x:v>
      </x:c>
      <x:c r="E2825" s="117" t="str">
        <x:v>Draft</x:v>
      </x:c>
      <x:c r="F2825" s="117" t="str">
        <x:v>No</x:v>
      </x:c>
      <x:c r="G2825" s="117" t="str">
        <x:v>No</x:v>
      </x:c>
      <x:c r="H2825" s="117" t="str">
        <x:v>Flow</x:v>
      </x:c>
      <x:c r="I2825" s="118" t="n">
        <x:v>64</x:v>
      </x:c>
      <x:c r="J2825" s="117" t="str">
        <x:v>unmanaged</x:v>
      </x:c>
      <x:c r="K2825" s="123" t="b">
        <x:v>0</x:v>
      </x:c>
      <x:c r="L2825" s="117"/>
      <x:c r="M2825" s="118"/>
      <x:c r="N2825" s="120" t="n">
        <x:v>46118.81895833334</x:v>
      </x:c>
      <x:c r="O2825" s="117" t="str">
        <x:v>Mindy Bender</x:v>
      </x:c>
      <x:c r="P2825" s="120" t="n">
        <x:v>46118.81905092593</x:v>
      </x:c>
      <x:c r="Q2825" s="117" t="str">
        <x:v>Mindy Bender</x:v>
      </x:c>
      <x:c r="R2825" s="117" t="str">
        <x:v>Service Contract Renewal US</x:v>
      </x:c>
      <x:c r="S2825" s="119" t="str">
        <x:v>02/02/2026 - V2 - SP - Removing the "Coverage Level" picklist from the "Confirm Renewal Opportunity" screen
02/02/2026 - V5 - SP - Amending the "Create Opp Product Item" create records element to set the "Sales Price" instead of "Total Price"
03/24/2026 - V6 - MB - Updated date pull for warranty contracts, counter on looping through line items, decision to ensure opportunity is linked on old contract</x:v>
      </x:c>
    </x:row>
    <x:row r="2826" ht="30" customHeight="1">
      <x:c r="A2826" s="117" t="str">
        <x:v>Service_Contract_Renewal_US1</x:v>
      </x:c>
      <x:c r="B2826" s="117" t="str">
        <x:v>300Ro00000nsEpqIAE</x:v>
      </x:c>
      <x:c r="C2826" s="117" t="str">
        <x:v>301Ro000012TLsFIAW</x:v>
      </x:c>
      <x:c r="D2826" s="118" t="n">
        <x:v>8</x:v>
      </x:c>
      <x:c r="E2826" s="117" t="str">
        <x:v>Draft</x:v>
      </x:c>
      <x:c r="F2826" s="117" t="str">
        <x:v>No</x:v>
      </x:c>
      <x:c r="G2826" s="117" t="str">
        <x:v>No</x:v>
      </x:c>
      <x:c r="H2826" s="117" t="str">
        <x:v>Flow</x:v>
      </x:c>
      <x:c r="I2826" s="118" t="n">
        <x:v>64</x:v>
      </x:c>
      <x:c r="J2826" s="117" t="str">
        <x:v>unmanaged</x:v>
      </x:c>
      <x:c r="K2826" s="123" t="b">
        <x:v>0</x:v>
      </x:c>
      <x:c r="L2826" s="117"/>
      <x:c r="M2826" s="118"/>
      <x:c r="N2826" s="120" t="n">
        <x:v>46118.814479166664</x:v>
      </x:c>
      <x:c r="O2826" s="117" t="str">
        <x:v>Mindy Bender</x:v>
      </x:c>
      <x:c r="P2826" s="120" t="n">
        <x:v>46118.81454861111</x:v>
      </x:c>
      <x:c r="Q2826" s="117" t="str">
        <x:v>Mindy Bender</x:v>
      </x:c>
      <x:c r="R2826" s="117" t="str">
        <x:v>Service Contract Renewal US</x:v>
      </x:c>
      <x:c r="S2826" s="119" t="str">
        <x:v>02/02/2026 - V2 - SP - Removing the "Coverage Level" picklist from the "Confirm Renewal Opportunity" screen
02/02/2026 - V5 - SP - Amending the "Create Opp Product Item" create records element to set the "Sales Price" instead of "Total Price"
04/06/2026 - V6 0 MB - Opportunity to pull addresses from contract opportunity ship to and bill to addresses &amp; fixes date on warranty opp</x:v>
      </x:c>
    </x:row>
    <x:row r="2827" ht="30" customHeight="1">
      <x:c r="A2827" s="117" t="str">
        <x:v>Service_Contract_Renewal_US1</x:v>
      </x:c>
      <x:c r="B2827" s="117" t="str">
        <x:v>300Ro00000nsEpqIAE</x:v>
      </x:c>
      <x:c r="C2827" s="117" t="str">
        <x:v>301Ro000012U1UrIAK</x:v>
      </x:c>
      <x:c r="D2827" s="118" t="n">
        <x:v>9</x:v>
      </x:c>
      <x:c r="E2827" s="117" t="str">
        <x:v>Obsolete</x:v>
      </x:c>
      <x:c r="F2827" s="117" t="str">
        <x:v>No</x:v>
      </x:c>
      <x:c r="G2827" s="117" t="str">
        <x:v>No</x:v>
      </x:c>
      <x:c r="H2827" s="117" t="str">
        <x:v>Flow</x:v>
      </x:c>
      <x:c r="I2827" s="118" t="n">
        <x:v>64</x:v>
      </x:c>
      <x:c r="J2827" s="117" t="str">
        <x:v>unmanaged</x:v>
      </x:c>
      <x:c r="K2827" s="123" t="b">
        <x:v>0</x:v>
      </x:c>
      <x:c r="L2827" s="117"/>
      <x:c r="M2827" s="118"/>
      <x:c r="N2827" s="120" t="n">
        <x:v>46118.82119212963</x:v>
      </x:c>
      <x:c r="O2827" s="117" t="str">
        <x:v>Mindy Bender</x:v>
      </x:c>
      <x:c r="P2827" s="120" t="n">
        <x:v>46118.82136574074</x:v>
      </x:c>
      <x:c r="Q2827" s="117" t="str">
        <x:v>Mindy Bender</x:v>
      </x:c>
      <x:c r="R2827" s="117" t="str">
        <x:v>Service Contract Renewal US</x:v>
      </x:c>
      <x:c r="S2827" s="119" t="str">
        <x:v>02/02/2026 - V2 - SP - Removing the "Coverage Level" picklist from the "Confirm Renewal Opportunity" screen
02/02/2026 - V5 - SP - Amending the "Create Opp Product Item" create records element to set the "Sales Price" instead of "Total Price"
04/06/2026 - V9 - MB - Updated date pull for warranty contracts, counter on looping through line items, decision to ensure opportunity is linked on old contract, pull bill to and ship to addresses from contract Opp when creating renewal opp</x:v>
      </x:c>
    </x:row>
    <x:row r="2828" ht="30" customHeight="1">
      <x:c r="A2828" s="117" t="str">
        <x:v>Service_Contract_Renewal_US1</x:v>
      </x:c>
      <x:c r="B2828" s="117" t="str">
        <x:v>300Ro00000nsEpqIAE</x:v>
      </x:c>
      <x:c r="C2828" s="117" t="str">
        <x:v>301Ro000014BxoMIAS</x:v>
      </x:c>
      <x:c r="D2828" s="118" t="n">
        <x:v>10</x:v>
      </x:c>
      <x:c r="E2828" s="117" t="str">
        <x:v>Obsolete</x:v>
      </x:c>
      <x:c r="F2828" s="117" t="str">
        <x:v>No</x:v>
      </x:c>
      <x:c r="G2828" s="117" t="str">
        <x:v>No</x:v>
      </x:c>
      <x:c r="H2828" s="117" t="str">
        <x:v>Flow</x:v>
      </x:c>
      <x:c r="I2828" s="118" t="n">
        <x:v>64</x:v>
      </x:c>
      <x:c r="J2828" s="117" t="str">
        <x:v>unmanaged</x:v>
      </x:c>
      <x:c r="K2828" s="123" t="b">
        <x:v>0</x:v>
      </x:c>
      <x:c r="L2828" s="117"/>
      <x:c r="M2828" s="118"/>
      <x:c r="N2828" s="120" t="n">
        <x:v>46139.68027777778</x:v>
      </x:c>
      <x:c r="O2828" s="117" t="str">
        <x:v>Mindy Bender</x:v>
      </x:c>
      <x:c r="P2828" s="120" t="n">
        <x:v>46139.681284722225</x:v>
      </x:c>
      <x:c r="Q2828" s="117" t="str">
        <x:v>Mindy Bender</x:v>
      </x:c>
      <x:c r="R2828" s="117" t="str">
        <x:v>Service Contract Renewal US</x:v>
      </x:c>
      <x:c r="S2828" s="119" t="str">
        <x:v>04/27/2026 - V10 - MPB - Added linking service contract to convert so can easily click when reviewing with TMs.</x:v>
      </x:c>
    </x:row>
    <x:row r="2829" ht="30" customHeight="1">
      <x:c r="A2829" s="117" t="str">
        <x:v>Service_Contract_Renewal_US1</x:v>
      </x:c>
      <x:c r="B2829" s="117" t="str">
        <x:v>300Ro00000nsEpqIAE</x:v>
      </x:c>
      <x:c r="C2829" s="117" t="str">
        <x:v>301Ro000014BQE7IAO</x:v>
      </x:c>
      <x:c r="D2829" s="118" t="n">
        <x:v>11</x:v>
      </x:c>
      <x:c r="E2829" s="117" t="str">
        <x:v>Active</x:v>
      </x:c>
      <x:c r="F2829" s="117" t="str">
        <x:v>Yes</x:v>
      </x:c>
      <x:c r="G2829" s="117" t="str">
        <x:v>Yes</x:v>
      </x:c>
      <x:c r="H2829" s="117" t="str">
        <x:v>Flow</x:v>
      </x:c>
      <x:c r="I2829" s="118" t="n">
        <x:v>64</x:v>
      </x:c>
      <x:c r="J2829" s="117" t="str">
        <x:v>unmanaged</x:v>
      </x:c>
      <x:c r="K2829" s="123" t="b">
        <x:v>0</x:v>
      </x:c>
      <x:c r="L2829" s="117"/>
      <x:c r="M2829" s="118"/>
      <x:c r="N2829" s="120" t="n">
        <x:v>46139.68665509259</x:v>
      </x:c>
      <x:c r="O2829" s="117" t="str">
        <x:v>Mindy Bender</x:v>
      </x:c>
      <x:c r="P2829" s="120" t="n">
        <x:v>46139.686793981484</x:v>
      </x:c>
      <x:c r="Q2829" s="117" t="str">
        <x:v>Mindy Bender</x:v>
      </x:c>
      <x:c r="R2829" s="117" t="str">
        <x:v>Service Contract Renewal US</x:v>
      </x:c>
      <x:c r="S2829" s="119" t="str">
        <x:v>04/27/2026 - V11 - MPB - Added linking service contract to convert so can easily click when reviewing with TMs &amp; fixed Opp name to take from screen.</x:v>
      </x:c>
    </x:row>
    <x:row r="2830" ht="30" customHeight="1">
      <x:c r="A2830" s="117" t="str">
        <x:v>Service_Contract_Unlock_Flow</x:v>
      </x:c>
      <x:c r="B2830" s="117" t="str">
        <x:v>300Ro00000PFWArIAP</x:v>
      </x:c>
      <x:c r="C2830" s="117" t="str">
        <x:v>301Ro00000RoojgIAB</x:v>
      </x:c>
      <x:c r="D2830" s="118" t="n">
        <x:v>1</x:v>
      </x:c>
      <x:c r="E2830" s="117" t="str">
        <x:v>Active</x:v>
      </x:c>
      <x:c r="F2830" s="117" t="str">
        <x:v>Yes</x:v>
      </x:c>
      <x:c r="G2830" s="117" t="str">
        <x:v>Yes</x:v>
      </x:c>
      <x:c r="H2830" s="117" t="str">
        <x:v>AutoLaunchedFlow</x:v>
      </x:c>
      <x:c r="I2830" s="118" t="n">
        <x:v>62</x:v>
      </x:c>
      <x:c r="J2830" s="117" t="str">
        <x:v>unmanaged</x:v>
      </x:c>
      <x:c r="K2830" s="123" t="b">
        <x:v>0</x:v>
      </x:c>
      <x:c r="L2830" s="117"/>
      <x:c r="M2830" s="118"/>
      <x:c r="N2830" s="120" t="n">
        <x:v>45666.383206018516</x:v>
      </x:c>
      <x:c r="O2830" s="117" t="str">
        <x:v>Sacha Pearce</x:v>
      </x:c>
      <x:c r="P2830" s="120" t="n">
        <x:v>45666.38353009259</x:v>
      </x:c>
      <x:c r="Q2830" s="117" t="str">
        <x:v>Sacha Pearce</x:v>
      </x:c>
      <x:c r="R2830" s="117" t="str">
        <x:v>Service Contract Unlock Flow</x:v>
      </x:c>
      <x:c r="S2830" s="119"/>
    </x:row>
    <x:row r="2831" ht="30" customHeight="1">
      <x:c r="A2831" s="117" t="str">
        <x:v>Service_Contract_Updates_Flow</x:v>
      </x:c>
      <x:c r="B2831" s="117" t="str">
        <x:v>3005b000000LHjaAAG</x:v>
      </x:c>
      <x:c r="C2831" s="117" t="str">
        <x:v>3015b000000AEd3AAG</x:v>
      </x:c>
      <x:c r="D2831" s="118" t="n">
        <x:v>1</x:v>
      </x:c>
      <x:c r="E2831" s="117" t="str">
        <x:v>Active</x:v>
      </x:c>
      <x:c r="F2831" s="117" t="str">
        <x:v>Yes</x:v>
      </x:c>
      <x:c r="G2831" s="117" t="str">
        <x:v>No</x:v>
      </x:c>
      <x:c r="H2831" s="117" t="str">
        <x:v>AutoLaunchedFlow</x:v>
      </x:c>
      <x:c r="I2831" s="118" t="n">
        <x:v>56</x:v>
      </x:c>
      <x:c r="J2831" s="117" t="str">
        <x:v>unmanaged</x:v>
      </x:c>
      <x:c r="K2831" s="123" t="b">
        <x:v>0</x:v>
      </x:c>
      <x:c r="L2831" s="117"/>
      <x:c r="M2831" s="118"/>
      <x:c r="N2831" s="120" t="n">
        <x:v>44945.661782407406</x:v>
      </x:c>
      <x:c r="O2831" s="117" t="str">
        <x:v>Jace Gentil</x:v>
      </x:c>
      <x:c r="P2831" s="120" t="n">
        <x:v>45615.68755787037</x:v>
      </x:c>
      <x:c r="Q2831" s="117" t="str">
        <x:v>Jace Gentil</x:v>
      </x:c>
      <x:c r="R2831" s="117" t="str">
        <x:v>Service Contract Updates Flow</x:v>
      </x:c>
      <x:c r="S2831" s="119"/>
    </x:row>
    <x:row r="2832" ht="30" customHeight="1">
      <x:c r="A2832" s="117" t="str">
        <x:v>Service_Contract_Updates_Flow</x:v>
      </x:c>
      <x:c r="B2832" s="117" t="str">
        <x:v>3005b000000LHjaAAG</x:v>
      </x:c>
      <x:c r="C2832" s="117" t="str">
        <x:v>301Ro00000Ous82IAB</x:v>
      </x:c>
      <x:c r="D2832" s="118" t="n">
        <x:v>2</x:v>
      </x:c>
      <x:c r="E2832" s="117" t="str">
        <x:v>Obsolete</x:v>
      </x:c>
      <x:c r="F2832" s="117" t="str">
        <x:v>No</x:v>
      </x:c>
      <x:c r="G2832" s="117" t="str">
        <x:v>No</x:v>
      </x:c>
      <x:c r="H2832" s="117" t="str">
        <x:v>AutoLaunchedFlow</x:v>
      </x:c>
      <x:c r="I2832" s="118" t="n">
        <x:v>56</x:v>
      </x:c>
      <x:c r="J2832" s="117" t="str">
        <x:v>unmanaged</x:v>
      </x:c>
      <x:c r="K2832" s="123" t="b">
        <x:v>0</x:v>
      </x:c>
      <x:c r="L2832" s="117"/>
      <x:c r="M2832" s="118"/>
      <x:c r="N2832" s="120" t="n">
        <x:v>45612.81236111111</x:v>
      </x:c>
      <x:c r="O2832" s="117" t="str">
        <x:v>Jace Gentil</x:v>
      </x:c>
      <x:c r="P2832" s="120" t="n">
        <x:v>45612.812430555554</x:v>
      </x:c>
      <x:c r="Q2832" s="117" t="str">
        <x:v>Jace Gentil</x:v>
      </x:c>
      <x:c r="R2832" s="117" t="str">
        <x:v>Service Contract Updates Flow</x:v>
      </x:c>
      <x:c r="S2832" s="119"/>
    </x:row>
    <x:row r="2833" ht="30" customHeight="1">
      <x:c r="A2833" s="117" t="str">
        <x:v>Service_Contract_Updates_Flow</x:v>
      </x:c>
      <x:c r="B2833" s="117" t="str">
        <x:v>3005b000000LHjaAAG</x:v>
      </x:c>
      <x:c r="C2833" s="117" t="str">
        <x:v>301Ro00000OujzOIAR</x:v>
      </x:c>
      <x:c r="D2833" s="118" t="n">
        <x:v>3</x:v>
      </x:c>
      <x:c r="E2833" s="117" t="str">
        <x:v>Obsolete</x:v>
      </x:c>
      <x:c r="F2833" s="117" t="str">
        <x:v>No</x:v>
      </x:c>
      <x:c r="G2833" s="117" t="str">
        <x:v>No</x:v>
      </x:c>
      <x:c r="H2833" s="117" t="str">
        <x:v>AutoLaunchedFlow</x:v>
      </x:c>
      <x:c r="I2833" s="118" t="n">
        <x:v>56</x:v>
      </x:c>
      <x:c r="J2833" s="117" t="str">
        <x:v>unmanaged</x:v>
      </x:c>
      <x:c r="K2833" s="123" t="b">
        <x:v>0</x:v>
      </x:c>
      <x:c r="L2833" s="117"/>
      <x:c r="M2833" s="118"/>
      <x:c r="N2833" s="120" t="n">
        <x:v>45612.812581018516</x:v>
      </x:c>
      <x:c r="O2833" s="117" t="str">
        <x:v>Jace Gentil</x:v>
      </x:c>
      <x:c r="P2833" s="120" t="n">
        <x:v>45612.81263888889</x:v>
      </x:c>
      <x:c r="Q2833" s="117" t="str">
        <x:v>Jace Gentil</x:v>
      </x:c>
      <x:c r="R2833" s="117" t="str">
        <x:v>Service Contract Updates Flow</x:v>
      </x:c>
      <x:c r="S2833" s="119"/>
    </x:row>
    <x:row r="2834" ht="30" customHeight="1">
      <x:c r="A2834" s="117" t="str">
        <x:v>Service_Contract_Updates_Flow</x:v>
      </x:c>
      <x:c r="B2834" s="117" t="str">
        <x:v>3005b000000LHjaAAG</x:v>
      </x:c>
      <x:c r="C2834" s="117" t="str">
        <x:v>301Ro00000P2tq2IAB</x:v>
      </x:c>
      <x:c r="D2834" s="118" t="n">
        <x:v>4</x:v>
      </x:c>
      <x:c r="E2834" s="117" t="str">
        <x:v>Obsolete</x:v>
      </x:c>
      <x:c r="F2834" s="117" t="str">
        <x:v>No</x:v>
      </x:c>
      <x:c r="G2834" s="117" t="str">
        <x:v>Yes</x:v>
      </x:c>
      <x:c r="H2834" s="117" t="str">
        <x:v>AutoLaunchedFlow</x:v>
      </x:c>
      <x:c r="I2834" s="118" t="n">
        <x:v>56</x:v>
      </x:c>
      <x:c r="J2834" s="117" t="str">
        <x:v>unmanaged</x:v>
      </x:c>
      <x:c r="K2834" s="123" t="b">
        <x:v>0</x:v>
      </x:c>
      <x:c r="L2834" s="117"/>
      <x:c r="M2834" s="118"/>
      <x:c r="N2834" s="120" t="n">
        <x:v>45615.617314814815</x:v>
      </x:c>
      <x:c r="O2834" s="117" t="str">
        <x:v>Jace Gentil</x:v>
      </x:c>
      <x:c r="P2834" s="120" t="n">
        <x:v>45615.6174537037</x:v>
      </x:c>
      <x:c r="Q2834" s="117" t="str">
        <x:v>Jace Gentil</x:v>
      </x:c>
      <x:c r="R2834" s="117" t="str">
        <x:v>Service Contract Updates Flow</x:v>
      </x:c>
      <x:c r="S2834" s="119"/>
    </x:row>
    <x:row r="2835" ht="30" customHeight="1">
      <x:c r="A2835" s="117" t="str">
        <x:v>Service_Contract_Updates_Status_Handler</x:v>
      </x:c>
      <x:c r="B2835" s="117" t="str">
        <x:v>3005b000000H3t4AAC</x:v>
      </x:c>
      <x:c r="C2835" s="117" t="str">
        <x:v>3015b000000EK4TAAW</x:v>
      </x:c>
      <x:c r="D2835" s="118" t="n">
        <x:v>1</x:v>
      </x:c>
      <x:c r="E2835" s="117" t="str">
        <x:v>Obsolete</x:v>
      </x:c>
      <x:c r="F2835" s="117" t="str">
        <x:v>No</x:v>
      </x:c>
      <x:c r="G2835" s="117" t="str">
        <x:v>No</x:v>
      </x:c>
      <x:c r="H2835" s="117" t="str">
        <x:v>AutoLaunchedFlow</x:v>
      </x:c>
      <x:c r="I2835" s="118" t="n">
        <x:v>54</x:v>
      </x:c>
      <x:c r="J2835" s="117" t="str">
        <x:v>unmanaged</x:v>
      </x:c>
      <x:c r="K2835" s="123" t="b">
        <x:v>0</x:v>
      </x:c>
      <x:c r="L2835" s="117"/>
      <x:c r="M2835" s="118"/>
      <x:c r="N2835" s="120" t="n">
        <x:v>44715.175532407404</x:v>
      </x:c>
      <x:c r="O2835" s="117" t="str">
        <x:v>Delegate</x:v>
      </x:c>
      <x:c r="P2835" s="120" t="n">
        <x:v>44729.69210648148</x:v>
      </x:c>
      <x:c r="Q2835" s="117" t="str">
        <x:v>Delegate</x:v>
      </x:c>
      <x:c r="R2835" s="117" t="str">
        <x:v>Service Contract - Updates - Status Handler</x:v>
      </x:c>
      <x:c r="S2835" s="119" t="str">
        <x:v>This flow checks daily for active contracts. Updates the warranty and contract status according to the start and end dates respectively. Transitioned from "PB: Service Contract" Process Builder</x:v>
      </x:c>
    </x:row>
    <x:row r="2836" ht="30" customHeight="1">
      <x:c r="A2836" s="117" t="str">
        <x:v>Service_Contract_Updates_Status_Handler</x:v>
      </x:c>
      <x:c r="B2836" s="117" t="str">
        <x:v>3005b000000H3t4AAC</x:v>
      </x:c>
      <x:c r="C2836" s="117" t="str">
        <x:v>3015b000000EKcQAAW</x:v>
      </x:c>
      <x:c r="D2836" s="118" t="n">
        <x:v>2</x:v>
      </x:c>
      <x:c r="E2836" s="117" t="str">
        <x:v>Active</x:v>
      </x:c>
      <x:c r="F2836" s="117" t="str">
        <x:v>Yes</x:v>
      </x:c>
      <x:c r="G2836" s="117" t="str">
        <x:v>Yes</x:v>
      </x:c>
      <x:c r="H2836" s="117" t="str">
        <x:v>AutoLaunchedFlow</x:v>
      </x:c>
      <x:c r="I2836" s="118" t="n">
        <x:v>54</x:v>
      </x:c>
      <x:c r="J2836" s="117" t="str">
        <x:v>unmanaged</x:v>
      </x:c>
      <x:c r="K2836" s="123" t="b">
        <x:v>0</x:v>
      </x:c>
      <x:c r="L2836" s="117"/>
      <x:c r="M2836" s="118"/>
      <x:c r="N2836" s="120" t="n">
        <x:v>44741.66165509259</x:v>
      </x:c>
      <x:c r="O2836" s="117" t="str">
        <x:v>Delegate</x:v>
      </x:c>
      <x:c r="P2836" s="120" t="n">
        <x:v>44741.66415509259</x:v>
      </x:c>
      <x:c r="Q2836" s="117" t="str">
        <x:v>Delegate</x:v>
      </x:c>
      <x:c r="R2836" s="117" t="str">
        <x:v>Service Contract - Updates - Status Handler</x:v>
      </x:c>
      <x:c r="S2836" s="119" t="str">
        <x:v>SN/NB - Made updates to expand outlier contract dates. Also added stipulation to check status when changing from active &gt; expired and vice versa.
This flow checks daily for active contracts. Updates the warranty and contract status according to the start and end dates respectively. Transitioned from "PB: Service Contract" Process Builder</x:v>
      </x:c>
    </x:row>
    <x:row r="2837" ht="30" customHeight="1">
      <x:c r="A2837" s="117" t="str">
        <x:v>Service_Work_Order_Part_Name_Lookup</x:v>
      </x:c>
      <x:c r="B2837" s="117" t="str">
        <x:v>3004O000000TiaDQAS</x:v>
      </x:c>
      <x:c r="C2837" s="117" t="str">
        <x:v>3014O000000U5jMQAS</x:v>
      </x:c>
      <x:c r="D2837" s="118" t="n">
        <x:v>1</x:v>
      </x:c>
      <x:c r="E2837" s="117" t="str">
        <x:v>Obsolete</x:v>
      </x:c>
      <x:c r="F2837" s="117" t="str">
        <x:v>No</x:v>
      </x:c>
      <x:c r="G2837" s="117" t="str">
        <x:v>No</x:v>
      </x:c>
      <x:c r="H2837" s="117" t="str">
        <x:v>Workflow</x:v>
      </x:c>
      <x:c r="I2837" s="118"/>
      <x:c r="J2837" s="117" t="str">
        <x:v>unmanaged</x:v>
      </x:c>
      <x:c r="K2837" s="123" t="b">
        <x:v>0</x:v>
      </x:c>
      <x:c r="L2837" s="117"/>
      <x:c r="M2837" s="118"/>
      <x:c r="N2837" s="120" t="n">
        <x:v>43756.58909722222</x:v>
      </x:c>
      <x:c r="O2837" s="117" t="str">
        <x:v>QC Admin</x:v>
      </x:c>
      <x:c r="P2837" s="120" t="n">
        <x:v>43756.589155092595</x:v>
      </x:c>
      <x:c r="Q2837" s="117" t="str">
        <x:v>QC Admin</x:v>
      </x:c>
      <x:c r="R2837" s="117" t="str">
        <x:v>Service Work Order Line Item Part Name Lookup</x:v>
      </x:c>
      <x:c r="S2837" s="119" t="str">
        <x:v>If asset is listed on WO line item, pull in the product name into the "part name" field.</x:v>
      </x:c>
    </x:row>
    <x:row r="2838" ht="30" customHeight="1">
      <x:c r="A2838" s="117" t="str">
        <x:v>Service_Work_Order_Part_Name_Lookup</x:v>
      </x:c>
      <x:c r="B2838" s="117" t="str">
        <x:v>3004O000000TiaDQAS</x:v>
      </x:c>
      <x:c r="C2838" s="117" t="str">
        <x:v>3014O000000U5jWQAS</x:v>
      </x:c>
      <x:c r="D2838" s="118" t="n">
        <x:v>2</x:v>
      </x:c>
      <x:c r="E2838" s="117" t="str">
        <x:v>Obsolete</x:v>
      </x:c>
      <x:c r="F2838" s="117" t="str">
        <x:v>No</x:v>
      </x:c>
      <x:c r="G2838" s="117" t="str">
        <x:v>No</x:v>
      </x:c>
      <x:c r="H2838" s="117" t="str">
        <x:v>Workflow</x:v>
      </x:c>
      <x:c r="I2838" s="118"/>
      <x:c r="J2838" s="117" t="str">
        <x:v>unmanaged</x:v>
      </x:c>
      <x:c r="K2838" s="123" t="b">
        <x:v>0</x:v>
      </x:c>
      <x:c r="L2838" s="117"/>
      <x:c r="M2838" s="118"/>
      <x:c r="N2838" s="120" t="n">
        <x:v>43756.65152777778</x:v>
      </x:c>
      <x:c r="O2838" s="117" t="str">
        <x:v>QC Admin</x:v>
      </x:c>
      <x:c r="P2838" s="120" t="n">
        <x:v>43756.65159722222</x:v>
      </x:c>
      <x:c r="Q2838" s="117" t="str">
        <x:v>QC Admin</x:v>
      </x:c>
      <x:c r="R2838" s="117" t="str">
        <x:v>Service Work Order Line Item Part Name Lookup</x:v>
      </x:c>
      <x:c r="S2838" s="119" t="str">
        <x:v>If asset is listed on WO line item, pull in the product name into the "part name" field.</x:v>
      </x:c>
    </x:row>
    <x:row r="2839" ht="30" customHeight="1">
      <x:c r="A2839" s="117" t="str">
        <x:v>Service_Work_Order_Part_Name_Lookup</x:v>
      </x:c>
      <x:c r="B2839" s="117" t="str">
        <x:v>3004O000000TiaDQAS</x:v>
      </x:c>
      <x:c r="C2839" s="117" t="str">
        <x:v>3014O000000U5jvQAC</x:v>
      </x:c>
      <x:c r="D2839" s="118" t="n">
        <x:v>3</x:v>
      </x:c>
      <x:c r="E2839" s="117" t="str">
        <x:v>Obsolete</x:v>
      </x:c>
      <x:c r="F2839" s="117" t="str">
        <x:v>No</x:v>
      </x:c>
      <x:c r="G2839" s="117" t="str">
        <x:v>No</x:v>
      </x:c>
      <x:c r="H2839" s="117" t="str">
        <x:v>Workflow</x:v>
      </x:c>
      <x:c r="I2839" s="118"/>
      <x:c r="J2839" s="117" t="str">
        <x:v>unmanaged</x:v>
      </x:c>
      <x:c r="K2839" s="123" t="b">
        <x:v>0</x:v>
      </x:c>
      <x:c r="L2839" s="117"/>
      <x:c r="M2839" s="118"/>
      <x:c r="N2839" s="120" t="n">
        <x:v>43756.67292824074</x:v>
      </x:c>
      <x:c r="O2839" s="117" t="str">
        <x:v>QC Admin</x:v>
      </x:c>
      <x:c r="P2839" s="120" t="n">
        <x:v>43756.67304398148</x:v>
      </x:c>
      <x:c r="Q2839" s="117" t="str">
        <x:v>QC Admin</x:v>
      </x:c>
      <x:c r="R2839" s="117" t="str">
        <x:v>Service Work Order Line Item Part Name Lookup</x:v>
      </x:c>
      <x:c r="S2839" s="119" t="str">
        <x:v>If asset is listed on WO line item, pull in the product name into the "part name" field.</x:v>
      </x:c>
    </x:row>
    <x:row r="2840" ht="30" customHeight="1">
      <x:c r="A2840" s="117" t="str">
        <x:v>Service_Work_Order_Part_Name_Lookup</x:v>
      </x:c>
      <x:c r="B2840" s="117" t="str">
        <x:v>3004O000000TiaDQAS</x:v>
      </x:c>
      <x:c r="C2840" s="117" t="str">
        <x:v>3014O000000U5kAQAS</x:v>
      </x:c>
      <x:c r="D2840" s="118" t="n">
        <x:v>4</x:v>
      </x:c>
      <x:c r="E2840" s="117" t="str">
        <x:v>Obsolete</x:v>
      </x:c>
      <x:c r="F2840" s="117" t="str">
        <x:v>No</x:v>
      </x:c>
      <x:c r="G2840" s="117" t="str">
        <x:v>No</x:v>
      </x:c>
      <x:c r="H2840" s="117" t="str">
        <x:v>Workflow</x:v>
      </x:c>
      <x:c r="I2840" s="118"/>
      <x:c r="J2840" s="117" t="str">
        <x:v>unmanaged</x:v>
      </x:c>
      <x:c r="K2840" s="123" t="b">
        <x:v>0</x:v>
      </x:c>
      <x:c r="L2840" s="117"/>
      <x:c r="M2840" s="118"/>
      <x:c r="N2840" s="120" t="n">
        <x:v>43756.67633101852</x:v>
      </x:c>
      <x:c r="O2840" s="117" t="str">
        <x:v>QC Admin</x:v>
      </x:c>
      <x:c r="P2840" s="120" t="n">
        <x:v>43756.67638888889</x:v>
      </x:c>
      <x:c r="Q2840" s="117" t="str">
        <x:v>QC Admin</x:v>
      </x:c>
      <x:c r="R2840" s="117" t="str">
        <x:v>Service Work Order Line Item Part Used Info Lookup</x:v>
      </x:c>
      <x:c r="S2840" s="119" t="str">
        <x:v>If asset is listed on WO line item, pull in the product name into the "part name" field.</x:v>
      </x:c>
    </x:row>
    <x:row r="2841" ht="30" customHeight="1">
      <x:c r="A2841" s="117" t="str">
        <x:v>Service_Work_Order_Part_Name_Lookup</x:v>
      </x:c>
      <x:c r="B2841" s="117" t="str">
        <x:v>3004O000000TiaDQAS</x:v>
      </x:c>
      <x:c r="C2841" s="117" t="str">
        <x:v>3014O000000U5kVQAS</x:v>
      </x:c>
      <x:c r="D2841" s="118" t="n">
        <x:v>5</x:v>
      </x:c>
      <x:c r="E2841" s="117" t="str">
        <x:v>Obsolete</x:v>
      </x:c>
      <x:c r="F2841" s="117" t="str">
        <x:v>No</x:v>
      </x:c>
      <x:c r="G2841" s="117" t="str">
        <x:v>No</x:v>
      </x:c>
      <x:c r="H2841" s="117" t="str">
        <x:v>Workflow</x:v>
      </x:c>
      <x:c r="I2841" s="118"/>
      <x:c r="J2841" s="117" t="str">
        <x:v>unmanaged</x:v>
      </x:c>
      <x:c r="K2841" s="123" t="b">
        <x:v>0</x:v>
      </x:c>
      <x:c r="L2841" s="117"/>
      <x:c r="M2841" s="118"/>
      <x:c r="N2841" s="120" t="n">
        <x:v>43756.68164351852</x:v>
      </x:c>
      <x:c r="O2841" s="117" t="str">
        <x:v>QC Admin</x:v>
      </x:c>
      <x:c r="P2841" s="120" t="n">
        <x:v>43756.68181712963</x:v>
      </x:c>
      <x:c r="Q2841" s="117" t="str">
        <x:v>QC Admin</x:v>
      </x:c>
      <x:c r="R2841" s="117" t="str">
        <x:v>Service Work Order Line Item Part Used Info Lookup</x:v>
      </x:c>
      <x:c r="S2841" s="119" t="str">
        <x:v>If asset is listed on WO line item, pull in the product name into the "part name" field.</x:v>
      </x:c>
    </x:row>
    <x:row r="2842" ht="30" customHeight="1">
      <x:c r="A2842" s="117" t="str">
        <x:v>Service_Work_Order_Part_Name_Lookup</x:v>
      </x:c>
      <x:c r="B2842" s="117" t="str">
        <x:v>3004O000000TiaDQAS</x:v>
      </x:c>
      <x:c r="C2842" s="117" t="str">
        <x:v>3014O000000U5keQAC</x:v>
      </x:c>
      <x:c r="D2842" s="118" t="n">
        <x:v>6</x:v>
      </x:c>
      <x:c r="E2842" s="117" t="str">
        <x:v>Obsolete</x:v>
      </x:c>
      <x:c r="F2842" s="117" t="str">
        <x:v>No</x:v>
      </x:c>
      <x:c r="G2842" s="117" t="str">
        <x:v>No</x:v>
      </x:c>
      <x:c r="H2842" s="117" t="str">
        <x:v>Workflow</x:v>
      </x:c>
      <x:c r="I2842" s="118"/>
      <x:c r="J2842" s="117" t="str">
        <x:v>unmanaged</x:v>
      </x:c>
      <x:c r="K2842" s="123" t="b">
        <x:v>0</x:v>
      </x:c>
      <x:c r="L2842" s="117"/>
      <x:c r="M2842" s="118"/>
      <x:c r="N2842" s="120" t="n">
        <x:v>43756.68271990741</x:v>
      </x:c>
      <x:c r="O2842" s="117" t="str">
        <x:v>QC Admin</x:v>
      </x:c>
      <x:c r="P2842" s="120" t="n">
        <x:v>43756.68277777778</x:v>
      </x:c>
      <x:c r="Q2842" s="117" t="str">
        <x:v>QC Admin</x:v>
      </x:c>
      <x:c r="R2842" s="117" t="str">
        <x:v>Service Work Order Line Item Part Used Info Lookup</x:v>
      </x:c>
      <x:c r="S2842" s="119" t="str">
        <x:v>If asset is listed on WO line item, pull in the product name into the "part name" field.</x:v>
      </x:c>
    </x:row>
    <x:row r="2843" ht="30" customHeight="1">
      <x:c r="A2843" s="117" t="str">
        <x:v>Service_Work_Order_Part_Name_Lookup</x:v>
      </x:c>
      <x:c r="B2843" s="117" t="str">
        <x:v>3004O000000TiaDQAS</x:v>
      </x:c>
      <x:c r="C2843" s="117" t="str">
        <x:v>3014O000000U5kjQAC</x:v>
      </x:c>
      <x:c r="D2843" s="118" t="n">
        <x:v>7</x:v>
      </x:c>
      <x:c r="E2843" s="117" t="str">
        <x:v>Obsolete</x:v>
      </x:c>
      <x:c r="F2843" s="117" t="str">
        <x:v>No</x:v>
      </x:c>
      <x:c r="G2843" s="117" t="str">
        <x:v>No</x:v>
      </x:c>
      <x:c r="H2843" s="117" t="str">
        <x:v>Workflow</x:v>
      </x:c>
      <x:c r="I2843" s="118"/>
      <x:c r="J2843" s="117" t="str">
        <x:v>unmanaged</x:v>
      </x:c>
      <x:c r="K2843" s="123" t="b">
        <x:v>0</x:v>
      </x:c>
      <x:c r="L2843" s="117"/>
      <x:c r="M2843" s="118"/>
      <x:c r="N2843" s="120" t="n">
        <x:v>43756.68373842593</x:v>
      </x:c>
      <x:c r="O2843" s="117" t="str">
        <x:v>QC Admin</x:v>
      </x:c>
      <x:c r="P2843" s="120" t="n">
        <x:v>43756.683796296296</x:v>
      </x:c>
      <x:c r="Q2843" s="117" t="str">
        <x:v>QC Admin</x:v>
      </x:c>
      <x:c r="R2843" s="117" t="str">
        <x:v>Service Work Order Line Item Part Used Info Lookup</x:v>
      </x:c>
      <x:c r="S2843" s="119" t="str">
        <x:v>If asset is listed on WO line item, pull in the product name into the "part name" field.</x:v>
      </x:c>
    </x:row>
    <x:row r="2844" ht="30" customHeight="1">
      <x:c r="A2844" s="117" t="str">
        <x:v>Service_Work_Order_Part_Name_Lookup</x:v>
      </x:c>
      <x:c r="B2844" s="117" t="str">
        <x:v>3004O000000TiaDQAS</x:v>
      </x:c>
      <x:c r="C2844" s="117" t="str">
        <x:v>3014O000000U5ktQAC</x:v>
      </x:c>
      <x:c r="D2844" s="118" t="n">
        <x:v>8</x:v>
      </x:c>
      <x:c r="E2844" s="117" t="str">
        <x:v>Obsolete</x:v>
      </x:c>
      <x:c r="F2844" s="117" t="str">
        <x:v>No</x:v>
      </x:c>
      <x:c r="G2844" s="117" t="str">
        <x:v>No</x:v>
      </x:c>
      <x:c r="H2844" s="117" t="str">
        <x:v>Workflow</x:v>
      </x:c>
      <x:c r="I2844" s="118"/>
      <x:c r="J2844" s="117" t="str">
        <x:v>unmanaged</x:v>
      </x:c>
      <x:c r="K2844" s="123" t="b">
        <x:v>0</x:v>
      </x:c>
      <x:c r="L2844" s="117"/>
      <x:c r="M2844" s="118"/>
      <x:c r="N2844" s="120" t="n">
        <x:v>43756.685902777775</x:v>
      </x:c>
      <x:c r="O2844" s="117" t="str">
        <x:v>QC Admin</x:v>
      </x:c>
      <x:c r="P2844" s="120" t="n">
        <x:v>43756.68601851852</x:v>
      </x:c>
      <x:c r="Q2844" s="117" t="str">
        <x:v>QC Admin</x:v>
      </x:c>
      <x:c r="R2844" s="117" t="str">
        <x:v>Service Work Order Line Item Part Used Info Lookup</x:v>
      </x:c>
      <x:c r="S2844" s="119" t="str">
        <x:v>If asset is listed on WO line item, pull in the product name into the "part name" field.</x:v>
      </x:c>
    </x:row>
    <x:row r="2845" ht="30" customHeight="1">
      <x:c r="A2845" s="117" t="str">
        <x:v>Service_Work_Order_Part_Name_Lookup</x:v>
      </x:c>
      <x:c r="B2845" s="117" t="str">
        <x:v>3004O000000TiaDQAS</x:v>
      </x:c>
      <x:c r="C2845" s="117" t="str">
        <x:v>3014O000000U5l3QAC</x:v>
      </x:c>
      <x:c r="D2845" s="118" t="n">
        <x:v>9</x:v>
      </x:c>
      <x:c r="E2845" s="117" t="str">
        <x:v>Obsolete</x:v>
      </x:c>
      <x:c r="F2845" s="117" t="str">
        <x:v>No</x:v>
      </x:c>
      <x:c r="G2845" s="117" t="str">
        <x:v>No</x:v>
      </x:c>
      <x:c r="H2845" s="117" t="str">
        <x:v>Workflow</x:v>
      </x:c>
      <x:c r="I2845" s="118"/>
      <x:c r="J2845" s="117" t="str">
        <x:v>unmanaged</x:v>
      </x:c>
      <x:c r="K2845" s="123" t="b">
        <x:v>0</x:v>
      </x:c>
      <x:c r="L2845" s="117"/>
      <x:c r="M2845" s="118"/>
      <x:c r="N2845" s="120" t="n">
        <x:v>43756.69752314815</x:v>
      </x:c>
      <x:c r="O2845" s="117" t="str">
        <x:v>QC Admin</x:v>
      </x:c>
      <x:c r="P2845" s="120" t="n">
        <x:v>43756.69756944444</x:v>
      </x:c>
      <x:c r="Q2845" s="117" t="str">
        <x:v>QC Admin</x:v>
      </x:c>
      <x:c r="R2845" s="117" t="str">
        <x:v>Service Work Order Line Item Part Used Info Lookup</x:v>
      </x:c>
      <x:c r="S2845" s="119" t="str">
        <x:v>If asset is listed on WO line item, pull in the product name into the "part name" field.</x:v>
      </x:c>
    </x:row>
    <x:row r="2846" ht="30" customHeight="1">
      <x:c r="A2846" s="117" t="str">
        <x:v>Service_Work_Order_Part_Name_Lookup</x:v>
      </x:c>
      <x:c r="B2846" s="117" t="str">
        <x:v>3004O000000TiaDQAS</x:v>
      </x:c>
      <x:c r="C2846" s="117" t="str">
        <x:v>3014O000000U5mDQAS</x:v>
      </x:c>
      <x:c r="D2846" s="118" t="n">
        <x:v>10</x:v>
      </x:c>
      <x:c r="E2846" s="117" t="str">
        <x:v>Obsolete</x:v>
      </x:c>
      <x:c r="F2846" s="117" t="str">
        <x:v>No</x:v>
      </x:c>
      <x:c r="G2846" s="117" t="str">
        <x:v>No</x:v>
      </x:c>
      <x:c r="H2846" s="117" t="str">
        <x:v>Workflow</x:v>
      </x:c>
      <x:c r="I2846" s="118"/>
      <x:c r="J2846" s="117" t="str">
        <x:v>unmanaged</x:v>
      </x:c>
      <x:c r="K2846" s="123" t="b">
        <x:v>0</x:v>
      </x:c>
      <x:c r="L2846" s="117"/>
      <x:c r="M2846" s="118"/>
      <x:c r="N2846" s="120" t="n">
        <x:v>43756.73224537037</x:v>
      </x:c>
      <x:c r="O2846" s="117" t="str">
        <x:v>QC Admin</x:v>
      </x:c>
      <x:c r="P2846" s="120" t="n">
        <x:v>43756.73228009259</x:v>
      </x:c>
      <x:c r="Q2846" s="117" t="str">
        <x:v>QC Admin</x:v>
      </x:c>
      <x:c r="R2846" s="117" t="str">
        <x:v>Service Work Order Line Item Part Used Info Lookup</x:v>
      </x:c>
      <x:c r="S2846" s="119" t="str">
        <x:v>If asset is listed on WO line item, pull in the product name into the "part name" field.</x:v>
      </x:c>
    </x:row>
    <x:row r="2847" ht="30" customHeight="1">
      <x:c r="A2847" s="117" t="str">
        <x:v>Service_Work_Order_Part_Name_Lookup</x:v>
      </x:c>
      <x:c r="B2847" s="117" t="str">
        <x:v>3004O000000TiaDQAS</x:v>
      </x:c>
      <x:c r="C2847" s="117" t="str">
        <x:v>3014O000000U5u5QAC</x:v>
      </x:c>
      <x:c r="D2847" s="118" t="n">
        <x:v>11</x:v>
      </x:c>
      <x:c r="E2847" s="117" t="str">
        <x:v>Obsolete</x:v>
      </x:c>
      <x:c r="F2847" s="117" t="str">
        <x:v>No</x:v>
      </x:c>
      <x:c r="G2847" s="117" t="str">
        <x:v>No</x:v>
      </x:c>
      <x:c r="H2847" s="117" t="str">
        <x:v>Workflow</x:v>
      </x:c>
      <x:c r="I2847" s="118"/>
      <x:c r="J2847" s="117" t="str">
        <x:v>unmanaged</x:v>
      </x:c>
      <x:c r="K2847" s="123" t="b">
        <x:v>0</x:v>
      </x:c>
      <x:c r="L2847" s="117"/>
      <x:c r="M2847" s="118"/>
      <x:c r="N2847" s="120" t="n">
        <x:v>43770.59380787037</x:v>
      </x:c>
      <x:c r="O2847" s="117" t="str">
        <x:v>QC Admin</x:v>
      </x:c>
      <x:c r="P2847" s="120" t="n">
        <x:v>43979.65336805556</x:v>
      </x:c>
      <x:c r="Q2847" s="117" t="str">
        <x:v>Trent VanEmon</x:v>
      </x:c>
      <x:c r="R2847" s="117" t="str">
        <x:v>Service Work Order Line Item Part Used Info Lookup</x:v>
      </x:c>
      <x:c r="S2847" s="119" t="str">
        <x:v>If asset is listed on WO line item, pull in the product name into the "part name" field.</x:v>
      </x:c>
    </x:row>
    <x:row r="2848" ht="30" customHeight="1">
      <x:c r="A2848" s="117" t="str">
        <x:v>Service_Work_Order_Part_Name_Lookup</x:v>
      </x:c>
      <x:c r="B2848" s="117" t="str">
        <x:v>3004O000000TiaDQAS</x:v>
      </x:c>
      <x:c r="C2848" s="117" t="str">
        <x:v>3014O000000I0RjQAK</x:v>
      </x:c>
      <x:c r="D2848" s="118" t="n">
        <x:v>12</x:v>
      </x:c>
      <x:c r="E2848" s="117" t="str">
        <x:v>Obsolete</x:v>
      </x:c>
      <x:c r="F2848" s="117" t="str">
        <x:v>No</x:v>
      </x:c>
      <x:c r="G2848" s="117" t="str">
        <x:v>No</x:v>
      </x:c>
      <x:c r="H2848" s="117" t="str">
        <x:v>Workflow</x:v>
      </x:c>
      <x:c r="I2848" s="118"/>
      <x:c r="J2848" s="117" t="str">
        <x:v>unmanaged</x:v>
      </x:c>
      <x:c r="K2848" s="123" t="b">
        <x:v>0</x:v>
      </x:c>
      <x:c r="L2848" s="117"/>
      <x:c r="M2848" s="118"/>
      <x:c r="N2848" s="120" t="n">
        <x:v>43979.6534375</x:v>
      </x:c>
      <x:c r="O2848" s="117" t="str">
        <x:v>Trent VanEmon</x:v>
      </x:c>
      <x:c r="P2848" s="120" t="n">
        <x:v>43979.663252314815</x:v>
      </x:c>
      <x:c r="Q2848" s="117" t="str">
        <x:v>Trent VanEmon</x:v>
      </x:c>
      <x:c r="R2848" s="117" t="str">
        <x:v>Service Work Order Line Item Part Used Info Lookup</x:v>
      </x:c>
      <x:c r="S2848" s="119" t="str">
        <x:v>If asset is listed on WO line item, pull in the product name into the "part name" field.</x:v>
      </x:c>
    </x:row>
    <x:row r="2849" ht="30" customHeight="1">
      <x:c r="A2849" s="117" t="str">
        <x:v>Service_Work_Order_Part_Name_Lookup</x:v>
      </x:c>
      <x:c r="B2849" s="117" t="str">
        <x:v>3004O000000TiaDQAS</x:v>
      </x:c>
      <x:c r="C2849" s="117" t="str">
        <x:v>3014O000000I0RpQAK</x:v>
      </x:c>
      <x:c r="D2849" s="118" t="n">
        <x:v>13</x:v>
      </x:c>
      <x:c r="E2849" s="117" t="str">
        <x:v>Obsolete</x:v>
      </x:c>
      <x:c r="F2849" s="117" t="str">
        <x:v>No</x:v>
      </x:c>
      <x:c r="G2849" s="117" t="str">
        <x:v>No</x:v>
      </x:c>
      <x:c r="H2849" s="117" t="str">
        <x:v>Workflow</x:v>
      </x:c>
      <x:c r="I2849" s="118"/>
      <x:c r="J2849" s="117" t="str">
        <x:v>unmanaged</x:v>
      </x:c>
      <x:c r="K2849" s="123" t="b">
        <x:v>0</x:v>
      </x:c>
      <x:c r="L2849" s="117"/>
      <x:c r="M2849" s="118"/>
      <x:c r="N2849" s="120" t="n">
        <x:v>43979.664375</x:v>
      </x:c>
      <x:c r="O2849" s="117" t="str">
        <x:v>Trent VanEmon</x:v>
      </x:c>
      <x:c r="P2849" s="120" t="n">
        <x:v>43979.66787037037</x:v>
      </x:c>
      <x:c r="Q2849" s="117" t="str">
        <x:v>Trent VanEmon</x:v>
      </x:c>
      <x:c r="R2849" s="117" t="str">
        <x:v>Service Work Order Line Item Part Used Info Lookup</x:v>
      </x:c>
      <x:c r="S2849" s="119" t="str">
        <x:v>If asset is listed on WO line item, pull in the product name into the "part name" field.</x:v>
      </x:c>
    </x:row>
    <x:row r="2850" ht="30" customHeight="1">
      <x:c r="A2850" s="117" t="str">
        <x:v>Service_Work_Order_Part_Name_Lookup</x:v>
      </x:c>
      <x:c r="B2850" s="117" t="str">
        <x:v>3004O000000TiaDQAS</x:v>
      </x:c>
      <x:c r="C2850" s="117" t="str">
        <x:v>3014O000000I0S8QAK</x:v>
      </x:c>
      <x:c r="D2850" s="118" t="n">
        <x:v>14</x:v>
      </x:c>
      <x:c r="E2850" s="117" t="str">
        <x:v>Obsolete</x:v>
      </x:c>
      <x:c r="F2850" s="117" t="str">
        <x:v>No</x:v>
      </x:c>
      <x:c r="G2850" s="117" t="str">
        <x:v>No</x:v>
      </x:c>
      <x:c r="H2850" s="117" t="str">
        <x:v>Workflow</x:v>
      </x:c>
      <x:c r="I2850" s="118"/>
      <x:c r="J2850" s="117" t="str">
        <x:v>unmanaged</x:v>
      </x:c>
      <x:c r="K2850" s="123" t="b">
        <x:v>0</x:v>
      </x:c>
      <x:c r="L2850" s="117"/>
      <x:c r="M2850" s="118"/>
      <x:c r="N2850" s="120" t="n">
        <x:v>43979.67005787037</x:v>
      </x:c>
      <x:c r="O2850" s="117" t="str">
        <x:v>Trent VanEmon</x:v>
      </x:c>
      <x:c r="P2850" s="120" t="n">
        <x:v>43979.671122685184</x:v>
      </x:c>
      <x:c r="Q2850" s="117" t="str">
        <x:v>Trent VanEmon</x:v>
      </x:c>
      <x:c r="R2850" s="117" t="str">
        <x:v>Service Work Order Line Item Part Used Info Lookup</x:v>
      </x:c>
      <x:c r="S2850" s="119" t="str">
        <x:v>If asset is listed on WO line item, pull in the product name into the "part name" field.</x:v>
      </x:c>
    </x:row>
    <x:row r="2851" ht="30" customHeight="1">
      <x:c r="A2851" s="117" t="str">
        <x:v>Service_Work_Order_Part_Name_Lookup</x:v>
      </x:c>
      <x:c r="B2851" s="117" t="str">
        <x:v>3004O000000TiaDQAS</x:v>
      </x:c>
      <x:c r="C2851" s="117" t="str">
        <x:v>3014O000000I0S5QAK</x:v>
      </x:c>
      <x:c r="D2851" s="118" t="n">
        <x:v>15</x:v>
      </x:c>
      <x:c r="E2851" s="117" t="str">
        <x:v>Obsolete</x:v>
      </x:c>
      <x:c r="F2851" s="117" t="str">
        <x:v>No</x:v>
      </x:c>
      <x:c r="G2851" s="117" t="str">
        <x:v>Yes</x:v>
      </x:c>
      <x:c r="H2851" s="117" t="str">
        <x:v>Workflow</x:v>
      </x:c>
      <x:c r="I2851" s="118"/>
      <x:c r="J2851" s="117" t="str">
        <x:v>unmanaged</x:v>
      </x:c>
      <x:c r="K2851" s="123" t="b">
        <x:v>0</x:v>
      </x:c>
      <x:c r="L2851" s="117"/>
      <x:c r="M2851" s="118"/>
      <x:c r="N2851" s="120" t="n">
        <x:v>43979.67223379629</x:v>
      </x:c>
      <x:c r="O2851" s="117" t="str">
        <x:v>Trent VanEmon</x:v>
      </x:c>
      <x:c r="P2851" s="120" t="n">
        <x:v>44113.73553240741</x:v>
      </x:c>
      <x:c r="Q2851" s="117" t="str">
        <x:v>Trent VanEmon</x:v>
      </x:c>
      <x:c r="R2851" s="117" t="str">
        <x:v>Service Work Order Line Item Part Used Info Lookup</x:v>
      </x:c>
      <x:c r="S2851" s="119" t="str">
        <x:v>If asset is listed on WO line item, pull in the product name into the "part name" field.</x:v>
      </x:c>
    </x:row>
    <x:row r="2852" ht="30" customHeight="1">
      <x:c r="A2852" s="117" t="str">
        <x:v>Set_Entity_on_Opportunity_Creation</x:v>
      </x:c>
      <x:c r="B2852" s="117" t="str">
        <x:v>300Ro00000n0wvxIAA</x:v>
      </x:c>
      <x:c r="C2852" s="117" t="str">
        <x:v>301Ro00000uPPW8IAO</x:v>
      </x:c>
      <x:c r="D2852" s="118" t="n">
        <x:v>1</x:v>
      </x:c>
      <x:c r="E2852" s="117" t="str">
        <x:v>Active</x:v>
      </x:c>
      <x:c r="F2852" s="117" t="str">
        <x:v>Yes</x:v>
      </x:c>
      <x:c r="G2852" s="117" t="str">
        <x:v>Yes</x:v>
      </x:c>
      <x:c r="H2852" s="117" t="str">
        <x:v>AutoLaunchedFlow</x:v>
      </x:c>
      <x:c r="I2852" s="118" t="n">
        <x:v>65</x:v>
      </x:c>
      <x:c r="J2852" s="117" t="str">
        <x:v>unmanaged</x:v>
      </x:c>
      <x:c r="K2852" s="123" t="b">
        <x:v>0</x:v>
      </x:c>
      <x:c r="L2852" s="117"/>
      <x:c r="M2852" s="118"/>
      <x:c r="N2852" s="120" t="n">
        <x:v>46010.22023148148</x:v>
      </x:c>
      <x:c r="O2852" s="117" t="str">
        <x:v>Delegate</x:v>
      </x:c>
      <x:c r="P2852" s="120" t="n">
        <x:v>46010.2202662037</x:v>
      </x:c>
      <x:c r="Q2852" s="117" t="str">
        <x:v>Delegate</x:v>
      </x:c>
      <x:c r="R2852" s="117" t="str">
        <x:v>Set Entity on Opportunity Creation</x:v>
      </x:c>
      <x:c r="S2852" s="119"/>
    </x:row>
    <x:row r="2853" ht="30" customHeight="1">
      <x:c r="A2853" s="117" t="str">
        <x:v>set_opportunity_field_to_product_Item</x:v>
      </x:c>
      <x:c r="B2853" s="117" t="str">
        <x:v>3000B0000004XbHQAU</x:v>
      </x:c>
      <x:c r="C2853" s="117" t="str">
        <x:v>3010B0000004cgFQAQ</x:v>
      </x:c>
      <x:c r="D2853" s="118" t="n">
        <x:v>1</x:v>
      </x:c>
      <x:c r="E2853" s="117" t="str">
        <x:v>Obsolete</x:v>
      </x:c>
      <x:c r="F2853" s="117" t="str">
        <x:v>No</x:v>
      </x:c>
      <x:c r="G2853" s="117" t="str">
        <x:v>No</x:v>
      </x:c>
      <x:c r="H2853" s="117" t="str">
        <x:v>Workflow</x:v>
      </x:c>
      <x:c r="I2853" s="118"/>
      <x:c r="J2853" s="117" t="str">
        <x:v>unmanaged</x:v>
      </x:c>
      <x:c r="K2853" s="123" t="b">
        <x:v>0</x:v>
      </x:c>
      <x:c r="L2853" s="117"/>
      <x:c r="M2853" s="118"/>
      <x:c r="N2853" s="120" t="n">
        <x:v>42608.532222222224</x:v>
      </x:c>
      <x:c r="O2853" s="117" t="str">
        <x:v>David Trogden</x:v>
      </x:c>
      <x:c r="P2853" s="120" t="n">
        <x:v>42745.59474537037</x:v>
      </x:c>
      <x:c r="Q2853" s="117" t="str">
        <x:v>QC Admin</x:v>
      </x:c>
      <x:c r="R2853" s="117" t="str">
        <x:v>set opportunity field to product Item</x:v>
      </x:c>
      <x:c r="S2853" s="119"/>
    </x:row>
    <x:row r="2854" ht="30" customHeight="1">
      <x:c r="A2854" s="117" t="str">
        <x:v>set_opportunity_field_to_product_Item</x:v>
      </x:c>
      <x:c r="B2854" s="117" t="str">
        <x:v>3000B0000004XbHQAU</x:v>
      </x:c>
      <x:c r="C2854" s="117" t="str">
        <x:v>3010B000000c2cNQAQ</x:v>
      </x:c>
      <x:c r="D2854" s="118" t="n">
        <x:v>2</x:v>
      </x:c>
      <x:c r="E2854" s="117" t="str">
        <x:v>Obsolete</x:v>
      </x:c>
      <x:c r="F2854" s="117" t="str">
        <x:v>No</x:v>
      </x:c>
      <x:c r="G2854" s="117" t="str">
        <x:v>No</x:v>
      </x:c>
      <x:c r="H2854" s="117" t="str">
        <x:v>Workflow</x:v>
      </x:c>
      <x:c r="I2854" s="118"/>
      <x:c r="J2854" s="117" t="str">
        <x:v>unmanaged</x:v>
      </x:c>
      <x:c r="K2854" s="123" t="b">
        <x:v>0</x:v>
      </x:c>
      <x:c r="L2854" s="117"/>
      <x:c r="M2854" s="118"/>
      <x:c r="N2854" s="120" t="n">
        <x:v>42745.5790162037</x:v>
      </x:c>
      <x:c r="O2854" s="117" t="str">
        <x:v>QC Admin</x:v>
      </x:c>
      <x:c r="P2854" s="120" t="n">
        <x:v>42745.57910879629</x:v>
      </x:c>
      <x:c r="Q2854" s="117" t="str">
        <x:v>QC Admin</x:v>
      </x:c>
      <x:c r="R2854" s="117" t="str">
        <x:v>set opportunity field to product Item</x:v>
      </x:c>
      <x:c r="S2854" s="119"/>
    </x:row>
    <x:row r="2855" ht="30" customHeight="1">
      <x:c r="A2855" s="117" t="str">
        <x:v>set_opportunity_field_to_product_Item</x:v>
      </x:c>
      <x:c r="B2855" s="117" t="str">
        <x:v>3000B0000004XbHQAU</x:v>
      </x:c>
      <x:c r="C2855" s="117" t="str">
        <x:v>3010B00000093bKQAQ</x:v>
      </x:c>
      <x:c r="D2855" s="118" t="n">
        <x:v>3</x:v>
      </x:c>
      <x:c r="E2855" s="117" t="str">
        <x:v>Obsolete</x:v>
      </x:c>
      <x:c r="F2855" s="117" t="str">
        <x:v>No</x:v>
      </x:c>
      <x:c r="G2855" s="117" t="str">
        <x:v>No</x:v>
      </x:c>
      <x:c r="H2855" s="117" t="str">
        <x:v>Workflow</x:v>
      </x:c>
      <x:c r="I2855" s="118"/>
      <x:c r="J2855" s="117" t="str">
        <x:v>unmanaged</x:v>
      </x:c>
      <x:c r="K2855" s="123" t="b">
        <x:v>0</x:v>
      </x:c>
      <x:c r="L2855" s="117"/>
      <x:c r="M2855" s="118"/>
      <x:c r="N2855" s="120" t="n">
        <x:v>43034.581724537034</x:v>
      </x:c>
      <x:c r="O2855" s="117" t="str">
        <x:v>QC Admin</x:v>
      </x:c>
      <x:c r="P2855" s="120" t="n">
        <x:v>43034.58199074074</x:v>
      </x:c>
      <x:c r="Q2855" s="117" t="str">
        <x:v>QC Admin</x:v>
      </x:c>
      <x:c r="R2855" s="117" t="str">
        <x:v>set opportunity field to product Item</x:v>
      </x:c>
      <x:c r="S2855" s="119"/>
    </x:row>
    <x:row r="2856" ht="30" customHeight="1">
      <x:c r="A2856" s="117" t="str">
        <x:v>set_opportunity_field_to_product_Item</x:v>
      </x:c>
      <x:c r="B2856" s="117" t="str">
        <x:v>3000B0000004XbHQAU</x:v>
      </x:c>
      <x:c r="C2856" s="117" t="str">
        <x:v>3010B00000093gZQAQ</x:v>
      </x:c>
      <x:c r="D2856" s="118" t="n">
        <x:v>4</x:v>
      </x:c>
      <x:c r="E2856" s="117" t="str">
        <x:v>Obsolete</x:v>
      </x:c>
      <x:c r="F2856" s="117" t="str">
        <x:v>No</x:v>
      </x:c>
      <x:c r="G2856" s="117" t="str">
        <x:v>No</x:v>
      </x:c>
      <x:c r="H2856" s="117" t="str">
        <x:v>Workflow</x:v>
      </x:c>
      <x:c r="I2856" s="118"/>
      <x:c r="J2856" s="117" t="str">
        <x:v>unmanaged</x:v>
      </x:c>
      <x:c r="K2856" s="123" t="b">
        <x:v>0</x:v>
      </x:c>
      <x:c r="L2856" s="117"/>
      <x:c r="M2856" s="118"/>
      <x:c r="N2856" s="120" t="n">
        <x:v>43040.56082175926</x:v>
      </x:c>
      <x:c r="O2856" s="117" t="str">
        <x:v>QC Admin</x:v>
      </x:c>
      <x:c r="P2856" s="120" t="n">
        <x:v>43195.108622685184</x:v>
      </x:c>
      <x:c r="Q2856" s="117" t="str">
        <x:v>QC Admin</x:v>
      </x:c>
      <x:c r="R2856" s="117" t="str">
        <x:v>set opportunity field to product Item</x:v>
      </x:c>
      <x:c r="S2856" s="119"/>
    </x:row>
    <x:row r="2857" ht="30" customHeight="1">
      <x:c r="A2857" s="117" t="str">
        <x:v>set_opportunity_field_to_product_Item</x:v>
      </x:c>
      <x:c r="B2857" s="117" t="str">
        <x:v>3000B0000004XbHQAU</x:v>
      </x:c>
      <x:c r="C2857" s="117" t="str">
        <x:v>3010B00000097uaQAA</x:v>
      </x:c>
      <x:c r="D2857" s="118" t="n">
        <x:v>5</x:v>
      </x:c>
      <x:c r="E2857" s="117" t="str">
        <x:v>Obsolete</x:v>
      </x:c>
      <x:c r="F2857" s="117" t="str">
        <x:v>No</x:v>
      </x:c>
      <x:c r="G2857" s="117" t="str">
        <x:v>Yes</x:v>
      </x:c>
      <x:c r="H2857" s="117" t="str">
        <x:v>Workflow</x:v>
      </x:c>
      <x:c r="I2857" s="118"/>
      <x:c r="J2857" s="117" t="str">
        <x:v>unmanaged</x:v>
      </x:c>
      <x:c r="K2857" s="123" t="b">
        <x:v>0</x:v>
      </x:c>
      <x:c r="L2857" s="117"/>
      <x:c r="M2857" s="118"/>
      <x:c r="N2857" s="120" t="n">
        <x:v>43235.77653935185</x:v>
      </x:c>
      <x:c r="O2857" s="117" t="str">
        <x:v>QC Admin</x:v>
      </x:c>
      <x:c r="P2857" s="120" t="n">
        <x:v>43454.11208333333</x:v>
      </x:c>
      <x:c r="Q2857" s="117" t="str">
        <x:v>Jim Bartek</x:v>
      </x:c>
      <x:c r="R2857" s="117" t="str">
        <x:v>set opportunity field to product Item</x:v>
      </x:c>
      <x:c r="S2857" s="119"/>
    </x:row>
    <x:row r="2858" ht="30" customHeight="1">
      <x:c r="A2858" s="117" t="str">
        <x:v>Set_Primary_Contact</x:v>
      </x:c>
      <x:c r="B2858" s="117" t="str">
        <x:v>3005b000000H2LpAAK</x:v>
      </x:c>
      <x:c r="C2858" s="117" t="str">
        <x:v>3015b000000EDYlAAO</x:v>
      </x:c>
      <x:c r="D2858" s="118" t="n">
        <x:v>1</x:v>
      </x:c>
      <x:c r="E2858" s="117" t="str">
        <x:v>Obsolete</x:v>
      </x:c>
      <x:c r="F2858" s="117" t="str">
        <x:v>No</x:v>
      </x:c>
      <x:c r="G2858" s="117" t="str">
        <x:v>No</x:v>
      </x:c>
      <x:c r="H2858" s="117" t="str">
        <x:v>AutoLaunchedFlow</x:v>
      </x:c>
      <x:c r="I2858" s="118" t="n">
        <x:v>53</x:v>
      </x:c>
      <x:c r="J2858" s="117" t="str">
        <x:v>unmanaged</x:v>
      </x:c>
      <x:c r="K2858" s="123" t="b">
        <x:v>0</x:v>
      </x:c>
      <x:c r="L2858" s="117"/>
      <x:c r="M2858" s="118"/>
      <x:c r="N2858" s="120" t="n">
        <x:v>44518.61150462963</x:v>
      </x:c>
      <x:c r="O2858" s="117" t="str">
        <x:v>Delegate</x:v>
      </x:c>
      <x:c r="P2858" s="120" t="n">
        <x:v>44518.61153935185</x:v>
      </x:c>
      <x:c r="Q2858" s="117" t="str">
        <x:v>Delegate</x:v>
      </x:c>
      <x:c r="R2858" s="117" t="str">
        <x:v>Set Primary Contact</x:v>
      </x:c>
      <x:c r="S2858" s="119" t="str">
        <x:v>Set the newest Contact on an Account as Primary</x:v>
      </x:c>
    </x:row>
    <x:row r="2859" ht="30" customHeight="1">
      <x:c r="A2859" s="117" t="str">
        <x:v>Set_Primary_Contact</x:v>
      </x:c>
      <x:c r="B2859" s="117" t="str">
        <x:v>3005b000000H2LpAAK</x:v>
      </x:c>
      <x:c r="C2859" s="117" t="str">
        <x:v>3015b000000EDYqAAO</x:v>
      </x:c>
      <x:c r="D2859" s="118" t="n">
        <x:v>2</x:v>
      </x:c>
      <x:c r="E2859" s="117" t="str">
        <x:v>Obsolete</x:v>
      </x:c>
      <x:c r="F2859" s="117" t="str">
        <x:v>No</x:v>
      </x:c>
      <x:c r="G2859" s="117" t="str">
        <x:v>No</x:v>
      </x:c>
      <x:c r="H2859" s="117" t="str">
        <x:v>AutoLaunchedFlow</x:v>
      </x:c>
      <x:c r="I2859" s="118" t="n">
        <x:v>53</x:v>
      </x:c>
      <x:c r="J2859" s="117" t="str">
        <x:v>unmanaged</x:v>
      </x:c>
      <x:c r="K2859" s="123" t="b">
        <x:v>0</x:v>
      </x:c>
      <x:c r="L2859" s="117"/>
      <x:c r="M2859" s="118"/>
      <x:c r="N2859" s="120" t="n">
        <x:v>44518.612337962964</x:v>
      </x:c>
      <x:c r="O2859" s="117" t="str">
        <x:v>Delegate</x:v>
      </x:c>
      <x:c r="P2859" s="120" t="n">
        <x:v>44518.63315972222</x:v>
      </x:c>
      <x:c r="Q2859" s="117" t="str">
        <x:v>Delegate</x:v>
      </x:c>
      <x:c r="R2859" s="117" t="str">
        <x:v>Set Primary Contact</x:v>
      </x:c>
      <x:c r="S2859" s="119" t="str">
        <x:v>Set the newest Contact on an Account as Primary</x:v>
      </x:c>
    </x:row>
    <x:row r="2860" ht="30" customHeight="1">
      <x:c r="A2860" s="117" t="str">
        <x:v>Set_Primary_Contact</x:v>
      </x:c>
      <x:c r="B2860" s="117" t="str">
        <x:v>3005b000000H2LpAAK</x:v>
      </x:c>
      <x:c r="C2860" s="117" t="str">
        <x:v>3015b000000EG4ZAAW</x:v>
      </x:c>
      <x:c r="D2860" s="118" t="n">
        <x:v>3</x:v>
      </x:c>
      <x:c r="E2860" s="117" t="str">
        <x:v>Obsolete</x:v>
      </x:c>
      <x:c r="F2860" s="117" t="str">
        <x:v>No</x:v>
      </x:c>
      <x:c r="G2860" s="117" t="str">
        <x:v>No</x:v>
      </x:c>
      <x:c r="H2860" s="117" t="str">
        <x:v>AutoLaunchedFlow</x:v>
      </x:c>
      <x:c r="I2860" s="118" t="n">
        <x:v>53</x:v>
      </x:c>
      <x:c r="J2860" s="117" t="str">
        <x:v>unmanaged</x:v>
      </x:c>
      <x:c r="K2860" s="123" t="b">
        <x:v>0</x:v>
      </x:c>
      <x:c r="L2860" s="117"/>
      <x:c r="M2860" s="118"/>
      <x:c r="N2860" s="120" t="n">
        <x:v>44582.7121875</x:v>
      </x:c>
      <x:c r="O2860" s="117" t="str">
        <x:v>Delegate</x:v>
      </x:c>
      <x:c r="P2860" s="120" t="n">
        <x:v>44582.76100694444</x:v>
      </x:c>
      <x:c r="Q2860" s="117" t="str">
        <x:v>Delegate</x:v>
      </x:c>
      <x:c r="R2860" s="117" t="str">
        <x:v>Account - Set Primary Contact</x:v>
      </x:c>
      <x:c r="S2860" s="119" t="str">
        <x:v>Set the newest Contact on an Account as Primary</x:v>
      </x:c>
    </x:row>
    <x:row r="2861" ht="30" customHeight="1">
      <x:c r="A2861" s="117" t="str">
        <x:v>Set_Primary_Contact</x:v>
      </x:c>
      <x:c r="B2861" s="117" t="str">
        <x:v>3005b000000H2LpAAK</x:v>
      </x:c>
      <x:c r="C2861" s="117" t="str">
        <x:v>3015b000000EL8lAAG</x:v>
      </x:c>
      <x:c r="D2861" s="118" t="n">
        <x:v>4</x:v>
      </x:c>
      <x:c r="E2861" s="117" t="str">
        <x:v>Obsolete</x:v>
      </x:c>
      <x:c r="F2861" s="117" t="str">
        <x:v>No</x:v>
      </x:c>
      <x:c r="G2861" s="117" t="str">
        <x:v>No</x:v>
      </x:c>
      <x:c r="H2861" s="117" t="str">
        <x:v>AutoLaunchedFlow</x:v>
      </x:c>
      <x:c r="I2861" s="118" t="n">
        <x:v>53</x:v>
      </x:c>
      <x:c r="J2861" s="117" t="str">
        <x:v>unmanaged</x:v>
      </x:c>
      <x:c r="K2861" s="123" t="b">
        <x:v>0</x:v>
      </x:c>
      <x:c r="L2861" s="117"/>
      <x:c r="M2861" s="118"/>
      <x:c r="N2861" s="120" t="n">
        <x:v>44774.850648148145</x:v>
      </x:c>
      <x:c r="O2861" s="117" t="str">
        <x:v>Delegate</x:v>
      </x:c>
      <x:c r="P2861" s="120" t="n">
        <x:v>44774.851585648146</x:v>
      </x:c>
      <x:c r="Q2861" s="117" t="str">
        <x:v>Delegate</x:v>
      </x:c>
      <x:c r="R2861" s="117" t="str">
        <x:v>Account - Set Primary Contact</x:v>
      </x:c>
      <x:c r="S2861" s="119" t="str">
        <x:v>Set the newest Contact on an Account as Primary</x:v>
      </x:c>
    </x:row>
    <x:row r="2862" ht="30" customHeight="1">
      <x:c r="A2862" s="117" t="str">
        <x:v>Set_Primary_Contact</x:v>
      </x:c>
      <x:c r="B2862" s="117" t="str">
        <x:v>3005b000000H2LpAAK</x:v>
      </x:c>
      <x:c r="C2862" s="117" t="str">
        <x:v>3015b000000EL8qAAG</x:v>
      </x:c>
      <x:c r="D2862" s="118" t="n">
        <x:v>5</x:v>
      </x:c>
      <x:c r="E2862" s="117" t="str">
        <x:v>Obsolete</x:v>
      </x:c>
      <x:c r="F2862" s="117" t="str">
        <x:v>No</x:v>
      </x:c>
      <x:c r="G2862" s="117" t="str">
        <x:v>Yes</x:v>
      </x:c>
      <x:c r="H2862" s="117" t="str">
        <x:v>AutoLaunchedFlow</x:v>
      </x:c>
      <x:c r="I2862" s="118" t="n">
        <x:v>53</x:v>
      </x:c>
      <x:c r="J2862" s="117" t="str">
        <x:v>unmanaged</x:v>
      </x:c>
      <x:c r="K2862" s="123" t="b">
        <x:v>0</x:v>
      </x:c>
      <x:c r="L2862" s="117"/>
      <x:c r="M2862" s="118"/>
      <x:c r="N2862" s="120" t="n">
        <x:v>44774.85395833333</x:v>
      </x:c>
      <x:c r="O2862" s="117" t="str">
        <x:v>Delegate</x:v>
      </x:c>
      <x:c r="P2862" s="120" t="n">
        <x:v>45092.83366898148</x:v>
      </x:c>
      <x:c r="Q2862" s="117" t="str">
        <x:v>Jace Gentil</x:v>
      </x:c>
      <x:c r="R2862" s="117" t="str">
        <x:v>Account - Set Primary Contact</x:v>
      </x:c>
      <x:c r="S2862" s="119" t="str">
        <x:v>Set the newest Contact on an Account as Primary</x:v>
      </x:c>
    </x:row>
    <x:row r="2863" ht="30" customHeight="1">
      <x:c r="A2863" s="117" t="str">
        <x:v>Set_SA_Duration_for_Ultrasound_Work_Types</x:v>
      </x:c>
      <x:c r="B2863" s="117" t="str">
        <x:v>300Ro00000WEzvgIAD</x:v>
      </x:c>
      <x:c r="C2863" s="117" t="str">
        <x:v>301Ro00000ZXfYAIA1</x:v>
      </x:c>
      <x:c r="D2863" s="118" t="n">
        <x:v>1</x:v>
      </x:c>
      <x:c r="E2863" s="117" t="str">
        <x:v>Obsolete</x:v>
      </x:c>
      <x:c r="F2863" s="117" t="str">
        <x:v>No</x:v>
      </x:c>
      <x:c r="G2863" s="117" t="str">
        <x:v>No</x:v>
      </x:c>
      <x:c r="H2863" s="117" t="str">
        <x:v>AutoLaunchedFlow</x:v>
      </x:c>
      <x:c r="I2863" s="118" t="n">
        <x:v>63</x:v>
      </x:c>
      <x:c r="J2863" s="117" t="str">
        <x:v>unmanaged</x:v>
      </x:c>
      <x:c r="K2863" s="123" t="b">
        <x:v>0</x:v>
      </x:c>
      <x:c r="L2863" s="117"/>
      <x:c r="M2863" s="118"/>
      <x:c r="N2863" s="120" t="n">
        <x:v>45798.84957175926</x:v>
      </x:c>
      <x:c r="O2863" s="117" t="str">
        <x:v>Bill Hagarty</x:v>
      </x:c>
      <x:c r="P2863" s="120" t="n">
        <x:v>45798.850381944445</x:v>
      </x:c>
      <x:c r="Q2863" s="117" t="str">
        <x:v>Bill Hagarty</x:v>
      </x:c>
      <x:c r="R2863" s="117" t="str">
        <x:v>Set SA Duration for Ultrasound Based on Work Type</x:v>
      </x:c>
      <x:c r="S2863" s="119" t="str">
        <x:v>20/05/2025 SP- This is to facilitate more accurate Durations on Ultrasound Service Appointments.</x:v>
      </x:c>
    </x:row>
    <x:row r="2864" ht="30" customHeight="1">
      <x:c r="A2864" s="117" t="str">
        <x:v>Set_SA_Duration_for_Ultrasound_Work_Types</x:v>
      </x:c>
      <x:c r="B2864" s="117" t="str">
        <x:v>300Ro00000WEzvgIAD</x:v>
      </x:c>
      <x:c r="C2864" s="117" t="str">
        <x:v>301Ro00000ZXteKIAT</x:v>
      </x:c>
      <x:c r="D2864" s="118" t="n">
        <x:v>2</x:v>
      </x:c>
      <x:c r="E2864" s="117" t="str">
        <x:v>Obsolete</x:v>
      </x:c>
      <x:c r="F2864" s="117" t="str">
        <x:v>No</x:v>
      </x:c>
      <x:c r="G2864" s="117" t="str">
        <x:v>No</x:v>
      </x:c>
      <x:c r="H2864" s="117" t="str">
        <x:v>AutoLaunchedFlow</x:v>
      </x:c>
      <x:c r="I2864" s="118" t="n">
        <x:v>63</x:v>
      </x:c>
      <x:c r="J2864" s="117" t="str">
        <x:v>unmanaged</x:v>
      </x:c>
      <x:c r="K2864" s="123" t="b">
        <x:v>0</x:v>
      </x:c>
      <x:c r="L2864" s="117"/>
      <x:c r="M2864" s="118"/>
      <x:c r="N2864" s="120" t="n">
        <x:v>45798.865439814814</x:v>
      </x:c>
      <x:c r="O2864" s="117" t="str">
        <x:v>Sacha Pearce</x:v>
      </x:c>
      <x:c r="P2864" s="120" t="n">
        <x:v>45798.86548611111</x:v>
      </x:c>
      <x:c r="Q2864" s="117" t="str">
        <x:v>Sacha Pearce</x:v>
      </x:c>
      <x:c r="R2864" s="117" t="str">
        <x:v>Set SA Duration for Ultrasound Based on Work Type</x:v>
      </x:c>
      <x:c r="S2864" s="119" t="str">
        <x:v>20/05/2025 SP- This is to facilitate more accurate Durations on Ultrasound Service Appointments.</x:v>
      </x:c>
    </x:row>
    <x:row r="2865" ht="30" customHeight="1">
      <x:c r="A2865" s="117" t="str">
        <x:v>Set_SA_Duration_for_Ultrasound_Work_Types</x:v>
      </x:c>
      <x:c r="B2865" s="117" t="str">
        <x:v>300Ro00000WEzvgIAD</x:v>
      </x:c>
      <x:c r="C2865" s="117" t="str">
        <x:v>301Ro00000ZXn7aIAD</x:v>
      </x:c>
      <x:c r="D2865" s="118" t="n">
        <x:v>3</x:v>
      </x:c>
      <x:c r="E2865" s="117" t="str">
        <x:v>Obsolete</x:v>
      </x:c>
      <x:c r="F2865" s="117" t="str">
        <x:v>No</x:v>
      </x:c>
      <x:c r="G2865" s="117" t="str">
        <x:v>No</x:v>
      </x:c>
      <x:c r="H2865" s="117" t="str">
        <x:v>AutoLaunchedFlow</x:v>
      </x:c>
      <x:c r="I2865" s="118" t="n">
        <x:v>63</x:v>
      </x:c>
      <x:c r="J2865" s="117" t="str">
        <x:v>unmanaged</x:v>
      </x:c>
      <x:c r="K2865" s="123" t="b">
        <x:v>0</x:v>
      </x:c>
      <x:c r="L2865" s="117"/>
      <x:c r="M2865" s="118"/>
      <x:c r="N2865" s="120" t="n">
        <x:v>45798.87278935185</x:v>
      </x:c>
      <x:c r="O2865" s="117" t="str">
        <x:v>Sacha Pearce</x:v>
      </x:c>
      <x:c r="P2865" s="120" t="n">
        <x:v>45798.87494212963</x:v>
      </x:c>
      <x:c r="Q2865" s="117" t="str">
        <x:v>Sacha Pearce</x:v>
      </x:c>
      <x:c r="R2865" s="117" t="str">
        <x:v>Set SA Duration for Ultrasound Based on Work Type</x:v>
      </x:c>
      <x:c r="S2865" s="119" t="str">
        <x:v>20/05/2025 SP- This is to facilitate more accurate Durations on Ultrasound Service Appointments.</x:v>
      </x:c>
    </x:row>
    <x:row r="2866" ht="30" customHeight="1">
      <x:c r="A2866" s="117" t="str">
        <x:v>Set_SA_Duration_for_Ultrasound_Work_Types</x:v>
      </x:c>
      <x:c r="B2866" s="117" t="str">
        <x:v>300Ro00000WEzvgIAD</x:v>
      </x:c>
      <x:c r="C2866" s="117" t="str">
        <x:v>301Ro00000ZXtGJIA1</x:v>
      </x:c>
      <x:c r="D2866" s="118" t="n">
        <x:v>4</x:v>
      </x:c>
      <x:c r="E2866" s="117" t="str">
        <x:v>Obsolete</x:v>
      </x:c>
      <x:c r="F2866" s="117" t="str">
        <x:v>No</x:v>
      </x:c>
      <x:c r="G2866" s="117" t="str">
        <x:v>No</x:v>
      </x:c>
      <x:c r="H2866" s="117" t="str">
        <x:v>AutoLaunchedFlow</x:v>
      </x:c>
      <x:c r="I2866" s="118" t="n">
        <x:v>63</x:v>
      </x:c>
      <x:c r="J2866" s="117" t="str">
        <x:v>unmanaged</x:v>
      </x:c>
      <x:c r="K2866" s="123" t="b">
        <x:v>0</x:v>
      </x:c>
      <x:c r="L2866" s="117"/>
      <x:c r="M2866" s="118"/>
      <x:c r="N2866" s="120" t="n">
        <x:v>45798.879375</x:v>
      </x:c>
      <x:c r="O2866" s="117" t="str">
        <x:v>Sacha Pearce</x:v>
      </x:c>
      <x:c r="P2866" s="120" t="n">
        <x:v>45798.87946759259</x:v>
      </x:c>
      <x:c r="Q2866" s="117" t="str">
        <x:v>Sacha Pearce</x:v>
      </x:c>
      <x:c r="R2866" s="117" t="str">
        <x:v>Set SA Duration for Ultrasound Based on Work Type</x:v>
      </x:c>
      <x:c r="S2866" s="119" t="str">
        <x:v>20/05/2025 SP- This is to facilitate more accurate Durations on Ultrasound Service Appointments.
21/05/2025 SP- Basing Flow Decision from Appointment Type instead of Work Type.</x:v>
      </x:c>
    </x:row>
    <x:row r="2867" ht="30" customHeight="1">
      <x:c r="A2867" s="117" t="str">
        <x:v>Set_SA_Duration_for_Ultrasound_Work_Types</x:v>
      </x:c>
      <x:c r="B2867" s="117" t="str">
        <x:v>300Ro00000WEzvgIAD</x:v>
      </x:c>
      <x:c r="C2867" s="117" t="str">
        <x:v>301Ro00000ZY4Q2IAL</x:v>
      </x:c>
      <x:c r="D2867" s="118" t="n">
        <x:v>5</x:v>
      </x:c>
      <x:c r="E2867" s="117" t="str">
        <x:v>Obsolete</x:v>
      </x:c>
      <x:c r="F2867" s="117" t="str">
        <x:v>No</x:v>
      </x:c>
      <x:c r="G2867" s="117" t="str">
        <x:v>No</x:v>
      </x:c>
      <x:c r="H2867" s="117" t="str">
        <x:v>AutoLaunchedFlow</x:v>
      </x:c>
      <x:c r="I2867" s="118" t="n">
        <x:v>63</x:v>
      </x:c>
      <x:c r="J2867" s="117" t="str">
        <x:v>unmanaged</x:v>
      </x:c>
      <x:c r="K2867" s="123" t="b">
        <x:v>0</x:v>
      </x:c>
      <x:c r="L2867" s="117"/>
      <x:c r="M2867" s="118"/>
      <x:c r="N2867" s="120" t="n">
        <x:v>45798.88270833333</x:v>
      </x:c>
      <x:c r="O2867" s="117" t="str">
        <x:v>Sacha Pearce</x:v>
      </x:c>
      <x:c r="P2867" s="120" t="n">
        <x:v>45798.8827662037</x:v>
      </x:c>
      <x:c r="Q2867" s="117" t="str">
        <x:v>Sacha Pearce</x:v>
      </x:c>
      <x:c r="R2867" s="117" t="str">
        <x:v>Set SA Duration for Ultrasound Based on Work Type</x:v>
      </x:c>
      <x:c r="S2867" s="119" t="str">
        <x:v>20/05/2025 SP- This is to facilitate more accurate Durations on Ultrasound Service Appointments.
21/05/2025 SP- Basing Flow Decision from Appointment Type instead of Work Type.</x:v>
      </x:c>
    </x:row>
    <x:row r="2868" ht="30" customHeight="1">
      <x:c r="A2868" s="117" t="str">
        <x:v>Set_SA_Duration_for_Ultrasound_Work_Types</x:v>
      </x:c>
      <x:c r="B2868" s="117" t="str">
        <x:v>300Ro00000WEzvgIAD</x:v>
      </x:c>
      <x:c r="C2868" s="117" t="str">
        <x:v>301Ro00001582J5IAI</x:v>
      </x:c>
      <x:c r="D2868" s="118" t="n">
        <x:v>6</x:v>
      </x:c>
      <x:c r="E2868" s="117" t="str">
        <x:v>Active</x:v>
      </x:c>
      <x:c r="F2868" s="117" t="str">
        <x:v>Yes</x:v>
      </x:c>
      <x:c r="G2868" s="117" t="str">
        <x:v>Yes</x:v>
      </x:c>
      <x:c r="H2868" s="117" t="str">
        <x:v>AutoLaunchedFlow</x:v>
      </x:c>
      <x:c r="I2868" s="118" t="n">
        <x:v>63</x:v>
      </x:c>
      <x:c r="J2868" s="117" t="str">
        <x:v>unmanaged</x:v>
      </x:c>
      <x:c r="K2868" s="123" t="b">
        <x:v>0</x:v>
      </x:c>
      <x:c r="L2868" s="117"/>
      <x:c r="M2868" s="118"/>
      <x:c r="N2868" s="120" t="n">
        <x:v>46150.55019675926</x:v>
      </x:c>
      <x:c r="O2868" s="117" t="str">
        <x:v>Sacha Pearce</x:v>
      </x:c>
      <x:c r="P2868" s="120" t="n">
        <x:v>46150.55081018519</x:v>
      </x:c>
      <x:c r="Q2868" s="117" t="str">
        <x:v>Sacha Pearce</x:v>
      </x:c>
      <x:c r="R2868" s="117" t="str">
        <x:v>Set SA Duration for Ultrasound Based on Work Type</x:v>
      </x:c>
      <x:c r="S2868" s="119" t="str">
        <x:v>08/05/2026 - SP - Updating the Flow to only run when the "Duration" field is null.</x:v>
      </x:c>
    </x:row>
    <x:row r="2869" ht="30" customHeight="1">
      <x:c r="A2869" s="117" t="str">
        <x:v>Set_Service_Appointment_on_New_Work_Order_Line_Item</x:v>
      </x:c>
      <x:c r="B2869" s="117" t="str">
        <x:v>300Ro00000REVFnIAP</x:v>
      </x:c>
      <x:c r="C2869" s="117" t="str">
        <x:v>301Ro00000U2G7cIAF</x:v>
      </x:c>
      <x:c r="D2869" s="118" t="n">
        <x:v>1</x:v>
      </x:c>
      <x:c r="E2869" s="117" t="str">
        <x:v>Obsolete</x:v>
      </x:c>
      <x:c r="F2869" s="117" t="str">
        <x:v>No</x:v>
      </x:c>
      <x:c r="G2869" s="117" t="str">
        <x:v>No</x:v>
      </x:c>
      <x:c r="H2869" s="117" t="str">
        <x:v>AutoLaunchedFlow</x:v>
      </x:c>
      <x:c r="I2869" s="118" t="n">
        <x:v>62</x:v>
      </x:c>
      <x:c r="J2869" s="117" t="str">
        <x:v>unmanaged</x:v>
      </x:c>
      <x:c r="K2869" s="123" t="b">
        <x:v>0</x:v>
      </x:c>
      <x:c r="L2869" s="117"/>
      <x:c r="M2869" s="118"/>
      <x:c r="N2869" s="120" t="n">
        <x:v>45702.59247685185</x:v>
      </x:c>
      <x:c r="O2869" s="117" t="str">
        <x:v>Delegate</x:v>
      </x:c>
      <x:c r="P2869" s="120" t="n">
        <x:v>45702.600381944445</x:v>
      </x:c>
      <x:c r="Q2869" s="117" t="str">
        <x:v>Delegate</x:v>
      </x:c>
      <x:c r="R2869" s="117" t="str">
        <x:v>Set Service Appointment on New Work Order Line Item</x:v>
      </x:c>
      <x:c r="S2869" s="119" t="str">
        <x:v>02/14/2025 (BW) - Updating API Version</x:v>
      </x:c>
    </x:row>
    <x:row r="2870" ht="30" customHeight="1">
      <x:c r="A2870" s="117" t="str">
        <x:v>Set_Service_Appointment_on_New_Work_Order_Line_Item</x:v>
      </x:c>
      <x:c r="B2870" s="117" t="str">
        <x:v>300Ro00000REVFnIAP</x:v>
      </x:c>
      <x:c r="C2870" s="117" t="str">
        <x:v>301Ro00000jqWLGIA2</x:v>
      </x:c>
      <x:c r="D2870" s="118" t="n">
        <x:v>2</x:v>
      </x:c>
      <x:c r="E2870" s="117" t="str">
        <x:v>Obsolete</x:v>
      </x:c>
      <x:c r="F2870" s="117" t="str">
        <x:v>No</x:v>
      </x:c>
      <x:c r="G2870" s="117" t="str">
        <x:v>No</x:v>
      </x:c>
      <x:c r="H2870" s="117" t="str">
        <x:v>AutoLaunchedFlow</x:v>
      </x:c>
      <x:c r="I2870" s="118" t="n">
        <x:v>62</x:v>
      </x:c>
      <x:c r="J2870" s="117" t="str">
        <x:v>unmanaged</x:v>
      </x:c>
      <x:c r="K2870" s="123" t="b">
        <x:v>0</x:v>
      </x:c>
      <x:c r="L2870" s="117"/>
      <x:c r="M2870" s="118"/>
      <x:c r="N2870" s="120" t="n">
        <x:v>45897.57144675926</x:v>
      </x:c>
      <x:c r="O2870" s="117" t="str">
        <x:v>Delegate</x:v>
      </x:c>
      <x:c r="P2870" s="120" t="n">
        <x:v>45897.57150462963</x:v>
      </x:c>
      <x:c r="Q2870" s="117" t="str">
        <x:v>Delegate</x:v>
      </x:c>
      <x:c r="R2870" s="117" t="str">
        <x:v>Set Work Order Line Item Information on Creation</x:v>
      </x:c>
      <x:c r="S2870" s="119" t="str">
        <x:v>08/28/2025 (BW) - Added setting the lead on creation of the work order line item</x:v>
      </x:c>
    </x:row>
    <x:row r="2871" ht="30" customHeight="1">
      <x:c r="A2871" s="117" t="str">
        <x:v>Set_Service_Appointment_on_New_Work_Order_Line_Item</x:v>
      </x:c>
      <x:c r="B2871" s="117" t="str">
        <x:v>300Ro00000REVFnIAP</x:v>
      </x:c>
      <x:c r="C2871" s="117" t="str">
        <x:v>301Ro00000zh5cRIAQ</x:v>
      </x:c>
      <x:c r="D2871" s="118" t="n">
        <x:v>3</x:v>
      </x:c>
      <x:c r="E2871" s="117" t="str">
        <x:v>Obsolete</x:v>
      </x:c>
      <x:c r="F2871" s="117" t="str">
        <x:v>No</x:v>
      </x:c>
      <x:c r="G2871" s="117" t="str">
        <x:v>No</x:v>
      </x:c>
      <x:c r="H2871" s="117" t="str">
        <x:v>AutoLaunchedFlow</x:v>
      </x:c>
      <x:c r="I2871" s="118" t="n">
        <x:v>62</x:v>
      </x:c>
      <x:c r="J2871" s="117" t="str">
        <x:v>unmanaged</x:v>
      </x:c>
      <x:c r="K2871" s="123" t="b">
        <x:v>0</x:v>
      </x:c>
      <x:c r="L2871" s="117"/>
      <x:c r="M2871" s="118"/>
      <x:c r="N2871" s="120" t="n">
        <x:v>46084.81920138889</x:v>
      </x:c>
      <x:c r="O2871" s="117" t="str">
        <x:v>Delegate</x:v>
      </x:c>
      <x:c r="P2871" s="120" t="n">
        <x:v>46084.81979166667</x:v>
      </x:c>
      <x:c r="Q2871" s="117" t="str">
        <x:v>Delegate</x:v>
      </x:c>
      <x:c r="R2871" s="117" t="str">
        <x:v>Set Work Order Line Item Information on Creation</x:v>
      </x:c>
      <x:c r="S2871" s="119" t="str">
        <x:v>03/02/2026 (BW) - Moving this to the asynchronous to lighten the load on Synchronous Apex</x:v>
      </x:c>
    </x:row>
    <x:row r="2872" ht="30" customHeight="1">
      <x:c r="A2872" s="117" t="str">
        <x:v>Set_Service_Appointment_on_New_Work_Order_Line_Item</x:v>
      </x:c>
      <x:c r="B2872" s="117" t="str">
        <x:v>300Ro00000REVFnIAP</x:v>
      </x:c>
      <x:c r="C2872" s="117" t="str">
        <x:v>301Ro0000106qoiIAA</x:v>
      </x:c>
      <x:c r="D2872" s="118" t="n">
        <x:v>4</x:v>
      </x:c>
      <x:c r="E2872" s="117" t="str">
        <x:v>Obsolete</x:v>
      </x:c>
      <x:c r="F2872" s="117" t="str">
        <x:v>No</x:v>
      </x:c>
      <x:c r="G2872" s="117" t="str">
        <x:v>No</x:v>
      </x:c>
      <x:c r="H2872" s="117" t="str">
        <x:v>AutoLaunchedFlow</x:v>
      </x:c>
      <x:c r="I2872" s="118" t="n">
        <x:v>62</x:v>
      </x:c>
      <x:c r="J2872" s="117" t="str">
        <x:v>unmanaged</x:v>
      </x:c>
      <x:c r="K2872" s="123" t="b">
        <x:v>0</x:v>
      </x:c>
      <x:c r="L2872" s="117"/>
      <x:c r="M2872" s="118"/>
      <x:c r="N2872" s="120" t="n">
        <x:v>46090.49983796296</x:v>
      </x:c>
      <x:c r="O2872" s="117" t="str">
        <x:v>Delegate</x:v>
      </x:c>
      <x:c r="P2872" s="120" t="n">
        <x:v>46097.66810185185</x:v>
      </x:c>
      <x:c r="Q2872" s="117" t="str">
        <x:v>Delegate</x:v>
      </x:c>
      <x:c r="R2872" s="117" t="str">
        <x:v>Set Work Order Line Item Information on Creation</x:v>
      </x:c>
      <x:c r="S2872" s="119" t="str">
        <x:v>03/02/2026 (BW) - Moving this to the asynchronous to lighten the load on Synchronous Apex</x:v>
      </x:c>
    </x:row>
    <x:row r="2873" ht="30" customHeight="1">
      <x:c r="A2873" s="117" t="str">
        <x:v>Set_Service_Appointment_on_New_Work_Order_Line_Item</x:v>
      </x:c>
      <x:c r="B2873" s="117" t="str">
        <x:v>300Ro00000REVFnIAP</x:v>
      </x:c>
      <x:c r="C2873" s="117" t="str">
        <x:v>301Ro000016k3IIIAY</x:v>
      </x:c>
      <x:c r="D2873" s="118" t="n">
        <x:v>5</x:v>
      </x:c>
      <x:c r="E2873" s="117" t="str">
        <x:v>Obsolete</x:v>
      </x:c>
      <x:c r="F2873" s="117" t="str">
        <x:v>No</x:v>
      </x:c>
      <x:c r="G2873" s="117" t="str">
        <x:v>No</x:v>
      </x:c>
      <x:c r="H2873" s="117" t="str">
        <x:v>AutoLaunchedFlow</x:v>
      </x:c>
      <x:c r="I2873" s="118" t="n">
        <x:v>62</x:v>
      </x:c>
      <x:c r="J2873" s="117" t="str">
        <x:v>unmanaged</x:v>
      </x:c>
      <x:c r="K2873" s="123" t="b">
        <x:v>0</x:v>
      </x:c>
      <x:c r="L2873" s="117"/>
      <x:c r="M2873" s="118"/>
      <x:c r="N2873" s="120" t="n">
        <x:v>46168.803819444445</x:v>
      </x:c>
      <x:c r="O2873" s="117" t="str">
        <x:v>Delegate</x:v>
      </x:c>
      <x:c r="P2873" s="120" t="n">
        <x:v>46168.80390046296</x:v>
      </x:c>
      <x:c r="Q2873" s="117" t="str">
        <x:v>Delegate</x:v>
      </x:c>
      <x:c r="R2873" s="117" t="str">
        <x:v>Set Work Order Line Item Information on Creation</x:v>
      </x:c>
      <x:c r="S2873" s="119" t="str">
        <x:v>05/26/2026 (BW) - Updating to be 1 minute afterwards</x:v>
      </x:c>
    </x:row>
    <x:row r="2874" ht="30" customHeight="1">
      <x:c r="A2874" s="117" t="str">
        <x:v>Set_Service_Appointment_on_New_Work_Order_Line_Item</x:v>
      </x:c>
      <x:c r="B2874" s="117" t="str">
        <x:v>300Ro00000REVFnIAP</x:v>
      </x:c>
      <x:c r="C2874" s="117" t="str">
        <x:v>301Ro00001ChbeRIAR</x:v>
      </x:c>
      <x:c r="D2874" s="118" t="n">
        <x:v>6</x:v>
      </x:c>
      <x:c r="E2874" s="117" t="str">
        <x:v>Active</x:v>
      </x:c>
      <x:c r="F2874" s="117" t="str">
        <x:v>Yes</x:v>
      </x:c>
      <x:c r="G2874" s="117" t="str">
        <x:v>Yes</x:v>
      </x:c>
      <x:c r="H2874" s="117" t="str">
        <x:v>AutoLaunchedFlow</x:v>
      </x:c>
      <x:c r="I2874" s="118" t="n">
        <x:v>62</x:v>
      </x:c>
      <x:c r="J2874" s="117" t="str">
        <x:v>unmanaged</x:v>
      </x:c>
      <x:c r="K2874" s="123" t="b">
        <x:v>0</x:v>
      </x:c>
      <x:c r="L2874" s="117"/>
      <x:c r="M2874" s="118"/>
      <x:c r="N2874" s="120" t="n">
        <x:v>46233.538668981484</x:v>
      </x:c>
      <x:c r="O2874" s="117" t="str">
        <x:v>Sacha Pearce</x:v>
      </x:c>
      <x:c r="P2874" s="120" t="n">
        <x:v>46233.53875</x:v>
      </x:c>
      <x:c r="Q2874" s="117" t="str">
        <x:v>Sacha Pearce</x:v>
      </x:c>
      <x:c r="R2874" s="117" t="str">
        <x:v>Set Work Order Line Item Information on Creation</x:v>
      </x:c>
      <x:c r="S2874" s="119" t="str">
        <x:v>07/30/2026 - SP - Updating the "Get Most Recent Open Appointment" get records element to exclude Service Appointments with the "Appointment Type" field set to "Support Engineer Visit"</x:v>
      </x:c>
    </x:row>
    <x:row r="2875" ht="30" customHeight="1">
      <x:c r="A2875" s="117" t="str">
        <x:v>Set_Service_Appointment_on_RMA_when_Work_Order_Attached</x:v>
      </x:c>
      <x:c r="B2875" s="117" t="str">
        <x:v>300Ro00000ghrtiIAA</x:v>
      </x:c>
      <x:c r="C2875" s="117" t="str">
        <x:v>301Ro00000nDoKYIA0</x:v>
      </x:c>
      <x:c r="D2875" s="118" t="n">
        <x:v>1</x:v>
      </x:c>
      <x:c r="E2875" s="117" t="str">
        <x:v>Active</x:v>
      </x:c>
      <x:c r="F2875" s="117" t="str">
        <x:v>Yes</x:v>
      </x:c>
      <x:c r="G2875" s="117" t="str">
        <x:v>Yes</x:v>
      </x:c>
      <x:c r="H2875" s="117" t="str">
        <x:v>AutoLaunchedFlow</x:v>
      </x:c>
      <x:c r="I2875" s="118" t="n">
        <x:v>64</x:v>
      </x:c>
      <x:c r="J2875" s="117" t="str">
        <x:v>unmanaged</x:v>
      </x:c>
      <x:c r="K2875" s="123" t="b">
        <x:v>0</x:v>
      </x:c>
      <x:c r="L2875" s="117"/>
      <x:c r="M2875" s="118"/>
      <x:c r="N2875" s="120" t="n">
        <x:v>45925.49972222222</x:v>
      </x:c>
      <x:c r="O2875" s="117" t="str">
        <x:v>Delegate</x:v>
      </x:c>
      <x:c r="P2875" s="120" t="n">
        <x:v>45925.499756944446</x:v>
      </x:c>
      <x:c r="Q2875" s="117" t="str">
        <x:v>Delegate</x:v>
      </x:c>
      <x:c r="R2875" s="117" t="str">
        <x:v>Set Service Appointment on RMA when Work Order Attached</x:v>
      </x:c>
      <x:c r="S2875" s="119" t="str">
        <x:v>09/25/2025 (BW) - Sets the service appointment on the RMA when a work order is attached</x:v>
      </x:c>
    </x:row>
    <x:row r="2876" ht="30" customHeight="1">
      <x:c r="A2876" s="117" t="str">
        <x:v>Set_Ship_Date_from_Shipment_Record</x:v>
      </x:c>
      <x:c r="B2876" s="117" t="str">
        <x:v>3004O000000TiZ0QAK</x:v>
      </x:c>
      <x:c r="C2876" s="117" t="str">
        <x:v>3014O000000U5UMQA0</x:v>
      </x:c>
      <x:c r="D2876" s="118" t="n">
        <x:v>1</x:v>
      </x:c>
      <x:c r="E2876" s="117" t="str">
        <x:v>Obsolete</x:v>
      </x:c>
      <x:c r="F2876" s="117" t="str">
        <x:v>No</x:v>
      </x:c>
      <x:c r="G2876" s="117" t="str">
        <x:v>No</x:v>
      </x:c>
      <x:c r="H2876" s="117" t="str">
        <x:v>Workflow</x:v>
      </x:c>
      <x:c r="I2876" s="118"/>
      <x:c r="J2876" s="117" t="str">
        <x:v>unmanaged</x:v>
      </x:c>
      <x:c r="K2876" s="123" t="b">
        <x:v>0</x:v>
      </x:c>
      <x:c r="L2876" s="117"/>
      <x:c r="M2876" s="118"/>
      <x:c r="N2876" s="120" t="n">
        <x:v>43739.04966435185</x:v>
      </x:c>
      <x:c r="O2876" s="117" t="str">
        <x:v>Jim Bartek</x:v>
      </x:c>
      <x:c r="P2876" s="120" t="n">
        <x:v>43739.26563657408</x:v>
      </x:c>
      <x:c r="Q2876" s="117" t="str">
        <x:v>Jim Bartek</x:v>
      </x:c>
      <x:c r="R2876" s="117" t="str">
        <x:v>Set Ship Date from Shipment Record</x:v>
      </x:c>
      <x:c r="S2876" s="119" t="str">
        <x:v>This process updates the shipment value on the opportunity when it is updated on the Zenkraft Shipment Record.</x:v>
      </x:c>
    </x:row>
    <x:row r="2877" ht="30" customHeight="1">
      <x:c r="A2877" s="117" t="str">
        <x:v>Set_Ship_Date_from_Shipment_Record</x:v>
      </x:c>
      <x:c r="B2877" s="117" t="str">
        <x:v>3004O000000TiZ0QAK</x:v>
      </x:c>
      <x:c r="C2877" s="117" t="str">
        <x:v>3014O0000001MBQQA2</x:v>
      </x:c>
      <x:c r="D2877" s="118" t="n">
        <x:v>2</x:v>
      </x:c>
      <x:c r="E2877" s="117" t="str">
        <x:v>Obsolete</x:v>
      </x:c>
      <x:c r="F2877" s="117" t="str">
        <x:v>No</x:v>
      </x:c>
      <x:c r="G2877" s="117" t="str">
        <x:v>No</x:v>
      </x:c>
      <x:c r="H2877" s="117" t="str">
        <x:v>Workflow</x:v>
      </x:c>
      <x:c r="I2877" s="118"/>
      <x:c r="J2877" s="117" t="str">
        <x:v>unmanaged</x:v>
      </x:c>
      <x:c r="K2877" s="123" t="b">
        <x:v>0</x:v>
      </x:c>
      <x:c r="L2877" s="117"/>
      <x:c r="M2877" s="118"/>
      <x:c r="N2877" s="120" t="n">
        <x:v>44103.70591435185</x:v>
      </x:c>
      <x:c r="O2877" s="117" t="str">
        <x:v>Adam Walter</x:v>
      </x:c>
      <x:c r="P2877" s="120" t="n">
        <x:v>44103.70601851852</x:v>
      </x:c>
      <x:c r="Q2877" s="117" t="str">
        <x:v>Adam Walter</x:v>
      </x:c>
      <x:c r="R2877" s="117" t="str">
        <x:v>Set Ship Date from Shipment Record</x:v>
      </x:c>
      <x:c r="S2877" s="119" t="str">
        <x:v>This process updates the shipment value on the opportunity when it is updated on the Zenkraft Shipment Record.</x:v>
      </x:c>
    </x:row>
    <x:row r="2878" ht="30" customHeight="1">
      <x:c r="A2878" s="117" t="str">
        <x:v>Set_Ship_Date_from_Shipment_Record</x:v>
      </x:c>
      <x:c r="B2878" s="117" t="str">
        <x:v>3004O000000TiZ0QAK</x:v>
      </x:c>
      <x:c r="C2878" s="117" t="str">
        <x:v>3014O0000001MD2QAM</x:v>
      </x:c>
      <x:c r="D2878" s="118" t="n">
        <x:v>3</x:v>
      </x:c>
      <x:c r="E2878" s="117" t="str">
        <x:v>Obsolete</x:v>
      </x:c>
      <x:c r="F2878" s="117" t="str">
        <x:v>No</x:v>
      </x:c>
      <x:c r="G2878" s="117" t="str">
        <x:v>No</x:v>
      </x:c>
      <x:c r="H2878" s="117" t="str">
        <x:v>Workflow</x:v>
      </x:c>
      <x:c r="I2878" s="118"/>
      <x:c r="J2878" s="117" t="str">
        <x:v>unmanaged</x:v>
      </x:c>
      <x:c r="K2878" s="123" t="b">
        <x:v>0</x:v>
      </x:c>
      <x:c r="L2878" s="117"/>
      <x:c r="M2878" s="118"/>
      <x:c r="N2878" s="120" t="n">
        <x:v>44105.661631944444</x:v>
      </x:c>
      <x:c r="O2878" s="117" t="str">
        <x:v>Adam Walter</x:v>
      </x:c>
      <x:c r="P2878" s="120" t="n">
        <x:v>44139.83443287037</x:v>
      </x:c>
      <x:c r="Q2878" s="117" t="str">
        <x:v>Trent VanEmon</x:v>
      </x:c>
      <x:c r="R2878" s="117" t="str">
        <x:v>Set Ship Date from Shipment Record</x:v>
      </x:c>
      <x:c r="S2878" s="119" t="str">
        <x:v>This process updates the shipment value on the opportunity when it is updated on the Zenkraft Shipment Record.</x:v>
      </x:c>
    </x:row>
    <x:row r="2879" ht="30" customHeight="1">
      <x:c r="A2879" s="117" t="str">
        <x:v>Set_Ship_Date_from_Shipment_Record</x:v>
      </x:c>
      <x:c r="B2879" s="117" t="str">
        <x:v>3004O000000TiZ0QAK</x:v>
      </x:c>
      <x:c r="C2879" s="117" t="str">
        <x:v>3014O0000001MufQAE</x:v>
      </x:c>
      <x:c r="D2879" s="118" t="n">
        <x:v>4</x:v>
      </x:c>
      <x:c r="E2879" s="117" t="str">
        <x:v>Obsolete</x:v>
      </x:c>
      <x:c r="F2879" s="117" t="str">
        <x:v>No</x:v>
      </x:c>
      <x:c r="G2879" s="117" t="str">
        <x:v>No</x:v>
      </x:c>
      <x:c r="H2879" s="117" t="str">
        <x:v>Workflow</x:v>
      </x:c>
      <x:c r="I2879" s="118" t="n">
        <x:v>49</x:v>
      </x:c>
      <x:c r="J2879" s="117" t="str">
        <x:v>unmanaged</x:v>
      </x:c>
      <x:c r="K2879" s="123" t="b">
        <x:v>0</x:v>
      </x:c>
      <x:c r="L2879" s="117"/>
      <x:c r="M2879" s="118"/>
      <x:c r="N2879" s="120" t="n">
        <x:v>44139.84569444445</x:v>
      </x:c>
      <x:c r="O2879" s="117" t="str">
        <x:v>Trent VanEmon</x:v>
      </x:c>
      <x:c r="P2879" s="120" t="n">
        <x:v>44140.5858912037</x:v>
      </x:c>
      <x:c r="Q2879" s="117" t="str">
        <x:v>Trent VanEmon</x:v>
      </x:c>
      <x:c r="R2879" s="117" t="str">
        <x:v>Set Ship Date from Shipment Record</x:v>
      </x:c>
      <x:c r="S2879" s="119" t="str">
        <x:v>This process updates the shipment value on the opportunity when it is updated on the Zenkraft Shipment Record.</x:v>
      </x:c>
    </x:row>
    <x:row r="2880" ht="30" customHeight="1">
      <x:c r="A2880" s="117" t="str">
        <x:v>Set_Ship_Date_from_Shipment_Record</x:v>
      </x:c>
      <x:c r="B2880" s="117" t="str">
        <x:v>3004O000000TiZ0QAK</x:v>
      </x:c>
      <x:c r="C2880" s="117" t="str">
        <x:v>3014O0000001MuzQAE</x:v>
      </x:c>
      <x:c r="D2880" s="118" t="n">
        <x:v>5</x:v>
      </x:c>
      <x:c r="E2880" s="117" t="str">
        <x:v>Obsolete</x:v>
      </x:c>
      <x:c r="F2880" s="117" t="str">
        <x:v>No</x:v>
      </x:c>
      <x:c r="G2880" s="117" t="str">
        <x:v>No</x:v>
      </x:c>
      <x:c r="H2880" s="117" t="str">
        <x:v>Workflow</x:v>
      </x:c>
      <x:c r="I2880" s="118" t="n">
        <x:v>49</x:v>
      </x:c>
      <x:c r="J2880" s="117" t="str">
        <x:v>unmanaged</x:v>
      </x:c>
      <x:c r="K2880" s="123" t="b">
        <x:v>0</x:v>
      </x:c>
      <x:c r="L2880" s="117"/>
      <x:c r="M2880" s="118"/>
      <x:c r="N2880" s="120" t="n">
        <x:v>44140.587743055556</x:v>
      </x:c>
      <x:c r="O2880" s="117" t="str">
        <x:v>Trent VanEmon</x:v>
      </x:c>
      <x:c r="P2880" s="120" t="n">
        <x:v>44140.58951388889</x:v>
      </x:c>
      <x:c r="Q2880" s="117" t="str">
        <x:v>Trent VanEmon</x:v>
      </x:c>
      <x:c r="R2880" s="117" t="str">
        <x:v>Set Ship Date from Shipment Record</x:v>
      </x:c>
      <x:c r="S2880" s="119" t="str">
        <x:v>This process updates the shipment value on the opportunity when it is updated on the Zenkraft Shipment Record.</x:v>
      </x:c>
    </x:row>
    <x:row r="2881" ht="30" customHeight="1">
      <x:c r="A2881" s="117" t="str">
        <x:v>Set_Ship_Date_from_Shipment_Record</x:v>
      </x:c>
      <x:c r="B2881" s="117" t="str">
        <x:v>3004O000000TiZ0QAK</x:v>
      </x:c>
      <x:c r="C2881" s="117" t="str">
        <x:v>3014O0000001Mv9QAE</x:v>
      </x:c>
      <x:c r="D2881" s="118" t="n">
        <x:v>6</x:v>
      </x:c>
      <x:c r="E2881" s="117" t="str">
        <x:v>Obsolete</x:v>
      </x:c>
      <x:c r="F2881" s="117" t="str">
        <x:v>No</x:v>
      </x:c>
      <x:c r="G2881" s="117" t="str">
        <x:v>No</x:v>
      </x:c>
      <x:c r="H2881" s="117" t="str">
        <x:v>Workflow</x:v>
      </x:c>
      <x:c r="I2881" s="118" t="n">
        <x:v>49</x:v>
      </x:c>
      <x:c r="J2881" s="117" t="str">
        <x:v>unmanaged</x:v>
      </x:c>
      <x:c r="K2881" s="123" t="b">
        <x:v>0</x:v>
      </x:c>
      <x:c r="L2881" s="117"/>
      <x:c r="M2881" s="118"/>
      <x:c r="N2881" s="120" t="n">
        <x:v>44140.58969907407</x:v>
      </x:c>
      <x:c r="O2881" s="117" t="str">
        <x:v>Trent VanEmon</x:v>
      </x:c>
      <x:c r="P2881" s="120" t="n">
        <x:v>44140.58975694444</x:v>
      </x:c>
      <x:c r="Q2881" s="117" t="str">
        <x:v>Trent VanEmon</x:v>
      </x:c>
      <x:c r="R2881" s="117" t="str">
        <x:v>Set Ship Date from Shipment Record</x:v>
      </x:c>
      <x:c r="S2881" s="119" t="str">
        <x:v>This process updates the shipment value on the opportunity when it is updated on the Zenkraft Shipment Record.</x:v>
      </x:c>
    </x:row>
    <x:row r="2882" ht="30" customHeight="1">
      <x:c r="A2882" s="117" t="str">
        <x:v>Set_Ship_Date_from_Shipment_Record</x:v>
      </x:c>
      <x:c r="B2882" s="117" t="str">
        <x:v>3004O000000TiZ0QAK</x:v>
      </x:c>
      <x:c r="C2882" s="117" t="str">
        <x:v>3014O0000001NBJQA2</x:v>
      </x:c>
      <x:c r="D2882" s="118" t="n">
        <x:v>7</x:v>
      </x:c>
      <x:c r="E2882" s="117" t="str">
        <x:v>Obsolete</x:v>
      </x:c>
      <x:c r="F2882" s="117" t="str">
        <x:v>No</x:v>
      </x:c>
      <x:c r="G2882" s="117" t="str">
        <x:v>No</x:v>
      </x:c>
      <x:c r="H2882" s="117" t="str">
        <x:v>Workflow</x:v>
      </x:c>
      <x:c r="I2882" s="118" t="n">
        <x:v>49</x:v>
      </x:c>
      <x:c r="J2882" s="117" t="str">
        <x:v>unmanaged</x:v>
      </x:c>
      <x:c r="K2882" s="123" t="b">
        <x:v>0</x:v>
      </x:c>
      <x:c r="L2882" s="117"/>
      <x:c r="M2882" s="118"/>
      <x:c r="N2882" s="120" t="n">
        <x:v>44151.73667824074</x:v>
      </x:c>
      <x:c r="O2882" s="117" t="str">
        <x:v>Trent VanEmon</x:v>
      </x:c>
      <x:c r="P2882" s="120" t="n">
        <x:v>44151.73678240741</x:v>
      </x:c>
      <x:c r="Q2882" s="117" t="str">
        <x:v>Trent VanEmon</x:v>
      </x:c>
      <x:c r="R2882" s="117" t="str">
        <x:v>Set Ship Date from Shipment Record</x:v>
      </x:c>
      <x:c r="S2882" s="119" t="str">
        <x:v>This process updates the shipment value on the opportunity when it is updated on the Zenkraft Shipment Record.</x:v>
      </x:c>
    </x:row>
    <x:row r="2883" ht="30" customHeight="1">
      <x:c r="A2883" s="117" t="str">
        <x:v>Set_Ship_Date_from_Shipment_Record</x:v>
      </x:c>
      <x:c r="B2883" s="117" t="str">
        <x:v>3004O000000TiZ0QAK</x:v>
      </x:c>
      <x:c r="C2883" s="117" t="str">
        <x:v>3015b000000EAf5AAG</x:v>
      </x:c>
      <x:c r="D2883" s="118" t="n">
        <x:v>8</x:v>
      </x:c>
      <x:c r="E2883" s="117" t="str">
        <x:v>Draft</x:v>
      </x:c>
      <x:c r="F2883" s="117" t="str">
        <x:v>No</x:v>
      </x:c>
      <x:c r="G2883" s="117" t="str">
        <x:v>No</x:v>
      </x:c>
      <x:c r="H2883" s="117" t="str">
        <x:v>Workflow</x:v>
      </x:c>
      <x:c r="I2883" s="118" t="n">
        <x:v>49</x:v>
      </x:c>
      <x:c r="J2883" s="117" t="str">
        <x:v>unmanaged</x:v>
      </x:c>
      <x:c r="K2883" s="123" t="b">
        <x:v>0</x:v>
      </x:c>
      <x:c r="L2883" s="117"/>
      <x:c r="M2883" s="118"/>
      <x:c r="N2883" s="120" t="n">
        <x:v>44459.64988425926</x:v>
      </x:c>
      <x:c r="O2883" s="117" t="str">
        <x:v>Natalie Boger</x:v>
      </x:c>
      <x:c r="P2883" s="120" t="n">
        <x:v>44459.64991898148</x:v>
      </x:c>
      <x:c r="Q2883" s="117" t="str">
        <x:v>Natalie Boger</x:v>
      </x:c>
      <x:c r="R2883" s="117" t="str">
        <x:v>Set Ship Date from Shipment Record</x:v>
      </x:c>
      <x:c r="S2883" s="119" t="str">
        <x:v>This process updates the shipment value on the opportunity when it is updated on the Zenkraft Shipment Record.</x:v>
      </x:c>
    </x:row>
    <x:row r="2884" ht="30" customHeight="1">
      <x:c r="A2884" s="117" t="str">
        <x:v>Set_Ship_Date_from_Shipment_Record</x:v>
      </x:c>
      <x:c r="B2884" s="117" t="str">
        <x:v>3004O000000TiZ0QAK</x:v>
      </x:c>
      <x:c r="C2884" s="117" t="str">
        <x:v>3015b000000APH4AAO</x:v>
      </x:c>
      <x:c r="D2884" s="118" t="n">
        <x:v>9</x:v>
      </x:c>
      <x:c r="E2884" s="117" t="str">
        <x:v>Active</x:v>
      </x:c>
      <x:c r="F2884" s="117" t="str">
        <x:v>Yes</x:v>
      </x:c>
      <x:c r="G2884" s="117" t="str">
        <x:v>No</x:v>
      </x:c>
      <x:c r="H2884" s="117" t="str">
        <x:v>Workflow</x:v>
      </x:c>
      <x:c r="I2884" s="118" t="n">
        <x:v>49</x:v>
      </x:c>
      <x:c r="J2884" s="117" t="str">
        <x:v>unmanaged</x:v>
      </x:c>
      <x:c r="K2884" s="123" t="b">
        <x:v>0</x:v>
      </x:c>
      <x:c r="L2884" s="117"/>
      <x:c r="M2884" s="118"/>
      <x:c r="N2884" s="120" t="n">
        <x:v>45139.090150462966</x:v>
      </x:c>
      <x:c r="O2884" s="117" t="str">
        <x:v>Natalie Boger</x:v>
      </x:c>
      <x:c r="P2884" s="120" t="n">
        <x:v>45139.09030092593</x:v>
      </x:c>
      <x:c r="Q2884" s="117" t="str">
        <x:v>Natalie Boger</x:v>
      </x:c>
      <x:c r="R2884" s="117" t="str">
        <x:v>Set Ship Date from Shipment Record</x:v>
      </x:c>
      <x:c r="S2884" s="119" t="str">
        <x:v>This process updates the shipment value on the opportunity when it is updated on the Zenkraft Shipment Record.</x:v>
      </x:c>
    </x:row>
    <x:row r="2885" ht="30" customHeight="1">
      <x:c r="A2885" s="117" t="str">
        <x:v>Set_Ship_Date_from_Shipment_Record</x:v>
      </x:c>
      <x:c r="B2885" s="117" t="str">
        <x:v>3004O000000TiZ0QAK</x:v>
      </x:c>
      <x:c r="C2885" s="117" t="str">
        <x:v>301Ro00000uQBNrIAO</x:v>
      </x:c>
      <x:c r="D2885" s="118" t="n">
        <x:v>10</x:v>
      </x:c>
      <x:c r="E2885" s="117" t="str">
        <x:v>Draft</x:v>
      </x:c>
      <x:c r="F2885" s="117" t="str">
        <x:v>No</x:v>
      </x:c>
      <x:c r="G2885" s="117" t="str">
        <x:v>Yes</x:v>
      </x:c>
      <x:c r="H2885" s="117" t="str">
        <x:v>Workflow</x:v>
      </x:c>
      <x:c r="I2885" s="118" t="n">
        <x:v>49</x:v>
      </x:c>
      <x:c r="J2885" s="117" t="str">
        <x:v>unmanaged</x:v>
      </x:c>
      <x:c r="K2885" s="123" t="b">
        <x:v>0</x:v>
      </x:c>
      <x:c r="L2885" s="117"/>
      <x:c r="M2885" s="118"/>
      <x:c r="N2885" s="120" t="n">
        <x:v>46010.6094212963</x:v>
      </x:c>
      <x:c r="O2885" s="117" t="str">
        <x:v>Steve Dodd</x:v>
      </x:c>
      <x:c r="P2885" s="120" t="n">
        <x:v>46010.609456018516</x:v>
      </x:c>
      <x:c r="Q2885" s="117" t="str">
        <x:v>Steve Dodd</x:v>
      </x:c>
      <x:c r="R2885" s="117" t="str">
        <x:v>Set Ship Date from Shipment Record</x:v>
      </x:c>
      <x:c r="S2885" s="119" t="str">
        <x:v>This process updates the shipment value on the opportunity when it is updated on the Zenkraft Shipment Record.</x:v>
      </x:c>
    </x:row>
    <x:row r="2886" ht="30" customHeight="1">
      <x:c r="A2886" s="117" t="str">
        <x:v>Set_Shipping_Account_to_Bill_on_Opp_to_the_Account_s_Default_Shipping_Account</x:v>
      </x:c>
      <x:c r="B2886" s="117" t="str">
        <x:v>300Ro00000uhVJiIAM</x:v>
      </x:c>
      <x:c r="C2886" s="117" t="str">
        <x:v>301Ro000012e0NrIAI</x:v>
      </x:c>
      <x:c r="D2886" s="118" t="n">
        <x:v>1</x:v>
      </x:c>
      <x:c r="E2886" s="117" t="str">
        <x:v>Obsolete</x:v>
      </x:c>
      <x:c r="F2886" s="117" t="str">
        <x:v>No</x:v>
      </x:c>
      <x:c r="G2886" s="117" t="str">
        <x:v>Yes</x:v>
      </x:c>
      <x:c r="H2886" s="117" t="str">
        <x:v>AutoLaunchedFlow</x:v>
      </x:c>
      <x:c r="I2886" s="118" t="n">
        <x:v>66</x:v>
      </x:c>
      <x:c r="J2886" s="117" t="str">
        <x:v>unmanaged</x:v>
      </x:c>
      <x:c r="K2886" s="123" t="b">
        <x:v>0</x:v>
      </x:c>
      <x:c r="L2886" s="117"/>
      <x:c r="M2886" s="118"/>
      <x:c r="N2886" s="120" t="n">
        <x:v>46120.59888888889</x:v>
      </x:c>
      <x:c r="O2886" s="117" t="str">
        <x:v>Delegate</x:v>
      </x:c>
      <x:c r="P2886" s="120" t="n">
        <x:v>46134.50581018518</x:v>
      </x:c>
      <x:c r="Q2886" s="117" t="str">
        <x:v>Delegate</x:v>
      </x:c>
      <x:c r="R2886" s="117" t="str">
        <x:v>Set Shipping Account to Bill on Opp to the Account's Default Shipping Account</x:v>
      </x:c>
      <x:c r="S2886" s="119" t="str">
        <x:v>04/08/2026 (BW) - Sets Shipping Account to Bill on Opp to the Account's Default Shipping Account</x:v>
      </x:c>
    </x:row>
    <x:row r="2887" ht="30" customHeight="1">
      <x:c r="A2887" s="117" t="str">
        <x:v>Set_Task_Ownership_from_Delegate_to_Opp_Owner</x:v>
      </x:c>
      <x:c r="B2887" s="117" t="str">
        <x:v>3004O000000XhLmQAK</x:v>
      </x:c>
      <x:c r="C2887" s="117" t="str">
        <x:v>3014O000000YCS8QAO</x:v>
      </x:c>
      <x:c r="D2887" s="118" t="n">
        <x:v>1</x:v>
      </x:c>
      <x:c r="E2887" s="117" t="str">
        <x:v>Active</x:v>
      </x:c>
      <x:c r="F2887" s="117" t="str">
        <x:v>Yes</x:v>
      </x:c>
      <x:c r="G2887" s="117" t="str">
        <x:v>Yes</x:v>
      </x:c>
      <x:c r="H2887" s="117" t="str">
        <x:v>AutoLaunchedFlow</x:v>
      </x:c>
      <x:c r="I2887" s="118" t="n">
        <x:v>52</x:v>
      </x:c>
      <x:c r="J2887" s="117" t="str">
        <x:v>unmanaged</x:v>
      </x:c>
      <x:c r="K2887" s="123" t="b">
        <x:v>0</x:v>
      </x:c>
      <x:c r="L2887" s="117"/>
      <x:c r="M2887" s="118"/>
      <x:c r="N2887" s="120" t="n">
        <x:v>44414.64400462963</x:v>
      </x:c>
      <x:c r="O2887" s="117" t="str">
        <x:v>Delegate</x:v>
      </x:c>
      <x:c r="P2887" s="120" t="n">
        <x:v>44414.64405092593</x:v>
      </x:c>
      <x:c r="Q2887" s="117" t="str">
        <x:v>Delegate</x:v>
      </x:c>
      <x:c r="R2887" s="117" t="str">
        <x:v>Set Task Ownership from Delegate to Opp Owner</x:v>
      </x:c>
      <x:c r="S2887" s="119" t="str">
        <x:v>Sets the task ownership from delegate to the related opp owner if a Delegate task is related to an opp.</x:v>
      </x:c>
    </x:row>
    <x:row r="2888" ht="30" customHeight="1">
      <x:c r="A2888" s="117" t="str">
        <x:v>Sets_the_FSR_Datestamp_to_Today_when_FSR_Not_Required_or_FSR_Attached_is_Checked</x:v>
      </x:c>
      <x:c r="B2888" s="117" t="str">
        <x:v>300Ro00000vFVp9IAG</x:v>
      </x:c>
      <x:c r="C2888" s="117" t="str">
        <x:v>301Ro000013EKawIAG</x:v>
      </x:c>
      <x:c r="D2888" s="118" t="n">
        <x:v>1</x:v>
      </x:c>
      <x:c r="E2888" s="117" t="str">
        <x:v>Active</x:v>
      </x:c>
      <x:c r="F2888" s="117" t="str">
        <x:v>Yes</x:v>
      </x:c>
      <x:c r="G2888" s="117" t="str">
        <x:v>Yes</x:v>
      </x:c>
      <x:c r="H2888" s="117" t="str">
        <x:v>AutoLaunchedFlow</x:v>
      </x:c>
      <x:c r="I2888" s="118" t="n">
        <x:v>66</x:v>
      </x:c>
      <x:c r="J2888" s="117" t="str">
        <x:v>unmanaged</x:v>
      </x:c>
      <x:c r="K2888" s="123" t="b">
        <x:v>0</x:v>
      </x:c>
      <x:c r="L2888" s="117"/>
      <x:c r="M2888" s="118"/>
      <x:c r="N2888" s="120" t="n">
        <x:v>46127.60089120371</x:v>
      </x:c>
      <x:c r="O2888" s="117" t="str">
        <x:v>Delegate</x:v>
      </x:c>
      <x:c r="P2888" s="120" t="n">
        <x:v>46127.600960648146</x:v>
      </x:c>
      <x:c r="Q2888" s="117" t="str">
        <x:v>Delegate</x:v>
      </x:c>
      <x:c r="R2888" s="117" t="str">
        <x:v>Sets the FSR Datestamp to Today when FSR Not Required or FSR Attached is Checked</x:v>
      </x:c>
      <x:c r="S2888" s="119" t="str">
        <x:v>04/15/2026 (BW) - Sets the FSR Datestamp to Today when FSR Not Required or FSR Attached is Checked</x:v>
      </x:c>
    </x:row>
    <x:row r="2889" ht="30" customHeight="1">
      <x:c r="A2889" s="117" t="str">
        <x:v>Shipping_Product_Price_Qty_on_Op_Update_Flow</x:v>
      </x:c>
      <x:c r="B2889" s="117" t="str">
        <x:v>3005b000000LHrFAAW</x:v>
      </x:c>
      <x:c r="C2889" s="117" t="str">
        <x:v>3015b000000AF81AAG</x:v>
      </x:c>
      <x:c r="D2889" s="118" t="n">
        <x:v>1</x:v>
      </x:c>
      <x:c r="E2889" s="117" t="str">
        <x:v>Obsolete</x:v>
      </x:c>
      <x:c r="F2889" s="117" t="str">
        <x:v>No</x:v>
      </x:c>
      <x:c r="G2889" s="117" t="str">
        <x:v>No</x:v>
      </x:c>
      <x:c r="H2889" s="117" t="str">
        <x:v>AutoLaunchedFlow</x:v>
      </x:c>
      <x:c r="I2889" s="118" t="n">
        <x:v>56</x:v>
      </x:c>
      <x:c r="J2889" s="117" t="str">
        <x:v>unmanaged</x:v>
      </x:c>
      <x:c r="K2889" s="123" t="b">
        <x:v>0</x:v>
      </x:c>
      <x:c r="L2889" s="117"/>
      <x:c r="M2889" s="118"/>
      <x:c r="N2889" s="120" t="n">
        <x:v>44953.23125</x:v>
      </x:c>
      <x:c r="O2889" s="117" t="str">
        <x:v>Jace Gentil</x:v>
      </x:c>
      <x:c r="P2889" s="120" t="n">
        <x:v>44953.63070601852</x:v>
      </x:c>
      <x:c r="Q2889" s="117" t="str">
        <x:v>Jace Gentil</x:v>
      </x:c>
      <x:c r="R2889" s="117" t="str">
        <x:v>Shipping Product Price/Qty on Op Update Flow</x:v>
      </x:c>
      <x:c r="S2889" s="119"/>
    </x:row>
    <x:row r="2890" ht="30" customHeight="1">
      <x:c r="A2890" s="117" t="str">
        <x:v>Shipping_Product_Price_Qty_on_Op_Update_Flow</x:v>
      </x:c>
      <x:c r="B2890" s="117" t="str">
        <x:v>3005b000000LHrFAAW</x:v>
      </x:c>
      <x:c r="C2890" s="117" t="str">
        <x:v>3015b000000AF9nAAG</x:v>
      </x:c>
      <x:c r="D2890" s="118" t="n">
        <x:v>2</x:v>
      </x:c>
      <x:c r="E2890" s="117" t="str">
        <x:v>Obsolete</x:v>
      </x:c>
      <x:c r="F2890" s="117" t="str">
        <x:v>No</x:v>
      </x:c>
      <x:c r="G2890" s="117" t="str">
        <x:v>No</x:v>
      </x:c>
      <x:c r="H2890" s="117" t="str">
        <x:v>AutoLaunchedFlow</x:v>
      </x:c>
      <x:c r="I2890" s="118" t="n">
        <x:v>56</x:v>
      </x:c>
      <x:c r="J2890" s="117" t="str">
        <x:v>unmanaged</x:v>
      </x:c>
      <x:c r="K2890" s="123" t="b">
        <x:v>0</x:v>
      </x:c>
      <x:c r="L2890" s="117"/>
      <x:c r="M2890" s="118"/>
      <x:c r="N2890" s="120" t="n">
        <x:v>44953.63818287037</x:v>
      </x:c>
      <x:c r="O2890" s="117" t="str">
        <x:v>Jace Gentil</x:v>
      </x:c>
      <x:c r="P2890" s="120" t="n">
        <x:v>44953.638240740744</x:v>
      </x:c>
      <x:c r="Q2890" s="117" t="str">
        <x:v>Jace Gentil</x:v>
      </x:c>
      <x:c r="R2890" s="117" t="str">
        <x:v>Shipping Product Price/Qty on Op Update Flow</x:v>
      </x:c>
      <x:c r="S2890" s="119"/>
    </x:row>
    <x:row r="2891" ht="30" customHeight="1">
      <x:c r="A2891" s="117" t="str">
        <x:v>Shipping_Product_Price_Qty_on_Op_Update_Flow</x:v>
      </x:c>
      <x:c r="B2891" s="117" t="str">
        <x:v>3005b000000LHrFAAW</x:v>
      </x:c>
      <x:c r="C2891" s="117" t="str">
        <x:v>3015b000000AF9sAAG</x:v>
      </x:c>
      <x:c r="D2891" s="118" t="n">
        <x:v>3</x:v>
      </x:c>
      <x:c r="E2891" s="117" t="str">
        <x:v>Obsolete</x:v>
      </x:c>
      <x:c r="F2891" s="117" t="str">
        <x:v>No</x:v>
      </x:c>
      <x:c r="G2891" s="117" t="str">
        <x:v>No</x:v>
      </x:c>
      <x:c r="H2891" s="117" t="str">
        <x:v>AutoLaunchedFlow</x:v>
      </x:c>
      <x:c r="I2891" s="118" t="n">
        <x:v>56</x:v>
      </x:c>
      <x:c r="J2891" s="117" t="str">
        <x:v>unmanaged</x:v>
      </x:c>
      <x:c r="K2891" s="123" t="b">
        <x:v>0</x:v>
      </x:c>
      <x:c r="L2891" s="117"/>
      <x:c r="M2891" s="118"/>
      <x:c r="N2891" s="120" t="n">
        <x:v>44953.638645833336</x:v>
      </x:c>
      <x:c r="O2891" s="117" t="str">
        <x:v>Jace Gentil</x:v>
      </x:c>
      <x:c r="P2891" s="120" t="n">
        <x:v>44953.63868055555</x:v>
      </x:c>
      <x:c r="Q2891" s="117" t="str">
        <x:v>Jace Gentil</x:v>
      </x:c>
      <x:c r="R2891" s="117" t="str">
        <x:v>Shipping Product Price/Qty on Op Update Flow</x:v>
      </x:c>
      <x:c r="S2891" s="119"/>
    </x:row>
    <x:row r="2892" ht="30" customHeight="1">
      <x:c r="A2892" s="117" t="str">
        <x:v>Shipping_Product_Price_Qty_on_Op_Update_Flow</x:v>
      </x:c>
      <x:c r="B2892" s="117" t="str">
        <x:v>3005b000000LHrFAAW</x:v>
      </x:c>
      <x:c r="C2892" s="117" t="str">
        <x:v>3015b000000AF9xAAG</x:v>
      </x:c>
      <x:c r="D2892" s="118" t="n">
        <x:v>4</x:v>
      </x:c>
      <x:c r="E2892" s="117" t="str">
        <x:v>Obsolete</x:v>
      </x:c>
      <x:c r="F2892" s="117" t="str">
        <x:v>No</x:v>
      </x:c>
      <x:c r="G2892" s="117" t="str">
        <x:v>No</x:v>
      </x:c>
      <x:c r="H2892" s="117" t="str">
        <x:v>AutoLaunchedFlow</x:v>
      </x:c>
      <x:c r="I2892" s="118" t="n">
        <x:v>56</x:v>
      </x:c>
      <x:c r="J2892" s="117" t="str">
        <x:v>unmanaged</x:v>
      </x:c>
      <x:c r="K2892" s="123" t="b">
        <x:v>0</x:v>
      </x:c>
      <x:c r="L2892" s="117"/>
      <x:c r="M2892" s="118"/>
      <x:c r="N2892" s="120" t="n">
        <x:v>44953.639016203706</x:v>
      </x:c>
      <x:c r="O2892" s="117" t="str">
        <x:v>Jace Gentil</x:v>
      </x:c>
      <x:c r="P2892" s="120" t="n">
        <x:v>44953.76951388889</x:v>
      </x:c>
      <x:c r="Q2892" s="117" t="str">
        <x:v>Jace Gentil</x:v>
      </x:c>
      <x:c r="R2892" s="117" t="str">
        <x:v>Shipping Product Price/Qty on Op Update Flow</x:v>
      </x:c>
      <x:c r="S2892" s="119"/>
    </x:row>
    <x:row r="2893" ht="30" customHeight="1">
      <x:c r="A2893" s="117" t="str">
        <x:v>Shipping_Product_Price_Qty_on_Op_Update_Flow</x:v>
      </x:c>
      <x:c r="B2893" s="117" t="str">
        <x:v>3005b000000LHrFAAW</x:v>
      </x:c>
      <x:c r="C2893" s="117" t="str">
        <x:v>3015b000000AF9oAAG</x:v>
      </x:c>
      <x:c r="D2893" s="118" t="n">
        <x:v>5</x:v>
      </x:c>
      <x:c r="E2893" s="117" t="str">
        <x:v>Obsolete</x:v>
      </x:c>
      <x:c r="F2893" s="117" t="str">
        <x:v>No</x:v>
      </x:c>
      <x:c r="G2893" s="117" t="str">
        <x:v>No</x:v>
      </x:c>
      <x:c r="H2893" s="117" t="str">
        <x:v>AutoLaunchedFlow</x:v>
      </x:c>
      <x:c r="I2893" s="118" t="n">
        <x:v>56</x:v>
      </x:c>
      <x:c r="J2893" s="117" t="str">
        <x:v>unmanaged</x:v>
      </x:c>
      <x:c r="K2893" s="123" t="b">
        <x:v>0</x:v>
      </x:c>
      <x:c r="L2893" s="117"/>
      <x:c r="M2893" s="118"/>
      <x:c r="N2893" s="120" t="n">
        <x:v>44953.641377314816</x:v>
      </x:c>
      <x:c r="O2893" s="117" t="str">
        <x:v>Jace Gentil</x:v>
      </x:c>
      <x:c r="P2893" s="120" t="n">
        <x:v>44987.85184027778</x:v>
      </x:c>
      <x:c r="Q2893" s="117" t="str">
        <x:v>Jace Gentil</x:v>
      </x:c>
      <x:c r="R2893" s="117" t="str">
        <x:v>Shipping Product Price/Qty on Op Update Flow</x:v>
      </x:c>
      <x:c r="S2893" s="119"/>
    </x:row>
    <x:row r="2894" ht="30" customHeight="1">
      <x:c r="A2894" s="117" t="str">
        <x:v>Shipping_Product_Price_Qty_on_Op_Update_Flow</x:v>
      </x:c>
      <x:c r="B2894" s="117" t="str">
        <x:v>3005b000000LHrFAAW</x:v>
      </x:c>
      <x:c r="C2894" s="117" t="str">
        <x:v>3015b000000W06TAAS</x:v>
      </x:c>
      <x:c r="D2894" s="118" t="n">
        <x:v>6</x:v>
      </x:c>
      <x:c r="E2894" s="117" t="str">
        <x:v>Obsolete</x:v>
      </x:c>
      <x:c r="F2894" s="117" t="str">
        <x:v>No</x:v>
      </x:c>
      <x:c r="G2894" s="117" t="str">
        <x:v>No</x:v>
      </x:c>
      <x:c r="H2894" s="117" t="str">
        <x:v>AutoLaunchedFlow</x:v>
      </x:c>
      <x:c r="I2894" s="118" t="n">
        <x:v>56</x:v>
      </x:c>
      <x:c r="J2894" s="117" t="str">
        <x:v>unmanaged</x:v>
      </x:c>
      <x:c r="K2894" s="123" t="b">
        <x:v>0</x:v>
      </x:c>
      <x:c r="L2894" s="117"/>
      <x:c r="M2894" s="118"/>
      <x:c r="N2894" s="120" t="n">
        <x:v>44987.86454861111</x:v>
      </x:c>
      <x:c r="O2894" s="117" t="str">
        <x:v>Jace Gentil</x:v>
      </x:c>
      <x:c r="P2894" s="120" t="n">
        <x:v>45006.56119212963</x:v>
      </x:c>
      <x:c r="Q2894" s="117" t="str">
        <x:v>Jace Gentil</x:v>
      </x:c>
      <x:c r="R2894" s="117" t="str">
        <x:v>Shipping Product Price/Qty on Op Update Flow</x:v>
      </x:c>
      <x:c r="S2894" s="119"/>
    </x:row>
    <x:row r="2895" ht="30" customHeight="1">
      <x:c r="A2895" s="117" t="str">
        <x:v>Shipping_Product_Price_Qty_on_Op_Update_Flow</x:v>
      </x:c>
      <x:c r="B2895" s="117" t="str">
        <x:v>3005b000000LHrFAAW</x:v>
      </x:c>
      <x:c r="C2895" s="117" t="str">
        <x:v>3015b000000W0vCAAS</x:v>
      </x:c>
      <x:c r="D2895" s="118" t="n">
        <x:v>7</x:v>
      </x:c>
      <x:c r="E2895" s="117" t="str">
        <x:v>Obsolete</x:v>
      </x:c>
      <x:c r="F2895" s="117" t="str">
        <x:v>No</x:v>
      </x:c>
      <x:c r="G2895" s="117" t="str">
        <x:v>No</x:v>
      </x:c>
      <x:c r="H2895" s="117" t="str">
        <x:v>AutoLaunchedFlow</x:v>
      </x:c>
      <x:c r="I2895" s="118" t="n">
        <x:v>56</x:v>
      </x:c>
      <x:c r="J2895" s="117" t="str">
        <x:v>unmanaged</x:v>
      </x:c>
      <x:c r="K2895" s="123" t="b">
        <x:v>0</x:v>
      </x:c>
      <x:c r="L2895" s="117"/>
      <x:c r="M2895" s="118"/>
      <x:c r="N2895" s="120" t="n">
        <x:v>45006.64928240741</x:v>
      </x:c>
      <x:c r="O2895" s="117" t="str">
        <x:v>Jace Gentil</x:v>
      </x:c>
      <x:c r="P2895" s="120" t="n">
        <x:v>45006.6493287037</x:v>
      </x:c>
      <x:c r="Q2895" s="117" t="str">
        <x:v>Jace Gentil</x:v>
      </x:c>
      <x:c r="R2895" s="117" t="str">
        <x:v>Shipping Product Price/Qty on Op Update Flow</x:v>
      </x:c>
      <x:c r="S2895" s="119"/>
    </x:row>
    <x:row r="2896" ht="30" customHeight="1">
      <x:c r="A2896" s="117" t="str">
        <x:v>Shipping_Product_Price_Qty_on_Op_Update_Flow</x:v>
      </x:c>
      <x:c r="B2896" s="117" t="str">
        <x:v>3005b000000LHrFAAW</x:v>
      </x:c>
      <x:c r="C2896" s="117" t="str">
        <x:v>3015b000000W131AAC</x:v>
      </x:c>
      <x:c r="D2896" s="118" t="n">
        <x:v>8</x:v>
      </x:c>
      <x:c r="E2896" s="117" t="str">
        <x:v>Obsolete</x:v>
      </x:c>
      <x:c r="F2896" s="117" t="str">
        <x:v>No</x:v>
      </x:c>
      <x:c r="G2896" s="117" t="str">
        <x:v>No</x:v>
      </x:c>
      <x:c r="H2896" s="117" t="str">
        <x:v>AutoLaunchedFlow</x:v>
      </x:c>
      <x:c r="I2896" s="118" t="n">
        <x:v>56</x:v>
      </x:c>
      <x:c r="J2896" s="117" t="str">
        <x:v>unmanaged</x:v>
      </x:c>
      <x:c r="K2896" s="123" t="b">
        <x:v>0</x:v>
      </x:c>
      <x:c r="L2896" s="117"/>
      <x:c r="M2896" s="118"/>
      <x:c r="N2896" s="120" t="n">
        <x:v>45012.68685185185</x:v>
      </x:c>
      <x:c r="O2896" s="117" t="str">
        <x:v>Jace Gentil</x:v>
      </x:c>
      <x:c r="P2896" s="120" t="n">
        <x:v>45012.68690972222</x:v>
      </x:c>
      <x:c r="Q2896" s="117" t="str">
        <x:v>Jace Gentil</x:v>
      </x:c>
      <x:c r="R2896" s="117" t="str">
        <x:v>Shipping Product Price/Qty on Op Update Flow</x:v>
      </x:c>
      <x:c r="S2896" s="119"/>
    </x:row>
    <x:row r="2897" ht="30" customHeight="1">
      <x:c r="A2897" s="117" t="str">
        <x:v>Shipping_Product_Price_Qty_on_Op_Update_Flow</x:v>
      </x:c>
      <x:c r="B2897" s="117" t="str">
        <x:v>3005b000000LHrFAAW</x:v>
      </x:c>
      <x:c r="C2897" s="117" t="str">
        <x:v>3015b000000W13VAAS</x:v>
      </x:c>
      <x:c r="D2897" s="118" t="n">
        <x:v>9</x:v>
      </x:c>
      <x:c r="E2897" s="117" t="str">
        <x:v>Obsolete</x:v>
      </x:c>
      <x:c r="F2897" s="117" t="str">
        <x:v>No</x:v>
      </x:c>
      <x:c r="G2897" s="117" t="str">
        <x:v>No</x:v>
      </x:c>
      <x:c r="H2897" s="117" t="str">
        <x:v>AutoLaunchedFlow</x:v>
      </x:c>
      <x:c r="I2897" s="118" t="n">
        <x:v>56</x:v>
      </x:c>
      <x:c r="J2897" s="117" t="str">
        <x:v>unmanaged</x:v>
      </x:c>
      <x:c r="K2897" s="123" t="b">
        <x:v>0</x:v>
      </x:c>
      <x:c r="L2897" s="117"/>
      <x:c r="M2897" s="118"/>
      <x:c r="N2897" s="120" t="n">
        <x:v>45012.73266203704</x:v>
      </x:c>
      <x:c r="O2897" s="117" t="str">
        <x:v>Jace Gentil</x:v>
      </x:c>
      <x:c r="P2897" s="120" t="n">
        <x:v>45012.73270833334</x:v>
      </x:c>
      <x:c r="Q2897" s="117" t="str">
        <x:v>Jace Gentil</x:v>
      </x:c>
      <x:c r="R2897" s="117" t="str">
        <x:v>Shipping Product Price/Qty on Op Update Flow</x:v>
      </x:c>
      <x:c r="S2897" s="119"/>
    </x:row>
    <x:row r="2898" ht="30" customHeight="1">
      <x:c r="A2898" s="117" t="str">
        <x:v>Shipping_Product_Price_Qty_on_Op_Update_Flow</x:v>
      </x:c>
      <x:c r="B2898" s="117" t="str">
        <x:v>3005b000000LHrFAAW</x:v>
      </x:c>
      <x:c r="C2898" s="117" t="str">
        <x:v>3015b000000W13aAAC</x:v>
      </x:c>
      <x:c r="D2898" s="118" t="n">
        <x:v>10</x:v>
      </x:c>
      <x:c r="E2898" s="117" t="str">
        <x:v>Obsolete</x:v>
      </x:c>
      <x:c r="F2898" s="117" t="str">
        <x:v>No</x:v>
      </x:c>
      <x:c r="G2898" s="117" t="str">
        <x:v>No</x:v>
      </x:c>
      <x:c r="H2898" s="117" t="str">
        <x:v>AutoLaunchedFlow</x:v>
      </x:c>
      <x:c r="I2898" s="118" t="n">
        <x:v>56</x:v>
      </x:c>
      <x:c r="J2898" s="117" t="str">
        <x:v>unmanaged</x:v>
      </x:c>
      <x:c r="K2898" s="123" t="b">
        <x:v>0</x:v>
      </x:c>
      <x:c r="L2898" s="117"/>
      <x:c r="M2898" s="118"/>
      <x:c r="N2898" s="120" t="n">
        <x:v>45012.73403935185</x:v>
      </x:c>
      <x:c r="O2898" s="117" t="str">
        <x:v>Jace Gentil</x:v>
      </x:c>
      <x:c r="P2898" s="120" t="n">
        <x:v>45012.73407407408</x:v>
      </x:c>
      <x:c r="Q2898" s="117" t="str">
        <x:v>Jace Gentil</x:v>
      </x:c>
      <x:c r="R2898" s="117" t="str">
        <x:v>Shipping Product Price/Qty on Op Update Flow</x:v>
      </x:c>
      <x:c r="S2898" s="119"/>
    </x:row>
    <x:row r="2899" ht="30" customHeight="1">
      <x:c r="A2899" s="117" t="str">
        <x:v>Shipping_Product_Price_Qty_on_Op_Update_Flow</x:v>
      </x:c>
      <x:c r="B2899" s="117" t="str">
        <x:v>3005b000000LHrFAAW</x:v>
      </x:c>
      <x:c r="C2899" s="117" t="str">
        <x:v>3015b000000W15gAAC</x:v>
      </x:c>
      <x:c r="D2899" s="118" t="n">
        <x:v>11</x:v>
      </x:c>
      <x:c r="E2899" s="117" t="str">
        <x:v>Obsolete</x:v>
      </x:c>
      <x:c r="F2899" s="117" t="str">
        <x:v>No</x:v>
      </x:c>
      <x:c r="G2899" s="117" t="str">
        <x:v>No</x:v>
      </x:c>
      <x:c r="H2899" s="117" t="str">
        <x:v>AutoLaunchedFlow</x:v>
      </x:c>
      <x:c r="I2899" s="118" t="n">
        <x:v>56</x:v>
      </x:c>
      <x:c r="J2899" s="117" t="str">
        <x:v>unmanaged</x:v>
      </x:c>
      <x:c r="K2899" s="123" t="b">
        <x:v>0</x:v>
      </x:c>
      <x:c r="L2899" s="117"/>
      <x:c r="M2899" s="118"/>
      <x:c r="N2899" s="120" t="n">
        <x:v>45013.71202546296</x:v>
      </x:c>
      <x:c r="O2899" s="117" t="str">
        <x:v>Jace Gentil</x:v>
      </x:c>
      <x:c r="P2899" s="120" t="n">
        <x:v>45013.71207175926</x:v>
      </x:c>
      <x:c r="Q2899" s="117" t="str">
        <x:v>Jace Gentil</x:v>
      </x:c>
      <x:c r="R2899" s="117" t="str">
        <x:v>Shipping Product Price/Qty on Op Update Flow</x:v>
      </x:c>
      <x:c r="S2899" s="119"/>
    </x:row>
    <x:row r="2900" ht="30" customHeight="1">
      <x:c r="A2900" s="117" t="str">
        <x:v>Shipping_Product_Price_Qty_on_Op_Update_Flow</x:v>
      </x:c>
      <x:c r="B2900" s="117" t="str">
        <x:v>3005b000000LHrFAAW</x:v>
      </x:c>
      <x:c r="C2900" s="117" t="str">
        <x:v>3015b000000W2YyAAK</x:v>
      </x:c>
      <x:c r="D2900" s="118" t="n">
        <x:v>12</x:v>
      </x:c>
      <x:c r="E2900" s="117" t="str">
        <x:v>Obsolete</x:v>
      </x:c>
      <x:c r="F2900" s="117" t="str">
        <x:v>No</x:v>
      </x:c>
      <x:c r="G2900" s="117" t="str">
        <x:v>No</x:v>
      </x:c>
      <x:c r="H2900" s="117" t="str">
        <x:v>AutoLaunchedFlow</x:v>
      </x:c>
      <x:c r="I2900" s="118" t="n">
        <x:v>56</x:v>
      </x:c>
      <x:c r="J2900" s="117" t="str">
        <x:v>unmanaged</x:v>
      </x:c>
      <x:c r="K2900" s="123" t="b">
        <x:v>0</x:v>
      </x:c>
      <x:c r="L2900" s="117"/>
      <x:c r="M2900" s="118"/>
      <x:c r="N2900" s="120" t="n">
        <x:v>45050.94495370371</x:v>
      </x:c>
      <x:c r="O2900" s="117" t="str">
        <x:v>Jace Gentil</x:v>
      </x:c>
      <x:c r="P2900" s="120" t="n">
        <x:v>45139.18849537037</x:v>
      </x:c>
      <x:c r="Q2900" s="117" t="str">
        <x:v>Natalie Boger</x:v>
      </x:c>
      <x:c r="R2900" s="117" t="str">
        <x:v>Shipping Product Price/Qty on Op Update Flow</x:v>
      </x:c>
      <x:c r="S2900" s="119"/>
    </x:row>
    <x:row r="2901" ht="30" customHeight="1">
      <x:c r="A2901" s="117" t="str">
        <x:v>Shipping_Product_Price_Qty_on_Op_Update_Flow</x:v>
      </x:c>
      <x:c r="B2901" s="117" t="str">
        <x:v>3005b000000LHrFAAW</x:v>
      </x:c>
      <x:c r="C2901" s="117" t="str">
        <x:v>3015b000000APeRAAW</x:v>
      </x:c>
      <x:c r="D2901" s="118" t="n">
        <x:v>13</x:v>
      </x:c>
      <x:c r="E2901" s="117" t="str">
        <x:v>Obsolete</x:v>
      </x:c>
      <x:c r="F2901" s="117" t="str">
        <x:v>No</x:v>
      </x:c>
      <x:c r="G2901" s="117" t="str">
        <x:v>No</x:v>
      </x:c>
      <x:c r="H2901" s="117" t="str">
        <x:v>AutoLaunchedFlow</x:v>
      </x:c>
      <x:c r="I2901" s="118" t="n">
        <x:v>56</x:v>
      </x:c>
      <x:c r="J2901" s="117" t="str">
        <x:v>unmanaged</x:v>
      </x:c>
      <x:c r="K2901" s="123" t="b">
        <x:v>0</x:v>
      </x:c>
      <x:c r="L2901" s="117"/>
      <x:c r="M2901" s="118"/>
      <x:c r="N2901" s="120" t="n">
        <x:v>45145.54072916666</x:v>
      </x:c>
      <x:c r="O2901" s="117" t="str">
        <x:v>Delegate</x:v>
      </x:c>
      <x:c r="P2901" s="120" t="n">
        <x:v>45145.5408912037</x:v>
      </x:c>
      <x:c r="Q2901" s="117" t="str">
        <x:v>Delegate</x:v>
      </x:c>
      <x:c r="R2901" s="117" t="str">
        <x:v>Shipping Product Price/Qty on Op Update Flow</x:v>
      </x:c>
      <x:c r="S2901" s="119" t="str">
        <x:v>Added asynchronous path</x:v>
      </x:c>
    </x:row>
    <x:row r="2902" ht="30" customHeight="1">
      <x:c r="A2902" s="117" t="str">
        <x:v>Shipping_Product_Price_Qty_on_Op_Update_Flow</x:v>
      </x:c>
      <x:c r="B2902" s="117" t="str">
        <x:v>3005b000000LHrFAAW</x:v>
      </x:c>
      <x:c r="C2902" s="117" t="str">
        <x:v>3015b000000ASvGAAW</x:v>
      </x:c>
      <x:c r="D2902" s="118" t="n">
        <x:v>14</x:v>
      </x:c>
      <x:c r="E2902" s="117" t="str">
        <x:v>Obsolete</x:v>
      </x:c>
      <x:c r="F2902" s="117" t="str">
        <x:v>No</x:v>
      </x:c>
      <x:c r="G2902" s="117" t="str">
        <x:v>No</x:v>
      </x:c>
      <x:c r="H2902" s="117" t="str">
        <x:v>AutoLaunchedFlow</x:v>
      </x:c>
      <x:c r="I2902" s="118" t="n">
        <x:v>56</x:v>
      </x:c>
      <x:c r="J2902" s="117" t="str">
        <x:v>unmanaged</x:v>
      </x:c>
      <x:c r="K2902" s="123" t="b">
        <x:v>0</x:v>
      </x:c>
      <x:c r="L2902" s="117"/>
      <x:c r="M2902" s="118"/>
      <x:c r="N2902" s="120" t="n">
        <x:v>45194.31527777778</x:v>
      </x:c>
      <x:c r="O2902" s="117" t="str">
        <x:v>Jace Gentil</x:v>
      </x:c>
      <x:c r="P2902" s="120" t="n">
        <x:v>45194.31533564815</x:v>
      </x:c>
      <x:c r="Q2902" s="117" t="str">
        <x:v>Jace Gentil</x:v>
      </x:c>
      <x:c r="R2902" s="117" t="str">
        <x:v>Shipping Product Price/Qty on Op Update Flow</x:v>
      </x:c>
      <x:c r="S2902" s="119" t="str">
        <x:v>Added asynchronous path</x:v>
      </x:c>
    </x:row>
    <x:row r="2903" ht="30" customHeight="1">
      <x:c r="A2903" s="117" t="str">
        <x:v>Shipping_Product_Price_Qty_on_Op_Update_Flow</x:v>
      </x:c>
      <x:c r="B2903" s="117" t="str">
        <x:v>3005b000000LHrFAAW</x:v>
      </x:c>
      <x:c r="C2903" s="117" t="str">
        <x:v>3015b0000011JvCAAU</x:v>
      </x:c>
      <x:c r="D2903" s="118" t="n">
        <x:v>15</x:v>
      </x:c>
      <x:c r="E2903" s="117" t="str">
        <x:v>Obsolete</x:v>
      </x:c>
      <x:c r="F2903" s="117" t="str">
        <x:v>No</x:v>
      </x:c>
      <x:c r="G2903" s="117" t="str">
        <x:v>No</x:v>
      </x:c>
      <x:c r="H2903" s="117" t="str">
        <x:v>AutoLaunchedFlow</x:v>
      </x:c>
      <x:c r="I2903" s="118" t="n">
        <x:v>56</x:v>
      </x:c>
      <x:c r="J2903" s="117" t="str">
        <x:v>unmanaged</x:v>
      </x:c>
      <x:c r="K2903" s="123" t="b">
        <x:v>0</x:v>
      </x:c>
      <x:c r="L2903" s="117"/>
      <x:c r="M2903" s="118"/>
      <x:c r="N2903" s="120" t="n">
        <x:v>45198.80813657407</x:v>
      </x:c>
      <x:c r="O2903" s="117" t="str">
        <x:v>Jace Gentil</x:v>
      </x:c>
      <x:c r="P2903" s="120" t="n">
        <x:v>45198.808229166665</x:v>
      </x:c>
      <x:c r="Q2903" s="117" t="str">
        <x:v>Jace Gentil</x:v>
      </x:c>
      <x:c r="R2903" s="117" t="str">
        <x:v>Shipping Product Price/Qty on Op Update Flow</x:v>
      </x:c>
      <x:c r="S2903" s="119" t="str">
        <x:v>Added asynchronous path</x:v>
      </x:c>
    </x:row>
    <x:row r="2904" ht="30" customHeight="1">
      <x:c r="A2904" s="117" t="str">
        <x:v>Shipping_Product_Price_Qty_on_Op_Update_Flow</x:v>
      </x:c>
      <x:c r="B2904" s="117" t="str">
        <x:v>3005b000000LHrFAAW</x:v>
      </x:c>
      <x:c r="C2904" s="117" t="str">
        <x:v>3015b0000011KrLAAU</x:v>
      </x:c>
      <x:c r="D2904" s="118" t="n">
        <x:v>16</x:v>
      </x:c>
      <x:c r="E2904" s="117" t="str">
        <x:v>Obsolete</x:v>
      </x:c>
      <x:c r="F2904" s="117" t="str">
        <x:v>No</x:v>
      </x:c>
      <x:c r="G2904" s="117" t="str">
        <x:v>No</x:v>
      </x:c>
      <x:c r="H2904" s="117" t="str">
        <x:v>AutoLaunchedFlow</x:v>
      </x:c>
      <x:c r="I2904" s="118" t="n">
        <x:v>56</x:v>
      </x:c>
      <x:c r="J2904" s="117" t="str">
        <x:v>unmanaged</x:v>
      </x:c>
      <x:c r="K2904" s="123" t="b">
        <x:v>0</x:v>
      </x:c>
      <x:c r="L2904" s="117"/>
      <x:c r="M2904" s="118"/>
      <x:c r="N2904" s="120" t="n">
        <x:v>45209.82013888889</x:v>
      </x:c>
      <x:c r="O2904" s="117" t="str">
        <x:v>Jace Gentil</x:v>
      </x:c>
      <x:c r="P2904" s="120" t="n">
        <x:v>45209.820185185185</x:v>
      </x:c>
      <x:c r="Q2904" s="117" t="str">
        <x:v>Jace Gentil</x:v>
      </x:c>
      <x:c r="R2904" s="117" t="str">
        <x:v>Shipping Product Price/Qty on Op Update Flow</x:v>
      </x:c>
      <x:c r="S2904" s="119" t="str">
        <x:v>Added asynchronous path</x:v>
      </x:c>
    </x:row>
    <x:row r="2905" ht="30" customHeight="1">
      <x:c r="A2905" s="117" t="str">
        <x:v>Shipping_Product_Price_Qty_on_Op_Update_Flow</x:v>
      </x:c>
      <x:c r="B2905" s="117" t="str">
        <x:v>3005b000000LHrFAAW</x:v>
      </x:c>
      <x:c r="C2905" s="117" t="str">
        <x:v>3015b0000011KrfAAE</x:v>
      </x:c>
      <x:c r="D2905" s="118" t="n">
        <x:v>18</x:v>
      </x:c>
      <x:c r="E2905" s="117" t="str">
        <x:v>Obsolete</x:v>
      </x:c>
      <x:c r="F2905" s="117" t="str">
        <x:v>No</x:v>
      </x:c>
      <x:c r="G2905" s="117" t="str">
        <x:v>No</x:v>
      </x:c>
      <x:c r="H2905" s="117" t="str">
        <x:v>AutoLaunchedFlow</x:v>
      </x:c>
      <x:c r="I2905" s="118" t="n">
        <x:v>56</x:v>
      </x:c>
      <x:c r="J2905" s="117" t="str">
        <x:v>unmanaged</x:v>
      </x:c>
      <x:c r="K2905" s="123" t="b">
        <x:v>0</x:v>
      </x:c>
      <x:c r="L2905" s="117"/>
      <x:c r="M2905" s="118"/>
      <x:c r="N2905" s="120" t="n">
        <x:v>45209.82399305556</x:v>
      </x:c>
      <x:c r="O2905" s="117" t="str">
        <x:v>Jace Gentil</x:v>
      </x:c>
      <x:c r="P2905" s="120" t="n">
        <x:v>45209.825891203705</x:v>
      </x:c>
      <x:c r="Q2905" s="117" t="str">
        <x:v>Jace Gentil</x:v>
      </x:c>
      <x:c r="R2905" s="117" t="str">
        <x:v>Shipping Product Price/Qty on Op Update Flow</x:v>
      </x:c>
      <x:c r="S2905" s="119" t="str">
        <x:v>Added asynchronous path</x:v>
      </x:c>
    </x:row>
    <x:row r="2906" ht="30" customHeight="1">
      <x:c r="A2906" s="117" t="str">
        <x:v>Shipping_Product_Price_Qty_on_Op_Update_Flow</x:v>
      </x:c>
      <x:c r="B2906" s="117" t="str">
        <x:v>3005b000000LHrFAAW</x:v>
      </x:c>
      <x:c r="C2906" s="117" t="str">
        <x:v>3015b0000011KsEAAU</x:v>
      </x:c>
      <x:c r="D2906" s="118" t="n">
        <x:v>19</x:v>
      </x:c>
      <x:c r="E2906" s="117" t="str">
        <x:v>Draft</x:v>
      </x:c>
      <x:c r="F2906" s="117" t="str">
        <x:v>No</x:v>
      </x:c>
      <x:c r="G2906" s="117" t="str">
        <x:v>No</x:v>
      </x:c>
      <x:c r="H2906" s="117" t="str">
        <x:v>AutoLaunchedFlow</x:v>
      </x:c>
      <x:c r="I2906" s="118" t="n">
        <x:v>56</x:v>
      </x:c>
      <x:c r="J2906" s="117" t="str">
        <x:v>unmanaged</x:v>
      </x:c>
      <x:c r="K2906" s="123" t="b">
        <x:v>0</x:v>
      </x:c>
      <x:c r="L2906" s="117"/>
      <x:c r="M2906" s="118"/>
      <x:c r="N2906" s="120" t="n">
        <x:v>45209.847708333335</x:v>
      </x:c>
      <x:c r="O2906" s="117" t="str">
        <x:v>Jace Gentil</x:v>
      </x:c>
      <x:c r="P2906" s="120" t="n">
        <x:v>45209.847719907404</x:v>
      </x:c>
      <x:c r="Q2906" s="117" t="str">
        <x:v>Jace Gentil</x:v>
      </x:c>
      <x:c r="R2906" s="117" t="str">
        <x:v>Shipping Product Price/Qty on Op Update Flow</x:v>
      </x:c>
      <x:c r="S2906" s="119" t="str">
        <x:v>Added asynchronous path</x:v>
      </x:c>
    </x:row>
    <x:row r="2907" ht="30" customHeight="1">
      <x:c r="A2907" s="117" t="str">
        <x:v>Shipping_Product_Price_Qty_on_Op_Update_Flow</x:v>
      </x:c>
      <x:c r="B2907" s="117" t="str">
        <x:v>3005b000000LHrFAAW</x:v>
      </x:c>
      <x:c r="C2907" s="117" t="str">
        <x:v>3015b0000011LthAAE</x:v>
      </x:c>
      <x:c r="D2907" s="118" t="n">
        <x:v>20</x:v>
      </x:c>
      <x:c r="E2907" s="117" t="str">
        <x:v>Obsolete</x:v>
      </x:c>
      <x:c r="F2907" s="117" t="str">
        <x:v>No</x:v>
      </x:c>
      <x:c r="G2907" s="117" t="str">
        <x:v>No</x:v>
      </x:c>
      <x:c r="H2907" s="117" t="str">
        <x:v>AutoLaunchedFlow</x:v>
      </x:c>
      <x:c r="I2907" s="118" t="n">
        <x:v>56</x:v>
      </x:c>
      <x:c r="J2907" s="117" t="str">
        <x:v>unmanaged</x:v>
      </x:c>
      <x:c r="K2907" s="123" t="b">
        <x:v>0</x:v>
      </x:c>
      <x:c r="L2907" s="117"/>
      <x:c r="M2907" s="118"/>
      <x:c r="N2907" s="120" t="n">
        <x:v>45226.71734953704</x:v>
      </x:c>
      <x:c r="O2907" s="117" t="str">
        <x:v>Jace Gentil</x:v>
      </x:c>
      <x:c r="P2907" s="120" t="n">
        <x:v>45226.71741898148</x:v>
      </x:c>
      <x:c r="Q2907" s="117" t="str">
        <x:v>Jace Gentil</x:v>
      </x:c>
      <x:c r="R2907" s="117" t="str">
        <x:v>Shipping Product Price/Qty on Op Update Flow</x:v>
      </x:c>
      <x:c r="S2907" s="119" t="str">
        <x:v>Added asynchronous path</x:v>
      </x:c>
    </x:row>
    <x:row r="2908" ht="30" customHeight="1">
      <x:c r="A2908" s="117" t="str">
        <x:v>Shipping_Product_Price_Qty_on_Op_Update_Flow</x:v>
      </x:c>
      <x:c r="B2908" s="117" t="str">
        <x:v>3005b000000LHrFAAW</x:v>
      </x:c>
      <x:c r="C2908" s="117" t="str">
        <x:v>3015b0000011N6SAAU</x:v>
      </x:c>
      <x:c r="D2908" s="118" t="n">
        <x:v>21</x:v>
      </x:c>
      <x:c r="E2908" s="117" t="str">
        <x:v>Obsolete</x:v>
      </x:c>
      <x:c r="F2908" s="117" t="str">
        <x:v>No</x:v>
      </x:c>
      <x:c r="G2908" s="117" t="str">
        <x:v>Yes</x:v>
      </x:c>
      <x:c r="H2908" s="117" t="str">
        <x:v>AutoLaunchedFlow</x:v>
      </x:c>
      <x:c r="I2908" s="118" t="n">
        <x:v>56</x:v>
      </x:c>
      <x:c r="J2908" s="117" t="str">
        <x:v>unmanaged</x:v>
      </x:c>
      <x:c r="K2908" s="123" t="b">
        <x:v>0</x:v>
      </x:c>
      <x:c r="L2908" s="117"/>
      <x:c r="M2908" s="118"/>
      <x:c r="N2908" s="120" t="n">
        <x:v>45301.67</x:v>
      </x:c>
      <x:c r="O2908" s="117" t="str">
        <x:v>Jace Gentil</x:v>
      </x:c>
      <x:c r="P2908" s="120" t="n">
        <x:v>45423.52140046296</x:v>
      </x:c>
      <x:c r="Q2908" s="117" t="str">
        <x:v>Jace Gentil</x:v>
      </x:c>
      <x:c r="R2908" s="117" t="str">
        <x:v>Shipping Product Price/Qty on Op Update Flow</x:v>
      </x:c>
      <x:c r="S2908" s="119" t="str">
        <x:v>Added asynchronous path</x:v>
      </x:c>
    </x:row>
    <x:row r="2909" ht="30" customHeight="1">
      <x:c r="A2909" s="117" t="str">
        <x:v>Smart_Payment_Routing_Flow_Template</x:v>
      </x:c>
      <x:c r="B2909" s="117" t="str">
        <x:v>3005b00000113ONAAY</x:v>
      </x:c>
      <x:c r="C2909" s="117" t="str">
        <x:v>3015b0000011LJoAAM</x:v>
      </x:c>
      <x:c r="D2909" s="118" t="n">
        <x:v>1</x:v>
      </x:c>
      <x:c r="E2909" s="117" t="str">
        <x:v>Draft</x:v>
      </x:c>
      <x:c r="F2909" s="117" t="str">
        <x:v>No</x:v>
      </x:c>
      <x:c r="G2909" s="117" t="str">
        <x:v>No</x:v>
      </x:c>
      <x:c r="H2909" s="117" t="str">
        <x:v>AutoLaunchedFlow</x:v>
      </x:c>
      <x:c r="I2909" s="118" t="n">
        <x:v>58</x:v>
      </x:c>
      <x:c r="J2909" s="117" t="str">
        <x:v>installed</x:v>
      </x:c>
      <x:c r="K2909" s="123" t="b">
        <x:v>1</x:v>
      </x:c>
      <x:c r="L2909" s="117"/>
      <x:c r="M2909" s="118"/>
      <x:c r="N2909" s="120" t="n">
        <x:v>45216.83290509259</x:v>
      </x:c>
      <x:c r="O2909" s="117" t="str"/>
      <x:c r="P2909" s="120" t="n">
        <x:v>45216.832916666666</x:v>
      </x:c>
      <x:c r="Q2909" s="117" t="str"/>
      <x:c r="R2909" s="117" t="str">
        <x:v>Smart Payment Routing Flow Template</x:v>
      </x:c>
      <x:c r="S2909" s="119" t="str">
        <x:v>This template is provisioned with all the variables users can play with in order to create conditionals/decision elements to determine which gateway to use by any Chargent operation (except Charge-Authorized a.k.a. Capture). It also has a simple use case example where a gateway is determined according to the billingState. So if the billingState is equals to 'California' the output variable 'routingGateway' is set with gatewayA Id, otherwise with gatewayB Id.</x:v>
      </x:c>
    </x:row>
    <x:row r="2910" ht="30" customHeight="1">
      <x:c r="A2910" s="117" t="str">
        <x:v>Smart_Payment_Routing_Flow_Template</x:v>
      </x:c>
      <x:c r="B2910" s="117" t="str">
        <x:v>3005b00000113ONAAY</x:v>
      </x:c>
      <x:c r="C2910" s="117" t="str">
        <x:v>301Ro00000dVtmiIAC</x:v>
      </x:c>
      <x:c r="D2910" s="118" t="n">
        <x:v>2</x:v>
      </x:c>
      <x:c r="E2910" s="117" t="str">
        <x:v>Draft</x:v>
      </x:c>
      <x:c r="F2910" s="117" t="str">
        <x:v>No</x:v>
      </x:c>
      <x:c r="G2910" s="117" t="str">
        <x:v>Yes</x:v>
      </x:c>
      <x:c r="H2910" s="117" t="str">
        <x:v>AutoLaunchedFlow</x:v>
      </x:c>
      <x:c r="I2910" s="118" t="n">
        <x:v>63</x:v>
      </x:c>
      <x:c r="J2910" s="117" t="str">
        <x:v>installed</x:v>
      </x:c>
      <x:c r="K2910" s="123" t="b">
        <x:v>1</x:v>
      </x:c>
      <x:c r="L2910" s="117"/>
      <x:c r="M2910" s="118"/>
      <x:c r="N2910" s="120" t="n">
        <x:v>45839.923171296294</x:v>
      </x:c>
      <x:c r="O2910" s="117" t="str"/>
      <x:c r="P2910" s="120" t="n">
        <x:v>45839.92318287037</x:v>
      </x:c>
      <x:c r="Q2910" s="117" t="str"/>
      <x:c r="R2910" s="117" t="str">
        <x:v>Smart Payment Routing Flow Template</x:v>
      </x:c>
      <x:c r="S2910" s="119" t="str">
        <x:v>This template is provisioned with all the variables users can play with in order to create conditionals/decision elements to determine which gateway to use by any Chargent operation (except Charge-Authorized a.k.a. Capture). It also has a simple use case example where a gateway is determined according to the billingState. So if the billingState is equals to 'California' the output variable 'routingGateway' is set with gatewayA Id, otherwise with gatewayB Id.</x:v>
      </x:c>
    </x:row>
    <x:row r="2911" ht="30" customHeight="1">
      <x:c r="A2911" s="117" t="str">
        <x:v>Sourcing_Request_Assignment_Flow</x:v>
      </x:c>
      <x:c r="B2911" s="117" t="str">
        <x:v>300Ro00000QFaIkIAL</x:v>
      </x:c>
      <x:c r="C2911" s="117" t="str">
        <x:v>301Ro00000SvMN7IAN</x:v>
      </x:c>
      <x:c r="D2911" s="118" t="n">
        <x:v>1</x:v>
      </x:c>
      <x:c r="E2911" s="117" t="str">
        <x:v>Obsolete</x:v>
      </x:c>
      <x:c r="F2911" s="117" t="str">
        <x:v>No</x:v>
      </x:c>
      <x:c r="G2911" s="117" t="str">
        <x:v>No</x:v>
      </x:c>
      <x:c r="H2911" s="117" t="str">
        <x:v>AutoLaunchedFlow</x:v>
      </x:c>
      <x:c r="I2911" s="118" t="n">
        <x:v>62</x:v>
      </x:c>
      <x:c r="J2911" s="117" t="str">
        <x:v>unmanaged</x:v>
      </x:c>
      <x:c r="K2911" s="123" t="b">
        <x:v>0</x:v>
      </x:c>
      <x:c r="L2911" s="117"/>
      <x:c r="M2911" s="118"/>
      <x:c r="N2911" s="120" t="n">
        <x:v>45685.643541666665</x:v>
      </x:c>
      <x:c r="O2911" s="117" t="str">
        <x:v>Jace Gentil</x:v>
      </x:c>
      <x:c r="P2911" s="120" t="n">
        <x:v>45685.64597222222</x:v>
      </x:c>
      <x:c r="Q2911" s="117" t="str">
        <x:v>Jace Gentil</x:v>
      </x:c>
      <x:c r="R2911" s="117" t="str">
        <x:v>Sourcing Request Assignment Flow</x:v>
      </x:c>
      <x:c r="S2911" s="119"/>
    </x:row>
    <x:row r="2912" ht="30" customHeight="1">
      <x:c r="A2912" s="117" t="str">
        <x:v>Sourcing_Request_Assignment_Flow</x:v>
      </x:c>
      <x:c r="B2912" s="117" t="str">
        <x:v>300Ro00000QFaIkIAL</x:v>
      </x:c>
      <x:c r="C2912" s="117" t="str">
        <x:v>301Ro00000SvaBcIAJ</x:v>
      </x:c>
      <x:c r="D2912" s="118" t="n">
        <x:v>2</x:v>
      </x:c>
      <x:c r="E2912" s="117" t="str">
        <x:v>Obsolete</x:v>
      </x:c>
      <x:c r="F2912" s="117" t="str">
        <x:v>No</x:v>
      </x:c>
      <x:c r="G2912" s="117" t="str">
        <x:v>No</x:v>
      </x:c>
      <x:c r="H2912" s="117" t="str">
        <x:v>AutoLaunchedFlow</x:v>
      </x:c>
      <x:c r="I2912" s="118" t="n">
        <x:v>62</x:v>
      </x:c>
      <x:c r="J2912" s="117" t="str">
        <x:v>unmanaged</x:v>
      </x:c>
      <x:c r="K2912" s="123" t="b">
        <x:v>0</x:v>
      </x:c>
      <x:c r="L2912" s="117"/>
      <x:c r="M2912" s="118"/>
      <x:c r="N2912" s="120" t="n">
        <x:v>45685.67246527778</x:v>
      </x:c>
      <x:c r="O2912" s="117" t="str">
        <x:v>Jace Gentil</x:v>
      </x:c>
      <x:c r="P2912" s="120" t="n">
        <x:v>45685.672534722224</x:v>
      </x:c>
      <x:c r="Q2912" s="117" t="str">
        <x:v>Jace Gentil</x:v>
      </x:c>
      <x:c r="R2912" s="117" t="str">
        <x:v>Sourcing Request Assignment Flow</x:v>
      </x:c>
      <x:c r="S2912" s="119"/>
    </x:row>
    <x:row r="2913" ht="30" customHeight="1">
      <x:c r="A2913" s="117" t="str">
        <x:v>Sourcing_Request_Assignment_Flow</x:v>
      </x:c>
      <x:c r="B2913" s="117" t="str">
        <x:v>300Ro00000QFaIkIAL</x:v>
      </x:c>
      <x:c r="C2913" s="117" t="str">
        <x:v>301Ro00000SvOaIIAV</x:v>
      </x:c>
      <x:c r="D2913" s="118" t="n">
        <x:v>3</x:v>
      </x:c>
      <x:c r="E2913" s="117" t="str">
        <x:v>Obsolete</x:v>
      </x:c>
      <x:c r="F2913" s="117" t="str">
        <x:v>No</x:v>
      </x:c>
      <x:c r="G2913" s="117" t="str">
        <x:v>No</x:v>
      </x:c>
      <x:c r="H2913" s="117" t="str">
        <x:v>AutoLaunchedFlow</x:v>
      </x:c>
      <x:c r="I2913" s="118" t="n">
        <x:v>62</x:v>
      </x:c>
      <x:c r="J2913" s="117" t="str">
        <x:v>unmanaged</x:v>
      </x:c>
      <x:c r="K2913" s="123" t="b">
        <x:v>0</x:v>
      </x:c>
      <x:c r="L2913" s="117"/>
      <x:c r="M2913" s="118"/>
      <x:c r="N2913" s="120" t="n">
        <x:v>45685.673483796294</x:v>
      </x:c>
      <x:c r="O2913" s="117" t="str">
        <x:v>Jace Gentil</x:v>
      </x:c>
      <x:c r="P2913" s="120" t="n">
        <x:v>45685.67358796296</x:v>
      </x:c>
      <x:c r="Q2913" s="117" t="str">
        <x:v>Jace Gentil</x:v>
      </x:c>
      <x:c r="R2913" s="117" t="str">
        <x:v>Sourcing Request Assignment Flow</x:v>
      </x:c>
      <x:c r="S2913" s="119"/>
    </x:row>
    <x:row r="2914" ht="30" customHeight="1">
      <x:c r="A2914" s="117" t="str">
        <x:v>Sourcing_Request_Assignment_Flow</x:v>
      </x:c>
      <x:c r="B2914" s="117" t="str">
        <x:v>300Ro00000QFaIkIAL</x:v>
      </x:c>
      <x:c r="C2914" s="117" t="str">
        <x:v>301Ro00000SvaOXIAZ</x:v>
      </x:c>
      <x:c r="D2914" s="118" t="n">
        <x:v>4</x:v>
      </x:c>
      <x:c r="E2914" s="117" t="str">
        <x:v>Obsolete</x:v>
      </x:c>
      <x:c r="F2914" s="117" t="str">
        <x:v>No</x:v>
      </x:c>
      <x:c r="G2914" s="117" t="str">
        <x:v>No</x:v>
      </x:c>
      <x:c r="H2914" s="117" t="str">
        <x:v>AutoLaunchedFlow</x:v>
      </x:c>
      <x:c r="I2914" s="118" t="n">
        <x:v>62</x:v>
      </x:c>
      <x:c r="J2914" s="117" t="str">
        <x:v>unmanaged</x:v>
      </x:c>
      <x:c r="K2914" s="123" t="b">
        <x:v>0</x:v>
      </x:c>
      <x:c r="L2914" s="117"/>
      <x:c r="M2914" s="118"/>
      <x:c r="N2914" s="120" t="n">
        <x:v>45685.68174768519</x:v>
      </x:c>
      <x:c r="O2914" s="117" t="str">
        <x:v>Jace Gentil</x:v>
      </x:c>
      <x:c r="P2914" s="120" t="n">
        <x:v>45685.68181712963</x:v>
      </x:c>
      <x:c r="Q2914" s="117" t="str">
        <x:v>Jace Gentil</x:v>
      </x:c>
      <x:c r="R2914" s="117" t="str">
        <x:v>Sourcing Request Assignment Flow</x:v>
      </x:c>
      <x:c r="S2914" s="119"/>
    </x:row>
    <x:row r="2915" ht="30" customHeight="1">
      <x:c r="A2915" s="117" t="str">
        <x:v>Sourcing_Request_Assignment_Flow</x:v>
      </x:c>
      <x:c r="B2915" s="117" t="str">
        <x:v>300Ro00000QFaIkIAL</x:v>
      </x:c>
      <x:c r="C2915" s="117" t="str">
        <x:v>301Ro00000SvbfcIAB</x:v>
      </x:c>
      <x:c r="D2915" s="118" t="n">
        <x:v>5</x:v>
      </x:c>
      <x:c r="E2915" s="117" t="str">
        <x:v>Active</x:v>
      </x:c>
      <x:c r="F2915" s="117" t="str">
        <x:v>Yes</x:v>
      </x:c>
      <x:c r="G2915" s="117" t="str">
        <x:v>Yes</x:v>
      </x:c>
      <x:c r="H2915" s="117" t="str">
        <x:v>AutoLaunchedFlow</x:v>
      </x:c>
      <x:c r="I2915" s="118" t="n">
        <x:v>62</x:v>
      </x:c>
      <x:c r="J2915" s="117" t="str">
        <x:v>unmanaged</x:v>
      </x:c>
      <x:c r="K2915" s="123" t="b">
        <x:v>0</x:v>
      </x:c>
      <x:c r="L2915" s="117"/>
      <x:c r="M2915" s="118"/>
      <x:c r="N2915" s="120" t="n">
        <x:v>45685.692337962966</x:v>
      </x:c>
      <x:c r="O2915" s="117" t="str">
        <x:v>Jace Gentil</x:v>
      </x:c>
      <x:c r="P2915" s="120" t="n">
        <x:v>45685.69241898148</x:v>
      </x:c>
      <x:c r="Q2915" s="117" t="str">
        <x:v>Jace Gentil</x:v>
      </x:c>
      <x:c r="R2915" s="117" t="str">
        <x:v>Sourcing Request Assignment Flow</x:v>
      </x:c>
      <x:c r="S2915" s="119"/>
    </x:row>
    <x:row r="2916" ht="30" customHeight="1">
      <x:c r="A2916" s="117" t="str">
        <x:v>Sourcing_Request_Creation_Flow</x:v>
      </x:c>
      <x:c r="B2916" s="117" t="str">
        <x:v>300Ro00000J1noaIAB</x:v>
      </x:c>
      <x:c r="C2916" s="117" t="str">
        <x:v>301Ro00000KvCLyIAN</x:v>
      </x:c>
      <x:c r="D2916" s="118" t="n">
        <x:v>1</x:v>
      </x:c>
      <x:c r="E2916" s="117" t="str">
        <x:v>Obsolete</x:v>
      </x:c>
      <x:c r="F2916" s="117" t="str">
        <x:v>No</x:v>
      </x:c>
      <x:c r="G2916" s="117" t="str">
        <x:v>No</x:v>
      </x:c>
      <x:c r="H2916" s="117" t="str">
        <x:v>AutoLaunchedFlow</x:v>
      </x:c>
      <x:c r="I2916" s="118" t="n">
        <x:v>61</x:v>
      </x:c>
      <x:c r="J2916" s="117" t="str">
        <x:v>unmanaged</x:v>
      </x:c>
      <x:c r="K2916" s="123" t="b">
        <x:v>0</x:v>
      </x:c>
      <x:c r="L2916" s="117"/>
      <x:c r="M2916" s="118"/>
      <x:c r="N2916" s="120" t="n">
        <x:v>45547.470555555556</x:v>
      </x:c>
      <x:c r="O2916" s="117" t="str">
        <x:v>Jon Kean</x:v>
      </x:c>
      <x:c r="P2916" s="120" t="n">
        <x:v>45547.470625</x:v>
      </x:c>
      <x:c r="Q2916" s="117" t="str">
        <x:v>Jon Kean</x:v>
      </x:c>
      <x:c r="R2916" s="117" t="str">
        <x:v>Sourcing Request Creation Flow</x:v>
      </x:c>
      <x:c r="S2916" s="119" t="str">
        <x:v>A flow was created initially for Jacie's Sourcing requests for procurement to go to specific users.
Eventually, move the existing workflows into this flow.</x:v>
      </x:c>
    </x:row>
    <x:row r="2917" ht="30" customHeight="1">
      <x:c r="A2917" s="117" t="str">
        <x:v>Sourcing_Request_Creation_Flow</x:v>
      </x:c>
      <x:c r="B2917" s="117" t="str">
        <x:v>300Ro00000J1noaIAB</x:v>
      </x:c>
      <x:c r="C2917" s="117" t="str">
        <x:v>301Ro00000KvEE5IAN</x:v>
      </x:c>
      <x:c r="D2917" s="118" t="n">
        <x:v>2</x:v>
      </x:c>
      <x:c r="E2917" s="117" t="str">
        <x:v>Obsolete</x:v>
      </x:c>
      <x:c r="F2917" s="117" t="str">
        <x:v>No</x:v>
      </x:c>
      <x:c r="G2917" s="117" t="str">
        <x:v>No</x:v>
      </x:c>
      <x:c r="H2917" s="117" t="str">
        <x:v>AutoLaunchedFlow</x:v>
      </x:c>
      <x:c r="I2917" s="118" t="n">
        <x:v>61</x:v>
      </x:c>
      <x:c r="J2917" s="117" t="str">
        <x:v>unmanaged</x:v>
      </x:c>
      <x:c r="K2917" s="123" t="b">
        <x:v>0</x:v>
      </x:c>
      <x:c r="L2917" s="117"/>
      <x:c r="M2917" s="118"/>
      <x:c r="N2917" s="120" t="n">
        <x:v>45547.48153935185</x:v>
      </x:c>
      <x:c r="O2917" s="117" t="str">
        <x:v>Jon Kean</x:v>
      </x:c>
      <x:c r="P2917" s="120" t="n">
        <x:v>45547.48175925926</x:v>
      </x:c>
      <x:c r="Q2917" s="117" t="str">
        <x:v>Jon Kean</x:v>
      </x:c>
      <x:c r="R2917" s="117" t="str">
        <x:v>Sourcing Request Creation Flow</x:v>
      </x:c>
      <x:c r="S2917" s="119" t="str">
        <x:v>A flow was created initially for Jacie's Sourcing requests for procurement to go to specific users.
Eventually, move the existing workflows into this flow.</x:v>
      </x:c>
    </x:row>
    <x:row r="2918" ht="30" customHeight="1">
      <x:c r="A2918" s="117" t="str">
        <x:v>Sourcing_Request_Creation_Flow</x:v>
      </x:c>
      <x:c r="B2918" s="117" t="str">
        <x:v>300Ro00000J1noaIAB</x:v>
      </x:c>
      <x:c r="C2918" s="117" t="str">
        <x:v>301Ro00000KzeY5IAJ</x:v>
      </x:c>
      <x:c r="D2918" s="118" t="n">
        <x:v>3</x:v>
      </x:c>
      <x:c r="E2918" s="117" t="str">
        <x:v>Obsolete</x:v>
      </x:c>
      <x:c r="F2918" s="117" t="str">
        <x:v>No</x:v>
      </x:c>
      <x:c r="G2918" s="117" t="str">
        <x:v>No</x:v>
      </x:c>
      <x:c r="H2918" s="117" t="str">
        <x:v>AutoLaunchedFlow</x:v>
      </x:c>
      <x:c r="I2918" s="118" t="n">
        <x:v>61</x:v>
      </x:c>
      <x:c r="J2918" s="117" t="str">
        <x:v>unmanaged</x:v>
      </x:c>
      <x:c r="K2918" s="123" t="b">
        <x:v>0</x:v>
      </x:c>
      <x:c r="L2918" s="117"/>
      <x:c r="M2918" s="118"/>
      <x:c r="N2918" s="120" t="n">
        <x:v>45548.367627314816</x:v>
      </x:c>
      <x:c r="O2918" s="117" t="str">
        <x:v>Jon Kean</x:v>
      </x:c>
      <x:c r="P2918" s="120" t="n">
        <x:v>45548.36766203704</x:v>
      </x:c>
      <x:c r="Q2918" s="117" t="str">
        <x:v>Jon Kean</x:v>
      </x:c>
      <x:c r="R2918" s="117" t="str">
        <x:v>Sourcing Request Creation Flow</x:v>
      </x:c>
      <x:c r="S2918" s="119" t="str">
        <x:v>A flow was created initially for Jacie's Sourcing requests for procurement to go to specific users.
Eventually, move the existing workflows into this flow.</x:v>
      </x:c>
    </x:row>
    <x:row r="2919" ht="30" customHeight="1">
      <x:c r="A2919" s="117" t="str">
        <x:v>Sourcing_Request_Creation_Flow</x:v>
      </x:c>
      <x:c r="B2919" s="117" t="str">
        <x:v>300Ro00000J1noaIAB</x:v>
      </x:c>
      <x:c r="C2919" s="117" t="str">
        <x:v>301Ro00000Kza6JIAR</x:v>
      </x:c>
      <x:c r="D2919" s="118" t="n">
        <x:v>4</x:v>
      </x:c>
      <x:c r="E2919" s="117" t="str">
        <x:v>Obsolete</x:v>
      </x:c>
      <x:c r="F2919" s="117" t="str">
        <x:v>No</x:v>
      </x:c>
      <x:c r="G2919" s="117" t="str">
        <x:v>No</x:v>
      </x:c>
      <x:c r="H2919" s="117" t="str">
        <x:v>AutoLaunchedFlow</x:v>
      </x:c>
      <x:c r="I2919" s="118" t="n">
        <x:v>61</x:v>
      </x:c>
      <x:c r="J2919" s="117" t="str">
        <x:v>unmanaged</x:v>
      </x:c>
      <x:c r="K2919" s="123" t="b">
        <x:v>0</x:v>
      </x:c>
      <x:c r="L2919" s="117"/>
      <x:c r="M2919" s="118"/>
      <x:c r="N2919" s="120" t="n">
        <x:v>45548.37721064815</x:v>
      </x:c>
      <x:c r="O2919" s="117" t="str">
        <x:v>Jon Kean</x:v>
      </x:c>
      <x:c r="P2919" s="120" t="n">
        <x:v>45548.377280092594</x:v>
      </x:c>
      <x:c r="Q2919" s="117" t="str">
        <x:v>Jon Kean</x:v>
      </x:c>
      <x:c r="R2919" s="117" t="str">
        <x:v>Sourcing Request Creation Flow</x:v>
      </x:c>
      <x:c r="S2919" s="119" t="str">
        <x:v>A flow was created initially for Jacie's Sourcing requests for procurement to go to specific users.
Eventually, move the existing workflows into this flow.</x:v>
      </x:c>
    </x:row>
    <x:row r="2920" ht="30" customHeight="1">
      <x:c r="A2920" s="117" t="str">
        <x:v>Sourcing_Request_Creation_Flow</x:v>
      </x:c>
      <x:c r="B2920" s="117" t="str">
        <x:v>300Ro00000J1noaIAB</x:v>
      </x:c>
      <x:c r="C2920" s="117" t="str">
        <x:v>301Ro00000Lfpc7IAB</x:v>
      </x:c>
      <x:c r="D2920" s="118" t="n">
        <x:v>5</x:v>
      </x:c>
      <x:c r="E2920" s="117" t="str">
        <x:v>Obsolete</x:v>
      </x:c>
      <x:c r="F2920" s="117" t="str">
        <x:v>No</x:v>
      </x:c>
      <x:c r="G2920" s="117" t="str">
        <x:v>No</x:v>
      </x:c>
      <x:c r="H2920" s="117" t="str">
        <x:v>AutoLaunchedFlow</x:v>
      </x:c>
      <x:c r="I2920" s="118" t="n">
        <x:v>61</x:v>
      </x:c>
      <x:c r="J2920" s="117" t="str">
        <x:v>unmanaged</x:v>
      </x:c>
      <x:c r="K2920" s="123" t="b">
        <x:v>0</x:v>
      </x:c>
      <x:c r="L2920" s="117"/>
      <x:c r="M2920" s="118"/>
      <x:c r="N2920" s="120" t="n">
        <x:v>45559.64068287037</x:v>
      </x:c>
      <x:c r="O2920" s="117" t="str">
        <x:v>Jon Kean</x:v>
      </x:c>
      <x:c r="P2920" s="120" t="n">
        <x:v>45562.608194444445</x:v>
      </x:c>
      <x:c r="Q2920" s="117" t="str">
        <x:v>Jon Kean</x:v>
      </x:c>
      <x:c r="R2920" s="117" t="str">
        <x:v>Sourcing Request Creation Flow</x:v>
      </x:c>
      <x:c r="S2920" s="119" t="str">
        <x:v>A flow was created initially for Jacie's Sourcing requests for procurement to go to specific users.
Eventually, move the existing workflows into this flow.</x:v>
      </x:c>
    </x:row>
    <x:row r="2921" ht="30" customHeight="1">
      <x:c r="A2921" s="117" t="str">
        <x:v>Sourcing_Request_Creation_Flow</x:v>
      </x:c>
      <x:c r="B2921" s="117" t="str">
        <x:v>300Ro00000J1noaIAB</x:v>
      </x:c>
      <x:c r="C2921" s="117" t="str">
        <x:v>301Ro00000MFrVeIAL</x:v>
      </x:c>
      <x:c r="D2921" s="118" t="n">
        <x:v>6</x:v>
      </x:c>
      <x:c r="E2921" s="117" t="str">
        <x:v>InvalidDraft</x:v>
      </x:c>
      <x:c r="F2921" s="117" t="str">
        <x:v>No</x:v>
      </x:c>
      <x:c r="G2921" s="117" t="str">
        <x:v>Yes</x:v>
      </x:c>
      <x:c r="H2921" s="117" t="str">
        <x:v>AutoLaunchedFlow</x:v>
      </x:c>
      <x:c r="I2921" s="118" t="n">
        <x:v>61</x:v>
      </x:c>
      <x:c r="J2921" s="117" t="str">
        <x:v>unmanaged</x:v>
      </x:c>
      <x:c r="K2921" s="123" t="b">
        <x:v>0</x:v>
      </x:c>
      <x:c r="L2921" s="117"/>
      <x:c r="M2921" s="118"/>
      <x:c r="N2921" s="120" t="n">
        <x:v>45568.636516203704</x:v>
      </x:c>
      <x:c r="O2921" s="117" t="str">
        <x:v>Jon Kean</x:v>
      </x:c>
      <x:c r="P2921" s="120" t="n">
        <x:v>45568.63652777778</x:v>
      </x:c>
      <x:c r="Q2921" s="117" t="str">
        <x:v>Jon Kean</x:v>
      </x:c>
      <x:c r="R2921" s="117" t="str">
        <x:v>Sourcing Request Creation Flow</x:v>
      </x:c>
      <x:c r="S2921" s="119" t="str">
        <x:v>A flow was created initially for Jacie's Sourcing requests for procurement to go to specific users.
Eventually, move the existing workflows into this flow.</x:v>
      </x:c>
    </x:row>
    <x:row r="2922" ht="30" customHeight="1">
      <x:c r="A2922" s="117" t="str">
        <x:v>Sourcing_Request_Field_Updates_Flow</x:v>
      </x:c>
      <x:c r="B2922" s="117" t="str">
        <x:v>3005b000000LJREAA4</x:v>
      </x:c>
      <x:c r="C2922" s="117" t="str">
        <x:v>3015b000000APkjAAG</x:v>
      </x:c>
      <x:c r="D2922" s="118" t="n">
        <x:v>1</x:v>
      </x:c>
      <x:c r="E2922" s="117" t="str">
        <x:v>Obsolete</x:v>
      </x:c>
      <x:c r="F2922" s="117" t="str">
        <x:v>No</x:v>
      </x:c>
      <x:c r="G2922" s="117" t="str">
        <x:v>No</x:v>
      </x:c>
      <x:c r="H2922" s="117" t="str">
        <x:v>AutoLaunchedFlow</x:v>
      </x:c>
      <x:c r="I2922" s="118" t="n">
        <x:v>58</x:v>
      </x:c>
      <x:c r="J2922" s="117" t="str">
        <x:v>unmanaged</x:v>
      </x:c>
      <x:c r="K2922" s="123" t="b">
        <x:v>0</x:v>
      </x:c>
      <x:c r="L2922" s="117"/>
      <x:c r="M2922" s="118"/>
      <x:c r="N2922" s="120" t="n">
        <x:v>45146.43503472222</x:v>
      </x:c>
      <x:c r="O2922" s="117" t="str">
        <x:v>Jace Gentil</x:v>
      </x:c>
      <x:c r="P2922" s="120" t="n">
        <x:v>45146.43518518518</x:v>
      </x:c>
      <x:c r="Q2922" s="117" t="str">
        <x:v>Jace Gentil</x:v>
      </x:c>
      <x:c r="R2922" s="117" t="str">
        <x:v>Sourcing Request Field Updates Flow</x:v>
      </x:c>
      <x:c r="S2922" s="119"/>
    </x:row>
    <x:row r="2923" ht="30" customHeight="1">
      <x:c r="A2923" s="117" t="str">
        <x:v>Sourcing_Request_Field_Updates_Flow</x:v>
      </x:c>
      <x:c r="B2923" s="117" t="str">
        <x:v>3005b000000LJREAA4</x:v>
      </x:c>
      <x:c r="C2923" s="117" t="str">
        <x:v>301Ro00000U2G7VIAV</x:v>
      </x:c>
      <x:c r="D2923" s="118" t="n">
        <x:v>2</x:v>
      </x:c>
      <x:c r="E2923" s="117" t="str">
        <x:v>Obsolete</x:v>
      </x:c>
      <x:c r="F2923" s="117" t="str">
        <x:v>No</x:v>
      </x:c>
      <x:c r="G2923" s="117" t="str">
        <x:v>No</x:v>
      </x:c>
      <x:c r="H2923" s="117" t="str">
        <x:v>AutoLaunchedFlow</x:v>
      </x:c>
      <x:c r="I2923" s="118" t="n">
        <x:v>58</x:v>
      </x:c>
      <x:c r="J2923" s="117" t="str">
        <x:v>unmanaged</x:v>
      </x:c>
      <x:c r="K2923" s="123" t="b">
        <x:v>0</x:v>
      </x:c>
      <x:c r="L2923" s="117"/>
      <x:c r="M2923" s="118"/>
      <x:c r="N2923" s="120" t="n">
        <x:v>45702.59243055555</x:v>
      </x:c>
      <x:c r="O2923" s="117" t="str">
        <x:v>Delegate</x:v>
      </x:c>
      <x:c r="P2923" s="120" t="n">
        <x:v>45702.60420138889</x:v>
      </x:c>
      <x:c r="Q2923" s="117" t="str">
        <x:v>Delegate</x:v>
      </x:c>
      <x:c r="R2923" s="117" t="str">
        <x:v>Sourcing Request Field Updates Flow</x:v>
      </x:c>
      <x:c r="S2923" s="119" t="str">
        <x:v>02/13/2025 (BW) - Added system which updates the status when the parts have arrived</x:v>
      </x:c>
    </x:row>
    <x:row r="2924" ht="30" customHeight="1">
      <x:c r="A2924" s="117" t="str">
        <x:v>Sourcing_Request_Field_Updates_Flow</x:v>
      </x:c>
      <x:c r="B2924" s="117" t="str">
        <x:v>3005b000000LJREAA4</x:v>
      </x:c>
      <x:c r="C2924" s="117" t="str">
        <x:v>301Ro00000aAJ1RIAW</x:v>
      </x:c>
      <x:c r="D2924" s="118" t="n">
        <x:v>3</x:v>
      </x:c>
      <x:c r="E2924" s="117" t="str">
        <x:v>Obsolete</x:v>
      </x:c>
      <x:c r="F2924" s="117" t="str">
        <x:v>No</x:v>
      </x:c>
      <x:c r="G2924" s="117" t="str">
        <x:v>No</x:v>
      </x:c>
      <x:c r="H2924" s="117" t="str">
        <x:v>AutoLaunchedFlow</x:v>
      </x:c>
      <x:c r="I2924" s="118" t="n">
        <x:v>58</x:v>
      </x:c>
      <x:c r="J2924" s="117" t="str">
        <x:v>unmanaged</x:v>
      </x:c>
      <x:c r="K2924" s="123" t="b">
        <x:v>0</x:v>
      </x:c>
      <x:c r="L2924" s="117"/>
      <x:c r="M2924" s="118"/>
      <x:c r="N2924" s="120" t="n">
        <x:v>45810.33804398148</x:v>
      </x:c>
      <x:c r="O2924" s="117" t="str">
        <x:v>Sacha Pearce</x:v>
      </x:c>
      <x:c r="P2924" s="120" t="n">
        <x:v>45810.338125</x:v>
      </x:c>
      <x:c r="Q2924" s="117" t="str">
        <x:v>Sacha Pearce</x:v>
      </x:c>
      <x:c r="R2924" s="117" t="str">
        <x:v>Sourcing Request Field Updates Flow</x:v>
      </x:c>
      <x:c r="S2924" s="119" t="str">
        <x:v>02/13/2025 (BW) - Added system which updates the status when the parts have arrived
06/02/2025 (SP) - Amended the Not Missing POs Set Service Appointment to Update Assigment Element to change the Service Appointment Status to Internal instead of Awaiting Parts. This has been requested on Cases 00008211 and 0008370.</x:v>
      </x:c>
    </x:row>
    <x:row r="2925" ht="30" customHeight="1">
      <x:c r="A2925" s="117" t="str">
        <x:v>Sourcing_Request_Field_Updates_Flow</x:v>
      </x:c>
      <x:c r="B2925" s="117" t="str">
        <x:v>3005b000000LJREAA4</x:v>
      </x:c>
      <x:c r="C2925" s="117" t="str">
        <x:v>301Ro00000dk7rJIAQ</x:v>
      </x:c>
      <x:c r="D2925" s="118" t="n">
        <x:v>4</x:v>
      </x:c>
      <x:c r="E2925" s="117" t="str">
        <x:v>Obsolete</x:v>
      </x:c>
      <x:c r="F2925" s="117" t="str">
        <x:v>No</x:v>
      </x:c>
      <x:c r="G2925" s="117" t="str">
        <x:v>No</x:v>
      </x:c>
      <x:c r="H2925" s="117" t="str">
        <x:v>AutoLaunchedFlow</x:v>
      </x:c>
      <x:c r="I2925" s="118" t="n">
        <x:v>58</x:v>
      </x:c>
      <x:c r="J2925" s="117" t="str">
        <x:v>unmanaged</x:v>
      </x:c>
      <x:c r="K2925" s="123" t="b">
        <x:v>0</x:v>
      </x:c>
      <x:c r="L2925" s="117"/>
      <x:c r="M2925" s="118"/>
      <x:c r="N2925" s="120" t="n">
        <x:v>45841.82202546296</x:v>
      </x:c>
      <x:c r="O2925" s="117" t="str">
        <x:v>Sacha Pearce</x:v>
      </x:c>
      <x:c r="P2925" s="120" t="n">
        <x:v>45841.82212962963</x:v>
      </x:c>
      <x:c r="Q2925" s="117" t="str">
        <x:v>Sacha Pearce</x:v>
      </x:c>
      <x:c r="R2925" s="117" t="str">
        <x:v>Sourcing Request Field Updates Flow</x:v>
      </x:c>
      <x:c r="S2925" s="119" t="str">
        <x:v>02/13/2025 (BW) - Added system which updates the status when the parts have arrived
06/02/2025 (SP) - Amended the Not Missing POs Set Service Appointment to Update Assigment Element to change the Service Appointment Status to Internal instead of Awaiting Parts. This has been requested on Cases 00008211 and 0008370.
03/07/2025- (SP) - Removing everything under the Purchasing Opportunity Added Check Decision to leave just the elements following the Assigned Asset Changed Decision - Rollback Flow is V3</x:v>
      </x:c>
    </x:row>
    <x:row r="2926" ht="30" customHeight="1">
      <x:c r="A2926" s="117" t="str">
        <x:v>Sourcing_Request_Field_Updates_Flow</x:v>
      </x:c>
      <x:c r="B2926" s="117" t="str">
        <x:v>3005b000000LJREAA4</x:v>
      </x:c>
      <x:c r="C2926" s="117" t="str">
        <x:v>301Ro00000pMwJLIA0</x:v>
      </x:c>
      <x:c r="D2926" s="118" t="n">
        <x:v>5</x:v>
      </x:c>
      <x:c r="E2926" s="117" t="str">
        <x:v>Obsolete</x:v>
      </x:c>
      <x:c r="F2926" s="117" t="str">
        <x:v>No</x:v>
      </x:c>
      <x:c r="G2926" s="117" t="str">
        <x:v>Yes</x:v>
      </x:c>
      <x:c r="H2926" s="117" t="str">
        <x:v>AutoLaunchedFlow</x:v>
      </x:c>
      <x:c r="I2926" s="118" t="n">
        <x:v>58</x:v>
      </x:c>
      <x:c r="J2926" s="117" t="str">
        <x:v>unmanaged</x:v>
      </x:c>
      <x:c r="K2926" s="123" t="b">
        <x:v>0</x:v>
      </x:c>
      <x:c r="L2926" s="117"/>
      <x:c r="M2926" s="118"/>
      <x:c r="N2926" s="120" t="n">
        <x:v>45944.61620370371</x:v>
      </x:c>
      <x:c r="O2926" s="117" t="str">
        <x:v>Sacha Pearce</x:v>
      </x:c>
      <x:c r="P2926" s="120" t="n">
        <x:v>46058.37422453704</x:v>
      </x:c>
      <x:c r="Q2926" s="117" t="str">
        <x:v>Sacha Pearce</x:v>
      </x:c>
      <x:c r="R2926" s="117" t="str">
        <x:v>Sourcing Request Field Updates Flow</x:v>
      </x:c>
      <x:c r="S2926" s="119" t="str">
        <x:v>02/13/2025 (BW) - Added system which updates the status when the parts have arrived
06/02/2025 (SP) - Amended the Not Missing POs Set Service Appointment to Update Assigment Element to change the Service Appointment Status to Internal instead of Awaiting Parts. This has been requested on Cases 00008211 and 0008370.
03/07/2025- (SP) - Removing everything under the Purchasing Opportunity Added Check Decision to leave just the elements following the Assigned Asset Changed Decision - Rollback Flow is V3
10/14/2025 - (SP) Updating the vatServiceAppointmentToUpdate's status assignment to equal "Interntal. This can be found in the Set Service Appointment to Update element.</x:v>
      </x:c>
    </x:row>
    <x:row r="2927" ht="30" customHeight="1">
      <x:c r="A2927" s="117" t="str">
        <x:v>Sourcing_Request_from_Work_Order</x:v>
      </x:c>
      <x:c r="B2927" s="117" t="str">
        <x:v>3005b000000H3qKAAS</x:v>
      </x:c>
      <x:c r="C2927" s="117" t="str">
        <x:v>3015b000000EJr0AAG</x:v>
      </x:c>
      <x:c r="D2927" s="118" t="n">
        <x:v>1</x:v>
      </x:c>
      <x:c r="E2927" s="117" t="str">
        <x:v>Obsolete</x:v>
      </x:c>
      <x:c r="F2927" s="117" t="str">
        <x:v>No</x:v>
      </x:c>
      <x:c r="G2927" s="117" t="str">
        <x:v>No</x:v>
      </x:c>
      <x:c r="H2927" s="117" t="str">
        <x:v>Flow</x:v>
      </x:c>
      <x:c r="I2927" s="118" t="n">
        <x:v>54</x:v>
      </x:c>
      <x:c r="J2927" s="117" t="str">
        <x:v>unmanaged</x:v>
      </x:c>
      <x:c r="K2927" s="123" t="b">
        <x:v>0</x:v>
      </x:c>
      <x:c r="L2927" s="117"/>
      <x:c r="M2927" s="118"/>
      <x:c r="N2927" s="120" t="n">
        <x:v>44700.922800925924</x:v>
      </x:c>
      <x:c r="O2927" s="117" t="str">
        <x:v>Jace Gentil</x:v>
      </x:c>
      <x:c r="P2927" s="120" t="n">
        <x:v>44701.352175925924</x:v>
      </x:c>
      <x:c r="Q2927" s="117" t="str">
        <x:v>Jace Gentil</x:v>
      </x:c>
      <x:c r="R2927" s="117" t="str">
        <x:v>Sourcing Request from Work Order - UK</x:v>
      </x:c>
      <x:c r="S2927" s="119"/>
    </x:row>
    <x:row r="2928" ht="30" customHeight="1">
      <x:c r="A2928" s="117" t="str">
        <x:v>Sourcing_Request_from_Work_Order</x:v>
      </x:c>
      <x:c r="B2928" s="117" t="str">
        <x:v>3005b000000H3qKAAS</x:v>
      </x:c>
      <x:c r="C2928" s="117" t="str">
        <x:v>3015b000000EJrFAAW</x:v>
      </x:c>
      <x:c r="D2928" s="118" t="n">
        <x:v>2</x:v>
      </x:c>
      <x:c r="E2928" s="117" t="str">
        <x:v>Obsolete</x:v>
      </x:c>
      <x:c r="F2928" s="117" t="str">
        <x:v>No</x:v>
      </x:c>
      <x:c r="G2928" s="117" t="str">
        <x:v>No</x:v>
      </x:c>
      <x:c r="H2928" s="117" t="str">
        <x:v>Flow</x:v>
      </x:c>
      <x:c r="I2928" s="118" t="n">
        <x:v>54</x:v>
      </x:c>
      <x:c r="J2928" s="117" t="str">
        <x:v>unmanaged</x:v>
      </x:c>
      <x:c r="K2928" s="123" t="b">
        <x:v>0</x:v>
      </x:c>
      <x:c r="L2928" s="117"/>
      <x:c r="M2928" s="118"/>
      <x:c r="N2928" s="120" t="n">
        <x:v>44701.455405092594</x:v>
      </x:c>
      <x:c r="O2928" s="117" t="str">
        <x:v>Jace Gentil</x:v>
      </x:c>
      <x:c r="P2928" s="120" t="n">
        <x:v>44701.45545138889</x:v>
      </x:c>
      <x:c r="Q2928" s="117" t="str">
        <x:v>Jace Gentil</x:v>
      </x:c>
      <x:c r="R2928" s="117" t="str">
        <x:v>Sourcing Request from Work Order - UK</x:v>
      </x:c>
      <x:c r="S2928" s="119"/>
    </x:row>
    <x:row r="2929" ht="30" customHeight="1">
      <x:c r="A2929" s="117" t="str">
        <x:v>Sourcing_Request_from_Work_Order</x:v>
      </x:c>
      <x:c r="B2929" s="117" t="str">
        <x:v>3005b000000H3qKAAS</x:v>
      </x:c>
      <x:c r="C2929" s="117" t="str">
        <x:v>3015b000000EJrKAAW</x:v>
      </x:c>
      <x:c r="D2929" s="118" t="n">
        <x:v>3</x:v>
      </x:c>
      <x:c r="E2929" s="117" t="str">
        <x:v>Draft</x:v>
      </x:c>
      <x:c r="F2929" s="117" t="str">
        <x:v>No</x:v>
      </x:c>
      <x:c r="G2929" s="117" t="str">
        <x:v>No</x:v>
      </x:c>
      <x:c r="H2929" s="117" t="str">
        <x:v>Flow</x:v>
      </x:c>
      <x:c r="I2929" s="118" t="n">
        <x:v>54</x:v>
      </x:c>
      <x:c r="J2929" s="117" t="str">
        <x:v>unmanaged</x:v>
      </x:c>
      <x:c r="K2929" s="123" t="b">
        <x:v>0</x:v>
      </x:c>
      <x:c r="L2929" s="117"/>
      <x:c r="M2929" s="118"/>
      <x:c r="N2929" s="120" t="n">
        <x:v>44701.47185185185</x:v>
      </x:c>
      <x:c r="O2929" s="117" t="str">
        <x:v>Jace Gentil</x:v>
      </x:c>
      <x:c r="P2929" s="120" t="n">
        <x:v>44701.471875</x:v>
      </x:c>
      <x:c r="Q2929" s="117" t="str">
        <x:v>Jace Gentil</x:v>
      </x:c>
      <x:c r="R2929" s="117" t="str">
        <x:v>Sourcing Request from Work Order - UK</x:v>
      </x:c>
      <x:c r="S2929" s="119"/>
    </x:row>
    <x:row r="2930" ht="30" customHeight="1">
      <x:c r="A2930" s="117" t="str">
        <x:v>Sourcing_Request_from_Work_Order</x:v>
      </x:c>
      <x:c r="B2930" s="117" t="str">
        <x:v>3005b000000H3qKAAS</x:v>
      </x:c>
      <x:c r="C2930" s="117" t="str">
        <x:v>3015b000000EJrLAAW</x:v>
      </x:c>
      <x:c r="D2930" s="118" t="n">
        <x:v>4</x:v>
      </x:c>
      <x:c r="E2930" s="117" t="str">
        <x:v>Obsolete</x:v>
      </x:c>
      <x:c r="F2930" s="117" t="str">
        <x:v>No</x:v>
      </x:c>
      <x:c r="G2930" s="117" t="str">
        <x:v>No</x:v>
      </x:c>
      <x:c r="H2930" s="117" t="str">
        <x:v>Flow</x:v>
      </x:c>
      <x:c r="I2930" s="118" t="n">
        <x:v>54</x:v>
      </x:c>
      <x:c r="J2930" s="117" t="str">
        <x:v>unmanaged</x:v>
      </x:c>
      <x:c r="K2930" s="123" t="b">
        <x:v>0</x:v>
      </x:c>
      <x:c r="L2930" s="117"/>
      <x:c r="M2930" s="118"/>
      <x:c r="N2930" s="120" t="n">
        <x:v>44701.47325231481</x:v>
      </x:c>
      <x:c r="O2930" s="117" t="str">
        <x:v>Jace Gentil</x:v>
      </x:c>
      <x:c r="P2930" s="120" t="n">
        <x:v>44701.473275462966</x:v>
      </x:c>
      <x:c r="Q2930" s="117" t="str">
        <x:v>Jace Gentil</x:v>
      </x:c>
      <x:c r="R2930" s="117" t="str">
        <x:v>Sourcing Request from Work Order - UK</x:v>
      </x:c>
      <x:c r="S2930" s="119"/>
    </x:row>
    <x:row r="2931" ht="30" customHeight="1">
      <x:c r="A2931" s="117" t="str">
        <x:v>Sourcing_Request_from_Work_Order</x:v>
      </x:c>
      <x:c r="B2931" s="117" t="str">
        <x:v>3005b000000H3qKAAS</x:v>
      </x:c>
      <x:c r="C2931" s="117" t="str">
        <x:v>3015b000000EJrPAAW</x:v>
      </x:c>
      <x:c r="D2931" s="118" t="n">
        <x:v>5</x:v>
      </x:c>
      <x:c r="E2931" s="117" t="str">
        <x:v>Obsolete</x:v>
      </x:c>
      <x:c r="F2931" s="117" t="str">
        <x:v>No</x:v>
      </x:c>
      <x:c r="G2931" s="117" t="str">
        <x:v>No</x:v>
      </x:c>
      <x:c r="H2931" s="117" t="str">
        <x:v>Flow</x:v>
      </x:c>
      <x:c r="I2931" s="118" t="n">
        <x:v>54</x:v>
      </x:c>
      <x:c r="J2931" s="117" t="str">
        <x:v>unmanaged</x:v>
      </x:c>
      <x:c r="K2931" s="123" t="b">
        <x:v>0</x:v>
      </x:c>
      <x:c r="L2931" s="117"/>
      <x:c r="M2931" s="118"/>
      <x:c r="N2931" s="120" t="n">
        <x:v>44701.47636574074</x:v>
      </x:c>
      <x:c r="O2931" s="117" t="str">
        <x:v>Jace Gentil</x:v>
      </x:c>
      <x:c r="P2931" s="120" t="n">
        <x:v>44701.47640046296</x:v>
      </x:c>
      <x:c r="Q2931" s="117" t="str">
        <x:v>Jace Gentil</x:v>
      </x:c>
      <x:c r="R2931" s="117" t="str">
        <x:v>Sourcing Request from Work Order - UK</x:v>
      </x:c>
      <x:c r="S2931" s="119"/>
    </x:row>
    <x:row r="2932" ht="30" customHeight="1">
      <x:c r="A2932" s="117" t="str">
        <x:v>Sourcing_Request_from_Work_Order</x:v>
      </x:c>
      <x:c r="B2932" s="117" t="str">
        <x:v>3005b000000H3qKAAS</x:v>
      </x:c>
      <x:c r="C2932" s="117" t="str">
        <x:v>3015b000000EJryAAG</x:v>
      </x:c>
      <x:c r="D2932" s="118" t="n">
        <x:v>6</x:v>
      </x:c>
      <x:c r="E2932" s="117" t="str">
        <x:v>Obsolete</x:v>
      </x:c>
      <x:c r="F2932" s="117" t="str">
        <x:v>No</x:v>
      </x:c>
      <x:c r="G2932" s="117" t="str">
        <x:v>No</x:v>
      </x:c>
      <x:c r="H2932" s="117" t="str">
        <x:v>Flow</x:v>
      </x:c>
      <x:c r="I2932" s="118" t="n">
        <x:v>54</x:v>
      </x:c>
      <x:c r="J2932" s="117" t="str">
        <x:v>unmanaged</x:v>
      </x:c>
      <x:c r="K2932" s="123" t="b">
        <x:v>0</x:v>
      </x:c>
      <x:c r="L2932" s="117"/>
      <x:c r="M2932" s="118"/>
      <x:c r="N2932" s="120" t="n">
        <x:v>44701.51047453703</x:v>
      </x:c>
      <x:c r="O2932" s="117" t="str">
        <x:v>Jace Gentil</x:v>
      </x:c>
      <x:c r="P2932" s="120" t="n">
        <x:v>44701.51050925926</x:v>
      </x:c>
      <x:c r="Q2932" s="117" t="str">
        <x:v>Jace Gentil</x:v>
      </x:c>
      <x:c r="R2932" s="117" t="str">
        <x:v>Sourcing Request from Work Order - UK</x:v>
      </x:c>
      <x:c r="S2932" s="119"/>
    </x:row>
    <x:row r="2933" ht="30" customHeight="1">
      <x:c r="A2933" s="117" t="str">
        <x:v>Sourcing_Request_from_Work_Order</x:v>
      </x:c>
      <x:c r="B2933" s="117" t="str">
        <x:v>3005b000000H3qKAAS</x:v>
      </x:c>
      <x:c r="C2933" s="117" t="str">
        <x:v>3015b000000EJs8AAG</x:v>
      </x:c>
      <x:c r="D2933" s="118" t="n">
        <x:v>7</x:v>
      </x:c>
      <x:c r="E2933" s="117" t="str">
        <x:v>Obsolete</x:v>
      </x:c>
      <x:c r="F2933" s="117" t="str">
        <x:v>No</x:v>
      </x:c>
      <x:c r="G2933" s="117" t="str">
        <x:v>No</x:v>
      </x:c>
      <x:c r="H2933" s="117" t="str">
        <x:v>Flow</x:v>
      </x:c>
      <x:c r="I2933" s="118" t="n">
        <x:v>54</x:v>
      </x:c>
      <x:c r="J2933" s="117" t="str">
        <x:v>unmanaged</x:v>
      </x:c>
      <x:c r="K2933" s="123" t="b">
        <x:v>0</x:v>
      </x:c>
      <x:c r="L2933" s="117"/>
      <x:c r="M2933" s="118"/>
      <x:c r="N2933" s="120" t="n">
        <x:v>44701.51148148148</x:v>
      </x:c>
      <x:c r="O2933" s="117" t="str">
        <x:v>Jace Gentil</x:v>
      </x:c>
      <x:c r="P2933" s="120" t="n">
        <x:v>44701.51150462963</x:v>
      </x:c>
      <x:c r="Q2933" s="117" t="str">
        <x:v>Jace Gentil</x:v>
      </x:c>
      <x:c r="R2933" s="117" t="str">
        <x:v>Sourcing Request from Work Order - UK</x:v>
      </x:c>
      <x:c r="S2933" s="119"/>
    </x:row>
    <x:row r="2934" ht="30" customHeight="1">
      <x:c r="A2934" s="117" t="str">
        <x:v>Sourcing_Request_from_Work_Order</x:v>
      </x:c>
      <x:c r="B2934" s="117" t="str">
        <x:v>3005b000000H3qKAAS</x:v>
      </x:c>
      <x:c r="C2934" s="117" t="str">
        <x:v>3015b000000EK3aAAG</x:v>
      </x:c>
      <x:c r="D2934" s="118" t="n">
        <x:v>8</x:v>
      </x:c>
      <x:c r="E2934" s="117" t="str">
        <x:v>Obsolete</x:v>
      </x:c>
      <x:c r="F2934" s="117" t="str">
        <x:v>No</x:v>
      </x:c>
      <x:c r="G2934" s="117" t="str">
        <x:v>No</x:v>
      </x:c>
      <x:c r="H2934" s="117" t="str">
        <x:v>Flow</x:v>
      </x:c>
      <x:c r="I2934" s="118" t="n">
        <x:v>54</x:v>
      </x:c>
      <x:c r="J2934" s="117" t="str">
        <x:v>unmanaged</x:v>
      </x:c>
      <x:c r="K2934" s="123" t="b">
        <x:v>0</x:v>
      </x:c>
      <x:c r="L2934" s="117"/>
      <x:c r="M2934" s="118"/>
      <x:c r="N2934" s="120" t="n">
        <x:v>44714.70348379629</x:v>
      </x:c>
      <x:c r="O2934" s="117" t="str">
        <x:v>Jace Gentil</x:v>
      </x:c>
      <x:c r="P2934" s="120" t="n">
        <x:v>44714.70355324074</x:v>
      </x:c>
      <x:c r="Q2934" s="117" t="str">
        <x:v>Jace Gentil</x:v>
      </x:c>
      <x:c r="R2934" s="117" t="str">
        <x:v>Sourcing Request from Work Order - UK</x:v>
      </x:c>
      <x:c r="S2934" s="119"/>
    </x:row>
    <x:row r="2935" ht="30" customHeight="1">
      <x:c r="A2935" s="117" t="str">
        <x:v>Sourcing_Request_from_Work_Order</x:v>
      </x:c>
      <x:c r="B2935" s="117" t="str">
        <x:v>3005b000000H3qKAAS</x:v>
      </x:c>
      <x:c r="C2935" s="117" t="str">
        <x:v>3015b000000W1M8AAK</x:v>
      </x:c>
      <x:c r="D2935" s="118" t="n">
        <x:v>9</x:v>
      </x:c>
      <x:c r="E2935" s="117" t="str">
        <x:v>Obsolete</x:v>
      </x:c>
      <x:c r="F2935" s="117" t="str">
        <x:v>No</x:v>
      </x:c>
      <x:c r="G2935" s="117" t="str">
        <x:v>No</x:v>
      </x:c>
      <x:c r="H2935" s="117" t="str">
        <x:v>Flow</x:v>
      </x:c>
      <x:c r="I2935" s="118" t="n">
        <x:v>54</x:v>
      </x:c>
      <x:c r="J2935" s="117" t="str">
        <x:v>unmanaged</x:v>
      </x:c>
      <x:c r="K2935" s="123" t="b">
        <x:v>0</x:v>
      </x:c>
      <x:c r="L2935" s="117"/>
      <x:c r="M2935" s="118"/>
      <x:c r="N2935" s="120" t="n">
        <x:v>45021.57949074074</x:v>
      </x:c>
      <x:c r="O2935" s="117" t="str">
        <x:v>Jon Kean</x:v>
      </x:c>
      <x:c r="P2935" s="120" t="n">
        <x:v>45021.57954861111</x:v>
      </x:c>
      <x:c r="Q2935" s="117" t="str">
        <x:v>Jon Kean</x:v>
      </x:c>
      <x:c r="R2935" s="117" t="str">
        <x:v>Sourcing Request from Work Order - UK</x:v>
      </x:c>
      <x:c r="S2935" s="119"/>
    </x:row>
    <x:row r="2936" ht="30" customHeight="1">
      <x:c r="A2936" s="117" t="str">
        <x:v>Sourcing_Request_from_Work_Order</x:v>
      </x:c>
      <x:c r="B2936" s="117" t="str">
        <x:v>3005b000000H3qKAAS</x:v>
      </x:c>
      <x:c r="C2936" s="117" t="str">
        <x:v>3015b000000W1nAAAS</x:v>
      </x:c>
      <x:c r="D2936" s="118" t="n">
        <x:v>10</x:v>
      </x:c>
      <x:c r="E2936" s="117" t="str">
        <x:v>Obsolete</x:v>
      </x:c>
      <x:c r="F2936" s="117" t="str">
        <x:v>No</x:v>
      </x:c>
      <x:c r="G2936" s="117" t="str">
        <x:v>No</x:v>
      </x:c>
      <x:c r="H2936" s="117" t="str">
        <x:v>Flow</x:v>
      </x:c>
      <x:c r="I2936" s="118" t="n">
        <x:v>54</x:v>
      </x:c>
      <x:c r="J2936" s="117" t="str">
        <x:v>unmanaged</x:v>
      </x:c>
      <x:c r="K2936" s="123" t="b">
        <x:v>0</x:v>
      </x:c>
      <x:c r="L2936" s="117"/>
      <x:c r="M2936" s="118"/>
      <x:c r="N2936" s="120" t="n">
        <x:v>45035.35563657407</x:v>
      </x:c>
      <x:c r="O2936" s="117" t="str">
        <x:v>Jon Kean</x:v>
      </x:c>
      <x:c r="P2936" s="120" t="n">
        <x:v>45035.35569444444</x:v>
      </x:c>
      <x:c r="Q2936" s="117" t="str">
        <x:v>Jon Kean</x:v>
      </x:c>
      <x:c r="R2936" s="117" t="str">
        <x:v>Sourcing Request from Work Order - UK</x:v>
      </x:c>
      <x:c r="S2936" s="119"/>
    </x:row>
    <x:row r="2937" ht="30" customHeight="1">
      <x:c r="A2937" s="117" t="str">
        <x:v>Sourcing_Request_from_Work_Order</x:v>
      </x:c>
      <x:c r="B2937" s="117" t="str">
        <x:v>3005b000000H3qKAAS</x:v>
      </x:c>
      <x:c r="C2937" s="117" t="str">
        <x:v>3015b000000W1n5AAC</x:v>
      </x:c>
      <x:c r="D2937" s="118" t="n">
        <x:v>11</x:v>
      </x:c>
      <x:c r="E2937" s="117" t="str">
        <x:v>Obsolete</x:v>
      </x:c>
      <x:c r="F2937" s="117" t="str">
        <x:v>No</x:v>
      </x:c>
      <x:c r="G2937" s="117" t="str">
        <x:v>No</x:v>
      </x:c>
      <x:c r="H2937" s="117" t="str">
        <x:v>Flow</x:v>
      </x:c>
      <x:c r="I2937" s="118" t="n">
        <x:v>54</x:v>
      </x:c>
      <x:c r="J2937" s="117" t="str">
        <x:v>unmanaged</x:v>
      </x:c>
      <x:c r="K2937" s="123" t="b">
        <x:v>0</x:v>
      </x:c>
      <x:c r="L2937" s="117"/>
      <x:c r="M2937" s="118"/>
      <x:c r="N2937" s="120" t="n">
        <x:v>45035.35770833334</x:v>
      </x:c>
      <x:c r="O2937" s="117" t="str">
        <x:v>Jon Kean</x:v>
      </x:c>
      <x:c r="P2937" s="120" t="n">
        <x:v>45035.35775462963</x:v>
      </x:c>
      <x:c r="Q2937" s="117" t="str">
        <x:v>Jon Kean</x:v>
      </x:c>
      <x:c r="R2937" s="117" t="str">
        <x:v>Sourcing Request from Work Order - UK</x:v>
      </x:c>
      <x:c r="S2937" s="119"/>
    </x:row>
    <x:row r="2938" ht="30" customHeight="1">
      <x:c r="A2938" s="117" t="str">
        <x:v>Sourcing_Request_from_Work_Order</x:v>
      </x:c>
      <x:c r="B2938" s="117" t="str">
        <x:v>3005b000000H3qKAAS</x:v>
      </x:c>
      <x:c r="C2938" s="117" t="str">
        <x:v>3015b0000011MSIAA2</x:v>
      </x:c>
      <x:c r="D2938" s="118" t="n">
        <x:v>12</x:v>
      </x:c>
      <x:c r="E2938" s="117" t="str">
        <x:v>Obsolete</x:v>
      </x:c>
      <x:c r="F2938" s="117" t="str">
        <x:v>No</x:v>
      </x:c>
      <x:c r="G2938" s="117" t="str">
        <x:v>No</x:v>
      </x:c>
      <x:c r="H2938" s="117" t="str">
        <x:v>Flow</x:v>
      </x:c>
      <x:c r="I2938" s="118" t="n">
        <x:v>54</x:v>
      </x:c>
      <x:c r="J2938" s="117" t="str">
        <x:v>unmanaged</x:v>
      </x:c>
      <x:c r="K2938" s="123" t="b">
        <x:v>0</x:v>
      </x:c>
      <x:c r="L2938" s="117"/>
      <x:c r="M2938" s="118"/>
      <x:c r="N2938" s="120" t="n">
        <x:v>45240.59038194444</x:v>
      </x:c>
      <x:c r="O2938" s="117" t="str">
        <x:v>Jon Kean</x:v>
      </x:c>
      <x:c r="P2938" s="120" t="n">
        <x:v>45240.59045138889</x:v>
      </x:c>
      <x:c r="Q2938" s="117" t="str">
        <x:v>Jon Kean</x:v>
      </x:c>
      <x:c r="R2938" s="117" t="str">
        <x:v>Sourcing Request from Work Order - UK</x:v>
      </x:c>
      <x:c r="S2938" s="119"/>
    </x:row>
    <x:row r="2939" ht="30" customHeight="1">
      <x:c r="A2939" s="117" t="str">
        <x:v>Sourcing_Request_from_Work_Order</x:v>
      </x:c>
      <x:c r="B2939" s="117" t="str">
        <x:v>3005b000000H3qKAAS</x:v>
      </x:c>
      <x:c r="C2939" s="117" t="str">
        <x:v>301Ro00000U2G7WIAV</x:v>
      </x:c>
      <x:c r="D2939" s="118" t="n">
        <x:v>13</x:v>
      </x:c>
      <x:c r="E2939" s="117" t="str">
        <x:v>Obsolete</x:v>
      </x:c>
      <x:c r="F2939" s="117" t="str">
        <x:v>No</x:v>
      </x:c>
      <x:c r="G2939" s="117" t="str">
        <x:v>No</x:v>
      </x:c>
      <x:c r="H2939" s="117" t="str">
        <x:v>Flow</x:v>
      </x:c>
      <x:c r="I2939" s="118" t="n">
        <x:v>54</x:v>
      </x:c>
      <x:c r="J2939" s="117" t="str">
        <x:v>unmanaged</x:v>
      </x:c>
      <x:c r="K2939" s="123" t="b">
        <x:v>0</x:v>
      </x:c>
      <x:c r="L2939" s="117"/>
      <x:c r="M2939" s="118"/>
      <x:c r="N2939" s="120" t="n">
        <x:v>45702.59244212963</x:v>
      </x:c>
      <x:c r="O2939" s="117" t="str">
        <x:v>Delegate</x:v>
      </x:c>
      <x:c r="P2939" s="120" t="n">
        <x:v>45702.60592592593</x:v>
      </x:c>
      <x:c r="Q2939" s="117" t="str">
        <x:v>Delegate</x:v>
      </x:c>
      <x:c r="R2939" s="117" t="str">
        <x:v>Sourcing Request from Work Order - UK</x:v>
      </x:c>
      <x:c r="S2939" s="119" t="str">
        <x:v>02/11/2025 (BW) - Updated this flow so that it grabs the most recently created service appointment always</x:v>
      </x:c>
    </x:row>
    <x:row r="2940" ht="30" customHeight="1">
      <x:c r="A2940" s="117" t="str">
        <x:v>Sourcing_Request_from_Work_Order</x:v>
      </x:c>
      <x:c r="B2940" s="117" t="str">
        <x:v>3005b000000H3qKAAS</x:v>
      </x:c>
      <x:c r="C2940" s="117" t="str">
        <x:v>301Ro00000Y7aklIAB</x:v>
      </x:c>
      <x:c r="D2940" s="118" t="n">
        <x:v>14</x:v>
      </x:c>
      <x:c r="E2940" s="117" t="str">
        <x:v>Active</x:v>
      </x:c>
      <x:c r="F2940" s="117" t="str">
        <x:v>Yes</x:v>
      </x:c>
      <x:c r="G2940" s="117" t="str">
        <x:v>Yes</x:v>
      </x:c>
      <x:c r="H2940" s="117" t="str">
        <x:v>Flow</x:v>
      </x:c>
      <x:c r="I2940" s="118" t="n">
        <x:v>54</x:v>
      </x:c>
      <x:c r="J2940" s="117" t="str">
        <x:v>unmanaged</x:v>
      </x:c>
      <x:c r="K2940" s="123" t="b">
        <x:v>0</x:v>
      </x:c>
      <x:c r="L2940" s="117"/>
      <x:c r="M2940" s="118"/>
      <x:c r="N2940" s="120" t="n">
        <x:v>45775.57625</x:v>
      </x:c>
      <x:c r="O2940" s="117" t="str">
        <x:v>Delegate</x:v>
      </x:c>
      <x:c r="P2940" s="120" t="n">
        <x:v>45775.576319444444</x:v>
      </x:c>
      <x:c r="Q2940" s="117" t="str">
        <x:v>Delegate</x:v>
      </x:c>
      <x:c r="R2940" s="117" t="str">
        <x:v>Sourcing Request from Work Order - UK</x:v>
      </x:c>
      <x:c r="S2940" s="119" t="str">
        <x:v>04/28/2025 (BW) - Updated to Ensure only open SAs are grabbed</x:v>
      </x:c>
    </x:row>
    <x:row r="2941" ht="30" customHeight="1">
      <x:c r="A2941" s="117" t="str">
        <x:v>Sourcing_Request_Need_By_Date_Change</x:v>
      </x:c>
      <x:c r="B2941" s="117" t="str">
        <x:v>3000B0000008kvXQAQ</x:v>
      </x:c>
      <x:c r="C2941" s="117" t="str">
        <x:v>3010B000000986CQAQ</x:v>
      </x:c>
      <x:c r="D2941" s="118" t="n">
        <x:v>1</x:v>
      </x:c>
      <x:c r="E2941" s="117" t="str">
        <x:v>Obsolete</x:v>
      </x:c>
      <x:c r="F2941" s="117" t="str">
        <x:v>No</x:v>
      </x:c>
      <x:c r="G2941" s="117" t="str">
        <x:v>No</x:v>
      </x:c>
      <x:c r="H2941" s="117" t="str">
        <x:v>Workflow</x:v>
      </x:c>
      <x:c r="I2941" s="118"/>
      <x:c r="J2941" s="117" t="str">
        <x:v>unmanaged</x:v>
      </x:c>
      <x:c r="K2941" s="123" t="b">
        <x:v>0</x:v>
      </x:c>
      <x:c r="L2941" s="117"/>
      <x:c r="M2941" s="118"/>
      <x:c r="N2941" s="120" t="n">
        <x:v>43244.81460648148</x:v>
      </x:c>
      <x:c r="O2941" s="117" t="str">
        <x:v>QC Admin</x:v>
      </x:c>
      <x:c r="P2941" s="120" t="n">
        <x:v>43244.84658564815</x:v>
      </x:c>
      <x:c r="Q2941" s="117" t="str">
        <x:v>QC Admin</x:v>
      </x:c>
      <x:c r="R2941" s="117" t="str">
        <x:v>Sourcing Request Need By Date Change</x:v>
      </x:c>
      <x:c r="S2941" s="119"/>
    </x:row>
    <x:row r="2942" ht="30" customHeight="1">
      <x:c r="A2942" s="117" t="str">
        <x:v>Sourcing_Request_Need_By_Date_Change</x:v>
      </x:c>
      <x:c r="B2942" s="117" t="str">
        <x:v>3000B0000008kvXQAQ</x:v>
      </x:c>
      <x:c r="C2942" s="117" t="str">
        <x:v>3010B0000009AqlQAE</x:v>
      </x:c>
      <x:c r="D2942" s="118" t="n">
        <x:v>2</x:v>
      </x:c>
      <x:c r="E2942" s="117" t="str">
        <x:v>Active</x:v>
      </x:c>
      <x:c r="F2942" s="117" t="str">
        <x:v>Yes</x:v>
      </x:c>
      <x:c r="G2942" s="117" t="str">
        <x:v>Yes</x:v>
      </x:c>
      <x:c r="H2942" s="117" t="str">
        <x:v>Workflow</x:v>
      </x:c>
      <x:c r="I2942" s="118"/>
      <x:c r="J2942" s="117" t="str">
        <x:v>unmanaged</x:v>
      </x:c>
      <x:c r="K2942" s="123" t="b">
        <x:v>0</x:v>
      </x:c>
      <x:c r="L2942" s="117"/>
      <x:c r="M2942" s="118"/>
      <x:c r="N2942" s="120" t="n">
        <x:v>43370.55630787037</x:v>
      </x:c>
      <x:c r="O2942" s="117" t="str">
        <x:v>Zach Wills</x:v>
      </x:c>
      <x:c r="P2942" s="120" t="n">
        <x:v>43370.55642361111</x:v>
      </x:c>
      <x:c r="Q2942" s="117" t="str">
        <x:v>Zach Wills</x:v>
      </x:c>
      <x:c r="R2942" s="117" t="str">
        <x:v>Sourcing Request Need By Date Change / Completion Notification</x:v>
      </x:c>
      <x:c r="S2942" s="119"/>
    </x:row>
    <x:row r="2943" ht="30" customHeight="1">
      <x:c r="A2943" s="117" t="str">
        <x:v>Sourcing_Request_Notification_Flow_for_Sales_Ops</x:v>
      </x:c>
      <x:c r="B2943" s="117" t="str">
        <x:v>300Ro00000S8u9nIAB</x:v>
      </x:c>
      <x:c r="C2943" s="117" t="str">
        <x:v>301Ro00000V4EvRIAV</x:v>
      </x:c>
      <x:c r="D2943" s="118" t="n">
        <x:v>1</x:v>
      </x:c>
      <x:c r="E2943" s="117" t="str">
        <x:v>Obsolete</x:v>
      </x:c>
      <x:c r="F2943" s="117" t="str">
        <x:v>No</x:v>
      </x:c>
      <x:c r="G2943" s="117" t="str">
        <x:v>No</x:v>
      </x:c>
      <x:c r="H2943" s="117" t="str">
        <x:v>AutoLaunchedFlow</x:v>
      </x:c>
      <x:c r="I2943" s="118" t="n">
        <x:v>63</x:v>
      </x:c>
      <x:c r="J2943" s="117" t="str">
        <x:v>unmanaged</x:v>
      </x:c>
      <x:c r="K2943" s="123" t="b">
        <x:v>0</x:v>
      </x:c>
      <x:c r="L2943" s="117"/>
      <x:c r="M2943" s="118"/>
      <x:c r="N2943" s="120" t="n">
        <x:v>45720.750555555554</x:v>
      </x:c>
      <x:c r="O2943" s="117" t="str">
        <x:v>Jace Gentil</x:v>
      </x:c>
      <x:c r="P2943" s="120" t="n">
        <x:v>45720.75251157407</x:v>
      </x:c>
      <x:c r="Q2943" s="117" t="str">
        <x:v>Jace Gentil</x:v>
      </x:c>
      <x:c r="R2943" s="117" t="str">
        <x:v>Sourcing Request Notification Flow for Sales Ops</x:v>
      </x:c>
      <x:c r="S2943" s="119"/>
    </x:row>
    <x:row r="2944" ht="30" customHeight="1">
      <x:c r="A2944" s="117" t="str">
        <x:v>Sourcing_Request_Notification_Flow_for_Sales_Ops</x:v>
      </x:c>
      <x:c r="B2944" s="117" t="str">
        <x:v>300Ro00000S8u9nIAB</x:v>
      </x:c>
      <x:c r="C2944" s="117" t="str">
        <x:v>301Ro00000V4QlFIAV</x:v>
      </x:c>
      <x:c r="D2944" s="118" t="n">
        <x:v>2</x:v>
      </x:c>
      <x:c r="E2944" s="117" t="str">
        <x:v>Draft</x:v>
      </x:c>
      <x:c r="F2944" s="117" t="str">
        <x:v>No</x:v>
      </x:c>
      <x:c r="G2944" s="117" t="str">
        <x:v>No</x:v>
      </x:c>
      <x:c r="H2944" s="117" t="str">
        <x:v>AutoLaunchedFlow</x:v>
      </x:c>
      <x:c r="I2944" s="118" t="n">
        <x:v>63</x:v>
      </x:c>
      <x:c r="J2944" s="117" t="str">
        <x:v>unmanaged</x:v>
      </x:c>
      <x:c r="K2944" s="123" t="b">
        <x:v>0</x:v>
      </x:c>
      <x:c r="L2944" s="117"/>
      <x:c r="M2944" s="118"/>
      <x:c r="N2944" s="120" t="n">
        <x:v>45720.75498842593</x:v>
      </x:c>
      <x:c r="O2944" s="117" t="str">
        <x:v>Jace Gentil</x:v>
      </x:c>
      <x:c r="P2944" s="120" t="n">
        <x:v>45720.755011574074</x:v>
      </x:c>
      <x:c r="Q2944" s="117" t="str">
        <x:v>Jace Gentil</x:v>
      </x:c>
      <x:c r="R2944" s="117" t="str">
        <x:v>Sourcing Request Notification Flow for Sales Ops</x:v>
      </x:c>
      <x:c r="S2944" s="119"/>
    </x:row>
    <x:row r="2945" ht="30" customHeight="1">
      <x:c r="A2945" s="117" t="str">
        <x:v>Sourcing_Request_Notification_Flow_for_Sales_Ops</x:v>
      </x:c>
      <x:c r="B2945" s="117" t="str">
        <x:v>300Ro00000S8u9nIAB</x:v>
      </x:c>
      <x:c r="C2945" s="117" t="str">
        <x:v>301Ro00000V4QuvIAF</x:v>
      </x:c>
      <x:c r="D2945" s="118" t="n">
        <x:v>3</x:v>
      </x:c>
      <x:c r="E2945" s="117" t="str">
        <x:v>Obsolete</x:v>
      </x:c>
      <x:c r="F2945" s="117" t="str">
        <x:v>No</x:v>
      </x:c>
      <x:c r="G2945" s="117" t="str">
        <x:v>No</x:v>
      </x:c>
      <x:c r="H2945" s="117" t="str">
        <x:v>AutoLaunchedFlow</x:v>
      </x:c>
      <x:c r="I2945" s="118" t="n">
        <x:v>63</x:v>
      </x:c>
      <x:c r="J2945" s="117" t="str">
        <x:v>unmanaged</x:v>
      </x:c>
      <x:c r="K2945" s="123" t="b">
        <x:v>0</x:v>
      </x:c>
      <x:c r="L2945" s="117"/>
      <x:c r="M2945" s="118"/>
      <x:c r="N2945" s="120" t="n">
        <x:v>45720.75511574074</x:v>
      </x:c>
      <x:c r="O2945" s="117" t="str">
        <x:v>Jace Gentil</x:v>
      </x:c>
      <x:c r="P2945" s="120" t="n">
        <x:v>45720.75517361111</x:v>
      </x:c>
      <x:c r="Q2945" s="117" t="str">
        <x:v>Jace Gentil</x:v>
      </x:c>
      <x:c r="R2945" s="117" t="str">
        <x:v>Sourcing Request Notification Flow for Sales Ops</x:v>
      </x:c>
      <x:c r="S2945" s="119"/>
    </x:row>
    <x:row r="2946" ht="30" customHeight="1">
      <x:c r="A2946" s="117" t="str">
        <x:v>Sourcing_Request_Notification_Flow_for_Sales_Ops</x:v>
      </x:c>
      <x:c r="B2946" s="117" t="str">
        <x:v>300Ro00000S8u9nIAB</x:v>
      </x:c>
      <x:c r="C2946" s="117" t="str">
        <x:v>301Ro00000VfvboIAB</x:v>
      </x:c>
      <x:c r="D2946" s="118" t="n">
        <x:v>4</x:v>
      </x:c>
      <x:c r="E2946" s="117" t="str">
        <x:v>Obsolete</x:v>
      </x:c>
      <x:c r="F2946" s="117" t="str">
        <x:v>No</x:v>
      </x:c>
      <x:c r="G2946" s="117" t="str">
        <x:v>No</x:v>
      </x:c>
      <x:c r="H2946" s="117" t="str">
        <x:v>AutoLaunchedFlow</x:v>
      </x:c>
      <x:c r="I2946" s="118" t="n">
        <x:v>63</x:v>
      </x:c>
      <x:c r="J2946" s="117" t="str">
        <x:v>unmanaged</x:v>
      </x:c>
      <x:c r="K2946" s="123" t="b">
        <x:v>0</x:v>
      </x:c>
      <x:c r="L2946" s="117"/>
      <x:c r="M2946" s="118"/>
      <x:c r="N2946" s="120" t="n">
        <x:v>45730.677719907406</x:v>
      </x:c>
      <x:c r="O2946" s="117" t="str">
        <x:v>Jace Gentil</x:v>
      </x:c>
      <x:c r="P2946" s="120" t="n">
        <x:v>45730.677777777775</x:v>
      </x:c>
      <x:c r="Q2946" s="117" t="str">
        <x:v>Jace Gentil</x:v>
      </x:c>
      <x:c r="R2946" s="117" t="str">
        <x:v>Sourcing Request Notification Flow for Sales Ops</x:v>
      </x:c>
      <x:c r="S2946" s="119"/>
    </x:row>
    <x:row r="2947" ht="30" customHeight="1">
      <x:c r="A2947" s="117" t="str">
        <x:v>Sourcing_Request_Notification_Flow_for_Sales_Ops</x:v>
      </x:c>
      <x:c r="B2947" s="117" t="str">
        <x:v>300Ro00000S8u9nIAB</x:v>
      </x:c>
      <x:c r="C2947" s="117" t="str">
        <x:v>301Ro00000WAM1eIAH</x:v>
      </x:c>
      <x:c r="D2947" s="118" t="n">
        <x:v>5</x:v>
      </x:c>
      <x:c r="E2947" s="117" t="str">
        <x:v>Active</x:v>
      </x:c>
      <x:c r="F2947" s="117" t="str">
        <x:v>Yes</x:v>
      </x:c>
      <x:c r="G2947" s="117" t="str">
        <x:v>Yes</x:v>
      </x:c>
      <x:c r="H2947" s="117" t="str">
        <x:v>AutoLaunchedFlow</x:v>
      </x:c>
      <x:c r="I2947" s="118" t="n">
        <x:v>63</x:v>
      </x:c>
      <x:c r="J2947" s="117" t="str">
        <x:v>unmanaged</x:v>
      </x:c>
      <x:c r="K2947" s="123" t="b">
        <x:v>0</x:v>
      </x:c>
      <x:c r="L2947" s="117"/>
      <x:c r="M2947" s="118"/>
      <x:c r="N2947" s="120" t="n">
        <x:v>45740.628020833334</x:v>
      </x:c>
      <x:c r="O2947" s="117" t="str">
        <x:v>Jace Gentil</x:v>
      </x:c>
      <x:c r="P2947" s="120" t="n">
        <x:v>45740.6280787037</x:v>
      </x:c>
      <x:c r="Q2947" s="117" t="str">
        <x:v>Jace Gentil</x:v>
      </x:c>
      <x:c r="R2947" s="117" t="str">
        <x:v>Sourcing Request Notification Flow for Sales Ops</x:v>
      </x:c>
      <x:c r="S2947" s="119"/>
    </x:row>
    <x:row r="2948" ht="30" customHeight="1">
      <x:c r="A2948" s="117" t="str">
        <x:v>Sourcing_Request_Notification_for_UK</x:v>
      </x:c>
      <x:c r="B2948" s="117" t="str">
        <x:v>3005b000000H3qUAAS</x:v>
      </x:c>
      <x:c r="C2948" s="117" t="str">
        <x:v>3015b000000EJrZAAW</x:v>
      </x:c>
      <x:c r="D2948" s="118" t="n">
        <x:v>1</x:v>
      </x:c>
      <x:c r="E2948" s="117" t="str">
        <x:v>Draft</x:v>
      </x:c>
      <x:c r="F2948" s="117" t="str">
        <x:v>No</x:v>
      </x:c>
      <x:c r="G2948" s="117" t="str">
        <x:v>Yes</x:v>
      </x:c>
      <x:c r="H2948" s="117" t="str">
        <x:v>AutoLaunchedFlow</x:v>
      </x:c>
      <x:c r="I2948" s="118" t="n">
        <x:v>54</x:v>
      </x:c>
      <x:c r="J2948" s="117" t="str">
        <x:v>unmanaged</x:v>
      </x:c>
      <x:c r="K2948" s="123" t="b">
        <x:v>0</x:v>
      </x:c>
      <x:c r="L2948" s="117"/>
      <x:c r="M2948" s="118"/>
      <x:c r="N2948" s="120" t="n">
        <x:v>44701.48972222222</x:v>
      </x:c>
      <x:c r="O2948" s="117" t="str">
        <x:v>Jace Gentil</x:v>
      </x:c>
      <x:c r="P2948" s="120" t="n">
        <x:v>44701.48972222222</x:v>
      </x:c>
      <x:c r="Q2948" s="117" t="str">
        <x:v>Jace Gentil</x:v>
      </x:c>
      <x:c r="R2948" s="117" t="str">
        <x:v>Sourcing Request Notification for UK</x:v>
      </x:c>
      <x:c r="S2948" s="119"/>
    </x:row>
    <x:row r="2949" ht="30" customHeight="1">
      <x:c r="A2949" s="117" t="str">
        <x:v>SRI_Trigger_Update_Requesting_Opp_WO_SA</x:v>
      </x:c>
      <x:c r="B2949" s="117" t="str">
        <x:v>300Ro00000VLr5vIAD</x:v>
      </x:c>
      <x:c r="C2949" s="117" t="str">
        <x:v>301Ro00000YXxSQIA1</x:v>
      </x:c>
      <x:c r="D2949" s="118" t="n">
        <x:v>1</x:v>
      </x:c>
      <x:c r="E2949" s="117" t="str">
        <x:v>Active</x:v>
      </x:c>
      <x:c r="F2949" s="117" t="str">
        <x:v>Yes</x:v>
      </x:c>
      <x:c r="G2949" s="117" t="str">
        <x:v>Yes</x:v>
      </x:c>
      <x:c r="H2949" s="117" t="str">
        <x:v>AutoLaunchedFlow</x:v>
      </x:c>
      <x:c r="I2949" s="118" t="n">
        <x:v>63</x:v>
      </x:c>
      <x:c r="J2949" s="117" t="str">
        <x:v>unmanaged</x:v>
      </x:c>
      <x:c r="K2949" s="123" t="b">
        <x:v>0</x:v>
      </x:c>
      <x:c r="L2949" s="117"/>
      <x:c r="M2949" s="118"/>
      <x:c r="N2949" s="120" t="n">
        <x:v>45782.61820601852</x:v>
      </x:c>
      <x:c r="O2949" s="117" t="str">
        <x:v>Delegate</x:v>
      </x:c>
      <x:c r="P2949" s="120" t="n">
        <x:v>45782.6209375</x:v>
      </x:c>
      <x:c r="Q2949" s="117" t="str">
        <x:v>Delegate</x:v>
      </x:c>
      <x:c r="R2949" s="117" t="str">
        <x:v>SRI - Trigger - Update Requesting Opp WO/SA</x:v>
      </x:c>
      <x:c r="S2949" s="119" t="str">
        <x:v>04/30/2025 - Kyle - Mirror SRI data on opp for clarity</x:v>
      </x:c>
    </x:row>
    <x:row r="2950" ht="30" customHeight="1">
      <x:c r="A2950" s="117" t="str">
        <x:v>Static_Fluoro</x:v>
      </x:c>
      <x:c r="B2950" s="117" t="str">
        <x:v>300Ro00000Pz0ksIAB</x:v>
      </x:c>
      <x:c r="C2950" s="117" t="str">
        <x:v>301Ro00000Sd0UsIAJ</x:v>
      </x:c>
      <x:c r="D2950" s="118" t="n">
        <x:v>1</x:v>
      </x:c>
      <x:c r="E2950" s="117" t="str">
        <x:v>Obsolete</x:v>
      </x:c>
      <x:c r="F2950" s="117" t="str">
        <x:v>No</x:v>
      </x:c>
      <x:c r="G2950" s="117" t="str">
        <x:v>No</x:v>
      </x:c>
      <x:c r="H2950" s="117" t="str">
        <x:v>FieldServiceMobile</x:v>
      </x:c>
      <x:c r="I2950" s="118"/>
      <x:c r="J2950" s="117" t="str">
        <x:v>unmanaged</x:v>
      </x:c>
      <x:c r="K2950" s="123" t="b">
        <x:v>0</x:v>
      </x:c>
      <x:c r="L2950" s="117"/>
      <x:c r="M2950" s="118"/>
      <x:c r="N2950" s="120" t="n">
        <x:v>45680.21653935185</x:v>
      </x:c>
      <x:c r="O2950" s="117" t="str">
        <x:v>Delegate</x:v>
      </x:c>
      <x:c r="P2950" s="120" t="n">
        <x:v>45680.21658564815</x:v>
      </x:c>
      <x:c r="Q2950" s="117" t="str">
        <x:v>Delegate</x:v>
      </x:c>
      <x:c r="R2950" s="117" t="str">
        <x:v>Static Fluoro</x:v>
      </x:c>
      <x:c r="S2950" s="119" t="str">
        <x:v>checklistoutput syntax</x:v>
      </x:c>
    </x:row>
    <x:row r="2951" ht="30" customHeight="1">
      <x:c r="A2951" s="117" t="str">
        <x:v>Static_Fluoro</x:v>
      </x:c>
      <x:c r="B2951" s="117" t="str">
        <x:v>300Ro00000Pz0ksIAB</x:v>
      </x:c>
      <x:c r="C2951" s="117" t="str">
        <x:v>301Ro00000SpOwQIAV</x:v>
      </x:c>
      <x:c r="D2951" s="118" t="n">
        <x:v>2</x:v>
      </x:c>
      <x:c r="E2951" s="117" t="str">
        <x:v>Obsolete</x:v>
      </x:c>
      <x:c r="F2951" s="117" t="str">
        <x:v>No</x:v>
      </x:c>
      <x:c r="G2951" s="117" t="str">
        <x:v>No</x:v>
      </x:c>
      <x:c r="H2951" s="117" t="str">
        <x:v>FieldServiceMobile</x:v>
      </x:c>
      <x:c r="I2951" s="118"/>
      <x:c r="J2951" s="117" t="str">
        <x:v>unmanaged</x:v>
      </x:c>
      <x:c r="K2951" s="123" t="b">
        <x:v>0</x:v>
      </x:c>
      <x:c r="L2951" s="117"/>
      <x:c r="M2951" s="118"/>
      <x:c r="N2951" s="120" t="n">
        <x:v>45684.13618055556</x:v>
      </x:c>
      <x:c r="O2951" s="117" t="str">
        <x:v>Delegate</x:v>
      </x:c>
      <x:c r="P2951" s="120" t="n">
        <x:v>45684.1362037037</x:v>
      </x:c>
      <x:c r="Q2951" s="117" t="str">
        <x:v>Delegate</x:v>
      </x:c>
      <x:c r="R2951" s="117" t="str">
        <x:v>Static Fluoro</x:v>
      </x:c>
      <x:c r="S2951" s="119" t="str">
        <x:v>01/25/2025 (BW) - Updated the checklist outputs so that they work properly</x:v>
      </x:c>
    </x:row>
    <x:row r="2952" ht="30" customHeight="1">
      <x:c r="A2952" s="117" t="str">
        <x:v>Static_Fluoro</x:v>
      </x:c>
      <x:c r="B2952" s="117" t="str">
        <x:v>300Ro00000Pz0ksIAB</x:v>
      </x:c>
      <x:c r="C2952" s="117" t="str">
        <x:v>301Ro00000SzAQfIAN</x:v>
      </x:c>
      <x:c r="D2952" s="118" t="n">
        <x:v>3</x:v>
      </x:c>
      <x:c r="E2952" s="117" t="str">
        <x:v>Draft</x:v>
      </x:c>
      <x:c r="F2952" s="117" t="str">
        <x:v>No</x:v>
      </x:c>
      <x:c r="G2952" s="117" t="str">
        <x:v>No</x:v>
      </x:c>
      <x:c r="H2952" s="117" t="str">
        <x:v>FieldServiceMobile</x:v>
      </x:c>
      <x:c r="I2952" s="118"/>
      <x:c r="J2952" s="117" t="str">
        <x:v>unmanaged</x:v>
      </x:c>
      <x:c r="K2952" s="123" t="b">
        <x:v>0</x:v>
      </x:c>
      <x:c r="L2952" s="117"/>
      <x:c r="M2952" s="118"/>
      <x:c r="N2952" s="120" t="n">
        <x:v>45686.49619212963</x:v>
      </x:c>
      <x:c r="O2952" s="117" t="str">
        <x:v>Delegate</x:v>
      </x:c>
      <x:c r="P2952" s="120" t="n">
        <x:v>45686.49623842593</x:v>
      </x:c>
      <x:c r="Q2952" s="117" t="str">
        <x:v>Delegate</x:v>
      </x:c>
      <x:c r="R2952" s="117" t="str">
        <x:v>Static Fluoro</x:v>
      </x:c>
      <x:c r="S2952" s="119" t="str">
        <x:v>01/29/2025 (BW) - Updated required fields</x:v>
      </x:c>
    </x:row>
    <x:row r="2953" ht="30" customHeight="1">
      <x:c r="A2953" s="117" t="str">
        <x:v>Static_Fluoro</x:v>
      </x:c>
      <x:c r="B2953" s="117" t="str">
        <x:v>300Ro00000Pz0ksIAB</x:v>
      </x:c>
      <x:c r="C2953" s="117" t="str">
        <x:v>301Ro00000Vtv0uIAB</x:v>
      </x:c>
      <x:c r="D2953" s="118" t="n">
        <x:v>4</x:v>
      </x:c>
      <x:c r="E2953" s="117" t="str">
        <x:v>Obsolete</x:v>
      </x:c>
      <x:c r="F2953" s="117" t="str">
        <x:v>No</x:v>
      </x:c>
      <x:c r="G2953" s="117" t="str">
        <x:v>No</x:v>
      </x:c>
      <x:c r="H2953" s="117" t="str">
        <x:v>FieldServiceMobile</x:v>
      </x:c>
      <x:c r="I2953" s="118"/>
      <x:c r="J2953" s="117" t="str">
        <x:v>unmanaged</x:v>
      </x:c>
      <x:c r="K2953" s="123" t="b">
        <x:v>0</x:v>
      </x:c>
      <x:c r="L2953" s="117"/>
      <x:c r="M2953" s="118"/>
      <x:c r="N2953" s="120" t="n">
        <x:v>45735.502916666665</x:v>
      </x:c>
      <x:c r="O2953" s="117" t="str">
        <x:v>Delegate</x:v>
      </x:c>
      <x:c r="P2953" s="120" t="n">
        <x:v>45735.503020833334</x:v>
      </x:c>
      <x:c r="Q2953" s="117" t="str">
        <x:v>Delegate</x:v>
      </x:c>
      <x:c r="R2953" s="117" t="str">
        <x:v>Static Fluoro</x:v>
      </x:c>
      <x:c r="S2953" s="119" t="str">
        <x:v>03/19/2025 (BW) - Updated the fields to include NA options and updated the AEC Cut Off Name</x:v>
      </x:c>
    </x:row>
    <x:row r="2954" ht="30" customHeight="1">
      <x:c r="A2954" s="117" t="str">
        <x:v>Static_Fluoro</x:v>
      </x:c>
      <x:c r="B2954" s="117" t="str">
        <x:v>300Ro00000Pz0ksIAB</x:v>
      </x:c>
      <x:c r="C2954" s="117" t="str">
        <x:v>301Ro00000WxZFXIA3</x:v>
      </x:c>
      <x:c r="D2954" s="118" t="n">
        <x:v>5</x:v>
      </x:c>
      <x:c r="E2954" s="117" t="str">
        <x:v>Obsolete</x:v>
      </x:c>
      <x:c r="F2954" s="117" t="str">
        <x:v>No</x:v>
      </x:c>
      <x:c r="G2954" s="117" t="str">
        <x:v>No</x:v>
      </x:c>
      <x:c r="H2954" s="117" t="str">
        <x:v>FieldServiceMobile</x:v>
      </x:c>
      <x:c r="I2954" s="118"/>
      <x:c r="J2954" s="117" t="str">
        <x:v>unmanaged</x:v>
      </x:c>
      <x:c r="K2954" s="123" t="b">
        <x:v>0</x:v>
      </x:c>
      <x:c r="L2954" s="117"/>
      <x:c r="M2954" s="118"/>
      <x:c r="N2954" s="120" t="n">
        <x:v>45754.52071759259</x:v>
      </x:c>
      <x:c r="O2954" s="117" t="str">
        <x:v>Delegate</x:v>
      </x:c>
      <x:c r="P2954" s="120" t="n">
        <x:v>45754.52162037037</x:v>
      </x:c>
      <x:c r="Q2954" s="117" t="str">
        <x:v>Delegate</x:v>
      </x:c>
      <x:c r="R2954" s="117" t="str">
        <x:v>Static Fluoro</x:v>
      </x:c>
      <x:c r="S2954" s="119" t="str">
        <x:v>04/04/2025 (BW) - Updating this checksheet to follow the updated functionality</x:v>
      </x:c>
    </x:row>
    <x:row r="2955" ht="30" customHeight="1">
      <x:c r="A2955" s="117" t="str">
        <x:v>Static_Fluoro</x:v>
      </x:c>
      <x:c r="B2955" s="117" t="str">
        <x:v>300Ro00000Pz0ksIAB</x:v>
      </x:c>
      <x:c r="C2955" s="117" t="str">
        <x:v>301Ro00000woSEEIA2</x:v>
      </x:c>
      <x:c r="D2955" s="118" t="n">
        <x:v>6</x:v>
      </x:c>
      <x:c r="E2955" s="117" t="str">
        <x:v>Obsolete</x:v>
      </x:c>
      <x:c r="F2955" s="117" t="str">
        <x:v>No</x:v>
      </x:c>
      <x:c r="G2955" s="117" t="str">
        <x:v>No</x:v>
      </x:c>
      <x:c r="H2955" s="117" t="str">
        <x:v>FieldServiceMobile</x:v>
      </x:c>
      <x:c r="I2955" s="118"/>
      <x:c r="J2955" s="117" t="str">
        <x:v>unmanaged</x:v>
      </x:c>
      <x:c r="K2955" s="123" t="b">
        <x:v>0</x:v>
      </x:c>
      <x:c r="L2955" s="117"/>
      <x:c r="M2955" s="118"/>
      <x:c r="N2955" s="120" t="n">
        <x:v>46050.37899305556</x:v>
      </x:c>
      <x:c r="O2955" s="117" t="str">
        <x:v>Sacha Pearce</x:v>
      </x:c>
      <x:c r="P2955" s="120" t="n">
        <x:v>46050.46298611111</x:v>
      </x:c>
      <x:c r="Q2955" s="117" t="str">
        <x:v>Sacha Pearce</x:v>
      </x:c>
      <x:c r="R2955" s="117" t="str">
        <x:v>Static Fluoro</x:v>
      </x:c>
      <x:c r="S2955" s="119" t="str">
        <x:v>04/04/2025 (BW) - Updating this checksheet to follow the updated functionality
25/01/2025 - V6 - SP - Updating to match new FSL standards</x:v>
      </x:c>
    </x:row>
    <x:row r="2956" ht="30" customHeight="1">
      <x:c r="A2956" s="117" t="str">
        <x:v>Static_Fluoro</x:v>
      </x:c>
      <x:c r="B2956" s="117" t="str">
        <x:v>300Ro00000Pz0ksIAB</x:v>
      </x:c>
      <x:c r="C2956" s="117" t="str">
        <x:v>301Ro00000yhJJhIAM</x:v>
      </x:c>
      <x:c r="D2956" s="118" t="n">
        <x:v>7</x:v>
      </x:c>
      <x:c r="E2956" s="117" t="str">
        <x:v>Active</x:v>
      </x:c>
      <x:c r="F2956" s="117" t="str">
        <x:v>Yes</x:v>
      </x:c>
      <x:c r="G2956" s="117" t="str">
        <x:v>Yes</x:v>
      </x:c>
      <x:c r="H2956" s="117" t="str">
        <x:v>FieldServiceMobile</x:v>
      </x:c>
      <x:c r="I2956" s="118"/>
      <x:c r="J2956" s="117" t="str">
        <x:v>unmanaged</x:v>
      </x:c>
      <x:c r="K2956" s="123" t="b">
        <x:v>0</x:v>
      </x:c>
      <x:c r="L2956" s="117"/>
      <x:c r="M2956" s="118"/>
      <x:c r="N2956" s="120" t="n">
        <x:v>46072.46991898148</x:v>
      </x:c>
      <x:c r="O2956" s="117" t="str">
        <x:v>Sacha Pearce</x:v>
      </x:c>
      <x:c r="P2956" s="120" t="n">
        <x:v>46072.47008101852</x:v>
      </x:c>
      <x:c r="Q2956" s="117" t="str">
        <x:v>Sacha Pearce</x:v>
      </x:c>
      <x:c r="R2956" s="117" t="str">
        <x:v>Static Fluoro</x:v>
      </x:c>
      <x:c r="S2956" s="119" t="str">
        <x:v>04/04/2025 (BW) - Updating this checksheet to follow the updated functionality
25/01/2025 - V6 - SP - Updating to match new FSL standards</x:v>
      </x:c>
    </x:row>
    <x:row r="2957" ht="30" customHeight="1">
      <x:c r="A2957" s="117" t="str">
        <x:v>Static_X_Ray_CR_Checklist</x:v>
      </x:c>
      <x:c r="B2957" s="117" t="str">
        <x:v>300Ro00000Pz0ktIAB</x:v>
      </x:c>
      <x:c r="C2957" s="117" t="str">
        <x:v>301Ro00000Sd0UtIAJ</x:v>
      </x:c>
      <x:c r="D2957" s="118" t="n">
        <x:v>1</x:v>
      </x:c>
      <x:c r="E2957" s="117" t="str">
        <x:v>Obsolete</x:v>
      </x:c>
      <x:c r="F2957" s="117" t="str">
        <x:v>No</x:v>
      </x:c>
      <x:c r="G2957" s="117" t="str">
        <x:v>No</x:v>
      </x:c>
      <x:c r="H2957" s="117" t="str">
        <x:v>FieldServiceMobile</x:v>
      </x:c>
      <x:c r="I2957" s="118"/>
      <x:c r="J2957" s="117" t="str">
        <x:v>unmanaged</x:v>
      </x:c>
      <x:c r="K2957" s="123" t="b">
        <x:v>0</x:v>
      </x:c>
      <x:c r="L2957" s="117"/>
      <x:c r="M2957" s="118"/>
      <x:c r="N2957" s="120" t="n">
        <x:v>45680.21664351852</x:v>
      </x:c>
      <x:c r="O2957" s="117" t="str">
        <x:v>Delegate</x:v>
      </x:c>
      <x:c r="P2957" s="120" t="n">
        <x:v>45681.98401620371</x:v>
      </x:c>
      <x:c r="Q2957" s="117" t="str">
        <x:v>Delegate</x:v>
      </x:c>
      <x:c r="R2957" s="117" t="str">
        <x:v>Static X-Ray CR Checklist</x:v>
      </x:c>
      <x:c r="S2957" s="119" t="str">
        <x:v>checklistoutput</x:v>
      </x:c>
    </x:row>
    <x:row r="2958" ht="30" customHeight="1">
      <x:c r="A2958" s="117" t="str">
        <x:v>Static_X_Ray_CR_Checklist</x:v>
      </x:c>
      <x:c r="B2958" s="117" t="str">
        <x:v>300Ro00000Pz0ktIAB</x:v>
      </x:c>
      <x:c r="C2958" s="117" t="str">
        <x:v>301Ro00000SkOvGIAV</x:v>
      </x:c>
      <x:c r="D2958" s="118" t="n">
        <x:v>2</x:v>
      </x:c>
      <x:c r="E2958" s="117" t="str">
        <x:v>Obsolete</x:v>
      </x:c>
      <x:c r="F2958" s="117" t="str">
        <x:v>No</x:v>
      </x:c>
      <x:c r="G2958" s="117" t="str">
        <x:v>No</x:v>
      </x:c>
      <x:c r="H2958" s="117" t="str">
        <x:v>FieldServiceMobile</x:v>
      </x:c>
      <x:c r="I2958" s="118"/>
      <x:c r="J2958" s="117" t="str">
        <x:v>unmanaged</x:v>
      </x:c>
      <x:c r="K2958" s="123" t="b">
        <x:v>0</x:v>
      </x:c>
      <x:c r="L2958" s="117"/>
      <x:c r="M2958" s="118"/>
      <x:c r="N2958" s="120" t="n">
        <x:v>45681.81354166667</x:v>
      </x:c>
      <x:c r="O2958" s="117" t="str">
        <x:v>Delegate</x:v>
      </x:c>
      <x:c r="P2958" s="120" t="n">
        <x:v>45681.81375</x:v>
      </x:c>
      <x:c r="Q2958" s="117" t="str">
        <x:v>Delegate</x:v>
      </x:c>
      <x:c r="R2958" s="117" t="str">
        <x:v>Static X-Ray CR Checklist</x:v>
      </x:c>
      <x:c r="S2958" s="119" t="str">
        <x:v>checklistoutput</x:v>
      </x:c>
    </x:row>
    <x:row r="2959" ht="30" customHeight="1">
      <x:c r="A2959" s="117" t="str">
        <x:v>Static_X_Ray_CR_Checklist</x:v>
      </x:c>
      <x:c r="B2959" s="117" t="str">
        <x:v>300Ro00000Pz0ktIAB</x:v>
      </x:c>
      <x:c r="C2959" s="117" t="str">
        <x:v>301Ro00000Sl0ZFIAZ</x:v>
      </x:c>
      <x:c r="D2959" s="118" t="n">
        <x:v>3</x:v>
      </x:c>
      <x:c r="E2959" s="117" t="str">
        <x:v>Obsolete</x:v>
      </x:c>
      <x:c r="F2959" s="117" t="str">
        <x:v>No</x:v>
      </x:c>
      <x:c r="G2959" s="117" t="str">
        <x:v>No</x:v>
      </x:c>
      <x:c r="H2959" s="117" t="str">
        <x:v>FieldServiceMobile</x:v>
      </x:c>
      <x:c r="I2959" s="118"/>
      <x:c r="J2959" s="117" t="str">
        <x:v>unmanaged</x:v>
      </x:c>
      <x:c r="K2959" s="123" t="b">
        <x:v>0</x:v>
      </x:c>
      <x:c r="L2959" s="117"/>
      <x:c r="M2959" s="118"/>
      <x:c r="N2959" s="120" t="n">
        <x:v>45681.96090277778</x:v>
      </x:c>
      <x:c r="O2959" s="117" t="str">
        <x:v>Delegate</x:v>
      </x:c>
      <x:c r="P2959" s="120" t="n">
        <x:v>45681.96103009259</x:v>
      </x:c>
      <x:c r="Q2959" s="117" t="str">
        <x:v>Delegate</x:v>
      </x:c>
      <x:c r="R2959" s="117" t="str">
        <x:v>Static X-Ray CR Checklist</x:v>
      </x:c>
      <x:c r="S2959" s="119" t="str">
        <x:v>checklistoutput</x:v>
      </x:c>
    </x:row>
    <x:row r="2960" ht="30" customHeight="1">
      <x:c r="A2960" s="117" t="str">
        <x:v>Static_X_Ray_CR_Checklist</x:v>
      </x:c>
      <x:c r="B2960" s="117" t="str">
        <x:v>300Ro00000Pz0ktIAB</x:v>
      </x:c>
      <x:c r="C2960" s="117" t="str">
        <x:v>301Ro00000SlDI1IAN</x:v>
      </x:c>
      <x:c r="D2960" s="118" t="n">
        <x:v>4</x:v>
      </x:c>
      <x:c r="E2960" s="117" t="str">
        <x:v>Obsolete</x:v>
      </x:c>
      <x:c r="F2960" s="117" t="str">
        <x:v>No</x:v>
      </x:c>
      <x:c r="G2960" s="117" t="str">
        <x:v>No</x:v>
      </x:c>
      <x:c r="H2960" s="117" t="str">
        <x:v>FieldServiceMobile</x:v>
      </x:c>
      <x:c r="I2960" s="118"/>
      <x:c r="J2960" s="117" t="str">
        <x:v>unmanaged</x:v>
      </x:c>
      <x:c r="K2960" s="123" t="b">
        <x:v>0</x:v>
      </x:c>
      <x:c r="L2960" s="117"/>
      <x:c r="M2960" s="118"/>
      <x:c r="N2960" s="120" t="n">
        <x:v>45681.96346064815</x:v>
      </x:c>
      <x:c r="O2960" s="117" t="str">
        <x:v>Delegate</x:v>
      </x:c>
      <x:c r="P2960" s="120" t="n">
        <x:v>45681.96361111111</x:v>
      </x:c>
      <x:c r="Q2960" s="117" t="str">
        <x:v>Delegate</x:v>
      </x:c>
      <x:c r="R2960" s="117" t="str">
        <x:v>Static X-Ray CR Checklist</x:v>
      </x:c>
      <x:c r="S2960" s="119" t="str">
        <x:v>checklistoutput</x:v>
      </x:c>
    </x:row>
    <x:row r="2961" ht="30" customHeight="1">
      <x:c r="A2961" s="117" t="str">
        <x:v>Static_X_Ray_CR_Checklist</x:v>
      </x:c>
      <x:c r="B2961" s="117" t="str">
        <x:v>300Ro00000Pz0ktIAB</x:v>
      </x:c>
      <x:c r="C2961" s="117" t="str">
        <x:v>301Ro00000SlIpOIAV</x:v>
      </x:c>
      <x:c r="D2961" s="118" t="n">
        <x:v>5</x:v>
      </x:c>
      <x:c r="E2961" s="117" t="str">
        <x:v>Obsolete</x:v>
      </x:c>
      <x:c r="F2961" s="117" t="str">
        <x:v>No</x:v>
      </x:c>
      <x:c r="G2961" s="117" t="str">
        <x:v>No</x:v>
      </x:c>
      <x:c r="H2961" s="117" t="str">
        <x:v>FieldServiceMobile</x:v>
      </x:c>
      <x:c r="I2961" s="118"/>
      <x:c r="J2961" s="117" t="str">
        <x:v>unmanaged</x:v>
      </x:c>
      <x:c r="K2961" s="123" t="b">
        <x:v>0</x:v>
      </x:c>
      <x:c r="L2961" s="117"/>
      <x:c r="M2961" s="118"/>
      <x:c r="N2961" s="120" t="n">
        <x:v>45681.966631944444</x:v>
      </x:c>
      <x:c r="O2961" s="117" t="str">
        <x:v>Delegate</x:v>
      </x:c>
      <x:c r="P2961" s="120" t="n">
        <x:v>45681.96681712963</x:v>
      </x:c>
      <x:c r="Q2961" s="117" t="str">
        <x:v>Delegate</x:v>
      </x:c>
      <x:c r="R2961" s="117" t="str">
        <x:v>Static X-Ray CR Checklist</x:v>
      </x:c>
      <x:c r="S2961" s="119" t="str">
        <x:v>checklistoutput</x:v>
      </x:c>
    </x:row>
    <x:row r="2962" ht="30" customHeight="1">
      <x:c r="A2962" s="117" t="str">
        <x:v>Static_X_Ray_CR_Checklist</x:v>
      </x:c>
      <x:c r="B2962" s="117" t="str">
        <x:v>300Ro00000Pz0ktIAB</x:v>
      </x:c>
      <x:c r="C2962" s="117" t="str">
        <x:v>301Ro00000SlBPmIAN</x:v>
      </x:c>
      <x:c r="D2962" s="118" t="n">
        <x:v>6</x:v>
      </x:c>
      <x:c r="E2962" s="117" t="str">
        <x:v>Obsolete</x:v>
      </x:c>
      <x:c r="F2962" s="117" t="str">
        <x:v>No</x:v>
      </x:c>
      <x:c r="G2962" s="117" t="str">
        <x:v>No</x:v>
      </x:c>
      <x:c r="H2962" s="117" t="str">
        <x:v>FieldServiceMobile</x:v>
      </x:c>
      <x:c r="I2962" s="118"/>
      <x:c r="J2962" s="117" t="str">
        <x:v>unmanaged</x:v>
      </x:c>
      <x:c r="K2962" s="123" t="b">
        <x:v>0</x:v>
      </x:c>
      <x:c r="L2962" s="117"/>
      <x:c r="M2962" s="118"/>
      <x:c r="N2962" s="120" t="n">
        <x:v>45681.96842592592</x:v>
      </x:c>
      <x:c r="O2962" s="117" t="str">
        <x:v>Delegate</x:v>
      </x:c>
      <x:c r="P2962" s="120" t="n">
        <x:v>45681.96861111111</x:v>
      </x:c>
      <x:c r="Q2962" s="117" t="str">
        <x:v>Delegate</x:v>
      </x:c>
      <x:c r="R2962" s="117" t="str">
        <x:v>Static X-Ray CR Checklist</x:v>
      </x:c>
      <x:c r="S2962" s="119" t="str">
        <x:v>checklistoutput</x:v>
      </x:c>
    </x:row>
    <x:row r="2963" ht="30" customHeight="1">
      <x:c r="A2963" s="117" t="str">
        <x:v>Static_X_Ray_CR_Checklist</x:v>
      </x:c>
      <x:c r="B2963" s="117" t="str">
        <x:v>300Ro00000Pz0ktIAB</x:v>
      </x:c>
      <x:c r="C2963" s="117" t="str">
        <x:v>301Ro00000SlHtKIAV</x:v>
      </x:c>
      <x:c r="D2963" s="118" t="n">
        <x:v>7</x:v>
      </x:c>
      <x:c r="E2963" s="117" t="str">
        <x:v>Obsolete</x:v>
      </x:c>
      <x:c r="F2963" s="117" t="str">
        <x:v>No</x:v>
      </x:c>
      <x:c r="G2963" s="117" t="str">
        <x:v>No</x:v>
      </x:c>
      <x:c r="H2963" s="117" t="str">
        <x:v>FieldServiceMobile</x:v>
      </x:c>
      <x:c r="I2963" s="118"/>
      <x:c r="J2963" s="117" t="str">
        <x:v>unmanaged</x:v>
      </x:c>
      <x:c r="K2963" s="123" t="b">
        <x:v>0</x:v>
      </x:c>
      <x:c r="L2963" s="117"/>
      <x:c r="M2963" s="118"/>
      <x:c r="N2963" s="120" t="n">
        <x:v>45681.97293981481</x:v>
      </x:c>
      <x:c r="O2963" s="117" t="str">
        <x:v>Delegate</x:v>
      </x:c>
      <x:c r="P2963" s="120" t="n">
        <x:v>45681.97304398148</x:v>
      </x:c>
      <x:c r="Q2963" s="117" t="str">
        <x:v>Delegate</x:v>
      </x:c>
      <x:c r="R2963" s="117" t="str">
        <x:v>Static X-Ray CR Checklist</x:v>
      </x:c>
      <x:c r="S2963" s="119" t="str">
        <x:v>checklistoutput</x:v>
      </x:c>
    </x:row>
    <x:row r="2964" ht="30" customHeight="1">
      <x:c r="A2964" s="117" t="str">
        <x:v>Static_X_Ray_CR_Checklist</x:v>
      </x:c>
      <x:c r="B2964" s="117" t="str">
        <x:v>300Ro00000Pz0ktIAB</x:v>
      </x:c>
      <x:c r="C2964" s="117" t="str">
        <x:v>301Ro00000Sl9FwIAJ</x:v>
      </x:c>
      <x:c r="D2964" s="118" t="n">
        <x:v>8</x:v>
      </x:c>
      <x:c r="E2964" s="117" t="str">
        <x:v>Obsolete</x:v>
      </x:c>
      <x:c r="F2964" s="117" t="str">
        <x:v>No</x:v>
      </x:c>
      <x:c r="G2964" s="117" t="str">
        <x:v>No</x:v>
      </x:c>
      <x:c r="H2964" s="117" t="str">
        <x:v>FieldServiceMobile</x:v>
      </x:c>
      <x:c r="I2964" s="118"/>
      <x:c r="J2964" s="117" t="str">
        <x:v>unmanaged</x:v>
      </x:c>
      <x:c r="K2964" s="123" t="b">
        <x:v>0</x:v>
      </x:c>
      <x:c r="L2964" s="117"/>
      <x:c r="M2964" s="118"/>
      <x:c r="N2964" s="120" t="n">
        <x:v>45681.97408564815</x:v>
      </x:c>
      <x:c r="O2964" s="117" t="str">
        <x:v>Delegate</x:v>
      </x:c>
      <x:c r="P2964" s="120" t="n">
        <x:v>45681.974224537036</x:v>
      </x:c>
      <x:c r="Q2964" s="117" t="str">
        <x:v>Delegate</x:v>
      </x:c>
      <x:c r="R2964" s="117" t="str">
        <x:v>Static X-Ray CR Checklist</x:v>
      </x:c>
      <x:c r="S2964" s="119" t="str">
        <x:v>checklistoutput</x:v>
      </x:c>
    </x:row>
    <x:row r="2965" ht="30" customHeight="1">
      <x:c r="A2965" s="117" t="str">
        <x:v>Static_X_Ray_CR_Checklist</x:v>
      </x:c>
      <x:c r="B2965" s="117" t="str">
        <x:v>300Ro00000Pz0ktIAB</x:v>
      </x:c>
      <x:c r="C2965" s="117" t="str">
        <x:v>301Ro00000SlHIHIA3</x:v>
      </x:c>
      <x:c r="D2965" s="118" t="n">
        <x:v>9</x:v>
      </x:c>
      <x:c r="E2965" s="117" t="str">
        <x:v>Obsolete</x:v>
      </x:c>
      <x:c r="F2965" s="117" t="str">
        <x:v>No</x:v>
      </x:c>
      <x:c r="G2965" s="117" t="str">
        <x:v>No</x:v>
      </x:c>
      <x:c r="H2965" s="117" t="str">
        <x:v>FieldServiceMobile</x:v>
      </x:c>
      <x:c r="I2965" s="118"/>
      <x:c r="J2965" s="117" t="str">
        <x:v>unmanaged</x:v>
      </x:c>
      <x:c r="K2965" s="123" t="b">
        <x:v>0</x:v>
      </x:c>
      <x:c r="L2965" s="117"/>
      <x:c r="M2965" s="118"/>
      <x:c r="N2965" s="120" t="n">
        <x:v>45681.97704861111</x:v>
      </x:c>
      <x:c r="O2965" s="117" t="str">
        <x:v>Delegate</x:v>
      </x:c>
      <x:c r="P2965" s="120" t="n">
        <x:v>45681.9771875</x:v>
      </x:c>
      <x:c r="Q2965" s="117" t="str">
        <x:v>Delegate</x:v>
      </x:c>
      <x:c r="R2965" s="117" t="str">
        <x:v>Static X-Ray CR Checklist</x:v>
      </x:c>
      <x:c r="S2965" s="119" t="str">
        <x:v>checklistoutput</x:v>
      </x:c>
    </x:row>
    <x:row r="2966" ht="30" customHeight="1">
      <x:c r="A2966" s="117" t="str">
        <x:v>Static_X_Ray_CR_Checklist</x:v>
      </x:c>
      <x:c r="B2966" s="117" t="str">
        <x:v>300Ro00000Pz0ktIAB</x:v>
      </x:c>
      <x:c r="C2966" s="117" t="str">
        <x:v>301Ro00000Skzy9IAB</x:v>
      </x:c>
      <x:c r="D2966" s="118" t="n">
        <x:v>10</x:v>
      </x:c>
      <x:c r="E2966" s="117" t="str">
        <x:v>Obsolete</x:v>
      </x:c>
      <x:c r="F2966" s="117" t="str">
        <x:v>No</x:v>
      </x:c>
      <x:c r="G2966" s="117" t="str">
        <x:v>No</x:v>
      </x:c>
      <x:c r="H2966" s="117" t="str">
        <x:v>FieldServiceMobile</x:v>
      </x:c>
      <x:c r="I2966" s="118"/>
      <x:c r="J2966" s="117" t="str">
        <x:v>unmanaged</x:v>
      </x:c>
      <x:c r="K2966" s="123" t="b">
        <x:v>0</x:v>
      </x:c>
      <x:c r="L2966" s="117"/>
      <x:c r="M2966" s="118"/>
      <x:c r="N2966" s="120" t="n">
        <x:v>45681.97982638889</x:v>
      </x:c>
      <x:c r="O2966" s="117" t="str">
        <x:v>Delegate</x:v>
      </x:c>
      <x:c r="P2966" s="120" t="n">
        <x:v>45681.97997685185</x:v>
      </x:c>
      <x:c r="Q2966" s="117" t="str">
        <x:v>Delegate</x:v>
      </x:c>
      <x:c r="R2966" s="117" t="str">
        <x:v>Static X-Ray CR Checklist</x:v>
      </x:c>
      <x:c r="S2966" s="119" t="str">
        <x:v>checklistoutput</x:v>
      </x:c>
    </x:row>
    <x:row r="2967" ht="30" customHeight="1">
      <x:c r="A2967" s="117" t="str">
        <x:v>Static_X_Ray_CR_Checklist</x:v>
      </x:c>
      <x:c r="B2967" s="117" t="str">
        <x:v>300Ro00000Pz0ktIAB</x:v>
      </x:c>
      <x:c r="C2967" s="117" t="str">
        <x:v>301Ro00000SpOwRIAV</x:v>
      </x:c>
      <x:c r="D2967" s="118" t="n">
        <x:v>11</x:v>
      </x:c>
      <x:c r="E2967" s="117" t="str">
        <x:v>Obsolete</x:v>
      </x:c>
      <x:c r="F2967" s="117" t="str">
        <x:v>No</x:v>
      </x:c>
      <x:c r="G2967" s="117" t="str">
        <x:v>No</x:v>
      </x:c>
      <x:c r="H2967" s="117" t="str">
        <x:v>FieldServiceMobile</x:v>
      </x:c>
      <x:c r="I2967" s="118"/>
      <x:c r="J2967" s="117" t="str">
        <x:v>unmanaged</x:v>
      </x:c>
      <x:c r="K2967" s="123" t="b">
        <x:v>0</x:v>
      </x:c>
      <x:c r="L2967" s="117"/>
      <x:c r="M2967" s="118"/>
      <x:c r="N2967" s="120" t="n">
        <x:v>45684.13625</x:v>
      </x:c>
      <x:c r="O2967" s="117" t="str">
        <x:v>Delegate</x:v>
      </x:c>
      <x:c r="P2967" s="120" t="n">
        <x:v>45684.13626157407</x:v>
      </x:c>
      <x:c r="Q2967" s="117" t="str">
        <x:v>Delegate</x:v>
      </x:c>
      <x:c r="R2967" s="117" t="str">
        <x:v>Static X-Ray CR Checklist</x:v>
      </x:c>
      <x:c r="S2967" s="119" t="str">
        <x:v>01/25/2025 (BW) - Version to be used for testing</x:v>
      </x:c>
    </x:row>
    <x:row r="2968" ht="30" customHeight="1">
      <x:c r="A2968" s="117" t="str">
        <x:v>Static_X_Ray_CR_Checklist</x:v>
      </x:c>
      <x:c r="B2968" s="117" t="str">
        <x:v>300Ro00000Pz0ktIAB</x:v>
      </x:c>
      <x:c r="C2968" s="117" t="str">
        <x:v>301Ro00000SzDQ4IAN</x:v>
      </x:c>
      <x:c r="D2968" s="118" t="n">
        <x:v>12</x:v>
      </x:c>
      <x:c r="E2968" s="117" t="str">
        <x:v>Obsolete</x:v>
      </x:c>
      <x:c r="F2968" s="117" t="str">
        <x:v>No</x:v>
      </x:c>
      <x:c r="G2968" s="117" t="str">
        <x:v>No</x:v>
      </x:c>
      <x:c r="H2968" s="117" t="str">
        <x:v>FieldServiceMobile</x:v>
      </x:c>
      <x:c r="I2968" s="118"/>
      <x:c r="J2968" s="117" t="str">
        <x:v>unmanaged</x:v>
      </x:c>
      <x:c r="K2968" s="123" t="b">
        <x:v>0</x:v>
      </x:c>
      <x:c r="L2968" s="117"/>
      <x:c r="M2968" s="118"/>
      <x:c r="N2968" s="120" t="n">
        <x:v>45686.49731481481</x:v>
      </x:c>
      <x:c r="O2968" s="117" t="str">
        <x:v>Delegate</x:v>
      </x:c>
      <x:c r="P2968" s="120" t="n">
        <x:v>45686.49743055556</x:v>
      </x:c>
      <x:c r="Q2968" s="117" t="str">
        <x:v>Delegate</x:v>
      </x:c>
      <x:c r="R2968" s="117" t="str">
        <x:v>Static X-Ray CR Checklist</x:v>
      </x:c>
      <x:c r="S2968" s="119" t="str">
        <x:v>01/29/2025 (BW) - Updated required fields</x:v>
      </x:c>
    </x:row>
    <x:row r="2969" ht="30" customHeight="1">
      <x:c r="A2969" s="117" t="str">
        <x:v>Static_X_Ray_CR_Checklist</x:v>
      </x:c>
      <x:c r="B2969" s="117" t="str">
        <x:v>300Ro00000Pz0ktIAB</x:v>
      </x:c>
      <x:c r="C2969" s="117" t="str">
        <x:v>301Ro00000VuLO9IAN</x:v>
      </x:c>
      <x:c r="D2969" s="118" t="n">
        <x:v>13</x:v>
      </x:c>
      <x:c r="E2969" s="117" t="str">
        <x:v>Obsolete</x:v>
      </x:c>
      <x:c r="F2969" s="117" t="str">
        <x:v>No</x:v>
      </x:c>
      <x:c r="G2969" s="117" t="str">
        <x:v>No</x:v>
      </x:c>
      <x:c r="H2969" s="117" t="str">
        <x:v>FieldServiceMobile</x:v>
      </x:c>
      <x:c r="I2969" s="118"/>
      <x:c r="J2969" s="117" t="str">
        <x:v>unmanaged</x:v>
      </x:c>
      <x:c r="K2969" s="123" t="b">
        <x:v>0</x:v>
      </x:c>
      <x:c r="L2969" s="117"/>
      <x:c r="M2969" s="118"/>
      <x:c r="N2969" s="120" t="n">
        <x:v>45735.50465277778</x:v>
      </x:c>
      <x:c r="O2969" s="117" t="str">
        <x:v>Delegate</x:v>
      </x:c>
      <x:c r="P2969" s="120" t="n">
        <x:v>45735.5047337963</x:v>
      </x:c>
      <x:c r="Q2969" s="117" t="str">
        <x:v>Delegate</x:v>
      </x:c>
      <x:c r="R2969" s="117" t="str">
        <x:v>Static X-Ray CR Checklist</x:v>
      </x:c>
      <x:c r="S2969" s="119" t="str">
        <x:v>03/19/2025 (BW) - Change AEC Back-Up to Cut Off</x:v>
      </x:c>
    </x:row>
    <x:row r="2970" ht="30" customHeight="1">
      <x:c r="A2970" s="117" t="str">
        <x:v>Static_X_Ray_CR_Checklist</x:v>
      </x:c>
      <x:c r="B2970" s="117" t="str">
        <x:v>300Ro00000Pz0ktIAB</x:v>
      </x:c>
      <x:c r="C2970" s="117" t="str">
        <x:v>301Ro00000WxgHZIAZ</x:v>
      </x:c>
      <x:c r="D2970" s="118" t="n">
        <x:v>14</x:v>
      </x:c>
      <x:c r="E2970" s="117" t="str">
        <x:v>Obsolete</x:v>
      </x:c>
      <x:c r="F2970" s="117" t="str">
        <x:v>No</x:v>
      </x:c>
      <x:c r="G2970" s="117" t="str">
        <x:v>No</x:v>
      </x:c>
      <x:c r="H2970" s="117" t="str">
        <x:v>FieldServiceMobile</x:v>
      </x:c>
      <x:c r="I2970" s="118"/>
      <x:c r="J2970" s="117" t="str">
        <x:v>unmanaged</x:v>
      </x:c>
      <x:c r="K2970" s="123" t="b">
        <x:v>0</x:v>
      </x:c>
      <x:c r="L2970" s="117"/>
      <x:c r="M2970" s="118"/>
      <x:c r="N2970" s="120" t="n">
        <x:v>45754.54356481481</x:v>
      </x:c>
      <x:c r="O2970" s="117" t="str">
        <x:v>Delegate</x:v>
      </x:c>
      <x:c r="P2970" s="120" t="n">
        <x:v>45754.54403935185</x:v>
      </x:c>
      <x:c r="Q2970" s="117" t="str">
        <x:v>Delegate</x:v>
      </x:c>
      <x:c r="R2970" s="117" t="str">
        <x:v>Static X-Ray CR Checklist</x:v>
      </x:c>
      <x:c r="S2970" s="119" t="str">
        <x:v>04/04/2025 (BW) - Updating the methodology to use the new checksheet methodology</x:v>
      </x:c>
    </x:row>
    <x:row r="2971" ht="30" customHeight="1">
      <x:c r="A2971" s="117" t="str">
        <x:v>Static_X_Ray_CR_Checklist</x:v>
      </x:c>
      <x:c r="B2971" s="117" t="str">
        <x:v>300Ro00000Pz0ktIAB</x:v>
      </x:c>
      <x:c r="C2971" s="117" t="str">
        <x:v>301Ro00000vW2VuIAK</x:v>
      </x:c>
      <x:c r="D2971" s="118" t="n">
        <x:v>15</x:v>
      </x:c>
      <x:c r="E2971" s="117" t="str">
        <x:v>Obsolete</x:v>
      </x:c>
      <x:c r="F2971" s="117" t="str">
        <x:v>No</x:v>
      </x:c>
      <x:c r="G2971" s="117" t="str">
        <x:v>No</x:v>
      </x:c>
      <x:c r="H2971" s="117" t="str">
        <x:v>FieldServiceMobile</x:v>
      </x:c>
      <x:c r="I2971" s="118"/>
      <x:c r="J2971" s="117" t="str">
        <x:v>unmanaged</x:v>
      </x:c>
      <x:c r="K2971" s="123" t="b">
        <x:v>0</x:v>
      </x:c>
      <x:c r="L2971" s="117"/>
      <x:c r="M2971" s="118"/>
      <x:c r="N2971" s="120" t="n">
        <x:v>46033.708819444444</x:v>
      </x:c>
      <x:c r="O2971" s="117" t="str">
        <x:v>Sacha Pearce</x:v>
      </x:c>
      <x:c r="P2971" s="120" t="n">
        <x:v>46040.586481481485</x:v>
      </x:c>
      <x:c r="Q2971" s="117" t="str">
        <x:v>Sacha Pearce</x:v>
      </x:c>
      <x:c r="R2971" s="117" t="str">
        <x:v>Static X-Ray CR Checklist</x:v>
      </x:c>
      <x:c r="S2971" s="119" t="str">
        <x:v>04/04/2025 (BW) - Updating the methodology to use the new checksheet methodology
10/01/2025 - V15 - SP - Updating the Flow to update the Service Appointment fields instead of generating HTML</x:v>
      </x:c>
    </x:row>
    <x:row r="2972" ht="30" customHeight="1">
      <x:c r="A2972" s="117" t="str">
        <x:v>Static_X_Ray_CR_Checklist</x:v>
      </x:c>
      <x:c r="B2972" s="117" t="str">
        <x:v>300Ro00000Pz0ktIAB</x:v>
      </x:c>
      <x:c r="C2972" s="117" t="str">
        <x:v>301Ro00000yhPHMIA2</x:v>
      </x:c>
      <x:c r="D2972" s="118" t="n">
        <x:v>16</x:v>
      </x:c>
      <x:c r="E2972" s="117" t="str">
        <x:v>Obsolete</x:v>
      </x:c>
      <x:c r="F2972" s="117" t="str">
        <x:v>No</x:v>
      </x:c>
      <x:c r="G2972" s="117" t="str">
        <x:v>No</x:v>
      </x:c>
      <x:c r="H2972" s="117" t="str">
        <x:v>FieldServiceMobile</x:v>
      </x:c>
      <x:c r="I2972" s="118"/>
      <x:c r="J2972" s="117" t="str">
        <x:v>unmanaged</x:v>
      </x:c>
      <x:c r="K2972" s="123" t="b">
        <x:v>0</x:v>
      </x:c>
      <x:c r="L2972" s="117"/>
      <x:c r="M2972" s="118"/>
      <x:c r="N2972" s="120" t="n">
        <x:v>46072.47033564815</x:v>
      </x:c>
      <x:c r="O2972" s="117" t="str">
        <x:v>Sacha Pearce</x:v>
      </x:c>
      <x:c r="P2972" s="120" t="n">
        <x:v>46072.47041666666</x:v>
      </x:c>
      <x:c r="Q2972" s="117" t="str">
        <x:v>Sacha Pearce</x:v>
      </x:c>
      <x:c r="R2972" s="117" t="str">
        <x:v>Static X-Ray CR Checklist</x:v>
      </x:c>
      <x:c r="S2972" s="119" t="str">
        <x:v>04/04/2025 (BW) - Updating the methodology to use the new checksheet methodology
10/01/2025 - V15 - SP - Updating the Flow to update the Service Appointment fields instead of generating HTML</x:v>
      </x:c>
    </x:row>
    <x:row r="2973" ht="30" customHeight="1">
      <x:c r="A2973" s="117" t="str">
        <x:v>Static_X_Ray_CR_Checklist</x:v>
      </x:c>
      <x:c r="B2973" s="117" t="str">
        <x:v>300Ro00000Pz0ktIAB</x:v>
      </x:c>
      <x:c r="C2973" s="117" t="str">
        <x:v>301Ro000010VcIEIA0</x:v>
      </x:c>
      <x:c r="D2973" s="118" t="n">
        <x:v>17</x:v>
      </x:c>
      <x:c r="E2973" s="117" t="str">
        <x:v>Active</x:v>
      </x:c>
      <x:c r="F2973" s="117" t="str">
        <x:v>Yes</x:v>
      </x:c>
      <x:c r="G2973" s="117" t="str">
        <x:v>Yes</x:v>
      </x:c>
      <x:c r="H2973" s="117" t="str">
        <x:v>FieldServiceMobile</x:v>
      </x:c>
      <x:c r="I2973" s="118"/>
      <x:c r="J2973" s="117" t="str">
        <x:v>unmanaged</x:v>
      </x:c>
      <x:c r="K2973" s="123" t="b">
        <x:v>0</x:v>
      </x:c>
      <x:c r="L2973" s="117"/>
      <x:c r="M2973" s="118"/>
      <x:c r="N2973" s="120" t="n">
        <x:v>46094.68519675926</x:v>
      </x:c>
      <x:c r="O2973" s="117" t="str">
        <x:v>Sacha Pearce</x:v>
      </x:c>
      <x:c r="P2973" s="120" t="n">
        <x:v>46094.6853587963</x:v>
      </x:c>
      <x:c r="Q2973" s="117" t="str">
        <x:v>Sacha Pearce</x:v>
      </x:c>
      <x:c r="R2973" s="117" t="str">
        <x:v>Static X-Ray CR Checklist</x:v>
      </x:c>
      <x:c r="S2973" s="119" t="str">
        <x:v>04/04/2025 (BW) - Updating the methodology to use the new checksheet methodology
10/01/2025 - V15 - SP - Updating the Flow to update the Service Appointment fields instead of generating HTML</x:v>
      </x:c>
    </x:row>
    <x:row r="2974" ht="30" customHeight="1">
      <x:c r="A2974" s="117" t="str">
        <x:v>Statix_X_Ray_DDR_Checklist</x:v>
      </x:c>
      <x:c r="B2974" s="117" t="str">
        <x:v>300Ro00000Pz0kuIAB</x:v>
      </x:c>
      <x:c r="C2974" s="117" t="str">
        <x:v>301Ro00000Sd0UuIAJ</x:v>
      </x:c>
      <x:c r="D2974" s="118" t="n">
        <x:v>1</x:v>
      </x:c>
      <x:c r="E2974" s="117" t="str">
        <x:v>Obsolete</x:v>
      </x:c>
      <x:c r="F2974" s="117" t="str">
        <x:v>No</x:v>
      </x:c>
      <x:c r="G2974" s="117" t="str">
        <x:v>No</x:v>
      </x:c>
      <x:c r="H2974" s="117" t="str">
        <x:v>FieldServiceMobile</x:v>
      </x:c>
      <x:c r="I2974" s="118"/>
      <x:c r="J2974" s="117" t="str">
        <x:v>unmanaged</x:v>
      </x:c>
      <x:c r="K2974" s="123" t="b">
        <x:v>0</x:v>
      </x:c>
      <x:c r="L2974" s="117"/>
      <x:c r="M2974" s="118"/>
      <x:c r="N2974" s="120" t="n">
        <x:v>45680.21673611111</x:v>
      </x:c>
      <x:c r="O2974" s="117" t="str">
        <x:v>Delegate</x:v>
      </x:c>
      <x:c r="P2974" s="120" t="n">
        <x:v>45680.216770833336</x:v>
      </x:c>
      <x:c r="Q2974" s="117" t="str">
        <x:v>Delegate</x:v>
      </x:c>
      <x:c r="R2974" s="117" t="str">
        <x:v>Statix X-Ray DDR Checklist</x:v>
      </x:c>
      <x:c r="S2974" s="119" t="str">
        <x:v>checklistoutput</x:v>
      </x:c>
    </x:row>
    <x:row r="2975" ht="30" customHeight="1">
      <x:c r="A2975" s="117" t="str">
        <x:v>Statix_X_Ray_DDR_Checklist</x:v>
      </x:c>
      <x:c r="B2975" s="117" t="str">
        <x:v>300Ro00000Pz0kuIAB</x:v>
      </x:c>
      <x:c r="C2975" s="117" t="str">
        <x:v>301Ro00000SpOwSIAV</x:v>
      </x:c>
      <x:c r="D2975" s="118" t="n">
        <x:v>2</x:v>
      </x:c>
      <x:c r="E2975" s="117" t="str">
        <x:v>Obsolete</x:v>
      </x:c>
      <x:c r="F2975" s="117" t="str">
        <x:v>No</x:v>
      </x:c>
      <x:c r="G2975" s="117" t="str">
        <x:v>No</x:v>
      </x:c>
      <x:c r="H2975" s="117" t="str">
        <x:v>FieldServiceMobile</x:v>
      </x:c>
      <x:c r="I2975" s="118"/>
      <x:c r="J2975" s="117" t="str">
        <x:v>unmanaged</x:v>
      </x:c>
      <x:c r="K2975" s="123" t="b">
        <x:v>0</x:v>
      </x:c>
      <x:c r="L2975" s="117"/>
      <x:c r="M2975" s="118"/>
      <x:c r="N2975" s="120" t="n">
        <x:v>45684.13630787037</x:v>
      </x:c>
      <x:c r="O2975" s="117" t="str">
        <x:v>Delegate</x:v>
      </x:c>
      <x:c r="P2975" s="120" t="n">
        <x:v>45684.13631944444</x:v>
      </x:c>
      <x:c r="Q2975" s="117" t="str">
        <x:v>Delegate</x:v>
      </x:c>
      <x:c r="R2975" s="117" t="str">
        <x:v>Statix X-Ray DDR Checklist</x:v>
      </x:c>
      <x:c r="S2975" s="119" t="str">
        <x:v>01/25/2025 (BW) - Version to be used for testing</x:v>
      </x:c>
    </x:row>
    <x:row r="2976" ht="30" customHeight="1">
      <x:c r="A2976" s="117" t="str">
        <x:v>Statix_X_Ray_DDR_Checklist</x:v>
      </x:c>
      <x:c r="B2976" s="117" t="str">
        <x:v>300Ro00000Pz0kuIAB</x:v>
      </x:c>
      <x:c r="C2976" s="117" t="str">
        <x:v>301Ro00000SpN2UIAV</x:v>
      </x:c>
      <x:c r="D2976" s="118" t="n">
        <x:v>3</x:v>
      </x:c>
      <x:c r="E2976" s="117" t="str">
        <x:v>Obsolete</x:v>
      </x:c>
      <x:c r="F2976" s="117" t="str">
        <x:v>No</x:v>
      </x:c>
      <x:c r="G2976" s="117" t="str">
        <x:v>No</x:v>
      </x:c>
      <x:c r="H2976" s="117" t="str">
        <x:v>FieldServiceMobile</x:v>
      </x:c>
      <x:c r="I2976" s="118"/>
      <x:c r="J2976" s="117" t="str">
        <x:v>unmanaged</x:v>
      </x:c>
      <x:c r="K2976" s="123" t="b">
        <x:v>0</x:v>
      </x:c>
      <x:c r="L2976" s="117"/>
      <x:c r="M2976" s="118"/>
      <x:c r="N2976" s="120" t="n">
        <x:v>45684.1384837963</x:v>
      </x:c>
      <x:c r="O2976" s="117" t="str">
        <x:v>Delegate</x:v>
      </x:c>
      <x:c r="P2976" s="120" t="n">
        <x:v>45684.13856481481</x:v>
      </x:c>
      <x:c r="Q2976" s="117" t="str">
        <x:v>Delegate</x:v>
      </x:c>
      <x:c r="R2976" s="117" t="str">
        <x:v>Statix X-Ray DDR Checklist</x:v>
      </x:c>
      <x:c r="S2976" s="119" t="str">
        <x:v>01/25/2025 (BW) - Version to be used for testing</x:v>
      </x:c>
    </x:row>
    <x:row r="2977" ht="30" customHeight="1">
      <x:c r="A2977" s="117" t="str">
        <x:v>Statix_X_Ray_DDR_Checklist</x:v>
      </x:c>
      <x:c r="B2977" s="117" t="str">
        <x:v>300Ro00000Pz0kuIAB</x:v>
      </x:c>
      <x:c r="C2977" s="117" t="str">
        <x:v>301Ro00000SzPxRIAV</x:v>
      </x:c>
      <x:c r="D2977" s="118" t="n">
        <x:v>4</x:v>
      </x:c>
      <x:c r="E2977" s="117" t="str">
        <x:v>Obsolete</x:v>
      </x:c>
      <x:c r="F2977" s="117" t="str">
        <x:v>No</x:v>
      </x:c>
      <x:c r="G2977" s="117" t="str">
        <x:v>No</x:v>
      </x:c>
      <x:c r="H2977" s="117" t="str">
        <x:v>FieldServiceMobile</x:v>
      </x:c>
      <x:c r="I2977" s="118"/>
      <x:c r="J2977" s="117" t="str">
        <x:v>unmanaged</x:v>
      </x:c>
      <x:c r="K2977" s="123" t="b">
        <x:v>0</x:v>
      </x:c>
      <x:c r="L2977" s="117"/>
      <x:c r="M2977" s="118"/>
      <x:c r="N2977" s="120" t="n">
        <x:v>45686.49998842592</x:v>
      </x:c>
      <x:c r="O2977" s="117" t="str">
        <x:v>Delegate</x:v>
      </x:c>
      <x:c r="P2977" s="120" t="n">
        <x:v>45686.500081018516</x:v>
      </x:c>
      <x:c r="Q2977" s="117" t="str">
        <x:v>Delegate</x:v>
      </x:c>
      <x:c r="R2977" s="117" t="str">
        <x:v>Statix X-Ray DDR Checklist</x:v>
      </x:c>
      <x:c r="S2977" s="119" t="str">
        <x:v>01/29/2025 (BW) - Updated required fields</x:v>
      </x:c>
    </x:row>
    <x:row r="2978" ht="30" customHeight="1">
      <x:c r="A2978" s="117" t="str">
        <x:v>Statix_X_Ray_DDR_Checklist</x:v>
      </x:c>
      <x:c r="B2978" s="117" t="str">
        <x:v>300Ro00000Pz0kuIAB</x:v>
      </x:c>
      <x:c r="C2978" s="117" t="str">
        <x:v>301Ro00000VuPwNIAV</x:v>
      </x:c>
      <x:c r="D2978" s="118" t="n">
        <x:v>5</x:v>
      </x:c>
      <x:c r="E2978" s="117" t="str">
        <x:v>Obsolete</x:v>
      </x:c>
      <x:c r="F2978" s="117" t="str">
        <x:v>No</x:v>
      </x:c>
      <x:c r="G2978" s="117" t="str">
        <x:v>No</x:v>
      </x:c>
      <x:c r="H2978" s="117" t="str">
        <x:v>FieldServiceMobile</x:v>
      </x:c>
      <x:c r="I2978" s="118"/>
      <x:c r="J2978" s="117" t="str">
        <x:v>unmanaged</x:v>
      </x:c>
      <x:c r="K2978" s="123" t="b">
        <x:v>0</x:v>
      </x:c>
      <x:c r="L2978" s="117"/>
      <x:c r="M2978" s="118"/>
      <x:c r="N2978" s="120" t="n">
        <x:v>45735.50537037037</x:v>
      </x:c>
      <x:c r="O2978" s="117" t="str">
        <x:v>Delegate</x:v>
      </x:c>
      <x:c r="P2978" s="120" t="n">
        <x:v>45735.50546296296</x:v>
      </x:c>
      <x:c r="Q2978" s="117" t="str">
        <x:v>Delegate</x:v>
      </x:c>
      <x:c r="R2978" s="117" t="str">
        <x:v>Statix X-Ray DDR Checklist</x:v>
      </x:c>
      <x:c r="S2978" s="119" t="str">
        <x:v>03/19/2025 (BW) - Updated AEC Back-up to AEC Cut Off</x:v>
      </x:c>
    </x:row>
    <x:row r="2979" ht="30" customHeight="1">
      <x:c r="A2979" s="117" t="str">
        <x:v>Statix_X_Ray_DDR_Checklist</x:v>
      </x:c>
      <x:c r="B2979" s="117" t="str">
        <x:v>300Ro00000Pz0kuIAB</x:v>
      </x:c>
      <x:c r="C2979" s="117" t="str">
        <x:v>301Ro00000WXefXIAT</x:v>
      </x:c>
      <x:c r="D2979" s="118" t="n">
        <x:v>6</x:v>
      </x:c>
      <x:c r="E2979" s="117" t="str">
        <x:v>Obsolete</x:v>
      </x:c>
      <x:c r="F2979" s="117" t="str">
        <x:v>No</x:v>
      </x:c>
      <x:c r="G2979" s="117" t="str">
        <x:v>No</x:v>
      </x:c>
      <x:c r="H2979" s="117" t="str">
        <x:v>FieldServiceMobile</x:v>
      </x:c>
      <x:c r="I2979" s="118"/>
      <x:c r="J2979" s="117" t="str">
        <x:v>unmanaged</x:v>
      </x:c>
      <x:c r="K2979" s="123" t="b">
        <x:v>0</x:v>
      </x:c>
      <x:c r="L2979" s="117"/>
      <x:c r="M2979" s="118"/>
      <x:c r="N2979" s="120" t="n">
        <x:v>45747.15422453704</x:v>
      </x:c>
      <x:c r="O2979" s="117" t="str">
        <x:v>Delegate</x:v>
      </x:c>
      <x:c r="P2979" s="120" t="n">
        <x:v>45747.15452546296</x:v>
      </x:c>
      <x:c r="Q2979" s="117" t="str">
        <x:v>Delegate</x:v>
      </x:c>
      <x:c r="R2979" s="117" t="str">
        <x:v>Statix X-Ray DDR Checklist</x:v>
      </x:c>
      <x:c r="S2979" s="119" t="str">
        <x:v>03/30/2025 (BW) - Updated to use the new methodology for saving and storing checksheet data</x:v>
      </x:c>
    </x:row>
    <x:row r="2980" ht="30" customHeight="1">
      <x:c r="A2980" s="117" t="str">
        <x:v>Statix_X_Ray_DDR_Checklist</x:v>
      </x:c>
      <x:c r="B2980" s="117" t="str">
        <x:v>300Ro00000Pz0kuIAB</x:v>
      </x:c>
      <x:c r="C2980" s="117" t="str">
        <x:v>301Ro00000WXmZnIAL</x:v>
      </x:c>
      <x:c r="D2980" s="118" t="n">
        <x:v>7</x:v>
      </x:c>
      <x:c r="E2980" s="117" t="str">
        <x:v>Draft</x:v>
      </x:c>
      <x:c r="F2980" s="117" t="str">
        <x:v>No</x:v>
      </x:c>
      <x:c r="G2980" s="117" t="str">
        <x:v>No</x:v>
      </x:c>
      <x:c r="H2980" s="117" t="str">
        <x:v>FieldServiceMobile</x:v>
      </x:c>
      <x:c r="I2980" s="118"/>
      <x:c r="J2980" s="117" t="str">
        <x:v>unmanaged</x:v>
      </x:c>
      <x:c r="K2980" s="123" t="b">
        <x:v>0</x:v>
      </x:c>
      <x:c r="L2980" s="117"/>
      <x:c r="M2980" s="118"/>
      <x:c r="N2980" s="120" t="n">
        <x:v>45747.18670138889</x:v>
      </x:c>
      <x:c r="O2980" s="117" t="str">
        <x:v>Delegate</x:v>
      </x:c>
      <x:c r="P2980" s="120" t="n">
        <x:v>45747.18677083333</x:v>
      </x:c>
      <x:c r="Q2980" s="117" t="str">
        <x:v>Delegate</x:v>
      </x:c>
      <x:c r="R2980" s="117" t="str">
        <x:v>Statix X-Ray DDR Checklist</x:v>
      </x:c>
      <x:c r="S2980" s="119" t="str">
        <x:v>03/30/2025 (BW) - Updated to use the new methodology for saving and storing checksheet data</x:v>
      </x:c>
    </x:row>
    <x:row r="2981" ht="30" customHeight="1">
      <x:c r="A2981" s="117" t="str">
        <x:v>Statix_X_Ray_DDR_Checklist</x:v>
      </x:c>
      <x:c r="B2981" s="117" t="str">
        <x:v>300Ro00000Pz0kuIAB</x:v>
      </x:c>
      <x:c r="C2981" s="117" t="str">
        <x:v>301Ro00000wYPKSIA4</x:v>
      </x:c>
      <x:c r="D2981" s="118" t="n">
        <x:v>8</x:v>
      </x:c>
      <x:c r="E2981" s="117" t="str">
        <x:v>Obsolete</x:v>
      </x:c>
      <x:c r="F2981" s="117" t="str">
        <x:v>No</x:v>
      </x:c>
      <x:c r="G2981" s="117" t="str">
        <x:v>No</x:v>
      </x:c>
      <x:c r="H2981" s="117" t="str">
        <x:v>FieldServiceMobile</x:v>
      </x:c>
      <x:c r="I2981" s="118"/>
      <x:c r="J2981" s="117" t="str">
        <x:v>unmanaged</x:v>
      </x:c>
      <x:c r="K2981" s="123" t="b">
        <x:v>0</x:v>
      </x:c>
      <x:c r="L2981" s="117"/>
      <x:c r="M2981" s="118"/>
      <x:c r="N2981" s="120" t="n">
        <x:v>46047.63271990741</x:v>
      </x:c>
      <x:c r="O2981" s="117" t="str">
        <x:v>Sacha Pearce</x:v>
      </x:c>
      <x:c r="P2981" s="120" t="n">
        <x:v>46047.63648148148</x:v>
      </x:c>
      <x:c r="Q2981" s="117" t="str">
        <x:v>Sacha Pearce</x:v>
      </x:c>
      <x:c r="R2981" s="117" t="str">
        <x:v>Statix X-Ray DDR Checklist</x:v>
      </x:c>
      <x:c r="S2981" s="119" t="str">
        <x:v>03/30/2025 (BW) - Updated to use the new methodology for saving and storing checksheet data
01/18/2026 - V7 - SP - Updating field mapping</x:v>
      </x:c>
    </x:row>
    <x:row r="2982" ht="30" customHeight="1">
      <x:c r="A2982" s="117" t="str">
        <x:v>Statix_X_Ray_DDR_Checklist</x:v>
      </x:c>
      <x:c r="B2982" s="117" t="str">
        <x:v>300Ro00000Pz0kuIAB</x:v>
      </x:c>
      <x:c r="C2982" s="117" t="str">
        <x:v>301Ro00000yhRf7IAE</x:v>
      </x:c>
      <x:c r="D2982" s="118" t="n">
        <x:v>9</x:v>
      </x:c>
      <x:c r="E2982" s="117" t="str">
        <x:v>Active</x:v>
      </x:c>
      <x:c r="F2982" s="117" t="str">
        <x:v>Yes</x:v>
      </x:c>
      <x:c r="G2982" s="117" t="str">
        <x:v>Yes</x:v>
      </x:c>
      <x:c r="H2982" s="117" t="str">
        <x:v>FieldServiceMobile</x:v>
      </x:c>
      <x:c r="I2982" s="118"/>
      <x:c r="J2982" s="117" t="str">
        <x:v>unmanaged</x:v>
      </x:c>
      <x:c r="K2982" s="123" t="b">
        <x:v>0</x:v>
      </x:c>
      <x:c r="L2982" s="117"/>
      <x:c r="M2982" s="118"/>
      <x:c r="N2982" s="120" t="n">
        <x:v>46072.47078703704</x:v>
      </x:c>
      <x:c r="O2982" s="117" t="str">
        <x:v>Sacha Pearce</x:v>
      </x:c>
      <x:c r="P2982" s="120" t="n">
        <x:v>46072.470925925925</x:v>
      </x:c>
      <x:c r="Q2982" s="117" t="str">
        <x:v>Sacha Pearce</x:v>
      </x:c>
      <x:c r="R2982" s="117" t="str">
        <x:v>Statix X-Ray DDR Checklist</x:v>
      </x:c>
      <x:c r="S2982" s="119" t="str">
        <x:v>03/30/2025 (BW) - Updated to use the new methodology for saving and storing checksheet data
01/18/2026 - V7 - SP - Updating field mapping</x:v>
      </x:c>
    </x:row>
    <x:row r="2983" ht="30" customHeight="1">
      <x:c r="A2983" s="117" t="str">
        <x:v>Submit_Applications_Checklist_Screen_Flow</x:v>
      </x:c>
      <x:c r="B2983" s="117" t="str">
        <x:v>3005b000000Pzn2AAC</x:v>
      </x:c>
      <x:c r="C2983" s="117" t="str">
        <x:v>3015b000000W3byAAC</x:v>
      </x:c>
      <x:c r="D2983" s="118" t="n">
        <x:v>1</x:v>
      </x:c>
      <x:c r="E2983" s="117" t="str">
        <x:v>Obsolete</x:v>
      </x:c>
      <x:c r="F2983" s="117" t="str">
        <x:v>No</x:v>
      </x:c>
      <x:c r="G2983" s="117" t="str">
        <x:v>No</x:v>
      </x:c>
      <x:c r="H2983" s="117" t="str">
        <x:v>Flow</x:v>
      </x:c>
      <x:c r="I2983" s="118" t="n">
        <x:v>57</x:v>
      </x:c>
      <x:c r="J2983" s="117" t="str">
        <x:v>unmanaged</x:v>
      </x:c>
      <x:c r="K2983" s="123" t="b">
        <x:v>0</x:v>
      </x:c>
      <x:c r="L2983" s="117"/>
      <x:c r="M2983" s="118"/>
      <x:c r="N2983" s="120" t="n">
        <x:v>45078.96528935185</x:v>
      </x:c>
      <x:c r="O2983" s="117" t="str">
        <x:v>Jace Gentil</x:v>
      </x:c>
      <x:c r="P2983" s="120" t="n">
        <x:v>45078.96980324074</x:v>
      </x:c>
      <x:c r="Q2983" s="117" t="str">
        <x:v>Jace Gentil</x:v>
      </x:c>
      <x:c r="R2983" s="117" t="str">
        <x:v>Submit Applications Checklist Screen Flow</x:v>
      </x:c>
      <x:c r="S2983" s="119"/>
    </x:row>
    <x:row r="2984" ht="30" customHeight="1">
      <x:c r="A2984" s="117" t="str">
        <x:v>Submit_Applications_Checklist_Screen_Flow</x:v>
      </x:c>
      <x:c r="B2984" s="117" t="str">
        <x:v>3005b000000Pzn2AAC</x:v>
      </x:c>
      <x:c r="C2984" s="117" t="str">
        <x:v>3015b000000W3dBAAS</x:v>
      </x:c>
      <x:c r="D2984" s="118" t="n">
        <x:v>2</x:v>
      </x:c>
      <x:c r="E2984" s="117" t="str">
        <x:v>Obsolete</x:v>
      </x:c>
      <x:c r="F2984" s="117" t="str">
        <x:v>No</x:v>
      </x:c>
      <x:c r="G2984" s="117" t="str">
        <x:v>No</x:v>
      </x:c>
      <x:c r="H2984" s="117" t="str">
        <x:v>Flow</x:v>
      </x:c>
      <x:c r="I2984" s="118" t="n">
        <x:v>57</x:v>
      </x:c>
      <x:c r="J2984" s="117" t="str">
        <x:v>unmanaged</x:v>
      </x:c>
      <x:c r="K2984" s="123" t="b">
        <x:v>0</x:v>
      </x:c>
      <x:c r="L2984" s="117"/>
      <x:c r="M2984" s="118"/>
      <x:c r="N2984" s="120" t="n">
        <x:v>45079.68871527778</x:v>
      </x:c>
      <x:c r="O2984" s="117" t="str">
        <x:v>Jace Gentil</x:v>
      </x:c>
      <x:c r="P2984" s="120" t="n">
        <x:v>45079.68876157407</x:v>
      </x:c>
      <x:c r="Q2984" s="117" t="str">
        <x:v>Jace Gentil</x:v>
      </x:c>
      <x:c r="R2984" s="117" t="str">
        <x:v>Submit Applications Checklist Screen Flow</x:v>
      </x:c>
      <x:c r="S2984" s="119"/>
    </x:row>
    <x:row r="2985" ht="30" customHeight="1">
      <x:c r="A2985" s="117" t="str">
        <x:v>Submit_Applications_Checklist_Screen_Flow</x:v>
      </x:c>
      <x:c r="B2985" s="117" t="str">
        <x:v>3005b000000Pzn2AAC</x:v>
      </x:c>
      <x:c r="C2985" s="117" t="str">
        <x:v>3015b000000W3duAAC</x:v>
      </x:c>
      <x:c r="D2985" s="118" t="n">
        <x:v>3</x:v>
      </x:c>
      <x:c r="E2985" s="117" t="str">
        <x:v>Obsolete</x:v>
      </x:c>
      <x:c r="F2985" s="117" t="str">
        <x:v>No</x:v>
      </x:c>
      <x:c r="G2985" s="117" t="str">
        <x:v>No</x:v>
      </x:c>
      <x:c r="H2985" s="117" t="str">
        <x:v>Flow</x:v>
      </x:c>
      <x:c r="I2985" s="118" t="n">
        <x:v>57</x:v>
      </x:c>
      <x:c r="J2985" s="117" t="str">
        <x:v>unmanaged</x:v>
      </x:c>
      <x:c r="K2985" s="123" t="b">
        <x:v>0</x:v>
      </x:c>
      <x:c r="L2985" s="117"/>
      <x:c r="M2985" s="118"/>
      <x:c r="N2985" s="120" t="n">
        <x:v>45079.84782407407</x:v>
      </x:c>
      <x:c r="O2985" s="117" t="str">
        <x:v>Jace Gentil</x:v>
      </x:c>
      <x:c r="P2985" s="120" t="n">
        <x:v>45079.84787037037</x:v>
      </x:c>
      <x:c r="Q2985" s="117" t="str">
        <x:v>Jace Gentil</x:v>
      </x:c>
      <x:c r="R2985" s="117" t="str">
        <x:v>Submit Applications Checklist Screen Flow</x:v>
      </x:c>
      <x:c r="S2985" s="119"/>
    </x:row>
    <x:row r="2986" ht="30" customHeight="1">
      <x:c r="A2986" s="117" t="str">
        <x:v>Submit_Applications_Checklist_Screen_Flow</x:v>
      </x:c>
      <x:c r="B2986" s="117" t="str">
        <x:v>3005b000000Pzn2AAC</x:v>
      </x:c>
      <x:c r="C2986" s="117" t="str">
        <x:v>3015b000000ANRpAAO</x:v>
      </x:c>
      <x:c r="D2986" s="118" t="n">
        <x:v>4</x:v>
      </x:c>
      <x:c r="E2986" s="117" t="str">
        <x:v>Obsolete</x:v>
      </x:c>
      <x:c r="F2986" s="117" t="str">
        <x:v>No</x:v>
      </x:c>
      <x:c r="G2986" s="117" t="str">
        <x:v>No</x:v>
      </x:c>
      <x:c r="H2986" s="117" t="str">
        <x:v>Flow</x:v>
      </x:c>
      <x:c r="I2986" s="118" t="n">
        <x:v>57</x:v>
      </x:c>
      <x:c r="J2986" s="117" t="str">
        <x:v>unmanaged</x:v>
      </x:c>
      <x:c r="K2986" s="123" t="b">
        <x:v>0</x:v>
      </x:c>
      <x:c r="L2986" s="117"/>
      <x:c r="M2986" s="118"/>
      <x:c r="N2986" s="120" t="n">
        <x:v>45112.57351851852</x:v>
      </x:c>
      <x:c r="O2986" s="117" t="str">
        <x:v>Jace Gentil</x:v>
      </x:c>
      <x:c r="P2986" s="120" t="n">
        <x:v>45112.57414351852</x:v>
      </x:c>
      <x:c r="Q2986" s="117" t="str">
        <x:v>Jace Gentil</x:v>
      </x:c>
      <x:c r="R2986" s="117" t="str">
        <x:v>Submit Applications Checklist Screen Flow</x:v>
      </x:c>
      <x:c r="S2986" s="119"/>
    </x:row>
    <x:row r="2987" ht="30" customHeight="1">
      <x:c r="A2987" s="117" t="str">
        <x:v>Submit_Applications_Checklist_Screen_Flow</x:v>
      </x:c>
      <x:c r="B2987" s="117" t="str">
        <x:v>3005b000000Pzn2AAC</x:v>
      </x:c>
      <x:c r="C2987" s="117" t="str">
        <x:v>3015b000000AOJcAAO</x:v>
      </x:c>
      <x:c r="D2987" s="118" t="n">
        <x:v>5</x:v>
      </x:c>
      <x:c r="E2987" s="117" t="str">
        <x:v>Obsolete</x:v>
      </x:c>
      <x:c r="F2987" s="117" t="str">
        <x:v>No</x:v>
      </x:c>
      <x:c r="G2987" s="117" t="str">
        <x:v>No</x:v>
      </x:c>
      <x:c r="H2987" s="117" t="str">
        <x:v>Flow</x:v>
      </x:c>
      <x:c r="I2987" s="118" t="n">
        <x:v>57</x:v>
      </x:c>
      <x:c r="J2987" s="117" t="str">
        <x:v>unmanaged</x:v>
      </x:c>
      <x:c r="K2987" s="123" t="b">
        <x:v>0</x:v>
      </x:c>
      <x:c r="L2987" s="117" t="str">
        <x:v>SystemModeWithoutSharing</x:v>
      </x:c>
      <x:c r="M2987" s="118"/>
      <x:c r="N2987" s="120" t="n">
        <x:v>45125.63728009259</x:v>
      </x:c>
      <x:c r="O2987" s="117" t="str">
        <x:v>Delegate</x:v>
      </x:c>
      <x:c r="P2987" s="120" t="n">
        <x:v>45125.637337962966</x:v>
      </x:c>
      <x:c r="Q2987" s="117" t="str">
        <x:v>Delegate</x:v>
      </x:c>
      <x:c r="R2987" s="117" t="str">
        <x:v>Submit Applications Checklist Screen Flow</x:v>
      </x:c>
      <x:c r="S2987" s="119"/>
    </x:row>
    <x:row r="2988" ht="30" customHeight="1">
      <x:c r="A2988" s="117" t="str">
        <x:v>Submit_Applications_Checklist_Screen_Flow</x:v>
      </x:c>
      <x:c r="B2988" s="117" t="str">
        <x:v>3005b000000Pzn2AAC</x:v>
      </x:c>
      <x:c r="C2988" s="117" t="str">
        <x:v>3015b000000AS1NAAW</x:v>
      </x:c>
      <x:c r="D2988" s="118" t="n">
        <x:v>6</x:v>
      </x:c>
      <x:c r="E2988" s="117" t="str">
        <x:v>Obsolete</x:v>
      </x:c>
      <x:c r="F2988" s="117" t="str">
        <x:v>No</x:v>
      </x:c>
      <x:c r="G2988" s="117" t="str">
        <x:v>No</x:v>
      </x:c>
      <x:c r="H2988" s="117" t="str">
        <x:v>Flow</x:v>
      </x:c>
      <x:c r="I2988" s="118" t="n">
        <x:v>57</x:v>
      </x:c>
      <x:c r="J2988" s="117" t="str">
        <x:v>unmanaged</x:v>
      </x:c>
      <x:c r="K2988" s="123" t="b">
        <x:v>0</x:v>
      </x:c>
      <x:c r="L2988" s="117" t="str">
        <x:v>SystemModeWithoutSharing</x:v>
      </x:c>
      <x:c r="M2988" s="118"/>
      <x:c r="N2988" s="120" t="n">
        <x:v>45177.84127314815</x:v>
      </x:c>
      <x:c r="O2988" s="117" t="str">
        <x:v>Jace Gentil</x:v>
      </x:c>
      <x:c r="P2988" s="120" t="n">
        <x:v>45177.84133101852</x:v>
      </x:c>
      <x:c r="Q2988" s="117" t="str">
        <x:v>Jace Gentil</x:v>
      </x:c>
      <x:c r="R2988" s="117" t="str">
        <x:v>Submit Applications Checklist Screen Flow</x:v>
      </x:c>
      <x:c r="S2988" s="119"/>
    </x:row>
    <x:row r="2989" ht="30" customHeight="1">
      <x:c r="A2989" s="117" t="str">
        <x:v>Submit_Applications_Checklist_Screen_Flow</x:v>
      </x:c>
      <x:c r="B2989" s="117" t="str">
        <x:v>3005b000000Pzn2AAC</x:v>
      </x:c>
      <x:c r="C2989" s="117" t="str">
        <x:v>3015b000000AS1SAAW</x:v>
      </x:c>
      <x:c r="D2989" s="118" t="n">
        <x:v>7</x:v>
      </x:c>
      <x:c r="E2989" s="117" t="str">
        <x:v>Active</x:v>
      </x:c>
      <x:c r="F2989" s="117" t="str">
        <x:v>Yes</x:v>
      </x:c>
      <x:c r="G2989" s="117" t="str">
        <x:v>Yes</x:v>
      </x:c>
      <x:c r="H2989" s="117" t="str">
        <x:v>Flow</x:v>
      </x:c>
      <x:c r="I2989" s="118" t="n">
        <x:v>57</x:v>
      </x:c>
      <x:c r="J2989" s="117" t="str">
        <x:v>unmanaged</x:v>
      </x:c>
      <x:c r="K2989" s="123" t="b">
        <x:v>0</x:v>
      </x:c>
      <x:c r="L2989" s="117" t="str">
        <x:v>SystemModeWithoutSharing</x:v>
      </x:c>
      <x:c r="M2989" s="118"/>
      <x:c r="N2989" s="120" t="n">
        <x:v>45177.84274305555</x:v>
      </x:c>
      <x:c r="O2989" s="117" t="str">
        <x:v>Jace Gentil</x:v>
      </x:c>
      <x:c r="P2989" s="120" t="n">
        <x:v>45177.84278935185</x:v>
      </x:c>
      <x:c r="Q2989" s="117" t="str">
        <x:v>Jace Gentil</x:v>
      </x:c>
      <x:c r="R2989" s="117" t="str">
        <x:v>Submit Applications Checklist Screen Flow</x:v>
      </x:c>
      <x:c r="S2989" s="119"/>
    </x:row>
    <x:row r="2990" ht="30" customHeight="1">
      <x:c r="A2990" s="117" t="str">
        <x:v>Submit_ASL_Vendor_Approval</x:v>
      </x:c>
      <x:c r="B2990" s="117" t="str">
        <x:v>3005b00000113hUAAQ</x:v>
      </x:c>
      <x:c r="C2990" s="117" t="str">
        <x:v>3015b0000011MxGAAU</x:v>
      </x:c>
      <x:c r="D2990" s="118" t="n">
        <x:v>1</x:v>
      </x:c>
      <x:c r="E2990" s="117" t="str">
        <x:v>Active</x:v>
      </x:c>
      <x:c r="F2990" s="117" t="str">
        <x:v>Yes</x:v>
      </x:c>
      <x:c r="G2990" s="117" t="str">
        <x:v>Yes</x:v>
      </x:c>
      <x:c r="H2990" s="117" t="str">
        <x:v>Flow</x:v>
      </x:c>
      <x:c r="I2990" s="118" t="n">
        <x:v>59</x:v>
      </x:c>
      <x:c r="J2990" s="117" t="str">
        <x:v>unmanaged</x:v>
      </x:c>
      <x:c r="K2990" s="123" t="b">
        <x:v>0</x:v>
      </x:c>
      <x:c r="L2990" s="117"/>
      <x:c r="M2990" s="118"/>
      <x:c r="N2990" s="120" t="n">
        <x:v>45293.790601851855</x:v>
      </x:c>
      <x:c r="O2990" s="117" t="str">
        <x:v>Jace Gentil</x:v>
      </x:c>
      <x:c r="P2990" s="120" t="n">
        <x:v>45293.791296296295</x:v>
      </x:c>
      <x:c r="Q2990" s="117" t="str">
        <x:v>Jace Gentil</x:v>
      </x:c>
      <x:c r="R2990" s="117" t="str">
        <x:v>Submit ASL Vendor Approval</x:v>
      </x:c>
      <x:c r="S2990" s="119"/>
    </x:row>
    <x:row r="2991" ht="30" customHeight="1">
      <x:c r="A2991" s="117" t="str">
        <x:v>Submit_Credit_Memo_Request_for_Accounting</x:v>
      </x:c>
      <x:c r="B2991" s="117" t="str">
        <x:v>3005b00000113bMAAQ</x:v>
      </x:c>
      <x:c r="C2991" s="117" t="str">
        <x:v>3015b0000011MY6AAM</x:v>
      </x:c>
      <x:c r="D2991" s="118" t="n">
        <x:v>1</x:v>
      </x:c>
      <x:c r="E2991" s="117" t="str">
        <x:v>Obsolete</x:v>
      </x:c>
      <x:c r="F2991" s="117" t="str">
        <x:v>No</x:v>
      </x:c>
      <x:c r="G2991" s="117" t="str">
        <x:v>No</x:v>
      </x:c>
      <x:c r="H2991" s="117" t="str">
        <x:v>Flow</x:v>
      </x:c>
      <x:c r="I2991" s="118" t="n">
        <x:v>55</x:v>
      </x:c>
      <x:c r="J2991" s="117" t="str">
        <x:v>unmanaged</x:v>
      </x:c>
      <x:c r="K2991" s="123" t="b">
        <x:v>0</x:v>
      </x:c>
      <x:c r="L2991" s="117" t="str">
        <x:v>SystemModeWithoutSharing</x:v>
      </x:c>
      <x:c r="M2991" s="118"/>
      <x:c r="N2991" s="120" t="n">
        <x:v>45250.663993055554</x:v>
      </x:c>
      <x:c r="O2991" s="117" t="str">
        <x:v>Delegate</x:v>
      </x:c>
      <x:c r="P2991" s="120" t="n">
        <x:v>45250.665451388886</x:v>
      </x:c>
      <x:c r="Q2991" s="117" t="str">
        <x:v>Delegate</x:v>
      </x:c>
      <x:c r="R2991" s="117" t="str">
        <x:v>Submit Credit Memo Request for Accounting</x:v>
      </x:c>
      <x:c r="S2991" s="119"/>
    </x:row>
    <x:row r="2992" ht="30" customHeight="1">
      <x:c r="A2992" s="117" t="str">
        <x:v>Submit_Credit_Memo_Request_for_Accounting</x:v>
      </x:c>
      <x:c r="B2992" s="117" t="str">
        <x:v>3005b00000113bMAAQ</x:v>
      </x:c>
      <x:c r="C2992" s="117" t="str">
        <x:v>3015b0000011MjJAAU</x:v>
      </x:c>
      <x:c r="D2992" s="118" t="n">
        <x:v>2</x:v>
      </x:c>
      <x:c r="E2992" s="117" t="str">
        <x:v>Obsolete</x:v>
      </x:c>
      <x:c r="F2992" s="117" t="str">
        <x:v>No</x:v>
      </x:c>
      <x:c r="G2992" s="117" t="str">
        <x:v>No</x:v>
      </x:c>
      <x:c r="H2992" s="117" t="str">
        <x:v>Flow</x:v>
      </x:c>
      <x:c r="I2992" s="118" t="n">
        <x:v>55</x:v>
      </x:c>
      <x:c r="J2992" s="117" t="str">
        <x:v>unmanaged</x:v>
      </x:c>
      <x:c r="K2992" s="123" t="b">
        <x:v>0</x:v>
      </x:c>
      <x:c r="L2992" s="117" t="str">
        <x:v>SystemModeWithoutSharing</x:v>
      </x:c>
      <x:c r="M2992" s="118"/>
      <x:c r="N2992" s="120" t="n">
        <x:v>45267.55979166667</x:v>
      </x:c>
      <x:c r="O2992" s="117" t="str">
        <x:v>Delegate</x:v>
      </x:c>
      <x:c r="P2992" s="120" t="n">
        <x:v>45267.55983796297</x:v>
      </x:c>
      <x:c r="Q2992" s="117" t="str">
        <x:v>Delegate</x:v>
      </x:c>
      <x:c r="R2992" s="117" t="str">
        <x:v>Submit Credit Memo Request for Accounting</x:v>
      </x:c>
      <x:c r="S2992" s="119" t="str">
        <x:v>12/07/23 (BW) - Updated formatting for due-date on the task &amp; ensuring the hyperlink is present on the email.</x:v>
      </x:c>
    </x:row>
    <x:row r="2993" ht="30" customHeight="1">
      <x:c r="A2993" s="117" t="str">
        <x:v>Submit_Credit_Memo_Request_for_Accounting</x:v>
      </x:c>
      <x:c r="B2993" s="117" t="str">
        <x:v>3005b00000113bMAAQ</x:v>
      </x:c>
      <x:c r="C2993" s="117" t="str">
        <x:v>3015b0000011MjOAAU</x:v>
      </x:c>
      <x:c r="D2993" s="118" t="n">
        <x:v>3</x:v>
      </x:c>
      <x:c r="E2993" s="117" t="str">
        <x:v>Obsolete</x:v>
      </x:c>
      <x:c r="F2993" s="117" t="str">
        <x:v>No</x:v>
      </x:c>
      <x:c r="G2993" s="117" t="str">
        <x:v>No</x:v>
      </x:c>
      <x:c r="H2993" s="117" t="str">
        <x:v>Flow</x:v>
      </x:c>
      <x:c r="I2993" s="118" t="n">
        <x:v>55</x:v>
      </x:c>
      <x:c r="J2993" s="117" t="str">
        <x:v>unmanaged</x:v>
      </x:c>
      <x:c r="K2993" s="123" t="b">
        <x:v>0</x:v>
      </x:c>
      <x:c r="L2993" s="117" t="str">
        <x:v>SystemModeWithoutSharing</x:v>
      </x:c>
      <x:c r="M2993" s="118"/>
      <x:c r="N2993" s="120" t="n">
        <x:v>45267.56291666667</x:v>
      </x:c>
      <x:c r="O2993" s="117" t="str">
        <x:v>Delegate</x:v>
      </x:c>
      <x:c r="P2993" s="120" t="n">
        <x:v>45267.562951388885</x:v>
      </x:c>
      <x:c r="Q2993" s="117" t="str">
        <x:v>Delegate</x:v>
      </x:c>
      <x:c r="R2993" s="117" t="str">
        <x:v>Submit Credit Memo Request for Accounting</x:v>
      </x:c>
      <x:c r="S2993" s="119" t="str">
        <x:v>12/07/23 (BW) - Updated Rich Text Formatting for the email send</x:v>
      </x:c>
    </x:row>
    <x:row r="2994" ht="30" customHeight="1">
      <x:c r="A2994" s="117" t="str">
        <x:v>Submit_Credit_Memo_Request_for_Accounting</x:v>
      </x:c>
      <x:c r="B2994" s="117" t="str">
        <x:v>3005b00000113bMAAQ</x:v>
      </x:c>
      <x:c r="C2994" s="117" t="str">
        <x:v>3015b0000011MjTAAU</x:v>
      </x:c>
      <x:c r="D2994" s="118" t="n">
        <x:v>4</x:v>
      </x:c>
      <x:c r="E2994" s="117" t="str">
        <x:v>Obsolete</x:v>
      </x:c>
      <x:c r="F2994" s="117" t="str">
        <x:v>No</x:v>
      </x:c>
      <x:c r="G2994" s="117" t="str">
        <x:v>No</x:v>
      </x:c>
      <x:c r="H2994" s="117" t="str">
        <x:v>Flow</x:v>
      </x:c>
      <x:c r="I2994" s="118" t="n">
        <x:v>55</x:v>
      </x:c>
      <x:c r="J2994" s="117" t="str">
        <x:v>unmanaged</x:v>
      </x:c>
      <x:c r="K2994" s="123" t="b">
        <x:v>0</x:v>
      </x:c>
      <x:c r="L2994" s="117" t="str">
        <x:v>SystemModeWithoutSharing</x:v>
      </x:c>
      <x:c r="M2994" s="118"/>
      <x:c r="N2994" s="120" t="n">
        <x:v>45267.568333333336</x:v>
      </x:c>
      <x:c r="O2994" s="117" t="str">
        <x:v>Delegate</x:v>
      </x:c>
      <x:c r="P2994" s="120" t="n">
        <x:v>45267.56837962963</x:v>
      </x:c>
      <x:c r="Q2994" s="117" t="str">
        <x:v>Delegate</x:v>
      </x:c>
      <x:c r="R2994" s="117" t="str">
        <x:v>Submit Credit Memo Request for Accounting</x:v>
      </x:c>
      <x:c r="S2994" s="119" t="str">
        <x:v>12/07/23 (BW) - Updated the Description for the Task</x:v>
      </x:c>
    </x:row>
    <x:row r="2995" ht="30" customHeight="1">
      <x:c r="A2995" s="117" t="str">
        <x:v>Submit_Credit_Memo_Request_for_Accounting</x:v>
      </x:c>
      <x:c r="B2995" s="117" t="str">
        <x:v>3005b00000113bMAAQ</x:v>
      </x:c>
      <x:c r="C2995" s="117" t="str">
        <x:v>3015b0000011MjYAAU</x:v>
      </x:c>
      <x:c r="D2995" s="118" t="n">
        <x:v>5</x:v>
      </x:c>
      <x:c r="E2995" s="117" t="str">
        <x:v>Obsolete</x:v>
      </x:c>
      <x:c r="F2995" s="117" t="str">
        <x:v>No</x:v>
      </x:c>
      <x:c r="G2995" s="117" t="str">
        <x:v>No</x:v>
      </x:c>
      <x:c r="H2995" s="117" t="str">
        <x:v>Flow</x:v>
      </x:c>
      <x:c r="I2995" s="118" t="n">
        <x:v>55</x:v>
      </x:c>
      <x:c r="J2995" s="117" t="str">
        <x:v>unmanaged</x:v>
      </x:c>
      <x:c r="K2995" s="123" t="b">
        <x:v>0</x:v>
      </x:c>
      <x:c r="L2995" s="117" t="str">
        <x:v>SystemModeWithoutSharing</x:v>
      </x:c>
      <x:c r="M2995" s="118"/>
      <x:c r="N2995" s="120" t="n">
        <x:v>45267.569502314815</x:v>
      </x:c>
      <x:c r="O2995" s="117" t="str">
        <x:v>Delegate</x:v>
      </x:c>
      <x:c r="P2995" s="120" t="n">
        <x:v>45267.56952546296</x:v>
      </x:c>
      <x:c r="Q2995" s="117" t="str">
        <x:v>Delegate</x:v>
      </x:c>
      <x:c r="R2995" s="117" t="str">
        <x:v>Submit Credit Memo Request for Accounting</x:v>
      </x:c>
      <x:c r="S2995" s="119" t="str">
        <x:v>12/07/23 (BW) - Fixed field formatting issues on the screen element</x:v>
      </x:c>
    </x:row>
    <x:row r="2996" ht="30" customHeight="1">
      <x:c r="A2996" s="117" t="str">
        <x:v>Submit_Credit_Memo_Request_for_Accounting</x:v>
      </x:c>
      <x:c r="B2996" s="117" t="str">
        <x:v>3005b00000113bMAAQ</x:v>
      </x:c>
      <x:c r="C2996" s="117" t="str">
        <x:v>3015b0000011MjdAAE</x:v>
      </x:c>
      <x:c r="D2996" s="118" t="n">
        <x:v>6</x:v>
      </x:c>
      <x:c r="E2996" s="117" t="str">
        <x:v>Obsolete</x:v>
      </x:c>
      <x:c r="F2996" s="117" t="str">
        <x:v>No</x:v>
      </x:c>
      <x:c r="G2996" s="117" t="str">
        <x:v>No</x:v>
      </x:c>
      <x:c r="H2996" s="117" t="str">
        <x:v>Flow</x:v>
      </x:c>
      <x:c r="I2996" s="118" t="n">
        <x:v>55</x:v>
      </x:c>
      <x:c r="J2996" s="117" t="str">
        <x:v>unmanaged</x:v>
      </x:c>
      <x:c r="K2996" s="123" t="b">
        <x:v>0</x:v>
      </x:c>
      <x:c r="L2996" s="117" t="str">
        <x:v>SystemModeWithoutSharing</x:v>
      </x:c>
      <x:c r="M2996" s="118"/>
      <x:c r="N2996" s="120" t="n">
        <x:v>45267.58457175926</x:v>
      </x:c>
      <x:c r="O2996" s="117" t="str">
        <x:v>Delegate</x:v>
      </x:c>
      <x:c r="P2996" s="120" t="n">
        <x:v>45267.58460648148</x:v>
      </x:c>
      <x:c r="Q2996" s="117" t="str">
        <x:v>Delegate</x:v>
      </x:c>
      <x:c r="R2996" s="117" t="str">
        <x:v>Submit Credit Memo Request for Accounting</x:v>
      </x:c>
      <x:c r="S2996" s="119" t="str">
        <x:v>12/07/23 (BW) - Removed the distinction between US &amp; UK (Not Needed), and made the email go directly to ar@probomedical.com</x:v>
      </x:c>
    </x:row>
    <x:row r="2997" ht="30" customHeight="1">
      <x:c r="A2997" s="117" t="str">
        <x:v>Submit_Credit_Memo_Request_for_Accounting</x:v>
      </x:c>
      <x:c r="B2997" s="117" t="str">
        <x:v>3005b00000113bMAAQ</x:v>
      </x:c>
      <x:c r="C2997" s="117" t="str">
        <x:v>3015b0000011MjiAAE</x:v>
      </x:c>
      <x:c r="D2997" s="118" t="n">
        <x:v>7</x:v>
      </x:c>
      <x:c r="E2997" s="117" t="str">
        <x:v>Obsolete</x:v>
      </x:c>
      <x:c r="F2997" s="117" t="str">
        <x:v>No</x:v>
      </x:c>
      <x:c r="G2997" s="117" t="str">
        <x:v>No</x:v>
      </x:c>
      <x:c r="H2997" s="117" t="str">
        <x:v>Flow</x:v>
      </x:c>
      <x:c r="I2997" s="118" t="n">
        <x:v>55</x:v>
      </x:c>
      <x:c r="J2997" s="117" t="str">
        <x:v>unmanaged</x:v>
      </x:c>
      <x:c r="K2997" s="123" t="b">
        <x:v>0</x:v>
      </x:c>
      <x:c r="L2997" s="117" t="str">
        <x:v>SystemModeWithoutSharing</x:v>
      </x:c>
      <x:c r="M2997" s="118"/>
      <x:c r="N2997" s="120" t="n">
        <x:v>45267.59133101852</x:v>
      </x:c>
      <x:c r="O2997" s="117" t="str">
        <x:v>Delegate</x:v>
      </x:c>
      <x:c r="P2997" s="120" t="n">
        <x:v>45267.59137731481</x:v>
      </x:c>
      <x:c r="Q2997" s="117" t="str">
        <x:v>Delegate</x:v>
      </x:c>
      <x:c r="R2997" s="117" t="str">
        <x:v>Submit Credit Memo Request for Accounting</x:v>
      </x:c>
      <x:c r="S2997" s="119" t="str">
        <x:v>12/07/23 (BW) - Added Michelle as the assignee on the task</x:v>
      </x:c>
    </x:row>
    <x:row r="2998" ht="30" customHeight="1">
      <x:c r="A2998" s="117" t="str">
        <x:v>Submit_Credit_Memo_Request_for_Accounting</x:v>
      </x:c>
      <x:c r="B2998" s="117" t="str">
        <x:v>3005b00000113bMAAQ</x:v>
      </x:c>
      <x:c r="C2998" s="117" t="str">
        <x:v>3015b0000011MkqAAE</x:v>
      </x:c>
      <x:c r="D2998" s="118" t="n">
        <x:v>8</x:v>
      </x:c>
      <x:c r="E2998" s="117" t="str">
        <x:v>Obsolete</x:v>
      </x:c>
      <x:c r="F2998" s="117" t="str">
        <x:v>No</x:v>
      </x:c>
      <x:c r="G2998" s="117" t="str">
        <x:v>No</x:v>
      </x:c>
      <x:c r="H2998" s="117" t="str">
        <x:v>Flow</x:v>
      </x:c>
      <x:c r="I2998" s="118" t="n">
        <x:v>55</x:v>
      </x:c>
      <x:c r="J2998" s="117" t="str">
        <x:v>unmanaged</x:v>
      </x:c>
      <x:c r="K2998" s="123" t="b">
        <x:v>0</x:v>
      </x:c>
      <x:c r="L2998" s="117" t="str">
        <x:v>SystemModeWithoutSharing</x:v>
      </x:c>
      <x:c r="M2998" s="118"/>
      <x:c r="N2998" s="120" t="n">
        <x:v>45267.748449074075</x:v>
      </x:c>
      <x:c r="O2998" s="117" t="str">
        <x:v>Delegate</x:v>
      </x:c>
      <x:c r="P2998" s="120" t="n">
        <x:v>45267.761400462965</x:v>
      </x:c>
      <x:c r="Q2998" s="117" t="str">
        <x:v>Delegate</x:v>
      </x:c>
      <x:c r="R2998" s="117" t="str">
        <x:v>Submit Credit Memo Request for Accounting</x:v>
      </x:c>
      <x:c r="S2998" s="119" t="str">
        <x:v>12/07/23 (BW) - Made Updates as requested by Accounting</x:v>
      </x:c>
    </x:row>
    <x:row r="2999" ht="30" customHeight="1">
      <x:c r="A2999" s="117" t="str">
        <x:v>Submit_Credit_Memo_Request_for_Accounting</x:v>
      </x:c>
      <x:c r="B2999" s="117" t="str">
        <x:v>3005b00000113bMAAQ</x:v>
      </x:c>
      <x:c r="C2999" s="117" t="str">
        <x:v>3015b0000011MsBAAU</x:v>
      </x:c>
      <x:c r="D2999" s="118" t="n">
        <x:v>9</x:v>
      </x:c>
      <x:c r="E2999" s="117" t="str">
        <x:v>Obsolete</x:v>
      </x:c>
      <x:c r="F2999" s="117" t="str">
        <x:v>No</x:v>
      </x:c>
      <x:c r="G2999" s="117" t="str">
        <x:v>No</x:v>
      </x:c>
      <x:c r="H2999" s="117" t="str">
        <x:v>Flow</x:v>
      </x:c>
      <x:c r="I2999" s="118" t="n">
        <x:v>55</x:v>
      </x:c>
      <x:c r="J2999" s="117" t="str">
        <x:v>unmanaged</x:v>
      </x:c>
      <x:c r="K2999" s="123" t="b">
        <x:v>0</x:v>
      </x:c>
      <x:c r="L2999" s="117" t="str">
        <x:v>SystemModeWithoutSharing</x:v>
      </x:c>
      <x:c r="M2999" s="118"/>
      <x:c r="N2999" s="120" t="n">
        <x:v>45278.51677083333</x:v>
      </x:c>
      <x:c r="O2999" s="117" t="str">
        <x:v>Delegate</x:v>
      </x:c>
      <x:c r="P2999" s="120" t="n">
        <x:v>45278.58825231482</x:v>
      </x:c>
      <x:c r="Q2999" s="117" t="str">
        <x:v>Delegate</x:v>
      </x:c>
      <x:c r="R2999" s="117" t="str">
        <x:v>Submit Credit Memo Request for Accounting</x:v>
      </x:c>
      <x:c r="S2999" s="119" t="str">
        <x:v>12/18/23 (BW) - Made updates to the tasks &amp; email formatting for accounting.</x:v>
      </x:c>
    </x:row>
    <x:row r="3000" ht="30" customHeight="1">
      <x:c r="A3000" s="117" t="str">
        <x:v>Submit_Credit_Memo_Request_for_Accounting</x:v>
      </x:c>
      <x:c r="B3000" s="117" t="str">
        <x:v>3005b00000113bMAAQ</x:v>
      </x:c>
      <x:c r="C3000" s="117" t="str">
        <x:v>3015b0000011MszAAE</x:v>
      </x:c>
      <x:c r="D3000" s="118" t="n">
        <x:v>10</x:v>
      </x:c>
      <x:c r="E3000" s="117" t="str">
        <x:v>InvalidDraft</x:v>
      </x:c>
      <x:c r="F3000" s="117" t="str">
        <x:v>No</x:v>
      </x:c>
      <x:c r="G3000" s="117" t="str">
        <x:v>No</x:v>
      </x:c>
      <x:c r="H3000" s="117" t="str">
        <x:v>Flow</x:v>
      </x:c>
      <x:c r="I3000" s="118" t="n">
        <x:v>55</x:v>
      </x:c>
      <x:c r="J3000" s="117" t="str">
        <x:v>unmanaged</x:v>
      </x:c>
      <x:c r="K3000" s="123" t="b">
        <x:v>0</x:v>
      </x:c>
      <x:c r="L3000" s="117" t="str">
        <x:v>SystemModeWithoutSharing</x:v>
      </x:c>
      <x:c r="M3000" s="118"/>
      <x:c r="N3000" s="120" t="n">
        <x:v>45279.5821875</x:v>
      </x:c>
      <x:c r="O3000" s="117" t="str">
        <x:v>Delegate</x:v>
      </x:c>
      <x:c r="P3000" s="120" t="n">
        <x:v>45279.58221064815</x:v>
      </x:c>
      <x:c r="Q3000" s="117" t="str">
        <x:v>Delegate</x:v>
      </x:c>
      <x:c r="R3000" s="117" t="str">
        <x:v>Submit Credit Memo Request for Accounting</x:v>
      </x:c>
      <x:c r="S3000" s="119" t="str">
        <x:v>12/19/23 (BW) - Additional Updates for Accounting based on our meeting on 12/18/23</x:v>
      </x:c>
    </x:row>
    <x:row r="3001" ht="30" customHeight="1">
      <x:c r="A3001" s="117" t="str">
        <x:v>Submit_Credit_Memo_Request_for_Accounting</x:v>
      </x:c>
      <x:c r="B3001" s="117" t="str">
        <x:v>3005b00000113bMAAQ</x:v>
      </x:c>
      <x:c r="C3001" s="117" t="str">
        <x:v>3015b0000011MtOAAU</x:v>
      </x:c>
      <x:c r="D3001" s="118" t="n">
        <x:v>11</x:v>
      </x:c>
      <x:c r="E3001" s="117" t="str">
        <x:v>Obsolete</x:v>
      </x:c>
      <x:c r="F3001" s="117" t="str">
        <x:v>No</x:v>
      </x:c>
      <x:c r="G3001" s="117" t="str">
        <x:v>No</x:v>
      </x:c>
      <x:c r="H3001" s="117" t="str">
        <x:v>Flow</x:v>
      </x:c>
      <x:c r="I3001" s="118" t="n">
        <x:v>55</x:v>
      </x:c>
      <x:c r="J3001" s="117" t="str">
        <x:v>unmanaged</x:v>
      </x:c>
      <x:c r="K3001" s="123" t="b">
        <x:v>0</x:v>
      </x:c>
      <x:c r="L3001" s="117" t="str">
        <x:v>SystemModeWithoutSharing</x:v>
      </x:c>
      <x:c r="M3001" s="118"/>
      <x:c r="N3001" s="120" t="n">
        <x:v>45279.604050925926</x:v>
      </x:c>
      <x:c r="O3001" s="117" t="str">
        <x:v>Delegate</x:v>
      </x:c>
      <x:c r="P3001" s="120" t="n">
        <x:v>45279.60412037037</x:v>
      </x:c>
      <x:c r="Q3001" s="117" t="str">
        <x:v>Delegate</x:v>
      </x:c>
      <x:c r="R3001" s="117" t="str">
        <x:v>Submit Credit Memo Request for Accounting</x:v>
      </x:c>
      <x:c r="S3001" s="119" t="str">
        <x:v>12/19/23 (BW) - Additional Updates for Accounting based on our meeting on 12/18/23</x:v>
      </x:c>
    </x:row>
    <x:row r="3002" ht="30" customHeight="1">
      <x:c r="A3002" s="117" t="str">
        <x:v>Submit_Credit_Memo_Request_for_Accounting</x:v>
      </x:c>
      <x:c r="B3002" s="117" t="str">
        <x:v>3005b00000113bMAAQ</x:v>
      </x:c>
      <x:c r="C3002" s="117" t="str">
        <x:v>3015b0000011MtYAAU</x:v>
      </x:c>
      <x:c r="D3002" s="118" t="n">
        <x:v>12</x:v>
      </x:c>
      <x:c r="E3002" s="117" t="str">
        <x:v>Obsolete</x:v>
      </x:c>
      <x:c r="F3002" s="117" t="str">
        <x:v>No</x:v>
      </x:c>
      <x:c r="G3002" s="117" t="str">
        <x:v>No</x:v>
      </x:c>
      <x:c r="H3002" s="117" t="str">
        <x:v>Flow</x:v>
      </x:c>
      <x:c r="I3002" s="118" t="n">
        <x:v>55</x:v>
      </x:c>
      <x:c r="J3002" s="117" t="str">
        <x:v>unmanaged</x:v>
      </x:c>
      <x:c r="K3002" s="123" t="b">
        <x:v>0</x:v>
      </x:c>
      <x:c r="L3002" s="117" t="str">
        <x:v>SystemModeWithoutSharing</x:v>
      </x:c>
      <x:c r="M3002" s="118"/>
      <x:c r="N3002" s="120" t="n">
        <x:v>45279.61009259259</x:v>
      </x:c>
      <x:c r="O3002" s="117" t="str">
        <x:v>Delegate</x:v>
      </x:c>
      <x:c r="P3002" s="120" t="n">
        <x:v>45279.628287037034</x:v>
      </x:c>
      <x:c r="Q3002" s="117" t="str">
        <x:v>Delegate</x:v>
      </x:c>
      <x:c r="R3002" s="117" t="str">
        <x:v>Submit Credit Memo Request for Accounting</x:v>
      </x:c>
      <x:c r="S3002" s="119" t="str">
        <x:v>12/19/23 (BW) - Additional Updates for Accounting based on our meeting on 12/18/23</x:v>
      </x:c>
    </x:row>
    <x:row r="3003" ht="30" customHeight="1">
      <x:c r="A3003" s="117" t="str">
        <x:v>Submit_Credit_Memo_Request_for_Accounting</x:v>
      </x:c>
      <x:c r="B3003" s="117" t="str">
        <x:v>3005b00000113bMAAQ</x:v>
      </x:c>
      <x:c r="C3003" s="117" t="str">
        <x:v>301Ro00000CsdLpIAJ</x:v>
      </x:c>
      <x:c r="D3003" s="118" t="n">
        <x:v>13</x:v>
      </x:c>
      <x:c r="E3003" s="117" t="str">
        <x:v>Obsolete</x:v>
      </x:c>
      <x:c r="F3003" s="117" t="str">
        <x:v>No</x:v>
      </x:c>
      <x:c r="G3003" s="117" t="str">
        <x:v>No</x:v>
      </x:c>
      <x:c r="H3003" s="117" t="str">
        <x:v>Flow</x:v>
      </x:c>
      <x:c r="I3003" s="118" t="n">
        <x:v>55</x:v>
      </x:c>
      <x:c r="J3003" s="117" t="str">
        <x:v>unmanaged</x:v>
      </x:c>
      <x:c r="K3003" s="123" t="b">
        <x:v>0</x:v>
      </x:c>
      <x:c r="L3003" s="117" t="str">
        <x:v>SystemModeWithoutSharing</x:v>
      </x:c>
      <x:c r="M3003" s="118"/>
      <x:c r="N3003" s="120" t="n">
        <x:v>45427.70490740741</x:v>
      </x:c>
      <x:c r="O3003" s="117" t="str">
        <x:v>Jace Gentil</x:v>
      </x:c>
      <x:c r="P3003" s="120" t="n">
        <x:v>45852.78269675926</x:v>
      </x:c>
      <x:c r="Q3003" s="117" t="str">
        <x:v>Bill Hagarty</x:v>
      </x:c>
      <x:c r="R3003" s="117" t="str">
        <x:v>Submit Credit Memo Request for Accounting</x:v>
      </x:c>
      <x:c r="S3003" s="119" t="str">
        <x:v>12/19/23 (BW) - Additional Updates for Accounting based on our meeting on 12/18/23</x:v>
      </x:c>
    </x:row>
    <x:row r="3004" ht="30" customHeight="1">
      <x:c r="A3004" s="117" t="str">
        <x:v>Submit_Credit_Memo_Request_for_Accounting</x:v>
      </x:c>
      <x:c r="B3004" s="117" t="str">
        <x:v>3005b00000113bMAAQ</x:v>
      </x:c>
      <x:c r="C3004" s="117" t="str">
        <x:v>301Ro00000ex7l2IAA</x:v>
      </x:c>
      <x:c r="D3004" s="118" t="n">
        <x:v>14</x:v>
      </x:c>
      <x:c r="E3004" s="117" t="str">
        <x:v>Active</x:v>
      </x:c>
      <x:c r="F3004" s="117" t="str">
        <x:v>Yes</x:v>
      </x:c>
      <x:c r="G3004" s="117" t="str">
        <x:v>No</x:v>
      </x:c>
      <x:c r="H3004" s="117" t="str">
        <x:v>Flow</x:v>
      </x:c>
      <x:c r="I3004" s="118" t="n">
        <x:v>55</x:v>
      </x:c>
      <x:c r="J3004" s="117" t="str">
        <x:v>unmanaged</x:v>
      </x:c>
      <x:c r="K3004" s="123" t="b">
        <x:v>0</x:v>
      </x:c>
      <x:c r="L3004" s="117" t="str">
        <x:v>SystemModeWithoutSharing</x:v>
      </x:c>
      <x:c r="M3004" s="118"/>
      <x:c r="N3004" s="120" t="n">
        <x:v>45852.733819444446</x:v>
      </x:c>
      <x:c r="O3004" s="117" t="str">
        <x:v>Bill Hagarty</x:v>
      </x:c>
      <x:c r="P3004" s="120" t="n">
        <x:v>45944.63386574074</x:v>
      </x:c>
      <x:c r="Q3004" s="117" t="str">
        <x:v>Sacha Pearce</x:v>
      </x:c>
      <x:c r="R3004" s="117" t="str">
        <x:v>Submit Credit Memo Request for Accounting</x:v>
      </x:c>
      <x:c r="S3004" s="119" t="str">
        <x:v>07/14/25 BH
1. Removed visibility filter on Upload Files so that all Credit Memos reasons can be used.  Updated File Upload Label and Rich Text.
2. Enabled Upload files for Allow Multiple Files = true
3. Updated Content Document Naming formula.  Added document naming suffix of (x) with counter.</x:v>
      </x:c>
    </x:row>
    <x:row r="3005" ht="30" customHeight="1">
      <x:c r="A3005" s="117" t="str">
        <x:v>Submit_Credit_Memo_Request_for_Accounting</x:v>
      </x:c>
      <x:c r="B3005" s="117" t="str">
        <x:v>3005b00000113bMAAQ</x:v>
      </x:c>
      <x:c r="C3005" s="117" t="str">
        <x:v>301Ro00000pNIyBIAW</x:v>
      </x:c>
      <x:c r="D3005" s="118" t="n">
        <x:v>15</x:v>
      </x:c>
      <x:c r="E3005" s="117" t="str">
        <x:v>Obsolete</x:v>
      </x:c>
      <x:c r="F3005" s="117" t="str">
        <x:v>No</x:v>
      </x:c>
      <x:c r="G3005" s="117" t="str">
        <x:v>Yes</x:v>
      </x:c>
      <x:c r="H3005" s="117" t="str">
        <x:v>Flow</x:v>
      </x:c>
      <x:c r="I3005" s="118" t="n">
        <x:v>55</x:v>
      </x:c>
      <x:c r="J3005" s="117" t="str">
        <x:v>unmanaged</x:v>
      </x:c>
      <x:c r="K3005" s="123" t="b">
        <x:v>0</x:v>
      </x:c>
      <x:c r="L3005" s="117" t="str">
        <x:v>SystemModeWithoutSharing</x:v>
      </x:c>
      <x:c r="M3005" s="118"/>
      <x:c r="N3005" s="120" t="n">
        <x:v>45944.617256944446</x:v>
      </x:c>
      <x:c r="O3005" s="117" t="str">
        <x:v>Sacha Pearce</x:v>
      </x:c>
      <x:c r="P3005" s="120" t="n">
        <x:v>45944.631157407406</x:v>
      </x:c>
      <x:c r="Q3005" s="117" t="str">
        <x:v>Sacha Pearce</x:v>
      </x:c>
      <x:c r="R3005" s="117" t="str">
        <x:v>Submit Credit Memo Request for Accounting</x:v>
      </x:c>
      <x:c r="S3005" s="119" t="str">
        <x:v>07/14/25 BH
1. Removed visibility filter on Upload Files so that all Credit Memos reasons can be used.  Updated File Upload Label and Rich Text.
2. Enabled Upload files for Allow Multiple Files = true
3. Updated Content Document Naming formula.  Added document naming suffix of (x) with counter.
09/30/25 - SP
1. Intrducing the Entity Decision element to determine which entity should be notified of the credit memo request.</x:v>
      </x:c>
    </x:row>
    <x:row r="3006" ht="30" customHeight="1">
      <x:c r="A3006" s="117" t="str">
        <x:v>Submit_for_Approval</x:v>
      </x:c>
      <x:c r="B3006" s="117" t="str">
        <x:v>3004O000000HGXlQAO</x:v>
      </x:c>
      <x:c r="C3006" s="117" t="str">
        <x:v>3014O000000I0XdQAK</x:v>
      </x:c>
      <x:c r="D3006" s="118" t="n">
        <x:v>1</x:v>
      </x:c>
      <x:c r="E3006" s="117" t="str">
        <x:v>Obsolete</x:v>
      </x:c>
      <x:c r="F3006" s="117" t="str">
        <x:v>No</x:v>
      </x:c>
      <x:c r="G3006" s="117" t="str">
        <x:v>Yes</x:v>
      </x:c>
      <x:c r="H3006" s="117" t="str">
        <x:v>Workflow</x:v>
      </x:c>
      <x:c r="I3006" s="118"/>
      <x:c r="J3006" s="117" t="str">
        <x:v>unmanaged</x:v>
      </x:c>
      <x:c r="K3006" s="123" t="b">
        <x:v>0</x:v>
      </x:c>
      <x:c r="L3006" s="117"/>
      <x:c r="M3006" s="118"/>
      <x:c r="N3006" s="120" t="n">
        <x:v>43991.84496527778</x:v>
      </x:c>
      <x:c r="O3006" s="117" t="str">
        <x:v>Trent VanEmon</x:v>
      </x:c>
      <x:c r="P3006" s="120" t="n">
        <x:v>44676.17302083333</x:v>
      </x:c>
      <x:c r="Q3006" s="117" t="str">
        <x:v>Natalie Boger</x:v>
      </x:c>
      <x:c r="R3006" s="117" t="str">
        <x:v>Submit for Approval</x:v>
      </x:c>
      <x:c r="S3006" s="119"/>
    </x:row>
    <x:row r="3007" ht="30" customHeight="1">
      <x:c r="A3007" s="117" t="str">
        <x:v>Submit_Invoice_Flow</x:v>
      </x:c>
      <x:c r="B3007" s="117" t="str">
        <x:v>3004O000000LOsrQAG</x:v>
      </x:c>
      <x:c r="C3007" s="117" t="str">
        <x:v>3014O000000M0XLQA0</x:v>
      </x:c>
      <x:c r="D3007" s="118" t="n">
        <x:v>1</x:v>
      </x:c>
      <x:c r="E3007" s="117" t="str">
        <x:v>Obsolete</x:v>
      </x:c>
      <x:c r="F3007" s="117" t="str">
        <x:v>No</x:v>
      </x:c>
      <x:c r="G3007" s="117" t="str">
        <x:v>No</x:v>
      </x:c>
      <x:c r="H3007" s="117" t="str">
        <x:v>Flow</x:v>
      </x:c>
      <x:c r="I3007" s="118" t="n">
        <x:v>50</x:v>
      </x:c>
      <x:c r="J3007" s="117" t="str">
        <x:v>unmanaged</x:v>
      </x:c>
      <x:c r="K3007" s="123" t="b">
        <x:v>0</x:v>
      </x:c>
      <x:c r="L3007" s="117"/>
      <x:c r="M3007" s="118"/>
      <x:c r="N3007" s="120" t="n">
        <x:v>44199.80045138889</x:v>
      </x:c>
      <x:c r="O3007" s="117" t="str">
        <x:v>Delegate</x:v>
      </x:c>
      <x:c r="P3007" s="120" t="n">
        <x:v>44199.84806712963</x:v>
      </x:c>
      <x:c r="Q3007" s="117" t="str">
        <x:v>Trent VanEmon</x:v>
      </x:c>
      <x:c r="R3007" s="117" t="str">
        <x:v>Submit Invoice Flow</x:v>
      </x:c>
      <x:c r="S3007" s="119"/>
    </x:row>
    <x:row r="3008" ht="30" customHeight="1">
      <x:c r="A3008" s="117" t="str">
        <x:v>Submit_Invoice_Flow</x:v>
      </x:c>
      <x:c r="B3008" s="117" t="str">
        <x:v>3004O000000LOsrQAG</x:v>
      </x:c>
      <x:c r="C3008" s="117" t="str">
        <x:v>3014O000000M0XUQA0</x:v>
      </x:c>
      <x:c r="D3008" s="118" t="n">
        <x:v>2</x:v>
      </x:c>
      <x:c r="E3008" s="117" t="str">
        <x:v>Obsolete</x:v>
      </x:c>
      <x:c r="F3008" s="117" t="str">
        <x:v>No</x:v>
      </x:c>
      <x:c r="G3008" s="117" t="str">
        <x:v>No</x:v>
      </x:c>
      <x:c r="H3008" s="117" t="str">
        <x:v>Flow</x:v>
      </x:c>
      <x:c r="I3008" s="118" t="n">
        <x:v>50</x:v>
      </x:c>
      <x:c r="J3008" s="117" t="str">
        <x:v>unmanaged</x:v>
      </x:c>
      <x:c r="K3008" s="123" t="b">
        <x:v>0</x:v>
      </x:c>
      <x:c r="L3008" s="117"/>
      <x:c r="M3008" s="118"/>
      <x:c r="N3008" s="120" t="n">
        <x:v>44199.97655092592</x:v>
      </x:c>
      <x:c r="O3008" s="117" t="str">
        <x:v>Delegate</x:v>
      </x:c>
      <x:c r="P3008" s="120" t="n">
        <x:v>44199.9766087963</x:v>
      </x:c>
      <x:c r="Q3008" s="117" t="str">
        <x:v>Delegate</x:v>
      </x:c>
      <x:c r="R3008" s="117" t="str">
        <x:v>Submit Invoice Flow</x:v>
      </x:c>
      <x:c r="S3008" s="119"/>
    </x:row>
    <x:row r="3009" ht="30" customHeight="1">
      <x:c r="A3009" s="117" t="str">
        <x:v>Submit_Invoice_Flow</x:v>
      </x:c>
      <x:c r="B3009" s="117" t="str">
        <x:v>3004O000000LOsrQAG</x:v>
      </x:c>
      <x:c r="C3009" s="117" t="str">
        <x:v>3014O000000M0YDQA0</x:v>
      </x:c>
      <x:c r="D3009" s="118" t="n">
        <x:v>3</x:v>
      </x:c>
      <x:c r="E3009" s="117" t="str">
        <x:v>Obsolete</x:v>
      </x:c>
      <x:c r="F3009" s="117" t="str">
        <x:v>No</x:v>
      </x:c>
      <x:c r="G3009" s="117" t="str">
        <x:v>No</x:v>
      </x:c>
      <x:c r="H3009" s="117" t="str">
        <x:v>Flow</x:v>
      </x:c>
      <x:c r="I3009" s="118" t="n">
        <x:v>50</x:v>
      </x:c>
      <x:c r="J3009" s="117" t="str">
        <x:v>unmanaged</x:v>
      </x:c>
      <x:c r="K3009" s="123" t="b">
        <x:v>0</x:v>
      </x:c>
      <x:c r="L3009" s="117"/>
      <x:c r="M3009" s="118"/>
      <x:c r="N3009" s="120" t="n">
        <x:v>44200.19556712963</x:v>
      </x:c>
      <x:c r="O3009" s="117" t="str">
        <x:v>Delegate</x:v>
      </x:c>
      <x:c r="P3009" s="120" t="n">
        <x:v>44200.195625</x:v>
      </x:c>
      <x:c r="Q3009" s="117" t="str">
        <x:v>Delegate</x:v>
      </x:c>
      <x:c r="R3009" s="117" t="str">
        <x:v>Submit Invoice Flow</x:v>
      </x:c>
      <x:c r="S3009" s="119"/>
    </x:row>
    <x:row r="3010" ht="30" customHeight="1">
      <x:c r="A3010" s="117" t="str">
        <x:v>Submit_Invoice_Flow</x:v>
      </x:c>
      <x:c r="B3010" s="117" t="str">
        <x:v>3004O000000LOsrQAG</x:v>
      </x:c>
      <x:c r="C3010" s="117" t="str">
        <x:v>3014O000000M0c5QAC</x:v>
      </x:c>
      <x:c r="D3010" s="118" t="n">
        <x:v>4</x:v>
      </x:c>
      <x:c r="E3010" s="117" t="str">
        <x:v>Obsolete</x:v>
      </x:c>
      <x:c r="F3010" s="117" t="str">
        <x:v>No</x:v>
      </x:c>
      <x:c r="G3010" s="117" t="str">
        <x:v>No</x:v>
      </x:c>
      <x:c r="H3010" s="117" t="str">
        <x:v>Flow</x:v>
      </x:c>
      <x:c r="I3010" s="118" t="n">
        <x:v>50</x:v>
      </x:c>
      <x:c r="J3010" s="117" t="str">
        <x:v>unmanaged</x:v>
      </x:c>
      <x:c r="K3010" s="123" t="b">
        <x:v>0</x:v>
      </x:c>
      <x:c r="L3010" s="117"/>
      <x:c r="M3010" s="118"/>
      <x:c r="N3010" s="120" t="n">
        <x:v>44203.55349537037</x:v>
      </x:c>
      <x:c r="O3010" s="117" t="str">
        <x:v>Delegate</x:v>
      </x:c>
      <x:c r="P3010" s="120" t="n">
        <x:v>44203.55369212963</x:v>
      </x:c>
      <x:c r="Q3010" s="117" t="str">
        <x:v>Delegate</x:v>
      </x:c>
      <x:c r="R3010" s="117" t="str">
        <x:v>Submit Invoice Flow</x:v>
      </x:c>
      <x:c r="S3010" s="119"/>
    </x:row>
    <x:row r="3011" ht="30" customHeight="1">
      <x:c r="A3011" s="117" t="str">
        <x:v>Submit_Invoice_Flow</x:v>
      </x:c>
      <x:c r="B3011" s="117" t="str">
        <x:v>3004O000000LOsrQAG</x:v>
      </x:c>
      <x:c r="C3011" s="117" t="str">
        <x:v>3014O000000M0c6QAC</x:v>
      </x:c>
      <x:c r="D3011" s="118" t="n">
        <x:v>5</x:v>
      </x:c>
      <x:c r="E3011" s="117" t="str">
        <x:v>Obsolete</x:v>
      </x:c>
      <x:c r="F3011" s="117" t="str">
        <x:v>No</x:v>
      </x:c>
      <x:c r="G3011" s="117" t="str">
        <x:v>No</x:v>
      </x:c>
      <x:c r="H3011" s="117" t="str">
        <x:v>Flow</x:v>
      </x:c>
      <x:c r="I3011" s="118" t="n">
        <x:v>50</x:v>
      </x:c>
      <x:c r="J3011" s="117" t="str">
        <x:v>unmanaged</x:v>
      </x:c>
      <x:c r="K3011" s="123" t="b">
        <x:v>0</x:v>
      </x:c>
      <x:c r="L3011" s="117"/>
      <x:c r="M3011" s="118"/>
      <x:c r="N3011" s="120" t="n">
        <x:v>44203.55457175926</x:v>
      </x:c>
      <x:c r="O3011" s="117" t="str">
        <x:v>Delegate</x:v>
      </x:c>
      <x:c r="P3011" s="120" t="n">
        <x:v>44203.55469907408</x:v>
      </x:c>
      <x:c r="Q3011" s="117" t="str">
        <x:v>Delegate</x:v>
      </x:c>
      <x:c r="R3011" s="117" t="str">
        <x:v>Submit Invoice Flow</x:v>
      </x:c>
      <x:c r="S3011" s="119"/>
    </x:row>
    <x:row r="3012" ht="30" customHeight="1">
      <x:c r="A3012" s="117" t="str">
        <x:v>Submit_Invoice_Flow</x:v>
      </x:c>
      <x:c r="B3012" s="117" t="str">
        <x:v>3004O000000LOsrQAG</x:v>
      </x:c>
      <x:c r="C3012" s="117" t="str">
        <x:v>3014O000000M0ceQAC</x:v>
      </x:c>
      <x:c r="D3012" s="118" t="n">
        <x:v>6</x:v>
      </x:c>
      <x:c r="E3012" s="117" t="str">
        <x:v>Obsolete</x:v>
      </x:c>
      <x:c r="F3012" s="117" t="str">
        <x:v>No</x:v>
      </x:c>
      <x:c r="G3012" s="117" t="str">
        <x:v>No</x:v>
      </x:c>
      <x:c r="H3012" s="117" t="str">
        <x:v>Flow</x:v>
      </x:c>
      <x:c r="I3012" s="118" t="n">
        <x:v>50</x:v>
      </x:c>
      <x:c r="J3012" s="117" t="str">
        <x:v>unmanaged</x:v>
      </x:c>
      <x:c r="K3012" s="123" t="b">
        <x:v>0</x:v>
      </x:c>
      <x:c r="L3012" s="117"/>
      <x:c r="M3012" s="118"/>
      <x:c r="N3012" s="120" t="n">
        <x:v>44203.59289351852</x:v>
      </x:c>
      <x:c r="O3012" s="117" t="str">
        <x:v>Delegate</x:v>
      </x:c>
      <x:c r="P3012" s="120" t="n">
        <x:v>44203.598333333335</x:v>
      </x:c>
      <x:c r="Q3012" s="117" t="str">
        <x:v>Delegate</x:v>
      </x:c>
      <x:c r="R3012" s="117" t="str">
        <x:v>Submit Invoice Flow</x:v>
      </x:c>
      <x:c r="S3012" s="119"/>
    </x:row>
    <x:row r="3013" ht="30" customHeight="1">
      <x:c r="A3013" s="117" t="str">
        <x:v>Submit_Invoice_Flow</x:v>
      </x:c>
      <x:c r="B3013" s="117" t="str">
        <x:v>3004O000000LOsrQAG</x:v>
      </x:c>
      <x:c r="C3013" s="117" t="str">
        <x:v>3014O000000M0kxQAC</x:v>
      </x:c>
      <x:c r="D3013" s="118" t="n">
        <x:v>7</x:v>
      </x:c>
      <x:c r="E3013" s="117" t="str">
        <x:v>Obsolete</x:v>
      </x:c>
      <x:c r="F3013" s="117" t="str">
        <x:v>No</x:v>
      </x:c>
      <x:c r="G3013" s="117" t="str">
        <x:v>No</x:v>
      </x:c>
      <x:c r="H3013" s="117" t="str">
        <x:v>Flow</x:v>
      </x:c>
      <x:c r="I3013" s="118" t="n">
        <x:v>50</x:v>
      </x:c>
      <x:c r="J3013" s="117" t="str">
        <x:v>unmanaged</x:v>
      </x:c>
      <x:c r="K3013" s="123" t="b">
        <x:v>0</x:v>
      </x:c>
      <x:c r="L3013" s="117"/>
      <x:c r="M3013" s="118"/>
      <x:c r="N3013" s="120" t="n">
        <x:v>44208.83206018519</x:v>
      </x:c>
      <x:c r="O3013" s="117" t="str">
        <x:v>Delegate</x:v>
      </x:c>
      <x:c r="P3013" s="120" t="n">
        <x:v>44208.832141203704</x:v>
      </x:c>
      <x:c r="Q3013" s="117" t="str">
        <x:v>Delegate</x:v>
      </x:c>
      <x:c r="R3013" s="117" t="str">
        <x:v>Submit Invoice Flow</x:v>
      </x:c>
      <x:c r="S3013" s="119"/>
    </x:row>
    <x:row r="3014" ht="30" customHeight="1">
      <x:c r="A3014" s="117" t="str">
        <x:v>Submit_Invoice_Flow</x:v>
      </x:c>
      <x:c r="B3014" s="117" t="str">
        <x:v>3004O000000LOsrQAG</x:v>
      </x:c>
      <x:c r="C3014" s="117" t="str">
        <x:v>3014O000000M0ksQAC</x:v>
      </x:c>
      <x:c r="D3014" s="118" t="n">
        <x:v>8</x:v>
      </x:c>
      <x:c r="E3014" s="117" t="str">
        <x:v>Draft</x:v>
      </x:c>
      <x:c r="F3014" s="117" t="str">
        <x:v>No</x:v>
      </x:c>
      <x:c r="G3014" s="117" t="str">
        <x:v>No</x:v>
      </x:c>
      <x:c r="H3014" s="117" t="str">
        <x:v>Flow</x:v>
      </x:c>
      <x:c r="I3014" s="118" t="n">
        <x:v>50</x:v>
      </x:c>
      <x:c r="J3014" s="117" t="str">
        <x:v>unmanaged</x:v>
      </x:c>
      <x:c r="K3014" s="123" t="b">
        <x:v>0</x:v>
      </x:c>
      <x:c r="L3014" s="117"/>
      <x:c r="M3014" s="118"/>
      <x:c r="N3014" s="120" t="n">
        <x:v>44208.83083333333</x:v>
      </x:c>
      <x:c r="O3014" s="117" t="str">
        <x:v>Delegate</x:v>
      </x:c>
      <x:c r="P3014" s="120" t="n">
        <x:v>44208.83084490741</x:v>
      </x:c>
      <x:c r="Q3014" s="117" t="str">
        <x:v>Delegate</x:v>
      </x:c>
      <x:c r="R3014" s="117" t="str">
        <x:v>Submit Invoice Flow</x:v>
      </x:c>
      <x:c r="S3014" s="119"/>
    </x:row>
    <x:row r="3015" ht="30" customHeight="1">
      <x:c r="A3015" s="117" t="str">
        <x:v>Submit_Invoice_Flow</x:v>
      </x:c>
      <x:c r="B3015" s="117" t="str">
        <x:v>3004O000000LOsrQAG</x:v>
      </x:c>
      <x:c r="C3015" s="117" t="str">
        <x:v>3014O000000M0lCQAS</x:v>
      </x:c>
      <x:c r="D3015" s="118" t="n">
        <x:v>9</x:v>
      </x:c>
      <x:c r="E3015" s="117" t="str">
        <x:v>Draft</x:v>
      </x:c>
      <x:c r="F3015" s="117" t="str">
        <x:v>No</x:v>
      </x:c>
      <x:c r="G3015" s="117" t="str">
        <x:v>No</x:v>
      </x:c>
      <x:c r="H3015" s="117" t="str">
        <x:v>Flow</x:v>
      </x:c>
      <x:c r="I3015" s="118" t="n">
        <x:v>50</x:v>
      </x:c>
      <x:c r="J3015" s="117" t="str">
        <x:v>unmanaged</x:v>
      </x:c>
      <x:c r="K3015" s="123" t="b">
        <x:v>0</x:v>
      </x:c>
      <x:c r="L3015" s="117"/>
      <x:c r="M3015" s="118"/>
      <x:c r="N3015" s="120" t="n">
        <x:v>44208.84667824074</x:v>
      </x:c>
      <x:c r="O3015" s="117" t="str">
        <x:v>Delegate</x:v>
      </x:c>
      <x:c r="P3015" s="120" t="n">
        <x:v>44208.84670138889</x:v>
      </x:c>
      <x:c r="Q3015" s="117" t="str">
        <x:v>Delegate</x:v>
      </x:c>
      <x:c r="R3015" s="117" t="str">
        <x:v>Submit Invoice Flow</x:v>
      </x:c>
      <x:c r="S3015" s="119"/>
    </x:row>
    <x:row r="3016" ht="30" customHeight="1">
      <x:c r="A3016" s="117" t="str">
        <x:v>Submit_Invoice_Flow</x:v>
      </x:c>
      <x:c r="B3016" s="117" t="str">
        <x:v>3004O000000LOsrQAG</x:v>
      </x:c>
      <x:c r="C3016" s="117" t="str">
        <x:v>3014O000000M0lHQAS</x:v>
      </x:c>
      <x:c r="D3016" s="118" t="n">
        <x:v>10</x:v>
      </x:c>
      <x:c r="E3016" s="117" t="str">
        <x:v>Obsolete</x:v>
      </x:c>
      <x:c r="F3016" s="117" t="str">
        <x:v>No</x:v>
      </x:c>
      <x:c r="G3016" s="117" t="str">
        <x:v>No</x:v>
      </x:c>
      <x:c r="H3016" s="117" t="str">
        <x:v>Flow</x:v>
      </x:c>
      <x:c r="I3016" s="118" t="n">
        <x:v>50</x:v>
      </x:c>
      <x:c r="J3016" s="117" t="str">
        <x:v>unmanaged</x:v>
      </x:c>
      <x:c r="K3016" s="123" t="b">
        <x:v>0</x:v>
      </x:c>
      <x:c r="L3016" s="117"/>
      <x:c r="M3016" s="118"/>
      <x:c r="N3016" s="120" t="n">
        <x:v>44208.846967592595</x:v>
      </x:c>
      <x:c r="O3016" s="117" t="str">
        <x:v>Delegate</x:v>
      </x:c>
      <x:c r="P3016" s="120" t="n">
        <x:v>44208.84700231482</x:v>
      </x:c>
      <x:c r="Q3016" s="117" t="str">
        <x:v>Delegate</x:v>
      </x:c>
      <x:c r="R3016" s="117" t="str">
        <x:v>Submit Invoice Flow</x:v>
      </x:c>
      <x:c r="S3016" s="119"/>
    </x:row>
    <x:row r="3017" ht="30" customHeight="1">
      <x:c r="A3017" s="117" t="str">
        <x:v>Submit_Invoice_Flow</x:v>
      </x:c>
      <x:c r="B3017" s="117" t="str">
        <x:v>3004O000000LOsrQAG</x:v>
      </x:c>
      <x:c r="C3017" s="117" t="str">
        <x:v>3014O000000M0srQAC</x:v>
      </x:c>
      <x:c r="D3017" s="118" t="n">
        <x:v>11</x:v>
      </x:c>
      <x:c r="E3017" s="117" t="str">
        <x:v>Draft</x:v>
      </x:c>
      <x:c r="F3017" s="117" t="str">
        <x:v>No</x:v>
      </x:c>
      <x:c r="G3017" s="117" t="str">
        <x:v>No</x:v>
      </x:c>
      <x:c r="H3017" s="117" t="str">
        <x:v>Flow</x:v>
      </x:c>
      <x:c r="I3017" s="118" t="n">
        <x:v>50</x:v>
      </x:c>
      <x:c r="J3017" s="117" t="str">
        <x:v>unmanaged</x:v>
      </x:c>
      <x:c r="K3017" s="123" t="b">
        <x:v>0</x:v>
      </x:c>
      <x:c r="L3017" s="117"/>
      <x:c r="M3017" s="118"/>
      <x:c r="N3017" s="120" t="n">
        <x:v>44210.811006944445</x:v>
      </x:c>
      <x:c r="O3017" s="117" t="str">
        <x:v>Delegate</x:v>
      </x:c>
      <x:c r="P3017" s="120" t="n">
        <x:v>44210.81103009259</x:v>
      </x:c>
      <x:c r="Q3017" s="117" t="str">
        <x:v>Delegate</x:v>
      </x:c>
      <x:c r="R3017" s="117" t="str">
        <x:v>Submit Invoice Flow</x:v>
      </x:c>
      <x:c r="S3017" s="119"/>
    </x:row>
    <x:row r="3018" ht="30" customHeight="1">
      <x:c r="A3018" s="117" t="str">
        <x:v>Submit_Invoice_Flow</x:v>
      </x:c>
      <x:c r="B3018" s="117" t="str">
        <x:v>3004O000000LOsrQAG</x:v>
      </x:c>
      <x:c r="C3018" s="117" t="str">
        <x:v>3014O000000M0yQQAS</x:v>
      </x:c>
      <x:c r="D3018" s="118" t="n">
        <x:v>12</x:v>
      </x:c>
      <x:c r="E3018" s="117" t="str">
        <x:v>Obsolete</x:v>
      </x:c>
      <x:c r="F3018" s="117" t="str">
        <x:v>No</x:v>
      </x:c>
      <x:c r="G3018" s="117" t="str">
        <x:v>No</x:v>
      </x:c>
      <x:c r="H3018" s="117" t="str">
        <x:v>Flow</x:v>
      </x:c>
      <x:c r="I3018" s="118" t="n">
        <x:v>50</x:v>
      </x:c>
      <x:c r="J3018" s="117" t="str">
        <x:v>unmanaged</x:v>
      </x:c>
      <x:c r="K3018" s="123" t="b">
        <x:v>0</x:v>
      </x:c>
      <x:c r="L3018" s="117"/>
      <x:c r="M3018" s="118"/>
      <x:c r="N3018" s="120" t="n">
        <x:v>44216.64990740741</x:v>
      </x:c>
      <x:c r="O3018" s="117" t="str">
        <x:v>Delegate</x:v>
      </x:c>
      <x:c r="P3018" s="120" t="n">
        <x:v>44216.651550925926</x:v>
      </x:c>
      <x:c r="Q3018" s="117" t="str">
        <x:v>Delegate</x:v>
      </x:c>
      <x:c r="R3018" s="117" t="str">
        <x:v>Submit Invoice Flow</x:v>
      </x:c>
      <x:c r="S3018" s="119"/>
    </x:row>
    <x:row r="3019" ht="30" customHeight="1">
      <x:c r="A3019" s="117" t="str">
        <x:v>Submit_Invoice_Flow</x:v>
      </x:c>
      <x:c r="B3019" s="117" t="str">
        <x:v>3004O000000LOsrQAG</x:v>
      </x:c>
      <x:c r="C3019" s="117" t="str">
        <x:v>3014O000000M0yVQAS</x:v>
      </x:c>
      <x:c r="D3019" s="118" t="n">
        <x:v>13</x:v>
      </x:c>
      <x:c r="E3019" s="117" t="str">
        <x:v>Active</x:v>
      </x:c>
      <x:c r="F3019" s="117" t="str">
        <x:v>Yes</x:v>
      </x:c>
      <x:c r="G3019" s="117" t="str">
        <x:v>Yes</x:v>
      </x:c>
      <x:c r="H3019" s="117" t="str">
        <x:v>Flow</x:v>
      </x:c>
      <x:c r="I3019" s="118" t="n">
        <x:v>50</x:v>
      </x:c>
      <x:c r="J3019" s="117" t="str">
        <x:v>unmanaged</x:v>
      </x:c>
      <x:c r="K3019" s="123" t="b">
        <x:v>0</x:v>
      </x:c>
      <x:c r="L3019" s="117"/>
      <x:c r="M3019" s="118"/>
      <x:c r="N3019" s="120" t="n">
        <x:v>44216.6550462963</x:v>
      </x:c>
      <x:c r="O3019" s="117" t="str">
        <x:v>Delegate</x:v>
      </x:c>
      <x:c r="P3019" s="120" t="n">
        <x:v>44216.65510416667</x:v>
      </x:c>
      <x:c r="Q3019" s="117" t="str">
        <x:v>Delegate</x:v>
      </x:c>
      <x:c r="R3019" s="117" t="str">
        <x:v>Submit Invoice Flow</x:v>
      </x:c>
      <x:c r="S3019" s="119"/>
    </x:row>
    <x:row r="3020" ht="30" customHeight="1">
      <x:c r="A3020" s="117" t="str">
        <x:v>Submit_to_UK_Accounting_for_Invoicing</x:v>
      </x:c>
      <x:c r="B3020" s="117" t="str">
        <x:v>3005b000000H426AAC</x:v>
      </x:c>
      <x:c r="C3020" s="117" t="str">
        <x:v>3015b000000EL1pAAG</x:v>
      </x:c>
      <x:c r="D3020" s="118" t="n">
        <x:v>1</x:v>
      </x:c>
      <x:c r="E3020" s="117" t="str">
        <x:v>Obsolete</x:v>
      </x:c>
      <x:c r="F3020" s="117" t="str">
        <x:v>No</x:v>
      </x:c>
      <x:c r="G3020" s="117" t="str">
        <x:v>No</x:v>
      </x:c>
      <x:c r="H3020" s="117" t="str">
        <x:v>Flow</x:v>
      </x:c>
      <x:c r="I3020" s="118" t="n">
        <x:v>55</x:v>
      </x:c>
      <x:c r="J3020" s="117" t="str">
        <x:v>unmanaged</x:v>
      </x:c>
      <x:c r="K3020" s="123" t="b">
        <x:v>0</x:v>
      </x:c>
      <x:c r="L3020" s="117"/>
      <x:c r="M3020" s="118"/>
      <x:c r="N3020" s="120" t="n">
        <x:v>44764.468460648146</x:v>
      </x:c>
      <x:c r="O3020" s="117" t="str">
        <x:v>Jace Gentil</x:v>
      </x:c>
      <x:c r="P3020" s="120" t="n">
        <x:v>44764.46858796296</x:v>
      </x:c>
      <x:c r="Q3020" s="117" t="str">
        <x:v>Jace Gentil</x:v>
      </x:c>
      <x:c r="R3020" s="117" t="str">
        <x:v>Submit to UK Accounting for Invoicing</x:v>
      </x:c>
      <x:c r="S3020" s="119"/>
    </x:row>
    <x:row r="3021" ht="30" customHeight="1">
      <x:c r="A3021" s="117" t="str">
        <x:v>Submit_to_UK_Accounting_for_Invoicing</x:v>
      </x:c>
      <x:c r="B3021" s="117" t="str">
        <x:v>3005b000000H426AAC</x:v>
      </x:c>
      <x:c r="C3021" s="117" t="str">
        <x:v>3015b000000EL1uAAG</x:v>
      </x:c>
      <x:c r="D3021" s="118" t="n">
        <x:v>2</x:v>
      </x:c>
      <x:c r="E3021" s="117" t="str">
        <x:v>Obsolete</x:v>
      </x:c>
      <x:c r="F3021" s="117" t="str">
        <x:v>No</x:v>
      </x:c>
      <x:c r="G3021" s="117" t="str">
        <x:v>No</x:v>
      </x:c>
      <x:c r="H3021" s="117" t="str">
        <x:v>Flow</x:v>
      </x:c>
      <x:c r="I3021" s="118" t="n">
        <x:v>55</x:v>
      </x:c>
      <x:c r="J3021" s="117" t="str">
        <x:v>unmanaged</x:v>
      </x:c>
      <x:c r="K3021" s="123" t="b">
        <x:v>0</x:v>
      </x:c>
      <x:c r="L3021" s="117"/>
      <x:c r="M3021" s="118"/>
      <x:c r="N3021" s="120" t="n">
        <x:v>44764.503113425926</x:v>
      </x:c>
      <x:c r="O3021" s="117" t="str">
        <x:v>Jace Gentil</x:v>
      </x:c>
      <x:c r="P3021" s="120" t="n">
        <x:v>44764.50315972222</x:v>
      </x:c>
      <x:c r="Q3021" s="117" t="str">
        <x:v>Jace Gentil</x:v>
      </x:c>
      <x:c r="R3021" s="117" t="str">
        <x:v>Submit to UK Accounting for Invoicing</x:v>
      </x:c>
      <x:c r="S3021" s="119"/>
    </x:row>
    <x:row r="3022" ht="30" customHeight="1">
      <x:c r="A3022" s="117" t="str">
        <x:v>Submit_to_UK_Accounting_for_Invoicing</x:v>
      </x:c>
      <x:c r="B3022" s="117" t="str">
        <x:v>3005b000000H426AAC</x:v>
      </x:c>
      <x:c r="C3022" s="117" t="str">
        <x:v>3015b000000ELDbAAO</x:v>
      </x:c>
      <x:c r="D3022" s="118" t="n">
        <x:v>3</x:v>
      </x:c>
      <x:c r="E3022" s="117" t="str">
        <x:v>Obsolete</x:v>
      </x:c>
      <x:c r="F3022" s="117" t="str">
        <x:v>No</x:v>
      </x:c>
      <x:c r="G3022" s="117" t="str">
        <x:v>No</x:v>
      </x:c>
      <x:c r="H3022" s="117" t="str">
        <x:v>Flow</x:v>
      </x:c>
      <x:c r="I3022" s="118" t="n">
        <x:v>55</x:v>
      </x:c>
      <x:c r="J3022" s="117" t="str">
        <x:v>unmanaged</x:v>
      </x:c>
      <x:c r="K3022" s="123" t="b">
        <x:v>0</x:v>
      </x:c>
      <x:c r="L3022" s="117"/>
      <x:c r="M3022" s="118"/>
      <x:c r="N3022" s="120" t="n">
        <x:v>44778.43828703704</x:v>
      </x:c>
      <x:c r="O3022" s="117" t="str">
        <x:v>Jace Gentil</x:v>
      </x:c>
      <x:c r="P3022" s="120" t="n">
        <x:v>44778.43833333333</x:v>
      </x:c>
      <x:c r="Q3022" s="117" t="str">
        <x:v>Jace Gentil</x:v>
      </x:c>
      <x:c r="R3022" s="117" t="str">
        <x:v>Submit to UK Accounting for Invoicing</x:v>
      </x:c>
      <x:c r="S3022" s="119"/>
    </x:row>
    <x:row r="3023" ht="30" customHeight="1">
      <x:c r="A3023" s="117" t="str">
        <x:v>Submit_to_UK_Accounting_for_Invoicing</x:v>
      </x:c>
      <x:c r="B3023" s="117" t="str">
        <x:v>3005b000000H426AAC</x:v>
      </x:c>
      <x:c r="C3023" s="117" t="str">
        <x:v>3015b000000W3QMAA0</x:v>
      </x:c>
      <x:c r="D3023" s="118" t="n">
        <x:v>4</x:v>
      </x:c>
      <x:c r="E3023" s="117" t="str">
        <x:v>Obsolete</x:v>
      </x:c>
      <x:c r="F3023" s="117" t="str">
        <x:v>No</x:v>
      </x:c>
      <x:c r="G3023" s="117" t="str">
        <x:v>No</x:v>
      </x:c>
      <x:c r="H3023" s="117" t="str">
        <x:v>Flow</x:v>
      </x:c>
      <x:c r="I3023" s="118" t="n">
        <x:v>55</x:v>
      </x:c>
      <x:c r="J3023" s="117" t="str">
        <x:v>unmanaged</x:v>
      </x:c>
      <x:c r="K3023" s="123" t="b">
        <x:v>0</x:v>
      </x:c>
      <x:c r="L3023" s="117"/>
      <x:c r="M3023" s="118"/>
      <x:c r="N3023" s="120" t="n">
        <x:v>45071.68408564815</x:v>
      </x:c>
      <x:c r="O3023" s="117" t="str">
        <x:v>Jace Gentil</x:v>
      </x:c>
      <x:c r="P3023" s="120" t="n">
        <x:v>45071.685115740744</x:v>
      </x:c>
      <x:c r="Q3023" s="117" t="str">
        <x:v>Jace Gentil</x:v>
      </x:c>
      <x:c r="R3023" s="117" t="str">
        <x:v>Submit to UK Accounting for Invoicing</x:v>
      </x:c>
      <x:c r="S3023" s="119"/>
    </x:row>
    <x:row r="3024" ht="30" customHeight="1">
      <x:c r="A3024" s="117" t="str">
        <x:v>Submit_to_UK_Accounting_for_Invoicing</x:v>
      </x:c>
      <x:c r="B3024" s="117" t="str">
        <x:v>3005b000000H426AAC</x:v>
      </x:c>
      <x:c r="C3024" s="117" t="str">
        <x:v>3015b000000AST7AAO</x:v>
      </x:c>
      <x:c r="D3024" s="118" t="n">
        <x:v>5</x:v>
      </x:c>
      <x:c r="E3024" s="117" t="str">
        <x:v>Obsolete</x:v>
      </x:c>
      <x:c r="F3024" s="117" t="str">
        <x:v>No</x:v>
      </x:c>
      <x:c r="G3024" s="117" t="str">
        <x:v>No</x:v>
      </x:c>
      <x:c r="H3024" s="117" t="str">
        <x:v>Flow</x:v>
      </x:c>
      <x:c r="I3024" s="118" t="n">
        <x:v>55</x:v>
      </x:c>
      <x:c r="J3024" s="117" t="str">
        <x:v>unmanaged</x:v>
      </x:c>
      <x:c r="K3024" s="123" t="b">
        <x:v>0</x:v>
      </x:c>
      <x:c r="L3024" s="117"/>
      <x:c r="M3024" s="118"/>
      <x:c r="N3024" s="120" t="n">
        <x:v>45184.5978125</x:v>
      </x:c>
      <x:c r="O3024" s="117" t="str">
        <x:v>Jace Gentil</x:v>
      </x:c>
      <x:c r="P3024" s="120" t="n">
        <x:v>45184.597858796296</x:v>
      </x:c>
      <x:c r="Q3024" s="117" t="str">
        <x:v>Jace Gentil</x:v>
      </x:c>
      <x:c r="R3024" s="117" t="str">
        <x:v>Submit to UK Accounting for Invoicing</x:v>
      </x:c>
      <x:c r="S3024" s="119"/>
    </x:row>
    <x:row r="3025" ht="30" customHeight="1">
      <x:c r="A3025" s="117" t="str">
        <x:v>Submit_to_UK_Accounting_for_Invoicing</x:v>
      </x:c>
      <x:c r="B3025" s="117" t="str">
        <x:v>3005b000000H426AAC</x:v>
      </x:c>
      <x:c r="C3025" s="117" t="str">
        <x:v>3015b0000011JkdAAE</x:v>
      </x:c>
      <x:c r="D3025" s="118" t="n">
        <x:v>6</x:v>
      </x:c>
      <x:c r="E3025" s="117" t="str">
        <x:v>Obsolete</x:v>
      </x:c>
      <x:c r="F3025" s="117" t="str">
        <x:v>No</x:v>
      </x:c>
      <x:c r="G3025" s="117" t="str">
        <x:v>No</x:v>
      </x:c>
      <x:c r="H3025" s="117" t="str">
        <x:v>Flow</x:v>
      </x:c>
      <x:c r="I3025" s="118" t="n">
        <x:v>55</x:v>
      </x:c>
      <x:c r="J3025" s="117" t="str">
        <x:v>unmanaged</x:v>
      </x:c>
      <x:c r="K3025" s="123" t="b">
        <x:v>0</x:v>
      </x:c>
      <x:c r="L3025" s="117" t="str">
        <x:v>SystemModeWithoutSharing</x:v>
      </x:c>
      <x:c r="M3025" s="118"/>
      <x:c r="N3025" s="120" t="n">
        <x:v>45196.56927083333</x:v>
      </x:c>
      <x:c r="O3025" s="117" t="str">
        <x:v>Jace Gentil</x:v>
      </x:c>
      <x:c r="P3025" s="120" t="n">
        <x:v>45196.56931712963</x:v>
      </x:c>
      <x:c r="Q3025" s="117" t="str">
        <x:v>Jace Gentil</x:v>
      </x:c>
      <x:c r="R3025" s="117" t="str">
        <x:v>Submit to UK Accounting for Invoicing</x:v>
      </x:c>
      <x:c r="S3025" s="119"/>
    </x:row>
    <x:row r="3026" ht="30" customHeight="1">
      <x:c r="A3026" s="117" t="str">
        <x:v>Submit_to_UK_Accounting_for_Invoicing</x:v>
      </x:c>
      <x:c r="B3026" s="117" t="str">
        <x:v>3005b000000H426AAC</x:v>
      </x:c>
      <x:c r="C3026" s="117" t="str">
        <x:v>3015b0000011KRNAA2</x:v>
      </x:c>
      <x:c r="D3026" s="118" t="n">
        <x:v>7</x:v>
      </x:c>
      <x:c r="E3026" s="117" t="str">
        <x:v>Obsolete</x:v>
      </x:c>
      <x:c r="F3026" s="117" t="str">
        <x:v>No</x:v>
      </x:c>
      <x:c r="G3026" s="117" t="str">
        <x:v>No</x:v>
      </x:c>
      <x:c r="H3026" s="117" t="str">
        <x:v>Flow</x:v>
      </x:c>
      <x:c r="I3026" s="118" t="n">
        <x:v>55</x:v>
      </x:c>
      <x:c r="J3026" s="117" t="str">
        <x:v>unmanaged</x:v>
      </x:c>
      <x:c r="K3026" s="123" t="b">
        <x:v>0</x:v>
      </x:c>
      <x:c r="L3026" s="117" t="str">
        <x:v>SystemModeWithoutSharing</x:v>
      </x:c>
      <x:c r="M3026" s="118"/>
      <x:c r="N3026" s="120" t="n">
        <x:v>45204.588275462964</x:v>
      </x:c>
      <x:c r="O3026" s="117" t="str">
        <x:v>Jace Gentil</x:v>
      </x:c>
      <x:c r="P3026" s="120" t="n">
        <x:v>45204.588321759256</x:v>
      </x:c>
      <x:c r="Q3026" s="117" t="str">
        <x:v>Jace Gentil</x:v>
      </x:c>
      <x:c r="R3026" s="117" t="str">
        <x:v>Submit to UK Accounting for Invoicing</x:v>
      </x:c>
      <x:c r="S3026" s="119"/>
    </x:row>
    <x:row r="3027" ht="30" customHeight="1">
      <x:c r="A3027" s="117" t="str">
        <x:v>Submit_to_UK_Accounting_for_Invoicing</x:v>
      </x:c>
      <x:c r="B3027" s="117" t="str">
        <x:v>3005b000000H426AAC</x:v>
      </x:c>
      <x:c r="C3027" s="117" t="str">
        <x:v>301Ro00000oip6uIAA</x:v>
      </x:c>
      <x:c r="D3027" s="118" t="n">
        <x:v>8</x:v>
      </x:c>
      <x:c r="E3027" s="117" t="str">
        <x:v>Active</x:v>
      </x:c>
      <x:c r="F3027" s="117" t="str">
        <x:v>Yes</x:v>
      </x:c>
      <x:c r="G3027" s="117" t="str">
        <x:v>Yes</x:v>
      </x:c>
      <x:c r="H3027" s="117" t="str">
        <x:v>Flow</x:v>
      </x:c>
      <x:c r="I3027" s="118" t="n">
        <x:v>55</x:v>
      </x:c>
      <x:c r="J3027" s="117" t="str">
        <x:v>unmanaged</x:v>
      </x:c>
      <x:c r="K3027" s="123" t="b">
        <x:v>0</x:v>
      </x:c>
      <x:c r="L3027" s="117" t="str">
        <x:v>SystemModeWithoutSharing</x:v>
      </x:c>
      <x:c r="M3027" s="118"/>
      <x:c r="N3027" s="120" t="n">
        <x:v>45936.43434027778</x:v>
      </x:c>
      <x:c r="O3027" s="117" t="str">
        <x:v>Sacha Pearce</x:v>
      </x:c>
      <x:c r="P3027" s="120" t="n">
        <x:v>45936.458703703705</x:v>
      </x:c>
      <x:c r="Q3027" s="117" t="str">
        <x:v>Sacha Pearce</x:v>
      </x:c>
      <x:c r="R3027" s="117" t="str">
        <x:v>Submit to UK Accounting for Invoicing</x:v>
      </x:c>
      <x:c r="S3027" s="119" t="str">
        <x:v>06/10/2025 - SP - Amending the UK email notification to have the Opportunity name hyperlinked to the record.</x:v>
      </x:c>
    </x:row>
    <x:row r="3028" ht="30" customHeight="1">
      <x:c r="A3028" s="117" t="str">
        <x:v>Swap_Lead_Owner_with_Lead_Owner_Queue</x:v>
      </x:c>
      <x:c r="B3028" s="117" t="str">
        <x:v>3000B0000008l9jQAA</x:v>
      </x:c>
      <x:c r="C3028" s="117" t="str">
        <x:v>3010B00000099sbQAA</x:v>
      </x:c>
      <x:c r="D3028" s="118" t="n">
        <x:v>1</x:v>
      </x:c>
      <x:c r="E3028" s="117" t="str">
        <x:v>Obsolete</x:v>
      </x:c>
      <x:c r="F3028" s="117" t="str">
        <x:v>No</x:v>
      </x:c>
      <x:c r="G3028" s="117" t="str">
        <x:v>No</x:v>
      </x:c>
      <x:c r="H3028" s="117" t="str">
        <x:v>Workflow</x:v>
      </x:c>
      <x:c r="I3028" s="118"/>
      <x:c r="J3028" s="117" t="str">
        <x:v>unmanaged</x:v>
      </x:c>
      <x:c r="K3028" s="123" t="b">
        <x:v>0</x:v>
      </x:c>
      <x:c r="L3028" s="117"/>
      <x:c r="M3028" s="118"/>
      <x:c r="N3028" s="120" t="n">
        <x:v>43314.579884259256</x:v>
      </x:c>
      <x:c r="O3028" s="117" t="str">
        <x:v>Zach Wills</x:v>
      </x:c>
      <x:c r="P3028" s="120" t="n">
        <x:v>43314.58021990741</x:v>
      </x:c>
      <x:c r="Q3028" s="117" t="str">
        <x:v>Zach Wills</x:v>
      </x:c>
      <x:c r="R3028" s="117" t="str">
        <x:v>Swap Lead Owner with Lead Owner Queue</x:v>
      </x:c>
      <x:c r="S3028" s="119" t="str">
        <x:v>Changes OwnerID from lead owner to the lead owner's queue</x:v>
      </x:c>
    </x:row>
    <x:row r="3029" ht="30" customHeight="1">
      <x:c r="A3029" s="117" t="str">
        <x:v>Swap_Lead_Owner_with_Lead_Owner_Queue</x:v>
      </x:c>
      <x:c r="B3029" s="117" t="str">
        <x:v>3000B0000008l9jQAA</x:v>
      </x:c>
      <x:c r="C3029" s="117" t="str">
        <x:v>3010B00000099u4QAA</x:v>
      </x:c>
      <x:c r="D3029" s="118" t="n">
        <x:v>2</x:v>
      </x:c>
      <x:c r="E3029" s="117" t="str">
        <x:v>Obsolete</x:v>
      </x:c>
      <x:c r="F3029" s="117" t="str">
        <x:v>No</x:v>
      </x:c>
      <x:c r="G3029" s="117" t="str">
        <x:v>No</x:v>
      </x:c>
      <x:c r="H3029" s="117" t="str">
        <x:v>Workflow</x:v>
      </x:c>
      <x:c r="I3029" s="118"/>
      <x:c r="J3029" s="117" t="str">
        <x:v>unmanaged</x:v>
      </x:c>
      <x:c r="K3029" s="123" t="b">
        <x:v>0</x:v>
      </x:c>
      <x:c r="L3029" s="117"/>
      <x:c r="M3029" s="118"/>
      <x:c r="N3029" s="120" t="n">
        <x:v>43314.60259259259</x:v>
      </x:c>
      <x:c r="O3029" s="117" t="str">
        <x:v>Zach Wills</x:v>
      </x:c>
      <x:c r="P3029" s="120" t="n">
        <x:v>43314.60283564815</x:v>
      </x:c>
      <x:c r="Q3029" s="117" t="str">
        <x:v>Zach Wills</x:v>
      </x:c>
      <x:c r="R3029" s="117" t="str">
        <x:v>Swap Lead Owner with Lead Owner Queue</x:v>
      </x:c>
      <x:c r="S3029" s="119" t="str">
        <x:v>Changes OwnerID from lead owner to the lead owner's queue</x:v>
      </x:c>
    </x:row>
    <x:row r="3030" ht="30" customHeight="1">
      <x:c r="A3030" s="117" t="str">
        <x:v>Swap_Lead_Owner_with_Lead_Owner_Queue</x:v>
      </x:c>
      <x:c r="B3030" s="117" t="str">
        <x:v>3000B0000008l9jQAA</x:v>
      </x:c>
      <x:c r="C3030" s="117" t="str">
        <x:v>3010B00000099urQAA</x:v>
      </x:c>
      <x:c r="D3030" s="118" t="n">
        <x:v>3</x:v>
      </x:c>
      <x:c r="E3030" s="117" t="str">
        <x:v>Obsolete</x:v>
      </x:c>
      <x:c r="F3030" s="117" t="str">
        <x:v>No</x:v>
      </x:c>
      <x:c r="G3030" s="117" t="str">
        <x:v>No</x:v>
      </x:c>
      <x:c r="H3030" s="117" t="str">
        <x:v>Workflow</x:v>
      </x:c>
      <x:c r="I3030" s="118"/>
      <x:c r="J3030" s="117" t="str">
        <x:v>unmanaged</x:v>
      </x:c>
      <x:c r="K3030" s="123" t="b">
        <x:v>0</x:v>
      </x:c>
      <x:c r="L3030" s="117"/>
      <x:c r="M3030" s="118"/>
      <x:c r="N3030" s="120" t="n">
        <x:v>43314.60658564815</x:v>
      </x:c>
      <x:c r="O3030" s="117" t="str">
        <x:v>Zach Wills</x:v>
      </x:c>
      <x:c r="P3030" s="120" t="n">
        <x:v>43363.636354166665</x:v>
      </x:c>
      <x:c r="Q3030" s="117" t="str">
        <x:v>Zach Wills</x:v>
      </x:c>
      <x:c r="R3030" s="117" t="str">
        <x:v>Swap Lead Owner with Lead Owner Queue</x:v>
      </x:c>
      <x:c r="S3030" s="119" t="str">
        <x:v>Changes OwnerID from lead owner to the lead owner's queue</x:v>
      </x:c>
    </x:row>
    <x:row r="3031" ht="30" customHeight="1">
      <x:c r="A3031" s="117" t="str">
        <x:v>Swap_Lead_Owner_with_Lead_Owner_Queue</x:v>
      </x:c>
      <x:c r="B3031" s="117" t="str">
        <x:v>3000B0000008l9jQAA</x:v>
      </x:c>
      <x:c r="C3031" s="117" t="str">
        <x:v>3010B0000009AmPQAU</x:v>
      </x:c>
      <x:c r="D3031" s="118" t="n">
        <x:v>4</x:v>
      </x:c>
      <x:c r="E3031" s="117" t="str">
        <x:v>Obsolete</x:v>
      </x:c>
      <x:c r="F3031" s="117" t="str">
        <x:v>No</x:v>
      </x:c>
      <x:c r="G3031" s="117" t="str">
        <x:v>No</x:v>
      </x:c>
      <x:c r="H3031" s="117" t="str">
        <x:v>Workflow</x:v>
      </x:c>
      <x:c r="I3031" s="118"/>
      <x:c r="J3031" s="117" t="str">
        <x:v>unmanaged</x:v>
      </x:c>
      <x:c r="K3031" s="123" t="b">
        <x:v>0</x:v>
      </x:c>
      <x:c r="L3031" s="117"/>
      <x:c r="M3031" s="118"/>
      <x:c r="N3031" s="120" t="n">
        <x:v>43363.64194444445</x:v>
      </x:c>
      <x:c r="O3031" s="117" t="str">
        <x:v>Zach Wills</x:v>
      </x:c>
      <x:c r="P3031" s="120" t="n">
        <x:v>43363.64219907407</x:v>
      </x:c>
      <x:c r="Q3031" s="117" t="str">
        <x:v>Zach Wills</x:v>
      </x:c>
      <x:c r="R3031" s="117" t="str">
        <x:v>Swap Lead Owner with Lead Owner Queue</x:v>
      </x:c>
      <x:c r="S3031" s="119" t="str">
        <x:v>Changes OwnerID from lead owner to the lead owner's queue</x:v>
      </x:c>
    </x:row>
    <x:row r="3032" ht="30" customHeight="1">
      <x:c r="A3032" s="117" t="str">
        <x:v>Swap_Lead_Owner_with_Lead_Owner_Queue</x:v>
      </x:c>
      <x:c r="B3032" s="117" t="str">
        <x:v>3000B0000008l9jQAA</x:v>
      </x:c>
      <x:c r="C3032" s="117" t="str">
        <x:v>3010B0000009AmeQAE</x:v>
      </x:c>
      <x:c r="D3032" s="118" t="n">
        <x:v>5</x:v>
      </x:c>
      <x:c r="E3032" s="117" t="str">
        <x:v>Obsolete</x:v>
      </x:c>
      <x:c r="F3032" s="117" t="str">
        <x:v>No</x:v>
      </x:c>
      <x:c r="G3032" s="117" t="str">
        <x:v>No</x:v>
      </x:c>
      <x:c r="H3032" s="117" t="str">
        <x:v>Workflow</x:v>
      </x:c>
      <x:c r="I3032" s="118"/>
      <x:c r="J3032" s="117" t="str">
        <x:v>unmanaged</x:v>
      </x:c>
      <x:c r="K3032" s="123" t="b">
        <x:v>0</x:v>
      </x:c>
      <x:c r="L3032" s="117"/>
      <x:c r="M3032" s="118"/>
      <x:c r="N3032" s="120" t="n">
        <x:v>43363.660150462965</x:v>
      </x:c>
      <x:c r="O3032" s="117" t="str">
        <x:v>Zach Wills</x:v>
      </x:c>
      <x:c r="P3032" s="120" t="n">
        <x:v>43363.662835648145</x:v>
      </x:c>
      <x:c r="Q3032" s="117" t="str">
        <x:v>Zach Wills</x:v>
      </x:c>
      <x:c r="R3032" s="117" t="str">
        <x:v>Swap Lead Owner with Lead Owner Queue</x:v>
      </x:c>
      <x:c r="S3032" s="119" t="str">
        <x:v>Changes OwnerID from lead owner to the lead owner's queue</x:v>
      </x:c>
    </x:row>
    <x:row r="3033" ht="30" customHeight="1">
      <x:c r="A3033" s="117" t="str">
        <x:v>Swap_Lead_Owner_with_Lead_Owner_Queue</x:v>
      </x:c>
      <x:c r="B3033" s="117" t="str">
        <x:v>3000B0000008l9jQAA</x:v>
      </x:c>
      <x:c r="C3033" s="117" t="str">
        <x:v>3010B0000009AmoQAE</x:v>
      </x:c>
      <x:c r="D3033" s="118" t="n">
        <x:v>6</x:v>
      </x:c>
      <x:c r="E3033" s="117" t="str">
        <x:v>Obsolete</x:v>
      </x:c>
      <x:c r="F3033" s="117" t="str">
        <x:v>No</x:v>
      </x:c>
      <x:c r="G3033" s="117" t="str">
        <x:v>No</x:v>
      </x:c>
      <x:c r="H3033" s="117" t="str">
        <x:v>Workflow</x:v>
      </x:c>
      <x:c r="I3033" s="118"/>
      <x:c r="J3033" s="117" t="str">
        <x:v>unmanaged</x:v>
      </x:c>
      <x:c r="K3033" s="123" t="b">
        <x:v>0</x:v>
      </x:c>
      <x:c r="L3033" s="117"/>
      <x:c r="M3033" s="118"/>
      <x:c r="N3033" s="120" t="n">
        <x:v>43363.66327546296</x:v>
      </x:c>
      <x:c r="O3033" s="117" t="str">
        <x:v>Zach Wills</x:v>
      </x:c>
      <x:c r="P3033" s="120" t="n">
        <x:v>43363.663356481484</x:v>
      </x:c>
      <x:c r="Q3033" s="117" t="str">
        <x:v>Zach Wills</x:v>
      </x:c>
      <x:c r="R3033" s="117" t="str">
        <x:v>Swap Lead Owner with Lead Owner Queue</x:v>
      </x:c>
      <x:c r="S3033" s="119" t="str">
        <x:v>Changes OwnerID from lead owner to the lead owner's queue</x:v>
      </x:c>
    </x:row>
    <x:row r="3034" ht="30" customHeight="1">
      <x:c r="A3034" s="117" t="str">
        <x:v>Swap_Lead_Owner_with_Lead_Owner_Queue</x:v>
      </x:c>
      <x:c r="B3034" s="117" t="str">
        <x:v>3000B0000008l9jQAA</x:v>
      </x:c>
      <x:c r="C3034" s="117" t="str">
        <x:v>3010B0000009AqCQAU</x:v>
      </x:c>
      <x:c r="D3034" s="118" t="n">
        <x:v>7</x:v>
      </x:c>
      <x:c r="E3034" s="117" t="str">
        <x:v>Obsolete</x:v>
      </x:c>
      <x:c r="F3034" s="117" t="str">
        <x:v>No</x:v>
      </x:c>
      <x:c r="G3034" s="117" t="str">
        <x:v>No</x:v>
      </x:c>
      <x:c r="H3034" s="117" t="str">
        <x:v>Workflow</x:v>
      </x:c>
      <x:c r="I3034" s="118"/>
      <x:c r="J3034" s="117" t="str">
        <x:v>unmanaged</x:v>
      </x:c>
      <x:c r="K3034" s="123" t="b">
        <x:v>0</x:v>
      </x:c>
      <x:c r="L3034" s="117"/>
      <x:c r="M3034" s="118"/>
      <x:c r="N3034" s="120" t="n">
        <x:v>43369.69137731481</x:v>
      </x:c>
      <x:c r="O3034" s="117" t="str">
        <x:v>Zach Wills</x:v>
      </x:c>
      <x:c r="P3034" s="120" t="n">
        <x:v>43369.69158564815</x:v>
      </x:c>
      <x:c r="Q3034" s="117" t="str">
        <x:v>Zach Wills</x:v>
      </x:c>
      <x:c r="R3034" s="117" t="str">
        <x:v>Swap Lead Owner with Lead Owner Queue</x:v>
      </x:c>
      <x:c r="S3034" s="119" t="str">
        <x:v>Changes OwnerID from lead owner to the lead owner's queue</x:v>
      </x:c>
    </x:row>
    <x:row r="3035" ht="30" customHeight="1">
      <x:c r="A3035" s="117" t="str">
        <x:v>Swap_Lead_Owner_with_Lead_Owner_Queue</x:v>
      </x:c>
      <x:c r="B3035" s="117" t="str">
        <x:v>3000B0000008l9jQAA</x:v>
      </x:c>
      <x:c r="C3035" s="117" t="str">
        <x:v>3010B0000009B0lQAE</x:v>
      </x:c>
      <x:c r="D3035" s="118" t="n">
        <x:v>8</x:v>
      </x:c>
      <x:c r="E3035" s="117" t="str">
        <x:v>Obsolete</x:v>
      </x:c>
      <x:c r="F3035" s="117" t="str">
        <x:v>No</x:v>
      </x:c>
      <x:c r="G3035" s="117" t="str">
        <x:v>No</x:v>
      </x:c>
      <x:c r="H3035" s="117" t="str">
        <x:v>Workflow</x:v>
      </x:c>
      <x:c r="I3035" s="118"/>
      <x:c r="J3035" s="117" t="str">
        <x:v>unmanaged</x:v>
      </x:c>
      <x:c r="K3035" s="123" t="b">
        <x:v>0</x:v>
      </x:c>
      <x:c r="L3035" s="117"/>
      <x:c r="M3035" s="118"/>
      <x:c r="N3035" s="120" t="n">
        <x:v>43377.815405092595</x:v>
      </x:c>
      <x:c r="O3035" s="117" t="str">
        <x:v>Zach Wills</x:v>
      </x:c>
      <x:c r="P3035" s="120" t="n">
        <x:v>43377.81555555556</x:v>
      </x:c>
      <x:c r="Q3035" s="117" t="str">
        <x:v>Zach Wills</x:v>
      </x:c>
      <x:c r="R3035" s="117" t="str">
        <x:v>Swap Lead Owner with Lead Owner Queue</x:v>
      </x:c>
      <x:c r="S3035" s="119" t="str">
        <x:v>Changes OwnerID from lead owner to the lead owner's queue</x:v>
      </x:c>
    </x:row>
    <x:row r="3036" ht="30" customHeight="1">
      <x:c r="A3036" s="117" t="str">
        <x:v>Swap_Lead_Owner_with_Lead_Owner_Queue</x:v>
      </x:c>
      <x:c r="B3036" s="117" t="str">
        <x:v>3000B0000008l9jQAA</x:v>
      </x:c>
      <x:c r="C3036" s="117" t="str">
        <x:v>3014O00000053ekQAA</x:v>
      </x:c>
      <x:c r="D3036" s="118" t="n">
        <x:v>9</x:v>
      </x:c>
      <x:c r="E3036" s="117" t="str">
        <x:v>Obsolete</x:v>
      </x:c>
      <x:c r="F3036" s="117" t="str">
        <x:v>No</x:v>
      </x:c>
      <x:c r="G3036" s="117" t="str">
        <x:v>No</x:v>
      </x:c>
      <x:c r="H3036" s="117" t="str">
        <x:v>Workflow</x:v>
      </x:c>
      <x:c r="I3036" s="118"/>
      <x:c r="J3036" s="117" t="str">
        <x:v>unmanaged</x:v>
      </x:c>
      <x:c r="K3036" s="123" t="b">
        <x:v>0</x:v>
      </x:c>
      <x:c r="L3036" s="117"/>
      <x:c r="M3036" s="118"/>
      <x:c r="N3036" s="120" t="n">
        <x:v>43571.53366898148</x:v>
      </x:c>
      <x:c r="O3036" s="117" t="str">
        <x:v>Jace Gentil</x:v>
      </x:c>
      <x:c r="P3036" s="120" t="n">
        <x:v>43571.53395833333</x:v>
      </x:c>
      <x:c r="Q3036" s="117" t="str">
        <x:v>Jace Gentil</x:v>
      </x:c>
      <x:c r="R3036" s="117" t="str">
        <x:v>Swap Lead Owner with Lead Owner Queue</x:v>
      </x:c>
      <x:c r="S3036" s="119" t="str">
        <x:v>Changes OwnerID from lead owner to the lead owner's queue</x:v>
      </x:c>
    </x:row>
    <x:row r="3037" ht="30" customHeight="1">
      <x:c r="A3037" s="117" t="str">
        <x:v>Swap_Lead_Owner_with_Lead_Owner_Queue</x:v>
      </x:c>
      <x:c r="B3037" s="117" t="str">
        <x:v>3000B0000008l9jQAA</x:v>
      </x:c>
      <x:c r="C3037" s="117" t="str">
        <x:v>3014O000000LusRQAS</x:v>
      </x:c>
      <x:c r="D3037" s="118" t="n">
        <x:v>10</x:v>
      </x:c>
      <x:c r="E3037" s="117" t="str">
        <x:v>Obsolete</x:v>
      </x:c>
      <x:c r="F3037" s="117" t="str">
        <x:v>No</x:v>
      </x:c>
      <x:c r="G3037" s="117" t="str">
        <x:v>No</x:v>
      </x:c>
      <x:c r="H3037" s="117" t="str">
        <x:v>Workflow</x:v>
      </x:c>
      <x:c r="I3037" s="118"/>
      <x:c r="J3037" s="117" t="str">
        <x:v>unmanaged</x:v>
      </x:c>
      <x:c r="K3037" s="123" t="b">
        <x:v>0</x:v>
      </x:c>
      <x:c r="L3037" s="117"/>
      <x:c r="M3037" s="118"/>
      <x:c r="N3037" s="120" t="n">
        <x:v>43634.73606481482</x:v>
      </x:c>
      <x:c r="O3037" s="117" t="str">
        <x:v>Jace Gentil</x:v>
      </x:c>
      <x:c r="P3037" s="120" t="n">
        <x:v>43634.73614583333</x:v>
      </x:c>
      <x:c r="Q3037" s="117" t="str">
        <x:v>Jace Gentil</x:v>
      </x:c>
      <x:c r="R3037" s="117" t="str">
        <x:v>Swap Lead Owner with Lead Owner Queue</x:v>
      </x:c>
      <x:c r="S3037" s="119" t="str">
        <x:v>Changes OwnerID from lead owner to the lead owner's queue</x:v>
      </x:c>
    </x:row>
    <x:row r="3038" ht="30" customHeight="1">
      <x:c r="A3038" s="117" t="str">
        <x:v>Swap_Lead_Owner_with_Lead_Owner_Queue</x:v>
      </x:c>
      <x:c r="B3038" s="117" t="str">
        <x:v>3000B0000008l9jQAA</x:v>
      </x:c>
      <x:c r="C3038" s="117" t="str">
        <x:v>3014O000000LusXQAS</x:v>
      </x:c>
      <x:c r="D3038" s="118" t="n">
        <x:v>11</x:v>
      </x:c>
      <x:c r="E3038" s="117" t="str">
        <x:v>Obsolete</x:v>
      </x:c>
      <x:c r="F3038" s="117" t="str">
        <x:v>No</x:v>
      </x:c>
      <x:c r="G3038" s="117" t="str">
        <x:v>No</x:v>
      </x:c>
      <x:c r="H3038" s="117" t="str">
        <x:v>Workflow</x:v>
      </x:c>
      <x:c r="I3038" s="118"/>
      <x:c r="J3038" s="117" t="str">
        <x:v>unmanaged</x:v>
      </x:c>
      <x:c r="K3038" s="123" t="b">
        <x:v>0</x:v>
      </x:c>
      <x:c r="L3038" s="117"/>
      <x:c r="M3038" s="118"/>
      <x:c r="N3038" s="120" t="n">
        <x:v>43634.745208333334</x:v>
      </x:c>
      <x:c r="O3038" s="117" t="str">
        <x:v>Jace Gentil</x:v>
      </x:c>
      <x:c r="P3038" s="120" t="n">
        <x:v>43634.7453125</x:v>
      </x:c>
      <x:c r="Q3038" s="117" t="str">
        <x:v>Jace Gentil</x:v>
      </x:c>
      <x:c r="R3038" s="117" t="str">
        <x:v>Swap Lead Owner with Lead Owner Queue</x:v>
      </x:c>
      <x:c r="S3038" s="119" t="str">
        <x:v>Changes OwnerID from lead owner to the lead owner's queue</x:v>
      </x:c>
    </x:row>
    <x:row r="3039" ht="30" customHeight="1">
      <x:c r="A3039" s="117" t="str">
        <x:v>Swap_Lead_Owner_with_Lead_Owner_Queue</x:v>
      </x:c>
      <x:c r="B3039" s="117" t="str">
        <x:v>3000B0000008l9jQAA</x:v>
      </x:c>
      <x:c r="C3039" s="117" t="str">
        <x:v>3014O000000U4kFQAS</x:v>
      </x:c>
      <x:c r="D3039" s="118" t="n">
        <x:v>12</x:v>
      </x:c>
      <x:c r="E3039" s="117" t="str">
        <x:v>Obsolete</x:v>
      </x:c>
      <x:c r="F3039" s="117" t="str">
        <x:v>No</x:v>
      </x:c>
      <x:c r="G3039" s="117" t="str">
        <x:v>No</x:v>
      </x:c>
      <x:c r="H3039" s="117" t="str">
        <x:v>Workflow</x:v>
      </x:c>
      <x:c r="I3039" s="118"/>
      <x:c r="J3039" s="117" t="str">
        <x:v>unmanaged</x:v>
      </x:c>
      <x:c r="K3039" s="123" t="b">
        <x:v>0</x:v>
      </x:c>
      <x:c r="L3039" s="117"/>
      <x:c r="M3039" s="118"/>
      <x:c r="N3039" s="120" t="n">
        <x:v>43677.93481481481</x:v>
      </x:c>
      <x:c r="O3039" s="117" t="str">
        <x:v>Jace Gentil</x:v>
      </x:c>
      <x:c r="P3039" s="120" t="n">
        <x:v>43677.935</x:v>
      </x:c>
      <x:c r="Q3039" s="117" t="str">
        <x:v>Jace Gentil</x:v>
      </x:c>
      <x:c r="R3039" s="117" t="str">
        <x:v>Swap Lead Owner with Lead Owner Queue</x:v>
      </x:c>
      <x:c r="S3039" s="119" t="str">
        <x:v>Changes OwnerID from lead owner to the lead owner's queue</x:v>
      </x:c>
    </x:row>
    <x:row r="3040" ht="30" customHeight="1">
      <x:c r="A3040" s="117" t="str">
        <x:v>Swap_Lead_Owner_with_Lead_Owner_Queue</x:v>
      </x:c>
      <x:c r="B3040" s="117" t="str">
        <x:v>3000B0000008l9jQAA</x:v>
      </x:c>
      <x:c r="C3040" s="117" t="str">
        <x:v>3014O000000U552QAC</x:v>
      </x:c>
      <x:c r="D3040" s="118" t="n">
        <x:v>13</x:v>
      </x:c>
      <x:c r="E3040" s="117" t="str">
        <x:v>Obsolete</x:v>
      </x:c>
      <x:c r="F3040" s="117" t="str">
        <x:v>No</x:v>
      </x:c>
      <x:c r="G3040" s="117" t="str">
        <x:v>No</x:v>
      </x:c>
      <x:c r="H3040" s="117" t="str">
        <x:v>Workflow</x:v>
      </x:c>
      <x:c r="I3040" s="118"/>
      <x:c r="J3040" s="117" t="str">
        <x:v>unmanaged</x:v>
      </x:c>
      <x:c r="K3040" s="123" t="b">
        <x:v>0</x:v>
      </x:c>
      <x:c r="L3040" s="117"/>
      <x:c r="M3040" s="118"/>
      <x:c r="N3040" s="120" t="n">
        <x:v>43699.5802662037</x:v>
      </x:c>
      <x:c r="O3040" s="117" t="str">
        <x:v>Jace Gentil</x:v>
      </x:c>
      <x:c r="P3040" s="120" t="n">
        <x:v>43699.580405092594</x:v>
      </x:c>
      <x:c r="Q3040" s="117" t="str">
        <x:v>Jace Gentil</x:v>
      </x:c>
      <x:c r="R3040" s="117" t="str">
        <x:v>Swap Lead Owner with Lead Owner Queue</x:v>
      </x:c>
      <x:c r="S3040" s="119" t="str">
        <x:v>Changes OwnerID from lead owner to the lead owner's queue</x:v>
      </x:c>
    </x:row>
    <x:row r="3041" ht="30" customHeight="1">
      <x:c r="A3041" s="117" t="str">
        <x:v>Swap_Lead_Owner_with_Lead_Owner_Queue</x:v>
      </x:c>
      <x:c r="B3041" s="117" t="str">
        <x:v>3000B0000008l9jQAA</x:v>
      </x:c>
      <x:c r="C3041" s="117" t="str">
        <x:v>3014O000000U56oQAC</x:v>
      </x:c>
      <x:c r="D3041" s="118" t="n">
        <x:v>14</x:v>
      </x:c>
      <x:c r="E3041" s="117" t="str">
        <x:v>Obsolete</x:v>
      </x:c>
      <x:c r="F3041" s="117" t="str">
        <x:v>No</x:v>
      </x:c>
      <x:c r="G3041" s="117" t="str">
        <x:v>Yes</x:v>
      </x:c>
      <x:c r="H3041" s="117" t="str">
        <x:v>Workflow</x:v>
      </x:c>
      <x:c r="I3041" s="118"/>
      <x:c r="J3041" s="117" t="str">
        <x:v>unmanaged</x:v>
      </x:c>
      <x:c r="K3041" s="123" t="b">
        <x:v>0</x:v>
      </x:c>
      <x:c r="L3041" s="117"/>
      <x:c r="M3041" s="118"/>
      <x:c r="N3041" s="120" t="n">
        <x:v>43703.57368055556</x:v>
      </x:c>
      <x:c r="O3041" s="117" t="str">
        <x:v>Jace Gentil</x:v>
      </x:c>
      <x:c r="P3041" s="120" t="n">
        <x:v>43762.70245370371</x:v>
      </x:c>
      <x:c r="Q3041" s="117" t="str">
        <x:v>Jim Bartek</x:v>
      </x:c>
      <x:c r="R3041" s="117" t="str">
        <x:v>Swap Lead Owner with Lead Owner Queue</x:v>
      </x:c>
      <x:c r="S3041" s="119" t="str">
        <x:v>Changes OwnerID from lead owner to the lead owner's queue</x:v>
      </x:c>
    </x:row>
    <x:row r="3042" ht="30" customHeight="1">
      <x:c r="A3042" s="117" t="str">
        <x:v>System_Deal_EA_Approval</x:v>
      </x:c>
      <x:c r="B3042" s="117" t="str">
        <x:v>3005b000000H30OAAS</x:v>
      </x:c>
      <x:c r="C3042" s="117" t="str">
        <x:v>3015b000000EGvnAAG</x:v>
      </x:c>
      <x:c r="D3042" s="118" t="n">
        <x:v>1</x:v>
      </x:c>
      <x:c r="E3042" s="117" t="str">
        <x:v>Obsolete</x:v>
      </x:c>
      <x:c r="F3042" s="117" t="str">
        <x:v>No</x:v>
      </x:c>
      <x:c r="G3042" s="117" t="str">
        <x:v>No</x:v>
      </x:c>
      <x:c r="H3042" s="117" t="str">
        <x:v>Flow</x:v>
      </x:c>
      <x:c r="I3042" s="118" t="n">
        <x:v>53</x:v>
      </x:c>
      <x:c r="J3042" s="117" t="str">
        <x:v>unmanaged</x:v>
      </x:c>
      <x:c r="K3042" s="123" t="b">
        <x:v>0</x:v>
      </x:c>
      <x:c r="L3042" s="117"/>
      <x:c r="M3042" s="118"/>
      <x:c r="N3042" s="120" t="n">
        <x:v>44600.067199074074</x:v>
      </x:c>
      <x:c r="O3042" s="117" t="str">
        <x:v>Natalie Boger</x:v>
      </x:c>
      <x:c r="P3042" s="120" t="n">
        <x:v>44600.06930555555</x:v>
      </x:c>
      <x:c r="Q3042" s="117" t="str">
        <x:v>Natalie Boger</x:v>
      </x:c>
      <x:c r="R3042" s="117" t="str">
        <x:v>System Deal EA Approval</x:v>
      </x:c>
      <x:c r="S3042" s="119"/>
    </x:row>
    <x:row r="3043" ht="30" customHeight="1">
      <x:c r="A3043" s="117" t="str">
        <x:v>System_Deal_EA_Approval</x:v>
      </x:c>
      <x:c r="B3043" s="117" t="str">
        <x:v>3005b000000H30OAAS</x:v>
      </x:c>
      <x:c r="C3043" s="117" t="str">
        <x:v>3015b000000EGwgAAG</x:v>
      </x:c>
      <x:c r="D3043" s="118" t="n">
        <x:v>2</x:v>
      </x:c>
      <x:c r="E3043" s="117" t="str">
        <x:v>Obsolete</x:v>
      </x:c>
      <x:c r="F3043" s="117" t="str">
        <x:v>No</x:v>
      </x:c>
      <x:c r="G3043" s="117" t="str">
        <x:v>No</x:v>
      </x:c>
      <x:c r="H3043" s="117" t="str">
        <x:v>Flow</x:v>
      </x:c>
      <x:c r="I3043" s="118" t="n">
        <x:v>53</x:v>
      </x:c>
      <x:c r="J3043" s="117" t="str">
        <x:v>unmanaged</x:v>
      </x:c>
      <x:c r="K3043" s="123" t="b">
        <x:v>0</x:v>
      </x:c>
      <x:c r="L3043" s="117"/>
      <x:c r="M3043" s="118"/>
      <x:c r="N3043" s="120" t="n">
        <x:v>44600.08519675926</x:v>
      </x:c>
      <x:c r="O3043" s="117" t="str">
        <x:v>Natalie Boger</x:v>
      </x:c>
      <x:c r="P3043" s="120" t="n">
        <x:v>44600.08607638889</x:v>
      </x:c>
      <x:c r="Q3043" s="117" t="str">
        <x:v>Natalie Boger</x:v>
      </x:c>
      <x:c r="R3043" s="117" t="str">
        <x:v>System Deal EA Approval</x:v>
      </x:c>
      <x:c r="S3043" s="119"/>
    </x:row>
    <x:row r="3044" ht="30" customHeight="1">
      <x:c r="A3044" s="117" t="str">
        <x:v>System_Deal_EA_Approval</x:v>
      </x:c>
      <x:c r="B3044" s="117" t="str">
        <x:v>3005b000000H30OAAS</x:v>
      </x:c>
      <x:c r="C3044" s="117" t="str">
        <x:v>3015b000000ELFXAA4</x:v>
      </x:c>
      <x:c r="D3044" s="118" t="n">
        <x:v>3</x:v>
      </x:c>
      <x:c r="E3044" s="117" t="str">
        <x:v>Active</x:v>
      </x:c>
      <x:c r="F3044" s="117" t="str">
        <x:v>Yes</x:v>
      </x:c>
      <x:c r="G3044" s="117" t="str">
        <x:v>Yes</x:v>
      </x:c>
      <x:c r="H3044" s="117" t="str">
        <x:v>Flow</x:v>
      </x:c>
      <x:c r="I3044" s="118" t="n">
        <x:v>53</x:v>
      </x:c>
      <x:c r="J3044" s="117" t="str">
        <x:v>unmanaged</x:v>
      </x:c>
      <x:c r="K3044" s="123" t="b">
        <x:v>0</x:v>
      </x:c>
      <x:c r="L3044" s="117"/>
      <x:c r="M3044" s="118"/>
      <x:c r="N3044" s="120" t="n">
        <x:v>44783.097395833334</x:v>
      </x:c>
      <x:c r="O3044" s="117" t="str">
        <x:v>Jace Gentil</x:v>
      </x:c>
      <x:c r="P3044" s="120" t="n">
        <x:v>44783.09744212963</x:v>
      </x:c>
      <x:c r="Q3044" s="117" t="str">
        <x:v>Jace Gentil</x:v>
      </x:c>
      <x:c r="R3044" s="117" t="str">
        <x:v>System Deal EA Approval</x:v>
      </x:c>
      <x:c r="S3044" s="119"/>
    </x:row>
    <x:row r="3045" ht="30" customHeight="1">
      <x:c r="A3045" s="117" t="str">
        <x:v>System_Rate_Calculator_Screen_Flow</x:v>
      </x:c>
      <x:c r="B3045" s="117" t="str">
        <x:v>300Ro000009znjeIAA</x:v>
      </x:c>
      <x:c r="C3045" s="117" t="str">
        <x:v>301Ro00000B0CvnIAF</x:v>
      </x:c>
      <x:c r="D3045" s="118" t="n">
        <x:v>1</x:v>
      </x:c>
      <x:c r="E3045" s="117" t="str">
        <x:v>Draft</x:v>
      </x:c>
      <x:c r="F3045" s="117" t="str">
        <x:v>No</x:v>
      </x:c>
      <x:c r="G3045" s="117" t="str">
        <x:v>No</x:v>
      </x:c>
      <x:c r="H3045" s="117" t="str">
        <x:v>Flow</x:v>
      </x:c>
      <x:c r="I3045" s="118" t="n">
        <x:v>60</x:v>
      </x:c>
      <x:c r="J3045" s="117" t="str">
        <x:v>unmanaged</x:v>
      </x:c>
      <x:c r="K3045" s="123" t="b">
        <x:v>0</x:v>
      </x:c>
      <x:c r="L3045" s="117" t="str">
        <x:v>SystemModeWithoutSharing</x:v>
      </x:c>
      <x:c r="M3045" s="118"/>
      <x:c r="N3045" s="120" t="n">
        <x:v>45397.93609953704</x:v>
      </x:c>
      <x:c r="O3045" s="117" t="str">
        <x:v>Jace Gentil</x:v>
      </x:c>
      <x:c r="P3045" s="120" t="n">
        <x:v>45397.93614583334</x:v>
      </x:c>
      <x:c r="Q3045" s="117" t="str">
        <x:v>Jace Gentil</x:v>
      </x:c>
      <x:c r="R3045" s="117" t="str">
        <x:v>System Rate Calculator Screen Flow</x:v>
      </x:c>
      <x:c r="S3045" s="119"/>
    </x:row>
    <x:row r="3046" ht="30" customHeight="1">
      <x:c r="A3046" s="117" t="str">
        <x:v>System_Rate_Calculator_Screen_Flow</x:v>
      </x:c>
      <x:c r="B3046" s="117" t="str">
        <x:v>300Ro000009znjeIAA</x:v>
      </x:c>
      <x:c r="C3046" s="117" t="str">
        <x:v>301Ro00000Cdhz7IAB</x:v>
      </x:c>
      <x:c r="D3046" s="118" t="n">
        <x:v>2</x:v>
      </x:c>
      <x:c r="E3046" s="117" t="str">
        <x:v>Obsolete</x:v>
      </x:c>
      <x:c r="F3046" s="117" t="str">
        <x:v>No</x:v>
      </x:c>
      <x:c r="G3046" s="117" t="str">
        <x:v>No</x:v>
      </x:c>
      <x:c r="H3046" s="117" t="str">
        <x:v>Flow</x:v>
      </x:c>
      <x:c r="I3046" s="118" t="n">
        <x:v>60</x:v>
      </x:c>
      <x:c r="J3046" s="117" t="str">
        <x:v>unmanaged</x:v>
      </x:c>
      <x:c r="K3046" s="123" t="b">
        <x:v>0</x:v>
      </x:c>
      <x:c r="L3046" s="117" t="str">
        <x:v>SystemModeWithoutSharing</x:v>
      </x:c>
      <x:c r="M3046" s="118"/>
      <x:c r="N3046" s="120" t="n">
        <x:v>45423.57472222222</x:v>
      </x:c>
      <x:c r="O3046" s="117" t="str">
        <x:v>Jace Gentil</x:v>
      </x:c>
      <x:c r="P3046" s="120" t="n">
        <x:v>45423.57480324074</x:v>
      </x:c>
      <x:c r="Q3046" s="117" t="str">
        <x:v>Jace Gentil</x:v>
      </x:c>
      <x:c r="R3046" s="117" t="str">
        <x:v>System Rate Calculator Screen Flow</x:v>
      </x:c>
      <x:c r="S3046" s="119"/>
    </x:row>
    <x:row r="3047" ht="30" customHeight="1">
      <x:c r="A3047" s="117" t="str">
        <x:v>System_Rate_Calculator_Screen_Flow</x:v>
      </x:c>
      <x:c r="B3047" s="117" t="str">
        <x:v>300Ro000009znjeIAA</x:v>
      </x:c>
      <x:c r="C3047" s="117" t="str">
        <x:v>301Ro00000CdnWfIAJ</x:v>
      </x:c>
      <x:c r="D3047" s="118" t="n">
        <x:v>3</x:v>
      </x:c>
      <x:c r="E3047" s="117" t="str">
        <x:v>Obsolete</x:v>
      </x:c>
      <x:c r="F3047" s="117" t="str">
        <x:v>No</x:v>
      </x:c>
      <x:c r="G3047" s="117" t="str">
        <x:v>No</x:v>
      </x:c>
      <x:c r="H3047" s="117" t="str">
        <x:v>Flow</x:v>
      </x:c>
      <x:c r="I3047" s="118" t="n">
        <x:v>60</x:v>
      </x:c>
      <x:c r="J3047" s="117" t="str">
        <x:v>unmanaged</x:v>
      </x:c>
      <x:c r="K3047" s="123" t="b">
        <x:v>0</x:v>
      </x:c>
      <x:c r="L3047" s="117" t="str">
        <x:v>SystemModeWithoutSharing</x:v>
      </x:c>
      <x:c r="M3047" s="118"/>
      <x:c r="N3047" s="120" t="n">
        <x:v>45423.58048611111</x:v>
      </x:c>
      <x:c r="O3047" s="117" t="str">
        <x:v>Jace Gentil</x:v>
      </x:c>
      <x:c r="P3047" s="120" t="n">
        <x:v>45423.58053240741</x:v>
      </x:c>
      <x:c r="Q3047" s="117" t="str">
        <x:v>Jace Gentil</x:v>
      </x:c>
      <x:c r="R3047" s="117" t="str">
        <x:v>System Rate Calculator Screen Flow</x:v>
      </x:c>
      <x:c r="S3047" s="119"/>
    </x:row>
    <x:row r="3048" ht="30" customHeight="1">
      <x:c r="A3048" s="117" t="str">
        <x:v>System_Rate_Calculator_Screen_Flow</x:v>
      </x:c>
      <x:c r="B3048" s="117" t="str">
        <x:v>300Ro000009znjeIAA</x:v>
      </x:c>
      <x:c r="C3048" s="117" t="str">
        <x:v>301Ro00000CduOQIAZ</x:v>
      </x:c>
      <x:c r="D3048" s="118" t="n">
        <x:v>4</x:v>
      </x:c>
      <x:c r="E3048" s="117" t="str">
        <x:v>Obsolete</x:v>
      </x:c>
      <x:c r="F3048" s="117" t="str">
        <x:v>No</x:v>
      </x:c>
      <x:c r="G3048" s="117" t="str">
        <x:v>No</x:v>
      </x:c>
      <x:c r="H3048" s="117" t="str">
        <x:v>Flow</x:v>
      </x:c>
      <x:c r="I3048" s="118" t="n">
        <x:v>60</x:v>
      </x:c>
      <x:c r="J3048" s="117" t="str">
        <x:v>unmanaged</x:v>
      </x:c>
      <x:c r="K3048" s="123" t="b">
        <x:v>0</x:v>
      </x:c>
      <x:c r="L3048" s="117" t="str">
        <x:v>SystemModeWithoutSharing</x:v>
      </x:c>
      <x:c r="M3048" s="118"/>
      <x:c r="N3048" s="120" t="n">
        <x:v>45423.62237268518</x:v>
      </x:c>
      <x:c r="O3048" s="117" t="str">
        <x:v>Jace Gentil</x:v>
      </x:c>
      <x:c r="P3048" s="120" t="n">
        <x:v>45423.62255787037</x:v>
      </x:c>
      <x:c r="Q3048" s="117" t="str">
        <x:v>Jace Gentil</x:v>
      </x:c>
      <x:c r="R3048" s="117" t="str">
        <x:v>System Rate Calculator Screen Flow</x:v>
      </x:c>
      <x:c r="S3048" s="119"/>
    </x:row>
    <x:row r="3049" ht="30" customHeight="1">
      <x:c r="A3049" s="117" t="str">
        <x:v>System_Rate_Calculator_Screen_Flow</x:v>
      </x:c>
      <x:c r="B3049" s="117" t="str">
        <x:v>300Ro000009znjeIAA</x:v>
      </x:c>
      <x:c r="C3049" s="117" t="str">
        <x:v>301Ro00000CgM2RIAV</x:v>
      </x:c>
      <x:c r="D3049" s="118" t="n">
        <x:v>5</x:v>
      </x:c>
      <x:c r="E3049" s="117" t="str">
        <x:v>Obsolete</x:v>
      </x:c>
      <x:c r="F3049" s="117" t="str">
        <x:v>No</x:v>
      </x:c>
      <x:c r="G3049" s="117" t="str">
        <x:v>No</x:v>
      </x:c>
      <x:c r="H3049" s="117" t="str">
        <x:v>Flow</x:v>
      </x:c>
      <x:c r="I3049" s="118" t="n">
        <x:v>60</x:v>
      </x:c>
      <x:c r="J3049" s="117" t="str">
        <x:v>unmanaged</x:v>
      </x:c>
      <x:c r="K3049" s="123" t="b">
        <x:v>0</x:v>
      </x:c>
      <x:c r="L3049" s="117" t="str">
        <x:v>SystemModeWithoutSharing</x:v>
      </x:c>
      <x:c r="M3049" s="118"/>
      <x:c r="N3049" s="120" t="n">
        <x:v>45424.88590277778</x:v>
      </x:c>
      <x:c r="O3049" s="117" t="str">
        <x:v>Jace Gentil</x:v>
      </x:c>
      <x:c r="P3049" s="120" t="n">
        <x:v>45424.885983796295</x:v>
      </x:c>
      <x:c r="Q3049" s="117" t="str">
        <x:v>Jace Gentil</x:v>
      </x:c>
      <x:c r="R3049" s="117" t="str">
        <x:v>System Rate Calculator Screen Flow</x:v>
      </x:c>
      <x:c r="S3049" s="119"/>
    </x:row>
    <x:row r="3050" ht="30" customHeight="1">
      <x:c r="A3050" s="117" t="str">
        <x:v>System_Rate_Calculator_Screen_Flow</x:v>
      </x:c>
      <x:c r="B3050" s="117" t="str">
        <x:v>300Ro000009znjeIAA</x:v>
      </x:c>
      <x:c r="C3050" s="117" t="str">
        <x:v>301Ro00000CgW9SIAV</x:v>
      </x:c>
      <x:c r="D3050" s="118" t="n">
        <x:v>6</x:v>
      </x:c>
      <x:c r="E3050" s="117" t="str">
        <x:v>Obsolete</x:v>
      </x:c>
      <x:c r="F3050" s="117" t="str">
        <x:v>No</x:v>
      </x:c>
      <x:c r="G3050" s="117" t="str">
        <x:v>No</x:v>
      </x:c>
      <x:c r="H3050" s="117" t="str">
        <x:v>Flow</x:v>
      </x:c>
      <x:c r="I3050" s="118" t="n">
        <x:v>60</x:v>
      </x:c>
      <x:c r="J3050" s="117" t="str">
        <x:v>unmanaged</x:v>
      </x:c>
      <x:c r="K3050" s="123" t="b">
        <x:v>0</x:v>
      </x:c>
      <x:c r="L3050" s="117" t="str">
        <x:v>SystemModeWithoutSharing</x:v>
      </x:c>
      <x:c r="M3050" s="118"/>
      <x:c r="N3050" s="120" t="n">
        <x:v>45424.88805555556</x:v>
      </x:c>
      <x:c r="O3050" s="117" t="str">
        <x:v>Jace Gentil</x:v>
      </x:c>
      <x:c r="P3050" s="120" t="n">
        <x:v>45424.88818287037</x:v>
      </x:c>
      <x:c r="Q3050" s="117" t="str">
        <x:v>Jace Gentil</x:v>
      </x:c>
      <x:c r="R3050" s="117" t="str">
        <x:v>System Rate Calculator Screen Flow</x:v>
      </x:c>
      <x:c r="S3050" s="119"/>
    </x:row>
    <x:row r="3051" ht="30" customHeight="1">
      <x:c r="A3051" s="117" t="str">
        <x:v>System_Rate_Calculator_Screen_Flow</x:v>
      </x:c>
      <x:c r="B3051" s="117" t="str">
        <x:v>300Ro000009znjeIAA</x:v>
      </x:c>
      <x:c r="C3051" s="117" t="str">
        <x:v>301Ro00000CgNcXIAV</x:v>
      </x:c>
      <x:c r="D3051" s="118" t="n">
        <x:v>7</x:v>
      </x:c>
      <x:c r="E3051" s="117" t="str">
        <x:v>Obsolete</x:v>
      </x:c>
      <x:c r="F3051" s="117" t="str">
        <x:v>No</x:v>
      </x:c>
      <x:c r="G3051" s="117" t="str">
        <x:v>No</x:v>
      </x:c>
      <x:c r="H3051" s="117" t="str">
        <x:v>Flow</x:v>
      </x:c>
      <x:c r="I3051" s="118" t="n">
        <x:v>60</x:v>
      </x:c>
      <x:c r="J3051" s="117" t="str">
        <x:v>unmanaged</x:v>
      </x:c>
      <x:c r="K3051" s="123" t="b">
        <x:v>0</x:v>
      </x:c>
      <x:c r="L3051" s="117" t="str">
        <x:v>SystemModeWithoutSharing</x:v>
      </x:c>
      <x:c r="M3051" s="118"/>
      <x:c r="N3051" s="120" t="n">
        <x:v>45424.8891087963</x:v>
      </x:c>
      <x:c r="O3051" s="117" t="str">
        <x:v>Jace Gentil</x:v>
      </x:c>
      <x:c r="P3051" s="120" t="n">
        <x:v>45424.88916666667</x:v>
      </x:c>
      <x:c r="Q3051" s="117" t="str">
        <x:v>Jace Gentil</x:v>
      </x:c>
      <x:c r="R3051" s="117" t="str">
        <x:v>System Rate Calculator Screen Flow</x:v>
      </x:c>
      <x:c r="S3051" s="119"/>
    </x:row>
    <x:row r="3052" ht="30" customHeight="1">
      <x:c r="A3052" s="117" t="str">
        <x:v>System_Rate_Calculator_Screen_Flow</x:v>
      </x:c>
      <x:c r="B3052" s="117" t="str">
        <x:v>300Ro000009znjeIAA</x:v>
      </x:c>
      <x:c r="C3052" s="117" t="str">
        <x:v>301Ro00000CgMVCIA3</x:v>
      </x:c>
      <x:c r="D3052" s="118" t="n">
        <x:v>8</x:v>
      </x:c>
      <x:c r="E3052" s="117" t="str">
        <x:v>Obsolete</x:v>
      </x:c>
      <x:c r="F3052" s="117" t="str">
        <x:v>No</x:v>
      </x:c>
      <x:c r="G3052" s="117" t="str">
        <x:v>No</x:v>
      </x:c>
      <x:c r="H3052" s="117" t="str">
        <x:v>Flow</x:v>
      </x:c>
      <x:c r="I3052" s="118" t="n">
        <x:v>60</x:v>
      </x:c>
      <x:c r="J3052" s="117" t="str">
        <x:v>unmanaged</x:v>
      </x:c>
      <x:c r="K3052" s="123" t="b">
        <x:v>0</x:v>
      </x:c>
      <x:c r="L3052" s="117" t="str">
        <x:v>SystemModeWithoutSharing</x:v>
      </x:c>
      <x:c r="M3052" s="118"/>
      <x:c r="N3052" s="120" t="n">
        <x:v>45424.892060185186</x:v>
      </x:c>
      <x:c r="O3052" s="117" t="str">
        <x:v>Jace Gentil</x:v>
      </x:c>
      <x:c r="P3052" s="120" t="n">
        <x:v>45424.89212962963</x:v>
      </x:c>
      <x:c r="Q3052" s="117" t="str">
        <x:v>Jace Gentil</x:v>
      </x:c>
      <x:c r="R3052" s="117" t="str">
        <x:v>System Rate Calculator Screen Flow</x:v>
      </x:c>
      <x:c r="S3052" s="119"/>
    </x:row>
    <x:row r="3053" ht="30" customHeight="1">
      <x:c r="A3053" s="117" t="str">
        <x:v>System_Rate_Calculator_Screen_Flow</x:v>
      </x:c>
      <x:c r="B3053" s="117" t="str">
        <x:v>300Ro000009znjeIAA</x:v>
      </x:c>
      <x:c r="C3053" s="117" t="str">
        <x:v>301Ro00000CgTq0IAF</x:v>
      </x:c>
      <x:c r="D3053" s="118" t="n">
        <x:v>9</x:v>
      </x:c>
      <x:c r="E3053" s="117" t="str">
        <x:v>Obsolete</x:v>
      </x:c>
      <x:c r="F3053" s="117" t="str">
        <x:v>No</x:v>
      </x:c>
      <x:c r="G3053" s="117" t="str">
        <x:v>No</x:v>
      </x:c>
      <x:c r="H3053" s="117" t="str">
        <x:v>Flow</x:v>
      </x:c>
      <x:c r="I3053" s="118" t="n">
        <x:v>60</x:v>
      </x:c>
      <x:c r="J3053" s="117" t="str">
        <x:v>unmanaged</x:v>
      </x:c>
      <x:c r="K3053" s="123" t="b">
        <x:v>0</x:v>
      </x:c>
      <x:c r="L3053" s="117" t="str">
        <x:v>SystemModeWithoutSharing</x:v>
      </x:c>
      <x:c r="M3053" s="118"/>
      <x:c r="N3053" s="120" t="n">
        <x:v>45424.893854166665</x:v>
      </x:c>
      <x:c r="O3053" s="117" t="str">
        <x:v>Jace Gentil</x:v>
      </x:c>
      <x:c r="P3053" s="120" t="n">
        <x:v>45424.893900462965</x:v>
      </x:c>
      <x:c r="Q3053" s="117" t="str">
        <x:v>Jace Gentil</x:v>
      </x:c>
      <x:c r="R3053" s="117" t="str">
        <x:v>System Rate Calculator Screen Flow</x:v>
      </x:c>
      <x:c r="S3053" s="119"/>
    </x:row>
    <x:row r="3054" ht="30" customHeight="1">
      <x:c r="A3054" s="117" t="str">
        <x:v>System_Rate_Calculator_Screen_Flow</x:v>
      </x:c>
      <x:c r="B3054" s="117" t="str">
        <x:v>300Ro000009znjeIAA</x:v>
      </x:c>
      <x:c r="C3054" s="117" t="str">
        <x:v>301Ro00000CgXOrIAN</x:v>
      </x:c>
      <x:c r="D3054" s="118" t="n">
        <x:v>10</x:v>
      </x:c>
      <x:c r="E3054" s="117" t="str">
        <x:v>Obsolete</x:v>
      </x:c>
      <x:c r="F3054" s="117" t="str">
        <x:v>No</x:v>
      </x:c>
      <x:c r="G3054" s="117" t="str">
        <x:v>No</x:v>
      </x:c>
      <x:c r="H3054" s="117" t="str">
        <x:v>Flow</x:v>
      </x:c>
      <x:c r="I3054" s="118" t="n">
        <x:v>60</x:v>
      </x:c>
      <x:c r="J3054" s="117" t="str">
        <x:v>unmanaged</x:v>
      </x:c>
      <x:c r="K3054" s="123" t="b">
        <x:v>0</x:v>
      </x:c>
      <x:c r="L3054" s="117" t="str">
        <x:v>SystemModeWithoutSharing</x:v>
      </x:c>
      <x:c r="M3054" s="118"/>
      <x:c r="N3054" s="120" t="n">
        <x:v>45424.89409722222</x:v>
      </x:c>
      <x:c r="O3054" s="117" t="str">
        <x:v>Jace Gentil</x:v>
      </x:c>
      <x:c r="P3054" s="120" t="n">
        <x:v>45424.894155092596</x:v>
      </x:c>
      <x:c r="Q3054" s="117" t="str">
        <x:v>Jace Gentil</x:v>
      </x:c>
      <x:c r="R3054" s="117" t="str">
        <x:v>System Rate Calculator Screen Flow</x:v>
      </x:c>
      <x:c r="S3054" s="119"/>
    </x:row>
    <x:row r="3055" ht="30" customHeight="1">
      <x:c r="A3055" s="117" t="str">
        <x:v>System_Rate_Calculator_Screen_Flow</x:v>
      </x:c>
      <x:c r="B3055" s="117" t="str">
        <x:v>300Ro000009znjeIAA</x:v>
      </x:c>
      <x:c r="C3055" s="117" t="str">
        <x:v>301Ro00000CicsJIAR</x:v>
      </x:c>
      <x:c r="D3055" s="118" t="n">
        <x:v>11</x:v>
      </x:c>
      <x:c r="E3055" s="117" t="str">
        <x:v>Obsolete</x:v>
      </x:c>
      <x:c r="F3055" s="117" t="str">
        <x:v>No</x:v>
      </x:c>
      <x:c r="G3055" s="117" t="str">
        <x:v>No</x:v>
      </x:c>
      <x:c r="H3055" s="117" t="str">
        <x:v>Flow</x:v>
      </x:c>
      <x:c r="I3055" s="118" t="n">
        <x:v>60</x:v>
      </x:c>
      <x:c r="J3055" s="117" t="str">
        <x:v>unmanaged</x:v>
      </x:c>
      <x:c r="K3055" s="123" t="b">
        <x:v>0</x:v>
      </x:c>
      <x:c r="L3055" s="117" t="str">
        <x:v>SystemModeWithoutSharing</x:v>
      </x:c>
      <x:c r="M3055" s="118"/>
      <x:c r="N3055" s="120" t="n">
        <x:v>45425.627916666665</x:v>
      </x:c>
      <x:c r="O3055" s="117" t="str">
        <x:v>Jace Gentil</x:v>
      </x:c>
      <x:c r="P3055" s="120" t="n">
        <x:v>45425.62799768519</x:v>
      </x:c>
      <x:c r="Q3055" s="117" t="str">
        <x:v>Jace Gentil</x:v>
      </x:c>
      <x:c r="R3055" s="117" t="str">
        <x:v>System Rate Calculator Screen Flow</x:v>
      </x:c>
      <x:c r="S3055" s="119"/>
    </x:row>
    <x:row r="3056" ht="30" customHeight="1">
      <x:c r="A3056" s="117" t="str">
        <x:v>System_Rate_Calculator_Screen_Flow</x:v>
      </x:c>
      <x:c r="B3056" s="117" t="str">
        <x:v>300Ro000009znjeIAA</x:v>
      </x:c>
      <x:c r="C3056" s="117" t="str">
        <x:v>301Ro00000CipPjIAJ</x:v>
      </x:c>
      <x:c r="D3056" s="118" t="n">
        <x:v>12</x:v>
      </x:c>
      <x:c r="E3056" s="117" t="str">
        <x:v>Obsolete</x:v>
      </x:c>
      <x:c r="F3056" s="117" t="str">
        <x:v>No</x:v>
      </x:c>
      <x:c r="G3056" s="117" t="str">
        <x:v>No</x:v>
      </x:c>
      <x:c r="H3056" s="117" t="str">
        <x:v>Flow</x:v>
      </x:c>
      <x:c r="I3056" s="118" t="n">
        <x:v>60</x:v>
      </x:c>
      <x:c r="J3056" s="117" t="str">
        <x:v>unmanaged</x:v>
      </x:c>
      <x:c r="K3056" s="123" t="b">
        <x:v>0</x:v>
      </x:c>
      <x:c r="L3056" s="117" t="str">
        <x:v>SystemModeWithoutSharing</x:v>
      </x:c>
      <x:c r="M3056" s="118"/>
      <x:c r="N3056" s="120" t="n">
        <x:v>45425.63185185185</x:v>
      </x:c>
      <x:c r="O3056" s="117" t="str">
        <x:v>Jace Gentil</x:v>
      </x:c>
      <x:c r="P3056" s="120" t="n">
        <x:v>45425.6319212963</x:v>
      </x:c>
      <x:c r="Q3056" s="117" t="str">
        <x:v>Jace Gentil</x:v>
      </x:c>
      <x:c r="R3056" s="117" t="str">
        <x:v>System Rate Calculator Screen Flow</x:v>
      </x:c>
      <x:c r="S3056" s="119"/>
    </x:row>
    <x:row r="3057" ht="30" customHeight="1">
      <x:c r="A3057" s="117" t="str">
        <x:v>System_Rate_Calculator_Screen_Flow</x:v>
      </x:c>
      <x:c r="B3057" s="117" t="str">
        <x:v>300Ro000009znjeIAA</x:v>
      </x:c>
      <x:c r="C3057" s="117" t="str">
        <x:v>301Ro00000CiXhbIAF</x:v>
      </x:c>
      <x:c r="D3057" s="118" t="n">
        <x:v>13</x:v>
      </x:c>
      <x:c r="E3057" s="117" t="str">
        <x:v>Obsolete</x:v>
      </x:c>
      <x:c r="F3057" s="117" t="str">
        <x:v>No</x:v>
      </x:c>
      <x:c r="G3057" s="117" t="str">
        <x:v>No</x:v>
      </x:c>
      <x:c r="H3057" s="117" t="str">
        <x:v>Flow</x:v>
      </x:c>
      <x:c r="I3057" s="118" t="n">
        <x:v>60</x:v>
      </x:c>
      <x:c r="J3057" s="117" t="str">
        <x:v>unmanaged</x:v>
      </x:c>
      <x:c r="K3057" s="123" t="b">
        <x:v>0</x:v>
      </x:c>
      <x:c r="L3057" s="117" t="str">
        <x:v>SystemModeWithoutSharing</x:v>
      </x:c>
      <x:c r="M3057" s="118"/>
      <x:c r="N3057" s="120" t="n">
        <x:v>45425.64157407408</x:v>
      </x:c>
      <x:c r="O3057" s="117" t="str">
        <x:v>Jace Gentil</x:v>
      </x:c>
      <x:c r="P3057" s="120" t="n">
        <x:v>45425.64167824074</x:v>
      </x:c>
      <x:c r="Q3057" s="117" t="str">
        <x:v>Jace Gentil</x:v>
      </x:c>
      <x:c r="R3057" s="117" t="str">
        <x:v>System Rate Calculator Screen Flow</x:v>
      </x:c>
      <x:c r="S3057" s="119"/>
    </x:row>
    <x:row r="3058" ht="30" customHeight="1">
      <x:c r="A3058" s="117" t="str">
        <x:v>System_Rate_Calculator_Screen_Flow</x:v>
      </x:c>
      <x:c r="B3058" s="117" t="str">
        <x:v>300Ro000009znjeIAA</x:v>
      </x:c>
      <x:c r="C3058" s="117" t="str">
        <x:v>301Ro00000CirzPIAR</x:v>
      </x:c>
      <x:c r="D3058" s="118" t="n">
        <x:v>14</x:v>
      </x:c>
      <x:c r="E3058" s="117" t="str">
        <x:v>Obsolete</x:v>
      </x:c>
      <x:c r="F3058" s="117" t="str">
        <x:v>No</x:v>
      </x:c>
      <x:c r="G3058" s="117" t="str">
        <x:v>No</x:v>
      </x:c>
      <x:c r="H3058" s="117" t="str">
        <x:v>Flow</x:v>
      </x:c>
      <x:c r="I3058" s="118" t="n">
        <x:v>60</x:v>
      </x:c>
      <x:c r="J3058" s="117" t="str">
        <x:v>unmanaged</x:v>
      </x:c>
      <x:c r="K3058" s="123" t="b">
        <x:v>0</x:v>
      </x:c>
      <x:c r="L3058" s="117" t="str">
        <x:v>SystemModeWithoutSharing</x:v>
      </x:c>
      <x:c r="M3058" s="118"/>
      <x:c r="N3058" s="120" t="n">
        <x:v>45425.64298611111</x:v>
      </x:c>
      <x:c r="O3058" s="117" t="str">
        <x:v>Jace Gentil</x:v>
      </x:c>
      <x:c r="P3058" s="120" t="n">
        <x:v>45425.64304398148</x:v>
      </x:c>
      <x:c r="Q3058" s="117" t="str">
        <x:v>Jace Gentil</x:v>
      </x:c>
      <x:c r="R3058" s="117" t="str">
        <x:v>System Rate Calculator Screen Flow</x:v>
      </x:c>
      <x:c r="S3058" s="119"/>
    </x:row>
    <x:row r="3059" ht="30" customHeight="1">
      <x:c r="A3059" s="117" t="str">
        <x:v>System_Rate_Calculator_Screen_Flow</x:v>
      </x:c>
      <x:c r="B3059" s="117" t="str">
        <x:v>300Ro000009znjeIAA</x:v>
      </x:c>
      <x:c r="C3059" s="117" t="str">
        <x:v>301Ro00000CjOvQIAV</x:v>
      </x:c>
      <x:c r="D3059" s="118" t="n">
        <x:v>15</x:v>
      </x:c>
      <x:c r="E3059" s="117" t="str">
        <x:v>Obsolete</x:v>
      </x:c>
      <x:c r="F3059" s="117" t="str">
        <x:v>No</x:v>
      </x:c>
      <x:c r="G3059" s="117" t="str">
        <x:v>Yes</x:v>
      </x:c>
      <x:c r="H3059" s="117" t="str">
        <x:v>Flow</x:v>
      </x:c>
      <x:c r="I3059" s="118" t="n">
        <x:v>60</x:v>
      </x:c>
      <x:c r="J3059" s="117" t="str">
        <x:v>unmanaged</x:v>
      </x:c>
      <x:c r="K3059" s="123" t="b">
        <x:v>0</x:v>
      </x:c>
      <x:c r="L3059" s="117" t="str">
        <x:v>SystemModeWithoutSharing</x:v>
      </x:c>
      <x:c r="M3059" s="118"/>
      <x:c r="N3059" s="120" t="n">
        <x:v>45425.711226851854</x:v>
      </x:c>
      <x:c r="O3059" s="117" t="str">
        <x:v>Jace Gentil</x:v>
      </x:c>
      <x:c r="P3059" s="120" t="n">
        <x:v>45434.671956018516</x:v>
      </x:c>
      <x:c r="Q3059" s="117" t="str">
        <x:v>Jace Gentil</x:v>
      </x:c>
      <x:c r="R3059" s="117" t="str">
        <x:v>System Rate Calculator Screen Flow</x:v>
      </x:c>
      <x:c r="S3059" s="119"/>
    </x:row>
    <x:row r="3060" ht="30" customHeight="1">
      <x:c r="A3060" s="117" t="str">
        <x:v>System_Rate_Calculator_Screen_Flow_Rnd_2</x:v>
      </x:c>
      <x:c r="B3060" s="117" t="str">
        <x:v>300Ro00000BesY8IAJ</x:v>
      </x:c>
      <x:c r="C3060" s="117" t="str">
        <x:v>301Ro00000CkAwkIAF</x:v>
      </x:c>
      <x:c r="D3060" s="118" t="n">
        <x:v>1</x:v>
      </x:c>
      <x:c r="E3060" s="117" t="str">
        <x:v>Obsolete</x:v>
      </x:c>
      <x:c r="F3060" s="117" t="str">
        <x:v>No</x:v>
      </x:c>
      <x:c r="G3060" s="117" t="str">
        <x:v>No</x:v>
      </x:c>
      <x:c r="H3060" s="117" t="str">
        <x:v>Flow</x:v>
      </x:c>
      <x:c r="I3060" s="118" t="n">
        <x:v>60</x:v>
      </x:c>
      <x:c r="J3060" s="117" t="str">
        <x:v>unmanaged</x:v>
      </x:c>
      <x:c r="K3060" s="123" t="b">
        <x:v>0</x:v>
      </x:c>
      <x:c r="L3060" s="117" t="str">
        <x:v>SystemModeWithoutSharing</x:v>
      </x:c>
      <x:c r="M3060" s="118"/>
      <x:c r="N3060" s="120" t="n">
        <x:v>45425.81496527778</x:v>
      </x:c>
      <x:c r="O3060" s="117" t="str">
        <x:v>Jace Gentil</x:v>
      </x:c>
      <x:c r="P3060" s="120" t="n">
        <x:v>45425.815046296295</x:v>
      </x:c>
      <x:c r="Q3060" s="117" t="str">
        <x:v>Jace Gentil</x:v>
      </x:c>
      <x:c r="R3060" s="117" t="str">
        <x:v>System Rate Calculator Screen Flow - Rnd 2</x:v>
      </x:c>
      <x:c r="S3060" s="119"/>
    </x:row>
    <x:row r="3061" ht="30" customHeight="1">
      <x:c r="A3061" s="117" t="str">
        <x:v>System_Rate_Calculator_Screen_Flow_Rnd_2</x:v>
      </x:c>
      <x:c r="B3061" s="117" t="str">
        <x:v>300Ro00000BesY8IAJ</x:v>
      </x:c>
      <x:c r="C3061" s="117" t="str">
        <x:v>301Ro00000Ck12FIAR</x:v>
      </x:c>
      <x:c r="D3061" s="118" t="n">
        <x:v>2</x:v>
      </x:c>
      <x:c r="E3061" s="117" t="str">
        <x:v>Obsolete</x:v>
      </x:c>
      <x:c r="F3061" s="117" t="str">
        <x:v>No</x:v>
      </x:c>
      <x:c r="G3061" s="117" t="str">
        <x:v>No</x:v>
      </x:c>
      <x:c r="H3061" s="117" t="str">
        <x:v>Flow</x:v>
      </x:c>
      <x:c r="I3061" s="118" t="n">
        <x:v>60</x:v>
      </x:c>
      <x:c r="J3061" s="117" t="str">
        <x:v>unmanaged</x:v>
      </x:c>
      <x:c r="K3061" s="123" t="b">
        <x:v>0</x:v>
      </x:c>
      <x:c r="L3061" s="117" t="str">
        <x:v>SystemModeWithoutSharing</x:v>
      </x:c>
      <x:c r="M3061" s="118"/>
      <x:c r="N3061" s="120" t="n">
        <x:v>45425.81806712963</x:v>
      </x:c>
      <x:c r="O3061" s="117" t="str">
        <x:v>Jace Gentil</x:v>
      </x:c>
      <x:c r="P3061" s="120" t="n">
        <x:v>45425.818136574075</x:v>
      </x:c>
      <x:c r="Q3061" s="117" t="str">
        <x:v>Jace Gentil</x:v>
      </x:c>
      <x:c r="R3061" s="117" t="str">
        <x:v>System Rate Calculator Screen Flow - Rnd 2</x:v>
      </x:c>
      <x:c r="S3061" s="119"/>
    </x:row>
    <x:row r="3062" ht="30" customHeight="1">
      <x:c r="A3062" s="117" t="str">
        <x:v>System_Rate_Calculator_Screen_Flow_Rnd_2</x:v>
      </x:c>
      <x:c r="B3062" s="117" t="str">
        <x:v>300Ro00000BesY8IAJ</x:v>
      </x:c>
      <x:c r="C3062" s="117" t="str">
        <x:v>301Ro00000CkUIjIAN</x:v>
      </x:c>
      <x:c r="D3062" s="118" t="n">
        <x:v>3</x:v>
      </x:c>
      <x:c r="E3062" s="117" t="str">
        <x:v>Obsolete</x:v>
      </x:c>
      <x:c r="F3062" s="117" t="str">
        <x:v>No</x:v>
      </x:c>
      <x:c r="G3062" s="117" t="str">
        <x:v>No</x:v>
      </x:c>
      <x:c r="H3062" s="117" t="str">
        <x:v>Flow</x:v>
      </x:c>
      <x:c r="I3062" s="118" t="n">
        <x:v>60</x:v>
      </x:c>
      <x:c r="J3062" s="117" t="str">
        <x:v>unmanaged</x:v>
      </x:c>
      <x:c r="K3062" s="123" t="b">
        <x:v>0</x:v>
      </x:c>
      <x:c r="L3062" s="117" t="str">
        <x:v>SystemModeWithoutSharing</x:v>
      </x:c>
      <x:c r="M3062" s="118"/>
      <x:c r="N3062" s="120" t="n">
        <x:v>45425.83609953704</x:v>
      </x:c>
      <x:c r="O3062" s="117" t="str">
        <x:v>Jace Gentil</x:v>
      </x:c>
      <x:c r="P3062" s="120" t="n">
        <x:v>45425.83615740741</x:v>
      </x:c>
      <x:c r="Q3062" s="117" t="str">
        <x:v>Jace Gentil</x:v>
      </x:c>
      <x:c r="R3062" s="117" t="str">
        <x:v>System Rate Calculator Screen Flow - Rnd 2</x:v>
      </x:c>
      <x:c r="S3062" s="119"/>
    </x:row>
    <x:row r="3063" ht="30" customHeight="1">
      <x:c r="A3063" s="117" t="str">
        <x:v>System_Rate_Calculator_Screen_Flow_Rnd_2</x:v>
      </x:c>
      <x:c r="B3063" s="117" t="str">
        <x:v>300Ro00000BesY8IAJ</x:v>
      </x:c>
      <x:c r="C3063" s="117" t="str">
        <x:v>301Ro00000DKPO3IAP</x:v>
      </x:c>
      <x:c r="D3063" s="118" t="n">
        <x:v>4</x:v>
      </x:c>
      <x:c r="E3063" s="117" t="str">
        <x:v>Obsolete</x:v>
      </x:c>
      <x:c r="F3063" s="117" t="str">
        <x:v>No</x:v>
      </x:c>
      <x:c r="G3063" s="117" t="str">
        <x:v>No</x:v>
      </x:c>
      <x:c r="H3063" s="117" t="str">
        <x:v>Flow</x:v>
      </x:c>
      <x:c r="I3063" s="118" t="n">
        <x:v>60</x:v>
      </x:c>
      <x:c r="J3063" s="117" t="str">
        <x:v>unmanaged</x:v>
      </x:c>
      <x:c r="K3063" s="123" t="b">
        <x:v>0</x:v>
      </x:c>
      <x:c r="L3063" s="117" t="str">
        <x:v>SystemModeWithoutSharing</x:v>
      </x:c>
      <x:c r="M3063" s="118"/>
      <x:c r="N3063" s="120" t="n">
        <x:v>45434.677094907405</x:v>
      </x:c>
      <x:c r="O3063" s="117" t="str">
        <x:v>Jace Gentil</x:v>
      </x:c>
      <x:c r="P3063" s="120" t="n">
        <x:v>45434.67716435185</x:v>
      </x:c>
      <x:c r="Q3063" s="117" t="str">
        <x:v>Jace Gentil</x:v>
      </x:c>
      <x:c r="R3063" s="117" t="str">
        <x:v>System Rate Calculator Screen Flow - Rnd 2</x:v>
      </x:c>
      <x:c r="S3063" s="119"/>
    </x:row>
    <x:row r="3064" ht="30" customHeight="1">
      <x:c r="A3064" s="117" t="str">
        <x:v>System_Rate_Calculator_Screen_Flow_Rnd_2</x:v>
      </x:c>
      <x:c r="B3064" s="117" t="str">
        <x:v>300Ro00000BesY8IAJ</x:v>
      </x:c>
      <x:c r="C3064" s="117" t="str">
        <x:v>301Ro00000HyY53IAF</x:v>
      </x:c>
      <x:c r="D3064" s="118" t="n">
        <x:v>5</x:v>
      </x:c>
      <x:c r="E3064" s="117" t="str">
        <x:v>Obsolete</x:v>
      </x:c>
      <x:c r="F3064" s="117" t="str">
        <x:v>No</x:v>
      </x:c>
      <x:c r="G3064" s="117" t="str">
        <x:v>No</x:v>
      </x:c>
      <x:c r="H3064" s="117" t="str">
        <x:v>Flow</x:v>
      </x:c>
      <x:c r="I3064" s="118" t="n">
        <x:v>60</x:v>
      </x:c>
      <x:c r="J3064" s="117" t="str">
        <x:v>unmanaged</x:v>
      </x:c>
      <x:c r="K3064" s="123" t="b">
        <x:v>0</x:v>
      </x:c>
      <x:c r="L3064" s="117" t="str">
        <x:v>SystemModeWithoutSharing</x:v>
      </x:c>
      <x:c r="M3064" s="118"/>
      <x:c r="N3064" s="120" t="n">
        <x:v>45503.56584490741</x:v>
      </x:c>
      <x:c r="O3064" s="117" t="str">
        <x:v>Jace Gentil</x:v>
      </x:c>
      <x:c r="P3064" s="120" t="n">
        <x:v>45526.56133101852</x:v>
      </x:c>
      <x:c r="Q3064" s="117" t="str">
        <x:v>Jace Gentil</x:v>
      </x:c>
      <x:c r="R3064" s="117" t="str">
        <x:v>System Rate Calculator Screen Flow - Rnd 2</x:v>
      </x:c>
      <x:c r="S3064" s="119"/>
    </x:row>
    <x:row r="3065" ht="30" customHeight="1">
      <x:c r="A3065" s="117" t="str">
        <x:v>System_Rate_Calculator_Screen_Flow_Rnd_2</x:v>
      </x:c>
      <x:c r="B3065" s="117" t="str">
        <x:v>300Ro00000BesY8IAJ</x:v>
      </x:c>
      <x:c r="C3065" s="117" t="str">
        <x:v>301Ro00000M4lTWIAZ</x:v>
      </x:c>
      <x:c r="D3065" s="118" t="n">
        <x:v>6</x:v>
      </x:c>
      <x:c r="E3065" s="117" t="str">
        <x:v>Obsolete</x:v>
      </x:c>
      <x:c r="F3065" s="117" t="str">
        <x:v>No</x:v>
      </x:c>
      <x:c r="G3065" s="117" t="str">
        <x:v>No</x:v>
      </x:c>
      <x:c r="H3065" s="117" t="str">
        <x:v>Flow</x:v>
      </x:c>
      <x:c r="I3065" s="118" t="n">
        <x:v>60</x:v>
      </x:c>
      <x:c r="J3065" s="117" t="str">
        <x:v>unmanaged</x:v>
      </x:c>
      <x:c r="K3065" s="123" t="b">
        <x:v>0</x:v>
      </x:c>
      <x:c r="L3065" s="117" t="str">
        <x:v>SystemModeWithoutSharing</x:v>
      </x:c>
      <x:c r="M3065" s="118"/>
      <x:c r="N3065" s="120" t="n">
        <x:v>45566.08856481482</x:v>
      </x:c>
      <x:c r="O3065" s="117" t="str">
        <x:v>Jace Gentil</x:v>
      </x:c>
      <x:c r="P3065" s="120" t="n">
        <x:v>45566.08875</x:v>
      </x:c>
      <x:c r="Q3065" s="117" t="str">
        <x:v>Jace Gentil</x:v>
      </x:c>
      <x:c r="R3065" s="117" t="str">
        <x:v>System Rate Calculator Screen Flow - Rnd 3</x:v>
      </x:c>
      <x:c r="S3065" s="119"/>
    </x:row>
    <x:row r="3066" ht="30" customHeight="1">
      <x:c r="A3066" s="117" t="str">
        <x:v>System_Rate_Calculator_Screen_Flow_Rnd_2</x:v>
      </x:c>
      <x:c r="B3066" s="117" t="str">
        <x:v>300Ro00000BesY8IAJ</x:v>
      </x:c>
      <x:c r="C3066" s="117" t="str">
        <x:v>301Ro00000LQeygIAD</x:v>
      </x:c>
      <x:c r="D3066" s="118" t="n">
        <x:v>7</x:v>
      </x:c>
      <x:c r="E3066" s="117" t="str">
        <x:v>Obsolete</x:v>
      </x:c>
      <x:c r="F3066" s="117" t="str">
        <x:v>No</x:v>
      </x:c>
      <x:c r="G3066" s="117" t="str">
        <x:v>No</x:v>
      </x:c>
      <x:c r="H3066" s="117" t="str">
        <x:v>Flow</x:v>
      </x:c>
      <x:c r="I3066" s="118" t="n">
        <x:v>60</x:v>
      </x:c>
      <x:c r="J3066" s="117" t="str">
        <x:v>unmanaged</x:v>
      </x:c>
      <x:c r="K3066" s="123" t="b">
        <x:v>0</x:v>
      </x:c>
      <x:c r="L3066" s="117" t="str">
        <x:v>SystemModeWithoutSharing</x:v>
      </x:c>
      <x:c r="M3066" s="118"/>
      <x:c r="N3066" s="120" t="n">
        <x:v>45555.390069444446</x:v>
      </x:c>
      <x:c r="O3066" s="117" t="str">
        <x:v>Jon Kean</x:v>
      </x:c>
      <x:c r="P3066" s="120" t="n">
        <x:v>45555.390173611115</x:v>
      </x:c>
      <x:c r="Q3066" s="117" t="str">
        <x:v>Jon Kean</x:v>
      </x:c>
      <x:c r="R3066" s="117" t="str">
        <x:v>System Rate Calculator Screen Flow - Rnd 2</x:v>
      </x:c>
      <x:c r="S3066" s="119" t="str">
        <x:v>Added (OR contains "Iron" in sales opp type decision</x:v>
      </x:c>
    </x:row>
    <x:row r="3067" ht="30" customHeight="1">
      <x:c r="A3067" s="117" t="str">
        <x:v>System_Rate_Calculator_Screen_Flow_Rnd_2</x:v>
      </x:c>
      <x:c r="B3067" s="117" t="str">
        <x:v>300Ro00000BesY8IAJ</x:v>
      </x:c>
      <x:c r="C3067" s="117" t="str">
        <x:v>301Ro00000M0Z9CIAV</x:v>
      </x:c>
      <x:c r="D3067" s="118" t="n">
        <x:v>8</x:v>
      </x:c>
      <x:c r="E3067" s="117" t="str">
        <x:v>Obsolete</x:v>
      </x:c>
      <x:c r="F3067" s="117" t="str">
        <x:v>No</x:v>
      </x:c>
      <x:c r="G3067" s="117" t="str">
        <x:v>No</x:v>
      </x:c>
      <x:c r="H3067" s="117" t="str">
        <x:v>Flow</x:v>
      </x:c>
      <x:c r="I3067" s="118" t="n">
        <x:v>60</x:v>
      </x:c>
      <x:c r="J3067" s="117" t="str">
        <x:v>unmanaged</x:v>
      </x:c>
      <x:c r="K3067" s="123" t="b">
        <x:v>0</x:v>
      </x:c>
      <x:c r="L3067" s="117" t="str">
        <x:v>SystemModeWithoutSharing</x:v>
      </x:c>
      <x:c r="M3067" s="118"/>
      <x:c r="N3067" s="120" t="n">
        <x:v>45565.38153935185</x:v>
      </x:c>
      <x:c r="O3067" s="117" t="str">
        <x:v>Jon Kean</x:v>
      </x:c>
      <x:c r="P3067" s="120" t="n">
        <x:v>45565.382685185185</x:v>
      </x:c>
      <x:c r="Q3067" s="117" t="str">
        <x:v>Jon Kean</x:v>
      </x:c>
      <x:c r="R3067" s="117" t="str">
        <x:v>System Rate Calculator Screen Flow - Rnd 2</x:v>
      </x:c>
      <x:c r="S3067" s="119" t="str">
        <x:v>Added UK entity check on System shipments</x:v>
      </x:c>
    </x:row>
    <x:row r="3068" ht="30" customHeight="1">
      <x:c r="A3068" s="117" t="str">
        <x:v>System_Rate_Calculator_Screen_Flow_Rnd_2</x:v>
      </x:c>
      <x:c r="B3068" s="117" t="str">
        <x:v>300Ro00000BesY8IAJ</x:v>
      </x:c>
      <x:c r="C3068" s="117" t="str">
        <x:v>301Ro00000M0dSvIAJ</x:v>
      </x:c>
      <x:c r="D3068" s="118" t="n">
        <x:v>9</x:v>
      </x:c>
      <x:c r="E3068" s="117" t="str">
        <x:v>Obsolete</x:v>
      </x:c>
      <x:c r="F3068" s="117" t="str">
        <x:v>No</x:v>
      </x:c>
      <x:c r="G3068" s="117" t="str">
        <x:v>No</x:v>
      </x:c>
      <x:c r="H3068" s="117" t="str">
        <x:v>Flow</x:v>
      </x:c>
      <x:c r="I3068" s="118" t="n">
        <x:v>60</x:v>
      </x:c>
      <x:c r="J3068" s="117" t="str">
        <x:v>unmanaged</x:v>
      </x:c>
      <x:c r="K3068" s="123" t="b">
        <x:v>0</x:v>
      </x:c>
      <x:c r="L3068" s="117" t="str">
        <x:v>SystemModeWithoutSharing</x:v>
      </x:c>
      <x:c r="M3068" s="118"/>
      <x:c r="N3068" s="120" t="n">
        <x:v>45565.38731481481</x:v>
      </x:c>
      <x:c r="O3068" s="117" t="str">
        <x:v>Jon Kean</x:v>
      </x:c>
      <x:c r="P3068" s="120" t="n">
        <x:v>45565.38747685185</x:v>
      </x:c>
      <x:c r="Q3068" s="117" t="str">
        <x:v>Jon Kean</x:v>
      </x:c>
      <x:c r="R3068" s="117" t="str">
        <x:v>System Rate Calculator Screen Flow - Rnd 2</x:v>
      </x:c>
      <x:c r="S3068" s="119" t="str">
        <x:v>Added UK entity check on Probe/Parts shipments</x:v>
      </x:c>
    </x:row>
    <x:row r="3069" ht="30" customHeight="1">
      <x:c r="A3069" s="117" t="str">
        <x:v>System_Rate_Calculator_Screen_Flow_Rnd_2</x:v>
      </x:c>
      <x:c r="B3069" s="117" t="str">
        <x:v>300Ro00000BesY8IAJ</x:v>
      </x:c>
      <x:c r="C3069" s="117" t="str">
        <x:v>301Ro00000M0OaWIAV</x:v>
      </x:c>
      <x:c r="D3069" s="118" t="n">
        <x:v>10</x:v>
      </x:c>
      <x:c r="E3069" s="117" t="str">
        <x:v>Obsolete</x:v>
      </x:c>
      <x:c r="F3069" s="117" t="str">
        <x:v>No</x:v>
      </x:c>
      <x:c r="G3069" s="117" t="str">
        <x:v>No</x:v>
      </x:c>
      <x:c r="H3069" s="117" t="str">
        <x:v>Flow</x:v>
      </x:c>
      <x:c r="I3069" s="118" t="n">
        <x:v>60</x:v>
      </x:c>
      <x:c r="J3069" s="117" t="str">
        <x:v>unmanaged</x:v>
      </x:c>
      <x:c r="K3069" s="123" t="b">
        <x:v>0</x:v>
      </x:c>
      <x:c r="L3069" s="117" t="str">
        <x:v>SystemModeWithoutSharing</x:v>
      </x:c>
      <x:c r="M3069" s="118"/>
      <x:c r="N3069" s="120" t="n">
        <x:v>45565.38861111111</x:v>
      </x:c>
      <x:c r="O3069" s="117" t="str">
        <x:v>Jon Kean</x:v>
      </x:c>
      <x:c r="P3069" s="120" t="n">
        <x:v>45565.42134259259</x:v>
      </x:c>
      <x:c r="Q3069" s="117" t="str">
        <x:v>Jon Kean</x:v>
      </x:c>
      <x:c r="R3069" s="117" t="str">
        <x:v>System Rate Calculator Screen Flow - Rnd 2</x:v>
      </x:c>
      <x:c r="S3069" s="119" t="str">
        <x:v>Added UK entity check on Probe/Parts shipments</x:v>
      </x:c>
    </x:row>
    <x:row r="3070" ht="30" customHeight="1">
      <x:c r="A3070" s="117" t="str">
        <x:v>System_Rate_Calculator_Screen_Flow_Rnd_2</x:v>
      </x:c>
      <x:c r="B3070" s="117" t="str">
        <x:v>300Ro00000BesY8IAJ</x:v>
      </x:c>
      <x:c r="C3070" s="117" t="str">
        <x:v>301Ro00000M0hmfIAB</x:v>
      </x:c>
      <x:c r="D3070" s="118" t="n">
        <x:v>11</x:v>
      </x:c>
      <x:c r="E3070" s="117" t="str">
        <x:v>Obsolete</x:v>
      </x:c>
      <x:c r="F3070" s="117" t="str">
        <x:v>No</x:v>
      </x:c>
      <x:c r="G3070" s="117" t="str">
        <x:v>No</x:v>
      </x:c>
      <x:c r="H3070" s="117" t="str">
        <x:v>Flow</x:v>
      </x:c>
      <x:c r="I3070" s="118" t="n">
        <x:v>60</x:v>
      </x:c>
      <x:c r="J3070" s="117" t="str">
        <x:v>unmanaged</x:v>
      </x:c>
      <x:c r="K3070" s="123" t="b">
        <x:v>0</x:v>
      </x:c>
      <x:c r="L3070" s="117" t="str">
        <x:v>SystemModeWithoutSharing</x:v>
      </x:c>
      <x:c r="M3070" s="118"/>
      <x:c r="N3070" s="120" t="n">
        <x:v>45565.42476851852</x:v>
      </x:c>
      <x:c r="O3070" s="117" t="str">
        <x:v>Jon Kean</x:v>
      </x:c>
      <x:c r="P3070" s="120" t="n">
        <x:v>45565.42488425926</x:v>
      </x:c>
      <x:c r="Q3070" s="117" t="str">
        <x:v>Jon Kean</x:v>
      </x:c>
      <x:c r="R3070" s="117" t="str">
        <x:v>System Rate Calculator Screen Flow - Rnd 2</x:v>
      </x:c>
      <x:c r="S3070" s="119" t="str">
        <x:v>Added UK entity check on Probe/Parts shipments</x:v>
      </x:c>
    </x:row>
    <x:row r="3071" ht="30" customHeight="1">
      <x:c r="A3071" s="117" t="str">
        <x:v>System_Rate_Calculator_Screen_Flow_Rnd_2</x:v>
      </x:c>
      <x:c r="B3071" s="117" t="str">
        <x:v>300Ro00000BesY8IAJ</x:v>
      </x:c>
      <x:c r="C3071" s="117" t="str">
        <x:v>301Ro00000MUvTfIAL</x:v>
      </x:c>
      <x:c r="D3071" s="118" t="n">
        <x:v>12</x:v>
      </x:c>
      <x:c r="E3071" s="117" t="str">
        <x:v>Obsolete</x:v>
      </x:c>
      <x:c r="F3071" s="117" t="str">
        <x:v>No</x:v>
      </x:c>
      <x:c r="G3071" s="117" t="str">
        <x:v>No</x:v>
      </x:c>
      <x:c r="H3071" s="117" t="str">
        <x:v>Flow</x:v>
      </x:c>
      <x:c r="I3071" s="118" t="n">
        <x:v>60</x:v>
      </x:c>
      <x:c r="J3071" s="117" t="str">
        <x:v>unmanaged</x:v>
      </x:c>
      <x:c r="K3071" s="123" t="b">
        <x:v>0</x:v>
      </x:c>
      <x:c r="L3071" s="117" t="str">
        <x:v>SystemModeWithoutSharing</x:v>
      </x:c>
      <x:c r="M3071" s="118"/>
      <x:c r="N3071" s="120" t="n">
        <x:v>45573.578101851854</x:v>
      </x:c>
      <x:c r="O3071" s="117" t="str">
        <x:v>Jace Gentil</x:v>
      </x:c>
      <x:c r="P3071" s="120" t="n">
        <x:v>45573.57828703704</x:v>
      </x:c>
      <x:c r="Q3071" s="117" t="str">
        <x:v>Jace Gentil</x:v>
      </x:c>
      <x:c r="R3071" s="117" t="str">
        <x:v>System Rate Calculator Screen Flow - Rnd 3</x:v>
      </x:c>
      <x:c r="S3071" s="119"/>
    </x:row>
    <x:row r="3072" ht="30" customHeight="1">
      <x:c r="A3072" s="117" t="str">
        <x:v>System_Rate_Calculator_Screen_Flow_Rnd_2</x:v>
      </x:c>
      <x:c r="B3072" s="117" t="str">
        <x:v>300Ro00000BesY8IAJ</x:v>
      </x:c>
      <x:c r="C3072" s="117" t="str">
        <x:v>301Ro00000MVfOvIAL</x:v>
      </x:c>
      <x:c r="D3072" s="118" t="n">
        <x:v>13</x:v>
      </x:c>
      <x:c r="E3072" s="117" t="str">
        <x:v>Obsolete</x:v>
      </x:c>
      <x:c r="F3072" s="117" t="str">
        <x:v>No</x:v>
      </x:c>
      <x:c r="G3072" s="117" t="str">
        <x:v>No</x:v>
      </x:c>
      <x:c r="H3072" s="117" t="str">
        <x:v>Flow</x:v>
      </x:c>
      <x:c r="I3072" s="118" t="n">
        <x:v>60</x:v>
      </x:c>
      <x:c r="J3072" s="117" t="str">
        <x:v>unmanaged</x:v>
      </x:c>
      <x:c r="K3072" s="123" t="b">
        <x:v>0</x:v>
      </x:c>
      <x:c r="L3072" s="117" t="str">
        <x:v>SystemModeWithoutSharing</x:v>
      </x:c>
      <x:c r="M3072" s="118"/>
      <x:c r="N3072" s="120" t="n">
        <x:v>45573.629907407405</x:v>
      </x:c>
      <x:c r="O3072" s="117" t="str">
        <x:v>Jace Gentil</x:v>
      </x:c>
      <x:c r="P3072" s="120" t="n">
        <x:v>45573.63003472222</x:v>
      </x:c>
      <x:c r="Q3072" s="117" t="str">
        <x:v>Jace Gentil</x:v>
      </x:c>
      <x:c r="R3072" s="117" t="str">
        <x:v>System Rate Calculator Screen Flow - Rnd 3</x:v>
      </x:c>
      <x:c r="S3072" s="119"/>
    </x:row>
    <x:row r="3073" ht="30" customHeight="1">
      <x:c r="A3073" s="117" t="str">
        <x:v>System_Rate_Calculator_Screen_Flow_Rnd_2</x:v>
      </x:c>
      <x:c r="B3073" s="117" t="str">
        <x:v>300Ro00000BesY8IAJ</x:v>
      </x:c>
      <x:c r="C3073" s="117" t="str">
        <x:v>301Ro00000MVqqTIAT</x:v>
      </x:c>
      <x:c r="D3073" s="118" t="n">
        <x:v>14</x:v>
      </x:c>
      <x:c r="E3073" s="117" t="str">
        <x:v>Obsolete</x:v>
      </x:c>
      <x:c r="F3073" s="117" t="str">
        <x:v>No</x:v>
      </x:c>
      <x:c r="G3073" s="117" t="str">
        <x:v>No</x:v>
      </x:c>
      <x:c r="H3073" s="117" t="str">
        <x:v>Flow</x:v>
      </x:c>
      <x:c r="I3073" s="118" t="n">
        <x:v>60</x:v>
      </x:c>
      <x:c r="J3073" s="117" t="str">
        <x:v>unmanaged</x:v>
      </x:c>
      <x:c r="K3073" s="123" t="b">
        <x:v>0</x:v>
      </x:c>
      <x:c r="L3073" s="117" t="str">
        <x:v>SystemModeWithoutSharing</x:v>
      </x:c>
      <x:c r="M3073" s="118"/>
      <x:c r="N3073" s="120" t="n">
        <x:v>45573.63049768518</x:v>
      </x:c>
      <x:c r="O3073" s="117" t="str">
        <x:v>Jace Gentil</x:v>
      </x:c>
      <x:c r="P3073" s="120" t="n">
        <x:v>45573.63064814815</x:v>
      </x:c>
      <x:c r="Q3073" s="117" t="str">
        <x:v>Jace Gentil</x:v>
      </x:c>
      <x:c r="R3073" s="117" t="str">
        <x:v>System Rate Calculator Screen Flow - Rnd 3</x:v>
      </x:c>
      <x:c r="S3073" s="119"/>
    </x:row>
    <x:row r="3074" ht="30" customHeight="1">
      <x:c r="A3074" s="117" t="str">
        <x:v>System_Rate_Calculator_Screen_Flow_Rnd_2</x:v>
      </x:c>
      <x:c r="B3074" s="117" t="str">
        <x:v>300Ro00000BesY8IAJ</x:v>
      </x:c>
      <x:c r="C3074" s="117" t="str">
        <x:v>301Ro00000MZLxyIAH</x:v>
      </x:c>
      <x:c r="D3074" s="118" t="n">
        <x:v>15</x:v>
      </x:c>
      <x:c r="E3074" s="117" t="str">
        <x:v>Obsolete</x:v>
      </x:c>
      <x:c r="F3074" s="117" t="str">
        <x:v>No</x:v>
      </x:c>
      <x:c r="G3074" s="117" t="str">
        <x:v>No</x:v>
      </x:c>
      <x:c r="H3074" s="117" t="str">
        <x:v>Flow</x:v>
      </x:c>
      <x:c r="I3074" s="118" t="n">
        <x:v>60</x:v>
      </x:c>
      <x:c r="J3074" s="117" t="str">
        <x:v>unmanaged</x:v>
      </x:c>
      <x:c r="K3074" s="123" t="b">
        <x:v>0</x:v>
      </x:c>
      <x:c r="L3074" s="117" t="str">
        <x:v>SystemModeWithoutSharing</x:v>
      </x:c>
      <x:c r="M3074" s="118"/>
      <x:c r="N3074" s="120" t="n">
        <x:v>45574.588784722226</x:v>
      </x:c>
      <x:c r="O3074" s="117" t="str">
        <x:v>Jace Gentil</x:v>
      </x:c>
      <x:c r="P3074" s="120" t="n">
        <x:v>45574.58892361111</x:v>
      </x:c>
      <x:c r="Q3074" s="117" t="str">
        <x:v>Jace Gentil</x:v>
      </x:c>
      <x:c r="R3074" s="117" t="str">
        <x:v>System Rate Calculator Screen Flow - Rnd 3</x:v>
      </x:c>
      <x:c r="S3074" s="119"/>
    </x:row>
    <x:row r="3075" ht="30" customHeight="1">
      <x:c r="A3075" s="117" t="str">
        <x:v>System_Rate_Calculator_Screen_Flow_Rnd_2</x:v>
      </x:c>
      <x:c r="B3075" s="117" t="str">
        <x:v>300Ro00000BesY8IAJ</x:v>
      </x:c>
      <x:c r="C3075" s="117" t="str">
        <x:v>301Ro00000MZW0LIAX</x:v>
      </x:c>
      <x:c r="D3075" s="118" t="n">
        <x:v>16</x:v>
      </x:c>
      <x:c r="E3075" s="117" t="str">
        <x:v>Obsolete</x:v>
      </x:c>
      <x:c r="F3075" s="117" t="str">
        <x:v>No</x:v>
      </x:c>
      <x:c r="G3075" s="117" t="str">
        <x:v>No</x:v>
      </x:c>
      <x:c r="H3075" s="117" t="str">
        <x:v>Flow</x:v>
      </x:c>
      <x:c r="I3075" s="118" t="n">
        <x:v>60</x:v>
      </x:c>
      <x:c r="J3075" s="117" t="str">
        <x:v>unmanaged</x:v>
      </x:c>
      <x:c r="K3075" s="123" t="b">
        <x:v>0</x:v>
      </x:c>
      <x:c r="L3075" s="117" t="str">
        <x:v>SystemModeWithoutSharing</x:v>
      </x:c>
      <x:c r="M3075" s="118"/>
      <x:c r="N3075" s="120" t="n">
        <x:v>45574.590416666666</x:v>
      </x:c>
      <x:c r="O3075" s="117" t="str">
        <x:v>Jace Gentil</x:v>
      </x:c>
      <x:c r="P3075" s="120" t="n">
        <x:v>45574.59056712963</x:v>
      </x:c>
      <x:c r="Q3075" s="117" t="str">
        <x:v>Jace Gentil</x:v>
      </x:c>
      <x:c r="R3075" s="117" t="str">
        <x:v>System Rate Calculator Screen Flow - Rnd 3</x:v>
      </x:c>
      <x:c r="S3075" s="119"/>
    </x:row>
    <x:row r="3076" ht="30" customHeight="1">
      <x:c r="A3076" s="117" t="str">
        <x:v>System_Rate_Calculator_Screen_Flow_Rnd_2</x:v>
      </x:c>
      <x:c r="B3076" s="117" t="str">
        <x:v>300Ro00000BesY8IAJ</x:v>
      </x:c>
      <x:c r="C3076" s="117" t="str">
        <x:v>301Ro00000MZKvLIAX</x:v>
      </x:c>
      <x:c r="D3076" s="118" t="n">
        <x:v>17</x:v>
      </x:c>
      <x:c r="E3076" s="117" t="str">
        <x:v>Obsolete</x:v>
      </x:c>
      <x:c r="F3076" s="117" t="str">
        <x:v>No</x:v>
      </x:c>
      <x:c r="G3076" s="117" t="str">
        <x:v>No</x:v>
      </x:c>
      <x:c r="H3076" s="117" t="str">
        <x:v>Flow</x:v>
      </x:c>
      <x:c r="I3076" s="118" t="n">
        <x:v>60</x:v>
      </x:c>
      <x:c r="J3076" s="117" t="str">
        <x:v>unmanaged</x:v>
      </x:c>
      <x:c r="K3076" s="123" t="b">
        <x:v>0</x:v>
      </x:c>
      <x:c r="L3076" s="117" t="str">
        <x:v>SystemModeWithoutSharing</x:v>
      </x:c>
      <x:c r="M3076" s="118"/>
      <x:c r="N3076" s="120" t="n">
        <x:v>45574.59893518518</x:v>
      </x:c>
      <x:c r="O3076" s="117" t="str">
        <x:v>Jace Gentil</x:v>
      </x:c>
      <x:c r="P3076" s="120" t="n">
        <x:v>45574.59908564815</x:v>
      </x:c>
      <x:c r="Q3076" s="117" t="str">
        <x:v>Jace Gentil</x:v>
      </x:c>
      <x:c r="R3076" s="117" t="str">
        <x:v>System Rate Calculator Screen Flow - Rnd 3</x:v>
      </x:c>
      <x:c r="S3076" s="119"/>
    </x:row>
    <x:row r="3077" ht="30" customHeight="1">
      <x:c r="A3077" s="117" t="str">
        <x:v>System_Rate_Calculator_Screen_Flow_Rnd_2</x:v>
      </x:c>
      <x:c r="B3077" s="117" t="str">
        <x:v>300Ro00000BesY8IAJ</x:v>
      </x:c>
      <x:c r="C3077" s="117" t="str">
        <x:v>301Ro00000MZHMQIA5</x:v>
      </x:c>
      <x:c r="D3077" s="118" t="n">
        <x:v>18</x:v>
      </x:c>
      <x:c r="E3077" s="117" t="str">
        <x:v>Obsolete</x:v>
      </x:c>
      <x:c r="F3077" s="117" t="str">
        <x:v>No</x:v>
      </x:c>
      <x:c r="G3077" s="117" t="str">
        <x:v>No</x:v>
      </x:c>
      <x:c r="H3077" s="117" t="str">
        <x:v>Flow</x:v>
      </x:c>
      <x:c r="I3077" s="118" t="n">
        <x:v>60</x:v>
      </x:c>
      <x:c r="J3077" s="117" t="str">
        <x:v>unmanaged</x:v>
      </x:c>
      <x:c r="K3077" s="123" t="b">
        <x:v>0</x:v>
      </x:c>
      <x:c r="L3077" s="117" t="str">
        <x:v>SystemModeWithoutSharing</x:v>
      </x:c>
      <x:c r="M3077" s="118"/>
      <x:c r="N3077" s="120" t="n">
        <x:v>45574.60233796296</x:v>
      </x:c>
      <x:c r="O3077" s="117" t="str">
        <x:v>Jace Gentil</x:v>
      </x:c>
      <x:c r="P3077" s="120" t="n">
        <x:v>45574.60252314815</x:v>
      </x:c>
      <x:c r="Q3077" s="117" t="str">
        <x:v>Jace Gentil</x:v>
      </x:c>
      <x:c r="R3077" s="117" t="str">
        <x:v>System Rate Calculator Screen Flow - Rnd 3</x:v>
      </x:c>
      <x:c r="S3077" s="119"/>
    </x:row>
    <x:row r="3078" ht="30" customHeight="1">
      <x:c r="A3078" s="117" t="str">
        <x:v>System_Rate_Calculator_Screen_Flow_Rnd_2</x:v>
      </x:c>
      <x:c r="B3078" s="117" t="str">
        <x:v>300Ro00000BesY8IAJ</x:v>
      </x:c>
      <x:c r="C3078" s="117" t="str">
        <x:v>301Ro00000MZULEIA5</x:v>
      </x:c>
      <x:c r="D3078" s="118" t="n">
        <x:v>19</x:v>
      </x:c>
      <x:c r="E3078" s="117" t="str">
        <x:v>Obsolete</x:v>
      </x:c>
      <x:c r="F3078" s="117" t="str">
        <x:v>No</x:v>
      </x:c>
      <x:c r="G3078" s="117" t="str">
        <x:v>No</x:v>
      </x:c>
      <x:c r="H3078" s="117" t="str">
        <x:v>Flow</x:v>
      </x:c>
      <x:c r="I3078" s="118" t="n">
        <x:v>60</x:v>
      </x:c>
      <x:c r="J3078" s="117" t="str">
        <x:v>unmanaged</x:v>
      </x:c>
      <x:c r="K3078" s="123" t="b">
        <x:v>0</x:v>
      </x:c>
      <x:c r="L3078" s="117" t="str">
        <x:v>SystemModeWithoutSharing</x:v>
      </x:c>
      <x:c r="M3078" s="118"/>
      <x:c r="N3078" s="120" t="n">
        <x:v>45574.6190625</x:v>
      </x:c>
      <x:c r="O3078" s="117" t="str">
        <x:v>Jace Gentil</x:v>
      </x:c>
      <x:c r="P3078" s="120" t="n">
        <x:v>45574.61923611111</x:v>
      </x:c>
      <x:c r="Q3078" s="117" t="str">
        <x:v>Jace Gentil</x:v>
      </x:c>
      <x:c r="R3078" s="117" t="str">
        <x:v>System Rate Calculator Screen Flow - Rnd 3</x:v>
      </x:c>
      <x:c r="S3078" s="119"/>
    </x:row>
    <x:row r="3079" ht="30" customHeight="1">
      <x:c r="A3079" s="117" t="str">
        <x:v>System_Rate_Calculator_Screen_Flow_Rnd_2</x:v>
      </x:c>
      <x:c r="B3079" s="117" t="str">
        <x:v>300Ro00000BesY8IAJ</x:v>
      </x:c>
      <x:c r="C3079" s="117" t="str">
        <x:v>301Ro00000MZge3IAD</x:v>
      </x:c>
      <x:c r="D3079" s="118" t="n">
        <x:v>20</x:v>
      </x:c>
      <x:c r="E3079" s="117" t="str">
        <x:v>Obsolete</x:v>
      </x:c>
      <x:c r="F3079" s="117" t="str">
        <x:v>No</x:v>
      </x:c>
      <x:c r="G3079" s="117" t="str">
        <x:v>No</x:v>
      </x:c>
      <x:c r="H3079" s="117" t="str">
        <x:v>Flow</x:v>
      </x:c>
      <x:c r="I3079" s="118" t="n">
        <x:v>60</x:v>
      </x:c>
      <x:c r="J3079" s="117" t="str">
        <x:v>unmanaged</x:v>
      </x:c>
      <x:c r="K3079" s="123" t="b">
        <x:v>0</x:v>
      </x:c>
      <x:c r="L3079" s="117" t="str">
        <x:v>SystemModeWithoutSharing</x:v>
      </x:c>
      <x:c r="M3079" s="118"/>
      <x:c r="N3079" s="120" t="n">
        <x:v>45574.62159722222</x:v>
      </x:c>
      <x:c r="O3079" s="117" t="str">
        <x:v>Jace Gentil</x:v>
      </x:c>
      <x:c r="P3079" s="120" t="n">
        <x:v>45574.624074074076</x:v>
      </x:c>
      <x:c r="Q3079" s="117" t="str">
        <x:v>Jace Gentil</x:v>
      </x:c>
      <x:c r="R3079" s="117" t="str">
        <x:v>System Rate Calculator Screen Flow - Rnd 3</x:v>
      </x:c>
      <x:c r="S3079" s="119"/>
    </x:row>
    <x:row r="3080" ht="30" customHeight="1">
      <x:c r="A3080" s="117" t="str">
        <x:v>System_Rate_Calculator_Screen_Flow_Rnd_2</x:v>
      </x:c>
      <x:c r="B3080" s="117" t="str">
        <x:v>300Ro00000BesY8IAJ</x:v>
      </x:c>
      <x:c r="C3080" s="117" t="str">
        <x:v>301Ro00000MZaVRIA1</x:v>
      </x:c>
      <x:c r="D3080" s="118" t="n">
        <x:v>21</x:v>
      </x:c>
      <x:c r="E3080" s="117" t="str">
        <x:v>Obsolete</x:v>
      </x:c>
      <x:c r="F3080" s="117" t="str">
        <x:v>No</x:v>
      </x:c>
      <x:c r="G3080" s="117" t="str">
        <x:v>No</x:v>
      </x:c>
      <x:c r="H3080" s="117" t="str">
        <x:v>Flow</x:v>
      </x:c>
      <x:c r="I3080" s="118" t="n">
        <x:v>60</x:v>
      </x:c>
      <x:c r="J3080" s="117" t="str">
        <x:v>unmanaged</x:v>
      </x:c>
      <x:c r="K3080" s="123" t="b">
        <x:v>0</x:v>
      </x:c>
      <x:c r="L3080" s="117" t="str">
        <x:v>SystemModeWithoutSharing</x:v>
      </x:c>
      <x:c r="M3080" s="118"/>
      <x:c r="N3080" s="120" t="n">
        <x:v>45574.63030092593</x:v>
      </x:c>
      <x:c r="O3080" s="117" t="str">
        <x:v>Jace Gentil</x:v>
      </x:c>
      <x:c r="P3080" s="120" t="n">
        <x:v>45574.630578703705</x:v>
      </x:c>
      <x:c r="Q3080" s="117" t="str">
        <x:v>Jace Gentil</x:v>
      </x:c>
      <x:c r="R3080" s="117" t="str">
        <x:v>System Rate Calculator Screen Flow - Rnd 3</x:v>
      </x:c>
      <x:c r="S3080" s="119"/>
    </x:row>
    <x:row r="3081" ht="30" customHeight="1">
      <x:c r="A3081" s="117" t="str">
        <x:v>System_Rate_Calculator_Screen_Flow_Rnd_2</x:v>
      </x:c>
      <x:c r="B3081" s="117" t="str">
        <x:v>300Ro00000BesY8IAJ</x:v>
      </x:c>
      <x:c r="C3081" s="117" t="str">
        <x:v>301Ro00000MdJmEIAV</x:v>
      </x:c>
      <x:c r="D3081" s="118" t="n">
        <x:v>22</x:v>
      </x:c>
      <x:c r="E3081" s="117" t="str">
        <x:v>Obsolete</x:v>
      </x:c>
      <x:c r="F3081" s="117" t="str">
        <x:v>No</x:v>
      </x:c>
      <x:c r="G3081" s="117" t="str">
        <x:v>No</x:v>
      </x:c>
      <x:c r="H3081" s="117" t="str">
        <x:v>Flow</x:v>
      </x:c>
      <x:c r="I3081" s="118" t="n">
        <x:v>60</x:v>
      </x:c>
      <x:c r="J3081" s="117" t="str">
        <x:v>unmanaged</x:v>
      </x:c>
      <x:c r="K3081" s="123" t="b">
        <x:v>0</x:v>
      </x:c>
      <x:c r="L3081" s="117" t="str">
        <x:v>SystemModeWithoutSharing</x:v>
      </x:c>
      <x:c r="M3081" s="118"/>
      <x:c r="N3081" s="120" t="n">
        <x:v>45575.622407407405</x:v>
      </x:c>
      <x:c r="O3081" s="117" t="str">
        <x:v>Jace Gentil</x:v>
      </x:c>
      <x:c r="P3081" s="120" t="n">
        <x:v>45575.62333333334</x:v>
      </x:c>
      <x:c r="Q3081" s="117" t="str">
        <x:v>Jace Gentil</x:v>
      </x:c>
      <x:c r="R3081" s="117" t="str">
        <x:v>System Rate Calculator Screen Flow - Rnd 3</x:v>
      </x:c>
      <x:c r="S3081" s="119"/>
    </x:row>
    <x:row r="3082" ht="30" customHeight="1">
      <x:c r="A3082" s="117" t="str">
        <x:v>System_Rate_Calculator_Screen_Flow_Rnd_2</x:v>
      </x:c>
      <x:c r="B3082" s="117" t="str">
        <x:v>300Ro00000BesY8IAJ</x:v>
      </x:c>
      <x:c r="C3082" s="117" t="str">
        <x:v>301Ro00000MdXHCIA3</x:v>
      </x:c>
      <x:c r="D3082" s="118" t="n">
        <x:v>23</x:v>
      </x:c>
      <x:c r="E3082" s="117" t="str">
        <x:v>Obsolete</x:v>
      </x:c>
      <x:c r="F3082" s="117" t="str">
        <x:v>No</x:v>
      </x:c>
      <x:c r="G3082" s="117" t="str">
        <x:v>No</x:v>
      </x:c>
      <x:c r="H3082" s="117" t="str">
        <x:v>Flow</x:v>
      </x:c>
      <x:c r="I3082" s="118" t="n">
        <x:v>60</x:v>
      </x:c>
      <x:c r="J3082" s="117" t="str">
        <x:v>unmanaged</x:v>
      </x:c>
      <x:c r="K3082" s="123" t="b">
        <x:v>0</x:v>
      </x:c>
      <x:c r="L3082" s="117" t="str">
        <x:v>SystemModeWithoutSharing</x:v>
      </x:c>
      <x:c r="M3082" s="118"/>
      <x:c r="N3082" s="120" t="n">
        <x:v>45575.62668981482</x:v>
      </x:c>
      <x:c r="O3082" s="117" t="str">
        <x:v>Jace Gentil</x:v>
      </x:c>
      <x:c r="P3082" s="120" t="n">
        <x:v>45575.62681712963</x:v>
      </x:c>
      <x:c r="Q3082" s="117" t="str">
        <x:v>Jace Gentil</x:v>
      </x:c>
      <x:c r="R3082" s="117" t="str">
        <x:v>System Rate Calculator Screen Flow - Rnd 3</x:v>
      </x:c>
      <x:c r="S3082" s="119"/>
    </x:row>
    <x:row r="3083" ht="30" customHeight="1">
      <x:c r="A3083" s="117" t="str">
        <x:v>System_Rate_Calculator_Screen_Flow_Rnd_2</x:v>
      </x:c>
      <x:c r="B3083" s="117" t="str">
        <x:v>300Ro00000BesY8IAJ</x:v>
      </x:c>
      <x:c r="C3083" s="117" t="str">
        <x:v>301Ro00000MdRVBIA3</x:v>
      </x:c>
      <x:c r="D3083" s="118" t="n">
        <x:v>24</x:v>
      </x:c>
      <x:c r="E3083" s="117" t="str">
        <x:v>Obsolete</x:v>
      </x:c>
      <x:c r="F3083" s="117" t="str">
        <x:v>No</x:v>
      </x:c>
      <x:c r="G3083" s="117" t="str">
        <x:v>No</x:v>
      </x:c>
      <x:c r="H3083" s="117" t="str">
        <x:v>Flow</x:v>
      </x:c>
      <x:c r="I3083" s="118" t="n">
        <x:v>60</x:v>
      </x:c>
      <x:c r="J3083" s="117" t="str">
        <x:v>unmanaged</x:v>
      </x:c>
      <x:c r="K3083" s="123" t="b">
        <x:v>0</x:v>
      </x:c>
      <x:c r="L3083" s="117" t="str">
        <x:v>SystemModeWithoutSharing</x:v>
      </x:c>
      <x:c r="M3083" s="118"/>
      <x:c r="N3083" s="120" t="n">
        <x:v>45575.641238425924</x:v>
      </x:c>
      <x:c r="O3083" s="117" t="str">
        <x:v>Jace Gentil</x:v>
      </x:c>
      <x:c r="P3083" s="120" t="n">
        <x:v>45575.64140046296</x:v>
      </x:c>
      <x:c r="Q3083" s="117" t="str">
        <x:v>Jace Gentil</x:v>
      </x:c>
      <x:c r="R3083" s="117" t="str">
        <x:v>System Rate Calculator Screen Flow - Rnd 3</x:v>
      </x:c>
      <x:c r="S3083" s="119"/>
    </x:row>
    <x:row r="3084" ht="30" customHeight="1">
      <x:c r="A3084" s="117" t="str">
        <x:v>System_Rate_Calculator_Screen_Flow_Rnd_2</x:v>
      </x:c>
      <x:c r="B3084" s="117" t="str">
        <x:v>300Ro00000BesY8IAJ</x:v>
      </x:c>
      <x:c r="C3084" s="117" t="str">
        <x:v>301Ro00000MdbJHIAZ</x:v>
      </x:c>
      <x:c r="D3084" s="118" t="n">
        <x:v>25</x:v>
      </x:c>
      <x:c r="E3084" s="117" t="str">
        <x:v>Obsolete</x:v>
      </x:c>
      <x:c r="F3084" s="117" t="str">
        <x:v>No</x:v>
      </x:c>
      <x:c r="G3084" s="117" t="str">
        <x:v>No</x:v>
      </x:c>
      <x:c r="H3084" s="117" t="str">
        <x:v>Flow</x:v>
      </x:c>
      <x:c r="I3084" s="118" t="n">
        <x:v>60</x:v>
      </x:c>
      <x:c r="J3084" s="117" t="str">
        <x:v>unmanaged</x:v>
      </x:c>
      <x:c r="K3084" s="123" t="b">
        <x:v>0</x:v>
      </x:c>
      <x:c r="L3084" s="117" t="str">
        <x:v>SystemModeWithoutSharing</x:v>
      </x:c>
      <x:c r="M3084" s="118"/>
      <x:c r="N3084" s="120" t="n">
        <x:v>45575.644467592596</x:v>
      </x:c>
      <x:c r="O3084" s="117" t="str">
        <x:v>Jace Gentil</x:v>
      </x:c>
      <x:c r="P3084" s="120" t="n">
        <x:v>45575.64469907407</x:v>
      </x:c>
      <x:c r="Q3084" s="117" t="str">
        <x:v>Jace Gentil</x:v>
      </x:c>
      <x:c r="R3084" s="117" t="str">
        <x:v>System Rate Calculator Screen Flow - Rnd 3</x:v>
      </x:c>
      <x:c r="S3084" s="119"/>
    </x:row>
    <x:row r="3085" ht="30" customHeight="1">
      <x:c r="A3085" s="117" t="str">
        <x:v>System_Rate_Calculator_Screen_Flow_Rnd_2</x:v>
      </x:c>
      <x:c r="B3085" s="117" t="str">
        <x:v>300Ro00000BesY8IAJ</x:v>
      </x:c>
      <x:c r="C3085" s="117" t="str">
        <x:v>301Ro00000MdXM4IAN</x:v>
      </x:c>
      <x:c r="D3085" s="118" t="n">
        <x:v>26</x:v>
      </x:c>
      <x:c r="E3085" s="117" t="str">
        <x:v>Obsolete</x:v>
      </x:c>
      <x:c r="F3085" s="117" t="str">
        <x:v>No</x:v>
      </x:c>
      <x:c r="G3085" s="117" t="str">
        <x:v>No</x:v>
      </x:c>
      <x:c r="H3085" s="117" t="str">
        <x:v>Flow</x:v>
      </x:c>
      <x:c r="I3085" s="118" t="n">
        <x:v>60</x:v>
      </x:c>
      <x:c r="J3085" s="117" t="str">
        <x:v>unmanaged</x:v>
      </x:c>
      <x:c r="K3085" s="123" t="b">
        <x:v>0</x:v>
      </x:c>
      <x:c r="L3085" s="117" t="str">
        <x:v>SystemModeWithoutSharing</x:v>
      </x:c>
      <x:c r="M3085" s="118"/>
      <x:c r="N3085" s="120" t="n">
        <x:v>45575.65368055556</x:v>
      </x:c>
      <x:c r="O3085" s="117" t="str">
        <x:v>Jace Gentil</x:v>
      </x:c>
      <x:c r="P3085" s="120" t="n">
        <x:v>45575.76994212963</x:v>
      </x:c>
      <x:c r="Q3085" s="117" t="str">
        <x:v>Jace Gentil</x:v>
      </x:c>
      <x:c r="R3085" s="117" t="str">
        <x:v>System Rate Calculator Screen Flow - Rnd 3</x:v>
      </x:c>
      <x:c r="S3085" s="119"/>
    </x:row>
    <x:row r="3086" ht="30" customHeight="1">
      <x:c r="A3086" s="117" t="str">
        <x:v>System_Rate_Calculator_Screen_Flow_Rnd_2</x:v>
      </x:c>
      <x:c r="B3086" s="117" t="str">
        <x:v>300Ro00000BesY8IAJ</x:v>
      </x:c>
      <x:c r="C3086" s="117" t="str">
        <x:v>301Ro00000Mgb3JIAR</x:v>
      </x:c>
      <x:c r="D3086" s="118" t="n">
        <x:v>27</x:v>
      </x:c>
      <x:c r="E3086" s="117" t="str">
        <x:v>Obsolete</x:v>
      </x:c>
      <x:c r="F3086" s="117" t="str">
        <x:v>No</x:v>
      </x:c>
      <x:c r="G3086" s="117" t="str">
        <x:v>No</x:v>
      </x:c>
      <x:c r="H3086" s="117" t="str">
        <x:v>Flow</x:v>
      </x:c>
      <x:c r="I3086" s="118" t="n">
        <x:v>60</x:v>
      </x:c>
      <x:c r="J3086" s="117" t="str">
        <x:v>unmanaged</x:v>
      </x:c>
      <x:c r="K3086" s="123" t="b">
        <x:v>0</x:v>
      </x:c>
      <x:c r="L3086" s="117" t="str">
        <x:v>SystemModeWithoutSharing</x:v>
      </x:c>
      <x:c r="M3086" s="118"/>
      <x:c r="N3086" s="120" t="n">
        <x:v>45576.404375</x:v>
      </x:c>
      <x:c r="O3086" s="117" t="str">
        <x:v>Jace Gentil</x:v>
      </x:c>
      <x:c r="P3086" s="120" t="n">
        <x:v>45576.40452546296</x:v>
      </x:c>
      <x:c r="Q3086" s="117" t="str">
        <x:v>Jace Gentil</x:v>
      </x:c>
      <x:c r="R3086" s="117" t="str">
        <x:v>System Rate Calculator Screen Flow - Rnd 3</x:v>
      </x:c>
      <x:c r="S3086" s="119"/>
    </x:row>
    <x:row r="3087" ht="30" customHeight="1">
      <x:c r="A3087" s="117" t="str">
        <x:v>System_Rate_Calculator_Screen_Flow_Rnd_2</x:v>
      </x:c>
      <x:c r="B3087" s="117" t="str">
        <x:v>300Ro00000BesY8IAJ</x:v>
      </x:c>
      <x:c r="C3087" s="117" t="str">
        <x:v>301Ro00000Mgb4wIAB</x:v>
      </x:c>
      <x:c r="D3087" s="118" t="n">
        <x:v>28</x:v>
      </x:c>
      <x:c r="E3087" s="117" t="str">
        <x:v>Obsolete</x:v>
      </x:c>
      <x:c r="F3087" s="117" t="str">
        <x:v>No</x:v>
      </x:c>
      <x:c r="G3087" s="117" t="str">
        <x:v>No</x:v>
      </x:c>
      <x:c r="H3087" s="117" t="str">
        <x:v>Flow</x:v>
      </x:c>
      <x:c r="I3087" s="118" t="n">
        <x:v>60</x:v>
      </x:c>
      <x:c r="J3087" s="117" t="str">
        <x:v>unmanaged</x:v>
      </x:c>
      <x:c r="K3087" s="123" t="b">
        <x:v>0</x:v>
      </x:c>
      <x:c r="L3087" s="117" t="str">
        <x:v>SystemModeWithoutSharing</x:v>
      </x:c>
      <x:c r="M3087" s="118"/>
      <x:c r="N3087" s="120" t="n">
        <x:v>45576.415613425925</x:v>
      </x:c>
      <x:c r="O3087" s="117" t="str">
        <x:v>Jace Gentil</x:v>
      </x:c>
      <x:c r="P3087" s="120" t="n">
        <x:v>45576.41577546296</x:v>
      </x:c>
      <x:c r="Q3087" s="117" t="str">
        <x:v>Jace Gentil</x:v>
      </x:c>
      <x:c r="R3087" s="117" t="str">
        <x:v>System Rate Calculator Screen Flow - Rnd 3</x:v>
      </x:c>
      <x:c r="S3087" s="119"/>
    </x:row>
    <x:row r="3088" ht="30" customHeight="1">
      <x:c r="A3088" s="117" t="str">
        <x:v>System_Rate_Calculator_Screen_Flow_Rnd_2</x:v>
      </x:c>
      <x:c r="B3088" s="117" t="str">
        <x:v>300Ro00000BesY8IAJ</x:v>
      </x:c>
      <x:c r="C3088" s="117" t="str">
        <x:v>301Ro00000MgLEnIAN</x:v>
      </x:c>
      <x:c r="D3088" s="118" t="n">
        <x:v>29</x:v>
      </x:c>
      <x:c r="E3088" s="117" t="str">
        <x:v>Active</x:v>
      </x:c>
      <x:c r="F3088" s="117" t="str">
        <x:v>Yes</x:v>
      </x:c>
      <x:c r="G3088" s="117" t="str">
        <x:v>Yes</x:v>
      </x:c>
      <x:c r="H3088" s="117" t="str">
        <x:v>Flow</x:v>
      </x:c>
      <x:c r="I3088" s="118" t="n">
        <x:v>60</x:v>
      </x:c>
      <x:c r="J3088" s="117" t="str">
        <x:v>unmanaged</x:v>
      </x:c>
      <x:c r="K3088" s="123" t="b">
        <x:v>0</x:v>
      </x:c>
      <x:c r="L3088" s="117" t="str">
        <x:v>SystemModeWithoutSharing</x:v>
      </x:c>
      <x:c r="M3088" s="118"/>
      <x:c r="N3088" s="120" t="n">
        <x:v>45576.4197337963</x:v>
      </x:c>
      <x:c r="O3088" s="117" t="str">
        <x:v>Jace Gentil</x:v>
      </x:c>
      <x:c r="P3088" s="120" t="n">
        <x:v>45576.41988425926</x:v>
      </x:c>
      <x:c r="Q3088" s="117" t="str">
        <x:v>Jace Gentil</x:v>
      </x:c>
      <x:c r="R3088" s="117" t="str">
        <x:v>System Rate Calculator Screen Flow - Rnd 3</x:v>
      </x:c>
      <x:c r="S3088" s="119"/>
    </x:row>
    <x:row r="3089" ht="30" customHeight="1">
      <x:c r="A3089" s="117" t="str">
        <x:v>TEMP_IR_Product_Creation</x:v>
      </x:c>
      <x:c r="B3089" s="117" t="str">
        <x:v>300Ro00000NynYXIAZ</x:v>
      </x:c>
      <x:c r="C3089" s="117" t="str">
        <x:v>301Ro00000QPrVCIA1</x:v>
      </x:c>
      <x:c r="D3089" s="118" t="n">
        <x:v>1</x:v>
      </x:c>
      <x:c r="E3089" s="117" t="str">
        <x:v>Obsolete</x:v>
      </x:c>
      <x:c r="F3089" s="117" t="str">
        <x:v>No</x:v>
      </x:c>
      <x:c r="G3089" s="117" t="str">
        <x:v>No</x:v>
      </x:c>
      <x:c r="H3089" s="117" t="str">
        <x:v>AutoLaunchedFlow</x:v>
      </x:c>
      <x:c r="I3089" s="118" t="n">
        <x:v>62</x:v>
      </x:c>
      <x:c r="J3089" s="117" t="str">
        <x:v>unmanaged</x:v>
      </x:c>
      <x:c r="K3089" s="123" t="b">
        <x:v>0</x:v>
      </x:c>
      <x:c r="L3089" s="117"/>
      <x:c r="M3089" s="118"/>
      <x:c r="N3089" s="120" t="n">
        <x:v>45638.77506944445</x:v>
      </x:c>
      <x:c r="O3089" s="117" t="str">
        <x:v>Delegate</x:v>
      </x:c>
      <x:c r="P3089" s="120" t="n">
        <x:v>45638.780069444445</x:v>
      </x:c>
      <x:c r="Q3089" s="117" t="str">
        <x:v>Delegate</x:v>
      </x:c>
      <x:c r="R3089" s="117" t="str">
        <x:v>TEMP: IR Product Creation</x:v>
      </x:c>
      <x:c r="S3089" s="119"/>
    </x:row>
    <x:row r="3090" ht="30" customHeight="1">
      <x:c r="A3090" s="117" t="str">
        <x:v>TEMP_IR_Product_Creation</x:v>
      </x:c>
      <x:c r="B3090" s="117" t="str">
        <x:v>300Ro00000NynYXIAZ</x:v>
      </x:c>
      <x:c r="C3090" s="117" t="str">
        <x:v>301Ro00000QtWLJIA3</x:v>
      </x:c>
      <x:c r="D3090" s="118" t="n">
        <x:v>2</x:v>
      </x:c>
      <x:c r="E3090" s="117" t="str">
        <x:v>Obsolete</x:v>
      </x:c>
      <x:c r="F3090" s="117" t="str">
        <x:v>No</x:v>
      </x:c>
      <x:c r="G3090" s="117" t="str">
        <x:v>No</x:v>
      </x:c>
      <x:c r="H3090" s="117" t="str">
        <x:v>AutoLaunchedFlow</x:v>
      </x:c>
      <x:c r="I3090" s="118" t="n">
        <x:v>62</x:v>
      </x:c>
      <x:c r="J3090" s="117" t="str">
        <x:v>unmanaged</x:v>
      </x:c>
      <x:c r="K3090" s="123" t="b">
        <x:v>0</x:v>
      </x:c>
      <x:c r="L3090" s="117"/>
      <x:c r="M3090" s="118"/>
      <x:c r="N3090" s="120" t="n">
        <x:v>45646.84103009259</x:v>
      </x:c>
      <x:c r="O3090" s="117" t="str">
        <x:v>Delegate</x:v>
      </x:c>
      <x:c r="P3090" s="120" t="n">
        <x:v>45646.844293981485</x:v>
      </x:c>
      <x:c r="Q3090" s="117" t="str">
        <x:v>Delegate</x:v>
      </x:c>
      <x:c r="R3090" s="117" t="str">
        <x:v>TEMP: IR Product Creation</x:v>
      </x:c>
      <x:c r="S3090" s="119" t="str">
        <x:v>Added Non-Inventory</x:v>
      </x:c>
    </x:row>
    <x:row r="3091" ht="30" customHeight="1">
      <x:c r="A3091" s="117" t="str">
        <x:v>TEMP_IR_Product_Creation</x:v>
      </x:c>
      <x:c r="B3091" s="117" t="str">
        <x:v>300Ro00000NynYXIAZ</x:v>
      </x:c>
      <x:c r="C3091" s="117" t="str">
        <x:v>301Ro00000QtWQoIAN</x:v>
      </x:c>
      <x:c r="D3091" s="118" t="n">
        <x:v>3</x:v>
      </x:c>
      <x:c r="E3091" s="117" t="str">
        <x:v>Obsolete</x:v>
      </x:c>
      <x:c r="F3091" s="117" t="str">
        <x:v>No</x:v>
      </x:c>
      <x:c r="G3091" s="117" t="str">
        <x:v>No</x:v>
      </x:c>
      <x:c r="H3091" s="117" t="str">
        <x:v>AutoLaunchedFlow</x:v>
      </x:c>
      <x:c r="I3091" s="118" t="n">
        <x:v>62</x:v>
      </x:c>
      <x:c r="J3091" s="117" t="str">
        <x:v>unmanaged</x:v>
      </x:c>
      <x:c r="K3091" s="123" t="b">
        <x:v>0</x:v>
      </x:c>
      <x:c r="L3091" s="117"/>
      <x:c r="M3091" s="118"/>
      <x:c r="N3091" s="120" t="n">
        <x:v>45646.84630787037</x:v>
      </x:c>
      <x:c r="O3091" s="117" t="str">
        <x:v>Delegate</x:v>
      </x:c>
      <x:c r="P3091" s="120" t="n">
        <x:v>45646.84643518519</x:v>
      </x:c>
      <x:c r="Q3091" s="117" t="str">
        <x:v>Delegate</x:v>
      </x:c>
      <x:c r="R3091" s="117" t="str">
        <x:v>TEMP: IR Product Creation</x:v>
      </x:c>
      <x:c r="S3091" s="119" t="str">
        <x:v>Added Non-Inventory</x:v>
      </x:c>
    </x:row>
    <x:row r="3092" ht="30" customHeight="1">
      <x:c r="A3092" s="117" t="str">
        <x:v>TEMP_IR_Product_Creation</x:v>
      </x:c>
      <x:c r="B3092" s="117" t="str">
        <x:v>300Ro00000NynYXIAZ</x:v>
      </x:c>
      <x:c r="C3092" s="117" t="str">
        <x:v>301Ro00000QtxuvIAB</x:v>
      </x:c>
      <x:c r="D3092" s="118" t="n">
        <x:v>4</x:v>
      </x:c>
      <x:c r="E3092" s="117" t="str">
        <x:v>Obsolete</x:v>
      </x:c>
      <x:c r="F3092" s="117" t="str">
        <x:v>No</x:v>
      </x:c>
      <x:c r="G3092" s="117" t="str">
        <x:v>No</x:v>
      </x:c>
      <x:c r="H3092" s="117" t="str">
        <x:v>AutoLaunchedFlow</x:v>
      </x:c>
      <x:c r="I3092" s="118" t="n">
        <x:v>62</x:v>
      </x:c>
      <x:c r="J3092" s="117" t="str">
        <x:v>unmanaged</x:v>
      </x:c>
      <x:c r="K3092" s="123" t="b">
        <x:v>0</x:v>
      </x:c>
      <x:c r="L3092" s="117"/>
      <x:c r="M3092" s="118"/>
      <x:c r="N3092" s="120" t="n">
        <x:v>45646.850127314814</x:v>
      </x:c>
      <x:c r="O3092" s="117" t="str">
        <x:v>Delegate</x:v>
      </x:c>
      <x:c r="P3092" s="120" t="n">
        <x:v>45646.850173611114</x:v>
      </x:c>
      <x:c r="Q3092" s="117" t="str">
        <x:v>Delegate</x:v>
      </x:c>
      <x:c r="R3092" s="117" t="str">
        <x:v>TEMP: IR Product Creation</x:v>
      </x:c>
      <x:c r="S3092" s="119" t="str">
        <x:v>Added Non-Inventory</x:v>
      </x:c>
    </x:row>
    <x:row r="3093" ht="30" customHeight="1">
      <x:c r="A3093" s="117" t="str">
        <x:v>TEMP_IR_Product_Creation</x:v>
      </x:c>
      <x:c r="B3093" s="117" t="str">
        <x:v>300Ro00000NynYXIAZ</x:v>
      </x:c>
      <x:c r="C3093" s="117" t="str">
        <x:v>301Ro00000QtnCaIAJ</x:v>
      </x:c>
      <x:c r="D3093" s="118" t="n">
        <x:v>5</x:v>
      </x:c>
      <x:c r="E3093" s="117" t="str">
        <x:v>Obsolete</x:v>
      </x:c>
      <x:c r="F3093" s="117" t="str">
        <x:v>No</x:v>
      </x:c>
      <x:c r="G3093" s="117" t="str">
        <x:v>No</x:v>
      </x:c>
      <x:c r="H3093" s="117" t="str">
        <x:v>AutoLaunchedFlow</x:v>
      </x:c>
      <x:c r="I3093" s="118" t="n">
        <x:v>62</x:v>
      </x:c>
      <x:c r="J3093" s="117" t="str">
        <x:v>unmanaged</x:v>
      </x:c>
      <x:c r="K3093" s="123" t="b">
        <x:v>0</x:v>
      </x:c>
      <x:c r="L3093" s="117"/>
      <x:c r="M3093" s="118"/>
      <x:c r="N3093" s="120" t="n">
        <x:v>45646.88340277778</x:v>
      </x:c>
      <x:c r="O3093" s="117" t="str">
        <x:v>Delegate</x:v>
      </x:c>
      <x:c r="P3093" s="120" t="n">
        <x:v>45646.88344907408</x:v>
      </x:c>
      <x:c r="Q3093" s="117" t="str">
        <x:v>Delegate</x:v>
      </x:c>
      <x:c r="R3093" s="117" t="str">
        <x:v>TEMP: IR Product Creation</x:v>
      </x:c>
      <x:c r="S3093" s="119" t="str">
        <x:v>Added Non-Inventory</x:v>
      </x:c>
    </x:row>
    <x:row r="3094" ht="30" customHeight="1">
      <x:c r="A3094" s="117" t="str">
        <x:v>TEMP_IR_Product_Creation</x:v>
      </x:c>
      <x:c r="B3094" s="117" t="str">
        <x:v>300Ro00000NynYXIAZ</x:v>
      </x:c>
      <x:c r="C3094" s="117" t="str">
        <x:v>301Ro00000RKH5BIAX</x:v>
      </x:c>
      <x:c r="D3094" s="118" t="n">
        <x:v>6</x:v>
      </x:c>
      <x:c r="E3094" s="117" t="str">
        <x:v>Obsolete</x:v>
      </x:c>
      <x:c r="F3094" s="117" t="str">
        <x:v>No</x:v>
      </x:c>
      <x:c r="G3094" s="117" t="str">
        <x:v>No</x:v>
      </x:c>
      <x:c r="H3094" s="117" t="str">
        <x:v>AutoLaunchedFlow</x:v>
      </x:c>
      <x:c r="I3094" s="118" t="n">
        <x:v>62</x:v>
      </x:c>
      <x:c r="J3094" s="117" t="str">
        <x:v>unmanaged</x:v>
      </x:c>
      <x:c r="K3094" s="123" t="b">
        <x:v>0</x:v>
      </x:c>
      <x:c r="L3094" s="117"/>
      <x:c r="M3094" s="118"/>
      <x:c r="N3094" s="120" t="n">
        <x:v>45656.875972222224</x:v>
      </x:c>
      <x:c r="O3094" s="117" t="str">
        <x:v>Delegate</x:v>
      </x:c>
      <x:c r="P3094" s="120" t="n">
        <x:v>45656.89418981481</x:v>
      </x:c>
      <x:c r="Q3094" s="117" t="str">
        <x:v>Delegate</x:v>
      </x:c>
      <x:c r="R3094" s="117" t="str">
        <x:v>TEMP: IR Product Creation</x:v>
      </x:c>
      <x:c r="S3094" s="119" t="str">
        <x:v>Added Non-Inventory</x:v>
      </x:c>
    </x:row>
    <x:row r="3095" ht="30" customHeight="1">
      <x:c r="A3095" s="117" t="str">
        <x:v>TEMP_IR_Product_Creation</x:v>
      </x:c>
      <x:c r="B3095" s="117" t="str">
        <x:v>300Ro00000NynYXIAZ</x:v>
      </x:c>
      <x:c r="C3095" s="117" t="str">
        <x:v>301Ro00000nLJmlIAG</x:v>
      </x:c>
      <x:c r="D3095" s="118" t="n">
        <x:v>7</x:v>
      </x:c>
      <x:c r="E3095" s="117" t="str">
        <x:v>Obsolete</x:v>
      </x:c>
      <x:c r="F3095" s="117" t="str">
        <x:v>No</x:v>
      </x:c>
      <x:c r="G3095" s="117" t="str">
        <x:v>No</x:v>
      </x:c>
      <x:c r="H3095" s="117" t="str">
        <x:v>AutoLaunchedFlow</x:v>
      </x:c>
      <x:c r="I3095" s="118" t="n">
        <x:v>62</x:v>
      </x:c>
      <x:c r="J3095" s="117" t="str">
        <x:v>unmanaged</x:v>
      </x:c>
      <x:c r="K3095" s="123" t="b">
        <x:v>0</x:v>
      </x:c>
      <x:c r="L3095" s="117"/>
      <x:c r="M3095" s="118"/>
      <x:c r="N3095" s="120" t="n">
        <x:v>45926.54177083333</x:v>
      </x:c>
      <x:c r="O3095" s="117" t="str">
        <x:v>Delegate</x:v>
      </x:c>
      <x:c r="P3095" s="120" t="n">
        <x:v>45926.5418287037</x:v>
      </x:c>
      <x:c r="Q3095" s="117" t="str">
        <x:v>Delegate</x:v>
      </x:c>
      <x:c r="R3095" s="117" t="str">
        <x:v>TEMP: IR Product Creation</x:v>
      </x:c>
      <x:c r="S3095" s="119" t="str">
        <x:v>09/26/2025 (BW) - Added a system which removes the current IR products and then creates the new products if needed</x:v>
      </x:c>
    </x:row>
    <x:row r="3096" ht="30" customHeight="1">
      <x:c r="A3096" s="117" t="str">
        <x:v>TEMP_IR_Product_Creation</x:v>
      </x:c>
      <x:c r="B3096" s="117" t="str">
        <x:v>300Ro00000NynYXIAZ</x:v>
      </x:c>
      <x:c r="C3096" s="117" t="str">
        <x:v>301Ro00000nLgo3IAC</x:v>
      </x:c>
      <x:c r="D3096" s="118" t="n">
        <x:v>8</x:v>
      </x:c>
      <x:c r="E3096" s="117" t="str">
        <x:v>Obsolete</x:v>
      </x:c>
      <x:c r="F3096" s="117" t="str">
        <x:v>No</x:v>
      </x:c>
      <x:c r="G3096" s="117" t="str">
        <x:v>No</x:v>
      </x:c>
      <x:c r="H3096" s="117" t="str">
        <x:v>AutoLaunchedFlow</x:v>
      </x:c>
      <x:c r="I3096" s="118" t="n">
        <x:v>62</x:v>
      </x:c>
      <x:c r="J3096" s="117" t="str">
        <x:v>unmanaged</x:v>
      </x:c>
      <x:c r="K3096" s="123" t="b">
        <x:v>0</x:v>
      </x:c>
      <x:c r="L3096" s="117"/>
      <x:c r="M3096" s="118"/>
      <x:c r="N3096" s="120" t="n">
        <x:v>45926.544652777775</x:v>
      </x:c>
      <x:c r="O3096" s="117" t="str">
        <x:v>Delegate</x:v>
      </x:c>
      <x:c r="P3096" s="120" t="n">
        <x:v>45926.54471064815</x:v>
      </x:c>
      <x:c r="Q3096" s="117" t="str">
        <x:v>Delegate</x:v>
      </x:c>
      <x:c r="R3096" s="117" t="str">
        <x:v>TEMP: IR Product Creation</x:v>
      </x:c>
      <x:c r="S3096" s="119" t="str">
        <x:v>09/26/2025 (BW) - Added a system which removes the current IR products and then creates the new products if needed</x:v>
      </x:c>
    </x:row>
    <x:row r="3097" ht="30" customHeight="1">
      <x:c r="A3097" s="117" t="str">
        <x:v>TEMP_IR_Product_Creation</x:v>
      </x:c>
      <x:c r="B3097" s="117" t="str">
        <x:v>300Ro00000NynYXIAZ</x:v>
      </x:c>
      <x:c r="C3097" s="117" t="str">
        <x:v>301Ro00000nLhYoIAK</x:v>
      </x:c>
      <x:c r="D3097" s="118" t="n">
        <x:v>9</x:v>
      </x:c>
      <x:c r="E3097" s="117" t="str">
        <x:v>Obsolete</x:v>
      </x:c>
      <x:c r="F3097" s="117" t="str">
        <x:v>No</x:v>
      </x:c>
      <x:c r="G3097" s="117" t="str">
        <x:v>No</x:v>
      </x:c>
      <x:c r="H3097" s="117" t="str">
        <x:v>AutoLaunchedFlow</x:v>
      </x:c>
      <x:c r="I3097" s="118" t="n">
        <x:v>62</x:v>
      </x:c>
      <x:c r="J3097" s="117" t="str">
        <x:v>unmanaged</x:v>
      </x:c>
      <x:c r="K3097" s="123" t="b">
        <x:v>0</x:v>
      </x:c>
      <x:c r="L3097" s="117"/>
      <x:c r="M3097" s="118"/>
      <x:c r="N3097" s="120" t="n">
        <x:v>45926.54530092593</x:v>
      </x:c>
      <x:c r="O3097" s="117" t="str">
        <x:v>Delegate</x:v>
      </x:c>
      <x:c r="P3097" s="120" t="n">
        <x:v>45926.5453587963</x:v>
      </x:c>
      <x:c r="Q3097" s="117" t="str">
        <x:v>Delegate</x:v>
      </x:c>
      <x:c r="R3097" s="117" t="str">
        <x:v>TEMP: IR Product Creation</x:v>
      </x:c>
      <x:c r="S3097" s="119" t="str">
        <x:v>09/26/2025 (BW) - Added a system which removes the current IR products and then creates the new products if needed</x:v>
      </x:c>
    </x:row>
    <x:row r="3098" ht="30" customHeight="1">
      <x:c r="A3098" s="117" t="str">
        <x:v>TEMP_IR_Product_Creation</x:v>
      </x:c>
      <x:c r="B3098" s="117" t="str">
        <x:v>300Ro00000NynYXIAZ</x:v>
      </x:c>
      <x:c r="C3098" s="117" t="str">
        <x:v>301Ro00000nxsppIAA</x:v>
      </x:c>
      <x:c r="D3098" s="118" t="n">
        <x:v>10</x:v>
      </x:c>
      <x:c r="E3098" s="117" t="str">
        <x:v>Active</x:v>
      </x:c>
      <x:c r="F3098" s="117" t="str">
        <x:v>Yes</x:v>
      </x:c>
      <x:c r="G3098" s="117" t="str">
        <x:v>Yes</x:v>
      </x:c>
      <x:c r="H3098" s="117" t="str">
        <x:v>AutoLaunchedFlow</x:v>
      </x:c>
      <x:c r="I3098" s="118" t="n">
        <x:v>62</x:v>
      </x:c>
      <x:c r="J3098" s="117" t="str">
        <x:v>unmanaged</x:v>
      </x:c>
      <x:c r="K3098" s="123" t="b">
        <x:v>0</x:v>
      </x:c>
      <x:c r="L3098" s="117"/>
      <x:c r="M3098" s="118"/>
      <x:c r="N3098" s="120" t="n">
        <x:v>45931.539664351854</x:v>
      </x:c>
      <x:c r="O3098" s="117" t="str">
        <x:v>Delegate</x:v>
      </x:c>
      <x:c r="P3098" s="120" t="n">
        <x:v>45931.539768518516</x:v>
      </x:c>
      <x:c r="Q3098" s="117" t="str">
        <x:v>Delegate</x:v>
      </x:c>
      <x:c r="R3098" s="117" t="str">
        <x:v>TEMP: IR Product Creation</x:v>
      </x:c>
      <x:c r="S3098" s="119" t="str">
        <x:v>10/01/2025 (BW) - Updated this flow so it correctly deletes current products</x:v>
      </x:c>
    </x:row>
    <x:row r="3099" ht="30" customHeight="1">
      <x:c r="A3099" s="117" t="str">
        <x:v>Test_Get_Assets</x:v>
      </x:c>
      <x:c r="B3099" s="117" t="str">
        <x:v>3005b000000LGqzAAG</x:v>
      </x:c>
      <x:c r="C3099" s="117" t="str">
        <x:v>3015b000000AAwBAAW</x:v>
      </x:c>
      <x:c r="D3099" s="118" t="n">
        <x:v>1</x:v>
      </x:c>
      <x:c r="E3099" s="117" t="str">
        <x:v>Draft</x:v>
      </x:c>
      <x:c r="F3099" s="117" t="str">
        <x:v>No</x:v>
      </x:c>
      <x:c r="G3099" s="117" t="str">
        <x:v>No</x:v>
      </x:c>
      <x:c r="H3099" s="117" t="str">
        <x:v>Flow</x:v>
      </x:c>
      <x:c r="I3099" s="118" t="n">
        <x:v>56</x:v>
      </x:c>
      <x:c r="J3099" s="117" t="str">
        <x:v>unmanaged</x:v>
      </x:c>
      <x:c r="K3099" s="123" t="b">
        <x:v>0</x:v>
      </x:c>
      <x:c r="L3099" s="117"/>
      <x:c r="M3099" s="118"/>
      <x:c r="N3099" s="120" t="n">
        <x:v>44894.57179398148</x:v>
      </x:c>
      <x:c r="O3099" s="117" t="str">
        <x:v>Delegate</x:v>
      </x:c>
      <x:c r="P3099" s="120" t="n">
        <x:v>44894.571875</x:v>
      </x:c>
      <x:c r="Q3099" s="117" t="str">
        <x:v>Delegate</x:v>
      </x:c>
      <x:c r="R3099" s="117" t="str">
        <x:v>Test Get Assets</x:v>
      </x:c>
      <x:c r="S3099" s="119"/>
    </x:row>
    <x:row r="3100" ht="30" customHeight="1">
      <x:c r="A3100" s="117" t="str">
        <x:v>Test_Get_Assets</x:v>
      </x:c>
      <x:c r="B3100" s="117" t="str">
        <x:v>3005b000000LGqzAAG</x:v>
      </x:c>
      <x:c r="C3100" s="117" t="str">
        <x:v>3015b000000AAwGAAW</x:v>
      </x:c>
      <x:c r="D3100" s="118" t="n">
        <x:v>2</x:v>
      </x:c>
      <x:c r="E3100" s="117" t="str">
        <x:v>Obsolete</x:v>
      </x:c>
      <x:c r="F3100" s="117" t="str">
        <x:v>No</x:v>
      </x:c>
      <x:c r="G3100" s="117" t="str">
        <x:v>No</x:v>
      </x:c>
      <x:c r="H3100" s="117" t="str">
        <x:v>Flow</x:v>
      </x:c>
      <x:c r="I3100" s="118" t="n">
        <x:v>56</x:v>
      </x:c>
      <x:c r="J3100" s="117" t="str">
        <x:v>unmanaged</x:v>
      </x:c>
      <x:c r="K3100" s="123" t="b">
        <x:v>0</x:v>
      </x:c>
      <x:c r="L3100" s="117"/>
      <x:c r="M3100" s="118"/>
      <x:c r="N3100" s="120" t="n">
        <x:v>44894.57241898148</x:v>
      </x:c>
      <x:c r="O3100" s="117" t="str">
        <x:v>Delegate</x:v>
      </x:c>
      <x:c r="P3100" s="120" t="n">
        <x:v>44894.572488425925</x:v>
      </x:c>
      <x:c r="Q3100" s="117" t="str">
        <x:v>Delegate</x:v>
      </x:c>
      <x:c r="R3100" s="117" t="str">
        <x:v>Create Item Receipt from Opportunity</x:v>
      </x:c>
      <x:c r="S3100" s="119" t="str">
        <x:v>This flow creates an Item Receipt from an Opportunity</x:v>
      </x:c>
    </x:row>
    <x:row r="3101" ht="30" customHeight="1">
      <x:c r="A3101" s="117" t="str">
        <x:v>Test_Get_Assets</x:v>
      </x:c>
      <x:c r="B3101" s="117" t="str">
        <x:v>3005b000000LGqzAAG</x:v>
      </x:c>
      <x:c r="C3101" s="117" t="str">
        <x:v>3015b000000AAwLAAW</x:v>
      </x:c>
      <x:c r="D3101" s="118" t="n">
        <x:v>3</x:v>
      </x:c>
      <x:c r="E3101" s="117" t="str">
        <x:v>Obsolete</x:v>
      </x:c>
      <x:c r="F3101" s="117" t="str">
        <x:v>No</x:v>
      </x:c>
      <x:c r="G3101" s="117" t="str">
        <x:v>No</x:v>
      </x:c>
      <x:c r="H3101" s="117" t="str">
        <x:v>Flow</x:v>
      </x:c>
      <x:c r="I3101" s="118" t="n">
        <x:v>56</x:v>
      </x:c>
      <x:c r="J3101" s="117" t="str">
        <x:v>unmanaged</x:v>
      </x:c>
      <x:c r="K3101" s="123" t="b">
        <x:v>0</x:v>
      </x:c>
      <x:c r="L3101" s="117"/>
      <x:c r="M3101" s="118"/>
      <x:c r="N3101" s="120" t="n">
        <x:v>44894.5844212963</x:v>
      </x:c>
      <x:c r="O3101" s="117" t="str">
        <x:v>Delegate</x:v>
      </x:c>
      <x:c r="P3101" s="120" t="n">
        <x:v>44894.58472222222</x:v>
      </x:c>
      <x:c r="Q3101" s="117" t="str">
        <x:v>Delegate</x:v>
      </x:c>
      <x:c r="R3101" s="117" t="str">
        <x:v>Create Item Receipt from Opportunity</x:v>
      </x:c>
      <x:c r="S3101" s="119" t="str">
        <x:v>This flow creates an Item Receipt from an Opportunity</x:v>
      </x:c>
    </x:row>
    <x:row r="3102" ht="30" customHeight="1">
      <x:c r="A3102" s="117" t="str">
        <x:v>Test_Get_Assets</x:v>
      </x:c>
      <x:c r="B3102" s="117" t="str">
        <x:v>3005b000000LGqzAAG</x:v>
      </x:c>
      <x:c r="C3102" s="117" t="str">
        <x:v>3015b000000AAwMAAW</x:v>
      </x:c>
      <x:c r="D3102" s="118" t="n">
        <x:v>4</x:v>
      </x:c>
      <x:c r="E3102" s="117" t="str">
        <x:v>Obsolete</x:v>
      </x:c>
      <x:c r="F3102" s="117" t="str">
        <x:v>No</x:v>
      </x:c>
      <x:c r="G3102" s="117" t="str">
        <x:v>No</x:v>
      </x:c>
      <x:c r="H3102" s="117" t="str">
        <x:v>Flow</x:v>
      </x:c>
      <x:c r="I3102" s="118" t="n">
        <x:v>56</x:v>
      </x:c>
      <x:c r="J3102" s="117" t="str">
        <x:v>unmanaged</x:v>
      </x:c>
      <x:c r="K3102" s="123" t="b">
        <x:v>0</x:v>
      </x:c>
      <x:c r="L3102" s="117"/>
      <x:c r="M3102" s="118"/>
      <x:c r="N3102" s="120" t="n">
        <x:v>44894.58702546296</x:v>
      </x:c>
      <x:c r="O3102" s="117" t="str">
        <x:v>Delegate</x:v>
      </x:c>
      <x:c r="P3102" s="120" t="n">
        <x:v>44894.58707175926</x:v>
      </x:c>
      <x:c r="Q3102" s="117" t="str">
        <x:v>Delegate</x:v>
      </x:c>
      <x:c r="R3102" s="117" t="str">
        <x:v>Create Item Receipt from Opportunity</x:v>
      </x:c>
      <x:c r="S3102" s="119" t="str">
        <x:v>This flow creates an Item Receipt from an Opportunity</x:v>
      </x:c>
    </x:row>
    <x:row r="3103" ht="30" customHeight="1">
      <x:c r="A3103" s="117" t="str">
        <x:v>Test_Get_Assets</x:v>
      </x:c>
      <x:c r="B3103" s="117" t="str">
        <x:v>3005b000000LGqzAAG</x:v>
      </x:c>
      <x:c r="C3103" s="117" t="str">
        <x:v>3015b000000AAwuAAG</x:v>
      </x:c>
      <x:c r="D3103" s="118" t="n">
        <x:v>5</x:v>
      </x:c>
      <x:c r="E3103" s="117" t="str">
        <x:v>Obsolete</x:v>
      </x:c>
      <x:c r="F3103" s="117" t="str">
        <x:v>No</x:v>
      </x:c>
      <x:c r="G3103" s="117" t="str">
        <x:v>No</x:v>
      </x:c>
      <x:c r="H3103" s="117" t="str">
        <x:v>Flow</x:v>
      </x:c>
      <x:c r="I3103" s="118" t="n">
        <x:v>56</x:v>
      </x:c>
      <x:c r="J3103" s="117" t="str">
        <x:v>unmanaged</x:v>
      </x:c>
      <x:c r="K3103" s="123" t="b">
        <x:v>0</x:v>
      </x:c>
      <x:c r="L3103" s="117"/>
      <x:c r="M3103" s="118"/>
      <x:c r="N3103" s="120" t="n">
        <x:v>44894.59625</x:v>
      </x:c>
      <x:c r="O3103" s="117" t="str">
        <x:v>Delegate</x:v>
      </x:c>
      <x:c r="P3103" s="120" t="n">
        <x:v>44894.59689814815</x:v>
      </x:c>
      <x:c r="Q3103" s="117" t="str">
        <x:v>Delegate</x:v>
      </x:c>
      <x:c r="R3103" s="117" t="str">
        <x:v>Create Item Receipt from Opportunity</x:v>
      </x:c>
      <x:c r="S3103" s="119" t="str">
        <x:v>This flow creates an Item Receipt from an Opportunity</x:v>
      </x:c>
    </x:row>
    <x:row r="3104" ht="30" customHeight="1">
      <x:c r="A3104" s="117" t="str">
        <x:v>Test_Get_Assets</x:v>
      </x:c>
      <x:c r="B3104" s="117" t="str">
        <x:v>3005b000000LGqzAAG</x:v>
      </x:c>
      <x:c r="C3104" s="117" t="str">
        <x:v>3015b000000AAyRAAW</x:v>
      </x:c>
      <x:c r="D3104" s="118" t="n">
        <x:v>6</x:v>
      </x:c>
      <x:c r="E3104" s="117" t="str">
        <x:v>Draft</x:v>
      </x:c>
      <x:c r="F3104" s="117" t="str">
        <x:v>No</x:v>
      </x:c>
      <x:c r="G3104" s="117" t="str">
        <x:v>No</x:v>
      </x:c>
      <x:c r="H3104" s="117" t="str">
        <x:v>Flow</x:v>
      </x:c>
      <x:c r="I3104" s="118" t="n">
        <x:v>56</x:v>
      </x:c>
      <x:c r="J3104" s="117" t="str">
        <x:v>unmanaged</x:v>
      </x:c>
      <x:c r="K3104" s="123" t="b">
        <x:v>0</x:v>
      </x:c>
      <x:c r="L3104" s="117"/>
      <x:c r="M3104" s="118"/>
      <x:c r="N3104" s="120" t="n">
        <x:v>44894.69363425926</x:v>
      </x:c>
      <x:c r="O3104" s="117" t="str">
        <x:v>Delegate</x:v>
      </x:c>
      <x:c r="P3104" s="120" t="n">
        <x:v>44894.693657407406</x:v>
      </x:c>
      <x:c r="Q3104" s="117" t="str">
        <x:v>Delegate</x:v>
      </x:c>
      <x:c r="R3104" s="117" t="str">
        <x:v>Create Item Receipt from Opportunity</x:v>
      </x:c>
      <x:c r="S3104" s="119" t="str">
        <x:v>This flow creates an Item Receipt from an Opportunity</x:v>
      </x:c>
    </x:row>
    <x:row r="3105" ht="30" customHeight="1">
      <x:c r="A3105" s="117" t="str">
        <x:v>Test_Get_Assets</x:v>
      </x:c>
      <x:c r="B3105" s="117" t="str">
        <x:v>3005b000000LGqzAAG</x:v>
      </x:c>
      <x:c r="C3105" s="117" t="str">
        <x:v>3015b000000ABEfAAO</x:v>
      </x:c>
      <x:c r="D3105" s="118" t="n">
        <x:v>7</x:v>
      </x:c>
      <x:c r="E3105" s="117" t="str">
        <x:v>Obsolete</x:v>
      </x:c>
      <x:c r="F3105" s="117" t="str">
        <x:v>No</x:v>
      </x:c>
      <x:c r="G3105" s="117" t="str">
        <x:v>No</x:v>
      </x:c>
      <x:c r="H3105" s="117" t="str">
        <x:v>Flow</x:v>
      </x:c>
      <x:c r="I3105" s="118" t="n">
        <x:v>56</x:v>
      </x:c>
      <x:c r="J3105" s="117" t="str">
        <x:v>unmanaged</x:v>
      </x:c>
      <x:c r="K3105" s="123" t="b">
        <x:v>0</x:v>
      </x:c>
      <x:c r="L3105" s="117"/>
      <x:c r="M3105" s="118"/>
      <x:c r="N3105" s="120" t="n">
        <x:v>44896.783113425925</x:v>
      </x:c>
      <x:c r="O3105" s="117" t="str">
        <x:v>Delegate</x:v>
      </x:c>
      <x:c r="P3105" s="120" t="n">
        <x:v>44896.78318287037</x:v>
      </x:c>
      <x:c r="Q3105" s="117" t="str">
        <x:v>Delegate</x:v>
      </x:c>
      <x:c r="R3105" s="117" t="str">
        <x:v>Create Item Receipt from Opportunity</x:v>
      </x:c>
      <x:c r="S3105" s="119" t="str">
        <x:v>This flow creates an Item Receipt from an Opportunity</x:v>
      </x:c>
    </x:row>
    <x:row r="3106" ht="30" customHeight="1">
      <x:c r="A3106" s="117" t="str">
        <x:v>Test_Get_Assets</x:v>
      </x:c>
      <x:c r="B3106" s="117" t="str">
        <x:v>3005b000000LGqzAAG</x:v>
      </x:c>
      <x:c r="C3106" s="117" t="str">
        <x:v>3015b000000ABF8AAO</x:v>
      </x:c>
      <x:c r="D3106" s="118" t="n">
        <x:v>8</x:v>
      </x:c>
      <x:c r="E3106" s="117" t="str">
        <x:v>Obsolete</x:v>
      </x:c>
      <x:c r="F3106" s="117" t="str">
        <x:v>No</x:v>
      </x:c>
      <x:c r="G3106" s="117" t="str">
        <x:v>No</x:v>
      </x:c>
      <x:c r="H3106" s="117" t="str">
        <x:v>Flow</x:v>
      </x:c>
      <x:c r="I3106" s="118" t="n">
        <x:v>56</x:v>
      </x:c>
      <x:c r="J3106" s="117" t="str">
        <x:v>unmanaged</x:v>
      </x:c>
      <x:c r="K3106" s="123" t="b">
        <x:v>0</x:v>
      </x:c>
      <x:c r="L3106" s="117"/>
      <x:c r="M3106" s="118"/>
      <x:c r="N3106" s="120" t="n">
        <x:v>44896.79238425926</x:v>
      </x:c>
      <x:c r="O3106" s="117" t="str">
        <x:v>Delegate</x:v>
      </x:c>
      <x:c r="P3106" s="120" t="n">
        <x:v>44896.79241898148</x:v>
      </x:c>
      <x:c r="Q3106" s="117" t="str">
        <x:v>Delegate</x:v>
      </x:c>
      <x:c r="R3106" s="117" t="str">
        <x:v>Create Item Receipt from Opportunity</x:v>
      </x:c>
      <x:c r="S3106" s="119" t="str">
        <x:v>This flow creates an Item Receipt from an Opportunity</x:v>
      </x:c>
    </x:row>
    <x:row r="3107" ht="30" customHeight="1">
      <x:c r="A3107" s="117" t="str">
        <x:v>Test_Get_Assets</x:v>
      </x:c>
      <x:c r="B3107" s="117" t="str">
        <x:v>3005b000000LGqzAAG</x:v>
      </x:c>
      <x:c r="C3107" s="117" t="str">
        <x:v>3015b000000ABFNAA4</x:v>
      </x:c>
      <x:c r="D3107" s="118" t="n">
        <x:v>9</x:v>
      </x:c>
      <x:c r="E3107" s="117" t="str">
        <x:v>Obsolete</x:v>
      </x:c>
      <x:c r="F3107" s="117" t="str">
        <x:v>No</x:v>
      </x:c>
      <x:c r="G3107" s="117" t="str">
        <x:v>No</x:v>
      </x:c>
      <x:c r="H3107" s="117" t="str">
        <x:v>Flow</x:v>
      </x:c>
      <x:c r="I3107" s="118" t="n">
        <x:v>56</x:v>
      </x:c>
      <x:c r="J3107" s="117" t="str">
        <x:v>unmanaged</x:v>
      </x:c>
      <x:c r="K3107" s="123" t="b">
        <x:v>0</x:v>
      </x:c>
      <x:c r="L3107" s="117"/>
      <x:c r="M3107" s="118"/>
      <x:c r="N3107" s="120" t="n">
        <x:v>44896.80150462963</x:v>
      </x:c>
      <x:c r="O3107" s="117" t="str">
        <x:v>Delegate</x:v>
      </x:c>
      <x:c r="P3107" s="120" t="n">
        <x:v>44896.80226851852</x:v>
      </x:c>
      <x:c r="Q3107" s="117" t="str">
        <x:v>Delegate</x:v>
      </x:c>
      <x:c r="R3107" s="117" t="str">
        <x:v>Create Item Receipt from Opportunity</x:v>
      </x:c>
      <x:c r="S3107" s="119" t="str">
        <x:v>This flow creates an Item Receipt from an Opportunity</x:v>
      </x:c>
    </x:row>
    <x:row r="3108" ht="30" customHeight="1">
      <x:c r="A3108" s="117" t="str">
        <x:v>Test_Get_Assets</x:v>
      </x:c>
      <x:c r="B3108" s="117" t="str">
        <x:v>3005b000000LGqzAAG</x:v>
      </x:c>
      <x:c r="C3108" s="117" t="str">
        <x:v>3015b000000ABFcAAO</x:v>
      </x:c>
      <x:c r="D3108" s="118" t="n">
        <x:v>10</x:v>
      </x:c>
      <x:c r="E3108" s="117" t="str">
        <x:v>Obsolete</x:v>
      </x:c>
      <x:c r="F3108" s="117" t="str">
        <x:v>No</x:v>
      </x:c>
      <x:c r="G3108" s="117" t="str">
        <x:v>No</x:v>
      </x:c>
      <x:c r="H3108" s="117" t="str">
        <x:v>Flow</x:v>
      </x:c>
      <x:c r="I3108" s="118" t="n">
        <x:v>56</x:v>
      </x:c>
      <x:c r="J3108" s="117" t="str">
        <x:v>unmanaged</x:v>
      </x:c>
      <x:c r="K3108" s="123" t="b">
        <x:v>0</x:v>
      </x:c>
      <x:c r="L3108" s="117"/>
      <x:c r="M3108" s="118"/>
      <x:c r="N3108" s="120" t="n">
        <x:v>44896.80587962963</x:v>
      </x:c>
      <x:c r="O3108" s="117" t="str">
        <x:v>Delegate</x:v>
      </x:c>
      <x:c r="P3108" s="120" t="n">
        <x:v>44896.805972222224</x:v>
      </x:c>
      <x:c r="Q3108" s="117" t="str">
        <x:v>Delegate</x:v>
      </x:c>
      <x:c r="R3108" s="117" t="str">
        <x:v>Create Item Receipt from Opportunity</x:v>
      </x:c>
      <x:c r="S3108" s="119" t="str">
        <x:v>This flow creates an Item Receipt from an Opportunity</x:v>
      </x:c>
    </x:row>
    <x:row r="3109" ht="30" customHeight="1">
      <x:c r="A3109" s="117" t="str">
        <x:v>Test_Get_Assets</x:v>
      </x:c>
      <x:c r="B3109" s="117" t="str">
        <x:v>3005b000000LGqzAAG</x:v>
      </x:c>
      <x:c r="C3109" s="117" t="str">
        <x:v>3015b000000AD2BAAW</x:v>
      </x:c>
      <x:c r="D3109" s="118" t="n">
        <x:v>11</x:v>
      </x:c>
      <x:c r="E3109" s="117" t="str">
        <x:v>Obsolete</x:v>
      </x:c>
      <x:c r="F3109" s="117" t="str">
        <x:v>No</x:v>
      </x:c>
      <x:c r="G3109" s="117" t="str">
        <x:v>No</x:v>
      </x:c>
      <x:c r="H3109" s="117" t="str">
        <x:v>Flow</x:v>
      </x:c>
      <x:c r="I3109" s="118" t="n">
        <x:v>56</x:v>
      </x:c>
      <x:c r="J3109" s="117" t="str">
        <x:v>unmanaged</x:v>
      </x:c>
      <x:c r="K3109" s="123" t="b">
        <x:v>0</x:v>
      </x:c>
      <x:c r="L3109" s="117"/>
      <x:c r="M3109" s="118"/>
      <x:c r="N3109" s="120" t="n">
        <x:v>44917.96591435185</x:v>
      </x:c>
      <x:c r="O3109" s="117" t="str">
        <x:v>Delegate</x:v>
      </x:c>
      <x:c r="P3109" s="120" t="n">
        <x:v>44917.96611111111</x:v>
      </x:c>
      <x:c r="Q3109" s="117" t="str">
        <x:v>Delegate</x:v>
      </x:c>
      <x:c r="R3109" s="117" t="str">
        <x:v>Create Item Receipt from Opportunity</x:v>
      </x:c>
      <x:c r="S3109" s="119" t="str">
        <x:v>Testing New Data table.</x:v>
      </x:c>
    </x:row>
    <x:row r="3110" ht="30" customHeight="1">
      <x:c r="A3110" s="117" t="str">
        <x:v>Test_Get_Assets</x:v>
      </x:c>
      <x:c r="B3110" s="117" t="str">
        <x:v>3005b000000LGqzAAG</x:v>
      </x:c>
      <x:c r="C3110" s="117" t="str">
        <x:v>3015b000000ADyUAAW</x:v>
      </x:c>
      <x:c r="D3110" s="118" t="n">
        <x:v>12</x:v>
      </x:c>
      <x:c r="E3110" s="117" t="str">
        <x:v>Draft</x:v>
      </x:c>
      <x:c r="F3110" s="117" t="str">
        <x:v>No</x:v>
      </x:c>
      <x:c r="G3110" s="117" t="str">
        <x:v>No</x:v>
      </x:c>
      <x:c r="H3110" s="117" t="str">
        <x:v>Flow</x:v>
      </x:c>
      <x:c r="I3110" s="118" t="n">
        <x:v>56</x:v>
      </x:c>
      <x:c r="J3110" s="117" t="str">
        <x:v>unmanaged</x:v>
      </x:c>
      <x:c r="K3110" s="123" t="b">
        <x:v>0</x:v>
      </x:c>
      <x:c r="L3110" s="117"/>
      <x:c r="M3110" s="118"/>
      <x:c r="N3110" s="120" t="n">
        <x:v>44936.68591435185</x:v>
      </x:c>
      <x:c r="O3110" s="117" t="str">
        <x:v>Delegate</x:v>
      </x:c>
      <x:c r="P3110" s="120" t="n">
        <x:v>44936.68604166667</x:v>
      </x:c>
      <x:c r="Q3110" s="117" t="str">
        <x:v>Delegate</x:v>
      </x:c>
      <x:c r="R3110" s="117" t="str">
        <x:v>Create Item Receipt from Opportunity</x:v>
      </x:c>
      <x:c r="S3110" s="119" t="str">
        <x:v>Testing New Data table.</x:v>
      </x:c>
    </x:row>
    <x:row r="3111" ht="30" customHeight="1">
      <x:c r="A3111" s="117" t="str">
        <x:v>Test_Get_Assets</x:v>
      </x:c>
      <x:c r="B3111" s="117" t="str">
        <x:v>3005b000000LGqzAAG</x:v>
      </x:c>
      <x:c r="C3111" s="117" t="str">
        <x:v>3015b000000AEQOAA4</x:v>
      </x:c>
      <x:c r="D3111" s="118" t="n">
        <x:v>13</x:v>
      </x:c>
      <x:c r="E3111" s="117" t="str">
        <x:v>Obsolete</x:v>
      </x:c>
      <x:c r="F3111" s="117" t="str">
        <x:v>No</x:v>
      </x:c>
      <x:c r="G3111" s="117" t="str">
        <x:v>No</x:v>
      </x:c>
      <x:c r="H3111" s="117" t="str">
        <x:v>Flow</x:v>
      </x:c>
      <x:c r="I3111" s="118" t="n">
        <x:v>56</x:v>
      </x:c>
      <x:c r="J3111" s="117" t="str">
        <x:v>unmanaged</x:v>
      </x:c>
      <x:c r="K3111" s="123" t="b">
        <x:v>0</x:v>
      </x:c>
      <x:c r="L3111" s="117"/>
      <x:c r="M3111" s="118"/>
      <x:c r="N3111" s="120" t="n">
        <x:v>44943.62739583333</x:v>
      </x:c>
      <x:c r="O3111" s="117" t="str">
        <x:v>Delegate</x:v>
      </x:c>
      <x:c r="P3111" s="120" t="n">
        <x:v>44943.654375</x:v>
      </x:c>
      <x:c r="Q3111" s="117" t="str">
        <x:v>Delegate</x:v>
      </x:c>
      <x:c r="R3111" s="117" t="str">
        <x:v>Create Item Receipt from Opportunity</x:v>
      </x:c>
      <x:c r="S3111" s="119" t="str">
        <x:v>Testing New Data table.</x:v>
      </x:c>
    </x:row>
    <x:row r="3112" ht="30" customHeight="1">
      <x:c r="A3112" s="117" t="str">
        <x:v>Test_Get_Assets</x:v>
      </x:c>
      <x:c r="B3112" s="117" t="str">
        <x:v>3005b000000LGqzAAG</x:v>
      </x:c>
      <x:c r="C3112" s="117" t="str">
        <x:v>3015b000000AEVdAAO</x:v>
      </x:c>
      <x:c r="D3112" s="118" t="n">
        <x:v>14</x:v>
      </x:c>
      <x:c r="E3112" s="117" t="str">
        <x:v>Obsolete</x:v>
      </x:c>
      <x:c r="F3112" s="117" t="str">
        <x:v>No</x:v>
      </x:c>
      <x:c r="G3112" s="117" t="str">
        <x:v>No</x:v>
      </x:c>
      <x:c r="H3112" s="117" t="str">
        <x:v>Flow</x:v>
      </x:c>
      <x:c r="I3112" s="118" t="n">
        <x:v>56</x:v>
      </x:c>
      <x:c r="J3112" s="117" t="str">
        <x:v>unmanaged</x:v>
      </x:c>
      <x:c r="K3112" s="123" t="b">
        <x:v>0</x:v>
      </x:c>
      <x:c r="L3112" s="117"/>
      <x:c r="M3112" s="118"/>
      <x:c r="N3112" s="120" t="n">
        <x:v>44944.59539351852</x:v>
      </x:c>
      <x:c r="O3112" s="117" t="str">
        <x:v>Jace Gentil</x:v>
      </x:c>
      <x:c r="P3112" s="120" t="n">
        <x:v>44944.59545138889</x:v>
      </x:c>
      <x:c r="Q3112" s="117" t="str">
        <x:v>Jace Gentil</x:v>
      </x:c>
      <x:c r="R3112" s="117" t="str">
        <x:v>Create Item Receipt from Opportunity</x:v>
      </x:c>
      <x:c r="S3112" s="119" t="str">
        <x:v>Testing New Data table.</x:v>
      </x:c>
    </x:row>
    <x:row r="3113" ht="30" customHeight="1">
      <x:c r="A3113" s="117" t="str">
        <x:v>Test_Get_Assets</x:v>
      </x:c>
      <x:c r="B3113" s="117" t="str">
        <x:v>3005b000000LGqzAAG</x:v>
      </x:c>
      <x:c r="C3113" s="117" t="str">
        <x:v>3015b000000AEViAAO</x:v>
      </x:c>
      <x:c r="D3113" s="118" t="n">
        <x:v>15</x:v>
      </x:c>
      <x:c r="E3113" s="117" t="str">
        <x:v>Obsolete</x:v>
      </x:c>
      <x:c r="F3113" s="117" t="str">
        <x:v>No</x:v>
      </x:c>
      <x:c r="G3113" s="117" t="str">
        <x:v>No</x:v>
      </x:c>
      <x:c r="H3113" s="117" t="str">
        <x:v>Flow</x:v>
      </x:c>
      <x:c r="I3113" s="118" t="n">
        <x:v>56</x:v>
      </x:c>
      <x:c r="J3113" s="117" t="str">
        <x:v>unmanaged</x:v>
      </x:c>
      <x:c r="K3113" s="123" t="b">
        <x:v>0</x:v>
      </x:c>
      <x:c r="L3113" s="117"/>
      <x:c r="M3113" s="118"/>
      <x:c r="N3113" s="120" t="n">
        <x:v>44944.600324074076</x:v>
      </x:c>
      <x:c r="O3113" s="117" t="str">
        <x:v>Delegate</x:v>
      </x:c>
      <x:c r="P3113" s="120" t="n">
        <x:v>44944.60037037037</x:v>
      </x:c>
      <x:c r="Q3113" s="117" t="str">
        <x:v>Delegate</x:v>
      </x:c>
      <x:c r="R3113" s="117" t="str">
        <x:v>Create Item Receipt from Opportunity</x:v>
      </x:c>
      <x:c r="S3113" s="119" t="str">
        <x:v>Testing New Data table.</x:v>
      </x:c>
    </x:row>
    <x:row r="3114" ht="30" customHeight="1">
      <x:c r="A3114" s="117" t="str">
        <x:v>Test_Get_Assets</x:v>
      </x:c>
      <x:c r="B3114" s="117" t="str">
        <x:v>3005b000000LGqzAAG</x:v>
      </x:c>
      <x:c r="C3114" s="117" t="str">
        <x:v>3015b000000AEVnAAO</x:v>
      </x:c>
      <x:c r="D3114" s="118" t="n">
        <x:v>16</x:v>
      </x:c>
      <x:c r="E3114" s="117" t="str">
        <x:v>Obsolete</x:v>
      </x:c>
      <x:c r="F3114" s="117" t="str">
        <x:v>No</x:v>
      </x:c>
      <x:c r="G3114" s="117" t="str">
        <x:v>No</x:v>
      </x:c>
      <x:c r="H3114" s="117" t="str">
        <x:v>Flow</x:v>
      </x:c>
      <x:c r="I3114" s="118" t="n">
        <x:v>56</x:v>
      </x:c>
      <x:c r="J3114" s="117" t="str">
        <x:v>unmanaged</x:v>
      </x:c>
      <x:c r="K3114" s="123" t="b">
        <x:v>0</x:v>
      </x:c>
      <x:c r="L3114" s="117"/>
      <x:c r="M3114" s="118"/>
      <x:c r="N3114" s="120" t="n">
        <x:v>44944.603530092594</x:v>
      </x:c>
      <x:c r="O3114" s="117" t="str">
        <x:v>Jace Gentil</x:v>
      </x:c>
      <x:c r="P3114" s="120" t="n">
        <x:v>44944.60356481482</x:v>
      </x:c>
      <x:c r="Q3114" s="117" t="str">
        <x:v>Jace Gentil</x:v>
      </x:c>
      <x:c r="R3114" s="117" t="str">
        <x:v>Create Item Receipt from Opportunity</x:v>
      </x:c>
      <x:c r="S3114" s="119" t="str">
        <x:v>Testing New Data table.</x:v>
      </x:c>
    </x:row>
    <x:row r="3115" ht="30" customHeight="1">
      <x:c r="A3115" s="117" t="str">
        <x:v>Test_Get_Assets</x:v>
      </x:c>
      <x:c r="B3115" s="117" t="str">
        <x:v>3005b000000LGqzAAG</x:v>
      </x:c>
      <x:c r="C3115" s="117" t="str">
        <x:v>3015b000000AEVsAAO</x:v>
      </x:c>
      <x:c r="D3115" s="118" t="n">
        <x:v>17</x:v>
      </x:c>
      <x:c r="E3115" s="117" t="str">
        <x:v>Obsolete</x:v>
      </x:c>
      <x:c r="F3115" s="117" t="str">
        <x:v>No</x:v>
      </x:c>
      <x:c r="G3115" s="117" t="str">
        <x:v>No</x:v>
      </x:c>
      <x:c r="H3115" s="117" t="str">
        <x:v>Flow</x:v>
      </x:c>
      <x:c r="I3115" s="118" t="n">
        <x:v>56</x:v>
      </x:c>
      <x:c r="J3115" s="117" t="str">
        <x:v>unmanaged</x:v>
      </x:c>
      <x:c r="K3115" s="123" t="b">
        <x:v>0</x:v>
      </x:c>
      <x:c r="L3115" s="117"/>
      <x:c r="M3115" s="118"/>
      <x:c r="N3115" s="120" t="n">
        <x:v>44944.60543981481</x:v>
      </x:c>
      <x:c r="O3115" s="117" t="str">
        <x:v>Jace Gentil</x:v>
      </x:c>
      <x:c r="P3115" s="120" t="n">
        <x:v>44945.86436342593</x:v>
      </x:c>
      <x:c r="Q3115" s="117" t="str">
        <x:v>Delegate</x:v>
      </x:c>
      <x:c r="R3115" s="117" t="str">
        <x:v>Create Item Receipt from Opportunity</x:v>
      </x:c>
      <x:c r="S3115" s="119" t="str">
        <x:v>Testing New Data table.</x:v>
      </x:c>
    </x:row>
    <x:row r="3116" ht="30" customHeight="1">
      <x:c r="A3116" s="117" t="str">
        <x:v>Test_Get_Assets</x:v>
      </x:c>
      <x:c r="B3116" s="117" t="str">
        <x:v>3005b000000LGqzAAG</x:v>
      </x:c>
      <x:c r="C3116" s="117" t="str">
        <x:v>3015b000000AEVtAAO</x:v>
      </x:c>
      <x:c r="D3116" s="118" t="n">
        <x:v>18</x:v>
      </x:c>
      <x:c r="E3116" s="117" t="str">
        <x:v>Obsolete</x:v>
      </x:c>
      <x:c r="F3116" s="117" t="str">
        <x:v>No</x:v>
      </x:c>
      <x:c r="G3116" s="117" t="str">
        <x:v>Yes</x:v>
      </x:c>
      <x:c r="H3116" s="117" t="str">
        <x:v>Flow</x:v>
      </x:c>
      <x:c r="I3116" s="118" t="n">
        <x:v>56</x:v>
      </x:c>
      <x:c r="J3116" s="117" t="str">
        <x:v>unmanaged</x:v>
      </x:c>
      <x:c r="K3116" s="123" t="b">
        <x:v>0</x:v>
      </x:c>
      <x:c r="L3116" s="117"/>
      <x:c r="M3116" s="118"/>
      <x:c r="N3116" s="120" t="n">
        <x:v>44944.60974537037</x:v>
      </x:c>
      <x:c r="O3116" s="117" t="str">
        <x:v>Jace Gentil</x:v>
      </x:c>
      <x:c r="P3116" s="120" t="n">
        <x:v>44944.610497685186</x:v>
      </x:c>
      <x:c r="Q3116" s="117" t="str">
        <x:v>Jace Gentil</x:v>
      </x:c>
      <x:c r="R3116" s="117" t="str">
        <x:v>Create Item Receipt from Opportunity</x:v>
      </x:c>
      <x:c r="S3116" s="119" t="str">
        <x:v>Testing New Data table.</x:v>
      </x:c>
    </x:row>
    <x:row r="3117" ht="30" customHeight="1">
      <x:c r="A3117" s="117" t="str">
        <x:v>TESTING_Lead_Email_Alert</x:v>
      </x:c>
      <x:c r="B3117" s="117" t="str">
        <x:v>3005b00000113C7AAI</x:v>
      </x:c>
      <x:c r="C3117" s="117" t="str">
        <x:v>3015b0000011KAgAAM</x:v>
      </x:c>
      <x:c r="D3117" s="118" t="n">
        <x:v>1</x:v>
      </x:c>
      <x:c r="E3117" s="117" t="str">
        <x:v>Obsolete</x:v>
      </x:c>
      <x:c r="F3117" s="117" t="str">
        <x:v>No</x:v>
      </x:c>
      <x:c r="G3117" s="117" t="str">
        <x:v>No</x:v>
      </x:c>
      <x:c r="H3117" s="117" t="str">
        <x:v>AutoLaunchedFlow</x:v>
      </x:c>
      <x:c r="I3117" s="118" t="n">
        <x:v>56</x:v>
      </x:c>
      <x:c r="J3117" s="117" t="str">
        <x:v>unmanaged</x:v>
      </x:c>
      <x:c r="K3117" s="123" t="b">
        <x:v>0</x:v>
      </x:c>
      <x:c r="L3117" s="117"/>
      <x:c r="M3117" s="118"/>
      <x:c r="N3117" s="120" t="n">
        <x:v>45202.602175925924</x:v>
      </x:c>
      <x:c r="O3117" s="117" t="str">
        <x:v>Delegate</x:v>
      </x:c>
      <x:c r="P3117" s="120" t="n">
        <x:v>45202.606724537036</x:v>
      </x:c>
      <x:c r="Q3117" s="117" t="str">
        <x:v>Delegate</x:v>
      </x:c>
      <x:c r="R3117" s="117" t="str">
        <x:v>TESTING: Lead Email Alert</x:v>
      </x:c>
      <x:c r="S3117" s="119"/>
    </x:row>
    <x:row r="3118" ht="30" customHeight="1">
      <x:c r="A3118" s="117" t="str">
        <x:v>TESTING_Lead_Email_Alert</x:v>
      </x:c>
      <x:c r="B3118" s="117" t="str">
        <x:v>3005b00000113C7AAI</x:v>
      </x:c>
      <x:c r="C3118" s="117" t="str">
        <x:v>3015b0000011KAlAAM</x:v>
      </x:c>
      <x:c r="D3118" s="118" t="n">
        <x:v>2</x:v>
      </x:c>
      <x:c r="E3118" s="117" t="str">
        <x:v>Draft</x:v>
      </x:c>
      <x:c r="F3118" s="117" t="str">
        <x:v>No</x:v>
      </x:c>
      <x:c r="G3118" s="117" t="str">
        <x:v>No</x:v>
      </x:c>
      <x:c r="H3118" s="117" t="str">
        <x:v>AutoLaunchedFlow</x:v>
      </x:c>
      <x:c r="I3118" s="118" t="n">
        <x:v>56</x:v>
      </x:c>
      <x:c r="J3118" s="117" t="str">
        <x:v>unmanaged</x:v>
      </x:c>
      <x:c r="K3118" s="123" t="b">
        <x:v>0</x:v>
      </x:c>
      <x:c r="L3118" s="117"/>
      <x:c r="M3118" s="118"/>
      <x:c r="N3118" s="120" t="n">
        <x:v>45202.60511574074</x:v>
      </x:c>
      <x:c r="O3118" s="117" t="str">
        <x:v>Delegate</x:v>
      </x:c>
      <x:c r="P3118" s="120" t="n">
        <x:v>45202.60513888889</x:v>
      </x:c>
      <x:c r="Q3118" s="117" t="str">
        <x:v>Delegate</x:v>
      </x:c>
      <x:c r="R3118" s="117" t="str">
        <x:v>TESTING: Lead Email Alert</x:v>
      </x:c>
      <x:c r="S3118" s="119"/>
    </x:row>
    <x:row r="3119" ht="30" customHeight="1">
      <x:c r="A3119" s="117" t="str">
        <x:v>TESTING_Lead_Email_Alert</x:v>
      </x:c>
      <x:c r="B3119" s="117" t="str">
        <x:v>3005b00000113C7AAI</x:v>
      </x:c>
      <x:c r="C3119" s="117" t="str">
        <x:v>3015b0000011KBKAA2</x:v>
      </x:c>
      <x:c r="D3119" s="118" t="n">
        <x:v>3</x:v>
      </x:c>
      <x:c r="E3119" s="117" t="str">
        <x:v>Obsolete</x:v>
      </x:c>
      <x:c r="F3119" s="117" t="str">
        <x:v>No</x:v>
      </x:c>
      <x:c r="G3119" s="117" t="str">
        <x:v>Yes</x:v>
      </x:c>
      <x:c r="H3119" s="117" t="str">
        <x:v>AutoLaunchedFlow</x:v>
      </x:c>
      <x:c r="I3119" s="118" t="n">
        <x:v>56</x:v>
      </x:c>
      <x:c r="J3119" s="117" t="str">
        <x:v>unmanaged</x:v>
      </x:c>
      <x:c r="K3119" s="123" t="b">
        <x:v>0</x:v>
      </x:c>
      <x:c r="L3119" s="117"/>
      <x:c r="M3119" s="118"/>
      <x:c r="N3119" s="120" t="n">
        <x:v>45202.61299768519</x:v>
      </x:c>
      <x:c r="O3119" s="117" t="str">
        <x:v>Delegate</x:v>
      </x:c>
      <x:c r="P3119" s="120" t="n">
        <x:v>45202.61515046296</x:v>
      </x:c>
      <x:c r="Q3119" s="117" t="str">
        <x:v>Delegate</x:v>
      </x:c>
      <x:c r="R3119" s="117" t="str">
        <x:v>TESTING: Lead Email Alert</x:v>
      </x:c>
      <x:c r="S3119" s="119"/>
    </x:row>
    <x:row r="3120" ht="30" customHeight="1">
      <x:c r="A3120" s="117" t="str">
        <x:v>Training_Class_Updates_Flow</x:v>
      </x:c>
      <x:c r="B3120" s="117" t="str">
        <x:v>300Ro00000ADBG1IAP</x:v>
      </x:c>
      <x:c r="C3120" s="117" t="str">
        <x:v>301Ro00000BE45SIAT</x:v>
      </x:c>
      <x:c r="D3120" s="118" t="n">
        <x:v>1</x:v>
      </x:c>
      <x:c r="E3120" s="117" t="str">
        <x:v>Obsolete</x:v>
      </x:c>
      <x:c r="F3120" s="117" t="str">
        <x:v>No</x:v>
      </x:c>
      <x:c r="G3120" s="117" t="str">
        <x:v>No</x:v>
      </x:c>
      <x:c r="H3120" s="117" t="str">
        <x:v>AutoLaunchedFlow</x:v>
      </x:c>
      <x:c r="I3120" s="118" t="n">
        <x:v>60</x:v>
      </x:c>
      <x:c r="J3120" s="117" t="str">
        <x:v>unmanaged</x:v>
      </x:c>
      <x:c r="K3120" s="123" t="b">
        <x:v>0</x:v>
      </x:c>
      <x:c r="L3120" s="117"/>
      <x:c r="M3120" s="118"/>
      <x:c r="N3120" s="120" t="n">
        <x:v>45400.88363425926</x:v>
      </x:c>
      <x:c r="O3120" s="117" t="str">
        <x:v>Jace Gentil</x:v>
      </x:c>
      <x:c r="P3120" s="120" t="n">
        <x:v>45400.88460648148</x:v>
      </x:c>
      <x:c r="Q3120" s="117" t="str">
        <x:v>Jace Gentil</x:v>
      </x:c>
      <x:c r="R3120" s="117" t="str">
        <x:v>Training Class Updates Flow</x:v>
      </x:c>
      <x:c r="S3120" s="119"/>
    </x:row>
    <x:row r="3121" ht="30" customHeight="1">
      <x:c r="A3121" s="117" t="str">
        <x:v>Training_Class_Updates_Flow</x:v>
      </x:c>
      <x:c r="B3121" s="117" t="str">
        <x:v>300Ro00000ADBG1IAP</x:v>
      </x:c>
      <x:c r="C3121" s="117" t="str">
        <x:v>301Ro00000CLP9SIAX</x:v>
      </x:c>
      <x:c r="D3121" s="118" t="n">
        <x:v>2</x:v>
      </x:c>
      <x:c r="E3121" s="117" t="str">
        <x:v>Obsolete</x:v>
      </x:c>
      <x:c r="F3121" s="117" t="str">
        <x:v>No</x:v>
      </x:c>
      <x:c r="G3121" s="117" t="str">
        <x:v>No</x:v>
      </x:c>
      <x:c r="H3121" s="117" t="str">
        <x:v>AutoLaunchedFlow</x:v>
      </x:c>
      <x:c r="I3121" s="118" t="n">
        <x:v>60</x:v>
      </x:c>
      <x:c r="J3121" s="117" t="str">
        <x:v>unmanaged</x:v>
      </x:c>
      <x:c r="K3121" s="123" t="b">
        <x:v>0</x:v>
      </x:c>
      <x:c r="L3121" s="117"/>
      <x:c r="M3121" s="118"/>
      <x:c r="N3121" s="120" t="n">
        <x:v>45419.52614583333</x:v>
      </x:c>
      <x:c r="O3121" s="117" t="str">
        <x:v>Jace Gentil</x:v>
      </x:c>
      <x:c r="P3121" s="120" t="n">
        <x:v>45419.52644675926</x:v>
      </x:c>
      <x:c r="Q3121" s="117" t="str">
        <x:v>Jace Gentil</x:v>
      </x:c>
      <x:c r="R3121" s="117" t="str">
        <x:v>Training Class Updates Flow</x:v>
      </x:c>
      <x:c r="S3121" s="119"/>
    </x:row>
    <x:row r="3122" ht="30" customHeight="1">
      <x:c r="A3122" s="117" t="str">
        <x:v>Training_Class_Updates_Flow</x:v>
      </x:c>
      <x:c r="B3122" s="117" t="str">
        <x:v>300Ro00000ADBG1IAP</x:v>
      </x:c>
      <x:c r="C3122" s="117" t="str">
        <x:v>301Ro00000CN9zvIAD</x:v>
      </x:c>
      <x:c r="D3122" s="118" t="n">
        <x:v>3</x:v>
      </x:c>
      <x:c r="E3122" s="117" t="str">
        <x:v>Obsolete</x:v>
      </x:c>
      <x:c r="F3122" s="117" t="str">
        <x:v>No</x:v>
      </x:c>
      <x:c r="G3122" s="117" t="str">
        <x:v>No</x:v>
      </x:c>
      <x:c r="H3122" s="117" t="str">
        <x:v>AutoLaunchedFlow</x:v>
      </x:c>
      <x:c r="I3122" s="118" t="n">
        <x:v>60</x:v>
      </x:c>
      <x:c r="J3122" s="117" t="str">
        <x:v>unmanaged</x:v>
      </x:c>
      <x:c r="K3122" s="123" t="b">
        <x:v>0</x:v>
      </x:c>
      <x:c r="L3122" s="117"/>
      <x:c r="M3122" s="118"/>
      <x:c r="N3122" s="120" t="n">
        <x:v>45419.750543981485</x:v>
      </x:c>
      <x:c r="O3122" s="117" t="str">
        <x:v>Jace Gentil</x:v>
      </x:c>
      <x:c r="P3122" s="120" t="n">
        <x:v>45419.75059027778</x:v>
      </x:c>
      <x:c r="Q3122" s="117" t="str">
        <x:v>Jace Gentil</x:v>
      </x:c>
      <x:c r="R3122" s="117" t="str">
        <x:v>Training Class Updates Flow</x:v>
      </x:c>
      <x:c r="S3122" s="119"/>
    </x:row>
    <x:row r="3123" ht="30" customHeight="1">
      <x:c r="A3123" s="117" t="str">
        <x:v>Training_Class_Updates_Flow</x:v>
      </x:c>
      <x:c r="B3123" s="117" t="str">
        <x:v>300Ro00000ADBG1IAP</x:v>
      </x:c>
      <x:c r="C3123" s="117" t="str">
        <x:v>301Ro00000GydoUIAR</x:v>
      </x:c>
      <x:c r="D3123" s="118" t="n">
        <x:v>4</x:v>
      </x:c>
      <x:c r="E3123" s="117" t="str">
        <x:v>Active</x:v>
      </x:c>
      <x:c r="F3123" s="117" t="str">
        <x:v>Yes</x:v>
      </x:c>
      <x:c r="G3123" s="117" t="str">
        <x:v>Yes</x:v>
      </x:c>
      <x:c r="H3123" s="117" t="str">
        <x:v>AutoLaunchedFlow</x:v>
      </x:c>
      <x:c r="I3123" s="118" t="n">
        <x:v>60</x:v>
      </x:c>
      <x:c r="J3123" s="117" t="str">
        <x:v>unmanaged</x:v>
      </x:c>
      <x:c r="K3123" s="123" t="b">
        <x:v>0</x:v>
      </x:c>
      <x:c r="L3123" s="117"/>
      <x:c r="M3123" s="118"/>
      <x:c r="N3123" s="120" t="n">
        <x:v>45489.597233796296</x:v>
      </x:c>
      <x:c r="O3123" s="117" t="str">
        <x:v>Jace Gentil</x:v>
      </x:c>
      <x:c r="P3123" s="120" t="n">
        <x:v>45489.597280092596</x:v>
      </x:c>
      <x:c r="Q3123" s="117" t="str">
        <x:v>Jace Gentil</x:v>
      </x:c>
      <x:c r="R3123" s="117" t="str">
        <x:v>Training Class Updates Flow</x:v>
      </x:c>
      <x:c r="S3123" s="119"/>
    </x:row>
    <x:row r="3124" ht="30" customHeight="1">
      <x:c r="A3124" s="117" t="str">
        <x:v>Training_Item_Auotmations</x:v>
      </x:c>
      <x:c r="B3124" s="117" t="str">
        <x:v>300Ro00000iQYcbIAG</x:v>
      </x:c>
      <x:c r="C3124" s="117" t="str">
        <x:v>301Ro00000pRa0PIAS</x:v>
      </x:c>
      <x:c r="D3124" s="118" t="n">
        <x:v>1</x:v>
      </x:c>
      <x:c r="E3124" s="117" t="str">
        <x:v>Obsolete</x:v>
      </x:c>
      <x:c r="F3124" s="117" t="str">
        <x:v>No</x:v>
      </x:c>
      <x:c r="G3124" s="117" t="str">
        <x:v>No</x:v>
      </x:c>
      <x:c r="H3124" s="117" t="str">
        <x:v>AutoLaunchedFlow</x:v>
      </x:c>
      <x:c r="I3124" s="118" t="n">
        <x:v>65</x:v>
      </x:c>
      <x:c r="J3124" s="117" t="str">
        <x:v>unmanaged</x:v>
      </x:c>
      <x:c r="K3124" s="123" t="b">
        <x:v>0</x:v>
      </x:c>
      <x:c r="L3124" s="117"/>
      <x:c r="M3124" s="118"/>
      <x:c r="N3124" s="120" t="n">
        <x:v>45945.39770833333</x:v>
      </x:c>
      <x:c r="O3124" s="117" t="str">
        <x:v>Sacha Pearce</x:v>
      </x:c>
      <x:c r="P3124" s="120" t="n">
        <x:v>45945.40454861111</x:v>
      </x:c>
      <x:c r="Q3124" s="117" t="str">
        <x:v>Sacha Pearce</x:v>
      </x:c>
      <x:c r="R3124" s="117" t="str">
        <x:v>Training Item Auotmations</x:v>
      </x:c>
      <x:c r="S3124" s="119"/>
    </x:row>
    <x:row r="3125" ht="30" customHeight="1">
      <x:c r="A3125" s="117" t="str">
        <x:v>Training_Item_Auotmations</x:v>
      </x:c>
      <x:c r="B3125" s="117" t="str">
        <x:v>300Ro00000iQYcbIAG</x:v>
      </x:c>
      <x:c r="C3125" s="117" t="str">
        <x:v>301Ro00000pRjgSIAS</x:v>
      </x:c>
      <x:c r="D3125" s="118" t="n">
        <x:v>2</x:v>
      </x:c>
      <x:c r="E3125" s="117" t="str">
        <x:v>Obsolete</x:v>
      </x:c>
      <x:c r="F3125" s="117" t="str">
        <x:v>No</x:v>
      </x:c>
      <x:c r="G3125" s="117" t="str">
        <x:v>No</x:v>
      </x:c>
      <x:c r="H3125" s="117" t="str">
        <x:v>AutoLaunchedFlow</x:v>
      </x:c>
      <x:c r="I3125" s="118" t="n">
        <x:v>65</x:v>
      </x:c>
      <x:c r="J3125" s="117" t="str">
        <x:v>unmanaged</x:v>
      </x:c>
      <x:c r="K3125" s="123" t="b">
        <x:v>0</x:v>
      </x:c>
      <x:c r="L3125" s="117"/>
      <x:c r="M3125" s="118"/>
      <x:c r="N3125" s="120" t="n">
        <x:v>45945.568090277775</x:v>
      </x:c>
      <x:c r="O3125" s="117" t="str">
        <x:v>Sacha Pearce</x:v>
      </x:c>
      <x:c r="P3125" s="120" t="n">
        <x:v>45945.56820601852</x:v>
      </x:c>
      <x:c r="Q3125" s="117" t="str">
        <x:v>Sacha Pearce</x:v>
      </x:c>
      <x:c r="R3125" s="117" t="str">
        <x:v>Training Item Auotmations</x:v>
      </x:c>
      <x:c r="S3125" s="119" t="str">
        <x:v>15/10/2025 - SP - Adjust Department not equal to Quality in the Update to Visible for All Users and Approved By Update Records element</x:v>
      </x:c>
    </x:row>
    <x:row r="3126" ht="30" customHeight="1">
      <x:c r="A3126" s="117" t="str">
        <x:v>Training_Item_Auotmations</x:v>
      </x:c>
      <x:c r="B3126" s="117" t="str">
        <x:v>300Ro00000iQYcbIAG</x:v>
      </x:c>
      <x:c r="C3126" s="117" t="str">
        <x:v>301Ro00000pRxrdIAC</x:v>
      </x:c>
      <x:c r="D3126" s="118" t="n">
        <x:v>3</x:v>
      </x:c>
      <x:c r="E3126" s="117" t="str">
        <x:v>Active</x:v>
      </x:c>
      <x:c r="F3126" s="117" t="str">
        <x:v>Yes</x:v>
      </x:c>
      <x:c r="G3126" s="117" t="str">
        <x:v>Yes</x:v>
      </x:c>
      <x:c r="H3126" s="117" t="str">
        <x:v>AutoLaunchedFlow</x:v>
      </x:c>
      <x:c r="I3126" s="118" t="n">
        <x:v>65</x:v>
      </x:c>
      <x:c r="J3126" s="117" t="str">
        <x:v>unmanaged</x:v>
      </x:c>
      <x:c r="K3126" s="123" t="b">
        <x:v>0</x:v>
      </x:c>
      <x:c r="L3126" s="117"/>
      <x:c r="M3126" s="118"/>
      <x:c r="N3126" s="120" t="n">
        <x:v>45945.593773148146</x:v>
      </x:c>
      <x:c r="O3126" s="117" t="str">
        <x:v>Sacha Pearce</x:v>
      </x:c>
      <x:c r="P3126" s="120" t="n">
        <x:v>45945.593831018516</x:v>
      </x:c>
      <x:c r="Q3126" s="117" t="str">
        <x:v>Sacha Pearce</x:v>
      </x:c>
      <x:c r="R3126" s="117" t="str">
        <x:v>Training Item Auotmations</x:v>
      </x:c>
      <x:c r="S3126" s="119" t="str">
        <x:v>15/10/2025 - SP - Adjust Department not equal to Quality in the Update to Visible for All Users and Approved By Update Records element
15/10/2025 - SP - Adding Published Date to be set by the Running Flow Interview on approval routes</x:v>
      </x:c>
    </x:row>
    <x:row r="3127" ht="30" customHeight="1">
      <x:c r="A3127" s="117" t="str">
        <x:v>Training_Item_Create_Document_Review_Screen_Flow</x:v>
      </x:c>
      <x:c r="B3127" s="117" t="str">
        <x:v>300Ro00000vlpXjIAI</x:v>
      </x:c>
      <x:c r="C3127" s="117" t="str">
        <x:v>301Ro000013n82DIAQ</x:v>
      </x:c>
      <x:c r="D3127" s="118" t="n">
        <x:v>1</x:v>
      </x:c>
      <x:c r="E3127" s="117" t="str">
        <x:v>Obsolete</x:v>
      </x:c>
      <x:c r="F3127" s="117" t="str">
        <x:v>No</x:v>
      </x:c>
      <x:c r="G3127" s="117" t="str">
        <x:v>No</x:v>
      </x:c>
      <x:c r="H3127" s="117" t="str">
        <x:v>Flow</x:v>
      </x:c>
      <x:c r="I3127" s="118" t="n">
        <x:v>66</x:v>
      </x:c>
      <x:c r="J3127" s="117" t="str">
        <x:v>unmanaged</x:v>
      </x:c>
      <x:c r="K3127" s="123" t="b">
        <x:v>0</x:v>
      </x:c>
      <x:c r="L3127" s="117"/>
      <x:c r="M3127" s="118"/>
      <x:c r="N3127" s="120" t="n">
        <x:v>46134.36015046296</x:v>
      </x:c>
      <x:c r="O3127" s="117" t="str">
        <x:v>Sacha Pearce</x:v>
      </x:c>
      <x:c r="P3127" s="120" t="n">
        <x:v>46139.39554398148</x:v>
      </x:c>
      <x:c r="Q3127" s="117" t="str">
        <x:v>Sacha Pearce</x:v>
      </x:c>
      <x:c r="R3127" s="117" t="str">
        <x:v>Training Item - Create Document Review - Screen Flow</x:v>
      </x:c>
      <x:c r="S3127" s="119"/>
    </x:row>
    <x:row r="3128" ht="30" customHeight="1">
      <x:c r="A3128" s="117" t="str">
        <x:v>Training_Item_Create_Document_Review_Screen_Flow</x:v>
      </x:c>
      <x:c r="B3128" s="117" t="str">
        <x:v>300Ro00000vlpXjIAI</x:v>
      </x:c>
      <x:c r="C3128" s="117" t="str">
        <x:v>301Ro0000149upnIAA</x:v>
      </x:c>
      <x:c r="D3128" s="118" t="n">
        <x:v>2</x:v>
      </x:c>
      <x:c r="E3128" s="117" t="str">
        <x:v>Obsolete</x:v>
      </x:c>
      <x:c r="F3128" s="117" t="str">
        <x:v>No</x:v>
      </x:c>
      <x:c r="G3128" s="117" t="str">
        <x:v>No</x:v>
      </x:c>
      <x:c r="H3128" s="117" t="str">
        <x:v>Flow</x:v>
      </x:c>
      <x:c r="I3128" s="118" t="n">
        <x:v>66</x:v>
      </x:c>
      <x:c r="J3128" s="117" t="str">
        <x:v>unmanaged</x:v>
      </x:c>
      <x:c r="K3128" s="123" t="b">
        <x:v>0</x:v>
      </x:c>
      <x:c r="L3128" s="117"/>
      <x:c r="M3128" s="118"/>
      <x:c r="N3128" s="120" t="n">
        <x:v>46139.42340277778</x:v>
      </x:c>
      <x:c r="O3128" s="117" t="str">
        <x:v>Sacha Pearce</x:v>
      </x:c>
      <x:c r="P3128" s="120" t="n">
        <x:v>46139.42390046296</x:v>
      </x:c>
      <x:c r="Q3128" s="117" t="str">
        <x:v>Sacha Pearce</x:v>
      </x:c>
      <x:c r="R3128" s="117" t="str">
        <x:v>Training Item - Create Document Review - Screen Flow</x:v>
      </x:c>
      <x:c r="S3128" s="119"/>
    </x:row>
    <x:row r="3129" ht="30" customHeight="1">
      <x:c r="A3129" s="117" t="str">
        <x:v>Training_Item_Create_Document_Review_Screen_Flow</x:v>
      </x:c>
      <x:c r="B3129" s="117" t="str">
        <x:v>300Ro00000vlpXjIAI</x:v>
      </x:c>
      <x:c r="C3129" s="117" t="str">
        <x:v>301Ro000014AYKBIA4</x:v>
      </x:c>
      <x:c r="D3129" s="118" t="n">
        <x:v>3</x:v>
      </x:c>
      <x:c r="E3129" s="117" t="str">
        <x:v>Draft</x:v>
      </x:c>
      <x:c r="F3129" s="117" t="str">
        <x:v>No</x:v>
      </x:c>
      <x:c r="G3129" s="117" t="str">
        <x:v>No</x:v>
      </x:c>
      <x:c r="H3129" s="117" t="str">
        <x:v>Flow</x:v>
      </x:c>
      <x:c r="I3129" s="118" t="n">
        <x:v>66</x:v>
      </x:c>
      <x:c r="J3129" s="117" t="str">
        <x:v>unmanaged</x:v>
      </x:c>
      <x:c r="K3129" s="123" t="b">
        <x:v>0</x:v>
      </x:c>
      <x:c r="L3129" s="117"/>
      <x:c r="M3129" s="118"/>
      <x:c r="N3129" s="120" t="n">
        <x:v>46139.52563657407</x:v>
      </x:c>
      <x:c r="O3129" s="117" t="str">
        <x:v>Sacha Pearce</x:v>
      </x:c>
      <x:c r="P3129" s="120" t="n">
        <x:v>46139.525659722225</x:v>
      </x:c>
      <x:c r="Q3129" s="117" t="str">
        <x:v>Sacha Pearce</x:v>
      </x:c>
      <x:c r="R3129" s="117" t="str">
        <x:v>Training Item - Create Document Review - Screen Flow</x:v>
      </x:c>
      <x:c r="S3129" s="119"/>
    </x:row>
    <x:row r="3130" ht="30" customHeight="1">
      <x:c r="A3130" s="117" t="str">
        <x:v>Training_Item_Create_Document_Review_Screen_Flow</x:v>
      </x:c>
      <x:c r="B3130" s="117" t="str">
        <x:v>300Ro00000vlpXjIAI</x:v>
      </x:c>
      <x:c r="C3130" s="117" t="str">
        <x:v>301Ro000014AHzWIAW</x:v>
      </x:c>
      <x:c r="D3130" s="118" t="n">
        <x:v>4</x:v>
      </x:c>
      <x:c r="E3130" s="117" t="str">
        <x:v>Obsolete</x:v>
      </x:c>
      <x:c r="F3130" s="117" t="str">
        <x:v>No</x:v>
      </x:c>
      <x:c r="G3130" s="117" t="str">
        <x:v>No</x:v>
      </x:c>
      <x:c r="H3130" s="117" t="str">
        <x:v>Flow</x:v>
      </x:c>
      <x:c r="I3130" s="118" t="n">
        <x:v>66</x:v>
      </x:c>
      <x:c r="J3130" s="117" t="str">
        <x:v>unmanaged</x:v>
      </x:c>
      <x:c r="K3130" s="123" t="b">
        <x:v>0</x:v>
      </x:c>
      <x:c r="L3130" s="117"/>
      <x:c r="M3130" s="118"/>
      <x:c r="N3130" s="120" t="n">
        <x:v>46139.55447916667</x:v>
      </x:c>
      <x:c r="O3130" s="117" t="str">
        <x:v>Sacha Pearce</x:v>
      </x:c>
      <x:c r="P3130" s="120" t="n">
        <x:v>46139.57165509259</x:v>
      </x:c>
      <x:c r="Q3130" s="117" t="str">
        <x:v>Sacha Pearce</x:v>
      </x:c>
      <x:c r="R3130" s="117" t="str">
        <x:v>Training Item - Create Document Review - Screen Flow</x:v>
      </x:c>
      <x:c r="S3130" s="119"/>
    </x:row>
    <x:row r="3131" ht="30" customHeight="1">
      <x:c r="A3131" s="117" t="str">
        <x:v>Training_Item_Create_Document_Review_Screen_Flow</x:v>
      </x:c>
      <x:c r="B3131" s="117" t="str">
        <x:v>300Ro00000vlpXjIAI</x:v>
      </x:c>
      <x:c r="C3131" s="117" t="str">
        <x:v>301Ro000014Ab8iIAC</x:v>
      </x:c>
      <x:c r="D3131" s="118" t="n">
        <x:v>5</x:v>
      </x:c>
      <x:c r="E3131" s="117" t="str">
        <x:v>Obsolete</x:v>
      </x:c>
      <x:c r="F3131" s="117" t="str">
        <x:v>No</x:v>
      </x:c>
      <x:c r="G3131" s="117" t="str">
        <x:v>No</x:v>
      </x:c>
      <x:c r="H3131" s="117" t="str">
        <x:v>Flow</x:v>
      </x:c>
      <x:c r="I3131" s="118" t="n">
        <x:v>66</x:v>
      </x:c>
      <x:c r="J3131" s="117" t="str">
        <x:v>unmanaged</x:v>
      </x:c>
      <x:c r="K3131" s="123" t="b">
        <x:v>0</x:v>
      </x:c>
      <x:c r="L3131" s="117"/>
      <x:c r="M3131" s="118"/>
      <x:c r="N3131" s="120" t="n">
        <x:v>46139.57945601852</x:v>
      </x:c>
      <x:c r="O3131" s="117" t="str">
        <x:v>Sacha Pearce</x:v>
      </x:c>
      <x:c r="P3131" s="120" t="n">
        <x:v>46139.579513888886</x:v>
      </x:c>
      <x:c r="Q3131" s="117" t="str">
        <x:v>Sacha Pearce</x:v>
      </x:c>
      <x:c r="R3131" s="117" t="str">
        <x:v>Training Item - Create Document Review - Screen Flow</x:v>
      </x:c>
      <x:c r="S3131" s="119"/>
    </x:row>
    <x:row r="3132" ht="30" customHeight="1">
      <x:c r="A3132" s="117" t="str">
        <x:v>Training_Item_Create_Document_Review_Screen_Flow</x:v>
      </x:c>
      <x:c r="B3132" s="117" t="str">
        <x:v>300Ro00000vlpXjIAI</x:v>
      </x:c>
      <x:c r="C3132" s="117" t="str">
        <x:v>301Ro000014AsQwIAK</x:v>
      </x:c>
      <x:c r="D3132" s="118" t="n">
        <x:v>6</x:v>
      </x:c>
      <x:c r="E3132" s="117" t="str">
        <x:v>Active</x:v>
      </x:c>
      <x:c r="F3132" s="117" t="str">
        <x:v>Yes</x:v>
      </x:c>
      <x:c r="G3132" s="117" t="str">
        <x:v>Yes</x:v>
      </x:c>
      <x:c r="H3132" s="117" t="str">
        <x:v>Flow</x:v>
      </x:c>
      <x:c r="I3132" s="118" t="n">
        <x:v>66</x:v>
      </x:c>
      <x:c r="J3132" s="117" t="str">
        <x:v>unmanaged</x:v>
      </x:c>
      <x:c r="K3132" s="123" t="b">
        <x:v>0</x:v>
      </x:c>
      <x:c r="L3132" s="117"/>
      <x:c r="M3132" s="118"/>
      <x:c r="N3132" s="120" t="n">
        <x:v>46139.581608796296</x:v>
      </x:c>
      <x:c r="O3132" s="117" t="str">
        <x:v>Sacha Pearce</x:v>
      </x:c>
      <x:c r="P3132" s="120" t="n">
        <x:v>46139.58167824074</x:v>
      </x:c>
      <x:c r="Q3132" s="117" t="str">
        <x:v>Sacha Pearce</x:v>
      </x:c>
      <x:c r="R3132" s="117" t="str">
        <x:v>Training Item - Create Document Review - Screen Flow</x:v>
      </x:c>
      <x:c r="S3132" s="119"/>
    </x:row>
    <x:row r="3133" ht="30" customHeight="1">
      <x:c r="A3133" s="117" t="str">
        <x:v>Travel_Start_Date_Time</x:v>
      </x:c>
      <x:c r="B3133" s="117" t="str">
        <x:v>300Ro00000Pz0kvIAB</x:v>
      </x:c>
      <x:c r="C3133" s="117" t="str">
        <x:v>301Ro00000Sd0UvIAJ</x:v>
      </x:c>
      <x:c r="D3133" s="118" t="n">
        <x:v>1</x:v>
      </x:c>
      <x:c r="E3133" s="117" t="str">
        <x:v>Obsolete</x:v>
      </x:c>
      <x:c r="F3133" s="117" t="str">
        <x:v>No</x:v>
      </x:c>
      <x:c r="G3133" s="117" t="str">
        <x:v>No</x:v>
      </x:c>
      <x:c r="H3133" s="117" t="str">
        <x:v>FieldServiceMobile</x:v>
      </x:c>
      <x:c r="I3133" s="118"/>
      <x:c r="J3133" s="117" t="str">
        <x:v>unmanaged</x:v>
      </x:c>
      <x:c r="K3133" s="123" t="b">
        <x:v>0</x:v>
      </x:c>
      <x:c r="L3133" s="117"/>
      <x:c r="M3133" s="118"/>
      <x:c r="N3133" s="120" t="n">
        <x:v>45680.216828703706</x:v>
      </x:c>
      <x:c r="O3133" s="117" t="str">
        <x:v>Delegate</x:v>
      </x:c>
      <x:c r="P3133" s="120" t="n">
        <x:v>45680.216828703706</x:v>
      </x:c>
      <x:c r="Q3133" s="117" t="str">
        <x:v>Delegate</x:v>
      </x:c>
      <x:c r="R3133" s="117" t="str">
        <x:v>Travel Start Date/Time</x:v>
      </x:c>
      <x:c r="S3133" s="119"/>
    </x:row>
    <x:row r="3134" ht="30" customHeight="1">
      <x:c r="A3134" s="117" t="str">
        <x:v>Travel_Start_Date_Time</x:v>
      </x:c>
      <x:c r="B3134" s="117" t="str">
        <x:v>300Ro00000Pz0kvIAB</x:v>
      </x:c>
      <x:c r="C3134" s="117" t="str">
        <x:v>301Ro00000VuYWfIAN</x:v>
      </x:c>
      <x:c r="D3134" s="118" t="n">
        <x:v>2</x:v>
      </x:c>
      <x:c r="E3134" s="117" t="str">
        <x:v>Active</x:v>
      </x:c>
      <x:c r="F3134" s="117" t="str">
        <x:v>Yes</x:v>
      </x:c>
      <x:c r="G3134" s="117" t="str">
        <x:v>Yes</x:v>
      </x:c>
      <x:c r="H3134" s="117" t="str">
        <x:v>FieldServiceMobile</x:v>
      </x:c>
      <x:c r="I3134" s="118"/>
      <x:c r="J3134" s="117" t="str">
        <x:v>unmanaged</x:v>
      </x:c>
      <x:c r="K3134" s="123" t="b">
        <x:v>0</x:v>
      </x:c>
      <x:c r="L3134" s="117"/>
      <x:c r="M3134" s="118"/>
      <x:c r="N3134" s="120" t="n">
        <x:v>45735.543958333335</x:v>
      </x:c>
      <x:c r="O3134" s="117" t="str">
        <x:v>Delegate</x:v>
      </x:c>
      <x:c r="P3134" s="120" t="n">
        <x:v>45735.544016203705</x:v>
      </x:c>
      <x:c r="Q3134" s="117" t="str">
        <x:v>Delegate</x:v>
      </x:c>
      <x:c r="R3134" s="117" t="str">
        <x:v>Travel Start Date/Time</x:v>
      </x:c>
      <x:c r="S3134" s="119" t="str">
        <x:v>03/19/2025 (BW) - Updated this flow to set the work order last completed work step value to started travel</x:v>
      </x:c>
    </x:row>
    <x:row r="3135" ht="30" customHeight="1">
      <x:c r="A3135" s="117" t="str">
        <x:v>UK_Create_Removal_Charge_Screenflow</x:v>
      </x:c>
      <x:c r="B3135" s="117" t="str">
        <x:v>3005b000000H3dfAAC</x:v>
      </x:c>
      <x:c r="C3135" s="117" t="str">
        <x:v>3015b000000EImTAAW</x:v>
      </x:c>
      <x:c r="D3135" s="118" t="n">
        <x:v>1</x:v>
      </x:c>
      <x:c r="E3135" s="117" t="str">
        <x:v>Obsolete</x:v>
      </x:c>
      <x:c r="F3135" s="117" t="str">
        <x:v>No</x:v>
      </x:c>
      <x:c r="G3135" s="117" t="str">
        <x:v>No</x:v>
      </x:c>
      <x:c r="H3135" s="117" t="str">
        <x:v>Flow</x:v>
      </x:c>
      <x:c r="I3135" s="118" t="n">
        <x:v>54</x:v>
      </x:c>
      <x:c r="J3135" s="117" t="str">
        <x:v>unmanaged</x:v>
      </x:c>
      <x:c r="K3135" s="123" t="b">
        <x:v>0</x:v>
      </x:c>
      <x:c r="L3135" s="117"/>
      <x:c r="M3135" s="118"/>
      <x:c r="N3135" s="120" t="n">
        <x:v>44655.630740740744</x:v>
      </x:c>
      <x:c r="O3135" s="117" t="str">
        <x:v>Jace Gentil</x:v>
      </x:c>
      <x:c r="P3135" s="120" t="n">
        <x:v>44655.63081018518</x:v>
      </x:c>
      <x:c r="Q3135" s="117" t="str">
        <x:v>Jace Gentil</x:v>
      </x:c>
      <x:c r="R3135" s="117" t="str">
        <x:v>UK - Create Removal Charge Screenflow</x:v>
      </x:c>
      <x:c r="S3135" s="119"/>
    </x:row>
    <x:row r="3136" ht="30" customHeight="1">
      <x:c r="A3136" s="117" t="str">
        <x:v>UK_Create_Removal_Charge_Screenflow</x:v>
      </x:c>
      <x:c r="B3136" s="117" t="str">
        <x:v>3005b000000H3dfAAC</x:v>
      </x:c>
      <x:c r="C3136" s="117" t="str">
        <x:v>3015b000000EImdAAG</x:v>
      </x:c>
      <x:c r="D3136" s="118" t="n">
        <x:v>2</x:v>
      </x:c>
      <x:c r="E3136" s="117" t="str">
        <x:v>Obsolete</x:v>
      </x:c>
      <x:c r="F3136" s="117" t="str">
        <x:v>No</x:v>
      </x:c>
      <x:c r="G3136" s="117" t="str">
        <x:v>No</x:v>
      </x:c>
      <x:c r="H3136" s="117" t="str">
        <x:v>Flow</x:v>
      </x:c>
      <x:c r="I3136" s="118" t="n">
        <x:v>54</x:v>
      </x:c>
      <x:c r="J3136" s="117" t="str">
        <x:v>unmanaged</x:v>
      </x:c>
      <x:c r="K3136" s="123" t="b">
        <x:v>0</x:v>
      </x:c>
      <x:c r="L3136" s="117"/>
      <x:c r="M3136" s="118"/>
      <x:c r="N3136" s="120" t="n">
        <x:v>44655.66607638889</x:v>
      </x:c>
      <x:c r="O3136" s="117" t="str">
        <x:v>Jace Gentil</x:v>
      </x:c>
      <x:c r="P3136" s="120" t="n">
        <x:v>44655.66614583333</x:v>
      </x:c>
      <x:c r="Q3136" s="117" t="str">
        <x:v>Jace Gentil</x:v>
      </x:c>
      <x:c r="R3136" s="117" t="str">
        <x:v>UK - Create Removal Charge Screenflow</x:v>
      </x:c>
      <x:c r="S3136" s="119"/>
    </x:row>
    <x:row r="3137" ht="30" customHeight="1">
      <x:c r="A3137" s="117" t="str">
        <x:v>UK_Create_Removal_Charge_Screenflow</x:v>
      </x:c>
      <x:c r="B3137" s="117" t="str">
        <x:v>3005b000000H3dfAAC</x:v>
      </x:c>
      <x:c r="C3137" s="117" t="str">
        <x:v>3015b000000EIn2AAG</x:v>
      </x:c>
      <x:c r="D3137" s="118" t="n">
        <x:v>3</x:v>
      </x:c>
      <x:c r="E3137" s="117" t="str">
        <x:v>Obsolete</x:v>
      </x:c>
      <x:c r="F3137" s="117" t="str">
        <x:v>No</x:v>
      </x:c>
      <x:c r="G3137" s="117" t="str">
        <x:v>No</x:v>
      </x:c>
      <x:c r="H3137" s="117" t="str">
        <x:v>Flow</x:v>
      </x:c>
      <x:c r="I3137" s="118" t="n">
        <x:v>54</x:v>
      </x:c>
      <x:c r="J3137" s="117" t="str">
        <x:v>unmanaged</x:v>
      </x:c>
      <x:c r="K3137" s="123" t="b">
        <x:v>0</x:v>
      </x:c>
      <x:c r="L3137" s="117"/>
      <x:c r="M3137" s="118"/>
      <x:c r="N3137" s="120" t="n">
        <x:v>44655.67519675926</x:v>
      </x:c>
      <x:c r="O3137" s="117" t="str">
        <x:v>Jace Gentil</x:v>
      </x:c>
      <x:c r="P3137" s="120" t="n">
        <x:v>44655.6781712963</x:v>
      </x:c>
      <x:c r="Q3137" s="117" t="str">
        <x:v>Jace Gentil</x:v>
      </x:c>
      <x:c r="R3137" s="117" t="str">
        <x:v>UK - Create Removal Charge Screenflow</x:v>
      </x:c>
      <x:c r="S3137" s="119"/>
    </x:row>
    <x:row r="3138" ht="30" customHeight="1">
      <x:c r="A3138" s="117" t="str">
        <x:v>UK_Create_Removal_Charge_Screenflow</x:v>
      </x:c>
      <x:c r="B3138" s="117" t="str">
        <x:v>3005b000000H3dfAAC</x:v>
      </x:c>
      <x:c r="C3138" s="117" t="str">
        <x:v>3015b000000EIn7AAG</x:v>
      </x:c>
      <x:c r="D3138" s="118" t="n">
        <x:v>4</x:v>
      </x:c>
      <x:c r="E3138" s="117" t="str">
        <x:v>Obsolete</x:v>
      </x:c>
      <x:c r="F3138" s="117" t="str">
        <x:v>No</x:v>
      </x:c>
      <x:c r="G3138" s="117" t="str">
        <x:v>No</x:v>
      </x:c>
      <x:c r="H3138" s="117" t="str">
        <x:v>Flow</x:v>
      </x:c>
      <x:c r="I3138" s="118" t="n">
        <x:v>54</x:v>
      </x:c>
      <x:c r="J3138" s="117" t="str">
        <x:v>unmanaged</x:v>
      </x:c>
      <x:c r="K3138" s="123" t="b">
        <x:v>0</x:v>
      </x:c>
      <x:c r="L3138" s="117"/>
      <x:c r="M3138" s="118"/>
      <x:c r="N3138" s="120" t="n">
        <x:v>44655.68071759259</x:v>
      </x:c>
      <x:c r="O3138" s="117" t="str">
        <x:v>Jace Gentil</x:v>
      </x:c>
      <x:c r="P3138" s="120" t="n">
        <x:v>44655.680752314816</x:v>
      </x:c>
      <x:c r="Q3138" s="117" t="str">
        <x:v>Jace Gentil</x:v>
      </x:c>
      <x:c r="R3138" s="117" t="str">
        <x:v>UK - Create Removal Charge Screenflow</x:v>
      </x:c>
      <x:c r="S3138" s="119"/>
    </x:row>
    <x:row r="3139" ht="30" customHeight="1">
      <x:c r="A3139" s="117" t="str">
        <x:v>UK_Create_Removal_Charge_Screenflow</x:v>
      </x:c>
      <x:c r="B3139" s="117" t="str">
        <x:v>3005b000000H3dfAAC</x:v>
      </x:c>
      <x:c r="C3139" s="117" t="str">
        <x:v>3015b000000EInbAAG</x:v>
      </x:c>
      <x:c r="D3139" s="118" t="n">
        <x:v>5</x:v>
      </x:c>
      <x:c r="E3139" s="117" t="str">
        <x:v>Obsolete</x:v>
      </x:c>
      <x:c r="F3139" s="117" t="str">
        <x:v>No</x:v>
      </x:c>
      <x:c r="G3139" s="117" t="str">
        <x:v>No</x:v>
      </x:c>
      <x:c r="H3139" s="117" t="str">
        <x:v>Flow</x:v>
      </x:c>
      <x:c r="I3139" s="118" t="n">
        <x:v>54</x:v>
      </x:c>
      <x:c r="J3139" s="117" t="str">
        <x:v>unmanaged</x:v>
      </x:c>
      <x:c r="K3139" s="123" t="b">
        <x:v>0</x:v>
      </x:c>
      <x:c r="L3139" s="117"/>
      <x:c r="M3139" s="118"/>
      <x:c r="N3139" s="120" t="n">
        <x:v>44655.71396990741</x:v>
      </x:c>
      <x:c r="O3139" s="117" t="str">
        <x:v>Jace Gentil</x:v>
      </x:c>
      <x:c r="P3139" s="120" t="n">
        <x:v>44655.714004629626</x:v>
      </x:c>
      <x:c r="Q3139" s="117" t="str">
        <x:v>Jace Gentil</x:v>
      </x:c>
      <x:c r="R3139" s="117" t="str">
        <x:v>UK - Create Removal Charge Screenflow</x:v>
      </x:c>
      <x:c r="S3139" s="119"/>
    </x:row>
    <x:row r="3140" ht="30" customHeight="1">
      <x:c r="A3140" s="117" t="str">
        <x:v>UK_Create_Removal_Charge_Screenflow</x:v>
      </x:c>
      <x:c r="B3140" s="117" t="str">
        <x:v>3005b000000H3dfAAC</x:v>
      </x:c>
      <x:c r="C3140" s="117" t="str">
        <x:v>3015b000000EInqAAG</x:v>
      </x:c>
      <x:c r="D3140" s="118" t="n">
        <x:v>6</x:v>
      </x:c>
      <x:c r="E3140" s="117" t="str">
        <x:v>Obsolete</x:v>
      </x:c>
      <x:c r="F3140" s="117" t="str">
        <x:v>No</x:v>
      </x:c>
      <x:c r="G3140" s="117" t="str">
        <x:v>No</x:v>
      </x:c>
      <x:c r="H3140" s="117" t="str">
        <x:v>Flow</x:v>
      </x:c>
      <x:c r="I3140" s="118" t="n">
        <x:v>54</x:v>
      </x:c>
      <x:c r="J3140" s="117" t="str">
        <x:v>unmanaged</x:v>
      </x:c>
      <x:c r="K3140" s="123" t="b">
        <x:v>0</x:v>
      </x:c>
      <x:c r="L3140" s="117"/>
      <x:c r="M3140" s="118"/>
      <x:c r="N3140" s="120" t="n">
        <x:v>44655.828877314816</x:v>
      </x:c>
      <x:c r="O3140" s="117" t="str">
        <x:v>Jace Gentil</x:v>
      </x:c>
      <x:c r="P3140" s="120" t="n">
        <x:v>44655.82894675926</x:v>
      </x:c>
      <x:c r="Q3140" s="117" t="str">
        <x:v>Jace Gentil</x:v>
      </x:c>
      <x:c r="R3140" s="117" t="str">
        <x:v>UK - Create Removal Charge Screenflow</x:v>
      </x:c>
      <x:c r="S3140" s="119"/>
    </x:row>
    <x:row r="3141" ht="30" customHeight="1">
      <x:c r="A3141" s="117" t="str">
        <x:v>UK_Create_Removal_Charge_Screenflow</x:v>
      </x:c>
      <x:c r="B3141" s="117" t="str">
        <x:v>3005b000000H3dfAAC</x:v>
      </x:c>
      <x:c r="C3141" s="117" t="str">
        <x:v>3015b000000EIoAAAW</x:v>
      </x:c>
      <x:c r="D3141" s="118" t="n">
        <x:v>7</x:v>
      </x:c>
      <x:c r="E3141" s="117" t="str">
        <x:v>Obsolete</x:v>
      </x:c>
      <x:c r="F3141" s="117" t="str">
        <x:v>No</x:v>
      </x:c>
      <x:c r="G3141" s="117" t="str">
        <x:v>No</x:v>
      </x:c>
      <x:c r="H3141" s="117" t="str">
        <x:v>Flow</x:v>
      </x:c>
      <x:c r="I3141" s="118" t="n">
        <x:v>54</x:v>
      </x:c>
      <x:c r="J3141" s="117" t="str">
        <x:v>unmanaged</x:v>
      </x:c>
      <x:c r="K3141" s="123" t="b">
        <x:v>0</x:v>
      </x:c>
      <x:c r="L3141" s="117"/>
      <x:c r="M3141" s="118"/>
      <x:c r="N3141" s="120" t="n">
        <x:v>44655.910462962966</x:v>
      </x:c>
      <x:c r="O3141" s="117" t="str">
        <x:v>Jace Gentil</x:v>
      </x:c>
      <x:c r="P3141" s="120" t="n">
        <x:v>44655.91055555556</x:v>
      </x:c>
      <x:c r="Q3141" s="117" t="str">
        <x:v>Jace Gentil</x:v>
      </x:c>
      <x:c r="R3141" s="117" t="str">
        <x:v>UK - Create Removal Charge Screenflow</x:v>
      </x:c>
      <x:c r="S3141" s="119"/>
    </x:row>
    <x:row r="3142" ht="30" customHeight="1">
      <x:c r="A3142" s="117" t="str">
        <x:v>UK_Create_Removal_Charge_Screenflow</x:v>
      </x:c>
      <x:c r="B3142" s="117" t="str">
        <x:v>3005b000000H3dfAAC</x:v>
      </x:c>
      <x:c r="C3142" s="117" t="str">
        <x:v>3015b000000EIoeAAG</x:v>
      </x:c>
      <x:c r="D3142" s="118" t="n">
        <x:v>8</x:v>
      </x:c>
      <x:c r="E3142" s="117" t="str">
        <x:v>Obsolete</x:v>
      </x:c>
      <x:c r="F3142" s="117" t="str">
        <x:v>No</x:v>
      </x:c>
      <x:c r="G3142" s="117" t="str">
        <x:v>No</x:v>
      </x:c>
      <x:c r="H3142" s="117" t="str">
        <x:v>Flow</x:v>
      </x:c>
      <x:c r="I3142" s="118" t="n">
        <x:v>54</x:v>
      </x:c>
      <x:c r="J3142" s="117" t="str">
        <x:v>unmanaged</x:v>
      </x:c>
      <x:c r="K3142" s="123" t="b">
        <x:v>0</x:v>
      </x:c>
      <x:c r="L3142" s="117"/>
      <x:c r="M3142" s="118"/>
      <x:c r="N3142" s="120" t="n">
        <x:v>44656.369375</x:v>
      </x:c>
      <x:c r="O3142" s="117" t="str">
        <x:v>Jace Gentil</x:v>
      </x:c>
      <x:c r="P3142" s="120" t="n">
        <x:v>44656.36949074074</x:v>
      </x:c>
      <x:c r="Q3142" s="117" t="str">
        <x:v>Jace Gentil</x:v>
      </x:c>
      <x:c r="R3142" s="117" t="str">
        <x:v>UK - Create Removal Charge Screenflow</x:v>
      </x:c>
      <x:c r="S3142" s="119"/>
    </x:row>
    <x:row r="3143" ht="30" customHeight="1">
      <x:c r="A3143" s="117" t="str">
        <x:v>UK_Create_Removal_Charge_Screenflow</x:v>
      </x:c>
      <x:c r="B3143" s="117" t="str">
        <x:v>3005b000000H3dfAAC</x:v>
      </x:c>
      <x:c r="C3143" s="117" t="str">
        <x:v>3015b000000EIojAAG</x:v>
      </x:c>
      <x:c r="D3143" s="118" t="n">
        <x:v>9</x:v>
      </x:c>
      <x:c r="E3143" s="117" t="str">
        <x:v>Obsolete</x:v>
      </x:c>
      <x:c r="F3143" s="117" t="str">
        <x:v>No</x:v>
      </x:c>
      <x:c r="G3143" s="117" t="str">
        <x:v>No</x:v>
      </x:c>
      <x:c r="H3143" s="117" t="str">
        <x:v>Flow</x:v>
      </x:c>
      <x:c r="I3143" s="118" t="n">
        <x:v>54</x:v>
      </x:c>
      <x:c r="J3143" s="117" t="str">
        <x:v>unmanaged</x:v>
      </x:c>
      <x:c r="K3143" s="123" t="b">
        <x:v>0</x:v>
      </x:c>
      <x:c r="L3143" s="117"/>
      <x:c r="M3143" s="118"/>
      <x:c r="N3143" s="120" t="n">
        <x:v>44656.371458333335</x:v>
      </x:c>
      <x:c r="O3143" s="117" t="str">
        <x:v>Jace Gentil</x:v>
      </x:c>
      <x:c r="P3143" s="120" t="n">
        <x:v>44656.37149305556</x:v>
      </x:c>
      <x:c r="Q3143" s="117" t="str">
        <x:v>Jace Gentil</x:v>
      </x:c>
      <x:c r="R3143" s="117" t="str">
        <x:v>UK - Create Removal Charge Screenflow</x:v>
      </x:c>
      <x:c r="S3143" s="119"/>
    </x:row>
    <x:row r="3144" ht="30" customHeight="1">
      <x:c r="A3144" s="117" t="str">
        <x:v>UK_Create_Removal_Charge_Screenflow</x:v>
      </x:c>
      <x:c r="B3144" s="117" t="str">
        <x:v>3005b000000H3dfAAC</x:v>
      </x:c>
      <x:c r="C3144" s="117" t="str">
        <x:v>3015b000000EIpDAAW</x:v>
      </x:c>
      <x:c r="D3144" s="118" t="n">
        <x:v>10</x:v>
      </x:c>
      <x:c r="E3144" s="117" t="str">
        <x:v>Obsolete</x:v>
      </x:c>
      <x:c r="F3144" s="117" t="str">
        <x:v>No</x:v>
      </x:c>
      <x:c r="G3144" s="117" t="str">
        <x:v>No</x:v>
      </x:c>
      <x:c r="H3144" s="117" t="str">
        <x:v>Flow</x:v>
      </x:c>
      <x:c r="I3144" s="118" t="n">
        <x:v>54</x:v>
      </x:c>
      <x:c r="J3144" s="117" t="str">
        <x:v>unmanaged</x:v>
      </x:c>
      <x:c r="K3144" s="123" t="b">
        <x:v>0</x:v>
      </x:c>
      <x:c r="L3144" s="117"/>
      <x:c r="M3144" s="118"/>
      <x:c r="N3144" s="120" t="n">
        <x:v>44656.47489583334</x:v>
      </x:c>
      <x:c r="O3144" s="117" t="str">
        <x:v>Jace Gentil</x:v>
      </x:c>
      <x:c r="P3144" s="120" t="n">
        <x:v>44656.47493055555</x:v>
      </x:c>
      <x:c r="Q3144" s="117" t="str">
        <x:v>Jace Gentil</x:v>
      </x:c>
      <x:c r="R3144" s="117" t="str">
        <x:v>UK - Create Removal Charge Screenflow</x:v>
      </x:c>
      <x:c r="S3144" s="119"/>
    </x:row>
    <x:row r="3145" ht="30" customHeight="1">
      <x:c r="A3145" s="117" t="str">
        <x:v>UK_Create_Removal_Charge_Screenflow</x:v>
      </x:c>
      <x:c r="B3145" s="117" t="str">
        <x:v>3005b000000H3dfAAC</x:v>
      </x:c>
      <x:c r="C3145" s="117" t="str">
        <x:v>3015b000000EIprAAG</x:v>
      </x:c>
      <x:c r="D3145" s="118" t="n">
        <x:v>11</x:v>
      </x:c>
      <x:c r="E3145" s="117" t="str">
        <x:v>Obsolete</x:v>
      </x:c>
      <x:c r="F3145" s="117" t="str">
        <x:v>No</x:v>
      </x:c>
      <x:c r="G3145" s="117" t="str">
        <x:v>No</x:v>
      </x:c>
      <x:c r="H3145" s="117" t="str">
        <x:v>Flow</x:v>
      </x:c>
      <x:c r="I3145" s="118" t="n">
        <x:v>54</x:v>
      </x:c>
      <x:c r="J3145" s="117" t="str">
        <x:v>unmanaged</x:v>
      </x:c>
      <x:c r="K3145" s="123" t="b">
        <x:v>0</x:v>
      </x:c>
      <x:c r="L3145" s="117"/>
      <x:c r="M3145" s="118"/>
      <x:c r="N3145" s="120" t="n">
        <x:v>44656.641122685185</x:v>
      </x:c>
      <x:c r="O3145" s="117" t="str">
        <x:v>Natalie Boger</x:v>
      </x:c>
      <x:c r="P3145" s="120" t="n">
        <x:v>44656.641238425924</x:v>
      </x:c>
      <x:c r="Q3145" s="117" t="str">
        <x:v>Natalie Boger</x:v>
      </x:c>
      <x:c r="R3145" s="117" t="str">
        <x:v>UK - Create Removal Charge Screenflow</x:v>
      </x:c>
      <x:c r="S3145" s="119"/>
    </x:row>
    <x:row r="3146" ht="30" customHeight="1">
      <x:c r="A3146" s="117" t="str">
        <x:v>UK_Create_Removal_Charge_Screenflow</x:v>
      </x:c>
      <x:c r="B3146" s="117" t="str">
        <x:v>3005b000000H3dfAAC</x:v>
      </x:c>
      <x:c r="C3146" s="117" t="str">
        <x:v>3015b000000EIpwAAG</x:v>
      </x:c>
      <x:c r="D3146" s="118" t="n">
        <x:v>12</x:v>
      </x:c>
      <x:c r="E3146" s="117" t="str">
        <x:v>Obsolete</x:v>
      </x:c>
      <x:c r="F3146" s="117" t="str">
        <x:v>No</x:v>
      </x:c>
      <x:c r="G3146" s="117" t="str">
        <x:v>No</x:v>
      </x:c>
      <x:c r="H3146" s="117" t="str">
        <x:v>Flow</x:v>
      </x:c>
      <x:c r="I3146" s="118" t="n">
        <x:v>54</x:v>
      </x:c>
      <x:c r="J3146" s="117" t="str">
        <x:v>unmanaged</x:v>
      </x:c>
      <x:c r="K3146" s="123" t="b">
        <x:v>0</x:v>
      </x:c>
      <x:c r="L3146" s="117"/>
      <x:c r="M3146" s="118"/>
      <x:c r="N3146" s="120" t="n">
        <x:v>44656.64388888889</x:v>
      </x:c>
      <x:c r="O3146" s="117" t="str">
        <x:v>Natalie Boger</x:v>
      </x:c>
      <x:c r="P3146" s="120" t="n">
        <x:v>44656.64393518519</x:v>
      </x:c>
      <x:c r="Q3146" s="117" t="str">
        <x:v>Natalie Boger</x:v>
      </x:c>
      <x:c r="R3146" s="117" t="str">
        <x:v>UK - Create Removal Charge Screenflow</x:v>
      </x:c>
      <x:c r="S3146" s="119"/>
    </x:row>
    <x:row r="3147" ht="30" customHeight="1">
      <x:c r="A3147" s="117" t="str">
        <x:v>UK_Create_Removal_Charge_Screenflow</x:v>
      </x:c>
      <x:c r="B3147" s="117" t="str">
        <x:v>3005b000000H3dfAAC</x:v>
      </x:c>
      <x:c r="C3147" s="117" t="str">
        <x:v>3015b000000EIq1AAG</x:v>
      </x:c>
      <x:c r="D3147" s="118" t="n">
        <x:v>13</x:v>
      </x:c>
      <x:c r="E3147" s="117" t="str">
        <x:v>Obsolete</x:v>
      </x:c>
      <x:c r="F3147" s="117" t="str">
        <x:v>No</x:v>
      </x:c>
      <x:c r="G3147" s="117" t="str">
        <x:v>No</x:v>
      </x:c>
      <x:c r="H3147" s="117" t="str">
        <x:v>Flow</x:v>
      </x:c>
      <x:c r="I3147" s="118" t="n">
        <x:v>54</x:v>
      </x:c>
      <x:c r="J3147" s="117" t="str">
        <x:v>unmanaged</x:v>
      </x:c>
      <x:c r="K3147" s="123" t="b">
        <x:v>0</x:v>
      </x:c>
      <x:c r="L3147" s="117"/>
      <x:c r="M3147" s="118"/>
      <x:c r="N3147" s="120" t="n">
        <x:v>44656.64540509259</x:v>
      </x:c>
      <x:c r="O3147" s="117" t="str">
        <x:v>Natalie Boger</x:v>
      </x:c>
      <x:c r="P3147" s="120" t="n">
        <x:v>44656.64545138889</x:v>
      </x:c>
      <x:c r="Q3147" s="117" t="str">
        <x:v>Natalie Boger</x:v>
      </x:c>
      <x:c r="R3147" s="117" t="str">
        <x:v>UK - Create Removal Charge Screenflow</x:v>
      </x:c>
      <x:c r="S3147" s="119"/>
    </x:row>
    <x:row r="3148" ht="30" customHeight="1">
      <x:c r="A3148" s="117" t="str">
        <x:v>UK_Create_Removal_Charge_Screenflow</x:v>
      </x:c>
      <x:c r="B3148" s="117" t="str">
        <x:v>3005b000000H3dfAAC</x:v>
      </x:c>
      <x:c r="C3148" s="117" t="str">
        <x:v>3015b000000EJXAAA4</x:v>
      </x:c>
      <x:c r="D3148" s="118" t="n">
        <x:v>14</x:v>
      </x:c>
      <x:c r="E3148" s="117" t="str">
        <x:v>Obsolete</x:v>
      </x:c>
      <x:c r="F3148" s="117" t="str">
        <x:v>No</x:v>
      </x:c>
      <x:c r="G3148" s="117" t="str">
        <x:v>No</x:v>
      </x:c>
      <x:c r="H3148" s="117" t="str">
        <x:v>Flow</x:v>
      </x:c>
      <x:c r="I3148" s="118" t="n">
        <x:v>54</x:v>
      </x:c>
      <x:c r="J3148" s="117" t="str">
        <x:v>unmanaged</x:v>
      </x:c>
      <x:c r="K3148" s="123" t="b">
        <x:v>0</x:v>
      </x:c>
      <x:c r="L3148" s="117"/>
      <x:c r="M3148" s="118"/>
      <x:c r="N3148" s="120" t="n">
        <x:v>44687.64082175926</x:v>
      </x:c>
      <x:c r="O3148" s="117" t="str">
        <x:v>Jace Gentil</x:v>
      </x:c>
      <x:c r="P3148" s="120" t="n">
        <x:v>44687.641122685185</x:v>
      </x:c>
      <x:c r="Q3148" s="117" t="str">
        <x:v>Jace Gentil</x:v>
      </x:c>
      <x:c r="R3148" s="117" t="str">
        <x:v>UK - Create Removal Charge Screenflow</x:v>
      </x:c>
      <x:c r="S3148" s="119"/>
    </x:row>
    <x:row r="3149" ht="30" customHeight="1">
      <x:c r="A3149" s="117" t="str">
        <x:v>UK_Create_Removal_Charge_Screenflow</x:v>
      </x:c>
      <x:c r="B3149" s="117" t="str">
        <x:v>3005b000000H3dfAAC</x:v>
      </x:c>
      <x:c r="C3149" s="117" t="str">
        <x:v>3015b000000EJXFAA4</x:v>
      </x:c>
      <x:c r="D3149" s="118" t="n">
        <x:v>15</x:v>
      </x:c>
      <x:c r="E3149" s="117" t="str">
        <x:v>Obsolete</x:v>
      </x:c>
      <x:c r="F3149" s="117" t="str">
        <x:v>No</x:v>
      </x:c>
      <x:c r="G3149" s="117" t="str">
        <x:v>No</x:v>
      </x:c>
      <x:c r="H3149" s="117" t="str">
        <x:v>Flow</x:v>
      </x:c>
      <x:c r="I3149" s="118" t="n">
        <x:v>54</x:v>
      </x:c>
      <x:c r="J3149" s="117" t="str">
        <x:v>unmanaged</x:v>
      </x:c>
      <x:c r="K3149" s="123" t="b">
        <x:v>0</x:v>
      </x:c>
      <x:c r="L3149" s="117"/>
      <x:c r="M3149" s="118"/>
      <x:c r="N3149" s="120" t="n">
        <x:v>44687.64523148148</x:v>
      </x:c>
      <x:c r="O3149" s="117" t="str">
        <x:v>Jace Gentil</x:v>
      </x:c>
      <x:c r="P3149" s="120" t="n">
        <x:v>44687.64527777778</x:v>
      </x:c>
      <x:c r="Q3149" s="117" t="str">
        <x:v>Jace Gentil</x:v>
      </x:c>
      <x:c r="R3149" s="117" t="str">
        <x:v>UK - Create Removal Charge Screenflow</x:v>
      </x:c>
      <x:c r="S3149" s="119"/>
    </x:row>
    <x:row r="3150" ht="30" customHeight="1">
      <x:c r="A3150" s="117" t="str">
        <x:v>UK_Create_Removal_Charge_Screenflow</x:v>
      </x:c>
      <x:c r="B3150" s="117" t="str">
        <x:v>3005b000000H3dfAAC</x:v>
      </x:c>
      <x:c r="C3150" s="117" t="str">
        <x:v>3015b000000EJXKAA4</x:v>
      </x:c>
      <x:c r="D3150" s="118" t="n">
        <x:v>16</x:v>
      </x:c>
      <x:c r="E3150" s="117" t="str">
        <x:v>Obsolete</x:v>
      </x:c>
      <x:c r="F3150" s="117" t="str">
        <x:v>No</x:v>
      </x:c>
      <x:c r="G3150" s="117" t="str">
        <x:v>No</x:v>
      </x:c>
      <x:c r="H3150" s="117" t="str">
        <x:v>Flow</x:v>
      </x:c>
      <x:c r="I3150" s="118" t="n">
        <x:v>54</x:v>
      </x:c>
      <x:c r="J3150" s="117" t="str">
        <x:v>unmanaged</x:v>
      </x:c>
      <x:c r="K3150" s="123" t="b">
        <x:v>0</x:v>
      </x:c>
      <x:c r="L3150" s="117"/>
      <x:c r="M3150" s="118"/>
      <x:c r="N3150" s="120" t="n">
        <x:v>44687.655324074076</x:v>
      </x:c>
      <x:c r="O3150" s="117" t="str">
        <x:v>Jace Gentil</x:v>
      </x:c>
      <x:c r="P3150" s="120" t="n">
        <x:v>44687.6553587963</x:v>
      </x:c>
      <x:c r="Q3150" s="117" t="str">
        <x:v>Jace Gentil</x:v>
      </x:c>
      <x:c r="R3150" s="117" t="str">
        <x:v>UK - Create Removal Charge Screenflow</x:v>
      </x:c>
      <x:c r="S3150" s="119"/>
    </x:row>
    <x:row r="3151" ht="30" customHeight="1">
      <x:c r="A3151" s="117" t="str">
        <x:v>UK_Create_Removal_Charge_Screenflow</x:v>
      </x:c>
      <x:c r="B3151" s="117" t="str">
        <x:v>3005b000000H3dfAAC</x:v>
      </x:c>
      <x:c r="C3151" s="117" t="str">
        <x:v>3015b000000EKhfAAG</x:v>
      </x:c>
      <x:c r="D3151" s="118" t="n">
        <x:v>17</x:v>
      </x:c>
      <x:c r="E3151" s="117" t="str">
        <x:v>Obsolete</x:v>
      </x:c>
      <x:c r="F3151" s="117" t="str">
        <x:v>No</x:v>
      </x:c>
      <x:c r="G3151" s="117" t="str">
        <x:v>No</x:v>
      </x:c>
      <x:c r="H3151" s="117" t="str">
        <x:v>Flow</x:v>
      </x:c>
      <x:c r="I3151" s="118" t="n">
        <x:v>54</x:v>
      </x:c>
      <x:c r="J3151" s="117" t="str">
        <x:v>unmanaged</x:v>
      </x:c>
      <x:c r="K3151" s="123" t="b">
        <x:v>0</x:v>
      </x:c>
      <x:c r="L3151" s="117"/>
      <x:c r="M3151" s="118"/>
      <x:c r="N3151" s="120" t="n">
        <x:v>44749.506006944444</x:v>
      </x:c>
      <x:c r="O3151" s="117" t="str">
        <x:v>Jace Gentil</x:v>
      </x:c>
      <x:c r="P3151" s="120" t="n">
        <x:v>44749.506053240744</x:v>
      </x:c>
      <x:c r="Q3151" s="117" t="str">
        <x:v>Jace Gentil</x:v>
      </x:c>
      <x:c r="R3151" s="117" t="str">
        <x:v>UK - Create Removal Charge Screenflow</x:v>
      </x:c>
      <x:c r="S3151" s="119"/>
    </x:row>
    <x:row r="3152" ht="30" customHeight="1">
      <x:c r="A3152" s="117" t="str">
        <x:v>UK_Create_Removal_Charge_Screenflow</x:v>
      </x:c>
      <x:c r="B3152" s="117" t="str">
        <x:v>3005b000000H3dfAAC</x:v>
      </x:c>
      <x:c r="C3152" s="117" t="str">
        <x:v>3015b000000ELaGAAW</x:v>
      </x:c>
      <x:c r="D3152" s="118" t="n">
        <x:v>18</x:v>
      </x:c>
      <x:c r="E3152" s="117" t="str">
        <x:v>Obsolete</x:v>
      </x:c>
      <x:c r="F3152" s="117" t="str">
        <x:v>No</x:v>
      </x:c>
      <x:c r="G3152" s="117" t="str">
        <x:v>No</x:v>
      </x:c>
      <x:c r="H3152" s="117" t="str">
        <x:v>Flow</x:v>
      </x:c>
      <x:c r="I3152" s="118" t="n">
        <x:v>54</x:v>
      </x:c>
      <x:c r="J3152" s="117" t="str">
        <x:v>unmanaged</x:v>
      </x:c>
      <x:c r="K3152" s="123" t="b">
        <x:v>0</x:v>
      </x:c>
      <x:c r="L3152" s="117"/>
      <x:c r="M3152" s="118"/>
      <x:c r="N3152" s="120" t="n">
        <x:v>44813.560694444444</x:v>
      </x:c>
      <x:c r="O3152" s="117" t="str">
        <x:v>Jace Gentil</x:v>
      </x:c>
      <x:c r="P3152" s="120" t="n">
        <x:v>44813.56079861111</x:v>
      </x:c>
      <x:c r="Q3152" s="117" t="str">
        <x:v>Jace Gentil</x:v>
      </x:c>
      <x:c r="R3152" s="117" t="str">
        <x:v>UK - Create Removal Charge Screenflow</x:v>
      </x:c>
      <x:c r="S3152" s="119"/>
    </x:row>
    <x:row r="3153" ht="30" customHeight="1">
      <x:c r="A3153" s="117" t="str">
        <x:v>UK_Create_Removal_Charge_Screenflow</x:v>
      </x:c>
      <x:c r="B3153" s="117" t="str">
        <x:v>3005b000000H3dfAAC</x:v>
      </x:c>
      <x:c r="C3153" s="117" t="str">
        <x:v>3015b000000ELaLAAW</x:v>
      </x:c>
      <x:c r="D3153" s="118" t="n">
        <x:v>19</x:v>
      </x:c>
      <x:c r="E3153" s="117" t="str">
        <x:v>Obsolete</x:v>
      </x:c>
      <x:c r="F3153" s="117" t="str">
        <x:v>No</x:v>
      </x:c>
      <x:c r="G3153" s="117" t="str">
        <x:v>No</x:v>
      </x:c>
      <x:c r="H3153" s="117" t="str">
        <x:v>Flow</x:v>
      </x:c>
      <x:c r="I3153" s="118" t="n">
        <x:v>54</x:v>
      </x:c>
      <x:c r="J3153" s="117" t="str">
        <x:v>unmanaged</x:v>
      </x:c>
      <x:c r="K3153" s="123" t="b">
        <x:v>0</x:v>
      </x:c>
      <x:c r="L3153" s="117"/>
      <x:c r="M3153" s="118"/>
      <x:c r="N3153" s="120" t="n">
        <x:v>44813.561944444446</x:v>
      </x:c>
      <x:c r="O3153" s="117" t="str">
        <x:v>Jace Gentil</x:v>
      </x:c>
      <x:c r="P3153" s="120" t="n">
        <x:v>44813.56197916667</x:v>
      </x:c>
      <x:c r="Q3153" s="117" t="str">
        <x:v>Jace Gentil</x:v>
      </x:c>
      <x:c r="R3153" s="117" t="str">
        <x:v>UK - Create Removal Charge Screenflow</x:v>
      </x:c>
      <x:c r="S3153" s="119"/>
    </x:row>
    <x:row r="3154" ht="30" customHeight="1">
      <x:c r="A3154" s="117" t="str">
        <x:v>UK_Create_Removal_Charge_Screenflow</x:v>
      </x:c>
      <x:c r="B3154" s="117" t="str">
        <x:v>3005b000000H3dfAAC</x:v>
      </x:c>
      <x:c r="C3154" s="117" t="str">
        <x:v>3015b0000011LVQAA2</x:v>
      </x:c>
      <x:c r="D3154" s="118" t="n">
        <x:v>20</x:v>
      </x:c>
      <x:c r="E3154" s="117" t="str">
        <x:v>Obsolete</x:v>
      </x:c>
      <x:c r="F3154" s="117" t="str">
        <x:v>No</x:v>
      </x:c>
      <x:c r="G3154" s="117" t="str">
        <x:v>No</x:v>
      </x:c>
      <x:c r="H3154" s="117" t="str">
        <x:v>Flow</x:v>
      </x:c>
      <x:c r="I3154" s="118" t="n">
        <x:v>54</x:v>
      </x:c>
      <x:c r="J3154" s="117" t="str">
        <x:v>unmanaged</x:v>
      </x:c>
      <x:c r="K3154" s="123" t="b">
        <x:v>0</x:v>
      </x:c>
      <x:c r="L3154" s="117"/>
      <x:c r="M3154" s="118"/>
      <x:c r="N3154" s="120" t="n">
        <x:v>45219.68349537037</x:v>
      </x:c>
      <x:c r="O3154" s="117" t="str">
        <x:v>Jace Gentil</x:v>
      </x:c>
      <x:c r="P3154" s="120" t="n">
        <x:v>45219.68357638889</x:v>
      </x:c>
      <x:c r="Q3154" s="117" t="str">
        <x:v>Jace Gentil</x:v>
      </x:c>
      <x:c r="R3154" s="117" t="str">
        <x:v>UK - Create Removal Charge Screenflow</x:v>
      </x:c>
      <x:c r="S3154" s="119"/>
    </x:row>
    <x:row r="3155" ht="30" customHeight="1">
      <x:c r="A3155" s="117" t="str">
        <x:v>UK_Create_Removal_Charge_Screenflow</x:v>
      </x:c>
      <x:c r="B3155" s="117" t="str">
        <x:v>3005b000000H3dfAAC</x:v>
      </x:c>
      <x:c r="C3155" s="117" t="str">
        <x:v>3015b0000011LVfAAM</x:v>
      </x:c>
      <x:c r="D3155" s="118" t="n">
        <x:v>21</x:v>
      </x:c>
      <x:c r="E3155" s="117" t="str">
        <x:v>Obsolete</x:v>
      </x:c>
      <x:c r="F3155" s="117" t="str">
        <x:v>No</x:v>
      </x:c>
      <x:c r="G3155" s="117" t="str">
        <x:v>No</x:v>
      </x:c>
      <x:c r="H3155" s="117" t="str">
        <x:v>Flow</x:v>
      </x:c>
      <x:c r="I3155" s="118" t="n">
        <x:v>54</x:v>
      </x:c>
      <x:c r="J3155" s="117" t="str">
        <x:v>unmanaged</x:v>
      </x:c>
      <x:c r="K3155" s="123" t="b">
        <x:v>0</x:v>
      </x:c>
      <x:c r="L3155" s="117"/>
      <x:c r="M3155" s="118"/>
      <x:c r="N3155" s="120" t="n">
        <x:v>45219.69496527778</x:v>
      </x:c>
      <x:c r="O3155" s="117" t="str">
        <x:v>Jace Gentil</x:v>
      </x:c>
      <x:c r="P3155" s="120" t="n">
        <x:v>45219.695</x:v>
      </x:c>
      <x:c r="Q3155" s="117" t="str">
        <x:v>Jace Gentil</x:v>
      </x:c>
      <x:c r="R3155" s="117" t="str">
        <x:v>UK - Create Removal Charge Screenflow</x:v>
      </x:c>
      <x:c r="S3155" s="119"/>
    </x:row>
    <x:row r="3156" ht="30" customHeight="1">
      <x:c r="A3156" s="117" t="str">
        <x:v>UK_Create_Removal_Charge_Screenflow</x:v>
      </x:c>
      <x:c r="B3156" s="117" t="str">
        <x:v>3005b000000H3dfAAC</x:v>
      </x:c>
      <x:c r="C3156" s="117" t="str">
        <x:v>3015b0000011LVkAAM</x:v>
      </x:c>
      <x:c r="D3156" s="118" t="n">
        <x:v>22</x:v>
      </x:c>
      <x:c r="E3156" s="117" t="str">
        <x:v>Obsolete</x:v>
      </x:c>
      <x:c r="F3156" s="117" t="str">
        <x:v>No</x:v>
      </x:c>
      <x:c r="G3156" s="117" t="str">
        <x:v>No</x:v>
      </x:c>
      <x:c r="H3156" s="117" t="str">
        <x:v>Flow</x:v>
      </x:c>
      <x:c r="I3156" s="118" t="n">
        <x:v>54</x:v>
      </x:c>
      <x:c r="J3156" s="117" t="str">
        <x:v>unmanaged</x:v>
      </x:c>
      <x:c r="K3156" s="123" t="b">
        <x:v>0</x:v>
      </x:c>
      <x:c r="L3156" s="117"/>
      <x:c r="M3156" s="118"/>
      <x:c r="N3156" s="120" t="n">
        <x:v>45219.70013888889</x:v>
      </x:c>
      <x:c r="O3156" s="117" t="str">
        <x:v>Jon Kean</x:v>
      </x:c>
      <x:c r="P3156" s="120" t="n">
        <x:v>45219.70018518518</x:v>
      </x:c>
      <x:c r="Q3156" s="117" t="str">
        <x:v>Jon Kean</x:v>
      </x:c>
      <x:c r="R3156" s="117" t="str">
        <x:v>UK - Create Removal Charge Screenflow</x:v>
      </x:c>
      <x:c r="S3156" s="119"/>
    </x:row>
    <x:row r="3157" ht="30" customHeight="1">
      <x:c r="A3157" s="117" t="str">
        <x:v>UK_Create_Removal_Charge_Screenflow</x:v>
      </x:c>
      <x:c r="B3157" s="117" t="str">
        <x:v>3005b000000H3dfAAC</x:v>
      </x:c>
      <x:c r="C3157" s="117" t="str">
        <x:v>301Ro000006KUsxIAG</x:v>
      </x:c>
      <x:c r="D3157" s="118" t="n">
        <x:v>23</x:v>
      </x:c>
      <x:c r="E3157" s="117" t="str">
        <x:v>Obsolete</x:v>
      </x:c>
      <x:c r="F3157" s="117" t="str">
        <x:v>No</x:v>
      </x:c>
      <x:c r="G3157" s="117" t="str">
        <x:v>No</x:v>
      </x:c>
      <x:c r="H3157" s="117" t="str">
        <x:v>Flow</x:v>
      </x:c>
      <x:c r="I3157" s="118" t="n">
        <x:v>54</x:v>
      </x:c>
      <x:c r="J3157" s="117" t="str">
        <x:v>unmanaged</x:v>
      </x:c>
      <x:c r="K3157" s="123" t="b">
        <x:v>0</x:v>
      </x:c>
      <x:c r="L3157" s="117"/>
      <x:c r="M3157" s="118"/>
      <x:c r="N3157" s="120" t="n">
        <x:v>45315.450844907406</x:v>
      </x:c>
      <x:c r="O3157" s="117" t="str">
        <x:v>Jon Kean</x:v>
      </x:c>
      <x:c r="P3157" s="120" t="n">
        <x:v>45315.4509837963</x:v>
      </x:c>
      <x:c r="Q3157" s="117" t="str">
        <x:v>Jon Kean</x:v>
      </x:c>
      <x:c r="R3157" s="117" t="str">
        <x:v>UK - Create Removal Charge Screenflow</x:v>
      </x:c>
      <x:c r="S3157" s="119"/>
    </x:row>
    <x:row r="3158" ht="30" customHeight="1">
      <x:c r="A3158" s="117" t="str">
        <x:v>UK_Create_Removal_Charge_Screenflow</x:v>
      </x:c>
      <x:c r="B3158" s="117" t="str">
        <x:v>3005b000000H3dfAAC</x:v>
      </x:c>
      <x:c r="C3158" s="117" t="str">
        <x:v>301Ro000006KnSYIA0</x:v>
      </x:c>
      <x:c r="D3158" s="118" t="n">
        <x:v>24</x:v>
      </x:c>
      <x:c r="E3158" s="117" t="str">
        <x:v>Active</x:v>
      </x:c>
      <x:c r="F3158" s="117" t="str">
        <x:v>Yes</x:v>
      </x:c>
      <x:c r="G3158" s="117" t="str">
        <x:v>Yes</x:v>
      </x:c>
      <x:c r="H3158" s="117" t="str">
        <x:v>Flow</x:v>
      </x:c>
      <x:c r="I3158" s="118" t="n">
        <x:v>54</x:v>
      </x:c>
      <x:c r="J3158" s="117" t="str">
        <x:v>unmanaged</x:v>
      </x:c>
      <x:c r="K3158" s="123" t="b">
        <x:v>0</x:v>
      </x:c>
      <x:c r="L3158" s="117"/>
      <x:c r="M3158" s="118"/>
      <x:c r="N3158" s="120" t="n">
        <x:v>45315.48940972222</x:v>
      </x:c>
      <x:c r="O3158" s="117" t="str">
        <x:v>Jon Kean</x:v>
      </x:c>
      <x:c r="P3158" s="120" t="n">
        <x:v>45315.48945601852</x:v>
      </x:c>
      <x:c r="Q3158" s="117" t="str">
        <x:v>Jon Kean</x:v>
      </x:c>
      <x:c r="R3158" s="117" t="str">
        <x:v>UK - Create Removal Charge Screenflow</x:v>
      </x:c>
      <x:c r="S3158" s="119"/>
    </x:row>
    <x:row r="3159" ht="30" customHeight="1">
      <x:c r="A3159" s="117" t="str">
        <x:v>UK_Credit_Notification</x:v>
      </x:c>
      <x:c r="B3159" s="117" t="str">
        <x:v>300Ro00000IcZnHIAV</x:v>
      </x:c>
      <x:c r="C3159" s="117" t="str">
        <x:v>301Ro00000Kl3qAIAR</x:v>
      </x:c>
      <x:c r="D3159" s="118" t="n">
        <x:v>1</x:v>
      </x:c>
      <x:c r="E3159" s="117" t="str">
        <x:v>Obsolete</x:v>
      </x:c>
      <x:c r="F3159" s="117" t="str">
        <x:v>No</x:v>
      </x:c>
      <x:c r="G3159" s="117" t="str">
        <x:v>No</x:v>
      </x:c>
      <x:c r="H3159" s="117" t="str">
        <x:v>AutoLaunchedFlow</x:v>
      </x:c>
      <x:c r="I3159" s="118" t="n">
        <x:v>61</x:v>
      </x:c>
      <x:c r="J3159" s="117" t="str">
        <x:v>unmanaged</x:v>
      </x:c>
      <x:c r="K3159" s="123" t="b">
        <x:v>0</x:v>
      </x:c>
      <x:c r="L3159" s="117"/>
      <x:c r="M3159" s="118"/>
      <x:c r="N3159" s="120" t="n">
        <x:v>45545.42087962963</x:v>
      </x:c>
      <x:c r="O3159" s="117" t="str">
        <x:v>Jon Kean</x:v>
      </x:c>
      <x:c r="P3159" s="120" t="n">
        <x:v>45545.42107638889</x:v>
      </x:c>
      <x:c r="Q3159" s="117" t="str">
        <x:v>Jon Kean</x:v>
      </x:c>
      <x:c r="R3159" s="117" t="str">
        <x:v>UK - Credit Notification</x:v>
      </x:c>
      <x:c r="S3159" s="119"/>
    </x:row>
    <x:row r="3160" ht="30" customHeight="1">
      <x:c r="A3160" s="117" t="str">
        <x:v>UK_Credit_Notification</x:v>
      </x:c>
      <x:c r="B3160" s="117" t="str">
        <x:v>300Ro00000IcZnHIAV</x:v>
      </x:c>
      <x:c r="C3160" s="117" t="str">
        <x:v>301Ro00000KknTfIAJ</x:v>
      </x:c>
      <x:c r="D3160" s="118" t="n">
        <x:v>2</x:v>
      </x:c>
      <x:c r="E3160" s="117" t="str">
        <x:v>Obsolete</x:v>
      </x:c>
      <x:c r="F3160" s="117" t="str">
        <x:v>No</x:v>
      </x:c>
      <x:c r="G3160" s="117" t="str">
        <x:v>No</x:v>
      </x:c>
      <x:c r="H3160" s="117" t="str">
        <x:v>AutoLaunchedFlow</x:v>
      </x:c>
      <x:c r="I3160" s="118" t="n">
        <x:v>61</x:v>
      </x:c>
      <x:c r="J3160" s="117" t="str">
        <x:v>unmanaged</x:v>
      </x:c>
      <x:c r="K3160" s="123" t="b">
        <x:v>0</x:v>
      </x:c>
      <x:c r="L3160" s="117"/>
      <x:c r="M3160" s="118"/>
      <x:c r="N3160" s="120" t="n">
        <x:v>45545.42461805556</x:v>
      </x:c>
      <x:c r="O3160" s="117" t="str">
        <x:v>Jon Kean</x:v>
      </x:c>
      <x:c r="P3160" s="120" t="n">
        <x:v>45545.42466435185</x:v>
      </x:c>
      <x:c r="Q3160" s="117" t="str">
        <x:v>Jon Kean</x:v>
      </x:c>
      <x:c r="R3160" s="117" t="str">
        <x:v>UK - Credit Notification</x:v>
      </x:c>
      <x:c r="S3160" s="119"/>
    </x:row>
    <x:row r="3161" ht="30" customHeight="1">
      <x:c r="A3161" s="117" t="str">
        <x:v>UK_Credit_Notification</x:v>
      </x:c>
      <x:c r="B3161" s="117" t="str">
        <x:v>300Ro00000IcZnHIAV</x:v>
      </x:c>
      <x:c r="C3161" s="117" t="str">
        <x:v>301Ro00000KkjWZIAZ</x:v>
      </x:c>
      <x:c r="D3161" s="118" t="n">
        <x:v>3</x:v>
      </x:c>
      <x:c r="E3161" s="117" t="str">
        <x:v>Obsolete</x:v>
      </x:c>
      <x:c r="F3161" s="117" t="str">
        <x:v>No</x:v>
      </x:c>
      <x:c r="G3161" s="117" t="str">
        <x:v>No</x:v>
      </x:c>
      <x:c r="H3161" s="117" t="str">
        <x:v>AutoLaunchedFlow</x:v>
      </x:c>
      <x:c r="I3161" s="118" t="n">
        <x:v>61</x:v>
      </x:c>
      <x:c r="J3161" s="117" t="str">
        <x:v>unmanaged</x:v>
      </x:c>
      <x:c r="K3161" s="123" t="b">
        <x:v>0</x:v>
      </x:c>
      <x:c r="L3161" s="117"/>
      <x:c r="M3161" s="118"/>
      <x:c r="N3161" s="120" t="n">
        <x:v>45545.42780092593</x:v>
      </x:c>
      <x:c r="O3161" s="117" t="str">
        <x:v>Jon Kean</x:v>
      </x:c>
      <x:c r="P3161" s="120" t="n">
        <x:v>45545.4278587963</x:v>
      </x:c>
      <x:c r="Q3161" s="117" t="str">
        <x:v>Jon Kean</x:v>
      </x:c>
      <x:c r="R3161" s="117" t="str">
        <x:v>UK - Credit Notification</x:v>
      </x:c>
      <x:c r="S3161" s="119"/>
    </x:row>
    <x:row r="3162" ht="30" customHeight="1">
      <x:c r="A3162" s="117" t="str">
        <x:v>UK_Credit_Notification</x:v>
      </x:c>
      <x:c r="B3162" s="117" t="str">
        <x:v>300Ro00000IcZnHIAV</x:v>
      </x:c>
      <x:c r="C3162" s="117" t="str">
        <x:v>301Ro00000OOTcdIAH</x:v>
      </x:c>
      <x:c r="D3162" s="118" t="n">
        <x:v>4</x:v>
      </x:c>
      <x:c r="E3162" s="117" t="str">
        <x:v>Active</x:v>
      </x:c>
      <x:c r="F3162" s="117" t="str">
        <x:v>Yes</x:v>
      </x:c>
      <x:c r="G3162" s="117" t="str">
        <x:v>Yes</x:v>
      </x:c>
      <x:c r="H3162" s="117" t="str">
        <x:v>AutoLaunchedFlow</x:v>
      </x:c>
      <x:c r="I3162" s="118" t="n">
        <x:v>61</x:v>
      </x:c>
      <x:c r="J3162" s="117" t="str">
        <x:v>unmanaged</x:v>
      </x:c>
      <x:c r="K3162" s="123" t="b">
        <x:v>0</x:v>
      </x:c>
      <x:c r="L3162" s="117"/>
      <x:c r="M3162" s="118"/>
      <x:c r="N3162" s="120" t="n">
        <x:v>45604.47707175926</x:v>
      </x:c>
      <x:c r="O3162" s="117" t="str">
        <x:v>Jon Kean</x:v>
      </x:c>
      <x:c r="P3162" s="120" t="n">
        <x:v>45604.477118055554</x:v>
      </x:c>
      <x:c r="Q3162" s="117" t="str">
        <x:v>Jon Kean</x:v>
      </x:c>
      <x:c r="R3162" s="117" t="str">
        <x:v>UK - Credit Notification</x:v>
      </x:c>
      <x:c r="S3162" s="119" t="str">
        <x:v>Added serial number to email body</x:v>
      </x:c>
    </x:row>
    <x:row r="3163" ht="30" customHeight="1">
      <x:c r="A3163" s="117" t="str">
        <x:v>UK_Customer_Repair_Received</x:v>
      </x:c>
      <x:c r="B3163" s="117" t="str">
        <x:v>3005b000000LGu8AAG</x:v>
      </x:c>
      <x:c r="C3163" s="117" t="str">
        <x:v>3015b000000A9TrAAK</x:v>
      </x:c>
      <x:c r="D3163" s="118" t="n">
        <x:v>1</x:v>
      </x:c>
      <x:c r="E3163" s="117" t="str">
        <x:v>Obsolete</x:v>
      </x:c>
      <x:c r="F3163" s="117" t="str">
        <x:v>No</x:v>
      </x:c>
      <x:c r="G3163" s="117" t="str">
        <x:v>No</x:v>
      </x:c>
      <x:c r="H3163" s="117" t="str">
        <x:v>AutoLaunchedFlow</x:v>
      </x:c>
      <x:c r="I3163" s="118" t="n">
        <x:v>56</x:v>
      </x:c>
      <x:c r="J3163" s="117" t="str">
        <x:v>unmanaged</x:v>
      </x:c>
      <x:c r="K3163" s="123" t="b">
        <x:v>0</x:v>
      </x:c>
      <x:c r="L3163" s="117"/>
      <x:c r="M3163" s="118"/>
      <x:c r="N3163" s="120" t="n">
        <x:v>44872.42762731481</x:v>
      </x:c>
      <x:c r="O3163" s="117" t="str">
        <x:v>Jace Gentil</x:v>
      </x:c>
      <x:c r="P3163" s="120" t="n">
        <x:v>44872.42766203704</x:v>
      </x:c>
      <x:c r="Q3163" s="117" t="str">
        <x:v>Jace Gentil</x:v>
      </x:c>
      <x:c r="R3163" s="117" t="str">
        <x:v>UK Customer Repair Received</x:v>
      </x:c>
      <x:c r="S3163" s="119"/>
    </x:row>
    <x:row r="3164" ht="30" customHeight="1">
      <x:c r="A3164" s="117" t="str">
        <x:v>UK_Customer_Repair_Received</x:v>
      </x:c>
      <x:c r="B3164" s="117" t="str">
        <x:v>3005b000000LGu8AAG</x:v>
      </x:c>
      <x:c r="C3164" s="117" t="str">
        <x:v>3015b000000ABPNAA4</x:v>
      </x:c>
      <x:c r="D3164" s="118" t="n">
        <x:v>2</x:v>
      </x:c>
      <x:c r="E3164" s="117" t="str">
        <x:v>Obsolete</x:v>
      </x:c>
      <x:c r="F3164" s="117" t="str">
        <x:v>No</x:v>
      </x:c>
      <x:c r="G3164" s="117" t="str">
        <x:v>No</x:v>
      </x:c>
      <x:c r="H3164" s="117" t="str">
        <x:v>AutoLaunchedFlow</x:v>
      </x:c>
      <x:c r="I3164" s="118" t="n">
        <x:v>56</x:v>
      </x:c>
      <x:c r="J3164" s="117" t="str">
        <x:v>unmanaged</x:v>
      </x:c>
      <x:c r="K3164" s="123" t="b">
        <x:v>0</x:v>
      </x:c>
      <x:c r="L3164" s="117"/>
      <x:c r="M3164" s="118"/>
      <x:c r="N3164" s="120" t="n">
        <x:v>44899.7049537037</x:v>
      </x:c>
      <x:c r="O3164" s="117" t="str">
        <x:v>Jace Gentil</x:v>
      </x:c>
      <x:c r="P3164" s="120" t="n">
        <x:v>44899.705</x:v>
      </x:c>
      <x:c r="Q3164" s="117" t="str">
        <x:v>Jace Gentil</x:v>
      </x:c>
      <x:c r="R3164" s="117" t="str">
        <x:v>UK Customer Repair Received</x:v>
      </x:c>
      <x:c r="S3164" s="119"/>
    </x:row>
    <x:row r="3165" ht="30" customHeight="1">
      <x:c r="A3165" s="117" t="str">
        <x:v>UK_Customer_Repair_Received</x:v>
      </x:c>
      <x:c r="B3165" s="117" t="str">
        <x:v>3005b000000LGu8AAG</x:v>
      </x:c>
      <x:c r="C3165" s="117" t="str">
        <x:v>3015b000000AE4NAAW</x:v>
      </x:c>
      <x:c r="D3165" s="118" t="n">
        <x:v>3</x:v>
      </x:c>
      <x:c r="E3165" s="117" t="str">
        <x:v>Obsolete</x:v>
      </x:c>
      <x:c r="F3165" s="117" t="str">
        <x:v>No</x:v>
      </x:c>
      <x:c r="G3165" s="117" t="str">
        <x:v>No</x:v>
      </x:c>
      <x:c r="H3165" s="117" t="str">
        <x:v>AutoLaunchedFlow</x:v>
      </x:c>
      <x:c r="I3165" s="118" t="n">
        <x:v>56</x:v>
      </x:c>
      <x:c r="J3165" s="117" t="str">
        <x:v>unmanaged</x:v>
      </x:c>
      <x:c r="K3165" s="123" t="b">
        <x:v>0</x:v>
      </x:c>
      <x:c r="L3165" s="117"/>
      <x:c r="M3165" s="118"/>
      <x:c r="N3165" s="120" t="n">
        <x:v>44937.64748842592</x:v>
      </x:c>
      <x:c r="O3165" s="117" t="str">
        <x:v>Jon Kean</x:v>
      </x:c>
      <x:c r="P3165" s="120" t="n">
        <x:v>44937.64759259259</x:v>
      </x:c>
      <x:c r="Q3165" s="117" t="str">
        <x:v>Jon Kean</x:v>
      </x:c>
      <x:c r="R3165" s="117" t="str">
        <x:v>UK Customer Repair Received</x:v>
      </x:c>
      <x:c r="S3165" s="119"/>
    </x:row>
    <x:row r="3166" ht="30" customHeight="1">
      <x:c r="A3166" s="117" t="str">
        <x:v>UK_Customer_Repair_Received</x:v>
      </x:c>
      <x:c r="B3166" s="117" t="str">
        <x:v>3005b000000LGu8AAG</x:v>
      </x:c>
      <x:c r="C3166" s="117" t="str">
        <x:v>3015b000000AF8LAAW</x:v>
      </x:c>
      <x:c r="D3166" s="118" t="n">
        <x:v>4</x:v>
      </x:c>
      <x:c r="E3166" s="117" t="str">
        <x:v>Obsolete</x:v>
      </x:c>
      <x:c r="F3166" s="117" t="str">
        <x:v>No</x:v>
      </x:c>
      <x:c r="G3166" s="117" t="str">
        <x:v>No</x:v>
      </x:c>
      <x:c r="H3166" s="117" t="str">
        <x:v>AutoLaunchedFlow</x:v>
      </x:c>
      <x:c r="I3166" s="118" t="n">
        <x:v>56</x:v>
      </x:c>
      <x:c r="J3166" s="117" t="str">
        <x:v>unmanaged</x:v>
      </x:c>
      <x:c r="K3166" s="123" t="b">
        <x:v>0</x:v>
      </x:c>
      <x:c r="L3166" s="117"/>
      <x:c r="M3166" s="118"/>
      <x:c r="N3166" s="120" t="n">
        <x:v>44953.4875</x:v>
      </x:c>
      <x:c r="O3166" s="117" t="str">
        <x:v>Jon Kean</x:v>
      </x:c>
      <x:c r="P3166" s="120" t="n">
        <x:v>44953.48755787037</x:v>
      </x:c>
      <x:c r="Q3166" s="117" t="str">
        <x:v>Jon Kean</x:v>
      </x:c>
      <x:c r="R3166" s="117" t="str">
        <x:v>UK Customer Repair Received</x:v>
      </x:c>
      <x:c r="S3166" s="119"/>
    </x:row>
    <x:row r="3167" ht="30" customHeight="1">
      <x:c r="A3167" s="117" t="str">
        <x:v>UK_Customer_Repair_Received</x:v>
      </x:c>
      <x:c r="B3167" s="117" t="str">
        <x:v>3005b000000LGu8AAG</x:v>
      </x:c>
      <x:c r="C3167" s="117" t="str">
        <x:v>3015b000000AFlSAAW</x:v>
      </x:c>
      <x:c r="D3167" s="118" t="n">
        <x:v>5</x:v>
      </x:c>
      <x:c r="E3167" s="117" t="str">
        <x:v>Obsolete</x:v>
      </x:c>
      <x:c r="F3167" s="117" t="str">
        <x:v>No</x:v>
      </x:c>
      <x:c r="G3167" s="117" t="str">
        <x:v>No</x:v>
      </x:c>
      <x:c r="H3167" s="117" t="str">
        <x:v>AutoLaunchedFlow</x:v>
      </x:c>
      <x:c r="I3167" s="118" t="n">
        <x:v>56</x:v>
      </x:c>
      <x:c r="J3167" s="117" t="str">
        <x:v>unmanaged</x:v>
      </x:c>
      <x:c r="K3167" s="123" t="b">
        <x:v>0</x:v>
      </x:c>
      <x:c r="L3167" s="117"/>
      <x:c r="M3167" s="118"/>
      <x:c r="N3167" s="120" t="n">
        <x:v>44958.45726851852</x:v>
      </x:c>
      <x:c r="O3167" s="117" t="str">
        <x:v>Jon Kean</x:v>
      </x:c>
      <x:c r="P3167" s="120" t="n">
        <x:v>44958.45730324074</x:v>
      </x:c>
      <x:c r="Q3167" s="117" t="str">
        <x:v>Jon Kean</x:v>
      </x:c>
      <x:c r="R3167" s="117" t="str">
        <x:v>UK Customer Repair Received</x:v>
      </x:c>
      <x:c r="S3167" s="119"/>
    </x:row>
    <x:row r="3168" ht="30" customHeight="1">
      <x:c r="A3168" s="117" t="str">
        <x:v>UK_Customer_Repair_Received</x:v>
      </x:c>
      <x:c r="B3168" s="117" t="str">
        <x:v>3005b000000LGu8AAG</x:v>
      </x:c>
      <x:c r="C3168" s="117" t="str">
        <x:v>3015b000000APSzAAO</x:v>
      </x:c>
      <x:c r="D3168" s="118" t="n">
        <x:v>6</x:v>
      </x:c>
      <x:c r="E3168" s="117" t="str">
        <x:v>Obsolete</x:v>
      </x:c>
      <x:c r="F3168" s="117" t="str">
        <x:v>No</x:v>
      </x:c>
      <x:c r="G3168" s="117" t="str">
        <x:v>No</x:v>
      </x:c>
      <x:c r="H3168" s="117" t="str">
        <x:v>AutoLaunchedFlow</x:v>
      </x:c>
      <x:c r="I3168" s="118" t="n">
        <x:v>56</x:v>
      </x:c>
      <x:c r="J3168" s="117" t="str">
        <x:v>unmanaged</x:v>
      </x:c>
      <x:c r="K3168" s="123" t="b">
        <x:v>0</x:v>
      </x:c>
      <x:c r="L3168" s="117"/>
      <x:c r="M3168" s="118"/>
      <x:c r="N3168" s="120" t="n">
        <x:v>45141.44349537037</x:v>
      </x:c>
      <x:c r="O3168" s="117" t="str">
        <x:v>Jon Kean</x:v>
      </x:c>
      <x:c r="P3168" s="120" t="n">
        <x:v>45141.44354166667</x:v>
      </x:c>
      <x:c r="Q3168" s="117" t="str">
        <x:v>Jon Kean</x:v>
      </x:c>
      <x:c r="R3168" s="117" t="str">
        <x:v>UK Customer Repair Received</x:v>
      </x:c>
      <x:c r="S3168" s="119"/>
    </x:row>
    <x:row r="3169" ht="30" customHeight="1">
      <x:c r="A3169" s="117" t="str">
        <x:v>UK_Customer_Repair_Received</x:v>
      </x:c>
      <x:c r="B3169" s="117" t="str">
        <x:v>3005b000000LGu8AAG</x:v>
      </x:c>
      <x:c r="C3169" s="117" t="str">
        <x:v>3015b0000011MiBAAU</x:v>
      </x:c>
      <x:c r="D3169" s="118" t="n">
        <x:v>7</x:v>
      </x:c>
      <x:c r="E3169" s="117" t="str">
        <x:v>Obsolete</x:v>
      </x:c>
      <x:c r="F3169" s="117" t="str">
        <x:v>No</x:v>
      </x:c>
      <x:c r="G3169" s="117" t="str">
        <x:v>No</x:v>
      </x:c>
      <x:c r="H3169" s="117" t="str">
        <x:v>AutoLaunchedFlow</x:v>
      </x:c>
      <x:c r="I3169" s="118" t="n">
        <x:v>56</x:v>
      </x:c>
      <x:c r="J3169" s="117" t="str">
        <x:v>unmanaged</x:v>
      </x:c>
      <x:c r="K3169" s="123" t="b">
        <x:v>0</x:v>
      </x:c>
      <x:c r="L3169" s="117"/>
      <x:c r="M3169" s="118"/>
      <x:c r="N3169" s="120" t="n">
        <x:v>45265.548472222225</x:v>
      </x:c>
      <x:c r="O3169" s="117" t="str">
        <x:v>Jon Kean</x:v>
      </x:c>
      <x:c r="P3169" s="120" t="n">
        <x:v>45265.54851851852</x:v>
      </x:c>
      <x:c r="Q3169" s="117" t="str">
        <x:v>Jon Kean</x:v>
      </x:c>
      <x:c r="R3169" s="117" t="str">
        <x:v>UK Customer Repair Received</x:v>
      </x:c>
      <x:c r="S3169" s="119"/>
    </x:row>
    <x:row r="3170" ht="30" customHeight="1">
      <x:c r="A3170" s="117" t="str">
        <x:v>UK_Customer_Repair_Received</x:v>
      </x:c>
      <x:c r="B3170" s="117" t="str">
        <x:v>3005b000000LGu8AAG</x:v>
      </x:c>
      <x:c r="C3170" s="117" t="str">
        <x:v>301Ro00000BBq8FIAT</x:v>
      </x:c>
      <x:c r="D3170" s="118" t="n">
        <x:v>8</x:v>
      </x:c>
      <x:c r="E3170" s="117" t="str">
        <x:v>Obsolete</x:v>
      </x:c>
      <x:c r="F3170" s="117" t="str">
        <x:v>No</x:v>
      </x:c>
      <x:c r="G3170" s="117" t="str">
        <x:v>No</x:v>
      </x:c>
      <x:c r="H3170" s="117" t="str">
        <x:v>AutoLaunchedFlow</x:v>
      </x:c>
      <x:c r="I3170" s="118" t="n">
        <x:v>56</x:v>
      </x:c>
      <x:c r="J3170" s="117" t="str">
        <x:v>unmanaged</x:v>
      </x:c>
      <x:c r="K3170" s="123" t="b">
        <x:v>0</x:v>
      </x:c>
      <x:c r="L3170" s="117"/>
      <x:c r="M3170" s="118"/>
      <x:c r="N3170" s="120" t="n">
        <x:v>45400.606469907405</x:v>
      </x:c>
      <x:c r="O3170" s="117" t="str">
        <x:v>Jon Kean</x:v>
      </x:c>
      <x:c r="P3170" s="120" t="n">
        <x:v>45400.60659722222</x:v>
      </x:c>
      <x:c r="Q3170" s="117" t="str">
        <x:v>Jon Kean</x:v>
      </x:c>
      <x:c r="R3170" s="117" t="str">
        <x:v>UK Customer Repair Received</x:v>
      </x:c>
      <x:c r="S3170" s="119"/>
    </x:row>
    <x:row r="3171" ht="30" customHeight="1">
      <x:c r="A3171" s="117" t="str">
        <x:v>UK_Customer_Repair_Received</x:v>
      </x:c>
      <x:c r="B3171" s="117" t="str">
        <x:v>3005b000000LGu8AAG</x:v>
      </x:c>
      <x:c r="C3171" s="117" t="str">
        <x:v>301Ro00000BFHocIAH</x:v>
      </x:c>
      <x:c r="D3171" s="118" t="n">
        <x:v>9</x:v>
      </x:c>
      <x:c r="E3171" s="117" t="str">
        <x:v>Obsolete</x:v>
      </x:c>
      <x:c r="F3171" s="117" t="str">
        <x:v>No</x:v>
      </x:c>
      <x:c r="G3171" s="117" t="str">
        <x:v>No</x:v>
      </x:c>
      <x:c r="H3171" s="117" t="str">
        <x:v>AutoLaunchedFlow</x:v>
      </x:c>
      <x:c r="I3171" s="118" t="n">
        <x:v>56</x:v>
      </x:c>
      <x:c r="J3171" s="117" t="str">
        <x:v>unmanaged</x:v>
      </x:c>
      <x:c r="K3171" s="123" t="b">
        <x:v>0</x:v>
      </x:c>
      <x:c r="L3171" s="117"/>
      <x:c r="M3171" s="118"/>
      <x:c r="N3171" s="120" t="n">
        <x:v>45401.35979166667</x:v>
      </x:c>
      <x:c r="O3171" s="117" t="str">
        <x:v>Jon Kean</x:v>
      </x:c>
      <x:c r="P3171" s="120" t="n">
        <x:v>45401.35983796296</x:v>
      </x:c>
      <x:c r="Q3171" s="117" t="str">
        <x:v>Jon Kean</x:v>
      </x:c>
      <x:c r="R3171" s="117" t="str">
        <x:v>UK Customer Repair Received</x:v>
      </x:c>
      <x:c r="S3171" s="119"/>
    </x:row>
    <x:row r="3172" ht="30" customHeight="1">
      <x:c r="A3172" s="117" t="str">
        <x:v>UK_Customer_Repair_Received</x:v>
      </x:c>
      <x:c r="B3172" s="117" t="str">
        <x:v>3005b000000LGu8AAG</x:v>
      </x:c>
      <x:c r="C3172" s="117" t="str">
        <x:v>301Ro00000OgU3zIAF</x:v>
      </x:c>
      <x:c r="D3172" s="118" t="n">
        <x:v>10</x:v>
      </x:c>
      <x:c r="E3172" s="117" t="str">
        <x:v>Obsolete</x:v>
      </x:c>
      <x:c r="F3172" s="117" t="str">
        <x:v>No</x:v>
      </x:c>
      <x:c r="G3172" s="117" t="str">
        <x:v>No</x:v>
      </x:c>
      <x:c r="H3172" s="117" t="str">
        <x:v>AutoLaunchedFlow</x:v>
      </x:c>
      <x:c r="I3172" s="118" t="n">
        <x:v>56</x:v>
      </x:c>
      <x:c r="J3172" s="117" t="str">
        <x:v>unmanaged</x:v>
      </x:c>
      <x:c r="K3172" s="123" t="b">
        <x:v>0</x:v>
      </x:c>
      <x:c r="L3172" s="117"/>
      <x:c r="M3172" s="118"/>
      <x:c r="N3172" s="120" t="n">
        <x:v>45609.38230324074</x:v>
      </x:c>
      <x:c r="O3172" s="117" t="str">
        <x:v>Jon Kean</x:v>
      </x:c>
      <x:c r="P3172" s="120" t="n">
        <x:v>45609.382569444446</x:v>
      </x:c>
      <x:c r="Q3172" s="117" t="str">
        <x:v>Jon Kean</x:v>
      </x:c>
      <x:c r="R3172" s="117" t="str">
        <x:v>UK Customer Repair Received</x:v>
      </x:c>
      <x:c r="S3172" s="119" t="str">
        <x:v>Edited email alert</x:v>
      </x:c>
    </x:row>
    <x:row r="3173" ht="30" customHeight="1">
      <x:c r="A3173" s="117" t="str">
        <x:v>UK_Customer_Repair_Received</x:v>
      </x:c>
      <x:c r="B3173" s="117" t="str">
        <x:v>3005b000000LGu8AAG</x:v>
      </x:c>
      <x:c r="C3173" s="117" t="str">
        <x:v>301Ro00000U1WvpIAF</x:v>
      </x:c>
      <x:c r="D3173" s="118" t="n">
        <x:v>11</x:v>
      </x:c>
      <x:c r="E3173" s="117" t="str">
        <x:v>Active</x:v>
      </x:c>
      <x:c r="F3173" s="117" t="str">
        <x:v>Yes</x:v>
      </x:c>
      <x:c r="G3173" s="117" t="str">
        <x:v>Yes</x:v>
      </x:c>
      <x:c r="H3173" s="117" t="str">
        <x:v>AutoLaunchedFlow</x:v>
      </x:c>
      <x:c r="I3173" s="118" t="n">
        <x:v>56</x:v>
      </x:c>
      <x:c r="J3173" s="117" t="str">
        <x:v>unmanaged</x:v>
      </x:c>
      <x:c r="K3173" s="123" t="b">
        <x:v>0</x:v>
      </x:c>
      <x:c r="L3173" s="117"/>
      <x:c r="M3173" s="118"/>
      <x:c r="N3173" s="120" t="n">
        <x:v>45702.37917824074</x:v>
      </x:c>
      <x:c r="O3173" s="117" t="str">
        <x:v>Jon Kean</x:v>
      </x:c>
      <x:c r="P3173" s="120" t="n">
        <x:v>45702.37923611111</x:v>
      </x:c>
      <x:c r="Q3173" s="117" t="str">
        <x:v>Jon Kean</x:v>
      </x:c>
      <x:c r="R3173" s="117" t="str">
        <x:v>UK Customer Repair Received</x:v>
      </x:c>
      <x:c r="S3173" s="119" t="str">
        <x:v>Edited email alert</x:v>
      </x:c>
    </x:row>
    <x:row r="3174" ht="30" customHeight="1">
      <x:c r="A3174" s="117" t="str">
        <x:v>UK_Notification_for_Parts_Preperation</x:v>
      </x:c>
      <x:c r="B3174" s="117" t="str">
        <x:v>3005b000000LH4SAAW</x:v>
      </x:c>
      <x:c r="C3174" s="117" t="str">
        <x:v>3015b000000ABlnAAG</x:v>
      </x:c>
      <x:c r="D3174" s="118" t="n">
        <x:v>1</x:v>
      </x:c>
      <x:c r="E3174" s="117" t="str">
        <x:v>Draft</x:v>
      </x:c>
      <x:c r="F3174" s="117" t="str">
        <x:v>No</x:v>
      </x:c>
      <x:c r="G3174" s="117" t="str">
        <x:v>Yes</x:v>
      </x:c>
      <x:c r="H3174" s="117" t="str">
        <x:v>AutoLaunchedFlow</x:v>
      </x:c>
      <x:c r="I3174" s="118" t="n">
        <x:v>56</x:v>
      </x:c>
      <x:c r="J3174" s="117" t="str">
        <x:v>unmanaged</x:v>
      </x:c>
      <x:c r="K3174" s="123" t="b">
        <x:v>0</x:v>
      </x:c>
      <x:c r="L3174" s="117"/>
      <x:c r="M3174" s="118"/>
      <x:c r="N3174" s="120" t="n">
        <x:v>44903.61267361111</x:v>
      </x:c>
      <x:c r="O3174" s="117" t="str">
        <x:v>Jace Gentil</x:v>
      </x:c>
      <x:c r="P3174" s="120" t="n">
        <x:v>44903.61278935185</x:v>
      </x:c>
      <x:c r="Q3174" s="117" t="str">
        <x:v>Jace Gentil</x:v>
      </x:c>
      <x:c r="R3174" s="117" t="str">
        <x:v>UK Notification for Parts Preperation</x:v>
      </x:c>
      <x:c r="S3174" s="119"/>
    </x:row>
    <x:row r="3175" ht="30" customHeight="1">
      <x:c r="A3175" s="117" t="str">
        <x:v>UK_Notification_for_Shipping_Ops_to_the_UK</x:v>
      </x:c>
      <x:c r="B3175" s="117" t="str">
        <x:v>3005b000000LGsbAAG</x:v>
      </x:c>
      <x:c r="C3175" s="117" t="str">
        <x:v>3015b000000A9ItAAK</x:v>
      </x:c>
      <x:c r="D3175" s="118" t="n">
        <x:v>1</x:v>
      </x:c>
      <x:c r="E3175" s="117" t="str">
        <x:v>Obsolete</x:v>
      </x:c>
      <x:c r="F3175" s="117" t="str">
        <x:v>No</x:v>
      </x:c>
      <x:c r="G3175" s="117" t="str">
        <x:v>No</x:v>
      </x:c>
      <x:c r="H3175" s="117" t="str">
        <x:v>AutoLaunchedFlow</x:v>
      </x:c>
      <x:c r="I3175" s="118" t="n">
        <x:v>56</x:v>
      </x:c>
      <x:c r="J3175" s="117" t="str">
        <x:v>unmanaged</x:v>
      </x:c>
      <x:c r="K3175" s="123" t="b">
        <x:v>0</x:v>
      </x:c>
      <x:c r="L3175" s="117"/>
      <x:c r="M3175" s="118"/>
      <x:c r="N3175" s="120" t="n">
        <x:v>44869.52978009259</x:v>
      </x:c>
      <x:c r="O3175" s="117" t="str">
        <x:v>Jace Gentil</x:v>
      </x:c>
      <x:c r="P3175" s="120" t="n">
        <x:v>44869.53326388889</x:v>
      </x:c>
      <x:c r="Q3175" s="117" t="str">
        <x:v>Jace Gentil</x:v>
      </x:c>
      <x:c r="R3175" s="117" t="str">
        <x:v>UK Notification for Shipping Ops to the UK</x:v>
      </x:c>
      <x:c r="S3175" s="119"/>
    </x:row>
    <x:row r="3176" ht="30" customHeight="1">
      <x:c r="A3176" s="117" t="str">
        <x:v>UK_Notification_for_Shipping_Ops_to_the_UK</x:v>
      </x:c>
      <x:c r="B3176" s="117" t="str">
        <x:v>3005b000000LGsbAAG</x:v>
      </x:c>
      <x:c r="C3176" s="117" t="str">
        <x:v>3015b000000A9IyAAK</x:v>
      </x:c>
      <x:c r="D3176" s="118" t="n">
        <x:v>2</x:v>
      </x:c>
      <x:c r="E3176" s="117" t="str">
        <x:v>Obsolete</x:v>
      </x:c>
      <x:c r="F3176" s="117" t="str">
        <x:v>No</x:v>
      </x:c>
      <x:c r="G3176" s="117" t="str">
        <x:v>No</x:v>
      </x:c>
      <x:c r="H3176" s="117" t="str">
        <x:v>AutoLaunchedFlow</x:v>
      </x:c>
      <x:c r="I3176" s="118" t="n">
        <x:v>56</x:v>
      </x:c>
      <x:c r="J3176" s="117" t="str">
        <x:v>unmanaged</x:v>
      </x:c>
      <x:c r="K3176" s="123" t="b">
        <x:v>0</x:v>
      </x:c>
      <x:c r="L3176" s="117"/>
      <x:c r="M3176" s="118"/>
      <x:c r="N3176" s="120" t="n">
        <x:v>44869.535625</x:v>
      </x:c>
      <x:c r="O3176" s="117" t="str">
        <x:v>Jace Gentil</x:v>
      </x:c>
      <x:c r="P3176" s="120" t="n">
        <x:v>44869.53565972222</x:v>
      </x:c>
      <x:c r="Q3176" s="117" t="str">
        <x:v>Jace Gentil</x:v>
      </x:c>
      <x:c r="R3176" s="117" t="str">
        <x:v>UK Notification for Shipping Ops to the UK</x:v>
      </x:c>
      <x:c r="S3176" s="119"/>
    </x:row>
    <x:row r="3177" ht="30" customHeight="1">
      <x:c r="A3177" s="117" t="str">
        <x:v>UK_Notification_for_Shipping_Ops_to_the_UK</x:v>
      </x:c>
      <x:c r="B3177" s="117" t="str">
        <x:v>3005b000000LGsbAAG</x:v>
      </x:c>
      <x:c r="C3177" s="117" t="str">
        <x:v>301Ro00000Ck6d8IAB</x:v>
      </x:c>
      <x:c r="D3177" s="118" t="n">
        <x:v>3</x:v>
      </x:c>
      <x:c r="E3177" s="117" t="str">
        <x:v>Active</x:v>
      </x:c>
      <x:c r="F3177" s="117" t="str">
        <x:v>Yes</x:v>
      </x:c>
      <x:c r="G3177" s="117" t="str">
        <x:v>Yes</x:v>
      </x:c>
      <x:c r="H3177" s="117" t="str">
        <x:v>AutoLaunchedFlow</x:v>
      </x:c>
      <x:c r="I3177" s="118" t="n">
        <x:v>56</x:v>
      </x:c>
      <x:c r="J3177" s="117" t="str">
        <x:v>unmanaged</x:v>
      </x:c>
      <x:c r="K3177" s="123" t="b">
        <x:v>0</x:v>
      </x:c>
      <x:c r="L3177" s="117"/>
      <x:c r="M3177" s="118"/>
      <x:c r="N3177" s="120" t="n">
        <x:v>45425.833958333336</x:v>
      </x:c>
      <x:c r="O3177" s="117" t="str">
        <x:v>Jace Gentil</x:v>
      </x:c>
      <x:c r="P3177" s="120" t="n">
        <x:v>45425.83399305555</x:v>
      </x:c>
      <x:c r="Q3177" s="117" t="str">
        <x:v>Jace Gentil</x:v>
      </x:c>
      <x:c r="R3177" s="117" t="str">
        <x:v>UK Notification for Shipping Ops to the UK</x:v>
      </x:c>
      <x:c r="S3177" s="119"/>
    </x:row>
    <x:row r="3178" ht="30" customHeight="1">
      <x:c r="A3178" s="117" t="str">
        <x:v>UK_Pricing_Request_Notifications</x:v>
      </x:c>
      <x:c r="B3178" s="117" t="str">
        <x:v>3005b000000H3wXAAS</x:v>
      </x:c>
      <x:c r="C3178" s="117" t="str">
        <x:v>3015b000000EKFSAA4</x:v>
      </x:c>
      <x:c r="D3178" s="118" t="n">
        <x:v>1</x:v>
      </x:c>
      <x:c r="E3178" s="117" t="str">
        <x:v>Obsolete</x:v>
      </x:c>
      <x:c r="F3178" s="117" t="str">
        <x:v>No</x:v>
      </x:c>
      <x:c r="G3178" s="117" t="str">
        <x:v>No</x:v>
      </x:c>
      <x:c r="H3178" s="117" t="str">
        <x:v>AutoLaunchedFlow</x:v>
      </x:c>
      <x:c r="I3178" s="118" t="n">
        <x:v>54</x:v>
      </x:c>
      <x:c r="J3178" s="117" t="str">
        <x:v>unmanaged</x:v>
      </x:c>
      <x:c r="K3178" s="123" t="b">
        <x:v>0</x:v>
      </x:c>
      <x:c r="L3178" s="117"/>
      <x:c r="M3178" s="118"/>
      <x:c r="N3178" s="120" t="n">
        <x:v>44724.905011574076</x:v>
      </x:c>
      <x:c r="O3178" s="117" t="str">
        <x:v>Jace Gentil</x:v>
      </x:c>
      <x:c r="P3178" s="120" t="n">
        <x:v>44724.9050462963</x:v>
      </x:c>
      <x:c r="Q3178" s="117" t="str">
        <x:v>Jace Gentil</x:v>
      </x:c>
      <x:c r="R3178" s="117" t="str">
        <x:v>UK Pricing Request Notifications</x:v>
      </x:c>
      <x:c r="S3178" s="119"/>
    </x:row>
    <x:row r="3179" ht="30" customHeight="1">
      <x:c r="A3179" s="117" t="str">
        <x:v>UK_Pricing_Request_Notifications</x:v>
      </x:c>
      <x:c r="B3179" s="117" t="str">
        <x:v>3005b000000H3wXAAS</x:v>
      </x:c>
      <x:c r="C3179" s="117" t="str">
        <x:v>3015b000000EKFgAAO</x:v>
      </x:c>
      <x:c r="D3179" s="118" t="n">
        <x:v>2</x:v>
      </x:c>
      <x:c r="E3179" s="117" t="str">
        <x:v>Obsolete</x:v>
      </x:c>
      <x:c r="F3179" s="117" t="str">
        <x:v>No</x:v>
      </x:c>
      <x:c r="G3179" s="117" t="str">
        <x:v>No</x:v>
      </x:c>
      <x:c r="H3179" s="117" t="str">
        <x:v>AutoLaunchedFlow</x:v>
      </x:c>
      <x:c r="I3179" s="118" t="n">
        <x:v>54</x:v>
      </x:c>
      <x:c r="J3179" s="117" t="str">
        <x:v>unmanaged</x:v>
      </x:c>
      <x:c r="K3179" s="123" t="b">
        <x:v>0</x:v>
      </x:c>
      <x:c r="L3179" s="117"/>
      <x:c r="M3179" s="118"/>
      <x:c r="N3179" s="120" t="n">
        <x:v>44724.90556712963</x:v>
      </x:c>
      <x:c r="O3179" s="117" t="str">
        <x:v>Jace Gentil</x:v>
      </x:c>
      <x:c r="P3179" s="120" t="n">
        <x:v>44724.905590277776</x:v>
      </x:c>
      <x:c r="Q3179" s="117" t="str">
        <x:v>Jace Gentil</x:v>
      </x:c>
      <x:c r="R3179" s="117" t="str">
        <x:v>UK Pricing Request Notifications</x:v>
      </x:c>
      <x:c r="S3179" s="119"/>
    </x:row>
    <x:row r="3180" ht="30" customHeight="1">
      <x:c r="A3180" s="117" t="str">
        <x:v>UK_Pricing_Request_Notifications</x:v>
      </x:c>
      <x:c r="B3180" s="117" t="str">
        <x:v>3005b000000H3wXAAS</x:v>
      </x:c>
      <x:c r="C3180" s="117" t="str">
        <x:v>3015b000000W0dIAAS</x:v>
      </x:c>
      <x:c r="D3180" s="118" t="n">
        <x:v>3</x:v>
      </x:c>
      <x:c r="E3180" s="117" t="str">
        <x:v>Obsolete</x:v>
      </x:c>
      <x:c r="F3180" s="117" t="str">
        <x:v>No</x:v>
      </x:c>
      <x:c r="G3180" s="117" t="str">
        <x:v>No</x:v>
      </x:c>
      <x:c r="H3180" s="117" t="str">
        <x:v>AutoLaunchedFlow</x:v>
      </x:c>
      <x:c r="I3180" s="118" t="n">
        <x:v>54</x:v>
      </x:c>
      <x:c r="J3180" s="117" t="str">
        <x:v>unmanaged</x:v>
      </x:c>
      <x:c r="K3180" s="123" t="b">
        <x:v>0</x:v>
      </x:c>
      <x:c r="L3180" s="117"/>
      <x:c r="M3180" s="118"/>
      <x:c r="N3180" s="120" t="n">
        <x:v>45001.66180555556</x:v>
      </x:c>
      <x:c r="O3180" s="117" t="str">
        <x:v>Jace Gentil</x:v>
      </x:c>
      <x:c r="P3180" s="120" t="n">
        <x:v>45001.661840277775</x:v>
      </x:c>
      <x:c r="Q3180" s="117" t="str">
        <x:v>Jace Gentil</x:v>
      </x:c>
      <x:c r="R3180" s="117" t="str">
        <x:v>UK Pricing Request Notifications</x:v>
      </x:c>
      <x:c r="S3180" s="119"/>
    </x:row>
    <x:row r="3181" ht="30" customHeight="1">
      <x:c r="A3181" s="117" t="str">
        <x:v>UK_Pricing_Request_Notifications</x:v>
      </x:c>
      <x:c r="B3181" s="117" t="str">
        <x:v>3005b000000H3wXAAS</x:v>
      </x:c>
      <x:c r="C3181" s="117" t="str">
        <x:v>3015b000000W0dNAAS</x:v>
      </x:c>
      <x:c r="D3181" s="118" t="n">
        <x:v>4</x:v>
      </x:c>
      <x:c r="E3181" s="117" t="str">
        <x:v>Obsolete</x:v>
      </x:c>
      <x:c r="F3181" s="117" t="str">
        <x:v>No</x:v>
      </x:c>
      <x:c r="G3181" s="117" t="str">
        <x:v>No</x:v>
      </x:c>
      <x:c r="H3181" s="117" t="str">
        <x:v>AutoLaunchedFlow</x:v>
      </x:c>
      <x:c r="I3181" s="118" t="n">
        <x:v>54</x:v>
      </x:c>
      <x:c r="J3181" s="117" t="str">
        <x:v>unmanaged</x:v>
      </x:c>
      <x:c r="K3181" s="123" t="b">
        <x:v>0</x:v>
      </x:c>
      <x:c r="L3181" s="117"/>
      <x:c r="M3181" s="118"/>
      <x:c r="N3181" s="120" t="n">
        <x:v>45001.66685185185</x:v>
      </x:c>
      <x:c r="O3181" s="117" t="str">
        <x:v>Jace Gentil</x:v>
      </x:c>
      <x:c r="P3181" s="120" t="n">
        <x:v>45001.66689814815</x:v>
      </x:c>
      <x:c r="Q3181" s="117" t="str">
        <x:v>Jace Gentil</x:v>
      </x:c>
      <x:c r="R3181" s="117" t="str">
        <x:v>Pricing Request Notifications Flow</x:v>
      </x:c>
      <x:c r="S3181" s="119"/>
    </x:row>
    <x:row r="3182" ht="30" customHeight="1">
      <x:c r="A3182" s="117" t="str">
        <x:v>UK_Pricing_Request_Notifications</x:v>
      </x:c>
      <x:c r="B3182" s="117" t="str">
        <x:v>3005b000000H3wXAAS</x:v>
      </x:c>
      <x:c r="C3182" s="117" t="str">
        <x:v>3015b000000W0dSAAS</x:v>
      </x:c>
      <x:c r="D3182" s="118" t="n">
        <x:v>5</x:v>
      </x:c>
      <x:c r="E3182" s="117" t="str">
        <x:v>Obsolete</x:v>
      </x:c>
      <x:c r="F3182" s="117" t="str">
        <x:v>No</x:v>
      </x:c>
      <x:c r="G3182" s="117" t="str">
        <x:v>No</x:v>
      </x:c>
      <x:c r="H3182" s="117" t="str">
        <x:v>AutoLaunchedFlow</x:v>
      </x:c>
      <x:c r="I3182" s="118" t="n">
        <x:v>54</x:v>
      </x:c>
      <x:c r="J3182" s="117" t="str">
        <x:v>unmanaged</x:v>
      </x:c>
      <x:c r="K3182" s="123" t="b">
        <x:v>0</x:v>
      </x:c>
      <x:c r="L3182" s="117"/>
      <x:c r="M3182" s="118"/>
      <x:c r="N3182" s="120" t="n">
        <x:v>45001.67711805556</x:v>
      </x:c>
      <x:c r="O3182" s="117" t="str">
        <x:v>Jace Gentil</x:v>
      </x:c>
      <x:c r="P3182" s="120" t="n">
        <x:v>45001.677152777775</x:v>
      </x:c>
      <x:c r="Q3182" s="117" t="str">
        <x:v>Jace Gentil</x:v>
      </x:c>
      <x:c r="R3182" s="117" t="str">
        <x:v>Pricing Request Notifications Flow</x:v>
      </x:c>
      <x:c r="S3182" s="119"/>
    </x:row>
    <x:row r="3183" ht="30" customHeight="1">
      <x:c r="A3183" s="117" t="str">
        <x:v>UK_Pricing_Request_Notifications</x:v>
      </x:c>
      <x:c r="B3183" s="117" t="str">
        <x:v>3005b000000H3wXAAS</x:v>
      </x:c>
      <x:c r="C3183" s="117" t="str">
        <x:v>3015b000000W0e1AAC</x:v>
      </x:c>
      <x:c r="D3183" s="118" t="n">
        <x:v>6</x:v>
      </x:c>
      <x:c r="E3183" s="117" t="str">
        <x:v>Obsolete</x:v>
      </x:c>
      <x:c r="F3183" s="117" t="str">
        <x:v>No</x:v>
      </x:c>
      <x:c r="G3183" s="117" t="str">
        <x:v>No</x:v>
      </x:c>
      <x:c r="H3183" s="117" t="str">
        <x:v>AutoLaunchedFlow</x:v>
      </x:c>
      <x:c r="I3183" s="118" t="n">
        <x:v>54</x:v>
      </x:c>
      <x:c r="J3183" s="117" t="str">
        <x:v>unmanaged</x:v>
      </x:c>
      <x:c r="K3183" s="123" t="b">
        <x:v>0</x:v>
      </x:c>
      <x:c r="L3183" s="117"/>
      <x:c r="M3183" s="118"/>
      <x:c r="N3183" s="120" t="n">
        <x:v>45001.69719907407</x:v>
      </x:c>
      <x:c r="O3183" s="117" t="str">
        <x:v>Jace Gentil</x:v>
      </x:c>
      <x:c r="P3183" s="120" t="n">
        <x:v>45001.697233796294</x:v>
      </x:c>
      <x:c r="Q3183" s="117" t="str">
        <x:v>Jace Gentil</x:v>
      </x:c>
      <x:c r="R3183" s="117" t="str">
        <x:v>Pricing Request Notifications Flow</x:v>
      </x:c>
      <x:c r="S3183" s="119"/>
    </x:row>
    <x:row r="3184" ht="30" customHeight="1">
      <x:c r="A3184" s="117" t="str">
        <x:v>UK_Pricing_Request_Notifications</x:v>
      </x:c>
      <x:c r="B3184" s="117" t="str">
        <x:v>3005b000000H3wXAAS</x:v>
      </x:c>
      <x:c r="C3184" s="117" t="str">
        <x:v>3015b000000W0n3AAC</x:v>
      </x:c>
      <x:c r="D3184" s="118" t="n">
        <x:v>7</x:v>
      </x:c>
      <x:c r="E3184" s="117" t="str">
        <x:v>Obsolete</x:v>
      </x:c>
      <x:c r="F3184" s="117" t="str">
        <x:v>No</x:v>
      </x:c>
      <x:c r="G3184" s="117" t="str">
        <x:v>No</x:v>
      </x:c>
      <x:c r="H3184" s="117" t="str">
        <x:v>AutoLaunchedFlow</x:v>
      </x:c>
      <x:c r="I3184" s="118" t="n">
        <x:v>54</x:v>
      </x:c>
      <x:c r="J3184" s="117" t="str">
        <x:v>unmanaged</x:v>
      </x:c>
      <x:c r="K3184" s="123" t="b">
        <x:v>0</x:v>
      </x:c>
      <x:c r="L3184" s="117"/>
      <x:c r="M3184" s="118"/>
      <x:c r="N3184" s="120" t="n">
        <x:v>45002.554768518516</x:v>
      </x:c>
      <x:c r="O3184" s="117" t="str">
        <x:v>Jace Gentil</x:v>
      </x:c>
      <x:c r="P3184" s="120" t="n">
        <x:v>45002.55480324074</x:v>
      </x:c>
      <x:c r="Q3184" s="117" t="str">
        <x:v>Jace Gentil</x:v>
      </x:c>
      <x:c r="R3184" s="117" t="str">
        <x:v>Pricing Request Notifications Flow</x:v>
      </x:c>
      <x:c r="S3184" s="119"/>
    </x:row>
    <x:row r="3185" ht="30" customHeight="1">
      <x:c r="A3185" s="117" t="str">
        <x:v>UK_Pricing_Request_Notifications</x:v>
      </x:c>
      <x:c r="B3185" s="117" t="str">
        <x:v>3005b000000H3wXAAS</x:v>
      </x:c>
      <x:c r="C3185" s="117" t="str">
        <x:v>3015b000000W0n4AAC</x:v>
      </x:c>
      <x:c r="D3185" s="118" t="n">
        <x:v>8</x:v>
      </x:c>
      <x:c r="E3185" s="117" t="str">
        <x:v>Obsolete</x:v>
      </x:c>
      <x:c r="F3185" s="117" t="str">
        <x:v>No</x:v>
      </x:c>
      <x:c r="G3185" s="117" t="str">
        <x:v>No</x:v>
      </x:c>
      <x:c r="H3185" s="117" t="str">
        <x:v>AutoLaunchedFlow</x:v>
      </x:c>
      <x:c r="I3185" s="118" t="n">
        <x:v>54</x:v>
      </x:c>
      <x:c r="J3185" s="117" t="str">
        <x:v>unmanaged</x:v>
      </x:c>
      <x:c r="K3185" s="123" t="b">
        <x:v>0</x:v>
      </x:c>
      <x:c r="L3185" s="117"/>
      <x:c r="M3185" s="118"/>
      <x:c r="N3185" s="120" t="n">
        <x:v>45002.555</x:v>
      </x:c>
      <x:c r="O3185" s="117" t="str">
        <x:v>Jace Gentil</x:v>
      </x:c>
      <x:c r="P3185" s="120" t="n">
        <x:v>45002.55502314815</x:v>
      </x:c>
      <x:c r="Q3185" s="117" t="str">
        <x:v>Jace Gentil</x:v>
      </x:c>
      <x:c r="R3185" s="117" t="str">
        <x:v>Pricing Request Notifications Flow</x:v>
      </x:c>
      <x:c r="S3185" s="119"/>
    </x:row>
    <x:row r="3186" ht="30" customHeight="1">
      <x:c r="A3186" s="117" t="str">
        <x:v>UK_Pricing_Request_Notifications</x:v>
      </x:c>
      <x:c r="B3186" s="117" t="str">
        <x:v>3005b000000H3wXAAS</x:v>
      </x:c>
      <x:c r="C3186" s="117" t="str">
        <x:v>3015b000000W0n5AAC</x:v>
      </x:c>
      <x:c r="D3186" s="118" t="n">
        <x:v>9</x:v>
      </x:c>
      <x:c r="E3186" s="117" t="str">
        <x:v>Obsolete</x:v>
      </x:c>
      <x:c r="F3186" s="117" t="str">
        <x:v>No</x:v>
      </x:c>
      <x:c r="G3186" s="117" t="str">
        <x:v>No</x:v>
      </x:c>
      <x:c r="H3186" s="117" t="str">
        <x:v>AutoLaunchedFlow</x:v>
      </x:c>
      <x:c r="I3186" s="118" t="n">
        <x:v>54</x:v>
      </x:c>
      <x:c r="J3186" s="117" t="str">
        <x:v>unmanaged</x:v>
      </x:c>
      <x:c r="K3186" s="123" t="b">
        <x:v>0</x:v>
      </x:c>
      <x:c r="L3186" s="117"/>
      <x:c r="M3186" s="118"/>
      <x:c r="N3186" s="120" t="n">
        <x:v>45002.55894675926</x:v>
      </x:c>
      <x:c r="O3186" s="117" t="str">
        <x:v>Jace Gentil</x:v>
      </x:c>
      <x:c r="P3186" s="120" t="n">
        <x:v>45002.562002314815</x:v>
      </x:c>
      <x:c r="Q3186" s="117" t="str">
        <x:v>Jace Gentil</x:v>
      </x:c>
      <x:c r="R3186" s="117" t="str">
        <x:v>Pricing Request Notifications Flow</x:v>
      </x:c>
      <x:c r="S3186" s="119"/>
    </x:row>
    <x:row r="3187" ht="30" customHeight="1">
      <x:c r="A3187" s="117" t="str">
        <x:v>UK_Pricing_Request_Notifications</x:v>
      </x:c>
      <x:c r="B3187" s="117" t="str">
        <x:v>3005b000000H3wXAAS</x:v>
      </x:c>
      <x:c r="C3187" s="117" t="str">
        <x:v>3015b000000W0w5AAC</x:v>
      </x:c>
      <x:c r="D3187" s="118" t="n">
        <x:v>10</x:v>
      </x:c>
      <x:c r="E3187" s="117" t="str">
        <x:v>Obsolete</x:v>
      </x:c>
      <x:c r="F3187" s="117" t="str">
        <x:v>No</x:v>
      </x:c>
      <x:c r="G3187" s="117" t="str">
        <x:v>No</x:v>
      </x:c>
      <x:c r="H3187" s="117" t="str">
        <x:v>AutoLaunchedFlow</x:v>
      </x:c>
      <x:c r="I3187" s="118" t="n">
        <x:v>54</x:v>
      </x:c>
      <x:c r="J3187" s="117" t="str">
        <x:v>unmanaged</x:v>
      </x:c>
      <x:c r="K3187" s="123" t="b">
        <x:v>0</x:v>
      </x:c>
      <x:c r="L3187" s="117"/>
      <x:c r="M3187" s="118"/>
      <x:c r="N3187" s="120" t="n">
        <x:v>45006.91483796296</x:v>
      </x:c>
      <x:c r="O3187" s="117" t="str">
        <x:v>Jace Gentil</x:v>
      </x:c>
      <x:c r="P3187" s="120" t="n">
        <x:v>45006.91486111111</x:v>
      </x:c>
      <x:c r="Q3187" s="117" t="str">
        <x:v>Jace Gentil</x:v>
      </x:c>
      <x:c r="R3187" s="117" t="str">
        <x:v>Pricing Request Notifications Flow</x:v>
      </x:c>
      <x:c r="S3187" s="119"/>
    </x:row>
    <x:row r="3188" ht="30" customHeight="1">
      <x:c r="A3188" s="117" t="str">
        <x:v>UK_Pricing_Request_Notifications</x:v>
      </x:c>
      <x:c r="B3188" s="117" t="str">
        <x:v>3005b000000H3wXAAS</x:v>
      </x:c>
      <x:c r="C3188" s="117" t="str">
        <x:v>3015b000000W3fMAAS</x:v>
      </x:c>
      <x:c r="D3188" s="118" t="n">
        <x:v>11</x:v>
      </x:c>
      <x:c r="E3188" s="117" t="str">
        <x:v>Obsolete</x:v>
      </x:c>
      <x:c r="F3188" s="117" t="str">
        <x:v>No</x:v>
      </x:c>
      <x:c r="G3188" s="117" t="str">
        <x:v>No</x:v>
      </x:c>
      <x:c r="H3188" s="117" t="str">
        <x:v>AutoLaunchedFlow</x:v>
      </x:c>
      <x:c r="I3188" s="118" t="n">
        <x:v>54</x:v>
      </x:c>
      <x:c r="J3188" s="117" t="str">
        <x:v>unmanaged</x:v>
      </x:c>
      <x:c r="K3188" s="123" t="b">
        <x:v>0</x:v>
      </x:c>
      <x:c r="L3188" s="117"/>
      <x:c r="M3188" s="118"/>
      <x:c r="N3188" s="120" t="n">
        <x:v>45081.606157407405</x:v>
      </x:c>
      <x:c r="O3188" s="117" t="str">
        <x:v>Jace Gentil</x:v>
      </x:c>
      <x:c r="P3188" s="120" t="n">
        <x:v>45081.60618055556</x:v>
      </x:c>
      <x:c r="Q3188" s="117" t="str">
        <x:v>Jace Gentil</x:v>
      </x:c>
      <x:c r="R3188" s="117" t="str">
        <x:v>Pricing Request Notifications Flow</x:v>
      </x:c>
      <x:c r="S3188" s="119"/>
    </x:row>
    <x:row r="3189" ht="30" customHeight="1">
      <x:c r="A3189" s="117" t="str">
        <x:v>UK_Pricing_Request_Notifications</x:v>
      </x:c>
      <x:c r="B3189" s="117" t="str">
        <x:v>3005b000000H3wXAAS</x:v>
      </x:c>
      <x:c r="C3189" s="117" t="str">
        <x:v>3015b000000W3fRAAS</x:v>
      </x:c>
      <x:c r="D3189" s="118" t="n">
        <x:v>12</x:v>
      </x:c>
      <x:c r="E3189" s="117" t="str">
        <x:v>Obsolete</x:v>
      </x:c>
      <x:c r="F3189" s="117" t="str">
        <x:v>No</x:v>
      </x:c>
      <x:c r="G3189" s="117" t="str">
        <x:v>No</x:v>
      </x:c>
      <x:c r="H3189" s="117" t="str">
        <x:v>AutoLaunchedFlow</x:v>
      </x:c>
      <x:c r="I3189" s="118" t="n">
        <x:v>54</x:v>
      </x:c>
      <x:c r="J3189" s="117" t="str">
        <x:v>unmanaged</x:v>
      </x:c>
      <x:c r="K3189" s="123" t="b">
        <x:v>0</x:v>
      </x:c>
      <x:c r="L3189" s="117"/>
      <x:c r="M3189" s="118"/>
      <x:c r="N3189" s="120" t="n">
        <x:v>45081.61219907407</x:v>
      </x:c>
      <x:c r="O3189" s="117" t="str">
        <x:v>Jace Gentil</x:v>
      </x:c>
      <x:c r="P3189" s="120" t="n">
        <x:v>45081.612233796295</x:v>
      </x:c>
      <x:c r="Q3189" s="117" t="str">
        <x:v>Jace Gentil</x:v>
      </x:c>
      <x:c r="R3189" s="117" t="str">
        <x:v>Pricing Request Notifications Flow</x:v>
      </x:c>
      <x:c r="S3189" s="119"/>
    </x:row>
    <x:row r="3190" ht="30" customHeight="1">
      <x:c r="A3190" s="117" t="str">
        <x:v>UK_Pricing_Request_Notifications</x:v>
      </x:c>
      <x:c r="B3190" s="117" t="str">
        <x:v>3005b000000H3wXAAS</x:v>
      </x:c>
      <x:c r="C3190" s="117" t="str">
        <x:v>301Ro00000E2aaVIAR</x:v>
      </x:c>
      <x:c r="D3190" s="118" t="n">
        <x:v>13</x:v>
      </x:c>
      <x:c r="E3190" s="117" t="str">
        <x:v>Obsolete</x:v>
      </x:c>
      <x:c r="F3190" s="117" t="str">
        <x:v>No</x:v>
      </x:c>
      <x:c r="G3190" s="117" t="str">
        <x:v>No</x:v>
      </x:c>
      <x:c r="H3190" s="117" t="str">
        <x:v>AutoLaunchedFlow</x:v>
      </x:c>
      <x:c r="I3190" s="118" t="n">
        <x:v>54</x:v>
      </x:c>
      <x:c r="J3190" s="117" t="str">
        <x:v>unmanaged</x:v>
      </x:c>
      <x:c r="K3190" s="123" t="b">
        <x:v>0</x:v>
      </x:c>
      <x:c r="L3190" s="117"/>
      <x:c r="M3190" s="118"/>
      <x:c r="N3190" s="120" t="n">
        <x:v>45446.44530092592</x:v>
      </x:c>
      <x:c r="O3190" s="117" t="str">
        <x:v>Jon Kean</x:v>
      </x:c>
      <x:c r="P3190" s="120" t="n">
        <x:v>45446.445335648146</x:v>
      </x:c>
      <x:c r="Q3190" s="117" t="str">
        <x:v>Jon Kean</x:v>
      </x:c>
      <x:c r="R3190" s="117" t="str">
        <x:v>Pricing Request Notifications Flow</x:v>
      </x:c>
      <x:c r="S3190" s="119"/>
    </x:row>
    <x:row r="3191" ht="30" customHeight="1">
      <x:c r="A3191" s="117" t="str">
        <x:v>UK_Pricing_Request_Notifications</x:v>
      </x:c>
      <x:c r="B3191" s="117" t="str">
        <x:v>3005b000000H3wXAAS</x:v>
      </x:c>
      <x:c r="C3191" s="117" t="str">
        <x:v>301Ro000010ZlDUIA0</x:v>
      </x:c>
      <x:c r="D3191" s="118" t="n">
        <x:v>14</x:v>
      </x:c>
      <x:c r="E3191" s="117" t="str">
        <x:v>Active</x:v>
      </x:c>
      <x:c r="F3191" s="117" t="str">
        <x:v>Yes</x:v>
      </x:c>
      <x:c r="G3191" s="117" t="str">
        <x:v>Yes</x:v>
      </x:c>
      <x:c r="H3191" s="117" t="str">
        <x:v>AutoLaunchedFlow</x:v>
      </x:c>
      <x:c r="I3191" s="118" t="n">
        <x:v>54</x:v>
      </x:c>
      <x:c r="J3191" s="117" t="str">
        <x:v>unmanaged</x:v>
      </x:c>
      <x:c r="K3191" s="123" t="b">
        <x:v>0</x:v>
      </x:c>
      <x:c r="L3191" s="117"/>
      <x:c r="M3191" s="118"/>
      <x:c r="N3191" s="120" t="n">
        <x:v>46095.75145833333</x:v>
      </x:c>
      <x:c r="O3191" s="117" t="str">
        <x:v>Sacha Pearce</x:v>
      </x:c>
      <x:c r="P3191" s="120" t="n">
        <x:v>46095.75212962963</x:v>
      </x:c>
      <x:c r="Q3191" s="117" t="str">
        <x:v>Sacha Pearce</x:v>
      </x:c>
      <x:c r="R3191" s="117" t="str">
        <x:v>Pricing Request Notifications Flow</x:v>
      </x:c>
      <x:c r="S3191" s="119"/>
    </x:row>
    <x:row r="3192" ht="30" customHeight="1">
      <x:c r="A3192" s="117" t="str">
        <x:v>UK_RMA_Item_Received_Alert</x:v>
      </x:c>
      <x:c r="B3192" s="117" t="str">
        <x:v>3005b000000LGuDAAW</x:v>
      </x:c>
      <x:c r="C3192" s="117" t="str">
        <x:v>3015b000000A9TwAAK</x:v>
      </x:c>
      <x:c r="D3192" s="118" t="n">
        <x:v>1</x:v>
      </x:c>
      <x:c r="E3192" s="117" t="str">
        <x:v>Obsolete</x:v>
      </x:c>
      <x:c r="F3192" s="117" t="str">
        <x:v>No</x:v>
      </x:c>
      <x:c r="G3192" s="117" t="str">
        <x:v>No</x:v>
      </x:c>
      <x:c r="H3192" s="117" t="str">
        <x:v>AutoLaunchedFlow</x:v>
      </x:c>
      <x:c r="I3192" s="118" t="n">
        <x:v>56</x:v>
      </x:c>
      <x:c r="J3192" s="117" t="str">
        <x:v>unmanaged</x:v>
      </x:c>
      <x:c r="K3192" s="123" t="b">
        <x:v>0</x:v>
      </x:c>
      <x:c r="L3192" s="117"/>
      <x:c r="M3192" s="118"/>
      <x:c r="N3192" s="120" t="n">
        <x:v>44872.44138888889</x:v>
      </x:c>
      <x:c r="O3192" s="117" t="str">
        <x:v>Jace Gentil</x:v>
      </x:c>
      <x:c r="P3192" s="120" t="n">
        <x:v>44872.44143518519</x:v>
      </x:c>
      <x:c r="Q3192" s="117" t="str">
        <x:v>Jace Gentil</x:v>
      </x:c>
      <x:c r="R3192" s="117" t="str">
        <x:v>UK RMA Item Received Alert</x:v>
      </x:c>
      <x:c r="S3192" s="119"/>
    </x:row>
    <x:row r="3193" ht="30" customHeight="1">
      <x:c r="A3193" s="117" t="str">
        <x:v>UK_RMA_Item_Received_Alert</x:v>
      </x:c>
      <x:c r="B3193" s="117" t="str">
        <x:v>3005b000000LGuDAAW</x:v>
      </x:c>
      <x:c r="C3193" s="117" t="str">
        <x:v>3015b000000ADrYAAW</x:v>
      </x:c>
      <x:c r="D3193" s="118" t="n">
        <x:v>2</x:v>
      </x:c>
      <x:c r="E3193" s="117" t="str">
        <x:v>Obsolete</x:v>
      </x:c>
      <x:c r="F3193" s="117" t="str">
        <x:v>No</x:v>
      </x:c>
      <x:c r="G3193" s="117" t="str">
        <x:v>No</x:v>
      </x:c>
      <x:c r="H3193" s="117" t="str">
        <x:v>AutoLaunchedFlow</x:v>
      </x:c>
      <x:c r="I3193" s="118" t="n">
        <x:v>56</x:v>
      </x:c>
      <x:c r="J3193" s="117" t="str">
        <x:v>unmanaged</x:v>
      </x:c>
      <x:c r="K3193" s="123" t="b">
        <x:v>0</x:v>
      </x:c>
      <x:c r="L3193" s="117"/>
      <x:c r="M3193" s="118"/>
      <x:c r="N3193" s="120" t="n">
        <x:v>44935.62467592592</x:v>
      </x:c>
      <x:c r="O3193" s="117" t="str">
        <x:v>Jon Kean</x:v>
      </x:c>
      <x:c r="P3193" s="120" t="n">
        <x:v>44935.624768518515</x:v>
      </x:c>
      <x:c r="Q3193" s="117" t="str">
        <x:v>Jon Kean</x:v>
      </x:c>
      <x:c r="R3193" s="117" t="str">
        <x:v>UK RMA Item Received Alert</x:v>
      </x:c>
      <x:c r="S3193" s="119"/>
    </x:row>
    <x:row r="3194" ht="30" customHeight="1">
      <x:c r="A3194" s="117" t="str">
        <x:v>UK_RMA_Item_Received_Alert</x:v>
      </x:c>
      <x:c r="B3194" s="117" t="str">
        <x:v>3005b000000LGuDAAW</x:v>
      </x:c>
      <x:c r="C3194" s="117" t="str">
        <x:v>3015b000000AE56AAG</x:v>
      </x:c>
      <x:c r="D3194" s="118" t="n">
        <x:v>3</x:v>
      </x:c>
      <x:c r="E3194" s="117" t="str">
        <x:v>Draft</x:v>
      </x:c>
      <x:c r="F3194" s="117" t="str">
        <x:v>No</x:v>
      </x:c>
      <x:c r="G3194" s="117" t="str">
        <x:v>No</x:v>
      </x:c>
      <x:c r="H3194" s="117" t="str">
        <x:v>AutoLaunchedFlow</x:v>
      </x:c>
      <x:c r="I3194" s="118" t="n">
        <x:v>56</x:v>
      </x:c>
      <x:c r="J3194" s="117" t="str">
        <x:v>unmanaged</x:v>
      </x:c>
      <x:c r="K3194" s="123" t="b">
        <x:v>0</x:v>
      </x:c>
      <x:c r="L3194" s="117"/>
      <x:c r="M3194" s="118"/>
      <x:c r="N3194" s="120" t="n">
        <x:v>44937.69820601852</x:v>
      </x:c>
      <x:c r="O3194" s="117" t="str">
        <x:v>Jon Kean</x:v>
      </x:c>
      <x:c r="P3194" s="120" t="n">
        <x:v>44937.698229166665</x:v>
      </x:c>
      <x:c r="Q3194" s="117" t="str">
        <x:v>Jon Kean</x:v>
      </x:c>
      <x:c r="R3194" s="117" t="str">
        <x:v>UK RMA Item Received Alert</x:v>
      </x:c>
      <x:c r="S3194" s="119"/>
    </x:row>
    <x:row r="3195" ht="30" customHeight="1">
      <x:c r="A3195" s="117" t="str">
        <x:v>UK_RMA_Item_Received_Alert</x:v>
      </x:c>
      <x:c r="B3195" s="117" t="str">
        <x:v>3005b000000LGuDAAW</x:v>
      </x:c>
      <x:c r="C3195" s="117" t="str">
        <x:v>3015b000000AE5BAAW</x:v>
      </x:c>
      <x:c r="D3195" s="118" t="n">
        <x:v>4</x:v>
      </x:c>
      <x:c r="E3195" s="117" t="str">
        <x:v>Obsolete</x:v>
      </x:c>
      <x:c r="F3195" s="117" t="str">
        <x:v>No</x:v>
      </x:c>
      <x:c r="G3195" s="117" t="str">
        <x:v>No</x:v>
      </x:c>
      <x:c r="H3195" s="117" t="str">
        <x:v>AutoLaunchedFlow</x:v>
      </x:c>
      <x:c r="I3195" s="118" t="n">
        <x:v>56</x:v>
      </x:c>
      <x:c r="J3195" s="117" t="str">
        <x:v>unmanaged</x:v>
      </x:c>
      <x:c r="K3195" s="123" t="b">
        <x:v>0</x:v>
      </x:c>
      <x:c r="L3195" s="117"/>
      <x:c r="M3195" s="118"/>
      <x:c r="N3195" s="120" t="n">
        <x:v>44937.69846064815</x:v>
      </x:c>
      <x:c r="O3195" s="117" t="str">
        <x:v>Jon Kean</x:v>
      </x:c>
      <x:c r="P3195" s="120" t="n">
        <x:v>44937.69850694444</x:v>
      </x:c>
      <x:c r="Q3195" s="117" t="str">
        <x:v>Jon Kean</x:v>
      </x:c>
      <x:c r="R3195" s="117" t="str">
        <x:v>UK RMA Item Received Alert</x:v>
      </x:c>
      <x:c r="S3195" s="119"/>
    </x:row>
    <x:row r="3196" ht="30" customHeight="1">
      <x:c r="A3196" s="117" t="str">
        <x:v>UK_RMA_Item_Received_Alert</x:v>
      </x:c>
      <x:c r="B3196" s="117" t="str">
        <x:v>3005b000000LGuDAAW</x:v>
      </x:c>
      <x:c r="C3196" s="117" t="str">
        <x:v>3015b000000W3lPAAS</x:v>
      </x:c>
      <x:c r="D3196" s="118" t="n">
        <x:v>5</x:v>
      </x:c>
      <x:c r="E3196" s="117" t="str">
        <x:v>Obsolete</x:v>
      </x:c>
      <x:c r="F3196" s="117" t="str">
        <x:v>No</x:v>
      </x:c>
      <x:c r="G3196" s="117" t="str">
        <x:v>No</x:v>
      </x:c>
      <x:c r="H3196" s="117" t="str">
        <x:v>AutoLaunchedFlow</x:v>
      </x:c>
      <x:c r="I3196" s="118" t="n">
        <x:v>56</x:v>
      </x:c>
      <x:c r="J3196" s="117" t="str">
        <x:v>unmanaged</x:v>
      </x:c>
      <x:c r="K3196" s="123" t="b">
        <x:v>0</x:v>
      </x:c>
      <x:c r="L3196" s="117"/>
      <x:c r="M3196" s="118"/>
      <x:c r="N3196" s="120" t="n">
        <x:v>45083.35199074074</x:v>
      </x:c>
      <x:c r="O3196" s="117" t="str">
        <x:v>Jon Kean</x:v>
      </x:c>
      <x:c r="P3196" s="120" t="n">
        <x:v>45083.35202546296</x:v>
      </x:c>
      <x:c r="Q3196" s="117" t="str">
        <x:v>Jon Kean</x:v>
      </x:c>
      <x:c r="R3196" s="117" t="str">
        <x:v>UK RMA Item Received Alert</x:v>
      </x:c>
      <x:c r="S3196" s="119"/>
    </x:row>
    <x:row r="3197" ht="30" customHeight="1">
      <x:c r="A3197" s="117" t="str">
        <x:v>UK_RMA_Item_Received_Alert</x:v>
      </x:c>
      <x:c r="B3197" s="117" t="str">
        <x:v>3005b000000LGuDAAW</x:v>
      </x:c>
      <x:c r="C3197" s="117" t="str">
        <x:v>301Ro00000KzmU1IAJ</x:v>
      </x:c>
      <x:c r="D3197" s="118" t="n">
        <x:v>6</x:v>
      </x:c>
      <x:c r="E3197" s="117" t="str">
        <x:v>Draft</x:v>
      </x:c>
      <x:c r="F3197" s="117" t="str">
        <x:v>No</x:v>
      </x:c>
      <x:c r="G3197" s="117" t="str">
        <x:v>No</x:v>
      </x:c>
      <x:c r="H3197" s="117" t="str">
        <x:v>AutoLaunchedFlow</x:v>
      </x:c>
      <x:c r="I3197" s="118" t="n">
        <x:v>56</x:v>
      </x:c>
      <x:c r="J3197" s="117" t="str">
        <x:v>unmanaged</x:v>
      </x:c>
      <x:c r="K3197" s="123" t="b">
        <x:v>0</x:v>
      </x:c>
      <x:c r="L3197" s="117"/>
      <x:c r="M3197" s="118"/>
      <x:c r="N3197" s="120" t="n">
        <x:v>45548.39881944445</x:v>
      </x:c>
      <x:c r="O3197" s="117" t="str">
        <x:v>Jon Kean</x:v>
      </x:c>
      <x:c r="P3197" s="120" t="n">
        <x:v>45548.398831018516</x:v>
      </x:c>
      <x:c r="Q3197" s="117" t="str">
        <x:v>Jon Kean</x:v>
      </x:c>
      <x:c r="R3197" s="117" t="str">
        <x:v>UK RMA Item Received Alert</x:v>
      </x:c>
      <x:c r="S3197" s="119"/>
    </x:row>
    <x:row r="3198" ht="30" customHeight="1">
      <x:c r="A3198" s="117" t="str">
        <x:v>UK_RMA_Item_Received_Alert</x:v>
      </x:c>
      <x:c r="B3198" s="117" t="str">
        <x:v>3005b000000LGuDAAW</x:v>
      </x:c>
      <x:c r="C3198" s="117" t="str">
        <x:v>301Ro00000KzlUkIAJ</x:v>
      </x:c>
      <x:c r="D3198" s="118" t="n">
        <x:v>7</x:v>
      </x:c>
      <x:c r="E3198" s="117" t="str">
        <x:v>Obsolete</x:v>
      </x:c>
      <x:c r="F3198" s="117" t="str">
        <x:v>No</x:v>
      </x:c>
      <x:c r="G3198" s="117" t="str">
        <x:v>No</x:v>
      </x:c>
      <x:c r="H3198" s="117" t="str">
        <x:v>AutoLaunchedFlow</x:v>
      </x:c>
      <x:c r="I3198" s="118" t="n">
        <x:v>56</x:v>
      </x:c>
      <x:c r="J3198" s="117" t="str">
        <x:v>unmanaged</x:v>
      </x:c>
      <x:c r="K3198" s="123" t="b">
        <x:v>0</x:v>
      </x:c>
      <x:c r="L3198" s="117"/>
      <x:c r="M3198" s="118"/>
      <x:c r="N3198" s="120" t="n">
        <x:v>45548.39939814815</x:v>
      </x:c>
      <x:c r="O3198" s="117" t="str">
        <x:v>Jon Kean</x:v>
      </x:c>
      <x:c r="P3198" s="120" t="n">
        <x:v>45548.39943287037</x:v>
      </x:c>
      <x:c r="Q3198" s="117" t="str">
        <x:v>Jon Kean</x:v>
      </x:c>
      <x:c r="R3198" s="117" t="str">
        <x:v>UK RMA Item Received Alert</x:v>
      </x:c>
      <x:c r="S3198" s="119"/>
    </x:row>
    <x:row r="3199" ht="30" customHeight="1">
      <x:c r="A3199" s="117" t="str">
        <x:v>UK_RMA_Item_Received_Alert</x:v>
      </x:c>
      <x:c r="B3199" s="117" t="str">
        <x:v>3005b000000LGuDAAW</x:v>
      </x:c>
      <x:c r="C3199" s="117" t="str">
        <x:v>301Ro00000U1DBgIAN</x:v>
      </x:c>
      <x:c r="D3199" s="118" t="n">
        <x:v>8</x:v>
      </x:c>
      <x:c r="E3199" s="117" t="str">
        <x:v>Active</x:v>
      </x:c>
      <x:c r="F3199" s="117" t="str">
        <x:v>Yes</x:v>
      </x:c>
      <x:c r="G3199" s="117" t="str">
        <x:v>Yes</x:v>
      </x:c>
      <x:c r="H3199" s="117" t="str">
        <x:v>AutoLaunchedFlow</x:v>
      </x:c>
      <x:c r="I3199" s="118" t="n">
        <x:v>56</x:v>
      </x:c>
      <x:c r="J3199" s="117" t="str">
        <x:v>unmanaged</x:v>
      </x:c>
      <x:c r="K3199" s="123" t="b">
        <x:v>0</x:v>
      </x:c>
      <x:c r="L3199" s="117"/>
      <x:c r="M3199" s="118"/>
      <x:c r="N3199" s="120" t="n">
        <x:v>45702.37826388889</x:v>
      </x:c>
      <x:c r="O3199" s="117" t="str">
        <x:v>Jon Kean</x:v>
      </x:c>
      <x:c r="P3199" s="120" t="n">
        <x:v>45702.378333333334</x:v>
      </x:c>
      <x:c r="Q3199" s="117" t="str">
        <x:v>Jon Kean</x:v>
      </x:c>
      <x:c r="R3199" s="117" t="str">
        <x:v>UK RMA Item Received Alert</x:v>
      </x:c>
      <x:c r="S3199" s="119"/>
    </x:row>
    <x:row r="3200" ht="30" customHeight="1">
      <x:c r="A3200" s="117" t="str">
        <x:v>UK_Shipping_Timestamp_field_update_flow</x:v>
      </x:c>
      <x:c r="B3200" s="117" t="str">
        <x:v>300Ro00000LuFWXIA3</x:v>
      </x:c>
      <x:c r="C3200" s="117" t="str">
        <x:v>301Ro00000O7KqhIAF</x:v>
      </x:c>
      <x:c r="D3200" s="118" t="n">
        <x:v>1</x:v>
      </x:c>
      <x:c r="E3200" s="117" t="str">
        <x:v>Obsolete</x:v>
      </x:c>
      <x:c r="F3200" s="117" t="str">
        <x:v>No</x:v>
      </x:c>
      <x:c r="G3200" s="117" t="str">
        <x:v>No</x:v>
      </x:c>
      <x:c r="H3200" s="117" t="str">
        <x:v>AutoLaunchedFlow</x:v>
      </x:c>
      <x:c r="I3200" s="118" t="n">
        <x:v>62</x:v>
      </x:c>
      <x:c r="J3200" s="117" t="str">
        <x:v>unmanaged</x:v>
      </x:c>
      <x:c r="K3200" s="123" t="b">
        <x:v>0</x:v>
      </x:c>
      <x:c r="L3200" s="117"/>
      <x:c r="M3200" s="118"/>
      <x:c r="N3200" s="120" t="n">
        <x:v>45600.608449074076</x:v>
      </x:c>
      <x:c r="O3200" s="117" t="str">
        <x:v>Jon Kean</x:v>
      </x:c>
      <x:c r="P3200" s="120" t="n">
        <x:v>45600.610127314816</x:v>
      </x:c>
      <x:c r="Q3200" s="117" t="str">
        <x:v>Jon Kean</x:v>
      </x:c>
      <x:c r="R3200" s="117" t="str">
        <x:v>UK Shipping Timestamp field update flow</x:v>
      </x:c>
      <x:c r="S3200" s="119"/>
    </x:row>
    <x:row r="3201" ht="30" customHeight="1">
      <x:c r="A3201" s="117" t="str">
        <x:v>UK_Shipping_Timestamp_field_update_flow</x:v>
      </x:c>
      <x:c r="B3201" s="117" t="str">
        <x:v>300Ro00000LuFWXIA3</x:v>
      </x:c>
      <x:c r="C3201" s="117" t="str">
        <x:v>301Ro00000O7SBTIA3</x:v>
      </x:c>
      <x:c r="D3201" s="118" t="n">
        <x:v>2</x:v>
      </x:c>
      <x:c r="E3201" s="117" t="str">
        <x:v>Obsolete</x:v>
      </x:c>
      <x:c r="F3201" s="117" t="str">
        <x:v>No</x:v>
      </x:c>
      <x:c r="G3201" s="117" t="str">
        <x:v>No</x:v>
      </x:c>
      <x:c r="H3201" s="117" t="str">
        <x:v>AutoLaunchedFlow</x:v>
      </x:c>
      <x:c r="I3201" s="118" t="n">
        <x:v>62</x:v>
      </x:c>
      <x:c r="J3201" s="117" t="str">
        <x:v>unmanaged</x:v>
      </x:c>
      <x:c r="K3201" s="123" t="b">
        <x:v>0</x:v>
      </x:c>
      <x:c r="L3201" s="117"/>
      <x:c r="M3201" s="118"/>
      <x:c r="N3201" s="120" t="n">
        <x:v>45600.61106481482</x:v>
      </x:c>
      <x:c r="O3201" s="117" t="str">
        <x:v>Jon Kean</x:v>
      </x:c>
      <x:c r="P3201" s="120" t="n">
        <x:v>45600.61111111111</x:v>
      </x:c>
      <x:c r="Q3201" s="117" t="str">
        <x:v>Jon Kean</x:v>
      </x:c>
      <x:c r="R3201" s="117" t="str">
        <x:v>UK Shipping Timestamp field update flow</x:v>
      </x:c>
      <x:c r="S3201" s="119"/>
    </x:row>
    <x:row r="3202" ht="30" customHeight="1">
      <x:c r="A3202" s="117" t="str">
        <x:v>UK_Shipping_Timestamp_field_update_flow</x:v>
      </x:c>
      <x:c r="B3202" s="117" t="str">
        <x:v>300Ro00000LuFWXIA3</x:v>
      </x:c>
      <x:c r="C3202" s="117" t="str">
        <x:v>301Ro00000O7PSBIA3</x:v>
      </x:c>
      <x:c r="D3202" s="118" t="n">
        <x:v>3</x:v>
      </x:c>
      <x:c r="E3202" s="117" t="str">
        <x:v>Obsolete</x:v>
      </x:c>
      <x:c r="F3202" s="117" t="str">
        <x:v>No</x:v>
      </x:c>
      <x:c r="G3202" s="117" t="str">
        <x:v>No</x:v>
      </x:c>
      <x:c r="H3202" s="117" t="str">
        <x:v>AutoLaunchedFlow</x:v>
      </x:c>
      <x:c r="I3202" s="118" t="n">
        <x:v>62</x:v>
      </x:c>
      <x:c r="J3202" s="117" t="str">
        <x:v>unmanaged</x:v>
      </x:c>
      <x:c r="K3202" s="123" t="b">
        <x:v>0</x:v>
      </x:c>
      <x:c r="L3202" s="117"/>
      <x:c r="M3202" s="118"/>
      <x:c r="N3202" s="120" t="n">
        <x:v>45600.614803240744</x:v>
      </x:c>
      <x:c r="O3202" s="117" t="str">
        <x:v>Jon Kean</x:v>
      </x:c>
      <x:c r="P3202" s="120" t="n">
        <x:v>45600.61487268518</x:v>
      </x:c>
      <x:c r="Q3202" s="117" t="str">
        <x:v>Jon Kean</x:v>
      </x:c>
      <x:c r="R3202" s="117" t="str">
        <x:v>UK Shipping Timestamp field update flow</x:v>
      </x:c>
      <x:c r="S3202" s="119"/>
    </x:row>
    <x:row r="3203" ht="30" customHeight="1">
      <x:c r="A3203" s="117" t="str">
        <x:v>UK_Shipping_Timestamp_field_update_flow</x:v>
      </x:c>
      <x:c r="B3203" s="117" t="str">
        <x:v>300Ro00000LuFWXIA3</x:v>
      </x:c>
      <x:c r="C3203" s="117" t="str">
        <x:v>301Ro00000O7SxwIAF</x:v>
      </x:c>
      <x:c r="D3203" s="118" t="n">
        <x:v>4</x:v>
      </x:c>
      <x:c r="E3203" s="117" t="str">
        <x:v>Obsolete</x:v>
      </x:c>
      <x:c r="F3203" s="117" t="str">
        <x:v>No</x:v>
      </x:c>
      <x:c r="G3203" s="117" t="str">
        <x:v>No</x:v>
      </x:c>
      <x:c r="H3203" s="117" t="str">
        <x:v>AutoLaunchedFlow</x:v>
      </x:c>
      <x:c r="I3203" s="118" t="n">
        <x:v>62</x:v>
      </x:c>
      <x:c r="J3203" s="117" t="str">
        <x:v>unmanaged</x:v>
      </x:c>
      <x:c r="K3203" s="123" t="b">
        <x:v>0</x:v>
      </x:c>
      <x:c r="L3203" s="117"/>
      <x:c r="M3203" s="118"/>
      <x:c r="N3203" s="120" t="n">
        <x:v>45600.616527777776</x:v>
      </x:c>
      <x:c r="O3203" s="117" t="str">
        <x:v>Jon Kean</x:v>
      </x:c>
      <x:c r="P3203" s="120" t="n">
        <x:v>45600.616574074076</x:v>
      </x:c>
      <x:c r="Q3203" s="117" t="str">
        <x:v>Jon Kean</x:v>
      </x:c>
      <x:c r="R3203" s="117" t="str">
        <x:v>UK Shipping Timestamp field update flow</x:v>
      </x:c>
      <x:c r="S3203" s="119"/>
    </x:row>
    <x:row r="3204" ht="30" customHeight="1">
      <x:c r="A3204" s="117" t="str">
        <x:v>UK_Shipping_Timestamp_field_update_flow</x:v>
      </x:c>
      <x:c r="B3204" s="117" t="str">
        <x:v>300Ro00000LuFWXIA3</x:v>
      </x:c>
      <x:c r="C3204" s="117" t="str">
        <x:v>301Ro00000O7TqnIAF</x:v>
      </x:c>
      <x:c r="D3204" s="118" t="n">
        <x:v>5</x:v>
      </x:c>
      <x:c r="E3204" s="117" t="str">
        <x:v>Active</x:v>
      </x:c>
      <x:c r="F3204" s="117" t="str">
        <x:v>Yes</x:v>
      </x:c>
      <x:c r="G3204" s="117" t="str">
        <x:v>Yes</x:v>
      </x:c>
      <x:c r="H3204" s="117" t="str">
        <x:v>AutoLaunchedFlow</x:v>
      </x:c>
      <x:c r="I3204" s="118" t="n">
        <x:v>62</x:v>
      </x:c>
      <x:c r="J3204" s="117" t="str">
        <x:v>unmanaged</x:v>
      </x:c>
      <x:c r="K3204" s="123" t="b">
        <x:v>0</x:v>
      </x:c>
      <x:c r="L3204" s="117"/>
      <x:c r="M3204" s="118"/>
      <x:c r="N3204" s="120" t="n">
        <x:v>45600.61920138889</x:v>
      </x:c>
      <x:c r="O3204" s="117" t="str">
        <x:v>Jon Kean</x:v>
      </x:c>
      <x:c r="P3204" s="120" t="n">
        <x:v>46127.54814814815</x:v>
      </x:c>
      <x:c r="Q3204" s="117" t="str">
        <x:v>Delegate</x:v>
      </x:c>
      <x:c r="R3204" s="117" t="str">
        <x:v>UK Shipping Timestamp field update flow</x:v>
      </x:c>
      <x:c r="S3204" s="119"/>
    </x:row>
    <x:row r="3205" ht="30" customHeight="1">
      <x:c r="A3205" s="117" t="str">
        <x:v>UK_Sourcing_Request_Asset_Fulfilled_Notifications</x:v>
      </x:c>
      <x:c r="B3205" s="117" t="str">
        <x:v>3005b000000H3qeAAC</x:v>
      </x:c>
      <x:c r="C3205" s="117" t="str">
        <x:v>3015b000000EJsIAAW</x:v>
      </x:c>
      <x:c r="D3205" s="118" t="n">
        <x:v>1</x:v>
      </x:c>
      <x:c r="E3205" s="117" t="str">
        <x:v>Obsolete</x:v>
      </x:c>
      <x:c r="F3205" s="117" t="str">
        <x:v>No</x:v>
      </x:c>
      <x:c r="G3205" s="117" t="str">
        <x:v>No</x:v>
      </x:c>
      <x:c r="H3205" s="117" t="str">
        <x:v>AutoLaunchedFlow</x:v>
      </x:c>
      <x:c r="I3205" s="118" t="n">
        <x:v>54</x:v>
      </x:c>
      <x:c r="J3205" s="117" t="str">
        <x:v>unmanaged</x:v>
      </x:c>
      <x:c r="K3205" s="123" t="b">
        <x:v>0</x:v>
      </x:c>
      <x:c r="L3205" s="117"/>
      <x:c r="M3205" s="118"/>
      <x:c r="N3205" s="120" t="n">
        <x:v>44701.51576388889</x:v>
      </x:c>
      <x:c r="O3205" s="117" t="str">
        <x:v>Jace Gentil</x:v>
      </x:c>
      <x:c r="P3205" s="120" t="n">
        <x:v>45474.57579861111</x:v>
      </x:c>
      <x:c r="Q3205" s="117" t="str">
        <x:v>Jon Kean</x:v>
      </x:c>
      <x:c r="R3205" s="117" t="str">
        <x:v>UK Sourcing Request Asset Fulfilled Notifications</x:v>
      </x:c>
      <x:c r="S3205" s="119"/>
    </x:row>
    <x:row r="3206" ht="30" customHeight="1">
      <x:c r="A3206" s="117" t="str">
        <x:v>UK_Sourcing_Request_Asset_Fulfilled_Notifications</x:v>
      </x:c>
      <x:c r="B3206" s="117" t="str">
        <x:v>3005b000000H3qeAAC</x:v>
      </x:c>
      <x:c r="C3206" s="117" t="str">
        <x:v>301Ro00000E2cKUIAZ</x:v>
      </x:c>
      <x:c r="D3206" s="118" t="n">
        <x:v>2</x:v>
      </x:c>
      <x:c r="E3206" s="117" t="str">
        <x:v>Obsolete</x:v>
      </x:c>
      <x:c r="F3206" s="117" t="str">
        <x:v>No</x:v>
      </x:c>
      <x:c r="G3206" s="117" t="str">
        <x:v>No</x:v>
      </x:c>
      <x:c r="H3206" s="117" t="str">
        <x:v>AutoLaunchedFlow</x:v>
      </x:c>
      <x:c r="I3206" s="118" t="n">
        <x:v>54</x:v>
      </x:c>
      <x:c r="J3206" s="117" t="str">
        <x:v>unmanaged</x:v>
      </x:c>
      <x:c r="K3206" s="123" t="b">
        <x:v>0</x:v>
      </x:c>
      <x:c r="L3206" s="117"/>
      <x:c r="M3206" s="118"/>
      <x:c r="N3206" s="120" t="n">
        <x:v>45446.44650462963</x:v>
      </x:c>
      <x:c r="O3206" s="117" t="str">
        <x:v>Jon Kean</x:v>
      </x:c>
      <x:c r="P3206" s="120" t="n">
        <x:v>45446.446539351855</x:v>
      </x:c>
      <x:c r="Q3206" s="117" t="str">
        <x:v>Jon Kean</x:v>
      </x:c>
      <x:c r="R3206" s="117" t="str">
        <x:v>UK Sourcing Request Asset Fulfilled Notifications</x:v>
      </x:c>
      <x:c r="S3206" s="119"/>
    </x:row>
    <x:row r="3207" ht="30" customHeight="1">
      <x:c r="A3207" s="117" t="str">
        <x:v>UK_Sourcing_Request_Asset_Fulfilled_Notifications</x:v>
      </x:c>
      <x:c r="B3207" s="117" t="str">
        <x:v>3005b000000H3qeAAC</x:v>
      </x:c>
      <x:c r="C3207" s="117" t="str">
        <x:v>301Ro00000Fcl8eIAB</x:v>
      </x:c>
      <x:c r="D3207" s="118" t="n">
        <x:v>3</x:v>
      </x:c>
      <x:c r="E3207" s="117" t="str">
        <x:v>Obsolete</x:v>
      </x:c>
      <x:c r="F3207" s="117" t="str">
        <x:v>No</x:v>
      </x:c>
      <x:c r="G3207" s="117" t="str">
        <x:v>No</x:v>
      </x:c>
      <x:c r="H3207" s="117" t="str">
        <x:v>AutoLaunchedFlow</x:v>
      </x:c>
      <x:c r="I3207" s="118" t="n">
        <x:v>54</x:v>
      </x:c>
      <x:c r="J3207" s="117" t="str">
        <x:v>unmanaged</x:v>
      </x:c>
      <x:c r="K3207" s="123" t="b">
        <x:v>0</x:v>
      </x:c>
      <x:c r="L3207" s="117"/>
      <x:c r="M3207" s="118"/>
      <x:c r="N3207" s="120" t="n">
        <x:v>45469.57811342592</x:v>
      </x:c>
      <x:c r="O3207" s="117" t="str">
        <x:v>Jon Kean</x:v>
      </x:c>
      <x:c r="P3207" s="120" t="n">
        <x:v>45469.57818287037</x:v>
      </x:c>
      <x:c r="Q3207" s="117" t="str">
        <x:v>Jon Kean</x:v>
      </x:c>
      <x:c r="R3207" s="117" t="str">
        <x:v>UK Sourcing Request Asset Fulfilled Notifications</x:v>
      </x:c>
      <x:c r="S3207" s="119"/>
    </x:row>
    <x:row r="3208" ht="30" customHeight="1">
      <x:c r="A3208" s="117" t="str">
        <x:v>UK_Sourcing_Request_Asset_Fulfilled_Notifications</x:v>
      </x:c>
      <x:c r="B3208" s="117" t="str">
        <x:v>3005b000000H3qeAAC</x:v>
      </x:c>
      <x:c r="C3208" s="117" t="str">
        <x:v>301Ro00000FchxnIAB</x:v>
      </x:c>
      <x:c r="D3208" s="118" t="n">
        <x:v>4</x:v>
      </x:c>
      <x:c r="E3208" s="117" t="str">
        <x:v>Obsolete</x:v>
      </x:c>
      <x:c r="F3208" s="117" t="str">
        <x:v>No</x:v>
      </x:c>
      <x:c r="G3208" s="117" t="str">
        <x:v>No</x:v>
      </x:c>
      <x:c r="H3208" s="117" t="str">
        <x:v>AutoLaunchedFlow</x:v>
      </x:c>
      <x:c r="I3208" s="118" t="n">
        <x:v>54</x:v>
      </x:c>
      <x:c r="J3208" s="117" t="str">
        <x:v>unmanaged</x:v>
      </x:c>
      <x:c r="K3208" s="123" t="b">
        <x:v>0</x:v>
      </x:c>
      <x:c r="L3208" s="117"/>
      <x:c r="M3208" s="118"/>
      <x:c r="N3208" s="120" t="n">
        <x:v>45469.586875</x:v>
      </x:c>
      <x:c r="O3208" s="117" t="str">
        <x:v>Jon Kean</x:v>
      </x:c>
      <x:c r="P3208" s="120" t="n">
        <x:v>45469.58695601852</x:v>
      </x:c>
      <x:c r="Q3208" s="117" t="str">
        <x:v>Jon Kean</x:v>
      </x:c>
      <x:c r="R3208" s="117" t="str">
        <x:v>UK Sourcing Request Asset Fulfilled Notifications</x:v>
      </x:c>
      <x:c r="S3208" s="119"/>
    </x:row>
    <x:row r="3209" ht="30" customHeight="1">
      <x:c r="A3209" s="117" t="str">
        <x:v>UK_Sourcing_Request_Asset_Fulfilled_Notifications</x:v>
      </x:c>
      <x:c r="B3209" s="117" t="str">
        <x:v>3005b000000H3qeAAC</x:v>
      </x:c>
      <x:c r="C3209" s="117" t="str">
        <x:v>301Ro00000OXjBwIAL</x:v>
      </x:c>
      <x:c r="D3209" s="118" t="n">
        <x:v>5</x:v>
      </x:c>
      <x:c r="E3209" s="117" t="str">
        <x:v>Active</x:v>
      </x:c>
      <x:c r="F3209" s="117" t="str">
        <x:v>Yes</x:v>
      </x:c>
      <x:c r="G3209" s="117" t="str">
        <x:v>Yes</x:v>
      </x:c>
      <x:c r="H3209" s="117" t="str">
        <x:v>AutoLaunchedFlow</x:v>
      </x:c>
      <x:c r="I3209" s="118" t="n">
        <x:v>54</x:v>
      </x:c>
      <x:c r="J3209" s="117" t="str">
        <x:v>unmanaged</x:v>
      </x:c>
      <x:c r="K3209" s="123" t="b">
        <x:v>0</x:v>
      </x:c>
      <x:c r="L3209" s="117"/>
      <x:c r="M3209" s="118"/>
      <x:c r="N3209" s="120" t="n">
        <x:v>45607.46195601852</x:v>
      </x:c>
      <x:c r="O3209" s="117" t="str">
        <x:v>Jon Kean</x:v>
      </x:c>
      <x:c r="P3209" s="120" t="n">
        <x:v>45607.462013888886</x:v>
      </x:c>
      <x:c r="Q3209" s="117" t="str">
        <x:v>Jon Kean</x:v>
      </x:c>
      <x:c r="R3209" s="117" t="str">
        <x:v>UK Sourcing Request Asset Fulfilled Notifications</x:v>
      </x:c>
      <x:c r="S3209" s="119"/>
    </x:row>
    <x:row r="3210" ht="30" customHeight="1">
      <x:c r="A3210" s="117" t="str">
        <x:v>UK_Sourcing_Request_Notifications</x:v>
      </x:c>
      <x:c r="B3210" s="117" t="str">
        <x:v>3005b000000H3qZAAS</x:v>
      </x:c>
      <x:c r="C3210" s="117" t="str">
        <x:v>3015b000000EJrtAAG</x:v>
      </x:c>
      <x:c r="D3210" s="118" t="n">
        <x:v>1</x:v>
      </x:c>
      <x:c r="E3210" s="117" t="str">
        <x:v>Obsolete</x:v>
      </x:c>
      <x:c r="F3210" s="117" t="str">
        <x:v>No</x:v>
      </x:c>
      <x:c r="G3210" s="117" t="str">
        <x:v>No</x:v>
      </x:c>
      <x:c r="H3210" s="117" t="str">
        <x:v>AutoLaunchedFlow</x:v>
      </x:c>
      <x:c r="I3210" s="118" t="n">
        <x:v>54</x:v>
      </x:c>
      <x:c r="J3210" s="117" t="str">
        <x:v>unmanaged</x:v>
      </x:c>
      <x:c r="K3210" s="123" t="b">
        <x:v>0</x:v>
      </x:c>
      <x:c r="L3210" s="117"/>
      <x:c r="M3210" s="118"/>
      <x:c r="N3210" s="120" t="n">
        <x:v>44701.50770833333</x:v>
      </x:c>
      <x:c r="O3210" s="117" t="str">
        <x:v>Jace Gentil</x:v>
      </x:c>
      <x:c r="P3210" s="120" t="n">
        <x:v>44701.507743055554</x:v>
      </x:c>
      <x:c r="Q3210" s="117" t="str">
        <x:v>Jace Gentil</x:v>
      </x:c>
      <x:c r="R3210" s="117" t="str">
        <x:v>UK Sourcing Request Notifications</x:v>
      </x:c>
      <x:c r="S3210" s="119"/>
    </x:row>
    <x:row r="3211" ht="30" customHeight="1">
      <x:c r="A3211" s="117" t="str">
        <x:v>UK_Sourcing_Request_Notifications</x:v>
      </x:c>
      <x:c r="B3211" s="117" t="str">
        <x:v>3005b000000H3qZAAS</x:v>
      </x:c>
      <x:c r="C3211" s="117" t="str">
        <x:v>301Ro00000KzXyHIAV</x:v>
      </x:c>
      <x:c r="D3211" s="118" t="n">
        <x:v>2</x:v>
      </x:c>
      <x:c r="E3211" s="117" t="str">
        <x:v>Obsolete</x:v>
      </x:c>
      <x:c r="F3211" s="117" t="str">
        <x:v>No</x:v>
      </x:c>
      <x:c r="G3211" s="117" t="str">
        <x:v>No</x:v>
      </x:c>
      <x:c r="H3211" s="117" t="str">
        <x:v>AutoLaunchedFlow</x:v>
      </x:c>
      <x:c r="I3211" s="118" t="n">
        <x:v>54</x:v>
      </x:c>
      <x:c r="J3211" s="117" t="str">
        <x:v>unmanaged</x:v>
      </x:c>
      <x:c r="K3211" s="123" t="b">
        <x:v>0</x:v>
      </x:c>
      <x:c r="L3211" s="117"/>
      <x:c r="M3211" s="118"/>
      <x:c r="N3211" s="120" t="n">
        <x:v>45548.359351851854</x:v>
      </x:c>
      <x:c r="O3211" s="117" t="str">
        <x:v>Jon Kean</x:v>
      </x:c>
      <x:c r="P3211" s="120" t="n">
        <x:v>45548.35940972222</x:v>
      </x:c>
      <x:c r="Q3211" s="117" t="str">
        <x:v>Jon Kean</x:v>
      </x:c>
      <x:c r="R3211" s="117" t="str">
        <x:v>UK Sourcing Request Notifications</x:v>
      </x:c>
      <x:c r="S3211" s="119"/>
    </x:row>
    <x:row r="3212" ht="30" customHeight="1">
      <x:c r="A3212" s="117" t="str">
        <x:v>UK_Sourcing_Request_Notifications</x:v>
      </x:c>
      <x:c r="B3212" s="117" t="str">
        <x:v>3005b000000H3qZAAS</x:v>
      </x:c>
      <x:c r="C3212" s="117" t="str">
        <x:v>301Ro00000KzehlIAB</x:v>
      </x:c>
      <x:c r="D3212" s="118" t="n">
        <x:v>3</x:v>
      </x:c>
      <x:c r="E3212" s="117" t="str">
        <x:v>Active</x:v>
      </x:c>
      <x:c r="F3212" s="117" t="str">
        <x:v>Yes</x:v>
      </x:c>
      <x:c r="G3212" s="117" t="str">
        <x:v>Yes</x:v>
      </x:c>
      <x:c r="H3212" s="117" t="str">
        <x:v>AutoLaunchedFlow</x:v>
      </x:c>
      <x:c r="I3212" s="118" t="n">
        <x:v>54</x:v>
      </x:c>
      <x:c r="J3212" s="117" t="str">
        <x:v>unmanaged</x:v>
      </x:c>
      <x:c r="K3212" s="123" t="b">
        <x:v>0</x:v>
      </x:c>
      <x:c r="L3212" s="117"/>
      <x:c r="M3212" s="118"/>
      <x:c r="N3212" s="120" t="n">
        <x:v>45548.370844907404</x:v>
      </x:c>
      <x:c r="O3212" s="117" t="str">
        <x:v>Jon Kean</x:v>
      </x:c>
      <x:c r="P3212" s="120" t="n">
        <x:v>45548.37091435185</x:v>
      </x:c>
      <x:c r="Q3212" s="117" t="str">
        <x:v>Jon Kean</x:v>
      </x:c>
      <x:c r="R3212" s="117" t="str">
        <x:v>UK Sourcing Request Notifications</x:v>
      </x:c>
      <x:c r="S3212" s="119"/>
    </x:row>
    <x:row r="3213" ht="30" customHeight="1">
      <x:c r="A3213" s="117" t="str">
        <x:v>UK_Stores_App</x:v>
      </x:c>
      <x:c r="B3213" s="117" t="str">
        <x:v>300Ro000007mYL9IAM</x:v>
      </x:c>
      <x:c r="C3213" s="117" t="str">
        <x:v>301Ro00000CZ66xIAD</x:v>
      </x:c>
      <x:c r="D3213" s="118" t="n">
        <x:v>1</x:v>
      </x:c>
      <x:c r="E3213" s="117" t="str">
        <x:v>Draft</x:v>
      </x:c>
      <x:c r="F3213" s="117" t="str">
        <x:v>No</x:v>
      </x:c>
      <x:c r="G3213" s="117" t="str">
        <x:v>Yes</x:v>
      </x:c>
      <x:c r="H3213" s="117" t="str">
        <x:v>Flow</x:v>
      </x:c>
      <x:c r="I3213" s="118" t="n">
        <x:v>60</x:v>
      </x:c>
      <x:c r="J3213" s="117" t="str">
        <x:v>unmanaged</x:v>
      </x:c>
      <x:c r="K3213" s="123" t="b">
        <x:v>0</x:v>
      </x:c>
      <x:c r="L3213" s="117"/>
      <x:c r="M3213" s="118"/>
      <x:c r="N3213" s="120" t="n">
        <x:v>45422.34168981481</x:v>
      </x:c>
      <x:c r="O3213" s="117" t="str">
        <x:v>Jon Kean</x:v>
      </x:c>
      <x:c r="P3213" s="120" t="n">
        <x:v>45422.34170138889</x:v>
      </x:c>
      <x:c r="Q3213" s="117" t="str">
        <x:v>Jon Kean</x:v>
      </x:c>
      <x:c r="R3213" s="117" t="str">
        <x:v>UK - Stores App</x:v>
      </x:c>
      <x:c r="S3213" s="119"/>
    </x:row>
    <x:row r="3214" ht="30" customHeight="1">
      <x:c r="A3214" s="117" t="str">
        <x:v>UK_Update_Shipping_Address</x:v>
      </x:c>
      <x:c r="B3214" s="117" t="str">
        <x:v>3005b000000Pz7BAAS</x:v>
      </x:c>
      <x:c r="C3214" s="117" t="str">
        <x:v>3015b000000W0uOAAS</x:v>
      </x:c>
      <x:c r="D3214" s="118" t="n">
        <x:v>1</x:v>
      </x:c>
      <x:c r="E3214" s="117" t="str">
        <x:v>Obsolete</x:v>
      </x:c>
      <x:c r="F3214" s="117" t="str">
        <x:v>No</x:v>
      </x:c>
      <x:c r="G3214" s="117" t="str">
        <x:v>No</x:v>
      </x:c>
      <x:c r="H3214" s="117" t="str">
        <x:v>Flow</x:v>
      </x:c>
      <x:c r="I3214" s="118" t="n">
        <x:v>57</x:v>
      </x:c>
      <x:c r="J3214" s="117" t="str">
        <x:v>unmanaged</x:v>
      </x:c>
      <x:c r="K3214" s="123" t="b">
        <x:v>0</x:v>
      </x:c>
      <x:c r="L3214" s="117"/>
      <x:c r="M3214" s="118"/>
      <x:c r="N3214" s="120" t="n">
        <x:v>45006.404756944445</x:v>
      </x:c>
      <x:c r="O3214" s="117" t="str">
        <x:v>Jon Kean</x:v>
      </x:c>
      <x:c r="P3214" s="120" t="n">
        <x:v>45006.407372685186</x:v>
      </x:c>
      <x:c r="Q3214" s="117" t="str">
        <x:v>Jon Kean</x:v>
      </x:c>
      <x:c r="R3214" s="117" t="str">
        <x:v>UK - Update Shipping Address</x:v>
      </x:c>
      <x:c r="S3214" s="119" t="str">
        <x:v>For updating pre-created work orders from service contract creation to pull equipment location address</x:v>
      </x:c>
    </x:row>
    <x:row r="3215" ht="30" customHeight="1">
      <x:c r="A3215" s="117" t="str">
        <x:v>UK_Update_Shipping_Address</x:v>
      </x:c>
      <x:c r="B3215" s="117" t="str">
        <x:v>3005b000000Pz7BAAS</x:v>
      </x:c>
      <x:c r="C3215" s="117" t="str">
        <x:v>3015b000000W0uTAAS</x:v>
      </x:c>
      <x:c r="D3215" s="118" t="n">
        <x:v>2</x:v>
      </x:c>
      <x:c r="E3215" s="117" t="str">
        <x:v>Obsolete</x:v>
      </x:c>
      <x:c r="F3215" s="117" t="str">
        <x:v>No</x:v>
      </x:c>
      <x:c r="G3215" s="117" t="str">
        <x:v>No</x:v>
      </x:c>
      <x:c r="H3215" s="117" t="str">
        <x:v>Flow</x:v>
      </x:c>
      <x:c r="I3215" s="118" t="n">
        <x:v>57</x:v>
      </x:c>
      <x:c r="J3215" s="117" t="str">
        <x:v>unmanaged</x:v>
      </x:c>
      <x:c r="K3215" s="123" t="b">
        <x:v>0</x:v>
      </x:c>
      <x:c r="L3215" s="117"/>
      <x:c r="M3215" s="118"/>
      <x:c r="N3215" s="120" t="n">
        <x:v>45006.46666666667</x:v>
      </x:c>
      <x:c r="O3215" s="117" t="str">
        <x:v>Jon Kean</x:v>
      </x:c>
      <x:c r="P3215" s="120" t="n">
        <x:v>45006.46670138889</x:v>
      </x:c>
      <x:c r="Q3215" s="117" t="str">
        <x:v>Jon Kean</x:v>
      </x:c>
      <x:c r="R3215" s="117" t="str">
        <x:v>UK - Update Shipping Address</x:v>
      </x:c>
      <x:c r="S3215" s="119" t="str">
        <x:v>For updating pre-created work orders from service contract creation to pull equipment location address</x:v>
      </x:c>
    </x:row>
    <x:row r="3216" ht="30" customHeight="1">
      <x:c r="A3216" s="117" t="str">
        <x:v>UK_Update_Shipping_Address</x:v>
      </x:c>
      <x:c r="B3216" s="117" t="str">
        <x:v>3005b000000Pz7BAAS</x:v>
      </x:c>
      <x:c r="C3216" s="117" t="str">
        <x:v>3015b000000W0udAAC</x:v>
      </x:c>
      <x:c r="D3216" s="118" t="n">
        <x:v>3</x:v>
      </x:c>
      <x:c r="E3216" s="117" t="str">
        <x:v>Obsolete</x:v>
      </x:c>
      <x:c r="F3216" s="117" t="str">
        <x:v>No</x:v>
      </x:c>
      <x:c r="G3216" s="117" t="str">
        <x:v>No</x:v>
      </x:c>
      <x:c r="H3216" s="117" t="str">
        <x:v>Flow</x:v>
      </x:c>
      <x:c r="I3216" s="118" t="n">
        <x:v>57</x:v>
      </x:c>
      <x:c r="J3216" s="117" t="str">
        <x:v>unmanaged</x:v>
      </x:c>
      <x:c r="K3216" s="123" t="b">
        <x:v>0</x:v>
      </x:c>
      <x:c r="L3216" s="117"/>
      <x:c r="M3216" s="118"/>
      <x:c r="N3216" s="120" t="n">
        <x:v>45006.483761574076</x:v>
      </x:c>
      <x:c r="O3216" s="117" t="str">
        <x:v>Jon Kean</x:v>
      </x:c>
      <x:c r="P3216" s="120" t="n">
        <x:v>45006.48621527778</x:v>
      </x:c>
      <x:c r="Q3216" s="117" t="str">
        <x:v>Jon Kean</x:v>
      </x:c>
      <x:c r="R3216" s="117" t="str">
        <x:v>UK - Update Shipping Address</x:v>
      </x:c>
      <x:c r="S3216" s="119" t="str">
        <x:v>For updating pre-created work orders from service contract creation to pull equipment location address</x:v>
      </x:c>
    </x:row>
    <x:row r="3217" ht="30" customHeight="1">
      <x:c r="A3217" s="117" t="str">
        <x:v>UK_Update_Shipping_Address</x:v>
      </x:c>
      <x:c r="B3217" s="117" t="str">
        <x:v>3005b000000Pz7BAAS</x:v>
      </x:c>
      <x:c r="C3217" s="117" t="str">
        <x:v>3015b000000W0yLAAS</x:v>
      </x:c>
      <x:c r="D3217" s="118" t="n">
        <x:v>4</x:v>
      </x:c>
      <x:c r="E3217" s="117" t="str">
        <x:v>Obsolete</x:v>
      </x:c>
      <x:c r="F3217" s="117" t="str">
        <x:v>No</x:v>
      </x:c>
      <x:c r="G3217" s="117" t="str">
        <x:v>No</x:v>
      </x:c>
      <x:c r="H3217" s="117" t="str">
        <x:v>Flow</x:v>
      </x:c>
      <x:c r="I3217" s="118" t="n">
        <x:v>57</x:v>
      </x:c>
      <x:c r="J3217" s="117" t="str">
        <x:v>unmanaged</x:v>
      </x:c>
      <x:c r="K3217" s="123" t="b">
        <x:v>0</x:v>
      </x:c>
      <x:c r="L3217" s="117"/>
      <x:c r="M3217" s="118"/>
      <x:c r="N3217" s="120" t="n">
        <x:v>45008.40387731481</x:v>
      </x:c>
      <x:c r="O3217" s="117" t="str">
        <x:v>Jon Kean</x:v>
      </x:c>
      <x:c r="P3217" s="120" t="n">
        <x:v>45008.40976851852</x:v>
      </x:c>
      <x:c r="Q3217" s="117" t="str">
        <x:v>Jon Kean</x:v>
      </x:c>
      <x:c r="R3217" s="117" t="str">
        <x:v>UK - Update Shipping Address</x:v>
      </x:c>
      <x:c r="S3217" s="119" t="str">
        <x:v>For updating pre-created work orders from service contract creation to pull equipment location address</x:v>
      </x:c>
    </x:row>
    <x:row r="3218" ht="30" customHeight="1">
      <x:c r="A3218" s="117" t="str">
        <x:v>UK_Update_Shipping_Address</x:v>
      </x:c>
      <x:c r="B3218" s="117" t="str">
        <x:v>3005b000000Pz7BAAS</x:v>
      </x:c>
      <x:c r="C3218" s="117" t="str">
        <x:v>3015b000000W10bAAC</x:v>
      </x:c>
      <x:c r="D3218" s="118" t="n">
        <x:v>5</x:v>
      </x:c>
      <x:c r="E3218" s="117" t="str">
        <x:v>Obsolete</x:v>
      </x:c>
      <x:c r="F3218" s="117" t="str">
        <x:v>No</x:v>
      </x:c>
      <x:c r="G3218" s="117" t="str">
        <x:v>No</x:v>
      </x:c>
      <x:c r="H3218" s="117" t="str">
        <x:v>Flow</x:v>
      </x:c>
      <x:c r="I3218" s="118" t="n">
        <x:v>57</x:v>
      </x:c>
      <x:c r="J3218" s="117" t="str">
        <x:v>unmanaged</x:v>
      </x:c>
      <x:c r="K3218" s="123" t="b">
        <x:v>0</x:v>
      </x:c>
      <x:c r="L3218" s="117"/>
      <x:c r="M3218" s="118"/>
      <x:c r="N3218" s="120" t="n">
        <x:v>45009.55993055556</x:v>
      </x:c>
      <x:c r="O3218" s="117" t="str">
        <x:v>Jace Gentil</x:v>
      </x:c>
      <x:c r="P3218" s="120" t="n">
        <x:v>45009.56003472222</x:v>
      </x:c>
      <x:c r="Q3218" s="117" t="str">
        <x:v>Jace Gentil</x:v>
      </x:c>
      <x:c r="R3218" s="117" t="str">
        <x:v>UK - Update Shipping Address</x:v>
      </x:c>
      <x:c r="S3218" s="119" t="str">
        <x:v>For updating pre-created work orders from service contract creation to pull equipment location address</x:v>
      </x:c>
    </x:row>
    <x:row r="3219" ht="30" customHeight="1">
      <x:c r="A3219" s="117" t="str">
        <x:v>UK_Update_Shipping_Address</x:v>
      </x:c>
      <x:c r="B3219" s="117" t="str">
        <x:v>3005b000000Pz7BAAS</x:v>
      </x:c>
      <x:c r="C3219" s="117" t="str">
        <x:v>3015b000000W10cAAC</x:v>
      </x:c>
      <x:c r="D3219" s="118" t="n">
        <x:v>6</x:v>
      </x:c>
      <x:c r="E3219" s="117" t="str">
        <x:v>Obsolete</x:v>
      </x:c>
      <x:c r="F3219" s="117" t="str">
        <x:v>No</x:v>
      </x:c>
      <x:c r="G3219" s="117" t="str">
        <x:v>No</x:v>
      </x:c>
      <x:c r="H3219" s="117" t="str">
        <x:v>Flow</x:v>
      </x:c>
      <x:c r="I3219" s="118" t="n">
        <x:v>57</x:v>
      </x:c>
      <x:c r="J3219" s="117" t="str">
        <x:v>unmanaged</x:v>
      </x:c>
      <x:c r="K3219" s="123" t="b">
        <x:v>0</x:v>
      </x:c>
      <x:c r="L3219" s="117"/>
      <x:c r="M3219" s="118"/>
      <x:c r="N3219" s="120" t="n">
        <x:v>45009.5652662037</x:v>
      </x:c>
      <x:c r="O3219" s="117" t="str">
        <x:v>Jace Gentil</x:v>
      </x:c>
      <x:c r="P3219" s="120" t="n">
        <x:v>45009.56528935185</x:v>
      </x:c>
      <x:c r="Q3219" s="117" t="str">
        <x:v>Jace Gentil</x:v>
      </x:c>
      <x:c r="R3219" s="117" t="str">
        <x:v>UK - Update Shipping Address</x:v>
      </x:c>
      <x:c r="S3219" s="119" t="str">
        <x:v>For updating pre-created work orders from service contract creation to pull equipment location address</x:v>
      </x:c>
    </x:row>
    <x:row r="3220" ht="30" customHeight="1">
      <x:c r="A3220" s="117" t="str">
        <x:v>UK_Update_Shipping_Address</x:v>
      </x:c>
      <x:c r="B3220" s="117" t="str">
        <x:v>3005b000000Pz7BAAS</x:v>
      </x:c>
      <x:c r="C3220" s="117" t="str">
        <x:v>3015b000000W10gAAC</x:v>
      </x:c>
      <x:c r="D3220" s="118" t="n">
        <x:v>7</x:v>
      </x:c>
      <x:c r="E3220" s="117" t="str">
        <x:v>Obsolete</x:v>
      </x:c>
      <x:c r="F3220" s="117" t="str">
        <x:v>No</x:v>
      </x:c>
      <x:c r="G3220" s="117" t="str">
        <x:v>No</x:v>
      </x:c>
      <x:c r="H3220" s="117" t="str">
        <x:v>Flow</x:v>
      </x:c>
      <x:c r="I3220" s="118" t="n">
        <x:v>57</x:v>
      </x:c>
      <x:c r="J3220" s="117" t="str">
        <x:v>unmanaged</x:v>
      </x:c>
      <x:c r="K3220" s="123" t="b">
        <x:v>0</x:v>
      </x:c>
      <x:c r="L3220" s="117"/>
      <x:c r="M3220" s="118"/>
      <x:c r="N3220" s="120" t="n">
        <x:v>45009.56728009259</x:v>
      </x:c>
      <x:c r="O3220" s="117" t="str">
        <x:v>Jace Gentil</x:v>
      </x:c>
      <x:c r="P3220" s="120" t="n">
        <x:v>45009.56731481481</x:v>
      </x:c>
      <x:c r="Q3220" s="117" t="str">
        <x:v>Jace Gentil</x:v>
      </x:c>
      <x:c r="R3220" s="117" t="str">
        <x:v>UK - Update Shipping Address</x:v>
      </x:c>
      <x:c r="S3220" s="119" t="str">
        <x:v>For updating pre-created work orders from service contract creation to pull equipment location address</x:v>
      </x:c>
    </x:row>
    <x:row r="3221" ht="30" customHeight="1">
      <x:c r="A3221" s="117" t="str">
        <x:v>UK_Update_Shipping_Address</x:v>
      </x:c>
      <x:c r="B3221" s="117" t="str">
        <x:v>3005b000000Pz7BAAS</x:v>
      </x:c>
      <x:c r="C3221" s="117" t="str">
        <x:v>3015b000000W10lAAC</x:v>
      </x:c>
      <x:c r="D3221" s="118" t="n">
        <x:v>8</x:v>
      </x:c>
      <x:c r="E3221" s="117" t="str">
        <x:v>Obsolete</x:v>
      </x:c>
      <x:c r="F3221" s="117" t="str">
        <x:v>No</x:v>
      </x:c>
      <x:c r="G3221" s="117" t="str">
        <x:v>No</x:v>
      </x:c>
      <x:c r="H3221" s="117" t="str">
        <x:v>Flow</x:v>
      </x:c>
      <x:c r="I3221" s="118" t="n">
        <x:v>57</x:v>
      </x:c>
      <x:c r="J3221" s="117" t="str">
        <x:v>unmanaged</x:v>
      </x:c>
      <x:c r="K3221" s="123" t="b">
        <x:v>0</x:v>
      </x:c>
      <x:c r="L3221" s="117"/>
      <x:c r="M3221" s="118"/>
      <x:c r="N3221" s="120" t="n">
        <x:v>45009.567395833335</x:v>
      </x:c>
      <x:c r="O3221" s="117" t="str">
        <x:v>Jace Gentil</x:v>
      </x:c>
      <x:c r="P3221" s="120" t="n">
        <x:v>45009.56741898148</x:v>
      </x:c>
      <x:c r="Q3221" s="117" t="str">
        <x:v>Jace Gentil</x:v>
      </x:c>
      <x:c r="R3221" s="117" t="str">
        <x:v>UK - Update Shipping Address</x:v>
      </x:c>
      <x:c r="S3221" s="119" t="str">
        <x:v>For updating pre-created work orders from service contract creation to pull equipment location address</x:v>
      </x:c>
    </x:row>
    <x:row r="3222" ht="30" customHeight="1">
      <x:c r="A3222" s="117" t="str">
        <x:v>UK_Update_Shipping_Address</x:v>
      </x:c>
      <x:c r="B3222" s="117" t="str">
        <x:v>3005b000000Pz7BAAS</x:v>
      </x:c>
      <x:c r="C3222" s="117" t="str">
        <x:v>3015b000000W10qAAC</x:v>
      </x:c>
      <x:c r="D3222" s="118" t="n">
        <x:v>9</x:v>
      </x:c>
      <x:c r="E3222" s="117" t="str">
        <x:v>Obsolete</x:v>
      </x:c>
      <x:c r="F3222" s="117" t="str">
        <x:v>No</x:v>
      </x:c>
      <x:c r="G3222" s="117" t="str">
        <x:v>No</x:v>
      </x:c>
      <x:c r="H3222" s="117" t="str">
        <x:v>Flow</x:v>
      </x:c>
      <x:c r="I3222" s="118" t="n">
        <x:v>57</x:v>
      </x:c>
      <x:c r="J3222" s="117" t="str">
        <x:v>unmanaged</x:v>
      </x:c>
      <x:c r="K3222" s="123" t="b">
        <x:v>0</x:v>
      </x:c>
      <x:c r="L3222" s="117"/>
      <x:c r="M3222" s="118"/>
      <x:c r="N3222" s="120" t="n">
        <x:v>45009.56864583334</x:v>
      </x:c>
      <x:c r="O3222" s="117" t="str">
        <x:v>Jace Gentil</x:v>
      </x:c>
      <x:c r="P3222" s="120" t="n">
        <x:v>45009.56868055555</x:v>
      </x:c>
      <x:c r="Q3222" s="117" t="str">
        <x:v>Jace Gentil</x:v>
      </x:c>
      <x:c r="R3222" s="117" t="str">
        <x:v>UK - Update Shipping Address</x:v>
      </x:c>
      <x:c r="S3222" s="119" t="str">
        <x:v>For updating pre-created work orders from service contract creation to pull equipment location address</x:v>
      </x:c>
    </x:row>
    <x:row r="3223" ht="30" customHeight="1">
      <x:c r="A3223" s="117" t="str">
        <x:v>UK_Update_Shipping_Address</x:v>
      </x:c>
      <x:c r="B3223" s="117" t="str">
        <x:v>3005b000000Pz7BAAS</x:v>
      </x:c>
      <x:c r="C3223" s="117" t="str">
        <x:v>3015b000000W10rAAC</x:v>
      </x:c>
      <x:c r="D3223" s="118" t="n">
        <x:v>10</x:v>
      </x:c>
      <x:c r="E3223" s="117" t="str">
        <x:v>Obsolete</x:v>
      </x:c>
      <x:c r="F3223" s="117" t="str">
        <x:v>No</x:v>
      </x:c>
      <x:c r="G3223" s="117" t="str">
        <x:v>No</x:v>
      </x:c>
      <x:c r="H3223" s="117" t="str">
        <x:v>Flow</x:v>
      </x:c>
      <x:c r="I3223" s="118" t="n">
        <x:v>57</x:v>
      </x:c>
      <x:c r="J3223" s="117" t="str">
        <x:v>unmanaged</x:v>
      </x:c>
      <x:c r="K3223" s="123" t="b">
        <x:v>0</x:v>
      </x:c>
      <x:c r="L3223" s="117"/>
      <x:c r="M3223" s="118"/>
      <x:c r="N3223" s="120" t="n">
        <x:v>45009.57208333333</x:v>
      </x:c>
      <x:c r="O3223" s="117" t="str">
        <x:v>Jace Gentil</x:v>
      </x:c>
      <x:c r="P3223" s="120" t="n">
        <x:v>45009.572118055556</x:v>
      </x:c>
      <x:c r="Q3223" s="117" t="str">
        <x:v>Jace Gentil</x:v>
      </x:c>
      <x:c r="R3223" s="117" t="str">
        <x:v>UK - Update Shipping Address</x:v>
      </x:c>
      <x:c r="S3223" s="119" t="str">
        <x:v>For updating pre-created work orders from service contract creation to pull equipment location address</x:v>
      </x:c>
    </x:row>
    <x:row r="3224" ht="30" customHeight="1">
      <x:c r="A3224" s="117" t="str">
        <x:v>UK_Update_Shipping_Address</x:v>
      </x:c>
      <x:c r="B3224" s="117" t="str">
        <x:v>3005b000000Pz7BAAS</x:v>
      </x:c>
      <x:c r="C3224" s="117" t="str">
        <x:v>3015b000000W10vAAC</x:v>
      </x:c>
      <x:c r="D3224" s="118" t="n">
        <x:v>11</x:v>
      </x:c>
      <x:c r="E3224" s="117" t="str">
        <x:v>Obsolete</x:v>
      </x:c>
      <x:c r="F3224" s="117" t="str">
        <x:v>No</x:v>
      </x:c>
      <x:c r="G3224" s="117" t="str">
        <x:v>No</x:v>
      </x:c>
      <x:c r="H3224" s="117" t="str">
        <x:v>Flow</x:v>
      </x:c>
      <x:c r="I3224" s="118" t="n">
        <x:v>57</x:v>
      </x:c>
      <x:c r="J3224" s="117" t="str">
        <x:v>unmanaged</x:v>
      </x:c>
      <x:c r="K3224" s="123" t="b">
        <x:v>0</x:v>
      </x:c>
      <x:c r="L3224" s="117"/>
      <x:c r="M3224" s="118"/>
      <x:c r="N3224" s="120" t="n">
        <x:v>45009.5733912037</x:v>
      </x:c>
      <x:c r="O3224" s="117" t="str">
        <x:v>Jace Gentil</x:v>
      </x:c>
      <x:c r="P3224" s="120" t="n">
        <x:v>45009.573425925926</x:v>
      </x:c>
      <x:c r="Q3224" s="117" t="str">
        <x:v>Jace Gentil</x:v>
      </x:c>
      <x:c r="R3224" s="117" t="str">
        <x:v>UK - Update Shipping Address</x:v>
      </x:c>
      <x:c r="S3224" s="119" t="str">
        <x:v>For updating pre-created work orders from service contract creation to pull equipment location address</x:v>
      </x:c>
    </x:row>
    <x:row r="3225" ht="30" customHeight="1">
      <x:c r="A3225" s="117" t="str">
        <x:v>UK_Update_Shipping_Address</x:v>
      </x:c>
      <x:c r="B3225" s="117" t="str">
        <x:v>3005b000000Pz7BAAS</x:v>
      </x:c>
      <x:c r="C3225" s="117" t="str">
        <x:v>3015b000000W1Q0AAK</x:v>
      </x:c>
      <x:c r="D3225" s="118" t="n">
        <x:v>12</x:v>
      </x:c>
      <x:c r="E3225" s="117" t="str">
        <x:v>Obsolete</x:v>
      </x:c>
      <x:c r="F3225" s="117" t="str">
        <x:v>No</x:v>
      </x:c>
      <x:c r="G3225" s="117" t="str">
        <x:v>No</x:v>
      </x:c>
      <x:c r="H3225" s="117" t="str">
        <x:v>Flow</x:v>
      </x:c>
      <x:c r="I3225" s="118" t="n">
        <x:v>57</x:v>
      </x:c>
      <x:c r="J3225" s="117" t="str">
        <x:v>unmanaged</x:v>
      </x:c>
      <x:c r="K3225" s="123" t="b">
        <x:v>0</x:v>
      </x:c>
      <x:c r="L3225" s="117"/>
      <x:c r="M3225" s="118"/>
      <x:c r="N3225" s="120" t="n">
        <x:v>45022.42229166667</x:v>
      </x:c>
      <x:c r="O3225" s="117" t="str">
        <x:v>Jon Kean</x:v>
      </x:c>
      <x:c r="P3225" s="120" t="n">
        <x:v>45022.42233796296</x:v>
      </x:c>
      <x:c r="Q3225" s="117" t="str">
        <x:v>Jon Kean</x:v>
      </x:c>
      <x:c r="R3225" s="117" t="str">
        <x:v>UK - Update Shipping Address</x:v>
      </x:c>
      <x:c r="S3225" s="119" t="str">
        <x:v>For updating pre-created work orders from service contract creation to pull equipment location address</x:v>
      </x:c>
    </x:row>
    <x:row r="3226" ht="30" customHeight="1">
      <x:c r="A3226" s="117" t="str">
        <x:v>UK_Update_Shipping_Address</x:v>
      </x:c>
      <x:c r="B3226" s="117" t="str">
        <x:v>3005b000000Pz7BAAS</x:v>
      </x:c>
      <x:c r="C3226" s="117" t="str">
        <x:v>3015b000000W1Q5AAK</x:v>
      </x:c>
      <x:c r="D3226" s="118" t="n">
        <x:v>13</x:v>
      </x:c>
      <x:c r="E3226" s="117" t="str">
        <x:v>Obsolete</x:v>
      </x:c>
      <x:c r="F3226" s="117" t="str">
        <x:v>No</x:v>
      </x:c>
      <x:c r="G3226" s="117" t="str">
        <x:v>No</x:v>
      </x:c>
      <x:c r="H3226" s="117" t="str">
        <x:v>Flow</x:v>
      </x:c>
      <x:c r="I3226" s="118" t="n">
        <x:v>57</x:v>
      </x:c>
      <x:c r="J3226" s="117" t="str">
        <x:v>unmanaged</x:v>
      </x:c>
      <x:c r="K3226" s="123" t="b">
        <x:v>0</x:v>
      </x:c>
      <x:c r="L3226" s="117"/>
      <x:c r="M3226" s="118"/>
      <x:c r="N3226" s="120" t="n">
        <x:v>45022.424363425926</x:v>
      </x:c>
      <x:c r="O3226" s="117" t="str">
        <x:v>Jon Kean</x:v>
      </x:c>
      <x:c r="P3226" s="120" t="n">
        <x:v>45022.42450231482</x:v>
      </x:c>
      <x:c r="Q3226" s="117" t="str">
        <x:v>Jon Kean</x:v>
      </x:c>
      <x:c r="R3226" s="117" t="str">
        <x:v>UK - Update Shipping Address</x:v>
      </x:c>
      <x:c r="S3226" s="119" t="str">
        <x:v>For updating pre-created work orders from service contract creation to pull equipment location address</x:v>
      </x:c>
    </x:row>
    <x:row r="3227" ht="30" customHeight="1">
      <x:c r="A3227" s="117" t="str">
        <x:v>UK_Update_Shipping_Address</x:v>
      </x:c>
      <x:c r="B3227" s="117" t="str">
        <x:v>3005b000000Pz7BAAS</x:v>
      </x:c>
      <x:c r="C3227" s="117" t="str">
        <x:v>3015b000000W1QAAA0</x:v>
      </x:c>
      <x:c r="D3227" s="118" t="n">
        <x:v>14</x:v>
      </x:c>
      <x:c r="E3227" s="117" t="str">
        <x:v>Active</x:v>
      </x:c>
      <x:c r="F3227" s="117" t="str">
        <x:v>Yes</x:v>
      </x:c>
      <x:c r="G3227" s="117" t="str">
        <x:v>Yes</x:v>
      </x:c>
      <x:c r="H3227" s="117" t="str">
        <x:v>Flow</x:v>
      </x:c>
      <x:c r="I3227" s="118" t="n">
        <x:v>57</x:v>
      </x:c>
      <x:c r="J3227" s="117" t="str">
        <x:v>unmanaged</x:v>
      </x:c>
      <x:c r="K3227" s="123" t="b">
        <x:v>0</x:v>
      </x:c>
      <x:c r="L3227" s="117"/>
      <x:c r="M3227" s="118"/>
      <x:c r="N3227" s="120" t="n">
        <x:v>45022.42519675926</x:v>
      </x:c>
      <x:c r="O3227" s="117" t="str">
        <x:v>Jon Kean</x:v>
      </x:c>
      <x:c r="P3227" s="120" t="n">
        <x:v>45022.42521990741</x:v>
      </x:c>
      <x:c r="Q3227" s="117" t="str">
        <x:v>Jon Kean</x:v>
      </x:c>
      <x:c r="R3227" s="117" t="str">
        <x:v>UK - Update Shipping Address</x:v>
      </x:c>
      <x:c r="S3227" s="119" t="str">
        <x:v>For updating pre-created work orders from service contract creation to pull equipment location address</x:v>
      </x:c>
    </x:row>
    <x:row r="3228" ht="30" customHeight="1">
      <x:c r="A3228" s="117" t="str">
        <x:v>UK_Update_Shipping_Address_v2</x:v>
      </x:c>
      <x:c r="B3228" s="117" t="str">
        <x:v>3005b000000Pz7GAAS</x:v>
      </x:c>
      <x:c r="C3228" s="117" t="str">
        <x:v>3015b000000W0unAAC</x:v>
      </x:c>
      <x:c r="D3228" s="118" t="n">
        <x:v>1</x:v>
      </x:c>
      <x:c r="E3228" s="117" t="str">
        <x:v>Draft</x:v>
      </x:c>
      <x:c r="F3228" s="117" t="str">
        <x:v>No</x:v>
      </x:c>
      <x:c r="G3228" s="117" t="str">
        <x:v>Yes</x:v>
      </x:c>
      <x:c r="H3228" s="117" t="str">
        <x:v>Flow</x:v>
      </x:c>
      <x:c r="I3228" s="118" t="n">
        <x:v>55</x:v>
      </x:c>
      <x:c r="J3228" s="117" t="str">
        <x:v>unmanaged</x:v>
      </x:c>
      <x:c r="K3228" s="123" t="b">
        <x:v>0</x:v>
      </x:c>
      <x:c r="L3228" s="117"/>
      <x:c r="M3228" s="118"/>
      <x:c r="N3228" s="120" t="n">
        <x:v>45006.49451388889</x:v>
      </x:c>
      <x:c r="O3228" s="117" t="str">
        <x:v>Jon Kean</x:v>
      </x:c>
      <x:c r="P3228" s="120" t="n">
        <x:v>45006.49453703704</x:v>
      </x:c>
      <x:c r="Q3228" s="117" t="str">
        <x:v>Jon Kean</x:v>
      </x:c>
      <x:c r="R3228" s="117" t="str">
        <x:v>UK - Update Shipping Address v2</x:v>
      </x:c>
      <x:c r="S3228" s="119"/>
    </x:row>
    <x:row r="3229" ht="30" customHeight="1">
      <x:c r="A3229" s="117" t="str">
        <x:v>UK_VAT_Sales_Tax_Automation</x:v>
      </x:c>
      <x:c r="B3229" s="117" t="str">
        <x:v>300Ro00000lygAzIAI</x:v>
      </x:c>
      <x:c r="C3229" s="117" t="str">
        <x:v>301Ro00000tMjBjIAK</x:v>
      </x:c>
      <x:c r="D3229" s="118" t="n">
        <x:v>1</x:v>
      </x:c>
      <x:c r="E3229" s="117" t="str">
        <x:v>Obsolete</x:v>
      </x:c>
      <x:c r="F3229" s="117" t="str">
        <x:v>No</x:v>
      </x:c>
      <x:c r="G3229" s="117" t="str">
        <x:v>No</x:v>
      </x:c>
      <x:c r="H3229" s="117" t="str">
        <x:v>AutoLaunchedFlow</x:v>
      </x:c>
      <x:c r="I3229" s="118" t="n">
        <x:v>65</x:v>
      </x:c>
      <x:c r="J3229" s="117" t="str">
        <x:v>unmanaged</x:v>
      </x:c>
      <x:c r="K3229" s="123" t="b">
        <x:v>0</x:v>
      </x:c>
      <x:c r="L3229" s="117"/>
      <x:c r="M3229" s="118"/>
      <x:c r="N3229" s="120" t="n">
        <x:v>45993.41621527778</x:v>
      </x:c>
      <x:c r="O3229" s="117" t="str">
        <x:v>Sacha Pearce</x:v>
      </x:c>
      <x:c r="P3229" s="120" t="n">
        <x:v>45993.420949074076</x:v>
      </x:c>
      <x:c r="Q3229" s="117" t="str">
        <x:v>Sacha Pearce</x:v>
      </x:c>
      <x:c r="R3229" s="117" t="str">
        <x:v>UK VAT Sales Tax Automation</x:v>
      </x:c>
      <x:c r="S3229" s="119" t="str">
        <x:v>28/11/2025 - V1 - SP - This Flow has been designed to enter 20% of the "GST/HST Amount" on UK Opportunities.
28/11/2025 - V2 - SP - Updating the decision to look at the "Billing Country" instead of the "Billing Address".
28/11/2025 - V3 - SP - Updating the decision to have "Does Not Equal" instead of "Equals".
28/11/2025 - V4 - SP - Adding second decision to check "VAT Exempt Checkbox".</x:v>
      </x:c>
    </x:row>
    <x:row r="3230" ht="30" customHeight="1">
      <x:c r="A3230" s="117" t="str">
        <x:v>UK_VAT_Sales_Tax_Automation</x:v>
      </x:c>
      <x:c r="B3230" s="117" t="str">
        <x:v>300Ro00000lygAzIAI</x:v>
      </x:c>
      <x:c r="C3230" s="117" t="str">
        <x:v>301Ro00000tMobjIAC</x:v>
      </x:c>
      <x:c r="D3230" s="118" t="n">
        <x:v>2</x:v>
      </x:c>
      <x:c r="E3230" s="117" t="str">
        <x:v>Obsolete</x:v>
      </x:c>
      <x:c r="F3230" s="117" t="str">
        <x:v>No</x:v>
      </x:c>
      <x:c r="G3230" s="117" t="str">
        <x:v>No</x:v>
      </x:c>
      <x:c r="H3230" s="117" t="str">
        <x:v>AutoLaunchedFlow</x:v>
      </x:c>
      <x:c r="I3230" s="118" t="n">
        <x:v>65</x:v>
      </x:c>
      <x:c r="J3230" s="117" t="str">
        <x:v>unmanaged</x:v>
      </x:c>
      <x:c r="K3230" s="123" t="b">
        <x:v>0</x:v>
      </x:c>
      <x:c r="L3230" s="117"/>
      <x:c r="M3230" s="118"/>
      <x:c r="N3230" s="120" t="n">
        <x:v>45993.43583333334</x:v>
      </x:c>
      <x:c r="O3230" s="117" t="str">
        <x:v>Sacha Pearce</x:v>
      </x:c>
      <x:c r="P3230" s="120" t="n">
        <x:v>45993.43664351852</x:v>
      </x:c>
      <x:c r="Q3230" s="117" t="str">
        <x:v>Sacha Pearce</x:v>
      </x:c>
      <x:c r="R3230" s="117" t="str">
        <x:v>UK VAT Sales Tax Automation</x:v>
      </x:c>
      <x:c r="S3230" s="119" t="str">
        <x:v>28/11/2025 - V1 - SP - This Flow has been designed to enter 20% of the "GST/HST Amount" on UK Opportunities.
28/11/2025 - V2 - SP - Updating the decision to look at the "Billing Country" instead of the "Billing Address".
28/11/2025 - V3 - SP - Updating the decision to have "Does Not Equal" instead of "Equals".
28/11/2025 - V4 - SP - Adding second decision to check "VAT Exempt Checkbox".
02/12/2025 - V5 - SP - Adding entry condition to not run if the "Intacct Shipper Sync Status" is set to "Synced".</x:v>
      </x:c>
    </x:row>
    <x:row r="3231" ht="30" customHeight="1">
      <x:c r="A3231" s="117" t="str">
        <x:v>UK_VAT_Sales_Tax_Automation</x:v>
      </x:c>
      <x:c r="B3231" s="117" t="str">
        <x:v>300Ro00000lygAzIAI</x:v>
      </x:c>
      <x:c r="C3231" s="117" t="str">
        <x:v>301Ro00000tS6cMIAS</x:v>
      </x:c>
      <x:c r="D3231" s="118" t="n">
        <x:v>3</x:v>
      </x:c>
      <x:c r="E3231" s="117" t="str">
        <x:v>Obsolete</x:v>
      </x:c>
      <x:c r="F3231" s="117" t="str">
        <x:v>No</x:v>
      </x:c>
      <x:c r="G3231" s="117" t="str">
        <x:v>No</x:v>
      </x:c>
      <x:c r="H3231" s="117" t="str">
        <x:v>AutoLaunchedFlow</x:v>
      </x:c>
      <x:c r="I3231" s="118" t="n">
        <x:v>65</x:v>
      </x:c>
      <x:c r="J3231" s="117" t="str">
        <x:v>unmanaged</x:v>
      </x:c>
      <x:c r="K3231" s="123" t="b">
        <x:v>0</x:v>
      </x:c>
      <x:c r="L3231" s="117"/>
      <x:c r="M3231" s="118"/>
      <x:c r="N3231" s="120" t="n">
        <x:v>45994.635196759256</x:v>
      </x:c>
      <x:c r="O3231" s="117" t="str">
        <x:v>Sacha Pearce</x:v>
      </x:c>
      <x:c r="P3231" s="120" t="n">
        <x:v>45994.6375462963</x:v>
      </x:c>
      <x:c r="Q3231" s="117" t="str">
        <x:v>Sacha Pearce</x:v>
      </x:c>
      <x:c r="R3231" s="117" t="str">
        <x:v>UK VAT Sales Tax Automation</x:v>
      </x:c>
      <x:c r="S3231" s="119" t="str">
        <x:v>28/11/2025 - V1 - SP - This Flow has been designed to enter 20% of the "GST/HST Amount" on UK Opportunities.
28/11/2025 - V2 - SP - Updating the decision to look at the "Billing Country" instead of the "Billing Address".
28/11/2025 - V3 - SP - Updating the decision to have "Does Not Equal" instead of "Equals".
28/11/2025 - V4 - SP - Adding second decision to check "VAT Exempt Checkbox".
02/12/2025 - V5 - SP - Adding entry condition to not run if the "Intacct Shipper Sync Status" is set to "Synced".
03/12/2025 - V6 - SP - Updating Flow to run before save to reduce system load.</x:v>
      </x:c>
    </x:row>
    <x:row r="3232" ht="30" customHeight="1">
      <x:c r="A3232" s="117" t="str">
        <x:v>UK_VAT_Sales_Tax_Automation</x:v>
      </x:c>
      <x:c r="B3232" s="117" t="str">
        <x:v>300Ro00000lygAzIAI</x:v>
      </x:c>
      <x:c r="C3232" s="117" t="str">
        <x:v>301Ro00000woTa7IAE</x:v>
      </x:c>
      <x:c r="D3232" s="118" t="n">
        <x:v>4</x:v>
      </x:c>
      <x:c r="E3232" s="117" t="str">
        <x:v>Active</x:v>
      </x:c>
      <x:c r="F3232" s="117" t="str">
        <x:v>Yes</x:v>
      </x:c>
      <x:c r="G3232" s="117" t="str">
        <x:v>Yes</x:v>
      </x:c>
      <x:c r="H3232" s="117" t="str">
        <x:v>AutoLaunchedFlow</x:v>
      </x:c>
      <x:c r="I3232" s="118" t="n">
        <x:v>65</x:v>
      </x:c>
      <x:c r="J3232" s="117" t="str">
        <x:v>unmanaged</x:v>
      </x:c>
      <x:c r="K3232" s="123" t="b">
        <x:v>0</x:v>
      </x:c>
      <x:c r="L3232" s="117"/>
      <x:c r="M3232" s="118"/>
      <x:c r="N3232" s="120" t="n">
        <x:v>46050.3669212963</x:v>
      </x:c>
      <x:c r="O3232" s="117" t="str">
        <x:v>Sacha Pearce</x:v>
      </x:c>
      <x:c r="P3232" s="120" t="n">
        <x:v>46050.36696759259</x:v>
      </x:c>
      <x:c r="Q3232" s="117" t="str">
        <x:v>Sacha Pearce</x:v>
      </x:c>
      <x:c r="R3232" s="117" t="str">
        <x:v>UK VAT Sales Tax Automation</x:v>
      </x:c>
      <x:c r="S3232" s="119" t="str">
        <x:v>28/11/2025 - V1 - SP - This Flow has been designed to enter 20% of the "GST/HST Amount" on UK Opportunities.
28/11/2025 - V2 - SP - Updating the decision to look at the "Billing Country" instead of the "Billing Address".
28/11/2025 - V3 - SP - Updating the decision to have "Does Not Equal" instead of "Equals".
28/11/2025 - V4 - SP - Adding second decision to check "VAT Exempt Checkbox".
02/12/2025 - V5 - SP - Adding entry condition to not run if the "Intacct Shipper Sync Status" is set to "Synced".
03/12/2025 - V6 - SP - Updating Flow to run before save to reduce system load.
28/01/2025 - V7 - SP - Updating "formulaSalesTax" to look at the Opportunity "Amount" field instead of the "GST HST Amount".</x:v>
      </x:c>
    </x:row>
    <x:row r="3233" ht="30" customHeight="1">
      <x:c r="A3233" s="117" t="str">
        <x:v>Ultrasound_Checklist</x:v>
      </x:c>
      <x:c r="B3233" s="117" t="str">
        <x:v>300Ro00000Pz0kwIAB</x:v>
      </x:c>
      <x:c r="C3233" s="117" t="str">
        <x:v>301Ro00000Sd0UwIAJ</x:v>
      </x:c>
      <x:c r="D3233" s="118" t="n">
        <x:v>1</x:v>
      </x:c>
      <x:c r="E3233" s="117" t="str">
        <x:v>Obsolete</x:v>
      </x:c>
      <x:c r="F3233" s="117" t="str">
        <x:v>No</x:v>
      </x:c>
      <x:c r="G3233" s="117" t="str">
        <x:v>No</x:v>
      </x:c>
      <x:c r="H3233" s="117" t="str">
        <x:v>FieldServiceMobile</x:v>
      </x:c>
      <x:c r="I3233" s="118"/>
      <x:c r="J3233" s="117" t="str">
        <x:v>unmanaged</x:v>
      </x:c>
      <x:c r="K3233" s="123" t="b">
        <x:v>0</x:v>
      </x:c>
      <x:c r="L3233" s="117"/>
      <x:c r="M3233" s="118"/>
      <x:c r="N3233" s="120" t="n">
        <x:v>45680.216840277775</x:v>
      </x:c>
      <x:c r="O3233" s="117" t="str">
        <x:v>Delegate</x:v>
      </x:c>
      <x:c r="P3233" s="120" t="n">
        <x:v>45680.216875</x:v>
      </x:c>
      <x:c r="Q3233" s="117" t="str">
        <x:v>Delegate</x:v>
      </x:c>
      <x:c r="R3233" s="117" t="str">
        <x:v>Ultrasound Checklist</x:v>
      </x:c>
      <x:c r="S3233" s="119" t="str">
        <x:v>field update</x:v>
      </x:c>
    </x:row>
    <x:row r="3234" ht="30" customHeight="1">
      <x:c r="A3234" s="117" t="str">
        <x:v>Ultrasound_Checklist</x:v>
      </x:c>
      <x:c r="B3234" s="117" t="str">
        <x:v>300Ro00000Pz0kwIAB</x:v>
      </x:c>
      <x:c r="C3234" s="117" t="str">
        <x:v>301Ro00000SpOwTIAV</x:v>
      </x:c>
      <x:c r="D3234" s="118" t="n">
        <x:v>2</x:v>
      </x:c>
      <x:c r="E3234" s="117" t="str">
        <x:v>Obsolete</x:v>
      </x:c>
      <x:c r="F3234" s="117" t="str">
        <x:v>No</x:v>
      </x:c>
      <x:c r="G3234" s="117" t="str">
        <x:v>No</x:v>
      </x:c>
      <x:c r="H3234" s="117" t="str">
        <x:v>FieldServiceMobile</x:v>
      </x:c>
      <x:c r="I3234" s="118"/>
      <x:c r="J3234" s="117" t="str">
        <x:v>unmanaged</x:v>
      </x:c>
      <x:c r="K3234" s="123" t="b">
        <x:v>0</x:v>
      </x:c>
      <x:c r="L3234" s="117"/>
      <x:c r="M3234" s="118"/>
      <x:c r="N3234" s="120" t="n">
        <x:v>45684.13637731481</x:v>
      </x:c>
      <x:c r="O3234" s="117" t="str">
        <x:v>Delegate</x:v>
      </x:c>
      <x:c r="P3234" s="120" t="n">
        <x:v>45684.13638888889</x:v>
      </x:c>
      <x:c r="Q3234" s="117" t="str">
        <x:v>Delegate</x:v>
      </x:c>
      <x:c r="R3234" s="117" t="str">
        <x:v>Ultrasound Checklist</x:v>
      </x:c>
      <x:c r="S3234" s="119" t="str">
        <x:v>01/26/2025 (BW) - updated BIOS Battery to a template</x:v>
      </x:c>
    </x:row>
    <x:row r="3235" ht="30" customHeight="1">
      <x:c r="A3235" s="117" t="str">
        <x:v>Ultrasound_Checklist</x:v>
      </x:c>
      <x:c r="B3235" s="117" t="str">
        <x:v>300Ro00000Pz0kwIAB</x:v>
      </x:c>
      <x:c r="C3235" s="117" t="str">
        <x:v>301Ro00000SzOlGIAV</x:v>
      </x:c>
      <x:c r="D3235" s="118" t="n">
        <x:v>3</x:v>
      </x:c>
      <x:c r="E3235" s="117" t="str">
        <x:v>Obsolete</x:v>
      </x:c>
      <x:c r="F3235" s="117" t="str">
        <x:v>No</x:v>
      </x:c>
      <x:c r="G3235" s="117" t="str">
        <x:v>No</x:v>
      </x:c>
      <x:c r="H3235" s="117" t="str">
        <x:v>FieldServiceMobile</x:v>
      </x:c>
      <x:c r="I3235" s="118"/>
      <x:c r="J3235" s="117" t="str">
        <x:v>unmanaged</x:v>
      </x:c>
      <x:c r="K3235" s="123" t="b">
        <x:v>0</x:v>
      </x:c>
      <x:c r="L3235" s="117"/>
      <x:c r="M3235" s="118"/>
      <x:c r="N3235" s="120" t="n">
        <x:v>45686.49863425926</x:v>
      </x:c>
      <x:c r="O3235" s="117" t="str">
        <x:v>Delegate</x:v>
      </x:c>
      <x:c r="P3235" s="120" t="n">
        <x:v>45686.498703703706</x:v>
      </x:c>
      <x:c r="Q3235" s="117" t="str">
        <x:v>Delegate</x:v>
      </x:c>
      <x:c r="R3235" s="117" t="str">
        <x:v>Ultrasound Checklist</x:v>
      </x:c>
      <x:c r="S3235" s="119" t="str">
        <x:v>01/29/2025 (BW) - Updated required fields</x:v>
      </x:c>
    </x:row>
    <x:row r="3236" ht="30" customHeight="1">
      <x:c r="A3236" s="117" t="str">
        <x:v>Ultrasound_Checklist</x:v>
      </x:c>
      <x:c r="B3236" s="117" t="str">
        <x:v>300Ro00000Pz0kwIAB</x:v>
      </x:c>
      <x:c r="C3236" s="117" t="str">
        <x:v>301Ro00000T8DM6IAN</x:v>
      </x:c>
      <x:c r="D3236" s="118" t="n">
        <x:v>4</x:v>
      </x:c>
      <x:c r="E3236" s="117" t="str">
        <x:v>Obsolete</x:v>
      </x:c>
      <x:c r="F3236" s="117" t="str">
        <x:v>No</x:v>
      </x:c>
      <x:c r="G3236" s="117" t="str">
        <x:v>No</x:v>
      </x:c>
      <x:c r="H3236" s="117" t="str">
        <x:v>FieldServiceMobile</x:v>
      </x:c>
      <x:c r="I3236" s="118"/>
      <x:c r="J3236" s="117" t="str">
        <x:v>unmanaged</x:v>
      </x:c>
      <x:c r="K3236" s="123" t="b">
        <x:v>0</x:v>
      </x:c>
      <x:c r="L3236" s="117"/>
      <x:c r="M3236" s="118"/>
      <x:c r="N3236" s="120" t="n">
        <x:v>45688.63259259259</x:v>
      </x:c>
      <x:c r="O3236" s="117" t="str">
        <x:v>Delegate</x:v>
      </x:c>
      <x:c r="P3236" s="120" t="n">
        <x:v>45688.63267361111</x:v>
      </x:c>
      <x:c r="Q3236" s="117" t="str">
        <x:v>Delegate</x:v>
      </x:c>
      <x:c r="R3236" s="117" t="str">
        <x:v>Ultrasound Checklist</x:v>
      </x:c>
      <x:c r="S3236" s="119" t="str">
        <x:v>01/29/2025 (BW) - Updated required fields</x:v>
      </x:c>
    </x:row>
    <x:row r="3237" ht="30" customHeight="1">
      <x:c r="A3237" s="117" t="str">
        <x:v>Ultrasound_Checklist</x:v>
      </x:c>
      <x:c r="B3237" s="117" t="str">
        <x:v>300Ro00000Pz0kwIAB</x:v>
      </x:c>
      <x:c r="C3237" s="117" t="str">
        <x:v>301Ro00000T8UhlIAF</x:v>
      </x:c>
      <x:c r="D3237" s="118" t="n">
        <x:v>5</x:v>
      </x:c>
      <x:c r="E3237" s="117" t="str">
        <x:v>Obsolete</x:v>
      </x:c>
      <x:c r="F3237" s="117" t="str">
        <x:v>No</x:v>
      </x:c>
      <x:c r="G3237" s="117" t="str">
        <x:v>No</x:v>
      </x:c>
      <x:c r="H3237" s="117" t="str">
        <x:v>FieldServiceMobile</x:v>
      </x:c>
      <x:c r="I3237" s="118"/>
      <x:c r="J3237" s="117" t="str">
        <x:v>unmanaged</x:v>
      </x:c>
      <x:c r="K3237" s="123" t="b">
        <x:v>0</x:v>
      </x:c>
      <x:c r="L3237" s="117"/>
      <x:c r="M3237" s="118"/>
      <x:c r="N3237" s="120" t="n">
        <x:v>45688.63332175926</x:v>
      </x:c>
      <x:c r="O3237" s="117" t="str">
        <x:v>Delegate</x:v>
      </x:c>
      <x:c r="P3237" s="120" t="n">
        <x:v>45688.633425925924</x:v>
      </x:c>
      <x:c r="Q3237" s="117" t="str">
        <x:v>Delegate</x:v>
      </x:c>
      <x:c r="R3237" s="117" t="str">
        <x:v>Ultrasound Checklist</x:v>
      </x:c>
      <x:c r="S3237" s="119" t="str">
        <x:v>01/29/2025 (BW) - Updated required fields</x:v>
      </x:c>
    </x:row>
    <x:row r="3238" ht="30" customHeight="1">
      <x:c r="A3238" s="117" t="str">
        <x:v>Ultrasound_Checklist</x:v>
      </x:c>
      <x:c r="B3238" s="117" t="str">
        <x:v>300Ro00000Pz0kwIAB</x:v>
      </x:c>
      <x:c r="C3238" s="117" t="str">
        <x:v>301Ro00000WxNvvIAF</x:v>
      </x:c>
      <x:c r="D3238" s="118" t="n">
        <x:v>6</x:v>
      </x:c>
      <x:c r="E3238" s="117" t="str">
        <x:v>Obsolete</x:v>
      </x:c>
      <x:c r="F3238" s="117" t="str">
        <x:v>No</x:v>
      </x:c>
      <x:c r="G3238" s="117" t="str">
        <x:v>No</x:v>
      </x:c>
      <x:c r="H3238" s="117" t="str">
        <x:v>FieldServiceMobile</x:v>
      </x:c>
      <x:c r="I3238" s="118"/>
      <x:c r="J3238" s="117" t="str">
        <x:v>unmanaged</x:v>
      </x:c>
      <x:c r="K3238" s="123" t="b">
        <x:v>0</x:v>
      </x:c>
      <x:c r="L3238" s="117"/>
      <x:c r="M3238" s="118"/>
      <x:c r="N3238" s="120" t="n">
        <x:v>45754.47818287037</x:v>
      </x:c>
      <x:c r="O3238" s="117" t="str">
        <x:v>Delegate</x:v>
      </x:c>
      <x:c r="P3238" s="120" t="n">
        <x:v>45754.47828703704</x:v>
      </x:c>
      <x:c r="Q3238" s="117" t="str">
        <x:v>Delegate</x:v>
      </x:c>
      <x:c r="R3238" s="117" t="str">
        <x:v>Ultrasound Checklist</x:v>
      </x:c>
      <x:c r="S3238" s="119" t="str">
        <x:v>04/05/2025 (BW) - Updating to follow new methodology for checksheets</x:v>
      </x:c>
    </x:row>
    <x:row r="3239" ht="30" customHeight="1">
      <x:c r="A3239" s="117" t="str">
        <x:v>Ultrasound_Checklist</x:v>
      </x:c>
      <x:c r="B3239" s="117" t="str">
        <x:v>300Ro00000Pz0kwIAB</x:v>
      </x:c>
      <x:c r="C3239" s="117" t="str">
        <x:v>301Ro00000trK90IAE</x:v>
      </x:c>
      <x:c r="D3239" s="118" t="n">
        <x:v>7</x:v>
      </x:c>
      <x:c r="E3239" s="117" t="str">
        <x:v>Obsolete</x:v>
      </x:c>
      <x:c r="F3239" s="117" t="str">
        <x:v>No</x:v>
      </x:c>
      <x:c r="G3239" s="117" t="str">
        <x:v>No</x:v>
      </x:c>
      <x:c r="H3239" s="117" t="str">
        <x:v>FieldServiceMobile</x:v>
      </x:c>
      <x:c r="I3239" s="118"/>
      <x:c r="J3239" s="117" t="str">
        <x:v>unmanaged</x:v>
      </x:c>
      <x:c r="K3239" s="123" t="b">
        <x:v>0</x:v>
      </x:c>
      <x:c r="L3239" s="117"/>
      <x:c r="M3239" s="118"/>
      <x:c r="N3239" s="120" t="n">
        <x:v>46001.39854166667</x:v>
      </x:c>
      <x:c r="O3239" s="117" t="str">
        <x:v>Sacha Pearce</x:v>
      </x:c>
      <x:c r="P3239" s="120" t="n">
        <x:v>46001.39863425926</x:v>
      </x:c>
      <x:c r="Q3239" s="117" t="str">
        <x:v>Sacha Pearce</x:v>
      </x:c>
      <x:c r="R3239" s="117" t="str">
        <x:v>Ultrasound Checklist</x:v>
      </x:c>
      <x:c r="S3239"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x:v>
      </x:c>
    </x:row>
    <x:row r="3240" ht="30" customHeight="1">
      <x:c r="A3240" s="117" t="str">
        <x:v>Ultrasound_Checklist</x:v>
      </x:c>
      <x:c r="B3240" s="117" t="str">
        <x:v>300Ro00000Pz0kwIAB</x:v>
      </x:c>
      <x:c r="C3240" s="117" t="str">
        <x:v>301Ro00000trHkfIAE</x:v>
      </x:c>
      <x:c r="D3240" s="118" t="n">
        <x:v>8</x:v>
      </x:c>
      <x:c r="E3240" s="117" t="str">
        <x:v>Obsolete</x:v>
      </x:c>
      <x:c r="F3240" s="117" t="str">
        <x:v>No</x:v>
      </x:c>
      <x:c r="G3240" s="117" t="str">
        <x:v>No</x:v>
      </x:c>
      <x:c r="H3240" s="117" t="str">
        <x:v>FieldServiceMobile</x:v>
      </x:c>
      <x:c r="I3240" s="118"/>
      <x:c r="J3240" s="117" t="str">
        <x:v>unmanaged</x:v>
      </x:c>
      <x:c r="K3240" s="123" t="b">
        <x:v>0</x:v>
      </x:c>
      <x:c r="L3240" s="117"/>
      <x:c r="M3240" s="118"/>
      <x:c r="N3240" s="120" t="n">
        <x:v>46001.437106481484</x:v>
      </x:c>
      <x:c r="O3240" s="117" t="str">
        <x:v>Sacha Pearce</x:v>
      </x:c>
      <x:c r="P3240" s="120" t="n">
        <x:v>46001.4371875</x:v>
      </x:c>
      <x:c r="Q3240" s="117" t="str">
        <x:v>Sacha Pearce</x:v>
      </x:c>
      <x:c r="R3240" s="117" t="str">
        <x:v>Ultrasound Checklist</x:v>
      </x:c>
      <x:c r="S3240"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x:v>
      </x:c>
    </x:row>
    <x:row r="3241" ht="30" customHeight="1">
      <x:c r="A3241" s="117" t="str">
        <x:v>Ultrasound_Checklist</x:v>
      </x:c>
      <x:c r="B3241" s="117" t="str">
        <x:v>300Ro00000Pz0kwIAB</x:v>
      </x:c>
      <x:c r="C3241" s="117" t="str">
        <x:v>301Ro00000trQr9IAE</x:v>
      </x:c>
      <x:c r="D3241" s="118" t="n">
        <x:v>9</x:v>
      </x:c>
      <x:c r="E3241" s="117" t="str">
        <x:v>Obsolete</x:v>
      </x:c>
      <x:c r="F3241" s="117" t="str">
        <x:v>No</x:v>
      </x:c>
      <x:c r="G3241" s="117" t="str">
        <x:v>No</x:v>
      </x:c>
      <x:c r="H3241" s="117" t="str">
        <x:v>FieldServiceMobile</x:v>
      </x:c>
      <x:c r="I3241" s="118"/>
      <x:c r="J3241" s="117" t="str">
        <x:v>unmanaged</x:v>
      </x:c>
      <x:c r="K3241" s="123" t="b">
        <x:v>0</x:v>
      </x:c>
      <x:c r="L3241" s="117"/>
      <x:c r="M3241" s="118"/>
      <x:c r="N3241" s="120" t="n">
        <x:v>46001.495046296295</x:v>
      </x:c>
      <x:c r="O3241" s="117" t="str">
        <x:v>Sacha Pearce</x:v>
      </x:c>
      <x:c r="P3241" s="120" t="n">
        <x:v>46001.49518518519</x:v>
      </x:c>
      <x:c r="Q3241" s="117" t="str">
        <x:v>Sacha Pearce</x:v>
      </x:c>
      <x:c r="R3241" s="117" t="str">
        <x:v>Ultrasound Checklist</x:v>
      </x:c>
      <x:c r="S3241"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V9 (Production) - Deleting the final check as mobile is overwriting the formatting when trying to display HTML</x:v>
      </x:c>
    </x:row>
    <x:row r="3242" ht="30" customHeight="1">
      <x:c r="A3242" s="117" t="str">
        <x:v>Ultrasound_Checklist</x:v>
      </x:c>
      <x:c r="B3242" s="117" t="str">
        <x:v>300Ro00000Pz0kwIAB</x:v>
      </x:c>
      <x:c r="C3242" s="117" t="str">
        <x:v>301Ro00000trbhjIAA</x:v>
      </x:c>
      <x:c r="D3242" s="118" t="n">
        <x:v>10</x:v>
      </x:c>
      <x:c r="E3242" s="117" t="str">
        <x:v>Obsolete</x:v>
      </x:c>
      <x:c r="F3242" s="117" t="str">
        <x:v>No</x:v>
      </x:c>
      <x:c r="G3242" s="117" t="str">
        <x:v>No</x:v>
      </x:c>
      <x:c r="H3242" s="117" t="str">
        <x:v>FieldServiceMobile</x:v>
      </x:c>
      <x:c r="I3242" s="118"/>
      <x:c r="J3242" s="117" t="str">
        <x:v>unmanaged</x:v>
      </x:c>
      <x:c r="K3242" s="123" t="b">
        <x:v>0</x:v>
      </x:c>
      <x:c r="L3242" s="117"/>
      <x:c r="M3242" s="118"/>
      <x:c r="N3242" s="120" t="n">
        <x:v>46001.542175925926</x:v>
      </x:c>
      <x:c r="O3242" s="117" t="str">
        <x:v>Sacha Pearce</x:v>
      </x:c>
      <x:c r="P3242" s="120" t="n">
        <x:v>46001.54251157407</x:v>
      </x:c>
      <x:c r="Q3242" s="117" t="str">
        <x:v>Sacha Pearce</x:v>
      </x:c>
      <x:c r="R3242" s="117" t="str">
        <x:v>Ultrasound Checklist</x:v>
      </x:c>
      <x:c r="S3242"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V9 (Production) - Deleting the final check as mobile is overwriting the formatting when trying to display HTML
12/10/2025 - SP - V10 (Production) - Simplifying to avoid HTML storing on mobile</x:v>
      </x:c>
    </x:row>
    <x:row r="3243" ht="30" customHeight="1">
      <x:c r="A3243" s="117" t="str">
        <x:v>Ultrasound_Checklist</x:v>
      </x:c>
      <x:c r="B3243" s="117" t="str">
        <x:v>300Ro00000Pz0kwIAB</x:v>
      </x:c>
      <x:c r="C3243" s="117" t="str">
        <x:v>301Ro00000trlyoIAA</x:v>
      </x:c>
      <x:c r="D3243" s="118" t="n">
        <x:v>11</x:v>
      </x:c>
      <x:c r="E3243" s="117" t="str">
        <x:v>Obsolete</x:v>
      </x:c>
      <x:c r="F3243" s="117" t="str">
        <x:v>No</x:v>
      </x:c>
      <x:c r="G3243" s="117" t="str">
        <x:v>No</x:v>
      </x:c>
      <x:c r="H3243" s="117" t="str">
        <x:v>FieldServiceMobile</x:v>
      </x:c>
      <x:c r="I3243" s="118"/>
      <x:c r="J3243" s="117" t="str">
        <x:v>unmanaged</x:v>
      </x:c>
      <x:c r="K3243" s="123" t="b">
        <x:v>0</x:v>
      </x:c>
      <x:c r="L3243" s="117"/>
      <x:c r="M3243" s="118"/>
      <x:c r="N3243" s="120" t="n">
        <x:v>46001.54854166666</x:v>
      </x:c>
      <x:c r="O3243" s="117" t="str">
        <x:v>Sacha Pearce</x:v>
      </x:c>
      <x:c r="P3243" s="120" t="n">
        <x:v>46001.548738425925</x:v>
      </x:c>
      <x:c r="Q3243" s="117" t="str">
        <x:v>Sacha Pearce</x:v>
      </x:c>
      <x:c r="R3243" s="117" t="str">
        <x:v>Ultrasound Checklist</x:v>
      </x:c>
      <x:c r="S3243"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V9 (Production) - Deleting the final check as mobile is overwriting the formatting when trying to display HTML
12/10/2025 - SP - V10 (Production) - Simplifying to avoid HTML storing on mobile
12/10/2025 - SP - V11 - (Production) - Simplifying to avoid HTML storing on mobile 2</x:v>
      </x:c>
    </x:row>
    <x:row r="3244" ht="30" customHeight="1">
      <x:c r="A3244" s="117" t="str">
        <x:v>Ultrasound_Checklist</x:v>
      </x:c>
      <x:c r="B3244" s="117" t="str">
        <x:v>300Ro00000Pz0kwIAB</x:v>
      </x:c>
      <x:c r="C3244" s="117" t="str">
        <x:v>301Ro00000trXChIAM</x:v>
      </x:c>
      <x:c r="D3244" s="118" t="n">
        <x:v>12</x:v>
      </x:c>
      <x:c r="E3244" s="117" t="str">
        <x:v>Obsolete</x:v>
      </x:c>
      <x:c r="F3244" s="117" t="str">
        <x:v>No</x:v>
      </x:c>
      <x:c r="G3244" s="117" t="str">
        <x:v>No</x:v>
      </x:c>
      <x:c r="H3244" s="117" t="str">
        <x:v>FieldServiceMobile</x:v>
      </x:c>
      <x:c r="I3244" s="118"/>
      <x:c r="J3244" s="117" t="str">
        <x:v>unmanaged</x:v>
      </x:c>
      <x:c r="K3244" s="123" t="b">
        <x:v>0</x:v>
      </x:c>
      <x:c r="L3244" s="117"/>
      <x:c r="M3244" s="118"/>
      <x:c r="N3244" s="120" t="n">
        <x:v>46001.55123842593</x:v>
      </x:c>
      <x:c r="O3244" s="117" t="str">
        <x:v>Sacha Pearce</x:v>
      </x:c>
      <x:c r="P3244" s="120" t="n">
        <x:v>46001.55136574074</x:v>
      </x:c>
      <x:c r="Q3244" s="117" t="str">
        <x:v>Sacha Pearce</x:v>
      </x:c>
      <x:c r="R3244" s="117" t="str">
        <x:v>Ultrasound Checklist</x:v>
      </x:c>
      <x:c r="S3244"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V9 (Production) - Deleting the final check as mobile is overwriting the formatting when trying to display HTML
12/10/2025 - SP - V10 (Production) - Simplifying to avoid HTML storing on mobile
12/10/2025 - SP - V11 - (Production) - Simplifying to avoid HTML storing on mobile 2
12/10/2025 - SP - V12 - (Production) - Simplifying to avoid HTML storing on mobile 3</x:v>
      </x:c>
    </x:row>
    <x:row r="3245" ht="30" customHeight="1">
      <x:c r="A3245" s="117" t="str">
        <x:v>Ultrasound_Checklist</x:v>
      </x:c>
      <x:c r="B3245" s="117" t="str">
        <x:v>300Ro00000Pz0kwIAB</x:v>
      </x:c>
      <x:c r="C3245" s="117" t="str">
        <x:v>301Ro00000trPWuIAM</x:v>
      </x:c>
      <x:c r="D3245" s="118" t="n">
        <x:v>13</x:v>
      </x:c>
      <x:c r="E3245" s="117" t="str">
        <x:v>Obsolete</x:v>
      </x:c>
      <x:c r="F3245" s="117" t="str">
        <x:v>No</x:v>
      </x:c>
      <x:c r="G3245" s="117" t="str">
        <x:v>No</x:v>
      </x:c>
      <x:c r="H3245" s="117" t="str">
        <x:v>FieldServiceMobile</x:v>
      </x:c>
      <x:c r="I3245" s="118"/>
      <x:c r="J3245" s="117" t="str">
        <x:v>unmanaged</x:v>
      </x:c>
      <x:c r="K3245" s="123" t="b">
        <x:v>0</x:v>
      </x:c>
      <x:c r="L3245" s="117"/>
      <x:c r="M3245" s="118"/>
      <x:c r="N3245" s="120" t="n">
        <x:v>46001.555625</x:v>
      </x:c>
      <x:c r="O3245" s="117" t="str">
        <x:v>Sacha Pearce</x:v>
      </x:c>
      <x:c r="P3245" s="120" t="n">
        <x:v>46001.556284722225</x:v>
      </x:c>
      <x:c r="Q3245" s="117" t="str">
        <x:v>Sacha Pearce</x:v>
      </x:c>
      <x:c r="R3245" s="117" t="str">
        <x:v>Ultrasound Checklist</x:v>
      </x:c>
      <x:c r="S3245"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V9 (Production) - Deleting the final check as mobile is overwriting the formatting when trying to display HTML
12/10/2025 - SP - V10 (Production) - Simplifying to avoid HTML storing on mobile
12/10/2025 - SP - V11 - (Production) - Simplifying to avoid HTML storing on mobile 2
12/10/2025 - SP - V12 - (Production) - Simplifying to avoid HTML storing on mobile 3
12/10/2025 - SP - V12 - (Production) - Simplifying to avoid HTML storing on mobile 4</x:v>
      </x:c>
    </x:row>
    <x:row r="3246" ht="30" customHeight="1">
      <x:c r="A3246" s="117" t="str">
        <x:v>Ultrasound_Checklist</x:v>
      </x:c>
      <x:c r="B3246" s="117" t="str">
        <x:v>300Ro00000Pz0kwIAB</x:v>
      </x:c>
      <x:c r="C3246" s="117" t="str">
        <x:v>301Ro00000u8PlpIAE</x:v>
      </x:c>
      <x:c r="D3246" s="118" t="n">
        <x:v>16</x:v>
      </x:c>
      <x:c r="E3246" s="117" t="str">
        <x:v>Obsolete</x:v>
      </x:c>
      <x:c r="F3246" s="117" t="str">
        <x:v>No</x:v>
      </x:c>
      <x:c r="G3246" s="117" t="str">
        <x:v>No</x:v>
      </x:c>
      <x:c r="H3246" s="117" t="str">
        <x:v>FieldServiceMobile</x:v>
      </x:c>
      <x:c r="I3246" s="118"/>
      <x:c r="J3246" s="117" t="str">
        <x:v>unmanaged</x:v>
      </x:c>
      <x:c r="K3246" s="123" t="b">
        <x:v>0</x:v>
      </x:c>
      <x:c r="L3246" s="117"/>
      <x:c r="M3246" s="118"/>
      <x:c r="N3246" s="120" t="n">
        <x:v>46006.411724537036</x:v>
      </x:c>
      <x:c r="O3246" s="117" t="str">
        <x:v>Sacha Pearce</x:v>
      </x:c>
      <x:c r="P3246" s="120" t="n">
        <x:v>46006.41243055555</x:v>
      </x:c>
      <x:c r="Q3246" s="117" t="str">
        <x:v>Sacha Pearce</x:v>
      </x:c>
      <x:c r="R3246" s="117" t="str">
        <x:v>Ultrasound Checklist</x:v>
      </x:c>
      <x:c r="S3246"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x:v>
      </x:c>
    </x:row>
    <x:row r="3247" ht="30" customHeight="1">
      <x:c r="A3247" s="117" t="str">
        <x:v>Ultrasound_Checklist</x:v>
      </x:c>
      <x:c r="B3247" s="117" t="str">
        <x:v>300Ro00000Pz0kwIAB</x:v>
      </x:c>
      <x:c r="C3247" s="117" t="str">
        <x:v>301Ro00000u969DIAQ</x:v>
      </x:c>
      <x:c r="D3247" s="118" t="n">
        <x:v>17</x:v>
      </x:c>
      <x:c r="E3247" s="117" t="str">
        <x:v>Obsolete</x:v>
      </x:c>
      <x:c r="F3247" s="117" t="str">
        <x:v>No</x:v>
      </x:c>
      <x:c r="G3247" s="117" t="str">
        <x:v>No</x:v>
      </x:c>
      <x:c r="H3247" s="117" t="str">
        <x:v>FieldServiceMobile</x:v>
      </x:c>
      <x:c r="I3247" s="118"/>
      <x:c r="J3247" s="117" t="str">
        <x:v>unmanaged</x:v>
      </x:c>
      <x:c r="K3247" s="123" t="b">
        <x:v>0</x:v>
      </x:c>
      <x:c r="L3247" s="117"/>
      <x:c r="M3247" s="118"/>
      <x:c r="N3247" s="120" t="n">
        <x:v>46006.60089120371</x:v>
      </x:c>
      <x:c r="O3247" s="117" t="str">
        <x:v>Sacha Pearce</x:v>
      </x:c>
      <x:c r="P3247" s="120" t="n">
        <x:v>46006.60103009259</x:v>
      </x:c>
      <x:c r="Q3247" s="117" t="str">
        <x:v>Sacha Pearce</x:v>
      </x:c>
      <x:c r="R3247" s="117" t="str">
        <x:v>Ultrasound Checklist</x:v>
      </x:c>
      <x:c r="S3247"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
15/10/2025 - SP - V17 - Removing default value pulling into the "Final Visual Check" field</x:v>
      </x:c>
    </x:row>
    <x:row r="3248" ht="30" customHeight="1">
      <x:c r="A3248" s="117" t="str">
        <x:v>Ultrasound_Checklist</x:v>
      </x:c>
      <x:c r="B3248" s="117" t="str">
        <x:v>300Ro00000Pz0kwIAB</x:v>
      </x:c>
      <x:c r="C3248" s="117" t="str">
        <x:v>301Ro00000uFf7SIAS</x:v>
      </x:c>
      <x:c r="D3248" s="118" t="n">
        <x:v>18</x:v>
      </x:c>
      <x:c r="E3248" s="117" t="str">
        <x:v>Obsolete</x:v>
      </x:c>
      <x:c r="F3248" s="117" t="str">
        <x:v>No</x:v>
      </x:c>
      <x:c r="G3248" s="117" t="str">
        <x:v>No</x:v>
      </x:c>
      <x:c r="H3248" s="117" t="str">
        <x:v>FieldServiceMobile</x:v>
      </x:c>
      <x:c r="I3248" s="118"/>
      <x:c r="J3248" s="117" t="str">
        <x:v>unmanaged</x:v>
      </x:c>
      <x:c r="K3248" s="123" t="b">
        <x:v>0</x:v>
      </x:c>
      <x:c r="L3248" s="117"/>
      <x:c r="M3248" s="118"/>
      <x:c r="N3248" s="120" t="n">
        <x:v>46007.881064814814</x:v>
      </x:c>
      <x:c r="O3248" s="117" t="str">
        <x:v>Sacha Pearce</x:v>
      </x:c>
      <x:c r="P3248" s="120" t="n">
        <x:v>46007.881203703706</x:v>
      </x:c>
      <x:c r="Q3248" s="117" t="str">
        <x:v>Sacha Pearce</x:v>
      </x:c>
      <x:c r="R3248" s="117" t="str">
        <x:v>Ultrasound Checklist</x:v>
      </x:c>
      <x:c r="S3248"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
15/10/2025 - SP - V17 - Removing default value pulling into the "Final Visual Check" field
15/10/2025 - SP - V18 - Changing the "Not Applicable" choice to have a value of "Not Applicable" instead of "N/A" to match the "Pass/Fail Teest Options" Value Set</x:v>
      </x:c>
    </x:row>
    <x:row r="3249" ht="30" customHeight="1">
      <x:c r="A3249" s="117" t="str">
        <x:v>Ultrasound_Checklist</x:v>
      </x:c>
      <x:c r="B3249" s="117" t="str">
        <x:v>300Ro00000Pz0kwIAB</x:v>
      </x:c>
      <x:c r="C3249" s="117" t="str">
        <x:v>301Ro00000uFTkdIAG</x:v>
      </x:c>
      <x:c r="D3249" s="118" t="n">
        <x:v>19</x:v>
      </x:c>
      <x:c r="E3249" s="117" t="str">
        <x:v>Obsolete</x:v>
      </x:c>
      <x:c r="F3249" s="117" t="str">
        <x:v>No</x:v>
      </x:c>
      <x:c r="G3249" s="117" t="str">
        <x:v>No</x:v>
      </x:c>
      <x:c r="H3249" s="117" t="str">
        <x:v>FieldServiceMobile</x:v>
      </x:c>
      <x:c r="I3249" s="118"/>
      <x:c r="J3249" s="117" t="str">
        <x:v>unmanaged</x:v>
      </x:c>
      <x:c r="K3249" s="123" t="b">
        <x:v>0</x:v>
      </x:c>
      <x:c r="L3249" s="117"/>
      <x:c r="M3249" s="118"/>
      <x:c r="N3249" s="120" t="n">
        <x:v>46007.890914351854</x:v>
      </x:c>
      <x:c r="O3249" s="117" t="str">
        <x:v>Sacha Pearce</x:v>
      </x:c>
      <x:c r="P3249" s="120" t="n">
        <x:v>46007.891064814816</x:v>
      </x:c>
      <x:c r="Q3249" s="117" t="str">
        <x:v>Sacha Pearce</x:v>
      </x:c>
      <x:c r="R3249" s="117" t="str">
        <x:v>Ultrasound Checklist</x:v>
      </x:c>
      <x:c r="S3249"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
15/10/2025 - SP - V17 - Removing default value pulling into the "Final Visual Check" field
15/10/2025 - SP - V18 - Changing the "Not Applicable" choice to have a value of "Not Applicable" instead of "N/A" to match the "Pass/Fail Teest Options" Value Set
15/10/2025 - SP - V19 - Adding additional fields to updates</x:v>
      </x:c>
    </x:row>
    <x:row r="3250" ht="30" customHeight="1">
      <x:c r="A3250" s="117" t="str">
        <x:v>Ultrasound_Checklist</x:v>
      </x:c>
      <x:c r="B3250" s="117" t="str">
        <x:v>300Ro00000Pz0kwIAB</x:v>
      </x:c>
      <x:c r="C3250" s="117" t="str">
        <x:v>301Ro00000uHcbkIAC</x:v>
      </x:c>
      <x:c r="D3250" s="118" t="n">
        <x:v>20</x:v>
      </x:c>
      <x:c r="E3250" s="117" t="str">
        <x:v>Obsolete</x:v>
      </x:c>
      <x:c r="F3250" s="117" t="str">
        <x:v>No</x:v>
      </x:c>
      <x:c r="G3250" s="117" t="str">
        <x:v>No</x:v>
      </x:c>
      <x:c r="H3250" s="117" t="str">
        <x:v>FieldServiceMobile</x:v>
      </x:c>
      <x:c r="I3250" s="118"/>
      <x:c r="J3250" s="117" t="str">
        <x:v>unmanaged</x:v>
      </x:c>
      <x:c r="K3250" s="123" t="b">
        <x:v>0</x:v>
      </x:c>
      <x:c r="L3250" s="117"/>
      <x:c r="M3250" s="118"/>
      <x:c r="N3250" s="120" t="n">
        <x:v>46008.35885416667</x:v>
      </x:c>
      <x:c r="O3250" s="117" t="str">
        <x:v>Sacha Pearce</x:v>
      </x:c>
      <x:c r="P3250" s="120" t="n">
        <x:v>46008.35901620371</x:v>
      </x:c>
      <x:c r="Q3250" s="117" t="str">
        <x:v>Sacha Pearce</x:v>
      </x:c>
      <x:c r="R3250" s="117" t="str">
        <x:v>Ultrasound Checklist</x:v>
      </x:c>
      <x:c r="S3250"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
15/10/2025 - SP - V17 - Removing default value pulling into the "Final Visual Check" field
15/10/2025 - SP - V18 - Changing the "Not Applicable" choice to have a value of "Not Applicable" instead of "N/A" to match the "Pass/Fail Teest Options" Value Set
16/10/2025 - SP - V19 - Adding additional fields to updates
17/10/2025 - SP - V20 - Adding "Service Key" to the "Update Contract Line Item" element</x:v>
      </x:c>
    </x:row>
    <x:row r="3251" ht="30" customHeight="1">
      <x:c r="A3251" s="117" t="str">
        <x:v>Ultrasound_Checklist</x:v>
      </x:c>
      <x:c r="B3251" s="117" t="str">
        <x:v>300Ro00000Pz0kwIAB</x:v>
      </x:c>
      <x:c r="C3251" s="117" t="str">
        <x:v>301Ro00000vWCerIAG</x:v>
      </x:c>
      <x:c r="D3251" s="118" t="n">
        <x:v>21</x:v>
      </x:c>
      <x:c r="E3251" s="117" t="str">
        <x:v>Obsolete</x:v>
      </x:c>
      <x:c r="F3251" s="117" t="str">
        <x:v>No</x:v>
      </x:c>
      <x:c r="G3251" s="117" t="str">
        <x:v>No</x:v>
      </x:c>
      <x:c r="H3251" s="117" t="str">
        <x:v>FieldServiceMobile</x:v>
      </x:c>
      <x:c r="I3251" s="118"/>
      <x:c r="J3251" s="117" t="str">
        <x:v>unmanaged</x:v>
      </x:c>
      <x:c r="K3251" s="123" t="b">
        <x:v>0</x:v>
      </x:c>
      <x:c r="L3251" s="117"/>
      <x:c r="M3251" s="118"/>
      <x:c r="N3251" s="120" t="n">
        <x:v>46033.64</x:v>
      </x:c>
      <x:c r="O3251" s="117" t="str">
        <x:v>Sacha Pearce</x:v>
      </x:c>
      <x:c r="P3251" s="120" t="n">
        <x:v>46033.64011574074</x:v>
      </x:c>
      <x:c r="Q3251" s="117" t="str">
        <x:v>Sacha Pearce</x:v>
      </x:c>
      <x:c r="R3251" s="117" t="str">
        <x:v>Ultrasound Checklist</x:v>
      </x:c>
      <x:c r="S3251"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
15/10/2025 - SP - V17 - Removing default value pulling into the "Final Visual Check" field
15/10/2025 - SP - V18 - Changing the "Not Applicable" choice to have a value of "Not Applicable" instead of "N/A" to match the "Pass/Fail Teest Options" Value Set
16/10/2025 - SP - V19 - Adding additional fields to updates
17/10/2025 - SP - V20 - Adding "Service Key" to the "Update Contract Line Item" element
11/01/2025 - SP - V21 - Setting "Checklist Type" to "Ultrasound" in the "Generate Service Report HTML" Update Records element</x:v>
      </x:c>
    </x:row>
    <x:row r="3252" ht="30" customHeight="1">
      <x:c r="A3252" s="117" t="str">
        <x:v>Ultrasound_Checklist</x:v>
      </x:c>
      <x:c r="B3252" s="117" t="str">
        <x:v>300Ro00000Pz0kwIAB</x:v>
      </x:c>
      <x:c r="C3252" s="117" t="str">
        <x:v>301Ro00000vyRqvIAE</x:v>
      </x:c>
      <x:c r="D3252" s="118" t="n">
        <x:v>22</x:v>
      </x:c>
      <x:c r="E3252" s="117" t="str">
        <x:v>Obsolete</x:v>
      </x:c>
      <x:c r="F3252" s="117" t="str">
        <x:v>No</x:v>
      </x:c>
      <x:c r="G3252" s="117" t="str">
        <x:v>No</x:v>
      </x:c>
      <x:c r="H3252" s="117" t="str">
        <x:v>FieldServiceMobile</x:v>
      </x:c>
      <x:c r="I3252" s="118"/>
      <x:c r="J3252" s="117" t="str">
        <x:v>unmanaged</x:v>
      </x:c>
      <x:c r="K3252" s="123" t="b">
        <x:v>0</x:v>
      </x:c>
      <x:c r="L3252" s="117"/>
      <x:c r="M3252" s="118"/>
      <x:c r="N3252" s="120" t="n">
        <x:v>46041.38369212963</x:v>
      </x:c>
      <x:c r="O3252" s="117" t="str">
        <x:v>Sacha Pearce</x:v>
      </x:c>
      <x:c r="P3252" s="120" t="n">
        <x:v>46041.38381944445</x:v>
      </x:c>
      <x:c r="Q3252" s="117" t="str">
        <x:v>Sacha Pearce</x:v>
      </x:c>
      <x:c r="R3252" s="117" t="str">
        <x:v>Ultrasound Checklist</x:v>
      </x:c>
      <x:c r="S3252"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
15/10/2025 - SP - V17 - Removing default value pulling into the "Final Visual Check" field
15/10/2025 - SP - V18 - Changing the "Not Applicable" choice to have a value of "Not Applicable" instead of "N/A" to match the "Pass/Fail Teest Options" Value Set
16/10/2025 - SP - V19 - Adding additional fields to updates
17/10/2025 - SP - V20 - Adding "Service Key" to the "Update Contract Line Item" element
11/01/2025 - SP - V21 - Setting "Checklist Type" to "Ultrasound" in the "Generate Service Report HTML" Update Records element
19/01/2026 - SP - V22 - Removing redundant formulas and variables.</x:v>
      </x:c>
    </x:row>
    <x:row r="3253" ht="30" customHeight="1">
      <x:c r="A3253" s="117" t="str">
        <x:v>Ultrasound_Checklist</x:v>
      </x:c>
      <x:c r="B3253" s="117" t="str">
        <x:v>300Ro00000Pz0kwIAB</x:v>
      </x:c>
      <x:c r="C3253" s="117" t="str">
        <x:v>301Ro00000vyNaTIAU</x:v>
      </x:c>
      <x:c r="D3253" s="118" t="n">
        <x:v>23</x:v>
      </x:c>
      <x:c r="E3253" s="117" t="str">
        <x:v>Draft</x:v>
      </x:c>
      <x:c r="F3253" s="117" t="str">
        <x:v>No</x:v>
      </x:c>
      <x:c r="G3253" s="117" t="str">
        <x:v>No</x:v>
      </x:c>
      <x:c r="H3253" s="117" t="str">
        <x:v>FieldServiceMobile</x:v>
      </x:c>
      <x:c r="I3253" s="118"/>
      <x:c r="J3253" s="117" t="str">
        <x:v>unmanaged</x:v>
      </x:c>
      <x:c r="K3253" s="123" t="b">
        <x:v>0</x:v>
      </x:c>
      <x:c r="L3253" s="117"/>
      <x:c r="M3253" s="118"/>
      <x:c r="N3253" s="120" t="n">
        <x:v>46041.39402777778</x:v>
      </x:c>
      <x:c r="O3253" s="117" t="str">
        <x:v>Sacha Pearce</x:v>
      </x:c>
      <x:c r="P3253" s="120" t="n">
        <x:v>46041.39408564815</x:v>
      </x:c>
      <x:c r="Q3253" s="117" t="str">
        <x:v>Sacha Pearce</x:v>
      </x:c>
      <x:c r="R3253" s="117" t="str">
        <x:v>Ultrasound Checklist</x:v>
      </x:c>
      <x:c r="S3253"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
15/10/2025 - SP - V17 - Removing default value pulling into the "Final Visual Check" field
15/10/2025 - SP - V18 - Changing the "Not Applicable" choice to have a value of "Not Applicable" instead of "N/A" to match the "Pass/Fail Teest Options" Value Set
16/10/2025 - SP - V19 - Adding additional fields to updates
17/10/2025 - SP - V20 - Adding "Service Key" to the "Update Contract Line Item" element
11/01/2025 - SP - V21 - Setting "Checklist Type" to "Ultrasound" in the "Generate Service Report HTML" Update Records element
19/01/2026 - SP - V22 - Removing redundant formulas and variables.
19/01/2026 - SP - V23 - Amending "Mechanical Checks &amp; Service Tasks" to have "Not Applicable" as an option on all picklist fields and limiting the battery code to 20.</x:v>
      </x:c>
    </x:row>
    <x:row r="3254" ht="30" customHeight="1">
      <x:c r="A3254" s="117" t="str">
        <x:v>Ultrasound_Checklist</x:v>
      </x:c>
      <x:c r="B3254" s="117" t="str">
        <x:v>300Ro00000Pz0kwIAB</x:v>
      </x:c>
      <x:c r="C3254" s="117" t="str">
        <x:v>301Ro00000vzOCgIAM</x:v>
      </x:c>
      <x:c r="D3254" s="118" t="n">
        <x:v>24</x:v>
      </x:c>
      <x:c r="E3254" s="117" t="str">
        <x:v>Obsolete</x:v>
      </x:c>
      <x:c r="F3254" s="117" t="str">
        <x:v>No</x:v>
      </x:c>
      <x:c r="G3254" s="117" t="str">
        <x:v>No</x:v>
      </x:c>
      <x:c r="H3254" s="117" t="str">
        <x:v>FieldServiceMobile</x:v>
      </x:c>
      <x:c r="I3254" s="118"/>
      <x:c r="J3254" s="117" t="str">
        <x:v>unmanaged</x:v>
      </x:c>
      <x:c r="K3254" s="123" t="b">
        <x:v>0</x:v>
      </x:c>
      <x:c r="L3254" s="117"/>
      <x:c r="M3254" s="118"/>
      <x:c r="N3254" s="120" t="n">
        <x:v>46041.59694444444</x:v>
      </x:c>
      <x:c r="O3254" s="117" t="str">
        <x:v>Sacha Pearce</x:v>
      </x:c>
      <x:c r="P3254" s="120" t="n">
        <x:v>46041.597037037034</x:v>
      </x:c>
      <x:c r="Q3254" s="117" t="str">
        <x:v>Sacha Pearce</x:v>
      </x:c>
      <x:c r="R3254" s="117" t="str">
        <x:v>Ultrasound Checklist</x:v>
      </x:c>
      <x:c r="S3254"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
15/10/2025 - SP - V17 - Removing default value pulling into the "Final Visual Check" field
15/10/2025 - SP - V18 - Changing the "Not Applicable" choice to have a value of "Not Applicable" instead of "N/A" to match the "Pass/Fail Teest Options" Value Set
16/10/2025 - SP - V19 - Adding additional fields to updates
17/10/2025 - SP - V20 - Adding "Service Key" to the "Update Contract Line Item" element
11/01/2025 - SP - V21 - Setting "Checklist Type" to "Ultrasound" in the "Generate Service Report HTML" Update Records element
19/01/2026 - SP - V22 - Removing redundant formulas and variables.
19/01/2026 - SP - V24 - Adding in a final Screen to confirm completion.</x:v>
      </x:c>
    </x:row>
    <x:row r="3255" ht="30" customHeight="1">
      <x:c r="A3255" s="117" t="str">
        <x:v>Ultrasound_Checklist</x:v>
      </x:c>
      <x:c r="B3255" s="117" t="str">
        <x:v>300Ro00000Pz0kwIAB</x:v>
      </x:c>
      <x:c r="C3255" s="117" t="str">
        <x:v>301Ro00000wLiJBIA0</x:v>
      </x:c>
      <x:c r="D3255" s="118" t="n">
        <x:v>25</x:v>
      </x:c>
      <x:c r="E3255" s="117" t="str">
        <x:v>Obsolete</x:v>
      </x:c>
      <x:c r="F3255" s="117" t="str">
        <x:v>No</x:v>
      </x:c>
      <x:c r="G3255" s="117" t="str">
        <x:v>No</x:v>
      </x:c>
      <x:c r="H3255" s="117" t="str">
        <x:v>FieldServiceMobile</x:v>
      </x:c>
      <x:c r="I3255" s="118"/>
      <x:c r="J3255" s="117" t="str">
        <x:v>unmanaged</x:v>
      </x:c>
      <x:c r="K3255" s="123" t="b">
        <x:v>0</x:v>
      </x:c>
      <x:c r="L3255" s="117"/>
      <x:c r="M3255" s="118"/>
      <x:c r="N3255" s="120" t="n">
        <x:v>46044.883263888885</x:v>
      </x:c>
      <x:c r="O3255" s="117" t="str">
        <x:v>Sacha Pearce</x:v>
      </x:c>
      <x:c r="P3255" s="120" t="n">
        <x:v>46044.88554398148</x:v>
      </x:c>
      <x:c r="Q3255" s="117" t="str">
        <x:v>Sacha Pearce</x:v>
      </x:c>
      <x:c r="R3255" s="117" t="str">
        <x:v>Ultrasound Checklist</x:v>
      </x:c>
      <x:c r="S3255"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
15/10/2025 - SP - V17 - Removing default value pulling into the "Final Visual Check" field
15/10/2025 - SP - V18 - Changing the "Not Applicable" choice to have a value of "Not Applicable" instead of "N/A" to match the "Pass/Fail Teest Options" Value Set
16/10/2025 - SP - V19 - Adding additional fields to updates
17/10/2025 - SP - V20 - Adding "Service Key" to the "Update Contract Line Item" element
11/01/2025 - SP - V21 - Setting "Checklist Type" to "Ultrasound" in the "Generate Service Report HTML" Update Records element
19/01/2026 - SP - V22 - Removing redundant formulas and variables.
19/01/2026 - SP - V24 - Adding in a final Screen to confirm completion.
22/01/2026 - SP - V25 - Moving the "Transducer Information" and "Peripheral Information" Screen elements to follow the "Update Contract Line Item" Update Records element.</x:v>
      </x:c>
    </x:row>
    <x:row r="3256" ht="30" customHeight="1">
      <x:c r="A3256" s="117" t="str">
        <x:v>Ultrasound_Checklist</x:v>
      </x:c>
      <x:c r="B3256" s="117" t="str">
        <x:v>300Ro00000Pz0kwIAB</x:v>
      </x:c>
      <x:c r="C3256" s="117" t="str">
        <x:v>301Ro00000wopZ1IAI</x:v>
      </x:c>
      <x:c r="D3256" s="118" t="n">
        <x:v>26</x:v>
      </x:c>
      <x:c r="E3256" s="117" t="str">
        <x:v>Obsolete</x:v>
      </x:c>
      <x:c r="F3256" s="117" t="str">
        <x:v>No</x:v>
      </x:c>
      <x:c r="G3256" s="117" t="str">
        <x:v>No</x:v>
      </x:c>
      <x:c r="H3256" s="117" t="str">
        <x:v>FieldServiceMobile</x:v>
      </x:c>
      <x:c r="I3256" s="118"/>
      <x:c r="J3256" s="117" t="str">
        <x:v>unmanaged</x:v>
      </x:c>
      <x:c r="K3256" s="123" t="b">
        <x:v>0</x:v>
      </x:c>
      <x:c r="L3256" s="117"/>
      <x:c r="M3256" s="118"/>
      <x:c r="N3256" s="120" t="n">
        <x:v>46050.50111111111</x:v>
      </x:c>
      <x:c r="O3256" s="117" t="str">
        <x:v>Sacha Pearce</x:v>
      </x:c>
      <x:c r="P3256" s="120" t="n">
        <x:v>46050.50269675926</x:v>
      </x:c>
      <x:c r="Q3256" s="117" t="str">
        <x:v>Sacha Pearce</x:v>
      </x:c>
      <x:c r="R3256" s="117" t="str">
        <x:v>Ultrasound Checklist</x:v>
      </x:c>
      <x:c r="S3256"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
15/10/2025 - SP - V17 - Removing default value pulling into the "Final Visual Check" field
15/10/2025 - SP - V18 - Changing the "Not Applicable" choice to have a value of "Not Applicable" instead of "N/A" to match the "Pass/Fail Teest Options" Value Set
16/10/2025 - SP - V19 - Adding additional fields to updates
17/10/2025 - SP - V20 - Adding "Service Key" to the "Update Contract Line Item" element
11/01/2025 - SP - V21 - Setting "Checklist Type" to "Ultrasound" in the "Generate Service Report HTML" Update Records element
19/01/2026 - SP - V22 - Removing redundant formulas and variables.
19/01/2026 - SP - V24 - Adding in a final Screen to confirm completion.
22/01/2026 - SP - V25 - Moving the "Transducer Information" and "Peripheral Information" Screen elements to follow the "Update Contract Line Item" Update Records element.
28/01/2026 - SP - V26 - Adding "Not Applicable" to the "Trackerball - Detail Clean &amp; Lubricate Moving Parts" check in the "Mechanical Checks" Screen element.</x:v>
      </x:c>
    </x:row>
    <x:row r="3257" ht="30" customHeight="1">
      <x:c r="A3257" s="117" t="str">
        <x:v>Ultrasound_Checklist</x:v>
      </x:c>
      <x:c r="B3257" s="117" t="str">
        <x:v>300Ro00000Pz0kwIAB</x:v>
      </x:c>
      <x:c r="C3257" s="117" t="str">
        <x:v>301Ro00000xD0lBIAS</x:v>
      </x:c>
      <x:c r="D3257" s="118" t="n">
        <x:v>27</x:v>
      </x:c>
      <x:c r="E3257" s="117" t="str">
        <x:v>Obsolete</x:v>
      </x:c>
      <x:c r="F3257" s="117" t="str">
        <x:v>No</x:v>
      </x:c>
      <x:c r="G3257" s="117" t="str">
        <x:v>No</x:v>
      </x:c>
      <x:c r="H3257" s="117" t="str">
        <x:v>FieldServiceMobile</x:v>
      </x:c>
      <x:c r="I3257" s="118"/>
      <x:c r="J3257" s="117" t="str">
        <x:v>unmanaged</x:v>
      </x:c>
      <x:c r="K3257" s="123" t="b">
        <x:v>0</x:v>
      </x:c>
      <x:c r="L3257" s="117"/>
      <x:c r="M3257" s="118"/>
      <x:c r="N3257" s="120" t="n">
        <x:v>46054.93635416667</x:v>
      </x:c>
      <x:c r="O3257" s="117" t="str">
        <x:v>Sacha Pearce</x:v>
      </x:c>
      <x:c r="P3257" s="120" t="n">
        <x:v>46054.93641203704</x:v>
      </x:c>
      <x:c r="Q3257" s="117" t="str">
        <x:v>Sacha Pearce</x:v>
      </x:c>
      <x:c r="R3257" s="117" t="str">
        <x:v>Ultrasound Checklist</x:v>
      </x:c>
      <x:c r="S3257" s="119" t="str">
        <x:v>04/05/2025 (BW) - Updating to follow new methodology for checksheets
12/05/2025 (SP) - V7 - Adding transducer checks
12/06/2025 (SP) - V8 - Adding further transducer checks
12/06/2025 - SP - V9 - Formatting previous formulas for final output and "Recommended Repair" field has been added
12/06/2025 - SP - V10 - Network Settings and Service Hardware checks
12/07/2025 - SP - V11 - Screen to confirm Contract Line Item information and additional mapping
12/08/2025 - SP - V12 - Removing "Transducer Checks" (Checklist 2) and "Probes" 1-6 in the "System and Probe Checks" (Checklist 5) section
12/08/2025 - SP - V13 - Adjusting output formulas to respect page breaks. This version also introduces the "ChecklistOutputServiceNetworkSettings" and "ChecklistOutputServiceHardwareAndSoftwareInformation"
12/10/2025 - SP - V14 - Updating the update records elements to save information onto the Service Appointments. This will enable us to avoid hitting HTML limits when trying to close SAs via the FSL mobile app
14/10/2025 - SP - V15 - Creating a separate update records element for setting the "Geneerate Service Report HTML" checkbox to true
15/10/2025 - SP - V16 - Removing "Equipment Hnadover Completed" to change it to "Yes/No" GVS
15/10/2025 - SP - V17 - Removing default value pulling into the "Final Visual Check" field
15/10/2025 - SP - V18 - Changing the "Not Applicable" choice to have a value of "Not Applicable" instead of "N/A" to match the "Pass/Fail Teest Options" Value Set
16/10/2025 - SP - V19 - Adding additional fields to updates
17/10/2025 - SP - V20 - Adding "Service Key" to the "Update Contract Line Item" element
11/01/2025 - SP - V21 - Setting "Checklist Type" to "Ultrasound" in the "Generate Service Report HTML" Update Records element
19/01/2026 - SP - V22 - Removing redundant formulas and variables.
19/01/2026 - SP - V24 - Adding in a final Screen to confirm completion.
22/01/2026 - SP - V25 - Moving the "Transducer Information" and "Peripheral Information" Screen elements to follow the "Update Contract Line Item" Update Records element.
28/01/2026 - SP - V26 - Adding "Not Applicable" to the "Trackerball - Detail Clean &amp; Lubricate Moving Parts" check in the "Mechanical Checks" Screen element.
01/02/2026 - SP - V27 - Adding an update records element to update transducer fields on the realted Contract Line Item</x:v>
      </x:c>
    </x:row>
    <x:row r="3258" ht="30" customHeight="1">
      <x:c r="A3258" s="117" t="str">
        <x:v>Ultrasound_Checklist</x:v>
      </x:c>
      <x:c r="B3258" s="117" t="str">
        <x:v>300Ro00000Pz0kwIAB</x:v>
      </x:c>
      <x:c r="C3258" s="117" t="str">
        <x:v>301Ro0000119rTwIAI</x:v>
      </x:c>
      <x:c r="D3258" s="118" t="n">
        <x:v>28</x:v>
      </x:c>
      <x:c r="E3258" s="117" t="str">
        <x:v>Obsolete</x:v>
      </x:c>
      <x:c r="F3258" s="117" t="str">
        <x:v>No</x:v>
      </x:c>
      <x:c r="G3258" s="117" t="str">
        <x:v>No</x:v>
      </x:c>
      <x:c r="H3258" s="117" t="str">
        <x:v>FieldServiceMobile</x:v>
      </x:c>
      <x:c r="I3258" s="118"/>
      <x:c r="J3258" s="117" t="str">
        <x:v>unmanaged</x:v>
      </x:c>
      <x:c r="K3258" s="123" t="b">
        <x:v>0</x:v>
      </x:c>
      <x:c r="L3258" s="117"/>
      <x:c r="M3258" s="118"/>
      <x:c r="N3258" s="120" t="n">
        <x:v>46102.88550925926</x:v>
      </x:c>
      <x:c r="O3258" s="117" t="str">
        <x:v>Sacha Pearce</x:v>
      </x:c>
      <x:c r="P3258" s="120" t="n">
        <x:v>46110.81636574074</x:v>
      </x:c>
      <x:c r="Q3258" s="117" t="str">
        <x:v>Sacha Pearce</x:v>
      </x:c>
      <x:c r="R3258" s="117" t="str">
        <x:v>Ultrasound Checklist</x:v>
      </x:c>
      <x:c r="S3258" s="119" t="str">
        <x:v>21/03/2026 - SP - Introducing Pre-Contract Inspection routes</x:v>
      </x:c>
    </x:row>
    <x:row r="3259" ht="30" customHeight="1">
      <x:c r="A3259" s="117" t="str">
        <x:v>Ultrasound_Checklist</x:v>
      </x:c>
      <x:c r="B3259" s="117" t="str">
        <x:v>300Ro00000Pz0kwIAB</x:v>
      </x:c>
      <x:c r="C3259" s="117" t="str">
        <x:v>301Ro000013EEfGIAW</x:v>
      </x:c>
      <x:c r="D3259" s="118" t="n">
        <x:v>29</x:v>
      </x:c>
      <x:c r="E3259" s="117" t="str">
        <x:v>Obsolete</x:v>
      </x:c>
      <x:c r="F3259" s="117" t="str">
        <x:v>No</x:v>
      </x:c>
      <x:c r="G3259" s="117" t="str">
        <x:v>No</x:v>
      </x:c>
      <x:c r="H3259" s="117" t="str">
        <x:v>FieldServiceMobile</x:v>
      </x:c>
      <x:c r="I3259" s="118"/>
      <x:c r="J3259" s="117" t="str">
        <x:v>unmanaged</x:v>
      </x:c>
      <x:c r="K3259" s="123" t="b">
        <x:v>0</x:v>
      </x:c>
      <x:c r="L3259" s="117"/>
      <x:c r="M3259" s="118"/>
      <x:c r="N3259" s="120" t="n">
        <x:v>46127.57613425926</x:v>
      </x:c>
      <x:c r="O3259" s="117" t="str">
        <x:v>Sacha Pearce</x:v>
      </x:c>
      <x:c r="P3259" s="120" t="n">
        <x:v>46127.5762962963</x:v>
      </x:c>
      <x:c r="Q3259" s="117" t="str">
        <x:v>Sacha Pearce</x:v>
      </x:c>
      <x:c r="R3259" s="117" t="str">
        <x:v>Ultrasound Checklist</x:v>
      </x:c>
      <x:c r="S3259" s="119" t="str">
        <x:v>21/03/2026 - SP - Adding "Not Applicable" to the "ECG Leads Patient Leakage" field</x:v>
      </x:c>
    </x:row>
    <x:row r="3260" ht="30" customHeight="1">
      <x:c r="A3260" s="117" t="str">
        <x:v>Ultrasound_Checklist</x:v>
      </x:c>
      <x:c r="B3260" s="117" t="str">
        <x:v>300Ro00000Pz0kwIAB</x:v>
      </x:c>
      <x:c r="C3260" s="117" t="str">
        <x:v>301Ro000015kIPxIAM</x:v>
      </x:c>
      <x:c r="D3260" s="118" t="n">
        <x:v>30</x:v>
      </x:c>
      <x:c r="E3260" s="117" t="str">
        <x:v>Obsolete</x:v>
      </x:c>
      <x:c r="F3260" s="117" t="str">
        <x:v>No</x:v>
      </x:c>
      <x:c r="G3260" s="117" t="str">
        <x:v>No</x:v>
      </x:c>
      <x:c r="H3260" s="117" t="str">
        <x:v>FieldServiceMobile</x:v>
      </x:c>
      <x:c r="I3260" s="118"/>
      <x:c r="J3260" s="117" t="str">
        <x:v>unmanaged</x:v>
      </x:c>
      <x:c r="K3260" s="123" t="b">
        <x:v>0</x:v>
      </x:c>
      <x:c r="L3260" s="117"/>
      <x:c r="M3260" s="118"/>
      <x:c r="N3260" s="120" t="n">
        <x:v>46157.38650462963</x:v>
      </x:c>
      <x:c r="O3260" s="117" t="str">
        <x:v>Sacha Pearce</x:v>
      </x:c>
      <x:c r="P3260" s="120" t="n">
        <x:v>46157.40513888889</x:v>
      </x:c>
      <x:c r="Q3260" s="117" t="str">
        <x:v>Sacha Pearce</x:v>
      </x:c>
      <x:c r="R3260" s="117" t="str">
        <x:v>Ultrasound Checklist</x:v>
      </x:c>
      <x:c r="S3260" s="119" t="str">
        <x:v>21/03/2026 - SP - Adding "Last Battery Replacement Date" to the "Update Electrical and Saftey Test Information" field</x:v>
      </x:c>
    </x:row>
    <x:row r="3261" ht="30" customHeight="1">
      <x:c r="A3261" s="117" t="str">
        <x:v>Ultrasound_Checklist</x:v>
      </x:c>
      <x:c r="B3261" s="117" t="str">
        <x:v>300Ro00000Pz0kwIAB</x:v>
      </x:c>
      <x:c r="C3261" s="117" t="str">
        <x:v>301Ro000017FQdZIAW</x:v>
      </x:c>
      <x:c r="D3261" s="118" t="n">
        <x:v>31</x:v>
      </x:c>
      <x:c r="E3261" s="117" t="str">
        <x:v>Obsolete</x:v>
      </x:c>
      <x:c r="F3261" s="117" t="str">
        <x:v>No</x:v>
      </x:c>
      <x:c r="G3261" s="117" t="str">
        <x:v>No</x:v>
      </x:c>
      <x:c r="H3261" s="117" t="str">
        <x:v>FieldServiceMobile</x:v>
      </x:c>
      <x:c r="I3261" s="118"/>
      <x:c r="J3261" s="117" t="str">
        <x:v>unmanaged</x:v>
      </x:c>
      <x:c r="K3261" s="123" t="b">
        <x:v>0</x:v>
      </x:c>
      <x:c r="L3261" s="117"/>
      <x:c r="M3261" s="118"/>
      <x:c r="N3261" s="120" t="n">
        <x:v>46174.521828703706</x:v>
      </x:c>
      <x:c r="O3261" s="117" t="str">
        <x:v>Sacha Pearce</x:v>
      </x:c>
      <x:c r="P3261" s="120" t="n">
        <x:v>46174.52201388889</x:v>
      </x:c>
      <x:c r="Q3261" s="117" t="str">
        <x:v>Sacha Pearce</x:v>
      </x:c>
      <x:c r="R3261" s="117" t="str">
        <x:v>Ultrasound Checklist</x:v>
      </x:c>
      <x:c r="S3261" s="119" t="str">
        <x:v>01/06/2026 - SP - Removing the setting of "System Serial Number" on the Contract Line Item and recording it on the Service Appointment instead.</x:v>
      </x:c>
    </x:row>
    <x:row r="3262" ht="30" customHeight="1">
      <x:c r="A3262" s="117" t="str">
        <x:v>Ultrasound_Checklist</x:v>
      </x:c>
      <x:c r="B3262" s="117" t="str">
        <x:v>300Ro00000Pz0kwIAB</x:v>
      </x:c>
      <x:c r="C3262" s="117" t="str">
        <x:v>301Ro00001CZppqIAD</x:v>
      </x:c>
      <x:c r="D3262" s="118" t="n">
        <x:v>32</x:v>
      </x:c>
      <x:c r="E3262" s="117" t="str">
        <x:v>Active</x:v>
      </x:c>
      <x:c r="F3262" s="117" t="str">
        <x:v>Yes</x:v>
      </x:c>
      <x:c r="G3262" s="117" t="str">
        <x:v>Yes</x:v>
      </x:c>
      <x:c r="H3262" s="117" t="str">
        <x:v>FieldServiceMobile</x:v>
      </x:c>
      <x:c r="I3262" s="118"/>
      <x:c r="J3262" s="117" t="str">
        <x:v>unmanaged</x:v>
      </x:c>
      <x:c r="K3262" s="123" t="b">
        <x:v>0</x:v>
      </x:c>
      <x:c r="L3262" s="117"/>
      <x:c r="M3262" s="118"/>
      <x:c r="N3262" s="120" t="n">
        <x:v>46232.35618055556</x:v>
      </x:c>
      <x:c r="O3262" s="117" t="str">
        <x:v>Sacha Pearce</x:v>
      </x:c>
      <x:c r="P3262" s="120" t="n">
        <x:v>46232.35636574074</x:v>
      </x:c>
      <x:c r="Q3262" s="117" t="str">
        <x:v>Sacha Pearce</x:v>
      </x:c>
      <x:c r="R3262" s="117" t="str">
        <x:v>Ultrasound Checklist</x:v>
      </x:c>
      <x:c r="S3262" s="119" t="str">
        <x:v>29/07/2026 - SP - Making the transducer and peripheral checks mandatory.</x:v>
      </x:c>
    </x:row>
    <x:row r="3263" ht="30" customHeight="1">
      <x:c r="A3263" s="117" t="str">
        <x:v>Uncheck_QC_Bump_Checkbox</x:v>
      </x:c>
      <x:c r="B3263" s="117" t="str">
        <x:v>3004O000000TiVwQAK</x:v>
      </x:c>
      <x:c r="C3263" s="117" t="str">
        <x:v>3014O000000U51ZQAS</x:v>
      </x:c>
      <x:c r="D3263" s="118" t="n">
        <x:v>1</x:v>
      </x:c>
      <x:c r="E3263" s="117" t="str">
        <x:v>Obsolete</x:v>
      </x:c>
      <x:c r="F3263" s="117" t="str">
        <x:v>No</x:v>
      </x:c>
      <x:c r="G3263" s="117" t="str">
        <x:v>Yes</x:v>
      </x:c>
      <x:c r="H3263" s="117" t="str">
        <x:v>Workflow</x:v>
      </x:c>
      <x:c r="I3263" s="118"/>
      <x:c r="J3263" s="117" t="str">
        <x:v>unmanaged</x:v>
      </x:c>
      <x:c r="K3263" s="123" t="b">
        <x:v>0</x:v>
      </x:c>
      <x:c r="L3263" s="117"/>
      <x:c r="M3263" s="118"/>
      <x:c r="N3263" s="120" t="n">
        <x:v>43698.047268518516</x:v>
      </x:c>
      <x:c r="O3263" s="117" t="str">
        <x:v>Jace Gentil</x:v>
      </x:c>
      <x:c r="P3263" s="120" t="n">
        <x:v>44260.15571759259</x:v>
      </x:c>
      <x:c r="Q3263" s="117" t="str">
        <x:v>Delegate</x:v>
      </x:c>
      <x:c r="R3263" s="117" t="str">
        <x:v>Uncheck QC Bump Checkbox</x:v>
      </x:c>
      <x:c r="S3263" s="119" t="str">
        <x:v>Unchecks the QC Bump Checkbox after a high-priority asset gets tested</x:v>
      </x:c>
    </x:row>
    <x:row r="3264" ht="30" customHeight="1">
      <x:c r="A3264" s="117" t="str">
        <x:v>Unreceipted_Invoice_Field_Update_Loop</x:v>
      </x:c>
      <x:c r="B3264" s="117" t="str">
        <x:v>3005b000000PzH1AAK</x:v>
      </x:c>
      <x:c r="C3264" s="117" t="str">
        <x:v>3015b000000W1cuAAC</x:v>
      </x:c>
      <x:c r="D3264" s="118" t="n">
        <x:v>1</x:v>
      </x:c>
      <x:c r="E3264" s="117" t="str">
        <x:v>Obsolete</x:v>
      </x:c>
      <x:c r="F3264" s="117" t="str">
        <x:v>No</x:v>
      </x:c>
      <x:c r="G3264" s="117" t="str">
        <x:v>No</x:v>
      </x:c>
      <x:c r="H3264" s="117" t="str">
        <x:v>AutoLaunchedFlow</x:v>
      </x:c>
      <x:c r="I3264" s="118" t="n">
        <x:v>57</x:v>
      </x:c>
      <x:c r="J3264" s="117" t="str">
        <x:v>unmanaged</x:v>
      </x:c>
      <x:c r="K3264" s="123" t="b">
        <x:v>0</x:v>
      </x:c>
      <x:c r="L3264" s="117"/>
      <x:c r="M3264" s="118"/>
      <x:c r="N3264" s="120" t="n">
        <x:v>45029.908680555556</x:v>
      </x:c>
      <x:c r="O3264" s="117" t="str">
        <x:v>Jace Gentil</x:v>
      </x:c>
      <x:c r="P3264" s="120" t="n">
        <x:v>45162.606770833336</x:v>
      </x:c>
      <x:c r="Q3264" s="117" t="str">
        <x:v>Jace Gentil</x:v>
      </x:c>
      <x:c r="R3264" s="117" t="str">
        <x:v>Unreceipted Invoice Field Update Loop</x:v>
      </x:c>
      <x:c r="S3264" s="119"/>
    </x:row>
    <x:row r="3265" ht="30" customHeight="1">
      <x:c r="A3265" s="117" t="str">
        <x:v>Unreceipted_Invoice_Field_Update_Loop</x:v>
      </x:c>
      <x:c r="B3265" s="117" t="str">
        <x:v>3005b000000PzH1AAK</x:v>
      </x:c>
      <x:c r="C3265" s="117" t="str">
        <x:v>3015b000000APeHAAW</x:v>
      </x:c>
      <x:c r="D3265" s="118" t="n">
        <x:v>2</x:v>
      </x:c>
      <x:c r="E3265" s="117" t="str">
        <x:v>InvalidDraft</x:v>
      </x:c>
      <x:c r="F3265" s="117" t="str">
        <x:v>No</x:v>
      </x:c>
      <x:c r="G3265" s="117" t="str">
        <x:v>No</x:v>
      </x:c>
      <x:c r="H3265" s="117" t="str">
        <x:v>AutoLaunchedFlow</x:v>
      </x:c>
      <x:c r="I3265" s="118" t="n">
        <x:v>57</x:v>
      </x:c>
      <x:c r="J3265" s="117" t="str">
        <x:v>unmanaged</x:v>
      </x:c>
      <x:c r="K3265" s="123" t="b">
        <x:v>0</x:v>
      </x:c>
      <x:c r="L3265" s="117"/>
      <x:c r="M3265" s="118"/>
      <x:c r="N3265" s="120" t="n">
        <x:v>45145.536990740744</x:v>
      </x:c>
      <x:c r="O3265" s="117" t="str">
        <x:v>Delegate</x:v>
      </x:c>
      <x:c r="P3265" s="120" t="n">
        <x:v>45145.53701388889</x:v>
      </x:c>
      <x:c r="Q3265" s="117" t="str">
        <x:v>Delegate</x:v>
      </x:c>
      <x:c r="R3265" s="117" t="str">
        <x:v>Unreceipted Invoice Field Update Loop</x:v>
      </x:c>
      <x:c r="S3265" s="119" t="str">
        <x:v>Added asynchronous path</x:v>
      </x:c>
    </x:row>
    <x:row r="3266" ht="30" customHeight="1">
      <x:c r="A3266" s="117" t="str">
        <x:v>Unreceipted_Invoice_Field_Update_Loop</x:v>
      </x:c>
      <x:c r="B3266" s="117" t="str">
        <x:v>3005b000000PzH1AAK</x:v>
      </x:c>
      <x:c r="C3266" s="117" t="str">
        <x:v>301Ro00000CkJlgIAF</x:v>
      </x:c>
      <x:c r="D3266" s="118" t="n">
        <x:v>3</x:v>
      </x:c>
      <x:c r="E3266" s="117" t="str">
        <x:v>Active</x:v>
      </x:c>
      <x:c r="F3266" s="117" t="str">
        <x:v>Yes</x:v>
      </x:c>
      <x:c r="G3266" s="117" t="str">
        <x:v>Yes</x:v>
      </x:c>
      <x:c r="H3266" s="117" t="str">
        <x:v>AutoLaunchedFlow</x:v>
      </x:c>
      <x:c r="I3266" s="118" t="n">
        <x:v>57</x:v>
      </x:c>
      <x:c r="J3266" s="117" t="str">
        <x:v>unmanaged</x:v>
      </x:c>
      <x:c r="K3266" s="123" t="b">
        <x:v>0</x:v>
      </x:c>
      <x:c r="L3266" s="117"/>
      <x:c r="M3266" s="118"/>
      <x:c r="N3266" s="120" t="n">
        <x:v>45425.830775462964</x:v>
      </x:c>
      <x:c r="O3266" s="117" t="str">
        <x:v>Jace Gentil</x:v>
      </x:c>
      <x:c r="P3266" s="120" t="n">
        <x:v>45425.83083333333</x:v>
      </x:c>
      <x:c r="Q3266" s="117" t="str">
        <x:v>Jace Gentil</x:v>
      </x:c>
      <x:c r="R3266" s="117" t="str">
        <x:v>Unreceipted Invoice Field Update Loop</x:v>
      </x:c>
      <x:c r="S3266" s="119"/>
    </x:row>
    <x:row r="3267" ht="30" customHeight="1">
      <x:c r="A3267" s="117" t="str">
        <x:v>Update_Arrival_Time</x:v>
      </x:c>
      <x:c r="B3267" s="117" t="str">
        <x:v>300Ro00000Pz0kxIAB</x:v>
      </x:c>
      <x:c r="C3267" s="117" t="str">
        <x:v>301Ro00000Sd0UxIAJ</x:v>
      </x:c>
      <x:c r="D3267" s="118" t="n">
        <x:v>1</x:v>
      </x:c>
      <x:c r="E3267" s="117" t="str">
        <x:v>Obsolete</x:v>
      </x:c>
      <x:c r="F3267" s="117" t="str">
        <x:v>No</x:v>
      </x:c>
      <x:c r="G3267" s="117" t="str">
        <x:v>No</x:v>
      </x:c>
      <x:c r="H3267" s="117" t="str">
        <x:v>FieldServiceMobile</x:v>
      </x:c>
      <x:c r="I3267" s="118"/>
      <x:c r="J3267" s="117" t="str">
        <x:v>unmanaged</x:v>
      </x:c>
      <x:c r="K3267" s="123" t="b">
        <x:v>0</x:v>
      </x:c>
      <x:c r="L3267" s="117"/>
      <x:c r="M3267" s="118"/>
      <x:c r="N3267" s="120" t="n">
        <x:v>45680.2169212963</x:v>
      </x:c>
      <x:c r="O3267" s="117" t="str">
        <x:v>Delegate</x:v>
      </x:c>
      <x:c r="P3267" s="120" t="n">
        <x:v>45680.2169212963</x:v>
      </x:c>
      <x:c r="Q3267" s="117" t="str">
        <x:v>Delegate</x:v>
      </x:c>
      <x:c r="R3267" s="117" t="str">
        <x:v>Update Arrival Time</x:v>
      </x:c>
      <x:c r="S3267" s="119"/>
    </x:row>
    <x:row r="3268" ht="30" customHeight="1">
      <x:c r="A3268" s="117" t="str">
        <x:v>Update_Arrival_Time</x:v>
      </x:c>
      <x:c r="B3268" s="117" t="str">
        <x:v>300Ro00000Pz0kxIAB</x:v>
      </x:c>
      <x:c r="C3268" s="117" t="str">
        <x:v>301Ro00000VuXfPIAV</x:v>
      </x:c>
      <x:c r="D3268" s="118" t="n">
        <x:v>2</x:v>
      </x:c>
      <x:c r="E3268" s="117" t="str">
        <x:v>Active</x:v>
      </x:c>
      <x:c r="F3268" s="117" t="str">
        <x:v>Yes</x:v>
      </x:c>
      <x:c r="G3268" s="117" t="str">
        <x:v>Yes</x:v>
      </x:c>
      <x:c r="H3268" s="117" t="str">
        <x:v>FieldServiceMobile</x:v>
      </x:c>
      <x:c r="I3268" s="118"/>
      <x:c r="J3268" s="117" t="str">
        <x:v>unmanaged</x:v>
      </x:c>
      <x:c r="K3268" s="123" t="b">
        <x:v>0</x:v>
      </x:c>
      <x:c r="L3268" s="117"/>
      <x:c r="M3268" s="118"/>
      <x:c r="N3268" s="120" t="n">
        <x:v>45735.54179398148</x:v>
      </x:c>
      <x:c r="O3268" s="117" t="str">
        <x:v>Delegate</x:v>
      </x:c>
      <x:c r="P3268" s="120" t="n">
        <x:v>45735.54583333333</x:v>
      </x:c>
      <x:c r="Q3268" s="117" t="str">
        <x:v>Delegate</x:v>
      </x:c>
      <x:c r="R3268" s="117" t="str">
        <x:v>Update Arrival Time</x:v>
      </x:c>
      <x:c r="S3268" s="119" t="str">
        <x:v>03/19/2025 (BW) - Added a node to update the work order with the status that arrival time has been added</x:v>
      </x:c>
    </x:row>
    <x:row r="3269" ht="30" customHeight="1">
      <x:c r="A3269" s="117" t="str">
        <x:v>Update_Asset_to_Finished_Goods_Flow</x:v>
      </x:c>
      <x:c r="B3269" s="117" t="str">
        <x:v>3005b00000113FzAAI</x:v>
      </x:c>
      <x:c r="C3269" s="117" t="str">
        <x:v>3015b0000011KYdAAM</x:v>
      </x:c>
      <x:c r="D3269" s="118" t="n">
        <x:v>1</x:v>
      </x:c>
      <x:c r="E3269" s="117" t="str">
        <x:v>Obsolete</x:v>
      </x:c>
      <x:c r="F3269" s="117" t="str">
        <x:v>No</x:v>
      </x:c>
      <x:c r="G3269" s="117" t="str">
        <x:v>No</x:v>
      </x:c>
      <x:c r="H3269" s="117" t="str">
        <x:v>AutoLaunchedFlow</x:v>
      </x:c>
      <x:c r="I3269" s="118" t="n">
        <x:v>58</x:v>
      </x:c>
      <x:c r="J3269" s="117" t="str">
        <x:v>unmanaged</x:v>
      </x:c>
      <x:c r="K3269" s="123" t="b">
        <x:v>0</x:v>
      </x:c>
      <x:c r="L3269" s="117"/>
      <x:c r="M3269" s="118"/>
      <x:c r="N3269" s="120" t="n">
        <x:v>45205.73527777778</x:v>
      </x:c>
      <x:c r="O3269" s="117" t="str">
        <x:v>Jace Gentil</x:v>
      </x:c>
      <x:c r="P3269" s="120" t="n">
        <x:v>45205.7353125</x:v>
      </x:c>
      <x:c r="Q3269" s="117" t="str">
        <x:v>Jace Gentil</x:v>
      </x:c>
      <x:c r="R3269" s="117" t="str">
        <x:v>Update Asset to Finished Goods Flow</x:v>
      </x:c>
      <x:c r="S3269" s="119"/>
    </x:row>
    <x:row r="3270" ht="30" customHeight="1">
      <x:c r="A3270" s="117" t="str">
        <x:v>Update_Asset_to_Finished_Goods_Flow</x:v>
      </x:c>
      <x:c r="B3270" s="117" t="str">
        <x:v>3005b00000113FzAAI</x:v>
      </x:c>
      <x:c r="C3270" s="117" t="str">
        <x:v>301Ro00000IejVlIAJ</x:v>
      </x:c>
      <x:c r="D3270" s="118" t="n">
        <x:v>2</x:v>
      </x:c>
      <x:c r="E3270" s="117" t="str">
        <x:v>Draft</x:v>
      </x:c>
      <x:c r="F3270" s="117" t="str">
        <x:v>No</x:v>
      </x:c>
      <x:c r="G3270" s="117" t="str">
        <x:v>No</x:v>
      </x:c>
      <x:c r="H3270" s="117" t="str">
        <x:v>AutoLaunchedFlow</x:v>
      </x:c>
      <x:c r="I3270" s="118" t="n">
        <x:v>58</x:v>
      </x:c>
      <x:c r="J3270" s="117" t="str">
        <x:v>unmanaged</x:v>
      </x:c>
      <x:c r="K3270" s="123" t="b">
        <x:v>0</x:v>
      </x:c>
      <x:c r="L3270" s="117"/>
      <x:c r="M3270" s="118"/>
      <x:c r="N3270" s="120" t="n">
        <x:v>45512.66060185185</x:v>
      </x:c>
      <x:c r="O3270" s="117" t="str">
        <x:v>Delegate</x:v>
      </x:c>
      <x:c r="P3270" s="120" t="n">
        <x:v>45512.660625</x:v>
      </x:c>
      <x:c r="Q3270" s="117" t="str">
        <x:v>Delegate</x:v>
      </x:c>
      <x:c r="R3270" s="117" t="str">
        <x:v>Update Asset to Finished Goods Flow</x:v>
      </x:c>
      <x:c r="S3270" s="119" t="str">
        <x:v>Added OppProd Cost &gt; Asset Sales Price Automation (will resave and rename flow when pushing to prod)</x:v>
      </x:c>
    </x:row>
    <x:row r="3271" ht="30" customHeight="1">
      <x:c r="A3271" s="117" t="str">
        <x:v>Update_Asset_to_Finished_Goods_Flow</x:v>
      </x:c>
      <x:c r="B3271" s="117" t="str">
        <x:v>3005b00000113FzAAI</x:v>
      </x:c>
      <x:c r="C3271" s="117" t="str">
        <x:v>301Ro00000JTfg5IAD</x:v>
      </x:c>
      <x:c r="D3271" s="118" t="n">
        <x:v>3</x:v>
      </x:c>
      <x:c r="E3271" s="117" t="str">
        <x:v>Obsolete</x:v>
      </x:c>
      <x:c r="F3271" s="117" t="str">
        <x:v>No</x:v>
      </x:c>
      <x:c r="G3271" s="117" t="str">
        <x:v>No</x:v>
      </x:c>
      <x:c r="H3271" s="117" t="str">
        <x:v>AutoLaunchedFlow</x:v>
      </x:c>
      <x:c r="I3271" s="118" t="n">
        <x:v>58</x:v>
      </x:c>
      <x:c r="J3271" s="117" t="str">
        <x:v>unmanaged</x:v>
      </x:c>
      <x:c r="K3271" s="123" t="b">
        <x:v>0</x:v>
      </x:c>
      <x:c r="L3271" s="117"/>
      <x:c r="M3271" s="118"/>
      <x:c r="N3271" s="120" t="n">
        <x:v>45525.48290509259</x:v>
      </x:c>
      <x:c r="O3271" s="117" t="str">
        <x:v>Delegate</x:v>
      </x:c>
      <x:c r="P3271" s="120" t="n">
        <x:v>45525.483449074076</x:v>
      </x:c>
      <x:c r="Q3271" s="117" t="str">
        <x:v>Delegate</x:v>
      </x:c>
      <x:c r="R3271" s="117" t="str">
        <x:v>Update Asset to Finished Goods Flow</x:v>
      </x:c>
      <x:c r="S3271" s="119" t="str">
        <x:v>08/21/2024 (BW) - Updated the source for setting the sales price to be Cost + Total Cost of Assets Used in Repair</x:v>
      </x:c>
    </x:row>
    <x:row r="3272" ht="30" customHeight="1">
      <x:c r="A3272" s="117" t="str">
        <x:v>Update_Asset_to_Finished_Goods_Flow</x:v>
      </x:c>
      <x:c r="B3272" s="117" t="str">
        <x:v>3005b00000113FzAAI</x:v>
      </x:c>
      <x:c r="C3272" s="117" t="str">
        <x:v>301Ro00000Jo7VmIAJ</x:v>
      </x:c>
      <x:c r="D3272" s="118" t="n">
        <x:v>4</x:v>
      </x:c>
      <x:c r="E3272" s="117" t="str">
        <x:v>Obsolete</x:v>
      </x:c>
      <x:c r="F3272" s="117" t="str">
        <x:v>No</x:v>
      </x:c>
      <x:c r="G3272" s="117" t="str">
        <x:v>No</x:v>
      </x:c>
      <x:c r="H3272" s="117" t="str">
        <x:v>AutoLaunchedFlow</x:v>
      </x:c>
      <x:c r="I3272" s="118" t="n">
        <x:v>58</x:v>
      </x:c>
      <x:c r="J3272" s="117" t="str">
        <x:v>unmanaged</x:v>
      </x:c>
      <x:c r="K3272" s="123" t="b">
        <x:v>0</x:v>
      </x:c>
      <x:c r="L3272" s="117"/>
      <x:c r="M3272" s="118"/>
      <x:c r="N3272" s="120" t="n">
        <x:v>45530.64298611111</x:v>
      </x:c>
      <x:c r="O3272" s="117" t="str">
        <x:v>Delegate</x:v>
      </x:c>
      <x:c r="P3272" s="120" t="n">
        <x:v>45530.64318287037</x:v>
      </x:c>
      <x:c r="Q3272" s="117" t="str">
        <x:v>Delegate</x:v>
      </x:c>
      <x:c r="R3272" s="117" t="str">
        <x:v>Update Asset to Finished Goods Flow</x:v>
      </x:c>
      <x:c r="S3272" s="119" t="str">
        <x:v>08/21/2024 (BW) - Updated the source for setting the sales price to be Cost + Total Cost of Assets Used in Repair</x:v>
      </x:c>
    </x:row>
    <x:row r="3273" ht="30" customHeight="1">
      <x:c r="A3273" s="117" t="str">
        <x:v>Update_Asset_to_Finished_Goods_Flow</x:v>
      </x:c>
      <x:c r="B3273" s="117" t="str">
        <x:v>3005b00000113FzAAI</x:v>
      </x:c>
      <x:c r="C3273" s="117" t="str">
        <x:v>301Ro00000RjSBtIAN</x:v>
      </x:c>
      <x:c r="D3273" s="118" t="n">
        <x:v>5</x:v>
      </x:c>
      <x:c r="E3273" s="117" t="str">
        <x:v>Obsolete</x:v>
      </x:c>
      <x:c r="F3273" s="117" t="str">
        <x:v>No</x:v>
      </x:c>
      <x:c r="G3273" s="117" t="str">
        <x:v>No</x:v>
      </x:c>
      <x:c r="H3273" s="117" t="str">
        <x:v>AutoLaunchedFlow</x:v>
      </x:c>
      <x:c r="I3273" s="118" t="n">
        <x:v>58</x:v>
      </x:c>
      <x:c r="J3273" s="117" t="str">
        <x:v>unmanaged</x:v>
      </x:c>
      <x:c r="K3273" s="123" t="b">
        <x:v>0</x:v>
      </x:c>
      <x:c r="L3273" s="117"/>
      <x:c r="M3273" s="118"/>
      <x:c r="N3273" s="120" t="n">
        <x:v>45664.893587962964</x:v>
      </x:c>
      <x:c r="O3273" s="117" t="str">
        <x:v>Delegate</x:v>
      </x:c>
      <x:c r="P3273" s="120" t="n">
        <x:v>45721.98234953704</x:v>
      </x:c>
      <x:c r="Q3273" s="117" t="str">
        <x:v>Delegate</x:v>
      </x:c>
      <x:c r="R3273" s="117" t="str">
        <x:v>Update Asset to Finished Goods Flow</x:v>
      </x:c>
      <x:c r="S3273" s="119" t="str">
        <x:v>01/07/2025 (BW) - Updated the formula which sets the sales price to set it appropriately if there is no cost but there is a total cost of assets used in repair</x:v>
      </x:c>
    </x:row>
    <x:row r="3274" ht="30" customHeight="1">
      <x:c r="A3274" s="117" t="str">
        <x:v>Update_Asset_to_Finished_Goods_Flow</x:v>
      </x:c>
      <x:c r="B3274" s="117" t="str">
        <x:v>3005b00000113FzAAI</x:v>
      </x:c>
      <x:c r="C3274" s="117" t="str">
        <x:v>301Ro00000V9svaIAB</x:v>
      </x:c>
      <x:c r="D3274" s="118" t="n">
        <x:v>6</x:v>
      </x:c>
      <x:c r="E3274" s="117" t="str">
        <x:v>Obsolete</x:v>
      </x:c>
      <x:c r="F3274" s="117" t="str">
        <x:v>No</x:v>
      </x:c>
      <x:c r="G3274" s="117" t="str">
        <x:v>No</x:v>
      </x:c>
      <x:c r="H3274" s="117" t="str">
        <x:v>AutoLaunchedFlow</x:v>
      </x:c>
      <x:c r="I3274" s="118" t="n">
        <x:v>58</x:v>
      </x:c>
      <x:c r="J3274" s="117" t="str">
        <x:v>unmanaged</x:v>
      </x:c>
      <x:c r="K3274" s="123" t="b">
        <x:v>0</x:v>
      </x:c>
      <x:c r="L3274" s="117"/>
      <x:c r="M3274" s="118"/>
      <x:c r="N3274" s="120" t="n">
        <x:v>45721.92398148148</x:v>
      </x:c>
      <x:c r="O3274" s="117" t="str">
        <x:v>Delegate</x:v>
      </x:c>
      <x:c r="P3274" s="120" t="n">
        <x:v>45721.92403935185</x:v>
      </x:c>
      <x:c r="Q3274" s="117" t="str">
        <x:v>Delegate</x:v>
      </x:c>
      <x:c r="R3274" s="117" t="str">
        <x:v>Update Asset to Finished Goods Flow</x:v>
      </x:c>
      <x:c r="S3274" s="119" t="str">
        <x:v>01/07/2025 (BW) - Updated the Intercompany leg to ignore if it's a probe repair opportunity</x:v>
      </x:c>
    </x:row>
    <x:row r="3275" ht="30" customHeight="1">
      <x:c r="A3275" s="117" t="str">
        <x:v>Update_Asset_to_Finished_Goods_Flow</x:v>
      </x:c>
      <x:c r="B3275" s="117" t="str">
        <x:v>3005b00000113FzAAI</x:v>
      </x:c>
      <x:c r="C3275" s="117" t="str">
        <x:v>301Ro00000VARzbIAH</x:v>
      </x:c>
      <x:c r="D3275" s="118" t="n">
        <x:v>7</x:v>
      </x:c>
      <x:c r="E3275" s="117" t="str">
        <x:v>Active</x:v>
      </x:c>
      <x:c r="F3275" s="117" t="str">
        <x:v>Yes</x:v>
      </x:c>
      <x:c r="G3275" s="117" t="str">
        <x:v>Yes</x:v>
      </x:c>
      <x:c r="H3275" s="117" t="str">
        <x:v>AutoLaunchedFlow</x:v>
      </x:c>
      <x:c r="I3275" s="118" t="n">
        <x:v>58</x:v>
      </x:c>
      <x:c r="J3275" s="117" t="str">
        <x:v>unmanaged</x:v>
      </x:c>
      <x:c r="K3275" s="123" t="b">
        <x:v>0</x:v>
      </x:c>
      <x:c r="L3275" s="117"/>
      <x:c r="M3275" s="118"/>
      <x:c r="N3275" s="120" t="n">
        <x:v>45721.98453703704</x:v>
      </x:c>
      <x:c r="O3275" s="117" t="str">
        <x:v>Delegate</x:v>
      </x:c>
      <x:c r="P3275" s="120" t="n">
        <x:v>46084.94931712963</x:v>
      </x:c>
      <x:c r="Q3275" s="117" t="str">
        <x:v>Delegate</x:v>
      </x:c>
      <x:c r="R3275" s="117" t="str">
        <x:v>Update Asset to Finished Goods Flow</x:v>
      </x:c>
      <x:c r="S3275" s="119" t="str">
        <x:v>01/07/2025 (BW) - Updated so that this only runs if there is a purchasing opportunity</x:v>
      </x:c>
    </x:row>
    <x:row r="3276" ht="30" customHeight="1">
      <x:c r="A3276" s="117" t="str">
        <x:v>Update_Charge_Amount</x:v>
      </x:c>
      <x:c r="B3276" s="117" t="str">
        <x:v>300Ro00000kKs8JIAS</x:v>
      </x:c>
      <x:c r="C3276" s="117" t="str">
        <x:v>301Ro00000rhIpdIAE</x:v>
      </x:c>
      <x:c r="D3276" s="118" t="n">
        <x:v>1</x:v>
      </x:c>
      <x:c r="E3276" s="117" t="str">
        <x:v>Draft</x:v>
      </x:c>
      <x:c r="F3276" s="117" t="str">
        <x:v>No</x:v>
      </x:c>
      <x:c r="G3276" s="117" t="str">
        <x:v>No</x:v>
      </x:c>
      <x:c r="H3276" s="117" t="str">
        <x:v>AutoLaunchedFlow</x:v>
      </x:c>
      <x:c r="I3276" s="118" t="n">
        <x:v>64</x:v>
      </x:c>
      <x:c r="J3276" s="117" t="str">
        <x:v>installed</x:v>
      </x:c>
      <x:c r="K3276" s="123" t="b">
        <x:v>0</x:v>
      </x:c>
      <x:c r="L3276" s="117"/>
      <x:c r="M3276" s="118"/>
      <x:c r="N3276" s="120" t="n">
        <x:v>45965.97744212963</x:v>
      </x:c>
      <x:c r="O3276" s="117" t="str"/>
      <x:c r="P3276" s="120" t="n">
        <x:v>45965.97744212963</x:v>
      </x:c>
      <x:c r="Q3276" s="117" t="str"/>
      <x:c r="R3276" s="117" t="str">
        <x:v>Update Charge Amount</x:v>
      </x:c>
      <x:c r="S3276" s="119" t="str">
        <x:v>This flow updates the Charge_Amount__c field on ChargentOrder__c records by calculating the difference between the Total__c and Transaction_Total__c fields.</x:v>
      </x:c>
    </x:row>
    <x:row r="3277" ht="30" customHeight="1">
      <x:c r="A3277" s="117" t="str">
        <x:v>Update_Charge_Amount</x:v>
      </x:c>
      <x:c r="B3277" s="117" t="str">
        <x:v>300Ro00000kKs8JIAS</x:v>
      </x:c>
      <x:c r="C3277" s="117" t="str">
        <x:v>301Ro00000zihe2IAA</x:v>
      </x:c>
      <x:c r="D3277" s="118" t="n">
        <x:v>2</x:v>
      </x:c>
      <x:c r="E3277" s="117" t="str">
        <x:v>Draft</x:v>
      </x:c>
      <x:c r="F3277" s="117" t="str">
        <x:v>No</x:v>
      </x:c>
      <x:c r="G3277" s="117" t="str">
        <x:v>Yes</x:v>
      </x:c>
      <x:c r="H3277" s="117" t="str">
        <x:v>AutoLaunchedFlow</x:v>
      </x:c>
      <x:c r="I3277" s="118" t="n">
        <x:v>64</x:v>
      </x:c>
      <x:c r="J3277" s="117" t="str">
        <x:v>installed</x:v>
      </x:c>
      <x:c r="K3277" s="123" t="b">
        <x:v>0</x:v>
      </x:c>
      <x:c r="L3277" s="117"/>
      <x:c r="M3277" s="118"/>
      <x:c r="N3277" s="120" t="n">
        <x:v>46085.016689814816</x:v>
      </x:c>
      <x:c r="O3277" s="117" t="str"/>
      <x:c r="P3277" s="120" t="n">
        <x:v>46085.01673611111</x:v>
      </x:c>
      <x:c r="Q3277" s="117" t="str"/>
      <x:c r="R3277" s="117" t="str">
        <x:v>Update Charge Amount</x:v>
      </x:c>
      <x:c r="S3277" s="119" t="str">
        <x:v>This flow updates the Charge_Amount__c field on ChargentOrder__c records by calculating the difference between the Total__c and Transaction_Total__c fields.</x:v>
      </x:c>
    </x:row>
    <x:row r="3278" ht="30" customHeight="1">
      <x:c r="A3278" s="117" t="str">
        <x:v>Update_Chargent_Order</x:v>
      </x:c>
      <x:c r="B3278" s="117" t="str">
        <x:v>3004O0000000ZuCQAU</x:v>
      </x:c>
      <x:c r="C3278" s="117" t="str">
        <x:v>3014O0000001Lb6QAE</x:v>
      </x:c>
      <x:c r="D3278" s="118" t="n">
        <x:v>1</x:v>
      </x:c>
      <x:c r="E3278" s="117" t="str">
        <x:v>Obsolete</x:v>
      </x:c>
      <x:c r="F3278" s="117" t="str">
        <x:v>No</x:v>
      </x:c>
      <x:c r="G3278" s="117" t="str">
        <x:v>No</x:v>
      </x:c>
      <x:c r="H3278" s="117" t="str">
        <x:v>Workflow</x:v>
      </x:c>
      <x:c r="I3278" s="118"/>
      <x:c r="J3278" s="117" t="str">
        <x:v>unmanaged</x:v>
      </x:c>
      <x:c r="K3278" s="123" t="b">
        <x:v>0</x:v>
      </x:c>
      <x:c r="L3278" s="117"/>
      <x:c r="M3278" s="118"/>
      <x:c r="N3278" s="120" t="n">
        <x:v>44070.1577662037</x:v>
      </x:c>
      <x:c r="O3278" s="117" t="str">
        <x:v>Trent VanEmon</x:v>
      </x:c>
      <x:c r="P3278" s="120" t="n">
        <x:v>44070.15859953704</x:v>
      </x:c>
      <x:c r="Q3278" s="117" t="str">
        <x:v>Trent VanEmon</x:v>
      </x:c>
      <x:c r="R3278" s="117" t="str">
        <x:v>Update Chargent Order</x:v>
      </x:c>
      <x:c r="S3278" s="119"/>
    </x:row>
    <x:row r="3279" ht="30" customHeight="1">
      <x:c r="A3279" s="117" t="str">
        <x:v>Update_Chargent_Order</x:v>
      </x:c>
      <x:c r="B3279" s="117" t="str">
        <x:v>3004O0000000ZuCQAU</x:v>
      </x:c>
      <x:c r="C3279" s="117" t="str">
        <x:v>3014O0000001LbJQAU</x:v>
      </x:c>
      <x:c r="D3279" s="118" t="n">
        <x:v>2</x:v>
      </x:c>
      <x:c r="E3279" s="117" t="str">
        <x:v>Obsolete</x:v>
      </x:c>
      <x:c r="F3279" s="117" t="str">
        <x:v>No</x:v>
      </x:c>
      <x:c r="G3279" s="117" t="str">
        <x:v>No</x:v>
      </x:c>
      <x:c r="H3279" s="117" t="str">
        <x:v>Workflow</x:v>
      </x:c>
      <x:c r="I3279" s="118"/>
      <x:c r="J3279" s="117" t="str">
        <x:v>unmanaged</x:v>
      </x:c>
      <x:c r="K3279" s="123" t="b">
        <x:v>0</x:v>
      </x:c>
      <x:c r="L3279" s="117"/>
      <x:c r="M3279" s="118"/>
      <x:c r="N3279" s="120" t="n">
        <x:v>44070.15975694444</x:v>
      </x:c>
      <x:c r="O3279" s="117" t="str">
        <x:v>Trent VanEmon</x:v>
      </x:c>
      <x:c r="P3279" s="120" t="n">
        <x:v>44070.1609375</x:v>
      </x:c>
      <x:c r="Q3279" s="117" t="str">
        <x:v>Trent VanEmon</x:v>
      </x:c>
      <x:c r="R3279" s="117" t="str">
        <x:v>Update Chargent Order</x:v>
      </x:c>
      <x:c r="S3279" s="119"/>
    </x:row>
    <x:row r="3280" ht="30" customHeight="1">
      <x:c r="A3280" s="117" t="str">
        <x:v>Update_Chargent_Order</x:v>
      </x:c>
      <x:c r="B3280" s="117" t="str">
        <x:v>3004O0000000ZuCQAU</x:v>
      </x:c>
      <x:c r="C3280" s="117" t="str">
        <x:v>3014O0000001LbEQAU</x:v>
      </x:c>
      <x:c r="D3280" s="118" t="n">
        <x:v>3</x:v>
      </x:c>
      <x:c r="E3280" s="117" t="str">
        <x:v>Obsolete</x:v>
      </x:c>
      <x:c r="F3280" s="117" t="str">
        <x:v>No</x:v>
      </x:c>
      <x:c r="G3280" s="117" t="str">
        <x:v>No</x:v>
      </x:c>
      <x:c r="H3280" s="117" t="str">
        <x:v>Workflow</x:v>
      </x:c>
      <x:c r="I3280" s="118"/>
      <x:c r="J3280" s="117" t="str">
        <x:v>unmanaged</x:v>
      </x:c>
      <x:c r="K3280" s="123" t="b">
        <x:v>0</x:v>
      </x:c>
      <x:c r="L3280" s="117"/>
      <x:c r="M3280" s="118"/>
      <x:c r="N3280" s="120" t="n">
        <x:v>44070.16097222222</x:v>
      </x:c>
      <x:c r="O3280" s="117" t="str">
        <x:v>Trent VanEmon</x:v>
      </x:c>
      <x:c r="P3280" s="120" t="n">
        <x:v>44074.949108796296</x:v>
      </x:c>
      <x:c r="Q3280" s="117" t="str">
        <x:v>Trent VanEmon</x:v>
      </x:c>
      <x:c r="R3280" s="117" t="str">
        <x:v>Update Chargent Order</x:v>
      </x:c>
      <x:c r="S3280" s="119"/>
    </x:row>
    <x:row r="3281" ht="30" customHeight="1">
      <x:c r="A3281" s="117" t="str">
        <x:v>Update_Chargent_Order</x:v>
      </x:c>
      <x:c r="B3281" s="117" t="str">
        <x:v>3004O0000000ZuCQAU</x:v>
      </x:c>
      <x:c r="C3281" s="117" t="str">
        <x:v>3014O0000001LhGQAU</x:v>
      </x:c>
      <x:c r="D3281" s="118" t="n">
        <x:v>4</x:v>
      </x:c>
      <x:c r="E3281" s="117" t="str">
        <x:v>Obsolete</x:v>
      </x:c>
      <x:c r="F3281" s="117" t="str">
        <x:v>No</x:v>
      </x:c>
      <x:c r="G3281" s="117" t="str">
        <x:v>No</x:v>
      </x:c>
      <x:c r="H3281" s="117" t="str">
        <x:v>Workflow</x:v>
      </x:c>
      <x:c r="I3281" s="118"/>
      <x:c r="J3281" s="117" t="str">
        <x:v>unmanaged</x:v>
      </x:c>
      <x:c r="K3281" s="123" t="b">
        <x:v>0</x:v>
      </x:c>
      <x:c r="L3281" s="117"/>
      <x:c r="M3281" s="118"/>
      <x:c r="N3281" s="120" t="n">
        <x:v>44074.954560185186</x:v>
      </x:c>
      <x:c r="O3281" s="117" t="str">
        <x:v>Trent VanEmon</x:v>
      </x:c>
      <x:c r="P3281" s="120" t="n">
        <x:v>44074.95527777778</x:v>
      </x:c>
      <x:c r="Q3281" s="117" t="str">
        <x:v>Trent VanEmon</x:v>
      </x:c>
      <x:c r="R3281" s="117" t="str">
        <x:v>Update Chargent Order</x:v>
      </x:c>
      <x:c r="S3281" s="119"/>
    </x:row>
    <x:row r="3282" ht="30" customHeight="1">
      <x:c r="A3282" s="117" t="str">
        <x:v>Update_Chargent_Order</x:v>
      </x:c>
      <x:c r="B3282" s="117" t="str">
        <x:v>3004O0000000ZuCQAU</x:v>
      </x:c>
      <x:c r="C3282" s="117" t="str">
        <x:v>3014O0000001LhLQAU</x:v>
      </x:c>
      <x:c r="D3282" s="118" t="n">
        <x:v>5</x:v>
      </x:c>
      <x:c r="E3282" s="117" t="str">
        <x:v>Obsolete</x:v>
      </x:c>
      <x:c r="F3282" s="117" t="str">
        <x:v>No</x:v>
      </x:c>
      <x:c r="G3282" s="117" t="str">
        <x:v>No</x:v>
      </x:c>
      <x:c r="H3282" s="117" t="str">
        <x:v>Workflow</x:v>
      </x:c>
      <x:c r="I3282" s="118"/>
      <x:c r="J3282" s="117" t="str">
        <x:v>unmanaged</x:v>
      </x:c>
      <x:c r="K3282" s="123" t="b">
        <x:v>0</x:v>
      </x:c>
      <x:c r="L3282" s="117"/>
      <x:c r="M3282" s="118"/>
      <x:c r="N3282" s="120" t="n">
        <x:v>44074.95574074074</x:v>
      </x:c>
      <x:c r="O3282" s="117" t="str">
        <x:v>Trent VanEmon</x:v>
      </x:c>
      <x:c r="P3282" s="120" t="n">
        <x:v>44074.95979166667</x:v>
      </x:c>
      <x:c r="Q3282" s="117" t="str">
        <x:v>Trent VanEmon</x:v>
      </x:c>
      <x:c r="R3282" s="117" t="str">
        <x:v>Update Chargent Order</x:v>
      </x:c>
      <x:c r="S3282" s="119"/>
    </x:row>
    <x:row r="3283" ht="30" customHeight="1">
      <x:c r="A3283" s="117" t="str">
        <x:v>Update_Chargent_Order</x:v>
      </x:c>
      <x:c r="B3283" s="117" t="str">
        <x:v>3004O0000000ZuCQAU</x:v>
      </x:c>
      <x:c r="C3283" s="117" t="str">
        <x:v>3014O0000001Lh8QAE</x:v>
      </x:c>
      <x:c r="D3283" s="118" t="n">
        <x:v>6</x:v>
      </x:c>
      <x:c r="E3283" s="117" t="str">
        <x:v>Obsolete</x:v>
      </x:c>
      <x:c r="F3283" s="117" t="str">
        <x:v>No</x:v>
      </x:c>
      <x:c r="G3283" s="117" t="str">
        <x:v>No</x:v>
      </x:c>
      <x:c r="H3283" s="117" t="str">
        <x:v>Workflow</x:v>
      </x:c>
      <x:c r="I3283" s="118"/>
      <x:c r="J3283" s="117" t="str">
        <x:v>unmanaged</x:v>
      </x:c>
      <x:c r="K3283" s="123" t="b">
        <x:v>0</x:v>
      </x:c>
      <x:c r="L3283" s="117"/>
      <x:c r="M3283" s="118"/>
      <x:c r="N3283" s="120" t="n">
        <x:v>44074.961122685185</x:v>
      </x:c>
      <x:c r="O3283" s="117" t="str">
        <x:v>Trent VanEmon</x:v>
      </x:c>
      <x:c r="P3283" s="120" t="n">
        <x:v>44074.96208333333</x:v>
      </x:c>
      <x:c r="Q3283" s="117" t="str">
        <x:v>Trent VanEmon</x:v>
      </x:c>
      <x:c r="R3283" s="117" t="str">
        <x:v>Update Chargent Order</x:v>
      </x:c>
      <x:c r="S3283" s="119"/>
    </x:row>
    <x:row r="3284" ht="30" customHeight="1">
      <x:c r="A3284" s="117" t="str">
        <x:v>Update_Chargent_Order</x:v>
      </x:c>
      <x:c r="B3284" s="117" t="str">
        <x:v>3004O0000000ZuCQAU</x:v>
      </x:c>
      <x:c r="C3284" s="117" t="str">
        <x:v>3014O0000001Lh2QAE</x:v>
      </x:c>
      <x:c r="D3284" s="118" t="n">
        <x:v>7</x:v>
      </x:c>
      <x:c r="E3284" s="117" t="str">
        <x:v>Obsolete</x:v>
      </x:c>
      <x:c r="F3284" s="117" t="str">
        <x:v>No</x:v>
      </x:c>
      <x:c r="G3284" s="117" t="str">
        <x:v>No</x:v>
      </x:c>
      <x:c r="H3284" s="117" t="str">
        <x:v>Workflow</x:v>
      </x:c>
      <x:c r="I3284" s="118"/>
      <x:c r="J3284" s="117" t="str">
        <x:v>unmanaged</x:v>
      </x:c>
      <x:c r="K3284" s="123" t="b">
        <x:v>0</x:v>
      </x:c>
      <x:c r="L3284" s="117"/>
      <x:c r="M3284" s="118"/>
      <x:c r="N3284" s="120" t="n">
        <x:v>44074.96334490741</x:v>
      </x:c>
      <x:c r="O3284" s="117" t="str">
        <x:v>Trent VanEmon</x:v>
      </x:c>
      <x:c r="P3284" s="120" t="n">
        <x:v>44074.96501157407</x:v>
      </x:c>
      <x:c r="Q3284" s="117" t="str">
        <x:v>Trent VanEmon</x:v>
      </x:c>
      <x:c r="R3284" s="117" t="str">
        <x:v>Update Chargent Order</x:v>
      </x:c>
      <x:c r="S3284" s="119"/>
    </x:row>
    <x:row r="3285" ht="30" customHeight="1">
      <x:c r="A3285" s="117" t="str">
        <x:v>Update_Chargent_Order</x:v>
      </x:c>
      <x:c r="B3285" s="117" t="str">
        <x:v>3004O0000000ZuCQAU</x:v>
      </x:c>
      <x:c r="C3285" s="117" t="str">
        <x:v>3014O0000001LhXQAU</x:v>
      </x:c>
      <x:c r="D3285" s="118" t="n">
        <x:v>8</x:v>
      </x:c>
      <x:c r="E3285" s="117" t="str">
        <x:v>Obsolete</x:v>
      </x:c>
      <x:c r="F3285" s="117" t="str">
        <x:v>No</x:v>
      </x:c>
      <x:c r="G3285" s="117" t="str">
        <x:v>No</x:v>
      </x:c>
      <x:c r="H3285" s="117" t="str">
        <x:v>Workflow</x:v>
      </x:c>
      <x:c r="I3285" s="118"/>
      <x:c r="J3285" s="117" t="str">
        <x:v>unmanaged</x:v>
      </x:c>
      <x:c r="K3285" s="123" t="b">
        <x:v>0</x:v>
      </x:c>
      <x:c r="L3285" s="117"/>
      <x:c r="M3285" s="118"/>
      <x:c r="N3285" s="120" t="n">
        <x:v>44074.96523148148</x:v>
      </x:c>
      <x:c r="O3285" s="117" t="str">
        <x:v>Trent VanEmon</x:v>
      </x:c>
      <x:c r="P3285" s="120" t="n">
        <x:v>44078.52431712963</x:v>
      </x:c>
      <x:c r="Q3285" s="117" t="str">
        <x:v>Trent VanEmon</x:v>
      </x:c>
      <x:c r="R3285" s="117" t="str">
        <x:v>Update Chargent Order</x:v>
      </x:c>
      <x:c r="S3285" s="119"/>
    </x:row>
    <x:row r="3286" ht="30" customHeight="1">
      <x:c r="A3286" s="117" t="str">
        <x:v>Update_Chargent_Order</x:v>
      </x:c>
      <x:c r="B3286" s="117" t="str">
        <x:v>3004O0000000ZuCQAU</x:v>
      </x:c>
      <x:c r="C3286" s="117" t="str">
        <x:v>3014O0000001LmfQAE</x:v>
      </x:c>
      <x:c r="D3286" s="118" t="n">
        <x:v>9</x:v>
      </x:c>
      <x:c r="E3286" s="117" t="str">
        <x:v>Obsolete</x:v>
      </x:c>
      <x:c r="F3286" s="117" t="str">
        <x:v>No</x:v>
      </x:c>
      <x:c r="G3286" s="117" t="str">
        <x:v>No</x:v>
      </x:c>
      <x:c r="H3286" s="117" t="str">
        <x:v>Workflow</x:v>
      </x:c>
      <x:c r="I3286" s="118"/>
      <x:c r="J3286" s="117" t="str">
        <x:v>unmanaged</x:v>
      </x:c>
      <x:c r="K3286" s="123" t="b">
        <x:v>0</x:v>
      </x:c>
      <x:c r="L3286" s="117"/>
      <x:c r="M3286" s="118"/>
      <x:c r="N3286" s="120" t="n">
        <x:v>44078.524363425924</x:v>
      </x:c>
      <x:c r="O3286" s="117" t="str">
        <x:v>Trent VanEmon</x:v>
      </x:c>
      <x:c r="P3286" s="120" t="n">
        <x:v>44078.55832175926</x:v>
      </x:c>
      <x:c r="Q3286" s="117" t="str">
        <x:v>Trent VanEmon</x:v>
      </x:c>
      <x:c r="R3286" s="117" t="str">
        <x:v>Update Chargent Order</x:v>
      </x:c>
      <x:c r="S3286" s="119"/>
    </x:row>
    <x:row r="3287" ht="30" customHeight="1">
      <x:c r="A3287" s="117" t="str">
        <x:v>Update_Chargent_Order</x:v>
      </x:c>
      <x:c r="B3287" s="117" t="str">
        <x:v>3004O0000000ZuCQAU</x:v>
      </x:c>
      <x:c r="C3287" s="117" t="str">
        <x:v>3014O0000001LmvQAE</x:v>
      </x:c>
      <x:c r="D3287" s="118" t="n">
        <x:v>10</x:v>
      </x:c>
      <x:c r="E3287" s="117" t="str">
        <x:v>Obsolete</x:v>
      </x:c>
      <x:c r="F3287" s="117" t="str">
        <x:v>No</x:v>
      </x:c>
      <x:c r="G3287" s="117" t="str">
        <x:v>No</x:v>
      </x:c>
      <x:c r="H3287" s="117" t="str">
        <x:v>Workflow</x:v>
      </x:c>
      <x:c r="I3287" s="118"/>
      <x:c r="J3287" s="117" t="str">
        <x:v>unmanaged</x:v>
      </x:c>
      <x:c r="K3287" s="123" t="b">
        <x:v>0</x:v>
      </x:c>
      <x:c r="L3287" s="117"/>
      <x:c r="M3287" s="118"/>
      <x:c r="N3287" s="120" t="n">
        <x:v>44078.55837962963</x:v>
      </x:c>
      <x:c r="O3287" s="117" t="str">
        <x:v>Trent VanEmon</x:v>
      </x:c>
      <x:c r="P3287" s="120" t="n">
        <x:v>44078.55873842593</x:v>
      </x:c>
      <x:c r="Q3287" s="117" t="str">
        <x:v>Trent VanEmon</x:v>
      </x:c>
      <x:c r="R3287" s="117" t="str">
        <x:v>Update Chargent Order</x:v>
      </x:c>
      <x:c r="S3287" s="119"/>
    </x:row>
    <x:row r="3288" ht="30" customHeight="1">
      <x:c r="A3288" s="117" t="str">
        <x:v>Update_Chargent_Order</x:v>
      </x:c>
      <x:c r="B3288" s="117" t="str">
        <x:v>3004O0000000ZuCQAU</x:v>
      </x:c>
      <x:c r="C3288" s="117" t="str">
        <x:v>3014O0000001LmzQAE</x:v>
      </x:c>
      <x:c r="D3288" s="118" t="n">
        <x:v>11</x:v>
      </x:c>
      <x:c r="E3288" s="117" t="str">
        <x:v>Active</x:v>
      </x:c>
      <x:c r="F3288" s="117" t="str">
        <x:v>Yes</x:v>
      </x:c>
      <x:c r="G3288" s="117" t="str">
        <x:v>No</x:v>
      </x:c>
      <x:c r="H3288" s="117" t="str">
        <x:v>Workflow</x:v>
      </x:c>
      <x:c r="I3288" s="118"/>
      <x:c r="J3288" s="117" t="str">
        <x:v>unmanaged</x:v>
      </x:c>
      <x:c r="K3288" s="123" t="b">
        <x:v>0</x:v>
      </x:c>
      <x:c r="L3288" s="117"/>
      <x:c r="M3288" s="118"/>
      <x:c r="N3288" s="120" t="n">
        <x:v>44078.55949074074</x:v>
      </x:c>
      <x:c r="O3288" s="117" t="str">
        <x:v>Trent VanEmon</x:v>
      </x:c>
      <x:c r="P3288" s="120" t="n">
        <x:v>44078.559525462966</x:v>
      </x:c>
      <x:c r="Q3288" s="117" t="str">
        <x:v>Trent VanEmon</x:v>
      </x:c>
      <x:c r="R3288" s="117" t="str">
        <x:v>Update Chargent Order</x:v>
      </x:c>
      <x:c r="S3288" s="119"/>
    </x:row>
    <x:row r="3289" ht="30" customHeight="1">
      <x:c r="A3289" s="117" t="str">
        <x:v>Update_Chargent_Order</x:v>
      </x:c>
      <x:c r="B3289" s="117" t="str">
        <x:v>3004O0000000ZuCQAU</x:v>
      </x:c>
      <x:c r="C3289" s="117" t="str">
        <x:v>3014O000000M0X2QAK</x:v>
      </x:c>
      <x:c r="D3289" s="118" t="n">
        <x:v>12</x:v>
      </x:c>
      <x:c r="E3289" s="117" t="str">
        <x:v>Draft</x:v>
      </x:c>
      <x:c r="F3289" s="117" t="str">
        <x:v>No</x:v>
      </x:c>
      <x:c r="G3289" s="117" t="str">
        <x:v>Yes</x:v>
      </x:c>
      <x:c r="H3289" s="117" t="str">
        <x:v>Workflow</x:v>
      </x:c>
      <x:c r="I3289" s="118" t="n">
        <x:v>49</x:v>
      </x:c>
      <x:c r="J3289" s="117" t="str">
        <x:v>unmanaged</x:v>
      </x:c>
      <x:c r="K3289" s="123" t="b">
        <x:v>0</x:v>
      </x:c>
      <x:c r="L3289" s="117"/>
      <x:c r="M3289" s="118"/>
      <x:c r="N3289" s="120" t="n">
        <x:v>44199.74932870371</x:v>
      </x:c>
      <x:c r="O3289" s="117" t="str">
        <x:v>Delegate</x:v>
      </x:c>
      <x:c r="P3289" s="120" t="n">
        <x:v>44199.74932870371</x:v>
      </x:c>
      <x:c r="Q3289" s="117" t="str">
        <x:v>Delegate</x:v>
      </x:c>
      <x:c r="R3289" s="117" t="str">
        <x:v>Update Chargent Order</x:v>
      </x:c>
      <x:c r="S3289" s="119"/>
    </x:row>
    <x:row r="3290" ht="30" customHeight="1">
      <x:c r="A3290" s="117" t="str">
        <x:v>Update_comments</x:v>
      </x:c>
      <x:c r="B3290" s="117" t="str">
        <x:v>300Ro00000Pz0kzIAB</x:v>
      </x:c>
      <x:c r="C3290" s="117" t="str">
        <x:v>301Ro000013K8iNIAS</x:v>
      </x:c>
      <x:c r="D3290" s="118" t="n">
        <x:v>156</x:v>
      </x:c>
      <x:c r="E3290" s="117" t="str">
        <x:v>Obsolete</x:v>
      </x:c>
      <x:c r="F3290" s="117" t="str">
        <x:v>No</x:v>
      </x:c>
      <x:c r="G3290" s="117" t="str">
        <x:v>No</x:v>
      </x:c>
      <x:c r="H3290" s="117" t="str">
        <x:v>FieldServiceMobile</x:v>
      </x:c>
      <x:c r="I3290" s="118"/>
      <x:c r="J3290" s="117" t="str">
        <x:v>unmanaged</x:v>
      </x:c>
      <x:c r="K3290" s="123" t="b">
        <x:v>0</x:v>
      </x:c>
      <x:c r="L3290" s="117"/>
      <x:c r="M3290" s="118"/>
      <x:c r="N3290" s="120" t="n">
        <x:v>46128.50310185185</x:v>
      </x:c>
      <x:c r="O3290" s="117" t="str">
        <x:v>Delegate</x:v>
      </x:c>
      <x:c r="P3290" s="120" t="n">
        <x:v>46258.62704861111</x:v>
      </x:c>
      <x:c r="Q3290" s="117" t="str">
        <x:v>Sacha Pearce</x:v>
      </x:c>
      <x:c r="R3290" s="117" t="str">
        <x:v>Update comments</x:v>
      </x:c>
      <x:c r="S3290" s="119" t="str">
        <x:v>04/16/2026 (BW) - Giving engineers the ability to mark a part as I'll use it next visit</x:v>
      </x:c>
    </x:row>
    <x:row r="3291" ht="30" customHeight="1">
      <x:c r="A3291" s="117" t="str">
        <x:v>Update_comments</x:v>
      </x:c>
      <x:c r="B3291" s="117" t="str">
        <x:v>300Ro00000Pz0kzIAB</x:v>
      </x:c>
      <x:c r="C3291" s="117" t="str">
        <x:v>301Ro000013LBEiIAO</x:v>
      </x:c>
      <x:c r="D3291" s="118" t="n">
        <x:v>157</x:v>
      </x:c>
      <x:c r="E3291" s="117" t="str">
        <x:v>Obsolete</x:v>
      </x:c>
      <x:c r="F3291" s="117" t="str">
        <x:v>No</x:v>
      </x:c>
      <x:c r="G3291" s="117" t="str">
        <x:v>No</x:v>
      </x:c>
      <x:c r="H3291" s="117" t="str">
        <x:v>FieldServiceMobile</x:v>
      </x:c>
      <x:c r="I3291" s="118"/>
      <x:c r="J3291" s="117" t="str">
        <x:v>unmanaged</x:v>
      </x:c>
      <x:c r="K3291" s="123" t="b">
        <x:v>0</x:v>
      </x:c>
      <x:c r="L3291" s="117"/>
      <x:c r="M3291" s="118"/>
      <x:c r="N3291" s="120" t="n">
        <x:v>46128.613020833334</x:v>
      </x:c>
      <x:c r="O3291" s="117" t="str">
        <x:v>Delegate</x:v>
      </x:c>
      <x:c r="P3291" s="120" t="n">
        <x:v>46128.61493055556</x:v>
      </x:c>
      <x:c r="Q3291" s="117" t="str">
        <x:v>Delegate</x:v>
      </x:c>
      <x:c r="R3291" s="117" t="str">
        <x:v>Update comments</x:v>
      </x:c>
      <x:c r="S3291" s="119" t="str">
        <x:v>04/16/2026 (BW) - Updating how Labor &amp; Travel work and get calculated</x:v>
      </x:c>
    </x:row>
    <x:row r="3292" ht="30" customHeight="1">
      <x:c r="A3292" s="117" t="str">
        <x:v>Update_comments</x:v>
      </x:c>
      <x:c r="B3292" s="117" t="str">
        <x:v>300Ro00000Pz0kzIAB</x:v>
      </x:c>
      <x:c r="C3292" s="117" t="str">
        <x:v>301Ro000013QxDWIA0</x:v>
      </x:c>
      <x:c r="D3292" s="118" t="n">
        <x:v>158</x:v>
      </x:c>
      <x:c r="E3292" s="117" t="str">
        <x:v>Obsolete</x:v>
      </x:c>
      <x:c r="F3292" s="117" t="str">
        <x:v>No</x:v>
      </x:c>
      <x:c r="G3292" s="117" t="str">
        <x:v>No</x:v>
      </x:c>
      <x:c r="H3292" s="117" t="str">
        <x:v>FieldServiceMobile</x:v>
      </x:c>
      <x:c r="I3292" s="118"/>
      <x:c r="J3292" s="117" t="str">
        <x:v>unmanaged</x:v>
      </x:c>
      <x:c r="K3292" s="123" t="b">
        <x:v>0</x:v>
      </x:c>
      <x:c r="L3292" s="117"/>
      <x:c r="M3292" s="118"/>
      <x:c r="N3292" s="120" t="n">
        <x:v>46129.53928240741</x:v>
      </x:c>
      <x:c r="O3292" s="117" t="str">
        <x:v>Sacha Pearce</x:v>
      </x:c>
      <x:c r="P3292" s="120" t="n">
        <x:v>46129.53954861111</x:v>
      </x:c>
      <x:c r="Q3292" s="117" t="str">
        <x:v>Sacha Pearce</x:v>
      </x:c>
      <x:c r="R3292" s="117" t="str">
        <x:v>Update comments</x:v>
      </x:c>
      <x:c r="S3292" s="119" t="str">
        <x:v>04/16/2026 (SP) - Updating the UK Contract Line Item updates to be routed though the Contract Line Item saved on the Work Order instead of the Service Appointment. This is to negate failing updates from blank "Contract Line Item" fields on Service Appointments.</x:v>
      </x:c>
    </x:row>
    <x:row r="3293" ht="30" customHeight="1">
      <x:c r="A3293" s="117" t="str">
        <x:v>Update_comments</x:v>
      </x:c>
      <x:c r="B3293" s="117" t="str">
        <x:v>300Ro00000Pz0kzIAB</x:v>
      </x:c>
      <x:c r="C3293" s="117" t="str">
        <x:v>301Ro000013oqULIAY</x:v>
      </x:c>
      <x:c r="D3293" s="118" t="n">
        <x:v>159</x:v>
      </x:c>
      <x:c r="E3293" s="117" t="str">
        <x:v>Obsolete</x:v>
      </x:c>
      <x:c r="F3293" s="117" t="str">
        <x:v>No</x:v>
      </x:c>
      <x:c r="G3293" s="117" t="str">
        <x:v>No</x:v>
      </x:c>
      <x:c r="H3293" s="117" t="str">
        <x:v>FieldServiceMobile</x:v>
      </x:c>
      <x:c r="I3293" s="118"/>
      <x:c r="J3293" s="117" t="str">
        <x:v>unmanaged</x:v>
      </x:c>
      <x:c r="K3293" s="123" t="b">
        <x:v>0</x:v>
      </x:c>
      <x:c r="L3293" s="117"/>
      <x:c r="M3293" s="118"/>
      <x:c r="N3293" s="120" t="n">
        <x:v>46134.73769675926</x:v>
      </x:c>
      <x:c r="O3293" s="117" t="str">
        <x:v>Delegate</x:v>
      </x:c>
      <x:c r="P3293" s="120" t="n">
        <x:v>46134.744039351855</x:v>
      </x:c>
      <x:c r="Q3293" s="117" t="str">
        <x:v>Delegate</x:v>
      </x:c>
      <x:c r="R3293" s="117" t="str">
        <x:v>Update comments</x:v>
      </x:c>
      <x:c r="S3293" s="119" t="str">
        <x:v>04/22/2025 (BW) - Updating how the RMA section works for asking questions</x:v>
      </x:c>
    </x:row>
    <x:row r="3294" ht="30" customHeight="1">
      <x:c r="A3294" s="117" t="str">
        <x:v>Update_comments</x:v>
      </x:c>
      <x:c r="B3294" s="117" t="str">
        <x:v>300Ro00000Pz0kzIAB</x:v>
      </x:c>
      <x:c r="C3294" s="117" t="str">
        <x:v>301Ro000013pO9LIAU</x:v>
      </x:c>
      <x:c r="D3294" s="118" t="n">
        <x:v>160</x:v>
      </x:c>
      <x:c r="E3294" s="117" t="str">
        <x:v>Draft</x:v>
      </x:c>
      <x:c r="F3294" s="117" t="str">
        <x:v>No</x:v>
      </x:c>
      <x:c r="G3294" s="117" t="str">
        <x:v>No</x:v>
      </x:c>
      <x:c r="H3294" s="117" t="str">
        <x:v>FieldServiceMobile</x:v>
      </x:c>
      <x:c r="I3294" s="118"/>
      <x:c r="J3294" s="117" t="str">
        <x:v>unmanaged</x:v>
      </x:c>
      <x:c r="K3294" s="123" t="b">
        <x:v>0</x:v>
      </x:c>
      <x:c r="L3294" s="117"/>
      <x:c r="M3294" s="118"/>
      <x:c r="N3294" s="120" t="n">
        <x:v>46134.71202546296</x:v>
      </x:c>
      <x:c r="O3294" s="117" t="str">
        <x:v>Delegate</x:v>
      </x:c>
      <x:c r="P3294" s="120" t="n">
        <x:v>46134.71212962963</x:v>
      </x:c>
      <x:c r="Q3294" s="117" t="str">
        <x:v>Delegate</x:v>
      </x:c>
      <x:c r="R3294" s="117" t="str">
        <x:v>Update comments</x:v>
      </x:c>
      <x:c r="S3294" s="119" t="str">
        <x:v>04/16/2026 (SP) - Updating the UK Contract Line Item updates to be routed though the Contract Line Item saved on the Work Order instead of the Service Appointment. This is to negate failing updates from blank "Contract Line Item" fields on Service Appointments.</x:v>
      </x:c>
    </x:row>
    <x:row r="3295" ht="30" customHeight="1">
      <x:c r="A3295" s="117" t="str">
        <x:v>Update_comments</x:v>
      </x:c>
      <x:c r="B3295" s="117" t="str">
        <x:v>300Ro00000Pz0kzIAB</x:v>
      </x:c>
      <x:c r="C3295" s="117" t="str">
        <x:v>301Ro000013ubM1IAI</x:v>
      </x:c>
      <x:c r="D3295" s="118" t="n">
        <x:v>161</x:v>
      </x:c>
      <x:c r="E3295" s="117" t="str">
        <x:v>Obsolete</x:v>
      </x:c>
      <x:c r="F3295" s="117" t="str">
        <x:v>No</x:v>
      </x:c>
      <x:c r="G3295" s="117" t="str">
        <x:v>No</x:v>
      </x:c>
      <x:c r="H3295" s="117" t="str">
        <x:v>FieldServiceMobile</x:v>
      </x:c>
      <x:c r="I3295" s="118"/>
      <x:c r="J3295" s="117" t="str">
        <x:v>unmanaged</x:v>
      </x:c>
      <x:c r="K3295" s="123" t="b">
        <x:v>0</x:v>
      </x:c>
      <x:c r="L3295" s="117"/>
      <x:c r="M3295" s="118"/>
      <x:c r="N3295" s="120" t="n">
        <x:v>46135.58184027778</x:v>
      </x:c>
      <x:c r="O3295" s="117" t="str">
        <x:v>Delegate</x:v>
      </x:c>
      <x:c r="P3295" s="120" t="n">
        <x:v>46135.63688657407</x:v>
      </x:c>
      <x:c r="Q3295" s="117" t="str">
        <x:v>Sacha Pearce</x:v>
      </x:c>
      <x:c r="R3295" s="117" t="str">
        <x:v>Update comments</x:v>
      </x:c>
      <x:c r="S3295" s="119" t="str">
        <x:v>04/23/2026 (BW) - Updating how contacts are added/removed via the close-out flow</x:v>
      </x:c>
    </x:row>
    <x:row r="3296" ht="30" customHeight="1">
      <x:c r="A3296" s="117" t="str">
        <x:v>Update_comments</x:v>
      </x:c>
      <x:c r="B3296" s="117" t="str">
        <x:v>300Ro00000Pz0kzIAB</x:v>
      </x:c>
      <x:c r="C3296" s="117" t="str">
        <x:v>301Ro000013zhseIAA</x:v>
      </x:c>
      <x:c r="D3296" s="118" t="n">
        <x:v>162</x:v>
      </x:c>
      <x:c r="E3296" s="117" t="str">
        <x:v>Obsolete</x:v>
      </x:c>
      <x:c r="F3296" s="117" t="str">
        <x:v>No</x:v>
      </x:c>
      <x:c r="G3296" s="117" t="str">
        <x:v>No</x:v>
      </x:c>
      <x:c r="H3296" s="117" t="str">
        <x:v>FieldServiceMobile</x:v>
      </x:c>
      <x:c r="I3296" s="118"/>
      <x:c r="J3296" s="117" t="str">
        <x:v>unmanaged</x:v>
      </x:c>
      <x:c r="K3296" s="123" t="b">
        <x:v>0</x:v>
      </x:c>
      <x:c r="L3296" s="117"/>
      <x:c r="M3296" s="118"/>
      <x:c r="N3296" s="120" t="n">
        <x:v>46136.54037037037</x:v>
      </x:c>
      <x:c r="O3296" s="117" t="str">
        <x:v>Delegate</x:v>
      </x:c>
      <x:c r="P3296" s="120" t="n">
        <x:v>46136.54068287037</x:v>
      </x:c>
      <x:c r="Q3296" s="117" t="str">
        <x:v>Delegate</x:v>
      </x:c>
      <x:c r="R3296" s="117" t="str">
        <x:v>Update comments</x:v>
      </x:c>
      <x:c r="S3296" s="119" t="str">
        <x:v>04/23/2026 (BW) - QA notes for DOA update the description of the line as well
- SP - Updating the "Update SA - System Not Operational" element to set the "Status" field to "Paperwork to be Sent"</x:v>
      </x:c>
    </x:row>
    <x:row r="3297" ht="30" customHeight="1">
      <x:c r="A3297" s="117" t="str">
        <x:v>Update_comments</x:v>
      </x:c>
      <x:c r="B3297" s="117" t="str">
        <x:v>300Ro00000Pz0kzIAB</x:v>
      </x:c>
      <x:c r="C3297" s="117" t="str">
        <x:v>301Ro000014GW4RIAW</x:v>
      </x:c>
      <x:c r="D3297" s="118" t="n">
        <x:v>163</x:v>
      </x:c>
      <x:c r="E3297" s="117" t="str">
        <x:v>Obsolete</x:v>
      </x:c>
      <x:c r="F3297" s="117" t="str">
        <x:v>No</x:v>
      </x:c>
      <x:c r="G3297" s="117" t="str">
        <x:v>No</x:v>
      </x:c>
      <x:c r="H3297" s="117" t="str">
        <x:v>FieldServiceMobile</x:v>
      </x:c>
      <x:c r="I3297" s="118"/>
      <x:c r="J3297" s="117" t="str">
        <x:v>unmanaged</x:v>
      </x:c>
      <x:c r="K3297" s="123" t="b">
        <x:v>0</x:v>
      </x:c>
      <x:c r="L3297" s="117"/>
      <x:c r="M3297" s="118"/>
      <x:c r="N3297" s="120" t="n">
        <x:v>46140.51342592593</x:v>
      </x:c>
      <x:c r="O3297" s="117" t="str">
        <x:v>Delegate</x:v>
      </x:c>
      <x:c r="P3297" s="120" t="n">
        <x:v>46140.51385416667</x:v>
      </x:c>
      <x:c r="Q3297" s="117" t="str">
        <x:v>Delegate</x:v>
      </x:c>
      <x:c r="R3297" s="117" t="str">
        <x:v>Update comments</x:v>
      </x:c>
      <x:c r="S3297" s="119" t="str">
        <x:v>04/28/2026 (BW) - Updating the nomenclature of the end screen before closing out the work order</x:v>
      </x:c>
    </x:row>
    <x:row r="3298" ht="30" customHeight="1">
      <x:c r="A3298" s="117" t="str">
        <x:v>Update_comments</x:v>
      </x:c>
      <x:c r="B3298" s="117" t="str">
        <x:v>300Ro00000Pz0kzIAB</x:v>
      </x:c>
      <x:c r="C3298" s="117" t="str">
        <x:v>301Ro00001503NaIAI</x:v>
      </x:c>
      <x:c r="D3298" s="118" t="n">
        <x:v>164</x:v>
      </x:c>
      <x:c r="E3298" s="117" t="str">
        <x:v>Obsolete</x:v>
      </x:c>
      <x:c r="F3298" s="117" t="str">
        <x:v>No</x:v>
      </x:c>
      <x:c r="G3298" s="117" t="str">
        <x:v>No</x:v>
      </x:c>
      <x:c r="H3298" s="117" t="str">
        <x:v>FieldServiceMobile</x:v>
      </x:c>
      <x:c r="I3298" s="118"/>
      <x:c r="J3298" s="117" t="str">
        <x:v>unmanaged</x:v>
      </x:c>
      <x:c r="K3298" s="123" t="b">
        <x:v>0</x:v>
      </x:c>
      <x:c r="L3298" s="117"/>
      <x:c r="M3298" s="118"/>
      <x:c r="N3298" s="120" t="n">
        <x:v>46148.96543981481</x:v>
      </x:c>
      <x:c r="O3298" s="117" t="str">
        <x:v>Delegate</x:v>
      </x:c>
      <x:c r="P3298" s="120" t="n">
        <x:v>46148.96569444444</x:v>
      </x:c>
      <x:c r="Q3298" s="117" t="str">
        <x:v>Delegate</x:v>
      </x:c>
      <x:c r="R3298" s="117" t="str">
        <x:v>Update comments</x:v>
      </x:c>
      <x:c r="S3298" s="119" t="str">
        <x:v>05/06/2026 (BW) - Updating the flow so that we don't ask the close out questions if it's in a status of Ready to Ship, Update Needed, or Action Needed</x:v>
      </x:c>
    </x:row>
    <x:row r="3299" ht="30" customHeight="1">
      <x:c r="A3299" s="117" t="str">
        <x:v>Update_comments</x:v>
      </x:c>
      <x:c r="B3299" s="117" t="str">
        <x:v>300Ro00000Pz0kzIAB</x:v>
      </x:c>
      <x:c r="C3299" s="117" t="str">
        <x:v>301Ro00001540faIAA</x:v>
      </x:c>
      <x:c r="D3299" s="118" t="n">
        <x:v>165</x:v>
      </x:c>
      <x:c r="E3299" s="117" t="str">
        <x:v>Obsolete</x:v>
      </x:c>
      <x:c r="F3299" s="117" t="str">
        <x:v>No</x:v>
      </x:c>
      <x:c r="G3299" s="117" t="str">
        <x:v>No</x:v>
      </x:c>
      <x:c r="H3299" s="117" t="str">
        <x:v>FieldServiceMobile</x:v>
      </x:c>
      <x:c r="I3299" s="118"/>
      <x:c r="J3299" s="117" t="str">
        <x:v>unmanaged</x:v>
      </x:c>
      <x:c r="K3299" s="123" t="b">
        <x:v>0</x:v>
      </x:c>
      <x:c r="L3299" s="117"/>
      <x:c r="M3299" s="118"/>
      <x:c r="N3299" s="120" t="n">
        <x:v>46149.680138888885</x:v>
      </x:c>
      <x:c r="O3299" s="117" t="str">
        <x:v>Delegate</x:v>
      </x:c>
      <x:c r="P3299" s="120" t="n">
        <x:v>46258.61215277778</x:v>
      </x:c>
      <x:c r="Q3299" s="117" t="str">
        <x:v>Sacha Pearce</x:v>
      </x:c>
      <x:c r="R3299" s="117" t="str">
        <x:v>Update comments</x:v>
      </x:c>
      <x:c r="S3299" s="119" t="str">
        <x:v>05/07/2026 (BW) - Updating so that this flow asks the parts requested selection screen even if closing out just from a work order</x:v>
      </x:c>
    </x:row>
    <x:row r="3300" ht="30" customHeight="1">
      <x:c r="A3300" s="117" t="str">
        <x:v>Update_comments</x:v>
      </x:c>
      <x:c r="B3300" s="117" t="str">
        <x:v>300Ro00000Pz0kzIAB</x:v>
      </x:c>
      <x:c r="C3300" s="117" t="str">
        <x:v>301Ro0000157sbUIAQ</x:v>
      </x:c>
      <x:c r="D3300" s="118" t="n">
        <x:v>166</x:v>
      </x:c>
      <x:c r="E3300" s="117" t="str">
        <x:v>Obsolete</x:v>
      </x:c>
      <x:c r="F3300" s="117" t="str">
        <x:v>No</x:v>
      </x:c>
      <x:c r="G3300" s="117" t="str">
        <x:v>No</x:v>
      </x:c>
      <x:c r="H3300" s="117" t="str">
        <x:v>FieldServiceMobile</x:v>
      </x:c>
      <x:c r="I3300" s="118"/>
      <x:c r="J3300" s="117" t="str">
        <x:v>unmanaged</x:v>
      </x:c>
      <x:c r="K3300" s="123" t="b">
        <x:v>0</x:v>
      </x:c>
      <x:c r="L3300" s="117"/>
      <x:c r="M3300" s="118"/>
      <x:c r="N3300" s="120" t="n">
        <x:v>46150.41422453704</x:v>
      </x:c>
      <x:c r="O3300" s="117" t="str">
        <x:v>Sacha Pearce</x:v>
      </x:c>
      <x:c r="P3300" s="120" t="n">
        <x:v>46150.4146412037</x:v>
      </x:c>
      <x:c r="Q3300" s="117" t="str">
        <x:v>Sacha Pearce</x:v>
      </x:c>
      <x:c r="R3300" s="117" t="str">
        <x:v>Update comments</x:v>
      </x:c>
      <x:c r="S3300" s="119" t="str">
        <x:v>05/08/2026 (SP) - Removing the "Send Email to UK Dispatch" element as well as routing the "Send Can Anything Elde Be Quoted Email" to Sales Ops only.</x:v>
      </x:c>
    </x:row>
    <x:row r="3301" ht="30" customHeight="1">
      <x:c r="A3301" s="117" t="str">
        <x:v>Update_comments</x:v>
      </x:c>
      <x:c r="B3301" s="117" t="str">
        <x:v>300Ro00000Pz0kzIAB</x:v>
      </x:c>
      <x:c r="C3301" s="117" t="str">
        <x:v>301Ro000016It0UIAS</x:v>
      </x:c>
      <x:c r="D3301" s="118" t="n">
        <x:v>167</x:v>
      </x:c>
      <x:c r="E3301" s="117" t="str">
        <x:v>Obsolete</x:v>
      </x:c>
      <x:c r="F3301" s="117" t="str">
        <x:v>No</x:v>
      </x:c>
      <x:c r="G3301" s="117" t="str">
        <x:v>No</x:v>
      </x:c>
      <x:c r="H3301" s="117" t="str">
        <x:v>FieldServiceMobile</x:v>
      </x:c>
      <x:c r="I3301" s="118"/>
      <x:c r="J3301" s="117" t="str">
        <x:v>unmanaged</x:v>
      </x:c>
      <x:c r="K3301" s="123" t="b">
        <x:v>0</x:v>
      </x:c>
      <x:c r="L3301" s="117"/>
      <x:c r="M3301" s="118"/>
      <x:c r="N3301" s="120" t="n">
        <x:v>46163.51435185185</x:v>
      </x:c>
      <x:c r="O3301" s="117" t="str">
        <x:v>Delegate</x:v>
      </x:c>
      <x:c r="P3301" s="120" t="n">
        <x:v>46163.51741898148</x:v>
      </x:c>
      <x:c r="Q3301" s="117" t="str">
        <x:v>Delegate</x:v>
      </x:c>
      <x:c r="R3301" s="117" t="str">
        <x:v>Update comments</x:v>
      </x:c>
      <x:c r="S3301" s="119" t="str">
        <x:v>05/08/2026 (SP) - Removing the "Send Email to UK Dispatch" element as well as routing the "Send Can Anything Elde Be Quoted Email" to Sales Ops only.
05/21/26 (BW) – Refactored the parts status screen to show two checkbox groups: one for marking received parts as consumed, and a second for reverting already-consumed parts back to not used. Updated the entry condition to show the screen when either received or consumed parts exist on the work order.</x:v>
      </x:c>
    </x:row>
    <x:row r="3302" ht="30" customHeight="1">
      <x:c r="A3302" s="117" t="str">
        <x:v>Update_comments</x:v>
      </x:c>
      <x:c r="B3302" s="117" t="str">
        <x:v>300Ro00000Pz0kzIAB</x:v>
      </x:c>
      <x:c r="C3302" s="117" t="str">
        <x:v>301Ro000016MQsjIAG</x:v>
      </x:c>
      <x:c r="D3302" s="118" t="n">
        <x:v>168</x:v>
      </x:c>
      <x:c r="E3302" s="117" t="str">
        <x:v>Obsolete</x:v>
      </x:c>
      <x:c r="F3302" s="117" t="str">
        <x:v>No</x:v>
      </x:c>
      <x:c r="G3302" s="117" t="str">
        <x:v>No</x:v>
      </x:c>
      <x:c r="H3302" s="117" t="str">
        <x:v>FieldServiceMobile</x:v>
      </x:c>
      <x:c r="I3302" s="118"/>
      <x:c r="J3302" s="117" t="str">
        <x:v>unmanaged</x:v>
      </x:c>
      <x:c r="K3302" s="123" t="b">
        <x:v>0</x:v>
      </x:c>
      <x:c r="L3302" s="117"/>
      <x:c r="M3302" s="118"/>
      <x:c r="N3302" s="120" t="n">
        <x:v>46163.842094907406</x:v>
      </x:c>
      <x:c r="O3302" s="117" t="str">
        <x:v>Delegate</x:v>
      </x:c>
      <x:c r="P3302" s="120" t="n">
        <x:v>46164.60439814815</x:v>
      </x:c>
      <x:c r="Q3302" s="117" t="str">
        <x:v>Delegate</x:v>
      </x:c>
      <x:c r="R3302" s="117" t="str">
        <x:v>Update comments</x:v>
      </x:c>
      <x:c r="S3302" s="119" t="str">
        <x:v>05/21/2026 (BW) - Updating the choices for returns to, if selecting they'll use on a later work order, that it must be the same work order.
Added a notes update for core exchange so notes can be passed to the QA team.</x:v>
      </x:c>
    </x:row>
    <x:row r="3303" ht="30" customHeight="1">
      <x:c r="A3303" s="117" t="str">
        <x:v>Update_comments</x:v>
      </x:c>
      <x:c r="B3303" s="117" t="str">
        <x:v>300Ro00000Pz0kzIAB</x:v>
      </x:c>
      <x:c r="C3303" s="117" t="str">
        <x:v>301Ro000016PMz6IAG</x:v>
      </x:c>
      <x:c r="D3303" s="118" t="n">
        <x:v>169</x:v>
      </x:c>
      <x:c r="E3303" s="117" t="str">
        <x:v>Obsolete</x:v>
      </x:c>
      <x:c r="F3303" s="117" t="str">
        <x:v>No</x:v>
      </x:c>
      <x:c r="G3303" s="117" t="str">
        <x:v>No</x:v>
      </x:c>
      <x:c r="H3303" s="117" t="str">
        <x:v>FieldServiceMobile</x:v>
      </x:c>
      <x:c r="I3303" s="118"/>
      <x:c r="J3303" s="117" t="str">
        <x:v>unmanaged</x:v>
      </x:c>
      <x:c r="K3303" s="123" t="b">
        <x:v>0</x:v>
      </x:c>
      <x:c r="L3303" s="117"/>
      <x:c r="M3303" s="118"/>
      <x:c r="N3303" s="120" t="n">
        <x:v>46164.546643518515</x:v>
      </x:c>
      <x:c r="O3303" s="117" t="str">
        <x:v>Delegate</x:v>
      </x:c>
      <x:c r="P3303" s="120" t="n">
        <x:v>46164.56674768519</x:v>
      </x:c>
      <x:c r="Q3303" s="117" t="str">
        <x:v>Delegate</x:v>
      </x:c>
      <x:c r="R3303" s="117" t="str">
        <x:v>Update comments</x:v>
      </x:c>
      <x:c r="S3303" s="119" t="str">
        <x:v>05/21/2026 (BW) - Updating the choices for returns to, if selecting they'll use on a later work order, that it must be the same work order.
Added a notes update for core exchange so notes can be passed to the QA team.
05/22/2026 (BW) – Allow marking Part Assigned and Part Quoted items as Received, in addition to Part En-Route</x:v>
      </x:c>
    </x:row>
    <x:row r="3304" ht="30" customHeight="1">
      <x:c r="A3304" s="117" t="str">
        <x:v>Update_comments</x:v>
      </x:c>
      <x:c r="B3304" s="117" t="str">
        <x:v>300Ro00000Pz0kzIAB</x:v>
      </x:c>
      <x:c r="C3304" s="117" t="str">
        <x:v>301Ro000016Q1RDIA0</x:v>
      </x:c>
      <x:c r="D3304" s="118" t="n">
        <x:v>170</x:v>
      </x:c>
      <x:c r="E3304" s="117" t="str">
        <x:v>Obsolete</x:v>
      </x:c>
      <x:c r="F3304" s="117" t="str">
        <x:v>No</x:v>
      </x:c>
      <x:c r="G3304" s="117" t="str">
        <x:v>No</x:v>
      </x:c>
      <x:c r="H3304" s="117" t="str">
        <x:v>FieldServiceMobile</x:v>
      </x:c>
      <x:c r="I3304" s="118"/>
      <x:c r="J3304" s="117" t="str">
        <x:v>unmanaged</x:v>
      </x:c>
      <x:c r="K3304" s="123" t="b">
        <x:v>0</x:v>
      </x:c>
      <x:c r="L3304" s="117"/>
      <x:c r="M3304" s="118"/>
      <x:c r="N3304" s="120" t="n">
        <x:v>46164.55258101852</x:v>
      </x:c>
      <x:c r="O3304" s="117" t="str">
        <x:v>Delegate</x:v>
      </x:c>
      <x:c r="P3304" s="120" t="n">
        <x:v>46164.55554398148</x:v>
      </x:c>
      <x:c r="Q3304" s="117" t="str">
        <x:v>Delegate</x:v>
      </x:c>
      <x:c r="R3304" s="117" t="str">
        <x:v>Update comments</x:v>
      </x:c>
      <x:c r="S3304" s="119" t="str">
        <x:v>05/21/2026 (BW) - Updating the choices for returns to, if selecting they'll use on a later work order, that it must be the same work order.
Added a notes update for core exchange so notes can be passed to the QA team.
05/22/2026 (BW) – Allow marking Part Assigned and Part Quoted items as Received, in addition to Part En-Route</x:v>
      </x:c>
    </x:row>
    <x:row r="3305" ht="30" customHeight="1">
      <x:c r="A3305" s="117" t="str">
        <x:v>Update_comments</x:v>
      </x:c>
      <x:c r="B3305" s="117" t="str">
        <x:v>300Ro00000Pz0kzIAB</x:v>
      </x:c>
      <x:c r="C3305" s="117" t="str">
        <x:v>301Ro000016QYmrIAG</x:v>
      </x:c>
      <x:c r="D3305" s="118" t="n">
        <x:v>171</x:v>
      </x:c>
      <x:c r="E3305" s="117" t="str">
        <x:v>Obsolete</x:v>
      </x:c>
      <x:c r="F3305" s="117" t="str">
        <x:v>No</x:v>
      </x:c>
      <x:c r="G3305" s="117" t="str">
        <x:v>No</x:v>
      </x:c>
      <x:c r="H3305" s="117" t="str">
        <x:v>FieldServiceMobile</x:v>
      </x:c>
      <x:c r="I3305" s="118"/>
      <x:c r="J3305" s="117" t="str">
        <x:v>unmanaged</x:v>
      </x:c>
      <x:c r="K3305" s="123" t="b">
        <x:v>0</x:v>
      </x:c>
      <x:c r="L3305" s="117"/>
      <x:c r="M3305" s="118"/>
      <x:c r="N3305" s="120" t="n">
        <x:v>46164.56238425926</x:v>
      </x:c>
      <x:c r="O3305" s="117" t="str">
        <x:v>Delegate</x:v>
      </x:c>
      <x:c r="P3305" s="120" t="n">
        <x:v>46164.56465277778</x:v>
      </x:c>
      <x:c r="Q3305" s="117" t="str">
        <x:v>Delegate</x:v>
      </x:c>
      <x:c r="R3305" s="117" t="str">
        <x:v>Update comments</x:v>
      </x:c>
      <x:c r="S3305" s="119" t="str">
        <x:v>05/21/2026 (BW) - Updating the choices for returns to, if selecting they'll use on a later work order, that it must be the same work order.
Added a notes update for core exchange so notes can be passed to the QA team.
05/22/2026 (BW) – Allow marking Part Assigned and Part Quoted items as Received, in addition to Part En-Route</x:v>
      </x:c>
    </x:row>
    <x:row r="3306" ht="30" customHeight="1">
      <x:c r="A3306" s="117" t="str">
        <x:v>Update_comments</x:v>
      </x:c>
      <x:c r="B3306" s="117" t="str">
        <x:v>300Ro00000Pz0kzIAB</x:v>
      </x:c>
      <x:c r="C3306" s="117" t="str">
        <x:v>301Ro000016QtWNIA0</x:v>
      </x:c>
      <x:c r="D3306" s="118" t="n">
        <x:v>172</x:v>
      </x:c>
      <x:c r="E3306" s="117" t="str">
        <x:v>Draft</x:v>
      </x:c>
      <x:c r="F3306" s="117" t="str">
        <x:v>No</x:v>
      </x:c>
      <x:c r="G3306" s="117" t="str">
        <x:v>No</x:v>
      </x:c>
      <x:c r="H3306" s="117" t="str">
        <x:v>FieldServiceMobile</x:v>
      </x:c>
      <x:c r="I3306" s="118"/>
      <x:c r="J3306" s="117" t="str">
        <x:v>unmanaged</x:v>
      </x:c>
      <x:c r="K3306" s="123" t="b">
        <x:v>0</x:v>
      </x:c>
      <x:c r="L3306" s="117"/>
      <x:c r="M3306" s="118"/>
      <x:c r="N3306" s="120" t="n">
        <x:v>46164.60596064815</x:v>
      </x:c>
      <x:c r="O3306" s="117" t="str">
        <x:v>Delegate</x:v>
      </x:c>
      <x:c r="P3306" s="120" t="n">
        <x:v>46164.60623842593</x:v>
      </x:c>
      <x:c r="Q3306" s="117" t="str">
        <x:v>Delegate</x:v>
      </x:c>
      <x:c r="R3306" s="117" t="str">
        <x:v>Update comments</x:v>
      </x:c>
      <x:c r="S3306" s="119" t="str">
        <x:v>05/21/2026 (BW) - Updating the choices for returns to, if selecting they'll use on a later work order, that it must be the same work order.
Added a notes update for core exchange so notes can be passed to the QA team.
05/22/2026 (BW) – Allow marking Part Assigned and Part Quoted items as Received, in addition to Part En-Route</x:v>
      </x:c>
    </x:row>
    <x:row r="3307" ht="30" customHeight="1">
      <x:c r="A3307" s="117" t="str">
        <x:v>Update_comments</x:v>
      </x:c>
      <x:c r="B3307" s="117" t="str">
        <x:v>300Ro00000Pz0kzIAB</x:v>
      </x:c>
      <x:c r="C3307" s="117" t="str">
        <x:v>301Ro000016QuXGIA0</x:v>
      </x:c>
      <x:c r="D3307" s="118" t="n">
        <x:v>173</x:v>
      </x:c>
      <x:c r="E3307" s="117" t="str">
        <x:v>Obsolete</x:v>
      </x:c>
      <x:c r="F3307" s="117" t="str">
        <x:v>No</x:v>
      </x:c>
      <x:c r="G3307" s="117" t="str">
        <x:v>No</x:v>
      </x:c>
      <x:c r="H3307" s="117" t="str">
        <x:v>FieldServiceMobile</x:v>
      </x:c>
      <x:c r="I3307" s="118"/>
      <x:c r="J3307" s="117" t="str">
        <x:v>unmanaged</x:v>
      </x:c>
      <x:c r="K3307" s="123" t="b">
        <x:v>0</x:v>
      </x:c>
      <x:c r="L3307" s="117"/>
      <x:c r="M3307" s="118"/>
      <x:c r="N3307" s="120" t="n">
        <x:v>46164.61399305556</x:v>
      </x:c>
      <x:c r="O3307" s="117" t="str">
        <x:v>Delegate</x:v>
      </x:c>
      <x:c r="P3307" s="120" t="n">
        <x:v>46164.614375</x:v>
      </x:c>
      <x:c r="Q3307" s="117" t="str">
        <x:v>Delegate</x:v>
      </x:c>
      <x:c r="R3307" s="117" t="str">
        <x:v>Update comments</x:v>
      </x:c>
      <x:c r="S3307" s="119" t="str">
        <x:v>05/22/2026 (BW) - Updating so that it allows me to see Part Assigned, Part Enroute, and Part Quoted for the received product line</x:v>
      </x:c>
    </x:row>
    <x:row r="3308" ht="30" customHeight="1">
      <x:c r="A3308" s="117" t="str">
        <x:v>Update_comments</x:v>
      </x:c>
      <x:c r="B3308" s="117" t="str">
        <x:v>300Ro00000Pz0kzIAB</x:v>
      </x:c>
      <x:c r="C3308" s="117" t="str">
        <x:v>301Ro000016R3U5IAK</x:v>
      </x:c>
      <x:c r="D3308" s="118" t="n">
        <x:v>174</x:v>
      </x:c>
      <x:c r="E3308" s="117" t="str">
        <x:v>Obsolete</x:v>
      </x:c>
      <x:c r="F3308" s="117" t="str">
        <x:v>No</x:v>
      </x:c>
      <x:c r="G3308" s="117" t="str">
        <x:v>No</x:v>
      </x:c>
      <x:c r="H3308" s="117" t="str">
        <x:v>FieldServiceMobile</x:v>
      </x:c>
      <x:c r="I3308" s="118"/>
      <x:c r="J3308" s="117" t="str">
        <x:v>unmanaged</x:v>
      </x:c>
      <x:c r="K3308" s="123" t="b">
        <x:v>0</x:v>
      </x:c>
      <x:c r="L3308" s="117"/>
      <x:c r="M3308" s="118"/>
      <x:c r="N3308" s="120" t="n">
        <x:v>46164.617951388886</x:v>
      </x:c>
      <x:c r="O3308" s="117" t="str">
        <x:v>Delegate</x:v>
      </x:c>
      <x:c r="P3308" s="120" t="n">
        <x:v>46164.61834490741</x:v>
      </x:c>
      <x:c r="Q3308" s="117" t="str">
        <x:v>Delegate</x:v>
      </x:c>
      <x:c r="R3308" s="117" t="str">
        <x:v>Update comments</x:v>
      </x:c>
      <x:c r="S3308" s="119" t="str">
        <x:v>05/22/2026 (BW) - Updating so that it allows me to see Part Assigned, Part Enroute, and Part Quoted for the received product line</x:v>
      </x:c>
    </x:row>
    <x:row r="3309" ht="30" customHeight="1">
      <x:c r="A3309" s="117" t="str">
        <x:v>Update_comments</x:v>
      </x:c>
      <x:c r="B3309" s="117" t="str">
        <x:v>300Ro00000Pz0kzIAB</x:v>
      </x:c>
      <x:c r="C3309" s="117" t="str">
        <x:v>301Ro000016T20uIAC</x:v>
      </x:c>
      <x:c r="D3309" s="118" t="n">
        <x:v>175</x:v>
      </x:c>
      <x:c r="E3309" s="117" t="str">
        <x:v>Obsolete</x:v>
      </x:c>
      <x:c r="F3309" s="117" t="str">
        <x:v>No</x:v>
      </x:c>
      <x:c r="G3309" s="117" t="str">
        <x:v>No</x:v>
      </x:c>
      <x:c r="H3309" s="117" t="str">
        <x:v>FieldServiceMobile</x:v>
      </x:c>
      <x:c r="I3309" s="118"/>
      <x:c r="J3309" s="117" t="str">
        <x:v>unmanaged</x:v>
      </x:c>
      <x:c r="K3309" s="123" t="b">
        <x:v>0</x:v>
      </x:c>
      <x:c r="L3309" s="117"/>
      <x:c r="M3309" s="118"/>
      <x:c r="N3309" s="120" t="n">
        <x:v>46164.86513888889</x:v>
      </x:c>
      <x:c r="O3309" s="117" t="str">
        <x:v>Delegate</x:v>
      </x:c>
      <x:c r="P3309" s="120" t="n">
        <x:v>46164.865578703706</x:v>
      </x:c>
      <x:c r="Q3309" s="117" t="str">
        <x:v>Delegate</x:v>
      </x:c>
      <x:c r="R3309" s="117" t="str">
        <x:v>Update comments</x:v>
      </x:c>
      <x:c r="S3309" s="119" t="str">
        <x:v>05/22/2026 (BW) - Re-structuring the order of some of the questions</x:v>
      </x:c>
    </x:row>
    <x:row r="3310" ht="30" customHeight="1">
      <x:c r="A3310" s="117" t="str">
        <x:v>Update_comments</x:v>
      </x:c>
      <x:c r="B3310" s="117" t="str">
        <x:v>300Ro00000Pz0kzIAB</x:v>
      </x:c>
      <x:c r="C3310" s="117" t="str">
        <x:v>301Ro000016l6HKIAY</x:v>
      </x:c>
      <x:c r="D3310" s="118" t="n">
        <x:v>176</x:v>
      </x:c>
      <x:c r="E3310" s="117" t="str">
        <x:v>Obsolete</x:v>
      </x:c>
      <x:c r="F3310" s="117" t="str">
        <x:v>No</x:v>
      </x:c>
      <x:c r="G3310" s="117" t="str">
        <x:v>No</x:v>
      </x:c>
      <x:c r="H3310" s="117" t="str">
        <x:v>FieldServiceMobile</x:v>
      </x:c>
      <x:c r="I3310" s="118"/>
      <x:c r="J3310" s="117" t="str">
        <x:v>unmanaged</x:v>
      </x:c>
      <x:c r="K3310" s="123" t="b">
        <x:v>0</x:v>
      </x:c>
      <x:c r="L3310" s="117"/>
      <x:c r="M3310" s="118"/>
      <x:c r="N3310" s="120" t="n">
        <x:v>46168.876979166664</x:v>
      </x:c>
      <x:c r="O3310" s="117" t="str">
        <x:v>Delegate</x:v>
      </x:c>
      <x:c r="P3310" s="120" t="n">
        <x:v>46170.54292824074</x:v>
      </x:c>
      <x:c r="Q3310" s="117" t="str">
        <x:v>Sacha Pearce</x:v>
      </x:c>
      <x:c r="R3310" s="117" t="str">
        <x:v>Update comments</x:v>
      </x:c>
      <x:c r="S3310" s="119" t="str">
        <x:v>05/26/2026 (BW) - Updating for Return to trigger statuses appropriately</x:v>
      </x:c>
    </x:row>
    <x:row r="3311" ht="30" customHeight="1">
      <x:c r="A3311" s="117" t="str">
        <x:v>Update_comments</x:v>
      </x:c>
      <x:c r="B3311" s="117" t="str">
        <x:v>300Ro00000Pz0kzIAB</x:v>
      </x:c>
      <x:c r="C3311" s="117" t="str">
        <x:v>301Ro000016w0OhIAI</x:v>
      </x:c>
      <x:c r="D3311" s="118" t="n">
        <x:v>177</x:v>
      </x:c>
      <x:c r="E3311" s="117" t="str">
        <x:v>Obsolete</x:v>
      </x:c>
      <x:c r="F3311" s="117" t="str">
        <x:v>No</x:v>
      </x:c>
      <x:c r="G3311" s="117" t="str">
        <x:v>No</x:v>
      </x:c>
      <x:c r="H3311" s="117" t="str">
        <x:v>FieldServiceMobile</x:v>
      </x:c>
      <x:c r="I3311" s="118"/>
      <x:c r="J3311" s="117" t="str">
        <x:v>unmanaged</x:v>
      </x:c>
      <x:c r="K3311" s="123" t="b">
        <x:v>0</x:v>
      </x:c>
      <x:c r="L3311" s="117"/>
      <x:c r="M3311" s="118"/>
      <x:c r="N3311" s="120" t="n">
        <x:v>46170.538298611114</x:v>
      </x:c>
      <x:c r="O3311" s="117" t="str">
        <x:v>Delegate</x:v>
      </x:c>
      <x:c r="P3311" s="120" t="n">
        <x:v>46170.53880787037</x:v>
      </x:c>
      <x:c r="Q3311" s="117" t="str">
        <x:v>Delegate</x:v>
      </x:c>
      <x:c r="R3311" s="117" t="str">
        <x:v>Update comments</x:v>
      </x:c>
      <x:c r="S3311" s="119" t="str">
        <x:v>05/26/2026 (BW) - Saving a new version to introduce RMA processing into the UK steps.</x:v>
      </x:c>
    </x:row>
    <x:row r="3312" ht="30" customHeight="1">
      <x:c r="A3312" s="117" t="str">
        <x:v>Update_comments</x:v>
      </x:c>
      <x:c r="B3312" s="117" t="str">
        <x:v>300Ro00000Pz0kzIAB</x:v>
      </x:c>
      <x:c r="C3312" s="117" t="str">
        <x:v>301Ro000016va3fIAA</x:v>
      </x:c>
      <x:c r="D3312" s="118" t="n">
        <x:v>178</x:v>
      </x:c>
      <x:c r="E3312" s="117" t="str">
        <x:v>InvalidDraft</x:v>
      </x:c>
      <x:c r="F3312" s="117" t="str">
        <x:v>No</x:v>
      </x:c>
      <x:c r="G3312" s="117" t="str">
        <x:v>No</x:v>
      </x:c>
      <x:c r="H3312" s="117" t="str">
        <x:v>FieldServiceMobile</x:v>
      </x:c>
      <x:c r="I3312" s="118"/>
      <x:c r="J3312" s="117" t="str">
        <x:v>unmanaged</x:v>
      </x:c>
      <x:c r="K3312" s="123" t="b">
        <x:v>0</x:v>
      </x:c>
      <x:c r="L3312" s="117"/>
      <x:c r="M3312" s="118"/>
      <x:c r="N3312" s="120" t="n">
        <x:v>46170.555914351855</x:v>
      </x:c>
      <x:c r="O3312" s="117" t="str">
        <x:v>Delegate</x:v>
      </x:c>
      <x:c r="P3312" s="120" t="n">
        <x:v>46170.5562037037</x:v>
      </x:c>
      <x:c r="Q3312" s="117" t="str">
        <x:v>Delegate</x:v>
      </x:c>
      <x:c r="R3312" s="117" t="str">
        <x:v>Update comments</x:v>
      </x:c>
      <x:c r="S3312" s="119" t="str">
        <x:v>05/26/2026 (BW) - Saving a new version to introduce RMA processing into the UK steps.
05/28/2026 (BW) – Added review screen for straight labor and travel lines, enabling deletion before parts ordering.</x:v>
      </x:c>
    </x:row>
    <x:row r="3313" ht="30" customHeight="1">
      <x:c r="A3313" s="117" t="str">
        <x:v>Update_comments</x:v>
      </x:c>
      <x:c r="B3313" s="117" t="str">
        <x:v>300Ro00000Pz0kzIAB</x:v>
      </x:c>
      <x:c r="C3313" s="117" t="str">
        <x:v>301Ro000016vo7OIAQ</x:v>
      </x:c>
      <x:c r="D3313" s="118" t="n">
        <x:v>179</x:v>
      </x:c>
      <x:c r="E3313" s="117" t="str">
        <x:v>Obsolete</x:v>
      </x:c>
      <x:c r="F3313" s="117" t="str">
        <x:v>No</x:v>
      </x:c>
      <x:c r="G3313" s="117" t="str">
        <x:v>No</x:v>
      </x:c>
      <x:c r="H3313" s="117" t="str">
        <x:v>FieldServiceMobile</x:v>
      </x:c>
      <x:c r="I3313" s="118"/>
      <x:c r="J3313" s="117" t="str">
        <x:v>unmanaged</x:v>
      </x:c>
      <x:c r="K3313" s="123" t="b">
        <x:v>0</x:v>
      </x:c>
      <x:c r="L3313" s="117"/>
      <x:c r="M3313" s="118"/>
      <x:c r="N3313" s="120" t="n">
        <x:v>46170.55971064815</x:v>
      </x:c>
      <x:c r="O3313" s="117" t="str">
        <x:v>Delegate</x:v>
      </x:c>
      <x:c r="P3313" s="120" t="n">
        <x:v>46170.56054398148</x:v>
      </x:c>
      <x:c r="Q3313" s="117" t="str">
        <x:v>Delegate</x:v>
      </x:c>
      <x:c r="R3313" s="117" t="str">
        <x:v>Update comments</x:v>
      </x:c>
      <x:c r="S3313" s="119" t="str">
        <x:v>05/28/2026 (BW) - Shifting the generation of Travel and Labor Lines to before the question to close out.</x:v>
      </x:c>
    </x:row>
    <x:row r="3314" ht="30" customHeight="1">
      <x:c r="A3314" s="117" t="str">
        <x:v>Update_comments</x:v>
      </x:c>
      <x:c r="B3314" s="117" t="str">
        <x:v>300Ro00000Pz0kzIAB</x:v>
      </x:c>
      <x:c r="C3314" s="117" t="str">
        <x:v>301Ro00001708cAIAQ</x:v>
      </x:c>
      <x:c r="D3314" s="118" t="n">
        <x:v>180</x:v>
      </x:c>
      <x:c r="E3314" s="117" t="str">
        <x:v>Obsolete</x:v>
      </x:c>
      <x:c r="F3314" s="117" t="str">
        <x:v>No</x:v>
      </x:c>
      <x:c r="G3314" s="117" t="str">
        <x:v>No</x:v>
      </x:c>
      <x:c r="H3314" s="117" t="str">
        <x:v>FieldServiceMobile</x:v>
      </x:c>
      <x:c r="I3314" s="118"/>
      <x:c r="J3314" s="117" t="str">
        <x:v>unmanaged</x:v>
      </x:c>
      <x:c r="K3314" s="123" t="b">
        <x:v>0</x:v>
      </x:c>
      <x:c r="L3314" s="117"/>
      <x:c r="M3314" s="118"/>
      <x:c r="N3314" s="120" t="n">
        <x:v>46170.88538194444</x:v>
      </x:c>
      <x:c r="O3314" s="117" t="str">
        <x:v>Delegate</x:v>
      </x:c>
      <x:c r="P3314" s="120" t="n">
        <x:v>46170.885775462964</x:v>
      </x:c>
      <x:c r="Q3314" s="117" t="str">
        <x:v>Delegate</x:v>
      </x:c>
      <x:c r="R3314" s="117" t="str">
        <x:v>Update comments</x:v>
      </x:c>
      <x:c r="S3314" s="119" t="str">
        <x:v>05/28/2026 (BW) - Shifting the generation of Travel and Labor Lines to before the question to close out.
05/28/2026 (BW) – Added Review Labor &amp; Travel Lines screen with MultiSelectCheckboxes allowing deletion of straight labor/travel lines before parts ordering.</x:v>
      </x:c>
    </x:row>
    <x:row r="3315" ht="30" customHeight="1">
      <x:c r="A3315" s="117" t="str">
        <x:v>Update_comments</x:v>
      </x:c>
      <x:c r="B3315" s="117" t="str">
        <x:v>300Ro00000Pz0kzIAB</x:v>
      </x:c>
      <x:c r="C3315" s="117" t="str">
        <x:v>301Ro000016zNWnIAM</x:v>
      </x:c>
      <x:c r="D3315" s="118" t="n">
        <x:v>181</x:v>
      </x:c>
      <x:c r="E3315" s="117" t="str">
        <x:v>Obsolete</x:v>
      </x:c>
      <x:c r="F3315" s="117" t="str">
        <x:v>No</x:v>
      </x:c>
      <x:c r="G3315" s="117" t="str">
        <x:v>No</x:v>
      </x:c>
      <x:c r="H3315" s="117" t="str">
        <x:v>FieldServiceMobile</x:v>
      </x:c>
      <x:c r="I3315" s="118"/>
      <x:c r="J3315" s="117" t="str">
        <x:v>unmanaged</x:v>
      </x:c>
      <x:c r="K3315" s="123" t="b">
        <x:v>0</x:v>
      </x:c>
      <x:c r="L3315" s="117"/>
      <x:c r="M3315" s="118"/>
      <x:c r="N3315" s="120" t="n">
        <x:v>46170.816782407404</x:v>
      </x:c>
      <x:c r="O3315" s="117" t="str">
        <x:v>Delegate</x:v>
      </x:c>
      <x:c r="P3315" s="120" t="n">
        <x:v>46170.81715277778</x:v>
      </x:c>
      <x:c r="Q3315" s="117" t="str">
        <x:v>Delegate</x:v>
      </x:c>
      <x:c r="R3315" s="117" t="str">
        <x:v>Update comments</x:v>
      </x:c>
      <x:c r="S3315" s="119" t="str">
        <x:v>05/28/2026 (BW) - Moving Additional Engineers Question</x:v>
      </x:c>
    </x:row>
    <x:row r="3316" ht="30" customHeight="1">
      <x:c r="A3316" s="117" t="str">
        <x:v>Update_comments</x:v>
      </x:c>
      <x:c r="B3316" s="117" t="str">
        <x:v>300Ro00000Pz0kzIAB</x:v>
      </x:c>
      <x:c r="C3316" s="117" t="str">
        <x:v>301Ro000016zShmIAE</x:v>
      </x:c>
      <x:c r="D3316" s="118" t="n">
        <x:v>182</x:v>
      </x:c>
      <x:c r="E3316" s="117" t="str">
        <x:v>Draft</x:v>
      </x:c>
      <x:c r="F3316" s="117" t="str">
        <x:v>No</x:v>
      </x:c>
      <x:c r="G3316" s="117" t="str">
        <x:v>No</x:v>
      </x:c>
      <x:c r="H3316" s="117" t="str">
        <x:v>FieldServiceMobile</x:v>
      </x:c>
      <x:c r="I3316" s="118"/>
      <x:c r="J3316" s="117" t="str">
        <x:v>unmanaged</x:v>
      </x:c>
      <x:c r="K3316" s="123" t="b">
        <x:v>0</x:v>
      </x:c>
      <x:c r="L3316" s="117"/>
      <x:c r="M3316" s="118"/>
      <x:c r="N3316" s="120" t="n">
        <x:v>46170.82451388889</x:v>
      </x:c>
      <x:c r="O3316" s="117" t="str">
        <x:v>Delegate</x:v>
      </x:c>
      <x:c r="P3316" s="120" t="n">
        <x:v>46170.82465277778</x:v>
      </x:c>
      <x:c r="Q3316" s="117" t="str">
        <x:v>Delegate</x:v>
      </x:c>
      <x:c r="R3316" s="117" t="str">
        <x:v>Update comments</x:v>
      </x:c>
      <x:c r="S3316" s="119" t="str">
        <x:v>05/28/2026 (BW) - Removing the old Adiditonal Engineer</x:v>
      </x:c>
    </x:row>
    <x:row r="3317" ht="30" customHeight="1">
      <x:c r="A3317" s="117" t="str">
        <x:v>Update_comments</x:v>
      </x:c>
      <x:c r="B3317" s="117" t="str">
        <x:v>300Ro00000Pz0kzIAB</x:v>
      </x:c>
      <x:c r="C3317" s="117" t="str">
        <x:v>301Ro000016zroHIAQ</x:v>
      </x:c>
      <x:c r="D3317" s="118" t="n">
        <x:v>183</x:v>
      </x:c>
      <x:c r="E3317" s="117" t="str">
        <x:v>Obsolete</x:v>
      </x:c>
      <x:c r="F3317" s="117" t="str">
        <x:v>No</x:v>
      </x:c>
      <x:c r="G3317" s="117" t="str">
        <x:v>No</x:v>
      </x:c>
      <x:c r="H3317" s="117" t="str">
        <x:v>FieldServiceMobile</x:v>
      </x:c>
      <x:c r="I3317" s="118"/>
      <x:c r="J3317" s="117" t="str">
        <x:v>unmanaged</x:v>
      </x:c>
      <x:c r="K3317" s="123" t="b">
        <x:v>0</x:v>
      </x:c>
      <x:c r="L3317" s="117"/>
      <x:c r="M3317" s="118"/>
      <x:c r="N3317" s="120" t="n">
        <x:v>46170.89099537037</x:v>
      </x:c>
      <x:c r="O3317" s="117" t="str">
        <x:v>Delegate</x:v>
      </x:c>
      <x:c r="P3317" s="120" t="n">
        <x:v>46170.891550925924</x:v>
      </x:c>
      <x:c r="Q3317" s="117" t="str">
        <x:v>Delegate</x:v>
      </x:c>
      <x:c r="R3317" s="117" t="str">
        <x:v>Update comments</x:v>
      </x:c>
      <x:c r="S3317" s="119" t="str">
        <x:v>05/28/2026 (BW) - Shifting the generation of Travel and Labor Lines to before the question to close out.
05/28/2026 (BW) – Added Review Labor &amp; Travel Lines screen with MultiSelectCheckboxes allowing deletion of straight labor/travel lines before parts ordering.</x:v>
      </x:c>
    </x:row>
    <x:row r="3318" ht="30" customHeight="1">
      <x:c r="A3318" s="117" t="str">
        <x:v>Update_comments</x:v>
      </x:c>
      <x:c r="B3318" s="117" t="str">
        <x:v>300Ro00000Pz0kzIAB</x:v>
      </x:c>
      <x:c r="C3318" s="117" t="str">
        <x:v>301Ro000016zwJGIAY</x:v>
      </x:c>
      <x:c r="D3318" s="118" t="n">
        <x:v>184</x:v>
      </x:c>
      <x:c r="E3318" s="117" t="str">
        <x:v>Obsolete</x:v>
      </x:c>
      <x:c r="F3318" s="117" t="str">
        <x:v>No</x:v>
      </x:c>
      <x:c r="G3318" s="117" t="str">
        <x:v>No</x:v>
      </x:c>
      <x:c r="H3318" s="117" t="str">
        <x:v>FieldServiceMobile</x:v>
      </x:c>
      <x:c r="I3318" s="118"/>
      <x:c r="J3318" s="117" t="str">
        <x:v>unmanaged</x:v>
      </x:c>
      <x:c r="K3318" s="123" t="b">
        <x:v>0</x:v>
      </x:c>
      <x:c r="L3318" s="117"/>
      <x:c r="M3318" s="118"/>
      <x:c r="N3318" s="120" t="n">
        <x:v>46170.89863425926</x:v>
      </x:c>
      <x:c r="O3318" s="117" t="str">
        <x:v>Delegate</x:v>
      </x:c>
      <x:c r="P3318" s="120" t="n">
        <x:v>46170.899502314816</x:v>
      </x:c>
      <x:c r="Q3318" s="117" t="str">
        <x:v>Delegate</x:v>
      </x:c>
      <x:c r="R3318" s="117" t="str">
        <x:v>Update comments</x:v>
      </x:c>
      <x:c r="S3318" s="119" t="str">
        <x:v>05/28/2026 (BW) - Shifting the generation of Travel and Labor Lines to before the question to close out.
05/28/2026 (BW) – Added Review Labor &amp; Travel Lines screen with MultiSelectCheckboxes allowing deletion of straight labor/travel lines before parts ordering.</x:v>
      </x:c>
    </x:row>
    <x:row r="3319" ht="30" customHeight="1">
      <x:c r="A3319" s="117" t="str">
        <x:v>Update_comments</x:v>
      </x:c>
      <x:c r="B3319" s="117" t="str">
        <x:v>300Ro00000Pz0kzIAB</x:v>
      </x:c>
      <x:c r="C3319" s="117" t="str">
        <x:v>301Ro000017wm4kIAA</x:v>
      </x:c>
      <x:c r="D3319" s="118" t="n">
        <x:v>185</x:v>
      </x:c>
      <x:c r="E3319" s="117" t="str">
        <x:v>Obsolete</x:v>
      </x:c>
      <x:c r="F3319" s="117" t="str">
        <x:v>No</x:v>
      </x:c>
      <x:c r="G3319" s="117" t="str">
        <x:v>No</x:v>
      </x:c>
      <x:c r="H3319" s="117" t="str">
        <x:v>FieldServiceMobile</x:v>
      </x:c>
      <x:c r="I3319" s="118"/>
      <x:c r="J3319" s="117" t="str">
        <x:v>unmanaged</x:v>
      </x:c>
      <x:c r="K3319" s="123" t="b">
        <x:v>0</x:v>
      </x:c>
      <x:c r="L3319" s="117"/>
      <x:c r="M3319" s="118"/>
      <x:c r="N3319" s="120" t="n">
        <x:v>46181.90361111111</x:v>
      </x:c>
      <x:c r="O3319" s="117" t="str">
        <x:v>Mindy Bender</x:v>
      </x:c>
      <x:c r="P3319" s="120" t="n">
        <x:v>46181.90398148148</x:v>
      </x:c>
      <x:c r="Q3319" s="117" t="str">
        <x:v>Mindy Bender</x:v>
      </x:c>
      <x:c r="R3319" s="117" t="str">
        <x:v>Update comments</x:v>
      </x:c>
      <x:c r="S3319" s="119" t="str">
        <x:v>06/08/2026 (MPB) - Fixed Core Exchange RMA to take out "Date Shipped" being null as it formulas on opportunity ship; updated line item description to verify and create RMA if it does go down that path; 05/28/2026 (BW) - Shifting the generation of Travel and Labor Lines to before the question to close out.
05/28/2026 (BW) – Added Review Labor &amp; Travel Lines screen with MultiSelectCheckboxes allowing deletion of straight labor/travel lines before parts ordering.</x:v>
      </x:c>
    </x:row>
    <x:row r="3320" ht="30" customHeight="1">
      <x:c r="A3320" s="117" t="str">
        <x:v>Update_comments</x:v>
      </x:c>
      <x:c r="B3320" s="117" t="str">
        <x:v>300Ro00000Pz0kzIAB</x:v>
      </x:c>
      <x:c r="C3320" s="117" t="str">
        <x:v>301Ro00001818b9IAA</x:v>
      </x:c>
      <x:c r="D3320" s="118" t="n">
        <x:v>186</x:v>
      </x:c>
      <x:c r="E3320" s="117" t="str">
        <x:v>Obsolete</x:v>
      </x:c>
      <x:c r="F3320" s="117" t="str">
        <x:v>No</x:v>
      </x:c>
      <x:c r="G3320" s="117" t="str">
        <x:v>No</x:v>
      </x:c>
      <x:c r="H3320" s="117" t="str">
        <x:v>FieldServiceMobile</x:v>
      </x:c>
      <x:c r="I3320" s="118"/>
      <x:c r="J3320" s="117" t="str">
        <x:v>unmanaged</x:v>
      </x:c>
      <x:c r="K3320" s="123" t="b">
        <x:v>0</x:v>
      </x:c>
      <x:c r="L3320" s="117"/>
      <x:c r="M3320" s="118"/>
      <x:c r="N3320" s="120" t="n">
        <x:v>46182.55541666667</x:v>
      </x:c>
      <x:c r="O3320" s="117" t="str">
        <x:v>Sacha Pearce</x:v>
      </x:c>
      <x:c r="P3320" s="120" t="n">
        <x:v>46182.555752314816</x:v>
      </x:c>
      <x:c r="Q3320" s="117" t="str">
        <x:v>Sacha Pearce</x:v>
      </x:c>
      <x:c r="R3320" s="117" t="str">
        <x:v>Update comments</x:v>
      </x:c>
      <x:c r="S3320" s="119" t="str">
        <x:v>06/09/2026 - SP - Removing the final email notification going to Sales Operations from the UK path.</x:v>
      </x:c>
    </x:row>
    <x:row r="3321" ht="30" customHeight="1">
      <x:c r="A3321" s="117" t="str">
        <x:v>Update_comments</x:v>
      </x:c>
      <x:c r="B3321" s="117" t="str">
        <x:v>300Ro00000Pz0kzIAB</x:v>
      </x:c>
      <x:c r="C3321" s="117" t="str">
        <x:v>301Ro000018qOajIAE</x:v>
      </x:c>
      <x:c r="D3321" s="118" t="n">
        <x:v>187</x:v>
      </x:c>
      <x:c r="E3321" s="117" t="str">
        <x:v>Obsolete</x:v>
      </x:c>
      <x:c r="F3321" s="117" t="str">
        <x:v>No</x:v>
      </x:c>
      <x:c r="G3321" s="117" t="str">
        <x:v>No</x:v>
      </x:c>
      <x:c r="H3321" s="117" t="str">
        <x:v>FieldServiceMobile</x:v>
      </x:c>
      <x:c r="I3321" s="118"/>
      <x:c r="J3321" s="117" t="str">
        <x:v>unmanaged</x:v>
      </x:c>
      <x:c r="K3321" s="123" t="b">
        <x:v>0</x:v>
      </x:c>
      <x:c r="L3321" s="117"/>
      <x:c r="M3321" s="118"/>
      <x:c r="N3321" s="120" t="n">
        <x:v>46191.003229166665</x:v>
      </x:c>
      <x:c r="O3321" s="117" t="str">
        <x:v>Mindy Bender</x:v>
      </x:c>
      <x:c r="P3321" s="120" t="n">
        <x:v>46191.00399305556</x:v>
      </x:c>
      <x:c r="Q3321" s="117" t="str">
        <x:v>Mindy Bender</x:v>
      </x:c>
      <x:c r="R3321" s="117" t="str">
        <x:v>Update comments</x:v>
      </x:c>
      <x:c r="S3321" s="119" t="str">
        <x:v>06/17/2026 - MPB - updating to include Block and Customer identifiers and remove chatter to Sales ops on missing some items.</x:v>
      </x:c>
    </x:row>
    <x:row r="3322" ht="30" customHeight="1">
      <x:c r="A3322" s="117" t="str">
        <x:v>Update_comments</x:v>
      </x:c>
      <x:c r="B3322" s="117" t="str">
        <x:v>300Ro00000Pz0kzIAB</x:v>
      </x:c>
      <x:c r="C3322" s="117" t="str">
        <x:v>301Ro000018wlxaIAA</x:v>
      </x:c>
      <x:c r="D3322" s="118" t="n">
        <x:v>188</x:v>
      </x:c>
      <x:c r="E3322" s="117" t="str">
        <x:v>Obsolete</x:v>
      </x:c>
      <x:c r="F3322" s="117" t="str">
        <x:v>No</x:v>
      </x:c>
      <x:c r="G3322" s="117" t="str">
        <x:v>No</x:v>
      </x:c>
      <x:c r="H3322" s="117" t="str">
        <x:v>FieldServiceMobile</x:v>
      </x:c>
      <x:c r="I3322" s="118"/>
      <x:c r="J3322" s="117" t="str">
        <x:v>unmanaged</x:v>
      </x:c>
      <x:c r="K3322" s="123" t="b">
        <x:v>0</x:v>
      </x:c>
      <x:c r="L3322" s="117"/>
      <x:c r="M3322" s="118"/>
      <x:c r="N3322" s="120" t="n">
        <x:v>46191.91116898148</x:v>
      </x:c>
      <x:c r="O3322" s="117" t="str">
        <x:v>Mindy Bender</x:v>
      </x:c>
      <x:c r="P3322" s="120" t="n">
        <x:v>46191.91253472222</x:v>
      </x:c>
      <x:c r="Q3322" s="117" t="str">
        <x:v>Mindy Bender</x:v>
      </x:c>
      <x:c r="R3322" s="117" t="str">
        <x:v>Update comments</x:v>
      </x:c>
      <x:c r="S3322" s="119" t="str">
        <x:v>06/18/2026 - MPB - updated to mark core removals as Part Removed | Core and RMA type to include Core Exchange RMAs</x:v>
      </x:c>
    </x:row>
    <x:row r="3323" ht="30" customHeight="1">
      <x:c r="A3323" s="117" t="str">
        <x:v>Update_comments</x:v>
      </x:c>
      <x:c r="B3323" s="117" t="str">
        <x:v>300Ro00000Pz0kzIAB</x:v>
      </x:c>
      <x:c r="C3323" s="117" t="str">
        <x:v>301Ro000018x19XIAQ</x:v>
      </x:c>
      <x:c r="D3323" s="118" t="n">
        <x:v>189</x:v>
      </x:c>
      <x:c r="E3323" s="117" t="str">
        <x:v>Obsolete</x:v>
      </x:c>
      <x:c r="F3323" s="117" t="str">
        <x:v>No</x:v>
      </x:c>
      <x:c r="G3323" s="117" t="str">
        <x:v>No</x:v>
      </x:c>
      <x:c r="H3323" s="117" t="str">
        <x:v>FieldServiceMobile</x:v>
      </x:c>
      <x:c r="I3323" s="118"/>
      <x:c r="J3323" s="117" t="str">
        <x:v>unmanaged</x:v>
      </x:c>
      <x:c r="K3323" s="123" t="b">
        <x:v>0</x:v>
      </x:c>
      <x:c r="L3323" s="117"/>
      <x:c r="M3323" s="118"/>
      <x:c r="N3323" s="120" t="n">
        <x:v>46191.91318287037</x:v>
      </x:c>
      <x:c r="O3323" s="117" t="str">
        <x:v>Mindy Bender</x:v>
      </x:c>
      <x:c r="P3323" s="120" t="n">
        <x:v>46191.91363425926</x:v>
      </x:c>
      <x:c r="Q3323" s="117" t="str">
        <x:v>Mindy Bender</x:v>
      </x:c>
      <x:c r="R3323" s="117" t="str">
        <x:v>Update comments</x:v>
      </x:c>
      <x:c r="S3323" s="119" t="str">
        <x:v>06/18/2026 - MPB - updated to mark core removals as Part Removed | Core and RMA type to include Core Exchange RMAs</x:v>
      </x:c>
    </x:row>
    <x:row r="3324" ht="30" customHeight="1">
      <x:c r="A3324" s="117" t="str">
        <x:v>Update_comments</x:v>
      </x:c>
      <x:c r="B3324" s="117" t="str">
        <x:v>300Ro00000Pz0kzIAB</x:v>
      </x:c>
      <x:c r="C3324" s="117" t="str">
        <x:v>301Ro00001A7lGuIAJ</x:v>
      </x:c>
      <x:c r="D3324" s="118" t="n">
        <x:v>190</x:v>
      </x:c>
      <x:c r="E3324" s="117" t="str">
        <x:v>Obsolete</x:v>
      </x:c>
      <x:c r="F3324" s="117" t="str">
        <x:v>No</x:v>
      </x:c>
      <x:c r="G3324" s="117" t="str">
        <x:v>No</x:v>
      </x:c>
      <x:c r="H3324" s="117" t="str">
        <x:v>FieldServiceMobile</x:v>
      </x:c>
      <x:c r="I3324" s="118"/>
      <x:c r="J3324" s="117" t="str">
        <x:v>unmanaged</x:v>
      </x:c>
      <x:c r="K3324" s="123" t="b">
        <x:v>0</x:v>
      </x:c>
      <x:c r="L3324" s="117"/>
      <x:c r="M3324" s="118"/>
      <x:c r="N3324" s="120" t="n">
        <x:v>46204.86349537037</x:v>
      </x:c>
      <x:c r="O3324" s="117" t="str">
        <x:v>Mindy Bender</x:v>
      </x:c>
      <x:c r="P3324" s="120" t="n">
        <x:v>46204.863900462966</x:v>
      </x:c>
      <x:c r="Q3324" s="117" t="str">
        <x:v>Mindy Bender</x:v>
      </x:c>
      <x:c r="R3324" s="117" t="str">
        <x:v>Update comments</x:v>
      </x:c>
      <x:c r="S3324" s="119" t="str">
        <x:v>06/18/2026 - MPB - updated to mark core removals as Part Removed | Core and RMA type to include Core Exchange RMAs</x:v>
      </x:c>
    </x:row>
    <x:row r="3325" ht="30" customHeight="1">
      <x:c r="A3325" s="117" t="str">
        <x:v>Update_comments</x:v>
      </x:c>
      <x:c r="B3325" s="117" t="str">
        <x:v>300Ro00000Pz0kzIAB</x:v>
      </x:c>
      <x:c r="C3325" s="117" t="str">
        <x:v>301Ro00001A7YLNIA3</x:v>
      </x:c>
      <x:c r="D3325" s="118" t="n">
        <x:v>191</x:v>
      </x:c>
      <x:c r="E3325" s="117" t="str">
        <x:v>Obsolete</x:v>
      </x:c>
      <x:c r="F3325" s="117" t="str">
        <x:v>No</x:v>
      </x:c>
      <x:c r="G3325" s="117" t="str">
        <x:v>No</x:v>
      </x:c>
      <x:c r="H3325" s="117" t="str">
        <x:v>FieldServiceMobile</x:v>
      </x:c>
      <x:c r="I3325" s="118"/>
      <x:c r="J3325" s="117" t="str">
        <x:v>unmanaged</x:v>
      </x:c>
      <x:c r="K3325" s="123" t="b">
        <x:v>0</x:v>
      </x:c>
      <x:c r="L3325" s="117"/>
      <x:c r="M3325" s="118"/>
      <x:c r="N3325" s="120" t="n">
        <x:v>46204.87244212963</x:v>
      </x:c>
      <x:c r="O3325" s="117" t="str">
        <x:v>Mindy Bender</x:v>
      </x:c>
      <x:c r="P3325" s="120" t="n">
        <x:v>46258.62751157407</x:v>
      </x:c>
      <x:c r="Q3325" s="117" t="str">
        <x:v>Sacha Pearce</x:v>
      </x:c>
      <x:c r="R3325" s="117" t="str">
        <x:v>Update comments</x:v>
      </x:c>
      <x:c r="S3325" s="119" t="str">
        <x:v>06/18/2026 - MPB - updated to mark core removals as Part Removed | Core and RMA type to include Core Exchange RMAs</x:v>
      </x:c>
    </x:row>
    <x:row r="3326" ht="30" customHeight="1">
      <x:c r="A3326" s="117" t="str">
        <x:v>Update_comments</x:v>
      </x:c>
      <x:c r="B3326" s="117" t="str">
        <x:v>300Ro00000Pz0kzIAB</x:v>
      </x:c>
      <x:c r="C3326" s="117" t="str">
        <x:v>301Ro00001A7YLPIA3</x:v>
      </x:c>
      <x:c r="D3326" s="118" t="n">
        <x:v>192</x:v>
      </x:c>
      <x:c r="E3326" s="117" t="str">
        <x:v>Active</x:v>
      </x:c>
      <x:c r="F3326" s="117" t="str">
        <x:v>Yes</x:v>
      </x:c>
      <x:c r="G3326" s="117" t="str">
        <x:v>No</x:v>
      </x:c>
      <x:c r="H3326" s="117" t="str">
        <x:v>FieldServiceMobile</x:v>
      </x:c>
      <x:c r="I3326" s="118"/>
      <x:c r="J3326" s="117" t="str">
        <x:v>unmanaged</x:v>
      </x:c>
      <x:c r="K3326" s="123" t="b">
        <x:v>0</x:v>
      </x:c>
      <x:c r="L3326" s="117"/>
      <x:c r="M3326" s="118"/>
      <x:c r="N3326" s="120" t="n">
        <x:v>46204.87457175926</x:v>
      </x:c>
      <x:c r="O3326" s="117" t="str">
        <x:v>Mindy Bender</x:v>
      </x:c>
      <x:c r="P3326" s="120" t="n">
        <x:v>46258.62869212963</x:v>
      </x:c>
      <x:c r="Q3326" s="117" t="str">
        <x:v>Sacha Pearce</x:v>
      </x:c>
      <x:c r="R3326" s="117" t="str">
        <x:v>Update comments</x:v>
      </x:c>
      <x:c r="S3326" s="119" t="str">
        <x:v>07/01/2026 - MPB - Had to initialize Customer SR and Block Fields in BOTH work order and service appointment flows</x:v>
      </x:c>
    </x:row>
    <x:row r="3327" ht="30" customHeight="1">
      <x:c r="A3327" s="117" t="str">
        <x:v>Update_comments</x:v>
      </x:c>
      <x:c r="B3327" s="117" t="str">
        <x:v>300Ro00000Pz0kzIAB</x:v>
      </x:c>
      <x:c r="C3327" s="117" t="str">
        <x:v>301Ro00001CNGXhIAP</x:v>
      </x:c>
      <x:c r="D3327" s="118" t="n">
        <x:v>193</x:v>
      </x:c>
      <x:c r="E3327" s="117" t="str">
        <x:v>Obsolete</x:v>
      </x:c>
      <x:c r="F3327" s="117" t="str">
        <x:v>No</x:v>
      </x:c>
      <x:c r="G3327" s="117" t="str">
        <x:v>No</x:v>
      </x:c>
      <x:c r="H3327" s="117" t="str">
        <x:v>FieldServiceMobile</x:v>
      </x:c>
      <x:c r="I3327" s="118"/>
      <x:c r="J3327" s="117" t="str">
        <x:v>unmanaged</x:v>
      </x:c>
      <x:c r="K3327" s="123" t="b">
        <x:v>0</x:v>
      </x:c>
      <x:c r="L3327" s="117"/>
      <x:c r="M3327" s="118"/>
      <x:c r="N3327" s="120" t="n">
        <x:v>46230.45159722222</x:v>
      </x:c>
      <x:c r="O3327" s="117" t="str">
        <x:v>Sacha Pearce</x:v>
      </x:c>
      <x:c r="P3327" s="120" t="n">
        <x:v>46230.452152777776</x:v>
      </x:c>
      <x:c r="Q3327" s="117" t="str">
        <x:v>Sacha Pearce</x:v>
      </x:c>
      <x:c r="R3327" s="117" t="str">
        <x:v>Update comments</x:v>
      </x:c>
      <x:c r="S3327" s="119" t="str">
        <x:v>07/27/2026 - SP - Introducing an check for accidental damage into the UK path.</x:v>
      </x:c>
    </x:row>
    <x:row r="3328" ht="30" customHeight="1">
      <x:c r="A3328" s="117" t="str">
        <x:v>Update_comments</x:v>
      </x:c>
      <x:c r="B3328" s="117" t="str">
        <x:v>300Ro00000Pz0kzIAB</x:v>
      </x:c>
      <x:c r="C3328" s="117" t="str">
        <x:v>301jR000000LO5lQAG</x:v>
      </x:c>
      <x:c r="D3328" s="118" t="n">
        <x:v>194</x:v>
      </x:c>
      <x:c r="E3328" s="117" t="str">
        <x:v>Obsolete</x:v>
      </x:c>
      <x:c r="F3328" s="117" t="str">
        <x:v>No</x:v>
      </x:c>
      <x:c r="G3328" s="117" t="str">
        <x:v>No</x:v>
      </x:c>
      <x:c r="H3328" s="117" t="str">
        <x:v>FieldServiceMobile</x:v>
      </x:c>
      <x:c r="I3328" s="118"/>
      <x:c r="J3328" s="117" t="str">
        <x:v>unmanaged</x:v>
      </x:c>
      <x:c r="K3328" s="123" t="b">
        <x:v>0</x:v>
      </x:c>
      <x:c r="L3328" s="117"/>
      <x:c r="M3328" s="118"/>
      <x:c r="N3328" s="120" t="n">
        <x:v>46255.557071759256</x:v>
      </x:c>
      <x:c r="O3328" s="117" t="str">
        <x:v>Sacha Pearce</x:v>
      </x:c>
      <x:c r="P3328" s="120" t="n">
        <x:v>46255.56694444444</x:v>
      </x:c>
      <x:c r="Q3328" s="117" t="str">
        <x:v>Sacha Pearce</x:v>
      </x:c>
      <x:c r="R3328" s="117" t="str">
        <x:v>Update comments</x:v>
      </x:c>
      <x:c r="S3328" s="119" t="str">
        <x:v>08/21/2026 - SP - Introducing a route for Travel Day closeouts in the UK branch. Adding a decision to ensure that the "Travel Start" field is completed if left blank. Adding "Environment left in safe working condition?" check.</x:v>
      </x:c>
    </x:row>
    <x:row r="3329" ht="30" customHeight="1">
      <x:c r="A3329" s="117" t="str">
        <x:v>Update_comments</x:v>
      </x:c>
      <x:c r="B3329" s="117" t="str">
        <x:v>300Ro00000Pz0kzIAB</x:v>
      </x:c>
      <x:c r="C3329" s="117" t="str">
        <x:v>301jR000000LOvOQAW</x:v>
      </x:c>
      <x:c r="D3329" s="118" t="n">
        <x:v>195</x:v>
      </x:c>
      <x:c r="E3329" s="117" t="str">
        <x:v>Obsolete</x:v>
      </x:c>
      <x:c r="F3329" s="117" t="str">
        <x:v>No</x:v>
      </x:c>
      <x:c r="G3329" s="117" t="str">
        <x:v>No</x:v>
      </x:c>
      <x:c r="H3329" s="117" t="str">
        <x:v>FieldServiceMobile</x:v>
      </x:c>
      <x:c r="I3329" s="118"/>
      <x:c r="J3329" s="117" t="str">
        <x:v>unmanaged</x:v>
      </x:c>
      <x:c r="K3329" s="123" t="b">
        <x:v>0</x:v>
      </x:c>
      <x:c r="L3329" s="117"/>
      <x:c r="M3329" s="118"/>
      <x:c r="N3329" s="120" t="n">
        <x:v>46255.570185185185</x:v>
      </x:c>
      <x:c r="O3329" s="117" t="str">
        <x:v>Sacha Pearce</x:v>
      </x:c>
      <x:c r="P3329" s="120" t="n">
        <x:v>46255.57046296296</x:v>
      </x:c>
      <x:c r="Q3329" s="117" t="str">
        <x:v>Sacha Pearce</x:v>
      </x:c>
      <x:c r="R3329" s="117" t="str">
        <x:v>Update comments</x:v>
      </x:c>
      <x:c r="S3329" s="119" t="str">
        <x:v>08/21/2026 - SP - Adding text to the "Enter Travel Start" screen.</x:v>
      </x:c>
    </x:row>
    <x:row r="3330" ht="30" customHeight="1">
      <x:c r="A3330" s="117" t="str">
        <x:v>Update_comments</x:v>
      </x:c>
      <x:c r="B3330" s="117" t="str">
        <x:v>300Ro00000Pz0kzIAB</x:v>
      </x:c>
      <x:c r="C3330" s="117" t="str">
        <x:v>301jR000000SFCFQA4</x:v>
      </x:c>
      <x:c r="D3330" s="118" t="n">
        <x:v>196</x:v>
      </x:c>
      <x:c r="E3330" s="117" t="str">
        <x:v>Obsolete</x:v>
      </x:c>
      <x:c r="F3330" s="117" t="str">
        <x:v>No</x:v>
      </x:c>
      <x:c r="G3330" s="117" t="str">
        <x:v>No</x:v>
      </x:c>
      <x:c r="H3330" s="117" t="str">
        <x:v>FieldServiceMobile</x:v>
      </x:c>
      <x:c r="I3330" s="118"/>
      <x:c r="J3330" s="117" t="str">
        <x:v>unmanaged</x:v>
      </x:c>
      <x:c r="K3330" s="123" t="b">
        <x:v>0</x:v>
      </x:c>
      <x:c r="L3330" s="117"/>
      <x:c r="M3330" s="118"/>
      <x:c r="N3330" s="120" t="n">
        <x:v>46258.56925925926</x:v>
      </x:c>
      <x:c r="O3330" s="117" t="str">
        <x:v>Sacha Pearce</x:v>
      </x:c>
      <x:c r="P3330" s="120" t="n">
        <x:v>46258.56961805555</x:v>
      </x:c>
      <x:c r="Q3330" s="117" t="str">
        <x:v>Sacha Pearce</x:v>
      </x:c>
      <x:c r="R3330" s="117" t="str">
        <x:v>Update comments</x:v>
      </x:c>
      <x:c r="S3330" s="119" t="str">
        <x:v>08/21/2026 - SP - Introducing "varUpdateTravelStart" to the Flow for better debugging.</x:v>
      </x:c>
    </x:row>
    <x:row r="3331" ht="30" customHeight="1">
      <x:c r="A3331" s="117" t="str">
        <x:v>Update_comments</x:v>
      </x:c>
      <x:c r="B3331" s="117" t="str">
        <x:v>300Ro00000Pz0kzIAB</x:v>
      </x:c>
      <x:c r="C3331" s="117" t="str">
        <x:v>301jR000000SUMXQA4</x:v>
      </x:c>
      <x:c r="D3331" s="118" t="n">
        <x:v>197</x:v>
      </x:c>
      <x:c r="E3331" s="117" t="str">
        <x:v>Obsolete</x:v>
      </x:c>
      <x:c r="F3331" s="117" t="str">
        <x:v>No</x:v>
      </x:c>
      <x:c r="G3331" s="117" t="str">
        <x:v>No</x:v>
      </x:c>
      <x:c r="H3331" s="117" t="str">
        <x:v>FieldServiceMobile</x:v>
      </x:c>
      <x:c r="I3331" s="118"/>
      <x:c r="J3331" s="117" t="str">
        <x:v>unmanaged</x:v>
      </x:c>
      <x:c r="K3331" s="123" t="b">
        <x:v>0</x:v>
      </x:c>
      <x:c r="L3331" s="117"/>
      <x:c r="M3331" s="118"/>
      <x:c r="N3331" s="120" t="n">
        <x:v>46258.5737037037</x:v>
      </x:c>
      <x:c r="O3331" s="117" t="str">
        <x:v>Sacha Pearce</x:v>
      </x:c>
      <x:c r="P3331" s="120" t="n">
        <x:v>46258.57398148148</x:v>
      </x:c>
      <x:c r="Q3331" s="117" t="str">
        <x:v>Sacha Pearce</x:v>
      </x:c>
      <x:c r="R3331" s="117" t="str">
        <x:v>Update comments</x:v>
      </x:c>
      <x:c r="S3331" s="119" t="str">
        <x:v>08/21/2026 - SP - Changing logic to evaluate if "varTravelStart" is blank.</x:v>
      </x:c>
    </x:row>
    <x:row r="3332" ht="30" customHeight="1">
      <x:c r="A3332" s="117" t="str">
        <x:v>Update_comments</x:v>
      </x:c>
      <x:c r="B3332" s="117" t="str">
        <x:v>300Ro00000Pz0kzIAB</x:v>
      </x:c>
      <x:c r="C3332" s="117" t="str">
        <x:v>301jR000000STYZQA4</x:v>
      </x:c>
      <x:c r="D3332" s="118" t="n">
        <x:v>198</x:v>
      </x:c>
      <x:c r="E3332" s="117" t="str">
        <x:v>Obsolete</x:v>
      </x:c>
      <x:c r="F3332" s="117" t="str">
        <x:v>No</x:v>
      </x:c>
      <x:c r="G3332" s="117" t="str">
        <x:v>No</x:v>
      </x:c>
      <x:c r="H3332" s="117" t="str">
        <x:v>FieldServiceMobile</x:v>
      </x:c>
      <x:c r="I3332" s="118"/>
      <x:c r="J3332" s="117" t="str">
        <x:v>unmanaged</x:v>
      </x:c>
      <x:c r="K3332" s="123" t="b">
        <x:v>0</x:v>
      </x:c>
      <x:c r="L3332" s="117"/>
      <x:c r="M3332" s="118"/>
      <x:c r="N3332" s="120" t="n">
        <x:v>46258.57927083333</x:v>
      </x:c>
      <x:c r="O3332" s="117" t="str">
        <x:v>Sacha Pearce</x:v>
      </x:c>
      <x:c r="P3332" s="120" t="n">
        <x:v>46258.584641203706</x:v>
      </x:c>
      <x:c r="Q3332" s="117" t="str">
        <x:v>Sacha Pearce</x:v>
      </x:c>
      <x:c r="R3332" s="117" t="str">
        <x:v>Update comments</x:v>
      </x:c>
      <x:c r="S3332" s="119" t="str">
        <x:v>08/21/2026 - SP - Changing logic to evaluate if "varTravelStart" is blank.</x:v>
      </x:c>
    </x:row>
    <x:row r="3333" ht="30" customHeight="1">
      <x:c r="A3333" s="117" t="str">
        <x:v>Update_comments</x:v>
      </x:c>
      <x:c r="B3333" s="117" t="str">
        <x:v>300Ro00000Pz0kzIAB</x:v>
      </x:c>
      <x:c r="C3333" s="117" t="str">
        <x:v>301jR000000SNg3QAG</x:v>
      </x:c>
      <x:c r="D3333" s="118" t="n">
        <x:v>199</x:v>
      </x:c>
      <x:c r="E3333" s="117" t="str">
        <x:v>Obsolete</x:v>
      </x:c>
      <x:c r="F3333" s="117" t="str">
        <x:v>No</x:v>
      </x:c>
      <x:c r="G3333" s="117" t="str">
        <x:v>No</x:v>
      </x:c>
      <x:c r="H3333" s="117" t="str">
        <x:v>FieldServiceMobile</x:v>
      </x:c>
      <x:c r="I3333" s="118"/>
      <x:c r="J3333" s="117" t="str">
        <x:v>unmanaged</x:v>
      </x:c>
      <x:c r="K3333" s="123" t="b">
        <x:v>0</x:v>
      </x:c>
      <x:c r="L3333" s="117"/>
      <x:c r="M3333" s="118"/>
      <x:c r="N3333" s="120" t="n">
        <x:v>46258.58314814815</x:v>
      </x:c>
      <x:c r="O3333" s="117" t="str">
        <x:v>Sacha Pearce</x:v>
      </x:c>
      <x:c r="P3333" s="120" t="n">
        <x:v>46258.58342592593</x:v>
      </x:c>
      <x:c r="Q3333" s="117" t="str">
        <x:v>Sacha Pearce</x:v>
      </x:c>
      <x:c r="R3333" s="117" t="str">
        <x:v>Update comments</x:v>
      </x:c>
      <x:c r="S3333" s="119" t="str">
        <x:v>08/21/2026 - SP - Changing logic to evaluate if "varTravelStart" is blank.</x:v>
      </x:c>
    </x:row>
    <x:row r="3334" ht="30" customHeight="1">
      <x:c r="A3334" s="117" t="str">
        <x:v>Update_comments</x:v>
      </x:c>
      <x:c r="B3334" s="117" t="str">
        <x:v>300Ro00000Pz0kzIAB</x:v>
      </x:c>
      <x:c r="C3334" s="117" t="str">
        <x:v>301jR000000SQyuQAG</x:v>
      </x:c>
      <x:c r="D3334" s="118" t="n">
        <x:v>200</x:v>
      </x:c>
      <x:c r="E3334" s="117" t="str">
        <x:v>Obsolete</x:v>
      </x:c>
      <x:c r="F3334" s="117" t="str">
        <x:v>No</x:v>
      </x:c>
      <x:c r="G3334" s="117" t="str">
        <x:v>Yes</x:v>
      </x:c>
      <x:c r="H3334" s="117" t="str">
        <x:v>FieldServiceMobile</x:v>
      </x:c>
      <x:c r="I3334" s="118"/>
      <x:c r="J3334" s="117" t="str">
        <x:v>unmanaged</x:v>
      </x:c>
      <x:c r="K3334" s="123" t="b">
        <x:v>0</x:v>
      </x:c>
      <x:c r="L3334" s="117"/>
      <x:c r="M3334" s="118"/>
      <x:c r="N3334" s="120" t="n">
        <x:v>46258.59043981481</x:v>
      </x:c>
      <x:c r="O3334" s="117" t="str">
        <x:v>Sacha Pearce</x:v>
      </x:c>
      <x:c r="P3334" s="120" t="n">
        <x:v>46258.59081018518</x:v>
      </x:c>
      <x:c r="Q3334" s="117" t="str">
        <x:v>Sacha Pearce</x:v>
      </x:c>
      <x:c r="R3334" s="117" t="str">
        <x:v>Update comments</x:v>
      </x:c>
      <x:c r="S3334" s="119" t="str">
        <x:v>08/21/2026 - SP - Changing logic to evaluate if "varTravelStart" is blank.</x:v>
      </x:c>
    </x:row>
    <x:row r="3335" ht="30" customHeight="1">
      <x:c r="A3335" s="117" t="str">
        <x:v>Update_Credit_Memo_Amount_with_Line_Items</x:v>
      </x:c>
      <x:c r="B3335" s="117" t="str">
        <x:v>3005b00000113fYAAQ</x:v>
      </x:c>
      <x:c r="C3335" s="117" t="str">
        <x:v>3015b0000011MnBAAU</x:v>
      </x:c>
      <x:c r="D3335" s="118" t="n">
        <x:v>1</x:v>
      </x:c>
      <x:c r="E3335" s="117" t="str">
        <x:v>Obsolete</x:v>
      </x:c>
      <x:c r="F3335" s="117" t="str">
        <x:v>No</x:v>
      </x:c>
      <x:c r="G3335" s="117" t="str">
        <x:v>No</x:v>
      </x:c>
      <x:c r="H3335" s="117" t="str">
        <x:v>AutoLaunchedFlow</x:v>
      </x:c>
      <x:c r="I3335" s="118" t="n">
        <x:v>59</x:v>
      </x:c>
      <x:c r="J3335" s="117" t="str">
        <x:v>unmanaged</x:v>
      </x:c>
      <x:c r="K3335" s="123" t="b">
        <x:v>0</x:v>
      </x:c>
      <x:c r="L3335" s="117"/>
      <x:c r="M3335" s="118"/>
      <x:c r="N3335" s="120" t="n">
        <x:v>45271.51758101852</x:v>
      </x:c>
      <x:c r="O3335" s="117" t="str">
        <x:v>Delegate</x:v>
      </x:c>
      <x:c r="P3335" s="120" t="n">
        <x:v>45271.517962962964</x:v>
      </x:c>
      <x:c r="Q3335" s="117" t="str">
        <x:v>Delegate</x:v>
      </x:c>
      <x:c r="R3335" s="117" t="str">
        <x:v>Update Credit Memo Amount with Line Items</x:v>
      </x:c>
      <x:c r="S3335" s="119" t="str">
        <x:v>12/11/23 (BW) - Updates the credit memo amount when the opportunity line item amount changes.</x:v>
      </x:c>
    </x:row>
    <x:row r="3336" ht="30" customHeight="1">
      <x:c r="A3336" s="117" t="str">
        <x:v>Update_Credit_Memo_Amount_with_Line_Items</x:v>
      </x:c>
      <x:c r="B3336" s="117" t="str">
        <x:v>3005b00000113fYAAQ</x:v>
      </x:c>
      <x:c r="C3336" s="117" t="str">
        <x:v>3015b0000011MnGAAU</x:v>
      </x:c>
      <x:c r="D3336" s="118" t="n">
        <x:v>2</x:v>
      </x:c>
      <x:c r="E3336" s="117" t="str">
        <x:v>Obsolete</x:v>
      </x:c>
      <x:c r="F3336" s="117" t="str">
        <x:v>No</x:v>
      </x:c>
      <x:c r="G3336" s="117" t="str">
        <x:v>No</x:v>
      </x:c>
      <x:c r="H3336" s="117" t="str">
        <x:v>AutoLaunchedFlow</x:v>
      </x:c>
      <x:c r="I3336" s="118" t="n">
        <x:v>59</x:v>
      </x:c>
      <x:c r="J3336" s="117" t="str">
        <x:v>unmanaged</x:v>
      </x:c>
      <x:c r="K3336" s="123" t="b">
        <x:v>0</x:v>
      </x:c>
      <x:c r="L3336" s="117"/>
      <x:c r="M3336" s="118"/>
      <x:c r="N3336" s="120" t="n">
        <x:v>45271.52081018518</x:v>
      </x:c>
      <x:c r="O3336" s="117" t="str">
        <x:v>Delegate</x:v>
      </x:c>
      <x:c r="P3336" s="120" t="n">
        <x:v>45271.52342592592</x:v>
      </x:c>
      <x:c r="Q3336" s="117" t="str">
        <x:v>Delegate</x:v>
      </x:c>
      <x:c r="R3336" s="117" t="str">
        <x:v>Update Credit Memo Amount with Line Items</x:v>
      </x:c>
      <x:c r="S3336" s="119" t="str">
        <x:v>12/11/23 (BW) - Updating the triggering conditions to ensure multiple entry styles work.</x:v>
      </x:c>
    </x:row>
    <x:row r="3337" ht="30" customHeight="1">
      <x:c r="A3337" s="117" t="str">
        <x:v>Update_Credit_Memo_Amount_with_Line_Items</x:v>
      </x:c>
      <x:c r="B3337" s="117" t="str">
        <x:v>3005b00000113fYAAQ</x:v>
      </x:c>
      <x:c r="C3337" s="117" t="str">
        <x:v>301Ro00000IejVmIAJ</x:v>
      </x:c>
      <x:c r="D3337" s="118" t="n">
        <x:v>3</x:v>
      </x:c>
      <x:c r="E3337" s="117" t="str">
        <x:v>Obsolete</x:v>
      </x:c>
      <x:c r="F3337" s="117" t="str">
        <x:v>No</x:v>
      </x:c>
      <x:c r="G3337" s="117" t="str">
        <x:v>No</x:v>
      </x:c>
      <x:c r="H3337" s="117" t="str">
        <x:v>AutoLaunchedFlow</x:v>
      </x:c>
      <x:c r="I3337" s="118" t="n">
        <x:v>59</x:v>
      </x:c>
      <x:c r="J3337" s="117" t="str">
        <x:v>unmanaged</x:v>
      </x:c>
      <x:c r="K3337" s="123" t="b">
        <x:v>0</x:v>
      </x:c>
      <x:c r="L3337" s="117"/>
      <x:c r="M3337" s="118"/>
      <x:c r="N3337" s="120" t="n">
        <x:v>45512.660625</x:v>
      </x:c>
      <x:c r="O3337" s="117" t="str">
        <x:v>Delegate</x:v>
      </x:c>
      <x:c r="P3337" s="120" t="n">
        <x:v>45512.720972222225</x:v>
      </x:c>
      <x:c r="Q3337" s="117" t="str">
        <x:v>Delegate</x:v>
      </x:c>
      <x:c r="R3337" s="117" t="str">
        <x:v>Update Credit Memo Amount with Line Items</x:v>
      </x:c>
      <x:c r="S3337" s="119" t="str">
        <x:v>08/05/24 (BW) - Updated flow so that the credit memo amount is set upon creation of the line.</x:v>
      </x:c>
    </x:row>
    <x:row r="3338" ht="30" customHeight="1">
      <x:c r="A3338" s="117" t="str">
        <x:v>Update_Credit_Memo_Amount_with_Line_Items</x:v>
      </x:c>
      <x:c r="B3338" s="117" t="str">
        <x:v>3005b00000113fYAAQ</x:v>
      </x:c>
      <x:c r="C3338" s="117" t="str">
        <x:v>301Ro00000KOJIwIAP</x:v>
      </x:c>
      <x:c r="D3338" s="118" t="n">
        <x:v>4</x:v>
      </x:c>
      <x:c r="E3338" s="117" t="str">
        <x:v>Obsolete</x:v>
      </x:c>
      <x:c r="F3338" s="117" t="str">
        <x:v>No</x:v>
      </x:c>
      <x:c r="G3338" s="117" t="str">
        <x:v>No</x:v>
      </x:c>
      <x:c r="H3338" s="117" t="str">
        <x:v>AutoLaunchedFlow</x:v>
      </x:c>
      <x:c r="I3338" s="118" t="n">
        <x:v>59</x:v>
      </x:c>
      <x:c r="J3338" s="117" t="str">
        <x:v>unmanaged</x:v>
      </x:c>
      <x:c r="K3338" s="123" t="b">
        <x:v>0</x:v>
      </x:c>
      <x:c r="L3338" s="117"/>
      <x:c r="M3338" s="118"/>
      <x:c r="N3338" s="120" t="n">
        <x:v>45539.649988425925</x:v>
      </x:c>
      <x:c r="O3338" s="117" t="str">
        <x:v>Delegate</x:v>
      </x:c>
      <x:c r="P3338" s="120" t="n">
        <x:v>45539.651296296295</x:v>
      </x:c>
      <x:c r="Q3338" s="117" t="str">
        <x:v>Delegate</x:v>
      </x:c>
      <x:c r="R3338" s="117" t="str">
        <x:v>Update Credit Memo Amount with Line Items</x:v>
      </x:c>
      <x:c r="S3338" s="119" t="str">
        <x:v>09/04/24 (CDM) - Updated flow so that the UnitPrice is not just equal to cost, but Cost + Total Cost of Assets Used in Repair</x:v>
      </x:c>
    </x:row>
    <x:row r="3339" ht="30" customHeight="1">
      <x:c r="A3339" s="117" t="str">
        <x:v>Update_Credit_Memo_Amount_with_Line_Items</x:v>
      </x:c>
      <x:c r="B3339" s="117" t="str">
        <x:v>3005b00000113fYAAQ</x:v>
      </x:c>
      <x:c r="C3339" s="117" t="str">
        <x:v>301Ro00000LDTD2IAP</x:v>
      </x:c>
      <x:c r="D3339" s="118" t="n">
        <x:v>5</x:v>
      </x:c>
      <x:c r="E3339" s="117" t="str">
        <x:v>Obsolete</x:v>
      </x:c>
      <x:c r="F3339" s="117" t="str">
        <x:v>No</x:v>
      </x:c>
      <x:c r="G3339" s="117" t="str">
        <x:v>No</x:v>
      </x:c>
      <x:c r="H3339" s="117" t="str">
        <x:v>AutoLaunchedFlow</x:v>
      </x:c>
      <x:c r="I3339" s="118" t="n">
        <x:v>59</x:v>
      </x:c>
      <x:c r="J3339" s="117" t="str">
        <x:v>unmanaged</x:v>
      </x:c>
      <x:c r="K3339" s="123" t="b">
        <x:v>0</x:v>
      </x:c>
      <x:c r="L3339" s="117"/>
      <x:c r="M3339" s="118"/>
      <x:c r="N3339" s="120" t="n">
        <x:v>45552.53104166667</x:v>
      </x:c>
      <x:c r="O3339" s="117" t="str">
        <x:v>Delegate</x:v>
      </x:c>
      <x:c r="P3339" s="120" t="n">
        <x:v>45552.53108796296</x:v>
      </x:c>
      <x:c r="Q3339" s="117" t="str">
        <x:v>Delegate</x:v>
      </x:c>
      <x:c r="R3339" s="117" t="str">
        <x:v>Update Credit Memo Amount with Line Items</x:v>
      </x:c>
      <x:c r="S3339" s="119" t="str">
        <x:v>09/017/24 (BW) - Updated flow so that the UnitPrice is not just equal to cost, but Cost + Total Cost of Assets Used in Repair</x:v>
      </x:c>
    </x:row>
    <x:row r="3340" ht="30" customHeight="1">
      <x:c r="A3340" s="117" t="str">
        <x:v>Update_Credit_Memo_Amount_with_Line_Items</x:v>
      </x:c>
      <x:c r="B3340" s="117" t="str">
        <x:v>3005b00000113fYAAQ</x:v>
      </x:c>
      <x:c r="C3340" s="117" t="str">
        <x:v>301Ro00000LFYjdIAH</x:v>
      </x:c>
      <x:c r="D3340" s="118" t="n">
        <x:v>6</x:v>
      </x:c>
      <x:c r="E3340" s="117" t="str">
        <x:v>Obsolete</x:v>
      </x:c>
      <x:c r="F3340" s="117" t="str">
        <x:v>No</x:v>
      </x:c>
      <x:c r="G3340" s="117" t="str">
        <x:v>No</x:v>
      </x:c>
      <x:c r="H3340" s="117" t="str">
        <x:v>AutoLaunchedFlow</x:v>
      </x:c>
      <x:c r="I3340" s="118" t="n">
        <x:v>59</x:v>
      </x:c>
      <x:c r="J3340" s="117" t="str">
        <x:v>unmanaged</x:v>
      </x:c>
      <x:c r="K3340" s="123" t="b">
        <x:v>0</x:v>
      </x:c>
      <x:c r="L3340" s="117"/>
      <x:c r="M3340" s="118"/>
      <x:c r="N3340" s="120" t="n">
        <x:v>45552.780543981484</x:v>
      </x:c>
      <x:c r="O3340" s="117" t="str">
        <x:v>Delegate</x:v>
      </x:c>
      <x:c r="P3340" s="120" t="n">
        <x:v>45552.780590277776</x:v>
      </x:c>
      <x:c r="Q3340" s="117" t="str">
        <x:v>Delegate</x:v>
      </x:c>
      <x:c r="R3340" s="117" t="str">
        <x:v>Update Credit Memo Amount with Line Items</x:v>
      </x:c>
      <x:c r="S3340" s="119" t="str">
        <x:v>09/017/24 (BW) - Updated the unit price plus repairs formula so that it is Zero rather than null if no pricing information is found.</x:v>
      </x:c>
    </x:row>
    <x:row r="3341" ht="30" customHeight="1">
      <x:c r="A3341" s="117" t="str">
        <x:v>Update_Credit_Memo_Amount_with_Line_Items</x:v>
      </x:c>
      <x:c r="B3341" s="117" t="str">
        <x:v>3005b00000113fYAAQ</x:v>
      </x:c>
      <x:c r="C3341" s="117" t="str">
        <x:v>301Ro00000TF3ulIAD</x:v>
      </x:c>
      <x:c r="D3341" s="118" t="n">
        <x:v>7</x:v>
      </x:c>
      <x:c r="E3341" s="117" t="str">
        <x:v>Obsolete</x:v>
      </x:c>
      <x:c r="F3341" s="117" t="str">
        <x:v>No</x:v>
      </x:c>
      <x:c r="G3341" s="117" t="str">
        <x:v>No</x:v>
      </x:c>
      <x:c r="H3341" s="117" t="str">
        <x:v>AutoLaunchedFlow</x:v>
      </x:c>
      <x:c r="I3341" s="118" t="n">
        <x:v>59</x:v>
      </x:c>
      <x:c r="J3341" s="117" t="str">
        <x:v>unmanaged</x:v>
      </x:c>
      <x:c r="K3341" s="123" t="b">
        <x:v>0</x:v>
      </x:c>
      <x:c r="L3341" s="117"/>
      <x:c r="M3341" s="118"/>
      <x:c r="N3341" s="120" t="n">
        <x:v>45691.47520833334</x:v>
      </x:c>
      <x:c r="O3341" s="117" t="str">
        <x:v>Delegate</x:v>
      </x:c>
      <x:c r="P3341" s="120" t="n">
        <x:v>45692.73159722222</x:v>
      </x:c>
      <x:c r="Q3341" s="117" t="str">
        <x:v>Delegate</x:v>
      </x:c>
      <x:c r="R3341" s="117" t="str">
        <x:v>Update Credit Memo Amount with Line Items</x:v>
      </x:c>
      <x:c r="S3341" s="119" t="str">
        <x:v>01/14/2025 (BW) - Updated to update the international interco to 1.15 cost</x:v>
      </x:c>
    </x:row>
    <x:row r="3342" ht="30" customHeight="1">
      <x:c r="A3342" s="117" t="str">
        <x:v>Update_Credit_Memo_Amount_with_Line_Items</x:v>
      </x:c>
      <x:c r="B3342" s="117" t="str">
        <x:v>3005b00000113fYAAQ</x:v>
      </x:c>
      <x:c r="C3342" s="117" t="str">
        <x:v>301Ro00000TKxjJIAT</x:v>
      </x:c>
      <x:c r="D3342" s="118" t="n">
        <x:v>8</x:v>
      </x:c>
      <x:c r="E3342" s="117" t="str">
        <x:v>Obsolete</x:v>
      </x:c>
      <x:c r="F3342" s="117" t="str">
        <x:v>No</x:v>
      </x:c>
      <x:c r="G3342" s="117" t="str">
        <x:v>No</x:v>
      </x:c>
      <x:c r="H3342" s="117" t="str">
        <x:v>AutoLaunchedFlow</x:v>
      </x:c>
      <x:c r="I3342" s="118" t="n">
        <x:v>59</x:v>
      </x:c>
      <x:c r="J3342" s="117" t="str">
        <x:v>unmanaged</x:v>
      </x:c>
      <x:c r="K3342" s="123" t="b">
        <x:v>0</x:v>
      </x:c>
      <x:c r="L3342" s="117"/>
      <x:c r="M3342" s="118"/>
      <x:c r="N3342" s="120" t="n">
        <x:v>45692.72087962963</x:v>
      </x:c>
      <x:c r="O3342" s="117" t="str">
        <x:v>Delegate</x:v>
      </x:c>
      <x:c r="P3342" s="120" t="n">
        <x:v>45692.72094907407</x:v>
      </x:c>
      <x:c r="Q3342" s="117" t="str">
        <x:v>Delegate</x:v>
      </x:c>
      <x:c r="R3342" s="117" t="str">
        <x:v>Update Credit Memo Amount with Line Items</x:v>
      </x:c>
      <x:c r="S3342" s="119" t="str">
        <x:v>02/04/2025 (BW) - Updated the calculation so that it uses an exchange rate if necessary to get 1.15% of the cost</x:v>
      </x:c>
    </x:row>
    <x:row r="3343" ht="30" customHeight="1">
      <x:c r="A3343" s="117" t="str">
        <x:v>Update_Credit_Memo_Amount_with_Line_Items</x:v>
      </x:c>
      <x:c r="B3343" s="117" t="str">
        <x:v>3005b00000113fYAAQ</x:v>
      </x:c>
      <x:c r="C3343" s="117" t="str">
        <x:v>301Ro00000TLKKpIAP</x:v>
      </x:c>
      <x:c r="D3343" s="118" t="n">
        <x:v>9</x:v>
      </x:c>
      <x:c r="E3343" s="117" t="str">
        <x:v>Obsolete</x:v>
      </x:c>
      <x:c r="F3343" s="117" t="str">
        <x:v>No</x:v>
      </x:c>
      <x:c r="G3343" s="117" t="str">
        <x:v>No</x:v>
      </x:c>
      <x:c r="H3343" s="117" t="str">
        <x:v>AutoLaunchedFlow</x:v>
      </x:c>
      <x:c r="I3343" s="118" t="n">
        <x:v>59</x:v>
      </x:c>
      <x:c r="J3343" s="117" t="str">
        <x:v>unmanaged</x:v>
      </x:c>
      <x:c r="K3343" s="123" t="b">
        <x:v>0</x:v>
      </x:c>
      <x:c r="L3343" s="117"/>
      <x:c r="M3343" s="118"/>
      <x:c r="N3343" s="120" t="n">
        <x:v>45692.72928240741</x:v>
      </x:c>
      <x:c r="O3343" s="117" t="str">
        <x:v>Delegate</x:v>
      </x:c>
      <x:c r="P3343" s="120" t="n">
        <x:v>45692.7293287037</x:v>
      </x:c>
      <x:c r="Q3343" s="117" t="str">
        <x:v>Delegate</x:v>
      </x:c>
      <x:c r="R3343" s="117" t="str">
        <x:v>Update Credit Memo Amount with Line Items</x:v>
      </x:c>
      <x:c r="S3343" s="119" t="str">
        <x:v>02/04/2025 (BW) - Updated the calculation so that it uses an exchange rate if necessary to get 1.15% of the cost</x:v>
      </x:c>
    </x:row>
    <x:row r="3344" ht="30" customHeight="1">
      <x:c r="A3344" s="117" t="str">
        <x:v>Update_Credit_Memo_Amount_with_Line_Items</x:v>
      </x:c>
      <x:c r="B3344" s="117" t="str">
        <x:v>3005b00000113fYAAQ</x:v>
      </x:c>
      <x:c r="C3344" s="117" t="str">
        <x:v>301Ro00000TLXZyIAP</x:v>
      </x:c>
      <x:c r="D3344" s="118" t="n">
        <x:v>10</x:v>
      </x:c>
      <x:c r="E3344" s="117" t="str">
        <x:v>Obsolete</x:v>
      </x:c>
      <x:c r="F3344" s="117" t="str">
        <x:v>No</x:v>
      </x:c>
      <x:c r="G3344" s="117" t="str">
        <x:v>No</x:v>
      </x:c>
      <x:c r="H3344" s="117" t="str">
        <x:v>AutoLaunchedFlow</x:v>
      </x:c>
      <x:c r="I3344" s="118" t="n">
        <x:v>59</x:v>
      </x:c>
      <x:c r="J3344" s="117" t="str">
        <x:v>unmanaged</x:v>
      </x:c>
      <x:c r="K3344" s="123" t="b">
        <x:v>0</x:v>
      </x:c>
      <x:c r="L3344" s="117"/>
      <x:c r="M3344" s="118"/>
      <x:c r="N3344" s="120" t="n">
        <x:v>45692.77609953703</x:v>
      </x:c>
      <x:c r="O3344" s="117" t="str">
        <x:v>Sacha Pearce</x:v>
      </x:c>
      <x:c r="P3344" s="120" t="n">
        <x:v>45692.77684027778</x:v>
      </x:c>
      <x:c r="Q3344" s="117" t="str">
        <x:v>Sacha Pearce</x:v>
      </x:c>
      <x:c r="R3344" s="117" t="str">
        <x:v>Update Credit Memo Amount with Line Items</x:v>
      </x:c>
      <x:c r="S3344" s="119" t="str">
        <x:v>02/04/2025 (BW) - Updated the equation which performs the calculation to not error out if USD is one of the targets</x:v>
      </x:c>
    </x:row>
    <x:row r="3345" ht="30" customHeight="1">
      <x:c r="A3345" s="117" t="str">
        <x:v>Update_Credit_Memo_Amount_with_Line_Items</x:v>
      </x:c>
      <x:c r="B3345" s="117" t="str">
        <x:v>3005b00000113fYAAQ</x:v>
      </x:c>
      <x:c r="C3345" s="117" t="str">
        <x:v>301Ro00000TZOmtIAH</x:v>
      </x:c>
      <x:c r="D3345" s="118" t="n">
        <x:v>11</x:v>
      </x:c>
      <x:c r="E3345" s="117" t="str">
        <x:v>Obsolete</x:v>
      </x:c>
      <x:c r="F3345" s="117" t="str">
        <x:v>No</x:v>
      </x:c>
      <x:c r="G3345" s="117" t="str">
        <x:v>No</x:v>
      </x:c>
      <x:c r="H3345" s="117" t="str">
        <x:v>AutoLaunchedFlow</x:v>
      </x:c>
      <x:c r="I3345" s="118" t="n">
        <x:v>59</x:v>
      </x:c>
      <x:c r="J3345" s="117" t="str">
        <x:v>unmanaged</x:v>
      </x:c>
      <x:c r="K3345" s="123" t="b">
        <x:v>0</x:v>
      </x:c>
      <x:c r="L3345" s="117"/>
      <x:c r="M3345" s="118"/>
      <x:c r="N3345" s="120" t="n">
        <x:v>45695.61181712963</x:v>
      </x:c>
      <x:c r="O3345" s="117" t="str">
        <x:v>Delegate</x:v>
      </x:c>
      <x:c r="P3345" s="120" t="n">
        <x:v>45695.61207175926</x:v>
      </x:c>
      <x:c r="Q3345" s="117" t="str">
        <x:v>Delegate</x:v>
      </x:c>
      <x:c r="R3345" s="117" t="str">
        <x:v>Update Credit Memo Amount with Line Items</x:v>
      </x:c>
      <x:c r="S3345" s="119" t="str">
        <x:v>02/07/2025 (BW) - Updated the equation to apply the 1.15 to the cost before conversion to the foreign currency</x:v>
      </x:c>
    </x:row>
    <x:row r="3346" ht="30" customHeight="1">
      <x:c r="A3346" s="117" t="str">
        <x:v>Update_Credit_Memo_Amount_with_Line_Items</x:v>
      </x:c>
      <x:c r="B3346" s="117" t="str">
        <x:v>3005b00000113fYAAQ</x:v>
      </x:c>
      <x:c r="C3346" s="117" t="str">
        <x:v>301Ro00000TZPhIIAX</x:v>
      </x:c>
      <x:c r="D3346" s="118" t="n">
        <x:v>12</x:v>
      </x:c>
      <x:c r="E3346" s="117" t="str">
        <x:v>Draft</x:v>
      </x:c>
      <x:c r="F3346" s="117" t="str">
        <x:v>No</x:v>
      </x:c>
      <x:c r="G3346" s="117" t="str">
        <x:v>No</x:v>
      </x:c>
      <x:c r="H3346" s="117" t="str">
        <x:v>AutoLaunchedFlow</x:v>
      </x:c>
      <x:c r="I3346" s="118" t="n">
        <x:v>59</x:v>
      </x:c>
      <x:c r="J3346" s="117" t="str">
        <x:v>unmanaged</x:v>
      </x:c>
      <x:c r="K3346" s="123" t="b">
        <x:v>0</x:v>
      </x:c>
      <x:c r="L3346" s="117"/>
      <x:c r="M3346" s="118"/>
      <x:c r="N3346" s="120" t="n">
        <x:v>45695.61895833333</x:v>
      </x:c>
      <x:c r="O3346" s="117" t="str">
        <x:v>Sacha Pearce</x:v>
      </x:c>
      <x:c r="P3346" s="120" t="n">
        <x:v>45695.61896990741</x:v>
      </x:c>
      <x:c r="Q3346" s="117" t="str">
        <x:v>Sacha Pearce</x:v>
      </x:c>
      <x:c r="R3346" s="117" t="str">
        <x:v>Update Credit Memo Amount with Line Items</x:v>
      </x:c>
      <x:c r="S3346" s="119" t="str">
        <x:v>02/07/2025 (BW) - Updated the exchange rate to populate into a variable with 6 decimals</x:v>
      </x:c>
    </x:row>
    <x:row r="3347" ht="30" customHeight="1">
      <x:c r="A3347" s="117" t="str">
        <x:v>Update_Credit_Memo_Amount_with_Line_Items</x:v>
      </x:c>
      <x:c r="B3347" s="117" t="str">
        <x:v>3005b00000113fYAAQ</x:v>
      </x:c>
      <x:c r="C3347" s="117" t="str">
        <x:v>301Ro00000Tmz0hIAB</x:v>
      </x:c>
      <x:c r="D3347" s="118" t="n">
        <x:v>13</x:v>
      </x:c>
      <x:c r="E3347" s="117" t="str">
        <x:v>Obsolete</x:v>
      </x:c>
      <x:c r="F3347" s="117" t="str">
        <x:v>No</x:v>
      </x:c>
      <x:c r="G3347" s="117" t="str">
        <x:v>No</x:v>
      </x:c>
      <x:c r="H3347" s="117" t="str">
        <x:v>AutoLaunchedFlow</x:v>
      </x:c>
      <x:c r="I3347" s="118" t="n">
        <x:v>59</x:v>
      </x:c>
      <x:c r="J3347" s="117" t="str">
        <x:v>unmanaged</x:v>
      </x:c>
      <x:c r="K3347" s="123" t="b">
        <x:v>0</x:v>
      </x:c>
      <x:c r="L3347" s="117"/>
      <x:c r="M3347" s="118"/>
      <x:c r="N3347" s="120" t="n">
        <x:v>45698.83630787037</x:v>
      </x:c>
      <x:c r="O3347" s="117" t="str">
        <x:v>Delegate</x:v>
      </x:c>
      <x:c r="P3347" s="120" t="n">
        <x:v>45698.83868055556</x:v>
      </x:c>
      <x:c r="Q3347" s="117" t="str">
        <x:v>Delegate</x:v>
      </x:c>
      <x:c r="R3347" s="117" t="str">
        <x:v>Update Credit Memo Amount with Line Items</x:v>
      </x:c>
      <x:c r="S3347" s="119" t="str">
        <x:v>AM: Updated to exclude Probe Repair Opportunity from the international leg.</x:v>
      </x:c>
    </x:row>
    <x:row r="3348" ht="30" customHeight="1">
      <x:c r="A3348" s="117" t="str">
        <x:v>Update_Credit_Memo_Amount_with_Line_Items</x:v>
      </x:c>
      <x:c r="B3348" s="117" t="str">
        <x:v>3005b00000113fYAAQ</x:v>
      </x:c>
      <x:c r="C3348" s="117" t="str">
        <x:v>301Ro00000YDWY1IAP</x:v>
      </x:c>
      <x:c r="D3348" s="118" t="n">
        <x:v>14</x:v>
      </x:c>
      <x:c r="E3348" s="117" t="str">
        <x:v>Obsolete</x:v>
      </x:c>
      <x:c r="F3348" s="117" t="str">
        <x:v>No</x:v>
      </x:c>
      <x:c r="G3348" s="117" t="str">
        <x:v>No</x:v>
      </x:c>
      <x:c r="H3348" s="117" t="str">
        <x:v>AutoLaunchedFlow</x:v>
      </x:c>
      <x:c r="I3348" s="118" t="n">
        <x:v>59</x:v>
      </x:c>
      <x:c r="J3348" s="117" t="str">
        <x:v>unmanaged</x:v>
      </x:c>
      <x:c r="K3348" s="123" t="b">
        <x:v>0</x:v>
      </x:c>
      <x:c r="L3348" s="117"/>
      <x:c r="M3348" s="118"/>
      <x:c r="N3348" s="120" t="n">
        <x:v>45776.69709490741</x:v>
      </x:c>
      <x:c r="O3348" s="117" t="str">
        <x:v>Delegate</x:v>
      </x:c>
      <x:c r="P3348" s="120" t="n">
        <x:v>45953.519467592596</x:v>
      </x:c>
      <x:c r="Q3348" s="117" t="str">
        <x:v>Sacha Pearce</x:v>
      </x:c>
      <x:c r="R3348" s="117" t="str">
        <x:v>Set Interco Price and Credit Memo Amount for Opportunity Products</x:v>
      </x:c>
      <x:c r="S3348" s="119" t="str">
        <x:v>BW: Changing the Name of the flow</x:v>
      </x:c>
    </x:row>
    <x:row r="3349" ht="30" customHeight="1">
      <x:c r="A3349" s="117" t="str">
        <x:v>Update_Credit_Memo_Amount_with_Line_Items</x:v>
      </x:c>
      <x:c r="B3349" s="117" t="str">
        <x:v>3005b00000113fYAAQ</x:v>
      </x:c>
      <x:c r="C3349" s="117" t="str">
        <x:v>301Ro00000iNPpGIAW</x:v>
      </x:c>
      <x:c r="D3349" s="118" t="n">
        <x:v>15</x:v>
      </x:c>
      <x:c r="E3349" s="117" t="str">
        <x:v>Draft</x:v>
      </x:c>
      <x:c r="F3349" s="117" t="str">
        <x:v>No</x:v>
      </x:c>
      <x:c r="G3349" s="117" t="str">
        <x:v>No</x:v>
      </x:c>
      <x:c r="H3349" s="117" t="str">
        <x:v>AutoLaunchedFlow</x:v>
      </x:c>
      <x:c r="I3349" s="118" t="n">
        <x:v>59</x:v>
      </x:c>
      <x:c r="J3349" s="117" t="str">
        <x:v>unmanaged</x:v>
      </x:c>
      <x:c r="K3349" s="123" t="b">
        <x:v>0</x:v>
      </x:c>
      <x:c r="L3349" s="117"/>
      <x:c r="M3349" s="118"/>
      <x:c r="N3349" s="120" t="n">
        <x:v>45882.85209490741</x:v>
      </x:c>
      <x:c r="O3349" s="117" t="str">
        <x:v>Delegate</x:v>
      </x:c>
      <x:c r="P3349" s="120" t="n">
        <x:v>45882.852106481485</x:v>
      </x:c>
      <x:c r="Q3349" s="117" t="str">
        <x:v>Delegate</x:v>
      </x:c>
      <x:c r="R3349" s="117" t="str">
        <x:v>Update Credit Memo Amount with Line Items</x:v>
      </x:c>
      <x:c r="S3349" s="119" t="str">
        <x:v>AM: Added exception to Intercompany decision to exclude Opp Record Type: Probe Repair Opportunity.
SP: Added Intercompany Transaction = False to be able to consistently test Intercompany Transaction Flow</x:v>
      </x:c>
    </x:row>
    <x:row r="3350" ht="30" customHeight="1">
      <x:c r="A3350" s="117" t="str">
        <x:v>Update_Credit_Memo_Amount_with_Line_Items</x:v>
      </x:c>
      <x:c r="B3350" s="117" t="str">
        <x:v>3005b00000113fYAAQ</x:v>
      </x:c>
      <x:c r="C3350" s="117" t="str">
        <x:v>301Ro00000q1g0vIAA</x:v>
      </x:c>
      <x:c r="D3350" s="118" t="n">
        <x:v>16</x:v>
      </x:c>
      <x:c r="E3350" s="117" t="str">
        <x:v>Obsolete</x:v>
      </x:c>
      <x:c r="F3350" s="117" t="str">
        <x:v>No</x:v>
      </x:c>
      <x:c r="G3350" s="117" t="str">
        <x:v>No</x:v>
      </x:c>
      <x:c r="H3350" s="117" t="str">
        <x:v>AutoLaunchedFlow</x:v>
      </x:c>
      <x:c r="I3350" s="118" t="n">
        <x:v>59</x:v>
      </x:c>
      <x:c r="J3350" s="117" t="str">
        <x:v>unmanaged</x:v>
      </x:c>
      <x:c r="K3350" s="123" t="b">
        <x:v>0</x:v>
      </x:c>
      <x:c r="L3350" s="117"/>
      <x:c r="M3350" s="118"/>
      <x:c r="N3350" s="120" t="n">
        <x:v>45952.80327546296</x:v>
      </x:c>
      <x:c r="O3350" s="117" t="str">
        <x:v>Sacha Pearce</x:v>
      </x:c>
      <x:c r="P3350" s="120" t="n">
        <x:v>45953.45847222222</x:v>
      </x:c>
      <x:c r="Q3350" s="117" t="str">
        <x:v>Sacha Pearce</x:v>
      </x:c>
      <x:c r="R3350" s="117" t="str">
        <x:v>Update Credit Memo Amount with Line Items</x:v>
      </x:c>
      <x:c r="S3350" s="119" t="str">
        <x:v>AM: Added exception to Intercompany decision to exclude Opp Record Type: Probe Repair Opportunity.
SP: Added Intercompany Transaction = False to be able to consistently test Intercompany Transaction Flow
SP: Amended entry criteria to be "Enable Manual Cost Assignment" does not equal "True" instead of the above</x:v>
      </x:c>
    </x:row>
    <x:row r="3351" ht="30" customHeight="1">
      <x:c r="A3351" s="117" t="str">
        <x:v>Update_Credit_Memo_Amount_with_Line_Items</x:v>
      </x:c>
      <x:c r="B3351" s="117" t="str">
        <x:v>3005b00000113fYAAQ</x:v>
      </x:c>
      <x:c r="C3351" s="117" t="str">
        <x:v>301Ro00000qGTjNIAW</x:v>
      </x:c>
      <x:c r="D3351" s="118" t="n">
        <x:v>17</x:v>
      </x:c>
      <x:c r="E3351" s="117" t="str">
        <x:v>Draft</x:v>
      </x:c>
      <x:c r="F3351" s="117" t="str">
        <x:v>No</x:v>
      </x:c>
      <x:c r="G3351" s="117" t="str">
        <x:v>No</x:v>
      </x:c>
      <x:c r="H3351" s="117" t="str">
        <x:v>AutoLaunchedFlow</x:v>
      </x:c>
      <x:c r="I3351" s="118" t="n">
        <x:v>59</x:v>
      </x:c>
      <x:c r="J3351" s="117" t="str">
        <x:v>unmanaged</x:v>
      </x:c>
      <x:c r="K3351" s="123" t="b">
        <x:v>0</x:v>
      </x:c>
      <x:c r="L3351" s="117"/>
      <x:c r="M3351" s="118"/>
      <x:c r="N3351" s="120" t="n">
        <x:v>45953.8230787037</x:v>
      </x:c>
      <x:c r="O3351" s="117" t="str">
        <x:v>Sacha Pearce</x:v>
      </x:c>
      <x:c r="P3351" s="120" t="n">
        <x:v>45953.82310185185</x:v>
      </x:c>
      <x:c r="Q3351" s="117" t="str">
        <x:v>Sacha Pearce</x:v>
      </x:c>
      <x:c r="R3351" s="117" t="str">
        <x:v>Set Interco Price and Credit Memo Amount for Opportunity Products</x:v>
      </x:c>
      <x:c r="S3351" s="119" t="str">
        <x:v>BW: Changing the Name of the flow
SP: Adding Enable Manual Cost Assignment Does Not Equal True to the Intercompany Decision</x:v>
      </x:c>
    </x:row>
    <x:row r="3352" ht="30" customHeight="1">
      <x:c r="A3352" s="117" t="str">
        <x:v>Update_Credit_Memo_Amount_with_Line_Items</x:v>
      </x:c>
      <x:c r="B3352" s="117" t="str">
        <x:v>3005b00000113fYAAQ</x:v>
      </x:c>
      <x:c r="C3352" s="117" t="str">
        <x:v>301Ro00000qwrpCIAQ</x:v>
      </x:c>
      <x:c r="D3352" s="118" t="n">
        <x:v>18</x:v>
      </x:c>
      <x:c r="E3352" s="117" t="str">
        <x:v>Obsolete</x:v>
      </x:c>
      <x:c r="F3352" s="117" t="str">
        <x:v>No</x:v>
      </x:c>
      <x:c r="G3352" s="117" t="str">
        <x:v>No</x:v>
      </x:c>
      <x:c r="H3352" s="117" t="str">
        <x:v>AutoLaunchedFlow</x:v>
      </x:c>
      <x:c r="I3352" s="118" t="n">
        <x:v>59</x:v>
      </x:c>
      <x:c r="J3352" s="117" t="str">
        <x:v>unmanaged</x:v>
      </x:c>
      <x:c r="K3352" s="123" t="b">
        <x:v>0</x:v>
      </x:c>
      <x:c r="L3352" s="117"/>
      <x:c r="M3352" s="118"/>
      <x:c r="N3352" s="120" t="n">
        <x:v>45958.42481481482</x:v>
      </x:c>
      <x:c r="O3352" s="117" t="str">
        <x:v>Sacha Pearce</x:v>
      </x:c>
      <x:c r="P3352" s="120" t="n">
        <x:v>45958.43440972222</x:v>
      </x:c>
      <x:c r="Q3352" s="117" t="str">
        <x:v>Sacha Pearce</x:v>
      </x:c>
      <x:c r="R3352" s="117" t="str">
        <x:v>Update Credit Memo Amount with Line Items</x:v>
      </x:c>
      <x:c r="S3352" s="119" t="str">
        <x:v>AM: Added exception to Intercompany decision to exclude Opp Record Type: Probe Repair Opportunity.
SP: Added Intercompany Transaction = False to be able to consistently test Intercompany Transaction Flow
SP: Amended entry criteria to be "Enable Manual Cost Assignment" does not equal "True" instead of the above
SP: Moved the above edit into the Intercompany Decision
SP: Added the same "Enabe Manual Cost Assignment to both routes in the Intercompany Decision</x:v>
      </x:c>
    </x:row>
    <x:row r="3353" ht="30" customHeight="1">
      <x:c r="A3353" s="117" t="str">
        <x:v>Update_Credit_Memo_Amount_with_Line_Items</x:v>
      </x:c>
      <x:c r="B3353" s="117" t="str">
        <x:v>3005b00000113fYAAQ</x:v>
      </x:c>
      <x:c r="C3353" s="117" t="str">
        <x:v>301Ro00000r92SJIAY</x:v>
      </x:c>
      <x:c r="D3353" s="118" t="n">
        <x:v>19</x:v>
      </x:c>
      <x:c r="E3353" s="117" t="str">
        <x:v>Obsolete</x:v>
      </x:c>
      <x:c r="F3353" s="117" t="str">
        <x:v>No</x:v>
      </x:c>
      <x:c r="G3353" s="117" t="str">
        <x:v>No</x:v>
      </x:c>
      <x:c r="H3353" s="117" t="str">
        <x:v>AutoLaunchedFlow</x:v>
      </x:c>
      <x:c r="I3353" s="118" t="n">
        <x:v>59</x:v>
      </x:c>
      <x:c r="J3353" s="117" t="str">
        <x:v>unmanaged</x:v>
      </x:c>
      <x:c r="K3353" s="123" t="b">
        <x:v>0</x:v>
      </x:c>
      <x:c r="L3353" s="117"/>
      <x:c r="M3353" s="118"/>
      <x:c r="N3353" s="120" t="n">
        <x:v>45959.38327546296</x:v>
      </x:c>
      <x:c r="O3353" s="117" t="str">
        <x:v>Sacha Pearce</x:v>
      </x:c>
      <x:c r="P3353" s="120" t="n">
        <x:v>45959.38334490741</x:v>
      </x:c>
      <x:c r="Q3353" s="117" t="str">
        <x:v>Sacha Pearce</x:v>
      </x:c>
      <x:c r="R3353" s="117" t="str">
        <x:v>Set Interco Price and Credit Memo Amount for Opportunity Products</x:v>
      </x:c>
      <x:c r="S3353" s="119" t="str">
        <x:v>BW: Changing the Name of the flow
SP: It appears an update from Sandbox creating V15 caused the Flow to change. Reverting to V14 but with the "Enable Manual Cost Assignment" checks in the Intercompany Decision.</x:v>
      </x:c>
    </x:row>
    <x:row r="3354" ht="30" customHeight="1">
      <x:c r="A3354" s="117" t="str">
        <x:v>Update_Credit_Memo_Amount_with_Line_Items</x:v>
      </x:c>
      <x:c r="B3354" s="117" t="str">
        <x:v>3005b00000113fYAAQ</x:v>
      </x:c>
      <x:c r="C3354" s="117" t="str">
        <x:v>301Ro00001Dyf1uIAB</x:v>
      </x:c>
      <x:c r="D3354" s="118" t="n">
        <x:v>20</x:v>
      </x:c>
      <x:c r="E3354" s="117" t="str">
        <x:v>Active</x:v>
      </x:c>
      <x:c r="F3354" s="117" t="str">
        <x:v>Yes</x:v>
      </x:c>
      <x:c r="G3354" s="117" t="str">
        <x:v>Yes</x:v>
      </x:c>
      <x:c r="H3354" s="117" t="str">
        <x:v>AutoLaunchedFlow</x:v>
      </x:c>
      <x:c r="I3354" s="118" t="n">
        <x:v>59</x:v>
      </x:c>
      <x:c r="J3354" s="117" t="str">
        <x:v>unmanaged</x:v>
      </x:c>
      <x:c r="K3354" s="123" t="b">
        <x:v>0</x:v>
      </x:c>
      <x:c r="L3354" s="117"/>
      <x:c r="M3354" s="118"/>
      <x:c r="N3354" s="120" t="n">
        <x:v>46246.68987268519</x:v>
      </x:c>
      <x:c r="O3354" s="117" t="str">
        <x:v>Mindy Bender</x:v>
      </x:c>
      <x:c r="P3354" s="120" t="n">
        <x:v>46246.68997685185</x:v>
      </x:c>
      <x:c r="Q3354" s="117" t="str">
        <x:v>Mindy Bender</x:v>
      </x:c>
      <x:c r="R3354" s="117" t="str">
        <x:v>Set Interco Price and Credit Memo Amount for Opportunity Products</x:v>
      </x:c>
      <x:c r="S3354" s="119" t="str">
        <x:v>8/12/26 - Updating to take the larger of entered sales price and 15% markup on cost.</x:v>
      </x:c>
    </x:row>
    <x:row r="3355" ht="30" customHeight="1">
      <x:c r="A3355" s="117" t="str">
        <x:v>Update_Currency_when_Entity_is_Changed</x:v>
      </x:c>
      <x:c r="B3355" s="117" t="str">
        <x:v>300Ro00000n0l9EIAQ</x:v>
      </x:c>
      <x:c r="C3355" s="117" t="str">
        <x:v>301Ro00000uPEpGIAW</x:v>
      </x:c>
      <x:c r="D3355" s="118" t="n">
        <x:v>1</x:v>
      </x:c>
      <x:c r="E3355" s="117" t="str">
        <x:v>Obsolete</x:v>
      </x:c>
      <x:c r="F3355" s="117" t="str">
        <x:v>No</x:v>
      </x:c>
      <x:c r="G3355" s="117" t="str">
        <x:v>No</x:v>
      </x:c>
      <x:c r="H3355" s="117" t="str">
        <x:v>AutoLaunchedFlow</x:v>
      </x:c>
      <x:c r="I3355" s="118" t="n">
        <x:v>65</x:v>
      </x:c>
      <x:c r="J3355" s="117" t="str">
        <x:v>unmanaged</x:v>
      </x:c>
      <x:c r="K3355" s="123" t="b">
        <x:v>0</x:v>
      </x:c>
      <x:c r="L3355" s="117"/>
      <x:c r="M3355" s="118"/>
      <x:c r="N3355" s="120" t="n">
        <x:v>46010.118680555555</x:v>
      </x:c>
      <x:c r="O3355" s="117" t="str">
        <x:v>Delegate</x:v>
      </x:c>
      <x:c r="P3355" s="120" t="n">
        <x:v>46010.222604166665</x:v>
      </x:c>
      <x:c r="Q3355" s="117" t="str">
        <x:v>Delegate</x:v>
      </x:c>
      <x:c r="R3355" s="117" t="str">
        <x:v>Update Currency when Entity is Changed</x:v>
      </x:c>
      <x:c r="S3355" s="119" t="str">
        <x:v>12/15/2025 (BW) - When the entity is changed, this automatically updates the currency on the opportunity to align with the new entity. This can be changed afterwards by the user if necessary.</x:v>
      </x:c>
    </x:row>
    <x:row r="3356" ht="30" customHeight="1">
      <x:c r="A3356" s="117" t="str">
        <x:v>Update_Currency_when_Entity_is_Changed</x:v>
      </x:c>
      <x:c r="B3356" s="117" t="str">
        <x:v>300Ro00000n0l9EIAQ</x:v>
      </x:c>
      <x:c r="C3356" s="117" t="str">
        <x:v>301Ro00000uQUWvIAO</x:v>
      </x:c>
      <x:c r="D3356" s="118" t="n">
        <x:v>2</x:v>
      </x:c>
      <x:c r="E3356" s="117" t="str">
        <x:v>Active</x:v>
      </x:c>
      <x:c r="F3356" s="117" t="str">
        <x:v>Yes</x:v>
      </x:c>
      <x:c r="G3356" s="117" t="str">
        <x:v>No</x:v>
      </x:c>
      <x:c r="H3356" s="117" t="str">
        <x:v>AutoLaunchedFlow</x:v>
      </x:c>
      <x:c r="I3356" s="118" t="n">
        <x:v>65</x:v>
      </x:c>
      <x:c r="J3356" s="117" t="str">
        <x:v>unmanaged</x:v>
      </x:c>
      <x:c r="K3356" s="123" t="b">
        <x:v>0</x:v>
      </x:c>
      <x:c r="L3356" s="117"/>
      <x:c r="M3356" s="118"/>
      <x:c r="N3356" s="120" t="n">
        <x:v>46010.65692129629</x:v>
      </x:c>
      <x:c r="O3356" s="117" t="str">
        <x:v>Delegate</x:v>
      </x:c>
      <x:c r="P3356" s="120" t="n">
        <x:v>46010.65696759259</x:v>
      </x:c>
      <x:c r="Q3356" s="117" t="str">
        <x:v>Delegate</x:v>
      </x:c>
      <x:c r="R3356" s="117" t="str">
        <x:v>Update Currency when Entity is Changed</x:v>
      </x:c>
      <x:c r="S3356" s="119" t="str">
        <x:v>12/15/2025 (BW) - When the entity is changed, this automatically updates the currency on the opportunity to align with the new entity. This can be changed afterwards by the user if necessary.</x:v>
      </x:c>
    </x:row>
    <x:row r="3357" ht="30" customHeight="1">
      <x:c r="A3357" s="117" t="str">
        <x:v>Update_Currency_when_Entity_is_Changed</x:v>
      </x:c>
      <x:c r="B3357" s="117" t="str">
        <x:v>300Ro00000n0l9EIAQ</x:v>
      </x:c>
      <x:c r="C3357" s="117" t="str">
        <x:v>301Ro00000uPoZPIA0</x:v>
      </x:c>
      <x:c r="D3357" s="118" t="n">
        <x:v>3</x:v>
      </x:c>
      <x:c r="E3357" s="117" t="str">
        <x:v>InvalidDraft</x:v>
      </x:c>
      <x:c r="F3357" s="117" t="str">
        <x:v>No</x:v>
      </x:c>
      <x:c r="G3357" s="117" t="str">
        <x:v>Yes</x:v>
      </x:c>
      <x:c r="H3357" s="117" t="str">
        <x:v>AutoLaunchedFlow</x:v>
      </x:c>
      <x:c r="I3357" s="118" t="n">
        <x:v>65</x:v>
      </x:c>
      <x:c r="J3357" s="117" t="str">
        <x:v>unmanaged</x:v>
      </x:c>
      <x:c r="K3357" s="123" t="b">
        <x:v>0</x:v>
      </x:c>
      <x:c r="L3357" s="117"/>
      <x:c r="M3357" s="118"/>
      <x:c r="N3357" s="120" t="n">
        <x:v>46010.66071759259</x:v>
      </x:c>
      <x:c r="O3357" s="117" t="str">
        <x:v>Delegate</x:v>
      </x:c>
      <x:c r="P3357" s="120" t="n">
        <x:v>46010.660729166666</x:v>
      </x:c>
      <x:c r="Q3357" s="117" t="str">
        <x:v>Delegate</x:v>
      </x:c>
      <x:c r="R3357" s="117" t="str">
        <x:v>Update Currency when Entity is Changed</x:v>
      </x:c>
      <x:c r="S3357" s="119" t="str">
        <x:v>12/15/2025 (BW) - When the entity is changed, this automatically updates the currency on the opportunity to align with the new entity. This can be changed afterwards by the user if necessary.</x:v>
      </x:c>
    </x:row>
    <x:row r="3358" ht="30" customHeight="1">
      <x:c r="A3358" s="117" t="str">
        <x:v>Update_Initial_Tech_Support_with_Tech_Completed_Date</x:v>
      </x:c>
      <x:c r="B3358" s="117" t="str">
        <x:v>300Ro000005ZArIIAW</x:v>
      </x:c>
      <x:c r="C3358" s="117" t="str">
        <x:v>301Ro000006I1c3IAC</x:v>
      </x:c>
      <x:c r="D3358" s="118" t="n">
        <x:v>1</x:v>
      </x:c>
      <x:c r="E3358" s="117" t="str">
        <x:v>Active</x:v>
      </x:c>
      <x:c r="F3358" s="117" t="str">
        <x:v>Yes</x:v>
      </x:c>
      <x:c r="G3358" s="117" t="str">
        <x:v>Yes</x:v>
      </x:c>
      <x:c r="H3358" s="117" t="str">
        <x:v>AutoLaunchedFlow</x:v>
      </x:c>
      <x:c r="I3358" s="118" t="n">
        <x:v>59</x:v>
      </x:c>
      <x:c r="J3358" s="117" t="str">
        <x:v>unmanaged</x:v>
      </x:c>
      <x:c r="K3358" s="123" t="b">
        <x:v>0</x:v>
      </x:c>
      <x:c r="L3358" s="117"/>
      <x:c r="M3358" s="118"/>
      <x:c r="N3358" s="120" t="n">
        <x:v>45314.69489583333</x:v>
      </x:c>
      <x:c r="O3358" s="117" t="str">
        <x:v>Delegate</x:v>
      </x:c>
      <x:c r="P3358" s="120" t="n">
        <x:v>45314.69493055555</x:v>
      </x:c>
      <x:c r="Q3358" s="117" t="str">
        <x:v>Delegate</x:v>
      </x:c>
      <x:c r="R3358" s="117" t="str">
        <x:v>Update Initial Tech Support with Tech Completed Date</x:v>
      </x:c>
      <x:c r="S3358" s="119" t="str">
        <x:v>01/23/2024 (BW) - Updates the Initial Tech Support field with the Tech Completed Date</x:v>
      </x:c>
    </x:row>
    <x:row r="3359" ht="30" customHeight="1">
      <x:c r="A3359" s="117" t="str">
        <x:v>Update_Invoice_Object</x:v>
      </x:c>
      <x:c r="B3359" s="117" t="str">
        <x:v>3004O0000000Zw2QAE</x:v>
      </x:c>
      <x:c r="C3359" s="117" t="str">
        <x:v>3014O0000001LgwQAE</x:v>
      </x:c>
      <x:c r="D3359" s="118" t="n">
        <x:v>1</x:v>
      </x:c>
      <x:c r="E3359" s="117" t="str">
        <x:v>Draft</x:v>
      </x:c>
      <x:c r="F3359" s="117" t="str">
        <x:v>No</x:v>
      </x:c>
      <x:c r="G3359" s="117" t="str">
        <x:v>Yes</x:v>
      </x:c>
      <x:c r="H3359" s="117" t="str">
        <x:v>Workflow</x:v>
      </x:c>
      <x:c r="I3359" s="118"/>
      <x:c r="J3359" s="117" t="str">
        <x:v>unmanaged</x:v>
      </x:c>
      <x:c r="K3359" s="123" t="b">
        <x:v>0</x:v>
      </x:c>
      <x:c r="L3359" s="117"/>
      <x:c r="M3359" s="118"/>
      <x:c r="N3359" s="120" t="n">
        <x:v>44074.93239583333</x:v>
      </x:c>
      <x:c r="O3359" s="117" t="str">
        <x:v>Trent VanEmon</x:v>
      </x:c>
      <x:c r="P3359" s="120" t="n">
        <x:v>44074.93239583333</x:v>
      </x:c>
      <x:c r="Q3359" s="117" t="str">
        <x:v>Trent VanEmon</x:v>
      </x:c>
      <x:c r="R3359" s="117" t="str">
        <x:v>Update Invoice Object</x:v>
      </x:c>
      <x:c r="S3359" s="119"/>
    </x:row>
    <x:row r="3360" ht="30" customHeight="1">
      <x:c r="A3360" s="117" t="str">
        <x:v>Update_Invoice_with_Payment_Link</x:v>
      </x:c>
      <x:c r="B3360" s="117" t="str">
        <x:v>3004O0000000Zw7QAE</x:v>
      </x:c>
      <x:c r="C3360" s="117" t="str">
        <x:v>3014O0000001Lh6QAE</x:v>
      </x:c>
      <x:c r="D3360" s="118" t="n">
        <x:v>1</x:v>
      </x:c>
      <x:c r="E3360" s="117" t="str">
        <x:v>InvalidDraft</x:v>
      </x:c>
      <x:c r="F3360" s="117" t="str">
        <x:v>No</x:v>
      </x:c>
      <x:c r="G3360" s="117" t="str">
        <x:v>Yes</x:v>
      </x:c>
      <x:c r="H3360" s="117" t="str">
        <x:v>Workflow</x:v>
      </x:c>
      <x:c r="I3360" s="118"/>
      <x:c r="J3360" s="117" t="str">
        <x:v>unmanaged</x:v>
      </x:c>
      <x:c r="K3360" s="123" t="b">
        <x:v>0</x:v>
      </x:c>
      <x:c r="L3360" s="117"/>
      <x:c r="M3360" s="118"/>
      <x:c r="N3360" s="120" t="n">
        <x:v>44074.94856481482</x:v>
      </x:c>
      <x:c r="O3360" s="117" t="str">
        <x:v>Trent VanEmon</x:v>
      </x:c>
      <x:c r="P3360" s="120" t="n">
        <x:v>44074.94856481482</x:v>
      </x:c>
      <x:c r="Q3360" s="117" t="str">
        <x:v>Trent VanEmon</x:v>
      </x:c>
      <x:c r="R3360" s="117" t="str">
        <x:v>Update Invoice with Payment Link</x:v>
      </x:c>
      <x:c r="S3360" s="119"/>
    </x:row>
    <x:row r="3361" ht="30" customHeight="1">
      <x:c r="A3361" s="117" t="str">
        <x:v>Update_Last_Business_Activity</x:v>
      </x:c>
      <x:c r="B3361" s="117" t="str">
        <x:v>3000B000000kEJ5QAM</x:v>
      </x:c>
      <x:c r="C3361" s="117" t="str">
        <x:v>3010B000000c2MtQAI</x:v>
      </x:c>
      <x:c r="D3361" s="118" t="n">
        <x:v>1</x:v>
      </x:c>
      <x:c r="E3361" s="117" t="str">
        <x:v>Obsolete</x:v>
      </x:c>
      <x:c r="F3361" s="117" t="str">
        <x:v>No</x:v>
      </x:c>
      <x:c r="G3361" s="117" t="str">
        <x:v>No</x:v>
      </x:c>
      <x:c r="H3361" s="117" t="str">
        <x:v>Workflow</x:v>
      </x:c>
      <x:c r="I3361" s="118"/>
      <x:c r="J3361" s="117" t="str">
        <x:v>unmanaged</x:v>
      </x:c>
      <x:c r="K3361" s="123" t="b">
        <x:v>0</x:v>
      </x:c>
      <x:c r="L3361" s="117"/>
      <x:c r="M3361" s="118"/>
      <x:c r="N3361" s="120" t="n">
        <x:v>42717.642013888886</x:v>
      </x:c>
      <x:c r="O3361" s="117" t="str">
        <x:v>QC Admin</x:v>
      </x:c>
      <x:c r="P3361" s="120" t="n">
        <x:v>42717.64207175926</x:v>
      </x:c>
      <x:c r="Q3361" s="117" t="str">
        <x:v>QC Admin</x:v>
      </x:c>
      <x:c r="R3361" s="117" t="str">
        <x:v>Update Last Business Review</x:v>
      </x:c>
      <x:c r="S3361" s="119" t="str">
        <x:v>Update Last Business Review Date</x:v>
      </x:c>
    </x:row>
    <x:row r="3362" ht="30" customHeight="1">
      <x:c r="A3362" s="117" t="str">
        <x:v>Update_Last_Business_Activity</x:v>
      </x:c>
      <x:c r="B3362" s="117" t="str">
        <x:v>3000B000000kEJ5QAM</x:v>
      </x:c>
      <x:c r="C3362" s="117" t="str">
        <x:v>3010B000000c2NIQAY</x:v>
      </x:c>
      <x:c r="D3362" s="118" t="n">
        <x:v>2</x:v>
      </x:c>
      <x:c r="E3362" s="117" t="str">
        <x:v>Obsolete</x:v>
      </x:c>
      <x:c r="F3362" s="117" t="str">
        <x:v>No</x:v>
      </x:c>
      <x:c r="G3362" s="117" t="str">
        <x:v>No</x:v>
      </x:c>
      <x:c r="H3362" s="117" t="str">
        <x:v>Workflow</x:v>
      </x:c>
      <x:c r="I3362" s="118"/>
      <x:c r="J3362" s="117" t="str">
        <x:v>unmanaged</x:v>
      </x:c>
      <x:c r="K3362" s="123" t="b">
        <x:v>0</x:v>
      </x:c>
      <x:c r="L3362" s="117"/>
      <x:c r="M3362" s="118"/>
      <x:c r="N3362" s="120" t="n">
        <x:v>42717.81055555555</x:v>
      </x:c>
      <x:c r="O3362" s="117" t="str">
        <x:v>QC Admin</x:v>
      </x:c>
      <x:c r="P3362" s="120" t="n">
        <x:v>42717.810590277775</x:v>
      </x:c>
      <x:c r="Q3362" s="117" t="str">
        <x:v>QC Admin</x:v>
      </x:c>
      <x:c r="R3362" s="117" t="str">
        <x:v>Update Last Business Review</x:v>
      </x:c>
      <x:c r="S3362" s="119" t="str">
        <x:v>Update Last Business Review Date</x:v>
      </x:c>
    </x:row>
    <x:row r="3363" ht="30" customHeight="1">
      <x:c r="A3363" s="117" t="str">
        <x:v>Update_Last_Business_Activity</x:v>
      </x:c>
      <x:c r="B3363" s="117" t="str">
        <x:v>3000B000000kEJ5QAM</x:v>
      </x:c>
      <x:c r="C3363" s="117" t="str">
        <x:v>3010B000000c2NSQAY</x:v>
      </x:c>
      <x:c r="D3363" s="118" t="n">
        <x:v>3</x:v>
      </x:c>
      <x:c r="E3363" s="117" t="str">
        <x:v>Obsolete</x:v>
      </x:c>
      <x:c r="F3363" s="117" t="str">
        <x:v>No</x:v>
      </x:c>
      <x:c r="G3363" s="117" t="str">
        <x:v>No</x:v>
      </x:c>
      <x:c r="H3363" s="117" t="str">
        <x:v>Workflow</x:v>
      </x:c>
      <x:c r="I3363" s="118"/>
      <x:c r="J3363" s="117" t="str">
        <x:v>unmanaged</x:v>
      </x:c>
      <x:c r="K3363" s="123" t="b">
        <x:v>0</x:v>
      </x:c>
      <x:c r="L3363" s="117"/>
      <x:c r="M3363" s="118"/>
      <x:c r="N3363" s="120" t="n">
        <x:v>42717.814097222225</x:v>
      </x:c>
      <x:c r="O3363" s="117" t="str">
        <x:v>QC Admin</x:v>
      </x:c>
      <x:c r="P3363" s="120" t="n">
        <x:v>42717.83211805556</x:v>
      </x:c>
      <x:c r="Q3363" s="117" t="str">
        <x:v>QC Admin</x:v>
      </x:c>
      <x:c r="R3363" s="117" t="str">
        <x:v>Update Last Business Review</x:v>
      </x:c>
      <x:c r="S3363" s="119" t="str">
        <x:v>Update Last Business Review Date</x:v>
      </x:c>
    </x:row>
    <x:row r="3364" ht="30" customHeight="1">
      <x:c r="A3364" s="117" t="str">
        <x:v>Update_Last_Business_Activity</x:v>
      </x:c>
      <x:c r="B3364" s="117" t="str">
        <x:v>3000B000000kEJ5QAM</x:v>
      </x:c>
      <x:c r="C3364" s="117" t="str">
        <x:v>3010B000000c2NXQAY</x:v>
      </x:c>
      <x:c r="D3364" s="118" t="n">
        <x:v>4</x:v>
      </x:c>
      <x:c r="E3364" s="117" t="str">
        <x:v>Draft</x:v>
      </x:c>
      <x:c r="F3364" s="117" t="str">
        <x:v>No</x:v>
      </x:c>
      <x:c r="G3364" s="117" t="str">
        <x:v>Yes</x:v>
      </x:c>
      <x:c r="H3364" s="117" t="str">
        <x:v>Workflow</x:v>
      </x:c>
      <x:c r="I3364" s="118"/>
      <x:c r="J3364" s="117" t="str">
        <x:v>unmanaged</x:v>
      </x:c>
      <x:c r="K3364" s="123" t="b">
        <x:v>0</x:v>
      </x:c>
      <x:c r="L3364" s="117"/>
      <x:c r="M3364" s="118"/>
      <x:c r="N3364" s="120" t="n">
        <x:v>42717.81668981481</x:v>
      </x:c>
      <x:c r="O3364" s="117" t="str">
        <x:v>QC Admin</x:v>
      </x:c>
      <x:c r="P3364" s="120" t="n">
        <x:v>42717.816712962966</x:v>
      </x:c>
      <x:c r="Q3364" s="117" t="str">
        <x:v>QC Admin</x:v>
      </x:c>
      <x:c r="R3364" s="117" t="str">
        <x:v>Update Last Business Review</x:v>
      </x:c>
      <x:c r="S3364" s="119" t="str">
        <x:v>Update Last Business Review Date</x:v>
      </x:c>
    </x:row>
    <x:row r="3365" ht="30" customHeight="1">
      <x:c r="A3365" s="117" t="str">
        <x:v>Update_Last_Business_Review</x:v>
      </x:c>
      <x:c r="B3365" s="117" t="str">
        <x:v>3000B000000kEJFQA2</x:v>
      </x:c>
      <x:c r="C3365" s="117" t="str">
        <x:v>3010B000000c2NcQAI</x:v>
      </x:c>
      <x:c r="D3365" s="118" t="n">
        <x:v>1</x:v>
      </x:c>
      <x:c r="E3365" s="117" t="str">
        <x:v>Obsolete</x:v>
      </x:c>
      <x:c r="F3365" s="117" t="str">
        <x:v>No</x:v>
      </x:c>
      <x:c r="G3365" s="117" t="str">
        <x:v>Yes</x:v>
      </x:c>
      <x:c r="H3365" s="117" t="str">
        <x:v>Workflow</x:v>
      </x:c>
      <x:c r="I3365" s="118"/>
      <x:c r="J3365" s="117" t="str">
        <x:v>unmanaged</x:v>
      </x:c>
      <x:c r="K3365" s="123" t="b">
        <x:v>0</x:v>
      </x:c>
      <x:c r="L3365" s="117"/>
      <x:c r="M3365" s="118"/>
      <x:c r="N3365" s="120" t="n">
        <x:v>42717.88704861111</x:v>
      </x:c>
      <x:c r="O3365" s="117" t="str">
        <x:v>QC Admin</x:v>
      </x:c>
      <x:c r="P3365" s="120" t="n">
        <x:v>42717.89607638889</x:v>
      </x:c>
      <x:c r="Q3365" s="117" t="str">
        <x:v>QC Admin</x:v>
      </x:c>
      <x:c r="R3365" s="117" t="str">
        <x:v>Update Last Business Review</x:v>
      </x:c>
      <x:c r="S3365" s="119" t="str">
        <x:v>Update Last Business Review Date</x:v>
      </x:c>
    </x:row>
    <x:row r="3366" ht="30" customHeight="1">
      <x:c r="A3366" s="117" t="str">
        <x:v>Update_Loaner_Asset_Location_when_Shipped</x:v>
      </x:c>
      <x:c r="B3366" s="117" t="str">
        <x:v>3004O0000000a8mQAA</x:v>
      </x:c>
      <x:c r="C3366" s="117" t="str">
        <x:v>3014O0000001MvPQAU</x:v>
      </x:c>
      <x:c r="D3366" s="118" t="n">
        <x:v>1</x:v>
      </x:c>
      <x:c r="E3366" s="117" t="str">
        <x:v>Draft</x:v>
      </x:c>
      <x:c r="F3366" s="117" t="str">
        <x:v>No</x:v>
      </x:c>
      <x:c r="G3366" s="117" t="str">
        <x:v>Yes</x:v>
      </x:c>
      <x:c r="H3366" s="117" t="str">
        <x:v>Workflow</x:v>
      </x:c>
      <x:c r="I3366" s="118" t="n">
        <x:v>50</x:v>
      </x:c>
      <x:c r="J3366" s="117" t="str">
        <x:v>unmanaged</x:v>
      </x:c>
      <x:c r="K3366" s="123" t="b">
        <x:v>0</x:v>
      </x:c>
      <x:c r="L3366" s="117"/>
      <x:c r="M3366" s="118"/>
      <x:c r="N3366" s="120" t="n">
        <x:v>44140.84678240741</x:v>
      </x:c>
      <x:c r="O3366" s="117" t="str">
        <x:v>Trent VanEmon</x:v>
      </x:c>
      <x:c r="P3366" s="120" t="n">
        <x:v>44140.84678240741</x:v>
      </x:c>
      <x:c r="Q3366" s="117" t="str">
        <x:v>Trent VanEmon</x:v>
      </x:c>
      <x:c r="R3366" s="117" t="str">
        <x:v>Update Loaner Asset Location when Shipped</x:v>
      </x:c>
      <x:c r="S3366" s="119"/>
    </x:row>
    <x:row r="3367" ht="30" customHeight="1">
      <x:c r="A3367" s="117" t="str">
        <x:v>Update_Loaner_fields_when_Shipment_Created</x:v>
      </x:c>
      <x:c r="B3367" s="117" t="str">
        <x:v>3004O0000000a8SQAQ</x:v>
      </x:c>
      <x:c r="C3367" s="117" t="str">
        <x:v>3014O0000001MuVQAU</x:v>
      </x:c>
      <x:c r="D3367" s="118" t="n">
        <x:v>1</x:v>
      </x:c>
      <x:c r="E3367" s="117" t="str">
        <x:v>InvalidDraft</x:v>
      </x:c>
      <x:c r="F3367" s="117" t="str">
        <x:v>No</x:v>
      </x:c>
      <x:c r="G3367" s="117" t="str">
        <x:v>Yes</x:v>
      </x:c>
      <x:c r="H3367" s="117" t="str">
        <x:v>Workflow</x:v>
      </x:c>
      <x:c r="I3367" s="118" t="n">
        <x:v>50</x:v>
      </x:c>
      <x:c r="J3367" s="117" t="str">
        <x:v>unmanaged</x:v>
      </x:c>
      <x:c r="K3367" s="123" t="b">
        <x:v>0</x:v>
      </x:c>
      <x:c r="L3367" s="117"/>
      <x:c r="M3367" s="118"/>
      <x:c r="N3367" s="120" t="n">
        <x:v>44139.82710648148</x:v>
      </x:c>
      <x:c r="O3367" s="117" t="str">
        <x:v>Trent VanEmon</x:v>
      </x:c>
      <x:c r="P3367" s="120" t="n">
        <x:v>44139.82710648148</x:v>
      </x:c>
      <x:c r="Q3367" s="117" t="str">
        <x:v>Trent VanEmon</x:v>
      </x:c>
      <x:c r="R3367" s="117" t="str">
        <x:v>Update Loaner fields when Shipment Created</x:v>
      </x:c>
      <x:c r="S3367" s="119"/>
    </x:row>
    <x:row r="3368" ht="30" customHeight="1">
      <x:c r="A3368" s="117" t="str">
        <x:v>Update_Loaner_when_Shipment_Created</x:v>
      </x:c>
      <x:c r="B3368" s="117" t="str">
        <x:v>3004O0000000a8XQAQ</x:v>
      </x:c>
      <x:c r="C3368" s="117" t="str">
        <x:v>3014O0000001MuRQAU</x:v>
      </x:c>
      <x:c r="D3368" s="118" t="n">
        <x:v>1</x:v>
      </x:c>
      <x:c r="E3368" s="117" t="str">
        <x:v>InvalidDraft</x:v>
      </x:c>
      <x:c r="F3368" s="117" t="str">
        <x:v>No</x:v>
      </x:c>
      <x:c r="G3368" s="117" t="str">
        <x:v>Yes</x:v>
      </x:c>
      <x:c r="H3368" s="117" t="str">
        <x:v>Workflow</x:v>
      </x:c>
      <x:c r="I3368" s="118" t="n">
        <x:v>50</x:v>
      </x:c>
      <x:c r="J3368" s="117" t="str">
        <x:v>unmanaged</x:v>
      </x:c>
      <x:c r="K3368" s="123" t="b">
        <x:v>0</x:v>
      </x:c>
      <x:c r="L3368" s="117"/>
      <x:c r="M3368" s="118"/>
      <x:c r="N3368" s="120" t="n">
        <x:v>44139.83346064815</x:v>
      </x:c>
      <x:c r="O3368" s="117" t="str">
        <x:v>Trent VanEmon</x:v>
      </x:c>
      <x:c r="P3368" s="120" t="n">
        <x:v>44139.83346064815</x:v>
      </x:c>
      <x:c r="Q3368" s="117" t="str">
        <x:v>Trent VanEmon</x:v>
      </x:c>
      <x:c r="R3368" s="117" t="str">
        <x:v>Update Loaner when Shipment Created</x:v>
      </x:c>
      <x:c r="S3368" s="119"/>
    </x:row>
    <x:row r="3369" ht="30" customHeight="1">
      <x:c r="A3369" s="117" t="str">
        <x:v>Update_Move_to_Fixed_Assets_Flow</x:v>
      </x:c>
      <x:c r="B3369" s="117" t="str">
        <x:v>3005b000000PyzvAAC</x:v>
      </x:c>
      <x:c r="C3369" s="117" t="str">
        <x:v>3015b000000W04NAAS</x:v>
      </x:c>
      <x:c r="D3369" s="118" t="n">
        <x:v>1</x:v>
      </x:c>
      <x:c r="E3369" s="117" t="str">
        <x:v>Obsolete</x:v>
      </x:c>
      <x:c r="F3369" s="117" t="str">
        <x:v>No</x:v>
      </x:c>
      <x:c r="G3369" s="117" t="str">
        <x:v>No</x:v>
      </x:c>
      <x:c r="H3369" s="117" t="str">
        <x:v>AutoLaunchedFlow</x:v>
      </x:c>
      <x:c r="I3369" s="118" t="n">
        <x:v>57</x:v>
      </x:c>
      <x:c r="J3369" s="117" t="str">
        <x:v>unmanaged</x:v>
      </x:c>
      <x:c r="K3369" s="123" t="b">
        <x:v>0</x:v>
      </x:c>
      <x:c r="L3369" s="117"/>
      <x:c r="M3369" s="118"/>
      <x:c r="N3369" s="120" t="n">
        <x:v>44986.89108796296</x:v>
      </x:c>
      <x:c r="O3369" s="117" t="str">
        <x:v>Jace Gentil</x:v>
      </x:c>
      <x:c r="P3369" s="120" t="n">
        <x:v>45006.66462962963</x:v>
      </x:c>
      <x:c r="Q3369" s="117" t="str">
        <x:v>Delegate</x:v>
      </x:c>
      <x:c r="R3369" s="117" t="str">
        <x:v>Update Move to Fixed Assets Flow</x:v>
      </x:c>
      <x:c r="S3369" s="119"/>
    </x:row>
    <x:row r="3370" ht="30" customHeight="1">
      <x:c r="A3370" s="117" t="str">
        <x:v>Update_Move_to_Fixed_Assets_Flow</x:v>
      </x:c>
      <x:c r="B3370" s="117" t="str">
        <x:v>3005b000000PyzvAAC</x:v>
      </x:c>
      <x:c r="C3370" s="117" t="str">
        <x:v>3015b000000W1S6AAK</x:v>
      </x:c>
      <x:c r="D3370" s="118" t="n">
        <x:v>2</x:v>
      </x:c>
      <x:c r="E3370" s="117" t="str">
        <x:v>Obsolete</x:v>
      </x:c>
      <x:c r="F3370" s="117" t="str">
        <x:v>No</x:v>
      </x:c>
      <x:c r="G3370" s="117" t="str">
        <x:v>No</x:v>
      </x:c>
      <x:c r="H3370" s="117" t="str">
        <x:v>AutoLaunchedFlow</x:v>
      </x:c>
      <x:c r="I3370" s="118" t="n">
        <x:v>57</x:v>
      </x:c>
      <x:c r="J3370" s="117" t="str">
        <x:v>unmanaged</x:v>
      </x:c>
      <x:c r="K3370" s="123" t="b">
        <x:v>0</x:v>
      </x:c>
      <x:c r="L3370" s="117"/>
      <x:c r="M3370" s="118"/>
      <x:c r="N3370" s="120" t="n">
        <x:v>45023.85089120371</x:v>
      </x:c>
      <x:c r="O3370" s="117" t="str">
        <x:v>Jace Gentil</x:v>
      </x:c>
      <x:c r="P3370" s="120" t="n">
        <x:v>45023.85304398148</x:v>
      </x:c>
      <x:c r="Q3370" s="117" t="str">
        <x:v>Jace Gentil</x:v>
      </x:c>
      <x:c r="R3370" s="117" t="str">
        <x:v>Update Move to Fixed Assets Flow</x:v>
      </x:c>
      <x:c r="S3370" s="119"/>
    </x:row>
    <x:row r="3371" ht="30" customHeight="1">
      <x:c r="A3371" s="117" t="str">
        <x:v>Update_Move_to_Fixed_Assets_Flow</x:v>
      </x:c>
      <x:c r="B3371" s="117" t="str">
        <x:v>3005b000000PyzvAAC</x:v>
      </x:c>
      <x:c r="C3371" s="117" t="str">
        <x:v>3015b000000W1dYAAS</x:v>
      </x:c>
      <x:c r="D3371" s="118" t="n">
        <x:v>3</x:v>
      </x:c>
      <x:c r="E3371" s="117" t="str">
        <x:v>Active</x:v>
      </x:c>
      <x:c r="F3371" s="117" t="str">
        <x:v>Yes</x:v>
      </x:c>
      <x:c r="G3371" s="117" t="str">
        <x:v>Yes</x:v>
      </x:c>
      <x:c r="H3371" s="117" t="str">
        <x:v>AutoLaunchedFlow</x:v>
      </x:c>
      <x:c r="I3371" s="118" t="n">
        <x:v>57</x:v>
      </x:c>
      <x:c r="J3371" s="117" t="str">
        <x:v>unmanaged</x:v>
      </x:c>
      <x:c r="K3371" s="123" t="b">
        <x:v>0</x:v>
      </x:c>
      <x:c r="L3371" s="117"/>
      <x:c r="M3371" s="118"/>
      <x:c r="N3371" s="120" t="n">
        <x:v>45030.590532407405</x:v>
      </x:c>
      <x:c r="O3371" s="117" t="str">
        <x:v>Jace Gentil</x:v>
      </x:c>
      <x:c r="P3371" s="120" t="n">
        <x:v>45030.59056712963</x:v>
      </x:c>
      <x:c r="Q3371" s="117" t="str">
        <x:v>Jace Gentil</x:v>
      </x:c>
      <x:c r="R3371" s="117" t="str">
        <x:v>Update Move to Fixed Assets Flow</x:v>
      </x:c>
      <x:c r="S3371" s="119"/>
    </x:row>
    <x:row r="3372" ht="30" customHeight="1">
      <x:c r="A3372" s="117" t="str">
        <x:v>Update_Need_Quote_Lines_to_Part_Quoted</x:v>
      </x:c>
      <x:c r="B3372" s="117" t="str">
        <x:v>300Ro00000mqjYXIAY</x:v>
      </x:c>
      <x:c r="C3372" s="117" t="str">
        <x:v>301Ro00000uFBpKIAW</x:v>
      </x:c>
      <x:c r="D3372" s="118" t="n">
        <x:v>1</x:v>
      </x:c>
      <x:c r="E3372" s="117" t="str">
        <x:v>Obsolete</x:v>
      </x:c>
      <x:c r="F3372" s="117" t="str">
        <x:v>No</x:v>
      </x:c>
      <x:c r="G3372" s="117" t="str">
        <x:v>No</x:v>
      </x:c>
      <x:c r="H3372" s="117" t="str">
        <x:v>AutoLaunchedFlow</x:v>
      </x:c>
      <x:c r="I3372" s="118" t="n">
        <x:v>65</x:v>
      </x:c>
      <x:c r="J3372" s="117" t="str">
        <x:v>unmanaged</x:v>
      </x:c>
      <x:c r="K3372" s="123" t="b">
        <x:v>0</x:v>
      </x:c>
      <x:c r="L3372" s="117"/>
      <x:c r="M3372" s="118"/>
      <x:c r="N3372" s="120" t="n">
        <x:v>46007.80747685185</x:v>
      </x:c>
      <x:c r="O3372" s="117" t="str">
        <x:v>Delegate</x:v>
      </x:c>
      <x:c r="P3372" s="120" t="n">
        <x:v>46007.807604166665</x:v>
      </x:c>
      <x:c r="Q3372" s="117" t="str">
        <x:v>Delegate</x:v>
      </x:c>
      <x:c r="R3372" s="117" t="str">
        <x:v>Update Need Quote Lines to Part Quoted</x:v>
      </x:c>
      <x:c r="S3372" s="119" t="str">
        <x:v>12/16/2025 (BW) - On setting of the work order to "Quote Attached", this updates the work order line items to "Part Quoted"</x:v>
      </x:c>
    </x:row>
    <x:row r="3373" ht="30" customHeight="1">
      <x:c r="A3373" s="117" t="str">
        <x:v>Update_Need_Quote_Lines_to_Part_Quoted</x:v>
      </x:c>
      <x:c r="B3373" s="117" t="str">
        <x:v>300Ro00000mqjYXIAY</x:v>
      </x:c>
      <x:c r="C3373" s="117" t="str">
        <x:v>301Ro00000uEaUpIAK</x:v>
      </x:c>
      <x:c r="D3373" s="118" t="n">
        <x:v>2</x:v>
      </x:c>
      <x:c r="E3373" s="117" t="str">
        <x:v>Obsolete</x:v>
      </x:c>
      <x:c r="F3373" s="117" t="str">
        <x:v>No</x:v>
      </x:c>
      <x:c r="G3373" s="117" t="str">
        <x:v>No</x:v>
      </x:c>
      <x:c r="H3373" s="117" t="str">
        <x:v>AutoLaunchedFlow</x:v>
      </x:c>
      <x:c r="I3373" s="118" t="n">
        <x:v>65</x:v>
      </x:c>
      <x:c r="J3373" s="117" t="str">
        <x:v>unmanaged</x:v>
      </x:c>
      <x:c r="K3373" s="123" t="b">
        <x:v>0</x:v>
      </x:c>
      <x:c r="L3373" s="117"/>
      <x:c r="M3373" s="118"/>
      <x:c r="N3373" s="120" t="n">
        <x:v>46007.81086805555</x:v>
      </x:c>
      <x:c r="O3373" s="117" t="str">
        <x:v>Delegate</x:v>
      </x:c>
      <x:c r="P3373" s="120" t="n">
        <x:v>46007.81103009259</x:v>
      </x:c>
      <x:c r="Q3373" s="117" t="str">
        <x:v>Delegate</x:v>
      </x:c>
      <x:c r="R3373" s="117" t="str">
        <x:v>Update Need Quote Lines to Part Quoted</x:v>
      </x:c>
      <x:c r="S3373" s="119" t="str">
        <x:v>12/16/2025 (BW) - Added a chatter setting so that this will trigger a chatter to be sent to the current Engineer</x:v>
      </x:c>
    </x:row>
    <x:row r="3374" ht="30" customHeight="1">
      <x:c r="A3374" s="117" t="str">
        <x:v>Update_Need_Quote_Lines_to_Part_Quoted</x:v>
      </x:c>
      <x:c r="B3374" s="117" t="str">
        <x:v>300Ro00000mqjYXIAY</x:v>
      </x:c>
      <x:c r="C3374" s="117" t="str">
        <x:v>301Ro00000yd6O4IAI</x:v>
      </x:c>
      <x:c r="D3374" s="118" t="n">
        <x:v>3</x:v>
      </x:c>
      <x:c r="E3374" s="117" t="str">
        <x:v>Obsolete</x:v>
      </x:c>
      <x:c r="F3374" s="117" t="str">
        <x:v>No</x:v>
      </x:c>
      <x:c r="G3374" s="117" t="str">
        <x:v>No</x:v>
      </x:c>
      <x:c r="H3374" s="117" t="str">
        <x:v>AutoLaunchedFlow</x:v>
      </x:c>
      <x:c r="I3374" s="118" t="n">
        <x:v>65</x:v>
      </x:c>
      <x:c r="J3374" s="117" t="str">
        <x:v>unmanaged</x:v>
      </x:c>
      <x:c r="K3374" s="123" t="b">
        <x:v>0</x:v>
      </x:c>
      <x:c r="L3374" s="117"/>
      <x:c r="M3374" s="118"/>
      <x:c r="N3374" s="120" t="n">
        <x:v>46071.78958333333</x:v>
      </x:c>
      <x:c r="O3374" s="117" t="str">
        <x:v>Delegate</x:v>
      </x:c>
      <x:c r="P3374" s="120" t="n">
        <x:v>46071.7899537037</x:v>
      </x:c>
      <x:c r="Q3374" s="117" t="str">
        <x:v>Delegate</x:v>
      </x:c>
      <x:c r="R3374" s="117" t="str">
        <x:v>Send Technician Alerts on Status Changes</x:v>
      </x:c>
      <x:c r="S3374" s="119" t="str">
        <x:v>02/18/2026 (BW) - Posts a chatter alert which CC's the engineer</x:v>
      </x:c>
    </x:row>
    <x:row r="3375" ht="30" customHeight="1">
      <x:c r="A3375" s="117" t="str">
        <x:v>Update_Need_Quote_Lines_to_Part_Quoted</x:v>
      </x:c>
      <x:c r="B3375" s="117" t="str">
        <x:v>300Ro00000mqjYXIAY</x:v>
      </x:c>
      <x:c r="C3375" s="117" t="str">
        <x:v>301Ro00000z5Yj1IAE</x:v>
      </x:c>
      <x:c r="D3375" s="118" t="n">
        <x:v>4</x:v>
      </x:c>
      <x:c r="E3375" s="117" t="str">
        <x:v>Obsolete</x:v>
      </x:c>
      <x:c r="F3375" s="117" t="str">
        <x:v>No</x:v>
      </x:c>
      <x:c r="G3375" s="117" t="str">
        <x:v>No</x:v>
      </x:c>
      <x:c r="H3375" s="117" t="str">
        <x:v>AutoLaunchedFlow</x:v>
      </x:c>
      <x:c r="I3375" s="118" t="n">
        <x:v>65</x:v>
      </x:c>
      <x:c r="J3375" s="117" t="str">
        <x:v>unmanaged</x:v>
      </x:c>
      <x:c r="K3375" s="123" t="b">
        <x:v>0</x:v>
      </x:c>
      <x:c r="L3375" s="117"/>
      <x:c r="M3375" s="118"/>
      <x:c r="N3375" s="120" t="n">
        <x:v>46077.578148148146</x:v>
      </x:c>
      <x:c r="O3375" s="117" t="str">
        <x:v>Delegate</x:v>
      </x:c>
      <x:c r="P3375" s="120" t="n">
        <x:v>46077.57822916667</x:v>
      </x:c>
      <x:c r="Q3375" s="117" t="str">
        <x:v>Delegate</x:v>
      </x:c>
      <x:c r="R3375" s="117" t="str">
        <x:v>Send Technician Alerts on Status Changes</x:v>
      </x:c>
      <x:c r="S3375" s="119" t="str">
        <x:v>02/24/2026 (BW) - Updating the chatter post templates that are used</x:v>
      </x:c>
    </x:row>
    <x:row r="3376" ht="30" customHeight="1">
      <x:c r="A3376" s="117" t="str">
        <x:v>Update_Need_Quote_Lines_to_Part_Quoted</x:v>
      </x:c>
      <x:c r="B3376" s="117" t="str">
        <x:v>300Ro00000mqjYXIAY</x:v>
      </x:c>
      <x:c r="C3376" s="117" t="str">
        <x:v>301Ro000012keX4IAI</x:v>
      </x:c>
      <x:c r="D3376" s="118" t="n">
        <x:v>5</x:v>
      </x:c>
      <x:c r="E3376" s="117" t="str">
        <x:v>Obsolete</x:v>
      </x:c>
      <x:c r="F3376" s="117" t="str">
        <x:v>No</x:v>
      </x:c>
      <x:c r="G3376" s="117" t="str">
        <x:v>No</x:v>
      </x:c>
      <x:c r="H3376" s="117" t="str">
        <x:v>AutoLaunchedFlow</x:v>
      </x:c>
      <x:c r="I3376" s="118" t="n">
        <x:v>65</x:v>
      </x:c>
      <x:c r="J3376" s="117" t="str">
        <x:v>unmanaged</x:v>
      </x:c>
      <x:c r="K3376" s="123" t="b">
        <x:v>0</x:v>
      </x:c>
      <x:c r="L3376" s="117"/>
      <x:c r="M3376" s="118"/>
      <x:c r="N3376" s="120" t="n">
        <x:v>46121.58090277778</x:v>
      </x:c>
      <x:c r="O3376" s="117" t="str">
        <x:v>Delegate</x:v>
      </x:c>
      <x:c r="P3376" s="120" t="n">
        <x:v>46121.58099537037</x:v>
      </x:c>
      <x:c r="Q3376" s="117" t="str">
        <x:v>Delegate</x:v>
      </x:c>
      <x:c r="R3376" s="117" t="str">
        <x:v>Send Technician Alerts on Status Changes And Update Line Status to "Quote Attached" When Needed</x:v>
      </x:c>
      <x:c r="S3376" s="119" t="str">
        <x:v>04/09/2026 (BW) - Updating so that Need quote to "Quote Attached" Excludes Labor/Travel/PM/Shipping lines</x:v>
      </x:c>
    </x:row>
    <x:row r="3377" ht="30" customHeight="1">
      <x:c r="A3377" s="117" t="str">
        <x:v>Update_Need_Quote_Lines_to_Part_Quoted</x:v>
      </x:c>
      <x:c r="B3377" s="117" t="str">
        <x:v>300Ro00000mqjYXIAY</x:v>
      </x:c>
      <x:c r="C3377" s="117" t="str">
        <x:v>301Ro000013KRWYIA4</x:v>
      </x:c>
      <x:c r="D3377" s="118" t="n">
        <x:v>6</x:v>
      </x:c>
      <x:c r="E3377" s="117" t="str">
        <x:v>Draft</x:v>
      </x:c>
      <x:c r="F3377" s="117" t="str">
        <x:v>No</x:v>
      </x:c>
      <x:c r="G3377" s="117" t="str">
        <x:v>No</x:v>
      </x:c>
      <x:c r="H3377" s="117" t="str">
        <x:v>AutoLaunchedFlow</x:v>
      </x:c>
      <x:c r="I3377" s="118" t="n">
        <x:v>65</x:v>
      </x:c>
      <x:c r="J3377" s="117" t="str">
        <x:v>unmanaged</x:v>
      </x:c>
      <x:c r="K3377" s="123" t="b">
        <x:v>0</x:v>
      </x:c>
      <x:c r="L3377" s="117"/>
      <x:c r="M3377" s="118"/>
      <x:c r="N3377" s="120" t="n">
        <x:v>46128.54079861111</x:v>
      </x:c>
      <x:c r="O3377" s="117" t="str">
        <x:v>Delegate</x:v>
      </x:c>
      <x:c r="P3377" s="120" t="n">
        <x:v>46128.540821759256</x:v>
      </x:c>
      <x:c r="Q3377" s="117" t="str">
        <x:v>Delegate</x:v>
      </x:c>
      <x:c r="R3377" s="117" t="str">
        <x:v>Send Technician Alerts on Status Changes And Update Line Status to "Quote Attached" When Needed</x:v>
      </x:c>
      <x:c r="S3377" s="119" t="str">
        <x:v>04/16/2026 (BW) - Updated to send an alert to the operations email address on Action Needed if it's present on the FSE</x:v>
      </x:c>
    </x:row>
    <x:row r="3378" ht="30" customHeight="1">
      <x:c r="A3378" s="117" t="str">
        <x:v>Update_Need_Quote_Lines_to_Part_Quoted</x:v>
      </x:c>
      <x:c r="B3378" s="117" t="str">
        <x:v>300Ro00000mqjYXIAY</x:v>
      </x:c>
      <x:c r="C3378" s="117" t="str">
        <x:v>301Ro000013KJYyIAO</x:v>
      </x:c>
      <x:c r="D3378" s="118" t="n">
        <x:v>7</x:v>
      </x:c>
      <x:c r="E3378" s="117" t="str">
        <x:v>Obsolete</x:v>
      </x:c>
      <x:c r="F3378" s="117" t="str">
        <x:v>No</x:v>
      </x:c>
      <x:c r="G3378" s="117" t="str">
        <x:v>No</x:v>
      </x:c>
      <x:c r="H3378" s="117" t="str">
        <x:v>AutoLaunchedFlow</x:v>
      </x:c>
      <x:c r="I3378" s="118" t="n">
        <x:v>65</x:v>
      </x:c>
      <x:c r="J3378" s="117" t="str">
        <x:v>unmanaged</x:v>
      </x:c>
      <x:c r="K3378" s="123" t="b">
        <x:v>0</x:v>
      </x:c>
      <x:c r="L3378" s="117"/>
      <x:c r="M3378" s="118"/>
      <x:c r="N3378" s="120" t="n">
        <x:v>46128.54131944444</x:v>
      </x:c>
      <x:c r="O3378" s="117" t="str">
        <x:v>Delegate</x:v>
      </x:c>
      <x:c r="P3378" s="120" t="n">
        <x:v>46128.54137731482</x:v>
      </x:c>
      <x:c r="Q3378" s="117" t="str">
        <x:v>Delegate</x:v>
      </x:c>
      <x:c r="R3378" s="117" t="str">
        <x:v>Send Technician Alerts on Status Changes And Update Line Status to "Quote Attached" When Needed</x:v>
      </x:c>
      <x:c r="S3378" s="119" t="str">
        <x:v>04/16/2026 (BW) - Updated to send an alert to the operations email address on Action Needed if it's present on the FSE</x:v>
      </x:c>
    </x:row>
    <x:row r="3379" ht="30" customHeight="1">
      <x:c r="A3379" s="117" t="str">
        <x:v>Update_Need_Quote_Lines_to_Part_Quoted</x:v>
      </x:c>
      <x:c r="B3379" s="117" t="str">
        <x:v>300Ro00000mqjYXIAY</x:v>
      </x:c>
      <x:c r="C3379" s="117" t="str">
        <x:v>301Ro000013LIB4IAO</x:v>
      </x:c>
      <x:c r="D3379" s="118" t="n">
        <x:v>8</x:v>
      </x:c>
      <x:c r="E3379" s="117" t="str">
        <x:v>Obsolete</x:v>
      </x:c>
      <x:c r="F3379" s="117" t="str">
        <x:v>No</x:v>
      </x:c>
      <x:c r="G3379" s="117" t="str">
        <x:v>No</x:v>
      </x:c>
      <x:c r="H3379" s="117" t="str">
        <x:v>AutoLaunchedFlow</x:v>
      </x:c>
      <x:c r="I3379" s="118" t="n">
        <x:v>65</x:v>
      </x:c>
      <x:c r="J3379" s="117" t="str">
        <x:v>unmanaged</x:v>
      </x:c>
      <x:c r="K3379" s="123" t="b">
        <x:v>0</x:v>
      </x:c>
      <x:c r="L3379" s="117"/>
      <x:c r="M3379" s="118"/>
      <x:c r="N3379" s="120" t="n">
        <x:v>46128.631747685184</x:v>
      </x:c>
      <x:c r="O3379" s="117" t="str">
        <x:v>Delegate</x:v>
      </x:c>
      <x:c r="P3379" s="120" t="n">
        <x:v>46128.631944444445</x:v>
      </x:c>
      <x:c r="Q3379" s="117" t="str">
        <x:v>Delegate</x:v>
      </x:c>
      <x:c r="R3379" s="117" t="str">
        <x:v>Send Alerts to Engineers and Operations upon Status Changes</x:v>
      </x:c>
      <x:c r="S3379" s="119" t="str">
        <x:v>04/16/2026 (BW) - Updating the name of the flow</x:v>
      </x:c>
    </x:row>
    <x:row r="3380" ht="30" customHeight="1">
      <x:c r="A3380" s="117" t="str">
        <x:v>Update_Need_Quote_Lines_to_Part_Quoted</x:v>
      </x:c>
      <x:c r="B3380" s="117" t="str">
        <x:v>300Ro00000mqjYXIAY</x:v>
      </x:c>
      <x:c r="C3380" s="117" t="str">
        <x:v>301Ro000013M4AoIAK</x:v>
      </x:c>
      <x:c r="D3380" s="118" t="n">
        <x:v>9</x:v>
      </x:c>
      <x:c r="E3380" s="117" t="str">
        <x:v>Draft</x:v>
      </x:c>
      <x:c r="F3380" s="117" t="str">
        <x:v>No</x:v>
      </x:c>
      <x:c r="G3380" s="117" t="str">
        <x:v>No</x:v>
      </x:c>
      <x:c r="H3380" s="117" t="str">
        <x:v>AutoLaunchedFlow</x:v>
      </x:c>
      <x:c r="I3380" s="118" t="n">
        <x:v>65</x:v>
      </x:c>
      <x:c r="J3380" s="117" t="str">
        <x:v>unmanaged</x:v>
      </x:c>
      <x:c r="K3380" s="123" t="b">
        <x:v>0</x:v>
      </x:c>
      <x:c r="L3380" s="117"/>
      <x:c r="M3380" s="118"/>
      <x:c r="N3380" s="120" t="n">
        <x:v>46128.694340277776</x:v>
      </x:c>
      <x:c r="O3380" s="117" t="str">
        <x:v>Delegate</x:v>
      </x:c>
      <x:c r="P3380" s="120" t="n">
        <x:v>46128.69436342592</x:v>
      </x:c>
      <x:c r="Q3380" s="117" t="str">
        <x:v>Delegate</x:v>
      </x:c>
      <x:c r="R3380" s="117" t="str">
        <x:v>Send Alerts to Engineers and Operations upon Status Changes</x:v>
      </x:c>
      <x:c r="S3380" s="119" t="str">
        <x:v>04/16/2026 (BW) - Updating the format of the alerts that are sent to the engineers</x:v>
      </x:c>
    </x:row>
    <x:row r="3381" ht="30" customHeight="1">
      <x:c r="A3381" s="117" t="str">
        <x:v>Update_Need_Quote_Lines_to_Part_Quoted</x:v>
      </x:c>
      <x:c r="B3381" s="117" t="str">
        <x:v>300Ro00000mqjYXIAY</x:v>
      </x:c>
      <x:c r="C3381" s="117" t="str">
        <x:v>301Ro000013jDTVIA2</x:v>
      </x:c>
      <x:c r="D3381" s="118" t="n">
        <x:v>10</x:v>
      </x:c>
      <x:c r="E3381" s="117" t="str">
        <x:v>Obsolete</x:v>
      </x:c>
      <x:c r="F3381" s="117" t="str">
        <x:v>No</x:v>
      </x:c>
      <x:c r="G3381" s="117" t="str">
        <x:v>No</x:v>
      </x:c>
      <x:c r="H3381" s="117" t="str">
        <x:v>AutoLaunchedFlow</x:v>
      </x:c>
      <x:c r="I3381" s="118" t="n">
        <x:v>65</x:v>
      </x:c>
      <x:c r="J3381" s="117" t="str">
        <x:v>unmanaged</x:v>
      </x:c>
      <x:c r="K3381" s="123" t="b">
        <x:v>0</x:v>
      </x:c>
      <x:c r="L3381" s="117"/>
      <x:c r="M3381" s="118"/>
      <x:c r="N3381" s="120" t="n">
        <x:v>46133.684699074074</x:v>
      </x:c>
      <x:c r="O3381" s="117" t="str">
        <x:v>Delegate</x:v>
      </x:c>
      <x:c r="P3381" s="120" t="n">
        <x:v>46135.645104166666</x:v>
      </x:c>
      <x:c r="Q3381" s="117" t="str">
        <x:v>Delegate</x:v>
      </x:c>
      <x:c r="R3381" s="117" t="str">
        <x:v>Send Alerts to Engineers and Operations upon Status Changes</x:v>
      </x:c>
      <x:c r="S3381" s="119" t="str">
        <x:v>04/21/2026 (BW) - Updated the details in the email alert</x:v>
      </x:c>
    </x:row>
    <x:row r="3382" ht="30" customHeight="1">
      <x:c r="A3382" s="117" t="str">
        <x:v>Update_Need_Quote_Lines_to_Part_Quoted</x:v>
      </x:c>
      <x:c r="B3382" s="117" t="str">
        <x:v>300Ro00000mqjYXIAY</x:v>
      </x:c>
      <x:c r="C3382" s="117" t="str">
        <x:v>301Ro000014SwhSIAS</x:v>
      </x:c>
      <x:c r="D3382" s="118" t="n">
        <x:v>11</x:v>
      </x:c>
      <x:c r="E3382" s="117" t="str">
        <x:v>Obsolete</x:v>
      </x:c>
      <x:c r="F3382" s="117" t="str">
        <x:v>No</x:v>
      </x:c>
      <x:c r="G3382" s="117" t="str">
        <x:v>No</x:v>
      </x:c>
      <x:c r="H3382" s="117" t="str">
        <x:v>AutoLaunchedFlow</x:v>
      </x:c>
      <x:c r="I3382" s="118" t="n">
        <x:v>65</x:v>
      </x:c>
      <x:c r="J3382" s="117" t="str">
        <x:v>unmanaged</x:v>
      </x:c>
      <x:c r="K3382" s="123" t="b">
        <x:v>0</x:v>
      </x:c>
      <x:c r="L3382" s="117"/>
      <x:c r="M3382" s="118"/>
      <x:c r="N3382" s="120" t="n">
        <x:v>46142.51217592593</x:v>
      </x:c>
      <x:c r="O3382" s="117" t="str">
        <x:v>Delegate</x:v>
      </x:c>
      <x:c r="P3382" s="120" t="n">
        <x:v>46142.514328703706</x:v>
      </x:c>
      <x:c r="Q3382" s="117" t="str">
        <x:v>Delegate</x:v>
      </x:c>
      <x:c r="R3382" s="117" t="str">
        <x:v>Send Alerts to Engineers and Operations upon Status Changes</x:v>
      </x:c>
      <x:c r="S3382" s="119" t="str">
        <x:v>04/30/2026 (BW) - Updated the alert to contain the tracking number in the report</x:v>
      </x:c>
    </x:row>
    <x:row r="3383" ht="30" customHeight="1">
      <x:c r="A3383" s="117" t="str">
        <x:v>Update_Need_Quote_Lines_to_Part_Quoted</x:v>
      </x:c>
      <x:c r="B3383" s="117" t="str">
        <x:v>300Ro00000mqjYXIAY</x:v>
      </x:c>
      <x:c r="C3383" s="117" t="str">
        <x:v>301Ro000014a9l9IAA</x:v>
      </x:c>
      <x:c r="D3383" s="118" t="n">
        <x:v>12</x:v>
      </x:c>
      <x:c r="E3383" s="117" t="str">
        <x:v>Obsolete</x:v>
      </x:c>
      <x:c r="F3383" s="117" t="str">
        <x:v>No</x:v>
      </x:c>
      <x:c r="G3383" s="117" t="str">
        <x:v>No</x:v>
      </x:c>
      <x:c r="H3383" s="117" t="str">
        <x:v>AutoLaunchedFlow</x:v>
      </x:c>
      <x:c r="I3383" s="118" t="n">
        <x:v>65</x:v>
      </x:c>
      <x:c r="J3383" s="117" t="str">
        <x:v>unmanaged</x:v>
      </x:c>
      <x:c r="K3383" s="123" t="b">
        <x:v>0</x:v>
      </x:c>
      <x:c r="L3383" s="117"/>
      <x:c r="M3383" s="118"/>
      <x:c r="N3383" s="120" t="n">
        <x:v>46143.60472222222</x:v>
      </x:c>
      <x:c r="O3383" s="117" t="str">
        <x:v>Delegate</x:v>
      </x:c>
      <x:c r="P3383" s="120" t="n">
        <x:v>46143.60490740741</x:v>
      </x:c>
      <x:c r="Q3383" s="117" t="str">
        <x:v>Delegate</x:v>
      </x:c>
      <x:c r="R3383" s="117" t="str">
        <x:v>Send Alerts to Engineers and Operations upon Status Changes</x:v>
      </x:c>
      <x:c r="S3383" s="119" t="str">
        <x:v>04/30/2026 (BW) - Updated the alert to contain the tracking number in the report</x:v>
      </x:c>
    </x:row>
    <x:row r="3384" ht="30" customHeight="1">
      <x:c r="A3384" s="117" t="str">
        <x:v>Update_Need_Quote_Lines_to_Part_Quoted</x:v>
      </x:c>
      <x:c r="B3384" s="117" t="str">
        <x:v>300Ro00000mqjYXIAY</x:v>
      </x:c>
      <x:c r="C3384" s="117" t="str">
        <x:v>301Ro00001500mFIAQ</x:v>
      </x:c>
      <x:c r="D3384" s="118" t="n">
        <x:v>13</x:v>
      </x:c>
      <x:c r="E3384" s="117" t="str">
        <x:v>Obsolete</x:v>
      </x:c>
      <x:c r="F3384" s="117" t="str">
        <x:v>No</x:v>
      </x:c>
      <x:c r="G3384" s="117" t="str">
        <x:v>No</x:v>
      </x:c>
      <x:c r="H3384" s="117" t="str">
        <x:v>AutoLaunchedFlow</x:v>
      </x:c>
      <x:c r="I3384" s="118" t="n">
        <x:v>65</x:v>
      </x:c>
      <x:c r="J3384" s="117" t="str">
        <x:v>unmanaged</x:v>
      </x:c>
      <x:c r="K3384" s="123" t="b">
        <x:v>0</x:v>
      </x:c>
      <x:c r="L3384" s="117"/>
      <x:c r="M3384" s="118"/>
      <x:c r="N3384" s="120" t="n">
        <x:v>46148.94548611111</x:v>
      </x:c>
      <x:c r="O3384" s="117" t="str">
        <x:v>Delegate</x:v>
      </x:c>
      <x:c r="P3384" s="120" t="n">
        <x:v>46148.94559027778</x:v>
      </x:c>
      <x:c r="Q3384" s="117" t="str">
        <x:v>Delegate</x:v>
      </x:c>
      <x:c r="R3384" s="117" t="str">
        <x:v>Send Alerts to Engineers and Operations upon Status Changes</x:v>
      </x:c>
      <x:c r="S3384" s="119" t="str">
        <x:v>05/06/2026 (BW) - Adding an update needed alert and a ready to ship email alert</x:v>
      </x:c>
    </x:row>
    <x:row r="3385" ht="30" customHeight="1">
      <x:c r="A3385" s="117" t="str">
        <x:v>Update_Need_Quote_Lines_to_Part_Quoted</x:v>
      </x:c>
      <x:c r="B3385" s="117" t="str">
        <x:v>300Ro00000mqjYXIAY</x:v>
      </x:c>
      <x:c r="C3385" s="117" t="str">
        <x:v>301Ro0000154KRNIA2</x:v>
      </x:c>
      <x:c r="D3385" s="118" t="n">
        <x:v>14</x:v>
      </x:c>
      <x:c r="E3385" s="117" t="str">
        <x:v>Obsolete</x:v>
      </x:c>
      <x:c r="F3385" s="117" t="str">
        <x:v>No</x:v>
      </x:c>
      <x:c r="G3385" s="117" t="str">
        <x:v>No</x:v>
      </x:c>
      <x:c r="H3385" s="117" t="str">
        <x:v>AutoLaunchedFlow</x:v>
      </x:c>
      <x:c r="I3385" s="118" t="n">
        <x:v>65</x:v>
      </x:c>
      <x:c r="J3385" s="117" t="str">
        <x:v>unmanaged</x:v>
      </x:c>
      <x:c r="K3385" s="123" t="b">
        <x:v>0</x:v>
      </x:c>
      <x:c r="L3385" s="117"/>
      <x:c r="M3385" s="118"/>
      <x:c r="N3385" s="120" t="n">
        <x:v>46149.71350694444</x:v>
      </x:c>
      <x:c r="O3385" s="117" t="str">
        <x:v>Delegate</x:v>
      </x:c>
      <x:c r="P3385" s="120" t="n">
        <x:v>46149.71469907407</x:v>
      </x:c>
      <x:c r="Q3385" s="117" t="str">
        <x:v>Delegate</x:v>
      </x:c>
      <x:c r="R3385" s="117" t="str">
        <x:v>Send Alerts to Engineers and Operations upon Status Changes</x:v>
      </x:c>
      <x:c r="S3385" s="119" t="str">
        <x:v>05/06/2026 (BW) - Adding an update needed alert and a ready to ship email alert
05/07/2026 (BW) - Adding Repair Approved, Exchange Approved, and Repair Declined email alerts to Rachel Stockwell</x:v>
      </x:c>
    </x:row>
    <x:row r="3386" ht="30" customHeight="1">
      <x:c r="A3386" s="117" t="str">
        <x:v>Update_Need_Quote_Lines_to_Part_Quoted</x:v>
      </x:c>
      <x:c r="B3386" s="117" t="str">
        <x:v>300Ro00000mqjYXIAY</x:v>
      </x:c>
      <x:c r="C3386" s="117" t="str">
        <x:v>301Ro000016esVbIAI</x:v>
      </x:c>
      <x:c r="D3386" s="118" t="n">
        <x:v>15</x:v>
      </x:c>
      <x:c r="E3386" s="117" t="str">
        <x:v>Obsolete</x:v>
      </x:c>
      <x:c r="F3386" s="117" t="str">
        <x:v>No</x:v>
      </x:c>
      <x:c r="G3386" s="117" t="str">
        <x:v>No</x:v>
      </x:c>
      <x:c r="H3386" s="117" t="str">
        <x:v>AutoLaunchedFlow</x:v>
      </x:c>
      <x:c r="I3386" s="118" t="n">
        <x:v>65</x:v>
      </x:c>
      <x:c r="J3386" s="117" t="str">
        <x:v>unmanaged</x:v>
      </x:c>
      <x:c r="K3386" s="123" t="b">
        <x:v>0</x:v>
      </x:c>
      <x:c r="L3386" s="117"/>
      <x:c r="M3386" s="118"/>
      <x:c r="N3386" s="120" t="n">
        <x:v>46168.0609837963</x:v>
      </x:c>
      <x:c r="O3386" s="117" t="str">
        <x:v>Delegate</x:v>
      </x:c>
      <x:c r="P3386" s="120" t="n">
        <x:v>46168.062268518515</x:v>
      </x:c>
      <x:c r="Q3386" s="117" t="str">
        <x:v>Delegate</x:v>
      </x:c>
      <x:c r="R3386" s="117" t="str">
        <x:v>Send Alerts to Engineers and Operations upon Status Changes</x:v>
      </x:c>
      <x:c r="S3386" s="119" t="str">
        <x:v>05/25/2026 (BW) - Adding FSL Compatible Mobile Alert for Testing</x:v>
      </x:c>
    </x:row>
    <x:row r="3387" ht="30" customHeight="1">
      <x:c r="A3387" s="117" t="str">
        <x:v>Update_Need_Quote_Lines_to_Part_Quoted</x:v>
      </x:c>
      <x:c r="B3387" s="117" t="str">
        <x:v>300Ro00000mqjYXIAY</x:v>
      </x:c>
      <x:c r="C3387" s="117" t="str">
        <x:v>301Ro000016f050IAA</x:v>
      </x:c>
      <x:c r="D3387" s="118" t="n">
        <x:v>16</x:v>
      </x:c>
      <x:c r="E3387" s="117" t="str">
        <x:v>Obsolete</x:v>
      </x:c>
      <x:c r="F3387" s="117" t="str">
        <x:v>No</x:v>
      </x:c>
      <x:c r="G3387" s="117" t="str">
        <x:v>No</x:v>
      </x:c>
      <x:c r="H3387" s="117" t="str">
        <x:v>AutoLaunchedFlow</x:v>
      </x:c>
      <x:c r="I3387" s="118" t="n">
        <x:v>65</x:v>
      </x:c>
      <x:c r="J3387" s="117" t="str">
        <x:v>unmanaged</x:v>
      </x:c>
      <x:c r="K3387" s="123" t="b">
        <x:v>0</x:v>
      </x:c>
      <x:c r="L3387" s="117"/>
      <x:c r="M3387" s="118"/>
      <x:c r="N3387" s="120" t="n">
        <x:v>46168.06296296296</x:v>
      </x:c>
      <x:c r="O3387" s="117" t="str">
        <x:v>Delegate</x:v>
      </x:c>
      <x:c r="P3387" s="120" t="n">
        <x:v>46168.06303240741</x:v>
      </x:c>
      <x:c r="Q3387" s="117" t="str">
        <x:v>Delegate</x:v>
      </x:c>
      <x:c r="R3387" s="117" t="str">
        <x:v>Send Alerts to Engineers and Operations upon Status Changes</x:v>
      </x:c>
      <x:c r="S3387" s="119" t="str">
        <x:v>05/25/2026 (BW) - Adding FSL Compatible Mobile Alert for Testing</x:v>
      </x:c>
    </x:row>
    <x:row r="3388" ht="30" customHeight="1">
      <x:c r="A3388" s="117" t="str">
        <x:v>Update_Need_Quote_Lines_to_Part_Quoted</x:v>
      </x:c>
      <x:c r="B3388" s="117" t="str">
        <x:v>300Ro00000mqjYXIAY</x:v>
      </x:c>
      <x:c r="C3388" s="117" t="str">
        <x:v>301Ro000016fAx9IAE</x:v>
      </x:c>
      <x:c r="D3388" s="118" t="n">
        <x:v>17</x:v>
      </x:c>
      <x:c r="E3388" s="117" t="str">
        <x:v>Obsolete</x:v>
      </x:c>
      <x:c r="F3388" s="117" t="str">
        <x:v>No</x:v>
      </x:c>
      <x:c r="G3388" s="117" t="str">
        <x:v>No</x:v>
      </x:c>
      <x:c r="H3388" s="117" t="str">
        <x:v>AutoLaunchedFlow</x:v>
      </x:c>
      <x:c r="I3388" s="118" t="n">
        <x:v>65</x:v>
      </x:c>
      <x:c r="J3388" s="117" t="str">
        <x:v>unmanaged</x:v>
      </x:c>
      <x:c r="K3388" s="123" t="b">
        <x:v>0</x:v>
      </x:c>
      <x:c r="L3388" s="117"/>
      <x:c r="M3388" s="118"/>
      <x:c r="N3388" s="120" t="n">
        <x:v>46168.06549768519</x:v>
      </x:c>
      <x:c r="O3388" s="117" t="str">
        <x:v>Delegate</x:v>
      </x:c>
      <x:c r="P3388" s="120" t="n">
        <x:v>46168.06600694444</x:v>
      </x:c>
      <x:c r="Q3388" s="117" t="str">
        <x:v>Delegate</x:v>
      </x:c>
      <x:c r="R3388" s="117" t="str">
        <x:v>Send Alerts to Engineers and Operations upon Status Changes</x:v>
      </x:c>
      <x:c r="S3388" s="119" t="str">
        <x:v>05/25/2026 (BW) - Adding FSL Compatible Mobile Alert for Testing</x:v>
      </x:c>
    </x:row>
    <x:row r="3389" ht="30" customHeight="1">
      <x:c r="A3389" s="117" t="str">
        <x:v>Update_Need_Quote_Lines_to_Part_Quoted</x:v>
      </x:c>
      <x:c r="B3389" s="117" t="str">
        <x:v>300Ro00000mqjYXIAY</x:v>
      </x:c>
      <x:c r="C3389" s="117" t="str">
        <x:v>301Ro000016fGT4IAM</x:v>
      </x:c>
      <x:c r="D3389" s="118" t="n">
        <x:v>18</x:v>
      </x:c>
      <x:c r="E3389" s="117" t="str">
        <x:v>Obsolete</x:v>
      </x:c>
      <x:c r="F3389" s="117" t="str">
        <x:v>No</x:v>
      </x:c>
      <x:c r="G3389" s="117" t="str">
        <x:v>No</x:v>
      </x:c>
      <x:c r="H3389" s="117" t="str">
        <x:v>AutoLaunchedFlow</x:v>
      </x:c>
      <x:c r="I3389" s="118" t="n">
        <x:v>65</x:v>
      </x:c>
      <x:c r="J3389" s="117" t="str">
        <x:v>unmanaged</x:v>
      </x:c>
      <x:c r="K3389" s="123" t="b">
        <x:v>0</x:v>
      </x:c>
      <x:c r="L3389" s="117"/>
      <x:c r="M3389" s="118"/>
      <x:c r="N3389" s="120" t="n">
        <x:v>46168.06674768519</x:v>
      </x:c>
      <x:c r="O3389" s="117" t="str">
        <x:v>Delegate</x:v>
      </x:c>
      <x:c r="P3389" s="120" t="n">
        <x:v>46168.06706018518</x:v>
      </x:c>
      <x:c r="Q3389" s="117" t="str">
        <x:v>Delegate</x:v>
      </x:c>
      <x:c r="R3389" s="117" t="str">
        <x:v>Send Alerts to Engineers and Operations upon Status Changes</x:v>
      </x:c>
      <x:c r="S3389" s="119" t="str">
        <x:v>05/25/2026 (BW) - Adding FSL Compatible Mobile Alert for Testing</x:v>
      </x:c>
    </x:row>
    <x:row r="3390" ht="30" customHeight="1">
      <x:c r="A3390" s="117" t="str">
        <x:v>Update_Need_Quote_Lines_to_Part_Quoted</x:v>
      </x:c>
      <x:c r="B3390" s="117" t="str">
        <x:v>300Ro00000mqjYXIAY</x:v>
      </x:c>
      <x:c r="C3390" s="117" t="str">
        <x:v>301Ro0000170DIWIA2</x:v>
      </x:c>
      <x:c r="D3390" s="118" t="n">
        <x:v>19</x:v>
      </x:c>
      <x:c r="E3390" s="117" t="str">
        <x:v>Obsolete</x:v>
      </x:c>
      <x:c r="F3390" s="117" t="str">
        <x:v>No</x:v>
      </x:c>
      <x:c r="G3390" s="117" t="str">
        <x:v>No</x:v>
      </x:c>
      <x:c r="H3390" s="117" t="str">
        <x:v>AutoLaunchedFlow</x:v>
      </x:c>
      <x:c r="I3390" s="118" t="n">
        <x:v>65</x:v>
      </x:c>
      <x:c r="J3390" s="117" t="str">
        <x:v>unmanaged</x:v>
      </x:c>
      <x:c r="K3390" s="123" t="b">
        <x:v>0</x:v>
      </x:c>
      <x:c r="L3390" s="117"/>
      <x:c r="M3390" s="118"/>
      <x:c r="N3390" s="120" t="n">
        <x:v>46170.93638888889</x:v>
      </x:c>
      <x:c r="O3390" s="117" t="str">
        <x:v>Delegate</x:v>
      </x:c>
      <x:c r="P3390" s="120" t="n">
        <x:v>46170.93787037037</x:v>
      </x:c>
      <x:c r="Q3390" s="117" t="str">
        <x:v>Delegate</x:v>
      </x:c>
      <x:c r="R3390" s="117" t="str">
        <x:v>Send Alerts to Engineers and Operations upon Status Changes</x:v>
      </x:c>
      <x:c r="S3390" s="119" t="str">
        <x:v>05/25/2026 (BW) - Adding FSL Compatible Mobile Alert for Testing
05/28/2026 (BW) - Replaced remaining chatterPost actions with customNotificationAction to match Quote pattern</x:v>
      </x:c>
    </x:row>
    <x:row r="3391" ht="30" customHeight="1">
      <x:c r="A3391" s="117" t="str">
        <x:v>Update_Need_Quote_Lines_to_Part_Quoted</x:v>
      </x:c>
      <x:c r="B3391" s="117" t="str">
        <x:v>300Ro00000mqjYXIAY</x:v>
      </x:c>
      <x:c r="C3391" s="117" t="str">
        <x:v>301Ro000017DGdfIAG</x:v>
      </x:c>
      <x:c r="D3391" s="118" t="n">
        <x:v>20</x:v>
      </x:c>
      <x:c r="E3391" s="117" t="str">
        <x:v>Obsolete</x:v>
      </x:c>
      <x:c r="F3391" s="117" t="str">
        <x:v>No</x:v>
      </x:c>
      <x:c r="G3391" s="117" t="str">
        <x:v>No</x:v>
      </x:c>
      <x:c r="H3391" s="117" t="str">
        <x:v>AutoLaunchedFlow</x:v>
      </x:c>
      <x:c r="I3391" s="118" t="n">
        <x:v>65</x:v>
      </x:c>
      <x:c r="J3391" s="117" t="str">
        <x:v>unmanaged</x:v>
      </x:c>
      <x:c r="K3391" s="123" t="b">
        <x:v>0</x:v>
      </x:c>
      <x:c r="L3391" s="117"/>
      <x:c r="M3391" s="118"/>
      <x:c r="N3391" s="120" t="n">
        <x:v>46174.082094907404</x:v>
      </x:c>
      <x:c r="O3391" s="117" t="str">
        <x:v>Delegate</x:v>
      </x:c>
      <x:c r="P3391" s="120" t="n">
        <x:v>46174.08614583333</x:v>
      </x:c>
      <x:c r="Q3391" s="117" t="str">
        <x:v>Delegate</x:v>
      </x:c>
      <x:c r="R3391" s="117" t="str">
        <x:v>Send Alerts to Engineers and Operations upon Status Changes</x:v>
      </x:c>
      <x:c r="S3391" s="119" t="str">
        <x:v>05/31/2026 (BW) - Fixed varListOfEngineersToNotify not being populated on Sourcing, Parts/Probe Shipped, Ready to Ship, and Completed/Closed paths; moved population to a single assignment before Work_Order_Status decision</x:v>
      </x:c>
    </x:row>
    <x:row r="3392" ht="30" customHeight="1">
      <x:c r="A3392" s="117" t="str">
        <x:v>Update_Need_Quote_Lines_to_Part_Quoted</x:v>
      </x:c>
      <x:c r="B3392" s="117" t="str">
        <x:v>300Ro00000mqjYXIAY</x:v>
      </x:c>
      <x:c r="C3392" s="117" t="str">
        <x:v>301Ro000017Hd6uIAC</x:v>
      </x:c>
      <x:c r="D3392" s="118" t="n">
        <x:v>21</x:v>
      </x:c>
      <x:c r="E3392" s="117" t="str">
        <x:v>Active</x:v>
      </x:c>
      <x:c r="F3392" s="117" t="str">
        <x:v>Yes</x:v>
      </x:c>
      <x:c r="G3392" s="117" t="str">
        <x:v>Yes</x:v>
      </x:c>
      <x:c r="H3392" s="117" t="str">
        <x:v>AutoLaunchedFlow</x:v>
      </x:c>
      <x:c r="I3392" s="118" t="n">
        <x:v>65</x:v>
      </x:c>
      <x:c r="J3392" s="117" t="str">
        <x:v>unmanaged</x:v>
      </x:c>
      <x:c r="K3392" s="123" t="b">
        <x:v>0</x:v>
      </x:c>
      <x:c r="L3392" s="117"/>
      <x:c r="M3392" s="118"/>
      <x:c r="N3392" s="120" t="n">
        <x:v>46174.781747685185</x:v>
      </x:c>
      <x:c r="O3392" s="117" t="str">
        <x:v>Delegate</x:v>
      </x:c>
      <x:c r="P3392" s="120" t="n">
        <x:v>46174.78396990741</x:v>
      </x:c>
      <x:c r="Q3392" s="117" t="str">
        <x:v>Delegate</x:v>
      </x:c>
      <x:c r="R3392" s="117" t="str">
        <x:v>Send Alerts to Engineers and Operations upon Status Changes</x:v>
      </x:c>
      <x:c r="S3392" s="119" t="str">
        <x:v>06/01/26 (BW) – Added Re-Generate FSR mobile notification to engineer WO owner when status changes to Re-Generate FSR</x:v>
      </x:c>
    </x:row>
    <x:row r="3393" ht="30" customHeight="1">
      <x:c r="A3393" s="117" t="str">
        <x:v>Update_Opportunity_With_Lead_Gen_Info</x:v>
      </x:c>
      <x:c r="B3393" s="117" t="str">
        <x:v>3005b000000Pz8JAAS</x:v>
      </x:c>
      <x:c r="C3393" s="117" t="str">
        <x:v>3015b000000W107AAC</x:v>
      </x:c>
      <x:c r="D3393" s="118" t="n">
        <x:v>1</x:v>
      </x:c>
      <x:c r="E3393" s="117" t="str">
        <x:v>Obsolete</x:v>
      </x:c>
      <x:c r="F3393" s="117" t="str">
        <x:v>No</x:v>
      </x:c>
      <x:c r="G3393" s="117" t="str">
        <x:v>No</x:v>
      </x:c>
      <x:c r="H3393" s="117" t="str">
        <x:v>AutoLaunchedFlow</x:v>
      </x:c>
      <x:c r="I3393" s="118" t="n">
        <x:v>57</x:v>
      </x:c>
      <x:c r="J3393" s="117" t="str">
        <x:v>unmanaged</x:v>
      </x:c>
      <x:c r="K3393" s="123" t="b">
        <x:v>0</x:v>
      </x:c>
      <x:c r="L3393" s="117"/>
      <x:c r="M3393" s="118"/>
      <x:c r="N3393" s="120" t="n">
        <x:v>45008.86153935185</x:v>
      </x:c>
      <x:c r="O3393" s="117" t="str">
        <x:v>Jace Gentil</x:v>
      </x:c>
      <x:c r="P3393" s="120" t="n">
        <x:v>45008.86157407407</x:v>
      </x:c>
      <x:c r="Q3393" s="117" t="str">
        <x:v>Jace Gentil</x:v>
      </x:c>
      <x:c r="R3393" s="117" t="str">
        <x:v>Update Opportunity With Lead Gen Info</x:v>
      </x:c>
      <x:c r="S3393" s="119"/>
    </x:row>
    <x:row r="3394" ht="30" customHeight="1">
      <x:c r="A3394" s="117" t="str">
        <x:v>Update_Opportunity_With_Lead_Gen_Info</x:v>
      </x:c>
      <x:c r="B3394" s="117" t="str">
        <x:v>3005b000000Pz8JAAS</x:v>
      </x:c>
      <x:c r="C3394" s="117" t="str">
        <x:v>3015b000000W110AAC</x:v>
      </x:c>
      <x:c r="D3394" s="118" t="n">
        <x:v>2</x:v>
      </x:c>
      <x:c r="E3394" s="117" t="str">
        <x:v>Obsolete</x:v>
      </x:c>
      <x:c r="F3394" s="117" t="str">
        <x:v>No</x:v>
      </x:c>
      <x:c r="G3394" s="117" t="str">
        <x:v>No</x:v>
      </x:c>
      <x:c r="H3394" s="117" t="str">
        <x:v>AutoLaunchedFlow</x:v>
      </x:c>
      <x:c r="I3394" s="118" t="n">
        <x:v>57</x:v>
      </x:c>
      <x:c r="J3394" s="117" t="str">
        <x:v>unmanaged</x:v>
      </x:c>
      <x:c r="K3394" s="123" t="b">
        <x:v>0</x:v>
      </x:c>
      <x:c r="L3394" s="117"/>
      <x:c r="M3394" s="118"/>
      <x:c r="N3394" s="120" t="n">
        <x:v>45009.59841435185</x:v>
      </x:c>
      <x:c r="O3394" s="117" t="str">
        <x:v>Jace Gentil</x:v>
      </x:c>
      <x:c r="P3394" s="120" t="n">
        <x:v>45009.598449074074</x:v>
      </x:c>
      <x:c r="Q3394" s="117" t="str">
        <x:v>Jace Gentil</x:v>
      </x:c>
      <x:c r="R3394" s="117" t="str">
        <x:v>Update Opportunity With Lead Gen Info</x:v>
      </x:c>
      <x:c r="S3394" s="119"/>
    </x:row>
    <x:row r="3395" ht="30" customHeight="1">
      <x:c r="A3395" s="117" t="str">
        <x:v>Update_Opportunity_With_Lead_Gen_Info</x:v>
      </x:c>
      <x:c r="B3395" s="117" t="str">
        <x:v>3005b000000Pz8JAAS</x:v>
      </x:c>
      <x:c r="C3395" s="117" t="str">
        <x:v>3015b000000W1F7AAK</x:v>
      </x:c>
      <x:c r="D3395" s="118" t="n">
        <x:v>3</x:v>
      </x:c>
      <x:c r="E3395" s="117" t="str">
        <x:v>Obsolete</x:v>
      </x:c>
      <x:c r="F3395" s="117" t="str">
        <x:v>No</x:v>
      </x:c>
      <x:c r="G3395" s="117" t="str">
        <x:v>No</x:v>
      </x:c>
      <x:c r="H3395" s="117" t="str">
        <x:v>AutoLaunchedFlow</x:v>
      </x:c>
      <x:c r="I3395" s="118" t="n">
        <x:v>57</x:v>
      </x:c>
      <x:c r="J3395" s="117" t="str">
        <x:v>unmanaged</x:v>
      </x:c>
      <x:c r="K3395" s="123" t="b">
        <x:v>0</x:v>
      </x:c>
      <x:c r="L3395" s="117"/>
      <x:c r="M3395" s="118"/>
      <x:c r="N3395" s="120" t="n">
        <x:v>45019.5580787037</x:v>
      </x:c>
      <x:c r="O3395" s="117" t="str">
        <x:v>Jace Gentil</x:v>
      </x:c>
      <x:c r="P3395" s="120" t="n">
        <x:v>45019.55814814815</x:v>
      </x:c>
      <x:c r="Q3395" s="117" t="str">
        <x:v>Jace Gentil</x:v>
      </x:c>
      <x:c r="R3395" s="117" t="str">
        <x:v>Update Opportunity With Lead Gen Info</x:v>
      </x:c>
      <x:c r="S3395" s="119"/>
    </x:row>
    <x:row r="3396" ht="30" customHeight="1">
      <x:c r="A3396" s="117" t="str">
        <x:v>Update_Opportunity_With_Lead_Gen_Info</x:v>
      </x:c>
      <x:c r="B3396" s="117" t="str">
        <x:v>3005b000000Pz8JAAS</x:v>
      </x:c>
      <x:c r="C3396" s="117" t="str">
        <x:v>3015b000000W1NGAA0</x:v>
      </x:c>
      <x:c r="D3396" s="118" t="n">
        <x:v>4</x:v>
      </x:c>
      <x:c r="E3396" s="117" t="str">
        <x:v>Obsolete</x:v>
      </x:c>
      <x:c r="F3396" s="117" t="str">
        <x:v>No</x:v>
      </x:c>
      <x:c r="G3396" s="117" t="str">
        <x:v>No</x:v>
      </x:c>
      <x:c r="H3396" s="117" t="str">
        <x:v>AutoLaunchedFlow</x:v>
      </x:c>
      <x:c r="I3396" s="118" t="n">
        <x:v>57</x:v>
      </x:c>
      <x:c r="J3396" s="117" t="str">
        <x:v>unmanaged</x:v>
      </x:c>
      <x:c r="K3396" s="123" t="b">
        <x:v>0</x:v>
      </x:c>
      <x:c r="L3396" s="117"/>
      <x:c r="M3396" s="118"/>
      <x:c r="N3396" s="120" t="n">
        <x:v>45021.680127314816</x:v>
      </x:c>
      <x:c r="O3396" s="117" t="str">
        <x:v>Jace Gentil</x:v>
      </x:c>
      <x:c r="P3396" s="120" t="n">
        <x:v>45021.680185185185</x:v>
      </x:c>
      <x:c r="Q3396" s="117" t="str">
        <x:v>Jace Gentil</x:v>
      </x:c>
      <x:c r="R3396" s="117" t="str">
        <x:v>Update Opportunity With Lead Gen Info</x:v>
      </x:c>
      <x:c r="S3396" s="119"/>
    </x:row>
    <x:row r="3397" ht="30" customHeight="1">
      <x:c r="A3397" s="117" t="str">
        <x:v>Update_Opportunity_With_Lead_Gen_Info</x:v>
      </x:c>
      <x:c r="B3397" s="117" t="str">
        <x:v>3005b000000Pz8JAAS</x:v>
      </x:c>
      <x:c r="C3397" s="117" t="str">
        <x:v>3015b000000W1PMAA0</x:v>
      </x:c>
      <x:c r="D3397" s="118" t="n">
        <x:v>5</x:v>
      </x:c>
      <x:c r="E3397" s="117" t="str">
        <x:v>Obsolete</x:v>
      </x:c>
      <x:c r="F3397" s="117" t="str">
        <x:v>No</x:v>
      </x:c>
      <x:c r="G3397" s="117" t="str">
        <x:v>No</x:v>
      </x:c>
      <x:c r="H3397" s="117" t="str">
        <x:v>AutoLaunchedFlow</x:v>
      </x:c>
      <x:c r="I3397" s="118" t="n">
        <x:v>57</x:v>
      </x:c>
      <x:c r="J3397" s="117" t="str">
        <x:v>unmanaged</x:v>
      </x:c>
      <x:c r="K3397" s="123" t="b">
        <x:v>0</x:v>
      </x:c>
      <x:c r="L3397" s="117"/>
      <x:c r="M3397" s="118"/>
      <x:c r="N3397" s="120" t="n">
        <x:v>45021.899618055555</x:v>
      </x:c>
      <x:c r="O3397" s="117" t="str">
        <x:v>Jace Gentil</x:v>
      </x:c>
      <x:c r="P3397" s="120" t="n">
        <x:v>45021.89965277778</x:v>
      </x:c>
      <x:c r="Q3397" s="117" t="str">
        <x:v>Jace Gentil</x:v>
      </x:c>
      <x:c r="R3397" s="117" t="str">
        <x:v>Update Opportunity With Lead Gen Info</x:v>
      </x:c>
      <x:c r="S3397" s="119"/>
    </x:row>
    <x:row r="3398" ht="30" customHeight="1">
      <x:c r="A3398" s="117" t="str">
        <x:v>Update_Opportunity_With_Lead_Gen_Info</x:v>
      </x:c>
      <x:c r="B3398" s="117" t="str">
        <x:v>3005b000000Pz8JAAS</x:v>
      </x:c>
      <x:c r="C3398" s="117" t="str">
        <x:v>3015b000000APeMAAW</x:v>
      </x:c>
      <x:c r="D3398" s="118" t="n">
        <x:v>6</x:v>
      </x:c>
      <x:c r="E3398" s="117" t="str">
        <x:v>Active</x:v>
      </x:c>
      <x:c r="F3398" s="117" t="str">
        <x:v>Yes</x:v>
      </x:c>
      <x:c r="G3398" s="117" t="str">
        <x:v>Yes</x:v>
      </x:c>
      <x:c r="H3398" s="117" t="str">
        <x:v>AutoLaunchedFlow</x:v>
      </x:c>
      <x:c r="I3398" s="118" t="n">
        <x:v>57</x:v>
      </x:c>
      <x:c r="J3398" s="117" t="str">
        <x:v>unmanaged</x:v>
      </x:c>
      <x:c r="K3398" s="123" t="b">
        <x:v>0</x:v>
      </x:c>
      <x:c r="L3398" s="117"/>
      <x:c r="M3398" s="118"/>
      <x:c r="N3398" s="120" t="n">
        <x:v>45145.53923611111</x:v>
      </x:c>
      <x:c r="O3398" s="117" t="str">
        <x:v>Delegate</x:v>
      </x:c>
      <x:c r="P3398" s="120" t="n">
        <x:v>45145.53942129629</x:v>
      </x:c>
      <x:c r="Q3398" s="117" t="str">
        <x:v>Delegate</x:v>
      </x:c>
      <x:c r="R3398" s="117" t="str">
        <x:v>Update Opportunity With Lead Gen Info</x:v>
      </x:c>
      <x:c r="S3398" s="119" t="str">
        <x:v>Added asynchronous path</x:v>
      </x:c>
    </x:row>
    <x:row r="3399" ht="30" customHeight="1">
      <x:c r="A3399" s="117" t="str">
        <x:v>Update_Payment_Request</x:v>
      </x:c>
      <x:c r="B3399" s="117" t="str">
        <x:v>3004O0000000ZuGQAU</x:v>
      </x:c>
      <x:c r="C3399" s="117" t="str">
        <x:v>3014O0000001LbUQAU</x:v>
      </x:c>
      <x:c r="D3399" s="118" t="n">
        <x:v>1</x:v>
      </x:c>
      <x:c r="E3399" s="117" t="str">
        <x:v>Obsolete</x:v>
      </x:c>
      <x:c r="F3399" s="117" t="str">
        <x:v>No</x:v>
      </x:c>
      <x:c r="G3399" s="117" t="str">
        <x:v>No</x:v>
      </x:c>
      <x:c r="H3399" s="117" t="str">
        <x:v>Workflow</x:v>
      </x:c>
      <x:c r="I3399" s="118"/>
      <x:c r="J3399" s="117" t="str">
        <x:v>unmanaged</x:v>
      </x:c>
      <x:c r="K3399" s="123" t="b">
        <x:v>0</x:v>
      </x:c>
      <x:c r="L3399" s="117"/>
      <x:c r="M3399" s="118"/>
      <x:c r="N3399" s="120" t="n">
        <x:v>44070.163298611114</x:v>
      </x:c>
      <x:c r="O3399" s="117" t="str">
        <x:v>Trent VanEmon</x:v>
      </x:c>
      <x:c r="P3399" s="120" t="n">
        <x:v>44071.754375</x:v>
      </x:c>
      <x:c r="Q3399" s="117" t="str">
        <x:v>Trent VanEmon</x:v>
      </x:c>
      <x:c r="R3399" s="117" t="str">
        <x:v>Update Payment Request</x:v>
      </x:c>
      <x:c r="S3399" s="119"/>
    </x:row>
    <x:row r="3400" ht="30" customHeight="1">
      <x:c r="A3400" s="117" t="str">
        <x:v>Update_Payment_Request</x:v>
      </x:c>
      <x:c r="B3400" s="117" t="str">
        <x:v>3004O0000000ZuGQAU</x:v>
      </x:c>
      <x:c r="C3400" s="117" t="str">
        <x:v>3014O0000001LdnQAE</x:v>
      </x:c>
      <x:c r="D3400" s="118" t="n">
        <x:v>2</x:v>
      </x:c>
      <x:c r="E3400" s="117" t="str">
        <x:v>Obsolete</x:v>
      </x:c>
      <x:c r="F3400" s="117" t="str">
        <x:v>No</x:v>
      </x:c>
      <x:c r="G3400" s="117" t="str">
        <x:v>No</x:v>
      </x:c>
      <x:c r="H3400" s="117" t="str">
        <x:v>Workflow</x:v>
      </x:c>
      <x:c r="I3400" s="118"/>
      <x:c r="J3400" s="117" t="str">
        <x:v>unmanaged</x:v>
      </x:c>
      <x:c r="K3400" s="123" t="b">
        <x:v>0</x:v>
      </x:c>
      <x:c r="L3400" s="117"/>
      <x:c r="M3400" s="118"/>
      <x:c r="N3400" s="120" t="n">
        <x:v>44071.75506944444</x:v>
      </x:c>
      <x:c r="O3400" s="117" t="str">
        <x:v>Trent VanEmon</x:v>
      </x:c>
      <x:c r="P3400" s="120" t="n">
        <x:v>44071.75582175926</x:v>
      </x:c>
      <x:c r="Q3400" s="117" t="str">
        <x:v>Trent VanEmon</x:v>
      </x:c>
      <x:c r="R3400" s="117" t="str">
        <x:v>Update Payment Request</x:v>
      </x:c>
      <x:c r="S3400" s="119"/>
    </x:row>
    <x:row r="3401" ht="30" customHeight="1">
      <x:c r="A3401" s="117" t="str">
        <x:v>Update_Payment_Request</x:v>
      </x:c>
      <x:c r="B3401" s="117" t="str">
        <x:v>3004O0000000ZuGQAU</x:v>
      </x:c>
      <x:c r="C3401" s="117" t="str">
        <x:v>3014O0000001LftQAE</x:v>
      </x:c>
      <x:c r="D3401" s="118" t="n">
        <x:v>3</x:v>
      </x:c>
      <x:c r="E3401" s="117" t="str">
        <x:v>Obsolete</x:v>
      </x:c>
      <x:c r="F3401" s="117" t="str">
        <x:v>No</x:v>
      </x:c>
      <x:c r="G3401" s="117" t="str">
        <x:v>No</x:v>
      </x:c>
      <x:c r="H3401" s="117" t="str">
        <x:v>Workflow</x:v>
      </x:c>
      <x:c r="I3401" s="118"/>
      <x:c r="J3401" s="117" t="str">
        <x:v>unmanaged</x:v>
      </x:c>
      <x:c r="K3401" s="123" t="b">
        <x:v>0</x:v>
      </x:c>
      <x:c r="L3401" s="117"/>
      <x:c r="M3401" s="118"/>
      <x:c r="N3401" s="120" t="n">
        <x:v>44074.76148148148</x:v>
      </x:c>
      <x:c r="O3401" s="117" t="str">
        <x:v>Trent VanEmon</x:v>
      </x:c>
      <x:c r="P3401" s="120" t="n">
        <x:v>44074.761979166666</x:v>
      </x:c>
      <x:c r="Q3401" s="117" t="str">
        <x:v>Trent VanEmon</x:v>
      </x:c>
      <x:c r="R3401" s="117" t="str">
        <x:v>Update Payment Request</x:v>
      </x:c>
      <x:c r="S3401" s="119"/>
    </x:row>
    <x:row r="3402" ht="30" customHeight="1">
      <x:c r="A3402" s="117" t="str">
        <x:v>Update_Payment_Request</x:v>
      </x:c>
      <x:c r="B3402" s="117" t="str">
        <x:v>3004O0000000ZuGQAU</x:v>
      </x:c>
      <x:c r="C3402" s="117" t="str">
        <x:v>3014O0000001Lg3QAE</x:v>
      </x:c>
      <x:c r="D3402" s="118" t="n">
        <x:v>4</x:v>
      </x:c>
      <x:c r="E3402" s="117" t="str">
        <x:v>Obsolete</x:v>
      </x:c>
      <x:c r="F3402" s="117" t="str">
        <x:v>No</x:v>
      </x:c>
      <x:c r="G3402" s="117" t="str">
        <x:v>No</x:v>
      </x:c>
      <x:c r="H3402" s="117" t="str">
        <x:v>Workflow</x:v>
      </x:c>
      <x:c r="I3402" s="118"/>
      <x:c r="J3402" s="117" t="str">
        <x:v>unmanaged</x:v>
      </x:c>
      <x:c r="K3402" s="123" t="b">
        <x:v>0</x:v>
      </x:c>
      <x:c r="L3402" s="117"/>
      <x:c r="M3402" s="118"/>
      <x:c r="N3402" s="120" t="n">
        <x:v>44074.76458333333</x:v>
      </x:c>
      <x:c r="O3402" s="117" t="str">
        <x:v>Trent VanEmon</x:v>
      </x:c>
      <x:c r="P3402" s="120" t="n">
        <x:v>44074.76490740741</x:v>
      </x:c>
      <x:c r="Q3402" s="117" t="str">
        <x:v>Trent VanEmon</x:v>
      </x:c>
      <x:c r="R3402" s="117" t="str">
        <x:v>Update Payment Request</x:v>
      </x:c>
      <x:c r="S3402" s="119"/>
    </x:row>
    <x:row r="3403" ht="30" customHeight="1">
      <x:c r="A3403" s="117" t="str">
        <x:v>Update_Payment_Request</x:v>
      </x:c>
      <x:c r="B3403" s="117" t="str">
        <x:v>3004O0000000ZuGQAU</x:v>
      </x:c>
      <x:c r="C3403" s="117" t="str">
        <x:v>3014O0000001LfzQAE</x:v>
      </x:c>
      <x:c r="D3403" s="118" t="n">
        <x:v>5</x:v>
      </x:c>
      <x:c r="E3403" s="117" t="str">
        <x:v>Obsolete</x:v>
      </x:c>
      <x:c r="F3403" s="117" t="str">
        <x:v>No</x:v>
      </x:c>
      <x:c r="G3403" s="117" t="str">
        <x:v>No</x:v>
      </x:c>
      <x:c r="H3403" s="117" t="str">
        <x:v>Workflow</x:v>
      </x:c>
      <x:c r="I3403" s="118"/>
      <x:c r="J3403" s="117" t="str">
        <x:v>unmanaged</x:v>
      </x:c>
      <x:c r="K3403" s="123" t="b">
        <x:v>0</x:v>
      </x:c>
      <x:c r="L3403" s="117"/>
      <x:c r="M3403" s="118"/>
      <x:c r="N3403" s="120" t="n">
        <x:v>44074.765127314815</x:v>
      </x:c>
      <x:c r="O3403" s="117" t="str">
        <x:v>Trent VanEmon</x:v>
      </x:c>
      <x:c r="P3403" s="120" t="n">
        <x:v>44074.765439814815</x:v>
      </x:c>
      <x:c r="Q3403" s="117" t="str">
        <x:v>Trent VanEmon</x:v>
      </x:c>
      <x:c r="R3403" s="117" t="str">
        <x:v>Update Payment Request</x:v>
      </x:c>
      <x:c r="S3403" s="119"/>
    </x:row>
    <x:row r="3404" ht="30" customHeight="1">
      <x:c r="A3404" s="117" t="str">
        <x:v>Update_Payment_Request</x:v>
      </x:c>
      <x:c r="B3404" s="117" t="str">
        <x:v>3004O0000000ZuGQAU</x:v>
      </x:c>
      <x:c r="C3404" s="117" t="str">
        <x:v>3014O0000001LgDQAU</x:v>
      </x:c>
      <x:c r="D3404" s="118" t="n">
        <x:v>6</x:v>
      </x:c>
      <x:c r="E3404" s="117" t="str">
        <x:v>Obsolete</x:v>
      </x:c>
      <x:c r="F3404" s="117" t="str">
        <x:v>No</x:v>
      </x:c>
      <x:c r="G3404" s="117" t="str">
        <x:v>No</x:v>
      </x:c>
      <x:c r="H3404" s="117" t="str">
        <x:v>Workflow</x:v>
      </x:c>
      <x:c r="I3404" s="118"/>
      <x:c r="J3404" s="117" t="str">
        <x:v>unmanaged</x:v>
      </x:c>
      <x:c r="K3404" s="123" t="b">
        <x:v>0</x:v>
      </x:c>
      <x:c r="L3404" s="117"/>
      <x:c r="M3404" s="118"/>
      <x:c r="N3404" s="120" t="n">
        <x:v>44074.76695601852</x:v>
      </x:c>
      <x:c r="O3404" s="117" t="str">
        <x:v>Trent VanEmon</x:v>
      </x:c>
      <x:c r="P3404" s="120" t="n">
        <x:v>44074.76762731482</x:v>
      </x:c>
      <x:c r="Q3404" s="117" t="str">
        <x:v>Trent VanEmon</x:v>
      </x:c>
      <x:c r="R3404" s="117" t="str">
        <x:v>Update Payment Request</x:v>
      </x:c>
      <x:c r="S3404" s="119"/>
    </x:row>
    <x:row r="3405" ht="30" customHeight="1">
      <x:c r="A3405" s="117" t="str">
        <x:v>Update_Payment_Request</x:v>
      </x:c>
      <x:c r="B3405" s="117" t="str">
        <x:v>3004O0000000ZuGQAU</x:v>
      </x:c>
      <x:c r="C3405" s="117" t="str">
        <x:v>3014O0000001LgIQAU</x:v>
      </x:c>
      <x:c r="D3405" s="118" t="n">
        <x:v>7</x:v>
      </x:c>
      <x:c r="E3405" s="117" t="str">
        <x:v>Obsolete</x:v>
      </x:c>
      <x:c r="F3405" s="117" t="str">
        <x:v>No</x:v>
      </x:c>
      <x:c r="G3405" s="117" t="str">
        <x:v>No</x:v>
      </x:c>
      <x:c r="H3405" s="117" t="str">
        <x:v>Workflow</x:v>
      </x:c>
      <x:c r="I3405" s="118"/>
      <x:c r="J3405" s="117" t="str">
        <x:v>unmanaged</x:v>
      </x:c>
      <x:c r="K3405" s="123" t="b">
        <x:v>0</x:v>
      </x:c>
      <x:c r="L3405" s="117"/>
      <x:c r="M3405" s="118"/>
      <x:c r="N3405" s="120" t="n">
        <x:v>44074.76930555556</x:v>
      </x:c>
      <x:c r="O3405" s="117" t="str">
        <x:v>Trent VanEmon</x:v>
      </x:c>
      <x:c r="P3405" s="120" t="n">
        <x:v>44074.77054398148</x:v>
      </x:c>
      <x:c r="Q3405" s="117" t="str">
        <x:v>Trent VanEmon</x:v>
      </x:c>
      <x:c r="R3405" s="117" t="str">
        <x:v>Update Payment Request</x:v>
      </x:c>
      <x:c r="S3405" s="119"/>
    </x:row>
    <x:row r="3406" ht="30" customHeight="1">
      <x:c r="A3406" s="117" t="str">
        <x:v>Update_Payment_Request</x:v>
      </x:c>
      <x:c r="B3406" s="117" t="str">
        <x:v>3004O0000000ZuGQAU</x:v>
      </x:c>
      <x:c r="C3406" s="117" t="str">
        <x:v>3014O0000001Lg1QAE</x:v>
      </x:c>
      <x:c r="D3406" s="118" t="n">
        <x:v>8</x:v>
      </x:c>
      <x:c r="E3406" s="117" t="str">
        <x:v>Obsolete</x:v>
      </x:c>
      <x:c r="F3406" s="117" t="str">
        <x:v>No</x:v>
      </x:c>
      <x:c r="G3406" s="117" t="str">
        <x:v>No</x:v>
      </x:c>
      <x:c r="H3406" s="117" t="str">
        <x:v>Workflow</x:v>
      </x:c>
      <x:c r="I3406" s="118"/>
      <x:c r="J3406" s="117" t="str">
        <x:v>unmanaged</x:v>
      </x:c>
      <x:c r="K3406" s="123" t="b">
        <x:v>0</x:v>
      </x:c>
      <x:c r="L3406" s="117"/>
      <x:c r="M3406" s="118"/>
      <x:c r="N3406" s="120" t="n">
        <x:v>44074.77077546297</x:v>
      </x:c>
      <x:c r="O3406" s="117" t="str">
        <x:v>Trent VanEmon</x:v>
      </x:c>
      <x:c r="P3406" s="120" t="n">
        <x:v>44074.771585648145</x:v>
      </x:c>
      <x:c r="Q3406" s="117" t="str">
        <x:v>Trent VanEmon</x:v>
      </x:c>
      <x:c r="R3406" s="117" t="str">
        <x:v>Update Payment Request</x:v>
      </x:c>
      <x:c r="S3406" s="119"/>
    </x:row>
    <x:row r="3407" ht="30" customHeight="1">
      <x:c r="A3407" s="117" t="str">
        <x:v>Update_Payment_Request</x:v>
      </x:c>
      <x:c r="B3407" s="117" t="str">
        <x:v>3004O0000000ZuGQAU</x:v>
      </x:c>
      <x:c r="C3407" s="117" t="str">
        <x:v>3014O0000001LgOQAU</x:v>
      </x:c>
      <x:c r="D3407" s="118" t="n">
        <x:v>9</x:v>
      </x:c>
      <x:c r="E3407" s="117" t="str">
        <x:v>Obsolete</x:v>
      </x:c>
      <x:c r="F3407" s="117" t="str">
        <x:v>No</x:v>
      </x:c>
      <x:c r="G3407" s="117" t="str">
        <x:v>No</x:v>
      </x:c>
      <x:c r="H3407" s="117" t="str">
        <x:v>Workflow</x:v>
      </x:c>
      <x:c r="I3407" s="118"/>
      <x:c r="J3407" s="117" t="str">
        <x:v>unmanaged</x:v>
      </x:c>
      <x:c r="K3407" s="123" t="b">
        <x:v>0</x:v>
      </x:c>
      <x:c r="L3407" s="117"/>
      <x:c r="M3407" s="118"/>
      <x:c r="N3407" s="120" t="n">
        <x:v>44074.77216435185</x:v>
      </x:c>
      <x:c r="O3407" s="117" t="str">
        <x:v>Trent VanEmon</x:v>
      </x:c>
      <x:c r="P3407" s="120" t="n">
        <x:v>44077.66150462963</x:v>
      </x:c>
      <x:c r="Q3407" s="117" t="str">
        <x:v>Trent VanEmon</x:v>
      </x:c>
      <x:c r="R3407" s="117" t="str">
        <x:v>Update Payment Request</x:v>
      </x:c>
      <x:c r="S3407" s="119"/>
    </x:row>
    <x:row r="3408" ht="30" customHeight="1">
      <x:c r="A3408" s="117" t="str">
        <x:v>Update_Payment_Request</x:v>
      </x:c>
      <x:c r="B3408" s="117" t="str">
        <x:v>3004O0000000ZuGQAU</x:v>
      </x:c>
      <x:c r="C3408" s="117" t="str">
        <x:v>3014O0000001LmGQAU</x:v>
      </x:c>
      <x:c r="D3408" s="118" t="n">
        <x:v>10</x:v>
      </x:c>
      <x:c r="E3408" s="117" t="str">
        <x:v>Obsolete</x:v>
      </x:c>
      <x:c r="F3408" s="117" t="str">
        <x:v>No</x:v>
      </x:c>
      <x:c r="G3408" s="117" t="str">
        <x:v>No</x:v>
      </x:c>
      <x:c r="H3408" s="117" t="str">
        <x:v>Workflow</x:v>
      </x:c>
      <x:c r="I3408" s="118"/>
      <x:c r="J3408" s="117" t="str">
        <x:v>unmanaged</x:v>
      </x:c>
      <x:c r="K3408" s="123" t="b">
        <x:v>0</x:v>
      </x:c>
      <x:c r="L3408" s="117"/>
      <x:c r="M3408" s="118"/>
      <x:c r="N3408" s="120" t="n">
        <x:v>44077.665451388886</x:v>
      </x:c>
      <x:c r="O3408" s="117" t="str">
        <x:v>Trent VanEmon</x:v>
      </x:c>
      <x:c r="P3408" s="120" t="n">
        <x:v>44218.59212962963</x:v>
      </x:c>
      <x:c r="Q3408" s="117" t="str">
        <x:v>Trent VanEmon</x:v>
      </x:c>
      <x:c r="R3408" s="117" t="str">
        <x:v>Update Payment Request</x:v>
      </x:c>
      <x:c r="S3408" s="119"/>
    </x:row>
    <x:row r="3409" ht="30" customHeight="1">
      <x:c r="A3409" s="117" t="str">
        <x:v>Update_Payment_Request</x:v>
      </x:c>
      <x:c r="B3409" s="117" t="str">
        <x:v>3004O0000000ZuGQAU</x:v>
      </x:c>
      <x:c r="C3409" s="117" t="str">
        <x:v>3014O000000M13pQAC</x:v>
      </x:c>
      <x:c r="D3409" s="118" t="n">
        <x:v>11</x:v>
      </x:c>
      <x:c r="E3409" s="117" t="str">
        <x:v>Obsolete</x:v>
      </x:c>
      <x:c r="F3409" s="117" t="str">
        <x:v>No</x:v>
      </x:c>
      <x:c r="G3409" s="117" t="str">
        <x:v>No</x:v>
      </x:c>
      <x:c r="H3409" s="117" t="str">
        <x:v>Workflow</x:v>
      </x:c>
      <x:c r="I3409" s="118" t="n">
        <x:v>49</x:v>
      </x:c>
      <x:c r="J3409" s="117" t="str">
        <x:v>unmanaged</x:v>
      </x:c>
      <x:c r="K3409" s="123" t="b">
        <x:v>0</x:v>
      </x:c>
      <x:c r="L3409" s="117"/>
      <x:c r="M3409" s="118"/>
      <x:c r="N3409" s="120" t="n">
        <x:v>44218.59353009259</x:v>
      </x:c>
      <x:c r="O3409" s="117" t="str">
        <x:v>Trent VanEmon</x:v>
      </x:c>
      <x:c r="P3409" s="120" t="n">
        <x:v>44218.60355324074</x:v>
      </x:c>
      <x:c r="Q3409" s="117" t="str">
        <x:v>Trent VanEmon</x:v>
      </x:c>
      <x:c r="R3409" s="117" t="str">
        <x:v>Update Payment Request</x:v>
      </x:c>
      <x:c r="S3409" s="119"/>
    </x:row>
    <x:row r="3410" ht="30" customHeight="1">
      <x:c r="A3410" s="117" t="str">
        <x:v>Update_Payment_Request</x:v>
      </x:c>
      <x:c r="B3410" s="117" t="str">
        <x:v>3004O0000000ZuGQAU</x:v>
      </x:c>
      <x:c r="C3410" s="117" t="str">
        <x:v>3014O000000M13zQAC</x:v>
      </x:c>
      <x:c r="D3410" s="118" t="n">
        <x:v>12</x:v>
      </x:c>
      <x:c r="E3410" s="117" t="str">
        <x:v>Obsolete</x:v>
      </x:c>
      <x:c r="F3410" s="117" t="str">
        <x:v>No</x:v>
      </x:c>
      <x:c r="G3410" s="117" t="str">
        <x:v>No</x:v>
      </x:c>
      <x:c r="H3410" s="117" t="str">
        <x:v>Workflow</x:v>
      </x:c>
      <x:c r="I3410" s="118" t="n">
        <x:v>49</x:v>
      </x:c>
      <x:c r="J3410" s="117" t="str">
        <x:v>unmanaged</x:v>
      </x:c>
      <x:c r="K3410" s="123" t="b">
        <x:v>0</x:v>
      </x:c>
      <x:c r="L3410" s="117"/>
      <x:c r="M3410" s="118"/>
      <x:c r="N3410" s="120" t="n">
        <x:v>44218.60475694444</x:v>
      </x:c>
      <x:c r="O3410" s="117" t="str">
        <x:v>Trent VanEmon</x:v>
      </x:c>
      <x:c r="P3410" s="120" t="n">
        <x:v>44218.724594907406</x:v>
      </x:c>
      <x:c r="Q3410" s="117" t="str">
        <x:v>Trent VanEmon</x:v>
      </x:c>
      <x:c r="R3410" s="117" t="str">
        <x:v>Update Payment Request</x:v>
      </x:c>
      <x:c r="S3410" s="119"/>
    </x:row>
    <x:row r="3411" ht="30" customHeight="1">
      <x:c r="A3411" s="117" t="str">
        <x:v>Update_Payment_Request</x:v>
      </x:c>
      <x:c r="B3411" s="117" t="str">
        <x:v>3004O0000000ZuGQAU</x:v>
      </x:c>
      <x:c r="C3411" s="117" t="str">
        <x:v>3014O000000M15lQAC</x:v>
      </x:c>
      <x:c r="D3411" s="118" t="n">
        <x:v>13</x:v>
      </x:c>
      <x:c r="E3411" s="117" t="str">
        <x:v>Active</x:v>
      </x:c>
      <x:c r="F3411" s="117" t="str">
        <x:v>Yes</x:v>
      </x:c>
      <x:c r="G3411" s="117" t="str">
        <x:v>Yes</x:v>
      </x:c>
      <x:c r="H3411" s="117" t="str">
        <x:v>Workflow</x:v>
      </x:c>
      <x:c r="I3411" s="118" t="n">
        <x:v>49</x:v>
      </x:c>
      <x:c r="J3411" s="117" t="str">
        <x:v>unmanaged</x:v>
      </x:c>
      <x:c r="K3411" s="123" t="b">
        <x:v>0</x:v>
      </x:c>
      <x:c r="L3411" s="117"/>
      <x:c r="M3411" s="118"/>
      <x:c r="N3411" s="120" t="n">
        <x:v>44218.725011574075</x:v>
      </x:c>
      <x:c r="O3411" s="117" t="str">
        <x:v>Trent VanEmon</x:v>
      </x:c>
      <x:c r="P3411" s="120" t="n">
        <x:v>44228.83592592592</x:v>
      </x:c>
      <x:c r="Q3411" s="117" t="str">
        <x:v>Delegate</x:v>
      </x:c>
      <x:c r="R3411" s="117" t="str">
        <x:v>Update Payment Request</x:v>
      </x:c>
      <x:c r="S3411" s="119"/>
    </x:row>
    <x:row r="3412" ht="30" customHeight="1">
      <x:c r="A3412" s="117" t="str">
        <x:v>Update_Physical_Location_on_Products_from_Invoice</x:v>
      </x:c>
      <x:c r="B3412" s="117" t="str">
        <x:v>3005b000000H1lwAAC</x:v>
      </x:c>
      <x:c r="C3412" s="117" t="str">
        <x:v>3015b000000EAMhAAO</x:v>
      </x:c>
      <x:c r="D3412" s="118" t="n">
        <x:v>1</x:v>
      </x:c>
      <x:c r="E3412" s="117" t="str">
        <x:v>Obsolete</x:v>
      </x:c>
      <x:c r="F3412" s="117" t="str">
        <x:v>No</x:v>
      </x:c>
      <x:c r="G3412" s="117" t="str">
        <x:v>No</x:v>
      </x:c>
      <x:c r="H3412" s="117" t="str">
        <x:v>AutoLaunchedFlow</x:v>
      </x:c>
      <x:c r="I3412" s="118" t="n">
        <x:v>52</x:v>
      </x:c>
      <x:c r="J3412" s="117" t="str">
        <x:v>unmanaged</x:v>
      </x:c>
      <x:c r="K3412" s="123" t="b">
        <x:v>0</x:v>
      </x:c>
      <x:c r="L3412" s="117"/>
      <x:c r="M3412" s="118"/>
      <x:c r="N3412" s="120" t="n">
        <x:v>44449.577835648146</x:v>
      </x:c>
      <x:c r="O3412" s="117" t="str">
        <x:v>Delegate</x:v>
      </x:c>
      <x:c r="P3412" s="120" t="n">
        <x:v>44449.57787037037</x:v>
      </x:c>
      <x:c r="Q3412" s="117" t="str">
        <x:v>Delegate</x:v>
      </x:c>
      <x:c r="R3412" s="117" t="str">
        <x:v>Update Physical Location on Products from Invoice</x:v>
      </x:c>
      <x:c r="S3412" s="119"/>
    </x:row>
    <x:row r="3413" ht="30" customHeight="1">
      <x:c r="A3413" s="117" t="str">
        <x:v>Update_Physical_Location_on_Products_from_Invoice</x:v>
      </x:c>
      <x:c r="B3413" s="117" t="str">
        <x:v>3005b000000H1lwAAC</x:v>
      </x:c>
      <x:c r="C3413" s="117" t="str">
        <x:v>3015b000000EDWaAAO</x:v>
      </x:c>
      <x:c r="D3413" s="118" t="n">
        <x:v>2</x:v>
      </x:c>
      <x:c r="E3413" s="117" t="str">
        <x:v>Obsolete</x:v>
      </x:c>
      <x:c r="F3413" s="117" t="str">
        <x:v>No</x:v>
      </x:c>
      <x:c r="G3413" s="117" t="str">
        <x:v>No</x:v>
      </x:c>
      <x:c r="H3413" s="117" t="str">
        <x:v>AutoLaunchedFlow</x:v>
      </x:c>
      <x:c r="I3413" s="118" t="n">
        <x:v>52</x:v>
      </x:c>
      <x:c r="J3413" s="117" t="str">
        <x:v>unmanaged</x:v>
      </x:c>
      <x:c r="K3413" s="123" t="b">
        <x:v>0</x:v>
      </x:c>
      <x:c r="L3413" s="117"/>
      <x:c r="M3413" s="118"/>
      <x:c r="N3413" s="120" t="n">
        <x:v>44517.54075231482</x:v>
      </x:c>
      <x:c r="O3413" s="117" t="str">
        <x:v>Delegate</x:v>
      </x:c>
      <x:c r="P3413" s="120" t="n">
        <x:v>44517.54295138889</x:v>
      </x:c>
      <x:c r="Q3413" s="117" t="str">
        <x:v>Delegate</x:v>
      </x:c>
      <x:c r="R3413" s="117" t="str">
        <x:v>Update Physical Location on Products from Invoice</x:v>
      </x:c>
      <x:c r="S3413" s="119"/>
    </x:row>
    <x:row r="3414" ht="30" customHeight="1">
      <x:c r="A3414" s="117" t="str">
        <x:v>Update_Physical_Location_on_Products_from_Invoice</x:v>
      </x:c>
      <x:c r="B3414" s="117" t="str">
        <x:v>3005b000000H1lwAAC</x:v>
      </x:c>
      <x:c r="C3414" s="117" t="str">
        <x:v>3015b000000EETXAA4</x:v>
      </x:c>
      <x:c r="D3414" s="118" t="n">
        <x:v>3</x:v>
      </x:c>
      <x:c r="E3414" s="117" t="str">
        <x:v>Active</x:v>
      </x:c>
      <x:c r="F3414" s="117" t="str">
        <x:v>Yes</x:v>
      </x:c>
      <x:c r="G3414" s="117" t="str">
        <x:v>Yes</x:v>
      </x:c>
      <x:c r="H3414" s="117" t="str">
        <x:v>AutoLaunchedFlow</x:v>
      </x:c>
      <x:c r="I3414" s="118" t="n">
        <x:v>52</x:v>
      </x:c>
      <x:c r="J3414" s="117" t="str">
        <x:v>unmanaged</x:v>
      </x:c>
      <x:c r="K3414" s="123" t="b">
        <x:v>0</x:v>
      </x:c>
      <x:c r="L3414" s="117"/>
      <x:c r="M3414" s="118"/>
      <x:c r="N3414" s="120" t="n">
        <x:v>44543.564375</x:v>
      </x:c>
      <x:c r="O3414" s="117" t="str">
        <x:v>Delegate</x:v>
      </x:c>
      <x:c r="P3414" s="120" t="n">
        <x:v>44543.564421296294</x:v>
      </x:c>
      <x:c r="Q3414" s="117" t="str">
        <x:v>Delegate</x:v>
      </x:c>
      <x:c r="R3414" s="117" t="str">
        <x:v>Update Physical Location on Products from Invoice</x:v>
      </x:c>
      <x:c r="S3414" s="119"/>
    </x:row>
    <x:row r="3415" ht="30" customHeight="1">
      <x:c r="A3415" s="117" t="str">
        <x:v>Update_PO_Bill</x:v>
      </x:c>
      <x:c r="B3415" s="117" t="str">
        <x:v>3004O000000LOrBQAW</x:v>
      </x:c>
      <x:c r="C3415" s="117" t="str">
        <x:v>3014O000000M0UyQAK</x:v>
      </x:c>
      <x:c r="D3415" s="118" t="n">
        <x:v>1</x:v>
      </x:c>
      <x:c r="E3415" s="117" t="str">
        <x:v>Obsolete</x:v>
      </x:c>
      <x:c r="F3415" s="117" t="str">
        <x:v>No</x:v>
      </x:c>
      <x:c r="G3415" s="117" t="str">
        <x:v>No</x:v>
      </x:c>
      <x:c r="H3415" s="117" t="str">
        <x:v>Workflow</x:v>
      </x:c>
      <x:c r="I3415" s="118" t="n">
        <x:v>50</x:v>
      </x:c>
      <x:c r="J3415" s="117" t="str">
        <x:v>unmanaged</x:v>
      </x:c>
      <x:c r="K3415" s="123" t="b">
        <x:v>0</x:v>
      </x:c>
      <x:c r="L3415" s="117"/>
      <x:c r="M3415" s="118"/>
      <x:c r="N3415" s="120" t="n">
        <x:v>44199.605358796296</x:v>
      </x:c>
      <x:c r="O3415" s="117" t="str">
        <x:v>Delegate</x:v>
      </x:c>
      <x:c r="P3415" s="120" t="n">
        <x:v>44223.82240740741</x:v>
      </x:c>
      <x:c r="Q3415" s="117" t="str">
        <x:v>Trent VanEmon</x:v>
      </x:c>
      <x:c r="R3415" s="117" t="str">
        <x:v>Update PO Bill</x:v>
      </x:c>
      <x:c r="S3415" s="119"/>
    </x:row>
    <x:row r="3416" ht="30" customHeight="1">
      <x:c r="A3416" s="117" t="str">
        <x:v>Update_PO_Bill</x:v>
      </x:c>
      <x:c r="B3416" s="117" t="str">
        <x:v>3004O000000LOrBQAW</x:v>
      </x:c>
      <x:c r="C3416" s="117" t="str">
        <x:v>3014O000000M18pQAC</x:v>
      </x:c>
      <x:c r="D3416" s="118" t="n">
        <x:v>2</x:v>
      </x:c>
      <x:c r="E3416" s="117" t="str">
        <x:v>Obsolete</x:v>
      </x:c>
      <x:c r="F3416" s="117" t="str">
        <x:v>No</x:v>
      </x:c>
      <x:c r="G3416" s="117" t="str">
        <x:v>Yes</x:v>
      </x:c>
      <x:c r="H3416" s="117" t="str">
        <x:v>Workflow</x:v>
      </x:c>
      <x:c r="I3416" s="118" t="n">
        <x:v>50</x:v>
      </x:c>
      <x:c r="J3416" s="117" t="str">
        <x:v>unmanaged</x:v>
      </x:c>
      <x:c r="K3416" s="123" t="b">
        <x:v>0</x:v>
      </x:c>
      <x:c r="L3416" s="117"/>
      <x:c r="M3416" s="118"/>
      <x:c r="N3416" s="120" t="n">
        <x:v>44223.82310185185</x:v>
      </x:c>
      <x:c r="O3416" s="117" t="str">
        <x:v>Trent VanEmon</x:v>
      </x:c>
      <x:c r="P3416" s="120" t="n">
        <x:v>44915.655277777776</x:v>
      </x:c>
      <x:c r="Q3416" s="117" t="str">
        <x:v>Delegate</x:v>
      </x:c>
      <x:c r="R3416" s="117" t="str">
        <x:v>Update PO Bill</x:v>
      </x:c>
      <x:c r="S3416" s="119"/>
    </x:row>
    <x:row r="3417" ht="30" customHeight="1">
      <x:c r="A3417" s="117" t="str">
        <x:v>Update_Product_Item_on_Opp_Product</x:v>
      </x:c>
      <x:c r="B3417" s="117" t="str">
        <x:v>3004O000000LOrCQAW</x:v>
      </x:c>
      <x:c r="C3417" s="117" t="str">
        <x:v>3014O000000M0UzQAK</x:v>
      </x:c>
      <x:c r="D3417" s="118" t="n">
        <x:v>1</x:v>
      </x:c>
      <x:c r="E3417" s="117" t="str">
        <x:v>Draft</x:v>
      </x:c>
      <x:c r="F3417" s="117" t="str">
        <x:v>No</x:v>
      </x:c>
      <x:c r="G3417" s="117" t="str">
        <x:v>No</x:v>
      </x:c>
      <x:c r="H3417" s="117" t="str">
        <x:v>Workflow</x:v>
      </x:c>
      <x:c r="I3417" s="118" t="n">
        <x:v>50</x:v>
      </x:c>
      <x:c r="J3417" s="117" t="str">
        <x:v>unmanaged</x:v>
      </x:c>
      <x:c r="K3417" s="123" t="b">
        <x:v>0</x:v>
      </x:c>
      <x:c r="L3417" s="117"/>
      <x:c r="M3417" s="118"/>
      <x:c r="N3417" s="120" t="n">
        <x:v>44199.605358796296</x:v>
      </x:c>
      <x:c r="O3417" s="117" t="str">
        <x:v>Delegate</x:v>
      </x:c>
      <x:c r="P3417" s="120" t="n">
        <x:v>44199.60537037037</x:v>
      </x:c>
      <x:c r="Q3417" s="117" t="str">
        <x:v>Delegate</x:v>
      </x:c>
      <x:c r="R3417" s="117" t="str">
        <x:v>Update Product Item on Opp Product</x:v>
      </x:c>
      <x:c r="S3417" s="119"/>
    </x:row>
    <x:row r="3418" ht="30" customHeight="1">
      <x:c r="A3418" s="117" t="str">
        <x:v>Update_Product_Item_on_Opp_Product</x:v>
      </x:c>
      <x:c r="B3418" s="117" t="str">
        <x:v>3004O000000LOrCQAW</x:v>
      </x:c>
      <x:c r="C3418" s="117" t="str">
        <x:v>3014O000000M0WHQA0</x:v>
      </x:c>
      <x:c r="D3418" s="118" t="n">
        <x:v>2</x:v>
      </x:c>
      <x:c r="E3418" s="117" t="str">
        <x:v>Obsolete</x:v>
      </x:c>
      <x:c r="F3418" s="117" t="str">
        <x:v>No</x:v>
      </x:c>
      <x:c r="G3418" s="117" t="str">
        <x:v>Yes</x:v>
      </x:c>
      <x:c r="H3418" s="117" t="str">
        <x:v>Workflow</x:v>
      </x:c>
      <x:c r="I3418" s="118" t="n">
        <x:v>50</x:v>
      </x:c>
      <x:c r="J3418" s="117" t="str">
        <x:v>unmanaged</x:v>
      </x:c>
      <x:c r="K3418" s="123" t="b">
        <x:v>0</x:v>
      </x:c>
      <x:c r="L3418" s="117"/>
      <x:c r="M3418" s="118"/>
      <x:c r="N3418" s="120" t="n">
        <x:v>44199.68258101852</x:v>
      </x:c>
      <x:c r="O3418" s="117" t="str">
        <x:v>Delegate</x:v>
      </x:c>
      <x:c r="P3418" s="120" t="n">
        <x:v>44260.174409722225</x:v>
      </x:c>
      <x:c r="Q3418" s="117" t="str">
        <x:v>Delegate</x:v>
      </x:c>
      <x:c r="R3418" s="117" t="str">
        <x:v>Update Product Item on Opp Product</x:v>
      </x:c>
      <x:c r="S3418" s="119"/>
    </x:row>
    <x:row r="3419" ht="30" customHeight="1">
      <x:c r="A3419" s="117" t="str">
        <x:v>Update_Purchasing_Approved</x:v>
      </x:c>
      <x:c r="B3419" s="117" t="str">
        <x:v>3000B000000kEOyQAM</x:v>
      </x:c>
      <x:c r="C3419" s="117" t="str">
        <x:v>3010B000000c39MQAQ</x:v>
      </x:c>
      <x:c r="D3419" s="118" t="n">
        <x:v>1</x:v>
      </x:c>
      <x:c r="E3419" s="117" t="str">
        <x:v>Obsolete</x:v>
      </x:c>
      <x:c r="F3419" s="117" t="str">
        <x:v>No</x:v>
      </x:c>
      <x:c r="G3419" s="117" t="str">
        <x:v>No</x:v>
      </x:c>
      <x:c r="H3419" s="117" t="str">
        <x:v>Workflow</x:v>
      </x:c>
      <x:c r="I3419" s="118"/>
      <x:c r="J3419" s="117" t="str">
        <x:v>unmanaged</x:v>
      </x:c>
      <x:c r="K3419" s="123" t="b">
        <x:v>0</x:v>
      </x:c>
      <x:c r="L3419" s="117"/>
      <x:c r="M3419" s="118"/>
      <x:c r="N3419" s="120" t="n">
        <x:v>42767.70762731481</x:v>
      </x:c>
      <x:c r="O3419" s="117" t="str">
        <x:v>QC Admin</x:v>
      </x:c>
      <x:c r="P3419" s="120" t="n">
        <x:v>42767.711747685185</x:v>
      </x:c>
      <x:c r="Q3419" s="117" t="str">
        <x:v>QC Admin</x:v>
      </x:c>
      <x:c r="R3419" s="117" t="str">
        <x:v>Update Purchasing Approved</x:v>
      </x:c>
      <x:c r="S3419" s="119" t="str">
        <x:v>Update Purchasing Approved in Opportunity Product</x:v>
      </x:c>
    </x:row>
    <x:row r="3420" ht="30" customHeight="1">
      <x:c r="A3420" s="117" t="str">
        <x:v>Update_Purchasing_Approved</x:v>
      </x:c>
      <x:c r="B3420" s="117" t="str">
        <x:v>3000B000000kEOyQAM</x:v>
      </x:c>
      <x:c r="C3420" s="117" t="str">
        <x:v>3010B000000c39qQAA</x:v>
      </x:c>
      <x:c r="D3420" s="118" t="n">
        <x:v>2</x:v>
      </x:c>
      <x:c r="E3420" s="117" t="str">
        <x:v>Obsolete</x:v>
      </x:c>
      <x:c r="F3420" s="117" t="str">
        <x:v>No</x:v>
      </x:c>
      <x:c r="G3420" s="117" t="str">
        <x:v>No</x:v>
      </x:c>
      <x:c r="H3420" s="117" t="str">
        <x:v>Workflow</x:v>
      </x:c>
      <x:c r="I3420" s="118"/>
      <x:c r="J3420" s="117" t="str">
        <x:v>unmanaged</x:v>
      </x:c>
      <x:c r="K3420" s="123" t="b">
        <x:v>0</x:v>
      </x:c>
      <x:c r="L3420" s="117"/>
      <x:c r="M3420" s="118"/>
      <x:c r="N3420" s="120" t="n">
        <x:v>42767.718668981484</x:v>
      </x:c>
      <x:c r="O3420" s="117" t="str">
        <x:v>QC Admin</x:v>
      </x:c>
      <x:c r="P3420" s="120" t="n">
        <x:v>42767.72525462963</x:v>
      </x:c>
      <x:c r="Q3420" s="117" t="str">
        <x:v>QC Admin</x:v>
      </x:c>
      <x:c r="R3420" s="117" t="str">
        <x:v>Update Purchasing Approved</x:v>
      </x:c>
      <x:c r="S3420" s="119" t="str">
        <x:v>Update Purchasing Approved in Opportunity Product</x:v>
      </x:c>
    </x:row>
    <x:row r="3421" ht="30" customHeight="1">
      <x:c r="A3421" s="117" t="str">
        <x:v>Update_Purchasing_Approved</x:v>
      </x:c>
      <x:c r="B3421" s="117" t="str">
        <x:v>3000B000000kEOyQAM</x:v>
      </x:c>
      <x:c r="C3421" s="117" t="str">
        <x:v>3010B000000c3AyQAI</x:v>
      </x:c>
      <x:c r="D3421" s="118" t="n">
        <x:v>3</x:v>
      </x:c>
      <x:c r="E3421" s="117" t="str">
        <x:v>Obsolete</x:v>
      </x:c>
      <x:c r="F3421" s="117" t="str">
        <x:v>No</x:v>
      </x:c>
      <x:c r="G3421" s="117" t="str">
        <x:v>No</x:v>
      </x:c>
      <x:c r="H3421" s="117" t="str">
        <x:v>Workflow</x:v>
      </x:c>
      <x:c r="I3421" s="118"/>
      <x:c r="J3421" s="117" t="str">
        <x:v>unmanaged</x:v>
      </x:c>
      <x:c r="K3421" s="123" t="b">
        <x:v>0</x:v>
      </x:c>
      <x:c r="L3421" s="117"/>
      <x:c r="M3421" s="118"/>
      <x:c r="N3421" s="120" t="n">
        <x:v>42767.83797453704</x:v>
      </x:c>
      <x:c r="O3421" s="117" t="str">
        <x:v>QC Admin</x:v>
      </x:c>
      <x:c r="P3421" s="120" t="n">
        <x:v>42767.83804398148</x:v>
      </x:c>
      <x:c r="Q3421" s="117" t="str">
        <x:v>QC Admin</x:v>
      </x:c>
      <x:c r="R3421" s="117" t="str">
        <x:v>Update Purchasing Approved</x:v>
      </x:c>
      <x:c r="S3421" s="119" t="str">
        <x:v>Update Purchasing Approved in Opportunity Product</x:v>
      </x:c>
    </x:row>
    <x:row r="3422" ht="30" customHeight="1">
      <x:c r="A3422" s="117" t="str">
        <x:v>Update_Purchasing_Approved</x:v>
      </x:c>
      <x:c r="B3422" s="117" t="str">
        <x:v>3000B000000kEOyQAM</x:v>
      </x:c>
      <x:c r="C3422" s="117" t="str">
        <x:v>3010B000000c3B8QAI</x:v>
      </x:c>
      <x:c r="D3422" s="118" t="n">
        <x:v>4</x:v>
      </x:c>
      <x:c r="E3422" s="117" t="str">
        <x:v>Obsolete</x:v>
      </x:c>
      <x:c r="F3422" s="117" t="str">
        <x:v>No</x:v>
      </x:c>
      <x:c r="G3422" s="117" t="str">
        <x:v>No</x:v>
      </x:c>
      <x:c r="H3422" s="117" t="str">
        <x:v>Workflow</x:v>
      </x:c>
      <x:c r="I3422" s="118"/>
      <x:c r="J3422" s="117" t="str">
        <x:v>unmanaged</x:v>
      </x:c>
      <x:c r="K3422" s="123" t="b">
        <x:v>0</x:v>
      </x:c>
      <x:c r="L3422" s="117"/>
      <x:c r="M3422" s="118"/>
      <x:c r="N3422" s="120" t="n">
        <x:v>42767.852534722224</x:v>
      </x:c>
      <x:c r="O3422" s="117" t="str">
        <x:v>QC Admin</x:v>
      </x:c>
      <x:c r="P3422" s="120" t="n">
        <x:v>42767.85259259259</x:v>
      </x:c>
      <x:c r="Q3422" s="117" t="str">
        <x:v>QC Admin</x:v>
      </x:c>
      <x:c r="R3422" s="117" t="str">
        <x:v>Update Purchasing Approved</x:v>
      </x:c>
      <x:c r="S3422" s="119" t="str">
        <x:v>Update Purchasing Approved in Opportunity Product</x:v>
      </x:c>
    </x:row>
    <x:row r="3423" ht="30" customHeight="1">
      <x:c r="A3423" s="117" t="str">
        <x:v>Update_Purchasing_Approved</x:v>
      </x:c>
      <x:c r="B3423" s="117" t="str">
        <x:v>3000B000000kEOyQAM</x:v>
      </x:c>
      <x:c r="C3423" s="117" t="str">
        <x:v>3010B0000008znvQAA</x:v>
      </x:c>
      <x:c r="D3423" s="118" t="n">
        <x:v>5</x:v>
      </x:c>
      <x:c r="E3423" s="117" t="str">
        <x:v>Obsolete</x:v>
      </x:c>
      <x:c r="F3423" s="117" t="str">
        <x:v>No</x:v>
      </x:c>
      <x:c r="G3423" s="117" t="str">
        <x:v>Yes</x:v>
      </x:c>
      <x:c r="H3423" s="117" t="str">
        <x:v>Workflow</x:v>
      </x:c>
      <x:c r="I3423" s="118"/>
      <x:c r="J3423" s="117" t="str">
        <x:v>unmanaged</x:v>
      </x:c>
      <x:c r="K3423" s="123" t="b">
        <x:v>0</x:v>
      </x:c>
      <x:c r="L3423" s="117"/>
      <x:c r="M3423" s="118"/>
      <x:c r="N3423" s="120" t="n">
        <x:v>42852.681979166664</x:v>
      </x:c>
      <x:c r="O3423" s="117" t="str">
        <x:v>QC Admin</x:v>
      </x:c>
      <x:c r="P3423" s="120" t="n">
        <x:v>43619.87255787037</x:v>
      </x:c>
      <x:c r="Q3423" s="117" t="str">
        <x:v>Jim Bartek</x:v>
      </x:c>
      <x:c r="R3423" s="117" t="str">
        <x:v>Update Purchasing Approved</x:v>
      </x:c>
      <x:c r="S3423" s="119" t="str">
        <x:v>Update Purchasing Approved in Opportunity Product</x:v>
      </x:c>
    </x:row>
    <x:row r="3424" ht="30" customHeight="1">
      <x:c r="A3424" s="117" t="str">
        <x:v>Update_SA_Owner_to_Assigned_Resource</x:v>
      </x:c>
      <x:c r="B3424" s="117" t="str">
        <x:v>300Ro00000Q53PoIAJ</x:v>
      </x:c>
      <x:c r="C3424" s="117" t="str">
        <x:v>301Ro00000SjmBmIAJ</x:v>
      </x:c>
      <x:c r="D3424" s="118" t="n">
        <x:v>1</x:v>
      </x:c>
      <x:c r="E3424" s="117" t="str">
        <x:v>Draft</x:v>
      </x:c>
      <x:c r="F3424" s="117" t="str">
        <x:v>No</x:v>
      </x:c>
      <x:c r="G3424" s="117" t="str">
        <x:v>No</x:v>
      </x:c>
      <x:c r="H3424" s="117" t="str">
        <x:v>AutoLaunchedFlow</x:v>
      </x:c>
      <x:c r="I3424" s="118" t="n">
        <x:v>62</x:v>
      </x:c>
      <x:c r="J3424" s="117" t="str">
        <x:v>unmanaged</x:v>
      </x:c>
      <x:c r="K3424" s="123" t="b">
        <x:v>0</x:v>
      </x:c>
      <x:c r="L3424" s="117"/>
      <x:c r="M3424" s="118"/>
      <x:c r="N3424" s="120" t="n">
        <x:v>45681.79644675926</x:v>
      </x:c>
      <x:c r="O3424" s="117" t="str">
        <x:v>Delegate</x:v>
      </x:c>
      <x:c r="P3424" s="120" t="n">
        <x:v>45681.79650462963</x:v>
      </x:c>
      <x:c r="Q3424" s="117" t="str">
        <x:v>Delegate</x:v>
      </x:c>
      <x:c r="R3424" s="117" t="str">
        <x:v>Update SA Owner to Assigned Resource</x:v>
      </x:c>
      <x:c r="S3424" s="119"/>
    </x:row>
    <x:row r="3425" ht="30" customHeight="1">
      <x:c r="A3425" s="117" t="str">
        <x:v>Update_SA_Owner_to_Assigned_Resource</x:v>
      </x:c>
      <x:c r="B3425" s="117" t="str">
        <x:v>300Ro00000Q53PoIAJ</x:v>
      </x:c>
      <x:c r="C3425" s="117" t="str">
        <x:v>301Ro00000SjjljIAB</x:v>
      </x:c>
      <x:c r="D3425" s="118" t="n">
        <x:v>2</x:v>
      </x:c>
      <x:c r="E3425" s="117" t="str">
        <x:v>Obsolete</x:v>
      </x:c>
      <x:c r="F3425" s="117" t="str">
        <x:v>No</x:v>
      </x:c>
      <x:c r="G3425" s="117" t="str">
        <x:v>No</x:v>
      </x:c>
      <x:c r="H3425" s="117" t="str">
        <x:v>AutoLaunchedFlow</x:v>
      </x:c>
      <x:c r="I3425" s="118" t="n">
        <x:v>62</x:v>
      </x:c>
      <x:c r="J3425" s="117" t="str">
        <x:v>unmanaged</x:v>
      </x:c>
      <x:c r="K3425" s="123" t="b">
        <x:v>0</x:v>
      </x:c>
      <x:c r="L3425" s="117"/>
      <x:c r="M3425" s="118"/>
      <x:c r="N3425" s="120" t="n">
        <x:v>45681.79835648148</x:v>
      </x:c>
      <x:c r="O3425" s="117" t="str">
        <x:v>Delegate</x:v>
      </x:c>
      <x:c r="P3425" s="120" t="n">
        <x:v>45681.7984375</x:v>
      </x:c>
      <x:c r="Q3425" s="117" t="str">
        <x:v>Delegate</x:v>
      </x:c>
      <x:c r="R3425" s="117" t="str">
        <x:v>Update SA Owner to Assigned Resource</x:v>
      </x:c>
      <x:c r="S3425" s="119"/>
    </x:row>
    <x:row r="3426" ht="30" customHeight="1">
      <x:c r="A3426" s="117" t="str">
        <x:v>Update_SA_Owner_to_Assigned_Resource</x:v>
      </x:c>
      <x:c r="B3426" s="117" t="str">
        <x:v>300Ro00000Q53PoIAJ</x:v>
      </x:c>
      <x:c r="C3426" s="117" t="str">
        <x:v>301Ro00000TlUjaIAF</x:v>
      </x:c>
      <x:c r="D3426" s="118" t="n">
        <x:v>3</x:v>
      </x:c>
      <x:c r="E3426" s="117" t="str">
        <x:v>Obsolete</x:v>
      </x:c>
      <x:c r="F3426" s="117" t="str">
        <x:v>No</x:v>
      </x:c>
      <x:c r="G3426" s="117" t="str">
        <x:v>No</x:v>
      </x:c>
      <x:c r="H3426" s="117" t="str">
        <x:v>AutoLaunchedFlow</x:v>
      </x:c>
      <x:c r="I3426" s="118" t="n">
        <x:v>62</x:v>
      </x:c>
      <x:c r="J3426" s="117" t="str">
        <x:v>unmanaged</x:v>
      </x:c>
      <x:c r="K3426" s="123" t="b">
        <x:v>0</x:v>
      </x:c>
      <x:c r="L3426" s="117"/>
      <x:c r="M3426" s="118"/>
      <x:c r="N3426" s="120" t="n">
        <x:v>45698.5633912037</x:v>
      </x:c>
      <x:c r="O3426" s="117" t="str">
        <x:v>Delegate</x:v>
      </x:c>
      <x:c r="P3426" s="120" t="n">
        <x:v>45698.563888888886</x:v>
      </x:c>
      <x:c r="Q3426" s="117" t="str">
        <x:v>Delegate</x:v>
      </x:c>
      <x:c r="R3426" s="117" t="str">
        <x:v>Update SA Owner to Assigned Resource</x:v>
      </x:c>
      <x:c r="S3426" s="119" t="str">
        <x:v>02/10/2025 (BW) - Updated this flow so that it also sets the name of the service resource on the service appointment</x:v>
      </x:c>
    </x:row>
    <x:row r="3427" ht="30" customHeight="1">
      <x:c r="A3427" s="117" t="str">
        <x:v>Update_SA_Owner_to_Assigned_Resource</x:v>
      </x:c>
      <x:c r="B3427" s="117" t="str">
        <x:v>300Ro00000Q53PoIAJ</x:v>
      </x:c>
      <x:c r="C3427" s="117" t="str">
        <x:v>301Ro00000TmMonIAF</x:v>
      </x:c>
      <x:c r="D3427" s="118" t="n">
        <x:v>4</x:v>
      </x:c>
      <x:c r="E3427" s="117" t="str">
        <x:v>Obsolete</x:v>
      </x:c>
      <x:c r="F3427" s="117" t="str">
        <x:v>No</x:v>
      </x:c>
      <x:c r="G3427" s="117" t="str">
        <x:v>No</x:v>
      </x:c>
      <x:c r="H3427" s="117" t="str">
        <x:v>AutoLaunchedFlow</x:v>
      </x:c>
      <x:c r="I3427" s="118" t="n">
        <x:v>62</x:v>
      </x:c>
      <x:c r="J3427" s="117" t="str">
        <x:v>unmanaged</x:v>
      </x:c>
      <x:c r="K3427" s="123" t="b">
        <x:v>0</x:v>
      </x:c>
      <x:c r="L3427" s="117"/>
      <x:c r="M3427" s="118"/>
      <x:c r="N3427" s="120" t="n">
        <x:v>45698.72350694444</x:v>
      </x:c>
      <x:c r="O3427" s="117" t="str">
        <x:v>Delegate</x:v>
      </x:c>
      <x:c r="P3427" s="120" t="n">
        <x:v>45698.72355324074</x:v>
      </x:c>
      <x:c r="Q3427" s="117" t="str">
        <x:v>Delegate</x:v>
      </x:c>
      <x:c r="R3427" s="117" t="str">
        <x:v>Update SA Owner to Assigned Resource</x:v>
      </x:c>
      <x:c r="S3427" s="119" t="str">
        <x:v>02/10/2025 (BW) - Updated this flow so that it updates the service resource properly on the service resource slot in the dispatch console</x:v>
      </x:c>
    </x:row>
    <x:row r="3428" ht="30" customHeight="1">
      <x:c r="A3428" s="117" t="str">
        <x:v>Update_SA_Owner_to_Assigned_Resource</x:v>
      </x:c>
      <x:c r="B3428" s="117" t="str">
        <x:v>300Ro00000Q53PoIAJ</x:v>
      </x:c>
      <x:c r="C3428" s="117" t="str">
        <x:v>301Ro00000tn6MOIAY</x:v>
      </x:c>
      <x:c r="D3428" s="118" t="n">
        <x:v>5</x:v>
      </x:c>
      <x:c r="E3428" s="117" t="str">
        <x:v>Obsolete</x:v>
      </x:c>
      <x:c r="F3428" s="117" t="str">
        <x:v>No</x:v>
      </x:c>
      <x:c r="G3428" s="117" t="str">
        <x:v>No</x:v>
      </x:c>
      <x:c r="H3428" s="117" t="str">
        <x:v>AutoLaunchedFlow</x:v>
      </x:c>
      <x:c r="I3428" s="118" t="n">
        <x:v>62</x:v>
      </x:c>
      <x:c r="J3428" s="117" t="str">
        <x:v>unmanaged</x:v>
      </x:c>
      <x:c r="K3428" s="123" t="b">
        <x:v>0</x:v>
      </x:c>
      <x:c r="L3428" s="117"/>
      <x:c r="M3428" s="118"/>
      <x:c r="N3428" s="120" t="n">
        <x:v>46000.60239583333</x:v>
      </x:c>
      <x:c r="O3428" s="117" t="str">
        <x:v>Delegate</x:v>
      </x:c>
      <x:c r="P3428" s="120" t="n">
        <x:v>46000.602476851855</x:v>
      </x:c>
      <x:c r="Q3428" s="117" t="str">
        <x:v>Delegate</x:v>
      </x:c>
      <x:c r="R3428" s="117" t="str">
        <x:v>Update SA Owner to Assigned Resource</x:v>
      </x:c>
      <x:c r="S3428" s="119" t="str">
        <x:v>12/09/2025 (KL) - Updated this flow so that it updates the service resource properly on the service resource slot in the dispatch console - Updates for service crew</x:v>
      </x:c>
    </x:row>
    <x:row r="3429" ht="30" customHeight="1">
      <x:c r="A3429" s="117" t="str">
        <x:v>Update_SA_Owner_to_Assigned_Resource</x:v>
      </x:c>
      <x:c r="B3429" s="117" t="str">
        <x:v>300Ro00000Q53PoIAJ</x:v>
      </x:c>
      <x:c r="C3429" s="117" t="str">
        <x:v>301Ro00000tnDZBIA2</x:v>
      </x:c>
      <x:c r="D3429" s="118" t="n">
        <x:v>6</x:v>
      </x:c>
      <x:c r="E3429" s="117" t="str">
        <x:v>Obsolete</x:v>
      </x:c>
      <x:c r="F3429" s="117" t="str">
        <x:v>No</x:v>
      </x:c>
      <x:c r="G3429" s="117" t="str">
        <x:v>No</x:v>
      </x:c>
      <x:c r="H3429" s="117" t="str">
        <x:v>AutoLaunchedFlow</x:v>
      </x:c>
      <x:c r="I3429" s="118" t="n">
        <x:v>62</x:v>
      </x:c>
      <x:c r="J3429" s="117" t="str">
        <x:v>unmanaged</x:v>
      </x:c>
      <x:c r="K3429" s="123" t="b">
        <x:v>0</x:v>
      </x:c>
      <x:c r="L3429" s="117"/>
      <x:c r="M3429" s="118"/>
      <x:c r="N3429" s="120" t="n">
        <x:v>46000.60383101852</x:v>
      </x:c>
      <x:c r="O3429" s="117" t="str">
        <x:v>Delegate</x:v>
      </x:c>
      <x:c r="P3429" s="120" t="n">
        <x:v>46000.60424768519</x:v>
      </x:c>
      <x:c r="Q3429" s="117" t="str">
        <x:v>Delegate</x:v>
      </x:c>
      <x:c r="R3429" s="117" t="str">
        <x:v>Update SA Owner to Assigned Resource</x:v>
      </x:c>
      <x:c r="S3429" s="119" t="str">
        <x:v>12/09/2025 (KL) - Updated this flow so that it updates the service resource properly on the service resource slot in the dispatch console - Updates for service crew</x:v>
      </x:c>
    </x:row>
    <x:row r="3430" ht="30" customHeight="1">
      <x:c r="A3430" s="117" t="str">
        <x:v>Update_SA_Owner_to_Assigned_Resource</x:v>
      </x:c>
      <x:c r="B3430" s="117" t="str">
        <x:v>300Ro00000Q53PoIAJ</x:v>
      </x:c>
      <x:c r="C3430" s="117" t="str">
        <x:v>301Ro00000tnQT8IAM</x:v>
      </x:c>
      <x:c r="D3430" s="118" t="n">
        <x:v>7</x:v>
      </x:c>
      <x:c r="E3430" s="117" t="str">
        <x:v>Active</x:v>
      </x:c>
      <x:c r="F3430" s="117" t="str">
        <x:v>Yes</x:v>
      </x:c>
      <x:c r="G3430" s="117" t="str">
        <x:v>No</x:v>
      </x:c>
      <x:c r="H3430" s="117" t="str">
        <x:v>AutoLaunchedFlow</x:v>
      </x:c>
      <x:c r="I3430" s="118" t="n">
        <x:v>62</x:v>
      </x:c>
      <x:c r="J3430" s="117" t="str">
        <x:v>unmanaged</x:v>
      </x:c>
      <x:c r="K3430" s="123" t="b">
        <x:v>0</x:v>
      </x:c>
      <x:c r="L3430" s="117"/>
      <x:c r="M3430" s="118"/>
      <x:c r="N3430" s="120" t="n">
        <x:v>46000.60563657407</x:v>
      </x:c>
      <x:c r="O3430" s="117" t="str">
        <x:v>Delegate</x:v>
      </x:c>
      <x:c r="P3430" s="120" t="n">
        <x:v>46000.60576388889</x:v>
      </x:c>
      <x:c r="Q3430" s="117" t="str">
        <x:v>Delegate</x:v>
      </x:c>
      <x:c r="R3430" s="117" t="str">
        <x:v>Update SA Owner to Assigned Resource</x:v>
      </x:c>
      <x:c r="S3430" s="119" t="str">
        <x:v>12/09/2025 (KL) - Updated this flow so that it updates the service resource properly on the service resource slot in the dispatch console - Updates for service crew</x:v>
      </x:c>
    </x:row>
    <x:row r="3431" ht="30" customHeight="1">
      <x:c r="A3431" s="117" t="str">
        <x:v>Update_SA_Owner_to_Assigned_Resource</x:v>
      </x:c>
      <x:c r="B3431" s="117" t="str">
        <x:v>300Ro00000Q53PoIAJ</x:v>
      </x:c>
      <x:c r="C3431" s="117" t="str">
        <x:v>301Ro00000trXpSIAU</x:v>
      </x:c>
      <x:c r="D3431" s="118" t="n">
        <x:v>8</x:v>
      </x:c>
      <x:c r="E3431" s="117" t="str">
        <x:v>Draft</x:v>
      </x:c>
      <x:c r="F3431" s="117" t="str">
        <x:v>No</x:v>
      </x:c>
      <x:c r="G3431" s="117" t="str">
        <x:v>Yes</x:v>
      </x:c>
      <x:c r="H3431" s="117" t="str">
        <x:v>AutoLaunchedFlow</x:v>
      </x:c>
      <x:c r="I3431" s="118" t="n">
        <x:v>62</x:v>
      </x:c>
      <x:c r="J3431" s="117" t="str">
        <x:v>unmanaged</x:v>
      </x:c>
      <x:c r="K3431" s="123" t="b">
        <x:v>0</x:v>
      </x:c>
      <x:c r="L3431" s="117"/>
      <x:c r="M3431" s="118"/>
      <x:c r="N3431" s="120" t="n">
        <x:v>46001.54231481482</x:v>
      </x:c>
      <x:c r="O3431" s="117" t="str">
        <x:v>Delegate</x:v>
      </x:c>
      <x:c r="P3431" s="120" t="n">
        <x:v>46001.54232638889</x:v>
      </x:c>
      <x:c r="Q3431" s="117" t="str">
        <x:v>Delegate</x:v>
      </x:c>
      <x:c r="R3431" s="117" t="str">
        <x:v>Update SA Owner to Assigned Resource</x:v>
      </x:c>
      <x:c r="S3431" s="119" t="str">
        <x:v>11/25/2025 (BW) - Updating this flow so that it does not error if a service resource that is a Service Crew is assigned</x:v>
      </x:c>
    </x:row>
    <x:row r="3432" ht="30" customHeight="1">
      <x:c r="A3432" s="117" t="str">
        <x:v>Update_Sales_Opportunity_on_Closed_won</x:v>
      </x:c>
      <x:c r="B3432" s="117" t="str">
        <x:v>3005b000000LGl6AAG</x:v>
      </x:c>
      <x:c r="C3432" s="117" t="str">
        <x:v>3015b000000A8LwAAK</x:v>
      </x:c>
      <x:c r="D3432" s="118" t="n">
        <x:v>1</x:v>
      </x:c>
      <x:c r="E3432" s="117" t="str">
        <x:v>Obsolete</x:v>
      </x:c>
      <x:c r="F3432" s="117" t="str">
        <x:v>No</x:v>
      </x:c>
      <x:c r="G3432" s="117" t="str">
        <x:v>No</x:v>
      </x:c>
      <x:c r="H3432" s="117" t="str">
        <x:v>AutoLaunchedFlow</x:v>
      </x:c>
      <x:c r="I3432" s="118" t="n">
        <x:v>56</x:v>
      </x:c>
      <x:c r="J3432" s="117" t="str">
        <x:v>unmanaged</x:v>
      </x:c>
      <x:c r="K3432" s="123" t="b">
        <x:v>0</x:v>
      </x:c>
      <x:c r="L3432" s="117"/>
      <x:c r="M3432" s="118"/>
      <x:c r="N3432" s="120" t="n">
        <x:v>44858.69383101852</x:v>
      </x:c>
      <x:c r="O3432" s="117" t="str">
        <x:v>Jace Gentil</x:v>
      </x:c>
      <x:c r="P3432" s="120" t="n">
        <x:v>44858.69453703704</x:v>
      </x:c>
      <x:c r="Q3432" s="117" t="str">
        <x:v>Jace Gentil</x:v>
      </x:c>
      <x:c r="R3432" s="117" t="str">
        <x:v>Update Sales Opportunity on Closed Won</x:v>
      </x:c>
      <x:c r="S3432" s="119"/>
    </x:row>
    <x:row r="3433" ht="30" customHeight="1">
      <x:c r="A3433" s="117" t="str">
        <x:v>Update_Sales_Opportunity_on_Closed_won</x:v>
      </x:c>
      <x:c r="B3433" s="117" t="str">
        <x:v>3005b000000LGl6AAG</x:v>
      </x:c>
      <x:c r="C3433" s="117" t="str">
        <x:v>3015b000000A8MLAA0</x:v>
      </x:c>
      <x:c r="D3433" s="118" t="n">
        <x:v>2</x:v>
      </x:c>
      <x:c r="E3433" s="117" t="str">
        <x:v>Obsolete</x:v>
      </x:c>
      <x:c r="F3433" s="117" t="str">
        <x:v>No</x:v>
      </x:c>
      <x:c r="G3433" s="117" t="str">
        <x:v>Yes</x:v>
      </x:c>
      <x:c r="H3433" s="117" t="str">
        <x:v>AutoLaunchedFlow</x:v>
      </x:c>
      <x:c r="I3433" s="118" t="n">
        <x:v>56</x:v>
      </x:c>
      <x:c r="J3433" s="117" t="str">
        <x:v>unmanaged</x:v>
      </x:c>
      <x:c r="K3433" s="123" t="b">
        <x:v>0</x:v>
      </x:c>
      <x:c r="L3433" s="117"/>
      <x:c r="M3433" s="118"/>
      <x:c r="N3433" s="120" t="n">
        <x:v>44858.74050925926</x:v>
      </x:c>
      <x:c r="O3433" s="117" t="str">
        <x:v>Jace Gentil</x:v>
      </x:c>
      <x:c r="P3433" s="120" t="n">
        <x:v>45008.84722222222</x:v>
      </x:c>
      <x:c r="Q3433" s="117" t="str">
        <x:v>Jace Gentil</x:v>
      </x:c>
      <x:c r="R3433" s="117" t="str">
        <x:v>Update Sales Opportunity on Closed Won</x:v>
      </x:c>
      <x:c r="S3433" s="119"/>
    </x:row>
    <x:row r="3434" ht="30" customHeight="1">
      <x:c r="A3434" s="117" t="str">
        <x:v>Update_Service_Appointment_Location</x:v>
      </x:c>
      <x:c r="B3434" s="117" t="str">
        <x:v>300Ro00000Pz0kyIAB</x:v>
      </x:c>
      <x:c r="C3434" s="117" t="str">
        <x:v>301Ro00000Sd0UyIAJ</x:v>
      </x:c>
      <x:c r="D3434" s="118" t="n">
        <x:v>1</x:v>
      </x:c>
      <x:c r="E3434" s="117" t="str">
        <x:v>InvalidDraft</x:v>
      </x:c>
      <x:c r="F3434" s="117" t="str">
        <x:v>No</x:v>
      </x:c>
      <x:c r="G3434" s="117" t="str">
        <x:v>Yes</x:v>
      </x:c>
      <x:c r="H3434" s="117" t="str">
        <x:v>AutoLaunchedFlow</x:v>
      </x:c>
      <x:c r="I3434" s="118" t="n">
        <x:v>62</x:v>
      </x:c>
      <x:c r="J3434" s="117" t="str">
        <x:v>unmanaged</x:v>
      </x:c>
      <x:c r="K3434" s="123" t="b">
        <x:v>0</x:v>
      </x:c>
      <x:c r="L3434" s="117"/>
      <x:c r="M3434" s="118"/>
      <x:c r="N3434" s="120" t="n">
        <x:v>45680.21693287037</x:v>
      </x:c>
      <x:c r="O3434" s="117" t="str">
        <x:v>Delegate</x:v>
      </x:c>
      <x:c r="P3434" s="120" t="n">
        <x:v>45680.21693287037</x:v>
      </x:c>
      <x:c r="Q3434" s="117" t="str">
        <x:v>Delegate</x:v>
      </x:c>
      <x:c r="R3434" s="117" t="str">
        <x:v>Update Service Appointment Location</x:v>
      </x:c>
      <x:c r="S3434" s="119"/>
    </x:row>
    <x:row r="3435" ht="30" customHeight="1">
      <x:c r="A3435" s="117" t="str">
        <x:v>Update_Service_Appointment_to_Pending_Quotation</x:v>
      </x:c>
      <x:c r="B3435" s="117" t="str">
        <x:v>300Ro00000Rgy0IIAR</x:v>
      </x:c>
      <x:c r="C3435" s="117" t="str">
        <x:v>301Ro00000UYptLIAT</x:v>
      </x:c>
      <x:c r="D3435" s="118" t="n">
        <x:v>1</x:v>
      </x:c>
      <x:c r="E3435" s="117" t="str">
        <x:v>Obsolete</x:v>
      </x:c>
      <x:c r="F3435" s="117" t="str">
        <x:v>No</x:v>
      </x:c>
      <x:c r="G3435" s="117" t="str">
        <x:v>Yes</x:v>
      </x:c>
      <x:c r="H3435" s="117" t="str">
        <x:v>AutoLaunchedFlow</x:v>
      </x:c>
      <x:c r="I3435" s="118" t="n">
        <x:v>63</x:v>
      </x:c>
      <x:c r="J3435" s="117" t="str">
        <x:v>unmanaged</x:v>
      </x:c>
      <x:c r="K3435" s="123" t="b">
        <x:v>0</x:v>
      </x:c>
      <x:c r="L3435" s="117"/>
      <x:c r="M3435" s="118"/>
      <x:c r="N3435" s="120" t="n">
        <x:v>45712.48363425926</x:v>
      </x:c>
      <x:c r="O3435" s="117" t="str">
        <x:v>Delegate</x:v>
      </x:c>
      <x:c r="P3435" s="120" t="n">
        <x:v>45712.48819444444</x:v>
      </x:c>
      <x:c r="Q3435" s="117" t="str">
        <x:v>Delegate</x:v>
      </x:c>
      <x:c r="R3435" s="117" t="str">
        <x:v>Update Service Appointment to Pending Quotation</x:v>
      </x:c>
      <x:c r="S3435" s="119" t="str">
        <x:v>02/24/2025 (BW) - Updates the service appointment to pending quotation</x:v>
      </x:c>
    </x:row>
    <x:row r="3436" ht="30" customHeight="1">
      <x:c r="A3436" s="117" t="str">
        <x:v>Update_Technician_Ship_Location_on_Work_Order_Creation</x:v>
      </x:c>
      <x:c r="B3436" s="117" t="str">
        <x:v>3005b000000PzI9AAK</x:v>
      </x:c>
      <x:c r="C3436" s="117" t="str">
        <x:v>3015b000000W1gmAAC</x:v>
      </x:c>
      <x:c r="D3436" s="118" t="n">
        <x:v>1</x:v>
      </x:c>
      <x:c r="E3436" s="117" t="str">
        <x:v>Obsolete</x:v>
      </x:c>
      <x:c r="F3436" s="117" t="str">
        <x:v>No</x:v>
      </x:c>
      <x:c r="G3436" s="117" t="str">
        <x:v>No</x:v>
      </x:c>
      <x:c r="H3436" s="117" t="str">
        <x:v>AutoLaunchedFlow</x:v>
      </x:c>
      <x:c r="I3436" s="118" t="n">
        <x:v>57</x:v>
      </x:c>
      <x:c r="J3436" s="117" t="str">
        <x:v>unmanaged</x:v>
      </x:c>
      <x:c r="K3436" s="123" t="b">
        <x:v>0</x:v>
      </x:c>
      <x:c r="L3436" s="117"/>
      <x:c r="M3436" s="118"/>
      <x:c r="N3436" s="120" t="n">
        <x:v>45033.55525462963</x:v>
      </x:c>
      <x:c r="O3436" s="117" t="str">
        <x:v>Delegate</x:v>
      </x:c>
      <x:c r="P3436" s="120" t="n">
        <x:v>45033.5553125</x:v>
      </x:c>
      <x:c r="Q3436" s="117" t="str">
        <x:v>Delegate</x:v>
      </x:c>
      <x:c r="R3436" s="117" t="str">
        <x:v>Update Technician Ship Location on Work Order Creation</x:v>
      </x:c>
      <x:c r="S3436" s="119" t="str">
        <x:v>Adds the Technician Ship Location on Creation of a Work Order</x:v>
      </x:c>
    </x:row>
    <x:row r="3437" ht="30" customHeight="1">
      <x:c r="A3437" s="117" t="str">
        <x:v>Update_Technician_Ship_Location_on_Work_Order_Creation</x:v>
      </x:c>
      <x:c r="B3437" s="117" t="str">
        <x:v>3005b000000PzI9AAK</x:v>
      </x:c>
      <x:c r="C3437" s="117" t="str">
        <x:v>3015b000000W1h1AAC</x:v>
      </x:c>
      <x:c r="D3437" s="118" t="n">
        <x:v>2</x:v>
      </x:c>
      <x:c r="E3437" s="117" t="str">
        <x:v>Obsolete</x:v>
      </x:c>
      <x:c r="F3437" s="117" t="str">
        <x:v>No</x:v>
      </x:c>
      <x:c r="G3437" s="117" t="str">
        <x:v>No</x:v>
      </x:c>
      <x:c r="H3437" s="117" t="str">
        <x:v>AutoLaunchedFlow</x:v>
      </x:c>
      <x:c r="I3437" s="118" t="n">
        <x:v>57</x:v>
      </x:c>
      <x:c r="J3437" s="117" t="str">
        <x:v>unmanaged</x:v>
      </x:c>
      <x:c r="K3437" s="123" t="b">
        <x:v>0</x:v>
      </x:c>
      <x:c r="L3437" s="117"/>
      <x:c r="M3437" s="118"/>
      <x:c r="N3437" s="120" t="n">
        <x:v>45033.57064814815</x:v>
      </x:c>
      <x:c r="O3437" s="117" t="str">
        <x:v>Ashley Madson</x:v>
      </x:c>
      <x:c r="P3437" s="120" t="n">
        <x:v>45033.57071759259</x:v>
      </x:c>
      <x:c r="Q3437" s="117" t="str">
        <x:v>Ashley Madson</x:v>
      </x:c>
      <x:c r="R3437" s="117" t="str">
        <x:v>Update Technician Ship Location on Work Order Creation</x:v>
      </x:c>
      <x:c r="S3437" s="119" t="str">
        <x:v>Adds the Technician Ship Location on Creation of a Work Order</x:v>
      </x:c>
    </x:row>
    <x:row r="3438" ht="30" customHeight="1">
      <x:c r="A3438" s="117" t="str">
        <x:v>Update_Technician_Ship_Location_on_Work_Order_Creation</x:v>
      </x:c>
      <x:c r="B3438" s="117" t="str">
        <x:v>3005b000000PzI9AAK</x:v>
      </x:c>
      <x:c r="C3438" s="117" t="str">
        <x:v>301Ro00000bAN7kIAG</x:v>
      </x:c>
      <x:c r="D3438" s="118" t="n">
        <x:v>3</x:v>
      </x:c>
      <x:c r="E3438" s="117" t="str">
        <x:v>Obsolete</x:v>
      </x:c>
      <x:c r="F3438" s="117" t="str">
        <x:v>No</x:v>
      </x:c>
      <x:c r="G3438" s="117" t="str">
        <x:v>No</x:v>
      </x:c>
      <x:c r="H3438" s="117" t="str">
        <x:v>AutoLaunchedFlow</x:v>
      </x:c>
      <x:c r="I3438" s="118" t="n">
        <x:v>57</x:v>
      </x:c>
      <x:c r="J3438" s="117" t="str">
        <x:v>unmanaged</x:v>
      </x:c>
      <x:c r="K3438" s="123" t="b">
        <x:v>0</x:v>
      </x:c>
      <x:c r="L3438" s="117"/>
      <x:c r="M3438" s="118"/>
      <x:c r="N3438" s="120" t="n">
        <x:v>45818.25918981482</x:v>
      </x:c>
      <x:c r="O3438" s="117" t="str">
        <x:v>Delegate</x:v>
      </x:c>
      <x:c r="P3438" s="120" t="n">
        <x:v>45818.28003472222</x:v>
      </x:c>
      <x:c r="Q3438" s="117" t="str">
        <x:v>Delegate</x:v>
      </x:c>
      <x:c r="R3438" s="117" t="str">
        <x:v>Update Technician Ship Location on Work Order Creation</x:v>
      </x:c>
      <x:c r="S3438" s="119" t="str">
        <x:v>07/11/24 (BW) - Updated this flow so that it does not run on the FSL Work Orders</x:v>
      </x:c>
    </x:row>
    <x:row r="3439" ht="30" customHeight="1">
      <x:c r="A3439" s="117" t="str">
        <x:v>Update_Technician_Ship_Location_on_Work_Order_Creation</x:v>
      </x:c>
      <x:c r="B3439" s="117" t="str">
        <x:v>3005b000000PzI9AAK</x:v>
      </x:c>
      <x:c r="C3439" s="117" t="str">
        <x:v>301Ro00000iOk0NIAS</x:v>
      </x:c>
      <x:c r="D3439" s="118" t="n">
        <x:v>4</x:v>
      </x:c>
      <x:c r="E3439" s="117" t="str">
        <x:v>Active</x:v>
      </x:c>
      <x:c r="F3439" s="117" t="str">
        <x:v>Yes</x:v>
      </x:c>
      <x:c r="G3439" s="117" t="str">
        <x:v>Yes</x:v>
      </x:c>
      <x:c r="H3439" s="117" t="str">
        <x:v>AutoLaunchedFlow</x:v>
      </x:c>
      <x:c r="I3439" s="118" t="n">
        <x:v>57</x:v>
      </x:c>
      <x:c r="J3439" s="117" t="str">
        <x:v>unmanaged</x:v>
      </x:c>
      <x:c r="K3439" s="123" t="b">
        <x:v>0</x:v>
      </x:c>
      <x:c r="L3439" s="117"/>
      <x:c r="M3439" s="118"/>
      <x:c r="N3439" s="120" t="n">
        <x:v>45883.05993055556</x:v>
      </x:c>
      <x:c r="O3439" s="117" t="str">
        <x:v>Delegate</x:v>
      </x:c>
      <x:c r="P3439" s="120" t="n">
        <x:v>45883.06045138889</x:v>
      </x:c>
      <x:c r="Q3439" s="117" t="str">
        <x:v>Delegate</x:v>
      </x:c>
      <x:c r="R3439" s="117" t="str">
        <x:v>Update Technician Ship Location on Work Order Creation</x:v>
      </x:c>
      <x:c r="S3439" s="119" t="str">
        <x:v>07/11/24 (BW) - Updated this flow so that it does not run on the FSL Work Orders</x:v>
      </x:c>
    </x:row>
    <x:row r="3440" ht="30" customHeight="1">
      <x:c r="A3440" s="117" t="str">
        <x:v>Update_the_Intended_Start_Date_if_Earlier_than_Earliest_Start_Date</x:v>
      </x:c>
      <x:c r="B3440" s="117" t="str">
        <x:v>300Ro00000SQT1YIAX</x:v>
      </x:c>
      <x:c r="C3440" s="117" t="str">
        <x:v>301Ro00000VORZyIAP</x:v>
      </x:c>
      <x:c r="D3440" s="118" t="n">
        <x:v>1</x:v>
      </x:c>
      <x:c r="E3440" s="117" t="str">
        <x:v>Active</x:v>
      </x:c>
      <x:c r="F3440" s="117" t="str">
        <x:v>Yes</x:v>
      </x:c>
      <x:c r="G3440" s="117" t="str">
        <x:v>Yes</x:v>
      </x:c>
      <x:c r="H3440" s="117" t="str">
        <x:v>AutoLaunchedFlow</x:v>
      </x:c>
      <x:c r="I3440" s="118" t="n">
        <x:v>63</x:v>
      </x:c>
      <x:c r="J3440" s="117" t="str">
        <x:v>unmanaged</x:v>
      </x:c>
      <x:c r="K3440" s="123" t="b">
        <x:v>0</x:v>
      </x:c>
      <x:c r="L3440" s="117"/>
      <x:c r="M3440" s="118"/>
      <x:c r="N3440" s="120" t="n">
        <x:v>45726.54267361111</x:v>
      </x:c>
      <x:c r="O3440" s="117" t="str">
        <x:v>Delegate</x:v>
      </x:c>
      <x:c r="P3440" s="120" t="n">
        <x:v>45726.54273148148</x:v>
      </x:c>
      <x:c r="Q3440" s="117" t="str">
        <x:v>Delegate</x:v>
      </x:c>
      <x:c r="R3440" s="117" t="str">
        <x:v>Update the Intended Start Date if Earlier than Earliest Start Date</x:v>
      </x:c>
      <x:c r="S3440" s="119" t="str">
        <x:v>03/10/2025 (BW) - Updates the intended start date if the earliest start date is changed and becomes greater than the intended start date</x:v>
      </x:c>
    </x:row>
    <x:row r="3441" ht="30" customHeight="1">
      <x:c r="A3441" s="117" t="str">
        <x:v>Update_Transaction_Info</x:v>
      </x:c>
      <x:c r="B3441" s="117" t="str">
        <x:v>3004O0000000ZvnQAE</x:v>
      </x:c>
      <x:c r="C3441" s="117" t="str">
        <x:v>3014O0000001LgmQAE</x:v>
      </x:c>
      <x:c r="D3441" s="118" t="n">
        <x:v>1</x:v>
      </x:c>
      <x:c r="E3441" s="117" t="str">
        <x:v>Active</x:v>
      </x:c>
      <x:c r="F3441" s="117" t="str">
        <x:v>Yes</x:v>
      </x:c>
      <x:c r="G3441" s="117" t="str">
        <x:v>Yes</x:v>
      </x:c>
      <x:c r="H3441" s="117" t="str">
        <x:v>Workflow</x:v>
      </x:c>
      <x:c r="I3441" s="118"/>
      <x:c r="J3441" s="117" t="str">
        <x:v>unmanaged</x:v>
      </x:c>
      <x:c r="K3441" s="123" t="b">
        <x:v>0</x:v>
      </x:c>
      <x:c r="L3441" s="117"/>
      <x:c r="M3441" s="118"/>
      <x:c r="N3441" s="120" t="n">
        <x:v>44074.854467592595</x:v>
      </x:c>
      <x:c r="O3441" s="117" t="str">
        <x:v>Trent VanEmon</x:v>
      </x:c>
      <x:c r="P3441" s="120" t="n">
        <x:v>44074.854525462964</x:v>
      </x:c>
      <x:c r="Q3441" s="117" t="str">
        <x:v>Trent VanEmon</x:v>
      </x:c>
      <x:c r="R3441" s="117" t="str">
        <x:v>Update Transaction Info</x:v>
      </x:c>
      <x:c r="S3441" s="119" t="str">
        <x:v>Invoice process to update transaction info through opp -&gt; invoice -&gt; order-&gt; payment request</x:v>
      </x:c>
    </x:row>
    <x:row r="3442" ht="30" customHeight="1">
      <x:c r="A3442" s="117" t="str">
        <x:v>Update_US_Billing_Type_on_Edit_of_Service_Appointment</x:v>
      </x:c>
      <x:c r="B3442" s="117" t="str">
        <x:v>300Ro00000e7MD2IAM</x:v>
      </x:c>
      <x:c r="C3442" s="117" t="str">
        <x:v>301Ro00000uQIQrIAO</x:v>
      </x:c>
      <x:c r="D3442" s="118" t="n">
        <x:v>2</x:v>
      </x:c>
      <x:c r="E3442" s="117" t="str">
        <x:v>Active</x:v>
      </x:c>
      <x:c r="F3442" s="117" t="str">
        <x:v>Yes</x:v>
      </x:c>
      <x:c r="G3442" s="117" t="str">
        <x:v>Yes</x:v>
      </x:c>
      <x:c r="H3442" s="117" t="str">
        <x:v>AutoLaunchedFlow</x:v>
      </x:c>
      <x:c r="I3442" s="118" t="n">
        <x:v>64</x:v>
      </x:c>
      <x:c r="J3442" s="117" t="str">
        <x:v>unmanaged</x:v>
      </x:c>
      <x:c r="K3442" s="123" t="b">
        <x:v>0</x:v>
      </x:c>
      <x:c r="L3442" s="117"/>
      <x:c r="M3442" s="118"/>
      <x:c r="N3442" s="120" t="n">
        <x:v>46010.544016203705</x:v>
      </x:c>
      <x:c r="O3442" s="117" t="str">
        <x:v>Delegate</x:v>
      </x:c>
      <x:c r="P3442" s="120" t="n">
        <x:v>46010.5440625</x:v>
      </x:c>
      <x:c r="Q3442" s="117" t="str">
        <x:v>Delegate</x:v>
      </x:c>
      <x:c r="R3442" s="117" t="str">
        <x:v>Update US Billing Type on Edit of Service Appointment</x:v>
      </x:c>
      <x:c r="S3442" s="119" t="str">
        <x:v>12/29/2025 (BW) - Updated the Billing Type from the US Billing Type</x:v>
      </x:c>
    </x:row>
    <x:row r="3443" ht="30" customHeight="1">
      <x:c r="A3443" s="117" t="str">
        <x:v>UpdateRMAShipDateToReadyToShip</x:v>
      </x:c>
      <x:c r="B3443" s="117" t="str">
        <x:v>3005b000000LHHMAA4</x:v>
      </x:c>
      <x:c r="C3443" s="117" t="str">
        <x:v>3015b000000ABjhAAG</x:v>
      </x:c>
      <x:c r="D3443" s="118" t="n">
        <x:v>1</x:v>
      </x:c>
      <x:c r="E3443" s="117" t="str">
        <x:v>Obsolete</x:v>
      </x:c>
      <x:c r="F3443" s="117" t="str">
        <x:v>No</x:v>
      </x:c>
      <x:c r="G3443" s="117" t="str">
        <x:v>No</x:v>
      </x:c>
      <x:c r="H3443" s="117" t="str">
        <x:v>AutoLaunchedFlow</x:v>
      </x:c>
      <x:c r="I3443" s="118" t="n">
        <x:v>56</x:v>
      </x:c>
      <x:c r="J3443" s="117" t="str">
        <x:v>unmanaged</x:v>
      </x:c>
      <x:c r="K3443" s="123" t="b">
        <x:v>0</x:v>
      </x:c>
      <x:c r="L3443" s="117"/>
      <x:c r="M3443" s="118"/>
      <x:c r="N3443" s="120" t="n">
        <x:v>44902.882569444446</x:v>
      </x:c>
      <x:c r="O3443" s="117" t="str">
        <x:v>Jace Gentil</x:v>
      </x:c>
      <x:c r="P3443" s="120" t="n">
        <x:v>44902.88259259259</x:v>
      </x:c>
      <x:c r="Q3443" s="117" t="str">
        <x:v>Jace Gentil</x:v>
      </x:c>
      <x:c r="R3443" s="117" t="str">
        <x:v>UpdateRMAShipDateToReadyToShip</x:v>
      </x:c>
      <x:c r="S3443" s="119"/>
    </x:row>
    <x:row r="3444" ht="30" customHeight="1">
      <x:c r="A3444" s="117" t="str">
        <x:v>UpdateRMAShipDateToReadyToShip</x:v>
      </x:c>
      <x:c r="B3444" s="117" t="str">
        <x:v>3005b000000LHHMAA4</x:v>
      </x:c>
      <x:c r="C3444" s="117" t="str">
        <x:v>3015b000000ABjmAAG</x:v>
      </x:c>
      <x:c r="D3444" s="118" t="n">
        <x:v>2</x:v>
      </x:c>
      <x:c r="E3444" s="117" t="str">
        <x:v>Obsolete</x:v>
      </x:c>
      <x:c r="F3444" s="117" t="str">
        <x:v>No</x:v>
      </x:c>
      <x:c r="G3444" s="117" t="str">
        <x:v>No</x:v>
      </x:c>
      <x:c r="H3444" s="117" t="str">
        <x:v>AutoLaunchedFlow</x:v>
      </x:c>
      <x:c r="I3444" s="118" t="n">
        <x:v>56</x:v>
      </x:c>
      <x:c r="J3444" s="117" t="str">
        <x:v>unmanaged</x:v>
      </x:c>
      <x:c r="K3444" s="123" t="b">
        <x:v>0</x:v>
      </x:c>
      <x:c r="L3444" s="117"/>
      <x:c r="M3444" s="118"/>
      <x:c r="N3444" s="120" t="n">
        <x:v>44902.88379629629</x:v>
      </x:c>
      <x:c r="O3444" s="117" t="str">
        <x:v>Jace Gentil</x:v>
      </x:c>
      <x:c r="P3444" s="120" t="n">
        <x:v>44902.88384259259</x:v>
      </x:c>
      <x:c r="Q3444" s="117" t="str">
        <x:v>Jace Gentil</x:v>
      </x:c>
      <x:c r="R3444" s="117" t="str">
        <x:v>UpdateRMAShipDateToReadyToShip</x:v>
      </x:c>
      <x:c r="S3444" s="119"/>
    </x:row>
    <x:row r="3445" ht="30" customHeight="1">
      <x:c r="A3445" s="117" t="str">
        <x:v>UpdateRMAShipDateToReadyToShip</x:v>
      </x:c>
      <x:c r="B3445" s="117" t="str">
        <x:v>3005b000000LHHMAA4</x:v>
      </x:c>
      <x:c r="C3445" s="117" t="str">
        <x:v>3015b000000ABjnAAG</x:v>
      </x:c>
      <x:c r="D3445" s="118" t="n">
        <x:v>3</x:v>
      </x:c>
      <x:c r="E3445" s="117" t="str">
        <x:v>Obsolete</x:v>
      </x:c>
      <x:c r="F3445" s="117" t="str">
        <x:v>No</x:v>
      </x:c>
      <x:c r="G3445" s="117" t="str">
        <x:v>No</x:v>
      </x:c>
      <x:c r="H3445" s="117" t="str">
        <x:v>AutoLaunchedFlow</x:v>
      </x:c>
      <x:c r="I3445" s="118" t="n">
        <x:v>56</x:v>
      </x:c>
      <x:c r="J3445" s="117" t="str">
        <x:v>unmanaged</x:v>
      </x:c>
      <x:c r="K3445" s="123" t="b">
        <x:v>0</x:v>
      </x:c>
      <x:c r="L3445" s="117"/>
      <x:c r="M3445" s="118"/>
      <x:c r="N3445" s="120" t="n">
        <x:v>44902.886342592596</x:v>
      </x:c>
      <x:c r="O3445" s="117" t="str">
        <x:v>Jace Gentil</x:v>
      </x:c>
      <x:c r="P3445" s="120" t="n">
        <x:v>44902.88636574074</x:v>
      </x:c>
      <x:c r="Q3445" s="117" t="str">
        <x:v>Jace Gentil</x:v>
      </x:c>
      <x:c r="R3445" s="117" t="str">
        <x:v>UpdateRMAShipDateToReadyToShip</x:v>
      </x:c>
      <x:c r="S3445" s="119"/>
    </x:row>
    <x:row r="3446" ht="30" customHeight="1">
      <x:c r="A3446" s="117" t="str">
        <x:v>UpdateRMAShipDateToReadyToShip</x:v>
      </x:c>
      <x:c r="B3446" s="117" t="str">
        <x:v>3005b000000LHHMAA4</x:v>
      </x:c>
      <x:c r="C3446" s="117" t="str">
        <x:v>3015b000000ABjrAAG</x:v>
      </x:c>
      <x:c r="D3446" s="118" t="n">
        <x:v>4</x:v>
      </x:c>
      <x:c r="E3446" s="117" t="str">
        <x:v>Obsolete</x:v>
      </x:c>
      <x:c r="F3446" s="117" t="str">
        <x:v>No</x:v>
      </x:c>
      <x:c r="G3446" s="117" t="str">
        <x:v>No</x:v>
      </x:c>
      <x:c r="H3446" s="117" t="str">
        <x:v>AutoLaunchedFlow</x:v>
      </x:c>
      <x:c r="I3446" s="118" t="n">
        <x:v>56</x:v>
      </x:c>
      <x:c r="J3446" s="117" t="str">
        <x:v>unmanaged</x:v>
      </x:c>
      <x:c r="K3446" s="123" t="b">
        <x:v>0</x:v>
      </x:c>
      <x:c r="L3446" s="117"/>
      <x:c r="M3446" s="118"/>
      <x:c r="N3446" s="120" t="n">
        <x:v>44902.88649305556</x:v>
      </x:c>
      <x:c r="O3446" s="117" t="str">
        <x:v>Jace Gentil</x:v>
      </x:c>
      <x:c r="P3446" s="120" t="n">
        <x:v>44902.886516203704</x:v>
      </x:c>
      <x:c r="Q3446" s="117" t="str">
        <x:v>Jace Gentil</x:v>
      </x:c>
      <x:c r="R3446" s="117" t="str">
        <x:v>UpdateRMAShipDateToReadyToShip</x:v>
      </x:c>
      <x:c r="S3446" s="119"/>
    </x:row>
    <x:row r="3447" ht="30" customHeight="1">
      <x:c r="A3447" s="117" t="str">
        <x:v>UpdateRMAShipDateToReadyToShip</x:v>
      </x:c>
      <x:c r="B3447" s="117" t="str">
        <x:v>3005b000000LHHMAA4</x:v>
      </x:c>
      <x:c r="C3447" s="117" t="str">
        <x:v>3015b000000ABkfAAG</x:v>
      </x:c>
      <x:c r="D3447" s="118" t="n">
        <x:v>5</x:v>
      </x:c>
      <x:c r="E3447" s="117" t="str">
        <x:v>Obsolete</x:v>
      </x:c>
      <x:c r="F3447" s="117" t="str">
        <x:v>No</x:v>
      </x:c>
      <x:c r="G3447" s="117" t="str">
        <x:v>No</x:v>
      </x:c>
      <x:c r="H3447" s="117" t="str">
        <x:v>AutoLaunchedFlow</x:v>
      </x:c>
      <x:c r="I3447" s="118" t="n">
        <x:v>56</x:v>
      </x:c>
      <x:c r="J3447" s="117" t="str">
        <x:v>unmanaged</x:v>
      </x:c>
      <x:c r="K3447" s="123" t="b">
        <x:v>0</x:v>
      </x:c>
      <x:c r="L3447" s="117"/>
      <x:c r="M3447" s="118"/>
      <x:c r="N3447" s="120" t="n">
        <x:v>44903.132835648146</x:v>
      </x:c>
      <x:c r="O3447" s="117" t="str">
        <x:v>Jace Gentil</x:v>
      </x:c>
      <x:c r="P3447" s="120" t="n">
        <x:v>44903.1328587963</x:v>
      </x:c>
      <x:c r="Q3447" s="117" t="str">
        <x:v>Jace Gentil</x:v>
      </x:c>
      <x:c r="R3447" s="117" t="str">
        <x:v>UpdateRMAShipDateToReadyToShip</x:v>
      </x:c>
      <x:c r="S3447" s="119"/>
    </x:row>
    <x:row r="3448" ht="30" customHeight="1">
      <x:c r="A3448" s="117" t="str">
        <x:v>UpdateRMAShipDateToReadyToShip</x:v>
      </x:c>
      <x:c r="B3448" s="117" t="str">
        <x:v>3005b000000LHHMAA4</x:v>
      </x:c>
      <x:c r="C3448" s="117" t="str">
        <x:v>3015b000000ABkkAAG</x:v>
      </x:c>
      <x:c r="D3448" s="118" t="n">
        <x:v>6</x:v>
      </x:c>
      <x:c r="E3448" s="117" t="str">
        <x:v>Obsolete</x:v>
      </x:c>
      <x:c r="F3448" s="117" t="str">
        <x:v>No</x:v>
      </x:c>
      <x:c r="G3448" s="117" t="str">
        <x:v>No</x:v>
      </x:c>
      <x:c r="H3448" s="117" t="str">
        <x:v>AutoLaunchedFlow</x:v>
      </x:c>
      <x:c r="I3448" s="118" t="n">
        <x:v>56</x:v>
      </x:c>
      <x:c r="J3448" s="117" t="str">
        <x:v>unmanaged</x:v>
      </x:c>
      <x:c r="K3448" s="123" t="b">
        <x:v>0</x:v>
      </x:c>
      <x:c r="L3448" s="117"/>
      <x:c r="M3448" s="118"/>
      <x:c r="N3448" s="120" t="n">
        <x:v>44903.13622685185</x:v>
      </x:c>
      <x:c r="O3448" s="117" t="str">
        <x:v>Jace Gentil</x:v>
      </x:c>
      <x:c r="P3448" s="120" t="n">
        <x:v>44903.13626157407</x:v>
      </x:c>
      <x:c r="Q3448" s="117" t="str">
        <x:v>Jace Gentil</x:v>
      </x:c>
      <x:c r="R3448" s="117" t="str">
        <x:v>UpdateRMAShipDateToReadyToShip</x:v>
      </x:c>
      <x:c r="S3448" s="119"/>
    </x:row>
    <x:row r="3449" ht="30" customHeight="1">
      <x:c r="A3449" s="117" t="str">
        <x:v>UpdateRMAShipDateToReadyToShip</x:v>
      </x:c>
      <x:c r="B3449" s="117" t="str">
        <x:v>3005b000000LHHMAA4</x:v>
      </x:c>
      <x:c r="C3449" s="117" t="str">
        <x:v>3015b000000ABkpAAG</x:v>
      </x:c>
      <x:c r="D3449" s="118" t="n">
        <x:v>7</x:v>
      </x:c>
      <x:c r="E3449" s="117" t="str">
        <x:v>Obsolete</x:v>
      </x:c>
      <x:c r="F3449" s="117" t="str">
        <x:v>No</x:v>
      </x:c>
      <x:c r="G3449" s="117" t="str">
        <x:v>No</x:v>
      </x:c>
      <x:c r="H3449" s="117" t="str">
        <x:v>AutoLaunchedFlow</x:v>
      </x:c>
      <x:c r="I3449" s="118" t="n">
        <x:v>56</x:v>
      </x:c>
      <x:c r="J3449" s="117" t="str">
        <x:v>unmanaged</x:v>
      </x:c>
      <x:c r="K3449" s="123" t="b">
        <x:v>0</x:v>
      </x:c>
      <x:c r="L3449" s="117"/>
      <x:c r="M3449" s="118"/>
      <x:c r="N3449" s="120" t="n">
        <x:v>44903.13798611111</x:v>
      </x:c>
      <x:c r="O3449" s="117" t="str">
        <x:v>Jace Gentil</x:v>
      </x:c>
      <x:c r="P3449" s="120" t="n">
        <x:v>44903.13800925926</x:v>
      </x:c>
      <x:c r="Q3449" s="117" t="str">
        <x:v>Jace Gentil</x:v>
      </x:c>
      <x:c r="R3449" s="117" t="str">
        <x:v>UpdateRMAShipDateToReadyToShip</x:v>
      </x:c>
      <x:c r="S3449" s="119"/>
    </x:row>
    <x:row r="3450" ht="30" customHeight="1">
      <x:c r="A3450" s="117" t="str">
        <x:v>UpdateRMAShipDateToReadyToShip</x:v>
      </x:c>
      <x:c r="B3450" s="117" t="str">
        <x:v>3005b000000LHHMAA4</x:v>
      </x:c>
      <x:c r="C3450" s="117" t="str">
        <x:v>3015b000000ABkzAAG</x:v>
      </x:c>
      <x:c r="D3450" s="118" t="n">
        <x:v>8</x:v>
      </x:c>
      <x:c r="E3450" s="117" t="str">
        <x:v>Obsolete</x:v>
      </x:c>
      <x:c r="F3450" s="117" t="str">
        <x:v>No</x:v>
      </x:c>
      <x:c r="G3450" s="117" t="str">
        <x:v>No</x:v>
      </x:c>
      <x:c r="H3450" s="117" t="str">
        <x:v>AutoLaunchedFlow</x:v>
      </x:c>
      <x:c r="I3450" s="118" t="n">
        <x:v>56</x:v>
      </x:c>
      <x:c r="J3450" s="117" t="str">
        <x:v>unmanaged</x:v>
      </x:c>
      <x:c r="K3450" s="123" t="b">
        <x:v>0</x:v>
      </x:c>
      <x:c r="L3450" s="117"/>
      <x:c r="M3450" s="118"/>
      <x:c r="N3450" s="120" t="n">
        <x:v>44903.14119212963</x:v>
      </x:c>
      <x:c r="O3450" s="117" t="str">
        <x:v>Jace Gentil</x:v>
      </x:c>
      <x:c r="P3450" s="120" t="n">
        <x:v>44903.141226851854</x:v>
      </x:c>
      <x:c r="Q3450" s="117" t="str">
        <x:v>Jace Gentil</x:v>
      </x:c>
      <x:c r="R3450" s="117" t="str">
        <x:v>UpdateRMAShipDateToReadyToShip</x:v>
      </x:c>
      <x:c r="S3450" s="119"/>
    </x:row>
    <x:row r="3451" ht="30" customHeight="1">
      <x:c r="A3451" s="117" t="str">
        <x:v>UpdateRMAShipDateToReadyToShip</x:v>
      </x:c>
      <x:c r="B3451" s="117" t="str">
        <x:v>3005b000000LHHMAA4</x:v>
      </x:c>
      <x:c r="C3451" s="117" t="str">
        <x:v>3015b000000ABl4AAG</x:v>
      </x:c>
      <x:c r="D3451" s="118" t="n">
        <x:v>9</x:v>
      </x:c>
      <x:c r="E3451" s="117" t="str">
        <x:v>Obsolete</x:v>
      </x:c>
      <x:c r="F3451" s="117" t="str">
        <x:v>No</x:v>
      </x:c>
      <x:c r="G3451" s="117" t="str">
        <x:v>No</x:v>
      </x:c>
      <x:c r="H3451" s="117" t="str">
        <x:v>AutoLaunchedFlow</x:v>
      </x:c>
      <x:c r="I3451" s="118" t="n">
        <x:v>56</x:v>
      </x:c>
      <x:c r="J3451" s="117" t="str">
        <x:v>unmanaged</x:v>
      </x:c>
      <x:c r="K3451" s="123" t="b">
        <x:v>0</x:v>
      </x:c>
      <x:c r="L3451" s="117"/>
      <x:c r="M3451" s="118"/>
      <x:c r="N3451" s="120" t="n">
        <x:v>44903.148125</x:v>
      </x:c>
      <x:c r="O3451" s="117" t="str">
        <x:v>Jace Gentil</x:v>
      </x:c>
      <x:c r="P3451" s="120" t="n">
        <x:v>44903.14815972222</x:v>
      </x:c>
      <x:c r="Q3451" s="117" t="str">
        <x:v>Jace Gentil</x:v>
      </x:c>
      <x:c r="R3451" s="117" t="str">
        <x:v>UpdateRMAShipDateToReadyToShip</x:v>
      </x:c>
      <x:c r="S3451" s="119"/>
    </x:row>
    <x:row r="3452" ht="30" customHeight="1">
      <x:c r="A3452" s="117" t="str">
        <x:v>UpdateRMAShipDateToReadyToShip</x:v>
      </x:c>
      <x:c r="B3452" s="117" t="str">
        <x:v>3005b000000LHHMAA4</x:v>
      </x:c>
      <x:c r="C3452" s="117" t="str">
        <x:v>3015b000000ABl9AAG</x:v>
      </x:c>
      <x:c r="D3452" s="118" t="n">
        <x:v>10</x:v>
      </x:c>
      <x:c r="E3452" s="117" t="str">
        <x:v>Obsolete</x:v>
      </x:c>
      <x:c r="F3452" s="117" t="str">
        <x:v>No</x:v>
      </x:c>
      <x:c r="G3452" s="117" t="str">
        <x:v>No</x:v>
      </x:c>
      <x:c r="H3452" s="117" t="str">
        <x:v>AutoLaunchedFlow</x:v>
      </x:c>
      <x:c r="I3452" s="118" t="n">
        <x:v>56</x:v>
      </x:c>
      <x:c r="J3452" s="117" t="str">
        <x:v>unmanaged</x:v>
      </x:c>
      <x:c r="K3452" s="123" t="b">
        <x:v>0</x:v>
      </x:c>
      <x:c r="L3452" s="117"/>
      <x:c r="M3452" s="118"/>
      <x:c r="N3452" s="120" t="n">
        <x:v>44903.148935185185</x:v>
      </x:c>
      <x:c r="O3452" s="117" t="str">
        <x:v>Jace Gentil</x:v>
      </x:c>
      <x:c r="P3452" s="120" t="n">
        <x:v>44903.15137731482</x:v>
      </x:c>
      <x:c r="Q3452" s="117" t="str">
        <x:v>Jace Gentil</x:v>
      </x:c>
      <x:c r="R3452" s="117" t="str">
        <x:v>UpdateRMAShipDateToReadyToShip</x:v>
      </x:c>
      <x:c r="S3452" s="119"/>
    </x:row>
    <x:row r="3453" ht="30" customHeight="1">
      <x:c r="A3453" s="117" t="str">
        <x:v>UpdateRMAShipDateToReadyToShip</x:v>
      </x:c>
      <x:c r="B3453" s="117" t="str">
        <x:v>3005b000000LHHMAA4</x:v>
      </x:c>
      <x:c r="C3453" s="117" t="str">
        <x:v>3015b000000ABlEAAW</x:v>
      </x:c>
      <x:c r="D3453" s="118" t="n">
        <x:v>11</x:v>
      </x:c>
      <x:c r="E3453" s="117" t="str">
        <x:v>Draft</x:v>
      </x:c>
      <x:c r="F3453" s="117" t="str">
        <x:v>No</x:v>
      </x:c>
      <x:c r="G3453" s="117" t="str">
        <x:v>Yes</x:v>
      </x:c>
      <x:c r="H3453" s="117" t="str">
        <x:v>AutoLaunchedFlow</x:v>
      </x:c>
      <x:c r="I3453" s="118" t="n">
        <x:v>56</x:v>
      </x:c>
      <x:c r="J3453" s="117" t="str">
        <x:v>unmanaged</x:v>
      </x:c>
      <x:c r="K3453" s="123" t="b">
        <x:v>0</x:v>
      </x:c>
      <x:c r="L3453" s="117"/>
      <x:c r="M3453" s="118"/>
      <x:c r="N3453" s="120" t="n">
        <x:v>44903.15049768519</x:v>
      </x:c>
      <x:c r="O3453" s="117" t="str">
        <x:v>Jace Gentil</x:v>
      </x:c>
      <x:c r="P3453" s="120" t="n">
        <x:v>44903.15049768519</x:v>
      </x:c>
      <x:c r="Q3453" s="117" t="str">
        <x:v>Jace Gentil</x:v>
      </x:c>
      <x:c r="R3453" s="117" t="str">
        <x:v>UpdateRMAShipDateToReadyToShip</x:v>
      </x:c>
      <x:c r="S3453" s="119"/>
    </x:row>
    <x:row r="3454" ht="30" customHeight="1">
      <x:c r="A3454" s="117" t="str">
        <x:v>Upload_Signed_Document</x:v>
      </x:c>
      <x:c r="B3454" s="117" t="str">
        <x:v>3004O000000TiZ1QAK</x:v>
      </x:c>
      <x:c r="C3454" s="117" t="str">
        <x:v>3014O000000U5UNQA0</x:v>
      </x:c>
      <x:c r="D3454" s="118" t="n">
        <x:v>1</x:v>
      </x:c>
      <x:c r="E3454" s="117" t="str">
        <x:v>Active</x:v>
      </x:c>
      <x:c r="F3454" s="117" t="str">
        <x:v>Yes</x:v>
      </x:c>
      <x:c r="G3454" s="117" t="str">
        <x:v>Yes</x:v>
      </x:c>
      <x:c r="H3454" s="117" t="str">
        <x:v>Flow</x:v>
      </x:c>
      <x:c r="I3454" s="118"/>
      <x:c r="J3454" s="117" t="str">
        <x:v>unmanaged</x:v>
      </x:c>
      <x:c r="K3454" s="123" t="b">
        <x:v>0</x:v>
      </x:c>
      <x:c r="L3454" s="117"/>
      <x:c r="M3454" s="118"/>
      <x:c r="N3454" s="120" t="n">
        <x:v>43739.0496875</x:v>
      </x:c>
      <x:c r="O3454" s="117" t="str">
        <x:v>Jim Bartek</x:v>
      </x:c>
      <x:c r="P3454" s="120" t="n">
        <x:v>43739.26528935185</x:v>
      </x:c>
      <x:c r="Q3454" s="117" t="str">
        <x:v>Jim Bartek</x:v>
      </x:c>
      <x:c r="R3454" s="117" t="str">
        <x:v>Upload Signed Document</x:v>
      </x:c>
      <x:c r="S3454" s="119" t="str">
        <x:v>This flow is built for users to upload a signed document to an opportunity.  By doing this through a flow instead of manually, we are able to require certain fields (customer signed by, customer signed date), and control the movement to the next stage.</x:v>
      </x:c>
    </x:row>
    <x:row r="3455" ht="30" customHeight="1">
      <x:c r="A3455" s="117" t="str">
        <x:v>US_FSL_Ask_to_Re_Generate_FSR</x:v>
      </x:c>
      <x:c r="B3455" s="117" t="str">
        <x:v>300Ro00000tiIHhIAM</x:v>
      </x:c>
      <x:c r="C3455" s="117" t="str">
        <x:v>301Ro000011YgdFIAS</x:v>
      </x:c>
      <x:c r="D3455" s="118" t="n">
        <x:v>1</x:v>
      </x:c>
      <x:c r="E3455" s="117" t="str">
        <x:v>Obsolete</x:v>
      </x:c>
      <x:c r="F3455" s="117" t="str">
        <x:v>No</x:v>
      </x:c>
      <x:c r="G3455" s="117" t="str">
        <x:v>No</x:v>
      </x:c>
      <x:c r="H3455" s="117" t="str">
        <x:v>AutoLaunchedFlow</x:v>
      </x:c>
      <x:c r="I3455" s="118" t="n">
        <x:v>66</x:v>
      </x:c>
      <x:c r="J3455" s="117" t="str">
        <x:v>unmanaged</x:v>
      </x:c>
      <x:c r="K3455" s="123" t="b">
        <x:v>0</x:v>
      </x:c>
      <x:c r="L3455" s="117"/>
      <x:c r="M3455" s="118"/>
      <x:c r="N3455" s="120" t="n">
        <x:v>46107.51482638889</x:v>
      </x:c>
      <x:c r="O3455" s="117" t="str">
        <x:v>Delegate</x:v>
      </x:c>
      <x:c r="P3455" s="120" t="n">
        <x:v>46107.51490740741</x:v>
      </x:c>
      <x:c r="Q3455" s="117" t="str">
        <x:v>Delegate</x:v>
      </x:c>
      <x:c r="R3455" s="117" t="str">
        <x:v>US FSL | Ask to Re-Generate FSR</x:v>
      </x:c>
      <x:c r="S3455" s="119" t="str">
        <x:v>03/26/2026 (BW) - Allows for operations to ask engineers to re-generate the FSR for a work order</x:v>
      </x:c>
    </x:row>
    <x:row r="3456" ht="30" customHeight="1">
      <x:c r="A3456" s="117" t="str">
        <x:v>US_FSL_Ask_to_Re_Generate_FSR</x:v>
      </x:c>
      <x:c r="B3456" s="117" t="str">
        <x:v>300Ro00000tiIHhIAM</x:v>
      </x:c>
      <x:c r="C3456" s="117" t="str">
        <x:v>301Ro000011YS8vIAG</x:v>
      </x:c>
      <x:c r="D3456" s="118" t="n">
        <x:v>2</x:v>
      </x:c>
      <x:c r="E3456" s="117" t="str">
        <x:v>Active</x:v>
      </x:c>
      <x:c r="F3456" s="117" t="str">
        <x:v>Yes</x:v>
      </x:c>
      <x:c r="G3456" s="117" t="str">
        <x:v>Yes</x:v>
      </x:c>
      <x:c r="H3456" s="117" t="str">
        <x:v>AutoLaunchedFlow</x:v>
      </x:c>
      <x:c r="I3456" s="118" t="n">
        <x:v>66</x:v>
      </x:c>
      <x:c r="J3456" s="117" t="str">
        <x:v>unmanaged</x:v>
      </x:c>
      <x:c r="K3456" s="123" t="b">
        <x:v>0</x:v>
      </x:c>
      <x:c r="L3456" s="117"/>
      <x:c r="M3456" s="118"/>
      <x:c r="N3456" s="120" t="n">
        <x:v>46107.515173611115</x:v>
      </x:c>
      <x:c r="O3456" s="117" t="str">
        <x:v>Delegate</x:v>
      </x:c>
      <x:c r="P3456" s="120" t="n">
        <x:v>46107.51550925926</x:v>
      </x:c>
      <x:c r="Q3456" s="117" t="str">
        <x:v>Delegate</x:v>
      </x:c>
      <x:c r="R3456" s="117" t="str">
        <x:v>US FSL | Ask to Re-Generate FSR</x:v>
      </x:c>
      <x:c r="S3456" s="119" t="str">
        <x:v>03/26/2026 (BW) - Allows for operations to ask engineers to re-generate the FSR for a work order</x:v>
      </x:c>
    </x:row>
    <x:row r="3457" ht="30" customHeight="1">
      <x:c r="A3457" s="117" t="str">
        <x:v>US_FSL_Flow_On_OPP_Product_Create_Create_WOLI</x:v>
      </x:c>
      <x:c r="B3457" s="117" t="str">
        <x:v>300Ro00000qgoX9IAI</x:v>
      </x:c>
      <x:c r="C3457" s="117" t="str">
        <x:v>301Ro00000yGWe7IAG</x:v>
      </x:c>
      <x:c r="D3457" s="118" t="n">
        <x:v>1</x:v>
      </x:c>
      <x:c r="E3457" s="117" t="str">
        <x:v>Obsolete</x:v>
      </x:c>
      <x:c r="F3457" s="117" t="str">
        <x:v>No</x:v>
      </x:c>
      <x:c r="G3457" s="117" t="str">
        <x:v>No</x:v>
      </x:c>
      <x:c r="H3457" s="117" t="str">
        <x:v>AutoLaunchedFlow</x:v>
      </x:c>
      <x:c r="I3457" s="118" t="n">
        <x:v>64</x:v>
      </x:c>
      <x:c r="J3457" s="117" t="str">
        <x:v>unmanaged</x:v>
      </x:c>
      <x:c r="K3457" s="123" t="b">
        <x:v>0</x:v>
      </x:c>
      <x:c r="L3457" s="117"/>
      <x:c r="M3457" s="118"/>
      <x:c r="N3457" s="120" t="n">
        <x:v>46066.58300925926</x:v>
      </x:c>
      <x:c r="O3457" s="117" t="str">
        <x:v>Delegate</x:v>
      </x:c>
      <x:c r="P3457" s="120" t="n">
        <x:v>46066.58310185185</x:v>
      </x:c>
      <x:c r="Q3457" s="117" t="str">
        <x:v>Delegate</x:v>
      </x:c>
      <x:c r="R3457" s="117" t="str">
        <x:v>US FSL Flow | On OPP Product Create | Create WOLI</x:v>
      </x:c>
      <x:c r="S3457" s="119" t="str">
        <x:v>02/13/2026 (BW) - On creation of an opportunity product, create a work order line item</x:v>
      </x:c>
    </x:row>
    <x:row r="3458" ht="30" customHeight="1">
      <x:c r="A3458" s="117" t="str">
        <x:v>US_FSL_Flow_On_OPP_Product_Create_Create_WOLI</x:v>
      </x:c>
      <x:c r="B3458" s="117" t="str">
        <x:v>300Ro00000qgoX9IAI</x:v>
      </x:c>
      <x:c r="C3458" s="117" t="str">
        <x:v>301Ro00000yVDczIAG</x:v>
      </x:c>
      <x:c r="D3458" s="118" t="n">
        <x:v>2</x:v>
      </x:c>
      <x:c r="E3458" s="117" t="str">
        <x:v>Obsolete</x:v>
      </x:c>
      <x:c r="F3458" s="117" t="str">
        <x:v>No</x:v>
      </x:c>
      <x:c r="G3458" s="117" t="str">
        <x:v>No</x:v>
      </x:c>
      <x:c r="H3458" s="117" t="str">
        <x:v>AutoLaunchedFlow</x:v>
      </x:c>
      <x:c r="I3458" s="118" t="n">
        <x:v>64</x:v>
      </x:c>
      <x:c r="J3458" s="117" t="str">
        <x:v>unmanaged</x:v>
      </x:c>
      <x:c r="K3458" s="123" t="b">
        <x:v>0</x:v>
      </x:c>
      <x:c r="L3458" s="117"/>
      <x:c r="M3458" s="118"/>
      <x:c r="N3458" s="120" t="n">
        <x:v>46070.52659722222</x:v>
      </x:c>
      <x:c r="O3458" s="117" t="str">
        <x:v>Delegate</x:v>
      </x:c>
      <x:c r="P3458" s="120" t="n">
        <x:v>46070.52680555556</x:v>
      </x:c>
      <x:c r="Q3458" s="117" t="str">
        <x:v>Delegate</x:v>
      </x:c>
      <x:c r="R3458" s="117" t="str">
        <x:v>US FSL Flow | On OPP Product Create | Create WOLI</x:v>
      </x:c>
      <x:c r="S3458" s="119" t="str">
        <x:v>02/13/2026 (BW) - On creation of an opportunity product, create a work order line item</x:v>
      </x:c>
    </x:row>
    <x:row r="3459" ht="30" customHeight="1">
      <x:c r="A3459" s="117" t="str">
        <x:v>US_FSL_Flow_On_OPP_Product_Create_Create_WOLI</x:v>
      </x:c>
      <x:c r="B3459" s="117" t="str">
        <x:v>300Ro00000qgoX9IAI</x:v>
      </x:c>
      <x:c r="C3459" s="117" t="str">
        <x:v>301Ro00000yVL1OIAW</x:v>
      </x:c>
      <x:c r="D3459" s="118" t="n">
        <x:v>3</x:v>
      </x:c>
      <x:c r="E3459" s="117" t="str">
        <x:v>Draft</x:v>
      </x:c>
      <x:c r="F3459" s="117" t="str">
        <x:v>No</x:v>
      </x:c>
      <x:c r="G3459" s="117" t="str">
        <x:v>No</x:v>
      </x:c>
      <x:c r="H3459" s="117" t="str">
        <x:v>AutoLaunchedFlow</x:v>
      </x:c>
      <x:c r="I3459" s="118" t="n">
        <x:v>64</x:v>
      </x:c>
      <x:c r="J3459" s="117" t="str">
        <x:v>unmanaged</x:v>
      </x:c>
      <x:c r="K3459" s="123" t="b">
        <x:v>0</x:v>
      </x:c>
      <x:c r="L3459" s="117"/>
      <x:c r="M3459" s="118"/>
      <x:c r="N3459" s="120" t="n">
        <x:v>46070.53114583333</x:v>
      </x:c>
      <x:c r="O3459" s="117" t="str">
        <x:v>Delegate</x:v>
      </x:c>
      <x:c r="P3459" s="120" t="n">
        <x:v>46070.531168981484</x:v>
      </x:c>
      <x:c r="Q3459" s="117" t="str">
        <x:v>Delegate</x:v>
      </x:c>
      <x:c r="R3459" s="117" t="str">
        <x:v>US FSL Flow | On OPP Product Create | Create WOLI</x:v>
      </x:c>
      <x:c r="S3459" s="119" t="str">
        <x:v>02/13/2026 (BW) - On creation of an opportunity product, create a work order line item</x:v>
      </x:c>
    </x:row>
    <x:row r="3460" ht="30" customHeight="1">
      <x:c r="A3460" s="117" t="str">
        <x:v>US_FSL_Flow_On_OPP_Product_Create_Create_WOLI</x:v>
      </x:c>
      <x:c r="B3460" s="117" t="str">
        <x:v>300Ro00000qgoX9IAI</x:v>
      </x:c>
      <x:c r="C3460" s="117" t="str">
        <x:v>301Ro00000yogkmIAA</x:v>
      </x:c>
      <x:c r="D3460" s="118" t="n">
        <x:v>4</x:v>
      </x:c>
      <x:c r="E3460" s="117" t="str">
        <x:v>Obsolete</x:v>
      </x:c>
      <x:c r="F3460" s="117" t="str">
        <x:v>No</x:v>
      </x:c>
      <x:c r="G3460" s="117" t="str">
        <x:v>No</x:v>
      </x:c>
      <x:c r="H3460" s="117" t="str">
        <x:v>AutoLaunchedFlow</x:v>
      </x:c>
      <x:c r="I3460" s="118" t="n">
        <x:v>64</x:v>
      </x:c>
      <x:c r="J3460" s="117" t="str">
        <x:v>unmanaged</x:v>
      </x:c>
      <x:c r="K3460" s="123" t="b">
        <x:v>0</x:v>
      </x:c>
      <x:c r="L3460" s="117"/>
      <x:c r="M3460" s="118"/>
      <x:c r="N3460" s="120" t="n">
        <x:v>46073.64634259259</x:v>
      </x:c>
      <x:c r="O3460" s="117" t="str">
        <x:v>Delegate</x:v>
      </x:c>
      <x:c r="P3460" s="120" t="n">
        <x:v>46073.647152777776</x:v>
      </x:c>
      <x:c r="Q3460" s="117" t="str">
        <x:v>Delegate</x:v>
      </x:c>
      <x:c r="R3460" s="117" t="str">
        <x:v>US FSL Flow | On OPP Product Create | Create WOLI</x:v>
      </x:c>
      <x:c r="S3460" s="119" t="str">
        <x:v>02/20/2026 (BW) - Updating entry criteria</x:v>
      </x:c>
    </x:row>
    <x:row r="3461" ht="30" customHeight="1">
      <x:c r="A3461" s="117" t="str">
        <x:v>US_FSL_Flow_On_OPP_Product_Create_Create_WOLI</x:v>
      </x:c>
      <x:c r="B3461" s="117" t="str">
        <x:v>300Ro00000qgoX9IAI</x:v>
      </x:c>
      <x:c r="C3461" s="117" t="str">
        <x:v>301Ro00000yp8vRIAQ</x:v>
      </x:c>
      <x:c r="D3461" s="118" t="n">
        <x:v>5</x:v>
      </x:c>
      <x:c r="E3461" s="117" t="str">
        <x:v>Obsolete</x:v>
      </x:c>
      <x:c r="F3461" s="117" t="str">
        <x:v>No</x:v>
      </x:c>
      <x:c r="G3461" s="117" t="str">
        <x:v>No</x:v>
      </x:c>
      <x:c r="H3461" s="117" t="str">
        <x:v>AutoLaunchedFlow</x:v>
      </x:c>
      <x:c r="I3461" s="118" t="n">
        <x:v>64</x:v>
      </x:c>
      <x:c r="J3461" s="117" t="str">
        <x:v>unmanaged</x:v>
      </x:c>
      <x:c r="K3461" s="123" t="b">
        <x:v>0</x:v>
      </x:c>
      <x:c r="L3461" s="117"/>
      <x:c r="M3461" s="118"/>
      <x:c r="N3461" s="120" t="n">
        <x:v>46073.6515625</x:v>
      </x:c>
      <x:c r="O3461" s="117" t="str">
        <x:v>Delegate</x:v>
      </x:c>
      <x:c r="P3461" s="120" t="n">
        <x:v>46073.65178240741</x:v>
      </x:c>
      <x:c r="Q3461" s="117" t="str">
        <x:v>Delegate</x:v>
      </x:c>
      <x:c r="R3461" s="117" t="str">
        <x:v>US FSL Flow | On OPP Product Create | Create WOLI</x:v>
      </x:c>
      <x:c r="S3461" s="119" t="str">
        <x:v>02/20/2026 (BW) - Updating entry criteria</x:v>
      </x:c>
    </x:row>
    <x:row r="3462" ht="30" customHeight="1">
      <x:c r="A3462" s="117" t="str">
        <x:v>US_FSL_Flow_On_OPP_Product_Create_Create_WOLI</x:v>
      </x:c>
      <x:c r="B3462" s="117" t="str">
        <x:v>300Ro00000qgoX9IAI</x:v>
      </x:c>
      <x:c r="C3462" s="117" t="str">
        <x:v>301Ro00000yoELUIA2</x:v>
      </x:c>
      <x:c r="D3462" s="118" t="n">
        <x:v>6</x:v>
      </x:c>
      <x:c r="E3462" s="117" t="str">
        <x:v>Obsolete</x:v>
      </x:c>
      <x:c r="F3462" s="117" t="str">
        <x:v>No</x:v>
      </x:c>
      <x:c r="G3462" s="117" t="str">
        <x:v>Yes</x:v>
      </x:c>
      <x:c r="H3462" s="117" t="str">
        <x:v>AutoLaunchedFlow</x:v>
      </x:c>
      <x:c r="I3462" s="118" t="n">
        <x:v>64</x:v>
      </x:c>
      <x:c r="J3462" s="117" t="str">
        <x:v>unmanaged</x:v>
      </x:c>
      <x:c r="K3462" s="123" t="b">
        <x:v>0</x:v>
      </x:c>
      <x:c r="L3462" s="117"/>
      <x:c r="M3462" s="118"/>
      <x:c r="N3462" s="120" t="n">
        <x:v>46073.65818287037</x:v>
      </x:c>
      <x:c r="O3462" s="117" t="str">
        <x:v>Delegate</x:v>
      </x:c>
      <x:c r="P3462" s="120" t="n">
        <x:v>46114.48385416667</x:v>
      </x:c>
      <x:c r="Q3462" s="117" t="str">
        <x:v>Delegate</x:v>
      </x:c>
      <x:c r="R3462" s="117" t="str">
        <x:v>US FSL Flow | On OPP Product Create | Create WOLI</x:v>
      </x:c>
      <x:c r="S3462" s="119" t="str">
        <x:v>02/20/2026 (BW) - Updating entry criteria</x:v>
      </x:c>
    </x:row>
    <x:row r="3463" ht="30" customHeight="1">
      <x:c r="A3463" s="117" t="str">
        <x:v>US_FSL_For_Probe_Parts_Repair_Opp_Upon_FSR_attached_mark_the_work_order_status_a</x:v>
      </x:c>
      <x:c r="B3463" s="117" t="str">
        <x:v>300Ro00000pbY71IAE</x:v>
      </x:c>
      <x:c r="C3463" s="117" t="str">
        <x:v>301Ro00000x5RqUIAU</x:v>
      </x:c>
      <x:c r="D3463" s="118" t="n">
        <x:v>1</x:v>
      </x:c>
      <x:c r="E3463" s="117" t="str">
        <x:v>Obsolete</x:v>
      </x:c>
      <x:c r="F3463" s="117" t="str">
        <x:v>No</x:v>
      </x:c>
      <x:c r="G3463" s="117" t="str">
        <x:v>No</x:v>
      </x:c>
      <x:c r="H3463" s="117" t="str">
        <x:v>AutoLaunchedFlow</x:v>
      </x:c>
      <x:c r="I3463" s="118" t="n">
        <x:v>65</x:v>
      </x:c>
      <x:c r="J3463" s="117" t="str">
        <x:v>unmanaged</x:v>
      </x:c>
      <x:c r="K3463" s="123" t="b">
        <x:v>0</x:v>
      </x:c>
      <x:c r="L3463" s="117"/>
      <x:c r="M3463" s="118"/>
      <x:c r="N3463" s="120" t="n">
        <x:v>46052.87850694444</x:v>
      </x:c>
      <x:c r="O3463" s="117" t="str">
        <x:v>Delegate</x:v>
      </x:c>
      <x:c r="P3463" s="120" t="n">
        <x:v>46052.878587962965</x:v>
      </x:c>
      <x:c r="Q3463" s="117" t="str">
        <x:v>Delegate</x:v>
      </x:c>
      <x:c r="R3463" s="117" t="str">
        <x:v>US FSL | For Probe/Parts/Repair Opp, Upon FSR attached mark the work order status as "Completed WO"</x:v>
      </x:c>
      <x:c r="S3463" s="119" t="str">
        <x:v>01/30/2026 (BW) - Work Order is marked as "Completed WO" when the FSR is attached</x:v>
      </x:c>
    </x:row>
    <x:row r="3464" ht="30" customHeight="1">
      <x:c r="A3464" s="117" t="str">
        <x:v>US_FSL_For_Probe_Parts_Repair_Opp_Upon_FSR_attached_mark_the_work_order_status_a</x:v>
      </x:c>
      <x:c r="B3464" s="117" t="str">
        <x:v>300Ro00000pbY71IAE</x:v>
      </x:c>
      <x:c r="C3464" s="117" t="str">
        <x:v>301Ro000010UncHIAS</x:v>
      </x:c>
      <x:c r="D3464" s="118" t="n">
        <x:v>2</x:v>
      </x:c>
      <x:c r="E3464" s="117" t="str">
        <x:v>Draft</x:v>
      </x:c>
      <x:c r="F3464" s="117" t="str">
        <x:v>No</x:v>
      </x:c>
      <x:c r="G3464" s="117" t="str">
        <x:v>No</x:v>
      </x:c>
      <x:c r="H3464" s="117" t="str">
        <x:v>AutoLaunchedFlow</x:v>
      </x:c>
      <x:c r="I3464" s="118" t="n">
        <x:v>65</x:v>
      </x:c>
      <x:c r="J3464" s="117" t="str">
        <x:v>unmanaged</x:v>
      </x:c>
      <x:c r="K3464" s="123" t="b">
        <x:v>0</x:v>
      </x:c>
      <x:c r="L3464" s="117"/>
      <x:c r="M3464" s="118"/>
      <x:c r="N3464" s="120" t="n">
        <x:v>46094.57133101852</x:v>
      </x:c>
      <x:c r="O3464" s="117" t="str">
        <x:v>Delegate</x:v>
      </x:c>
      <x:c r="P3464" s="120" t="n">
        <x:v>46094.57135416667</x:v>
      </x:c>
      <x:c r="Q3464" s="117" t="str">
        <x:v>Delegate</x:v>
      </x:c>
      <x:c r="R3464" s="117" t="str">
        <x:v>US FSL | For Probe/Parts/Repair Opp, Upon FSR attached mark the work order status as "Completed WO"</x:v>
      </x:c>
      <x:c r="S3464" s="119" t="str">
        <x:v>01/30/2026 (BW) - Work Order is marked as "Completed WO" when the FSR is attached</x:v>
      </x:c>
    </x:row>
    <x:row r="3465" ht="30" customHeight="1">
      <x:c r="A3465" s="117" t="str">
        <x:v>US_FSL_For_Probe_Parts_Repair_Opp_Upon_FSR_attached_mark_the_work_order_status_a</x:v>
      </x:c>
      <x:c r="B3465" s="117" t="str">
        <x:v>300Ro00000pbY71IAE</x:v>
      </x:c>
      <x:c r="C3465" s="117" t="str">
        <x:v>301Ro000011Sce3IAC</x:v>
      </x:c>
      <x:c r="D3465" s="118" t="n">
        <x:v>3</x:v>
      </x:c>
      <x:c r="E3465" s="117" t="str">
        <x:v>Obsolete</x:v>
      </x:c>
      <x:c r="F3465" s="117" t="str">
        <x:v>No</x:v>
      </x:c>
      <x:c r="G3465" s="117" t="str">
        <x:v>No</x:v>
      </x:c>
      <x:c r="H3465" s="117" t="str">
        <x:v>AutoLaunchedFlow</x:v>
      </x:c>
      <x:c r="I3465" s="118" t="n">
        <x:v>65</x:v>
      </x:c>
      <x:c r="J3465" s="117" t="str">
        <x:v>unmanaged</x:v>
      </x:c>
      <x:c r="K3465" s="123" t="b">
        <x:v>0</x:v>
      </x:c>
      <x:c r="L3465" s="117"/>
      <x:c r="M3465" s="118"/>
      <x:c r="N3465" s="120" t="n">
        <x:v>46106.59986111111</x:v>
      </x:c>
      <x:c r="O3465" s="117" t="str">
        <x:v>Delegate</x:v>
      </x:c>
      <x:c r="P3465" s="120" t="n">
        <x:v>46106.599907407406</x:v>
      </x:c>
      <x:c r="Q3465" s="117" t="str">
        <x:v>Delegate</x:v>
      </x:c>
      <x:c r="R3465" s="117" t="str">
        <x:v>US FSL | For Probe/Parts/Repair Opp, Upon FSR attached mark the work order status as "Completed WO"</x:v>
      </x:c>
      <x:c r="S3465" s="119" t="str">
        <x:v>01/30/2026 (BW) - Work Order is marked as "Completed WO" when the FSR is attached</x:v>
      </x:c>
    </x:row>
    <x:row r="3466" ht="30" customHeight="1">
      <x:c r="A3466" s="117" t="str">
        <x:v>US_FSL_For_Probe_Parts_Repair_Opp_Upon_FSR_attached_mark_the_work_order_status_a</x:v>
      </x:c>
      <x:c r="B3466" s="117" t="str">
        <x:v>300Ro00000pbY71IAE</x:v>
      </x:c>
      <x:c r="C3466" s="117" t="str">
        <x:v>301Ro000012msMDIAY</x:v>
      </x:c>
      <x:c r="D3466" s="118" t="n">
        <x:v>4</x:v>
      </x:c>
      <x:c r="E3466" s="117" t="str">
        <x:v>Active</x:v>
      </x:c>
      <x:c r="F3466" s="117" t="str">
        <x:v>Yes</x:v>
      </x:c>
      <x:c r="G3466" s="117" t="str">
        <x:v>Yes</x:v>
      </x:c>
      <x:c r="H3466" s="117" t="str">
        <x:v>AutoLaunchedFlow</x:v>
      </x:c>
      <x:c r="I3466" s="118" t="n">
        <x:v>65</x:v>
      </x:c>
      <x:c r="J3466" s="117" t="str">
        <x:v>unmanaged</x:v>
      </x:c>
      <x:c r="K3466" s="123" t="b">
        <x:v>0</x:v>
      </x:c>
      <x:c r="L3466" s="117"/>
      <x:c r="M3466" s="118"/>
      <x:c r="N3466" s="120" t="n">
        <x:v>46121.79471064815</x:v>
      </x:c>
      <x:c r="O3466" s="117" t="str">
        <x:v>Delegate</x:v>
      </x:c>
      <x:c r="P3466" s="120" t="n">
        <x:v>46121.79478009259</x:v>
      </x:c>
      <x:c r="Q3466" s="117" t="str">
        <x:v>Delegate</x:v>
      </x:c>
      <x:c r="R3466" s="117" t="str">
        <x:v>US FSL | For Probe/Parts/Repair Opp, Upon FSR attached mark the work order status as "Completed WO"</x:v>
      </x:c>
      <x:c r="S3466" s="119" t="str">
        <x:v>01/30/2026 (BW) - Work Order is marked as "Completed WO" when the FSR is attached</x:v>
      </x:c>
    </x:row>
    <x:row r="3467" ht="30" customHeight="1">
      <x:c r="A3467" s="117" t="str">
        <x:v>US_FSL_For_Probe_Parts_Sale_Opp_When_switched_to_pending_approval_change_work_or</x:v>
      </x:c>
      <x:c r="B3467" s="117" t="str">
        <x:v>300Ro00000r25wMIAQ</x:v>
      </x:c>
      <x:c r="C3467" s="117" t="str">
        <x:v>301Ro00000ycJyNIAU</x:v>
      </x:c>
      <x:c r="D3467" s="118" t="n">
        <x:v>1</x:v>
      </x:c>
      <x:c r="E3467" s="117" t="str">
        <x:v>Obsolete</x:v>
      </x:c>
      <x:c r="F3467" s="117" t="str">
        <x:v>No</x:v>
      </x:c>
      <x:c r="G3467" s="117" t="str">
        <x:v>No</x:v>
      </x:c>
      <x:c r="H3467" s="117" t="str">
        <x:v>AutoLaunchedFlow</x:v>
      </x:c>
      <x:c r="I3467" s="118" t="n">
        <x:v>65</x:v>
      </x:c>
      <x:c r="J3467" s="117" t="str">
        <x:v>unmanaged</x:v>
      </x:c>
      <x:c r="K3467" s="123" t="b">
        <x:v>0</x:v>
      </x:c>
      <x:c r="L3467" s="117"/>
      <x:c r="M3467" s="118"/>
      <x:c r="N3467" s="120" t="n">
        <x:v>46071.70313657408</x:v>
      </x:c>
      <x:c r="O3467" s="117" t="str">
        <x:v>Delegate</x:v>
      </x:c>
      <x:c r="P3467" s="120" t="n">
        <x:v>46071.70326388889</x:v>
      </x:c>
      <x:c r="Q3467" s="117" t="str">
        <x:v>Delegate</x:v>
      </x:c>
      <x:c r="R3467" s="117" t="str">
        <x:v>US FSL | For Probe/Parts Sale Opp, When switched to pending approval change work order to pending approval</x:v>
      </x:c>
      <x:c r="S3467" s="119" t="str">
        <x:v>02/18/2026 (BW) - Sets the work order's status to "Pending Approval" once the opportunity stage is changed to pending approval</x:v>
      </x:c>
    </x:row>
    <x:row r="3468" ht="30" customHeight="1">
      <x:c r="A3468" s="117" t="str">
        <x:v>US_FSL_For_Probe_Parts_Sale_Opp_When_switched_to_pending_approval_change_work_or</x:v>
      </x:c>
      <x:c r="B3468" s="117" t="str">
        <x:v>300Ro00000r25wMIAQ</x:v>
      </x:c>
      <x:c r="C3468" s="117" t="str">
        <x:v>301Ro00000yoDqkIAE</x:v>
      </x:c>
      <x:c r="D3468" s="118" t="n">
        <x:v>2</x:v>
      </x:c>
      <x:c r="E3468" s="117" t="str">
        <x:v>Obsolete</x:v>
      </x:c>
      <x:c r="F3468" s="117" t="str">
        <x:v>No</x:v>
      </x:c>
      <x:c r="G3468" s="117" t="str">
        <x:v>No</x:v>
      </x:c>
      <x:c r="H3468" s="117" t="str">
        <x:v>AutoLaunchedFlow</x:v>
      </x:c>
      <x:c r="I3468" s="118" t="n">
        <x:v>65</x:v>
      </x:c>
      <x:c r="J3468" s="117" t="str">
        <x:v>unmanaged</x:v>
      </x:c>
      <x:c r="K3468" s="123" t="b">
        <x:v>0</x:v>
      </x:c>
      <x:c r="L3468" s="117"/>
      <x:c r="M3468" s="118"/>
      <x:c r="N3468" s="120" t="n">
        <x:v>46073.55453703704</x:v>
      </x:c>
      <x:c r="O3468" s="117" t="str">
        <x:v>Delegate</x:v>
      </x:c>
      <x:c r="P3468" s="120" t="n">
        <x:v>46073.55462962963</x:v>
      </x:c>
      <x:c r="Q3468" s="117" t="str">
        <x:v>Delegate</x:v>
      </x:c>
      <x:c r="R3468" s="117" t="str">
        <x:v>US FSL | For Probe/Parts Sale Opp, When switched to pending approval change work order to pending approval</x:v>
      </x:c>
      <x:c r="S3468" s="119" t="str">
        <x:v>02/18/2026 (BW) - Sets the work order's status to "Pending Approval" once the opportunity stage is changed to pending approval</x:v>
      </x:c>
    </x:row>
    <x:row r="3469" ht="30" customHeight="1">
      <x:c r="A3469" s="117" t="str">
        <x:v>US_FSL_For_Probe_Parts_Sale_Opp_When_switched_to_pending_approval_change_work_or</x:v>
      </x:c>
      <x:c r="B3469" s="117" t="str">
        <x:v>300Ro00000r25wMIAQ</x:v>
      </x:c>
      <x:c r="C3469" s="117" t="str">
        <x:v>301Ro000016KnYTIA0</x:v>
      </x:c>
      <x:c r="D3469" s="118" t="n">
        <x:v>3</x:v>
      </x:c>
      <x:c r="E3469" s="117" t="str">
        <x:v>Active</x:v>
      </x:c>
      <x:c r="F3469" s="117" t="str">
        <x:v>Yes</x:v>
      </x:c>
      <x:c r="G3469" s="117" t="str">
        <x:v>Yes</x:v>
      </x:c>
      <x:c r="H3469" s="117" t="str">
        <x:v>AutoLaunchedFlow</x:v>
      </x:c>
      <x:c r="I3469" s="118" t="n">
        <x:v>65</x:v>
      </x:c>
      <x:c r="J3469" s="117" t="str">
        <x:v>unmanaged</x:v>
      </x:c>
      <x:c r="K3469" s="123" t="b">
        <x:v>0</x:v>
      </x:c>
      <x:c r="L3469" s="117"/>
      <x:c r="M3469" s="118"/>
      <x:c r="N3469" s="120" t="n">
        <x:v>46163.690254629626</x:v>
      </x:c>
      <x:c r="O3469" s="117" t="str">
        <x:v>Delegate</x:v>
      </x:c>
      <x:c r="P3469" s="120" t="n">
        <x:v>46163.690625</x:v>
      </x:c>
      <x:c r="Q3469" s="117" t="str">
        <x:v>Delegate</x:v>
      </x:c>
      <x:c r="R3469" s="117" t="str">
        <x:v>US FSL | For Probe/Parts Sale Opp, When switched to pending approval change work order to Quote Attached</x:v>
      </x:c>
      <x:c r="S3469" s="119" t="str">
        <x:v>05/21/2026 (BW) - On the opportunity going to pending approval, update the work order's status to "Quote Attached"</x:v>
      </x:c>
    </x:row>
    <x:row r="3470" ht="30" customHeight="1">
      <x:c r="A3470" s="117" t="str">
        <x:v>US_FSL_For_Probe_Repair_Opp_On_Setting_of_Repair_Approved_change_Work_Order_to_R</x:v>
      </x:c>
      <x:c r="B3470" s="117" t="str">
        <x:v>300Ro00000r3NCrIAM</x:v>
      </x:c>
      <x:c r="C3470" s="117" t="str">
        <x:v>301Ro00000yoCTZIA2</x:v>
      </x:c>
      <x:c r="D3470" s="118" t="n">
        <x:v>1</x:v>
      </x:c>
      <x:c r="E3470" s="117" t="str">
        <x:v>Obsolete</x:v>
      </x:c>
      <x:c r="F3470" s="117" t="str">
        <x:v>No</x:v>
      </x:c>
      <x:c r="G3470" s="117" t="str">
        <x:v>No</x:v>
      </x:c>
      <x:c r="H3470" s="117" t="str">
        <x:v>AutoLaunchedFlow</x:v>
      </x:c>
      <x:c r="I3470" s="118" t="n">
        <x:v>65</x:v>
      </x:c>
      <x:c r="J3470" s="117" t="str">
        <x:v>unmanaged</x:v>
      </x:c>
      <x:c r="K3470" s="123" t="b">
        <x:v>0</x:v>
      </x:c>
      <x:c r="L3470" s="117"/>
      <x:c r="M3470" s="118"/>
      <x:c r="N3470" s="120" t="n">
        <x:v>46073.5534837963</x:v>
      </x:c>
      <x:c r="O3470" s="117" t="str">
        <x:v>Delegate</x:v>
      </x:c>
      <x:c r="P3470" s="120" t="n">
        <x:v>46073.553564814814</x:v>
      </x:c>
      <x:c r="Q3470" s="117" t="str">
        <x:v>Delegate</x:v>
      </x:c>
      <x:c r="R3470" s="117" t="str">
        <x:v>US FSL | For Probe Repair Opp, On Setting of Repair Approved, change Work Order to Repair In-Progress</x:v>
      </x:c>
      <x:c r="S3470" s="119" t="str">
        <x:v>02/18/2026 (BW) - sets the work order to repair in-progress when repair is approved on the opportunity</x:v>
      </x:c>
    </x:row>
    <x:row r="3471" ht="30" customHeight="1">
      <x:c r="A3471" s="117" t="str">
        <x:v>US_FSL_For_Probe_Repair_Opp_On_Setting_of_Repair_Approved_change_Work_Order_to_R</x:v>
      </x:c>
      <x:c r="B3471" s="117" t="str">
        <x:v>300Ro00000r3NCrIAM</x:v>
      </x:c>
      <x:c r="C3471" s="117" t="str">
        <x:v>301Ro000010OI0jIAG</x:v>
      </x:c>
      <x:c r="D3471" s="118" t="n">
        <x:v>2</x:v>
      </x:c>
      <x:c r="E3471" s="117" t="str">
        <x:v>Obsolete</x:v>
      </x:c>
      <x:c r="F3471" s="117" t="str">
        <x:v>No</x:v>
      </x:c>
      <x:c r="G3471" s="117" t="str">
        <x:v>No</x:v>
      </x:c>
      <x:c r="H3471" s="117" t="str">
        <x:v>AutoLaunchedFlow</x:v>
      </x:c>
      <x:c r="I3471" s="118" t="n">
        <x:v>65</x:v>
      </x:c>
      <x:c r="J3471" s="117" t="str">
        <x:v>unmanaged</x:v>
      </x:c>
      <x:c r="K3471" s="123" t="b">
        <x:v>0</x:v>
      </x:c>
      <x:c r="L3471" s="117"/>
      <x:c r="M3471" s="118"/>
      <x:c r="N3471" s="120" t="n">
        <x:v>46093.495787037034</x:v>
      </x:c>
      <x:c r="O3471" s="117" t="str">
        <x:v>Delegate</x:v>
      </x:c>
      <x:c r="P3471" s="120" t="n">
        <x:v>46093.496145833335</x:v>
      </x:c>
      <x:c r="Q3471" s="117" t="str">
        <x:v>Delegate</x:v>
      </x:c>
      <x:c r="R3471" s="117" t="str">
        <x:v>US FSL | For Probe Repair Opp, On Setting of Repair Approved, change Work Order to Repair In-Progress</x:v>
      </x:c>
      <x:c r="S3471" s="119" t="str">
        <x:v>03/12/2026 (BW) - Updating the trigger so that it moves to Repair In-Progress when the Opportunity is changed to Repair Approved</x:v>
      </x:c>
    </x:row>
    <x:row r="3472" ht="30" customHeight="1">
      <x:c r="A3472" s="117" t="str">
        <x:v>US_FSL_For_Probe_Repair_Opp_On_Setting_of_Repair_Approved_change_Work_Order_to_R</x:v>
      </x:c>
      <x:c r="B3472" s="117" t="str">
        <x:v>300Ro00000r3NCrIAM</x:v>
      </x:c>
      <x:c r="C3472" s="117" t="str">
        <x:v>301Ro000010yqRVIAY</x:v>
      </x:c>
      <x:c r="D3472" s="118" t="n">
        <x:v>3</x:v>
      </x:c>
      <x:c r="E3472" s="117" t="str">
        <x:v>Active</x:v>
      </x:c>
      <x:c r="F3472" s="117" t="str">
        <x:v>Yes</x:v>
      </x:c>
      <x:c r="G3472" s="117" t="str">
        <x:v>Yes</x:v>
      </x:c>
      <x:c r="H3472" s="117" t="str">
        <x:v>AutoLaunchedFlow</x:v>
      </x:c>
      <x:c r="I3472" s="118" t="n">
        <x:v>65</x:v>
      </x:c>
      <x:c r="J3472" s="117" t="str">
        <x:v>unmanaged</x:v>
      </x:c>
      <x:c r="K3472" s="123" t="b">
        <x:v>0</x:v>
      </x:c>
      <x:c r="L3472" s="117"/>
      <x:c r="M3472" s="118"/>
      <x:c r="N3472" s="120" t="n">
        <x:v>46100.67832175926</x:v>
      </x:c>
      <x:c r="O3472" s="117" t="str">
        <x:v>Delegate</x:v>
      </x:c>
      <x:c r="P3472" s="120" t="n">
        <x:v>46100.67837962963</x:v>
      </x:c>
      <x:c r="Q3472" s="117" t="str">
        <x:v>Delegate</x:v>
      </x:c>
      <x:c r="R3472" s="117" t="str">
        <x:v>US FSL | For Probe Repair Opp, On Setting of Repair Approved, change Work Order to Repair In-Progress</x:v>
      </x:c>
      <x:c r="S3472" s="119" t="str">
        <x:v>03/12/2026 (BW) - Updated the actual call to update the work order to an autolaunched flow that runs in system context to avoid user context for the approving guest site user.</x:v>
      </x:c>
    </x:row>
    <x:row r="3473" ht="30" customHeight="1">
      <x:c r="A3473" s="117" t="str">
        <x:v>US_FSL_For_Probe_Sale_Opp_Upon_Close_Won_Update_Work_Order_Status_to_Ready_to_Sh</x:v>
      </x:c>
      <x:c r="B3473" s="117" t="str">
        <x:v>300Ro00000oyq0aIAA</x:v>
      </x:c>
      <x:c r="C3473" s="117" t="str">
        <x:v>301Ro00000wQhGBIA0</x:v>
      </x:c>
      <x:c r="D3473" s="118" t="n">
        <x:v>1</x:v>
      </x:c>
      <x:c r="E3473" s="117" t="str">
        <x:v>Obsolete</x:v>
      </x:c>
      <x:c r="F3473" s="117" t="str">
        <x:v>No</x:v>
      </x:c>
      <x:c r="G3473" s="117" t="str">
        <x:v>No</x:v>
      </x:c>
      <x:c r="H3473" s="117" t="str">
        <x:v>AutoLaunchedFlow</x:v>
      </x:c>
      <x:c r="I3473" s="118" t="n">
        <x:v>65</x:v>
      </x:c>
      <x:c r="J3473" s="117" t="str">
        <x:v>unmanaged</x:v>
      </x:c>
      <x:c r="K3473" s="123" t="b">
        <x:v>0</x:v>
      </x:c>
      <x:c r="L3473" s="117"/>
      <x:c r="M3473" s="118"/>
      <x:c r="N3473" s="120" t="n">
        <x:v>46045.76836805556</x:v>
      </x:c>
      <x:c r="O3473" s="117" t="str">
        <x:v>Delegate</x:v>
      </x:c>
      <x:c r="P3473" s="120" t="n">
        <x:v>46045.95402777778</x:v>
      </x:c>
      <x:c r="Q3473" s="117" t="str">
        <x:v>Delegate</x:v>
      </x:c>
      <x:c r="R3473" s="117" t="str">
        <x:v>US FSL | For Probe Sale Opp, Upon Close Won Update Work Order Status to "Ready to Ship"</x:v>
      </x:c>
      <x:c r="S3473" s="119" t="str">
        <x:v>01/23/2026 (BW) - On close winning of the opportunity, this updates the status of the work order to "Ready to Ship"</x:v>
      </x:c>
    </x:row>
    <x:row r="3474" ht="30" customHeight="1">
      <x:c r="A3474" s="117" t="str">
        <x:v>US_FSL_For_Probe_Sale_Opp_Upon_Close_Won_Update_Work_Order_Status_to_Ready_to_Sh</x:v>
      </x:c>
      <x:c r="B3474" s="117" t="str">
        <x:v>300Ro00000oyq0aIAA</x:v>
      </x:c>
      <x:c r="C3474" s="117" t="str">
        <x:v>301Ro00000wppWvIAI</x:v>
      </x:c>
      <x:c r="D3474" s="118" t="n">
        <x:v>2</x:v>
      </x:c>
      <x:c r="E3474" s="117" t="str">
        <x:v>Obsolete</x:v>
      </x:c>
      <x:c r="F3474" s="117" t="str">
        <x:v>No</x:v>
      </x:c>
      <x:c r="G3474" s="117" t="str">
        <x:v>No</x:v>
      </x:c>
      <x:c r="H3474" s="117" t="str">
        <x:v>AutoLaunchedFlow</x:v>
      </x:c>
      <x:c r="I3474" s="118" t="n">
        <x:v>65</x:v>
      </x:c>
      <x:c r="J3474" s="117" t="str">
        <x:v>unmanaged</x:v>
      </x:c>
      <x:c r="K3474" s="123" t="b">
        <x:v>0</x:v>
      </x:c>
      <x:c r="L3474" s="117"/>
      <x:c r="M3474" s="118"/>
      <x:c r="N3474" s="120" t="n">
        <x:v>46050.600324074076</x:v>
      </x:c>
      <x:c r="O3474" s="117" t="str">
        <x:v>Delegate</x:v>
      </x:c>
      <x:c r="P3474" s="120" t="n">
        <x:v>46050.60039351852</x:v>
      </x:c>
      <x:c r="Q3474" s="117" t="str">
        <x:v>Delegate</x:v>
      </x:c>
      <x:c r="R3474" s="117" t="str">
        <x:v>US FSL | For Probe/Parts Sale Opp, Upon Close Won Update Work Order Status to "Ready to Ship"</x:v>
      </x:c>
      <x:c r="S3474" s="119" t="str">
        <x:v>01/23/2026 (BW) - Added Parts Sales Opportunity to this</x:v>
      </x:c>
    </x:row>
    <x:row r="3475" ht="30" customHeight="1">
      <x:c r="A3475" s="117" t="str">
        <x:v>US_FSL_For_Probe_Sale_Opp_Upon_Close_Won_Update_Work_Order_Status_to_Ready_to_Sh</x:v>
      </x:c>
      <x:c r="B3475" s="117" t="str">
        <x:v>300Ro00000oyq0aIAA</x:v>
      </x:c>
      <x:c r="C3475" s="117" t="str">
        <x:v>301Ro00000wxgHzIAI</x:v>
      </x:c>
      <x:c r="D3475" s="118" t="n">
        <x:v>3</x:v>
      </x:c>
      <x:c r="E3475" s="117" t="str">
        <x:v>Obsolete</x:v>
      </x:c>
      <x:c r="F3475" s="117" t="str">
        <x:v>No</x:v>
      </x:c>
      <x:c r="G3475" s="117" t="str">
        <x:v>No</x:v>
      </x:c>
      <x:c r="H3475" s="117" t="str">
        <x:v>AutoLaunchedFlow</x:v>
      </x:c>
      <x:c r="I3475" s="118" t="n">
        <x:v>65</x:v>
      </x:c>
      <x:c r="J3475" s="117" t="str">
        <x:v>unmanaged</x:v>
      </x:c>
      <x:c r="K3475" s="123" t="b">
        <x:v>0</x:v>
      </x:c>
      <x:c r="L3475" s="117"/>
      <x:c r="M3475" s="118"/>
      <x:c r="N3475" s="120" t="n">
        <x:v>46051.763969907406</x:v>
      </x:c>
      <x:c r="O3475" s="117" t="str">
        <x:v>Delegate</x:v>
      </x:c>
      <x:c r="P3475" s="120" t="n">
        <x:v>46051.76744212963</x:v>
      </x:c>
      <x:c r="Q3475" s="117" t="str">
        <x:v>Delegate</x:v>
      </x:c>
      <x:c r="R3475" s="117" t="str">
        <x:v>US FSL | For Probe/Parts Sale Opp, Upon Close Won Update Work Order Status to "Ready to Ship"</x:v>
      </x:c>
      <x:c r="S3475" s="119" t="str">
        <x:v>01/29/2026 (BW) - Updated the triggering conditions</x:v>
      </x:c>
    </x:row>
    <x:row r="3476" ht="30" customHeight="1">
      <x:c r="A3476" s="117" t="str">
        <x:v>US_FSL_For_Probe_Sale_Opp_Upon_Close_Won_Update_Work_Order_Status_to_Ready_to_Sh</x:v>
      </x:c>
      <x:c r="B3476" s="117" t="str">
        <x:v>300Ro00000oyq0aIAA</x:v>
      </x:c>
      <x:c r="C3476" s="117" t="str">
        <x:v>301Ro00000x3lyDIAQ</x:v>
      </x:c>
      <x:c r="D3476" s="118" t="n">
        <x:v>4</x:v>
      </x:c>
      <x:c r="E3476" s="117" t="str">
        <x:v>Obsolete</x:v>
      </x:c>
      <x:c r="F3476" s="117" t="str">
        <x:v>No</x:v>
      </x:c>
      <x:c r="G3476" s="117" t="str">
        <x:v>No</x:v>
      </x:c>
      <x:c r="H3476" s="117" t="str">
        <x:v>AutoLaunchedFlow</x:v>
      </x:c>
      <x:c r="I3476" s="118" t="n">
        <x:v>65</x:v>
      </x:c>
      <x:c r="J3476" s="117" t="str">
        <x:v>unmanaged</x:v>
      </x:c>
      <x:c r="K3476" s="123" t="b">
        <x:v>0</x:v>
      </x:c>
      <x:c r="L3476" s="117"/>
      <x:c r="M3476" s="118"/>
      <x:c r="N3476" s="120" t="n">
        <x:v>46052.67208333333</x:v>
      </x:c>
      <x:c r="O3476" s="117" t="str">
        <x:v>Delegate</x:v>
      </x:c>
      <x:c r="P3476" s="120" t="n">
        <x:v>46052.67215277778</x:v>
      </x:c>
      <x:c r="Q3476" s="117" t="str">
        <x:v>Delegate</x:v>
      </x:c>
      <x:c r="R3476" s="117" t="str">
        <x:v>US FSL | For Probe/Parts Sale Opp, Upon Close Won Update Work Order Status to "Ready to Ship"</x:v>
      </x:c>
      <x:c r="S3476" s="119" t="str">
        <x:v>01/29/2026 (BW) - Updated the triggering conditions</x:v>
      </x:c>
    </x:row>
    <x:row r="3477" ht="30" customHeight="1">
      <x:c r="A3477" s="117" t="str">
        <x:v>US_FSL_For_Probe_Sale_Opp_Upon_Close_Won_Update_Work_Order_Status_to_Ready_to_Sh</x:v>
      </x:c>
      <x:c r="B3477" s="117" t="str">
        <x:v>300Ro00000oyq0aIAA</x:v>
      </x:c>
      <x:c r="C3477" s="117" t="str">
        <x:v>301Ro00000xSCynIAG</x:v>
      </x:c>
      <x:c r="D3477" s="118" t="n">
        <x:v>5</x:v>
      </x:c>
      <x:c r="E3477" s="117" t="str">
        <x:v>Obsolete</x:v>
      </x:c>
      <x:c r="F3477" s="117" t="str">
        <x:v>No</x:v>
      </x:c>
      <x:c r="G3477" s="117" t="str">
        <x:v>No</x:v>
      </x:c>
      <x:c r="H3477" s="117" t="str">
        <x:v>AutoLaunchedFlow</x:v>
      </x:c>
      <x:c r="I3477" s="118" t="n">
        <x:v>65</x:v>
      </x:c>
      <x:c r="J3477" s="117" t="str">
        <x:v>unmanaged</x:v>
      </x:c>
      <x:c r="K3477" s="123" t="b">
        <x:v>0</x:v>
      </x:c>
      <x:c r="L3477" s="117"/>
      <x:c r="M3477" s="118"/>
      <x:c r="N3477" s="120" t="n">
        <x:v>46057.53055555555</x:v>
      </x:c>
      <x:c r="O3477" s="117" t="str">
        <x:v>Delegate</x:v>
      </x:c>
      <x:c r="P3477" s="120" t="n">
        <x:v>46057.530625</x:v>
      </x:c>
      <x:c r="Q3477" s="117" t="str">
        <x:v>Delegate</x:v>
      </x:c>
      <x:c r="R3477" s="117" t="str">
        <x:v>US FSL | For Probe/Parts Sale Opp, Upon Close Won Update Work Order Status to "Ready to Ship"</x:v>
      </x:c>
      <x:c r="S3477" s="119" t="str">
        <x:v>02/04/2026 (BW) - Added the distinction for just US Work Orders</x:v>
      </x:c>
    </x:row>
    <x:row r="3478" ht="30" customHeight="1">
      <x:c r="A3478" s="117" t="str">
        <x:v>US_FSL_For_Probe_Sale_Opp_Upon_Close_Won_Update_Work_Order_Status_to_Ready_to_Sh</x:v>
      </x:c>
      <x:c r="B3478" s="117" t="str">
        <x:v>300Ro00000oyq0aIAA</x:v>
      </x:c>
      <x:c r="C3478" s="117" t="str">
        <x:v>301Ro00000xSedtIAC</x:v>
      </x:c>
      <x:c r="D3478" s="118" t="n">
        <x:v>6</x:v>
      </x:c>
      <x:c r="E3478" s="117" t="str">
        <x:v>Obsolete</x:v>
      </x:c>
      <x:c r="F3478" s="117" t="str">
        <x:v>No</x:v>
      </x:c>
      <x:c r="G3478" s="117" t="str">
        <x:v>No</x:v>
      </x:c>
      <x:c r="H3478" s="117" t="str">
        <x:v>AutoLaunchedFlow</x:v>
      </x:c>
      <x:c r="I3478" s="118" t="n">
        <x:v>65</x:v>
      </x:c>
      <x:c r="J3478" s="117" t="str">
        <x:v>unmanaged</x:v>
      </x:c>
      <x:c r="K3478" s="123" t="b">
        <x:v>0</x:v>
      </x:c>
      <x:c r="L3478" s="117"/>
      <x:c r="M3478" s="118"/>
      <x:c r="N3478" s="120" t="n">
        <x:v>46057.53518518519</x:v>
      </x:c>
      <x:c r="O3478" s="117" t="str">
        <x:v>Delegate</x:v>
      </x:c>
      <x:c r="P3478" s="120" t="n">
        <x:v>46057.536145833335</x:v>
      </x:c>
      <x:c r="Q3478" s="117" t="str">
        <x:v>Delegate</x:v>
      </x:c>
      <x:c r="R3478" s="117" t="str">
        <x:v>US FSL | For Probe/Parts Sale Opp, Upon Close Won Update Work Order Status to "Pending Shipment"</x:v>
      </x:c>
      <x:c r="S3478" s="119" t="str">
        <x:v>02/04/2026 (BW) - Added the distinction for just US Work Orders</x:v>
      </x:c>
    </x:row>
    <x:row r="3479" ht="30" customHeight="1">
      <x:c r="A3479" s="117" t="str">
        <x:v>US_FSL_For_Probe_Sale_Opp_Upon_Close_Won_Update_Work_Order_Status_to_Ready_to_Sh</x:v>
      </x:c>
      <x:c r="B3479" s="117" t="str">
        <x:v>300Ro00000oyq0aIAA</x:v>
      </x:c>
      <x:c r="C3479" s="117" t="str">
        <x:v>301Ro000010UUQ2IAO</x:v>
      </x:c>
      <x:c r="D3479" s="118" t="n">
        <x:v>7</x:v>
      </x:c>
      <x:c r="E3479" s="117" t="str">
        <x:v>Obsolete</x:v>
      </x:c>
      <x:c r="F3479" s="117" t="str">
        <x:v>No</x:v>
      </x:c>
      <x:c r="G3479" s="117" t="str">
        <x:v>No</x:v>
      </x:c>
      <x:c r="H3479" s="117" t="str">
        <x:v>AutoLaunchedFlow</x:v>
      </x:c>
      <x:c r="I3479" s="118" t="n">
        <x:v>65</x:v>
      </x:c>
      <x:c r="J3479" s="117" t="str">
        <x:v>unmanaged</x:v>
      </x:c>
      <x:c r="K3479" s="123" t="b">
        <x:v>0</x:v>
      </x:c>
      <x:c r="L3479" s="117"/>
      <x:c r="M3479" s="118"/>
      <x:c r="N3479" s="120" t="n">
        <x:v>46094.570914351854</x:v>
      </x:c>
      <x:c r="O3479" s="117" t="str">
        <x:v>Delegate</x:v>
      </x:c>
      <x:c r="P3479" s="120" t="n">
        <x:v>46094.570972222224</x:v>
      </x:c>
      <x:c r="Q3479" s="117" t="str">
        <x:v>Delegate</x:v>
      </x:c>
      <x:c r="R3479" s="117" t="str">
        <x:v>US FSL | For Probe/Parts Sale Opp, Upon Close Won Update Work Order Status to "Pending Shipment"</x:v>
      </x:c>
      <x:c r="S3479" s="119" t="str">
        <x:v>02/04/2026 (BW) - Added the distinction for just US Work Orders</x:v>
      </x:c>
    </x:row>
    <x:row r="3480" ht="30" customHeight="1">
      <x:c r="A3480" s="117" t="str">
        <x:v>US_FSL_For_Probe_Sale_Opp_Upon_Close_Won_Update_Work_Order_Status_to_Ready_to_Sh</x:v>
      </x:c>
      <x:c r="B3480" s="117" t="str">
        <x:v>300Ro00000oyq0aIAA</x:v>
      </x:c>
      <x:c r="C3480" s="117" t="str">
        <x:v>301Ro000010yzg2IAA</x:v>
      </x:c>
      <x:c r="D3480" s="118" t="n">
        <x:v>8</x:v>
      </x:c>
      <x:c r="E3480" s="117" t="str">
        <x:v>Obsolete</x:v>
      </x:c>
      <x:c r="F3480" s="117" t="str">
        <x:v>No</x:v>
      </x:c>
      <x:c r="G3480" s="117" t="str">
        <x:v>No</x:v>
      </x:c>
      <x:c r="H3480" s="117" t="str">
        <x:v>AutoLaunchedFlow</x:v>
      </x:c>
      <x:c r="I3480" s="118" t="n">
        <x:v>65</x:v>
      </x:c>
      <x:c r="J3480" s="117" t="str">
        <x:v>unmanaged</x:v>
      </x:c>
      <x:c r="K3480" s="123" t="b">
        <x:v>0</x:v>
      </x:c>
      <x:c r="L3480" s="117"/>
      <x:c r="M3480" s="118"/>
      <x:c r="N3480" s="120" t="n">
        <x:v>46100.67049768518</x:v>
      </x:c>
      <x:c r="O3480" s="117" t="str">
        <x:v>Delegate</x:v>
      </x:c>
      <x:c r="P3480" s="120" t="n">
        <x:v>46100.670578703706</x:v>
      </x:c>
      <x:c r="Q3480" s="117" t="str">
        <x:v>Delegate</x:v>
      </x:c>
      <x:c r="R3480" s="117" t="str">
        <x:v>US FSL | For Probe/Parts Sale Opp, Upon Close Won Update Work Order Status to "Pending Shipment"</x:v>
      </x:c>
      <x:c r="S3480" s="119" t="str">
        <x:v>03/19/2026 (BW) - Updated to include 15 digit IDs as well</x:v>
      </x:c>
    </x:row>
    <x:row r="3481" ht="30" customHeight="1">
      <x:c r="A3481" s="117" t="str">
        <x:v>US_FSL_For_Probe_Sale_Opp_Upon_Close_Won_Update_Work_Order_Status_to_Ready_to_Sh</x:v>
      </x:c>
      <x:c r="B3481" s="117" t="str">
        <x:v>300Ro00000oyq0aIAA</x:v>
      </x:c>
      <x:c r="C3481" s="117" t="str">
        <x:v>301Ro000011Jo8AIAS</x:v>
      </x:c>
      <x:c r="D3481" s="118" t="n">
        <x:v>9</x:v>
      </x:c>
      <x:c r="E3481" s="117" t="str">
        <x:v>Active</x:v>
      </x:c>
      <x:c r="F3481" s="117" t="str">
        <x:v>Yes</x:v>
      </x:c>
      <x:c r="G3481" s="117" t="str">
        <x:v>Yes</x:v>
      </x:c>
      <x:c r="H3481" s="117" t="str">
        <x:v>AutoLaunchedFlow</x:v>
      </x:c>
      <x:c r="I3481" s="118" t="n">
        <x:v>65</x:v>
      </x:c>
      <x:c r="J3481" s="117" t="str">
        <x:v>unmanaged</x:v>
      </x:c>
      <x:c r="K3481" s="123" t="b">
        <x:v>0</x:v>
      </x:c>
      <x:c r="L3481" s="117"/>
      <x:c r="M3481" s="118"/>
      <x:c r="N3481" s="120" t="n">
        <x:v>46105.560266203705</x:v>
      </x:c>
      <x:c r="O3481" s="117" t="str">
        <x:v>Delegate</x:v>
      </x:c>
      <x:c r="P3481" s="120" t="n">
        <x:v>46105.563159722224</x:v>
      </x:c>
      <x:c r="Q3481" s="117" t="str">
        <x:v>Delegate</x:v>
      </x:c>
      <x:c r="R3481" s="117" t="str">
        <x:v>US FSL | For Probe/Parts/Repair Sale Opp, Upon Close Won Update Work Order Status to "Pending Shipment"</x:v>
      </x:c>
      <x:c r="S3481" s="119" t="str">
        <x:v>03/19/2026 (BW) - Adding Repair Opps to this process as well</x:v>
      </x:c>
    </x:row>
    <x:row r="3482" ht="30" customHeight="1">
      <x:c r="A3482" s="117" t="str">
        <x:v>US_FSL_For_Probe_Sale_Opp_Upon_Tracking_Entered_Update_Work_Order_Status_to_Ship</x:v>
      </x:c>
      <x:c r="B3482" s="117" t="str">
        <x:v>300Ro00000oyrnsIAA</x:v>
      </x:c>
      <x:c r="C3482" s="117" t="str">
        <x:v>301Ro00000wRKhEIAW</x:v>
      </x:c>
      <x:c r="D3482" s="118" t="n">
        <x:v>1</x:v>
      </x:c>
      <x:c r="E3482" s="117" t="str">
        <x:v>Obsolete</x:v>
      </x:c>
      <x:c r="F3482" s="117" t="str">
        <x:v>No</x:v>
      </x:c>
      <x:c r="G3482" s="117" t="str">
        <x:v>No</x:v>
      </x:c>
      <x:c r="H3482" s="117" t="str">
        <x:v>AutoLaunchedFlow</x:v>
      </x:c>
      <x:c r="I3482" s="118" t="n">
        <x:v>65</x:v>
      </x:c>
      <x:c r="J3482" s="117" t="str">
        <x:v>unmanaged</x:v>
      </x:c>
      <x:c r="K3482" s="123" t="b">
        <x:v>0</x:v>
      </x:c>
      <x:c r="L3482" s="117"/>
      <x:c r="M3482" s="118"/>
      <x:c r="N3482" s="120" t="n">
        <x:v>46045.774872685186</x:v>
      </x:c>
      <x:c r="O3482" s="117" t="str">
        <x:v>Delegate</x:v>
      </x:c>
      <x:c r="P3482" s="120" t="n">
        <x:v>46045.95400462963</x:v>
      </x:c>
      <x:c r="Q3482" s="117" t="str">
        <x:v>Delegate</x:v>
      </x:c>
      <x:c r="R3482" s="117" t="str">
        <x:v>US FSL | For Probe Sale Opp, Upon Tracking Entered Update Work Order Status to Shipped</x:v>
      </x:c>
      <x:c r="S3482" s="119" t="str">
        <x:v>01/23/2026 (BW) - Upon adding of a tracking number to the opportunity, the work order status is changed to "Shipped"</x:v>
      </x:c>
    </x:row>
    <x:row r="3483" ht="30" customHeight="1">
      <x:c r="A3483" s="117" t="str">
        <x:v>US_FSL_For_Probe_Sale_Opp_Upon_Tracking_Entered_Update_Work_Order_Status_to_Ship</x:v>
      </x:c>
      <x:c r="B3483" s="117" t="str">
        <x:v>300Ro00000oyrnsIAA</x:v>
      </x:c>
      <x:c r="C3483" s="117" t="str">
        <x:v>301Ro00000wpVy7IAE</x:v>
      </x:c>
      <x:c r="D3483" s="118" t="n">
        <x:v>2</x:v>
      </x:c>
      <x:c r="E3483" s="117" t="str">
        <x:v>Obsolete</x:v>
      </x:c>
      <x:c r="F3483" s="117" t="str">
        <x:v>No</x:v>
      </x:c>
      <x:c r="G3483" s="117" t="str">
        <x:v>No</x:v>
      </x:c>
      <x:c r="H3483" s="117" t="str">
        <x:v>AutoLaunchedFlow</x:v>
      </x:c>
      <x:c r="I3483" s="118" t="n">
        <x:v>65</x:v>
      </x:c>
      <x:c r="J3483" s="117" t="str">
        <x:v>unmanaged</x:v>
      </x:c>
      <x:c r="K3483" s="123" t="b">
        <x:v>0</x:v>
      </x:c>
      <x:c r="L3483" s="117"/>
      <x:c r="M3483" s="118"/>
      <x:c r="N3483" s="120" t="n">
        <x:v>46050.59991898148</x:v>
      </x:c>
      <x:c r="O3483" s="117" t="str">
        <x:v>Delegate</x:v>
      </x:c>
      <x:c r="P3483" s="120" t="n">
        <x:v>46050.6</x:v>
      </x:c>
      <x:c r="Q3483" s="117" t="str">
        <x:v>Delegate</x:v>
      </x:c>
      <x:c r="R3483" s="117" t="str">
        <x:v>US FSL | For Probe/Parts Sale Opp, Upon Tracking Entered Update Work Order Status to Shipped</x:v>
      </x:c>
      <x:c r="S3483" s="119" t="str">
        <x:v>01/23/2026 (BW) - Added Parts Sale to this process</x:v>
      </x:c>
    </x:row>
    <x:row r="3484" ht="30" customHeight="1">
      <x:c r="A3484" s="117" t="str">
        <x:v>US_FSL_For_Probe_Sale_Opp_Upon_Tracking_Entered_Update_Work_Order_Status_to_Ship</x:v>
      </x:c>
      <x:c r="B3484" s="117" t="str">
        <x:v>300Ro00000oyrnsIAA</x:v>
      </x:c>
      <x:c r="C3484" s="117" t="str">
        <x:v>301Ro00000wxyDGIAY</x:v>
      </x:c>
      <x:c r="D3484" s="118" t="n">
        <x:v>3</x:v>
      </x:c>
      <x:c r="E3484" s="117" t="str">
        <x:v>Obsolete</x:v>
      </x:c>
      <x:c r="F3484" s="117" t="str">
        <x:v>No</x:v>
      </x:c>
      <x:c r="G3484" s="117" t="str">
        <x:v>No</x:v>
      </x:c>
      <x:c r="H3484" s="117" t="str">
        <x:v>AutoLaunchedFlow</x:v>
      </x:c>
      <x:c r="I3484" s="118" t="n">
        <x:v>65</x:v>
      </x:c>
      <x:c r="J3484" s="117" t="str">
        <x:v>unmanaged</x:v>
      </x:c>
      <x:c r="K3484" s="123" t="b">
        <x:v>0</x:v>
      </x:c>
      <x:c r="L3484" s="117"/>
      <x:c r="M3484" s="118"/>
      <x:c r="N3484" s="120" t="n">
        <x:v>46051.767164351855</x:v>
      </x:c>
      <x:c r="O3484" s="117" t="str">
        <x:v>Delegate</x:v>
      </x:c>
      <x:c r="P3484" s="120" t="n">
        <x:v>46051.767222222225</x:v>
      </x:c>
      <x:c r="Q3484" s="117" t="str">
        <x:v>Delegate</x:v>
      </x:c>
      <x:c r="R3484" s="117" t="str">
        <x:v>US FSL | For Probe/Parts Sale Opp, Upon Tracking Entered Update Work Order Status to Shipped</x:v>
      </x:c>
      <x:c r="S3484" s="119" t="str">
        <x:v>01/29/2026 (BW) - Updated this flow to change the work order line items to Part En-Route when shipping occurs</x:v>
      </x:c>
    </x:row>
    <x:row r="3485" ht="30" customHeight="1">
      <x:c r="A3485" s="117" t="str">
        <x:v>US_FSL_For_Probe_Sale_Opp_Upon_Tracking_Entered_Update_Work_Order_Status_to_Ship</x:v>
      </x:c>
      <x:c r="B3485" s="117" t="str">
        <x:v>300Ro00000oyrnsIAA</x:v>
      </x:c>
      <x:c r="C3485" s="117" t="str">
        <x:v>301Ro00000xSKI4IAO</x:v>
      </x:c>
      <x:c r="D3485" s="118" t="n">
        <x:v>4</x:v>
      </x:c>
      <x:c r="E3485" s="117" t="str">
        <x:v>Obsolete</x:v>
      </x:c>
      <x:c r="F3485" s="117" t="str">
        <x:v>No</x:v>
      </x:c>
      <x:c r="G3485" s="117" t="str">
        <x:v>No</x:v>
      </x:c>
      <x:c r="H3485" s="117" t="str">
        <x:v>AutoLaunchedFlow</x:v>
      </x:c>
      <x:c r="I3485" s="118" t="n">
        <x:v>65</x:v>
      </x:c>
      <x:c r="J3485" s="117" t="str">
        <x:v>unmanaged</x:v>
      </x:c>
      <x:c r="K3485" s="123" t="b">
        <x:v>0</x:v>
      </x:c>
      <x:c r="L3485" s="117"/>
      <x:c r="M3485" s="118"/>
      <x:c r="N3485" s="120" t="n">
        <x:v>46057.53329861111</x:v>
      </x:c>
      <x:c r="O3485" s="117" t="str">
        <x:v>Delegate</x:v>
      </x:c>
      <x:c r="P3485" s="120" t="n">
        <x:v>46057.53391203703</x:v>
      </x:c>
      <x:c r="Q3485" s="117" t="str">
        <x:v>Delegate</x:v>
      </x:c>
      <x:c r="R3485" s="117" t="str">
        <x:v>US FSL | For Probe/Parts Sale Opp, Upon Tracking Entered Update Work Order Status to Shipped</x:v>
      </x:c>
      <x:c r="S3485" s="119" t="str">
        <x:v>02/04/2026 (BW) - Updated a work order so that it knows the distinction between US and UK</x:v>
      </x:c>
    </x:row>
    <x:row r="3486" ht="30" customHeight="1">
      <x:c r="A3486" s="117" t="str">
        <x:v>US_FSL_For_Probe_Sale_Opp_Upon_Tracking_Entered_Update_Work_Order_Status_to_Ship</x:v>
      </x:c>
      <x:c r="B3486" s="117" t="str">
        <x:v>300Ro00000oyrnsIAA</x:v>
      </x:c>
      <x:c r="C3486" s="117" t="str">
        <x:v>301Ro000010AdR7IAK</x:v>
      </x:c>
      <x:c r="D3486" s="118" t="n">
        <x:v>5</x:v>
      </x:c>
      <x:c r="E3486" s="117" t="str">
        <x:v>Obsolete</x:v>
      </x:c>
      <x:c r="F3486" s="117" t="str">
        <x:v>No</x:v>
      </x:c>
      <x:c r="G3486" s="117" t="str">
        <x:v>No</x:v>
      </x:c>
      <x:c r="H3486" s="117" t="str">
        <x:v>AutoLaunchedFlow</x:v>
      </x:c>
      <x:c r="I3486" s="118" t="n">
        <x:v>65</x:v>
      </x:c>
      <x:c r="J3486" s="117" t="str">
        <x:v>unmanaged</x:v>
      </x:c>
      <x:c r="K3486" s="123" t="b">
        <x:v>0</x:v>
      </x:c>
      <x:c r="L3486" s="117"/>
      <x:c r="M3486" s="118"/>
      <x:c r="N3486" s="120" t="n">
        <x:v>46090.967881944445</x:v>
      </x:c>
      <x:c r="O3486" s="117" t="str">
        <x:v>Delegate</x:v>
      </x:c>
      <x:c r="P3486" s="120" t="n">
        <x:v>46090.967939814815</x:v>
      </x:c>
      <x:c r="Q3486" s="117" t="str">
        <x:v>Delegate</x:v>
      </x:c>
      <x:c r="R3486" s="117" t="str">
        <x:v>US FSL | For Probe/Parts Sale Opp, Upon Tracking Entered Update Work Order Status to Shipped</x:v>
      </x:c>
      <x:c r="S3486" s="119" t="str">
        <x:v>02/04/2026 (BW) - Updated a work order so that it knows the distinction between US and UK</x:v>
      </x:c>
    </x:row>
    <x:row r="3487" ht="30" customHeight="1">
      <x:c r="A3487" s="117" t="str">
        <x:v>US_FSL_For_Probe_Sale_Opp_Upon_Tracking_Entered_Update_Work_Order_Status_to_Ship</x:v>
      </x:c>
      <x:c r="B3487" s="117" t="str">
        <x:v>300Ro00000oyrnsIAA</x:v>
      </x:c>
      <x:c r="C3487" s="117" t="str">
        <x:v>301Ro000010B6j9IAC</x:v>
      </x:c>
      <x:c r="D3487" s="118" t="n">
        <x:v>6</x:v>
      </x:c>
      <x:c r="E3487" s="117" t="str">
        <x:v>Obsolete</x:v>
      </x:c>
      <x:c r="F3487" s="117" t="str">
        <x:v>No</x:v>
      </x:c>
      <x:c r="G3487" s="117" t="str">
        <x:v>No</x:v>
      </x:c>
      <x:c r="H3487" s="117" t="str">
        <x:v>AutoLaunchedFlow</x:v>
      </x:c>
      <x:c r="I3487" s="118" t="n">
        <x:v>65</x:v>
      </x:c>
      <x:c r="J3487" s="117" t="str">
        <x:v>unmanaged</x:v>
      </x:c>
      <x:c r="K3487" s="123" t="b">
        <x:v>0</x:v>
      </x:c>
      <x:c r="L3487" s="117"/>
      <x:c r="M3487" s="118"/>
      <x:c r="N3487" s="120" t="n">
        <x:v>46090.98155092593</x:v>
      </x:c>
      <x:c r="O3487" s="117" t="str">
        <x:v>Delegate</x:v>
      </x:c>
      <x:c r="P3487" s="120" t="n">
        <x:v>46090.9816087963</x:v>
      </x:c>
      <x:c r="Q3487" s="117" t="str">
        <x:v>Delegate</x:v>
      </x:c>
      <x:c r="R3487" s="117" t="str">
        <x:v>US FSL | For Probe/Parts Sale Opp, Upon Tracking Entered Update Work Order Status to Shipped</x:v>
      </x:c>
      <x:c r="S3487" s="119" t="str">
        <x:v>02/04/2026 (BW) - Updated a work order so that it knows the distinction between US and UK</x:v>
      </x:c>
    </x:row>
    <x:row r="3488" ht="30" customHeight="1">
      <x:c r="A3488" s="117" t="str">
        <x:v>US_FSL_For_Probe_Sale_Opp_Upon_Tracking_Entered_Update_Work_Order_Status_to_Ship</x:v>
      </x:c>
      <x:c r="B3488" s="117" t="str">
        <x:v>300Ro00000oyrnsIAA</x:v>
      </x:c>
      <x:c r="C3488" s="117" t="str">
        <x:v>301Ro000010BDW6IAO</x:v>
      </x:c>
      <x:c r="D3488" s="118" t="n">
        <x:v>7</x:v>
      </x:c>
      <x:c r="E3488" s="117" t="str">
        <x:v>Obsolete</x:v>
      </x:c>
      <x:c r="F3488" s="117" t="str">
        <x:v>No</x:v>
      </x:c>
      <x:c r="G3488" s="117" t="str">
        <x:v>No</x:v>
      </x:c>
      <x:c r="H3488" s="117" t="str">
        <x:v>AutoLaunchedFlow</x:v>
      </x:c>
      <x:c r="I3488" s="118" t="n">
        <x:v>65</x:v>
      </x:c>
      <x:c r="J3488" s="117" t="str">
        <x:v>unmanaged</x:v>
      </x:c>
      <x:c r="K3488" s="123" t="b">
        <x:v>0</x:v>
      </x:c>
      <x:c r="L3488" s="117"/>
      <x:c r="M3488" s="118"/>
      <x:c r="N3488" s="120" t="n">
        <x:v>46090.98373842592</x:v>
      </x:c>
      <x:c r="O3488" s="117" t="str">
        <x:v>Delegate</x:v>
      </x:c>
      <x:c r="P3488" s="120" t="n">
        <x:v>46090.98434027778</x:v>
      </x:c>
      <x:c r="Q3488" s="117" t="str">
        <x:v>Delegate</x:v>
      </x:c>
      <x:c r="R3488" s="117" t="str">
        <x:v>US FSL | For Probe/Parts Sale Opp, Upon Tracking Entered Update Work Order Status to Shipped</x:v>
      </x:c>
      <x:c r="S3488" s="119" t="str">
        <x:v>02/04/2026 (BW) - Updated a work order so that it knows the distinction between US and UK</x:v>
      </x:c>
    </x:row>
    <x:row r="3489" ht="30" customHeight="1">
      <x:c r="A3489" s="117" t="str">
        <x:v>US_FSL_For_Probe_Sale_Opp_Upon_Tracking_Entered_Update_Work_Order_Status_to_Ship</x:v>
      </x:c>
      <x:c r="B3489" s="117" t="str">
        <x:v>300Ro00000oyrnsIAA</x:v>
      </x:c>
      <x:c r="C3489" s="117" t="str">
        <x:v>301Ro000011JvPqIAK</x:v>
      </x:c>
      <x:c r="D3489" s="118" t="n">
        <x:v>8</x:v>
      </x:c>
      <x:c r="E3489" s="117" t="str">
        <x:v>Obsolete</x:v>
      </x:c>
      <x:c r="F3489" s="117" t="str">
        <x:v>No</x:v>
      </x:c>
      <x:c r="G3489" s="117" t="str">
        <x:v>No</x:v>
      </x:c>
      <x:c r="H3489" s="117" t="str">
        <x:v>AutoLaunchedFlow</x:v>
      </x:c>
      <x:c r="I3489" s="118" t="n">
        <x:v>65</x:v>
      </x:c>
      <x:c r="J3489" s="117" t="str">
        <x:v>unmanaged</x:v>
      </x:c>
      <x:c r="K3489" s="123" t="b">
        <x:v>0</x:v>
      </x:c>
      <x:c r="L3489" s="117"/>
      <x:c r="M3489" s="118"/>
      <x:c r="N3489" s="120" t="n">
        <x:v>46105.56570601852</x:v>
      </x:c>
      <x:c r="O3489" s="117" t="str">
        <x:v>Delegate</x:v>
      </x:c>
      <x:c r="P3489" s="120" t="n">
        <x:v>46105.56592592593</x:v>
      </x:c>
      <x:c r="Q3489" s="117" t="str">
        <x:v>Delegate</x:v>
      </x:c>
      <x:c r="R3489" s="117" t="str">
        <x:v>US FSL | For Probe/Parts Sale Opp, Upon Tracking Entered Update Work Order Status to Shipped</x:v>
      </x:c>
      <x:c r="S3489" s="119" t="str">
        <x:v>02/04/2026 (BW) - Updated a work order so that it knows the distinction between US and UK</x:v>
      </x:c>
    </x:row>
    <x:row r="3490" ht="30" customHeight="1">
      <x:c r="A3490" s="117" t="str">
        <x:v>US_FSL_For_Probe_Sale_Opp_Upon_Tracking_Entered_Update_Work_Order_Status_to_Ship</x:v>
      </x:c>
      <x:c r="B3490" s="117" t="str">
        <x:v>300Ro00000oyrnsIAA</x:v>
      </x:c>
      <x:c r="C3490" s="117" t="str">
        <x:v>301Ro000014yrzZIAQ</x:v>
      </x:c>
      <x:c r="D3490" s="118" t="n">
        <x:v>9</x:v>
      </x:c>
      <x:c r="E3490" s="117" t="str">
        <x:v>Obsolete</x:v>
      </x:c>
      <x:c r="F3490" s="117" t="str">
        <x:v>No</x:v>
      </x:c>
      <x:c r="G3490" s="117" t="str">
        <x:v>No</x:v>
      </x:c>
      <x:c r="H3490" s="117" t="str">
        <x:v>AutoLaunchedFlow</x:v>
      </x:c>
      <x:c r="I3490" s="118" t="n">
        <x:v>65</x:v>
      </x:c>
      <x:c r="J3490" s="117" t="str">
        <x:v>unmanaged</x:v>
      </x:c>
      <x:c r="K3490" s="123" t="b">
        <x:v>0</x:v>
      </x:c>
      <x:c r="L3490" s="117"/>
      <x:c r="M3490" s="118"/>
      <x:c r="N3490" s="120" t="n">
        <x:v>46148.83837962963</x:v>
      </x:c>
      <x:c r="O3490" s="117" t="str">
        <x:v>Delegate</x:v>
      </x:c>
      <x:c r="P3490" s="120" t="n">
        <x:v>46148.838541666664</x:v>
      </x:c>
      <x:c r="Q3490" s="117" t="str">
        <x:v>Delegate</x:v>
      </x:c>
      <x:c r="R3490" s="117" t="str">
        <x:v>US FSL | For Probe/Parts Sale Opp, Upon Tracking Entered Update Work Order Status to Shipped</x:v>
      </x:c>
      <x:c r="S3490" s="119" t="str">
        <x:v>05/06/2026 (BW) - Updating so that Part Quoted also gets changed to enroute upon shipping</x:v>
      </x:c>
    </x:row>
    <x:row r="3491" ht="30" customHeight="1">
      <x:c r="A3491" s="117" t="str">
        <x:v>US_FSL_For_Probe_Sale_Opp_Upon_Tracking_Entered_Update_Work_Order_Status_to_Ship</x:v>
      </x:c>
      <x:c r="B3491" s="117" t="str">
        <x:v>300Ro00000oyrnsIAA</x:v>
      </x:c>
      <x:c r="C3491" s="117" t="str">
        <x:v>301Ro000016ve4sIAA</x:v>
      </x:c>
      <x:c r="D3491" s="118" t="n">
        <x:v>10</x:v>
      </x:c>
      <x:c r="E3491" s="117" t="str">
        <x:v>Active</x:v>
      </x:c>
      <x:c r="F3491" s="117" t="str">
        <x:v>Yes</x:v>
      </x:c>
      <x:c r="G3491" s="117" t="str">
        <x:v>Yes</x:v>
      </x:c>
      <x:c r="H3491" s="117" t="str">
        <x:v>AutoLaunchedFlow</x:v>
      </x:c>
      <x:c r="I3491" s="118" t="n">
        <x:v>65</x:v>
      </x:c>
      <x:c r="J3491" s="117" t="str">
        <x:v>unmanaged</x:v>
      </x:c>
      <x:c r="K3491" s="123" t="b">
        <x:v>0</x:v>
      </x:c>
      <x:c r="L3491" s="117"/>
      <x:c r="M3491" s="118"/>
      <x:c r="N3491" s="120" t="n">
        <x:v>46170.56731481481</x:v>
      </x:c>
      <x:c r="O3491" s="117" t="str">
        <x:v>Delegate</x:v>
      </x:c>
      <x:c r="P3491" s="120" t="n">
        <x:v>46170.5675</x:v>
      </x:c>
      <x:c r="Q3491" s="117" t="str">
        <x:v>Delegate</x:v>
      </x:c>
      <x:c r="R3491" s="117" t="str">
        <x:v>US FSL | For Probe/Parts Sale Opp, Upon Tracking Entered Update Work Order Status to Shipped</x:v>
      </x:c>
      <x:c r="S3491" s="119" t="str">
        <x:v>05/28/2026 (BW) - Upon entering a tracking number on the opportunity, if Status of work order is Repair Declined then send directly to Closed</x:v>
      </x:c>
    </x:row>
    <x:row r="3492" ht="30" customHeight="1">
      <x:c r="A3492" s="117" t="str">
        <x:v>US_FSL_On_Addition_of_Related_Work_Order_Transfer_Ownership</x:v>
      </x:c>
      <x:c r="B3492" s="117" t="str">
        <x:v>300Ro00000s3lPuIAI</x:v>
      </x:c>
      <x:c r="C3492" s="117" t="str">
        <x:v>301Ro00000zkr2zIAA</x:v>
      </x:c>
      <x:c r="D3492" s="118" t="n">
        <x:v>1</x:v>
      </x:c>
      <x:c r="E3492" s="117" t="str">
        <x:v>Obsolete</x:v>
      </x:c>
      <x:c r="F3492" s="117" t="str">
        <x:v>No</x:v>
      </x:c>
      <x:c r="G3492" s="117" t="str">
        <x:v>No</x:v>
      </x:c>
      <x:c r="H3492" s="117" t="str">
        <x:v>AutoLaunchedFlow</x:v>
      </x:c>
      <x:c r="I3492" s="118" t="n">
        <x:v>66</x:v>
      </x:c>
      <x:c r="J3492" s="117" t="str">
        <x:v>unmanaged</x:v>
      </x:c>
      <x:c r="K3492" s="123" t="b">
        <x:v>0</x:v>
      </x:c>
      <x:c r="L3492" s="117"/>
      <x:c r="M3492" s="118"/>
      <x:c r="N3492" s="120" t="n">
        <x:v>46085.55311342593</x:v>
      </x:c>
      <x:c r="O3492" s="117" t="str">
        <x:v>Delegate</x:v>
      </x:c>
      <x:c r="P3492" s="120" t="n">
        <x:v>46085.553194444445</x:v>
      </x:c>
      <x:c r="Q3492" s="117" t="str">
        <x:v>Delegate</x:v>
      </x:c>
      <x:c r="R3492" s="117" t="str">
        <x:v>US FSL | On Addition of Related Work Order, Transfer Ownership</x:v>
      </x:c>
      <x:c r="S3492" s="119" t="str">
        <x:v>03/04/2026 (BW) - On updating of the related work order on the opportunity, move the RMAs to the new Work Order</x:v>
      </x:c>
    </x:row>
    <x:row r="3493" ht="30" customHeight="1">
      <x:c r="A3493" s="117" t="str">
        <x:v>US_FSL_On_Addition_of_Related_Work_Order_Transfer_Ownership</x:v>
      </x:c>
      <x:c r="B3493" s="117" t="str">
        <x:v>300Ro00000s3lPuIAI</x:v>
      </x:c>
      <x:c r="C3493" s="117" t="str">
        <x:v>301Ro000010OgYfIAK</x:v>
      </x:c>
      <x:c r="D3493" s="118" t="n">
        <x:v>2</x:v>
      </x:c>
      <x:c r="E3493" s="117" t="str">
        <x:v>Active</x:v>
      </x:c>
      <x:c r="F3493" s="117" t="str">
        <x:v>Yes</x:v>
      </x:c>
      <x:c r="G3493" s="117" t="str">
        <x:v>Yes</x:v>
      </x:c>
      <x:c r="H3493" s="117" t="str">
        <x:v>AutoLaunchedFlow</x:v>
      </x:c>
      <x:c r="I3493" s="118" t="n">
        <x:v>66</x:v>
      </x:c>
      <x:c r="J3493" s="117" t="str">
        <x:v>unmanaged</x:v>
      </x:c>
      <x:c r="K3493" s="123" t="b">
        <x:v>0</x:v>
      </x:c>
      <x:c r="L3493" s="117"/>
      <x:c r="M3493" s="118"/>
      <x:c r="N3493" s="120" t="n">
        <x:v>46093.52107638889</x:v>
      </x:c>
      <x:c r="O3493" s="117" t="str">
        <x:v>Delegate</x:v>
      </x:c>
      <x:c r="P3493" s="120" t="n">
        <x:v>46093.52128472222</x:v>
      </x:c>
      <x:c r="Q3493" s="117" t="str">
        <x:v>Delegate</x:v>
      </x:c>
      <x:c r="R3493" s="117" t="str">
        <x:v>US FSL | On Addition of Related Work Order, Transfer Ownership</x:v>
      </x:c>
      <x:c r="S3493" s="119" t="str">
        <x:v>03/12/2026 (BW) - Updating the status to work order shipped.</x:v>
      </x:c>
    </x:row>
    <x:row r="3494" ht="30" customHeight="1">
      <x:c r="A3494" s="117" t="str">
        <x:v>US_FSL_On_Close_Lost_Repair_Opp_Set_WOLIs_to_Repair_Canceled</x:v>
      </x:c>
      <x:c r="B3494" s="117" t="str">
        <x:v>300Ro00000zMlV0IAK</x:v>
      </x:c>
      <x:c r="C3494" s="117" t="str">
        <x:v>301Ro000017hhA2IAI</x:v>
      </x:c>
      <x:c r="D3494" s="118" t="n">
        <x:v>1</x:v>
      </x:c>
      <x:c r="E3494" s="117" t="str">
        <x:v>Active</x:v>
      </x:c>
      <x:c r="F3494" s="117" t="str">
        <x:v>Yes</x:v>
      </x:c>
      <x:c r="G3494" s="117" t="str">
        <x:v>Yes</x:v>
      </x:c>
      <x:c r="H3494" s="117" t="str">
        <x:v>AutoLaunchedFlow</x:v>
      </x:c>
      <x:c r="I3494" s="118" t="n">
        <x:v>65</x:v>
      </x:c>
      <x:c r="J3494" s="117" t="str">
        <x:v>unmanaged</x:v>
      </x:c>
      <x:c r="K3494" s="123" t="b">
        <x:v>0</x:v>
      </x:c>
      <x:c r="L3494" s="117"/>
      <x:c r="M3494" s="118"/>
      <x:c r="N3494" s="120" t="n">
        <x:v>46178.57226851852</x:v>
      </x:c>
      <x:c r="O3494" s="117" t="str">
        <x:v>Delegate</x:v>
      </x:c>
      <x:c r="P3494" s="120" t="n">
        <x:v>46178.5750462963</x:v>
      </x:c>
      <x:c r="Q3494" s="117" t="str">
        <x:v>Delegate</x:v>
      </x:c>
      <x:c r="R3494" s="117" t="str">
        <x:v>US FSL | On Close Lost Repair Opp, Set WOLIs to Repair Canceled</x:v>
      </x:c>
      <x:c r="S3494" s="119" t="str">
        <x:v>06/05/26 (BW) – On Opportunity moving to Closed Lost, checks for a related US FSL Work Order and sets all of its Work Order Line Items to Line_Intent__c = "Repair Canceled" so they are excluded from the parts table HTML generated by WorkOrderLineItemRollupHandler.</x:v>
      </x:c>
    </x:row>
    <x:row r="3495" ht="30" customHeight="1">
      <x:c r="A3495" s="117" t="str">
        <x:v>US_FSL_On_Creation_of_Loaner_add_Loaner_to_Work_Order</x:v>
      </x:c>
      <x:c r="B3495" s="117" t="str">
        <x:v>300Ro00000td6tuIAA</x:v>
      </x:c>
      <x:c r="C3495" s="117" t="str">
        <x:v>301Ro000011T3j0IAC</x:v>
      </x:c>
      <x:c r="D3495" s="118" t="n">
        <x:v>1</x:v>
      </x:c>
      <x:c r="E3495" s="117" t="str">
        <x:v>Active</x:v>
      </x:c>
      <x:c r="F3495" s="117" t="str">
        <x:v>Yes</x:v>
      </x:c>
      <x:c r="G3495" s="117" t="str">
        <x:v>Yes</x:v>
      </x:c>
      <x:c r="H3495" s="117" t="str">
        <x:v>AutoLaunchedFlow</x:v>
      </x:c>
      <x:c r="I3495" s="118" t="n">
        <x:v>66</x:v>
      </x:c>
      <x:c r="J3495" s="117" t="str">
        <x:v>unmanaged</x:v>
      </x:c>
      <x:c r="K3495" s="123" t="b">
        <x:v>0</x:v>
      </x:c>
      <x:c r="L3495" s="117"/>
      <x:c r="M3495" s="118"/>
      <x:c r="N3495" s="120" t="n">
        <x:v>46106.59358796296</x:v>
      </x:c>
      <x:c r="O3495" s="117" t="str">
        <x:v>Delegate</x:v>
      </x:c>
      <x:c r="P3495" s="120" t="n">
        <x:v>46106.59365740741</x:v>
      </x:c>
      <x:c r="Q3495" s="117" t="str">
        <x:v>Delegate</x:v>
      </x:c>
      <x:c r="R3495" s="117" t="str">
        <x:v>US FSL | On Creation of Loaner, add Loaner to Work Order</x:v>
      </x:c>
      <x:c r="S3495" s="119" t="str">
        <x:v>03/25/2026 (BW) - Sets the Work Order on the Loaner record when created on the opportunity with a loaner record</x:v>
      </x:c>
    </x:row>
    <x:row r="3496" ht="30" customHeight="1">
      <x:c r="A3496" s="117" t="str">
        <x:v>US_FSL_On_Creation_of_Service_Appointment_set_Shipping_Address</x:v>
      </x:c>
      <x:c r="B3496" s="117" t="str">
        <x:v>300Ro00000wO7esIAC</x:v>
      </x:c>
      <x:c r="C3496" s="117" t="str">
        <x:v>301Ro000014TGpnIAG</x:v>
      </x:c>
      <x:c r="D3496" s="118" t="n">
        <x:v>1</x:v>
      </x:c>
      <x:c r="E3496" s="117" t="str">
        <x:v>Obsolete</x:v>
      </x:c>
      <x:c r="F3496" s="117" t="str">
        <x:v>No</x:v>
      </x:c>
      <x:c r="G3496" s="117" t="str">
        <x:v>No</x:v>
      </x:c>
      <x:c r="H3496" s="117" t="str">
        <x:v>AutoLaunchedFlow</x:v>
      </x:c>
      <x:c r="I3496" s="118" t="n">
        <x:v>66</x:v>
      </x:c>
      <x:c r="J3496" s="117" t="str">
        <x:v>unmanaged</x:v>
      </x:c>
      <x:c r="K3496" s="123" t="b">
        <x:v>0</x:v>
      </x:c>
      <x:c r="L3496" s="117"/>
      <x:c r="M3496" s="118"/>
      <x:c r="N3496" s="120" t="n">
        <x:v>46142.496712962966</x:v>
      </x:c>
      <x:c r="O3496" s="117" t="str">
        <x:v>Delegate</x:v>
      </x:c>
      <x:c r="P3496" s="120" t="n">
        <x:v>46142.49681712963</x:v>
      </x:c>
      <x:c r="Q3496" s="117" t="str">
        <x:v>Delegate</x:v>
      </x:c>
      <x:c r="R3496" s="117" t="str">
        <x:v>US FSL | On Creation of Service Appointment set Shipping Address</x:v>
      </x:c>
      <x:c r="S3496" s="119" t="str">
        <x:v>04/30/2026 (BW) - On Creation of Service Appointment, set the shipping address</x:v>
      </x:c>
    </x:row>
    <x:row r="3497" ht="30" customHeight="1">
      <x:c r="A3497" s="117" t="str">
        <x:v>US_FSL_On_Creation_of_Service_Appointment_set_Shipping_Address</x:v>
      </x:c>
      <x:c r="B3497" s="117" t="str">
        <x:v>300Ro00000wO7esIAC</x:v>
      </x:c>
      <x:c r="C3497" s="117" t="str">
        <x:v>301Ro000014TNZVIA4</x:v>
      </x:c>
      <x:c r="D3497" s="118" t="n">
        <x:v>2</x:v>
      </x:c>
      <x:c r="E3497" s="117" t="str">
        <x:v>Obsolete</x:v>
      </x:c>
      <x:c r="F3497" s="117" t="str">
        <x:v>No</x:v>
      </x:c>
      <x:c r="G3497" s="117" t="str">
        <x:v>No</x:v>
      </x:c>
      <x:c r="H3497" s="117" t="str">
        <x:v>AutoLaunchedFlow</x:v>
      </x:c>
      <x:c r="I3497" s="118" t="n">
        <x:v>66</x:v>
      </x:c>
      <x:c r="J3497" s="117" t="str">
        <x:v>unmanaged</x:v>
      </x:c>
      <x:c r="K3497" s="123" t="b">
        <x:v>0</x:v>
      </x:c>
      <x:c r="L3497" s="117"/>
      <x:c r="M3497" s="118"/>
      <x:c r="N3497" s="120" t="n">
        <x:v>46142.497881944444</x:v>
      </x:c>
      <x:c r="O3497" s="117" t="str">
        <x:v>Delegate</x:v>
      </x:c>
      <x:c r="P3497" s="120" t="n">
        <x:v>46142.498125</x:v>
      </x:c>
      <x:c r="Q3497" s="117" t="str">
        <x:v>Delegate</x:v>
      </x:c>
      <x:c r="R3497" s="117" t="str">
        <x:v>US FSL | On Creation of Service Appointment set Shipping Address</x:v>
      </x:c>
      <x:c r="S3497" s="119" t="str">
        <x:v>04/30/2026 (BW) - On Creation of Service Appointment, set the shipping address</x:v>
      </x:c>
    </x:row>
    <x:row r="3498" ht="30" customHeight="1">
      <x:c r="A3498" s="117" t="str">
        <x:v>US_FSL_On_Creation_of_Service_Appointment_set_Shipping_Address</x:v>
      </x:c>
      <x:c r="B3498" s="117" t="str">
        <x:v>300Ro00000wO7esIAC</x:v>
      </x:c>
      <x:c r="C3498" s="117" t="str">
        <x:v>301Ro0000151wY8IAI</x:v>
      </x:c>
      <x:c r="D3498" s="118" t="n">
        <x:v>3</x:v>
      </x:c>
      <x:c r="E3498" s="117" t="str">
        <x:v>Obsolete</x:v>
      </x:c>
      <x:c r="F3498" s="117" t="str">
        <x:v>No</x:v>
      </x:c>
      <x:c r="G3498" s="117" t="str">
        <x:v>No</x:v>
      </x:c>
      <x:c r="H3498" s="117" t="str">
        <x:v>AutoLaunchedFlow</x:v>
      </x:c>
      <x:c r="I3498" s="118" t="n">
        <x:v>66</x:v>
      </x:c>
      <x:c r="J3498" s="117" t="str">
        <x:v>unmanaged</x:v>
      </x:c>
      <x:c r="K3498" s="123" t="b">
        <x:v>0</x:v>
      </x:c>
      <x:c r="L3498" s="117"/>
      <x:c r="M3498" s="118"/>
      <x:c r="N3498" s="120" t="n">
        <x:v>46149.508263888885</x:v>
      </x:c>
      <x:c r="O3498" s="117" t="str">
        <x:v>Delegate</x:v>
      </x:c>
      <x:c r="P3498" s="120" t="n">
        <x:v>46149.50865740741</x:v>
      </x:c>
      <x:c r="Q3498" s="117" t="str">
        <x:v>Delegate</x:v>
      </x:c>
      <x:c r="R3498" s="117" t="str">
        <x:v>US FSL | On Creation of Service Appointment set Shipping Address</x:v>
      </x:c>
      <x:c r="S3498" s="119" t="str">
        <x:v>05/07/2026 (BW) - Updated so that this sets the shipping site name on the service appointment from the work order on creation</x:v>
      </x:c>
    </x:row>
    <x:row r="3499" ht="30" customHeight="1">
      <x:c r="A3499" s="117" t="str">
        <x:v>US_FSL_On_Creation_of_Service_Appointment_set_Shipping_Address</x:v>
      </x:c>
      <x:c r="B3499" s="117" t="str">
        <x:v>300Ro00000wO7esIAC</x:v>
      </x:c>
      <x:c r="C3499" s="117" t="str">
        <x:v>301Ro000016pOfRIAU</x:v>
      </x:c>
      <x:c r="D3499" s="118" t="n">
        <x:v>4</x:v>
      </x:c>
      <x:c r="E3499" s="117" t="str">
        <x:v>Obsolete</x:v>
      </x:c>
      <x:c r="F3499" s="117" t="str">
        <x:v>No</x:v>
      </x:c>
      <x:c r="G3499" s="117" t="str">
        <x:v>No</x:v>
      </x:c>
      <x:c r="H3499" s="117" t="str">
        <x:v>AutoLaunchedFlow</x:v>
      </x:c>
      <x:c r="I3499" s="118" t="n">
        <x:v>66</x:v>
      </x:c>
      <x:c r="J3499" s="117" t="str">
        <x:v>unmanaged</x:v>
      </x:c>
      <x:c r="K3499" s="123" t="b">
        <x:v>0</x:v>
      </x:c>
      <x:c r="L3499" s="117"/>
      <x:c r="M3499" s="118"/>
      <x:c r="N3499" s="120" t="n">
        <x:v>46169.628067129626</x:v>
      </x:c>
      <x:c r="O3499" s="117" t="str">
        <x:v>Delegate</x:v>
      </x:c>
      <x:c r="P3499" s="120" t="n">
        <x:v>46169.62814814815</x:v>
      </x:c>
      <x:c r="Q3499" s="117" t="str">
        <x:v>Delegate</x:v>
      </x:c>
      <x:c r="R3499" s="117" t="str">
        <x:v>US FSL | On Creation of Service Appointment set Shipping Address</x:v>
      </x:c>
      <x:c r="S3499" s="119" t="str">
        <x:v>05/27/2026 (BW) - Updated so that the US flow is valid that transfers United States to US</x:v>
      </x:c>
    </x:row>
    <x:row r="3500" ht="30" customHeight="1">
      <x:c r="A3500" s="117" t="str">
        <x:v>US_FSL_On_Creation_of_Service_Appointment_set_Shipping_Address</x:v>
      </x:c>
      <x:c r="B3500" s="117" t="str">
        <x:v>300Ro00000wO7esIAC</x:v>
      </x:c>
      <x:c r="C3500" s="117" t="str">
        <x:v>301Ro000016pdY1IAI</x:v>
      </x:c>
      <x:c r="D3500" s="118" t="n">
        <x:v>5</x:v>
      </x:c>
      <x:c r="E3500" s="117" t="str">
        <x:v>Obsolete</x:v>
      </x:c>
      <x:c r="F3500" s="117" t="str">
        <x:v>No</x:v>
      </x:c>
      <x:c r="G3500" s="117" t="str">
        <x:v>No</x:v>
      </x:c>
      <x:c r="H3500" s="117" t="str">
        <x:v>AutoLaunchedFlow</x:v>
      </x:c>
      <x:c r="I3500" s="118" t="n">
        <x:v>66</x:v>
      </x:c>
      <x:c r="J3500" s="117" t="str">
        <x:v>unmanaged</x:v>
      </x:c>
      <x:c r="K3500" s="123" t="b">
        <x:v>0</x:v>
      </x:c>
      <x:c r="L3500" s="117"/>
      <x:c r="M3500" s="118"/>
      <x:c r="N3500" s="120" t="n">
        <x:v>46169.646215277775</x:v>
      </x:c>
      <x:c r="O3500" s="117" t="str">
        <x:v>Delegate</x:v>
      </x:c>
      <x:c r="P3500" s="120" t="n">
        <x:v>46169.64628472222</x:v>
      </x:c>
      <x:c r="Q3500" s="117" t="str">
        <x:v>Delegate</x:v>
      </x:c>
      <x:c r="R3500" s="117" t="str">
        <x:v>US FSL | On Creation of Service Appointment set Shipping Address</x:v>
      </x:c>
      <x:c r="S3500" s="119" t="str">
        <x:v>05/27/2026 (BW) - Updated so that the US flow is valid that transfers United States to US</x:v>
      </x:c>
    </x:row>
    <x:row r="3501" ht="30" customHeight="1">
      <x:c r="A3501" s="117" t="str">
        <x:v>US_FSL_On_Creation_of_Service_Appointment_set_Shipping_Address</x:v>
      </x:c>
      <x:c r="B3501" s="117" t="str">
        <x:v>300Ro00000wO7esIAC</x:v>
      </x:c>
      <x:c r="C3501" s="117" t="str">
        <x:v>301Ro000016phBpIAI</x:v>
      </x:c>
      <x:c r="D3501" s="118" t="n">
        <x:v>6</x:v>
      </x:c>
      <x:c r="E3501" s="117" t="str">
        <x:v>Obsolete</x:v>
      </x:c>
      <x:c r="F3501" s="117" t="str">
        <x:v>No</x:v>
      </x:c>
      <x:c r="G3501" s="117" t="str">
        <x:v>No</x:v>
      </x:c>
      <x:c r="H3501" s="117" t="str">
        <x:v>AutoLaunchedFlow</x:v>
      </x:c>
      <x:c r="I3501" s="118" t="n">
        <x:v>66</x:v>
      </x:c>
      <x:c r="J3501" s="117" t="str">
        <x:v>unmanaged</x:v>
      </x:c>
      <x:c r="K3501" s="123" t="b">
        <x:v>0</x:v>
      </x:c>
      <x:c r="L3501" s="117"/>
      <x:c r="M3501" s="118"/>
      <x:c r="N3501" s="120" t="n">
        <x:v>46169.649930555555</x:v>
      </x:c>
      <x:c r="O3501" s="117" t="str">
        <x:v>Delegate</x:v>
      </x:c>
      <x:c r="P3501" s="120" t="n">
        <x:v>46169.65</x:v>
      </x:c>
      <x:c r="Q3501" s="117" t="str">
        <x:v>Delegate</x:v>
      </x:c>
      <x:c r="R3501" s="117" t="str">
        <x:v>US FSL | On Creation of Service Appointment set Shipping Address</x:v>
      </x:c>
      <x:c r="S3501" s="119" t="str">
        <x:v>05/27/2026 (BW) - Updated so that the US flow is valid that transfers United States to US</x:v>
      </x:c>
    </x:row>
    <x:row r="3502" ht="30" customHeight="1">
      <x:c r="A3502" s="117" t="str">
        <x:v>US_FSL_On_Creation_of_Service_Appointment_set_Shipping_Address</x:v>
      </x:c>
      <x:c r="B3502" s="117" t="str">
        <x:v>300Ro00000wO7esIAC</x:v>
      </x:c>
      <x:c r="C3502" s="117" t="str">
        <x:v>301Ro000017IK71IAG</x:v>
      </x:c>
      <x:c r="D3502" s="118" t="n">
        <x:v>7</x:v>
      </x:c>
      <x:c r="E3502" s="117" t="str">
        <x:v>Obsolete</x:v>
      </x:c>
      <x:c r="F3502" s="117" t="str">
        <x:v>No</x:v>
      </x:c>
      <x:c r="G3502" s="117" t="str">
        <x:v>No</x:v>
      </x:c>
      <x:c r="H3502" s="117" t="str">
        <x:v>AutoLaunchedFlow</x:v>
      </x:c>
      <x:c r="I3502" s="118" t="n">
        <x:v>66</x:v>
      </x:c>
      <x:c r="J3502" s="117" t="str">
        <x:v>unmanaged</x:v>
      </x:c>
      <x:c r="K3502" s="123" t="b">
        <x:v>0</x:v>
      </x:c>
      <x:c r="L3502" s="117"/>
      <x:c r="M3502" s="118"/>
      <x:c r="N3502" s="120" t="n">
        <x:v>46174.85008101852</x:v>
      </x:c>
      <x:c r="O3502" s="117" t="str">
        <x:v>Mindy Bender</x:v>
      </x:c>
      <x:c r="P3502" s="120" t="n">
        <x:v>46174.85019675926</x:v>
      </x:c>
      <x:c r="Q3502" s="117" t="str">
        <x:v>Mindy Bender</x:v>
      </x:c>
      <x:c r="R3502" s="117" t="str">
        <x:v>US FSL | On Creation of Service Appointment set Shipping Address</x:v>
      </x:c>
      <x:c r="S3502" s="119" t="str">
        <x:v>06/01/2026 (MB) - Added Attn line to copy over from work order
05/27/2026 (BW) - Updated so that the US flow is valid that transfers United States to US</x:v>
      </x:c>
    </x:row>
    <x:row r="3503" ht="30" customHeight="1">
      <x:c r="A3503" s="117" t="str">
        <x:v>US_FSL_On_Creation_of_Service_Appointment_set_Shipping_Address</x:v>
      </x:c>
      <x:c r="B3503" s="117" t="str">
        <x:v>300Ro00000wO7esIAC</x:v>
      </x:c>
      <x:c r="C3503" s="117" t="str">
        <x:v>301Ro0000184DrDIAU</x:v>
      </x:c>
      <x:c r="D3503" s="118" t="n">
        <x:v>8</x:v>
      </x:c>
      <x:c r="E3503" s="117" t="str">
        <x:v>Active</x:v>
      </x:c>
      <x:c r="F3503" s="117" t="str">
        <x:v>Yes</x:v>
      </x:c>
      <x:c r="G3503" s="117" t="str">
        <x:v>Yes</x:v>
      </x:c>
      <x:c r="H3503" s="117" t="str">
        <x:v>AutoLaunchedFlow</x:v>
      </x:c>
      <x:c r="I3503" s="118" t="n">
        <x:v>66</x:v>
      </x:c>
      <x:c r="J3503" s="117" t="str">
        <x:v>unmanaged</x:v>
      </x:c>
      <x:c r="K3503" s="123" t="b">
        <x:v>0</x:v>
      </x:c>
      <x:c r="L3503" s="117"/>
      <x:c r="M3503" s="118"/>
      <x:c r="N3503" s="120" t="n">
        <x:v>46182.87701388889</x:v>
      </x:c>
      <x:c r="O3503" s="117" t="str">
        <x:v>Mindy Bender</x:v>
      </x:c>
      <x:c r="P3503" s="120" t="n">
        <x:v>46182.87739583333</x:v>
      </x:c>
      <x:c r="Q3503" s="117" t="str">
        <x:v>Mindy Bender</x:v>
      </x:c>
      <x:c r="R3503" s="117" t="str">
        <x:v>US FSL | On Creation of Service Appointment set Shipping Address</x:v>
      </x:c>
      <x:c r="S3503" s="119" t="str">
        <x:v>06/09/2026 (MPB) - Added Service Site Name to copy from work order
06/01/2026 (MB) - Added Attn line to copy over from work order</x:v>
      </x:c>
    </x:row>
    <x:row r="3504" ht="30" customHeight="1">
      <x:c r="A3504" s="117" t="str">
        <x:v>US_FSL_On_Picked_Up_by_Operations_Notify_Engineer</x:v>
      </x:c>
      <x:c r="B3504" s="117" t="str">
        <x:v>300Ro00000ygilRIAQ</x:v>
      </x:c>
      <x:c r="C3504" s="117" t="str">
        <x:v>301Ro0000170ZUHIA2</x:v>
      </x:c>
      <x:c r="D3504" s="118" t="n">
        <x:v>1</x:v>
      </x:c>
      <x:c r="E3504" s="117" t="str">
        <x:v>Active</x:v>
      </x:c>
      <x:c r="F3504" s="117" t="str">
        <x:v>Yes</x:v>
      </x:c>
      <x:c r="G3504" s="117" t="str">
        <x:v>Yes</x:v>
      </x:c>
      <x:c r="H3504" s="117" t="str">
        <x:v>AutoLaunchedFlow</x:v>
      </x:c>
      <x:c r="I3504" s="118" t="n">
        <x:v>66</x:v>
      </x:c>
      <x:c r="J3504" s="117" t="str">
        <x:v>unmanaged</x:v>
      </x:c>
      <x:c r="K3504" s="123" t="b">
        <x:v>0</x:v>
      </x:c>
      <x:c r="L3504" s="117"/>
      <x:c r="M3504" s="118"/>
      <x:c r="N3504" s="120" t="n">
        <x:v>46170.941458333335</x:v>
      </x:c>
      <x:c r="O3504" s="117" t="str">
        <x:v>Delegate</x:v>
      </x:c>
      <x:c r="P3504" s="120" t="n">
        <x:v>46170.94162037037</x:v>
      </x:c>
      <x:c r="Q3504" s="117" t="str">
        <x:v>Delegate</x:v>
      </x:c>
      <x:c r="R3504" s="117" t="str">
        <x:v>US FSL | On Picked Up by Operations, Notify Engineer</x:v>
      </x:c>
      <x:c r="S3504" s="119" t="str">
        <x:v>05/28/2026 (BW) - Created flow to send a mobile notification to the work order owner (engineer) when the Picked Up by Operations checkbox is checked</x:v>
      </x:c>
    </x:row>
    <x:row r="3505" ht="30" customHeight="1">
      <x:c r="A3505" s="117" t="str">
        <x:v>US_FSL_On_Ready_to_Ship_for_Opp_Update_WO_to_Confirm_Shipping</x:v>
      </x:c>
      <x:c r="B3505" s="117" t="str">
        <x:v>300Ro00000tWpisIAC</x:v>
      </x:c>
      <x:c r="C3505" s="117" t="str">
        <x:v>301Ro000011K8vtIAC</x:v>
      </x:c>
      <x:c r="D3505" s="118" t="n">
        <x:v>1</x:v>
      </x:c>
      <x:c r="E3505" s="117" t="str">
        <x:v>Active</x:v>
      </x:c>
      <x:c r="F3505" s="117" t="str">
        <x:v>Yes</x:v>
      </x:c>
      <x:c r="G3505" s="117" t="str">
        <x:v>Yes</x:v>
      </x:c>
      <x:c r="H3505" s="117" t="str">
        <x:v>AutoLaunchedFlow</x:v>
      </x:c>
      <x:c r="I3505" s="118" t="n">
        <x:v>65</x:v>
      </x:c>
      <x:c r="J3505" s="117" t="str">
        <x:v>unmanaged</x:v>
      </x:c>
      <x:c r="K3505" s="123" t="b">
        <x:v>0</x:v>
      </x:c>
      <x:c r="L3505" s="117"/>
      <x:c r="M3505" s="118"/>
      <x:c r="N3505" s="120" t="n">
        <x:v>46105.55614583333</x:v>
      </x:c>
      <x:c r="O3505" s="117" t="str">
        <x:v>Delegate</x:v>
      </x:c>
      <x:c r="P3505" s="120" t="n">
        <x:v>46105.5562037037</x:v>
      </x:c>
      <x:c r="Q3505" s="117" t="str">
        <x:v>Delegate</x:v>
      </x:c>
      <x:c r="R3505" s="117" t="str">
        <x:v>US FSL | On "Ready to Ship" for Opp, Update WO to "Confirm Shipping"</x:v>
      </x:c>
      <x:c r="S3505" s="119" t="str">
        <x:v>03/24/2026 (BW) - On setting of the opportunity stage to "Ready to Ship", update the work order to "Confirm Shipping"</x:v>
      </x:c>
    </x:row>
    <x:row r="3506" ht="30" customHeight="1">
      <x:c r="A3506" s="117" t="str">
        <x:v>US_FSL_On_Repair_Declined_for_Opp_Update_WO_to_Pending_Shipment</x:v>
      </x:c>
      <x:c r="B3506" s="117" t="str">
        <x:v>300Ro00000wwDUvIAM</x:v>
      </x:c>
      <x:c r="C3506" s="117" t="str">
        <x:v>301Ro0000154byTIAQ</x:v>
      </x:c>
      <x:c r="D3506" s="118" t="n">
        <x:v>1</x:v>
      </x:c>
      <x:c r="E3506" s="117" t="str">
        <x:v>Active</x:v>
      </x:c>
      <x:c r="F3506" s="117" t="str">
        <x:v>Yes</x:v>
      </x:c>
      <x:c r="G3506" s="117" t="str">
        <x:v>Yes</x:v>
      </x:c>
      <x:c r="H3506" s="117" t="str">
        <x:v>AutoLaunchedFlow</x:v>
      </x:c>
      <x:c r="I3506" s="118" t="n">
        <x:v>65</x:v>
      </x:c>
      <x:c r="J3506" s="117" t="str">
        <x:v>unmanaged</x:v>
      </x:c>
      <x:c r="K3506" s="123" t="b">
        <x:v>0</x:v>
      </x:c>
      <x:c r="L3506" s="117"/>
      <x:c r="M3506" s="118"/>
      <x:c r="N3506" s="120" t="n">
        <x:v>46149.74030092593</x:v>
      </x:c>
      <x:c r="O3506" s="117" t="str">
        <x:v>Delegate</x:v>
      </x:c>
      <x:c r="P3506" s="120" t="n">
        <x:v>46149.74480324074</x:v>
      </x:c>
      <x:c r="Q3506" s="117" t="str">
        <x:v>Delegate</x:v>
      </x:c>
      <x:c r="R3506" s="117" t="str">
        <x:v>US FSL | On "Repair Declined" for Opp, Update WO to "Pending Shipment"</x:v>
      </x:c>
      <x:c r="S3506" s="119" t="str">
        <x:v>05/07/2026 (BW) - On setting of the opportunity stage to "Repair Declined", update the related US FSL work order status to "Pending Shipment"</x:v>
      </x:c>
    </x:row>
    <x:row r="3507" ht="30" customHeight="1">
      <x:c r="A3507" s="117" t="str">
        <x:v>US_FSL_On_submitting_of_shipping_update_the_work_order_to_pending_shipment</x:v>
      </x:c>
      <x:c r="B3507" s="117" t="str">
        <x:v>300Ro00000wtiDZIAY</x:v>
      </x:c>
      <x:c r="C3507" s="117" t="str">
        <x:v>301Ro00001523dKIAQ</x:v>
      </x:c>
      <x:c r="D3507" s="118" t="n">
        <x:v>1</x:v>
      </x:c>
      <x:c r="E3507" s="117" t="str">
        <x:v>Obsolete</x:v>
      </x:c>
      <x:c r="F3507" s="117" t="str">
        <x:v>No</x:v>
      </x:c>
      <x:c r="G3507" s="117" t="str">
        <x:v>No</x:v>
      </x:c>
      <x:c r="H3507" s="117" t="str">
        <x:v>AutoLaunchedFlow</x:v>
      </x:c>
      <x:c r="I3507" s="118" t="n">
        <x:v>66</x:v>
      </x:c>
      <x:c r="J3507" s="117" t="str">
        <x:v>unmanaged</x:v>
      </x:c>
      <x:c r="K3507" s="123" t="b">
        <x:v>0</x:v>
      </x:c>
      <x:c r="L3507" s="117"/>
      <x:c r="M3507" s="118"/>
      <x:c r="N3507" s="120" t="n">
        <x:v>46149.46233796296</x:v>
      </x:c>
      <x:c r="O3507" s="117" t="str">
        <x:v>Delegate</x:v>
      </x:c>
      <x:c r="P3507" s="120" t="n">
        <x:v>46149.462430555555</x:v>
      </x:c>
      <x:c r="Q3507" s="117" t="str">
        <x:v>Delegate</x:v>
      </x:c>
      <x:c r="R3507" s="117" t="str">
        <x:v>US FSL | On submitting of shipping, update the work order to pending shipment</x:v>
      </x:c>
      <x:c r="S3507" s="119" t="str">
        <x:v>05/07/2026 (BW) - Updates the work order to pending shipment once the service appointment is marked for submitting to shipping</x:v>
      </x:c>
    </x:row>
    <x:row r="3508" ht="30" customHeight="1">
      <x:c r="A3508" s="117" t="str">
        <x:v>US_FSL_On_submitting_of_shipping_update_the_work_order_to_pending_shipment</x:v>
      </x:c>
      <x:c r="B3508" s="117" t="str">
        <x:v>300Ro00000wtiDZIAY</x:v>
      </x:c>
      <x:c r="C3508" s="117" t="str">
        <x:v>301Ro0000152AzBIAU</x:v>
      </x:c>
      <x:c r="D3508" s="118" t="n">
        <x:v>2</x:v>
      </x:c>
      <x:c r="E3508" s="117" t="str">
        <x:v>Obsolete</x:v>
      </x:c>
      <x:c r="F3508" s="117" t="str">
        <x:v>No</x:v>
      </x:c>
      <x:c r="G3508" s="117" t="str">
        <x:v>No</x:v>
      </x:c>
      <x:c r="H3508" s="117" t="str">
        <x:v>AutoLaunchedFlow</x:v>
      </x:c>
      <x:c r="I3508" s="118" t="n">
        <x:v>66</x:v>
      </x:c>
      <x:c r="J3508" s="117" t="str">
        <x:v>unmanaged</x:v>
      </x:c>
      <x:c r="K3508" s="123" t="b">
        <x:v>0</x:v>
      </x:c>
      <x:c r="L3508" s="117"/>
      <x:c r="M3508" s="118"/>
      <x:c r="N3508" s="120" t="n">
        <x:v>46149.46303240741</x:v>
      </x:c>
      <x:c r="O3508" s="117" t="str">
        <x:v>Delegate</x:v>
      </x:c>
      <x:c r="P3508" s="120" t="n">
        <x:v>46149.4630787037</x:v>
      </x:c>
      <x:c r="Q3508" s="117" t="str">
        <x:v>Delegate</x:v>
      </x:c>
      <x:c r="R3508" s="117" t="str">
        <x:v>US FSL | On submitting of shipping, update the work order to pending shipment</x:v>
      </x:c>
      <x:c r="S3508" s="119" t="str">
        <x:v>05/07/2026 (BW) - Updates the work order to pending shipment once the service appointment is marked for submitting to shipping</x:v>
      </x:c>
    </x:row>
    <x:row r="3509" ht="30" customHeight="1">
      <x:c r="A3509" s="117" t="str">
        <x:v>US_FSL_On_submitting_of_shipping_update_the_work_order_to_pending_shipment</x:v>
      </x:c>
      <x:c r="B3509" s="117" t="str">
        <x:v>300Ro00000wtiDZIAY</x:v>
      </x:c>
      <x:c r="C3509" s="117" t="str">
        <x:v>301Ro0000151tQYIAY</x:v>
      </x:c>
      <x:c r="D3509" s="118" t="n">
        <x:v>3</x:v>
      </x:c>
      <x:c r="E3509" s="117" t="str">
        <x:v>Active</x:v>
      </x:c>
      <x:c r="F3509" s="117" t="str">
        <x:v>Yes</x:v>
      </x:c>
      <x:c r="G3509" s="117" t="str">
        <x:v>Yes</x:v>
      </x:c>
      <x:c r="H3509" s="117" t="str">
        <x:v>AutoLaunchedFlow</x:v>
      </x:c>
      <x:c r="I3509" s="118" t="n">
        <x:v>66</x:v>
      </x:c>
      <x:c r="J3509" s="117" t="str">
        <x:v>unmanaged</x:v>
      </x:c>
      <x:c r="K3509" s="123" t="b">
        <x:v>0</x:v>
      </x:c>
      <x:c r="L3509" s="117"/>
      <x:c r="M3509" s="118"/>
      <x:c r="N3509" s="120" t="n">
        <x:v>46149.53394675926</x:v>
      </x:c>
      <x:c r="O3509" s="117" t="str">
        <x:v>Delegate</x:v>
      </x:c>
      <x:c r="P3509" s="120" t="n">
        <x:v>46149.53407407407</x:v>
      </x:c>
      <x:c r="Q3509" s="117" t="str">
        <x:v>Delegate</x:v>
      </x:c>
      <x:c r="R3509" s="117" t="str">
        <x:v>US FSL | On submitting of shipping, update the work order to pending shipment and mark assets as reserved</x:v>
      </x:c>
      <x:c r="S3509" s="119" t="str">
        <x:v>05/07/2026 (BW) - Updated to also mark the assets as reserved</x:v>
      </x:c>
    </x:row>
    <x:row r="3510" ht="30" customHeight="1">
      <x:c r="A3510" s="117" t="str">
        <x:v>US_FSL_On_Tracking_Entered_for_Service_Appointment_update_the_work_order_to_Part</x:v>
      </x:c>
      <x:c r="B3510" s="117" t="str">
        <x:v>300Ro00000wthFqIAI</x:v>
      </x:c>
      <x:c r="C3510" s="117" t="str">
        <x:v>301Ro00001526HGIAY</x:v>
      </x:c>
      <x:c r="D3510" s="118" t="n">
        <x:v>1</x:v>
      </x:c>
      <x:c r="E3510" s="117" t="str">
        <x:v>Obsolete</x:v>
      </x:c>
      <x:c r="F3510" s="117" t="str">
        <x:v>No</x:v>
      </x:c>
      <x:c r="G3510" s="117" t="str">
        <x:v>No</x:v>
      </x:c>
      <x:c r="H3510" s="117" t="str">
        <x:v>AutoLaunchedFlow</x:v>
      </x:c>
      <x:c r="I3510" s="118" t="n">
        <x:v>66</x:v>
      </x:c>
      <x:c r="J3510" s="117" t="str">
        <x:v>unmanaged</x:v>
      </x:c>
      <x:c r="K3510" s="123" t="b">
        <x:v>0</x:v>
      </x:c>
      <x:c r="L3510" s="117"/>
      <x:c r="M3510" s="118"/>
      <x:c r="N3510" s="120" t="n">
        <x:v>46149.464212962965</x:v>
      </x:c>
      <x:c r="O3510" s="117" t="str">
        <x:v>Delegate</x:v>
      </x:c>
      <x:c r="P3510" s="120" t="n">
        <x:v>46149.46450231481</x:v>
      </x:c>
      <x:c r="Q3510" s="117" t="str">
        <x:v>Delegate</x:v>
      </x:c>
      <x:c r="R3510" s="117" t="str">
        <x:v>US FSL | On Tracking Entered for Service Appointment update the work order to Parts/Probed Shipped</x:v>
      </x:c>
      <x:c r="S3510" s="119" t="str">
        <x:v>05/07/2026 (BW) - On the entry of tracking information, this updates the work order to parts/probe shipped</x:v>
      </x:c>
    </x:row>
    <x:row r="3511" ht="30" customHeight="1">
      <x:c r="A3511" s="117" t="str">
        <x:v>US_FSL_On_Tracking_Entered_for_Service_Appointment_update_the_work_order_to_Part</x:v>
      </x:c>
      <x:c r="B3511" s="117" t="str">
        <x:v>300Ro00000wthFqIAI</x:v>
      </x:c>
      <x:c r="C3511" s="117" t="str">
        <x:v>301Ro0000152GOgIAM</x:v>
      </x:c>
      <x:c r="D3511" s="118" t="n">
        <x:v>2</x:v>
      </x:c>
      <x:c r="E3511" s="117" t="str">
        <x:v>Obsolete</x:v>
      </x:c>
      <x:c r="F3511" s="117" t="str">
        <x:v>No</x:v>
      </x:c>
      <x:c r="G3511" s="117" t="str">
        <x:v>No</x:v>
      </x:c>
      <x:c r="H3511" s="117" t="str">
        <x:v>AutoLaunchedFlow</x:v>
      </x:c>
      <x:c r="I3511" s="118" t="n">
        <x:v>66</x:v>
      </x:c>
      <x:c r="J3511" s="117" t="str">
        <x:v>unmanaged</x:v>
      </x:c>
      <x:c r="K3511" s="123" t="b">
        <x:v>0</x:v>
      </x:c>
      <x:c r="L3511" s="117"/>
      <x:c r="M3511" s="118"/>
      <x:c r="N3511" s="120" t="n">
        <x:v>46149.505057870374</x:v>
      </x:c>
      <x:c r="O3511" s="117" t="str">
        <x:v>Delegate</x:v>
      </x:c>
      <x:c r="P3511" s="120" t="n">
        <x:v>46149.50517361111</x:v>
      </x:c>
      <x:c r="Q3511" s="117" t="str">
        <x:v>Delegate</x:v>
      </x:c>
      <x:c r="R3511" s="117" t="str">
        <x:v>US FSL | On Tracking Entered for Service Appointment update the work order to Parts/Probed Shipped</x:v>
      </x:c>
      <x:c r="S3511" s="119" t="str">
        <x:v>05/07/2026 (BW) - On the entry of tracking information, this updates the work order to parts/probe shipped</x:v>
      </x:c>
    </x:row>
    <x:row r="3512" ht="30" customHeight="1">
      <x:c r="A3512" s="117" t="str">
        <x:v>US_FSL_On_Tracking_Entered_for_Service_Appointment_update_the_work_order_to_Part</x:v>
      </x:c>
      <x:c r="B3512" s="117" t="str">
        <x:v>300Ro00000wthFqIAI</x:v>
      </x:c>
      <x:c r="C3512" s="117" t="str">
        <x:v>301Ro000016x94wIAA</x:v>
      </x:c>
      <x:c r="D3512" s="118" t="n">
        <x:v>3</x:v>
      </x:c>
      <x:c r="E3512" s="117" t="str">
        <x:v>Active</x:v>
      </x:c>
      <x:c r="F3512" s="117" t="str">
        <x:v>Yes</x:v>
      </x:c>
      <x:c r="G3512" s="117" t="str">
        <x:v>Yes</x:v>
      </x:c>
      <x:c r="H3512" s="117" t="str">
        <x:v>AutoLaunchedFlow</x:v>
      </x:c>
      <x:c r="I3512" s="118" t="n">
        <x:v>66</x:v>
      </x:c>
      <x:c r="J3512" s="117" t="str">
        <x:v>unmanaged</x:v>
      </x:c>
      <x:c r="K3512" s="123" t="b">
        <x:v>0</x:v>
      </x:c>
      <x:c r="L3512" s="117"/>
      <x:c r="M3512" s="118"/>
      <x:c r="N3512" s="120" t="n">
        <x:v>46170.64960648148</x:v>
      </x:c>
      <x:c r="O3512" s="117" t="str">
        <x:v>Delegate</x:v>
      </x:c>
      <x:c r="P3512" s="120" t="n">
        <x:v>46170.6496875</x:v>
      </x:c>
      <x:c r="Q3512" s="117" t="str">
        <x:v>Delegate</x:v>
      </x:c>
      <x:c r="R3512" s="117" t="str">
        <x:v>US FSL | On Tracking Entered for Service Appointment update the work order to Parts/Probed Shipped</x:v>
      </x:c>
      <x:c r="S3512" s="119" t="str">
        <x:v>05/28/2026 (BW) - Updated so that the Email for Engineer gets added to the service appointment for the shipping alert</x:v>
      </x:c>
    </x:row>
    <x:row r="3513" ht="30" customHeight="1">
      <x:c r="A3513" s="117" t="str">
        <x:v>US_FSL_On_WO_Field_Update_Update_Opportunity_Fields</x:v>
      </x:c>
      <x:c r="B3513" s="117" t="str">
        <x:v>300Ro00000qqmCHIAY</x:v>
      </x:c>
      <x:c r="C3513" s="117" t="str">
        <x:v>301Ro00000yQJAwIAO</x:v>
      </x:c>
      <x:c r="D3513" s="118" t="n">
        <x:v>1</x:v>
      </x:c>
      <x:c r="E3513" s="117" t="str">
        <x:v>Obsolete</x:v>
      </x:c>
      <x:c r="F3513" s="117" t="str">
        <x:v>No</x:v>
      </x:c>
      <x:c r="G3513" s="117" t="str">
        <x:v>No</x:v>
      </x:c>
      <x:c r="H3513" s="117" t="str">
        <x:v>AutoLaunchedFlow</x:v>
      </x:c>
      <x:c r="I3513" s="118" t="n">
        <x:v>65</x:v>
      </x:c>
      <x:c r="J3513" s="117" t="str">
        <x:v>unmanaged</x:v>
      </x:c>
      <x:c r="K3513" s="123" t="b">
        <x:v>0</x:v>
      </x:c>
      <x:c r="L3513" s="117"/>
      <x:c r="M3513" s="118"/>
      <x:c r="N3513" s="120" t="n">
        <x:v>46069.62648148148</x:v>
      </x:c>
      <x:c r="O3513" s="117" t="str">
        <x:v>Delegate</x:v>
      </x:c>
      <x:c r="P3513" s="120" t="n">
        <x:v>46069.62747685185</x:v>
      </x:c>
      <x:c r="Q3513" s="117" t="str">
        <x:v>Delegate</x:v>
      </x:c>
      <x:c r="R3513" s="117" t="str">
        <x:v>US FSL | On WO Field Update - Update Opportunity Fields</x:v>
      </x:c>
      <x:c r="S3513" s="119" t="str">
        <x:v>02/13/2026 (BW) - On updating of the PO Number on the work order, update the PO Number on the opportunity as well</x:v>
      </x:c>
    </x:row>
    <x:row r="3514" ht="30" customHeight="1">
      <x:c r="A3514" s="117" t="str">
        <x:v>US_FSL_On_WO_Field_Update_Update_Opportunity_Fields</x:v>
      </x:c>
      <x:c r="B3514" s="117" t="str">
        <x:v>300Ro00000qqmCHIAY</x:v>
      </x:c>
      <x:c r="C3514" s="117" t="str">
        <x:v>301Ro00000ycxsXIAQ</x:v>
      </x:c>
      <x:c r="D3514" s="118" t="n">
        <x:v>2</x:v>
      </x:c>
      <x:c r="E3514" s="117" t="str">
        <x:v>Obsolete</x:v>
      </x:c>
      <x:c r="F3514" s="117" t="str">
        <x:v>No</x:v>
      </x:c>
      <x:c r="G3514" s="117" t="str">
        <x:v>No</x:v>
      </x:c>
      <x:c r="H3514" s="117" t="str">
        <x:v>AutoLaunchedFlow</x:v>
      </x:c>
      <x:c r="I3514" s="118" t="n">
        <x:v>65</x:v>
      </x:c>
      <x:c r="J3514" s="117" t="str">
        <x:v>unmanaged</x:v>
      </x:c>
      <x:c r="K3514" s="123" t="b">
        <x:v>0</x:v>
      </x:c>
      <x:c r="L3514" s="117"/>
      <x:c r="M3514" s="118"/>
      <x:c r="N3514" s="120" t="n">
        <x:v>46071.69375</x:v>
      </x:c>
      <x:c r="O3514" s="117" t="str">
        <x:v>Delegate</x:v>
      </x:c>
      <x:c r="P3514" s="120" t="n">
        <x:v>46071.69384259259</x:v>
      </x:c>
      <x:c r="Q3514" s="117" t="str">
        <x:v>Delegate</x:v>
      </x:c>
      <x:c r="R3514" s="117" t="str">
        <x:v>US FSL | On WO Field Update - Update Opportunity Fields</x:v>
      </x:c>
      <x:c r="S3514" s="119" t="str">
        <x:v>02/18/2026 (BW) - Updating the automation so setting PO Number on the work order sets the Customer PO number on the opportunity</x:v>
      </x:c>
    </x:row>
    <x:row r="3515" ht="30" customHeight="1">
      <x:c r="A3515" s="117" t="str">
        <x:v>US_FSL_On_WO_Field_Update_Update_Opportunity_Fields</x:v>
      </x:c>
      <x:c r="B3515" s="117" t="str">
        <x:v>300Ro00000qqmCHIAY</x:v>
      </x:c>
      <x:c r="C3515" s="117" t="str">
        <x:v>301Ro00000yyFJlIAM</x:v>
      </x:c>
      <x:c r="D3515" s="118" t="n">
        <x:v>3</x:v>
      </x:c>
      <x:c r="E3515" s="117" t="str">
        <x:v>Obsolete</x:v>
      </x:c>
      <x:c r="F3515" s="117" t="str">
        <x:v>No</x:v>
      </x:c>
      <x:c r="G3515" s="117" t="str">
        <x:v>No</x:v>
      </x:c>
      <x:c r="H3515" s="117" t="str">
        <x:v>AutoLaunchedFlow</x:v>
      </x:c>
      <x:c r="I3515" s="118" t="n">
        <x:v>65</x:v>
      </x:c>
      <x:c r="J3515" s="117" t="str">
        <x:v>unmanaged</x:v>
      </x:c>
      <x:c r="K3515" s="123" t="b">
        <x:v>0</x:v>
      </x:c>
      <x:c r="L3515" s="117"/>
      <x:c r="M3515" s="118"/>
      <x:c r="N3515" s="120" t="n">
        <x:v>46076.08373842593</x:v>
      </x:c>
      <x:c r="O3515" s="117" t="str">
        <x:v>Delegate</x:v>
      </x:c>
      <x:c r="P3515" s="120" t="n">
        <x:v>46076.0837962963</x:v>
      </x:c>
      <x:c r="Q3515" s="117" t="str">
        <x:v>Delegate</x:v>
      </x:c>
      <x:c r="R3515" s="117" t="str">
        <x:v>US FSL | On WO Field Update - Update Opportunity Fields</x:v>
      </x:c>
      <x:c r="S3515" s="119" t="str">
        <x:v>02/22/2026 (BW) - Updates the waiting for PO flag to false when the PO is filled out on the work order</x:v>
      </x:c>
    </x:row>
    <x:row r="3516" ht="30" customHeight="1">
      <x:c r="A3516" s="117" t="str">
        <x:v>US_FSL_On_WO_Field_Update_Update_Opportunity_Fields</x:v>
      </x:c>
      <x:c r="B3516" s="117" t="str">
        <x:v>300Ro00000qqmCHIAY</x:v>
      </x:c>
      <x:c r="C3516" s="117" t="str">
        <x:v>301Ro00000yy2ftIAA</x:v>
      </x:c>
      <x:c r="D3516" s="118" t="n">
        <x:v>4</x:v>
      </x:c>
      <x:c r="E3516" s="117" t="str">
        <x:v>Obsolete</x:v>
      </x:c>
      <x:c r="F3516" s="117" t="str">
        <x:v>No</x:v>
      </x:c>
      <x:c r="G3516" s="117" t="str">
        <x:v>No</x:v>
      </x:c>
      <x:c r="H3516" s="117" t="str">
        <x:v>AutoLaunchedFlow</x:v>
      </x:c>
      <x:c r="I3516" s="118" t="n">
        <x:v>65</x:v>
      </x:c>
      <x:c r="J3516" s="117" t="str">
        <x:v>unmanaged</x:v>
      </x:c>
      <x:c r="K3516" s="123" t="b">
        <x:v>0</x:v>
      </x:c>
      <x:c r="L3516" s="117"/>
      <x:c r="M3516" s="118"/>
      <x:c r="N3516" s="120" t="n">
        <x:v>46076.13659722222</x:v>
      </x:c>
      <x:c r="O3516" s="117" t="str">
        <x:v>Delegate</x:v>
      </x:c>
      <x:c r="P3516" s="120" t="n">
        <x:v>46076.136655092596</x:v>
      </x:c>
      <x:c r="Q3516" s="117" t="str">
        <x:v>Delegate</x:v>
      </x:c>
      <x:c r="R3516" s="117" t="str">
        <x:v>US FSL | On WO Field Update - Update Opportunity Fields</x:v>
      </x:c>
      <x:c r="S3516" s="119" t="str">
        <x:v>02/22/2026 (BW) - Updates the waiting for PO flag to false when the PO is filled out on the work order</x:v>
      </x:c>
    </x:row>
    <x:row r="3517" ht="30" customHeight="1">
      <x:c r="A3517" s="117" t="str">
        <x:v>US_FSL_On_WO_Field_Update_Update_Opportunity_Fields</x:v>
      </x:c>
      <x:c r="B3517" s="117" t="str">
        <x:v>300Ro00000qqmCHIAY</x:v>
      </x:c>
      <x:c r="C3517" s="117" t="str">
        <x:v>301Ro00000zA4fEIAS</x:v>
      </x:c>
      <x:c r="D3517" s="118" t="n">
        <x:v>5</x:v>
      </x:c>
      <x:c r="E3517" s="117" t="str">
        <x:v>Obsolete</x:v>
      </x:c>
      <x:c r="F3517" s="117" t="str">
        <x:v>No</x:v>
      </x:c>
      <x:c r="G3517" s="117" t="str">
        <x:v>No</x:v>
      </x:c>
      <x:c r="H3517" s="117" t="str">
        <x:v>AutoLaunchedFlow</x:v>
      </x:c>
      <x:c r="I3517" s="118" t="n">
        <x:v>65</x:v>
      </x:c>
      <x:c r="J3517" s="117" t="str">
        <x:v>unmanaged</x:v>
      </x:c>
      <x:c r="K3517" s="123" t="b">
        <x:v>0</x:v>
      </x:c>
      <x:c r="L3517" s="117"/>
      <x:c r="M3517" s="118"/>
      <x:c r="N3517" s="120" t="n">
        <x:v>46078.10954861111</x:v>
      </x:c>
      <x:c r="O3517" s="117" t="str">
        <x:v>Delegate</x:v>
      </x:c>
      <x:c r="P3517" s="120" t="n">
        <x:v>46078.10959490741</x:v>
      </x:c>
      <x:c r="Q3517" s="117" t="str">
        <x:v>Delegate</x:v>
      </x:c>
      <x:c r="R3517" s="117" t="str">
        <x:v>US FSL | On WO Field Update - Update Opportunity Fields</x:v>
      </x:c>
      <x:c r="S3517" s="119" t="str">
        <x:v>02/22/2026 (BW) - Updates the waiting for PO flag to false when the PO is filled out on the work order</x:v>
      </x:c>
    </x:row>
    <x:row r="3518" ht="30" customHeight="1">
      <x:c r="A3518" s="117" t="str">
        <x:v>US_FSL_On_WO_Field_Update_Update_Opportunity_Fields</x:v>
      </x:c>
      <x:c r="B3518" s="117" t="str">
        <x:v>300Ro00000qqmCHIAY</x:v>
      </x:c>
      <x:c r="C3518" s="117" t="str">
        <x:v>301Ro00000z9g0aIAA</x:v>
      </x:c>
      <x:c r="D3518" s="118" t="n">
        <x:v>6</x:v>
      </x:c>
      <x:c r="E3518" s="117" t="str">
        <x:v>Obsolete</x:v>
      </x:c>
      <x:c r="F3518" s="117" t="str">
        <x:v>No</x:v>
      </x:c>
      <x:c r="G3518" s="117" t="str">
        <x:v>No</x:v>
      </x:c>
      <x:c r="H3518" s="117" t="str">
        <x:v>AutoLaunchedFlow</x:v>
      </x:c>
      <x:c r="I3518" s="118" t="n">
        <x:v>65</x:v>
      </x:c>
      <x:c r="J3518" s="117" t="str">
        <x:v>unmanaged</x:v>
      </x:c>
      <x:c r="K3518" s="123" t="b">
        <x:v>0</x:v>
      </x:c>
      <x:c r="L3518" s="117"/>
      <x:c r="M3518" s="118"/>
      <x:c r="N3518" s="120" t="n">
        <x:v>46078.11267361111</x:v>
      </x:c>
      <x:c r="O3518" s="117" t="str">
        <x:v>Delegate</x:v>
      </x:c>
      <x:c r="P3518" s="120" t="n">
        <x:v>46078.11271990741</x:v>
      </x:c>
      <x:c r="Q3518" s="117" t="str">
        <x:v>Delegate</x:v>
      </x:c>
      <x:c r="R3518" s="117" t="str">
        <x:v>US FSL | On WO Field Update - Update Opportunity Fields</x:v>
      </x:c>
      <x:c r="S3518" s="119" t="str">
        <x:v>02/22/2026 (BW) - Updates the waiting for PO flag to false when the PO is filled out on the work order</x:v>
      </x:c>
    </x:row>
    <x:row r="3519" ht="30" customHeight="1">
      <x:c r="A3519" s="117" t="str">
        <x:v>US_FSL_On_WO_Field_Update_Update_Opportunity_Fields</x:v>
      </x:c>
      <x:c r="B3519" s="117" t="str">
        <x:v>300Ro00000qqmCHIAY</x:v>
      </x:c>
      <x:c r="C3519" s="117" t="str">
        <x:v>301Ro000013p9WrIAI</x:v>
      </x:c>
      <x:c r="D3519" s="118" t="n">
        <x:v>7</x:v>
      </x:c>
      <x:c r="E3519" s="117" t="str">
        <x:v>Obsolete</x:v>
      </x:c>
      <x:c r="F3519" s="117" t="str">
        <x:v>No</x:v>
      </x:c>
      <x:c r="G3519" s="117" t="str">
        <x:v>No</x:v>
      </x:c>
      <x:c r="H3519" s="117" t="str">
        <x:v>AutoLaunchedFlow</x:v>
      </x:c>
      <x:c r="I3519" s="118" t="n">
        <x:v>65</x:v>
      </x:c>
      <x:c r="J3519" s="117" t="str">
        <x:v>unmanaged</x:v>
      </x:c>
      <x:c r="K3519" s="123" t="b">
        <x:v>0</x:v>
      </x:c>
      <x:c r="L3519" s="117"/>
      <x:c r="M3519" s="118"/>
      <x:c r="N3519" s="120" t="n">
        <x:v>46134.67996527778</x:v>
      </x:c>
      <x:c r="O3519" s="117" t="str">
        <x:v>Delegate</x:v>
      </x:c>
      <x:c r="P3519" s="120" t="n">
        <x:v>46134.68002314815</x:v>
      </x:c>
      <x:c r="Q3519" s="117" t="str">
        <x:v>Delegate</x:v>
      </x:c>
      <x:c r="R3519" s="117" t="str">
        <x:v>US FSL | On WO Field Update - Update Opportunity Fields</x:v>
      </x:c>
      <x:c r="S3519" s="119" t="str">
        <x:v>04/22/2026 (BW) - Sets the PO Number on the Opportunity in a more declarative method</x:v>
      </x:c>
    </x:row>
    <x:row r="3520" ht="30" customHeight="1">
      <x:c r="A3520" s="117" t="str">
        <x:v>US_FSL_On_WO_Field_Update_Update_Opportunity_Fields</x:v>
      </x:c>
      <x:c r="B3520" s="117" t="str">
        <x:v>300Ro00000qqmCHIAY</x:v>
      </x:c>
      <x:c r="C3520" s="117" t="str">
        <x:v>301Ro000013ow1nIAA</x:v>
      </x:c>
      <x:c r="D3520" s="118" t="n">
        <x:v>8</x:v>
      </x:c>
      <x:c r="E3520" s="117" t="str">
        <x:v>Active</x:v>
      </x:c>
      <x:c r="F3520" s="117" t="str">
        <x:v>Yes</x:v>
      </x:c>
      <x:c r="G3520" s="117" t="str">
        <x:v>Yes</x:v>
      </x:c>
      <x:c r="H3520" s="117" t="str">
        <x:v>AutoLaunchedFlow</x:v>
      </x:c>
      <x:c r="I3520" s="118" t="n">
        <x:v>65</x:v>
      </x:c>
      <x:c r="J3520" s="117" t="str">
        <x:v>unmanaged</x:v>
      </x:c>
      <x:c r="K3520" s="123" t="b">
        <x:v>0</x:v>
      </x:c>
      <x:c r="L3520" s="117"/>
      <x:c r="M3520" s="118"/>
      <x:c r="N3520" s="120" t="n">
        <x:v>46134.68891203704</x:v>
      </x:c>
      <x:c r="O3520" s="117" t="str">
        <x:v>Delegate</x:v>
      </x:c>
      <x:c r="P3520" s="120" t="n">
        <x:v>46134.689097222225</x:v>
      </x:c>
      <x:c r="Q3520" s="117" t="str">
        <x:v>Delegate</x:v>
      </x:c>
      <x:c r="R3520" s="117" t="str">
        <x:v>US FSL | On PO Number Update - Update Opportunity Customer PO #</x:v>
      </x:c>
      <x:c r="S3520" s="119" t="str">
        <x:v>04/22/2026 (BW) - Sets the PO Number on the Opportunity in a more declarative method</x:v>
      </x:c>
    </x:row>
    <x:row r="3521" ht="30" customHeight="1">
      <x:c r="A3521" s="117" t="str">
        <x:v>US_FSL_Picked_Up_By_Checkbox_to_denote_if_it_s_been_picked_up_by_operations</x:v>
      </x:c>
      <x:c r="B3521" s="117" t="str">
        <x:v>300Ro00000t0qWnIAI</x:v>
      </x:c>
      <x:c r="C3521" s="117" t="str">
        <x:v>301Ro000010mSmHIAU</x:v>
      </x:c>
      <x:c r="D3521" s="118" t="n">
        <x:v>1</x:v>
      </x:c>
      <x:c r="E3521" s="117" t="str">
        <x:v>Active</x:v>
      </x:c>
      <x:c r="F3521" s="117" t="str">
        <x:v>Yes</x:v>
      </x:c>
      <x:c r="G3521" s="117" t="str">
        <x:v>Yes</x:v>
      </x:c>
      <x:c r="H3521" s="117" t="str">
        <x:v>AutoLaunchedFlow</x:v>
      </x:c>
      <x:c r="I3521" s="118" t="n">
        <x:v>66</x:v>
      </x:c>
      <x:c r="J3521" s="117" t="str">
        <x:v>unmanaged</x:v>
      </x:c>
      <x:c r="K3521" s="123" t="b">
        <x:v>0</x:v>
      </x:c>
      <x:c r="L3521" s="117"/>
      <x:c r="M3521" s="118"/>
      <x:c r="N3521" s="120" t="n">
        <x:v>46098.61170138889</x:v>
      </x:c>
      <x:c r="O3521" s="117" t="str">
        <x:v>Delegate</x:v>
      </x:c>
      <x:c r="P3521" s="120" t="n">
        <x:v>46098.611759259256</x:v>
      </x:c>
      <x:c r="Q3521" s="117" t="str">
        <x:v>Delegate</x:v>
      </x:c>
      <x:c r="R3521" s="117" t="str">
        <x:v>US FSL | Picked Up By Checkbox to denote if it's been picked up by operations</x:v>
      </x:c>
      <x:c r="S3521" s="119" t="str">
        <x:v>03/17/2026 (BW) - Updating the picked up by ID when the user selects the picked up checkbox</x:v>
      </x:c>
    </x:row>
    <x:row r="3522" ht="30" customHeight="1">
      <x:c r="A3522" s="117" t="str">
        <x:v>US_FSL_RMA_Date_Repair_Evaluation_Sent</x:v>
      </x:c>
      <x:c r="B3522" s="117" t="str">
        <x:v>300Ro00000wCQdIIAW</x:v>
      </x:c>
      <x:c r="C3522" s="117" t="str">
        <x:v>301Ro000014GJtcIAG</x:v>
      </x:c>
      <x:c r="D3522" s="118" t="n">
        <x:v>1</x:v>
      </x:c>
      <x:c r="E3522" s="117" t="str">
        <x:v>Active</x:v>
      </x:c>
      <x:c r="F3522" s="117" t="str">
        <x:v>Yes</x:v>
      </x:c>
      <x:c r="G3522" s="117" t="str">
        <x:v>Yes</x:v>
      </x:c>
      <x:c r="H3522" s="117" t="str">
        <x:v>AutoLaunchedFlow</x:v>
      </x:c>
      <x:c r="I3522" s="118" t="n">
        <x:v>65</x:v>
      </x:c>
      <x:c r="J3522" s="117" t="str">
        <x:v>unmanaged</x:v>
      </x:c>
      <x:c r="K3522" s="123" t="b">
        <x:v>0</x:v>
      </x:c>
      <x:c r="L3522" s="117"/>
      <x:c r="M3522" s="118"/>
      <x:c r="N3522" s="120" t="n">
        <x:v>46140.497465277775</x:v>
      </x:c>
      <x:c r="O3522" s="117" t="str">
        <x:v>Delegate</x:v>
      </x:c>
      <x:c r="P3522" s="120" t="n">
        <x:v>46140.500625</x:v>
      </x:c>
      <x:c r="Q3522" s="117" t="str">
        <x:v>Delegate</x:v>
      </x:c>
      <x:c r="R3522" s="117" t="str">
        <x:v>US FSL RMA | Date Repair Evaluation Sent marks as "Quote Attached" on the work order</x:v>
      </x:c>
      <x:c r="S3522" s="119" t="str">
        <x:v>04/28/206 (BW) - Setting the "Date Repair Evaluation Sent" marks the work order as "Quote Attached"</x:v>
      </x:c>
    </x:row>
    <x:row r="3523" ht="30" customHeight="1">
      <x:c r="A3523" s="117" t="str">
        <x:v>US_FSL_RMA_On_Marking_Cannot_Repair_Update_Work_Order_to_Cannot_Repair</x:v>
      </x:c>
      <x:c r="B3523" s="117" t="str">
        <x:v>300Ro00000pqRhvIAE</x:v>
      </x:c>
      <x:c r="C3523" s="117" t="str">
        <x:v>301Ro00000xMUTjIAO</x:v>
      </x:c>
      <x:c r="D3523" s="118" t="n">
        <x:v>1</x:v>
      </x:c>
      <x:c r="E3523" s="117" t="str">
        <x:v>Obsolete</x:v>
      </x:c>
      <x:c r="F3523" s="117" t="str">
        <x:v>No</x:v>
      </x:c>
      <x:c r="G3523" s="117" t="str">
        <x:v>Yes</x:v>
      </x:c>
      <x:c r="H3523" s="117" t="str">
        <x:v>AutoLaunchedFlow</x:v>
      </x:c>
      <x:c r="I3523" s="118" t="n">
        <x:v>65</x:v>
      </x:c>
      <x:c r="J3523" s="117" t="str">
        <x:v>unmanaged</x:v>
      </x:c>
      <x:c r="K3523" s="123" t="b">
        <x:v>0</x:v>
      </x:c>
      <x:c r="L3523" s="117"/>
      <x:c r="M3523" s="118"/>
      <x:c r="N3523" s="120" t="n">
        <x:v>46056.730416666665</x:v>
      </x:c>
      <x:c r="O3523" s="117" t="str">
        <x:v>Delegate</x:v>
      </x:c>
      <x:c r="P3523" s="120" t="n">
        <x:v>46091.78114583333</x:v>
      </x:c>
      <x:c r="Q3523" s="117" t="str">
        <x:v>Delegate</x:v>
      </x:c>
      <x:c r="R3523" s="117" t="str">
        <x:v>US FSL RMA | On Marking Cannot Repair, Update Work Order to Cannot Repair</x:v>
      </x:c>
      <x:c r="S3523" s="119" t="str">
        <x:v>02/03/2026 (BW) - Updates the work order to cannot repair when the RMA is stated that a repair cannot be completed</x:v>
      </x:c>
    </x:row>
    <x:row r="3524" ht="30" customHeight="1">
      <x:c r="A3524" s="117" t="str">
        <x:v>US_FSL_RMA_On_Probe_Check_In_for_Repair_Set_Date_Checked_In_on_Work_Order</x:v>
      </x:c>
      <x:c r="B3524" s="117" t="str">
        <x:v>300Ro00000rCttRIAS</x:v>
      </x:c>
      <x:c r="C3524" s="117" t="str">
        <x:v>301Ro00000yoLd1IAE</x:v>
      </x:c>
      <x:c r="D3524" s="118" t="n">
        <x:v>1</x:v>
      </x:c>
      <x:c r="E3524" s="117" t="str">
        <x:v>Obsolete</x:v>
      </x:c>
      <x:c r="F3524" s="117" t="str">
        <x:v>No</x:v>
      </x:c>
      <x:c r="G3524" s="117" t="str">
        <x:v>No</x:v>
      </x:c>
      <x:c r="H3524" s="117" t="str">
        <x:v>AutoLaunchedFlow</x:v>
      </x:c>
      <x:c r="I3524" s="118" t="n">
        <x:v>65</x:v>
      </x:c>
      <x:c r="J3524" s="117" t="str">
        <x:v>unmanaged</x:v>
      </x:c>
      <x:c r="K3524" s="123" t="b">
        <x:v>0</x:v>
      </x:c>
      <x:c r="L3524" s="117"/>
      <x:c r="M3524" s="118"/>
      <x:c r="N3524" s="120" t="n">
        <x:v>46073.56648148148</x:v>
      </x:c>
      <x:c r="O3524" s="117" t="str">
        <x:v>Delegate</x:v>
      </x:c>
      <x:c r="P3524" s="120" t="n">
        <x:v>46073.56690972222</x:v>
      </x:c>
      <x:c r="Q3524" s="117" t="str">
        <x:v>Delegate</x:v>
      </x:c>
      <x:c r="R3524" s="117" t="str">
        <x:v>US FSL RMA | On Probe Check-In for Repair, Set Date Checked-In on Work Order</x:v>
      </x:c>
      <x:c r="S3524" s="119" t="str">
        <x:v>02/20/2026 (BW) - Sets the date on the work order that the probe has been checked-in for repair</x:v>
      </x:c>
    </x:row>
    <x:row r="3525" ht="30" customHeight="1">
      <x:c r="A3525" s="117" t="str">
        <x:v>US_FSL_RMA_On_Probe_Check_In_for_Repair_Set_Date_Checked_In_on_Work_Order</x:v>
      </x:c>
      <x:c r="B3525" s="117" t="str">
        <x:v>300Ro00000rCttRIAS</x:v>
      </x:c>
      <x:c r="C3525" s="117" t="str">
        <x:v>301Ro000010OgyVIAS</x:v>
      </x:c>
      <x:c r="D3525" s="118" t="n">
        <x:v>2</x:v>
      </x:c>
      <x:c r="E3525" s="117" t="str">
        <x:v>Obsolete</x:v>
      </x:c>
      <x:c r="F3525" s="117" t="str">
        <x:v>No</x:v>
      </x:c>
      <x:c r="G3525" s="117" t="str">
        <x:v>No</x:v>
      </x:c>
      <x:c r="H3525" s="117" t="str">
        <x:v>AutoLaunchedFlow</x:v>
      </x:c>
      <x:c r="I3525" s="118" t="n">
        <x:v>65</x:v>
      </x:c>
      <x:c r="J3525" s="117" t="str">
        <x:v>unmanaged</x:v>
      </x:c>
      <x:c r="K3525" s="123" t="b">
        <x:v>0</x:v>
      </x:c>
      <x:c r="L3525" s="117"/>
      <x:c r="M3525" s="118"/>
      <x:c r="N3525" s="120" t="n">
        <x:v>46093.52710648148</x:v>
      </x:c>
      <x:c r="O3525" s="117" t="str">
        <x:v>Delegate</x:v>
      </x:c>
      <x:c r="P3525" s="120" t="n">
        <x:v>46093.52716435185</x:v>
      </x:c>
      <x:c r="Q3525" s="117" t="str">
        <x:v>Delegate</x:v>
      </x:c>
      <x:c r="R3525" s="117" t="str">
        <x:v>US FSL RMA | On Probe Check-In for Repair, Set Date Checked-In on Work Order</x:v>
      </x:c>
      <x:c r="S3525" s="119" t="str">
        <x:v>02/20/2026 (BW) - Sets the date on the work order that the probe has been checked-in for repair</x:v>
      </x:c>
    </x:row>
    <x:row r="3526" ht="30" customHeight="1">
      <x:c r="A3526" s="117" t="str">
        <x:v>US_FSL_RMA_On_Probe_Check_In_for_Repair_Set_Date_Checked_In_on_Work_Order</x:v>
      </x:c>
      <x:c r="B3526" s="117" t="str">
        <x:v>300Ro00000rCttRIAS</x:v>
      </x:c>
      <x:c r="C3526" s="117" t="str">
        <x:v>301Ro000012BmviIAC</x:v>
      </x:c>
      <x:c r="D3526" s="118" t="n">
        <x:v>3</x:v>
      </x:c>
      <x:c r="E3526" s="117" t="str">
        <x:v>Active</x:v>
      </x:c>
      <x:c r="F3526" s="117" t="str">
        <x:v>Yes</x:v>
      </x:c>
      <x:c r="G3526" s="117" t="str">
        <x:v>Yes</x:v>
      </x:c>
      <x:c r="H3526" s="117" t="str">
        <x:v>AutoLaunchedFlow</x:v>
      </x:c>
      <x:c r="I3526" s="118" t="n">
        <x:v>65</x:v>
      </x:c>
      <x:c r="J3526" s="117" t="str">
        <x:v>unmanaged</x:v>
      </x:c>
      <x:c r="K3526" s="123" t="b">
        <x:v>0</x:v>
      </x:c>
      <x:c r="L3526" s="117"/>
      <x:c r="M3526" s="118"/>
      <x:c r="N3526" s="120" t="n">
        <x:v>46114.65403935185</x:v>
      </x:c>
      <x:c r="O3526" s="117" t="str">
        <x:v>Delegate</x:v>
      </x:c>
      <x:c r="P3526" s="120" t="n">
        <x:v>46114.654131944444</x:v>
      </x:c>
      <x:c r="Q3526" s="117" t="str">
        <x:v>Delegate</x:v>
      </x:c>
      <x:c r="R3526" s="117" t="str">
        <x:v>US FSL RMA | On Probe Check-In for Repair, Set Date Checked-In on Work Order</x:v>
      </x:c>
      <x:c r="S3526" s="119" t="str">
        <x:v>04/02/2026 (BW) - Updates to allow for Warranty Repair with Customer Expectation of Returning to change the Work Order to "In Progress" when the probe is received</x:v>
      </x:c>
    </x:row>
    <x:row r="3527" ht="30" customHeight="1">
      <x:c r="A3527" s="117" t="str">
        <x:v>US_FSL_Site_Address_Populated_but_Not_Shipping_Address</x:v>
      </x:c>
      <x:c r="B3527" s="117" t="str">
        <x:v>300Ro00000yVe3VIAS</x:v>
      </x:c>
      <x:c r="C3527" s="117" t="str">
        <x:v>301Ro000016nS5hIAE</x:v>
      </x:c>
      <x:c r="D3527" s="118" t="n">
        <x:v>1</x:v>
      </x:c>
      <x:c r="E3527" s="117" t="str">
        <x:v>Obsolete</x:v>
      </x:c>
      <x:c r="F3527" s="117" t="str">
        <x:v>No</x:v>
      </x:c>
      <x:c r="G3527" s="117" t="str">
        <x:v>No</x:v>
      </x:c>
      <x:c r="H3527" s="117" t="str">
        <x:v>AutoLaunchedFlow</x:v>
      </x:c>
      <x:c r="I3527" s="118" t="n">
        <x:v>65</x:v>
      </x:c>
      <x:c r="J3527" s="117" t="str">
        <x:v>unmanaged</x:v>
      </x:c>
      <x:c r="K3527" s="123" t="b">
        <x:v>0</x:v>
      </x:c>
      <x:c r="L3527" s="117"/>
      <x:c r="M3527" s="118"/>
      <x:c r="N3527" s="120" t="n">
        <x:v>46169.51896990741</x:v>
      </x:c>
      <x:c r="O3527" s="117" t="str">
        <x:v>Delegate</x:v>
      </x:c>
      <x:c r="P3527" s="120" t="n">
        <x:v>46169.5190625</x:v>
      </x:c>
      <x:c r="Q3527" s="117" t="str">
        <x:v>Delegate</x:v>
      </x:c>
      <x:c r="R3527" s="117" t="str">
        <x:v>US FSL | Site Address Populated but Not Shipping Address</x:v>
      </x:c>
      <x:c r="S3527" s="119" t="str">
        <x:v>05/27/2026 (BW) - Separating out a flow that is erroring</x:v>
      </x:c>
    </x:row>
    <x:row r="3528" ht="30" customHeight="1">
      <x:c r="A3528" s="117" t="str">
        <x:v>US_FSL_Site_Address_Populated_but_Not_Shipping_Address</x:v>
      </x:c>
      <x:c r="B3528" s="117" t="str">
        <x:v>300Ro00000yVe3VIAS</x:v>
      </x:c>
      <x:c r="C3528" s="117" t="str">
        <x:v>301Ro000016o8L1IAI</x:v>
      </x:c>
      <x:c r="D3528" s="118" t="n">
        <x:v>2</x:v>
      </x:c>
      <x:c r="E3528" s="117" t="str">
        <x:v>Obsolete</x:v>
      </x:c>
      <x:c r="F3528" s="117" t="str">
        <x:v>No</x:v>
      </x:c>
      <x:c r="G3528" s="117" t="str">
        <x:v>No</x:v>
      </x:c>
      <x:c r="H3528" s="117" t="str">
        <x:v>AutoLaunchedFlow</x:v>
      </x:c>
      <x:c r="I3528" s="118" t="n">
        <x:v>65</x:v>
      </x:c>
      <x:c r="J3528" s="117" t="str">
        <x:v>unmanaged</x:v>
      </x:c>
      <x:c r="K3528" s="123" t="b">
        <x:v>0</x:v>
      </x:c>
      <x:c r="L3528" s="117"/>
      <x:c r="M3528" s="118"/>
      <x:c r="N3528" s="120" t="n">
        <x:v>46169.51924768519</x:v>
      </x:c>
      <x:c r="O3528" s="117" t="str">
        <x:v>Delegate</x:v>
      </x:c>
      <x:c r="P3528" s="120" t="n">
        <x:v>46169.51930555556</x:v>
      </x:c>
      <x:c r="Q3528" s="117" t="str">
        <x:v>Delegate</x:v>
      </x:c>
      <x:c r="R3528" s="117" t="str">
        <x:v>US FSL | Site Address Populated but Not Shipping Address</x:v>
      </x:c>
      <x:c r="S3528" s="119" t="str">
        <x:v>05/27/2026 (BW) - Separating out a flow that is erroring</x:v>
      </x:c>
    </x:row>
    <x:row r="3529" ht="30" customHeight="1">
      <x:c r="A3529" s="117" t="str">
        <x:v>US_FSL_Site_Address_Populated_but_Not_Shipping_Address</x:v>
      </x:c>
      <x:c r="B3529" s="117" t="str">
        <x:v>300Ro00000yVe3VIAS</x:v>
      </x:c>
      <x:c r="C3529" s="117" t="str">
        <x:v>301Ro000016pM2XIAU</x:v>
      </x:c>
      <x:c r="D3529" s="118" t="n">
        <x:v>3</x:v>
      </x:c>
      <x:c r="E3529" s="117" t="str">
        <x:v>Active</x:v>
      </x:c>
      <x:c r="F3529" s="117" t="str">
        <x:v>Yes</x:v>
      </x:c>
      <x:c r="G3529" s="117" t="str">
        <x:v>Yes</x:v>
      </x:c>
      <x:c r="H3529" s="117" t="str">
        <x:v>AutoLaunchedFlow</x:v>
      </x:c>
      <x:c r="I3529" s="118" t="n">
        <x:v>65</x:v>
      </x:c>
      <x:c r="J3529" s="117" t="str">
        <x:v>unmanaged</x:v>
      </x:c>
      <x:c r="K3529" s="123" t="b">
        <x:v>0</x:v>
      </x:c>
      <x:c r="L3529" s="117"/>
      <x:c r="M3529" s="118"/>
      <x:c r="N3529" s="120" t="n">
        <x:v>46169.62449074074</x:v>
      </x:c>
      <x:c r="O3529" s="117" t="str">
        <x:v>Delegate</x:v>
      </x:c>
      <x:c r="P3529" s="120" t="n">
        <x:v>46169.63171296296</x:v>
      </x:c>
      <x:c r="Q3529" s="117" t="str">
        <x:v>Delegate</x:v>
      </x:c>
      <x:c r="R3529" s="117" t="str">
        <x:v>US FSL | Site Address Populated but Not Shipping Address</x:v>
      </x:c>
      <x:c r="S3529" s="119" t="str">
        <x:v>05/27/2026 (BW) - Separating out a flow that is erroring</x:v>
      </x:c>
    </x:row>
    <x:row r="3530" ht="30" customHeight="1">
      <x:c r="A3530" s="117" t="str">
        <x:v>US_FSL_Trigger_Generate_Checksheet_HTML</x:v>
      </x:c>
      <x:c r="B3530" s="117" t="str">
        <x:v>300Ro00000r7jgEIAQ</x:v>
      </x:c>
      <x:c r="C3530" s="117" t="str">
        <x:v>301Ro00000yuOmnIAE</x:v>
      </x:c>
      <x:c r="D3530" s="118" t="n">
        <x:v>1</x:v>
      </x:c>
      <x:c r="E3530" s="117" t="str">
        <x:v>Obsolete</x:v>
      </x:c>
      <x:c r="F3530" s="117" t="str">
        <x:v>No</x:v>
      </x:c>
      <x:c r="G3530" s="117" t="str">
        <x:v>No</x:v>
      </x:c>
      <x:c r="H3530" s="117" t="str">
        <x:v>AutoLaunchedFlow</x:v>
      </x:c>
      <x:c r="I3530" s="118" t="n">
        <x:v>65</x:v>
      </x:c>
      <x:c r="J3530" s="117" t="str">
        <x:v>unmanaged</x:v>
      </x:c>
      <x:c r="K3530" s="123" t="b">
        <x:v>0</x:v>
      </x:c>
      <x:c r="L3530" s="117"/>
      <x:c r="M3530" s="118"/>
      <x:c r="N3530" s="120" t="n">
        <x:v>46074.65892361111</x:v>
      </x:c>
      <x:c r="O3530" s="117" t="str">
        <x:v>Delegate</x:v>
      </x:c>
      <x:c r="P3530" s="120" t="n">
        <x:v>46078.82072916667</x:v>
      </x:c>
      <x:c r="Q3530" s="117" t="str">
        <x:v>Delegate</x:v>
      </x:c>
      <x:c r="R3530" s="117" t="str">
        <x:v>US FSL - Trigger - Generate Checksheet HTML</x:v>
      </x:c>
      <x:c r="S3530" s="119" t="str">
        <x:v>02/19/2026 - KL - Moving this portion to standard salesforce to alleviate run time issue with FSL Mobile</x:v>
      </x:c>
    </x:row>
    <x:row r="3531" ht="30" customHeight="1">
      <x:c r="A3531" s="117" t="str">
        <x:v>US_FSL_Trigger_Generate_Checksheet_HTML</x:v>
      </x:c>
      <x:c r="B3531" s="117" t="str">
        <x:v>300Ro00000r7jgEIAQ</x:v>
      </x:c>
      <x:c r="C3531" s="117" t="str">
        <x:v>301Ro00000zDWa7IAG</x:v>
      </x:c>
      <x:c r="D3531" s="118" t="n">
        <x:v>2</x:v>
      </x:c>
      <x:c r="E3531" s="117" t="str">
        <x:v>Obsolete</x:v>
      </x:c>
      <x:c r="F3531" s="117" t="str">
        <x:v>No</x:v>
      </x:c>
      <x:c r="G3531" s="117" t="str">
        <x:v>No</x:v>
      </x:c>
      <x:c r="H3531" s="117" t="str">
        <x:v>AutoLaunchedFlow</x:v>
      </x:c>
      <x:c r="I3531" s="118" t="n">
        <x:v>65</x:v>
      </x:c>
      <x:c r="J3531" s="117" t="str">
        <x:v>unmanaged</x:v>
      </x:c>
      <x:c r="K3531" s="123" t="b">
        <x:v>0</x:v>
      </x:c>
      <x:c r="L3531" s="117"/>
      <x:c r="M3531" s="118"/>
      <x:c r="N3531" s="120" t="n">
        <x:v>46078.83170138889</x:v>
      </x:c>
      <x:c r="O3531" s="117" t="str">
        <x:v>Delegate</x:v>
      </x:c>
      <x:c r="P3531" s="120" t="n">
        <x:v>46078.83244212963</x:v>
      </x:c>
      <x:c r="Q3531" s="117" t="str">
        <x:v>Delegate</x:v>
      </x:c>
      <x:c r="R3531" s="117" t="str">
        <x:v>US FSL - Trigger - Generate Checksheet HTML</x:v>
      </x:c>
      <x:c r="S3531" s="119" t="str">
        <x:v>02/19/2026 - KL - Moving this portion to standard salesforce to alleviate run time issue with FSL Mobile</x:v>
      </x:c>
    </x:row>
    <x:row r="3532" ht="30" customHeight="1">
      <x:c r="A3532" s="117" t="str">
        <x:v>US_FSL_Trigger_Generate_Checksheet_HTML</x:v>
      </x:c>
      <x:c r="B3532" s="117" t="str">
        <x:v>300Ro00000r7jgEIAQ</x:v>
      </x:c>
      <x:c r="C3532" s="117" t="str">
        <x:v>301Ro00000zDrzTIAS</x:v>
      </x:c>
      <x:c r="D3532" s="118" t="n">
        <x:v>3</x:v>
      </x:c>
      <x:c r="E3532" s="117" t="str">
        <x:v>Obsolete</x:v>
      </x:c>
      <x:c r="F3532" s="117" t="str">
        <x:v>No</x:v>
      </x:c>
      <x:c r="G3532" s="117" t="str">
        <x:v>No</x:v>
      </x:c>
      <x:c r="H3532" s="117" t="str">
        <x:v>AutoLaunchedFlow</x:v>
      </x:c>
      <x:c r="I3532" s="118" t="n">
        <x:v>65</x:v>
      </x:c>
      <x:c r="J3532" s="117" t="str">
        <x:v>unmanaged</x:v>
      </x:c>
      <x:c r="K3532" s="123" t="b">
        <x:v>0</x:v>
      </x:c>
      <x:c r="L3532" s="117"/>
      <x:c r="M3532" s="118"/>
      <x:c r="N3532" s="120" t="n">
        <x:v>46078.83387731481</x:v>
      </x:c>
      <x:c r="O3532" s="117" t="str">
        <x:v>Delegate</x:v>
      </x:c>
      <x:c r="P3532" s="120" t="n">
        <x:v>46078.83555555555</x:v>
      </x:c>
      <x:c r="Q3532" s="117" t="str">
        <x:v>Delegate</x:v>
      </x:c>
      <x:c r="R3532" s="117" t="str">
        <x:v>US FSL - Trigger - Generate Checksheet HTML</x:v>
      </x:c>
      <x:c r="S3532" s="119" t="str">
        <x:v>02/19/2026 - KL - Moving this portion to standard salesforce to alleviate run time issue with FSL Mobile</x:v>
      </x:c>
    </x:row>
    <x:row r="3533" ht="30" customHeight="1">
      <x:c r="A3533" s="117" t="str">
        <x:v>US_FSL_Trigger_Generate_Checksheet_HTML</x:v>
      </x:c>
      <x:c r="B3533" s="117" t="str">
        <x:v>300Ro00000r7jgEIAQ</x:v>
      </x:c>
      <x:c r="C3533" s="117" t="str">
        <x:v>301Ro00000zYvLjIAK</x:v>
      </x:c>
      <x:c r="D3533" s="118" t="n">
        <x:v>4</x:v>
      </x:c>
      <x:c r="E3533" s="117" t="str">
        <x:v>Obsolete</x:v>
      </x:c>
      <x:c r="F3533" s="117" t="str">
        <x:v>No</x:v>
      </x:c>
      <x:c r="G3533" s="117" t="str">
        <x:v>No</x:v>
      </x:c>
      <x:c r="H3533" s="117" t="str">
        <x:v>AutoLaunchedFlow</x:v>
      </x:c>
      <x:c r="I3533" s="118" t="n">
        <x:v>65</x:v>
      </x:c>
      <x:c r="J3533" s="117" t="str">
        <x:v>unmanaged</x:v>
      </x:c>
      <x:c r="K3533" s="123" t="b">
        <x:v>0</x:v>
      </x:c>
      <x:c r="L3533" s="117"/>
      <x:c r="M3533" s="118"/>
      <x:c r="N3533" s="120" t="n">
        <x:v>46083.57482638889</x:v>
      </x:c>
      <x:c r="O3533" s="117" t="str">
        <x:v>Delegate</x:v>
      </x:c>
      <x:c r="P3533" s="120" t="n">
        <x:v>46083.57502314815</x:v>
      </x:c>
      <x:c r="Q3533" s="117" t="str">
        <x:v>Delegate</x:v>
      </x:c>
      <x:c r="R3533" s="117" t="str">
        <x:v>US FSL - Trigger - Generate Checksheet HTML</x:v>
      </x:c>
      <x:c r="S3533" s="119" t="str">
        <x:v>02/19/2026 - KL - Moving this portion to standard salesforce to alleviate run time issue with FSL Mobile</x:v>
      </x:c>
    </x:row>
    <x:row r="3534" ht="30" customHeight="1">
      <x:c r="A3534" s="117" t="str">
        <x:v>US_FSL_Trigger_Generate_Checksheet_HTML</x:v>
      </x:c>
      <x:c r="B3534" s="117" t="str">
        <x:v>300Ro00000r7jgEIAQ</x:v>
      </x:c>
      <x:c r="C3534" s="117" t="str">
        <x:v>301Ro000011FF7LIAW</x:v>
      </x:c>
      <x:c r="D3534" s="118" t="n">
        <x:v>5</x:v>
      </x:c>
      <x:c r="E3534" s="117" t="str">
        <x:v>Obsolete</x:v>
      </x:c>
      <x:c r="F3534" s="117" t="str">
        <x:v>No</x:v>
      </x:c>
      <x:c r="G3534" s="117" t="str">
        <x:v>No</x:v>
      </x:c>
      <x:c r="H3534" s="117" t="str">
        <x:v>AutoLaunchedFlow</x:v>
      </x:c>
      <x:c r="I3534" s="118" t="n">
        <x:v>65</x:v>
      </x:c>
      <x:c r="J3534" s="117" t="str">
        <x:v>unmanaged</x:v>
      </x:c>
      <x:c r="K3534" s="123" t="b">
        <x:v>0</x:v>
      </x:c>
      <x:c r="L3534" s="117"/>
      <x:c r="M3534" s="118"/>
      <x:c r="N3534" s="120" t="n">
        <x:v>46104.69577546296</x:v>
      </x:c>
      <x:c r="O3534" s="117" t="str">
        <x:v>Delegate</x:v>
      </x:c>
      <x:c r="P3534" s="120" t="n">
        <x:v>46104.71733796296</x:v>
      </x:c>
      <x:c r="Q3534" s="117" t="str">
        <x:v>Delegate</x:v>
      </x:c>
      <x:c r="R3534" s="117" t="str">
        <x:v>US FSL - Trigger - Generate Checksheet HTML</x:v>
      </x:c>
      <x:c r="S3534" s="119" t="str">
        <x:v>03/23/2026 (BW) - Adding a node to have the output checklist also update the Work Order for the FSL Template</x:v>
      </x:c>
    </x:row>
    <x:row r="3535" ht="30" customHeight="1">
      <x:c r="A3535" s="117" t="str">
        <x:v>US_FSL_Trigger_Generate_Checksheet_HTML</x:v>
      </x:c>
      <x:c r="B3535" s="117" t="str">
        <x:v>300Ro00000r7jgEIAQ</x:v>
      </x:c>
      <x:c r="C3535" s="117" t="str">
        <x:v>301Ro000012gyHWIAY</x:v>
      </x:c>
      <x:c r="D3535" s="118" t="n">
        <x:v>6</x:v>
      </x:c>
      <x:c r="E3535" s="117" t="str">
        <x:v>Obsolete</x:v>
      </x:c>
      <x:c r="F3535" s="117" t="str">
        <x:v>No</x:v>
      </x:c>
      <x:c r="G3535" s="117" t="str">
        <x:v>No</x:v>
      </x:c>
      <x:c r="H3535" s="117" t="str">
        <x:v>AutoLaunchedFlow</x:v>
      </x:c>
      <x:c r="I3535" s="118" t="n">
        <x:v>65</x:v>
      </x:c>
      <x:c r="J3535" s="117" t="str">
        <x:v>unmanaged</x:v>
      </x:c>
      <x:c r="K3535" s="123" t="b">
        <x:v>0</x:v>
      </x:c>
      <x:c r="L3535" s="117"/>
      <x:c r="M3535" s="118"/>
      <x:c r="N3535" s="120" t="n">
        <x:v>46120.93236111111</x:v>
      </x:c>
      <x:c r="O3535" s="117" t="str">
        <x:v>Mindy Bender</x:v>
      </x:c>
      <x:c r="P3535" s="120" t="n">
        <x:v>46120.93481481481</x:v>
      </x:c>
      <x:c r="Q3535" s="117" t="str">
        <x:v>Mindy Bender</x:v>
      </x:c>
      <x:c r="R3535" s="117" t="str">
        <x:v>US FSL - Trigger - Generate Checksheet HTML</x:v>
      </x:c>
      <x:c r="S3535" s="119" t="str">
        <x:v>03/23/2026 (BW) - Adding a node to have the output checklist also update the Work Order for the FSL Template
04/08/2026 - MPB - Adding Trophon PM flow</x:v>
      </x:c>
    </x:row>
    <x:row r="3536" ht="30" customHeight="1">
      <x:c r="A3536" s="117" t="str">
        <x:v>US_FSL_Trigger_Generate_Checksheet_HTML</x:v>
      </x:c>
      <x:c r="B3536" s="117" t="str">
        <x:v>300Ro00000r7jgEIAQ</x:v>
      </x:c>
      <x:c r="C3536" s="117" t="str">
        <x:v>301Ro000012hMgOIAU</x:v>
      </x:c>
      <x:c r="D3536" s="118" t="n">
        <x:v>7</x:v>
      </x:c>
      <x:c r="E3536" s="117" t="str">
        <x:v>Obsolete</x:v>
      </x:c>
      <x:c r="F3536" s="117" t="str">
        <x:v>No</x:v>
      </x:c>
      <x:c r="G3536" s="117" t="str">
        <x:v>No</x:v>
      </x:c>
      <x:c r="H3536" s="117" t="str">
        <x:v>AutoLaunchedFlow</x:v>
      </x:c>
      <x:c r="I3536" s="118" t="n">
        <x:v>65</x:v>
      </x:c>
      <x:c r="J3536" s="117" t="str">
        <x:v>unmanaged</x:v>
      </x:c>
      <x:c r="K3536" s="123" t="b">
        <x:v>0</x:v>
      </x:c>
      <x:c r="L3536" s="117"/>
      <x:c r="M3536" s="118"/>
      <x:c r="N3536" s="120" t="n">
        <x:v>46120.99490740741</x:v>
      </x:c>
      <x:c r="O3536" s="117" t="str">
        <x:v>Mindy Bender</x:v>
      </x:c>
      <x:c r="P3536" s="120" t="n">
        <x:v>46120.99501157407</x:v>
      </x:c>
      <x:c r="Q3536" s="117" t="str">
        <x:v>Mindy Bender</x:v>
      </x:c>
      <x:c r="R3536" s="117" t="str">
        <x:v>US FSL - Trigger - Generate Checksheet HTML</x:v>
      </x:c>
      <x:c r="S3536" s="119" t="str">
        <x:v>03/23/2026 (BW) - Adding a node to have the output checklist also update the Work Order for the FSL Template
04/08/2026 - MPB - Adding Trophon PM flow</x:v>
      </x:c>
    </x:row>
    <x:row r="3537" ht="30" customHeight="1">
      <x:c r="A3537" s="117" t="str">
        <x:v>US_FSL_Trigger_Generate_Checksheet_HTML</x:v>
      </x:c>
      <x:c r="B3537" s="117" t="str">
        <x:v>300Ro00000r7jgEIAQ</x:v>
      </x:c>
      <x:c r="C3537" s="117" t="str">
        <x:v>301Ro000012klgbIAA</x:v>
      </x:c>
      <x:c r="D3537" s="118" t="n">
        <x:v>8</x:v>
      </x:c>
      <x:c r="E3537" s="117" t="str">
        <x:v>Obsolete</x:v>
      </x:c>
      <x:c r="F3537" s="117" t="str">
        <x:v>No</x:v>
      </x:c>
      <x:c r="G3537" s="117" t="str">
        <x:v>No</x:v>
      </x:c>
      <x:c r="H3537" s="117" t="str">
        <x:v>AutoLaunchedFlow</x:v>
      </x:c>
      <x:c r="I3537" s="118" t="n">
        <x:v>65</x:v>
      </x:c>
      <x:c r="J3537" s="117" t="str">
        <x:v>unmanaged</x:v>
      </x:c>
      <x:c r="K3537" s="123" t="b">
        <x:v>0</x:v>
      </x:c>
      <x:c r="L3537" s="117"/>
      <x:c r="M3537" s="118"/>
      <x:c r="N3537" s="120" t="n">
        <x:v>46121.58859953703</x:v>
      </x:c>
      <x:c r="O3537" s="117" t="str">
        <x:v>Mindy Bender</x:v>
      </x:c>
      <x:c r="P3537" s="120" t="n">
        <x:v>46121.58994212963</x:v>
      </x:c>
      <x:c r="Q3537" s="117" t="str">
        <x:v>Mindy Bender</x:v>
      </x:c>
      <x:c r="R3537" s="117" t="str">
        <x:v>US FSL - Trigger - Generate Checksheet HTML</x:v>
      </x:c>
      <x:c r="S3537" s="119" t="str">
        <x:v>03/23/2026 (BW) - Adding a node to have the output checklist also update the Work Order for the FSL Template
04/08/2026 - MPB - Adding Trophon PM flow</x:v>
      </x:c>
    </x:row>
    <x:row r="3538" ht="30" customHeight="1">
      <x:c r="A3538" s="117" t="str">
        <x:v>US_FSL_Trigger_Generate_Checksheet_HTML</x:v>
      </x:c>
      <x:c r="B3538" s="117" t="str">
        <x:v>300Ro00000r7jgEIAQ</x:v>
      </x:c>
      <x:c r="C3538" s="117" t="str">
        <x:v>301Ro0000162FDaIAM</x:v>
      </x:c>
      <x:c r="D3538" s="118" t="n">
        <x:v>9</x:v>
      </x:c>
      <x:c r="E3538" s="117" t="str">
        <x:v>Active</x:v>
      </x:c>
      <x:c r="F3538" s="117" t="str">
        <x:v>Yes</x:v>
      </x:c>
      <x:c r="G3538" s="117" t="str">
        <x:v>Yes</x:v>
      </x:c>
      <x:c r="H3538" s="117" t="str">
        <x:v>AutoLaunchedFlow</x:v>
      </x:c>
      <x:c r="I3538" s="118" t="n">
        <x:v>65</x:v>
      </x:c>
      <x:c r="J3538" s="117" t="str">
        <x:v>unmanaged</x:v>
      </x:c>
      <x:c r="K3538" s="123" t="b">
        <x:v>0</x:v>
      </x:c>
      <x:c r="L3538" s="117"/>
      <x:c r="M3538" s="118"/>
      <x:c r="N3538" s="120" t="n">
        <x:v>46161.016863425924</x:v>
      </x:c>
      <x:c r="O3538" s="117" t="str">
        <x:v>Mindy Bender</x:v>
      </x:c>
      <x:c r="P3538" s="120" t="n">
        <x:v>46161.01712962963</x:v>
      </x:c>
      <x:c r="Q3538" s="117" t="str">
        <x:v>Mindy Bender</x:v>
      </x:c>
      <x:c r="R3538" s="117" t="str">
        <x:v>US FSL - Trigger - Generate Checksheet HTML</x:v>
      </x:c>
      <x:c r="S3538" s="119" t="str">
        <x:v>03/23/2026 (BW) - Adding a node to have the output checklist also update the Work Order for the FSL Template
04/08/2026 - MPB - Adding Trophon PM flow
05/18/2026 - MPB - Adding Trophon Comments to HTML</x:v>
      </x:c>
    </x:row>
    <x:row r="3539" ht="30" customHeight="1">
      <x:c r="A3539" s="117" t="str">
        <x:v>US_FSL_Trophon_Checklist</x:v>
      </x:c>
      <x:c r="B3539" s="117" t="str">
        <x:v>300Ro00000uYiHvIAK</x:v>
      </x:c>
      <x:c r="C3539" s="117" t="str">
        <x:v>301Ro000012eEu5IAE</x:v>
      </x:c>
      <x:c r="D3539" s="118" t="n">
        <x:v>1</x:v>
      </x:c>
      <x:c r="E3539" s="117" t="str">
        <x:v>Obsolete</x:v>
      </x:c>
      <x:c r="F3539" s="117" t="str">
        <x:v>No</x:v>
      </x:c>
      <x:c r="G3539" s="117" t="str">
        <x:v>No</x:v>
      </x:c>
      <x:c r="H3539" s="117" t="str">
        <x:v>FieldServiceMobile</x:v>
      </x:c>
      <x:c r="I3539" s="118"/>
      <x:c r="J3539" s="117" t="str">
        <x:v>unmanaged</x:v>
      </x:c>
      <x:c r="K3539" s="123" t="b">
        <x:v>0</x:v>
      </x:c>
      <x:c r="L3539" s="117"/>
      <x:c r="M3539" s="118"/>
      <x:c r="N3539" s="120" t="n">
        <x:v>46120.688206018516</x:v>
      </x:c>
      <x:c r="O3539" s="117" t="str">
        <x:v>Mindy Bender</x:v>
      </x:c>
      <x:c r="P3539" s="120" t="n">
        <x:v>46120.98259259259</x:v>
      </x:c>
      <x:c r="Q3539" s="117" t="str">
        <x:v>Mindy Bender</x:v>
      </x:c>
      <x:c r="R3539" s="117" t="str">
        <x:v>US FSL - Trophon Checklist</x:v>
      </x:c>
      <x:c r="S3539" s="119" t="str">
        <x:v>PM Report Checklist for Trophon Product</x:v>
      </x:c>
    </x:row>
    <x:row r="3540" ht="30" customHeight="1">
      <x:c r="A3540" s="117" t="str">
        <x:v>US_FSL_Trophon_Checklist</x:v>
      </x:c>
      <x:c r="B3540" s="117" t="str">
        <x:v>300Ro00000uYiHvIAK</x:v>
      </x:c>
      <x:c r="C3540" s="117" t="str">
        <x:v>301Ro000012tVuLIAU</x:v>
      </x:c>
      <x:c r="D3540" s="118" t="n">
        <x:v>2</x:v>
      </x:c>
      <x:c r="E3540" s="117" t="str">
        <x:v>Obsolete</x:v>
      </x:c>
      <x:c r="F3540" s="117" t="str">
        <x:v>No</x:v>
      </x:c>
      <x:c r="G3540" s="117" t="str">
        <x:v>No</x:v>
      </x:c>
      <x:c r="H3540" s="117" t="str">
        <x:v>FieldServiceMobile</x:v>
      </x:c>
      <x:c r="I3540" s="118"/>
      <x:c r="J3540" s="117" t="str">
        <x:v>unmanaged</x:v>
      </x:c>
      <x:c r="K3540" s="123" t="b">
        <x:v>0</x:v>
      </x:c>
      <x:c r="L3540" s="117"/>
      <x:c r="M3540" s="118"/>
      <x:c r="N3540" s="120" t="n">
        <x:v>46122.76186342593</x:v>
      </x:c>
      <x:c r="O3540" s="117" t="str">
        <x:v>Mindy Bender</x:v>
      </x:c>
      <x:c r="P3540" s="120" t="n">
        <x:v>46122.76262731481</x:v>
      </x:c>
      <x:c r="Q3540" s="117" t="str">
        <x:v>Mindy Bender</x:v>
      </x:c>
      <x:c r="R3540" s="117" t="str">
        <x:v>US FSL - Trophon Checklist</x:v>
      </x:c>
      <x:c r="S3540" s="119" t="str">
        <x:v>v1 - MPB - PM Report Checklist for Trophon Product
v2 - MPB - Added system serial number, software and customer ID to the prelim info</x:v>
      </x:c>
    </x:row>
    <x:row r="3541" ht="30" customHeight="1">
      <x:c r="A3541" s="117" t="str">
        <x:v>US_FSL_Trophon_Checklist</x:v>
      </x:c>
      <x:c r="B3541" s="117" t="str">
        <x:v>300Ro00000uYiHvIAK</x:v>
      </x:c>
      <x:c r="C3541" s="117" t="str">
        <x:v>301Ro000014Gl6eIAC</x:v>
      </x:c>
      <x:c r="D3541" s="118" t="n">
        <x:v>3</x:v>
      </x:c>
      <x:c r="E3541" s="117" t="str">
        <x:v>Obsolete</x:v>
      </x:c>
      <x:c r="F3541" s="117" t="str">
        <x:v>No</x:v>
      </x:c>
      <x:c r="G3541" s="117" t="str">
        <x:v>No</x:v>
      </x:c>
      <x:c r="H3541" s="117" t="str">
        <x:v>FieldServiceMobile</x:v>
      </x:c>
      <x:c r="I3541" s="118"/>
      <x:c r="J3541" s="117" t="str">
        <x:v>unmanaged</x:v>
      </x:c>
      <x:c r="K3541" s="123" t="b">
        <x:v>0</x:v>
      </x:c>
      <x:c r="L3541" s="117"/>
      <x:c r="M3541" s="118"/>
      <x:c r="N3541" s="120" t="n">
        <x:v>46140.60128472222</x:v>
      </x:c>
      <x:c r="O3541" s="117" t="str">
        <x:v>Mindy Bender</x:v>
      </x:c>
      <x:c r="P3541" s="120" t="n">
        <x:v>46140.60142361111</x:v>
      </x:c>
      <x:c r="Q3541" s="117" t="str">
        <x:v>Mindy Bender</x:v>
      </x:c>
      <x:c r="R3541" s="117" t="str">
        <x:v>US FSL - Trophon Checklist</x:v>
      </x:c>
      <x:c r="S3541" s="119" t="str">
        <x:v>v1 - MPB - PM Report Checklist for Trophon Product
v2 - MPB - Added system serial number, software and customer ID to the prelim info</x:v>
      </x:c>
    </x:row>
    <x:row r="3542" ht="30" customHeight="1">
      <x:c r="A3542" s="117" t="str">
        <x:v>US_FSL_Trophon_Checklist</x:v>
      </x:c>
      <x:c r="B3542" s="117" t="str">
        <x:v>300Ro00000uYiHvIAK</x:v>
      </x:c>
      <x:c r="C3542" s="117" t="str">
        <x:v>301Ro000014IPMxIAO</x:v>
      </x:c>
      <x:c r="D3542" s="118" t="n">
        <x:v>4</x:v>
      </x:c>
      <x:c r="E3542" s="117" t="str">
        <x:v>Obsolete</x:v>
      </x:c>
      <x:c r="F3542" s="117" t="str">
        <x:v>No</x:v>
      </x:c>
      <x:c r="G3542" s="117" t="str">
        <x:v>No</x:v>
      </x:c>
      <x:c r="H3542" s="117" t="str">
        <x:v>FieldServiceMobile</x:v>
      </x:c>
      <x:c r="I3542" s="118"/>
      <x:c r="J3542" s="117" t="str">
        <x:v>unmanaged</x:v>
      </x:c>
      <x:c r="K3542" s="123" t="b">
        <x:v>0</x:v>
      </x:c>
      <x:c r="L3542" s="117"/>
      <x:c r="M3542" s="118"/>
      <x:c r="N3542" s="120" t="n">
        <x:v>46140.758125</x:v>
      </x:c>
      <x:c r="O3542" s="117" t="str">
        <x:v>Delegate</x:v>
      </x:c>
      <x:c r="P3542" s="120" t="n">
        <x:v>46140.758622685185</x:v>
      </x:c>
      <x:c r="Q3542" s="117" t="str">
        <x:v>Delegate</x:v>
      </x:c>
      <x:c r="R3542" s="117" t="str">
        <x:v>US FSL - Trophon Checklist</x:v>
      </x:c>
      <x:c r="S3542" s="119" t="str">
        <x:v>04/28/2026 (BW) - Updating how the WO Id variable is set</x:v>
      </x:c>
    </x:row>
    <x:row r="3543" ht="30" customHeight="1">
      <x:c r="A3543" s="117" t="str">
        <x:v>US_FSL_Trophon_Checklist</x:v>
      </x:c>
      <x:c r="B3543" s="117" t="str">
        <x:v>300Ro00000uYiHvIAK</x:v>
      </x:c>
      <x:c r="C3543" s="117" t="str">
        <x:v>301Ro000018kH0oIAE</x:v>
      </x:c>
      <x:c r="D3543" s="118" t="n">
        <x:v>5</x:v>
      </x:c>
      <x:c r="E3543" s="117" t="str">
        <x:v>Obsolete</x:v>
      </x:c>
      <x:c r="F3543" s="117" t="str">
        <x:v>No</x:v>
      </x:c>
      <x:c r="G3543" s="117" t="str">
        <x:v>No</x:v>
      </x:c>
      <x:c r="H3543" s="117" t="str">
        <x:v>FieldServiceMobile</x:v>
      </x:c>
      <x:c r="I3543" s="118"/>
      <x:c r="J3543" s="117" t="str">
        <x:v>unmanaged</x:v>
      </x:c>
      <x:c r="K3543" s="123" t="b">
        <x:v>0</x:v>
      </x:c>
      <x:c r="L3543" s="117"/>
      <x:c r="M3543" s="118"/>
      <x:c r="N3543" s="120" t="n">
        <x:v>46190.0871412037</x:v>
      </x:c>
      <x:c r="O3543" s="117" t="str">
        <x:v>Mindy Bender</x:v>
      </x:c>
      <x:c r="P3543" s="120" t="n">
        <x:v>46190.08729166666</x:v>
      </x:c>
      <x:c r="Q3543" s="117" t="str">
        <x:v>Mindy Bender</x:v>
      </x:c>
      <x:c r="R3543" s="117" t="str">
        <x:v>US FSL - Trophon Checklist</x:v>
      </x:c>
      <x:c r="S3543" s="119" t="str">
        <x:v>06/16/2026 - MPB - Added three block fields to only show if account contains Block</x:v>
      </x:c>
    </x:row>
    <x:row r="3544" ht="30" customHeight="1">
      <x:c r="A3544" s="117" t="str">
        <x:v>US_FSL_Trophon_Checklist</x:v>
      </x:c>
      <x:c r="B3544" s="117" t="str">
        <x:v>300Ro00000uYiHvIAK</x:v>
      </x:c>
      <x:c r="C3544" s="117" t="str">
        <x:v>301Ro000018qlTzIAI</x:v>
      </x:c>
      <x:c r="D3544" s="118" t="n">
        <x:v>6</x:v>
      </x:c>
      <x:c r="E3544" s="117" t="str">
        <x:v>Obsolete</x:v>
      </x:c>
      <x:c r="F3544" s="117" t="str">
        <x:v>No</x:v>
      </x:c>
      <x:c r="G3544" s="117" t="str">
        <x:v>No</x:v>
      </x:c>
      <x:c r="H3544" s="117" t="str">
        <x:v>FieldServiceMobile</x:v>
      </x:c>
      <x:c r="I3544" s="118"/>
      <x:c r="J3544" s="117" t="str">
        <x:v>unmanaged</x:v>
      </x:c>
      <x:c r="K3544" s="123" t="b">
        <x:v>0</x:v>
      </x:c>
      <x:c r="L3544" s="117"/>
      <x:c r="M3544" s="118"/>
      <x:c r="N3544" s="120" t="n">
        <x:v>46190.99298611111</x:v>
      </x:c>
      <x:c r="O3544" s="117" t="str">
        <x:v>Mindy Bender</x:v>
      </x:c>
      <x:c r="P3544" s="120" t="n">
        <x:v>46190.99320601852</x:v>
      </x:c>
      <x:c r="Q3544" s="117" t="str">
        <x:v>Mindy Bender</x:v>
      </x:c>
      <x:c r="R3544" s="117" t="str">
        <x:v>US FSL - Trophon Checklist</x:v>
      </x:c>
      <x:c r="S3544" s="119" t="str">
        <x:v>06/16/2026 - MPB - Added three block fields to only show if account contains Block</x:v>
      </x:c>
    </x:row>
    <x:row r="3545" ht="30" customHeight="1">
      <x:c r="A3545" s="117" t="str">
        <x:v>US_FSL_Trophon_Checklist</x:v>
      </x:c>
      <x:c r="B3545" s="117" t="str">
        <x:v>300Ro00000uYiHvIAK</x:v>
      </x:c>
      <x:c r="C3545" s="117" t="str">
        <x:v>301Ro00001AvViNIAV</x:v>
      </x:c>
      <x:c r="D3545" s="118" t="n">
        <x:v>7</x:v>
      </x:c>
      <x:c r="E3545" s="117" t="str">
        <x:v>Obsolete</x:v>
      </x:c>
      <x:c r="F3545" s="117" t="str">
        <x:v>No</x:v>
      </x:c>
      <x:c r="G3545" s="117" t="str">
        <x:v>No</x:v>
      </x:c>
      <x:c r="H3545" s="117" t="str">
        <x:v>FieldServiceMobile</x:v>
      </x:c>
      <x:c r="I3545" s="118"/>
      <x:c r="J3545" s="117" t="str">
        <x:v>unmanaged</x:v>
      </x:c>
      <x:c r="K3545" s="123" t="b">
        <x:v>0</x:v>
      </x:c>
      <x:c r="L3545" s="117"/>
      <x:c r="M3545" s="118"/>
      <x:c r="N3545" s="120" t="n">
        <x:v>46213.65678240741</x:v>
      </x:c>
      <x:c r="O3545" s="117" t="str">
        <x:v>Mindy Bender</x:v>
      </x:c>
      <x:c r="P3545" s="120" t="n">
        <x:v>46213.65991898148</x:v>
      </x:c>
      <x:c r="Q3545" s="117" t="str">
        <x:v>Mindy Bender</x:v>
      </x:c>
      <x:c r="R3545" s="117" t="str">
        <x:v>US FSL - Trophon Checklist</x:v>
      </x:c>
      <x:c r="S3545" s="119" t="str">
        <x:v>07/10/2026 - MPB - Fixed Preliminary Trophon results to publish for Block customers</x:v>
      </x:c>
    </x:row>
    <x:row r="3546" ht="30" customHeight="1">
      <x:c r="A3546" s="117" t="str">
        <x:v>US_FSL_Trophon_Checklist</x:v>
      </x:c>
      <x:c r="B3546" s="117" t="str">
        <x:v>300Ro00000uYiHvIAK</x:v>
      </x:c>
      <x:c r="C3546" s="117" t="str">
        <x:v>301Ro00001C0HB8IAN</x:v>
      </x:c>
      <x:c r="D3546" s="118" t="n">
        <x:v>8</x:v>
      </x:c>
      <x:c r="E3546" s="117" t="str">
        <x:v>Active</x:v>
      </x:c>
      <x:c r="F3546" s="117" t="str">
        <x:v>Yes</x:v>
      </x:c>
      <x:c r="G3546" s="117" t="str">
        <x:v>Yes</x:v>
      </x:c>
      <x:c r="H3546" s="117" t="str">
        <x:v>FieldServiceMobile</x:v>
      </x:c>
      <x:c r="I3546" s="118"/>
      <x:c r="J3546" s="117" t="str">
        <x:v>unmanaged</x:v>
      </x:c>
      <x:c r="K3546" s="123" t="b">
        <x:v>0</x:v>
      </x:c>
      <x:c r="L3546" s="117"/>
      <x:c r="M3546" s="118"/>
      <x:c r="N3546" s="120" t="n">
        <x:v>46225.6583912037</x:v>
      </x:c>
      <x:c r="O3546" s="117" t="str">
        <x:v>Mindy Bender</x:v>
      </x:c>
      <x:c r="P3546" s="120" t="n">
        <x:v>46225.65892361111</x:v>
      </x:c>
      <x:c r="Q3546" s="117" t="str">
        <x:v>Mindy Bender</x:v>
      </x:c>
      <x:c r="R3546" s="117" t="str">
        <x:v>US FSL - Trophon Checklist</x:v>
      </x:c>
      <x:c r="S3546" s="119" t="str">
        <x:v>07/22/2026 - MPB - Fixing Prelim Record Id</x:v>
      </x:c>
    </x:row>
    <x:row r="3547" ht="30" customHeight="1">
      <x:c r="A3547" s="117" t="str">
        <x:v>US_FSL_Ultrasound_Checklist</x:v>
      </x:c>
      <x:c r="B3547" s="117" t="str">
        <x:v>300Ro00000noVpCIAU</x:v>
      </x:c>
      <x:c r="C3547" s="117" t="str">
        <x:v>301Ro00000xHO40IAG</x:v>
      </x:c>
      <x:c r="D3547" s="118" t="n">
        <x:v>8</x:v>
      </x:c>
      <x:c r="E3547" s="117" t="str">
        <x:v>Obsolete</x:v>
      </x:c>
      <x:c r="F3547" s="117" t="str">
        <x:v>No</x:v>
      </x:c>
      <x:c r="G3547" s="117" t="str">
        <x:v>No</x:v>
      </x:c>
      <x:c r="H3547" s="117" t="str">
        <x:v>FieldServiceMobile</x:v>
      </x:c>
      <x:c r="I3547" s="118"/>
      <x:c r="J3547" s="117" t="str">
        <x:v>unmanaged</x:v>
      </x:c>
      <x:c r="K3547" s="123" t="b">
        <x:v>0</x:v>
      </x:c>
      <x:c r="L3547" s="117"/>
      <x:c r="M3547" s="118"/>
      <x:c r="N3547" s="120" t="n">
        <x:v>46055.83021990741</x:v>
      </x:c>
      <x:c r="O3547" s="117" t="str">
        <x:v>Delegate</x:v>
      </x:c>
      <x:c r="P3547" s="120" t="n">
        <x:v>46055.83204861111</x:v>
      </x:c>
      <x:c r="Q3547" s="117" t="str">
        <x:v>Delegate</x:v>
      </x:c>
      <x:c r="R3547" s="117" t="str">
        <x:v>US FSL - Ultrasound Checklist</x:v>
      </x:c>
      <x:c r="S3547" s="119" t="str">
        <x:v>02/02/2026 - (KL) - V8 Implementing requests from Feb 27 Demo</x:v>
      </x:c>
    </x:row>
    <x:row r="3548" ht="30" customHeight="1">
      <x:c r="A3548" s="117" t="str">
        <x:v>US_FSL_Ultrasound_Checklist</x:v>
      </x:c>
      <x:c r="B3548" s="117" t="str">
        <x:v>300Ro00000noVpCIAU</x:v>
      </x:c>
      <x:c r="C3548" s="117" t="str">
        <x:v>301Ro00000yIR2UIAW</x:v>
      </x:c>
      <x:c r="D3548" s="118" t="n">
        <x:v>42</x:v>
      </x:c>
      <x:c r="E3548" s="117" t="str">
        <x:v>Obsolete</x:v>
      </x:c>
      <x:c r="F3548" s="117" t="str">
        <x:v>No</x:v>
      </x:c>
      <x:c r="G3548" s="117" t="str">
        <x:v>No</x:v>
      </x:c>
      <x:c r="H3548" s="117" t="str">
        <x:v>FieldServiceMobile</x:v>
      </x:c>
      <x:c r="I3548" s="118"/>
      <x:c r="J3548" s="117" t="str">
        <x:v>unmanaged</x:v>
      </x:c>
      <x:c r="K3548" s="123" t="b">
        <x:v>0</x:v>
      </x:c>
      <x:c r="L3548" s="117"/>
      <x:c r="M3548" s="118"/>
      <x:c r="N3548" s="120" t="n">
        <x:v>46066.85523148148</x:v>
      </x:c>
      <x:c r="O3548" s="117" t="str">
        <x:v>Delegate</x:v>
      </x:c>
      <x:c r="P3548" s="120" t="n">
        <x:v>46066.85612268518</x:v>
      </x:c>
      <x:c r="Q3548" s="117" t="str">
        <x:v>Delegate</x:v>
      </x:c>
      <x:c r="R3548" s="117" t="str">
        <x:v>US FSL - Ultrasound Checklist</x:v>
      </x:c>
      <x:c r="S3548" s="119" t="str">
        <x:v>02/13/2026 - (KL) - Testing updates for optimal FSL Mobile Usage</x:v>
      </x:c>
    </x:row>
    <x:row r="3549" ht="30" customHeight="1">
      <x:c r="A3549" s="117" t="str">
        <x:v>US_FSL_Ultrasound_Checklist</x:v>
      </x:c>
      <x:c r="B3549" s="117" t="str">
        <x:v>300Ro00000noVpCIAU</x:v>
      </x:c>
      <x:c r="C3549" s="117" t="str">
        <x:v>301Ro00000ySttVIAS</x:v>
      </x:c>
      <x:c r="D3549" s="118" t="n">
        <x:v>43</x:v>
      </x:c>
      <x:c r="E3549" s="117" t="str">
        <x:v>Obsolete</x:v>
      </x:c>
      <x:c r="F3549" s="117" t="str">
        <x:v>No</x:v>
      </x:c>
      <x:c r="G3549" s="117" t="str">
        <x:v>No</x:v>
      </x:c>
      <x:c r="H3549" s="117" t="str">
        <x:v>FieldServiceMobile</x:v>
      </x:c>
      <x:c r="I3549" s="118"/>
      <x:c r="J3549" s="117" t="str">
        <x:v>unmanaged</x:v>
      </x:c>
      <x:c r="K3549" s="123" t="b">
        <x:v>0</x:v>
      </x:c>
      <x:c r="L3549" s="117"/>
      <x:c r="M3549" s="118"/>
      <x:c r="N3549" s="120" t="n">
        <x:v>46069.960625</x:v>
      </x:c>
      <x:c r="O3549" s="117" t="str">
        <x:v>Delegate</x:v>
      </x:c>
      <x:c r="P3549" s="120" t="n">
        <x:v>46069.9609375</x:v>
      </x:c>
      <x:c r="Q3549" s="117" t="str">
        <x:v>Delegate</x:v>
      </x:c>
      <x:c r="R3549" s="117" t="str">
        <x:v>US FSL - Ultrasound Checklist</x:v>
      </x:c>
      <x:c r="S3549" s="119" t="str">
        <x:v>02/13/2026 - (KL) - Testing updates for optimal FSL Mobile Usage</x:v>
      </x:c>
    </x:row>
    <x:row r="3550" ht="30" customHeight="1">
      <x:c r="A3550" s="117" t="str">
        <x:v>US_FSL_Ultrasound_Checklist</x:v>
      </x:c>
      <x:c r="B3550" s="117" t="str">
        <x:v>300Ro00000noVpCIAU</x:v>
      </x:c>
      <x:c r="C3550" s="117" t="str">
        <x:v>301Ro00000yZ5f5IAC</x:v>
      </x:c>
      <x:c r="D3550" s="118" t="n">
        <x:v>44</x:v>
      </x:c>
      <x:c r="E3550" s="117" t="str">
        <x:v>Obsolete</x:v>
      </x:c>
      <x:c r="F3550" s="117" t="str">
        <x:v>No</x:v>
      </x:c>
      <x:c r="G3550" s="117" t="str">
        <x:v>No</x:v>
      </x:c>
      <x:c r="H3550" s="117" t="str">
        <x:v>FieldServiceMobile</x:v>
      </x:c>
      <x:c r="I3550" s="118"/>
      <x:c r="J3550" s="117" t="str">
        <x:v>unmanaged</x:v>
      </x:c>
      <x:c r="K3550" s="123" t="b">
        <x:v>0</x:v>
      </x:c>
      <x:c r="L3550" s="117"/>
      <x:c r="M3550" s="118"/>
      <x:c r="N3550" s="120" t="n">
        <x:v>46070.972291666665</x:v>
      </x:c>
      <x:c r="O3550" s="117" t="str">
        <x:v>Delegate</x:v>
      </x:c>
      <x:c r="P3550" s="120" t="n">
        <x:v>46070.97340277778</x:v>
      </x:c>
      <x:c r="Q3550" s="117" t="str">
        <x:v>Delegate</x:v>
      </x:c>
      <x:c r="R3550" s="117" t="str">
        <x:v>US FSL - Ultrasound Checklist</x:v>
      </x:c>
      <x:c r="S3550" s="119" t="str">
        <x:v>02/16/2026 - (KL) - Testing updates for optimal FSL Mobile Usage</x:v>
      </x:c>
    </x:row>
    <x:row r="3551" ht="30" customHeight="1">
      <x:c r="A3551" s="117" t="str">
        <x:v>US_FSL_Ultrasound_Checklist</x:v>
      </x:c>
      <x:c r="B3551" s="117" t="str">
        <x:v>300Ro00000noVpCIAU</x:v>
      </x:c>
      <x:c r="C3551" s="117" t="str">
        <x:v>301Ro00000yYwOuIAK</x:v>
      </x:c>
      <x:c r="D3551" s="118" t="n">
        <x:v>45</x:v>
      </x:c>
      <x:c r="E3551" s="117" t="str">
        <x:v>Obsolete</x:v>
      </x:c>
      <x:c r="F3551" s="117" t="str">
        <x:v>No</x:v>
      </x:c>
      <x:c r="G3551" s="117" t="str">
        <x:v>No</x:v>
      </x:c>
      <x:c r="H3551" s="117" t="str">
        <x:v>FieldServiceMobile</x:v>
      </x:c>
      <x:c r="I3551" s="118"/>
      <x:c r="J3551" s="117" t="str">
        <x:v>unmanaged</x:v>
      </x:c>
      <x:c r="K3551" s="123" t="b">
        <x:v>0</x:v>
      </x:c>
      <x:c r="L3551" s="117"/>
      <x:c r="M3551" s="118"/>
      <x:c r="N3551" s="120" t="n">
        <x:v>46070.98045138889</x:v>
      </x:c>
      <x:c r="O3551" s="117" t="str">
        <x:v>Delegate</x:v>
      </x:c>
      <x:c r="P3551" s="120" t="n">
        <x:v>46070.98068287037</x:v>
      </x:c>
      <x:c r="Q3551" s="117" t="str">
        <x:v>Delegate</x:v>
      </x:c>
      <x:c r="R3551" s="117" t="str">
        <x:v>US FSL - Ultrasound Checklist</x:v>
      </x:c>
      <x:c r="S3551" s="119" t="str">
        <x:v>02/17/2026 - (KL) - Testing updates for optimal FSL Mobile Usage</x:v>
      </x:c>
    </x:row>
    <x:row r="3552" ht="30" customHeight="1">
      <x:c r="A3552" s="117" t="str">
        <x:v>US_FSL_Ultrasound_Checklist</x:v>
      </x:c>
      <x:c r="B3552" s="117" t="str">
        <x:v>300Ro00000noVpCIAU</x:v>
      </x:c>
      <x:c r="C3552" s="117" t="str">
        <x:v>301Ro00000yZpMrIAK</x:v>
      </x:c>
      <x:c r="D3552" s="118" t="n">
        <x:v>46</x:v>
      </x:c>
      <x:c r="E3552" s="117" t="str">
        <x:v>Obsolete</x:v>
      </x:c>
      <x:c r="F3552" s="117" t="str">
        <x:v>No</x:v>
      </x:c>
      <x:c r="G3552" s="117" t="str">
        <x:v>No</x:v>
      </x:c>
      <x:c r="H3552" s="117" t="str">
        <x:v>FieldServiceMobile</x:v>
      </x:c>
      <x:c r="I3552" s="118"/>
      <x:c r="J3552" s="117" t="str">
        <x:v>unmanaged</x:v>
      </x:c>
      <x:c r="K3552" s="123" t="b">
        <x:v>0</x:v>
      </x:c>
      <x:c r="L3552" s="117"/>
      <x:c r="M3552" s="118"/>
      <x:c r="N3552" s="120" t="n">
        <x:v>46071.004525462966</x:v>
      </x:c>
      <x:c r="O3552" s="117" t="str">
        <x:v>Delegate</x:v>
      </x:c>
      <x:c r="P3552" s="120" t="n">
        <x:v>46071.005</x:v>
      </x:c>
      <x:c r="Q3552" s="117" t="str">
        <x:v>Delegate</x:v>
      </x:c>
      <x:c r="R3552" s="117" t="str">
        <x:v>US FSL - Ultrasound Checklist</x:v>
      </x:c>
      <x:c r="S3552" s="119" t="str">
        <x:v>02/17/2026 - (KL) - Testing updates for optimal FSL Mobile Usage</x:v>
      </x:c>
    </x:row>
    <x:row r="3553" ht="30" customHeight="1">
      <x:c r="A3553" s="117" t="str">
        <x:v>US_FSL_Ultrasound_Checklist</x:v>
      </x:c>
      <x:c r="B3553" s="117" t="str">
        <x:v>300Ro00000noVpCIAU</x:v>
      </x:c>
      <x:c r="C3553" s="117" t="str">
        <x:v>301Ro00000ybtB4IAI</x:v>
      </x:c>
      <x:c r="D3553" s="118" t="n">
        <x:v>47</x:v>
      </x:c>
      <x:c r="E3553" s="117" t="str">
        <x:v>Obsolete</x:v>
      </x:c>
      <x:c r="F3553" s="117" t="str">
        <x:v>No</x:v>
      </x:c>
      <x:c r="G3553" s="117" t="str">
        <x:v>No</x:v>
      </x:c>
      <x:c r="H3553" s="117" t="str">
        <x:v>FieldServiceMobile</x:v>
      </x:c>
      <x:c r="I3553" s="118"/>
      <x:c r="J3553" s="117" t="str">
        <x:v>unmanaged</x:v>
      </x:c>
      <x:c r="K3553" s="123" t="b">
        <x:v>0</x:v>
      </x:c>
      <x:c r="L3553" s="117"/>
      <x:c r="M3553" s="118"/>
      <x:c r="N3553" s="120" t="n">
        <x:v>46071.57644675926</x:v>
      </x:c>
      <x:c r="O3553" s="117" t="str">
        <x:v>Delegate</x:v>
      </x:c>
      <x:c r="P3553" s="120" t="n">
        <x:v>46071.57670138889</x:v>
      </x:c>
      <x:c r="Q3553" s="117" t="str">
        <x:v>Delegate</x:v>
      </x:c>
      <x:c r="R3553" s="117" t="str">
        <x:v>US FSL - Ultrasound Checklist</x:v>
      </x:c>
      <x:c r="S3553" s="119" t="str">
        <x:v>02/17/2026 - (KL) - Testing updates for optimal FSL Mobile Usage</x:v>
      </x:c>
    </x:row>
    <x:row r="3554" ht="30" customHeight="1">
      <x:c r="A3554" s="117" t="str">
        <x:v>US_FSL_Ultrasound_Checklist</x:v>
      </x:c>
      <x:c r="B3554" s="117" t="str">
        <x:v>300Ro00000noVpCIAU</x:v>
      </x:c>
      <x:c r="C3554" s="117" t="str">
        <x:v>301Ro00000ybf8VIAQ</x:v>
      </x:c>
      <x:c r="D3554" s="118" t="n">
        <x:v>48</x:v>
      </x:c>
      <x:c r="E3554" s="117" t="str">
        <x:v>Obsolete</x:v>
      </x:c>
      <x:c r="F3554" s="117" t="str">
        <x:v>No</x:v>
      </x:c>
      <x:c r="G3554" s="117" t="str">
        <x:v>No</x:v>
      </x:c>
      <x:c r="H3554" s="117" t="str">
        <x:v>FieldServiceMobile</x:v>
      </x:c>
      <x:c r="I3554" s="118"/>
      <x:c r="J3554" s="117" t="str">
        <x:v>unmanaged</x:v>
      </x:c>
      <x:c r="K3554" s="123" t="b">
        <x:v>0</x:v>
      </x:c>
      <x:c r="L3554" s="117"/>
      <x:c r="M3554" s="118"/>
      <x:c r="N3554" s="120" t="n">
        <x:v>46071.58755787037</x:v>
      </x:c>
      <x:c r="O3554" s="117" t="str">
        <x:v>Delegate</x:v>
      </x:c>
      <x:c r="P3554" s="120" t="n">
        <x:v>46071.58880787037</x:v>
      </x:c>
      <x:c r="Q3554" s="117" t="str">
        <x:v>Delegate</x:v>
      </x:c>
      <x:c r="R3554" s="117" t="str">
        <x:v>US FSL - Ultrasound Checklist</x:v>
      </x:c>
      <x:c r="S3554" s="119" t="str">
        <x:v>02/18/2026 - (KL) - Testing updates for optimal FSL Mobile Usage</x:v>
      </x:c>
    </x:row>
    <x:row r="3555" ht="30" customHeight="1">
      <x:c r="A3555" s="117" t="str">
        <x:v>US_FSL_Ultrasound_Checklist</x:v>
      </x:c>
      <x:c r="B3555" s="117" t="str">
        <x:v>300Ro00000noVpCIAU</x:v>
      </x:c>
      <x:c r="C3555" s="117" t="str">
        <x:v>301Ro00000yqaRRIAY</x:v>
      </x:c>
      <x:c r="D3555" s="118" t="n">
        <x:v>49</x:v>
      </x:c>
      <x:c r="E3555" s="117" t="str">
        <x:v>Obsolete</x:v>
      </x:c>
      <x:c r="F3555" s="117" t="str">
        <x:v>No</x:v>
      </x:c>
      <x:c r="G3555" s="117" t="str">
        <x:v>No</x:v>
      </x:c>
      <x:c r="H3555" s="117" t="str">
        <x:v>FieldServiceMobile</x:v>
      </x:c>
      <x:c r="I3555" s="118"/>
      <x:c r="J3555" s="117" t="str">
        <x:v>unmanaged</x:v>
      </x:c>
      <x:c r="K3555" s="123" t="b">
        <x:v>0</x:v>
      </x:c>
      <x:c r="L3555" s="117"/>
      <x:c r="M3555" s="118"/>
      <x:c r="N3555" s="120" t="n">
        <x:v>46073.8112962963</x:v>
      </x:c>
      <x:c r="O3555" s="117" t="str">
        <x:v>Delegate</x:v>
      </x:c>
      <x:c r="P3555" s="120" t="n">
        <x:v>46073.8115625</x:v>
      </x:c>
      <x:c r="Q3555" s="117" t="str">
        <x:v>Delegate</x:v>
      </x:c>
      <x:c r="R3555" s="117" t="str">
        <x:v>US FSL - Ultrasound Checklist</x:v>
      </x:c>
      <x:c r="S3555" s="119" t="str">
        <x:v>02/18/2026 - (KL) - Testing updates for optimal FSL Mobile Usage</x:v>
      </x:c>
    </x:row>
    <x:row r="3556" ht="30" customHeight="1">
      <x:c r="A3556" s="117" t="str">
        <x:v>US_FSL_Ultrasound_Checklist</x:v>
      </x:c>
      <x:c r="B3556" s="117" t="str">
        <x:v>300Ro00000noVpCIAU</x:v>
      </x:c>
      <x:c r="C3556" s="117" t="str">
        <x:v>301Ro00000yq1G0IAI</x:v>
      </x:c>
      <x:c r="D3556" s="118" t="n">
        <x:v>50</x:v>
      </x:c>
      <x:c r="E3556" s="117" t="str">
        <x:v>Obsolete</x:v>
      </x:c>
      <x:c r="F3556" s="117" t="str">
        <x:v>No</x:v>
      </x:c>
      <x:c r="G3556" s="117" t="str">
        <x:v>No</x:v>
      </x:c>
      <x:c r="H3556" s="117" t="str">
        <x:v>FieldServiceMobile</x:v>
      </x:c>
      <x:c r="I3556" s="118"/>
      <x:c r="J3556" s="117" t="str">
        <x:v>unmanaged</x:v>
      </x:c>
      <x:c r="K3556" s="123" t="b">
        <x:v>0</x:v>
      </x:c>
      <x:c r="L3556" s="117"/>
      <x:c r="M3556" s="118"/>
      <x:c r="N3556" s="120" t="n">
        <x:v>46073.81804398148</x:v>
      </x:c>
      <x:c r="O3556" s="117" t="str">
        <x:v>Delegate</x:v>
      </x:c>
      <x:c r="P3556" s="120" t="n">
        <x:v>46073.81837962963</x:v>
      </x:c>
      <x:c r="Q3556" s="117" t="str">
        <x:v>Delegate</x:v>
      </x:c>
      <x:c r="R3556" s="117" t="str">
        <x:v>US FSL - Ultrasound Checklist</x:v>
      </x:c>
      <x:c r="S3556" s="119" t="str">
        <x:v>02/18/2026 - (KL) - Testing updates for optimal FSL Mobile Usage</x:v>
      </x:c>
    </x:row>
    <x:row r="3557" ht="30" customHeight="1">
      <x:c r="A3557" s="117" t="str">
        <x:v>US_FSL_Ultrasound_Checklist</x:v>
      </x:c>
      <x:c r="B3557" s="117" t="str">
        <x:v>300Ro00000noVpCIAU</x:v>
      </x:c>
      <x:c r="C3557" s="117" t="str">
        <x:v>301Ro00000yqg2DIAQ</x:v>
      </x:c>
      <x:c r="D3557" s="118" t="n">
        <x:v>51</x:v>
      </x:c>
      <x:c r="E3557" s="117" t="str">
        <x:v>Obsolete</x:v>
      </x:c>
      <x:c r="F3557" s="117" t="str">
        <x:v>No</x:v>
      </x:c>
      <x:c r="G3557" s="117" t="str">
        <x:v>No</x:v>
      </x:c>
      <x:c r="H3557" s="117" t="str">
        <x:v>FieldServiceMobile</x:v>
      </x:c>
      <x:c r="I3557" s="118"/>
      <x:c r="J3557" s="117" t="str">
        <x:v>unmanaged</x:v>
      </x:c>
      <x:c r="K3557" s="123" t="b">
        <x:v>0</x:v>
      </x:c>
      <x:c r="L3557" s="117"/>
      <x:c r="M3557" s="118"/>
      <x:c r="N3557" s="120" t="n">
        <x:v>46073.82079861111</x:v>
      </x:c>
      <x:c r="O3557" s="117" t="str">
        <x:v>Delegate</x:v>
      </x:c>
      <x:c r="P3557" s="120" t="n">
        <x:v>46073.82133101852</x:v>
      </x:c>
      <x:c r="Q3557" s="117" t="str">
        <x:v>Delegate</x:v>
      </x:c>
      <x:c r="R3557" s="117" t="str">
        <x:v>US FSL - Ultrasound Checklist</x:v>
      </x:c>
      <x:c r="S3557" s="119" t="str">
        <x:v>02/18/2026 - (KL) - Testing updates for optimal FSL Mobile Usage</x:v>
      </x:c>
    </x:row>
    <x:row r="3558" ht="30" customHeight="1">
      <x:c r="A3558" s="117" t="str">
        <x:v>US_FSL_Ultrasound_Checklist</x:v>
      </x:c>
      <x:c r="B3558" s="117" t="str">
        <x:v>300Ro00000noVpCIAU</x:v>
      </x:c>
      <x:c r="C3558" s="117" t="str">
        <x:v>301Ro00000yqFeLIAU</x:v>
      </x:c>
      <x:c r="D3558" s="118" t="n">
        <x:v>52</x:v>
      </x:c>
      <x:c r="E3558" s="117" t="str">
        <x:v>Obsolete</x:v>
      </x:c>
      <x:c r="F3558" s="117" t="str">
        <x:v>No</x:v>
      </x:c>
      <x:c r="G3558" s="117" t="str">
        <x:v>No</x:v>
      </x:c>
      <x:c r="H3558" s="117" t="str">
        <x:v>FieldServiceMobile</x:v>
      </x:c>
      <x:c r="I3558" s="118"/>
      <x:c r="J3558" s="117" t="str">
        <x:v>unmanaged</x:v>
      </x:c>
      <x:c r="K3558" s="123" t="b">
        <x:v>0</x:v>
      </x:c>
      <x:c r="L3558" s="117"/>
      <x:c r="M3558" s="118"/>
      <x:c r="N3558" s="120" t="n">
        <x:v>46073.823842592596</x:v>
      </x:c>
      <x:c r="O3558" s="117" t="str">
        <x:v>Delegate</x:v>
      </x:c>
      <x:c r="P3558" s="120" t="n">
        <x:v>46073.82409722222</x:v>
      </x:c>
      <x:c r="Q3558" s="117" t="str">
        <x:v>Delegate</x:v>
      </x:c>
      <x:c r="R3558" s="117" t="str">
        <x:v>US FSL - Ultrasound Checklist</x:v>
      </x:c>
      <x:c r="S3558" s="119" t="str">
        <x:v>02/18/2026 - (KL) - Testing updates for optimal FSL Mobile Usage</x:v>
      </x:c>
    </x:row>
    <x:row r="3559" ht="30" customHeight="1">
      <x:c r="A3559" s="117" t="str">
        <x:v>US_FSL_Ultrasound_Checklist</x:v>
      </x:c>
      <x:c r="B3559" s="117" t="str">
        <x:v>300Ro00000noVpCIAU</x:v>
      </x:c>
      <x:c r="C3559" s="117" t="str">
        <x:v>301Ro00000yqSH1IAM</x:v>
      </x:c>
      <x:c r="D3559" s="118" t="n">
        <x:v>53</x:v>
      </x:c>
      <x:c r="E3559" s="117" t="str">
        <x:v>Obsolete</x:v>
      </x:c>
      <x:c r="F3559" s="117" t="str">
        <x:v>No</x:v>
      </x:c>
      <x:c r="G3559" s="117" t="str">
        <x:v>No</x:v>
      </x:c>
      <x:c r="H3559" s="117" t="str">
        <x:v>FieldServiceMobile</x:v>
      </x:c>
      <x:c r="I3559" s="118"/>
      <x:c r="J3559" s="117" t="str">
        <x:v>unmanaged</x:v>
      </x:c>
      <x:c r="K3559" s="123" t="b">
        <x:v>0</x:v>
      </x:c>
      <x:c r="L3559" s="117"/>
      <x:c r="M3559" s="118"/>
      <x:c r="N3559" s="120" t="n">
        <x:v>46073.82759259259</x:v>
      </x:c>
      <x:c r="O3559" s="117" t="str">
        <x:v>Delegate</x:v>
      </x:c>
      <x:c r="P3559" s="120" t="n">
        <x:v>46073.82821759259</x:v>
      </x:c>
      <x:c r="Q3559" s="117" t="str">
        <x:v>Delegate</x:v>
      </x:c>
      <x:c r="R3559" s="117" t="str">
        <x:v>US FSL - Ultrasound Checklist</x:v>
      </x:c>
      <x:c r="S3559" s="119" t="str">
        <x:v>02/18/2026 - (KL) - Testing updates for optimal FSL Mobile Usage</x:v>
      </x:c>
    </x:row>
    <x:row r="3560" ht="30" customHeight="1">
      <x:c r="A3560" s="117" t="str">
        <x:v>US_FSL_Ultrasound_Checklist</x:v>
      </x:c>
      <x:c r="B3560" s="117" t="str">
        <x:v>300Ro00000noVpCIAU</x:v>
      </x:c>
      <x:c r="C3560" s="117" t="str">
        <x:v>301Ro00000yqbKJIAY</x:v>
      </x:c>
      <x:c r="D3560" s="118" t="n">
        <x:v>54</x:v>
      </x:c>
      <x:c r="E3560" s="117" t="str">
        <x:v>Obsolete</x:v>
      </x:c>
      <x:c r="F3560" s="117" t="str">
        <x:v>No</x:v>
      </x:c>
      <x:c r="G3560" s="117" t="str">
        <x:v>No</x:v>
      </x:c>
      <x:c r="H3560" s="117" t="str">
        <x:v>FieldServiceMobile</x:v>
      </x:c>
      <x:c r="I3560" s="118"/>
      <x:c r="J3560" s="117" t="str">
        <x:v>unmanaged</x:v>
      </x:c>
      <x:c r="K3560" s="123" t="b">
        <x:v>0</x:v>
      </x:c>
      <x:c r="L3560" s="117"/>
      <x:c r="M3560" s="118"/>
      <x:c r="N3560" s="120" t="n">
        <x:v>46073.83127314815</x:v>
      </x:c>
      <x:c r="O3560" s="117" t="str">
        <x:v>Delegate</x:v>
      </x:c>
      <x:c r="P3560" s="120" t="n">
        <x:v>46073.83221064815</x:v>
      </x:c>
      <x:c r="Q3560" s="117" t="str">
        <x:v>Delegate</x:v>
      </x:c>
      <x:c r="R3560" s="117" t="str">
        <x:v>US FSL - Ultrasound Checklist</x:v>
      </x:c>
      <x:c r="S3560" s="119" t="str">
        <x:v>02/18/2026 - (KL) - Testing updates for optimal FSL Mobile Usage</x:v>
      </x:c>
    </x:row>
    <x:row r="3561" ht="30" customHeight="1">
      <x:c r="A3561" s="117" t="str">
        <x:v>US_FSL_Ultrasound_Checklist</x:v>
      </x:c>
      <x:c r="B3561" s="117" t="str">
        <x:v>300Ro00000noVpCIAU</x:v>
      </x:c>
      <x:c r="C3561" s="117" t="str">
        <x:v>301Ro00000z0YWPIA2</x:v>
      </x:c>
      <x:c r="D3561" s="118" t="n">
        <x:v>55</x:v>
      </x:c>
      <x:c r="E3561" s="117" t="str">
        <x:v>Obsolete</x:v>
      </x:c>
      <x:c r="F3561" s="117" t="str">
        <x:v>No</x:v>
      </x:c>
      <x:c r="G3561" s="117" t="str">
        <x:v>No</x:v>
      </x:c>
      <x:c r="H3561" s="117" t="str">
        <x:v>FieldServiceMobile</x:v>
      </x:c>
      <x:c r="I3561" s="118"/>
      <x:c r="J3561" s="117" t="str">
        <x:v>unmanaged</x:v>
      </x:c>
      <x:c r="K3561" s="123" t="b">
        <x:v>0</x:v>
      </x:c>
      <x:c r="L3561" s="117"/>
      <x:c r="M3561" s="118"/>
      <x:c r="N3561" s="120" t="n">
        <x:v>46076.62681712963</x:v>
      </x:c>
      <x:c r="O3561" s="117" t="str">
        <x:v>Delegate</x:v>
      </x:c>
      <x:c r="P3561" s="120" t="n">
        <x:v>46076.87398148148</x:v>
      </x:c>
      <x:c r="Q3561" s="117" t="str">
        <x:v>Delegate</x:v>
      </x:c>
      <x:c r="R3561" s="117" t="str">
        <x:v>US FSL - Ultrasound Checklist</x:v>
      </x:c>
      <x:c r="S3561" s="119" t="str">
        <x:v>02/18/2026 - (KL) - Testing updates for optimal FSL Mobile Usage</x:v>
      </x:c>
    </x:row>
    <x:row r="3562" ht="30" customHeight="1">
      <x:c r="A3562" s="117" t="str">
        <x:v>US_FSL_Ultrasound_Checklist</x:v>
      </x:c>
      <x:c r="B3562" s="117" t="str">
        <x:v>300Ro00000noVpCIAU</x:v>
      </x:c>
      <x:c r="C3562" s="117" t="str">
        <x:v>301Ro00000z2xyZIAQ</x:v>
      </x:c>
      <x:c r="D3562" s="118" t="n">
        <x:v>56</x:v>
      </x:c>
      <x:c r="E3562" s="117" t="str">
        <x:v>Obsolete</x:v>
      </x:c>
      <x:c r="F3562" s="117" t="str">
        <x:v>No</x:v>
      </x:c>
      <x:c r="G3562" s="117" t="str">
        <x:v>No</x:v>
      </x:c>
      <x:c r="H3562" s="117" t="str">
        <x:v>FieldServiceMobile</x:v>
      </x:c>
      <x:c r="I3562" s="118"/>
      <x:c r="J3562" s="117" t="str">
        <x:v>unmanaged</x:v>
      </x:c>
      <x:c r="K3562" s="123" t="b">
        <x:v>0</x:v>
      </x:c>
      <x:c r="L3562" s="117"/>
      <x:c r="M3562" s="118"/>
      <x:c r="N3562" s="120" t="n">
        <x:v>46076.87993055556</x:v>
      </x:c>
      <x:c r="O3562" s="117" t="str">
        <x:v>Delegate</x:v>
      </x:c>
      <x:c r="P3562" s="120" t="n">
        <x:v>46076.88018518518</x:v>
      </x:c>
      <x:c r="Q3562" s="117" t="str">
        <x:v>Delegate</x:v>
      </x:c>
      <x:c r="R3562" s="117" t="str">
        <x:v>US FSL - Ultrasound Checklist</x:v>
      </x:c>
      <x:c r="S3562" s="119" t="str">
        <x:v>02/23/2026 - (KL) - Testing updates for optimal FSL Mobile Usage</x:v>
      </x:c>
    </x:row>
    <x:row r="3563" ht="30" customHeight="1">
      <x:c r="A3563" s="117" t="str">
        <x:v>US_FSL_Ultrasound_Checklist</x:v>
      </x:c>
      <x:c r="B3563" s="117" t="str">
        <x:v>300Ro00000noVpCIAU</x:v>
      </x:c>
      <x:c r="C3563" s="117" t="str">
        <x:v>301Ro00000z2g04IAA</x:v>
      </x:c>
      <x:c r="D3563" s="118" t="n">
        <x:v>57</x:v>
      </x:c>
      <x:c r="E3563" s="117" t="str">
        <x:v>Obsolete</x:v>
      </x:c>
      <x:c r="F3563" s="117" t="str">
        <x:v>No</x:v>
      </x:c>
      <x:c r="G3563" s="117" t="str">
        <x:v>No</x:v>
      </x:c>
      <x:c r="H3563" s="117" t="str">
        <x:v>FieldServiceMobile</x:v>
      </x:c>
      <x:c r="I3563" s="118"/>
      <x:c r="J3563" s="117" t="str">
        <x:v>unmanaged</x:v>
      </x:c>
      <x:c r="K3563" s="123" t="b">
        <x:v>0</x:v>
      </x:c>
      <x:c r="L3563" s="117"/>
      <x:c r="M3563" s="118"/>
      <x:c r="N3563" s="120" t="n">
        <x:v>46076.89309027778</x:v>
      </x:c>
      <x:c r="O3563" s="117" t="str">
        <x:v>Delegate</x:v>
      </x:c>
      <x:c r="P3563" s="120" t="n">
        <x:v>46076.89380787037</x:v>
      </x:c>
      <x:c r="Q3563" s="117" t="str">
        <x:v>Delegate</x:v>
      </x:c>
      <x:c r="R3563" s="117" t="str">
        <x:v>US FSL - Ultrasound Checklist</x:v>
      </x:c>
      <x:c r="S3563" s="119" t="str">
        <x:v>02/23/2026 - (KL) - Testing updates for optimal FSL Mobile Usage</x:v>
      </x:c>
    </x:row>
    <x:row r="3564" ht="30" customHeight="1">
      <x:c r="A3564" s="117" t="str">
        <x:v>US_FSL_Ultrasound_Checklist</x:v>
      </x:c>
      <x:c r="B3564" s="117" t="str">
        <x:v>300Ro00000noVpCIAU</x:v>
      </x:c>
      <x:c r="C3564" s="117" t="str">
        <x:v>301Ro00000z4NcQIAU</x:v>
      </x:c>
      <x:c r="D3564" s="118" t="n">
        <x:v>58</x:v>
      </x:c>
      <x:c r="E3564" s="117" t="str">
        <x:v>Obsolete</x:v>
      </x:c>
      <x:c r="F3564" s="117" t="str">
        <x:v>No</x:v>
      </x:c>
      <x:c r="G3564" s="117" t="str">
        <x:v>No</x:v>
      </x:c>
      <x:c r="H3564" s="117" t="str">
        <x:v>FieldServiceMobile</x:v>
      </x:c>
      <x:c r="I3564" s="118"/>
      <x:c r="J3564" s="117" t="str">
        <x:v>unmanaged</x:v>
      </x:c>
      <x:c r="K3564" s="123" t="b">
        <x:v>0</x:v>
      </x:c>
      <x:c r="L3564" s="117"/>
      <x:c r="M3564" s="118"/>
      <x:c r="N3564" s="120" t="n">
        <x:v>46077.16743055556</x:v>
      </x:c>
      <x:c r="O3564" s="117" t="str">
        <x:v>Delegate</x:v>
      </x:c>
      <x:c r="P3564" s="120" t="n">
        <x:v>46077.168333333335</x:v>
      </x:c>
      <x:c r="Q3564" s="117" t="str">
        <x:v>Delegate</x:v>
      </x:c>
      <x:c r="R3564" s="117" t="str">
        <x:v>US FSL - Ultrasound Checklist</x:v>
      </x:c>
      <x:c r="S3564" s="119" t="str">
        <x:v>02/23/2026 - (KL) - Testing updates for optimal FSL Mobile Usage</x:v>
      </x:c>
    </x:row>
    <x:row r="3565" ht="30" customHeight="1">
      <x:c r="A3565" s="117" t="str">
        <x:v>US_FSL_Ultrasound_Checklist</x:v>
      </x:c>
      <x:c r="B3565" s="117" t="str">
        <x:v>300Ro00000noVpCIAU</x:v>
      </x:c>
      <x:c r="C3565" s="117" t="str">
        <x:v>301Ro00000zBSvbIAG</x:v>
      </x:c>
      <x:c r="D3565" s="118" t="n">
        <x:v>59</x:v>
      </x:c>
      <x:c r="E3565" s="117" t="str">
        <x:v>Obsolete</x:v>
      </x:c>
      <x:c r="F3565" s="117" t="str">
        <x:v>No</x:v>
      </x:c>
      <x:c r="G3565" s="117" t="str">
        <x:v>No</x:v>
      </x:c>
      <x:c r="H3565" s="117" t="str">
        <x:v>FieldServiceMobile</x:v>
      </x:c>
      <x:c r="I3565" s="118"/>
      <x:c r="J3565" s="117" t="str">
        <x:v>unmanaged</x:v>
      </x:c>
      <x:c r="K3565" s="123" t="b">
        <x:v>0</x:v>
      </x:c>
      <x:c r="L3565" s="117"/>
      <x:c r="M3565" s="118"/>
      <x:c r="N3565" s="120" t="n">
        <x:v>46078.54582175926</x:v>
      </x:c>
      <x:c r="O3565" s="117" t="str">
        <x:v>Delegate</x:v>
      </x:c>
      <x:c r="P3565" s="120" t="n">
        <x:v>46078.54651620371</x:v>
      </x:c>
      <x:c r="Q3565" s="117" t="str">
        <x:v>Delegate</x:v>
      </x:c>
      <x:c r="R3565" s="117" t="str">
        <x:v>US FSL - Ultrasound Checklist</x:v>
      </x:c>
      <x:c r="S3565" s="119" t="str">
        <x:v>02/23/2026 - (KL) - Testing updates for optimal FSL Mobile Usage</x:v>
      </x:c>
    </x:row>
    <x:row r="3566" ht="30" customHeight="1">
      <x:c r="A3566" s="117" t="str">
        <x:v>US_FSL_Ultrasound_Checklist</x:v>
      </x:c>
      <x:c r="B3566" s="117" t="str">
        <x:v>300Ro00000noVpCIAU</x:v>
      </x:c>
      <x:c r="C3566" s="117" t="str">
        <x:v>301Ro00000zBnVJIA0</x:v>
      </x:c>
      <x:c r="D3566" s="118" t="n">
        <x:v>60</x:v>
      </x:c>
      <x:c r="E3566" s="117" t="str">
        <x:v>Obsolete</x:v>
      </x:c>
      <x:c r="F3566" s="117" t="str">
        <x:v>No</x:v>
      </x:c>
      <x:c r="G3566" s="117" t="str">
        <x:v>No</x:v>
      </x:c>
      <x:c r="H3566" s="117" t="str">
        <x:v>FieldServiceMobile</x:v>
      </x:c>
      <x:c r="I3566" s="118"/>
      <x:c r="J3566" s="117" t="str">
        <x:v>unmanaged</x:v>
      </x:c>
      <x:c r="K3566" s="123" t="b">
        <x:v>0</x:v>
      </x:c>
      <x:c r="L3566" s="117"/>
      <x:c r="M3566" s="118"/>
      <x:c r="N3566" s="120" t="n">
        <x:v>46078.56048611111</x:v>
      </x:c>
      <x:c r="O3566" s="117" t="str">
        <x:v>Delegate</x:v>
      </x:c>
      <x:c r="P3566" s="120" t="n">
        <x:v>46078.56104166667</x:v>
      </x:c>
      <x:c r="Q3566" s="117" t="str">
        <x:v>Delegate</x:v>
      </x:c>
      <x:c r="R3566" s="117" t="str">
        <x:v>US FSL - Ultrasound Checklist</x:v>
      </x:c>
      <x:c r="S3566" s="119" t="str">
        <x:v>02/25/2026 - (KL) - Testing updates for optimal FSL Mobile Usage</x:v>
      </x:c>
    </x:row>
    <x:row r="3567" ht="30" customHeight="1">
      <x:c r="A3567" s="117" t="str">
        <x:v>US_FSL_Ultrasound_Checklist</x:v>
      </x:c>
      <x:c r="B3567" s="117" t="str">
        <x:v>300Ro00000noVpCIAU</x:v>
      </x:c>
      <x:c r="C3567" s="117" t="str">
        <x:v>301Ro00000zBrqhIAC</x:v>
      </x:c>
      <x:c r="D3567" s="118" t="n">
        <x:v>61</x:v>
      </x:c>
      <x:c r="E3567" s="117" t="str">
        <x:v>Obsolete</x:v>
      </x:c>
      <x:c r="F3567" s="117" t="str">
        <x:v>No</x:v>
      </x:c>
      <x:c r="G3567" s="117" t="str">
        <x:v>No</x:v>
      </x:c>
      <x:c r="H3567" s="117" t="str">
        <x:v>FieldServiceMobile</x:v>
      </x:c>
      <x:c r="I3567" s="118"/>
      <x:c r="J3567" s="117" t="str">
        <x:v>unmanaged</x:v>
      </x:c>
      <x:c r="K3567" s="123" t="b">
        <x:v>0</x:v>
      </x:c>
      <x:c r="L3567" s="117"/>
      <x:c r="M3567" s="118"/>
      <x:c r="N3567" s="120" t="n">
        <x:v>46078.57146990741</x:v>
      </x:c>
      <x:c r="O3567" s="117" t="str">
        <x:v>Delegate</x:v>
      </x:c>
      <x:c r="P3567" s="120" t="n">
        <x:v>46078.57168981482</x:v>
      </x:c>
      <x:c r="Q3567" s="117" t="str">
        <x:v>Delegate</x:v>
      </x:c>
      <x:c r="R3567" s="117" t="str">
        <x:v>US FSL - Ultrasound Checklist</x:v>
      </x:c>
      <x:c r="S3567" s="119" t="str">
        <x:v>02/25/2026 - (KL) - Testing updates for optimal FSL Mobile Usage</x:v>
      </x:c>
    </x:row>
    <x:row r="3568" ht="30" customHeight="1">
      <x:c r="A3568" s="117" t="str">
        <x:v>US_FSL_Ultrasound_Checklist</x:v>
      </x:c>
      <x:c r="B3568" s="117" t="str">
        <x:v>300Ro00000noVpCIAU</x:v>
      </x:c>
      <x:c r="C3568" s="117" t="str">
        <x:v>301Ro00000zBrh3IAC</x:v>
      </x:c>
      <x:c r="D3568" s="118" t="n">
        <x:v>62</x:v>
      </x:c>
      <x:c r="E3568" s="117" t="str">
        <x:v>Obsolete</x:v>
      </x:c>
      <x:c r="F3568" s="117" t="str">
        <x:v>No</x:v>
      </x:c>
      <x:c r="G3568" s="117" t="str">
        <x:v>No</x:v>
      </x:c>
      <x:c r="H3568" s="117" t="str">
        <x:v>FieldServiceMobile</x:v>
      </x:c>
      <x:c r="I3568" s="118"/>
      <x:c r="J3568" s="117" t="str">
        <x:v>unmanaged</x:v>
      </x:c>
      <x:c r="K3568" s="123" t="b">
        <x:v>0</x:v>
      </x:c>
      <x:c r="L3568" s="117"/>
      <x:c r="M3568" s="118"/>
      <x:c r="N3568" s="120" t="n">
        <x:v>46078.57927083333</x:v>
      </x:c>
      <x:c r="O3568" s="117" t="str">
        <x:v>Delegate</x:v>
      </x:c>
      <x:c r="P3568" s="120" t="n">
        <x:v>46078.579675925925</x:v>
      </x:c>
      <x:c r="Q3568" s="117" t="str">
        <x:v>Delegate</x:v>
      </x:c>
      <x:c r="R3568" s="117" t="str">
        <x:v>US FSL - Ultrasound Checklist</x:v>
      </x:c>
      <x:c r="S3568" s="119" t="str">
        <x:v>02/25/2026 - (KL) - Testing updates for optimal FSL Mobile Usage</x:v>
      </x:c>
    </x:row>
    <x:row r="3569" ht="30" customHeight="1">
      <x:c r="A3569" s="117" t="str">
        <x:v>US_FSL_Ultrasound_Checklist</x:v>
      </x:c>
      <x:c r="B3569" s="117" t="str">
        <x:v>300Ro00000noVpCIAU</x:v>
      </x:c>
      <x:c r="C3569" s="117" t="str">
        <x:v>301Ro00000zBH6TIAW</x:v>
      </x:c>
      <x:c r="D3569" s="118" t="n">
        <x:v>63</x:v>
      </x:c>
      <x:c r="E3569" s="117" t="str">
        <x:v>Obsolete</x:v>
      </x:c>
      <x:c r="F3569" s="117" t="str">
        <x:v>No</x:v>
      </x:c>
      <x:c r="G3569" s="117" t="str">
        <x:v>No</x:v>
      </x:c>
      <x:c r="H3569" s="117" t="str">
        <x:v>FieldServiceMobile</x:v>
      </x:c>
      <x:c r="I3569" s="118"/>
      <x:c r="J3569" s="117" t="str">
        <x:v>unmanaged</x:v>
      </x:c>
      <x:c r="K3569" s="123" t="b">
        <x:v>0</x:v>
      </x:c>
      <x:c r="L3569" s="117"/>
      <x:c r="M3569" s="118"/>
      <x:c r="N3569" s="120" t="n">
        <x:v>46078.58608796296</x:v>
      </x:c>
      <x:c r="O3569" s="117" t="str">
        <x:v>Delegate</x:v>
      </x:c>
      <x:c r="P3569" s="120" t="n">
        <x:v>46078.58641203704</x:v>
      </x:c>
      <x:c r="Q3569" s="117" t="str">
        <x:v>Delegate</x:v>
      </x:c>
      <x:c r="R3569" s="117" t="str">
        <x:v>US FSL - Ultrasound Checklist</x:v>
      </x:c>
      <x:c r="S3569" s="119" t="str">
        <x:v>02/25/2026 - (KL) - Testing updates for optimal FSL Mobile Usage</x:v>
      </x:c>
    </x:row>
    <x:row r="3570" ht="30" customHeight="1">
      <x:c r="A3570" s="117" t="str">
        <x:v>US_FSL_Ultrasound_Checklist</x:v>
      </x:c>
      <x:c r="B3570" s="117" t="str">
        <x:v>300Ro00000noVpCIAU</x:v>
      </x:c>
      <x:c r="C3570" s="117" t="str">
        <x:v>301Ro00000zDZRRIA4</x:v>
      </x:c>
      <x:c r="D3570" s="118" t="n">
        <x:v>64</x:v>
      </x:c>
      <x:c r="E3570" s="117" t="str">
        <x:v>Obsolete</x:v>
      </x:c>
      <x:c r="F3570" s="117" t="str">
        <x:v>No</x:v>
      </x:c>
      <x:c r="G3570" s="117" t="str">
        <x:v>No</x:v>
      </x:c>
      <x:c r="H3570" s="117" t="str">
        <x:v>FieldServiceMobile</x:v>
      </x:c>
      <x:c r="I3570" s="118"/>
      <x:c r="J3570" s="117" t="str">
        <x:v>unmanaged</x:v>
      </x:c>
      <x:c r="K3570" s="123" t="b">
        <x:v>0</x:v>
      </x:c>
      <x:c r="L3570" s="117"/>
      <x:c r="M3570" s="118"/>
      <x:c r="N3570" s="120" t="n">
        <x:v>46078.757199074076</x:v>
      </x:c>
      <x:c r="O3570" s="117" t="str">
        <x:v>Delegate</x:v>
      </x:c>
      <x:c r="P3570" s="120" t="n">
        <x:v>46078.760729166665</x:v>
      </x:c>
      <x:c r="Q3570" s="117" t="str">
        <x:v>Delegate</x:v>
      </x:c>
      <x:c r="R3570" s="117" t="str">
        <x:v>US FSL - Ultrasound Checklist</x:v>
      </x:c>
      <x:c r="S3570" s="119" t="str">
        <x:v>02/25/2026 - (KL) - Testing updates for optimal FSL Mobile Usage</x:v>
      </x:c>
    </x:row>
    <x:row r="3571" ht="30" customHeight="1">
      <x:c r="A3571" s="117" t="str">
        <x:v>US_FSL_Ultrasound_Checklist</x:v>
      </x:c>
      <x:c r="B3571" s="117" t="str">
        <x:v>300Ro00000noVpCIAU</x:v>
      </x:c>
      <x:c r="C3571" s="117" t="str">
        <x:v>301Ro00000zCyTYIA0</x:v>
      </x:c>
      <x:c r="D3571" s="118" t="n">
        <x:v>65</x:v>
      </x:c>
      <x:c r="E3571" s="117" t="str">
        <x:v>Obsolete</x:v>
      </x:c>
      <x:c r="F3571" s="117" t="str">
        <x:v>No</x:v>
      </x:c>
      <x:c r="G3571" s="117" t="str">
        <x:v>No</x:v>
      </x:c>
      <x:c r="H3571" s="117" t="str">
        <x:v>FieldServiceMobile</x:v>
      </x:c>
      <x:c r="I3571" s="118"/>
      <x:c r="J3571" s="117" t="str">
        <x:v>unmanaged</x:v>
      </x:c>
      <x:c r="K3571" s="123" t="b">
        <x:v>0</x:v>
      </x:c>
      <x:c r="L3571" s="117"/>
      <x:c r="M3571" s="118"/>
      <x:c r="N3571" s="120" t="n">
        <x:v>46078.77038194444</x:v>
      </x:c>
      <x:c r="O3571" s="117" t="str">
        <x:v>Delegate</x:v>
      </x:c>
      <x:c r="P3571" s="120" t="n">
        <x:v>46078.77060185185</x:v>
      </x:c>
      <x:c r="Q3571" s="117" t="str">
        <x:v>Delegate</x:v>
      </x:c>
      <x:c r="R3571" s="117" t="str">
        <x:v>US FSL - Ultrasound Checklist</x:v>
      </x:c>
      <x:c r="S3571" s="119" t="str">
        <x:v>02/25/2026 - (KL) - Testing updates for optimal FSL Mobile Usage</x:v>
      </x:c>
    </x:row>
    <x:row r="3572" ht="30" customHeight="1">
      <x:c r="A3572" s="117" t="str">
        <x:v>US_FSL_Ultrasound_Checklist</x:v>
      </x:c>
      <x:c r="B3572" s="117" t="str">
        <x:v>300Ro00000noVpCIAU</x:v>
      </x:c>
      <x:c r="C3572" s="117" t="str">
        <x:v>301Ro00000zD1PoIAK</x:v>
      </x:c>
      <x:c r="D3572" s="118" t="n">
        <x:v>66</x:v>
      </x:c>
      <x:c r="E3572" s="117" t="str">
        <x:v>Obsolete</x:v>
      </x:c>
      <x:c r="F3572" s="117" t="str">
        <x:v>No</x:v>
      </x:c>
      <x:c r="G3572" s="117" t="str">
        <x:v>No</x:v>
      </x:c>
      <x:c r="H3572" s="117" t="str">
        <x:v>FieldServiceMobile</x:v>
      </x:c>
      <x:c r="I3572" s="118"/>
      <x:c r="J3572" s="117" t="str">
        <x:v>unmanaged</x:v>
      </x:c>
      <x:c r="K3572" s="123" t="b">
        <x:v>0</x:v>
      </x:c>
      <x:c r="L3572" s="117"/>
      <x:c r="M3572" s="118"/>
      <x:c r="N3572" s="120" t="n">
        <x:v>46078.77337962963</x:v>
      </x:c>
      <x:c r="O3572" s="117" t="str">
        <x:v>Delegate</x:v>
      </x:c>
      <x:c r="P3572" s="120" t="n">
        <x:v>46078.77380787037</x:v>
      </x:c>
      <x:c r="Q3572" s="117" t="str">
        <x:v>Delegate</x:v>
      </x:c>
      <x:c r="R3572" s="117" t="str">
        <x:v>US FSL - Ultrasound Checklist</x:v>
      </x:c>
      <x:c r="S3572" s="119" t="str">
        <x:v>02/25/2026 - (KL) - Testing updates for optimal FSL Mobile Usage</x:v>
      </x:c>
    </x:row>
    <x:row r="3573" ht="30" customHeight="1">
      <x:c r="A3573" s="117" t="str">
        <x:v>US_FSL_Ultrasound_Checklist</x:v>
      </x:c>
      <x:c r="B3573" s="117" t="str">
        <x:v>300Ro00000noVpCIAU</x:v>
      </x:c>
      <x:c r="C3573" s="117" t="str">
        <x:v>301Ro00000zD9IVIA0</x:v>
      </x:c>
      <x:c r="D3573" s="118" t="n">
        <x:v>67</x:v>
      </x:c>
      <x:c r="E3573" s="117" t="str">
        <x:v>Obsolete</x:v>
      </x:c>
      <x:c r="F3573" s="117" t="str">
        <x:v>No</x:v>
      </x:c>
      <x:c r="G3573" s="117" t="str">
        <x:v>No</x:v>
      </x:c>
      <x:c r="H3573" s="117" t="str">
        <x:v>FieldServiceMobile</x:v>
      </x:c>
      <x:c r="I3573" s="118"/>
      <x:c r="J3573" s="117" t="str">
        <x:v>unmanaged</x:v>
      </x:c>
      <x:c r="K3573" s="123" t="b">
        <x:v>0</x:v>
      </x:c>
      <x:c r="L3573" s="117"/>
      <x:c r="M3573" s="118"/>
      <x:c r="N3573" s="120" t="n">
        <x:v>46078.78607638889</x:v>
      </x:c>
      <x:c r="O3573" s="117" t="str">
        <x:v>Delegate</x:v>
      </x:c>
      <x:c r="P3573" s="120" t="n">
        <x:v>46078.78949074074</x:v>
      </x:c>
      <x:c r="Q3573" s="117" t="str">
        <x:v>Delegate</x:v>
      </x:c>
      <x:c r="R3573" s="117" t="str">
        <x:v>US FSL - Ultrasound Checklist</x:v>
      </x:c>
      <x:c r="S3573" s="119" t="str">
        <x:v>02/25/2026 - (KL) - Testing updates for optimal FSL Mobile Usage</x:v>
      </x:c>
    </x:row>
    <x:row r="3574" ht="30" customHeight="1">
      <x:c r="A3574" s="117" t="str">
        <x:v>US_FSL_Ultrasound_Checklist</x:v>
      </x:c>
      <x:c r="B3574" s="117" t="str">
        <x:v>300Ro00000noVpCIAU</x:v>
      </x:c>
      <x:c r="C3574" s="117" t="str">
        <x:v>301Ro00000zDXWCIA4</x:v>
      </x:c>
      <x:c r="D3574" s="118" t="n">
        <x:v>68</x:v>
      </x:c>
      <x:c r="E3574" s="117" t="str">
        <x:v>Obsolete</x:v>
      </x:c>
      <x:c r="F3574" s="117" t="str">
        <x:v>No</x:v>
      </x:c>
      <x:c r="G3574" s="117" t="str">
        <x:v>No</x:v>
      </x:c>
      <x:c r="H3574" s="117" t="str">
        <x:v>FieldServiceMobile</x:v>
      </x:c>
      <x:c r="I3574" s="118"/>
      <x:c r="J3574" s="117" t="str">
        <x:v>unmanaged</x:v>
      </x:c>
      <x:c r="K3574" s="123" t="b">
        <x:v>0</x:v>
      </x:c>
      <x:c r="L3574" s="117"/>
      <x:c r="M3574" s="118"/>
      <x:c r="N3574" s="120" t="n">
        <x:v>46078.79541666667</x:v>
      </x:c>
      <x:c r="O3574" s="117" t="str">
        <x:v>Delegate</x:v>
      </x:c>
      <x:c r="P3574" s="120" t="n">
        <x:v>46078.79570601852</x:v>
      </x:c>
      <x:c r="Q3574" s="117" t="str">
        <x:v>Delegate</x:v>
      </x:c>
      <x:c r="R3574" s="117" t="str">
        <x:v>US FSL - Ultrasound Checklist</x:v>
      </x:c>
      <x:c r="S3574" s="119" t="str">
        <x:v>02/25/2026 - (KL) - Testing updates for optimal FSL Mobile Usage</x:v>
      </x:c>
    </x:row>
    <x:row r="3575" ht="30" customHeight="1">
      <x:c r="A3575" s="117" t="str">
        <x:v>US_FSL_Ultrasound_Checklist</x:v>
      </x:c>
      <x:c r="B3575" s="117" t="str">
        <x:v>300Ro00000noVpCIAU</x:v>
      </x:c>
      <x:c r="C3575" s="117" t="str">
        <x:v>301Ro00000zDtFCIA0</x:v>
      </x:c>
      <x:c r="D3575" s="118" t="n">
        <x:v>69</x:v>
      </x:c>
      <x:c r="E3575" s="117" t="str">
        <x:v>Obsolete</x:v>
      </x:c>
      <x:c r="F3575" s="117" t="str">
        <x:v>No</x:v>
      </x:c>
      <x:c r="G3575" s="117" t="str">
        <x:v>No</x:v>
      </x:c>
      <x:c r="H3575" s="117" t="str">
        <x:v>FieldServiceMobile</x:v>
      </x:c>
      <x:c r="I3575" s="118"/>
      <x:c r="J3575" s="117" t="str">
        <x:v>unmanaged</x:v>
      </x:c>
      <x:c r="K3575" s="123" t="b">
        <x:v>0</x:v>
      </x:c>
      <x:c r="L3575" s="117"/>
      <x:c r="M3575" s="118"/>
      <x:c r="N3575" s="120" t="n">
        <x:v>46078.80672453704</x:v>
      </x:c>
      <x:c r="O3575" s="117" t="str">
        <x:v>Delegate</x:v>
      </x:c>
      <x:c r="P3575" s="120" t="n">
        <x:v>46078.8071875</x:v>
      </x:c>
      <x:c r="Q3575" s="117" t="str">
        <x:v>Delegate</x:v>
      </x:c>
      <x:c r="R3575" s="117" t="str">
        <x:v>US FSL - Ultrasound Checklist</x:v>
      </x:c>
      <x:c r="S3575" s="119" t="str">
        <x:v>02/25/2026 - (KL) - Testing updates for optimal FSL Mobile Usage</x:v>
      </x:c>
    </x:row>
    <x:row r="3576" ht="30" customHeight="1">
      <x:c r="A3576" s="117" t="str">
        <x:v>US_FSL_Ultrasound_Checklist</x:v>
      </x:c>
      <x:c r="B3576" s="117" t="str">
        <x:v>300Ro00000noVpCIAU</x:v>
      </x:c>
      <x:c r="C3576" s="117" t="str">
        <x:v>301Ro00000zDzk7IAC</x:v>
      </x:c>
      <x:c r="D3576" s="118" t="n">
        <x:v>70</x:v>
      </x:c>
      <x:c r="E3576" s="117" t="str">
        <x:v>Obsolete</x:v>
      </x:c>
      <x:c r="F3576" s="117" t="str">
        <x:v>No</x:v>
      </x:c>
      <x:c r="G3576" s="117" t="str">
        <x:v>No</x:v>
      </x:c>
      <x:c r="H3576" s="117" t="str">
        <x:v>FieldServiceMobile</x:v>
      </x:c>
      <x:c r="I3576" s="118"/>
      <x:c r="J3576" s="117" t="str">
        <x:v>unmanaged</x:v>
      </x:c>
      <x:c r="K3576" s="123" t="b">
        <x:v>0</x:v>
      </x:c>
      <x:c r="L3576" s="117"/>
      <x:c r="M3576" s="118"/>
      <x:c r="N3576" s="120" t="n">
        <x:v>46078.80979166667</x:v>
      </x:c>
      <x:c r="O3576" s="117" t="str">
        <x:v>Delegate</x:v>
      </x:c>
      <x:c r="P3576" s="120" t="n">
        <x:v>46078.81008101852</x:v>
      </x:c>
      <x:c r="Q3576" s="117" t="str">
        <x:v>Delegate</x:v>
      </x:c>
      <x:c r="R3576" s="117" t="str">
        <x:v>US FSL - Ultrasound Checklist</x:v>
      </x:c>
      <x:c r="S3576" s="119" t="str">
        <x:v>02/25/2026 - (KL) - Testing updates for optimal FSL Mobile Usage</x:v>
      </x:c>
    </x:row>
    <x:row r="3577" ht="30" customHeight="1">
      <x:c r="A3577" s="117" t="str">
        <x:v>US_FSL_Ultrasound_Checklist</x:v>
      </x:c>
      <x:c r="B3577" s="117" t="str">
        <x:v>300Ro00000noVpCIAU</x:v>
      </x:c>
      <x:c r="C3577" s="117" t="str">
        <x:v>301Ro000010P3v5IAC</x:v>
      </x:c>
      <x:c r="D3577" s="118" t="n">
        <x:v>71</x:v>
      </x:c>
      <x:c r="E3577" s="117" t="str">
        <x:v>Obsolete</x:v>
      </x:c>
      <x:c r="F3577" s="117" t="str">
        <x:v>No</x:v>
      </x:c>
      <x:c r="G3577" s="117" t="str">
        <x:v>No</x:v>
      </x:c>
      <x:c r="H3577" s="117" t="str">
        <x:v>FieldServiceMobile</x:v>
      </x:c>
      <x:c r="I3577" s="118"/>
      <x:c r="J3577" s="117" t="str">
        <x:v>unmanaged</x:v>
      </x:c>
      <x:c r="K3577" s="123" t="b">
        <x:v>0</x:v>
      </x:c>
      <x:c r="L3577" s="117"/>
      <x:c r="M3577" s="118"/>
      <x:c r="N3577" s="120" t="n">
        <x:v>46093.60357638889</x:v>
      </x:c>
      <x:c r="O3577" s="117" t="str">
        <x:v>Delegate</x:v>
      </x:c>
      <x:c r="P3577" s="120" t="n">
        <x:v>46094.57780092592</x:v>
      </x:c>
      <x:c r="Q3577" s="117" t="str">
        <x:v>Delegate</x:v>
      </x:c>
      <x:c r="R3577" s="117" t="str">
        <x:v>US FSL - Ultrasound Checklist</x:v>
      </x:c>
      <x:c r="S3577" s="119" t="str">
        <x:v>02/25/2026 - (KL) - Testing updates for optimal FSL Mobile Usage</x:v>
      </x:c>
    </x:row>
    <x:row r="3578" ht="30" customHeight="1">
      <x:c r="A3578" s="117" t="str">
        <x:v>US_FSL_Ultrasound_Checklist</x:v>
      </x:c>
      <x:c r="B3578" s="117" t="str">
        <x:v>300Ro00000noVpCIAU</x:v>
      </x:c>
      <x:c r="C3578" s="117" t="str">
        <x:v>301Ro000017bNkKIAU</x:v>
      </x:c>
      <x:c r="D3578" s="118" t="n">
        <x:v>72</x:v>
      </x:c>
      <x:c r="E3578" s="117" t="str">
        <x:v>InvalidDraft</x:v>
      </x:c>
      <x:c r="F3578" s="117" t="str">
        <x:v>No</x:v>
      </x:c>
      <x:c r="G3578" s="117" t="str">
        <x:v>No</x:v>
      </x:c>
      <x:c r="H3578" s="117" t="str">
        <x:v>FieldServiceMobile</x:v>
      </x:c>
      <x:c r="I3578" s="118"/>
      <x:c r="J3578" s="117" t="str">
        <x:v>unmanaged</x:v>
      </x:c>
      <x:c r="K3578" s="123" t="b">
        <x:v>0</x:v>
      </x:c>
      <x:c r="L3578" s="117"/>
      <x:c r="M3578" s="118"/>
      <x:c r="N3578" s="120" t="n">
        <x:v>46177.629525462966</x:v>
      </x:c>
      <x:c r="O3578" s="117" t="str">
        <x:v>Mindy Bender</x:v>
      </x:c>
      <x:c r="P3578" s="120" t="n">
        <x:v>46177.62961805556</x:v>
      </x:c>
      <x:c r="Q3578" s="117" t="str">
        <x:v>Mindy Bender</x:v>
      </x:c>
      <x:c r="R3578" s="117" t="str">
        <x:v>US FSL - Ultrasound Checklist</x:v>
      </x:c>
      <x:c r="S3578" s="119" t="str">
        <x:v>06/04/2026 - (MPB) - Adding system info to the first screen to then print on the PMR</x:v>
      </x:c>
    </x:row>
    <x:row r="3579" ht="30" customHeight="1">
      <x:c r="A3579" s="117" t="str">
        <x:v>US_FSL_Ultrasound_Checklist</x:v>
      </x:c>
      <x:c r="B3579" s="117" t="str">
        <x:v>300Ro00000noVpCIAU</x:v>
      </x:c>
      <x:c r="C3579" s="117" t="str">
        <x:v>301Ro000017bXdGIAU</x:v>
      </x:c>
      <x:c r="D3579" s="118" t="n">
        <x:v>73</x:v>
      </x:c>
      <x:c r="E3579" s="117" t="str">
        <x:v>Obsolete</x:v>
      </x:c>
      <x:c r="F3579" s="117" t="str">
        <x:v>No</x:v>
      </x:c>
      <x:c r="G3579" s="117" t="str">
        <x:v>No</x:v>
      </x:c>
      <x:c r="H3579" s="117" t="str">
        <x:v>FieldServiceMobile</x:v>
      </x:c>
      <x:c r="I3579" s="118"/>
      <x:c r="J3579" s="117" t="str">
        <x:v>unmanaged</x:v>
      </x:c>
      <x:c r="K3579" s="123" t="b">
        <x:v>0</x:v>
      </x:c>
      <x:c r="L3579" s="117"/>
      <x:c r="M3579" s="118"/>
      <x:c r="N3579" s="120" t="n">
        <x:v>46177.643229166664</x:v>
      </x:c>
      <x:c r="O3579" s="117" t="str">
        <x:v>Mindy Bender</x:v>
      </x:c>
      <x:c r="P3579" s="120" t="n">
        <x:v>46177.64675925926</x:v>
      </x:c>
      <x:c r="Q3579" s="117" t="str">
        <x:v>Mindy Bender</x:v>
      </x:c>
      <x:c r="R3579" s="117" t="str">
        <x:v>US FSL - Ultrasound Checklist</x:v>
      </x:c>
      <x:c r="S3579" s="119" t="str">
        <x:v>06/04/2026 - (MPB) - Adding System info to original screen and update back to WO</x:v>
      </x:c>
    </x:row>
    <x:row r="3580" ht="30" customHeight="1">
      <x:c r="A3580" s="117" t="str">
        <x:v>US_FSL_Ultrasound_Checklist</x:v>
      </x:c>
      <x:c r="B3580" s="117" t="str">
        <x:v>300Ro00000noVpCIAU</x:v>
      </x:c>
      <x:c r="C3580" s="117" t="str">
        <x:v>301Ro000017bTUrIAM</x:v>
      </x:c>
      <x:c r="D3580" s="118" t="n">
        <x:v>74</x:v>
      </x:c>
      <x:c r="E3580" s="117" t="str">
        <x:v>Obsolete</x:v>
      </x:c>
      <x:c r="F3580" s="117" t="str">
        <x:v>No</x:v>
      </x:c>
      <x:c r="G3580" s="117" t="str">
        <x:v>No</x:v>
      </x:c>
      <x:c r="H3580" s="117" t="str">
        <x:v>FieldServiceMobile</x:v>
      </x:c>
      <x:c r="I3580" s="118"/>
      <x:c r="J3580" s="117" t="str">
        <x:v>unmanaged</x:v>
      </x:c>
      <x:c r="K3580" s="123" t="b">
        <x:v>0</x:v>
      </x:c>
      <x:c r="L3580" s="117"/>
      <x:c r="M3580" s="118"/>
      <x:c r="N3580" s="120" t="n">
        <x:v>46177.65146990741</x:v>
      </x:c>
      <x:c r="O3580" s="117" t="str">
        <x:v>Mindy Bender</x:v>
      </x:c>
      <x:c r="P3580" s="120" t="n">
        <x:v>46177.65164351852</x:v>
      </x:c>
      <x:c r="Q3580" s="117" t="str">
        <x:v>Mindy Bender</x:v>
      </x:c>
      <x:c r="R3580" s="117" t="str">
        <x:v>US FSL - Ultrasound Checklist</x:v>
      </x:c>
      <x:c r="S3580" s="119" t="str">
        <x:v>06/04/2026 - (MPB) - Adding System info to original screen and update back to WO</x:v>
      </x:c>
    </x:row>
    <x:row r="3581" ht="30" customHeight="1">
      <x:c r="A3581" s="117" t="str">
        <x:v>US_FSL_Ultrasound_Checklist</x:v>
      </x:c>
      <x:c r="B3581" s="117" t="str">
        <x:v>300Ro00000noVpCIAU</x:v>
      </x:c>
      <x:c r="C3581" s="117" t="str">
        <x:v>301Ro000017b8yEIAQ</x:v>
      </x:c>
      <x:c r="D3581" s="118" t="n">
        <x:v>75</x:v>
      </x:c>
      <x:c r="E3581" s="117" t="str">
        <x:v>Obsolete</x:v>
      </x:c>
      <x:c r="F3581" s="117" t="str">
        <x:v>No</x:v>
      </x:c>
      <x:c r="G3581" s="117" t="str">
        <x:v>No</x:v>
      </x:c>
      <x:c r="H3581" s="117" t="str">
        <x:v>FieldServiceMobile</x:v>
      </x:c>
      <x:c r="I3581" s="118"/>
      <x:c r="J3581" s="117" t="str">
        <x:v>unmanaged</x:v>
      </x:c>
      <x:c r="K3581" s="123" t="b">
        <x:v>0</x:v>
      </x:c>
      <x:c r="L3581" s="117"/>
      <x:c r="M3581" s="118"/>
      <x:c r="N3581" s="120" t="n">
        <x:v>46177.65511574074</x:v>
      </x:c>
      <x:c r="O3581" s="117" t="str">
        <x:v>Mindy Bender</x:v>
      </x:c>
      <x:c r="P3581" s="120" t="n">
        <x:v>46177.6553587963</x:v>
      </x:c>
      <x:c r="Q3581" s="117" t="str">
        <x:v>Mindy Bender</x:v>
      </x:c>
      <x:c r="R3581" s="117" t="str">
        <x:v>US FSL - Ultrasound Checklist</x:v>
      </x:c>
      <x:c r="S3581" s="119" t="str">
        <x:v>06/04/2026 - (MPB) - Adding System info to original screen and update back to WO</x:v>
      </x:c>
    </x:row>
    <x:row r="3582" ht="30" customHeight="1">
      <x:c r="A3582" s="117" t="str">
        <x:v>US_FSL_Ultrasound_Checklist</x:v>
      </x:c>
      <x:c r="B3582" s="117" t="str">
        <x:v>300Ro00000noVpCIAU</x:v>
      </x:c>
      <x:c r="C3582" s="117" t="str">
        <x:v>301Ro000018k59OIAQ</x:v>
      </x:c>
      <x:c r="D3582" s="118" t="n">
        <x:v>76</x:v>
      </x:c>
      <x:c r="E3582" s="117" t="str">
        <x:v>Obsolete</x:v>
      </x:c>
      <x:c r="F3582" s="117" t="str">
        <x:v>No</x:v>
      </x:c>
      <x:c r="G3582" s="117" t="str">
        <x:v>No</x:v>
      </x:c>
      <x:c r="H3582" s="117" t="str">
        <x:v>FieldServiceMobile</x:v>
      </x:c>
      <x:c r="I3582" s="118"/>
      <x:c r="J3582" s="117" t="str">
        <x:v>unmanaged</x:v>
      </x:c>
      <x:c r="K3582" s="123" t="b">
        <x:v>0</x:v>
      </x:c>
      <x:c r="L3582" s="117"/>
      <x:c r="M3582" s="118"/>
      <x:c r="N3582" s="120" t="n">
        <x:v>46190.07938657407</x:v>
      </x:c>
      <x:c r="O3582" s="117" t="str">
        <x:v>Mindy Bender</x:v>
      </x:c>
      <x:c r="P3582" s="120" t="n">
        <x:v>46190.082141203704</x:v>
      </x:c>
      <x:c r="Q3582" s="117" t="str">
        <x:v>Mindy Bender</x:v>
      </x:c>
      <x:c r="R3582" s="117" t="str">
        <x:v>US FSL - Ultrasound Checklist</x:v>
      </x:c>
      <x:c r="S3582" s="119" t="str">
        <x:v>06/16/2026 - MPB - Adding Block Fields that will eventually print on Custom Service Report</x:v>
      </x:c>
    </x:row>
    <x:row r="3583" ht="30" customHeight="1">
      <x:c r="A3583" s="117" t="str">
        <x:v>US_FSL_Ultrasound_Checklist</x:v>
      </x:c>
      <x:c r="B3583" s="117" t="str">
        <x:v>300Ro00000noVpCIAU</x:v>
      </x:c>
      <x:c r="C3583" s="117" t="str">
        <x:v>301Ro000018qy7wIAA</x:v>
      </x:c>
      <x:c r="D3583" s="118" t="n">
        <x:v>77</x:v>
      </x:c>
      <x:c r="E3583" s="117" t="str">
        <x:v>Obsolete</x:v>
      </x:c>
      <x:c r="F3583" s="117" t="str">
        <x:v>No</x:v>
      </x:c>
      <x:c r="G3583" s="117" t="str">
        <x:v>No</x:v>
      </x:c>
      <x:c r="H3583" s="117" t="str">
        <x:v>FieldServiceMobile</x:v>
      </x:c>
      <x:c r="I3583" s="118"/>
      <x:c r="J3583" s="117" t="str">
        <x:v>unmanaged</x:v>
      </x:c>
      <x:c r="K3583" s="123" t="b">
        <x:v>0</x:v>
      </x:c>
      <x:c r="L3583" s="117"/>
      <x:c r="M3583" s="118"/>
      <x:c r="N3583" s="120" t="n">
        <x:v>46190.99118055555</x:v>
      </x:c>
      <x:c r="O3583" s="117" t="str">
        <x:v>Mindy Bender</x:v>
      </x:c>
      <x:c r="P3583" s="120" t="n">
        <x:v>46190.99144675926</x:v>
      </x:c>
      <x:c r="Q3583" s="117" t="str">
        <x:v>Mindy Bender</x:v>
      </x:c>
      <x:c r="R3583" s="117" t="str">
        <x:v>US FSL - Ultrasound Checklist</x:v>
      </x:c>
      <x:c r="S3583" s="119" t="str">
        <x:v>06/16/2026 - MPB - Adding Block Fields that will eventually print on Custom Service Report</x:v>
      </x:c>
    </x:row>
    <x:row r="3584" ht="30" customHeight="1">
      <x:c r="A3584" s="117" t="str">
        <x:v>US_FSL_Ultrasound_Checklist</x:v>
      </x:c>
      <x:c r="B3584" s="117" t="str">
        <x:v>300Ro00000noVpCIAU</x:v>
      </x:c>
      <x:c r="C3584" s="117" t="str">
        <x:v>301Ro00001AvlwnIAB</x:v>
      </x:c>
      <x:c r="D3584" s="118" t="n">
        <x:v>78</x:v>
      </x:c>
      <x:c r="E3584" s="117" t="str">
        <x:v>Active</x:v>
      </x:c>
      <x:c r="F3584" s="117" t="str">
        <x:v>Yes</x:v>
      </x:c>
      <x:c r="G3584" s="117" t="str">
        <x:v>Yes</x:v>
      </x:c>
      <x:c r="H3584" s="117" t="str">
        <x:v>FieldServiceMobile</x:v>
      </x:c>
      <x:c r="I3584" s="118"/>
      <x:c r="J3584" s="117" t="str">
        <x:v>unmanaged</x:v>
      </x:c>
      <x:c r="K3584" s="123" t="b">
        <x:v>0</x:v>
      </x:c>
      <x:c r="L3584" s="117"/>
      <x:c r="M3584" s="118"/>
      <x:c r="N3584" s="120" t="n">
        <x:v>46213.67518518519</x:v>
      </x:c>
      <x:c r="O3584" s="117" t="str">
        <x:v>Mindy Bender</x:v>
      </x:c>
      <x:c r="P3584" s="120" t="n">
        <x:v>46213.68261574074</x:v>
      </x:c>
      <x:c r="Q3584" s="117" t="str">
        <x:v>Mindy Bender</x:v>
      </x:c>
      <x:c r="R3584" s="117" t="str">
        <x:v>US FSL - Ultrasound Checklist</x:v>
      </x:c>
      <x:c r="S3584" s="119" t="str">
        <x:v>07/10/2026 - MPB - Fixing to include Block Preliminary Checks</x:v>
      </x:c>
    </x:row>
    <x:row r="3585" ht="30" customHeight="1">
      <x:c r="A3585" s="117" t="str">
        <x:v>US_FSL_Update_Open_SA_Shipping_Address_when_changed_on_WO</x:v>
      </x:c>
      <x:c r="B3585" s="117" t="str">
        <x:v>300Ro000010n4l8IAA</x:v>
      </x:c>
      <x:c r="C3585" s="117" t="str">
        <x:v>301Ro000019GWz7IAG</x:v>
      </x:c>
      <x:c r="D3585" s="118" t="n">
        <x:v>1</x:v>
      </x:c>
      <x:c r="E3585" s="117" t="str">
        <x:v>Obsolete</x:v>
      </x:c>
      <x:c r="F3585" s="117" t="str">
        <x:v>No</x:v>
      </x:c>
      <x:c r="G3585" s="117" t="str">
        <x:v>No</x:v>
      </x:c>
      <x:c r="H3585" s="117" t="str">
        <x:v>AutoLaunchedFlow</x:v>
      </x:c>
      <x:c r="I3585" s="118" t="n">
        <x:v>67</x:v>
      </x:c>
      <x:c r="J3585" s="117" t="str">
        <x:v>unmanaged</x:v>
      </x:c>
      <x:c r="K3585" s="123" t="b">
        <x:v>0</x:v>
      </x:c>
      <x:c r="L3585" s="117"/>
      <x:c r="M3585" s="118"/>
      <x:c r="N3585" s="120" t="n">
        <x:v>46195.984930555554</x:v>
      </x:c>
      <x:c r="O3585" s="117" t="str">
        <x:v>Mindy Bender</x:v>
      </x:c>
      <x:c r="P3585" s="120" t="n">
        <x:v>46195.985659722224</x:v>
      </x:c>
      <x:c r="Q3585" s="117" t="str">
        <x:v>Mindy Bender</x:v>
      </x:c>
      <x:c r="R3585" s="117" t="str">
        <x:v>US FSL | Update Open SA Shipping Address when changed on WO</x:v>
      </x:c>
      <x:c r="S3585" s="119" t="str">
        <x:v>updates the shipping address on any service appointment that does not have a ship date or is in completed status.</x:v>
      </x:c>
    </x:row>
    <x:row r="3586" ht="30" customHeight="1">
      <x:c r="A3586" s="117" t="str">
        <x:v>US_FSL_Update_Open_SA_Shipping_Address_when_changed_on_WO</x:v>
      </x:c>
      <x:c r="B3586" s="117" t="str">
        <x:v>300Ro000010n4l8IAA</x:v>
      </x:c>
      <x:c r="C3586" s="117" t="str">
        <x:v>301Ro000019GROMIA4</x:v>
      </x:c>
      <x:c r="D3586" s="118" t="n">
        <x:v>2</x:v>
      </x:c>
      <x:c r="E3586" s="117" t="str">
        <x:v>Active</x:v>
      </x:c>
      <x:c r="F3586" s="117" t="str">
        <x:v>Yes</x:v>
      </x:c>
      <x:c r="G3586" s="117" t="str">
        <x:v>Yes</x:v>
      </x:c>
      <x:c r="H3586" s="117" t="str">
        <x:v>AutoLaunchedFlow</x:v>
      </x:c>
      <x:c r="I3586" s="118" t="n">
        <x:v>67</x:v>
      </x:c>
      <x:c r="J3586" s="117" t="str">
        <x:v>unmanaged</x:v>
      </x:c>
      <x:c r="K3586" s="123" t="b">
        <x:v>0</x:v>
      </x:c>
      <x:c r="L3586" s="117"/>
      <x:c r="M3586" s="118"/>
      <x:c r="N3586" s="120" t="n">
        <x:v>46195.995891203704</x:v>
      </x:c>
      <x:c r="O3586" s="117" t="str">
        <x:v>Mindy Bender</x:v>
      </x:c>
      <x:c r="P3586" s="120" t="n">
        <x:v>46195.99594907407</x:v>
      </x:c>
      <x:c r="Q3586" s="117" t="str">
        <x:v>Mindy Bender</x:v>
      </x:c>
      <x:c r="R3586" s="117" t="str">
        <x:v>US FSL | Update Open SA Shipping Address when changed on WO</x:v>
      </x:c>
      <x:c r="S3586" s="119" t="str">
        <x:v>updates the shipping address on any service appointment that does not have a ship date or is in completed status.</x:v>
      </x:c>
    </x:row>
    <x:row r="3587" ht="30" customHeight="1">
      <x:c r="A3587" s="117" t="str">
        <x:v>US_Workflow_Update_Labor_Travel_on_Ready_for_Close</x:v>
      </x:c>
      <x:c r="B3587" s="117" t="str">
        <x:v>300Ro00000oer8rIAA</x:v>
      </x:c>
      <x:c r="C3587" s="117" t="str">
        <x:v>301Ro00000w72q5IAA</x:v>
      </x:c>
      <x:c r="D3587" s="118" t="n">
        <x:v>1</x:v>
      </x:c>
      <x:c r="E3587" s="117" t="str">
        <x:v>Obsolete</x:v>
      </x:c>
      <x:c r="F3587" s="117" t="str">
        <x:v>No</x:v>
      </x:c>
      <x:c r="G3587" s="117" t="str">
        <x:v>No</x:v>
      </x:c>
      <x:c r="H3587" s="117" t="str">
        <x:v>AutoLaunchedFlow</x:v>
      </x:c>
      <x:c r="I3587" s="118" t="n">
        <x:v>65</x:v>
      </x:c>
      <x:c r="J3587" s="117" t="str">
        <x:v>unmanaged</x:v>
      </x:c>
      <x:c r="K3587" s="123" t="b">
        <x:v>0</x:v>
      </x:c>
      <x:c r="L3587" s="117"/>
      <x:c r="M3587" s="118"/>
      <x:c r="N3587" s="120" t="n">
        <x:v>46042.82204861111</x:v>
      </x:c>
      <x:c r="O3587" s="117" t="str">
        <x:v>Delegate</x:v>
      </x:c>
      <x:c r="P3587" s="120" t="n">
        <x:v>46042.82212962963</x:v>
      </x:c>
      <x:c r="Q3587" s="117" t="str">
        <x:v>Delegate</x:v>
      </x:c>
      <x:c r="R3587" s="117" t="str">
        <x:v>US Workflow | Update Labor &amp; Travel on Ready for Close</x:v>
      </x:c>
      <x:c r="S3587" s="119" t="str">
        <x:v>01/20/2026 (BW) - For US Work Orders, when status is updated to "Ready for Close", transfer any and all labor and travel hours to the work order</x:v>
      </x:c>
    </x:row>
    <x:row r="3588" ht="30" customHeight="1">
      <x:c r="A3588" s="117" t="str">
        <x:v>US_Workflow_Update_Labor_Travel_on_Ready_for_Close</x:v>
      </x:c>
      <x:c r="B3588" s="117" t="str">
        <x:v>300Ro00000oer8rIAA</x:v>
      </x:c>
      <x:c r="C3588" s="117" t="str">
        <x:v>301Ro00000ySFZbIAO</x:v>
      </x:c>
      <x:c r="D3588" s="118" t="n">
        <x:v>2</x:v>
      </x:c>
      <x:c r="E3588" s="117" t="str">
        <x:v>Obsolete</x:v>
      </x:c>
      <x:c r="F3588" s="117" t="str">
        <x:v>No</x:v>
      </x:c>
      <x:c r="G3588" s="117" t="str">
        <x:v>Yes</x:v>
      </x:c>
      <x:c r="H3588" s="117" t="str">
        <x:v>AutoLaunchedFlow</x:v>
      </x:c>
      <x:c r="I3588" s="118" t="n">
        <x:v>65</x:v>
      </x:c>
      <x:c r="J3588" s="117" t="str">
        <x:v>unmanaged</x:v>
      </x:c>
      <x:c r="K3588" s="123" t="b">
        <x:v>0</x:v>
      </x:c>
      <x:c r="L3588" s="117"/>
      <x:c r="M3588" s="118"/>
      <x:c r="N3588" s="120" t="n">
        <x:v>46069.82450231481</x:v>
      </x:c>
      <x:c r="O3588" s="117" t="str">
        <x:v>Delegate</x:v>
      </x:c>
      <x:c r="P3588" s="120" t="n">
        <x:v>46163.855671296296</x:v>
      </x:c>
      <x:c r="Q3588" s="117" t="str">
        <x:v>Delegate</x:v>
      </x:c>
      <x:c r="R3588" s="117" t="str">
        <x:v>US Workflow | Update Labor &amp; Travel on Ready for Close</x:v>
      </x:c>
      <x:c r="S3588" s="119" t="str">
        <x:v>01/20/2026 (BW) - For US Work Orders, when status is updated to "Ready for Close", transfer any and all labor and travel hours to the work order</x:v>
      </x:c>
    </x:row>
    <x:row r="3589" ht="30" customHeight="1">
      <x:c r="A3589" s="117" t="str">
        <x:v>Vendor_Payment_Request_Screen_Flow</x:v>
      </x:c>
      <x:c r="B3589" s="117" t="str">
        <x:v>300Ro00000E8Q6wIAF</x:v>
      </x:c>
      <x:c r="C3589" s="117" t="str">
        <x:v>301Ro00000FS7aeIAD</x:v>
      </x:c>
      <x:c r="D3589" s="118" t="n">
        <x:v>1</x:v>
      </x:c>
      <x:c r="E3589" s="117" t="str">
        <x:v>Draft</x:v>
      </x:c>
      <x:c r="F3589" s="117" t="str">
        <x:v>No</x:v>
      </x:c>
      <x:c r="G3589" s="117" t="str">
        <x:v>Yes</x:v>
      </x:c>
      <x:c r="H3589" s="117" t="str">
        <x:v>Flow</x:v>
      </x:c>
      <x:c r="I3589" s="118" t="n">
        <x:v>60</x:v>
      </x:c>
      <x:c r="J3589" s="117" t="str">
        <x:v>unmanaged</x:v>
      </x:c>
      <x:c r="K3589" s="123" t="b">
        <x:v>0</x:v>
      </x:c>
      <x:c r="L3589" s="117" t="str">
        <x:v>SystemModeWithoutSharing</x:v>
      </x:c>
      <x:c r="M3589" s="118"/>
      <x:c r="N3589" s="120" t="n">
        <x:v>45467.59753472222</x:v>
      </x:c>
      <x:c r="O3589" s="117" t="str">
        <x:v>Jace Gentil</x:v>
      </x:c>
      <x:c r="P3589" s="120" t="n">
        <x:v>45467.597708333335</x:v>
      </x:c>
      <x:c r="Q3589" s="117" t="str">
        <x:v>Jace Gentil</x:v>
      </x:c>
      <x:c r="R3589" s="117" t="str">
        <x:v>Vendor Payment Request Screen Flow</x:v>
      </x:c>
      <x:c r="S3589" s="119"/>
    </x:row>
    <x:row r="3590" ht="30" customHeight="1">
      <x:c r="A3590" s="117" t="str">
        <x:v>Venn_Outbound_Message_New_Account</x:v>
      </x:c>
      <x:c r="B3590" s="117" t="str">
        <x:v>3004O0000000a7AQAQ</x:v>
      </x:c>
      <x:c r="C3590" s="117" t="str">
        <x:v>3014O0000001Mr8QAE</x:v>
      </x:c>
      <x:c r="D3590" s="118" t="n">
        <x:v>1</x:v>
      </x:c>
      <x:c r="E3590" s="117" t="str">
        <x:v>Draft</x:v>
      </x:c>
      <x:c r="F3590" s="117" t="str">
        <x:v>No</x:v>
      </x:c>
      <x:c r="G3590" s="117" t="str">
        <x:v>Yes</x:v>
      </x:c>
      <x:c r="H3590" s="117" t="str">
        <x:v>Workflow</x:v>
      </x:c>
      <x:c r="I3590" s="118" t="n">
        <x:v>50</x:v>
      </x:c>
      <x:c r="J3590" s="117" t="str">
        <x:v>unmanaged</x:v>
      </x:c>
      <x:c r="K3590" s="123" t="b">
        <x:v>0</x:v>
      </x:c>
      <x:c r="L3590" s="117"/>
      <x:c r="M3590" s="118"/>
      <x:c r="N3590" s="120" t="n">
        <x:v>44138.782002314816</x:v>
      </x:c>
      <x:c r="O3590" s="117" t="str">
        <x:v>Venn</x:v>
      </x:c>
      <x:c r="P3590" s="120" t="n">
        <x:v>44138.782013888886</x:v>
      </x:c>
      <x:c r="Q3590" s="117" t="str">
        <x:v>Venn</x:v>
      </x:c>
      <x:c r="R3590" s="117" t="str">
        <x:v>Venn Outbound Message New Account</x:v>
      </x:c>
      <x:c r="S3590" s="119"/>
    </x:row>
    <x:row r="3591" ht="30" customHeight="1">
      <x:c r="A3591" s="117" t="str">
        <x:v>Work_Order_Assignment_and_Alerts_Flow</x:v>
      </x:c>
      <x:c r="B3591" s="117" t="str">
        <x:v>3005b000000PzyPAAS</x:v>
      </x:c>
      <x:c r="C3591" s="117" t="str">
        <x:v>3015b000000W4ivAAC</x:v>
      </x:c>
      <x:c r="D3591" s="118" t="n">
        <x:v>1</x:v>
      </x:c>
      <x:c r="E3591" s="117" t="str">
        <x:v>Obsolete</x:v>
      </x:c>
      <x:c r="F3591" s="117" t="str">
        <x:v>No</x:v>
      </x:c>
      <x:c r="G3591" s="117" t="str">
        <x:v>No</x:v>
      </x:c>
      <x:c r="H3591" s="117" t="str">
        <x:v>AutoLaunchedFlow</x:v>
      </x:c>
      <x:c r="I3591" s="118" t="n">
        <x:v>58</x:v>
      </x:c>
      <x:c r="J3591" s="117" t="str">
        <x:v>unmanaged</x:v>
      </x:c>
      <x:c r="K3591" s="123" t="b">
        <x:v>0</x:v>
      </x:c>
      <x:c r="L3591" s="117"/>
      <x:c r="M3591" s="118"/>
      <x:c r="N3591" s="120" t="n">
        <x:v>45105.87540509259</x:v>
      </x:c>
      <x:c r="O3591" s="117" t="str">
        <x:v>Jace Gentil</x:v>
      </x:c>
      <x:c r="P3591" s="120" t="n">
        <x:v>45105.875497685185</x:v>
      </x:c>
      <x:c r="Q3591" s="117" t="str">
        <x:v>Jace Gentil</x:v>
      </x:c>
      <x:c r="R3591" s="117" t="str">
        <x:v>Work Order Assignment and Alerts Flow</x:v>
      </x:c>
      <x:c r="S3591" s="119"/>
    </x:row>
    <x:row r="3592" ht="30" customHeight="1">
      <x:c r="A3592" s="117" t="str">
        <x:v>Work_Order_Assignment_and_Alerts_Flow</x:v>
      </x:c>
      <x:c r="B3592" s="117" t="str">
        <x:v>3005b000000PzyPAAS</x:v>
      </x:c>
      <x:c r="C3592" s="117" t="str">
        <x:v>3015b000000W4kNAAS</x:v>
      </x:c>
      <x:c r="D3592" s="118" t="n">
        <x:v>2</x:v>
      </x:c>
      <x:c r="E3592" s="117" t="str">
        <x:v>Obsolete</x:v>
      </x:c>
      <x:c r="F3592" s="117" t="str">
        <x:v>No</x:v>
      </x:c>
      <x:c r="G3592" s="117" t="str">
        <x:v>No</x:v>
      </x:c>
      <x:c r="H3592" s="117" t="str">
        <x:v>AutoLaunchedFlow</x:v>
      </x:c>
      <x:c r="I3592" s="118" t="n">
        <x:v>58</x:v>
      </x:c>
      <x:c r="J3592" s="117" t="str">
        <x:v>unmanaged</x:v>
      </x:c>
      <x:c r="K3592" s="123" t="b">
        <x:v>0</x:v>
      </x:c>
      <x:c r="L3592" s="117"/>
      <x:c r="M3592" s="118"/>
      <x:c r="N3592" s="120" t="n">
        <x:v>45106.01615740741</x:v>
      </x:c>
      <x:c r="O3592" s="117" t="str">
        <x:v>Jace Gentil</x:v>
      </x:c>
      <x:c r="P3592" s="120" t="n">
        <x:v>45106.01621527778</x:v>
      </x:c>
      <x:c r="Q3592" s="117" t="str">
        <x:v>Jace Gentil</x:v>
      </x:c>
      <x:c r="R3592" s="117" t="str">
        <x:v>Work Order Assignment and Alerts Flow</x:v>
      </x:c>
      <x:c r="S3592" s="119"/>
    </x:row>
    <x:row r="3593" ht="30" customHeight="1">
      <x:c r="A3593" s="117" t="str">
        <x:v>Work_Order_Assignment_and_Alerts_Flow</x:v>
      </x:c>
      <x:c r="B3593" s="117" t="str">
        <x:v>3005b000000PzyPAAS</x:v>
      </x:c>
      <x:c r="C3593" s="117" t="str">
        <x:v>3015b0000011KBFAA2</x:v>
      </x:c>
      <x:c r="D3593" s="118" t="n">
        <x:v>3</x:v>
      </x:c>
      <x:c r="E3593" s="117" t="str">
        <x:v>Active</x:v>
      </x:c>
      <x:c r="F3593" s="117" t="str">
        <x:v>Yes</x:v>
      </x:c>
      <x:c r="G3593" s="117" t="str">
        <x:v>Yes</x:v>
      </x:c>
      <x:c r="H3593" s="117" t="str">
        <x:v>AutoLaunchedFlow</x:v>
      </x:c>
      <x:c r="I3593" s="118" t="n">
        <x:v>58</x:v>
      </x:c>
      <x:c r="J3593" s="117" t="str">
        <x:v>unmanaged</x:v>
      </x:c>
      <x:c r="K3593" s="123" t="b">
        <x:v>0</x:v>
      </x:c>
      <x:c r="L3593" s="117"/>
      <x:c r="M3593" s="118"/>
      <x:c r="N3593" s="120" t="n">
        <x:v>45202.61178240741</x:v>
      </x:c>
      <x:c r="O3593" s="117" t="str">
        <x:v>Jace Gentil</x:v>
      </x:c>
      <x:c r="P3593" s="120" t="n">
        <x:v>45202.61184027778</x:v>
      </x:c>
      <x:c r="Q3593" s="117" t="str">
        <x:v>Jace Gentil</x:v>
      </x:c>
      <x:c r="R3593" s="117" t="str">
        <x:v>Work Order Assignment and Alerts Flow</x:v>
      </x:c>
      <x:c r="S3593" s="119"/>
    </x:row>
    <x:row r="3594" ht="30" customHeight="1">
      <x:c r="A3594" s="117" t="str">
        <x:v>Work_Order_Asynchronous_on_create_Update_PM_Work_Order_Count_on_Service_Contract</x:v>
      </x:c>
      <x:c r="B3594" s="117" t="str">
        <x:v>300Ro00000xUsgyIAC</x:v>
      </x:c>
      <x:c r="C3594" s="117" t="str">
        <x:v>301Ro000015l85DIAQ</x:v>
      </x:c>
      <x:c r="D3594" s="118" t="n">
        <x:v>1</x:v>
      </x:c>
      <x:c r="E3594" s="117" t="str">
        <x:v>Active</x:v>
      </x:c>
      <x:c r="F3594" s="117" t="str">
        <x:v>Yes</x:v>
      </x:c>
      <x:c r="G3594" s="117" t="str">
        <x:v>Yes</x:v>
      </x:c>
      <x:c r="H3594" s="117" t="str">
        <x:v>AutoLaunchedFlow</x:v>
      </x:c>
      <x:c r="I3594" s="118" t="n">
        <x:v>65</x:v>
      </x:c>
      <x:c r="J3594" s="117" t="str">
        <x:v>unmanaged</x:v>
      </x:c>
      <x:c r="K3594" s="123" t="b">
        <x:v>0</x:v>
      </x:c>
      <x:c r="L3594" s="117"/>
      <x:c r="M3594" s="118"/>
      <x:c r="N3594" s="120" t="n">
        <x:v>46157.55400462963</x:v>
      </x:c>
      <x:c r="O3594" s="117" t="str">
        <x:v>Delegate</x:v>
      </x:c>
      <x:c r="P3594" s="120" t="n">
        <x:v>46157.56045138889</x:v>
      </x:c>
      <x:c r="Q3594" s="117" t="str">
        <x:v>Delegate</x:v>
      </x:c>
      <x:c r="R3594" s="117" t="str">
        <x:v>Work Order | Asynchronous, on create, Update PM Work Order Count on Service Contract</x:v>
      </x:c>
      <x:c r="S3594" s="119" t="str">
        <x:v>05/14/26 (BW) – Async replacement for DLRS PMWorkOrdersOnContracts rollup (create path). Counts all PM WOs on the related Service Contract and writes the result to Total_PM_Work_Orders_on_Contract__c.</x:v>
      </x:c>
    </x:row>
    <x:row r="3595" ht="30" customHeight="1">
      <x:c r="A3595" s="117" t="str">
        <x:v>Work_Order_Asynchronous_on_delete_Update_PM_Work_Order_Count_on_Service_Contract</x:v>
      </x:c>
      <x:c r="B3595" s="117" t="str">
        <x:v>300Ro00000xUsgzIAC</x:v>
      </x:c>
      <x:c r="C3595" s="117" t="str">
        <x:v>301Ro000015l85EIAQ</x:v>
      </x:c>
      <x:c r="D3595" s="118" t="n">
        <x:v>1</x:v>
      </x:c>
      <x:c r="E3595" s="117" t="str">
        <x:v>Active</x:v>
      </x:c>
      <x:c r="F3595" s="117" t="str">
        <x:v>Yes</x:v>
      </x:c>
      <x:c r="G3595" s="117" t="str">
        <x:v>Yes</x:v>
      </x:c>
      <x:c r="H3595" s="117" t="str">
        <x:v>AutoLaunchedFlow</x:v>
      </x:c>
      <x:c r="I3595" s="118" t="n">
        <x:v>65</x:v>
      </x:c>
      <x:c r="J3595" s="117" t="str">
        <x:v>unmanaged</x:v>
      </x:c>
      <x:c r="K3595" s="123" t="b">
        <x:v>0</x:v>
      </x:c>
      <x:c r="L3595" s="117"/>
      <x:c r="M3595" s="118"/>
      <x:c r="N3595" s="120" t="n">
        <x:v>46157.55401620371</x:v>
      </x:c>
      <x:c r="O3595" s="117" t="str">
        <x:v>Delegate</x:v>
      </x:c>
      <x:c r="P3595" s="120" t="n">
        <x:v>46157.560428240744</x:v>
      </x:c>
      <x:c r="Q3595" s="117" t="str">
        <x:v>Delegate</x:v>
      </x:c>
      <x:c r="R3595" s="117" t="str">
        <x:v>Work Order | Before delete, Update PM Work Order Count on Service Contract</x:v>
      </x:c>
      <x:c r="S3595" s="119" t="str">
        <x:v>05/14/26 (BW) – Replacement for DLRS PMWorkOrdersOnContracts rollup (delete path). Runs synchronously before delete; excludes the being-deleted WO from the re-query so the count on the Service Contract is correct after deletion.</x:v>
      </x:c>
    </x:row>
    <x:row r="3596" ht="30" customHeight="1">
      <x:c r="A3596" s="117" t="str">
        <x:v>Work_Order_Asynchronous_on_update_Update_PM_Work_Order_Count_on_Service_Contract</x:v>
      </x:c>
      <x:c r="B3596" s="117" t="str">
        <x:v>300Ro00000xUsh0IAC</x:v>
      </x:c>
      <x:c r="C3596" s="117" t="str">
        <x:v>301Ro000015l85FIAQ</x:v>
      </x:c>
      <x:c r="D3596" s="118" t="n">
        <x:v>1</x:v>
      </x:c>
      <x:c r="E3596" s="117" t="str">
        <x:v>Active</x:v>
      </x:c>
      <x:c r="F3596" s="117" t="str">
        <x:v>Yes</x:v>
      </x:c>
      <x:c r="G3596" s="117" t="str">
        <x:v>Yes</x:v>
      </x:c>
      <x:c r="H3596" s="117" t="str">
        <x:v>AutoLaunchedFlow</x:v>
      </x:c>
      <x:c r="I3596" s="118" t="n">
        <x:v>65</x:v>
      </x:c>
      <x:c r="J3596" s="117" t="str">
        <x:v>unmanaged</x:v>
      </x:c>
      <x:c r="K3596" s="123" t="b">
        <x:v>0</x:v>
      </x:c>
      <x:c r="L3596" s="117"/>
      <x:c r="M3596" s="118"/>
      <x:c r="N3596" s="120" t="n">
        <x:v>46157.554027777776</x:v>
      </x:c>
      <x:c r="O3596" s="117" t="str">
        <x:v>Delegate</x:v>
      </x:c>
      <x:c r="P3596" s="120" t="n">
        <x:v>46157.56040509259</x:v>
      </x:c>
      <x:c r="Q3596" s="117" t="str">
        <x:v>Delegate</x:v>
      </x:c>
      <x:c r="R3596" s="117" t="str">
        <x:v>Work Order | Asynchronous, on update, Update PM Work Order Count on Service Contract</x:v>
      </x:c>
      <x:c r="S3596" s="119" t="str">
        <x:v>05/14/26 (BW) – Async replacement for DLRS PMWorkOrdersOnContracts rollup (update path). Fires when RecordTypeId or ServiceContractId changes. Recalculates the PM WO count on the current Service Contract, and also recalculates the prior Service Contract if the lookup changed.</x:v>
      </x:c>
    </x:row>
    <x:row r="3597" ht="30" customHeight="1">
      <x:c r="A3597" s="117" t="str">
        <x:v>Work_Order_Automations</x:v>
      </x:c>
      <x:c r="B3597" s="117" t="str">
        <x:v>300Ro00000fvdcyIAA</x:v>
      </x:c>
      <x:c r="C3597" s="117" t="str">
        <x:v>301Ro00000mBmCEIA0</x:v>
      </x:c>
      <x:c r="D3597" s="118" t="n">
        <x:v>1</x:v>
      </x:c>
      <x:c r="E3597" s="117" t="str">
        <x:v>Obsolete</x:v>
      </x:c>
      <x:c r="F3597" s="117" t="str">
        <x:v>No</x:v>
      </x:c>
      <x:c r="G3597" s="117" t="str">
        <x:v>No</x:v>
      </x:c>
      <x:c r="H3597" s="117" t="str">
        <x:v>AutoLaunchedFlow</x:v>
      </x:c>
      <x:c r="I3597" s="118" t="n">
        <x:v>64</x:v>
      </x:c>
      <x:c r="J3597" s="117" t="str">
        <x:v>unmanaged</x:v>
      </x:c>
      <x:c r="K3597" s="123" t="b">
        <x:v>0</x:v>
      </x:c>
      <x:c r="L3597" s="117"/>
      <x:c r="M3597" s="118"/>
      <x:c r="N3597" s="120" t="n">
        <x:v>45916.448842592596</x:v>
      </x:c>
      <x:c r="O3597" s="117" t="str">
        <x:v>Sacha Pearce</x:v>
      </x:c>
      <x:c r="P3597" s="120" t="n">
        <x:v>46231.43399305556</x:v>
      </x:c>
      <x:c r="Q3597" s="117" t="str">
        <x:v>Sacha Pearce</x:v>
      </x:c>
      <x:c r="R3597" s="117" t="str">
        <x:v>Work Order Automations</x:v>
      </x:c>
      <x:c r="S3597" s="119" t="str">
        <x:v>09/15/2025 - V4 - SP - Adjusting the Work Order Shipping Prevention Error message to be more informative.</x:v>
      </x:c>
    </x:row>
    <x:row r="3598" ht="30" customHeight="1">
      <x:c r="A3598" s="117" t="str">
        <x:v>Work_Order_Automations</x:v>
      </x:c>
      <x:c r="B3598" s="117" t="str">
        <x:v>300Ro00000fvdcyIAA</x:v>
      </x:c>
      <x:c r="C3598" s="117" t="str">
        <x:v>301Ro00001CTILmIAP</x:v>
      </x:c>
      <x:c r="D3598" s="118" t="n">
        <x:v>2</x:v>
      </x:c>
      <x:c r="E3598" s="117" t="str">
        <x:v>Active</x:v>
      </x:c>
      <x:c r="F3598" s="117" t="str">
        <x:v>Yes</x:v>
      </x:c>
      <x:c r="G3598" s="117" t="str">
        <x:v>Yes</x:v>
      </x:c>
      <x:c r="H3598" s="117" t="str">
        <x:v>AutoLaunchedFlow</x:v>
      </x:c>
      <x:c r="I3598" s="118" t="n">
        <x:v>64</x:v>
      </x:c>
      <x:c r="J3598" s="117" t="str">
        <x:v>unmanaged</x:v>
      </x:c>
      <x:c r="K3598" s="123" t="b">
        <x:v>0</x:v>
      </x:c>
      <x:c r="L3598" s="117"/>
      <x:c r="M3598" s="118"/>
      <x:c r="N3598" s="120" t="n">
        <x:v>46231.43635416667</x:v>
      </x:c>
      <x:c r="O3598" s="117" t="str">
        <x:v>Sacha Pearce</x:v>
      </x:c>
      <x:c r="P3598" s="120" t="n">
        <x:v>46231.43655092592</x:v>
      </x:c>
      <x:c r="Q3598" s="117" t="str">
        <x:v>Sacha Pearce</x:v>
      </x:c>
      <x:c r="R3598" s="117" t="str">
        <x:v>Work Order Automations</x:v>
      </x:c>
      <x:c r="S3598" s="119" t="str">
        <x:v>09/15/2025 - V4 - SP - Fixing so this looks at the Opportunity on the Work Order instead of finding Opportunities that have the Work Order entered into the "Related Work Order".</x:v>
      </x:c>
    </x:row>
    <x:row r="3599" ht="30" customHeight="1">
      <x:c r="A3599" s="117" t="str">
        <x:v>Work_Order_Calculate_Downtime_Business_Hours</x:v>
      </x:c>
      <x:c r="B3599" s="117" t="str">
        <x:v>300Ro00000q8PphIAE</x:v>
      </x:c>
      <x:c r="C3599" s="117" t="str">
        <x:v>301Ro00000xf7DNIAY</x:v>
      </x:c>
      <x:c r="D3599" s="118" t="n">
        <x:v>1</x:v>
      </x:c>
      <x:c r="E3599" s="117" t="str">
        <x:v>Active</x:v>
      </x:c>
      <x:c r="F3599" s="117" t="str">
        <x:v>Yes</x:v>
      </x:c>
      <x:c r="G3599" s="117" t="str">
        <x:v>No</x:v>
      </x:c>
      <x:c r="H3599" s="117" t="str">
        <x:v>AutoLaunchedFlow</x:v>
      </x:c>
      <x:c r="I3599" s="118" t="n">
        <x:v>65</x:v>
      </x:c>
      <x:c r="J3599" s="117" t="str">
        <x:v>unmanaged</x:v>
      </x:c>
      <x:c r="K3599" s="123" t="b">
        <x:v>0</x:v>
      </x:c>
      <x:c r="L3599" s="117"/>
      <x:c r="M3599" s="118"/>
      <x:c r="N3599" s="120" t="n">
        <x:v>46059.38128472222</x:v>
      </x:c>
      <x:c r="O3599" s="117" t="str">
        <x:v>Sacha Pearce</x:v>
      </x:c>
      <x:c r="P3599" s="120" t="n">
        <x:v>46125.55615740741</x:v>
      </x:c>
      <x:c r="Q3599" s="117" t="str">
        <x:v>Sacha Pearce</x:v>
      </x:c>
      <x:c r="R3599" s="117" t="str">
        <x:v>Work Order - Calculate Downtime (Business Hours)</x:v>
      </x:c>
      <x:c r="S3599" s="119"/>
    </x:row>
    <x:row r="3600" ht="30" customHeight="1">
      <x:c r="A3600" s="117" t="str">
        <x:v>Work_Order_Calculate_Downtime_Business_Hours</x:v>
      </x:c>
      <x:c r="B3600" s="117" t="str">
        <x:v>300Ro00000q8PphIAE</x:v>
      </x:c>
      <x:c r="C3600" s="117" t="str">
        <x:v>301Ro00000zWFNVIA4</x:v>
      </x:c>
      <x:c r="D3600" s="118" t="n">
        <x:v>2</x:v>
      </x:c>
      <x:c r="E3600" s="117" t="str">
        <x:v>Obsolete</x:v>
      </x:c>
      <x:c r="F3600" s="117" t="str">
        <x:v>No</x:v>
      </x:c>
      <x:c r="G3600" s="117" t="str">
        <x:v>No</x:v>
      </x:c>
      <x:c r="H3600" s="117" t="str">
        <x:v>AutoLaunchedFlow</x:v>
      </x:c>
      <x:c r="I3600" s="118" t="n">
        <x:v>65</x:v>
      </x:c>
      <x:c r="J3600" s="117" t="str">
        <x:v>unmanaged</x:v>
      </x:c>
      <x:c r="K3600" s="123" t="b">
        <x:v>0</x:v>
      </x:c>
      <x:c r="L3600" s="117"/>
      <x:c r="M3600" s="118"/>
      <x:c r="N3600" s="120" t="n">
        <x:v>46082.58615740741</x:v>
      </x:c>
      <x:c r="O3600" s="117" t="str">
        <x:v>Sacha Pearce</x:v>
      </x:c>
      <x:c r="P3600" s="120" t="n">
        <x:v>46082.58625</x:v>
      </x:c>
      <x:c r="Q3600" s="117" t="str">
        <x:v>Sacha Pearce</x:v>
      </x:c>
      <x:c r="R3600" s="117" t="str">
        <x:v>Service Appointment - Calculate Tech Support Response Time (Business Minutes)</x:v>
      </x:c>
      <x:c r="S3600" s="119"/>
    </x:row>
    <x:row r="3601" ht="30" customHeight="1">
      <x:c r="A3601" s="117" t="str">
        <x:v>Work_Order_Calculate_Downtime_Business_Hours</x:v>
      </x:c>
      <x:c r="B3601" s="117" t="str">
        <x:v>300Ro00000q8PphIAE</x:v>
      </x:c>
      <x:c r="C3601" s="117" t="str">
        <x:v>301Ro00000zW2LRIA0</x:v>
      </x:c>
      <x:c r="D3601" s="118" t="n">
        <x:v>3</x:v>
      </x:c>
      <x:c r="E3601" s="117" t="str">
        <x:v>Obsolete</x:v>
      </x:c>
      <x:c r="F3601" s="117" t="str">
        <x:v>No</x:v>
      </x:c>
      <x:c r="G3601" s="117" t="str">
        <x:v>No</x:v>
      </x:c>
      <x:c r="H3601" s="117" t="str">
        <x:v>AutoLaunchedFlow</x:v>
      </x:c>
      <x:c r="I3601" s="118" t="n">
        <x:v>65</x:v>
      </x:c>
      <x:c r="J3601" s="117" t="str">
        <x:v>unmanaged</x:v>
      </x:c>
      <x:c r="K3601" s="123" t="b">
        <x:v>0</x:v>
      </x:c>
      <x:c r="L3601" s="117"/>
      <x:c r="M3601" s="118"/>
      <x:c r="N3601" s="120" t="n">
        <x:v>46082.586643518516</x:v>
      </x:c>
      <x:c r="O3601" s="117" t="str">
        <x:v>Sacha Pearce</x:v>
      </x:c>
      <x:c r="P3601" s="120" t="n">
        <x:v>46082.586701388886</x:v>
      </x:c>
      <x:c r="Q3601" s="117" t="str">
        <x:v>Sacha Pearce</x:v>
      </x:c>
      <x:c r="R3601" s="117" t="str">
        <x:v>Service Appointment - Calculate Tech Support Response Time (Business Minutes)</x:v>
      </x:c>
      <x:c r="S3601" s="119"/>
    </x:row>
    <x:row r="3602" ht="30" customHeight="1">
      <x:c r="A3602" s="117" t="str">
        <x:v>Work_Order_Calculate_Downtime_Business_Hours</x:v>
      </x:c>
      <x:c r="B3602" s="117" t="str">
        <x:v>300Ro00000q8PphIAE</x:v>
      </x:c>
      <x:c r="C3602" s="117" t="str">
        <x:v>301Ro0000131gj4IAA</x:v>
      </x:c>
      <x:c r="D3602" s="118" t="n">
        <x:v>4</x:v>
      </x:c>
      <x:c r="E3602" s="117" t="str">
        <x:v>Draft</x:v>
      </x:c>
      <x:c r="F3602" s="117" t="str">
        <x:v>No</x:v>
      </x:c>
      <x:c r="G3602" s="117" t="str">
        <x:v>Yes</x:v>
      </x:c>
      <x:c r="H3602" s="117" t="str">
        <x:v>AutoLaunchedFlow</x:v>
      </x:c>
      <x:c r="I3602" s="118" t="n">
        <x:v>65</x:v>
      </x:c>
      <x:c r="J3602" s="117" t="str">
        <x:v>unmanaged</x:v>
      </x:c>
      <x:c r="K3602" s="123" t="b">
        <x:v>0</x:v>
      </x:c>
      <x:c r="L3602" s="117"/>
      <x:c r="M3602" s="118"/>
      <x:c r="N3602" s="120" t="n">
        <x:v>46125.5555787037</x:v>
      </x:c>
      <x:c r="O3602" s="117" t="str">
        <x:v>Sacha Pearce</x:v>
      </x:c>
      <x:c r="P3602" s="120" t="n">
        <x:v>46125.55559027778</x:v>
      </x:c>
      <x:c r="Q3602" s="117" t="str">
        <x:v>Sacha Pearce</x:v>
      </x:c>
      <x:c r="R3602" s="117" t="str">
        <x:v>Service Appointment - Calculate Tech Support Response Time (Business Minutes)</x:v>
      </x:c>
      <x:c r="S3602" s="119"/>
    </x:row>
    <x:row r="3603" ht="30" customHeight="1">
      <x:c r="A3603" s="117" t="str">
        <x:v>Work_Order_Downtime_End_Setter</x:v>
      </x:c>
      <x:c r="B3603" s="117" t="str">
        <x:v>300Ro00000qoWekIAE</x:v>
      </x:c>
      <x:c r="C3603" s="117" t="str">
        <x:v>301Ro00000yOWlzIAG</x:v>
      </x:c>
      <x:c r="D3603" s="118" t="n">
        <x:v>1</x:v>
      </x:c>
      <x:c r="E3603" s="117" t="str">
        <x:v>Active</x:v>
      </x:c>
      <x:c r="F3603" s="117" t="str">
        <x:v>Yes</x:v>
      </x:c>
      <x:c r="G3603" s="117" t="str">
        <x:v>Yes</x:v>
      </x:c>
      <x:c r="H3603" s="117" t="str">
        <x:v>AutoLaunchedFlow</x:v>
      </x:c>
      <x:c r="I3603" s="118" t="n">
        <x:v>65</x:v>
      </x:c>
      <x:c r="J3603" s="117" t="str">
        <x:v>unmanaged</x:v>
      </x:c>
      <x:c r="K3603" s="123" t="b">
        <x:v>0</x:v>
      </x:c>
      <x:c r="L3603" s="117"/>
      <x:c r="M3603" s="118"/>
      <x:c r="N3603" s="120" t="n">
        <x:v>46068.860659722224</x:v>
      </x:c>
      <x:c r="O3603" s="117" t="str">
        <x:v>Sacha Pearce</x:v>
      </x:c>
      <x:c r="P3603" s="120" t="n">
        <x:v>46069.60355324074</x:v>
      </x:c>
      <x:c r="Q3603" s="117" t="str">
        <x:v>Sacha Pearce</x:v>
      </x:c>
      <x:c r="R3603" s="117" t="str">
        <x:v>Work Order - Downtime End Setter</x:v>
      </x:c>
      <x:c r="S3603" s="119" t="str">
        <x:v>This Flow is used to set the "Downtime End" on Work Orders. It fires whenever a Service Appointment is updated with the system being marked as operational.</x:v>
      </x:c>
    </x:row>
    <x:row r="3604" ht="30" customHeight="1">
      <x:c r="A3604" s="117" t="str">
        <x:v>Work_Order_Downtime_Start_Setter</x:v>
      </x:c>
      <x:c r="B3604" s="117" t="str">
        <x:v>300Ro00000qoWelIAE</x:v>
      </x:c>
      <x:c r="C3604" s="117" t="str">
        <x:v>301Ro00000yOWm0IAG</x:v>
      </x:c>
      <x:c r="D3604" s="118" t="n">
        <x:v>1</x:v>
      </x:c>
      <x:c r="E3604" s="117" t="str">
        <x:v>Active</x:v>
      </x:c>
      <x:c r="F3604" s="117" t="str">
        <x:v>Yes</x:v>
      </x:c>
      <x:c r="G3604" s="117" t="str">
        <x:v>Yes</x:v>
      </x:c>
      <x:c r="H3604" s="117" t="str">
        <x:v>AutoLaunchedFlow</x:v>
      </x:c>
      <x:c r="I3604" s="118" t="n">
        <x:v>65</x:v>
      </x:c>
      <x:c r="J3604" s="117" t="str">
        <x:v>unmanaged</x:v>
      </x:c>
      <x:c r="K3604" s="123" t="b">
        <x:v>0</x:v>
      </x:c>
      <x:c r="L3604" s="117"/>
      <x:c r="M3604" s="118"/>
      <x:c r="N3604" s="120" t="n">
        <x:v>46068.86074074074</x:v>
      </x:c>
      <x:c r="O3604" s="117" t="str">
        <x:v>Sacha Pearce</x:v>
      </x:c>
      <x:c r="P3604" s="120" t="n">
        <x:v>46069.603530092594</x:v>
      </x:c>
      <x:c r="Q3604" s="117" t="str">
        <x:v>Sacha Pearce</x:v>
      </x:c>
      <x:c r="R3604" s="117" t="str">
        <x:v>Work Order - Downtime Start Setter</x:v>
      </x:c>
      <x:c r="S3604" s="119" t="str">
        <x:v>This Flow is used to set the "Downtime Start" field on Work Orders that are marked as "Critical" and the "Downtime Start" isn't already populated.</x:v>
      </x:c>
    </x:row>
    <x:row r="3605" ht="30" customHeight="1">
      <x:c r="A3605" s="117" t="str">
        <x:v>Work_Order_FSL_Desktop_Subflow_Create_Chatter_Post</x:v>
      </x:c>
      <x:c r="B3605" s="117" t="str">
        <x:v>300Ro00000mpCtCIAU</x:v>
      </x:c>
      <x:c r="C3605" s="117" t="str">
        <x:v>301Ro00000uDfMuIAK</x:v>
      </x:c>
      <x:c r="D3605" s="118" t="n">
        <x:v>1</x:v>
      </x:c>
      <x:c r="E3605" s="117" t="str">
        <x:v>Draft</x:v>
      </x:c>
      <x:c r="F3605" s="117" t="str">
        <x:v>No</x:v>
      </x:c>
      <x:c r="G3605" s="117" t="str">
        <x:v>Yes</x:v>
      </x:c>
      <x:c r="H3605" s="117" t="str">
        <x:v>Flow</x:v>
      </x:c>
      <x:c r="I3605" s="118" t="n">
        <x:v>49</x:v>
      </x:c>
      <x:c r="J3605" s="117" t="str">
        <x:v>unmanaged</x:v>
      </x:c>
      <x:c r="K3605" s="123" t="b">
        <x:v>0</x:v>
      </x:c>
      <x:c r="L3605" s="117"/>
      <x:c r="M3605" s="118"/>
      <x:c r="N3605" s="120" t="n">
        <x:v>46007.632361111115</x:v>
      </x:c>
      <x:c r="O3605" s="117" t="str">
        <x:v>Delegate</x:v>
      </x:c>
      <x:c r="P3605" s="120" t="n">
        <x:v>46007.63239583333</x:v>
      </x:c>
      <x:c r="Q3605" s="117" t="str">
        <x:v>Delegate</x:v>
      </x:c>
      <x:c r="R3605" s="117" t="str">
        <x:v>Work Order - FSL Desktop Subflow - Create Chatter Post</x:v>
      </x:c>
      <x:c r="S3605" s="119" t="str">
        <x:v>12/16/2025 - KL - For notification to Technician</x:v>
      </x:c>
    </x:row>
    <x:row r="3606" ht="30" customHeight="1">
      <x:c r="A3606" s="117" t="str">
        <x:v>Work_Order_FSL_Mobile_Subflow_Chatter_Post</x:v>
      </x:c>
      <x:c r="B3606" s="117" t="str">
        <x:v>300Ro00000e6sEuIAI</x:v>
      </x:c>
      <x:c r="C3606" s="117" t="str">
        <x:v>301Ro00000k1wFaIAI</x:v>
      </x:c>
      <x:c r="D3606" s="118" t="n">
        <x:v>1</x:v>
      </x:c>
      <x:c r="E3606" s="117" t="str">
        <x:v>Obsolete</x:v>
      </x:c>
      <x:c r="F3606" s="117" t="str">
        <x:v>No</x:v>
      </x:c>
      <x:c r="G3606" s="117" t="str">
        <x:v>No</x:v>
      </x:c>
      <x:c r="H3606" s="117" t="str">
        <x:v>FieldServiceMobile</x:v>
      </x:c>
      <x:c r="I3606" s="118"/>
      <x:c r="J3606" s="117" t="str">
        <x:v>unmanaged</x:v>
      </x:c>
      <x:c r="K3606" s="123" t="b">
        <x:v>0</x:v>
      </x:c>
      <x:c r="L3606" s="117"/>
      <x:c r="M3606" s="118"/>
      <x:c r="N3606" s="120" t="n">
        <x:v>45898.64204861111</x:v>
      </x:c>
      <x:c r="O3606" s="117" t="str">
        <x:v>Delegate</x:v>
      </x:c>
      <x:c r="P3606" s="120" t="n">
        <x:v>45898.64233796296</x:v>
      </x:c>
      <x:c r="Q3606" s="117" t="str">
        <x:v>Delegate</x:v>
      </x:c>
      <x:c r="R3606" s="117" t="str">
        <x:v>Work Order - FSL Mobile Subflow - Chatter Post</x:v>
      </x:c>
      <x:c r="S3606" s="119" t="str">
        <x:v>8/28/2025 - KL/Delegate - For automatic chatter posts when WO created within FSL Mobile app for US techs.</x:v>
      </x:c>
    </x:row>
    <x:row r="3607" ht="30" customHeight="1">
      <x:c r="A3607" s="117" t="str">
        <x:v>Work_Order_FSL_Mobile_Subflow_Chatter_Post</x:v>
      </x:c>
      <x:c r="B3607" s="117" t="str">
        <x:v>300Ro00000e6sEuIAI</x:v>
      </x:c>
      <x:c r="C3607" s="117" t="str">
        <x:v>301Ro00000pXxn8IAC</x:v>
      </x:c>
      <x:c r="D3607" s="118" t="n">
        <x:v>2</x:v>
      </x:c>
      <x:c r="E3607" s="117" t="str">
        <x:v>Obsolete</x:v>
      </x:c>
      <x:c r="F3607" s="117" t="str">
        <x:v>No</x:v>
      </x:c>
      <x:c r="G3607" s="117" t="str">
        <x:v>No</x:v>
      </x:c>
      <x:c r="H3607" s="117" t="str">
        <x:v>FieldServiceMobile</x:v>
      </x:c>
      <x:c r="I3607" s="118"/>
      <x:c r="J3607" s="117" t="str">
        <x:v>unmanaged</x:v>
      </x:c>
      <x:c r="K3607" s="123" t="b">
        <x:v>0</x:v>
      </x:c>
      <x:c r="L3607" s="117"/>
      <x:c r="M3607" s="118"/>
      <x:c r="N3607" s="120" t="n">
        <x:v>45946.612175925926</x:v>
      </x:c>
      <x:c r="O3607" s="117" t="str">
        <x:v>Delegate</x:v>
      </x:c>
      <x:c r="P3607" s="120" t="n">
        <x:v>45946.61236111111</x:v>
      </x:c>
      <x:c r="Q3607" s="117" t="str">
        <x:v>Delegate</x:v>
      </x:c>
      <x:c r="R3607" s="117" t="str">
        <x:v>Work Order - FSL Mobile Subflow - Chatter Post</x:v>
      </x:c>
      <x:c r="S3607" s="119" t="str">
        <x:v>10/16/2025 - KL/Delegate - Adding Install Variation</x:v>
      </x:c>
    </x:row>
    <x:row r="3608" ht="30" customHeight="1">
      <x:c r="A3608" s="117" t="str">
        <x:v>Work_Order_FSL_Mobile_Subflow_Chatter_Post</x:v>
      </x:c>
      <x:c r="B3608" s="117" t="str">
        <x:v>300Ro00000e6sEuIAI</x:v>
      </x:c>
      <x:c r="C3608" s="117" t="str">
        <x:v>301Ro00000rgZCYIA2</x:v>
      </x:c>
      <x:c r="D3608" s="118" t="n">
        <x:v>3</x:v>
      </x:c>
      <x:c r="E3608" s="117" t="str">
        <x:v>Obsolete</x:v>
      </x:c>
      <x:c r="F3608" s="117" t="str">
        <x:v>No</x:v>
      </x:c>
      <x:c r="G3608" s="117" t="str">
        <x:v>No</x:v>
      </x:c>
      <x:c r="H3608" s="117" t="str">
        <x:v>FieldServiceMobile</x:v>
      </x:c>
      <x:c r="I3608" s="118"/>
      <x:c r="J3608" s="117" t="str">
        <x:v>unmanaged</x:v>
      </x:c>
      <x:c r="K3608" s="123" t="b">
        <x:v>0</x:v>
      </x:c>
      <x:c r="L3608" s="117"/>
      <x:c r="M3608" s="118"/>
      <x:c r="N3608" s="120" t="n">
        <x:v>45965.884050925924</x:v>
      </x:c>
      <x:c r="O3608" s="117" t="str">
        <x:v>Delegate</x:v>
      </x:c>
      <x:c r="P3608" s="120" t="n">
        <x:v>45965.884363425925</x:v>
      </x:c>
      <x:c r="Q3608" s="117" t="str">
        <x:v>Delegate</x:v>
      </x:c>
      <x:c r="R3608" s="117" t="str">
        <x:v>Work Order - FSL Mobile Subflow - Chatter Post</x:v>
      </x:c>
      <x:c r="S3608" s="119" t="str">
        <x:v>11/4/2025 (BW) - Updated so that work type ID is included in the decision element</x:v>
      </x:c>
    </x:row>
    <x:row r="3609" ht="30" customHeight="1">
      <x:c r="A3609" s="117" t="str">
        <x:v>Work_Order_FSL_Mobile_Subflow_Chatter_Post</x:v>
      </x:c>
      <x:c r="B3609" s="117" t="str">
        <x:v>300Ro00000e6sEuIAI</x:v>
      </x:c>
      <x:c r="C3609" s="117" t="str">
        <x:v>301Ro00000uZ2ErIAK</x:v>
      </x:c>
      <x:c r="D3609" s="118" t="n">
        <x:v>4</x:v>
      </x:c>
      <x:c r="E3609" s="117" t="str">
        <x:v>Active</x:v>
      </x:c>
      <x:c r="F3609" s="117" t="str">
        <x:v>Yes</x:v>
      </x:c>
      <x:c r="G3609" s="117" t="str">
        <x:v>Yes</x:v>
      </x:c>
      <x:c r="H3609" s="117" t="str">
        <x:v>FieldServiceMobile</x:v>
      </x:c>
      <x:c r="I3609" s="118"/>
      <x:c r="J3609" s="117" t="str">
        <x:v>unmanaged</x:v>
      </x:c>
      <x:c r="K3609" s="123" t="b">
        <x:v>0</x:v>
      </x:c>
      <x:c r="L3609" s="117"/>
      <x:c r="M3609" s="118"/>
      <x:c r="N3609" s="120" t="n">
        <x:v>46013.81387731482</x:v>
      </x:c>
      <x:c r="O3609" s="117" t="str">
        <x:v>Delegate</x:v>
      </x:c>
      <x:c r="P3609" s="120" t="n">
        <x:v>46013.81392361111</x:v>
      </x:c>
      <x:c r="Q3609" s="117" t="str">
        <x:v>Delegate</x:v>
      </x:c>
      <x:c r="R3609" s="117" t="str">
        <x:v>Work Order - FSL Mobile Subflow - Chatter Post</x:v>
      </x:c>
      <x:c r="S3609" s="119" t="str">
        <x:v>12/22/2025 (BW) - Updated this notification so that it goes out when action is needed by the operations team</x:v>
      </x:c>
    </x:row>
    <x:row r="3610" ht="30" customHeight="1">
      <x:c r="A3610" s="117" t="str">
        <x:v>Work_Order_install_Subflow</x:v>
      </x:c>
      <x:c r="B3610" s="117" t="str">
        <x:v>300Ro00000lZu2lIAC</x:v>
      </x:c>
      <x:c r="C3610" s="117" t="str">
        <x:v>301Ro00000tNJS8IAO</x:v>
      </x:c>
      <x:c r="D3610" s="118" t="n">
        <x:v>7</x:v>
      </x:c>
      <x:c r="E3610" s="117" t="str">
        <x:v>Obsolete</x:v>
      </x:c>
      <x:c r="F3610" s="117" t="str">
        <x:v>No</x:v>
      </x:c>
      <x:c r="G3610" s="117" t="str">
        <x:v>No</x:v>
      </x:c>
      <x:c r="H3610" s="117" t="str">
        <x:v>Flow</x:v>
      </x:c>
      <x:c r="I3610" s="118" t="n">
        <x:v>49</x:v>
      </x:c>
      <x:c r="J3610" s="117" t="str">
        <x:v>unmanaged</x:v>
      </x:c>
      <x:c r="K3610" s="123" t="b">
        <x:v>0</x:v>
      </x:c>
      <x:c r="L3610" s="117"/>
      <x:c r="M3610" s="118"/>
      <x:c r="N3610" s="120" t="n">
        <x:v>45993.63385416667</x:v>
      </x:c>
      <x:c r="O3610" s="117" t="str">
        <x:v>Delegate</x:v>
      </x:c>
      <x:c r="P3610" s="120" t="n">
        <x:v>45993.63413194445</x:v>
      </x:c>
      <x:c r="Q3610" s="117" t="str">
        <x:v>Delegate</x:v>
      </x:c>
      <x:c r="R3610" s="117" t="str">
        <x:v>Work Order - Install Subflow</x:v>
      </x:c>
      <x:c r="S3610" s="119" t="str">
        <x:v>11/25/2025 - KL - Will tweak subflow for use in other automation</x:v>
      </x:c>
    </x:row>
    <x:row r="3611" ht="30" customHeight="1">
      <x:c r="A3611" s="117" t="str">
        <x:v>Work_Order_install_Subflow</x:v>
      </x:c>
      <x:c r="B3611" s="117" t="str">
        <x:v>300Ro00000lZu2lIAC</x:v>
      </x:c>
      <x:c r="C3611" s="117" t="str">
        <x:v>301Ro00000tneeIIAQ</x:v>
      </x:c>
      <x:c r="D3611" s="118" t="n">
        <x:v>12</x:v>
      </x:c>
      <x:c r="E3611" s="117" t="str">
        <x:v>Active</x:v>
      </x:c>
      <x:c r="F3611" s="117" t="str">
        <x:v>Yes</x:v>
      </x:c>
      <x:c r="G3611" s="117" t="str">
        <x:v>Yes</x:v>
      </x:c>
      <x:c r="H3611" s="117" t="str">
        <x:v>Flow</x:v>
      </x:c>
      <x:c r="I3611" s="118" t="n">
        <x:v>49</x:v>
      </x:c>
      <x:c r="J3611" s="117" t="str">
        <x:v>unmanaged</x:v>
      </x:c>
      <x:c r="K3611" s="123" t="b">
        <x:v>0</x:v>
      </x:c>
      <x:c r="L3611" s="117"/>
      <x:c r="M3611" s="118"/>
      <x:c r="N3611" s="120" t="n">
        <x:v>46000.66694444444</x:v>
      </x:c>
      <x:c r="O3611" s="117" t="str">
        <x:v>Delegate</x:v>
      </x:c>
      <x:c r="P3611" s="120" t="n">
        <x:v>46000.66725694444</x:v>
      </x:c>
      <x:c r="Q3611" s="117" t="str">
        <x:v>Delegate</x:v>
      </x:c>
      <x:c r="R3611" s="117" t="str">
        <x:v>Work Order - Install Subflow</x:v>
      </x:c>
      <x:c r="S3611" s="119" t="str">
        <x:v>12/09/2025 - KL - Subflow for finding opportunity products to create install work order line items.</x:v>
      </x:c>
    </x:row>
    <x:row r="3612" ht="30" customHeight="1">
      <x:c r="A3612" s="117" t="str">
        <x:v>Work_Order_Line_Item_Trigger_Update_US_FSL_Related_Lead</x:v>
      </x:c>
      <x:c r="B3612" s="117" t="str">
        <x:v>300Ro00000eZBBPIA4</x:v>
      </x:c>
      <x:c r="C3612" s="117" t="str">
        <x:v>301Ro00000kLHeYIAW</x:v>
      </x:c>
      <x:c r="D3612" s="118" t="n">
        <x:v>1</x:v>
      </x:c>
      <x:c r="E3612" s="117" t="str">
        <x:v>Draft</x:v>
      </x:c>
      <x:c r="F3612" s="117" t="str">
        <x:v>No</x:v>
      </x:c>
      <x:c r="G3612" s="117" t="str">
        <x:v>Yes</x:v>
      </x:c>
      <x:c r="H3612" s="117" t="str">
        <x:v>AutoLaunchedFlow</x:v>
      </x:c>
      <x:c r="I3612" s="118" t="n">
        <x:v>64</x:v>
      </x:c>
      <x:c r="J3612" s="117" t="str">
        <x:v>unmanaged</x:v>
      </x:c>
      <x:c r="K3612" s="123" t="b">
        <x:v>0</x:v>
      </x:c>
      <x:c r="L3612" s="117"/>
      <x:c r="M3612" s="118"/>
      <x:c r="N3612" s="120" t="n">
        <x:v>45902.55564814815</x:v>
      </x:c>
      <x:c r="O3612" s="117" t="str">
        <x:v>Delegate</x:v>
      </x:c>
      <x:c r="P3612" s="120" t="n">
        <x:v>45902.55568287037</x:v>
      </x:c>
      <x:c r="Q3612" s="117" t="str">
        <x:v>Delegate</x:v>
      </x:c>
      <x:c r="R3612" s="117" t="str">
        <x:v>Work Order Line Item - Trigger - Update US FSL Related Lead</x:v>
      </x:c>
      <x:c r="S3612" s="119" t="str">
        <x:v>09/02/2025 - KL/Delegate - When US FSL WOLI is created, find and update the related Lead.</x:v>
      </x:c>
    </x:row>
    <x:row r="3613" ht="30" customHeight="1">
      <x:c r="A3613" s="117" t="str">
        <x:v>Work_Order_PDF_Generation</x:v>
      </x:c>
      <x:c r="B3613" s="117" t="str">
        <x:v>3004O000000XhDiQAK</x:v>
      </x:c>
      <x:c r="C3613" s="117" t="str">
        <x:v>3014O000000YBNlQAO</x:v>
      </x:c>
      <x:c r="D3613" s="118" t="n">
        <x:v>1</x:v>
      </x:c>
      <x:c r="E3613" s="117" t="str">
        <x:v>Draft</x:v>
      </x:c>
      <x:c r="F3613" s="117" t="str">
        <x:v>No</x:v>
      </x:c>
      <x:c r="G3613" s="117" t="str">
        <x:v>Yes</x:v>
      </x:c>
      <x:c r="H3613" s="117" t="str">
        <x:v>Flow</x:v>
      </x:c>
      <x:c r="I3613" s="118" t="n">
        <x:v>51</x:v>
      </x:c>
      <x:c r="J3613" s="117" t="str">
        <x:v>unmanaged</x:v>
      </x:c>
      <x:c r="K3613" s="123" t="b">
        <x:v>0</x:v>
      </x:c>
      <x:c r="L3613" s="117"/>
      <x:c r="M3613" s="118"/>
      <x:c r="N3613" s="120" t="n">
        <x:v>44343.91306712963</x:v>
      </x:c>
      <x:c r="O3613" s="117" t="str">
        <x:v>Delegate</x:v>
      </x:c>
      <x:c r="P3613" s="120" t="n">
        <x:v>44343.913136574076</x:v>
      </x:c>
      <x:c r="Q3613" s="117" t="str">
        <x:v>Delegate</x:v>
      </x:c>
      <x:c r="R3613" s="117" t="str">
        <x:v>Work Order PDF Generation</x:v>
      </x:c>
      <x:c r="S3613" s="119"/>
    </x:row>
    <x:row r="3614" ht="30" customHeight="1">
      <x:c r="A3614" s="117" t="str">
        <x:v>Work_Order_Rollups</x:v>
      </x:c>
      <x:c r="B3614" s="117" t="str">
        <x:v>300Ro000007doacIAA</x:v>
      </x:c>
      <x:c r="C3614" s="117" t="str">
        <x:v>301Ro00000Dj50sIAB</x:v>
      </x:c>
      <x:c r="D3614" s="118" t="n">
        <x:v>1</x:v>
      </x:c>
      <x:c r="E3614" s="117" t="str">
        <x:v>Obsolete</x:v>
      </x:c>
      <x:c r="F3614" s="117" t="str">
        <x:v>No</x:v>
      </x:c>
      <x:c r="G3614" s="117" t="str">
        <x:v>No</x:v>
      </x:c>
      <x:c r="H3614" s="117" t="str">
        <x:v>AutoLaunchedFlow</x:v>
      </x:c>
      <x:c r="I3614" s="118" t="n">
        <x:v>57</x:v>
      </x:c>
      <x:c r="J3614" s="117" t="str">
        <x:v>unmanaged</x:v>
      </x:c>
      <x:c r="K3614" s="123" t="b">
        <x:v>0</x:v>
      </x:c>
      <x:c r="L3614" s="117"/>
      <x:c r="M3614" s="118"/>
      <x:c r="N3614" s="120" t="n">
        <x:v>45441.128541666665</x:v>
      </x:c>
      <x:c r="O3614" s="117" t="str">
        <x:v>Delegate</x:v>
      </x:c>
      <x:c r="P3614" s="120" t="n">
        <x:v>45441.13743055556</x:v>
      </x:c>
      <x:c r="Q3614" s="117" t="str">
        <x:v>Delegate</x:v>
      </x:c>
      <x:c r="R3614" s="117" t="str">
        <x:v>Work Order Rollups</x:v>
      </x:c>
      <x:c r="S3614" s="119"/>
    </x:row>
    <x:row r="3615" ht="30" customHeight="1">
      <x:c r="A3615" s="117" t="str">
        <x:v>Work_Order_Rollups</x:v>
      </x:c>
      <x:c r="B3615" s="117" t="str">
        <x:v>300Ro000007doacIAA</x:v>
      </x:c>
      <x:c r="C3615" s="117" t="str">
        <x:v>301Ro00000JwurhIAB</x:v>
      </x:c>
      <x:c r="D3615" s="118" t="n">
        <x:v>2</x:v>
      </x:c>
      <x:c r="E3615" s="117" t="str">
        <x:v>Obsolete</x:v>
      </x:c>
      <x:c r="F3615" s="117" t="str">
        <x:v>No</x:v>
      </x:c>
      <x:c r="G3615" s="117" t="str">
        <x:v>No</x:v>
      </x:c>
      <x:c r="H3615" s="117" t="str">
        <x:v>AutoLaunchedFlow</x:v>
      </x:c>
      <x:c r="I3615" s="118" t="n">
        <x:v>57</x:v>
      </x:c>
      <x:c r="J3615" s="117" t="str">
        <x:v>unmanaged</x:v>
      </x:c>
      <x:c r="K3615" s="123" t="b">
        <x:v>0</x:v>
      </x:c>
      <x:c r="L3615" s="117"/>
      <x:c r="M3615" s="118"/>
      <x:c r="N3615" s="120" t="n">
        <x:v>45532.51353009259</x:v>
      </x:c>
      <x:c r="O3615" s="117" t="str">
        <x:v>Delegate</x:v>
      </x:c>
      <x:c r="P3615" s="120" t="n">
        <x:v>45532.514444444445</x:v>
      </x:c>
      <x:c r="Q3615" s="117" t="str">
        <x:v>Delegate</x:v>
      </x:c>
      <x:c r="R3615" s="117" t="str">
        <x:v>Work Order Rollups</x:v>
      </x:c>
      <x:c r="S3615" s="119" t="str">
        <x:v>08/28/24 (BW) - Updated criteria for fetching work orders related to work order line items. Removed the criteria which limited the work orders to just the one that the individual is on at the moment</x:v>
      </x:c>
    </x:row>
    <x:row r="3616" ht="30" customHeight="1">
      <x:c r="A3616" s="117" t="str">
        <x:v>Work_Order_Rollups</x:v>
      </x:c>
      <x:c r="B3616" s="117" t="str">
        <x:v>300Ro000007doacIAA</x:v>
      </x:c>
      <x:c r="C3616" s="117" t="str">
        <x:v>301Ro00000k16vJIAQ</x:v>
      </x:c>
      <x:c r="D3616" s="118" t="n">
        <x:v>3</x:v>
      </x:c>
      <x:c r="E3616" s="117" t="str">
        <x:v>Obsolete</x:v>
      </x:c>
      <x:c r="F3616" s="117" t="str">
        <x:v>No</x:v>
      </x:c>
      <x:c r="G3616" s="117" t="str">
        <x:v>No</x:v>
      </x:c>
      <x:c r="H3616" s="117" t="str">
        <x:v>AutoLaunchedFlow</x:v>
      </x:c>
      <x:c r="I3616" s="118" t="n">
        <x:v>57</x:v>
      </x:c>
      <x:c r="J3616" s="117" t="str">
        <x:v>unmanaged</x:v>
      </x:c>
      <x:c r="K3616" s="123" t="b">
        <x:v>0</x:v>
      </x:c>
      <x:c r="L3616" s="117"/>
      <x:c r="M3616" s="118"/>
      <x:c r="N3616" s="120" t="n">
        <x:v>45898.48170138889</x:v>
      </x:c>
      <x:c r="O3616" s="117" t="str">
        <x:v>Sacha Pearce</x:v>
      </x:c>
      <x:c r="P3616" s="120" t="n">
        <x:v>45898.481782407405</x:v>
      </x:c>
      <x:c r="Q3616" s="117" t="str">
        <x:v>Sacha Pearce</x:v>
      </x:c>
      <x:c r="R3616" s="117" t="str">
        <x:v>Work Order Rollups</x:v>
      </x:c>
      <x:c r="S3616" s="119" t="str">
        <x:v>08/28/24 (BW) - Updated criteria for fetching work orders related to work order line items. Removed the criteria which limited the work orders to just the one that the individual is on at the moment
08/29/25 (SP) - Adding "Record Type ID equals 012Ro000001eDqnIAE" (FSL Work Order) to the Get All Work Orders of Contract Line Item Get Records Element</x:v>
      </x:c>
    </x:row>
    <x:row r="3617" ht="30" customHeight="1">
      <x:c r="A3617" s="117" t="str">
        <x:v>Work_Order_Rollups</x:v>
      </x:c>
      <x:c r="B3617" s="117" t="str">
        <x:v>300Ro000007doacIAA</x:v>
      </x:c>
      <x:c r="C3617" s="117" t="str">
        <x:v>301Ro00000k16goIAA</x:v>
      </x:c>
      <x:c r="D3617" s="118" t="n">
        <x:v>4</x:v>
      </x:c>
      <x:c r="E3617" s="117" t="str">
        <x:v>Obsolete</x:v>
      </x:c>
      <x:c r="F3617" s="117" t="str">
        <x:v>No</x:v>
      </x:c>
      <x:c r="G3617" s="117" t="str">
        <x:v>No</x:v>
      </x:c>
      <x:c r="H3617" s="117" t="str">
        <x:v>AutoLaunchedFlow</x:v>
      </x:c>
      <x:c r="I3617" s="118" t="n">
        <x:v>57</x:v>
      </x:c>
      <x:c r="J3617" s="117" t="str">
        <x:v>unmanaged</x:v>
      </x:c>
      <x:c r="K3617" s="123" t="b">
        <x:v>0</x:v>
      </x:c>
      <x:c r="L3617" s="117"/>
      <x:c r="M3617" s="118"/>
      <x:c r="N3617" s="120" t="n">
        <x:v>45898.48836805556</x:v>
      </x:c>
      <x:c r="O3617" s="117" t="str">
        <x:v>Sacha Pearce</x:v>
      </x:c>
      <x:c r="P3617" s="120" t="n">
        <x:v>46084.94930555556</x:v>
      </x:c>
      <x:c r="Q3617" s="117" t="str">
        <x:v>Delegate</x:v>
      </x:c>
      <x:c r="R3617" s="117" t="str">
        <x:v>Work Order Rollups</x:v>
      </x:c>
      <x:c r="S3617" s="119" t="str">
        <x:v>08/28/24 (BW) - Updated criteria for fetching work orders related to work order line items. Removed the criteria which limited the work orders to just the one that the individual is on at the moment
08/29/25 (SP) - Adding "Record Type ID equals 012Ro000001eDqnIAE" (FSL Work Order) to the Get All Work Orders of Contract Line Item Get Records Element
08/29/25 (SP) - Correcting the above amendment as the Field was set to Contract Line Item, not Work Order</x:v>
      </x:c>
    </x:row>
    <x:row r="3618" ht="30" customHeight="1">
      <x:c r="A3618" s="117" t="str">
        <x:v>Work_Order_Rollups</x:v>
      </x:c>
      <x:c r="B3618" s="117" t="str">
        <x:v>300Ro000007doacIAA</x:v>
      </x:c>
      <x:c r="C3618" s="117" t="str">
        <x:v>301Ro000013j1deIAA</x:v>
      </x:c>
      <x:c r="D3618" s="118" t="n">
        <x:v>5</x:v>
      </x:c>
      <x:c r="E3618" s="117" t="str">
        <x:v>Obsolete</x:v>
      </x:c>
      <x:c r="F3618" s="117" t="str">
        <x:v>No</x:v>
      </x:c>
      <x:c r="G3618" s="117" t="str">
        <x:v>No</x:v>
      </x:c>
      <x:c r="H3618" s="117" t="str">
        <x:v>AutoLaunchedFlow</x:v>
      </x:c>
      <x:c r="I3618" s="118" t="n">
        <x:v>57</x:v>
      </x:c>
      <x:c r="J3618" s="117" t="str">
        <x:v>unmanaged</x:v>
      </x:c>
      <x:c r="K3618" s="123" t="b">
        <x:v>0</x:v>
      </x:c>
      <x:c r="L3618" s="117"/>
      <x:c r="M3618" s="118"/>
      <x:c r="N3618" s="120" t="n">
        <x:v>46133.695972222224</x:v>
      </x:c>
      <x:c r="O3618" s="117" t="str">
        <x:v>Delegate</x:v>
      </x:c>
      <x:c r="P3618" s="120" t="n">
        <x:v>46155.594456018516</x:v>
      </x:c>
      <x:c r="Q3618" s="117" t="str">
        <x:v>Delegate</x:v>
      </x:c>
      <x:c r="R3618" s="117" t="str">
        <x:v>Work Order Rollups</x:v>
      </x:c>
      <x:c r="S3618" s="119" t="str">
        <x:v>08/28/24 (BW) - Updated criteria for fetching work orders related to work order line items. Removed the criteria which limited the work orders to just the one that the individual is on at the moment
08/29/25 (SP) - Adding "Record Type ID equals 012Ro000001eDqnIAE" (FSL Work Order) to the Get All Work Orders of Contract Line Item Get Records Element
08/29/25 (SP) - Correcting the above amendment as the Field was set to Contract Line Item, not Work Order</x:v>
      </x:c>
    </x:row>
    <x:row r="3619" ht="30" customHeight="1">
      <x:c r="A3619" s="117" t="str">
        <x:v>Work_Order_Rollups</x:v>
      </x:c>
      <x:c r="B3619" s="117" t="str">
        <x:v>300Ro000007doacIAA</x:v>
      </x:c>
      <x:c r="C3619" s="117" t="str">
        <x:v>301Ro000015WBWWIA4</x:v>
      </x:c>
      <x:c r="D3619" s="118" t="n">
        <x:v>6</x:v>
      </x:c>
      <x:c r="E3619" s="117" t="str">
        <x:v>Obsolete</x:v>
      </x:c>
      <x:c r="F3619" s="117" t="str">
        <x:v>No</x:v>
      </x:c>
      <x:c r="G3619" s="117" t="str">
        <x:v>No</x:v>
      </x:c>
      <x:c r="H3619" s="117" t="str">
        <x:v>AutoLaunchedFlow</x:v>
      </x:c>
      <x:c r="I3619" s="118" t="n">
        <x:v>57</x:v>
      </x:c>
      <x:c r="J3619" s="117" t="str">
        <x:v>unmanaged</x:v>
      </x:c>
      <x:c r="K3619" s="123" t="b">
        <x:v>0</x:v>
      </x:c>
      <x:c r="L3619" s="117"/>
      <x:c r="M3619" s="118"/>
      <x:c r="N3619" s="120" t="n">
        <x:v>46155.374085648145</x:v>
      </x:c>
      <x:c r="O3619" s="117" t="str">
        <x:v>Sacha Pearce</x:v>
      </x:c>
      <x:c r="P3619" s="120" t="n">
        <x:v>46155.37422453704</x:v>
      </x:c>
      <x:c r="Q3619" s="117" t="str">
        <x:v>Sacha Pearce</x:v>
      </x:c>
      <x:c r="R3619" s="117" t="str">
        <x:v>Work Order Rollups</x:v>
      </x:c>
      <x:c r="S3619" s="119" t="str">
        <x:v>13/05/2026 - SP - Work Order "Parts Sales Value" is a roll-up summary field and isn't triggering updates. Updating the Flow to run on Work Order Line Item creation or update.</x:v>
      </x:c>
    </x:row>
    <x:row r="3620" ht="30" customHeight="1">
      <x:c r="A3620" s="117" t="str">
        <x:v>Work_Order_Rollups</x:v>
      </x:c>
      <x:c r="B3620" s="117" t="str">
        <x:v>300Ro000007doacIAA</x:v>
      </x:c>
      <x:c r="C3620" s="117" t="str">
        <x:v>301Ro000015Xz69IAC</x:v>
      </x:c>
      <x:c r="D3620" s="118" t="n">
        <x:v>7</x:v>
      </x:c>
      <x:c r="E3620" s="117" t="str">
        <x:v>Obsolete</x:v>
      </x:c>
      <x:c r="F3620" s="117" t="str">
        <x:v>No</x:v>
      </x:c>
      <x:c r="G3620" s="117" t="str">
        <x:v>No</x:v>
      </x:c>
      <x:c r="H3620" s="117" t="str">
        <x:v>AutoLaunchedFlow</x:v>
      </x:c>
      <x:c r="I3620" s="118" t="n">
        <x:v>57</x:v>
      </x:c>
      <x:c r="J3620" s="117" t="str">
        <x:v>unmanaged</x:v>
      </x:c>
      <x:c r="K3620" s="123" t="b">
        <x:v>0</x:v>
      </x:c>
      <x:c r="L3620" s="117"/>
      <x:c r="M3620" s="118"/>
      <x:c r="N3620" s="120" t="n">
        <x:v>46155.61449074074</x:v>
      </x:c>
      <x:c r="O3620" s="117" t="str">
        <x:v>Delegate</x:v>
      </x:c>
      <x:c r="P3620" s="120" t="n">
        <x:v>46155.61454861111</x:v>
      </x:c>
      <x:c r="Q3620" s="117" t="str">
        <x:v>Delegate</x:v>
      </x:c>
      <x:c r="R3620" s="117" t="str">
        <x:v>On Update of Unit Price | Parts Sales Value Rollup</x:v>
      </x:c>
      <x:c r="S3620" s="119" t="str">
        <x:v>13/05/2026 - SP - Work Order "Parts Sales Value" is a roll-up summary field and isn't triggering updates. Updating the Flow to run on Work Order Line Item creation or update.</x:v>
      </x:c>
    </x:row>
    <x:row r="3621" ht="30" customHeight="1">
      <x:c r="A3621" s="117" t="str">
        <x:v>Work_Order_Rollups</x:v>
      </x:c>
      <x:c r="B3621" s="117" t="str">
        <x:v>300Ro000007doacIAA</x:v>
      </x:c>
      <x:c r="C3621" s="117" t="str">
        <x:v>301Ro000016MOKjIAO</x:v>
      </x:c>
      <x:c r="D3621" s="118" t="n">
        <x:v>8</x:v>
      </x:c>
      <x:c r="E3621" s="117" t="str">
        <x:v>Active</x:v>
      </x:c>
      <x:c r="F3621" s="117" t="str">
        <x:v>Yes</x:v>
      </x:c>
      <x:c r="G3621" s="117" t="str">
        <x:v>Yes</x:v>
      </x:c>
      <x:c r="H3621" s="117" t="str">
        <x:v>AutoLaunchedFlow</x:v>
      </x:c>
      <x:c r="I3621" s="118" t="n">
        <x:v>57</x:v>
      </x:c>
      <x:c r="J3621" s="117" t="str">
        <x:v>unmanaged</x:v>
      </x:c>
      <x:c r="K3621" s="123" t="b">
        <x:v>0</x:v>
      </x:c>
      <x:c r="L3621" s="117"/>
      <x:c r="M3621" s="118"/>
      <x:c r="N3621" s="120" t="n">
        <x:v>46163.85351851852</x:v>
      </x:c>
      <x:c r="O3621" s="117" t="str">
        <x:v>Delegate</x:v>
      </x:c>
      <x:c r="P3621" s="120" t="n">
        <x:v>46163.853842592594</x:v>
      </x:c>
      <x:c r="Q3621" s="117" t="str">
        <x:v>Delegate</x:v>
      </x:c>
      <x:c r="R3621" s="117" t="str">
        <x:v>On Update of Unit Price | Parts Sales Value Rollup</x:v>
      </x:c>
      <x:c r="S3621" s="119" t="str">
        <x:v>21/05/2026 (BW) - Updating so that it uses the transform element to cut down on processing power</x:v>
      </x:c>
    </x:row>
    <x:row r="3622" ht="30" customHeight="1">
      <x:c r="A3622" s="117" t="str">
        <x:v>Work_Order_Triggeer_US_FSR_Layout_Assignment</x:v>
      </x:c>
      <x:c r="B3622" s="117" t="str">
        <x:v>300Ro00000pjRMsIAM</x:v>
      </x:c>
      <x:c r="C3622" s="117" t="str">
        <x:v>301Ro00000xFfbzIAC</x:v>
      </x:c>
      <x:c r="D3622" s="118" t="n">
        <x:v>1</x:v>
      </x:c>
      <x:c r="E3622" s="117" t="str">
        <x:v>Obsolete</x:v>
      </x:c>
      <x:c r="F3622" s="117" t="str">
        <x:v>No</x:v>
      </x:c>
      <x:c r="G3622" s="117" t="str">
        <x:v>No</x:v>
      </x:c>
      <x:c r="H3622" s="117" t="str">
        <x:v>AutoLaunchedFlow</x:v>
      </x:c>
      <x:c r="I3622" s="118" t="n">
        <x:v>65</x:v>
      </x:c>
      <x:c r="J3622" s="117" t="str">
        <x:v>unmanaged</x:v>
      </x:c>
      <x:c r="K3622" s="123" t="b">
        <x:v>0</x:v>
      </x:c>
      <x:c r="L3622" s="117"/>
      <x:c r="M3622" s="118"/>
      <x:c r="N3622" s="120" t="n">
        <x:v>46055.644525462965</x:v>
      </x:c>
      <x:c r="O3622" s="117" t="str">
        <x:v>Delegate</x:v>
      </x:c>
      <x:c r="P3622" s="120" t="n">
        <x:v>46055.64586805556</x:v>
      </x:c>
      <x:c r="Q3622" s="117" t="str">
        <x:v>Delegate</x:v>
      </x:c>
      <x:c r="R3622" s="117" t="str">
        <x:v>Work Order - Trigger - US FSR Layout Assignment</x:v>
      </x:c>
      <x:c r="S3622" s="119" t="str">
        <x:v>02/02/2026 - (KL) - Auto Assignment of Service Report Layout ID on Work Order for US Probo Only</x:v>
      </x:c>
    </x:row>
    <x:row r="3623" ht="30" customHeight="1">
      <x:c r="A3623" s="117" t="str">
        <x:v>Work_Order_Triggeer_US_FSR_Layout_Assignment</x:v>
      </x:c>
      <x:c r="B3623" s="117" t="str">
        <x:v>300Ro00000pjRMsIAM</x:v>
      </x:c>
      <x:c r="C3623" s="117" t="str">
        <x:v>301Ro00000xFMPfIAO</x:v>
      </x:c>
      <x:c r="D3623" s="118" t="n">
        <x:v>2</x:v>
      </x:c>
      <x:c r="E3623" s="117" t="str">
        <x:v>Active</x:v>
      </x:c>
      <x:c r="F3623" s="117" t="str">
        <x:v>Yes</x:v>
      </x:c>
      <x:c r="G3623" s="117" t="str">
        <x:v>Yes</x:v>
      </x:c>
      <x:c r="H3623" s="117" t="str">
        <x:v>AutoLaunchedFlow</x:v>
      </x:c>
      <x:c r="I3623" s="118" t="n">
        <x:v>65</x:v>
      </x:c>
      <x:c r="J3623" s="117" t="str">
        <x:v>unmanaged</x:v>
      </x:c>
      <x:c r="K3623" s="123" t="b">
        <x:v>0</x:v>
      </x:c>
      <x:c r="L3623" s="117"/>
      <x:c r="M3623" s="118"/>
      <x:c r="N3623" s="120" t="n">
        <x:v>46055.6515162037</x:v>
      </x:c>
      <x:c r="O3623" s="117" t="str">
        <x:v>Delegate</x:v>
      </x:c>
      <x:c r="P3623" s="120" t="n">
        <x:v>46055.651770833334</x:v>
      </x:c>
      <x:c r="Q3623" s="117" t="str">
        <x:v>Delegate</x:v>
      </x:c>
      <x:c r="R3623" s="117" t="str">
        <x:v>Work Order - Trigger - US FSR Layout Assignment</x:v>
      </x:c>
      <x:c r="S3623" s="119" t="str">
        <x:v>02/02/2026 - (KL) - Auto Assignment of Service Report Layout ID on Work Order for US Probo Only</x:v>
      </x:c>
    </x:row>
    <x:row r="3624" ht="30" customHeight="1">
      <x:c r="A3624" s="117" t="str">
        <x:v>Work_Order_Trigger_QA_Updates</x:v>
      </x:c>
      <x:c r="B3624" s="117" t="str">
        <x:v>300Ro00000U5KZYIA3</x:v>
      </x:c>
      <x:c r="C3624" s="117" t="str">
        <x:v>301Ro00000XAwqxIAD</x:v>
      </x:c>
      <x:c r="D3624" s="118" t="n">
        <x:v>1</x:v>
      </x:c>
      <x:c r="E3624" s="117" t="str">
        <x:v>InvalidDraft</x:v>
      </x:c>
      <x:c r="F3624" s="117" t="str">
        <x:v>No</x:v>
      </x:c>
      <x:c r="G3624" s="117" t="str">
        <x:v>Yes</x:v>
      </x:c>
      <x:c r="H3624" s="117" t="str">
        <x:v>AutoLaunchedFlow</x:v>
      </x:c>
      <x:c r="I3624" s="118" t="n">
        <x:v>63</x:v>
      </x:c>
      <x:c r="J3624" s="117" t="str">
        <x:v>unmanaged</x:v>
      </x:c>
      <x:c r="K3624" s="123" t="b">
        <x:v>0</x:v>
      </x:c>
      <x:c r="L3624" s="117"/>
      <x:c r="M3624" s="118"/>
      <x:c r="N3624" s="120" t="n">
        <x:v>45757.62123842593</x:v>
      </x:c>
      <x:c r="O3624" s="117" t="str">
        <x:v>Delegate</x:v>
      </x:c>
      <x:c r="P3624" s="120" t="n">
        <x:v>45757.62126157407</x:v>
      </x:c>
      <x:c r="Q3624" s="117" t="str">
        <x:v>Delegate</x:v>
      </x:c>
      <x:c r="R3624" s="117" t="str">
        <x:v>Work Order - Trigger - QA Updates</x:v>
      </x:c>
      <x:c r="S3624" s="119" t="str">
        <x:v>04/10/2025 - Kyle/Delegate - If the related contract line item of the work order is marked "QA Required" via checkbox, update the work order to the QA work type AND create a QA service appointment for 3 months from now.</x:v>
      </x:c>
    </x:row>
    <x:row r="3625" ht="30" customHeight="1">
      <x:c r="A3625" s="117" t="str">
        <x:v>Work_Order_Trigger_Update_Cancelled_WO_Related_SAs</x:v>
      </x:c>
      <x:c r="B3625" s="117" t="str">
        <x:v>300Ro00000S8ODBIA3</x:v>
      </x:c>
      <x:c r="C3625" s="117" t="str">
        <x:v>301Ro00000V3m0EIAR</x:v>
      </x:c>
      <x:c r="D3625" s="118" t="n">
        <x:v>1</x:v>
      </x:c>
      <x:c r="E3625" s="117" t="str">
        <x:v>Obsolete</x:v>
      </x:c>
      <x:c r="F3625" s="117" t="str">
        <x:v>No</x:v>
      </x:c>
      <x:c r="G3625" s="117" t="str">
        <x:v>No</x:v>
      </x:c>
      <x:c r="H3625" s="117" t="str">
        <x:v>AutoLaunchedFlow</x:v>
      </x:c>
      <x:c r="I3625" s="118" t="n">
        <x:v>63</x:v>
      </x:c>
      <x:c r="J3625" s="117" t="str">
        <x:v>unmanaged</x:v>
      </x:c>
      <x:c r="K3625" s="123" t="b">
        <x:v>0</x:v>
      </x:c>
      <x:c r="L3625" s="117"/>
      <x:c r="M3625" s="118"/>
      <x:c r="N3625" s="120" t="n">
        <x:v>45720.68216435185</x:v>
      </x:c>
      <x:c r="O3625" s="117" t="str">
        <x:v>Delegate</x:v>
      </x:c>
      <x:c r="P3625" s="120" t="n">
        <x:v>45720.873402777775</x:v>
      </x:c>
      <x:c r="Q3625" s="117" t="str">
        <x:v>Delegate</x:v>
      </x:c>
      <x:c r="R3625" s="117" t="str">
        <x:v>Work Order - Trigger - Update Cancelled WO Related SAs</x:v>
      </x:c>
      <x:c r="S3625" s="119" t="str">
        <x:v>03/03/2025 - Delegate (Kyle) - This flow is triggered when a work order status is set to "Cancelled Work Order", with the purpose of finding all related service appointments that are not yet complete and cancelling them.</x:v>
      </x:c>
    </x:row>
    <x:row r="3626" ht="30" customHeight="1">
      <x:c r="A3626" s="117" t="str">
        <x:v>Work_Order_Trigger_Update_Cancelled_WO_Related_SAs</x:v>
      </x:c>
      <x:c r="B3626" s="117" t="str">
        <x:v>300Ro00000S8ODBIA3</x:v>
      </x:c>
      <x:c r="C3626" s="117" t="str">
        <x:v>301Ro00000VU1D5IAL</x:v>
      </x:c>
      <x:c r="D3626" s="118" t="n">
        <x:v>2</x:v>
      </x:c>
      <x:c r="E3626" s="117" t="str">
        <x:v>InvalidDraft</x:v>
      </x:c>
      <x:c r="F3626" s="117" t="str">
        <x:v>No</x:v>
      </x:c>
      <x:c r="G3626" s="117" t="str">
        <x:v>No</x:v>
      </x:c>
      <x:c r="H3626" s="117" t="str">
        <x:v>AutoLaunchedFlow</x:v>
      </x:c>
      <x:c r="I3626" s="118" t="n">
        <x:v>63</x:v>
      </x:c>
      <x:c r="J3626" s="117" t="str">
        <x:v>unmanaged</x:v>
      </x:c>
      <x:c r="K3626" s="123" t="b">
        <x:v>0</x:v>
      </x:c>
      <x:c r="L3626" s="117"/>
      <x:c r="M3626" s="118"/>
      <x:c r="N3626" s="120" t="n">
        <x:v>45727.75908564815</x:v>
      </x:c>
      <x:c r="O3626" s="117" t="str">
        <x:v>Delegate</x:v>
      </x:c>
      <x:c r="P3626" s="120" t="n">
        <x:v>45727.759108796294</x:v>
      </x:c>
      <x:c r="Q3626" s="117" t="str">
        <x:v>Delegate</x:v>
      </x:c>
      <x:c r="R3626" s="117" t="str">
        <x:v>Work Order - Trigger - Update Cancelled WO Related SAs</x:v>
      </x:c>
      <x:c r="S3626" s="119" t="str">
        <x:v>03/03/2025 - Delegate (Kyle) - This flow is triggered when a work order status is set to "Cancelled Work Order", with the purpose of finding all related service appointments that are not yet complete and cancelling them.
03/11/2025 - Delegate (Kyle) - Error handle Update</x:v>
      </x:c>
    </x:row>
    <x:row r="3627" ht="30" customHeight="1">
      <x:c r="A3627" s="117" t="str">
        <x:v>Work_Order_Trigger_Update_Cancelled_WO_Related_SAs</x:v>
      </x:c>
      <x:c r="B3627" s="117" t="str">
        <x:v>300Ro00000S8ODBIA3</x:v>
      </x:c>
      <x:c r="C3627" s="117" t="str">
        <x:v>301Ro00000VU69XIAT</x:v>
      </x:c>
      <x:c r="D3627" s="118" t="n">
        <x:v>3</x:v>
      </x:c>
      <x:c r="E3627" s="117" t="str">
        <x:v>Obsolete</x:v>
      </x:c>
      <x:c r="F3627" s="117" t="str">
        <x:v>No</x:v>
      </x:c>
      <x:c r="G3627" s="117" t="str">
        <x:v>No</x:v>
      </x:c>
      <x:c r="H3627" s="117" t="str">
        <x:v>AutoLaunchedFlow</x:v>
      </x:c>
      <x:c r="I3627" s="118" t="n">
        <x:v>63</x:v>
      </x:c>
      <x:c r="J3627" s="117" t="str">
        <x:v>unmanaged</x:v>
      </x:c>
      <x:c r="K3627" s="123" t="b">
        <x:v>0</x:v>
      </x:c>
      <x:c r="L3627" s="117"/>
      <x:c r="M3627" s="118"/>
      <x:c r="N3627" s="120" t="n">
        <x:v>45727.76193287037</x:v>
      </x:c>
      <x:c r="O3627" s="117" t="str">
        <x:v>Delegate</x:v>
      </x:c>
      <x:c r="P3627" s="120" t="n">
        <x:v>45727.76247685185</x:v>
      </x:c>
      <x:c r="Q3627" s="117" t="str">
        <x:v>Delegate</x:v>
      </x:c>
      <x:c r="R3627" s="117" t="str">
        <x:v>Work Order - Trigger - Update Cancelled WO Related SAs</x:v>
      </x:c>
      <x:c r="S3627" s="119" t="str">
        <x:v>03/03/2025 - Delegate (Kyle) - This flow is triggered when a work order status is set to "Cancelled Work Order", with the purpose of finding all related service appointments that are not yet complete and cancelling them.
03/11/2025 - Delegate (Kyle) - Error handle Update</x:v>
      </x:c>
    </x:row>
    <x:row r="3628" ht="30" customHeight="1">
      <x:c r="A3628" s="117" t="str">
        <x:v>Work_Order_Trigger_Update_Cancelled_WO_Related_SAs</x:v>
      </x:c>
      <x:c r="B3628" s="117" t="str">
        <x:v>300Ro00000S8ODBIA3</x:v>
      </x:c>
      <x:c r="C3628" s="117" t="str">
        <x:v>301Ro00000VUig8IAD</x:v>
      </x:c>
      <x:c r="D3628" s="118" t="n">
        <x:v>4</x:v>
      </x:c>
      <x:c r="E3628" s="117" t="str">
        <x:v>Active</x:v>
      </x:c>
      <x:c r="F3628" s="117" t="str">
        <x:v>Yes</x:v>
      </x:c>
      <x:c r="G3628" s="117" t="str">
        <x:v>Yes</x:v>
      </x:c>
      <x:c r="H3628" s="117" t="str">
        <x:v>AutoLaunchedFlow</x:v>
      </x:c>
      <x:c r="I3628" s="118" t="n">
        <x:v>63</x:v>
      </x:c>
      <x:c r="J3628" s="117" t="str">
        <x:v>unmanaged</x:v>
      </x:c>
      <x:c r="K3628" s="123" t="b">
        <x:v>0</x:v>
      </x:c>
      <x:c r="L3628" s="117"/>
      <x:c r="M3628" s="118"/>
      <x:c r="N3628" s="120" t="n">
        <x:v>45727.76399305555</x:v>
      </x:c>
      <x:c r="O3628" s="117" t="str">
        <x:v>Delegate</x:v>
      </x:c>
      <x:c r="P3628" s="120" t="n">
        <x:v>45727.76405092593</x:v>
      </x:c>
      <x:c r="Q3628" s="117" t="str">
        <x:v>Delegate</x:v>
      </x:c>
      <x:c r="R3628" s="117" t="str">
        <x:v>Work Order - Trigger - Update Cancelled WO Related SAs</x:v>
      </x:c>
      <x:c r="S3628" s="119" t="str">
        <x:v>03/03/2025 - Delegate (Kyle) - This flow is triggered when a work order status is set to "Cancelled Work Order", with the purpose of finding all related service appointments that are not yet complete and cancelling them.
03/11/2025 - Delegate (Kyle) - Error handle Update</x:v>
      </x:c>
    </x:row>
    <x:row r="3629" ht="30" customHeight="1">
      <x:c r="A3629" s="117" t="str">
        <x:v>Work_Order_Ultrasound_Creation_Automation</x:v>
      </x:c>
      <x:c r="B3629" s="117" t="str">
        <x:v>300Ro00000cnT4lIAE</x:v>
      </x:c>
      <x:c r="C3629" s="117" t="str">
        <x:v>301Ro00000iNPpUIAW</x:v>
      </x:c>
      <x:c r="D3629" s="118" t="n">
        <x:v>1</x:v>
      </x:c>
      <x:c r="E3629" s="117" t="str">
        <x:v>Active</x:v>
      </x:c>
      <x:c r="F3629" s="117" t="str">
        <x:v>Yes</x:v>
      </x:c>
      <x:c r="G3629" s="117" t="str">
        <x:v>Yes</x:v>
      </x:c>
      <x:c r="H3629" s="117" t="str">
        <x:v>AutoLaunchedFlow</x:v>
      </x:c>
      <x:c r="I3629" s="118" t="n">
        <x:v>63</x:v>
      </x:c>
      <x:c r="J3629" s="117" t="str">
        <x:v>unmanaged</x:v>
      </x:c>
      <x:c r="K3629" s="123" t="b">
        <x:v>0</x:v>
      </x:c>
      <x:c r="L3629" s="117"/>
      <x:c r="M3629" s="118"/>
      <x:c r="N3629" s="120" t="n">
        <x:v>45882.85230324074</x:v>
      </x:c>
      <x:c r="O3629" s="117" t="str">
        <x:v>Delegate</x:v>
      </x:c>
      <x:c r="P3629" s="120" t="n">
        <x:v>45883.03638888889</x:v>
      </x:c>
      <x:c r="Q3629" s="117" t="str">
        <x:v>Delegate</x:v>
      </x:c>
      <x:c r="R3629" s="117" t="str">
        <x:v>Work Order - Ultrasound Creation Automation</x:v>
      </x:c>
      <x:c r="S3629" s="119" t="str">
        <x:v>Automation to populate fields after the Global Action is used in the mobile application</x:v>
      </x:c>
    </x:row>
    <x:row r="3630" ht="30" customHeight="1">
      <x:c r="A3630" s="117" t="str">
        <x:v>Work_Step_Manager</x:v>
      </x:c>
      <x:c r="B3630" s="117" t="str">
        <x:v>300Ro00000Pz0l0IAB</x:v>
      </x:c>
      <x:c r="C3630" s="117" t="str">
        <x:v>301Ro00000Sd0V0IAJ</x:v>
      </x:c>
      <x:c r="D3630" s="118" t="n">
        <x:v>1</x:v>
      </x:c>
      <x:c r="E3630" s="117" t="str">
        <x:v>Obsolete</x:v>
      </x:c>
      <x:c r="F3630" s="117" t="str">
        <x:v>No</x:v>
      </x:c>
      <x:c r="G3630" s="117" t="str">
        <x:v>No</x:v>
      </x:c>
      <x:c r="H3630" s="117" t="str">
        <x:v>FieldServiceMobile</x:v>
      </x:c>
      <x:c r="I3630" s="118"/>
      <x:c r="J3630" s="117" t="str">
        <x:v>unmanaged</x:v>
      </x:c>
      <x:c r="K3630" s="123" t="b">
        <x:v>0</x:v>
      </x:c>
      <x:c r="L3630" s="117"/>
      <x:c r="M3630" s="118"/>
      <x:c r="N3630" s="120" t="n">
        <x:v>45680.216944444444</x:v>
      </x:c>
      <x:c r="O3630" s="117" t="str">
        <x:v>Delegate</x:v>
      </x:c>
      <x:c r="P3630" s="120" t="n">
        <x:v>45680.21701388889</x:v>
      </x:c>
      <x:c r="Q3630" s="117" t="str">
        <x:v>Delegate</x:v>
      </x:c>
      <x:c r="R3630" s="117" t="str">
        <x:v>Work Step Manager</x:v>
      </x:c>
      <x:c r="S3630" s="119"/>
    </x:row>
    <x:row r="3631" ht="30" customHeight="1">
      <x:c r="A3631" s="117" t="str">
        <x:v>Work_Step_Manager</x:v>
      </x:c>
      <x:c r="B3631" s="117" t="str">
        <x:v>300Ro00000Pz0l0IAB</x:v>
      </x:c>
      <x:c r="C3631" s="117" t="str">
        <x:v>301Ro00000SpOwUIAV</x:v>
      </x:c>
      <x:c r="D3631" s="118" t="n">
        <x:v>2</x:v>
      </x:c>
      <x:c r="E3631" s="117" t="str">
        <x:v>Obsolete</x:v>
      </x:c>
      <x:c r="F3631" s="117" t="str">
        <x:v>No</x:v>
      </x:c>
      <x:c r="G3631" s="117" t="str">
        <x:v>No</x:v>
      </x:c>
      <x:c r="H3631" s="117" t="str">
        <x:v>FieldServiceMobile</x:v>
      </x:c>
      <x:c r="I3631" s="118"/>
      <x:c r="J3631" s="117" t="str">
        <x:v>unmanaged</x:v>
      </x:c>
      <x:c r="K3631" s="123" t="b">
        <x:v>0</x:v>
      </x:c>
      <x:c r="L3631" s="117"/>
      <x:c r="M3631" s="118"/>
      <x:c r="N3631" s="120" t="n">
        <x:v>45684.13642361111</x:v>
      </x:c>
      <x:c r="O3631" s="117" t="str">
        <x:v>Delegate</x:v>
      </x:c>
      <x:c r="P3631" s="120" t="n">
        <x:v>45684.136458333334</x:v>
      </x:c>
      <x:c r="Q3631" s="117" t="str">
        <x:v>Delegate</x:v>
      </x:c>
      <x:c r="R3631" s="117" t="str">
        <x:v>Work Step Manager</x:v>
      </x:c>
      <x:c r="S3631" s="119" t="str">
        <x:v>01/25/2025 (BW) - Updated the checklist outputs so that they work properly</x:v>
      </x:c>
    </x:row>
    <x:row r="3632" ht="30" customHeight="1">
      <x:c r="A3632" s="117" t="str">
        <x:v>Work_Step_Manager</x:v>
      </x:c>
      <x:c r="B3632" s="117" t="str">
        <x:v>300Ro00000Pz0l0IAB</x:v>
      </x:c>
      <x:c r="C3632" s="117" t="str">
        <x:v>301Ro00000SpNQgIAN</x:v>
      </x:c>
      <x:c r="D3632" s="118" t="n">
        <x:v>3</x:v>
      </x:c>
      <x:c r="E3632" s="117" t="str">
        <x:v>Obsolete</x:v>
      </x:c>
      <x:c r="F3632" s="117" t="str">
        <x:v>No</x:v>
      </x:c>
      <x:c r="G3632" s="117" t="str">
        <x:v>No</x:v>
      </x:c>
      <x:c r="H3632" s="117" t="str">
        <x:v>FieldServiceMobile</x:v>
      </x:c>
      <x:c r="I3632" s="118"/>
      <x:c r="J3632" s="117" t="str">
        <x:v>unmanaged</x:v>
      </x:c>
      <x:c r="K3632" s="123" t="b">
        <x:v>0</x:v>
      </x:c>
      <x:c r="L3632" s="117"/>
      <x:c r="M3632" s="118"/>
      <x:c r="N3632" s="120" t="n">
        <x:v>45684.13903935185</x:v>
      </x:c>
      <x:c r="O3632" s="117" t="str">
        <x:v>Delegate</x:v>
      </x:c>
      <x:c r="P3632" s="120" t="n">
        <x:v>45684.13912037037</x:v>
      </x:c>
      <x:c r="Q3632" s="117" t="str">
        <x:v>Delegate</x:v>
      </x:c>
      <x:c r="R3632" s="117" t="str">
        <x:v>Work Step Manager</x:v>
      </x:c>
      <x:c r="S3632" s="119" t="str">
        <x:v>01/25/2025 (BW) - Updated the checklist outputs so that they work properly</x:v>
      </x:c>
    </x:row>
    <x:row r="3633" ht="30" customHeight="1">
      <x:c r="A3633" s="117" t="str">
        <x:v>Work_Step_Manager</x:v>
      </x:c>
      <x:c r="B3633" s="117" t="str">
        <x:v>300Ro00000Pz0l0IAB</x:v>
      </x:c>
      <x:c r="C3633" s="117" t="str">
        <x:v>301Ro00000SvA2mIAF</x:v>
      </x:c>
      <x:c r="D3633" s="118" t="n">
        <x:v>4</x:v>
      </x:c>
      <x:c r="E3633" s="117" t="str">
        <x:v>Draft</x:v>
      </x:c>
      <x:c r="F3633" s="117" t="str">
        <x:v>No</x:v>
      </x:c>
      <x:c r="G3633" s="117" t="str">
        <x:v>No</x:v>
      </x:c>
      <x:c r="H3633" s="117" t="str">
        <x:v>FieldServiceMobile</x:v>
      </x:c>
      <x:c r="I3633" s="118"/>
      <x:c r="J3633" s="117" t="str">
        <x:v>unmanaged</x:v>
      </x:c>
      <x:c r="K3633" s="123" t="b">
        <x:v>0</x:v>
      </x:c>
      <x:c r="L3633" s="117" t="str">
        <x:v>DefaultMode</x:v>
      </x:c>
      <x:c r="M3633" s="118"/>
      <x:c r="N3633" s="120" t="n">
        <x:v>45685.63960648148</x:v>
      </x:c>
      <x:c r="O3633" s="117" t="str">
        <x:v>Delegate</x:v>
      </x:c>
      <x:c r="P3633" s="120" t="n">
        <x:v>45685.63962962963</x:v>
      </x:c>
      <x:c r="Q3633" s="117" t="str">
        <x:v>Delegate</x:v>
      </x:c>
      <x:c r="R3633" s="117" t="str">
        <x:v>Work Step Manager</x:v>
      </x:c>
      <x:c r="S3633" s="119" t="str">
        <x:v>01/25/2025 (BW) - Updated the checklist outputs so that they work properly</x:v>
      </x:c>
    </x:row>
    <x:row r="3634" ht="30" customHeight="1">
      <x:c r="A3634" s="117" t="str">
        <x:v>Work_Step_Manager</x:v>
      </x:c>
      <x:c r="B3634" s="117" t="str">
        <x:v>300Ro00000Pz0l0IAB</x:v>
      </x:c>
      <x:c r="C3634" s="117" t="str">
        <x:v>301Ro00000SzSiUIAV</x:v>
      </x:c>
      <x:c r="D3634" s="118" t="n">
        <x:v>5</x:v>
      </x:c>
      <x:c r="E3634" s="117" t="str">
        <x:v>Obsolete</x:v>
      </x:c>
      <x:c r="F3634" s="117" t="str">
        <x:v>No</x:v>
      </x:c>
      <x:c r="G3634" s="117" t="str">
        <x:v>No</x:v>
      </x:c>
      <x:c r="H3634" s="117" t="str">
        <x:v>FieldServiceMobile</x:v>
      </x:c>
      <x:c r="I3634" s="118"/>
      <x:c r="J3634" s="117" t="str">
        <x:v>unmanaged</x:v>
      </x:c>
      <x:c r="K3634" s="123" t="b">
        <x:v>0</x:v>
      </x:c>
      <x:c r="L3634" s="117"/>
      <x:c r="M3634" s="118"/>
      <x:c r="N3634" s="120" t="n">
        <x:v>45686.53644675926</x:v>
      </x:c>
      <x:c r="O3634" s="117" t="str">
        <x:v>Delegate</x:v>
      </x:c>
      <x:c r="P3634" s="120" t="n">
        <x:v>45686.536527777775</x:v>
      </x:c>
      <x:c r="Q3634" s="117" t="str">
        <x:v>Delegate</x:v>
      </x:c>
      <x:c r="R3634" s="117" t="str">
        <x:v>Work Step Manager</x:v>
      </x:c>
      <x:c r="S3634" s="119" t="str">
        <x:v>01/25/2025 (BW) - Updated the checklist outputs so that they work properly</x:v>
      </x:c>
    </x:row>
    <x:row r="3635" ht="30" customHeight="1">
      <x:c r="A3635" s="117" t="str">
        <x:v>Work_Step_Manager</x:v>
      </x:c>
      <x:c r="B3635" s="117" t="str">
        <x:v>300Ro00000Pz0l0IAB</x:v>
      </x:c>
      <x:c r="C3635" s="117" t="str">
        <x:v>301Ro00000SzfnlIAB</x:v>
      </x:c>
      <x:c r="D3635" s="118" t="n">
        <x:v>6</x:v>
      </x:c>
      <x:c r="E3635" s="117" t="str">
        <x:v>Obsolete</x:v>
      </x:c>
      <x:c r="F3635" s="117" t="str">
        <x:v>No</x:v>
      </x:c>
      <x:c r="G3635" s="117" t="str">
        <x:v>No</x:v>
      </x:c>
      <x:c r="H3635" s="117" t="str">
        <x:v>FieldServiceMobile</x:v>
      </x:c>
      <x:c r="I3635" s="118"/>
      <x:c r="J3635" s="117" t="str">
        <x:v>unmanaged</x:v>
      </x:c>
      <x:c r="K3635" s="123" t="b">
        <x:v>0</x:v>
      </x:c>
      <x:c r="L3635" s="117"/>
      <x:c r="M3635" s="118"/>
      <x:c r="N3635" s="120" t="n">
        <x:v>45686.56217592592</x:v>
      </x:c>
      <x:c r="O3635" s="117" t="str">
        <x:v>Delegate</x:v>
      </x:c>
      <x:c r="P3635" s="120" t="n">
        <x:v>45686.562256944446</x:v>
      </x:c>
      <x:c r="Q3635" s="117" t="str">
        <x:v>Delegate</x:v>
      </x:c>
      <x:c r="R3635" s="117" t="str">
        <x:v>Work Step Manager</x:v>
      </x:c>
      <x:c r="S3635" s="119" t="str">
        <x:v>01/25/2025 (BW) - Updated the checklist outputs so that they work properly</x:v>
      </x:c>
    </x:row>
    <x:row r="3636" ht="30" customHeight="1">
      <x:c r="A3636" s="117" t="str">
        <x:v>Work_Step_Manager</x:v>
      </x:c>
      <x:c r="B3636" s="117" t="str">
        <x:v>300Ro00000Pz0l0IAB</x:v>
      </x:c>
      <x:c r="C3636" s="117" t="str">
        <x:v>301Ro00000VOnsEIAT</x:v>
      </x:c>
      <x:c r="D3636" s="118" t="n">
        <x:v>7</x:v>
      </x:c>
      <x:c r="E3636" s="117" t="str">
        <x:v>Draft</x:v>
      </x:c>
      <x:c r="F3636" s="117" t="str">
        <x:v>No</x:v>
      </x:c>
      <x:c r="G3636" s="117" t="str">
        <x:v>No</x:v>
      </x:c>
      <x:c r="H3636" s="117" t="str">
        <x:v>FieldServiceMobile</x:v>
      </x:c>
      <x:c r="I3636" s="118"/>
      <x:c r="J3636" s="117" t="str">
        <x:v>unmanaged</x:v>
      </x:c>
      <x:c r="K3636" s="123" t="b">
        <x:v>0</x:v>
      </x:c>
      <x:c r="L3636" s="117"/>
      <x:c r="M3636" s="118"/>
      <x:c r="N3636" s="120" t="n">
        <x:v>45726.5962037037</x:v>
      </x:c>
      <x:c r="O3636" s="117" t="str">
        <x:v>Delegate</x:v>
      </x:c>
      <x:c r="P3636" s="120" t="n">
        <x:v>45726.59622685185</x:v>
      </x:c>
      <x:c r="Q3636" s="117" t="str">
        <x:v>Delegate</x:v>
      </x:c>
      <x:c r="R3636" s="117" t="str">
        <x:v>Work Step Manager</x:v>
      </x:c>
      <x:c r="S3636" s="119" t="str">
        <x:v>03/10/2025 (BW) - Created a Node to Edit Already Completed Steps</x:v>
      </x:c>
    </x:row>
    <x:row r="3637" ht="30" customHeight="1">
      <x:c r="A3637" s="117" t="str">
        <x:v>Work_Step_Manager</x:v>
      </x:c>
      <x:c r="B3637" s="117" t="str">
        <x:v>300Ro00000Pz0l0IAB</x:v>
      </x:c>
      <x:c r="C3637" s="117" t="str">
        <x:v>301Ro00000VuAvuIAF</x:v>
      </x:c>
      <x:c r="D3637" s="118" t="n">
        <x:v>8</x:v>
      </x:c>
      <x:c r="E3637" s="117" t="str">
        <x:v>Obsolete</x:v>
      </x:c>
      <x:c r="F3637" s="117" t="str">
        <x:v>No</x:v>
      </x:c>
      <x:c r="G3637" s="117" t="str">
        <x:v>No</x:v>
      </x:c>
      <x:c r="H3637" s="117" t="str">
        <x:v>FieldServiceMobile</x:v>
      </x:c>
      <x:c r="I3637" s="118"/>
      <x:c r="J3637" s="117" t="str">
        <x:v>unmanaged</x:v>
      </x:c>
      <x:c r="K3637" s="123" t="b">
        <x:v>0</x:v>
      </x:c>
      <x:c r="L3637" s="117"/>
      <x:c r="M3637" s="118"/>
      <x:c r="N3637" s="120" t="n">
        <x:v>45735.53907407408</x:v>
      </x:c>
      <x:c r="O3637" s="117" t="str">
        <x:v>Delegate</x:v>
      </x:c>
      <x:c r="P3637" s="120" t="n">
        <x:v>45735.539131944446</x:v>
      </x:c>
      <x:c r="Q3637" s="117" t="str">
        <x:v>Delegate</x:v>
      </x:c>
      <x:c r="R3637" s="117" t="str">
        <x:v>Work Step Manager</x:v>
      </x:c>
      <x:c r="S3637" s="119" t="str">
        <x:v>03/19/2025 (BW) - Added a node to update the last completed step to the work order</x:v>
      </x:c>
    </x:row>
    <x:row r="3638" ht="30" customHeight="1">
      <x:c r="A3638" s="117" t="str">
        <x:v>Work_Step_Manager</x:v>
      </x:c>
      <x:c r="B3638" s="117" t="str">
        <x:v>300Ro00000Pz0l0IAB</x:v>
      </x:c>
      <x:c r="C3638" s="117" t="str">
        <x:v>301Ro00000WxdJ7IAJ</x:v>
      </x:c>
      <x:c r="D3638" s="118" t="n">
        <x:v>9</x:v>
      </x:c>
      <x:c r="E3638" s="117" t="str">
        <x:v>Obsolete</x:v>
      </x:c>
      <x:c r="F3638" s="117" t="str">
        <x:v>No</x:v>
      </x:c>
      <x:c r="G3638" s="117" t="str">
        <x:v>No</x:v>
      </x:c>
      <x:c r="H3638" s="117" t="str">
        <x:v>FieldServiceMobile</x:v>
      </x:c>
      <x:c r="I3638" s="118"/>
      <x:c r="J3638" s="117" t="str">
        <x:v>unmanaged</x:v>
      </x:c>
      <x:c r="K3638" s="123" t="b">
        <x:v>0</x:v>
      </x:c>
      <x:c r="L3638" s="117"/>
      <x:c r="M3638" s="118"/>
      <x:c r="N3638" s="120" t="n">
        <x:v>45754.522256944445</x:v>
      </x:c>
      <x:c r="O3638" s="117" t="str">
        <x:v>Delegate</x:v>
      </x:c>
      <x:c r="P3638" s="120" t="n">
        <x:v>45754.52233796296</x:v>
      </x:c>
      <x:c r="Q3638" s="117" t="str">
        <x:v>Delegate</x:v>
      </x:c>
      <x:c r="R3638" s="117" t="str">
        <x:v>Work Step Manager</x:v>
      </x:c>
      <x:c r="S3638" s="119" t="str">
        <x:v>04/07/2025 (BW) - Routing Cardio Labs to Static Fluoro</x:v>
      </x:c>
    </x:row>
    <x:row r="3639" ht="30" customHeight="1">
      <x:c r="A3639" s="117" t="str">
        <x:v>Work_Step_Manager</x:v>
      </x:c>
      <x:c r="B3639" s="117" t="str">
        <x:v>300Ro00000Pz0l0IAB</x:v>
      </x:c>
      <x:c r="C3639" s="117" t="str">
        <x:v>301Ro00000iNPpJIAW</x:v>
      </x:c>
      <x:c r="D3639" s="118" t="n">
        <x:v>10</x:v>
      </x:c>
      <x:c r="E3639" s="117" t="str">
        <x:v>Obsolete</x:v>
      </x:c>
      <x:c r="F3639" s="117" t="str">
        <x:v>No</x:v>
      </x:c>
      <x:c r="G3639" s="117" t="str">
        <x:v>No</x:v>
      </x:c>
      <x:c r="H3639" s="117" t="str">
        <x:v>FieldServiceMobile</x:v>
      </x:c>
      <x:c r="I3639" s="118"/>
      <x:c r="J3639" s="117" t="str">
        <x:v>unmanaged</x:v>
      </x:c>
      <x:c r="K3639" s="123" t="b">
        <x:v>0</x:v>
      </x:c>
      <x:c r="L3639" s="117"/>
      <x:c r="M3639" s="118"/>
      <x:c r="N3639" s="120" t="n">
        <x:v>45882.8521412037</x:v>
      </x:c>
      <x:c r="O3639" s="117" t="str">
        <x:v>Delegate</x:v>
      </x:c>
      <x:c r="P3639" s="120" t="n">
        <x:v>45882.85267361111</x:v>
      </x:c>
      <x:c r="Q3639" s="117" t="str">
        <x:v>Delegate</x:v>
      </x:c>
      <x:c r="R3639" s="117" t="str">
        <x:v>Work Step Manager</x:v>
      </x:c>
      <x:c r="S3639" s="119" t="str">
        <x:v>01/25/2025 (BW) - Updated the checklist outputs so that they work properly</x:v>
      </x:c>
    </x:row>
    <x:row r="3640" ht="30" customHeight="1">
      <x:c r="A3640" s="117" t="str">
        <x:v>Work_Step_Manager</x:v>
      </x:c>
      <x:c r="B3640" s="117" t="str">
        <x:v>300Ro00000Pz0l0IAB</x:v>
      </x:c>
      <x:c r="C3640" s="117" t="str">
        <x:v>301Ro00000wkYtJIAU</x:v>
      </x:c>
      <x:c r="D3640" s="118" t="n">
        <x:v>11</x:v>
      </x:c>
      <x:c r="E3640" s="117" t="str">
        <x:v>Obsolete</x:v>
      </x:c>
      <x:c r="F3640" s="117" t="str">
        <x:v>No</x:v>
      </x:c>
      <x:c r="G3640" s="117" t="str">
        <x:v>No</x:v>
      </x:c>
      <x:c r="H3640" s="117" t="str">
        <x:v>FieldServiceMobile</x:v>
      </x:c>
      <x:c r="I3640" s="118"/>
      <x:c r="J3640" s="117" t="str">
        <x:v>unmanaged</x:v>
      </x:c>
      <x:c r="K3640" s="123" t="b">
        <x:v>0</x:v>
      </x:c>
      <x:c r="L3640" s="117"/>
      <x:c r="M3640" s="118"/>
      <x:c r="N3640" s="120" t="n">
        <x:v>46049.77410879629</x:v>
      </x:c>
      <x:c r="O3640" s="117" t="str">
        <x:v>Delegate</x:v>
      </x:c>
      <x:c r="P3640" s="120" t="n">
        <x:v>46049.777083333334</x:v>
      </x:c>
      <x:c r="Q3640" s="117" t="str">
        <x:v>Delegate</x:v>
      </x:c>
      <x:c r="R3640" s="117" t="str">
        <x:v>Work Step Manager</x:v>
      </x:c>
      <x:c r="S3640" s="119" t="str">
        <x:v>01/27/2026 (KL/Delegate) - Updating for US Ultrasound PM Checksheet</x:v>
      </x:c>
    </x:row>
    <x:row r="3641" ht="30" customHeight="1">
      <x:c r="A3641" s="117" t="str">
        <x:v>Work_Step_Manager</x:v>
      </x:c>
      <x:c r="B3641" s="117" t="str">
        <x:v>300Ro00000Pz0l0IAB</x:v>
      </x:c>
      <x:c r="C3641" s="117" t="str">
        <x:v>301Ro00000zfZRsIAM</x:v>
      </x:c>
      <x:c r="D3641" s="118" t="n">
        <x:v>12</x:v>
      </x:c>
      <x:c r="E3641" s="117" t="str">
        <x:v>Obsolete</x:v>
      </x:c>
      <x:c r="F3641" s="117" t="str">
        <x:v>No</x:v>
      </x:c>
      <x:c r="G3641" s="117" t="str">
        <x:v>No</x:v>
      </x:c>
      <x:c r="H3641" s="117" t="str">
        <x:v>FieldServiceMobile</x:v>
      </x:c>
      <x:c r="I3641" s="118"/>
      <x:c r="J3641" s="117" t="str">
        <x:v>unmanaged</x:v>
      </x:c>
      <x:c r="K3641" s="123" t="b">
        <x:v>0</x:v>
      </x:c>
      <x:c r="L3641" s="117"/>
      <x:c r="M3641" s="118"/>
      <x:c r="N3641" s="120" t="n">
        <x:v>46084.70780092593</x:v>
      </x:c>
      <x:c r="O3641" s="117" t="str">
        <x:v>Delegate</x:v>
      </x:c>
      <x:c r="P3641" s="120" t="n">
        <x:v>46093.537997685184</x:v>
      </x:c>
      <x:c r="Q3641" s="117" t="str">
        <x:v>Delegate</x:v>
      </x:c>
      <x:c r="R3641" s="117" t="str">
        <x:v>Work Step Manager</x:v>
      </x:c>
      <x:c r="S3641" s="119" t="str">
        <x:v>03/03/2026 (KL/Delegate) - Updating for US Ultrasound PM Checksheet</x:v>
      </x:c>
    </x:row>
    <x:row r="3642" ht="30" customHeight="1">
      <x:c r="A3642" s="117" t="str">
        <x:v>Work_Step_Manager</x:v>
      </x:c>
      <x:c r="B3642" s="117" t="str">
        <x:v>300Ro00000Pz0l0IAB</x:v>
      </x:c>
      <x:c r="C3642" s="117" t="str">
        <x:v>301Ro000012hGoJIAU</x:v>
      </x:c>
      <x:c r="D3642" s="118" t="n">
        <x:v>13</x:v>
      </x:c>
      <x:c r="E3642" s="117" t="str">
        <x:v>Obsolete</x:v>
      </x:c>
      <x:c r="F3642" s="117" t="str">
        <x:v>No</x:v>
      </x:c>
      <x:c r="G3642" s="117" t="str">
        <x:v>No</x:v>
      </x:c>
      <x:c r="H3642" s="117" t="str">
        <x:v>FieldServiceMobile</x:v>
      </x:c>
      <x:c r="I3642" s="118"/>
      <x:c r="J3642" s="117" t="str">
        <x:v>unmanaged</x:v>
      </x:c>
      <x:c r="K3642" s="123" t="b">
        <x:v>0</x:v>
      </x:c>
      <x:c r="L3642" s="117"/>
      <x:c r="M3642" s="118"/>
      <x:c r="N3642" s="120" t="n">
        <x:v>46120.938368055555</x:v>
      </x:c>
      <x:c r="O3642" s="117" t="str">
        <x:v>Mindy Bender</x:v>
      </x:c>
      <x:c r="P3642" s="120" t="n">
        <x:v>46120.94116898148</x:v>
      </x:c>
      <x:c r="Q3642" s="117" t="str">
        <x:v>Mindy Bender</x:v>
      </x:c>
      <x:c r="R3642" s="117" t="str">
        <x:v>Work Step Manager</x:v>
      </x:c>
      <x:c r="S3642" s="119" t="str">
        <x:v>03/03/2026 (KL/Delegate) - Updating for US Ultrasound PM Checksheet
04/08/2026 (MPB) - updating to include US Trophon PM Checksheet</x:v>
      </x:c>
    </x:row>
    <x:row r="3643" ht="30" customHeight="1">
      <x:c r="A3643" s="117" t="str">
        <x:v>Work_Step_Manager</x:v>
      </x:c>
      <x:c r="B3643" s="117" t="str">
        <x:v>300Ro00000Pz0l0IAB</x:v>
      </x:c>
      <x:c r="C3643" s="117" t="str">
        <x:v>301Ro000015lzz8IAA</x:v>
      </x:c>
      <x:c r="D3643" s="118" t="n">
        <x:v>14</x:v>
      </x:c>
      <x:c r="E3643" s="117" t="str">
        <x:v>Obsolete</x:v>
      </x:c>
      <x:c r="F3643" s="117" t="str">
        <x:v>No</x:v>
      </x:c>
      <x:c r="G3643" s="117" t="str">
        <x:v>No</x:v>
      </x:c>
      <x:c r="H3643" s="117" t="str">
        <x:v>FieldServiceMobile</x:v>
      </x:c>
      <x:c r="I3643" s="118"/>
      <x:c r="J3643" s="117" t="str">
        <x:v>unmanaged</x:v>
      </x:c>
      <x:c r="K3643" s="123" t="b">
        <x:v>0</x:v>
      </x:c>
      <x:c r="L3643" s="117"/>
      <x:c r="M3643" s="118"/>
      <x:c r="N3643" s="120" t="n">
        <x:v>46157.628229166665</x:v>
      </x:c>
      <x:c r="O3643" s="117" t="str">
        <x:v>Sacha Pearce</x:v>
      </x:c>
      <x:c r="P3643" s="120" t="n">
        <x:v>46157.63141203704</x:v>
      </x:c>
      <x:c r="Q3643" s="117" t="str">
        <x:v>Sacha Pearce</x:v>
      </x:c>
      <x:c r="R3643" s="117" t="str">
        <x:v>Work Step Manager</x:v>
      </x:c>
      <x:c r="S3643" s="119" t="str">
        <x:v>05/15/2026 - SP - Adding CR Readers to the UK Checklist options</x:v>
      </x:c>
    </x:row>
    <x:row r="3644" ht="30" customHeight="1">
      <x:c r="A3644" s="117" t="str">
        <x:v>Work_Step_Manager</x:v>
      </x:c>
      <x:c r="B3644" s="117" t="str">
        <x:v>300Ro00000Pz0l0IAB</x:v>
      </x:c>
      <x:c r="C3644" s="117" t="str">
        <x:v>301Ro000015llg6IAA</x:v>
      </x:c>
      <x:c r="D3644" s="118" t="n">
        <x:v>15</x:v>
      </x:c>
      <x:c r="E3644" s="117" t="str">
        <x:v>Obsolete</x:v>
      </x:c>
      <x:c r="F3644" s="117" t="str">
        <x:v>No</x:v>
      </x:c>
      <x:c r="G3644" s="117" t="str">
        <x:v>No</x:v>
      </x:c>
      <x:c r="H3644" s="117" t="str">
        <x:v>FieldServiceMobile</x:v>
      </x:c>
      <x:c r="I3644" s="118"/>
      <x:c r="J3644" s="117" t="str">
        <x:v>unmanaged</x:v>
      </x:c>
      <x:c r="K3644" s="123" t="b">
        <x:v>0</x:v>
      </x:c>
      <x:c r="L3644" s="117"/>
      <x:c r="M3644" s="118"/>
      <x:c r="N3644" s="120" t="n">
        <x:v>46157.6418287037</x:v>
      </x:c>
      <x:c r="O3644" s="117" t="str">
        <x:v>Sacha Pearce</x:v>
      </x:c>
      <x:c r="P3644" s="120" t="n">
        <x:v>46157.64193287037</x:v>
      </x:c>
      <x:c r="Q3644" s="117" t="str">
        <x:v>Sacha Pearce</x:v>
      </x:c>
      <x:c r="R3644" s="117" t="str">
        <x:v>Work Step Manager</x:v>
      </x:c>
      <x:c r="S3644" s="119" t="str">
        <x:v>05/15/2026 - SP - Adding CR Readers to the UK Checklist options</x:v>
      </x:c>
    </x:row>
    <x:row r="3645" ht="30" customHeight="1">
      <x:c r="A3645" s="117" t="str">
        <x:v>Work_Step_Manager</x:v>
      </x:c>
      <x:c r="B3645" s="117" t="str">
        <x:v>300Ro00000Pz0l0IAB</x:v>
      </x:c>
      <x:c r="C3645" s="117" t="str">
        <x:v>301Ro000018Q8o1IAC</x:v>
      </x:c>
      <x:c r="D3645" s="118" t="n">
        <x:v>16</x:v>
      </x:c>
      <x:c r="E3645" s="117" t="str">
        <x:v>Obsolete</x:v>
      </x:c>
      <x:c r="F3645" s="117" t="str">
        <x:v>No</x:v>
      </x:c>
      <x:c r="G3645" s="117" t="str">
        <x:v>No</x:v>
      </x:c>
      <x:c r="H3645" s="117" t="str">
        <x:v>FieldServiceMobile</x:v>
      </x:c>
      <x:c r="I3645" s="118"/>
      <x:c r="J3645" s="117" t="str">
        <x:v>unmanaged</x:v>
      </x:c>
      <x:c r="K3645" s="123" t="b">
        <x:v>0</x:v>
      </x:c>
      <x:c r="L3645" s="117"/>
      <x:c r="M3645" s="118"/>
      <x:c r="N3645" s="120" t="n">
        <x:v>46185.908634259256</x:v>
      </x:c>
      <x:c r="O3645" s="117" t="str">
        <x:v>Mindy Bender</x:v>
      </x:c>
      <x:c r="P3645" s="120" t="n">
        <x:v>46185.91024305556</x:v>
      </x:c>
      <x:c r="Q3645" s="117" t="str">
        <x:v>Mindy Bender</x:v>
      </x:c>
      <x:c r="R3645" s="117" t="str">
        <x:v>Work Step Manager</x:v>
      </x:c>
      <x:c r="S3645" s="119" t="str">
        <x:v>06/12/2026 - MPB - Added updating Make/Model to Trophon if they choose to fill out a Trophon PM Checklist</x:v>
      </x:c>
    </x:row>
    <x:row r="3646" ht="30" customHeight="1">
      <x:c r="A3646" s="117" t="str">
        <x:v>Work_Step_Manager</x:v>
      </x:c>
      <x:c r="B3646" s="117" t="str">
        <x:v>300Ro00000Pz0l0IAB</x:v>
      </x:c>
      <x:c r="C3646" s="117" t="str">
        <x:v>301Ro000018QCMzIAO</x:v>
      </x:c>
      <x:c r="D3646" s="118" t="n">
        <x:v>17</x:v>
      </x:c>
      <x:c r="E3646" s="117" t="str">
        <x:v>Obsolete</x:v>
      </x:c>
      <x:c r="F3646" s="117" t="str">
        <x:v>No</x:v>
      </x:c>
      <x:c r="G3646" s="117" t="str">
        <x:v>No</x:v>
      </x:c>
      <x:c r="H3646" s="117" t="str">
        <x:v>FieldServiceMobile</x:v>
      </x:c>
      <x:c r="I3646" s="118"/>
      <x:c r="J3646" s="117" t="str">
        <x:v>unmanaged</x:v>
      </x:c>
      <x:c r="K3646" s="123" t="b">
        <x:v>0</x:v>
      </x:c>
      <x:c r="L3646" s="117"/>
      <x:c r="M3646" s="118"/>
      <x:c r="N3646" s="120" t="n">
        <x:v>46185.91625</x:v>
      </x:c>
      <x:c r="O3646" s="117" t="str">
        <x:v>Mindy Bender</x:v>
      </x:c>
      <x:c r="P3646" s="120" t="n">
        <x:v>46185.916354166664</x:v>
      </x:c>
      <x:c r="Q3646" s="117" t="str">
        <x:v>Mindy Bender</x:v>
      </x:c>
      <x:c r="R3646" s="117" t="str">
        <x:v>Work Step Manager</x:v>
      </x:c>
      <x:c r="S3646" s="119" t="str">
        <x:v>06/12/2026 - MPB - Added updating Make/Model to Trophon if they choose to fill out a Trophon PM Checklist</x:v>
      </x:c>
    </x:row>
    <x:row r="3647" ht="30" customHeight="1">
      <x:c r="A3647" s="117" t="str">
        <x:v>Work_Step_Manager</x:v>
      </x:c>
      <x:c r="B3647" s="117" t="str">
        <x:v>300Ro00000Pz0l0IAB</x:v>
      </x:c>
      <x:c r="C3647" s="117" t="str">
        <x:v>301Ro00001CTQHRIA5</x:v>
      </x:c>
      <x:c r="D3647" s="118" t="n">
        <x:v>18</x:v>
      </x:c>
      <x:c r="E3647" s="117" t="str">
        <x:v>Active</x:v>
      </x:c>
      <x:c r="F3647" s="117" t="str">
        <x:v>Yes</x:v>
      </x:c>
      <x:c r="G3647" s="117" t="str">
        <x:v>Yes</x:v>
      </x:c>
      <x:c r="H3647" s="117" t="str">
        <x:v>FieldServiceMobile</x:v>
      </x:c>
      <x:c r="I3647" s="118"/>
      <x:c r="J3647" s="117" t="str">
        <x:v>unmanaged</x:v>
      </x:c>
      <x:c r="K3647" s="123" t="b">
        <x:v>0</x:v>
      </x:c>
      <x:c r="L3647" s="117"/>
      <x:c r="M3647" s="118"/>
      <x:c r="N3647" s="120" t="n">
        <x:v>46231.402141203704</x:v>
      </x:c>
      <x:c r="O3647" s="117" t="str">
        <x:v>Sacha Pearce</x:v>
      </x:c>
      <x:c r="P3647" s="120" t="n">
        <x:v>46231.402395833335</x:v>
      </x:c>
      <x:c r="Q3647" s="117" t="str">
        <x:v>Sacha Pearce</x:v>
      </x:c>
      <x:c r="R3647" s="117" t="str">
        <x:v>Work Step Manager</x:v>
      </x:c>
      <x:c r="S3647" s="119" t="str">
        <x:v>07/27/2026 - SP - Adding "Ultrasound Electrical Safety Tests"</x:v>
      </x:c>
    </x:row>
    <x:row r="3648" ht="30" customHeight="1">
      <x:c r="A3648" s="117" t="str">
        <x:v>Working_Capital_Usage_Days_Roll_Up</x:v>
      </x:c>
      <x:c r="B3648" s="117" t="str">
        <x:v>300Ro00000xMXeTIAW</x:v>
      </x:c>
      <x:c r="C3648" s="117" t="str">
        <x:v>301Ro000015YdbWIAS</x:v>
      </x:c>
      <x:c r="D3648" s="118" t="n">
        <x:v>1</x:v>
      </x:c>
      <x:c r="E3648" s="117" t="str">
        <x:v>Draft</x:v>
      </x:c>
      <x:c r="F3648" s="117" t="str">
        <x:v>No</x:v>
      </x:c>
      <x:c r="G3648" s="117" t="str">
        <x:v>Yes</x:v>
      </x:c>
      <x:c r="H3648" s="117" t="str">
        <x:v>AutoLaunchedFlow</x:v>
      </x:c>
      <x:c r="I3648" s="118" t="n">
        <x:v>66</x:v>
      </x:c>
      <x:c r="J3648" s="117" t="str">
        <x:v>unmanaged</x:v>
      </x:c>
      <x:c r="K3648" s="123" t="b">
        <x:v>0</x:v>
      </x:c>
      <x:c r="L3648" s="117"/>
      <x:c r="M3648" s="118"/>
      <x:c r="N3648" s="120" t="n">
        <x:v>46155.73324074074</x:v>
      </x:c>
      <x:c r="O3648" s="117" t="str">
        <x:v>Delegate</x:v>
      </x:c>
      <x:c r="P3648" s="120" t="n">
        <x:v>46155.73327546296</x:v>
      </x:c>
      <x:c r="Q3648" s="117" t="str">
        <x:v>Delegate</x:v>
      </x:c>
      <x:c r="R3648" s="117" t="str">
        <x:v>Working Capital Usage Days Roll Up</x:v>
      </x:c>
      <x:c r="S3648" s="119" t="str">
        <x:v>05/13/26 (BW) – Async record-triggered flow on ProductItem__c that recalculates the average Working_Capital_Usage_Days__c on the parent Opportunity via Purchasing_Opportunity__c lookup. Runs asynchronously after commit to avoid SOQL limits. Mirrors the DLRS rollup [ACTIVE] Working Capital Usage Days Roll Up.</x:v>
      </x:c>
    </x:row>
    <x:row r="3649" ht="30" customHeight="1">
      <x:c r="A3649" s="117" t="str">
        <x:v>ZENKRAFT_Email_Label_When_Return_Shipment_Created</x:v>
      </x:c>
      <x:c r="B3649" s="117" t="str">
        <x:v>3004O0000000a5sQAA</x:v>
      </x:c>
      <x:c r="C3649" s="117" t="str">
        <x:v>3014O0000001Mu2QAE</x:v>
      </x:c>
      <x:c r="D3649" s="118" t="n">
        <x:v>1</x:v>
      </x:c>
      <x:c r="E3649" s="117" t="str">
        <x:v>Active</x:v>
      </x:c>
      <x:c r="F3649" s="117" t="str">
        <x:v>Yes</x:v>
      </x:c>
      <x:c r="G3649" s="117" t="str">
        <x:v>Yes</x:v>
      </x:c>
      <x:c r="H3649" s="117" t="str">
        <x:v>Workflow</x:v>
      </x:c>
      <x:c r="I3649" s="118" t="n">
        <x:v>50</x:v>
      </x:c>
      <x:c r="J3649" s="117" t="str">
        <x:v>unmanaged</x:v>
      </x:c>
      <x:c r="K3649" s="123" t="b">
        <x:v>0</x:v>
      </x:c>
      <x:c r="L3649" s="117"/>
      <x:c r="M3649" s="118"/>
      <x:c r="N3649" s="120" t="n">
        <x:v>44139.768530092595</x:v>
      </x:c>
      <x:c r="O3649" s="117" t="str">
        <x:v>Trent VanEmon</x:v>
      </x:c>
      <x:c r="P3649" s="120" t="n">
        <x:v>44139.80789351852</x:v>
      </x:c>
      <x:c r="Q3649" s="117" t="str">
        <x:v>Trent VanEmon</x:v>
      </x:c>
      <x:c r="R3649" s="117" t="str">
        <x:v>ZENKRAFT: Email Label When Return Shipment Created</x:v>
      </x:c>
      <x:c r="S3649" s="119"/>
    </x:row>
  </x:sheetData>
  <x:mergeCells>
    <x:mergeCell ref="A1:S1"/>
    <x:mergeCell ref="A2:S2"/>
  </x:mergeCells>
  <x:conditionalFormatting sqref="E5:E3649">
    <x:cfRule type="containsText" dxfId="5" priority="1" operator="containsText" text="Active"/>
    <x:cfRule type="containsText" dxfId="6" priority="2" operator="containsText" text="Draft"/>
  </x:conditionalFormatting>
  <x:pageMargins left="0.7" right="0.7" top="0.75" bottom="0.75" header="0.3" footer="0.3"/>
  <x:tableParts count="1">
    <x:tablePart xmlns:r="http://schemas.openxmlformats.org/officeDocument/2006/relationships" r:id="R814120e7390a4c1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36" hidden="0" customWidth="1"/>
    <x:col min="3" max="3" width="9" hidden="0" customWidth="1"/>
    <x:col min="4" max="4" width="30" hidden="0" customWidth="1"/>
    <x:col min="5" max="5" width="55" hidden="0" customWidth="1"/>
    <x:col min="6" max="6" width="35" hidden="0" customWidth="1"/>
    <x:col min="7" max="7" width="60" hidden="0" customWidth="1"/>
    <x:col min="8" max="8" width="42" hidden="0" customWidth="1"/>
    <x:col min="9" max="9" width="42" hidden="0" customWidth="1"/>
    <x:col min="10" max="10" width="38" hidden="0" customWidth="1"/>
    <x:col min="11" max="11" width="12"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s>
  <x:sheetData>
    <x:row r="1" ht="28" customHeight="1">
      <x:c r="A1" s="3" t="str">
        <x:v>Flow Details — Elements, Fields, Actions, and Reuse</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row>
    <x:row r="2" ht="34" customHeight="1">
      <x:c r="A2" s="7" t="str">
        <x:v>Element-level summary for the running active version, or the latest version when a definition is inactive. Long lists are retained in cells for filtering and audit.</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row>
    <x:row r="4" ht="36" customHeight="1">
      <x:c r="A4" s="114" t="str">
        <x:v>Definition ID</x:v>
      </x:c>
      <x:c r="B4" s="115" t="str">
        <x:v>API Name</x:v>
      </x:c>
      <x:c r="C4" s="115" t="str">
        <x:v>Active</x:v>
      </x:c>
      <x:c r="D4" s="115" t="str">
        <x:v>Analysis Basis</x:v>
      </x:c>
      <x:c r="E4" s="115" t="str">
        <x:v>Start Filters</x:v>
      </x:c>
      <x:c r="F4" s="115" t="str">
        <x:v>Objects</x:v>
      </x:c>
      <x:c r="G4" s="115" t="str">
        <x:v>Fields Referenced</x:v>
      </x:c>
      <x:c r="H4" s="115" t="str">
        <x:v>Actions</x:v>
      </x:c>
      <x:c r="I4" s="115" t="str">
        <x:v>Subflows</x:v>
      </x:c>
      <x:c r="J4" s="115" t="str">
        <x:v>Screen Components</x:v>
      </x:c>
      <x:c r="K4" s="115" t="str">
        <x:v>Total Elements</x:v>
      </x:c>
      <x:c r="L4" s="115" t="str">
        <x:v>actionCalls</x:v>
      </x:c>
      <x:c r="M4" s="115" t="str">
        <x:v>apexPluginCalls</x:v>
      </x:c>
      <x:c r="N4" s="115" t="str">
        <x:v>assignments</x:v>
      </x:c>
      <x:c r="O4" s="115" t="str">
        <x:v>collectionProcessors</x:v>
      </x:c>
      <x:c r="P4" s="115" t="str">
        <x:v>customErrors</x:v>
      </x:c>
      <x:c r="Q4" s="115" t="str">
        <x:v>decisions</x:v>
      </x:c>
      <x:c r="R4" s="115" t="str">
        <x:v>loops</x:v>
      </x:c>
      <x:c r="S4" s="115" t="str">
        <x:v>orchestratedStages</x:v>
      </x:c>
      <x:c r="T4" s="115" t="str">
        <x:v>recordCreates</x:v>
      </x:c>
      <x:c r="U4" s="115" t="str">
        <x:v>recordDeletes</x:v>
      </x:c>
      <x:c r="V4" s="115" t="str">
        <x:v>recordLookups</x:v>
      </x:c>
      <x:c r="W4" s="115" t="str">
        <x:v>recordRollbacks</x:v>
      </x:c>
      <x:c r="X4" s="115" t="str">
        <x:v>recordUpdates</x:v>
      </x:c>
      <x:c r="Y4" s="115" t="str">
        <x:v>screens</x:v>
      </x:c>
      <x:c r="Z4" s="115" t="str">
        <x:v>steps</x:v>
      </x:c>
      <x:c r="AA4" s="115" t="str">
        <x:v>subflows</x:v>
      </x:c>
      <x:c r="AB4" s="115" t="str">
        <x:v>transforms</x:v>
      </x:c>
      <x:c r="AC4" s="116" t="str">
        <x:v>waits</x:v>
      </x:c>
    </x:row>
    <x:row r="5" ht="46" customHeight="1">
      <x:c r="A5" s="117" t="str">
        <x:v>300Ro00000B1rQaIAJ</x:v>
      </x:c>
      <x:c r="B5" s="117" t="str">
        <x:v>Absorb_External_Repair_Screen_Flow</x:v>
      </x:c>
      <x:c r="C5" s="117" t="str">
        <x:v>Yes</x:v>
      </x:c>
      <x:c r="D5" s="119" t="str">
        <x:v>Active v11 (Retrieved XML)</x:v>
      </x:c>
      <x:c r="E5" s="119" t="str"/>
      <x:c r="F5" s="119" t="str">
        <x:v>IR_Product__c, Item_Receipt__c, Opportunity, OpportunityLineItem, ProductItem__c, Product_Repair__c, RMA__c</x:v>
      </x:c>
      <x:c r="G5" s="119" t="str">
        <x:v>Actual_Repair_Time__c, Asset2__c, Asset_used_during_repair__c, Check_In_Type__c, Cost__c, CurrencyIsoCode, Date_Assigned__c, Date_RMA_Item_Received__c, Id, Intacct_Receipt_Sync_Status__c, Item_Receipt_Type__c, Item_Receipt__c, Location__c, Name, Non_Inventory_PO__c, OpportunityId, Opportunity__c, PO_Number__c, Product2__c, ProductItem__c, Product_Item__c, Product_Name__c, Product_Repair_Name__c, Purchasing_Approved__c, Purchasing_Opportunity__c, RMA_Type__c, Receive_date__c, RecordTypeId, Repair_Activity__c, Repair_Notes__c, Repair_Result__c, Repair_Technician__c, Repair_Time__c, Repair_date__c, Serial_No__c, StageName, Submit_to_Accounting__c, Total_Cost__c</x:v>
      </x:c>
      <x:c r="H5" s="119" t="str"/>
      <x:c r="I5" s="119" t="str"/>
      <x:c r="J5" s="119" t="str">
        <x:v>flowruntime:lookup</x:v>
      </x:c>
      <x:c r="K5" s="118" t="n">
        <x:v>12</x:v>
      </x:c>
      <x:c r="L5" s="118" t="n">
        <x:v>0</x:v>
      </x:c>
      <x:c r="M5" s="118" t="n">
        <x:v>0</x:v>
      </x:c>
      <x:c r="N5" s="118" t="n">
        <x:v>0</x:v>
      </x:c>
      <x:c r="O5" s="118" t="n">
        <x:v>0</x:v>
      </x:c>
      <x:c r="P5" s="118" t="n">
        <x:v>0</x:v>
      </x:c>
      <x:c r="Q5" s="118" t="n">
        <x:v>0</x:v>
      </x:c>
      <x:c r="R5" s="118" t="n">
        <x:v>0</x:v>
      </x:c>
      <x:c r="S5" s="118" t="n">
        <x:v>0</x:v>
      </x:c>
      <x:c r="T5" s="118" t="n">
        <x:v>4</x:v>
      </x:c>
      <x:c r="U5" s="118" t="n">
        <x:v>0</x:v>
      </x:c>
      <x:c r="V5" s="118" t="n">
        <x:v>3</x:v>
      </x:c>
      <x:c r="W5" s="118" t="n">
        <x:v>0</x:v>
      </x:c>
      <x:c r="X5" s="118" t="n">
        <x:v>3</x:v>
      </x:c>
      <x:c r="Y5" s="118" t="n">
        <x:v>1</x:v>
      </x:c>
      <x:c r="Z5" s="118" t="n">
        <x:v>0</x:v>
      </x:c>
      <x:c r="AA5" s="118" t="n">
        <x:v>0</x:v>
      </x:c>
      <x:c r="AB5" s="118" t="n">
        <x:v>0</x:v>
      </x:c>
      <x:c r="AC5" s="118" t="n">
        <x:v>0</x:v>
      </x:c>
    </x:row>
    <x:row r="6" ht="46" customHeight="1">
      <x:c r="A6" s="117" t="str">
        <x:v>3005b000000H3Y6AAK</x:v>
      </x:c>
      <x:c r="B6" s="117" t="str">
        <x:v>Account_Created_by_EU_UK</x:v>
      </x:c>
      <x:c r="C6" s="117" t="str">
        <x:v>Yes</x:v>
      </x:c>
      <x:c r="D6" s="119" t="str">
        <x:v>Active v5 (Retrieved XML)</x:v>
      </x:c>
      <x:c r="E6" s="119" t="str"/>
      <x:c r="F6" s="119" t="str">
        <x:v>Account</x:v>
      </x:c>
      <x:c r="G6" s="119" t="str">
        <x:v>BillingCountry, CreatedBy, Created_by_EU_UK__c, ShippingCountry, Type</x:v>
      </x:c>
      <x:c r="H6" s="119" t="str"/>
      <x:c r="I6" s="119" t="str"/>
      <x:c r="J6" s="119" t="str"/>
      <x:c r="K6" s="118" t="n">
        <x:v>5</x:v>
      </x:c>
      <x:c r="L6" s="118" t="n">
        <x:v>0</x:v>
      </x:c>
      <x:c r="M6" s="118" t="n">
        <x:v>0</x:v>
      </x:c>
      <x:c r="N6" s="118" t="n">
        <x:v>0</x:v>
      </x:c>
      <x:c r="O6" s="118" t="n">
        <x:v>0</x:v>
      </x:c>
      <x:c r="P6" s="118" t="n">
        <x:v>0</x:v>
      </x:c>
      <x:c r="Q6" s="118" t="n">
        <x:v>2</x:v>
      </x:c>
      <x:c r="R6" s="118" t="n">
        <x:v>0</x:v>
      </x:c>
      <x:c r="S6" s="118" t="n">
        <x:v>0</x:v>
      </x:c>
      <x:c r="T6" s="118" t="n">
        <x:v>0</x:v>
      </x:c>
      <x:c r="U6" s="118" t="n">
        <x:v>0</x:v>
      </x:c>
      <x:c r="V6" s="118" t="n">
        <x:v>0</x:v>
      </x:c>
      <x:c r="W6" s="118" t="n">
        <x:v>0</x:v>
      </x:c>
      <x:c r="X6" s="118" t="n">
        <x:v>2</x:v>
      </x:c>
      <x:c r="Y6" s="118" t="n">
        <x:v>0</x:v>
      </x:c>
      <x:c r="Z6" s="118" t="n">
        <x:v>0</x:v>
      </x:c>
      <x:c r="AA6" s="118" t="n">
        <x:v>0</x:v>
      </x:c>
      <x:c r="AB6" s="118" t="n">
        <x:v>0</x:v>
      </x:c>
      <x:c r="AC6" s="118" t="n">
        <x:v>0</x:v>
      </x:c>
    </x:row>
    <x:row r="7" ht="46" customHeight="1">
      <x:c r="A7" s="117" t="str">
        <x:v>3005b000000LJ6aAAG</x:v>
      </x:c>
      <x:c r="B7" s="117" t="str">
        <x:v>Account_Engagement_Bulk_Asset_Copy_Flow</x:v>
      </x:c>
      <x:c r="C7" s="117" t="str">
        <x:v>Yes</x:v>
      </x:c>
      <x:c r="D7" s="119" t="str">
        <x:v>Active v23 (Tooling metadata)</x:v>
      </x:c>
      <x:c r="E7" s="119" t="str"/>
      <x:c r="F7" s="119" t="str">
        <x:v>PardotTenant</x:v>
      </x:c>
      <x:c r="G7" s="119" t="str"/>
      <x:c r="H7" s="119" t="str">
        <x:v>pi__CreateCustomField, pi__CreateCustomRedirect, pi__CreateDynamicContent, pi__CreateEmailTemplate, pi__CreateEngagementStudioProgram, pi__CreateFile, pi__CreateForm, pi__CreateFormHandler, pi__CreateLandingPage, pi__CreateLayoutTemplate, pi__GenerateFlowContext, pi__GetCustomField, pi__GetCustomRedirect, pi__GetDynamicContent, pi__GetEmailTemplate, pi__GetEngagementStudioProgram, pi__GetFile, pi__GetForm, pi__GetFormHandler, pi__GetLandingPage, pi__GetLayoutTemplate, pi__GetObjectDropdownList, pi__PardotBusinessUnitQueryActionV2</x:v>
      </x:c>
      <x:c r="I7" s="119" t="str"/>
      <x:c r="J7" s="119" t="str">
        <x:v>flowruntime:choiceLookup, pi:combobox, pi:previewAssets, pi:progressIndicator, pi:progressIndicatorSandbox</x:v>
      </x:c>
      <x:c r="K7" s="118" t="n">
        <x:v>91</x:v>
      </x:c>
      <x:c r="L7" s="118" t="n">
        <x:v>38</x:v>
      </x:c>
      <x:c r="M7" s="118" t="n">
        <x:v>0</x:v>
      </x:c>
      <x:c r="N7" s="118" t="n">
        <x:v>24</x:v>
      </x:c>
      <x:c r="O7" s="118" t="n">
        <x:v>0</x:v>
      </x:c>
      <x:c r="P7" s="118" t="n">
        <x:v>0</x:v>
      </x:c>
      <x:c r="Q7" s="118" t="n">
        <x:v>3</x:v>
      </x:c>
      <x:c r="R7" s="118" t="n">
        <x:v>20</x:v>
      </x:c>
      <x:c r="S7" s="118" t="n">
        <x:v>0</x:v>
      </x:c>
      <x:c r="T7" s="118" t="n">
        <x:v>0</x:v>
      </x:c>
      <x:c r="U7" s="118" t="n">
        <x:v>0</x:v>
      </x:c>
      <x:c r="V7" s="118" t="n">
        <x:v>0</x:v>
      </x:c>
      <x:c r="W7" s="118" t="n">
        <x:v>0</x:v>
      </x:c>
      <x:c r="X7" s="118" t="n">
        <x:v>0</x:v>
      </x:c>
      <x:c r="Y7" s="118" t="n">
        <x:v>5</x:v>
      </x:c>
      <x:c r="Z7" s="118" t="n">
        <x:v>0</x:v>
      </x:c>
      <x:c r="AA7" s="118" t="n">
        <x:v>0</x:v>
      </x:c>
      <x:c r="AB7" s="118" t="n">
        <x:v>0</x:v>
      </x:c>
      <x:c r="AC7" s="118" t="n">
        <x:v>0</x:v>
      </x:c>
    </x:row>
    <x:row r="8" ht="46" customHeight="1">
      <x:c r="A8" s="117" t="str">
        <x:v>3005b00000113WCAAY</x:v>
      </x:c>
      <x:c r="B8" s="117" t="str">
        <x:v>Account_Engagement_Sandbox_Production_Bulk_Asset_Copy_Flow</x:v>
      </x:c>
      <x:c r="C8" s="117" t="str">
        <x:v>Yes</x:v>
      </x:c>
      <x:c r="D8" s="119" t="str">
        <x:v>Active v25 (Tooling metadata)</x:v>
      </x:c>
      <x:c r="E8" s="119" t="str"/>
      <x:c r="F8" s="119" t="str"/>
      <x:c r="G8" s="119" t="str"/>
      <x:c r="H8" s="119" t="str">
        <x:v>pi__NamedCredentialQueryAction, pi__PardotBusinessUnitQueryActionV2</x:v>
      </x:c>
      <x:c r="I8" s="119" t="str">
        <x:v>pi__Account_Engagement_Bulk_Asset_Copy_Flow</x:v>
      </x:c>
      <x:c r="J8" s="119" t="str">
        <x:v>flowruntime:choiceLookup, pi:progressIndicatorSandbox</x:v>
      </x:c>
      <x:c r="K8" s="118" t="n">
        <x:v>11</x:v>
      </x:c>
      <x:c r="L8" s="118" t="n">
        <x:v>4</x:v>
      </x:c>
      <x:c r="M8" s="118" t="n">
        <x:v>0</x:v>
      </x:c>
      <x:c r="N8" s="118" t="n">
        <x:v>2</x:v>
      </x:c>
      <x:c r="O8" s="118" t="n">
        <x:v>0</x:v>
      </x:c>
      <x:c r="P8" s="118" t="n">
        <x:v>0</x:v>
      </x:c>
      <x:c r="Q8" s="118" t="n">
        <x:v>1</x:v>
      </x:c>
      <x:c r="R8" s="118" t="n">
        <x:v>0</x:v>
      </x:c>
      <x:c r="S8" s="118" t="n">
        <x:v>0</x:v>
      </x:c>
      <x:c r="T8" s="118" t="n">
        <x:v>0</x:v>
      </x:c>
      <x:c r="U8" s="118" t="n">
        <x:v>0</x:v>
      </x:c>
      <x:c r="V8" s="118" t="n">
        <x:v>0</x:v>
      </x:c>
      <x:c r="W8" s="118" t="n">
        <x:v>0</x:v>
      </x:c>
      <x:c r="X8" s="118" t="n">
        <x:v>0</x:v>
      </x:c>
      <x:c r="Y8" s="118" t="n">
        <x:v>2</x:v>
      </x:c>
      <x:c r="Z8" s="118" t="n">
        <x:v>0</x:v>
      </x:c>
      <x:c r="AA8" s="118" t="n">
        <x:v>1</x:v>
      </x:c>
      <x:c r="AB8" s="118" t="n">
        <x:v>0</x:v>
      </x:c>
      <x:c r="AC8" s="118" t="n">
        <x:v>0</x:v>
      </x:c>
    </x:row>
    <x:row r="9" ht="46" customHeight="1">
      <x:c r="A9" s="117" t="str">
        <x:v>300Ro000007gsMaIAI</x:v>
      </x:c>
      <x:c r="B9" s="117" t="str">
        <x:v>AccountFieldUpdateFlow</x:v>
      </x:c>
      <x:c r="C9" s="117" t="str">
        <x:v>Yes</x:v>
      </x:c>
      <x:c r="D9" s="119" t="str">
        <x:v>Active v7 (Retrieved XML)</x:v>
      </x:c>
      <x:c r="E9" s="119" t="str">
        <x:v>First_Closed_Won_Opportunity_Date__c IsNull booleanValue=true | Vendor_Status__c IsChanged booleanValue=true | Vendor_Status__c EqualTo stringValue=Active</x:v>
      </x:c>
      <x:c r="F9" s="119" t="str">
        <x:v>Account, Opportunity</x:v>
      </x:c>
      <x:c r="G9" s="119" t="str">
        <x:v>AccountId, Approved_By_User__c, Approved_By_User__r, First_Closed_Won_Opportunity_Date__c, Id, Opp_Record_Type__c, Ship_Date__c, StageName, Vendor_Status__c</x:v>
      </x:c>
      <x:c r="H9" s="119" t="str"/>
      <x:c r="I9" s="119" t="str"/>
      <x:c r="J9" s="119" t="str"/>
      <x:c r="K9" s="118" t="n">
        <x:v>7</x:v>
      </x:c>
      <x:c r="L9" s="118" t="n">
        <x:v>0</x:v>
      </x:c>
      <x:c r="M9" s="118" t="n">
        <x:v>0</x:v>
      </x:c>
      <x:c r="N9" s="118" t="n">
        <x:v>1</x:v>
      </x:c>
      <x:c r="O9" s="118" t="n">
        <x:v>0</x:v>
      </x:c>
      <x:c r="P9" s="118" t="n">
        <x:v>0</x:v>
      </x:c>
      <x:c r="Q9" s="118" t="n">
        <x:v>3</x:v>
      </x:c>
      <x:c r="R9" s="118" t="n">
        <x:v>0</x:v>
      </x:c>
      <x:c r="S9" s="118" t="n">
        <x:v>0</x:v>
      </x:c>
      <x:c r="T9" s="118" t="n">
        <x:v>0</x:v>
      </x:c>
      <x:c r="U9" s="118" t="n">
        <x:v>0</x:v>
      </x:c>
      <x:c r="V9" s="118" t="n">
        <x:v>1</x:v>
      </x:c>
      <x:c r="W9" s="118" t="n">
        <x:v>0</x:v>
      </x:c>
      <x:c r="X9" s="118" t="n">
        <x:v>1</x:v>
      </x:c>
      <x:c r="Y9" s="118" t="n">
        <x:v>0</x:v>
      </x:c>
      <x:c r="Z9" s="118" t="n">
        <x:v>0</x:v>
      </x:c>
      <x:c r="AA9" s="118" t="n">
        <x:v>0</x:v>
      </x:c>
      <x:c r="AB9" s="118" t="n">
        <x:v>0</x:v>
      </x:c>
      <x:c r="AC9" s="118" t="n">
        <x:v>0</x:v>
      </x:c>
    </x:row>
    <x:row r="10" ht="46" customHeight="1">
      <x:c r="A10" s="117" t="str">
        <x:v>3004O000000TiUyQAK</x:v>
      </x:c>
      <x:c r="B10" s="117" t="str">
        <x:v>Activate_Contracts_Access</x:v>
      </x:c>
      <x:c r="C10" s="117" t="str">
        <x:v>No</x:v>
      </x:c>
      <x:c r="D10" s="119" t="str">
        <x:v>Latest inactive v1 (Retrieved XML)</x:v>
      </x:c>
      <x:c r="E10" s="119" t="str"/>
      <x:c r="F10" s="119" t="str"/>
      <x:c r="G10" s="119" t="str"/>
      <x:c r="H10" s="119" t="str">
        <x:v>activateSessionPermSet</x:v>
      </x:c>
      <x:c r="I10" s="119" t="str"/>
      <x:c r="J10" s="119" t="str"/>
      <x:c r="K10" s="118" t="n">
        <x:v>1</x:v>
      </x:c>
      <x:c r="L10" s="118" t="n">
        <x:v>1</x:v>
      </x:c>
      <x:c r="M10" s="118" t="n">
        <x:v>0</x:v>
      </x:c>
      <x:c r="N10" s="118" t="n">
        <x:v>0</x:v>
      </x:c>
      <x:c r="O10" s="118" t="n">
        <x:v>0</x:v>
      </x:c>
      <x:c r="P10" s="118" t="n">
        <x:v>0</x:v>
      </x:c>
      <x:c r="Q10" s="118" t="n">
        <x:v>0</x:v>
      </x:c>
      <x:c r="R10" s="118" t="n">
        <x:v>0</x:v>
      </x:c>
      <x:c r="S10" s="118" t="n">
        <x:v>0</x:v>
      </x:c>
      <x:c r="T10" s="118" t="n">
        <x:v>0</x:v>
      </x:c>
      <x:c r="U10" s="118" t="n">
        <x:v>0</x:v>
      </x:c>
      <x:c r="V10" s="118" t="n">
        <x:v>0</x:v>
      </x:c>
      <x:c r="W10" s="118" t="n">
        <x:v>0</x:v>
      </x:c>
      <x:c r="X10" s="118" t="n">
        <x:v>0</x:v>
      </x:c>
      <x:c r="Y10" s="118" t="n">
        <x:v>0</x:v>
      </x:c>
      <x:c r="Z10" s="118" t="n">
        <x:v>0</x:v>
      </x:c>
      <x:c r="AA10" s="118" t="n">
        <x:v>0</x:v>
      </x:c>
      <x:c r="AB10" s="118" t="n">
        <x:v>0</x:v>
      </x:c>
      <x:c r="AC10" s="118" t="n">
        <x:v>0</x:v>
      </x:c>
    </x:row>
    <x:row r="11" ht="46" customHeight="1">
      <x:c r="A11" s="117" t="str">
        <x:v>300Ro00000H90tRIAR</x:v>
      </x:c>
      <x:c r="B11" s="117" t="str">
        <x:v>Add_Coverage_Level_to_Service_Appointment_On_Creation</x:v>
      </x:c>
      <x:c r="C11" s="117" t="str">
        <x:v>Yes</x:v>
      </x:c>
      <x:c r="D11" s="119" t="str">
        <x:v>Active v28 (Retrieved XML)</x:v>
      </x:c>
      <x:c r="E11" s="119" t="str"/>
      <x:c r="F11" s="119" t="str">
        <x:v>Account, ServiceAppointment, StateTranslation__mdt, WorkOrder</x:v>
      </x:c>
      <x:c r="G11" s="119" t="str">
        <x:v>Appointment_Type__c, ContactId, CreatedBy, Id, Location_of_Equipment__c, ParentRecordId, State_Name__c, WorkType, Work_Order__r</x:v>
      </x:c>
      <x:c r="H11" s="119" t="str"/>
      <x:c r="I11" s="119" t="str"/>
      <x:c r="J11" s="119" t="str"/>
      <x:c r="K11" s="118" t="n">
        <x:v>26</x:v>
      </x:c>
      <x:c r="L11" s="118" t="n">
        <x:v>0</x:v>
      </x:c>
      <x:c r="M11" s="118" t="n">
        <x:v>0</x:v>
      </x:c>
      <x:c r="N11" s="118" t="n">
        <x:v>12</x:v>
      </x:c>
      <x:c r="O11" s="118" t="n">
        <x:v>0</x:v>
      </x:c>
      <x:c r="P11" s="118" t="n">
        <x:v>0</x:v>
      </x:c>
      <x:c r="Q11" s="118" t="n">
        <x:v>7</x:v>
      </x:c>
      <x:c r="R11" s="118" t="n">
        <x:v>0</x:v>
      </x:c>
      <x:c r="S11" s="118" t="n">
        <x:v>0</x:v>
      </x:c>
      <x:c r="T11" s="118" t="n">
        <x:v>0</x:v>
      </x:c>
      <x:c r="U11" s="118" t="n">
        <x:v>0</x:v>
      </x:c>
      <x:c r="V11" s="118" t="n">
        <x:v>3</x:v>
      </x:c>
      <x:c r="W11" s="118" t="n">
        <x:v>0</x:v>
      </x:c>
      <x:c r="X11" s="118" t="n">
        <x:v>3</x:v>
      </x:c>
      <x:c r="Y11" s="118" t="n">
        <x:v>0</x:v>
      </x:c>
      <x:c r="Z11" s="118" t="n">
        <x:v>0</x:v>
      </x:c>
      <x:c r="AA11" s="118" t="n">
        <x:v>0</x:v>
      </x:c>
      <x:c r="AB11" s="118" t="n">
        <x:v>0</x:v>
      </x:c>
      <x:c r="AC11" s="118" t="n">
        <x:v>0</x:v>
      </x:c>
    </x:row>
    <x:row r="12" ht="46" customHeight="1">
      <x:c r="A12" s="117" t="str">
        <x:v>3005b00000113dIAAQ</x:v>
      </x:c>
      <x:c r="B12" s="117" t="str">
        <x:v>Add_Opportunity_Lines_to_Credit_Memo</x:v>
      </x:c>
      <x:c r="C12" s="117" t="str">
        <x:v>No</x:v>
      </x:c>
      <x:c r="D12" s="119" t="str">
        <x:v>Latest inactive v12 (Retrieved XML)</x:v>
      </x:c>
      <x:c r="E12" s="119" t="str"/>
      <x:c r="F12" s="119" t="str">
        <x:v>Credit_Memo__c, OpportunityLineItem</x:v>
      </x:c>
      <x:c r="G12" s="119" t="str">
        <x:v>Credit_Memo__c, Id, OpportunityId, Sales_Tax__c</x:v>
      </x:c>
      <x:c r="H12" s="119" t="str"/>
      <x:c r="I12" s="119" t="str"/>
      <x:c r="J12" s="119" t="str">
        <x:v>c:datatable</x:v>
      </x:c>
      <x:c r="K12" s="118" t="n">
        <x:v>17</x:v>
      </x:c>
      <x:c r="L12" s="118" t="n">
        <x:v>0</x:v>
      </x:c>
      <x:c r="M12" s="118" t="n">
        <x:v>0</x:v>
      </x:c>
      <x:c r="N12" s="118" t="n">
        <x:v>5</x:v>
      </x:c>
      <x:c r="O12" s="118" t="n">
        <x:v>0</x:v>
      </x:c>
      <x:c r="P12" s="118" t="n">
        <x:v>0</x:v>
      </x:c>
      <x:c r="Q12" s="118" t="n">
        <x:v>3</x:v>
      </x:c>
      <x:c r="R12" s="118" t="n">
        <x:v>2</x:v>
      </x:c>
      <x:c r="S12" s="118" t="n">
        <x:v>0</x:v>
      </x:c>
      <x:c r="T12" s="118" t="n">
        <x:v>0</x:v>
      </x:c>
      <x:c r="U12" s="118" t="n">
        <x:v>0</x:v>
      </x:c>
      <x:c r="V12" s="118" t="n">
        <x:v>2</x:v>
      </x:c>
      <x:c r="W12" s="118" t="n">
        <x:v>0</x:v>
      </x:c>
      <x:c r="X12" s="118" t="n">
        <x:v>3</x:v>
      </x:c>
      <x:c r="Y12" s="118" t="n">
        <x:v>1</x:v>
      </x:c>
      <x:c r="Z12" s="118" t="n">
        <x:v>0</x:v>
      </x:c>
      <x:c r="AA12" s="118" t="n">
        <x:v>0</x:v>
      </x:c>
      <x:c r="AB12" s="118" t="n">
        <x:v>0</x:v>
      </x:c>
      <x:c r="AC12" s="118" t="n">
        <x:v>0</x:v>
      </x:c>
    </x:row>
    <x:row r="13" ht="46" customHeight="1">
      <x:c r="A13" s="117" t="str">
        <x:v>300Ro00000sB6FuIAK</x:v>
      </x:c>
      <x:c r="B13" s="117" t="str">
        <x:v>Add_Product_Record_Type_Name_to_Asset_Record</x:v>
      </x:c>
      <x:c r="C13" s="117" t="str">
        <x:v>Yes</x:v>
      </x:c>
      <x:c r="D13" s="119" t="str">
        <x:v>Active v1 (Retrieved XML)</x:v>
      </x:c>
      <x:c r="E13" s="119" t="str">
        <x:v>Product_Name__c IsChanged booleanValue=true | Product_Name__c IsNull booleanValue=false</x:v>
      </x:c>
      <x:c r="F13" s="119" t="str">
        <x:v>ProductItem__c</x:v>
      </x:c>
      <x:c r="G13" s="119" t="str">
        <x:v>Product_Name__c, Product_Name__r, Product_Record_Type_Name__c</x:v>
      </x:c>
      <x:c r="H13" s="119" t="str"/>
      <x:c r="I13" s="119" t="str"/>
      <x:c r="J13" s="119" t="str"/>
      <x:c r="K13" s="118" t="n">
        <x:v>2</x:v>
      </x:c>
      <x:c r="L13" s="118" t="n">
        <x:v>0</x:v>
      </x:c>
      <x:c r="M13" s="118" t="n">
        <x:v>0</x:v>
      </x:c>
      <x:c r="N13" s="118" t="n">
        <x:v>0</x:v>
      </x:c>
      <x:c r="O13" s="118" t="n">
        <x:v>0</x:v>
      </x:c>
      <x:c r="P13" s="118" t="n">
        <x:v>0</x:v>
      </x:c>
      <x:c r="Q13" s="118" t="n">
        <x:v>0</x:v>
      </x:c>
      <x:c r="R13" s="118" t="n">
        <x:v>0</x:v>
      </x:c>
      <x:c r="S13" s="118" t="n">
        <x:v>0</x:v>
      </x:c>
      <x:c r="T13" s="118" t="n">
        <x:v>0</x:v>
      </x:c>
      <x:c r="U13" s="118" t="n">
        <x:v>0</x:v>
      </x:c>
      <x:c r="V13" s="118" t="n">
        <x:v>0</x:v>
      </x:c>
      <x:c r="W13" s="118" t="n">
        <x:v>0</x:v>
      </x:c>
      <x:c r="X13" s="118" t="n">
        <x:v>1</x:v>
      </x:c>
      <x:c r="Y13" s="118" t="n">
        <x:v>0</x:v>
      </x:c>
      <x:c r="Z13" s="118" t="n">
        <x:v>0</x:v>
      </x:c>
      <x:c r="AA13" s="118" t="n">
        <x:v>0</x:v>
      </x:c>
      <x:c r="AB13" s="118" t="n">
        <x:v>0</x:v>
      </x:c>
      <x:c r="AC13" s="118" t="n">
        <x:v>0</x:v>
      </x:c>
    </x:row>
    <x:row r="14" ht="46" customHeight="1">
      <x:c r="A14" s="117" t="str">
        <x:v>3004O000000LOvJQAW</x:v>
      </x:c>
      <x:c r="B14" s="117" t="str">
        <x:v>Advances</x:v>
      </x:c>
      <x:c r="C14" s="117" t="str">
        <x:v>Yes</x:v>
      </x:c>
      <x:c r="D14" s="119" t="str">
        <x:v>Active v1 (Retrieved XML)</x:v>
      </x:c>
      <x:c r="E14" s="119" t="str"/>
      <x:c r="F14" s="119" t="str">
        <x:v>Account</x:v>
      </x:c>
      <x:c r="G14" s="119" t="str">
        <x:v>Id</x:v>
      </x:c>
      <x:c r="H14" s="119" t="str"/>
      <x:c r="I14" s="119" t="str"/>
      <x:c r="J14" s="119" t="str"/>
      <x:c r="K14" s="118" t="n">
        <x:v>5</x:v>
      </x:c>
      <x:c r="L14" s="118" t="n">
        <x:v>0</x:v>
      </x:c>
      <x:c r="M14" s="118" t="n">
        <x:v>0</x:v>
      </x:c>
      <x:c r="N14" s="118" t="n">
        <x:v>1</x:v>
      </x:c>
      <x:c r="O14" s="118" t="n">
        <x:v>0</x:v>
      </x:c>
      <x:c r="P14" s="118" t="n">
        <x:v>0</x:v>
      </x:c>
      <x:c r="Q14" s="118" t="n">
        <x:v>0</x:v>
      </x:c>
      <x:c r="R14" s="118" t="n">
        <x:v>0</x:v>
      </x:c>
      <x:c r="S14" s="118" t="n">
        <x:v>0</x:v>
      </x:c>
      <x:c r="T14" s="118" t="n">
        <x:v>0</x:v>
      </x:c>
      <x:c r="U14" s="118" t="n">
        <x:v>0</x:v>
      </x:c>
      <x:c r="V14" s="118" t="n">
        <x:v>1</x:v>
      </x:c>
      <x:c r="W14" s="118" t="n">
        <x:v>0</x:v>
      </x:c>
      <x:c r="X14" s="118" t="n">
        <x:v>1</x:v>
      </x:c>
      <x:c r="Y14" s="118" t="n">
        <x:v>1</x:v>
      </x:c>
      <x:c r="Z14" s="118" t="n">
        <x:v>0</x:v>
      </x:c>
      <x:c r="AA14" s="118" t="n">
        <x:v>0</x:v>
      </x:c>
      <x:c r="AB14" s="118" t="n">
        <x:v>0</x:v>
      </x:c>
      <x:c r="AC14" s="118" t="n">
        <x:v>0</x:v>
      </x:c>
    </x:row>
    <x:row r="15" ht="46" customHeight="1">
      <x:c r="A15" s="117" t="str">
        <x:v>300Ro00000LmhD9IAJ</x:v>
      </x:c>
      <x:c r="B15" s="117" t="str">
        <x:v>Alert_AR_for_Opp_Ready_to_Bill</x:v>
      </x:c>
      <x:c r="C15" s="117" t="str">
        <x:v>Yes</x:v>
      </x:c>
      <x:c r="D15" s="119" t="str">
        <x:v>Active v10 (Tooling metadata)</x:v>
      </x:c>
      <x:c r="E15" s="119" t="str">
        <x:v>Billing_Status__c IsChanged stringValue=; booleanValue=True; numberValue=; dateValue=; dateTimeValue=; elementReference=</x:v>
      </x:c>
      <x:c r="F15" s="119" t="str">
        <x:v>Opportunity</x:v>
      </x:c>
      <x:c r="G15" s="119" t="str">
        <x:v>Account, Billing_Status__c, Id, Name, Next_Invoice_Date__c, Total_Storage_Invoice_Amount__c</x:v>
      </x:c>
      <x:c r="H15" s="119" t="str">
        <x:v>emailSimple</x:v>
      </x:c>
      <x:c r="I15" s="119" t="str"/>
      <x:c r="J15" s="119" t="str"/>
      <x:c r="K15" s="118" t="n">
        <x:v>4</x:v>
      </x:c>
      <x:c r="L15" s="118" t="n">
        <x:v>2</x:v>
      </x:c>
      <x:c r="M15" s="118" t="n">
        <x:v>0</x:v>
      </x:c>
      <x:c r="N15" s="118" t="n">
        <x:v>0</x:v>
      </x:c>
      <x:c r="O15" s="118" t="n">
        <x:v>0</x:v>
      </x:c>
      <x:c r="P15" s="118" t="n">
        <x:v>0</x:v>
      </x:c>
      <x:c r="Q15" s="118" t="n">
        <x:v>1</x:v>
      </x:c>
      <x:c r="R15" s="118" t="n">
        <x:v>0</x:v>
      </x:c>
      <x:c r="S15" s="118" t="n">
        <x:v>0</x:v>
      </x:c>
      <x:c r="T15" s="118" t="n">
        <x:v>0</x:v>
      </x:c>
      <x:c r="U15" s="118" t="n">
        <x:v>0</x:v>
      </x:c>
      <x:c r="V15" s="118" t="n">
        <x:v>0</x:v>
      </x:c>
      <x:c r="W15" s="118" t="n">
        <x:v>0</x:v>
      </x:c>
      <x:c r="X15" s="118" t="n">
        <x:v>0</x:v>
      </x:c>
      <x:c r="Y15" s="118" t="n">
        <x:v>0</x:v>
      </x:c>
      <x:c r="Z15" s="118" t="n">
        <x:v>0</x:v>
      </x:c>
      <x:c r="AA15" s="118" t="n">
        <x:v>0</x:v>
      </x:c>
      <x:c r="AB15" s="118" t="n">
        <x:v>0</x:v>
      </x:c>
      <x:c r="AC15" s="118" t="n">
        <x:v>0</x:v>
      </x:c>
    </x:row>
    <x:row r="16" ht="46" customHeight="1">
      <x:c r="A16" s="117" t="str">
        <x:v>3005b00000113hFAAQ</x:v>
      </x:c>
      <x:c r="B16" s="117" t="str">
        <x:v>Approved_CM_Memo_Alert_Task_Email_Send</x:v>
      </x:c>
      <x:c r="C16" s="117" t="str">
        <x:v>Yes</x:v>
      </x:c>
      <x:c r="D16" s="119" t="str">
        <x:v>Active v2 (Retrieved XML)</x:v>
      </x:c>
      <x:c r="E16" s="119" t="str">
        <x:v>Credit_Memo_Request_Task__c EqualTo booleanValue=true | Status EqualTo stringValue=Completed</x:v>
      </x:c>
      <x:c r="F16" s="119" t="str">
        <x:v>Opportunity, Task</x:v>
      </x:c>
      <x:c r="G16" s="119" t="str">
        <x:v>CreatedBy, Credit_Memo_Request_Task__c, Id, Status, WhatId</x:v>
      </x:c>
      <x:c r="H16" s="119" t="str">
        <x:v>emailSimple</x:v>
      </x:c>
      <x:c r="I16" s="119" t="str"/>
      <x:c r="J16" s="119" t="str"/>
      <x:c r="K16" s="118" t="n">
        <x:v>3</x:v>
      </x:c>
      <x:c r="L16" s="118" t="n">
        <x:v>1</x:v>
      </x:c>
      <x:c r="M16" s="118" t="n">
        <x:v>0</x:v>
      </x:c>
      <x:c r="N16" s="118" t="n">
        <x:v>0</x:v>
      </x:c>
      <x:c r="O16" s="118" t="n">
        <x:v>0</x:v>
      </x:c>
      <x:c r="P16" s="118" t="n">
        <x:v>0</x:v>
      </x:c>
      <x:c r="Q16" s="118" t="n">
        <x:v>0</x:v>
      </x:c>
      <x:c r="R16" s="118" t="n">
        <x:v>0</x:v>
      </x:c>
      <x:c r="S16" s="118" t="n">
        <x:v>0</x:v>
      </x:c>
      <x:c r="T16" s="118" t="n">
        <x:v>0</x:v>
      </x:c>
      <x:c r="U16" s="118" t="n">
        <x:v>0</x:v>
      </x:c>
      <x:c r="V16" s="118" t="n">
        <x:v>1</x:v>
      </x:c>
      <x:c r="W16" s="118" t="n">
        <x:v>0</x:v>
      </x:c>
      <x:c r="X16" s="118" t="n">
        <x:v>0</x:v>
      </x:c>
      <x:c r="Y16" s="118" t="n">
        <x:v>0</x:v>
      </x:c>
      <x:c r="Z16" s="118" t="n">
        <x:v>0</x:v>
      </x:c>
      <x:c r="AA16" s="118" t="n">
        <x:v>0</x:v>
      </x:c>
      <x:c r="AB16" s="118" t="n">
        <x:v>0</x:v>
      </x:c>
      <x:c r="AC16" s="118" t="n">
        <x:v>0</x:v>
      </x:c>
    </x:row>
    <x:row r="17" ht="46" customHeight="1">
      <x:c r="A17" s="117" t="str">
        <x:v>300Ro00000AQyqpIAD</x:v>
      </x:c>
      <x:c r="B17" s="117" t="str">
        <x:v>Approved_Repair_Update_Opportunity_Stage</x:v>
      </x:c>
      <x:c r="C17" s="117" t="str">
        <x:v>No</x:v>
      </x:c>
      <x:c r="D17" s="119" t="str">
        <x:v>Latest inactive v2 (Retrieved XML)</x:v>
      </x:c>
      <x:c r="E17" s="119" t="str">
        <x:v>Date_Repair_Approved__c IsNull booleanValue=false | Date_Repair_Approved__c IsChanged booleanValue=true</x:v>
      </x:c>
      <x:c r="F17" s="119" t="str">
        <x:v>Opportunity, RMA__c</x:v>
      </x:c>
      <x:c r="G17" s="119" t="str">
        <x:v>Customer_Repair_Evaluation_RMA__c, Date_Repair_Approved__c, Id, StageName</x:v>
      </x:c>
      <x:c r="H17" s="119" t="str"/>
      <x:c r="I17" s="119" t="str"/>
      <x:c r="J17" s="119" t="str"/>
      <x:c r="K17" s="118" t="n">
        <x:v>2</x:v>
      </x:c>
      <x:c r="L17" s="118" t="n">
        <x:v>0</x:v>
      </x:c>
      <x:c r="M17" s="118" t="n">
        <x:v>0</x:v>
      </x:c>
      <x:c r="N17" s="118" t="n">
        <x:v>0</x:v>
      </x:c>
      <x:c r="O17" s="118" t="n">
        <x:v>0</x:v>
      </x:c>
      <x:c r="P17" s="118" t="n">
        <x:v>0</x:v>
      </x:c>
      <x:c r="Q17" s="118" t="n">
        <x:v>0</x:v>
      </x:c>
      <x:c r="R17" s="118" t="n">
        <x:v>0</x:v>
      </x:c>
      <x:c r="S17" s="118" t="n">
        <x:v>0</x:v>
      </x:c>
      <x:c r="T17" s="118" t="n">
        <x:v>0</x:v>
      </x:c>
      <x:c r="U17" s="118" t="n">
        <x:v>0</x:v>
      </x:c>
      <x:c r="V17" s="118" t="n">
        <x:v>0</x:v>
      </x:c>
      <x:c r="W17" s="118" t="n">
        <x:v>0</x:v>
      </x:c>
      <x:c r="X17" s="118" t="n">
        <x:v>1</x:v>
      </x:c>
      <x:c r="Y17" s="118" t="n">
        <x:v>0</x:v>
      </x:c>
      <x:c r="Z17" s="118" t="n">
        <x:v>0</x:v>
      </x:c>
      <x:c r="AA17" s="118" t="n">
        <x:v>0</x:v>
      </x:c>
      <x:c r="AB17" s="118" t="n">
        <x:v>0</x:v>
      </x:c>
      <x:c r="AC17" s="118" t="n">
        <x:v>0</x:v>
      </x:c>
    </x:row>
    <x:row r="18" ht="46" customHeight="1">
      <x:c r="A18" s="117" t="str">
        <x:v>300Ro00000cQpMBIA0</x:v>
      </x:c>
      <x:c r="B18" s="117" t="str">
        <x:v>Asset_Automations</x:v>
      </x:c>
      <x:c r="C18" s="117" t="str">
        <x:v>Yes</x:v>
      </x:c>
      <x:c r="D18" s="119" t="str">
        <x:v>Active v5 (Retrieved XML)</x:v>
      </x:c>
      <x:c r="E18" s="119" t="str"/>
      <x:c r="F18" s="119" t="str">
        <x:v>ProductItem__c</x:v>
      </x:c>
      <x:c r="G18" s="119" t="str">
        <x:v>Cosmetic_Rating__c, Functional_Rating__c, Id, Purchasing_Opportunity__r, Receive_date__c, Stock_Checked__c</x:v>
      </x:c>
      <x:c r="H18" s="119" t="str"/>
      <x:c r="I18" s="119" t="str"/>
      <x:c r="J18" s="119" t="str"/>
      <x:c r="K18" s="118" t="n">
        <x:v>6</x:v>
      </x:c>
      <x:c r="L18" s="118" t="n">
        <x:v>0</x:v>
      </x:c>
      <x:c r="M18" s="118" t="n">
        <x:v>0</x:v>
      </x:c>
      <x:c r="N18" s="118" t="n">
        <x:v>2</x:v>
      </x:c>
      <x:c r="O18" s="118" t="n">
        <x:v>0</x:v>
      </x:c>
      <x:c r="P18" s="118" t="n">
        <x:v>0</x:v>
      </x:c>
      <x:c r="Q18" s="118" t="n">
        <x:v>2</x:v>
      </x:c>
      <x:c r="R18" s="118" t="n">
        <x:v>0</x:v>
      </x:c>
      <x:c r="S18" s="118" t="n">
        <x:v>0</x:v>
      </x:c>
      <x:c r="T18" s="118" t="n">
        <x:v>0</x:v>
      </x:c>
      <x:c r="U18" s="118" t="n">
        <x:v>0</x:v>
      </x:c>
      <x:c r="V18" s="118" t="n">
        <x:v>0</x:v>
      </x:c>
      <x:c r="W18" s="118" t="n">
        <x:v>0</x:v>
      </x:c>
      <x:c r="X18" s="118" t="n">
        <x:v>1</x:v>
      </x:c>
      <x:c r="Y18" s="118" t="n">
        <x:v>0</x:v>
      </x:c>
      <x:c r="Z18" s="118" t="n">
        <x:v>0</x:v>
      </x:c>
      <x:c r="AA18" s="118" t="n">
        <x:v>0</x:v>
      </x:c>
      <x:c r="AB18" s="118" t="n">
        <x:v>0</x:v>
      </x:c>
      <x:c r="AC18" s="118" t="n">
        <x:v>0</x:v>
      </x:c>
    </x:row>
    <x:row r="19" ht="46" customHeight="1">
      <x:c r="A19" s="117" t="str">
        <x:v>300Ro00000OMkxeIAD</x:v>
      </x:c>
      <x:c r="B19" s="117" t="str">
        <x:v>Asset_Check_in_Type</x:v>
      </x:c>
      <x:c r="C19" s="117" t="str">
        <x:v>Yes</x:v>
      </x:c>
      <x:c r="D19" s="119" t="str">
        <x:v>Active v8 (Retrieved XML)</x:v>
      </x:c>
      <x:c r="E19" s="119" t="str">
        <x:v>Check_In_Type__c EqualTo stringValue=Loaner Pool | Check_In_Type__c EqualTo stringValue=Rental inventory | Check_In_Type__c EqualTo stringValue=Vet - Loaner Pool | Check_In_Type__c EqualTo stringValue=Vet - Rental Inventory | Check_In_Type__c EqualTo stringValue=Demo Pool</x:v>
      </x:c>
      <x:c r="F19" s="119" t="str">
        <x:v>Capital_Asset_Transfer__c, ProductItem__c</x:v>
      </x:c>
      <x:c r="G19" s="119" t="str">
        <x:v>Asset2__c, Check_In_Type__c, Cost__c, Date_Asset_Moved_to_Rental__c, Date_of_Transfer__c, Id, Intacct_Transfer_Sync_Status__c, Previous_Check_in_Type__c, Total_Cost_of_Assets_Used_in_Repair__c, Type__c</x:v>
      </x:c>
      <x:c r="H19" s="119" t="str"/>
      <x:c r="I19" s="119" t="str"/>
      <x:c r="J19" s="119" t="str"/>
      <x:c r="K19" s="118" t="n">
        <x:v>3</x:v>
      </x:c>
      <x:c r="L19" s="118" t="n">
        <x:v>0</x:v>
      </x:c>
      <x:c r="M19" s="118" t="n">
        <x:v>0</x:v>
      </x:c>
      <x:c r="N19" s="118" t="n">
        <x:v>0</x:v>
      </x:c>
      <x:c r="O19" s="118" t="n">
        <x:v>0</x:v>
      </x:c>
      <x:c r="P19" s="118" t="n">
        <x:v>0</x:v>
      </x:c>
      <x:c r="Q19" s="118" t="n">
        <x:v>0</x:v>
      </x:c>
      <x:c r="R19" s="118" t="n">
        <x:v>0</x:v>
      </x:c>
      <x:c r="S19" s="118" t="n">
        <x:v>0</x:v>
      </x:c>
      <x:c r="T19" s="118" t="n">
        <x:v>1</x:v>
      </x:c>
      <x:c r="U19" s="118" t="n">
        <x:v>0</x:v>
      </x:c>
      <x:c r="V19" s="118" t="n">
        <x:v>0</x:v>
      </x:c>
      <x:c r="W19" s="118" t="n">
        <x:v>0</x:v>
      </x:c>
      <x:c r="X19" s="118" t="n">
        <x:v>1</x:v>
      </x:c>
      <x:c r="Y19" s="118" t="n">
        <x:v>0</x:v>
      </x:c>
      <x:c r="Z19" s="118" t="n">
        <x:v>0</x:v>
      </x:c>
      <x:c r="AA19" s="118" t="n">
        <x:v>0</x:v>
      </x:c>
      <x:c r="AB19" s="118" t="n">
        <x:v>0</x:v>
      </x:c>
      <x:c r="AC19" s="118" t="n">
        <x:v>0</x:v>
      </x:c>
    </x:row>
    <x:row r="20" ht="46" customHeight="1">
      <x:c r="A20" s="117" t="str">
        <x:v>300Ro00000xhuucIAA</x:v>
      </x:c>
      <x:c r="B20" s="117" t="str">
        <x:v>Asset_Creation_After_Save_Update_Product_Analytics</x:v>
      </x:c>
      <x:c r="C20" s="117" t="str">
        <x:v>Yes</x:v>
      </x:c>
      <x:c r="D20" s="119" t="str">
        <x:v>Active v2 (Retrieved XML)</x:v>
      </x:c>
      <x:c r="E20" s="119" t="str"/>
      <x:c r="F20" s="119" t="str">
        <x:v>ProductItem__c, Product_Analytics__c</x:v>
      </x:c>
      <x:c r="G20" s="119" t="str">
        <x:v>Product_Analytics__c, Product_Name__r, Product__c</x:v>
      </x:c>
      <x:c r="H20" s="119" t="str"/>
      <x:c r="I20" s="119" t="str"/>
      <x:c r="J20" s="119" t="str"/>
      <x:c r="K20" s="118" t="n">
        <x:v>3</x:v>
      </x:c>
      <x:c r="L20" s="118" t="n">
        <x:v>0</x:v>
      </x:c>
      <x:c r="M20" s="118" t="n">
        <x:v>0</x:v>
      </x:c>
      <x:c r="N20" s="118" t="n">
        <x:v>0</x:v>
      </x:c>
      <x:c r="O20" s="118" t="n">
        <x:v>0</x:v>
      </x:c>
      <x:c r="P20" s="118" t="n">
        <x:v>0</x:v>
      </x:c>
      <x:c r="Q20" s="118" t="n">
        <x:v>0</x:v>
      </x:c>
      <x:c r="R20" s="118" t="n">
        <x:v>0</x:v>
      </x:c>
      <x:c r="S20" s="118" t="n">
        <x:v>0</x:v>
      </x:c>
      <x:c r="T20" s="118" t="n">
        <x:v>0</x:v>
      </x:c>
      <x:c r="U20" s="118" t="n">
        <x:v>0</x:v>
      </x:c>
      <x:c r="V20" s="118" t="n">
        <x:v>1</x:v>
      </x:c>
      <x:c r="W20" s="118" t="n">
        <x:v>0</x:v>
      </x:c>
      <x:c r="X20" s="118" t="n">
        <x:v>1</x:v>
      </x:c>
      <x:c r="Y20" s="118" t="n">
        <x:v>0</x:v>
      </x:c>
      <x:c r="Z20" s="118" t="n">
        <x:v>0</x:v>
      </x:c>
      <x:c r="AA20" s="118" t="n">
        <x:v>0</x:v>
      </x:c>
      <x:c r="AB20" s="118" t="n">
        <x:v>0</x:v>
      </x:c>
      <x:c r="AC20" s="118" t="n">
        <x:v>0</x:v>
      </x:c>
    </x:row>
    <x:row r="21" ht="46" customHeight="1">
      <x:c r="A21" s="117" t="str">
        <x:v>300Ro00000z1ut3IAA</x:v>
      </x:c>
      <x:c r="B21" s="117" t="str">
        <x:v>Asset_Creation_After_Save_Update_Product_Name</x:v>
      </x:c>
      <x:c r="C21" s="117" t="str">
        <x:v>No</x:v>
      </x:c>
      <x:c r="D21" s="119" t="str">
        <x:v>Latest inactive v1 (Retrieved XML)</x:v>
      </x:c>
      <x:c r="E21" s="119" t="str"/>
      <x:c r="F21" s="119" t="str">
        <x:v>Product2, ProductItem__c</x:v>
      </x:c>
      <x:c r="G21" s="119" t="str">
        <x:v>Id, Product_Analytics__r, Product_Name__c</x:v>
      </x:c>
      <x:c r="H21" s="119" t="str"/>
      <x:c r="I21" s="119" t="str"/>
      <x:c r="J21" s="119" t="str"/>
      <x:c r="K21" s="118" t="n">
        <x:v>3</x:v>
      </x:c>
      <x:c r="L21" s="118" t="n">
        <x:v>0</x:v>
      </x:c>
      <x:c r="M21" s="118" t="n">
        <x:v>0</x:v>
      </x:c>
      <x:c r="N21" s="118" t="n">
        <x:v>0</x:v>
      </x:c>
      <x:c r="O21" s="118" t="n">
        <x:v>0</x:v>
      </x:c>
      <x:c r="P21" s="118" t="n">
        <x:v>0</x:v>
      </x:c>
      <x:c r="Q21" s="118" t="n">
        <x:v>0</x:v>
      </x:c>
      <x:c r="R21" s="118" t="n">
        <x:v>0</x:v>
      </x:c>
      <x:c r="S21" s="118" t="n">
        <x:v>0</x:v>
      </x:c>
      <x:c r="T21" s="118" t="n">
        <x:v>0</x:v>
      </x:c>
      <x:c r="U21" s="118" t="n">
        <x:v>0</x:v>
      </x:c>
      <x:c r="V21" s="118" t="n">
        <x:v>1</x:v>
      </x:c>
      <x:c r="W21" s="118" t="n">
        <x:v>0</x:v>
      </x:c>
      <x:c r="X21" s="118" t="n">
        <x:v>1</x:v>
      </x:c>
      <x:c r="Y21" s="118" t="n">
        <x:v>0</x:v>
      </x:c>
      <x:c r="Z21" s="118" t="n">
        <x:v>0</x:v>
      </x:c>
      <x:c r="AA21" s="118" t="n">
        <x:v>0</x:v>
      </x:c>
      <x:c r="AB21" s="118" t="n">
        <x:v>0</x:v>
      </x:c>
      <x:c r="AC21" s="118" t="n">
        <x:v>0</x:v>
      </x:c>
    </x:row>
    <x:row r="22" ht="46" customHeight="1">
      <x:c r="A22" s="117" t="str">
        <x:v>300Ro00000xEy5aIAC</x:v>
      </x:c>
      <x:c r="B22" s="117" t="str">
        <x:v>Asset_Creation_Before_Save_Update_Product_Analytics</x:v>
      </x:c>
      <x:c r="C22" s="117" t="str">
        <x:v>No</x:v>
      </x:c>
      <x:c r="D22" s="119" t="str">
        <x:v>Latest inactive v1 (Retrieved XML)</x:v>
      </x:c>
      <x:c r="E22" s="119" t="str"/>
      <x:c r="F22" s="119" t="str">
        <x:v>ProductItem__c, Product_Analytics__c</x:v>
      </x:c>
      <x:c r="G22" s="119" t="str">
        <x:v>Product_Analytics__c, Product_Name__r, Product__c</x:v>
      </x:c>
      <x:c r="H22" s="119" t="str"/>
      <x:c r="I22" s="119" t="str"/>
      <x:c r="J22" s="119" t="str"/>
      <x:c r="K22" s="118" t="n">
        <x:v>3</x:v>
      </x:c>
      <x:c r="L22" s="118" t="n">
        <x:v>0</x:v>
      </x:c>
      <x:c r="M22" s="118" t="n">
        <x:v>0</x:v>
      </x:c>
      <x:c r="N22" s="118" t="n">
        <x:v>0</x:v>
      </x:c>
      <x:c r="O22" s="118" t="n">
        <x:v>0</x:v>
      </x:c>
      <x:c r="P22" s="118" t="n">
        <x:v>0</x:v>
      </x:c>
      <x:c r="Q22" s="118" t="n">
        <x:v>0</x:v>
      </x:c>
      <x:c r="R22" s="118" t="n">
        <x:v>0</x:v>
      </x:c>
      <x:c r="S22" s="118" t="n">
        <x:v>0</x:v>
      </x:c>
      <x:c r="T22" s="118" t="n">
        <x:v>0</x:v>
      </x:c>
      <x:c r="U22" s="118" t="n">
        <x:v>0</x:v>
      </x:c>
      <x:c r="V22" s="118" t="n">
        <x:v>1</x:v>
      </x:c>
      <x:c r="W22" s="118" t="n">
        <x:v>0</x:v>
      </x:c>
      <x:c r="X22" s="118" t="n">
        <x:v>1</x:v>
      </x:c>
      <x:c r="Y22" s="118" t="n">
        <x:v>0</x:v>
      </x:c>
      <x:c r="Z22" s="118" t="n">
        <x:v>0</x:v>
      </x:c>
      <x:c r="AA22" s="118" t="n">
        <x:v>0</x:v>
      </x:c>
      <x:c r="AB22" s="118" t="n">
        <x:v>0</x:v>
      </x:c>
      <x:c r="AC22" s="118" t="n">
        <x:v>0</x:v>
      </x:c>
    </x:row>
    <x:row r="23" ht="46" customHeight="1">
      <x:c r="A23" s="117" t="str">
        <x:v>300Ro00000KVlAaIAL</x:v>
      </x:c>
      <x:c r="B23" s="117" t="str">
        <x:v>Asset_Has_Files_Automated_Flow</x:v>
      </x:c>
      <x:c r="C23" s="117" t="str">
        <x:v>No</x:v>
      </x:c>
      <x:c r="D23" s="119" t="str">
        <x:v>Latest inactive v5 (Retrieved XML)</x:v>
      </x:c>
      <x:c r="E23" s="119" t="str">
        <x:v>Ownership__c EqualTo stringValue=PROBO-US | Has_Files__c EqualTo booleanValue=false | Check_In_Type__c Contains stringValue=Purchase | Check_In_Type__c EqualTo stringValue=Harvested | Product_Family__c EqualTo stringValue=Part | Cosmetic_Rating__c Contains stringValue=Fair | Cosmetic_Rating__c Contains stringValue=Good | Check_In_Type__c Contains stringValue=Core</x:v>
      </x:c>
      <x:c r="F23" s="119" t="str">
        <x:v>ContentDocumentLink, ProductItem__c</x:v>
      </x:c>
      <x:c r="G23" s="119" t="str">
        <x:v>Check_In_Type__c, Cosmetic_Rating__c, Has_Files__c, Id, LinkedEntityId, Ownership__c, Product_Family__c</x:v>
      </x:c>
      <x:c r="H23" s="119" t="str"/>
      <x:c r="I23" s="119" t="str"/>
      <x:c r="J23" s="119" t="str"/>
      <x:c r="K23" s="118" t="n">
        <x:v>6</x:v>
      </x:c>
      <x:c r="L23" s="118" t="n">
        <x:v>0</x:v>
      </x:c>
      <x:c r="M23" s="118" t="n">
        <x:v>0</x:v>
      </x:c>
      <x:c r="N23" s="118" t="n">
        <x:v>1</x:v>
      </x:c>
      <x:c r="O23" s="118" t="n">
        <x:v>0</x:v>
      </x:c>
      <x:c r="P23" s="118" t="n">
        <x:v>0</x:v>
      </x:c>
      <x:c r="Q23" s="118" t="n">
        <x:v>1</x:v>
      </x:c>
      <x:c r="R23" s="118" t="n">
        <x:v>1</x:v>
      </x:c>
      <x:c r="S23" s="118" t="n">
        <x:v>0</x:v>
      </x:c>
      <x:c r="T23" s="118" t="n">
        <x:v>0</x:v>
      </x:c>
      <x:c r="U23" s="118" t="n">
        <x:v>0</x:v>
      </x:c>
      <x:c r="V23" s="118" t="n">
        <x:v>1</x:v>
      </x:c>
      <x:c r="W23" s="118" t="n">
        <x:v>0</x:v>
      </x:c>
      <x:c r="X23" s="118" t="n">
        <x:v>1</x:v>
      </x:c>
      <x:c r="Y23" s="118" t="n">
        <x:v>0</x:v>
      </x:c>
      <x:c r="Z23" s="118" t="n">
        <x:v>0</x:v>
      </x:c>
      <x:c r="AA23" s="118" t="n">
        <x:v>0</x:v>
      </x:c>
      <x:c r="AB23" s="118" t="n">
        <x:v>0</x:v>
      </x:c>
      <x:c r="AC23" s="118" t="n">
        <x:v>0</x:v>
      </x:c>
    </x:row>
    <x:row r="24" ht="46" customHeight="1">
      <x:c r="A24" s="117" t="str">
        <x:v>300Ro00000xFCRyIAO</x:v>
      </x:c>
      <x:c r="B24" s="117" t="str">
        <x:v>Asset_Update_After_Save_Set_Product_Analytics_on_Product_Name_Change</x:v>
      </x:c>
      <x:c r="C24" s="117" t="str">
        <x:v>Yes</x:v>
      </x:c>
      <x:c r="D24" s="119" t="str">
        <x:v>Active v2 (Retrieved XML)</x:v>
      </x:c>
      <x:c r="E24" s="119" t="str">
        <x:v>Product_Name__c IsChanged booleanValue=true</x:v>
      </x:c>
      <x:c r="F24" s="119" t="str">
        <x:v>ProductItem__c, Product_Analytics__c</x:v>
      </x:c>
      <x:c r="G24" s="119" t="str">
        <x:v>Product_Analytics__c, Product_Name__c, Product_Name__r, Product__c</x:v>
      </x:c>
      <x:c r="H24" s="119" t="str"/>
      <x:c r="I24" s="119" t="str"/>
      <x:c r="J24" s="119" t="str"/>
      <x:c r="K24" s="118" t="n">
        <x:v>3</x:v>
      </x:c>
      <x:c r="L24" s="118" t="n">
        <x:v>0</x:v>
      </x:c>
      <x:c r="M24" s="118" t="n">
        <x:v>0</x:v>
      </x:c>
      <x:c r="N24" s="118" t="n">
        <x:v>0</x:v>
      </x:c>
      <x:c r="O24" s="118" t="n">
        <x:v>0</x:v>
      </x:c>
      <x:c r="P24" s="118" t="n">
        <x:v>0</x:v>
      </x:c>
      <x:c r="Q24" s="118" t="n">
        <x:v>0</x:v>
      </x:c>
      <x:c r="R24" s="118" t="n">
        <x:v>0</x:v>
      </x:c>
      <x:c r="S24" s="118" t="n">
        <x:v>0</x:v>
      </x:c>
      <x:c r="T24" s="118" t="n">
        <x:v>0</x:v>
      </x:c>
      <x:c r="U24" s="118" t="n">
        <x:v>0</x:v>
      </x:c>
      <x:c r="V24" s="118" t="n">
        <x:v>1</x:v>
      </x:c>
      <x:c r="W24" s="118" t="n">
        <x:v>0</x:v>
      </x:c>
      <x:c r="X24" s="118" t="n">
        <x:v>1</x:v>
      </x:c>
      <x:c r="Y24" s="118" t="n">
        <x:v>0</x:v>
      </x:c>
      <x:c r="Z24" s="118" t="n">
        <x:v>0</x:v>
      </x:c>
      <x:c r="AA24" s="118" t="n">
        <x:v>0</x:v>
      </x:c>
      <x:c r="AB24" s="118" t="n">
        <x:v>0</x:v>
      </x:c>
      <x:c r="AC24" s="118" t="n">
        <x:v>0</x:v>
      </x:c>
    </x:row>
    <x:row r="25" ht="46" customHeight="1">
      <x:c r="A25" s="117" t="str">
        <x:v>3000B0000008l32QAA</x:v>
      </x:c>
      <x:c r="B25" s="117" t="str">
        <x:v>Assign_Lead_Owner</x:v>
      </x:c>
      <x:c r="C25" s="117" t="str">
        <x:v>No</x:v>
      </x:c>
      <x:c r="D25" s="119" t="str">
        <x:v>Latest inactive v4 (Retrieved XML)</x:v>
      </x:c>
      <x:c r="E25" s="119" t="str"/>
      <x:c r="F25" s="119" t="str">
        <x:v>Lead</x:v>
      </x:c>
      <x:c r="G25" s="119" t="str"/>
      <x:c r="H25" s="119" t="str">
        <x:v>Search_Contacts_for_New_Lead_Email_Address</x:v>
      </x:c>
      <x:c r="I25" s="119" t="str"/>
      <x:c r="J25" s="119" t="str"/>
      <x:c r="K25" s="118" t="n">
        <x:v>3</x:v>
      </x:c>
      <x:c r="L25" s="118" t="n">
        <x:v>1</x:v>
      </x:c>
      <x:c r="M25" s="118" t="n">
        <x:v>0</x:v>
      </x:c>
      <x:c r="N25" s="118" t="n">
        <x:v>1</x:v>
      </x:c>
      <x:c r="O25" s="118" t="n">
        <x:v>0</x:v>
      </x:c>
      <x:c r="P25" s="118" t="n">
        <x:v>0</x:v>
      </x:c>
      <x:c r="Q25" s="118" t="n">
        <x:v>1</x:v>
      </x:c>
      <x:c r="R25" s="118" t="n">
        <x:v>0</x:v>
      </x:c>
      <x:c r="S25" s="118" t="n">
        <x:v>0</x:v>
      </x:c>
      <x:c r="T25" s="118" t="n">
        <x:v>0</x:v>
      </x:c>
      <x:c r="U25" s="118" t="n">
        <x:v>0</x:v>
      </x:c>
      <x:c r="V25" s="118" t="n">
        <x:v>0</x:v>
      </x:c>
      <x:c r="W25" s="118" t="n">
        <x:v>0</x:v>
      </x:c>
      <x:c r="X25" s="118" t="n">
        <x:v>0</x:v>
      </x:c>
      <x:c r="Y25" s="118" t="n">
        <x:v>0</x:v>
      </x:c>
      <x:c r="Z25" s="118" t="n">
        <x:v>0</x:v>
      </x:c>
      <x:c r="AA25" s="118" t="n">
        <x:v>0</x:v>
      </x:c>
      <x:c r="AB25" s="118" t="n">
        <x:v>0</x:v>
      </x:c>
      <x:c r="AC25" s="118" t="n">
        <x:v>0</x:v>
      </x:c>
    </x:row>
    <x:row r="26" ht="46" customHeight="1">
      <x:c r="A26" s="117" t="str">
        <x:v>3000B0000008lA3QAI</x:v>
      </x:c>
      <x:c r="B26" s="117" t="str">
        <x:v>Assign_Lead_Owner_Account_Name_Company</x:v>
      </x:c>
      <x:c r="C26" s="117" t="str">
        <x:v>No</x:v>
      </x:c>
      <x:c r="D26" s="119" t="str">
        <x:v>Latest inactive v1 (Retrieved XML)</x:v>
      </x:c>
      <x:c r="E26" s="119" t="str"/>
      <x:c r="F26" s="119" t="str">
        <x:v>Lead</x:v>
      </x:c>
      <x:c r="G26" s="119" t="str"/>
      <x:c r="H26" s="119" t="str">
        <x:v>Search_Contacts_for_Account_Name_Company</x:v>
      </x:c>
      <x:c r="I26" s="119" t="str"/>
      <x:c r="J26" s="119" t="str"/>
      <x:c r="K26" s="118" t="n">
        <x:v>3</x:v>
      </x:c>
      <x:c r="L26" s="118" t="n">
        <x:v>1</x:v>
      </x:c>
      <x:c r="M26" s="118" t="n">
        <x:v>0</x:v>
      </x:c>
      <x:c r="N26" s="118" t="n">
        <x:v>1</x:v>
      </x:c>
      <x:c r="O26" s="118" t="n">
        <x:v>0</x:v>
      </x:c>
      <x:c r="P26" s="118" t="n">
        <x:v>0</x:v>
      </x:c>
      <x:c r="Q26" s="118" t="n">
        <x:v>1</x:v>
      </x:c>
      <x:c r="R26" s="118" t="n">
        <x:v>0</x:v>
      </x:c>
      <x:c r="S26" s="118" t="n">
        <x:v>0</x:v>
      </x:c>
      <x:c r="T26" s="118" t="n">
        <x:v>0</x:v>
      </x:c>
      <x:c r="U26" s="118" t="n">
        <x:v>0</x:v>
      </x:c>
      <x:c r="V26" s="118" t="n">
        <x:v>0</x:v>
      </x:c>
      <x:c r="W26" s="118" t="n">
        <x:v>0</x:v>
      </x:c>
      <x:c r="X26" s="118" t="n">
        <x:v>0</x:v>
      </x:c>
      <x:c r="Y26" s="118" t="n">
        <x:v>0</x:v>
      </x:c>
      <x:c r="Z26" s="118" t="n">
        <x:v>0</x:v>
      </x:c>
      <x:c r="AA26" s="118" t="n">
        <x:v>0</x:v>
      </x:c>
      <x:c r="AB26" s="118" t="n">
        <x:v>0</x:v>
      </x:c>
      <x:c r="AC26" s="118" t="n">
        <x:v>0</x:v>
      </x:c>
    </x:row>
    <x:row r="27" ht="46" customHeight="1">
      <x:c r="A27" s="117" t="str">
        <x:v>3000B0000008l9yQAA</x:v>
      </x:c>
      <x:c r="B27" s="117" t="str">
        <x:v>Assign_Lead_Owner_Phone</x:v>
      </x:c>
      <x:c r="C27" s="117" t="str">
        <x:v>No</x:v>
      </x:c>
      <x:c r="D27" s="119" t="str">
        <x:v>Latest inactive v1 (Retrieved XML)</x:v>
      </x:c>
      <x:c r="E27" s="119" t="str"/>
      <x:c r="F27" s="119" t="str">
        <x:v>Lead</x:v>
      </x:c>
      <x:c r="G27" s="119" t="str"/>
      <x:c r="H27" s="119" t="str">
        <x:v>Search_Contacts_for_Phone_Number</x:v>
      </x:c>
      <x:c r="I27" s="119" t="str"/>
      <x:c r="J27" s="119" t="str"/>
      <x:c r="K27" s="118" t="n">
        <x:v>3</x:v>
      </x:c>
      <x:c r="L27" s="118" t="n">
        <x:v>1</x:v>
      </x:c>
      <x:c r="M27" s="118" t="n">
        <x:v>0</x:v>
      </x:c>
      <x:c r="N27" s="118" t="n">
        <x:v>1</x:v>
      </x:c>
      <x:c r="O27" s="118" t="n">
        <x:v>0</x:v>
      </x:c>
      <x:c r="P27" s="118" t="n">
        <x:v>0</x:v>
      </x:c>
      <x:c r="Q27" s="118" t="n">
        <x:v>1</x:v>
      </x:c>
      <x:c r="R27" s="118" t="n">
        <x:v>0</x:v>
      </x:c>
      <x:c r="S27" s="118" t="n">
        <x:v>0</x:v>
      </x:c>
      <x:c r="T27" s="118" t="n">
        <x:v>0</x:v>
      </x:c>
      <x:c r="U27" s="118" t="n">
        <x:v>0</x:v>
      </x:c>
      <x:c r="V27" s="118" t="n">
        <x:v>0</x:v>
      </x:c>
      <x:c r="W27" s="118" t="n">
        <x:v>0</x:v>
      </x:c>
      <x:c r="X27" s="118" t="n">
        <x:v>0</x:v>
      </x:c>
      <x:c r="Y27" s="118" t="n">
        <x:v>0</x:v>
      </x:c>
      <x:c r="Z27" s="118" t="n">
        <x:v>0</x:v>
      </x:c>
      <x:c r="AA27" s="118" t="n">
        <x:v>0</x:v>
      </x:c>
      <x:c r="AB27" s="118" t="n">
        <x:v>0</x:v>
      </x:c>
      <x:c r="AC27" s="118" t="n">
        <x:v>0</x:v>
      </x:c>
    </x:row>
    <x:row r="28" ht="46" customHeight="1">
      <x:c r="A28" s="117" t="str">
        <x:v>300Ro00000SgtMZIAZ</x:v>
      </x:c>
      <x:c r="B28" s="117" t="str">
        <x:v>Assigned_Resource_Create_OR_Update_Service_Event</x:v>
      </x:c>
      <x:c r="C28" s="117" t="str">
        <x:v>Yes</x:v>
      </x:c>
      <x:c r="D28" s="119" t="str">
        <x:v>Active v6 (Tooling metadata)</x:v>
      </x:c>
      <x:c r="E28" s="119" t="str"/>
      <x:c r="F28" s="119" t="str">
        <x:v>AssignedResource, ContractLineItem, Event, EventRelation, ServiceAppointment, WorkOrder</x:v>
      </x:c>
      <x:c r="G28" s="119" t="str">
        <x:v>ActivityDate, Description, DurationInMinutes, EventId, Id, IsInvitee, Location, OwnerId, RelationId, ServiceAppointment, ServiceAppointmentId, ServiceResource, StartDateTime, Status, Subject, Type, WhatId, WhoId</x:v>
      </x:c>
      <x:c r="H28" s="119" t="str"/>
      <x:c r="I28" s="119" t="str"/>
      <x:c r="J28" s="119" t="str"/>
      <x:c r="K28" s="118" t="n">
        <x:v>19</x:v>
      </x:c>
      <x:c r="L28" s="118" t="n">
        <x:v>0</x:v>
      </x:c>
      <x:c r="M28" s="118" t="n">
        <x:v>0</x:v>
      </x:c>
      <x:c r="N28" s="118" t="n">
        <x:v>1</x:v>
      </x:c>
      <x:c r="O28" s="118" t="n">
        <x:v>0</x:v>
      </x:c>
      <x:c r="P28" s="118" t="n">
        <x:v>0</x:v>
      </x:c>
      <x:c r="Q28" s="118" t="n">
        <x:v>7</x:v>
      </x:c>
      <x:c r="R28" s="118" t="n">
        <x:v>0</x:v>
      </x:c>
      <x:c r="S28" s="118" t="n">
        <x:v>0</x:v>
      </x:c>
      <x:c r="T28" s="118" t="n">
        <x:v>3</x:v>
      </x:c>
      <x:c r="U28" s="118" t="n">
        <x:v>1</x:v>
      </x:c>
      <x:c r="V28" s="118" t="n">
        <x:v>4</x:v>
      </x:c>
      <x:c r="W28" s="118" t="n">
        <x:v>0</x:v>
      </x:c>
      <x:c r="X28" s="118" t="n">
        <x:v>2</x:v>
      </x:c>
      <x:c r="Y28" s="118" t="n">
        <x:v>0</x:v>
      </x:c>
      <x:c r="Z28" s="118" t="n">
        <x:v>0</x:v>
      </x:c>
      <x:c r="AA28" s="118" t="n">
        <x:v>0</x:v>
      </x:c>
      <x:c r="AB28" s="118" t="n">
        <x:v>0</x:v>
      </x:c>
      <x:c r="AC28" s="118" t="n">
        <x:v>0</x:v>
      </x:c>
    </x:row>
    <x:row r="29" ht="46" customHeight="1">
      <x:c r="A29" s="117" t="str">
        <x:v>300Ro00000SgtMaIAJ</x:v>
      </x:c>
      <x:c r="B29" s="117" t="str">
        <x:v>Assigned_Resource_On_Delete_Find_and_Delete_Related_Event</x:v>
      </x:c>
      <x:c r="C29" s="117" t="str">
        <x:v>Yes</x:v>
      </x:c>
      <x:c r="D29" s="119" t="str">
        <x:v>Active v2 (Retrieved XML)</x:v>
      </x:c>
      <x:c r="E29" s="119" t="str"/>
      <x:c r="F29" s="119" t="str">
        <x:v>AssignedResource, Event</x:v>
      </x:c>
      <x:c r="G29" s="119" t="str">
        <x:v>ServiceAppointmentId, WhatId</x:v>
      </x:c>
      <x:c r="H29" s="119" t="str"/>
      <x:c r="I29" s="119" t="str"/>
      <x:c r="J29" s="119" t="str"/>
      <x:c r="K29" s="118" t="n">
        <x:v>4</x:v>
      </x:c>
      <x:c r="L29" s="118" t="n">
        <x:v>0</x:v>
      </x:c>
      <x:c r="M29" s="118" t="n">
        <x:v>0</x:v>
      </x:c>
      <x:c r="N29" s="118" t="n">
        <x:v>0</x:v>
      </x:c>
      <x:c r="O29" s="118" t="n">
        <x:v>0</x:v>
      </x:c>
      <x:c r="P29" s="118" t="n">
        <x:v>0</x:v>
      </x:c>
      <x:c r="Q29" s="118" t="n">
        <x:v>1</x:v>
      </x:c>
      <x:c r="R29" s="118" t="n">
        <x:v>0</x:v>
      </x:c>
      <x:c r="S29" s="118" t="n">
        <x:v>0</x:v>
      </x:c>
      <x:c r="T29" s="118" t="n">
        <x:v>0</x:v>
      </x:c>
      <x:c r="U29" s="118" t="n">
        <x:v>1</x:v>
      </x:c>
      <x:c r="V29" s="118" t="n">
        <x:v>1</x:v>
      </x:c>
      <x:c r="W29" s="118" t="n">
        <x:v>0</x:v>
      </x:c>
      <x:c r="X29" s="118" t="n">
        <x:v>0</x:v>
      </x:c>
      <x:c r="Y29" s="118" t="n">
        <x:v>0</x:v>
      </x:c>
      <x:c r="Z29" s="118" t="n">
        <x:v>0</x:v>
      </x:c>
      <x:c r="AA29" s="118" t="n">
        <x:v>0</x:v>
      </x:c>
      <x:c r="AB29" s="118" t="n">
        <x:v>0</x:v>
      </x:c>
      <x:c r="AC29" s="118" t="n">
        <x:v>0</x:v>
      </x:c>
    </x:row>
    <x:row r="30" ht="46" customHeight="1">
      <x:c r="A30" s="117" t="str">
        <x:v>300Ro00000SgtMbIAJ</x:v>
      </x:c>
      <x:c r="B30" s="117" t="str">
        <x:v>Assigned_Resource_Trigger_Dispatch_Tech_Call</x:v>
      </x:c>
      <x:c r="C30" s="117" t="str">
        <x:v>Yes</x:v>
      </x:c>
      <x:c r="D30" s="119" t="str">
        <x:v>Active v1 (Retrieved XML)</x:v>
      </x:c>
      <x:c r="E30" s="119" t="str"/>
      <x:c r="F30" s="119" t="str">
        <x:v>AssignedResource</x:v>
      </x:c>
      <x:c r="G30" s="119" t="str">
        <x:v>ServiceAppointment, Status</x:v>
      </x:c>
      <x:c r="H30" s="119" t="str"/>
      <x:c r="I30" s="119" t="str"/>
      <x:c r="J30" s="119" t="str"/>
      <x:c r="K30" s="118" t="n">
        <x:v>3</x:v>
      </x:c>
      <x:c r="L30" s="118" t="n">
        <x:v>0</x:v>
      </x:c>
      <x:c r="M30" s="118" t="n">
        <x:v>0</x:v>
      </x:c>
      <x:c r="N30" s="118" t="n">
        <x:v>0</x:v>
      </x:c>
      <x:c r="O30" s="118" t="n">
        <x:v>0</x:v>
      </x:c>
      <x:c r="P30" s="118" t="n">
        <x:v>0</x:v>
      </x:c>
      <x:c r="Q30" s="118" t="n">
        <x:v>1</x:v>
      </x:c>
      <x:c r="R30" s="118" t="n">
        <x:v>0</x:v>
      </x:c>
      <x:c r="S30" s="118" t="n">
        <x:v>0</x:v>
      </x:c>
      <x:c r="T30" s="118" t="n">
        <x:v>0</x:v>
      </x:c>
      <x:c r="U30" s="118" t="n">
        <x:v>0</x:v>
      </x:c>
      <x:c r="V30" s="118" t="n">
        <x:v>0</x:v>
      </x:c>
      <x:c r="W30" s="118" t="n">
        <x:v>0</x:v>
      </x:c>
      <x:c r="X30" s="118" t="n">
        <x:v>1</x:v>
      </x:c>
      <x:c r="Y30" s="118" t="n">
        <x:v>0</x:v>
      </x:c>
      <x:c r="Z30" s="118" t="n">
        <x:v>0</x:v>
      </x:c>
      <x:c r="AA30" s="118" t="n">
        <x:v>0</x:v>
      </x:c>
      <x:c r="AB30" s="118" t="n">
        <x:v>0</x:v>
      </x:c>
      <x:c r="AC30" s="118" t="n">
        <x:v>0</x:v>
      </x:c>
    </x:row>
    <x:row r="31" ht="46" customHeight="1">
      <x:c r="A31" s="117" t="str">
        <x:v>300Ro00000SxTCLIA3</x:v>
      </x:c>
      <x:c r="B31" s="117" t="str">
        <x:v>Assigned_Resource_Trigger_Send_New_Resource_Dispatch_Email</x:v>
      </x:c>
      <x:c r="C31" s="117" t="str">
        <x:v>Yes</x:v>
      </x:c>
      <x:c r="D31" s="119" t="str">
        <x:v>Active v2 (Retrieved XML)</x:v>
      </x:c>
      <x:c r="E31" s="119" t="str">
        <x:v>ServiceResourceId IsChanged booleanValue=true</x:v>
      </x:c>
      <x:c r="F31" s="119" t="str">
        <x:v>AssignedResource</x:v>
      </x:c>
      <x:c r="G31" s="119" t="str">
        <x:v>ServiceAppointment, ServiceResource, ServiceResourceId</x:v>
      </x:c>
      <x:c r="H31" s="119" t="str">
        <x:v>emailSimple</x:v>
      </x:c>
      <x:c r="I31" s="119" t="str"/>
      <x:c r="J31" s="119" t="str"/>
      <x:c r="K31" s="118" t="n">
        <x:v>6</x:v>
      </x:c>
      <x:c r="L31" s="118" t="n">
        <x:v>2</x:v>
      </x:c>
      <x:c r="M31" s="118" t="n">
        <x:v>0</x:v>
      </x:c>
      <x:c r="N31" s="118" t="n">
        <x:v>2</x:v>
      </x:c>
      <x:c r="O31" s="118" t="n">
        <x:v>0</x:v>
      </x:c>
      <x:c r="P31" s="118" t="n">
        <x:v>0</x:v>
      </x:c>
      <x:c r="Q31" s="118" t="n">
        <x:v>1</x:v>
      </x:c>
      <x:c r="R31" s="118" t="n">
        <x:v>0</x:v>
      </x:c>
      <x:c r="S31" s="118" t="n">
        <x:v>0</x:v>
      </x:c>
      <x:c r="T31" s="118" t="n">
        <x:v>0</x:v>
      </x:c>
      <x:c r="U31" s="118" t="n">
        <x:v>0</x:v>
      </x:c>
      <x:c r="V31" s="118" t="n">
        <x:v>0</x:v>
      </x:c>
      <x:c r="W31" s="118" t="n">
        <x:v>0</x:v>
      </x:c>
      <x:c r="X31" s="118" t="n">
        <x:v>0</x:v>
      </x:c>
      <x:c r="Y31" s="118" t="n">
        <x:v>0</x:v>
      </x:c>
      <x:c r="Z31" s="118" t="n">
        <x:v>0</x:v>
      </x:c>
      <x:c r="AA31" s="118" t="n">
        <x:v>0</x:v>
      </x:c>
      <x:c r="AB31" s="118" t="n">
        <x:v>0</x:v>
      </x:c>
      <x:c r="AC31" s="118" t="n">
        <x:v>0</x:v>
      </x:c>
    </x:row>
    <x:row r="32" ht="46" customHeight="1">
      <x:c r="A32" s="117" t="str">
        <x:v>3005b000000H3WAAA0</x:v>
      </x:c>
      <x:c r="B32" s="117" t="str">
        <x:v>Auto_Close_Opps</x:v>
      </x:c>
      <x:c r="C32" s="117" t="str">
        <x:v>Yes</x:v>
      </x:c>
      <x:c r="D32" s="119" t="str">
        <x:v>Active v1 (Retrieved XML)</x:v>
      </x:c>
      <x:c r="E32" s="119" t="str">
        <x:v>StageName EqualTo stringValue=Proposal/Price Quote</x:v>
      </x:c>
      <x:c r="F32" s="119" t="str">
        <x:v>Opportunity</x:v>
      </x:c>
      <x:c r="G32" s="119" t="str">
        <x:v>CloseDate, Description__c, Reason_Lost__c, RecordType, StageName</x:v>
      </x:c>
      <x:c r="H32" s="119" t="str"/>
      <x:c r="I32" s="119" t="str"/>
      <x:c r="J32" s="119" t="str"/>
      <x:c r="K32" s="118" t="n">
        <x:v>5</x:v>
      </x:c>
      <x:c r="L32" s="118" t="n">
        <x:v>0</x:v>
      </x:c>
      <x:c r="M32" s="118" t="n">
        <x:v>0</x:v>
      </x:c>
      <x:c r="N32" s="118" t="n">
        <x:v>0</x:v>
      </x:c>
      <x:c r="O32" s="118" t="n">
        <x:v>0</x:v>
      </x:c>
      <x:c r="P32" s="118" t="n">
        <x:v>0</x:v>
      </x:c>
      <x:c r="Q32" s="118" t="n">
        <x:v>3</x:v>
      </x:c>
      <x:c r="R32" s="118" t="n">
        <x:v>0</x:v>
      </x:c>
      <x:c r="S32" s="118" t="n">
        <x:v>0</x:v>
      </x:c>
      <x:c r="T32" s="118" t="n">
        <x:v>0</x:v>
      </x:c>
      <x:c r="U32" s="118" t="n">
        <x:v>0</x:v>
      </x:c>
      <x:c r="V32" s="118" t="n">
        <x:v>0</x:v>
      </x:c>
      <x:c r="W32" s="118" t="n">
        <x:v>0</x:v>
      </x:c>
      <x:c r="X32" s="118" t="n">
        <x:v>1</x:v>
      </x:c>
      <x:c r="Y32" s="118" t="n">
        <x:v>0</x:v>
      </x:c>
      <x:c r="Z32" s="118" t="n">
        <x:v>0</x:v>
      </x:c>
      <x:c r="AA32" s="118" t="n">
        <x:v>0</x:v>
      </x:c>
      <x:c r="AB32" s="118" t="n">
        <x:v>0</x:v>
      </x:c>
      <x:c r="AC32" s="118" t="n">
        <x:v>0</x:v>
      </x:c>
    </x:row>
    <x:row r="33" ht="46" customHeight="1">
      <x:c r="A33" s="117" t="str">
        <x:v>3005b000000LGUKAA4</x:v>
      </x:c>
      <x:c r="B33" s="117" t="str">
        <x:v>Auto_Close_SWO_HWO_Scrap_Asset</x:v>
      </x:c>
      <x:c r="C33" s="117" t="str">
        <x:v>Yes</x:v>
      </x:c>
      <x:c r="D33" s="119" t="str">
        <x:v>Active v2 (Retrieved XML)</x:v>
      </x:c>
      <x:c r="E33" s="119" t="str">
        <x:v>Status__c EqualTo stringValue=Completed</x:v>
      </x:c>
      <x:c r="F33" s="119" t="str">
        <x:v>Harvest_Work_Order__c, ProductItem__c, System_Work_Order__c</x:v>
      </x:c>
      <x:c r="G33" s="119" t="str">
        <x:v>Harvest_Work_Order__c, Id, Inventory_Notes__c, Location__c, Name, Status__c, W_O_Status__c, sold__c</x:v>
      </x:c>
      <x:c r="H33" s="119" t="str"/>
      <x:c r="I33" s="119" t="str"/>
      <x:c r="J33" s="119" t="str"/>
      <x:c r="K33" s="118" t="n">
        <x:v>5</x:v>
      </x:c>
      <x:c r="L33" s="118" t="n">
        <x:v>0</x:v>
      </x:c>
      <x:c r="M33" s="118" t="n">
        <x:v>0</x:v>
      </x:c>
      <x:c r="N33" s="118" t="n">
        <x:v>0</x:v>
      </x:c>
      <x:c r="O33" s="118" t="n">
        <x:v>0</x:v>
      </x:c>
      <x:c r="P33" s="118" t="n">
        <x:v>0</x:v>
      </x:c>
      <x:c r="Q33" s="118" t="n">
        <x:v>0</x:v>
      </x:c>
      <x:c r="R33" s="118" t="n">
        <x:v>0</x:v>
      </x:c>
      <x:c r="S33" s="118" t="n">
        <x:v>0</x:v>
      </x:c>
      <x:c r="T33" s="118" t="n">
        <x:v>0</x:v>
      </x:c>
      <x:c r="U33" s="118" t="n">
        <x:v>0</x:v>
      </x:c>
      <x:c r="V33" s="118" t="n">
        <x:v>2</x:v>
      </x:c>
      <x:c r="W33" s="118" t="n">
        <x:v>0</x:v>
      </x:c>
      <x:c r="X33" s="118" t="n">
        <x:v>2</x:v>
      </x:c>
      <x:c r="Y33" s="118" t="n">
        <x:v>0</x:v>
      </x:c>
      <x:c r="Z33" s="118" t="n">
        <x:v>0</x:v>
      </x:c>
      <x:c r="AA33" s="118" t="n">
        <x:v>0</x:v>
      </x:c>
      <x:c r="AB33" s="118" t="n">
        <x:v>0</x:v>
      </x:c>
      <x:c r="AC33" s="118" t="n">
        <x:v>0</x:v>
      </x:c>
    </x:row>
    <x:row r="34" ht="46" customHeight="1">
      <x:c r="A34" s="117" t="str">
        <x:v>3005b000000LHrKAAW</x:v>
      </x:c>
      <x:c r="B34" s="117" t="str">
        <x:v>Auto_Create_IR_When_Manually_PA_ing_Asset</x:v>
      </x:c>
      <x:c r="C34" s="117" t="str">
        <x:v>No</x:v>
      </x:c>
      <x:c r="D34" s="119" t="str">
        <x:v>Latest inactive v2 (Retrieved XML)</x:v>
      </x:c>
      <x:c r="E34" s="119" t="str">
        <x:v>Check_In_Type__c EqualTo stringValue=Purchase | Ownership__c EqualTo stringValue=PROBO-US | Purchasing_Approved__c EqualTo booleanValue=true | Cost__c IsNull booleanValue=false</x:v>
      </x:c>
      <x:c r="F34" s="119" t="str">
        <x:v>Item_Receipt__c, ProductItem__c</x:v>
      </x:c>
      <x:c r="G34" s="119" t="str">
        <x:v>Check_In_Type__c, Cost__c, CurrencyIsoCode, Item_Receipt_Amount__c, Item_Receipt__c, Opportunity__c, Ownership__c, Purchasing_Approved__c, Purchasing_Opportunity__r, Submit_to_Accounting__c</x:v>
      </x:c>
      <x:c r="H34" s="119" t="str"/>
      <x:c r="I34" s="119" t="str"/>
      <x:c r="J34" s="119" t="str"/>
      <x:c r="K34" s="118" t="n">
        <x:v>4</x:v>
      </x:c>
      <x:c r="L34" s="118" t="n">
        <x:v>0</x:v>
      </x:c>
      <x:c r="M34" s="118" t="n">
        <x:v>0</x:v>
      </x:c>
      <x:c r="N34" s="118" t="n">
        <x:v>0</x:v>
      </x:c>
      <x:c r="O34" s="118" t="n">
        <x:v>0</x:v>
      </x:c>
      <x:c r="P34" s="118" t="n">
        <x:v>0</x:v>
      </x:c>
      <x:c r="Q34" s="118" t="n">
        <x:v>1</x:v>
      </x:c>
      <x:c r="R34" s="118" t="n">
        <x:v>0</x:v>
      </x:c>
      <x:c r="S34" s="118" t="n">
        <x:v>0</x:v>
      </x:c>
      <x:c r="T34" s="118" t="n">
        <x:v>1</x:v>
      </x:c>
      <x:c r="U34" s="118" t="n">
        <x:v>0</x:v>
      </x:c>
      <x:c r="V34" s="118" t="n">
        <x:v>0</x:v>
      </x:c>
      <x:c r="W34" s="118" t="n">
        <x:v>0</x:v>
      </x:c>
      <x:c r="X34" s="118" t="n">
        <x:v>1</x:v>
      </x:c>
      <x:c r="Y34" s="118" t="n">
        <x:v>0</x:v>
      </x:c>
      <x:c r="Z34" s="118" t="n">
        <x:v>0</x:v>
      </x:c>
      <x:c r="AA34" s="118" t="n">
        <x:v>0</x:v>
      </x:c>
      <x:c r="AB34" s="118" t="n">
        <x:v>0</x:v>
      </x:c>
      <x:c r="AC34" s="118" t="n">
        <x:v>0</x:v>
      </x:c>
    </x:row>
    <x:row r="35" ht="46" customHeight="1">
      <x:c r="A35" s="117" t="str">
        <x:v>300Ro00000UU24mIAD</x:v>
      </x:c>
      <x:c r="B35" s="117" t="str">
        <x:v>Auto_Create_Post_Repair_Eval_on_Opp</x:v>
      </x:c>
      <x:c r="C35" s="117" t="str">
        <x:v>Yes</x:v>
      </x:c>
      <x:c r="D35" s="119" t="str">
        <x:v>Active v1 (Retrieved XML)</x:v>
      </x:c>
      <x:c r="E35" s="119" t="str">
        <x:v>Opp_Record_Type__c EqualTo stringValue=Probe_Repair_Opportunity | Account_Always_Send_Post_Repair_Eval__c EqualTo booleanValue=true | Ship_Date__c IsNull booleanValue=false</x:v>
      </x:c>
      <x:c r="F35" s="119" t="str">
        <x:v>Evaluation_Natalie__c, Opportunity, RMA__c</x:v>
      </x:c>
      <x:c r="G35" s="119" t="str">
        <x:v>Account_Always_Send_Post_Repair_Eval__c, Associated_RMA__c, Id, Loaner_RMA__c, Opp_Record_Type__c, Opportunity_Number__c, Opportunity__c, Post_Repair_Evaluation__c, RMA_Type__c, Ship_Date__c, Tracking__c</x:v>
      </x:c>
      <x:c r="H35" s="119" t="str"/>
      <x:c r="I35" s="119" t="str"/>
      <x:c r="J35" s="119" t="str"/>
      <x:c r="K35" s="118" t="n">
        <x:v>3</x:v>
      </x:c>
      <x:c r="L35" s="118" t="n">
        <x:v>0</x:v>
      </x:c>
      <x:c r="M35" s="118" t="n">
        <x:v>0</x:v>
      </x:c>
      <x:c r="N35" s="118" t="n">
        <x:v>0</x:v>
      </x:c>
      <x:c r="O35" s="118" t="n">
        <x:v>0</x:v>
      </x:c>
      <x:c r="P35" s="118" t="n">
        <x:v>0</x:v>
      </x:c>
      <x:c r="Q35" s="118" t="n">
        <x:v>0</x:v>
      </x:c>
      <x:c r="R35" s="118" t="n">
        <x:v>0</x:v>
      </x:c>
      <x:c r="S35" s="118" t="n">
        <x:v>0</x:v>
      </x:c>
      <x:c r="T35" s="118" t="n">
        <x:v>1</x:v>
      </x:c>
      <x:c r="U35" s="118" t="n">
        <x:v>0</x:v>
      </x:c>
      <x:c r="V35" s="118" t="n">
        <x:v>1</x:v>
      </x:c>
      <x:c r="W35" s="118" t="n">
        <x:v>0</x:v>
      </x:c>
      <x:c r="X35" s="118" t="n">
        <x:v>0</x:v>
      </x:c>
      <x:c r="Y35" s="118" t="n">
        <x:v>0</x:v>
      </x:c>
      <x:c r="Z35" s="118" t="n">
        <x:v>0</x:v>
      </x:c>
      <x:c r="AA35" s="118" t="n">
        <x:v>0</x:v>
      </x:c>
      <x:c r="AB35" s="118" t="n">
        <x:v>0</x:v>
      </x:c>
      <x:c r="AC35" s="118" t="n">
        <x:v>0</x:v>
      </x:c>
    </x:row>
    <x:row r="36" ht="46" customHeight="1">
      <x:c r="A36" s="117" t="str">
        <x:v>3005b000000PzoUAAS</x:v>
      </x:c>
      <x:c r="B36" s="117" t="str">
        <x:v>Auto_Create_Refurb_System_Repair_from_Refurb_Test</x:v>
      </x:c>
      <x:c r="C36" s="117" t="str">
        <x:v>Yes</x:v>
      </x:c>
      <x:c r="D36" s="119" t="str">
        <x:v>Active v2 (Tooling metadata)</x:v>
      </x:c>
      <x:c r="E36" s="119" t="str">
        <x:v>Status__c EqualTo stringValue=Completed; booleanValue=; numberValue=; dateValue=; dateTimeValue=; elementReference=</x:v>
      </x:c>
      <x:c r="F36" s="119" t="str">
        <x:v>ProductItem__c, Product_Repair__c, Refurb_Part_Request__c</x:v>
      </x:c>
      <x:c r="G36" s="119" t="str">
        <x:v>Actual_Repair_Time__c, Asset_Assigned__r, Asset_used_during_repair__c, Product_Item__c, Product_Repair_Name__c, RecordTypeId, Refurb_Test_Consumed_By__c, Refurb_Test__c, Refurb_Test__r, Repair_Activity__c, Repair_Notes__c, Repair_Result__c, Repair_Technician__c, Repair_date__c, Status__c</x:v>
      </x:c>
      <x:c r="H36" s="119" t="str"/>
      <x:c r="I36" s="119" t="str"/>
      <x:c r="J36" s="119" t="str"/>
      <x:c r="K36" s="118" t="n">
        <x:v>5</x:v>
      </x:c>
      <x:c r="L36" s="118" t="n">
        <x:v>0</x:v>
      </x:c>
      <x:c r="M36" s="118" t="n">
        <x:v>0</x:v>
      </x:c>
      <x:c r="N36" s="118" t="n">
        <x:v>1</x:v>
      </x:c>
      <x:c r="O36" s="118" t="n">
        <x:v>0</x:v>
      </x:c>
      <x:c r="P36" s="118" t="n">
        <x:v>0</x:v>
      </x:c>
      <x:c r="Q36" s="118" t="n">
        <x:v>0</x:v>
      </x:c>
      <x:c r="R36" s="118" t="n">
        <x:v>1</x:v>
      </x:c>
      <x:c r="S36" s="118" t="n">
        <x:v>0</x:v>
      </x:c>
      <x:c r="T36" s="118" t="n">
        <x:v>1</x:v>
      </x:c>
      <x:c r="U36" s="118" t="n">
        <x:v>0</x:v>
      </x:c>
      <x:c r="V36" s="118" t="n">
        <x:v>1</x:v>
      </x:c>
      <x:c r="W36" s="118" t="n">
        <x:v>0</x:v>
      </x:c>
      <x:c r="X36" s="118" t="n">
        <x:v>0</x:v>
      </x:c>
      <x:c r="Y36" s="118" t="n">
        <x:v>0</x:v>
      </x:c>
      <x:c r="Z36" s="118" t="n">
        <x:v>0</x:v>
      </x:c>
      <x:c r="AA36" s="118" t="n">
        <x:v>0</x:v>
      </x:c>
      <x:c r="AB36" s="118" t="n">
        <x:v>0</x:v>
      </x:c>
      <x:c r="AC36" s="118" t="n">
        <x:v>0</x:v>
      </x:c>
    </x:row>
    <x:row r="37" ht="46" customHeight="1">
      <x:c r="A37" s="117" t="str">
        <x:v>3005b000000H497AAC</x:v>
      </x:c>
      <x:c r="B37" s="117" t="str">
        <x:v>Auto_Create_Return_Opportunity_for_Exchange_Purchasing_Ops</x:v>
      </x:c>
      <x:c r="C37" s="117" t="str">
        <x:v>Yes</x:v>
      </x:c>
      <x:c r="D37" s="119" t="str">
        <x:v>Active v13 (Retrieved XML)</x:v>
      </x:c>
      <x:c r="E37" s="119" t="str">
        <x:v>RecordTypeId EqualTo stringValue=012U0000000AFnFIAW | Exchange_or_Outright__c EqualTo stringValue=Exchange</x:v>
      </x:c>
      <x:c r="F37" s="119" t="str">
        <x:v>Opportunity</x:v>
      </x:c>
      <x:c r="G37" s="119" t="str">
        <x:v>Account, AccountId, Attention__c, CloseDate, CreatedDate, CurrencyIsoCode, Exchange_or_Outright__c, Id, Name, Opportunity_Notes__c, Opportunity_Number__c, PO_auto__c, RecordTypeId, Related_Opportunity__c, Return_Opportunity__c, ShippingCity__c, ShippingCountry__c, ShippingPostalCode__c, ShippingState__c, ShippingStreet__c, Shipping_FROM_Location__c, StageName</x:v>
      </x:c>
      <x:c r="H37" s="119" t="str"/>
      <x:c r="I37" s="119" t="str"/>
      <x:c r="J37" s="119" t="str"/>
      <x:c r="K37" s="118" t="n">
        <x:v>5</x:v>
      </x:c>
      <x:c r="L37" s="118" t="n">
        <x:v>0</x:v>
      </x:c>
      <x:c r="M37" s="118" t="n">
        <x:v>0</x:v>
      </x:c>
      <x:c r="N37" s="118" t="n">
        <x:v>1</x:v>
      </x:c>
      <x:c r="O37" s="118" t="n">
        <x:v>0</x:v>
      </x:c>
      <x:c r="P37" s="118" t="n">
        <x:v>0</x:v>
      </x:c>
      <x:c r="Q37" s="118" t="n">
        <x:v>0</x:v>
      </x:c>
      <x:c r="R37" s="118" t="n">
        <x:v>0</x:v>
      </x:c>
      <x:c r="S37" s="118" t="n">
        <x:v>0</x:v>
      </x:c>
      <x:c r="T37" s="118" t="n">
        <x:v>1</x:v>
      </x:c>
      <x:c r="U37" s="118" t="n">
        <x:v>0</x:v>
      </x:c>
      <x:c r="V37" s="118" t="n">
        <x:v>1</x:v>
      </x:c>
      <x:c r="W37" s="118" t="n">
        <x:v>0</x:v>
      </x:c>
      <x:c r="X37" s="118" t="n">
        <x:v>1</x:v>
      </x:c>
      <x:c r="Y37" s="118" t="n">
        <x:v>0</x:v>
      </x:c>
      <x:c r="Z37" s="118" t="n">
        <x:v>0</x:v>
      </x:c>
      <x:c r="AA37" s="118" t="n">
        <x:v>0</x:v>
      </x:c>
      <x:c r="AB37" s="118" t="n">
        <x:v>0</x:v>
      </x:c>
      <x:c r="AC37" s="118" t="n">
        <x:v>0</x:v>
      </x:c>
    </x:row>
    <x:row r="38" ht="46" customHeight="1">
      <x:c r="A38" s="117" t="str">
        <x:v>300Ro00000REVFiIAP</x:v>
      </x:c>
      <x:c r="B38" s="117" t="str">
        <x:v>Auto_Create_RMAs_from_Service_Appointments_for_UK</x:v>
      </x:c>
      <x:c r="C38" s="117" t="str">
        <x:v>Yes</x:v>
      </x:c>
      <x:c r="D38" s="119" t="str">
        <x:v>Active v7 (Retrieved XML)</x:v>
      </x:c>
      <x:c r="E38" s="119" t="str">
        <x:v>Ship_Date__c IsNull booleanValue=false | Country NotEqualTo stringValue=United States | Shipping_Address__CountryCode__s NotEqualTo stringValue=United States</x:v>
      </x:c>
      <x:c r="F38" s="119" t="str">
        <x:v>RMA__c, ServiceAppointment, WorkOrderLineItem</x:v>
      </x:c>
      <x:c r="G38" s="119" t="str">
        <x:v>Country, CurrencyIsoCode, Customer_Expectation__c, Id, Opportunity__c, Other_Notes__c, ProductItem__c, Quality_Issue_Notes__c, Quality_Issue_Reported__c, RecordTypeId, Service_Appointment__c, Service_Contract__c, Ship_Date__c, Shipping_Address__CountryCode__s, Work_Order__c, Work_Order__r</x:v>
      </x:c>
      <x:c r="H38" s="119" t="str"/>
      <x:c r="I38" s="119" t="str"/>
      <x:c r="J38" s="119" t="str"/>
      <x:c r="K38" s="118" t="n">
        <x:v>8</x:v>
      </x:c>
      <x:c r="L38" s="118" t="n">
        <x:v>0</x:v>
      </x:c>
      <x:c r="M38" s="118" t="n">
        <x:v>0</x:v>
      </x:c>
      <x:c r="N38" s="118" t="n">
        <x:v>1</x:v>
      </x:c>
      <x:c r="O38" s="118" t="n">
        <x:v>0</x:v>
      </x:c>
      <x:c r="P38" s="118" t="n">
        <x:v>0</x:v>
      </x:c>
      <x:c r="Q38" s="118" t="n">
        <x:v>0</x:v>
      </x:c>
      <x:c r="R38" s="118" t="n">
        <x:v>1</x:v>
      </x:c>
      <x:c r="S38" s="118" t="n">
        <x:v>0</x:v>
      </x:c>
      <x:c r="T38" s="118" t="n">
        <x:v>1</x:v>
      </x:c>
      <x:c r="U38" s="118" t="n">
        <x:v>0</x:v>
      </x:c>
      <x:c r="V38" s="118" t="n">
        <x:v>2</x:v>
      </x:c>
      <x:c r="W38" s="118" t="n">
        <x:v>0</x:v>
      </x:c>
      <x:c r="X38" s="118" t="n">
        <x:v>1</x:v>
      </x:c>
      <x:c r="Y38" s="118" t="n">
        <x:v>0</x:v>
      </x:c>
      <x:c r="Z38" s="118" t="n">
        <x:v>0</x:v>
      </x:c>
      <x:c r="AA38" s="118" t="n">
        <x:v>0</x:v>
      </x:c>
      <x:c r="AB38" s="118" t="n">
        <x:v>1</x:v>
      </x:c>
      <x:c r="AC38" s="118" t="n">
        <x:v>0</x:v>
      </x:c>
    </x:row>
    <x:row r="39" ht="46" customHeight="1">
      <x:c r="A39" s="117" t="str">
        <x:v>3005b000000LGuSAAW</x:v>
      </x:c>
      <x:c r="B39" s="117" t="str">
        <x:v>Auto_Create_RMAs_from_Work_Orders_for_UK</x:v>
      </x:c>
      <x:c r="C39" s="117" t="str">
        <x:v>Yes</x:v>
      </x:c>
      <x:c r="D39" s="119" t="str">
        <x:v>Active v11 (Retrieved XML)</x:v>
      </x:c>
      <x:c r="E39" s="119" t="str">
        <x:v>Ship_Date__c IsNull booleanValue=false | RecordTypeId EqualTo stringValue=0125b000000LW89AAG | RecordTypeId EqualTo stringValue=0124O000000tDuBQAU | Shipping_FROM_Location__c EqualTo stringValue=Gloucester, UK | Shipping_FROM_Location__c EqualTo stringValue=Bristol, UK | Shipping_FROM_Location__c EqualTo stringValue=Nottingham, UK</x:v>
      </x:c>
      <x:c r="F39" s="119" t="str">
        <x:v>RMA__c, WorkOrder, WorkOrderLineItem</x:v>
      </x:c>
      <x:c r="G39" s="119" t="str">
        <x:v>CurrencyIsoCode, Customer_Expectation__c, Id, Opportunity__c, Other_Notes__c, ProductItem__c, Quality_Issue_Notes__c, Quality_Issue_Reported__c, RecordTypeId, ServiceContractId, Service_Contract__c, Ship_Date__c, Shipping_FROM_Location__c, WorkOrderId, Work_Order_ID__c, Work_Order__c</x:v>
      </x:c>
      <x:c r="H39" s="119" t="str"/>
      <x:c r="I39" s="119" t="str"/>
      <x:c r="J39" s="119" t="str"/>
      <x:c r="K39" s="118" t="n">
        <x:v>5</x:v>
      </x:c>
      <x:c r="L39" s="118" t="n">
        <x:v>0</x:v>
      </x:c>
      <x:c r="M39" s="118" t="n">
        <x:v>0</x:v>
      </x:c>
      <x:c r="N39" s="118" t="n">
        <x:v>1</x:v>
      </x:c>
      <x:c r="O39" s="118" t="n">
        <x:v>0</x:v>
      </x:c>
      <x:c r="P39" s="118" t="n">
        <x:v>0</x:v>
      </x:c>
      <x:c r="Q39" s="118" t="n">
        <x:v>0</x:v>
      </x:c>
      <x:c r="R39" s="118" t="n">
        <x:v>1</x:v>
      </x:c>
      <x:c r="S39" s="118" t="n">
        <x:v>0</x:v>
      </x:c>
      <x:c r="T39" s="118" t="n">
        <x:v>1</x:v>
      </x:c>
      <x:c r="U39" s="118" t="n">
        <x:v>0</x:v>
      </x:c>
      <x:c r="V39" s="118" t="n">
        <x:v>1</x:v>
      </x:c>
      <x:c r="W39" s="118" t="n">
        <x:v>0</x:v>
      </x:c>
      <x:c r="X39" s="118" t="n">
        <x:v>0</x:v>
      </x:c>
      <x:c r="Y39" s="118" t="n">
        <x:v>0</x:v>
      </x:c>
      <x:c r="Z39" s="118" t="n">
        <x:v>0</x:v>
      </x:c>
      <x:c r="AA39" s="118" t="n">
        <x:v>0</x:v>
      </x:c>
      <x:c r="AB39" s="118" t="n">
        <x:v>0</x:v>
      </x:c>
      <x:c r="AC39" s="118" t="n">
        <x:v>0</x:v>
      </x:c>
    </x:row>
    <x:row r="40" ht="46" customHeight="1">
      <x:c r="A40" s="117" t="str">
        <x:v>300Ro00000cwVgfIAE</x:v>
      </x:c>
      <x:c r="B40" s="117" t="str">
        <x:v>Autolaunched_Create_Service_or_Sales_Asset</x:v>
      </x:c>
      <x:c r="C40" s="117" t="str">
        <x:v>No</x:v>
      </x:c>
      <x:c r="D40" s="119" t="str">
        <x:v>Latest inactive v1 (Retrieved XML)</x:v>
      </x:c>
      <x:c r="E40" s="119" t="str"/>
      <x:c r="F40" s="119" t="str">
        <x:v>Asset, ProductItem__c</x:v>
      </x:c>
      <x:c r="G40" s="119" t="str">
        <x:v>AccountId, Asset_Model_No__c, CurrencyIsoCode, Estimated_Sales_Price__c, Id, LocationId, Name, OEM_Serial__c, Price, Product2Id, Product_Name__c, Sales_Asset__c, SerialNumber, Serial_No__c, null__NotFound</x:v>
      </x:c>
      <x:c r="H40" s="119" t="str"/>
      <x:c r="I40" s="119" t="str"/>
      <x:c r="J40" s="119" t="str"/>
      <x:c r="K40" s="118" t="n">
        <x:v>8</x:v>
      </x:c>
      <x:c r="L40" s="118" t="n">
        <x:v>0</x:v>
      </x:c>
      <x:c r="M40" s="118" t="n">
        <x:v>0</x:v>
      </x:c>
      <x:c r="N40" s="118" t="n">
        <x:v>2</x:v>
      </x:c>
      <x:c r="O40" s="118" t="n">
        <x:v>0</x:v>
      </x:c>
      <x:c r="P40" s="118" t="n">
        <x:v>0</x:v>
      </x:c>
      <x:c r="Q40" s="118" t="n">
        <x:v>1</x:v>
      </x:c>
      <x:c r="R40" s="118" t="n">
        <x:v>0</x:v>
      </x:c>
      <x:c r="S40" s="118" t="n">
        <x:v>0</x:v>
      </x:c>
      <x:c r="T40" s="118" t="n">
        <x:v>2</x:v>
      </x:c>
      <x:c r="U40" s="118" t="n">
        <x:v>0</x:v>
      </x:c>
      <x:c r="V40" s="118" t="n">
        <x:v>2</x:v>
      </x:c>
      <x:c r="W40" s="118" t="n">
        <x:v>0</x:v>
      </x:c>
      <x:c r="X40" s="118" t="n">
        <x:v>0</x:v>
      </x:c>
      <x:c r="Y40" s="118" t="n">
        <x:v>0</x:v>
      </x:c>
      <x:c r="Z40" s="118" t="n">
        <x:v>0</x:v>
      </x:c>
      <x:c r="AA40" s="118" t="n">
        <x:v>0</x:v>
      </x:c>
      <x:c r="AB40" s="118" t="n">
        <x:v>0</x:v>
      </x:c>
      <x:c r="AC40" s="118" t="n">
        <x:v>0</x:v>
      </x:c>
    </x:row>
    <x:row r="41" ht="46" customHeight="1">
      <x:c r="A41" s="117" t="str">
        <x:v>3005b000000LGdgAAG</x:v>
      </x:c>
      <x:c r="B41" s="117" t="str">
        <x:v>Automated_Collections_Template</x:v>
      </x:c>
      <x:c r="C41" s="117" t="str">
        <x:v>No</x:v>
      </x:c>
      <x:c r="D41" s="119" t="str">
        <x:v>Latest inactive v2 (Tooling metadata)</x:v>
      </x:c>
      <x:c r="E41" s="119" t="str"/>
      <x:c r="F41" s="119" t="str">
        <x:v>ChargentBase__Gateway__c, ChargentOrders__ChargentOrder__c, ChargentOrders__Chargent_AC_Configuration__c</x:v>
      </x:c>
      <x:c r="G41" s="119" t="str">
        <x:v>ChargentBase__Active__c, ChargentOrders__Balance_Due__c, ChargentOrders__Charge_Amount__c, ChargentOrders__Enabled__c, ChargentOrders__Gateway__c, ChargentOrders__Payment_Frequency__c, ChargentOrders__Payment_Method__c, ChargentOrders__Payment_Status__c, ChargentOrders__Process_Name__c, Id</x:v>
      </x:c>
      <x:c r="H41" s="119" t="str">
        <x:v>ChargentBase__ACFlowCreate</x:v>
      </x:c>
      <x:c r="I41" s="119" t="str"/>
      <x:c r="J41" s="119" t="str"/>
      <x:c r="K41" s="118" t="n">
        <x:v>10</x:v>
      </x:c>
      <x:c r="L41" s="118" t="n">
        <x:v>1</x:v>
      </x:c>
      <x:c r="M41" s="118" t="n">
        <x:v>0</x:v>
      </x:c>
      <x:c r="N41" s="118" t="n">
        <x:v>1</x:v>
      </x:c>
      <x:c r="O41" s="118" t="n">
        <x:v>0</x:v>
      </x:c>
      <x:c r="P41" s="118" t="n">
        <x:v>0</x:v>
      </x:c>
      <x:c r="Q41" s="118" t="n">
        <x:v>1</x:v>
      </x:c>
      <x:c r="R41" s="118" t="n">
        <x:v>1</x:v>
      </x:c>
      <x:c r="S41" s="118" t="n">
        <x:v>0</x:v>
      </x:c>
      <x:c r="T41" s="118" t="n">
        <x:v>0</x:v>
      </x:c>
      <x:c r="U41" s="118" t="n">
        <x:v>0</x:v>
      </x:c>
      <x:c r="V41" s="118" t="n">
        <x:v>2</x:v>
      </x:c>
      <x:c r="W41" s="118" t="n">
        <x:v>0</x:v>
      </x:c>
      <x:c r="X41" s="118" t="n">
        <x:v>0</x:v>
      </x:c>
      <x:c r="Y41" s="118" t="n">
        <x:v>3</x:v>
      </x:c>
      <x:c r="Z41" s="118" t="n">
        <x:v>0</x:v>
      </x:c>
      <x:c r="AA41" s="118" t="n">
        <x:v>0</x:v>
      </x:c>
      <x:c r="AB41" s="118" t="n">
        <x:v>0</x:v>
      </x:c>
      <x:c r="AC41" s="118" t="n">
        <x:v>0</x:v>
      </x:c>
    </x:row>
    <x:row r="42" ht="46" customHeight="1">
      <x:c r="A42" s="117" t="str">
        <x:v>3004O000000LOrqQAG</x:v>
      </x:c>
      <x:c r="B42" s="117" t="str">
        <x:v>AvaTax_Account_Update_AvaTax_Exemption_Message</x:v>
      </x:c>
      <x:c r="C42" s="117" t="str">
        <x:v>No</x:v>
      </x:c>
      <x:c r="D42" s="119" t="str">
        <x:v>Latest inactive v2 (Tooling metadata)</x:v>
      </x:c>
      <x:c r="E42" s="119" t="str"/>
      <x:c r="F42" s="119" t="str">
        <x:v>Account</x:v>
      </x:c>
      <x:c r="G42" s="119" t="str">
        <x:v>AVA_SFCLOUD__AvaTax_Message__c, Id</x:v>
      </x:c>
      <x:c r="H42" s="119" t="str"/>
      <x:c r="I42" s="119" t="str"/>
      <x:c r="J42" s="119" t="str"/>
      <x:c r="K42" s="118" t="n">
        <x:v>9</x:v>
      </x:c>
      <x:c r="L42" s="118" t="n">
        <x:v>0</x:v>
      </x:c>
      <x:c r="M42" s="118" t="n">
        <x:v>0</x:v>
      </x:c>
      <x:c r="N42" s="118" t="n">
        <x:v>0</x:v>
      </x:c>
      <x:c r="O42" s="118" t="n">
        <x:v>0</x:v>
      </x:c>
      <x:c r="P42" s="118" t="n">
        <x:v>0</x:v>
      </x:c>
      <x:c r="Q42" s="118" t="n">
        <x:v>8</x:v>
      </x:c>
      <x:c r="R42" s="118" t="n">
        <x:v>0</x:v>
      </x:c>
      <x:c r="S42" s="118" t="n">
        <x:v>0</x:v>
      </x:c>
      <x:c r="T42" s="118" t="n">
        <x:v>0</x:v>
      </x:c>
      <x:c r="U42" s="118" t="n">
        <x:v>0</x:v>
      </x:c>
      <x:c r="V42" s="118" t="n">
        <x:v>0</x:v>
      </x:c>
      <x:c r="W42" s="118" t="n">
        <x:v>0</x:v>
      </x:c>
      <x:c r="X42" s="118" t="n">
        <x:v>1</x:v>
      </x:c>
      <x:c r="Y42" s="118" t="n">
        <x:v>0</x:v>
      </x:c>
      <x:c r="Z42" s="118" t="n">
        <x:v>0</x:v>
      </x:c>
      <x:c r="AA42" s="118" t="n">
        <x:v>0</x:v>
      </x:c>
      <x:c r="AB42" s="118" t="n">
        <x:v>0</x:v>
      </x:c>
      <x:c r="AC42" s="118" t="n">
        <x:v>0</x:v>
      </x:c>
    </x:row>
    <x:row r="43" ht="46" customHeight="1">
      <x:c r="A43" s="117" t="str">
        <x:v>300Ro000007DpzxIAC</x:v>
      </x:c>
      <x:c r="B43" s="117" t="str">
        <x:v>AvaTax_Account_Update_AvaTax_Exemption_Message_Flow</x:v>
      </x:c>
      <x:c r="C43" s="117" t="str">
        <x:v>Yes</x:v>
      </x:c>
      <x:c r="D43" s="119" t="str">
        <x:v>Active v1 (Tooling metadata)</x:v>
      </x:c>
      <x:c r="E43" s="119" t="str">
        <x:v>Name IsChanged stringValue=; booleanValue=True; numberValue=; dateValue=; dateTimeValue=; elementReference= | BillingStreet IsChanged stringValue=; booleanValue=True; numberValue=; dateValue=; dateTimeValue=; elementReference= | BillingCity IsChanged stringValue=; booleanValue=True; numberValue=; dateValue=; dateTimeValue=; elementReference= | BillingState IsChanged stringValue=; booleanValue=True; numberValue=; dateValue=; dateTimeValue=; elementReference= | BillingCountry IsChanged stringValue=; booleanValue=True; numberValue=; dateValue=; dateTimeValue=; elementReference= | BillingPostalCode IsChanged stringValue=; booleanValue=True; numberValue=; dateValue=; dateTimeValue=; elementReference= | AVA_SFCLOUD__Email__c IsChanged stringValue=; booleanValue=True; numberValue=; dateValue=; dateTimeValue=; elementReference=</x:v>
      </x:c>
      <x:c r="F43" s="119" t="str">
        <x:v>Account</x:v>
      </x:c>
      <x:c r="G43" s="119" t="str">
        <x:v>AVA_SFCLOUD__AvaTax_Message__c, AVA_SFCLOUD__Email__c, BillingCity, BillingCountry, BillingPostalCode, BillingState, BillingStreet, Name</x:v>
      </x:c>
      <x:c r="H43" s="119" t="str"/>
      <x:c r="I43" s="119" t="str"/>
      <x:c r="J43" s="119" t="str"/>
      <x:c r="K43" s="118" t="n">
        <x:v>2</x:v>
      </x:c>
      <x:c r="L43" s="118" t="n">
        <x:v>0</x:v>
      </x:c>
      <x:c r="M43" s="118" t="n">
        <x:v>0</x:v>
      </x:c>
      <x:c r="N43" s="118" t="n">
        <x:v>0</x:v>
      </x:c>
      <x:c r="O43" s="118" t="n">
        <x:v>0</x:v>
      </x:c>
      <x:c r="P43" s="118" t="n">
        <x:v>0</x:v>
      </x:c>
      <x:c r="Q43" s="118" t="n">
        <x:v>0</x:v>
      </x:c>
      <x:c r="R43" s="118" t="n">
        <x:v>0</x:v>
      </x:c>
      <x:c r="S43" s="118" t="n">
        <x:v>0</x:v>
      </x:c>
      <x:c r="T43" s="118" t="n">
        <x:v>0</x:v>
      </x:c>
      <x:c r="U43" s="118" t="n">
        <x:v>0</x:v>
      </x:c>
      <x:c r="V43" s="118" t="n">
        <x:v>0</x:v>
      </x:c>
      <x:c r="W43" s="118" t="n">
        <x:v>0</x:v>
      </x:c>
      <x:c r="X43" s="118" t="n">
        <x:v>1</x:v>
      </x:c>
      <x:c r="Y43" s="118" t="n">
        <x:v>0</x:v>
      </x:c>
      <x:c r="Z43" s="118" t="n">
        <x:v>0</x:v>
      </x:c>
      <x:c r="AA43" s="118" t="n">
        <x:v>0</x:v>
      </x:c>
      <x:c r="AB43" s="118" t="n">
        <x:v>0</x:v>
      </x:c>
      <x:c r="AC43" s="118" t="n">
        <x:v>0</x:v>
      </x:c>
    </x:row>
    <x:row r="44" ht="46" customHeight="1">
      <x:c r="A44" s="117" t="str">
        <x:v>300Ro000010J2teIAC</x:v>
      </x:c>
      <x:c r="B44" s="117" t="str">
        <x:v>Avatax_Application_Log_Consumer</x:v>
      </x:c>
      <x:c r="C44" s="117" t="str">
        <x:v>Yes</x:v>
      </x:c>
      <x:c r="D44" s="119" t="str">
        <x:v>Active v1 (Tooling metadata)</x:v>
      </x:c>
      <x:c r="E44" s="119" t="str"/>
      <x:c r="F44" s="119" t="str"/>
      <x:c r="G44" s="119" t="str"/>
      <x:c r="H44" s="119" t="str"/>
      <x:c r="I44" s="119" t="str"/>
      <x:c r="J44" s="119" t="str"/>
      <x:c r="K44" s="118" t="n">
        <x:v>0</x:v>
      </x:c>
      <x:c r="L44" s="118" t="n">
        <x:v>0</x:v>
      </x:c>
      <x:c r="M44" s="118" t="n">
        <x:v>0</x:v>
      </x:c>
      <x:c r="N44" s="118" t="n">
        <x:v>0</x:v>
      </x:c>
      <x:c r="O44" s="118" t="n">
        <x:v>0</x:v>
      </x:c>
      <x:c r="P44" s="118" t="n">
        <x:v>0</x:v>
      </x:c>
      <x:c r="Q44" s="118" t="n">
        <x:v>0</x:v>
      </x:c>
      <x:c r="R44" s="118" t="n">
        <x:v>0</x:v>
      </x:c>
      <x:c r="S44" s="118" t="n">
        <x:v>0</x:v>
      </x:c>
      <x:c r="T44" s="118" t="n">
        <x:v>0</x:v>
      </x:c>
      <x:c r="U44" s="118" t="n">
        <x:v>0</x:v>
      </x:c>
      <x:c r="V44" s="118" t="n">
        <x:v>0</x:v>
      </x:c>
      <x:c r="W44" s="118" t="n">
        <x:v>0</x:v>
      </x:c>
      <x:c r="X44" s="118" t="n">
        <x:v>0</x:v>
      </x:c>
      <x:c r="Y44" s="118" t="n">
        <x:v>0</x:v>
      </x:c>
      <x:c r="Z44" s="118" t="n">
        <x:v>0</x:v>
      </x:c>
      <x:c r="AA44" s="118" t="n">
        <x:v>0</x:v>
      </x:c>
      <x:c r="AB44" s="118" t="n">
        <x:v>0</x:v>
      </x:c>
      <x:c r="AC44" s="118" t="n">
        <x:v>0</x:v>
      </x:c>
    </x:row>
    <x:row r="45" ht="46" customHeight="1">
      <x:c r="A45" s="117" t="str">
        <x:v>300Ro000007DpzyIAC</x:v>
      </x:c>
      <x:c r="B45" s="117" t="str">
        <x:v>AvaTax_Exemption_Certificate_Certificate_Status_Update</x:v>
      </x:c>
      <x:c r="C45" s="117" t="str">
        <x:v>Yes</x:v>
      </x:c>
      <x:c r="D45" s="119" t="str">
        <x:v>Active v2 (Tooling metadata)</x:v>
      </x:c>
      <x:c r="E45" s="119" t="str"/>
      <x:c r="F45" s="119" t="str">
        <x:v>AVA_SFCLOUD__TaxExemptionCertificate__c</x:v>
      </x:c>
      <x:c r="G45" s="119" t="str">
        <x:v>AVA_SFCLOUD__Avalara_Certificate_Id__c, AVA_SFCLOUD__Certificate_Status__c, AVA_SFCLOUD__DateIssued__c, AVA_SFCLOUD__Exemption_Reason__c, AVA_SFCLOUD__ExpirationDate__c, AVA_SFCLOUD__Exposure_Zone__c, Name</x:v>
      </x:c>
      <x:c r="H45" s="119" t="str"/>
      <x:c r="I45" s="119" t="str"/>
      <x:c r="J45" s="119" t="str"/>
      <x:c r="K45" s="118" t="n">
        <x:v>5</x:v>
      </x:c>
      <x:c r="L45" s="118" t="n">
        <x:v>0</x:v>
      </x:c>
      <x:c r="M45" s="118" t="n">
        <x:v>0</x:v>
      </x:c>
      <x:c r="N45" s="118" t="n">
        <x:v>0</x:v>
      </x:c>
      <x:c r="O45" s="118" t="n">
        <x:v>0</x:v>
      </x:c>
      <x:c r="P45" s="118" t="n">
        <x:v>0</x:v>
      </x:c>
      <x:c r="Q45" s="118" t="n">
        <x:v>2</x:v>
      </x:c>
      <x:c r="R45" s="118" t="n">
        <x:v>0</x:v>
      </x:c>
      <x:c r="S45" s="118" t="n">
        <x:v>0</x:v>
      </x:c>
      <x:c r="T45" s="118" t="n">
        <x:v>0</x:v>
      </x:c>
      <x:c r="U45" s="118" t="n">
        <x:v>0</x:v>
      </x:c>
      <x:c r="V45" s="118" t="n">
        <x:v>0</x:v>
      </x:c>
      <x:c r="W45" s="118" t="n">
        <x:v>0</x:v>
      </x:c>
      <x:c r="X45" s="118" t="n">
        <x:v>2</x:v>
      </x:c>
      <x:c r="Y45" s="118" t="n">
        <x:v>0</x:v>
      </x:c>
      <x:c r="Z45" s="118" t="n">
        <x:v>0</x:v>
      </x:c>
      <x:c r="AA45" s="118" t="n">
        <x:v>0</x:v>
      </x:c>
      <x:c r="AB45" s="118" t="n">
        <x:v>0</x:v>
      </x:c>
      <x:c r="AC45" s="118" t="n">
        <x:v>0</x:v>
      </x:c>
    </x:row>
    <x:row r="46" ht="46" customHeight="1">
      <x:c r="A46" s="117" t="str">
        <x:v>3004O000000LOrrQAG</x:v>
      </x:c>
      <x:c r="B46" s="117" t="str">
        <x:v>AvaTax_Exemption_Certificate_Update_Certificate_Status</x:v>
      </x:c>
      <x:c r="C46" s="117" t="str">
        <x:v>No</x:v>
      </x:c>
      <x:c r="D46" s="119" t="str">
        <x:v>Latest inactive v2 (Tooling metadata)</x:v>
      </x:c>
      <x:c r="E46" s="119" t="str"/>
      <x:c r="F46" s="119" t="str">
        <x:v>AVA_SFCLOUD__TaxExemptionCertificate__c</x:v>
      </x:c>
      <x:c r="G46" s="119" t="str">
        <x:v>AVA_SFCLOUD__Certificate_Status__c, Id</x:v>
      </x:c>
      <x:c r="H46" s="119" t="str"/>
      <x:c r="I46" s="119" t="str"/>
      <x:c r="J46" s="119" t="str"/>
      <x:c r="K46" s="118" t="n">
        <x:v>9</x:v>
      </x:c>
      <x:c r="L46" s="118" t="n">
        <x:v>0</x:v>
      </x:c>
      <x:c r="M46" s="118" t="n">
        <x:v>0</x:v>
      </x:c>
      <x:c r="N46" s="118" t="n">
        <x:v>0</x:v>
      </x:c>
      <x:c r="O46" s="118" t="n">
        <x:v>0</x:v>
      </x:c>
      <x:c r="P46" s="118" t="n">
        <x:v>0</x:v>
      </x:c>
      <x:c r="Q46" s="118" t="n">
        <x:v>7</x:v>
      </x:c>
      <x:c r="R46" s="118" t="n">
        <x:v>0</x:v>
      </x:c>
      <x:c r="S46" s="118" t="n">
        <x:v>0</x:v>
      </x:c>
      <x:c r="T46" s="118" t="n">
        <x:v>0</x:v>
      </x:c>
      <x:c r="U46" s="118" t="n">
        <x:v>0</x:v>
      </x:c>
      <x:c r="V46" s="118" t="n">
        <x:v>0</x:v>
      </x:c>
      <x:c r="W46" s="118" t="n">
        <x:v>0</x:v>
      </x:c>
      <x:c r="X46" s="118" t="n">
        <x:v>2</x:v>
      </x:c>
      <x:c r="Y46" s="118" t="n">
        <x:v>0</x:v>
      </x:c>
      <x:c r="Z46" s="118" t="n">
        <x:v>0</x:v>
      </x:c>
      <x:c r="AA46" s="118" t="n">
        <x:v>0</x:v>
      </x:c>
      <x:c r="AB46" s="118" t="n">
        <x:v>0</x:v>
      </x:c>
      <x:c r="AC46" s="118" t="n">
        <x:v>0</x:v>
      </x:c>
    </x:row>
    <x:row r="47" ht="46" customHeight="1">
      <x:c r="A47" s="117" t="str">
        <x:v>3004O000000LOrsQAG</x:v>
      </x:c>
      <x:c r="B47" s="117" t="str">
        <x:v>AvaTax_Opportunity_Automatic_Tax_Calculation</x:v>
      </x:c>
      <x:c r="C47" s="117" t="str">
        <x:v>No</x:v>
      </x:c>
      <x:c r="D47" s="119" t="str">
        <x:v>Latest inactive v8 (Tooling metadata)</x:v>
      </x:c>
      <x:c r="E47" s="119" t="str"/>
      <x:c r="F47" s="119" t="str">
        <x:v>Opportunity</x:v>
      </x:c>
      <x:c r="G47" s="119" t="str">
        <x:v>AVA_SFCLOUD__AvaTax_Message__c, AVA_SFCLOUD__Calculate_Tax__c, Id</x:v>
      </x:c>
      <x:c r="H47" s="119" t="str">
        <x:v>AVA_SFCLOUD__OpportunityTaxCalculator</x:v>
      </x:c>
      <x:c r="I47" s="119" t="str"/>
      <x:c r="J47" s="119" t="str"/>
      <x:c r="K47" s="118" t="n">
        <x:v>3</x:v>
      </x:c>
      <x:c r="L47" s="118" t="n">
        <x:v>1</x:v>
      </x:c>
      <x:c r="M47" s="118" t="n">
        <x:v>0</x:v>
      </x:c>
      <x:c r="N47" s="118" t="n">
        <x:v>0</x:v>
      </x:c>
      <x:c r="O47" s="118" t="n">
        <x:v>0</x:v>
      </x:c>
      <x:c r="P47" s="118" t="n">
        <x:v>0</x:v>
      </x:c>
      <x:c r="Q47" s="118" t="n">
        <x:v>1</x:v>
      </x:c>
      <x:c r="R47" s="118" t="n">
        <x:v>0</x:v>
      </x:c>
      <x:c r="S47" s="118" t="n">
        <x:v>0</x:v>
      </x:c>
      <x:c r="T47" s="118" t="n">
        <x:v>0</x:v>
      </x:c>
      <x:c r="U47" s="118" t="n">
        <x:v>0</x:v>
      </x:c>
      <x:c r="V47" s="118" t="n">
        <x:v>0</x:v>
      </x:c>
      <x:c r="W47" s="118" t="n">
        <x:v>0</x:v>
      </x:c>
      <x:c r="X47" s="118" t="n">
        <x:v>1</x:v>
      </x:c>
      <x:c r="Y47" s="118" t="n">
        <x:v>0</x:v>
      </x:c>
      <x:c r="Z47" s="118" t="n">
        <x:v>0</x:v>
      </x:c>
      <x:c r="AA47" s="118" t="n">
        <x:v>0</x:v>
      </x:c>
      <x:c r="AB47" s="118" t="n">
        <x:v>0</x:v>
      </x:c>
      <x:c r="AC47" s="118" t="n">
        <x:v>0</x:v>
      </x:c>
    </x:row>
    <x:row r="48" ht="46" customHeight="1">
      <x:c r="A48" s="117" t="str">
        <x:v>300Ro000007Dq0AIAS</x:v>
      </x:c>
      <x:c r="B48" s="117" t="str">
        <x:v>AvaTax_Opportunity_Automatic_Tax_Calculation_Flow</x:v>
      </x:c>
      <x:c r="C48" s="117" t="str">
        <x:v>Yes</x:v>
      </x:c>
      <x:c r="D48" s="119" t="str">
        <x:v>Active v6 (Tooling metadata)</x:v>
      </x:c>
      <x:c r="E48" s="119" t="str">
        <x:v>AVA_SFCLOUD__Calculate_Tax__c EqualTo stringValue=; booleanValue=True; numberValue=; dateValue=; dateTimeValue=; elementReference=</x:v>
      </x:c>
      <x:c r="F48" s="119" t="str">
        <x:v>AVA_SFCLOUD__AvaTax__c, Opportunity, OpportunityLineItem</x:v>
      </x:c>
      <x:c r="G48" s="119" t="str">
        <x:v>AVA_SFCLOUD__AvaTax_Message__c, AVA_SFCLOUD__Calculate_Tax__c, Id, OpportunityId</x:v>
      </x:c>
      <x:c r="H48" s="119" t="str">
        <x:v>AVA_SFCLOUD__OpportunityTaxCalculator</x:v>
      </x:c>
      <x:c r="I48" s="119" t="str"/>
      <x:c r="J48" s="119" t="str"/>
      <x:c r="K48" s="118" t="n">
        <x:v>9</x:v>
      </x:c>
      <x:c r="L48" s="118" t="n">
        <x:v>2</x:v>
      </x:c>
      <x:c r="M48" s="118" t="n">
        <x:v>0</x:v>
      </x:c>
      <x:c r="N48" s="118" t="n">
        <x:v>1</x:v>
      </x:c>
      <x:c r="O48" s="118" t="n">
        <x:v>0</x:v>
      </x:c>
      <x:c r="P48" s="118" t="n">
        <x:v>0</x:v>
      </x:c>
      <x:c r="Q48" s="118" t="n">
        <x:v>1</x:v>
      </x:c>
      <x:c r="R48" s="118" t="n">
        <x:v>0</x:v>
      </x:c>
      <x:c r="S48" s="118" t="n">
        <x:v>0</x:v>
      </x:c>
      <x:c r="T48" s="118" t="n">
        <x:v>0</x:v>
      </x:c>
      <x:c r="U48" s="118" t="n">
        <x:v>0</x:v>
      </x:c>
      <x:c r="V48" s="118" t="n">
        <x:v>2</x:v>
      </x:c>
      <x:c r="W48" s="118" t="n">
        <x:v>0</x:v>
      </x:c>
      <x:c r="X48" s="118" t="n">
        <x:v>2</x:v>
      </x:c>
      <x:c r="Y48" s="118" t="n">
        <x:v>0</x:v>
      </x:c>
      <x:c r="Z48" s="118" t="n">
        <x:v>0</x:v>
      </x:c>
      <x:c r="AA48" s="118" t="n">
        <x:v>0</x:v>
      </x:c>
      <x:c r="AB48" s="118" t="n">
        <x:v>0</x:v>
      </x:c>
      <x:c r="AC48" s="118" t="n">
        <x:v>0</x:v>
      </x:c>
    </x:row>
    <x:row r="49" ht="46" customHeight="1">
      <x:c r="A49" s="117" t="str">
        <x:v>3004O000000LOrtQAG</x:v>
      </x:c>
      <x:c r="B49" s="117" t="str">
        <x:v>AvaTax_Opportunity_Existing_Update_Entity_Code_IOR</x:v>
      </x:c>
      <x:c r="C49" s="117" t="str">
        <x:v>No</x:v>
      </x:c>
      <x:c r="D49" s="119" t="str">
        <x:v>Latest inactive v4 (Tooling metadata)</x:v>
      </x:c>
      <x:c r="E49" s="119" t="str"/>
      <x:c r="F49" s="119" t="str">
        <x:v>Opportunity</x:v>
      </x:c>
      <x:c r="G49" s="119" t="str">
        <x:v>AVA_SFCLOUD__Entity_Use_Code__c, AVA_SFCLOUD__Is_Seller_Importer_Of_Record__c, AVA_SFCLOUD__Transport__c, Id</x:v>
      </x:c>
      <x:c r="H49" s="119" t="str"/>
      <x:c r="I49" s="119" t="str"/>
      <x:c r="J49" s="119" t="str"/>
      <x:c r="K49" s="118" t="n">
        <x:v>3</x:v>
      </x:c>
      <x:c r="L49" s="118" t="n">
        <x:v>0</x:v>
      </x:c>
      <x:c r="M49" s="118" t="n">
        <x:v>0</x:v>
      </x:c>
      <x:c r="N49" s="118" t="n">
        <x:v>0</x:v>
      </x:c>
      <x:c r="O49" s="118" t="n">
        <x:v>0</x:v>
      </x:c>
      <x:c r="P49" s="118" t="n">
        <x:v>0</x:v>
      </x:c>
      <x:c r="Q49" s="118" t="n">
        <x:v>2</x:v>
      </x:c>
      <x:c r="R49" s="118" t="n">
        <x:v>0</x:v>
      </x:c>
      <x:c r="S49" s="118" t="n">
        <x:v>0</x:v>
      </x:c>
      <x:c r="T49" s="118" t="n">
        <x:v>0</x:v>
      </x:c>
      <x:c r="U49" s="118" t="n">
        <x:v>0</x:v>
      </x:c>
      <x:c r="V49" s="118" t="n">
        <x:v>0</x:v>
      </x:c>
      <x:c r="W49" s="118" t="n">
        <x:v>0</x:v>
      </x:c>
      <x:c r="X49" s="118" t="n">
        <x:v>1</x:v>
      </x:c>
      <x:c r="Y49" s="118" t="n">
        <x:v>0</x:v>
      </x:c>
      <x:c r="Z49" s="118" t="n">
        <x:v>0</x:v>
      </x:c>
      <x:c r="AA49" s="118" t="n">
        <x:v>0</x:v>
      </x:c>
      <x:c r="AB49" s="118" t="n">
        <x:v>0</x:v>
      </x:c>
      <x:c r="AC49" s="118" t="n">
        <x:v>0</x:v>
      </x:c>
    </x:row>
    <x:row r="50" ht="46" customHeight="1">
      <x:c r="A50" s="117" t="str">
        <x:v>300Ro000007DpzzIAC</x:v>
      </x:c>
      <x:c r="B50" s="117" t="str">
        <x:v>AvaTax_Opportunity_Existing_Update_Entity_Use_Code_IOR_Transport</x:v>
      </x:c>
      <x:c r="C50" s="117" t="str">
        <x:v>Yes</x:v>
      </x:c>
      <x:c r="D50" s="119" t="str">
        <x:v>Active v3 (Tooling metadata)</x:v>
      </x:c>
      <x:c r="E50" s="119" t="str">
        <x:v>AccountId IsNull stringValue=; booleanValue=; numberValue=; dateValue=; dateTimeValue=; elementReference= | AccountId IsChanged stringValue=; booleanValue=True; numberValue=; dateValue=; dateTimeValue=; elementReference=</x:v>
      </x:c>
      <x:c r="F50" s="119" t="str">
        <x:v>Opportunity</x:v>
      </x:c>
      <x:c r="G50" s="119" t="str">
        <x:v>AVA_SFCLOUD__Entity_Use_Code__c, AVA_SFCLOUD__Is_Seller_Importer_Of_Record__c, AVA_SFCLOUD__Transport__c, Account, AccountId</x:v>
      </x:c>
      <x:c r="H50" s="119" t="str"/>
      <x:c r="I50" s="119" t="str"/>
      <x:c r="J50" s="119" t="str"/>
      <x:c r="K50" s="118" t="n">
        <x:v>2</x:v>
      </x:c>
      <x:c r="L50" s="118" t="n">
        <x:v>0</x:v>
      </x:c>
      <x:c r="M50" s="118" t="n">
        <x:v>0</x:v>
      </x:c>
      <x:c r="N50" s="118" t="n">
        <x:v>0</x:v>
      </x:c>
      <x:c r="O50" s="118" t="n">
        <x:v>0</x:v>
      </x:c>
      <x:c r="P50" s="118" t="n">
        <x:v>0</x:v>
      </x:c>
      <x:c r="Q50" s="118" t="n">
        <x:v>0</x:v>
      </x:c>
      <x:c r="R50" s="118" t="n">
        <x:v>0</x:v>
      </x:c>
      <x:c r="S50" s="118" t="n">
        <x:v>0</x:v>
      </x:c>
      <x:c r="T50" s="118" t="n">
        <x:v>0</x:v>
      </x:c>
      <x:c r="U50" s="118" t="n">
        <x:v>0</x:v>
      </x:c>
      <x:c r="V50" s="118" t="n">
        <x:v>0</x:v>
      </x:c>
      <x:c r="W50" s="118" t="n">
        <x:v>0</x:v>
      </x:c>
      <x:c r="X50" s="118" t="n">
        <x:v>1</x:v>
      </x:c>
      <x:c r="Y50" s="118" t="n">
        <x:v>0</x:v>
      </x:c>
      <x:c r="Z50" s="118" t="n">
        <x:v>0</x:v>
      </x:c>
      <x:c r="AA50" s="118" t="n">
        <x:v>0</x:v>
      </x:c>
      <x:c r="AB50" s="118" t="n">
        <x:v>0</x:v>
      </x:c>
      <x:c r="AC50" s="118" t="n">
        <x:v>0</x:v>
      </x:c>
    </x:row>
    <x:row r="51" ht="46" customHeight="1">
      <x:c r="A51" s="117" t="str">
        <x:v>3004O000000LOruQAG</x:v>
      </x:c>
      <x:c r="B51" s="117" t="str">
        <x:v>AvaTax_Opportunity_New_Update_Entity_Code_IOR</x:v>
      </x:c>
      <x:c r="C51" s="117" t="str">
        <x:v>No</x:v>
      </x:c>
      <x:c r="D51" s="119" t="str">
        <x:v>Latest inactive v6 (Tooling metadata)</x:v>
      </x:c>
      <x:c r="E51" s="119" t="str"/>
      <x:c r="F51" s="119" t="str">
        <x:v>Opportunity</x:v>
      </x:c>
      <x:c r="G51" s="119" t="str">
        <x:v>AVA_SFCLOUD__Entity_Use_Code__c, AVA_SFCLOUD__Is_Seller_Importer_Of_Record__c, AVA_SFCLOUD__Transport__c, Id</x:v>
      </x:c>
      <x:c r="H51" s="119" t="str"/>
      <x:c r="I51" s="119" t="str"/>
      <x:c r="J51" s="119" t="str"/>
      <x:c r="K51" s="118" t="n">
        <x:v>2</x:v>
      </x:c>
      <x:c r="L51" s="118" t="n">
        <x:v>0</x:v>
      </x:c>
      <x:c r="M51" s="118" t="n">
        <x:v>0</x:v>
      </x:c>
      <x:c r="N51" s="118" t="n">
        <x:v>0</x:v>
      </x:c>
      <x:c r="O51" s="118" t="n">
        <x:v>0</x:v>
      </x:c>
      <x:c r="P51" s="118" t="n">
        <x:v>0</x:v>
      </x:c>
      <x:c r="Q51" s="118" t="n">
        <x:v>1</x:v>
      </x:c>
      <x:c r="R51" s="118" t="n">
        <x:v>0</x:v>
      </x:c>
      <x:c r="S51" s="118" t="n">
        <x:v>0</x:v>
      </x:c>
      <x:c r="T51" s="118" t="n">
        <x:v>0</x:v>
      </x:c>
      <x:c r="U51" s="118" t="n">
        <x:v>0</x:v>
      </x:c>
      <x:c r="V51" s="118" t="n">
        <x:v>0</x:v>
      </x:c>
      <x:c r="W51" s="118" t="n">
        <x:v>0</x:v>
      </x:c>
      <x:c r="X51" s="118" t="n">
        <x:v>1</x:v>
      </x:c>
      <x:c r="Y51" s="118" t="n">
        <x:v>0</x:v>
      </x:c>
      <x:c r="Z51" s="118" t="n">
        <x:v>0</x:v>
      </x:c>
      <x:c r="AA51" s="118" t="n">
        <x:v>0</x:v>
      </x:c>
      <x:c r="AB51" s="118" t="n">
        <x:v>0</x:v>
      </x:c>
      <x:c r="AC51" s="118" t="n">
        <x:v>0</x:v>
      </x:c>
    </x:row>
    <x:row r="52" ht="46" customHeight="1">
      <x:c r="A52" s="117" t="str">
        <x:v>300Ro000007Dq00IAC</x:v>
      </x:c>
      <x:c r="B52" s="117" t="str">
        <x:v>AvaTax_Opportunity_New_Update_Entity_Code_IOR_Transport</x:v>
      </x:c>
      <x:c r="C52" s="117" t="str">
        <x:v>No</x:v>
      </x:c>
      <x:c r="D52" s="119" t="str">
        <x:v>Latest inactive v4 (Tooling metadata)</x:v>
      </x:c>
      <x:c r="E52" s="119" t="str">
        <x:v>AccountId IsNull stringValue=; booleanValue=; numberValue=; dateValue=; dateTimeValue=; elementReference=</x:v>
      </x:c>
      <x:c r="F52" s="119" t="str">
        <x:v>Opportunity</x:v>
      </x:c>
      <x:c r="G52" s="119" t="str">
        <x:v>AVA_SFCLOUD__Entity_Use_Code__c, AVA_SFCLOUD__Is_Seller_Importer_Of_Record__c, AVA_SFCLOUD__Tax_Date__c, AVA_SFCLOUD__Transport__c, Account, AccountId, CreatedDate</x:v>
      </x:c>
      <x:c r="H52" s="119" t="str"/>
      <x:c r="I52" s="119" t="str"/>
      <x:c r="J52" s="119" t="str"/>
      <x:c r="K52" s="118" t="n">
        <x:v>2</x:v>
      </x:c>
      <x:c r="L52" s="118" t="n">
        <x:v>0</x:v>
      </x:c>
      <x:c r="M52" s="118" t="n">
        <x:v>0</x:v>
      </x:c>
      <x:c r="N52" s="118" t="n">
        <x:v>0</x:v>
      </x:c>
      <x:c r="O52" s="118" t="n">
        <x:v>0</x:v>
      </x:c>
      <x:c r="P52" s="118" t="n">
        <x:v>0</x:v>
      </x:c>
      <x:c r="Q52" s="118" t="n">
        <x:v>0</x:v>
      </x:c>
      <x:c r="R52" s="118" t="n">
        <x:v>0</x:v>
      </x:c>
      <x:c r="S52" s="118" t="n">
        <x:v>0</x:v>
      </x:c>
      <x:c r="T52" s="118" t="n">
        <x:v>0</x:v>
      </x:c>
      <x:c r="U52" s="118" t="n">
        <x:v>0</x:v>
      </x:c>
      <x:c r="V52" s="118" t="n">
        <x:v>0</x:v>
      </x:c>
      <x:c r="W52" s="118" t="n">
        <x:v>0</x:v>
      </x:c>
      <x:c r="X52" s="118" t="n">
        <x:v>1</x:v>
      </x:c>
      <x:c r="Y52" s="118" t="n">
        <x:v>0</x:v>
      </x:c>
      <x:c r="Z52" s="118" t="n">
        <x:v>0</x:v>
      </x:c>
      <x:c r="AA52" s="118" t="n">
        <x:v>0</x:v>
      </x:c>
      <x:c r="AB52" s="118" t="n">
        <x:v>0</x:v>
      </x:c>
      <x:c r="AC52" s="118" t="n">
        <x:v>0</x:v>
      </x:c>
    </x:row>
    <x:row r="53" ht="46" customHeight="1">
      <x:c r="A53" s="117" t="str">
        <x:v>300Ro0000124QGrIAM</x:v>
      </x:c>
      <x:c r="B53" s="117" t="str">
        <x:v>AvaTax_Opportunity_New_Update_Entity_Code_IOR_Transport</x:v>
      </x:c>
      <x:c r="C53" s="117" t="str">
        <x:v>Yes</x:v>
      </x:c>
      <x:c r="D53" s="119" t="str">
        <x:v>Active v1 (Tooling metadata)</x:v>
      </x:c>
      <x:c r="E53" s="119" t="str">
        <x:v>AccountId IsNull stringValue=; booleanValue=; numberValue=; dateValue=; dateTimeValue=; elementReference=</x:v>
      </x:c>
      <x:c r="F53" s="119" t="str">
        <x:v>Opportunity</x:v>
      </x:c>
      <x:c r="G53" s="119" t="str">
        <x:v>AVA_SFCLOUD__Entity_Use_Code__c, AVA_SFCLOUD__Is_Seller_Importer_Of_Record__c, AVA_SFCLOUD__Tax_Date__c, AVA_SFCLOUD__Transport__c, Account, AccountId, CreatedDate</x:v>
      </x:c>
      <x:c r="H53" s="119" t="str"/>
      <x:c r="I53" s="119" t="str"/>
      <x:c r="J53" s="119" t="str"/>
      <x:c r="K53" s="118" t="n">
        <x:v>2</x:v>
      </x:c>
      <x:c r="L53" s="118" t="n">
        <x:v>0</x:v>
      </x:c>
      <x:c r="M53" s="118" t="n">
        <x:v>0</x:v>
      </x:c>
      <x:c r="N53" s="118" t="n">
        <x:v>0</x:v>
      </x:c>
      <x:c r="O53" s="118" t="n">
        <x:v>0</x:v>
      </x:c>
      <x:c r="P53" s="118" t="n">
        <x:v>0</x:v>
      </x:c>
      <x:c r="Q53" s="118" t="n">
        <x:v>0</x:v>
      </x:c>
      <x:c r="R53" s="118" t="n">
        <x:v>0</x:v>
      </x:c>
      <x:c r="S53" s="118" t="n">
        <x:v>0</x:v>
      </x:c>
      <x:c r="T53" s="118" t="n">
        <x:v>0</x:v>
      </x:c>
      <x:c r="U53" s="118" t="n">
        <x:v>0</x:v>
      </x:c>
      <x:c r="V53" s="118" t="n">
        <x:v>0</x:v>
      </x:c>
      <x:c r="W53" s="118" t="n">
        <x:v>0</x:v>
      </x:c>
      <x:c r="X53" s="118" t="n">
        <x:v>1</x:v>
      </x:c>
      <x:c r="Y53" s="118" t="n">
        <x:v>0</x:v>
      </x:c>
      <x:c r="Z53" s="118" t="n">
        <x:v>0</x:v>
      </x:c>
      <x:c r="AA53" s="118" t="n">
        <x:v>0</x:v>
      </x:c>
      <x:c r="AB53" s="118" t="n">
        <x:v>0</x:v>
      </x:c>
      <x:c r="AC53" s="118" t="n">
        <x:v>0</x:v>
      </x:c>
    </x:row>
    <x:row r="54" ht="46" customHeight="1">
      <x:c r="A54" s="117" t="str">
        <x:v>3004O000000LOrvQAG</x:v>
      </x:c>
      <x:c r="B54" s="117" t="str">
        <x:v>AvaTax_Opportunity_Product_Update_AvaTax_Product_Custom_Fields</x:v>
      </x:c>
      <x:c r="C54" s="117" t="str">
        <x:v>No</x:v>
      </x:c>
      <x:c r="D54" s="119" t="str">
        <x:v>Latest inactive v3 (Tooling metadata)</x:v>
      </x:c>
      <x:c r="E54" s="119" t="str"/>
      <x:c r="F54" s="119" t="str">
        <x:v>OpportunityLineItem</x:v>
      </x:c>
      <x:c r="G54" s="119" t="str">
        <x:v>AVA_SFCLOUD__SalesTax_Line__c, AVA_SFCLOUD__Sales_Tax_Details__c, AVA_SFCLOUD__Sales_Tax_Rate__c, AVA_SFCLOUD__Tax_Override__c, Id</x:v>
      </x:c>
      <x:c r="H54" s="119" t="str"/>
      <x:c r="I54" s="119" t="str"/>
      <x:c r="J54" s="119" t="str"/>
      <x:c r="K54" s="118" t="n">
        <x:v>2</x:v>
      </x:c>
      <x:c r="L54" s="118" t="n">
        <x:v>0</x:v>
      </x:c>
      <x:c r="M54" s="118" t="n">
        <x:v>0</x:v>
      </x:c>
      <x:c r="N54" s="118" t="n">
        <x:v>0</x:v>
      </x:c>
      <x:c r="O54" s="118" t="n">
        <x:v>0</x:v>
      </x:c>
      <x:c r="P54" s="118" t="n">
        <x:v>0</x:v>
      </x:c>
      <x:c r="Q54" s="118" t="n">
        <x:v>1</x:v>
      </x:c>
      <x:c r="R54" s="118" t="n">
        <x:v>0</x:v>
      </x:c>
      <x:c r="S54" s="118" t="n">
        <x:v>0</x:v>
      </x:c>
      <x:c r="T54" s="118" t="n">
        <x:v>0</x:v>
      </x:c>
      <x:c r="U54" s="118" t="n">
        <x:v>0</x:v>
      </x:c>
      <x:c r="V54" s="118" t="n">
        <x:v>0</x:v>
      </x:c>
      <x:c r="W54" s="118" t="n">
        <x:v>0</x:v>
      </x:c>
      <x:c r="X54" s="118" t="n">
        <x:v>1</x:v>
      </x:c>
      <x:c r="Y54" s="118" t="n">
        <x:v>0</x:v>
      </x:c>
      <x:c r="Z54" s="118" t="n">
        <x:v>0</x:v>
      </x:c>
      <x:c r="AA54" s="118" t="n">
        <x:v>0</x:v>
      </x:c>
      <x:c r="AB54" s="118" t="n">
        <x:v>0</x:v>
      </x:c>
      <x:c r="AC54" s="118" t="n">
        <x:v>0</x:v>
      </x:c>
    </x:row>
    <x:row r="55" ht="46" customHeight="1">
      <x:c r="A55" s="117" t="str">
        <x:v>3004O000000LOrwQAG</x:v>
      </x:c>
      <x:c r="B55" s="117" t="str">
        <x:v>AvaTax_Opportunity_Update_AvaTax_Custom_Fields</x:v>
      </x:c>
      <x:c r="C55" s="117" t="str">
        <x:v>No</x:v>
      </x:c>
      <x:c r="D55" s="119" t="str">
        <x:v>Latest inactive v6 (Tooling metadata)</x:v>
      </x:c>
      <x:c r="E55" s="119" t="str"/>
      <x:c r="F55" s="119" t="str">
        <x:v>Opportunity</x:v>
      </x:c>
      <x:c r="G55" s="119" t="str">
        <x:v>AVA_SFCLOUD__AvaTax_Doc_Status__c, AVA_SFCLOUD__AvaTax_Message__c, AVA_SFCLOUD__Invoice_Message__c, AVA_SFCLOUD__Sales_Tax__c, AVA_SFCLOUD__Tax_Date__c, Id</x:v>
      </x:c>
      <x:c r="H55" s="119" t="str"/>
      <x:c r="I55" s="119" t="str"/>
      <x:c r="J55" s="119" t="str"/>
      <x:c r="K55" s="118" t="n">
        <x:v>2</x:v>
      </x:c>
      <x:c r="L55" s="118" t="n">
        <x:v>0</x:v>
      </x:c>
      <x:c r="M55" s="118" t="n">
        <x:v>0</x:v>
      </x:c>
      <x:c r="N55" s="118" t="n">
        <x:v>0</x:v>
      </x:c>
      <x:c r="O55" s="118" t="n">
        <x:v>0</x:v>
      </x:c>
      <x:c r="P55" s="118" t="n">
        <x:v>0</x:v>
      </x:c>
      <x:c r="Q55" s="118" t="n">
        <x:v>1</x:v>
      </x:c>
      <x:c r="R55" s="118" t="n">
        <x:v>0</x:v>
      </x:c>
      <x:c r="S55" s="118" t="n">
        <x:v>0</x:v>
      </x:c>
      <x:c r="T55" s="118" t="n">
        <x:v>0</x:v>
      </x:c>
      <x:c r="U55" s="118" t="n">
        <x:v>0</x:v>
      </x:c>
      <x:c r="V55" s="118" t="n">
        <x:v>0</x:v>
      </x:c>
      <x:c r="W55" s="118" t="n">
        <x:v>0</x:v>
      </x:c>
      <x:c r="X55" s="118" t="n">
        <x:v>1</x:v>
      </x:c>
      <x:c r="Y55" s="118" t="n">
        <x:v>0</x:v>
      </x:c>
      <x:c r="Z55" s="118" t="n">
        <x:v>0</x:v>
      </x:c>
      <x:c r="AA55" s="118" t="n">
        <x:v>0</x:v>
      </x:c>
      <x:c r="AB55" s="118" t="n">
        <x:v>0</x:v>
      </x:c>
      <x:c r="AC55" s="118" t="n">
        <x:v>0</x:v>
      </x:c>
    </x:row>
    <x:row r="56" ht="46" customHeight="1">
      <x:c r="A56" s="117" t="str">
        <x:v>300Ro000007Dq01IAC</x:v>
      </x:c>
      <x:c r="B56" s="117" t="str">
        <x:v>AvaTax_Opportunity_Update_AvaTax_Message_and_Status</x:v>
      </x:c>
      <x:c r="C56" s="117" t="str">
        <x:v>Yes</x:v>
      </x:c>
      <x:c r="D56" s="119" t="str">
        <x:v>Active v1 (Tooling metadata)</x:v>
      </x:c>
      <x:c r="E56" s="119" t="str">
        <x:v>AccountId IsChanged stringValue=; booleanValue=True; numberValue=; dateValue=; dateTimeValue=; elementReference= | Amount IsChanged stringValue=; booleanValue=True; numberValue=; dateValue=; dateTimeValue=; elementReference= | AVA_SFCLOUD__Is_Seller_Importer_Of_Record__c IsChanged stringValue=; booleanValue=True; numberValue=; dateValue=; dateTimeValue=; elementReference= | AVA_SFCLOUD__Entity_Use_Code__c IsChanged stringValue=; booleanValue=True; numberValue=; dateValue=; dateTimeValue=; elementReference= | AVA_SFCLOUD__Tax_Date__c IsChanged stringValue=; booleanValue=True; numberValue=; dateValue=; dateTimeValue=; elementReference= | AVA_SFCLOUD__Origin_Street__c IsChanged stringValue=; booleanValue=True; numberValue=; dateValue=; dateTimeValue=; elementReference= | AVA_SFCLOUD__Origin_City__c IsChanged stringValue=; booleanValue=True; numberValue=; dateValue=; dateTimeValue=; elementReference= | AVA_SFCLOUD__Origin_State__c IsChanged stringValue=; booleanValue=True; numberValue=; dateValue=; dateTimeValue=; elementReference= | AVA_SFCLOUD__Origin_Country__c IsChanged stringValue=; booleanValue=True; numberValue=; dateValue=; dateTimeValue=; elementReference= | AVA_SFCLOUD__Origin_Postal_Code__c IsChanged stringValue=; booleanValue=True; numberValue=; dateValue=; dateTimeValue=; elementReference= | AVA_SFCLOUD__ShippingHandling__c IsChanged stringValue=; booleanValue=True; numberValue=; dateValue=; dateTimeValue=; elementReference=</x:v>
      </x:c>
      <x:c r="F56" s="119" t="str">
        <x:v>Opportunity</x:v>
      </x:c>
      <x:c r="G56" s="119" t="str">
        <x:v>AVA_SFCLOUD__AvaTax_Message__c, AVA_SFCLOUD__Entity_Use_Code__c, AVA_SFCLOUD__Is_Seller_Importer_Of_Record__c, AVA_SFCLOUD__Origin_City__c, AVA_SFCLOUD__Origin_Country__c, AVA_SFCLOUD__Origin_Postal_Code__c, AVA_SFCLOUD__Origin_State__c, AVA_SFCLOUD__Origin_Street__c, AVA_SFCLOUD__ShippingHandling__c, AVA_SFCLOUD__Tax_Date__c, AccountId, Amount</x:v>
      </x:c>
      <x:c r="H56" s="119" t="str"/>
      <x:c r="I56" s="119" t="str"/>
      <x:c r="J56" s="119" t="str"/>
      <x:c r="K56" s="118" t="n">
        <x:v>2</x:v>
      </x:c>
      <x:c r="L56" s="118" t="n">
        <x:v>0</x:v>
      </x:c>
      <x:c r="M56" s="118" t="n">
        <x:v>0</x:v>
      </x:c>
      <x:c r="N56" s="118" t="n">
        <x:v>0</x:v>
      </x:c>
      <x:c r="O56" s="118" t="n">
        <x:v>0</x:v>
      </x:c>
      <x:c r="P56" s="118" t="n">
        <x:v>0</x:v>
      </x:c>
      <x:c r="Q56" s="118" t="n">
        <x:v>0</x:v>
      </x:c>
      <x:c r="R56" s="118" t="n">
        <x:v>0</x:v>
      </x:c>
      <x:c r="S56" s="118" t="n">
        <x:v>0</x:v>
      </x:c>
      <x:c r="T56" s="118" t="n">
        <x:v>0</x:v>
      </x:c>
      <x:c r="U56" s="118" t="n">
        <x:v>0</x:v>
      </x:c>
      <x:c r="V56" s="118" t="n">
        <x:v>0</x:v>
      </x:c>
      <x:c r="W56" s="118" t="n">
        <x:v>0</x:v>
      </x:c>
      <x:c r="X56" s="118" t="n">
        <x:v>1</x:v>
      </x:c>
      <x:c r="Y56" s="118" t="n">
        <x:v>0</x:v>
      </x:c>
      <x:c r="Z56" s="118" t="n">
        <x:v>0</x:v>
      </x:c>
      <x:c r="AA56" s="118" t="n">
        <x:v>0</x:v>
      </x:c>
      <x:c r="AB56" s="118" t="n">
        <x:v>0</x:v>
      </x:c>
      <x:c r="AC56" s="118" t="n">
        <x:v>0</x:v>
      </x:c>
    </x:row>
    <x:row r="57" ht="46" customHeight="1">
      <x:c r="A57" s="117" t="str">
        <x:v>3004O000000LOrxQAG</x:v>
      </x:c>
      <x:c r="B57" s="117" t="str">
        <x:v>AvaTax_Opportunity_Update_AvaTax_Message_Status</x:v>
      </x:c>
      <x:c r="C57" s="117" t="str">
        <x:v>No</x:v>
      </x:c>
      <x:c r="D57" s="119" t="str">
        <x:v>Latest inactive v4 (Tooling metadata)</x:v>
      </x:c>
      <x:c r="E57" s="119" t="str"/>
      <x:c r="F57" s="119" t="str">
        <x:v>Opportunity</x:v>
      </x:c>
      <x:c r="G57" s="119" t="str">
        <x:v>AVA_SFCLOUD__AvaTax_Message__c, Id</x:v>
      </x:c>
      <x:c r="H57" s="119" t="str"/>
      <x:c r="I57" s="119" t="str"/>
      <x:c r="J57" s="119" t="str"/>
      <x:c r="K57" s="118" t="n">
        <x:v>13</x:v>
      </x:c>
      <x:c r="L57" s="118" t="n">
        <x:v>0</x:v>
      </x:c>
      <x:c r="M57" s="118" t="n">
        <x:v>0</x:v>
      </x:c>
      <x:c r="N57" s="118" t="n">
        <x:v>0</x:v>
      </x:c>
      <x:c r="O57" s="118" t="n">
        <x:v>0</x:v>
      </x:c>
      <x:c r="P57" s="118" t="n">
        <x:v>0</x:v>
      </x:c>
      <x:c r="Q57" s="118" t="n">
        <x:v>12</x:v>
      </x:c>
      <x:c r="R57" s="118" t="n">
        <x:v>0</x:v>
      </x:c>
      <x:c r="S57" s="118" t="n">
        <x:v>0</x:v>
      </x:c>
      <x:c r="T57" s="118" t="n">
        <x:v>0</x:v>
      </x:c>
      <x:c r="U57" s="118" t="n">
        <x:v>0</x:v>
      </x:c>
      <x:c r="V57" s="118" t="n">
        <x:v>0</x:v>
      </x:c>
      <x:c r="W57" s="118" t="n">
        <x:v>0</x:v>
      </x:c>
      <x:c r="X57" s="118" t="n">
        <x:v>1</x:v>
      </x:c>
      <x:c r="Y57" s="118" t="n">
        <x:v>0</x:v>
      </x:c>
      <x:c r="Z57" s="118" t="n">
        <x:v>0</x:v>
      </x:c>
      <x:c r="AA57" s="118" t="n">
        <x:v>0</x:v>
      </x:c>
      <x:c r="AB57" s="118" t="n">
        <x:v>0</x:v>
      </x:c>
      <x:c r="AC57" s="118" t="n">
        <x:v>0</x:v>
      </x:c>
    </x:row>
    <x:row r="58" ht="46" customHeight="1">
      <x:c r="A58" s="117" t="str">
        <x:v>3004O000000LOryQAG</x:v>
      </x:c>
      <x:c r="B58" s="117" t="str">
        <x:v>AvaTax_Order_Automatic_Tax_Calculation</x:v>
      </x:c>
      <x:c r="C58" s="117" t="str">
        <x:v>No</x:v>
      </x:c>
      <x:c r="D58" s="119" t="str">
        <x:v>Latest inactive v7 (Tooling metadata)</x:v>
      </x:c>
      <x:c r="E58" s="119" t="str"/>
      <x:c r="F58" s="119" t="str">
        <x:v>Order</x:v>
      </x:c>
      <x:c r="G58" s="119" t="str">
        <x:v>AVA_SFCLOUD__AvaTax_Message__c, AVA_SFCLOUD__Calculate_Tax__c, AVA_SFCLOUD__Commit_Tax__c, Id</x:v>
      </x:c>
      <x:c r="H58" s="119" t="str">
        <x:v>AVA_SFCLOUD__OrderTaxCalculator</x:v>
      </x:c>
      <x:c r="I58" s="119" t="str"/>
      <x:c r="J58" s="119" t="str"/>
      <x:c r="K58" s="118" t="n">
        <x:v>6</x:v>
      </x:c>
      <x:c r="L58" s="118" t="n">
        <x:v>2</x:v>
      </x:c>
      <x:c r="M58" s="118" t="n">
        <x:v>0</x:v>
      </x:c>
      <x:c r="N58" s="118" t="n">
        <x:v>0</x:v>
      </x:c>
      <x:c r="O58" s="118" t="n">
        <x:v>0</x:v>
      </x:c>
      <x:c r="P58" s="118" t="n">
        <x:v>0</x:v>
      </x:c>
      <x:c r="Q58" s="118" t="n">
        <x:v>2</x:v>
      </x:c>
      <x:c r="R58" s="118" t="n">
        <x:v>0</x:v>
      </x:c>
      <x:c r="S58" s="118" t="n">
        <x:v>0</x:v>
      </x:c>
      <x:c r="T58" s="118" t="n">
        <x:v>0</x:v>
      </x:c>
      <x:c r="U58" s="118" t="n">
        <x:v>0</x:v>
      </x:c>
      <x:c r="V58" s="118" t="n">
        <x:v>0</x:v>
      </x:c>
      <x:c r="W58" s="118" t="n">
        <x:v>0</x:v>
      </x:c>
      <x:c r="X58" s="118" t="n">
        <x:v>2</x:v>
      </x:c>
      <x:c r="Y58" s="118" t="n">
        <x:v>0</x:v>
      </x:c>
      <x:c r="Z58" s="118" t="n">
        <x:v>0</x:v>
      </x:c>
      <x:c r="AA58" s="118" t="n">
        <x:v>0</x:v>
      </x:c>
      <x:c r="AB58" s="118" t="n">
        <x:v>0</x:v>
      </x:c>
      <x:c r="AC58" s="118" t="n">
        <x:v>0</x:v>
      </x:c>
    </x:row>
    <x:row r="59" ht="46" customHeight="1">
      <x:c r="A59" s="117" t="str">
        <x:v>300Ro000007Dq0BIAS</x:v>
      </x:c>
      <x:c r="B59" s="117" t="str">
        <x:v>AvaTax_Order_Automatic_Tax_Calculation_Flow</x:v>
      </x:c>
      <x:c r="C59" s="117" t="str">
        <x:v>Yes</x:v>
      </x:c>
      <x:c r="D59" s="119" t="str">
        <x:v>Active v6 (Tooling metadata)</x:v>
      </x:c>
      <x:c r="E59" s="119" t="str"/>
      <x:c r="F59" s="119" t="str">
        <x:v>AVA_SFCLOUD__AvaTax__c, Order, OrderItem</x:v>
      </x:c>
      <x:c r="G59" s="119" t="str">
        <x:v>AVA_SFCLOUD__AvaTax_Doc_Status__c, AVA_SFCLOUD__AvaTax_Message__c, AVA_SFCLOUD__Calculate_Tax__c, AVA_SFCLOUD__Commit_Tax__c, Id, OrderId</x:v>
      </x:c>
      <x:c r="H59" s="119" t="str">
        <x:v>AVA_SFCLOUD__OrderTaxCalculator</x:v>
      </x:c>
      <x:c r="I59" s="119" t="str"/>
      <x:c r="J59" s="119" t="str"/>
      <x:c r="K59" s="118" t="n">
        <x:v>16</x:v>
      </x:c>
      <x:c r="L59" s="118" t="n">
        <x:v>4</x:v>
      </x:c>
      <x:c r="M59" s="118" t="n">
        <x:v>0</x:v>
      </x:c>
      <x:c r="N59" s="118" t="n">
        <x:v>1</x:v>
      </x:c>
      <x:c r="O59" s="118" t="n">
        <x:v>0</x:v>
      </x:c>
      <x:c r="P59" s="118" t="n">
        <x:v>0</x:v>
      </x:c>
      <x:c r="Q59" s="118" t="n">
        <x:v>4</x:v>
      </x:c>
      <x:c r="R59" s="118" t="n">
        <x:v>0</x:v>
      </x:c>
      <x:c r="S59" s="118" t="n">
        <x:v>0</x:v>
      </x:c>
      <x:c r="T59" s="118" t="n">
        <x:v>0</x:v>
      </x:c>
      <x:c r="U59" s="118" t="n">
        <x:v>0</x:v>
      </x:c>
      <x:c r="V59" s="118" t="n">
        <x:v>2</x:v>
      </x:c>
      <x:c r="W59" s="118" t="n">
        <x:v>0</x:v>
      </x:c>
      <x:c r="X59" s="118" t="n">
        <x:v>4</x:v>
      </x:c>
      <x:c r="Y59" s="118" t="n">
        <x:v>0</x:v>
      </x:c>
      <x:c r="Z59" s="118" t="n">
        <x:v>0</x:v>
      </x:c>
      <x:c r="AA59" s="118" t="n">
        <x:v>0</x:v>
      </x:c>
      <x:c r="AB59" s="118" t="n">
        <x:v>0</x:v>
      </x:c>
      <x:c r="AC59" s="118" t="n">
        <x:v>0</x:v>
      </x:c>
    </x:row>
    <x:row r="60" ht="46" customHeight="1">
      <x:c r="A60" s="117" t="str">
        <x:v>3004O000000LOrzQAG</x:v>
      </x:c>
      <x:c r="B60" s="117" t="str">
        <x:v>AvaTax_Order_Clear_Header_AvaTax_Custom_Fields</x:v>
      </x:c>
      <x:c r="C60" s="117" t="str">
        <x:v>No</x:v>
      </x:c>
      <x:c r="D60" s="119" t="str">
        <x:v>Latest inactive v3 (Tooling metadata)</x:v>
      </x:c>
      <x:c r="E60" s="119" t="str"/>
      <x:c r="F60" s="119" t="str">
        <x:v>Order</x:v>
      </x:c>
      <x:c r="G60" s="119" t="str">
        <x:v>AVA_SFCLOUD__AvaTax_Doc_Status__c, AVA_SFCLOUD__AvaTax_Message__c, AVA_SFCLOUD__Invoice_Message__c, AVA_SFCLOUD__Sales_Tax__c, AVA_SFCLOUD__Tax_Date__c, Id</x:v>
      </x:c>
      <x:c r="H60" s="119" t="str"/>
      <x:c r="I60" s="119" t="str"/>
      <x:c r="J60" s="119" t="str"/>
      <x:c r="K60" s="118" t="n">
        <x:v>2</x:v>
      </x:c>
      <x:c r="L60" s="118" t="n">
        <x:v>0</x:v>
      </x:c>
      <x:c r="M60" s="118" t="n">
        <x:v>0</x:v>
      </x:c>
      <x:c r="N60" s="118" t="n">
        <x:v>0</x:v>
      </x:c>
      <x:c r="O60" s="118" t="n">
        <x:v>0</x:v>
      </x:c>
      <x:c r="P60" s="118" t="n">
        <x:v>0</x:v>
      </x:c>
      <x:c r="Q60" s="118" t="n">
        <x:v>1</x:v>
      </x:c>
      <x:c r="R60" s="118" t="n">
        <x:v>0</x:v>
      </x:c>
      <x:c r="S60" s="118" t="n">
        <x:v>0</x:v>
      </x:c>
      <x:c r="T60" s="118" t="n">
        <x:v>0</x:v>
      </x:c>
      <x:c r="U60" s="118" t="n">
        <x:v>0</x:v>
      </x:c>
      <x:c r="V60" s="118" t="n">
        <x:v>0</x:v>
      </x:c>
      <x:c r="W60" s="118" t="n">
        <x:v>0</x:v>
      </x:c>
      <x:c r="X60" s="118" t="n">
        <x:v>1</x:v>
      </x:c>
      <x:c r="Y60" s="118" t="n">
        <x:v>0</x:v>
      </x:c>
      <x:c r="Z60" s="118" t="n">
        <x:v>0</x:v>
      </x:c>
      <x:c r="AA60" s="118" t="n">
        <x:v>0</x:v>
      </x:c>
      <x:c r="AB60" s="118" t="n">
        <x:v>0</x:v>
      </x:c>
      <x:c r="AC60" s="118" t="n">
        <x:v>0</x:v>
      </x:c>
    </x:row>
    <x:row r="61" ht="46" customHeight="1">
      <x:c r="A61" s="117" t="str">
        <x:v>3004O000000LOs0QAG</x:v>
      </x:c>
      <x:c r="B61" s="117" t="str">
        <x:v>AvaTax_Order_Copy_Origin_Data</x:v>
      </x:c>
      <x:c r="C61" s="117" t="str">
        <x:v>No</x:v>
      </x:c>
      <x:c r="D61" s="119" t="str">
        <x:v>Latest inactive v2 (Tooling metadata)</x:v>
      </x:c>
      <x:c r="E61" s="119" t="str"/>
      <x:c r="F61" s="119" t="str">
        <x:v>Order</x:v>
      </x:c>
      <x:c r="G61" s="119" t="str">
        <x:v>AVA_SFCLOUD__Origin_City__c, AVA_SFCLOUD__Origin_Country__c, AVA_SFCLOUD__Origin_Postal_Code__c, AVA_SFCLOUD__Origin_State__c, AVA_SFCLOUD__Origin_Street__c, Id</x:v>
      </x:c>
      <x:c r="H61" s="119" t="str"/>
      <x:c r="I61" s="119" t="str"/>
      <x:c r="J61" s="119" t="str"/>
      <x:c r="K61" s="118" t="n">
        <x:v>4</x:v>
      </x:c>
      <x:c r="L61" s="118" t="n">
        <x:v>0</x:v>
      </x:c>
      <x:c r="M61" s="118" t="n">
        <x:v>0</x:v>
      </x:c>
      <x:c r="N61" s="118" t="n">
        <x:v>0</x:v>
      </x:c>
      <x:c r="O61" s="118" t="n">
        <x:v>0</x:v>
      </x:c>
      <x:c r="P61" s="118" t="n">
        <x:v>0</x:v>
      </x:c>
      <x:c r="Q61" s="118" t="n">
        <x:v>2</x:v>
      </x:c>
      <x:c r="R61" s="118" t="n">
        <x:v>0</x:v>
      </x:c>
      <x:c r="S61" s="118" t="n">
        <x:v>0</x:v>
      </x:c>
      <x:c r="T61" s="118" t="n">
        <x:v>0</x:v>
      </x:c>
      <x:c r="U61" s="118" t="n">
        <x:v>0</x:v>
      </x:c>
      <x:c r="V61" s="118" t="n">
        <x:v>0</x:v>
      </x:c>
      <x:c r="W61" s="118" t="n">
        <x:v>0</x:v>
      </x:c>
      <x:c r="X61" s="118" t="n">
        <x:v>2</x:v>
      </x:c>
      <x:c r="Y61" s="118" t="n">
        <x:v>0</x:v>
      </x:c>
      <x:c r="Z61" s="118" t="n">
        <x:v>0</x:v>
      </x:c>
      <x:c r="AA61" s="118" t="n">
        <x:v>0</x:v>
      </x:c>
      <x:c r="AB61" s="118" t="n">
        <x:v>0</x:v>
      </x:c>
      <x:c r="AC61" s="118" t="n">
        <x:v>0</x:v>
      </x:c>
    </x:row>
    <x:row r="62" ht="46" customHeight="1">
      <x:c r="A62" s="117" t="str">
        <x:v>3004O000000LOs1QAG</x:v>
      </x:c>
      <x:c r="B62" s="117" t="str">
        <x:v>AvaTax_Order_Existing_Update_Entity_Code_IOR</x:v>
      </x:c>
      <x:c r="C62" s="117" t="str">
        <x:v>No</x:v>
      </x:c>
      <x:c r="D62" s="119" t="str">
        <x:v>Latest inactive v3 (Tooling metadata)</x:v>
      </x:c>
      <x:c r="E62" s="119" t="str"/>
      <x:c r="F62" s="119" t="str">
        <x:v>Order</x:v>
      </x:c>
      <x:c r="G62" s="119" t="str">
        <x:v>AVA_SFCLOUD__Entity_Use_Code__c, AVA_SFCLOUD__Is_Seller_Importer_Of_Record__c, AVA_SFCLOUD__Transport__c, Id</x:v>
      </x:c>
      <x:c r="H62" s="119" t="str"/>
      <x:c r="I62" s="119" t="str"/>
      <x:c r="J62" s="119" t="str"/>
      <x:c r="K62" s="118" t="n">
        <x:v>3</x:v>
      </x:c>
      <x:c r="L62" s="118" t="n">
        <x:v>0</x:v>
      </x:c>
      <x:c r="M62" s="118" t="n">
        <x:v>0</x:v>
      </x:c>
      <x:c r="N62" s="118" t="n">
        <x:v>0</x:v>
      </x:c>
      <x:c r="O62" s="118" t="n">
        <x:v>0</x:v>
      </x:c>
      <x:c r="P62" s="118" t="n">
        <x:v>0</x:v>
      </x:c>
      <x:c r="Q62" s="118" t="n">
        <x:v>2</x:v>
      </x:c>
      <x:c r="R62" s="118" t="n">
        <x:v>0</x:v>
      </x:c>
      <x:c r="S62" s="118" t="n">
        <x:v>0</x:v>
      </x:c>
      <x:c r="T62" s="118" t="n">
        <x:v>0</x:v>
      </x:c>
      <x:c r="U62" s="118" t="n">
        <x:v>0</x:v>
      </x:c>
      <x:c r="V62" s="118" t="n">
        <x:v>0</x:v>
      </x:c>
      <x:c r="W62" s="118" t="n">
        <x:v>0</x:v>
      </x:c>
      <x:c r="X62" s="118" t="n">
        <x:v>1</x:v>
      </x:c>
      <x:c r="Y62" s="118" t="n">
        <x:v>0</x:v>
      </x:c>
      <x:c r="Z62" s="118" t="n">
        <x:v>0</x:v>
      </x:c>
      <x:c r="AA62" s="118" t="n">
        <x:v>0</x:v>
      </x:c>
      <x:c r="AB62" s="118" t="n">
        <x:v>0</x:v>
      </x:c>
      <x:c r="AC62" s="118" t="n">
        <x:v>0</x:v>
      </x:c>
    </x:row>
    <x:row r="63" ht="46" customHeight="1">
      <x:c r="A63" s="117" t="str">
        <x:v>300Ro000007Dq02IAC</x:v>
      </x:c>
      <x:c r="B63" s="117" t="str">
        <x:v>AvaTax_Order_Existing_Update_Entity_Code_IOR_Transport</x:v>
      </x:c>
      <x:c r="C63" s="117" t="str">
        <x:v>Yes</x:v>
      </x:c>
      <x:c r="D63" s="119" t="str">
        <x:v>Active v1 (Tooling metadata)</x:v>
      </x:c>
      <x:c r="E63" s="119" t="str">
        <x:v>AccountId IsNull stringValue=; booleanValue=; numberValue=; dateValue=; dateTimeValue=; elementReference= | AccountId IsChanged stringValue=; booleanValue=True; numberValue=; dateValue=; dateTimeValue=; elementReference=</x:v>
      </x:c>
      <x:c r="F63" s="119" t="str">
        <x:v>Order</x:v>
      </x:c>
      <x:c r="G63" s="119" t="str">
        <x:v>AVA_SFCLOUD__Entity_Use_Code__c, AVA_SFCLOUD__Is_Seller_Importer_Of_Record__c, AVA_SFCLOUD__Transport__c, Account, AccountId</x:v>
      </x:c>
      <x:c r="H63" s="119" t="str"/>
      <x:c r="I63" s="119" t="str"/>
      <x:c r="J63" s="119" t="str"/>
      <x:c r="K63" s="118" t="n">
        <x:v>2</x:v>
      </x:c>
      <x:c r="L63" s="118" t="n">
        <x:v>0</x:v>
      </x:c>
      <x:c r="M63" s="118" t="n">
        <x:v>0</x:v>
      </x:c>
      <x:c r="N63" s="118" t="n">
        <x:v>0</x:v>
      </x:c>
      <x:c r="O63" s="118" t="n">
        <x:v>0</x:v>
      </x:c>
      <x:c r="P63" s="118" t="n">
        <x:v>0</x:v>
      </x:c>
      <x:c r="Q63" s="118" t="n">
        <x:v>0</x:v>
      </x:c>
      <x:c r="R63" s="118" t="n">
        <x:v>0</x:v>
      </x:c>
      <x:c r="S63" s="118" t="n">
        <x:v>0</x:v>
      </x:c>
      <x:c r="T63" s="118" t="n">
        <x:v>0</x:v>
      </x:c>
      <x:c r="U63" s="118" t="n">
        <x:v>0</x:v>
      </x:c>
      <x:c r="V63" s="118" t="n">
        <x:v>0</x:v>
      </x:c>
      <x:c r="W63" s="118" t="n">
        <x:v>0</x:v>
      </x:c>
      <x:c r="X63" s="118" t="n">
        <x:v>1</x:v>
      </x:c>
      <x:c r="Y63" s="118" t="n">
        <x:v>0</x:v>
      </x:c>
      <x:c r="Z63" s="118" t="n">
        <x:v>0</x:v>
      </x:c>
      <x:c r="AA63" s="118" t="n">
        <x:v>0</x:v>
      </x:c>
      <x:c r="AB63" s="118" t="n">
        <x:v>0</x:v>
      </x:c>
      <x:c r="AC63" s="118" t="n">
        <x:v>0</x:v>
      </x:c>
    </x:row>
    <x:row r="64" ht="46" customHeight="1">
      <x:c r="A64" s="117" t="str">
        <x:v>3004O000000LOs2QAG</x:v>
      </x:c>
      <x:c r="B64" s="117" t="str">
        <x:v>AvaTax_Order_New_Update_Entity_Use_Code_IOR</x:v>
      </x:c>
      <x:c r="C64" s="117" t="str">
        <x:v>No</x:v>
      </x:c>
      <x:c r="D64" s="119" t="str">
        <x:v>Latest inactive v3 (Tooling metadata)</x:v>
      </x:c>
      <x:c r="E64" s="119" t="str"/>
      <x:c r="F64" s="119" t="str">
        <x:v>Order</x:v>
      </x:c>
      <x:c r="G64" s="119" t="str">
        <x:v>AVA_SFCLOUD__Entity_Use_Code__c, AVA_SFCLOUD__Is_Seller_Importer_Of_Record__c, AVA_SFCLOUD__Transport__c, Id</x:v>
      </x:c>
      <x:c r="H64" s="119" t="str"/>
      <x:c r="I64" s="119" t="str"/>
      <x:c r="J64" s="119" t="str"/>
      <x:c r="K64" s="118" t="n">
        <x:v>2</x:v>
      </x:c>
      <x:c r="L64" s="118" t="n">
        <x:v>0</x:v>
      </x:c>
      <x:c r="M64" s="118" t="n">
        <x:v>0</x:v>
      </x:c>
      <x:c r="N64" s="118" t="n">
        <x:v>0</x:v>
      </x:c>
      <x:c r="O64" s="118" t="n">
        <x:v>0</x:v>
      </x:c>
      <x:c r="P64" s="118" t="n">
        <x:v>0</x:v>
      </x:c>
      <x:c r="Q64" s="118" t="n">
        <x:v>1</x:v>
      </x:c>
      <x:c r="R64" s="118" t="n">
        <x:v>0</x:v>
      </x:c>
      <x:c r="S64" s="118" t="n">
        <x:v>0</x:v>
      </x:c>
      <x:c r="T64" s="118" t="n">
        <x:v>0</x:v>
      </x:c>
      <x:c r="U64" s="118" t="n">
        <x:v>0</x:v>
      </x:c>
      <x:c r="V64" s="118" t="n">
        <x:v>0</x:v>
      </x:c>
      <x:c r="W64" s="118" t="n">
        <x:v>0</x:v>
      </x:c>
      <x:c r="X64" s="118" t="n">
        <x:v>1</x:v>
      </x:c>
      <x:c r="Y64" s="118" t="n">
        <x:v>0</x:v>
      </x:c>
      <x:c r="Z64" s="118" t="n">
        <x:v>0</x:v>
      </x:c>
      <x:c r="AA64" s="118" t="n">
        <x:v>0</x:v>
      </x:c>
      <x:c r="AB64" s="118" t="n">
        <x:v>0</x:v>
      </x:c>
      <x:c r="AC64" s="118" t="n">
        <x:v>0</x:v>
      </x:c>
    </x:row>
    <x:row r="65" ht="46" customHeight="1">
      <x:c r="A65" s="117" t="str">
        <x:v>300Ro000007Dq03IAC</x:v>
      </x:c>
      <x:c r="B65" s="117" t="str">
        <x:v>AvaTax_Order_New_Update_Entity_Use_Code_IOR_Transport_Flow</x:v>
      </x:c>
      <x:c r="C65" s="117" t="str">
        <x:v>Yes</x:v>
      </x:c>
      <x:c r="D65" s="119" t="str">
        <x:v>Active v3 (Tooling metadata)</x:v>
      </x:c>
      <x:c r="E65" s="119" t="str">
        <x:v>AccountId IsNull stringValue=; booleanValue=; numberValue=; dateValue=; dateTimeValue=; elementReference=</x:v>
      </x:c>
      <x:c r="F65" s="119" t="str">
        <x:v>Order</x:v>
      </x:c>
      <x:c r="G65" s="119" t="str">
        <x:v>AVA_SFCLOUD__Entity_Use_Code__c, AVA_SFCLOUD__Is_Seller_Importer_Of_Record__c, AVA_SFCLOUD__Tax_Date__c, AVA_SFCLOUD__Transport__c, Account, AccountId, CreatedDate</x:v>
      </x:c>
      <x:c r="H65" s="119" t="str"/>
      <x:c r="I65" s="119" t="str"/>
      <x:c r="J65" s="119" t="str"/>
      <x:c r="K65" s="118" t="n">
        <x:v>2</x:v>
      </x:c>
      <x:c r="L65" s="118" t="n">
        <x:v>0</x:v>
      </x:c>
      <x:c r="M65" s="118" t="n">
        <x:v>0</x:v>
      </x:c>
      <x:c r="N65" s="118" t="n">
        <x:v>0</x:v>
      </x:c>
      <x:c r="O65" s="118" t="n">
        <x:v>0</x:v>
      </x:c>
      <x:c r="P65" s="118" t="n">
        <x:v>0</x:v>
      </x:c>
      <x:c r="Q65" s="118" t="n">
        <x:v>0</x:v>
      </x:c>
      <x:c r="R65" s="118" t="n">
        <x:v>0</x:v>
      </x:c>
      <x:c r="S65" s="118" t="n">
        <x:v>0</x:v>
      </x:c>
      <x:c r="T65" s="118" t="n">
        <x:v>0</x:v>
      </x:c>
      <x:c r="U65" s="118" t="n">
        <x:v>0</x:v>
      </x:c>
      <x:c r="V65" s="118" t="n">
        <x:v>0</x:v>
      </x:c>
      <x:c r="W65" s="118" t="n">
        <x:v>0</x:v>
      </x:c>
      <x:c r="X65" s="118" t="n">
        <x:v>1</x:v>
      </x:c>
      <x:c r="Y65" s="118" t="n">
        <x:v>0</x:v>
      </x:c>
      <x:c r="Z65" s="118" t="n">
        <x:v>0</x:v>
      </x:c>
      <x:c r="AA65" s="118" t="n">
        <x:v>0</x:v>
      </x:c>
      <x:c r="AB65" s="118" t="n">
        <x:v>0</x:v>
      </x:c>
      <x:c r="AC65" s="118" t="n">
        <x:v>0</x:v>
      </x:c>
    </x:row>
    <x:row r="66" ht="46" customHeight="1">
      <x:c r="A66" s="117" t="str">
        <x:v>3004O000000LOs3QAG</x:v>
      </x:c>
      <x:c r="B66" s="117" t="str">
        <x:v>AvaTax_Order_Product_Clear_Product_AvaTax_Custom_Fields</x:v>
      </x:c>
      <x:c r="C66" s="117" t="str">
        <x:v>No</x:v>
      </x:c>
      <x:c r="D66" s="119" t="str">
        <x:v>Latest inactive v2 (Tooling metadata)</x:v>
      </x:c>
      <x:c r="E66" s="119" t="str"/>
      <x:c r="F66" s="119" t="str">
        <x:v>OrderItem</x:v>
      </x:c>
      <x:c r="G66" s="119" t="str">
        <x:v>AVA_SFCLOUD__Sales_Tax_Amount_Line__c, AVA_SFCLOUD__Sales_Tax_Details__c, AVA_SFCLOUD__Sales_Tax_Rate__c, AVA_SFCLOUD__Tax_Override__c, Id</x:v>
      </x:c>
      <x:c r="H66" s="119" t="str"/>
      <x:c r="I66" s="119" t="str"/>
      <x:c r="J66" s="119" t="str"/>
      <x:c r="K66" s="118" t="n">
        <x:v>2</x:v>
      </x:c>
      <x:c r="L66" s="118" t="n">
        <x:v>0</x:v>
      </x:c>
      <x:c r="M66" s="118" t="n">
        <x:v>0</x:v>
      </x:c>
      <x:c r="N66" s="118" t="n">
        <x:v>0</x:v>
      </x:c>
      <x:c r="O66" s="118" t="n">
        <x:v>0</x:v>
      </x:c>
      <x:c r="P66" s="118" t="n">
        <x:v>0</x:v>
      </x:c>
      <x:c r="Q66" s="118" t="n">
        <x:v>1</x:v>
      </x:c>
      <x:c r="R66" s="118" t="n">
        <x:v>0</x:v>
      </x:c>
      <x:c r="S66" s="118" t="n">
        <x:v>0</x:v>
      </x:c>
      <x:c r="T66" s="118" t="n">
        <x:v>0</x:v>
      </x:c>
      <x:c r="U66" s="118" t="n">
        <x:v>0</x:v>
      </x:c>
      <x:c r="V66" s="118" t="n">
        <x:v>0</x:v>
      </x:c>
      <x:c r="W66" s="118" t="n">
        <x:v>0</x:v>
      </x:c>
      <x:c r="X66" s="118" t="n">
        <x:v>1</x:v>
      </x:c>
      <x:c r="Y66" s="118" t="n">
        <x:v>0</x:v>
      </x:c>
      <x:c r="Z66" s="118" t="n">
        <x:v>0</x:v>
      </x:c>
      <x:c r="AA66" s="118" t="n">
        <x:v>0</x:v>
      </x:c>
      <x:c r="AB66" s="118" t="n">
        <x:v>0</x:v>
      </x:c>
      <x:c r="AC66" s="118" t="n">
        <x:v>0</x:v>
      </x:c>
    </x:row>
    <x:row r="67" ht="46" customHeight="1">
      <x:c r="A67" s="117" t="str">
        <x:v>300Ro000007Dq04IAC</x:v>
      </x:c>
      <x:c r="B67" s="117" t="str">
        <x:v>AvaTax_Order_Update_AvaTax_Message_and_Status</x:v>
      </x:c>
      <x:c r="C67" s="117" t="str">
        <x:v>Yes</x:v>
      </x:c>
      <x:c r="D67" s="119" t="str">
        <x:v>Active v1 (Tooling metadata)</x:v>
      </x:c>
      <x:c r="E67" s="119" t="str">
        <x:v>AccountId IsChanged stringValue=; booleanValue=True; numberValue=; dateValue=; dateTimeValue=; elementReference= | OpportunityId IsChanged stringValue=; booleanValue=True; numberValue=; dateValue=; dateTimeValue=; elementReference= | Pricebook2Id IsChanged stringValue=; booleanValue=True; numberValue=; dateValue=; dateTimeValue=; elementReference= | TotalAmount IsChanged stringValue=; booleanValue=True; numberValue=; dateValue=; dateTimeValue=; elementReference= | BillingStreet IsChanged stringValue=; booleanValue=True; numberValue=; dateValue=; dateTimeValue=; elementReference= | BillingCity IsChanged stringValue=; booleanValue=True; numberValue=; dateValue=; dateTimeValue=; elementReference= | BillingState IsChanged stringValue=; booleanValue=True; numberValue=; dateValue=; dateTimeValue=; elementReference= | BillingCountry IsChanged stringValue=; booleanValue=True; numberValue=; dateValue=; dateTimeValue=; elementReference= | BillingPostalCode IsChanged stringValue=; booleanValue=True; numberValue=; dateValue=; dateTimeValue=; elementReference= | ShippingStreet IsChanged stringValue=; booleanValue=True; numberValue=; dateValue=; dateTimeValue=; elementReference= | ShippingCity IsChanged stringValue=; booleanValue=True; numberValue=; dateValue=; dateTimeValue=; elementReference= | ShippingState IsChanged stringValue=; booleanValue=True; numberValue=; dateValue=; dateTimeValue=; elementReference= | ShippingCountry IsChanged stringValue=; booleanValue=True; numberValue=; dateValue=; dateTimeValue=; elementReference= | ShippingPostalCode IsChanged stringValue=; booleanValue=True; numberValue=; dateValue=; dateTimeValue=; elementReference= | AVA_SFCLOUD__Is_Seller_Importer_Of_Record__c IsChanged stringValue=; booleanValue=True; numberValue=; dateValue=; dateTimeValue=; elementReference= | AVA_SFCLOUD__Entity_Use_Code__c IsChanged stringValue=; booleanValue=True; numberValue=; dateValue=; dateTimeValue=; elementReference= | AVA_SFCLOUD__Tax_Date__c IsChanged stringValue=; booleanValue=True; numberValue=; dateValue=; dateTimeValue=; elementReference= | AVA_SFCLOUD__Origin_Street__c IsChanged stringValue=; booleanValue=True; numberValue=; dateValue=; dateTimeValue=; elementReference= | AVA_SFCLOUD__Origin_City__c IsChanged stringValue=; booleanValue=True; numberValue=; dateValue=; dateTimeValue=; elementReference= | AVA_SFCLOUD__Origin_State__c IsChanged stringValue=; booleanValue=True; numberValue=; dateValue=; dateTimeValue=; elementReference= | AVA_SFCLOUD__Origin_Country__c IsChanged stringValue=; booleanValue=True; numberValue=; dateValue=; dateTimeValue=; elementReference= | AVA_SFCLOUD__Origin_Postal_Code__c IsChanged stringValue=; booleanValue=True; numberValue=; dateValue=; dateTimeValue=; elementReference= | AVA_SFCLOUD__ShippingHandling__c IsChanged stringValue=; booleanValue=True; numberValue=; dateValue=; dateTimeValue=; elementReference=</x:v>
      </x:c>
      <x:c r="F67" s="119" t="str">
        <x:v>Order</x:v>
      </x:c>
      <x:c r="G67" s="119" t="str">
        <x:v>AVA_SFCLOUD__AvaTax_Message__c, AVA_SFCLOUD__Entity_Use_Code__c, AVA_SFCLOUD__Is_Seller_Importer_Of_Record__c, AVA_SFCLOUD__Origin_City__c, AVA_SFCLOUD__Origin_Country__c, AVA_SFCLOUD__Origin_Postal_Code__c, AVA_SFCLOUD__Origin_State__c, AVA_SFCLOUD__Origin_Street__c, AVA_SFCLOUD__ShippingHandling__c, AVA_SFCLOUD__Tax_Date__c, AccountId, BillingCity, BillingCountry, BillingPostalCode, BillingState, BillingStreet, OpportunityId, Pricebook2Id, ShippingCity, ShippingCountry, ShippingPostalCode, ShippingState, ShippingStreet, TotalAmount</x:v>
      </x:c>
      <x:c r="H67" s="119" t="str"/>
      <x:c r="I67" s="119" t="str"/>
      <x:c r="J67" s="119" t="str"/>
      <x:c r="K67" s="118" t="n">
        <x:v>2</x:v>
      </x:c>
      <x:c r="L67" s="118" t="n">
        <x:v>0</x:v>
      </x:c>
      <x:c r="M67" s="118" t="n">
        <x:v>0</x:v>
      </x:c>
      <x:c r="N67" s="118" t="n">
        <x:v>0</x:v>
      </x:c>
      <x:c r="O67" s="118" t="n">
        <x:v>0</x:v>
      </x:c>
      <x:c r="P67" s="118" t="n">
        <x:v>0</x:v>
      </x:c>
      <x:c r="Q67" s="118" t="n">
        <x:v>0</x:v>
      </x:c>
      <x:c r="R67" s="118" t="n">
        <x:v>0</x:v>
      </x:c>
      <x:c r="S67" s="118" t="n">
        <x:v>0</x:v>
      </x:c>
      <x:c r="T67" s="118" t="n">
        <x:v>0</x:v>
      </x:c>
      <x:c r="U67" s="118" t="n">
        <x:v>0</x:v>
      </x:c>
      <x:c r="V67" s="118" t="n">
        <x:v>0</x:v>
      </x:c>
      <x:c r="W67" s="118" t="n">
        <x:v>0</x:v>
      </x:c>
      <x:c r="X67" s="118" t="n">
        <x:v>1</x:v>
      </x:c>
      <x:c r="Y67" s="118" t="n">
        <x:v>0</x:v>
      </x:c>
      <x:c r="Z67" s="118" t="n">
        <x:v>0</x:v>
      </x:c>
      <x:c r="AA67" s="118" t="n">
        <x:v>0</x:v>
      </x:c>
      <x:c r="AB67" s="118" t="n">
        <x:v>0</x:v>
      </x:c>
      <x:c r="AC67" s="118" t="n">
        <x:v>0</x:v>
      </x:c>
    </x:row>
    <x:row r="68" ht="46" customHeight="1">
      <x:c r="A68" s="117" t="str">
        <x:v>3004O000000LOs4QAG</x:v>
      </x:c>
      <x:c r="B68" s="117" t="str">
        <x:v>AvaTax_Order_Update_AvaTax_Message_Status</x:v>
      </x:c>
      <x:c r="C68" s="117" t="str">
        <x:v>No</x:v>
      </x:c>
      <x:c r="D68" s="119" t="str">
        <x:v>Latest inactive v8 (Tooling metadata)</x:v>
      </x:c>
      <x:c r="E68" s="119" t="str"/>
      <x:c r="F68" s="119" t="str">
        <x:v>Order</x:v>
      </x:c>
      <x:c r="G68" s="119" t="str">
        <x:v>AVA_SFCLOUD__AvaTax_Message__c, Id</x:v>
      </x:c>
      <x:c r="H68" s="119" t="str"/>
      <x:c r="I68" s="119" t="str"/>
      <x:c r="J68" s="119" t="str"/>
      <x:c r="K68" s="118" t="n">
        <x:v>25</x:v>
      </x:c>
      <x:c r="L68" s="118" t="n">
        <x:v>0</x:v>
      </x:c>
      <x:c r="M68" s="118" t="n">
        <x:v>0</x:v>
      </x:c>
      <x:c r="N68" s="118" t="n">
        <x:v>0</x:v>
      </x:c>
      <x:c r="O68" s="118" t="n">
        <x:v>0</x:v>
      </x:c>
      <x:c r="P68" s="118" t="n">
        <x:v>0</x:v>
      </x:c>
      <x:c r="Q68" s="118" t="n">
        <x:v>24</x:v>
      </x:c>
      <x:c r="R68" s="118" t="n">
        <x:v>0</x:v>
      </x:c>
      <x:c r="S68" s="118" t="n">
        <x:v>0</x:v>
      </x:c>
      <x:c r="T68" s="118" t="n">
        <x:v>0</x:v>
      </x:c>
      <x:c r="U68" s="118" t="n">
        <x:v>0</x:v>
      </x:c>
      <x:c r="V68" s="118" t="n">
        <x:v>0</x:v>
      </x:c>
      <x:c r="W68" s="118" t="n">
        <x:v>0</x:v>
      </x:c>
      <x:c r="X68" s="118" t="n">
        <x:v>1</x:v>
      </x:c>
      <x:c r="Y68" s="118" t="n">
        <x:v>0</x:v>
      </x:c>
      <x:c r="Z68" s="118" t="n">
        <x:v>0</x:v>
      </x:c>
      <x:c r="AA68" s="118" t="n">
        <x:v>0</x:v>
      </x:c>
      <x:c r="AB68" s="118" t="n">
        <x:v>0</x:v>
      </x:c>
      <x:c r="AC68" s="118" t="n">
        <x:v>0</x:v>
      </x:c>
    </x:row>
    <x:row r="69" ht="46" customHeight="1">
      <x:c r="A69" s="117" t="str">
        <x:v>300Ro000007Dq05IAC</x:v>
      </x:c>
      <x:c r="B69" s="117" t="str">
        <x:v>AvaTax_Order_Update_Origin_Address_Flow</x:v>
      </x:c>
      <x:c r="C69" s="117" t="str">
        <x:v>Yes</x:v>
      </x:c>
      <x:c r="D69" s="119" t="str">
        <x:v>Active v1 (Tooling metadata)</x:v>
      </x:c>
      <x:c r="E69" s="119" t="str"/>
      <x:c r="F69" s="119" t="str">
        <x:v>Order</x:v>
      </x:c>
      <x:c r="G69" s="119" t="str">
        <x:v>AVA_SFCLOUD__Origin_City__c, AVA_SFCLOUD__Origin_Country__c, AVA_SFCLOUD__Origin_Postal_Code__c, AVA_SFCLOUD__Origin_State__c, AVA_SFCLOUD__Origin_Street__c, Opportunity, OpportunityId, Quote, QuoteId</x:v>
      </x:c>
      <x:c r="H69" s="119" t="str"/>
      <x:c r="I69" s="119" t="str"/>
      <x:c r="J69" s="119" t="str"/>
      <x:c r="K69" s="118" t="n">
        <x:v>5</x:v>
      </x:c>
      <x:c r="L69" s="118" t="n">
        <x:v>0</x:v>
      </x:c>
      <x:c r="M69" s="118" t="n">
        <x:v>0</x:v>
      </x:c>
      <x:c r="N69" s="118" t="n">
        <x:v>0</x:v>
      </x:c>
      <x:c r="O69" s="118" t="n">
        <x:v>0</x:v>
      </x:c>
      <x:c r="P69" s="118" t="n">
        <x:v>0</x:v>
      </x:c>
      <x:c r="Q69" s="118" t="n">
        <x:v>2</x:v>
      </x:c>
      <x:c r="R69" s="118" t="n">
        <x:v>0</x:v>
      </x:c>
      <x:c r="S69" s="118" t="n">
        <x:v>0</x:v>
      </x:c>
      <x:c r="T69" s="118" t="n">
        <x:v>0</x:v>
      </x:c>
      <x:c r="U69" s="118" t="n">
        <x:v>0</x:v>
      </x:c>
      <x:c r="V69" s="118" t="n">
        <x:v>0</x:v>
      </x:c>
      <x:c r="W69" s="118" t="n">
        <x:v>0</x:v>
      </x:c>
      <x:c r="X69" s="118" t="n">
        <x:v>2</x:v>
      </x:c>
      <x:c r="Y69" s="118" t="n">
        <x:v>0</x:v>
      </x:c>
      <x:c r="Z69" s="118" t="n">
        <x:v>0</x:v>
      </x:c>
      <x:c r="AA69" s="118" t="n">
        <x:v>0</x:v>
      </x:c>
      <x:c r="AB69" s="118" t="n">
        <x:v>0</x:v>
      </x:c>
      <x:c r="AC69" s="118" t="n">
        <x:v>0</x:v>
      </x:c>
    </x:row>
    <x:row r="70" ht="46" customHeight="1">
      <x:c r="A70" s="117" t="str">
        <x:v>3004O000000LOs5QAG</x:v>
      </x:c>
      <x:c r="B70" s="117" t="str">
        <x:v>AvaTax_Quote_Automatic_Tax_Calculation</x:v>
      </x:c>
      <x:c r="C70" s="117" t="str">
        <x:v>No</x:v>
      </x:c>
      <x:c r="D70" s="119" t="str">
        <x:v>Latest inactive v5 (Tooling metadata)</x:v>
      </x:c>
      <x:c r="E70" s="119" t="str"/>
      <x:c r="F70" s="119" t="str">
        <x:v>Quote</x:v>
      </x:c>
      <x:c r="G70" s="119" t="str">
        <x:v>AVA_SFCLOUD__AvaTax_Message__c, AVA_SFCLOUD__Calculate_Tax__c, Id</x:v>
      </x:c>
      <x:c r="H70" s="119" t="str">
        <x:v>AVA_SFCLOUD__QuoteTaxCalculator</x:v>
      </x:c>
      <x:c r="I70" s="119" t="str"/>
      <x:c r="J70" s="119" t="str"/>
      <x:c r="K70" s="118" t="n">
        <x:v>3</x:v>
      </x:c>
      <x:c r="L70" s="118" t="n">
        <x:v>1</x:v>
      </x:c>
      <x:c r="M70" s="118" t="n">
        <x:v>0</x:v>
      </x:c>
      <x:c r="N70" s="118" t="n">
        <x:v>0</x:v>
      </x:c>
      <x:c r="O70" s="118" t="n">
        <x:v>0</x:v>
      </x:c>
      <x:c r="P70" s="118" t="n">
        <x:v>0</x:v>
      </x:c>
      <x:c r="Q70" s="118" t="n">
        <x:v>1</x:v>
      </x:c>
      <x:c r="R70" s="118" t="n">
        <x:v>0</x:v>
      </x:c>
      <x:c r="S70" s="118" t="n">
        <x:v>0</x:v>
      </x:c>
      <x:c r="T70" s="118" t="n">
        <x:v>0</x:v>
      </x:c>
      <x:c r="U70" s="118" t="n">
        <x:v>0</x:v>
      </x:c>
      <x:c r="V70" s="118" t="n">
        <x:v>0</x:v>
      </x:c>
      <x:c r="W70" s="118" t="n">
        <x:v>0</x:v>
      </x:c>
      <x:c r="X70" s="118" t="n">
        <x:v>1</x:v>
      </x:c>
      <x:c r="Y70" s="118" t="n">
        <x:v>0</x:v>
      </x:c>
      <x:c r="Z70" s="118" t="n">
        <x:v>0</x:v>
      </x:c>
      <x:c r="AA70" s="118" t="n">
        <x:v>0</x:v>
      </x:c>
      <x:c r="AB70" s="118" t="n">
        <x:v>0</x:v>
      </x:c>
      <x:c r="AC70" s="118" t="n">
        <x:v>0</x:v>
      </x:c>
    </x:row>
    <x:row r="71" ht="46" customHeight="1">
      <x:c r="A71" s="117" t="str">
        <x:v>300Ro000007Dq0CIAS</x:v>
      </x:c>
      <x:c r="B71" s="117" t="str">
        <x:v>AvaTax_Quote_Automatic_Tax_Calculation_Flow</x:v>
      </x:c>
      <x:c r="C71" s="117" t="str">
        <x:v>Yes</x:v>
      </x:c>
      <x:c r="D71" s="119" t="str">
        <x:v>Active v6 (Tooling metadata)</x:v>
      </x:c>
      <x:c r="E71" s="119" t="str">
        <x:v>AVA_SFCLOUD__Calculate_Tax__c EqualTo stringValue=; booleanValue=True; numberValue=; dateValue=; dateTimeValue=; elementReference=</x:v>
      </x:c>
      <x:c r="F71" s="119" t="str">
        <x:v>AVA_SFCLOUD__AvaTax__c, Quote, QuoteLineItem</x:v>
      </x:c>
      <x:c r="G71" s="119" t="str">
        <x:v>AVA_SFCLOUD__AvaTax_Message__c, AVA_SFCLOUD__Calculate_Tax__c, Id, QuoteId</x:v>
      </x:c>
      <x:c r="H71" s="119" t="str">
        <x:v>AVA_SFCLOUD__QuoteTaxCalculator</x:v>
      </x:c>
      <x:c r="I71" s="119" t="str"/>
      <x:c r="J71" s="119" t="str"/>
      <x:c r="K71" s="118" t="n">
        <x:v>9</x:v>
      </x:c>
      <x:c r="L71" s="118" t="n">
        <x:v>2</x:v>
      </x:c>
      <x:c r="M71" s="118" t="n">
        <x:v>0</x:v>
      </x:c>
      <x:c r="N71" s="118" t="n">
        <x:v>1</x:v>
      </x:c>
      <x:c r="O71" s="118" t="n">
        <x:v>0</x:v>
      </x:c>
      <x:c r="P71" s="118" t="n">
        <x:v>0</x:v>
      </x:c>
      <x:c r="Q71" s="118" t="n">
        <x:v>1</x:v>
      </x:c>
      <x:c r="R71" s="118" t="n">
        <x:v>0</x:v>
      </x:c>
      <x:c r="S71" s="118" t="n">
        <x:v>0</x:v>
      </x:c>
      <x:c r="T71" s="118" t="n">
        <x:v>0</x:v>
      </x:c>
      <x:c r="U71" s="118" t="n">
        <x:v>0</x:v>
      </x:c>
      <x:c r="V71" s="118" t="n">
        <x:v>2</x:v>
      </x:c>
      <x:c r="W71" s="118" t="n">
        <x:v>0</x:v>
      </x:c>
      <x:c r="X71" s="118" t="n">
        <x:v>2</x:v>
      </x:c>
      <x:c r="Y71" s="118" t="n">
        <x:v>0</x:v>
      </x:c>
      <x:c r="Z71" s="118" t="n">
        <x:v>0</x:v>
      </x:c>
      <x:c r="AA71" s="118" t="n">
        <x:v>0</x:v>
      </x:c>
      <x:c r="AB71" s="118" t="n">
        <x:v>0</x:v>
      </x:c>
      <x:c r="AC71" s="118" t="n">
        <x:v>0</x:v>
      </x:c>
    </x:row>
    <x:row r="72" ht="46" customHeight="1">
      <x:c r="A72" s="117" t="str">
        <x:v>3004O000000LOs6QAG</x:v>
      </x:c>
      <x:c r="B72" s="117" t="str">
        <x:v>AvaTax_Quote_Existing_Update_Entity_Code_IOR</x:v>
      </x:c>
      <x:c r="C72" s="117" t="str">
        <x:v>No</x:v>
      </x:c>
      <x:c r="D72" s="119" t="str">
        <x:v>Latest inactive v4 (Tooling metadata)</x:v>
      </x:c>
      <x:c r="E72" s="119" t="str"/>
      <x:c r="F72" s="119" t="str">
        <x:v>Quote</x:v>
      </x:c>
      <x:c r="G72" s="119" t="str">
        <x:v>AVA_SFCLOUD__Entity_Use_Code__c, AVA_SFCLOUD__Is_Seller_Importer_Of_Record__c, AVA_SFCLOUD__Transport__c, Id</x:v>
      </x:c>
      <x:c r="H72" s="119" t="str"/>
      <x:c r="I72" s="119" t="str"/>
      <x:c r="J72" s="119" t="str"/>
      <x:c r="K72" s="118" t="n">
        <x:v>3</x:v>
      </x:c>
      <x:c r="L72" s="118" t="n">
        <x:v>0</x:v>
      </x:c>
      <x:c r="M72" s="118" t="n">
        <x:v>0</x:v>
      </x:c>
      <x:c r="N72" s="118" t="n">
        <x:v>0</x:v>
      </x:c>
      <x:c r="O72" s="118" t="n">
        <x:v>0</x:v>
      </x:c>
      <x:c r="P72" s="118" t="n">
        <x:v>0</x:v>
      </x:c>
      <x:c r="Q72" s="118" t="n">
        <x:v>2</x:v>
      </x:c>
      <x:c r="R72" s="118" t="n">
        <x:v>0</x:v>
      </x:c>
      <x:c r="S72" s="118" t="n">
        <x:v>0</x:v>
      </x:c>
      <x:c r="T72" s="118" t="n">
        <x:v>0</x:v>
      </x:c>
      <x:c r="U72" s="118" t="n">
        <x:v>0</x:v>
      </x:c>
      <x:c r="V72" s="118" t="n">
        <x:v>0</x:v>
      </x:c>
      <x:c r="W72" s="118" t="n">
        <x:v>0</x:v>
      </x:c>
      <x:c r="X72" s="118" t="n">
        <x:v>1</x:v>
      </x:c>
      <x:c r="Y72" s="118" t="n">
        <x:v>0</x:v>
      </x:c>
      <x:c r="Z72" s="118" t="n">
        <x:v>0</x:v>
      </x:c>
      <x:c r="AA72" s="118" t="n">
        <x:v>0</x:v>
      </x:c>
      <x:c r="AB72" s="118" t="n">
        <x:v>0</x:v>
      </x:c>
      <x:c r="AC72" s="118" t="n">
        <x:v>0</x:v>
      </x:c>
    </x:row>
    <x:row r="73" ht="46" customHeight="1">
      <x:c r="A73" s="117" t="str">
        <x:v>300Ro000007Dq06IAC</x:v>
      </x:c>
      <x:c r="B73" s="117" t="str">
        <x:v>AvaTax_Quote_Existing_Update_Entity_Code_IOR_Transport</x:v>
      </x:c>
      <x:c r="C73" s="117" t="str">
        <x:v>Yes</x:v>
      </x:c>
      <x:c r="D73" s="119" t="str">
        <x:v>Active v1 (Tooling metadata)</x:v>
      </x:c>
      <x:c r="E73" s="119" t="str">
        <x:v>AccountId IsNull stringValue=; booleanValue=; numberValue=; dateValue=; dateTimeValue=; elementReference= | AccountId IsChanged stringValue=; booleanValue=True; numberValue=; dateValue=; dateTimeValue=; elementReference=</x:v>
      </x:c>
      <x:c r="F73" s="119" t="str">
        <x:v>Quote</x:v>
      </x:c>
      <x:c r="G73" s="119" t="str">
        <x:v>AVA_SFCLOUD__Entity_Use_Code__c, AVA_SFCLOUD__Is_Seller_Importer_Of_Record__c, AVA_SFCLOUD__Transport__c, AccountId, Opportunity</x:v>
      </x:c>
      <x:c r="H73" s="119" t="str"/>
      <x:c r="I73" s="119" t="str"/>
      <x:c r="J73" s="119" t="str"/>
      <x:c r="K73" s="118" t="n">
        <x:v>2</x:v>
      </x:c>
      <x:c r="L73" s="118" t="n">
        <x:v>0</x:v>
      </x:c>
      <x:c r="M73" s="118" t="n">
        <x:v>0</x:v>
      </x:c>
      <x:c r="N73" s="118" t="n">
        <x:v>0</x:v>
      </x:c>
      <x:c r="O73" s="118" t="n">
        <x:v>0</x:v>
      </x:c>
      <x:c r="P73" s="118" t="n">
        <x:v>0</x:v>
      </x:c>
      <x:c r="Q73" s="118" t="n">
        <x:v>0</x:v>
      </x:c>
      <x:c r="R73" s="118" t="n">
        <x:v>0</x:v>
      </x:c>
      <x:c r="S73" s="118" t="n">
        <x:v>0</x:v>
      </x:c>
      <x:c r="T73" s="118" t="n">
        <x:v>0</x:v>
      </x:c>
      <x:c r="U73" s="118" t="n">
        <x:v>0</x:v>
      </x:c>
      <x:c r="V73" s="118" t="n">
        <x:v>0</x:v>
      </x:c>
      <x:c r="W73" s="118" t="n">
        <x:v>0</x:v>
      </x:c>
      <x:c r="X73" s="118" t="n">
        <x:v>1</x:v>
      </x:c>
      <x:c r="Y73" s="118" t="n">
        <x:v>0</x:v>
      </x:c>
      <x:c r="Z73" s="118" t="n">
        <x:v>0</x:v>
      </x:c>
      <x:c r="AA73" s="118" t="n">
        <x:v>0</x:v>
      </x:c>
      <x:c r="AB73" s="118" t="n">
        <x:v>0</x:v>
      </x:c>
      <x:c r="AC73" s="118" t="n">
        <x:v>0</x:v>
      </x:c>
    </x:row>
    <x:row r="74" ht="46" customHeight="1">
      <x:c r="A74" s="117" t="str">
        <x:v>3004O000000LOs7QAG</x:v>
      </x:c>
      <x:c r="B74" s="117" t="str">
        <x:v>AvaTax_Quote_New_Update_Entity_Code_IOR</x:v>
      </x:c>
      <x:c r="C74" s="117" t="str">
        <x:v>No</x:v>
      </x:c>
      <x:c r="D74" s="119" t="str">
        <x:v>Latest inactive v3 (Tooling metadata)</x:v>
      </x:c>
      <x:c r="E74" s="119" t="str"/>
      <x:c r="F74" s="119" t="str">
        <x:v>Quote</x:v>
      </x:c>
      <x:c r="G74" s="119" t="str">
        <x:v>AVA_SFCLOUD__Entity_Use_Code__c, AVA_SFCLOUD__Is_Seller_Importer_Of_Record__c, AVA_SFCLOUD__Transport__c, Id</x:v>
      </x:c>
      <x:c r="H74" s="119" t="str"/>
      <x:c r="I74" s="119" t="str"/>
      <x:c r="J74" s="119" t="str"/>
      <x:c r="K74" s="118" t="n">
        <x:v>2</x:v>
      </x:c>
      <x:c r="L74" s="118" t="n">
        <x:v>0</x:v>
      </x:c>
      <x:c r="M74" s="118" t="n">
        <x:v>0</x:v>
      </x:c>
      <x:c r="N74" s="118" t="n">
        <x:v>0</x:v>
      </x:c>
      <x:c r="O74" s="118" t="n">
        <x:v>0</x:v>
      </x:c>
      <x:c r="P74" s="118" t="n">
        <x:v>0</x:v>
      </x:c>
      <x:c r="Q74" s="118" t="n">
        <x:v>1</x:v>
      </x:c>
      <x:c r="R74" s="118" t="n">
        <x:v>0</x:v>
      </x:c>
      <x:c r="S74" s="118" t="n">
        <x:v>0</x:v>
      </x:c>
      <x:c r="T74" s="118" t="n">
        <x:v>0</x:v>
      </x:c>
      <x:c r="U74" s="118" t="n">
        <x:v>0</x:v>
      </x:c>
      <x:c r="V74" s="118" t="n">
        <x:v>0</x:v>
      </x:c>
      <x:c r="W74" s="118" t="n">
        <x:v>0</x:v>
      </x:c>
      <x:c r="X74" s="118" t="n">
        <x:v>1</x:v>
      </x:c>
      <x:c r="Y74" s="118" t="n">
        <x:v>0</x:v>
      </x:c>
      <x:c r="Z74" s="118" t="n">
        <x:v>0</x:v>
      </x:c>
      <x:c r="AA74" s="118" t="n">
        <x:v>0</x:v>
      </x:c>
      <x:c r="AB74" s="118" t="n">
        <x:v>0</x:v>
      </x:c>
      <x:c r="AC74" s="118" t="n">
        <x:v>0</x:v>
      </x:c>
    </x:row>
    <x:row r="75" ht="46" customHeight="1">
      <x:c r="A75" s="117" t="str">
        <x:v>300Ro000007Dq07IAC</x:v>
      </x:c>
      <x:c r="B75" s="117" t="str">
        <x:v>AvaTax_Quote_New_Update_Entity_Code_IOR_Transport_Flow</x:v>
      </x:c>
      <x:c r="C75" s="117" t="str">
        <x:v>Yes</x:v>
      </x:c>
      <x:c r="D75" s="119" t="str">
        <x:v>Active v3 (Tooling metadata)</x:v>
      </x:c>
      <x:c r="E75" s="119" t="str">
        <x:v>AccountId IsNull stringValue=; booleanValue=; numberValue=; dateValue=; dateTimeValue=; elementReference=</x:v>
      </x:c>
      <x:c r="F75" s="119" t="str">
        <x:v>Quote</x:v>
      </x:c>
      <x:c r="G75" s="119" t="str">
        <x:v>AVA_SFCLOUD__Entity_Use_Code__c, AVA_SFCLOUD__Is_Seller_Importer_Of_Record__c, AVA_SFCLOUD__Tax_Date__c, AVA_SFCLOUD__Transport__c, AccountId, CreatedDate, Opportunity</x:v>
      </x:c>
      <x:c r="H75" s="119" t="str"/>
      <x:c r="I75" s="119" t="str"/>
      <x:c r="J75" s="119" t="str"/>
      <x:c r="K75" s="118" t="n">
        <x:v>2</x:v>
      </x:c>
      <x:c r="L75" s="118" t="n">
        <x:v>0</x:v>
      </x:c>
      <x:c r="M75" s="118" t="n">
        <x:v>0</x:v>
      </x:c>
      <x:c r="N75" s="118" t="n">
        <x:v>0</x:v>
      </x:c>
      <x:c r="O75" s="118" t="n">
        <x:v>0</x:v>
      </x:c>
      <x:c r="P75" s="118" t="n">
        <x:v>0</x:v>
      </x:c>
      <x:c r="Q75" s="118" t="n">
        <x:v>0</x:v>
      </x:c>
      <x:c r="R75" s="118" t="n">
        <x:v>0</x:v>
      </x:c>
      <x:c r="S75" s="118" t="n">
        <x:v>0</x:v>
      </x:c>
      <x:c r="T75" s="118" t="n">
        <x:v>0</x:v>
      </x:c>
      <x:c r="U75" s="118" t="n">
        <x:v>0</x:v>
      </x:c>
      <x:c r="V75" s="118" t="n">
        <x:v>0</x:v>
      </x:c>
      <x:c r="W75" s="118" t="n">
        <x:v>0</x:v>
      </x:c>
      <x:c r="X75" s="118" t="n">
        <x:v>1</x:v>
      </x:c>
      <x:c r="Y75" s="118" t="n">
        <x:v>0</x:v>
      </x:c>
      <x:c r="Z75" s="118" t="n">
        <x:v>0</x:v>
      </x:c>
      <x:c r="AA75" s="118" t="n">
        <x:v>0</x:v>
      </x:c>
      <x:c r="AB75" s="118" t="n">
        <x:v>0</x:v>
      </x:c>
      <x:c r="AC75" s="118" t="n">
        <x:v>0</x:v>
      </x:c>
    </x:row>
    <x:row r="76" ht="46" customHeight="1">
      <x:c r="A76" s="117" t="str">
        <x:v>3004O000000LOs8QAG</x:v>
      </x:c>
      <x:c r="B76" s="117" t="str">
        <x:v>AvaTax_Quote_Update_AvaTax_Message</x:v>
      </x:c>
      <x:c r="C76" s="117" t="str">
        <x:v>No</x:v>
      </x:c>
      <x:c r="D76" s="119" t="str">
        <x:v>Latest inactive v4 (Tooling metadata)</x:v>
      </x:c>
      <x:c r="E76" s="119" t="str"/>
      <x:c r="F76" s="119" t="str">
        <x:v>Quote</x:v>
      </x:c>
      <x:c r="G76" s="119" t="str">
        <x:v>AVA_SFCLOUD__AvaTax_Message__c, Id</x:v>
      </x:c>
      <x:c r="H76" s="119" t="str"/>
      <x:c r="I76" s="119" t="str"/>
      <x:c r="J76" s="119" t="str"/>
      <x:c r="K76" s="118" t="n">
        <x:v>25</x:v>
      </x:c>
      <x:c r="L76" s="118" t="n">
        <x:v>0</x:v>
      </x:c>
      <x:c r="M76" s="118" t="n">
        <x:v>0</x:v>
      </x:c>
      <x:c r="N76" s="118" t="n">
        <x:v>0</x:v>
      </x:c>
      <x:c r="O76" s="118" t="n">
        <x:v>0</x:v>
      </x:c>
      <x:c r="P76" s="118" t="n">
        <x:v>0</x:v>
      </x:c>
      <x:c r="Q76" s="118" t="n">
        <x:v>24</x:v>
      </x:c>
      <x:c r="R76" s="118" t="n">
        <x:v>0</x:v>
      </x:c>
      <x:c r="S76" s="118" t="n">
        <x:v>0</x:v>
      </x:c>
      <x:c r="T76" s="118" t="n">
        <x:v>0</x:v>
      </x:c>
      <x:c r="U76" s="118" t="n">
        <x:v>0</x:v>
      </x:c>
      <x:c r="V76" s="118" t="n">
        <x:v>0</x:v>
      </x:c>
      <x:c r="W76" s="118" t="n">
        <x:v>0</x:v>
      </x:c>
      <x:c r="X76" s="118" t="n">
        <x:v>1</x:v>
      </x:c>
      <x:c r="Y76" s="118" t="n">
        <x:v>0</x:v>
      </x:c>
      <x:c r="Z76" s="118" t="n">
        <x:v>0</x:v>
      </x:c>
      <x:c r="AA76" s="118" t="n">
        <x:v>0</x:v>
      </x:c>
      <x:c r="AB76" s="118" t="n">
        <x:v>0</x:v>
      </x:c>
      <x:c r="AC76" s="118" t="n">
        <x:v>0</x:v>
      </x:c>
    </x:row>
    <x:row r="77" ht="46" customHeight="1">
      <x:c r="A77" s="117" t="str">
        <x:v>300Ro000007Dq08IAC</x:v>
      </x:c>
      <x:c r="B77" s="117" t="str">
        <x:v>AvaTax_Quote_Update_AvaTax_Message_Flow</x:v>
      </x:c>
      <x:c r="C77" s="117" t="str">
        <x:v>Yes</x:v>
      </x:c>
      <x:c r="D77" s="119" t="str">
        <x:v>Active v1 (Tooling metadata)</x:v>
      </x:c>
      <x:c r="E77" s="119" t="str">
        <x:v>AccountId IsChanged stringValue=; booleanValue=True; numberValue=; dateValue=; dateTimeValue=; elementReference= | OpportunityId IsChanged stringValue=; booleanValue=True; numberValue=; dateValue=; dateTimeValue=; elementReference= | Pricebook2Id IsChanged stringValue=; booleanValue=True; numberValue=; dateValue=; dateTimeValue=; elementReference= | TotalPrice IsChanged stringValue=; booleanValue=True; numberValue=; dateValue=; dateTimeValue=; elementReference= | AVA_SFCLOUD__Is_Seller_Importer_Of_Record__c IsChanged stringValue=; booleanValue=True; numberValue=; dateValue=; dateTimeValue=; elementReference= | AVA_SFCLOUD__Entity_Use_Code__c IsChanged stringValue=; booleanValue=True; numberValue=; dateValue=; dateTimeValue=; elementReference= | ShippingHandling IsChanged stringValue=; booleanValue=True; numberValue=; dateValue=; dateTimeValue=; elementReference= | ShippingStreet IsChanged stringValue=; booleanValue=True; numberValue=; dateValue=; dateTimeValue=; elementReference= | ShippingCity IsChanged stringValue=; booleanValue=True; numberValue=; dateValue=; dateTimeValue=; elementReference= | ShippingCountry IsChanged stringValue=; booleanValue=True; numberValue=; dateValue=; dateTimeValue=; elementReference= | ShippingState IsChanged stringValue=; booleanValue=True; numberValue=; dateValue=; dateTimeValue=; elementReference= | ShippingPostalCode IsChanged stringValue=; booleanValue=True; numberValue=; dateValue=; dateTimeValue=; elementReference= | BillingStreet IsChanged stringValue=; booleanValue=True; numberValue=; dateValue=; dateTimeValue=; elementReference= | BillingCity IsChanged stringValue=; booleanValue=True; numberValue=; dateValue=; dateTimeValue=; elementReference= | BillingState IsChanged stringValue=; booleanValue=True; numberValue=; dateValue=; dateTimeValue=; elementReference= | BillingPostalCode IsChanged stringValue=; booleanValue=True; numberValue=; dateValue=; dateTimeValue=; elementReference= | BillingCountry IsChanged stringValue=; booleanValue=True; numberValue=; dateValue=; dateTimeValue=; elementReference= | AVA_SFCLOUD__Tax_Date__c IsChanged stringValue=; booleanValue=True; numberValue=; dateValue=; dateTimeValue=; elementReference= | AVA_SFCLOUD__Origin_Street__c IsChanged stringValue=; booleanValue=True; numberValue=; dateValue=; dateTimeValue=; elementReference= | AVA_SFCLOUD__Origin_City__c IsChanged stringValue=; booleanValue=True; numberValue=; dateValue=; dateTimeValue=; elementReference= | AVA_SFCLOUD__Origin_State__c IsChanged stringValue=; booleanValue=True; numberValue=; dateValue=; dateTimeValue=; elementReference= | AVA_SFCLOUD__Origin_Country__c IsChanged stringValue=; booleanValue=True; numberValue=; dateValue=; dateTimeValue=; elementReference= | AVA_SFCLOUD__Origin_Postal_Code__c IsChanged stringValue=; booleanValue=True; numberValue=; dateValue=; dateTimeValue=; elementReference=</x:v>
      </x:c>
      <x:c r="F77" s="119" t="str">
        <x:v>Quote</x:v>
      </x:c>
      <x:c r="G77" s="119" t="str">
        <x:v>AVA_SFCLOUD__AvaTax_Message__c, AVA_SFCLOUD__Entity_Use_Code__c, AVA_SFCLOUD__Is_Seller_Importer_Of_Record__c, AVA_SFCLOUD__Origin_City__c, AVA_SFCLOUD__Origin_Country__c, AVA_SFCLOUD__Origin_Postal_Code__c, AVA_SFCLOUD__Origin_State__c, AVA_SFCLOUD__Origin_Street__c, AVA_SFCLOUD__Tax_Date__c, AccountId, BillingCity, BillingCountry, BillingPostalCode, BillingState, BillingStreet, OpportunityId, Pricebook2Id, ShippingCity, ShippingCountry, ShippingHandling, ShippingPostalCode, ShippingState, ShippingStreet, TotalPrice</x:v>
      </x:c>
      <x:c r="H77" s="119" t="str"/>
      <x:c r="I77" s="119" t="str"/>
      <x:c r="J77" s="119" t="str"/>
      <x:c r="K77" s="118" t="n">
        <x:v>2</x:v>
      </x:c>
      <x:c r="L77" s="118" t="n">
        <x:v>0</x:v>
      </x:c>
      <x:c r="M77" s="118" t="n">
        <x:v>0</x:v>
      </x:c>
      <x:c r="N77" s="118" t="n">
        <x:v>0</x:v>
      </x:c>
      <x:c r="O77" s="118" t="n">
        <x:v>0</x:v>
      </x:c>
      <x:c r="P77" s="118" t="n">
        <x:v>0</x:v>
      </x:c>
      <x:c r="Q77" s="118" t="n">
        <x:v>0</x:v>
      </x:c>
      <x:c r="R77" s="118" t="n">
        <x:v>0</x:v>
      </x:c>
      <x:c r="S77" s="118" t="n">
        <x:v>0</x:v>
      </x:c>
      <x:c r="T77" s="118" t="n">
        <x:v>0</x:v>
      </x:c>
      <x:c r="U77" s="118" t="n">
        <x:v>0</x:v>
      </x:c>
      <x:c r="V77" s="118" t="n">
        <x:v>0</x:v>
      </x:c>
      <x:c r="W77" s="118" t="n">
        <x:v>0</x:v>
      </x:c>
      <x:c r="X77" s="118" t="n">
        <x:v>1</x:v>
      </x:c>
      <x:c r="Y77" s="118" t="n">
        <x:v>0</x:v>
      </x:c>
      <x:c r="Z77" s="118" t="n">
        <x:v>0</x:v>
      </x:c>
      <x:c r="AA77" s="118" t="n">
        <x:v>0</x:v>
      </x:c>
      <x:c r="AB77" s="118" t="n">
        <x:v>0</x:v>
      </x:c>
      <x:c r="AC77" s="118" t="n">
        <x:v>0</x:v>
      </x:c>
    </x:row>
    <x:row r="78" ht="46" customHeight="1">
      <x:c r="A78" s="117" t="str">
        <x:v>3004O000000LOs9QAG</x:v>
      </x:c>
      <x:c r="B78" s="117" t="str">
        <x:v>AvaTax_Quote_Update_Origin_Address</x:v>
      </x:c>
      <x:c r="C78" s="117" t="str">
        <x:v>No</x:v>
      </x:c>
      <x:c r="D78" s="119" t="str">
        <x:v>Latest inactive v2 (Tooling metadata)</x:v>
      </x:c>
      <x:c r="E78" s="119" t="str"/>
      <x:c r="F78" s="119" t="str">
        <x:v>Quote</x:v>
      </x:c>
      <x:c r="G78" s="119" t="str">
        <x:v>AVA_SFCLOUD__Origin_City__c, AVA_SFCLOUD__Origin_Country__c, AVA_SFCLOUD__Origin_Postal_Code__c, AVA_SFCLOUD__Origin_State__c, AVA_SFCLOUD__Origin_Street__c, Id</x:v>
      </x:c>
      <x:c r="H78" s="119" t="str"/>
      <x:c r="I78" s="119" t="str"/>
      <x:c r="J78" s="119" t="str"/>
      <x:c r="K78" s="118" t="n">
        <x:v>2</x:v>
      </x:c>
      <x:c r="L78" s="118" t="n">
        <x:v>0</x:v>
      </x:c>
      <x:c r="M78" s="118" t="n">
        <x:v>0</x:v>
      </x:c>
      <x:c r="N78" s="118" t="n">
        <x:v>0</x:v>
      </x:c>
      <x:c r="O78" s="118" t="n">
        <x:v>0</x:v>
      </x:c>
      <x:c r="P78" s="118" t="n">
        <x:v>0</x:v>
      </x:c>
      <x:c r="Q78" s="118" t="n">
        <x:v>1</x:v>
      </x:c>
      <x:c r="R78" s="118" t="n">
        <x:v>0</x:v>
      </x:c>
      <x:c r="S78" s="118" t="n">
        <x:v>0</x:v>
      </x:c>
      <x:c r="T78" s="118" t="n">
        <x:v>0</x:v>
      </x:c>
      <x:c r="U78" s="118" t="n">
        <x:v>0</x:v>
      </x:c>
      <x:c r="V78" s="118" t="n">
        <x:v>0</x:v>
      </x:c>
      <x:c r="W78" s="118" t="n">
        <x:v>0</x:v>
      </x:c>
      <x:c r="X78" s="118" t="n">
        <x:v>1</x:v>
      </x:c>
      <x:c r="Y78" s="118" t="n">
        <x:v>0</x:v>
      </x:c>
      <x:c r="Z78" s="118" t="n">
        <x:v>0</x:v>
      </x:c>
      <x:c r="AA78" s="118" t="n">
        <x:v>0</x:v>
      </x:c>
      <x:c r="AB78" s="118" t="n">
        <x:v>0</x:v>
      </x:c>
      <x:c r="AC78" s="118" t="n">
        <x:v>0</x:v>
      </x:c>
    </x:row>
    <x:row r="79" ht="46" customHeight="1">
      <x:c r="A79" s="117" t="str">
        <x:v>300Ro000007Dq09IAC</x:v>
      </x:c>
      <x:c r="B79" s="117" t="str">
        <x:v>AvaTax_Quote_Update_Origin_Address_Flow</x:v>
      </x:c>
      <x:c r="C79" s="117" t="str">
        <x:v>Yes</x:v>
      </x:c>
      <x:c r="D79" s="119" t="str">
        <x:v>Active v2 (Tooling metadata)</x:v>
      </x:c>
      <x:c r="E79" s="119" t="str"/>
      <x:c r="F79" s="119" t="str">
        <x:v>Quote</x:v>
      </x:c>
      <x:c r="G79" s="119" t="str">
        <x:v>AVA_SFCLOUD__Origin_City__c, AVA_SFCLOUD__Origin_Country__c, AVA_SFCLOUD__Origin_Postal_Code__c, AVA_SFCLOUD__Origin_State__c, AVA_SFCLOUD__Origin_Street__c, Opportunity</x:v>
      </x:c>
      <x:c r="H79" s="119" t="str"/>
      <x:c r="I79" s="119" t="str"/>
      <x:c r="J79" s="119" t="str"/>
      <x:c r="K79" s="118" t="n">
        <x:v>3</x:v>
      </x:c>
      <x:c r="L79" s="118" t="n">
        <x:v>0</x:v>
      </x:c>
      <x:c r="M79" s="118" t="n">
        <x:v>0</x:v>
      </x:c>
      <x:c r="N79" s="118" t="n">
        <x:v>0</x:v>
      </x:c>
      <x:c r="O79" s="118" t="n">
        <x:v>0</x:v>
      </x:c>
      <x:c r="P79" s="118" t="n">
        <x:v>0</x:v>
      </x:c>
      <x:c r="Q79" s="118" t="n">
        <x:v>1</x:v>
      </x:c>
      <x:c r="R79" s="118" t="n">
        <x:v>0</x:v>
      </x:c>
      <x:c r="S79" s="118" t="n">
        <x:v>0</x:v>
      </x:c>
      <x:c r="T79" s="118" t="n">
        <x:v>0</x:v>
      </x:c>
      <x:c r="U79" s="118" t="n">
        <x:v>0</x:v>
      </x:c>
      <x:c r="V79" s="118" t="n">
        <x:v>0</x:v>
      </x:c>
      <x:c r="W79" s="118" t="n">
        <x:v>0</x:v>
      </x:c>
      <x:c r="X79" s="118" t="n">
        <x:v>1</x:v>
      </x:c>
      <x:c r="Y79" s="118" t="n">
        <x:v>0</x:v>
      </x:c>
      <x:c r="Z79" s="118" t="n">
        <x:v>0</x:v>
      </x:c>
      <x:c r="AA79" s="118" t="n">
        <x:v>0</x:v>
      </x:c>
      <x:c r="AB79" s="118" t="n">
        <x:v>0</x:v>
      </x:c>
      <x:c r="AC79" s="118" t="n">
        <x:v>0</x:v>
      </x:c>
    </x:row>
    <x:row r="80" ht="46" customHeight="1">
      <x:c r="A80" s="117" t="str">
        <x:v>3005b000000H3goAAC</x:v>
      </x:c>
      <x:c r="B80" s="117" t="str">
        <x:v>Big_Iron_Purchasing_Opportunity_Updates_Alerts</x:v>
      </x:c>
      <x:c r="C80" s="117" t="str">
        <x:v>Yes</x:v>
      </x:c>
      <x:c r="D80" s="119" t="str">
        <x:v>Active v35 (Retrieved XML)</x:v>
      </x:c>
      <x:c r="E80" s="119" t="str">
        <x:v>RecordTypeId EqualTo stringValue=0125b000000LWbqAAG | StageName EqualTo stringValue=Verbal Acceptance | StageName EqualTo stringValue=Awaiting QA | StageName EqualTo stringValue=QA Booked | StageName EqualTo stringValue=QA Approval | StageName EqualTo stringValue=Finalize Transaction | StageName EqualTo stringValue=Removal Completed</x:v>
      </x:c>
      <x:c r="F80" s="119" t="str">
        <x:v>Opportunity</x:v>
      </x:c>
      <x:c r="G80" s="119" t="str">
        <x:v>Expected_Removal_date__c, Id, Modality__c, Opportunity_Number__c, QA_Required__c, RecordTypeId, StageName</x:v>
      </x:c>
      <x:c r="H80" s="119" t="str">
        <x:v>Opportunity.Big_Iron_Moved_to_Verbal_Acceptance, emailSimple</x:v>
      </x:c>
      <x:c r="I80" s="119" t="str"/>
      <x:c r="J80" s="119" t="str"/>
      <x:c r="K80" s="118" t="n">
        <x:v>8</x:v>
      </x:c>
      <x:c r="L80" s="118" t="n">
        <x:v>2</x:v>
      </x:c>
      <x:c r="M80" s="118" t="n">
        <x:v>0</x:v>
      </x:c>
      <x:c r="N80" s="118" t="n">
        <x:v>0</x:v>
      </x:c>
      <x:c r="O80" s="118" t="n">
        <x:v>0</x:v>
      </x:c>
      <x:c r="P80" s="118" t="n">
        <x:v>0</x:v>
      </x:c>
      <x:c r="Q80" s="118" t="n">
        <x:v>3</x:v>
      </x:c>
      <x:c r="R80" s="118" t="n">
        <x:v>0</x:v>
      </x:c>
      <x:c r="S80" s="118" t="n">
        <x:v>0</x:v>
      </x:c>
      <x:c r="T80" s="118" t="n">
        <x:v>0</x:v>
      </x:c>
      <x:c r="U80" s="118" t="n">
        <x:v>0</x:v>
      </x:c>
      <x:c r="V80" s="118" t="n">
        <x:v>0</x:v>
      </x:c>
      <x:c r="W80" s="118" t="n">
        <x:v>0</x:v>
      </x:c>
      <x:c r="X80" s="118" t="n">
        <x:v>2</x:v>
      </x:c>
      <x:c r="Y80" s="118" t="n">
        <x:v>0</x:v>
      </x:c>
      <x:c r="Z80" s="118" t="n">
        <x:v>0</x:v>
      </x:c>
      <x:c r="AA80" s="118" t="n">
        <x:v>0</x:v>
      </x:c>
      <x:c r="AB80" s="118" t="n">
        <x:v>0</x:v>
      </x:c>
      <x:c r="AC80" s="118" t="n">
        <x:v>0</x:v>
      </x:c>
    </x:row>
    <x:row r="81" ht="46" customHeight="1">
      <x:c r="A81" s="117" t="str">
        <x:v>300Ro00000RA9XBIA1</x:v>
      </x:c>
      <x:c r="B81" s="117" t="str">
        <x:v>Big_Iron_Removal_Date_Updated_Notification</x:v>
      </x:c>
      <x:c r="C81" s="117" t="str">
        <x:v>No</x:v>
      </x:c>
      <x:c r="D81" s="119" t="str">
        <x:v>Latest inactive v7 (Retrieved XML)</x:v>
      </x:c>
      <x:c r="E81" s="119" t="str">
        <x:v>RecordTypeId EqualTo stringValue=0125b000000LWbqAAG | Expected_Removal_date__c IsChanged booleanValue=true</x:v>
      </x:c>
      <x:c r="F81" s="119" t="str">
        <x:v>Opportunity, ProductItem__c</x:v>
      </x:c>
      <x:c r="G81" s="119" t="str">
        <x:v>Expected_Removal_date__c, RecordTypeId, Reserved__c, Sales_Opportunity__c</x:v>
      </x:c>
      <x:c r="H81" s="119" t="str">
        <x:v>emailSimple</x:v>
      </x:c>
      <x:c r="I81" s="119" t="str"/>
      <x:c r="J81" s="119" t="str"/>
      <x:c r="K81" s="118" t="n">
        <x:v>4</x:v>
      </x:c>
      <x:c r="L81" s="118" t="n">
        <x:v>1</x:v>
      </x:c>
      <x:c r="M81" s="118" t="n">
        <x:v>0</x:v>
      </x:c>
      <x:c r="N81" s="118" t="n">
        <x:v>0</x:v>
      </x:c>
      <x:c r="O81" s="118" t="n">
        <x:v>0</x:v>
      </x:c>
      <x:c r="P81" s="118" t="n">
        <x:v>0</x:v>
      </x:c>
      <x:c r="Q81" s="118" t="n">
        <x:v>1</x:v>
      </x:c>
      <x:c r="R81" s="118" t="n">
        <x:v>0</x:v>
      </x:c>
      <x:c r="S81" s="118" t="n">
        <x:v>0</x:v>
      </x:c>
      <x:c r="T81" s="118" t="n">
        <x:v>0</x:v>
      </x:c>
      <x:c r="U81" s="118" t="n">
        <x:v>0</x:v>
      </x:c>
      <x:c r="V81" s="118" t="n">
        <x:v>1</x:v>
      </x:c>
      <x:c r="W81" s="118" t="n">
        <x:v>0</x:v>
      </x:c>
      <x:c r="X81" s="118" t="n">
        <x:v>0</x:v>
      </x:c>
      <x:c r="Y81" s="118" t="n">
        <x:v>0</x:v>
      </x:c>
      <x:c r="Z81" s="118" t="n">
        <x:v>0</x:v>
      </x:c>
      <x:c r="AA81" s="118" t="n">
        <x:v>0</x:v>
      </x:c>
      <x:c r="AB81" s="118" t="n">
        <x:v>0</x:v>
      </x:c>
      <x:c r="AC81" s="118" t="n">
        <x:v>0</x:v>
      </x:c>
    </x:row>
    <x:row r="82" ht="46" customHeight="1">
      <x:c r="A82" s="117" t="str">
        <x:v>3005b000000PywrAAC</x:v>
      </x:c>
      <x:c r="B82" s="117" t="str">
        <x:v>Big_Iron_Stock_Received_Notification</x:v>
      </x:c>
      <x:c r="C82" s="117" t="str">
        <x:v>No</x:v>
      </x:c>
      <x:c r="D82" s="119" t="str">
        <x:v>Latest inactive v11 (Retrieved XML)</x:v>
      </x:c>
      <x:c r="E82" s="119" t="str">
        <x:v>Old_Location__c EqualTo booleanValue=false | New_Location__c EqualTo booleanValue=true</x:v>
      </x:c>
      <x:c r="F82" s="119" t="str">
        <x:v>Move_Location__c</x:v>
      </x:c>
      <x:c r="G82" s="119" t="str">
        <x:v>LastModifiedBy, Name, New_Location_Formula__c, New_Location__c, Old_Location__c, ProductItem__c</x:v>
      </x:c>
      <x:c r="H82" s="119" t="str">
        <x:v>emailSimple</x:v>
      </x:c>
      <x:c r="I82" s="119" t="str"/>
      <x:c r="J82" s="119" t="str"/>
      <x:c r="K82" s="118" t="n">
        <x:v>2</x:v>
      </x:c>
      <x:c r="L82" s="118" t="n">
        <x:v>1</x:v>
      </x:c>
      <x:c r="M82" s="118" t="n">
        <x:v>0</x:v>
      </x:c>
      <x:c r="N82" s="118" t="n">
        <x:v>0</x:v>
      </x:c>
      <x:c r="O82" s="118" t="n">
        <x:v>0</x:v>
      </x:c>
      <x:c r="P82" s="118" t="n">
        <x:v>0</x:v>
      </x:c>
      <x:c r="Q82" s="118" t="n">
        <x:v>0</x:v>
      </x:c>
      <x:c r="R82" s="118" t="n">
        <x:v>0</x:v>
      </x:c>
      <x:c r="S82" s="118" t="n">
        <x:v>0</x:v>
      </x:c>
      <x:c r="T82" s="118" t="n">
        <x:v>0</x:v>
      </x:c>
      <x:c r="U82" s="118" t="n">
        <x:v>0</x:v>
      </x:c>
      <x:c r="V82" s="118" t="n">
        <x:v>0</x:v>
      </x:c>
      <x:c r="W82" s="118" t="n">
        <x:v>0</x:v>
      </x:c>
      <x:c r="X82" s="118" t="n">
        <x:v>0</x:v>
      </x:c>
      <x:c r="Y82" s="118" t="n">
        <x:v>0</x:v>
      </x:c>
      <x:c r="Z82" s="118" t="n">
        <x:v>0</x:v>
      </x:c>
      <x:c r="AA82" s="118" t="n">
        <x:v>0</x:v>
      </x:c>
      <x:c r="AB82" s="118" t="n">
        <x:v>0</x:v>
      </x:c>
      <x:c r="AC82" s="118" t="n">
        <x:v>0</x:v>
      </x:c>
    </x:row>
    <x:row r="83" ht="46" customHeight="1">
      <x:c r="A83" s="117" t="str">
        <x:v>300Ro00000EC7AbIAL</x:v>
      </x:c>
      <x:c r="B83" s="117" t="str">
        <x:v>BIPO_Closed_Lost_Notification</x:v>
      </x:c>
      <x:c r="C83" s="117" t="str">
        <x:v>Yes</x:v>
      </x:c>
      <x:c r="D83" s="119" t="str">
        <x:v>Active v6 (Tooling metadata)</x:v>
      </x:c>
      <x:c r="E83" s="119" t="str">
        <x:v>RecordTypeId EqualTo stringValue=0125b000000LWbqAAG; booleanValue=; numberValue=; dateValue=; dateTimeValue=; elementReference= | StageName EqualTo stringValue=Closed Lost; booleanValue=; numberValue=; dateValue=; dateTimeValue=; elementReference= | StageName IsChanged stringValue=; booleanValue=True; numberValue=; dateValue=; dateTimeValue=; elementReference=</x:v>
      </x:c>
      <x:c r="F83" s="119" t="str">
        <x:v>Opportunity</x:v>
      </x:c>
      <x:c r="G83" s="119" t="str">
        <x:v>Id, RecordTypeId, StageName</x:v>
      </x:c>
      <x:c r="H83" s="119" t="str">
        <x:v>emailSimple</x:v>
      </x:c>
      <x:c r="I83" s="119" t="str"/>
      <x:c r="J83" s="119" t="str"/>
      <x:c r="K83" s="118" t="n">
        <x:v>3</x:v>
      </x:c>
      <x:c r="L83" s="118" t="n">
        <x:v>1</x:v>
      </x:c>
      <x:c r="M83" s="118" t="n">
        <x:v>0</x:v>
      </x:c>
      <x:c r="N83" s="118" t="n">
        <x:v>0</x:v>
      </x:c>
      <x:c r="O83" s="118" t="n">
        <x:v>0</x:v>
      </x:c>
      <x:c r="P83" s="118" t="n">
        <x:v>0</x:v>
      </x:c>
      <x:c r="Q83" s="118" t="n">
        <x:v>0</x:v>
      </x:c>
      <x:c r="R83" s="118" t="n">
        <x:v>0</x:v>
      </x:c>
      <x:c r="S83" s="118" t="n">
        <x:v>0</x:v>
      </x:c>
      <x:c r="T83" s="118" t="n">
        <x:v>0</x:v>
      </x:c>
      <x:c r="U83" s="118" t="n">
        <x:v>0</x:v>
      </x:c>
      <x:c r="V83" s="118" t="n">
        <x:v>1</x:v>
      </x:c>
      <x:c r="W83" s="118" t="n">
        <x:v>0</x:v>
      </x:c>
      <x:c r="X83" s="118" t="n">
        <x:v>0</x:v>
      </x:c>
      <x:c r="Y83" s="118" t="n">
        <x:v>0</x:v>
      </x:c>
      <x:c r="Z83" s="118" t="n">
        <x:v>0</x:v>
      </x:c>
      <x:c r="AA83" s="118" t="n">
        <x:v>0</x:v>
      </x:c>
      <x:c r="AB83" s="118" t="n">
        <x:v>0</x:v>
      </x:c>
      <x:c r="AC83" s="118" t="n">
        <x:v>0</x:v>
      </x:c>
    </x:row>
    <x:row r="84" ht="46" customHeight="1">
      <x:c r="A84" s="117" t="str">
        <x:v>3005b000000PzsMAAS</x:v>
      </x:c>
      <x:c r="B84" s="117" t="str">
        <x:v>BIPO_Flow</x:v>
      </x:c>
      <x:c r="C84" s="117" t="str">
        <x:v>No</x:v>
      </x:c>
      <x:c r="D84" s="119" t="str">
        <x:v>Latest inactive v1 (Retrieved XML)</x:v>
      </x:c>
      <x:c r="E84" s="119" t="str">
        <x:v>RecordTypeId EqualTo stringValue=0125b000000LWbqAAG | Opportunity_Owner_Location__c Contains stringValue=UK</x:v>
      </x:c>
      <x:c r="F84" s="119" t="str">
        <x:v>Opportunity</x:v>
      </x:c>
      <x:c r="G84" s="119" t="str">
        <x:v>Opportunity_Owner_Location__c, RecordTypeId</x:v>
      </x:c>
      <x:c r="H84" s="119" t="str"/>
      <x:c r="I84" s="119" t="str"/>
      <x:c r="J84" s="119" t="str"/>
      <x:c r="K84" s="118" t="n">
        <x:v>2</x:v>
      </x:c>
      <x:c r="L84" s="118" t="n">
        <x:v>0</x:v>
      </x:c>
      <x:c r="M84" s="118" t="n">
        <x:v>0</x:v>
      </x:c>
      <x:c r="N84" s="118" t="n">
        <x:v>0</x:v>
      </x:c>
      <x:c r="O84" s="118" t="n">
        <x:v>0</x:v>
      </x:c>
      <x:c r="P84" s="118" t="n">
        <x:v>0</x:v>
      </x:c>
      <x:c r="Q84" s="118" t="n">
        <x:v>0</x:v>
      </x:c>
      <x:c r="R84" s="118" t="n">
        <x:v>0</x:v>
      </x:c>
      <x:c r="S84" s="118" t="n">
        <x:v>1</x:v>
      </x:c>
      <x:c r="T84" s="118" t="n">
        <x:v>0</x:v>
      </x:c>
      <x:c r="U84" s="118" t="n">
        <x:v>0</x:v>
      </x:c>
      <x:c r="V84" s="118" t="n">
        <x:v>0</x:v>
      </x:c>
      <x:c r="W84" s="118" t="n">
        <x:v>0</x:v>
      </x:c>
      <x:c r="X84" s="118" t="n">
        <x:v>0</x:v>
      </x:c>
      <x:c r="Y84" s="118" t="n">
        <x:v>0</x:v>
      </x:c>
      <x:c r="Z84" s="118" t="n">
        <x:v>0</x:v>
      </x:c>
      <x:c r="AA84" s="118" t="n">
        <x:v>0</x:v>
      </x:c>
      <x:c r="AB84" s="118" t="n">
        <x:v>0</x:v>
      </x:c>
      <x:c r="AC84" s="118" t="n">
        <x:v>0</x:v>
      </x:c>
    </x:row>
    <x:row r="85" ht="46" customHeight="1">
      <x:c r="A85" s="117" t="str">
        <x:v>3005b00000113a4AAA</x:v>
      </x:c>
      <x:c r="B85" s="117" t="str">
        <x:v>BIPO_Update_Screen_Flow</x:v>
      </x:c>
      <x:c r="C85" s="117" t="str">
        <x:v>Yes</x:v>
      </x:c>
      <x:c r="D85" s="119" t="str">
        <x:v>Active v6 (Tooling metadata)</x:v>
      </x:c>
      <x:c r="E85" s="119" t="str"/>
      <x:c r="F85" s="119" t="str">
        <x:v>Opportunity</x:v>
      </x:c>
      <x:c r="G85" s="119" t="str">
        <x:v>Amount_Paid__c, Expected_Delivery_Date__c, Expected_Removal_date__c, Id, Opportunity_Notes__c, PO_Bills_Amount__c, Removal_Notes__c</x:v>
      </x:c>
      <x:c r="H85" s="119" t="str"/>
      <x:c r="I85" s="119" t="str"/>
      <x:c r="J85" s="119" t="str"/>
      <x:c r="K85" s="118" t="n">
        <x:v>4</x:v>
      </x:c>
      <x:c r="L85" s="118" t="n">
        <x:v>0</x:v>
      </x:c>
      <x:c r="M85" s="118" t="n">
        <x:v>0</x:v>
      </x:c>
      <x:c r="N85" s="118" t="n">
        <x:v>0</x:v>
      </x:c>
      <x:c r="O85" s="118" t="n">
        <x:v>0</x:v>
      </x:c>
      <x:c r="P85" s="118" t="n">
        <x:v>0</x:v>
      </x:c>
      <x:c r="Q85" s="118" t="n">
        <x:v>0</x:v>
      </x:c>
      <x:c r="R85" s="118" t="n">
        <x:v>0</x:v>
      </x:c>
      <x:c r="S85" s="118" t="n">
        <x:v>0</x:v>
      </x:c>
      <x:c r="T85" s="118" t="n">
        <x:v>0</x:v>
      </x:c>
      <x:c r="U85" s="118" t="n">
        <x:v>0</x:v>
      </x:c>
      <x:c r="V85" s="118" t="n">
        <x:v>1</x:v>
      </x:c>
      <x:c r="W85" s="118" t="n">
        <x:v>0</x:v>
      </x:c>
      <x:c r="X85" s="118" t="n">
        <x:v>1</x:v>
      </x:c>
      <x:c r="Y85" s="118" t="n">
        <x:v>1</x:v>
      </x:c>
      <x:c r="Z85" s="118" t="n">
        <x:v>0</x:v>
      </x:c>
      <x:c r="AA85" s="118" t="n">
        <x:v>0</x:v>
      </x:c>
      <x:c r="AB85" s="118" t="n">
        <x:v>0</x:v>
      </x:c>
      <x:c r="AC85" s="118" t="n">
        <x:v>0</x:v>
      </x:c>
    </x:row>
    <x:row r="86" ht="46" customHeight="1">
      <x:c r="A86" s="117" t="str">
        <x:v>300Ro00000Pz0kgIAB</x:v>
      </x:c>
      <x:c r="B86" s="117" t="str">
        <x:v>C_ARM_Checklist</x:v>
      </x:c>
      <x:c r="C86" s="117" t="str">
        <x:v>Yes</x:v>
      </x:c>
      <x:c r="D86" s="119" t="str">
        <x:v>Active v32 (Retrieved XML)</x:v>
      </x:c>
      <x:c r="E86" s="119" t="str"/>
      <x:c r="F86" s="119" t="str">
        <x:v>ServiceAppointment, WorkOrder, WorkType</x:v>
      </x:c>
      <x:c r="G86" s="119" t="str">
        <x:v>Additional_Documentation_Reference__c, Alignment_and_Centring_Comments__c, Alignment_and_Centring__c, Alignment_and_Positioning_Comments__c, Alignment_and_Positioning__c, BIOS_Battery_Voltage__c, Bearings_and_Tracks_Comments__c, Bearings_and_Tracks__c, Brakes_and_Locks_Comments__c, Brakes_and_Locks__c, C_Arm_Movements_Comments__c, C_Arm_Movements__c, Cables_and_Hanger_Supports_Comments__c, Cables_and_Hanger_Supports__c, Castors_and_Brakes_Comments__c, Castors_and_Brakes__c, Checklist_Output_Formatted_1__c, Checklist_Output_Formatted_2__c, Checklist_Output_Formatted_3__c, Checklist_Output_Formatted_4__c, Checklist_Output_Formatted_5__c, Checklist_Output_Formatted_6__c, Checklist_Output_Formatted__c, Checklist_Type__c, Collimator_Comments__c, Collimator_Function_and_Alignment__c, Contrast_Mag_1_Comments__c, Contrast_Mag_1__c, Contrast_Mag_2_Comments__c, Contrast_Mag_2__c, Contrast_Normal_Mode_Comments__c, Contrast_Normal_Mode__c, Contrast_Reading_Mag_1__c, Contrast_Reading_Mag_2__c, Contrast_Reading_Normal_Mode__c, Covers_Secured_Comments__c, Covers_Secured__c, Direct_Acquisition_Comments__c, Direct_Acquisition__c, Emergency_Stop_Switches_Comments__c, Emergency_Stop_Switches_and_Isolators__c, End_to_End_DICOM_Comments__c, End_to_End_DICOM__c, Error_Logs_Comments__c, Error_Logs__c, Exposure_Indicators_Comments__c, Exposure_Indicators__c, Final_Functional_Checks_Comments__c, Final_Functional_Checks__c, Final_Visual_Checks_Comments__c, Final_Visual_Checks__c, Full_Field_Dose_Comments__c, Full_Field_Dose__c, Generate_Service_Report_HTML__c, Grid_Artifacts_Comments__c, Grid_Artifacts__c, Handswitch_Holder_Comments__c, Handswitch_Holder__c, Handswitch_and_Foot_Pedals_Comments__c, Handswitch_and_Foot_Pedals__c, Id, Image_Display_Quality_Comments__c, Image_Display_Quality__c, Interconnect_Collision_Detects_Comments__c, Interconnect_Collision_Detects__c, Mag_1_Comments__c, Mag_1__c, Mag_2_Comments__c, Mag_2__c, Mechanical_Visual_Inspection_Comments__c, Mechanical_Visual_Inspection__c, Motorised_Positioning_Comments__c, Motorised_Positioning__c, Mountings_and_Fixings_Comments__c, Mountings_and_Fixings__c, Movements_Comments__c, Movements__c, Name, Plug_Integrity_Comments__c, Plug_Integrity__c, Post_Processing_Functions_Comments__c, Post_Processing_Functions__c, Pulsed_Fluoroscopy_Comments__c, Pulsed_Fluoroscopy__c, Resolution_Mag_1_Comments__c, Resolution_Mag_1__c, Resolution_Mag_2_Comments__c, Resolution_Mag_2__c, Resolution_Normal_Mode_Comments__c, Resolution_Normal_Mode__c, Resolution_Reading_Mag_1__c, Resolution_Reading_Mag_2__c, Resolution_Reading_Normal_Mode__c, Switches_Pedals_and_Controls_Comments__c, Switches_Pedals_and_Controls__c, System_Earth_Continuity_Comments__c, System_Earth_Continuity__c, System_Earth_Leakage_Forward_Comments__c, System_Earth_Leakage_Forward__c, UI_Clean_Comments__c, UI_Clean_Completed__c, UPS_Battery_Comments__c, UPS_Battery__c, Ventilation_Clean_Comments__c, Ventilation_Clean__c, Virtual_Collimator_Alignment_Comments__c, Virtual_Collimator_Alignment__c, Visual_Inspection_Comments__c, Visual_Inspection__c, WorkTypeId, X5_Minute_Warning_Comments__c, X5_Minute_Warning__c</x:v>
      </x:c>
      <x:c r="H86" s="119" t="str"/>
      <x:c r="I86" s="119" t="str"/>
      <x:c r="J86" s="119" t="str"/>
      <x:c r="K86" s="118" t="n">
        <x:v>20</x:v>
      </x:c>
      <x:c r="L86" s="118" t="n">
        <x:v>0</x:v>
      </x:c>
      <x:c r="M86" s="118" t="n">
        <x:v>0</x:v>
      </x:c>
      <x:c r="N86" s="118" t="n">
        <x:v>2</x:v>
      </x:c>
      <x:c r="O86" s="118" t="n">
        <x:v>0</x:v>
      </x:c>
      <x:c r="P86" s="118" t="n">
        <x:v>0</x:v>
      </x:c>
      <x:c r="Q86" s="118" t="n">
        <x:v>1</x:v>
      </x:c>
      <x:c r="R86" s="118" t="n">
        <x:v>0</x:v>
      </x:c>
      <x:c r="S86" s="118" t="n">
        <x:v>0</x:v>
      </x:c>
      <x:c r="T86" s="118" t="n">
        <x:v>0</x:v>
      </x:c>
      <x:c r="U86" s="118" t="n">
        <x:v>0</x:v>
      </x:c>
      <x:c r="V86" s="118" t="n">
        <x:v>2</x:v>
      </x:c>
      <x:c r="W86" s="118" t="n">
        <x:v>0</x:v>
      </x:c>
      <x:c r="X86" s="118" t="n">
        <x:v>7</x:v>
      </x:c>
      <x:c r="Y86" s="118" t="n">
        <x:v>7</x:v>
      </x:c>
      <x:c r="Z86" s="118" t="n">
        <x:v>0</x:v>
      </x:c>
      <x:c r="AA86" s="118" t="n">
        <x:v>0</x:v>
      </x:c>
      <x:c r="AB86" s="118" t="n">
        <x:v>0</x:v>
      </x:c>
      <x:c r="AC86" s="118" t="n">
        <x:v>0</x:v>
      </x:c>
    </x:row>
    <x:row r="87" ht="46" customHeight="1">
      <x:c r="A87" s="117" t="str">
        <x:v>3004O000000LOstQAG</x:v>
      </x:c>
      <x:c r="B87" s="117" t="str">
        <x:v>Calculate_Sales_Tax_on_Sales_Shipper</x:v>
      </x:c>
      <x:c r="C87" s="117" t="str">
        <x:v>No</x:v>
      </x:c>
      <x:c r="D87" s="119" t="str">
        <x:v>Latest inactive v2 (Retrieved XML)</x:v>
      </x:c>
      <x:c r="E87" s="119" t="str"/>
      <x:c r="F87" s="119" t="str">
        <x:v>Opportunity</x:v>
      </x:c>
      <x:c r="G87" s="119" t="str">
        <x:v>AVA_SFCLOUD__Calculate_Tax__c, Id</x:v>
      </x:c>
      <x:c r="H87" s="119" t="str"/>
      <x:c r="I87" s="119" t="str"/>
      <x:c r="J87" s="119" t="str"/>
      <x:c r="K87" s="118" t="n">
        <x:v>3</x:v>
      </x:c>
      <x:c r="L87" s="118" t="n">
        <x:v>0</x:v>
      </x:c>
      <x:c r="M87" s="118" t="n">
        <x:v>0</x:v>
      </x:c>
      <x:c r="N87" s="118" t="n">
        <x:v>0</x:v>
      </x:c>
      <x:c r="O87" s="118" t="n">
        <x:v>0</x:v>
      </x:c>
      <x:c r="P87" s="118" t="n">
        <x:v>0</x:v>
      </x:c>
      <x:c r="Q87" s="118" t="n">
        <x:v>2</x:v>
      </x:c>
      <x:c r="R87" s="118" t="n">
        <x:v>0</x:v>
      </x:c>
      <x:c r="S87" s="118" t="n">
        <x:v>0</x:v>
      </x:c>
      <x:c r="T87" s="118" t="n">
        <x:v>0</x:v>
      </x:c>
      <x:c r="U87" s="118" t="n">
        <x:v>0</x:v>
      </x:c>
      <x:c r="V87" s="118" t="n">
        <x:v>0</x:v>
      </x:c>
      <x:c r="W87" s="118" t="n">
        <x:v>0</x:v>
      </x:c>
      <x:c r="X87" s="118" t="n">
        <x:v>1</x:v>
      </x:c>
      <x:c r="Y87" s="118" t="n">
        <x:v>0</x:v>
      </x:c>
      <x:c r="Z87" s="118" t="n">
        <x:v>0</x:v>
      </x:c>
      <x:c r="AA87" s="118" t="n">
        <x:v>0</x:v>
      </x:c>
      <x:c r="AB87" s="118" t="n">
        <x:v>0</x:v>
      </x:c>
      <x:c r="AC87" s="118" t="n">
        <x:v>0</x:v>
      </x:c>
    </x:row>
    <x:row r="88" ht="46" customHeight="1">
      <x:c r="A88" s="117" t="str">
        <x:v>3004O000000LOsZQAW</x:v>
      </x:c>
      <x:c r="B88" s="117" t="str">
        <x:v>Calculate_Tax_Automatically_on_Closed_Won</x:v>
      </x:c>
      <x:c r="C88" s="117" t="str">
        <x:v>No</x:v>
      </x:c>
      <x:c r="D88" s="119" t="str">
        <x:v>Latest inactive v3 (Retrieved XML)</x:v>
      </x:c>
      <x:c r="E88" s="119" t="str"/>
      <x:c r="F88" s="119" t="str">
        <x:v>Opportunity</x:v>
      </x:c>
      <x:c r="G88" s="119" t="str">
        <x:v>AVA_SFCLOUD__Calculate_Tax__c, Id</x:v>
      </x:c>
      <x:c r="H88" s="119" t="str"/>
      <x:c r="I88" s="119" t="str"/>
      <x:c r="J88" s="119" t="str"/>
      <x:c r="K88" s="118" t="n">
        <x:v>3</x:v>
      </x:c>
      <x:c r="L88" s="118" t="n">
        <x:v>0</x:v>
      </x:c>
      <x:c r="M88" s="118" t="n">
        <x:v>0</x:v>
      </x:c>
      <x:c r="N88" s="118" t="n">
        <x:v>0</x:v>
      </x:c>
      <x:c r="O88" s="118" t="n">
        <x:v>0</x:v>
      </x:c>
      <x:c r="P88" s="118" t="n">
        <x:v>0</x:v>
      </x:c>
      <x:c r="Q88" s="118" t="n">
        <x:v>2</x:v>
      </x:c>
      <x:c r="R88" s="118" t="n">
        <x:v>0</x:v>
      </x:c>
      <x:c r="S88" s="118" t="n">
        <x:v>0</x:v>
      </x:c>
      <x:c r="T88" s="118" t="n">
        <x:v>0</x:v>
      </x:c>
      <x:c r="U88" s="118" t="n">
        <x:v>0</x:v>
      </x:c>
      <x:c r="V88" s="118" t="n">
        <x:v>0</x:v>
      </x:c>
      <x:c r="W88" s="118" t="n">
        <x:v>0</x:v>
      </x:c>
      <x:c r="X88" s="118" t="n">
        <x:v>1</x:v>
      </x:c>
      <x:c r="Y88" s="118" t="n">
        <x:v>0</x:v>
      </x:c>
      <x:c r="Z88" s="118" t="n">
        <x:v>0</x:v>
      </x:c>
      <x:c r="AA88" s="118" t="n">
        <x:v>0</x:v>
      </x:c>
      <x:c r="AB88" s="118" t="n">
        <x:v>0</x:v>
      </x:c>
      <x:c r="AC88" s="118" t="n">
        <x:v>0</x:v>
      </x:c>
    </x:row>
    <x:row r="89" ht="46" customHeight="1">
      <x:c r="A89" s="117" t="str">
        <x:v>3004O000000LOsaQAG</x:v>
      </x:c>
      <x:c r="B89" s="117" t="str">
        <x:v>Calculate_Tax_when_Opp_Closed_Won</x:v>
      </x:c>
      <x:c r="C89" s="117" t="str">
        <x:v>No</x:v>
      </x:c>
      <x:c r="D89" s="119" t="str">
        <x:v>Latest inactive v1 (Retrieved XML)</x:v>
      </x:c>
      <x:c r="E89" s="119" t="str"/>
      <x:c r="F89" s="119" t="str">
        <x:v>Opportunity</x:v>
      </x:c>
      <x:c r="G89" s="119" t="str"/>
      <x:c r="H89" s="119" t="str"/>
      <x:c r="I89" s="119" t="str"/>
      <x:c r="J89" s="119" t="str"/>
      <x:c r="K89" s="118" t="n">
        <x:v>1</x:v>
      </x:c>
      <x:c r="L89" s="118" t="n">
        <x:v>0</x:v>
      </x:c>
      <x:c r="M89" s="118" t="n">
        <x:v>0</x:v>
      </x:c>
      <x:c r="N89" s="118" t="n">
        <x:v>0</x:v>
      </x:c>
      <x:c r="O89" s="118" t="n">
        <x:v>0</x:v>
      </x:c>
      <x:c r="P89" s="118" t="n">
        <x:v>0</x:v>
      </x:c>
      <x:c r="Q89" s="118" t="n">
        <x:v>1</x:v>
      </x:c>
      <x:c r="R89" s="118" t="n">
        <x:v>0</x:v>
      </x:c>
      <x:c r="S89" s="118" t="n">
        <x:v>0</x:v>
      </x:c>
      <x:c r="T89" s="118" t="n">
        <x:v>0</x:v>
      </x:c>
      <x:c r="U89" s="118" t="n">
        <x:v>0</x:v>
      </x:c>
      <x:c r="V89" s="118" t="n">
        <x:v>0</x:v>
      </x:c>
      <x:c r="W89" s="118" t="n">
        <x:v>0</x:v>
      </x:c>
      <x:c r="X89" s="118" t="n">
        <x:v>0</x:v>
      </x:c>
      <x:c r="Y89" s="118" t="n">
        <x:v>0</x:v>
      </x:c>
      <x:c r="Z89" s="118" t="n">
        <x:v>0</x:v>
      </x:c>
      <x:c r="AA89" s="118" t="n">
        <x:v>0</x:v>
      </x:c>
      <x:c r="AB89" s="118" t="n">
        <x:v>0</x:v>
      </x:c>
      <x:c r="AC89" s="118" t="n">
        <x:v>0</x:v>
      </x:c>
    </x:row>
    <x:row r="90" ht="46" customHeight="1">
      <x:c r="A90" s="117" t="str">
        <x:v>300Ro00000hxAaTIAU</x:v>
      </x:c>
      <x:c r="B90" s="117" t="str">
        <x:v>Calibration_due_soon_30_days</x:v>
      </x:c>
      <x:c r="C90" s="117" t="str">
        <x:v>No</x:v>
      </x:c>
      <x:c r="D90" s="119" t="str">
        <x:v>Latest inactive v1 (Retrieved XML)</x:v>
      </x:c>
      <x:c r="E90" s="119" t="str">
        <x:v>Days_until_next_Calibration__c EqualTo numberValue=30.0</x:v>
      </x:c>
      <x:c r="F90" s="119" t="str">
        <x:v>Equipment__c</x:v>
      </x:c>
      <x:c r="G90" s="119" t="str">
        <x:v>Days_until_next_Calibration__c, Id</x:v>
      </x:c>
      <x:c r="H90" s="119" t="str">
        <x:v>Equipment__c.Calibration_due_soon</x:v>
      </x:c>
      <x:c r="I90" s="119" t="str"/>
      <x:c r="J90" s="119" t="str"/>
      <x:c r="K90" s="118" t="n">
        <x:v>2</x:v>
      </x:c>
      <x:c r="L90" s="118" t="n">
        <x:v>1</x:v>
      </x:c>
      <x:c r="M90" s="118" t="n">
        <x:v>0</x:v>
      </x:c>
      <x:c r="N90" s="118" t="n">
        <x:v>0</x:v>
      </x:c>
      <x:c r="O90" s="118" t="n">
        <x:v>0</x:v>
      </x:c>
      <x:c r="P90" s="118" t="n">
        <x:v>0</x:v>
      </x:c>
      <x:c r="Q90" s="118" t="n">
        <x:v>0</x:v>
      </x:c>
      <x:c r="R90" s="118" t="n">
        <x:v>0</x:v>
      </x:c>
      <x:c r="S90" s="118" t="n">
        <x:v>0</x:v>
      </x:c>
      <x:c r="T90" s="118" t="n">
        <x:v>0</x:v>
      </x:c>
      <x:c r="U90" s="118" t="n">
        <x:v>0</x:v>
      </x:c>
      <x:c r="V90" s="118" t="n">
        <x:v>0</x:v>
      </x:c>
      <x:c r="W90" s="118" t="n">
        <x:v>0</x:v>
      </x:c>
      <x:c r="X90" s="118" t="n">
        <x:v>0</x:v>
      </x:c>
      <x:c r="Y90" s="118" t="n">
        <x:v>0</x:v>
      </x:c>
      <x:c r="Z90" s="118" t="n">
        <x:v>0</x:v>
      </x:c>
      <x:c r="AA90" s="118" t="n">
        <x:v>0</x:v>
      </x:c>
      <x:c r="AB90" s="118" t="n">
        <x:v>0</x:v>
      </x:c>
      <x:c r="AC90" s="118" t="n">
        <x:v>0</x:v>
      </x:c>
    </x:row>
    <x:row r="91" ht="46" customHeight="1">
      <x:c r="A91" s="117" t="str">
        <x:v>300Ro00000hx76MIAQ</x:v>
      </x:c>
      <x:c r="B91" s="117" t="str">
        <x:v>Calibration_due_soon_30_days_2</x:v>
      </x:c>
      <x:c r="C91" s="117" t="str">
        <x:v>No</x:v>
      </x:c>
      <x:c r="D91" s="119" t="str">
        <x:v>Latest inactive v1 (Retrieved XML)</x:v>
      </x:c>
      <x:c r="E91" s="119" t="str">
        <x:v>Days_until_next_Calibration__c EqualTo numberValue=30.0</x:v>
      </x:c>
      <x:c r="F91" s="119" t="str">
        <x:v>Equipment__c</x:v>
      </x:c>
      <x:c r="G91" s="119" t="str">
        <x:v>Days_until_next_Calibration__c, Id</x:v>
      </x:c>
      <x:c r="H91" s="119" t="str">
        <x:v>Equipment__c.Calibration_due_soon</x:v>
      </x:c>
      <x:c r="I91" s="119" t="str"/>
      <x:c r="J91" s="119" t="str"/>
      <x:c r="K91" s="118" t="n">
        <x:v>2</x:v>
      </x:c>
      <x:c r="L91" s="118" t="n">
        <x:v>1</x:v>
      </x:c>
      <x:c r="M91" s="118" t="n">
        <x:v>0</x:v>
      </x:c>
      <x:c r="N91" s="118" t="n">
        <x:v>0</x:v>
      </x:c>
      <x:c r="O91" s="118" t="n">
        <x:v>0</x:v>
      </x:c>
      <x:c r="P91" s="118" t="n">
        <x:v>0</x:v>
      </x:c>
      <x:c r="Q91" s="118" t="n">
        <x:v>0</x:v>
      </x:c>
      <x:c r="R91" s="118" t="n">
        <x:v>0</x:v>
      </x:c>
      <x:c r="S91" s="118" t="n">
        <x:v>0</x:v>
      </x:c>
      <x:c r="T91" s="118" t="n">
        <x:v>0</x:v>
      </x:c>
      <x:c r="U91" s="118" t="n">
        <x:v>0</x:v>
      </x:c>
      <x:c r="V91" s="118" t="n">
        <x:v>0</x:v>
      </x:c>
      <x:c r="W91" s="118" t="n">
        <x:v>0</x:v>
      </x:c>
      <x:c r="X91" s="118" t="n">
        <x:v>0</x:v>
      </x:c>
      <x:c r="Y91" s="118" t="n">
        <x:v>0</x:v>
      </x:c>
      <x:c r="Z91" s="118" t="n">
        <x:v>0</x:v>
      </x:c>
      <x:c r="AA91" s="118" t="n">
        <x:v>0</x:v>
      </x:c>
      <x:c r="AB91" s="118" t="n">
        <x:v>0</x:v>
      </x:c>
      <x:c r="AC91" s="118" t="n">
        <x:v>0</x:v>
      </x:c>
    </x:row>
    <x:row r="92" ht="46" customHeight="1">
      <x:c r="A92" s="117" t="str">
        <x:v>300Ro00000hx9ZcIAI</x:v>
      </x:c>
      <x:c r="B92" s="117" t="str">
        <x:v>Calibration_due_soon_30_days_3</x:v>
      </x:c>
      <x:c r="C92" s="117" t="str">
        <x:v>Yes</x:v>
      </x:c>
      <x:c r="D92" s="119" t="str">
        <x:v>Active v1 (Retrieved XML)</x:v>
      </x:c>
      <x:c r="E92" s="119" t="str">
        <x:v>Days_until_next_Calibration__c EqualTo numberValue=30.0</x:v>
      </x:c>
      <x:c r="F92" s="119" t="str">
        <x:v>Equipment__c</x:v>
      </x:c>
      <x:c r="G92" s="119" t="str">
        <x:v>Days_until_next_Calibration__c, Id</x:v>
      </x:c>
      <x:c r="H92" s="119" t="str">
        <x:v>Equipment__c.Calibration_due_soon</x:v>
      </x:c>
      <x:c r="I92" s="119" t="str"/>
      <x:c r="J92" s="119" t="str"/>
      <x:c r="K92" s="118" t="n">
        <x:v>2</x:v>
      </x:c>
      <x:c r="L92" s="118" t="n">
        <x:v>1</x:v>
      </x:c>
      <x:c r="M92" s="118" t="n">
        <x:v>0</x:v>
      </x:c>
      <x:c r="N92" s="118" t="n">
        <x:v>0</x:v>
      </x:c>
      <x:c r="O92" s="118" t="n">
        <x:v>0</x:v>
      </x:c>
      <x:c r="P92" s="118" t="n">
        <x:v>0</x:v>
      </x:c>
      <x:c r="Q92" s="118" t="n">
        <x:v>0</x:v>
      </x:c>
      <x:c r="R92" s="118" t="n">
        <x:v>0</x:v>
      </x:c>
      <x:c r="S92" s="118" t="n">
        <x:v>0</x:v>
      </x:c>
      <x:c r="T92" s="118" t="n">
        <x:v>0</x:v>
      </x:c>
      <x:c r="U92" s="118" t="n">
        <x:v>0</x:v>
      </x:c>
      <x:c r="V92" s="118" t="n">
        <x:v>0</x:v>
      </x:c>
      <x:c r="W92" s="118" t="n">
        <x:v>0</x:v>
      </x:c>
      <x:c r="X92" s="118" t="n">
        <x:v>0</x:v>
      </x:c>
      <x:c r="Y92" s="118" t="n">
        <x:v>0</x:v>
      </x:c>
      <x:c r="Z92" s="118" t="n">
        <x:v>0</x:v>
      </x:c>
      <x:c r="AA92" s="118" t="n">
        <x:v>0</x:v>
      </x:c>
      <x:c r="AB92" s="118" t="n">
        <x:v>0</x:v>
      </x:c>
      <x:c r="AC92" s="118" t="n">
        <x:v>0</x:v>
      </x:c>
    </x:row>
    <x:row r="93" ht="46" customHeight="1">
      <x:c r="A93" s="117" t="str">
        <x:v>300Ro00000Pz0khIAB</x:v>
      </x:c>
      <x:c r="B93" s="117" t="str">
        <x:v>Cardio_Labs_Checklist</x:v>
      </x:c>
      <x:c r="C93" s="117" t="str">
        <x:v>Yes</x:v>
      </x:c>
      <x:c r="D93" s="119" t="str">
        <x:v>Active v8 (Retrieved XML)</x:v>
      </x:c>
      <x:c r="E93" s="119" t="str"/>
      <x:c r="F93" s="119" t="str">
        <x:v>ServiceAppointment, WorkOrder</x:v>
      </x:c>
      <x:c r="G93" s="119" t="str">
        <x:v>AEC_Cut_Off_Comments__c, AEC_Cut_Off__c, Additional_Documentation_Reference__c, Alignment_and_Centring_Comments__c, Alignment_and_Centring__c, Alignment_and_Positioning_Comments__c, Alignment_and_Positioning__c, BF_Outputs_Comments__c, BF_Outputs__c, BIOS_Battery_Voltage__c, Bearings_and_Tracks_Comments__c, Bearings_and_Tracks__c, Brakes_and_Locks_Comments__c, Brakes_and_Locks__c, CS_and_HE_Comments__c, C_Arm_Movements_Comments__c, C_Arm_Movements__c, Cables_and_Hanger_Supports_Comments__c, Cables_and_Hanger_Supports__c, Checklist_Type__c, Collimator_Comments__c, Collimator_Function_and_Alignment__c, Contrast_Full_Field_Mode_Comments__c, Contrast_Full_Field_Mode__c, Contrast_Mag_1__c, Contrast_Mag_2__c, Contrast_Mag_3__c, Contrast_Mag_4__c, Contrast_Reading_Full_Field_Mode__c, Contrast_Reading_Mag_1__c, Contrast_Reading_Mag_2__c, Contrast_Reading_Mag_3__c, Contrast_Reading_Mag_4__c, Cooling_Systems_and_Heat_Exchangers__c, Covers_Secured_Comments__c, Covers_Secured__c, DAP_Accuracy_Comments__c, DAP_Accuracy__c, Detector_Calibration_Comments__c, Detector_Calibration__c, Detector_Drives_and_Sensors_Comments__c, Detector_Drives_and_Sensors__c, Detector_Drop_Sensors_Comments__c, Detector_Drop_Sensors__c, Detector_Uniformity_Comments__c, Detector_Uniformity__c, Direct_Acquisition_Comments__c, Direct_Acquisition__c, Emergency_Stop_Switches_Comments__c, Emergency_Stop_Switches_and_Isolators__c, End_to_End_DICOM_Comments__c, End_to_End_DICOM__c, Error_Logs_Comments__c, Error_Logs__c, Exposure_Index_Comments__c, Exposure_Index__c, Exposure_Indicators_Comments__c, Exposure_Indicators__c, FF_Outputs_Comments__c, FF_Outputs__c, Final_Functional_Checks_Comments__c, Final_Functional_Checks__c, Final_Visual_Checks_Comments__c, Final_Visual_Checks__c, Full_Field_Dose_Comments__c, Full_Field_Dose__c, Generate_Service_Report_HTML__c, Grid_Artifacts_Comments__c, Grid_Artifacts__c, Grid_Assembly_Comments__c, Grid_Assembly__c, HT_Cable_Status_and_Continuity_Comments__c, HT_Cable_Status_and_Continuity__c, Handswitch_and_Foot_Pedals_Comments__c, Handswitch_and_Foot_Pedals__c, Id, Image_Display_Quality_Comments__c, Image_Display_Quality__c, Interconnect_Collision_Detects_Comments__c, Interconnect_Collision_Detects__c, Limit_Switches_Comments__c, Limit_Switches__c, Mag_1_Comments__c, Mag_1__c, Mag_2_Comments__c, Mag_2__c, Mag_3_Comments__c, Mag_3__c, Mag_4_Comments__c, Mag_4__c, Mechanical_Security_Comments__c, Mechanical_Security__c, Mechanical_Visual_Inspection_Comments__c, Mechanical_Visual_Inspection__c, Motorised_Positioning_Comments__c, Motorised_Positioning__c, Mountings_and_Fixings_Comments__c, Mountings_and_Fixings__c, Positioning_Aids_and_Supports_Comments__c, Positioning_Aids_and_Supports__c, Post_Processing_Functions_Comments__c, Post_Processing_Functions__c, Pulsed_Fluoroscopy_Comments__c, Pulsed_Fluoroscopy__c, Resolution_Full_Field_Mode__c, Resolution_Mag_1__c, Resolution_Mag_2__c, Resolution_Mag_3__c, Resolution_Mag_4__c, Resolution_Reading_Full_Field_Mode__c, Resolution_Reading_Mag_1__c, Resolution_Reading_Mag_2__c, Resolution_Reading_Mag_3__c, Resolution_Reading_Mag_4__c, Room_Warning_Lights_Comments__c, Room_Warning_Lights__c, Switches_Pedals_and_Controls_Comments__c, Switches_Pedals_and_Controls__c, System_Earth_Continuity_Comments__c, System_Earth_Continuity__c, Tube_Adjustments_Comments__c, Tube_Adjustments_Performed__c, UI_Clean_Comments__c, UI_Clean_Completed__c, UPS_Battery_Comments__c, UPS_Battery__c, Ventilation_Clean_Comments__c, Ventilation_Clean__c, Virtual_Collimator_Alignment_Comments__c, Virtual_Collimator_Alignment__c, Visual_Inspection_Comments__c, Visual_Inspection__c, Wire_Ropes_and_Pulleys_Comments__c, Wire_Ropes_and_Pulleys__c, X5_Minute_Warning_Comments__c, X5_Minute_Warning__c, mF_Outputs_Comments__c, mF_Outputs__c</x:v>
      </x:c>
      <x:c r="H93" s="119" t="str"/>
      <x:c r="I93" s="119" t="str"/>
      <x:c r="J93" s="119" t="str"/>
      <x:c r="K93" s="118" t="n">
        <x:v>16</x:v>
      </x:c>
      <x:c r="L93" s="118" t="n">
        <x:v>0</x:v>
      </x:c>
      <x:c r="M93" s="118" t="n">
        <x:v>0</x:v>
      </x:c>
      <x:c r="N93" s="118" t="n">
        <x:v>0</x:v>
      </x:c>
      <x:c r="O93" s="118" t="n">
        <x:v>0</x:v>
      </x:c>
      <x:c r="P93" s="118" t="n">
        <x:v>0</x:v>
      </x:c>
      <x:c r="Q93" s="118" t="n">
        <x:v>0</x:v>
      </x:c>
      <x:c r="R93" s="118" t="n">
        <x:v>0</x:v>
      </x:c>
      <x:c r="S93" s="118" t="n">
        <x:v>0</x:v>
      </x:c>
      <x:c r="T93" s="118" t="n">
        <x:v>0</x:v>
      </x:c>
      <x:c r="U93" s="118" t="n">
        <x:v>0</x:v>
      </x:c>
      <x:c r="V93" s="118" t="n">
        <x:v>1</x:v>
      </x:c>
      <x:c r="W93" s="118" t="n">
        <x:v>0</x:v>
      </x:c>
      <x:c r="X93" s="118" t="n">
        <x:v>7</x:v>
      </x:c>
      <x:c r="Y93" s="118" t="n">
        <x:v>7</x:v>
      </x:c>
      <x:c r="Z93" s="118" t="n">
        <x:v>0</x:v>
      </x:c>
      <x:c r="AA93" s="118" t="n">
        <x:v>0</x:v>
      </x:c>
      <x:c r="AB93" s="118" t="n">
        <x:v>0</x:v>
      </x:c>
      <x:c r="AC93" s="118" t="n">
        <x:v>0</x:v>
      </x:c>
    </x:row>
    <x:row r="94" ht="46" customHeight="1">
      <x:c r="A94" s="117" t="str">
        <x:v>300Ro00000tqEwyIAE</x:v>
      </x:c>
      <x:c r="B94" s="117" t="str">
        <x:v>Case_Creation_Created_by_Entity_and_Initial_Assignment_Record_Triggered_Flow</x:v>
      </x:c>
      <x:c r="C94" s="117" t="str">
        <x:v>Yes</x:v>
      </x:c>
      <x:c r="D94" s="119" t="str">
        <x:v>Active v2 (Retrieved XML)</x:v>
      </x:c>
      <x:c r="E94" s="119" t="str">
        <x:v>RecordTypeId EqualTo stringValue=0125b000000LWo1AAG</x:v>
      </x:c>
      <x:c r="F94" s="119" t="str">
        <x:v>Case</x:v>
      </x:c>
      <x:c r="G94" s="119" t="str">
        <x:v>Assigned_To__c, CreatedBy, Created_by_Entity__c, RecordTypeId, Status</x:v>
      </x:c>
      <x:c r="H94" s="119" t="str"/>
      <x:c r="I94" s="119" t="str"/>
      <x:c r="J94" s="119" t="str"/>
      <x:c r="K94" s="118" t="n">
        <x:v>5</x:v>
      </x:c>
      <x:c r="L94" s="118" t="n">
        <x:v>0</x:v>
      </x:c>
      <x:c r="M94" s="118" t="n">
        <x:v>0</x:v>
      </x:c>
      <x:c r="N94" s="118" t="n">
        <x:v>2</x:v>
      </x:c>
      <x:c r="O94" s="118" t="n">
        <x:v>0</x:v>
      </x:c>
      <x:c r="P94" s="118" t="n">
        <x:v>0</x:v>
      </x:c>
      <x:c r="Q94" s="118" t="n">
        <x:v>1</x:v>
      </x:c>
      <x:c r="R94" s="118" t="n">
        <x:v>0</x:v>
      </x:c>
      <x:c r="S94" s="118" t="n">
        <x:v>0</x:v>
      </x:c>
      <x:c r="T94" s="118" t="n">
        <x:v>0</x:v>
      </x:c>
      <x:c r="U94" s="118" t="n">
        <x:v>0</x:v>
      </x:c>
      <x:c r="V94" s="118" t="n">
        <x:v>0</x:v>
      </x:c>
      <x:c r="W94" s="118" t="n">
        <x:v>0</x:v>
      </x:c>
      <x:c r="X94" s="118" t="n">
        <x:v>1</x:v>
      </x:c>
      <x:c r="Y94" s="118" t="n">
        <x:v>0</x:v>
      </x:c>
      <x:c r="Z94" s="118" t="n">
        <x:v>0</x:v>
      </x:c>
      <x:c r="AA94" s="118" t="n">
        <x:v>0</x:v>
      </x:c>
      <x:c r="AB94" s="118" t="n">
        <x:v>0</x:v>
      </x:c>
      <x:c r="AC94" s="118" t="n">
        <x:v>0</x:v>
      </x:c>
    </x:row>
    <x:row r="95" ht="46" customHeight="1">
      <x:c r="A95" s="117" t="str">
        <x:v>3005b000000H3sLAAS</x:v>
      </x:c>
      <x:c r="B95" s="117" t="str">
        <x:v>Case_Online_Repair_Evaluation_Tool</x:v>
      </x:c>
      <x:c r="C95" s="117" t="str">
        <x:v>Yes</x:v>
      </x:c>
      <x:c r="D95" s="119" t="str">
        <x:v>Active v13 (Retrieved XML)</x:v>
      </x:c>
      <x:c r="E95" s="119" t="str">
        <x:v>Repair_Eval_Quote__c NotEqualTo numberValue=0.0 | Repair_Eval_Quote__c IsNull booleanValue=false | Repair_Eval_Endoscopy_Type__c IsNull booleanValue=false</x:v>
      </x:c>
      <x:c r="F95" s="119" t="str">
        <x:v>Case, Opportunity, RMA__c, RecordType, User</x:v>
      </x:c>
      <x:c r="G95" s="119" t="str">
        <x:v>Account, AccountId, CloseDate, Contact_Name__c, Create_Shipment__c, CurrencyIsoCode, Customer_Email__c, Customer_Probe_Type__c, Customer_Return_City__c, Customer_Return_Country__c, Customer_Return_Postal_Code__c, Customer_Return_State__c, Customer_Return_Street__c, Description, DeveloperName, FirstName, Id, IsActive, LastName, LeadSource, Lead_Source_Detail__c, Name, Opportunity__c, OwnerId, Quality_Issue_Notes__c, RMA_Item_Serial_Number__c, RecordTypeId, Repair_Eval_Contact_City__c, Repair_Eval_Contact_Country__c, Repair_Eval_Contact_Email__c, Repair_Eval_Contact_First_Name__c, Repair_Eval_Contact_Last_Name__c, Repair_Eval_Contact_Postal_Code__c, Repair_Eval_Contact_State__c, Repair_Eval_Contact_Street__c, Repair_Eval_Endoscope_Manufacturer__c, Repair_Eval_Endoscope_Model__c, Repair_Eval_Endoscopy_Type__c, Repair_Eval_Probe_Model__c, Repair_Eval_Probe_Serial_No__c, Repair_Eval_Probe_Type__c, Repair_Eval_Quote__c, Sales_Lead_Source__c, ShippingCity__c, ShippingCountry__c, ShippingPostalCode__c, ShippingState__c, ShippingStreet__c, Shipping_FROM_Location__c, SobjectType, StageName</x:v>
      </x:c>
      <x:c r="H95" s="119" t="str">
        <x:v>invocableEmailAttachmentRepairQuote, invocableEmailAttachmentRepairQuoteUK</x:v>
      </x:c>
      <x:c r="I95" s="119" t="str"/>
      <x:c r="J95" s="119" t="str"/>
      <x:c r="K95" s="118" t="n">
        <x:v>10</x:v>
      </x:c>
      <x:c r="L95" s="118" t="n">
        <x:v>2</x:v>
      </x:c>
      <x:c r="M95" s="118" t="n">
        <x:v>0</x:v>
      </x:c>
      <x:c r="N95" s="118" t="n">
        <x:v>0</x:v>
      </x:c>
      <x:c r="O95" s="118" t="n">
        <x:v>0</x:v>
      </x:c>
      <x:c r="P95" s="118" t="n">
        <x:v>0</x:v>
      </x:c>
      <x:c r="Q95" s="118" t="n">
        <x:v>2</x:v>
      </x:c>
      <x:c r="R95" s="118" t="n">
        <x:v>0</x:v>
      </x:c>
      <x:c r="S95" s="118" t="n">
        <x:v>0</x:v>
      </x:c>
      <x:c r="T95" s="118" t="n">
        <x:v>1</x:v>
      </x:c>
      <x:c r="U95" s="118" t="n">
        <x:v>0</x:v>
      </x:c>
      <x:c r="V95" s="118" t="n">
        <x:v>2</x:v>
      </x:c>
      <x:c r="W95" s="118" t="n">
        <x:v>0</x:v>
      </x:c>
      <x:c r="X95" s="118" t="n">
        <x:v>2</x:v>
      </x:c>
      <x:c r="Y95" s="118" t="n">
        <x:v>0</x:v>
      </x:c>
      <x:c r="Z95" s="118" t="n">
        <x:v>0</x:v>
      </x:c>
      <x:c r="AA95" s="118" t="n">
        <x:v>0</x:v>
      </x:c>
      <x:c r="AB95" s="118" t="n">
        <x:v>0</x:v>
      </x:c>
      <x:c r="AC95" s="118" t="n">
        <x:v>0</x:v>
      </x:c>
    </x:row>
    <x:row r="96" ht="46" customHeight="1">
      <x:c r="A96" s="117" t="str">
        <x:v>3004O000000XhC6QAK</x:v>
      </x:c>
      <x:c r="B96" s="117" t="str">
        <x:v>Case_PB</x:v>
      </x:c>
      <x:c r="C96" s="117" t="str">
        <x:v>Yes</x:v>
      </x:c>
      <x:c r="D96" s="119" t="str">
        <x:v>Active v23 (Retrieved XML)</x:v>
      </x:c>
      <x:c r="E96" s="119" t="str"/>
      <x:c r="F96" s="119" t="str">
        <x:v>Case</x:v>
      </x:c>
      <x:c r="G96" s="119" t="str">
        <x:v>Id, Status, Type</x:v>
      </x:c>
      <x:c r="H96" s="119" t="str">
        <x:v>Case.Case_claimed_auto_response_email, Case.Send_quote_for_online_repair_tool_0, Case.Send_quote_for_online_repair_tool_0_UK, customNotificationAction</x:v>
      </x:c>
      <x:c r="I96" s="119" t="str"/>
      <x:c r="J96" s="119" t="str"/>
      <x:c r="K96" s="118" t="n">
        <x:v>24</x:v>
      </x:c>
      <x:c r="L96" s="118" t="n">
        <x:v>6</x:v>
      </x:c>
      <x:c r="M96" s="118" t="n">
        <x:v>0</x:v>
      </x:c>
      <x:c r="N96" s="118" t="n">
        <x:v>3</x:v>
      </x:c>
      <x:c r="O96" s="118" t="n">
        <x:v>0</x:v>
      </x:c>
      <x:c r="P96" s="118" t="n">
        <x:v>0</x:v>
      </x:c>
      <x:c r="Q96" s="118" t="n">
        <x:v>11</x:v>
      </x:c>
      <x:c r="R96" s="118" t="n">
        <x:v>0</x:v>
      </x:c>
      <x:c r="S96" s="118" t="n">
        <x:v>0</x:v>
      </x:c>
      <x:c r="T96" s="118" t="n">
        <x:v>0</x:v>
      </x:c>
      <x:c r="U96" s="118" t="n">
        <x:v>0</x:v>
      </x:c>
      <x:c r="V96" s="118" t="n">
        <x:v>0</x:v>
      </x:c>
      <x:c r="W96" s="118" t="n">
        <x:v>0</x:v>
      </x:c>
      <x:c r="X96" s="118" t="n">
        <x:v>4</x:v>
      </x:c>
      <x:c r="Y96" s="118" t="n">
        <x:v>0</x:v>
      </x:c>
      <x:c r="Z96" s="118" t="n">
        <x:v>0</x:v>
      </x:c>
      <x:c r="AA96" s="118" t="n">
        <x:v>0</x:v>
      </x:c>
      <x:c r="AB96" s="118" t="n">
        <x:v>0</x:v>
      </x:c>
      <x:c r="AC96" s="118" t="n">
        <x:v>0</x:v>
      </x:c>
    </x:row>
    <x:row r="97" ht="46" customHeight="1">
      <x:c r="A97" s="117" t="str">
        <x:v>300Ro00000tqEwzIAE</x:v>
      </x:c>
      <x:c r="B97" s="117" t="str">
        <x:v>Case_Update_Case_Automations_Record_Triggered_Flow</x:v>
      </x:c>
      <x:c r="C97" s="117" t="str">
        <x:v>Yes</x:v>
      </x:c>
      <x:c r="D97" s="119" t="str">
        <x:v>Active v3 (Retrieved XML)</x:v>
      </x:c>
      <x:c r="E97" s="119" t="str"/>
      <x:c r="F97" s="119" t="str">
        <x:v>Case</x:v>
      </x:c>
      <x:c r="G97" s="119" t="str">
        <x:v>Assigned_To__c, Assigned_To__r, Status</x:v>
      </x:c>
      <x:c r="H97" s="119" t="str"/>
      <x:c r="I97" s="119" t="str"/>
      <x:c r="J97" s="119" t="str"/>
      <x:c r="K97" s="118" t="n">
        <x:v>9</x:v>
      </x:c>
      <x:c r="L97" s="118" t="n">
        <x:v>0</x:v>
      </x:c>
      <x:c r="M97" s="118" t="n">
        <x:v>0</x:v>
      </x:c>
      <x:c r="N97" s="118" t="n">
        <x:v>3</x:v>
      </x:c>
      <x:c r="O97" s="118" t="n">
        <x:v>0</x:v>
      </x:c>
      <x:c r="P97" s="118" t="n">
        <x:v>0</x:v>
      </x:c>
      <x:c r="Q97" s="118" t="n">
        <x:v>4</x:v>
      </x:c>
      <x:c r="R97" s="118" t="n">
        <x:v>0</x:v>
      </x:c>
      <x:c r="S97" s="118" t="n">
        <x:v>0</x:v>
      </x:c>
      <x:c r="T97" s="118" t="n">
        <x:v>0</x:v>
      </x:c>
      <x:c r="U97" s="118" t="n">
        <x:v>0</x:v>
      </x:c>
      <x:c r="V97" s="118" t="n">
        <x:v>0</x:v>
      </x:c>
      <x:c r="W97" s="118" t="n">
        <x:v>0</x:v>
      </x:c>
      <x:c r="X97" s="118" t="n">
        <x:v>1</x:v>
      </x:c>
      <x:c r="Y97" s="118" t="n">
        <x:v>0</x:v>
      </x:c>
      <x:c r="Z97" s="118" t="n">
        <x:v>0</x:v>
      </x:c>
      <x:c r="AA97" s="118" t="n">
        <x:v>0</x:v>
      </x:c>
      <x:c r="AB97" s="118" t="n">
        <x:v>0</x:v>
      </x:c>
      <x:c r="AC97" s="118" t="n">
        <x:v>0</x:v>
      </x:c>
    </x:row>
    <x:row r="98" ht="46" customHeight="1">
      <x:c r="A98" s="117" t="str">
        <x:v>3005b000000H42uAAC</x:v>
      </x:c>
      <x:c r="B98" s="117" t="str">
        <x:v>Change_Contract_Line_Item_Product_UK</x:v>
      </x:c>
      <x:c r="C98" s="117" t="str">
        <x:v>Yes</x:v>
      </x:c>
      <x:c r="D98" s="119" t="str">
        <x:v>Active v9 (Retrieved XML)</x:v>
      </x:c>
      <x:c r="E98" s="119" t="str"/>
      <x:c r="F98" s="119" t="str">
        <x:v>ContractLineItem, Entitlement, PricebookEntry, WorkOrder</x:v>
      </x:c>
      <x:c r="G98" s="119" t="str">
        <x:v>AssetId, Coils__c, Contact__c, ContractLineItemId, Contract_Line_Item__c, Coverage_Level__c, CurrencyIsoCode, DICOM_PACS_2nd_AE_Title__c, DICOM_PACS_2nd_IP_Address__c, DICOM_PACS_2nd_Port_No__c, DICOM_PACS_AE_Title__c, DICOM_PACS_IP_Address__c, DICOM_PACS_Port_No__c, Department__c, Description, Details__c, Discount, EndDate, Engineer_Notes__c, Exposure_Count__c, HDWR_and_SW_Info__c, Helium_Level__c, Hospital_Asset_Number__c, Host_Chip_ID__c, Id, Installation_Date__c, IsActive, Line_Item_Value_After_Discount__c, Local_AE_Title__c, Local_Default_Gateway__c, Local_IP_Address__c, Local_Port_No__c, Local_Subnet_Mask__c, Location_of_Equipment__c, MIUS_Serial_Number__c, Manufacturer__c, Modality__c, New_Multi_Year__c, New_on_Contract__c, Number_of_PMs__c, Number_of_Probe_Replacements__c, ParentContractLineItemId, Part_No__c, Parts_Shipped_on_Contract_Line_Item__c, Peripherals__c, PricebookEntryId, Product2Id, Quantity, Reason_Removed__c, Removed_from_Contract__c, ServiceContractId, Service_Key_Expiry_Date__c, Service_Key__c, Service_Network_Settings__c, Software_Serial_Number__c, Software__c, StartDate, Subcontracted_Through__c, Subcontracted__c, System_Serial_Number__c, System_Type__c, Terms__c, Transducer_Serial__c, Transducers__c, Tube_Age__c, Tube_Info__c, UnitPrice, WIFI_Name__c, WiFi_Password__c, Worklist_AE_Title__c, Worklist_IP_Address__c, Worklist_Port_No__c</x:v>
      </x:c>
      <x:c r="H98" s="119" t="str"/>
      <x:c r="I98" s="119" t="str"/>
      <x:c r="J98" s="119" t="str">
        <x:v>flowruntime:lookup</x:v>
      </x:c>
      <x:c r="K98" s="118" t="n">
        <x:v>13</x:v>
      </x:c>
      <x:c r="L98" s="118" t="n">
        <x:v>0</x:v>
      </x:c>
      <x:c r="M98" s="118" t="n">
        <x:v>0</x:v>
      </x:c>
      <x:c r="N98" s="118" t="n">
        <x:v>0</x:v>
      </x:c>
      <x:c r="O98" s="118" t="n">
        <x:v>0</x:v>
      </x:c>
      <x:c r="P98" s="118" t="n">
        <x:v>0</x:v>
      </x:c>
      <x:c r="Q98" s="118" t="n">
        <x:v>0</x:v>
      </x:c>
      <x:c r="R98" s="118" t="n">
        <x:v>2</x:v>
      </x:c>
      <x:c r="S98" s="118" t="n">
        <x:v>0</x:v>
      </x:c>
      <x:c r="T98" s="118" t="n">
        <x:v>1</x:v>
      </x:c>
      <x:c r="U98" s="118" t="n">
        <x:v>1</x:v>
      </x:c>
      <x:c r="V98" s="118" t="n">
        <x:v>4</x:v>
      </x:c>
      <x:c r="W98" s="118" t="n">
        <x:v>0</x:v>
      </x:c>
      <x:c r="X98" s="118" t="n">
        <x:v>2</x:v>
      </x:c>
      <x:c r="Y98" s="118" t="n">
        <x:v>2</x:v>
      </x:c>
      <x:c r="Z98" s="118" t="n">
        <x:v>0</x:v>
      </x:c>
      <x:c r="AA98" s="118" t="n">
        <x:v>0</x:v>
      </x:c>
      <x:c r="AB98" s="118" t="n">
        <x:v>0</x:v>
      </x:c>
      <x:c r="AC98" s="118" t="n">
        <x:v>0</x:v>
      </x:c>
    </x:row>
    <x:row r="99" ht="46" customHeight="1">
      <x:c r="A99" s="117" t="str">
        <x:v>300Ro00000vlkEhIAI</x:v>
      </x:c>
      <x:c r="B99" s="117" t="str">
        <x:v>Change_Request_After_Update_Lifecycle_Automations</x:v>
      </x:c>
      <x:c r="C99" s="117" t="str">
        <x:v>Yes</x:v>
      </x:c>
      <x:c r="D99" s="119" t="str">
        <x:v>Active v1 (Retrieved XML)</x:v>
      </x:c>
      <x:c r="E99" s="119" t="str">
        <x:v>Change_Request_Status__c IsChanged booleanValue=true</x:v>
      </x:c>
      <x:c r="F99" s="119" t="str">
        <x:v>Change_Request__c</x:v>
      </x:c>
      <x:c r="G99" s="119" t="str">
        <x:v>Approved_By__c, Approved_By__r, CC_Approval_Date__c, Change_Request_Status__c, Document_Owner__r, Last_Reviewed_By__c, Last_Reviewed_Date__c, Published_Date__c, Related_Document__r</x:v>
      </x:c>
      <x:c r="H99" s="119" t="str"/>
      <x:c r="I99" s="119" t="str"/>
      <x:c r="J99" s="119" t="str"/>
      <x:c r="K99" s="118" t="n">
        <x:v>3</x:v>
      </x:c>
      <x:c r="L99" s="118" t="n">
        <x:v>0</x:v>
      </x:c>
      <x:c r="M99" s="118" t="n">
        <x:v>0</x:v>
      </x:c>
      <x:c r="N99" s="118" t="n">
        <x:v>0</x:v>
      </x:c>
      <x:c r="O99" s="118" t="n">
        <x:v>0</x:v>
      </x:c>
      <x:c r="P99" s="118" t="n">
        <x:v>0</x:v>
      </x:c>
      <x:c r="Q99" s="118" t="n">
        <x:v>1</x:v>
      </x:c>
      <x:c r="R99" s="118" t="n">
        <x:v>0</x:v>
      </x:c>
      <x:c r="S99" s="118" t="n">
        <x:v>0</x:v>
      </x:c>
      <x:c r="T99" s="118" t="n">
        <x:v>0</x:v>
      </x:c>
      <x:c r="U99" s="118" t="n">
        <x:v>0</x:v>
      </x:c>
      <x:c r="V99" s="118" t="n">
        <x:v>0</x:v>
      </x:c>
      <x:c r="W99" s="118" t="n">
        <x:v>0</x:v>
      </x:c>
      <x:c r="X99" s="118" t="n">
        <x:v>1</x:v>
      </x:c>
      <x:c r="Y99" s="118" t="n">
        <x:v>0</x:v>
      </x:c>
      <x:c r="Z99" s="118" t="n">
        <x:v>0</x:v>
      </x:c>
      <x:c r="AA99" s="118" t="n">
        <x:v>0</x:v>
      </x:c>
      <x:c r="AB99" s="118" t="n">
        <x:v>0</x:v>
      </x:c>
      <x:c r="AC99" s="118" t="n">
        <x:v>0</x:v>
      </x:c>
    </x:row>
    <x:row r="100" ht="46" customHeight="1">
      <x:c r="A100" s="117" t="str">
        <x:v>300Ro00000tWVtzIAG</x:v>
      </x:c>
      <x:c r="B100" s="117" t="str">
        <x:v>Change_Request_Screen_Flow_Request_New_Document</x:v>
      </x:c>
      <x:c r="C100" s="117" t="str">
        <x:v>Yes</x:v>
      </x:c>
      <x:c r="D100" s="119" t="str">
        <x:v>Active v2 (Retrieved XML)</x:v>
      </x:c>
      <x:c r="E100" s="119" t="str"/>
      <x:c r="F100" s="119" t="str">
        <x:v>Change_Request__c, Training_Item__c</x:v>
      </x:c>
      <x:c r="G100" s="119" t="str">
        <x:v>Change_Request_Notes__c, Change_Request_Status__c, Document_Owner__c, Id, New_or_Existing_Document__c, Related_Document_ID__c, Related_Document__c, Submitted_Date__c, Suggested_Document_Name__c, Version_Number__c</x:v>
      </x:c>
      <x:c r="H100" s="119" t="str"/>
      <x:c r="I100" s="119" t="str"/>
      <x:c r="J100" s="119" t="str">
        <x:v>flowruntime:lookup</x:v>
      </x:c>
      <x:c r="K100" s="118" t="n">
        <x:v>10</x:v>
      </x:c>
      <x:c r="L100" s="118" t="n">
        <x:v>0</x:v>
      </x:c>
      <x:c r="M100" s="118" t="n">
        <x:v>0</x:v>
      </x:c>
      <x:c r="N100" s="118" t="n">
        <x:v>1</x:v>
      </x:c>
      <x:c r="O100" s="118" t="n">
        <x:v>0</x:v>
      </x:c>
      <x:c r="P100" s="118" t="n">
        <x:v>0</x:v>
      </x:c>
      <x:c r="Q100" s="118" t="n">
        <x:v>3</x:v>
      </x:c>
      <x:c r="R100" s="118" t="n">
        <x:v>0</x:v>
      </x:c>
      <x:c r="S100" s="118" t="n">
        <x:v>0</x:v>
      </x:c>
      <x:c r="T100" s="118" t="n">
        <x:v>1</x:v>
      </x:c>
      <x:c r="U100" s="118" t="n">
        <x:v>0</x:v>
      </x:c>
      <x:c r="V100" s="118" t="n">
        <x:v>2</x:v>
      </x:c>
      <x:c r="W100" s="118" t="n">
        <x:v>0</x:v>
      </x:c>
      <x:c r="X100" s="118" t="n">
        <x:v>0</x:v>
      </x:c>
      <x:c r="Y100" s="118" t="n">
        <x:v>2</x:v>
      </x:c>
      <x:c r="Z100" s="118" t="n">
        <x:v>0</x:v>
      </x:c>
      <x:c r="AA100" s="118" t="n">
        <x:v>0</x:v>
      </x:c>
      <x:c r="AB100" s="118" t="n">
        <x:v>0</x:v>
      </x:c>
      <x:c r="AC100" s="118" t="n">
        <x:v>0</x:v>
      </x:c>
    </x:row>
    <x:row r="101" ht="46" customHeight="1">
      <x:c r="A101" s="117" t="str">
        <x:v>3005b000000H421AAC</x:v>
      </x:c>
      <x:c r="B101" s="117" t="str">
        <x:v>Charge_for_Removal_Update_Flow_for_Big_Iron_Equipment</x:v>
      </x:c>
      <x:c r="C101" s="117" t="str">
        <x:v>Yes</x:v>
      </x:c>
      <x:c r="D101" s="119" t="str">
        <x:v>Active v2 (Retrieved XML)</x:v>
      </x:c>
      <x:c r="E101" s="119" t="str">
        <x:v>Charge_for_Removal__c EqualTo booleanValue=true</x:v>
      </x:c>
      <x:c r="F101" s="119" t="str">
        <x:v>Product2, ProductItem__c</x:v>
      </x:c>
      <x:c r="G101" s="119" t="str">
        <x:v>Charge_for_Removal__c, Designated_For__c, Estimated_Sales_Price__c, Id, Max_Bid__c, Product_Name__r, QA_Required__c, Starting_Bid__c, Working_Capital_Usage_Days__c</x:v>
      </x:c>
      <x:c r="H101" s="119" t="str"/>
      <x:c r="I101" s="119" t="str"/>
      <x:c r="J101" s="119" t="str"/>
      <x:c r="K101" s="118" t="n">
        <x:v>3</x:v>
      </x:c>
      <x:c r="L101" s="118" t="n">
        <x:v>0</x:v>
      </x:c>
      <x:c r="M101" s="118" t="n">
        <x:v>0</x:v>
      </x:c>
      <x:c r="N101" s="118" t="n">
        <x:v>0</x:v>
      </x:c>
      <x:c r="O101" s="118" t="n">
        <x:v>0</x:v>
      </x:c>
      <x:c r="P101" s="118" t="n">
        <x:v>0</x:v>
      </x:c>
      <x:c r="Q101" s="118" t="n">
        <x:v>0</x:v>
      </x:c>
      <x:c r="R101" s="118" t="n">
        <x:v>0</x:v>
      </x:c>
      <x:c r="S101" s="118" t="n">
        <x:v>0</x:v>
      </x:c>
      <x:c r="T101" s="118" t="n">
        <x:v>0</x:v>
      </x:c>
      <x:c r="U101" s="118" t="n">
        <x:v>0</x:v>
      </x:c>
      <x:c r="V101" s="118" t="n">
        <x:v>1</x:v>
      </x:c>
      <x:c r="W101" s="118" t="n">
        <x:v>0</x:v>
      </x:c>
      <x:c r="X101" s="118" t="n">
        <x:v>1</x:v>
      </x:c>
      <x:c r="Y101" s="118" t="n">
        <x:v>0</x:v>
      </x:c>
      <x:c r="Z101" s="118" t="n">
        <x:v>0</x:v>
      </x:c>
      <x:c r="AA101" s="118" t="n">
        <x:v>0</x:v>
      </x:c>
      <x:c r="AB101" s="118" t="n">
        <x:v>0</x:v>
      </x:c>
      <x:c r="AC101" s="118" t="n">
        <x:v>0</x:v>
      </x:c>
    </x:row>
    <x:row r="102" ht="46" customHeight="1">
      <x:c r="A102" s="117" t="str">
        <x:v>300Ro00000yA4ZFIA0</x:v>
      </x:c>
      <x:c r="B102" s="117" t="str">
        <x:v>Cloned_Opportunity_Update_FSR_Attached_and_FSR_Not_Required_to_False</x:v>
      </x:c>
      <x:c r="C102" s="117" t="str">
        <x:v>Yes</x:v>
      </x:c>
      <x:c r="D102" s="119" t="str">
        <x:v>Active v1 (Retrieved XML)</x:v>
      </x:c>
      <x:c r="E102" s="119" t="str"/>
      <x:c r="F102" s="119" t="str">
        <x:v>Opportunity</x:v>
      </x:c>
      <x:c r="G102" s="119" t="str">
        <x:v>FSR_Attached__c, FSR_Not_Required__c</x:v>
      </x:c>
      <x:c r="H102" s="119" t="str"/>
      <x:c r="I102" s="119" t="str"/>
      <x:c r="J102" s="119" t="str"/>
      <x:c r="K102" s="118" t="n">
        <x:v>2</x:v>
      </x:c>
      <x:c r="L102" s="118" t="n">
        <x:v>0</x:v>
      </x:c>
      <x:c r="M102" s="118" t="n">
        <x:v>0</x:v>
      </x:c>
      <x:c r="N102" s="118" t="n">
        <x:v>1</x:v>
      </x:c>
      <x:c r="O102" s="118" t="n">
        <x:v>0</x:v>
      </x:c>
      <x:c r="P102" s="118" t="n">
        <x:v>0</x:v>
      </x:c>
      <x:c r="Q102" s="118" t="n">
        <x:v>0</x:v>
      </x:c>
      <x:c r="R102" s="118" t="n">
        <x:v>0</x:v>
      </x:c>
      <x:c r="S102" s="118" t="n">
        <x:v>0</x:v>
      </x:c>
      <x:c r="T102" s="118" t="n">
        <x:v>0</x:v>
      </x:c>
      <x:c r="U102" s="118" t="n">
        <x:v>0</x:v>
      </x:c>
      <x:c r="V102" s="118" t="n">
        <x:v>0</x:v>
      </x:c>
      <x:c r="W102" s="118" t="n">
        <x:v>0</x:v>
      </x:c>
      <x:c r="X102" s="118" t="n">
        <x:v>0</x:v>
      </x:c>
      <x:c r="Y102" s="118" t="n">
        <x:v>0</x:v>
      </x:c>
      <x:c r="Z102" s="118" t="n">
        <x:v>0</x:v>
      </x:c>
      <x:c r="AA102" s="118" t="n">
        <x:v>0</x:v>
      </x:c>
      <x:c r="AB102" s="118" t="n">
        <x:v>0</x:v>
      </x:c>
      <x:c r="AC102" s="118" t="n">
        <x:v>0</x:v>
      </x:c>
    </x:row>
    <x:row r="103" ht="46" customHeight="1">
      <x:c r="A103" s="117" t="str">
        <x:v>3005b000000H3h8AAC</x:v>
      </x:c>
      <x:c r="B103" s="117" t="str">
        <x:v>Close_Win_Charge_for_Removal_Op_Automatically</x:v>
      </x:c>
      <x:c r="C103" s="117" t="str">
        <x:v>Yes</x:v>
      </x:c>
      <x:c r="D103" s="119" t="str">
        <x:v>Active v3 (Retrieved XML)</x:v>
      </x:c>
      <x:c r="E103" s="119" t="str">
        <x:v>RecordTypeId EqualTo stringValue=0125b000000LWbqAAG | StageName EqualTo stringValue=Removal Completed | Related_Opportunity__c NotEqualTo stringValue= | Charge_for_Removal__c EqualTo booleanValue=true</x:v>
      </x:c>
      <x:c r="F103" s="119" t="str">
        <x:v>Opportunity</x:v>
      </x:c>
      <x:c r="G103" s="119" t="str">
        <x:v>Actual_Removal_Date__c, Charge_for_Removal__c, Id, RecordTypeId, Related_Opportunity__c, Related_Opportunity__r, Ship_Date__c, StageName, Tracking__c</x:v>
      </x:c>
      <x:c r="H103" s="119" t="str"/>
      <x:c r="I103" s="119" t="str"/>
      <x:c r="J103" s="119" t="str"/>
      <x:c r="K103" s="118" t="n">
        <x:v>3</x:v>
      </x:c>
      <x:c r="L103" s="118" t="n">
        <x:v>0</x:v>
      </x:c>
      <x:c r="M103" s="118" t="n">
        <x:v>0</x:v>
      </x:c>
      <x:c r="N103" s="118" t="n">
        <x:v>0</x:v>
      </x:c>
      <x:c r="O103" s="118" t="n">
        <x:v>0</x:v>
      </x:c>
      <x:c r="P103" s="118" t="n">
        <x:v>0</x:v>
      </x:c>
      <x:c r="Q103" s="118" t="n">
        <x:v>0</x:v>
      </x:c>
      <x:c r="R103" s="118" t="n">
        <x:v>0</x:v>
      </x:c>
      <x:c r="S103" s="118" t="n">
        <x:v>0</x:v>
      </x:c>
      <x:c r="T103" s="118" t="n">
        <x:v>0</x:v>
      </x:c>
      <x:c r="U103" s="118" t="n">
        <x:v>0</x:v>
      </x:c>
      <x:c r="V103" s="118" t="n">
        <x:v>1</x:v>
      </x:c>
      <x:c r="W103" s="118" t="n">
        <x:v>0</x:v>
      </x:c>
      <x:c r="X103" s="118" t="n">
        <x:v>1</x:v>
      </x:c>
      <x:c r="Y103" s="118" t="n">
        <x:v>0</x:v>
      </x:c>
      <x:c r="Z103" s="118" t="n">
        <x:v>0</x:v>
      </x:c>
      <x:c r="AA103" s="118" t="n">
        <x:v>0</x:v>
      </x:c>
      <x:c r="AB103" s="118" t="n">
        <x:v>0</x:v>
      </x:c>
      <x:c r="AC103" s="118" t="n">
        <x:v>0</x:v>
      </x:c>
    </x:row>
    <x:row r="104" ht="46" customHeight="1">
      <x:c r="A104" s="117" t="str">
        <x:v>3005b00000113fZAAQ</x:v>
      </x:c>
      <x:c r="B104" s="117" t="str">
        <x:v>CM_Set_Initial_Credit_Memo_Amount_from_Lines</x:v>
      </x:c>
      <x:c r="C104" s="117" t="str">
        <x:v>Yes</x:v>
      </x:c>
      <x:c r="D104" s="119" t="str">
        <x:v>Active v1 (Retrieved XML)</x:v>
      </x:c>
      <x:c r="E104" s="119" t="str">
        <x:v>Lock_Credit_Memo_Total_to_Line_Items__c EqualTo booleanValue=true | Lock_Credit_Memo_Total_to_Line_Items__c IsChanged booleanValue=true</x:v>
      </x:c>
      <x:c r="F104" s="119" t="str">
        <x:v>Credit_Memo__c, OpportunityLineItem</x:v>
      </x:c>
      <x:c r="G104" s="119" t="str">
        <x:v>Credit_Memo__c, Id, Lock_Credit_Memo_Total_to_Line_Items__c</x:v>
      </x:c>
      <x:c r="H104" s="119" t="str"/>
      <x:c r="I104" s="119" t="str"/>
      <x:c r="J104" s="119" t="str"/>
      <x:c r="K104" s="118" t="n">
        <x:v>6</x:v>
      </x:c>
      <x:c r="L104" s="118" t="n">
        <x:v>0</x:v>
      </x:c>
      <x:c r="M104" s="118" t="n">
        <x:v>0</x:v>
      </x:c>
      <x:c r="N104" s="118" t="n">
        <x:v>2</x:v>
      </x:c>
      <x:c r="O104" s="118" t="n">
        <x:v>0</x:v>
      </x:c>
      <x:c r="P104" s="118" t="n">
        <x:v>0</x:v>
      </x:c>
      <x:c r="Q104" s="118" t="n">
        <x:v>0</x:v>
      </x:c>
      <x:c r="R104" s="118" t="n">
        <x:v>1</x:v>
      </x:c>
      <x:c r="S104" s="118" t="n">
        <x:v>0</x:v>
      </x:c>
      <x:c r="T104" s="118" t="n">
        <x:v>0</x:v>
      </x:c>
      <x:c r="U104" s="118" t="n">
        <x:v>0</x:v>
      </x:c>
      <x:c r="V104" s="118" t="n">
        <x:v>1</x:v>
      </x:c>
      <x:c r="W104" s="118" t="n">
        <x:v>0</x:v>
      </x:c>
      <x:c r="X104" s="118" t="n">
        <x:v>1</x:v>
      </x:c>
      <x:c r="Y104" s="118" t="n">
        <x:v>0</x:v>
      </x:c>
      <x:c r="Z104" s="118" t="n">
        <x:v>0</x:v>
      </x:c>
      <x:c r="AA104" s="118" t="n">
        <x:v>0</x:v>
      </x:c>
      <x:c r="AB104" s="118" t="n">
        <x:v>0</x:v>
      </x:c>
      <x:c r="AC104" s="118" t="n">
        <x:v>0</x:v>
      </x:c>
    </x:row>
    <x:row r="105" ht="46" customHeight="1">
      <x:c r="A105" s="117" t="str">
        <x:v>3005b000000Pzl1AAC</x:v>
      </x:c>
      <x:c r="B105" s="117" t="str">
        <x:v>Coil_RMA_Update_Last_Test_Completed_Date_Flow</x:v>
      </x:c>
      <x:c r="C105" s="117" t="str">
        <x:v>Yes</x:v>
      </x:c>
      <x:c r="D105" s="119" t="str">
        <x:v>Active v2 (Retrieved XML)</x:v>
      </x:c>
      <x:c r="E105" s="119" t="str">
        <x:v>RecordTypeId EqualTo stringValue=0125b000000nENlAAM | Date_Last_Test_Completed__c IsChanged booleanValue=true | Check_In_Type__c EqualTo stringValue=Customer Repair | RMA_Number__c IsNull booleanValue=false</x:v>
      </x:c>
      <x:c r="F105" s="119" t="str">
        <x:v>ProductItem__c, RMA__c</x:v>
      </x:c>
      <x:c r="G105" s="119" t="str">
        <x:v>Check_In_Type__c, Date_Last_Test_Completed__c, Id, Name, RMA_Number__c, RecordTypeId, The_Date_Last_Test_Completed__c</x:v>
      </x:c>
      <x:c r="H105" s="119" t="str"/>
      <x:c r="I105" s="119" t="str"/>
      <x:c r="J105" s="119" t="str"/>
      <x:c r="K105" s="118" t="n">
        <x:v>3</x:v>
      </x:c>
      <x:c r="L105" s="118" t="n">
        <x:v>0</x:v>
      </x:c>
      <x:c r="M105" s="118" t="n">
        <x:v>0</x:v>
      </x:c>
      <x:c r="N105" s="118" t="n">
        <x:v>0</x:v>
      </x:c>
      <x:c r="O105" s="118" t="n">
        <x:v>0</x:v>
      </x:c>
      <x:c r="P105" s="118" t="n">
        <x:v>0</x:v>
      </x:c>
      <x:c r="Q105" s="118" t="n">
        <x:v>0</x:v>
      </x:c>
      <x:c r="R105" s="118" t="n">
        <x:v>0</x:v>
      </x:c>
      <x:c r="S105" s="118" t="n">
        <x:v>0</x:v>
      </x:c>
      <x:c r="T105" s="118" t="n">
        <x:v>0</x:v>
      </x:c>
      <x:c r="U105" s="118" t="n">
        <x:v>0</x:v>
      </x:c>
      <x:c r="V105" s="118" t="n">
        <x:v>1</x:v>
      </x:c>
      <x:c r="W105" s="118" t="n">
        <x:v>0</x:v>
      </x:c>
      <x:c r="X105" s="118" t="n">
        <x:v>1</x:v>
      </x:c>
      <x:c r="Y105" s="118" t="n">
        <x:v>0</x:v>
      </x:c>
      <x:c r="Z105" s="118" t="n">
        <x:v>0</x:v>
      </x:c>
      <x:c r="AA105" s="118" t="n">
        <x:v>0</x:v>
      </x:c>
      <x:c r="AB105" s="118" t="n">
        <x:v>0</x:v>
      </x:c>
      <x:c r="AC105" s="118" t="n">
        <x:v>0</x:v>
      </x:c>
    </x:row>
    <x:row r="106" ht="46" customHeight="1">
      <x:c r="A106" s="117" t="str">
        <x:v>300Ro00000OIdl5IAD</x:v>
      </x:c>
      <x:c r="B106" s="117" t="str">
        <x:v>Cold_Storage_Rig_In_Screen_Flow</x:v>
      </x:c>
      <x:c r="C106" s="117" t="str">
        <x:v>Yes</x:v>
      </x:c>
      <x:c r="D106" s="119" t="str">
        <x:v>Active v3 (Retrieved XML)</x:v>
      </x:c>
      <x:c r="E106" s="119" t="str"/>
      <x:c r="F106" s="119" t="str">
        <x:v>Opportunity</x:v>
      </x:c>
      <x:c r="G106" s="119" t="str">
        <x:v>Id, StageName, Storage_Date_IN__c</x:v>
      </x:c>
      <x:c r="H106" s="119" t="str">
        <x:v>emailSimple</x:v>
      </x:c>
      <x:c r="I106" s="119" t="str"/>
      <x:c r="J106" s="119" t="str"/>
      <x:c r="K106" s="118" t="n">
        <x:v>5</x:v>
      </x:c>
      <x:c r="L106" s="118" t="n">
        <x:v>1</x:v>
      </x:c>
      <x:c r="M106" s="118" t="n">
        <x:v>0</x:v>
      </x:c>
      <x:c r="N106" s="118" t="n">
        <x:v>0</x:v>
      </x:c>
      <x:c r="O106" s="118" t="n">
        <x:v>0</x:v>
      </x:c>
      <x:c r="P106" s="118" t="n">
        <x:v>0</x:v>
      </x:c>
      <x:c r="Q106" s="118" t="n">
        <x:v>0</x:v>
      </x:c>
      <x:c r="R106" s="118" t="n">
        <x:v>0</x:v>
      </x:c>
      <x:c r="S106" s="118" t="n">
        <x:v>0</x:v>
      </x:c>
      <x:c r="T106" s="118" t="n">
        <x:v>0</x:v>
      </x:c>
      <x:c r="U106" s="118" t="n">
        <x:v>0</x:v>
      </x:c>
      <x:c r="V106" s="118" t="n">
        <x:v>1</x:v>
      </x:c>
      <x:c r="W106" s="118" t="n">
        <x:v>0</x:v>
      </x:c>
      <x:c r="X106" s="118" t="n">
        <x:v>1</x:v>
      </x:c>
      <x:c r="Y106" s="118" t="n">
        <x:v>1</x:v>
      </x:c>
      <x:c r="Z106" s="118" t="n">
        <x:v>0</x:v>
      </x:c>
      <x:c r="AA106" s="118" t="n">
        <x:v>0</x:v>
      </x:c>
      <x:c r="AB106" s="118" t="n">
        <x:v>0</x:v>
      </x:c>
      <x:c r="AC106" s="118" t="n">
        <x:v>0</x:v>
      </x:c>
    </x:row>
    <x:row r="107" ht="46" customHeight="1">
      <x:c r="A107" s="117" t="str">
        <x:v>300Ro00000F0LbkIAF</x:v>
      </x:c>
      <x:c r="B107" s="117" t="str">
        <x:v>Cold_Storage_Rig_Out_Screen_Flow</x:v>
      </x:c>
      <x:c r="C107" s="117" t="str">
        <x:v>Yes</x:v>
      </x:c>
      <x:c r="D107" s="119" t="str">
        <x:v>Active v9 (Retrieved XML)</x:v>
      </x:c>
      <x:c r="E107" s="119" t="str"/>
      <x:c r="F107" s="119" t="str">
        <x:v>Opportunity, RMA__c</x:v>
      </x:c>
      <x:c r="G107" s="119" t="str">
        <x:v>Date_RMA_Item_Received__c, Id, Opportunity__c, Record_Type_Name__c, StageName, Storage_Date_OUT__c</x:v>
      </x:c>
      <x:c r="H107" s="119" t="str">
        <x:v>emailSimple</x:v>
      </x:c>
      <x:c r="I107" s="119" t="str"/>
      <x:c r="J107" s="119" t="str"/>
      <x:c r="K107" s="118" t="n">
        <x:v>6</x:v>
      </x:c>
      <x:c r="L107" s="118" t="n">
        <x:v>1</x:v>
      </x:c>
      <x:c r="M107" s="118" t="n">
        <x:v>0</x:v>
      </x:c>
      <x:c r="N107" s="118" t="n">
        <x:v>0</x:v>
      </x:c>
      <x:c r="O107" s="118" t="n">
        <x:v>0</x:v>
      </x:c>
      <x:c r="P107" s="118" t="n">
        <x:v>0</x:v>
      </x:c>
      <x:c r="Q107" s="118" t="n">
        <x:v>0</x:v>
      </x:c>
      <x:c r="R107" s="118" t="n">
        <x:v>0</x:v>
      </x:c>
      <x:c r="S107" s="118" t="n">
        <x:v>0</x:v>
      </x:c>
      <x:c r="T107" s="118" t="n">
        <x:v>0</x:v>
      </x:c>
      <x:c r="U107" s="118" t="n">
        <x:v>0</x:v>
      </x:c>
      <x:c r="V107" s="118" t="n">
        <x:v>1</x:v>
      </x:c>
      <x:c r="W107" s="118" t="n">
        <x:v>0</x:v>
      </x:c>
      <x:c r="X107" s="118" t="n">
        <x:v>2</x:v>
      </x:c>
      <x:c r="Y107" s="118" t="n">
        <x:v>1</x:v>
      </x:c>
      <x:c r="Z107" s="118" t="n">
        <x:v>0</x:v>
      </x:c>
      <x:c r="AA107" s="118" t="n">
        <x:v>0</x:v>
      </x:c>
      <x:c r="AB107" s="118" t="n">
        <x:v>0</x:v>
      </x:c>
      <x:c r="AC107" s="118" t="n">
        <x:v>0</x:v>
      </x:c>
    </x:row>
    <x:row r="108" ht="46" customHeight="1">
      <x:c r="A108" s="117" t="str">
        <x:v>300Ro000007doaTIAQ</x:v>
      </x:c>
      <x:c r="B108" s="117" t="str">
        <x:v>Commission_Rollups</x:v>
      </x:c>
      <x:c r="C108" s="117" t="str">
        <x:v>Yes</x:v>
      </x:c>
      <x:c r="D108" s="119" t="str">
        <x:v>Active v2 (Retrieved XML)</x:v>
      </x:c>
      <x:c r="E108" s="119" t="str"/>
      <x:c r="F108" s="119" t="str">
        <x:v>Commission__c, Master_Draw__c</x:v>
      </x:c>
      <x:c r="G108" s="119" t="str">
        <x:v>CreatedDate, Master_Draw__c, Needs_to_be_paid__c, Partial_Commission__c, Total_Commissions__c</x:v>
      </x:c>
      <x:c r="H108" s="119" t="str"/>
      <x:c r="I108" s="119" t="str"/>
      <x:c r="J108" s="119" t="str"/>
      <x:c r="K108" s="118" t="n">
        <x:v>15</x:v>
      </x:c>
      <x:c r="L108" s="118" t="n">
        <x:v>0</x:v>
      </x:c>
      <x:c r="M108" s="118" t="n">
        <x:v>0</x:v>
      </x:c>
      <x:c r="N108" s="118" t="n">
        <x:v>6</x:v>
      </x:c>
      <x:c r="O108" s="118" t="n">
        <x:v>0</x:v>
      </x:c>
      <x:c r="P108" s="118" t="n">
        <x:v>0</x:v>
      </x:c>
      <x:c r="Q108" s="118" t="n">
        <x:v>3</x:v>
      </x:c>
      <x:c r="R108" s="118" t="n">
        <x:v>3</x:v>
      </x:c>
      <x:c r="S108" s="118" t="n">
        <x:v>0</x:v>
      </x:c>
      <x:c r="T108" s="118" t="n">
        <x:v>0</x:v>
      </x:c>
      <x:c r="U108" s="118" t="n">
        <x:v>0</x:v>
      </x:c>
      <x:c r="V108" s="118" t="n">
        <x:v>1</x:v>
      </x:c>
      <x:c r="W108" s="118" t="n">
        <x:v>0</x:v>
      </x:c>
      <x:c r="X108" s="118" t="n">
        <x:v>1</x:v>
      </x:c>
      <x:c r="Y108" s="118" t="n">
        <x:v>0</x:v>
      </x:c>
      <x:c r="Z108" s="118" t="n">
        <x:v>0</x:v>
      </x:c>
      <x:c r="AA108" s="118" t="n">
        <x:v>0</x:v>
      </x:c>
      <x:c r="AB108" s="118" t="n">
        <x:v>0</x:v>
      </x:c>
      <x:c r="AC108" s="118" t="n">
        <x:v>0</x:v>
      </x:c>
    </x:row>
    <x:row r="109" ht="46" customHeight="1">
      <x:c r="A109" s="117" t="str">
        <x:v>300Ro00000yDFegIAG</x:v>
      </x:c>
      <x:c r="B109" s="117" t="str">
        <x:v>Contact_Asynchronous_on_create_Update_Account_Number_of_Contacts</x:v>
      </x:c>
      <x:c r="C109" s="117" t="str">
        <x:v>Yes</x:v>
      </x:c>
      <x:c r="D109" s="119" t="str">
        <x:v>Active v1 (Retrieved XML)</x:v>
      </x:c>
      <x:c r="E109" s="119" t="str">
        <x:v>AccountId IsNull booleanValue=false</x:v>
      </x:c>
      <x:c r="F109" s="119" t="str">
        <x:v>Account, Contact</x:v>
      </x:c>
      <x:c r="G109" s="119" t="str">
        <x:v>AccountId, Id, Number_of_Contacts__c</x:v>
      </x:c>
      <x:c r="H109" s="119" t="str"/>
      <x:c r="I109" s="119" t="str"/>
      <x:c r="J109" s="119" t="str"/>
      <x:c r="K109" s="118" t="n">
        <x:v>4</x:v>
      </x:c>
      <x:c r="L109" s="118" t="n">
        <x:v>0</x:v>
      </x:c>
      <x:c r="M109" s="118" t="n">
        <x:v>0</x:v>
      </x:c>
      <x:c r="N109" s="118" t="n">
        <x:v>0</x:v>
      </x:c>
      <x:c r="O109" s="118" t="n">
        <x:v>0</x:v>
      </x:c>
      <x:c r="P109" s="118" t="n">
        <x:v>0</x:v>
      </x:c>
      <x:c r="Q109" s="118" t="n">
        <x:v>0</x:v>
      </x:c>
      <x:c r="R109" s="118" t="n">
        <x:v>0</x:v>
      </x:c>
      <x:c r="S109" s="118" t="n">
        <x:v>0</x:v>
      </x:c>
      <x:c r="T109" s="118" t="n">
        <x:v>0</x:v>
      </x:c>
      <x:c r="U109" s="118" t="n">
        <x:v>0</x:v>
      </x:c>
      <x:c r="V109" s="118" t="n">
        <x:v>1</x:v>
      </x:c>
      <x:c r="W109" s="118" t="n">
        <x:v>0</x:v>
      </x:c>
      <x:c r="X109" s="118" t="n">
        <x:v>1</x:v>
      </x:c>
      <x:c r="Y109" s="118" t="n">
        <x:v>0</x:v>
      </x:c>
      <x:c r="Z109" s="118" t="n">
        <x:v>0</x:v>
      </x:c>
      <x:c r="AA109" s="118" t="n">
        <x:v>0</x:v>
      </x:c>
      <x:c r="AB109" s="118" t="n">
        <x:v>1</x:v>
      </x:c>
      <x:c r="AC109" s="118" t="n">
        <x:v>0</x:v>
      </x:c>
    </x:row>
    <x:row r="110" ht="46" customHeight="1">
      <x:c r="A110" s="117" t="str">
        <x:v>300Ro00000yDNE4IAO</x:v>
      </x:c>
      <x:c r="B110" s="117" t="str">
        <x:v>Contact_Asynchronous_on_delete_Update_Account_Number_of_Contacts</x:v>
      </x:c>
      <x:c r="C110" s="117" t="str">
        <x:v>Yes</x:v>
      </x:c>
      <x:c r="D110" s="119" t="str">
        <x:v>Active v1 (Retrieved XML)</x:v>
      </x:c>
      <x:c r="E110" s="119" t="str">
        <x:v>AccountId IsNull booleanValue=false</x:v>
      </x:c>
      <x:c r="F110" s="119" t="str">
        <x:v>Account, Contact</x:v>
      </x:c>
      <x:c r="G110" s="119" t="str">
        <x:v>AccountId, Id, Number_of_Contacts__c</x:v>
      </x:c>
      <x:c r="H110" s="119" t="str"/>
      <x:c r="I110" s="119" t="str"/>
      <x:c r="J110" s="119" t="str"/>
      <x:c r="K110" s="118" t="n">
        <x:v>4</x:v>
      </x:c>
      <x:c r="L110" s="118" t="n">
        <x:v>0</x:v>
      </x:c>
      <x:c r="M110" s="118" t="n">
        <x:v>0</x:v>
      </x:c>
      <x:c r="N110" s="118" t="n">
        <x:v>0</x:v>
      </x:c>
      <x:c r="O110" s="118" t="n">
        <x:v>0</x:v>
      </x:c>
      <x:c r="P110" s="118" t="n">
        <x:v>0</x:v>
      </x:c>
      <x:c r="Q110" s="118" t="n">
        <x:v>0</x:v>
      </x:c>
      <x:c r="R110" s="118" t="n">
        <x:v>0</x:v>
      </x:c>
      <x:c r="S110" s="118" t="n">
        <x:v>0</x:v>
      </x:c>
      <x:c r="T110" s="118" t="n">
        <x:v>0</x:v>
      </x:c>
      <x:c r="U110" s="118" t="n">
        <x:v>0</x:v>
      </x:c>
      <x:c r="V110" s="118" t="n">
        <x:v>1</x:v>
      </x:c>
      <x:c r="W110" s="118" t="n">
        <x:v>0</x:v>
      </x:c>
      <x:c r="X110" s="118" t="n">
        <x:v>1</x:v>
      </x:c>
      <x:c r="Y110" s="118" t="n">
        <x:v>0</x:v>
      </x:c>
      <x:c r="Z110" s="118" t="n">
        <x:v>0</x:v>
      </x:c>
      <x:c r="AA110" s="118" t="n">
        <x:v>0</x:v>
      </x:c>
      <x:c r="AB110" s="118" t="n">
        <x:v>1</x:v>
      </x:c>
      <x:c r="AC110" s="118" t="n">
        <x:v>0</x:v>
      </x:c>
    </x:row>
    <x:row r="111" ht="46" customHeight="1">
      <x:c r="A111" s="117" t="str">
        <x:v>300Ro00000yCrZ8IAK</x:v>
      </x:c>
      <x:c r="B111" s="117" t="str">
        <x:v>Contact_Asynchronous_on_update_Update_Account_Number_of_Contacts</x:v>
      </x:c>
      <x:c r="C111" s="117" t="str">
        <x:v>Yes</x:v>
      </x:c>
      <x:c r="D111" s="119" t="str">
        <x:v>Active v1 (Retrieved XML)</x:v>
      </x:c>
      <x:c r="E111" s="119" t="str">
        <x:v>AccountId IsChanged booleanValue=true</x:v>
      </x:c>
      <x:c r="F111" s="119" t="str">
        <x:v>Account, Contact</x:v>
      </x:c>
      <x:c r="G111" s="119" t="str">
        <x:v>AccountId, Id, Number_of_Contacts__c</x:v>
      </x:c>
      <x:c r="H111" s="119" t="str"/>
      <x:c r="I111" s="119" t="str"/>
      <x:c r="J111" s="119" t="str"/>
      <x:c r="K111" s="118" t="n">
        <x:v>9</x:v>
      </x:c>
      <x:c r="L111" s="118" t="n">
        <x:v>0</x:v>
      </x:c>
      <x:c r="M111" s="118" t="n">
        <x:v>0</x:v>
      </x:c>
      <x:c r="N111" s="118" t="n">
        <x:v>0</x:v>
      </x:c>
      <x:c r="O111" s="118" t="n">
        <x:v>0</x:v>
      </x:c>
      <x:c r="P111" s="118" t="n">
        <x:v>0</x:v>
      </x:c>
      <x:c r="Q111" s="118" t="n">
        <x:v>2</x:v>
      </x:c>
      <x:c r="R111" s="118" t="n">
        <x:v>0</x:v>
      </x:c>
      <x:c r="S111" s="118" t="n">
        <x:v>0</x:v>
      </x:c>
      <x:c r="T111" s="118" t="n">
        <x:v>0</x:v>
      </x:c>
      <x:c r="U111" s="118" t="n">
        <x:v>0</x:v>
      </x:c>
      <x:c r="V111" s="118" t="n">
        <x:v>2</x:v>
      </x:c>
      <x:c r="W111" s="118" t="n">
        <x:v>0</x:v>
      </x:c>
      <x:c r="X111" s="118" t="n">
        <x:v>2</x:v>
      </x:c>
      <x:c r="Y111" s="118" t="n">
        <x:v>0</x:v>
      </x:c>
      <x:c r="Z111" s="118" t="n">
        <x:v>0</x:v>
      </x:c>
      <x:c r="AA111" s="118" t="n">
        <x:v>0</x:v>
      </x:c>
      <x:c r="AB111" s="118" t="n">
        <x:v>2</x:v>
      </x:c>
      <x:c r="AC111" s="118" t="n">
        <x:v>0</x:v>
      </x:c>
    </x:row>
    <x:row r="112" ht="46" customHeight="1">
      <x:c r="A112" s="117" t="str">
        <x:v>3004O000000XgXwQAK</x:v>
      </x:c>
      <x:c r="B112" s="117" t="str">
        <x:v>Contact_Master</x:v>
      </x:c>
      <x:c r="C112" s="117" t="str">
        <x:v>Yes</x:v>
      </x:c>
      <x:c r="D112" s="119" t="str">
        <x:v>Active v3 (Retrieved XML)</x:v>
      </x:c>
      <x:c r="E112" s="119" t="str"/>
      <x:c r="F112" s="119" t="str">
        <x:v>Contact</x:v>
      </x:c>
      <x:c r="G112" s="119" t="str">
        <x:v>Created_by_EU_UK__c, Id</x:v>
      </x:c>
      <x:c r="H112" s="119" t="str"/>
      <x:c r="I112" s="119" t="str"/>
      <x:c r="J112" s="119" t="str"/>
      <x:c r="K112" s="118" t="n">
        <x:v>2</x:v>
      </x:c>
      <x:c r="L112" s="118" t="n">
        <x:v>0</x:v>
      </x:c>
      <x:c r="M112" s="118" t="n">
        <x:v>0</x:v>
      </x:c>
      <x:c r="N112" s="118" t="n">
        <x:v>0</x:v>
      </x:c>
      <x:c r="O112" s="118" t="n">
        <x:v>0</x:v>
      </x:c>
      <x:c r="P112" s="118" t="n">
        <x:v>0</x:v>
      </x:c>
      <x:c r="Q112" s="118" t="n">
        <x:v>1</x:v>
      </x:c>
      <x:c r="R112" s="118" t="n">
        <x:v>0</x:v>
      </x:c>
      <x:c r="S112" s="118" t="n">
        <x:v>0</x:v>
      </x:c>
      <x:c r="T112" s="118" t="n">
        <x:v>0</x:v>
      </x:c>
      <x:c r="U112" s="118" t="n">
        <x:v>0</x:v>
      </x:c>
      <x:c r="V112" s="118" t="n">
        <x:v>0</x:v>
      </x:c>
      <x:c r="W112" s="118" t="n">
        <x:v>0</x:v>
      </x:c>
      <x:c r="X112" s="118" t="n">
        <x:v>1</x:v>
      </x:c>
      <x:c r="Y112" s="118" t="n">
        <x:v>0</x:v>
      </x:c>
      <x:c r="Z112" s="118" t="n">
        <x:v>0</x:v>
      </x:c>
      <x:c r="AA112" s="118" t="n">
        <x:v>0</x:v>
      </x:c>
      <x:c r="AB112" s="118" t="n">
        <x:v>0</x:v>
      </x:c>
      <x:c r="AC112" s="118" t="n">
        <x:v>0</x:v>
      </x:c>
    </x:row>
    <x:row r="113" ht="46" customHeight="1">
      <x:c r="A113" s="117" t="str">
        <x:v>3004O000000XgXxQAK</x:v>
      </x:c>
      <x:c r="B113" s="117" t="str">
        <x:v>Contact_New_Form_Submission</x:v>
      </x:c>
      <x:c r="C113" s="117" t="str">
        <x:v>No</x:v>
      </x:c>
      <x:c r="D113" s="119" t="str">
        <x:v>Latest inactive v6 (Retrieved XML)</x:v>
      </x:c>
      <x:c r="E113" s="119" t="str"/>
      <x:c r="F113" s="119" t="str">
        <x:v>Campaign, CampaignMember, Contact, Opportunity</x:v>
      </x:c>
      <x:c r="G113" s="119" t="str">
        <x:v>CampaignId, ContactId, Id, Name</x:v>
      </x:c>
      <x:c r="H113" s="119" t="str">
        <x:v>emailSimple</x:v>
      </x:c>
      <x:c r="I113" s="119" t="str"/>
      <x:c r="J113" s="119" t="str"/>
      <x:c r="K113" s="118" t="n">
        <x:v>12</x:v>
      </x:c>
      <x:c r="L113" s="118" t="n">
        <x:v>2</x:v>
      </x:c>
      <x:c r="M113" s="118" t="n">
        <x:v>0</x:v>
      </x:c>
      <x:c r="N113" s="118" t="n">
        <x:v>2</x:v>
      </x:c>
      <x:c r="O113" s="118" t="n">
        <x:v>0</x:v>
      </x:c>
      <x:c r="P113" s="118" t="n">
        <x:v>0</x:v>
      </x:c>
      <x:c r="Q113" s="118" t="n">
        <x:v>3</x:v>
      </x:c>
      <x:c r="R113" s="118" t="n">
        <x:v>1</x:v>
      </x:c>
      <x:c r="S113" s="118" t="n">
        <x:v>0</x:v>
      </x:c>
      <x:c r="T113" s="118" t="n">
        <x:v>1</x:v>
      </x:c>
      <x:c r="U113" s="118" t="n">
        <x:v>0</x:v>
      </x:c>
      <x:c r="V113" s="118" t="n">
        <x:v>2</x:v>
      </x:c>
      <x:c r="W113" s="118" t="n">
        <x:v>0</x:v>
      </x:c>
      <x:c r="X113" s="118" t="n">
        <x:v>0</x:v>
      </x:c>
      <x:c r="Y113" s="118" t="n">
        <x:v>0</x:v>
      </x:c>
      <x:c r="Z113" s="118" t="n">
        <x:v>0</x:v>
      </x:c>
      <x:c r="AA113" s="118" t="n">
        <x:v>0</x:v>
      </x:c>
      <x:c r="AB113" s="118" t="n">
        <x:v>0</x:v>
      </x:c>
      <x:c r="AC113" s="118" t="n">
        <x:v>0</x:v>
      </x:c>
    </x:row>
    <x:row r="114" ht="46" customHeight="1">
      <x:c r="A114" s="117" t="str">
        <x:v>3005b000000H3T6AAK</x:v>
      </x:c>
      <x:c r="B114" s="117" t="str">
        <x:v>Contact_Set_Primary_Contact</x:v>
      </x:c>
      <x:c r="C114" s="117" t="str">
        <x:v>No</x:v>
      </x:c>
      <x:c r="D114" s="119" t="str">
        <x:v>Latest inactive v2 (Retrieved XML)</x:v>
      </x:c>
      <x:c r="E114" s="119" t="str"/>
      <x:c r="F114" s="119" t="str">
        <x:v>Contact</x:v>
      </x:c>
      <x:c r="G114" s="119" t="str">
        <x:v>AccountId, Id, Primary__c</x:v>
      </x:c>
      <x:c r="H114" s="119" t="str"/>
      <x:c r="I114" s="119" t="str"/>
      <x:c r="J114" s="119" t="str"/>
      <x:c r="K114" s="118" t="n">
        <x:v>4</x:v>
      </x:c>
      <x:c r="L114" s="118" t="n">
        <x:v>0</x:v>
      </x:c>
      <x:c r="M114" s="118" t="n">
        <x:v>0</x:v>
      </x:c>
      <x:c r="N114" s="118" t="n">
        <x:v>0</x:v>
      </x:c>
      <x:c r="O114" s="118" t="n">
        <x:v>0</x:v>
      </x:c>
      <x:c r="P114" s="118" t="n">
        <x:v>0</x:v>
      </x:c>
      <x:c r="Q114" s="118" t="n">
        <x:v>1</x:v>
      </x:c>
      <x:c r="R114" s="118" t="n">
        <x:v>0</x:v>
      </x:c>
      <x:c r="S114" s="118" t="n">
        <x:v>0</x:v>
      </x:c>
      <x:c r="T114" s="118" t="n">
        <x:v>0</x:v>
      </x:c>
      <x:c r="U114" s="118" t="n">
        <x:v>0</x:v>
      </x:c>
      <x:c r="V114" s="118" t="n">
        <x:v>0</x:v>
      </x:c>
      <x:c r="W114" s="118" t="n">
        <x:v>0</x:v>
      </x:c>
      <x:c r="X114" s="118" t="n">
        <x:v>2</x:v>
      </x:c>
      <x:c r="Y114" s="118" t="n">
        <x:v>0</x:v>
      </x:c>
      <x:c r="Z114" s="118" t="n">
        <x:v>0</x:v>
      </x:c>
      <x:c r="AA114" s="118" t="n">
        <x:v>0</x:v>
      </x:c>
      <x:c r="AB114" s="118" t="n">
        <x:v>0</x:v>
      </x:c>
      <x:c r="AC114" s="118" t="n">
        <x:v>0</x:v>
      </x:c>
    </x:row>
    <x:row r="115" ht="46" customHeight="1">
      <x:c r="A115" s="117" t="str">
        <x:v>300Ro00000q8I1rIAE</x:v>
      </x:c>
      <x:c r="B115" s="117" t="str">
        <x:v>Contract_Line_Item_Calculate_Running_Coverage_Duration_Business_Hours</x:v>
      </x:c>
      <x:c r="C115" s="117" t="str">
        <x:v>No</x:v>
      </x:c>
      <x:c r="D115" s="119" t="str">
        <x:v>Latest inactive v1 (Retrieved XML)</x:v>
      </x:c>
      <x:c r="E115" s="119" t="str"/>
      <x:c r="F115" s="119" t="str">
        <x:v>ContractLineItem</x:v>
      </x:c>
      <x:c r="G115" s="119" t="str">
        <x:v>EndDate, Removed_from_Contract__c, StartDate</x:v>
      </x:c>
      <x:c r="H115" s="119" t="str">
        <x:v>BusinessHoursDiffService</x:v>
      </x:c>
      <x:c r="I115" s="119" t="str"/>
      <x:c r="J115" s="119" t="str"/>
      <x:c r="K115" s="118" t="n">
        <x:v>7</x:v>
      </x:c>
      <x:c r="L115" s="118" t="n">
        <x:v>1</x:v>
      </x:c>
      <x:c r="M115" s="118" t="n">
        <x:v>0</x:v>
      </x:c>
      <x:c r="N115" s="118" t="n">
        <x:v>2</x:v>
      </x:c>
      <x:c r="O115" s="118" t="n">
        <x:v>0</x:v>
      </x:c>
      <x:c r="P115" s="118" t="n">
        <x:v>0</x:v>
      </x:c>
      <x:c r="Q115" s="118" t="n">
        <x:v>0</x:v>
      </x:c>
      <x:c r="R115" s="118" t="n">
        <x:v>1</x:v>
      </x:c>
      <x:c r="S115" s="118" t="n">
        <x:v>0</x:v>
      </x:c>
      <x:c r="T115" s="118" t="n">
        <x:v>0</x:v>
      </x:c>
      <x:c r="U115" s="118" t="n">
        <x:v>0</x:v>
      </x:c>
      <x:c r="V115" s="118" t="n">
        <x:v>1</x:v>
      </x:c>
      <x:c r="W115" s="118" t="n">
        <x:v>0</x:v>
      </x:c>
      <x:c r="X115" s="118" t="n">
        <x:v>1</x:v>
      </x:c>
      <x:c r="Y115" s="118" t="n">
        <x:v>0</x:v>
      </x:c>
      <x:c r="Z115" s="118" t="n">
        <x:v>0</x:v>
      </x:c>
      <x:c r="AA115" s="118" t="n">
        <x:v>0</x:v>
      </x:c>
      <x:c r="AB115" s="118" t="n">
        <x:v>0</x:v>
      </x:c>
      <x:c r="AC115" s="118" t="n">
        <x:v>0</x:v>
      </x:c>
    </x:row>
    <x:row r="116" ht="46" customHeight="1">
      <x:c r="A116" s="117" t="str">
        <x:v>300Ro000013nZjxIAE</x:v>
      </x:c>
      <x:c r="B116" s="117" t="str">
        <x:v>Contract_Line_Item_Cancel_Work_Orders_on_Decommissioning</x:v>
      </x:c>
      <x:c r="C116" s="117" t="str">
        <x:v>Yes</x:v>
      </x:c>
      <x:c r="D116" s="119" t="str">
        <x:v>Active v6 (Retrieved XML)</x:v>
      </x:c>
      <x:c r="E116" s="119" t="str">
        <x:v>Decommission_Date__c NotEqualTo</x:v>
      </x:c>
      <x:c r="F116" s="119" t="str">
        <x:v>ContractLineItem, WorkOrder</x:v>
      </x:c>
      <x:c r="G116" s="119" t="str">
        <x:v>Contract_Line_Item__c, Contract_Type__c, Decommission_Date__c, Id, Modality__c, Next_Service_Date__c, Status, System_Serial_Number__c, WorkTypeId</x:v>
      </x:c>
      <x:c r="H116" s="119" t="str">
        <x:v>emailSimple</x:v>
      </x:c>
      <x:c r="I116" s="119" t="str"/>
      <x:c r="J116" s="119" t="str"/>
      <x:c r="K116" s="118" t="n">
        <x:v>11</x:v>
      </x:c>
      <x:c r="L116" s="118" t="n">
        <x:v>1</x:v>
      </x:c>
      <x:c r="M116" s="118" t="n">
        <x:v>0</x:v>
      </x:c>
      <x:c r="N116" s="118" t="n">
        <x:v>3</x:v>
      </x:c>
      <x:c r="O116" s="118" t="n">
        <x:v>0</x:v>
      </x:c>
      <x:c r="P116" s="118" t="n">
        <x:v>0</x:v>
      </x:c>
      <x:c r="Q116" s="118" t="n">
        <x:v>3</x:v>
      </x:c>
      <x:c r="R116" s="118" t="n">
        <x:v>1</x:v>
      </x:c>
      <x:c r="S116" s="118" t="n">
        <x:v>0</x:v>
      </x:c>
      <x:c r="T116" s="118" t="n">
        <x:v>0</x:v>
      </x:c>
      <x:c r="U116" s="118" t="n">
        <x:v>0</x:v>
      </x:c>
      <x:c r="V116" s="118" t="n">
        <x:v>1</x:v>
      </x:c>
      <x:c r="W116" s="118" t="n">
        <x:v>0</x:v>
      </x:c>
      <x:c r="X116" s="118" t="n">
        <x:v>1</x:v>
      </x:c>
      <x:c r="Y116" s="118" t="n">
        <x:v>0</x:v>
      </x:c>
      <x:c r="Z116" s="118" t="n">
        <x:v>0</x:v>
      </x:c>
      <x:c r="AA116" s="118" t="n">
        <x:v>0</x:v>
      </x:c>
      <x:c r="AB116" s="118" t="n">
        <x:v>0</x:v>
      </x:c>
      <x:c r="AC116" s="118" t="n">
        <x:v>0</x:v>
      </x:c>
    </x:row>
    <x:row r="117" ht="46" customHeight="1">
      <x:c r="A117" s="117" t="str">
        <x:v>300Ro00000xgwAVIAY</x:v>
      </x:c>
      <x:c r="B117" s="117" t="str">
        <x:v>Contract_Line_Item_Creation_or_Update_Set_Lifecycle_Status</x:v>
      </x:c>
      <x:c r="C117" s="117" t="str">
        <x:v>Yes</x:v>
      </x:c>
      <x:c r="D117" s="119" t="str">
        <x:v>Active v3 (Retrieved XML)</x:v>
      </x:c>
      <x:c r="E117" s="119" t="str"/>
      <x:c r="F117" s="119" t="str">
        <x:v>ContractLineItem</x:v>
      </x:c>
      <x:c r="G117" s="119" t="str">
        <x:v>Decommission_Date__c, EndDate, Lifecycle_Status__c, StartDate</x:v>
      </x:c>
      <x:c r="H117" s="119" t="str"/>
      <x:c r="I117" s="119" t="str"/>
      <x:c r="J117" s="119" t="str"/>
      <x:c r="K117" s="118" t="n">
        <x:v>12</x:v>
      </x:c>
      <x:c r="L117" s="118" t="n">
        <x:v>0</x:v>
      </x:c>
      <x:c r="M117" s="118" t="n">
        <x:v>0</x:v>
      </x:c>
      <x:c r="N117" s="118" t="n">
        <x:v>5</x:v>
      </x:c>
      <x:c r="O117" s="118" t="n">
        <x:v>0</x:v>
      </x:c>
      <x:c r="P117" s="118" t="n">
        <x:v>0</x:v>
      </x:c>
      <x:c r="Q117" s="118" t="n">
        <x:v>2</x:v>
      </x:c>
      <x:c r="R117" s="118" t="n">
        <x:v>0</x:v>
      </x:c>
      <x:c r="S117" s="118" t="n">
        <x:v>0</x:v>
      </x:c>
      <x:c r="T117" s="118" t="n">
        <x:v>0</x:v>
      </x:c>
      <x:c r="U117" s="118" t="n">
        <x:v>0</x:v>
      </x:c>
      <x:c r="V117" s="118" t="n">
        <x:v>0</x:v>
      </x:c>
      <x:c r="W117" s="118" t="n">
        <x:v>0</x:v>
      </x:c>
      <x:c r="X117" s="118" t="n">
        <x:v>4</x:v>
      </x:c>
      <x:c r="Y117" s="118" t="n">
        <x:v>0</x:v>
      </x:c>
      <x:c r="Z117" s="118" t="n">
        <x:v>0</x:v>
      </x:c>
      <x:c r="AA117" s="118" t="n">
        <x:v>0</x:v>
      </x:c>
      <x:c r="AB117" s="118" t="n">
        <x:v>0</x:v>
      </x:c>
      <x:c r="AC117" s="118" t="n">
        <x:v>0</x:v>
      </x:c>
    </x:row>
    <x:row r="118" ht="46" customHeight="1">
      <x:c r="A118" s="117" t="str">
        <x:v>300Ro00000wU0CTIA0</x:v>
      </x:c>
      <x:c r="B118" s="117" t="str">
        <x:v>Contract_Line_Item_Edit_Multiple_Work_Orders_Screen_Flow</x:v>
      </x:c>
      <x:c r="C118" s="117" t="str">
        <x:v>Yes</x:v>
      </x:c>
      <x:c r="D118" s="119" t="str">
        <x:v>Active v2 (Retrieved XML)</x:v>
      </x:c>
      <x:c r="E118" s="119" t="str"/>
      <x:c r="F118" s="119" t="str">
        <x:v>ContractLineItem, WorkOrder</x:v>
      </x:c>
      <x:c r="G118" s="119" t="str">
        <x:v>Contract_Line_Item__c, Id, Next_Service_Date__c, ServiceContractId</x:v>
      </x:c>
      <x:c r="H118" s="119" t="str"/>
      <x:c r="I118" s="119" t="str"/>
      <x:c r="J118" s="119" t="str">
        <x:v>c:datatable</x:v>
      </x:c>
      <x:c r="K118" s="118" t="n">
        <x:v>5</x:v>
      </x:c>
      <x:c r="L118" s="118" t="n">
        <x:v>0</x:v>
      </x:c>
      <x:c r="M118" s="118" t="n">
        <x:v>0</x:v>
      </x:c>
      <x:c r="N118" s="118" t="n">
        <x:v>0</x:v>
      </x:c>
      <x:c r="O118" s="118" t="n">
        <x:v>0</x:v>
      </x:c>
      <x:c r="P118" s="118" t="n">
        <x:v>0</x:v>
      </x:c>
      <x:c r="Q118" s="118" t="n">
        <x:v>0</x:v>
      </x:c>
      <x:c r="R118" s="118" t="n">
        <x:v>0</x:v>
      </x:c>
      <x:c r="S118" s="118" t="n">
        <x:v>0</x:v>
      </x:c>
      <x:c r="T118" s="118" t="n">
        <x:v>0</x:v>
      </x:c>
      <x:c r="U118" s="118" t="n">
        <x:v>0</x:v>
      </x:c>
      <x:c r="V118" s="118" t="n">
        <x:v>2</x:v>
      </x:c>
      <x:c r="W118" s="118" t="n">
        <x:v>0</x:v>
      </x:c>
      <x:c r="X118" s="118" t="n">
        <x:v>1</x:v>
      </x:c>
      <x:c r="Y118" s="118" t="n">
        <x:v>1</x:v>
      </x:c>
      <x:c r="Z118" s="118" t="n">
        <x:v>0</x:v>
      </x:c>
      <x:c r="AA118" s="118" t="n">
        <x:v>0</x:v>
      </x:c>
      <x:c r="AB118" s="118" t="n">
        <x:v>0</x:v>
      </x:c>
      <x:c r="AC118" s="118" t="n">
        <x:v>0</x:v>
      </x:c>
    </x:row>
    <x:row r="119" ht="46" customHeight="1">
      <x:c r="A119" s="117" t="str">
        <x:v>300Ro00000qEJBNIA4</x:v>
      </x:c>
      <x:c r="B119" s="117" t="str">
        <x:v>Contract_Line_Item_Roll_Up_Downtime_Business_Hours</x:v>
      </x:c>
      <x:c r="C119" s="117" t="str">
        <x:v>Yes</x:v>
      </x:c>
      <x:c r="D119" s="119" t="str">
        <x:v>Active v2 (Retrieved XML)</x:v>
      </x:c>
      <x:c r="E119" s="119" t="str">
        <x:v>Contract_Line_Item__c IsNull booleanValue=false | Downtime_Business_Hours__c IsChanged booleanValue=true</x:v>
      </x:c>
      <x:c r="F119" s="119" t="str">
        <x:v>WorkOrder</x:v>
      </x:c>
      <x:c r="G119" s="119" t="str">
        <x:v>Contract_Line_Item__c, Contract_Line_Item__r, Downtime_Business_Hours__c, Total_Downtime_Business_Hours__c</x:v>
      </x:c>
      <x:c r="H119" s="119" t="str"/>
      <x:c r="I119" s="119" t="str"/>
      <x:c r="J119" s="119" t="str"/>
      <x:c r="K119" s="118" t="n">
        <x:v>5</x:v>
      </x:c>
      <x:c r="L119" s="118" t="n">
        <x:v>0</x:v>
      </x:c>
      <x:c r="M119" s="118" t="n">
        <x:v>0</x:v>
      </x:c>
      <x:c r="N119" s="118" t="n">
        <x:v>1</x:v>
      </x:c>
      <x:c r="O119" s="118" t="n">
        <x:v>0</x:v>
      </x:c>
      <x:c r="P119" s="118" t="n">
        <x:v>0</x:v>
      </x:c>
      <x:c r="Q119" s="118" t="n">
        <x:v>0</x:v>
      </x:c>
      <x:c r="R119" s="118" t="n">
        <x:v>1</x:v>
      </x:c>
      <x:c r="S119" s="118" t="n">
        <x:v>0</x:v>
      </x:c>
      <x:c r="T119" s="118" t="n">
        <x:v>0</x:v>
      </x:c>
      <x:c r="U119" s="118" t="n">
        <x:v>0</x:v>
      </x:c>
      <x:c r="V119" s="118" t="n">
        <x:v>1</x:v>
      </x:c>
      <x:c r="W119" s="118" t="n">
        <x:v>0</x:v>
      </x:c>
      <x:c r="X119" s="118" t="n">
        <x:v>1</x:v>
      </x:c>
      <x:c r="Y119" s="118" t="n">
        <x:v>0</x:v>
      </x:c>
      <x:c r="Z119" s="118" t="n">
        <x:v>0</x:v>
      </x:c>
      <x:c r="AA119" s="118" t="n">
        <x:v>0</x:v>
      </x:c>
      <x:c r="AB119" s="118" t="n">
        <x:v>0</x:v>
      </x:c>
      <x:c r="AC119" s="118" t="n">
        <x:v>0</x:v>
      </x:c>
    </x:row>
    <x:row r="120" ht="46" customHeight="1">
      <x:c r="A120" s="117" t="str">
        <x:v>300Ro00000V6HVlIAN</x:v>
      </x:c>
      <x:c r="B120" s="117" t="str">
        <x:v>Contract_Line_Item_Trigger_Create_QA_Upon_Save</x:v>
      </x:c>
      <x:c r="C120" s="117" t="str">
        <x:v>Yes</x:v>
      </x:c>
      <x:c r="D120" s="119" t="str">
        <x:v>Active v1 (Retrieved XML)</x:v>
      </x:c>
      <x:c r="E120" s="119" t="str">
        <x:v>QA_Required__c EqualTo booleanValue=true</x:v>
      </x:c>
      <x:c r="F120" s="119" t="str">
        <x:v>ContractLineItem, ServiceAppointment, WorkOrder, WorkType</x:v>
      </x:c>
      <x:c r="G120" s="119" t="str">
        <x:v>AccountId, Appointment_Type__c, City, ContactId, Contact__r, Contract_Line_Item__c, Country, Description, DueDate, Duration, DurationType, EarliestStartTime, Id, LineItemNumber, Location_of_Equipment__r, Name, Opportunity__c, ParentRecordId, PostalCode, Priority, QA_Required__c, RecordTypeId, SchedEndTime, SchedStartTime, Serial_No__c, Serial_Number__c, ServiceContract, ServiceContractId, StartDate, State, Status, Street, Subject, System_Serial_Number__c, Transducer_Serial_Numbers__c, Transducer_Serial__c, Transducers__c, WorkTypeId</x:v>
      </x:c>
      <x:c r="H120" s="119" t="str"/>
      <x:c r="I120" s="119" t="str"/>
      <x:c r="J120" s="119" t="str"/>
      <x:c r="K120" s="118" t="n">
        <x:v>5</x:v>
      </x:c>
      <x:c r="L120" s="118" t="n">
        <x:v>0</x:v>
      </x:c>
      <x:c r="M120" s="118" t="n">
        <x:v>0</x:v>
      </x:c>
      <x:c r="N120" s="118" t="n">
        <x:v>0</x:v>
      </x:c>
      <x:c r="O120" s="118" t="n">
        <x:v>0</x:v>
      </x:c>
      <x:c r="P120" s="118" t="n">
        <x:v>0</x:v>
      </x:c>
      <x:c r="Q120" s="118" t="n">
        <x:v>1</x:v>
      </x:c>
      <x:c r="R120" s="118" t="n">
        <x:v>0</x:v>
      </x:c>
      <x:c r="S120" s="118" t="n">
        <x:v>0</x:v>
      </x:c>
      <x:c r="T120" s="118" t="n">
        <x:v>2</x:v>
      </x:c>
      <x:c r="U120" s="118" t="n">
        <x:v>0</x:v>
      </x:c>
      <x:c r="V120" s="118" t="n">
        <x:v>1</x:v>
      </x:c>
      <x:c r="W120" s="118" t="n">
        <x:v>0</x:v>
      </x:c>
      <x:c r="X120" s="118" t="n">
        <x:v>0</x:v>
      </x:c>
      <x:c r="Y120" s="118" t="n">
        <x:v>0</x:v>
      </x:c>
      <x:c r="Z120" s="118" t="n">
        <x:v>0</x:v>
      </x:c>
      <x:c r="AA120" s="118" t="n">
        <x:v>0</x:v>
      </x:c>
      <x:c r="AB120" s="118" t="n">
        <x:v>0</x:v>
      </x:c>
      <x:c r="AC120" s="118" t="n">
        <x:v>0</x:v>
      </x:c>
    </x:row>
    <x:row r="121" ht="46" customHeight="1">
      <x:c r="A121" s="117" t="str">
        <x:v>300Ro00000gOxzdIAC</x:v>
      </x:c>
      <x:c r="B121" s="117" t="str">
        <x:v>Convert_Proforma</x:v>
      </x:c>
      <x:c r="C121" s="117" t="str">
        <x:v>Yes</x:v>
      </x:c>
      <x:c r="D121" s="119" t="str">
        <x:v>Active v1 (Retrieved XML)</x:v>
      </x:c>
      <x:c r="E121" s="119" t="str"/>
      <x:c r="F121" s="119" t="str">
        <x:v>Invoice__c</x:v>
      </x:c>
      <x:c r="G121" s="119" t="str"/>
      <x:c r="H121" s="119" t="str"/>
      <x:c r="I121" s="119" t="str"/>
      <x:c r="J121" s="119" t="str"/>
      <x:c r="K121" s="118" t="n">
        <x:v>5</x:v>
      </x:c>
      <x:c r="L121" s="118" t="n">
        <x:v>0</x:v>
      </x:c>
      <x:c r="M121" s="118" t="n">
        <x:v>0</x:v>
      </x:c>
      <x:c r="N121" s="118" t="n">
        <x:v>1</x:v>
      </x:c>
      <x:c r="O121" s="118" t="n">
        <x:v>0</x:v>
      </x:c>
      <x:c r="P121" s="118" t="n">
        <x:v>0</x:v>
      </x:c>
      <x:c r="Q121" s="118" t="n">
        <x:v>0</x:v>
      </x:c>
      <x:c r="R121" s="118" t="n">
        <x:v>0</x:v>
      </x:c>
      <x:c r="S121" s="118" t="n">
        <x:v>0</x:v>
      </x:c>
      <x:c r="T121" s="118" t="n">
        <x:v>0</x:v>
      </x:c>
      <x:c r="U121" s="118" t="n">
        <x:v>0</x:v>
      </x:c>
      <x:c r="V121" s="118" t="n">
        <x:v>0</x:v>
      </x:c>
      <x:c r="W121" s="118" t="n">
        <x:v>0</x:v>
      </x:c>
      <x:c r="X121" s="118" t="n">
        <x:v>1</x:v>
      </x:c>
      <x:c r="Y121" s="118" t="n">
        <x:v>2</x:v>
      </x:c>
      <x:c r="Z121" s="118" t="n">
        <x:v>0</x:v>
      </x:c>
      <x:c r="AA121" s="118" t="n">
        <x:v>0</x:v>
      </x:c>
      <x:c r="AB121" s="118" t="n">
        <x:v>0</x:v>
      </x:c>
      <x:c r="AC121" s="118" t="n">
        <x:v>0</x:v>
      </x:c>
    </x:row>
    <x:row r="122" ht="46" customHeight="1">
      <x:c r="A122" s="117" t="str">
        <x:v>3005b000000Pz5oAAC</x:v>
      </x:c>
      <x:c r="B122" s="117" t="str">
        <x:v>Convert_PRR_to_Purchasing_Opportunity_Screen_Flow</x:v>
      </x:c>
      <x:c r="C122" s="117" t="str">
        <x:v>Yes</x:v>
      </x:c>
      <x:c r="D122" s="119" t="str">
        <x:v>Active v15 (Retrieved XML)</x:v>
      </x:c>
      <x:c r="E122" s="119" t="str"/>
      <x:c r="F122" s="119" t="str">
        <x:v>Opportunity, OpportunityLineItem, Pricebook2, PricebookEntry, Pricing_Request_Response__c, Product2, ProductItem__c</x:v>
      </x:c>
      <x:c r="G122" s="119" t="str">
        <x:v>AccountId, Asset_No__c, CloseDate, CurrencyIsoCode, Exchange_or_Outright__c, Expected_Delivery_Date__c, Generic_Product__c, Id, Inspection_Type__c, IsActive, Name, OpportunityId, OwnerId, Pricebook2Id, PricebookEntryId, Probo_s_Offer__c, Product2Id, Product_Name__c, Product__c, Purchasing_Opportunity_Type__c, Quantity, RecordTypeId, Ship_Type__c, Shipping_TO_Location__c, StageName, UnitPrice, Warranty__c</x:v>
      </x:c>
      <x:c r="H122" s="119" t="str"/>
      <x:c r="I122" s="119" t="str"/>
      <x:c r="J122" s="119" t="str">
        <x:v>flowruntime:image, flowruntime:lookup</x:v>
      </x:c>
      <x:c r="K122" s="118" t="n">
        <x:v>11</x:v>
      </x:c>
      <x:c r="L122" s="118" t="n">
        <x:v>0</x:v>
      </x:c>
      <x:c r="M122" s="118" t="n">
        <x:v>0</x:v>
      </x:c>
      <x:c r="N122" s="118" t="n">
        <x:v>0</x:v>
      </x:c>
      <x:c r="O122" s="118" t="n">
        <x:v>0</x:v>
      </x:c>
      <x:c r="P122" s="118" t="n">
        <x:v>0</x:v>
      </x:c>
      <x:c r="Q122" s="118" t="n">
        <x:v>0</x:v>
      </x:c>
      <x:c r="R122" s="118" t="n">
        <x:v>0</x:v>
      </x:c>
      <x:c r="S122" s="118" t="n">
        <x:v>0</x:v>
      </x:c>
      <x:c r="T122" s="118" t="n">
        <x:v>2</x:v>
      </x:c>
      <x:c r="U122" s="118" t="n">
        <x:v>0</x:v>
      </x:c>
      <x:c r="V122" s="118" t="n">
        <x:v>6</x:v>
      </x:c>
      <x:c r="W122" s="118" t="n">
        <x:v>0</x:v>
      </x:c>
      <x:c r="X122" s="118" t="n">
        <x:v>0</x:v>
      </x:c>
      <x:c r="Y122" s="118" t="n">
        <x:v>2</x:v>
      </x:c>
      <x:c r="Z122" s="118" t="n">
        <x:v>0</x:v>
      </x:c>
      <x:c r="AA122" s="118" t="n">
        <x:v>0</x:v>
      </x:c>
      <x:c r="AB122" s="118" t="n">
        <x:v>0</x:v>
      </x:c>
      <x:c r="AC122" s="118" t="n">
        <x:v>0</x:v>
      </x:c>
    </x:row>
    <x:row r="123" ht="46" customHeight="1">
      <x:c r="A123" s="117" t="str">
        <x:v>3005b000000H1m1AAC</x:v>
      </x:c>
      <x:c r="B123" s="117" t="str">
        <x:v>Count_Invoice_Products</x:v>
      </x:c>
      <x:c r="C123" s="117" t="str">
        <x:v>No</x:v>
      </x:c>
      <x:c r="D123" s="119" t="str">
        <x:v>Latest inactive v2 (Retrieved XML)</x:v>
      </x:c>
      <x:c r="E123" s="119" t="str"/>
      <x:c r="F123" s="119" t="str">
        <x:v>Invoice__c, OpportunityLineItem</x:v>
      </x:c>
      <x:c r="G123" s="119" t="str">
        <x:v>Count_Invoice_Products__c, Id, Invoice2__c</x:v>
      </x:c>
      <x:c r="H123" s="119" t="str"/>
      <x:c r="I123" s="119" t="str"/>
      <x:c r="J123" s="119" t="str"/>
      <x:c r="K123" s="118" t="n">
        <x:v>6</x:v>
      </x:c>
      <x:c r="L123" s="118" t="n">
        <x:v>0</x:v>
      </x:c>
      <x:c r="M123" s="118" t="n">
        <x:v>0</x:v>
      </x:c>
      <x:c r="N123" s="118" t="n">
        <x:v>2</x:v>
      </x:c>
      <x:c r="O123" s="118" t="n">
        <x:v>0</x:v>
      </x:c>
      <x:c r="P123" s="118" t="n">
        <x:v>0</x:v>
      </x:c>
      <x:c r="Q123" s="118" t="n">
        <x:v>1</x:v>
      </x:c>
      <x:c r="R123" s="118" t="n">
        <x:v>0</x:v>
      </x:c>
      <x:c r="S123" s="118" t="n">
        <x:v>0</x:v>
      </x:c>
      <x:c r="T123" s="118" t="n">
        <x:v>0</x:v>
      </x:c>
      <x:c r="U123" s="118" t="n">
        <x:v>0</x:v>
      </x:c>
      <x:c r="V123" s="118" t="n">
        <x:v>1</x:v>
      </x:c>
      <x:c r="W123" s="118" t="n">
        <x:v>0</x:v>
      </x:c>
      <x:c r="X123" s="118" t="n">
        <x:v>1</x:v>
      </x:c>
      <x:c r="Y123" s="118" t="n">
        <x:v>0</x:v>
      </x:c>
      <x:c r="Z123" s="118" t="n">
        <x:v>0</x:v>
      </x:c>
      <x:c r="AA123" s="118" t="n">
        <x:v>0</x:v>
      </x:c>
      <x:c r="AB123" s="118" t="n">
        <x:v>0</x:v>
      </x:c>
      <x:c r="AC123" s="118" t="n">
        <x:v>0</x:v>
      </x:c>
    </x:row>
    <x:row r="124" ht="46" customHeight="1">
      <x:c r="A124" s="117" t="str">
        <x:v>300Ro00000sOrovIAC</x:v>
      </x:c>
      <x:c r="B124" s="117" t="str">
        <x:v>Count_Return_Opportunities_on_a_Related_Opportunity</x:v>
      </x:c>
      <x:c r="C124" s="117" t="str">
        <x:v>Yes</x:v>
      </x:c>
      <x:c r="D124" s="119" t="str">
        <x:v>Active v1 (Retrieved XML)</x:v>
      </x:c>
      <x:c r="E124" s="119" t="str">
        <x:v>RecordTypeId EqualTo stringValue=0120B000000QyQFQA0 | Related_Opportunity__c IsNull booleanValue=false</x:v>
      </x:c>
      <x:c r="F124" s="119" t="str">
        <x:v>Opportunity</x:v>
      </x:c>
      <x:c r="G124" s="119" t="str">
        <x:v>Id, RecordTypeId, Related_Opportunity__c</x:v>
      </x:c>
      <x:c r="H124" s="119" t="str"/>
      <x:c r="I124" s="119" t="str"/>
      <x:c r="J124" s="119" t="str"/>
      <x:c r="K124" s="118" t="n">
        <x:v>6</x:v>
      </x:c>
      <x:c r="L124" s="118" t="n">
        <x:v>0</x:v>
      </x:c>
      <x:c r="M124" s="118" t="n">
        <x:v>0</x:v>
      </x:c>
      <x:c r="N124" s="118" t="n">
        <x:v>2</x:v>
      </x:c>
      <x:c r="O124" s="118" t="n">
        <x:v>0</x:v>
      </x:c>
      <x:c r="P124" s="118" t="n">
        <x:v>0</x:v>
      </x:c>
      <x:c r="Q124" s="118" t="n">
        <x:v>0</x:v>
      </x:c>
      <x:c r="R124" s="118" t="n">
        <x:v>0</x:v>
      </x:c>
      <x:c r="S124" s="118" t="n">
        <x:v>0</x:v>
      </x:c>
      <x:c r="T124" s="118" t="n">
        <x:v>0</x:v>
      </x:c>
      <x:c r="U124" s="118" t="n">
        <x:v>0</x:v>
      </x:c>
      <x:c r="V124" s="118" t="n">
        <x:v>2</x:v>
      </x:c>
      <x:c r="W124" s="118" t="n">
        <x:v>0</x:v>
      </x:c>
      <x:c r="X124" s="118" t="n">
        <x:v>1</x:v>
      </x:c>
      <x:c r="Y124" s="118" t="n">
        <x:v>0</x:v>
      </x:c>
      <x:c r="Z124" s="118" t="n">
        <x:v>0</x:v>
      </x:c>
      <x:c r="AA124" s="118" t="n">
        <x:v>0</x:v>
      </x:c>
      <x:c r="AB124" s="118" t="n">
        <x:v>0</x:v>
      </x:c>
      <x:c r="AC124" s="118" t="n">
        <x:v>0</x:v>
      </x:c>
    </x:row>
    <x:row r="125" ht="46" customHeight="1">
      <x:c r="A125" s="117" t="str">
        <x:v>300Ro00000cnT4bIAE</x:v>
      </x:c>
      <x:c r="B125" s="117" t="str">
        <x:v>Create_and_Dispatch_Service_Appointment_from_FSL_App</x:v>
      </x:c>
      <x:c r="C125" s="117" t="str">
        <x:v>Yes</x:v>
      </x:c>
      <x:c r="D125" s="119" t="str">
        <x:v>Active v1 (Retrieved XML)</x:v>
      </x:c>
      <x:c r="E125" s="119" t="str"/>
      <x:c r="F125" s="119" t="str">
        <x:v>AssignedResource, ServiceAppointment, ServiceResource, WorkOrder</x:v>
      </x:c>
      <x:c r="G125" s="119" t="str">
        <x:v>ActualStartTime, Appointment_Type__c, ArrivalWindowStartTime, Description, DueDate, Duration, DurationType, EarliestStartTime, Id, ParentRecordId, SchedEndTime, SchedStartTime, ServiceAppointmentId, ServiceResourceId, Status, Subject</x:v>
      </x:c>
      <x:c r="H125" s="119" t="str"/>
      <x:c r="I125" s="119" t="str"/>
      <x:c r="J125" s="119" t="str"/>
      <x:c r="K125" s="118" t="n">
        <x:v>7</x:v>
      </x:c>
      <x:c r="L125" s="118" t="n">
        <x:v>0</x:v>
      </x:c>
      <x:c r="M125" s="118" t="n">
        <x:v>0</x:v>
      </x:c>
      <x:c r="N125" s="118" t="n">
        <x:v>0</x:v>
      </x:c>
      <x:c r="O125" s="118" t="n">
        <x:v>0</x:v>
      </x:c>
      <x:c r="P125" s="118" t="n">
        <x:v>0</x:v>
      </x:c>
      <x:c r="Q125" s="118" t="n">
        <x:v>0</x:v>
      </x:c>
      <x:c r="R125" s="118" t="n">
        <x:v>0</x:v>
      </x:c>
      <x:c r="S125" s="118" t="n">
        <x:v>0</x:v>
      </x:c>
      <x:c r="T125" s="118" t="n">
        <x:v>2</x:v>
      </x:c>
      <x:c r="U125" s="118" t="n">
        <x:v>0</x:v>
      </x:c>
      <x:c r="V125" s="118" t="n">
        <x:v>1</x:v>
      </x:c>
      <x:c r="W125" s="118" t="n">
        <x:v>0</x:v>
      </x:c>
      <x:c r="X125" s="118" t="n">
        <x:v>1</x:v>
      </x:c>
      <x:c r="Y125" s="118" t="n">
        <x:v>2</x:v>
      </x:c>
      <x:c r="Z125" s="118" t="n">
        <x:v>0</x:v>
      </x:c>
      <x:c r="AA125" s="118" t="n">
        <x:v>0</x:v>
      </x:c>
      <x:c r="AB125" s="118" t="n">
        <x:v>0</x:v>
      </x:c>
      <x:c r="AC125" s="118" t="n">
        <x:v>0</x:v>
      </x:c>
    </x:row>
    <x:row r="126" ht="46" customHeight="1">
      <x:c r="A126" s="117" t="str">
        <x:v>3004O000000LOsAQAW</x:v>
      </x:c>
      <x:c r="B126" s="117" t="str">
        <x:v>Create_Commission</x:v>
      </x:c>
      <x:c r="C126" s="117" t="str">
        <x:v>Yes</x:v>
      </x:c>
      <x:c r="D126" s="119" t="str">
        <x:v>Active v2 (Retrieved XML)</x:v>
      </x:c>
      <x:c r="E126" s="119" t="str"/>
      <x:c r="F126" s="119" t="str">
        <x:v>Commission_Plan__mdt, Commission__c, Invoice__c, Master_Draw__c</x:v>
      </x:c>
      <x:c r="G126" s="119" t="str">
        <x:v>C_Arm_Equipment__c, End_Date__c, Exchange_Fee_Income__c, Extended_Warranty__c, Id, Invoice__c, Label, Loaner_Damage_Charges__c, Master_Draw__c, Non_Contract_Service__c, Other_Medical_Equipment__c, OwnerId, Preventative_Maintain_inspection__c, Rep_Name__c, Service_Contracts__c, Start_Date__c, Ultrasound_Parts__c, Ultrasound_Probe_Repair__c, Ultrasound_Probes__c, Ultrasound_Systems__c, Ultrasound_TEE_Probes__c</x:v>
      </x:c>
      <x:c r="H126" s="119" t="str"/>
      <x:c r="I126" s="119" t="str"/>
      <x:c r="J126" s="119" t="str"/>
      <x:c r="K126" s="118" t="n">
        <x:v>10</x:v>
      </x:c>
      <x:c r="L126" s="118" t="n">
        <x:v>0</x:v>
      </x:c>
      <x:c r="M126" s="118" t="n">
        <x:v>0</x:v>
      </x:c>
      <x:c r="N126" s="118" t="n">
        <x:v>3</x:v>
      </x:c>
      <x:c r="O126" s="118" t="n">
        <x:v>0</x:v>
      </x:c>
      <x:c r="P126" s="118" t="n">
        <x:v>0</x:v>
      </x:c>
      <x:c r="Q126" s="118" t="n">
        <x:v>2</x:v>
      </x:c>
      <x:c r="R126" s="118" t="n">
        <x:v>0</x:v>
      </x:c>
      <x:c r="S126" s="118" t="n">
        <x:v>0</x:v>
      </x:c>
      <x:c r="T126" s="118" t="n">
        <x:v>1</x:v>
      </x:c>
      <x:c r="U126" s="118" t="n">
        <x:v>0</x:v>
      </x:c>
      <x:c r="V126" s="118" t="n">
        <x:v>3</x:v>
      </x:c>
      <x:c r="W126" s="118" t="n">
        <x:v>0</x:v>
      </x:c>
      <x:c r="X126" s="118" t="n">
        <x:v>0</x:v>
      </x:c>
      <x:c r="Y126" s="118" t="n">
        <x:v>0</x:v>
      </x:c>
      <x:c r="Z126" s="118" t="n">
        <x:v>0</x:v>
      </x:c>
      <x:c r="AA126" s="118" t="n">
        <x:v>0</x:v>
      </x:c>
      <x:c r="AB126" s="118" t="n">
        <x:v>0</x:v>
      </x:c>
      <x:c r="AC126" s="118" t="n">
        <x:v>0</x:v>
      </x:c>
    </x:row>
    <x:row r="127" ht="46" customHeight="1">
      <x:c r="A127" s="117" t="str">
        <x:v>3005b000000H1utAAC</x:v>
      </x:c>
      <x:c r="B127" s="117" t="str">
        <x:v>Create_contract_line_items_and_entitlements</x:v>
      </x:c>
      <x:c r="C127" s="117" t="str">
        <x:v>Yes</x:v>
      </x:c>
      <x:c r="D127" s="119" t="str">
        <x:v>Active v11 (Retrieved XML)</x:v>
      </x:c>
      <x:c r="E127" s="119" t="str"/>
      <x:c r="F127" s="119" t="str">
        <x:v>ContractLineItem, Entitlement, Pricebook2, PricebookEntry, Product2, RecordType, ServiceContract, WorkOrder</x:v>
      </x:c>
      <x:c r="G127" s="119" t="str">
        <x:v>AccountId, CasesPerEntitlement, ContractLineItemId, CurrencyIsoCode, DeveloperName, EndDate, Id, IsActive, IsPerIncident, IsStandard, Name, Number_of_PMs__c, Number_of_Probe_Replacements__c, Pricebook2Id, PricebookEntryId, Product2Id, Quantity, RemainingCases, ServiceContractId, SobjectType, StartDate, System_Serial_Number__c, System_Type__c, Transducer_Serial__c, Transducers__c, Type, UnitPrice</x:v>
      </x:c>
      <x:c r="H127" s="119" t="str"/>
      <x:c r="I127" s="119" t="str"/>
      <x:c r="J127" s="119" t="str">
        <x:v>flowruntime:lookup</x:v>
      </x:c>
      <x:c r="K127" s="118" t="n">
        <x:v>20</x:v>
      </x:c>
      <x:c r="L127" s="118" t="n">
        <x:v>0</x:v>
      </x:c>
      <x:c r="M127" s="118" t="n">
        <x:v>0</x:v>
      </x:c>
      <x:c r="N127" s="118" t="n">
        <x:v>5</x:v>
      </x:c>
      <x:c r="O127" s="118" t="n">
        <x:v>0</x:v>
      </x:c>
      <x:c r="P127" s="118" t="n">
        <x:v>0</x:v>
      </x:c>
      <x:c r="Q127" s="118" t="n">
        <x:v>5</x:v>
      </x:c>
      <x:c r="R127" s="118" t="n">
        <x:v>0</x:v>
      </x:c>
      <x:c r="S127" s="118" t="n">
        <x:v>0</x:v>
      </x:c>
      <x:c r="T127" s="118" t="n">
        <x:v>4</x:v>
      </x:c>
      <x:c r="U127" s="118" t="n">
        <x:v>0</x:v>
      </x:c>
      <x:c r="V127" s="118" t="n">
        <x:v>4</x:v>
      </x:c>
      <x:c r="W127" s="118" t="n">
        <x:v>0</x:v>
      </x:c>
      <x:c r="X127" s="118" t="n">
        <x:v>0</x:v>
      </x:c>
      <x:c r="Y127" s="118" t="n">
        <x:v>1</x:v>
      </x:c>
      <x:c r="Z127" s="118" t="n">
        <x:v>0</x:v>
      </x:c>
      <x:c r="AA127" s="118" t="n">
        <x:v>0</x:v>
      </x:c>
      <x:c r="AB127" s="118" t="n">
        <x:v>0</x:v>
      </x:c>
      <x:c r="AC127" s="118" t="n">
        <x:v>0</x:v>
      </x:c>
    </x:row>
    <x:row r="128" ht="46" customHeight="1">
      <x:c r="A128" s="117" t="str">
        <x:v>3005b000000H3leAAC</x:v>
      </x:c>
      <x:c r="B128" s="117" t="str">
        <x:v>Create_Contract_Line_Items_Entitlements_and_Work_Orders</x:v>
      </x:c>
      <x:c r="C128" s="117" t="str">
        <x:v>No</x:v>
      </x:c>
      <x:c r="D128" s="119" t="str">
        <x:v>Latest inactive v3 (Retrieved XML)</x:v>
      </x:c>
      <x:c r="E128" s="119" t="str"/>
      <x:c r="F128" s="119" t="str">
        <x:v>ContractLineItem, Entitlement, Pricebook2, PricebookEntry, Product2, RecordType, ServiceContract, WorkOrder</x:v>
      </x:c>
      <x:c r="G128" s="119" t="str">
        <x:v>AccountId, CasesPerEntitlement, ContractLineItemId, CurrencyIsoCode, DeveloperName, EndDate, Id, IsActive, IsPerIncident, IsStandard, Name, Number_of_PMs__c, Number_of_Probe_Replacements__c, Pricebook2Id, PricebookEntryId, Product2Id, Quantity, RemainingCases, ServiceContractId, SobjectType, StartDate, System_Serial_Number__c, System_Type__c, Transducer_Serial__c, Transducers__c, Type, UnitPrice</x:v>
      </x:c>
      <x:c r="H128" s="119" t="str"/>
      <x:c r="I128" s="119" t="str"/>
      <x:c r="J128" s="119" t="str">
        <x:v>flowruntime:lookup</x:v>
      </x:c>
      <x:c r="K128" s="118" t="n">
        <x:v>23</x:v>
      </x:c>
      <x:c r="L128" s="118" t="n">
        <x:v>0</x:v>
      </x:c>
      <x:c r="M128" s="118" t="n">
        <x:v>0</x:v>
      </x:c>
      <x:c r="N128" s="118" t="n">
        <x:v>7</x:v>
      </x:c>
      <x:c r="O128" s="118" t="n">
        <x:v>0</x:v>
      </x:c>
      <x:c r="P128" s="118" t="n">
        <x:v>0</x:v>
      </x:c>
      <x:c r="Q128" s="118" t="n">
        <x:v>6</x:v>
      </x:c>
      <x:c r="R128" s="118" t="n">
        <x:v>0</x:v>
      </x:c>
      <x:c r="S128" s="118" t="n">
        <x:v>0</x:v>
      </x:c>
      <x:c r="T128" s="118" t="n">
        <x:v>4</x:v>
      </x:c>
      <x:c r="U128" s="118" t="n">
        <x:v>0</x:v>
      </x:c>
      <x:c r="V128" s="118" t="n">
        <x:v>4</x:v>
      </x:c>
      <x:c r="W128" s="118" t="n">
        <x:v>0</x:v>
      </x:c>
      <x:c r="X128" s="118" t="n">
        <x:v>0</x:v>
      </x:c>
      <x:c r="Y128" s="118" t="n">
        <x:v>1</x:v>
      </x:c>
      <x:c r="Z128" s="118" t="n">
        <x:v>0</x:v>
      </x:c>
      <x:c r="AA128" s="118" t="n">
        <x:v>0</x:v>
      </x:c>
      <x:c r="AB128" s="118" t="n">
        <x:v>0</x:v>
      </x:c>
      <x:c r="AC128" s="118" t="n">
        <x:v>0</x:v>
      </x:c>
    </x:row>
    <x:row r="129" ht="46" customHeight="1">
      <x:c r="A129" s="117" t="str">
        <x:v>3005b000000H3pgAAC</x:v>
      </x:c>
      <x:c r="B129" s="117" t="str">
        <x:v>Create_Contract_Line_Items_Entitlements_and_Work_Orders_V4</x:v>
      </x:c>
      <x:c r="C129" s="117" t="str">
        <x:v>Yes</x:v>
      </x:c>
      <x:c r="D129" s="119" t="str">
        <x:v>Active v17 (Tooling metadata)</x:v>
      </x:c>
      <x:c r="E129" s="119" t="str"/>
      <x:c r="F129" s="119" t="str">
        <x:v>ContractLineItem, Entitlement, Pricebook2, PricebookEntry, Product2, RecordType, ServiceAppointment, ServiceContract, WorkOrder</x:v>
      </x:c>
      <x:c r="G129" s="119" t="str">
        <x:v>AccountId, CasesPerEntitlement, Contact__c, ContractLineItemId, Coverage_Level__c, CurrencyIsoCode, Department__c, Details__c, DeveloperName, EndDate, Engineer_Notes__c, Id, Installation_Date__c, IsActive, IsPerIncident, IsStandard, Line_Item_Value_After_Discount__c, Location_of_Equipment__c, MIUS_Serial_Number__c, Modality__c, Name, New_Multi_Year__c, New_on_Contract__c, Number_of_PMs__c, Number_of_Probe_Replacements__c, Pricebook2Id, PricebookEntryId, Product2Id, Quantity, RemainingCases, ServiceContractId, SobjectType, Special_Terms__c, StartDate, Subcontracted_Through__c, Subcontracted__c, System_Serial_Number__c, Terms__c, Transducer_Serial__c, Transducers__c, Type, UnitPrice</x:v>
      </x:c>
      <x:c r="H129" s="119" t="str"/>
      <x:c r="I129" s="119" t="str"/>
      <x:c r="J129" s="119" t="str">
        <x:v>flowruntime:lookup</x:v>
      </x:c>
      <x:c r="K129" s="118" t="n">
        <x:v>27</x:v>
      </x:c>
      <x:c r="L129" s="118" t="n">
        <x:v>0</x:v>
      </x:c>
      <x:c r="M129" s="118" t="n">
        <x:v>0</x:v>
      </x:c>
      <x:c r="N129" s="118" t="n">
        <x:v>9</x:v>
      </x:c>
      <x:c r="O129" s="118" t="n">
        <x:v>0</x:v>
      </x:c>
      <x:c r="P129" s="118" t="n">
        <x:v>0</x:v>
      </x:c>
      <x:c r="Q129" s="118" t="n">
        <x:v>6</x:v>
      </x:c>
      <x:c r="R129" s="118" t="n">
        <x:v>1</x:v>
      </x:c>
      <x:c r="S129" s="118" t="n">
        <x:v>0</x:v>
      </x:c>
      <x:c r="T129" s="118" t="n">
        <x:v>5</x:v>
      </x:c>
      <x:c r="U129" s="118" t="n">
        <x:v>0</x:v>
      </x:c>
      <x:c r="V129" s="118" t="n">
        <x:v>4</x:v>
      </x:c>
      <x:c r="W129" s="118" t="n">
        <x:v>0</x:v>
      </x:c>
      <x:c r="X129" s="118" t="n">
        <x:v>0</x:v>
      </x:c>
      <x:c r="Y129" s="118" t="n">
        <x:v>1</x:v>
      </x:c>
      <x:c r="Z129" s="118" t="n">
        <x:v>0</x:v>
      </x:c>
      <x:c r="AA129" s="118" t="n">
        <x:v>0</x:v>
      </x:c>
      <x:c r="AB129" s="118" t="n">
        <x:v>0</x:v>
      </x:c>
      <x:c r="AC129" s="118" t="n">
        <x:v>0</x:v>
      </x:c>
    </x:row>
    <x:row r="130" ht="46" customHeight="1">
      <x:c r="A130" s="117" t="str">
        <x:v>3005b000000LJjmAAG</x:v>
      </x:c>
      <x:c r="B130" s="117" t="str">
        <x:v>Create_Core_Charge_Opportunity_from_RMA_Screen_Flow</x:v>
      </x:c>
      <x:c r="C130" s="117" t="str">
        <x:v>Yes</x:v>
      </x:c>
      <x:c r="D130" s="119" t="str">
        <x:v>Active v4 (Retrieved XML)</x:v>
      </x:c>
      <x:c r="E130" s="119" t="str"/>
      <x:c r="F130" s="119" t="str">
        <x:v>Opportunity, OpportunityLineItem, RMA__c</x:v>
      </x:c>
      <x:c r="G130" s="119" t="str">
        <x:v>AccountId, Asset_No__c, Bill_To_Account__c, BillingCity__c, BillingCountry__c, BillingPostalCode__c, BillingState__c, BillingStreet__c, CloseDate, CurrencyIsoCode, Customer_PO__c, Customer_Paid_for_Damage_or_Outright_ex__c, Id, Loaner_Restock_Fee_Opportunity__c, Model__c, Name, OpportunityId, OwnerId, PricebookEntryId, Product2Id, ProductItem__c, Product_Family_TXT__c, Purchasing_Approved__c, Quantity, RecordTypeId, Sales_Lead_Source__c, Sales_Representative__c, Serial_No__c, Ship_To_Account__c, ShippingCity__c, ShippingCountry__c, ShippingPostalCode__c, ShippingState__c, ShippingStreet__c, Shipping_FROM_Location__c, StageName, UnitPrice</x:v>
      </x:c>
      <x:c r="H130" s="119" t="str"/>
      <x:c r="I130" s="119" t="str"/>
      <x:c r="J130" s="119" t="str"/>
      <x:c r="K130" s="118" t="n">
        <x:v>8</x:v>
      </x:c>
      <x:c r="L130" s="118" t="n">
        <x:v>0</x:v>
      </x:c>
      <x:c r="M130" s="118" t="n">
        <x:v>0</x:v>
      </x:c>
      <x:c r="N130" s="118" t="n">
        <x:v>0</x:v>
      </x:c>
      <x:c r="O130" s="118" t="n">
        <x:v>0</x:v>
      </x:c>
      <x:c r="P130" s="118" t="n">
        <x:v>0</x:v>
      </x:c>
      <x:c r="Q130" s="118" t="n">
        <x:v>0</x:v>
      </x:c>
      <x:c r="R130" s="118" t="n">
        <x:v>0</x:v>
      </x:c>
      <x:c r="S130" s="118" t="n">
        <x:v>0</x:v>
      </x:c>
      <x:c r="T130" s="118" t="n">
        <x:v>2</x:v>
      </x:c>
      <x:c r="U130" s="118" t="n">
        <x:v>0</x:v>
      </x:c>
      <x:c r="V130" s="118" t="n">
        <x:v>2</x:v>
      </x:c>
      <x:c r="W130" s="118" t="n">
        <x:v>0</x:v>
      </x:c>
      <x:c r="X130" s="118" t="n">
        <x:v>1</x:v>
      </x:c>
      <x:c r="Y130" s="118" t="n">
        <x:v>2</x:v>
      </x:c>
      <x:c r="Z130" s="118" t="n">
        <x:v>0</x:v>
      </x:c>
      <x:c r="AA130" s="118" t="n">
        <x:v>0</x:v>
      </x:c>
      <x:c r="AB130" s="118" t="n">
        <x:v>0</x:v>
      </x:c>
      <x:c r="AC130" s="118" t="n">
        <x:v>0</x:v>
      </x:c>
    </x:row>
    <x:row r="131" ht="46" customHeight="1">
      <x:c r="A131" s="117" t="str">
        <x:v>3005b000000H2SbAAK</x:v>
      </x:c>
      <x:c r="B131" s="117" t="str">
        <x:v>Create_core_exchange_RMAs_from_Service_Fusion</x:v>
      </x:c>
      <x:c r="C131" s="117" t="str">
        <x:v>Yes</x:v>
      </x:c>
      <x:c r="D131" s="119" t="str">
        <x:v>Active v3 (Retrieved XML)</x:v>
      </x:c>
      <x:c r="E131" s="119" t="str">
        <x:v>Part_Removed_Serial_Number_1__c IsNull booleanValue=false | Part_Removed_Serial_Number_2__c IsNull booleanValue=false | Part_Removed_Serial_Number_3__c IsNull booleanValue=false | Part_Removed_Serial_Number_4__c IsNull booleanValue=false | Part_Removed_Serial_Number_5__c IsNull booleanValue=false | Part_Removed_Serial_Number_6__c IsNull booleanValue=false</x:v>
      </x:c>
      <x:c r="F131" s="119" t="str">
        <x:v>RMA__c, WorkOrder</x:v>
      </x:c>
      <x:c r="G131" s="119" t="str">
        <x:v>Account, First_FSE__c, Id, Opportunity__c, Opportunity__r, Part_Removed_Serial_Number_1__c, Part_Removed_Serial_Number_2__c, Part_Removed_Serial_Number_3__c, Part_Removed_Serial_Number_4__c, Part_Removed_Serial_Number_5__c, Part_Removed_Serial_Number_6__c, ServiceContractId</x:v>
      </x:c>
      <x:c r="H131" s="119" t="str"/>
      <x:c r="I131" s="119" t="str"/>
      <x:c r="J131" s="119" t="str"/>
      <x:c r="K131" s="118" t="n">
        <x:v>7</x:v>
      </x:c>
      <x:c r="L131" s="118" t="n">
        <x:v>0</x:v>
      </x:c>
      <x:c r="M131" s="118" t="n">
        <x:v>0</x:v>
      </x:c>
      <x:c r="N131" s="118" t="n">
        <x:v>3</x:v>
      </x:c>
      <x:c r="O131" s="118" t="n">
        <x:v>0</x:v>
      </x:c>
      <x:c r="P131" s="118" t="n">
        <x:v>0</x:v>
      </x:c>
      <x:c r="Q131" s="118" t="n">
        <x:v>1</x:v>
      </x:c>
      <x:c r="R131" s="118" t="n">
        <x:v>1</x:v>
      </x:c>
      <x:c r="S131" s="118" t="n">
        <x:v>0</x:v>
      </x:c>
      <x:c r="T131" s="118" t="n">
        <x:v>1</x:v>
      </x:c>
      <x:c r="U131" s="118" t="n">
        <x:v>0</x:v>
      </x:c>
      <x:c r="V131" s="118" t="n">
        <x:v>0</x:v>
      </x:c>
      <x:c r="W131" s="118" t="n">
        <x:v>0</x:v>
      </x:c>
      <x:c r="X131" s="118" t="n">
        <x:v>0</x:v>
      </x:c>
      <x:c r="Y131" s="118" t="n">
        <x:v>0</x:v>
      </x:c>
      <x:c r="Z131" s="118" t="n">
        <x:v>0</x:v>
      </x:c>
      <x:c r="AA131" s="118" t="n">
        <x:v>0</x:v>
      </x:c>
      <x:c r="AB131" s="118" t="n">
        <x:v>0</x:v>
      </x:c>
      <x:c r="AC131" s="118" t="n">
        <x:v>0</x:v>
      </x:c>
    </x:row>
    <x:row r="132" ht="46" customHeight="1">
      <x:c r="A132" s="117" t="str">
        <x:v>300Ro00000NaN2WIAV</x:v>
      </x:c>
      <x:c r="B132" s="117" t="str">
        <x:v>Create_Credit_Memo_From_Invoice</x:v>
      </x:c>
      <x:c r="C132" s="117" t="str">
        <x:v>Yes</x:v>
      </x:c>
      <x:c r="D132" s="119" t="str">
        <x:v>Active v9 (Retrieved XML)</x:v>
      </x:c>
      <x:c r="E132" s="119" t="str"/>
      <x:c r="F132" s="119" t="str">
        <x:v>Account, Credit_Memo__c, Invoice__c, Opportunity</x:v>
      </x:c>
      <x:c r="G132" s="119" t="str">
        <x:v>Bill_to_Account__c, CurrencyIsoCode, Don_t_Send_to_Client__c, Id, Invoice__c, Opportunity__c</x:v>
      </x:c>
      <x:c r="H132" s="119" t="str"/>
      <x:c r="I132" s="119" t="str"/>
      <x:c r="J132" s="119" t="str"/>
      <x:c r="K132" s="118" t="n">
        <x:v>13</x:v>
      </x:c>
      <x:c r="L132" s="118" t="n">
        <x:v>0</x:v>
      </x:c>
      <x:c r="M132" s="118" t="n">
        <x:v>0</x:v>
      </x:c>
      <x:c r="N132" s="118" t="n">
        <x:v>4</x:v>
      </x:c>
      <x:c r="O132" s="118" t="n">
        <x:v>0</x:v>
      </x:c>
      <x:c r="P132" s="118" t="n">
        <x:v>0</x:v>
      </x:c>
      <x:c r="Q132" s="118" t="n">
        <x:v>2</x:v>
      </x:c>
      <x:c r="R132" s="118" t="n">
        <x:v>0</x:v>
      </x:c>
      <x:c r="S132" s="118" t="n">
        <x:v>0</x:v>
      </x:c>
      <x:c r="T132" s="118" t="n">
        <x:v>1</x:v>
      </x:c>
      <x:c r="U132" s="118" t="n">
        <x:v>0</x:v>
      </x:c>
      <x:c r="V132" s="118" t="n">
        <x:v>3</x:v>
      </x:c>
      <x:c r="W132" s="118" t="n">
        <x:v>0</x:v>
      </x:c>
      <x:c r="X132" s="118" t="n">
        <x:v>0</x:v>
      </x:c>
      <x:c r="Y132" s="118" t="n">
        <x:v>2</x:v>
      </x:c>
      <x:c r="Z132" s="118" t="n">
        <x:v>0</x:v>
      </x:c>
      <x:c r="AA132" s="118" t="n">
        <x:v>0</x:v>
      </x:c>
      <x:c r="AB132" s="118" t="n">
        <x:v>0</x:v>
      </x:c>
      <x:c r="AC132" s="118" t="n">
        <x:v>0</x:v>
      </x:c>
    </x:row>
    <x:row r="133" ht="46" customHeight="1">
      <x:c r="A133" s="117" t="str">
        <x:v>300Ro00000B07T3IAJ</x:v>
      </x:c>
      <x:c r="B133" s="117" t="str">
        <x:v>Create_External_Repair_Testing_Opp_from_PO</x:v>
      </x:c>
      <x:c r="C133" s="117" t="str">
        <x:v>Yes</x:v>
      </x:c>
      <x:c r="D133" s="119" t="str">
        <x:v>Active v7 (Retrieved XML)</x:v>
      </x:c>
      <x:c r="E133" s="119" t="str"/>
      <x:c r="F133" s="119" t="str">
        <x:v>Item_Receipt__c, Opportunity, OpportunityLineItem, PricebookEntry, ProductItem__c</x:v>
      </x:c>
      <x:c r="G133" s="119" t="str">
        <x:v>AccountId, Asset_No__c, CloseDate, CurrencyIsoCode, Id, Name, OpportunityId, OwnerId, PricebookEntryId, Product2Id, ProductItem__c, Purchasing_Approved__c, Quantity, RecordTypeId, Related_Opportunity__c, Serial_No__c, ShippingCity__c, ShippingCountry__c, ShippingPostalCode__c, ShippingState__c, ShippingStreet__c, Shipping_FROM_Location__c, StageName, UnitPrice</x:v>
      </x:c>
      <x:c r="H133" s="119" t="str"/>
      <x:c r="I133" s="119" t="str"/>
      <x:c r="J133" s="119" t="str">
        <x:v>flowruntime:image</x:v>
      </x:c>
      <x:c r="K133" s="118" t="n">
        <x:v>12</x:v>
      </x:c>
      <x:c r="L133" s="118" t="n">
        <x:v>0</x:v>
      </x:c>
      <x:c r="M133" s="118" t="n">
        <x:v>0</x:v>
      </x:c>
      <x:c r="N133" s="118" t="n">
        <x:v>0</x:v>
      </x:c>
      <x:c r="O133" s="118" t="n">
        <x:v>0</x:v>
      </x:c>
      <x:c r="P133" s="118" t="n">
        <x:v>0</x:v>
      </x:c>
      <x:c r="Q133" s="118" t="n">
        <x:v>1</x:v>
      </x:c>
      <x:c r="R133" s="118" t="n">
        <x:v>0</x:v>
      </x:c>
      <x:c r="S133" s="118" t="n">
        <x:v>0</x:v>
      </x:c>
      <x:c r="T133" s="118" t="n">
        <x:v>2</x:v>
      </x:c>
      <x:c r="U133" s="118" t="n">
        <x:v>0</x:v>
      </x:c>
      <x:c r="V133" s="118" t="n">
        <x:v>3</x:v>
      </x:c>
      <x:c r="W133" s="118" t="n">
        <x:v>0</x:v>
      </x:c>
      <x:c r="X133" s="118" t="n">
        <x:v>2</x:v>
      </x:c>
      <x:c r="Y133" s="118" t="n">
        <x:v>3</x:v>
      </x:c>
      <x:c r="Z133" s="118" t="n">
        <x:v>0</x:v>
      </x:c>
      <x:c r="AA133" s="118" t="n">
        <x:v>0</x:v>
      </x:c>
      <x:c r="AB133" s="118" t="n">
        <x:v>0</x:v>
      </x:c>
      <x:c r="AC133" s="118" t="n">
        <x:v>0</x:v>
      </x:c>
    </x:row>
    <x:row r="134" ht="46" customHeight="1">
      <x:c r="A134" s="117" t="str">
        <x:v>300Ro00000kseeBIAQ</x:v>
      </x:c>
      <x:c r="B134" s="117" t="str">
        <x:v>Create_Field_Service_Work_Order_in_Salesforce</x:v>
      </x:c>
      <x:c r="C134" s="117" t="str">
        <x:v>Yes</x:v>
      </x:c>
      <x:c r="D134" s="119" t="str">
        <x:v>Active v9 (Retrieved XML)</x:v>
      </x:c>
      <x:c r="E134" s="119" t="str"/>
      <x:c r="F134" s="119" t="str">
        <x:v>Account, Asset, AssignedResource, Contact, ContractLineItem, Opportunity, ProductItem__c, ServiceAppointment, ServiceContract, ServiceCrewMember, ServiceResource, ServiceResourceSkill, ServiceTerritoryMember, Skill, WorkOrder, WorkType</x:v>
      </x:c>
      <x:c r="G134" s="119" t="str">
        <x:v>AccountId, Asset2__c, AssetId, Billing_Type__c, City, ContactId, Contract_Line_Item__c, Country, Description, DueDate, EarliestStartTime, Id, IsActive, Make_Model__c, Name, Note_to_Engineer__c, Opportunity_Number__c, Opportunity__c, OwnerId, ParentRecordId, Patient_Impact__c, PostalCode, Priority, RecordTypeId, Reported_Symptoms__c, Reporter_Contact_Info__c, ResourceType, SchedEndTime, SchedStartTime, Serial_No__c, Serial_Number__c, ServiceAppointmentId, ServiceCrewId, ServiceResourceId, ServiceTerritoryId, SkillId, State, Status, Street, Subject, System_Serial_Number__c, Type__c, WorkTypeId</x:v>
      </x:c>
      <x:c r="H134" s="119" t="str">
        <x:v>chatterPost</x:v>
      </x:c>
      <x:c r="I134" s="119" t="str">
        <x:v>Work_Order_install_Subflow</x:v>
      </x:c>
      <x:c r="J134" s="119" t="str">
        <x:v>flowruntime:lookup</x:v>
      </x:c>
      <x:c r="K134" s="118" t="n">
        <x:v>89</x:v>
      </x:c>
      <x:c r="L134" s="118" t="n">
        <x:v>2</x:v>
      </x:c>
      <x:c r="M134" s="118" t="n">
        <x:v>0</x:v>
      </x:c>
      <x:c r="N134" s="118" t="n">
        <x:v>23</x:v>
      </x:c>
      <x:c r="O134" s="118" t="n">
        <x:v>0</x:v>
      </x:c>
      <x:c r="P134" s="118" t="n">
        <x:v>0</x:v>
      </x:c>
      <x:c r="Q134" s="118" t="n">
        <x:v>13</x:v>
      </x:c>
      <x:c r="R134" s="118" t="n">
        <x:v>3</x:v>
      </x:c>
      <x:c r="S134" s="118" t="n">
        <x:v>0</x:v>
      </x:c>
      <x:c r="T134" s="118" t="n">
        <x:v>4</x:v>
      </x:c>
      <x:c r="U134" s="118" t="n">
        <x:v>0</x:v>
      </x:c>
      <x:c r="V134" s="118" t="n">
        <x:v>35</x:v>
      </x:c>
      <x:c r="W134" s="118" t="n">
        <x:v>0</x:v>
      </x:c>
      <x:c r="X134" s="118" t="n">
        <x:v>1</x:v>
      </x:c>
      <x:c r="Y134" s="118" t="n">
        <x:v>6</x:v>
      </x:c>
      <x:c r="Z134" s="118" t="n">
        <x:v>0</x:v>
      </x:c>
      <x:c r="AA134" s="118" t="n">
        <x:v>1</x:v>
      </x:c>
      <x:c r="AB134" s="118" t="n">
        <x:v>0</x:v>
      </x:c>
      <x:c r="AC134" s="118" t="n">
        <x:v>0</x:v>
      </x:c>
    </x:row>
    <x:row r="135" ht="46" customHeight="1">
      <x:c r="A135" s="117" t="str">
        <x:v>300jR000000BuwaQAC</x:v>
      </x:c>
      <x:c r="B135" s="117" t="str">
        <x:v>Create_FSL_Work_Order_on_SF_Objects</x:v>
      </x:c>
      <x:c r="C135" s="117" t="str">
        <x:v>Yes</x:v>
      </x:c>
      <x:c r="D135" s="119" t="str">
        <x:v>Active v7 (Retrieved XML)</x:v>
      </x:c>
      <x:c r="E135" s="119" t="str"/>
      <x:c r="F135" s="119" t="str">
        <x:v>Account, Asset, AssignedResource, ContractLineItem, CustomNotificationType, Opportunity, RecordType, ServiceAppointment, ServiceContract, ServiceCrewMember, ServiceReportLayout, ServiceResource, ServiceTerritory, ServiceTerritoryMember, User, WorkOrder, WorkType</x:v>
      </x:c>
      <x:c r="G135" s="119" t="str">
        <x:v>AccountId, AssetId, Billing_Account_Name__c, Billing_Email__c, Billing_Type__c, City, Contact_Phone__c, Country, DeveloperName, DueDate, EarliestStartTime, Id, IsActive, IsDeleted, Make_Model__c, Name, Note_to_Engineer__c, Opportunity__c, OwnerId, ParentContractLineItemId, ParentRecordId, Patient_Impact__c, PostalCode, Priority, RecordTypeId, Reported_Symptoms__c, Reporter_Contact_Info__c, SchedEndTime, SchedStartTime, Serial_Number__c, ServiceAppointmentId, ServiceContractId, ServiceCrewId, ServiceReportTemplateId, ServiceResourceId, ServiceTerritoryId, Service_Site_Name__c, Site_Contact_Name__c, SobjectType, State, Status, Street, Subject, System_Serial_Number__c, Type__c, WorkTypeId, X18_Digit_ID__c</x:v>
      </x:c>
      <x:c r="H135" s="119" t="str">
        <x:v>customNotificationAction</x:v>
      </x:c>
      <x:c r="I135" s="119" t="str"/>
      <x:c r="J135" s="119" t="str">
        <x:v>flowruntime:address, flowruntime:datatable, flowruntime:lookup</x:v>
      </x:c>
      <x:c r="K135" s="118" t="n">
        <x:v>49</x:v>
      </x:c>
      <x:c r="L135" s="118" t="n">
        <x:v>2</x:v>
      </x:c>
      <x:c r="M135" s="118" t="n">
        <x:v>0</x:v>
      </x:c>
      <x:c r="N135" s="118" t="n">
        <x:v>14</x:v>
      </x:c>
      <x:c r="O135" s="118" t="n">
        <x:v>0</x:v>
      </x:c>
      <x:c r="P135" s="118" t="n">
        <x:v>0</x:v>
      </x:c>
      <x:c r="Q135" s="118" t="n">
        <x:v>6</x:v>
      </x:c>
      <x:c r="R135" s="118" t="n">
        <x:v>2</x:v>
      </x:c>
      <x:c r="S135" s="118" t="n">
        <x:v>0</x:v>
      </x:c>
      <x:c r="T135" s="118" t="n">
        <x:v>3</x:v>
      </x:c>
      <x:c r="U135" s="118" t="n">
        <x:v>0</x:v>
      </x:c>
      <x:c r="V135" s="118" t="n">
        <x:v>17</x:v>
      </x:c>
      <x:c r="W135" s="118" t="n">
        <x:v>0</x:v>
      </x:c>
      <x:c r="X135" s="118" t="n">
        <x:v>1</x:v>
      </x:c>
      <x:c r="Y135" s="118" t="n">
        <x:v>3</x:v>
      </x:c>
      <x:c r="Z135" s="118" t="n">
        <x:v>0</x:v>
      </x:c>
      <x:c r="AA135" s="118" t="n">
        <x:v>0</x:v>
      </x:c>
      <x:c r="AB135" s="118" t="n">
        <x:v>0</x:v>
      </x:c>
      <x:c r="AC135" s="118" t="n">
        <x:v>0</x:v>
      </x:c>
    </x:row>
    <x:row r="136" ht="46" customHeight="1">
      <x:c r="A136" s="117" t="str">
        <x:v>3004O000000LNr1QAG</x:v>
      </x:c>
      <x:c r="B136" s="117" t="str">
        <x:v>Create_Generic_Asset2_from_Product2_Id</x:v>
      </x:c>
      <x:c r="C136" s="117" t="str">
        <x:v>No</x:v>
      </x:c>
      <x:c r="D136" s="119" t="str">
        <x:v>Latest inactive v7 (Retrieved XML)</x:v>
      </x:c>
      <x:c r="E136" s="119" t="str"/>
      <x:c r="F136" s="119" t="str">
        <x:v>Product2, ProductItem__c, Product_Analytics__c, RecordType</x:v>
      </x:c>
      <x:c r="G136" s="119" t="str">
        <x:v>DeveloperName, Id, IsActive, Name, Product__c, SobjectType</x:v>
      </x:c>
      <x:c r="H136" s="119" t="str"/>
      <x:c r="I136" s="119" t="str"/>
      <x:c r="J136" s="119" t="str"/>
      <x:c r="K136" s="118" t="n">
        <x:v>17</x:v>
      </x:c>
      <x:c r="L136" s="118" t="n">
        <x:v>0</x:v>
      </x:c>
      <x:c r="M136" s="118" t="n">
        <x:v>0</x:v>
      </x:c>
      <x:c r="N136" s="118" t="n">
        <x:v>10</x:v>
      </x:c>
      <x:c r="O136" s="118" t="n">
        <x:v>0</x:v>
      </x:c>
      <x:c r="P136" s="118" t="n">
        <x:v>0</x:v>
      </x:c>
      <x:c r="Q136" s="118" t="n">
        <x:v>1</x:v>
      </x:c>
      <x:c r="R136" s="118" t="n">
        <x:v>0</x:v>
      </x:c>
      <x:c r="S136" s="118" t="n">
        <x:v>0</x:v>
      </x:c>
      <x:c r="T136" s="118" t="n">
        <x:v>2</x:v>
      </x:c>
      <x:c r="U136" s="118" t="n">
        <x:v>0</x:v>
      </x:c>
      <x:c r="V136" s="118" t="n">
        <x:v>3</x:v>
      </x:c>
      <x:c r="W136" s="118" t="n">
        <x:v>0</x:v>
      </x:c>
      <x:c r="X136" s="118" t="n">
        <x:v>0</x:v>
      </x:c>
      <x:c r="Y136" s="118" t="n">
        <x:v>0</x:v>
      </x:c>
      <x:c r="Z136" s="118" t="n">
        <x:v>0</x:v>
      </x:c>
      <x:c r="AA136" s="118" t="n">
        <x:v>0</x:v>
      </x:c>
      <x:c r="AB136" s="118" t="n">
        <x:v>0</x:v>
      </x:c>
      <x:c r="AC136" s="118" t="n">
        <x:v>0</x:v>
      </x:c>
    </x:row>
    <x:row r="137" ht="46" customHeight="1">
      <x:c r="A137" s="117" t="str">
        <x:v>300Ro00000blHOIIA2</x:v>
      </x:c>
      <x:c r="B137" s="117" t="str">
        <x:v>Create_IR_from_Opp</x:v>
      </x:c>
      <x:c r="C137" s="117" t="str">
        <x:v>Yes</x:v>
      </x:c>
      <x:c r="D137" s="119" t="str">
        <x:v>Active v6 (Tooling metadata)</x:v>
      </x:c>
      <x:c r="E137" s="119" t="str"/>
      <x:c r="F137" s="119" t="str">
        <x:v>IR_Product__c, Item_Receipt__c, Opportunity, OpportunityLineItem, Product2, ProductItem__c</x:v>
      </x:c>
      <x:c r="G137" s="119" t="str">
        <x:v>CurrencyIsoCode, Generic_Product__c, Id, Intacct_Receipt_Sync_Status__c, Item_Receipt_Amount__c, Item_Receipt_Submission_Date__c, Item_Receipt_Type__c, Item_Receipt__c, Lot_Number__c, Name, OpportunityId, Opportunity_Product__c, Opportunity__c, Product2Id, Product2__c, Purchasing_Approved__c, Purchasing_Opportunity__c, Quantity_Remaining__c, Quantity__c, Submit_to_Accounting__c, Total_Cost__c, Update_IR__c, sold__c</x:v>
      </x:c>
      <x:c r="H137" s="119" t="str">
        <x:v>UpdateProductItemCosts, emailSimple</x:v>
      </x:c>
      <x:c r="I137" s="119" t="str">
        <x:v>Screen_Flow_Select_IR_Assets</x:v>
      </x:c>
      <x:c r="J137" s="119" t="str">
        <x:v>c:datatable</x:v>
      </x:c>
      <x:c r="K137" s="118" t="n">
        <x:v>82</x:v>
      </x:c>
      <x:c r="L137" s="118" t="n">
        <x:v>2</x:v>
      </x:c>
      <x:c r="M137" s="118" t="n">
        <x:v>0</x:v>
      </x:c>
      <x:c r="N137" s="118" t="n">
        <x:v>26</x:v>
      </x:c>
      <x:c r="O137" s="118" t="n">
        <x:v>3</x:v>
      </x:c>
      <x:c r="P137" s="118" t="n">
        <x:v>0</x:v>
      </x:c>
      <x:c r="Q137" s="118" t="n">
        <x:v>11</x:v>
      </x:c>
      <x:c r="R137" s="118" t="n">
        <x:v>12</x:v>
      </x:c>
      <x:c r="S137" s="118" t="n">
        <x:v>0</x:v>
      </x:c>
      <x:c r="T137" s="118" t="n">
        <x:v>4</x:v>
      </x:c>
      <x:c r="U137" s="118" t="n">
        <x:v>0</x:v>
      </x:c>
      <x:c r="V137" s="118" t="n">
        <x:v>9</x:v>
      </x:c>
      <x:c r="W137" s="118" t="n">
        <x:v>0</x:v>
      </x:c>
      <x:c r="X137" s="118" t="n">
        <x:v>7</x:v>
      </x:c>
      <x:c r="Y137" s="118" t="n">
        <x:v>6</x:v>
      </x:c>
      <x:c r="Z137" s="118" t="n">
        <x:v>0</x:v>
      </x:c>
      <x:c r="AA137" s="118" t="n">
        <x:v>1</x:v>
      </x:c>
      <x:c r="AB137" s="118" t="n">
        <x:v>0</x:v>
      </x:c>
      <x:c r="AC137" s="118" t="n">
        <x:v>0</x:v>
      </x:c>
    </x:row>
    <x:row r="138" ht="46" customHeight="1">
      <x:c r="A138" s="117" t="str">
        <x:v>3005b000000LHirAAG</x:v>
      </x:c>
      <x:c r="B138" s="117" t="str">
        <x:v>Create_Item_Receipt_from_Opp</x:v>
      </x:c>
      <x:c r="C138" s="117" t="str">
        <x:v>No</x:v>
      </x:c>
      <x:c r="D138" s="119" t="str">
        <x:v>Latest inactive v50 (Retrieved XML)</x:v>
      </x:c>
      <x:c r="E138" s="119" t="str"/>
      <x:c r="F138" s="119" t="str">
        <x:v>IR_Product__c, Item_Receipt__c, Opportunity, OpportunityLineItem, Product2, ProductItem__c</x:v>
      </x:c>
      <x:c r="G138" s="119" t="str">
        <x:v>CurrencyIsoCode, Generic_Product__c, Id, Intacct_Receipt_Sync_Status__c, Item_Receipt_Amount__c, Item_Receipt_Submission_Date__c, Item_Receipt_Type__c, Item_Receipt__c, Lot_Number__c, Name, OpportunityId, Opportunity_Product__c, Opportunity__c, Product2Id, Product2__c, Purchasing_Approved__c, Purchasing_Opportunity__c, Quantity_Remaining__c, Quantity__c, Submit_to_Accounting__c, Total_Cost__c, Update_IR__c, sold__c</x:v>
      </x:c>
      <x:c r="H138" s="119" t="str">
        <x:v>UpdateProductItemCosts, emailSimple</x:v>
      </x:c>
      <x:c r="I138" s="119" t="str"/>
      <x:c r="J138" s="119" t="str">
        <x:v>c:datatable</x:v>
      </x:c>
      <x:c r="K138" s="118" t="n">
        <x:v>91</x:v>
      </x:c>
      <x:c r="L138" s="118" t="n">
        <x:v>2</x:v>
      </x:c>
      <x:c r="M138" s="118" t="n">
        <x:v>0</x:v>
      </x:c>
      <x:c r="N138" s="118" t="n">
        <x:v>31</x:v>
      </x:c>
      <x:c r="O138" s="118" t="n">
        <x:v>3</x:v>
      </x:c>
      <x:c r="P138" s="118" t="n">
        <x:v>0</x:v>
      </x:c>
      <x:c r="Q138" s="118" t="n">
        <x:v>13</x:v>
      </x:c>
      <x:c r="R138" s="118" t="n">
        <x:v>14</x:v>
      </x:c>
      <x:c r="S138" s="118" t="n">
        <x:v>0</x:v>
      </x:c>
      <x:c r="T138" s="118" t="n">
        <x:v>4</x:v>
      </x:c>
      <x:c r="U138" s="118" t="n">
        <x:v>0</x:v>
      </x:c>
      <x:c r="V138" s="118" t="n">
        <x:v>9</x:v>
      </x:c>
      <x:c r="W138" s="118" t="n">
        <x:v>0</x:v>
      </x:c>
      <x:c r="X138" s="118" t="n">
        <x:v>7</x:v>
      </x:c>
      <x:c r="Y138" s="118" t="n">
        <x:v>7</x:v>
      </x:c>
      <x:c r="Z138" s="118" t="n">
        <x:v>0</x:v>
      </x:c>
      <x:c r="AA138" s="118" t="n">
        <x:v>0</x:v>
      </x:c>
      <x:c r="AB138" s="118" t="n">
        <x:v>0</x:v>
      </x:c>
      <x:c r="AC138" s="118" t="n">
        <x:v>0</x:v>
      </x:c>
    </x:row>
    <x:row r="139" ht="46" customHeight="1">
      <x:c r="A139" s="117" t="str">
        <x:v>3004O000000LOsBQAW</x:v>
      </x:c>
      <x:c r="B139" s="117" t="str">
        <x:v>Create_Master_Draws</x:v>
      </x:c>
      <x:c r="C139" s="117" t="str">
        <x:v>Yes</x:v>
      </x:c>
      <x:c r="D139" s="119" t="str">
        <x:v>Active v2 (Retrieved XML)</x:v>
      </x:c>
      <x:c r="E139" s="119" t="str">
        <x:v>IsActive EqualTo booleanValue=true | Monthly_Draw_Amount__c IsNull booleanValue=false</x:v>
      </x:c>
      <x:c r="F139" s="119" t="str">
        <x:v>Master_Draw__c, User</x:v>
      </x:c>
      <x:c r="G139" s="119" t="str">
        <x:v>End_Date__c, Id, IsActive, LastName, Monthly_Draw_Amount__c, Name, Previous_Draw__c, Previous_Month_Roll_Over__c, Rep_Name__c, Start_Date__c, This_Months_Draw__c</x:v>
      </x:c>
      <x:c r="H139" s="119" t="str"/>
      <x:c r="I139" s="119" t="str"/>
      <x:c r="J139" s="119" t="str"/>
      <x:c r="K139" s="118" t="n">
        <x:v>4</x:v>
      </x:c>
      <x:c r="L139" s="118" t="n">
        <x:v>0</x:v>
      </x:c>
      <x:c r="M139" s="118" t="n">
        <x:v>0</x:v>
      </x:c>
      <x:c r="N139" s="118" t="n">
        <x:v>0</x:v>
      </x:c>
      <x:c r="O139" s="118" t="n">
        <x:v>0</x:v>
      </x:c>
      <x:c r="P139" s="118" t="n">
        <x:v>0</x:v>
      </x:c>
      <x:c r="Q139" s="118" t="n">
        <x:v>1</x:v>
      </x:c>
      <x:c r="R139" s="118" t="n">
        <x:v>0</x:v>
      </x:c>
      <x:c r="S139" s="118" t="n">
        <x:v>0</x:v>
      </x:c>
      <x:c r="T139" s="118" t="n">
        <x:v>1</x:v>
      </x:c>
      <x:c r="U139" s="118" t="n">
        <x:v>0</x:v>
      </x:c>
      <x:c r="V139" s="118" t="n">
        <x:v>1</x:v>
      </x:c>
      <x:c r="W139" s="118" t="n">
        <x:v>0</x:v>
      </x:c>
      <x:c r="X139" s="118" t="n">
        <x:v>0</x:v>
      </x:c>
      <x:c r="Y139" s="118" t="n">
        <x:v>0</x:v>
      </x:c>
      <x:c r="Z139" s="118" t="n">
        <x:v>0</x:v>
      </x:c>
      <x:c r="AA139" s="118" t="n">
        <x:v>0</x:v>
      </x:c>
      <x:c r="AB139" s="118" t="n">
        <x:v>0</x:v>
      </x:c>
      <x:c r="AC139" s="118" t="n">
        <x:v>0</x:v>
      </x:c>
    </x:row>
    <x:row r="140" ht="46" customHeight="1">
      <x:c r="A140" s="117" t="str">
        <x:v>3005b000000LHW7AAO</x:v>
      </x:c>
      <x:c r="B140" s="117" t="str">
        <x:v>Create_NEW_Lead_from_Existing_Contact</x:v>
      </x:c>
      <x:c r="C140" s="117" t="str">
        <x:v>Yes</x:v>
      </x:c>
      <x:c r="D140" s="119" t="str">
        <x:v>Active v10 (Retrieved XML)</x:v>
      </x:c>
      <x:c r="E140" s="119" t="str"/>
      <x:c r="F140" s="119" t="str">
        <x:v>Contact, Lead</x:v>
      </x:c>
      <x:c r="G140" s="119" t="str">
        <x:v>Company, Conversion_Omit_Validation__c, Email, FirstName, Id, LastName, LeadSource, Lead_Source_Detail__c, Lead_Type__c, Phone, Product_Type__c, Related_Account__c, Trade_Show_Lead_Source__c, pi__comments__c</x:v>
      </x:c>
      <x:c r="H140" s="119" t="str"/>
      <x:c r="I140" s="119" t="str"/>
      <x:c r="J140" s="119" t="str">
        <x:v>flowruntime:email, flowruntime:phone</x:v>
      </x:c>
      <x:c r="K140" s="118" t="n">
        <x:v>8</x:v>
      </x:c>
      <x:c r="L140" s="118" t="n">
        <x:v>0</x:v>
      </x:c>
      <x:c r="M140" s="118" t="n">
        <x:v>0</x:v>
      </x:c>
      <x:c r="N140" s="118" t="n">
        <x:v>1</x:v>
      </x:c>
      <x:c r="O140" s="118" t="n">
        <x:v>0</x:v>
      </x:c>
      <x:c r="P140" s="118" t="n">
        <x:v>0</x:v>
      </x:c>
      <x:c r="Q140" s="118" t="n">
        <x:v>1</x:v>
      </x:c>
      <x:c r="R140" s="118" t="n">
        <x:v>0</x:v>
      </x:c>
      <x:c r="S140" s="118" t="n">
        <x:v>0</x:v>
      </x:c>
      <x:c r="T140" s="118" t="n">
        <x:v>2</x:v>
      </x:c>
      <x:c r="U140" s="118" t="n">
        <x:v>0</x:v>
      </x:c>
      <x:c r="V140" s="118" t="n">
        <x:v>1</x:v>
      </x:c>
      <x:c r="W140" s="118" t="n">
        <x:v>0</x:v>
      </x:c>
      <x:c r="X140" s="118" t="n">
        <x:v>1</x:v>
      </x:c>
      <x:c r="Y140" s="118" t="n">
        <x:v>1</x:v>
      </x:c>
      <x:c r="Z140" s="118" t="n">
        <x:v>0</x:v>
      </x:c>
      <x:c r="AA140" s="118" t="n">
        <x:v>0</x:v>
      </x:c>
      <x:c r="AB140" s="118" t="n">
        <x:v>0</x:v>
      </x:c>
      <x:c r="AC140" s="118" t="n">
        <x:v>0</x:v>
      </x:c>
    </x:row>
    <x:row r="141" ht="46" customHeight="1">
      <x:c r="A141" s="117" t="str">
        <x:v>3005b000000H1zUAAS</x:v>
      </x:c>
      <x:c r="B141" s="117" t="str">
        <x:v>Create_new_service_contract_from_opp</x:v>
      </x:c>
      <x:c r="C141" s="117" t="str">
        <x:v>Yes</x:v>
      </x:c>
      <x:c r="D141" s="119" t="str">
        <x:v>Active v11 (Retrieved XML)</x:v>
      </x:c>
      <x:c r="E141" s="119" t="str"/>
      <x:c r="F141" s="119" t="str">
        <x:v>Opportunity, Pricebook2, RecordType, ServiceContract</x:v>
      </x:c>
      <x:c r="G141" s="119" t="str">
        <x:v>AccountId, Accounting_Email__c, Accounting_Name__c, Accounting_Phone__c, BillingCity, BillingCountry, BillingPostalCode, BillingState, BillingStreet, Billing_Notes__c, ContactId, Contract_Billing__c, Coverage_Type__c, CurrencyIsoCode, DeveloperName, EndDate, Field_Service_Engineers__c, Id, IsActive, IsStandard, Name, Next_Invoice_Date__c, Number_of_PMs__c, Number_of_Probe_Replacements__c, Opportunity__c, OwnerId, Pricebook2Id, Quote_Reference__c, RecordTypeId, Renewal_Letter_Due__c, Service_Contract__c, ShippingCity, ShippingCountry, ShippingPostalCode, ShippingState, ShippingStreet, SobjectType, StartDate, Term</x:v>
      </x:c>
      <x:c r="H141" s="119" t="str"/>
      <x:c r="I141" s="119" t="str"/>
      <x:c r="J141" s="119" t="str"/>
      <x:c r="K141" s="118" t="n">
        <x:v>8</x:v>
      </x:c>
      <x:c r="L141" s="118" t="n">
        <x:v>0</x:v>
      </x:c>
      <x:c r="M141" s="118" t="n">
        <x:v>0</x:v>
      </x:c>
      <x:c r="N141" s="118" t="n">
        <x:v>1</x:v>
      </x:c>
      <x:c r="O141" s="118" t="n">
        <x:v>0</x:v>
      </x:c>
      <x:c r="P141" s="118" t="n">
        <x:v>0</x:v>
      </x:c>
      <x:c r="Q141" s="118" t="n">
        <x:v>0</x:v>
      </x:c>
      <x:c r="R141" s="118" t="n">
        <x:v>0</x:v>
      </x:c>
      <x:c r="S141" s="118" t="n">
        <x:v>0</x:v>
      </x:c>
      <x:c r="T141" s="118" t="n">
        <x:v>1</x:v>
      </x:c>
      <x:c r="U141" s="118" t="n">
        <x:v>0</x:v>
      </x:c>
      <x:c r="V141" s="118" t="n">
        <x:v>3</x:v>
      </x:c>
      <x:c r="W141" s="118" t="n">
        <x:v>0</x:v>
      </x:c>
      <x:c r="X141" s="118" t="n">
        <x:v>1</x:v>
      </x:c>
      <x:c r="Y141" s="118" t="n">
        <x:v>1</x:v>
      </x:c>
      <x:c r="Z141" s="118" t="n">
        <x:v>0</x:v>
      </x:c>
      <x:c r="AA141" s="118" t="n">
        <x:v>0</x:v>
      </x:c>
      <x:c r="AB141" s="118" t="n">
        <x:v>0</x:v>
      </x:c>
      <x:c r="AC141" s="118" t="n">
        <x:v>0</x:v>
      </x:c>
    </x:row>
    <x:row r="142" ht="46" customHeight="1">
      <x:c r="A142" s="117" t="str">
        <x:v>3005b000000H3plAAC</x:v>
      </x:c>
      <x:c r="B142" s="117" t="str">
        <x:v>Create_New_Service_Contract_from_Opp_UK</x:v>
      </x:c>
      <x:c r="C142" s="117" t="str">
        <x:v>Yes</x:v>
      </x:c>
      <x:c r="D142" s="119" t="str">
        <x:v>Active v27 (Retrieved XML)</x:v>
      </x:c>
      <x:c r="E142" s="119" t="str"/>
      <x:c r="F142" s="119" t="str">
        <x:v>Account, Opportunity, Pricebook2, RecordType, ServiceContract</x:v>
      </x:c>
      <x:c r="G142" s="119" t="str">
        <x:v>AccountId, Accounting_Email__c, Accounting_Name__c, Accounting_Phone__c, BillingCity, BillingCountry, BillingPostalCode, BillingState, BillingStreet, Billing_Notes__c, Business_Sector__c, ContactId, Contract_Billing__c, Contract_Purchaser__c, Coverage_Type__c, CurrencyIsoCode, DeveloperName, EndDate, Id, Invoice_Amount__c, IsActive, IsStandard, KloudGin_Account__c, Modalities__c, Name, Next_Invoice_Date__c, Number_of_PMs__c, Number_of_Probe_Replacements__c, Opportunity__c, OwnerId, Pricebook2Id, Quote_Reference__c, RecordTypeId, Renewal_Letter_Due__c, ShippingCity, ShippingCountry, ShippingPostalCode, ShippingState, ShippingStreet, SobjectType, StartDate, Term, Trust_Group__c</x:v>
      </x:c>
      <x:c r="H142" s="119" t="str"/>
      <x:c r="I142" s="119" t="str"/>
      <x:c r="J142" s="119" t="str">
        <x:v>flowruntime:lookup, forceContent:fileUpload</x:v>
      </x:c>
      <x:c r="K142" s="118" t="n">
        <x:v>10</x:v>
      </x:c>
      <x:c r="L142" s="118" t="n">
        <x:v>0</x:v>
      </x:c>
      <x:c r="M142" s="118" t="n">
        <x:v>0</x:v>
      </x:c>
      <x:c r="N142" s="118" t="n">
        <x:v>0</x:v>
      </x:c>
      <x:c r="O142" s="118" t="n">
        <x:v>0</x:v>
      </x:c>
      <x:c r="P142" s="118" t="n">
        <x:v>0</x:v>
      </x:c>
      <x:c r="Q142" s="118" t="n">
        <x:v>1</x:v>
      </x:c>
      <x:c r="R142" s="118" t="n">
        <x:v>0</x:v>
      </x:c>
      <x:c r="S142" s="118" t="n">
        <x:v>0</x:v>
      </x:c>
      <x:c r="T142" s="118" t="n">
        <x:v>1</x:v>
      </x:c>
      <x:c r="U142" s="118" t="n">
        <x:v>0</x:v>
      </x:c>
      <x:c r="V142" s="118" t="n">
        <x:v>3</x:v>
      </x:c>
      <x:c r="W142" s="118" t="n">
        <x:v>0</x:v>
      </x:c>
      <x:c r="X142" s="118" t="n">
        <x:v>1</x:v>
      </x:c>
      <x:c r="Y142" s="118" t="n">
        <x:v>3</x:v>
      </x:c>
      <x:c r="Z142" s="118" t="n">
        <x:v>0</x:v>
      </x:c>
      <x:c r="AA142" s="118" t="n">
        <x:v>0</x:v>
      </x:c>
      <x:c r="AB142" s="118" t="n">
        <x:v>0</x:v>
      </x:c>
      <x:c r="AC142" s="118" t="n">
        <x:v>0</x:v>
      </x:c>
    </x:row>
    <x:row r="143" ht="46" customHeight="1">
      <x:c r="A143" s="117" t="str">
        <x:v>3005b000000PzxvAAC</x:v>
      </x:c>
      <x:c r="B143" s="117" t="str">
        <x:v>Create_Opportunity_from_KloudGin_Case</x:v>
      </x:c>
      <x:c r="C143" s="117" t="str">
        <x:v>Yes</x:v>
      </x:c>
      <x:c r="D143" s="119" t="str">
        <x:v>Active v16 (Tooling metadata)</x:v>
      </x:c>
      <x:c r="E143" s="119" t="str"/>
      <x:c r="F143" s="119" t="str">
        <x:v>Case, Opportunity, RecordType</x:v>
      </x:c>
      <x:c r="G143" s="119" t="str">
        <x:v>AccountId, Bill_To_Account__c, BillingCity__c, BillingCountry__c, BillingPostalCode__c, BillingState__c, BillingStreet__c, CloseDate, FSE_Email__c, Field_Service_Engineer__c, Id, KloudGin_WO_Number__c, Name, Opportunity_Notes__c, Opportunity__c, OwnerId, RecordTypeId, Related_Case__c, ShippingCity__c, ShippingCountry__c, ShippingPostalCode__c, ShippingState__c, ShippingStreet__c, Shipping_FROM_Location__c, SobjectType, StageName, Warranty_Length__c</x:v>
      </x:c>
      <x:c r="H143" s="119" t="str"/>
      <x:c r="I143" s="119" t="str"/>
      <x:c r="J143" s="119" t="str"/>
      <x:c r="K143" s="118" t="n">
        <x:v>7</x:v>
      </x:c>
      <x:c r="L143" s="118" t="n">
        <x:v>0</x:v>
      </x:c>
      <x:c r="M143" s="118" t="n">
        <x:v>0</x:v>
      </x:c>
      <x:c r="N143" s="118" t="n">
        <x:v>0</x:v>
      </x:c>
      <x:c r="O143" s="118" t="n">
        <x:v>0</x:v>
      </x:c>
      <x:c r="P143" s="118" t="n">
        <x:v>0</x:v>
      </x:c>
      <x:c r="Q143" s="118" t="n">
        <x:v>0</x:v>
      </x:c>
      <x:c r="R143" s="118" t="n">
        <x:v>0</x:v>
      </x:c>
      <x:c r="S143" s="118" t="n">
        <x:v>0</x:v>
      </x:c>
      <x:c r="T143" s="118" t="n">
        <x:v>1</x:v>
      </x:c>
      <x:c r="U143" s="118" t="n">
        <x:v>0</x:v>
      </x:c>
      <x:c r="V143" s="118" t="n">
        <x:v>2</x:v>
      </x:c>
      <x:c r="W143" s="118" t="n">
        <x:v>0</x:v>
      </x:c>
      <x:c r="X143" s="118" t="n">
        <x:v>2</x:v>
      </x:c>
      <x:c r="Y143" s="118" t="n">
        <x:v>1</x:v>
      </x:c>
      <x:c r="Z143" s="118" t="n">
        <x:v>0</x:v>
      </x:c>
      <x:c r="AA143" s="118" t="n">
        <x:v>0</x:v>
      </x:c>
      <x:c r="AB143" s="118" t="n">
        <x:v>0</x:v>
      </x:c>
      <x:c r="AC143" s="118" t="n">
        <x:v>0</x:v>
      </x:c>
    </x:row>
    <x:row r="144" ht="46" customHeight="1">
      <x:c r="A144" s="117" t="str">
        <x:v>3004O000000LOsbQAG</x:v>
      </x:c>
      <x:c r="B144" s="117" t="str">
        <x:v>Create_Order_and_Order_Products_from_Paid_Invoice</x:v>
      </x:c>
      <x:c r="C144" s="117" t="str">
        <x:v>No</x:v>
      </x:c>
      <x:c r="D144" s="119" t="str">
        <x:v>Latest inactive v20 (Retrieved XML)</x:v>
      </x:c>
      <x:c r="E144" s="119" t="str"/>
      <x:c r="F144" s="119" t="str">
        <x:v>Invoice__c, Opportunity, OpportunityLineItem, Order, OrderItem</x:v>
      </x:c>
      <x:c r="G144" s="119" t="str">
        <x:v>AVA_SFCLOUD__Commit_Tax__c, AVA_SFCLOUD__Entity_Use_Code__c, AVA_SFCLOUD__Sales_Tax__c, AccountId, BillingCity, BillingCountry, BillingPostalCode, BillingState, BillingStreet, CurrencyIsoCode, EffectiveDate, Id, Invoice__c, OpportunityId, Pricebook2Id, ShippingCity, ShippingCountry, ShippingPostalCode, ShippingState, ShippingStreet, Status</x:v>
      </x:c>
      <x:c r="H144" s="119" t="str"/>
      <x:c r="I144" s="119" t="str"/>
      <x:c r="J144" s="119" t="str"/>
      <x:c r="K144" s="118" t="n">
        <x:v>12</x:v>
      </x:c>
      <x:c r="L144" s="118" t="n">
        <x:v>0</x:v>
      </x:c>
      <x:c r="M144" s="118" t="n">
        <x:v>0</x:v>
      </x:c>
      <x:c r="N144" s="118" t="n">
        <x:v>2</x:v>
      </x:c>
      <x:c r="O144" s="118" t="n">
        <x:v>0</x:v>
      </x:c>
      <x:c r="P144" s="118" t="n">
        <x:v>0</x:v>
      </x:c>
      <x:c r="Q144" s="118" t="n">
        <x:v>1</x:v>
      </x:c>
      <x:c r="R144" s="118" t="n">
        <x:v>1</x:v>
      </x:c>
      <x:c r="S144" s="118" t="n">
        <x:v>0</x:v>
      </x:c>
      <x:c r="T144" s="118" t="n">
        <x:v>2</x:v>
      </x:c>
      <x:c r="U144" s="118" t="n">
        <x:v>0</x:v>
      </x:c>
      <x:c r="V144" s="118" t="n">
        <x:v>3</x:v>
      </x:c>
      <x:c r="W144" s="118" t="n">
        <x:v>0</x:v>
      </x:c>
      <x:c r="X144" s="118" t="n">
        <x:v>2</x:v>
      </x:c>
      <x:c r="Y144" s="118" t="n">
        <x:v>0</x:v>
      </x:c>
      <x:c r="Z144" s="118" t="n">
        <x:v>0</x:v>
      </x:c>
      <x:c r="AA144" s="118" t="n">
        <x:v>0</x:v>
      </x:c>
      <x:c r="AB144" s="118" t="n">
        <x:v>0</x:v>
      </x:c>
      <x:c r="AC144" s="118" t="n">
        <x:v>0</x:v>
      </x:c>
    </x:row>
    <x:row r="145" ht="46" customHeight="1">
      <x:c r="A145" s="117" t="str">
        <x:v>3005b000000H2QLAA0</x:v>
      </x:c>
      <x:c r="B145" s="117" t="str">
        <x:v>Create_part_requests_from_Service_Fusion</x:v>
      </x:c>
      <x:c r="C145" s="117" t="str">
        <x:v>Yes</x:v>
      </x:c>
      <x:c r="D145" s="119" t="str">
        <x:v>Active v21 (Tooling metadata)</x:v>
      </x:c>
      <x:c r="E145" s="119" t="str">
        <x:v>Part_Requested_1__c EqualTo stringValue=; booleanValue=True; numberValue=; dateValue=; dateTimeValue=; elementReference= | Part_Requested_2__c EqualTo stringValue=; booleanValue=True; numberValue=; dateValue=; dateTimeValue=; elementReference= | Part_Requested_3__c EqualTo stringValue=; booleanValue=True; numberValue=; dateValue=; dateTimeValue=; elementReference= | Part_Requested_4__c EqualTo stringValue=; booleanValue=True; numberValue=; dateValue=; dateTimeValue=; elementReference= | Part_Requested_5__c EqualTo stringValue=; booleanValue=True; numberValue=; dateValue=; dateTimeValue=; elementReference= | Part_Requested_6__c EqualTo stringValue=; booleanValue=True; numberValue=; dateValue=; dateTimeValue=; elementReference=</x:v>
      </x:c>
      <x:c r="F145" s="119" t="str">
        <x:v>Case, Opportunity, OpportunityLineItem, Pricebook2, PricebookEntry, ProductItem__c, WorkOrder, WorkOrderLineItem</x:v>
      </x:c>
      <x:c r="G145" s="119" t="str">
        <x:v>Account, AccountId, Attention__c, Attn__c, BillingCity__c, BillingCountry__c, BillingPostalCode__c, BillingState__c, BillingStreet__c, Billing_City__c, Billing_State__c, Billing_Street__c, Billing_Zip_Postal_Code__c, Case_Reason__c, Check_In_Type__c, CloseDate, ContactId, Description, EntitlementId, Field_Service_Engineer__c, Id, Installed_Part_Number_1__c, Installed_Part_Number_2__c, Installed_Part_Number_3__c, Installed_Part_Number_4__c, Installed_Part_Number_5__c, Installed_Part_Number_6__c, IsActive, IsProductActive__c, IsStandard, Name, Notes_for_Sales_Opps_Part_1__c, Notes_for_Sales_Opps_Part_2__c, Notes_for_Sales_Opps_Part_3__c, Notes_for_Sales_Opps_Part_4__c, Notes_for_Sales_Opps_Part_5__c, Notes_for_Sales_Opps_Part_6__c, Opportunity__c, Origin, OwnerId, ParentWorkOrderId, Parent_Work_Order__c, Part_Number__c, Part_Request_Work_Order__c, Part_Requested_1__c, Part_Requested_2__c, Part_Requested_3__c, Part_Requested_4__c, Part_Requested_5__c, Part_Requested_6__c, Pricebook2Id, Priority, Product2Id, Product_Family__c, Reason, RecordTypeId, Related_Opportunity__c, Sales_Lead_Source__c, ServiceContractId, Service_City__c, Service_State_Province__c, Service_Street__c, Service_Zip_Postal_Code__c, Ship_Date__c, Ship_To_Account__c, Ship_to_Account__c, ShippingCity__c, ShippingCountry__c, ShippingPostalCode__c, ShippingState__c, ShippingStreet__c, Shipping_City__c, Shipping_Country__c, Shipping_Postal_Code__c, Shipping_State__c, Shipping_Street__c, StageName, Status, Subject, Type, WorkOrderNumber, Work_Order__c</x:v>
      </x:c>
      <x:c r="H145" s="119" t="str"/>
      <x:c r="I145" s="119" t="str"/>
      <x:c r="J145" s="119" t="str"/>
      <x:c r="K145" s="118" t="n">
        <x:v>28</x:v>
      </x:c>
      <x:c r="L145" s="118" t="n">
        <x:v>0</x:v>
      </x:c>
      <x:c r="M145" s="118" t="n">
        <x:v>0</x:v>
      </x:c>
      <x:c r="N145" s="118" t="n">
        <x:v>10</x:v>
      </x:c>
      <x:c r="O145" s="118" t="n">
        <x:v>0</x:v>
      </x:c>
      <x:c r="P145" s="118" t="n">
        <x:v>0</x:v>
      </x:c>
      <x:c r="Q145" s="118" t="n">
        <x:v>6</x:v>
      </x:c>
      <x:c r="R145" s="118" t="n">
        <x:v>1</x:v>
      </x:c>
      <x:c r="S145" s="118" t="n">
        <x:v>0</x:v>
      </x:c>
      <x:c r="T145" s="118" t="n">
        <x:v>5</x:v>
      </x:c>
      <x:c r="U145" s="118" t="n">
        <x:v>0</x:v>
      </x:c>
      <x:c r="V145" s="118" t="n">
        <x:v>5</x:v>
      </x:c>
      <x:c r="W145" s="118" t="n">
        <x:v>0</x:v>
      </x:c>
      <x:c r="X145" s="118" t="n">
        <x:v>0</x:v>
      </x:c>
      <x:c r="Y145" s="118" t="n">
        <x:v>0</x:v>
      </x:c>
      <x:c r="Z145" s="118" t="n">
        <x:v>0</x:v>
      </x:c>
      <x:c r="AA145" s="118" t="n">
        <x:v>0</x:v>
      </x:c>
      <x:c r="AB145" s="118" t="n">
        <x:v>0</x:v>
      </x:c>
      <x:c r="AC145" s="118" t="n">
        <x:v>0</x:v>
      </x:c>
    </x:row>
    <x:row r="146" ht="46" customHeight="1">
      <x:c r="A146" s="117" t="str">
        <x:v>3005b000000H3wSAAS</x:v>
      </x:c>
      <x:c r="B146" s="117" t="str">
        <x:v>Create_Pricing_Request_from_Work_Order_Opportunity</x:v>
      </x:c>
      <x:c r="C146" s="117" t="str">
        <x:v>Yes</x:v>
      </x:c>
      <x:c r="D146" s="119" t="str">
        <x:v>Active v6 (Retrieved XML)</x:v>
      </x:c>
      <x:c r="E146" s="119" t="str"/>
      <x:c r="F146" s="119" t="str">
        <x:v>Opportunity, Pricing_Request__c, ProductItem__c, ServiceAppointment, Sourcing_Request_Item__c, WorkOrder</x:v>
      </x:c>
      <x:c r="G146" s="119" t="str">
        <x:v>Appointment_Type__c, CurrencyIsoCode, Generic_Product__c, Id, ParentRecordId, Product_Name__c, Product_to_Price__c, Request_Notes__c, Requesting_Opportunity__c, Requesting_Work_Order__c, Service_Appointment__c, Status</x:v>
      </x:c>
      <x:c r="H146" s="119" t="str">
        <x:v>emailSimple</x:v>
      </x:c>
      <x:c r="I146" s="119" t="str"/>
      <x:c r="J146" s="119" t="str">
        <x:v>flowruntime:lookup</x:v>
      </x:c>
      <x:c r="K146" s="118" t="n">
        <x:v>11</x:v>
      </x:c>
      <x:c r="L146" s="118" t="n">
        <x:v>2</x:v>
      </x:c>
      <x:c r="M146" s="118" t="n">
        <x:v>0</x:v>
      </x:c>
      <x:c r="N146" s="118" t="n">
        <x:v>0</x:v>
      </x:c>
      <x:c r="O146" s="118" t="n">
        <x:v>0</x:v>
      </x:c>
      <x:c r="P146" s="118" t="n">
        <x:v>0</x:v>
      </x:c>
      <x:c r="Q146" s="118" t="n">
        <x:v>1</x:v>
      </x:c>
      <x:c r="R146" s="118" t="n">
        <x:v>0</x:v>
      </x:c>
      <x:c r="S146" s="118" t="n">
        <x:v>0</x:v>
      </x:c>
      <x:c r="T146" s="118" t="n">
        <x:v>1</x:v>
      </x:c>
      <x:c r="U146" s="118" t="n">
        <x:v>0</x:v>
      </x:c>
      <x:c r="V146" s="118" t="n">
        <x:v>5</x:v>
      </x:c>
      <x:c r="W146" s="118" t="n">
        <x:v>0</x:v>
      </x:c>
      <x:c r="X146" s="118" t="n">
        <x:v>0</x:v>
      </x:c>
      <x:c r="Y146" s="118" t="n">
        <x:v>1</x:v>
      </x:c>
      <x:c r="Z146" s="118" t="n">
        <x:v>0</x:v>
      </x:c>
      <x:c r="AA146" s="118" t="n">
        <x:v>0</x:v>
      </x:c>
      <x:c r="AB146" s="118" t="n">
        <x:v>0</x:v>
      </x:c>
      <x:c r="AC146" s="118" t="n">
        <x:v>0</x:v>
      </x:c>
    </x:row>
    <x:row r="147" ht="46" customHeight="1">
      <x:c r="A147" s="117" t="str">
        <x:v>3005b000000H4GSAA0</x:v>
      </x:c>
      <x:c r="B147" s="117" t="str">
        <x:v>Create_Project_on_Big_Iron_Purchasing_Opportunity_Flow</x:v>
      </x:c>
      <x:c r="C147" s="117" t="str">
        <x:v>Yes</x:v>
      </x:c>
      <x:c r="D147" s="119" t="str">
        <x:v>Active v11 (Retrieved XML)</x:v>
      </x:c>
      <x:c r="E147" s="119" t="str">
        <x:v>Project__c IsNull booleanValue=true | RecordTypeId EqualTo stringValue=0125b000000LWbqAAG | StageName EqualTo stringValue=Verbal Acceptance | StageName EqualTo stringValue=Awaiting QA | StageName EqualTo stringValue=Finalize Transaction | Modality__c NotEqualTo stringValue=Ultrasound</x:v>
      </x:c>
      <x:c r="F147" s="119" t="str">
        <x:v>Opportunity, ProductItem__c, Project__c</x:v>
      </x:c>
      <x:c r="G147" s="119" t="str">
        <x:v>CurrencyIsoCode, Id, Initial_Asset__c, Initial_Purchasing_Opportunity__c, Modality__c, OwnerId, PO_auto__c, Product_Family__c, Project_Stage__c, Project__c, Purchasing_Opportunity__c, RecordTypeId, Related_Project__c, StageName, sold__c</x:v>
      </x:c>
      <x:c r="H147" s="119" t="str"/>
      <x:c r="I147" s="119" t="str"/>
      <x:c r="J147" s="119" t="str"/>
      <x:c r="K147" s="118" t="n">
        <x:v>7</x:v>
      </x:c>
      <x:c r="L147" s="118" t="n">
        <x:v>0</x:v>
      </x:c>
      <x:c r="M147" s="118" t="n">
        <x:v>0</x:v>
      </x:c>
      <x:c r="N147" s="118" t="n">
        <x:v>0</x:v>
      </x:c>
      <x:c r="O147" s="118" t="n">
        <x:v>0</x:v>
      </x:c>
      <x:c r="P147" s="118" t="n">
        <x:v>0</x:v>
      </x:c>
      <x:c r="Q147" s="118" t="n">
        <x:v>0</x:v>
      </x:c>
      <x:c r="R147" s="118" t="n">
        <x:v>0</x:v>
      </x:c>
      <x:c r="S147" s="118" t="n">
        <x:v>0</x:v>
      </x:c>
      <x:c r="T147" s="118" t="n">
        <x:v>1</x:v>
      </x:c>
      <x:c r="U147" s="118" t="n">
        <x:v>0</x:v>
      </x:c>
      <x:c r="V147" s="118" t="n">
        <x:v>2</x:v>
      </x:c>
      <x:c r="W147" s="118" t="n">
        <x:v>0</x:v>
      </x:c>
      <x:c r="X147" s="118" t="n">
        <x:v>3</x:v>
      </x:c>
      <x:c r="Y147" s="118" t="n">
        <x:v>0</x:v>
      </x:c>
      <x:c r="Z147" s="118" t="n">
        <x:v>0</x:v>
      </x:c>
      <x:c r="AA147" s="118" t="n">
        <x:v>0</x:v>
      </x:c>
      <x:c r="AB147" s="118" t="n">
        <x:v>0</x:v>
      </x:c>
      <x:c r="AC147" s="118" t="n">
        <x:v>0</x:v>
      </x:c>
    </x:row>
    <x:row r="148" ht="46" customHeight="1">
      <x:c r="A148" s="117" t="str">
        <x:v>300Ro00000CWp8dIAD</x:v>
      </x:c>
      <x:c r="B148" s="117" t="str">
        <x:v>Create_Project_on_Equipment_Storage_Opportunity_Creation</x:v>
      </x:c>
      <x:c r="C148" s="117" t="str">
        <x:v>Yes</x:v>
      </x:c>
      <x:c r="D148" s="119" t="str">
        <x:v>Active v1 (Retrieved XML)</x:v>
      </x:c>
      <x:c r="E148" s="119" t="str">
        <x:v>Project__c IsNull booleanValue=true | RecordTypeId EqualTo stringValue=012Ro0000014tmvIAA</x:v>
      </x:c>
      <x:c r="F148" s="119" t="str">
        <x:v>Opportunity, Project__c</x:v>
      </x:c>
      <x:c r="G148" s="119" t="str">
        <x:v>CurrencyIsoCode, Id, OwnerId, Project_Stage__c, Project__c, RecordTypeId</x:v>
      </x:c>
      <x:c r="H148" s="119" t="str"/>
      <x:c r="I148" s="119" t="str"/>
      <x:c r="J148" s="119" t="str"/>
      <x:c r="K148" s="118" t="n">
        <x:v>3</x:v>
      </x:c>
      <x:c r="L148" s="118" t="n">
        <x:v>0</x:v>
      </x:c>
      <x:c r="M148" s="118" t="n">
        <x:v>0</x:v>
      </x:c>
      <x:c r="N148" s="118" t="n">
        <x:v>0</x:v>
      </x:c>
      <x:c r="O148" s="118" t="n">
        <x:v>0</x:v>
      </x:c>
      <x:c r="P148" s="118" t="n">
        <x:v>0</x:v>
      </x:c>
      <x:c r="Q148" s="118" t="n">
        <x:v>0</x:v>
      </x:c>
      <x:c r="R148" s="118" t="n">
        <x:v>0</x:v>
      </x:c>
      <x:c r="S148" s="118" t="n">
        <x:v>0</x:v>
      </x:c>
      <x:c r="T148" s="118" t="n">
        <x:v>1</x:v>
      </x:c>
      <x:c r="U148" s="118" t="n">
        <x:v>0</x:v>
      </x:c>
      <x:c r="V148" s="118" t="n">
        <x:v>0</x:v>
      </x:c>
      <x:c r="W148" s="118" t="n">
        <x:v>0</x:v>
      </x:c>
      <x:c r="X148" s="118" t="n">
        <x:v>1</x:v>
      </x:c>
      <x:c r="Y148" s="118" t="n">
        <x:v>0</x:v>
      </x:c>
      <x:c r="Z148" s="118" t="n">
        <x:v>0</x:v>
      </x:c>
      <x:c r="AA148" s="118" t="n">
        <x:v>0</x:v>
      </x:c>
      <x:c r="AB148" s="118" t="n">
        <x:v>0</x:v>
      </x:c>
      <x:c r="AC148" s="118" t="n">
        <x:v>0</x:v>
      </x:c>
    </x:row>
    <x:row r="149" ht="46" customHeight="1">
      <x:c r="A149" s="117" t="str">
        <x:v>3004O0000004ZtfQAE</x:v>
      </x:c>
      <x:c r="B149" s="117" t="str">
        <x:v>Create_Purchasing_Opp_from_Vendor_Sourcing_Record</x:v>
      </x:c>
      <x:c r="C149" s="117" t="str">
        <x:v>Yes</x:v>
      </x:c>
      <x:c r="D149" s="119" t="str">
        <x:v>Active v3 (Retrieved XML)</x:v>
      </x:c>
      <x:c r="E149" s="119" t="str"/>
      <x:c r="F149" s="119" t="str">
        <x:v>Opportunity, RecordType, User, Vendor_Sourcing__c</x:v>
      </x:c>
      <x:c r="G149" s="119" t="str">
        <x:v>DeveloperName, Id, IsActive, IsClosed, Opportunity__c, Purchasing_Opportunity__c, StageName, Username</x:v>
      </x:c>
      <x:c r="H149" s="119" t="str">
        <x:v>Opportunity.Purchasing_Opp_Assigned_Alert</x:v>
      </x:c>
      <x:c r="I149" s="119" t="str"/>
      <x:c r="J149" s="119" t="str"/>
      <x:c r="K149" s="118" t="n">
        <x:v>10</x:v>
      </x:c>
      <x:c r="L149" s="118" t="n">
        <x:v>1</x:v>
      </x:c>
      <x:c r="M149" s="118" t="n">
        <x:v>0</x:v>
      </x:c>
      <x:c r="N149" s="118" t="n">
        <x:v>1</x:v>
      </x:c>
      <x:c r="O149" s="118" t="n">
        <x:v>0</x:v>
      </x:c>
      <x:c r="P149" s="118" t="n">
        <x:v>0</x:v>
      </x:c>
      <x:c r="Q149" s="118" t="n">
        <x:v>0</x:v>
      </x:c>
      <x:c r="R149" s="118" t="n">
        <x:v>0</x:v>
      </x:c>
      <x:c r="S149" s="118" t="n">
        <x:v>0</x:v>
      </x:c>
      <x:c r="T149" s="118" t="n">
        <x:v>1</x:v>
      </x:c>
      <x:c r="U149" s="118" t="n">
        <x:v>0</x:v>
      </x:c>
      <x:c r="V149" s="118" t="n">
        <x:v>3</x:v>
      </x:c>
      <x:c r="W149" s="118" t="n">
        <x:v>0</x:v>
      </x:c>
      <x:c r="X149" s="118" t="n">
        <x:v>2</x:v>
      </x:c>
      <x:c r="Y149" s="118" t="n">
        <x:v>2</x:v>
      </x:c>
      <x:c r="Z149" s="118" t="n">
        <x:v>0</x:v>
      </x:c>
      <x:c r="AA149" s="118" t="n">
        <x:v>0</x:v>
      </x:c>
      <x:c r="AB149" s="118" t="n">
        <x:v>0</x:v>
      </x:c>
      <x:c r="AC149" s="118" t="n">
        <x:v>0</x:v>
      </x:c>
    </x:row>
    <x:row r="150" ht="46" customHeight="1">
      <x:c r="A150" s="117" t="str">
        <x:v>300Ro00000BmFOEIA3</x:v>
      </x:c>
      <x:c r="B150" s="117" t="str">
        <x:v>Create_Repair_Opportunity_from_Service_Contract_Flow</x:v>
      </x:c>
      <x:c r="C150" s="117" t="str">
        <x:v>Yes</x:v>
      </x:c>
      <x:c r="D150" s="119" t="str">
        <x:v>Active v10 (Retrieved XML)</x:v>
      </x:c>
      <x:c r="E150" s="119" t="str"/>
      <x:c r="F150" s="119" t="str">
        <x:v>Opportunity, RMA__c, ServiceContract, WorkOrder</x:v>
      </x:c>
      <x:c r="G150" s="119" t="str">
        <x:v>AccountId, Bill_To_Account__c, BillingCity__c, BillingCountry__c, BillingPostalCode__c, BillingState__c, BillingStreet__c, CloseDate, Id, Name, Opportunity_Name__c, Opportunity_Notes__c, Opportunity__c, OwnerId, RecordTypeId, Related_Opportunity__c, ServiceContractId, Service_Contract__c, Ship_to_Account__c, ShippingCity__c, ShippingCountry__c, ShippingPostalCode__c, ShippingState__c, ShippingStreet__c, Shipping_City__c, Shipping_Country__c, Shipping_FROM_Location__c, Shipping_Postal_Code__c, Shipping_State__c, Shipping_Street__c, StageName, Status, Work_Order_Notes__c</x:v>
      </x:c>
      <x:c r="H150" s="119" t="str"/>
      <x:c r="I150" s="119" t="str"/>
      <x:c r="J150" s="119" t="str"/>
      <x:c r="K150" s="118" t="n">
        <x:v>10</x:v>
      </x:c>
      <x:c r="L150" s="118" t="n">
        <x:v>0</x:v>
      </x:c>
      <x:c r="M150" s="118" t="n">
        <x:v>0</x:v>
      </x:c>
      <x:c r="N150" s="118" t="n">
        <x:v>1</x:v>
      </x:c>
      <x:c r="O150" s="118" t="n">
        <x:v>0</x:v>
      </x:c>
      <x:c r="P150" s="118" t="n">
        <x:v>0</x:v>
      </x:c>
      <x:c r="Q150" s="118" t="n">
        <x:v>0</x:v>
      </x:c>
      <x:c r="R150" s="118" t="n">
        <x:v>0</x:v>
      </x:c>
      <x:c r="S150" s="118" t="n">
        <x:v>0</x:v>
      </x:c>
      <x:c r="T150" s="118" t="n">
        <x:v>2</x:v>
      </x:c>
      <x:c r="U150" s="118" t="n">
        <x:v>0</x:v>
      </x:c>
      <x:c r="V150" s="118" t="n">
        <x:v>2</x:v>
      </x:c>
      <x:c r="W150" s="118" t="n">
        <x:v>0</x:v>
      </x:c>
      <x:c r="X150" s="118" t="n">
        <x:v>2</x:v>
      </x:c>
      <x:c r="Y150" s="118" t="n">
        <x:v>2</x:v>
      </x:c>
      <x:c r="Z150" s="118" t="n">
        <x:v>0</x:v>
      </x:c>
      <x:c r="AA150" s="118" t="n">
        <x:v>0</x:v>
      </x:c>
      <x:c r="AB150" s="118" t="n">
        <x:v>0</x:v>
      </x:c>
      <x:c r="AC150" s="118" t="n">
        <x:v>0</x:v>
      </x:c>
    </x:row>
    <x:row r="151" ht="46" customHeight="1">
      <x:c r="A151" s="117" t="str">
        <x:v>300Ro00000LVet7IAD</x:v>
      </x:c>
      <x:c r="B151" s="117" t="str">
        <x:v>Create_Restock_Fee_Opportunity_Screen_Flow</x:v>
      </x:c>
      <x:c r="C151" s="117" t="str">
        <x:v>Yes</x:v>
      </x:c>
      <x:c r="D151" s="119" t="str">
        <x:v>Active v2 (Retrieved XML)</x:v>
      </x:c>
      <x:c r="E151" s="119" t="str"/>
      <x:c r="F151" s="119" t="str">
        <x:v>Opportunity, OpportunityLineItem, RMA__c</x:v>
      </x:c>
      <x:c r="G151" s="119" t="str">
        <x:v>AccountId, Asset_No__c, Bill_To_Account__c, BillingCity__c, BillingCountry__c, BillingPostalCode__c, BillingState__c, BillingStreet__c, CloseDate, CurrencyIsoCode, Customer_PO__c, Customer_Paid_for_Damage_or_Outright_ex__c, Id, Loaner_Restock_Fee_Opportunity__c, Model__c, Name, OpportunityId, OwnerId, PricebookEntryId, Product2Id, ProductItem__c, Product_Family_TXT__c, Purchasing_Approved__c, Quantity, RecordTypeId, Sales_Lead_Source__c, Sales_Representative__c, Serial_No__c, Ship_To_Account__c, ShippingCity__c, ShippingCountry__c, ShippingPostalCode__c, ShippingState__c, ShippingStreet__c, Shipping_FROM_Location__c, StageName, UnitPrice</x:v>
      </x:c>
      <x:c r="H151" s="119" t="str"/>
      <x:c r="I151" s="119" t="str"/>
      <x:c r="J151" s="119" t="str"/>
      <x:c r="K151" s="118" t="n">
        <x:v>9</x:v>
      </x:c>
      <x:c r="L151" s="118" t="n">
        <x:v>0</x:v>
      </x:c>
      <x:c r="M151" s="118" t="n">
        <x:v>0</x:v>
      </x:c>
      <x:c r="N151" s="118" t="n">
        <x:v>1</x:v>
      </x:c>
      <x:c r="O151" s="118" t="n">
        <x:v>0</x:v>
      </x:c>
      <x:c r="P151" s="118" t="n">
        <x:v>0</x:v>
      </x:c>
      <x:c r="Q151" s="118" t="n">
        <x:v>0</x:v>
      </x:c>
      <x:c r="R151" s="118" t="n">
        <x:v>0</x:v>
      </x:c>
      <x:c r="S151" s="118" t="n">
        <x:v>0</x:v>
      </x:c>
      <x:c r="T151" s="118" t="n">
        <x:v>2</x:v>
      </x:c>
      <x:c r="U151" s="118" t="n">
        <x:v>0</x:v>
      </x:c>
      <x:c r="V151" s="118" t="n">
        <x:v>2</x:v>
      </x:c>
      <x:c r="W151" s="118" t="n">
        <x:v>0</x:v>
      </x:c>
      <x:c r="X151" s="118" t="n">
        <x:v>1</x:v>
      </x:c>
      <x:c r="Y151" s="118" t="n">
        <x:v>2</x:v>
      </x:c>
      <x:c r="Z151" s="118" t="n">
        <x:v>0</x:v>
      </x:c>
      <x:c r="AA151" s="118" t="n">
        <x:v>0</x:v>
      </x:c>
      <x:c r="AB151" s="118" t="n">
        <x:v>0</x:v>
      </x:c>
      <x:c r="AC151" s="118" t="n">
        <x:v>0</x:v>
      </x:c>
    </x:row>
    <x:row r="152" ht="46" customHeight="1">
      <x:c r="A152" s="117" t="str">
        <x:v>3005b000000PzFtAAK</x:v>
      </x:c>
      <x:c r="B152" s="117" t="str">
        <x:v>Create_Return_Op_from_Purchasing_Op</x:v>
      </x:c>
      <x:c r="C152" s="117" t="str">
        <x:v>Yes</x:v>
      </x:c>
      <x:c r="D152" s="119" t="str">
        <x:v>Active v11 (Retrieved XML)</x:v>
      </x:c>
      <x:c r="E152" s="119" t="str"/>
      <x:c r="F152" s="119" t="str">
        <x:v>Item_Receipt__c, Opportunity, OpportunityLineItem, PricebookEntry, ProductItem__c</x:v>
      </x:c>
      <x:c r="G152" s="119" t="str">
        <x:v>AccountId, Asset_No__c, CloseDate, CurrencyIsoCode, Generic_Product__c, Id, Item_Receipt__c, Name, OpportunityId, OwnerId, PricebookEntryId, Product2Id, ProductItem__c, Product_Name__c, Purchasing_Approved__c, Purchasing_Opportunity__c, Quantity, RecordTypeId, Return_Opportunity__c, ShippingCountry__c, ShippingPostalCode__c, ShippingState__c, ShippingStreet__c, Shipping_FROM_Location__c, StageName, UnitPrice, sold__c</x:v>
      </x:c>
      <x:c r="H152" s="119" t="str"/>
      <x:c r="I152" s="119" t="str"/>
      <x:c r="J152" s="119" t="str">
        <x:v>c:datatable, flowruntime:image</x:v>
      </x:c>
      <x:c r="K152" s="118" t="n">
        <x:v>28</x:v>
      </x:c>
      <x:c r="L152" s="118" t="n">
        <x:v>0</x:v>
      </x:c>
      <x:c r="M152" s="118" t="n">
        <x:v>0</x:v>
      </x:c>
      <x:c r="N152" s="118" t="n">
        <x:v>8</x:v>
      </x:c>
      <x:c r="O152" s="118" t="n">
        <x:v>0</x:v>
      </x:c>
      <x:c r="P152" s="118" t="n">
        <x:v>0</x:v>
      </x:c>
      <x:c r="Q152" s="118" t="n">
        <x:v>2</x:v>
      </x:c>
      <x:c r="R152" s="118" t="n">
        <x:v>6</x:v>
      </x:c>
      <x:c r="S152" s="118" t="n">
        <x:v>0</x:v>
      </x:c>
      <x:c r="T152" s="118" t="n">
        <x:v>2</x:v>
      </x:c>
      <x:c r="U152" s="118" t="n">
        <x:v>0</x:v>
      </x:c>
      <x:c r="V152" s="118" t="n">
        <x:v>5</x:v>
      </x:c>
      <x:c r="W152" s="118" t="n">
        <x:v>0</x:v>
      </x:c>
      <x:c r="X152" s="118" t="n">
        <x:v>2</x:v>
      </x:c>
      <x:c r="Y152" s="118" t="n">
        <x:v>2</x:v>
      </x:c>
      <x:c r="Z152" s="118" t="n">
        <x:v>0</x:v>
      </x:c>
      <x:c r="AA152" s="118" t="n">
        <x:v>0</x:v>
      </x:c>
      <x:c r="AB152" s="118" t="n">
        <x:v>0</x:v>
      </x:c>
      <x:c r="AC152" s="118" t="n">
        <x:v>0</x:v>
      </x:c>
    </x:row>
    <x:row r="153" ht="46" customHeight="1">
      <x:c r="A153" s="117" t="str">
        <x:v>300Ro00000QRpykIAD</x:v>
      </x:c>
      <x:c r="B153" s="117" t="str">
        <x:v>Create_Return_Service_Appointment_Upon_Return_Site_Visit_Required</x:v>
      </x:c>
      <x:c r="C153" s="117" t="str">
        <x:v>Yes</x:v>
      </x:c>
      <x:c r="D153" s="119" t="str">
        <x:v>Active v39 (Retrieved XML)</x:v>
      </x:c>
      <x:c r="E153" s="119" t="str">
        <x:v>Return_Visit_Required__c EqualTo booleanValue=true | Return_Visit_Required__c IsChanged booleanValue=true | Status EqualTo stringValue=Cannot Complete | Status IsChanged booleanValue=true | Parts_Required__c EqualTo booleanValue=true | Parts_Required__c IsChanged booleanValue=true | Country NotEqualTo stringValue=United States</x:v>
      </x:c>
      <x:c r="F153" s="119" t="str">
        <x:v>ServiceAppointment, WorkOrder</x:v>
      </x:c>
      <x:c r="G153" s="119" t="str">
        <x:v>Account, Additional_Items_to_Quote__c, AppointmentNumber, Appointment_Type__c, Attn__c, Billing_Address__City__s, Billing_Address__CountryCode__s, Billing_Address__PostalCode__s, Billing_Address__StateCode__s, Billing_Address__Street__s, City, Contact_Email__c, Contact_Phone__c, Contract_Line_Item__c, Country, CreatedBy, CreatedDate, Description, DueDate, Duration, EarliestStartTime, Engineers_Comments__c, FSL__Related_Service__c, Follow_Up_Visit_Reason__c, Id, Internal_Notes__c, Location_of_Equipment__c, OwnerId, ParentRecordId, Parts_Required__c, Parts_details__c, PostalCode, RecordTypeId, Return_Visit_Required__c, Shipping_Address__City__s, Shipping_Address__CountryCode__s, Shipping_Address__PostalCode__s, Shipping_Address__StateCode__s, Shipping_Address__Street__s, Status, Street, Subject, Subsequent_Service_Appointment__c, System_Operational__c, Type__c, WorkType, Work_Order__c, Work_Order__r</x:v>
      </x:c>
      <x:c r="H153" s="119" t="str">
        <x:v>emailSimple</x:v>
      </x:c>
      <x:c r="I153" s="119" t="str"/>
      <x:c r="J153" s="119" t="str"/>
      <x:c r="K153" s="118" t="n">
        <x:v>15</x:v>
      </x:c>
      <x:c r="L153" s="118" t="n">
        <x:v>1</x:v>
      </x:c>
      <x:c r="M153" s="118" t="n">
        <x:v>0</x:v>
      </x:c>
      <x:c r="N153" s="118" t="n">
        <x:v>6</x:v>
      </x:c>
      <x:c r="O153" s="118" t="n">
        <x:v>0</x:v>
      </x:c>
      <x:c r="P153" s="118" t="n">
        <x:v>0</x:v>
      </x:c>
      <x:c r="Q153" s="118" t="n">
        <x:v>4</x:v>
      </x:c>
      <x:c r="R153" s="118" t="n">
        <x:v>0</x:v>
      </x:c>
      <x:c r="S153" s="118" t="n">
        <x:v>0</x:v>
      </x:c>
      <x:c r="T153" s="118" t="n">
        <x:v>1</x:v>
      </x:c>
      <x:c r="U153" s="118" t="n">
        <x:v>0</x:v>
      </x:c>
      <x:c r="V153" s="118" t="n">
        <x:v>1</x:v>
      </x:c>
      <x:c r="W153" s="118" t="n">
        <x:v>0</x:v>
      </x:c>
      <x:c r="X153" s="118" t="n">
        <x:v>1</x:v>
      </x:c>
      <x:c r="Y153" s="118" t="n">
        <x:v>0</x:v>
      </x:c>
      <x:c r="Z153" s="118" t="n">
        <x:v>0</x:v>
      </x:c>
      <x:c r="AA153" s="118" t="n">
        <x:v>0</x:v>
      </x:c>
      <x:c r="AB153" s="118" t="n">
        <x:v>0</x:v>
      </x:c>
      <x:c r="AC153" s="118" t="n">
        <x:v>0</x:v>
      </x:c>
    </x:row>
    <x:row r="154" ht="46" customHeight="1">
      <x:c r="A154" s="117" t="str">
        <x:v>3005b000000H1muAAC</x:v>
      </x:c>
      <x:c r="B154" s="117" t="str">
        <x:v>Create_RMA_From_Customer_Portal</x:v>
      </x:c>
      <x:c r="C154" s="117" t="str">
        <x:v>No</x:v>
      </x:c>
      <x:c r="D154" s="119" t="str">
        <x:v>Latest inactive v1 (Retrieved XML)</x:v>
      </x:c>
      <x:c r="E154" s="119" t="str"/>
      <x:c r="F154" s="119" t="str">
        <x:v>RMA__c</x:v>
      </x:c>
      <x:c r="G154" s="119" t="str">
        <x:v>Contact_Name__c, Customer_Email__c, RMA_Item_Serial_Number__c</x:v>
      </x:c>
      <x:c r="H154" s="119" t="str"/>
      <x:c r="I154" s="119" t="str"/>
      <x:c r="J154" s="119" t="str">
        <x:v>flowruntime:phone</x:v>
      </x:c>
      <x:c r="K154" s="118" t="n">
        <x:v>3</x:v>
      </x:c>
      <x:c r="L154" s="118" t="n">
        <x:v>0</x:v>
      </x:c>
      <x:c r="M154" s="118" t="n">
        <x:v>0</x:v>
      </x:c>
      <x:c r="N154" s="118" t="n">
        <x:v>0</x:v>
      </x:c>
      <x:c r="O154" s="118" t="n">
        <x:v>0</x:v>
      </x:c>
      <x:c r="P154" s="118" t="n">
        <x:v>0</x:v>
      </x:c>
      <x:c r="Q154" s="118" t="n">
        <x:v>0</x:v>
      </x:c>
      <x:c r="R154" s="118" t="n">
        <x:v>0</x:v>
      </x:c>
      <x:c r="S154" s="118" t="n">
        <x:v>0</x:v>
      </x:c>
      <x:c r="T154" s="118" t="n">
        <x:v>1</x:v>
      </x:c>
      <x:c r="U154" s="118" t="n">
        <x:v>0</x:v>
      </x:c>
      <x:c r="V154" s="118" t="n">
        <x:v>0</x:v>
      </x:c>
      <x:c r="W154" s="118" t="n">
        <x:v>0</x:v>
      </x:c>
      <x:c r="X154" s="118" t="n">
        <x:v>0</x:v>
      </x:c>
      <x:c r="Y154" s="118" t="n">
        <x:v>1</x:v>
      </x:c>
      <x:c r="Z154" s="118" t="n">
        <x:v>0</x:v>
      </x:c>
      <x:c r="AA154" s="118" t="n">
        <x:v>0</x:v>
      </x:c>
      <x:c r="AB154" s="118" t="n">
        <x:v>0</x:v>
      </x:c>
      <x:c r="AC154" s="118" t="n">
        <x:v>0</x:v>
      </x:c>
    </x:row>
    <x:row r="155" ht="46" customHeight="1">
      <x:c r="A155" s="117" t="str">
        <x:v>3005b000000H3uHAAS</x:v>
      </x:c>
      <x:c r="B155" s="117" t="str">
        <x:v>Create_RMA_from_Work_Order</x:v>
      </x:c>
      <x:c r="C155" s="117" t="str">
        <x:v>Yes</x:v>
      </x:c>
      <x:c r="D155" s="119" t="str">
        <x:v>Active v24 (Tooling metadata)</x:v>
      </x:c>
      <x:c r="E155" s="119" t="str"/>
      <x:c r="F155" s="119" t="str">
        <x:v>Opportunity, ProductItem__c, RMA__c, RecordType, WorkOrder</x:v>
      </x:c>
      <x:c r="G155" s="119" t="str">
        <x:v>Customer_Address__c, Customer_Expectation__c, Id, Opportunity__c, Other_Notes__c, ProductItem__c, Quality_Issue_Notes__c, Quality_Issue_Reported__c, RMA_Item_Serial_Number__c, RecordTypeId, Replacement_Sent__c, Return_Asset_to_Vendor__c, Service_Contract__c, SobjectType, Type_of_Nonconformity__c, Work_Order__c</x:v>
      </x:c>
      <x:c r="H155" s="119" t="str"/>
      <x:c r="I155" s="119" t="str"/>
      <x:c r="J155" s="119" t="str">
        <x:v>flowruntime:lookup</x:v>
      </x:c>
      <x:c r="K155" s="118" t="n">
        <x:v>12</x:v>
      </x:c>
      <x:c r="L155" s="118" t="n">
        <x:v>0</x:v>
      </x:c>
      <x:c r="M155" s="118" t="n">
        <x:v>0</x:v>
      </x:c>
      <x:c r="N155" s="118" t="n">
        <x:v>2</x:v>
      </x:c>
      <x:c r="O155" s="118" t="n">
        <x:v>0</x:v>
      </x:c>
      <x:c r="P155" s="118" t="n">
        <x:v>0</x:v>
      </x:c>
      <x:c r="Q155" s="118" t="n">
        <x:v>2</x:v>
      </x:c>
      <x:c r="R155" s="118" t="n">
        <x:v>0</x:v>
      </x:c>
      <x:c r="S155" s="118" t="n">
        <x:v>0</x:v>
      </x:c>
      <x:c r="T155" s="118" t="n">
        <x:v>1</x:v>
      </x:c>
      <x:c r="U155" s="118" t="n">
        <x:v>0</x:v>
      </x:c>
      <x:c r="V155" s="118" t="n">
        <x:v>3</x:v>
      </x:c>
      <x:c r="W155" s="118" t="n">
        <x:v>0</x:v>
      </x:c>
      <x:c r="X155" s="118" t="n">
        <x:v>1</x:v>
      </x:c>
      <x:c r="Y155" s="118" t="n">
        <x:v>2</x:v>
      </x:c>
      <x:c r="Z155" s="118" t="n">
        <x:v>0</x:v>
      </x:c>
      <x:c r="AA155" s="118" t="n">
        <x:v>0</x:v>
      </x:c>
      <x:c r="AB155" s="118" t="n">
        <x:v>0</x:v>
      </x:c>
      <x:c r="AC155" s="118" t="n">
        <x:v>0</x:v>
      </x:c>
    </x:row>
    <x:row r="156" ht="46" customHeight="1">
      <x:c r="A156" s="117" t="str">
        <x:v>300Ro00000Pz0kiIAB</x:v>
      </x:c>
      <x:c r="B156" s="117" t="str">
        <x:v>Create_SA_after_generating_Service_Appointment_return_visit</x:v>
      </x:c>
      <x:c r="C156" s="117" t="str">
        <x:v>No</x:v>
      </x:c>
      <x:c r="D156" s="119" t="str">
        <x:v>Latest inactive v2 (Retrieved XML)</x:v>
      </x:c>
      <x:c r="E156" s="119" t="str">
        <x:v>Status IsChanged booleanValue=true | Status EqualTo stringValue=Completed</x:v>
      </x:c>
      <x:c r="F156" s="119" t="str">
        <x:v>ServiceAppointment</x:v>
      </x:c>
      <x:c r="G156" s="119" t="str">
        <x:v>ActualDuration, ActualEndTime, ActualStartTime, Appointment_Type__c, Customer_Name__c, Description, Dose_Affected__c, DueDate, Duration, DurationType, EarliestStartTime, Engineers_Comments__c, ParentRecordId, Parts_Required__c, Parts_details__c, Return_Visit_Required__c, SchedEndTime, SchedStartTime, Ship_Type__c, Status, Submit_to_Shipping__c, System_Operational__c, Travel_Start__c</x:v>
      </x:c>
      <x:c r="H156" s="119" t="str"/>
      <x:c r="I156" s="119" t="str"/>
      <x:c r="J156" s="119" t="str"/>
      <x:c r="K156" s="118" t="n">
        <x:v>3</x:v>
      </x:c>
      <x:c r="L156" s="118" t="n">
        <x:v>0</x:v>
      </x:c>
      <x:c r="M156" s="118" t="n">
        <x:v>0</x:v>
      </x:c>
      <x:c r="N156" s="118" t="n">
        <x:v>0</x:v>
      </x:c>
      <x:c r="O156" s="118" t="n">
        <x:v>0</x:v>
      </x:c>
      <x:c r="P156" s="118" t="n">
        <x:v>0</x:v>
      </x:c>
      <x:c r="Q156" s="118" t="n">
        <x:v>1</x:v>
      </x:c>
      <x:c r="R156" s="118" t="n">
        <x:v>0</x:v>
      </x:c>
      <x:c r="S156" s="118" t="n">
        <x:v>0</x:v>
      </x:c>
      <x:c r="T156" s="118" t="n">
        <x:v>1</x:v>
      </x:c>
      <x:c r="U156" s="118" t="n">
        <x:v>0</x:v>
      </x:c>
      <x:c r="V156" s="118" t="n">
        <x:v>0</x:v>
      </x:c>
      <x:c r="W156" s="118" t="n">
        <x:v>0</x:v>
      </x:c>
      <x:c r="X156" s="118" t="n">
        <x:v>0</x:v>
      </x:c>
      <x:c r="Y156" s="118" t="n">
        <x:v>0</x:v>
      </x:c>
      <x:c r="Z156" s="118" t="n">
        <x:v>0</x:v>
      </x:c>
      <x:c r="AA156" s="118" t="n">
        <x:v>0</x:v>
      </x:c>
      <x:c r="AB156" s="118" t="n">
        <x:v>0</x:v>
      </x:c>
      <x:c r="AC156" s="118" t="n">
        <x:v>0</x:v>
      </x:c>
    </x:row>
    <x:row r="157" ht="46" customHeight="1">
      <x:c r="A157" s="117" t="str">
        <x:v>300Ro0000099RzwIAE</x:v>
      </x:c>
      <x:c r="B157" s="117" t="str">
        <x:v>Create_Sales_Opportunities_from_Training_Class</x:v>
      </x:c>
      <x:c r="C157" s="117" t="str">
        <x:v>Yes</x:v>
      </x:c>
      <x:c r="D157" s="119" t="str">
        <x:v>Active v12 (Retrieved XML)</x:v>
      </x:c>
      <x:c r="E157" s="119" t="str"/>
      <x:c r="F157" s="119" t="str">
        <x:v>Class_Attendee__c, Opportunity, OpportunityLineItem</x:v>
      </x:c>
      <x:c r="G157" s="119" t="str">
        <x:v>Training_Class__c</x:v>
      </x:c>
      <x:c r="H157" s="119" t="str"/>
      <x:c r="I157" s="119" t="str"/>
      <x:c r="J157" s="119" t="str">
        <x:v>c:datatable</x:v>
      </x:c>
      <x:c r="K157" s="118" t="n">
        <x:v>11</x:v>
      </x:c>
      <x:c r="L157" s="118" t="n">
        <x:v>0</x:v>
      </x:c>
      <x:c r="M157" s="118" t="n">
        <x:v>0</x:v>
      </x:c>
      <x:c r="N157" s="118" t="n">
        <x:v>4</x:v>
      </x:c>
      <x:c r="O157" s="118" t="n">
        <x:v>0</x:v>
      </x:c>
      <x:c r="P157" s="118" t="n">
        <x:v>0</x:v>
      </x:c>
      <x:c r="Q157" s="118" t="n">
        <x:v>0</x:v>
      </x:c>
      <x:c r="R157" s="118" t="n">
        <x:v>2</x:v>
      </x:c>
      <x:c r="S157" s="118" t="n">
        <x:v>0</x:v>
      </x:c>
      <x:c r="T157" s="118" t="n">
        <x:v>2</x:v>
      </x:c>
      <x:c r="U157" s="118" t="n">
        <x:v>0</x:v>
      </x:c>
      <x:c r="V157" s="118" t="n">
        <x:v>1</x:v>
      </x:c>
      <x:c r="W157" s="118" t="n">
        <x:v>0</x:v>
      </x:c>
      <x:c r="X157" s="118" t="n">
        <x:v>0</x:v>
      </x:c>
      <x:c r="Y157" s="118" t="n">
        <x:v>1</x:v>
      </x:c>
      <x:c r="Z157" s="118" t="n">
        <x:v>0</x:v>
      </x:c>
      <x:c r="AA157" s="118" t="n">
        <x:v>0</x:v>
      </x:c>
      <x:c r="AB157" s="118" t="n">
        <x:v>0</x:v>
      </x:c>
      <x:c r="AC157" s="118" t="n">
        <x:v>0</x:v>
      </x:c>
    </x:row>
    <x:row r="158" ht="46" customHeight="1">
      <x:c r="A158" s="117" t="str">
        <x:v>300Ro00000H90tTIAR</x:v>
      </x:c>
      <x:c r="B158" s="117" t="str">
        <x:v>Create_Service_Calendar_Event_from_Service_Resource_UK</x:v>
      </x:c>
      <x:c r="C158" s="117" t="str">
        <x:v>No</x:v>
      </x:c>
      <x:c r="D158" s="119" t="str">
        <x:v>Latest inactive v13 (Retrieved XML)</x:v>
      </x:c>
      <x:c r="E158" s="119" t="str"/>
      <x:c r="F158" s="119" t="str">
        <x:v>AssignedResource, ContractLineItem, Event, EventRelation, ServiceAppointment, WorkOrder</x:v>
      </x:c>
      <x:c r="G158" s="119" t="str">
        <x:v>ActivityDate, Description, DurationInMinutes, EventId, Id, IsInvitee, Location, OwnerId, RelationId, ServiceAppointment, ServiceAppointmentId, ServiceResource, StartDateTime, Status, Subject, Type, WhatId, WhoId</x:v>
      </x:c>
      <x:c r="H158" s="119" t="str"/>
      <x:c r="I158" s="119" t="str"/>
      <x:c r="J158" s="119" t="str"/>
      <x:c r="K158" s="118" t="n">
        <x:v>8</x:v>
      </x:c>
      <x:c r="L158" s="118" t="n">
        <x:v>0</x:v>
      </x:c>
      <x:c r="M158" s="118" t="n">
        <x:v>0</x:v>
      </x:c>
      <x:c r="N158" s="118" t="n">
        <x:v>2</x:v>
      </x:c>
      <x:c r="O158" s="118" t="n">
        <x:v>0</x:v>
      </x:c>
      <x:c r="P158" s="118" t="n">
        <x:v>0</x:v>
      </x:c>
      <x:c r="Q158" s="118" t="n">
        <x:v>0</x:v>
      </x:c>
      <x:c r="R158" s="118" t="n">
        <x:v>0</x:v>
      </x:c>
      <x:c r="S158" s="118" t="n">
        <x:v>0</x:v>
      </x:c>
      <x:c r="T158" s="118" t="n">
        <x:v>2</x:v>
      </x:c>
      <x:c r="U158" s="118" t="n">
        <x:v>0</x:v>
      </x:c>
      <x:c r="V158" s="118" t="n">
        <x:v>2</x:v>
      </x:c>
      <x:c r="W158" s="118" t="n">
        <x:v>0</x:v>
      </x:c>
      <x:c r="X158" s="118" t="n">
        <x:v>1</x:v>
      </x:c>
      <x:c r="Y158" s="118" t="n">
        <x:v>0</x:v>
      </x:c>
      <x:c r="Z158" s="118" t="n">
        <x:v>0</x:v>
      </x:c>
      <x:c r="AA158" s="118" t="n">
        <x:v>0</x:v>
      </x:c>
      <x:c r="AB158" s="118" t="n">
        <x:v>0</x:v>
      </x:c>
      <x:c r="AC158" s="118" t="n">
        <x:v>0</x:v>
      </x:c>
    </x:row>
    <x:row r="159" ht="46" customHeight="1">
      <x:c r="A159" s="117" t="str">
        <x:v>3005b000000H413AAC</x:v>
      </x:c>
      <x:c r="B159" s="117" t="str">
        <x:v>Create_Service_Calendar_Event_from_Work_Order_UK</x:v>
      </x:c>
      <x:c r="C159" s="117" t="str">
        <x:v>Yes</x:v>
      </x:c>
      <x:c r="D159" s="119" t="str">
        <x:v>Active v23 (Tooling metadata)</x:v>
      </x:c>
      <x:c r="E159" s="119" t="str">
        <x:v>RecordTypeId EqualTo stringValue=0125b000000LW89AAG; booleanValue=; numberValue=; dateValue=; dateTimeValue=; elementReference= | RecordTypeId EqualTo stringValue=0125b000000LVpuAAG; booleanValue=; numberValue=; dateValue=; dateTimeValue=; elementReference= | RecordTypeId EqualTo stringValue=0125b000000LWfsAAG; booleanValue=; numberValue=; dateValue=; dateTimeValue=; elementReference= | Scheduled_Service_Date__c IsNull stringValue=; booleanValue=; numberValue=; dateValue=; dateTimeValue=; elementReference= | UK_Engineer_s_Assigned__c IsNull stringValue=; booleanValue=; numberValue=; dateValue=; dateTimeValue=; elementReference=</x:v>
      </x:c>
      <x:c r="F159" s="119" t="str">
        <x:v>Contact, Event, EventRelation, WorkOrder</x:v>
      </x:c>
      <x:c r="G159" s="119" t="str">
        <x:v>AccountId, ActivityDate, Contract_Line_Item__r, Description, DurationInMinutes, EndDateTime, EventId, Id, IsInvitee, Location, Modality__c, Name, Owner, OwnerId, RecordType, RecordTypeId, RelationId, Scheduled_Service_Date__c, StartDateTime, Status, Subject, Type, UK_Engineer_s_Assigned__c, WhatId, WhoId, WorkOrderNumber, Work_Order_Notes__c</x:v>
      </x:c>
      <x:c r="H159" s="119" t="str">
        <x:v>Event.UK_Engineer_Assigned_ALL, Event.UK_Engineer_Assigned_US, Event.UK_Engineer_Assigned_XRay</x:v>
      </x:c>
      <x:c r="I159" s="119" t="str"/>
      <x:c r="J159" s="119" t="str"/>
      <x:c r="K159" s="118" t="n">
        <x:v>18</x:v>
      </x:c>
      <x:c r="L159" s="118" t="n">
        <x:v>3</x:v>
      </x:c>
      <x:c r="M159" s="118" t="n">
        <x:v>0</x:v>
      </x:c>
      <x:c r="N159" s="118" t="n">
        <x:v>6</x:v>
      </x:c>
      <x:c r="O159" s="118" t="n">
        <x:v>0</x:v>
      </x:c>
      <x:c r="P159" s="118" t="n">
        <x:v>0</x:v>
      </x:c>
      <x:c r="Q159" s="118" t="n">
        <x:v>2</x:v>
      </x:c>
      <x:c r="R159" s="118" t="n">
        <x:v>0</x:v>
      </x:c>
      <x:c r="S159" s="118" t="n">
        <x:v>0</x:v>
      </x:c>
      <x:c r="T159" s="118" t="n">
        <x:v>3</x:v>
      </x:c>
      <x:c r="U159" s="118" t="n">
        <x:v>0</x:v>
      </x:c>
      <x:c r="V159" s="118" t="n">
        <x:v>2</x:v>
      </x:c>
      <x:c r="W159" s="118" t="n">
        <x:v>0</x:v>
      </x:c>
      <x:c r="X159" s="118" t="n">
        <x:v>1</x:v>
      </x:c>
      <x:c r="Y159" s="118" t="n">
        <x:v>0</x:v>
      </x:c>
      <x:c r="Z159" s="118" t="n">
        <x:v>0</x:v>
      </x:c>
      <x:c r="AA159" s="118" t="n">
        <x:v>0</x:v>
      </x:c>
      <x:c r="AB159" s="118" t="n">
        <x:v>0</x:v>
      </x:c>
      <x:c r="AC159" s="118" t="n">
        <x:v>0</x:v>
      </x:c>
    </x:row>
    <x:row r="160" ht="46" customHeight="1">
      <x:c r="A160" s="117" t="str">
        <x:v>3005b000000H4G3AAK</x:v>
      </x:c>
      <x:c r="B160" s="117" t="str">
        <x:v>Create_SF_Support_Case_V1</x:v>
      </x:c>
      <x:c r="C160" s="117" t="str">
        <x:v>Yes</x:v>
      </x:c>
      <x:c r="D160" s="119" t="str">
        <x:v>Active v30 (Retrieved XML)</x:v>
      </x:c>
      <x:c r="E160" s="119" t="str"/>
      <x:c r="F160" s="119" t="str">
        <x:v>Case</x:v>
      </x:c>
      <x:c r="G160" s="119" t="str">
        <x:v>Classification__c, Description, Error_Message__c, Id, Link_to_Example__c, OwnerId, RecordTypeId, Related_Object__c, Status, Subject</x:v>
      </x:c>
      <x:c r="H160" s="119" t="str"/>
      <x:c r="I160" s="119" t="str"/>
      <x:c r="J160" s="119" t="str"/>
      <x:c r="K160" s="118" t="n">
        <x:v>5</x:v>
      </x:c>
      <x:c r="L160" s="118" t="n">
        <x:v>0</x:v>
      </x:c>
      <x:c r="M160" s="118" t="n">
        <x:v>0</x:v>
      </x:c>
      <x:c r="N160" s="118" t="n">
        <x:v>0</x:v>
      </x:c>
      <x:c r="O160" s="118" t="n">
        <x:v>0</x:v>
      </x:c>
      <x:c r="P160" s="118" t="n">
        <x:v>0</x:v>
      </x:c>
      <x:c r="Q160" s="118" t="n">
        <x:v>0</x:v>
      </x:c>
      <x:c r="R160" s="118" t="n">
        <x:v>0</x:v>
      </x:c>
      <x:c r="S160" s="118" t="n">
        <x:v>0</x:v>
      </x:c>
      <x:c r="T160" s="118" t="n">
        <x:v>1</x:v>
      </x:c>
      <x:c r="U160" s="118" t="n">
        <x:v>0</x:v>
      </x:c>
      <x:c r="V160" s="118" t="n">
        <x:v>1</x:v>
      </x:c>
      <x:c r="W160" s="118" t="n">
        <x:v>0</x:v>
      </x:c>
      <x:c r="X160" s="118" t="n">
        <x:v>0</x:v>
      </x:c>
      <x:c r="Y160" s="118" t="n">
        <x:v>2</x:v>
      </x:c>
      <x:c r="Z160" s="118" t="n">
        <x:v>0</x:v>
      </x:c>
      <x:c r="AA160" s="118" t="n">
        <x:v>0</x:v>
      </x:c>
      <x:c r="AB160" s="118" t="n">
        <x:v>0</x:v>
      </x:c>
      <x:c r="AC160" s="118" t="n">
        <x:v>0</x:v>
      </x:c>
    </x:row>
    <x:row r="161" ht="46" customHeight="1">
      <x:c r="A161" s="117" t="str">
        <x:v>3005b000000H3rmAAC</x:v>
      </x:c>
      <x:c r="B161" s="117" t="str">
        <x:v>Create_shipment_from_customer_portal</x:v>
      </x:c>
      <x:c r="C161" s="117" t="str">
        <x:v>Yes</x:v>
      </x:c>
      <x:c r="D161" s="119" t="str">
        <x:v>Active v19 (Retrieved XML)</x:v>
      </x:c>
      <x:c r="E161" s="119" t="str">
        <x:v>Create_Shipment__c EqualTo booleanValue=true</x:v>
      </x:c>
      <x:c r="F161" s="119" t="str">
        <x:v>RMA__c</x:v>
      </x:c>
      <x:c r="G161" s="119" t="str">
        <x:v>Create_Shipment__c, Customer_Probe_Type__c, Customer_Return_Country__c, Id</x:v>
      </x:c>
      <x:c r="H161" s="119" t="str">
        <x:v>zkmulti__InvocableShipmentCreate</x:v>
      </x:c>
      <x:c r="I161" s="119" t="str"/>
      <x:c r="J161" s="119" t="str"/>
      <x:c r="K161" s="118" t="n">
        <x:v>6</x:v>
      </x:c>
      <x:c r="L161" s="118" t="n">
        <x:v>4</x:v>
      </x:c>
      <x:c r="M161" s="118" t="n">
        <x:v>0</x:v>
      </x:c>
      <x:c r="N161" s="118" t="n">
        <x:v>0</x:v>
      </x:c>
      <x:c r="O161" s="118" t="n">
        <x:v>0</x:v>
      </x:c>
      <x:c r="P161" s="118" t="n">
        <x:v>0</x:v>
      </x:c>
      <x:c r="Q161" s="118" t="n">
        <x:v>1</x:v>
      </x:c>
      <x:c r="R161" s="118" t="n">
        <x:v>0</x:v>
      </x:c>
      <x:c r="S161" s="118" t="n">
        <x:v>0</x:v>
      </x:c>
      <x:c r="T161" s="118" t="n">
        <x:v>0</x:v>
      </x:c>
      <x:c r="U161" s="118" t="n">
        <x:v>0</x:v>
      </x:c>
      <x:c r="V161" s="118" t="n">
        <x:v>0</x:v>
      </x:c>
      <x:c r="W161" s="118" t="n">
        <x:v>0</x:v>
      </x:c>
      <x:c r="X161" s="118" t="n">
        <x:v>0</x:v>
      </x:c>
      <x:c r="Y161" s="118" t="n">
        <x:v>0</x:v>
      </x:c>
      <x:c r="Z161" s="118" t="n">
        <x:v>0</x:v>
      </x:c>
      <x:c r="AA161" s="118" t="n">
        <x:v>0</x:v>
      </x:c>
      <x:c r="AB161" s="118" t="n">
        <x:v>0</x:v>
      </x:c>
      <x:c r="AC161" s="118" t="n">
        <x:v>0</x:v>
      </x:c>
    </x:row>
    <x:row r="162" ht="46" customHeight="1">
      <x:c r="A162" s="117" t="str">
        <x:v>3005b000000Pz9qAAC</x:v>
      </x:c>
      <x:c r="B162" s="117" t="str">
        <x:v>Create_Shipping_Product_on_US_Lead_Conversion_to_Op</x:v>
      </x:c>
      <x:c r="C162" s="117" t="str">
        <x:v>No</x:v>
      </x:c>
      <x:c r="D162" s="119" t="str">
        <x:v>Latest inactive v3 (Retrieved XML)</x:v>
      </x:c>
      <x:c r="E162" s="119" t="str">
        <x:v>Opp_Record_Type__c Contains stringValue=Sales | Opportunity_Owner_Location__c EqualTo stringValue=Fishers, IN | Opportunity_Owner_Location__c EqualTo stringValue=Tampa, FL | Opportunity_Owner_Location__c EqualTo stringValue=Tulsa, OK | Opportunity_Owner_Location__c EqualTo stringValue=Harrisburg, PA | Opportunity_Owner_Location__c EqualTo stringValue=Corona, CA | Opportunity_Owner_Location__c EqualTo stringValue=Gallatin, TN | ShippingCountry__c EqualTo stringValue=United States | Shipping_Account__c IsNull booleanValue=false | Opportunity_Converted_from_lead__c EqualTo booleanValue=true | Shipping_Amount__c LessThanOrEqualTo numberValue=0.0 | Opp_Record_Type__c NotEqualTo stringValue=Service_Sales_Opportunity | RecordTypeId NotEqualTo stringValue=0124O000000tE5nQAE</x:v>
      </x:c>
      <x:c r="F162" s="119" t="str">
        <x:v>Opportunity, OpportunityLineItem, PricebookEntry</x:v>
      </x:c>
      <x:c r="G162" s="119" t="str">
        <x:v>Asset_No__c, CurrencyIsoCode, Id, Opp_Record_Type__c, OpportunityId, Opportunity_Converted_from_lead__c, Opportunity_Owner_Location__c, PricebookEntryId, Product2Id, ProductItem__c, Quantity, RecordTypeId, ShippingCountry__c, Shipping_Account__c, Shipping_Amount__c, UnitPrice</x:v>
      </x:c>
      <x:c r="H162" s="119" t="str"/>
      <x:c r="I162" s="119" t="str"/>
      <x:c r="J162" s="119" t="str"/>
      <x:c r="K162" s="118" t="n">
        <x:v>3</x:v>
      </x:c>
      <x:c r="L162" s="118" t="n">
        <x:v>0</x:v>
      </x:c>
      <x:c r="M162" s="118" t="n">
        <x:v>0</x:v>
      </x:c>
      <x:c r="N162" s="118" t="n">
        <x:v>0</x:v>
      </x:c>
      <x:c r="O162" s="118" t="n">
        <x:v>0</x:v>
      </x:c>
      <x:c r="P162" s="118" t="n">
        <x:v>0</x:v>
      </x:c>
      <x:c r="Q162" s="118" t="n">
        <x:v>0</x:v>
      </x:c>
      <x:c r="R162" s="118" t="n">
        <x:v>0</x:v>
      </x:c>
      <x:c r="S162" s="118" t="n">
        <x:v>0</x:v>
      </x:c>
      <x:c r="T162" s="118" t="n">
        <x:v>1</x:v>
      </x:c>
      <x:c r="U162" s="118" t="n">
        <x:v>0</x:v>
      </x:c>
      <x:c r="V162" s="118" t="n">
        <x:v>1</x:v>
      </x:c>
      <x:c r="W162" s="118" t="n">
        <x:v>0</x:v>
      </x:c>
      <x:c r="X162" s="118" t="n">
        <x:v>0</x:v>
      </x:c>
      <x:c r="Y162" s="118" t="n">
        <x:v>0</x:v>
      </x:c>
      <x:c r="Z162" s="118" t="n">
        <x:v>0</x:v>
      </x:c>
      <x:c r="AA162" s="118" t="n">
        <x:v>0</x:v>
      </x:c>
      <x:c r="AB162" s="118" t="n">
        <x:v>0</x:v>
      </x:c>
      <x:c r="AC162" s="118" t="n">
        <x:v>0</x:v>
      </x:c>
    </x:row>
    <x:row r="163" ht="46" customHeight="1">
      <x:c r="A163" s="117" t="str">
        <x:v>3005b000000LHrAAAW</x:v>
      </x:c>
      <x:c r="B163" s="117" t="str">
        <x:v>Create_Shipping_Product_on_US_Op_Creation</x:v>
      </x:c>
      <x:c r="C163" s="117" t="str">
        <x:v>No</x:v>
      </x:c>
      <x:c r="D163" s="119" t="str">
        <x:v>Latest inactive v12 (Retrieved XML)</x:v>
      </x:c>
      <x:c r="E163" s="119" t="str">
        <x:v>Opp_Record_Type__c Contains stringValue=Sales | Opportunity_Owner_Location__c EqualTo stringValue=Fishers, IN | Opportunity_Owner_Location__c EqualTo stringValue=Tampa, FL | Opportunity_Owner_Location__c EqualTo stringValue=Tulsa, OK | Opportunity_Owner_Location__c EqualTo stringValue=Harrisburg, PA | Shipping_Account__c IsNull booleanValue=true | Opportunity_Owner_Location__c EqualTo stringValue=Corona, CA | Opportunity_Owner_Location__c EqualTo stringValue=Gallatin, TN | ShippingCountry__c NotEqualTo stringValue=United Kingdom | Opp_Record_Type__c NotEqualTo stringValue=Service_Sales_Opportunity | ShippingCountry__c NotEqualTo stringValue=France | RecordTypeId NotEqualTo stringValue=0124O000000tE5nQAE</x:v>
      </x:c>
      <x:c r="F163" s="119" t="str">
        <x:v>Opportunity, OpportunityLineItem, PricebookEntry</x:v>
      </x:c>
      <x:c r="G163" s="119" t="str">
        <x:v>Asset_No__c, CurrencyIsoCode, Id, Opp_Record_Type__c, OpportunityId, Opportunity_Owner_Location__c, PricebookEntryId, Product2Id, ProductItem__c, Quantity, RecordTypeId, ShippingCountry__c, Shipping_Account__c, UnitPrice</x:v>
      </x:c>
      <x:c r="H163" s="119" t="str"/>
      <x:c r="I163" s="119" t="str"/>
      <x:c r="J163" s="119" t="str"/>
      <x:c r="K163" s="118" t="n">
        <x:v>3</x:v>
      </x:c>
      <x:c r="L163" s="118" t="n">
        <x:v>0</x:v>
      </x:c>
      <x:c r="M163" s="118" t="n">
        <x:v>0</x:v>
      </x:c>
      <x:c r="N163" s="118" t="n">
        <x:v>0</x:v>
      </x:c>
      <x:c r="O163" s="118" t="n">
        <x:v>0</x:v>
      </x:c>
      <x:c r="P163" s="118" t="n">
        <x:v>0</x:v>
      </x:c>
      <x:c r="Q163" s="118" t="n">
        <x:v>0</x:v>
      </x:c>
      <x:c r="R163" s="118" t="n">
        <x:v>0</x:v>
      </x:c>
      <x:c r="S163" s="118" t="n">
        <x:v>0</x:v>
      </x:c>
      <x:c r="T163" s="118" t="n">
        <x:v>1</x:v>
      </x:c>
      <x:c r="U163" s="118" t="n">
        <x:v>0</x:v>
      </x:c>
      <x:c r="V163" s="118" t="n">
        <x:v>1</x:v>
      </x:c>
      <x:c r="W163" s="118" t="n">
        <x:v>0</x:v>
      </x:c>
      <x:c r="X163" s="118" t="n">
        <x:v>0</x:v>
      </x:c>
      <x:c r="Y163" s="118" t="n">
        <x:v>0</x:v>
      </x:c>
      <x:c r="Z163" s="118" t="n">
        <x:v>0</x:v>
      </x:c>
      <x:c r="AA163" s="118" t="n">
        <x:v>0</x:v>
      </x:c>
      <x:c r="AB163" s="118" t="n">
        <x:v>0</x:v>
      </x:c>
      <x:c r="AC163" s="118" t="n">
        <x:v>0</x:v>
      </x:c>
    </x:row>
    <x:row r="164" ht="46" customHeight="1">
      <x:c r="A164" s="117" t="str">
        <x:v>3005b000000H3qFAAS</x:v>
      </x:c>
      <x:c r="B164" s="117" t="str">
        <x:v>Create_Sourcing_Request_for_Parts_and_Probes</x:v>
      </x:c>
      <x:c r="C164" s="117" t="str">
        <x:v>No</x:v>
      </x:c>
      <x:c r="D164" s="119" t="str">
        <x:v>Latest inactive v1 (Retrieved XML)</x:v>
      </x:c>
      <x:c r="E164" s="119" t="str"/>
      <x:c r="F164" s="119" t="str">
        <x:v>Opportunity, RecordType, User, Vendor_Sourcing__c</x:v>
      </x:c>
      <x:c r="G164" s="119" t="str">
        <x:v>DeveloperName, Id, IsActive, IsClosed, Opportunity__c, Purchasing_Opportunity__c, StageName, Username</x:v>
      </x:c>
      <x:c r="H164" s="119" t="str">
        <x:v>Opportunity.Purchasing_Opp_Assigned_Alert</x:v>
      </x:c>
      <x:c r="I164" s="119" t="str"/>
      <x:c r="J164" s="119" t="str"/>
      <x:c r="K164" s="118" t="n">
        <x:v>11</x:v>
      </x:c>
      <x:c r="L164" s="118" t="n">
        <x:v>1</x:v>
      </x:c>
      <x:c r="M164" s="118" t="n">
        <x:v>0</x:v>
      </x:c>
      <x:c r="N164" s="118" t="n">
        <x:v>1</x:v>
      </x:c>
      <x:c r="O164" s="118" t="n">
        <x:v>0</x:v>
      </x:c>
      <x:c r="P164" s="118" t="n">
        <x:v>0</x:v>
      </x:c>
      <x:c r="Q164" s="118" t="n">
        <x:v>0</x:v>
      </x:c>
      <x:c r="R164" s="118" t="n">
        <x:v>0</x:v>
      </x:c>
      <x:c r="S164" s="118" t="n">
        <x:v>0</x:v>
      </x:c>
      <x:c r="T164" s="118" t="n">
        <x:v>1</x:v>
      </x:c>
      <x:c r="U164" s="118" t="n">
        <x:v>0</x:v>
      </x:c>
      <x:c r="V164" s="118" t="n">
        <x:v>3</x:v>
      </x:c>
      <x:c r="W164" s="118" t="n">
        <x:v>0</x:v>
      </x:c>
      <x:c r="X164" s="118" t="n">
        <x:v>2</x:v>
      </x:c>
      <x:c r="Y164" s="118" t="n">
        <x:v>2</x:v>
      </x:c>
      <x:c r="Z164" s="118" t="n">
        <x:v>0</x:v>
      </x:c>
      <x:c r="AA164" s="118" t="n">
        <x:v>0</x:v>
      </x:c>
      <x:c r="AB164" s="118" t="n">
        <x:v>0</x:v>
      </x:c>
      <x:c r="AC164" s="118" t="n">
        <x:v>0</x:v>
      </x:c>
    </x:row>
    <x:row r="165" ht="46" customHeight="1">
      <x:c r="A165" s="117" t="str">
        <x:v>3005b000000LJQkAAO</x:v>
      </x:c>
      <x:c r="B165" s="117" t="str">
        <x:v>Create_Souring_from_Pricing</x:v>
      </x:c>
      <x:c r="C165" s="117" t="str">
        <x:v>Yes</x:v>
      </x:c>
      <x:c r="D165" s="119" t="str">
        <x:v>Active v29 (Retrieved XML)</x:v>
      </x:c>
      <x:c r="E165" s="119" t="str"/>
      <x:c r="F165" s="119" t="str">
        <x:v>Pricebook2, PricebookEntry, Pricing_Request__c, ServiceAppointment, Sourcing_Request_Item__c</x:v>
      </x:c>
      <x:c r="G165" s="119" t="str">
        <x:v>Condition_Requested__c, CurrencyIsoCode, Id, IsActive, IsStandard, Need_By_Date__c, Pricebook2Id, Pricing_Request__c, Product2Id, Product_Name__c, Requesting_Opportunity__c, Requesting_Work_Order__c, Service_Appointment__c, Sourcing_Notes__c, Status</x:v>
      </x:c>
      <x:c r="H165" s="119" t="str"/>
      <x:c r="I165" s="119" t="str"/>
      <x:c r="J165" s="119" t="str"/>
      <x:c r="K165" s="118" t="n">
        <x:v>12</x:v>
      </x:c>
      <x:c r="L165" s="118" t="n">
        <x:v>0</x:v>
      </x:c>
      <x:c r="M165" s="118" t="n">
        <x:v>0</x:v>
      </x:c>
      <x:c r="N165" s="118" t="n">
        <x:v>1</x:v>
      </x:c>
      <x:c r="O165" s="118" t="n">
        <x:v>0</x:v>
      </x:c>
      <x:c r="P165" s="118" t="n">
        <x:v>0</x:v>
      </x:c>
      <x:c r="Q165" s="118" t="n">
        <x:v>1</x:v>
      </x:c>
      <x:c r="R165" s="118" t="n">
        <x:v>0</x:v>
      </x:c>
      <x:c r="S165" s="118" t="n">
        <x:v>0</x:v>
      </x:c>
      <x:c r="T165" s="118" t="n">
        <x:v>1</x:v>
      </x:c>
      <x:c r="U165" s="118" t="n">
        <x:v>0</x:v>
      </x:c>
      <x:c r="V165" s="118" t="n">
        <x:v>4</x:v>
      </x:c>
      <x:c r="W165" s="118" t="n">
        <x:v>0</x:v>
      </x:c>
      <x:c r="X165" s="118" t="n">
        <x:v>2</x:v>
      </x:c>
      <x:c r="Y165" s="118" t="n">
        <x:v>2</x:v>
      </x:c>
      <x:c r="Z165" s="118" t="n">
        <x:v>0</x:v>
      </x:c>
      <x:c r="AA165" s="118" t="n">
        <x:v>0</x:v>
      </x:c>
      <x:c r="AB165" s="118" t="n">
        <x:v>0</x:v>
      </x:c>
      <x:c r="AC165" s="118" t="n">
        <x:v>0</x:v>
      </x:c>
    </x:row>
    <x:row r="166" ht="46" customHeight="1">
      <x:c r="A166" s="117" t="str">
        <x:v>300Ro00000UxU46IAF</x:v>
      </x:c>
      <x:c r="B166" s="117" t="str">
        <x:v>Create_Support_Engineer_Site_Visit</x:v>
      </x:c>
      <x:c r="C166" s="117" t="str">
        <x:v>Yes</x:v>
      </x:c>
      <x:c r="D166" s="119" t="str">
        <x:v>Active v5 (Retrieved XML)</x:v>
      </x:c>
      <x:c r="E166" s="119" t="str"/>
      <x:c r="F166" s="119" t="str">
        <x:v>ServiceAppointment</x:v>
      </x:c>
      <x:c r="G166" s="119" t="str">
        <x:v>Id</x:v>
      </x:c>
      <x:c r="H166" s="119" t="str"/>
      <x:c r="I166" s="119" t="str"/>
      <x:c r="J166" s="119" t="str">
        <x:v>flowruntime:lookup</x:v>
      </x:c>
      <x:c r="K166" s="118" t="n">
        <x:v>8</x:v>
      </x:c>
      <x:c r="L166" s="118" t="n">
        <x:v>0</x:v>
      </x:c>
      <x:c r="M166" s="118" t="n">
        <x:v>0</x:v>
      </x:c>
      <x:c r="N166" s="118" t="n">
        <x:v>2</x:v>
      </x:c>
      <x:c r="O166" s="118" t="n">
        <x:v>0</x:v>
      </x:c>
      <x:c r="P166" s="118" t="n">
        <x:v>0</x:v>
      </x:c>
      <x:c r="Q166" s="118" t="n">
        <x:v>0</x:v>
      </x:c>
      <x:c r="R166" s="118" t="n">
        <x:v>0</x:v>
      </x:c>
      <x:c r="S166" s="118" t="n">
        <x:v>0</x:v>
      </x:c>
      <x:c r="T166" s="118" t="n">
        <x:v>1</x:v>
      </x:c>
      <x:c r="U166" s="118" t="n">
        <x:v>0</x:v>
      </x:c>
      <x:c r="V166" s="118" t="n">
        <x:v>2</x:v>
      </x:c>
      <x:c r="W166" s="118" t="n">
        <x:v>0</x:v>
      </x:c>
      <x:c r="X166" s="118" t="n">
        <x:v>0</x:v>
      </x:c>
      <x:c r="Y166" s="118" t="n">
        <x:v>2</x:v>
      </x:c>
      <x:c r="Z166" s="118" t="n">
        <x:v>0</x:v>
      </x:c>
      <x:c r="AA166" s="118" t="n">
        <x:v>0</x:v>
      </x:c>
      <x:c r="AB166" s="118" t="n">
        <x:v>0</x:v>
      </x:c>
      <x:c r="AC166" s="118" t="n">
        <x:v>0</x:v>
      </x:c>
    </x:row>
    <x:row r="167" ht="46" customHeight="1">
      <x:c r="A167" s="117" t="str">
        <x:v>300Ro00000H90tUIAR</x:v>
      </x:c>
      <x:c r="B167" s="117" t="str">
        <x:v>Create_UK_FSL_Work_Order</x:v>
      </x:c>
      <x:c r="C167" s="117" t="str">
        <x:v>Yes</x:v>
      </x:c>
      <x:c r="D167" s="119" t="str">
        <x:v>Active v15 (Retrieved XML)</x:v>
      </x:c>
      <x:c r="E167" s="119" t="str"/>
      <x:c r="F167" s="119" t="str">
        <x:v>ContractLineItem, ServiceAppointment, WorkOrder</x:v>
      </x:c>
      <x:c r="G167" s="119" t="str">
        <x:v>AccountId, Appointment_Type__c, ArrivalWindowEndTime, ArrivalWindowStartTime, City, ContactId, Contract_Line_Item__c, Country, Description, DueDate, Duration, DurationType, EarliestStartTime, Id, Intended_Start_Date_Time__c, ParentRecordId, PostalCode, Priority, RecordTypeId, Reported_Symptoms__c, Reporter_Contact_Info__c, SchedEndTime, SchedStartTime, ServiceContractId, Ship_Type__c, StartDate, State, Status, Street, Subject, System_Serial_Number__c, Transducer_Serial_Numbers__c, Transducers__c, VAT_Exempt__c, WorkTypeId</x:v>
      </x:c>
      <x:c r="H167" s="119" t="str"/>
      <x:c r="I167" s="119" t="str"/>
      <x:c r="J167" s="119" t="str">
        <x:v>flowruntime:lookup</x:v>
      </x:c>
      <x:c r="K167" s="118" t="n">
        <x:v>17</x:v>
      </x:c>
      <x:c r="L167" s="118" t="n">
        <x:v>0</x:v>
      </x:c>
      <x:c r="M167" s="118" t="n">
        <x:v>0</x:v>
      </x:c>
      <x:c r="N167" s="118" t="n">
        <x:v>5</x:v>
      </x:c>
      <x:c r="O167" s="118" t="n">
        <x:v>0</x:v>
      </x:c>
      <x:c r="P167" s="118" t="n">
        <x:v>0</x:v>
      </x:c>
      <x:c r="Q167" s="118" t="n">
        <x:v>2</x:v>
      </x:c>
      <x:c r="R167" s="118" t="n">
        <x:v>0</x:v>
      </x:c>
      <x:c r="S167" s="118" t="n">
        <x:v>0</x:v>
      </x:c>
      <x:c r="T167" s="118" t="n">
        <x:v>4</x:v>
      </x:c>
      <x:c r="U167" s="118" t="n">
        <x:v>0</x:v>
      </x:c>
      <x:c r="V167" s="118" t="n">
        <x:v>3</x:v>
      </x:c>
      <x:c r="W167" s="118" t="n">
        <x:v>0</x:v>
      </x:c>
      <x:c r="X167" s="118" t="n">
        <x:v>0</x:v>
      </x:c>
      <x:c r="Y167" s="118" t="n">
        <x:v>2</x:v>
      </x:c>
      <x:c r="Z167" s="118" t="n">
        <x:v>0</x:v>
      </x:c>
      <x:c r="AA167" s="118" t="n">
        <x:v>0</x:v>
      </x:c>
      <x:c r="AB167" s="118" t="n">
        <x:v>0</x:v>
      </x:c>
      <x:c r="AC167" s="118" t="n">
        <x:v>0</x:v>
      </x:c>
    </x:row>
    <x:row r="168" ht="46" customHeight="1">
      <x:c r="A168" s="117" t="str">
        <x:v>300Ro000011vzqVIAQ</x:v>
      </x:c>
      <x:c r="B168" s="117" t="str">
        <x:v>Create_UK_Warehouse_Request_Teams_Case_Screen_Flow</x:v>
      </x:c>
      <x:c r="C168" s="117" t="str">
        <x:v>Yes</x:v>
      </x:c>
      <x:c r="D168" s="119" t="str">
        <x:v>Active v1 (Retrieved XML)</x:v>
      </x:c>
      <x:c r="E168" s="119" t="str"/>
      <x:c r="F168" s="119" t="str">
        <x:v>Case, ProductItem__c</x:v>
      </x:c>
      <x:c r="G168" s="119" t="str">
        <x:v>Asset2__c, Description, Id, OwnerId, RecordTypeId, Status, Subject, Type</x:v>
      </x:c>
      <x:c r="H168" s="119" t="str"/>
      <x:c r="I168" s="119" t="str"/>
      <x:c r="J168" s="119" t="str">
        <x:v>flowruntime:lookup</x:v>
      </x:c>
      <x:c r="K168" s="118" t="n">
        <x:v>4</x:v>
      </x:c>
      <x:c r="L168" s="118" t="n">
        <x:v>0</x:v>
      </x:c>
      <x:c r="M168" s="118" t="n">
        <x:v>0</x:v>
      </x:c>
      <x:c r="N168" s="118" t="n">
        <x:v>0</x:v>
      </x:c>
      <x:c r="O168" s="118" t="n">
        <x:v>0</x:v>
      </x:c>
      <x:c r="P168" s="118" t="n">
        <x:v>0</x:v>
      </x:c>
      <x:c r="Q168" s="118" t="n">
        <x:v>0</x:v>
      </x:c>
      <x:c r="R168" s="118" t="n">
        <x:v>0</x:v>
      </x:c>
      <x:c r="S168" s="118" t="n">
        <x:v>0</x:v>
      </x:c>
      <x:c r="T168" s="118" t="n">
        <x:v>1</x:v>
      </x:c>
      <x:c r="U168" s="118" t="n">
        <x:v>0</x:v>
      </x:c>
      <x:c r="V168" s="118" t="n">
        <x:v>1</x:v>
      </x:c>
      <x:c r="W168" s="118" t="n">
        <x:v>0</x:v>
      </x:c>
      <x:c r="X168" s="118" t="n">
        <x:v>0</x:v>
      </x:c>
      <x:c r="Y168" s="118" t="n">
        <x:v>1</x:v>
      </x:c>
      <x:c r="Z168" s="118" t="n">
        <x:v>0</x:v>
      </x:c>
      <x:c r="AA168" s="118" t="n">
        <x:v>0</x:v>
      </x:c>
      <x:c r="AB168" s="118" t="n">
        <x:v>0</x:v>
      </x:c>
      <x:c r="AC168" s="118" t="n">
        <x:v>0</x:v>
      </x:c>
    </x:row>
    <x:row r="169" ht="46" customHeight="1">
      <x:c r="A169" s="117" t="str">
        <x:v>300Ro00000cwVgiIAE</x:v>
      </x:c>
      <x:c r="B169" s="117" t="str">
        <x:v>Create_US_FSL_Work_Order</x:v>
      </x:c>
      <x:c r="C169" s="117" t="str">
        <x:v>Yes</x:v>
      </x:c>
      <x:c r="D169" s="119" t="str">
        <x:v>Active v1 (Retrieved XML)</x:v>
      </x:c>
      <x:c r="E169" s="119" t="str"/>
      <x:c r="F169" s="119" t="str">
        <x:v>ContractLineItem, ServiceAppointment, WorkOrder</x:v>
      </x:c>
      <x:c r="G169" s="119" t="str">
        <x:v>AccountId, Asset2__c, AssetId, City, ContactId, Contract_End_Date__c, Contract_Line_Item__c, Contract_Start_Date__c, Country, Description, DueDate, Duration, DurationType, EarliestStartTime, Id, OwnerId, ParentRecordId, PostalCode, Priority, RecordTypeId, Reporter_Contact_Info__c, ServiceContractId, ServiceTerritoryId, Service_Asset_Information__c, StartDate, State, Status, Street, Subject, System_Serial_Number__c, Transducer_Serial_Numbers__c, Transducers__c, WorkTypeId, Work_Order__c</x:v>
      </x:c>
      <x:c r="H169" s="119" t="str"/>
      <x:c r="I169" s="119" t="str"/>
      <x:c r="J169" s="119" t="str">
        <x:v>flowruntime:lookup</x:v>
      </x:c>
      <x:c r="K169" s="118" t="n">
        <x:v>7</x:v>
      </x:c>
      <x:c r="L169" s="118" t="n">
        <x:v>0</x:v>
      </x:c>
      <x:c r="M169" s="118" t="n">
        <x:v>0</x:v>
      </x:c>
      <x:c r="N169" s="118" t="n">
        <x:v>0</x:v>
      </x:c>
      <x:c r="O169" s="118" t="n">
        <x:v>0</x:v>
      </x:c>
      <x:c r="P169" s="118" t="n">
        <x:v>0</x:v>
      </x:c>
      <x:c r="Q169" s="118" t="n">
        <x:v>0</x:v>
      </x:c>
      <x:c r="R169" s="118" t="n">
        <x:v>0</x:v>
      </x:c>
      <x:c r="S169" s="118" t="n">
        <x:v>0</x:v>
      </x:c>
      <x:c r="T169" s="118" t="n">
        <x:v>2</x:v>
      </x:c>
      <x:c r="U169" s="118" t="n">
        <x:v>0</x:v>
      </x:c>
      <x:c r="V169" s="118" t="n">
        <x:v>2</x:v>
      </x:c>
      <x:c r="W169" s="118" t="n">
        <x:v>0</x:v>
      </x:c>
      <x:c r="X169" s="118" t="n">
        <x:v>0</x:v>
      </x:c>
      <x:c r="Y169" s="118" t="n">
        <x:v>2</x:v>
      </x:c>
      <x:c r="Z169" s="118" t="n">
        <x:v>0</x:v>
      </x:c>
      <x:c r="AA169" s="118" t="n">
        <x:v>0</x:v>
      </x:c>
      <x:c r="AB169" s="118" t="n">
        <x:v>0</x:v>
      </x:c>
      <x:c r="AC169" s="118" t="n">
        <x:v>0</x:v>
      </x:c>
    </x:row>
    <x:row r="170" ht="46" customHeight="1">
      <x:c r="A170" s="117" t="str">
        <x:v>300Ro00000cwVgjIAE</x:v>
      </x:c>
      <x:c r="B170" s="117" t="str">
        <x:v>Create_US_FSL_Work_Order_From_Service_Asset</x:v>
      </x:c>
      <x:c r="C170" s="117" t="str">
        <x:v>Yes</x:v>
      </x:c>
      <x:c r="D170" s="119" t="str">
        <x:v>Active v1 (Retrieved XML)</x:v>
      </x:c>
      <x:c r="E170" s="119" t="str"/>
      <x:c r="F170" s="119" t="str">
        <x:v>Asset, ServiceAppointment, UserRole, WorkOrder</x:v>
      </x:c>
      <x:c r="G170" s="119" t="str">
        <x:v>AccountId, Asset2__c, AssetId, City, ContactId, Country, Description, DueDate, Duration, DurationType, EarliestStartTime, Id, Name, OwnerId, ParentRecordId, PostalCode, Priority, RecordTypeId, Reporter_Contact_Info__c, ServiceTerritoryId, Service_Order_Type__c, StartDate, State, Status, Street, Subject, System_Serial_Number__c, WorkTypeId, Work_Order__c</x:v>
      </x:c>
      <x:c r="H170" s="119" t="str"/>
      <x:c r="I170" s="119" t="str"/>
      <x:c r="J170" s="119" t="str">
        <x:v>flowruntime:address, flowruntime:lookup</x:v>
      </x:c>
      <x:c r="K170" s="118" t="n">
        <x:v>8</x:v>
      </x:c>
      <x:c r="L170" s="118" t="n">
        <x:v>0</x:v>
      </x:c>
      <x:c r="M170" s="118" t="n">
        <x:v>0</x:v>
      </x:c>
      <x:c r="N170" s="118" t="n">
        <x:v>0</x:v>
      </x:c>
      <x:c r="O170" s="118" t="n">
        <x:v>0</x:v>
      </x:c>
      <x:c r="P170" s="118" t="n">
        <x:v>0</x:v>
      </x:c>
      <x:c r="Q170" s="118" t="n">
        <x:v>0</x:v>
      </x:c>
      <x:c r="R170" s="118" t="n">
        <x:v>0</x:v>
      </x:c>
      <x:c r="S170" s="118" t="n">
        <x:v>0</x:v>
      </x:c>
      <x:c r="T170" s="118" t="n">
        <x:v>2</x:v>
      </x:c>
      <x:c r="U170" s="118" t="n">
        <x:v>0</x:v>
      </x:c>
      <x:c r="V170" s="118" t="n">
        <x:v>3</x:v>
      </x:c>
      <x:c r="W170" s="118" t="n">
        <x:v>0</x:v>
      </x:c>
      <x:c r="X170" s="118" t="n">
        <x:v>0</x:v>
      </x:c>
      <x:c r="Y170" s="118" t="n">
        <x:v>2</x:v>
      </x:c>
      <x:c r="Z170" s="118" t="n">
        <x:v>0</x:v>
      </x:c>
      <x:c r="AA170" s="118" t="n">
        <x:v>0</x:v>
      </x:c>
      <x:c r="AB170" s="118" t="n">
        <x:v>0</x:v>
      </x:c>
      <x:c r="AC170" s="118" t="n">
        <x:v>0</x:v>
      </x:c>
    </x:row>
    <x:row r="171" ht="46" customHeight="1">
      <x:c r="A171" s="117" t="str">
        <x:v>3004O000000XhBDQA0</x:v>
      </x:c>
      <x:c r="B171" s="117" t="str">
        <x:v>Create_Warranty</x:v>
      </x:c>
      <x:c r="C171" s="117" t="str">
        <x:v>No</x:v>
      </x:c>
      <x:c r="D171" s="119" t="str">
        <x:v>Latest inactive v1 (Retrieved XML)</x:v>
      </x:c>
      <x:c r="E171" s="119" t="str"/>
      <x:c r="F171" s="119" t="str">
        <x:v>Opportunity, OpportunityLineItem, Warranty_Products__c, Warranty__c</x:v>
      </x:c>
      <x:c r="G171" s="119" t="str">
        <x:v>Activation_Date__c, Id, Name, OpportunityId, Opportunity__c, Term_Length__c</x:v>
      </x:c>
      <x:c r="H171" s="119" t="str"/>
      <x:c r="I171" s="119" t="str"/>
      <x:c r="J171" s="119" t="str">
        <x:v>flowruntime:toggle</x:v>
      </x:c>
      <x:c r="K171" s="118" t="n">
        <x:v>16</x:v>
      </x:c>
      <x:c r="L171" s="118" t="n">
        <x:v>0</x:v>
      </x:c>
      <x:c r="M171" s="118" t="n">
        <x:v>0</x:v>
      </x:c>
      <x:c r="N171" s="118" t="n">
        <x:v>2</x:v>
      </x:c>
      <x:c r="O171" s="118" t="n">
        <x:v>0</x:v>
      </x:c>
      <x:c r="P171" s="118" t="n">
        <x:v>0</x:v>
      </x:c>
      <x:c r="Q171" s="118" t="n">
        <x:v>2</x:v>
      </x:c>
      <x:c r="R171" s="118" t="n">
        <x:v>1</x:v>
      </x:c>
      <x:c r="S171" s="118" t="n">
        <x:v>0</x:v>
      </x:c>
      <x:c r="T171" s="118" t="n">
        <x:v>2</x:v>
      </x:c>
      <x:c r="U171" s="118" t="n">
        <x:v>0</x:v>
      </x:c>
      <x:c r="V171" s="118" t="n">
        <x:v>3</x:v>
      </x:c>
      <x:c r="W171" s="118" t="n">
        <x:v>0</x:v>
      </x:c>
      <x:c r="X171" s="118" t="n">
        <x:v>0</x:v>
      </x:c>
      <x:c r="Y171" s="118" t="n">
        <x:v>5</x:v>
      </x:c>
      <x:c r="Z171" s="118" t="n">
        <x:v>0</x:v>
      </x:c>
      <x:c r="AA171" s="118" t="n">
        <x:v>0</x:v>
      </x:c>
      <x:c r="AB171" s="118" t="n">
        <x:v>0</x:v>
      </x:c>
      <x:c r="AC171" s="118" t="n">
        <x:v>0</x:v>
      </x:c>
    </x:row>
    <x:row r="172" ht="46" customHeight="1">
      <x:c r="A172" s="117" t="str">
        <x:v>3004O000000XhBEQA0</x:v>
      </x:c>
      <x:c r="B172" s="117" t="str">
        <x:v>Create_Warranty_Auto</x:v>
      </x:c>
      <x:c r="C172" s="117" t="str">
        <x:v>No</x:v>
      </x:c>
      <x:c r="D172" s="119" t="str">
        <x:v>Latest inactive v1 (Retrieved XML)</x:v>
      </x:c>
      <x:c r="E172" s="119" t="str"/>
      <x:c r="F172" s="119" t="str">
        <x:v>Opportunity, OpportunityLineItem, Warranty_Products__c, Warranty__c</x:v>
      </x:c>
      <x:c r="G172" s="119" t="str">
        <x:v>Account_Name__c, Activation_Date__c, Expiration_Date__c, Id, More_than_1_Warranty__c, Name, OpportunityId, Opportunity__c, Status__c, Term_Length__c</x:v>
      </x:c>
      <x:c r="H172" s="119" t="str"/>
      <x:c r="I172" s="119" t="str"/>
      <x:c r="J172" s="119" t="str"/>
      <x:c r="K172" s="118" t="n">
        <x:v>17</x:v>
      </x:c>
      <x:c r="L172" s="118" t="n">
        <x:v>0</x:v>
      </x:c>
      <x:c r="M172" s="118" t="n">
        <x:v>0</x:v>
      </x:c>
      <x:c r="N172" s="118" t="n">
        <x:v>3</x:v>
      </x:c>
      <x:c r="O172" s="118" t="n">
        <x:v>0</x:v>
      </x:c>
      <x:c r="P172" s="118" t="n">
        <x:v>0</x:v>
      </x:c>
      <x:c r="Q172" s="118" t="n">
        <x:v>4</x:v>
      </x:c>
      <x:c r="R172" s="118" t="n">
        <x:v>3</x:v>
      </x:c>
      <x:c r="S172" s="118" t="n">
        <x:v>0</x:v>
      </x:c>
      <x:c r="T172" s="118" t="n">
        <x:v>2</x:v>
      </x:c>
      <x:c r="U172" s="118" t="n">
        <x:v>0</x:v>
      </x:c>
      <x:c r="V172" s="118" t="n">
        <x:v>3</x:v>
      </x:c>
      <x:c r="W172" s="118" t="n">
        <x:v>0</x:v>
      </x:c>
      <x:c r="X172" s="118" t="n">
        <x:v>1</x:v>
      </x:c>
      <x:c r="Y172" s="118" t="n">
        <x:v>0</x:v>
      </x:c>
      <x:c r="Z172" s="118" t="n">
        <x:v>0</x:v>
      </x:c>
      <x:c r="AA172" s="118" t="n">
        <x:v>0</x:v>
      </x:c>
      <x:c r="AB172" s="118" t="n">
        <x:v>0</x:v>
      </x:c>
      <x:c r="AC172" s="118" t="n">
        <x:v>0</x:v>
      </x:c>
    </x:row>
    <x:row r="173" ht="46" customHeight="1">
      <x:c r="A173" s="117" t="str">
        <x:v>3004O000000XhBFQA0</x:v>
      </x:c>
      <x:c r="B173" s="117" t="str">
        <x:v>Create_Warranty_Claim</x:v>
      </x:c>
      <x:c r="C173" s="117" t="str">
        <x:v>No</x:v>
      </x:c>
      <x:c r="D173" s="119" t="str">
        <x:v>Latest inactive v1 (Retrieved XML)</x:v>
      </x:c>
      <x:c r="E173" s="119" t="str"/>
      <x:c r="F173" s="119" t="str">
        <x:v>RMA__c, RecordType, Warranty_Claim__c, Warranty_Products__c, Warranty__c</x:v>
      </x:c>
      <x:c r="G173" s="119" t="str">
        <x:v>Account__c, Claim_Status__c, Id, Name, Opportunity__c, ProductItem__c, Quality_Issue_Notes__c, Quality_Issue_Reported__c, RMA_Item_Serial_Number__c, RecordTypeId, SobjectType, Warranty_Claim__c, Warranty__c</x:v>
      </x:c>
      <x:c r="H173" s="119" t="str"/>
      <x:c r="I173" s="119" t="str"/>
      <x:c r="J173" s="119" t="str"/>
      <x:c r="K173" s="118" t="n">
        <x:v>20</x:v>
      </x:c>
      <x:c r="L173" s="118" t="n">
        <x:v>0</x:v>
      </x:c>
      <x:c r="M173" s="118" t="n">
        <x:v>0</x:v>
      </x:c>
      <x:c r="N173" s="118" t="n">
        <x:v>0</x:v>
      </x:c>
      <x:c r="O173" s="118" t="n">
        <x:v>0</x:v>
      </x:c>
      <x:c r="P173" s="118" t="n">
        <x:v>0</x:v>
      </x:c>
      <x:c r="Q173" s="118" t="n">
        <x:v>1</x:v>
      </x:c>
      <x:c r="R173" s="118" t="n">
        <x:v>0</x:v>
      </x:c>
      <x:c r="S173" s="118" t="n">
        <x:v>0</x:v>
      </x:c>
      <x:c r="T173" s="118" t="n">
        <x:v>6</x:v>
      </x:c>
      <x:c r="U173" s="118" t="n">
        <x:v>0</x:v>
      </x:c>
      <x:c r="V173" s="118" t="n">
        <x:v>5</x:v>
      </x:c>
      <x:c r="W173" s="118" t="n">
        <x:v>0</x:v>
      </x:c>
      <x:c r="X173" s="118" t="n">
        <x:v>0</x:v>
      </x:c>
      <x:c r="Y173" s="118" t="n">
        <x:v>7</x:v>
      </x:c>
      <x:c r="Z173" s="118" t="n">
        <x:v>0</x:v>
      </x:c>
      <x:c r="AA173" s="118" t="n">
        <x:v>0</x:v>
      </x:c>
      <x:c r="AB173" s="118" t="n">
        <x:v>0</x:v>
      </x:c>
      <x:c r="AC173" s="118" t="n">
        <x:v>0</x:v>
      </x:c>
    </x:row>
    <x:row r="174" ht="46" customHeight="1">
      <x:c r="A174" s="117" t="str">
        <x:v>3005b000000H3dpAAC</x:v>
      </x:c>
      <x:c r="B174" s="117" t="str">
        <x:v>Create_Work_Order_From_Contract_Line_Item</x:v>
      </x:c>
      <x:c r="C174" s="117" t="str">
        <x:v>Yes</x:v>
      </x:c>
      <x:c r="D174" s="119" t="str">
        <x:v>Active v8 (Retrieved XML)</x:v>
      </x:c>
      <x:c r="E174" s="119" t="str"/>
      <x:c r="F174" s="119" t="str">
        <x:v>ContractLineItem, RecordType, WorkOrder</x:v>
      </x:c>
      <x:c r="G174" s="119" t="str">
        <x:v>AccountId, Booked_With__c, Classification__c, Contract_Line_Item__c, CurrencyIsoCode, Id, IsActive, Next_Service_Date__c, Opportunity__c, RecordTypeId, Reported_Symptoms__c, ServiceContractId, Shipping_City__c, Shipping_FROM_Location__c, Shipping_Postal_Code__c, Shipping_Street__c, SobjectType, StartDate, Status, Tech_Support_Engineer__c</x:v>
      </x:c>
      <x:c r="H174" s="119" t="str"/>
      <x:c r="I174" s="119" t="str"/>
      <x:c r="J174" s="119" t="str"/>
      <x:c r="K174" s="118" t="n">
        <x:v>5</x:v>
      </x:c>
      <x:c r="L174" s="118" t="n">
        <x:v>0</x:v>
      </x:c>
      <x:c r="M174" s="118" t="n">
        <x:v>0</x:v>
      </x:c>
      <x:c r="N174" s="118" t="n">
        <x:v>0</x:v>
      </x:c>
      <x:c r="O174" s="118" t="n">
        <x:v>0</x:v>
      </x:c>
      <x:c r="P174" s="118" t="n">
        <x:v>0</x:v>
      </x:c>
      <x:c r="Q174" s="118" t="n">
        <x:v>0</x:v>
      </x:c>
      <x:c r="R174" s="118" t="n">
        <x:v>0</x:v>
      </x:c>
      <x:c r="S174" s="118" t="n">
        <x:v>0</x:v>
      </x:c>
      <x:c r="T174" s="118" t="n">
        <x:v>1</x:v>
      </x:c>
      <x:c r="U174" s="118" t="n">
        <x:v>0</x:v>
      </x:c>
      <x:c r="V174" s="118" t="n">
        <x:v>2</x:v>
      </x:c>
      <x:c r="W174" s="118" t="n">
        <x:v>0</x:v>
      </x:c>
      <x:c r="X174" s="118" t="n">
        <x:v>0</x:v>
      </x:c>
      <x:c r="Y174" s="118" t="n">
        <x:v>1</x:v>
      </x:c>
      <x:c r="Z174" s="118" t="n">
        <x:v>0</x:v>
      </x:c>
      <x:c r="AA174" s="118" t="n">
        <x:v>0</x:v>
      </x:c>
      <x:c r="AB174" s="118" t="n">
        <x:v>0</x:v>
      </x:c>
      <x:c r="AC174" s="118" t="n">
        <x:v>0</x:v>
      </x:c>
    </x:row>
    <x:row r="175" ht="46" customHeight="1">
      <x:c r="A175" s="117" t="str">
        <x:v>3005b000000Pzy0AAC</x:v>
      </x:c>
      <x:c r="B175" s="117" t="str">
        <x:v>Create_Work_Order_from_KloudGin_Case</x:v>
      </x:c>
      <x:c r="C175" s="117" t="str">
        <x:v>Yes</x:v>
      </x:c>
      <x:c r="D175" s="119" t="str">
        <x:v>Active v7 (Retrieved XML)</x:v>
      </x:c>
      <x:c r="E175" s="119" t="str"/>
      <x:c r="F175" s="119" t="str">
        <x:v>Case, RecordType, WorkOrder</x:v>
      </x:c>
      <x:c r="G175" s="119" t="str">
        <x:v>AccountId, CaseId, Field_Service_Engineer__c, Id, Opportunity__c, RecordTypeId, ServiceContractId, Shipping_City__c, Shipping_Country__c, Shipping_FROM_Location__c, Shipping_Postal_Code__c, Shipping_State__c, Shipping_Street__c, SobjectType, Status, Work_Order_Notes__c, Work_Order__c</x:v>
      </x:c>
      <x:c r="H175" s="119" t="str"/>
      <x:c r="I175" s="119" t="str"/>
      <x:c r="J175" s="119" t="str">
        <x:v>flowruntime:lookup</x:v>
      </x:c>
      <x:c r="K175" s="118" t="n">
        <x:v>6</x:v>
      </x:c>
      <x:c r="L175" s="118" t="n">
        <x:v>0</x:v>
      </x:c>
      <x:c r="M175" s="118" t="n">
        <x:v>0</x:v>
      </x:c>
      <x:c r="N175" s="118" t="n">
        <x:v>0</x:v>
      </x:c>
      <x:c r="O175" s="118" t="n">
        <x:v>0</x:v>
      </x:c>
      <x:c r="P175" s="118" t="n">
        <x:v>0</x:v>
      </x:c>
      <x:c r="Q175" s="118" t="n">
        <x:v>0</x:v>
      </x:c>
      <x:c r="R175" s="118" t="n">
        <x:v>0</x:v>
      </x:c>
      <x:c r="S175" s="118" t="n">
        <x:v>0</x:v>
      </x:c>
      <x:c r="T175" s="118" t="n">
        <x:v>1</x:v>
      </x:c>
      <x:c r="U175" s="118" t="n">
        <x:v>0</x:v>
      </x:c>
      <x:c r="V175" s="118" t="n">
        <x:v>2</x:v>
      </x:c>
      <x:c r="W175" s="118" t="n">
        <x:v>0</x:v>
      </x:c>
      <x:c r="X175" s="118" t="n">
        <x:v>1</x:v>
      </x:c>
      <x:c r="Y175" s="118" t="n">
        <x:v>1</x:v>
      </x:c>
      <x:c r="Z175" s="118" t="n">
        <x:v>0</x:v>
      </x:c>
      <x:c r="AA175" s="118" t="n">
        <x:v>0</x:v>
      </x:c>
      <x:c r="AB175" s="118" t="n">
        <x:v>0</x:v>
      </x:c>
      <x:c r="AC175" s="118" t="n">
        <x:v>0</x:v>
      </x:c>
    </x:row>
    <x:row r="176" ht="46" customHeight="1">
      <x:c r="A176" s="117" t="str">
        <x:v>300Ro0000143LOUIA2</x:v>
      </x:c>
      <x:c r="B176" s="117" t="str">
        <x:v>Create_Work_Order_from_Service_Asset</x:v>
      </x:c>
      <x:c r="C176" s="117" t="str">
        <x:v>Yes</x:v>
      </x:c>
      <x:c r="D176" s="119" t="str">
        <x:v>Active v7 (Retrieved XML)</x:v>
      </x:c>
      <x:c r="E176" s="119" t="str"/>
      <x:c r="F176" s="119" t="str">
        <x:v>Asset, RecordType, WorkOrder</x:v>
      </x:c>
      <x:c r="G176" s="119" t="str">
        <x:v>Id, SobjectType</x:v>
      </x:c>
      <x:c r="H176" s="119" t="str"/>
      <x:c r="I176" s="119" t="str"/>
      <x:c r="J176" s="119" t="str">
        <x:v>flowruntime:address</x:v>
      </x:c>
      <x:c r="K176" s="118" t="n">
        <x:v>9</x:v>
      </x:c>
      <x:c r="L176" s="118" t="n">
        <x:v>0</x:v>
      </x:c>
      <x:c r="M176" s="118" t="n">
        <x:v>0</x:v>
      </x:c>
      <x:c r="N176" s="118" t="n">
        <x:v>2</x:v>
      </x:c>
      <x:c r="O176" s="118" t="n">
        <x:v>0</x:v>
      </x:c>
      <x:c r="P176" s="118" t="n">
        <x:v>0</x:v>
      </x:c>
      <x:c r="Q176" s="118" t="n">
        <x:v>0</x:v>
      </x:c>
      <x:c r="R176" s="118" t="n">
        <x:v>0</x:v>
      </x:c>
      <x:c r="S176" s="118" t="n">
        <x:v>0</x:v>
      </x:c>
      <x:c r="T176" s="118" t="n">
        <x:v>1</x:v>
      </x:c>
      <x:c r="U176" s="118" t="n">
        <x:v>0</x:v>
      </x:c>
      <x:c r="V176" s="118" t="n">
        <x:v>2</x:v>
      </x:c>
      <x:c r="W176" s="118" t="n">
        <x:v>0</x:v>
      </x:c>
      <x:c r="X176" s="118" t="n">
        <x:v>0</x:v>
      </x:c>
      <x:c r="Y176" s="118" t="n">
        <x:v>3</x:v>
      </x:c>
      <x:c r="Z176" s="118" t="n">
        <x:v>0</x:v>
      </x:c>
      <x:c r="AA176" s="118" t="n">
        <x:v>0</x:v>
      </x:c>
      <x:c r="AB176" s="118" t="n">
        <x:v>0</x:v>
      </x:c>
      <x:c r="AC176" s="118" t="n">
        <x:v>0</x:v>
      </x:c>
    </x:row>
    <x:row r="177" ht="46" customHeight="1">
      <x:c r="A177" s="117" t="str">
        <x:v>300Ro00000aDxwqIAC</x:v>
      </x:c>
      <x:c r="B177" s="117" t="str">
        <x:v>Create_Work_Orders_from_Contract_Renewal</x:v>
      </x:c>
      <x:c r="C177" s="117" t="str">
        <x:v>Yes</x:v>
      </x:c>
      <x:c r="D177" s="119" t="str">
        <x:v>Active v10 (Tooling metadata)</x:v>
      </x:c>
      <x:c r="E177" s="119" t="str">
        <x:v>Ready_to_Generate_Work_Orders__c EqualTo stringValue=; booleanValue=True; numberValue=; dateValue=; dateTimeValue=; elementReference=</x:v>
      </x:c>
      <x:c r="F177" s="119" t="str">
        <x:v>ContractLineItem, ServiceAppointment, ServiceContract, WorkOrder</x:v>
      </x:c>
      <x:c r="G177" s="119" t="str">
        <x:v>AccountId, BillingCity, BillingPostalCode, BillingStreet, Contract_Length_Months__c, CurrencyIsoCode, Id, Opportunity__r, Ready_to_Generate_Work_Orders__c, ServiceContractId, ShippingCity, ShippingCountry, ShippingPostalCode, ShippingStreet, Work_Orders_Generated__c</x:v>
      </x:c>
      <x:c r="H177" s="119" t="str"/>
      <x:c r="I177" s="119" t="str"/>
      <x:c r="J177" s="119" t="str"/>
      <x:c r="K177" s="118" t="n">
        <x:v>18</x:v>
      </x:c>
      <x:c r="L177" s="118" t="n">
        <x:v>0</x:v>
      </x:c>
      <x:c r="M177" s="118" t="n">
        <x:v>0</x:v>
      </x:c>
      <x:c r="N177" s="118" t="n">
        <x:v>9</x:v>
      </x:c>
      <x:c r="O177" s="118" t="n">
        <x:v>0</x:v>
      </x:c>
      <x:c r="P177" s="118" t="n">
        <x:v>0</x:v>
      </x:c>
      <x:c r="Q177" s="118" t="n">
        <x:v>2</x:v>
      </x:c>
      <x:c r="R177" s="118" t="n">
        <x:v>2</x:v>
      </x:c>
      <x:c r="S177" s="118" t="n">
        <x:v>0</x:v>
      </x:c>
      <x:c r="T177" s="118" t="n">
        <x:v>2</x:v>
      </x:c>
      <x:c r="U177" s="118" t="n">
        <x:v>0</x:v>
      </x:c>
      <x:c r="V177" s="118" t="n">
        <x:v>1</x:v>
      </x:c>
      <x:c r="W177" s="118" t="n">
        <x:v>0</x:v>
      </x:c>
      <x:c r="X177" s="118" t="n">
        <x:v>1</x:v>
      </x:c>
      <x:c r="Y177" s="118" t="n">
        <x:v>0</x:v>
      </x:c>
      <x:c r="Z177" s="118" t="n">
        <x:v>0</x:v>
      </x:c>
      <x:c r="AA177" s="118" t="n">
        <x:v>0</x:v>
      </x:c>
      <x:c r="AB177" s="118" t="n">
        <x:v>0</x:v>
      </x:c>
      <x:c r="AC177" s="118" t="n">
        <x:v>0</x:v>
      </x:c>
    </x:row>
    <x:row r="178" ht="46" customHeight="1">
      <x:c r="A178" s="117" t="str">
        <x:v>3005b000000LHN0AAO</x:v>
      </x:c>
      <x:c r="B178" s="117" t="str">
        <x:v>CreateRenewalContractFromExistingUK_BETA</x:v>
      </x:c>
      <x:c r="C178" s="117" t="str">
        <x:v>No</x:v>
      </x:c>
      <x:c r="D178" s="119" t="str">
        <x:v>Latest inactive v1 (Retrieved XML)</x:v>
      </x:c>
      <x:c r="E178" s="119" t="str"/>
      <x:c r="F178" s="119" t="str">
        <x:v>ContractLineItem, Entitlement, ServiceContract, WorkOrder</x:v>
      </x:c>
      <x:c r="G178" s="119" t="str">
        <x:v>AccountId, Accounting_Email__c, Accounting_Name__c, Accounting_Phone__c, BillingCity, BillingCountry, BillingPostalCode, BillingStreet, Billing_Notes__c, Business_Sector__c, CasesPerEntitlement, ContactId, Contact__c, ContractLineItemId, Contract_Billing__c, Contract_Purchaser__c, Coverage_Level__c, Coverage_Type__c, CurrencyIsoCode, Department__c, Details__c, EndDate, Engineer_Notes__c, Id, Installation_Date__c, Invoice_Amount__c, IsPerIncident, Location_of_Equipment__c, MIUS_Serial_Number__c, Modalities__c, Modality__c, Name, Next_Invoice_Date__c, Number_of_PMs__c, Number_of_Probe_Replacements__c, Opportunity__c, OwnerId, Pricebook2Id, PricebookEntryId, Quantity, Quote_Reference__c, RecordTypeId, RemainingCases, ServiceContractId, ShippingCity, ShippingCountry, ShippingPostalCode, ShippingState, ShippingStreet, StartDate, Subcontracted_Through__c, Subcontracted__c, System_Serial_Number__c, Term, Terms__c, Transducer_Serial__c, Transducers__c, Trust_Group__c, Type, UnitPrice</x:v>
      </x:c>
      <x:c r="H178" s="119" t="str"/>
      <x:c r="I178" s="119" t="str"/>
      <x:c r="J178" s="119" t="str">
        <x:v>flowruntime:datatable, flowruntime:lookup, forceContent:fileUpload</x:v>
      </x:c>
      <x:c r="K178" s="118" t="n">
        <x:v>24</x:v>
      </x:c>
      <x:c r="L178" s="118" t="n">
        <x:v>0</x:v>
      </x:c>
      <x:c r="M178" s="118" t="n">
        <x:v>0</x:v>
      </x:c>
      <x:c r="N178" s="118" t="n">
        <x:v>6</x:v>
      </x:c>
      <x:c r="O178" s="118" t="n">
        <x:v>0</x:v>
      </x:c>
      <x:c r="P178" s="118" t="n">
        <x:v>0</x:v>
      </x:c>
      <x:c r="Q178" s="118" t="n">
        <x:v>5</x:v>
      </x:c>
      <x:c r="R178" s="118" t="n">
        <x:v>2</x:v>
      </x:c>
      <x:c r="S178" s="118" t="n">
        <x:v>0</x:v>
      </x:c>
      <x:c r="T178" s="118" t="n">
        <x:v>5</x:v>
      </x:c>
      <x:c r="U178" s="118" t="n">
        <x:v>0</x:v>
      </x:c>
      <x:c r="V178" s="118" t="n">
        <x:v>2</x:v>
      </x:c>
      <x:c r="W178" s="118" t="n">
        <x:v>0</x:v>
      </x:c>
      <x:c r="X178" s="118" t="n">
        <x:v>0</x:v>
      </x:c>
      <x:c r="Y178" s="118" t="n">
        <x:v>3</x:v>
      </x:c>
      <x:c r="Z178" s="118" t="n">
        <x:v>0</x:v>
      </x:c>
      <x:c r="AA178" s="118" t="n">
        <x:v>0</x:v>
      </x:c>
      <x:c r="AB178" s="118" t="n">
        <x:v>0</x:v>
      </x:c>
      <x:c r="AC178" s="118" t="n">
        <x:v>0</x:v>
      </x:c>
    </x:row>
    <x:row r="179" ht="46" customHeight="1">
      <x:c r="A179" s="117" t="str">
        <x:v>3004O0000000ZxZQAU</x:v>
      </x:c>
      <x:c r="B179" s="117" t="str">
        <x:v>Credit_Approval_Process</x:v>
      </x:c>
      <x:c r="C179" s="117" t="str">
        <x:v>Yes</x:v>
      </x:c>
      <x:c r="D179" s="119" t="str">
        <x:v>Active v2 (Retrieved XML)</x:v>
      </x:c>
      <x:c r="E179" s="119" t="str"/>
      <x:c r="F179" s="119" t="str">
        <x:v>Account</x:v>
      </x:c>
      <x:c r="G179" s="119" t="str">
        <x:v>Credit_Application_Received__c, Id</x:v>
      </x:c>
      <x:c r="H179" s="119" t="str">
        <x:v>submit</x:v>
      </x:c>
      <x:c r="I179" s="119" t="str"/>
      <x:c r="J179" s="119" t="str">
        <x:v>forceContent:fileUpload</x:v>
      </x:c>
      <x:c r="K179" s="118" t="n">
        <x:v>5</x:v>
      </x:c>
      <x:c r="L179" s="118" t="n">
        <x:v>1</x:v>
      </x:c>
      <x:c r="M179" s="118" t="n">
        <x:v>0</x:v>
      </x:c>
      <x:c r="N179" s="118" t="n">
        <x:v>0</x:v>
      </x:c>
      <x:c r="O179" s="118" t="n">
        <x:v>0</x:v>
      </x:c>
      <x:c r="P179" s="118" t="n">
        <x:v>0</x:v>
      </x:c>
      <x:c r="Q179" s="118" t="n">
        <x:v>0</x:v>
      </x:c>
      <x:c r="R179" s="118" t="n">
        <x:v>0</x:v>
      </x:c>
      <x:c r="S179" s="118" t="n">
        <x:v>0</x:v>
      </x:c>
      <x:c r="T179" s="118" t="n">
        <x:v>0</x:v>
      </x:c>
      <x:c r="U179" s="118" t="n">
        <x:v>0</x:v>
      </x:c>
      <x:c r="V179" s="118" t="n">
        <x:v>0</x:v>
      </x:c>
      <x:c r="W179" s="118" t="n">
        <x:v>0</x:v>
      </x:c>
      <x:c r="X179" s="118" t="n">
        <x:v>1</x:v>
      </x:c>
      <x:c r="Y179" s="118" t="n">
        <x:v>2</x:v>
      </x:c>
      <x:c r="Z179" s="118" t="n">
        <x:v>0</x:v>
      </x:c>
      <x:c r="AA179" s="118" t="n">
        <x:v>0</x:v>
      </x:c>
      <x:c r="AB179" s="118" t="n">
        <x:v>0</x:v>
      </x:c>
      <x:c r="AC179" s="118" t="n">
        <x:v>0</x:v>
      </x:c>
    </x:row>
    <x:row r="180" ht="46" customHeight="1">
      <x:c r="A180" s="117" t="str">
        <x:v>3004O000000LOr7QAG</x:v>
      </x:c>
      <x:c r="B180" s="117" t="str">
        <x:v>Credit_Memo</x:v>
      </x:c>
      <x:c r="C180" s="117" t="str">
        <x:v>No</x:v>
      </x:c>
      <x:c r="D180" s="119" t="str">
        <x:v>Latest inactive v17 (Retrieved XML)</x:v>
      </x:c>
      <x:c r="E180" s="119" t="str"/>
      <x:c r="F180" s="119" t="str">
        <x:v>Credit_Memo__c, Invoice__c, Opportunity, RMA__c</x:v>
      </x:c>
      <x:c r="G180" s="119" t="str">
        <x:v>Applied_to_Invoice__c, Credit_Memo_Asset__c, Credit_Memo_Number__c, Credit_Memo__c, Id, Opportunity__c, Total_Paid_Amount__c</x:v>
      </x:c>
      <x:c r="H180" s="119" t="str">
        <x:v>submit</x:v>
      </x:c>
      <x:c r="I180" s="119" t="str"/>
      <x:c r="J180" s="119" t="str"/>
      <x:c r="K180" s="118" t="n">
        <x:v>17</x:v>
      </x:c>
      <x:c r="L180" s="118" t="n">
        <x:v>2</x:v>
      </x:c>
      <x:c r="M180" s="118" t="n">
        <x:v>0</x:v>
      </x:c>
      <x:c r="N180" s="118" t="n">
        <x:v>0</x:v>
      </x:c>
      <x:c r="O180" s="118" t="n">
        <x:v>0</x:v>
      </x:c>
      <x:c r="P180" s="118" t="n">
        <x:v>0</x:v>
      </x:c>
      <x:c r="Q180" s="118" t="n">
        <x:v>7</x:v>
      </x:c>
      <x:c r="R180" s="118" t="n">
        <x:v>0</x:v>
      </x:c>
      <x:c r="S180" s="118" t="n">
        <x:v>0</x:v>
      </x:c>
      <x:c r="T180" s="118" t="n">
        <x:v>0</x:v>
      </x:c>
      <x:c r="U180" s="118" t="n">
        <x:v>0</x:v>
      </x:c>
      <x:c r="V180" s="118" t="n">
        <x:v>0</x:v>
      </x:c>
      <x:c r="W180" s="118" t="n">
        <x:v>0</x:v>
      </x:c>
      <x:c r="X180" s="118" t="n">
        <x:v>8</x:v>
      </x:c>
      <x:c r="Y180" s="118" t="n">
        <x:v>0</x:v>
      </x:c>
      <x:c r="Z180" s="118" t="n">
        <x:v>0</x:v>
      </x:c>
      <x:c r="AA180" s="118" t="n">
        <x:v>0</x:v>
      </x:c>
      <x:c r="AB180" s="118" t="n">
        <x:v>0</x:v>
      </x:c>
      <x:c r="AC180" s="118" t="n">
        <x:v>0</x:v>
      </x:c>
    </x:row>
    <x:row r="181" ht="46" customHeight="1">
      <x:c r="A181" s="117" t="str">
        <x:v>3005b00000113moAAA</x:v>
      </x:c>
      <x:c r="B181" s="117" t="str">
        <x:v>Credit_Memo_1</x:v>
      </x:c>
      <x:c r="C181" s="117" t="str">
        <x:v>Yes</x:v>
      </x:c>
      <x:c r="D181" s="119" t="str">
        <x:v>Active v5 (Retrieved XML)</x:v>
      </x:c>
      <x:c r="E181" s="119" t="str"/>
      <x:c r="F181" s="119" t="str">
        <x:v>Credit_Memo__c</x:v>
      </x:c>
      <x:c r="G181" s="119" t="str">
        <x:v>Applied_to_Invoice__c, Bill_to_Account__c, Business_Segments__c, Credit_Memo_Amount__c, Credit_Memo_Asset__c, Credit_Memo_Number__c, Credit_Memo__c, Id, Invoice_Applied_To__c, Invoice_Applied_To__r, Invoice__c, Invoice__r, Name, Opportunity__c, Opportunity__r, RMA__c, RMA__r, Stage__c, Total_Paid_Amount__c</x:v>
      </x:c>
      <x:c r="H181" s="119" t="str">
        <x:v>submit</x:v>
      </x:c>
      <x:c r="I181" s="119" t="str"/>
      <x:c r="J181" s="119" t="str"/>
      <x:c r="K181" s="118" t="n">
        <x:v>17</x:v>
      </x:c>
      <x:c r="L181" s="118" t="n">
        <x:v>1</x:v>
      </x:c>
      <x:c r="M181" s="118" t="n">
        <x:v>0</x:v>
      </x:c>
      <x:c r="N181" s="118" t="n">
        <x:v>0</x:v>
      </x:c>
      <x:c r="O181" s="118" t="n">
        <x:v>0</x:v>
      </x:c>
      <x:c r="P181" s="118" t="n">
        <x:v>0</x:v>
      </x:c>
      <x:c r="Q181" s="118" t="n">
        <x:v>6</x:v>
      </x:c>
      <x:c r="R181" s="118" t="n">
        <x:v>0</x:v>
      </x:c>
      <x:c r="S181" s="118" t="n">
        <x:v>0</x:v>
      </x:c>
      <x:c r="T181" s="118" t="n">
        <x:v>0</x:v>
      </x:c>
      <x:c r="U181" s="118" t="n">
        <x:v>0</x:v>
      </x:c>
      <x:c r="V181" s="118" t="n">
        <x:v>0</x:v>
      </x:c>
      <x:c r="W181" s="118" t="n">
        <x:v>0</x:v>
      </x:c>
      <x:c r="X181" s="118" t="n">
        <x:v>9</x:v>
      </x:c>
      <x:c r="Y181" s="118" t="n">
        <x:v>0</x:v>
      </x:c>
      <x:c r="Z181" s="118" t="n">
        <x:v>0</x:v>
      </x:c>
      <x:c r="AA181" s="118" t="n">
        <x:v>0</x:v>
      </x:c>
      <x:c r="AB181" s="118" t="n">
        <x:v>0</x:v>
      </x:c>
      <x:c r="AC181" s="118" t="n">
        <x:v>0</x:v>
      </x:c>
    </x:row>
    <x:row r="182" ht="46" customHeight="1">
      <x:c r="A182" s="117" t="str">
        <x:v>3004O000000LOwWQAW</x:v>
      </x:c>
      <x:c r="B182" s="117" t="str">
        <x:v>Credit_Memo_Creation_Flow</x:v>
      </x:c>
      <x:c r="C182" s="117" t="str">
        <x:v>Yes</x:v>
      </x:c>
      <x:c r="D182" s="119" t="str">
        <x:v>Active v1 (Tooling metadata)</x:v>
      </x:c>
      <x:c r="E182" s="119" t="str"/>
      <x:c r="F182" s="119" t="str">
        <x:v>ChargentOrders__ChargentOrder__c, ChargentOrders__Transaction__c, Credit_Memo__c, Invoice__c</x:v>
      </x:c>
      <x:c r="G182" s="119" t="str">
        <x:v>Bill_to_Account__c, ChargentOrders__Amount__c, ChargentOrders__Order__c, ChargentOrders__Payment_Method__c, ChargentOrders__Type__c, Credit_Memo_Amount__c, Credit_Memo_Asset__c, Credit_Memo__c, GL_Posting_Date__c, Id, Invoice__c, Opportunity__c, RMA__c</x:v>
      </x:c>
      <x:c r="H182" s="119" t="str"/>
      <x:c r="I182" s="119" t="str"/>
      <x:c r="J182" s="119" t="str">
        <x:v>flowruntime:lookup</x:v>
      </x:c>
      <x:c r="K182" s="118" t="n">
        <x:v>9</x:v>
      </x:c>
      <x:c r="L182" s="118" t="n">
        <x:v>0</x:v>
      </x:c>
      <x:c r="M182" s="118" t="n">
        <x:v>0</x:v>
      </x:c>
      <x:c r="N182" s="118" t="n">
        <x:v>1</x:v>
      </x:c>
      <x:c r="O182" s="118" t="n">
        <x:v>0</x:v>
      </x:c>
      <x:c r="P182" s="118" t="n">
        <x:v>0</x:v>
      </x:c>
      <x:c r="Q182" s="118" t="n">
        <x:v>1</x:v>
      </x:c>
      <x:c r="R182" s="118" t="n">
        <x:v>1</x:v>
      </x:c>
      <x:c r="S182" s="118" t="n">
        <x:v>0</x:v>
      </x:c>
      <x:c r="T182" s="118" t="n">
        <x:v>2</x:v>
      </x:c>
      <x:c r="U182" s="118" t="n">
        <x:v>0</x:v>
      </x:c>
      <x:c r="V182" s="118" t="n">
        <x:v>2</x:v>
      </x:c>
      <x:c r="W182" s="118" t="n">
        <x:v>0</x:v>
      </x:c>
      <x:c r="X182" s="118" t="n">
        <x:v>0</x:v>
      </x:c>
      <x:c r="Y182" s="118" t="n">
        <x:v>1</x:v>
      </x:c>
      <x:c r="Z182" s="118" t="n">
        <x:v>0</x:v>
      </x:c>
      <x:c r="AA182" s="118" t="n">
        <x:v>0</x:v>
      </x:c>
      <x:c r="AB182" s="118" t="n">
        <x:v>0</x:v>
      </x:c>
      <x:c r="AC182" s="118" t="n">
        <x:v>0</x:v>
      </x:c>
    </x:row>
    <x:row r="183" ht="46" customHeight="1">
      <x:c r="A183" s="117" t="str">
        <x:v>300Ro00000JlbyvIAB</x:v>
      </x:c>
      <x:c r="B183" s="117" t="str">
        <x:v>Credit_Memo_Line_Item_On_Update_Sum_Credit_Memo_Total</x:v>
      </x:c>
      <x:c r="C183" s="117" t="str">
        <x:v>Yes</x:v>
      </x:c>
      <x:c r="D183" s="119" t="str">
        <x:v>Active v1 (Retrieved XML)</x:v>
      </x:c>
      <x:c r="E183" s="119" t="str"/>
      <x:c r="F183" s="119" t="str">
        <x:v>Credit_Memo_Line_Item__c, Credit_Memo__c</x:v>
      </x:c>
      <x:c r="G183" s="119" t="str">
        <x:v>Credit_Memo_Amount__c, Credit_Memo__c, Credit_Memo__r, Id</x:v>
      </x:c>
      <x:c r="H183" s="119" t="str"/>
      <x:c r="I183" s="119" t="str"/>
      <x:c r="J183" s="119" t="str"/>
      <x:c r="K183" s="118" t="n">
        <x:v>6</x:v>
      </x:c>
      <x:c r="L183" s="118" t="n">
        <x:v>0</x:v>
      </x:c>
      <x:c r="M183" s="118" t="n">
        <x:v>0</x:v>
      </x:c>
      <x:c r="N183" s="118" t="n">
        <x:v>1</x:v>
      </x:c>
      <x:c r="O183" s="118" t="n">
        <x:v>0</x:v>
      </x:c>
      <x:c r="P183" s="118" t="n">
        <x:v>0</x:v>
      </x:c>
      <x:c r="Q183" s="118" t="n">
        <x:v>1</x:v>
      </x:c>
      <x:c r="R183" s="118" t="n">
        <x:v>1</x:v>
      </x:c>
      <x:c r="S183" s="118" t="n">
        <x:v>0</x:v>
      </x:c>
      <x:c r="T183" s="118" t="n">
        <x:v>0</x:v>
      </x:c>
      <x:c r="U183" s="118" t="n">
        <x:v>0</x:v>
      </x:c>
      <x:c r="V183" s="118" t="n">
        <x:v>1</x:v>
      </x:c>
      <x:c r="W183" s="118" t="n">
        <x:v>0</x:v>
      </x:c>
      <x:c r="X183" s="118" t="n">
        <x:v>1</x:v>
      </x:c>
      <x:c r="Y183" s="118" t="n">
        <x:v>0</x:v>
      </x:c>
      <x:c r="Z183" s="118" t="n">
        <x:v>0</x:v>
      </x:c>
      <x:c r="AA183" s="118" t="n">
        <x:v>0</x:v>
      </x:c>
      <x:c r="AB183" s="118" t="n">
        <x:v>0</x:v>
      </x:c>
      <x:c r="AC183" s="118" t="n">
        <x:v>0</x:v>
      </x:c>
    </x:row>
    <x:row r="184" ht="46" customHeight="1">
      <x:c r="A184" s="117" t="str">
        <x:v>300Ro00000JlbywIAB</x:v>
      </x:c>
      <x:c r="B184" s="117" t="str">
        <x:v>Credit_Memo_Lines_Add_to_Credit_Memo</x:v>
      </x:c>
      <x:c r="C184" s="117" t="str">
        <x:v>Yes</x:v>
      </x:c>
      <x:c r="D184" s="119" t="str">
        <x:v>Active v7 (Retrieved XML)</x:v>
      </x:c>
      <x:c r="E184" s="119" t="str"/>
      <x:c r="F184" s="119" t="str">
        <x:v>Credit_Memo_Line_Item__c, Credit_Memo__c, Invoice__c, Opportunity, OpportunityLineItem, RMA__c</x:v>
      </x:c>
      <x:c r="G184" s="119" t="str">
        <x:v>Add_Credit_Card_Fee__c, Add_Sales_Tax__c, Add_Shipping_Fee__c, Credit_Memo_Line_Amount__c, Credit_Memo__c, CurrencyIsoCode, Id, Intacct_Accounts__c, OpportunityId, Opportunity__c, ProductItem__c, Sales_Tax__c, Shipping__c, X49000_Credit_Card_Fees__c</x:v>
      </x:c>
      <x:c r="H184" s="119" t="str"/>
      <x:c r="I184" s="119" t="str"/>
      <x:c r="J184" s="119" t="str">
        <x:v>c:datatable</x:v>
      </x:c>
      <x:c r="K184" s="118" t="n">
        <x:v>43</x:v>
      </x:c>
      <x:c r="L184" s="118" t="n">
        <x:v>0</x:v>
      </x:c>
      <x:c r="M184" s="118" t="n">
        <x:v>0</x:v>
      </x:c>
      <x:c r="N184" s="118" t="n">
        <x:v>11</x:v>
      </x:c>
      <x:c r="O184" s="118" t="n">
        <x:v>0</x:v>
      </x:c>
      <x:c r="P184" s="118" t="n">
        <x:v>0</x:v>
      </x:c>
      <x:c r="Q184" s="118" t="n">
        <x:v>11</x:v>
      </x:c>
      <x:c r="R184" s="118" t="n">
        <x:v>4</x:v>
      </x:c>
      <x:c r="S184" s="118" t="n">
        <x:v>0</x:v>
      </x:c>
      <x:c r="T184" s="118" t="n">
        <x:v>5</x:v>
      </x:c>
      <x:c r="U184" s="118" t="n">
        <x:v>0</x:v>
      </x:c>
      <x:c r="V184" s="118" t="n">
        <x:v>5</x:v>
      </x:c>
      <x:c r="W184" s="118" t="n">
        <x:v>0</x:v>
      </x:c>
      <x:c r="X184" s="118" t="n">
        <x:v>2</x:v>
      </x:c>
      <x:c r="Y184" s="118" t="n">
        <x:v>4</x:v>
      </x:c>
      <x:c r="Z184" s="118" t="n">
        <x:v>0</x:v>
      </x:c>
      <x:c r="AA184" s="118" t="n">
        <x:v>0</x:v>
      </x:c>
      <x:c r="AB184" s="118" t="n">
        <x:v>0</x:v>
      </x:c>
      <x:c r="AC184" s="118" t="n">
        <x:v>0</x:v>
      </x:c>
    </x:row>
    <x:row r="185" ht="46" customHeight="1">
      <x:c r="A185" s="117" t="str">
        <x:v>300Ro00000H0rLzIAJ</x:v>
      </x:c>
      <x:c r="B185" s="117" t="str">
        <x:v>Credit_Memo_Sync_Notification</x:v>
      </x:c>
      <x:c r="C185" s="117" t="str">
        <x:v>Yes</x:v>
      </x:c>
      <x:c r="D185" s="119" t="str">
        <x:v>Active v9 (Retrieved XML)</x:v>
      </x:c>
      <x:c r="E185" s="119" t="str"/>
      <x:c r="F185" s="119" t="str">
        <x:v>ContentDocumentLink, Credit_Memo__c</x:v>
      </x:c>
      <x:c r="G185" s="119" t="str">
        <x:v>Id, Intacct_Credit_Memo_Sync_Status__c, LinkedEntityId, Name, Opportunity__r</x:v>
      </x:c>
      <x:c r="H185" s="119" t="str">
        <x:v>CreditMemoPdfGenerator, SendBetterEmail</x:v>
      </x:c>
      <x:c r="I185" s="119" t="str"/>
      <x:c r="J185" s="119" t="str"/>
      <x:c r="K185" s="118" t="n">
        <x:v>8</x:v>
      </x:c>
      <x:c r="L185" s="118" t="n">
        <x:v>3</x:v>
      </x:c>
      <x:c r="M185" s="118" t="n">
        <x:v>0</x:v>
      </x:c>
      <x:c r="N185" s="118" t="n">
        <x:v>1</x:v>
      </x:c>
      <x:c r="O185" s="118" t="n">
        <x:v>0</x:v>
      </x:c>
      <x:c r="P185" s="118" t="n">
        <x:v>0</x:v>
      </x:c>
      <x:c r="Q185" s="118" t="n">
        <x:v>2</x:v>
      </x:c>
      <x:c r="R185" s="118" t="n">
        <x:v>0</x:v>
      </x:c>
      <x:c r="S185" s="118" t="n">
        <x:v>0</x:v>
      </x:c>
      <x:c r="T185" s="118" t="n">
        <x:v>0</x:v>
      </x:c>
      <x:c r="U185" s="118" t="n">
        <x:v>0</x:v>
      </x:c>
      <x:c r="V185" s="118" t="n">
        <x:v>1</x:v>
      </x:c>
      <x:c r="W185" s="118" t="n">
        <x:v>0</x:v>
      </x:c>
      <x:c r="X185" s="118" t="n">
        <x:v>0</x:v>
      </x:c>
      <x:c r="Y185" s="118" t="n">
        <x:v>0</x:v>
      </x:c>
      <x:c r="Z185" s="118" t="n">
        <x:v>0</x:v>
      </x:c>
      <x:c r="AA185" s="118" t="n">
        <x:v>0</x:v>
      </x:c>
      <x:c r="AB185" s="118" t="n">
        <x:v>0</x:v>
      </x:c>
      <x:c r="AC185" s="118" t="n">
        <x:v>0</x:v>
      </x:c>
    </x:row>
    <x:row r="186" ht="46" customHeight="1">
      <x:c r="A186" s="117" t="str">
        <x:v>300Ro00000fBX4MIAW</x:v>
      </x:c>
      <x:c r="B186" s="117" t="str">
        <x:v>Credit_Memo_Sync_Retry</x:v>
      </x:c>
      <x:c r="C186" s="117" t="str">
        <x:v>Yes</x:v>
      </x:c>
      <x:c r="D186" s="119" t="str">
        <x:v>Active v2 (Retrieved XML)</x:v>
      </x:c>
      <x:c r="E186" s="119" t="str">
        <x:v>Intacct_Credit_Memo_Sync_Status__c EqualTo stringValue=Error | Sync_Retries__c LessThanOrEqualTo numberValue=5.0</x:v>
      </x:c>
      <x:c r="F186" s="119" t="str">
        <x:v>Credit_Memo__c</x:v>
      </x:c>
      <x:c r="G186" s="119" t="str">
        <x:v>Intacct_Credit_Memo_Sync_Status__c, Sync_Retries__c</x:v>
      </x:c>
      <x:c r="H186" s="119" t="str"/>
      <x:c r="I186" s="119" t="str"/>
      <x:c r="J186" s="119" t="str"/>
      <x:c r="K186" s="118" t="n">
        <x:v>3</x:v>
      </x:c>
      <x:c r="L186" s="118" t="n">
        <x:v>0</x:v>
      </x:c>
      <x:c r="M186" s="118" t="n">
        <x:v>0</x:v>
      </x:c>
      <x:c r="N186" s="118" t="n">
        <x:v>0</x:v>
      </x:c>
      <x:c r="O186" s="118" t="n">
        <x:v>0</x:v>
      </x:c>
      <x:c r="P186" s="118" t="n">
        <x:v>0</x:v>
      </x:c>
      <x:c r="Q186" s="118" t="n">
        <x:v>0</x:v>
      </x:c>
      <x:c r="R186" s="118" t="n">
        <x:v>0</x:v>
      </x:c>
      <x:c r="S186" s="118" t="n">
        <x:v>0</x:v>
      </x:c>
      <x:c r="T186" s="118" t="n">
        <x:v>0</x:v>
      </x:c>
      <x:c r="U186" s="118" t="n">
        <x:v>0</x:v>
      </x:c>
      <x:c r="V186" s="118" t="n">
        <x:v>0</x:v>
      </x:c>
      <x:c r="W186" s="118" t="n">
        <x:v>0</x:v>
      </x:c>
      <x:c r="X186" s="118" t="n">
        <x:v>2</x:v>
      </x:c>
      <x:c r="Y186" s="118" t="n">
        <x:v>0</x:v>
      </x:c>
      <x:c r="Z186" s="118" t="n">
        <x:v>0</x:v>
      </x:c>
      <x:c r="AA186" s="118" t="n">
        <x:v>0</x:v>
      </x:c>
      <x:c r="AB186" s="118" t="n">
        <x:v>0</x:v>
      </x:c>
      <x:c r="AC186" s="118" t="n">
        <x:v>0</x:v>
      </x:c>
    </x:row>
    <x:row r="187" ht="46" customHeight="1">
      <x:c r="A187" s="117" t="str">
        <x:v>300Ro00000Pz0kfIAB</x:v>
      </x:c>
      <x:c r="B187" s="117" t="str">
        <x:v>CT_Checklist</x:v>
      </x:c>
      <x:c r="C187" s="117" t="str">
        <x:v>Yes</x:v>
      </x:c>
      <x:c r="D187" s="119" t="str">
        <x:v>Active v7 (Retrieved XML)</x:v>
      </x:c>
      <x:c r="E187" s="119" t="str"/>
      <x:c r="F187" s="119" t="str">
        <x:v>ContractLineItem, ServiceAppointment, WorkOrder</x:v>
      </x:c>
      <x:c r="G187" s="119" t="str">
        <x:v>Additional_Documentation_Reference__c, Air_Calibration__c, Alignment_and_Centring_Comments__c, Alignment_and_Centring__c, Alignment_and_Positioning_Comments__c, Alignment_and_Positioning__c, Artifact_Check_Comments__c, Artifact_Check__c, BF_Outputs_Comments__c, BF_Outputs__c, BIOS_Battery_Voltage__c, Bearings_and_Tracks_Comments__c, Bearings_and_Tracks__c, Brakes_and_Locks_Comments__c, Brakes_and_Locks__c, CS_and_HE_Comments__c, Checklist_Output_Formatted_1__c, Checklist_Output_Formatted_2__c, Checklist_Output_Formatted_3__c, Checklist_Output_Formatted_4__c, Checklist_Output_Formatted_5__c, Checklist_Output_Formatted_6__c, Checklist_Output_Formatted__c, Checklist_Type__c, Collimator_Comments__c, Collimator_Function_and_Alignment__c, Contract_Line_Item__c, Cooling_Systems_and_Heat_Exchangers__c, Covers_Secured_Comments__c, Covers_Secured__c, DAP_Accuracy_Comments__c, DAP_Accuracy__c, DICOM_PACS_2nd_AE_Title__c, Detector_Uniformity_Comments__c, Detector_Uniformity__c, Emergency_Stop_Switches_Comments__c, Emergency_Stop_Switches_and_Isolators__c, End_to_End_DICOM_Comments__c, End_to_End_DICOM__c, Error_Logs_Comments__c, Error_Logs__c, Exposure_Controls_Comments__c, Exposure_Controls__c, Exposure_Index_Comments__c, Exposure_Index__c, Exposure_Indicators_Comments__c, Exposure_Indicators__c, FF_Outputs_Comments__c, FF_Outputs__c, Final_Functional_Checks_Comments__c, Final_Functional_Checks__c, Final_Visual_Checks_Comments__c, Final_Visual_Checks__c, Gantry_Rotation_Comments__c, Gantry_Rotation__c, Generate_Service_Report_HTML__c, Id, Image_Display_Quality_Comments__c, Image_Display_Quality__c, Laser_Lights_Comments__c, Laser_Lights__c, Limit_Switches_Comments__c, Limit_Switches__c, Mechanical_Security_Comments__c, Mechanical_Security__c, Mechanical_Visual_Inspection_Comments__c, Mechanical_Visual_Inspection__c, Mountings_and_Fixings_Comments__c, Mountings_and_Fixings__c, Mylar_Window_Comments__c, Mylar_Window__c, Positioning_Aids_and_Supports_Comments__c, Positioning_Aids_and_Supports__c, Post_Processing_Functions_Comments__c, Post_Processing_Functions__c, Room_Warning_Lights_Comments__c, Room_Warning_Lights__c, Slip_Rings_and_Brushes_Comments__c, Slip_Rings_and_Brushes__c, Switches_Pedals_and_Controls_Comments__c, Switches_Pedals_and_Controls__c, System_Earth_Continuity_Comments__c, System_Earth_Continuity__c, Table_Movements_Comments__c, Table_Movements__c, Tube_Adjustments_Comments__c, Tube_Adjustments_Performed__c, UI_Clean_Comments__c, UI_Clean_Completed__c, UPS_Battery_Comments__c, UPS_Battery__c, Ventilation_Clean_Comments__c, Ventilation_Clean__c, Virtual_Collimator_Alignment_Comments__c, Virtual_Collimator_Alignment__c, Visual_Inspection_Comments__c, Visual_Inspection__c, Water_Calibration__c</x:v>
      </x:c>
      <x:c r="H187" s="119" t="str"/>
      <x:c r="I187" s="119" t="str"/>
      <x:c r="J187" s="119" t="str"/>
      <x:c r="K187" s="118" t="n">
        <x:v>17</x:v>
      </x:c>
      <x:c r="L187" s="118" t="n">
        <x:v>0</x:v>
      </x:c>
      <x:c r="M187" s="118" t="n">
        <x:v>0</x:v>
      </x:c>
      <x:c r="N187" s="118" t="n">
        <x:v>0</x:v>
      </x:c>
      <x:c r="O187" s="118" t="n">
        <x:v>0</x:v>
      </x:c>
      <x:c r="P187" s="118" t="n">
        <x:v>0</x:v>
      </x:c>
      <x:c r="Q187" s="118" t="n">
        <x:v>0</x:v>
      </x:c>
      <x:c r="R187" s="118" t="n">
        <x:v>0</x:v>
      </x:c>
      <x:c r="S187" s="118" t="n">
        <x:v>0</x:v>
      </x:c>
      <x:c r="T187" s="118" t="n">
        <x:v>0</x:v>
      </x:c>
      <x:c r="U187" s="118" t="n">
        <x:v>0</x:v>
      </x:c>
      <x:c r="V187" s="118" t="n">
        <x:v>2</x:v>
      </x:c>
      <x:c r="W187" s="118" t="n">
        <x:v>0</x:v>
      </x:c>
      <x:c r="X187" s="118" t="n">
        <x:v>7</x:v>
      </x:c>
      <x:c r="Y187" s="118" t="n">
        <x:v>7</x:v>
      </x:c>
      <x:c r="Z187" s="118" t="n">
        <x:v>0</x:v>
      </x:c>
      <x:c r="AA187" s="118" t="n">
        <x:v>0</x:v>
      </x:c>
      <x:c r="AB187" s="118" t="n">
        <x:v>0</x:v>
      </x:c>
      <x:c r="AC187" s="118" t="n">
        <x:v>0</x:v>
      </x:c>
    </x:row>
    <x:row r="188" ht="46" customHeight="1">
      <x:c r="A188" s="117" t="str">
        <x:v>3005b000000H3HjAAK</x:v>
      </x:c>
      <x:c r="B188" s="117" t="str">
        <x:v>Custom_Payment_Flow</x:v>
      </x:c>
      <x:c r="C188" s="117" t="str">
        <x:v>Yes</x:v>
      </x:c>
      <x:c r="D188" s="119" t="str">
        <x:v>Active v15 (Retrieved XML)</x:v>
      </x:c>
      <x:c r="E188" s="119" t="str"/>
      <x:c r="F188" s="119" t="str">
        <x:v>ChargentOrders__ChargentOrder__c, ChargentOrders__Transaction__c, Invoice__c, OpportunityLineItem</x:v>
      </x:c>
      <x:c r="G188" s="119" t="str">
        <x:v>ChargentOrders__Amount__c, ChargentOrders__Bank_Account_Number__c, ChargentOrders__Card_Last_4__c, ChargentOrders__Credit_Card_Name__c, ChargentOrders__Credit_Card_Type__c, ChargentOrders__Gateway_Date__c, ChargentOrders__Order__c, ChargentOrders__Payment_Method__c, ChargentOrders__Response_Status__c, ChargentOrders__Type__c, Credit_Card_Fees__c, Id, Intacct_Advance_Application_Status__c, Intacct_Invoice_Sync_Status__c, Intacct_Sync_Status__c, Invoice2__c, Invoice_Total_Amount__c, Invoice__c, OpportunityId, Opportunity__c, Product2Id, ProductItem__c, Quantity, Service_Fee_Amount__c, UnitPrice</x:v>
      </x:c>
      <x:c r="H188" s="119" t="str"/>
      <x:c r="I188" s="119" t="str"/>
      <x:c r="J188" s="119" t="str"/>
      <x:c r="K188" s="118" t="n">
        <x:v>8</x:v>
      </x:c>
      <x:c r="L188" s="118" t="n">
        <x:v>0</x:v>
      </x:c>
      <x:c r="M188" s="118" t="n">
        <x:v>0</x:v>
      </x:c>
      <x:c r="N188" s="118" t="n">
        <x:v>0</x:v>
      </x:c>
      <x:c r="O188" s="118" t="n">
        <x:v>0</x:v>
      </x:c>
      <x:c r="P188" s="118" t="n">
        <x:v>0</x:v>
      </x:c>
      <x:c r="Q188" s="118" t="n">
        <x:v>1</x:v>
      </x:c>
      <x:c r="R188" s="118" t="n">
        <x:v>0</x:v>
      </x:c>
      <x:c r="S188" s="118" t="n">
        <x:v>0</x:v>
      </x:c>
      <x:c r="T188" s="118" t="n">
        <x:v>2</x:v>
      </x:c>
      <x:c r="U188" s="118" t="n">
        <x:v>0</x:v>
      </x:c>
      <x:c r="V188" s="118" t="n">
        <x:v>1</x:v>
      </x:c>
      <x:c r="W188" s="118" t="n">
        <x:v>0</x:v>
      </x:c>
      <x:c r="X188" s="118" t="n">
        <x:v>1</x:v>
      </x:c>
      <x:c r="Y188" s="118" t="n">
        <x:v>2</x:v>
      </x:c>
      <x:c r="Z188" s="118" t="n">
        <x:v>0</x:v>
      </x:c>
      <x:c r="AA188" s="118" t="n">
        <x:v>0</x:v>
      </x:c>
      <x:c r="AB188" s="118" t="n">
        <x:v>0</x:v>
      </x:c>
      <x:c r="AC188" s="118" t="n">
        <x:v>0</x:v>
      </x:c>
    </x:row>
    <x:row r="189" ht="46" customHeight="1">
      <x:c r="A189" s="117" t="str">
        <x:v>300Ro00000kKs8KIAS</x:v>
      </x:c>
      <x:c r="B189" s="117" t="str">
        <x:v>Customer_Receipt</x:v>
      </x:c>
      <x:c r="C189" s="117" t="str">
        <x:v>No</x:v>
      </x:c>
      <x:c r="D189" s="119" t="str">
        <x:v>Latest inactive v1 (Tooling metadata)</x:v>
      </x:c>
      <x:c r="E189" s="119" t="str"/>
      <x:c r="F189" s="119" t="str"/>
      <x:c r="G189" s="119" t="str"/>
      <x:c r="H189" s="119" t="str"/>
      <x:c r="I189" s="119" t="str"/>
      <x:c r="J189" s="119" t="str"/>
      <x:c r="K189" s="118" t="n">
        <x:v>0</x:v>
      </x:c>
      <x:c r="L189" s="118" t="n">
        <x:v>0</x:v>
      </x:c>
      <x:c r="M189" s="118" t="n">
        <x:v>0</x:v>
      </x:c>
      <x:c r="N189" s="118" t="n">
        <x:v>0</x:v>
      </x:c>
      <x:c r="O189" s="118" t="n">
        <x:v>0</x:v>
      </x:c>
      <x:c r="P189" s="118" t="n">
        <x:v>0</x:v>
      </x:c>
      <x:c r="Q189" s="118" t="n">
        <x:v>0</x:v>
      </x:c>
      <x:c r="R189" s="118" t="n">
        <x:v>0</x:v>
      </x:c>
      <x:c r="S189" s="118" t="n">
        <x:v>0</x:v>
      </x:c>
      <x:c r="T189" s="118" t="n">
        <x:v>0</x:v>
      </x:c>
      <x:c r="U189" s="118" t="n">
        <x:v>0</x:v>
      </x:c>
      <x:c r="V189" s="118" t="n">
        <x:v>0</x:v>
      </x:c>
      <x:c r="W189" s="118" t="n">
        <x:v>0</x:v>
      </x:c>
      <x:c r="X189" s="118" t="n">
        <x:v>0</x:v>
      </x:c>
      <x:c r="Y189" s="118" t="n">
        <x:v>0</x:v>
      </x:c>
      <x:c r="Z189" s="118" t="n">
        <x:v>0</x:v>
      </x:c>
      <x:c r="AA189" s="118" t="n">
        <x:v>0</x:v>
      </x:c>
      <x:c r="AB189" s="118" t="n">
        <x:v>0</x:v>
      </x:c>
      <x:c r="AC189" s="118" t="n">
        <x:v>0</x:v>
      </x:c>
    </x:row>
    <x:row r="190" ht="46" customHeight="1">
      <x:c r="A190" s="117" t="str">
        <x:v>3004O000000XgYBQA0</x:v>
      </x:c>
      <x:c r="B190" s="117" t="str">
        <x:v>Customer_Satisfaction_Survey</x:v>
      </x:c>
      <x:c r="C190" s="117" t="str">
        <x:v>No</x:v>
      </x:c>
      <x:c r="D190" s="119" t="str">
        <x:v>Latest inactive v1 (Retrieved XML)</x:v>
      </x:c>
      <x:c r="E190" s="119" t="str"/>
      <x:c r="F190" s="119" t="str"/>
      <x:c r="G190" s="119" t="str"/>
      <x:c r="H190" s="119" t="str"/>
      <x:c r="I190" s="119" t="str"/>
      <x:c r="J190" s="119" t="str"/>
      <x:c r="K190" s="118" t="n">
        <x:v>1</x:v>
      </x:c>
      <x:c r="L190" s="118" t="n">
        <x:v>0</x:v>
      </x:c>
      <x:c r="M190" s="118" t="n">
        <x:v>0</x:v>
      </x:c>
      <x:c r="N190" s="118" t="n">
        <x:v>1</x:v>
      </x:c>
      <x:c r="O190" s="118" t="n">
        <x:v>0</x:v>
      </x:c>
      <x:c r="P190" s="118" t="n">
        <x:v>0</x:v>
      </x:c>
      <x:c r="Q190" s="118" t="n">
        <x:v>0</x:v>
      </x:c>
      <x:c r="R190" s="118" t="n">
        <x:v>0</x:v>
      </x:c>
      <x:c r="S190" s="118" t="n">
        <x:v>0</x:v>
      </x:c>
      <x:c r="T190" s="118" t="n">
        <x:v>0</x:v>
      </x:c>
      <x:c r="U190" s="118" t="n">
        <x:v>0</x:v>
      </x:c>
      <x:c r="V190" s="118" t="n">
        <x:v>0</x:v>
      </x:c>
      <x:c r="W190" s="118" t="n">
        <x:v>0</x:v>
      </x:c>
      <x:c r="X190" s="118" t="n">
        <x:v>0</x:v>
      </x:c>
      <x:c r="Y190" s="118" t="n">
        <x:v>0</x:v>
      </x:c>
      <x:c r="Z190" s="118" t="n">
        <x:v>0</x:v>
      </x:c>
      <x:c r="AA190" s="118" t="n">
        <x:v>0</x:v>
      </x:c>
      <x:c r="AB190" s="118" t="n">
        <x:v>0</x:v>
      </x:c>
      <x:c r="AC190" s="118" t="n">
        <x:v>0</x:v>
      </x:c>
    </x:row>
    <x:row r="191" ht="46" customHeight="1">
      <x:c r="A191" s="117" t="str">
        <x:v>300Ro00000VTASAIA5</x:v>
      </x:c>
      <x:c r="B191" s="117" t="str">
        <x:v>Daily_Update_Scheduled_Jobs_for_Today_to_Dispatched</x:v>
      </x:c>
      <x:c r="C191" s="117" t="str">
        <x:v>Yes</x:v>
      </x:c>
      <x:c r="D191" s="119" t="str">
        <x:v>Active v1 (Retrieved XML)</x:v>
      </x:c>
      <x:c r="E191" s="119" t="str">
        <x:v>Status EqualTo stringValue=Scheduled</x:v>
      </x:c>
      <x:c r="F191" s="119" t="str">
        <x:v>ServiceAppointment</x:v>
      </x:c>
      <x:c r="G191" s="119" t="str">
        <x:v>SchedStartTime, Status</x:v>
      </x:c>
      <x:c r="H191" s="119" t="str"/>
      <x:c r="I191" s="119" t="str"/>
      <x:c r="J191" s="119" t="str"/>
      <x:c r="K191" s="118" t="n">
        <x:v>3</x:v>
      </x:c>
      <x:c r="L191" s="118" t="n">
        <x:v>0</x:v>
      </x:c>
      <x:c r="M191" s="118" t="n">
        <x:v>0</x:v>
      </x:c>
      <x:c r="N191" s="118" t="n">
        <x:v>0</x:v>
      </x:c>
      <x:c r="O191" s="118" t="n">
        <x:v>0</x:v>
      </x:c>
      <x:c r="P191" s="118" t="n">
        <x:v>0</x:v>
      </x:c>
      <x:c r="Q191" s="118" t="n">
        <x:v>1</x:v>
      </x:c>
      <x:c r="R191" s="118" t="n">
        <x:v>0</x:v>
      </x:c>
      <x:c r="S191" s="118" t="n">
        <x:v>0</x:v>
      </x:c>
      <x:c r="T191" s="118" t="n">
        <x:v>0</x:v>
      </x:c>
      <x:c r="U191" s="118" t="n">
        <x:v>0</x:v>
      </x:c>
      <x:c r="V191" s="118" t="n">
        <x:v>0</x:v>
      </x:c>
      <x:c r="W191" s="118" t="n">
        <x:v>0</x:v>
      </x:c>
      <x:c r="X191" s="118" t="n">
        <x:v>1</x:v>
      </x:c>
      <x:c r="Y191" s="118" t="n">
        <x:v>0</x:v>
      </x:c>
      <x:c r="Z191" s="118" t="n">
        <x:v>0</x:v>
      </x:c>
      <x:c r="AA191" s="118" t="n">
        <x:v>0</x:v>
      </x:c>
      <x:c r="AB191" s="118" t="n">
        <x:v>0</x:v>
      </x:c>
      <x:c r="AC191" s="118" t="n">
        <x:v>0</x:v>
      </x:c>
    </x:row>
    <x:row r="192" ht="46" customHeight="1">
      <x:c r="A192" s="117" t="str">
        <x:v>3005b00000113a9AAA</x:v>
      </x:c>
      <x:c r="B192" s="117" t="str">
        <x:v>Datatable_Configuration_Wizard5</x:v>
      </x:c>
      <x:c r="C192" s="117" t="str">
        <x:v>Yes</x:v>
      </x:c>
      <x:c r="D192" s="119" t="str">
        <x:v>Active v1 (Tooling metadata)</x:v>
      </x:c>
      <x:c r="E192" s="119" t="str"/>
      <x:c r="F192" s="119" t="str">
        <x:v>FlowTableViewDefinition__c</x:v>
      </x:c>
      <x:c r="G192" s="119" t="str">
        <x:v>Active__c, Name, Object_API_Name__c</x:v>
      </x:c>
      <x:c r="H192" s="119" t="str">
        <x:v>ers_EncodeDecodeURL, ers_QueryNRecords, usf3__GetFieldInformation</x:v>
      </x:c>
      <x:c r="I192" s="119" t="str"/>
      <x:c r="J192" s="119" t="str">
        <x:v>c:datatable, c:fsc_dualListBox3, c:fsc_flowButtonBar, c:fsc_quickChoiceFSC, flowruntime:toggle</x:v>
      </x:c>
      <x:c r="K192" s="118" t="n">
        <x:v>49</x:v>
      </x:c>
      <x:c r="L192" s="118" t="n">
        <x:v>5</x:v>
      </x:c>
      <x:c r="M192" s="118" t="n">
        <x:v>0</x:v>
      </x:c>
      <x:c r="N192" s="118" t="n">
        <x:v>22</x:v>
      </x:c>
      <x:c r="O192" s="118" t="n">
        <x:v>0</x:v>
      </x:c>
      <x:c r="P192" s="118" t="n">
        <x:v>0</x:v>
      </x:c>
      <x:c r="Q192" s="118" t="n">
        <x:v>11</x:v>
      </x:c>
      <x:c r="R192" s="118" t="n">
        <x:v>1</x:v>
      </x:c>
      <x:c r="S192" s="118" t="n">
        <x:v>0</x:v>
      </x:c>
      <x:c r="T192" s="118" t="n">
        <x:v>1</x:v>
      </x:c>
      <x:c r="U192" s="118" t="n">
        <x:v>0</x:v>
      </x:c>
      <x:c r="V192" s="118" t="n">
        <x:v>2</x:v>
      </x:c>
      <x:c r="W192" s="118" t="n">
        <x:v>0</x:v>
      </x:c>
      <x:c r="X192" s="118" t="n">
        <x:v>1</x:v>
      </x:c>
      <x:c r="Y192" s="118" t="n">
        <x:v>5</x:v>
      </x:c>
      <x:c r="Z192" s="118" t="n">
        <x:v>0</x:v>
      </x:c>
      <x:c r="AA192" s="118" t="n">
        <x:v>0</x:v>
      </x:c>
      <x:c r="AB192" s="118" t="n">
        <x:v>0</x:v>
      </x:c>
      <x:c r="AC192" s="118" t="n">
        <x:v>0</x:v>
      </x:c>
    </x:row>
    <x:row r="193" ht="46" customHeight="1">
      <x:c r="A193" s="117" t="str">
        <x:v>300Ro00000PEeQbIAL</x:v>
      </x:c>
      <x:c r="B193" s="117" t="str">
        <x:v>Dated_Exchange_Rates_Call_XE_API_for_Daily_Rates</x:v>
      </x:c>
      <x:c r="C193" s="117" t="str">
        <x:v>Yes</x:v>
      </x:c>
      <x:c r="D193" s="119" t="str">
        <x:v>Active v3 (Retrieved XML)</x:v>
      </x:c>
      <x:c r="E193" s="119" t="str"/>
      <x:c r="F193" s="119" t="str">
        <x:v>CurrencyType, DatedConversionRate</x:v>
      </x:c>
      <x:c r="G193" s="119" t="str">
        <x:v>IsActive, IsCorporate</x:v>
      </x:c>
      <x:c r="H193" s="119" t="str">
        <x:v>CallExchangeRateAPI.GET Exchange Rate(s)</x:v>
      </x:c>
      <x:c r="I193" s="119" t="str"/>
      <x:c r="J193" s="119" t="str"/>
      <x:c r="K193" s="118" t="n">
        <x:v>8</x:v>
      </x:c>
      <x:c r="L193" s="118" t="n">
        <x:v>1</x:v>
      </x:c>
      <x:c r="M193" s="118" t="n">
        <x:v>0</x:v>
      </x:c>
      <x:c r="N193" s="118" t="n">
        <x:v>1</x:v>
      </x:c>
      <x:c r="O193" s="118" t="n">
        <x:v>0</x:v>
      </x:c>
      <x:c r="P193" s="118" t="n">
        <x:v>0</x:v>
      </x:c>
      <x:c r="Q193" s="118" t="n">
        <x:v>0</x:v>
      </x:c>
      <x:c r="R193" s="118" t="n">
        <x:v>2</x:v>
      </x:c>
      <x:c r="S193" s="118" t="n">
        <x:v>0</x:v>
      </x:c>
      <x:c r="T193" s="118" t="n">
        <x:v>1</x:v>
      </x:c>
      <x:c r="U193" s="118" t="n">
        <x:v>0</x:v>
      </x:c>
      <x:c r="V193" s="118" t="n">
        <x:v>1</x:v>
      </x:c>
      <x:c r="W193" s="118" t="n">
        <x:v>0</x:v>
      </x:c>
      <x:c r="X193" s="118" t="n">
        <x:v>0</x:v>
      </x:c>
      <x:c r="Y193" s="118" t="n">
        <x:v>0</x:v>
      </x:c>
      <x:c r="Z193" s="118" t="n">
        <x:v>0</x:v>
      </x:c>
      <x:c r="AA193" s="118" t="n">
        <x:v>0</x:v>
      </x:c>
      <x:c r="AB193" s="118" t="n">
        <x:v>0</x:v>
      </x:c>
      <x:c r="AC193" s="118" t="n">
        <x:v>1</x:v>
      </x:c>
    </x:row>
    <x:row r="194" ht="46" customHeight="1">
      <x:c r="A194" s="117" t="str">
        <x:v>300Ro000006NPyMIAW</x:v>
      </x:c>
      <x:c r="B194" s="117" t="str">
        <x:v>Davis_Medical_Shipping_Email_Alert_Flow</x:v>
      </x:c>
      <x:c r="C194" s="117" t="str">
        <x:v>Yes</x:v>
      </x:c>
      <x:c r="D194" s="119" t="str">
        <x:v>Active v3 (Retrieved XML)</x:v>
      </x:c>
      <x:c r="E194" s="119" t="str">
        <x:v>Shipping_FROM_Location__c EqualTo stringValue=San Diego, CA | Tracking__c IsNull booleanValue=false | Ship_Date__c IsNull booleanValue=false</x:v>
      </x:c>
      <x:c r="F194" s="119" t="str">
        <x:v>Opportunity</x:v>
      </x:c>
      <x:c r="G194" s="119" t="str">
        <x:v>Id, Ship_Date__c, Shipping_FROM_Location__c, Tracking__c</x:v>
      </x:c>
      <x:c r="H194" s="119" t="str">
        <x:v>emailSimple</x:v>
      </x:c>
      <x:c r="I194" s="119" t="str"/>
      <x:c r="J194" s="119" t="str"/>
      <x:c r="K194" s="118" t="n">
        <x:v>3</x:v>
      </x:c>
      <x:c r="L194" s="118" t="n">
        <x:v>1</x:v>
      </x:c>
      <x:c r="M194" s="118" t="n">
        <x:v>0</x:v>
      </x:c>
      <x:c r="N194" s="118" t="n">
        <x:v>0</x:v>
      </x:c>
      <x:c r="O194" s="118" t="n">
        <x:v>0</x:v>
      </x:c>
      <x:c r="P194" s="118" t="n">
        <x:v>0</x:v>
      </x:c>
      <x:c r="Q194" s="118" t="n">
        <x:v>0</x:v>
      </x:c>
      <x:c r="R194" s="118" t="n">
        <x:v>0</x:v>
      </x:c>
      <x:c r="S194" s="118" t="n">
        <x:v>0</x:v>
      </x:c>
      <x:c r="T194" s="118" t="n">
        <x:v>0</x:v>
      </x:c>
      <x:c r="U194" s="118" t="n">
        <x:v>0</x:v>
      </x:c>
      <x:c r="V194" s="118" t="n">
        <x:v>1</x:v>
      </x:c>
      <x:c r="W194" s="118" t="n">
        <x:v>0</x:v>
      </x:c>
      <x:c r="X194" s="118" t="n">
        <x:v>0</x:v>
      </x:c>
      <x:c r="Y194" s="118" t="n">
        <x:v>0</x:v>
      </x:c>
      <x:c r="Z194" s="118" t="n">
        <x:v>0</x:v>
      </x:c>
      <x:c r="AA194" s="118" t="n">
        <x:v>0</x:v>
      </x:c>
      <x:c r="AB194" s="118" t="n">
        <x:v>0</x:v>
      </x:c>
      <x:c r="AC194" s="118" t="n">
        <x:v>0</x:v>
      </x:c>
    </x:row>
    <x:row r="195" ht="46" customHeight="1">
      <x:c r="A195" s="117" t="str">
        <x:v>3004O000000LOr8QAG</x:v>
      </x:c>
      <x:c r="B195" s="117" t="str">
        <x:v>Debit_Memo_Update</x:v>
      </x:c>
      <x:c r="C195" s="117" t="str">
        <x:v>No</x:v>
      </x:c>
      <x:c r="D195" s="119" t="str">
        <x:v>Latest inactive v2 (Retrieved XML)</x:v>
      </x:c>
      <x:c r="E195" s="119" t="str"/>
      <x:c r="F195" s="119" t="str">
        <x:v>Debit_Memos__c</x:v>
      </x:c>
      <x:c r="G195" s="119" t="str">
        <x:v>Debit_Memo_Amount__c, Id, Opportunity__c</x:v>
      </x:c>
      <x:c r="H195" s="119" t="str"/>
      <x:c r="I195" s="119" t="str"/>
      <x:c r="J195" s="119" t="str"/>
      <x:c r="K195" s="118" t="n">
        <x:v>2</x:v>
      </x:c>
      <x:c r="L195" s="118" t="n">
        <x:v>0</x:v>
      </x:c>
      <x:c r="M195" s="118" t="n">
        <x:v>0</x:v>
      </x:c>
      <x:c r="N195" s="118" t="n">
        <x:v>0</x:v>
      </x:c>
      <x:c r="O195" s="118" t="n">
        <x:v>0</x:v>
      </x:c>
      <x:c r="P195" s="118" t="n">
        <x:v>0</x:v>
      </x:c>
      <x:c r="Q195" s="118" t="n">
        <x:v>1</x:v>
      </x:c>
      <x:c r="R195" s="118" t="n">
        <x:v>0</x:v>
      </x:c>
      <x:c r="S195" s="118" t="n">
        <x:v>0</x:v>
      </x:c>
      <x:c r="T195" s="118" t="n">
        <x:v>0</x:v>
      </x:c>
      <x:c r="U195" s="118" t="n">
        <x:v>0</x:v>
      </x:c>
      <x:c r="V195" s="118" t="n">
        <x:v>0</x:v>
      </x:c>
      <x:c r="W195" s="118" t="n">
        <x:v>0</x:v>
      </x:c>
      <x:c r="X195" s="118" t="n">
        <x:v>1</x:v>
      </x:c>
      <x:c r="Y195" s="118" t="n">
        <x:v>0</x:v>
      </x:c>
      <x:c r="Z195" s="118" t="n">
        <x:v>0</x:v>
      </x:c>
      <x:c r="AA195" s="118" t="n">
        <x:v>0</x:v>
      </x:c>
      <x:c r="AB195" s="118" t="n">
        <x:v>0</x:v>
      </x:c>
      <x:c r="AC195" s="118" t="n">
        <x:v>0</x:v>
      </x:c>
    </x:row>
    <x:row r="196" ht="46" customHeight="1">
      <x:c r="A196" s="117" t="str">
        <x:v>300Ro000007doaUIAQ</x:v>
      </x:c>
      <x:c r="B196" s="117" t="str">
        <x:v>Debit_Memos_Rollup</x:v>
      </x:c>
      <x:c r="C196" s="117" t="str">
        <x:v>Yes</x:v>
      </x:c>
      <x:c r="D196" s="119" t="str">
        <x:v>Active v1 (Retrieved XML)</x:v>
      </x:c>
      <x:c r="E196" s="119" t="str"/>
      <x:c r="F196" s="119" t="str">
        <x:v>Debit_Memos__c, Opportunity</x:v>
      </x:c>
      <x:c r="G196" s="119" t="str">
        <x:v>Opportunity__c</x:v>
      </x:c>
      <x:c r="H196" s="119" t="str"/>
      <x:c r="I196" s="119" t="str"/>
      <x:c r="J196" s="119" t="str"/>
      <x:c r="K196" s="118" t="n">
        <x:v>6</x:v>
      </x:c>
      <x:c r="L196" s="118" t="n">
        <x:v>0</x:v>
      </x:c>
      <x:c r="M196" s="118" t="n">
        <x:v>0</x:v>
      </x:c>
      <x:c r="N196" s="118" t="n">
        <x:v>2</x:v>
      </x:c>
      <x:c r="O196" s="118" t="n">
        <x:v>0</x:v>
      </x:c>
      <x:c r="P196" s="118" t="n">
        <x:v>0</x:v>
      </x:c>
      <x:c r="Q196" s="118" t="n">
        <x:v>0</x:v>
      </x:c>
      <x:c r="R196" s="118" t="n">
        <x:v>1</x:v>
      </x:c>
      <x:c r="S196" s="118" t="n">
        <x:v>0</x:v>
      </x:c>
      <x:c r="T196" s="118" t="n">
        <x:v>0</x:v>
      </x:c>
      <x:c r="U196" s="118" t="n">
        <x:v>0</x:v>
      </x:c>
      <x:c r="V196" s="118" t="n">
        <x:v>1</x:v>
      </x:c>
      <x:c r="W196" s="118" t="n">
        <x:v>0</x:v>
      </x:c>
      <x:c r="X196" s="118" t="n">
        <x:v>1</x:v>
      </x:c>
      <x:c r="Y196" s="118" t="n">
        <x:v>0</x:v>
      </x:c>
      <x:c r="Z196" s="118" t="n">
        <x:v>0</x:v>
      </x:c>
      <x:c r="AA196" s="118" t="n">
        <x:v>0</x:v>
      </x:c>
      <x:c r="AB196" s="118" t="n">
        <x:v>0</x:v>
      </x:c>
      <x:c r="AC196" s="118" t="n">
        <x:v>0</x:v>
      </x:c>
    </x:row>
    <x:row r="197" ht="46" customHeight="1">
      <x:c r="A197" s="117" t="str">
        <x:v>300Ro00000kCnFSIA0</x:v>
      </x:c>
      <x:c r="B197" s="117" t="str">
        <x:v>Delete_Event_Autolaunched_Flow</x:v>
      </x:c>
      <x:c r="C197" s="117" t="str">
        <x:v>No</x:v>
      </x:c>
      <x:c r="D197" s="119" t="str">
        <x:v>Latest inactive v1 (Retrieved XML)</x:v>
      </x:c>
      <x:c r="E197" s="119" t="str"/>
      <x:c r="F197" s="119" t="str">
        <x:v>Event</x:v>
      </x:c>
      <x:c r="G197" s="119" t="str">
        <x:v>WhatId</x:v>
      </x:c>
      <x:c r="H197" s="119" t="str"/>
      <x:c r="I197" s="119" t="str"/>
      <x:c r="J197" s="119" t="str"/>
      <x:c r="K197" s="118" t="n">
        <x:v>3</x:v>
      </x:c>
      <x:c r="L197" s="118" t="n">
        <x:v>0</x:v>
      </x:c>
      <x:c r="M197" s="118" t="n">
        <x:v>0</x:v>
      </x:c>
      <x:c r="N197" s="118" t="n">
        <x:v>0</x:v>
      </x:c>
      <x:c r="O197" s="118" t="n">
        <x:v>0</x:v>
      </x:c>
      <x:c r="P197" s="118" t="n">
        <x:v>0</x:v>
      </x:c>
      <x:c r="Q197" s="118" t="n">
        <x:v>0</x:v>
      </x:c>
      <x:c r="R197" s="118" t="n">
        <x:v>0</x:v>
      </x:c>
      <x:c r="S197" s="118" t="n">
        <x:v>0</x:v>
      </x:c>
      <x:c r="T197" s="118" t="n">
        <x:v>0</x:v>
      </x:c>
      <x:c r="U197" s="118" t="n">
        <x:v>1</x:v>
      </x:c>
      <x:c r="V197" s="118" t="n">
        <x:v>1</x:v>
      </x:c>
      <x:c r="W197" s="118" t="n">
        <x:v>0</x:v>
      </x:c>
      <x:c r="X197" s="118" t="n">
        <x:v>0</x:v>
      </x:c>
      <x:c r="Y197" s="118" t="n">
        <x:v>0</x:v>
      </x:c>
      <x:c r="Z197" s="118" t="n">
        <x:v>0</x:v>
      </x:c>
      <x:c r="AA197" s="118" t="n">
        <x:v>0</x:v>
      </x:c>
      <x:c r="AB197" s="118" t="n">
        <x:v>0</x:v>
      </x:c>
      <x:c r="AC197" s="118" t="n">
        <x:v>0</x:v>
      </x:c>
    </x:row>
    <x:row r="198" ht="46" customHeight="1">
      <x:c r="A198" s="117" t="str">
        <x:v>3005b000000PzHaAAK</x:v>
      </x:c>
      <x:c r="B198" s="117" t="str">
        <x:v>Delete_Select_Products_from_Opportunity_Screen_Flow</x:v>
      </x:c>
      <x:c r="C198" s="117" t="str">
        <x:v>Yes</x:v>
      </x:c>
      <x:c r="D198" s="119" t="str">
        <x:v>Active v1 (Retrieved XML)</x:v>
      </x:c>
      <x:c r="E198" s="119" t="str"/>
      <x:c r="F198" s="119" t="str">
        <x:v>OpportunityLineItem</x:v>
      </x:c>
      <x:c r="G198" s="119" t="str">
        <x:v>OpportunityId</x:v>
      </x:c>
      <x:c r="H198" s="119" t="str"/>
      <x:c r="I198" s="119" t="str"/>
      <x:c r="J198" s="119" t="str">
        <x:v>flowruntime:datatable</x:v>
      </x:c>
      <x:c r="K198" s="118" t="n">
        <x:v>5</x:v>
      </x:c>
      <x:c r="L198" s="118" t="n">
        <x:v>0</x:v>
      </x:c>
      <x:c r="M198" s="118" t="n">
        <x:v>0</x:v>
      </x:c>
      <x:c r="N198" s="118" t="n">
        <x:v>0</x:v>
      </x:c>
      <x:c r="O198" s="118" t="n">
        <x:v>0</x:v>
      </x:c>
      <x:c r="P198" s="118" t="n">
        <x:v>0</x:v>
      </x:c>
      <x:c r="Q198" s="118" t="n">
        <x:v>0</x:v>
      </x:c>
      <x:c r="R198" s="118" t="n">
        <x:v>1</x:v>
      </x:c>
      <x:c r="S198" s="118" t="n">
        <x:v>0</x:v>
      </x:c>
      <x:c r="T198" s="118" t="n">
        <x:v>0</x:v>
      </x:c>
      <x:c r="U198" s="118" t="n">
        <x:v>1</x:v>
      </x:c>
      <x:c r="V198" s="118" t="n">
        <x:v>1</x:v>
      </x:c>
      <x:c r="W198" s="118" t="n">
        <x:v>0</x:v>
      </x:c>
      <x:c r="X198" s="118" t="n">
        <x:v>0</x:v>
      </x:c>
      <x:c r="Y198" s="118" t="n">
        <x:v>1</x:v>
      </x:c>
      <x:c r="Z198" s="118" t="n">
        <x:v>0</x:v>
      </x:c>
      <x:c r="AA198" s="118" t="n">
        <x:v>0</x:v>
      </x:c>
      <x:c r="AB198" s="118" t="n">
        <x:v>0</x:v>
      </x:c>
      <x:c r="AC198" s="118" t="n">
        <x:v>0</x:v>
      </x:c>
    </x:row>
    <x:row r="199" ht="46" customHeight="1">
      <x:c r="A199" s="117" t="str">
        <x:v>300Ro00000Pz0kkIAB</x:v>
      </x:c>
      <x:c r="B199" s="117" t="str">
        <x:v>Dental_Checklist</x:v>
      </x:c>
      <x:c r="C199" s="117" t="str">
        <x:v>Yes</x:v>
      </x:c>
      <x:c r="D199" s="119" t="str">
        <x:v>Active v8 (Retrieved XML)</x:v>
      </x:c>
      <x:c r="E199" s="119" t="str"/>
      <x:c r="F199" s="119" t="str">
        <x:v>ServiceAppointment, WorkOrder</x:v>
      </x:c>
      <x:c r="G199" s="119" t="str">
        <x:v>Additional_Documentation_Reference__c, Alignment_and_Centring_Comments__c, Alignment_and_Centring__c, Alignment_and_Positioning_Comments__c, Alignment_and_Positioning__c, Bearings_and_Tracks_Comments__c, Bearings_and_Tracks__c, Checklist_Output_Formatted_1__c, Checklist_Output_Formatted_2__c, Checklist_Output_Formatted_3__c, Checklist_Output_Formatted_4__c, Checklist_Output_Formatted_5__c, Checklist_Output_Formatted_6__c, Checklist_Output_Formatted__c, Checklist_Type__c, Collimator_Comments__c, Collimator_Function_and_Alignment__c, Counterbalance_Comments__c, Counterbalance__c, Covers_Secured_Comments__c, Covers_Secured__c, Detector_Calibration_Comments__c, Detector_Calibration__c, Detector_Drives_and_Sensors_Comments__c, Detector_Drives_and_Sensors__c, Detector_Uniformity_Comments__c, Detector_Uniformity__c, Emergency_Stop_Switches_Comments__c, Emergency_Stop_Switches_and_Isolators__c, End_to_End_DICOM_Comments__c, End_to_End_DICOM__c, Error_Logs_Comments__c, Error_Logs__c, Exposure_Indicators_Comments__c, Exposure_Indicators__c, Final_Functional_Checks_Comments__c, Final_Functional_Checks__c, Final_Visual_Checks_Comments__c, Final_Visual_Checks__c, Generate_Service_Report_HTML__c, Handswitch_and_Foot_Pedals_Comments__c, Handswitch_and_Foot_Pedals__c, Id, Interlocks_and_Mechanical_Stops_Comments__c, Interlocks_and_Mechanical_Stops__c, Lamp_and_Laser_Alignment_Comments__c, Lamp_and_Laser_Alignment__c, Mechanical_Security_Comments__c, Mechanical_Security__c, Motorised_Positioning_Comments__c, Motorised_Positioning__c, Mountings_and_Fixings_Comments__c, Mountings_and_Fixings__c, Post_Processing_Functions_Comments__c, Post_Processing_Functions__c, System_Earth_Continuity_Comments__c, System_Earth_Continuity__c, UI_Clean_Comments__c, UI_Clean_Completed__c, Ventilation_Clean_Comments__c, Ventilation_Clean__c, Visual_Inspection_Comments__c, Visual_Inspection__c, Wire_Ropes_and_Pulleys_Comments__c, Wire_Ropes_and_Pulleys__c, kV_mA_EC_and_Timing_Comments__c, kV_mA_Exposure_Checks_and_Timing__c</x:v>
      </x:c>
      <x:c r="H199" s="119" t="str"/>
      <x:c r="I199" s="119" t="str"/>
      <x:c r="J199" s="119" t="str"/>
      <x:c r="K199" s="118" t="n">
        <x:v>16</x:v>
      </x:c>
      <x:c r="L199" s="118" t="n">
        <x:v>0</x:v>
      </x:c>
      <x:c r="M199" s="118" t="n">
        <x:v>0</x:v>
      </x:c>
      <x:c r="N199" s="118" t="n">
        <x:v>0</x:v>
      </x:c>
      <x:c r="O199" s="118" t="n">
        <x:v>0</x:v>
      </x:c>
      <x:c r="P199" s="118" t="n">
        <x:v>0</x:v>
      </x:c>
      <x:c r="Q199" s="118" t="n">
        <x:v>0</x:v>
      </x:c>
      <x:c r="R199" s="118" t="n">
        <x:v>0</x:v>
      </x:c>
      <x:c r="S199" s="118" t="n">
        <x:v>0</x:v>
      </x:c>
      <x:c r="T199" s="118" t="n">
        <x:v>0</x:v>
      </x:c>
      <x:c r="U199" s="118" t="n">
        <x:v>0</x:v>
      </x:c>
      <x:c r="V199" s="118" t="n">
        <x:v>1</x:v>
      </x:c>
      <x:c r="W199" s="118" t="n">
        <x:v>0</x:v>
      </x:c>
      <x:c r="X199" s="118" t="n">
        <x:v>7</x:v>
      </x:c>
      <x:c r="Y199" s="118" t="n">
        <x:v>7</x:v>
      </x:c>
      <x:c r="Z199" s="118" t="n">
        <x:v>0</x:v>
      </x:c>
      <x:c r="AA199" s="118" t="n">
        <x:v>0</x:v>
      </x:c>
      <x:c r="AB199" s="118" t="n">
        <x:v>0</x:v>
      </x:c>
      <x:c r="AC199" s="118" t="n">
        <x:v>0</x:v>
      </x:c>
    </x:row>
    <x:row r="200" ht="46" customHeight="1">
      <x:c r="A200" s="117" t="str">
        <x:v>300Ro00000Pz0kjIAB</x:v>
      </x:c>
      <x:c r="B200" s="117" t="str">
        <x:v>DEXA_Checklist</x:v>
      </x:c>
      <x:c r="C200" s="117" t="str">
        <x:v>Yes</x:v>
      </x:c>
      <x:c r="D200" s="119" t="str">
        <x:v>Active v6 (Retrieved XML)</x:v>
      </x:c>
      <x:c r="E200" s="119" t="str"/>
      <x:c r="F200" s="119" t="str">
        <x:v>ServiceAppointment, WorkOrder</x:v>
      </x:c>
      <x:c r="G200" s="119" t="str">
        <x:v>Additional_Documentation_Reference__c, Alignment_and_Centring_Comments__c, Alignment_and_Centring__c, Alignment_and_Positioning_Comments__c, Alignment_and_Positioning__c, Bearings_and_Tracks_Comments__c, Bearings_and_Tracks__c, CS_and_HE_Comments__c, C_Arm_Movements_Comments__c, C_Arm_Movements__c, Cables_and_Hanger_Supports_Comments__c, Cables_and_Hanger_Supports__c, Checklist_Output_Formatted_1__c, Checklist_Output_Formatted_2__c, Checklist_Output_Formatted_3__c, Checklist_Output_Formatted_4__c, Checklist_Output_Formatted_5__c, Checklist_Output_Formatted_6__c, Checklist_Output_Formatted__c, Checklist_Type__c, Collimator_Comments__c, Collimator_Function_and_Alignment__c, Cooling_Systems_and_Heat_Exchangers__c, Covers_Secured_Comments__c, Covers_Secured__c, Detector_Calibration_Comments__c, Detector_Calibration__c, Detector_Uniformity_Comments__c, Detector_Uniformity__c, Emergency_Stop_Switches_Comments__c, Emergency_Stop_Switches_and_Isolators__c, End_to_End_DICOM_Comments__c, End_to_End_DICOM__c, Error_Logs_Comments__c, Error_Logs__c, Final_Functional_Checks_Comments__c, Final_Functional_Checks__c, Final_Visual_Checks_Comments__c, Final_Visual_Checks__c, Generate_Service_Report_HTML__c, Id, Interconnect_Collision_Detects_Comments__c, Interconnect_Collision_Detects__c, Limit_Switches_Comments__c, Limit_Switches__c, Mechanical_Security_Comments__c, Mechanical_Security__c, Mechanical_Visual_Inspection_Comments__c, Mechanical_Visual_Inspection__c, Motorised_Positioning_Comments__c, Motorised_Positioning__c, Mountings_and_Fixings_Comments__c, Mountings_and_Fixings__c, Movements_Comments__c, Movements__c, Positioning_Aids_and_Supports_Comments__c, Positioning_Aids_and_Supports__c, Room_Warning_Lights_Comments__c, Room_Warning_Lights__c, Switches_Pedals_and_Controls_Comments__c, Switches_Pedals_and_Controls__c, System_Earth_Continuity_Comments__c, System_Earth_Continuity__c, Tube_Alignment_Comments__c, Tube_Alignment__c, UI_Clean_Comments__c, UI_Clean_Completed__c, Visual_Inspection_Comments__c, Visual_Inspection__c, Wire_Ropes_and_Pulleys_Comments__c, Wire_Ropes_and_Pulleys__c</x:v>
      </x:c>
      <x:c r="H200" s="119" t="str"/>
      <x:c r="I200" s="119" t="str"/>
      <x:c r="J200" s="119" t="str"/>
      <x:c r="K200" s="118" t="n">
        <x:v>16</x:v>
      </x:c>
      <x:c r="L200" s="118" t="n">
        <x:v>0</x:v>
      </x:c>
      <x:c r="M200" s="118" t="n">
        <x:v>0</x:v>
      </x:c>
      <x:c r="N200" s="118" t="n">
        <x:v>0</x:v>
      </x:c>
      <x:c r="O200" s="118" t="n">
        <x:v>0</x:v>
      </x:c>
      <x:c r="P200" s="118" t="n">
        <x:v>0</x:v>
      </x:c>
      <x:c r="Q200" s="118" t="n">
        <x:v>0</x:v>
      </x:c>
      <x:c r="R200" s="118" t="n">
        <x:v>0</x:v>
      </x:c>
      <x:c r="S200" s="118" t="n">
        <x:v>0</x:v>
      </x:c>
      <x:c r="T200" s="118" t="n">
        <x:v>0</x:v>
      </x:c>
      <x:c r="U200" s="118" t="n">
        <x:v>0</x:v>
      </x:c>
      <x:c r="V200" s="118" t="n">
        <x:v>1</x:v>
      </x:c>
      <x:c r="W200" s="118" t="n">
        <x:v>0</x:v>
      </x:c>
      <x:c r="X200" s="118" t="n">
        <x:v>7</x:v>
      </x:c>
      <x:c r="Y200" s="118" t="n">
        <x:v>7</x:v>
      </x:c>
      <x:c r="Z200" s="118" t="n">
        <x:v>0</x:v>
      </x:c>
      <x:c r="AA200" s="118" t="n">
        <x:v>0</x:v>
      </x:c>
      <x:c r="AB200" s="118" t="n">
        <x:v>0</x:v>
      </x:c>
      <x:c r="AC200" s="118" t="n">
        <x:v>0</x:v>
      </x:c>
    </x:row>
    <x:row r="201" ht="46" customHeight="1">
      <x:c r="A201" s="117" t="str">
        <x:v>300Ro00000tZphgIAC</x:v>
      </x:c>
      <x:c r="B201" s="117" t="str">
        <x:v>Disaster_Recovery_Project_Raise_Invoice_from_Charges</x:v>
      </x:c>
      <x:c r="C201" s="117" t="str">
        <x:v>Yes</x:v>
      </x:c>
      <x:c r="D201" s="119" t="str">
        <x:v>Active v7 (Retrieved XML)</x:v>
      </x:c>
      <x:c r="E201" s="119" t="str"/>
      <x:c r="F201" s="119" t="str">
        <x:v>Disaster_Recovery_Project__c, Invoice_Line_Item__c, Opportunity, OpportunityLineItem, PricebookEntry, Project_Charge__c</x:v>
      </x:c>
      <x:c r="G201" s="119" t="str">
        <x:v>AccountId, Billing_Status__c, CloseDate, ContactId, Contact_Lookup__c, CurrencyIsoCode, Disaster_Recovery_Project__c, Entity__c, Id, Name, Pricebook2Id, RecordTypeId, StageName</x:v>
      </x:c>
      <x:c r="H201" s="119" t="str"/>
      <x:c r="I201" s="119" t="str">
        <x:v>DRP_Aggregate_Project_Charge_Totals</x:v>
      </x:c>
      <x:c r="J201" s="119" t="str">
        <x:v>flowruntime:datatable</x:v>
      </x:c>
      <x:c r="K201" s="118" t="n">
        <x:v>39</x:v>
      </x:c>
      <x:c r="L201" s="118" t="n">
        <x:v>0</x:v>
      </x:c>
      <x:c r="M201" s="118" t="n">
        <x:v>0</x:v>
      </x:c>
      <x:c r="N201" s="118" t="n">
        <x:v>18</x:v>
      </x:c>
      <x:c r="O201" s="118" t="n">
        <x:v>0</x:v>
      </x:c>
      <x:c r="P201" s="118" t="n">
        <x:v>0</x:v>
      </x:c>
      <x:c r="Q201" s="118" t="n">
        <x:v>11</x:v>
      </x:c>
      <x:c r="R201" s="118" t="n">
        <x:v>0</x:v>
      </x:c>
      <x:c r="S201" s="118" t="n">
        <x:v>0</x:v>
      </x:c>
      <x:c r="T201" s="118" t="n">
        <x:v>2</x:v>
      </x:c>
      <x:c r="U201" s="118" t="n">
        <x:v>0</x:v>
      </x:c>
      <x:c r="V201" s="118" t="n">
        <x:v>3</x:v>
      </x:c>
      <x:c r="W201" s="118" t="n">
        <x:v>0</x:v>
      </x:c>
      <x:c r="X201" s="118" t="n">
        <x:v>1</x:v>
      </x:c>
      <x:c r="Y201" s="118" t="n">
        <x:v>2</x:v>
      </x:c>
      <x:c r="Z201" s="118" t="n">
        <x:v>0</x:v>
      </x:c>
      <x:c r="AA201" s="118" t="n">
        <x:v>1</x:v>
      </x:c>
      <x:c r="AB201" s="118" t="n">
        <x:v>0</x:v>
      </x:c>
      <x:c r="AC201" s="118" t="n">
        <x:v>0</x:v>
      </x:c>
    </x:row>
    <x:row r="202" ht="46" customHeight="1">
      <x:c r="A202" s="117" t="str">
        <x:v>300Ro00000sxBWfIAM</x:v>
      </x:c>
      <x:c r="B202" s="117" t="str">
        <x:v>Document_Review_Change_Control_Form_Screen_Flow</x:v>
      </x:c>
      <x:c r="C202" s="117" t="str">
        <x:v>Yes</x:v>
      </x:c>
      <x:c r="D202" s="119" t="str">
        <x:v>Active v4 (Retrieved XML)</x:v>
      </x:c>
      <x:c r="E202" s="119" t="str"/>
      <x:c r="F202" s="119" t="str"/>
      <x:c r="G202" s="119" t="str"/>
      <x:c r="H202" s="119" t="str"/>
      <x:c r="I202" s="119" t="str"/>
      <x:c r="J202" s="119" t="str">
        <x:v>flowruntime:name</x:v>
      </x:c>
      <x:c r="K202" s="118" t="n">
        <x:v>2</x:v>
      </x:c>
      <x:c r="L202" s="118" t="n">
        <x:v>0</x:v>
      </x:c>
      <x:c r="M202" s="118" t="n">
        <x:v>0</x:v>
      </x:c>
      <x:c r="N202" s="118" t="n">
        <x:v>0</x:v>
      </x:c>
      <x:c r="O202" s="118" t="n">
        <x:v>0</x:v>
      </x:c>
      <x:c r="P202" s="118" t="n">
        <x:v>0</x:v>
      </x:c>
      <x:c r="Q202" s="118" t="n">
        <x:v>0</x:v>
      </x:c>
      <x:c r="R202" s="118" t="n">
        <x:v>0</x:v>
      </x:c>
      <x:c r="S202" s="118" t="n">
        <x:v>0</x:v>
      </x:c>
      <x:c r="T202" s="118" t="n">
        <x:v>0</x:v>
      </x:c>
      <x:c r="U202" s="118" t="n">
        <x:v>0</x:v>
      </x:c>
      <x:c r="V202" s="118" t="n">
        <x:v>0</x:v>
      </x:c>
      <x:c r="W202" s="118" t="n">
        <x:v>0</x:v>
      </x:c>
      <x:c r="X202" s="118" t="n">
        <x:v>0</x:v>
      </x:c>
      <x:c r="Y202" s="118" t="n">
        <x:v>1</x:v>
      </x:c>
      <x:c r="Z202" s="118" t="n">
        <x:v>0</x:v>
      </x:c>
      <x:c r="AA202" s="118" t="n">
        <x:v>0</x:v>
      </x:c>
      <x:c r="AB202" s="118" t="n">
        <x:v>0</x:v>
      </x:c>
      <x:c r="AC202" s="118" t="n">
        <x:v>0</x:v>
      </x:c>
    </x:row>
    <x:row r="203" ht="46" customHeight="1">
      <x:c r="A203" s="117" t="str">
        <x:v>300Ro00000sMu66IAC</x:v>
      </x:c>
      <x:c r="B203" s="117" t="str">
        <x:v>Document_Review_Status_Automation</x:v>
      </x:c>
      <x:c r="C203" s="117" t="str">
        <x:v>Yes</x:v>
      </x:c>
      <x:c r="D203" s="119" t="str">
        <x:v>Active v3 (Retrieved XML)</x:v>
      </x:c>
      <x:c r="E203" s="119" t="str">
        <x:v>Status__c IsChanged booleanValue=true</x:v>
      </x:c>
      <x:c r="F203" s="119" t="str">
        <x:v>Document_Review__c</x:v>
      </x:c>
      <x:c r="G203" s="119" t="str">
        <x:v>Last_Reviewed_By__c, Last_Reviewed_Date__c, Published_Date__c, Review_Outcome__c, Status__c, Training_Item__r</x:v>
      </x:c>
      <x:c r="H203" s="119" t="str"/>
      <x:c r="I203" s="119" t="str"/>
      <x:c r="J203" s="119" t="str"/>
      <x:c r="K203" s="118" t="n">
        <x:v>4</x:v>
      </x:c>
      <x:c r="L203" s="118" t="n">
        <x:v>0</x:v>
      </x:c>
      <x:c r="M203" s="118" t="n">
        <x:v>0</x:v>
      </x:c>
      <x:c r="N203" s="118" t="n">
        <x:v>0</x:v>
      </x:c>
      <x:c r="O203" s="118" t="n">
        <x:v>0</x:v>
      </x:c>
      <x:c r="P203" s="118" t="n">
        <x:v>0</x:v>
      </x:c>
      <x:c r="Q203" s="118" t="n">
        <x:v>1</x:v>
      </x:c>
      <x:c r="R203" s="118" t="n">
        <x:v>0</x:v>
      </x:c>
      <x:c r="S203" s="118" t="n">
        <x:v>0</x:v>
      </x:c>
      <x:c r="T203" s="118" t="n">
        <x:v>0</x:v>
      </x:c>
      <x:c r="U203" s="118" t="n">
        <x:v>0</x:v>
      </x:c>
      <x:c r="V203" s="118" t="n">
        <x:v>0</x:v>
      </x:c>
      <x:c r="W203" s="118" t="n">
        <x:v>0</x:v>
      </x:c>
      <x:c r="X203" s="118" t="n">
        <x:v>2</x:v>
      </x:c>
      <x:c r="Y203" s="118" t="n">
        <x:v>0</x:v>
      </x:c>
      <x:c r="Z203" s="118" t="n">
        <x:v>0</x:v>
      </x:c>
      <x:c r="AA203" s="118" t="n">
        <x:v>0</x:v>
      </x:c>
      <x:c r="AB203" s="118" t="n">
        <x:v>0</x:v>
      </x:c>
      <x:c r="AC203" s="118" t="n">
        <x:v>0</x:v>
      </x:c>
    </x:row>
    <x:row r="204" ht="46" customHeight="1">
      <x:c r="A204" s="117" t="str">
        <x:v>300Ro000013yaGHIAY</x:v>
      </x:c>
      <x:c r="B204" s="117" t="str">
        <x:v>DRP_Aggregate_Project_Charge_Totals</x:v>
      </x:c>
      <x:c r="C204" s="117" t="str">
        <x:v>Yes</x:v>
      </x:c>
      <x:c r="D204" s="119" t="str">
        <x:v>Active v2 (Retrieved XML)</x:v>
      </x:c>
      <x:c r="E204" s="119" t="str"/>
      <x:c r="F204" s="119" t="str">
        <x:v>Project_Charge__c</x:v>
      </x:c>
      <x:c r="G204" s="119" t="str"/>
      <x:c r="H204" s="119" t="str"/>
      <x:c r="I204" s="119" t="str"/>
      <x:c r="J204" s="119" t="str"/>
      <x:c r="K204" s="118" t="n">
        <x:v>3</x:v>
      </x:c>
      <x:c r="L204" s="118" t="n">
        <x:v>0</x:v>
      </x:c>
      <x:c r="M204" s="118" t="n">
        <x:v>0</x:v>
      </x:c>
      <x:c r="N204" s="118" t="n">
        <x:v>1</x:v>
      </x:c>
      <x:c r="O204" s="118" t="n">
        <x:v>0</x:v>
      </x:c>
      <x:c r="P204" s="118" t="n">
        <x:v>0</x:v>
      </x:c>
      <x:c r="Q204" s="118" t="n">
        <x:v>0</x:v>
      </x:c>
      <x:c r="R204" s="118" t="n">
        <x:v>1</x:v>
      </x:c>
      <x:c r="S204" s="118" t="n">
        <x:v>0</x:v>
      </x:c>
      <x:c r="T204" s="118" t="n">
        <x:v>0</x:v>
      </x:c>
      <x:c r="U204" s="118" t="n">
        <x:v>0</x:v>
      </x:c>
      <x:c r="V204" s="118" t="n">
        <x:v>0</x:v>
      </x:c>
      <x:c r="W204" s="118" t="n">
        <x:v>0</x:v>
      </x:c>
      <x:c r="X204" s="118" t="n">
        <x:v>0</x:v>
      </x:c>
      <x:c r="Y204" s="118" t="n">
        <x:v>0</x:v>
      </x:c>
      <x:c r="Z204" s="118" t="n">
        <x:v>0</x:v>
      </x:c>
      <x:c r="AA204" s="118" t="n">
        <x:v>0</x:v>
      </x:c>
      <x:c r="AB204" s="118" t="n">
        <x:v>0</x:v>
      </x:c>
      <x:c r="AC204" s="118" t="n">
        <x:v>0</x:v>
      </x:c>
    </x:row>
    <x:row r="205" ht="46" customHeight="1">
      <x:c r="A205" s="117" t="str">
        <x:v>300Ro000013yjzLIAQ</x:v>
      </x:c>
      <x:c r="B205" s="117" t="str">
        <x:v>DRP_Create_Opportunity_and_Invoice_Records</x:v>
      </x:c>
      <x:c r="C205" s="117" t="str">
        <x:v>No</x:v>
      </x:c>
      <x:c r="D205" s="119" t="str">
        <x:v>Latest inactive v1 (Retrieved XML)</x:v>
      </x:c>
      <x:c r="E205" s="119" t="str"/>
      <x:c r="F205" s="119" t="str">
        <x:v>Project_Charge__c</x:v>
      </x:c>
      <x:c r="G205" s="119" t="str"/>
      <x:c r="H205" s="119" t="str"/>
      <x:c r="I205" s="119" t="str"/>
      <x:c r="J205" s="119" t="str"/>
      <x:c r="K205" s="118" t="n">
        <x:v>3</x:v>
      </x:c>
      <x:c r="L205" s="118" t="n">
        <x:v>0</x:v>
      </x:c>
      <x:c r="M205" s="118" t="n">
        <x:v>0</x:v>
      </x:c>
      <x:c r="N205" s="118" t="n">
        <x:v>1</x:v>
      </x:c>
      <x:c r="O205" s="118" t="n">
        <x:v>0</x:v>
      </x:c>
      <x:c r="P205" s="118" t="n">
        <x:v>0</x:v>
      </x:c>
      <x:c r="Q205" s="118" t="n">
        <x:v>0</x:v>
      </x:c>
      <x:c r="R205" s="118" t="n">
        <x:v>1</x:v>
      </x:c>
      <x:c r="S205" s="118" t="n">
        <x:v>0</x:v>
      </x:c>
      <x:c r="T205" s="118" t="n">
        <x:v>0</x:v>
      </x:c>
      <x:c r="U205" s="118" t="n">
        <x:v>0</x:v>
      </x:c>
      <x:c r="V205" s="118" t="n">
        <x:v>0</x:v>
      </x:c>
      <x:c r="W205" s="118" t="n">
        <x:v>0</x:v>
      </x:c>
      <x:c r="X205" s="118" t="n">
        <x:v>0</x:v>
      </x:c>
      <x:c r="Y205" s="118" t="n">
        <x:v>0</x:v>
      </x:c>
      <x:c r="Z205" s="118" t="n">
        <x:v>0</x:v>
      </x:c>
      <x:c r="AA205" s="118" t="n">
        <x:v>0</x:v>
      </x:c>
      <x:c r="AB205" s="118" t="n">
        <x:v>0</x:v>
      </x:c>
      <x:c r="AC205" s="118" t="n">
        <x:v>0</x:v>
      </x:c>
    </x:row>
    <x:row r="206" ht="46" customHeight="1">
      <x:c r="A206" s="117" t="str">
        <x:v>300Ro00000tZphfIAC</x:v>
      </x:c>
      <x:c r="B206" s="117" t="str">
        <x:v>DRP_Create_Project_Charge_Line_Item</x:v>
      </x:c>
      <x:c r="C206" s="117" t="str">
        <x:v>Yes</x:v>
      </x:c>
      <x:c r="D206" s="119" t="str">
        <x:v>Active v3 (Retrieved XML)</x:v>
      </x:c>
      <x:c r="E206" s="119" t="str"/>
      <x:c r="F206" s="119" t="str">
        <x:v>Activity_Product_Mapping__mdt, Disaster_Recovery_Billing_Rule__c, Product2, Project_Charge_Line_Item__c, Project_Charge__c, RecordType</x:v>
      </x:c>
      <x:c r="G206" s="119" t="str">
        <x:v>Activity_Code__c, DeveloperName, Id, Name, Product_Name__c, Rate_Type__c, Role__c</x:v>
      </x:c>
      <x:c r="H206" s="119" t="str"/>
      <x:c r="I206" s="119" t="str"/>
      <x:c r="J206" s="119" t="str">
        <x:v>flowruntime:lookup</x:v>
      </x:c>
      <x:c r="K206" s="118" t="n">
        <x:v>26</x:v>
      </x:c>
      <x:c r="L206" s="118" t="n">
        <x:v>0</x:v>
      </x:c>
      <x:c r="M206" s="118" t="n">
        <x:v>0</x:v>
      </x:c>
      <x:c r="N206" s="118" t="n">
        <x:v>9</x:v>
      </x:c>
      <x:c r="O206" s="118" t="n">
        <x:v>0</x:v>
      </x:c>
      <x:c r="P206" s="118" t="n">
        <x:v>0</x:v>
      </x:c>
      <x:c r="Q206" s="118" t="n">
        <x:v>3</x:v>
      </x:c>
      <x:c r="R206" s="118" t="n">
        <x:v>0</x:v>
      </x:c>
      <x:c r="S206" s="118" t="n">
        <x:v>0</x:v>
      </x:c>
      <x:c r="T206" s="118" t="n">
        <x:v>1</x:v>
      </x:c>
      <x:c r="U206" s="118" t="n">
        <x:v>0</x:v>
      </x:c>
      <x:c r="V206" s="118" t="n">
        <x:v>7</x:v>
      </x:c>
      <x:c r="W206" s="118" t="n">
        <x:v>0</x:v>
      </x:c>
      <x:c r="X206" s="118" t="n">
        <x:v>0</x:v>
      </x:c>
      <x:c r="Y206" s="118" t="n">
        <x:v>5</x:v>
      </x:c>
      <x:c r="Z206" s="118" t="n">
        <x:v>0</x:v>
      </x:c>
      <x:c r="AA206" s="118" t="n">
        <x:v>0</x:v>
      </x:c>
      <x:c r="AB206" s="118" t="n">
        <x:v>0</x:v>
      </x:c>
      <x:c r="AC206" s="118" t="n">
        <x:v>0</x:v>
      </x:c>
    </x:row>
    <x:row r="207" ht="46" customHeight="1">
      <x:c r="A207" s="117" t="str">
        <x:v>300Ro00000tZphdIAC</x:v>
      </x:c>
      <x:c r="B207" s="117" t="str">
        <x:v>DRP_Override_Project_Charge_Line_Item_Revenue</x:v>
      </x:c>
      <x:c r="C207" s="117" t="str">
        <x:v>Yes</x:v>
      </x:c>
      <x:c r="D207" s="119" t="str">
        <x:v>Active v1 (Retrieved XML)</x:v>
      </x:c>
      <x:c r="E207" s="119" t="str"/>
      <x:c r="F207" s="119" t="str">
        <x:v>Project_Charge_Line_Item__c</x:v>
      </x:c>
      <x:c r="G207" s="119" t="str">
        <x:v>Id, Line_Revenue_Overridden_By__c, Line_Revenue_Overridden__c, Line_Revenue_Override_Date__c, Line_Revenue__c</x:v>
      </x:c>
      <x:c r="H207" s="119" t="str"/>
      <x:c r="I207" s="119" t="str"/>
      <x:c r="J207" s="119" t="str"/>
      <x:c r="K207" s="118" t="n">
        <x:v>4</x:v>
      </x:c>
      <x:c r="L207" s="118" t="n">
        <x:v>0</x:v>
      </x:c>
      <x:c r="M207" s="118" t="n">
        <x:v>0</x:v>
      </x:c>
      <x:c r="N207" s="118" t="n">
        <x:v>0</x:v>
      </x:c>
      <x:c r="O207" s="118" t="n">
        <x:v>0</x:v>
      </x:c>
      <x:c r="P207" s="118" t="n">
        <x:v>0</x:v>
      </x:c>
      <x:c r="Q207" s="118" t="n">
        <x:v>0</x:v>
      </x:c>
      <x:c r="R207" s="118" t="n">
        <x:v>0</x:v>
      </x:c>
      <x:c r="S207" s="118" t="n">
        <x:v>0</x:v>
      </x:c>
      <x:c r="T207" s="118" t="n">
        <x:v>0</x:v>
      </x:c>
      <x:c r="U207" s="118" t="n">
        <x:v>0</x:v>
      </x:c>
      <x:c r="V207" s="118" t="n">
        <x:v>1</x:v>
      </x:c>
      <x:c r="W207" s="118" t="n">
        <x:v>0</x:v>
      </x:c>
      <x:c r="X207" s="118" t="n">
        <x:v>1</x:v>
      </x:c>
      <x:c r="Y207" s="118" t="n">
        <x:v>1</x:v>
      </x:c>
      <x:c r="Z207" s="118" t="n">
        <x:v>0</x:v>
      </x:c>
      <x:c r="AA207" s="118" t="n">
        <x:v>0</x:v>
      </x:c>
      <x:c r="AB207" s="118" t="n">
        <x:v>0</x:v>
      </x:c>
      <x:c r="AC207" s="118" t="n">
        <x:v>0</x:v>
      </x:c>
    </x:row>
    <x:row r="208" ht="46" customHeight="1">
      <x:c r="A208" s="117" t="str">
        <x:v>300Ro0000149ADUIA2</x:v>
      </x:c>
      <x:c r="B208" s="117" t="str">
        <x:v>DRP_Submit_Project_Charges_for_Invoicing</x:v>
      </x:c>
      <x:c r="C208" s="117" t="str">
        <x:v>No</x:v>
      </x:c>
      <x:c r="D208" s="119" t="str">
        <x:v>Latest inactive v1 (Retrieved XML)</x:v>
      </x:c>
      <x:c r="E208" s="119" t="str"/>
      <x:c r="F208" s="119" t="str">
        <x:v>Disaster_Recovery_Project__c, Invoice_Line_Item__c, OpportunityLineItem, Project_Charge__c</x:v>
      </x:c>
      <x:c r="G208" s="119" t="str">
        <x:v>Billing_Status__c, Disaster_Recovery_Project__c, Id</x:v>
      </x:c>
      <x:c r="H208" s="119" t="str"/>
      <x:c r="I208" s="119" t="str"/>
      <x:c r="J208" s="119" t="str">
        <x:v>flowruntime:datatable</x:v>
      </x:c>
      <x:c r="K208" s="118" t="n">
        <x:v>9</x:v>
      </x:c>
      <x:c r="L208" s="118" t="n">
        <x:v>0</x:v>
      </x:c>
      <x:c r="M208" s="118" t="n">
        <x:v>0</x:v>
      </x:c>
      <x:c r="N208" s="118" t="n">
        <x:v>1</x:v>
      </x:c>
      <x:c r="O208" s="118" t="n">
        <x:v>0</x:v>
      </x:c>
      <x:c r="P208" s="118" t="n">
        <x:v>0</x:v>
      </x:c>
      <x:c r="Q208" s="118" t="n">
        <x:v>1</x:v>
      </x:c>
      <x:c r="R208" s="118" t="n">
        <x:v>1</x:v>
      </x:c>
      <x:c r="S208" s="118" t="n">
        <x:v>0</x:v>
      </x:c>
      <x:c r="T208" s="118" t="n">
        <x:v>0</x:v>
      </x:c>
      <x:c r="U208" s="118" t="n">
        <x:v>0</x:v>
      </x:c>
      <x:c r="V208" s="118" t="n">
        <x:v>2</x:v>
      </x:c>
      <x:c r="W208" s="118" t="n">
        <x:v>0</x:v>
      </x:c>
      <x:c r="X208" s="118" t="n">
        <x:v>1</x:v>
      </x:c>
      <x:c r="Y208" s="118" t="n">
        <x:v>2</x:v>
      </x:c>
      <x:c r="Z208" s="118" t="n">
        <x:v>0</x:v>
      </x:c>
      <x:c r="AA208" s="118" t="n">
        <x:v>0</x:v>
      </x:c>
      <x:c r="AB208" s="118" t="n">
        <x:v>0</x:v>
      </x:c>
      <x:c r="AC208" s="118" t="n">
        <x:v>0</x:v>
      </x:c>
    </x:row>
    <x:row r="209" ht="46" customHeight="1">
      <x:c r="A209" s="117" t="str">
        <x:v>300Ro00000tZpheIAC</x:v>
      </x:c>
      <x:c r="B209" s="117" t="str">
        <x:v>DRP_Update_Project_Charge_Line_Item_Values</x:v>
      </x:c>
      <x:c r="C209" s="117" t="str">
        <x:v>Yes</x:v>
      </x:c>
      <x:c r="D209" s="119" t="str">
        <x:v>Active v1 (Retrieved XML)</x:v>
      </x:c>
      <x:c r="E209" s="119" t="str">
        <x:v>Activity_Code__c IsChanged booleanValue=true | Role__c IsChanged booleanValue=true | Rate_Type__c IsChanged booleanValue=true | Cost_per_Unit__c IsChanged booleanValue=true | Disaster_Recovery_Billing_Rule__c IsNull booleanValue=true | Quantity__c IsChanged booleanValue=true</x:v>
      </x:c>
      <x:c r="F209" s="119" t="str">
        <x:v>Disaster_Recovery_Billing_Rule__c, Project_Charge_Line_Item__c</x:v>
      </x:c>
      <x:c r="G209" s="119" t="str">
        <x:v>Activity_Code__c, Calculated_Line_Revenue__c, Cost_per_Unit__c, Disaster_Recovery_Billing_Rule__c, Line_Revenue_Overridden__c, Line_Revenue__c, Markup_Percentage__c, Quantity__c, Rate_Type__c, RecordType, Role__c, Unit_Price__c</x:v>
      </x:c>
      <x:c r="H209" s="119" t="str"/>
      <x:c r="I209" s="119" t="str"/>
      <x:c r="J209" s="119" t="str"/>
      <x:c r="K209" s="118" t="n">
        <x:v>10</x:v>
      </x:c>
      <x:c r="L209" s="118" t="n">
        <x:v>0</x:v>
      </x:c>
      <x:c r="M209" s="118" t="n">
        <x:v>0</x:v>
      </x:c>
      <x:c r="N209" s="118" t="n">
        <x:v>4</x:v>
      </x:c>
      <x:c r="O209" s="118" t="n">
        <x:v>0</x:v>
      </x:c>
      <x:c r="P209" s="118" t="n">
        <x:v>0</x:v>
      </x:c>
      <x:c r="Q209" s="118" t="n">
        <x:v>3</x:v>
      </x:c>
      <x:c r="R209" s="118" t="n">
        <x:v>0</x:v>
      </x:c>
      <x:c r="S209" s="118" t="n">
        <x:v>0</x:v>
      </x:c>
      <x:c r="T209" s="118" t="n">
        <x:v>0</x:v>
      </x:c>
      <x:c r="U209" s="118" t="n">
        <x:v>0</x:v>
      </x:c>
      <x:c r="V209" s="118" t="n">
        <x:v>2</x:v>
      </x:c>
      <x:c r="W209" s="118" t="n">
        <x:v>0</x:v>
      </x:c>
      <x:c r="X209" s="118" t="n">
        <x:v>0</x:v>
      </x:c>
      <x:c r="Y209" s="118" t="n">
        <x:v>0</x:v>
      </x:c>
      <x:c r="Z209" s="118" t="n">
        <x:v>0</x:v>
      </x:c>
      <x:c r="AA209" s="118" t="n">
        <x:v>0</x:v>
      </x:c>
      <x:c r="AB209" s="118" t="n">
        <x:v>0</x:v>
      </x:c>
      <x:c r="AC209" s="118" t="n">
        <x:v>0</x:v>
      </x:c>
    </x:row>
    <x:row r="210" ht="46" customHeight="1">
      <x:c r="A210" s="117" t="str">
        <x:v>3004O000000HGWiQAO</x:v>
      </x:c>
      <x:c r="B210" s="117" t="str">
        <x:v>e2a_Adding_e2a_email_on_Opportunity_record</x:v>
      </x:c>
      <x:c r="C210" s="117" t="str">
        <x:v>No</x:v>
      </x:c>
      <x:c r="D210" s="119" t="str">
        <x:v>Latest inactive v1 (Retrieved XML)</x:v>
      </x:c>
      <x:c r="E210" s="119" t="str"/>
      <x:c r="F210" s="119" t="str">
        <x:v>Opportunity, ortoo_e2a__EmailMessage__c</x:v>
      </x:c>
      <x:c r="G210" s="119" t="str">
        <x:v>Id, ortoo_e2a__Opportunity_Id__c</x:v>
      </x:c>
      <x:c r="H210" s="119" t="str"/>
      <x:c r="I210" s="119" t="str"/>
      <x:c r="J210" s="119" t="str"/>
      <x:c r="K210" s="118" t="n">
        <x:v>2</x:v>
      </x:c>
      <x:c r="L210" s="118" t="n">
        <x:v>0</x:v>
      </x:c>
      <x:c r="M210" s="118" t="n">
        <x:v>0</x:v>
      </x:c>
      <x:c r="N210" s="118" t="n">
        <x:v>0</x:v>
      </x:c>
      <x:c r="O210" s="118" t="n">
        <x:v>0</x:v>
      </x:c>
      <x:c r="P210" s="118" t="n">
        <x:v>0</x:v>
      </x:c>
      <x:c r="Q210" s="118" t="n">
        <x:v>1</x:v>
      </x:c>
      <x:c r="R210" s="118" t="n">
        <x:v>0</x:v>
      </x:c>
      <x:c r="S210" s="118" t="n">
        <x:v>0</x:v>
      </x:c>
      <x:c r="T210" s="118" t="n">
        <x:v>0</x:v>
      </x:c>
      <x:c r="U210" s="118" t="n">
        <x:v>0</x:v>
      </x:c>
      <x:c r="V210" s="118" t="n">
        <x:v>0</x:v>
      </x:c>
      <x:c r="W210" s="118" t="n">
        <x:v>0</x:v>
      </x:c>
      <x:c r="X210" s="118" t="n">
        <x:v>1</x:v>
      </x:c>
      <x:c r="Y210" s="118" t="n">
        <x:v>0</x:v>
      </x:c>
      <x:c r="Z210" s="118" t="n">
        <x:v>0</x:v>
      </x:c>
      <x:c r="AA210" s="118" t="n">
        <x:v>0</x:v>
      </x:c>
      <x:c r="AB210" s="118" t="n">
        <x:v>0</x:v>
      </x:c>
      <x:c r="AC210" s="118" t="n">
        <x:v>0</x:v>
      </x:c>
    </x:row>
    <x:row r="211" ht="46" customHeight="1">
      <x:c r="A211" s="117" t="str">
        <x:v>3004O0000008mCxQAI</x:v>
      </x:c>
      <x:c r="B211" s="117" t="str">
        <x:v>e2a_Create_an_opportunity_when_e2a_email_attaches_to_existing_contact</x:v>
      </x:c>
      <x:c r="C211" s="117" t="str">
        <x:v>Yes</x:v>
      </x:c>
      <x:c r="D211" s="119" t="str">
        <x:v>Active v7 (Retrieved XML)</x:v>
      </x:c>
      <x:c r="E211" s="119" t="str"/>
      <x:c r="F211" s="119" t="str">
        <x:v>Contact, Opportunity, ortoo_e2a__EmailMessage__c</x:v>
      </x:c>
      <x:c r="G211" s="119" t="str">
        <x:v>AccountId, CloseDate, ContactId, Contact_Lookup__c, Description, Id, LeadSource, Name, OwnerId, StageName, e2a_email_attached_to_existing_contact__c, e2a_email_id__c</x:v>
      </x:c>
      <x:c r="H211" s="119" t="str"/>
      <x:c r="I211" s="119" t="str"/>
      <x:c r="J211" s="119" t="str"/>
      <x:c r="K211" s="118" t="n">
        <x:v>6</x:v>
      </x:c>
      <x:c r="L211" s="118" t="n">
        <x:v>0</x:v>
      </x:c>
      <x:c r="M211" s="118" t="n">
        <x:v>0</x:v>
      </x:c>
      <x:c r="N211" s="118" t="n">
        <x:v>0</x:v>
      </x:c>
      <x:c r="O211" s="118" t="n">
        <x:v>0</x:v>
      </x:c>
      <x:c r="P211" s="118" t="n">
        <x:v>0</x:v>
      </x:c>
      <x:c r="Q211" s="118" t="n">
        <x:v>2</x:v>
      </x:c>
      <x:c r="R211" s="118" t="n">
        <x:v>0</x:v>
      </x:c>
      <x:c r="S211" s="118" t="n">
        <x:v>0</x:v>
      </x:c>
      <x:c r="T211" s="118" t="n">
        <x:v>2</x:v>
      </x:c>
      <x:c r="U211" s="118" t="n">
        <x:v>0</x:v>
      </x:c>
      <x:c r="V211" s="118" t="n">
        <x:v>0</x:v>
      </x:c>
      <x:c r="W211" s="118" t="n">
        <x:v>0</x:v>
      </x:c>
      <x:c r="X211" s="118" t="n">
        <x:v>2</x:v>
      </x:c>
      <x:c r="Y211" s="118" t="n">
        <x:v>0</x:v>
      </x:c>
      <x:c r="Z211" s="118" t="n">
        <x:v>0</x:v>
      </x:c>
      <x:c r="AA211" s="118" t="n">
        <x:v>0</x:v>
      </x:c>
      <x:c r="AB211" s="118" t="n">
        <x:v>0</x:v>
      </x:c>
      <x:c r="AC211" s="118" t="n">
        <x:v>0</x:v>
      </x:c>
    </x:row>
    <x:row r="212" ht="46" customHeight="1">
      <x:c r="A212" s="117" t="str">
        <x:v>300Ro00000kKs8LIAS</x:v>
      </x:c>
      <x:c r="B212" s="117" t="str">
        <x:v>Error_with_Recurring_Payment</x:v>
      </x:c>
      <x:c r="C212" s="117" t="str">
        <x:v>No</x:v>
      </x:c>
      <x:c r="D212" s="119" t="str">
        <x:v>Latest inactive v1 (Tooling metadata)</x:v>
      </x:c>
      <x:c r="E212" s="119" t="str"/>
      <x:c r="F212" s="119" t="str"/>
      <x:c r="G212" s="119" t="str"/>
      <x:c r="H212" s="119" t="str"/>
      <x:c r="I212" s="119" t="str"/>
      <x:c r="J212" s="119" t="str"/>
      <x:c r="K212" s="118" t="n">
        <x:v>0</x:v>
      </x:c>
      <x:c r="L212" s="118" t="n">
        <x:v>0</x:v>
      </x:c>
      <x:c r="M212" s="118" t="n">
        <x:v>0</x:v>
      </x:c>
      <x:c r="N212" s="118" t="n">
        <x:v>0</x:v>
      </x:c>
      <x:c r="O212" s="118" t="n">
        <x:v>0</x:v>
      </x:c>
      <x:c r="P212" s="118" t="n">
        <x:v>0</x:v>
      </x:c>
      <x:c r="Q212" s="118" t="n">
        <x:v>0</x:v>
      </x:c>
      <x:c r="R212" s="118" t="n">
        <x:v>0</x:v>
      </x:c>
      <x:c r="S212" s="118" t="n">
        <x:v>0</x:v>
      </x:c>
      <x:c r="T212" s="118" t="n">
        <x:v>0</x:v>
      </x:c>
      <x:c r="U212" s="118" t="n">
        <x:v>0</x:v>
      </x:c>
      <x:c r="V212" s="118" t="n">
        <x:v>0</x:v>
      </x:c>
      <x:c r="W212" s="118" t="n">
        <x:v>0</x:v>
      </x:c>
      <x:c r="X212" s="118" t="n">
        <x:v>0</x:v>
      </x:c>
      <x:c r="Y212" s="118" t="n">
        <x:v>0</x:v>
      </x:c>
      <x:c r="Z212" s="118" t="n">
        <x:v>0</x:v>
      </x:c>
      <x:c r="AA212" s="118" t="n">
        <x:v>0</x:v>
      </x:c>
      <x:c r="AB212" s="118" t="n">
        <x:v>0</x:v>
      </x:c>
      <x:c r="AC212" s="118" t="n">
        <x:v>0</x:v>
      </x:c>
    </x:row>
    <x:row r="213" ht="46" customHeight="1">
      <x:c r="A213" s="117" t="str">
        <x:v>300Ro00000nAkF4IAK</x:v>
      </x:c>
      <x:c r="B213" s="117" t="str">
        <x:v>Fetch_Warranty_Length_on_Account</x:v>
      </x:c>
      <x:c r="C213" s="117" t="str">
        <x:v>Yes</x:v>
      </x:c>
      <x:c r="D213" s="119" t="str">
        <x:v>Active v1 (Retrieved XML)</x:v>
      </x:c>
      <x:c r="E213" s="119" t="str"/>
      <x:c r="F213" s="119" t="str">
        <x:v>Account</x:v>
      </x:c>
      <x:c r="G213" s="119" t="str">
        <x:v>Id</x:v>
      </x:c>
      <x:c r="H213" s="119" t="str"/>
      <x:c r="I213" s="119" t="str"/>
      <x:c r="J213" s="119" t="str"/>
      <x:c r="K213" s="118" t="n">
        <x:v>2</x:v>
      </x:c>
      <x:c r="L213" s="118" t="n">
        <x:v>0</x:v>
      </x:c>
      <x:c r="M213" s="118" t="n">
        <x:v>0</x:v>
      </x:c>
      <x:c r="N213" s="118" t="n">
        <x:v>0</x:v>
      </x:c>
      <x:c r="O213" s="118" t="n">
        <x:v>0</x:v>
      </x:c>
      <x:c r="P213" s="118" t="n">
        <x:v>0</x:v>
      </x:c>
      <x:c r="Q213" s="118" t="n">
        <x:v>0</x:v>
      </x:c>
      <x:c r="R213" s="118" t="n">
        <x:v>0</x:v>
      </x:c>
      <x:c r="S213" s="118" t="n">
        <x:v>0</x:v>
      </x:c>
      <x:c r="T213" s="118" t="n">
        <x:v>0</x:v>
      </x:c>
      <x:c r="U213" s="118" t="n">
        <x:v>0</x:v>
      </x:c>
      <x:c r="V213" s="118" t="n">
        <x:v>1</x:v>
      </x:c>
      <x:c r="W213" s="118" t="n">
        <x:v>0</x:v>
      </x:c>
      <x:c r="X213" s="118" t="n">
        <x:v>0</x:v>
      </x:c>
      <x:c r="Y213" s="118" t="n">
        <x:v>0</x:v>
      </x:c>
      <x:c r="Z213" s="118" t="n">
        <x:v>0</x:v>
      </x:c>
      <x:c r="AA213" s="118" t="n">
        <x:v>0</x:v>
      </x:c>
      <x:c r="AB213" s="118" t="n">
        <x:v>0</x:v>
      </x:c>
      <x:c r="AC213" s="118" t="n">
        <x:v>0</x:v>
      </x:c>
    </x:row>
    <x:row r="214" ht="46" customHeight="1">
      <x:c r="A214" s="117" t="str">
        <x:v>300Ro00000ugDleIAE</x:v>
      </x:c>
      <x:c r="B214" s="117" t="str">
        <x:v>Final_QC_Passed_Send_Email</x:v>
      </x:c>
      <x:c r="C214" s="117" t="str">
        <x:v>Yes</x:v>
      </x:c>
      <x:c r="D214" s="119" t="str">
        <x:v>Active v3 (Retrieved XML)</x:v>
      </x:c>
      <x:c r="E214" s="119" t="str">
        <x:v>Final_QC_Test_Results__c EqualTo stringValue=Passed</x:v>
      </x:c>
      <x:c r="F214" s="119" t="str">
        <x:v>ProductTest__c</x:v>
      </x:c>
      <x:c r="G214" s="119" t="str">
        <x:v>Final_QC_Test_Results__c, Product_Item__r</x:v>
      </x:c>
      <x:c r="H214" s="119" t="str">
        <x:v>emailSimple</x:v>
      </x:c>
      <x:c r="I214" s="119" t="str"/>
      <x:c r="J214" s="119" t="str"/>
      <x:c r="K214" s="118" t="n">
        <x:v>2</x:v>
      </x:c>
      <x:c r="L214" s="118" t="n">
        <x:v>1</x:v>
      </x:c>
      <x:c r="M214" s="118" t="n">
        <x:v>0</x:v>
      </x:c>
      <x:c r="N214" s="118" t="n">
        <x:v>0</x:v>
      </x:c>
      <x:c r="O214" s="118" t="n">
        <x:v>0</x:v>
      </x:c>
      <x:c r="P214" s="118" t="n">
        <x:v>0</x:v>
      </x:c>
      <x:c r="Q214" s="118" t="n">
        <x:v>0</x:v>
      </x:c>
      <x:c r="R214" s="118" t="n">
        <x:v>0</x:v>
      </x:c>
      <x:c r="S214" s="118" t="n">
        <x:v>0</x:v>
      </x:c>
      <x:c r="T214" s="118" t="n">
        <x:v>0</x:v>
      </x:c>
      <x:c r="U214" s="118" t="n">
        <x:v>0</x:v>
      </x:c>
      <x:c r="V214" s="118" t="n">
        <x:v>0</x:v>
      </x:c>
      <x:c r="W214" s="118" t="n">
        <x:v>0</x:v>
      </x:c>
      <x:c r="X214" s="118" t="n">
        <x:v>0</x:v>
      </x:c>
      <x:c r="Y214" s="118" t="n">
        <x:v>0</x:v>
      </x:c>
      <x:c r="Z214" s="118" t="n">
        <x:v>0</x:v>
      </x:c>
      <x:c r="AA214" s="118" t="n">
        <x:v>0</x:v>
      </x:c>
      <x:c r="AB214" s="118" t="n">
        <x:v>0</x:v>
      </x:c>
      <x:c r="AC214" s="118" t="n">
        <x:v>0</x:v>
      </x:c>
    </x:row>
    <x:row r="215" ht="46" customHeight="1">
      <x:c r="A215" s="117" t="str">
        <x:v>300Ro00000zhGklIAE</x:v>
      </x:c>
      <x:c r="B215" s="117" t="str">
        <x:v>Finalize_Loaner_Turned_Exchange_for_FSL</x:v>
      </x:c>
      <x:c r="C215" s="117" t="str">
        <x:v>Yes</x:v>
      </x:c>
      <x:c r="D215" s="119" t="str">
        <x:v>Active v3 (Retrieved XML)</x:v>
      </x:c>
      <x:c r="E215" s="119" t="str"/>
      <x:c r="F215" s="119" t="str">
        <x:v>Opportunity, OpportunityLineItem</x:v>
      </x:c>
      <x:c r="G215" s="119" t="str">
        <x:v>Id, Name, OpportunityId, Related_Work_Order__c, Ship_Date__c</x:v>
      </x:c>
      <x:c r="H215" s="119" t="str"/>
      <x:c r="I215" s="119" t="str"/>
      <x:c r="J215" s="119" t="str"/>
      <x:c r="K215" s="118" t="n">
        <x:v>10</x:v>
      </x:c>
      <x:c r="L215" s="118" t="n">
        <x:v>0</x:v>
      </x:c>
      <x:c r="M215" s="118" t="n">
        <x:v>0</x:v>
      </x:c>
      <x:c r="N215" s="118" t="n">
        <x:v>2</x:v>
      </x:c>
      <x:c r="O215" s="118" t="n">
        <x:v>0</x:v>
      </x:c>
      <x:c r="P215" s="118" t="n">
        <x:v>0</x:v>
      </x:c>
      <x:c r="Q215" s="118" t="n">
        <x:v>0</x:v>
      </x:c>
      <x:c r="R215" s="118" t="n">
        <x:v>0</x:v>
      </x:c>
      <x:c r="S215" s="118" t="n">
        <x:v>0</x:v>
      </x:c>
      <x:c r="T215" s="118" t="n">
        <x:v>1</x:v>
      </x:c>
      <x:c r="U215" s="118" t="n">
        <x:v>0</x:v>
      </x:c>
      <x:c r="V215" s="118" t="n">
        <x:v>4</x:v>
      </x:c>
      <x:c r="W215" s="118" t="n">
        <x:v>0</x:v>
      </x:c>
      <x:c r="X215" s="118" t="n">
        <x:v>1</x:v>
      </x:c>
      <x:c r="Y215" s="118" t="n">
        <x:v>0</x:v>
      </x:c>
      <x:c r="Z215" s="118" t="n">
        <x:v>0</x:v>
      </x:c>
      <x:c r="AA215" s="118" t="n">
        <x:v>0</x:v>
      </x:c>
      <x:c r="AB215" s="118" t="n">
        <x:v>1</x:v>
      </x:c>
      <x:c r="AC215" s="118" t="n">
        <x:v>0</x:v>
      </x:c>
    </x:row>
    <x:row r="216" ht="46" customHeight="1">
      <x:c r="A216" s="117" t="str">
        <x:v>300Ro00000H8rdJIAR</x:v>
      </x:c>
      <x:c r="B216" s="117" t="str">
        <x:v>Fix_Schedule_Overlaps</x:v>
      </x:c>
      <x:c r="C216" s="117" t="str">
        <x:v>No</x:v>
      </x:c>
      <x:c r="D216" s="119" t="str">
        <x:v>Latest inactive v8 (Tooling metadata)</x:v>
      </x:c>
      <x:c r="E216" s="119" t="str"/>
      <x:c r="F216" s="119" t="str">
        <x:v>FSL__Scheduling_Policy__c</x:v>
      </x:c>
      <x:c r="G216" s="119" t="str">
        <x:v>Name</x:v>
      </x:c>
      <x:c r="H216" s="119" t="str">
        <x:v>FSL__IsStartTodayAction, FSL__RunFixScheduleOverlaps</x:v>
      </x:c>
      <x:c r="I216" s="119" t="str"/>
      <x:c r="J216" s="119" t="str"/>
      <x:c r="K216" s="118" t="n">
        <x:v>7</x:v>
      </x:c>
      <x:c r="L216" s="118" t="n">
        <x:v>2</x:v>
      </x:c>
      <x:c r="M216" s="118" t="n">
        <x:v>0</x:v>
      </x:c>
      <x:c r="N216" s="118" t="n">
        <x:v>0</x:v>
      </x:c>
      <x:c r="O216" s="118" t="n">
        <x:v>0</x:v>
      </x:c>
      <x:c r="P216" s="118" t="n">
        <x:v>0</x:v>
      </x:c>
      <x:c r="Q216" s="118" t="n">
        <x:v>3</x:v>
      </x:c>
      <x:c r="R216" s="118" t="n">
        <x:v>0</x:v>
      </x:c>
      <x:c r="S216" s="118" t="n">
        <x:v>0</x:v>
      </x:c>
      <x:c r="T216" s="118" t="n">
        <x:v>0</x:v>
      </x:c>
      <x:c r="U216" s="118" t="n">
        <x:v>0</x:v>
      </x:c>
      <x:c r="V216" s="118" t="n">
        <x:v>1</x:v>
      </x:c>
      <x:c r="W216" s="118" t="n">
        <x:v>0</x:v>
      </x:c>
      <x:c r="X216" s="118" t="n">
        <x:v>0</x:v>
      </x:c>
      <x:c r="Y216" s="118" t="n">
        <x:v>0</x:v>
      </x:c>
      <x:c r="Z216" s="118" t="n">
        <x:v>0</x:v>
      </x:c>
      <x:c r="AA216" s="118" t="n">
        <x:v>0</x:v>
      </x:c>
      <x:c r="AB216" s="118" t="n">
        <x:v>0</x:v>
      </x:c>
      <x:c r="AC216" s="118" t="n">
        <x:v>0</x:v>
      </x:c>
    </x:row>
    <x:row r="217" ht="46" customHeight="1">
      <x:c r="A217" s="117" t="str">
        <x:v>300Ro00000nBqTjIAK</x:v>
      </x:c>
      <x:c r="B217" s="117" t="str">
        <x:v>Follow_Work_Order_Upon_Creation</x:v>
      </x:c>
      <x:c r="C217" s="117" t="str">
        <x:v>Yes</x:v>
      </x:c>
      <x:c r="D217" s="119" t="str">
        <x:v>Active v1 (Retrieved XML)</x:v>
      </x:c>
      <x:c r="E217" s="119" t="str">
        <x:v>RecordTypeId EqualTo stringValue=012Ro000001eDqnIAE | Country EqualTo stringValue=United States</x:v>
      </x:c>
      <x:c r="F217" s="119" t="str">
        <x:v>EntitySubscription, WorkOrder</x:v>
      </x:c>
      <x:c r="G217" s="119" t="str">
        <x:v>Country, CreatedById, Id, OwnerId, ParentId, RecordTypeId, SubscriberId</x:v>
      </x:c>
      <x:c r="H217" s="119" t="str"/>
      <x:c r="I217" s="119" t="str"/>
      <x:c r="J217" s="119" t="str"/>
      <x:c r="K217" s="118" t="n">
        <x:v>7</x:v>
      </x:c>
      <x:c r="L217" s="118" t="n">
        <x:v>0</x:v>
      </x:c>
      <x:c r="M217" s="118" t="n">
        <x:v>0</x:v>
      </x:c>
      <x:c r="N217" s="118" t="n">
        <x:v>1</x:v>
      </x:c>
      <x:c r="O217" s="118" t="n">
        <x:v>0</x:v>
      </x:c>
      <x:c r="P217" s="118" t="n">
        <x:v>0</x:v>
      </x:c>
      <x:c r="Q217" s="118" t="n">
        <x:v>1</x:v>
      </x:c>
      <x:c r="R217" s="118" t="n">
        <x:v>1</x:v>
      </x:c>
      <x:c r="S217" s="118" t="n">
        <x:v>0</x:v>
      </x:c>
      <x:c r="T217" s="118" t="n">
        <x:v>1</x:v>
      </x:c>
      <x:c r="U217" s="118" t="n">
        <x:v>1</x:v>
      </x:c>
      <x:c r="V217" s="118" t="n">
        <x:v>1</x:v>
      </x:c>
      <x:c r="W217" s="118" t="n">
        <x:v>0</x:v>
      </x:c>
      <x:c r="X217" s="118" t="n">
        <x:v>0</x:v>
      </x:c>
      <x:c r="Y217" s="118" t="n">
        <x:v>0</x:v>
      </x:c>
      <x:c r="Z217" s="118" t="n">
        <x:v>0</x:v>
      </x:c>
      <x:c r="AA217" s="118" t="n">
        <x:v>0</x:v>
      </x:c>
      <x:c r="AB217" s="118" t="n">
        <x:v>0</x:v>
      </x:c>
      <x:c r="AC217" s="118" t="n">
        <x:v>0</x:v>
      </x:c>
    </x:row>
    <x:row r="218" ht="46" customHeight="1">
      <x:c r="A218" s="117" t="str">
        <x:v>300Ro00000mouhpIAA</x:v>
      </x:c>
      <x:c r="B218" s="117" t="str">
        <x:v>FSL_Action_Quick_Quote_2</x:v>
      </x:c>
      <x:c r="C218" s="117" t="str">
        <x:v>Yes</x:v>
      </x:c>
      <x:c r="D218" s="119" t="str">
        <x:v>Active v54 (Retrieved XML)</x:v>
      </x:c>
      <x:c r="E218" s="119" t="str"/>
      <x:c r="F218" s="119" t="str">
        <x:v>Account, Address, Asset, Contact, Location, Opportunity, ServiceResource, StateTranslation__mdt, WorkOrder</x:v>
      </x:c>
      <x:c r="G218" s="119" t="str">
        <x:v>AccountId, Account_Name_Free_Text__c, AddressType, AssetId, Attn__c, Billing_Account_Name__c, Billing_Type__c, City, ContactId, Country, Field_Service_Engineer__c, Id, Name, Opportunity__c, ParentId, PostalCode, RecordTypeId, RelatedRecordId, Reported_Symptoms__c, Serial_Number__c, ServiceReportTemplateId, ServiceTerritoryId, Service_Site_Name__c, ShippingStreet, Shipping_City__c, Shipping_Country__c, Shipping_Postal_Code__c, Shipping_State__c, Shipping_Street__c, State, State_Abbreviation__c, State_Name__c, Status, Street, Subject, System_Serial_Number__c, WorkTypeId</x:v>
      </x:c>
      <x:c r="H218" s="119" t="str"/>
      <x:c r="I218" s="119" t="str">
        <x:v>FSL_Screen_Request_Parts_on_WO</x:v>
      </x:c>
      <x:c r="J218" s="119" t="str"/>
      <x:c r="K218" s="118" t="n">
        <x:v>73</x:v>
      </x:c>
      <x:c r="L218" s="118" t="n">
        <x:v>0</x:v>
      </x:c>
      <x:c r="M218" s="118" t="n">
        <x:v>0</x:v>
      </x:c>
      <x:c r="N218" s="118" t="n">
        <x:v>31</x:v>
      </x:c>
      <x:c r="O218" s="118" t="n">
        <x:v>0</x:v>
      </x:c>
      <x:c r="P218" s="118" t="n">
        <x:v>0</x:v>
      </x:c>
      <x:c r="Q218" s="118" t="n">
        <x:v>14</x:v>
      </x:c>
      <x:c r="R218" s="118" t="n">
        <x:v>0</x:v>
      </x:c>
      <x:c r="S218" s="118" t="n">
        <x:v>0</x:v>
      </x:c>
      <x:c r="T218" s="118" t="n">
        <x:v>1</x:v>
      </x:c>
      <x:c r="U218" s="118" t="n">
        <x:v>0</x:v>
      </x:c>
      <x:c r="V218" s="118" t="n">
        <x:v>16</x:v>
      </x:c>
      <x:c r="W218" s="118" t="n">
        <x:v>0</x:v>
      </x:c>
      <x:c r="X218" s="118" t="n">
        <x:v>1</x:v>
      </x:c>
      <x:c r="Y218" s="118" t="n">
        <x:v>8</x:v>
      </x:c>
      <x:c r="Z218" s="118" t="n">
        <x:v>0</x:v>
      </x:c>
      <x:c r="AA218" s="118" t="n">
        <x:v>1</x:v>
      </x:c>
      <x:c r="AB218" s="118" t="n">
        <x:v>0</x:v>
      </x:c>
      <x:c r="AC218" s="118" t="n">
        <x:v>0</x:v>
      </x:c>
    </x:row>
    <x:row r="219" ht="46" customHeight="1">
      <x:c r="A219" s="117" t="str">
        <x:v>300Ro00000QRjbbIAD</x:v>
      </x:c>
      <x:c r="B219" s="117" t="str">
        <x:v>FSL_App_Upload_Pictures_Screen_Flow</x:v>
      </x:c>
      <x:c r="C219" s="117" t="str">
        <x:v>Yes</x:v>
      </x:c>
      <x:c r="D219" s="119" t="str">
        <x:v>Active v2 (Retrieved XML)</x:v>
      </x:c>
      <x:c r="E219" s="119" t="str"/>
      <x:c r="F219" s="119" t="str">
        <x:v>ServiceAppointment, WorkOrder</x:v>
      </x:c>
      <x:c r="G219" s="119" t="str">
        <x:v>Id, Last_Completed_Work_Step__c, Work_Order__c</x:v>
      </x:c>
      <x:c r="H219" s="119" t="str"/>
      <x:c r="I219" s="119" t="str"/>
      <x:c r="J219" s="119" t="str">
        <x:v>forceContent:fileUpload</x:v>
      </x:c>
      <x:c r="K219" s="118" t="n">
        <x:v>4</x:v>
      </x:c>
      <x:c r="L219" s="118" t="n">
        <x:v>0</x:v>
      </x:c>
      <x:c r="M219" s="118" t="n">
        <x:v>0</x:v>
      </x:c>
      <x:c r="N219" s="118" t="n">
        <x:v>0</x:v>
      </x:c>
      <x:c r="O219" s="118" t="n">
        <x:v>0</x:v>
      </x:c>
      <x:c r="P219" s="118" t="n">
        <x:v>0</x:v>
      </x:c>
      <x:c r="Q219" s="118" t="n">
        <x:v>0</x:v>
      </x:c>
      <x:c r="R219" s="118" t="n">
        <x:v>0</x:v>
      </x:c>
      <x:c r="S219" s="118" t="n">
        <x:v>0</x:v>
      </x:c>
      <x:c r="T219" s="118" t="n">
        <x:v>0</x:v>
      </x:c>
      <x:c r="U219" s="118" t="n">
        <x:v>0</x:v>
      </x:c>
      <x:c r="V219" s="118" t="n">
        <x:v>1</x:v>
      </x:c>
      <x:c r="W219" s="118" t="n">
        <x:v>0</x:v>
      </x:c>
      <x:c r="X219" s="118" t="n">
        <x:v>1</x:v>
      </x:c>
      <x:c r="Y219" s="118" t="n">
        <x:v>1</x:v>
      </x:c>
      <x:c r="Z219" s="118" t="n">
        <x:v>0</x:v>
      </x:c>
      <x:c r="AA219" s="118" t="n">
        <x:v>0</x:v>
      </x:c>
      <x:c r="AB219" s="118" t="n">
        <x:v>0</x:v>
      </x:c>
      <x:c r="AC219" s="118" t="n">
        <x:v>0</x:v>
      </x:c>
    </x:row>
    <x:row r="220" ht="46" customHeight="1">
      <x:c r="A220" s="117" t="str">
        <x:v>300Ro00000ydLuvIAE</x:v>
      </x:c>
      <x:c r="B220" s="117" t="str">
        <x:v>FSL_Close_Out_Service_Appointment_Field_Service_Mobile_Flow</x:v>
      </x:c>
      <x:c r="C220" s="117" t="str">
        <x:v>No</x:v>
      </x:c>
      <x:c r="D220" s="119" t="str">
        <x:v>Latest inactive v4 (Retrieved XML)</x:v>
      </x:c>
      <x:c r="E220" s="119" t="str"/>
      <x:c r="F220" s="119" t="str">
        <x:v>Account, Asset, AssignedResource, Contact, ContractLineItem, Lead, Opportunity, ProductItem__c, RMA__c, RecordType, ServiceAppointment, WorkOrder, WorkOrderLineItem</x:v>
      </x:c>
      <x:c r="G220" s="119" t="str">
        <x:v>ActualEndTime, ActualStartTime, Additional_Items_Require_Labor__c, Additional_Items_to_Quote__c, AppointmentNumber, Appointment_Type__c, Comments_on_Additional_Items_to_Quote__c, Completed_or_Cannot_Complete_Status__c, Contract_Line_Item__c, Date_Opportunity_Item_Shipped__c, Date_shipped__c, DeveloperName, Dose_Affected__c, Engineers_Comments__c, Engineers_Required__c, Follow_Up_Visit_Reason__c, Hours_Required_for_Follow_Up_Visit__c, Id, Internal_Notes__c, Ladder_Pre_use_Check_Completed__c, Last_Completed_Work_Step__c, Line_Type__c, Opportunity__c, Parts_Required__c, Parts_details__c, ProductItem__c, RecordTypeId, Return_Visit_Required__c, Service_Appointment__c, Software__c, Status, Subject, System_Operational__c, System_YOM__c, WorkOrderId, WorkTypeId, Work_Order__c</x:v>
      </x:c>
      <x:c r="H220" s="119" t="str">
        <x:v>emailSimple</x:v>
      </x:c>
      <x:c r="I220" s="119" t="str"/>
      <x:c r="J220" s="119" t="str"/>
      <x:c r="K220" s="118" t="n">
        <x:v>74</x:v>
      </x:c>
      <x:c r="L220" s="118" t="n">
        <x:v>2</x:v>
      </x:c>
      <x:c r="M220" s="118" t="n">
        <x:v>0</x:v>
      </x:c>
      <x:c r="N220" s="118" t="n">
        <x:v>20</x:v>
      </x:c>
      <x:c r="O220" s="118" t="n">
        <x:v>0</x:v>
      </x:c>
      <x:c r="P220" s="118" t="n">
        <x:v>0</x:v>
      </x:c>
      <x:c r="Q220" s="118" t="n">
        <x:v>18</x:v>
      </x:c>
      <x:c r="R220" s="118" t="n">
        <x:v>3</x:v>
      </x:c>
      <x:c r="S220" s="118" t="n">
        <x:v>0</x:v>
      </x:c>
      <x:c r="T220" s="118" t="n">
        <x:v>0</x:v>
      </x:c>
      <x:c r="U220" s="118" t="n">
        <x:v>0</x:v>
      </x:c>
      <x:c r="V220" s="118" t="n">
        <x:v>8</x:v>
      </x:c>
      <x:c r="W220" s="118" t="n">
        <x:v>0</x:v>
      </x:c>
      <x:c r="X220" s="118" t="n">
        <x:v>8</x:v>
      </x:c>
      <x:c r="Y220" s="118" t="n">
        <x:v>14</x:v>
      </x:c>
      <x:c r="Z220" s="118" t="n">
        <x:v>0</x:v>
      </x:c>
      <x:c r="AA220" s="118" t="n">
        <x:v>0</x:v>
      </x:c>
      <x:c r="AB220" s="118" t="n">
        <x:v>0</x:v>
      </x:c>
      <x:c r="AC220" s="118" t="n">
        <x:v>0</x:v>
      </x:c>
    </x:row>
    <x:row r="221" ht="46" customHeight="1">
      <x:c r="A221" s="117" t="str">
        <x:v>300Ro00000sJizMIAS</x:v>
      </x:c>
      <x:c r="B221" s="117" t="str">
        <x:v>FSL_CR_Checklist</x:v>
      </x:c>
      <x:c r="C221" s="117" t="str">
        <x:v>Yes</x:v>
      </x:c>
      <x:c r="D221" s="119" t="str">
        <x:v>Active v6 (Retrieved XML)</x:v>
      </x:c>
      <x:c r="E221" s="119" t="str"/>
      <x:c r="F221" s="119" t="str">
        <x:v>ContractLineItem, ServiceAppointment, WorkOrder</x:v>
      </x:c>
      <x:c r="G221" s="119" t="str">
        <x:v>Application_Logs__c, CR_Functional_Checks__c, Cassettes__c, Checklist_Type__c, Console_Clean_Completed__c, Contract_Line_Item__c, DICOM_PACS_2nd_AE_Title__c, DICOM_PACS_2nd_IP_Address__c, DICOM_PACS_2nd_Port_No__c, DICOM_PACS_AE_Title__c, DICOM_PACS_IP_Address__c, DICOM_PACS_Port_No__c, Defragment_Console__c, Equipment_Handover_Completed__c, Error_Logs__c, Files_and_Tabs__c, Final_Checks_Comments__c, Final_Functional_Checks__c, Final_Visual_Checks__c, General_Checks_Comments__c, Generate_Service_Report_HTML__c, HDWR_and_SW_Info__c, Host_Chip_ID__c, Id, Local_AE_Title__c, Local_Default_Gateway__c, Local_IP_Address__c, Local_Port_No__c, Local_Subnet_Mask__c, Lubrication__c, Mainslead_Visual_Inspection__c, Mechanical_Checks_Comments__c, Mechanism_Integrity__c, Mechanisms_Stripped_and_Cleaned__c, Monitor_Inspection_and_Clean__c, Network_Cable__c, Network_Performance__c, PC_Checks_Comments__c, Peripheral_1_Serial_Number__c, Peripheral_1__c, Peripheral_2_Serial_Number__c, Peripheral_2__c, Power_On_and_Boot_Up__c, Reader_Calibration__c, Reader_Mains_Cable__c, Reader_Network_Cable__c, Reader_Performance__c, Reader_Uniformity__c, Regional_Settings__c, Service_Key_Expiry_Date__c, Service_Key__c, Service_Network_Settings__c, Service_and_Safety_Test_Labels_Attached__c, Software_Serial_Number__c, Software__c, System_Back_Up__c, System_Serial_Number__c, System_Type__c, System_YOM__c, Transducer_1_Model__c, Transducer_1_Serial_Number__c, Transducer_2_Model__c, Transducer_2_Serial_Number__c, Transducer_3_Model__c, Transducer_3_Serial_Number__c, Transducer_4_Model__c, Transducer_4_Serial_Number__c, Transducer_5_Model__c, Transducer_5_Serial_Number__c, Transducer_6_Model__c, Transducer_6_Serial_Number__c, UI_Clean_Completed__c, UPS_Battery__c, Visual_Inspection__c, WIFI_Name__c, WiFi_Password__c, Worklist_AE_Title__c, Worklist_IP_Address__c, Worklist_Port_No__c</x:v>
      </x:c>
      <x:c r="H221" s="119" t="str"/>
      <x:c r="I221" s="119" t="str"/>
      <x:c r="J221" s="119" t="str"/>
      <x:c r="K221" s="118" t="n">
        <x:v>16</x:v>
      </x:c>
      <x:c r="L221" s="118" t="n">
        <x:v>0</x:v>
      </x:c>
      <x:c r="M221" s="118" t="n">
        <x:v>0</x:v>
      </x:c>
      <x:c r="N221" s="118" t="n">
        <x:v>0</x:v>
      </x:c>
      <x:c r="O221" s="118" t="n">
        <x:v>0</x:v>
      </x:c>
      <x:c r="P221" s="118" t="n">
        <x:v>0</x:v>
      </x:c>
      <x:c r="Q221" s="118" t="n">
        <x:v>0</x:v>
      </x:c>
      <x:c r="R221" s="118" t="n">
        <x:v>0</x:v>
      </x:c>
      <x:c r="S221" s="118" t="n">
        <x:v>0</x:v>
      </x:c>
      <x:c r="T221" s="118" t="n">
        <x:v>0</x:v>
      </x:c>
      <x:c r="U221" s="118" t="n">
        <x:v>0</x:v>
      </x:c>
      <x:c r="V221" s="118" t="n">
        <x:v>2</x:v>
      </x:c>
      <x:c r="W221" s="118" t="n">
        <x:v>0</x:v>
      </x:c>
      <x:c r="X221" s="118" t="n">
        <x:v>6</x:v>
      </x:c>
      <x:c r="Y221" s="118" t="n">
        <x:v>7</x:v>
      </x:c>
      <x:c r="Z221" s="118" t="n">
        <x:v>0</x:v>
      </x:c>
      <x:c r="AA221" s="118" t="n">
        <x:v>0</x:v>
      </x:c>
      <x:c r="AB221" s="118" t="n">
        <x:v>0</x:v>
      </x:c>
      <x:c r="AC221" s="118" t="n">
        <x:v>0</x:v>
      </x:c>
    </x:row>
    <x:row r="222" ht="46" customHeight="1">
      <x:c r="A222" s="117" t="str">
        <x:v>300Ro00000XP224IAD</x:v>
      </x:c>
      <x:c r="B222" s="117" t="str">
        <x:v>FSL_Engineer_Dispatched_Email_Alert</x:v>
      </x:c>
      <x:c r="C222" s="117" t="str">
        <x:v>Yes</x:v>
      </x:c>
      <x:c r="D222" s="119" t="str">
        <x:v>Active v8 (Retrieved XML)</x:v>
      </x:c>
      <x:c r="E222" s="119" t="str">
        <x:v>Modality__c EqualTo stringValue=Ultrasound | Shipping_FROM_Location__c EqualTo stringValue=Gloucester, UK | Status EqualTo stringValue=Dispatched | Appointment_Type__c NotEqualTo stringValue=Tech Support Call</x:v>
      </x:c>
      <x:c r="F222" s="119" t="str">
        <x:v>ServiceAppointment</x:v>
      </x:c>
      <x:c r="G222" s="119" t="str">
        <x:v>AppointmentNumber, Appointment_Type__c, Location_of_Equipment__r, Modality__c, SchedEndTime, SchedStartTime, Service_Resource__c, Shipping_FROM_Location__c, Status, WorkType, Work_Order__r</x:v>
      </x:c>
      <x:c r="H222" s="119" t="str">
        <x:v>emailSimple</x:v>
      </x:c>
      <x:c r="I222" s="119" t="str"/>
      <x:c r="J222" s="119" t="str"/>
      <x:c r="K222" s="118" t="n">
        <x:v>2</x:v>
      </x:c>
      <x:c r="L222" s="118" t="n">
        <x:v>1</x:v>
      </x:c>
      <x:c r="M222" s="118" t="n">
        <x:v>0</x:v>
      </x:c>
      <x:c r="N222" s="118" t="n">
        <x:v>0</x:v>
      </x:c>
      <x:c r="O222" s="118" t="n">
        <x:v>0</x:v>
      </x:c>
      <x:c r="P222" s="118" t="n">
        <x:v>0</x:v>
      </x:c>
      <x:c r="Q222" s="118" t="n">
        <x:v>0</x:v>
      </x:c>
      <x:c r="R222" s="118" t="n">
        <x:v>0</x:v>
      </x:c>
      <x:c r="S222" s="118" t="n">
        <x:v>0</x:v>
      </x:c>
      <x:c r="T222" s="118" t="n">
        <x:v>0</x:v>
      </x:c>
      <x:c r="U222" s="118" t="n">
        <x:v>0</x:v>
      </x:c>
      <x:c r="V222" s="118" t="n">
        <x:v>0</x:v>
      </x:c>
      <x:c r="W222" s="118" t="n">
        <x:v>0</x:v>
      </x:c>
      <x:c r="X222" s="118" t="n">
        <x:v>0</x:v>
      </x:c>
      <x:c r="Y222" s="118" t="n">
        <x:v>0</x:v>
      </x:c>
      <x:c r="Z222" s="118" t="n">
        <x:v>0</x:v>
      </x:c>
      <x:c r="AA222" s="118" t="n">
        <x:v>0</x:v>
      </x:c>
      <x:c r="AB222" s="118" t="n">
        <x:v>0</x:v>
      </x:c>
      <x:c r="AC222" s="118" t="n">
        <x:v>0</x:v>
      </x:c>
    </x:row>
    <x:row r="223" ht="46" customHeight="1">
      <x:c r="A223" s="117" t="str">
        <x:v>300Ro00000vEXZZIA4</x:v>
      </x:c>
      <x:c r="B223" s="117" t="str">
        <x:v>FSL_Field_Service_Mobile_Flow_Nuclear_Medicine_Checklist</x:v>
      </x:c>
      <x:c r="C223" s="117" t="str">
        <x:v>No</x:v>
      </x:c>
      <x:c r="D223" s="119" t="str">
        <x:v>Latest inactive v2 (Retrieved XML)</x:v>
      </x:c>
      <x:c r="E223" s="119" t="str"/>
      <x:c r="F223" s="119" t="str">
        <x:v>ContractLineItem, Maintenance_Item__c, RecordType, ServiceAppointment, WorkOrder</x:v>
      </x:c>
      <x:c r="G223" s="119" t="str">
        <x:v>Additional_Documentation_Reference__c, Checklist_Output_Formatted_1__c, Checklist_Output_Formatted_2__c, Checklist_Output_Formatted_3__c, Checklist_Output_Formatted_4__c, Checklist_Output_Formatted_5__c, Checklist_Output_Formatted_6__c, Checklist_Output_Formatted__c, Checklist_Type__c, Collimator_Carts__c, Collimator_Exchange_Mechanism__c, Collision_Pads__c, Contract_Line_Item__c, Covers_Secured__c, DICOM_PACS_2nd_AE_Title__c, Detector_Fans__c, Detector_Motions__c, Detector_Peak__c, Detector_Voltages__c, DeveloperName, Earth_Continuity__c, Electrical_Checks_Comments__c, Emergency_Stop_Switches_and_Isolators__c, Error_Logs__c, Final_Functional_Checks__c, Final_Visual_Checks__c, Gantry_Rotation__c, General_Checks_Comments__c, Generate_Service_Report_HTML__c, Id, Image_Artifacts__c, Imaging_Checks_Comments__c, Mechanical_Checks_Comments__c, Mechanical_Visual_Inspection__c, Monitor_UI_Clean__c, Patient_Positioning_Aids_and_Supports__c, QA_Floods_Corrected__c, QA_Floods_Uncorrected__c, RecordTypeId, Service_Appointment__c, SobjectType, System_Calibration__c, Table_Floor_Lock_Pins__c, Table_Movements__c, UPS_Battery__c, Ventilation_Clean__c, Visual_Inspection__c</x:v>
      </x:c>
      <x:c r="H223" s="119" t="str"/>
      <x:c r="I223" s="119" t="str"/>
      <x:c r="J223" s="119" t="str"/>
      <x:c r="K223" s="118" t="n">
        <x:v>17</x:v>
      </x:c>
      <x:c r="L223" s="118" t="n">
        <x:v>0</x:v>
      </x:c>
      <x:c r="M223" s="118" t="n">
        <x:v>0</x:v>
      </x:c>
      <x:c r="N223" s="118" t="n">
        <x:v>0</x:v>
      </x:c>
      <x:c r="O223" s="118" t="n">
        <x:v>0</x:v>
      </x:c>
      <x:c r="P223" s="118" t="n">
        <x:v>0</x:v>
      </x:c>
      <x:c r="Q223" s="118" t="n">
        <x:v>0</x:v>
      </x:c>
      <x:c r="R223" s="118" t="n">
        <x:v>0</x:v>
      </x:c>
      <x:c r="S223" s="118" t="n">
        <x:v>0</x:v>
      </x:c>
      <x:c r="T223" s="118" t="n">
        <x:v>1</x:v>
      </x:c>
      <x:c r="U223" s="118" t="n">
        <x:v>0</x:v>
      </x:c>
      <x:c r="V223" s="118" t="n">
        <x:v>3</x:v>
      </x:c>
      <x:c r="W223" s="118" t="n">
        <x:v>0</x:v>
      </x:c>
      <x:c r="X223" s="118" t="n">
        <x:v>6</x:v>
      </x:c>
      <x:c r="Y223" s="118" t="n">
        <x:v>6</x:v>
      </x:c>
      <x:c r="Z223" s="118" t="n">
        <x:v>0</x:v>
      </x:c>
      <x:c r="AA223" s="118" t="n">
        <x:v>0</x:v>
      </x:c>
      <x:c r="AB223" s="118" t="n">
        <x:v>0</x:v>
      </x:c>
      <x:c r="AC223" s="118" t="n">
        <x:v>0</x:v>
      </x:c>
    </x:row>
    <x:row r="224" ht="46" customHeight="1">
      <x:c r="A224" s="117" t="str">
        <x:v>300Ro00000pEARxIAO</x:v>
      </x:c>
      <x:c r="B224" s="117" t="str">
        <x:v>FSL_Formatted_HTML_Service_Report_Update</x:v>
      </x:c>
      <x:c r="C224" s="117" t="str">
        <x:v>Yes</x:v>
      </x:c>
      <x:c r="D224" s="119" t="str">
        <x:v>Active v35 (Retrieved XML)</x:v>
      </x:c>
      <x:c r="E224" s="119" t="str">
        <x:v>Generate_Service_Report_HTML__c EqualTo booleanValue=true | Generate_Service_Report_HTML__c IsChanged booleanValue=true</x:v>
      </x:c>
      <x:c r="F224" s="119" t="str">
        <x:v>ContractLineItem, Maintenance_Item__c, ServiceAppointment</x:v>
      </x:c>
      <x:c r="G224" s="119" t="str">
        <x:v>ACR_Check_Reading__c, ACR_Check__c, AEC_Cut_Off_Comments__c, AEC_Cut_Off__c, AEC_Repeatability_Comments__c, AEC_Repeatability__c, AEC_Tolerance_Comments__c, AEC_Tolerance__c, AOP_Checks_Comments__c, AOP_Checks__c, Additional_Documentation_Reference__c, Air_Calibration__c, Alignment_and_Centring_Comments__c, Alignment_and_Centring__c, Alignment_and_Positioning_Comments__c, Alignment_and_Positioning__c, Alignment_and_positioning_Comments__c, Application_Logs__c, Artifact_Check_Comments__c, Artifact_Check__c, BF_Outputs_Comments__c, BF_Outputs__c, BIOS_Battery_Voltage__c, Backup_of_User_Configuration_Comments__c, Backup_of_User_Configuration__c, Battery_Performance_Condition_Comments__c, Battery_Performance_and_Condition__c, Bearings_and_Tracks_Comments__c, Bearings_and_Tracks__c, Brakes_and_Locks_Comments__c, Brakes_and_Locks__c, Bucky_Tray_Assembly_Comments__c, Bucky_Tray_Assembly__c, CR_Functional_Checks__c, CS_and_HE_Comments__c, C_Arm_Movements_Comments__c, C_Arm_Movements__c, Cables_and_Hanger_Supports_Comments__c, Cables_and_Hanger_Supports__c, Cables_and_Hanger_Supports_comments__c, Cassettes__c, Castors_and_Brakes_Comments__c, Castors_and_Brakes__c, Centring_Comments__c, Centring__c, Checklist_Output_Formatted__c, Checklist_Type__c, Collimator_Comments__c, Collimator_Function_and_Alignment__c, Compression_Force_Check_Comments__c, Compression_Force_Check__c, Compression_Paddles_Comments__c, Compression_Paddles__c, Compression_Thickness_Check_Comments__c, Compression_Thickness_Check__c, Console_Clean_Completed__c, Contract_Line_Item__r, Contrast_Full_Field_Mode_Comments__c, Contrast_Full_Field_Mode__c, Contrast_Mag_1_Comments__c, Contrast_Mag_1__c, Contrast_Mag_2_Comments__c, Contrast_Mag_2__c, Contrast_Mag_3__c, Contrast_Mag_4__c, Contrast_Normal_Mode_Comments__c, Contrast_Normal_Mode__c, Contrast_Reading_Full_Field_Mode__c, Contrast_Reading_Mag_1__c, Contrast_Reading_Mag_2__c, Contrast_Reading_Mag_3__c, Contrast_Reading_Mag_4__c, Contrast_Reading_Normal_Mode__c, Control_Panel_Articulation_Comments__c, Control_Panel_Articulation__c, Control_Panel_Comments__c, Control_Panel__c, Cooling_Systems_and_Heat_Exchangers__c, Counterbalance_Comments__c, Counterbalance__c, Covers_Secured_Comments__c, Covers_Secured__c, DAP_Accuracy_Comments__c, DAP_Accuracy__c, Database_Capacity_Maintenance_Comments__c, Database_Capacity_and_Maintenance__c, Defragment_Console__c, Detector_Calibration_Comments__c, Detector_Calibration__c, Detector_Charging_Comments__c, Detector_Charging__c, Detector_Contrast_Comments__c, Detector_Contrast__c, Detector_Docking_Stations_Comments__c, Detector_Docking_Stations__c, Detector_Drives_and_Sensors_Comments__c, Detector_Drives_and_Sensors__c, Detector_Drop_Sensors_Comments__c, Detector_Drop_Sensors__c, Detector_Resolution_Comments__c, Detector_Resolution__c, Detector_Uniformity_Comments__c, Detector_Uniformity__c, Diagnostic_Test_Comments__c, Diagnostic_Test__c, Direct_Acquisition_Comments__c, Direct_Acquisition__c, Distance_Markers_and_Detents_Comments__c, Distance_Markers_and_Detents__c, ECG_Leads_Patient_Leakage_Comments__c, ECG_Leads_Patient_Leakage__c, Emergency_Stop_Switches_Comments__c, Emergency_Stop_Switches_and_Isolators__c, End_to_End_DICOM_Comments__c, End_to_End_DICOM__c, End_to_end_DICOM_Comments__c, Equipment_Handover_Completed_Comments__c, Equipment_Handover_Completed__c, Error_Logs_Comments__c, Error_Logs__c, Exposure_Controls_Comments__c, Exposure_Controls__c, Exposure_Index_Comments__c, Exposure_Index__c, Exposure_Indicators_Comments__c, Exposure_Indicators__c, Exposure_indicators_Comments__c, FF_Outputs_Comments__c, FF_Outputs__c, Fan_Operation_Comments__c, Fan_Operation__c, Files_and_Tabs__c, Final_Checks_Comments__c, Final_Functional_Checks_Comments__c, Final_Functional_Checks__c, Final_Visual_Checks_Comments__c, Final_Visual_Checks__c, Full_Field_Dose_Comments__c, Full_Field_Dose__c, Full_System_Functional_Check_Comments__c, Full_System_Functional_Check__c, Gantry_Lift_Comments__c, Gantry_Lift__c, Gantry_Rotation_Comments__c, Gantry_Rotation__c, General_Checks_Comments__c, Generate_Service_Report_HTML__c, Grid_Artifacts_Comments__c, Grid_Artifacts__c, Grid_Assembly_Comments__c, Grid_Assembly__c, Grid_artifacts_Comments__c, HT_Cable_Status_and_Continuity_Comments__c, HT_Cable_Status_and_Continuity__c, Handswitch_Holder_Comments__c, Handswitch_Holder__c, Handswitch_and_Foot_Pedals_Comments__c, Handswitch_and_Foot_Pedals__c, Id, Image_Display_Quality_Comments__c, Image_Display_Quality__c, Interconnect_Collision_Detects_Comments__c, Interconnect_Collision_Detects__c, Interlocks_and_Mechanical_Stops_Comments__c, Interlocks_and_Mechanical_Stops__c, Interlocks_and_mechanical_stops_Comments__c, Interlocks_and_mechanical_stops__c, Lamp_and_Laser_Alignment_Comments__c, Lamp_and_Laser_Alignment__c, Laser_Lights_Comments__c, Laser_Lights__c, Last_Battery_Replacement_Date__c, Limit_Switches_Comments__c, Limit_Switches__c, Lubrication__c, Mag_1_Comments__c, Mag_1__c, Mag_2_Comments__c, Mag_2__c, Mag_3_Comments__c, Mag_3__c, Mag_4_Comments__c, Mag_4__c, Mag_Stands_Comments__c, Mag_Stands__c, Main_Screen_Touchscreen_Clean_Comments__c, Main_Screen_and_Touchscreen_Clean__c, Mainslead_Visual_Inspection_Comments__c, Mainslead_Visual_Inspection__c, Mechanical_Checks_Comments__c, Mechanical_Security_Comments__c, Mechanical_Security__c, Mechanical_Visual_Inspection_Comments__c, Mechanical_Visual_Inspection__c, Mechanism_Integrity__c, Mechanisms_Stripped_and_Cleaned__c, Monitor_Arm_Articulation_Comments__c, Monitor_Arm_Articulation__c, Monitor_Inspection_and_Clean__c, Motorised_Positioning_Comments__c, Motorised_Positioning__c, Mountings_and_Fixings_Comments__c, Mountings_and_Fixings__c, Movements_Comments__c, Movements__c, Mylar_Window_Comments__c, Mylar_Window__c, Network_Cable__c, Network_Performance__c, Network_Send_Receive_Test_Study_Comments__c, Network_Send_Receive_Test_Study__c, PC_Checks_Comments__c, Peripheral_1_Check__c, Peripheral_1_Comments__c, Peripheral_1_Serial_Number__c, Peripheral_1__c, Peripheral_2_Check__c, Peripheral_2_Comments__c, Peripheral_2_Serial_Number__c, Peripheral_2__c, Plug_Integrity_Comments__c, Plug_Integrity__c, Positioning_Aids_and_Supports_Comments__c, Positioning_Aids_and_Supports__c, Positioning_aids_and_supports_Comments__c, Positioning_aids_and_supports__c, Post_Processing_Functions_Comments__c, Post_Processing_Functions__c, Power_On_and_Boot_Up_Comments__c, Power_On_and_Boot_Up__c, Pre_Contract_Inspection_Comments__c, Pre_Contract_Inspection_Result__c, Probe_Holders_and_Cable_Hangers_Comments__c, Probe_Holders_and_Cable_Hangers__c, Pulsed_Fluoroscopy_Comments__c, Pulsed_Fluoroscopy__c, Reader_Calibration__c, Reader_Mains_Cable__c, Reader_Network_Cable__c, Reader_Performance__c, Reader_Uniformity__c, Recommended_Repair__c, Regional_Settings__c, Resolution_Full_Field_Mode__c, Resolution_Mag_1_Comments__c, Resolution_Mag_1__c, Resolution_Mag_2_Comments__c, Resolution_Mag_2__c, Resolution_Mag_3__c, Resolution_Mag_4__c, Resolution_Normal_Mode_Comments__c, Resolution_Normal_Mode__c, Resolution_Reading_Full_Field_Mode__c, Resolution_Reading_Mag_1__c, Resolution_Reading_Mag_2__c, Resolution_Reading_Mag_3__c, Resolution_Reading_Mag_4__c, Resolution_Reading_Normal_Mode__c, Room_Warning_Lights_Comments__c, Room_Warning_Lights__c, SNR_Check_Reading__c, SNR_Check__c, Service_Appointment__c, Service_and_Safety_Test_Labels_Attached__c, Service_and_Safety_Test_Labels_Comments__c, Slip_Rings_and_Brushes_Comments__c, Slip_Rings_and_Brushes__c, Stereotactic_Alignment_Comments__c, Stereotactic_Alignment__c, Switches_Pedals_and_Controls_Comments__c, Switches_Pedals_and_Controls__c, Switches_pedals_and_controls_Comments__c, System_Earth_Continuity_Comments__c, System_Earth_Continuity__c, System_Earth_Leakage_Forward_Comments__c, System_Earth_Leakage_Forward__c, System_Earth_Leakage_Reverse_Comments__c, System_Earth_Leakage_Reverse__c, TOMO_Imaging_Comments__c, TOMO_Imaging__c, Table_Movements_Comments__c, Table_Movements__c, Trackerball_Comments__c, Trackerball__c, Transducer_1_Comments__c, Transducer_1_Electrical_Check__c, Transducer_1_Functional_Check__c, Transducer_1_Model__c, Transducer_1_Serial_Number__c, Transducer_2_Comments__c, Transducer_2_Electrical_Check__c, Transducer_2_Functional_Check__c, Transducer_2_Model__c, Transducer_2_Serial_Number__c, Transducer_3_Comments__c, Transducer_3_Electrical_Check__c, Transducer_3_Functional_Check__c, Transducer_3_Model__c, Transducer_3_Serial_Number__c, Transducer_4_Comments__c, Transducer_4_Electrical_Check__c, Transducer_4_Functional_Check__c, Transducer_4_Model__c, Transducer_4_Serial_Number__c, Transducer_5_Comments__c, Transducer_5_Electrical_Check__c, Transducer_5_Functional_Check__c, Transducer_5_Model__c, Transducer_5_Serial_Number__c, Transducer_6_Comments__c, Transducer_6_Electrical_Check__c, Transducer_6_Functional_Check__c, Transducer_6_Model__c, Transducer_6_Serial_Number__c, Tube_Adjustments_Comments__c, Tube_Adjustments_Performed__c, Tube_Adjustments_performed__c, Tube_Alignment_Comments__c, Tube_Alignment__c, UI_Clean_Comments__c, UI_Clean_Completed__c, UPS_Battery_Comments__c, UPS_Battery__c, Ventilation_Clean_Comments__c, Ventilation_Clean__c, Virtual_Collimator_Alignment_Comments__c, Virtual_Collimator_Alignment__c, Visual_Inspection_Comments__c, Visual_Inspection__c, Water_Calibration__c, Wire_Ropes_and_Pulleys_Comments__c, Wire_Ropes_and_Pulleys__c, WorkType, X5_Minute_Warning_Comments__c, X5_Minute_Warning__c, X5_minute_warning_Comments__c, X5_minute_warning__c, kV_mA_EC_and_Timing_Comments__c, kV_mA_Exposure_Checks_and_Timing__c, mF_Outputs_Comments__c, mF_Outputs__c</x:v>
      </x:c>
      <x:c r="H224" s="119" t="str"/>
      <x:c r="I224" s="119" t="str"/>
      <x:c r="J224" s="119" t="str"/>
      <x:c r="K224" s="118" t="n">
        <x:v>22</x:v>
      </x:c>
      <x:c r="L224" s="118" t="n">
        <x:v>0</x:v>
      </x:c>
      <x:c r="M224" s="118" t="n">
        <x:v>0</x:v>
      </x:c>
      <x:c r="N224" s="118" t="n">
        <x:v>16</x:v>
      </x:c>
      <x:c r="O224" s="118" t="n">
        <x:v>0</x:v>
      </x:c>
      <x:c r="P224" s="118" t="n">
        <x:v>0</x:v>
      </x:c>
      <x:c r="Q224" s="118" t="n">
        <x:v>2</x:v>
      </x:c>
      <x:c r="R224" s="118" t="n">
        <x:v>0</x:v>
      </x:c>
      <x:c r="S224" s="118" t="n">
        <x:v>0</x:v>
      </x:c>
      <x:c r="T224" s="118" t="n">
        <x:v>0</x:v>
      </x:c>
      <x:c r="U224" s="118" t="n">
        <x:v>0</x:v>
      </x:c>
      <x:c r="V224" s="118" t="n">
        <x:v>2</x:v>
      </x:c>
      <x:c r="W224" s="118" t="n">
        <x:v>0</x:v>
      </x:c>
      <x:c r="X224" s="118" t="n">
        <x:v>1</x:v>
      </x:c>
      <x:c r="Y224" s="118" t="n">
        <x:v>0</x:v>
      </x:c>
      <x:c r="Z224" s="118" t="n">
        <x:v>0</x:v>
      </x:c>
      <x:c r="AA224" s="118" t="n">
        <x:v>0</x:v>
      </x:c>
      <x:c r="AB224" s="118" t="n">
        <x:v>0</x:v>
      </x:c>
      <x:c r="AC224" s="118" t="n">
        <x:v>0</x:v>
      </x:c>
    </x:row>
    <x:row r="225" ht="46" customHeight="1">
      <x:c r="A225" s="117" t="str">
        <x:v>300Ro00000mjG6bIAE</x:v>
      </x:c>
      <x:c r="B225" s="117" t="str">
        <x:v>FSL_Formatted_Service_Report_Update</x:v>
      </x:c>
      <x:c r="C225" s="117" t="str">
        <x:v>No</x:v>
      </x:c>
      <x:c r="D225" s="119" t="str">
        <x:v>Latest inactive v51 (Retrieved XML)</x:v>
      </x:c>
      <x:c r="E225" s="119" t="str">
        <x:v>Generate_Service_Report_HTML__c EqualTo booleanValue=true | Generate_Service_Report_HTML__c IsChanged booleanValue=true</x:v>
      </x:c>
      <x:c r="F225" s="119" t="str">
        <x:v>ServiceAppointment</x:v>
      </x:c>
      <x:c r="G225" s="119" t="str">
        <x:v>ACR_Check_Reading__c, ACR_Check__c, AEC_Cut_Off_Comments__c, AEC_Cut_Off__c, AEC_Repeatability_Comments__c, AEC_Repeatability__c, AEC_Tolerance_Comments__c, AEC_Tolerance__c, AOP_Checks_Comments__c, AOP_Checks__c, Additional_Documentation_Reference__c, Air_Calibration__c, Alignment_and_Centring_Comments__c, Alignment_and_Centring__c, Alignment_and_Positioning_Comments__c, Alignment_and_Positioning__c, Alignment_and_positioning_Comments__c, Artifact_Check_Comments__c, Artifact_Check__c, BF_Outputs_Comments__c, BF_Outputs__c, BIOS_Battery_Voltage__c, Backup_of_User_Configuration_Comments__c, Backup_of_User_Configuration__c, Battery_Performance_Condition_Comments__c, Battery_Performance_and_Condition__c, Bearings_and_Tracks_Comments__c, Bearings_and_Tracks__c, Brakes_and_Locks_Comments__c, Brakes_and_Locks__c, Bucky_Tray_Assembly_Comments__c, Bucky_Tray_Assembly__c, CS_and_HE_Comments__c, C_Arm_Movements_Comments__c, C_Arm_Movements__c, Cables_and_Hanger_Supports_Comments__c, Cables_and_Hanger_Supports__c, Cables_and_Hanger_Supports_comments__c, Castors_and_Brakes_Comments__c, Castors_and_Brakes__c, Centring_Comments__c, Centring__c, Checklist_Output_Formatted__c, Checklist_Type__c, Collimator_Comments__c, Collimator_Function_and_Alignment__c, Compression_Force_Check_Comments__c, Compression_Force_Check__c, Compression_Paddles_Comments__c, Compression_Paddles__c, Compression_Thickness_Check_Comments__c, Compression_Thickness_Check__c, Contrast_Full_Field_Mode_Comments__c, Contrast_Full_Field_Mode__c, Contrast_Mag_1_Comments__c, Contrast_Mag_1__c, Contrast_Mag_2_Comments__c, Contrast_Mag_2__c, Contrast_Mag_3__c, Contrast_Mag_4__c, Contrast_Normal_Mode_Comments__c, Contrast_Normal_Mode__c, Contrast_Reading_Full_Field_Mode__c, Contrast_Reading_Mag_1__c, Contrast_Reading_Mag_2__c, Contrast_Reading_Mag_3__c, Contrast_Reading_Mag_4__c, Contrast_Reading_Normal_Mode__c, Control_Panel_Articulation_Comments__c, Control_Panel_Articulation__c, Control_Panel_Comments__c, Control_Panel__c, Cooling_Systems_and_Heat_Exchangers__c, Counterbalance_Comments__c, Counterbalance__c, Covers_Secured_Comments__c, Covers_Secured__c, DAP_Accuracy_Comments__c, DAP_Accuracy__c, Database_Capacity_Maintenance_Comments__c, Database_Capacity_and_Maintenance__c, Detector_Calibration_Comments__c, Detector_Calibration__c, Detector_Charging_Comments__c, Detector_Charging__c, Detector_Contrast_Comments__c, Detector_Contrast__c, Detector_Docking_Stations_Comments__c, Detector_Docking_Stations__c, Detector_Drives_and_Sensors_Comments__c, Detector_Drives_and_Sensors__c, Detector_Drop_Sensors_Comments__c, Detector_Drop_Sensors__c, Detector_Resolution_Comments__c, Detector_Resolution__c, Detector_Uniformity_Comments__c, Detector_Uniformity__c, Diagnostic_Test_Comments__c, Diagnostic_Test__c, Direct_Acquisition_Comments__c, Direct_Acquisition__c, Distance_Markers_and_Detents_Comments__c, Distance_Markers_and_Detents__c, ECG_Leads_Patient_Leakage_Comments__c, ECG_Leads_Patient_Leakage__c, Emergency_Stop_Switches_Comments__c, Emergency_Stop_Switches_and_Isolators__c, End_to_End_DICOM_Comments__c, End_to_End_DICOM__c, End_to_end_DICOM_Comments__c, Equipment_Handover_Completed_Comments__c, Equipment_Handover_Completed__c, Error_Logs_Comments__c, Error_Logs__c, Exposure_Controls_Comments__c, Exposure_Controls__c, Exposure_Index_Comments__c, Exposure_Index__c, Exposure_Indicators_Comments__c, Exposure_Indicators__c, Exposure_indicators_Comments__c, FF_Outputs_Comments__c, FF_Outputs__c, Fan_Operation_Comments__c, Fan_Operation__c, Final_Functional_Checks_Comments__c, Final_Functional_Checks__c, Final_Visual_Checks_Comments__c, Final_Visual_Checks__c, Full_Field_Dose_Comments__c, Full_Field_Dose__c, Full_System_Functional_Check_Comments__c, Full_System_Functional_Check__c, Gantry_Lift_Comments__c, Gantry_Lift__c, Gantry_Rotation_Comments__c, Gantry_Rotation__c, Generate_Service_Report_HTML__c, Grid_Artifacts_Comments__c, Grid_Artifacts__c, Grid_Assembly_Comments__c, Grid_Assembly__c, Grid_artifacts_Comments__c, HT_Cable_Status_and_Continuity_Comments__c, HT_Cable_Status_and_Continuity__c, Handswitch_Holder_Comments__c, Handswitch_Holder__c, Handswitch_and_Foot_Pedals_Comments__c, Handswitch_and_Foot_Pedals__c, Image_Display_Quality_Comments__c, Image_Display_Quality__c, Interconnect_Collision_Detects_Comments__c, Interconnect_Collision_Detects__c, Interlocks_and_Mechanical_Stops_Comments__c, Interlocks_and_Mechanical_Stops__c, Interlocks_and_mechanical_stops_Comments__c, Interlocks_and_mechanical_stops__c, Lamp_and_Laser_Alignment_Comments__c, Lamp_and_Laser_Alignment__c, Laser_Lights_Comments__c, Laser_Lights__c, Limit_Switches_Comments__c, Limit_Switches__c, Mag_1_Comments__c, Mag_1__c, Mag_2_Comments__c, Mag_2__c, Mag_3_Comments__c, Mag_3__c, Mag_4_Comments__c, Mag_4__c, Mag_Stands_Comments__c, Mag_Stands__c, Main_Screen_Touchscreen_Clean_Comments__c, Main_Screen_and_Touchscreen_Clean__c, Mainslead_Visual_Inspection_Comments__c, Mainslead_Visual_Inspection__c, Mechanical_Security_Comments__c, Mechanical_Security__c, Mechanical_Visual_Inspection_Comments__c, Mechanical_Visual_Inspection__c, Monitor_Arm_Articulation_Comments__c, Monitor_Arm_Articulation__c, Motorised_Positioning_Comments__c, Motorised_Positioning__c, Mountings_and_Fixings_Comments__c, Mountings_and_Fixings__c, Movements_Comments__c, Movements__c, Mylar_Window_Comments__c, Mylar_Window__c, Network_Send_Receive_Test_Study_Comments__c, Network_Send_Receive_Test_Study__c, Peripheral_1_Check__c, Peripheral_1_Comments__c, Peripheral_1_Serial_Number__c, Peripheral_1__c, Peripheral_2_Check__c, Peripheral_2_Comments__c, Peripheral_2_Serial_Number__c, Peripheral_2__c, Plug_Integrity_Comments__c, Plug_Integrity__c, Positioning_Aids_and_Supports_Comments__c, Positioning_Aids_and_Supports__c, Positioning_aids_and_supports_Comments__c, Positioning_aids_and_supports__c, Post_Processing_Functions_Comments__c, Post_Processing_Functions__c, Power_On_and_Boot_Up_Comments__c, Power_On_and_Boot_Up__c, Probe_Holders_and_Cable_Hangers_Comments__c, Probe_Holders_and_Cable_Hangers__c, Pulsed_Fluoroscopy_Comments__c, Pulsed_Fluoroscopy__c, Recommended_Repair__c, Resolution_Full_Field_Mode__c, Resolution_Mag_1_Comments__c, Resolution_Mag_1__c, Resolution_Mag_2_Comments__c, Resolution_Mag_2__c, Resolution_Mag_3__c, Resolution_Mag_4__c, Resolution_Normal_Mode_Comments__c, Resolution_Normal_Mode__c, Resolution_Reading_Full_Field_Mode__c, Resolution_Reading_Mag_1__c, Resolution_Reading_Mag_2__c, Resolution_Reading_Mag_3__c, Resolution_Reading_Mag_4__c, Resolution_Reading_Normal_Mode__c, Room_Warning_Lights_Comments__c, Room_Warning_Lights__c, SNR_Check_Reading__c, SNR_Check__c, Service_and_Safety_Test_Labels_Attached__c, Service_and_Safety_Test_Labels_Comments__c, Slip_Rings_and_Brushes_Comments__c, Slip_Rings_and_Brushes__c, Stereotactic_Alignment_Comments__c, Stereotactic_Alignment__c, Switches_Pedals_and_Controls_Comments__c, Switches_Pedals_and_Controls__c, Switches_pedals_and_controls_Comments__c, System_Earth_Continuity_Comments__c, System_Earth_Continuity__c, System_Earth_Leakage_Forward_Comments__c, System_Earth_Leakage_Forward__c, System_Earth_Leakage_Reverse_Comments__c, System_Earth_Leakage_Reverse__c, TOMO_Imaging_Comments__c, TOMO_Imaging__c, Table_Movements_Comments__c, Table_Movements__c, Trackerball_Comments__c, Trackerball__c, Transducer_1_Comments__c, Transducer_1_Electrical_Check__c, Transducer_1_Functional_Check__c, Transducer_1_Model__c, Transducer_1_Serial_Number__c, Transducer_2_Comments__c, Transducer_2_Electrical_Check__c, Transducer_2_Functional_Check__c, Transducer_2_Model__c, Transducer_2_Serial_Number__c, Transducer_3_Comments__c, Transducer_3_Electrical_Check__c, Transducer_3_Functional_Check__c, Transducer_3_Model__c, Transducer_3_Serial_Number__c, Transducer_4_Comments__c, Transducer_4_Electrical_Check__c, Transducer_4_Functional_Check__c, Transducer_4_Model__c, Transducer_4_Serial_Number__c, Transducer_5_Comments__c, Transducer_5_Electrical_Check__c, Transducer_5_Functional_Check__c, Transducer_5_Model__c, Transducer_5_Serial_Number__c, Transducer_6_Comments__c, Transducer_6_Electrical_Check__c, Transducer_6_Functional_Check__c, Transducer_6_Model__c, Transducer_6_Serial_Number__c, Tube_Adjustments_Comments__c, Tube_Adjustments_Performed__c, Tube_Adjustments_performed__c, Tube_Alignment_Comments__c, Tube_Alignment__c, UI_Clean_Comments__c, UI_Clean_Completed__c, UPS_Battery_Comments__c, UPS_Battery__c, Ventilation_Clean_Comments__c, Ventilation_Clean__c, Virtual_Collimator_Alignment_Comments__c, Virtual_Collimator_Alignment__c, Visual_Inspection_Comments__c, Visual_Inspection__c, Water_Calibration__c, Wire_Ropes_and_Pulleys_Comments__c, Wire_Ropes_and_Pulleys__c, X5_Minute_Warning_Comments__c, X5_Minute_Warning__c, X5_minute_warning_Comments__c, X5_minute_warning__c, kV_mA_EC_and_Timing_Comments__c, kV_mA_Exposure_Checks_and_Timing__c, mF_Outputs_Comments__c, mF_Outputs__c</x:v>
      </x:c>
      <x:c r="H225" s="119" t="str"/>
      <x:c r="I225" s="119" t="str"/>
      <x:c r="J225" s="119" t="str"/>
      <x:c r="K225" s="118" t="n">
        <x:v>13</x:v>
      </x:c>
      <x:c r="L225" s="118" t="n">
        <x:v>0</x:v>
      </x:c>
      <x:c r="M225" s="118" t="n">
        <x:v>0</x:v>
      </x:c>
      <x:c r="N225" s="118" t="n">
        <x:v>10</x:v>
      </x:c>
      <x:c r="O225" s="118" t="n">
        <x:v>0</x:v>
      </x:c>
      <x:c r="P225" s="118" t="n">
        <x:v>0</x:v>
      </x:c>
      <x:c r="Q225" s="118" t="n">
        <x:v>1</x:v>
      </x:c>
      <x:c r="R225" s="118" t="n">
        <x:v>0</x:v>
      </x:c>
      <x:c r="S225" s="118" t="n">
        <x:v>0</x:v>
      </x:c>
      <x:c r="T225" s="118" t="n">
        <x:v>0</x:v>
      </x:c>
      <x:c r="U225" s="118" t="n">
        <x:v>0</x:v>
      </x:c>
      <x:c r="V225" s="118" t="n">
        <x:v>0</x:v>
      </x:c>
      <x:c r="W225" s="118" t="n">
        <x:v>0</x:v>
      </x:c>
      <x:c r="X225" s="118" t="n">
        <x:v>1</x:v>
      </x:c>
      <x:c r="Y225" s="118" t="n">
        <x:v>0</x:v>
      </x:c>
      <x:c r="Z225" s="118" t="n">
        <x:v>0</x:v>
      </x:c>
      <x:c r="AA225" s="118" t="n">
        <x:v>0</x:v>
      </x:c>
      <x:c r="AB225" s="118" t="n">
        <x:v>0</x:v>
      </x:c>
      <x:c r="AC225" s="118" t="n">
        <x:v>0</x:v>
      </x:c>
    </x:row>
    <x:row r="226" ht="46" customHeight="1">
      <x:c r="A226" s="117" t="str">
        <x:v>300Ro00000S83DZIAZ</x:v>
      </x:c>
      <x:c r="B226" s="117" t="str">
        <x:v>FSL_Mobile_Create_Lead_Autolaunched</x:v>
      </x:c>
      <x:c r="C226" s="117" t="str">
        <x:v>Yes</x:v>
      </x:c>
      <x:c r="D226" s="119" t="str">
        <x:v>Active v5 (Tooling metadata)</x:v>
      </x:c>
      <x:c r="E226" s="119" t="str"/>
      <x:c r="F226" s="119" t="str">
        <x:v>Contact, Lead, ServiceAppointment</x:v>
      </x:c>
      <x:c r="G226" s="119" t="str">
        <x:v>Account_Name__c, Company, ContactId, Created_by_EU_UK__c, CurrencyIsoCode, Description, Email, FirstName, Id, LastName, LeadSource, MobilePhone, Modality__c, Name, Phone, RecordTypeId, Status</x:v>
      </x:c>
      <x:c r="H226" s="119" t="str"/>
      <x:c r="I226" s="119" t="str"/>
      <x:c r="J226" s="119" t="str"/>
      <x:c r="K226" s="118" t="n">
        <x:v>11</x:v>
      </x:c>
      <x:c r="L226" s="118" t="n">
        <x:v>0</x:v>
      </x:c>
      <x:c r="M226" s="118" t="n">
        <x:v>0</x:v>
      </x:c>
      <x:c r="N226" s="118" t="n">
        <x:v>5</x:v>
      </x:c>
      <x:c r="O226" s="118" t="n">
        <x:v>0</x:v>
      </x:c>
      <x:c r="P226" s="118" t="n">
        <x:v>0</x:v>
      </x:c>
      <x:c r="Q226" s="118" t="n">
        <x:v>1</x:v>
      </x:c>
      <x:c r="R226" s="118" t="n">
        <x:v>0</x:v>
      </x:c>
      <x:c r="S226" s="118" t="n">
        <x:v>0</x:v>
      </x:c>
      <x:c r="T226" s="118" t="n">
        <x:v>1</x:v>
      </x:c>
      <x:c r="U226" s="118" t="n">
        <x:v>0</x:v>
      </x:c>
      <x:c r="V226" s="118" t="n">
        <x:v>2</x:v>
      </x:c>
      <x:c r="W226" s="118" t="n">
        <x:v>0</x:v>
      </x:c>
      <x:c r="X226" s="118" t="n">
        <x:v>0</x:v>
      </x:c>
      <x:c r="Y226" s="118" t="n">
        <x:v>1</x:v>
      </x:c>
      <x:c r="Z226" s="118" t="n">
        <x:v>0</x:v>
      </x:c>
      <x:c r="AA226" s="118" t="n">
        <x:v>0</x:v>
      </x:c>
      <x:c r="AB226" s="118" t="n">
        <x:v>0</x:v>
      </x:c>
      <x:c r="AC226" s="118" t="n">
        <x:v>0</x:v>
      </x:c>
    </x:row>
    <x:row r="227" ht="46" customHeight="1">
      <x:c r="A227" s="117" t="str">
        <x:v>300Ro00000cnT4mIAE</x:v>
      </x:c>
      <x:c r="B227" s="117" t="str">
        <x:v>FSL_Mobile_Create_Lead_US</x:v>
      </x:c>
      <x:c r="C227" s="117" t="str">
        <x:v>Yes</x:v>
      </x:c>
      <x:c r="D227" s="119" t="str">
        <x:v>Active v34 (Retrieved XML)</x:v>
      </x:c>
      <x:c r="E227" s="119" t="str"/>
      <x:c r="F227" s="119" t="str">
        <x:v>Account, AssignedResource, Contact, Lead, Opportunity, OpportunityLineItem, ServiceAppointment, ServiceResource, StateTranslation__mdt, User, WorkOrder, WorkOrderLineItem</x:v>
      </x:c>
      <x:c r="G227" s="119" t="str">
        <x:v>AccountId, Account_Name_Free_Text__c, Additional_Information__c, Appointment_Type__c, Bill_to_Address__City__s, Bill_to_Address__CountryCode__s, Bill_to_Address__PostalCode__s, Bill_to_Address__StateCode__s, Bill_to_Address__Street__s, Billing_Account_Name__c, Billing_City__c, Billing_Email__c, Billing_State__c, Billing_Street__c, Billing_Type__c, Billing_Zip_Postal_Code__c, City, Company, Company__c, ContactId, Country, Customer_PO_Number__c, Customer_PO__c, Description, Description_Rich__c, DeveloperName, DueDate, Duration, DurationType, EarliestStartTime, Email, Error_Code__c, Field_Service_Engineer__c, FirstName, Id, Inbound_Type__c, Include_Applications_Training__c, LastName, LeadSource, Lead_Type__c, Lead__c, Make_Model__c, Matched_Contact__c, Need_Quote_By__c, OpportunityId, Opportunity_Number__c, Opportunity__c, PO_Number__c, ParentRecordId, PostalCode, Pricebook2Id, RSM__c, RecordTypeId, RelatedRecordId, Related_Account__c, Reported_Symptoms__c, SchedEndTime, SchedStartTime, Serial_Number_US__c, ServiceAppointmentId, ServiceReportTemplateId, ServiceResourceId, ServiceTerritoryId, Ship_to_Address__City__s, Ship_to_Address__CountryCode__s, Ship_to_Address__PostalCode__s, Ship_to_Address__StateCode__s, Ship_to_Address__Street__s, StartDate, StateCode, State_Abbreviation__c, State_Name__c, Status, Street, Subject, System_Serial_Number__c, Trade_In_Amount__c, Trade_In_Equipment__c, Type__c, US_Billing_Type__c, WorkOrderId, WorkTypeId, Work_Order_Description__c, Work_Order__c</x:v>
      </x:c>
      <x:c r="H227" s="119" t="str">
        <x:v>emailSimple</x:v>
      </x:c>
      <x:c r="I227" s="119" t="str">
        <x:v>FSL_Screen_Request_Parts_on_WO, Work_Order_FSL_Mobile_Subflow_Chatter_Post</x:v>
      </x:c>
      <x:c r="J227" s="119" t="str">
        <x:v>forceContent:fileUpload</x:v>
      </x:c>
      <x:c r="K227" s="118" t="n">
        <x:v>132</x:v>
      </x:c>
      <x:c r="L227" s="118" t="n">
        <x:v>2</x:v>
      </x:c>
      <x:c r="M227" s="118" t="n">
        <x:v>0</x:v>
      </x:c>
      <x:c r="N227" s="118" t="n">
        <x:v>27</x:v>
      </x:c>
      <x:c r="O227" s="118" t="n">
        <x:v>0</x:v>
      </x:c>
      <x:c r="P227" s="118" t="n">
        <x:v>0</x:v>
      </x:c>
      <x:c r="Q227" s="118" t="n">
        <x:v>27</x:v>
      </x:c>
      <x:c r="R227" s="118" t="n">
        <x:v>0</x:v>
      </x:c>
      <x:c r="S227" s="118" t="n">
        <x:v>0</x:v>
      </x:c>
      <x:c r="T227" s="118" t="n">
        <x:v>11</x:v>
      </x:c>
      <x:c r="U227" s="118" t="n">
        <x:v>0</x:v>
      </x:c>
      <x:c r="V227" s="118" t="n">
        <x:v>22</x:v>
      </x:c>
      <x:c r="W227" s="118" t="n">
        <x:v>0</x:v>
      </x:c>
      <x:c r="X227" s="118" t="n">
        <x:v>9</x:v>
      </x:c>
      <x:c r="Y227" s="118" t="n">
        <x:v>27</x:v>
      </x:c>
      <x:c r="Z227" s="118" t="n">
        <x:v>0</x:v>
      </x:c>
      <x:c r="AA227" s="118" t="n">
        <x:v>6</x:v>
      </x:c>
      <x:c r="AB227" s="118" t="n">
        <x:v>0</x:v>
      </x:c>
      <x:c r="AC227" s="118" t="n">
        <x:v>0</x:v>
      </x:c>
    </x:row>
    <x:row r="228" ht="46" customHeight="1">
      <x:c r="A228" s="117" t="str">
        <x:v>300Ro00000qOg6fIAC</x:v>
      </x:c>
      <x:c r="B228" s="117" t="str">
        <x:v>FSL_Mobile_End_Screen_for_FSL_PDF_Generation</x:v>
      </x:c>
      <x:c r="C228" s="117" t="str">
        <x:v>Yes</x:v>
      </x:c>
      <x:c r="D228" s="119" t="str">
        <x:v>Active v15 (Retrieved XML)</x:v>
      </x:c>
      <x:c r="E228" s="119" t="str"/>
      <x:c r="F228" s="119" t="str">
        <x:v>Account, ServiceAppointment, StateTranslation__mdt, WorkOrder</x:v>
      </x:c>
      <x:c r="G228" s="119" t="str">
        <x:v>Id, State_Abbreviation__c, State_Name__c</x:v>
      </x:c>
      <x:c r="H228" s="119" t="str"/>
      <x:c r="I228" s="119" t="str"/>
      <x:c r="J228" s="119" t="str"/>
      <x:c r="K228" s="118" t="n">
        <x:v>14</x:v>
      </x:c>
      <x:c r="L228" s="118" t="n">
        <x:v>0</x:v>
      </x:c>
      <x:c r="M228" s="118" t="n">
        <x:v>0</x:v>
      </x:c>
      <x:c r="N228" s="118" t="n">
        <x:v>2</x:v>
      </x:c>
      <x:c r="O228" s="118" t="n">
        <x:v>0</x:v>
      </x:c>
      <x:c r="P228" s="118" t="n">
        <x:v>0</x:v>
      </x:c>
      <x:c r="Q228" s="118" t="n">
        <x:v>2</x:v>
      </x:c>
      <x:c r="R228" s="118" t="n">
        <x:v>0</x:v>
      </x:c>
      <x:c r="S228" s="118" t="n">
        <x:v>0</x:v>
      </x:c>
      <x:c r="T228" s="118" t="n">
        <x:v>0</x:v>
      </x:c>
      <x:c r="U228" s="118" t="n">
        <x:v>0</x:v>
      </x:c>
      <x:c r="V228" s="118" t="n">
        <x:v>7</x:v>
      </x:c>
      <x:c r="W228" s="118" t="n">
        <x:v>0</x:v>
      </x:c>
      <x:c r="X228" s="118" t="n">
        <x:v>1</x:v>
      </x:c>
      <x:c r="Y228" s="118" t="n">
        <x:v>1</x:v>
      </x:c>
      <x:c r="Z228" s="118" t="n">
        <x:v>0</x:v>
      </x:c>
      <x:c r="AA228" s="118" t="n">
        <x:v>0</x:v>
      </x:c>
      <x:c r="AB228" s="118" t="n">
        <x:v>0</x:v>
      </x:c>
      <x:c r="AC228" s="118" t="n">
        <x:v>0</x:v>
      </x:c>
    </x:row>
    <x:row r="229" ht="46" customHeight="1">
      <x:c r="A229" s="117" t="str">
        <x:v>300Ro00000pvIVtIAM</x:v>
      </x:c>
      <x:c r="B229" s="117" t="str">
        <x:v>FSL_Mobile_Service_Appointment_Closeout</x:v>
      </x:c>
      <x:c r="C229" s="117" t="str">
        <x:v>Yes</x:v>
      </x:c>
      <x:c r="D229" s="119" t="str">
        <x:v>Active v1 (Retrieved XML)</x:v>
      </x:c>
      <x:c r="E229" s="119" t="str"/>
      <x:c r="F229" s="119" t="str">
        <x:v>Account, Asset, AssignedResource, Contact, ContractLineItem, Lead, Opportunity, RMA__c, ServiceAppointment, StateTranslation__mdt, WorkOrder, WorkOrderLineItem</x:v>
      </x:c>
      <x:c r="G229" s="119" t="str">
        <x:v>AccountId, ActualEndTime, ActualStartTime, Additional_Items_Require_Labor__c, Additional_Items_to_Quote__c, AppointmentNumber, Appointment_Type__c, Asset2__c, AssetId, Billing_Account_Name__c, Billing_Address__City__s, Billing_Address__CountryCode__s, Billing_Address__PostalCode__s, Billing_Address__StateCode__s, Billing_Address__Street__s, Billing_City__c, Billing_Email__c, Billing_State__c, Billing_Street__c, Billing_Type__c, Billing_Zip_Postal_Code__c, Comments_on_Additional_Items_to_Quote__c, Completed_or_Cannot_Complete_Status__c, ContactId, Contract_Line_Item__c, Date_Opportunity_Item_Shipped__c, Date_shipped__c, Description, Dose_Affected__c, Engineers_Comments__c, Engineers_Required__c, Error_Code__c, Follow_Up_Visit_Reason__c, Hours_Required_for_Follow_Up_Visit__c, Id, Internal_Notes__c, Last_Completed_Work_Step__c, Line_Intent__c, Line_Type__c, Make_Model__c, Name, OEM_Serial__c, Opportunity__c, PO_Number__c, Part_Number_FSL_Sourced__c, Part_Used__c, Parts_Required__c, Parts_Table__c, Parts_details__c, PricebookEntryId, Product_Name_FSL_Sourced__c, Quantity, RMA_Item_Serial_Number__c, RecordTypeId, Reported_Symptoms__c, Return_Visit_Required__c, Sales_Asset__c, SerialNumber, Serial_Number__c, ServiceAppointmentId, Service_Appointment__c, Service_Resource__c, Shipping_Address__City__s, Shipping_Address__CountryCode__s, Shipping_Address__PostalCode__s, Shipping_Address__StateCode__s, Shipping_Address__Street__s, Software_Level__c, Software__c, Solution_Remarks__c, State_Abbreviation__c, State_Name__c, Status, Subject, Symptom_Code__c, System_Operational__c, System_Serial_Number__c, System_YOM__c, UnitPrice, Verified_Symptoms__c, WorkOrderId, WorkTypeId, Work_Order_Replacement__c, Work_Order__c</x:v>
      </x:c>
      <x:c r="H229" s="119" t="str">
        <x:v>emailSimple</x:v>
      </x:c>
      <x:c r="I229" s="119" t="str">
        <x:v>FSL_Screen_Request_Parts_on_WO</x:v>
      </x:c>
      <x:c r="J229" s="119" t="str"/>
      <x:c r="K229" s="118" t="n">
        <x:v>183</x:v>
      </x:c>
      <x:c r="L229" s="118" t="n">
        <x:v>2</x:v>
      </x:c>
      <x:c r="M229" s="118" t="n">
        <x:v>0</x:v>
      </x:c>
      <x:c r="N229" s="118" t="n">
        <x:v>41</x:v>
      </x:c>
      <x:c r="O229" s="118" t="n">
        <x:v>0</x:v>
      </x:c>
      <x:c r="P229" s="118" t="n">
        <x:v>0</x:v>
      </x:c>
      <x:c r="Q229" s="118" t="n">
        <x:v>54</x:v>
      </x:c>
      <x:c r="R229" s="118" t="n">
        <x:v>9</x:v>
      </x:c>
      <x:c r="S229" s="118" t="n">
        <x:v>0</x:v>
      </x:c>
      <x:c r="T229" s="118" t="n">
        <x:v>7</x:v>
      </x:c>
      <x:c r="U229" s="118" t="n">
        <x:v>0</x:v>
      </x:c>
      <x:c r="V229" s="118" t="n">
        <x:v>26</x:v>
      </x:c>
      <x:c r="W229" s="118" t="n">
        <x:v>0</x:v>
      </x:c>
      <x:c r="X229" s="118" t="n">
        <x:v>22</x:v>
      </x:c>
      <x:c r="Y229" s="118" t="n">
        <x:v>20</x:v>
      </x:c>
      <x:c r="Z229" s="118" t="n">
        <x:v>0</x:v>
      </x:c>
      <x:c r="AA229" s="118" t="n">
        <x:v>1</x:v>
      </x:c>
      <x:c r="AB229" s="118" t="n">
        <x:v>0</x:v>
      </x:c>
      <x:c r="AC229" s="118" t="n">
        <x:v>0</x:v>
      </x:c>
    </x:row>
    <x:row r="230" ht="46" customHeight="1">
      <x:c r="A230" s="117" t="str">
        <x:v>300Ro00000cnT4nIAE</x:v>
      </x:c>
      <x:c r="B230" s="117" t="str">
        <x:v>FSL_Parts_Order</x:v>
      </x:c>
      <x:c r="C230" s="117" t="str">
        <x:v>No</x:v>
      </x:c>
      <x:c r="D230" s="119" t="str">
        <x:v>Latest inactive v1 (Retrieved XML)</x:v>
      </x:c>
      <x:c r="E230" s="119" t="str"/>
      <x:c r="F230" s="119" t="str">
        <x:v>PricebookEntry, ServiceAppointment, ServiceResource, WorkOrder, WorkOrderLineItem</x:v>
      </x:c>
      <x:c r="G230" s="119" t="str">
        <x:v>CurrencyIsoCode, Id, Pricebook2Id, Product2Id, RelatedRecordId</x:v>
      </x:c>
      <x:c r="H230" s="119" t="str"/>
      <x:c r="I230" s="119" t="str"/>
      <x:c r="J230" s="119" t="str">
        <x:v>flowruntime:address, flowruntime:lookup</x:v>
      </x:c>
      <x:c r="K230" s="118" t="n">
        <x:v>14</x:v>
      </x:c>
      <x:c r="L230" s="118" t="n">
        <x:v>0</x:v>
      </x:c>
      <x:c r="M230" s="118" t="n">
        <x:v>0</x:v>
      </x:c>
      <x:c r="N230" s="118" t="n">
        <x:v>3</x:v>
      </x:c>
      <x:c r="O230" s="118" t="n">
        <x:v>1</x:v>
      </x:c>
      <x:c r="P230" s="118" t="n">
        <x:v>0</x:v>
      </x:c>
      <x:c r="Q230" s="118" t="n">
        <x:v>0</x:v>
      </x:c>
      <x:c r="R230" s="118" t="n">
        <x:v>3</x:v>
      </x:c>
      <x:c r="S230" s="118" t="n">
        <x:v>0</x:v>
      </x:c>
      <x:c r="T230" s="118" t="n">
        <x:v>1</x:v>
      </x:c>
      <x:c r="U230" s="118" t="n">
        <x:v>0</x:v>
      </x:c>
      <x:c r="V230" s="118" t="n">
        <x:v>4</x:v>
      </x:c>
      <x:c r="W230" s="118" t="n">
        <x:v>0</x:v>
      </x:c>
      <x:c r="X230" s="118" t="n">
        <x:v>0</x:v>
      </x:c>
      <x:c r="Y230" s="118" t="n">
        <x:v>1</x:v>
      </x:c>
      <x:c r="Z230" s="118" t="n">
        <x:v>0</x:v>
      </x:c>
      <x:c r="AA230" s="118" t="n">
        <x:v>0</x:v>
      </x:c>
      <x:c r="AB230" s="118" t="n">
        <x:v>0</x:v>
      </x:c>
      <x:c r="AC230" s="118" t="n">
        <x:v>0</x:v>
      </x:c>
    </x:row>
    <x:row r="231" ht="46" customHeight="1">
      <x:c r="A231" s="117" t="str">
        <x:v>300Ro00000SQcUYIA1</x:v>
      </x:c>
      <x:c r="B231" s="117" t="str">
        <x:v>FSL_Screen_Flow_Update_Checksheet_Output_After_It_s_Been_Generated</x:v>
      </x:c>
      <x:c r="C231" s="117" t="str">
        <x:v>Yes</x:v>
      </x:c>
      <x:c r="D231" s="119" t="str">
        <x:v>Active v5 (Tooling metadata)</x:v>
      </x:c>
      <x:c r="E231" s="119" t="str"/>
      <x:c r="F231" s="119" t="str">
        <x:v>ServiceAppointment</x:v>
      </x:c>
      <x:c r="G231" s="119" t="str">
        <x:v>Checklist_Output_Formatted__c, Id</x:v>
      </x:c>
      <x:c r="H231" s="119" t="str"/>
      <x:c r="I231" s="119" t="str"/>
      <x:c r="J231" s="119" t="str"/>
      <x:c r="K231" s="118" t="n">
        <x:v>4</x:v>
      </x:c>
      <x:c r="L231" s="118" t="n">
        <x:v>0</x:v>
      </x:c>
      <x:c r="M231" s="118" t="n">
        <x:v>0</x:v>
      </x:c>
      <x:c r="N231" s="118" t="n">
        <x:v>0</x:v>
      </x:c>
      <x:c r="O231" s="118" t="n">
        <x:v>0</x:v>
      </x:c>
      <x:c r="P231" s="118" t="n">
        <x:v>0</x:v>
      </x:c>
      <x:c r="Q231" s="118" t="n">
        <x:v>0</x:v>
      </x:c>
      <x:c r="R231" s="118" t="n">
        <x:v>0</x:v>
      </x:c>
      <x:c r="S231" s="118" t="n">
        <x:v>0</x:v>
      </x:c>
      <x:c r="T231" s="118" t="n">
        <x:v>0</x:v>
      </x:c>
      <x:c r="U231" s="118" t="n">
        <x:v>0</x:v>
      </x:c>
      <x:c r="V231" s="118" t="n">
        <x:v>1</x:v>
      </x:c>
      <x:c r="W231" s="118" t="n">
        <x:v>0</x:v>
      </x:c>
      <x:c r="X231" s="118" t="n">
        <x:v>1</x:v>
      </x:c>
      <x:c r="Y231" s="118" t="n">
        <x:v>1</x:v>
      </x:c>
      <x:c r="Z231" s="118" t="n">
        <x:v>0</x:v>
      </x:c>
      <x:c r="AA231" s="118" t="n">
        <x:v>0</x:v>
      </x:c>
      <x:c r="AB231" s="118" t="n">
        <x:v>0</x:v>
      </x:c>
      <x:c r="AC231" s="118" t="n">
        <x:v>0</x:v>
      </x:c>
    </x:row>
    <x:row r="232" ht="46" customHeight="1">
      <x:c r="A232" s="117" t="str">
        <x:v>300Ro00000cnT4cIAE</x:v>
      </x:c>
      <x:c r="B232" s="117" t="str">
        <x:v>FSL_Screen_Request_Parts_on_WO</x:v>
      </x:c>
      <x:c r="C232" s="117" t="str">
        <x:v>Yes</x:v>
      </x:c>
      <x:c r="D232" s="119" t="str">
        <x:v>Active v137 (Retrieved XML)</x:v>
      </x:c>
      <x:c r="E232" s="119" t="str"/>
      <x:c r="F232" s="119" t="str">
        <x:v>Address, AssignedResource, Location, Opportunity, OpportunityLineItem, ServiceAppointment, ServiceResource, StateTranslation__mdt, WorkOrder, WorkOrderLineItem</x:v>
      </x:c>
      <x:c r="G232" s="119" t="str">
        <x:v>Id, Line_Intent__c, Line_Type__c, Model__c, Name, OpportunityId, ParentId, Part_Number__c, ProductItem__c, Product_Name_Formula__c, RelatedRecordId, Serial_No__c, ServiceAppointmentId, State_Abbreviation__c, Status, Subject, WorkOrderId</x:v>
      </x:c>
      <x:c r="H232" s="119" t="str"/>
      <x:c r="I232" s="119" t="str"/>
      <x:c r="J232" s="119" t="str"/>
      <x:c r="K232" s="118" t="n">
        <x:v>155</x:v>
      </x:c>
      <x:c r="L232" s="118" t="n">
        <x:v>0</x:v>
      </x:c>
      <x:c r="M232" s="118" t="n">
        <x:v>0</x:v>
      </x:c>
      <x:c r="N232" s="118" t="n">
        <x:v>66</x:v>
      </x:c>
      <x:c r="O232" s="118" t="n">
        <x:v>0</x:v>
      </x:c>
      <x:c r="P232" s="118" t="n">
        <x:v>0</x:v>
      </x:c>
      <x:c r="Q232" s="118" t="n">
        <x:v>41</x:v>
      </x:c>
      <x:c r="R232" s="118" t="n">
        <x:v>0</x:v>
      </x:c>
      <x:c r="S232" s="118" t="n">
        <x:v>0</x:v>
      </x:c>
      <x:c r="T232" s="118" t="n">
        <x:v>1</x:v>
      </x:c>
      <x:c r="U232" s="118" t="n">
        <x:v>0</x:v>
      </x:c>
      <x:c r="V232" s="118" t="n">
        <x:v>15</x:v>
      </x:c>
      <x:c r="W232" s="118" t="n">
        <x:v>0</x:v>
      </x:c>
      <x:c r="X232" s="118" t="n">
        <x:v>7</x:v>
      </x:c>
      <x:c r="Y232" s="118" t="n">
        <x:v>24</x:v>
      </x:c>
      <x:c r="Z232" s="118" t="n">
        <x:v>0</x:v>
      </x:c>
      <x:c r="AA232" s="118" t="n">
        <x:v>0</x:v>
      </x:c>
      <x:c r="AB232" s="118" t="n">
        <x:v>0</x:v>
      </x:c>
      <x:c r="AC232" s="118" t="n">
        <x:v>0</x:v>
      </x:c>
    </x:row>
    <x:row r="233" ht="46" customHeight="1">
      <x:c r="A233" s="117" t="str">
        <x:v>300Ro00000SLPtAIAX</x:v>
      </x:c>
      <x:c r="B233" s="117" t="str">
        <x:v>FSL_Screen_SA_Closeout_on_Desktop</x:v>
      </x:c>
      <x:c r="C233" s="117" t="str">
        <x:v>Yes</x:v>
      </x:c>
      <x:c r="D233" s="119" t="str">
        <x:v>Active v18 (Retrieved XML)</x:v>
      </x:c>
      <x:c r="E233" s="119" t="str"/>
      <x:c r="F233" s="119" t="str">
        <x:v>ServiceAppointment, WorkOrder</x:v>
      </x:c>
      <x:c r="G233" s="119" t="str">
        <x:v>Accidental_Damage_Comments__c, Accidental_Damage_Flag__c, ActualEndTime, ActualStartTime, Additional_Items_to_Quote__c, Comments_on_Additional_Items_to_Quote__c, Dose_Affected__c, Engineers_Comments__c, Engineers_Required__c, Follow_Up_Visit_Reason__c, Hours_Required_for_Follow_Up_Visit__c, Id, Internal_Notes__c, Last_Completed_Work_Step__c, Modality__c, Parts_Required__c, Parts_details__c, Return_Visit_Required__c, Status, System_Operational__c, Travel_Start__c, Work_Order__c</x:v>
      </x:c>
      <x:c r="H233" s="119" t="str"/>
      <x:c r="I233" s="119" t="str"/>
      <x:c r="J233" s="119" t="str"/>
      <x:c r="K233" s="118" t="n">
        <x:v>17</x:v>
      </x:c>
      <x:c r="L233" s="118" t="n">
        <x:v>0</x:v>
      </x:c>
      <x:c r="M233" s="118" t="n">
        <x:v>0</x:v>
      </x:c>
      <x:c r="N233" s="118" t="n">
        <x:v>0</x:v>
      </x:c>
      <x:c r="O233" s="118" t="n">
        <x:v>0</x:v>
      </x:c>
      <x:c r="P233" s="118" t="n">
        <x:v>0</x:v>
      </x:c>
      <x:c r="Q233" s="118" t="n">
        <x:v>5</x:v>
      </x:c>
      <x:c r="R233" s="118" t="n">
        <x:v>0</x:v>
      </x:c>
      <x:c r="S233" s="118" t="n">
        <x:v>0</x:v>
      </x:c>
      <x:c r="T233" s="118" t="n">
        <x:v>0</x:v>
      </x:c>
      <x:c r="U233" s="118" t="n">
        <x:v>0</x:v>
      </x:c>
      <x:c r="V233" s="118" t="n">
        <x:v>1</x:v>
      </x:c>
      <x:c r="W233" s="118" t="n">
        <x:v>0</x:v>
      </x:c>
      <x:c r="X233" s="118" t="n">
        <x:v>5</x:v>
      </x:c>
      <x:c r="Y233" s="118" t="n">
        <x:v>5</x:v>
      </x:c>
      <x:c r="Z233" s="118" t="n">
        <x:v>0</x:v>
      </x:c>
      <x:c r="AA233" s="118" t="n">
        <x:v>0</x:v>
      </x:c>
      <x:c r="AB233" s="118" t="n">
        <x:v>0</x:v>
      </x:c>
      <x:c r="AC233" s="118" t="n">
        <x:v>0</x:v>
      </x:c>
    </x:row>
    <x:row r="234" ht="46" customHeight="1">
      <x:c r="A234" s="117" t="str">
        <x:v>300Ro00000srgJqIAI</x:v>
      </x:c>
      <x:c r="B234" s="117" t="str">
        <x:v>FSL_Service_Appointment_Collect_Assets</x:v>
      </x:c>
      <x:c r="C234" s="117" t="str">
        <x:v>Yes</x:v>
      </x:c>
      <x:c r="D234" s="119" t="str">
        <x:v>Active v19 (Retrieved XML)</x:v>
      </x:c>
      <x:c r="E234" s="119" t="str"/>
      <x:c r="F234" s="119" t="str">
        <x:v>ProductItem__c, ServiceAppointment, WorkOrderLineItem</x:v>
      </x:c>
      <x:c r="G234" s="119" t="str">
        <x:v>Id, Service_Appointment__c, Ship_Date__c, Tracking_Number__c, WorkOrderId</x:v>
      </x:c>
      <x:c r="H234" s="119" t="str"/>
      <x:c r="I234" s="119" t="str"/>
      <x:c r="J234" s="119" t="str"/>
      <x:c r="K234" s="118" t="n">
        <x:v>11</x:v>
      </x:c>
      <x:c r="L234" s="118" t="n">
        <x:v>0</x:v>
      </x:c>
      <x:c r="M234" s="118" t="n">
        <x:v>0</x:v>
      </x:c>
      <x:c r="N234" s="118" t="n">
        <x:v>1</x:v>
      </x:c>
      <x:c r="O234" s="118" t="n">
        <x:v>0</x:v>
      </x:c>
      <x:c r="P234" s="118" t="n">
        <x:v>0</x:v>
      </x:c>
      <x:c r="Q234" s="118" t="n">
        <x:v>2</x:v>
      </x:c>
      <x:c r="R234" s="118" t="n">
        <x:v>1</x:v>
      </x:c>
      <x:c r="S234" s="118" t="n">
        <x:v>0</x:v>
      </x:c>
      <x:c r="T234" s="118" t="n">
        <x:v>0</x:v>
      </x:c>
      <x:c r="U234" s="118" t="n">
        <x:v>0</x:v>
      </x:c>
      <x:c r="V234" s="118" t="n">
        <x:v>2</x:v>
      </x:c>
      <x:c r="W234" s="118" t="n">
        <x:v>0</x:v>
      </x:c>
      <x:c r="X234" s="118" t="n">
        <x:v>1</x:v>
      </x:c>
      <x:c r="Y234" s="118" t="n">
        <x:v>3</x:v>
      </x:c>
      <x:c r="Z234" s="118" t="n">
        <x:v>0</x:v>
      </x:c>
      <x:c r="AA234" s="118" t="n">
        <x:v>0</x:v>
      </x:c>
      <x:c r="AB234" s="118" t="n">
        <x:v>0</x:v>
      </x:c>
      <x:c r="AC234" s="118" t="n">
        <x:v>0</x:v>
      </x:c>
    </x:row>
    <x:row r="235" ht="46" customHeight="1">
      <x:c r="A235" s="117" t="str">
        <x:v>300Ro00000qOn88IAC</x:v>
      </x:c>
      <x:c r="B235" s="117" t="str">
        <x:v>FSL_Service_Appointment_Work_Order_Country_Checker</x:v>
      </x:c>
      <x:c r="C235" s="117" t="str">
        <x:v>Yes</x:v>
      </x:c>
      <x:c r="D235" s="119" t="str">
        <x:v>Active v2 (Retrieved XML)</x:v>
      </x:c>
      <x:c r="E235" s="119" t="str">
        <x:v>Status EqualTo stringValue=Dispatched</x:v>
      </x:c>
      <x:c r="F235" s="119" t="str">
        <x:v>Account, ServiceAppointment, WorkOrder</x:v>
      </x:c>
      <x:c r="G235" s="119" t="str">
        <x:v>Country, Id, ParentRecordId, Status</x:v>
      </x:c>
      <x:c r="H235" s="119" t="str"/>
      <x:c r="I235" s="119" t="str"/>
      <x:c r="J235" s="119" t="str"/>
      <x:c r="K235" s="118" t="n">
        <x:v>5</x:v>
      </x:c>
      <x:c r="L235" s="118" t="n">
        <x:v>0</x:v>
      </x:c>
      <x:c r="M235" s="118" t="n">
        <x:v>0</x:v>
      </x:c>
      <x:c r="N235" s="118" t="n">
        <x:v>0</x:v>
      </x:c>
      <x:c r="O235" s="118" t="n">
        <x:v>0</x:v>
      </x:c>
      <x:c r="P235" s="118" t="n">
        <x:v>0</x:v>
      </x:c>
      <x:c r="Q235" s="118" t="n">
        <x:v>1</x:v>
      </x:c>
      <x:c r="R235" s="118" t="n">
        <x:v>0</x:v>
      </x:c>
      <x:c r="S235" s="118" t="n">
        <x:v>0</x:v>
      </x:c>
      <x:c r="T235" s="118" t="n">
        <x:v>0</x:v>
      </x:c>
      <x:c r="U235" s="118" t="n">
        <x:v>0</x:v>
      </x:c>
      <x:c r="V235" s="118" t="n">
        <x:v>2</x:v>
      </x:c>
      <x:c r="W235" s="118" t="n">
        <x:v>0</x:v>
      </x:c>
      <x:c r="X235" s="118" t="n">
        <x:v>1</x:v>
      </x:c>
      <x:c r="Y235" s="118" t="n">
        <x:v>0</x:v>
      </x:c>
      <x:c r="Z235" s="118" t="n">
        <x:v>0</x:v>
      </x:c>
      <x:c r="AA235" s="118" t="n">
        <x:v>0</x:v>
      </x:c>
      <x:c r="AB235" s="118" t="n">
        <x:v>0</x:v>
      </x:c>
      <x:c r="AC235" s="118" t="n">
        <x:v>0</x:v>
      </x:c>
    </x:row>
    <x:row r="236" ht="46" customHeight="1">
      <x:c r="A236" s="117" t="str">
        <x:v>300Ro00000otBqsIAE</x:v>
      </x:c>
      <x:c r="B236" s="117" t="str">
        <x:v>FSL_Set_Service_Report_Layout_ID_on_Checklist_Type_Update</x:v>
      </x:c>
      <x:c r="C236" s="117" t="str">
        <x:v>Yes</x:v>
      </x:c>
      <x:c r="D236" s="119" t="str">
        <x:v>Active v16 (Retrieved XML)</x:v>
      </x:c>
      <x:c r="E236" s="119" t="str">
        <x:v>Checklist_Type__c IsChanged booleanValue=true | Checklist_Type__c IsNull booleanValue=false</x:v>
      </x:c>
      <x:c r="F236" s="119" t="str">
        <x:v>ServiceAppointment, ServiceReportLayout</x:v>
      </x:c>
      <x:c r="G236" s="119" t="str">
        <x:v>Checklist_Type__c, DeveloperName, ServiceReportTemplateId, Work_Order__r</x:v>
      </x:c>
      <x:c r="H236" s="119" t="str"/>
      <x:c r="I236" s="119" t="str"/>
      <x:c r="J236" s="119" t="str"/>
      <x:c r="K236" s="118" t="n">
        <x:v>4</x:v>
      </x:c>
      <x:c r="L236" s="118" t="n">
        <x:v>0</x:v>
      </x:c>
      <x:c r="M236" s="118" t="n">
        <x:v>0</x:v>
      </x:c>
      <x:c r="N236" s="118" t="n">
        <x:v>0</x:v>
      </x:c>
      <x:c r="O236" s="118" t="n">
        <x:v>0</x:v>
      </x:c>
      <x:c r="P236" s="118" t="n">
        <x:v>0</x:v>
      </x:c>
      <x:c r="Q236" s="118" t="n">
        <x:v>1</x:v>
      </x:c>
      <x:c r="R236" s="118" t="n">
        <x:v>0</x:v>
      </x:c>
      <x:c r="S236" s="118" t="n">
        <x:v>0</x:v>
      </x:c>
      <x:c r="T236" s="118" t="n">
        <x:v>0</x:v>
      </x:c>
      <x:c r="U236" s="118" t="n">
        <x:v>0</x:v>
      </x:c>
      <x:c r="V236" s="118" t="n">
        <x:v>1</x:v>
      </x:c>
      <x:c r="W236" s="118" t="n">
        <x:v>0</x:v>
      </x:c>
      <x:c r="X236" s="118" t="n">
        <x:v>1</x:v>
      </x:c>
      <x:c r="Y236" s="118" t="n">
        <x:v>0</x:v>
      </x:c>
      <x:c r="Z236" s="118" t="n">
        <x:v>0</x:v>
      </x:c>
      <x:c r="AA236" s="118" t="n">
        <x:v>0</x:v>
      </x:c>
      <x:c r="AB236" s="118" t="n">
        <x:v>0</x:v>
      </x:c>
      <x:c r="AC236" s="118" t="n">
        <x:v>0</x:v>
      </x:c>
    </x:row>
    <x:row r="237" ht="46" customHeight="1">
      <x:c r="A237" s="117" t="str">
        <x:v>300Ro00000n2BUtIAM</x:v>
      </x:c>
      <x:c r="B237" s="117" t="str">
        <x:v>FSL_Set_Service_Report_Layout_ID_on_Work_Orders</x:v>
      </x:c>
      <x:c r="C237" s="117" t="str">
        <x:v>Yes</x:v>
      </x:c>
      <x:c r="D237" s="119" t="str">
        <x:v>Active v7 (Tooling metadata)</x:v>
      </x:c>
      <x:c r="E237" s="119" t="str">
        <x:v>Service_Report_Template_Set__c NotEqualTo stringValue=; booleanValue=True; numberValue=; dateValue=; dateTimeValue=; elementReference= | RecordTypeId EqualTo stringValue=0125b000000LVpuAAG; booleanValue=; numberValue=; dateValue=; dateTimeValue=; elementReference=</x:v>
      </x:c>
      <x:c r="F237" s="119" t="str">
        <x:v>ServiceReportLayout, WorkOrder, WorkType</x:v>
      </x:c>
      <x:c r="G237" s="119" t="str">
        <x:v>Contract_Line_Item__r, DeveloperName, Name, RecordTypeId, ServiceReportTemplateId, Service_Report_Template_Name__c, Service_Report_Template_Set__c, WorkType, WorkTypeId</x:v>
      </x:c>
      <x:c r="H237" s="119" t="str"/>
      <x:c r="I237" s="119" t="str"/>
      <x:c r="J237" s="119" t="str"/>
      <x:c r="K237" s="118" t="n">
        <x:v>8</x:v>
      </x:c>
      <x:c r="L237" s="118" t="n">
        <x:v>0</x:v>
      </x:c>
      <x:c r="M237" s="118" t="n">
        <x:v>0</x:v>
      </x:c>
      <x:c r="N237" s="118" t="n">
        <x:v>2</x:v>
      </x:c>
      <x:c r="O237" s="118" t="n">
        <x:v>0</x:v>
      </x:c>
      <x:c r="P237" s="118" t="n">
        <x:v>0</x:v>
      </x:c>
      <x:c r="Q237" s="118" t="n">
        <x:v>2</x:v>
      </x:c>
      <x:c r="R237" s="118" t="n">
        <x:v>0</x:v>
      </x:c>
      <x:c r="S237" s="118" t="n">
        <x:v>0</x:v>
      </x:c>
      <x:c r="T237" s="118" t="n">
        <x:v>0</x:v>
      </x:c>
      <x:c r="U237" s="118" t="n">
        <x:v>0</x:v>
      </x:c>
      <x:c r="V237" s="118" t="n">
        <x:v>2</x:v>
      </x:c>
      <x:c r="W237" s="118" t="n">
        <x:v>0</x:v>
      </x:c>
      <x:c r="X237" s="118" t="n">
        <x:v>1</x:v>
      </x:c>
      <x:c r="Y237" s="118" t="n">
        <x:v>0</x:v>
      </x:c>
      <x:c r="Z237" s="118" t="n">
        <x:v>0</x:v>
      </x:c>
      <x:c r="AA237" s="118" t="n">
        <x:v>0</x:v>
      </x:c>
      <x:c r="AB237" s="118" t="n">
        <x:v>0</x:v>
      </x:c>
      <x:c r="AC237" s="118" t="n">
        <x:v>0</x:v>
      </x:c>
    </x:row>
    <x:row r="238" ht="46" customHeight="1">
      <x:c r="A238" s="117" t="str">
        <x:v>300Ro000013byfhIAA</x:v>
      </x:c>
      <x:c r="B238" s="117" t="str">
        <x:v>FSL_Ultrasound_Electrical_Safety_Tests_Checklist</x:v>
      </x:c>
      <x:c r="C238" s="117" t="str">
        <x:v>Yes</x:v>
      </x:c>
      <x:c r="D238" s="119" t="str">
        <x:v>Active v2 (Retrieved XML)</x:v>
      </x:c>
      <x:c r="E238" s="119" t="str"/>
      <x:c r="F238" s="119" t="str">
        <x:v>ContractLineItem, ServiceAppointment, WorkOrder, WorkType</x:v>
      </x:c>
      <x:c r="G238" s="119" t="str">
        <x:v>BIOS_Battery_Voltage__c, Battery_Performance_Condition_Comments__c, Battery_Performance_and_Condition__c, Checklist_Type__c, Contract_Line_Item__c, DICOM_PACS_2nd_AE_Title__c, DICOM_PACS_2nd_IP_Address__c, DICOM_PACS_2nd_Port_No__c, DICOM_PACS_AE_Title__c, DICOM_PACS_IP_Address__c, DICOM_PACS_Port_No__c, ECG_Leads_Patient_Leakage_Comments__c, ECG_Leads_Patient_Leakage__c, Equipment_Handover_Completed_Comments__c, Equipment_Handover_Completed__c, Final_Functional_Checks_Comments__c, Final_Functional_Checks__c, Final_Visual_Checks_Comments__c, Final_Visual_Checks__c, Generate_Service_Report_HTML__c, HDWR_and_SW_Info__c, Host_Chip_ID__c, Id, Last_Battery_Replacement_Date__c, Local_AE_Title__c, Local_Default_Gateway__c, Local_IP_Address__c, Local_Port_No__c, Local_Subnet_Mask__c, Mainslead_Visual_Inspection_Comments__c, Mainslead_Visual_Inspection__c, Name, Peripheral_1_Check__c, Peripheral_1_Comments__c, Peripheral_1_Serial_Number__c, Peripheral_1__c, Peripheral_2_Check__c, Peripheral_2_Comments__c, Peripheral_2_Serial_Number__c, Peripheral_2__c, Recommended_Repair__c, Service_Key_Expiry_Date__c, Service_Key__c, Service_Network_Settings__c, Service_and_Safety_Test_Labels_Attached__c, Service_and_Safety_Test_Labels_Comments__c, Software_Serial_Number__c, Software__c, System_Back_Up__c, System_Earth_Continuity_Comments__c, System_Earth_Continuity__c, System_Earth_Leakage_Forward_Comments__c, System_Earth_Leakage_Forward__c, System_Earth_Leakage_Reverse_Comments__c, System_Earth_Leakage_Reverse__c, System_Serial_Number__c, System_Type__c, System_YOM__c, Transducer_1_Comments__c, Transducer_1_Electrical_Check__c, Transducer_1_Functional_Check__c, Transducer_1_Model__c, Transducer_1_Serial_Number__c, Transducer_2_Comments__c, Transducer_2_Electrical_Check__c, Transducer_2_Functional_Check__c, Transducer_2_Model__c, Transducer_2_Serial_Number__c, Transducer_3_Comments__c, Transducer_3_Electrical_Check__c, Transducer_3_Functional_Check__c, Transducer_3_Model__c, Transducer_3_Serial_Number__c, Transducer_4_Comments__c, Transducer_4_Electrical_Check__c, Transducer_4_Functional_Check__c, Transducer_4_Model__c, Transducer_4_Serial_Number__c, Transducer_5_Comments__c, Transducer_5_Electrical_Check__c, Transducer_5_Functional_Check__c, Transducer_5_Model__c, Transducer_5_Serial_Number__c, Transducer_6_Comments__c, Transducer_6_Electrical_Check__c, Transducer_6_Functional_Check__c, Transducer_6_Model__c, Transducer_6_Serial_Number__c, WIFI_Name__c, WiFi_Password__c, WorkTypeId, Worklist_AE_Title__c, Worklist_IP_Address__c, Worklist_Port_No__c</x:v>
      </x:c>
      <x:c r="H238" s="119" t="str"/>
      <x:c r="I238" s="119" t="str"/>
      <x:c r="J238" s="119" t="str"/>
      <x:c r="K238" s="118" t="n">
        <x:v>15</x:v>
      </x:c>
      <x:c r="L238" s="118" t="n">
        <x:v>0</x:v>
      </x:c>
      <x:c r="M238" s="118" t="n">
        <x:v>0</x:v>
      </x:c>
      <x:c r="N238" s="118" t="n">
        <x:v>1</x:v>
      </x:c>
      <x:c r="O238" s="118" t="n">
        <x:v>0</x:v>
      </x:c>
      <x:c r="P238" s="118" t="n">
        <x:v>0</x:v>
      </x:c>
      <x:c r="Q238" s="118" t="n">
        <x:v>0</x:v>
      </x:c>
      <x:c r="R238" s="118" t="n">
        <x:v>0</x:v>
      </x:c>
      <x:c r="S238" s="118" t="n">
        <x:v>0</x:v>
      </x:c>
      <x:c r="T238" s="118" t="n">
        <x:v>0</x:v>
      </x:c>
      <x:c r="U238" s="118" t="n">
        <x:v>0</x:v>
      </x:c>
      <x:c r="V238" s="118" t="n">
        <x:v>3</x:v>
      </x:c>
      <x:c r="W238" s="118" t="n">
        <x:v>0</x:v>
      </x:c>
      <x:c r="X238" s="118" t="n">
        <x:v>4</x:v>
      </x:c>
      <x:c r="Y238" s="118" t="n">
        <x:v>6</x:v>
      </x:c>
      <x:c r="Z238" s="118" t="n">
        <x:v>0</x:v>
      </x:c>
      <x:c r="AA238" s="118" t="n">
        <x:v>0</x:v>
      </x:c>
      <x:c r="AB238" s="118" t="n">
        <x:v>0</x:v>
      </x:c>
      <x:c r="AC238" s="118" t="n">
        <x:v>0</x:v>
      </x:c>
    </x:row>
    <x:row r="239" ht="46" customHeight="1">
      <x:c r="A239" s="117" t="str">
        <x:v>300Ro00000XP4yIIAT</x:v>
      </x:c>
      <x:c r="B239" s="117" t="str">
        <x:v>FSL_Update_Progress_Note_with_Parent_Recorod_Work_Order</x:v>
      </x:c>
      <x:c r="C239" s="117" t="str">
        <x:v>Yes</x:v>
      </x:c>
      <x:c r="D239" s="119" t="str">
        <x:v>Active v1 (Retrieved XML)</x:v>
      </x:c>
      <x:c r="E239" s="119" t="str">
        <x:v>Service_Appointment_Notes__c IsNull booleanValue=false</x:v>
      </x:c>
      <x:c r="F239" s="119" t="str">
        <x:v>Progress_Note__c, ServiceAppointment</x:v>
      </x:c>
      <x:c r="G239" s="119" t="str">
        <x:v>Id, Service_Appointment_Notes__c, Service_Appointment_Notes__r, Work_Order__c</x:v>
      </x:c>
      <x:c r="H239" s="119" t="str"/>
      <x:c r="I239" s="119" t="str"/>
      <x:c r="J239" s="119" t="str"/>
      <x:c r="K239" s="118" t="n">
        <x:v>3</x:v>
      </x:c>
      <x:c r="L239" s="118" t="n">
        <x:v>0</x:v>
      </x:c>
      <x:c r="M239" s="118" t="n">
        <x:v>0</x:v>
      </x:c>
      <x:c r="N239" s="118" t="n">
        <x:v>1</x:v>
      </x:c>
      <x:c r="O239" s="118" t="n">
        <x:v>0</x:v>
      </x:c>
      <x:c r="P239" s="118" t="n">
        <x:v>0</x:v>
      </x:c>
      <x:c r="Q239" s="118" t="n">
        <x:v>0</x:v>
      </x:c>
      <x:c r="R239" s="118" t="n">
        <x:v>0</x:v>
      </x:c>
      <x:c r="S239" s="118" t="n">
        <x:v>0</x:v>
      </x:c>
      <x:c r="T239" s="118" t="n">
        <x:v>0</x:v>
      </x:c>
      <x:c r="U239" s="118" t="n">
        <x:v>0</x:v>
      </x:c>
      <x:c r="V239" s="118" t="n">
        <x:v>1</x:v>
      </x:c>
      <x:c r="W239" s="118" t="n">
        <x:v>0</x:v>
      </x:c>
      <x:c r="X239" s="118" t="n">
        <x:v>0</x:v>
      </x:c>
      <x:c r="Y239" s="118" t="n">
        <x:v>0</x:v>
      </x:c>
      <x:c r="Z239" s="118" t="n">
        <x:v>0</x:v>
      </x:c>
      <x:c r="AA239" s="118" t="n">
        <x:v>0</x:v>
      </x:c>
      <x:c r="AB239" s="118" t="n">
        <x:v>0</x:v>
      </x:c>
      <x:c r="AC239" s="118" t="n">
        <x:v>0</x:v>
      </x:c>
    </x:row>
    <x:row r="240" ht="46" customHeight="1">
      <x:c r="A240" s="117" t="str">
        <x:v>300Ro00000qcb76IAA</x:v>
      </x:c>
      <x:c r="B240" s="117" t="str">
        <x:v>FSL_US_On_FSR_Attached_Update_Work_Order_to_Completed_WO</x:v>
      </x:c>
      <x:c r="C240" s="117" t="str">
        <x:v>Yes</x:v>
      </x:c>
      <x:c r="D240" s="119" t="str">
        <x:v>Active v1 (Retrieved XML)</x:v>
      </x:c>
      <x:c r="E240" s="119" t="str">
        <x:v>Country EqualTo stringValue=United States | FSR_Attached__c EqualTo booleanValue=true | FSR_Attached__c IsChanged booleanValue=true</x:v>
      </x:c>
      <x:c r="F240" s="119" t="str">
        <x:v>WorkOrder</x:v>
      </x:c>
      <x:c r="G240" s="119" t="str">
        <x:v>Country, FSR_Attached__c, Status</x:v>
      </x:c>
      <x:c r="H240" s="119" t="str"/>
      <x:c r="I240" s="119" t="str"/>
      <x:c r="J240" s="119" t="str"/>
      <x:c r="K240" s="118" t="n">
        <x:v>2</x:v>
      </x:c>
      <x:c r="L240" s="118" t="n">
        <x:v>0</x:v>
      </x:c>
      <x:c r="M240" s="118" t="n">
        <x:v>0</x:v>
      </x:c>
      <x:c r="N240" s="118" t="n">
        <x:v>0</x:v>
      </x:c>
      <x:c r="O240" s="118" t="n">
        <x:v>0</x:v>
      </x:c>
      <x:c r="P240" s="118" t="n">
        <x:v>0</x:v>
      </x:c>
      <x:c r="Q240" s="118" t="n">
        <x:v>0</x:v>
      </x:c>
      <x:c r="R240" s="118" t="n">
        <x:v>0</x:v>
      </x:c>
      <x:c r="S240" s="118" t="n">
        <x:v>0</x:v>
      </x:c>
      <x:c r="T240" s="118" t="n">
        <x:v>0</x:v>
      </x:c>
      <x:c r="U240" s="118" t="n">
        <x:v>0</x:v>
      </x:c>
      <x:c r="V240" s="118" t="n">
        <x:v>0</x:v>
      </x:c>
      <x:c r="W240" s="118" t="n">
        <x:v>0</x:v>
      </x:c>
      <x:c r="X240" s="118" t="n">
        <x:v>1</x:v>
      </x:c>
      <x:c r="Y240" s="118" t="n">
        <x:v>0</x:v>
      </x:c>
      <x:c r="Z240" s="118" t="n">
        <x:v>0</x:v>
      </x:c>
      <x:c r="AA240" s="118" t="n">
        <x:v>0</x:v>
      </x:c>
      <x:c r="AB240" s="118" t="n">
        <x:v>0</x:v>
      </x:c>
      <x:c r="AC240" s="118" t="n">
        <x:v>0</x:v>
      </x:c>
    </x:row>
    <x:row r="241" ht="46" customHeight="1">
      <x:c r="A241" s="117" t="str">
        <x:v>300Ro00000phiq4IAA</x:v>
      </x:c>
      <x:c r="B241" s="117" t="str">
        <x:v>FSL_US_On_Submit_to_Shipping_Update_Status_to_Pending_Shipment</x:v>
      </x:c>
      <x:c r="C241" s="117" t="str">
        <x:v>Yes</x:v>
      </x:c>
      <x:c r="D241" s="119" t="str">
        <x:v>Active v3 (Retrieved XML)</x:v>
      </x:c>
      <x:c r="E241" s="119" t="str">
        <x:v>Submit_to_Shipping__c IsChanged booleanValue=true | Submit_to_Shipping__c EqualTo booleanValue=true | RecordTypeId EqualTo stringValue=012Ro000001eDqnIAE | Shipping_Country__c EqualTo stringValue=United States</x:v>
      </x:c>
      <x:c r="F241" s="119" t="str">
        <x:v>ProductItem__c, WorkOrder, WorkOrderLineItem</x:v>
      </x:c>
      <x:c r="G241" s="119" t="str">
        <x:v>Check_In_Type__c, Id, RecordTypeId, Reserved__c, Serial_No__c, Shipping_Country__c, Status, Submit_to_Shipping__c, WorkOrderId, sold__c</x:v>
      </x:c>
      <x:c r="H241" s="119" t="str"/>
      <x:c r="I241" s="119" t="str"/>
      <x:c r="J241" s="119" t="str"/>
      <x:c r="K241" s="118" t="n">
        <x:v>9</x:v>
      </x:c>
      <x:c r="L241" s="118" t="n">
        <x:v>0</x:v>
      </x:c>
      <x:c r="M241" s="118" t="n">
        <x:v>0</x:v>
      </x:c>
      <x:c r="N241" s="118" t="n">
        <x:v>0</x:v>
      </x:c>
      <x:c r="O241" s="118" t="n">
        <x:v>0</x:v>
      </x:c>
      <x:c r="P241" s="118" t="n">
        <x:v>0</x:v>
      </x:c>
      <x:c r="Q241" s="118" t="n">
        <x:v>2</x:v>
      </x:c>
      <x:c r="R241" s="118" t="n">
        <x:v>0</x:v>
      </x:c>
      <x:c r="S241" s="118" t="n">
        <x:v>0</x:v>
      </x:c>
      <x:c r="T241" s="118" t="n">
        <x:v>0</x:v>
      </x:c>
      <x:c r="U241" s="118" t="n">
        <x:v>0</x:v>
      </x:c>
      <x:c r="V241" s="118" t="n">
        <x:v>2</x:v>
      </x:c>
      <x:c r="W241" s="118" t="n">
        <x:v>0</x:v>
      </x:c>
      <x:c r="X241" s="118" t="n">
        <x:v>2</x:v>
      </x:c>
      <x:c r="Y241" s="118" t="n">
        <x:v>0</x:v>
      </x:c>
      <x:c r="Z241" s="118" t="n">
        <x:v>0</x:v>
      </x:c>
      <x:c r="AA241" s="118" t="n">
        <x:v>0</x:v>
      </x:c>
      <x:c r="AB241" s="118" t="n">
        <x:v>2</x:v>
      </x:c>
      <x:c r="AC241" s="118" t="n">
        <x:v>0</x:v>
      </x:c>
    </x:row>
    <x:row r="242" ht="46" customHeight="1">
      <x:c r="A242" s="117" t="str">
        <x:v>300Ro00000pheJSIAY</x:v>
      </x:c>
      <x:c r="B242" s="117" t="str">
        <x:v>FSL_US_On_Tracking_Update_Status_to_Parts_Probe_Shipped</x:v>
      </x:c>
      <x:c r="C242" s="117" t="str">
        <x:v>Yes</x:v>
      </x:c>
      <x:c r="D242" s="119" t="str">
        <x:v>Active v2 (Retrieved XML)</x:v>
      </x:c>
      <x:c r="E242" s="119" t="str">
        <x:v>Tracking_Number__c IsChanged booleanValue=true | Tracking_Number__c IsNull booleanValue=false | RecordTypeId EqualTo stringValue=012Ro000001eDqnIAE | Shipping_Country__c EqualTo stringValue=United States</x:v>
      </x:c>
      <x:c r="F242" s="119" t="str">
        <x:v>WorkOrder, WorkOrderLineItem</x:v>
      </x:c>
      <x:c r="G242" s="119" t="str">
        <x:v>Id, Line_Type__c, RecordTypeId, Shipping_Country__c, Status, Tracking_Number__c, WorkOrderId</x:v>
      </x:c>
      <x:c r="H242" s="119" t="str"/>
      <x:c r="I242" s="119" t="str"/>
      <x:c r="J242" s="119" t="str"/>
      <x:c r="K242" s="118" t="n">
        <x:v>5</x:v>
      </x:c>
      <x:c r="L242" s="118" t="n">
        <x:v>0</x:v>
      </x:c>
      <x:c r="M242" s="118" t="n">
        <x:v>0</x:v>
      </x:c>
      <x:c r="N242" s="118" t="n">
        <x:v>0</x:v>
      </x:c>
      <x:c r="O242" s="118" t="n">
        <x:v>0</x:v>
      </x:c>
      <x:c r="P242" s="118" t="n">
        <x:v>0</x:v>
      </x:c>
      <x:c r="Q242" s="118" t="n">
        <x:v>0</x:v>
      </x:c>
      <x:c r="R242" s="118" t="n">
        <x:v>0</x:v>
      </x:c>
      <x:c r="S242" s="118" t="n">
        <x:v>0</x:v>
      </x:c>
      <x:c r="T242" s="118" t="n">
        <x:v>0</x:v>
      </x:c>
      <x:c r="U242" s="118" t="n">
        <x:v>0</x:v>
      </x:c>
      <x:c r="V242" s="118" t="n">
        <x:v>1</x:v>
      </x:c>
      <x:c r="W242" s="118" t="n">
        <x:v>0</x:v>
      </x:c>
      <x:c r="X242" s="118" t="n">
        <x:v>2</x:v>
      </x:c>
      <x:c r="Y242" s="118" t="n">
        <x:v>0</x:v>
      </x:c>
      <x:c r="Z242" s="118" t="n">
        <x:v>0</x:v>
      </x:c>
      <x:c r="AA242" s="118" t="n">
        <x:v>0</x:v>
      </x:c>
      <x:c r="AB242" s="118" t="n">
        <x:v>1</x:v>
      </x:c>
      <x:c r="AC242" s="118" t="n">
        <x:v>0</x:v>
      </x:c>
    </x:row>
    <x:row r="243" ht="46" customHeight="1">
      <x:c r="A243" s="117" t="str">
        <x:v>300Ro00000skL5dIAE</x:v>
      </x:c>
      <x:c r="B243" s="117" t="str">
        <x:v>FSL_US_On_Update_of_Account_Update_Billing_Address_on_Work_Order</x:v>
      </x:c>
      <x:c r="C243" s="117" t="str">
        <x:v>Yes</x:v>
      </x:c>
      <x:c r="D243" s="119" t="str">
        <x:v>Active v2 (Retrieved XML)</x:v>
      </x:c>
      <x:c r="E243" s="119" t="str"/>
      <x:c r="F243" s="119" t="str">
        <x:v>WorkOrder</x:v>
      </x:c>
      <x:c r="G243" s="119" t="str">
        <x:v>Account, AccountId, Billing_Account_Name__c, Billing_City__c, Billing_State__c, Billing_Street__c, Billing_Zip_Postal_Code__c, Country, RecordType</x:v>
      </x:c>
      <x:c r="H243" s="119" t="str"/>
      <x:c r="I243" s="119" t="str"/>
      <x:c r="J243" s="119" t="str"/>
      <x:c r="K243" s="118" t="n">
        <x:v>2</x:v>
      </x:c>
      <x:c r="L243" s="118" t="n">
        <x:v>0</x:v>
      </x:c>
      <x:c r="M243" s="118" t="n">
        <x:v>0</x:v>
      </x:c>
      <x:c r="N243" s="118" t="n">
        <x:v>0</x:v>
      </x:c>
      <x:c r="O243" s="118" t="n">
        <x:v>0</x:v>
      </x:c>
      <x:c r="P243" s="118" t="n">
        <x:v>0</x:v>
      </x:c>
      <x:c r="Q243" s="118" t="n">
        <x:v>0</x:v>
      </x:c>
      <x:c r="R243" s="118" t="n">
        <x:v>0</x:v>
      </x:c>
      <x:c r="S243" s="118" t="n">
        <x:v>0</x:v>
      </x:c>
      <x:c r="T243" s="118" t="n">
        <x:v>0</x:v>
      </x:c>
      <x:c r="U243" s="118" t="n">
        <x:v>0</x:v>
      </x:c>
      <x:c r="V243" s="118" t="n">
        <x:v>0</x:v>
      </x:c>
      <x:c r="W243" s="118" t="n">
        <x:v>0</x:v>
      </x:c>
      <x:c r="X243" s="118" t="n">
        <x:v>1</x:v>
      </x:c>
      <x:c r="Y243" s="118" t="n">
        <x:v>0</x:v>
      </x:c>
      <x:c r="Z243" s="118" t="n">
        <x:v>0</x:v>
      </x:c>
      <x:c r="AA243" s="118" t="n">
        <x:v>0</x:v>
      </x:c>
      <x:c r="AB243" s="118" t="n">
        <x:v>0</x:v>
      </x:c>
      <x:c r="AC243" s="118" t="n">
        <x:v>0</x:v>
      </x:c>
    </x:row>
    <x:row r="244" ht="46" customHeight="1">
      <x:c r="A244" s="117" t="str">
        <x:v>300Ro00000tD805IAC</x:v>
      </x:c>
      <x:c r="B244" s="117" t="str">
        <x:v>FSL_US_Update_Work_Order_to_Repair_In_Progress</x:v>
      </x:c>
      <x:c r="C244" s="117" t="str">
        <x:v>Yes</x:v>
      </x:c>
      <x:c r="D244" s="119" t="str">
        <x:v>Active v1 (Retrieved XML)</x:v>
      </x:c>
      <x:c r="E244" s="119" t="str"/>
      <x:c r="F244" s="119" t="str">
        <x:v>WorkOrder</x:v>
      </x:c>
      <x:c r="G244" s="119" t="str">
        <x:v>Id, Status</x:v>
      </x:c>
      <x:c r="H244" s="119" t="str"/>
      <x:c r="I244" s="119" t="str"/>
      <x:c r="J244" s="119" t="str"/>
      <x:c r="K244" s="118" t="n">
        <x:v>2</x:v>
      </x:c>
      <x:c r="L244" s="118" t="n">
        <x:v>0</x:v>
      </x:c>
      <x:c r="M244" s="118" t="n">
        <x:v>0</x:v>
      </x:c>
      <x:c r="N244" s="118" t="n">
        <x:v>0</x:v>
      </x:c>
      <x:c r="O244" s="118" t="n">
        <x:v>0</x:v>
      </x:c>
      <x:c r="P244" s="118" t="n">
        <x:v>0</x:v>
      </x:c>
      <x:c r="Q244" s="118" t="n">
        <x:v>0</x:v>
      </x:c>
      <x:c r="R244" s="118" t="n">
        <x:v>0</x:v>
      </x:c>
      <x:c r="S244" s="118" t="n">
        <x:v>0</x:v>
      </x:c>
      <x:c r="T244" s="118" t="n">
        <x:v>0</x:v>
      </x:c>
      <x:c r="U244" s="118" t="n">
        <x:v>0</x:v>
      </x:c>
      <x:c r="V244" s="118" t="n">
        <x:v>0</x:v>
      </x:c>
      <x:c r="W244" s="118" t="n">
        <x:v>0</x:v>
      </x:c>
      <x:c r="X244" s="118" t="n">
        <x:v>1</x:v>
      </x:c>
      <x:c r="Y244" s="118" t="n">
        <x:v>0</x:v>
      </x:c>
      <x:c r="Z244" s="118" t="n">
        <x:v>0</x:v>
      </x:c>
      <x:c r="AA244" s="118" t="n">
        <x:v>0</x:v>
      </x:c>
      <x:c r="AB244" s="118" t="n">
        <x:v>0</x:v>
      </x:c>
      <x:c r="AC244" s="118" t="n">
        <x:v>0</x:v>
      </x:c>
    </x:row>
    <x:row r="245" ht="46" customHeight="1">
      <x:c r="A245" s="117" t="str">
        <x:v>300Ro00000kKs8GIAS</x:v>
      </x:c>
      <x:c r="B245" s="117" t="str">
        <x:v>Full_Payment</x:v>
      </x:c>
      <x:c r="C245" s="117" t="str">
        <x:v>No</x:v>
      </x:c>
      <x:c r="D245" s="119" t="str">
        <x:v>Latest inactive v1 (Tooling metadata)</x:v>
      </x:c>
      <x:c r="E245" s="119" t="str"/>
      <x:c r="F245" s="119" t="str"/>
      <x:c r="G245" s="119" t="str"/>
      <x:c r="H245" s="119" t="str"/>
      <x:c r="I245" s="119" t="str"/>
      <x:c r="J245" s="119" t="str"/>
      <x:c r="K245" s="118" t="n">
        <x:v>0</x:v>
      </x:c>
      <x:c r="L245" s="118" t="n">
        <x:v>0</x:v>
      </x:c>
      <x:c r="M245" s="118" t="n">
        <x:v>0</x:v>
      </x:c>
      <x:c r="N245" s="118" t="n">
        <x:v>0</x:v>
      </x:c>
      <x:c r="O245" s="118" t="n">
        <x:v>0</x:v>
      </x:c>
      <x:c r="P245" s="118" t="n">
        <x:v>0</x:v>
      </x:c>
      <x:c r="Q245" s="118" t="n">
        <x:v>0</x:v>
      </x:c>
      <x:c r="R245" s="118" t="n">
        <x:v>0</x:v>
      </x:c>
      <x:c r="S245" s="118" t="n">
        <x:v>0</x:v>
      </x:c>
      <x:c r="T245" s="118" t="n">
        <x:v>0</x:v>
      </x:c>
      <x:c r="U245" s="118" t="n">
        <x:v>0</x:v>
      </x:c>
      <x:c r="V245" s="118" t="n">
        <x:v>0</x:v>
      </x:c>
      <x:c r="W245" s="118" t="n">
        <x:v>0</x:v>
      </x:c>
      <x:c r="X245" s="118" t="n">
        <x:v>0</x:v>
      </x:c>
      <x:c r="Y245" s="118" t="n">
        <x:v>0</x:v>
      </x:c>
      <x:c r="Z245" s="118" t="n">
        <x:v>0</x:v>
      </x:c>
      <x:c r="AA245" s="118" t="n">
        <x:v>0</x:v>
      </x:c>
      <x:c r="AB245" s="118" t="n">
        <x:v>0</x:v>
      </x:c>
      <x:c r="AC245" s="118" t="n">
        <x:v>0</x:v>
      </x:c>
    </x:row>
    <x:row r="246" ht="46" customHeight="1">
      <x:c r="A246" s="117" t="str">
        <x:v>3004O000000Xh6cQAC</x:v>
      </x:c>
      <x:c r="B246" s="117" t="str">
        <x:v>Generate_Invoice_PDF_Flow</x:v>
      </x:c>
      <x:c r="C246" s="117" t="str">
        <x:v>No</x:v>
      </x:c>
      <x:c r="D246" s="119" t="str">
        <x:v>Latest inactive v1 (Retrieved XML)</x:v>
      </x:c>
      <x:c r="E246" s="119" t="str"/>
      <x:c r="F246" s="119" t="str">
        <x:v>Invoice__c</x:v>
      </x:c>
      <x:c r="G246" s="119" t="str">
        <x:v>Id</x:v>
      </x:c>
      <x:c r="H246" s="119" t="str">
        <x:v>InvoicePdfGenerator</x:v>
      </x:c>
      <x:c r="I246" s="119" t="str"/>
      <x:c r="J246" s="119" t="str"/>
      <x:c r="K246" s="118" t="n">
        <x:v>3</x:v>
      </x:c>
      <x:c r="L246" s="118" t="n">
        <x:v>1</x:v>
      </x:c>
      <x:c r="M246" s="118" t="n">
        <x:v>0</x:v>
      </x:c>
      <x:c r="N246" s="118" t="n">
        <x:v>0</x:v>
      </x:c>
      <x:c r="O246" s="118" t="n">
        <x:v>0</x:v>
      </x:c>
      <x:c r="P246" s="118" t="n">
        <x:v>0</x:v>
      </x:c>
      <x:c r="Q246" s="118" t="n">
        <x:v>0</x:v>
      </x:c>
      <x:c r="R246" s="118" t="n">
        <x:v>0</x:v>
      </x:c>
      <x:c r="S246" s="118" t="n">
        <x:v>0</x:v>
      </x:c>
      <x:c r="T246" s="118" t="n">
        <x:v>0</x:v>
      </x:c>
      <x:c r="U246" s="118" t="n">
        <x:v>0</x:v>
      </x:c>
      <x:c r="V246" s="118" t="n">
        <x:v>1</x:v>
      </x:c>
      <x:c r="W246" s="118" t="n">
        <x:v>0</x:v>
      </x:c>
      <x:c r="X246" s="118" t="n">
        <x:v>0</x:v>
      </x:c>
      <x:c r="Y246" s="118" t="n">
        <x:v>0</x:v>
      </x:c>
      <x:c r="Z246" s="118" t="n">
        <x:v>0</x:v>
      </x:c>
      <x:c r="AA246" s="118" t="n">
        <x:v>0</x:v>
      </x:c>
      <x:c r="AB246" s="118" t="n">
        <x:v>0</x:v>
      </x:c>
      <x:c r="AC246" s="118" t="n">
        <x:v>0</x:v>
      </x:c>
    </x:row>
    <x:row r="247" ht="46" customHeight="1">
      <x:c r="A247" s="117" t="str">
        <x:v>300Ro00000y33GaIAI</x:v>
      </x:c>
      <x:c r="B247" s="117" t="str">
        <x:v>Generate_Mechanical_Services_Work_Order_Screen_Flow</x:v>
      </x:c>
      <x:c r="C247" s="117" t="str">
        <x:v>No</x:v>
      </x:c>
      <x:c r="D247" s="119" t="str">
        <x:v>Latest inactive v1 (Retrieved XML)</x:v>
      </x:c>
      <x:c r="E247" s="119" t="str"/>
      <x:c r="F247" s="119" t="str">
        <x:v>Opportunity, ProductItem__c, RecordType, ServiceAppointment, WorkOrder, Work_Order_Asset__c</x:v>
      </x:c>
      <x:c r="G247" s="119" t="str">
        <x:v>AccountId, Appointment_Type__c, ContactId, Data_Deletion_Status__c, DeveloperName, DueDate, Duration, EarliestStartTime, Expected_Removal_Date__c, Facility__c, Id, Opportunity__c, ParentRecordId, Purchasing_Opportunity__c, QA_Status__c, RAMS_Status__c, RecordTypeId, Removal_Sourcing__c, Site_Pre_Check_Status__c, SobjectType, WorkTypeId</x:v>
      </x:c>
      <x:c r="H247" s="119" t="str"/>
      <x:c r="I247" s="119" t="str"/>
      <x:c r="J247" s="119" t="str">
        <x:v>flowruntime:lookup</x:v>
      </x:c>
      <x:c r="K247" s="118" t="n">
        <x:v>21</x:v>
      </x:c>
      <x:c r="L247" s="118" t="n">
        <x:v>0</x:v>
      </x:c>
      <x:c r="M247" s="118" t="n">
        <x:v>0</x:v>
      </x:c>
      <x:c r="N247" s="118" t="n">
        <x:v>5</x:v>
      </x:c>
      <x:c r="O247" s="118" t="n">
        <x:v>0</x:v>
      </x:c>
      <x:c r="P247" s="118" t="n">
        <x:v>0</x:v>
      </x:c>
      <x:c r="Q247" s="118" t="n">
        <x:v>4</x:v>
      </x:c>
      <x:c r="R247" s="118" t="n">
        <x:v>1</x:v>
      </x:c>
      <x:c r="S247" s="118" t="n">
        <x:v>0</x:v>
      </x:c>
      <x:c r="T247" s="118" t="n">
        <x:v>6</x:v>
      </x:c>
      <x:c r="U247" s="118" t="n">
        <x:v>0</x:v>
      </x:c>
      <x:c r="V247" s="118" t="n">
        <x:v>3</x:v>
      </x:c>
      <x:c r="W247" s="118" t="n">
        <x:v>0</x:v>
      </x:c>
      <x:c r="X247" s="118" t="n">
        <x:v>0</x:v>
      </x:c>
      <x:c r="Y247" s="118" t="n">
        <x:v>1</x:v>
      </x:c>
      <x:c r="Z247" s="118" t="n">
        <x:v>0</x:v>
      </x:c>
      <x:c r="AA247" s="118" t="n">
        <x:v>0</x:v>
      </x:c>
      <x:c r="AB247" s="118" t="n">
        <x:v>0</x:v>
      </x:c>
      <x:c r="AC247" s="118" t="n">
        <x:v>0</x:v>
      </x:c>
    </x:row>
    <x:row r="248" ht="46" customHeight="1">
      <x:c r="A248" s="117" t="str">
        <x:v>300Ro00000FzvvKIAR</x:v>
      </x:c>
      <x:c r="B248" s="117" t="str">
        <x:v>Harvest_Work_Order_Cost_PA_Screen_Flow</x:v>
      </x:c>
      <x:c r="C248" s="117" t="str">
        <x:v>Yes</x:v>
      </x:c>
      <x:c r="D248" s="119" t="str">
        <x:v>Active v7 (Retrieved XML)</x:v>
      </x:c>
      <x:c r="E248" s="119" t="str"/>
      <x:c r="F248" s="119" t="str">
        <x:v>Harvest_Work_Order__c, ProductItem__c, System_Work_Order__c</x:v>
      </x:c>
      <x:c r="G248" s="119" t="str">
        <x:v>Harvest_Work_Order__c, Id</x:v>
      </x:c>
      <x:c r="H248" s="119" t="str"/>
      <x:c r="I248" s="119" t="str"/>
      <x:c r="J248" s="119" t="str">
        <x:v>c:datatable</x:v>
      </x:c>
      <x:c r="K248" s="118" t="n">
        <x:v>12</x:v>
      </x:c>
      <x:c r="L248" s="118" t="n">
        <x:v>0</x:v>
      </x:c>
      <x:c r="M248" s="118" t="n">
        <x:v>0</x:v>
      </x:c>
      <x:c r="N248" s="118" t="n">
        <x:v>2</x:v>
      </x:c>
      <x:c r="O248" s="118" t="n">
        <x:v>0</x:v>
      </x:c>
      <x:c r="P248" s="118" t="n">
        <x:v>0</x:v>
      </x:c>
      <x:c r="Q248" s="118" t="n">
        <x:v>1</x:v>
      </x:c>
      <x:c r="R248" s="118" t="n">
        <x:v>3</x:v>
      </x:c>
      <x:c r="S248" s="118" t="n">
        <x:v>0</x:v>
      </x:c>
      <x:c r="T248" s="118" t="n">
        <x:v>0</x:v>
      </x:c>
      <x:c r="U248" s="118" t="n">
        <x:v>0</x:v>
      </x:c>
      <x:c r="V248" s="118" t="n">
        <x:v>3</x:v>
      </x:c>
      <x:c r="W248" s="118" t="n">
        <x:v>0</x:v>
      </x:c>
      <x:c r="X248" s="118" t="n">
        <x:v>1</x:v>
      </x:c>
      <x:c r="Y248" s="118" t="n">
        <x:v>1</x:v>
      </x:c>
      <x:c r="Z248" s="118" t="n">
        <x:v>0</x:v>
      </x:c>
      <x:c r="AA248" s="118" t="n">
        <x:v>0</x:v>
      </x:c>
      <x:c r="AB248" s="118" t="n">
        <x:v>0</x:v>
      </x:c>
      <x:c r="AC248" s="118" t="n">
        <x:v>0</x:v>
      </x:c>
    </x:row>
    <x:row r="249" ht="46" customHeight="1">
      <x:c r="A249" s="117" t="str">
        <x:v>300Ro00000w4O40IAE</x:v>
      </x:c>
      <x:c r="B249" s="117" t="str">
        <x:v>Harvest_Work_Order_Creation_Update_System_Work_Order_With_Harvest_Work_Order</x:v>
      </x:c>
      <x:c r="C249" s="117" t="str">
        <x:v>Yes</x:v>
      </x:c>
      <x:c r="D249" s="119" t="str">
        <x:v>Active v1 (Retrieved XML)</x:v>
      </x:c>
      <x:c r="E249" s="119" t="str"/>
      <x:c r="F249" s="119" t="str">
        <x:v>Harvest_Work_Order__c</x:v>
      </x:c>
      <x:c r="G249" s="119" t="str">
        <x:v>Harvest_Work_Order__c, Id, System_Work_Order__r</x:v>
      </x:c>
      <x:c r="H249" s="119" t="str"/>
      <x:c r="I249" s="119" t="str"/>
      <x:c r="J249" s="119" t="str"/>
      <x:c r="K249" s="118" t="n">
        <x:v>2</x:v>
      </x:c>
      <x:c r="L249" s="118" t="n">
        <x:v>0</x:v>
      </x:c>
      <x:c r="M249" s="118" t="n">
        <x:v>0</x:v>
      </x:c>
      <x:c r="N249" s="118" t="n">
        <x:v>0</x:v>
      </x:c>
      <x:c r="O249" s="118" t="n">
        <x:v>0</x:v>
      </x:c>
      <x:c r="P249" s="118" t="n">
        <x:v>0</x:v>
      </x:c>
      <x:c r="Q249" s="118" t="n">
        <x:v>0</x:v>
      </x:c>
      <x:c r="R249" s="118" t="n">
        <x:v>0</x:v>
      </x:c>
      <x:c r="S249" s="118" t="n">
        <x:v>0</x:v>
      </x:c>
      <x:c r="T249" s="118" t="n">
        <x:v>0</x:v>
      </x:c>
      <x:c r="U249" s="118" t="n">
        <x:v>0</x:v>
      </x:c>
      <x:c r="V249" s="118" t="n">
        <x:v>0</x:v>
      </x:c>
      <x:c r="W249" s="118" t="n">
        <x:v>0</x:v>
      </x:c>
      <x:c r="X249" s="118" t="n">
        <x:v>1</x:v>
      </x:c>
      <x:c r="Y249" s="118" t="n">
        <x:v>0</x:v>
      </x:c>
      <x:c r="Z249" s="118" t="n">
        <x:v>0</x:v>
      </x:c>
      <x:c r="AA249" s="118" t="n">
        <x:v>0</x:v>
      </x:c>
      <x:c r="AB249" s="118" t="n">
        <x:v>0</x:v>
      </x:c>
      <x:c r="AC249" s="118" t="n">
        <x:v>0</x:v>
      </x:c>
    </x:row>
    <x:row r="250" ht="46" customHeight="1">
      <x:c r="A250" s="117" t="str">
        <x:v>3005b000000PzCkAAK</x:v>
      </x:c>
      <x:c r="B250" s="117" t="str">
        <x:v>Harvest_Work_Order_Roll_Up_Flow</x:v>
      </x:c>
      <x:c r="C250" s="117" t="str">
        <x:v>Yes</x:v>
      </x:c>
      <x:c r="D250" s="119" t="str">
        <x:v>Active v2 (Retrieved XML)</x:v>
      </x:c>
      <x:c r="E250" s="119" t="str"/>
      <x:c r="F250" s="119" t="str">
        <x:v>Harvest_Work_Order__c, ProductItem__c</x:v>
      </x:c>
      <x:c r="G250" s="119" t="str">
        <x:v>Asset_Count__c, Harvest_Work_Order__c, Id</x:v>
      </x:c>
      <x:c r="H250" s="119" t="str"/>
      <x:c r="I250" s="119" t="str"/>
      <x:c r="J250" s="119" t="str"/>
      <x:c r="K250" s="118" t="n">
        <x:v>5</x:v>
      </x:c>
      <x:c r="L250" s="118" t="n">
        <x:v>0</x:v>
      </x:c>
      <x:c r="M250" s="118" t="n">
        <x:v>0</x:v>
      </x:c>
      <x:c r="N250" s="118" t="n">
        <x:v>1</x:v>
      </x:c>
      <x:c r="O250" s="118" t="n">
        <x:v>0</x:v>
      </x:c>
      <x:c r="P250" s="118" t="n">
        <x:v>0</x:v>
      </x:c>
      <x:c r="Q250" s="118" t="n">
        <x:v>0</x:v>
      </x:c>
      <x:c r="R250" s="118" t="n">
        <x:v>1</x:v>
      </x:c>
      <x:c r="S250" s="118" t="n">
        <x:v>0</x:v>
      </x:c>
      <x:c r="T250" s="118" t="n">
        <x:v>0</x:v>
      </x:c>
      <x:c r="U250" s="118" t="n">
        <x:v>0</x:v>
      </x:c>
      <x:c r="V250" s="118" t="n">
        <x:v>1</x:v>
      </x:c>
      <x:c r="W250" s="118" t="n">
        <x:v>0</x:v>
      </x:c>
      <x:c r="X250" s="118" t="n">
        <x:v>1</x:v>
      </x:c>
      <x:c r="Y250" s="118" t="n">
        <x:v>0</x:v>
      </x:c>
      <x:c r="Z250" s="118" t="n">
        <x:v>0</x:v>
      </x:c>
      <x:c r="AA250" s="118" t="n">
        <x:v>0</x:v>
      </x:c>
      <x:c r="AB250" s="118" t="n">
        <x:v>0</x:v>
      </x:c>
      <x:c r="AC250" s="118" t="n">
        <x:v>0</x:v>
      </x:c>
    </x:row>
    <x:row r="251" ht="46" customHeight="1">
      <x:c r="A251" s="117" t="str">
        <x:v>300Ro000008sFGnIAM</x:v>
      </x:c>
      <x:c r="B251" s="117" t="str">
        <x:v>Harvest_Work_Order_to_System_Work_Order</x:v>
      </x:c>
      <x:c r="C251" s="117" t="str">
        <x:v>Yes</x:v>
      </x:c>
      <x:c r="D251" s="119" t="str">
        <x:v>Active v4 (Retrieved XML)</x:v>
      </x:c>
      <x:c r="E251" s="119" t="str"/>
      <x:c r="F251" s="119" t="str">
        <x:v>Harvest_Work_Order__c, System_Work_Order__c</x:v>
      </x:c>
      <x:c r="G251" s="119" t="str">
        <x:v>HWO_Total_Cost__c, HWO_Total_Revenue__c, Id, System_Work_Order__c</x:v>
      </x:c>
      <x:c r="H251" s="119" t="str"/>
      <x:c r="I251" s="119" t="str"/>
      <x:c r="J251" s="119" t="str"/>
      <x:c r="K251" s="118" t="n">
        <x:v>13</x:v>
      </x:c>
      <x:c r="L251" s="118" t="n">
        <x:v>0</x:v>
      </x:c>
      <x:c r="M251" s="118" t="n">
        <x:v>0</x:v>
      </x:c>
      <x:c r="N251" s="118" t="n">
        <x:v>6</x:v>
      </x:c>
      <x:c r="O251" s="118" t="n">
        <x:v>0</x:v>
      </x:c>
      <x:c r="P251" s="118" t="n">
        <x:v>0</x:v>
      </x:c>
      <x:c r="Q251" s="118" t="n">
        <x:v>2</x:v>
      </x:c>
      <x:c r="R251" s="118" t="n">
        <x:v>2</x:v>
      </x:c>
      <x:c r="S251" s="118" t="n">
        <x:v>0</x:v>
      </x:c>
      <x:c r="T251" s="118" t="n">
        <x:v>0</x:v>
      </x:c>
      <x:c r="U251" s="118" t="n">
        <x:v>0</x:v>
      </x:c>
      <x:c r="V251" s="118" t="n">
        <x:v>1</x:v>
      </x:c>
      <x:c r="W251" s="118" t="n">
        <x:v>0</x:v>
      </x:c>
      <x:c r="X251" s="118" t="n">
        <x:v>1</x:v>
      </x:c>
      <x:c r="Y251" s="118" t="n">
        <x:v>0</x:v>
      </x:c>
      <x:c r="Z251" s="118" t="n">
        <x:v>0</x:v>
      </x:c>
      <x:c r="AA251" s="118" t="n">
        <x:v>0</x:v>
      </x:c>
      <x:c r="AB251" s="118" t="n">
        <x:v>0</x:v>
      </x:c>
      <x:c r="AC251" s="118" t="n">
        <x:v>0</x:v>
      </x:c>
    </x:row>
    <x:row r="252" ht="46" customHeight="1">
      <x:c r="A252" s="117" t="str">
        <x:v>3005b000000H3uqAAC</x:v>
      </x:c>
      <x:c r="B252" s="117" t="str">
        <x:v>Has_Files_Flow</x:v>
      </x:c>
      <x:c r="C252" s="117" t="str">
        <x:v>No</x:v>
      </x:c>
      <x:c r="D252" s="119" t="str">
        <x:v>Latest inactive v1 (Retrieved XML)</x:v>
      </x:c>
      <x:c r="E252" s="119" t="str">
        <x:v>Name IsNull booleanValue=false</x:v>
      </x:c>
      <x:c r="F252" s="119" t="str">
        <x:v>ContentDocumentLink, ProductItem__c</x:v>
      </x:c>
      <x:c r="G252" s="119" t="str">
        <x:v>Has_Files__c, Id, LinkedEntityId, Name</x:v>
      </x:c>
      <x:c r="H252" s="119" t="str"/>
      <x:c r="I252" s="119" t="str"/>
      <x:c r="J252" s="119" t="str"/>
      <x:c r="K252" s="118" t="n">
        <x:v>5</x:v>
      </x:c>
      <x:c r="L252" s="118" t="n">
        <x:v>0</x:v>
      </x:c>
      <x:c r="M252" s="118" t="n">
        <x:v>0</x:v>
      </x:c>
      <x:c r="N252" s="118" t="n">
        <x:v>1</x:v>
      </x:c>
      <x:c r="O252" s="118" t="n">
        <x:v>0</x:v>
      </x:c>
      <x:c r="P252" s="118" t="n">
        <x:v>0</x:v>
      </x:c>
      <x:c r="Q252" s="118" t="n">
        <x:v>1</x:v>
      </x:c>
      <x:c r="R252" s="118" t="n">
        <x:v>0</x:v>
      </x:c>
      <x:c r="S252" s="118" t="n">
        <x:v>0</x:v>
      </x:c>
      <x:c r="T252" s="118" t="n">
        <x:v>0</x:v>
      </x:c>
      <x:c r="U252" s="118" t="n">
        <x:v>0</x:v>
      </x:c>
      <x:c r="V252" s="118" t="n">
        <x:v>1</x:v>
      </x:c>
      <x:c r="W252" s="118" t="n">
        <x:v>0</x:v>
      </x:c>
      <x:c r="X252" s="118" t="n">
        <x:v>1</x:v>
      </x:c>
      <x:c r="Y252" s="118" t="n">
        <x:v>0</x:v>
      </x:c>
      <x:c r="Z252" s="118" t="n">
        <x:v>0</x:v>
      </x:c>
      <x:c r="AA252" s="118" t="n">
        <x:v>0</x:v>
      </x:c>
      <x:c r="AB252" s="118" t="n">
        <x:v>0</x:v>
      </x:c>
      <x:c r="AC252" s="118" t="n">
        <x:v>0</x:v>
      </x:c>
    </x:row>
    <x:row r="253" ht="46" customHeight="1">
      <x:c r="A253" s="117" t="str">
        <x:v>300Ro00000wnmN8IAI</x:v>
      </x:c>
      <x:c r="B253" s="117" t="str">
        <x:v>If_FSR_Not_Required_FSR_Datestamp_Blank_at_Closed_Won_Set_FSR_Datestamp_to_Today</x:v>
      </x:c>
      <x:c r="C253" s="117" t="str">
        <x:v>Yes</x:v>
      </x:c>
      <x:c r="D253" s="119" t="str">
        <x:v>Active v1 (Retrieved XML)</x:v>
      </x:c>
      <x:c r="E253" s="119" t="str">
        <x:v>FSR_Not_Required__c EqualTo booleanValue=true | FSR_Datestamp__c IsNull booleanValue=true | StageName IsChanged booleanValue=true | StageName EqualTo stringValue=Closed Won</x:v>
      </x:c>
      <x:c r="F253" s="119" t="str">
        <x:v>Opportunity</x:v>
      </x:c>
      <x:c r="G253" s="119" t="str">
        <x:v>FSR_Datestamp__c, FSR_Not_Required__c, StageName</x:v>
      </x:c>
      <x:c r="H253" s="119" t="str"/>
      <x:c r="I253" s="119" t="str"/>
      <x:c r="J253" s="119" t="str"/>
      <x:c r="K253" s="118" t="n">
        <x:v>2</x:v>
      </x:c>
      <x:c r="L253" s="118" t="n">
        <x:v>0</x:v>
      </x:c>
      <x:c r="M253" s="118" t="n">
        <x:v>0</x:v>
      </x:c>
      <x:c r="N253" s="118" t="n">
        <x:v>1</x:v>
      </x:c>
      <x:c r="O253" s="118" t="n">
        <x:v>0</x:v>
      </x:c>
      <x:c r="P253" s="118" t="n">
        <x:v>0</x:v>
      </x:c>
      <x:c r="Q253" s="118" t="n">
        <x:v>0</x:v>
      </x:c>
      <x:c r="R253" s="118" t="n">
        <x:v>0</x:v>
      </x:c>
      <x:c r="S253" s="118" t="n">
        <x:v>0</x:v>
      </x:c>
      <x:c r="T253" s="118" t="n">
        <x:v>0</x:v>
      </x:c>
      <x:c r="U253" s="118" t="n">
        <x:v>0</x:v>
      </x:c>
      <x:c r="V253" s="118" t="n">
        <x:v>0</x:v>
      </x:c>
      <x:c r="W253" s="118" t="n">
        <x:v>0</x:v>
      </x:c>
      <x:c r="X253" s="118" t="n">
        <x:v>0</x:v>
      </x:c>
      <x:c r="Y253" s="118" t="n">
        <x:v>0</x:v>
      </x:c>
      <x:c r="Z253" s="118" t="n">
        <x:v>0</x:v>
      </x:c>
      <x:c r="AA253" s="118" t="n">
        <x:v>0</x:v>
      </x:c>
      <x:c r="AB253" s="118" t="n">
        <x:v>0</x:v>
      </x:c>
      <x:c r="AC253" s="118" t="n">
        <x:v>0</x:v>
      </x:c>
    </x:row>
    <x:row r="254" ht="46" customHeight="1">
      <x:c r="A254" s="117" t="str">
        <x:v>300Ro00000Pz0klIAB</x:v>
      </x:c>
      <x:c r="B254" s="117" t="str">
        <x:v>Injector_Checklist</x:v>
      </x:c>
      <x:c r="C254" s="117" t="str">
        <x:v>Yes</x:v>
      </x:c>
      <x:c r="D254" s="119" t="str">
        <x:v>Active v4 (Tooling metadata)</x:v>
      </x:c>
      <x:c r="E254" s="119" t="str"/>
      <x:c r="F254" s="119" t="str">
        <x:v>ServiceAppointment, WorkOrder</x:v>
      </x:c>
      <x:c r="G254" s="119" t="str">
        <x:v>Checklist_Output_Formatted_1__c, Checklist_Output_Formatted_2__c, Checklist_Output_Formatted_3__c, Checklist_Output_Formatted_4__c, Checklist_Output_Formatted_5__c, Checklist_Output_Formatted_6__c, Checklist_Output_Formatted__c, Id</x:v>
      </x:c>
      <x:c r="H254" s="119" t="str"/>
      <x:c r="I254" s="119" t="str"/>
      <x:c r="J254" s="119" t="str"/>
      <x:c r="K254" s="118" t="n">
        <x:v>22</x:v>
      </x:c>
      <x:c r="L254" s="118" t="n">
        <x:v>0</x:v>
      </x:c>
      <x:c r="M254" s="118" t="n">
        <x:v>0</x:v>
      </x:c>
      <x:c r="N254" s="118" t="n">
        <x:v>7</x:v>
      </x:c>
      <x:c r="O254" s="118" t="n">
        <x:v>0</x:v>
      </x:c>
      <x:c r="P254" s="118" t="n">
        <x:v>0</x:v>
      </x:c>
      <x:c r="Q254" s="118" t="n">
        <x:v>0</x:v>
      </x:c>
      <x:c r="R254" s="118" t="n">
        <x:v>0</x:v>
      </x:c>
      <x:c r="S254" s="118" t="n">
        <x:v>0</x:v>
      </x:c>
      <x:c r="T254" s="118" t="n">
        <x:v>0</x:v>
      </x:c>
      <x:c r="U254" s="118" t="n">
        <x:v>0</x:v>
      </x:c>
      <x:c r="V254" s="118" t="n">
        <x:v>1</x:v>
      </x:c>
      <x:c r="W254" s="118" t="n">
        <x:v>0</x:v>
      </x:c>
      <x:c r="X254" s="118" t="n">
        <x:v>6</x:v>
      </x:c>
      <x:c r="Y254" s="118" t="n">
        <x:v>7</x:v>
      </x:c>
      <x:c r="Z254" s="118" t="n">
        <x:v>0</x:v>
      </x:c>
      <x:c r="AA254" s="118" t="n">
        <x:v>0</x:v>
      </x:c>
      <x:c r="AB254" s="118" t="n">
        <x:v>0</x:v>
      </x:c>
      <x:c r="AC254" s="118" t="n">
        <x:v>0</x:v>
      </x:c>
    </x:row>
    <x:row r="255" ht="46" customHeight="1">
      <x:c r="A255" s="117" t="str">
        <x:v>3005b000000PyxVAAS</x:v>
      </x:c>
      <x:c r="B255" s="117" t="str">
        <x:v>Inter_Company_Transfer_Address_Update_Op</x:v>
      </x:c>
      <x:c r="C255" s="117" t="str">
        <x:v>Yes</x:v>
      </x:c>
      <x:c r="D255" s="119" t="str">
        <x:v>Active v2 (Retrieved XML)</x:v>
      </x:c>
      <x:c r="E255" s="119" t="str">
        <x:v>RecordTypeId EqualTo stringValue=0120B000000QyDGQA0 | Shipping_TO_Location__c IsNull booleanValue=false</x:v>
      </x:c>
      <x:c r="F255" s="119" t="str">
        <x:v>Opportunity</x:v>
      </x:c>
      <x:c r="G255" s="119" t="str">
        <x:v>RecordTypeId, ShippingCity__c, ShippingCountry__c, ShippingPostalCode__c, ShippingState__c, ShippingStreet__c, Shipping_TO_Location__c</x:v>
      </x:c>
      <x:c r="H255" s="119" t="str"/>
      <x:c r="I255" s="119" t="str"/>
      <x:c r="J255" s="119" t="str"/>
      <x:c r="K255" s="118" t="n">
        <x:v>5</x:v>
      </x:c>
      <x:c r="L255" s="118" t="n">
        <x:v>0</x:v>
      </x:c>
      <x:c r="M255" s="118" t="n">
        <x:v>0</x:v>
      </x:c>
      <x:c r="N255" s="118" t="n">
        <x:v>0</x:v>
      </x:c>
      <x:c r="O255" s="118" t="n">
        <x:v>0</x:v>
      </x:c>
      <x:c r="P255" s="118" t="n">
        <x:v>0</x:v>
      </x:c>
      <x:c r="Q255" s="118" t="n">
        <x:v>1</x:v>
      </x:c>
      <x:c r="R255" s="118" t="n">
        <x:v>0</x:v>
      </x:c>
      <x:c r="S255" s="118" t="n">
        <x:v>0</x:v>
      </x:c>
      <x:c r="T255" s="118" t="n">
        <x:v>0</x:v>
      </x:c>
      <x:c r="U255" s="118" t="n">
        <x:v>0</x:v>
      </x:c>
      <x:c r="V255" s="118" t="n">
        <x:v>0</x:v>
      </x:c>
      <x:c r="W255" s="118" t="n">
        <x:v>0</x:v>
      </x:c>
      <x:c r="X255" s="118" t="n">
        <x:v>3</x:v>
      </x:c>
      <x:c r="Y255" s="118" t="n">
        <x:v>0</x:v>
      </x:c>
      <x:c r="Z255" s="118" t="n">
        <x:v>0</x:v>
      </x:c>
      <x:c r="AA255" s="118" t="n">
        <x:v>0</x:v>
      </x:c>
      <x:c r="AB255" s="118" t="n">
        <x:v>0</x:v>
      </x:c>
      <x:c r="AC255" s="118" t="n">
        <x:v>0</x:v>
      </x:c>
    </x:row>
    <x:row r="256" ht="46" customHeight="1">
      <x:c r="A256" s="117" t="str">
        <x:v>300Ro00000rK6tzIAC</x:v>
      </x:c>
      <x:c r="B256" s="117" t="str">
        <x:v>Intercompany_Transfer_Automations</x:v>
      </x:c>
      <x:c r="C256" s="117" t="str">
        <x:v>Yes</x:v>
      </x:c>
      <x:c r="D256" s="119" t="str">
        <x:v>Active v1 (Retrieved XML)</x:v>
      </x:c>
      <x:c r="E256" s="119" t="str"/>
      <x:c r="F256" s="119" t="str">
        <x:v>Intercompany_Transfer__c</x:v>
      </x:c>
      <x:c r="G256" s="119" t="str">
        <x:v>Approval_Status__c, Approved_Date__c, Delivered_Stage_Date__c, Transfer_Stage__c</x:v>
      </x:c>
      <x:c r="H256" s="119" t="str"/>
      <x:c r="I256" s="119" t="str"/>
      <x:c r="J256" s="119" t="str"/>
      <x:c r="K256" s="118" t="n">
        <x:v>5</x:v>
      </x:c>
      <x:c r="L256" s="118" t="n">
        <x:v>0</x:v>
      </x:c>
      <x:c r="M256" s="118" t="n">
        <x:v>0</x:v>
      </x:c>
      <x:c r="N256" s="118" t="n">
        <x:v>2</x:v>
      </x:c>
      <x:c r="O256" s="118" t="n">
        <x:v>0</x:v>
      </x:c>
      <x:c r="P256" s="118" t="n">
        <x:v>0</x:v>
      </x:c>
      <x:c r="Q256" s="118" t="n">
        <x:v>1</x:v>
      </x:c>
      <x:c r="R256" s="118" t="n">
        <x:v>0</x:v>
      </x:c>
      <x:c r="S256" s="118" t="n">
        <x:v>0</x:v>
      </x:c>
      <x:c r="T256" s="118" t="n">
        <x:v>0</x:v>
      </x:c>
      <x:c r="U256" s="118" t="n">
        <x:v>0</x:v>
      </x:c>
      <x:c r="V256" s="118" t="n">
        <x:v>0</x:v>
      </x:c>
      <x:c r="W256" s="118" t="n">
        <x:v>0</x:v>
      </x:c>
      <x:c r="X256" s="118" t="n">
        <x:v>1</x:v>
      </x:c>
      <x:c r="Y256" s="118" t="n">
        <x:v>0</x:v>
      </x:c>
      <x:c r="Z256" s="118" t="n">
        <x:v>0</x:v>
      </x:c>
      <x:c r="AA256" s="118" t="n">
        <x:v>0</x:v>
      </x:c>
      <x:c r="AB256" s="118" t="n">
        <x:v>0</x:v>
      </x:c>
      <x:c r="AC256" s="118" t="n">
        <x:v>0</x:v>
      </x:c>
    </x:row>
    <x:row r="257" ht="46" customHeight="1">
      <x:c r="A257" s="117" t="str">
        <x:v>300Ro00000Pz0kmIAB</x:v>
      </x:c>
      <x:c r="B257" s="117" t="str">
        <x:v>IntraoralChecklist</x:v>
      </x:c>
      <x:c r="C257" s="117" t="str">
        <x:v>Yes</x:v>
      </x:c>
      <x:c r="D257" s="119" t="str">
        <x:v>Active v6 (Retrieved XML)</x:v>
      </x:c>
      <x:c r="E257" s="119" t="str"/>
      <x:c r="F257" s="119" t="str">
        <x:v>ServiceAppointment, WorkOrder</x:v>
      </x:c>
      <x:c r="G257" s="119" t="str">
        <x:v>Additional_Documentation_Reference__c, Alignment_and_Positioning_Comments__c, Alignment_and_Positioning__c, Checklist_Output_Formatted_1__c, Checklist_Output_Formatted_2__c, Checklist_Output_Formatted_3__c, Checklist_Output_Formatted_4__c, Checklist_Output_Formatted_5__c, Checklist_Output_Formatted_6__c, Checklist_Output_Formatted__c, Checklist_Type__c, Collimator_Comments__c, Collimator_Function_and_Alignment__c, Counterbalance_Comments__c, Counterbalance__c, Covers_Secured_Comments__c, Covers_Secured__c, Detector_Calibration_Comments__c, Detector_Calibration__c, Detector_Uniformity_Comments__c, Detector_Uniformity__c, Emergency_Stop_Switches_Comments__c, Emergency_Stop_Switches_and_Isolators__c, End_to_End_DICOM_Comments__c, End_to_End_DICOM__c, Exposure_Indicators_Comments__c, Exposure_Indicators__c, Final_Functional_Checks_Comments__c, Final_Functional_Checks__c, Final_Visual_Checks_Comments__c, Final_Visual_Checks__c, Generate_Service_Report_HTML__c, Handswitch_and_Foot_Pedals_Comments__c, Handswitch_and_Foot_Pedals__c, Id, Interlocks_and_Mechanical_Stops_Comments__c, Interlocks_and_Mechanical_Stops__c, Mechanical_Security_Comments__c, Mechanical_Security__c, Mountings_and_Fixings_Comments__c, Mountings_and_Fixings__c, System_Earth_Continuity_Comments__c, System_Earth_Continuity__c, Visual_Inspection_Comments__c, Visual_Inspection__c, kV_mA_EC_and_Timing_Comments__c, kV_mA_Exposure_Checks_and_Timing__c</x:v>
      </x:c>
      <x:c r="H257" s="119" t="str"/>
      <x:c r="I257" s="119" t="str"/>
      <x:c r="J257" s="119" t="str"/>
      <x:c r="K257" s="118" t="n">
        <x:v>16</x:v>
      </x:c>
      <x:c r="L257" s="118" t="n">
        <x:v>0</x:v>
      </x:c>
      <x:c r="M257" s="118" t="n">
        <x:v>0</x:v>
      </x:c>
      <x:c r="N257" s="118" t="n">
        <x:v>0</x:v>
      </x:c>
      <x:c r="O257" s="118" t="n">
        <x:v>0</x:v>
      </x:c>
      <x:c r="P257" s="118" t="n">
        <x:v>0</x:v>
      </x:c>
      <x:c r="Q257" s="118" t="n">
        <x:v>0</x:v>
      </x:c>
      <x:c r="R257" s="118" t="n">
        <x:v>0</x:v>
      </x:c>
      <x:c r="S257" s="118" t="n">
        <x:v>0</x:v>
      </x:c>
      <x:c r="T257" s="118" t="n">
        <x:v>0</x:v>
      </x:c>
      <x:c r="U257" s="118" t="n">
        <x:v>0</x:v>
      </x:c>
      <x:c r="V257" s="118" t="n">
        <x:v>1</x:v>
      </x:c>
      <x:c r="W257" s="118" t="n">
        <x:v>0</x:v>
      </x:c>
      <x:c r="X257" s="118" t="n">
        <x:v>7</x:v>
      </x:c>
      <x:c r="Y257" s="118" t="n">
        <x:v>7</x:v>
      </x:c>
      <x:c r="Z257" s="118" t="n">
        <x:v>0</x:v>
      </x:c>
      <x:c r="AA257" s="118" t="n">
        <x:v>0</x:v>
      </x:c>
      <x:c r="AB257" s="118" t="n">
        <x:v>0</x:v>
      </x:c>
      <x:c r="AC257" s="118" t="n">
        <x:v>0</x:v>
      </x:c>
    </x:row>
    <x:row r="258" ht="46" customHeight="1">
      <x:c r="A258" s="117" t="str">
        <x:v>3004O000000LOscQAG</x:v>
      </x:c>
      <x:c r="B258" s="117" t="str">
        <x:v>Inventory_Adjustment</x:v>
      </x:c>
      <x:c r="C258" s="117" t="str">
        <x:v>No</x:v>
      </x:c>
      <x:c r="D258" s="119" t="str">
        <x:v>Latest inactive v1 (Retrieved XML)</x:v>
      </x:c>
      <x:c r="E258" s="119" t="str"/>
      <x:c r="F258" s="119" t="str">
        <x:v>Inventory_Adjustment__c, ProductItem__c</x:v>
      </x:c>
      <x:c r="G258" s="119" t="str">
        <x:v>Id, Inventory_Adjustment_Amount__c, Opportunity__c</x:v>
      </x:c>
      <x:c r="H258" s="119" t="str"/>
      <x:c r="I258" s="119" t="str"/>
      <x:c r="J258" s="119" t="str"/>
      <x:c r="K258" s="118" t="n">
        <x:v>3</x:v>
      </x:c>
      <x:c r="L258" s="118" t="n">
        <x:v>0</x:v>
      </x:c>
      <x:c r="M258" s="118" t="n">
        <x:v>0</x:v>
      </x:c>
      <x:c r="N258" s="118" t="n">
        <x:v>0</x:v>
      </x:c>
      <x:c r="O258" s="118" t="n">
        <x:v>0</x:v>
      </x:c>
      <x:c r="P258" s="118" t="n">
        <x:v>0</x:v>
      </x:c>
      <x:c r="Q258" s="118" t="n">
        <x:v>1</x:v>
      </x:c>
      <x:c r="R258" s="118" t="n">
        <x:v>0</x:v>
      </x:c>
      <x:c r="S258" s="118" t="n">
        <x:v>0</x:v>
      </x:c>
      <x:c r="T258" s="118" t="n">
        <x:v>0</x:v>
      </x:c>
      <x:c r="U258" s="118" t="n">
        <x:v>0</x:v>
      </x:c>
      <x:c r="V258" s="118" t="n">
        <x:v>0</x:v>
      </x:c>
      <x:c r="W258" s="118" t="n">
        <x:v>0</x:v>
      </x:c>
      <x:c r="X258" s="118" t="n">
        <x:v>2</x:v>
      </x:c>
      <x:c r="Y258" s="118" t="n">
        <x:v>0</x:v>
      </x:c>
      <x:c r="Z258" s="118" t="n">
        <x:v>0</x:v>
      </x:c>
      <x:c r="AA258" s="118" t="n">
        <x:v>0</x:v>
      </x:c>
      <x:c r="AB258" s="118" t="n">
        <x:v>0</x:v>
      </x:c>
      <x:c r="AC258" s="118" t="n">
        <x:v>0</x:v>
      </x:c>
    </x:row>
    <x:row r="259" ht="46" customHeight="1">
      <x:c r="A259" s="117" t="str">
        <x:v>3005b000000LHdDAAW</x:v>
      </x:c>
      <x:c r="B259" s="117" t="str">
        <x:v>Invoice_Automations</x:v>
      </x:c>
      <x:c r="C259" s="117" t="str">
        <x:v>Yes</x:v>
      </x:c>
      <x:c r="D259" s="119" t="str">
        <x:v>Active v26 (Retrieved XML)</x:v>
      </x:c>
      <x:c r="E259" s="119" t="str">
        <x:v>CreatedDate GreaterThan dateTimeValue=2023-01-19T05:01:00.000Z</x:v>
      </x:c>
      <x:c r="F259" s="119" t="str">
        <x:v>Invoice_Line_Item__c, Invoice__c, Opportunity, OpportunityLineItem, Order, OrderItem, StateTranslation__mdt</x:v>
      </x:c>
      <x:c r="G259" s="119" t="str">
        <x:v>AVA_SFCLOUD__Commit_Tax__c, AVA_SFCLOUD__Entity_Use_Code__c, AVA_SFCLOUD__Sales_Tax__c, AccountId, Account__r, Balance_Due__c, BillingCity, BillingCountry, BillingPostalCode, BillingState, BillingStreet, Billing_City__c, Billing_Country__c, Billing_Postal_Code__c, Billing_State__c, Billing_Street__c, Confirmation_Number__c, CreatedDate, Credit_Card_Fees__c, CurrencyIsoCode, Custom_Invoice_Number__c, EffectiveDate, FR_Invoice_Number__c, Id, Intacct_Invoice_Submission_Date__c, Intacct_Invoice_Sync_Status__c, Invoice2__c, Invoice_Line_Items_Added__c, Invoice__c, OpportunityId, Opportunity__r, Payment_Confirmation__c, Pricebook2Id, Proforma_Account__c, Proforma_Amount__c, ShippingCity, ShippingCountry, ShippingPostalCode, ShippingState, ShippingStreet, Shipping_City__c, Shipping_Country__c, Shipping_Postal_Code__c, Shipping_State__c, Shipping_Street__c, Shipping_and_Delivery_Income__c, State_Abbreviation__c, Status, Total_Sales_Price__c, UK_Invoice_Number__c, X23100_Sales_Tax_Payable__c</x:v>
      </x:c>
      <x:c r="H259" s="119" t="str"/>
      <x:c r="I259" s="119" t="str"/>
      <x:c r="J259" s="119" t="str"/>
      <x:c r="K259" s="118" t="n">
        <x:v>39</x:v>
      </x:c>
      <x:c r="L259" s="118" t="n">
        <x:v>0</x:v>
      </x:c>
      <x:c r="M259" s="118" t="n">
        <x:v>0</x:v>
      </x:c>
      <x:c r="N259" s="118" t="n">
        <x:v>9</x:v>
      </x:c>
      <x:c r="O259" s="118" t="n">
        <x:v>0</x:v>
      </x:c>
      <x:c r="P259" s="118" t="n">
        <x:v>0</x:v>
      </x:c>
      <x:c r="Q259" s="118" t="n">
        <x:v>9</x:v>
      </x:c>
      <x:c r="R259" s="118" t="n">
        <x:v>2</x:v>
      </x:c>
      <x:c r="S259" s="118" t="n">
        <x:v>0</x:v>
      </x:c>
      <x:c r="T259" s="118" t="n">
        <x:v>3</x:v>
      </x:c>
      <x:c r="U259" s="118" t="n">
        <x:v>0</x:v>
      </x:c>
      <x:c r="V259" s="118" t="n">
        <x:v>7</x:v>
      </x:c>
      <x:c r="W259" s="118" t="n">
        <x:v>0</x:v>
      </x:c>
      <x:c r="X259" s="118" t="n">
        <x:v>8</x:v>
      </x:c>
      <x:c r="Y259" s="118" t="n">
        <x:v>0</x:v>
      </x:c>
      <x:c r="Z259" s="118" t="n">
        <x:v>0</x:v>
      </x:c>
      <x:c r="AA259" s="118" t="n">
        <x:v>0</x:v>
      </x:c>
      <x:c r="AB259" s="118" t="n">
        <x:v>0</x:v>
      </x:c>
      <x:c r="AC259" s="118" t="n">
        <x:v>0</x:v>
      </x:c>
    </x:row>
    <x:row r="260" ht="46" customHeight="1">
      <x:c r="A260" s="117" t="str">
        <x:v>300Ro00000VBIe8IAH</x:v>
      </x:c>
      <x:c r="B260" s="117" t="str">
        <x:v>Invoice_Create_Invoice_Line_Items</x:v>
      </x:c>
      <x:c r="C260" s="117" t="str">
        <x:v>Yes</x:v>
      </x:c>
      <x:c r="D260" s="119" t="str">
        <x:v>Active v4 (Retrieved XML)</x:v>
      </x:c>
      <x:c r="E260" s="119" t="str"/>
      <x:c r="F260" s="119" t="str">
        <x:v>Invoice__c, OpportunityLineItem</x:v>
      </x:c>
      <x:c r="G260" s="119" t="str">
        <x:v>Id, Invoice2__c, Operations_Identified_for_Invoicing__c, OpportunityId, Opportunity__c, Opportunity__r, Total_Sales_Price__c</x:v>
      </x:c>
      <x:c r="H260" s="119" t="str"/>
      <x:c r="I260" s="119" t="str"/>
      <x:c r="J260" s="119" t="str"/>
      <x:c r="K260" s="118" t="n">
        <x:v>14</x:v>
      </x:c>
      <x:c r="L260" s="118" t="n">
        <x:v>0</x:v>
      </x:c>
      <x:c r="M260" s="118" t="n">
        <x:v>0</x:v>
      </x:c>
      <x:c r="N260" s="118" t="n">
        <x:v>1</x:v>
      </x:c>
      <x:c r="O260" s="118" t="n">
        <x:v>0</x:v>
      </x:c>
      <x:c r="P260" s="118" t="n">
        <x:v>0</x:v>
      </x:c>
      <x:c r="Q260" s="118" t="n">
        <x:v>3</x:v>
      </x:c>
      <x:c r="R260" s="118" t="n">
        <x:v>1</x:v>
      </x:c>
      <x:c r="S260" s="118" t="n">
        <x:v>0</x:v>
      </x:c>
      <x:c r="T260" s="118" t="n">
        <x:v>2</x:v>
      </x:c>
      <x:c r="U260" s="118" t="n">
        <x:v>0</x:v>
      </x:c>
      <x:c r="V260" s="118" t="n">
        <x:v>2</x:v>
      </x:c>
      <x:c r="W260" s="118" t="n">
        <x:v>0</x:v>
      </x:c>
      <x:c r="X260" s="118" t="n">
        <x:v>1</x:v>
      </x:c>
      <x:c r="Y260" s="118" t="n">
        <x:v>0</x:v>
      </x:c>
      <x:c r="Z260" s="118" t="n">
        <x:v>0</x:v>
      </x:c>
      <x:c r="AA260" s="118" t="n">
        <x:v>0</x:v>
      </x:c>
      <x:c r="AB260" s="118" t="n">
        <x:v>3</x:v>
      </x:c>
      <x:c r="AC260" s="118" t="n">
        <x:v>0</x:v>
      </x:c>
    </x:row>
    <x:row r="261" ht="46" customHeight="1">
      <x:c r="A261" s="117" t="str">
        <x:v>300Ro00000VTHYJIA5</x:v>
      </x:c>
      <x:c r="B261" s="117" t="str">
        <x:v>Invoice_Line_Item_On_Update_Sum_Invoice_Total_Sales_Price</x:v>
      </x:c>
      <x:c r="C261" s="117" t="str">
        <x:v>Yes</x:v>
      </x:c>
      <x:c r="D261" s="119" t="str">
        <x:v>Active v3 (Retrieved XML)</x:v>
      </x:c>
      <x:c r="E261" s="119" t="str"/>
      <x:c r="F261" s="119" t="str">
        <x:v>Invoice_Line_Item__c, Invoice__c</x:v>
      </x:c>
      <x:c r="G261" s="119" t="str">
        <x:v>Id, Invoice__c, Invoice__r, Total_Sales_Price__c</x:v>
      </x:c>
      <x:c r="H261" s="119" t="str"/>
      <x:c r="I261" s="119" t="str"/>
      <x:c r="J261" s="119" t="str"/>
      <x:c r="K261" s="118" t="n">
        <x:v>6</x:v>
      </x:c>
      <x:c r="L261" s="118" t="n">
        <x:v>0</x:v>
      </x:c>
      <x:c r="M261" s="118" t="n">
        <x:v>0</x:v>
      </x:c>
      <x:c r="N261" s="118" t="n">
        <x:v>1</x:v>
      </x:c>
      <x:c r="O261" s="118" t="n">
        <x:v>0</x:v>
      </x:c>
      <x:c r="P261" s="118" t="n">
        <x:v>0</x:v>
      </x:c>
      <x:c r="Q261" s="118" t="n">
        <x:v>1</x:v>
      </x:c>
      <x:c r="R261" s="118" t="n">
        <x:v>1</x:v>
      </x:c>
      <x:c r="S261" s="118" t="n">
        <x:v>0</x:v>
      </x:c>
      <x:c r="T261" s="118" t="n">
        <x:v>0</x:v>
      </x:c>
      <x:c r="U261" s="118" t="n">
        <x:v>0</x:v>
      </x:c>
      <x:c r="V261" s="118" t="n">
        <x:v>1</x:v>
      </x:c>
      <x:c r="W261" s="118" t="n">
        <x:v>0</x:v>
      </x:c>
      <x:c r="X261" s="118" t="n">
        <x:v>1</x:v>
      </x:c>
      <x:c r="Y261" s="118" t="n">
        <x:v>0</x:v>
      </x:c>
      <x:c r="Z261" s="118" t="n">
        <x:v>0</x:v>
      </x:c>
      <x:c r="AA261" s="118" t="n">
        <x:v>0</x:v>
      </x:c>
      <x:c r="AB261" s="118" t="n">
        <x:v>0</x:v>
      </x:c>
      <x:c r="AC261" s="118" t="n">
        <x:v>0</x:v>
      </x:c>
    </x:row>
    <x:row r="262" ht="46" customHeight="1">
      <x:c r="A262" s="117" t="str">
        <x:v>3004O0000000ZuBQAU</x:v>
      </x:c>
      <x:c r="B262" s="117" t="str">
        <x:v>Invoice_Object</x:v>
      </x:c>
      <x:c r="C262" s="117" t="str">
        <x:v>Yes</x:v>
      </x:c>
      <x:c r="D262" s="119" t="str">
        <x:v>Active v55 (Retrieved XML)</x:v>
      </x:c>
      <x:c r="E262" s="119" t="str"/>
      <x:c r="F262" s="119" t="str">
        <x:v>Invoice__c, Opportunity, OpportunityLineItem</x:v>
      </x:c>
      <x:c r="G262" s="119" t="str">
        <x:v>Account__c, Attn__c, Balance_Due__c, Bill_to_Account__c, Billing_City__c, Billing_Country__c, Billing_Notes__c, Billing_Postal_Code__c, Billing_State__c, Billing_Street__c, Check_In_Type__c, CurrencyIsoCode, Down_Payment__c, Id, Invoice2__c, Invoice_Date__c, Invoice_Number__c, Invoice__c, Name, OpportunityId, Opportunity_Record_Type__c, Opportunity__c, Physical_Location__c, Product_Family__c, Rental_Invoice_End_Date__c, Rental_Invoice_Start_Date__c, Service_Address__City__s, Service_Address__CountryCode__s, Service_Address__GeocodeAccuracy__s, Service_Address__Latitude__s, Service_Address__Longitude__s, Service_Address__PostalCode__s, Service_Address__StateCode__s, Service_Address__Street__s, Ship_to_Account__c, Shipping_City__c, Shipping_Country__c, Shipping_Postal_Code__c, Shipping_State__c, Shipping_Street__c, Shipping_and_Delivery_Income__c, Total_Sales_Price__c, X23100_Sales_Tax_Payable__c</x:v>
      </x:c>
      <x:c r="H262" s="119" t="str">
        <x:v>Create_Commission</x:v>
      </x:c>
      <x:c r="I262" s="119" t="str"/>
      <x:c r="J262" s="119" t="str"/>
      <x:c r="K262" s="118" t="n">
        <x:v>19</x:v>
      </x:c>
      <x:c r="L262" s="118" t="n">
        <x:v>1</x:v>
      </x:c>
      <x:c r="M262" s="118" t="n">
        <x:v>0</x:v>
      </x:c>
      <x:c r="N262" s="118" t="n">
        <x:v>0</x:v>
      </x:c>
      <x:c r="O262" s="118" t="n">
        <x:v>0</x:v>
      </x:c>
      <x:c r="P262" s="118" t="n">
        <x:v>0</x:v>
      </x:c>
      <x:c r="Q262" s="118" t="n">
        <x:v>6</x:v>
      </x:c>
      <x:c r="R262" s="118" t="n">
        <x:v>0</x:v>
      </x:c>
      <x:c r="S262" s="118" t="n">
        <x:v>0</x:v>
      </x:c>
      <x:c r="T262" s="118" t="n">
        <x:v>0</x:v>
      </x:c>
      <x:c r="U262" s="118" t="n">
        <x:v>0</x:v>
      </x:c>
      <x:c r="V262" s="118" t="n">
        <x:v>0</x:v>
      </x:c>
      <x:c r="W262" s="118" t="n">
        <x:v>0</x:v>
      </x:c>
      <x:c r="X262" s="118" t="n">
        <x:v>12</x:v>
      </x:c>
      <x:c r="Y262" s="118" t="n">
        <x:v>0</x:v>
      </x:c>
      <x:c r="Z262" s="118" t="n">
        <x:v>0</x:v>
      </x:c>
      <x:c r="AA262" s="118" t="n">
        <x:v>0</x:v>
      </x:c>
      <x:c r="AB262" s="118" t="n">
        <x:v>0</x:v>
      </x:c>
      <x:c r="AC262" s="118" t="n">
        <x:v>0</x:v>
      </x:c>
    </x:row>
    <x:row r="263" ht="46" customHeight="1">
      <x:c r="A263" s="117" t="str">
        <x:v>300Ro00000yWAUkIAO</x:v>
      </x:c>
      <x:c r="B263" s="117" t="str">
        <x:v>Invoice_Re_sync_if_Errored</x:v>
      </x:c>
      <x:c r="C263" s="117" t="str">
        <x:v>Yes</x:v>
      </x:c>
      <x:c r="D263" s="119" t="str">
        <x:v>Active v1 (Retrieved XML)</x:v>
      </x:c>
      <x:c r="E263" s="119" t="str">
        <x:v>Intacct_Invoice_Sync_Status__c EqualTo stringValue=Error | CreatedDate GreaterThan dateTimeValue=2026-01-01T00:00:00.000Z</x:v>
      </x:c>
      <x:c r="F263" s="119" t="str">
        <x:v>Invoice__c</x:v>
      </x:c>
      <x:c r="G263" s="119" t="str">
        <x:v>CreatedDate, Intacct_Invoice_Debug_URL__c, Intacct_Invoice_Error_Message__c, Intacct_Invoice_Sync_Status__c, Intacct_Invoice_Timestamp__c, Intacct_Invoice_Transaction_ID__c</x:v>
      </x:c>
      <x:c r="H263" s="119" t="str"/>
      <x:c r="I263" s="119" t="str"/>
      <x:c r="J263" s="119" t="str"/>
      <x:c r="K263" s="118" t="n">
        <x:v>2</x:v>
      </x:c>
      <x:c r="L263" s="118" t="n">
        <x:v>0</x:v>
      </x:c>
      <x:c r="M263" s="118" t="n">
        <x:v>0</x:v>
      </x:c>
      <x:c r="N263" s="118" t="n">
        <x:v>0</x:v>
      </x:c>
      <x:c r="O263" s="118" t="n">
        <x:v>0</x:v>
      </x:c>
      <x:c r="P263" s="118" t="n">
        <x:v>0</x:v>
      </x:c>
      <x:c r="Q263" s="118" t="n">
        <x:v>0</x:v>
      </x:c>
      <x:c r="R263" s="118" t="n">
        <x:v>0</x:v>
      </x:c>
      <x:c r="S263" s="118" t="n">
        <x:v>0</x:v>
      </x:c>
      <x:c r="T263" s="118" t="n">
        <x:v>0</x:v>
      </x:c>
      <x:c r="U263" s="118" t="n">
        <x:v>0</x:v>
      </x:c>
      <x:c r="V263" s="118" t="n">
        <x:v>0</x:v>
      </x:c>
      <x:c r="W263" s="118" t="n">
        <x:v>0</x:v>
      </x:c>
      <x:c r="X263" s="118" t="n">
        <x:v>1</x:v>
      </x:c>
      <x:c r="Y263" s="118" t="n">
        <x:v>0</x:v>
      </x:c>
      <x:c r="Z263" s="118" t="n">
        <x:v>0</x:v>
      </x:c>
      <x:c r="AA263" s="118" t="n">
        <x:v>0</x:v>
      </x:c>
      <x:c r="AB263" s="118" t="n">
        <x:v>0</x:v>
      </x:c>
      <x:c r="AC263" s="118" t="n">
        <x:v>0</x:v>
      </x:c>
    </x:row>
    <x:row r="264" ht="46" customHeight="1">
      <x:c r="A264" s="117" t="str">
        <x:v>300Ro000007doaWIAQ</x:v>
      </x:c>
      <x:c r="B264" s="117" t="str">
        <x:v>Invoice_Rollups</x:v>
      </x:c>
      <x:c r="C264" s="117" t="str">
        <x:v>Yes</x:v>
      </x:c>
      <x:c r="D264" s="119" t="str">
        <x:v>Active v2 (Retrieved XML)</x:v>
      </x:c>
      <x:c r="E264" s="119" t="str"/>
      <x:c r="F264" s="119" t="str">
        <x:v>Invoice__c, Loaner__c</x:v>
      </x:c>
      <x:c r="G264" s="119" t="str">
        <x:v>Balance_Due__c, Id, Loaner__c</x:v>
      </x:c>
      <x:c r="H264" s="119" t="str"/>
      <x:c r="I264" s="119" t="str"/>
      <x:c r="J264" s="119" t="str"/>
      <x:c r="K264" s="118" t="n">
        <x:v>7</x:v>
      </x:c>
      <x:c r="L264" s="118" t="n">
        <x:v>0</x:v>
      </x:c>
      <x:c r="M264" s="118" t="n">
        <x:v>0</x:v>
      </x:c>
      <x:c r="N264" s="118" t="n">
        <x:v>2</x:v>
      </x:c>
      <x:c r="O264" s="118" t="n">
        <x:v>0</x:v>
      </x:c>
      <x:c r="P264" s="118" t="n">
        <x:v>0</x:v>
      </x:c>
      <x:c r="Q264" s="118" t="n">
        <x:v>1</x:v>
      </x:c>
      <x:c r="R264" s="118" t="n">
        <x:v>1</x:v>
      </x:c>
      <x:c r="S264" s="118" t="n">
        <x:v>0</x:v>
      </x:c>
      <x:c r="T264" s="118" t="n">
        <x:v>0</x:v>
      </x:c>
      <x:c r="U264" s="118" t="n">
        <x:v>0</x:v>
      </x:c>
      <x:c r="V264" s="118" t="n">
        <x:v>1</x:v>
      </x:c>
      <x:c r="W264" s="118" t="n">
        <x:v>0</x:v>
      </x:c>
      <x:c r="X264" s="118" t="n">
        <x:v>1</x:v>
      </x:c>
      <x:c r="Y264" s="118" t="n">
        <x:v>0</x:v>
      </x:c>
      <x:c r="Z264" s="118" t="n">
        <x:v>0</x:v>
      </x:c>
      <x:c r="AA264" s="118" t="n">
        <x:v>0</x:v>
      </x:c>
      <x:c r="AB264" s="118" t="n">
        <x:v>0</x:v>
      </x:c>
      <x:c r="AC264" s="118" t="n">
        <x:v>0</x:v>
      </x:c>
    </x:row>
    <x:row r="265" ht="46" customHeight="1">
      <x:c r="A265" s="117" t="str">
        <x:v>3004O000000LOvOQAW</x:v>
      </x:c>
      <x:c r="B265" s="117" t="str">
        <x:v>Invoice_Submission_Flow_V2</x:v>
      </x:c>
      <x:c r="C265" s="117" t="str">
        <x:v>Yes</x:v>
      </x:c>
      <x:c r="D265" s="119" t="str">
        <x:v>Active v37 (Retrieved XML)</x:v>
      </x:c>
      <x:c r="E265" s="119" t="str"/>
      <x:c r="F265" s="119" t="str">
        <x:v>Account, ChargentOrders__ChargentOrder__c, ChargentOrders__Payment_Request__c, Invoice__c, Opportunity, OpportunityLineItem</x:v>
      </x:c>
      <x:c r="G265" s="119" t="str">
        <x:v>ChargentOrders__Charge_Amount__c, ChargentOrders__Charge_Date__c, ChargentOrders__ChargentOrder__c, ChargentOrders__Email_Address__c, ChargentOrders__Manual_Charge__c, ChargentOrders__Payment_Frequency__c, ChargentOrders__Payment_Method__c, ChargentOrders__Payment_Start_Date__c, ChargentOrders__Send_Payment_Request_Email__c, ChargentOrders__Shipping__c, ChargentOrders__Subtotal__c, ChargentOrders__Tax__c, Chargent_Order__c, Continue_Until_RMA__c, Id, Invoice__c, Next_Charge_Date__c, OpportunityId, Opportunity__c, Payment_Due_Date__c, Recurring_Frequency__c, Remaining_Date_Due__c, Send_Invoice_To__c</x:v>
      </x:c>
      <x:c r="H265" s="119" t="str"/>
      <x:c r="I265" s="119" t="str">
        <x:v>Send_Invoice_PDF_Email</x:v>
      </x:c>
      <x:c r="J265" s="119" t="str"/>
      <x:c r="K265" s="118" t="n">
        <x:v>67</x:v>
      </x:c>
      <x:c r="L265" s="118" t="n">
        <x:v>0</x:v>
      </x:c>
      <x:c r="M265" s="118" t="n">
        <x:v>0</x:v>
      </x:c>
      <x:c r="N265" s="118" t="n">
        <x:v>30</x:v>
      </x:c>
      <x:c r="O265" s="118" t="n">
        <x:v>0</x:v>
      </x:c>
      <x:c r="P265" s="118" t="n">
        <x:v>0</x:v>
      </x:c>
      <x:c r="Q265" s="118" t="n">
        <x:v>14</x:v>
      </x:c>
      <x:c r="R265" s="118" t="n">
        <x:v>2</x:v>
      </x:c>
      <x:c r="S265" s="118" t="n">
        <x:v>0</x:v>
      </x:c>
      <x:c r="T265" s="118" t="n">
        <x:v>6</x:v>
      </x:c>
      <x:c r="U265" s="118" t="n">
        <x:v>0</x:v>
      </x:c>
      <x:c r="V265" s="118" t="n">
        <x:v>4</x:v>
      </x:c>
      <x:c r="W265" s="118" t="n">
        <x:v>0</x:v>
      </x:c>
      <x:c r="X265" s="118" t="n">
        <x:v>5</x:v>
      </x:c>
      <x:c r="Y265" s="118" t="n">
        <x:v>4</x:v>
      </x:c>
      <x:c r="Z265" s="118" t="n">
        <x:v>0</x:v>
      </x:c>
      <x:c r="AA265" s="118" t="n">
        <x:v>1</x:v>
      </x:c>
      <x:c r="AB265" s="118" t="n">
        <x:v>0</x:v>
      </x:c>
      <x:c r="AC265" s="118" t="n">
        <x:v>0</x:v>
      </x:c>
    </x:row>
    <x:row r="266" ht="46" customHeight="1">
      <x:c r="A266" s="117" t="str">
        <x:v>300Ro00000FwcE1IAJ</x:v>
      </x:c>
      <x:c r="B266" s="117" t="str">
        <x:v>Invoice_Sync_Notification</x:v>
      </x:c>
      <x:c r="C266" s="117" t="str">
        <x:v>Yes</x:v>
      </x:c>
      <x:c r="D266" s="119" t="str">
        <x:v>Active v12 (Retrieved XML)</x:v>
      </x:c>
      <x:c r="E266" s="119" t="str">
        <x:v>Intacct_Invoice_Sync_Status__c IsChanged booleanValue=true | Opportunity_Entity__c NotEqualTo stringValue=Probo-UK | Entity_Location__c NotEqualTo stringValue=Probo-SAS</x:v>
      </x:c>
      <x:c r="F266" s="119" t="str">
        <x:v>ContentDocumentLink, Invoice__c</x:v>
      </x:c>
      <x:c r="G266" s="119" t="str">
        <x:v>Account__r, Accounting_Contact_E_mail__c, Entity_Location__c, Id, Intacct_Invoice_Sync_Status__c, LinkedEntityId, Name, Opportunity_Entity__c, Opportunity__r</x:v>
      </x:c>
      <x:c r="H266" s="119" t="str">
        <x:v>InvoicePdfGenerator, SendBetterEmail</x:v>
      </x:c>
      <x:c r="I266" s="119" t="str"/>
      <x:c r="J266" s="119" t="str"/>
      <x:c r="K266" s="118" t="n">
        <x:v>7</x:v>
      </x:c>
      <x:c r="L266" s="118" t="n">
        <x:v>2</x:v>
      </x:c>
      <x:c r="M266" s="118" t="n">
        <x:v>0</x:v>
      </x:c>
      <x:c r="N266" s="118" t="n">
        <x:v>1</x:v>
      </x:c>
      <x:c r="O266" s="118" t="n">
        <x:v>0</x:v>
      </x:c>
      <x:c r="P266" s="118" t="n">
        <x:v>0</x:v>
      </x:c>
      <x:c r="Q266" s="118" t="n">
        <x:v>2</x:v>
      </x:c>
      <x:c r="R266" s="118" t="n">
        <x:v>0</x:v>
      </x:c>
      <x:c r="S266" s="118" t="n">
        <x:v>0</x:v>
      </x:c>
      <x:c r="T266" s="118" t="n">
        <x:v>0</x:v>
      </x:c>
      <x:c r="U266" s="118" t="n">
        <x:v>0</x:v>
      </x:c>
      <x:c r="V266" s="118" t="n">
        <x:v>1</x:v>
      </x:c>
      <x:c r="W266" s="118" t="n">
        <x:v>0</x:v>
      </x:c>
      <x:c r="X266" s="118" t="n">
        <x:v>0</x:v>
      </x:c>
      <x:c r="Y266" s="118" t="n">
        <x:v>0</x:v>
      </x:c>
      <x:c r="Z266" s="118" t="n">
        <x:v>0</x:v>
      </x:c>
      <x:c r="AA266" s="118" t="n">
        <x:v>0</x:v>
      </x:c>
      <x:c r="AB266" s="118" t="n">
        <x:v>0</x:v>
      </x:c>
      <x:c r="AC266" s="118" t="n">
        <x:v>0</x:v>
      </x:c>
    </x:row>
    <x:row r="267" ht="46" customHeight="1">
      <x:c r="A267" s="117" t="str">
        <x:v>300Ro000008sBV0IAM</x:v>
      </x:c>
      <x:c r="B267" s="117" t="str">
        <x:v>Invoice_to_Harvest_Work_Order_Rollups</x:v>
      </x:c>
      <x:c r="C267" s="117" t="str">
        <x:v>No</x:v>
      </x:c>
      <x:c r="D267" s="119" t="str">
        <x:v>Latest inactive v2 (Retrieved XML)</x:v>
      </x:c>
      <x:c r="E267" s="119" t="str"/>
      <x:c r="F267" s="119" t="str">
        <x:v>ProductItem__c</x:v>
      </x:c>
      <x:c r="G267" s="119" t="str">
        <x:v>Cost__c, Harvest_Work_Order__c</x:v>
      </x:c>
      <x:c r="H267" s="119" t="str"/>
      <x:c r="I267" s="119" t="str"/>
      <x:c r="J267" s="119" t="str"/>
      <x:c r="K267" s="118" t="n">
        <x:v>6</x:v>
      </x:c>
      <x:c r="L267" s="118" t="n">
        <x:v>0</x:v>
      </x:c>
      <x:c r="M267" s="118" t="n">
        <x:v>0</x:v>
      </x:c>
      <x:c r="N267" s="118" t="n">
        <x:v>2</x:v>
      </x:c>
      <x:c r="O267" s="118" t="n">
        <x:v>0</x:v>
      </x:c>
      <x:c r="P267" s="118" t="n">
        <x:v>0</x:v>
      </x:c>
      <x:c r="Q267" s="118" t="n">
        <x:v>1</x:v>
      </x:c>
      <x:c r="R267" s="118" t="n">
        <x:v>1</x:v>
      </x:c>
      <x:c r="S267" s="118" t="n">
        <x:v>0</x:v>
      </x:c>
      <x:c r="T267" s="118" t="n">
        <x:v>0</x:v>
      </x:c>
      <x:c r="U267" s="118" t="n">
        <x:v>0</x:v>
      </x:c>
      <x:c r="V267" s="118" t="n">
        <x:v>1</x:v>
      </x:c>
      <x:c r="W267" s="118" t="n">
        <x:v>0</x:v>
      </x:c>
      <x:c r="X267" s="118" t="n">
        <x:v>0</x:v>
      </x:c>
      <x:c r="Y267" s="118" t="n">
        <x:v>0</x:v>
      </x:c>
      <x:c r="Z267" s="118" t="n">
        <x:v>0</x:v>
      </x:c>
      <x:c r="AA267" s="118" t="n">
        <x:v>0</x:v>
      </x:c>
      <x:c r="AB267" s="118" t="n">
        <x:v>0</x:v>
      </x:c>
      <x:c r="AC267" s="118" t="n">
        <x:v>0</x:v>
      </x:c>
    </x:row>
    <x:row r="268" ht="46" customHeight="1">
      <x:c r="A268" s="117" t="str">
        <x:v>3005b000000LHanAAG</x:v>
      </x:c>
      <x:c r="B268" s="117" t="str">
        <x:v>Invoice_Updates_and_Alerts_Flow</x:v>
      </x:c>
      <x:c r="C268" s="117" t="str">
        <x:v>No</x:v>
      </x:c>
      <x:c r="D268" s="119" t="str">
        <x:v>Latest inactive v1 (Retrieved XML)</x:v>
      </x:c>
      <x:c r="E268" s="119" t="str"/>
      <x:c r="F268" s="119" t="str">
        <x:v>Invoice__c</x:v>
      </x:c>
      <x:c r="G268" s="119" t="str">
        <x:v>Balance_Due__c, Name, Opportunity_Number__c, Opportunity_Record_Type__c, Opportunity__r, RecordType</x:v>
      </x:c>
      <x:c r="H268" s="119" t="str">
        <x:v>emailSimple</x:v>
      </x:c>
      <x:c r="I268" s="119" t="str"/>
      <x:c r="J268" s="119" t="str"/>
      <x:c r="K268" s="118" t="n">
        <x:v>4</x:v>
      </x:c>
      <x:c r="L268" s="118" t="n">
        <x:v>1</x:v>
      </x:c>
      <x:c r="M268" s="118" t="n">
        <x:v>0</x:v>
      </x:c>
      <x:c r="N268" s="118" t="n">
        <x:v>0</x:v>
      </x:c>
      <x:c r="O268" s="118" t="n">
        <x:v>0</x:v>
      </x:c>
      <x:c r="P268" s="118" t="n">
        <x:v>0</x:v>
      </x:c>
      <x:c r="Q268" s="118" t="n">
        <x:v>2</x:v>
      </x:c>
      <x:c r="R268" s="118" t="n">
        <x:v>0</x:v>
      </x:c>
      <x:c r="S268" s="118" t="n">
        <x:v>0</x:v>
      </x:c>
      <x:c r="T268" s="118" t="n">
        <x:v>0</x:v>
      </x:c>
      <x:c r="U268" s="118" t="n">
        <x:v>0</x:v>
      </x:c>
      <x:c r="V268" s="118" t="n">
        <x:v>0</x:v>
      </x:c>
      <x:c r="W268" s="118" t="n">
        <x:v>0</x:v>
      </x:c>
      <x:c r="X268" s="118" t="n">
        <x:v>0</x:v>
      </x:c>
      <x:c r="Y268" s="118" t="n">
        <x:v>0</x:v>
      </x:c>
      <x:c r="Z268" s="118" t="n">
        <x:v>0</x:v>
      </x:c>
      <x:c r="AA268" s="118" t="n">
        <x:v>0</x:v>
      </x:c>
      <x:c r="AB268" s="118" t="n">
        <x:v>0</x:v>
      </x:c>
      <x:c r="AC268" s="118" t="n">
        <x:v>0</x:v>
      </x:c>
    </x:row>
    <x:row r="269" ht="46" customHeight="1">
      <x:c r="A269" s="117" t="str">
        <x:v>300Ro00000zKaXGIA0</x:v>
      </x:c>
      <x:c r="B269" s="117" t="str">
        <x:v>IR_Product_Before_Delete_Total_IR_Product_Cost_Roll_Up</x:v>
      </x:c>
      <x:c r="C269" s="117" t="str">
        <x:v>Yes</x:v>
      </x:c>
      <x:c r="D269" s="119" t="str">
        <x:v>Active v1 (Retrieved XML)</x:v>
      </x:c>
      <x:c r="E269" s="119" t="str"/>
      <x:c r="F269" s="119" t="str">
        <x:v>IR_Product__c, Item_Receipt__c</x:v>
      </x:c>
      <x:c r="G269" s="119" t="str">
        <x:v>Id, Item_Receipt__c, Sum_of_IR_Product_Total_Cost__c</x:v>
      </x:c>
      <x:c r="H269" s="119" t="str"/>
      <x:c r="I269" s="119" t="str"/>
      <x:c r="J269" s="119" t="str"/>
      <x:c r="K269" s="118" t="n">
        <x:v>5</x:v>
      </x:c>
      <x:c r="L269" s="118" t="n">
        <x:v>0</x:v>
      </x:c>
      <x:c r="M269" s="118" t="n">
        <x:v>0</x:v>
      </x:c>
      <x:c r="N269" s="118" t="n">
        <x:v>0</x:v>
      </x:c>
      <x:c r="O269" s="118" t="n">
        <x:v>0</x:v>
      </x:c>
      <x:c r="P269" s="118" t="n">
        <x:v>0</x:v>
      </x:c>
      <x:c r="Q269" s="118" t="n">
        <x:v>1</x:v>
      </x:c>
      <x:c r="R269" s="118" t="n">
        <x:v>0</x:v>
      </x:c>
      <x:c r="S269" s="118" t="n">
        <x:v>0</x:v>
      </x:c>
      <x:c r="T269" s="118" t="n">
        <x:v>0</x:v>
      </x:c>
      <x:c r="U269" s="118" t="n">
        <x:v>0</x:v>
      </x:c>
      <x:c r="V269" s="118" t="n">
        <x:v>1</x:v>
      </x:c>
      <x:c r="W269" s="118" t="n">
        <x:v>0</x:v>
      </x:c>
      <x:c r="X269" s="118" t="n">
        <x:v>1</x:v>
      </x:c>
      <x:c r="Y269" s="118" t="n">
        <x:v>0</x:v>
      </x:c>
      <x:c r="Z269" s="118" t="n">
        <x:v>0</x:v>
      </x:c>
      <x:c r="AA269" s="118" t="n">
        <x:v>0</x:v>
      </x:c>
      <x:c r="AB269" s="118" t="n">
        <x:v>1</x:v>
      </x:c>
      <x:c r="AC269" s="118" t="n">
        <x:v>0</x:v>
      </x:c>
    </x:row>
    <x:row r="270" ht="46" customHeight="1">
      <x:c r="A270" s="117" t="str">
        <x:v>300Ro00000zKaXHIA0</x:v>
      </x:c>
      <x:c r="B270" s="117" t="str">
        <x:v>IR_Product_on_create_Total_IR_Product_Cost_Roll_Up</x:v>
      </x:c>
      <x:c r="C270" s="117" t="str">
        <x:v>Yes</x:v>
      </x:c>
      <x:c r="D270" s="119" t="str">
        <x:v>Active v1 (Retrieved XML)</x:v>
      </x:c>
      <x:c r="E270" s="119" t="str"/>
      <x:c r="F270" s="119" t="str">
        <x:v>IR_Product__c, Item_Receipt__c</x:v>
      </x:c>
      <x:c r="G270" s="119" t="str">
        <x:v>Id, Item_Receipt__c, Sum_of_IR_Product_Total_Cost__c</x:v>
      </x:c>
      <x:c r="H270" s="119" t="str"/>
      <x:c r="I270" s="119" t="str"/>
      <x:c r="J270" s="119" t="str"/>
      <x:c r="K270" s="118" t="n">
        <x:v>9</x:v>
      </x:c>
      <x:c r="L270" s="118" t="n">
        <x:v>0</x:v>
      </x:c>
      <x:c r="M270" s="118" t="n">
        <x:v>0</x:v>
      </x:c>
      <x:c r="N270" s="118" t="n">
        <x:v>0</x:v>
      </x:c>
      <x:c r="O270" s="118" t="n">
        <x:v>0</x:v>
      </x:c>
      <x:c r="P270" s="118" t="n">
        <x:v>0</x:v>
      </x:c>
      <x:c r="Q270" s="118" t="n">
        <x:v>2</x:v>
      </x:c>
      <x:c r="R270" s="118" t="n">
        <x:v>0</x:v>
      </x:c>
      <x:c r="S270" s="118" t="n">
        <x:v>0</x:v>
      </x:c>
      <x:c r="T270" s="118" t="n">
        <x:v>0</x:v>
      </x:c>
      <x:c r="U270" s="118" t="n">
        <x:v>0</x:v>
      </x:c>
      <x:c r="V270" s="118" t="n">
        <x:v>2</x:v>
      </x:c>
      <x:c r="W270" s="118" t="n">
        <x:v>0</x:v>
      </x:c>
      <x:c r="X270" s="118" t="n">
        <x:v>2</x:v>
      </x:c>
      <x:c r="Y270" s="118" t="n">
        <x:v>0</x:v>
      </x:c>
      <x:c r="Z270" s="118" t="n">
        <x:v>0</x:v>
      </x:c>
      <x:c r="AA270" s="118" t="n">
        <x:v>0</x:v>
      </x:c>
      <x:c r="AB270" s="118" t="n">
        <x:v>2</x:v>
      </x:c>
      <x:c r="AC270" s="118" t="n">
        <x:v>0</x:v>
      </x:c>
    </x:row>
    <x:row r="271" ht="46" customHeight="1">
      <x:c r="A271" s="117" t="str">
        <x:v>300Ro00000zKaXIIA0</x:v>
      </x:c>
      <x:c r="B271" s="117" t="str">
        <x:v>IR_Product_on_update_Total_IR_Product_Cost_Roll_Up</x:v>
      </x:c>
      <x:c r="C271" s="117" t="str">
        <x:v>Yes</x:v>
      </x:c>
      <x:c r="D271" s="119" t="str">
        <x:v>Active v1 (Retrieved XML)</x:v>
      </x:c>
      <x:c r="E271" s="119" t="str">
        <x:v>Total_Cost__c IsChanged booleanValue=true | Item_Receipt__c IsChanged booleanValue=true | Item_Receipt__c IsNull booleanValue=false</x:v>
      </x:c>
      <x:c r="F271" s="119" t="str">
        <x:v>IR_Product__c, Item_Receipt__c</x:v>
      </x:c>
      <x:c r="G271" s="119" t="str">
        <x:v>Id, Item_Receipt__c, Sum_of_IR_Product_Total_Cost__c, Total_Cost__c</x:v>
      </x:c>
      <x:c r="H271" s="119" t="str"/>
      <x:c r="I271" s="119" t="str"/>
      <x:c r="J271" s="119" t="str"/>
      <x:c r="K271" s="118" t="n">
        <x:v>9</x:v>
      </x:c>
      <x:c r="L271" s="118" t="n">
        <x:v>0</x:v>
      </x:c>
      <x:c r="M271" s="118" t="n">
        <x:v>0</x:v>
      </x:c>
      <x:c r="N271" s="118" t="n">
        <x:v>0</x:v>
      </x:c>
      <x:c r="O271" s="118" t="n">
        <x:v>0</x:v>
      </x:c>
      <x:c r="P271" s="118" t="n">
        <x:v>0</x:v>
      </x:c>
      <x:c r="Q271" s="118" t="n">
        <x:v>2</x:v>
      </x:c>
      <x:c r="R271" s="118" t="n">
        <x:v>0</x:v>
      </x:c>
      <x:c r="S271" s="118" t="n">
        <x:v>0</x:v>
      </x:c>
      <x:c r="T271" s="118" t="n">
        <x:v>0</x:v>
      </x:c>
      <x:c r="U271" s="118" t="n">
        <x:v>0</x:v>
      </x:c>
      <x:c r="V271" s="118" t="n">
        <x:v>2</x:v>
      </x:c>
      <x:c r="W271" s="118" t="n">
        <x:v>0</x:v>
      </x:c>
      <x:c r="X271" s="118" t="n">
        <x:v>2</x:v>
      </x:c>
      <x:c r="Y271" s="118" t="n">
        <x:v>0</x:v>
      </x:c>
      <x:c r="Z271" s="118" t="n">
        <x:v>0</x:v>
      </x:c>
      <x:c r="AA271" s="118" t="n">
        <x:v>0</x:v>
      </x:c>
      <x:c r="AB271" s="118" t="n">
        <x:v>2</x:v>
      </x:c>
      <x:c r="AC271" s="118" t="n">
        <x:v>0</x:v>
      </x:c>
    </x:row>
    <x:row r="272" ht="46" customHeight="1">
      <x:c r="A272" s="117" t="str">
        <x:v>300Ro00000NXcinIAD</x:v>
      </x:c>
      <x:c r="B272" s="117" t="str">
        <x:v>IR_Submit_to_Accounting</x:v>
      </x:c>
      <x:c r="C272" s="117" t="str">
        <x:v>Yes</x:v>
      </x:c>
      <x:c r="D272" s="119" t="str">
        <x:v>Active v5 (Retrieved XML)</x:v>
      </x:c>
      <x:c r="E272" s="119" t="str"/>
      <x:c r="F272" s="119" t="str">
        <x:v>Item_Receipt__c</x:v>
      </x:c>
      <x:c r="G272" s="119" t="str">
        <x:v>Id, Intacct_Receipt_Sync_Status__c, Item_Receipt_Submission_Date__c</x:v>
      </x:c>
      <x:c r="H272" s="119" t="str"/>
      <x:c r="I272" s="119" t="str"/>
      <x:c r="J272" s="119" t="str"/>
      <x:c r="K272" s="118" t="n">
        <x:v>2</x:v>
      </x:c>
      <x:c r="L272" s="118" t="n">
        <x:v>0</x:v>
      </x:c>
      <x:c r="M272" s="118" t="n">
        <x:v>0</x:v>
      </x:c>
      <x:c r="N272" s="118" t="n">
        <x:v>0</x:v>
      </x:c>
      <x:c r="O272" s="118" t="n">
        <x:v>0</x:v>
      </x:c>
      <x:c r="P272" s="118" t="n">
        <x:v>0</x:v>
      </x:c>
      <x:c r="Q272" s="118" t="n">
        <x:v>0</x:v>
      </x:c>
      <x:c r="R272" s="118" t="n">
        <x:v>0</x:v>
      </x:c>
      <x:c r="S272" s="118" t="n">
        <x:v>0</x:v>
      </x:c>
      <x:c r="T272" s="118" t="n">
        <x:v>0</x:v>
      </x:c>
      <x:c r="U272" s="118" t="n">
        <x:v>0</x:v>
      </x:c>
      <x:c r="V272" s="118" t="n">
        <x:v>0</x:v>
      </x:c>
      <x:c r="W272" s="118" t="n">
        <x:v>0</x:v>
      </x:c>
      <x:c r="X272" s="118" t="n">
        <x:v>1</x:v>
      </x:c>
      <x:c r="Y272" s="118" t="n">
        <x:v>0</x:v>
      </x:c>
      <x:c r="Z272" s="118" t="n">
        <x:v>0</x:v>
      </x:c>
      <x:c r="AA272" s="118" t="n">
        <x:v>0</x:v>
      </x:c>
      <x:c r="AB272" s="118" t="n">
        <x:v>0</x:v>
      </x:c>
      <x:c r="AC272" s="118" t="n">
        <x:v>0</x:v>
      </x:c>
    </x:row>
    <x:row r="273" ht="46" customHeight="1">
      <x:c r="A273" s="117" t="str">
        <x:v>300Ro00000Pz0knIAB</x:v>
      </x:c>
      <x:c r="B273" s="117" t="str">
        <x:v>Iradimed_Infusion_Pump_Checklist</x:v>
      </x:c>
      <x:c r="C273" s="117" t="str">
        <x:v>Yes</x:v>
      </x:c>
      <x:c r="D273" s="119" t="str">
        <x:v>Active v4 (Retrieved XML)</x:v>
      </x:c>
      <x:c r="E273" s="119" t="str"/>
      <x:c r="F273" s="119" t="str">
        <x:v>ServiceAppointment, WorkOrder</x:v>
      </x:c>
      <x:c r="G273" s="119" t="str">
        <x:v>Checklist_Output_Formatted_1__c, Checklist_Output_Formatted_2__c, Checklist_Output_Formatted_3__c, Checklist_Output_Formatted_4__c, Checklist_Output_Formatted_5__c, Checklist_Output_Formatted_6__c, Checklist_Output_Formatted__c, Id</x:v>
      </x:c>
      <x:c r="H273" s="119" t="str"/>
      <x:c r="I273" s="119" t="str"/>
      <x:c r="J273" s="119" t="str"/>
      <x:c r="K273" s="118" t="n">
        <x:v>16</x:v>
      </x:c>
      <x:c r="L273" s="118" t="n">
        <x:v>0</x:v>
      </x:c>
      <x:c r="M273" s="118" t="n">
        <x:v>0</x:v>
      </x:c>
      <x:c r="N273" s="118" t="n">
        <x:v>5</x:v>
      </x:c>
      <x:c r="O273" s="118" t="n">
        <x:v>0</x:v>
      </x:c>
      <x:c r="P273" s="118" t="n">
        <x:v>0</x:v>
      </x:c>
      <x:c r="Q273" s="118" t="n">
        <x:v>0</x:v>
      </x:c>
      <x:c r="R273" s="118" t="n">
        <x:v>0</x:v>
      </x:c>
      <x:c r="S273" s="118" t="n">
        <x:v>0</x:v>
      </x:c>
      <x:c r="T273" s="118" t="n">
        <x:v>0</x:v>
      </x:c>
      <x:c r="U273" s="118" t="n">
        <x:v>0</x:v>
      </x:c>
      <x:c r="V273" s="118" t="n">
        <x:v>1</x:v>
      </x:c>
      <x:c r="W273" s="118" t="n">
        <x:v>0</x:v>
      </x:c>
      <x:c r="X273" s="118" t="n">
        <x:v>4</x:v>
      </x:c>
      <x:c r="Y273" s="118" t="n">
        <x:v>5</x:v>
      </x:c>
      <x:c r="Z273" s="118" t="n">
        <x:v>0</x:v>
      </x:c>
      <x:c r="AA273" s="118" t="n">
        <x:v>0</x:v>
      </x:c>
      <x:c r="AB273" s="118" t="n">
        <x:v>0</x:v>
      </x:c>
      <x:c r="AC273" s="118" t="n">
        <x:v>0</x:v>
      </x:c>
    </x:row>
    <x:row r="274" ht="46" customHeight="1">
      <x:c r="A274" s="117" t="str">
        <x:v>300Ro00000Pz0koIAB</x:v>
      </x:c>
      <x:c r="B274" s="117" t="str">
        <x:v>Iradimed_Patient_Monitor_Checklist</x:v>
      </x:c>
      <x:c r="C274" s="117" t="str">
        <x:v>Yes</x:v>
      </x:c>
      <x:c r="D274" s="119" t="str">
        <x:v>Active v4 (Retrieved XML)</x:v>
      </x:c>
      <x:c r="E274" s="119" t="str"/>
      <x:c r="F274" s="119" t="str">
        <x:v>ServiceAppointment, WorkOrder</x:v>
      </x:c>
      <x:c r="G274" s="119" t="str">
        <x:v>Checklist_Output_Formatted_1__c, Checklist_Output_Formatted_2__c, Checklist_Output_Formatted_3__c, Checklist_Output_Formatted_4__c, Checklist_Output_Formatted_5__c, Checklist_Output_Formatted_6__c, Checklist_Output_Formatted__c, Id</x:v>
      </x:c>
      <x:c r="H274" s="119" t="str"/>
      <x:c r="I274" s="119" t="str"/>
      <x:c r="J274" s="119" t="str"/>
      <x:c r="K274" s="118" t="n">
        <x:v>16</x:v>
      </x:c>
      <x:c r="L274" s="118" t="n">
        <x:v>0</x:v>
      </x:c>
      <x:c r="M274" s="118" t="n">
        <x:v>0</x:v>
      </x:c>
      <x:c r="N274" s="118" t="n">
        <x:v>5</x:v>
      </x:c>
      <x:c r="O274" s="118" t="n">
        <x:v>0</x:v>
      </x:c>
      <x:c r="P274" s="118" t="n">
        <x:v>0</x:v>
      </x:c>
      <x:c r="Q274" s="118" t="n">
        <x:v>0</x:v>
      </x:c>
      <x:c r="R274" s="118" t="n">
        <x:v>0</x:v>
      </x:c>
      <x:c r="S274" s="118" t="n">
        <x:v>0</x:v>
      </x:c>
      <x:c r="T274" s="118" t="n">
        <x:v>0</x:v>
      </x:c>
      <x:c r="U274" s="118" t="n">
        <x:v>0</x:v>
      </x:c>
      <x:c r="V274" s="118" t="n">
        <x:v>1</x:v>
      </x:c>
      <x:c r="W274" s="118" t="n">
        <x:v>0</x:v>
      </x:c>
      <x:c r="X274" s="118" t="n">
        <x:v>4</x:v>
      </x:c>
      <x:c r="Y274" s="118" t="n">
        <x:v>5</x:v>
      </x:c>
      <x:c r="Z274" s="118" t="n">
        <x:v>0</x:v>
      </x:c>
      <x:c r="AA274" s="118" t="n">
        <x:v>0</x:v>
      </x:c>
      <x:c r="AB274" s="118" t="n">
        <x:v>0</x:v>
      </x:c>
      <x:c r="AC274" s="118" t="n">
        <x:v>0</x:v>
      </x:c>
    </x:row>
    <x:row r="275" ht="46" customHeight="1">
      <x:c r="A275" s="117" t="str">
        <x:v>3005b000000LI3kAAG</x:v>
      </x:c>
      <x:c r="B275" s="117" t="str">
        <x:v>Item_Receipt_Automations</x:v>
      </x:c>
      <x:c r="C275" s="117" t="str">
        <x:v>Yes</x:v>
      </x:c>
      <x:c r="D275" s="119" t="str">
        <x:v>Active v6 (Retrieved XML)</x:v>
      </x:c>
      <x:c r="E275" s="119" t="str">
        <x:v>Item_Receipt_Amount__c IsChanged booleanValue=true | Submit_to_Accounting__c IsChanged booleanValue=true | Submit_Item_Receipt__c IsChanged booleanValue=true | Non_Inventory_PO__c IsChanged booleanValue=true | Update_IR__c IsChanged booleanValue=true</x:v>
      </x:c>
      <x:c r="F275" s="119" t="str">
        <x:v>Item_Receipt__c, Opportunity, ProductItem__c</x:v>
      </x:c>
      <x:c r="G275" s="119" t="str">
        <x:v>Assets_on_IR__c, Id, Intacct_Receipt_Sync_Status__c, Item_Receipt_Amount__c, Item_Receipt__c, Non_Inventory_PO__c, Opportunity__c, Submit_Item_Receipt__c, Submit_to_Accounting__c, Update_IR__c</x:v>
      </x:c>
      <x:c r="H275" s="119" t="str"/>
      <x:c r="I275" s="119" t="str"/>
      <x:c r="J275" s="119" t="str"/>
      <x:c r="K275" s="118" t="n">
        <x:v>11</x:v>
      </x:c>
      <x:c r="L275" s="118" t="n">
        <x:v>0</x:v>
      </x:c>
      <x:c r="M275" s="118" t="n">
        <x:v>0</x:v>
      </x:c>
      <x:c r="N275" s="118" t="n">
        <x:v>2</x:v>
      </x:c>
      <x:c r="O275" s="118" t="n">
        <x:v>0</x:v>
      </x:c>
      <x:c r="P275" s="118" t="n">
        <x:v>0</x:v>
      </x:c>
      <x:c r="Q275" s="118" t="n">
        <x:v>1</x:v>
      </x:c>
      <x:c r="R275" s="118" t="n">
        <x:v>1</x:v>
      </x:c>
      <x:c r="S275" s="118" t="n">
        <x:v>0</x:v>
      </x:c>
      <x:c r="T275" s="118" t="n">
        <x:v>0</x:v>
      </x:c>
      <x:c r="U275" s="118" t="n">
        <x:v>0</x:v>
      </x:c>
      <x:c r="V275" s="118" t="n">
        <x:v>2</x:v>
      </x:c>
      <x:c r="W275" s="118" t="n">
        <x:v>0</x:v>
      </x:c>
      <x:c r="X275" s="118" t="n">
        <x:v>3</x:v>
      </x:c>
      <x:c r="Y275" s="118" t="n">
        <x:v>0</x:v>
      </x:c>
      <x:c r="Z275" s="118" t="n">
        <x:v>0</x:v>
      </x:c>
      <x:c r="AA275" s="118" t="n">
        <x:v>0</x:v>
      </x:c>
      <x:c r="AB275" s="118" t="n">
        <x:v>1</x:v>
      </x:c>
      <x:c r="AC275" s="118" t="n">
        <x:v>0</x:v>
      </x:c>
    </x:row>
    <x:row r="276" ht="46" customHeight="1">
      <x:c r="A276" s="117" t="str">
        <x:v>300Ro00000qq4bBIAQ</x:v>
      </x:c>
      <x:c r="B276" s="117" t="str">
        <x:v>Item_Receipt_Error_Email_to_Activate_Vendor_for_Item_Receipt</x:v>
      </x:c>
      <x:c r="C276" s="117" t="str">
        <x:v>Yes</x:v>
      </x:c>
      <x:c r="D276" s="119" t="str">
        <x:v>Active v3 (Retrieved XML)</x:v>
      </x:c>
      <x:c r="E276" s="119" t="str">
        <x:v>Intacct_Receipt_Timestamp__c GreaterThan dateTimeValue=2026-02-15T05:00:00.000Z | Intacct_Receipt_Sync_Status__c EqualTo stringValue=Error</x:v>
      </x:c>
      <x:c r="F276" s="119" t="str">
        <x:v>Item_Receipt__c</x:v>
      </x:c>
      <x:c r="G276" s="119" t="str">
        <x:v>Intacct_Receipt_Error_Message__c, Intacct_Receipt_Sync_Status__c, Intacct_Receipt_Timestamp__c, Name, Opportunity__r</x:v>
      </x:c>
      <x:c r="H276" s="119" t="str">
        <x:v>emailSimple</x:v>
      </x:c>
      <x:c r="I276" s="119" t="str"/>
      <x:c r="J276" s="119" t="str"/>
      <x:c r="K276" s="118" t="n">
        <x:v>3</x:v>
      </x:c>
      <x:c r="L276" s="118" t="n">
        <x:v>1</x:v>
      </x:c>
      <x:c r="M276" s="118" t="n">
        <x:v>0</x:v>
      </x:c>
      <x:c r="N276" s="118" t="n">
        <x:v>0</x:v>
      </x:c>
      <x:c r="O276" s="118" t="n">
        <x:v>0</x:v>
      </x:c>
      <x:c r="P276" s="118" t="n">
        <x:v>0</x:v>
      </x:c>
      <x:c r="Q276" s="118" t="n">
        <x:v>1</x:v>
      </x:c>
      <x:c r="R276" s="118" t="n">
        <x:v>0</x:v>
      </x:c>
      <x:c r="S276" s="118" t="n">
        <x:v>0</x:v>
      </x:c>
      <x:c r="T276" s="118" t="n">
        <x:v>0</x:v>
      </x:c>
      <x:c r="U276" s="118" t="n">
        <x:v>0</x:v>
      </x:c>
      <x:c r="V276" s="118" t="n">
        <x:v>0</x:v>
      </x:c>
      <x:c r="W276" s="118" t="n">
        <x:v>0</x:v>
      </x:c>
      <x:c r="X276" s="118" t="n">
        <x:v>0</x:v>
      </x:c>
      <x:c r="Y276" s="118" t="n">
        <x:v>0</x:v>
      </x:c>
      <x:c r="Z276" s="118" t="n">
        <x:v>0</x:v>
      </x:c>
      <x:c r="AA276" s="118" t="n">
        <x:v>0</x:v>
      </x:c>
      <x:c r="AB276" s="118" t="n">
        <x:v>0</x:v>
      </x:c>
      <x:c r="AC276" s="118" t="n">
        <x:v>0</x:v>
      </x:c>
    </x:row>
    <x:row r="277" ht="46" customHeight="1">
      <x:c r="A277" s="117" t="str">
        <x:v>300Ro00000gqYztIAE</x:v>
      </x:c>
      <x:c r="B277" s="117" t="str">
        <x:v>Item_Receipt_Run_Trigger_Update_if_needed_for_Sync</x:v>
      </x:c>
      <x:c r="C277" s="117" t="str">
        <x:v>Yes</x:v>
      </x:c>
      <x:c r="D277" s="119" t="str">
        <x:v>Active v8 (Retrieved XML)</x:v>
      </x:c>
      <x:c r="E277" s="119" t="str">
        <x:v>Intacct_Receipt_Sync_Status__c EqualTo stringValue=Error | Intacct_Receipt_Timestamp__c GreaterThan dateTimeValue=2025-09-25T04:00:00.000Z</x:v>
      </x:c>
      <x:c r="F277" s="119" t="str">
        <x:v>IR_Product__c, Item_Receipt__c</x:v>
      </x:c>
      <x:c r="G277" s="119" t="str">
        <x:v>Id, Intacct_Receipt_Error_Message__c, Intacct_Receipt_Sync_Status__c, Intacct_Receipt_Timestamp__c, Item_Receipt_Type__c, Item_Receipt__c, Name, Trigger_Update__c</x:v>
      </x:c>
      <x:c r="H277" s="119" t="str">
        <x:v>emailSimple</x:v>
      </x:c>
      <x:c r="I277" s="119" t="str"/>
      <x:c r="J277" s="119" t="str"/>
      <x:c r="K277" s="118" t="n">
        <x:v>11</x:v>
      </x:c>
      <x:c r="L277" s="118" t="n">
        <x:v>1</x:v>
      </x:c>
      <x:c r="M277" s="118" t="n">
        <x:v>0</x:v>
      </x:c>
      <x:c r="N277" s="118" t="n">
        <x:v>1</x:v>
      </x:c>
      <x:c r="O277" s="118" t="n">
        <x:v>0</x:v>
      </x:c>
      <x:c r="P277" s="118" t="n">
        <x:v>0</x:v>
      </x:c>
      <x:c r="Q277" s="118" t="n">
        <x:v>4</x:v>
      </x:c>
      <x:c r="R277" s="118" t="n">
        <x:v>1</x:v>
      </x:c>
      <x:c r="S277" s="118" t="n">
        <x:v>0</x:v>
      </x:c>
      <x:c r="T277" s="118" t="n">
        <x:v>0</x:v>
      </x:c>
      <x:c r="U277" s="118" t="n">
        <x:v>0</x:v>
      </x:c>
      <x:c r="V277" s="118" t="n">
        <x:v>1</x:v>
      </x:c>
      <x:c r="W277" s="118" t="n">
        <x:v>0</x:v>
      </x:c>
      <x:c r="X277" s="118" t="n">
        <x:v>2</x:v>
      </x:c>
      <x:c r="Y277" s="118" t="n">
        <x:v>0</x:v>
      </x:c>
      <x:c r="Z277" s="118" t="n">
        <x:v>0</x:v>
      </x:c>
      <x:c r="AA277" s="118" t="n">
        <x:v>0</x:v>
      </x:c>
      <x:c r="AB277" s="118" t="n">
        <x:v>0</x:v>
      </x:c>
      <x:c r="AC277" s="118" t="n">
        <x:v>0</x:v>
      </x:c>
    </x:row>
    <x:row r="278" ht="46" customHeight="1">
      <x:c r="A278" s="117" t="str">
        <x:v>3005b000000PzvpAAC</x:v>
      </x:c>
      <x:c r="B278" s="117" t="str">
        <x:v>KloudGin_Case_Created_Email_Notification</x:v>
      </x:c>
      <x:c r="C278" s="117" t="str">
        <x:v>Yes</x:v>
      </x:c>
      <x:c r="D278" s="119" t="str">
        <x:v>Active v28 (Retrieved XML)</x:v>
      </x:c>
      <x:c r="E278" s="119" t="str">
        <x:v>RecordTypeId EqualTo stringValue=0125b000000nES7AAM | CreatedById EqualTo stringValue=0055b00000QJQAvAAP</x:v>
      </x:c>
      <x:c r="F278" s="119" t="str">
        <x:v>Account, Case</x:v>
      </x:c>
      <x:c r="G278" s="119" t="str">
        <x:v>Account__c, Billable_Contract_Warranty__c, CaseNumber, Case_Info__c, CreatedById, Description, Id, KG_Account_Name__c, KG_Case_Number__c, KG_Customer_Site_Address__c, KG_Customer_Site_Name__c, Name, Origin, OwnerId, RecordTypeId, Requested_Part_Number_s__c, Shipping_Location__c, Subject, System_Serial_Number__c, Territory_Manager_Email__c, Territory_Manager__c, Tracking_Number__c</x:v>
      </x:c>
      <x:c r="H278" s="119" t="str">
        <x:v>emailSimple, high_priority_case</x:v>
      </x:c>
      <x:c r="I278" s="119" t="str"/>
      <x:c r="J278" s="119" t="str"/>
      <x:c r="K278" s="118" t="n">
        <x:v>24</x:v>
      </x:c>
      <x:c r="L278" s="118" t="n">
        <x:v>3</x:v>
      </x:c>
      <x:c r="M278" s="118" t="n">
        <x:v>0</x:v>
      </x:c>
      <x:c r="N278" s="118" t="n">
        <x:v>8</x:v>
      </x:c>
      <x:c r="O278" s="118" t="n">
        <x:v>0</x:v>
      </x:c>
      <x:c r="P278" s="118" t="n">
        <x:v>0</x:v>
      </x:c>
      <x:c r="Q278" s="118" t="n">
        <x:v>3</x:v>
      </x:c>
      <x:c r="R278" s="118" t="n">
        <x:v>0</x:v>
      </x:c>
      <x:c r="S278" s="118" t="n">
        <x:v>0</x:v>
      </x:c>
      <x:c r="T278" s="118" t="n">
        <x:v>0</x:v>
      </x:c>
      <x:c r="U278" s="118" t="n">
        <x:v>0</x:v>
      </x:c>
      <x:c r="V278" s="118" t="n">
        <x:v>1</x:v>
      </x:c>
      <x:c r="W278" s="118" t="n">
        <x:v>0</x:v>
      </x:c>
      <x:c r="X278" s="118" t="n">
        <x:v>8</x:v>
      </x:c>
      <x:c r="Y278" s="118" t="n">
        <x:v>0</x:v>
      </x:c>
      <x:c r="Z278" s="118" t="n">
        <x:v>0</x:v>
      </x:c>
      <x:c r="AA278" s="118" t="n">
        <x:v>0</x:v>
      </x:c>
      <x:c r="AB278" s="118" t="n">
        <x:v>0</x:v>
      </x:c>
      <x:c r="AC278" s="118" t="n">
        <x:v>0</x:v>
      </x:c>
    </x:row>
    <x:row r="279" ht="46" customHeight="1">
      <x:c r="A279" s="117" t="str">
        <x:v>3004O000000LOsdQAG</x:v>
      </x:c>
      <x:c r="B279" s="117" t="str">
        <x:v>Launch_Calculate_Tax_on_Closed_Won</x:v>
      </x:c>
      <x:c r="C279" s="117" t="str">
        <x:v>No</x:v>
      </x:c>
      <x:c r="D279" s="119" t="str">
        <x:v>Latest inactive v1 (Retrieved XML)</x:v>
      </x:c>
      <x:c r="E279" s="119" t="str"/>
      <x:c r="F279" s="119" t="str">
        <x:v>Opportunity</x:v>
      </x:c>
      <x:c r="G279" s="119" t="str"/>
      <x:c r="H279" s="119" t="str"/>
      <x:c r="I279" s="119" t="str"/>
      <x:c r="J279" s="119" t="str"/>
      <x:c r="K279" s="118" t="n">
        <x:v>1</x:v>
      </x:c>
      <x:c r="L279" s="118" t="n">
        <x:v>0</x:v>
      </x:c>
      <x:c r="M279" s="118" t="n">
        <x:v>0</x:v>
      </x:c>
      <x:c r="N279" s="118" t="n">
        <x:v>0</x:v>
      </x:c>
      <x:c r="O279" s="118" t="n">
        <x:v>0</x:v>
      </x:c>
      <x:c r="P279" s="118" t="n">
        <x:v>0</x:v>
      </x:c>
      <x:c r="Q279" s="118" t="n">
        <x:v>1</x:v>
      </x:c>
      <x:c r="R279" s="118" t="n">
        <x:v>0</x:v>
      </x:c>
      <x:c r="S279" s="118" t="n">
        <x:v>0</x:v>
      </x:c>
      <x:c r="T279" s="118" t="n">
        <x:v>0</x:v>
      </x:c>
      <x:c r="U279" s="118" t="n">
        <x:v>0</x:v>
      </x:c>
      <x:c r="V279" s="118" t="n">
        <x:v>0</x:v>
      </x:c>
      <x:c r="W279" s="118" t="n">
        <x:v>0</x:v>
      </x:c>
      <x:c r="X279" s="118" t="n">
        <x:v>0</x:v>
      </x:c>
      <x:c r="Y279" s="118" t="n">
        <x:v>0</x:v>
      </x:c>
      <x:c r="Z279" s="118" t="n">
        <x:v>0</x:v>
      </x:c>
      <x:c r="AA279" s="118" t="n">
        <x:v>0</x:v>
      </x:c>
      <x:c r="AB279" s="118" t="n">
        <x:v>0</x:v>
      </x:c>
      <x:c r="AC279" s="118" t="n">
        <x:v>0</x:v>
      </x:c>
    </x:row>
    <x:row r="280" ht="46" customHeight="1">
      <x:c r="A280" s="117" t="str">
        <x:v>3005b000000LGhEAAW</x:v>
      </x:c>
      <x:c r="B280" s="117" t="str">
        <x:v>Lead_Assignment_Flow</x:v>
      </x:c>
      <x:c r="C280" s="117" t="str">
        <x:v>No</x:v>
      </x:c>
      <x:c r="D280" s="119" t="str">
        <x:v>Latest inactive v38 (Retrieved XML)</x:v>
      </x:c>
      <x:c r="E280" s="119" t="str"/>
      <x:c r="F280" s="119" t="str">
        <x:v>Lead, User</x:v>
      </x:c>
      <x:c r="G280" s="119" t="str">
        <x:v>Address, Business_Unit__c, Company, Country, Country_Field__c, CreatedBy, Created_by_EU_UK__c, CurrencyIsoCode, Email, Id, International_Lead_Assigned_Date_Time__c, LeadSource, Lead_Source_Detail__c, Leads_Queue_ID__c, Midwest_Last_Lead_Assigned__c, Midwest_Leads__c, Northeast_Last_Lead_Assigned__c, Northeast_Leads__c, Other_Last_Lead_Assigned__c, Other_Leads__c, Owned_by_Queue__c, OwnerId, Probe_Lead_Last_Assigned_Date_Time__c, Product_Type__c, RecordTypeId, Southeast_Last_Lead_Assigned__c, Southeast_Leads__c, Southwest_Last_Lead_Assigned__c, Southwest_Leads__c, Status, Tags__c, Territory__c, West_Last_Lead_Assigned__c, West_Leads__c, is_ScanToSalesforce__c, pi__conversion_object_name__c, pi__first_touch_url__c</x:v>
      </x:c>
      <x:c r="H280" s="119" t="str">
        <x:v>Lead.New_Lead_Assigned</x:v>
      </x:c>
      <x:c r="I280" s="119" t="str"/>
      <x:c r="J280" s="119" t="str"/>
      <x:c r="K280" s="118" t="n">
        <x:v>45</x:v>
      </x:c>
      <x:c r="L280" s="118" t="n">
        <x:v>2</x:v>
      </x:c>
      <x:c r="M280" s="118" t="n">
        <x:v>0</x:v>
      </x:c>
      <x:c r="N280" s="118" t="n">
        <x:v>0</x:v>
      </x:c>
      <x:c r="O280" s="118" t="n">
        <x:v>0</x:v>
      </x:c>
      <x:c r="P280" s="118" t="n">
        <x:v>0</x:v>
      </x:c>
      <x:c r="Q280" s="118" t="n">
        <x:v>8</x:v>
      </x:c>
      <x:c r="R280" s="118" t="n">
        <x:v>0</x:v>
      </x:c>
      <x:c r="S280" s="118" t="n">
        <x:v>0</x:v>
      </x:c>
      <x:c r="T280" s="118" t="n">
        <x:v>0</x:v>
      </x:c>
      <x:c r="U280" s="118" t="n">
        <x:v>0</x:v>
      </x:c>
      <x:c r="V280" s="118" t="n">
        <x:v>8</x:v>
      </x:c>
      <x:c r="W280" s="118" t="n">
        <x:v>0</x:v>
      </x:c>
      <x:c r="X280" s="118" t="n">
        <x:v>26</x:v>
      </x:c>
      <x:c r="Y280" s="118" t="n">
        <x:v>0</x:v>
      </x:c>
      <x:c r="Z280" s="118" t="n">
        <x:v>0</x:v>
      </x:c>
      <x:c r="AA280" s="118" t="n">
        <x:v>0</x:v>
      </x:c>
      <x:c r="AB280" s="118" t="n">
        <x:v>0</x:v>
      </x:c>
      <x:c r="AC280" s="118" t="n">
        <x:v>0</x:v>
      </x:c>
    </x:row>
    <x:row r="281" ht="46" customHeight="1">
      <x:c r="A281" s="117" t="str">
        <x:v>300Ro00000BDLWYIA5</x:v>
      </x:c>
      <x:c r="B281" s="117" t="str">
        <x:v>Lead_Assignment_Flow_New_Simpler_Logic</x:v>
      </x:c>
      <x:c r="C281" s="117" t="str">
        <x:v>Yes</x:v>
      </x:c>
      <x:c r="D281" s="119" t="str">
        <x:v>Active v8 (Retrieved XML)</x:v>
      </x:c>
      <x:c r="E281" s="119" t="str"/>
      <x:c r="F281" s="119" t="str">
        <x:v>Lead, User</x:v>
      </x:c>
      <x:c r="G281" s="119" t="str">
        <x:v>Address, Business_Unit__c, Company, Country, Country_Field__c, CreatedBy, Created_by_EU_UK__c, CurrencyIsoCode, Customer_Persona_Marketing__c, Email, Id, Last_Endoscopy_Lead_Assigned__c, Last_Lead_Assigned__c, LeadSource, Lead_Source_Detail__c, Leads_Queue_ID__c, Owned_by_Queue__c, OwnerId, Probe_Lead_Last_Assigned_Date_Time__c, Product_Inquiry__c, Product_Type__c, RecordTypeId, Status, Tags__c, is_ScanToSalesforce__c, pi__conversion_object_name__c, pi__first_touch_url__c</x:v>
      </x:c>
      <x:c r="H281" s="119" t="str">
        <x:v>Lead.New_Lead_Assigned</x:v>
      </x:c>
      <x:c r="I281" s="119" t="str"/>
      <x:c r="J281" s="119" t="str"/>
      <x:c r="K281" s="118" t="n">
        <x:v>30</x:v>
      </x:c>
      <x:c r="L281" s="118" t="n">
        <x:v>2</x:v>
      </x:c>
      <x:c r="M281" s="118" t="n">
        <x:v>0</x:v>
      </x:c>
      <x:c r="N281" s="118" t="n">
        <x:v>0</x:v>
      </x:c>
      <x:c r="O281" s="118" t="n">
        <x:v>0</x:v>
      </x:c>
      <x:c r="P281" s="118" t="n">
        <x:v>0</x:v>
      </x:c>
      <x:c r="Q281" s="118" t="n">
        <x:v>6</x:v>
      </x:c>
      <x:c r="R281" s="118" t="n">
        <x:v>0</x:v>
      </x:c>
      <x:c r="S281" s="118" t="n">
        <x:v>0</x:v>
      </x:c>
      <x:c r="T281" s="118" t="n">
        <x:v>0</x:v>
      </x:c>
      <x:c r="U281" s="118" t="n">
        <x:v>0</x:v>
      </x:c>
      <x:c r="V281" s="118" t="n">
        <x:v>3</x:v>
      </x:c>
      <x:c r="W281" s="118" t="n">
        <x:v>0</x:v>
      </x:c>
      <x:c r="X281" s="118" t="n">
        <x:v>18</x:v>
      </x:c>
      <x:c r="Y281" s="118" t="n">
        <x:v>0</x:v>
      </x:c>
      <x:c r="Z281" s="118" t="n">
        <x:v>0</x:v>
      </x:c>
      <x:c r="AA281" s="118" t="n">
        <x:v>0</x:v>
      </x:c>
      <x:c r="AB281" s="118" t="n">
        <x:v>0</x:v>
      </x:c>
      <x:c r="AC281" s="118" t="n">
        <x:v>0</x:v>
      </x:c>
    </x:row>
    <x:row r="282" ht="46" customHeight="1">
      <x:c r="A282" s="117" t="str">
        <x:v>3004O000000Tia8QAC</x:v>
      </x:c>
      <x:c r="B282" s="117" t="str">
        <x:v>Lead_Check_for_existing</x:v>
      </x:c>
      <x:c r="C282" s="117" t="str">
        <x:v>Yes</x:v>
      </x:c>
      <x:c r="D282" s="119" t="str">
        <x:v>Active v1 (Retrieved XML)</x:v>
      </x:c>
      <x:c r="E282" s="119" t="str"/>
      <x:c r="F282" s="119" t="str">
        <x:v>Lead</x:v>
      </x:c>
      <x:c r="G282" s="119" t="str"/>
      <x:c r="H282" s="119" t="str">
        <x:v>Lead_Check_for_existing_Account_Account_Name, Lead_Check_for_existing_contact_Email, Lead_Check_for_existing_contact_Phone</x:v>
      </x:c>
      <x:c r="I282" s="119" t="str"/>
      <x:c r="J282" s="119" t="str"/>
      <x:c r="K282" s="118" t="n">
        <x:v>6</x:v>
      </x:c>
      <x:c r="L282" s="118" t="n">
        <x:v>3</x:v>
      </x:c>
      <x:c r="M282" s="118" t="n">
        <x:v>0</x:v>
      </x:c>
      <x:c r="N282" s="118" t="n">
        <x:v>0</x:v>
      </x:c>
      <x:c r="O282" s="118" t="n">
        <x:v>0</x:v>
      </x:c>
      <x:c r="P282" s="118" t="n">
        <x:v>0</x:v>
      </x:c>
      <x:c r="Q282" s="118" t="n">
        <x:v>3</x:v>
      </x:c>
      <x:c r="R282" s="118" t="n">
        <x:v>0</x:v>
      </x:c>
      <x:c r="S282" s="118" t="n">
        <x:v>0</x:v>
      </x:c>
      <x:c r="T282" s="118" t="n">
        <x:v>0</x:v>
      </x:c>
      <x:c r="U282" s="118" t="n">
        <x:v>0</x:v>
      </x:c>
      <x:c r="V282" s="118" t="n">
        <x:v>0</x:v>
      </x:c>
      <x:c r="W282" s="118" t="n">
        <x:v>0</x:v>
      </x:c>
      <x:c r="X282" s="118" t="n">
        <x:v>0</x:v>
      </x:c>
      <x:c r="Y282" s="118" t="n">
        <x:v>0</x:v>
      </x:c>
      <x:c r="Z282" s="118" t="n">
        <x:v>0</x:v>
      </x:c>
      <x:c r="AA282" s="118" t="n">
        <x:v>0</x:v>
      </x:c>
      <x:c r="AB282" s="118" t="n">
        <x:v>0</x:v>
      </x:c>
      <x:c r="AC282" s="118" t="n">
        <x:v>0</x:v>
      </x:c>
    </x:row>
    <x:row r="283" ht="46" customHeight="1">
      <x:c r="A283" s="117" t="str">
        <x:v>3004O000000Tia9QAC</x:v>
      </x:c>
      <x:c r="B283" s="117" t="str">
        <x:v>Lead_Check_for_existing_Account_Account_Name</x:v>
      </x:c>
      <x:c r="C283" s="117" t="str">
        <x:v>Yes</x:v>
      </x:c>
      <x:c r="D283" s="119" t="str">
        <x:v>Active v2 (Retrieved XML)</x:v>
      </x:c>
      <x:c r="E283" s="119" t="str"/>
      <x:c r="F283" s="119" t="str">
        <x:v>Account, Lead</x:v>
      </x:c>
      <x:c r="G283" s="119" t="str">
        <x:v>Id, Name</x:v>
      </x:c>
      <x:c r="H283" s="119" t="str"/>
      <x:c r="I283" s="119" t="str"/>
      <x:c r="J283" s="119" t="str"/>
      <x:c r="K283" s="118" t="n">
        <x:v>5</x:v>
      </x:c>
      <x:c r="L283" s="118" t="n">
        <x:v>0</x:v>
      </x:c>
      <x:c r="M283" s="118" t="n">
        <x:v>0</x:v>
      </x:c>
      <x:c r="N283" s="118" t="n">
        <x:v>1</x:v>
      </x:c>
      <x:c r="O283" s="118" t="n">
        <x:v>0</x:v>
      </x:c>
      <x:c r="P283" s="118" t="n">
        <x:v>0</x:v>
      </x:c>
      <x:c r="Q283" s="118" t="n">
        <x:v>1</x:v>
      </x:c>
      <x:c r="R283" s="118" t="n">
        <x:v>0</x:v>
      </x:c>
      <x:c r="S283" s="118" t="n">
        <x:v>0</x:v>
      </x:c>
      <x:c r="T283" s="118" t="n">
        <x:v>0</x:v>
      </x:c>
      <x:c r="U283" s="118" t="n">
        <x:v>0</x:v>
      </x:c>
      <x:c r="V283" s="118" t="n">
        <x:v>1</x:v>
      </x:c>
      <x:c r="W283" s="118" t="n">
        <x:v>0</x:v>
      </x:c>
      <x:c r="X283" s="118" t="n">
        <x:v>1</x:v>
      </x:c>
      <x:c r="Y283" s="118" t="n">
        <x:v>0</x:v>
      </x:c>
      <x:c r="Z283" s="118" t="n">
        <x:v>0</x:v>
      </x:c>
      <x:c r="AA283" s="118" t="n">
        <x:v>0</x:v>
      </x:c>
      <x:c r="AB283" s="118" t="n">
        <x:v>0</x:v>
      </x:c>
      <x:c r="AC283" s="118" t="n">
        <x:v>0</x:v>
      </x:c>
    </x:row>
    <x:row r="284" ht="46" customHeight="1">
      <x:c r="A284" s="117" t="str">
        <x:v>3004O000000TiaAQAS</x:v>
      </x:c>
      <x:c r="B284" s="117" t="str">
        <x:v>Lead_Check_for_existing_contact_Email</x:v>
      </x:c>
      <x:c r="C284" s="117" t="str">
        <x:v>Yes</x:v>
      </x:c>
      <x:c r="D284" s="119" t="str">
        <x:v>Active v3 (Retrieved XML)</x:v>
      </x:c>
      <x:c r="E284" s="119" t="str"/>
      <x:c r="F284" s="119" t="str">
        <x:v>Contact, Lead</x:v>
      </x:c>
      <x:c r="G284" s="119" t="str">
        <x:v>Email, Id</x:v>
      </x:c>
      <x:c r="H284" s="119" t="str"/>
      <x:c r="I284" s="119" t="str">
        <x:v>Lead_Check_for_existing_Account_Account_Name, Lead_Check_for_existing_contact_Phone</x:v>
      </x:c>
      <x:c r="J284" s="119" t="str"/>
      <x:c r="K284" s="118" t="n">
        <x:v>9</x:v>
      </x:c>
      <x:c r="L284" s="118" t="n">
        <x:v>0</x:v>
      </x:c>
      <x:c r="M284" s="118" t="n">
        <x:v>0</x:v>
      </x:c>
      <x:c r="N284" s="118" t="n">
        <x:v>1</x:v>
      </x:c>
      <x:c r="O284" s="118" t="n">
        <x:v>0</x:v>
      </x:c>
      <x:c r="P284" s="118" t="n">
        <x:v>0</x:v>
      </x:c>
      <x:c r="Q284" s="118" t="n">
        <x:v>3</x:v>
      </x:c>
      <x:c r="R284" s="118" t="n">
        <x:v>0</x:v>
      </x:c>
      <x:c r="S284" s="118" t="n">
        <x:v>0</x:v>
      </x:c>
      <x:c r="T284" s="118" t="n">
        <x:v>0</x:v>
      </x:c>
      <x:c r="U284" s="118" t="n">
        <x:v>0</x:v>
      </x:c>
      <x:c r="V284" s="118" t="n">
        <x:v>1</x:v>
      </x:c>
      <x:c r="W284" s="118" t="n">
        <x:v>0</x:v>
      </x:c>
      <x:c r="X284" s="118" t="n">
        <x:v>1</x:v>
      </x:c>
      <x:c r="Y284" s="118" t="n">
        <x:v>0</x:v>
      </x:c>
      <x:c r="Z284" s="118" t="n">
        <x:v>0</x:v>
      </x:c>
      <x:c r="AA284" s="118" t="n">
        <x:v>2</x:v>
      </x:c>
      <x:c r="AB284" s="118" t="n">
        <x:v>0</x:v>
      </x:c>
      <x:c r="AC284" s="118" t="n">
        <x:v>0</x:v>
      </x:c>
    </x:row>
    <x:row r="285" ht="46" customHeight="1">
      <x:c r="A285" s="117" t="str">
        <x:v>3004O000000TiaBQAS</x:v>
      </x:c>
      <x:c r="B285" s="117" t="str">
        <x:v>Lead_Check_for_existing_contact_Phone</x:v>
      </x:c>
      <x:c r="C285" s="117" t="str">
        <x:v>Yes</x:v>
      </x:c>
      <x:c r="D285" s="119" t="str">
        <x:v>Active v3 (Retrieved XML)</x:v>
      </x:c>
      <x:c r="E285" s="119" t="str"/>
      <x:c r="F285" s="119" t="str">
        <x:v>Contact, Lead</x:v>
      </x:c>
      <x:c r="G285" s="119" t="str">
        <x:v>Id, Phone</x:v>
      </x:c>
      <x:c r="H285" s="119" t="str"/>
      <x:c r="I285" s="119" t="str">
        <x:v>Lead_Check_for_existing_Account_Account_Name</x:v>
      </x:c>
      <x:c r="J285" s="119" t="str"/>
      <x:c r="K285" s="118" t="n">
        <x:v>7</x:v>
      </x:c>
      <x:c r="L285" s="118" t="n">
        <x:v>0</x:v>
      </x:c>
      <x:c r="M285" s="118" t="n">
        <x:v>0</x:v>
      </x:c>
      <x:c r="N285" s="118" t="n">
        <x:v>1</x:v>
      </x:c>
      <x:c r="O285" s="118" t="n">
        <x:v>0</x:v>
      </x:c>
      <x:c r="P285" s="118" t="n">
        <x:v>0</x:v>
      </x:c>
      <x:c r="Q285" s="118" t="n">
        <x:v>2</x:v>
      </x:c>
      <x:c r="R285" s="118" t="n">
        <x:v>0</x:v>
      </x:c>
      <x:c r="S285" s="118" t="n">
        <x:v>0</x:v>
      </x:c>
      <x:c r="T285" s="118" t="n">
        <x:v>0</x:v>
      </x:c>
      <x:c r="U285" s="118" t="n">
        <x:v>0</x:v>
      </x:c>
      <x:c r="V285" s="118" t="n">
        <x:v>1</x:v>
      </x:c>
      <x:c r="W285" s="118" t="n">
        <x:v>0</x:v>
      </x:c>
      <x:c r="X285" s="118" t="n">
        <x:v>1</x:v>
      </x:c>
      <x:c r="Y285" s="118" t="n">
        <x:v>0</x:v>
      </x:c>
      <x:c r="Z285" s="118" t="n">
        <x:v>0</x:v>
      </x:c>
      <x:c r="AA285" s="118" t="n">
        <x:v>1</x:v>
      </x:c>
      <x:c r="AB285" s="118" t="n">
        <x:v>0</x:v>
      </x:c>
      <x:c r="AC285" s="118" t="n">
        <x:v>0</x:v>
      </x:c>
    </x:row>
    <x:row r="286" ht="46" customHeight="1">
      <x:c r="A286" s="117" t="str">
        <x:v>300Ro00000SJwEmIAL</x:v>
      </x:c>
      <x:c r="B286" s="117" t="str">
        <x:v>Lead_Gen_Lead_Notification_Flow</x:v>
      </x:c>
      <x:c r="C286" s="117" t="str">
        <x:v>Yes</x:v>
      </x:c>
      <x:c r="D286" s="119" t="str">
        <x:v>Active v4 (Retrieved XML)</x:v>
      </x:c>
      <x:c r="E286" s="119" t="str">
        <x:v>LeadSource EqualTo stringValue=Lead Gen Team | Created_by_EU_UK__c EqualTo booleanValue=false</x:v>
      </x:c>
      <x:c r="F286" s="119" t="str">
        <x:v>Lead</x:v>
      </x:c>
      <x:c r="G286" s="119" t="str">
        <x:v>Company, CreatedBy, Created_by_EU_UK__c, Description, Id, LeadSource, Lead_Number__c, Notes__c, Related_Account__r, pi__comments__c</x:v>
      </x:c>
      <x:c r="H286" s="119" t="str">
        <x:v>emailSimple</x:v>
      </x:c>
      <x:c r="I286" s="119" t="str"/>
      <x:c r="J286" s="119" t="str"/>
      <x:c r="K286" s="118" t="n">
        <x:v>2</x:v>
      </x:c>
      <x:c r="L286" s="118" t="n">
        <x:v>1</x:v>
      </x:c>
      <x:c r="M286" s="118" t="n">
        <x:v>0</x:v>
      </x:c>
      <x:c r="N286" s="118" t="n">
        <x:v>0</x:v>
      </x:c>
      <x:c r="O286" s="118" t="n">
        <x:v>0</x:v>
      </x:c>
      <x:c r="P286" s="118" t="n">
        <x:v>0</x:v>
      </x:c>
      <x:c r="Q286" s="118" t="n">
        <x:v>0</x:v>
      </x:c>
      <x:c r="R286" s="118" t="n">
        <x:v>0</x:v>
      </x:c>
      <x:c r="S286" s="118" t="n">
        <x:v>0</x:v>
      </x:c>
      <x:c r="T286" s="118" t="n">
        <x:v>0</x:v>
      </x:c>
      <x:c r="U286" s="118" t="n">
        <x:v>0</x:v>
      </x:c>
      <x:c r="V286" s="118" t="n">
        <x:v>0</x:v>
      </x:c>
      <x:c r="W286" s="118" t="n">
        <x:v>0</x:v>
      </x:c>
      <x:c r="X286" s="118" t="n">
        <x:v>0</x:v>
      </x:c>
      <x:c r="Y286" s="118" t="n">
        <x:v>0</x:v>
      </x:c>
      <x:c r="Z286" s="118" t="n">
        <x:v>0</x:v>
      </x:c>
      <x:c r="AA286" s="118" t="n">
        <x:v>0</x:v>
      </x:c>
      <x:c r="AB286" s="118" t="n">
        <x:v>0</x:v>
      </x:c>
      <x:c r="AC286" s="118" t="n">
        <x:v>0</x:v>
      </x:c>
    </x:row>
    <x:row r="287" ht="46" customHeight="1">
      <x:c r="A287" s="117" t="str">
        <x:v>300Ro00000qqeLIIAY</x:v>
      </x:c>
      <x:c r="B287" s="117" t="str">
        <x:v>Lead_Product_Type_Ultrasound_System_Rental</x:v>
      </x:c>
      <x:c r="C287" s="117" t="str">
        <x:v>Yes</x:v>
      </x:c>
      <x:c r="D287" s="119" t="str">
        <x:v>Active v2 (Retrieved XML)</x:v>
      </x:c>
      <x:c r="E287" s="119" t="str">
        <x:v>Product_Type__c EqualTo stringValue=Ultrasound System Rental</x:v>
      </x:c>
      <x:c r="F287" s="119" t="str">
        <x:v>Lead</x:v>
      </x:c>
      <x:c r="G287" s="119" t="str">
        <x:v>OwnerId, Product_Type__c</x:v>
      </x:c>
      <x:c r="H287" s="119" t="str"/>
      <x:c r="I287" s="119" t="str"/>
      <x:c r="J287" s="119" t="str"/>
      <x:c r="K287" s="118" t="n">
        <x:v>2</x:v>
      </x:c>
      <x:c r="L287" s="118" t="n">
        <x:v>0</x:v>
      </x:c>
      <x:c r="M287" s="118" t="n">
        <x:v>0</x:v>
      </x:c>
      <x:c r="N287" s="118" t="n">
        <x:v>0</x:v>
      </x:c>
      <x:c r="O287" s="118" t="n">
        <x:v>0</x:v>
      </x:c>
      <x:c r="P287" s="118" t="n">
        <x:v>0</x:v>
      </x:c>
      <x:c r="Q287" s="118" t="n">
        <x:v>0</x:v>
      </x:c>
      <x:c r="R287" s="118" t="n">
        <x:v>0</x:v>
      </x:c>
      <x:c r="S287" s="118" t="n">
        <x:v>0</x:v>
      </x:c>
      <x:c r="T287" s="118" t="n">
        <x:v>0</x:v>
      </x:c>
      <x:c r="U287" s="118" t="n">
        <x:v>0</x:v>
      </x:c>
      <x:c r="V287" s="118" t="n">
        <x:v>0</x:v>
      </x:c>
      <x:c r="W287" s="118" t="n">
        <x:v>0</x:v>
      </x:c>
      <x:c r="X287" s="118" t="n">
        <x:v>1</x:v>
      </x:c>
      <x:c r="Y287" s="118" t="n">
        <x:v>0</x:v>
      </x:c>
      <x:c r="Z287" s="118" t="n">
        <x:v>0</x:v>
      </x:c>
      <x:c r="AA287" s="118" t="n">
        <x:v>0</x:v>
      </x:c>
      <x:c r="AB287" s="118" t="n">
        <x:v>0</x:v>
      </x:c>
      <x:c r="AC287" s="118" t="n">
        <x:v>0</x:v>
      </x:c>
    </x:row>
    <x:row r="288" ht="46" customHeight="1">
      <x:c r="A288" s="117" t="str">
        <x:v>300Ro00000e6lWiIAI</x:v>
      </x:c>
      <x:c r="B288" s="117" t="str">
        <x:v>Lead_Trigger_Notify_Ultrasound_Team_Upon_Creation</x:v>
      </x:c>
      <x:c r="C288" s="117" t="str">
        <x:v>Yes</x:v>
      </x:c>
      <x:c r="D288" s="119" t="str">
        <x:v>Active v4 (Retrieved XML)</x:v>
      </x:c>
      <x:c r="E288" s="119" t="str">
        <x:v>RecordTypeId EqualTo stringValue=012Ro000004RBQ5IAO | Country EqualTo stringValue=United States | CountryCode EqualTo stringValue=US</x:v>
      </x:c>
      <x:c r="F288" s="119" t="str">
        <x:v>Lead, ServiceAppointment, WorkOrder</x:v>
      </x:c>
      <x:c r="G288" s="119" t="str">
        <x:v>Company, Country, CountryCode, Description, Email, FirstName, Id, LastName, Lead_Type__c, Lead__c, Need_Quote_By__c, PartNo__c, PartsorProbesNeeded__c, Phone, Product_Type__c, RecordTypeId, Related_Sales_Asset_Asset2__c, Work_Order__c</x:v>
      </x:c>
      <x:c r="H288" s="119" t="str">
        <x:v>emailSimple</x:v>
      </x:c>
      <x:c r="I288" s="119" t="str"/>
      <x:c r="J288" s="119" t="str"/>
      <x:c r="K288" s="118" t="n">
        <x:v>11</x:v>
      </x:c>
      <x:c r="L288" s="118" t="n">
        <x:v>5</x:v>
      </x:c>
      <x:c r="M288" s="118" t="n">
        <x:v>0</x:v>
      </x:c>
      <x:c r="N288" s="118" t="n">
        <x:v>0</x:v>
      </x:c>
      <x:c r="O288" s="118" t="n">
        <x:v>0</x:v>
      </x:c>
      <x:c r="P288" s="118" t="n">
        <x:v>0</x:v>
      </x:c>
      <x:c r="Q288" s="118" t="n">
        <x:v>3</x:v>
      </x:c>
      <x:c r="R288" s="118" t="n">
        <x:v>0</x:v>
      </x:c>
      <x:c r="S288" s="118" t="n">
        <x:v>0</x:v>
      </x:c>
      <x:c r="T288" s="118" t="n">
        <x:v>0</x:v>
      </x:c>
      <x:c r="U288" s="118" t="n">
        <x:v>0</x:v>
      </x:c>
      <x:c r="V288" s="118" t="n">
        <x:v>2</x:v>
      </x:c>
      <x:c r="W288" s="118" t="n">
        <x:v>0</x:v>
      </x:c>
      <x:c r="X288" s="118" t="n">
        <x:v>0</x:v>
      </x:c>
      <x:c r="Y288" s="118" t="n">
        <x:v>0</x:v>
      </x:c>
      <x:c r="Z288" s="118" t="n">
        <x:v>0</x:v>
      </x:c>
      <x:c r="AA288" s="118" t="n">
        <x:v>0</x:v>
      </x:c>
      <x:c r="AB288" s="118" t="n">
        <x:v>0</x:v>
      </x:c>
      <x:c r="AC288" s="118" t="n">
        <x:v>0</x:v>
      </x:c>
    </x:row>
    <x:row r="289" ht="46" customHeight="1">
      <x:c r="A289" s="117" t="str">
        <x:v>3005b000000LHS0AAO</x:v>
      </x:c>
      <x:c r="B289" s="117" t="str">
        <x:v>LeadStatusDateTrackers</x:v>
      </x:c>
      <x:c r="C289" s="117" t="str">
        <x:v>Yes</x:v>
      </x:c>
      <x:c r="D289" s="119" t="str">
        <x:v>Active v1 (Retrieved XML)</x:v>
      </x:c>
      <x:c r="E289" s="119" t="str">
        <x:v>Status IsChanged booleanValue=true</x:v>
      </x:c>
      <x:c r="F289" s="119" t="str">
        <x:v>Lead</x:v>
      </x:c>
      <x:c r="G289" s="119" t="str">
        <x:v>Date_Time_Entered_Contacted__c, Date_Time_Entered_Qualified_Unqualified__c, Status</x:v>
      </x:c>
      <x:c r="H289" s="119" t="str"/>
      <x:c r="I289" s="119" t="str"/>
      <x:c r="J289" s="119" t="str"/>
      <x:c r="K289" s="118" t="n">
        <x:v>4</x:v>
      </x:c>
      <x:c r="L289" s="118" t="n">
        <x:v>0</x:v>
      </x:c>
      <x:c r="M289" s="118" t="n">
        <x:v>0</x:v>
      </x:c>
      <x:c r="N289" s="118" t="n">
        <x:v>0</x:v>
      </x:c>
      <x:c r="O289" s="118" t="n">
        <x:v>0</x:v>
      </x:c>
      <x:c r="P289" s="118" t="n">
        <x:v>0</x:v>
      </x:c>
      <x:c r="Q289" s="118" t="n">
        <x:v>1</x:v>
      </x:c>
      <x:c r="R289" s="118" t="n">
        <x:v>0</x:v>
      </x:c>
      <x:c r="S289" s="118" t="n">
        <x:v>0</x:v>
      </x:c>
      <x:c r="T289" s="118" t="n">
        <x:v>0</x:v>
      </x:c>
      <x:c r="U289" s="118" t="n">
        <x:v>0</x:v>
      </x:c>
      <x:c r="V289" s="118" t="n">
        <x:v>0</x:v>
      </x:c>
      <x:c r="W289" s="118" t="n">
        <x:v>0</x:v>
      </x:c>
      <x:c r="X289" s="118" t="n">
        <x:v>2</x:v>
      </x:c>
      <x:c r="Y289" s="118" t="n">
        <x:v>0</x:v>
      </x:c>
      <x:c r="Z289" s="118" t="n">
        <x:v>0</x:v>
      </x:c>
      <x:c r="AA289" s="118" t="n">
        <x:v>0</x:v>
      </x:c>
      <x:c r="AB289" s="118" t="n">
        <x:v>0</x:v>
      </x:c>
      <x:c r="AC289" s="118" t="n">
        <x:v>0</x:v>
      </x:c>
    </x:row>
    <x:row r="290" ht="46" customHeight="1">
      <x:c r="A290" s="117" t="str">
        <x:v>300Ro00000zJbteIAC</x:v>
      </x:c>
      <x:c r="B290" s="117" t="str">
        <x:v>Loaner_Asset_Asynchronous_on_create_Loaner_Asset_Roll_Up</x:v>
      </x:c>
      <x:c r="C290" s="117" t="str">
        <x:v>Yes</x:v>
      </x:c>
      <x:c r="D290" s="119" t="str">
        <x:v>Active v2 (Retrieved XML)</x:v>
      </x:c>
      <x:c r="E290" s="119" t="str">
        <x:v>Loaner__c IsNull booleanValue=false</x:v>
      </x:c>
      <x:c r="F290" s="119" t="str">
        <x:v>Loaner_Asset__c, Loaner__c</x:v>
      </x:c>
      <x:c r="G290" s="119" t="str">
        <x:v>Id, Loaner_Asset__c, Loaner__c</x:v>
      </x:c>
      <x:c r="H290" s="119" t="str"/>
      <x:c r="I290" s="119" t="str"/>
      <x:c r="J290" s="119" t="str"/>
      <x:c r="K290" s="118" t="n">
        <x:v>7</x:v>
      </x:c>
      <x:c r="L290" s="118" t="n">
        <x:v>0</x:v>
      </x:c>
      <x:c r="M290" s="118" t="n">
        <x:v>0</x:v>
      </x:c>
      <x:c r="N290" s="118" t="n">
        <x:v>1</x:v>
      </x:c>
      <x:c r="O290" s="118" t="n">
        <x:v>0</x:v>
      </x:c>
      <x:c r="P290" s="118" t="n">
        <x:v>0</x:v>
      </x:c>
      <x:c r="Q290" s="118" t="n">
        <x:v>2</x:v>
      </x:c>
      <x:c r="R290" s="118" t="n">
        <x:v>1</x:v>
      </x:c>
      <x:c r="S290" s="118" t="n">
        <x:v>0</x:v>
      </x:c>
      <x:c r="T290" s="118" t="n">
        <x:v>0</x:v>
      </x:c>
      <x:c r="U290" s="118" t="n">
        <x:v>0</x:v>
      </x:c>
      <x:c r="V290" s="118" t="n">
        <x:v>1</x:v>
      </x:c>
      <x:c r="W290" s="118" t="n">
        <x:v>0</x:v>
      </x:c>
      <x:c r="X290" s="118" t="n">
        <x:v>1</x:v>
      </x:c>
      <x:c r="Y290" s="118" t="n">
        <x:v>0</x:v>
      </x:c>
      <x:c r="Z290" s="118" t="n">
        <x:v>0</x:v>
      </x:c>
      <x:c r="AA290" s="118" t="n">
        <x:v>0</x:v>
      </x:c>
      <x:c r="AB290" s="118" t="n">
        <x:v>0</x:v>
      </x:c>
      <x:c r="AC290" s="118" t="n">
        <x:v>0</x:v>
      </x:c>
    </x:row>
    <x:row r="291" ht="46" customHeight="1">
      <x:c r="A291" s="117" t="str">
        <x:v>300Ro00000zEfplIAC</x:v>
      </x:c>
      <x:c r="B291" s="117" t="str">
        <x:v>Loaner_Asset_Asynchronous_on_create_Loaner_Location_Roll_Up</x:v>
      </x:c>
      <x:c r="C291" s="117" t="str">
        <x:v>Yes</x:v>
      </x:c>
      <x:c r="D291" s="119" t="str">
        <x:v>Active v1 (Retrieved XML)</x:v>
      </x:c>
      <x:c r="E291" s="119" t="str">
        <x:v>Loaner__c IsNull booleanValue=false</x:v>
      </x:c>
      <x:c r="F291" s="119" t="str">
        <x:v>Loaner_Asset__c, Loaner__c</x:v>
      </x:c>
      <x:c r="G291" s="119" t="str">
        <x:v>Id, Loaner_Location__c, Loaner__c</x:v>
      </x:c>
      <x:c r="H291" s="119" t="str"/>
      <x:c r="I291" s="119" t="str"/>
      <x:c r="J291" s="119" t="str"/>
      <x:c r="K291" s="118" t="n">
        <x:v>7</x:v>
      </x:c>
      <x:c r="L291" s="118" t="n">
        <x:v>0</x:v>
      </x:c>
      <x:c r="M291" s="118" t="n">
        <x:v>0</x:v>
      </x:c>
      <x:c r="N291" s="118" t="n">
        <x:v>1</x:v>
      </x:c>
      <x:c r="O291" s="118" t="n">
        <x:v>0</x:v>
      </x:c>
      <x:c r="P291" s="118" t="n">
        <x:v>0</x:v>
      </x:c>
      <x:c r="Q291" s="118" t="n">
        <x:v>2</x:v>
      </x:c>
      <x:c r="R291" s="118" t="n">
        <x:v>1</x:v>
      </x:c>
      <x:c r="S291" s="118" t="n">
        <x:v>0</x:v>
      </x:c>
      <x:c r="T291" s="118" t="n">
        <x:v>0</x:v>
      </x:c>
      <x:c r="U291" s="118" t="n">
        <x:v>0</x:v>
      </x:c>
      <x:c r="V291" s="118" t="n">
        <x:v>1</x:v>
      </x:c>
      <x:c r="W291" s="118" t="n">
        <x:v>0</x:v>
      </x:c>
      <x:c r="X291" s="118" t="n">
        <x:v>1</x:v>
      </x:c>
      <x:c r="Y291" s="118" t="n">
        <x:v>0</x:v>
      </x:c>
      <x:c r="Z291" s="118" t="n">
        <x:v>0</x:v>
      </x:c>
      <x:c r="AA291" s="118" t="n">
        <x:v>0</x:v>
      </x:c>
      <x:c r="AB291" s="118" t="n">
        <x:v>0</x:v>
      </x:c>
      <x:c r="AC291" s="118" t="n">
        <x:v>0</x:v>
      </x:c>
    </x:row>
    <x:row r="292" ht="46" customHeight="1">
      <x:c r="A292" s="117" t="str">
        <x:v>300Ro00000zKERvIAO</x:v>
      </x:c>
      <x:c r="B292" s="117" t="str">
        <x:v>Loaner_Asset_Asynchronous_on_create_Loaner_Serial_Roll_Up</x:v>
      </x:c>
      <x:c r="C292" s="117" t="str">
        <x:v>Yes</x:v>
      </x:c>
      <x:c r="D292" s="119" t="str">
        <x:v>Active v1 (Retrieved XML)</x:v>
      </x:c>
      <x:c r="E292" s="119" t="str">
        <x:v>Loaner__c IsNull booleanValue=false</x:v>
      </x:c>
      <x:c r="F292" s="119" t="str">
        <x:v>Loaner_Asset__c, Loaner__c</x:v>
      </x:c>
      <x:c r="G292" s="119" t="str">
        <x:v>Id, Loaner_Serial__c, Loaner__c</x:v>
      </x:c>
      <x:c r="H292" s="119" t="str"/>
      <x:c r="I292" s="119" t="str"/>
      <x:c r="J292" s="119" t="str"/>
      <x:c r="K292" s="118" t="n">
        <x:v>6</x:v>
      </x:c>
      <x:c r="L292" s="118" t="n">
        <x:v>0</x:v>
      </x:c>
      <x:c r="M292" s="118" t="n">
        <x:v>0</x:v>
      </x:c>
      <x:c r="N292" s="118" t="n">
        <x:v>1</x:v>
      </x:c>
      <x:c r="O292" s="118" t="n">
        <x:v>0</x:v>
      </x:c>
      <x:c r="P292" s="118" t="n">
        <x:v>0</x:v>
      </x:c>
      <x:c r="Q292" s="118" t="n">
        <x:v>1</x:v>
      </x:c>
      <x:c r="R292" s="118" t="n">
        <x:v>1</x:v>
      </x:c>
      <x:c r="S292" s="118" t="n">
        <x:v>0</x:v>
      </x:c>
      <x:c r="T292" s="118" t="n">
        <x:v>0</x:v>
      </x:c>
      <x:c r="U292" s="118" t="n">
        <x:v>0</x:v>
      </x:c>
      <x:c r="V292" s="118" t="n">
        <x:v>1</x:v>
      </x:c>
      <x:c r="W292" s="118" t="n">
        <x:v>0</x:v>
      </x:c>
      <x:c r="X292" s="118" t="n">
        <x:v>1</x:v>
      </x:c>
      <x:c r="Y292" s="118" t="n">
        <x:v>0</x:v>
      </x:c>
      <x:c r="Z292" s="118" t="n">
        <x:v>0</x:v>
      </x:c>
      <x:c r="AA292" s="118" t="n">
        <x:v>0</x:v>
      </x:c>
      <x:c r="AB292" s="118" t="n">
        <x:v>0</x:v>
      </x:c>
      <x:c r="AC292" s="118" t="n">
        <x:v>0</x:v>
      </x:c>
    </x:row>
    <x:row r="293" ht="46" customHeight="1">
      <x:c r="A293" s="117" t="str">
        <x:v>300Ro00000zEfpmIAC</x:v>
      </x:c>
      <x:c r="B293" s="117" t="str">
        <x:v>Loaner_Asset_Asynchronous_on_update_Loaner_Location_Roll_Up</x:v>
      </x:c>
      <x:c r="C293" s="117" t="str">
        <x:v>Yes</x:v>
      </x:c>
      <x:c r="D293" s="119" t="str">
        <x:v>Active v1 (Retrieved XML)</x:v>
      </x:c>
      <x:c r="E293" s="119" t="str">
        <x:v>Loaner__c IsChanged booleanValue=true | Loaner__c IsNull booleanValue=false</x:v>
      </x:c>
      <x:c r="F293" s="119" t="str">
        <x:v>Loaner_Asset__c, Loaner__c</x:v>
      </x:c>
      <x:c r="G293" s="119" t="str">
        <x:v>Id, Loaner_Location__c, Loaner__c</x:v>
      </x:c>
      <x:c r="H293" s="119" t="str"/>
      <x:c r="I293" s="119" t="str"/>
      <x:c r="J293" s="119" t="str"/>
      <x:c r="K293" s="118" t="n">
        <x:v>7</x:v>
      </x:c>
      <x:c r="L293" s="118" t="n">
        <x:v>0</x:v>
      </x:c>
      <x:c r="M293" s="118" t="n">
        <x:v>0</x:v>
      </x:c>
      <x:c r="N293" s="118" t="n">
        <x:v>1</x:v>
      </x:c>
      <x:c r="O293" s="118" t="n">
        <x:v>0</x:v>
      </x:c>
      <x:c r="P293" s="118" t="n">
        <x:v>0</x:v>
      </x:c>
      <x:c r="Q293" s="118" t="n">
        <x:v>2</x:v>
      </x:c>
      <x:c r="R293" s="118" t="n">
        <x:v>1</x:v>
      </x:c>
      <x:c r="S293" s="118" t="n">
        <x:v>0</x:v>
      </x:c>
      <x:c r="T293" s="118" t="n">
        <x:v>0</x:v>
      </x:c>
      <x:c r="U293" s="118" t="n">
        <x:v>0</x:v>
      </x:c>
      <x:c r="V293" s="118" t="n">
        <x:v>1</x:v>
      </x:c>
      <x:c r="W293" s="118" t="n">
        <x:v>0</x:v>
      </x:c>
      <x:c r="X293" s="118" t="n">
        <x:v>1</x:v>
      </x:c>
      <x:c r="Y293" s="118" t="n">
        <x:v>0</x:v>
      </x:c>
      <x:c r="Z293" s="118" t="n">
        <x:v>0</x:v>
      </x:c>
      <x:c r="AA293" s="118" t="n">
        <x:v>0</x:v>
      </x:c>
      <x:c r="AB293" s="118" t="n">
        <x:v>0</x:v>
      </x:c>
      <x:c r="AC293" s="118" t="n">
        <x:v>0</x:v>
      </x:c>
    </x:row>
    <x:row r="294" ht="46" customHeight="1">
      <x:c r="A294" s="117" t="str">
        <x:v>300Ro00000zJbtfIAC</x:v>
      </x:c>
      <x:c r="B294" s="117" t="str">
        <x:v>Loaner_Asset_Before_Delete_Loaner_Asset_Roll_Up</x:v>
      </x:c>
      <x:c r="C294" s="117" t="str">
        <x:v>Yes</x:v>
      </x:c>
      <x:c r="D294" s="119" t="str">
        <x:v>Active v2 (Retrieved XML)</x:v>
      </x:c>
      <x:c r="E294" s="119" t="str">
        <x:v>Loaner__c IsNull booleanValue=false</x:v>
      </x:c>
      <x:c r="F294" s="119" t="str">
        <x:v>Loaner_Asset__c, Loaner__c</x:v>
      </x:c>
      <x:c r="G294" s="119" t="str">
        <x:v>Id, Loaner_Asset__c, Loaner__c</x:v>
      </x:c>
      <x:c r="H294" s="119" t="str"/>
      <x:c r="I294" s="119" t="str"/>
      <x:c r="J294" s="119" t="str"/>
      <x:c r="K294" s="118" t="n">
        <x:v>7</x:v>
      </x:c>
      <x:c r="L294" s="118" t="n">
        <x:v>0</x:v>
      </x:c>
      <x:c r="M294" s="118" t="n">
        <x:v>0</x:v>
      </x:c>
      <x:c r="N294" s="118" t="n">
        <x:v>1</x:v>
      </x:c>
      <x:c r="O294" s="118" t="n">
        <x:v>0</x:v>
      </x:c>
      <x:c r="P294" s="118" t="n">
        <x:v>0</x:v>
      </x:c>
      <x:c r="Q294" s="118" t="n">
        <x:v>2</x:v>
      </x:c>
      <x:c r="R294" s="118" t="n">
        <x:v>1</x:v>
      </x:c>
      <x:c r="S294" s="118" t="n">
        <x:v>0</x:v>
      </x:c>
      <x:c r="T294" s="118" t="n">
        <x:v>0</x:v>
      </x:c>
      <x:c r="U294" s="118" t="n">
        <x:v>0</x:v>
      </x:c>
      <x:c r="V294" s="118" t="n">
        <x:v>1</x:v>
      </x:c>
      <x:c r="W294" s="118" t="n">
        <x:v>0</x:v>
      </x:c>
      <x:c r="X294" s="118" t="n">
        <x:v>1</x:v>
      </x:c>
      <x:c r="Y294" s="118" t="n">
        <x:v>0</x:v>
      </x:c>
      <x:c r="Z294" s="118" t="n">
        <x:v>0</x:v>
      </x:c>
      <x:c r="AA294" s="118" t="n">
        <x:v>0</x:v>
      </x:c>
      <x:c r="AB294" s="118" t="n">
        <x:v>0</x:v>
      </x:c>
      <x:c r="AC294" s="118" t="n">
        <x:v>0</x:v>
      </x:c>
    </x:row>
    <x:row r="295" ht="46" customHeight="1">
      <x:c r="A295" s="117" t="str">
        <x:v>300Ro00000zEfpnIAC</x:v>
      </x:c>
      <x:c r="B295" s="117" t="str">
        <x:v>Loaner_Asset_Before_Delete_Loaner_Location_Roll_Up</x:v>
      </x:c>
      <x:c r="C295" s="117" t="str">
        <x:v>Yes</x:v>
      </x:c>
      <x:c r="D295" s="119" t="str">
        <x:v>Active v1 (Retrieved XML)</x:v>
      </x:c>
      <x:c r="E295" s="119" t="str">
        <x:v>Loaner__c IsNull booleanValue=false</x:v>
      </x:c>
      <x:c r="F295" s="119" t="str">
        <x:v>Loaner_Asset__c, Loaner__c</x:v>
      </x:c>
      <x:c r="G295" s="119" t="str">
        <x:v>Id, Loaner_Location__c, Loaner__c</x:v>
      </x:c>
      <x:c r="H295" s="119" t="str"/>
      <x:c r="I295" s="119" t="str"/>
      <x:c r="J295" s="119" t="str"/>
      <x:c r="K295" s="118" t="n">
        <x:v>7</x:v>
      </x:c>
      <x:c r="L295" s="118" t="n">
        <x:v>0</x:v>
      </x:c>
      <x:c r="M295" s="118" t="n">
        <x:v>0</x:v>
      </x:c>
      <x:c r="N295" s="118" t="n">
        <x:v>1</x:v>
      </x:c>
      <x:c r="O295" s="118" t="n">
        <x:v>0</x:v>
      </x:c>
      <x:c r="P295" s="118" t="n">
        <x:v>0</x:v>
      </x:c>
      <x:c r="Q295" s="118" t="n">
        <x:v>2</x:v>
      </x:c>
      <x:c r="R295" s="118" t="n">
        <x:v>1</x:v>
      </x:c>
      <x:c r="S295" s="118" t="n">
        <x:v>0</x:v>
      </x:c>
      <x:c r="T295" s="118" t="n">
        <x:v>0</x:v>
      </x:c>
      <x:c r="U295" s="118" t="n">
        <x:v>0</x:v>
      </x:c>
      <x:c r="V295" s="118" t="n">
        <x:v>1</x:v>
      </x:c>
      <x:c r="W295" s="118" t="n">
        <x:v>0</x:v>
      </x:c>
      <x:c r="X295" s="118" t="n">
        <x:v>1</x:v>
      </x:c>
      <x:c r="Y295" s="118" t="n">
        <x:v>0</x:v>
      </x:c>
      <x:c r="Z295" s="118" t="n">
        <x:v>0</x:v>
      </x:c>
      <x:c r="AA295" s="118" t="n">
        <x:v>0</x:v>
      </x:c>
      <x:c r="AB295" s="118" t="n">
        <x:v>0</x:v>
      </x:c>
      <x:c r="AC295" s="118" t="n">
        <x:v>0</x:v>
      </x:c>
    </x:row>
    <x:row r="296" ht="46" customHeight="1">
      <x:c r="A296" s="117" t="str">
        <x:v>300Ro00000zKERwIAO</x:v>
      </x:c>
      <x:c r="B296" s="117" t="str">
        <x:v>Loaner_Asset_Before_Delete_Loaner_Serial_Roll_Up</x:v>
      </x:c>
      <x:c r="C296" s="117" t="str">
        <x:v>Yes</x:v>
      </x:c>
      <x:c r="D296" s="119" t="str">
        <x:v>Active v1 (Retrieved XML)</x:v>
      </x:c>
      <x:c r="E296" s="119" t="str">
        <x:v>Loaner__c IsNull booleanValue=false</x:v>
      </x:c>
      <x:c r="F296" s="119" t="str">
        <x:v>Loaner_Asset__c, Loaner__c</x:v>
      </x:c>
      <x:c r="G296" s="119" t="str">
        <x:v>Id, Loaner_Serial__c, Loaner__c</x:v>
      </x:c>
      <x:c r="H296" s="119" t="str"/>
      <x:c r="I296" s="119" t="str"/>
      <x:c r="J296" s="119" t="str"/>
      <x:c r="K296" s="118" t="n">
        <x:v>6</x:v>
      </x:c>
      <x:c r="L296" s="118" t="n">
        <x:v>0</x:v>
      </x:c>
      <x:c r="M296" s="118" t="n">
        <x:v>0</x:v>
      </x:c>
      <x:c r="N296" s="118" t="n">
        <x:v>1</x:v>
      </x:c>
      <x:c r="O296" s="118" t="n">
        <x:v>0</x:v>
      </x:c>
      <x:c r="P296" s="118" t="n">
        <x:v>0</x:v>
      </x:c>
      <x:c r="Q296" s="118" t="n">
        <x:v>1</x:v>
      </x:c>
      <x:c r="R296" s="118" t="n">
        <x:v>1</x:v>
      </x:c>
      <x:c r="S296" s="118" t="n">
        <x:v>0</x:v>
      </x:c>
      <x:c r="T296" s="118" t="n">
        <x:v>0</x:v>
      </x:c>
      <x:c r="U296" s="118" t="n">
        <x:v>0</x:v>
      </x:c>
      <x:c r="V296" s="118" t="n">
        <x:v>1</x:v>
      </x:c>
      <x:c r="W296" s="118" t="n">
        <x:v>0</x:v>
      </x:c>
      <x:c r="X296" s="118" t="n">
        <x:v>1</x:v>
      </x:c>
      <x:c r="Y296" s="118" t="n">
        <x:v>0</x:v>
      </x:c>
      <x:c r="Z296" s="118" t="n">
        <x:v>0</x:v>
      </x:c>
      <x:c r="AA296" s="118" t="n">
        <x:v>0</x:v>
      </x:c>
      <x:c r="AB296" s="118" t="n">
        <x:v>0</x:v>
      </x:c>
      <x:c r="AC296" s="118" t="n">
        <x:v>0</x:v>
      </x:c>
    </x:row>
    <x:row r="297" ht="46" customHeight="1">
      <x:c r="A297" s="117" t="str">
        <x:v>300Ro00000zJbtgIAC</x:v>
      </x:c>
      <x:c r="B297" s="117" t="str">
        <x:v>Loaner_Asset_on_update_Loaner_Asset_Roll_Up</x:v>
      </x:c>
      <x:c r="C297" s="117" t="str">
        <x:v>Yes</x:v>
      </x:c>
      <x:c r="D297" s="119" t="str">
        <x:v>Active v2 (Retrieved XML)</x:v>
      </x:c>
      <x:c r="E297" s="119" t="str">
        <x:v>Loaner__c IsChanged booleanValue=true | ProductItem__c IsChanged booleanValue=true | Loaner__c IsNull booleanValue=false</x:v>
      </x:c>
      <x:c r="F297" s="119" t="str">
        <x:v>Loaner_Asset__c, Loaner__c</x:v>
      </x:c>
      <x:c r="G297" s="119" t="str">
        <x:v>Id, Loaner_Asset__c, Loaner__c, ProductItem__c</x:v>
      </x:c>
      <x:c r="H297" s="119" t="str"/>
      <x:c r="I297" s="119" t="str"/>
      <x:c r="J297" s="119" t="str"/>
      <x:c r="K297" s="118" t="n">
        <x:v>19</x:v>
      </x:c>
      <x:c r="L297" s="118" t="n">
        <x:v>0</x:v>
      </x:c>
      <x:c r="M297" s="118" t="n">
        <x:v>0</x:v>
      </x:c>
      <x:c r="N297" s="118" t="n">
        <x:v>4</x:v>
      </x:c>
      <x:c r="O297" s="118" t="n">
        <x:v>0</x:v>
      </x:c>
      <x:c r="P297" s="118" t="n">
        <x:v>0</x:v>
      </x:c>
      <x:c r="Q297" s="118" t="n">
        <x:v>5</x:v>
      </x:c>
      <x:c r="R297" s="118" t="n">
        <x:v>3</x:v>
      </x:c>
      <x:c r="S297" s="118" t="n">
        <x:v>0</x:v>
      </x:c>
      <x:c r="T297" s="118" t="n">
        <x:v>0</x:v>
      </x:c>
      <x:c r="U297" s="118" t="n">
        <x:v>0</x:v>
      </x:c>
      <x:c r="V297" s="118" t="n">
        <x:v>3</x:v>
      </x:c>
      <x:c r="W297" s="118" t="n">
        <x:v>0</x:v>
      </x:c>
      <x:c r="X297" s="118" t="n">
        <x:v>3</x:v>
      </x:c>
      <x:c r="Y297" s="118" t="n">
        <x:v>0</x:v>
      </x:c>
      <x:c r="Z297" s="118" t="n">
        <x:v>0</x:v>
      </x:c>
      <x:c r="AA297" s="118" t="n">
        <x:v>0</x:v>
      </x:c>
      <x:c r="AB297" s="118" t="n">
        <x:v>0</x:v>
      </x:c>
      <x:c r="AC297" s="118" t="n">
        <x:v>0</x:v>
      </x:c>
    </x:row>
    <x:row r="298" ht="46" customHeight="1">
      <x:c r="A298" s="117" t="str">
        <x:v>300Ro00000zKERxIAO</x:v>
      </x:c>
      <x:c r="B298" s="117" t="str">
        <x:v>Loaner_Asset_on_update_Loaner_Serial_Roll_Up</x:v>
      </x:c>
      <x:c r="C298" s="117" t="str">
        <x:v>Yes</x:v>
      </x:c>
      <x:c r="D298" s="119" t="str">
        <x:v>Active v1 (Retrieved XML)</x:v>
      </x:c>
      <x:c r="E298" s="119" t="str">
        <x:v>Loaner__c IsChanged booleanValue=true | Loaner_Serial__c IsChanged booleanValue=true | Loaner__c IsNull booleanValue=false</x:v>
      </x:c>
      <x:c r="F298" s="119" t="str">
        <x:v>Loaner_Asset__c, Loaner__c</x:v>
      </x:c>
      <x:c r="G298" s="119" t="str">
        <x:v>Id, Loaner_Serial__c, Loaner__c</x:v>
      </x:c>
      <x:c r="H298" s="119" t="str"/>
      <x:c r="I298" s="119" t="str"/>
      <x:c r="J298" s="119" t="str"/>
      <x:c r="K298" s="118" t="n">
        <x:v>16</x:v>
      </x:c>
      <x:c r="L298" s="118" t="n">
        <x:v>0</x:v>
      </x:c>
      <x:c r="M298" s="118" t="n">
        <x:v>0</x:v>
      </x:c>
      <x:c r="N298" s="118" t="n">
        <x:v>4</x:v>
      </x:c>
      <x:c r="O298" s="118" t="n">
        <x:v>0</x:v>
      </x:c>
      <x:c r="P298" s="118" t="n">
        <x:v>0</x:v>
      </x:c>
      <x:c r="Q298" s="118" t="n">
        <x:v>2</x:v>
      </x:c>
      <x:c r="R298" s="118" t="n">
        <x:v>3</x:v>
      </x:c>
      <x:c r="S298" s="118" t="n">
        <x:v>0</x:v>
      </x:c>
      <x:c r="T298" s="118" t="n">
        <x:v>0</x:v>
      </x:c>
      <x:c r="U298" s="118" t="n">
        <x:v>0</x:v>
      </x:c>
      <x:c r="V298" s="118" t="n">
        <x:v>3</x:v>
      </x:c>
      <x:c r="W298" s="118" t="n">
        <x:v>0</x:v>
      </x:c>
      <x:c r="X298" s="118" t="n">
        <x:v>3</x:v>
      </x:c>
      <x:c r="Y298" s="118" t="n">
        <x:v>0</x:v>
      </x:c>
      <x:c r="Z298" s="118" t="n">
        <x:v>0</x:v>
      </x:c>
      <x:c r="AA298" s="118" t="n">
        <x:v>0</x:v>
      </x:c>
      <x:c r="AB298" s="118" t="n">
        <x:v>0</x:v>
      </x:c>
      <x:c r="AC298" s="118" t="n">
        <x:v>0</x:v>
      </x:c>
    </x:row>
    <x:row r="299" ht="46" customHeight="1">
      <x:c r="A299" s="117" t="str">
        <x:v>3005b000000LHaTAAW</x:v>
      </x:c>
      <x:c r="B299" s="117" t="str">
        <x:v>Loaner_Object_Updates_and_Alerts</x:v>
      </x:c>
      <x:c r="C299" s="117" t="str">
        <x:v>Yes</x:v>
      </x:c>
      <x:c r="D299" s="119" t="str">
        <x:v>Active v10 (Retrieved XML)</x:v>
      </x:c>
      <x:c r="E299" s="119" t="str"/>
      <x:c r="F299" s="119" t="str">
        <x:v>Loaner__c, Opportunity</x:v>
      </x:c>
      <x:c r="G299" s="119" t="str">
        <x:v>Attn__c, FSE_Email__c, Id, OwnerId, Repair_Opportunity__r, Shipping_City__c, Shipping_Country__c, Shipping_Postal_Code__c, Shipping_State__c, Shipping_Street__c, Submit_to_Shipping__c, Tech_Ship_Location_Address__c, Tech_Ship_Location_Address__r, Work_Order__c</x:v>
      </x:c>
      <x:c r="H299" s="119" t="str"/>
      <x:c r="I299" s="119" t="str"/>
      <x:c r="J299" s="119" t="str"/>
      <x:c r="K299" s="118" t="n">
        <x:v>15</x:v>
      </x:c>
      <x:c r="L299" s="118" t="n">
        <x:v>0</x:v>
      </x:c>
      <x:c r="M299" s="118" t="n">
        <x:v>0</x:v>
      </x:c>
      <x:c r="N299" s="118" t="n">
        <x:v>4</x:v>
      </x:c>
      <x:c r="O299" s="118" t="n">
        <x:v>0</x:v>
      </x:c>
      <x:c r="P299" s="118" t="n">
        <x:v>0</x:v>
      </x:c>
      <x:c r="Q299" s="118" t="n">
        <x:v>6</x:v>
      </x:c>
      <x:c r="R299" s="118" t="n">
        <x:v>0</x:v>
      </x:c>
      <x:c r="S299" s="118" t="n">
        <x:v>0</x:v>
      </x:c>
      <x:c r="T299" s="118" t="n">
        <x:v>0</x:v>
      </x:c>
      <x:c r="U299" s="118" t="n">
        <x:v>0</x:v>
      </x:c>
      <x:c r="V299" s="118" t="n">
        <x:v>1</x:v>
      </x:c>
      <x:c r="W299" s="118" t="n">
        <x:v>0</x:v>
      </x:c>
      <x:c r="X299" s="118" t="n">
        <x:v>3</x:v>
      </x:c>
      <x:c r="Y299" s="118" t="n">
        <x:v>0</x:v>
      </x:c>
      <x:c r="Z299" s="118" t="n">
        <x:v>0</x:v>
      </x:c>
      <x:c r="AA299" s="118" t="n">
        <x:v>0</x:v>
      </x:c>
      <x:c r="AB299" s="118" t="n">
        <x:v>0</x:v>
      </x:c>
      <x:c r="AC299" s="118" t="n">
        <x:v>0</x:v>
      </x:c>
    </x:row>
    <x:row r="300" ht="46" customHeight="1">
      <x:c r="A300" s="117" t="str">
        <x:v>3000B000000kEPIQA2</x:v>
      </x:c>
      <x:c r="B300" s="117" t="str">
        <x:v>Location_to_Scrap</x:v>
      </x:c>
      <x:c r="C300" s="117" t="str">
        <x:v>No</x:v>
      </x:c>
      <x:c r="D300" s="119" t="str">
        <x:v>Latest inactive v1 (Retrieved XML)</x:v>
      </x:c>
      <x:c r="E300" s="119" t="str"/>
      <x:c r="F300" s="119" t="str">
        <x:v>ProductItem__c</x:v>
      </x:c>
      <x:c r="G300" s="119" t="str">
        <x:v>Cosmetic_Rating__c, Functional_Rating__c, Id, sold__c</x:v>
      </x:c>
      <x:c r="H300" s="119" t="str"/>
      <x:c r="I300" s="119" t="str"/>
      <x:c r="J300" s="119" t="str"/>
      <x:c r="K300" s="118" t="n">
        <x:v>4</x:v>
      </x:c>
      <x:c r="L300" s="118" t="n">
        <x:v>0</x:v>
      </x:c>
      <x:c r="M300" s="118" t="n">
        <x:v>0</x:v>
      </x:c>
      <x:c r="N300" s="118" t="n">
        <x:v>1</x:v>
      </x:c>
      <x:c r="O300" s="118" t="n">
        <x:v>0</x:v>
      </x:c>
      <x:c r="P300" s="118" t="n">
        <x:v>0</x:v>
      </x:c>
      <x:c r="Q300" s="118" t="n">
        <x:v>2</x:v>
      </x:c>
      <x:c r="R300" s="118" t="n">
        <x:v>0</x:v>
      </x:c>
      <x:c r="S300" s="118" t="n">
        <x:v>0</x:v>
      </x:c>
      <x:c r="T300" s="118" t="n">
        <x:v>0</x:v>
      </x:c>
      <x:c r="U300" s="118" t="n">
        <x:v>0</x:v>
      </x:c>
      <x:c r="V300" s="118" t="n">
        <x:v>0</x:v>
      </x:c>
      <x:c r="W300" s="118" t="n">
        <x:v>0</x:v>
      </x:c>
      <x:c r="X300" s="118" t="n">
        <x:v>1</x:v>
      </x:c>
      <x:c r="Y300" s="118" t="n">
        <x:v>0</x:v>
      </x:c>
      <x:c r="Z300" s="118" t="n">
        <x:v>0</x:v>
      </x:c>
      <x:c r="AA300" s="118" t="n">
        <x:v>0</x:v>
      </x:c>
      <x:c r="AB300" s="118" t="n">
        <x:v>0</x:v>
      </x:c>
      <x:c r="AC300" s="118" t="n">
        <x:v>0</x:v>
      </x:c>
    </x:row>
    <x:row r="301" ht="46" customHeight="1">
      <x:c r="A301" s="117" t="str">
        <x:v>300Ro00000Pz0kqIAB</x:v>
      </x:c>
      <x:c r="B301" s="117" t="str">
        <x:v>Mammography_Checklist</x:v>
      </x:c>
      <x:c r="C301" s="117" t="str">
        <x:v>Yes</x:v>
      </x:c>
      <x:c r="D301" s="119" t="str">
        <x:v>Active v10 (Retrieved XML)</x:v>
      </x:c>
      <x:c r="E301" s="119" t="str"/>
      <x:c r="F301" s="119" t="str">
        <x:v>ServiceAppointment, WorkOrder</x:v>
      </x:c>
      <x:c r="G301" s="119" t="str">
        <x:v>ACR_Check_Reading__c, ACR_Check__c, AOP_Checks_Comments__c, AOP_Checks__c, Additional_Documentation_Reference__c, Alignment_and_Centring_Comments__c, Alignment_and_Centring__c, Alignment_and_Positioning_Comments__c, Alignment_and_Positioning__c, BF_Outputs_Comments__c, BF_Outputs__c, BIOS_Battery_Voltage__c, Backup_of_User_Configuration_Comments__c, Backup_of_User_Configuration__c, Bearings_and_Tracks_Comments__c, Bearings_and_Tracks__c, Brakes_and_Locks_Comments__c, Brakes_and_Locks__c, CS_and_HE_Comments__c, Cables_and_Hanger_Supports_Comments__c, Cables_and_Hanger_Supports__c, Checklist_Output_Formatted_1__c, Checklist_Output_Formatted_2__c, Checklist_Output_Formatted_3__c, Checklist_Output_Formatted_4__c, Checklist_Output_Formatted_5__c, Checklist_Output_Formatted_6__c, Checklist_Output_Formatted__c, Checklist_Type__c, Collimator_Comments__c, Collimator_Function_and_Alignment__c, Compression_Force_Check_Comments__c, Compression_Force_Check__c, Compression_Paddles_Comments__c, Compression_Paddles__c, Compression_Thickness_Check_Comments__c, Compression_Thickness_Check__c, Cooling_Systems_and_Heat_Exchangers__c, Covers_Secured_Comments__c, Covers_Secured__c, DAP_Accuracy_Comments__c, DAP_Accuracy__c, Detector_Calibration_Comments__c, Detector_Calibration__c, Detector_Docking_Stations_Comments__c, Detector_Docking_Stations__c, Detector_Uniformity_Comments__c, Detector_Uniformity__c, Emergency_Stop_Switches_Comments__c, Emergency_Stop_Switches_and_Isolators__c, End_to_End_DICOM_Comments__c, End_to_End_DICOM__c, Error_Logs_Comments__c, Error_Logs__c, Exposure_Index_Comments__c, Exposure_Index__c, Exposure_Indicators_Comments__c, Exposure_Indicators__c, FF_Outputs_Comments__c, FF_Outputs__c, Final_Functional_Checks_Comments__c, Final_Functional_Checks__c, Final_Visual_Checks_Comments__c, Final_Visual_Checks__c, Gantry_Lift_Comments__c, Gantry_Lift__c, Gantry_Rotation_Comments__c, Gantry_Rotation__c, Generate_Service_Report_HTML__c, Grid_Artifacts_Comments__c, Grid_Artifacts__c, Grid_Assembly_Comments__c, Grid_Assembly__c, HT_Cable_Status_and_Continuity_Comments__c, HT_Cable_Status_and_Continuity__c, Handswitch_and_Foot_Pedals_Comments__c, Handswitch_and_Foot_Pedals__c, Id, Image_Display_Quality_Comments__c, Image_Display_Quality__c, Interlocks_and_Mechanical_Stops_Comments__c, Interlocks_and_Mechanical_Stops__c, Limit_Switches_Comments__c, Limit_Switches__c, Mag_Stands_Comments__c, Mag_Stands__c, Mechanical_Security_Comments__c, Mechanical_Security__c, Mechanical_Visual_Inspection_Comments__c, Mechanical_Visual_Inspection__c, Mountings_and_Fixings_Comments__c, Mountings_and_Fixings__c, Post_Processing_Functions_Comments__c, Post_Processing_Functions__c, Room_Warning_Lights_Comments__c, Room_Warning_Lights__c, SNR_Check_Reading__c, SNR_Check__c, Stereotactic_Alignment_Comments__c, Stereotactic_Alignment__c, Switches_Pedals_and_Controls_Comments__c, Switches_Pedals_and_Controls__c, System_Earth_Continuity_Comments__c, System_Earth_Continuity__c, TOMO_Imaging_Comments__c, TOMO_Imaging__c, Tube_Adjustments_Comments__c, Tube_Adjustments_Performed__c, UI_Clean_Comments__c, UI_Clean_Completed__c, UPS_Battery_Comments__c, UPS_Battery__c, Ventilation_Clean_Comments__c, Ventilation_Clean__c, Visual_Inspection_Comments__c, Visual_Inspection__c</x:v>
      </x:c>
      <x:c r="H301" s="119" t="str"/>
      <x:c r="I301" s="119" t="str"/>
      <x:c r="J301" s="119" t="str"/>
      <x:c r="K301" s="118" t="n">
        <x:v>16</x:v>
      </x:c>
      <x:c r="L301" s="118" t="n">
        <x:v>0</x:v>
      </x:c>
      <x:c r="M301" s="118" t="n">
        <x:v>0</x:v>
      </x:c>
      <x:c r="N301" s="118" t="n">
        <x:v>0</x:v>
      </x:c>
      <x:c r="O301" s="118" t="n">
        <x:v>0</x:v>
      </x:c>
      <x:c r="P301" s="118" t="n">
        <x:v>0</x:v>
      </x:c>
      <x:c r="Q301" s="118" t="n">
        <x:v>0</x:v>
      </x:c>
      <x:c r="R301" s="118" t="n">
        <x:v>0</x:v>
      </x:c>
      <x:c r="S301" s="118" t="n">
        <x:v>0</x:v>
      </x:c>
      <x:c r="T301" s="118" t="n">
        <x:v>0</x:v>
      </x:c>
      <x:c r="U301" s="118" t="n">
        <x:v>0</x:v>
      </x:c>
      <x:c r="V301" s="118" t="n">
        <x:v>1</x:v>
      </x:c>
      <x:c r="W301" s="118" t="n">
        <x:v>0</x:v>
      </x:c>
      <x:c r="X301" s="118" t="n">
        <x:v>7</x:v>
      </x:c>
      <x:c r="Y301" s="118" t="n">
        <x:v>7</x:v>
      </x:c>
      <x:c r="Z301" s="118" t="n">
        <x:v>0</x:v>
      </x:c>
      <x:c r="AA301" s="118" t="n">
        <x:v>0</x:v>
      </x:c>
      <x:c r="AB301" s="118" t="n">
        <x:v>0</x:v>
      </x:c>
      <x:c r="AC301" s="118" t="n">
        <x:v>0</x:v>
      </x:c>
    </x:row>
    <x:row r="302" ht="46" customHeight="1">
      <x:c r="A302" s="117" t="str">
        <x:v>300Ro00000ncjmHIAQ</x:v>
      </x:c>
      <x:c r="B302" s="117" t="str">
        <x:v>Manually_Send_Credit_Memo_to_Client</x:v>
      </x:c>
      <x:c r="C302" s="117" t="str">
        <x:v>Yes</x:v>
      </x:c>
      <x:c r="D302" s="119" t="str">
        <x:v>Active v3 (Retrieved XML)</x:v>
      </x:c>
      <x:c r="E302" s="119" t="str"/>
      <x:c r="F302" s="119" t="str">
        <x:v>Credit_Memo__c</x:v>
      </x:c>
      <x:c r="G302" s="119" t="str">
        <x:v>Credit_Memo_Email_Sent__c, Id</x:v>
      </x:c>
      <x:c r="H302" s="119" t="str">
        <x:v>SaveCreditMemoPdfFileAction, emailSimple</x:v>
      </x:c>
      <x:c r="I302" s="119" t="str"/>
      <x:c r="J302" s="119" t="str"/>
      <x:c r="K302" s="118" t="n">
        <x:v>7</x:v>
      </x:c>
      <x:c r="L302" s="118" t="n">
        <x:v>2</x:v>
      </x:c>
      <x:c r="M302" s="118" t="n">
        <x:v>0</x:v>
      </x:c>
      <x:c r="N302" s="118" t="n">
        <x:v>0</x:v>
      </x:c>
      <x:c r="O302" s="118" t="n">
        <x:v>0</x:v>
      </x:c>
      <x:c r="P302" s="118" t="n">
        <x:v>0</x:v>
      </x:c>
      <x:c r="Q302" s="118" t="n">
        <x:v>0</x:v>
      </x:c>
      <x:c r="R302" s="118" t="n">
        <x:v>0</x:v>
      </x:c>
      <x:c r="S302" s="118" t="n">
        <x:v>0</x:v>
      </x:c>
      <x:c r="T302" s="118" t="n">
        <x:v>0</x:v>
      </x:c>
      <x:c r="U302" s="118" t="n">
        <x:v>0</x:v>
      </x:c>
      <x:c r="V302" s="118" t="n">
        <x:v>1</x:v>
      </x:c>
      <x:c r="W302" s="118" t="n">
        <x:v>0</x:v>
      </x:c>
      <x:c r="X302" s="118" t="n">
        <x:v>1</x:v>
      </x:c>
      <x:c r="Y302" s="118" t="n">
        <x:v>2</x:v>
      </x:c>
      <x:c r="Z302" s="118" t="n">
        <x:v>0</x:v>
      </x:c>
      <x:c r="AA302" s="118" t="n">
        <x:v>0</x:v>
      </x:c>
      <x:c r="AB302" s="118" t="n">
        <x:v>0</x:v>
      </x:c>
      <x:c r="AC302" s="118" t="n">
        <x:v>0</x:v>
      </x:c>
    </x:row>
    <x:row r="303" ht="46" customHeight="1">
      <x:c r="A303" s="117" t="str">
        <x:v>3005b000000PzFjAAK</x:v>
      </x:c>
      <x:c r="B303" s="117" t="str">
        <x:v>Mark_Asmer_Evaluation_Update_Email_Flow</x:v>
      </x:c>
      <x:c r="C303" s="117" t="str">
        <x:v>Yes</x:v>
      </x:c>
      <x:c r="D303" s="119" t="str">
        <x:v>Active v1 (Retrieved XML)</x:v>
      </x:c>
      <x:c r="E303" s="119" t="str">
        <x:v>OwnerId EqualTo stringValue=0050B0000080WKVQA2 | RMA_Owner_Email__c EqualTo stringValue=masmer@probomedical.com</x:v>
      </x:c>
      <x:c r="F303" s="119" t="str">
        <x:v>Evaluation_Natalie__c</x:v>
      </x:c>
      <x:c r="G303" s="119" t="str">
        <x:v>OwnerId, RMA_Owner_Email__c</x:v>
      </x:c>
      <x:c r="H303" s="119" t="str"/>
      <x:c r="I303" s="119" t="str"/>
      <x:c r="J303" s="119" t="str"/>
      <x:c r="K303" s="118" t="n">
        <x:v>2</x:v>
      </x:c>
      <x:c r="L303" s="118" t="n">
        <x:v>0</x:v>
      </x:c>
      <x:c r="M303" s="118" t="n">
        <x:v>0</x:v>
      </x:c>
      <x:c r="N303" s="118" t="n">
        <x:v>0</x:v>
      </x:c>
      <x:c r="O303" s="118" t="n">
        <x:v>0</x:v>
      </x:c>
      <x:c r="P303" s="118" t="n">
        <x:v>0</x:v>
      </x:c>
      <x:c r="Q303" s="118" t="n">
        <x:v>0</x:v>
      </x:c>
      <x:c r="R303" s="118" t="n">
        <x:v>0</x:v>
      </x:c>
      <x:c r="S303" s="118" t="n">
        <x:v>0</x:v>
      </x:c>
      <x:c r="T303" s="118" t="n">
        <x:v>0</x:v>
      </x:c>
      <x:c r="U303" s="118" t="n">
        <x:v>0</x:v>
      </x:c>
      <x:c r="V303" s="118" t="n">
        <x:v>0</x:v>
      </x:c>
      <x:c r="W303" s="118" t="n">
        <x:v>0</x:v>
      </x:c>
      <x:c r="X303" s="118" t="n">
        <x:v>1</x:v>
      </x:c>
      <x:c r="Y303" s="118" t="n">
        <x:v>0</x:v>
      </x:c>
      <x:c r="Z303" s="118" t="n">
        <x:v>0</x:v>
      </x:c>
      <x:c r="AA303" s="118" t="n">
        <x:v>0</x:v>
      </x:c>
      <x:c r="AB303" s="118" t="n">
        <x:v>0</x:v>
      </x:c>
      <x:c r="AC303" s="118" t="n">
        <x:v>0</x:v>
      </x:c>
    </x:row>
    <x:row r="304" ht="46" customHeight="1">
      <x:c r="A304" s="117" t="str">
        <x:v>3005b000000H3gKAAS</x:v>
      </x:c>
      <x:c r="B304" s="117" t="str">
        <x:v>Mark_Closed_Lost_Big_Iron_Assets_as_PAd_and_Sold</x:v>
      </x:c>
      <x:c r="C304" s="117" t="str">
        <x:v>Yes</x:v>
      </x:c>
      <x:c r="D304" s="119" t="str">
        <x:v>Active v3 (Retrieved XML)</x:v>
      </x:c>
      <x:c r="E304" s="119" t="str">
        <x:v>RecordTypeId EqualTo stringValue=0125b000000LWbqAAG | StageName EqualTo stringValue=Closed Lost</x:v>
      </x:c>
      <x:c r="F304" s="119" t="str">
        <x:v>Opportunity, ProductItem__c</x:v>
      </x:c>
      <x:c r="G304" s="119" t="str">
        <x:v>Cost__c, Id, Location__c, Purchasing_Approved__c, Purchasing_Opportunity__c, RecordTypeId, Sales_Price__c, StageName, sold__c</x:v>
      </x:c>
      <x:c r="H304" s="119" t="str"/>
      <x:c r="I304" s="119" t="str"/>
      <x:c r="J304" s="119" t="str"/>
      <x:c r="K304" s="118" t="n">
        <x:v>4</x:v>
      </x:c>
      <x:c r="L304" s="118" t="n">
        <x:v>0</x:v>
      </x:c>
      <x:c r="M304" s="118" t="n">
        <x:v>0</x:v>
      </x:c>
      <x:c r="N304" s="118" t="n">
        <x:v>0</x:v>
      </x:c>
      <x:c r="O304" s="118" t="n">
        <x:v>0</x:v>
      </x:c>
      <x:c r="P304" s="118" t="n">
        <x:v>0</x:v>
      </x:c>
      <x:c r="Q304" s="118" t="n">
        <x:v>0</x:v>
      </x:c>
      <x:c r="R304" s="118" t="n">
        <x:v>0</x:v>
      </x:c>
      <x:c r="S304" s="118" t="n">
        <x:v>0</x:v>
      </x:c>
      <x:c r="T304" s="118" t="n">
        <x:v>0</x:v>
      </x:c>
      <x:c r="U304" s="118" t="n">
        <x:v>0</x:v>
      </x:c>
      <x:c r="V304" s="118" t="n">
        <x:v>1</x:v>
      </x:c>
      <x:c r="W304" s="118" t="n">
        <x:v>0</x:v>
      </x:c>
      <x:c r="X304" s="118" t="n">
        <x:v>2</x:v>
      </x:c>
      <x:c r="Y304" s="118" t="n">
        <x:v>0</x:v>
      </x:c>
      <x:c r="Z304" s="118" t="n">
        <x:v>0</x:v>
      </x:c>
      <x:c r="AA304" s="118" t="n">
        <x:v>0</x:v>
      </x:c>
      <x:c r="AB304" s="118" t="n">
        <x:v>0</x:v>
      </x:c>
      <x:c r="AC304" s="118" t="n">
        <x:v>0</x:v>
      </x:c>
    </x:row>
    <x:row r="305" ht="46" customHeight="1">
      <x:c r="A305" s="117" t="str">
        <x:v>300Ro00000qm9iRIAQ</x:v>
      </x:c>
      <x:c r="B305" s="117" t="str">
        <x:v>Mass_Move_Location_Screen_Flow</x:v>
      </x:c>
      <x:c r="C305" s="117" t="str">
        <x:v>Yes</x:v>
      </x:c>
      <x:c r="D305" s="119" t="str">
        <x:v>Active v5 (Retrieved XML)</x:v>
      </x:c>
      <x:c r="E305" s="119" t="str"/>
      <x:c r="F305" s="119" t="str">
        <x:v>Move_Location__c, ProductItem__c</x:v>
      </x:c>
      <x:c r="G305" s="119" t="str">
        <x:v>Check_In_Type__c, Id, Location__c, Ownership__c, sold__c</x:v>
      </x:c>
      <x:c r="H305" s="119" t="str"/>
      <x:c r="I305" s="119" t="str"/>
      <x:c r="J305" s="119" t="str">
        <x:v>flowruntime:datatable</x:v>
      </x:c>
      <x:c r="K305" s="118" t="n">
        <x:v>15</x:v>
      </x:c>
      <x:c r="L305" s="118" t="n">
        <x:v>0</x:v>
      </x:c>
      <x:c r="M305" s="118" t="n">
        <x:v>0</x:v>
      </x:c>
      <x:c r="N305" s="118" t="n">
        <x:v>4</x:v>
      </x:c>
      <x:c r="O305" s="118" t="n">
        <x:v>0</x:v>
      </x:c>
      <x:c r="P305" s="118" t="n">
        <x:v>0</x:v>
      </x:c>
      <x:c r="Q305" s="118" t="n">
        <x:v>1</x:v>
      </x:c>
      <x:c r="R305" s="118" t="n">
        <x:v>2</x:v>
      </x:c>
      <x:c r="S305" s="118" t="n">
        <x:v>0</x:v>
      </x:c>
      <x:c r="T305" s="118" t="n">
        <x:v>1</x:v>
      </x:c>
      <x:c r="U305" s="118" t="n">
        <x:v>0</x:v>
      </x:c>
      <x:c r="V305" s="118" t="n">
        <x:v>3</x:v>
      </x:c>
      <x:c r="W305" s="118" t="n">
        <x:v>0</x:v>
      </x:c>
      <x:c r="X305" s="118" t="n">
        <x:v>2</x:v>
      </x:c>
      <x:c r="Y305" s="118" t="n">
        <x:v>1</x:v>
      </x:c>
      <x:c r="Z305" s="118" t="n">
        <x:v>0</x:v>
      </x:c>
      <x:c r="AA305" s="118" t="n">
        <x:v>0</x:v>
      </x:c>
      <x:c r="AB305" s="118" t="n">
        <x:v>0</x:v>
      </x:c>
      <x:c r="AC305" s="118" t="n">
        <x:v>0</x:v>
      </x:c>
    </x:row>
    <x:row r="306" ht="46" customHeight="1">
      <x:c r="A306" s="117" t="str">
        <x:v>300Ro00000zK6USIA0</x:v>
      </x:c>
      <x:c r="B306" s="117" t="str">
        <x:v>MC_Shipment_Before_Delete_Delivered_Date_Roll_Up</x:v>
      </x:c>
      <x:c r="C306" s="117" t="str">
        <x:v>Yes</x:v>
      </x:c>
      <x:c r="D306" s="119" t="str">
        <x:v>Active v1 (Retrieved XML)</x:v>
      </x:c>
      <x:c r="E306" s="119" t="str">
        <x:v>Loaner__c IsNull booleanValue=false | zkmulti__Actual_Delivery_Date__c IsNull booleanValue=false</x:v>
      </x:c>
      <x:c r="F306" s="119" t="str">
        <x:v>Loaner__c, zkmulti__MCShipment__c</x:v>
      </x:c>
      <x:c r="G306" s="119" t="str">
        <x:v>Delivered_Date__c, Id, Loaner__c, zkmulti__Actual_Delivery_Date__c</x:v>
      </x:c>
      <x:c r="H306" s="119" t="str"/>
      <x:c r="I306" s="119" t="str"/>
      <x:c r="J306" s="119" t="str"/>
      <x:c r="K306" s="118" t="n">
        <x:v>7</x:v>
      </x:c>
      <x:c r="L306" s="118" t="n">
        <x:v>0</x:v>
      </x:c>
      <x:c r="M306" s="118" t="n">
        <x:v>0</x:v>
      </x:c>
      <x:c r="N306" s="118" t="n">
        <x:v>1</x:v>
      </x:c>
      <x:c r="O306" s="118" t="n">
        <x:v>0</x:v>
      </x:c>
      <x:c r="P306" s="118" t="n">
        <x:v>0</x:v>
      </x:c>
      <x:c r="Q306" s="118" t="n">
        <x:v>2</x:v>
      </x:c>
      <x:c r="R306" s="118" t="n">
        <x:v>1</x:v>
      </x:c>
      <x:c r="S306" s="118" t="n">
        <x:v>0</x:v>
      </x:c>
      <x:c r="T306" s="118" t="n">
        <x:v>0</x:v>
      </x:c>
      <x:c r="U306" s="118" t="n">
        <x:v>0</x:v>
      </x:c>
      <x:c r="V306" s="118" t="n">
        <x:v>1</x:v>
      </x:c>
      <x:c r="W306" s="118" t="n">
        <x:v>0</x:v>
      </x:c>
      <x:c r="X306" s="118" t="n">
        <x:v>1</x:v>
      </x:c>
      <x:c r="Y306" s="118" t="n">
        <x:v>0</x:v>
      </x:c>
      <x:c r="Z306" s="118" t="n">
        <x:v>0</x:v>
      </x:c>
      <x:c r="AA306" s="118" t="n">
        <x:v>0</x:v>
      </x:c>
      <x:c r="AB306" s="118" t="n">
        <x:v>0</x:v>
      </x:c>
      <x:c r="AC306" s="118" t="n">
        <x:v>0</x:v>
      </x:c>
    </x:row>
    <x:row r="307" ht="46" customHeight="1">
      <x:c r="A307" s="117" t="str">
        <x:v>300Ro00000zKZzNIAW</x:v>
      </x:c>
      <x:c r="B307" s="117" t="str">
        <x:v>MC_Shipment_Before_Delete_Ship_Date_Roll_Up</x:v>
      </x:c>
      <x:c r="C307" s="117" t="str">
        <x:v>Yes</x:v>
      </x:c>
      <x:c r="D307" s="119" t="str">
        <x:v>Active v1 (Retrieved XML)</x:v>
      </x:c>
      <x:c r="E307" s="119" t="str">
        <x:v>Loaner__c IsNull booleanValue=false | zkmulti__Ship_Date__c IsNull booleanValue=false</x:v>
      </x:c>
      <x:c r="F307" s="119" t="str">
        <x:v>Loaner__c, zkmulti__MCShipment__c</x:v>
      </x:c>
      <x:c r="G307" s="119" t="str">
        <x:v>Id, Loaner__c, Ship_Date__c, zkmulti__Ship_Date__c</x:v>
      </x:c>
      <x:c r="H307" s="119" t="str"/>
      <x:c r="I307" s="119" t="str"/>
      <x:c r="J307" s="119" t="str"/>
      <x:c r="K307" s="118" t="n">
        <x:v>7</x:v>
      </x:c>
      <x:c r="L307" s="118" t="n">
        <x:v>0</x:v>
      </x:c>
      <x:c r="M307" s="118" t="n">
        <x:v>0</x:v>
      </x:c>
      <x:c r="N307" s="118" t="n">
        <x:v>1</x:v>
      </x:c>
      <x:c r="O307" s="118" t="n">
        <x:v>0</x:v>
      </x:c>
      <x:c r="P307" s="118" t="n">
        <x:v>0</x:v>
      </x:c>
      <x:c r="Q307" s="118" t="n">
        <x:v>2</x:v>
      </x:c>
      <x:c r="R307" s="118" t="n">
        <x:v>1</x:v>
      </x:c>
      <x:c r="S307" s="118" t="n">
        <x:v>0</x:v>
      </x:c>
      <x:c r="T307" s="118" t="n">
        <x:v>0</x:v>
      </x:c>
      <x:c r="U307" s="118" t="n">
        <x:v>0</x:v>
      </x:c>
      <x:c r="V307" s="118" t="n">
        <x:v>1</x:v>
      </x:c>
      <x:c r="W307" s="118" t="n">
        <x:v>0</x:v>
      </x:c>
      <x:c r="X307" s="118" t="n">
        <x:v>1</x:v>
      </x:c>
      <x:c r="Y307" s="118" t="n">
        <x:v>0</x:v>
      </x:c>
      <x:c r="Z307" s="118" t="n">
        <x:v>0</x:v>
      </x:c>
      <x:c r="AA307" s="118" t="n">
        <x:v>0</x:v>
      </x:c>
      <x:c r="AB307" s="118" t="n">
        <x:v>0</x:v>
      </x:c>
      <x:c r="AC307" s="118" t="n">
        <x:v>0</x:v>
      </x:c>
    </x:row>
    <x:row r="308" ht="46" customHeight="1">
      <x:c r="A308" s="117" t="str">
        <x:v>300Ro00000zK6UTIA0</x:v>
      </x:c>
      <x:c r="B308" s="117" t="str">
        <x:v>MC_Shipment_on_create_Delivered_Date_Roll_Up</x:v>
      </x:c>
      <x:c r="C308" s="117" t="str">
        <x:v>Yes</x:v>
      </x:c>
      <x:c r="D308" s="119" t="str">
        <x:v>Active v1 (Retrieved XML)</x:v>
      </x:c>
      <x:c r="E308" s="119" t="str">
        <x:v>Loaner__c IsNull booleanValue=false | zkmulti__Actual_Delivery_Date__c IsNull booleanValue=false</x:v>
      </x:c>
      <x:c r="F308" s="119" t="str">
        <x:v>Loaner__c, zkmulti__MCShipment__c</x:v>
      </x:c>
      <x:c r="G308" s="119" t="str">
        <x:v>Delivered_Date__c, Id, Loaner__c, zkmulti__Actual_Delivery_Date__c</x:v>
      </x:c>
      <x:c r="H308" s="119" t="str"/>
      <x:c r="I308" s="119" t="str"/>
      <x:c r="J308" s="119" t="str"/>
      <x:c r="K308" s="118" t="n">
        <x:v>7</x:v>
      </x:c>
      <x:c r="L308" s="118" t="n">
        <x:v>0</x:v>
      </x:c>
      <x:c r="M308" s="118" t="n">
        <x:v>0</x:v>
      </x:c>
      <x:c r="N308" s="118" t="n">
        <x:v>1</x:v>
      </x:c>
      <x:c r="O308" s="118" t="n">
        <x:v>0</x:v>
      </x:c>
      <x:c r="P308" s="118" t="n">
        <x:v>0</x:v>
      </x:c>
      <x:c r="Q308" s="118" t="n">
        <x:v>2</x:v>
      </x:c>
      <x:c r="R308" s="118" t="n">
        <x:v>1</x:v>
      </x:c>
      <x:c r="S308" s="118" t="n">
        <x:v>0</x:v>
      </x:c>
      <x:c r="T308" s="118" t="n">
        <x:v>0</x:v>
      </x:c>
      <x:c r="U308" s="118" t="n">
        <x:v>0</x:v>
      </x:c>
      <x:c r="V308" s="118" t="n">
        <x:v>1</x:v>
      </x:c>
      <x:c r="W308" s="118" t="n">
        <x:v>0</x:v>
      </x:c>
      <x:c r="X308" s="118" t="n">
        <x:v>1</x:v>
      </x:c>
      <x:c r="Y308" s="118" t="n">
        <x:v>0</x:v>
      </x:c>
      <x:c r="Z308" s="118" t="n">
        <x:v>0</x:v>
      </x:c>
      <x:c r="AA308" s="118" t="n">
        <x:v>0</x:v>
      </x:c>
      <x:c r="AB308" s="118" t="n">
        <x:v>0</x:v>
      </x:c>
      <x:c r="AC308" s="118" t="n">
        <x:v>0</x:v>
      </x:c>
    </x:row>
    <x:row r="309" ht="46" customHeight="1">
      <x:c r="A309" s="117" t="str">
        <x:v>300Ro00000zKZzOIAW</x:v>
      </x:c>
      <x:c r="B309" s="117" t="str">
        <x:v>MC_Shipment_on_create_Ship_Date_Roll_Up</x:v>
      </x:c>
      <x:c r="C309" s="117" t="str">
        <x:v>Yes</x:v>
      </x:c>
      <x:c r="D309" s="119" t="str">
        <x:v>Active v1 (Retrieved XML)</x:v>
      </x:c>
      <x:c r="E309" s="119" t="str">
        <x:v>Loaner__c IsNull booleanValue=false | zkmulti__Ship_Date__c IsNull booleanValue=false</x:v>
      </x:c>
      <x:c r="F309" s="119" t="str">
        <x:v>Loaner__c, zkmulti__MCShipment__c</x:v>
      </x:c>
      <x:c r="G309" s="119" t="str">
        <x:v>Id, Loaner__c, Ship_Date__c, zkmulti__Ship_Date__c</x:v>
      </x:c>
      <x:c r="H309" s="119" t="str"/>
      <x:c r="I309" s="119" t="str"/>
      <x:c r="J309" s="119" t="str"/>
      <x:c r="K309" s="118" t="n">
        <x:v>7</x:v>
      </x:c>
      <x:c r="L309" s="118" t="n">
        <x:v>0</x:v>
      </x:c>
      <x:c r="M309" s="118" t="n">
        <x:v>0</x:v>
      </x:c>
      <x:c r="N309" s="118" t="n">
        <x:v>1</x:v>
      </x:c>
      <x:c r="O309" s="118" t="n">
        <x:v>0</x:v>
      </x:c>
      <x:c r="P309" s="118" t="n">
        <x:v>0</x:v>
      </x:c>
      <x:c r="Q309" s="118" t="n">
        <x:v>2</x:v>
      </x:c>
      <x:c r="R309" s="118" t="n">
        <x:v>1</x:v>
      </x:c>
      <x:c r="S309" s="118" t="n">
        <x:v>0</x:v>
      </x:c>
      <x:c r="T309" s="118" t="n">
        <x:v>0</x:v>
      </x:c>
      <x:c r="U309" s="118" t="n">
        <x:v>0</x:v>
      </x:c>
      <x:c r="V309" s="118" t="n">
        <x:v>1</x:v>
      </x:c>
      <x:c r="W309" s="118" t="n">
        <x:v>0</x:v>
      </x:c>
      <x:c r="X309" s="118" t="n">
        <x:v>1</x:v>
      </x:c>
      <x:c r="Y309" s="118" t="n">
        <x:v>0</x:v>
      </x:c>
      <x:c r="Z309" s="118" t="n">
        <x:v>0</x:v>
      </x:c>
      <x:c r="AA309" s="118" t="n">
        <x:v>0</x:v>
      </x:c>
      <x:c r="AB309" s="118" t="n">
        <x:v>0</x:v>
      </x:c>
      <x:c r="AC309" s="118" t="n">
        <x:v>0</x:v>
      </x:c>
    </x:row>
    <x:row r="310" ht="46" customHeight="1">
      <x:c r="A310" s="117" t="str">
        <x:v>300Ro00000zK6UUIA0</x:v>
      </x:c>
      <x:c r="B310" s="117" t="str">
        <x:v>MC_Shipment_on_update_Delivered_Date_Roll_Up</x:v>
      </x:c>
      <x:c r="C310" s="117" t="str">
        <x:v>Yes</x:v>
      </x:c>
      <x:c r="D310" s="119" t="str">
        <x:v>Active v1 (Retrieved XML)</x:v>
      </x:c>
      <x:c r="E310" s="119" t="str">
        <x:v>Loaner__c IsChanged booleanValue=true | zkmulti__Actual_Delivery_Date__c IsChanged booleanValue=true | Loaner__c IsNull booleanValue=false</x:v>
      </x:c>
      <x:c r="F310" s="119" t="str">
        <x:v>Loaner__c, zkmulti__MCShipment__c</x:v>
      </x:c>
      <x:c r="G310" s="119" t="str">
        <x:v>Delivered_Date__c, Id, Loaner__c, zkmulti__Actual_Delivery_Date__c</x:v>
      </x:c>
      <x:c r="H310" s="119" t="str"/>
      <x:c r="I310" s="119" t="str"/>
      <x:c r="J310" s="119" t="str"/>
      <x:c r="K310" s="118" t="n">
        <x:v>19</x:v>
      </x:c>
      <x:c r="L310" s="118" t="n">
        <x:v>0</x:v>
      </x:c>
      <x:c r="M310" s="118" t="n">
        <x:v>0</x:v>
      </x:c>
      <x:c r="N310" s="118" t="n">
        <x:v>4</x:v>
      </x:c>
      <x:c r="O310" s="118" t="n">
        <x:v>0</x:v>
      </x:c>
      <x:c r="P310" s="118" t="n">
        <x:v>0</x:v>
      </x:c>
      <x:c r="Q310" s="118" t="n">
        <x:v>5</x:v>
      </x:c>
      <x:c r="R310" s="118" t="n">
        <x:v>3</x:v>
      </x:c>
      <x:c r="S310" s="118" t="n">
        <x:v>0</x:v>
      </x:c>
      <x:c r="T310" s="118" t="n">
        <x:v>0</x:v>
      </x:c>
      <x:c r="U310" s="118" t="n">
        <x:v>0</x:v>
      </x:c>
      <x:c r="V310" s="118" t="n">
        <x:v>3</x:v>
      </x:c>
      <x:c r="W310" s="118" t="n">
        <x:v>0</x:v>
      </x:c>
      <x:c r="X310" s="118" t="n">
        <x:v>3</x:v>
      </x:c>
      <x:c r="Y310" s="118" t="n">
        <x:v>0</x:v>
      </x:c>
      <x:c r="Z310" s="118" t="n">
        <x:v>0</x:v>
      </x:c>
      <x:c r="AA310" s="118" t="n">
        <x:v>0</x:v>
      </x:c>
      <x:c r="AB310" s="118" t="n">
        <x:v>0</x:v>
      </x:c>
      <x:c r="AC310" s="118" t="n">
        <x:v>0</x:v>
      </x:c>
    </x:row>
    <x:row r="311" ht="46" customHeight="1">
      <x:c r="A311" s="117" t="str">
        <x:v>300Ro00000zKZzPIAW</x:v>
      </x:c>
      <x:c r="B311" s="117" t="str">
        <x:v>MC_Shipment_on_update_Ship_Date_Roll_Up</x:v>
      </x:c>
      <x:c r="C311" s="117" t="str">
        <x:v>Yes</x:v>
      </x:c>
      <x:c r="D311" s="119" t="str">
        <x:v>Active v1 (Retrieved XML)</x:v>
      </x:c>
      <x:c r="E311" s="119" t="str">
        <x:v>Loaner__c IsChanged booleanValue=true | zkmulti__Ship_Date__c IsChanged booleanValue=true | Loaner__c IsNull booleanValue=false</x:v>
      </x:c>
      <x:c r="F311" s="119" t="str">
        <x:v>Loaner__c, zkmulti__MCShipment__c</x:v>
      </x:c>
      <x:c r="G311" s="119" t="str">
        <x:v>Id, Loaner__c, Ship_Date__c, zkmulti__Ship_Date__c</x:v>
      </x:c>
      <x:c r="H311" s="119" t="str"/>
      <x:c r="I311" s="119" t="str"/>
      <x:c r="J311" s="119" t="str"/>
      <x:c r="K311" s="118" t="n">
        <x:v>19</x:v>
      </x:c>
      <x:c r="L311" s="118" t="n">
        <x:v>0</x:v>
      </x:c>
      <x:c r="M311" s="118" t="n">
        <x:v>0</x:v>
      </x:c>
      <x:c r="N311" s="118" t="n">
        <x:v>4</x:v>
      </x:c>
      <x:c r="O311" s="118" t="n">
        <x:v>0</x:v>
      </x:c>
      <x:c r="P311" s="118" t="n">
        <x:v>0</x:v>
      </x:c>
      <x:c r="Q311" s="118" t="n">
        <x:v>5</x:v>
      </x:c>
      <x:c r="R311" s="118" t="n">
        <x:v>3</x:v>
      </x:c>
      <x:c r="S311" s="118" t="n">
        <x:v>0</x:v>
      </x:c>
      <x:c r="T311" s="118" t="n">
        <x:v>0</x:v>
      </x:c>
      <x:c r="U311" s="118" t="n">
        <x:v>0</x:v>
      </x:c>
      <x:c r="V311" s="118" t="n">
        <x:v>3</x:v>
      </x:c>
      <x:c r="W311" s="118" t="n">
        <x:v>0</x:v>
      </x:c>
      <x:c r="X311" s="118" t="n">
        <x:v>3</x:v>
      </x:c>
      <x:c r="Y311" s="118" t="n">
        <x:v>0</x:v>
      </x:c>
      <x:c r="Z311" s="118" t="n">
        <x:v>0</x:v>
      </x:c>
      <x:c r="AA311" s="118" t="n">
        <x:v>0</x:v>
      </x:c>
      <x:c r="AB311" s="118" t="n">
        <x:v>0</x:v>
      </x:c>
      <x:c r="AC311" s="118" t="n">
        <x:v>0</x:v>
      </x:c>
    </x:row>
    <x:row r="312" ht="46" customHeight="1">
      <x:c r="A312" s="117" t="str">
        <x:v>300Ro000007doaXIAQ</x:v>
      </x:c>
      <x:c r="B312" s="117" t="str">
        <x:v>MC_Shipment_Rollups</x:v>
      </x:c>
      <x:c r="C312" s="117" t="str">
        <x:v>Yes</x:v>
      </x:c>
      <x:c r="D312" s="119" t="str">
        <x:v>Active v2 (Retrieved XML)</x:v>
      </x:c>
      <x:c r="E312" s="119" t="str"/>
      <x:c r="F312" s="119" t="str">
        <x:v>Loaner__c, zkmulti__MCShipment__c</x:v>
      </x:c>
      <x:c r="G312" s="119" t="str">
        <x:v>Id, Loaner__c, zkmulti__TotalNetCharge__c</x:v>
      </x:c>
      <x:c r="H312" s="119" t="str"/>
      <x:c r="I312" s="119" t="str"/>
      <x:c r="J312" s="119" t="str"/>
      <x:c r="K312" s="118" t="n">
        <x:v>7</x:v>
      </x:c>
      <x:c r="L312" s="118" t="n">
        <x:v>0</x:v>
      </x:c>
      <x:c r="M312" s="118" t="n">
        <x:v>0</x:v>
      </x:c>
      <x:c r="N312" s="118" t="n">
        <x:v>2</x:v>
      </x:c>
      <x:c r="O312" s="118" t="n">
        <x:v>0</x:v>
      </x:c>
      <x:c r="P312" s="118" t="n">
        <x:v>0</x:v>
      </x:c>
      <x:c r="Q312" s="118" t="n">
        <x:v>1</x:v>
      </x:c>
      <x:c r="R312" s="118" t="n">
        <x:v>1</x:v>
      </x:c>
      <x:c r="S312" s="118" t="n">
        <x:v>0</x:v>
      </x:c>
      <x:c r="T312" s="118" t="n">
        <x:v>0</x:v>
      </x:c>
      <x:c r="U312" s="118" t="n">
        <x:v>0</x:v>
      </x:c>
      <x:c r="V312" s="118" t="n">
        <x:v>1</x:v>
      </x:c>
      <x:c r="W312" s="118" t="n">
        <x:v>0</x:v>
      </x:c>
      <x:c r="X312" s="118" t="n">
        <x:v>1</x:v>
      </x:c>
      <x:c r="Y312" s="118" t="n">
        <x:v>0</x:v>
      </x:c>
      <x:c r="Z312" s="118" t="n">
        <x:v>0</x:v>
      </x:c>
      <x:c r="AA312" s="118" t="n">
        <x:v>0</x:v>
      </x:c>
      <x:c r="AB312" s="118" t="n">
        <x:v>0</x:v>
      </x:c>
      <x:c r="AC312" s="118" t="n">
        <x:v>0</x:v>
      </x:c>
    </x:row>
    <x:row r="313" ht="46" customHeight="1">
      <x:c r="A313" s="117" t="str">
        <x:v>300Ro00000zKj13IAC</x:v>
      </x:c>
      <x:c r="B313" s="117" t="str">
        <x:v>MCShipment_Before_Delete_Tracking_to_Loaner_Roll_Up</x:v>
      </x:c>
      <x:c r="C313" s="117" t="str">
        <x:v>Yes</x:v>
      </x:c>
      <x:c r="D313" s="119" t="str">
        <x:v>Active v1 (Retrieved XML)</x:v>
      </x:c>
      <x:c r="E313" s="119" t="str">
        <x:v>Loaner__c IsNull booleanValue=false</x:v>
      </x:c>
      <x:c r="F313" s="119" t="str">
        <x:v>Loaner__c, zkmulti__MCShipment__c</x:v>
      </x:c>
      <x:c r="G313" s="119" t="str">
        <x:v>Id, Loaner__c, Tracking_Number__c, zkmulti__Tracking_Number__c</x:v>
      </x:c>
      <x:c r="H313" s="119" t="str"/>
      <x:c r="I313" s="119" t="str"/>
      <x:c r="J313" s="119" t="str"/>
      <x:c r="K313" s="118" t="n">
        <x:v>6</x:v>
      </x:c>
      <x:c r="L313" s="118" t="n">
        <x:v>0</x:v>
      </x:c>
      <x:c r="M313" s="118" t="n">
        <x:v>0</x:v>
      </x:c>
      <x:c r="N313" s="118" t="n">
        <x:v>1</x:v>
      </x:c>
      <x:c r="O313" s="118" t="n">
        <x:v>0</x:v>
      </x:c>
      <x:c r="P313" s="118" t="n">
        <x:v>0</x:v>
      </x:c>
      <x:c r="Q313" s="118" t="n">
        <x:v>1</x:v>
      </x:c>
      <x:c r="R313" s="118" t="n">
        <x:v>1</x:v>
      </x:c>
      <x:c r="S313" s="118" t="n">
        <x:v>0</x:v>
      </x:c>
      <x:c r="T313" s="118" t="n">
        <x:v>0</x:v>
      </x:c>
      <x:c r="U313" s="118" t="n">
        <x:v>0</x:v>
      </x:c>
      <x:c r="V313" s="118" t="n">
        <x:v>1</x:v>
      </x:c>
      <x:c r="W313" s="118" t="n">
        <x:v>0</x:v>
      </x:c>
      <x:c r="X313" s="118" t="n">
        <x:v>1</x:v>
      </x:c>
      <x:c r="Y313" s="118" t="n">
        <x:v>0</x:v>
      </x:c>
      <x:c r="Z313" s="118" t="n">
        <x:v>0</x:v>
      </x:c>
      <x:c r="AA313" s="118" t="n">
        <x:v>0</x:v>
      </x:c>
      <x:c r="AB313" s="118" t="n">
        <x:v>0</x:v>
      </x:c>
      <x:c r="AC313" s="118" t="n">
        <x:v>0</x:v>
      </x:c>
    </x:row>
    <x:row r="314" ht="46" customHeight="1">
      <x:c r="A314" s="117" t="str">
        <x:v>300Ro00000zKj14IAC</x:v>
      </x:c>
      <x:c r="B314" s="117" t="str">
        <x:v>MCShipment_on_create_Tracking_to_Loaner_Roll_Up</x:v>
      </x:c>
      <x:c r="C314" s="117" t="str">
        <x:v>Yes</x:v>
      </x:c>
      <x:c r="D314" s="119" t="str">
        <x:v>Active v1 (Retrieved XML)</x:v>
      </x:c>
      <x:c r="E314" s="119" t="str">
        <x:v>Loaner__c IsNull booleanValue=false | zkmulti__Tracking_Number__c IsNull booleanValue=false</x:v>
      </x:c>
      <x:c r="F314" s="119" t="str">
        <x:v>Loaner__c, zkmulti__MCShipment__c</x:v>
      </x:c>
      <x:c r="G314" s="119" t="str">
        <x:v>Id, Loaner__c, Tracking_Number__c, zkmulti__Tracking_Number__c</x:v>
      </x:c>
      <x:c r="H314" s="119" t="str"/>
      <x:c r="I314" s="119" t="str"/>
      <x:c r="J314" s="119" t="str"/>
      <x:c r="K314" s="118" t="n">
        <x:v>6</x:v>
      </x:c>
      <x:c r="L314" s="118" t="n">
        <x:v>0</x:v>
      </x:c>
      <x:c r="M314" s="118" t="n">
        <x:v>0</x:v>
      </x:c>
      <x:c r="N314" s="118" t="n">
        <x:v>1</x:v>
      </x:c>
      <x:c r="O314" s="118" t="n">
        <x:v>0</x:v>
      </x:c>
      <x:c r="P314" s="118" t="n">
        <x:v>0</x:v>
      </x:c>
      <x:c r="Q314" s="118" t="n">
        <x:v>1</x:v>
      </x:c>
      <x:c r="R314" s="118" t="n">
        <x:v>1</x:v>
      </x:c>
      <x:c r="S314" s="118" t="n">
        <x:v>0</x:v>
      </x:c>
      <x:c r="T314" s="118" t="n">
        <x:v>0</x:v>
      </x:c>
      <x:c r="U314" s="118" t="n">
        <x:v>0</x:v>
      </x:c>
      <x:c r="V314" s="118" t="n">
        <x:v>1</x:v>
      </x:c>
      <x:c r="W314" s="118" t="n">
        <x:v>0</x:v>
      </x:c>
      <x:c r="X314" s="118" t="n">
        <x:v>1</x:v>
      </x:c>
      <x:c r="Y314" s="118" t="n">
        <x:v>0</x:v>
      </x:c>
      <x:c r="Z314" s="118" t="n">
        <x:v>0</x:v>
      </x:c>
      <x:c r="AA314" s="118" t="n">
        <x:v>0</x:v>
      </x:c>
      <x:c r="AB314" s="118" t="n">
        <x:v>0</x:v>
      </x:c>
      <x:c r="AC314" s="118" t="n">
        <x:v>0</x:v>
      </x:c>
    </x:row>
    <x:row r="315" ht="46" customHeight="1">
      <x:c r="A315" s="117" t="str">
        <x:v>300Ro00000zKj15IAC</x:v>
      </x:c>
      <x:c r="B315" s="117" t="str">
        <x:v>MCShipment_on_update_Tracking_to_Loaner_Roll_Up</x:v>
      </x:c>
      <x:c r="C315" s="117" t="str">
        <x:v>Yes</x:v>
      </x:c>
      <x:c r="D315" s="119" t="str">
        <x:v>Active v1 (Retrieved XML)</x:v>
      </x:c>
      <x:c r="E315" s="119" t="str">
        <x:v>Loaner__c IsChanged booleanValue=true | zkmulti__Tracking_Number__c IsChanged booleanValue=true | Loaner__c IsNull booleanValue=false</x:v>
      </x:c>
      <x:c r="F315" s="119" t="str">
        <x:v>Loaner__c, zkmulti__MCShipment__c</x:v>
      </x:c>
      <x:c r="G315" s="119" t="str">
        <x:v>Id, Loaner__c, Tracking_Number__c, zkmulti__Tracking_Number__c</x:v>
      </x:c>
      <x:c r="H315" s="119" t="str"/>
      <x:c r="I315" s="119" t="str"/>
      <x:c r="J315" s="119" t="str"/>
      <x:c r="K315" s="118" t="n">
        <x:v>16</x:v>
      </x:c>
      <x:c r="L315" s="118" t="n">
        <x:v>0</x:v>
      </x:c>
      <x:c r="M315" s="118" t="n">
        <x:v>0</x:v>
      </x:c>
      <x:c r="N315" s="118" t="n">
        <x:v>4</x:v>
      </x:c>
      <x:c r="O315" s="118" t="n">
        <x:v>0</x:v>
      </x:c>
      <x:c r="P315" s="118" t="n">
        <x:v>0</x:v>
      </x:c>
      <x:c r="Q315" s="118" t="n">
        <x:v>2</x:v>
      </x:c>
      <x:c r="R315" s="118" t="n">
        <x:v>3</x:v>
      </x:c>
      <x:c r="S315" s="118" t="n">
        <x:v>0</x:v>
      </x:c>
      <x:c r="T315" s="118" t="n">
        <x:v>0</x:v>
      </x:c>
      <x:c r="U315" s="118" t="n">
        <x:v>0</x:v>
      </x:c>
      <x:c r="V315" s="118" t="n">
        <x:v>3</x:v>
      </x:c>
      <x:c r="W315" s="118" t="n">
        <x:v>0</x:v>
      </x:c>
      <x:c r="X315" s="118" t="n">
        <x:v>3</x:v>
      </x:c>
      <x:c r="Y315" s="118" t="n">
        <x:v>0</x:v>
      </x:c>
      <x:c r="Z315" s="118" t="n">
        <x:v>0</x:v>
      </x:c>
      <x:c r="AA315" s="118" t="n">
        <x:v>0</x:v>
      </x:c>
      <x:c r="AB315" s="118" t="n">
        <x:v>0</x:v>
      </x:c>
      <x:c r="AC315" s="118" t="n">
        <x:v>0</x:v>
      </x:c>
    </x:row>
    <x:row r="316" ht="46" customHeight="1">
      <x:c r="A316" s="117" t="str">
        <x:v>3005b000000H43JAAS</x:v>
      </x:c>
      <x:c r="B316" s="117" t="str">
        <x:v>Missing_Asset_Checkbox_Notification_on_Asset2</x:v>
      </x:c>
      <x:c r="C316" s="117" t="str">
        <x:v>Yes</x:v>
      </x:c>
      <x:c r="D316" s="119" t="str">
        <x:v>Active v2 (Retrieved XML)</x:v>
      </x:c>
      <x:c r="E316" s="119" t="str">
        <x:v>Missing__c EqualTo booleanValue=true | Ownership__c EqualTo stringValue=Probo-UK | Ownership__c EqualTo stringValue=Probo-SAS</x:v>
      </x:c>
      <x:c r="F316" s="119" t="str">
        <x:v>Opportunity, ProductItem__c</x:v>
      </x:c>
      <x:c r="G316" s="119" t="str">
        <x:v>Id, Missing__c, Name, Ownership__c, Product_Name__c, Product_Name__r, Purchasing_Opportunity__c, Purchasing_Opportunity__r</x:v>
      </x:c>
      <x:c r="H316" s="119" t="str">
        <x:v>emailSimple</x:v>
      </x:c>
      <x:c r="I316" s="119" t="str"/>
      <x:c r="J316" s="119" t="str"/>
      <x:c r="K316" s="118" t="n">
        <x:v>3</x:v>
      </x:c>
      <x:c r="L316" s="118" t="n">
        <x:v>1</x:v>
      </x:c>
      <x:c r="M316" s="118" t="n">
        <x:v>0</x:v>
      </x:c>
      <x:c r="N316" s="118" t="n">
        <x:v>0</x:v>
      </x:c>
      <x:c r="O316" s="118" t="n">
        <x:v>0</x:v>
      </x:c>
      <x:c r="P316" s="118" t="n">
        <x:v>0</x:v>
      </x:c>
      <x:c r="Q316" s="118" t="n">
        <x:v>0</x:v>
      </x:c>
      <x:c r="R316" s="118" t="n">
        <x:v>0</x:v>
      </x:c>
      <x:c r="S316" s="118" t="n">
        <x:v>0</x:v>
      </x:c>
      <x:c r="T316" s="118" t="n">
        <x:v>0</x:v>
      </x:c>
      <x:c r="U316" s="118" t="n">
        <x:v>0</x:v>
      </x:c>
      <x:c r="V316" s="118" t="n">
        <x:v>1</x:v>
      </x:c>
      <x:c r="W316" s="118" t="n">
        <x:v>0</x:v>
      </x:c>
      <x:c r="X316" s="118" t="n">
        <x:v>0</x:v>
      </x:c>
      <x:c r="Y316" s="118" t="n">
        <x:v>0</x:v>
      </x:c>
      <x:c r="Z316" s="118" t="n">
        <x:v>0</x:v>
      </x:c>
      <x:c r="AA316" s="118" t="n">
        <x:v>0</x:v>
      </x:c>
      <x:c r="AB316" s="118" t="n">
        <x:v>0</x:v>
      </x:c>
      <x:c r="AC316" s="118" t="n">
        <x:v>0</x:v>
      </x:c>
    </x:row>
    <x:row r="317" ht="46" customHeight="1">
      <x:c r="A317" s="117" t="str">
        <x:v>3005b000000H1iiAAC</x:v>
      </x:c>
      <x:c r="B317" s="117" t="str">
        <x:v>MIUS_Stores_Shipping_Notification</x:v>
      </x:c>
      <x:c r="C317" s="117" t="str">
        <x:v>No</x:v>
      </x:c>
      <x:c r="D317" s="119" t="str">
        <x:v>Latest inactive v1 (Retrieved XML)</x:v>
      </x:c>
      <x:c r="E317" s="119" t="str"/>
      <x:c r="F317" s="119" t="str">
        <x:v>Opportunity</x:v>
      </x:c>
      <x:c r="G317" s="119" t="str"/>
      <x:c r="H317" s="119" t="str">
        <x:v>Opportunity.Shipping_Notification_to_MIUS_Stores_and_Stephen</x:v>
      </x:c>
      <x:c r="I317" s="119" t="str"/>
      <x:c r="J317" s="119" t="str"/>
      <x:c r="K317" s="118" t="n">
        <x:v>2</x:v>
      </x:c>
      <x:c r="L317" s="118" t="n">
        <x:v>1</x:v>
      </x:c>
      <x:c r="M317" s="118" t="n">
        <x:v>0</x:v>
      </x:c>
      <x:c r="N317" s="118" t="n">
        <x:v>0</x:v>
      </x:c>
      <x:c r="O317" s="118" t="n">
        <x:v>0</x:v>
      </x:c>
      <x:c r="P317" s="118" t="n">
        <x:v>0</x:v>
      </x:c>
      <x:c r="Q317" s="118" t="n">
        <x:v>1</x:v>
      </x:c>
      <x:c r="R317" s="118" t="n">
        <x:v>0</x:v>
      </x:c>
      <x:c r="S317" s="118" t="n">
        <x:v>0</x:v>
      </x:c>
      <x:c r="T317" s="118" t="n">
        <x:v>0</x:v>
      </x:c>
      <x:c r="U317" s="118" t="n">
        <x:v>0</x:v>
      </x:c>
      <x:c r="V317" s="118" t="n">
        <x:v>0</x:v>
      </x:c>
      <x:c r="W317" s="118" t="n">
        <x:v>0</x:v>
      </x:c>
      <x:c r="X317" s="118" t="n">
        <x:v>0</x:v>
      </x:c>
      <x:c r="Y317" s="118" t="n">
        <x:v>0</x:v>
      </x:c>
      <x:c r="Z317" s="118" t="n">
        <x:v>0</x:v>
      </x:c>
      <x:c r="AA317" s="118" t="n">
        <x:v>0</x:v>
      </x:c>
      <x:c r="AB317" s="118" t="n">
        <x:v>0</x:v>
      </x:c>
      <x:c r="AC317" s="118" t="n">
        <x:v>0</x:v>
      </x:c>
    </x:row>
    <x:row r="318" ht="46" customHeight="1">
      <x:c r="A318" s="117" t="str">
        <x:v>300Ro00000cwVggIAE</x:v>
      </x:c>
      <x:c r="B318" s="117" t="str">
        <x:v>Mobile_Create_Work_Order_From_Account</x:v>
      </x:c>
      <x:c r="C318" s="117" t="str">
        <x:v>Yes</x:v>
      </x:c>
      <x:c r="D318" s="119" t="str">
        <x:v>Active v1 (Retrieved XML)</x:v>
      </x:c>
      <x:c r="E318" s="119" t="str"/>
      <x:c r="F318" s="119" t="str">
        <x:v>Account, ContractLineItem, ServiceContract, WorkOrder, WorkType</x:v>
      </x:c>
      <x:c r="G318" s="119" t="str">
        <x:v>AccountId, Billing_City__c, Billing_State__c, Billing_Street__c, Billing_Zip_Postal_Code__c, Description, Id, Priority, RecordTypeId, Reported_Symptoms__c, Reporter_Contact_Info__c, Shipping_City__c, Shipping_Postal_Code__c, Shipping_State__c, Shipping_Street__c, StartDate, Subject, WorkTypeId</x:v>
      </x:c>
      <x:c r="H318" s="119" t="str"/>
      <x:c r="I318" s="119" t="str"/>
      <x:c r="J318" s="119" t="str"/>
      <x:c r="K318" s="118" t="n">
        <x:v>6</x:v>
      </x:c>
      <x:c r="L318" s="118" t="n">
        <x:v>0</x:v>
      </x:c>
      <x:c r="M318" s="118" t="n">
        <x:v>0</x:v>
      </x:c>
      <x:c r="N318" s="118" t="n">
        <x:v>1</x:v>
      </x:c>
      <x:c r="O318" s="118" t="n">
        <x:v>0</x:v>
      </x:c>
      <x:c r="P318" s="118" t="n">
        <x:v>0</x:v>
      </x:c>
      <x:c r="Q318" s="118" t="n">
        <x:v>1</x:v>
      </x:c>
      <x:c r="R318" s="118" t="n">
        <x:v>0</x:v>
      </x:c>
      <x:c r="S318" s="118" t="n">
        <x:v>0</x:v>
      </x:c>
      <x:c r="T318" s="118" t="n">
        <x:v>1</x:v>
      </x:c>
      <x:c r="U318" s="118" t="n">
        <x:v>0</x:v>
      </x:c>
      <x:c r="V318" s="118" t="n">
        <x:v>1</x:v>
      </x:c>
      <x:c r="W318" s="118" t="n">
        <x:v>0</x:v>
      </x:c>
      <x:c r="X318" s="118" t="n">
        <x:v>0</x:v>
      </x:c>
      <x:c r="Y318" s="118" t="n">
        <x:v>1</x:v>
      </x:c>
      <x:c r="Z318" s="118" t="n">
        <x:v>0</x:v>
      </x:c>
      <x:c r="AA318" s="118" t="n">
        <x:v>0</x:v>
      </x:c>
      <x:c r="AB318" s="118" t="n">
        <x:v>0</x:v>
      </x:c>
      <x:c r="AC318" s="118" t="n">
        <x:v>0</x:v>
      </x:c>
    </x:row>
    <x:row r="319" ht="46" customHeight="1">
      <x:c r="A319" s="117" t="str">
        <x:v>300Ro00000cwVghIAE</x:v>
      </x:c>
      <x:c r="B319" s="117" t="str">
        <x:v>Mobile_Create_Work_Order_From_Contract_Line_Item</x:v>
      </x:c>
      <x:c r="C319" s="117" t="str">
        <x:v>Yes</x:v>
      </x:c>
      <x:c r="D319" s="119" t="str">
        <x:v>Active v1 (Retrieved XML)</x:v>
      </x:c>
      <x:c r="E319" s="119" t="str"/>
      <x:c r="F319" s="119" t="str">
        <x:v>ContractLineItem, ServiceContract, WorkOrder, WorkType</x:v>
      </x:c>
      <x:c r="G319" s="119" t="str">
        <x:v>AccountId, Contract_Line_Item__c, Description, Id, Priority, RecordTypeId, Reported_Symptoms__c, Reporter_Contact_Info__c, ServiceContractId, StartDate, Subject, Ultrasound_Global_Action_Automation__c, WorkTypeId</x:v>
      </x:c>
      <x:c r="H319" s="119" t="str"/>
      <x:c r="I319" s="119" t="str"/>
      <x:c r="J319" s="119" t="str"/>
      <x:c r="K319" s="118" t="n">
        <x:v>7</x:v>
      </x:c>
      <x:c r="L319" s="118" t="n">
        <x:v>0</x:v>
      </x:c>
      <x:c r="M319" s="118" t="n">
        <x:v>0</x:v>
      </x:c>
      <x:c r="N319" s="118" t="n">
        <x:v>1</x:v>
      </x:c>
      <x:c r="O319" s="118" t="n">
        <x:v>0</x:v>
      </x:c>
      <x:c r="P319" s="118" t="n">
        <x:v>0</x:v>
      </x:c>
      <x:c r="Q319" s="118" t="n">
        <x:v>1</x:v>
      </x:c>
      <x:c r="R319" s="118" t="n">
        <x:v>0</x:v>
      </x:c>
      <x:c r="S319" s="118" t="n">
        <x:v>0</x:v>
      </x:c>
      <x:c r="T319" s="118" t="n">
        <x:v>1</x:v>
      </x:c>
      <x:c r="U319" s="118" t="n">
        <x:v>0</x:v>
      </x:c>
      <x:c r="V319" s="118" t="n">
        <x:v>2</x:v>
      </x:c>
      <x:c r="W319" s="118" t="n">
        <x:v>0</x:v>
      </x:c>
      <x:c r="X319" s="118" t="n">
        <x:v>0</x:v>
      </x:c>
      <x:c r="Y319" s="118" t="n">
        <x:v>1</x:v>
      </x:c>
      <x:c r="Z319" s="118" t="n">
        <x:v>0</x:v>
      </x:c>
      <x:c r="AA319" s="118" t="n">
        <x:v>0</x:v>
      </x:c>
      <x:c r="AB319" s="118" t="n">
        <x:v>0</x:v>
      </x:c>
      <x:c r="AC319" s="118" t="n">
        <x:v>0</x:v>
      </x:c>
    </x:row>
    <x:row r="320" ht="46" customHeight="1">
      <x:c r="A320" s="117" t="str">
        <x:v>300Ro00000Pz0krIAB</x:v>
      </x:c>
      <x:c r="B320" s="117" t="str">
        <x:v>Mobile_X_Ray_Checklist</x:v>
      </x:c>
      <x:c r="C320" s="117" t="str">
        <x:v>Yes</x:v>
      </x:c>
      <x:c r="D320" s="119" t="str">
        <x:v>Active v12 (Retrieved XML)</x:v>
      </x:c>
      <x:c r="E320" s="119" t="str"/>
      <x:c r="F320" s="119" t="str">
        <x:v>ServiceAppointment, WorkOrder</x:v>
      </x:c>
      <x:c r="G320" s="119" t="str">
        <x:v>Additional_Documentation_Reference__c, Alignment_and_Centring_Comments__c, Alignment_and_Centring__c, Alignment_and_Positioning_Comments__c, Alignment_and_Positioning__c, BF_Outputs_Comments__c, BF_Outputs__c, BIOS_Battery_Voltage__c, Bearings_and_Tracks_Comments__c, Bearings_and_Tracks__c, Brakes_and_Locks_Comments__c, Brakes_and_Locks__c, Cables_and_Hanger_Supports_Comments__c, Cables_and_Hanger_Supports__c, Castors_and_Brakes_Comments__c, Castors_and_Brakes__c, Checklist_Output_Formatted_1__c, Checklist_Output_Formatted_2__c, Checklist_Output_Formatted_3__c, Checklist_Output_Formatted_4__c, Checklist_Output_Formatted_5__c, Checklist_Output_Formatted_6__c, Checklist_Output_Formatted__c, Checklist_Type__c, Collimator_Comments__c, Collimator_Function_and_Alignment__c, Covers_Secured_Comments__c, Covers_Secured__c, DAP_Accuracy_Comments__c, DAP_Accuracy__c, Detector_Calibration_Comments__c, Detector_Calibration__c, Detector_Contrast_Comments__c, Detector_Contrast__c, Detector_Resolution_Comments__c, Detector_Resolution__c, Detector_Uniformity_Comments__c, Detector_Uniformity__c, Emergency_Stop_Switches_Comments__c, Emergency_Stop_Switches_and_Isolators__c, End_to_End_DICOM_Comments__c, End_to_End_DICOM__c, Error_Logs_Comments__c, Error_Logs__c, Exposure_Index_Comments__c, Exposure_Index__c, Exposure_Indicators_Comments__c, Exposure_Indicators__c, FF_Outputs_Comments__c, FF_Outputs__c, Final_Functional_Checks_Comments__c, Final_Functional_Checks__c, Final_Visual_Checks_Comments__c, Final_Visual_Checks__c, Generate_Service_Report_HTML__c, Grid_Artifacts_Comments__c, Grid_Artifacts__c, Handswitch_Holder_Comments__c, Handswitch_Holder__c, Handswitch_and_Foot_Pedals_Comments__c, Handswitch_and_Foot_Pedals__c, Id, Image_Display_Quality_Comments__c, Image_Display_Quality__c, Mechanical_Visual_Inspection_Comments__c, Mechanical_Visual_Inspection__c, Motorised_Positioning_Comments__c, Motorised_Positioning__c, Mountings_and_Fixings_Comments__c, Mountings_and_Fixings__c, Movements_Comments__c, Movements__c, Plug_Integrity_Comments__c, Plug_Integrity__c, Post_Processing_Functions_Comments__c, Post_Processing_Functions__c, Switches_Pedals_and_Controls_Comments__c, Switches_Pedals_and_Controls__c, System_Earth_Continuity_Comments__c, System_Earth_Continuity__c, System_Earth_Leakage_Forward_Comments__c, System_Earth_Leakage_Forward__c, Tube_Adjustments_Comments__c, Tube_Adjustments_Performed__c, UI_Clean_Comments__c, UI_Clean_Completed__c, UPS_Battery_Comments__c, UPS_Battery__c, Ventilation_Clean_Comments__c, Ventilation_Clean__c, Visual_Inspection_Comments__c, Visual_Inspection__c</x:v>
      </x:c>
      <x:c r="H320" s="119" t="str"/>
      <x:c r="I320" s="119" t="str"/>
      <x:c r="J320" s="119" t="str"/>
      <x:c r="K320" s="118" t="n">
        <x:v>16</x:v>
      </x:c>
      <x:c r="L320" s="118" t="n">
        <x:v>0</x:v>
      </x:c>
      <x:c r="M320" s="118" t="n">
        <x:v>0</x:v>
      </x:c>
      <x:c r="N320" s="118" t="n">
        <x:v>0</x:v>
      </x:c>
      <x:c r="O320" s="118" t="n">
        <x:v>0</x:v>
      </x:c>
      <x:c r="P320" s="118" t="n">
        <x:v>0</x:v>
      </x:c>
      <x:c r="Q320" s="118" t="n">
        <x:v>0</x:v>
      </x:c>
      <x:c r="R320" s="118" t="n">
        <x:v>0</x:v>
      </x:c>
      <x:c r="S320" s="118" t="n">
        <x:v>0</x:v>
      </x:c>
      <x:c r="T320" s="118" t="n">
        <x:v>0</x:v>
      </x:c>
      <x:c r="U320" s="118" t="n">
        <x:v>0</x:v>
      </x:c>
      <x:c r="V320" s="118" t="n">
        <x:v>1</x:v>
      </x:c>
      <x:c r="W320" s="118" t="n">
        <x:v>0</x:v>
      </x:c>
      <x:c r="X320" s="118" t="n">
        <x:v>7</x:v>
      </x:c>
      <x:c r="Y320" s="118" t="n">
        <x:v>7</x:v>
      </x:c>
      <x:c r="Z320" s="118" t="n">
        <x:v>0</x:v>
      </x:c>
      <x:c r="AA320" s="118" t="n">
        <x:v>0</x:v>
      </x:c>
      <x:c r="AB320" s="118" t="n">
        <x:v>0</x:v>
      </x:c>
      <x:c r="AC320" s="118" t="n">
        <x:v>0</x:v>
      </x:c>
    </x:row>
    <x:row r="321" ht="46" customHeight="1">
      <x:c r="A321" s="117" t="str">
        <x:v>300Ro00000RkPiDIAV</x:v>
      </x:c>
      <x:c r="B321" s="117" t="str">
        <x:v>MP_Test</x:v>
      </x:c>
      <x:c r="C321" s="117" t="str">
        <x:v>No</x:v>
      </x:c>
      <x:c r="D321" s="119" t="str">
        <x:v>Latest inactive v7 (Retrieved XML)</x:v>
      </x:c>
      <x:c r="E321" s="119" t="str">
        <x:v>Approval_Status__c EqualTo stringValue=Accepted</x:v>
      </x:c>
      <x:c r="F321" s="119" t="str">
        <x:v>Account, Intercompany_Transfer__c, Opportunity, OpportunityLineItem, PricebookEntry, ProductItem__c, RecordType</x:v>
      </x:c>
      <x:c r="G321" s="119" t="str">
        <x:v>Approval_Status__c, Asset_No__c, Asset_Requested__c, Asset_Requested__r, CurrencyIsoCode, DeveloperName, Enable_Manual_Cost_Assignment__c, Internal_Purchase__c, Internal_Purchase__r, Internal_Sale__c, Name, Need_by_Date__c, New_Transferred_Asset__c, New_Transferred_Asset__r, OpportunityId, PricebookEntryId, Probo_s_Offer__c, Procurement_Purpose__c, Product2Id, ProductItem__c, Quantity, Sales_Opportunity__c, Ship_to_Account__r, TotalPrice, Transfer_To__c, UnitPrice</x:v>
      </x:c>
      <x:c r="H321" s="119" t="str"/>
      <x:c r="I321" s="119" t="str"/>
      <x:c r="J321" s="119" t="str"/>
      <x:c r="K321" s="118" t="n">
        <x:v>18</x:v>
      </x:c>
      <x:c r="L321" s="118" t="n">
        <x:v>0</x:v>
      </x:c>
      <x:c r="M321" s="118" t="n">
        <x:v>0</x:v>
      </x:c>
      <x:c r="N321" s="118" t="n">
        <x:v>3</x:v>
      </x:c>
      <x:c r="O321" s="118" t="n">
        <x:v>0</x:v>
      </x:c>
      <x:c r="P321" s="118" t="n">
        <x:v>0</x:v>
      </x:c>
      <x:c r="Q321" s="118" t="n">
        <x:v>0</x:v>
      </x:c>
      <x:c r="R321" s="118" t="n">
        <x:v>0</x:v>
      </x:c>
      <x:c r="S321" s="118" t="n">
        <x:v>0</x:v>
      </x:c>
      <x:c r="T321" s="118" t="n">
        <x:v>5</x:v>
      </x:c>
      <x:c r="U321" s="118" t="n">
        <x:v>0</x:v>
      </x:c>
      <x:c r="V321" s="118" t="n">
        <x:v>5</x:v>
      </x:c>
      <x:c r="W321" s="118" t="n">
        <x:v>0</x:v>
      </x:c>
      <x:c r="X321" s="118" t="n">
        <x:v>4</x:v>
      </x:c>
      <x:c r="Y321" s="118" t="n">
        <x:v>0</x:v>
      </x:c>
      <x:c r="Z321" s="118" t="n">
        <x:v>0</x:v>
      </x:c>
      <x:c r="AA321" s="118" t="n">
        <x:v>0</x:v>
      </x:c>
      <x:c r="AB321" s="118" t="n">
        <x:v>0</x:v>
      </x:c>
      <x:c r="AC321" s="118" t="n">
        <x:v>0</x:v>
      </x:c>
    </x:row>
    <x:row r="322" ht="46" customHeight="1">
      <x:c r="A322" s="117" t="str">
        <x:v>300Ro00000Pz0kpIAB</x:v>
      </x:c>
      <x:c r="B322" s="117" t="str">
        <x:v>MRI_Checklist</x:v>
      </x:c>
      <x:c r="C322" s="117" t="str">
        <x:v>Yes</x:v>
      </x:c>
      <x:c r="D322" s="119" t="str">
        <x:v>Active v3 (Tooling metadata)</x:v>
      </x:c>
      <x:c r="E322" s="119" t="str"/>
      <x:c r="F322" s="119" t="str">
        <x:v>ServiceAppointment, WorkOrder</x:v>
      </x:c>
      <x:c r="G322" s="119" t="str">
        <x:v>Checklist_Output_Formatted__c, Id</x:v>
      </x:c>
      <x:c r="H322" s="119" t="str"/>
      <x:c r="I322" s="119" t="str"/>
      <x:c r="J322" s="119" t="str"/>
      <x:c r="K322" s="118" t="n">
        <x:v>16</x:v>
      </x:c>
      <x:c r="L322" s="118" t="n">
        <x:v>0</x:v>
      </x:c>
      <x:c r="M322" s="118" t="n">
        <x:v>0</x:v>
      </x:c>
      <x:c r="N322" s="118" t="n">
        <x:v>1</x:v>
      </x:c>
      <x:c r="O322" s="118" t="n">
        <x:v>0</x:v>
      </x:c>
      <x:c r="P322" s="118" t="n">
        <x:v>0</x:v>
      </x:c>
      <x:c r="Q322" s="118" t="n">
        <x:v>0</x:v>
      </x:c>
      <x:c r="R322" s="118" t="n">
        <x:v>0</x:v>
      </x:c>
      <x:c r="S322" s="118" t="n">
        <x:v>0</x:v>
      </x:c>
      <x:c r="T322" s="118" t="n">
        <x:v>0</x:v>
      </x:c>
      <x:c r="U322" s="118" t="n">
        <x:v>0</x:v>
      </x:c>
      <x:c r="V322" s="118" t="n">
        <x:v>0</x:v>
      </x:c>
      <x:c r="W322" s="118" t="n">
        <x:v>0</x:v>
      </x:c>
      <x:c r="X322" s="118" t="n">
        <x:v>1</x:v>
      </x:c>
      <x:c r="Y322" s="118" t="n">
        <x:v>13</x:v>
      </x:c>
      <x:c r="Z322" s="118" t="n">
        <x:v>0</x:v>
      </x:c>
      <x:c r="AA322" s="118" t="n">
        <x:v>0</x:v>
      </x:c>
      <x:c r="AB322" s="118" t="n">
        <x:v>0</x:v>
      </x:c>
      <x:c r="AC322" s="118" t="n">
        <x:v>0</x:v>
      </x:c>
    </x:row>
    <x:row r="323" ht="46" customHeight="1">
      <x:c r="A323" s="117" t="str">
        <x:v>3005b000000LJX2AAO</x:v>
      </x:c>
      <x:c r="B323" s="117" t="str">
        <x:v>New_BIAN</x:v>
      </x:c>
      <x:c r="C323" s="117" t="str">
        <x:v>No</x:v>
      </x:c>
      <x:c r="D323" s="119" t="str">
        <x:v>Latest inactive v2 (Retrieved XML)</x:v>
      </x:c>
      <x:c r="E323" s="119" t="str">
        <x:v>Physical_Location__c Contains stringValue="UK","FR" | Received__c IsChanged booleanValue=true | RecordTypeId NotEqualTo stringValue=0125b000000LWcIAAW</x:v>
      </x:c>
      <x:c r="F323" s="119" t="str">
        <x:v>ProductItem__c</x:v>
      </x:c>
      <x:c r="G323" s="119" t="str">
        <x:v>Id, Physical_Location__c, Received__c, RecordTypeId</x:v>
      </x:c>
      <x:c r="H323" s="119" t="str">
        <x:v>emailSimple</x:v>
      </x:c>
      <x:c r="I323" s="119" t="str"/>
      <x:c r="J323" s="119" t="str"/>
      <x:c r="K323" s="118" t="n">
        <x:v>5</x:v>
      </x:c>
      <x:c r="L323" s="118" t="n">
        <x:v>2</x:v>
      </x:c>
      <x:c r="M323" s="118" t="n">
        <x:v>0</x:v>
      </x:c>
      <x:c r="N323" s="118" t="n">
        <x:v>0</x:v>
      </x:c>
      <x:c r="O323" s="118" t="n">
        <x:v>0</x:v>
      </x:c>
      <x:c r="P323" s="118" t="n">
        <x:v>0</x:v>
      </x:c>
      <x:c r="Q323" s="118" t="n">
        <x:v>1</x:v>
      </x:c>
      <x:c r="R323" s="118" t="n">
        <x:v>0</x:v>
      </x:c>
      <x:c r="S323" s="118" t="n">
        <x:v>0</x:v>
      </x:c>
      <x:c r="T323" s="118" t="n">
        <x:v>0</x:v>
      </x:c>
      <x:c r="U323" s="118" t="n">
        <x:v>0</x:v>
      </x:c>
      <x:c r="V323" s="118" t="n">
        <x:v>1</x:v>
      </x:c>
      <x:c r="W323" s="118" t="n">
        <x:v>0</x:v>
      </x:c>
      <x:c r="X323" s="118" t="n">
        <x:v>0</x:v>
      </x:c>
      <x:c r="Y323" s="118" t="n">
        <x:v>0</x:v>
      </x:c>
      <x:c r="Z323" s="118" t="n">
        <x:v>0</x:v>
      </x:c>
      <x:c r="AA323" s="118" t="n">
        <x:v>0</x:v>
      </x:c>
      <x:c r="AB323" s="118" t="n">
        <x:v>0</x:v>
      </x:c>
      <x:c r="AC323" s="118" t="n">
        <x:v>0</x:v>
      </x:c>
    </x:row>
    <x:row r="324" ht="46" customHeight="1">
      <x:c r="A324" s="117" t="str">
        <x:v>3005b000000H3duAAC</x:v>
      </x:c>
      <x:c r="B324" s="117" t="str">
        <x:v>New_Child_Work_Order_from_Work_Order</x:v>
      </x:c>
      <x:c r="C324" s="117" t="str">
        <x:v>Yes</x:v>
      </x:c>
      <x:c r="D324" s="119" t="str">
        <x:v>Active v7 (Retrieved XML)</x:v>
      </x:c>
      <x:c r="E324" s="119" t="str"/>
      <x:c r="F324" s="119" t="str">
        <x:v>RecordType, WorkOrder</x:v>
      </x:c>
      <x:c r="G324" s="119" t="str">
        <x:v>AccountId, Classification__c, Contract_Line_Item__c, CurrencyIsoCode, Id, Opportunity__c, OwnerId, ParentWorkOrderId, Priority, RecordTypeId, Reported_Symptoms__c, ServiceContractId, Shipping_City__c, Shipping_FROM_Location__c, Shipping_Postal_Code__c, Shipping_Street__c, SobjectType, StartDate, Status, UK_Engineer_s_Assigned__c</x:v>
      </x:c>
      <x:c r="H324" s="119" t="str"/>
      <x:c r="I324" s="119" t="str"/>
      <x:c r="J324" s="119" t="str"/>
      <x:c r="K324" s="118" t="n">
        <x:v>6</x:v>
      </x:c>
      <x:c r="L324" s="118" t="n">
        <x:v>0</x:v>
      </x:c>
      <x:c r="M324" s="118" t="n">
        <x:v>0</x:v>
      </x:c>
      <x:c r="N324" s="118" t="n">
        <x:v>0</x:v>
      </x:c>
      <x:c r="O324" s="118" t="n">
        <x:v>0</x:v>
      </x:c>
      <x:c r="P324" s="118" t="n">
        <x:v>0</x:v>
      </x:c>
      <x:c r="Q324" s="118" t="n">
        <x:v>1</x:v>
      </x:c>
      <x:c r="R324" s="118" t="n">
        <x:v>0</x:v>
      </x:c>
      <x:c r="S324" s="118" t="n">
        <x:v>0</x:v>
      </x:c>
      <x:c r="T324" s="118" t="n">
        <x:v>2</x:v>
      </x:c>
      <x:c r="U324" s="118" t="n">
        <x:v>0</x:v>
      </x:c>
      <x:c r="V324" s="118" t="n">
        <x:v>1</x:v>
      </x:c>
      <x:c r="W324" s="118" t="n">
        <x:v>0</x:v>
      </x:c>
      <x:c r="X324" s="118" t="n">
        <x:v>0</x:v>
      </x:c>
      <x:c r="Y324" s="118" t="n">
        <x:v>1</x:v>
      </x:c>
      <x:c r="Z324" s="118" t="n">
        <x:v>0</x:v>
      </x:c>
      <x:c r="AA324" s="118" t="n">
        <x:v>0</x:v>
      </x:c>
      <x:c r="AB324" s="118" t="n">
        <x:v>0</x:v>
      </x:c>
      <x:c r="AC324" s="118" t="n">
        <x:v>0</x:v>
      </x:c>
    </x:row>
    <x:row r="325" ht="46" customHeight="1">
      <x:c r="A325" s="117" t="str">
        <x:v>3005b000000H3xpAAC</x:v>
      </x:c>
      <x:c r="B325" s="117" t="str">
        <x:v>New_Move_Location_Flow_TEST</x:v>
      </x:c>
      <x:c r="C325" s="117" t="str">
        <x:v>No</x:v>
      </x:c>
      <x:c r="D325" s="119" t="str">
        <x:v>Latest inactive v1 (Retrieved XML)</x:v>
      </x:c>
      <x:c r="E325" s="119" t="str"/>
      <x:c r="F325" s="119" t="str"/>
      <x:c r="G325" s="119" t="str"/>
      <x:c r="H325" s="119" t="str"/>
      <x:c r="I325" s="119" t="str"/>
      <x:c r="J325" s="119" t="str"/>
      <x:c r="K325" s="118" t="n">
        <x:v>2</x:v>
      </x:c>
      <x:c r="L325" s="118" t="n">
        <x:v>0</x:v>
      </x:c>
      <x:c r="M325" s="118" t="n">
        <x:v>0</x:v>
      </x:c>
      <x:c r="N325" s="118" t="n">
        <x:v>0</x:v>
      </x:c>
      <x:c r="O325" s="118" t="n">
        <x:v>0</x:v>
      </x:c>
      <x:c r="P325" s="118" t="n">
        <x:v>0</x:v>
      </x:c>
      <x:c r="Q325" s="118" t="n">
        <x:v>0</x:v>
      </x:c>
      <x:c r="R325" s="118" t="n">
        <x:v>0</x:v>
      </x:c>
      <x:c r="S325" s="118" t="n">
        <x:v>0</x:v>
      </x:c>
      <x:c r="T325" s="118" t="n">
        <x:v>0</x:v>
      </x:c>
      <x:c r="U325" s="118" t="n">
        <x:v>0</x:v>
      </x:c>
      <x:c r="V325" s="118" t="n">
        <x:v>0</x:v>
      </x:c>
      <x:c r="W325" s="118" t="n">
        <x:v>0</x:v>
      </x:c>
      <x:c r="X325" s="118" t="n">
        <x:v>0</x:v>
      </x:c>
      <x:c r="Y325" s="118" t="n">
        <x:v>1</x:v>
      </x:c>
      <x:c r="Z325" s="118" t="n">
        <x:v>0</x:v>
      </x:c>
      <x:c r="AA325" s="118" t="n">
        <x:v>0</x:v>
      </x:c>
      <x:c r="AB325" s="118" t="n">
        <x:v>0</x:v>
      </x:c>
      <x:c r="AC325" s="118" t="n">
        <x:v>0</x:v>
      </x:c>
    </x:row>
    <x:row r="326" ht="46" customHeight="1">
      <x:c r="A326" s="117" t="str">
        <x:v>3005b000000H42QAAS</x:v>
      </x:c>
      <x:c r="B326" s="117" t="str">
        <x:v>New_Move_Location_Screen_Flow</x:v>
      </x:c>
      <x:c r="C326" s="117" t="str">
        <x:v>Yes</x:v>
      </x:c>
      <x:c r="D326" s="119" t="str">
        <x:v>Active v38 (Retrieved XML)</x:v>
      </x:c>
      <x:c r="E326" s="119" t="str"/>
      <x:c r="F326" s="119" t="str">
        <x:v>Move_Location__c, ProductItem__c</x:v>
      </x:c>
      <x:c r="G326" s="119" t="str">
        <x:v>Harvest_Work_Order__c, Id, Purchasing_Opportunity__c, Sales_Opportunity__c, sold__c</x:v>
      </x:c>
      <x:c r="H326" s="119" t="str"/>
      <x:c r="I326" s="119" t="str"/>
      <x:c r="J326" s="119" t="str">
        <x:v>flowruntime:datatable, flowruntime:dependentPicklists</x:v>
      </x:c>
      <x:c r="K326" s="118" t="n">
        <x:v>16</x:v>
      </x:c>
      <x:c r="L326" s="118" t="n">
        <x:v>0</x:v>
      </x:c>
      <x:c r="M326" s="118" t="n">
        <x:v>0</x:v>
      </x:c>
      <x:c r="N326" s="118" t="n">
        <x:v>6</x:v>
      </x:c>
      <x:c r="O326" s="118" t="n">
        <x:v>0</x:v>
      </x:c>
      <x:c r="P326" s="118" t="n">
        <x:v>0</x:v>
      </x:c>
      <x:c r="Q326" s="118" t="n">
        <x:v>1</x:v>
      </x:c>
      <x:c r="R326" s="118" t="n">
        <x:v>1</x:v>
      </x:c>
      <x:c r="S326" s="118" t="n">
        <x:v>0</x:v>
      </x:c>
      <x:c r="T326" s="118" t="n">
        <x:v>1</x:v>
      </x:c>
      <x:c r="U326" s="118" t="n">
        <x:v>0</x:v>
      </x:c>
      <x:c r="V326" s="118" t="n">
        <x:v>3</x:v>
      </x:c>
      <x:c r="W326" s="118" t="n">
        <x:v>0</x:v>
      </x:c>
      <x:c r="X326" s="118" t="n">
        <x:v>0</x:v>
      </x:c>
      <x:c r="Y326" s="118" t="n">
        <x:v>3</x:v>
      </x:c>
      <x:c r="Z326" s="118" t="n">
        <x:v>0</x:v>
      </x:c>
      <x:c r="AA326" s="118" t="n">
        <x:v>0</x:v>
      </x:c>
      <x:c r="AB326" s="118" t="n">
        <x:v>0</x:v>
      </x:c>
      <x:c r="AC326" s="118" t="n">
        <x:v>0</x:v>
      </x:c>
    </x:row>
    <x:row r="327" ht="46" customHeight="1">
      <x:c r="A327" s="117" t="str">
        <x:v>3004O0000008mBQQAY</x:v>
      </x:c>
      <x:c r="B327" s="117" t="str">
        <x:v>New_Opportunity_for_Existing_Contact_Form_Submissions</x:v>
      </x:c>
      <x:c r="C327" s="117" t="str">
        <x:v>No</x:v>
      </x:c>
      <x:c r="D327" s="119" t="str">
        <x:v>Latest inactive v7 (Retrieved XML)</x:v>
      </x:c>
      <x:c r="E327" s="119" t="str"/>
      <x:c r="F327" s="119" t="str">
        <x:v>Contact, Opportunity</x:v>
      </x:c>
      <x:c r="G327" s="119" t="str">
        <x:v>CloseDate, LeadSource, Name, StageName</x:v>
      </x:c>
      <x:c r="H327" s="119" t="str">
        <x:v>Contact.Alert_Owner_of_Pardot_Resubmission_Contact</x:v>
      </x:c>
      <x:c r="I327" s="119" t="str"/>
      <x:c r="J327" s="119" t="str"/>
      <x:c r="K327" s="118" t="n">
        <x:v>4</x:v>
      </x:c>
      <x:c r="L327" s="118" t="n">
        <x:v>1</x:v>
      </x:c>
      <x:c r="M327" s="118" t="n">
        <x:v>0</x:v>
      </x:c>
      <x:c r="N327" s="118" t="n">
        <x:v>0</x:v>
      </x:c>
      <x:c r="O327" s="118" t="n">
        <x:v>0</x:v>
      </x:c>
      <x:c r="P327" s="118" t="n">
        <x:v>0</x:v>
      </x:c>
      <x:c r="Q327" s="118" t="n">
        <x:v>2</x:v>
      </x:c>
      <x:c r="R327" s="118" t="n">
        <x:v>0</x:v>
      </x:c>
      <x:c r="S327" s="118" t="n">
        <x:v>0</x:v>
      </x:c>
      <x:c r="T327" s="118" t="n">
        <x:v>1</x:v>
      </x:c>
      <x:c r="U327" s="118" t="n">
        <x:v>0</x:v>
      </x:c>
      <x:c r="V327" s="118" t="n">
        <x:v>0</x:v>
      </x:c>
      <x:c r="W327" s="118" t="n">
        <x:v>0</x:v>
      </x:c>
      <x:c r="X327" s="118" t="n">
        <x:v>0</x:v>
      </x:c>
      <x:c r="Y327" s="118" t="n">
        <x:v>0</x:v>
      </x:c>
      <x:c r="Z327" s="118" t="n">
        <x:v>0</x:v>
      </x:c>
      <x:c r="AA327" s="118" t="n">
        <x:v>0</x:v>
      </x:c>
      <x:c r="AB327" s="118" t="n">
        <x:v>0</x:v>
      </x:c>
      <x:c r="AC327" s="118" t="n">
        <x:v>0</x:v>
      </x:c>
    </x:row>
    <x:row r="328" ht="46" customHeight="1">
      <x:c r="A328" s="117" t="str">
        <x:v>3005b000000H3eJAAS</x:v>
      </x:c>
      <x:c r="B328" s="117" t="str">
        <x:v>New_Parts_Opportunity_From_Work_Orker</x:v>
      </x:c>
      <x:c r="C328" s="117" t="str">
        <x:v>Yes</x:v>
      </x:c>
      <x:c r="D328" s="119" t="str">
        <x:v>Active v62 (Retrieved XML)</x:v>
      </x:c>
      <x:c r="E328" s="119" t="str"/>
      <x:c r="F328" s="119" t="str">
        <x:v>Account, ContentDocument, ContentDocumentLink, Opportunity, RecordType, ServiceAppointment, WorkOrder, WorkOrderLineItem</x:v>
      </x:c>
      <x:c r="G328" s="119" t="str">
        <x:v>AccountId, Attention__c, CloseDate, CurrencyIsoCode, Customer_PO__c, Field_Service_Engineer__c, FileType, Hold_Ship_To_Account__c, Hold_Shipping_Address_City__c, Hold_Shipping_Address_Country__c, Hold_Shipping_Address_Postal_Code__c, Hold_Shipping_Address_State__c, Hold_Shipping_Address_Street__c, Id, LinkedEntityId, Make_Model__c, Modality__c, Name, Opportunity_Notes__c, Opportunity__c, PO__c, ParentRecordId, RecordTypeId, Related_Work_Order__c, Sales_Lead_Source__c, Ship_To_Account__c, ShippingCity__c, ShippingCountry__c, ShippingPostalCode__c, ShippingState__c, ShippingStreet__c, Shipping_FROM_Location__c, SobjectType, StageName, System_Serial_Number__c, Tech_Ship_Location_Address__c, Warranty_Length__c, WorkOrderId</x:v>
      </x:c>
      <x:c r="H328" s="119" t="str"/>
      <x:c r="I328" s="119" t="str"/>
      <x:c r="J328" s="119" t="str">
        <x:v>flowruntime:actionButtonField, flowruntime:lookup</x:v>
      </x:c>
      <x:c r="K328" s="118" t="n">
        <x:v>42</x:v>
      </x:c>
      <x:c r="L328" s="118" t="n">
        <x:v>0</x:v>
      </x:c>
      <x:c r="M328" s="118" t="n">
        <x:v>0</x:v>
      </x:c>
      <x:c r="N328" s="118" t="n">
        <x:v>7</x:v>
      </x:c>
      <x:c r="O328" s="118" t="n">
        <x:v>0</x:v>
      </x:c>
      <x:c r="P328" s="118" t="n">
        <x:v>0</x:v>
      </x:c>
      <x:c r="Q328" s="118" t="n">
        <x:v>10</x:v>
      </x:c>
      <x:c r="R328" s="118" t="n">
        <x:v>4</x:v>
      </x:c>
      <x:c r="S328" s="118" t="n">
        <x:v>0</x:v>
      </x:c>
      <x:c r="T328" s="118" t="n">
        <x:v>4</x:v>
      </x:c>
      <x:c r="U328" s="118" t="n">
        <x:v>0</x:v>
      </x:c>
      <x:c r="V328" s="118" t="n">
        <x:v>8</x:v>
      </x:c>
      <x:c r="W328" s="118" t="n">
        <x:v>0</x:v>
      </x:c>
      <x:c r="X328" s="118" t="n">
        <x:v>7</x:v>
      </x:c>
      <x:c r="Y328" s="118" t="n">
        <x:v>1</x:v>
      </x:c>
      <x:c r="Z328" s="118" t="n">
        <x:v>0</x:v>
      </x:c>
      <x:c r="AA328" s="118" t="n">
        <x:v>0</x:v>
      </x:c>
      <x:c r="AB328" s="118" t="n">
        <x:v>0</x:v>
      </x:c>
      <x:c r="AC328" s="118" t="n">
        <x:v>0</x:v>
      </x:c>
    </x:row>
    <x:row r="329" ht="46" customHeight="1">
      <x:c r="A329" s="117" t="str">
        <x:v>3004O0000008mADQAY</x:v>
      </x:c>
      <x:c r="B329" s="117" t="str">
        <x:v>Notify_existing_contact_owner_of_email_inquiry_submission</x:v>
      </x:c>
      <x:c r="C329" s="117" t="str">
        <x:v>No</x:v>
      </x:c>
      <x:c r="D329" s="119" t="str">
        <x:v>Latest inactive v8 (Retrieved XML)</x:v>
      </x:c>
      <x:c r="E329" s="119" t="str"/>
      <x:c r="F329" s="119" t="str">
        <x:v>Opportunity</x:v>
      </x:c>
      <x:c r="G329" s="119" t="str">
        <x:v>Contact_Owner_Email__c, Id, OwnerId</x:v>
      </x:c>
      <x:c r="H329" s="119" t="str">
        <x:v>Opportunity.Contact_Responded_to_Mass_Email, Opportunity.Response_received_by_customer_on_campaign_email</x:v>
      </x:c>
      <x:c r="I329" s="119" t="str"/>
      <x:c r="J329" s="119" t="str"/>
      <x:c r="K329" s="118" t="n">
        <x:v>12</x:v>
      </x:c>
      <x:c r="L329" s="118" t="n">
        <x:v>2</x:v>
      </x:c>
      <x:c r="M329" s="118" t="n">
        <x:v>0</x:v>
      </x:c>
      <x:c r="N329" s="118" t="n">
        <x:v>3</x:v>
      </x:c>
      <x:c r="O329" s="118" t="n">
        <x:v>0</x:v>
      </x:c>
      <x:c r="P329" s="118" t="n">
        <x:v>0</x:v>
      </x:c>
      <x:c r="Q329" s="118" t="n">
        <x:v>4</x:v>
      </x:c>
      <x:c r="R329" s="118" t="n">
        <x:v>0</x:v>
      </x:c>
      <x:c r="S329" s="118" t="n">
        <x:v>0</x:v>
      </x:c>
      <x:c r="T329" s="118" t="n">
        <x:v>0</x:v>
      </x:c>
      <x:c r="U329" s="118" t="n">
        <x:v>0</x:v>
      </x:c>
      <x:c r="V329" s="118" t="n">
        <x:v>0</x:v>
      </x:c>
      <x:c r="W329" s="118" t="n">
        <x:v>0</x:v>
      </x:c>
      <x:c r="X329" s="118" t="n">
        <x:v>2</x:v>
      </x:c>
      <x:c r="Y329" s="118" t="n">
        <x:v>0</x:v>
      </x:c>
      <x:c r="Z329" s="118" t="n">
        <x:v>0</x:v>
      </x:c>
      <x:c r="AA329" s="118" t="n">
        <x:v>0</x:v>
      </x:c>
      <x:c r="AB329" s="118" t="n">
        <x:v>0</x:v>
      </x:c>
      <x:c r="AC329" s="118" t="n">
        <x:v>1</x:v>
      </x:c>
    </x:row>
    <x:row r="330" ht="46" customHeight="1">
      <x:c r="A330" s="117" t="str">
        <x:v>3004O000000TiVcQAK</x:v>
      </x:c>
      <x:c r="B330" s="117" t="str">
        <x:v>Notify_When_Asset_Goes_from_Good_to_Bad</x:v>
      </x:c>
      <x:c r="C330" s="117" t="str">
        <x:v>No</x:v>
      </x:c>
      <x:c r="D330" s="119" t="str">
        <x:v>Latest inactive v1 (Retrieved XML)</x:v>
      </x:c>
      <x:c r="E330" s="119" t="str"/>
      <x:c r="F330" s="119" t="str">
        <x:v>ProductItem__c</x:v>
      </x:c>
      <x:c r="G330" s="119" t="str"/>
      <x:c r="H330" s="119" t="str">
        <x:v>ProductItem__c.Bad_Asset_with_Cost_Went_from_Good_to_Bad</x:v>
      </x:c>
      <x:c r="I330" s="119" t="str"/>
      <x:c r="J330" s="119" t="str"/>
      <x:c r="K330" s="118" t="n">
        <x:v>2</x:v>
      </x:c>
      <x:c r="L330" s="118" t="n">
        <x:v>1</x:v>
      </x:c>
      <x:c r="M330" s="118" t="n">
        <x:v>0</x:v>
      </x:c>
      <x:c r="N330" s="118" t="n">
        <x:v>0</x:v>
      </x:c>
      <x:c r="O330" s="118" t="n">
        <x:v>0</x:v>
      </x:c>
      <x:c r="P330" s="118" t="n">
        <x:v>0</x:v>
      </x:c>
      <x:c r="Q330" s="118" t="n">
        <x:v>1</x:v>
      </x:c>
      <x:c r="R330" s="118" t="n">
        <x:v>0</x:v>
      </x:c>
      <x:c r="S330" s="118" t="n">
        <x:v>0</x:v>
      </x:c>
      <x:c r="T330" s="118" t="n">
        <x:v>0</x:v>
      </x:c>
      <x:c r="U330" s="118" t="n">
        <x:v>0</x:v>
      </x:c>
      <x:c r="V330" s="118" t="n">
        <x:v>0</x:v>
      </x:c>
      <x:c r="W330" s="118" t="n">
        <x:v>0</x:v>
      </x:c>
      <x:c r="X330" s="118" t="n">
        <x:v>0</x:v>
      </x:c>
      <x:c r="Y330" s="118" t="n">
        <x:v>0</x:v>
      </x:c>
      <x:c r="Z330" s="118" t="n">
        <x:v>0</x:v>
      </x:c>
      <x:c r="AA330" s="118" t="n">
        <x:v>0</x:v>
      </x:c>
      <x:c r="AB330" s="118" t="n">
        <x:v>0</x:v>
      </x:c>
      <x:c r="AC330" s="118" t="n">
        <x:v>0</x:v>
      </x:c>
    </x:row>
    <x:row r="331" ht="46" customHeight="1">
      <x:c r="A331" s="117" t="str">
        <x:v>3004O000000TiW1QAK</x:v>
      </x:c>
      <x:c r="B331" s="117" t="str">
        <x:v>Notify_When_Opportunity_Ships_without_Being_Close_Won</x:v>
      </x:c>
      <x:c r="C331" s="117" t="str">
        <x:v>No</x:v>
      </x:c>
      <x:c r="D331" s="119" t="str">
        <x:v>Latest inactive v14 (Retrieved XML)</x:v>
      </x:c>
      <x:c r="E331" s="119" t="str"/>
      <x:c r="F331" s="119" t="str">
        <x:v>Opportunity</x:v>
      </x:c>
      <x:c r="G331" s="119" t="str"/>
      <x:c r="H331" s="119" t="str">
        <x:v>Opportunity.Opportunity_Shipped_Without_Being_Closed_Won</x:v>
      </x:c>
      <x:c r="I331" s="119" t="str"/>
      <x:c r="J331" s="119" t="str"/>
      <x:c r="K331" s="118" t="n">
        <x:v>2</x:v>
      </x:c>
      <x:c r="L331" s="118" t="n">
        <x:v>1</x:v>
      </x:c>
      <x:c r="M331" s="118" t="n">
        <x:v>0</x:v>
      </x:c>
      <x:c r="N331" s="118" t="n">
        <x:v>0</x:v>
      </x:c>
      <x:c r="O331" s="118" t="n">
        <x:v>0</x:v>
      </x:c>
      <x:c r="P331" s="118" t="n">
        <x:v>0</x:v>
      </x:c>
      <x:c r="Q331" s="118" t="n">
        <x:v>1</x:v>
      </x:c>
      <x:c r="R331" s="118" t="n">
        <x:v>0</x:v>
      </x:c>
      <x:c r="S331" s="118" t="n">
        <x:v>0</x:v>
      </x:c>
      <x:c r="T331" s="118" t="n">
        <x:v>0</x:v>
      </x:c>
      <x:c r="U331" s="118" t="n">
        <x:v>0</x:v>
      </x:c>
      <x:c r="V331" s="118" t="n">
        <x:v>0</x:v>
      </x:c>
      <x:c r="W331" s="118" t="n">
        <x:v>0</x:v>
      </x:c>
      <x:c r="X331" s="118" t="n">
        <x:v>0</x:v>
      </x:c>
      <x:c r="Y331" s="118" t="n">
        <x:v>0</x:v>
      </x:c>
      <x:c r="Z331" s="118" t="n">
        <x:v>0</x:v>
      </x:c>
      <x:c r="AA331" s="118" t="n">
        <x:v>0</x:v>
      </x:c>
      <x:c r="AB331" s="118" t="n">
        <x:v>0</x:v>
      </x:c>
      <x:c r="AC331" s="118" t="n">
        <x:v>0</x:v>
      </x:c>
    </x:row>
    <x:row r="332" ht="46" customHeight="1">
      <x:c r="A332" s="117" t="str">
        <x:v>300Ro00000QYP8LIAX</x:v>
      </x:c>
      <x:c r="B332" s="117" t="str">
        <x:v>On_Asset_Creation_Set_Currency_to_Purchasing_Opportunity_Currency</x:v>
      </x:c>
      <x:c r="C332" s="117" t="str">
        <x:v>Yes</x:v>
      </x:c>
      <x:c r="D332" s="119" t="str">
        <x:v>Active v1 (Retrieved XML)</x:v>
      </x:c>
      <x:c r="E332" s="119" t="str">
        <x:v>Purchasing_Opportunity__c IsNull booleanValue=false</x:v>
      </x:c>
      <x:c r="F332" s="119" t="str">
        <x:v>Opportunity, ProductItem__c</x:v>
      </x:c>
      <x:c r="G332" s="119" t="str">
        <x:v>CurrencyIsoCode, Id, Purchasing_Opportunity__c</x:v>
      </x:c>
      <x:c r="H332" s="119" t="str"/>
      <x:c r="I332" s="119" t="str"/>
      <x:c r="J332" s="119" t="str"/>
      <x:c r="K332" s="118" t="n">
        <x:v>3</x:v>
      </x:c>
      <x:c r="L332" s="118" t="n">
        <x:v>0</x:v>
      </x:c>
      <x:c r="M332" s="118" t="n">
        <x:v>0</x:v>
      </x:c>
      <x:c r="N332" s="118" t="n">
        <x:v>1</x:v>
      </x:c>
      <x:c r="O332" s="118" t="n">
        <x:v>0</x:v>
      </x:c>
      <x:c r="P332" s="118" t="n">
        <x:v>0</x:v>
      </x:c>
      <x:c r="Q332" s="118" t="n">
        <x:v>0</x:v>
      </x:c>
      <x:c r="R332" s="118" t="n">
        <x:v>0</x:v>
      </x:c>
      <x:c r="S332" s="118" t="n">
        <x:v>0</x:v>
      </x:c>
      <x:c r="T332" s="118" t="n">
        <x:v>0</x:v>
      </x:c>
      <x:c r="U332" s="118" t="n">
        <x:v>0</x:v>
      </x:c>
      <x:c r="V332" s="118" t="n">
        <x:v>1</x:v>
      </x:c>
      <x:c r="W332" s="118" t="n">
        <x:v>0</x:v>
      </x:c>
      <x:c r="X332" s="118" t="n">
        <x:v>0</x:v>
      </x:c>
      <x:c r="Y332" s="118" t="n">
        <x:v>0</x:v>
      </x:c>
      <x:c r="Z332" s="118" t="n">
        <x:v>0</x:v>
      </x:c>
      <x:c r="AA332" s="118" t="n">
        <x:v>0</x:v>
      </x:c>
      <x:c r="AB332" s="118" t="n">
        <x:v>0</x:v>
      </x:c>
      <x:c r="AC332" s="118" t="n">
        <x:v>0</x:v>
      </x:c>
    </x:row>
    <x:row r="333" ht="46" customHeight="1">
      <x:c r="A333" s="117" t="str">
        <x:v>300Ro00000nuqvmIAA</x:v>
      </x:c>
      <x:c r="B333" s="117" t="str">
        <x:v>On_Create_Asynchronous_Update_RMA_with_Related_Work_Order</x:v>
      </x:c>
      <x:c r="C333" s="117" t="str">
        <x:v>Yes</x:v>
      </x:c>
      <x:c r="D333" s="119" t="str">
        <x:v>Active v2 (Retrieved XML)</x:v>
      </x:c>
      <x:c r="E333" s="119" t="str">
        <x:v>Work_Order__c IsNull booleanValue=true</x:v>
      </x:c>
      <x:c r="F333" s="119" t="str">
        <x:v>RMA__c</x:v>
      </x:c>
      <x:c r="G333" s="119" t="str">
        <x:v>Opportunity__r, Work_Order__c</x:v>
      </x:c>
      <x:c r="H333" s="119" t="str"/>
      <x:c r="I333" s="119" t="str"/>
      <x:c r="J333" s="119" t="str"/>
      <x:c r="K333" s="118" t="n">
        <x:v>3</x:v>
      </x:c>
      <x:c r="L333" s="118" t="n">
        <x:v>0</x:v>
      </x:c>
      <x:c r="M333" s="118" t="n">
        <x:v>0</x:v>
      </x:c>
      <x:c r="N333" s="118" t="n">
        <x:v>0</x:v>
      </x:c>
      <x:c r="O333" s="118" t="n">
        <x:v>0</x:v>
      </x:c>
      <x:c r="P333" s="118" t="n">
        <x:v>0</x:v>
      </x:c>
      <x:c r="Q333" s="118" t="n">
        <x:v>1</x:v>
      </x:c>
      <x:c r="R333" s="118" t="n">
        <x:v>0</x:v>
      </x:c>
      <x:c r="S333" s="118" t="n">
        <x:v>0</x:v>
      </x:c>
      <x:c r="T333" s="118" t="n">
        <x:v>0</x:v>
      </x:c>
      <x:c r="U333" s="118" t="n">
        <x:v>0</x:v>
      </x:c>
      <x:c r="V333" s="118" t="n">
        <x:v>0</x:v>
      </x:c>
      <x:c r="W333" s="118" t="n">
        <x:v>0</x:v>
      </x:c>
      <x:c r="X333" s="118" t="n">
        <x:v>1</x:v>
      </x:c>
      <x:c r="Y333" s="118" t="n">
        <x:v>0</x:v>
      </x:c>
      <x:c r="Z333" s="118" t="n">
        <x:v>0</x:v>
      </x:c>
      <x:c r="AA333" s="118" t="n">
        <x:v>0</x:v>
      </x:c>
      <x:c r="AB333" s="118" t="n">
        <x:v>0</x:v>
      </x:c>
      <x:c r="AC333" s="118" t="n">
        <x:v>0</x:v>
      </x:c>
    </x:row>
    <x:row r="334" ht="46" customHeight="1">
      <x:c r="A334" s="117" t="str">
        <x:v>300Ro00000REVFjIAP</x:v>
      </x:c>
      <x:c r="B334" s="117" t="str">
        <x:v>On_Create_of_SRI_Check_if_SA_status_needs_to_be_updated</x:v>
      </x:c>
      <x:c r="C334" s="117" t="str">
        <x:v>Yes</x:v>
      </x:c>
      <x:c r="D334" s="119" t="str">
        <x:v>Active v1 (Retrieved XML)</x:v>
      </x:c>
      <x:c r="E334" s="119" t="str"/>
      <x:c r="F334" s="119" t="str">
        <x:v>Pricing_Request__c, ServiceAppointment, Sourcing_Request_Item__c</x:v>
      </x:c>
      <x:c r="G334" s="119" t="str">
        <x:v>Service_Appointment__c, Service_Appointment__r, Sourcing_Request_Item__c</x:v>
      </x:c>
      <x:c r="H334" s="119" t="str"/>
      <x:c r="I334" s="119" t="str"/>
      <x:c r="J334" s="119" t="str"/>
      <x:c r="K334" s="118" t="n">
        <x:v>7</x:v>
      </x:c>
      <x:c r="L334" s="118" t="n">
        <x:v>0</x:v>
      </x:c>
      <x:c r="M334" s="118" t="n">
        <x:v>0</x:v>
      </x:c>
      <x:c r="N334" s="118" t="n">
        <x:v>1</x:v>
      </x:c>
      <x:c r="O334" s="118" t="n">
        <x:v>0</x:v>
      </x:c>
      <x:c r="P334" s="118" t="n">
        <x:v>0</x:v>
      </x:c>
      <x:c r="Q334" s="118" t="n">
        <x:v>2</x:v>
      </x:c>
      <x:c r="R334" s="118" t="n">
        <x:v>0</x:v>
      </x:c>
      <x:c r="S334" s="118" t="n">
        <x:v>0</x:v>
      </x:c>
      <x:c r="T334" s="118" t="n">
        <x:v>0</x:v>
      </x:c>
      <x:c r="U334" s="118" t="n">
        <x:v>0</x:v>
      </x:c>
      <x:c r="V334" s="118" t="n">
        <x:v>1</x:v>
      </x:c>
      <x:c r="W334" s="118" t="n">
        <x:v>0</x:v>
      </x:c>
      <x:c r="X334" s="118" t="n">
        <x:v>1</x:v>
      </x:c>
      <x:c r="Y334" s="118" t="n">
        <x:v>0</x:v>
      </x:c>
      <x:c r="Z334" s="118" t="n">
        <x:v>0</x:v>
      </x:c>
      <x:c r="AA334" s="118" t="n">
        <x:v>0</x:v>
      </x:c>
      <x:c r="AB334" s="118" t="n">
        <x:v>1</x:v>
      </x:c>
      <x:c r="AC334" s="118" t="n">
        <x:v>0</x:v>
      </x:c>
    </x:row>
    <x:row r="335" ht="46" customHeight="1">
      <x:c r="A335" s="117" t="str">
        <x:v>300Ro00000xL7RAIA0</x:v>
      </x:c>
      <x:c r="B335" s="117" t="str">
        <x:v>On_Create_Parts_Sales_Value_Rollup</x:v>
      </x:c>
      <x:c r="C335" s="117" t="str">
        <x:v>Yes</x:v>
      </x:c>
      <x:c r="D335" s="119" t="str">
        <x:v>Active v3 (Retrieved XML)</x:v>
      </x:c>
      <x:c r="E335" s="119" t="str"/>
      <x:c r="F335" s="119" t="str">
        <x:v>ContractLineItem, WorkOrder, WorkOrderLineItem</x:v>
      </x:c>
      <x:c r="G335" s="119" t="str">
        <x:v>Contract_Line_Item__c, Parts_Shipped_on_Contract_Line_Item__c, RecordTypeId, WorkOrder</x:v>
      </x:c>
      <x:c r="H335" s="119" t="str"/>
      <x:c r="I335" s="119" t="str"/>
      <x:c r="J335" s="119" t="str"/>
      <x:c r="K335" s="118" t="n">
        <x:v>4</x:v>
      </x:c>
      <x:c r="L335" s="118" t="n">
        <x:v>0</x:v>
      </x:c>
      <x:c r="M335" s="118" t="n">
        <x:v>0</x:v>
      </x:c>
      <x:c r="N335" s="118" t="n">
        <x:v>0</x:v>
      </x:c>
      <x:c r="O335" s="118" t="n">
        <x:v>0</x:v>
      </x:c>
      <x:c r="P335" s="118" t="n">
        <x:v>0</x:v>
      </x:c>
      <x:c r="Q335" s="118" t="n">
        <x:v>0</x:v>
      </x:c>
      <x:c r="R335" s="118" t="n">
        <x:v>0</x:v>
      </x:c>
      <x:c r="S335" s="118" t="n">
        <x:v>0</x:v>
      </x:c>
      <x:c r="T335" s="118" t="n">
        <x:v>0</x:v>
      </x:c>
      <x:c r="U335" s="118" t="n">
        <x:v>0</x:v>
      </x:c>
      <x:c r="V335" s="118" t="n">
        <x:v>1</x:v>
      </x:c>
      <x:c r="W335" s="118" t="n">
        <x:v>0</x:v>
      </x:c>
      <x:c r="X335" s="118" t="n">
        <x:v>1</x:v>
      </x:c>
      <x:c r="Y335" s="118" t="n">
        <x:v>0</x:v>
      </x:c>
      <x:c r="Z335" s="118" t="n">
        <x:v>0</x:v>
      </x:c>
      <x:c r="AA335" s="118" t="n">
        <x:v>0</x:v>
      </x:c>
      <x:c r="AB335" s="118" t="n">
        <x:v>1</x:v>
      </x:c>
      <x:c r="AC335" s="118" t="n">
        <x:v>0</x:v>
      </x:c>
    </x:row>
    <x:row r="336" ht="46" customHeight="1">
      <x:c r="A336" s="117" t="str">
        <x:v>300Ro00000ialvCIAQ</x:v>
      </x:c>
      <x:c r="B336" s="117" t="str">
        <x:v>On_Create_Update_Opp_Record_Type_Name_on_RMA_Asset</x:v>
      </x:c>
      <x:c r="C336" s="117" t="str">
        <x:v>No</x:v>
      </x:c>
      <x:c r="D336" s="119" t="str">
        <x:v>Latest inactive v1 (Retrieved XML)</x:v>
      </x:c>
      <x:c r="E336" s="119" t="str">
        <x:v>ProductItem__c IsNull booleanValue=false | Opportunity__c IsNull booleanValue=false</x:v>
      </x:c>
      <x:c r="F336" s="119" t="str">
        <x:v>RMA__c</x:v>
      </x:c>
      <x:c r="G336" s="119" t="str">
        <x:v>Opportunity_Record_Type__c, Opportunity__c, Opportunity__r, ProductItem__c, ProductItem__r</x:v>
      </x:c>
      <x:c r="H336" s="119" t="str"/>
      <x:c r="I336" s="119" t="str"/>
      <x:c r="J336" s="119" t="str"/>
      <x:c r="K336" s="118" t="n">
        <x:v>3</x:v>
      </x:c>
      <x:c r="L336" s="118" t="n">
        <x:v>0</x:v>
      </x:c>
      <x:c r="M336" s="118" t="n">
        <x:v>0</x:v>
      </x:c>
      <x:c r="N336" s="118" t="n">
        <x:v>0</x:v>
      </x:c>
      <x:c r="O336" s="118" t="n">
        <x:v>0</x:v>
      </x:c>
      <x:c r="P336" s="118" t="n">
        <x:v>0</x:v>
      </x:c>
      <x:c r="Q336" s="118" t="n">
        <x:v>1</x:v>
      </x:c>
      <x:c r="R336" s="118" t="n">
        <x:v>0</x:v>
      </x:c>
      <x:c r="S336" s="118" t="n">
        <x:v>0</x:v>
      </x:c>
      <x:c r="T336" s="118" t="n">
        <x:v>0</x:v>
      </x:c>
      <x:c r="U336" s="118" t="n">
        <x:v>0</x:v>
      </x:c>
      <x:c r="V336" s="118" t="n">
        <x:v>0</x:v>
      </x:c>
      <x:c r="W336" s="118" t="n">
        <x:v>0</x:v>
      </x:c>
      <x:c r="X336" s="118" t="n">
        <x:v>1</x:v>
      </x:c>
      <x:c r="Y336" s="118" t="n">
        <x:v>0</x:v>
      </x:c>
      <x:c r="Z336" s="118" t="n">
        <x:v>0</x:v>
      </x:c>
      <x:c r="AA336" s="118" t="n">
        <x:v>0</x:v>
      </x:c>
      <x:c r="AB336" s="118" t="n">
        <x:v>0</x:v>
      </x:c>
      <x:c r="AC336" s="118" t="n">
        <x:v>0</x:v>
      </x:c>
    </x:row>
    <x:row r="337" ht="46" customHeight="1">
      <x:c r="A337" s="117" t="str">
        <x:v>300Ro00000vmC7nIAE</x:v>
      </x:c>
      <x:c r="B337" s="117" t="str">
        <x:v>On_Creation_of_Loaner_Set_Shipping_Account_to_Bill_Customer_Fedex_System</x:v>
      </x:c>
      <x:c r="C337" s="117" t="str">
        <x:v>Yes</x:v>
      </x:c>
      <x:c r="D337" s="119" t="str">
        <x:v>Active v1 (Retrieved XML)</x:v>
      </x:c>
      <x:c r="E337" s="119" t="str"/>
      <x:c r="F337" s="119" t="str">
        <x:v>Loaner__c</x:v>
      </x:c>
      <x:c r="G337" s="119" t="str">
        <x:v>Repair_Opportunity__r, Shipping_Account_to_Bill__c</x:v>
      </x:c>
      <x:c r="H337" s="119" t="str"/>
      <x:c r="I337" s="119" t="str"/>
      <x:c r="J337" s="119" t="str"/>
      <x:c r="K337" s="118" t="n">
        <x:v>3</x:v>
      </x:c>
      <x:c r="L337" s="118" t="n">
        <x:v>0</x:v>
      </x:c>
      <x:c r="M337" s="118" t="n">
        <x:v>0</x:v>
      </x:c>
      <x:c r="N337" s="118" t="n">
        <x:v>0</x:v>
      </x:c>
      <x:c r="O337" s="118" t="n">
        <x:v>0</x:v>
      </x:c>
      <x:c r="P337" s="118" t="n">
        <x:v>0</x:v>
      </x:c>
      <x:c r="Q337" s="118" t="n">
        <x:v>1</x:v>
      </x:c>
      <x:c r="R337" s="118" t="n">
        <x:v>0</x:v>
      </x:c>
      <x:c r="S337" s="118" t="n">
        <x:v>0</x:v>
      </x:c>
      <x:c r="T337" s="118" t="n">
        <x:v>0</x:v>
      </x:c>
      <x:c r="U337" s="118" t="n">
        <x:v>0</x:v>
      </x:c>
      <x:c r="V337" s="118" t="n">
        <x:v>0</x:v>
      </x:c>
      <x:c r="W337" s="118" t="n">
        <x:v>0</x:v>
      </x:c>
      <x:c r="X337" s="118" t="n">
        <x:v>1</x:v>
      </x:c>
      <x:c r="Y337" s="118" t="n">
        <x:v>0</x:v>
      </x:c>
      <x:c r="Z337" s="118" t="n">
        <x:v>0</x:v>
      </x:c>
      <x:c r="AA337" s="118" t="n">
        <x:v>0</x:v>
      </x:c>
      <x:c r="AB337" s="118" t="n">
        <x:v>0</x:v>
      </x:c>
      <x:c r="AC337" s="118" t="n">
        <x:v>0</x:v>
      </x:c>
    </x:row>
    <x:row r="338" ht="46" customHeight="1">
      <x:c r="A338" s="117" t="str">
        <x:v>300Ro00000vmJp8IAE</x:v>
      </x:c>
      <x:c r="B338" s="117" t="str">
        <x:v>On_Creation_of_Opportunity_Set_Shipping_Account_to_Bill_Customer_Fedex_System</x:v>
      </x:c>
      <x:c r="C338" s="117" t="str">
        <x:v>Yes</x:v>
      </x:c>
      <x:c r="D338" s="119" t="str">
        <x:v>Active v1 (Retrieved XML)</x:v>
      </x:c>
      <x:c r="E338" s="119" t="str"/>
      <x:c r="F338" s="119" t="str">
        <x:v>Opportunity</x:v>
      </x:c>
      <x:c r="G338" s="119" t="str">
        <x:v>Account, Shipping_Account_to_Bill__c</x:v>
      </x:c>
      <x:c r="H338" s="119" t="str"/>
      <x:c r="I338" s="119" t="str"/>
      <x:c r="J338" s="119" t="str"/>
      <x:c r="K338" s="118" t="n">
        <x:v>3</x:v>
      </x:c>
      <x:c r="L338" s="118" t="n">
        <x:v>0</x:v>
      </x:c>
      <x:c r="M338" s="118" t="n">
        <x:v>0</x:v>
      </x:c>
      <x:c r="N338" s="118" t="n">
        <x:v>0</x:v>
      </x:c>
      <x:c r="O338" s="118" t="n">
        <x:v>0</x:v>
      </x:c>
      <x:c r="P338" s="118" t="n">
        <x:v>0</x:v>
      </x:c>
      <x:c r="Q338" s="118" t="n">
        <x:v>1</x:v>
      </x:c>
      <x:c r="R338" s="118" t="n">
        <x:v>0</x:v>
      </x:c>
      <x:c r="S338" s="118" t="n">
        <x:v>0</x:v>
      </x:c>
      <x:c r="T338" s="118" t="n">
        <x:v>0</x:v>
      </x:c>
      <x:c r="U338" s="118" t="n">
        <x:v>0</x:v>
      </x:c>
      <x:c r="V338" s="118" t="n">
        <x:v>0</x:v>
      </x:c>
      <x:c r="W338" s="118" t="n">
        <x:v>0</x:v>
      </x:c>
      <x:c r="X338" s="118" t="n">
        <x:v>1</x:v>
      </x:c>
      <x:c r="Y338" s="118" t="n">
        <x:v>0</x:v>
      </x:c>
      <x:c r="Z338" s="118" t="n">
        <x:v>0</x:v>
      </x:c>
      <x:c r="AA338" s="118" t="n">
        <x:v>0</x:v>
      </x:c>
      <x:c r="AB338" s="118" t="n">
        <x:v>0</x:v>
      </x:c>
      <x:c r="AC338" s="118" t="n">
        <x:v>0</x:v>
      </x:c>
    </x:row>
    <x:row r="339" ht="46" customHeight="1">
      <x:c r="A339" s="117" t="str">
        <x:v>300Ro00000vmQvUIAU</x:v>
      </x:c>
      <x:c r="B339" s="117" t="str">
        <x:v>On_Creation_of_Service_Appointment_Set_Shipping_Account_to_Bill_Customer_Fedex_S</x:v>
      </x:c>
      <x:c r="C339" s="117" t="str">
        <x:v>Yes</x:v>
      </x:c>
      <x:c r="D339" s="119" t="str">
        <x:v>Active v1 (Retrieved XML)</x:v>
      </x:c>
      <x:c r="E339" s="119" t="str"/>
      <x:c r="F339" s="119" t="str">
        <x:v>ServiceAppointment</x:v>
      </x:c>
      <x:c r="G339" s="119" t="str">
        <x:v>Shipping_Account_to_Bill__c, Work_Order__r</x:v>
      </x:c>
      <x:c r="H339" s="119" t="str"/>
      <x:c r="I339" s="119" t="str"/>
      <x:c r="J339" s="119" t="str"/>
      <x:c r="K339" s="118" t="n">
        <x:v>3</x:v>
      </x:c>
      <x:c r="L339" s="118" t="n">
        <x:v>0</x:v>
      </x:c>
      <x:c r="M339" s="118" t="n">
        <x:v>0</x:v>
      </x:c>
      <x:c r="N339" s="118" t="n">
        <x:v>0</x:v>
      </x:c>
      <x:c r="O339" s="118" t="n">
        <x:v>0</x:v>
      </x:c>
      <x:c r="P339" s="118" t="n">
        <x:v>0</x:v>
      </x:c>
      <x:c r="Q339" s="118" t="n">
        <x:v>1</x:v>
      </x:c>
      <x:c r="R339" s="118" t="n">
        <x:v>0</x:v>
      </x:c>
      <x:c r="S339" s="118" t="n">
        <x:v>0</x:v>
      </x:c>
      <x:c r="T339" s="118" t="n">
        <x:v>0</x:v>
      </x:c>
      <x:c r="U339" s="118" t="n">
        <x:v>0</x:v>
      </x:c>
      <x:c r="V339" s="118" t="n">
        <x:v>0</x:v>
      </x:c>
      <x:c r="W339" s="118" t="n">
        <x:v>0</x:v>
      </x:c>
      <x:c r="X339" s="118" t="n">
        <x:v>1</x:v>
      </x:c>
      <x:c r="Y339" s="118" t="n">
        <x:v>0</x:v>
      </x:c>
      <x:c r="Z339" s="118" t="n">
        <x:v>0</x:v>
      </x:c>
      <x:c r="AA339" s="118" t="n">
        <x:v>0</x:v>
      </x:c>
      <x:c r="AB339" s="118" t="n">
        <x:v>0</x:v>
      </x:c>
      <x:c r="AC339" s="118" t="n">
        <x:v>0</x:v>
      </x:c>
    </x:row>
    <x:row r="340" ht="46" customHeight="1">
      <x:c r="A340" s="117" t="str">
        <x:v>300Ro00000vmUXdIAM</x:v>
      </x:c>
      <x:c r="B340" s="117" t="str">
        <x:v>On_Creation_of_Work_Order_Set_Shipping_Account_to_Bill_Customer_Fedex_System</x:v>
      </x:c>
      <x:c r="C340" s="117" t="str">
        <x:v>Yes</x:v>
      </x:c>
      <x:c r="D340" s="119" t="str">
        <x:v>Active v1 (Retrieved XML)</x:v>
      </x:c>
      <x:c r="E340" s="119" t="str">
        <x:v>AccountId IsChanged booleanValue=true | AccountId IsNull booleanValue=false</x:v>
      </x:c>
      <x:c r="F340" s="119" t="str">
        <x:v>WorkOrder</x:v>
      </x:c>
      <x:c r="G340" s="119" t="str">
        <x:v>Account, AccountId, Shipping_Account_to_Bill__c</x:v>
      </x:c>
      <x:c r="H340" s="119" t="str"/>
      <x:c r="I340" s="119" t="str"/>
      <x:c r="J340" s="119" t="str"/>
      <x:c r="K340" s="118" t="n">
        <x:v>3</x:v>
      </x:c>
      <x:c r="L340" s="118" t="n">
        <x:v>0</x:v>
      </x:c>
      <x:c r="M340" s="118" t="n">
        <x:v>0</x:v>
      </x:c>
      <x:c r="N340" s="118" t="n">
        <x:v>0</x:v>
      </x:c>
      <x:c r="O340" s="118" t="n">
        <x:v>0</x:v>
      </x:c>
      <x:c r="P340" s="118" t="n">
        <x:v>0</x:v>
      </x:c>
      <x:c r="Q340" s="118" t="n">
        <x:v>1</x:v>
      </x:c>
      <x:c r="R340" s="118" t="n">
        <x:v>0</x:v>
      </x:c>
      <x:c r="S340" s="118" t="n">
        <x:v>0</x:v>
      </x:c>
      <x:c r="T340" s="118" t="n">
        <x:v>0</x:v>
      </x:c>
      <x:c r="U340" s="118" t="n">
        <x:v>0</x:v>
      </x:c>
      <x:c r="V340" s="118" t="n">
        <x:v>0</x:v>
      </x:c>
      <x:c r="W340" s="118" t="n">
        <x:v>0</x:v>
      </x:c>
      <x:c r="X340" s="118" t="n">
        <x:v>1</x:v>
      </x:c>
      <x:c r="Y340" s="118" t="n">
        <x:v>0</x:v>
      </x:c>
      <x:c r="Z340" s="118" t="n">
        <x:v>0</x:v>
      </x:c>
      <x:c r="AA340" s="118" t="n">
        <x:v>0</x:v>
      </x:c>
      <x:c r="AB340" s="118" t="n">
        <x:v>0</x:v>
      </x:c>
      <x:c r="AC340" s="118" t="n">
        <x:v>0</x:v>
      </x:c>
    </x:row>
    <x:row r="341" ht="46" customHeight="1">
      <x:c r="A341" s="117" t="str">
        <x:v>300Ro00000vmMtSIAU</x:v>
      </x:c>
      <x:c r="B341" s="117" t="str">
        <x:v>On_Creation_of_Work_Order_Set_Shipping_Account_to_Bill_Customer_Fedex_System_1</x:v>
      </x:c>
      <x:c r="C341" s="117" t="str">
        <x:v>Yes</x:v>
      </x:c>
      <x:c r="D341" s="119" t="str">
        <x:v>Active v1 (Retrieved XML)</x:v>
      </x:c>
      <x:c r="E341" s="119" t="str">
        <x:v>AccountId IsNull booleanValue=false</x:v>
      </x:c>
      <x:c r="F341" s="119" t="str">
        <x:v>WorkOrder</x:v>
      </x:c>
      <x:c r="G341" s="119" t="str">
        <x:v>Account, AccountId, Shipping_Account_to_Bill__c</x:v>
      </x:c>
      <x:c r="H341" s="119" t="str"/>
      <x:c r="I341" s="119" t="str"/>
      <x:c r="J341" s="119" t="str"/>
      <x:c r="K341" s="118" t="n">
        <x:v>3</x:v>
      </x:c>
      <x:c r="L341" s="118" t="n">
        <x:v>0</x:v>
      </x:c>
      <x:c r="M341" s="118" t="n">
        <x:v>0</x:v>
      </x:c>
      <x:c r="N341" s="118" t="n">
        <x:v>0</x:v>
      </x:c>
      <x:c r="O341" s="118" t="n">
        <x:v>0</x:v>
      </x:c>
      <x:c r="P341" s="118" t="n">
        <x:v>0</x:v>
      </x:c>
      <x:c r="Q341" s="118" t="n">
        <x:v>1</x:v>
      </x:c>
      <x:c r="R341" s="118" t="n">
        <x:v>0</x:v>
      </x:c>
      <x:c r="S341" s="118" t="n">
        <x:v>0</x:v>
      </x:c>
      <x:c r="T341" s="118" t="n">
        <x:v>0</x:v>
      </x:c>
      <x:c r="U341" s="118" t="n">
        <x:v>0</x:v>
      </x:c>
      <x:c r="V341" s="118" t="n">
        <x:v>0</x:v>
      </x:c>
      <x:c r="W341" s="118" t="n">
        <x:v>0</x:v>
      </x:c>
      <x:c r="X341" s="118" t="n">
        <x:v>1</x:v>
      </x:c>
      <x:c r="Y341" s="118" t="n">
        <x:v>0</x:v>
      </x:c>
      <x:c r="Z341" s="118" t="n">
        <x:v>0</x:v>
      </x:c>
      <x:c r="AA341" s="118" t="n">
        <x:v>0</x:v>
      </x:c>
      <x:c r="AB341" s="118" t="n">
        <x:v>0</x:v>
      </x:c>
      <x:c r="AC341" s="118" t="n">
        <x:v>0</x:v>
      </x:c>
    </x:row>
    <x:row r="342" ht="46" customHeight="1">
      <x:c r="A342" s="117" t="str">
        <x:v>300Ro00000QzDmKIAV</x:v>
      </x:c>
      <x:c r="B342" s="117" t="str">
        <x:v>On_Deletion_Remove_Service_Resource_on_SA</x:v>
      </x:c>
      <x:c r="C342" s="117" t="str">
        <x:v>No</x:v>
      </x:c>
      <x:c r="D342" s="119" t="str">
        <x:v>Latest inactive v3 (Retrieved XML)</x:v>
      </x:c>
      <x:c r="E342" s="119" t="str"/>
      <x:c r="F342" s="119" t="str">
        <x:v>AssignedResource, Event</x:v>
      </x:c>
      <x:c r="G342" s="119" t="str">
        <x:v>ServiceAppointmentId, WhatId</x:v>
      </x:c>
      <x:c r="H342" s="119" t="str"/>
      <x:c r="I342" s="119" t="str"/>
      <x:c r="J342" s="119" t="str"/>
      <x:c r="K342" s="118" t="n">
        <x:v>3</x:v>
      </x:c>
      <x:c r="L342" s="118" t="n">
        <x:v>0</x:v>
      </x:c>
      <x:c r="M342" s="118" t="n">
        <x:v>0</x:v>
      </x:c>
      <x:c r="N342" s="118" t="n">
        <x:v>0</x:v>
      </x:c>
      <x:c r="O342" s="118" t="n">
        <x:v>0</x:v>
      </x:c>
      <x:c r="P342" s="118" t="n">
        <x:v>0</x:v>
      </x:c>
      <x:c r="Q342" s="118" t="n">
        <x:v>0</x:v>
      </x:c>
      <x:c r="R342" s="118" t="n">
        <x:v>0</x:v>
      </x:c>
      <x:c r="S342" s="118" t="n">
        <x:v>0</x:v>
      </x:c>
      <x:c r="T342" s="118" t="n">
        <x:v>0</x:v>
      </x:c>
      <x:c r="U342" s="118" t="n">
        <x:v>1</x:v>
      </x:c>
      <x:c r="V342" s="118" t="n">
        <x:v>1</x:v>
      </x:c>
      <x:c r="W342" s="118" t="n">
        <x:v>0</x:v>
      </x:c>
      <x:c r="X342" s="118" t="n">
        <x:v>0</x:v>
      </x:c>
      <x:c r="Y342" s="118" t="n">
        <x:v>0</x:v>
      </x:c>
      <x:c r="Z342" s="118" t="n">
        <x:v>0</x:v>
      </x:c>
      <x:c r="AA342" s="118" t="n">
        <x:v>0</x:v>
      </x:c>
      <x:c r="AB342" s="118" t="n">
        <x:v>0</x:v>
      </x:c>
      <x:c r="AC342" s="118" t="n">
        <x:v>0</x:v>
      </x:c>
    </x:row>
    <x:row r="343" ht="46" customHeight="1">
      <x:c r="A343" s="117" t="str">
        <x:v>300Ro00000vL6mQIAS</x:v>
      </x:c>
      <x:c r="B343" s="117" t="str">
        <x:v>On_Entry_of_Confirmation_Number_Send_Prepay_Received_Email</x:v>
      </x:c>
      <x:c r="C343" s="117" t="str">
        <x:v>Yes</x:v>
      </x:c>
      <x:c r="D343" s="119" t="str">
        <x:v>Active v3 (Retrieved XML)</x:v>
      </x:c>
      <x:c r="E343" s="119" t="str">
        <x:v>Confirmation_Number__c IsChanged booleanValue=true | Payment_Terms__c EqualTo stringValue=Prepay | Confirmation_Number__c IsNull booleanValue=false</x:v>
      </x:c>
      <x:c r="F343" s="119" t="str">
        <x:v>Opportunity</x:v>
      </x:c>
      <x:c r="G343" s="119" t="str">
        <x:v>Confirmation_Number__c, Id, Name, Payment_Terms__c, Related_Work_Order__c, Related_Work_Order__r</x:v>
      </x:c>
      <x:c r="H343" s="119" t="str">
        <x:v>Opportunity.Prepay_Received, chatterPost</x:v>
      </x:c>
      <x:c r="I343" s="119" t="str"/>
      <x:c r="J343" s="119" t="str"/>
      <x:c r="K343" s="118" t="n">
        <x:v>4</x:v>
      </x:c>
      <x:c r="L343" s="118" t="n">
        <x:v>2</x:v>
      </x:c>
      <x:c r="M343" s="118" t="n">
        <x:v>0</x:v>
      </x:c>
      <x:c r="N343" s="118" t="n">
        <x:v>0</x:v>
      </x:c>
      <x:c r="O343" s="118" t="n">
        <x:v>0</x:v>
      </x:c>
      <x:c r="P343" s="118" t="n">
        <x:v>0</x:v>
      </x:c>
      <x:c r="Q343" s="118" t="n">
        <x:v>1</x:v>
      </x:c>
      <x:c r="R343" s="118" t="n">
        <x:v>0</x:v>
      </x:c>
      <x:c r="S343" s="118" t="n">
        <x:v>0</x:v>
      </x:c>
      <x:c r="T343" s="118" t="n">
        <x:v>0</x:v>
      </x:c>
      <x:c r="U343" s="118" t="n">
        <x:v>0</x:v>
      </x:c>
      <x:c r="V343" s="118" t="n">
        <x:v>0</x:v>
      </x:c>
      <x:c r="W343" s="118" t="n">
        <x:v>0</x:v>
      </x:c>
      <x:c r="X343" s="118" t="n">
        <x:v>0</x:v>
      </x:c>
      <x:c r="Y343" s="118" t="n">
        <x:v>0</x:v>
      </x:c>
      <x:c r="Z343" s="118" t="n">
        <x:v>0</x:v>
      </x:c>
      <x:c r="AA343" s="118" t="n">
        <x:v>0</x:v>
      </x:c>
      <x:c r="AB343" s="118" t="n">
        <x:v>0</x:v>
      </x:c>
      <x:c r="AC343" s="118" t="n">
        <x:v>0</x:v>
      </x:c>
    </x:row>
    <x:row r="344" ht="46" customHeight="1">
      <x:c r="A344" s="117" t="str">
        <x:v>300Ro00000vo1ZZIAY</x:v>
      </x:c>
      <x:c r="B344" s="117" t="str">
        <x:v>On_Make_Model_or_Serial_Number_Change_Update_the_Opportunity</x:v>
      </x:c>
      <x:c r="C344" s="117" t="str">
        <x:v>Yes</x:v>
      </x:c>
      <x:c r="D344" s="119" t="str">
        <x:v>Active v2 (Retrieved XML)</x:v>
      </x:c>
      <x:c r="E344" s="119" t="str">
        <x:v>Make_Model__c IsChanged booleanValue=true</x:v>
      </x:c>
      <x:c r="F344" s="119" t="str">
        <x:v>Opportunity, WorkOrder</x:v>
      </x:c>
      <x:c r="G344" s="119" t="str">
        <x:v>Make_Model__c, Opportunity__c, System_Serial_Number__c</x:v>
      </x:c>
      <x:c r="H344" s="119" t="str"/>
      <x:c r="I344" s="119" t="str"/>
      <x:c r="J344" s="119" t="str"/>
      <x:c r="K344" s="118" t="n">
        <x:v>4</x:v>
      </x:c>
      <x:c r="L344" s="118" t="n">
        <x:v>0</x:v>
      </x:c>
      <x:c r="M344" s="118" t="n">
        <x:v>0</x:v>
      </x:c>
      <x:c r="N344" s="118" t="n">
        <x:v>1</x:v>
      </x:c>
      <x:c r="O344" s="118" t="n">
        <x:v>0</x:v>
      </x:c>
      <x:c r="P344" s="118" t="n">
        <x:v>0</x:v>
      </x:c>
      <x:c r="Q344" s="118" t="n">
        <x:v>1</x:v>
      </x:c>
      <x:c r="R344" s="118" t="n">
        <x:v>0</x:v>
      </x:c>
      <x:c r="S344" s="118" t="n">
        <x:v>0</x:v>
      </x:c>
      <x:c r="T344" s="118" t="n">
        <x:v>0</x:v>
      </x:c>
      <x:c r="U344" s="118" t="n">
        <x:v>0</x:v>
      </x:c>
      <x:c r="V344" s="118" t="n">
        <x:v>0</x:v>
      </x:c>
      <x:c r="W344" s="118" t="n">
        <x:v>0</x:v>
      </x:c>
      <x:c r="X344" s="118" t="n">
        <x:v>1</x:v>
      </x:c>
      <x:c r="Y344" s="118" t="n">
        <x:v>0</x:v>
      </x:c>
      <x:c r="Z344" s="118" t="n">
        <x:v>0</x:v>
      </x:c>
      <x:c r="AA344" s="118" t="n">
        <x:v>0</x:v>
      </x:c>
      <x:c r="AB344" s="118" t="n">
        <x:v>0</x:v>
      </x:c>
      <x:c r="AC344" s="118" t="n">
        <x:v>0</x:v>
      </x:c>
    </x:row>
    <x:row r="345" ht="46" customHeight="1">
      <x:c r="A345" s="117" t="str">
        <x:v>300Ro00000t0d06IAA</x:v>
      </x:c>
      <x:c r="B345" s="117" t="str">
        <x:v>On_New_WOLI_Update_Type_if_Probe_Repair_Opp</x:v>
      </x:c>
      <x:c r="C345" s="117" t="str">
        <x:v>Yes</x:v>
      </x:c>
      <x:c r="D345" s="119" t="str">
        <x:v>Active v6 (Retrieved XML)</x:v>
      </x:c>
      <x:c r="E345" s="119" t="str"/>
      <x:c r="F345" s="119" t="str">
        <x:v>OpportunityLineItem, ServiceAppointment, WorkOrderLineItem</x:v>
      </x:c>
      <x:c r="G345" s="119" t="str">
        <x:v>Line_Intent__c, Line_Type__c, Product2, WorkOrder</x:v>
      </x:c>
      <x:c r="H345" s="119" t="str"/>
      <x:c r="I345" s="119" t="str"/>
      <x:c r="J345" s="119" t="str"/>
      <x:c r="K345" s="118" t="n">
        <x:v>7</x:v>
      </x:c>
      <x:c r="L345" s="118" t="n">
        <x:v>0</x:v>
      </x:c>
      <x:c r="M345" s="118" t="n">
        <x:v>0</x:v>
      </x:c>
      <x:c r="N345" s="118" t="n">
        <x:v>1</x:v>
      </x:c>
      <x:c r="O345" s="118" t="n">
        <x:v>0</x:v>
      </x:c>
      <x:c r="P345" s="118" t="n">
        <x:v>0</x:v>
      </x:c>
      <x:c r="Q345" s="118" t="n">
        <x:v>4</x:v>
      </x:c>
      <x:c r="R345" s="118" t="n">
        <x:v>0</x:v>
      </x:c>
      <x:c r="S345" s="118" t="n">
        <x:v>0</x:v>
      </x:c>
      <x:c r="T345" s="118" t="n">
        <x:v>0</x:v>
      </x:c>
      <x:c r="U345" s="118" t="n">
        <x:v>0</x:v>
      </x:c>
      <x:c r="V345" s="118" t="n">
        <x:v>0</x:v>
      </x:c>
      <x:c r="W345" s="118" t="n">
        <x:v>0</x:v>
      </x:c>
      <x:c r="X345" s="118" t="n">
        <x:v>1</x:v>
      </x:c>
      <x:c r="Y345" s="118" t="n">
        <x:v>0</x:v>
      </x:c>
      <x:c r="Z345" s="118" t="n">
        <x:v>0</x:v>
      </x:c>
      <x:c r="AA345" s="118" t="n">
        <x:v>0</x:v>
      </x:c>
      <x:c r="AB345" s="118" t="n">
        <x:v>0</x:v>
      </x:c>
      <x:c r="AC345" s="118" t="n">
        <x:v>0</x:v>
      </x:c>
    </x:row>
    <x:row r="346" ht="46" customHeight="1">
      <x:c r="A346" s="117" t="str">
        <x:v>300Ro00000vvGyaIAE</x:v>
      </x:c>
      <x:c r="B346" s="117" t="str">
        <x:v>On_Opportunity_Product_Creation_Run_Avg_Inventory_Life_Rollup</x:v>
      </x:c>
      <x:c r="C346" s="117" t="str">
        <x:v>No</x:v>
      </x:c>
      <x:c r="D346" s="119" t="str">
        <x:v>Latest inactive v1 (Retrieved XML)</x:v>
      </x:c>
      <x:c r="E346" s="119" t="str"/>
      <x:c r="F346" s="119" t="str">
        <x:v>OpportunityLineItem</x:v>
      </x:c>
      <x:c r="G346" s="119" t="str">
        <x:v>OpportunityId</x:v>
      </x:c>
      <x:c r="H346" s="119" t="str">
        <x:v>dlrs__RollupActionCalculate</x:v>
      </x:c>
      <x:c r="I346" s="119" t="str"/>
      <x:c r="J346" s="119" t="str"/>
      <x:c r="K346" s="118" t="n">
        <x:v>2</x:v>
      </x:c>
      <x:c r="L346" s="118" t="n">
        <x:v>1</x:v>
      </x:c>
      <x:c r="M346" s="118" t="n">
        <x:v>0</x:v>
      </x:c>
      <x:c r="N346" s="118" t="n">
        <x:v>0</x:v>
      </x:c>
      <x:c r="O346" s="118" t="n">
        <x:v>0</x:v>
      </x:c>
      <x:c r="P346" s="118" t="n">
        <x:v>0</x:v>
      </x:c>
      <x:c r="Q346" s="118" t="n">
        <x:v>0</x:v>
      </x:c>
      <x:c r="R346" s="118" t="n">
        <x:v>0</x:v>
      </x:c>
      <x:c r="S346" s="118" t="n">
        <x:v>0</x:v>
      </x:c>
      <x:c r="T346" s="118" t="n">
        <x:v>0</x:v>
      </x:c>
      <x:c r="U346" s="118" t="n">
        <x:v>0</x:v>
      </x:c>
      <x:c r="V346" s="118" t="n">
        <x:v>0</x:v>
      </x:c>
      <x:c r="W346" s="118" t="n">
        <x:v>0</x:v>
      </x:c>
      <x:c r="X346" s="118" t="n">
        <x:v>0</x:v>
      </x:c>
      <x:c r="Y346" s="118" t="n">
        <x:v>0</x:v>
      </x:c>
      <x:c r="Z346" s="118" t="n">
        <x:v>0</x:v>
      </x:c>
      <x:c r="AA346" s="118" t="n">
        <x:v>0</x:v>
      </x:c>
      <x:c r="AB346" s="118" t="n">
        <x:v>0</x:v>
      </x:c>
      <x:c r="AC346" s="118" t="n">
        <x:v>0</x:v>
      </x:c>
    </x:row>
    <x:row r="347" ht="46" customHeight="1">
      <x:c r="A347" s="117" t="str">
        <x:v>300Ro00000vEvAWIA0</x:v>
      </x:c>
      <x:c r="B347" s="117" t="str">
        <x:v>On_Payment_of_Invoice_Update_Opportunity_to_Invoice_Paid</x:v>
      </x:c>
      <x:c r="C347" s="117" t="str">
        <x:v>Yes</x:v>
      </x:c>
      <x:c r="D347" s="119" t="str">
        <x:v>Active v3 (Retrieved XML)</x:v>
      </x:c>
      <x:c r="E347" s="119" t="str">
        <x:v>Total_Paid_Amount__c IsChanged booleanValue=true</x:v>
      </x:c>
      <x:c r="F347" s="119" t="str">
        <x:v>Invoice__c</x:v>
      </x:c>
      <x:c r="G347" s="119" t="str">
        <x:v>Balance_Due__c, Invoice_Paid_Date__c, Opportunities__r, Opportunity__r, Total_Paid_Amount__c</x:v>
      </x:c>
      <x:c r="H347" s="119" t="str"/>
      <x:c r="I347" s="119" t="str"/>
      <x:c r="J347" s="119" t="str"/>
      <x:c r="K347" s="118" t="n">
        <x:v>5</x:v>
      </x:c>
      <x:c r="L347" s="118" t="n">
        <x:v>0</x:v>
      </x:c>
      <x:c r="M347" s="118" t="n">
        <x:v>0</x:v>
      </x:c>
      <x:c r="N347" s="118" t="n">
        <x:v>0</x:v>
      </x:c>
      <x:c r="O347" s="118" t="n">
        <x:v>0</x:v>
      </x:c>
      <x:c r="P347" s="118" t="n">
        <x:v>0</x:v>
      </x:c>
      <x:c r="Q347" s="118" t="n">
        <x:v>2</x:v>
      </x:c>
      <x:c r="R347" s="118" t="n">
        <x:v>0</x:v>
      </x:c>
      <x:c r="S347" s="118" t="n">
        <x:v>0</x:v>
      </x:c>
      <x:c r="T347" s="118" t="n">
        <x:v>0</x:v>
      </x:c>
      <x:c r="U347" s="118" t="n">
        <x:v>0</x:v>
      </x:c>
      <x:c r="V347" s="118" t="n">
        <x:v>0</x:v>
      </x:c>
      <x:c r="W347" s="118" t="n">
        <x:v>0</x:v>
      </x:c>
      <x:c r="X347" s="118" t="n">
        <x:v>2</x:v>
      </x:c>
      <x:c r="Y347" s="118" t="n">
        <x:v>0</x:v>
      </x:c>
      <x:c r="Z347" s="118" t="n">
        <x:v>0</x:v>
      </x:c>
      <x:c r="AA347" s="118" t="n">
        <x:v>0</x:v>
      </x:c>
      <x:c r="AB347" s="118" t="n">
        <x:v>0</x:v>
      </x:c>
      <x:c r="AC347" s="118" t="n">
        <x:v>0</x:v>
      </x:c>
    </x:row>
    <x:row r="348" ht="46" customHeight="1">
      <x:c r="A348" s="117" t="str">
        <x:v>300Ro00000VTizyIAD</x:v>
      </x:c>
      <x:c r="B348" s="117" t="str">
        <x:v>On_SA_Cancellation_Close_all_Open_Sourcing_Requests</x:v>
      </x:c>
      <x:c r="C348" s="117" t="str">
        <x:v>Yes</x:v>
      </x:c>
      <x:c r="D348" s="119" t="str">
        <x:v>Active v2 (Retrieved XML)</x:v>
      </x:c>
      <x:c r="E348" s="119" t="str">
        <x:v>Status IsChanged booleanValue=true | Status EqualTo stringValue=Canceled</x:v>
      </x:c>
      <x:c r="F348" s="119" t="str">
        <x:v>ServiceAppointment, Sourcing_Request_Item__c</x:v>
      </x:c>
      <x:c r="G348" s="119" t="str">
        <x:v>AppointmentNumber, Assigned_Asset__c, Id, Service_Appointment__c, Status</x:v>
      </x:c>
      <x:c r="H348" s="119" t="str">
        <x:v>emailSimple</x:v>
      </x:c>
      <x:c r="I348" s="119" t="str"/>
      <x:c r="J348" s="119" t="str"/>
      <x:c r="K348" s="118" t="n">
        <x:v>4</x:v>
      </x:c>
      <x:c r="L348" s="118" t="n">
        <x:v>1</x:v>
      </x:c>
      <x:c r="M348" s="118" t="n">
        <x:v>0</x:v>
      </x:c>
      <x:c r="N348" s="118" t="n">
        <x:v>0</x:v>
      </x:c>
      <x:c r="O348" s="118" t="n">
        <x:v>0</x:v>
      </x:c>
      <x:c r="P348" s="118" t="n">
        <x:v>0</x:v>
      </x:c>
      <x:c r="Q348" s="118" t="n">
        <x:v>0</x:v>
      </x:c>
      <x:c r="R348" s="118" t="n">
        <x:v>0</x:v>
      </x:c>
      <x:c r="S348" s="118" t="n">
        <x:v>0</x:v>
      </x:c>
      <x:c r="T348" s="118" t="n">
        <x:v>0</x:v>
      </x:c>
      <x:c r="U348" s="118" t="n">
        <x:v>0</x:v>
      </x:c>
      <x:c r="V348" s="118" t="n">
        <x:v>1</x:v>
      </x:c>
      <x:c r="W348" s="118" t="n">
        <x:v>0</x:v>
      </x:c>
      <x:c r="X348" s="118" t="n">
        <x:v>0</x:v>
      </x:c>
      <x:c r="Y348" s="118" t="n">
        <x:v>0</x:v>
      </x:c>
      <x:c r="Z348" s="118" t="n">
        <x:v>0</x:v>
      </x:c>
      <x:c r="AA348" s="118" t="n">
        <x:v>0</x:v>
      </x:c>
      <x:c r="AB348" s="118" t="n">
        <x:v>1</x:v>
      </x:c>
      <x:c r="AC348" s="118" t="n">
        <x:v>0</x:v>
      </x:c>
    </x:row>
    <x:row r="349" ht="46" customHeight="1">
      <x:c r="A349" s="117" t="str">
        <x:v>300Ro00000vo6MLIAY</x:v>
      </x:c>
      <x:c r="B349" s="117" t="str">
        <x:v>On_Serial_Number_Change_Update_the_Opportunity</x:v>
      </x:c>
      <x:c r="C349" s="117" t="str">
        <x:v>Yes</x:v>
      </x:c>
      <x:c r="D349" s="119" t="str">
        <x:v>Active v1 (Retrieved XML)</x:v>
      </x:c>
      <x:c r="E349" s="119" t="str">
        <x:v>System_Serial_Number__c IsChanged booleanValue=true</x:v>
      </x:c>
      <x:c r="F349" s="119" t="str">
        <x:v>Opportunity, WorkOrder</x:v>
      </x:c>
      <x:c r="G349" s="119" t="str">
        <x:v>Make_Model__c, Opportunity__c, System_Serial_Number__c</x:v>
      </x:c>
      <x:c r="H349" s="119" t="str"/>
      <x:c r="I349" s="119" t="str"/>
      <x:c r="J349" s="119" t="str"/>
      <x:c r="K349" s="118" t="n">
        <x:v>4</x:v>
      </x:c>
      <x:c r="L349" s="118" t="n">
        <x:v>0</x:v>
      </x:c>
      <x:c r="M349" s="118" t="n">
        <x:v>0</x:v>
      </x:c>
      <x:c r="N349" s="118" t="n">
        <x:v>1</x:v>
      </x:c>
      <x:c r="O349" s="118" t="n">
        <x:v>0</x:v>
      </x:c>
      <x:c r="P349" s="118" t="n">
        <x:v>0</x:v>
      </x:c>
      <x:c r="Q349" s="118" t="n">
        <x:v>1</x:v>
      </x:c>
      <x:c r="R349" s="118" t="n">
        <x:v>0</x:v>
      </x:c>
      <x:c r="S349" s="118" t="n">
        <x:v>0</x:v>
      </x:c>
      <x:c r="T349" s="118" t="n">
        <x:v>0</x:v>
      </x:c>
      <x:c r="U349" s="118" t="n">
        <x:v>0</x:v>
      </x:c>
      <x:c r="V349" s="118" t="n">
        <x:v>0</x:v>
      </x:c>
      <x:c r="W349" s="118" t="n">
        <x:v>0</x:v>
      </x:c>
      <x:c r="X349" s="118" t="n">
        <x:v>1</x:v>
      </x:c>
      <x:c r="Y349" s="118" t="n">
        <x:v>0</x:v>
      </x:c>
      <x:c r="Z349" s="118" t="n">
        <x:v>0</x:v>
      </x:c>
      <x:c r="AA349" s="118" t="n">
        <x:v>0</x:v>
      </x:c>
      <x:c r="AB349" s="118" t="n">
        <x:v>0</x:v>
      </x:c>
      <x:c r="AC349" s="118" t="n">
        <x:v>0</x:v>
      </x:c>
    </x:row>
    <x:row r="350" ht="46" customHeight="1">
      <x:c r="A350" s="117" t="str">
        <x:v>300Ro00000oFvSfIAK</x:v>
      </x:c>
      <x:c r="B350" s="117" t="str">
        <x:v>On_Service_Appointment_Enable_Zenkraft_Shipping_Label_Creation</x:v>
      </x:c>
      <x:c r="C350" s="117" t="str">
        <x:v>No</x:v>
      </x:c>
      <x:c r="D350" s="119" t="str">
        <x:v>Latest inactive v1 (Retrieved XML)</x:v>
      </x:c>
      <x:c r="E350" s="119" t="str"/>
      <x:c r="F350" s="119" t="str">
        <x:v>ServiceAppointment, zkmulti__MCShipment__c</x:v>
      </x:c>
      <x:c r="G350" s="119" t="str">
        <x:v>Id</x:v>
      </x:c>
      <x:c r="H350" s="119" t="str"/>
      <x:c r="I350" s="119" t="str"/>
      <x:c r="J350" s="119" t="str"/>
      <x:c r="K350" s="118" t="n">
        <x:v>3</x:v>
      </x:c>
      <x:c r="L350" s="118" t="n">
        <x:v>0</x:v>
      </x:c>
      <x:c r="M350" s="118" t="n">
        <x:v>0</x:v>
      </x:c>
      <x:c r="N350" s="118" t="n">
        <x:v>0</x:v>
      </x:c>
      <x:c r="O350" s="118" t="n">
        <x:v>0</x:v>
      </x:c>
      <x:c r="P350" s="118" t="n">
        <x:v>0</x:v>
      </x:c>
      <x:c r="Q350" s="118" t="n">
        <x:v>0</x:v>
      </x:c>
      <x:c r="R350" s="118" t="n">
        <x:v>0</x:v>
      </x:c>
      <x:c r="S350" s="118" t="n">
        <x:v>0</x:v>
      </x:c>
      <x:c r="T350" s="118" t="n">
        <x:v>0</x:v>
      </x:c>
      <x:c r="U350" s="118" t="n">
        <x:v>0</x:v>
      </x:c>
      <x:c r="V350" s="118" t="n">
        <x:v>1</x:v>
      </x:c>
      <x:c r="W350" s="118" t="n">
        <x:v>0</x:v>
      </x:c>
      <x:c r="X350" s="118" t="n">
        <x:v>0</x:v>
      </x:c>
      <x:c r="Y350" s="118" t="n">
        <x:v>1</x:v>
      </x:c>
      <x:c r="Z350" s="118" t="n">
        <x:v>0</x:v>
      </x:c>
      <x:c r="AA350" s="118" t="n">
        <x:v>0</x:v>
      </x:c>
      <x:c r="AB350" s="118" t="n">
        <x:v>0</x:v>
      </x:c>
      <x:c r="AC350" s="118" t="n">
        <x:v>0</x:v>
      </x:c>
    </x:row>
    <x:row r="351" ht="46" customHeight="1">
      <x:c r="A351" s="117" t="str">
        <x:v>300Ro00000REVFkIAP</x:v>
      </x:c>
      <x:c r="B351" s="117" t="str">
        <x:v>On_Setting_of_Price_Update_Service_Appointment_to_Pending_Customer_Authorization</x:v>
      </x:c>
      <x:c r="C351" s="117" t="str">
        <x:v>No</x:v>
      </x:c>
      <x:c r="D351" s="119" t="str">
        <x:v>Latest inactive v1 (Retrieved XML)</x:v>
      </x:c>
      <x:c r="E351" s="119" t="str">
        <x:v>Price__c IsChanged booleanValue=true | Price__c GreaterThanOrEqualTo numberValue=0.0</x:v>
      </x:c>
      <x:c r="F351" s="119" t="str">
        <x:v>Pricing_Request__c, ServiceAppointment</x:v>
      </x:c>
      <x:c r="G351" s="119" t="str">
        <x:v>Price__c, Service_Appointment__c</x:v>
      </x:c>
      <x:c r="H351" s="119" t="str"/>
      <x:c r="I351" s="119" t="str"/>
      <x:c r="J351" s="119" t="str"/>
      <x:c r="K351" s="118" t="n">
        <x:v>9</x:v>
      </x:c>
      <x:c r="L351" s="118" t="n">
        <x:v>0</x:v>
      </x:c>
      <x:c r="M351" s="118" t="n">
        <x:v>0</x:v>
      </x:c>
      <x:c r="N351" s="118" t="n">
        <x:v>2</x:v>
      </x:c>
      <x:c r="O351" s="118" t="n">
        <x:v>0</x:v>
      </x:c>
      <x:c r="P351" s="118" t="n">
        <x:v>0</x:v>
      </x:c>
      <x:c r="Q351" s="118" t="n">
        <x:v>3</x:v>
      </x:c>
      <x:c r="R351" s="118" t="n">
        <x:v>1</x:v>
      </x:c>
      <x:c r="S351" s="118" t="n">
        <x:v>0</x:v>
      </x:c>
      <x:c r="T351" s="118" t="n">
        <x:v>0</x:v>
      </x:c>
      <x:c r="U351" s="118" t="n">
        <x:v>0</x:v>
      </x:c>
      <x:c r="V351" s="118" t="n">
        <x:v>1</x:v>
      </x:c>
      <x:c r="W351" s="118" t="n">
        <x:v>0</x:v>
      </x:c>
      <x:c r="X351" s="118" t="n">
        <x:v>1</x:v>
      </x:c>
      <x:c r="Y351" s="118" t="n">
        <x:v>0</x:v>
      </x:c>
      <x:c r="Z351" s="118" t="n">
        <x:v>0</x:v>
      </x:c>
      <x:c r="AA351" s="118" t="n">
        <x:v>0</x:v>
      </x:c>
      <x:c r="AB351" s="118" t="n">
        <x:v>0</x:v>
      </x:c>
      <x:c r="AC351" s="118" t="n">
        <x:v>0</x:v>
      </x:c>
    </x:row>
    <x:row r="352" ht="46" customHeight="1">
      <x:c r="A352" s="117" t="str">
        <x:v>300Ro00000vm5FvIAI</x:v>
      </x:c>
      <x:c r="B352" s="117" t="str">
        <x:v>On_Setting_of_Repair_Opportunity_Set_Shipping_Account_to_Bill_Customer_Fedex_Sys</x:v>
      </x:c>
      <x:c r="C352" s="117" t="str">
        <x:v>Yes</x:v>
      </x:c>
      <x:c r="D352" s="119" t="str">
        <x:v>Active v1 (Retrieved XML)</x:v>
      </x:c>
      <x:c r="E352" s="119" t="str">
        <x:v>Repair_Opportunity__c IsChanged booleanValue=true | Repair_Opportunity__c IsNull booleanValue=false</x:v>
      </x:c>
      <x:c r="F352" s="119" t="str">
        <x:v>Loaner__c</x:v>
      </x:c>
      <x:c r="G352" s="119" t="str">
        <x:v>Repair_Opportunity__c, Repair_Opportunity__r, Shipping_Account_to_Bill__c</x:v>
      </x:c>
      <x:c r="H352" s="119" t="str"/>
      <x:c r="I352" s="119" t="str"/>
      <x:c r="J352" s="119" t="str"/>
      <x:c r="K352" s="118" t="n">
        <x:v>3</x:v>
      </x:c>
      <x:c r="L352" s="118" t="n">
        <x:v>0</x:v>
      </x:c>
      <x:c r="M352" s="118" t="n">
        <x:v>0</x:v>
      </x:c>
      <x:c r="N352" s="118" t="n">
        <x:v>0</x:v>
      </x:c>
      <x:c r="O352" s="118" t="n">
        <x:v>0</x:v>
      </x:c>
      <x:c r="P352" s="118" t="n">
        <x:v>0</x:v>
      </x:c>
      <x:c r="Q352" s="118" t="n">
        <x:v>1</x:v>
      </x:c>
      <x:c r="R352" s="118" t="n">
        <x:v>0</x:v>
      </x:c>
      <x:c r="S352" s="118" t="n">
        <x:v>0</x:v>
      </x:c>
      <x:c r="T352" s="118" t="n">
        <x:v>0</x:v>
      </x:c>
      <x:c r="U352" s="118" t="n">
        <x:v>0</x:v>
      </x:c>
      <x:c r="V352" s="118" t="n">
        <x:v>0</x:v>
      </x:c>
      <x:c r="W352" s="118" t="n">
        <x:v>0</x:v>
      </x:c>
      <x:c r="X352" s="118" t="n">
        <x:v>1</x:v>
      </x:c>
      <x:c r="Y352" s="118" t="n">
        <x:v>0</x:v>
      </x:c>
      <x:c r="Z352" s="118" t="n">
        <x:v>0</x:v>
      </x:c>
      <x:c r="AA352" s="118" t="n">
        <x:v>0</x:v>
      </x:c>
      <x:c r="AB352" s="118" t="n">
        <x:v>0</x:v>
      </x:c>
      <x:c r="AC352" s="118" t="n">
        <x:v>0</x:v>
      </x:c>
    </x:row>
    <x:row r="353" ht="46" customHeight="1">
      <x:c r="A353" s="117" t="str">
        <x:v>300Ro00000REVFlIAP</x:v>
      </x:c>
      <x:c r="B353" s="117" t="str">
        <x:v>On_Submit_to_Shipping_Update_SA_to_Ready_to_Book</x:v>
      </x:c>
      <x:c r="C353" s="117" t="str">
        <x:v>Yes</x:v>
      </x:c>
      <x:c r="D353" s="119" t="str">
        <x:v>Active v1 (Retrieved XML)</x:v>
      </x:c>
      <x:c r="E353" s="119" t="str">
        <x:v>Submit_to_Shipping__c EqualTo booleanValue=true | Submit_to_Shipping__c IsChanged booleanValue=true</x:v>
      </x:c>
      <x:c r="F353" s="119" t="str">
        <x:v>ServiceAppointment</x:v>
      </x:c>
      <x:c r="G353" s="119" t="str">
        <x:v>Status, Submit_to_Shipping_Time_Stamp__c, Submit_to_Shipping__c</x:v>
      </x:c>
      <x:c r="H353" s="119" t="str"/>
      <x:c r="I353" s="119" t="str"/>
      <x:c r="J353" s="119" t="str"/>
      <x:c r="K353" s="118" t="n">
        <x:v>2</x:v>
      </x:c>
      <x:c r="L353" s="118" t="n">
        <x:v>0</x:v>
      </x:c>
      <x:c r="M353" s="118" t="n">
        <x:v>0</x:v>
      </x:c>
      <x:c r="N353" s="118" t="n">
        <x:v>1</x:v>
      </x:c>
      <x:c r="O353" s="118" t="n">
        <x:v>0</x:v>
      </x:c>
      <x:c r="P353" s="118" t="n">
        <x:v>0</x:v>
      </x:c>
      <x:c r="Q353" s="118" t="n">
        <x:v>0</x:v>
      </x:c>
      <x:c r="R353" s="118" t="n">
        <x:v>0</x:v>
      </x:c>
      <x:c r="S353" s="118" t="n">
        <x:v>0</x:v>
      </x:c>
      <x:c r="T353" s="118" t="n">
        <x:v>0</x:v>
      </x:c>
      <x:c r="U353" s="118" t="n">
        <x:v>0</x:v>
      </x:c>
      <x:c r="V353" s="118" t="n">
        <x:v>0</x:v>
      </x:c>
      <x:c r="W353" s="118" t="n">
        <x:v>0</x:v>
      </x:c>
      <x:c r="X353" s="118" t="n">
        <x:v>0</x:v>
      </x:c>
      <x:c r="Y353" s="118" t="n">
        <x:v>0</x:v>
      </x:c>
      <x:c r="Z353" s="118" t="n">
        <x:v>0</x:v>
      </x:c>
      <x:c r="AA353" s="118" t="n">
        <x:v>0</x:v>
      </x:c>
      <x:c r="AB353" s="118" t="n">
        <x:v>0</x:v>
      </x:c>
      <x:c r="AC353" s="118" t="n">
        <x:v>0</x:v>
      </x:c>
    </x:row>
    <x:row r="354" ht="46" customHeight="1">
      <x:c r="A354" s="117" t="str">
        <x:v>300Ro00000vx4WjIAI</x:v>
      </x:c>
      <x:c r="B354" s="117" t="str">
        <x:v>On_Update_Completed_Undo_Update_Needed_Checkbox_and_Reset_Status</x:v>
      </x:c>
      <x:c r="C354" s="117" t="str">
        <x:v>Yes</x:v>
      </x:c>
      <x:c r="D354" s="119" t="str">
        <x:v>Active v2 (Retrieved XML)</x:v>
      </x:c>
      <x:c r="E354" s="119" t="str">
        <x:v>Update_Completed__c EqualTo booleanValue=true | Update_Completed__c IsChanged booleanValue=true | Status EqualTo stringValue=Update Needed</x:v>
      </x:c>
      <x:c r="F354" s="119" t="str">
        <x:v>WorkOrder, WorkOrderHistory</x:v>
      </x:c>
      <x:c r="G354" s="119" t="str">
        <x:v>Field, Id, Status, Update_Completed__c, WorkOrderId</x:v>
      </x:c>
      <x:c r="H354" s="119" t="str"/>
      <x:c r="I354" s="119" t="str"/>
      <x:c r="J354" s="119" t="str"/>
      <x:c r="K354" s="118" t="n">
        <x:v>5</x:v>
      </x:c>
      <x:c r="L354" s="118" t="n">
        <x:v>0</x:v>
      </x:c>
      <x:c r="M354" s="118" t="n">
        <x:v>0</x:v>
      </x:c>
      <x:c r="N354" s="118" t="n">
        <x:v>0</x:v>
      </x:c>
      <x:c r="O354" s="118" t="n">
        <x:v>0</x:v>
      </x:c>
      <x:c r="P354" s="118" t="n">
        <x:v>1</x:v>
      </x:c>
      <x:c r="Q354" s="118" t="n">
        <x:v>1</x:v>
      </x:c>
      <x:c r="R354" s="118" t="n">
        <x:v>0</x:v>
      </x:c>
      <x:c r="S354" s="118" t="n">
        <x:v>0</x:v>
      </x:c>
      <x:c r="T354" s="118" t="n">
        <x:v>0</x:v>
      </x:c>
      <x:c r="U354" s="118" t="n">
        <x:v>0</x:v>
      </x:c>
      <x:c r="V354" s="118" t="n">
        <x:v>1</x:v>
      </x:c>
      <x:c r="W354" s="118" t="n">
        <x:v>0</x:v>
      </x:c>
      <x:c r="X354" s="118" t="n">
        <x:v>1</x:v>
      </x:c>
      <x:c r="Y354" s="118" t="n">
        <x:v>0</x:v>
      </x:c>
      <x:c r="Z354" s="118" t="n">
        <x:v>0</x:v>
      </x:c>
      <x:c r="AA354" s="118" t="n">
        <x:v>0</x:v>
      </x:c>
      <x:c r="AB354" s="118" t="n">
        <x:v>0</x:v>
      </x:c>
      <x:c r="AC354" s="118" t="n">
        <x:v>0</x:v>
      </x:c>
    </x:row>
    <x:row r="355" ht="46" customHeight="1">
      <x:c r="A355" s="117" t="str">
        <x:v>300Ro00000cnT4eIAE</x:v>
      </x:c>
      <x:c r="B355" s="117" t="str">
        <x:v>On_Update_Line_Item_Swap_on_Opp_Updates_Information_on_the_WOLI</x:v>
      </x:c>
      <x:c r="C355" s="117" t="str">
        <x:v>No</x:v>
      </x:c>
      <x:c r="D355" s="119" t="str">
        <x:v>Latest inactive v6 (Retrieved XML)</x:v>
      </x:c>
      <x:c r="E355" s="119" t="str"/>
      <x:c r="F355" s="119" t="str">
        <x:v>OpportunityLineItem, ServiceAppointment, WorkOrderLineItem</x:v>
      </x:c>
      <x:c r="G355" s="119" t="str">
        <x:v>Line_Intent__c, WorkOrder, WorkOrderId</x:v>
      </x:c>
      <x:c r="H355" s="119" t="str">
        <x:v>RecentlyDeletedWoliLookupInvocable</x:v>
      </x:c>
      <x:c r="I355" s="119" t="str"/>
      <x:c r="J355" s="119" t="str"/>
      <x:c r="K355" s="118" t="n">
        <x:v>5</x:v>
      </x:c>
      <x:c r="L355" s="118" t="n">
        <x:v>1</x:v>
      </x:c>
      <x:c r="M355" s="118" t="n">
        <x:v>0</x:v>
      </x:c>
      <x:c r="N355" s="118" t="n">
        <x:v>0</x:v>
      </x:c>
      <x:c r="O355" s="118" t="n">
        <x:v>0</x:v>
      </x:c>
      <x:c r="P355" s="118" t="n">
        <x:v>0</x:v>
      </x:c>
      <x:c r="Q355" s="118" t="n">
        <x:v>2</x:v>
      </x:c>
      <x:c r="R355" s="118" t="n">
        <x:v>0</x:v>
      </x:c>
      <x:c r="S355" s="118" t="n">
        <x:v>0</x:v>
      </x:c>
      <x:c r="T355" s="118" t="n">
        <x:v>0</x:v>
      </x:c>
      <x:c r="U355" s="118" t="n">
        <x:v>0</x:v>
      </x:c>
      <x:c r="V355" s="118" t="n">
        <x:v>0</x:v>
      </x:c>
      <x:c r="W355" s="118" t="n">
        <x:v>0</x:v>
      </x:c>
      <x:c r="X355" s="118" t="n">
        <x:v>1</x:v>
      </x:c>
      <x:c r="Y355" s="118" t="n">
        <x:v>0</x:v>
      </x:c>
      <x:c r="Z355" s="118" t="n">
        <x:v>0</x:v>
      </x:c>
      <x:c r="AA355" s="118" t="n">
        <x:v>0</x:v>
      </x:c>
      <x:c r="AB355" s="118" t="n">
        <x:v>0</x:v>
      </x:c>
      <x:c r="AC355" s="118" t="n">
        <x:v>0</x:v>
      </x:c>
    </x:row>
    <x:row r="356" ht="46" customHeight="1">
      <x:c r="A356" s="117" t="str">
        <x:v>300Ro00000oEe0pIAC</x:v>
      </x:c>
      <x:c r="B356" s="117" t="str">
        <x:v>On_Update_of_Address_Update_Opportunity_Shipping_if_Needed</x:v>
      </x:c>
      <x:c r="C356" s="117" t="str">
        <x:v>Yes</x:v>
      </x:c>
      <x:c r="D356" s="119" t="str">
        <x:v>Active v19 (Retrieved XML)</x:v>
      </x:c>
      <x:c r="E356" s="119" t="str">
        <x:v>Street IsChanged booleanValue=true | City IsChanged booleanValue=true | State IsChanged booleanValue=true | PostalCode IsChanged booleanValue=true | Shipping_Address__c IsChanged booleanValue=true | Shipping_City__c IsChanged booleanValue=true | Shipping_State__c IsChanged booleanValue=true | Shipping_Postal_Code__c IsChanged booleanValue=true | Shipping_Street__c IsChanged booleanValue=true | Country EqualTo stringValue=United States | Country EqualTo stringValue=US</x:v>
      </x:c>
      <x:c r="F356" s="119" t="str">
        <x:v>Opportunity, WorkOrder</x:v>
      </x:c>
      <x:c r="G356" s="119" t="str">
        <x:v>Billing_Type__c, City, Country, Id, Opportunity__c, PostalCode, Service_Site_Name__c, Shipping_Address__c, Shipping_Address__r, Shipping_City__c, Shipping_Country__c, Shipping_Postal_Code__c, Shipping_Site_Name__c, Shipping_State__c, Shipping_Street__c, State, Street</x:v>
      </x:c>
      <x:c r="H356" s="119" t="str"/>
      <x:c r="I356" s="119" t="str"/>
      <x:c r="J356" s="119" t="str"/>
      <x:c r="K356" s="118" t="n">
        <x:v>7</x:v>
      </x:c>
      <x:c r="L356" s="118" t="n">
        <x:v>0</x:v>
      </x:c>
      <x:c r="M356" s="118" t="n">
        <x:v>0</x:v>
      </x:c>
      <x:c r="N356" s="118" t="n">
        <x:v>2</x:v>
      </x:c>
      <x:c r="O356" s="118" t="n">
        <x:v>0</x:v>
      </x:c>
      <x:c r="P356" s="118" t="n">
        <x:v>0</x:v>
      </x:c>
      <x:c r="Q356" s="118" t="n">
        <x:v>2</x:v>
      </x:c>
      <x:c r="R356" s="118" t="n">
        <x:v>0</x:v>
      </x:c>
      <x:c r="S356" s="118" t="n">
        <x:v>0</x:v>
      </x:c>
      <x:c r="T356" s="118" t="n">
        <x:v>0</x:v>
      </x:c>
      <x:c r="U356" s="118" t="n">
        <x:v>0</x:v>
      </x:c>
      <x:c r="V356" s="118" t="n">
        <x:v>1</x:v>
      </x:c>
      <x:c r="W356" s="118" t="n">
        <x:v>0</x:v>
      </x:c>
      <x:c r="X356" s="118" t="n">
        <x:v>1</x:v>
      </x:c>
      <x:c r="Y356" s="118" t="n">
        <x:v>0</x:v>
      </x:c>
      <x:c r="Z356" s="118" t="n">
        <x:v>0</x:v>
      </x:c>
      <x:c r="AA356" s="118" t="n">
        <x:v>0</x:v>
      </x:c>
      <x:c r="AB356" s="118" t="n">
        <x:v>0</x:v>
      </x:c>
      <x:c r="AC356" s="118" t="n">
        <x:v>0</x:v>
      </x:c>
    </x:row>
    <x:row r="357" ht="46" customHeight="1">
      <x:c r="A357" s="117" t="str">
        <x:v>300Ro00000cnT4gIAE</x:v>
      </x:c>
      <x:c r="B357" s="117" t="str">
        <x:v>On_Update_of_Shipping_Location_on_Work_Order_Update_Location_on_Open_Service_App</x:v>
      </x:c>
      <x:c r="C357" s="117" t="str">
        <x:v>Yes</x:v>
      </x:c>
      <x:c r="D357" s="119" t="str">
        <x:v>Active v7 (Retrieved XML)</x:v>
      </x:c>
      <x:c r="E357" s="119" t="str">
        <x:v>Shipping_Location__c IsChanged booleanValue=true | Shipping_Address__c IsChanged booleanValue=true</x:v>
      </x:c>
      <x:c r="F357" s="119" t="str">
        <x:v>WorkOrder</x:v>
      </x:c>
      <x:c r="G357" s="119" t="str">
        <x:v>Service_Appointments__r, Ship_to_Address__c, Shipping_Address__c, Shipping_Address__r, Shipping_City__c, Shipping_Country__c, Shipping_Location__c, Shipping_Postal_Code__c, Shipping_State__c, Shipping_Street__c, Status</x:v>
      </x:c>
      <x:c r="H357" s="119" t="str"/>
      <x:c r="I357" s="119" t="str"/>
      <x:c r="J357" s="119" t="str"/>
      <x:c r="K357" s="118" t="n">
        <x:v>3</x:v>
      </x:c>
      <x:c r="L357" s="118" t="n">
        <x:v>0</x:v>
      </x:c>
      <x:c r="M357" s="118" t="n">
        <x:v>0</x:v>
      </x:c>
      <x:c r="N357" s="118" t="n">
        <x:v>0</x:v>
      </x:c>
      <x:c r="O357" s="118" t="n">
        <x:v>0</x:v>
      </x:c>
      <x:c r="P357" s="118" t="n">
        <x:v>0</x:v>
      </x:c>
      <x:c r="Q357" s="118" t="n">
        <x:v>0</x:v>
      </x:c>
      <x:c r="R357" s="118" t="n">
        <x:v>0</x:v>
      </x:c>
      <x:c r="S357" s="118" t="n">
        <x:v>0</x:v>
      </x:c>
      <x:c r="T357" s="118" t="n">
        <x:v>0</x:v>
      </x:c>
      <x:c r="U357" s="118" t="n">
        <x:v>0</x:v>
      </x:c>
      <x:c r="V357" s="118" t="n">
        <x:v>0</x:v>
      </x:c>
      <x:c r="W357" s="118" t="n">
        <x:v>0</x:v>
      </x:c>
      <x:c r="X357" s="118" t="n">
        <x:v>2</x:v>
      </x:c>
      <x:c r="Y357" s="118" t="n">
        <x:v>0</x:v>
      </x:c>
      <x:c r="Z357" s="118" t="n">
        <x:v>0</x:v>
      </x:c>
      <x:c r="AA357" s="118" t="n">
        <x:v>0</x:v>
      </x:c>
      <x:c r="AB357" s="118" t="n">
        <x:v>0</x:v>
      </x:c>
      <x:c r="AC357" s="118" t="n">
        <x:v>0</x:v>
      </x:c>
    </x:row>
    <x:row r="358" ht="46" customHeight="1">
      <x:c r="A358" s="117" t="str">
        <x:v>300Ro00000cnT4fIAE</x:v>
      </x:c>
      <x:c r="B358" s="117" t="str">
        <x:v>On_Update_Update_Checkbox_on_WOLI</x:v>
      </x:c>
      <x:c r="C358" s="117" t="str">
        <x:v>No</x:v>
      </x:c>
      <x:c r="D358" s="119" t="str">
        <x:v>Latest inactive v1 (Retrieved XML)</x:v>
      </x:c>
      <x:c r="E358" s="119" t="str">
        <x:v>Product2Id IsChanged booleanValue=true</x:v>
      </x:c>
      <x:c r="F358" s="119" t="str">
        <x:v>OpportunityLineItem, ServiceAppointment, WorkOrderLineItem</x:v>
      </x:c>
      <x:c r="G358" s="119" t="str">
        <x:v>Call_Fetch_of_New_Opp_Product__c, Id, Product2Id, Work_Order_Line_Item__c</x:v>
      </x:c>
      <x:c r="H358" s="119" t="str"/>
      <x:c r="I358" s="119" t="str"/>
      <x:c r="J358" s="119" t="str"/>
      <x:c r="K358" s="118" t="n">
        <x:v>3</x:v>
      </x:c>
      <x:c r="L358" s="118" t="n">
        <x:v>0</x:v>
      </x:c>
      <x:c r="M358" s="118" t="n">
        <x:v>0</x:v>
      </x:c>
      <x:c r="N358" s="118" t="n">
        <x:v>0</x:v>
      </x:c>
      <x:c r="O358" s="118" t="n">
        <x:v>0</x:v>
      </x:c>
      <x:c r="P358" s="118" t="n">
        <x:v>0</x:v>
      </x:c>
      <x:c r="Q358" s="118" t="n">
        <x:v>1</x:v>
      </x:c>
      <x:c r="R358" s="118" t="n">
        <x:v>0</x:v>
      </x:c>
      <x:c r="S358" s="118" t="n">
        <x:v>0</x:v>
      </x:c>
      <x:c r="T358" s="118" t="n">
        <x:v>0</x:v>
      </x:c>
      <x:c r="U358" s="118" t="n">
        <x:v>0</x:v>
      </x:c>
      <x:c r="V358" s="118" t="n">
        <x:v>0</x:v>
      </x:c>
      <x:c r="W358" s="118" t="n">
        <x:v>0</x:v>
      </x:c>
      <x:c r="X358" s="118" t="n">
        <x:v>1</x:v>
      </x:c>
      <x:c r="Y358" s="118" t="n">
        <x:v>0</x:v>
      </x:c>
      <x:c r="Z358" s="118" t="n">
        <x:v>0</x:v>
      </x:c>
      <x:c r="AA358" s="118" t="n">
        <x:v>0</x:v>
      </x:c>
      <x:c r="AB358" s="118" t="n">
        <x:v>0</x:v>
      </x:c>
      <x:c r="AC358" s="118" t="n">
        <x:v>0</x:v>
      </x:c>
    </x:row>
    <x:row r="359" ht="46" customHeight="1">
      <x:c r="A359" s="117" t="str">
        <x:v>300Ro00000cnT4dIAE</x:v>
      </x:c>
      <x:c r="B359" s="117" t="str">
        <x:v>On_US_FSL_Lead_Conversion_Bring_Work_Order_Over_to_Contact_Account_Opportunity</x:v>
      </x:c>
      <x:c r="C359" s="117" t="str">
        <x:v>Yes</x:v>
      </x:c>
      <x:c r="D359" s="119" t="str">
        <x:v>Active v22 (Retrieved XML)</x:v>
      </x:c>
      <x:c r="E359" s="119" t="str">
        <x:v>Related_Work_Order__c IsNull booleanValue=false</x:v>
      </x:c>
      <x:c r="F359" s="119" t="str">
        <x:v>Opportunity, ServiceAppointment, ServiceContract, WorkOrder, WorkOrderLineItem</x:v>
      </x:c>
      <x:c r="G359" s="119" t="str">
        <x:v>Country, Id, Line_Type__c, Opportunity_Number__c, Opportunity__c, Pricebook2Id, RecordTypeId, Related_Asset__c, Related_Work_Order__c, WorkOrderId, Work_Order_Opportunity__c, Work_Order__c</x:v>
      </x:c>
      <x:c r="H359" s="119" t="str"/>
      <x:c r="I359" s="119" t="str"/>
      <x:c r="J359" s="119" t="str"/>
      <x:c r="K359" s="118" t="n">
        <x:v>26</x:v>
      </x:c>
      <x:c r="L359" s="118" t="n">
        <x:v>0</x:v>
      </x:c>
      <x:c r="M359" s="118" t="n">
        <x:v>0</x:v>
      </x:c>
      <x:c r="N359" s="118" t="n">
        <x:v>2</x:v>
      </x:c>
      <x:c r="O359" s="118" t="n">
        <x:v>0</x:v>
      </x:c>
      <x:c r="P359" s="118" t="n">
        <x:v>0</x:v>
      </x:c>
      <x:c r="Q359" s="118" t="n">
        <x:v>6</x:v>
      </x:c>
      <x:c r="R359" s="118" t="n">
        <x:v>0</x:v>
      </x:c>
      <x:c r="S359" s="118" t="n">
        <x:v>0</x:v>
      </x:c>
      <x:c r="T359" s="118" t="n">
        <x:v>2</x:v>
      </x:c>
      <x:c r="U359" s="118" t="n">
        <x:v>0</x:v>
      </x:c>
      <x:c r="V359" s="118" t="n">
        <x:v>5</x:v>
      </x:c>
      <x:c r="W359" s="118" t="n">
        <x:v>0</x:v>
      </x:c>
      <x:c r="X359" s="118" t="n">
        <x:v>4</x:v>
      </x:c>
      <x:c r="Y359" s="118" t="n">
        <x:v>0</x:v>
      </x:c>
      <x:c r="Z359" s="118" t="n">
        <x:v>0</x:v>
      </x:c>
      <x:c r="AA359" s="118" t="n">
        <x:v>0</x:v>
      </x:c>
      <x:c r="AB359" s="118" t="n">
        <x:v>6</x:v>
      </x:c>
      <x:c r="AC359" s="118" t="n">
        <x:v>0</x:v>
      </x:c>
    </x:row>
    <x:row r="360" ht="46" customHeight="1">
      <x:c r="A360" s="117" t="str">
        <x:v>300Ro00000iqyyLIAQ</x:v>
      </x:c>
      <x:c r="B360" s="117" t="str">
        <x:v>On_Vendor_Sourcing_Update_Update_Purchasing_Opportunity_on_Service_Appointment</x:v>
      </x:c>
      <x:c r="C360" s="117" t="str">
        <x:v>Yes</x:v>
      </x:c>
      <x:c r="D360" s="119" t="str">
        <x:v>Active v1 (Retrieved XML)</x:v>
      </x:c>
      <x:c r="E360" s="119" t="str"/>
      <x:c r="F360" s="119" t="str">
        <x:v>Vendor_Sourcing__c</x:v>
      </x:c>
      <x:c r="G360" s="119" t="str">
        <x:v>Purchasing_Opportunity__c, Service_Appointment__c, Service_Appointment__r, Vendor_Sourcing_PO_Opportunity__c</x:v>
      </x:c>
      <x:c r="H360" s="119" t="str"/>
      <x:c r="I360" s="119" t="str"/>
      <x:c r="J360" s="119" t="str"/>
      <x:c r="K360" s="118" t="n">
        <x:v>2</x:v>
      </x:c>
      <x:c r="L360" s="118" t="n">
        <x:v>0</x:v>
      </x:c>
      <x:c r="M360" s="118" t="n">
        <x:v>0</x:v>
      </x:c>
      <x:c r="N360" s="118" t="n">
        <x:v>0</x:v>
      </x:c>
      <x:c r="O360" s="118" t="n">
        <x:v>0</x:v>
      </x:c>
      <x:c r="P360" s="118" t="n">
        <x:v>0</x:v>
      </x:c>
      <x:c r="Q360" s="118" t="n">
        <x:v>0</x:v>
      </x:c>
      <x:c r="R360" s="118" t="n">
        <x:v>0</x:v>
      </x:c>
      <x:c r="S360" s="118" t="n">
        <x:v>0</x:v>
      </x:c>
      <x:c r="T360" s="118" t="n">
        <x:v>0</x:v>
      </x:c>
      <x:c r="U360" s="118" t="n">
        <x:v>0</x:v>
      </x:c>
      <x:c r="V360" s="118" t="n">
        <x:v>0</x:v>
      </x:c>
      <x:c r="W360" s="118" t="n">
        <x:v>0</x:v>
      </x:c>
      <x:c r="X360" s="118" t="n">
        <x:v>1</x:v>
      </x:c>
      <x:c r="Y360" s="118" t="n">
        <x:v>0</x:v>
      </x:c>
      <x:c r="Z360" s="118" t="n">
        <x:v>0</x:v>
      </x:c>
      <x:c r="AA360" s="118" t="n">
        <x:v>0</x:v>
      </x:c>
      <x:c r="AB360" s="118" t="n">
        <x:v>0</x:v>
      </x:c>
      <x:c r="AC360" s="118" t="n">
        <x:v>0</x:v>
      </x:c>
    </x:row>
    <x:row r="361" ht="46" customHeight="1">
      <x:c r="A361" s="117" t="str">
        <x:v>300Ro00000cnT4oIAE</x:v>
      </x:c>
      <x:c r="B361" s="117" t="str">
        <x:v>On_Work_Order_Creation_Set_Chatter_Follow</x:v>
      </x:c>
      <x:c r="C361" s="117" t="str">
        <x:v>No</x:v>
      </x:c>
      <x:c r="D361" s="119" t="str">
        <x:v>Latest inactive v1 (Retrieved XML)</x:v>
      </x:c>
      <x:c r="E361" s="119" t="str"/>
      <x:c r="F361" s="119" t="str">
        <x:v>WorkOrder</x:v>
      </x:c>
      <x:c r="G361" s="119" t="str">
        <x:v>Id</x:v>
      </x:c>
      <x:c r="H361" s="119" t="str">
        <x:v>FollowRecordAction</x:v>
      </x:c>
      <x:c r="I361" s="119" t="str"/>
      <x:c r="J361" s="119" t="str"/>
      <x:c r="K361" s="118" t="n">
        <x:v>2</x:v>
      </x:c>
      <x:c r="L361" s="118" t="n">
        <x:v>1</x:v>
      </x:c>
      <x:c r="M361" s="118" t="n">
        <x:v>0</x:v>
      </x:c>
      <x:c r="N361" s="118" t="n">
        <x:v>0</x:v>
      </x:c>
      <x:c r="O361" s="118" t="n">
        <x:v>0</x:v>
      </x:c>
      <x:c r="P361" s="118" t="n">
        <x:v>0</x:v>
      </x:c>
      <x:c r="Q361" s="118" t="n">
        <x:v>0</x:v>
      </x:c>
      <x:c r="R361" s="118" t="n">
        <x:v>0</x:v>
      </x:c>
      <x:c r="S361" s="118" t="n">
        <x:v>0</x:v>
      </x:c>
      <x:c r="T361" s="118" t="n">
        <x:v>0</x:v>
      </x:c>
      <x:c r="U361" s="118" t="n">
        <x:v>0</x:v>
      </x:c>
      <x:c r="V361" s="118" t="n">
        <x:v>0</x:v>
      </x:c>
      <x:c r="W361" s="118" t="n">
        <x:v>0</x:v>
      </x:c>
      <x:c r="X361" s="118" t="n">
        <x:v>0</x:v>
      </x:c>
      <x:c r="Y361" s="118" t="n">
        <x:v>0</x:v>
      </x:c>
      <x:c r="Z361" s="118" t="n">
        <x:v>0</x:v>
      </x:c>
      <x:c r="AA361" s="118" t="n">
        <x:v>0</x:v>
      </x:c>
      <x:c r="AB361" s="118" t="n">
        <x:v>0</x:v>
      </x:c>
      <x:c r="AC361" s="118" t="n">
        <x:v>0</x:v>
      </x:c>
    </x:row>
    <x:row r="362" ht="46" customHeight="1">
      <x:c r="A362" s="117" t="str">
        <x:v>300Ro00000pTM4dIAG</x:v>
      </x:c>
      <x:c r="B362" s="117" t="str">
        <x:v>On_Work_Order_Line_Item_Edit_Update_Unit_Price_Quantity</x:v>
      </x:c>
      <x:c r="C362" s="117" t="str">
        <x:v>No</x:v>
      </x:c>
      <x:c r="D362" s="119" t="str">
        <x:v>Latest inactive v2 (Retrieved XML)</x:v>
      </x:c>
      <x:c r="E362" s="119" t="str">
        <x:v>Quantity IsChanged booleanValue=true | UnitPrice IsChanged booleanValue=true | Opportunity_Product__c IsNull booleanValue=false</x:v>
      </x:c>
      <x:c r="F362" s="119" t="str">
        <x:v>WorkOrderLineItem</x:v>
      </x:c>
      <x:c r="G362" s="119" t="str">
        <x:v>Opportunity_Product__c, Opportunity_Product__r, Quantity, UnitPrice</x:v>
      </x:c>
      <x:c r="H362" s="119" t="str"/>
      <x:c r="I362" s="119" t="str"/>
      <x:c r="J362" s="119" t="str"/>
      <x:c r="K362" s="118" t="n">
        <x:v>3</x:v>
      </x:c>
      <x:c r="L362" s="118" t="n">
        <x:v>0</x:v>
      </x:c>
      <x:c r="M362" s="118" t="n">
        <x:v>0</x:v>
      </x:c>
      <x:c r="N362" s="118" t="n">
        <x:v>0</x:v>
      </x:c>
      <x:c r="O362" s="118" t="n">
        <x:v>0</x:v>
      </x:c>
      <x:c r="P362" s="118" t="n">
        <x:v>0</x:v>
      </x:c>
      <x:c r="Q362" s="118" t="n">
        <x:v>1</x:v>
      </x:c>
      <x:c r="R362" s="118" t="n">
        <x:v>0</x:v>
      </x:c>
      <x:c r="S362" s="118" t="n">
        <x:v>0</x:v>
      </x:c>
      <x:c r="T362" s="118" t="n">
        <x:v>0</x:v>
      </x:c>
      <x:c r="U362" s="118" t="n">
        <x:v>0</x:v>
      </x:c>
      <x:c r="V362" s="118" t="n">
        <x:v>0</x:v>
      </x:c>
      <x:c r="W362" s="118" t="n">
        <x:v>0</x:v>
      </x:c>
      <x:c r="X362" s="118" t="n">
        <x:v>1</x:v>
      </x:c>
      <x:c r="Y362" s="118" t="n">
        <x:v>0</x:v>
      </x:c>
      <x:c r="Z362" s="118" t="n">
        <x:v>0</x:v>
      </x:c>
      <x:c r="AA362" s="118" t="n">
        <x:v>0</x:v>
      </x:c>
      <x:c r="AB362" s="118" t="n">
        <x:v>0</x:v>
      </x:c>
      <x:c r="AC362" s="118" t="n">
        <x:v>0</x:v>
      </x:c>
    </x:row>
    <x:row r="363" ht="46" customHeight="1">
      <x:c r="A363" s="117" t="str">
        <x:v>3005b00000113mFAAQ</x:v>
      </x:c>
      <x:c r="B363" s="117" t="str">
        <x:v>Operations_Sheet_Screen_Flow</x:v>
      </x:c>
      <x:c r="C363" s="117" t="str">
        <x:v>Yes</x:v>
      </x:c>
      <x:c r="D363" s="119" t="str">
        <x:v>Active v15 (Retrieved XML)</x:v>
      </x:c>
      <x:c r="E363" s="119" t="str"/>
      <x:c r="F363" s="119" t="str">
        <x:v>ProductItem__c</x:v>
      </x:c>
      <x:c r="G363" s="119" t="str">
        <x:v>Id</x:v>
      </x:c>
      <x:c r="H363" s="119" t="str"/>
      <x:c r="I363" s="119" t="str"/>
      <x:c r="J363" s="119" t="str"/>
      <x:c r="K363" s="118" t="n">
        <x:v>11</x:v>
      </x:c>
      <x:c r="L363" s="118" t="n">
        <x:v>0</x:v>
      </x:c>
      <x:c r="M363" s="118" t="n">
        <x:v>0</x:v>
      </x:c>
      <x:c r="N363" s="118" t="n">
        <x:v>0</x:v>
      </x:c>
      <x:c r="O363" s="118" t="n">
        <x:v>0</x:v>
      </x:c>
      <x:c r="P363" s="118" t="n">
        <x:v>0</x:v>
      </x:c>
      <x:c r="Q363" s="118" t="n">
        <x:v>1</x:v>
      </x:c>
      <x:c r="R363" s="118" t="n">
        <x:v>0</x:v>
      </x:c>
      <x:c r="S363" s="118" t="n">
        <x:v>0</x:v>
      </x:c>
      <x:c r="T363" s="118" t="n">
        <x:v>0</x:v>
      </x:c>
      <x:c r="U363" s="118" t="n">
        <x:v>0</x:v>
      </x:c>
      <x:c r="V363" s="118" t="n">
        <x:v>1</x:v>
      </x:c>
      <x:c r="W363" s="118" t="n">
        <x:v>0</x:v>
      </x:c>
      <x:c r="X363" s="118" t="n">
        <x:v>0</x:v>
      </x:c>
      <x:c r="Y363" s="118" t="n">
        <x:v>8</x:v>
      </x:c>
      <x:c r="Z363" s="118" t="n">
        <x:v>0</x:v>
      </x:c>
      <x:c r="AA363" s="118" t="n">
        <x:v>0</x:v>
      </x:c>
      <x:c r="AB363" s="118" t="n">
        <x:v>0</x:v>
      </x:c>
      <x:c r="AC363" s="118" t="n">
        <x:v>0</x:v>
      </x:c>
    </x:row>
    <x:row r="364" ht="46" customHeight="1">
      <x:c r="A364" s="117" t="str">
        <x:v>300Ro00000rL43hIAC</x:v>
      </x:c>
      <x:c r="B364" s="117" t="str">
        <x:v>Opportunity_Asset_Management_Screen_Flow</x:v>
      </x:c>
      <x:c r="C364" s="117" t="str">
        <x:v>Yes</x:v>
      </x:c>
      <x:c r="D364" s="119" t="str">
        <x:v>Active v9 (Retrieved XML)</x:v>
      </x:c>
      <x:c r="E364" s="119" t="str"/>
      <x:c r="F364" s="119" t="str">
        <x:v>Opportunity, OpportunityLineItem, ProductItem__c, RecordType</x:v>
      </x:c>
      <x:c r="G364" s="119" t="str">
        <x:v>IsActive, OpportunityId, Purchasing_Opportunity__c, SobjectType, sold__c</x:v>
      </x:c>
      <x:c r="H364" s="119" t="str">
        <x:v>c:fsc_openUrl</x:v>
      </x:c>
      <x:c r="I364" s="119" t="str"/>
      <x:c r="J364" s="119" t="str">
        <x:v>c:datatable, flowruntime:datatable</x:v>
      </x:c>
      <x:c r="K364" s="118" t="n">
        <x:v>29</x:v>
      </x:c>
      <x:c r="L364" s="118" t="n">
        <x:v>1</x:v>
      </x:c>
      <x:c r="M364" s="118" t="n">
        <x:v>0</x:v>
      </x:c>
      <x:c r="N364" s="118" t="n">
        <x:v>8</x:v>
      </x:c>
      <x:c r="O364" s="118" t="n">
        <x:v>0</x:v>
      </x:c>
      <x:c r="P364" s="118" t="n">
        <x:v>0</x:v>
      </x:c>
      <x:c r="Q364" s="118" t="n">
        <x:v>4</x:v>
      </x:c>
      <x:c r="R364" s="118" t="n">
        <x:v>5</x:v>
      </x:c>
      <x:c r="S364" s="118" t="n">
        <x:v>0</x:v>
      </x:c>
      <x:c r="T364" s="118" t="n">
        <x:v>1</x:v>
      </x:c>
      <x:c r="U364" s="118" t="n">
        <x:v>0</x:v>
      </x:c>
      <x:c r="V364" s="118" t="n">
        <x:v>4</x:v>
      </x:c>
      <x:c r="W364" s="118" t="n">
        <x:v>0</x:v>
      </x:c>
      <x:c r="X364" s="118" t="n">
        <x:v>1</x:v>
      </x:c>
      <x:c r="Y364" s="118" t="n">
        <x:v>4</x:v>
      </x:c>
      <x:c r="Z364" s="118" t="n">
        <x:v>0</x:v>
      </x:c>
      <x:c r="AA364" s="118" t="n">
        <x:v>0</x:v>
      </x:c>
      <x:c r="AB364" s="118" t="n">
        <x:v>0</x:v>
      </x:c>
      <x:c r="AC364" s="118" t="n">
        <x:v>0</x:v>
      </x:c>
    </x:row>
    <x:row r="365" ht="46" customHeight="1">
      <x:c r="A365" s="117" t="str">
        <x:v>300Ro00000qqKG6IAM</x:v>
      </x:c>
      <x:c r="B365" s="117" t="str">
        <x:v>Opportunity_Asset_Mass_Move_Location_Screen_Flow</x:v>
      </x:c>
      <x:c r="C365" s="117" t="str">
        <x:v>No</x:v>
      </x:c>
      <x:c r="D365" s="119" t="str">
        <x:v>Latest inactive v2 (Retrieved XML)</x:v>
      </x:c>
      <x:c r="E365" s="119" t="str"/>
      <x:c r="F365" s="119" t="str">
        <x:v>Move_Location__c, ProductItem__c</x:v>
      </x:c>
      <x:c r="G365" s="119" t="str">
        <x:v>Purchasing_Opportunity__c, Sales_Opportunity__c, sold__c</x:v>
      </x:c>
      <x:c r="H365" s="119" t="str"/>
      <x:c r="I365" s="119" t="str"/>
      <x:c r="J365" s="119" t="str">
        <x:v>flowruntime:datatable, flowruntime:dependentPicklists</x:v>
      </x:c>
      <x:c r="K365" s="118" t="n">
        <x:v>9</x:v>
      </x:c>
      <x:c r="L365" s="118" t="n">
        <x:v>0</x:v>
      </x:c>
      <x:c r="M365" s="118" t="n">
        <x:v>0</x:v>
      </x:c>
      <x:c r="N365" s="118" t="n">
        <x:v>3</x:v>
      </x:c>
      <x:c r="O365" s="118" t="n">
        <x:v>0</x:v>
      </x:c>
      <x:c r="P365" s="118" t="n">
        <x:v>0</x:v>
      </x:c>
      <x:c r="Q365" s="118" t="n">
        <x:v>0</x:v>
      </x:c>
      <x:c r="R365" s="118" t="n">
        <x:v>1</x:v>
      </x:c>
      <x:c r="S365" s="118" t="n">
        <x:v>0</x:v>
      </x:c>
      <x:c r="T365" s="118" t="n">
        <x:v>1</x:v>
      </x:c>
      <x:c r="U365" s="118" t="n">
        <x:v>0</x:v>
      </x:c>
      <x:c r="V365" s="118" t="n">
        <x:v>1</x:v>
      </x:c>
      <x:c r="W365" s="118" t="n">
        <x:v>0</x:v>
      </x:c>
      <x:c r="X365" s="118" t="n">
        <x:v>0</x:v>
      </x:c>
      <x:c r="Y365" s="118" t="n">
        <x:v>2</x:v>
      </x:c>
      <x:c r="Z365" s="118" t="n">
        <x:v>0</x:v>
      </x:c>
      <x:c r="AA365" s="118" t="n">
        <x:v>0</x:v>
      </x:c>
      <x:c r="AB365" s="118" t="n">
        <x:v>0</x:v>
      </x:c>
      <x:c r="AC365" s="118" t="n">
        <x:v>0</x:v>
      </x:c>
    </x:row>
    <x:row r="366" ht="46" customHeight="1">
      <x:c r="A366" s="117" t="str">
        <x:v>300Ro00000xUsgvIAC</x:v>
      </x:c>
      <x:c r="B366" s="117" t="str">
        <x:v>Opportunity_Asynchronous_on_create_Update_Total_Cost_of_Project_POs</x:v>
      </x:c>
      <x:c r="C366" s="117" t="str">
        <x:v>Yes</x:v>
      </x:c>
      <x:c r="D366" s="119" t="str">
        <x:v>Active v1 (Retrieved XML)</x:v>
      </x:c>
      <x:c r="E366" s="119" t="str">
        <x:v>Related_Project__c IsNull booleanValue=false</x:v>
      </x:c>
      <x:c r="F366" s="119" t="str">
        <x:v>Opportunity, Project__c</x:v>
      </x:c>
      <x:c r="G366" s="119" t="str">
        <x:v>Id, Related_Project__c, Total_Cost_of_Related_PO_s__c</x:v>
      </x:c>
      <x:c r="H366" s="119" t="str"/>
      <x:c r="I366" s="119" t="str"/>
      <x:c r="J366" s="119" t="str"/>
      <x:c r="K366" s="118" t="n">
        <x:v>4</x:v>
      </x:c>
      <x:c r="L366" s="118" t="n">
        <x:v>0</x:v>
      </x:c>
      <x:c r="M366" s="118" t="n">
        <x:v>0</x:v>
      </x:c>
      <x:c r="N366" s="118" t="n">
        <x:v>0</x:v>
      </x:c>
      <x:c r="O366" s="118" t="n">
        <x:v>0</x:v>
      </x:c>
      <x:c r="P366" s="118" t="n">
        <x:v>0</x:v>
      </x:c>
      <x:c r="Q366" s="118" t="n">
        <x:v>0</x:v>
      </x:c>
      <x:c r="R366" s="118" t="n">
        <x:v>0</x:v>
      </x:c>
      <x:c r="S366" s="118" t="n">
        <x:v>0</x:v>
      </x:c>
      <x:c r="T366" s="118" t="n">
        <x:v>0</x:v>
      </x:c>
      <x:c r="U366" s="118" t="n">
        <x:v>0</x:v>
      </x:c>
      <x:c r="V366" s="118" t="n">
        <x:v>1</x:v>
      </x:c>
      <x:c r="W366" s="118" t="n">
        <x:v>0</x:v>
      </x:c>
      <x:c r="X366" s="118" t="n">
        <x:v>1</x:v>
      </x:c>
      <x:c r="Y366" s="118" t="n">
        <x:v>0</x:v>
      </x:c>
      <x:c r="Z366" s="118" t="n">
        <x:v>0</x:v>
      </x:c>
      <x:c r="AA366" s="118" t="n">
        <x:v>0</x:v>
      </x:c>
      <x:c r="AB366" s="118" t="n">
        <x:v>1</x:v>
      </x:c>
      <x:c r="AC366" s="118" t="n">
        <x:v>0</x:v>
      </x:c>
    </x:row>
    <x:row r="367" ht="46" customHeight="1">
      <x:c r="A367" s="117" t="str">
        <x:v>300Ro00000xUsgwIAC</x:v>
      </x:c>
      <x:c r="B367" s="117" t="str">
        <x:v>Opportunity_Asynchronous_on_delete_Update_Total_Cost_of_Project_POs</x:v>
      </x:c>
      <x:c r="C367" s="117" t="str">
        <x:v>Yes</x:v>
      </x:c>
      <x:c r="D367" s="119" t="str">
        <x:v>Active v1 (Retrieved XML)</x:v>
      </x:c>
      <x:c r="E367" s="119" t="str">
        <x:v>Related_Project__c IsNull booleanValue=false</x:v>
      </x:c>
      <x:c r="F367" s="119" t="str">
        <x:v>Opportunity, Project__c</x:v>
      </x:c>
      <x:c r="G367" s="119" t="str">
        <x:v>Id, Related_Project__c, Total_Cost_of_Related_PO_s__c</x:v>
      </x:c>
      <x:c r="H367" s="119" t="str"/>
      <x:c r="I367" s="119" t="str"/>
      <x:c r="J367" s="119" t="str"/>
      <x:c r="K367" s="118" t="n">
        <x:v>4</x:v>
      </x:c>
      <x:c r="L367" s="118" t="n">
        <x:v>0</x:v>
      </x:c>
      <x:c r="M367" s="118" t="n">
        <x:v>0</x:v>
      </x:c>
      <x:c r="N367" s="118" t="n">
        <x:v>0</x:v>
      </x:c>
      <x:c r="O367" s="118" t="n">
        <x:v>0</x:v>
      </x:c>
      <x:c r="P367" s="118" t="n">
        <x:v>0</x:v>
      </x:c>
      <x:c r="Q367" s="118" t="n">
        <x:v>0</x:v>
      </x:c>
      <x:c r="R367" s="118" t="n">
        <x:v>0</x:v>
      </x:c>
      <x:c r="S367" s="118" t="n">
        <x:v>0</x:v>
      </x:c>
      <x:c r="T367" s="118" t="n">
        <x:v>0</x:v>
      </x:c>
      <x:c r="U367" s="118" t="n">
        <x:v>0</x:v>
      </x:c>
      <x:c r="V367" s="118" t="n">
        <x:v>1</x:v>
      </x:c>
      <x:c r="W367" s="118" t="n">
        <x:v>0</x:v>
      </x:c>
      <x:c r="X367" s="118" t="n">
        <x:v>1</x:v>
      </x:c>
      <x:c r="Y367" s="118" t="n">
        <x:v>0</x:v>
      </x:c>
      <x:c r="Z367" s="118" t="n">
        <x:v>0</x:v>
      </x:c>
      <x:c r="AA367" s="118" t="n">
        <x:v>0</x:v>
      </x:c>
      <x:c r="AB367" s="118" t="n">
        <x:v>1</x:v>
      </x:c>
      <x:c r="AC367" s="118" t="n">
        <x:v>0</x:v>
      </x:c>
    </x:row>
    <x:row r="368" ht="46" customHeight="1">
      <x:c r="A368" s="117" t="str">
        <x:v>300Ro00000xUsgxIAC</x:v>
      </x:c>
      <x:c r="B368" s="117" t="str">
        <x:v>Opportunity_Asynchronous_on_update_Update_Total_Cost_of_Project_POs</x:v>
      </x:c>
      <x:c r="C368" s="117" t="str">
        <x:v>Yes</x:v>
      </x:c>
      <x:c r="D368" s="119" t="str">
        <x:v>Active v1 (Retrieved XML)</x:v>
      </x:c>
      <x:c r="E368" s="119" t="str">
        <x:v>Related_Project__c IsChanged booleanValue=true | Probo_s_Offer_Total__c IsChanged booleanValue=true</x:v>
      </x:c>
      <x:c r="F368" s="119" t="str">
        <x:v>Opportunity, Project__c</x:v>
      </x:c>
      <x:c r="G368" s="119" t="str">
        <x:v>Id, Probo_s_Offer_Total__c, Related_Project__c, Total_Cost_of_Related_PO_s__c</x:v>
      </x:c>
      <x:c r="H368" s="119" t="str"/>
      <x:c r="I368" s="119" t="str"/>
      <x:c r="J368" s="119" t="str"/>
      <x:c r="K368" s="118" t="n">
        <x:v>9</x:v>
      </x:c>
      <x:c r="L368" s="118" t="n">
        <x:v>0</x:v>
      </x:c>
      <x:c r="M368" s="118" t="n">
        <x:v>0</x:v>
      </x:c>
      <x:c r="N368" s="118" t="n">
        <x:v>0</x:v>
      </x:c>
      <x:c r="O368" s="118" t="n">
        <x:v>0</x:v>
      </x:c>
      <x:c r="P368" s="118" t="n">
        <x:v>0</x:v>
      </x:c>
      <x:c r="Q368" s="118" t="n">
        <x:v>2</x:v>
      </x:c>
      <x:c r="R368" s="118" t="n">
        <x:v>0</x:v>
      </x:c>
      <x:c r="S368" s="118" t="n">
        <x:v>0</x:v>
      </x:c>
      <x:c r="T368" s="118" t="n">
        <x:v>0</x:v>
      </x:c>
      <x:c r="U368" s="118" t="n">
        <x:v>0</x:v>
      </x:c>
      <x:c r="V368" s="118" t="n">
        <x:v>2</x:v>
      </x:c>
      <x:c r="W368" s="118" t="n">
        <x:v>0</x:v>
      </x:c>
      <x:c r="X368" s="118" t="n">
        <x:v>2</x:v>
      </x:c>
      <x:c r="Y368" s="118" t="n">
        <x:v>0</x:v>
      </x:c>
      <x:c r="Z368" s="118" t="n">
        <x:v>0</x:v>
      </x:c>
      <x:c r="AA368" s="118" t="n">
        <x:v>0</x:v>
      </x:c>
      <x:c r="AB368" s="118" t="n">
        <x:v>2</x:v>
      </x:c>
      <x:c r="AC368" s="118" t="n">
        <x:v>0</x:v>
      </x:c>
    </x:row>
    <x:row r="369" ht="46" customHeight="1">
      <x:c r="A369" s="117" t="str">
        <x:v>300Ro00000fleLpIAI</x:v>
      </x:c>
      <x:c r="B369" s="117" t="str">
        <x:v>Opportunity_Automations</x:v>
      </x:c>
      <x:c r="C369" s="117" t="str">
        <x:v>Yes</x:v>
      </x:c>
      <x:c r="D369" s="119" t="str">
        <x:v>Active v1 (Retrieved XML)</x:v>
      </x:c>
      <x:c r="E369" s="119" t="str"/>
      <x:c r="F369" s="119" t="str">
        <x:v>Opportunity</x:v>
      </x:c>
      <x:c r="G369" s="119" t="str">
        <x:v>Account, Confirmation_Number__c, Invoice_Number__r, RecordType, StageName</x:v>
      </x:c>
      <x:c r="H369" s="119" t="str"/>
      <x:c r="I369" s="119" t="str"/>
      <x:c r="J369" s="119" t="str"/>
      <x:c r="K369" s="118" t="n">
        <x:v>4</x:v>
      </x:c>
      <x:c r="L369" s="118" t="n">
        <x:v>0</x:v>
      </x:c>
      <x:c r="M369" s="118" t="n">
        <x:v>0</x:v>
      </x:c>
      <x:c r="N369" s="118" t="n">
        <x:v>0</x:v>
      </x:c>
      <x:c r="O369" s="118" t="n">
        <x:v>0</x:v>
      </x:c>
      <x:c r="P369" s="118" t="n">
        <x:v>1</x:v>
      </x:c>
      <x:c r="Q369" s="118" t="n">
        <x:v>2</x:v>
      </x:c>
      <x:c r="R369" s="118" t="n">
        <x:v>0</x:v>
      </x:c>
      <x:c r="S369" s="118" t="n">
        <x:v>0</x:v>
      </x:c>
      <x:c r="T369" s="118" t="n">
        <x:v>0</x:v>
      </x:c>
      <x:c r="U369" s="118" t="n">
        <x:v>0</x:v>
      </x:c>
      <x:c r="V369" s="118" t="n">
        <x:v>0</x:v>
      </x:c>
      <x:c r="W369" s="118" t="n">
        <x:v>0</x:v>
      </x:c>
      <x:c r="X369" s="118" t="n">
        <x:v>0</x:v>
      </x:c>
      <x:c r="Y369" s="118" t="n">
        <x:v>0</x:v>
      </x:c>
      <x:c r="Z369" s="118" t="n">
        <x:v>0</x:v>
      </x:c>
      <x:c r="AA369" s="118" t="n">
        <x:v>0</x:v>
      </x:c>
      <x:c r="AB369" s="118" t="n">
        <x:v>0</x:v>
      </x:c>
      <x:c r="AC369" s="118" t="n">
        <x:v>0</x:v>
      </x:c>
    </x:row>
    <x:row r="370" ht="46" customHeight="1">
      <x:c r="A370" s="117" t="str">
        <x:v>3004O000000LOu6QAG</x:v>
      </x:c>
      <x:c r="B370" s="117" t="str">
        <x:v>Opportunity_Calculate_Tax_on_Amount_Change</x:v>
      </x:c>
      <x:c r="C370" s="117" t="str">
        <x:v>No</x:v>
      </x:c>
      <x:c r="D370" s="119" t="str">
        <x:v>Latest inactive v1 (Retrieved XML)</x:v>
      </x:c>
      <x:c r="E370" s="119" t="str"/>
      <x:c r="F370" s="119" t="str">
        <x:v>Opportunity</x:v>
      </x:c>
      <x:c r="G370" s="119" t="str">
        <x:v>AVA_SFCLOUD__Calculate_Tax__c, Id</x:v>
      </x:c>
      <x:c r="H370" s="119" t="str"/>
      <x:c r="I370" s="119" t="str"/>
      <x:c r="J370" s="119" t="str"/>
      <x:c r="K370" s="118" t="n">
        <x:v>3</x:v>
      </x:c>
      <x:c r="L370" s="118" t="n">
        <x:v>0</x:v>
      </x:c>
      <x:c r="M370" s="118" t="n">
        <x:v>0</x:v>
      </x:c>
      <x:c r="N370" s="118" t="n">
        <x:v>0</x:v>
      </x:c>
      <x:c r="O370" s="118" t="n">
        <x:v>0</x:v>
      </x:c>
      <x:c r="P370" s="118" t="n">
        <x:v>0</x:v>
      </x:c>
      <x:c r="Q370" s="118" t="n">
        <x:v>2</x:v>
      </x:c>
      <x:c r="R370" s="118" t="n">
        <x:v>0</x:v>
      </x:c>
      <x:c r="S370" s="118" t="n">
        <x:v>0</x:v>
      </x:c>
      <x:c r="T370" s="118" t="n">
        <x:v>0</x:v>
      </x:c>
      <x:c r="U370" s="118" t="n">
        <x:v>0</x:v>
      </x:c>
      <x:c r="V370" s="118" t="n">
        <x:v>0</x:v>
      </x:c>
      <x:c r="W370" s="118" t="n">
        <x:v>0</x:v>
      </x:c>
      <x:c r="X370" s="118" t="n">
        <x:v>1</x:v>
      </x:c>
      <x:c r="Y370" s="118" t="n">
        <x:v>0</x:v>
      </x:c>
      <x:c r="Z370" s="118" t="n">
        <x:v>0</x:v>
      </x:c>
      <x:c r="AA370" s="118" t="n">
        <x:v>0</x:v>
      </x:c>
      <x:c r="AB370" s="118" t="n">
        <x:v>0</x:v>
      </x:c>
      <x:c r="AC370" s="118" t="n">
        <x:v>0</x:v>
      </x:c>
    </x:row>
    <x:row r="371" ht="46" customHeight="1">
      <x:c r="A371" s="117" t="str">
        <x:v>300Ro00000h8pnpIAA</x:v>
      </x:c>
      <x:c r="B371" s="117" t="str">
        <x:v>Opportunity_Canadian_Entity</x:v>
      </x:c>
      <x:c r="C371" s="117" t="str">
        <x:v>No</x:v>
      </x:c>
      <x:c r="D371" s="119" t="str">
        <x:v>Latest inactive v3 (Retrieved XML)</x:v>
      </x:c>
      <x:c r="E371" s="119" t="str">
        <x:v>AccountId EqualTo stringValue=001U000000pNlw4IAC | CurrencyIsoCode EqualTo stringValue=CAD | Count_All_Products_on_Opp__c IsChanged booleanValue=true | Total_Sales_Price__c IsChanged booleanValue=true | Lock_for_Recursive_Flows__c EqualTo booleanValue=false</x:v>
      </x:c>
      <x:c r="F371" s="119" t="str">
        <x:v>Opportunity, OpportunityLineItem</x:v>
      </x:c>
      <x:c r="G371" s="119" t="str">
        <x:v>AccountId, Count_All_Products_on_Opp__c, CurrencyIsoCode, GST_HST_Amount__c, Id, Lock_for_Recursive_Flows__c, OpportunityId, PricebookEntryId, Product2Id, ProductItem__c, Quantity, TotalPrice, Total_Sales_Price__c</x:v>
      </x:c>
      <x:c r="H371" s="119" t="str"/>
      <x:c r="I371" s="119" t="str"/>
      <x:c r="J371" s="119" t="str"/>
      <x:c r="K371" s="118" t="n">
        <x:v>8</x:v>
      </x:c>
      <x:c r="L371" s="118" t="n">
        <x:v>0</x:v>
      </x:c>
      <x:c r="M371" s="118" t="n">
        <x:v>0</x:v>
      </x:c>
      <x:c r="N371" s="118" t="n">
        <x:v>1</x:v>
      </x:c>
      <x:c r="O371" s="118" t="n">
        <x:v>0</x:v>
      </x:c>
      <x:c r="P371" s="118" t="n">
        <x:v>0</x:v>
      </x:c>
      <x:c r="Q371" s="118" t="n">
        <x:v>1</x:v>
      </x:c>
      <x:c r="R371" s="118" t="n">
        <x:v>0</x:v>
      </x:c>
      <x:c r="S371" s="118" t="n">
        <x:v>0</x:v>
      </x:c>
      <x:c r="T371" s="118" t="n">
        <x:v>1</x:v>
      </x:c>
      <x:c r="U371" s="118" t="n">
        <x:v>0</x:v>
      </x:c>
      <x:c r="V371" s="118" t="n">
        <x:v>1</x:v>
      </x:c>
      <x:c r="W371" s="118" t="n">
        <x:v>0</x:v>
      </x:c>
      <x:c r="X371" s="118" t="n">
        <x:v>3</x:v>
      </x:c>
      <x:c r="Y371" s="118" t="n">
        <x:v>0</x:v>
      </x:c>
      <x:c r="Z371" s="118" t="n">
        <x:v>0</x:v>
      </x:c>
      <x:c r="AA371" s="118" t="n">
        <x:v>0</x:v>
      </x:c>
      <x:c r="AB371" s="118" t="n">
        <x:v>0</x:v>
      </x:c>
      <x:c r="AC371" s="118" t="n">
        <x:v>0</x:v>
      </x:c>
    </x:row>
    <x:row r="372" ht="46" customHeight="1">
      <x:c r="A372" s="117" t="str">
        <x:v>3004O000000LOvxQAG</x:v>
      </x:c>
      <x:c r="B372" s="117" t="str">
        <x:v>Opportunity_Create_Processes</x:v>
      </x:c>
      <x:c r="C372" s="117" t="str">
        <x:v>No</x:v>
      </x:c>
      <x:c r="D372" s="119" t="str">
        <x:v>Latest inactive v4 (Retrieved XML)</x:v>
      </x:c>
      <x:c r="E372" s="119" t="str"/>
      <x:c r="F372" s="119" t="str">
        <x:v>Opportunity</x:v>
      </x:c>
      <x:c r="G372" s="119" t="str">
        <x:v>Contact_Owner_Email__c, GCLID__c, Id, OwnerId</x:v>
      </x:c>
      <x:c r="H372" s="119" t="str">
        <x:v>Opportunity.Contact_Responded_to_Mass_Email, Opportunity.Response_received_by_customer_on_campaign_email</x:v>
      </x:c>
      <x:c r="I372" s="119" t="str"/>
      <x:c r="J372" s="119" t="str"/>
      <x:c r="K372" s="118" t="n">
        <x:v>14</x:v>
      </x:c>
      <x:c r="L372" s="118" t="n">
        <x:v>2</x:v>
      </x:c>
      <x:c r="M372" s="118" t="n">
        <x:v>0</x:v>
      </x:c>
      <x:c r="N372" s="118" t="n">
        <x:v>3</x:v>
      </x:c>
      <x:c r="O372" s="118" t="n">
        <x:v>0</x:v>
      </x:c>
      <x:c r="P372" s="118" t="n">
        <x:v>0</x:v>
      </x:c>
      <x:c r="Q372" s="118" t="n">
        <x:v>5</x:v>
      </x:c>
      <x:c r="R372" s="118" t="n">
        <x:v>0</x:v>
      </x:c>
      <x:c r="S372" s="118" t="n">
        <x:v>0</x:v>
      </x:c>
      <x:c r="T372" s="118" t="n">
        <x:v>0</x:v>
      </x:c>
      <x:c r="U372" s="118" t="n">
        <x:v>0</x:v>
      </x:c>
      <x:c r="V372" s="118" t="n">
        <x:v>0</x:v>
      </x:c>
      <x:c r="W372" s="118" t="n">
        <x:v>0</x:v>
      </x:c>
      <x:c r="X372" s="118" t="n">
        <x:v>3</x:v>
      </x:c>
      <x:c r="Y372" s="118" t="n">
        <x:v>0</x:v>
      </x:c>
      <x:c r="Z372" s="118" t="n">
        <x:v>0</x:v>
      </x:c>
      <x:c r="AA372" s="118" t="n">
        <x:v>0</x:v>
      </x:c>
      <x:c r="AB372" s="118" t="n">
        <x:v>0</x:v>
      </x:c>
      <x:c r="AC372" s="118" t="n">
        <x:v>1</x:v>
      </x:c>
    </x:row>
    <x:row r="373" ht="46" customHeight="1">
      <x:c r="A373" s="117" t="str">
        <x:v>3005b000000H1eMAAS</x:v>
      </x:c>
      <x:c r="B373" s="117" t="str">
        <x:v>Opportunity_Create_Warranty_Service_Contract</x:v>
      </x:c>
      <x:c r="C373" s="117" t="str">
        <x:v>Yes</x:v>
      </x:c>
      <x:c r="D373" s="119" t="str">
        <x:v>Active v16 (Retrieved XML)</x:v>
      </x:c>
      <x:c r="E373" s="119" t="str">
        <x:v>IsClosed EqualTo booleanValue=true | Ship_Date__c IsNull booleanValue=false | HasOpportunityLineItem EqualTo booleanValue=true | StageName EqualTo stringValue=Closed Won | Warranty_Length__c IsNull booleanValue=false | Warranty_Length__c NotEqualTo stringValue=AS-IS</x:v>
      </x:c>
      <x:c r="F373" s="119" t="str">
        <x:v>Account, ContractLineItem, Opportunity, OpportunityLineItem, Pricebook2, ServiceContract, StateTranslation__mdt</x:v>
      </x:c>
      <x:c r="G373" s="119" t="str">
        <x:v>Account, AccountId, BillingCity, BillingCity__c, BillingCountry, BillingCountry__c, BillingPostalCode, BillingPostalCode__c, BillingState, BillingState__c, BillingStreet, BillingStreet__c, Check_In_Type__c, Coverage_Type__c, CurrencyIsoCode, Field_Service_Engineer__c, Field_Service_Engineers__c, HasOpportunityLineItem, Id, IsActive, IsClosed, IsStandard, KloudGin_Account__c, Name, Number_of_Warranty_Days__c, OpportunityId, Opportunity__c, OwnerId, Pricebook2Id, RMA_Status__c, RecordTypeId, Ship_Date__c, ShippingCity, ShippingCity__c, ShippingCountry, ShippingCountry__c, ShippingPostalCode, ShippingPostalCode__c, ShippingState, ShippingState__c, ShippingStreet, ShippingStreet__c, StageName, State_Abbreviation__c, Warranty_End_Date__c, Warranty_Length__c, Warranty_Length_in_Days__c, Warranty_Start_Date__c, Warranty_Status__c</x:v>
      </x:c>
      <x:c r="H373" s="119" t="str"/>
      <x:c r="I373" s="119" t="str"/>
      <x:c r="J373" s="119" t="str"/>
      <x:c r="K373" s="118" t="n">
        <x:v>10</x:v>
      </x:c>
      <x:c r="L373" s="118" t="n">
        <x:v>0</x:v>
      </x:c>
      <x:c r="M373" s="118" t="n">
        <x:v>0</x:v>
      </x:c>
      <x:c r="N373" s="118" t="n">
        <x:v>1</x:v>
      </x:c>
      <x:c r="O373" s="118" t="n">
        <x:v>0</x:v>
      </x:c>
      <x:c r="P373" s="118" t="n">
        <x:v>0</x:v>
      </x:c>
      <x:c r="Q373" s="118" t="n">
        <x:v>0</x:v>
      </x:c>
      <x:c r="R373" s="118" t="n">
        <x:v>1</x:v>
      </x:c>
      <x:c r="S373" s="118" t="n">
        <x:v>0</x:v>
      </x:c>
      <x:c r="T373" s="118" t="n">
        <x:v>2</x:v>
      </x:c>
      <x:c r="U373" s="118" t="n">
        <x:v>0</x:v>
      </x:c>
      <x:c r="V373" s="118" t="n">
        <x:v>4</x:v>
      </x:c>
      <x:c r="W373" s="118" t="n">
        <x:v>0</x:v>
      </x:c>
      <x:c r="X373" s="118" t="n">
        <x:v>1</x:v>
      </x:c>
      <x:c r="Y373" s="118" t="n">
        <x:v>0</x:v>
      </x:c>
      <x:c r="Z373" s="118" t="n">
        <x:v>0</x:v>
      </x:c>
      <x:c r="AA373" s="118" t="n">
        <x:v>0</x:v>
      </x:c>
      <x:c r="AB373" s="118" t="n">
        <x:v>0</x:v>
      </x:c>
      <x:c r="AC373" s="118" t="n">
        <x:v>0</x:v>
      </x:c>
    </x:row>
    <x:row r="374" ht="46" customHeight="1">
      <x:c r="A374" s="117" t="str">
        <x:v>300Ro00000wIHDtIAO</x:v>
      </x:c>
      <x:c r="B374" s="117" t="str">
        <x:v>Opportunity_Creation_and_Update_Set_Intercompany_Transaction_Opportunity_Name</x:v>
      </x:c>
      <x:c r="C374" s="117" t="str">
        <x:v>Yes</x:v>
      </x:c>
      <x:c r="D374" s="119" t="str">
        <x:v>Active v9 (Retrieved XML)</x:v>
      </x:c>
      <x:c r="E374" s="119" t="str">
        <x:v>Entity__c EqualTo stringValue=Probo-UK | Entity__c EqualTo stringValue=Probo-SAS | Account_Name__c Contains stringValue=Probo Medical | Count_Products_with_Costs__c IsChanged booleanValue=true | Asset_Summary__c IsChanged booleanValue=true | Amount IsChanged booleanValue=true | Related_Opportunity__c IsChanged booleanValue=true | Opportunity_Notes__c IsChanged booleanValue=true | AccountId NotEqualTo stringValue=001Ro000016gHeoIAE | RecordTypeId NotEqualTo stringValue=0120B000000QyQFQA0 | RecordTypeId NotEqualTo stringValue=012U00000001sNsIAI | Purchasing_Opportunity_Type__c NotEqualTo stringValue=Sourcing</x:v>
      </x:c>
      <x:c r="F374" s="119" t="str">
        <x:v>Opportunity, OpportunityLineItem</x:v>
      </x:c>
      <x:c r="G374" s="119" t="str">
        <x:v>Account, AccountId, Account_Name__c, Amount, Asset_Summary__c, Count_Products_with_Costs__c, Entity__c, Name, Opportunity_Notes__c, Purchasing_Opportunity_Type__c, RecordType, RecordTypeId, Related_Opportunity__c, Related_Opportunity__r</x:v>
      </x:c>
      <x:c r="H374" s="119" t="str"/>
      <x:c r="I374" s="119" t="str"/>
      <x:c r="J374" s="119" t="str"/>
      <x:c r="K374" s="118" t="n">
        <x:v>4</x:v>
      </x:c>
      <x:c r="L374" s="118" t="n">
        <x:v>0</x:v>
      </x:c>
      <x:c r="M374" s="118" t="n">
        <x:v>0</x:v>
      </x:c>
      <x:c r="N374" s="118" t="n">
        <x:v>2</x:v>
      </x:c>
      <x:c r="O374" s="118" t="n">
        <x:v>0</x:v>
      </x:c>
      <x:c r="P374" s="118" t="n">
        <x:v>0</x:v>
      </x:c>
      <x:c r="Q374" s="118" t="n">
        <x:v>0</x:v>
      </x:c>
      <x:c r="R374" s="118" t="n">
        <x:v>0</x:v>
      </x:c>
      <x:c r="S374" s="118" t="n">
        <x:v>0</x:v>
      </x:c>
      <x:c r="T374" s="118" t="n">
        <x:v>0</x:v>
      </x:c>
      <x:c r="U374" s="118" t="n">
        <x:v>0</x:v>
      </x:c>
      <x:c r="V374" s="118" t="n">
        <x:v>0</x:v>
      </x:c>
      <x:c r="W374" s="118" t="n">
        <x:v>0</x:v>
      </x:c>
      <x:c r="X374" s="118" t="n">
        <x:v>1</x:v>
      </x:c>
      <x:c r="Y374" s="118" t="n">
        <x:v>0</x:v>
      </x:c>
      <x:c r="Z374" s="118" t="n">
        <x:v>0</x:v>
      </x:c>
      <x:c r="AA374" s="118" t="n">
        <x:v>0</x:v>
      </x:c>
      <x:c r="AB374" s="118" t="n">
        <x:v>0</x:v>
      </x:c>
      <x:c r="AC374" s="118" t="n">
        <x:v>0</x:v>
      </x:c>
    </x:row>
    <x:row r="375" ht="46" customHeight="1">
      <x:c r="A375" s="117" t="str">
        <x:v>300Ro00000wHiZaIAK</x:v>
      </x:c>
      <x:c r="B375" s="117" t="str">
        <x:v>Opportunity_Line_Item_Creation_or_Update_Set_Opportunity_Asset_Summary</x:v>
      </x:c>
      <x:c r="C375" s="117" t="str">
        <x:v>Yes</x:v>
      </x:c>
      <x:c r="D375" s="119" t="str">
        <x:v>Active v6 (Retrieved XML)</x:v>
      </x:c>
      <x:c r="E375" s="119" t="str">
        <x:v>Generate_Asset_Summary__c IsChanged booleanValue=true | Generate_Asset_Summary__c EqualTo booleanValue=true</x:v>
      </x:c>
      <x:c r="F375" s="119" t="str">
        <x:v>Opportunity, OpportunityLineItem</x:v>
      </x:c>
      <x:c r="G375" s="119" t="str">
        <x:v>Asset_Summary__c, Generate_Asset_Summary__c, Id, OpportunityId</x:v>
      </x:c>
      <x:c r="H375" s="119" t="str"/>
      <x:c r="I375" s="119" t="str"/>
      <x:c r="J375" s="119" t="str"/>
      <x:c r="K375" s="118" t="n">
        <x:v>6</x:v>
      </x:c>
      <x:c r="L375" s="118" t="n">
        <x:v>0</x:v>
      </x:c>
      <x:c r="M375" s="118" t="n">
        <x:v>0</x:v>
      </x:c>
      <x:c r="N375" s="118" t="n">
        <x:v>2</x:v>
      </x:c>
      <x:c r="O375" s="118" t="n">
        <x:v>0</x:v>
      </x:c>
      <x:c r="P375" s="118" t="n">
        <x:v>0</x:v>
      </x:c>
      <x:c r="Q375" s="118" t="n">
        <x:v>0</x:v>
      </x:c>
      <x:c r="R375" s="118" t="n">
        <x:v>1</x:v>
      </x:c>
      <x:c r="S375" s="118" t="n">
        <x:v>0</x:v>
      </x:c>
      <x:c r="T375" s="118" t="n">
        <x:v>0</x:v>
      </x:c>
      <x:c r="U375" s="118" t="n">
        <x:v>0</x:v>
      </x:c>
      <x:c r="V375" s="118" t="n">
        <x:v>1</x:v>
      </x:c>
      <x:c r="W375" s="118" t="n">
        <x:v>0</x:v>
      </x:c>
      <x:c r="X375" s="118" t="n">
        <x:v>1</x:v>
      </x:c>
      <x:c r="Y375" s="118" t="n">
        <x:v>0</x:v>
      </x:c>
      <x:c r="Z375" s="118" t="n">
        <x:v>0</x:v>
      </x:c>
      <x:c r="AA375" s="118" t="n">
        <x:v>0</x:v>
      </x:c>
      <x:c r="AB375" s="118" t="n">
        <x:v>0</x:v>
      </x:c>
      <x:c r="AC375" s="118" t="n">
        <x:v>0</x:v>
      </x:c>
    </x:row>
    <x:row r="376" ht="46" customHeight="1">
      <x:c r="A376" s="117" t="str">
        <x:v>300Ro000013hrwWIAQ</x:v>
      </x:c>
      <x:c r="B376" s="117" t="str">
        <x:v>Opportunity_Line_Item_Creation_or_Update_Tick_Generate_Asset_Summary_Checkbox</x:v>
      </x:c>
      <x:c r="C376" s="117" t="str">
        <x:v>Yes</x:v>
      </x:c>
      <x:c r="D376" s="119" t="str">
        <x:v>Active v4 (Retrieved XML)</x:v>
      </x:c>
      <x:c r="E376" s="119" t="str"/>
      <x:c r="F376" s="119" t="str">
        <x:v>OpportunityLineItem</x:v>
      </x:c>
      <x:c r="G376" s="119" t="str">
        <x:v>Generate_Asset_Summary__c, Opportunity</x:v>
      </x:c>
      <x:c r="H376" s="119" t="str"/>
      <x:c r="I376" s="119" t="str"/>
      <x:c r="J376" s="119" t="str"/>
      <x:c r="K376" s="118" t="n">
        <x:v>2</x:v>
      </x:c>
      <x:c r="L376" s="118" t="n">
        <x:v>0</x:v>
      </x:c>
      <x:c r="M376" s="118" t="n">
        <x:v>0</x:v>
      </x:c>
      <x:c r="N376" s="118" t="n">
        <x:v>0</x:v>
      </x:c>
      <x:c r="O376" s="118" t="n">
        <x:v>0</x:v>
      </x:c>
      <x:c r="P376" s="118" t="n">
        <x:v>0</x:v>
      </x:c>
      <x:c r="Q376" s="118" t="n">
        <x:v>0</x:v>
      </x:c>
      <x:c r="R376" s="118" t="n">
        <x:v>0</x:v>
      </x:c>
      <x:c r="S376" s="118" t="n">
        <x:v>0</x:v>
      </x:c>
      <x:c r="T376" s="118" t="n">
        <x:v>0</x:v>
      </x:c>
      <x:c r="U376" s="118" t="n">
        <x:v>0</x:v>
      </x:c>
      <x:c r="V376" s="118" t="n">
        <x:v>0</x:v>
      </x:c>
      <x:c r="W376" s="118" t="n">
        <x:v>0</x:v>
      </x:c>
      <x:c r="X376" s="118" t="n">
        <x:v>1</x:v>
      </x:c>
      <x:c r="Y376" s="118" t="n">
        <x:v>0</x:v>
      </x:c>
      <x:c r="Z376" s="118" t="n">
        <x:v>0</x:v>
      </x:c>
      <x:c r="AA376" s="118" t="n">
        <x:v>0</x:v>
      </x:c>
      <x:c r="AB376" s="118" t="n">
        <x:v>0</x:v>
      </x:c>
      <x:c r="AC376" s="118" t="n">
        <x:v>0</x:v>
      </x:c>
    </x:row>
    <x:row r="377" ht="46" customHeight="1">
      <x:c r="A377" s="117" t="str">
        <x:v>300Ro00000wLIlNIAW</x:v>
      </x:c>
      <x:c r="B377" s="117" t="str">
        <x:v>Opportunity_Line_Item_On_Delete_Set_Opportunity_Asset_Summary</x:v>
      </x:c>
      <x:c r="C377" s="117" t="str">
        <x:v>Yes</x:v>
      </x:c>
      <x:c r="D377" s="119" t="str">
        <x:v>Active v3 (Retrieved XML)</x:v>
      </x:c>
      <x:c r="E377" s="119" t="str">
        <x:v>Opportunity_Record_Type__c Contains stringValue=Sales</x:v>
      </x:c>
      <x:c r="F377" s="119" t="str">
        <x:v>OpportunityLineItem</x:v>
      </x:c>
      <x:c r="G377" s="119" t="str">
        <x:v>Asset_Summary__c, Id, Opportunity, OpportunityId, Opportunity_Record_Type__c</x:v>
      </x:c>
      <x:c r="H377" s="119" t="str"/>
      <x:c r="I377" s="119" t="str"/>
      <x:c r="J377" s="119" t="str"/>
      <x:c r="K377" s="118" t="n">
        <x:v>7</x:v>
      </x:c>
      <x:c r="L377" s="118" t="n">
        <x:v>0</x:v>
      </x:c>
      <x:c r="M377" s="118" t="n">
        <x:v>0</x:v>
      </x:c>
      <x:c r="N377" s="118" t="n">
        <x:v>2</x:v>
      </x:c>
      <x:c r="O377" s="118" t="n">
        <x:v>0</x:v>
      </x:c>
      <x:c r="P377" s="118" t="n">
        <x:v>0</x:v>
      </x:c>
      <x:c r="Q377" s="118" t="n">
        <x:v>1</x:v>
      </x:c>
      <x:c r="R377" s="118" t="n">
        <x:v>1</x:v>
      </x:c>
      <x:c r="S377" s="118" t="n">
        <x:v>0</x:v>
      </x:c>
      <x:c r="T377" s="118" t="n">
        <x:v>0</x:v>
      </x:c>
      <x:c r="U377" s="118" t="n">
        <x:v>0</x:v>
      </x:c>
      <x:c r="V377" s="118" t="n">
        <x:v>1</x:v>
      </x:c>
      <x:c r="W377" s="118" t="n">
        <x:v>0</x:v>
      </x:c>
      <x:c r="X377" s="118" t="n">
        <x:v>1</x:v>
      </x:c>
      <x:c r="Y377" s="118" t="n">
        <x:v>0</x:v>
      </x:c>
      <x:c r="Z377" s="118" t="n">
        <x:v>0</x:v>
      </x:c>
      <x:c r="AA377" s="118" t="n">
        <x:v>0</x:v>
      </x:c>
      <x:c r="AB377" s="118" t="n">
        <x:v>0</x:v>
      </x:c>
      <x:c r="AC377" s="118" t="n">
        <x:v>0</x:v>
      </x:c>
    </x:row>
    <x:row r="378" ht="46" customHeight="1">
      <x:c r="A378" s="117" t="str">
        <x:v>300Ro00000pErn3IAC</x:v>
      </x:c>
      <x:c r="B378" s="117" t="str">
        <x:v>Opportunity_Product_Ansynchronous_on_update_Update_WOLI_with_pricing_quantity</x:v>
      </x:c>
      <x:c r="C378" s="117" t="str">
        <x:v>Yes</x:v>
      </x:c>
      <x:c r="D378" s="119" t="str">
        <x:v>Active v2 (Retrieved XML)</x:v>
      </x:c>
      <x:c r="E378" s="119" t="str">
        <x:v>Work_Order_Line_Item__c IsNull booleanValue=false | UnitPrice IsChanged booleanValue=true | Quantity IsChanged booleanValue=true</x:v>
      </x:c>
      <x:c r="F378" s="119" t="str">
        <x:v>OpportunityLineItem</x:v>
      </x:c>
      <x:c r="G378" s="119" t="str">
        <x:v>PricebookEntryId, Quantity, UnitPrice, Work_Order_Line_Item__c, Work_Order_Line_Item__r</x:v>
      </x:c>
      <x:c r="H378" s="119" t="str"/>
      <x:c r="I378" s="119" t="str"/>
      <x:c r="J378" s="119" t="str"/>
      <x:c r="K378" s="118" t="n">
        <x:v>2</x:v>
      </x:c>
      <x:c r="L378" s="118" t="n">
        <x:v>0</x:v>
      </x:c>
      <x:c r="M378" s="118" t="n">
        <x:v>0</x:v>
      </x:c>
      <x:c r="N378" s="118" t="n">
        <x:v>0</x:v>
      </x:c>
      <x:c r="O378" s="118" t="n">
        <x:v>0</x:v>
      </x:c>
      <x:c r="P378" s="118" t="n">
        <x:v>0</x:v>
      </x:c>
      <x:c r="Q378" s="118" t="n">
        <x:v>0</x:v>
      </x:c>
      <x:c r="R378" s="118" t="n">
        <x:v>0</x:v>
      </x:c>
      <x:c r="S378" s="118" t="n">
        <x:v>0</x:v>
      </x:c>
      <x:c r="T378" s="118" t="n">
        <x:v>0</x:v>
      </x:c>
      <x:c r="U378" s="118" t="n">
        <x:v>0</x:v>
      </x:c>
      <x:c r="V378" s="118" t="n">
        <x:v>0</x:v>
      </x:c>
      <x:c r="W378" s="118" t="n">
        <x:v>0</x:v>
      </x:c>
      <x:c r="X378" s="118" t="n">
        <x:v>1</x:v>
      </x:c>
      <x:c r="Y378" s="118" t="n">
        <x:v>0</x:v>
      </x:c>
      <x:c r="Z378" s="118" t="n">
        <x:v>0</x:v>
      </x:c>
      <x:c r="AA378" s="118" t="n">
        <x:v>0</x:v>
      </x:c>
      <x:c r="AB378" s="118" t="n">
        <x:v>0</x:v>
      </x:c>
      <x:c r="AC378" s="118" t="n">
        <x:v>0</x:v>
      </x:c>
    </x:row>
    <x:row r="379" ht="46" customHeight="1">
      <x:c r="A379" s="117" t="str">
        <x:v>300Ro00000cnT4hIAE</x:v>
      </x:c>
      <x:c r="B379" s="117" t="str">
        <x:v>Opportunity_Product_Asynchronous_on_create_update_WOLI_with_Opp_Product_if_Appli</x:v>
      </x:c>
      <x:c r="C379" s="117" t="str">
        <x:v>Yes</x:v>
      </x:c>
      <x:c r="D379" s="119" t="str">
        <x:v>Active v2 (Retrieved XML)</x:v>
      </x:c>
      <x:c r="E379" s="119" t="str">
        <x:v>Work_Order_Line_Item__c IsNull booleanValue=false</x:v>
      </x:c>
      <x:c r="F379" s="119" t="str">
        <x:v>OpportunityLineItem</x:v>
      </x:c>
      <x:c r="G379" s="119" t="str">
        <x:v>Id, Opportunity_Product__c, PricebookEntryId, Quantity, UnitPrice, Work_Order_Line_Item__c, Work_Order_Line_Item__r</x:v>
      </x:c>
      <x:c r="H379" s="119" t="str"/>
      <x:c r="I379" s="119" t="str"/>
      <x:c r="J379" s="119" t="str"/>
      <x:c r="K379" s="118" t="n">
        <x:v>2</x:v>
      </x:c>
      <x:c r="L379" s="118" t="n">
        <x:v>0</x:v>
      </x:c>
      <x:c r="M379" s="118" t="n">
        <x:v>0</x:v>
      </x:c>
      <x:c r="N379" s="118" t="n">
        <x:v>0</x:v>
      </x:c>
      <x:c r="O379" s="118" t="n">
        <x:v>0</x:v>
      </x:c>
      <x:c r="P379" s="118" t="n">
        <x:v>0</x:v>
      </x:c>
      <x:c r="Q379" s="118" t="n">
        <x:v>0</x:v>
      </x:c>
      <x:c r="R379" s="118" t="n">
        <x:v>0</x:v>
      </x:c>
      <x:c r="S379" s="118" t="n">
        <x:v>0</x:v>
      </x:c>
      <x:c r="T379" s="118" t="n">
        <x:v>0</x:v>
      </x:c>
      <x:c r="U379" s="118" t="n">
        <x:v>0</x:v>
      </x:c>
      <x:c r="V379" s="118" t="n">
        <x:v>0</x:v>
      </x:c>
      <x:c r="W379" s="118" t="n">
        <x:v>0</x:v>
      </x:c>
      <x:c r="X379" s="118" t="n">
        <x:v>1</x:v>
      </x:c>
      <x:c r="Y379" s="118" t="n">
        <x:v>0</x:v>
      </x:c>
      <x:c r="Z379" s="118" t="n">
        <x:v>0</x:v>
      </x:c>
      <x:c r="AA379" s="118" t="n">
        <x:v>0</x:v>
      </x:c>
      <x:c r="AB379" s="118" t="n">
        <x:v>0</x:v>
      </x:c>
      <x:c r="AC379" s="118" t="n">
        <x:v>0</x:v>
      </x:c>
    </x:row>
    <x:row r="380" ht="46" customHeight="1">
      <x:c r="A380" s="117" t="str">
        <x:v>300Ro00000cnT4iIAE</x:v>
      </x:c>
      <x:c r="B380" s="117" t="str">
        <x:v>Opportunity_Product_On_Delete</x:v>
      </x:c>
      <x:c r="C380" s="117" t="str">
        <x:v>Yes</x:v>
      </x:c>
      <x:c r="D380" s="119" t="str">
        <x:v>Active v1 (Retrieved XML)</x:v>
      </x:c>
      <x:c r="E380" s="119" t="str"/>
      <x:c r="F380" s="119" t="str">
        <x:v>OpportunityLineItem, ServiceAppointment, WorkOrderLineItem</x:v>
      </x:c>
      <x:c r="G380" s="119" t="str">
        <x:v>Call_Fetch_of_New_Opp_Product__c, Id, Work_Order_Line_Item__c</x:v>
      </x:c>
      <x:c r="H380" s="119" t="str"/>
      <x:c r="I380" s="119" t="str"/>
      <x:c r="J380" s="119" t="str"/>
      <x:c r="K380" s="118" t="n">
        <x:v>3</x:v>
      </x:c>
      <x:c r="L380" s="118" t="n">
        <x:v>0</x:v>
      </x:c>
      <x:c r="M380" s="118" t="n">
        <x:v>0</x:v>
      </x:c>
      <x:c r="N380" s="118" t="n">
        <x:v>0</x:v>
      </x:c>
      <x:c r="O380" s="118" t="n">
        <x:v>0</x:v>
      </x:c>
      <x:c r="P380" s="118" t="n">
        <x:v>0</x:v>
      </x:c>
      <x:c r="Q380" s="118" t="n">
        <x:v>1</x:v>
      </x:c>
      <x:c r="R380" s="118" t="n">
        <x:v>0</x:v>
      </x:c>
      <x:c r="S380" s="118" t="n">
        <x:v>0</x:v>
      </x:c>
      <x:c r="T380" s="118" t="n">
        <x:v>0</x:v>
      </x:c>
      <x:c r="U380" s="118" t="n">
        <x:v>0</x:v>
      </x:c>
      <x:c r="V380" s="118" t="n">
        <x:v>0</x:v>
      </x:c>
      <x:c r="W380" s="118" t="n">
        <x:v>0</x:v>
      </x:c>
      <x:c r="X380" s="118" t="n">
        <x:v>1</x:v>
      </x:c>
      <x:c r="Y380" s="118" t="n">
        <x:v>0</x:v>
      </x:c>
      <x:c r="Z380" s="118" t="n">
        <x:v>0</x:v>
      </x:c>
      <x:c r="AA380" s="118" t="n">
        <x:v>0</x:v>
      </x:c>
      <x:c r="AB380" s="118" t="n">
        <x:v>0</x:v>
      </x:c>
      <x:c r="AC380" s="118" t="n">
        <x:v>0</x:v>
      </x:c>
    </x:row>
    <x:row r="381" ht="46" customHeight="1">
      <x:c r="A381" s="117" t="str">
        <x:v>3005b000000Pz1DAAS</x:v>
      </x:c>
      <x:c r="B381" s="117" t="str">
        <x:v>Opportunity_Product_Rollups</x:v>
      </x:c>
      <x:c r="C381" s="117" t="str">
        <x:v>Yes</x:v>
      </x:c>
      <x:c r="D381" s="119" t="str">
        <x:v>Active v18 (Retrieved XML)</x:v>
      </x:c>
      <x:c r="E381" s="119" t="str">
        <x:v>UnitPrice IsChanged booleanValue=true | Cost__c IsChanged booleanValue=true | Product_Name__c IsChanged booleanValue=true | Asset_is_system__c IsChanged booleanValue=true | TotalPrice IsChanged booleanValue=true | CreatedDate IsChanged booleanValue=true | Invoice2__c IsChanged booleanValue=true</x:v>
      </x:c>
      <x:c r="F381" s="119" t="str">
        <x:v>Invoice__c, Opportunity, OpportunityLineItem</x:v>
      </x:c>
      <x:c r="G381" s="119" t="str">
        <x:v>Asset_No__c, Asset_is_system__c, Cost__c, Cost_of_Parts_Used__c, CreatedDate, Invoice2__c, Model__c, OpportunityId, Opportunity_Record_Type__c, Product_Family__c, Product_Name__c, Serial_No__c, TotalPrice, UnitPrice</x:v>
      </x:c>
      <x:c r="H381" s="119" t="str"/>
      <x:c r="I381" s="119" t="str"/>
      <x:c r="J381" s="119" t="str"/>
      <x:c r="K381" s="118" t="n">
        <x:v>86</x:v>
      </x:c>
      <x:c r="L381" s="118" t="n">
        <x:v>0</x:v>
      </x:c>
      <x:c r="M381" s="118" t="n">
        <x:v>0</x:v>
      </x:c>
      <x:c r="N381" s="118" t="n">
        <x:v>39</x:v>
      </x:c>
      <x:c r="O381" s="118" t="n">
        <x:v>0</x:v>
      </x:c>
      <x:c r="P381" s="118" t="n">
        <x:v>0</x:v>
      </x:c>
      <x:c r="Q381" s="118" t="n">
        <x:v>24</x:v>
      </x:c>
      <x:c r="R381" s="118" t="n">
        <x:v>19</x:v>
      </x:c>
      <x:c r="S381" s="118" t="n">
        <x:v>0</x:v>
      </x:c>
      <x:c r="T381" s="118" t="n">
        <x:v>0</x:v>
      </x:c>
      <x:c r="U381" s="118" t="n">
        <x:v>0</x:v>
      </x:c>
      <x:c r="V381" s="118" t="n">
        <x:v>1</x:v>
      </x:c>
      <x:c r="W381" s="118" t="n">
        <x:v>0</x:v>
      </x:c>
      <x:c r="X381" s="118" t="n">
        <x:v>2</x:v>
      </x:c>
      <x:c r="Y381" s="118" t="n">
        <x:v>0</x:v>
      </x:c>
      <x:c r="Z381" s="118" t="n">
        <x:v>0</x:v>
      </x:c>
      <x:c r="AA381" s="118" t="n">
        <x:v>0</x:v>
      </x:c>
      <x:c r="AB381" s="118" t="n">
        <x:v>0</x:v>
      </x:c>
      <x:c r="AC381" s="118" t="n">
        <x:v>0</x:v>
      </x:c>
    </x:row>
    <x:row r="382" ht="46" customHeight="1">
      <x:c r="A382" s="117" t="str">
        <x:v>3005b00000113QYAAY</x:v>
      </x:c>
      <x:c r="B382" s="117" t="str">
        <x:v>Opportunity_Product_Rollups_On_Create</x:v>
      </x:c>
      <x:c r="C382" s="117" t="str">
        <x:v>Yes</x:v>
      </x:c>
      <x:c r="D382" s="119" t="str">
        <x:v>Active v4 (Retrieved XML)</x:v>
      </x:c>
      <x:c r="E382" s="119" t="str"/>
      <x:c r="F382" s="119" t="str">
        <x:v>Invoice__c, Opportunity, OpportunityLineItem</x:v>
      </x:c>
      <x:c r="G382" s="119" t="str">
        <x:v>Asset_No__c, Asset_is_system__c, Cost__c, Cost_of_Parts_Used__c, Invoice2__c, OpportunityId, Opportunity_Record_Type__c, Product_Family__c, Product_Name__c, Quantity, Quantity_Remaining__c, Serial_No__c, TotalPrice, UnitPrice</x:v>
      </x:c>
      <x:c r="H382" s="119" t="str"/>
      <x:c r="I382" s="119" t="str"/>
      <x:c r="J382" s="119" t="str"/>
      <x:c r="K382" s="118" t="n">
        <x:v>81</x:v>
      </x:c>
      <x:c r="L382" s="118" t="n">
        <x:v>0</x:v>
      </x:c>
      <x:c r="M382" s="118" t="n">
        <x:v>0</x:v>
      </x:c>
      <x:c r="N382" s="118" t="n">
        <x:v>36</x:v>
      </x:c>
      <x:c r="O382" s="118" t="n">
        <x:v>0</x:v>
      </x:c>
      <x:c r="P382" s="118" t="n">
        <x:v>0</x:v>
      </x:c>
      <x:c r="Q382" s="118" t="n">
        <x:v>22</x:v>
      </x:c>
      <x:c r="R382" s="118" t="n">
        <x:v>18</x:v>
      </x:c>
      <x:c r="S382" s="118" t="n">
        <x:v>0</x:v>
      </x:c>
      <x:c r="T382" s="118" t="n">
        <x:v>0</x:v>
      </x:c>
      <x:c r="U382" s="118" t="n">
        <x:v>0</x:v>
      </x:c>
      <x:c r="V382" s="118" t="n">
        <x:v>1</x:v>
      </x:c>
      <x:c r="W382" s="118" t="n">
        <x:v>0</x:v>
      </x:c>
      <x:c r="X382" s="118" t="n">
        <x:v>3</x:v>
      </x:c>
      <x:c r="Y382" s="118" t="n">
        <x:v>0</x:v>
      </x:c>
      <x:c r="Z382" s="118" t="n">
        <x:v>0</x:v>
      </x:c>
      <x:c r="AA382" s="118" t="n">
        <x:v>0</x:v>
      </x:c>
      <x:c r="AB382" s="118" t="n">
        <x:v>0</x:v>
      </x:c>
      <x:c r="AC382" s="118" t="n">
        <x:v>0</x:v>
      </x:c>
    </x:row>
    <x:row r="383" ht="46" customHeight="1">
      <x:c r="A383" s="117" t="str">
        <x:v>3005b000000LHqlAAG</x:v>
      </x:c>
      <x:c r="B383" s="117" t="str">
        <x:v>Opportunity_Product_Updates_Flow</x:v>
      </x:c>
      <x:c r="C383" s="117" t="str">
        <x:v>Yes</x:v>
      </x:c>
      <x:c r="D383" s="119" t="str">
        <x:v>Active v12 (Tooling metadata)</x:v>
      </x:c>
      <x:c r="E383" s="119" t="str"/>
      <x:c r="F383" s="119" t="str">
        <x:v>OpportunityLineItem</x:v>
      </x:c>
      <x:c r="G383" s="119" t="str">
        <x:v>Asset_is_system__c, Check_In_Type_TXT__c, Model__c, Product2Id, ProductItem__c, ProductItem__r, Product_Family_TXT__c, Quantity, Quantity_Remaining__c, Vet_Product__c</x:v>
      </x:c>
      <x:c r="H383" s="119" t="str"/>
      <x:c r="I383" s="119" t="str"/>
      <x:c r="J383" s="119" t="str"/>
      <x:c r="K383" s="118" t="n">
        <x:v>7</x:v>
      </x:c>
      <x:c r="L383" s="118" t="n">
        <x:v>0</x:v>
      </x:c>
      <x:c r="M383" s="118" t="n">
        <x:v>0</x:v>
      </x:c>
      <x:c r="N383" s="118" t="n">
        <x:v>1</x:v>
      </x:c>
      <x:c r="O383" s="118" t="n">
        <x:v>0</x:v>
      </x:c>
      <x:c r="P383" s="118" t="n">
        <x:v>0</x:v>
      </x:c>
      <x:c r="Q383" s="118" t="n">
        <x:v>3</x:v>
      </x:c>
      <x:c r="R383" s="118" t="n">
        <x:v>0</x:v>
      </x:c>
      <x:c r="S383" s="118" t="n">
        <x:v>0</x:v>
      </x:c>
      <x:c r="T383" s="118" t="n">
        <x:v>0</x:v>
      </x:c>
      <x:c r="U383" s="118" t="n">
        <x:v>0</x:v>
      </x:c>
      <x:c r="V383" s="118" t="n">
        <x:v>0</x:v>
      </x:c>
      <x:c r="W383" s="118" t="n">
        <x:v>0</x:v>
      </x:c>
      <x:c r="X383" s="118" t="n">
        <x:v>2</x:v>
      </x:c>
      <x:c r="Y383" s="118" t="n">
        <x:v>0</x:v>
      </x:c>
      <x:c r="Z383" s="118" t="n">
        <x:v>0</x:v>
      </x:c>
      <x:c r="AA383" s="118" t="n">
        <x:v>0</x:v>
      </x:c>
      <x:c r="AB383" s="118" t="n">
        <x:v>0</x:v>
      </x:c>
      <x:c r="AC383" s="118" t="n">
        <x:v>0</x:v>
      </x:c>
    </x:row>
    <x:row r="384" ht="46" customHeight="1">
      <x:c r="A384" s="117" t="str">
        <x:v>300Ro00000ia9zdIAA</x:v>
      </x:c>
      <x:c r="B384" s="117" t="str">
        <x:v>Opportunity_Resync_System</x:v>
      </x:c>
      <x:c r="C384" s="117" t="str">
        <x:v>Yes</x:v>
      </x:c>
      <x:c r="D384" s="119" t="str">
        <x:v>Active v15 (Retrieved XML)</x:v>
      </x:c>
      <x:c r="E384" s="119" t="str">
        <x:v>Intacct_Shipper_Sync_Status__c EqualTo stringValue=Error | Intacct_Shipper_Timestamp__c GreaterThan dateTimeValue=2026-01-01T05:00:00.000Z</x:v>
      </x:c>
      <x:c r="F384" s="119" t="str">
        <x:v>Opportunity</x:v>
      </x:c>
      <x:c r="G384" s="119" t="str">
        <x:v>Id, Intacct_Shipper_Error_Message__c, Intacct_Shipper_Sync_Status__c, Intacct_Shipper_Timestamp__c, Ship_Date__c</x:v>
      </x:c>
      <x:c r="H384" s="119" t="str"/>
      <x:c r="I384" s="119" t="str"/>
      <x:c r="J384" s="119" t="str"/>
      <x:c r="K384" s="118" t="n">
        <x:v>10</x:v>
      </x:c>
      <x:c r="L384" s="118" t="n">
        <x:v>0</x:v>
      </x:c>
      <x:c r="M384" s="118" t="n">
        <x:v>0</x:v>
      </x:c>
      <x:c r="N384" s="118" t="n">
        <x:v>1</x:v>
      </x:c>
      <x:c r="O384" s="118" t="n">
        <x:v>0</x:v>
      </x:c>
      <x:c r="P384" s="118" t="n">
        <x:v>0</x:v>
      </x:c>
      <x:c r="Q384" s="118" t="n">
        <x:v>2</x:v>
      </x:c>
      <x:c r="R384" s="118" t="n">
        <x:v>0</x:v>
      </x:c>
      <x:c r="S384" s="118" t="n">
        <x:v>0</x:v>
      </x:c>
      <x:c r="T384" s="118" t="n">
        <x:v>0</x:v>
      </x:c>
      <x:c r="U384" s="118" t="n">
        <x:v>0</x:v>
      </x:c>
      <x:c r="V384" s="118" t="n">
        <x:v>1</x:v>
      </x:c>
      <x:c r="W384" s="118" t="n">
        <x:v>0</x:v>
      </x:c>
      <x:c r="X384" s="118" t="n">
        <x:v>3</x:v>
      </x:c>
      <x:c r="Y384" s="118" t="n">
        <x:v>0</x:v>
      </x:c>
      <x:c r="Z384" s="118" t="n">
        <x:v>0</x:v>
      </x:c>
      <x:c r="AA384" s="118" t="n">
        <x:v>0</x:v>
      </x:c>
      <x:c r="AB384" s="118" t="n">
        <x:v>0</x:v>
      </x:c>
      <x:c r="AC384" s="118" t="n">
        <x:v>2</x:v>
      </x:c>
    </x:row>
    <x:row r="385" ht="46" customHeight="1">
      <x:c r="A385" s="117" t="str">
        <x:v>300Ro000007doaYIAQ</x:v>
      </x:c>
      <x:c r="B385" s="117" t="str">
        <x:v>Opportunity_Rollups</x:v>
      </x:c>
      <x:c r="C385" s="117" t="str">
        <x:v>No</x:v>
      </x:c>
      <x:c r="D385" s="119" t="str">
        <x:v>Latest inactive v1 (Retrieved XML)</x:v>
      </x:c>
      <x:c r="E385" s="119" t="str"/>
      <x:c r="F385" s="119" t="str">
        <x:v>Account, Opportunity, Project__c</x:v>
      </x:c>
      <x:c r="G385" s="119" t="str">
        <x:v>AccountId, Project__c, Purchasing_Opportunity_Type__c, StageName, Total_Cost_of_Assets__c</x:v>
      </x:c>
      <x:c r="H385" s="119" t="str"/>
      <x:c r="I385" s="119" t="str"/>
      <x:c r="J385" s="119" t="str"/>
      <x:c r="K385" s="118" t="n">
        <x:v>11</x:v>
      </x:c>
      <x:c r="L385" s="118" t="n">
        <x:v>0</x:v>
      </x:c>
      <x:c r="M385" s="118" t="n">
        <x:v>0</x:v>
      </x:c>
      <x:c r="N385" s="118" t="n">
        <x:v>4</x:v>
      </x:c>
      <x:c r="O385" s="118" t="n">
        <x:v>0</x:v>
      </x:c>
      <x:c r="P385" s="118" t="n">
        <x:v>0</x:v>
      </x:c>
      <x:c r="Q385" s="118" t="n">
        <x:v>0</x:v>
      </x:c>
      <x:c r="R385" s="118" t="n">
        <x:v>2</x:v>
      </x:c>
      <x:c r="S385" s="118" t="n">
        <x:v>0</x:v>
      </x:c>
      <x:c r="T385" s="118" t="n">
        <x:v>0</x:v>
      </x:c>
      <x:c r="U385" s="118" t="n">
        <x:v>0</x:v>
      </x:c>
      <x:c r="V385" s="118" t="n">
        <x:v>2</x:v>
      </x:c>
      <x:c r="W385" s="118" t="n">
        <x:v>0</x:v>
      </x:c>
      <x:c r="X385" s="118" t="n">
        <x:v>2</x:v>
      </x:c>
      <x:c r="Y385" s="118" t="n">
        <x:v>0</x:v>
      </x:c>
      <x:c r="Z385" s="118" t="n">
        <x:v>0</x:v>
      </x:c>
      <x:c r="AA385" s="118" t="n">
        <x:v>0</x:v>
      </x:c>
      <x:c r="AB385" s="118" t="n">
        <x:v>0</x:v>
      </x:c>
      <x:c r="AC385" s="118" t="n">
        <x:v>0</x:v>
      </x:c>
    </x:row>
    <x:row r="386" ht="46" customHeight="1">
      <x:c r="A386" s="117" t="str">
        <x:v>3005b000000PzJCAA0</x:v>
      </x:c>
      <x:c r="B386" s="117" t="str">
        <x:v>Opportunity_Update_Fields_Flow</x:v>
      </x:c>
      <x:c r="C386" s="117" t="str">
        <x:v>No</x:v>
      </x:c>
      <x:c r="D386" s="119" t="str">
        <x:v>Latest inactive v12 (Retrieved XML)</x:v>
      </x:c>
      <x:c r="E386" s="119" t="str">
        <x:v>RecordTypeId EqualTo stringValue=0120B000000QyDGQA0 | Shipping_TO_Location__c IsNull booleanValue=false | Field_Service_Engineer__c IsNull booleanValue=false | FSE_Phone__c IsNull booleanValue=true | RecordTypeId NotEqualTo stringValue=012U0000000AFnFIAW</x:v>
      </x:c>
      <x:c r="F386" s="119" t="str">
        <x:v>Contact, Opportunity</x:v>
      </x:c>
      <x:c r="G386" s="119" t="str">
        <x:v>AccountId, FSE_Phone__c, Field_Service_Engineer__c, Id, Name, RecordTypeId, ShippingCity__c, ShippingCountry__c, ShippingPostalCode__c, ShippingState__c, ShippingStreet__c, Shipping_TO_Location__c</x:v>
      </x:c>
      <x:c r="H386" s="119" t="str"/>
      <x:c r="I386" s="119" t="str"/>
      <x:c r="J386" s="119" t="str"/>
      <x:c r="K386" s="118" t="n">
        <x:v>11</x:v>
      </x:c>
      <x:c r="L386" s="118" t="n">
        <x:v>0</x:v>
      </x:c>
      <x:c r="M386" s="118" t="n">
        <x:v>0</x:v>
      </x:c>
      <x:c r="N386" s="118" t="n">
        <x:v>2</x:v>
      </x:c>
      <x:c r="O386" s="118" t="n">
        <x:v>0</x:v>
      </x:c>
      <x:c r="P386" s="118" t="n">
        <x:v>0</x:v>
      </x:c>
      <x:c r="Q386" s="118" t="n">
        <x:v>3</x:v>
      </x:c>
      <x:c r="R386" s="118" t="n">
        <x:v>0</x:v>
      </x:c>
      <x:c r="S386" s="118" t="n">
        <x:v>0</x:v>
      </x:c>
      <x:c r="T386" s="118" t="n">
        <x:v>0</x:v>
      </x:c>
      <x:c r="U386" s="118" t="n">
        <x:v>0</x:v>
      </x:c>
      <x:c r="V386" s="118" t="n">
        <x:v>1</x:v>
      </x:c>
      <x:c r="W386" s="118" t="n">
        <x:v>0</x:v>
      </x:c>
      <x:c r="X386" s="118" t="n">
        <x:v>4</x:v>
      </x:c>
      <x:c r="Y386" s="118" t="n">
        <x:v>0</x:v>
      </x:c>
      <x:c r="Z386" s="118" t="n">
        <x:v>0</x:v>
      </x:c>
      <x:c r="AA386" s="118" t="n">
        <x:v>0</x:v>
      </x:c>
      <x:c r="AB386" s="118" t="n">
        <x:v>0</x:v>
      </x:c>
      <x:c r="AC386" s="118" t="n">
        <x:v>0</x:v>
      </x:c>
    </x:row>
    <x:row r="387" ht="46" customHeight="1">
      <x:c r="A387" s="117" t="str">
        <x:v>300Ro00000tF5irIAC</x:v>
      </x:c>
      <x:c r="B387" s="117" t="str">
        <x:v>Opportunity_Update_FSE_Email_Record_Triggered_Flow</x:v>
      </x:c>
      <x:c r="C387" s="117" t="str">
        <x:v>Yes</x:v>
      </x:c>
      <x:c r="D387" s="119" t="str">
        <x:v>Active v2 (Retrieved XML)</x:v>
      </x:c>
      <x:c r="E387" s="119" t="str">
        <x:v>Field_Service_Engineer__c IsNull booleanValue=false</x:v>
      </x:c>
      <x:c r="F387" s="119" t="str">
        <x:v>Opportunity, User</x:v>
      </x:c>
      <x:c r="G387" s="119" t="str">
        <x:v>FSE_Email__c, Field_Service_Engineer__c, Id, IsActive, Name</x:v>
      </x:c>
      <x:c r="H387" s="119" t="str"/>
      <x:c r="I387" s="119" t="str"/>
      <x:c r="J387" s="119" t="str"/>
      <x:c r="K387" s="118" t="n">
        <x:v>5</x:v>
      </x:c>
      <x:c r="L387" s="118" t="n">
        <x:v>0</x:v>
      </x:c>
      <x:c r="M387" s="118" t="n">
        <x:v>0</x:v>
      </x:c>
      <x:c r="N387" s="118" t="n">
        <x:v>0</x:v>
      </x:c>
      <x:c r="O387" s="118" t="n">
        <x:v>0</x:v>
      </x:c>
      <x:c r="P387" s="118" t="n">
        <x:v>0</x:v>
      </x:c>
      <x:c r="Q387" s="118" t="n">
        <x:v>2</x:v>
      </x:c>
      <x:c r="R387" s="118" t="n">
        <x:v>0</x:v>
      </x:c>
      <x:c r="S387" s="118" t="n">
        <x:v>0</x:v>
      </x:c>
      <x:c r="T387" s="118" t="n">
        <x:v>0</x:v>
      </x:c>
      <x:c r="U387" s="118" t="n">
        <x:v>0</x:v>
      </x:c>
      <x:c r="V387" s="118" t="n">
        <x:v>1</x:v>
      </x:c>
      <x:c r="W387" s="118" t="n">
        <x:v>0</x:v>
      </x:c>
      <x:c r="X387" s="118" t="n">
        <x:v>1</x:v>
      </x:c>
      <x:c r="Y387" s="118" t="n">
        <x:v>0</x:v>
      </x:c>
      <x:c r="Z387" s="118" t="n">
        <x:v>0</x:v>
      </x:c>
      <x:c r="AA387" s="118" t="n">
        <x:v>0</x:v>
      </x:c>
      <x:c r="AB387" s="118" t="n">
        <x:v>0</x:v>
      </x:c>
      <x:c r="AC387" s="118" t="n">
        <x:v>0</x:v>
      </x:c>
    </x:row>
    <x:row r="388" ht="46" customHeight="1">
      <x:c r="A388" s="117" t="str">
        <x:v>3004O000000LOvyQAG</x:v>
      </x:c>
      <x:c r="B388" s="117" t="str">
        <x:v>Opportunity_Update_Processes</x:v>
      </x:c>
      <x:c r="C388" s="117" t="str">
        <x:v>Yes</x:v>
      </x:c>
      <x:c r="D388" s="119" t="str">
        <x:v>Active v66 (Retrieved XML)</x:v>
      </x:c>
      <x:c r="E388" s="119" t="str"/>
      <x:c r="F388" s="119" t="str">
        <x:v>Invoice__c, Opportunity</x:v>
      </x:c>
      <x:c r="G388" s="119" t="str">
        <x:v>AVA_SFCLOUD__Sales_Tax__c, Id, Opportunity__c, X23100_Sales_Tax_Payable__c</x:v>
      </x:c>
      <x:c r="H388" s="119" t="str">
        <x:v>Opportunity.Confirmation_Number_Entered_on_Rental_Opps, Opportunity.Email_about_Closed_Won_Philips_Opps, Opportunity.Email_the_Shipping_Form_for_the_Opp, Opportunity.Opportunity_Shipped_Without_Being_Closed_Won, Opportunity.PartsSource_Opportunity_Received_Through_EDi, Opportunity.Probomedical_com_Opportunity_Received_Through_WooCommerce</x:v>
      </x:c>
      <x:c r="I388" s="119" t="str"/>
      <x:c r="J388" s="119" t="str"/>
      <x:c r="K388" s="118" t="n">
        <x:v>21</x:v>
      </x:c>
      <x:c r="L388" s="118" t="n">
        <x:v>6</x:v>
      </x:c>
      <x:c r="M388" s="118" t="n">
        <x:v>0</x:v>
      </x:c>
      <x:c r="N388" s="118" t="n">
        <x:v>0</x:v>
      </x:c>
      <x:c r="O388" s="118" t="n">
        <x:v>0</x:v>
      </x:c>
      <x:c r="P388" s="118" t="n">
        <x:v>0</x:v>
      </x:c>
      <x:c r="Q388" s="118" t="n">
        <x:v>13</x:v>
      </x:c>
      <x:c r="R388" s="118" t="n">
        <x:v>0</x:v>
      </x:c>
      <x:c r="S388" s="118" t="n">
        <x:v>0</x:v>
      </x:c>
      <x:c r="T388" s="118" t="n">
        <x:v>0</x:v>
      </x:c>
      <x:c r="U388" s="118" t="n">
        <x:v>0</x:v>
      </x:c>
      <x:c r="V388" s="118" t="n">
        <x:v>0</x:v>
      </x:c>
      <x:c r="W388" s="118" t="n">
        <x:v>0</x:v>
      </x:c>
      <x:c r="X388" s="118" t="n">
        <x:v>2</x:v>
      </x:c>
      <x:c r="Y388" s="118" t="n">
        <x:v>0</x:v>
      </x:c>
      <x:c r="Z388" s="118" t="n">
        <x:v>0</x:v>
      </x:c>
      <x:c r="AA388" s="118" t="n">
        <x:v>0</x:v>
      </x:c>
      <x:c r="AB388" s="118" t="n">
        <x:v>0</x:v>
      </x:c>
      <x:c r="AC388" s="118" t="n">
        <x:v>0</x:v>
      </x:c>
    </x:row>
    <x:row r="389" ht="46" customHeight="1">
      <x:c r="A389" s="117" t="str">
        <x:v>300Ro00000xXpjKIAS</x:v>
      </x:c>
      <x:c r="B389" s="117" t="str">
        <x:v>OpportunityLineItem_Async_on_create_Update_Avg_Inventory_Life_on_Opportunity</x:v>
      </x:c>
      <x:c r="C389" s="117" t="str">
        <x:v>Yes</x:v>
      </x:c>
      <x:c r="D389" s="119" t="str">
        <x:v>Active v1 (Retrieved XML)</x:v>
      </x:c>
      <x:c r="E389" s="119" t="str">
        <x:v>OpportunityId IsNull booleanValue=false</x:v>
      </x:c>
      <x:c r="F389" s="119" t="str">
        <x:v>Opportunity, OpportunityLineItem</x:v>
      </x:c>
      <x:c r="G389" s="119" t="str">
        <x:v>Id, OpportunityId, Working_Capital_Usage_Days_Generic_Pur__c</x:v>
      </x:c>
      <x:c r="H389" s="119" t="str"/>
      <x:c r="I389" s="119" t="str"/>
      <x:c r="J389" s="119" t="str"/>
      <x:c r="K389" s="118" t="n">
        <x:v>5</x:v>
      </x:c>
      <x:c r="L389" s="118" t="n">
        <x:v>0</x:v>
      </x:c>
      <x:c r="M389" s="118" t="n">
        <x:v>0</x:v>
      </x:c>
      <x:c r="N389" s="118" t="n">
        <x:v>0</x:v>
      </x:c>
      <x:c r="O389" s="118" t="n">
        <x:v>0</x:v>
      </x:c>
      <x:c r="P389" s="118" t="n">
        <x:v>0</x:v>
      </x:c>
      <x:c r="Q389" s="118" t="n">
        <x:v>0</x:v>
      </x:c>
      <x:c r="R389" s="118" t="n">
        <x:v>0</x:v>
      </x:c>
      <x:c r="S389" s="118" t="n">
        <x:v>0</x:v>
      </x:c>
      <x:c r="T389" s="118" t="n">
        <x:v>0</x:v>
      </x:c>
      <x:c r="U389" s="118" t="n">
        <x:v>0</x:v>
      </x:c>
      <x:c r="V389" s="118" t="n">
        <x:v>1</x:v>
      </x:c>
      <x:c r="W389" s="118" t="n">
        <x:v>0</x:v>
      </x:c>
      <x:c r="X389" s="118" t="n">
        <x:v>1</x:v>
      </x:c>
      <x:c r="Y389" s="118" t="n">
        <x:v>0</x:v>
      </x:c>
      <x:c r="Z389" s="118" t="n">
        <x:v>0</x:v>
      </x:c>
      <x:c r="AA389" s="118" t="n">
        <x:v>0</x:v>
      </x:c>
      <x:c r="AB389" s="118" t="n">
        <x:v>2</x:v>
      </x:c>
      <x:c r="AC389" s="118" t="n">
        <x:v>0</x:v>
      </x:c>
    </x:row>
    <x:row r="390" ht="46" customHeight="1">
      <x:c r="A390" s="117" t="str">
        <x:v>300Ro00000xXpjLIAS</x:v>
      </x:c>
      <x:c r="B390" s="117" t="str">
        <x:v>OpportunityLineItem_Async_on_update_Update_Avg_Inventory_Life_on_Opportunity</x:v>
      </x:c>
      <x:c r="C390" s="117" t="str">
        <x:v>Yes</x:v>
      </x:c>
      <x:c r="D390" s="119" t="str">
        <x:v>Active v1 (Retrieved XML)</x:v>
      </x:c>
      <x:c r="E390" s="119" t="str">
        <x:v>OpportunityId IsChanged booleanValue=true | Avg_Inventory_Life__c IsChanged booleanValue=true</x:v>
      </x:c>
      <x:c r="F390" s="119" t="str">
        <x:v>Opportunity, OpportunityLineItem</x:v>
      </x:c>
      <x:c r="G390" s="119" t="str">
        <x:v>Avg_Inventory_Life__c, Id, OpportunityId, Working_Capital_Usage_Days_Generic_Pur__c</x:v>
      </x:c>
      <x:c r="H390" s="119" t="str"/>
      <x:c r="I390" s="119" t="str"/>
      <x:c r="J390" s="119" t="str"/>
      <x:c r="K390" s="118" t="n">
        <x:v>11</x:v>
      </x:c>
      <x:c r="L390" s="118" t="n">
        <x:v>0</x:v>
      </x:c>
      <x:c r="M390" s="118" t="n">
        <x:v>0</x:v>
      </x:c>
      <x:c r="N390" s="118" t="n">
        <x:v>0</x:v>
      </x:c>
      <x:c r="O390" s="118" t="n">
        <x:v>0</x:v>
      </x:c>
      <x:c r="P390" s="118" t="n">
        <x:v>0</x:v>
      </x:c>
      <x:c r="Q390" s="118" t="n">
        <x:v>2</x:v>
      </x:c>
      <x:c r="R390" s="118" t="n">
        <x:v>0</x:v>
      </x:c>
      <x:c r="S390" s="118" t="n">
        <x:v>0</x:v>
      </x:c>
      <x:c r="T390" s="118" t="n">
        <x:v>0</x:v>
      </x:c>
      <x:c r="U390" s="118" t="n">
        <x:v>0</x:v>
      </x:c>
      <x:c r="V390" s="118" t="n">
        <x:v>2</x:v>
      </x:c>
      <x:c r="W390" s="118" t="n">
        <x:v>0</x:v>
      </x:c>
      <x:c r="X390" s="118" t="n">
        <x:v>2</x:v>
      </x:c>
      <x:c r="Y390" s="118" t="n">
        <x:v>0</x:v>
      </x:c>
      <x:c r="Z390" s="118" t="n">
        <x:v>0</x:v>
      </x:c>
      <x:c r="AA390" s="118" t="n">
        <x:v>0</x:v>
      </x:c>
      <x:c r="AB390" s="118" t="n">
        <x:v>4</x:v>
      </x:c>
      <x:c r="AC390" s="118" t="n">
        <x:v>0</x:v>
      </x:c>
    </x:row>
    <x:row r="391" ht="46" customHeight="1">
      <x:c r="A391" s="117" t="str">
        <x:v>300Ro00000xXpjMIAS</x:v>
      </x:c>
      <x:c r="B391" s="117" t="str">
        <x:v>OpportunityLineItem_Before_delete_Update_Avg_Inventory_Life_on_Opportunity</x:v>
      </x:c>
      <x:c r="C391" s="117" t="str">
        <x:v>Yes</x:v>
      </x:c>
      <x:c r="D391" s="119" t="str">
        <x:v>Active v1 (Retrieved XML)</x:v>
      </x:c>
      <x:c r="E391" s="119" t="str">
        <x:v>OpportunityId IsNull booleanValue=false</x:v>
      </x:c>
      <x:c r="F391" s="119" t="str">
        <x:v>Opportunity, OpportunityLineItem</x:v>
      </x:c>
      <x:c r="G391" s="119" t="str">
        <x:v>Id, OpportunityId, Working_Capital_Usage_Days_Generic_Pur__c</x:v>
      </x:c>
      <x:c r="H391" s="119" t="str"/>
      <x:c r="I391" s="119" t="str"/>
      <x:c r="J391" s="119" t="str"/>
      <x:c r="K391" s="118" t="n">
        <x:v>5</x:v>
      </x:c>
      <x:c r="L391" s="118" t="n">
        <x:v>0</x:v>
      </x:c>
      <x:c r="M391" s="118" t="n">
        <x:v>0</x:v>
      </x:c>
      <x:c r="N391" s="118" t="n">
        <x:v>0</x:v>
      </x:c>
      <x:c r="O391" s="118" t="n">
        <x:v>0</x:v>
      </x:c>
      <x:c r="P391" s="118" t="n">
        <x:v>0</x:v>
      </x:c>
      <x:c r="Q391" s="118" t="n">
        <x:v>0</x:v>
      </x:c>
      <x:c r="R391" s="118" t="n">
        <x:v>0</x:v>
      </x:c>
      <x:c r="S391" s="118" t="n">
        <x:v>0</x:v>
      </x:c>
      <x:c r="T391" s="118" t="n">
        <x:v>0</x:v>
      </x:c>
      <x:c r="U391" s="118" t="n">
        <x:v>0</x:v>
      </x:c>
      <x:c r="V391" s="118" t="n">
        <x:v>1</x:v>
      </x:c>
      <x:c r="W391" s="118" t="n">
        <x:v>0</x:v>
      </x:c>
      <x:c r="X391" s="118" t="n">
        <x:v>1</x:v>
      </x:c>
      <x:c r="Y391" s="118" t="n">
        <x:v>0</x:v>
      </x:c>
      <x:c r="Z391" s="118" t="n">
        <x:v>0</x:v>
      </x:c>
      <x:c r="AA391" s="118" t="n">
        <x:v>0</x:v>
      </x:c>
      <x:c r="AB391" s="118" t="n">
        <x:v>2</x:v>
      </x:c>
      <x:c r="AC391" s="118" t="n">
        <x:v>0</x:v>
      </x:c>
    </x:row>
    <x:row r="392" ht="46" customHeight="1">
      <x:c r="A392" s="117" t="str">
        <x:v>3005b000000LHYwAAO</x:v>
      </x:c>
      <x:c r="B392" s="117" t="str">
        <x:v>Original_Time_Warranty_Loaner_Action_Approved_Update</x:v>
      </x:c>
      <x:c r="C392" s="117" t="str">
        <x:v>Yes</x:v>
      </x:c>
      <x:c r="D392" s="119" t="str">
        <x:v>Active v13 (Retrieved XML)</x:v>
      </x:c>
      <x:c r="E392" s="119" t="str">
        <x:v>Warranty_Claim_Approved__c IsChanged booleanValue=true | RecordTypeId IsChanged booleanValue=true</x:v>
      </x:c>
      <x:c r="F392" s="119" t="str">
        <x:v>Non_Conforming_Record__c, RMA__c</x:v>
      </x:c>
      <x:c r="G392" s="119" t="str">
        <x:v>Account_Name__c, CurrencyIsoCode, Customer_Expectation__c, Date_Opportunity_Item_Shipped__c, Date_RMA_Record_Type_Changed__c, Field_Service_Engineer__c, Id, Model__c, Name, Opportunity_Record_Type__c, Opportunity__c, Opportunity__r, Original_Time_Warranty_Loaner_Action_App__c, OwnerId, Part_Number__c, Preliminary_Assessment_NEW__c, Preliminary_Assessment__c, ProductItem__r, Quality_Issue_Notes_NEW__c, Quality_Issue_Notes__c, Quality_Issue_Reported__c, RMA_Item_Asset__c, RMA_Item_SN__c, RMA_Owner__c, RMA_Tracking__c, RMA__c, RecordTypeId, Return_to_Account__c, Return_to_Account__r, Specific_Issue__c, Time_Warranty_Claim_Approved__c, Time_Warranty_Loaner_Action_Approved__c, Type_of_Non_Conformity__c, Type_of_Nonconformity__c, Warranty_Claim_Action__c, Warranty_Claim_Approved__c, Warranty_Claim_Status__c, Work_Order__c</x:v>
      </x:c>
      <x:c r="H392" s="119" t="str">
        <x:v>emailSimple</x:v>
      </x:c>
      <x:c r="I392" s="119" t="str"/>
      <x:c r="J392" s="119" t="str"/>
      <x:c r="K392" s="118" t="n">
        <x:v>11</x:v>
      </x:c>
      <x:c r="L392" s="118" t="n">
        <x:v>1</x:v>
      </x:c>
      <x:c r="M392" s="118" t="n">
        <x:v>0</x:v>
      </x:c>
      <x:c r="N392" s="118" t="n">
        <x:v>2</x:v>
      </x:c>
      <x:c r="O392" s="118" t="n">
        <x:v>0</x:v>
      </x:c>
      <x:c r="P392" s="118" t="n">
        <x:v>0</x:v>
      </x:c>
      <x:c r="Q392" s="118" t="n">
        <x:v>4</x:v>
      </x:c>
      <x:c r="R392" s="118" t="n">
        <x:v>0</x:v>
      </x:c>
      <x:c r="S392" s="118" t="n">
        <x:v>0</x:v>
      </x:c>
      <x:c r="T392" s="118" t="n">
        <x:v>1</x:v>
      </x:c>
      <x:c r="U392" s="118" t="n">
        <x:v>0</x:v>
      </x:c>
      <x:c r="V392" s="118" t="n">
        <x:v>0</x:v>
      </x:c>
      <x:c r="W392" s="118" t="n">
        <x:v>0</x:v>
      </x:c>
      <x:c r="X392" s="118" t="n">
        <x:v>2</x:v>
      </x:c>
      <x:c r="Y392" s="118" t="n">
        <x:v>0</x:v>
      </x:c>
      <x:c r="Z392" s="118" t="n">
        <x:v>0</x:v>
      </x:c>
      <x:c r="AA392" s="118" t="n">
        <x:v>0</x:v>
      </x:c>
      <x:c r="AB392" s="118" t="n">
        <x:v>0</x:v>
      </x:c>
      <x:c r="AC392" s="118" t="n">
        <x:v>0</x:v>
      </x:c>
    </x:row>
    <x:row r="393" ht="46" customHeight="1">
      <x:c r="A393" s="117" t="str">
        <x:v>300Ro00000kKs8HIAS</x:v>
      </x:c>
      <x:c r="B393" s="117" t="str">
        <x:v>Partial_Payment</x:v>
      </x:c>
      <x:c r="C393" s="117" t="str">
        <x:v>No</x:v>
      </x:c>
      <x:c r="D393" s="119" t="str">
        <x:v>Latest inactive v1 (Tooling metadata)</x:v>
      </x:c>
      <x:c r="E393" s="119" t="str"/>
      <x:c r="F393" s="119" t="str"/>
      <x:c r="G393" s="119" t="str"/>
      <x:c r="H393" s="119" t="str"/>
      <x:c r="I393" s="119" t="str"/>
      <x:c r="J393" s="119" t="str"/>
      <x:c r="K393" s="118" t="n">
        <x:v>0</x:v>
      </x:c>
      <x:c r="L393" s="118" t="n">
        <x:v>0</x:v>
      </x:c>
      <x:c r="M393" s="118" t="n">
        <x:v>0</x:v>
      </x:c>
      <x:c r="N393" s="118" t="n">
        <x:v>0</x:v>
      </x:c>
      <x:c r="O393" s="118" t="n">
        <x:v>0</x:v>
      </x:c>
      <x:c r="P393" s="118" t="n">
        <x:v>0</x:v>
      </x:c>
      <x:c r="Q393" s="118" t="n">
        <x:v>0</x:v>
      </x:c>
      <x:c r="R393" s="118" t="n">
        <x:v>0</x:v>
      </x:c>
      <x:c r="S393" s="118" t="n">
        <x:v>0</x:v>
      </x:c>
      <x:c r="T393" s="118" t="n">
        <x:v>0</x:v>
      </x:c>
      <x:c r="U393" s="118" t="n">
        <x:v>0</x:v>
      </x:c>
      <x:c r="V393" s="118" t="n">
        <x:v>0</x:v>
      </x:c>
      <x:c r="W393" s="118" t="n">
        <x:v>0</x:v>
      </x:c>
      <x:c r="X393" s="118" t="n">
        <x:v>0</x:v>
      </x:c>
      <x:c r="Y393" s="118" t="n">
        <x:v>0</x:v>
      </x:c>
      <x:c r="Z393" s="118" t="n">
        <x:v>0</x:v>
      </x:c>
      <x:c r="AA393" s="118" t="n">
        <x:v>0</x:v>
      </x:c>
      <x:c r="AB393" s="118" t="n">
        <x:v>0</x:v>
      </x:c>
      <x:c r="AC393" s="118" t="n">
        <x:v>0</x:v>
      </x:c>
    </x:row>
    <x:row r="394" ht="46" customHeight="1">
      <x:c r="A394" s="117" t="str">
        <x:v>3005b000000H3y9AAC</x:v>
      </x:c>
      <x:c r="B394" s="117" t="str">
        <x:v>Parts_Pool_10k_Alert_Flow</x:v>
      </x:c>
      <x:c r="C394" s="117" t="str">
        <x:v>Yes</x:v>
      </x:c>
      <x:c r="D394" s="119" t="str">
        <x:v>Active v1 (Retrieved XML)</x:v>
      </x:c>
      <x:c r="E394" s="119" t="str">
        <x:v>Remaining_Parts_Pool_Value__c LessThan numberValue=10000.0 | Product_Name__c EqualTo stringValue=Parts Pool</x:v>
      </x:c>
      <x:c r="F394" s="119" t="str">
        <x:v>ContractLineItem</x:v>
      </x:c>
      <x:c r="G394" s="119" t="str">
        <x:v>Id, Product_Name__c, Remaining_Parts_Pool_Value__c</x:v>
      </x:c>
      <x:c r="H394" s="119" t="str">
        <x:v>ContractLineItem.Parts_Pool_E_Mail_Alert</x:v>
      </x:c>
      <x:c r="I394" s="119" t="str"/>
      <x:c r="J394" s="119" t="str"/>
      <x:c r="K394" s="118" t="n">
        <x:v>2</x:v>
      </x:c>
      <x:c r="L394" s="118" t="n">
        <x:v>1</x:v>
      </x:c>
      <x:c r="M394" s="118" t="n">
        <x:v>0</x:v>
      </x:c>
      <x:c r="N394" s="118" t="n">
        <x:v>0</x:v>
      </x:c>
      <x:c r="O394" s="118" t="n">
        <x:v>0</x:v>
      </x:c>
      <x:c r="P394" s="118" t="n">
        <x:v>0</x:v>
      </x:c>
      <x:c r="Q394" s="118" t="n">
        <x:v>0</x:v>
      </x:c>
      <x:c r="R394" s="118" t="n">
        <x:v>0</x:v>
      </x:c>
      <x:c r="S394" s="118" t="n">
        <x:v>0</x:v>
      </x:c>
      <x:c r="T394" s="118" t="n">
        <x:v>0</x:v>
      </x:c>
      <x:c r="U394" s="118" t="n">
        <x:v>0</x:v>
      </x:c>
      <x:c r="V394" s="118" t="n">
        <x:v>0</x:v>
      </x:c>
      <x:c r="W394" s="118" t="n">
        <x:v>0</x:v>
      </x:c>
      <x:c r="X394" s="118" t="n">
        <x:v>0</x:v>
      </x:c>
      <x:c r="Y394" s="118" t="n">
        <x:v>0</x:v>
      </x:c>
      <x:c r="Z394" s="118" t="n">
        <x:v>0</x:v>
      </x:c>
      <x:c r="AA394" s="118" t="n">
        <x:v>0</x:v>
      </x:c>
      <x:c r="AB394" s="118" t="n">
        <x:v>0</x:v>
      </x:c>
      <x:c r="AC394" s="118" t="n">
        <x:v>0</x:v>
      </x:c>
    </x:row>
    <x:row r="395" ht="46" customHeight="1">
      <x:c r="A395" s="117" t="str">
        <x:v>3004O0000000a9zQAA</x:v>
      </x:c>
      <x:c r="B395" s="117" t="str">
        <x:v>Parts_Validation_Approval_Process</x:v>
      </x:c>
      <x:c r="C395" s="117" t="str">
        <x:v>No</x:v>
      </x:c>
      <x:c r="D395" s="119" t="str">
        <x:v>Latest inactive v6 (Retrieved XML)</x:v>
      </x:c>
      <x:c r="E395" s="119" t="str"/>
      <x:c r="F395" s="119" t="str">
        <x:v>Product2</x:v>
      </x:c>
      <x:c r="G395" s="119" t="str"/>
      <x:c r="H395" s="119" t="str">
        <x:v>submit</x:v>
      </x:c>
      <x:c r="I395" s="119" t="str"/>
      <x:c r="J395" s="119" t="str"/>
      <x:c r="K395" s="118" t="n">
        <x:v>2</x:v>
      </x:c>
      <x:c r="L395" s="118" t="n">
        <x:v>1</x:v>
      </x:c>
      <x:c r="M395" s="118" t="n">
        <x:v>0</x:v>
      </x:c>
      <x:c r="N395" s="118" t="n">
        <x:v>0</x:v>
      </x:c>
      <x:c r="O395" s="118" t="n">
        <x:v>0</x:v>
      </x:c>
      <x:c r="P395" s="118" t="n">
        <x:v>0</x:v>
      </x:c>
      <x:c r="Q395" s="118" t="n">
        <x:v>1</x:v>
      </x:c>
      <x:c r="R395" s="118" t="n">
        <x:v>0</x:v>
      </x:c>
      <x:c r="S395" s="118" t="n">
        <x:v>0</x:v>
      </x:c>
      <x:c r="T395" s="118" t="n">
        <x:v>0</x:v>
      </x:c>
      <x:c r="U395" s="118" t="n">
        <x:v>0</x:v>
      </x:c>
      <x:c r="V395" s="118" t="n">
        <x:v>0</x:v>
      </x:c>
      <x:c r="W395" s="118" t="n">
        <x:v>0</x:v>
      </x:c>
      <x:c r="X395" s="118" t="n">
        <x:v>0</x:v>
      </x:c>
      <x:c r="Y395" s="118" t="n">
        <x:v>0</x:v>
      </x:c>
      <x:c r="Z395" s="118" t="n">
        <x:v>0</x:v>
      </x:c>
      <x:c r="AA395" s="118" t="n">
        <x:v>0</x:v>
      </x:c>
      <x:c r="AB395" s="118" t="n">
        <x:v>0</x:v>
      </x:c>
      <x:c r="AC395" s="118" t="n">
        <x:v>0</x:v>
      </x:c>
    </x:row>
    <x:row r="396" ht="46" customHeight="1">
      <x:c r="A396" s="117" t="str">
        <x:v>300Ro00000BfBE6IAN</x:v>
      </x:c>
      <x:c r="B396" s="117" t="str">
        <x:v>Parts_Validation_Approval_Process_1</x:v>
      </x:c>
      <x:c r="C396" s="117" t="str">
        <x:v>Yes</x:v>
      </x:c>
      <x:c r="D396" s="119" t="str">
        <x:v>Active v4 (Retrieved XML)</x:v>
      </x:c>
      <x:c r="E396" s="119" t="str">
        <x:v>Family EqualTo stringValue=Part | Product_Status__c EqualTo stringValue=Not Validated</x:v>
      </x:c>
      <x:c r="F396" s="119" t="str">
        <x:v>Product2</x:v>
      </x:c>
      <x:c r="G396" s="119" t="str">
        <x:v>Family, Id, Product_Status__c</x:v>
      </x:c>
      <x:c r="H396" s="119" t="str">
        <x:v>submit</x:v>
      </x:c>
      <x:c r="I396" s="119" t="str"/>
      <x:c r="J396" s="119" t="str"/>
      <x:c r="K396" s="118" t="n">
        <x:v>2</x:v>
      </x:c>
      <x:c r="L396" s="118" t="n">
        <x:v>1</x:v>
      </x:c>
      <x:c r="M396" s="118" t="n">
        <x:v>0</x:v>
      </x:c>
      <x:c r="N396" s="118" t="n">
        <x:v>0</x:v>
      </x:c>
      <x:c r="O396" s="118" t="n">
        <x:v>0</x:v>
      </x:c>
      <x:c r="P396" s="118" t="n">
        <x:v>0</x:v>
      </x:c>
      <x:c r="Q396" s="118" t="n">
        <x:v>0</x:v>
      </x:c>
      <x:c r="R396" s="118" t="n">
        <x:v>0</x:v>
      </x:c>
      <x:c r="S396" s="118" t="n">
        <x:v>0</x:v>
      </x:c>
      <x:c r="T396" s="118" t="n">
        <x:v>0</x:v>
      </x:c>
      <x:c r="U396" s="118" t="n">
        <x:v>0</x:v>
      </x:c>
      <x:c r="V396" s="118" t="n">
        <x:v>0</x:v>
      </x:c>
      <x:c r="W396" s="118" t="n">
        <x:v>0</x:v>
      </x:c>
      <x:c r="X396" s="118" t="n">
        <x:v>0</x:v>
      </x:c>
      <x:c r="Y396" s="118" t="n">
        <x:v>0</x:v>
      </x:c>
      <x:c r="Z396" s="118" t="n">
        <x:v>0</x:v>
      </x:c>
      <x:c r="AA396" s="118" t="n">
        <x:v>0</x:v>
      </x:c>
      <x:c r="AB396" s="118" t="n">
        <x:v>0</x:v>
      </x:c>
      <x:c r="AC396" s="118" t="n">
        <x:v>0</x:v>
      </x:c>
    </x:row>
    <x:row r="397" ht="46" customHeight="1">
      <x:c r="A397" s="117" t="str">
        <x:v>3004O0000000a6CQAQ</x:v>
      </x:c>
      <x:c r="B397" s="117" t="str">
        <x:v>Parts_Validation_Process</x:v>
      </x:c>
      <x:c r="C397" s="117" t="str">
        <x:v>No</x:v>
      </x:c>
      <x:c r="D397" s="119" t="str">
        <x:v>Latest inactive v1 (Retrieved XML)</x:v>
      </x:c>
      <x:c r="E397" s="119" t="str"/>
      <x:c r="F397" s="119" t="str"/>
      <x:c r="G397" s="119" t="str"/>
      <x:c r="H397" s="119" t="str"/>
      <x:c r="I397" s="119" t="str"/>
      <x:c r="J397" s="119" t="str"/>
      <x:c r="K397" s="118" t="n">
        <x:v>1</x:v>
      </x:c>
      <x:c r="L397" s="118" t="n">
        <x:v>0</x:v>
      </x:c>
      <x:c r="M397" s="118" t="n">
        <x:v>0</x:v>
      </x:c>
      <x:c r="N397" s="118" t="n">
        <x:v>1</x:v>
      </x:c>
      <x:c r="O397" s="118" t="n">
        <x:v>0</x:v>
      </x:c>
      <x:c r="P397" s="118" t="n">
        <x:v>0</x:v>
      </x:c>
      <x:c r="Q397" s="118" t="n">
        <x:v>0</x:v>
      </x:c>
      <x:c r="R397" s="118" t="n">
        <x:v>0</x:v>
      </x:c>
      <x:c r="S397" s="118" t="n">
        <x:v>0</x:v>
      </x:c>
      <x:c r="T397" s="118" t="n">
        <x:v>0</x:v>
      </x:c>
      <x:c r="U397" s="118" t="n">
        <x:v>0</x:v>
      </x:c>
      <x:c r="V397" s="118" t="n">
        <x:v>0</x:v>
      </x:c>
      <x:c r="W397" s="118" t="n">
        <x:v>0</x:v>
      </x:c>
      <x:c r="X397" s="118" t="n">
        <x:v>0</x:v>
      </x:c>
      <x:c r="Y397" s="118" t="n">
        <x:v>0</x:v>
      </x:c>
      <x:c r="Z397" s="118" t="n">
        <x:v>0</x:v>
      </x:c>
      <x:c r="AA397" s="118" t="n">
        <x:v>0</x:v>
      </x:c>
      <x:c r="AB397" s="118" t="n">
        <x:v>0</x:v>
      </x:c>
      <x:c r="AC397" s="118" t="n">
        <x:v>0</x:v>
      </x:c>
    </x:row>
    <x:row r="398" ht="46" customHeight="1">
      <x:c r="A398" s="117" t="str">
        <x:v>300Ro00000REVFoIAP</x:v>
      </x:c>
      <x:c r="B398" s="117" t="str">
        <x:v>PartsReadyForCollectionServiceAppointmentAlert</x:v>
      </x:c>
      <x:c r="C398" s="117" t="str">
        <x:v>Yes</x:v>
      </x:c>
      <x:c r="D398" s="119" t="str">
        <x:v>Active v2 (Retrieved XML)</x:v>
      </x:c>
      <x:c r="E398" s="119" t="str">
        <x:v>Ship_Date__c IsNull booleanValue=false | Ship_Type__c EqualTo stringValue=Engineer Collection | Shipping_FROM_Location__c EqualTo stringValue=Gloucester, UK</x:v>
      </x:c>
      <x:c r="F398" s="119" t="str">
        <x:v>AssignedResource, Contact, ServiceAppointment</x:v>
      </x:c>
      <x:c r="G398" s="119" t="str">
        <x:v>Id, ServiceAppointmentId, Ship_Date__c, Ship_Type__c, Shipping_FROM_Location__c, Work_Order__r</x:v>
      </x:c>
      <x:c r="H398" s="119" t="str">
        <x:v>emailSimple</x:v>
      </x:c>
      <x:c r="I398" s="119" t="str"/>
      <x:c r="J398" s="119" t="str"/>
      <x:c r="K398" s="118" t="n">
        <x:v>6</x:v>
      </x:c>
      <x:c r="L398" s="118" t="n">
        <x:v>1</x:v>
      </x:c>
      <x:c r="M398" s="118" t="n">
        <x:v>0</x:v>
      </x:c>
      <x:c r="N398" s="118" t="n">
        <x:v>3</x:v>
      </x:c>
      <x:c r="O398" s="118" t="n">
        <x:v>0</x:v>
      </x:c>
      <x:c r="P398" s="118" t="n">
        <x:v>0</x:v>
      </x:c>
      <x:c r="Q398" s="118" t="n">
        <x:v>0</x:v>
      </x:c>
      <x:c r="R398" s="118" t="n">
        <x:v>0</x:v>
      </x:c>
      <x:c r="S398" s="118" t="n">
        <x:v>0</x:v>
      </x:c>
      <x:c r="T398" s="118" t="n">
        <x:v>0</x:v>
      </x:c>
      <x:c r="U398" s="118" t="n">
        <x:v>0</x:v>
      </x:c>
      <x:c r="V398" s="118" t="n">
        <x:v>1</x:v>
      </x:c>
      <x:c r="W398" s="118" t="n">
        <x:v>0</x:v>
      </x:c>
      <x:c r="X398" s="118" t="n">
        <x:v>0</x:v>
      </x:c>
      <x:c r="Y398" s="118" t="n">
        <x:v>0</x:v>
      </x:c>
      <x:c r="Z398" s="118" t="n">
        <x:v>0</x:v>
      </x:c>
      <x:c r="AA398" s="118" t="n">
        <x:v>0</x:v>
      </x:c>
      <x:c r="AB398" s="118" t="n">
        <x:v>0</x:v>
      </x:c>
      <x:c r="AC398" s="118" t="n">
        <x:v>0</x:v>
      </x:c>
    </x:row>
    <x:row r="399" ht="46" customHeight="1">
      <x:c r="A399" s="117" t="str">
        <x:v>3005b000000LHI0AAO</x:v>
      </x:c>
      <x:c r="B399" s="117" t="str">
        <x:v>PartsReadyForCollectionWorkOrderAlert</x:v>
      </x:c>
      <x:c r="C399" s="117" t="str">
        <x:v>Yes</x:v>
      </x:c>
      <x:c r="D399" s="119" t="str">
        <x:v>Active v7 (Retrieved XML)</x:v>
      </x:c>
      <x:c r="E399" s="119" t="str">
        <x:v>Date_item_Prepped__c IsNull booleanValue=false | Ship_Type__c EqualTo stringValue=Engineer Collection | Shipping_FROM_Location__c EqualTo stringValue=Gloucester, UK</x:v>
      </x:c>
      <x:c r="F399" s="119" t="str">
        <x:v>Contact, WorkOrder</x:v>
      </x:c>
      <x:c r="G399" s="119" t="str">
        <x:v>AccountId, Date_item_Prepped__c, Name, Ship_Type__c, Shipping_FROM_Location__c, UK_Engineer_s_Assigned__c, WorkOrderNumber</x:v>
      </x:c>
      <x:c r="H399" s="119" t="str">
        <x:v>emailSimple</x:v>
      </x:c>
      <x:c r="I399" s="119" t="str"/>
      <x:c r="J399" s="119" t="str"/>
      <x:c r="K399" s="118" t="n">
        <x:v>11</x:v>
      </x:c>
      <x:c r="L399" s="118" t="n">
        <x:v>1</x:v>
      </x:c>
      <x:c r="M399" s="118" t="n">
        <x:v>0</x:v>
      </x:c>
      <x:c r="N399" s="118" t="n">
        <x:v>6</x:v>
      </x:c>
      <x:c r="O399" s="118" t="n">
        <x:v>0</x:v>
      </x:c>
      <x:c r="P399" s="118" t="n">
        <x:v>0</x:v>
      </x:c>
      <x:c r="Q399" s="118" t="n">
        <x:v>1</x:v>
      </x:c>
      <x:c r="R399" s="118" t="n">
        <x:v>0</x:v>
      </x:c>
      <x:c r="S399" s="118" t="n">
        <x:v>0</x:v>
      </x:c>
      <x:c r="T399" s="118" t="n">
        <x:v>0</x:v>
      </x:c>
      <x:c r="U399" s="118" t="n">
        <x:v>0</x:v>
      </x:c>
      <x:c r="V399" s="118" t="n">
        <x:v>2</x:v>
      </x:c>
      <x:c r="W399" s="118" t="n">
        <x:v>0</x:v>
      </x:c>
      <x:c r="X399" s="118" t="n">
        <x:v>0</x:v>
      </x:c>
      <x:c r="Y399" s="118" t="n">
        <x:v>0</x:v>
      </x:c>
      <x:c r="Z399" s="118" t="n">
        <x:v>0</x:v>
      </x:c>
      <x:c r="AA399" s="118" t="n">
        <x:v>0</x:v>
      </x:c>
      <x:c r="AB399" s="118" t="n">
        <x:v>0</x:v>
      </x:c>
      <x:c r="AC399" s="118" t="n">
        <x:v>0</x:v>
      </x:c>
    </x:row>
    <x:row r="400" ht="46" customHeight="1">
      <x:c r="A400" s="117" t="str">
        <x:v>300Ro00000kKs8MIAS</x:v>
      </x:c>
      <x:c r="B400" s="117" t="str">
        <x:v>Payment_Request_Email</x:v>
      </x:c>
      <x:c r="C400" s="117" t="str">
        <x:v>No</x:v>
      </x:c>
      <x:c r="D400" s="119" t="str">
        <x:v>Latest inactive v1 (Tooling metadata)</x:v>
      </x:c>
      <x:c r="E400" s="119" t="str"/>
      <x:c r="F400" s="119" t="str"/>
      <x:c r="G400" s="119" t="str"/>
      <x:c r="H400" s="119" t="str"/>
      <x:c r="I400" s="119" t="str"/>
      <x:c r="J400" s="119" t="str"/>
      <x:c r="K400" s="118" t="n">
        <x:v>0</x:v>
      </x:c>
      <x:c r="L400" s="118" t="n">
        <x:v>0</x:v>
      </x:c>
      <x:c r="M400" s="118" t="n">
        <x:v>0</x:v>
      </x:c>
      <x:c r="N400" s="118" t="n">
        <x:v>0</x:v>
      </x:c>
      <x:c r="O400" s="118" t="n">
        <x:v>0</x:v>
      </x:c>
      <x:c r="P400" s="118" t="n">
        <x:v>0</x:v>
      </x:c>
      <x:c r="Q400" s="118" t="n">
        <x:v>0</x:v>
      </x:c>
      <x:c r="R400" s="118" t="n">
        <x:v>0</x:v>
      </x:c>
      <x:c r="S400" s="118" t="n">
        <x:v>0</x:v>
      </x:c>
      <x:c r="T400" s="118" t="n">
        <x:v>0</x:v>
      </x:c>
      <x:c r="U400" s="118" t="n">
        <x:v>0</x:v>
      </x:c>
      <x:c r="V400" s="118" t="n">
        <x:v>0</x:v>
      </x:c>
      <x:c r="W400" s="118" t="n">
        <x:v>0</x:v>
      </x:c>
      <x:c r="X400" s="118" t="n">
        <x:v>0</x:v>
      </x:c>
      <x:c r="Y400" s="118" t="n">
        <x:v>0</x:v>
      </x:c>
      <x:c r="Z400" s="118" t="n">
        <x:v>0</x:v>
      </x:c>
      <x:c r="AA400" s="118" t="n">
        <x:v>0</x:v>
      </x:c>
      <x:c r="AB400" s="118" t="n">
        <x:v>0</x:v>
      </x:c>
      <x:c r="AC400" s="118" t="n">
        <x:v>0</x:v>
      </x:c>
    </x:row>
    <x:row r="401" ht="46" customHeight="1">
      <x:c r="A401" s="117" t="str">
        <x:v>300Ro00000kKs8IIAS</x:v>
      </x:c>
      <x:c r="B401" s="117" t="str">
        <x:v>Payment_Status_Recurring</x:v>
      </x:c>
      <x:c r="C401" s="117" t="str">
        <x:v>No</x:v>
      </x:c>
      <x:c r="D401" s="119" t="str">
        <x:v>Latest inactive v1 (Tooling metadata)</x:v>
      </x:c>
      <x:c r="E401" s="119" t="str"/>
      <x:c r="F401" s="119" t="str"/>
      <x:c r="G401" s="119" t="str"/>
      <x:c r="H401" s="119" t="str"/>
      <x:c r="I401" s="119" t="str"/>
      <x:c r="J401" s="119" t="str"/>
      <x:c r="K401" s="118" t="n">
        <x:v>0</x:v>
      </x:c>
      <x:c r="L401" s="118" t="n">
        <x:v>0</x:v>
      </x:c>
      <x:c r="M401" s="118" t="n">
        <x:v>0</x:v>
      </x:c>
      <x:c r="N401" s="118" t="n">
        <x:v>0</x:v>
      </x:c>
      <x:c r="O401" s="118" t="n">
        <x:v>0</x:v>
      </x:c>
      <x:c r="P401" s="118" t="n">
        <x:v>0</x:v>
      </x:c>
      <x:c r="Q401" s="118" t="n">
        <x:v>0</x:v>
      </x:c>
      <x:c r="R401" s="118" t="n">
        <x:v>0</x:v>
      </x:c>
      <x:c r="S401" s="118" t="n">
        <x:v>0</x:v>
      </x:c>
      <x:c r="T401" s="118" t="n">
        <x:v>0</x:v>
      </x:c>
      <x:c r="U401" s="118" t="n">
        <x:v>0</x:v>
      </x:c>
      <x:c r="V401" s="118" t="n">
        <x:v>0</x:v>
      </x:c>
      <x:c r="W401" s="118" t="n">
        <x:v>0</x:v>
      </x:c>
      <x:c r="X401" s="118" t="n">
        <x:v>0</x:v>
      </x:c>
      <x:c r="Y401" s="118" t="n">
        <x:v>0</x:v>
      </x:c>
      <x:c r="Z401" s="118" t="n">
        <x:v>0</x:v>
      </x:c>
      <x:c r="AA401" s="118" t="n">
        <x:v>0</x:v>
      </x:c>
      <x:c r="AB401" s="118" t="n">
        <x:v>0</x:v>
      </x:c>
      <x:c r="AC401" s="118" t="n">
        <x:v>0</x:v>
      </x:c>
    </x:row>
    <x:row r="402" ht="46" customHeight="1">
      <x:c r="A402" s="117" t="str">
        <x:v>3004O000000Xh3YQAS</x:v>
      </x:c>
      <x:c r="B402" s="117" t="str">
        <x:v>PB_Asset2</x:v>
      </x:c>
      <x:c r="C402" s="117" t="str">
        <x:v>No</x:v>
      </x:c>
      <x:c r="D402" s="119" t="str">
        <x:v>Latest inactive v4 (Retrieved XML)</x:v>
      </x:c>
      <x:c r="E402" s="119" t="str"/>
      <x:c r="F402" s="119" t="str">
        <x:v>ProductItem__c</x:v>
      </x:c>
      <x:c r="G402" s="119" t="str"/>
      <x:c r="H402" s="119" t="str">
        <x:v>ProductItem__c.Bad_Asset_with_Cost_Went_from_Good_to_Bad, ProductItem__c.Ebay_Out_of_Flow, ProductItem__c.Warranty_Expiration_Approaching</x:v>
      </x:c>
      <x:c r="I402" s="119" t="str"/>
      <x:c r="J402" s="119" t="str"/>
      <x:c r="K402" s="118" t="n">
        <x:v>8</x:v>
      </x:c>
      <x:c r="L402" s="118" t="n">
        <x:v>3</x:v>
      </x:c>
      <x:c r="M402" s="118" t="n">
        <x:v>0</x:v>
      </x:c>
      <x:c r="N402" s="118" t="n">
        <x:v>0</x:v>
      </x:c>
      <x:c r="O402" s="118" t="n">
        <x:v>0</x:v>
      </x:c>
      <x:c r="P402" s="118" t="n">
        <x:v>0</x:v>
      </x:c>
      <x:c r="Q402" s="118" t="n">
        <x:v>5</x:v>
      </x:c>
      <x:c r="R402" s="118" t="n">
        <x:v>0</x:v>
      </x:c>
      <x:c r="S402" s="118" t="n">
        <x:v>0</x:v>
      </x:c>
      <x:c r="T402" s="118" t="n">
        <x:v>0</x:v>
      </x:c>
      <x:c r="U402" s="118" t="n">
        <x:v>0</x:v>
      </x:c>
      <x:c r="V402" s="118" t="n">
        <x:v>0</x:v>
      </x:c>
      <x:c r="W402" s="118" t="n">
        <x:v>0</x:v>
      </x:c>
      <x:c r="X402" s="118" t="n">
        <x:v>0</x:v>
      </x:c>
      <x:c r="Y402" s="118" t="n">
        <x:v>0</x:v>
      </x:c>
      <x:c r="Z402" s="118" t="n">
        <x:v>0</x:v>
      </x:c>
      <x:c r="AA402" s="118" t="n">
        <x:v>0</x:v>
      </x:c>
      <x:c r="AB402" s="118" t="n">
        <x:v>0</x:v>
      </x:c>
      <x:c r="AC402" s="118" t="n">
        <x:v>0</x:v>
      </x:c>
    </x:row>
    <x:row r="403" ht="46" customHeight="1">
      <x:c r="A403" s="117" t="str">
        <x:v>3004O000000LOseQAG</x:v>
      </x:c>
      <x:c r="B403" s="117" t="str">
        <x:v>PB_Invoice</x:v>
      </x:c>
      <x:c r="C403" s="117" t="str">
        <x:v>Yes</x:v>
      </x:c>
      <x:c r="D403" s="119" t="str">
        <x:v>Active v21 (Retrieved XML)</x:v>
      </x:c>
      <x:c r="E403" s="119" t="str"/>
      <x:c r="F403" s="119" t="str">
        <x:v>Invoice__c, OpportunityLineItem</x:v>
      </x:c>
      <x:c r="G403" s="119" t="str">
        <x:v>Balance_Due__c, Id, Invoice2__c, OpportunityId, Send_Invoice_To__c, Service_Contract__c</x:v>
      </x:c>
      <x:c r="H403" s="119" t="str">
        <x:v>Create_Commission, Update_Physical_Location_on_Products_from_Invoice</x:v>
      </x:c>
      <x:c r="I403" s="119" t="str"/>
      <x:c r="J403" s="119" t="str"/>
      <x:c r="K403" s="118" t="n">
        <x:v>18</x:v>
      </x:c>
      <x:c r="L403" s="118" t="n">
        <x:v>2</x:v>
      </x:c>
      <x:c r="M403" s="118" t="n">
        <x:v>0</x:v>
      </x:c>
      <x:c r="N403" s="118" t="n">
        <x:v>0</x:v>
      </x:c>
      <x:c r="O403" s="118" t="n">
        <x:v>0</x:v>
      </x:c>
      <x:c r="P403" s="118" t="n">
        <x:v>0</x:v>
      </x:c>
      <x:c r="Q403" s="118" t="n">
        <x:v>12</x:v>
      </x:c>
      <x:c r="R403" s="118" t="n">
        <x:v>0</x:v>
      </x:c>
      <x:c r="S403" s="118" t="n">
        <x:v>0</x:v>
      </x:c>
      <x:c r="T403" s="118" t="n">
        <x:v>0</x:v>
      </x:c>
      <x:c r="U403" s="118" t="n">
        <x:v>0</x:v>
      </x:c>
      <x:c r="V403" s="118" t="n">
        <x:v>0</x:v>
      </x:c>
      <x:c r="W403" s="118" t="n">
        <x:v>0</x:v>
      </x:c>
      <x:c r="X403" s="118" t="n">
        <x:v>4</x:v>
      </x:c>
      <x:c r="Y403" s="118" t="n">
        <x:v>0</x:v>
      </x:c>
      <x:c r="Z403" s="118" t="n">
        <x:v>0</x:v>
      </x:c>
      <x:c r="AA403" s="118" t="n">
        <x:v>0</x:v>
      </x:c>
      <x:c r="AB403" s="118" t="n">
        <x:v>0</x:v>
      </x:c>
      <x:c r="AC403" s="118" t="n">
        <x:v>0</x:v>
      </x:c>
    </x:row>
    <x:row r="404" ht="46" customHeight="1">
      <x:c r="A404" s="117" t="str">
        <x:v>3004O000000XhK0QAK</x:v>
      </x:c>
      <x:c r="B404" s="117" t="str">
        <x:v>PB_Item_Receipt</x:v>
      </x:c>
      <x:c r="C404" s="117" t="str">
        <x:v>Yes</x:v>
      </x:c>
      <x:c r="D404" s="119" t="str">
        <x:v>Active v2 (Retrieved XML)</x:v>
      </x:c>
      <x:c r="E404" s="119" t="str"/>
      <x:c r="F404" s="119" t="str">
        <x:v>Item_Receipt__c</x:v>
      </x:c>
      <x:c r="G404" s="119" t="str">
        <x:v>Id, Item_Receipt_Submission_Date__c</x:v>
      </x:c>
      <x:c r="H404" s="119" t="str"/>
      <x:c r="I404" s="119" t="str"/>
      <x:c r="J404" s="119" t="str"/>
      <x:c r="K404" s="118" t="n">
        <x:v>2</x:v>
      </x:c>
      <x:c r="L404" s="118" t="n">
        <x:v>0</x:v>
      </x:c>
      <x:c r="M404" s="118" t="n">
        <x:v>0</x:v>
      </x:c>
      <x:c r="N404" s="118" t="n">
        <x:v>0</x:v>
      </x:c>
      <x:c r="O404" s="118" t="n">
        <x:v>0</x:v>
      </x:c>
      <x:c r="P404" s="118" t="n">
        <x:v>0</x:v>
      </x:c>
      <x:c r="Q404" s="118" t="n">
        <x:v>1</x:v>
      </x:c>
      <x:c r="R404" s="118" t="n">
        <x:v>0</x:v>
      </x:c>
      <x:c r="S404" s="118" t="n">
        <x:v>0</x:v>
      </x:c>
      <x:c r="T404" s="118" t="n">
        <x:v>0</x:v>
      </x:c>
      <x:c r="U404" s="118" t="n">
        <x:v>0</x:v>
      </x:c>
      <x:c r="V404" s="118" t="n">
        <x:v>0</x:v>
      </x:c>
      <x:c r="W404" s="118" t="n">
        <x:v>0</x:v>
      </x:c>
      <x:c r="X404" s="118" t="n">
        <x:v>1</x:v>
      </x:c>
      <x:c r="Y404" s="118" t="n">
        <x:v>0</x:v>
      </x:c>
      <x:c r="Z404" s="118" t="n">
        <x:v>0</x:v>
      </x:c>
      <x:c r="AA404" s="118" t="n">
        <x:v>0</x:v>
      </x:c>
      <x:c r="AB404" s="118" t="n">
        <x:v>0</x:v>
      </x:c>
      <x:c r="AC404" s="118" t="n">
        <x:v>0</x:v>
      </x:c>
    </x:row>
    <x:row r="405" ht="46" customHeight="1">
      <x:c r="A405" s="117" t="str">
        <x:v>3004O000000Xh3dQAC</x:v>
      </x:c>
      <x:c r="B405" s="117" t="str">
        <x:v>PB_Opportunity_Line_Items</x:v>
      </x:c>
      <x:c r="C405" s="117" t="str">
        <x:v>No</x:v>
      </x:c>
      <x:c r="D405" s="119" t="str">
        <x:v>Latest inactive v4 (Retrieved XML)</x:v>
      </x:c>
      <x:c r="E405" s="119" t="str"/>
      <x:c r="F405" s="119" t="str">
        <x:v>OpportunityLineItem</x:v>
      </x:c>
      <x:c r="G405" s="119" t="str"/>
      <x:c r="H405" s="119" t="str">
        <x:v>Count_Invoice_Products, OpportunityLineItem.Pre_Ship_Test_Needed</x:v>
      </x:c>
      <x:c r="I405" s="119" t="str"/>
      <x:c r="J405" s="119" t="str"/>
      <x:c r="K405" s="118" t="n">
        <x:v>4</x:v>
      </x:c>
      <x:c r="L405" s="118" t="n">
        <x:v>2</x:v>
      </x:c>
      <x:c r="M405" s="118" t="n">
        <x:v>0</x:v>
      </x:c>
      <x:c r="N405" s="118" t="n">
        <x:v>0</x:v>
      </x:c>
      <x:c r="O405" s="118" t="n">
        <x:v>0</x:v>
      </x:c>
      <x:c r="P405" s="118" t="n">
        <x:v>0</x:v>
      </x:c>
      <x:c r="Q405" s="118" t="n">
        <x:v>2</x:v>
      </x:c>
      <x:c r="R405" s="118" t="n">
        <x:v>0</x:v>
      </x:c>
      <x:c r="S405" s="118" t="n">
        <x:v>0</x:v>
      </x:c>
      <x:c r="T405" s="118" t="n">
        <x:v>0</x:v>
      </x:c>
      <x:c r="U405" s="118" t="n">
        <x:v>0</x:v>
      </x:c>
      <x:c r="V405" s="118" t="n">
        <x:v>0</x:v>
      </x:c>
      <x:c r="W405" s="118" t="n">
        <x:v>0</x:v>
      </x:c>
      <x:c r="X405" s="118" t="n">
        <x:v>0</x:v>
      </x:c>
      <x:c r="Y405" s="118" t="n">
        <x:v>0</x:v>
      </x:c>
      <x:c r="Z405" s="118" t="n">
        <x:v>0</x:v>
      </x:c>
      <x:c r="AA405" s="118" t="n">
        <x:v>0</x:v>
      </x:c>
      <x:c r="AB405" s="118" t="n">
        <x:v>0</x:v>
      </x:c>
      <x:c r="AC405" s="118" t="n">
        <x:v>0</x:v>
      </x:c>
    </x:row>
    <x:row r="406" ht="46" customHeight="1">
      <x:c r="A406" s="117" t="str">
        <x:v>3004O000000LOsoQAG</x:v>
      </x:c>
      <x:c r="B406" s="117" t="str">
        <x:v>PB_Payment_Request</x:v>
      </x:c>
      <x:c r="C406" s="117" t="str">
        <x:v>Yes</x:v>
      </x:c>
      <x:c r="D406" s="119" t="str">
        <x:v>Active v2 (Retrieved XML)</x:v>
      </x:c>
      <x:c r="E406" s="119" t="str"/>
      <x:c r="F406" s="119" t="str">
        <x:v>ChargentOrders__Payment_Request__c, Invoice__c</x:v>
      </x:c>
      <x:c r="G406" s="119" t="str">
        <x:v>Billing_City__c, Billing_Country__c, Billing_Postal_Code__c, Billing_State__c, Billing_Street__c, Credit_Card_Fees__c, Opportunity__c, Parent_Invoice__c, Payment_Date__c, RecordTypeId, Recurring_Payment_Request__c, Ship_to_Account__c, Shipping_City__c, Shipping_Country__c, Shipping_Postal_Code__c, Shipping_State__c, Shipping_Street__c, Shipping_and_Delivery_Income__c, Total_Sales_Price__c, X23100_Sales_Tax_Payable__c</x:v>
      </x:c>
      <x:c r="H406" s="119" t="str"/>
      <x:c r="I406" s="119" t="str"/>
      <x:c r="J406" s="119" t="str"/>
      <x:c r="K406" s="118" t="n">
        <x:v>2</x:v>
      </x:c>
      <x:c r="L406" s="118" t="n">
        <x:v>0</x:v>
      </x:c>
      <x:c r="M406" s="118" t="n">
        <x:v>0</x:v>
      </x:c>
      <x:c r="N406" s="118" t="n">
        <x:v>0</x:v>
      </x:c>
      <x:c r="O406" s="118" t="n">
        <x:v>0</x:v>
      </x:c>
      <x:c r="P406" s="118" t="n">
        <x:v>0</x:v>
      </x:c>
      <x:c r="Q406" s="118" t="n">
        <x:v>1</x:v>
      </x:c>
      <x:c r="R406" s="118" t="n">
        <x:v>0</x:v>
      </x:c>
      <x:c r="S406" s="118" t="n">
        <x:v>0</x:v>
      </x:c>
      <x:c r="T406" s="118" t="n">
        <x:v>1</x:v>
      </x:c>
      <x:c r="U406" s="118" t="n">
        <x:v>0</x:v>
      </x:c>
      <x:c r="V406" s="118" t="n">
        <x:v>0</x:v>
      </x:c>
      <x:c r="W406" s="118" t="n">
        <x:v>0</x:v>
      </x:c>
      <x:c r="X406" s="118" t="n">
        <x:v>0</x:v>
      </x:c>
      <x:c r="Y406" s="118" t="n">
        <x:v>0</x:v>
      </x:c>
      <x:c r="Z406" s="118" t="n">
        <x:v>0</x:v>
      </x:c>
      <x:c r="AA406" s="118" t="n">
        <x:v>0</x:v>
      </x:c>
      <x:c r="AB406" s="118" t="n">
        <x:v>0</x:v>
      </x:c>
      <x:c r="AC406" s="118" t="n">
        <x:v>0</x:v>
      </x:c>
    </x:row>
    <x:row r="407" ht="46" customHeight="1">
      <x:c r="A407" s="117" t="str">
        <x:v>3004O000000Xh55QAC</x:v>
      </x:c>
      <x:c r="B407" s="117" t="str">
        <x:v>PB_Product_Repair</x:v>
      </x:c>
      <x:c r="C407" s="117" t="str">
        <x:v>No</x:v>
      </x:c>
      <x:c r="D407" s="119" t="str">
        <x:v>Latest inactive v3 (Retrieved XML)</x:v>
      </x:c>
      <x:c r="E407" s="119" t="str"/>
      <x:c r="F407" s="119" t="str">
        <x:v>Product_Repair__c</x:v>
      </x:c>
      <x:c r="G407" s="119" t="str"/>
      <x:c r="H407" s="119" t="str">
        <x:v>Product_Repair__c.Email_tech_if_repair_result_set_to_fail_by_someone_else, Product_Repair__c.White_Glove_Probe_Repair_Completed</x:v>
      </x:c>
      <x:c r="I407" s="119" t="str"/>
      <x:c r="J407" s="119" t="str"/>
      <x:c r="K407" s="118" t="n">
        <x:v>4</x:v>
      </x:c>
      <x:c r="L407" s="118" t="n">
        <x:v>2</x:v>
      </x:c>
      <x:c r="M407" s="118" t="n">
        <x:v>0</x:v>
      </x:c>
      <x:c r="N407" s="118" t="n">
        <x:v>0</x:v>
      </x:c>
      <x:c r="O407" s="118" t="n">
        <x:v>0</x:v>
      </x:c>
      <x:c r="P407" s="118" t="n">
        <x:v>0</x:v>
      </x:c>
      <x:c r="Q407" s="118" t="n">
        <x:v>2</x:v>
      </x:c>
      <x:c r="R407" s="118" t="n">
        <x:v>0</x:v>
      </x:c>
      <x:c r="S407" s="118" t="n">
        <x:v>0</x:v>
      </x:c>
      <x:c r="T407" s="118" t="n">
        <x:v>0</x:v>
      </x:c>
      <x:c r="U407" s="118" t="n">
        <x:v>0</x:v>
      </x:c>
      <x:c r="V407" s="118" t="n">
        <x:v>0</x:v>
      </x:c>
      <x:c r="W407" s="118" t="n">
        <x:v>0</x:v>
      </x:c>
      <x:c r="X407" s="118" t="n">
        <x:v>0</x:v>
      </x:c>
      <x:c r="Y407" s="118" t="n">
        <x:v>0</x:v>
      </x:c>
      <x:c r="Z407" s="118" t="n">
        <x:v>0</x:v>
      </x:c>
      <x:c r="AA407" s="118" t="n">
        <x:v>0</x:v>
      </x:c>
      <x:c r="AB407" s="118" t="n">
        <x:v>0</x:v>
      </x:c>
      <x:c r="AC407" s="118" t="n">
        <x:v>0</x:v>
      </x:c>
    </x:row>
    <x:row r="408" ht="46" customHeight="1">
      <x:c r="A408" s="117" t="str">
        <x:v>3005b000000H1uuAAC</x:v>
      </x:c>
      <x:c r="B408" s="117" t="str">
        <x:v>PB_Service_Contract</x:v>
      </x:c>
      <x:c r="C408" s="117" t="str">
        <x:v>No</x:v>
      </x:c>
      <x:c r="D408" s="119" t="str">
        <x:v>Latest inactive v3 (Retrieved XML)</x:v>
      </x:c>
      <x:c r="E408" s="119" t="str"/>
      <x:c r="F408" s="119" t="str">
        <x:v>ServiceContract</x:v>
      </x:c>
      <x:c r="G408" s="119" t="str">
        <x:v>Contract_Status__c, Id, Warranty_Status__c</x:v>
      </x:c>
      <x:c r="H408" s="119" t="str"/>
      <x:c r="I408" s="119" t="str"/>
      <x:c r="J408" s="119" t="str"/>
      <x:c r="K408" s="118" t="n">
        <x:v>22</x:v>
      </x:c>
      <x:c r="L408" s="118" t="n">
        <x:v>0</x:v>
      </x:c>
      <x:c r="M408" s="118" t="n">
        <x:v>0</x:v>
      </x:c>
      <x:c r="N408" s="118" t="n">
        <x:v>6</x:v>
      </x:c>
      <x:c r="O408" s="118" t="n">
        <x:v>0</x:v>
      </x:c>
      <x:c r="P408" s="118" t="n">
        <x:v>0</x:v>
      </x:c>
      <x:c r="Q408" s="118" t="n">
        <x:v>10</x:v>
      </x:c>
      <x:c r="R408" s="118" t="n">
        <x:v>0</x:v>
      </x:c>
      <x:c r="S408" s="118" t="n">
        <x:v>0</x:v>
      </x:c>
      <x:c r="T408" s="118" t="n">
        <x:v>0</x:v>
      </x:c>
      <x:c r="U408" s="118" t="n">
        <x:v>0</x:v>
      </x:c>
      <x:c r="V408" s="118" t="n">
        <x:v>0</x:v>
      </x:c>
      <x:c r="W408" s="118" t="n">
        <x:v>0</x:v>
      </x:c>
      <x:c r="X408" s="118" t="n">
        <x:v>4</x:v>
      </x:c>
      <x:c r="Y408" s="118" t="n">
        <x:v>0</x:v>
      </x:c>
      <x:c r="Z408" s="118" t="n">
        <x:v>0</x:v>
      </x:c>
      <x:c r="AA408" s="118" t="n">
        <x:v>0</x:v>
      </x:c>
      <x:c r="AB408" s="118" t="n">
        <x:v>0</x:v>
      </x:c>
      <x:c r="AC408" s="118" t="n">
        <x:v>2</x:v>
      </x:c>
    </x:row>
    <x:row r="409" ht="46" customHeight="1">
      <x:c r="A409" s="117" t="str">
        <x:v>3004O000000XhLhQAK</x:v>
      </x:c>
      <x:c r="B409" s="117" t="str">
        <x:v>PB_Task</x:v>
      </x:c>
      <x:c r="C409" s="117" t="str">
        <x:v>Yes</x:v>
      </x:c>
      <x:c r="D409" s="119" t="str">
        <x:v>Active v1 (Retrieved XML)</x:v>
      </x:c>
      <x:c r="E409" s="119" t="str"/>
      <x:c r="F409" s="119" t="str">
        <x:v>Task</x:v>
      </x:c>
      <x:c r="G409" s="119" t="str"/>
      <x:c r="H409" s="119" t="str">
        <x:v>Set_Task_Ownership_from_Delegate_to_Opp_Owner</x:v>
      </x:c>
      <x:c r="I409" s="119" t="str"/>
      <x:c r="J409" s="119" t="str"/>
      <x:c r="K409" s="118" t="n">
        <x:v>2</x:v>
      </x:c>
      <x:c r="L409" s="118" t="n">
        <x:v>1</x:v>
      </x:c>
      <x:c r="M409" s="118" t="n">
        <x:v>0</x:v>
      </x:c>
      <x:c r="N409" s="118" t="n">
        <x:v>0</x:v>
      </x:c>
      <x:c r="O409" s="118" t="n">
        <x:v>0</x:v>
      </x:c>
      <x:c r="P409" s="118" t="n">
        <x:v>0</x:v>
      </x:c>
      <x:c r="Q409" s="118" t="n">
        <x:v>1</x:v>
      </x:c>
      <x:c r="R409" s="118" t="n">
        <x:v>0</x:v>
      </x:c>
      <x:c r="S409" s="118" t="n">
        <x:v>0</x:v>
      </x:c>
      <x:c r="T409" s="118" t="n">
        <x:v>0</x:v>
      </x:c>
      <x:c r="U409" s="118" t="n">
        <x:v>0</x:v>
      </x:c>
      <x:c r="V409" s="118" t="n">
        <x:v>0</x:v>
      </x:c>
      <x:c r="W409" s="118" t="n">
        <x:v>0</x:v>
      </x:c>
      <x:c r="X409" s="118" t="n">
        <x:v>0</x:v>
      </x:c>
      <x:c r="Y409" s="118" t="n">
        <x:v>0</x:v>
      </x:c>
      <x:c r="Z409" s="118" t="n">
        <x:v>0</x:v>
      </x:c>
      <x:c r="AA409" s="118" t="n">
        <x:v>0</x:v>
      </x:c>
      <x:c r="AB409" s="118" t="n">
        <x:v>0</x:v>
      </x:c>
      <x:c r="AC409" s="118" t="n">
        <x:v>0</x:v>
      </x:c>
    </x:row>
    <x:row r="410" ht="46" customHeight="1">
      <x:c r="A410" s="117" t="str">
        <x:v>3004O000000LOspQAG</x:v>
      </x:c>
      <x:c r="B410" s="117" t="str">
        <x:v>PB_Transaction</x:v>
      </x:c>
      <x:c r="C410" s="117" t="str">
        <x:v>Yes</x:v>
      </x:c>
      <x:c r="D410" s="119" t="str">
        <x:v>Active v7 (Retrieved XML)</x:v>
      </x:c>
      <x:c r="E410" s="119" t="str"/>
      <x:c r="F410" s="119" t="str">
        <x:v>ChargentOrders__ChargentOrder__c, ChargentOrders__Payment_Request__c, ChargentOrders__Transaction__c, Invoice__c</x:v>
      </x:c>
      <x:c r="G410" s="119" t="str">
        <x:v>Amount_Remaining__c, ChargentOrders__Charge_Amount__c, ChargentOrders__ChargentOrder__c, ChargentOrders__Email_Address__c, ChargentOrders__Send_Payment_Request_Email__c, Chargent_Order__c, Down_Payment_Needed__c, Id, Opportunity__c, Payment_Due_Date__c, Posted_on_Invoice__c, Total_Paid_Amount__c</x:v>
      </x:c>
      <x:c r="H410" s="119" t="str"/>
      <x:c r="I410" s="119" t="str"/>
      <x:c r="J410" s="119" t="str"/>
      <x:c r="K410" s="118" t="n">
        <x:v>8</x:v>
      </x:c>
      <x:c r="L410" s="118" t="n">
        <x:v>0</x:v>
      </x:c>
      <x:c r="M410" s="118" t="n">
        <x:v>0</x:v>
      </x:c>
      <x:c r="N410" s="118" t="n">
        <x:v>0</x:v>
      </x:c>
      <x:c r="O410" s="118" t="n">
        <x:v>0</x:v>
      </x:c>
      <x:c r="P410" s="118" t="n">
        <x:v>0</x:v>
      </x:c>
      <x:c r="Q410" s="118" t="n">
        <x:v>3</x:v>
      </x:c>
      <x:c r="R410" s="118" t="n">
        <x:v>0</x:v>
      </x:c>
      <x:c r="S410" s="118" t="n">
        <x:v>0</x:v>
      </x:c>
      <x:c r="T410" s="118" t="n">
        <x:v>1</x:v>
      </x:c>
      <x:c r="U410" s="118" t="n">
        <x:v>0</x:v>
      </x:c>
      <x:c r="V410" s="118" t="n">
        <x:v>0</x:v>
      </x:c>
      <x:c r="W410" s="118" t="n">
        <x:v>0</x:v>
      </x:c>
      <x:c r="X410" s="118" t="n">
        <x:v>4</x:v>
      </x:c>
      <x:c r="Y410" s="118" t="n">
        <x:v>0</x:v>
      </x:c>
      <x:c r="Z410" s="118" t="n">
        <x:v>0</x:v>
      </x:c>
      <x:c r="AA410" s="118" t="n">
        <x:v>0</x:v>
      </x:c>
      <x:c r="AB410" s="118" t="n">
        <x:v>0</x:v>
      </x:c>
      <x:c r="AC410" s="118" t="n">
        <x:v>0</x:v>
      </x:c>
    </x:row>
    <x:row r="411" ht="46" customHeight="1">
      <x:c r="A411" s="117" t="str">
        <x:v>3005b000000H2TKAA0</x:v>
      </x:c>
      <x:c r="B411" s="117" t="str">
        <x:v>PB_Work_Order_Line_Item</x:v>
      </x:c>
      <x:c r="C411" s="117" t="str">
        <x:v>No</x:v>
      </x:c>
      <x:c r="D411" s="119" t="str">
        <x:v>Latest inactive v1 (Retrieved XML)</x:v>
      </x:c>
      <x:c r="E411" s="119" t="str"/>
      <x:c r="F411" s="119" t="str">
        <x:v>ProductItem__c, WorkOrderLineItem</x:v>
      </x:c>
      <x:c r="G411" s="119" t="str">
        <x:v>Id, Opportunity_Record_Type__c</x:v>
      </x:c>
      <x:c r="H411" s="119" t="str"/>
      <x:c r="I411" s="119" t="str"/>
      <x:c r="J411" s="119" t="str"/>
      <x:c r="K411" s="118" t="n">
        <x:v>3</x:v>
      </x:c>
      <x:c r="L411" s="118" t="n">
        <x:v>0</x:v>
      </x:c>
      <x:c r="M411" s="118" t="n">
        <x:v>0</x:v>
      </x:c>
      <x:c r="N411" s="118" t="n">
        <x:v>0</x:v>
      </x:c>
      <x:c r="O411" s="118" t="n">
        <x:v>0</x:v>
      </x:c>
      <x:c r="P411" s="118" t="n">
        <x:v>0</x:v>
      </x:c>
      <x:c r="Q411" s="118" t="n">
        <x:v>2</x:v>
      </x:c>
      <x:c r="R411" s="118" t="n">
        <x:v>0</x:v>
      </x:c>
      <x:c r="S411" s="118" t="n">
        <x:v>0</x:v>
      </x:c>
      <x:c r="T411" s="118" t="n">
        <x:v>0</x:v>
      </x:c>
      <x:c r="U411" s="118" t="n">
        <x:v>0</x:v>
      </x:c>
      <x:c r="V411" s="118" t="n">
        <x:v>0</x:v>
      </x:c>
      <x:c r="W411" s="118" t="n">
        <x:v>0</x:v>
      </x:c>
      <x:c r="X411" s="118" t="n">
        <x:v>1</x:v>
      </x:c>
      <x:c r="Y411" s="118" t="n">
        <x:v>0</x:v>
      </x:c>
      <x:c r="Z411" s="118" t="n">
        <x:v>0</x:v>
      </x:c>
      <x:c r="AA411" s="118" t="n">
        <x:v>0</x:v>
      </x:c>
      <x:c r="AB411" s="118" t="n">
        <x:v>0</x:v>
      </x:c>
      <x:c r="AC411" s="118" t="n">
        <x:v>0</x:v>
      </x:c>
    </x:row>
    <x:row r="412" ht="46" customHeight="1">
      <x:c r="A412" s="117" t="str">
        <x:v>300Ro00000WbzIHIAZ</x:v>
      </x:c>
      <x:c r="B412" s="117" t="str">
        <x:v>Platform_Record_Triggered_Update_Intacct_Sync_Status</x:v>
      </x:c>
      <x:c r="C412" s="117" t="str">
        <x:v>No</x:v>
      </x:c>
      <x:c r="D412" s="119" t="str">
        <x:v>Latest inactive v2 (Retrieved XML)</x:v>
      </x:c>
      <x:c r="E412" s="119" t="str"/>
      <x:c r="F412" s="119" t="str">
        <x:v>Account, Update_Intacct_Sync_Status__e</x:v>
      </x:c>
      <x:c r="G412" s="119" t="str">
        <x:v>Field__c, Id, Intacct_Customer_Sync_Status__c, Intacct_Vendor_Sync_Status__c, Object__c, Record_Id__c</x:v>
      </x:c>
      <x:c r="H412" s="119" t="str"/>
      <x:c r="I412" s="119" t="str"/>
      <x:c r="J412" s="119" t="str"/>
      <x:c r="K412" s="118" t="n">
        <x:v>7</x:v>
      </x:c>
      <x:c r="L412" s="118" t="n">
        <x:v>0</x:v>
      </x:c>
      <x:c r="M412" s="118" t="n">
        <x:v>0</x:v>
      </x:c>
      <x:c r="N412" s="118" t="n">
        <x:v>0</x:v>
      </x:c>
      <x:c r="O412" s="118" t="n">
        <x:v>0</x:v>
      </x:c>
      <x:c r="P412" s="118" t="n">
        <x:v>0</x:v>
      </x:c>
      <x:c r="Q412" s="118" t="n">
        <x:v>3</x:v>
      </x:c>
      <x:c r="R412" s="118" t="n">
        <x:v>0</x:v>
      </x:c>
      <x:c r="S412" s="118" t="n">
        <x:v>0</x:v>
      </x:c>
      <x:c r="T412" s="118" t="n">
        <x:v>0</x:v>
      </x:c>
      <x:c r="U412" s="118" t="n">
        <x:v>0</x:v>
      </x:c>
      <x:c r="V412" s="118" t="n">
        <x:v>1</x:v>
      </x:c>
      <x:c r="W412" s="118" t="n">
        <x:v>0</x:v>
      </x:c>
      <x:c r="X412" s="118" t="n">
        <x:v>2</x:v>
      </x:c>
      <x:c r="Y412" s="118" t="n">
        <x:v>0</x:v>
      </x:c>
      <x:c r="Z412" s="118" t="n">
        <x:v>0</x:v>
      </x:c>
      <x:c r="AA412" s="118" t="n">
        <x:v>0</x:v>
      </x:c>
      <x:c r="AB412" s="118" t="n">
        <x:v>0</x:v>
      </x:c>
      <x:c r="AC412" s="118" t="n">
        <x:v>0</x:v>
      </x:c>
    </x:row>
    <x:row r="413" ht="46" customHeight="1">
      <x:c r="A413" s="117" t="str">
        <x:v>3005b000000H4EgAAK</x:v>
      </x:c>
      <x:c r="B413" s="117" t="str">
        <x:v>PM_Task_Assigned_E_Mail_Alerts</x:v>
      </x:c>
      <x:c r="C413" s="117" t="str">
        <x:v>Yes</x:v>
      </x:c>
      <x:c r="D413" s="119" t="str">
        <x:v>Active v3 (Retrieved XML)</x:v>
      </x:c>
      <x:c r="E413" s="119" t="str">
        <x:v>inov8__Assigned_To1__c IsChanged booleanValue=true</x:v>
      </x:c>
      <x:c r="F413" s="119" t="str">
        <x:v>inov8__PMT_Task__c</x:v>
      </x:c>
      <x:c r="G413" s="119" t="str">
        <x:v>CreatedBy, Delegate_E_Mail__c, Id, Name, inov8__Assigned_To1__c, inov8__Assigned_To1__r, inov8__Assigned_To_Email__c, inov8__Description__c, inov8__Project_Name__c, inov8__Start_Date__c</x:v>
      </x:c>
      <x:c r="H413" s="119" t="str">
        <x:v>emailSimple</x:v>
      </x:c>
      <x:c r="I413" s="119" t="str"/>
      <x:c r="J413" s="119" t="str"/>
      <x:c r="K413" s="118" t="n">
        <x:v>4</x:v>
      </x:c>
      <x:c r="L413" s="118" t="n">
        <x:v>2</x:v>
      </x:c>
      <x:c r="M413" s="118" t="n">
        <x:v>0</x:v>
      </x:c>
      <x:c r="N413" s="118" t="n">
        <x:v>0</x:v>
      </x:c>
      <x:c r="O413" s="118" t="n">
        <x:v>0</x:v>
      </x:c>
      <x:c r="P413" s="118" t="n">
        <x:v>0</x:v>
      </x:c>
      <x:c r="Q413" s="118" t="n">
        <x:v>1</x:v>
      </x:c>
      <x:c r="R413" s="118" t="n">
        <x:v>0</x:v>
      </x:c>
      <x:c r="S413" s="118" t="n">
        <x:v>0</x:v>
      </x:c>
      <x:c r="T413" s="118" t="n">
        <x:v>0</x:v>
      </x:c>
      <x:c r="U413" s="118" t="n">
        <x:v>0</x:v>
      </x:c>
      <x:c r="V413" s="118" t="n">
        <x:v>0</x:v>
      </x:c>
      <x:c r="W413" s="118" t="n">
        <x:v>0</x:v>
      </x:c>
      <x:c r="X413" s="118" t="n">
        <x:v>0</x:v>
      </x:c>
      <x:c r="Y413" s="118" t="n">
        <x:v>0</x:v>
      </x:c>
      <x:c r="Z413" s="118" t="n">
        <x:v>0</x:v>
      </x:c>
      <x:c r="AA413" s="118" t="n">
        <x:v>0</x:v>
      </x:c>
      <x:c r="AB413" s="118" t="n">
        <x:v>0</x:v>
      </x:c>
      <x:c r="AC413" s="118" t="n">
        <x:v>0</x:v>
      </x:c>
    </x:row>
    <x:row r="414" ht="46" customHeight="1">
      <x:c r="A414" s="117" t="str">
        <x:v>3005b000000H4EPAA0</x:v>
      </x:c>
      <x:c r="B414" s="117" t="str">
        <x:v>PMT_Create_Resource_Availability_on_User_activation1</x:v>
      </x:c>
      <x:c r="C414" s="117" t="str">
        <x:v>Yes</x:v>
      </x:c>
      <x:c r="D414" s="119" t="str">
        <x:v>Active v1 (Tooling metadata)</x:v>
      </x:c>
      <x:c r="E414" s="119" t="str"/>
      <x:c r="F414" s="119" t="str"/>
      <x:c r="G414" s="119" t="str"/>
      <x:c r="H414" s="119" t="str"/>
      <x:c r="I414" s="119" t="str"/>
      <x:c r="J414" s="119" t="str"/>
      <x:c r="K414" s="118" t="n">
        <x:v>0</x:v>
      </x:c>
      <x:c r="L414" s="118" t="n">
        <x:v>0</x:v>
      </x:c>
      <x:c r="M414" s="118" t="n">
        <x:v>0</x:v>
      </x:c>
      <x:c r="N414" s="118" t="n">
        <x:v>0</x:v>
      </x:c>
      <x:c r="O414" s="118" t="n">
        <x:v>0</x:v>
      </x:c>
      <x:c r="P414" s="118" t="n">
        <x:v>0</x:v>
      </x:c>
      <x:c r="Q414" s="118" t="n">
        <x:v>0</x:v>
      </x:c>
      <x:c r="R414" s="118" t="n">
        <x:v>0</x:v>
      </x:c>
      <x:c r="S414" s="118" t="n">
        <x:v>0</x:v>
      </x:c>
      <x:c r="T414" s="118" t="n">
        <x:v>0</x:v>
      </x:c>
      <x:c r="U414" s="118" t="n">
        <x:v>0</x:v>
      </x:c>
      <x:c r="V414" s="118" t="n">
        <x:v>0</x:v>
      </x:c>
      <x:c r="W414" s="118" t="n">
        <x:v>0</x:v>
      </x:c>
      <x:c r="X414" s="118" t="n">
        <x:v>0</x:v>
      </x:c>
      <x:c r="Y414" s="118" t="n">
        <x:v>0</x:v>
      </x:c>
      <x:c r="Z414" s="118" t="n">
        <x:v>0</x:v>
      </x:c>
      <x:c r="AA414" s="118" t="n">
        <x:v>0</x:v>
      </x:c>
      <x:c r="AB414" s="118" t="n">
        <x:v>0</x:v>
      </x:c>
      <x:c r="AC414" s="118" t="n">
        <x:v>0</x:v>
      </x:c>
    </x:row>
    <x:row r="415" ht="46" customHeight="1">
      <x:c r="A415" s="117" t="str">
        <x:v>3005b000000H4EMAA0</x:v>
      </x:c>
      <x:c r="B415" s="117" t="str">
        <x:v>PMT_Mass_update_Task_Assignee</x:v>
      </x:c>
      <x:c r="C415" s="117" t="str">
        <x:v>Yes</x:v>
      </x:c>
      <x:c r="D415" s="119" t="str">
        <x:v>Active v1 (Tooling metadata)</x:v>
      </x:c>
      <x:c r="E415" s="119" t="str"/>
      <x:c r="F415" s="119" t="str"/>
      <x:c r="G415" s="119" t="str"/>
      <x:c r="H415" s="119" t="str"/>
      <x:c r="I415" s="119" t="str"/>
      <x:c r="J415" s="119" t="str"/>
      <x:c r="K415" s="118" t="n">
        <x:v>0</x:v>
      </x:c>
      <x:c r="L415" s="118" t="n">
        <x:v>0</x:v>
      </x:c>
      <x:c r="M415" s="118" t="n">
        <x:v>0</x:v>
      </x:c>
      <x:c r="N415" s="118" t="n">
        <x:v>0</x:v>
      </x:c>
      <x:c r="O415" s="118" t="n">
        <x:v>0</x:v>
      </x:c>
      <x:c r="P415" s="118" t="n">
        <x:v>0</x:v>
      </x:c>
      <x:c r="Q415" s="118" t="n">
        <x:v>0</x:v>
      </x:c>
      <x:c r="R415" s="118" t="n">
        <x:v>0</x:v>
      </x:c>
      <x:c r="S415" s="118" t="n">
        <x:v>0</x:v>
      </x:c>
      <x:c r="T415" s="118" t="n">
        <x:v>0</x:v>
      </x:c>
      <x:c r="U415" s="118" t="n">
        <x:v>0</x:v>
      </x:c>
      <x:c r="V415" s="118" t="n">
        <x:v>0</x:v>
      </x:c>
      <x:c r="W415" s="118" t="n">
        <x:v>0</x:v>
      </x:c>
      <x:c r="X415" s="118" t="n">
        <x:v>0</x:v>
      </x:c>
      <x:c r="Y415" s="118" t="n">
        <x:v>0</x:v>
      </x:c>
      <x:c r="Z415" s="118" t="n">
        <x:v>0</x:v>
      </x:c>
      <x:c r="AA415" s="118" t="n">
        <x:v>0</x:v>
      </x:c>
      <x:c r="AB415" s="118" t="n">
        <x:v>0</x:v>
      </x:c>
      <x:c r="AC415" s="118" t="n">
        <x:v>0</x:v>
      </x:c>
    </x:row>
    <x:row r="416" ht="46" customHeight="1">
      <x:c r="A416" s="117" t="str">
        <x:v>3005b000000H4ENAA0</x:v>
      </x:c>
      <x:c r="B416" s="117" t="str">
        <x:v>PMT_Mass_update_Task_Status</x:v>
      </x:c>
      <x:c r="C416" s="117" t="str">
        <x:v>Yes</x:v>
      </x:c>
      <x:c r="D416" s="119" t="str">
        <x:v>Active v1 (Tooling metadata)</x:v>
      </x:c>
      <x:c r="E416" s="119" t="str"/>
      <x:c r="F416" s="119" t="str"/>
      <x:c r="G416" s="119" t="str"/>
      <x:c r="H416" s="119" t="str"/>
      <x:c r="I416" s="119" t="str"/>
      <x:c r="J416" s="119" t="str"/>
      <x:c r="K416" s="118" t="n">
        <x:v>0</x:v>
      </x:c>
      <x:c r="L416" s="118" t="n">
        <x:v>0</x:v>
      </x:c>
      <x:c r="M416" s="118" t="n">
        <x:v>0</x:v>
      </x:c>
      <x:c r="N416" s="118" t="n">
        <x:v>0</x:v>
      </x:c>
      <x:c r="O416" s="118" t="n">
        <x:v>0</x:v>
      </x:c>
      <x:c r="P416" s="118" t="n">
        <x:v>0</x:v>
      </x:c>
      <x:c r="Q416" s="118" t="n">
        <x:v>0</x:v>
      </x:c>
      <x:c r="R416" s="118" t="n">
        <x:v>0</x:v>
      </x:c>
      <x:c r="S416" s="118" t="n">
        <x:v>0</x:v>
      </x:c>
      <x:c r="T416" s="118" t="n">
        <x:v>0</x:v>
      </x:c>
      <x:c r="U416" s="118" t="n">
        <x:v>0</x:v>
      </x:c>
      <x:c r="V416" s="118" t="n">
        <x:v>0</x:v>
      </x:c>
      <x:c r="W416" s="118" t="n">
        <x:v>0</x:v>
      </x:c>
      <x:c r="X416" s="118" t="n">
        <x:v>0</x:v>
      </x:c>
      <x:c r="Y416" s="118" t="n">
        <x:v>0</x:v>
      </x:c>
      <x:c r="Z416" s="118" t="n">
        <x:v>0</x:v>
      </x:c>
      <x:c r="AA416" s="118" t="n">
        <x:v>0</x:v>
      </x:c>
      <x:c r="AB416" s="118" t="n">
        <x:v>0</x:v>
      </x:c>
      <x:c r="AC416" s="118" t="n">
        <x:v>0</x:v>
      </x:c>
    </x:row>
    <x:row r="417" ht="46" customHeight="1">
      <x:c r="A417" s="117" t="str">
        <x:v>3005b00000113aEAAQ</x:v>
      </x:c>
      <x:c r="B417" s="117" t="str">
        <x:v>PMT_Project_Templates</x:v>
      </x:c>
      <x:c r="C417" s="117" t="str">
        <x:v>Yes</x:v>
      </x:c>
      <x:c r="D417" s="119" t="str">
        <x:v>Active v1 (Tooling metadata)</x:v>
      </x:c>
      <x:c r="E417" s="119" t="str"/>
      <x:c r="F417" s="119" t="str"/>
      <x:c r="G417" s="119" t="str"/>
      <x:c r="H417" s="119" t="str"/>
      <x:c r="I417" s="119" t="str"/>
      <x:c r="J417" s="119" t="str"/>
      <x:c r="K417" s="118" t="n">
        <x:v>0</x:v>
      </x:c>
      <x:c r="L417" s="118" t="n">
        <x:v>0</x:v>
      </x:c>
      <x:c r="M417" s="118" t="n">
        <x:v>0</x:v>
      </x:c>
      <x:c r="N417" s="118" t="n">
        <x:v>0</x:v>
      </x:c>
      <x:c r="O417" s="118" t="n">
        <x:v>0</x:v>
      </x:c>
      <x:c r="P417" s="118" t="n">
        <x:v>0</x:v>
      </x:c>
      <x:c r="Q417" s="118" t="n">
        <x:v>0</x:v>
      </x:c>
      <x:c r="R417" s="118" t="n">
        <x:v>0</x:v>
      </x:c>
      <x:c r="S417" s="118" t="n">
        <x:v>0</x:v>
      </x:c>
      <x:c r="T417" s="118" t="n">
        <x:v>0</x:v>
      </x:c>
      <x:c r="U417" s="118" t="n">
        <x:v>0</x:v>
      </x:c>
      <x:c r="V417" s="118" t="n">
        <x:v>0</x:v>
      </x:c>
      <x:c r="W417" s="118" t="n">
        <x:v>0</x:v>
      </x:c>
      <x:c r="X417" s="118" t="n">
        <x:v>0</x:v>
      </x:c>
      <x:c r="Y417" s="118" t="n">
        <x:v>0</x:v>
      </x:c>
      <x:c r="Z417" s="118" t="n">
        <x:v>0</x:v>
      </x:c>
      <x:c r="AA417" s="118" t="n">
        <x:v>0</x:v>
      </x:c>
      <x:c r="AB417" s="118" t="n">
        <x:v>0</x:v>
      </x:c>
      <x:c r="AC417" s="118" t="n">
        <x:v>0</x:v>
      </x:c>
    </x:row>
    <x:row r="418" ht="46" customHeight="1">
      <x:c r="A418" s="117" t="str">
        <x:v>3005b000000H4EOAA0</x:v>
      </x:c>
      <x:c r="B418" s="117" t="str">
        <x:v>PMT_Update_Task_status_and_percentage_completion</x:v>
      </x:c>
      <x:c r="C418" s="117" t="str">
        <x:v>Yes</x:v>
      </x:c>
      <x:c r="D418" s="119" t="str">
        <x:v>Active v1 (Tooling metadata)</x:v>
      </x:c>
      <x:c r="E418" s="119" t="str"/>
      <x:c r="F418" s="119" t="str"/>
      <x:c r="G418" s="119" t="str"/>
      <x:c r="H418" s="119" t="str"/>
      <x:c r="I418" s="119" t="str"/>
      <x:c r="J418" s="119" t="str"/>
      <x:c r="K418" s="118" t="n">
        <x:v>0</x:v>
      </x:c>
      <x:c r="L418" s="118" t="n">
        <x:v>0</x:v>
      </x:c>
      <x:c r="M418" s="118" t="n">
        <x:v>0</x:v>
      </x:c>
      <x:c r="N418" s="118" t="n">
        <x:v>0</x:v>
      </x:c>
      <x:c r="O418" s="118" t="n">
        <x:v>0</x:v>
      </x:c>
      <x:c r="P418" s="118" t="n">
        <x:v>0</x:v>
      </x:c>
      <x:c r="Q418" s="118" t="n">
        <x:v>0</x:v>
      </x:c>
      <x:c r="R418" s="118" t="n">
        <x:v>0</x:v>
      </x:c>
      <x:c r="S418" s="118" t="n">
        <x:v>0</x:v>
      </x:c>
      <x:c r="T418" s="118" t="n">
        <x:v>0</x:v>
      </x:c>
      <x:c r="U418" s="118" t="n">
        <x:v>0</x:v>
      </x:c>
      <x:c r="V418" s="118" t="n">
        <x:v>0</x:v>
      </x:c>
      <x:c r="W418" s="118" t="n">
        <x:v>0</x:v>
      </x:c>
      <x:c r="X418" s="118" t="n">
        <x:v>0</x:v>
      </x:c>
      <x:c r="Y418" s="118" t="n">
        <x:v>0</x:v>
      </x:c>
      <x:c r="Z418" s="118" t="n">
        <x:v>0</x:v>
      </x:c>
      <x:c r="AA418" s="118" t="n">
        <x:v>0</x:v>
      </x:c>
      <x:c r="AB418" s="118" t="n">
        <x:v>0</x:v>
      </x:c>
      <x:c r="AC418" s="118" t="n">
        <x:v>0</x:v>
      </x:c>
    </x:row>
    <x:row r="419" ht="46" customHeight="1">
      <x:c r="A419" s="117" t="str">
        <x:v>3005b000000LHRgAAO</x:v>
      </x:c>
      <x:c r="B419" s="117" t="str">
        <x:v>PO_Bill_Automations</x:v>
      </x:c>
      <x:c r="C419" s="117" t="str">
        <x:v>Yes</x:v>
      </x:c>
      <x:c r="D419" s="119" t="str">
        <x:v>Active v1 (Tooling metadata)</x:v>
      </x:c>
      <x:c r="E419" s="119" t="str"/>
      <x:c r="F419" s="119" t="str">
        <x:v>PO_Bill__c</x:v>
      </x:c>
      <x:c r="G419" s="119" t="str">
        <x:v>Id, Item_Receipt__c, Item_Receipt__r, Opportunity__c, PO_Bill_Amount__c, PO_Bill__c</x:v>
      </x:c>
      <x:c r="H419" s="119" t="str"/>
      <x:c r="I419" s="119" t="str"/>
      <x:c r="J419" s="119" t="str"/>
      <x:c r="K419" s="118" t="n">
        <x:v>4</x:v>
      </x:c>
      <x:c r="L419" s="118" t="n">
        <x:v>0</x:v>
      </x:c>
      <x:c r="M419" s="118" t="n">
        <x:v>0</x:v>
      </x:c>
      <x:c r="N419" s="118" t="n">
        <x:v>0</x:v>
      </x:c>
      <x:c r="O419" s="118" t="n">
        <x:v>0</x:v>
      </x:c>
      <x:c r="P419" s="118" t="n">
        <x:v>0</x:v>
      </x:c>
      <x:c r="Q419" s="118" t="n">
        <x:v>1</x:v>
      </x:c>
      <x:c r="R419" s="118" t="n">
        <x:v>0</x:v>
      </x:c>
      <x:c r="S419" s="118" t="n">
        <x:v>0</x:v>
      </x:c>
      <x:c r="T419" s="118" t="n">
        <x:v>0</x:v>
      </x:c>
      <x:c r="U419" s="118" t="n">
        <x:v>0</x:v>
      </x:c>
      <x:c r="V419" s="118" t="n">
        <x:v>0</x:v>
      </x:c>
      <x:c r="W419" s="118" t="n">
        <x:v>0</x:v>
      </x:c>
      <x:c r="X419" s="118" t="n">
        <x:v>2</x:v>
      </x:c>
      <x:c r="Y419" s="118" t="n">
        <x:v>0</x:v>
      </x:c>
      <x:c r="Z419" s="118" t="n">
        <x:v>0</x:v>
      </x:c>
      <x:c r="AA419" s="118" t="n">
        <x:v>0</x:v>
      </x:c>
      <x:c r="AB419" s="118" t="n">
        <x:v>0</x:v>
      </x:c>
      <x:c r="AC419" s="118" t="n">
        <x:v>0</x:v>
      </x:c>
    </x:row>
    <x:row r="420" ht="46" customHeight="1">
      <x:c r="A420" s="117" t="str">
        <x:v>300Ro00000KtsfTIAR</x:v>
      </x:c>
      <x:c r="B420" s="117" t="str">
        <x:v>PO_Bill_Prevent_Deletion</x:v>
      </x:c>
      <x:c r="C420" s="117" t="str">
        <x:v>Yes</x:v>
      </x:c>
      <x:c r="D420" s="119" t="str">
        <x:v>Active v1 (Retrieved XML)</x:v>
      </x:c>
      <x:c r="E420" s="119" t="str"/>
      <x:c r="F420" s="119" t="str">
        <x:v>PO_Bill__c</x:v>
      </x:c>
      <x:c r="G420" s="119" t="str">
        <x:v>Intacct_AP_Bill_Sync_Status__c</x:v>
      </x:c>
      <x:c r="H420" s="119" t="str"/>
      <x:c r="I420" s="119" t="str"/>
      <x:c r="J420" s="119" t="str"/>
      <x:c r="K420" s="118" t="n">
        <x:v>3</x:v>
      </x:c>
      <x:c r="L420" s="118" t="n">
        <x:v>0</x:v>
      </x:c>
      <x:c r="M420" s="118" t="n">
        <x:v>0</x:v>
      </x:c>
      <x:c r="N420" s="118" t="n">
        <x:v>0</x:v>
      </x:c>
      <x:c r="O420" s="118" t="n">
        <x:v>0</x:v>
      </x:c>
      <x:c r="P420" s="118" t="n">
        <x:v>1</x:v>
      </x:c>
      <x:c r="Q420" s="118" t="n">
        <x:v>1</x:v>
      </x:c>
      <x:c r="R420" s="118" t="n">
        <x:v>0</x:v>
      </x:c>
      <x:c r="S420" s="118" t="n">
        <x:v>0</x:v>
      </x:c>
      <x:c r="T420" s="118" t="n">
        <x:v>0</x:v>
      </x:c>
      <x:c r="U420" s="118" t="n">
        <x:v>0</x:v>
      </x:c>
      <x:c r="V420" s="118" t="n">
        <x:v>0</x:v>
      </x:c>
      <x:c r="W420" s="118" t="n">
        <x:v>0</x:v>
      </x:c>
      <x:c r="X420" s="118" t="n">
        <x:v>0</x:v>
      </x:c>
      <x:c r="Y420" s="118" t="n">
        <x:v>0</x:v>
      </x:c>
      <x:c r="Z420" s="118" t="n">
        <x:v>0</x:v>
      </x:c>
      <x:c r="AA420" s="118" t="n">
        <x:v>0</x:v>
      </x:c>
      <x:c r="AB420" s="118" t="n">
        <x:v>0</x:v>
      </x:c>
      <x:c r="AC420" s="118" t="n">
        <x:v>0</x:v>
      </x:c>
    </x:row>
    <x:row r="421" ht="46" customHeight="1">
      <x:c r="A421" s="117" t="str">
        <x:v>300Ro00000k2kfNIAQ</x:v>
      </x:c>
      <x:c r="B421" s="117" t="str">
        <x:v>PO_Bill_Resync_if_error_is_received</x:v>
      </x:c>
      <x:c r="C421" s="117" t="str">
        <x:v>Yes</x:v>
      </x:c>
      <x:c r="D421" s="119" t="str">
        <x:v>Active v2 (Retrieved XML)</x:v>
      </x:c>
      <x:c r="E421" s="119" t="str">
        <x:v>Intacct_AP_Bill_Sync_Status__c EqualTo stringValue=Error | Intacct_AP_Bill_Timestamp__c GreaterThan dateTimeValue=2025-10-20T04:00:00.000Z</x:v>
      </x:c>
      <x:c r="F421" s="119" t="str">
        <x:v>PO_Bill__c</x:v>
      </x:c>
      <x:c r="G421" s="119" t="str">
        <x:v>GL_Posting_Date__c, Intacct_AP_Bill_Error_Message__c, Intacct_AP_Bill_Sync_Status__c, Intacct_AP_Bill_Timestamp__c</x:v>
      </x:c>
      <x:c r="H421" s="119" t="str"/>
      <x:c r="I421" s="119" t="str"/>
      <x:c r="J421" s="119" t="str"/>
      <x:c r="K421" s="118" t="n">
        <x:v>3</x:v>
      </x:c>
      <x:c r="L421" s="118" t="n">
        <x:v>0</x:v>
      </x:c>
      <x:c r="M421" s="118" t="n">
        <x:v>0</x:v>
      </x:c>
      <x:c r="N421" s="118" t="n">
        <x:v>0</x:v>
      </x:c>
      <x:c r="O421" s="118" t="n">
        <x:v>0</x:v>
      </x:c>
      <x:c r="P421" s="118" t="n">
        <x:v>0</x:v>
      </x:c>
      <x:c r="Q421" s="118" t="n">
        <x:v>1</x:v>
      </x:c>
      <x:c r="R421" s="118" t="n">
        <x:v>0</x:v>
      </x:c>
      <x:c r="S421" s="118" t="n">
        <x:v>0</x:v>
      </x:c>
      <x:c r="T421" s="118" t="n">
        <x:v>0</x:v>
      </x:c>
      <x:c r="U421" s="118" t="n">
        <x:v>0</x:v>
      </x:c>
      <x:c r="V421" s="118" t="n">
        <x:v>0</x:v>
      </x:c>
      <x:c r="W421" s="118" t="n">
        <x:v>0</x:v>
      </x:c>
      <x:c r="X421" s="118" t="n">
        <x:v>1</x:v>
      </x:c>
      <x:c r="Y421" s="118" t="n">
        <x:v>0</x:v>
      </x:c>
      <x:c r="Z421" s="118" t="n">
        <x:v>0</x:v>
      </x:c>
      <x:c r="AA421" s="118" t="n">
        <x:v>0</x:v>
      </x:c>
      <x:c r="AB421" s="118" t="n">
        <x:v>0</x:v>
      </x:c>
      <x:c r="AC421" s="118" t="n">
        <x:v>0</x:v>
      </x:c>
    </x:row>
    <x:row r="422" ht="46" customHeight="1">
      <x:c r="A422" s="117" t="str">
        <x:v>300Ro00000MYUv7IAH</x:v>
      </x:c>
      <x:c r="B422" s="117" t="str">
        <x:v>Prevent_Deletion_Credit_Memo</x:v>
      </x:c>
      <x:c r="C422" s="117" t="str">
        <x:v>No</x:v>
      </x:c>
      <x:c r="D422" s="119" t="str">
        <x:v>Latest inactive v1 (Retrieved XML)</x:v>
      </x:c>
      <x:c r="E422" s="119" t="str"/>
      <x:c r="F422" s="119" t="str">
        <x:v>Credit_Memo__c</x:v>
      </x:c>
      <x:c r="G422" s="119" t="str">
        <x:v>Intacct_Credit_Memo_Sync_Status__c</x:v>
      </x:c>
      <x:c r="H422" s="119" t="str"/>
      <x:c r="I422" s="119" t="str"/>
      <x:c r="J422" s="119" t="str"/>
      <x:c r="K422" s="118" t="n">
        <x:v>3</x:v>
      </x:c>
      <x:c r="L422" s="118" t="n">
        <x:v>0</x:v>
      </x:c>
      <x:c r="M422" s="118" t="n">
        <x:v>0</x:v>
      </x:c>
      <x:c r="N422" s="118" t="n">
        <x:v>0</x:v>
      </x:c>
      <x:c r="O422" s="118" t="n">
        <x:v>0</x:v>
      </x:c>
      <x:c r="P422" s="118" t="n">
        <x:v>1</x:v>
      </x:c>
      <x:c r="Q422" s="118" t="n">
        <x:v>1</x:v>
      </x:c>
      <x:c r="R422" s="118" t="n">
        <x:v>0</x:v>
      </x:c>
      <x:c r="S422" s="118" t="n">
        <x:v>0</x:v>
      </x:c>
      <x:c r="T422" s="118" t="n">
        <x:v>0</x:v>
      </x:c>
      <x:c r="U422" s="118" t="n">
        <x:v>0</x:v>
      </x:c>
      <x:c r="V422" s="118" t="n">
        <x:v>0</x:v>
      </x:c>
      <x:c r="W422" s="118" t="n">
        <x:v>0</x:v>
      </x:c>
      <x:c r="X422" s="118" t="n">
        <x:v>0</x:v>
      </x:c>
      <x:c r="Y422" s="118" t="n">
        <x:v>0</x:v>
      </x:c>
      <x:c r="Z422" s="118" t="n">
        <x:v>0</x:v>
      </x:c>
      <x:c r="AA422" s="118" t="n">
        <x:v>0</x:v>
      </x:c>
      <x:c r="AB422" s="118" t="n">
        <x:v>0</x:v>
      </x:c>
      <x:c r="AC422" s="118" t="n">
        <x:v>0</x:v>
      </x:c>
    </x:row>
    <x:row r="423" ht="46" customHeight="1">
      <x:c r="A423" s="117" t="str">
        <x:v>300Ro00000MYUv8IAH</x:v>
      </x:c>
      <x:c r="B423" s="117" t="str">
        <x:v>Prevent_Deletion_Debit_Memo</x:v>
      </x:c>
      <x:c r="C423" s="117" t="str">
        <x:v>No</x:v>
      </x:c>
      <x:c r="D423" s="119" t="str">
        <x:v>Latest inactive v1 (Retrieved XML)</x:v>
      </x:c>
      <x:c r="E423" s="119" t="str"/>
      <x:c r="F423" s="119" t="str">
        <x:v>Debit_Memos__c</x:v>
      </x:c>
      <x:c r="G423" s="119" t="str">
        <x:v>Intacct_Debit_Memo_Sync_Status__c</x:v>
      </x:c>
      <x:c r="H423" s="119" t="str"/>
      <x:c r="I423" s="119" t="str"/>
      <x:c r="J423" s="119" t="str"/>
      <x:c r="K423" s="118" t="n">
        <x:v>3</x:v>
      </x:c>
      <x:c r="L423" s="118" t="n">
        <x:v>0</x:v>
      </x:c>
      <x:c r="M423" s="118" t="n">
        <x:v>0</x:v>
      </x:c>
      <x:c r="N423" s="118" t="n">
        <x:v>0</x:v>
      </x:c>
      <x:c r="O423" s="118" t="n">
        <x:v>0</x:v>
      </x:c>
      <x:c r="P423" s="118" t="n">
        <x:v>1</x:v>
      </x:c>
      <x:c r="Q423" s="118" t="n">
        <x:v>1</x:v>
      </x:c>
      <x:c r="R423" s="118" t="n">
        <x:v>0</x:v>
      </x:c>
      <x:c r="S423" s="118" t="n">
        <x:v>0</x:v>
      </x:c>
      <x:c r="T423" s="118" t="n">
        <x:v>0</x:v>
      </x:c>
      <x:c r="U423" s="118" t="n">
        <x:v>0</x:v>
      </x:c>
      <x:c r="V423" s="118" t="n">
        <x:v>0</x:v>
      </x:c>
      <x:c r="W423" s="118" t="n">
        <x:v>0</x:v>
      </x:c>
      <x:c r="X423" s="118" t="n">
        <x:v>0</x:v>
      </x:c>
      <x:c r="Y423" s="118" t="n">
        <x:v>0</x:v>
      </x:c>
      <x:c r="Z423" s="118" t="n">
        <x:v>0</x:v>
      </x:c>
      <x:c r="AA423" s="118" t="n">
        <x:v>0</x:v>
      </x:c>
      <x:c r="AB423" s="118" t="n">
        <x:v>0</x:v>
      </x:c>
      <x:c r="AC423" s="118" t="n">
        <x:v>0</x:v>
      </x:c>
    </x:row>
    <x:row r="424" ht="46" customHeight="1">
      <x:c r="A424" s="117" t="str">
        <x:v>300Ro00000MYUv9IAH</x:v>
      </x:c>
      <x:c r="B424" s="117" t="str">
        <x:v>Prevent_Deletion_Inventory_Adjustment</x:v>
      </x:c>
      <x:c r="C424" s="117" t="str">
        <x:v>No</x:v>
      </x:c>
      <x:c r="D424" s="119" t="str">
        <x:v>Latest inactive v1 (Retrieved XML)</x:v>
      </x:c>
      <x:c r="E424" s="119" t="str"/>
      <x:c r="F424" s="119" t="str">
        <x:v>Inventory_Adjustment__c</x:v>
      </x:c>
      <x:c r="G424" s="119" t="str">
        <x:v>Intacct_Inv_Adjustment_Sync_Status__c</x:v>
      </x:c>
      <x:c r="H424" s="119" t="str"/>
      <x:c r="I424" s="119" t="str"/>
      <x:c r="J424" s="119" t="str"/>
      <x:c r="K424" s="118" t="n">
        <x:v>3</x:v>
      </x:c>
      <x:c r="L424" s="118" t="n">
        <x:v>0</x:v>
      </x:c>
      <x:c r="M424" s="118" t="n">
        <x:v>0</x:v>
      </x:c>
      <x:c r="N424" s="118" t="n">
        <x:v>0</x:v>
      </x:c>
      <x:c r="O424" s="118" t="n">
        <x:v>0</x:v>
      </x:c>
      <x:c r="P424" s="118" t="n">
        <x:v>1</x:v>
      </x:c>
      <x:c r="Q424" s="118" t="n">
        <x:v>1</x:v>
      </x:c>
      <x:c r="R424" s="118" t="n">
        <x:v>0</x:v>
      </x:c>
      <x:c r="S424" s="118" t="n">
        <x:v>0</x:v>
      </x:c>
      <x:c r="T424" s="118" t="n">
        <x:v>0</x:v>
      </x:c>
      <x:c r="U424" s="118" t="n">
        <x:v>0</x:v>
      </x:c>
      <x:c r="V424" s="118" t="n">
        <x:v>0</x:v>
      </x:c>
      <x:c r="W424" s="118" t="n">
        <x:v>0</x:v>
      </x:c>
      <x:c r="X424" s="118" t="n">
        <x:v>0</x:v>
      </x:c>
      <x:c r="Y424" s="118" t="n">
        <x:v>0</x:v>
      </x:c>
      <x:c r="Z424" s="118" t="n">
        <x:v>0</x:v>
      </x:c>
      <x:c r="AA424" s="118" t="n">
        <x:v>0</x:v>
      </x:c>
      <x:c r="AB424" s="118" t="n">
        <x:v>0</x:v>
      </x:c>
      <x:c r="AC424" s="118" t="n">
        <x:v>0</x:v>
      </x:c>
    </x:row>
    <x:row r="425" ht="46" customHeight="1">
      <x:c r="A425" s="117" t="str">
        <x:v>300Ro00000MYUvAIAX</x:v>
      </x:c>
      <x:c r="B425" s="117" t="str">
        <x:v>Prevent_Deletion_Invoice</x:v>
      </x:c>
      <x:c r="C425" s="117" t="str">
        <x:v>No</x:v>
      </x:c>
      <x:c r="D425" s="119" t="str">
        <x:v>Latest inactive v1 (Retrieved XML)</x:v>
      </x:c>
      <x:c r="E425" s="119" t="str"/>
      <x:c r="F425" s="119" t="str">
        <x:v>Invoice__c</x:v>
      </x:c>
      <x:c r="G425" s="119" t="str">
        <x:v>Intacct_Invoice_Sync_Status__c</x:v>
      </x:c>
      <x:c r="H425" s="119" t="str"/>
      <x:c r="I425" s="119" t="str"/>
      <x:c r="J425" s="119" t="str"/>
      <x:c r="K425" s="118" t="n">
        <x:v>3</x:v>
      </x:c>
      <x:c r="L425" s="118" t="n">
        <x:v>0</x:v>
      </x:c>
      <x:c r="M425" s="118" t="n">
        <x:v>0</x:v>
      </x:c>
      <x:c r="N425" s="118" t="n">
        <x:v>0</x:v>
      </x:c>
      <x:c r="O425" s="118" t="n">
        <x:v>0</x:v>
      </x:c>
      <x:c r="P425" s="118" t="n">
        <x:v>1</x:v>
      </x:c>
      <x:c r="Q425" s="118" t="n">
        <x:v>1</x:v>
      </x:c>
      <x:c r="R425" s="118" t="n">
        <x:v>0</x:v>
      </x:c>
      <x:c r="S425" s="118" t="n">
        <x:v>0</x:v>
      </x:c>
      <x:c r="T425" s="118" t="n">
        <x:v>0</x:v>
      </x:c>
      <x:c r="U425" s="118" t="n">
        <x:v>0</x:v>
      </x:c>
      <x:c r="V425" s="118" t="n">
        <x:v>0</x:v>
      </x:c>
      <x:c r="W425" s="118" t="n">
        <x:v>0</x:v>
      </x:c>
      <x:c r="X425" s="118" t="n">
        <x:v>0</x:v>
      </x:c>
      <x:c r="Y425" s="118" t="n">
        <x:v>0</x:v>
      </x:c>
      <x:c r="Z425" s="118" t="n">
        <x:v>0</x:v>
      </x:c>
      <x:c r="AA425" s="118" t="n">
        <x:v>0</x:v>
      </x:c>
      <x:c r="AB425" s="118" t="n">
        <x:v>0</x:v>
      </x:c>
      <x:c r="AC425" s="118" t="n">
        <x:v>0</x:v>
      </x:c>
    </x:row>
    <x:row r="426" ht="46" customHeight="1">
      <x:c r="A426" s="117" t="str">
        <x:v>300Ro00000MYUvBIAX</x:v>
      </x:c>
      <x:c r="B426" s="117" t="str">
        <x:v>Prevent_Deletion_Item_Receipt</x:v>
      </x:c>
      <x:c r="C426" s="117" t="str">
        <x:v>No</x:v>
      </x:c>
      <x:c r="D426" s="119" t="str">
        <x:v>Latest inactive v1 (Retrieved XML)</x:v>
      </x:c>
      <x:c r="E426" s="119" t="str"/>
      <x:c r="F426" s="119" t="str">
        <x:v>Item_Receipt__c</x:v>
      </x:c>
      <x:c r="G426" s="119" t="str">
        <x:v>Intacct_Receipt_Sync_Status__c</x:v>
      </x:c>
      <x:c r="H426" s="119" t="str"/>
      <x:c r="I426" s="119" t="str"/>
      <x:c r="J426" s="119" t="str"/>
      <x:c r="K426" s="118" t="n">
        <x:v>3</x:v>
      </x:c>
      <x:c r="L426" s="118" t="n">
        <x:v>0</x:v>
      </x:c>
      <x:c r="M426" s="118" t="n">
        <x:v>0</x:v>
      </x:c>
      <x:c r="N426" s="118" t="n">
        <x:v>0</x:v>
      </x:c>
      <x:c r="O426" s="118" t="n">
        <x:v>0</x:v>
      </x:c>
      <x:c r="P426" s="118" t="n">
        <x:v>1</x:v>
      </x:c>
      <x:c r="Q426" s="118" t="n">
        <x:v>1</x:v>
      </x:c>
      <x:c r="R426" s="118" t="n">
        <x:v>0</x:v>
      </x:c>
      <x:c r="S426" s="118" t="n">
        <x:v>0</x:v>
      </x:c>
      <x:c r="T426" s="118" t="n">
        <x:v>0</x:v>
      </x:c>
      <x:c r="U426" s="118" t="n">
        <x:v>0</x:v>
      </x:c>
      <x:c r="V426" s="118" t="n">
        <x:v>0</x:v>
      </x:c>
      <x:c r="W426" s="118" t="n">
        <x:v>0</x:v>
      </x:c>
      <x:c r="X426" s="118" t="n">
        <x:v>0</x:v>
      </x:c>
      <x:c r="Y426" s="118" t="n">
        <x:v>0</x:v>
      </x:c>
      <x:c r="Z426" s="118" t="n">
        <x:v>0</x:v>
      </x:c>
      <x:c r="AA426" s="118" t="n">
        <x:v>0</x:v>
      </x:c>
      <x:c r="AB426" s="118" t="n">
        <x:v>0</x:v>
      </x:c>
      <x:c r="AC426" s="118" t="n">
        <x:v>0</x:v>
      </x:c>
    </x:row>
    <x:row r="427" ht="46" customHeight="1">
      <x:c r="A427" s="117" t="str">
        <x:v>300Ro00000MYUvCIAX</x:v>
      </x:c>
      <x:c r="B427" s="117" t="str">
        <x:v>Prevent_Deletion_Opportunity</x:v>
      </x:c>
      <x:c r="C427" s="117" t="str">
        <x:v>No</x:v>
      </x:c>
      <x:c r="D427" s="119" t="str">
        <x:v>Latest inactive v1 (Retrieved XML)</x:v>
      </x:c>
      <x:c r="E427" s="119" t="str"/>
      <x:c r="F427" s="119" t="str">
        <x:v>Opportunity</x:v>
      </x:c>
      <x:c r="G427" s="119" t="str">
        <x:v>Intacct_Shipper_Sync_Status__c</x:v>
      </x:c>
      <x:c r="H427" s="119" t="str"/>
      <x:c r="I427" s="119" t="str"/>
      <x:c r="J427" s="119" t="str"/>
      <x:c r="K427" s="118" t="n">
        <x:v>3</x:v>
      </x:c>
      <x:c r="L427" s="118" t="n">
        <x:v>0</x:v>
      </x:c>
      <x:c r="M427" s="118" t="n">
        <x:v>0</x:v>
      </x:c>
      <x:c r="N427" s="118" t="n">
        <x:v>0</x:v>
      </x:c>
      <x:c r="O427" s="118" t="n">
        <x:v>0</x:v>
      </x:c>
      <x:c r="P427" s="118" t="n">
        <x:v>1</x:v>
      </x:c>
      <x:c r="Q427" s="118" t="n">
        <x:v>1</x:v>
      </x:c>
      <x:c r="R427" s="118" t="n">
        <x:v>0</x:v>
      </x:c>
      <x:c r="S427" s="118" t="n">
        <x:v>0</x:v>
      </x:c>
      <x:c r="T427" s="118" t="n">
        <x:v>0</x:v>
      </x:c>
      <x:c r="U427" s="118" t="n">
        <x:v>0</x:v>
      </x:c>
      <x:c r="V427" s="118" t="n">
        <x:v>0</x:v>
      </x:c>
      <x:c r="W427" s="118" t="n">
        <x:v>0</x:v>
      </x:c>
      <x:c r="X427" s="118" t="n">
        <x:v>0</x:v>
      </x:c>
      <x:c r="Y427" s="118" t="n">
        <x:v>0</x:v>
      </x:c>
      <x:c r="Z427" s="118" t="n">
        <x:v>0</x:v>
      </x:c>
      <x:c r="AA427" s="118" t="n">
        <x:v>0</x:v>
      </x:c>
      <x:c r="AB427" s="118" t="n">
        <x:v>0</x:v>
      </x:c>
      <x:c r="AC427" s="118" t="n">
        <x:v>0</x:v>
      </x:c>
    </x:row>
    <x:row r="428" ht="46" customHeight="1">
      <x:c r="A428" s="117" t="str">
        <x:v>300Ro00000MYUvDIAX</x:v>
      </x:c>
      <x:c r="B428" s="117" t="str">
        <x:v>Prevent_Deletion_Purchasing_Return</x:v>
      </x:c>
      <x:c r="C428" s="117" t="str">
        <x:v>No</x:v>
      </x:c>
      <x:c r="D428" s="119" t="str">
        <x:v>Latest inactive v1 (Retrieved XML)</x:v>
      </x:c>
      <x:c r="E428" s="119" t="str"/>
      <x:c r="F428" s="119" t="str">
        <x:v>Purchasing_Return__c</x:v>
      </x:c>
      <x:c r="G428" s="119" t="str">
        <x:v>Intacct_PO_Return_Sync_Status__c</x:v>
      </x:c>
      <x:c r="H428" s="119" t="str"/>
      <x:c r="I428" s="119" t="str"/>
      <x:c r="J428" s="119" t="str"/>
      <x:c r="K428" s="118" t="n">
        <x:v>3</x:v>
      </x:c>
      <x:c r="L428" s="118" t="n">
        <x:v>0</x:v>
      </x:c>
      <x:c r="M428" s="118" t="n">
        <x:v>0</x:v>
      </x:c>
      <x:c r="N428" s="118" t="n">
        <x:v>0</x:v>
      </x:c>
      <x:c r="O428" s="118" t="n">
        <x:v>0</x:v>
      </x:c>
      <x:c r="P428" s="118" t="n">
        <x:v>1</x:v>
      </x:c>
      <x:c r="Q428" s="118" t="n">
        <x:v>1</x:v>
      </x:c>
      <x:c r="R428" s="118" t="n">
        <x:v>0</x:v>
      </x:c>
      <x:c r="S428" s="118" t="n">
        <x:v>0</x:v>
      </x:c>
      <x:c r="T428" s="118" t="n">
        <x:v>0</x:v>
      </x:c>
      <x:c r="U428" s="118" t="n">
        <x:v>0</x:v>
      </x:c>
      <x:c r="V428" s="118" t="n">
        <x:v>0</x:v>
      </x:c>
      <x:c r="W428" s="118" t="n">
        <x:v>0</x:v>
      </x:c>
      <x:c r="X428" s="118" t="n">
        <x:v>0</x:v>
      </x:c>
      <x:c r="Y428" s="118" t="n">
        <x:v>0</x:v>
      </x:c>
      <x:c r="Z428" s="118" t="n">
        <x:v>0</x:v>
      </x:c>
      <x:c r="AA428" s="118" t="n">
        <x:v>0</x:v>
      </x:c>
      <x:c r="AB428" s="118" t="n">
        <x:v>0</x:v>
      </x:c>
      <x:c r="AC428" s="118" t="n">
        <x:v>0</x:v>
      </x:c>
    </x:row>
    <x:row r="429" ht="46" customHeight="1">
      <x:c r="A429" s="117" t="str">
        <x:v>300Ro00000MYUvEIAX</x:v>
      </x:c>
      <x:c r="B429" s="117" t="str">
        <x:v>Prevent_Deletion_RMA</x:v>
      </x:c>
      <x:c r="C429" s="117" t="str">
        <x:v>No</x:v>
      </x:c>
      <x:c r="D429" s="119" t="str">
        <x:v>Latest inactive v1 (Retrieved XML)</x:v>
      </x:c>
      <x:c r="E429" s="119" t="str"/>
      <x:c r="F429" s="119" t="str">
        <x:v>RMA__c</x:v>
      </x:c>
      <x:c r="G429" s="119" t="str">
        <x:v>Intacct_RMA_Sync_Status__c</x:v>
      </x:c>
      <x:c r="H429" s="119" t="str"/>
      <x:c r="I429" s="119" t="str"/>
      <x:c r="J429" s="119" t="str"/>
      <x:c r="K429" s="118" t="n">
        <x:v>3</x:v>
      </x:c>
      <x:c r="L429" s="118" t="n">
        <x:v>0</x:v>
      </x:c>
      <x:c r="M429" s="118" t="n">
        <x:v>0</x:v>
      </x:c>
      <x:c r="N429" s="118" t="n">
        <x:v>0</x:v>
      </x:c>
      <x:c r="O429" s="118" t="n">
        <x:v>0</x:v>
      </x:c>
      <x:c r="P429" s="118" t="n">
        <x:v>1</x:v>
      </x:c>
      <x:c r="Q429" s="118" t="n">
        <x:v>1</x:v>
      </x:c>
      <x:c r="R429" s="118" t="n">
        <x:v>0</x:v>
      </x:c>
      <x:c r="S429" s="118" t="n">
        <x:v>0</x:v>
      </x:c>
      <x:c r="T429" s="118" t="n">
        <x:v>0</x:v>
      </x:c>
      <x:c r="U429" s="118" t="n">
        <x:v>0</x:v>
      </x:c>
      <x:c r="V429" s="118" t="n">
        <x:v>0</x:v>
      </x:c>
      <x:c r="W429" s="118" t="n">
        <x:v>0</x:v>
      </x:c>
      <x:c r="X429" s="118" t="n">
        <x:v>0</x:v>
      </x:c>
      <x:c r="Y429" s="118" t="n">
        <x:v>0</x:v>
      </x:c>
      <x:c r="Z429" s="118" t="n">
        <x:v>0</x:v>
      </x:c>
      <x:c r="AA429" s="118" t="n">
        <x:v>0</x:v>
      </x:c>
      <x:c r="AB429" s="118" t="n">
        <x:v>0</x:v>
      </x:c>
      <x:c r="AC429" s="118" t="n">
        <x:v>0</x:v>
      </x:c>
    </x:row>
    <x:row r="430" ht="46" customHeight="1">
      <x:c r="A430" s="117" t="str">
        <x:v>3005b000000Pz5KAAS</x:v>
      </x:c>
      <x:c r="B430" s="117" t="str">
        <x:v>Pricing_Request_Response_Notification_Flow</x:v>
      </x:c>
      <x:c r="C430" s="117" t="str">
        <x:v>Yes</x:v>
      </x:c>
      <x:c r="D430" s="119" t="str">
        <x:v>Active v9 (Retrieved XML)</x:v>
      </x:c>
      <x:c r="E430" s="119" t="str"/>
      <x:c r="F430" s="119" t="str">
        <x:v>Pricing_Request_Response__c</x:v>
      </x:c>
      <x:c r="G430" s="119" t="str">
        <x:v>Condition__c, CreatedBy, Lead_Time__c, Notes__c, Outright_Exchange__c, Pricing_Request__r, Vendor_Name__r, Vendor_Quote__c, Warranty__c</x:v>
      </x:c>
      <x:c r="H430" s="119" t="str">
        <x:v>emailSimple</x:v>
      </x:c>
      <x:c r="I430" s="119" t="str"/>
      <x:c r="J430" s="119" t="str"/>
      <x:c r="K430" s="118" t="n">
        <x:v>5</x:v>
      </x:c>
      <x:c r="L430" s="118" t="n">
        <x:v>2</x:v>
      </x:c>
      <x:c r="M430" s="118" t="n">
        <x:v>0</x:v>
      </x:c>
      <x:c r="N430" s="118" t="n">
        <x:v>1</x:v>
      </x:c>
      <x:c r="O430" s="118" t="n">
        <x:v>0</x:v>
      </x:c>
      <x:c r="P430" s="118" t="n">
        <x:v>0</x:v>
      </x:c>
      <x:c r="Q430" s="118" t="n">
        <x:v>1</x:v>
      </x:c>
      <x:c r="R430" s="118" t="n">
        <x:v>0</x:v>
      </x:c>
      <x:c r="S430" s="118" t="n">
        <x:v>0</x:v>
      </x:c>
      <x:c r="T430" s="118" t="n">
        <x:v>0</x:v>
      </x:c>
      <x:c r="U430" s="118" t="n">
        <x:v>0</x:v>
      </x:c>
      <x:c r="V430" s="118" t="n">
        <x:v>0</x:v>
      </x:c>
      <x:c r="W430" s="118" t="n">
        <x:v>0</x:v>
      </x:c>
      <x:c r="X430" s="118" t="n">
        <x:v>0</x:v>
      </x:c>
      <x:c r="Y430" s="118" t="n">
        <x:v>0</x:v>
      </x:c>
      <x:c r="Z430" s="118" t="n">
        <x:v>0</x:v>
      </x:c>
      <x:c r="AA430" s="118" t="n">
        <x:v>0</x:v>
      </x:c>
      <x:c r="AB430" s="118" t="n">
        <x:v>0</x:v>
      </x:c>
      <x:c r="AC430" s="118" t="n">
        <x:v>0</x:v>
      </x:c>
    </x:row>
    <x:row r="431" ht="46" customHeight="1">
      <x:c r="A431" s="117" t="str">
        <x:v>300Ro00000VLr5uIAD</x:v>
      </x:c>
      <x:c r="B431" s="117" t="str">
        <x:v>Pricing_Request_Trigger_Update_Req_Opp_WO_SA</x:v>
      </x:c>
      <x:c r="C431" s="117" t="str">
        <x:v>Yes</x:v>
      </x:c>
      <x:c r="D431" s="119" t="str">
        <x:v>Active v1 (Retrieved XML)</x:v>
      </x:c>
      <x:c r="E431" s="119" t="str"/>
      <x:c r="F431" s="119" t="str">
        <x:v>Opportunity, Pricing_Request__c</x:v>
      </x:c>
      <x:c r="G431" s="119" t="str">
        <x:v>Id, Related_Work_Order__c, Requesting_Opportunity__c, Requesting_Opportunity__r, Requesting_Work_Order__c, Requesting_Work_Order__r, Service_Appointment__c, Service_Appointment__r</x:v>
      </x:c>
      <x:c r="H431" s="119" t="str"/>
      <x:c r="I431" s="119" t="str"/>
      <x:c r="J431" s="119" t="str"/>
      <x:c r="K431" s="118" t="n">
        <x:v>4</x:v>
      </x:c>
      <x:c r="L431" s="118" t="n">
        <x:v>0</x:v>
      </x:c>
      <x:c r="M431" s="118" t="n">
        <x:v>0</x:v>
      </x:c>
      <x:c r="N431" s="118" t="n">
        <x:v>0</x:v>
      </x:c>
      <x:c r="O431" s="118" t="n">
        <x:v>0</x:v>
      </x:c>
      <x:c r="P431" s="118" t="n">
        <x:v>0</x:v>
      </x:c>
      <x:c r="Q431" s="118" t="n">
        <x:v>1</x:v>
      </x:c>
      <x:c r="R431" s="118" t="n">
        <x:v>0</x:v>
      </x:c>
      <x:c r="S431" s="118" t="n">
        <x:v>0</x:v>
      </x:c>
      <x:c r="T431" s="118" t="n">
        <x:v>0</x:v>
      </x:c>
      <x:c r="U431" s="118" t="n">
        <x:v>0</x:v>
      </x:c>
      <x:c r="V431" s="118" t="n">
        <x:v>0</x:v>
      </x:c>
      <x:c r="W431" s="118" t="n">
        <x:v>0</x:v>
      </x:c>
      <x:c r="X431" s="118" t="n">
        <x:v>2</x:v>
      </x:c>
      <x:c r="Y431" s="118" t="n">
        <x:v>0</x:v>
      </x:c>
      <x:c r="Z431" s="118" t="n">
        <x:v>0</x:v>
      </x:c>
      <x:c r="AA431" s="118" t="n">
        <x:v>0</x:v>
      </x:c>
      <x:c r="AB431" s="118" t="n">
        <x:v>0</x:v>
      </x:c>
      <x:c r="AC431" s="118" t="n">
        <x:v>0</x:v>
      </x:c>
    </x:row>
    <x:row r="432" ht="46" customHeight="1">
      <x:c r="A432" s="117" t="str">
        <x:v>300Ro00000726mtIAA</x:v>
      </x:c>
      <x:c r="B432" s="117" t="str">
        <x:v>Probe_Loan_Calculation_Tool</x:v>
      </x:c>
      <x:c r="C432" s="117" t="str">
        <x:v>Yes</x:v>
      </x:c>
      <x:c r="D432" s="119" t="str">
        <x:v>Active v2 (Retrieved XML)</x:v>
      </x:c>
      <x:c r="E432" s="119" t="str"/>
      <x:c r="F432" s="119" t="str">
        <x:v>Loaner__c, ProductItem__c</x:v>
      </x:c>
      <x:c r="G432" s="119" t="str">
        <x:v>Id, Loaner_Asset__c, Ship_Date_New__c, Ship_Date__c</x:v>
      </x:c>
      <x:c r="H432" s="119" t="str"/>
      <x:c r="I432" s="119" t="str"/>
      <x:c r="J432" s="119" t="str"/>
      <x:c r="K432" s="118" t="n">
        <x:v>7</x:v>
      </x:c>
      <x:c r="L432" s="118" t="n">
        <x:v>0</x:v>
      </x:c>
      <x:c r="M432" s="118" t="n">
        <x:v>0</x:v>
      </x:c>
      <x:c r="N432" s="118" t="n">
        <x:v>2</x:v>
      </x:c>
      <x:c r="O432" s="118" t="n">
        <x:v>0</x:v>
      </x:c>
      <x:c r="P432" s="118" t="n">
        <x:v>0</x:v>
      </x:c>
      <x:c r="Q432" s="118" t="n">
        <x:v>0</x:v>
      </x:c>
      <x:c r="R432" s="118" t="n">
        <x:v>1</x:v>
      </x:c>
      <x:c r="S432" s="118" t="n">
        <x:v>0</x:v>
      </x:c>
      <x:c r="T432" s="118" t="n">
        <x:v>0</x:v>
      </x:c>
      <x:c r="U432" s="118" t="n">
        <x:v>0</x:v>
      </x:c>
      <x:c r="V432" s="118" t="n">
        <x:v>2</x:v>
      </x:c>
      <x:c r="W432" s="118" t="n">
        <x:v>0</x:v>
      </x:c>
      <x:c r="X432" s="118" t="n">
        <x:v>0</x:v>
      </x:c>
      <x:c r="Y432" s="118" t="n">
        <x:v>1</x:v>
      </x:c>
      <x:c r="Z432" s="118" t="n">
        <x:v>0</x:v>
      </x:c>
      <x:c r="AA432" s="118" t="n">
        <x:v>0</x:v>
      </x:c>
      <x:c r="AB432" s="118" t="n">
        <x:v>0</x:v>
      </x:c>
      <x:c r="AC432" s="118" t="n">
        <x:v>0</x:v>
      </x:c>
    </x:row>
    <x:row r="433" ht="46" customHeight="1">
      <x:c r="A433" s="117" t="str">
        <x:v>300Ro0000075fUlIAI</x:v>
      </x:c>
      <x:c r="B433" s="117" t="str">
        <x:v>Probe_Loan_ROI_Calculations_FLow</x:v>
      </x:c>
      <x:c r="C433" s="117" t="str">
        <x:v>Yes</x:v>
      </x:c>
      <x:c r="D433" s="119" t="str">
        <x:v>Active v6 (Retrieved XML)</x:v>
      </x:c>
      <x:c r="E433" s="119" t="str">
        <x:v>Ownership__c EqualTo stringValue=PROBO-US | Check_In_Type__c Contains stringValue=Loaner</x:v>
      </x:c>
      <x:c r="F433" s="119" t="str">
        <x:v>Loaner__c, ProductItem__c</x:v>
      </x:c>
      <x:c r="G433" s="119" t="str">
        <x:v>Avg_Days_on_Loan__c, Check_In_Type__c, Loaner_Asset__c, Name, Ownership__c, Ship_Date_New__c, Ship_Date__c, Total_Revenue_Generated__c, Total_Times_on_Loan__c</x:v>
      </x:c>
      <x:c r="H433" s="119" t="str"/>
      <x:c r="I433" s="119" t="str"/>
      <x:c r="J433" s="119" t="str"/>
      <x:c r="K433" s="118" t="n">
        <x:v>10</x:v>
      </x:c>
      <x:c r="L433" s="118" t="n">
        <x:v>0</x:v>
      </x:c>
      <x:c r="M433" s="118" t="n">
        <x:v>0</x:v>
      </x:c>
      <x:c r="N433" s="118" t="n">
        <x:v>4</x:v>
      </x:c>
      <x:c r="O433" s="118" t="n">
        <x:v>0</x:v>
      </x:c>
      <x:c r="P433" s="118" t="n">
        <x:v>0</x:v>
      </x:c>
      <x:c r="Q433" s="118" t="n">
        <x:v>2</x:v>
      </x:c>
      <x:c r="R433" s="118" t="n">
        <x:v>1</x:v>
      </x:c>
      <x:c r="S433" s="118" t="n">
        <x:v>0</x:v>
      </x:c>
      <x:c r="T433" s="118" t="n">
        <x:v>0</x:v>
      </x:c>
      <x:c r="U433" s="118" t="n">
        <x:v>0</x:v>
      </x:c>
      <x:c r="V433" s="118" t="n">
        <x:v>1</x:v>
      </x:c>
      <x:c r="W433" s="118" t="n">
        <x:v>0</x:v>
      </x:c>
      <x:c r="X433" s="118" t="n">
        <x:v>1</x:v>
      </x:c>
      <x:c r="Y433" s="118" t="n">
        <x:v>0</x:v>
      </x:c>
      <x:c r="Z433" s="118" t="n">
        <x:v>0</x:v>
      </x:c>
      <x:c r="AA433" s="118" t="n">
        <x:v>0</x:v>
      </x:c>
      <x:c r="AB433" s="118" t="n">
        <x:v>0</x:v>
      </x:c>
      <x:c r="AC433" s="118" t="n">
        <x:v>0</x:v>
      </x:c>
    </x:row>
    <x:row r="434" ht="46" customHeight="1">
      <x:c r="A434" s="117" t="str">
        <x:v>3004O0000000aB7QAI</x:v>
      </x:c>
      <x:c r="B434" s="117" t="str">
        <x:v>Probe_Repair_Update_from_RMA</x:v>
      </x:c>
      <x:c r="C434" s="117" t="str">
        <x:v>Yes</x:v>
      </x:c>
      <x:c r="D434" s="119" t="str">
        <x:v>Active v15 (Retrieved XML)</x:v>
      </x:c>
      <x:c r="E434" s="119" t="str"/>
      <x:c r="F434" s="119" t="str">
        <x:v>RMA__c</x:v>
      </x:c>
      <x:c r="G434" s="119" t="str"/>
      <x:c r="H434" s="119" t="str">
        <x:v>RMA__c.Auto_Reminder_Email_for_Core_Exchanges, RMA__c.Check_In_as_Core_Exchange, RMA__c.Email_when_RMA_approved_to_ship, RMA__c.Email_when_RMA_approved_to_ship_endoscopy, RMA__c.Email_when_Rental_RMA_item_is_received, RMA__c.Email_when_Repair_Evaluation_is_Approved, RMA__c.Email_when_Repair_Evaluation_is_Approved_Depot, RMA__c.Email_when_Repair_Evaluation_is_Send, RMA__c.Email_when_Repair_is_completed, RMA__c.Loaner_Damage_or_Restock_Fee_Notification, RMA__c.Loaner_Has_Been_Returned, RMA__c.Loaner_returned_in_worse_condition, RMA__c.RFS_Warranty_for_Special_Offer, RMA__c.RMA_Details, RMA__c.RMA_s_that_have_a_type_Return_from_Sale, RMA__c.Send_RMA_Details_NEW, RMA__c.Waiting_for_Customer_Probe, RMA__c.Waiting_on_Customer_Approval, RMA__c.Waiting_on_Loaner, RMA__c.Warranty_Claim_Action_Required, RMA__c.White_Glove_Estimated_Updated_Ship_Date_Changed, submit</x:v>
      </x:c>
      <x:c r="I434" s="119" t="str"/>
      <x:c r="J434" s="119" t="str"/>
      <x:c r="K434" s="118" t="n">
        <x:v>58</x:v>
      </x:c>
      <x:c r="L434" s="118" t="n">
        <x:v>22</x:v>
      </x:c>
      <x:c r="M434" s="118" t="n">
        <x:v>0</x:v>
      </x:c>
      <x:c r="N434" s="118" t="n">
        <x:v>0</x:v>
      </x:c>
      <x:c r="O434" s="118" t="n">
        <x:v>0</x:v>
      </x:c>
      <x:c r="P434" s="118" t="n">
        <x:v>0</x:v>
      </x:c>
      <x:c r="Q434" s="118" t="n">
        <x:v>36</x:v>
      </x:c>
      <x:c r="R434" s="118" t="n">
        <x:v>0</x:v>
      </x:c>
      <x:c r="S434" s="118" t="n">
        <x:v>0</x:v>
      </x:c>
      <x:c r="T434" s="118" t="n">
        <x:v>0</x:v>
      </x:c>
      <x:c r="U434" s="118" t="n">
        <x:v>0</x:v>
      </x:c>
      <x:c r="V434" s="118" t="n">
        <x:v>0</x:v>
      </x:c>
      <x:c r="W434" s="118" t="n">
        <x:v>0</x:v>
      </x:c>
      <x:c r="X434" s="118" t="n">
        <x:v>0</x:v>
      </x:c>
      <x:c r="Y434" s="118" t="n">
        <x:v>0</x:v>
      </x:c>
      <x:c r="Z434" s="118" t="n">
        <x:v>0</x:v>
      </x:c>
      <x:c r="AA434" s="118" t="n">
        <x:v>0</x:v>
      </x:c>
      <x:c r="AB434" s="118" t="n">
        <x:v>0</x:v>
      </x:c>
      <x:c r="AC434" s="118" t="n">
        <x:v>0</x:v>
      </x:c>
    </x:row>
    <x:row r="435" ht="46" customHeight="1">
      <x:c r="A435" s="117" t="str">
        <x:v>3005b000000LHHCAA4</x:v>
      </x:c>
      <x:c r="B435" s="117" t="str">
        <x:v>ProbeRepairOpportunityStageUpdates</x:v>
      </x:c>
      <x:c r="C435" s="117" t="str">
        <x:v>No</x:v>
      </x:c>
      <x:c r="D435" s="119" t="str">
        <x:v>Latest inactive v13 (Retrieved XML)</x:v>
      </x:c>
      <x:c r="E435" s="119" t="str">
        <x:v>RecordTypeId EqualTo stringValue=0124O000000tE2oQAE | RecordTypeId EqualTo stringValue=0124O000000tE2jQAE | StageName NotEqualTo stringValue=Closed Won | StageName NotEqualTo stringValue=Repair Declined | StageName NotEqualTo stringValue=Ready to Ship</x:v>
      </x:c>
      <x:c r="F435" s="119" t="str">
        <x:v>Opportunity, RMA__c</x:v>
      </x:c>
      <x:c r="G435" s="119" t="str">
        <x:v>Customer_Repair_Evaluation_RMA__c, Date_Repair_Approved__c, Date_Repair_Approved_to_Ship__c, Id, RecordTypeId, StageName</x:v>
      </x:c>
      <x:c r="H435" s="119" t="str"/>
      <x:c r="I435" s="119" t="str"/>
      <x:c r="J435" s="119" t="str"/>
      <x:c r="K435" s="118" t="n">
        <x:v>4</x:v>
      </x:c>
      <x:c r="L435" s="118" t="n">
        <x:v>0</x:v>
      </x:c>
      <x:c r="M435" s="118" t="n">
        <x:v>0</x:v>
      </x:c>
      <x:c r="N435" s="118" t="n">
        <x:v>0</x:v>
      </x:c>
      <x:c r="O435" s="118" t="n">
        <x:v>0</x:v>
      </x:c>
      <x:c r="P435" s="118" t="n">
        <x:v>0</x:v>
      </x:c>
      <x:c r="Q435" s="118" t="n">
        <x:v>1</x:v>
      </x:c>
      <x:c r="R435" s="118" t="n">
        <x:v>0</x:v>
      </x:c>
      <x:c r="S435" s="118" t="n">
        <x:v>0</x:v>
      </x:c>
      <x:c r="T435" s="118" t="n">
        <x:v>0</x:v>
      </x:c>
      <x:c r="U435" s="118" t="n">
        <x:v>0</x:v>
      </x:c>
      <x:c r="V435" s="118" t="n">
        <x:v>1</x:v>
      </x:c>
      <x:c r="W435" s="118" t="n">
        <x:v>0</x:v>
      </x:c>
      <x:c r="X435" s="118" t="n">
        <x:v>1</x:v>
      </x:c>
      <x:c r="Y435" s="118" t="n">
        <x:v>0</x:v>
      </x:c>
      <x:c r="Z435" s="118" t="n">
        <x:v>0</x:v>
      </x:c>
      <x:c r="AA435" s="118" t="n">
        <x:v>0</x:v>
      </x:c>
      <x:c r="AB435" s="118" t="n">
        <x:v>0</x:v>
      </x:c>
      <x:c r="AC435" s="118" t="n">
        <x:v>0</x:v>
      </x:c>
    </x:row>
    <x:row r="436" ht="46" customHeight="1">
      <x:c r="A436" s="117" t="str">
        <x:v>3004O000000LNqwQAG</x:v>
      </x:c>
      <x:c r="B436" s="117" t="str">
        <x:v>Product2_All</x:v>
      </x:c>
      <x:c r="C436" s="117" t="str">
        <x:v>No</x:v>
      </x:c>
      <x:c r="D436" s="119" t="str">
        <x:v>Latest inactive v7 (Retrieved XML)</x:v>
      </x:c>
      <x:c r="E436" s="119" t="str"/>
      <x:c r="F436" s="119" t="str">
        <x:v>Product2</x:v>
      </x:c>
      <x:c r="G436" s="119" t="str"/>
      <x:c r="H436" s="119" t="str">
        <x:v>Create_Generic_Asset2_from_Product2_Id</x:v>
      </x:c>
      <x:c r="I436" s="119" t="str"/>
      <x:c r="J436" s="119" t="str"/>
      <x:c r="K436" s="118" t="n">
        <x:v>2</x:v>
      </x:c>
      <x:c r="L436" s="118" t="n">
        <x:v>1</x:v>
      </x:c>
      <x:c r="M436" s="118" t="n">
        <x:v>0</x:v>
      </x:c>
      <x:c r="N436" s="118" t="n">
        <x:v>0</x:v>
      </x:c>
      <x:c r="O436" s="118" t="n">
        <x:v>0</x:v>
      </x:c>
      <x:c r="P436" s="118" t="n">
        <x:v>0</x:v>
      </x:c>
      <x:c r="Q436" s="118" t="n">
        <x:v>1</x:v>
      </x:c>
      <x:c r="R436" s="118" t="n">
        <x:v>0</x:v>
      </x:c>
      <x:c r="S436" s="118" t="n">
        <x:v>0</x:v>
      </x:c>
      <x:c r="T436" s="118" t="n">
        <x:v>0</x:v>
      </x:c>
      <x:c r="U436" s="118" t="n">
        <x:v>0</x:v>
      </x:c>
      <x:c r="V436" s="118" t="n">
        <x:v>0</x:v>
      </x:c>
      <x:c r="W436" s="118" t="n">
        <x:v>0</x:v>
      </x:c>
      <x:c r="X436" s="118" t="n">
        <x:v>0</x:v>
      </x:c>
      <x:c r="Y436" s="118" t="n">
        <x:v>0</x:v>
      </x:c>
      <x:c r="Z436" s="118" t="n">
        <x:v>0</x:v>
      </x:c>
      <x:c r="AA436" s="118" t="n">
        <x:v>0</x:v>
      </x:c>
      <x:c r="AB436" s="118" t="n">
        <x:v>0</x:v>
      </x:c>
      <x:c r="AC436" s="118" t="n">
        <x:v>0</x:v>
      </x:c>
    </x:row>
    <x:row r="437" ht="46" customHeight="1">
      <x:c r="A437" s="117" t="str">
        <x:v>3005b000000LJC9AAO</x:v>
      </x:c>
      <x:c r="B437" s="117" t="str">
        <x:v>Product_Creation_Actions_Flow</x:v>
      </x:c>
      <x:c r="C437" s="117" t="str">
        <x:v>Yes</x:v>
      </x:c>
      <x:c r="D437" s="119" t="str">
        <x:v>Active v10 (Retrieved XML)</x:v>
      </x:c>
      <x:c r="E437" s="119" t="str">
        <x:v>Product_Status__c EqualTo stringValue=Not Validated | Family EqualTo stringValue=Ultrasound Probe | Family EqualTo stringValue=Ultrasound System | CreatedDate GreaterThan dateTimeValue=2023-07-07T04:00:00.000Z | Family Contains stringValue=Endoscopy</x:v>
      </x:c>
      <x:c r="F437" s="119" t="str">
        <x:v>Product2</x:v>
      </x:c>
      <x:c r="G437" s="119" t="str">
        <x:v>CreatedDate, Family, Id, Product_Status__c</x:v>
      </x:c>
      <x:c r="H437" s="119" t="str">
        <x:v>submit</x:v>
      </x:c>
      <x:c r="I437" s="119" t="str"/>
      <x:c r="J437" s="119" t="str"/>
      <x:c r="K437" s="118" t="n">
        <x:v>2</x:v>
      </x:c>
      <x:c r="L437" s="118" t="n">
        <x:v>1</x:v>
      </x:c>
      <x:c r="M437" s="118" t="n">
        <x:v>0</x:v>
      </x:c>
      <x:c r="N437" s="118" t="n">
        <x:v>0</x:v>
      </x:c>
      <x:c r="O437" s="118" t="n">
        <x:v>0</x:v>
      </x:c>
      <x:c r="P437" s="118" t="n">
        <x:v>0</x:v>
      </x:c>
      <x:c r="Q437" s="118" t="n">
        <x:v>0</x:v>
      </x:c>
      <x:c r="R437" s="118" t="n">
        <x:v>0</x:v>
      </x:c>
      <x:c r="S437" s="118" t="n">
        <x:v>0</x:v>
      </x:c>
      <x:c r="T437" s="118" t="n">
        <x:v>0</x:v>
      </x:c>
      <x:c r="U437" s="118" t="n">
        <x:v>0</x:v>
      </x:c>
      <x:c r="V437" s="118" t="n">
        <x:v>0</x:v>
      </x:c>
      <x:c r="W437" s="118" t="n">
        <x:v>0</x:v>
      </x:c>
      <x:c r="X437" s="118" t="n">
        <x:v>0</x:v>
      </x:c>
      <x:c r="Y437" s="118" t="n">
        <x:v>0</x:v>
      </x:c>
      <x:c r="Z437" s="118" t="n">
        <x:v>0</x:v>
      </x:c>
      <x:c r="AA437" s="118" t="n">
        <x:v>0</x:v>
      </x:c>
      <x:c r="AB437" s="118" t="n">
        <x:v>0</x:v>
      </x:c>
      <x:c r="AC437" s="118" t="n">
        <x:v>0</x:v>
      </x:c>
    </x:row>
    <x:row r="438" ht="46" customHeight="1">
      <x:c r="A438" s="117" t="str">
        <x:v>300Ro000007doaZIAQ</x:v>
      </x:c>
      <x:c r="B438" s="117" t="str">
        <x:v>Product_Item_Rollups</x:v>
      </x:c>
      <x:c r="C438" s="117" t="str">
        <x:v>No</x:v>
      </x:c>
      <x:c r="D438" s="119" t="str">
        <x:v>Latest inactive v2 (Retrieved XML)</x:v>
      </x:c>
      <x:c r="E438" s="119" t="str"/>
      <x:c r="F438" s="119" t="str">
        <x:v>Harvest_Work_Order__c, Item_Receipt__c, Opportunity, ProductItem__c, Rental_Order__c</x:v>
      </x:c>
      <x:c r="G438" s="119" t="str">
        <x:v>Harvest_Work_Order__c, Item_Receipt__c, Purchasing_Opportunity__c, Rental_Order__c, sold__c</x:v>
      </x:c>
      <x:c r="H438" s="119" t="str"/>
      <x:c r="I438" s="119" t="str"/>
      <x:c r="J438" s="119" t="str"/>
      <x:c r="K438" s="118" t="n">
        <x:v>30</x:v>
      </x:c>
      <x:c r="L438" s="118" t="n">
        <x:v>0</x:v>
      </x:c>
      <x:c r="M438" s="118" t="n">
        <x:v>0</x:v>
      </x:c>
      <x:c r="N438" s="118" t="n">
        <x:v>10</x:v>
      </x:c>
      <x:c r="O438" s="118" t="n">
        <x:v>0</x:v>
      </x:c>
      <x:c r="P438" s="118" t="n">
        <x:v>0</x:v>
      </x:c>
      <x:c r="Q438" s="118" t="n">
        <x:v>4</x:v>
      </x:c>
      <x:c r="R438" s="118" t="n">
        <x:v>5</x:v>
      </x:c>
      <x:c r="S438" s="118" t="n">
        <x:v>0</x:v>
      </x:c>
      <x:c r="T438" s="118" t="n">
        <x:v>0</x:v>
      </x:c>
      <x:c r="U438" s="118" t="n">
        <x:v>0</x:v>
      </x:c>
      <x:c r="V438" s="118" t="n">
        <x:v>5</x:v>
      </x:c>
      <x:c r="W438" s="118" t="n">
        <x:v>0</x:v>
      </x:c>
      <x:c r="X438" s="118" t="n">
        <x:v>5</x:v>
      </x:c>
      <x:c r="Y438" s="118" t="n">
        <x:v>0</x:v>
      </x:c>
      <x:c r="Z438" s="118" t="n">
        <x:v>0</x:v>
      </x:c>
      <x:c r="AA438" s="118" t="n">
        <x:v>0</x:v>
      </x:c>
      <x:c r="AB438" s="118" t="n">
        <x:v>0</x:v>
      </x:c>
      <x:c r="AC438" s="118" t="n">
        <x:v>0</x:v>
      </x:c>
    </x:row>
    <x:row r="439" ht="46" customHeight="1">
      <x:c r="A439" s="117" t="str">
        <x:v>3000B0000008l3gQAA</x:v>
      </x:c>
      <x:c r="B439" s="117" t="str">
        <x:v>Product_name_from_lead_to_opp</x:v>
      </x:c>
      <x:c r="C439" s="117" t="str">
        <x:v>Yes</x:v>
      </x:c>
      <x:c r="D439" s="119" t="str">
        <x:v>Active v10 (Tooling metadata)</x:v>
      </x:c>
      <x:c r="E439" s="119" t="str"/>
      <x:c r="F439" s="119" t="str">
        <x:v>Lead, Opportunity</x:v>
      </x:c>
      <x:c r="G439" s="119" t="str">
        <x:v>Created_by_EU_UK__c, Id, Lead_Assigned_via_Rules__c, Name, Opportunity_Notes__c</x:v>
      </x:c>
      <x:c r="H439" s="119" t="str"/>
      <x:c r="I439" s="119" t="str"/>
      <x:c r="J439" s="119" t="str"/>
      <x:c r="K439" s="118" t="n">
        <x:v>12</x:v>
      </x:c>
      <x:c r="L439" s="118" t="n">
        <x:v>0</x:v>
      </x:c>
      <x:c r="M439" s="118" t="n">
        <x:v>0</x:v>
      </x:c>
      <x:c r="N439" s="118" t="n">
        <x:v>0</x:v>
      </x:c>
      <x:c r="O439" s="118" t="n">
        <x:v>0</x:v>
      </x:c>
      <x:c r="P439" s="118" t="n">
        <x:v>0</x:v>
      </x:c>
      <x:c r="Q439" s="118" t="n">
        <x:v>6</x:v>
      </x:c>
      <x:c r="R439" s="118" t="n">
        <x:v>0</x:v>
      </x:c>
      <x:c r="S439" s="118" t="n">
        <x:v>0</x:v>
      </x:c>
      <x:c r="T439" s="118" t="n">
        <x:v>0</x:v>
      </x:c>
      <x:c r="U439" s="118" t="n">
        <x:v>0</x:v>
      </x:c>
      <x:c r="V439" s="118" t="n">
        <x:v>0</x:v>
      </x:c>
      <x:c r="W439" s="118" t="n">
        <x:v>0</x:v>
      </x:c>
      <x:c r="X439" s="118" t="n">
        <x:v>6</x:v>
      </x:c>
      <x:c r="Y439" s="118" t="n">
        <x:v>0</x:v>
      </x:c>
      <x:c r="Z439" s="118" t="n">
        <x:v>0</x:v>
      </x:c>
      <x:c r="AA439" s="118" t="n">
        <x:v>0</x:v>
      </x:c>
      <x:c r="AB439" s="118" t="n">
        <x:v>0</x:v>
      </x:c>
      <x:c r="AC439" s="118" t="n">
        <x:v>0</x:v>
      </x:c>
    </x:row>
    <x:row r="440" ht="46" customHeight="1">
      <x:c r="A440" s="117" t="str">
        <x:v>300Ro000010uR0GIAU</x:v>
      </x:c>
      <x:c r="B440" s="117" t="str">
        <x:v>Product_On_Creation</x:v>
      </x:c>
      <x:c r="C440" s="117" t="str">
        <x:v>Yes</x:v>
      </x:c>
      <x:c r="D440" s="119" t="str">
        <x:v>Active v2 (Retrieved XML)</x:v>
      </x:c>
      <x:c r="E440" s="119" t="str"/>
      <x:c r="F440" s="119" t="str">
        <x:v>Product2, ProductItem__c, Product_Analytics__c, RecordType</x:v>
      </x:c>
      <x:c r="G440" s="119" t="str">
        <x:v>DeveloperName, Family, Id, IsActive, Name, Part_Number__c, Product_Analytics__c, Product_Part_Number__c, Product__c, RecordType, SobjectType</x:v>
      </x:c>
      <x:c r="H440" s="119" t="str"/>
      <x:c r="I440" s="119" t="str"/>
      <x:c r="J440" s="119" t="str"/>
      <x:c r="K440" s="118" t="n">
        <x:v>17</x:v>
      </x:c>
      <x:c r="L440" s="118" t="n">
        <x:v>0</x:v>
      </x:c>
      <x:c r="M440" s="118" t="n">
        <x:v>0</x:v>
      </x:c>
      <x:c r="N440" s="118" t="n">
        <x:v>10</x:v>
      </x:c>
      <x:c r="O440" s="118" t="n">
        <x:v>0</x:v>
      </x:c>
      <x:c r="P440" s="118" t="n">
        <x:v>0</x:v>
      </x:c>
      <x:c r="Q440" s="118" t="n">
        <x:v>1</x:v>
      </x:c>
      <x:c r="R440" s="118" t="n">
        <x:v>0</x:v>
      </x:c>
      <x:c r="S440" s="118" t="n">
        <x:v>0</x:v>
      </x:c>
      <x:c r="T440" s="118" t="n">
        <x:v>2</x:v>
      </x:c>
      <x:c r="U440" s="118" t="n">
        <x:v>0</x:v>
      </x:c>
      <x:c r="V440" s="118" t="n">
        <x:v>2</x:v>
      </x:c>
      <x:c r="W440" s="118" t="n">
        <x:v>0</x:v>
      </x:c>
      <x:c r="X440" s="118" t="n">
        <x:v>1</x:v>
      </x:c>
      <x:c r="Y440" s="118" t="n">
        <x:v>0</x:v>
      </x:c>
      <x:c r="Z440" s="118" t="n">
        <x:v>0</x:v>
      </x:c>
      <x:c r="AA440" s="118" t="n">
        <x:v>0</x:v>
      </x:c>
      <x:c r="AB440" s="118" t="n">
        <x:v>0</x:v>
      </x:c>
      <x:c r="AC440" s="118" t="n">
        <x:v>0</x:v>
      </x:c>
    </x:row>
    <x:row r="441" ht="46" customHeight="1">
      <x:c r="A441" s="117" t="str">
        <x:v>300Ro00000degLSIAY</x:v>
      </x:c>
      <x:c r="B441" s="117" t="str">
        <x:v>Product_Repair_Line_Item_Deletion</x:v>
      </x:c>
      <x:c r="C441" s="117" t="str">
        <x:v>Yes</x:v>
      </x:c>
      <x:c r="D441" s="119" t="str">
        <x:v>Active v1 (Retrieved XML)</x:v>
      </x:c>
      <x:c r="E441" s="119" t="str">
        <x:v>IR_Product__c IsNull booleanValue=false</x:v>
      </x:c>
      <x:c r="F441" s="119" t="str">
        <x:v>Product_Repair_Line_Item__c</x:v>
      </x:c>
      <x:c r="G441" s="119" t="str">
        <x:v>IR_Product__c, IR_Product__r, Quantity_Remaining__c, Quantity__c</x:v>
      </x:c>
      <x:c r="H441" s="119" t="str"/>
      <x:c r="I441" s="119" t="str"/>
      <x:c r="J441" s="119" t="str"/>
      <x:c r="K441" s="118" t="n">
        <x:v>2</x:v>
      </x:c>
      <x:c r="L441" s="118" t="n">
        <x:v>0</x:v>
      </x:c>
      <x:c r="M441" s="118" t="n">
        <x:v>0</x:v>
      </x:c>
      <x:c r="N441" s="118" t="n">
        <x:v>0</x:v>
      </x:c>
      <x:c r="O441" s="118" t="n">
        <x:v>0</x:v>
      </x:c>
      <x:c r="P441" s="118" t="n">
        <x:v>0</x:v>
      </x:c>
      <x:c r="Q441" s="118" t="n">
        <x:v>0</x:v>
      </x:c>
      <x:c r="R441" s="118" t="n">
        <x:v>0</x:v>
      </x:c>
      <x:c r="S441" s="118" t="n">
        <x:v>0</x:v>
      </x:c>
      <x:c r="T441" s="118" t="n">
        <x:v>0</x:v>
      </x:c>
      <x:c r="U441" s="118" t="n">
        <x:v>0</x:v>
      </x:c>
      <x:c r="V441" s="118" t="n">
        <x:v>0</x:v>
      </x:c>
      <x:c r="W441" s="118" t="n">
        <x:v>0</x:v>
      </x:c>
      <x:c r="X441" s="118" t="n">
        <x:v>1</x:v>
      </x:c>
      <x:c r="Y441" s="118" t="n">
        <x:v>0</x:v>
      </x:c>
      <x:c r="Z441" s="118" t="n">
        <x:v>0</x:v>
      </x:c>
      <x:c r="AA441" s="118" t="n">
        <x:v>0</x:v>
      </x:c>
      <x:c r="AB441" s="118" t="n">
        <x:v>0</x:v>
      </x:c>
      <x:c r="AC441" s="118" t="n">
        <x:v>0</x:v>
      </x:c>
    </x:row>
    <x:row r="442" ht="46" customHeight="1">
      <x:c r="A442" s="117" t="str">
        <x:v>300Ro00000xFMPfIAO</x:v>
      </x:c>
      <x:c r="B442" s="117" t="str">
        <x:v>Product_Scheduled_Build_Missing_Product_Analytics_Records</x:v>
      </x:c>
      <x:c r="C442" s="117" t="str">
        <x:v>No</x:v>
      </x:c>
      <x:c r="D442" s="119" t="str">
        <x:v>Latest inactive v1 (Retrieved XML)</x:v>
      </x:c>
      <x:c r="E442" s="119" t="str"/>
      <x:c r="F442" s="119" t="str">
        <x:v>Product2, Product_Analytics__c</x:v>
      </x:c>
      <x:c r="G442" s="119" t="str"/>
      <x:c r="H442" s="119" t="str"/>
      <x:c r="I442" s="119" t="str"/>
      <x:c r="J442" s="119" t="str"/>
      <x:c r="K442" s="118" t="n">
        <x:v>8</x:v>
      </x:c>
      <x:c r="L442" s="118" t="n">
        <x:v>0</x:v>
      </x:c>
      <x:c r="M442" s="118" t="n">
        <x:v>0</x:v>
      </x:c>
      <x:c r="N442" s="118" t="n">
        <x:v>1</x:v>
      </x:c>
      <x:c r="O442" s="118" t="n">
        <x:v>0</x:v>
      </x:c>
      <x:c r="P442" s="118" t="n">
        <x:v>0</x:v>
      </x:c>
      <x:c r="Q442" s="118" t="n">
        <x:v>1</x:v>
      </x:c>
      <x:c r="R442" s="118" t="n">
        <x:v>2</x:v>
      </x:c>
      <x:c r="S442" s="118" t="n">
        <x:v>0</x:v>
      </x:c>
      <x:c r="T442" s="118" t="n">
        <x:v>1</x:v>
      </x:c>
      <x:c r="U442" s="118" t="n">
        <x:v>0</x:v>
      </x:c>
      <x:c r="V442" s="118" t="n">
        <x:v>2</x:v>
      </x:c>
      <x:c r="W442" s="118" t="n">
        <x:v>0</x:v>
      </x:c>
      <x:c r="X442" s="118" t="n">
        <x:v>0</x:v>
      </x:c>
      <x:c r="Y442" s="118" t="n">
        <x:v>0</x:v>
      </x:c>
      <x:c r="Z442" s="118" t="n">
        <x:v>0</x:v>
      </x:c>
      <x:c r="AA442" s="118" t="n">
        <x:v>0</x:v>
      </x:c>
      <x:c r="AB442" s="118" t="n">
        <x:v>0</x:v>
      </x:c>
      <x:c r="AC442" s="118" t="n">
        <x:v>0</x:v>
      </x:c>
    </x:row>
    <x:row r="443" ht="46" customHeight="1">
      <x:c r="A443" s="117" t="str">
        <x:v>300Ro00000yRspoIAC</x:v>
      </x:c>
      <x:c r="B443" s="117" t="str">
        <x:v>ProductItem_Asynchronous_on_create_Estimated_Sales_Price_Roll_Up</x:v>
      </x:c>
      <x:c r="C443" s="117" t="str">
        <x:v>Yes</x:v>
      </x:c>
      <x:c r="D443" s="119" t="str">
        <x:v>Active v3 (Retrieved XML)</x:v>
      </x:c>
      <x:c r="E443" s="119" t="str">
        <x:v>Purchasing_Opportunity__c IsNull booleanValue=false</x:v>
      </x:c>
      <x:c r="F443" s="119" t="str">
        <x:v>Opportunity, ProductItem__c</x:v>
      </x:c>
      <x:c r="G443" s="119" t="str">
        <x:v>Estimated_Sales_Price__c, Id, Purchasing_Opportunity__c</x:v>
      </x:c>
      <x:c r="H443" s="119" t="str"/>
      <x:c r="I443" s="119" t="str"/>
      <x:c r="J443" s="119" t="str"/>
      <x:c r="K443" s="118" t="n">
        <x:v>5</x:v>
      </x:c>
      <x:c r="L443" s="118" t="n">
        <x:v>0</x:v>
      </x:c>
      <x:c r="M443" s="118" t="n">
        <x:v>0</x:v>
      </x:c>
      <x:c r="N443" s="118" t="n">
        <x:v>0</x:v>
      </x:c>
      <x:c r="O443" s="118" t="n">
        <x:v>0</x:v>
      </x:c>
      <x:c r="P443" s="118" t="n">
        <x:v>0</x:v>
      </x:c>
      <x:c r="Q443" s="118" t="n">
        <x:v>1</x:v>
      </x:c>
      <x:c r="R443" s="118" t="n">
        <x:v>0</x:v>
      </x:c>
      <x:c r="S443" s="118" t="n">
        <x:v>0</x:v>
      </x:c>
      <x:c r="T443" s="118" t="n">
        <x:v>0</x:v>
      </x:c>
      <x:c r="U443" s="118" t="n">
        <x:v>0</x:v>
      </x:c>
      <x:c r="V443" s="118" t="n">
        <x:v>1</x:v>
      </x:c>
      <x:c r="W443" s="118" t="n">
        <x:v>0</x:v>
      </x:c>
      <x:c r="X443" s="118" t="n">
        <x:v>1</x:v>
      </x:c>
      <x:c r="Y443" s="118" t="n">
        <x:v>0</x:v>
      </x:c>
      <x:c r="Z443" s="118" t="n">
        <x:v>0</x:v>
      </x:c>
      <x:c r="AA443" s="118" t="n">
        <x:v>0</x:v>
      </x:c>
      <x:c r="AB443" s="118" t="n">
        <x:v>1</x:v>
      </x:c>
      <x:c r="AC443" s="118" t="n">
        <x:v>0</x:v>
      </x:c>
    </x:row>
    <x:row r="444" ht="46" customHeight="1">
      <x:c r="A444" s="117" t="str">
        <x:v>300Ro00000yTV5xIAG</x:v>
      </x:c>
      <x:c r="B444" s="117" t="str">
        <x:v>ProductItem_Asynchronous_on_create_HWO_Total_Cost_Roll_Up</x:v>
      </x:c>
      <x:c r="C444" s="117" t="str">
        <x:v>Yes</x:v>
      </x:c>
      <x:c r="D444" s="119" t="str">
        <x:v>Active v3 (Retrieved XML)</x:v>
      </x:c>
      <x:c r="E444" s="119" t="str">
        <x:v>Harvest_Work_Order__c IsNull booleanValue=false</x:v>
      </x:c>
      <x:c r="F444" s="119" t="str">
        <x:v>Harvest_Work_Order__c, ProductItem__c</x:v>
      </x:c>
      <x:c r="G444" s="119" t="str">
        <x:v>HWO_Total_Cost__c, Harvest_Work_Order__c, Id</x:v>
      </x:c>
      <x:c r="H444" s="119" t="str"/>
      <x:c r="I444" s="119" t="str"/>
      <x:c r="J444" s="119" t="str"/>
      <x:c r="K444" s="118" t="n">
        <x:v>5</x:v>
      </x:c>
      <x:c r="L444" s="118" t="n">
        <x:v>0</x:v>
      </x:c>
      <x:c r="M444" s="118" t="n">
        <x:v>0</x:v>
      </x:c>
      <x:c r="N444" s="118" t="n">
        <x:v>0</x:v>
      </x:c>
      <x:c r="O444" s="118" t="n">
        <x:v>0</x:v>
      </x:c>
      <x:c r="P444" s="118" t="n">
        <x:v>0</x:v>
      </x:c>
      <x:c r="Q444" s="118" t="n">
        <x:v>1</x:v>
      </x:c>
      <x:c r="R444" s="118" t="n">
        <x:v>0</x:v>
      </x:c>
      <x:c r="S444" s="118" t="n">
        <x:v>0</x:v>
      </x:c>
      <x:c r="T444" s="118" t="n">
        <x:v>0</x:v>
      </x:c>
      <x:c r="U444" s="118" t="n">
        <x:v>0</x:v>
      </x:c>
      <x:c r="V444" s="118" t="n">
        <x:v>1</x:v>
      </x:c>
      <x:c r="W444" s="118" t="n">
        <x:v>0</x:v>
      </x:c>
      <x:c r="X444" s="118" t="n">
        <x:v>1</x:v>
      </x:c>
      <x:c r="Y444" s="118" t="n">
        <x:v>0</x:v>
      </x:c>
      <x:c r="Z444" s="118" t="n">
        <x:v>0</x:v>
      </x:c>
      <x:c r="AA444" s="118" t="n">
        <x:v>0</x:v>
      </x:c>
      <x:c r="AB444" s="118" t="n">
        <x:v>1</x:v>
      </x:c>
      <x:c r="AC444" s="118" t="n">
        <x:v>0</x:v>
      </x:c>
    </x:row>
    <x:row r="445" ht="46" customHeight="1">
      <x:c r="A445" s="117" t="str">
        <x:v>300Ro00000yTWmlIAG</x:v>
      </x:c>
      <x:c r="B445" s="117" t="str">
        <x:v>ProductItem_Asynchronous_on_create_HWO_Total_Revenue_Roll_Up</x:v>
      </x:c>
      <x:c r="C445" s="117" t="str">
        <x:v>Yes</x:v>
      </x:c>
      <x:c r="D445" s="119" t="str">
        <x:v>Active v3 (Retrieved XML)</x:v>
      </x:c>
      <x:c r="E445" s="119" t="str">
        <x:v>Harvest_Work_Order__c IsNull booleanValue=false</x:v>
      </x:c>
      <x:c r="F445" s="119" t="str">
        <x:v>Harvest_Work_Order__c, ProductItem__c</x:v>
      </x:c>
      <x:c r="G445" s="119" t="str">
        <x:v>HWO_Total_Revenue__c, Harvest_Work_Order__c, Id</x:v>
      </x:c>
      <x:c r="H445" s="119" t="str"/>
      <x:c r="I445" s="119" t="str"/>
      <x:c r="J445" s="119" t="str"/>
      <x:c r="K445" s="118" t="n">
        <x:v>5</x:v>
      </x:c>
      <x:c r="L445" s="118" t="n">
        <x:v>0</x:v>
      </x:c>
      <x:c r="M445" s="118" t="n">
        <x:v>0</x:v>
      </x:c>
      <x:c r="N445" s="118" t="n">
        <x:v>0</x:v>
      </x:c>
      <x:c r="O445" s="118" t="n">
        <x:v>0</x:v>
      </x:c>
      <x:c r="P445" s="118" t="n">
        <x:v>0</x:v>
      </x:c>
      <x:c r="Q445" s="118" t="n">
        <x:v>1</x:v>
      </x:c>
      <x:c r="R445" s="118" t="n">
        <x:v>0</x:v>
      </x:c>
      <x:c r="S445" s="118" t="n">
        <x:v>0</x:v>
      </x:c>
      <x:c r="T445" s="118" t="n">
        <x:v>0</x:v>
      </x:c>
      <x:c r="U445" s="118" t="n">
        <x:v>0</x:v>
      </x:c>
      <x:c r="V445" s="118" t="n">
        <x:v>1</x:v>
      </x:c>
      <x:c r="W445" s="118" t="n">
        <x:v>0</x:v>
      </x:c>
      <x:c r="X445" s="118" t="n">
        <x:v>1</x:v>
      </x:c>
      <x:c r="Y445" s="118" t="n">
        <x:v>0</x:v>
      </x:c>
      <x:c r="Z445" s="118" t="n">
        <x:v>0</x:v>
      </x:c>
      <x:c r="AA445" s="118" t="n">
        <x:v>0</x:v>
      </x:c>
      <x:c r="AB445" s="118" t="n">
        <x:v>1</x:v>
      </x:c>
      <x:c r="AC445" s="118" t="n">
        <x:v>0</x:v>
      </x:c>
    </x:row>
    <x:row r="446" ht="46" customHeight="1">
      <x:c r="A446" s="117" t="str">
        <x:v>300Ro00000yXXXJIA4</x:v>
      </x:c>
      <x:c r="B446" s="117" t="str">
        <x:v>ProductItem_Asynchronous_on_create_Item_Receipt_Amount_Roll_Up</x:v>
      </x:c>
      <x:c r="C446" s="117" t="str">
        <x:v>Yes</x:v>
      </x:c>
      <x:c r="D446" s="119" t="str">
        <x:v>Active v1 (Retrieved XML)</x:v>
      </x:c>
      <x:c r="E446" s="119" t="str"/>
      <x:c r="F446" s="119" t="str">
        <x:v>Item_Receipt__c, ProductItem__c</x:v>
      </x:c>
      <x:c r="G446" s="119" t="str">
        <x:v>Id, Item_Receipt_Amount__c, Item_Receipt__c</x:v>
      </x:c>
      <x:c r="H446" s="119" t="str"/>
      <x:c r="I446" s="119" t="str"/>
      <x:c r="J446" s="119" t="str"/>
      <x:c r="K446" s="118" t="n">
        <x:v>5</x:v>
      </x:c>
      <x:c r="L446" s="118" t="n">
        <x:v>0</x:v>
      </x:c>
      <x:c r="M446" s="118" t="n">
        <x:v>0</x:v>
      </x:c>
      <x:c r="N446" s="118" t="n">
        <x:v>0</x:v>
      </x:c>
      <x:c r="O446" s="118" t="n">
        <x:v>0</x:v>
      </x:c>
      <x:c r="P446" s="118" t="n">
        <x:v>0</x:v>
      </x:c>
      <x:c r="Q446" s="118" t="n">
        <x:v>1</x:v>
      </x:c>
      <x:c r="R446" s="118" t="n">
        <x:v>0</x:v>
      </x:c>
      <x:c r="S446" s="118" t="n">
        <x:v>0</x:v>
      </x:c>
      <x:c r="T446" s="118" t="n">
        <x:v>0</x:v>
      </x:c>
      <x:c r="U446" s="118" t="n">
        <x:v>0</x:v>
      </x:c>
      <x:c r="V446" s="118" t="n">
        <x:v>1</x:v>
      </x:c>
      <x:c r="W446" s="118" t="n">
        <x:v>0</x:v>
      </x:c>
      <x:c r="X446" s="118" t="n">
        <x:v>1</x:v>
      </x:c>
      <x:c r="Y446" s="118" t="n">
        <x:v>0</x:v>
      </x:c>
      <x:c r="Z446" s="118" t="n">
        <x:v>0</x:v>
      </x:c>
      <x:c r="AA446" s="118" t="n">
        <x:v>0</x:v>
      </x:c>
      <x:c r="AB446" s="118" t="n">
        <x:v>1</x:v>
      </x:c>
      <x:c r="AC446" s="118" t="n">
        <x:v>0</x:v>
      </x:c>
    </x:row>
    <x:row r="447" ht="46" customHeight="1">
      <x:c r="A447" s="117" t="str">
        <x:v>300Ro00000zEWo5IAG</x:v>
      </x:c>
      <x:c r="B447" s="117" t="str">
        <x:v>ProductItem_Asynchronous_on_create_Loaner_Asset_Number_Roll_Up</x:v>
      </x:c>
      <x:c r="C447" s="117" t="str">
        <x:v>Yes</x:v>
      </x:c>
      <x:c r="D447" s="119" t="str">
        <x:v>Active v1 (Retrieved XML)</x:v>
      </x:c>
      <x:c r="E447" s="119" t="str">
        <x:v>Loaner__c IsNull booleanValue=false</x:v>
      </x:c>
      <x:c r="F447" s="119" t="str">
        <x:v>Loaner__c, ProductItem__c</x:v>
      </x:c>
      <x:c r="G447" s="119" t="str">
        <x:v>Id, Loaner_Asset__c, Loaner__c</x:v>
      </x:c>
      <x:c r="H447" s="119" t="str"/>
      <x:c r="I447" s="119" t="str"/>
      <x:c r="J447" s="119" t="str"/>
      <x:c r="K447" s="118" t="n">
        <x:v>9</x:v>
      </x:c>
      <x:c r="L447" s="118" t="n">
        <x:v>0</x:v>
      </x:c>
      <x:c r="M447" s="118" t="n">
        <x:v>0</x:v>
      </x:c>
      <x:c r="N447" s="118" t="n">
        <x:v>1</x:v>
      </x:c>
      <x:c r="O447" s="118" t="n">
        <x:v>0</x:v>
      </x:c>
      <x:c r="P447" s="118" t="n">
        <x:v>0</x:v>
      </x:c>
      <x:c r="Q447" s="118" t="n">
        <x:v>3</x:v>
      </x:c>
      <x:c r="R447" s="118" t="n">
        <x:v>1</x:v>
      </x:c>
      <x:c r="S447" s="118" t="n">
        <x:v>0</x:v>
      </x:c>
      <x:c r="T447" s="118" t="n">
        <x:v>0</x:v>
      </x:c>
      <x:c r="U447" s="118" t="n">
        <x:v>0</x:v>
      </x:c>
      <x:c r="V447" s="118" t="n">
        <x:v>1</x:v>
      </x:c>
      <x:c r="W447" s="118" t="n">
        <x:v>0</x:v>
      </x:c>
      <x:c r="X447" s="118" t="n">
        <x:v>2</x:v>
      </x:c>
      <x:c r="Y447" s="118" t="n">
        <x:v>0</x:v>
      </x:c>
      <x:c r="Z447" s="118" t="n">
        <x:v>0</x:v>
      </x:c>
      <x:c r="AA447" s="118" t="n">
        <x:v>0</x:v>
      </x:c>
      <x:c r="AB447" s="118" t="n">
        <x:v>0</x:v>
      </x:c>
      <x:c r="AC447" s="118" t="n">
        <x:v>0</x:v>
      </x:c>
    </x:row>
    <x:row r="448" ht="46" customHeight="1">
      <x:c r="A448" s="117" t="str">
        <x:v>300Ro00000yYvjAIAS</x:v>
      </x:c>
      <x:c r="B448" s="117" t="str">
        <x:v>ProductItem_Asynchronous_on_create_Loaner_Location_Roll_Up</x:v>
      </x:c>
      <x:c r="C448" s="117" t="str">
        <x:v>Yes</x:v>
      </x:c>
      <x:c r="D448" s="119" t="str">
        <x:v>Active v2 (Retrieved XML)</x:v>
      </x:c>
      <x:c r="E448" s="119" t="str">
        <x:v>Loaner__c IsNull booleanValue=false</x:v>
      </x:c>
      <x:c r="F448" s="119" t="str">
        <x:v>Loaner__c, ProductItem__c</x:v>
      </x:c>
      <x:c r="G448" s="119" t="str">
        <x:v>Id, Loaner_Location__c, Loaner__c</x:v>
      </x:c>
      <x:c r="H448" s="119" t="str"/>
      <x:c r="I448" s="119" t="str"/>
      <x:c r="J448" s="119" t="str"/>
      <x:c r="K448" s="118" t="n">
        <x:v>7</x:v>
      </x:c>
      <x:c r="L448" s="118" t="n">
        <x:v>0</x:v>
      </x:c>
      <x:c r="M448" s="118" t="n">
        <x:v>0</x:v>
      </x:c>
      <x:c r="N448" s="118" t="n">
        <x:v>1</x:v>
      </x:c>
      <x:c r="O448" s="118" t="n">
        <x:v>0</x:v>
      </x:c>
      <x:c r="P448" s="118" t="n">
        <x:v>0</x:v>
      </x:c>
      <x:c r="Q448" s="118" t="n">
        <x:v>2</x:v>
      </x:c>
      <x:c r="R448" s="118" t="n">
        <x:v>1</x:v>
      </x:c>
      <x:c r="S448" s="118" t="n">
        <x:v>0</x:v>
      </x:c>
      <x:c r="T448" s="118" t="n">
        <x:v>0</x:v>
      </x:c>
      <x:c r="U448" s="118" t="n">
        <x:v>0</x:v>
      </x:c>
      <x:c r="V448" s="118" t="n">
        <x:v>1</x:v>
      </x:c>
      <x:c r="W448" s="118" t="n">
        <x:v>0</x:v>
      </x:c>
      <x:c r="X448" s="118" t="n">
        <x:v>1</x:v>
      </x:c>
      <x:c r="Y448" s="118" t="n">
        <x:v>0</x:v>
      </x:c>
      <x:c r="Z448" s="118" t="n">
        <x:v>0</x:v>
      </x:c>
      <x:c r="AA448" s="118" t="n">
        <x:v>0</x:v>
      </x:c>
      <x:c r="AB448" s="118" t="n">
        <x:v>0</x:v>
      </x:c>
      <x:c r="AC448" s="118" t="n">
        <x:v>0</x:v>
      </x:c>
    </x:row>
    <x:row r="449" ht="46" customHeight="1">
      <x:c r="A449" s="117" t="str">
        <x:v>300Ro00000ydLwWIAU</x:v>
      </x:c>
      <x:c r="B449" s="117" t="str">
        <x:v>ProductItem_Asynchronous_on_create_Loaner_Serial_Number_Roll_Up</x:v>
      </x:c>
      <x:c r="C449" s="117" t="str">
        <x:v>Yes</x:v>
      </x:c>
      <x:c r="D449" s="119" t="str">
        <x:v>Active v2 (Retrieved XML)</x:v>
      </x:c>
      <x:c r="E449" s="119" t="str">
        <x:v>Loaner__c IsNull booleanValue=false</x:v>
      </x:c>
      <x:c r="F449" s="119" t="str">
        <x:v>Loaner__c, ProductItem__c</x:v>
      </x:c>
      <x:c r="G449" s="119" t="str">
        <x:v>Id, Loaner_Serial__c, Loaner__c</x:v>
      </x:c>
      <x:c r="H449" s="119" t="str"/>
      <x:c r="I449" s="119" t="str"/>
      <x:c r="J449" s="119" t="str"/>
      <x:c r="K449" s="118" t="n">
        <x:v>7</x:v>
      </x:c>
      <x:c r="L449" s="118" t="n">
        <x:v>0</x:v>
      </x:c>
      <x:c r="M449" s="118" t="n">
        <x:v>0</x:v>
      </x:c>
      <x:c r="N449" s="118" t="n">
        <x:v>1</x:v>
      </x:c>
      <x:c r="O449" s="118" t="n">
        <x:v>0</x:v>
      </x:c>
      <x:c r="P449" s="118" t="n">
        <x:v>0</x:v>
      </x:c>
      <x:c r="Q449" s="118" t="n">
        <x:v>2</x:v>
      </x:c>
      <x:c r="R449" s="118" t="n">
        <x:v>1</x:v>
      </x:c>
      <x:c r="S449" s="118" t="n">
        <x:v>0</x:v>
      </x:c>
      <x:c r="T449" s="118" t="n">
        <x:v>0</x:v>
      </x:c>
      <x:c r="U449" s="118" t="n">
        <x:v>0</x:v>
      </x:c>
      <x:c r="V449" s="118" t="n">
        <x:v>1</x:v>
      </x:c>
      <x:c r="W449" s="118" t="n">
        <x:v>0</x:v>
      </x:c>
      <x:c r="X449" s="118" t="n">
        <x:v>1</x:v>
      </x:c>
      <x:c r="Y449" s="118" t="n">
        <x:v>0</x:v>
      </x:c>
      <x:c r="Z449" s="118" t="n">
        <x:v>0</x:v>
      </x:c>
      <x:c r="AA449" s="118" t="n">
        <x:v>0</x:v>
      </x:c>
      <x:c r="AB449" s="118" t="n">
        <x:v>0</x:v>
      </x:c>
      <x:c r="AC449" s="118" t="n">
        <x:v>0</x:v>
      </x:c>
    </x:row>
    <x:row r="450" ht="46" customHeight="1">
      <x:c r="A450" s="117" t="str">
        <x:v>300Ro00000ye8igIAA</x:v>
      </x:c>
      <x:c r="B450" s="117" t="str">
        <x:v>ProductItem_Asynchronous_on_create_Max_Bid_Roll_Up</x:v>
      </x:c>
      <x:c r="C450" s="117" t="str">
        <x:v>Yes</x:v>
      </x:c>
      <x:c r="D450" s="119" t="str">
        <x:v>Active v1 (Retrieved XML)</x:v>
      </x:c>
      <x:c r="E450" s="119" t="str">
        <x:v>Purchasing_Opportunity__c IsNull booleanValue=false</x:v>
      </x:c>
      <x:c r="F450" s="119" t="str">
        <x:v>Opportunity, ProductItem__c</x:v>
      </x:c>
      <x:c r="G450" s="119" t="str">
        <x:v>Id, Max_Bid__c, Purchasing_Opportunity__c</x:v>
      </x:c>
      <x:c r="H450" s="119" t="str"/>
      <x:c r="I450" s="119" t="str"/>
      <x:c r="J450" s="119" t="str"/>
      <x:c r="K450" s="118" t="n">
        <x:v>5</x:v>
      </x:c>
      <x:c r="L450" s="118" t="n">
        <x:v>0</x:v>
      </x:c>
      <x:c r="M450" s="118" t="n">
        <x:v>0</x:v>
      </x:c>
      <x:c r="N450" s="118" t="n">
        <x:v>0</x:v>
      </x:c>
      <x:c r="O450" s="118" t="n">
        <x:v>0</x:v>
      </x:c>
      <x:c r="P450" s="118" t="n">
        <x:v>0</x:v>
      </x:c>
      <x:c r="Q450" s="118" t="n">
        <x:v>1</x:v>
      </x:c>
      <x:c r="R450" s="118" t="n">
        <x:v>0</x:v>
      </x:c>
      <x:c r="S450" s="118" t="n">
        <x:v>0</x:v>
      </x:c>
      <x:c r="T450" s="118" t="n">
        <x:v>0</x:v>
      </x:c>
      <x:c r="U450" s="118" t="n">
        <x:v>0</x:v>
      </x:c>
      <x:c r="V450" s="118" t="n">
        <x:v>1</x:v>
      </x:c>
      <x:c r="W450" s="118" t="n">
        <x:v>0</x:v>
      </x:c>
      <x:c r="X450" s="118" t="n">
        <x:v>1</x:v>
      </x:c>
      <x:c r="Y450" s="118" t="n">
        <x:v>0</x:v>
      </x:c>
      <x:c r="Z450" s="118" t="n">
        <x:v>0</x:v>
      </x:c>
      <x:c r="AA450" s="118" t="n">
        <x:v>0</x:v>
      </x:c>
      <x:c r="AB450" s="118" t="n">
        <x:v>1</x:v>
      </x:c>
      <x:c r="AC450" s="118" t="n">
        <x:v>0</x:v>
      </x:c>
    </x:row>
    <x:row r="451" ht="46" customHeight="1">
      <x:c r="A451" s="117" t="str">
        <x:v>300Ro00000yeuH3IAI</x:v>
      </x:c>
      <x:c r="B451" s="117" t="str">
        <x:v>ProductItem_Asynchronous_on_create_NumberCheckedIn_PO_Roll_Up</x:v>
      </x:c>
      <x:c r="C451" s="117" t="str">
        <x:v>Yes</x:v>
      </x:c>
      <x:c r="D451" s="119" t="str">
        <x:v>Active v1 (Retrieved XML)</x:v>
      </x:c>
      <x:c r="E451" s="119" t="str">
        <x:v>Purchasing_Opportunity__c IsNull booleanValue=false</x:v>
      </x:c>
      <x:c r="F451" s="119" t="str">
        <x:v>Opportunity, ProductItem__c</x:v>
      </x:c>
      <x:c r="G451" s="119" t="str">
        <x:v>Id, Number_of_Checked_In_Items__c, Purchasing_Opportunity__c</x:v>
      </x:c>
      <x:c r="H451" s="119" t="str"/>
      <x:c r="I451" s="119" t="str"/>
      <x:c r="J451" s="119" t="str"/>
      <x:c r="K451" s="118" t="n">
        <x:v>4</x:v>
      </x:c>
      <x:c r="L451" s="118" t="n">
        <x:v>0</x:v>
      </x:c>
      <x:c r="M451" s="118" t="n">
        <x:v>0</x:v>
      </x:c>
      <x:c r="N451" s="118" t="n">
        <x:v>0</x:v>
      </x:c>
      <x:c r="O451" s="118" t="n">
        <x:v>0</x:v>
      </x:c>
      <x:c r="P451" s="118" t="n">
        <x:v>0</x:v>
      </x:c>
      <x:c r="Q451" s="118" t="n">
        <x:v>0</x:v>
      </x:c>
      <x:c r="R451" s="118" t="n">
        <x:v>0</x:v>
      </x:c>
      <x:c r="S451" s="118" t="n">
        <x:v>0</x:v>
      </x:c>
      <x:c r="T451" s="118" t="n">
        <x:v>0</x:v>
      </x:c>
      <x:c r="U451" s="118" t="n">
        <x:v>0</x:v>
      </x:c>
      <x:c r="V451" s="118" t="n">
        <x:v>1</x:v>
      </x:c>
      <x:c r="W451" s="118" t="n">
        <x:v>0</x:v>
      </x:c>
      <x:c r="X451" s="118" t="n">
        <x:v>1</x:v>
      </x:c>
      <x:c r="Y451" s="118" t="n">
        <x:v>0</x:v>
      </x:c>
      <x:c r="Z451" s="118" t="n">
        <x:v>0</x:v>
      </x:c>
      <x:c r="AA451" s="118" t="n">
        <x:v>0</x:v>
      </x:c>
      <x:c r="AB451" s="118" t="n">
        <x:v>1</x:v>
      </x:c>
      <x:c r="AC451" s="118" t="n">
        <x:v>0</x:v>
      </x:c>
    </x:row>
    <x:row r="452" ht="46" customHeight="1">
      <x:c r="A452" s="117" t="str">
        <x:v>300Ro00000yyHEnIAM</x:v>
      </x:c>
      <x:c r="B452" s="117" t="str">
        <x:v>ProductItem_Asynchronous_on_create_Pur_Op_Total_Cost_of_Unsold_Assets_Roll_Up</x:v>
      </x:c>
      <x:c r="C452" s="117" t="str">
        <x:v>Yes</x:v>
      </x:c>
      <x:c r="D452" s="119" t="str">
        <x:v>Active v1 (Retrieved XML)</x:v>
      </x:c>
      <x:c r="E452" s="119" t="str">
        <x:v>Purchasing_Opportunity__c IsNull booleanValue=false | sold__c EqualTo booleanValue=false | Cost__c IsNull booleanValue=false</x:v>
      </x:c>
      <x:c r="F452" s="119" t="str">
        <x:v>Opportunity, ProductItem__c</x:v>
      </x:c>
      <x:c r="G452" s="119" t="str">
        <x:v>Cost__c, Id, Purchasing_Opportunity__c, Total_Cost_of_Unsold_Assets__c, sold__c</x:v>
      </x:c>
      <x:c r="H452" s="119" t="str"/>
      <x:c r="I452" s="119" t="str"/>
      <x:c r="J452" s="119" t="str"/>
      <x:c r="K452" s="118" t="n">
        <x:v>5</x:v>
      </x:c>
      <x:c r="L452" s="118" t="n">
        <x:v>0</x:v>
      </x:c>
      <x:c r="M452" s="118" t="n">
        <x:v>0</x:v>
      </x:c>
      <x:c r="N452" s="118" t="n">
        <x:v>0</x:v>
      </x:c>
      <x:c r="O452" s="118" t="n">
        <x:v>0</x:v>
      </x:c>
      <x:c r="P452" s="118" t="n">
        <x:v>0</x:v>
      </x:c>
      <x:c r="Q452" s="118" t="n">
        <x:v>1</x:v>
      </x:c>
      <x:c r="R452" s="118" t="n">
        <x:v>0</x:v>
      </x:c>
      <x:c r="S452" s="118" t="n">
        <x:v>0</x:v>
      </x:c>
      <x:c r="T452" s="118" t="n">
        <x:v>0</x:v>
      </x:c>
      <x:c r="U452" s="118" t="n">
        <x:v>0</x:v>
      </x:c>
      <x:c r="V452" s="118" t="n">
        <x:v>1</x:v>
      </x:c>
      <x:c r="W452" s="118" t="n">
        <x:v>0</x:v>
      </x:c>
      <x:c r="X452" s="118" t="n">
        <x:v>1</x:v>
      </x:c>
      <x:c r="Y452" s="118" t="n">
        <x:v>0</x:v>
      </x:c>
      <x:c r="Z452" s="118" t="n">
        <x:v>0</x:v>
      </x:c>
      <x:c r="AA452" s="118" t="n">
        <x:v>0</x:v>
      </x:c>
      <x:c r="AB452" s="118" t="n">
        <x:v>1</x:v>
      </x:c>
      <x:c r="AC452" s="118" t="n">
        <x:v>0</x:v>
      </x:c>
    </x:row>
    <x:row r="453" ht="46" customHeight="1">
      <x:c r="A453" s="117" t="str">
        <x:v>300Ro00000yyBCYIA2</x:v>
      </x:c>
      <x:c r="B453" s="117" t="str">
        <x:v>ProductItem_Asynchronous_on_create_Pur_Op_Total_Cost_Roll_Up</x:v>
      </x:c>
      <x:c r="C453" s="117" t="str">
        <x:v>Yes</x:v>
      </x:c>
      <x:c r="D453" s="119" t="str">
        <x:v>Active v1 (Retrieved XML)</x:v>
      </x:c>
      <x:c r="E453" s="119" t="str">
        <x:v>Purchasing_Opportunity__c IsNull booleanValue=false | Cost__c IsNull booleanValue=false</x:v>
      </x:c>
      <x:c r="F453" s="119" t="str">
        <x:v>Opportunity, ProductItem__c</x:v>
      </x:c>
      <x:c r="G453" s="119" t="str">
        <x:v>Cost__c, Id, Purchasing_Opportunity__c, Total_Cost_of_Assets__c</x:v>
      </x:c>
      <x:c r="H453" s="119" t="str"/>
      <x:c r="I453" s="119" t="str"/>
      <x:c r="J453" s="119" t="str"/>
      <x:c r="K453" s="118" t="n">
        <x:v>5</x:v>
      </x:c>
      <x:c r="L453" s="118" t="n">
        <x:v>0</x:v>
      </x:c>
      <x:c r="M453" s="118" t="n">
        <x:v>0</x:v>
      </x:c>
      <x:c r="N453" s="118" t="n">
        <x:v>0</x:v>
      </x:c>
      <x:c r="O453" s="118" t="n">
        <x:v>0</x:v>
      </x:c>
      <x:c r="P453" s="118" t="n">
        <x:v>0</x:v>
      </x:c>
      <x:c r="Q453" s="118" t="n">
        <x:v>1</x:v>
      </x:c>
      <x:c r="R453" s="118" t="n">
        <x:v>0</x:v>
      </x:c>
      <x:c r="S453" s="118" t="n">
        <x:v>0</x:v>
      </x:c>
      <x:c r="T453" s="118" t="n">
        <x:v>0</x:v>
      </x:c>
      <x:c r="U453" s="118" t="n">
        <x:v>0</x:v>
      </x:c>
      <x:c r="V453" s="118" t="n">
        <x:v>1</x:v>
      </x:c>
      <x:c r="W453" s="118" t="n">
        <x:v>0</x:v>
      </x:c>
      <x:c r="X453" s="118" t="n">
        <x:v>1</x:v>
      </x:c>
      <x:c r="Y453" s="118" t="n">
        <x:v>0</x:v>
      </x:c>
      <x:c r="Z453" s="118" t="n">
        <x:v>0</x:v>
      </x:c>
      <x:c r="AA453" s="118" t="n">
        <x:v>0</x:v>
      </x:c>
      <x:c r="AB453" s="118" t="n">
        <x:v>1</x:v>
      </x:c>
      <x:c r="AC453" s="118" t="n">
        <x:v>0</x:v>
      </x:c>
    </x:row>
    <x:row r="454" ht="46" customHeight="1">
      <x:c r="A454" s="117" t="str">
        <x:v>300Ro00000yzeikIAA</x:v>
      </x:c>
      <x:c r="B454" s="117" t="str">
        <x:v>ProductItem_Asynchronous_on_create_Pur_Op_Working_Capital_Usage_Days_Roll_Up</x:v>
      </x:c>
      <x:c r="C454" s="117" t="str">
        <x:v>Yes</x:v>
      </x:c>
      <x:c r="D454" s="119" t="str">
        <x:v>Active v1 (Retrieved XML)</x:v>
      </x:c>
      <x:c r="E454" s="119" t="str">
        <x:v>Purchasing_Opportunity__c IsNull booleanValue=false | Working_Capital_Usage_Days__c IsNull booleanValue=false</x:v>
      </x:c>
      <x:c r="F454" s="119" t="str">
        <x:v>Opportunity, ProductItem__c</x:v>
      </x:c>
      <x:c r="G454" s="119" t="str">
        <x:v>Id, Purchasing_Opportunity__c, Working_Capital_Usage_Days__c</x:v>
      </x:c>
      <x:c r="H454" s="119" t="str"/>
      <x:c r="I454" s="119" t="str"/>
      <x:c r="J454" s="119" t="str"/>
      <x:c r="K454" s="118" t="n">
        <x:v>8</x:v>
      </x:c>
      <x:c r="L454" s="118" t="n">
        <x:v>0</x:v>
      </x:c>
      <x:c r="M454" s="118" t="n">
        <x:v>0</x:v>
      </x:c>
      <x:c r="N454" s="118" t="n">
        <x:v>2</x:v>
      </x:c>
      <x:c r="O454" s="118" t="n">
        <x:v>0</x:v>
      </x:c>
      <x:c r="P454" s="118" t="n">
        <x:v>0</x:v>
      </x:c>
      <x:c r="Q454" s="118" t="n">
        <x:v>2</x:v>
      </x:c>
      <x:c r="R454" s="118" t="n">
        <x:v>1</x:v>
      </x:c>
      <x:c r="S454" s="118" t="n">
        <x:v>0</x:v>
      </x:c>
      <x:c r="T454" s="118" t="n">
        <x:v>0</x:v>
      </x:c>
      <x:c r="U454" s="118" t="n">
        <x:v>0</x:v>
      </x:c>
      <x:c r="V454" s="118" t="n">
        <x:v>1</x:v>
      </x:c>
      <x:c r="W454" s="118" t="n">
        <x:v>0</x:v>
      </x:c>
      <x:c r="X454" s="118" t="n">
        <x:v>1</x:v>
      </x:c>
      <x:c r="Y454" s="118" t="n">
        <x:v>0</x:v>
      </x:c>
      <x:c r="Z454" s="118" t="n">
        <x:v>0</x:v>
      </x:c>
      <x:c r="AA454" s="118" t="n">
        <x:v>0</x:v>
      </x:c>
      <x:c r="AB454" s="118" t="n">
        <x:v>0</x:v>
      </x:c>
      <x:c r="AC454" s="118" t="n">
        <x:v>0</x:v>
      </x:c>
    </x:row>
    <x:row r="455" ht="46" customHeight="1">
      <x:c r="A455" s="117" t="str">
        <x:v>300Ro00000zDVIzIAO</x:v>
      </x:c>
      <x:c r="B455" s="117" t="str">
        <x:v>ProductItem_Asynchronous_on_create_Rental_Order_Price_Roll_Up</x:v>
      </x:c>
      <x:c r="C455" s="117" t="str">
        <x:v>Yes</x:v>
      </x:c>
      <x:c r="D455" s="119" t="str">
        <x:v>Active v1 (Retrieved XML)</x:v>
      </x:c>
      <x:c r="E455" s="119" t="str">
        <x:v>Rental_Order__c IsNull booleanValue=false</x:v>
      </x:c>
      <x:c r="F455" s="119" t="str">
        <x:v>ProductItem__c, Rental_Order__c</x:v>
      </x:c>
      <x:c r="G455" s="119" t="str">
        <x:v>Id, Rental_Amount__c, Rental_Order__c</x:v>
      </x:c>
      <x:c r="H455" s="119" t="str"/>
      <x:c r="I455" s="119" t="str"/>
      <x:c r="J455" s="119" t="str"/>
      <x:c r="K455" s="118" t="n">
        <x:v>5</x:v>
      </x:c>
      <x:c r="L455" s="118" t="n">
        <x:v>0</x:v>
      </x:c>
      <x:c r="M455" s="118" t="n">
        <x:v>0</x:v>
      </x:c>
      <x:c r="N455" s="118" t="n">
        <x:v>0</x:v>
      </x:c>
      <x:c r="O455" s="118" t="n">
        <x:v>0</x:v>
      </x:c>
      <x:c r="P455" s="118" t="n">
        <x:v>0</x:v>
      </x:c>
      <x:c r="Q455" s="118" t="n">
        <x:v>1</x:v>
      </x:c>
      <x:c r="R455" s="118" t="n">
        <x:v>0</x:v>
      </x:c>
      <x:c r="S455" s="118" t="n">
        <x:v>0</x:v>
      </x:c>
      <x:c r="T455" s="118" t="n">
        <x:v>0</x:v>
      </x:c>
      <x:c r="U455" s="118" t="n">
        <x:v>0</x:v>
      </x:c>
      <x:c r="V455" s="118" t="n">
        <x:v>1</x:v>
      </x:c>
      <x:c r="W455" s="118" t="n">
        <x:v>0</x:v>
      </x:c>
      <x:c r="X455" s="118" t="n">
        <x:v>1</x:v>
      </x:c>
      <x:c r="Y455" s="118" t="n">
        <x:v>0</x:v>
      </x:c>
      <x:c r="Z455" s="118" t="n">
        <x:v>0</x:v>
      </x:c>
      <x:c r="AA455" s="118" t="n">
        <x:v>0</x:v>
      </x:c>
      <x:c r="AB455" s="118" t="n">
        <x:v>1</x:v>
      </x:c>
      <x:c r="AC455" s="118" t="n">
        <x:v>0</x:v>
      </x:c>
    </x:row>
    <x:row r="456" ht="46" customHeight="1">
      <x:c r="A456" s="117" t="str">
        <x:v>300Ro00000yxeS0IAI</x:v>
      </x:c>
      <x:c r="B456" s="117" t="str">
        <x:v>ProductItem_Asynchronous_on_create_Starting_Bid_Roll_Up</x:v>
      </x:c>
      <x:c r="C456" s="117" t="str">
        <x:v>Yes</x:v>
      </x:c>
      <x:c r="D456" s="119" t="str">
        <x:v>Active v1 (Retrieved XML)</x:v>
      </x:c>
      <x:c r="E456" s="119" t="str">
        <x:v>Purchasing_Opportunity__c IsNull booleanValue=false</x:v>
      </x:c>
      <x:c r="F456" s="119" t="str">
        <x:v>Opportunity, ProductItem__c</x:v>
      </x:c>
      <x:c r="G456" s="119" t="str">
        <x:v>Id, Purchasing_Opportunity__c, Starting_Bid__c</x:v>
      </x:c>
      <x:c r="H456" s="119" t="str"/>
      <x:c r="I456" s="119" t="str"/>
      <x:c r="J456" s="119" t="str"/>
      <x:c r="K456" s="118" t="n">
        <x:v>5</x:v>
      </x:c>
      <x:c r="L456" s="118" t="n">
        <x:v>0</x:v>
      </x:c>
      <x:c r="M456" s="118" t="n">
        <x:v>0</x:v>
      </x:c>
      <x:c r="N456" s="118" t="n">
        <x:v>0</x:v>
      </x:c>
      <x:c r="O456" s="118" t="n">
        <x:v>0</x:v>
      </x:c>
      <x:c r="P456" s="118" t="n">
        <x:v>0</x:v>
      </x:c>
      <x:c r="Q456" s="118" t="n">
        <x:v>1</x:v>
      </x:c>
      <x:c r="R456" s="118" t="n">
        <x:v>0</x:v>
      </x:c>
      <x:c r="S456" s="118" t="n">
        <x:v>0</x:v>
      </x:c>
      <x:c r="T456" s="118" t="n">
        <x:v>0</x:v>
      </x:c>
      <x:c r="U456" s="118" t="n">
        <x:v>0</x:v>
      </x:c>
      <x:c r="V456" s="118" t="n">
        <x:v>1</x:v>
      </x:c>
      <x:c r="W456" s="118" t="n">
        <x:v>0</x:v>
      </x:c>
      <x:c r="X456" s="118" t="n">
        <x:v>1</x:v>
      </x:c>
      <x:c r="Y456" s="118" t="n">
        <x:v>0</x:v>
      </x:c>
      <x:c r="Z456" s="118" t="n">
        <x:v>0</x:v>
      </x:c>
      <x:c r="AA456" s="118" t="n">
        <x:v>0</x:v>
      </x:c>
      <x:c r="AB456" s="118" t="n">
        <x:v>1</x:v>
      </x:c>
      <x:c r="AC456" s="118" t="n">
        <x:v>0</x:v>
      </x:c>
    </x:row>
    <x:row r="457" ht="46" customHeight="1">
      <x:c r="A457" s="117" t="str">
        <x:v>300Ro00000yT0jdIAC</x:v>
      </x:c>
      <x:c r="B457" s="117" t="str">
        <x:v>ProductItem_Asynchronous_on_update_Estimated_Sales_Price_Roll_Up</x:v>
      </x:c>
      <x:c r="C457" s="117" t="str">
        <x:v>Yes</x:v>
      </x:c>
      <x:c r="D457" s="119" t="str">
        <x:v>Active v1 (Retrieved XML)</x:v>
      </x:c>
      <x:c r="E457" s="119" t="str">
        <x:v>Estimated_Sales_Price__c IsChanged booleanValue=true</x:v>
      </x:c>
      <x:c r="F457" s="119" t="str">
        <x:v>Opportunity, ProductItem__c</x:v>
      </x:c>
      <x:c r="G457" s="119" t="str">
        <x:v>Estimated_Sales_Price__c, Id, Purchasing_Opportunity__c</x:v>
      </x:c>
      <x:c r="H457" s="119" t="str"/>
      <x:c r="I457" s="119" t="str"/>
      <x:c r="J457" s="119" t="str"/>
      <x:c r="K457" s="118" t="n">
        <x:v>4</x:v>
      </x:c>
      <x:c r="L457" s="118" t="n">
        <x:v>0</x:v>
      </x:c>
      <x:c r="M457" s="118" t="n">
        <x:v>0</x:v>
      </x:c>
      <x:c r="N457" s="118" t="n">
        <x:v>0</x:v>
      </x:c>
      <x:c r="O457" s="118" t="n">
        <x:v>0</x:v>
      </x:c>
      <x:c r="P457" s="118" t="n">
        <x:v>0</x:v>
      </x:c>
      <x:c r="Q457" s="118" t="n">
        <x:v>0</x:v>
      </x:c>
      <x:c r="R457" s="118" t="n">
        <x:v>0</x:v>
      </x:c>
      <x:c r="S457" s="118" t="n">
        <x:v>0</x:v>
      </x:c>
      <x:c r="T457" s="118" t="n">
        <x:v>0</x:v>
      </x:c>
      <x:c r="U457" s="118" t="n">
        <x:v>0</x:v>
      </x:c>
      <x:c r="V457" s="118" t="n">
        <x:v>1</x:v>
      </x:c>
      <x:c r="W457" s="118" t="n">
        <x:v>0</x:v>
      </x:c>
      <x:c r="X457" s="118" t="n">
        <x:v>1</x:v>
      </x:c>
      <x:c r="Y457" s="118" t="n">
        <x:v>0</x:v>
      </x:c>
      <x:c r="Z457" s="118" t="n">
        <x:v>0</x:v>
      </x:c>
      <x:c r="AA457" s="118" t="n">
        <x:v>0</x:v>
      </x:c>
      <x:c r="AB457" s="118" t="n">
        <x:v>1</x:v>
      </x:c>
      <x:c r="AC457" s="118" t="n">
        <x:v>0</x:v>
      </x:c>
    </x:row>
    <x:row r="458" ht="46" customHeight="1">
      <x:c r="A458" s="117" t="str">
        <x:v>300Ro00000yTV5yIAG</x:v>
      </x:c>
      <x:c r="B458" s="117" t="str">
        <x:v>ProductItem_Asynchronous_on_update_HWO_Total_Cost_Roll_Up</x:v>
      </x:c>
      <x:c r="C458" s="117" t="str">
        <x:v>Yes</x:v>
      </x:c>
      <x:c r="D458" s="119" t="str">
        <x:v>Active v3 (Retrieved XML)</x:v>
      </x:c>
      <x:c r="E458" s="119" t="str">
        <x:v>Cost__c IsChanged booleanValue=true | Harvest_Work_Order__c IsNull booleanValue=false</x:v>
      </x:c>
      <x:c r="F458" s="119" t="str">
        <x:v>Harvest_Work_Order__c, ProductItem__c</x:v>
      </x:c>
      <x:c r="G458" s="119" t="str">
        <x:v>Cost__c, HWO_Total_Cost__c, Harvest_Work_Order__c, Id</x:v>
      </x:c>
      <x:c r="H458" s="119" t="str"/>
      <x:c r="I458" s="119" t="str"/>
      <x:c r="J458" s="119" t="str"/>
      <x:c r="K458" s="118" t="n">
        <x:v>5</x:v>
      </x:c>
      <x:c r="L458" s="118" t="n">
        <x:v>0</x:v>
      </x:c>
      <x:c r="M458" s="118" t="n">
        <x:v>0</x:v>
      </x:c>
      <x:c r="N458" s="118" t="n">
        <x:v>0</x:v>
      </x:c>
      <x:c r="O458" s="118" t="n">
        <x:v>0</x:v>
      </x:c>
      <x:c r="P458" s="118" t="n">
        <x:v>0</x:v>
      </x:c>
      <x:c r="Q458" s="118" t="n">
        <x:v>1</x:v>
      </x:c>
      <x:c r="R458" s="118" t="n">
        <x:v>0</x:v>
      </x:c>
      <x:c r="S458" s="118" t="n">
        <x:v>0</x:v>
      </x:c>
      <x:c r="T458" s="118" t="n">
        <x:v>0</x:v>
      </x:c>
      <x:c r="U458" s="118" t="n">
        <x:v>0</x:v>
      </x:c>
      <x:c r="V458" s="118" t="n">
        <x:v>1</x:v>
      </x:c>
      <x:c r="W458" s="118" t="n">
        <x:v>0</x:v>
      </x:c>
      <x:c r="X458" s="118" t="n">
        <x:v>1</x:v>
      </x:c>
      <x:c r="Y458" s="118" t="n">
        <x:v>0</x:v>
      </x:c>
      <x:c r="Z458" s="118" t="n">
        <x:v>0</x:v>
      </x:c>
      <x:c r="AA458" s="118" t="n">
        <x:v>0</x:v>
      </x:c>
      <x:c r="AB458" s="118" t="n">
        <x:v>1</x:v>
      </x:c>
      <x:c r="AC458" s="118" t="n">
        <x:v>0</x:v>
      </x:c>
    </x:row>
    <x:row r="459" ht="46" customHeight="1">
      <x:c r="A459" s="117" t="str">
        <x:v>300Ro00000yTWmmIAG</x:v>
      </x:c>
      <x:c r="B459" s="117" t="str">
        <x:v>ProductItem_Asynchronous_on_update_HWO_Total_Revenue_Roll_Up</x:v>
      </x:c>
      <x:c r="C459" s="117" t="str">
        <x:v>Yes</x:v>
      </x:c>
      <x:c r="D459" s="119" t="str">
        <x:v>Active v2 (Retrieved XML)</x:v>
      </x:c>
      <x:c r="E459" s="119" t="str">
        <x:v>Sales_Price__c IsChanged booleanValue=true</x:v>
      </x:c>
      <x:c r="F459" s="119" t="str">
        <x:v>Harvest_Work_Order__c, ProductItem__c</x:v>
      </x:c>
      <x:c r="G459" s="119" t="str">
        <x:v>HWO_Total_Revenue__c, Harvest_Work_Order__c, Id, Sales_Price__c</x:v>
      </x:c>
      <x:c r="H459" s="119" t="str"/>
      <x:c r="I459" s="119" t="str"/>
      <x:c r="J459" s="119" t="str"/>
      <x:c r="K459" s="118" t="n">
        <x:v>5</x:v>
      </x:c>
      <x:c r="L459" s="118" t="n">
        <x:v>0</x:v>
      </x:c>
      <x:c r="M459" s="118" t="n">
        <x:v>0</x:v>
      </x:c>
      <x:c r="N459" s="118" t="n">
        <x:v>0</x:v>
      </x:c>
      <x:c r="O459" s="118" t="n">
        <x:v>0</x:v>
      </x:c>
      <x:c r="P459" s="118" t="n">
        <x:v>0</x:v>
      </x:c>
      <x:c r="Q459" s="118" t="n">
        <x:v>1</x:v>
      </x:c>
      <x:c r="R459" s="118" t="n">
        <x:v>0</x:v>
      </x:c>
      <x:c r="S459" s="118" t="n">
        <x:v>0</x:v>
      </x:c>
      <x:c r="T459" s="118" t="n">
        <x:v>0</x:v>
      </x:c>
      <x:c r="U459" s="118" t="n">
        <x:v>0</x:v>
      </x:c>
      <x:c r="V459" s="118" t="n">
        <x:v>1</x:v>
      </x:c>
      <x:c r="W459" s="118" t="n">
        <x:v>0</x:v>
      </x:c>
      <x:c r="X459" s="118" t="n">
        <x:v>1</x:v>
      </x:c>
      <x:c r="Y459" s="118" t="n">
        <x:v>0</x:v>
      </x:c>
      <x:c r="Z459" s="118" t="n">
        <x:v>0</x:v>
      </x:c>
      <x:c r="AA459" s="118" t="n">
        <x:v>0</x:v>
      </x:c>
      <x:c r="AB459" s="118" t="n">
        <x:v>1</x:v>
      </x:c>
      <x:c r="AC459" s="118" t="n">
        <x:v>0</x:v>
      </x:c>
    </x:row>
    <x:row r="460" ht="46" customHeight="1">
      <x:c r="A460" s="117" t="str">
        <x:v>300Ro00000yXXXKIA4</x:v>
      </x:c>
      <x:c r="B460" s="117" t="str">
        <x:v>ProductItem_Asynchronous_on_update_Item_Receipt_Amount_Roll_Up</x:v>
      </x:c>
      <x:c r="C460" s="117" t="str">
        <x:v>Yes</x:v>
      </x:c>
      <x:c r="D460" s="119" t="str">
        <x:v>Active v1 (Retrieved XML)</x:v>
      </x:c>
      <x:c r="E460" s="119" t="str">
        <x:v>Cost__c IsChanged booleanValue=true</x:v>
      </x:c>
      <x:c r="F460" s="119" t="str">
        <x:v>Item_Receipt__c, ProductItem__c</x:v>
      </x:c>
      <x:c r="G460" s="119" t="str">
        <x:v>Cost__c, Id, Item_Receipt_Amount__c, Item_Receipt__c</x:v>
      </x:c>
      <x:c r="H460" s="119" t="str"/>
      <x:c r="I460" s="119" t="str"/>
      <x:c r="J460" s="119" t="str"/>
      <x:c r="K460" s="118" t="n">
        <x:v>5</x:v>
      </x:c>
      <x:c r="L460" s="118" t="n">
        <x:v>0</x:v>
      </x:c>
      <x:c r="M460" s="118" t="n">
        <x:v>0</x:v>
      </x:c>
      <x:c r="N460" s="118" t="n">
        <x:v>0</x:v>
      </x:c>
      <x:c r="O460" s="118" t="n">
        <x:v>0</x:v>
      </x:c>
      <x:c r="P460" s="118" t="n">
        <x:v>0</x:v>
      </x:c>
      <x:c r="Q460" s="118" t="n">
        <x:v>1</x:v>
      </x:c>
      <x:c r="R460" s="118" t="n">
        <x:v>0</x:v>
      </x:c>
      <x:c r="S460" s="118" t="n">
        <x:v>0</x:v>
      </x:c>
      <x:c r="T460" s="118" t="n">
        <x:v>0</x:v>
      </x:c>
      <x:c r="U460" s="118" t="n">
        <x:v>0</x:v>
      </x:c>
      <x:c r="V460" s="118" t="n">
        <x:v>1</x:v>
      </x:c>
      <x:c r="W460" s="118" t="n">
        <x:v>0</x:v>
      </x:c>
      <x:c r="X460" s="118" t="n">
        <x:v>1</x:v>
      </x:c>
      <x:c r="Y460" s="118" t="n">
        <x:v>0</x:v>
      </x:c>
      <x:c r="Z460" s="118" t="n">
        <x:v>0</x:v>
      </x:c>
      <x:c r="AA460" s="118" t="n">
        <x:v>0</x:v>
      </x:c>
      <x:c r="AB460" s="118" t="n">
        <x:v>1</x:v>
      </x:c>
      <x:c r="AC460" s="118" t="n">
        <x:v>0</x:v>
      </x:c>
    </x:row>
    <x:row r="461" ht="46" customHeight="1">
      <x:c r="A461" s="117" t="str">
        <x:v>300Ro00000zEWo6IAG</x:v>
      </x:c>
      <x:c r="B461" s="117" t="str">
        <x:v>ProductItem_Asynchronous_on_update_Loaner_Asset_Number_Roll_Up</x:v>
      </x:c>
      <x:c r="C461" s="117" t="str">
        <x:v>Yes</x:v>
      </x:c>
      <x:c r="D461" s="119" t="str">
        <x:v>Active v1 (Retrieved XML)</x:v>
      </x:c>
      <x:c r="E461" s="119" t="str">
        <x:v>Name IsChanged booleanValue=true | Loaner__c IsChanged booleanValue=true | Loaner__c IsNull booleanValue=false</x:v>
      </x:c>
      <x:c r="F461" s="119" t="str">
        <x:v>Loaner__c, ProductItem__c</x:v>
      </x:c>
      <x:c r="G461" s="119" t="str">
        <x:v>Id, Loaner_Asset__c, Loaner__c, Name</x:v>
      </x:c>
      <x:c r="H461" s="119" t="str"/>
      <x:c r="I461" s="119" t="str"/>
      <x:c r="J461" s="119" t="str"/>
      <x:c r="K461" s="118" t="n">
        <x:v>9</x:v>
      </x:c>
      <x:c r="L461" s="118" t="n">
        <x:v>0</x:v>
      </x:c>
      <x:c r="M461" s="118" t="n">
        <x:v>0</x:v>
      </x:c>
      <x:c r="N461" s="118" t="n">
        <x:v>1</x:v>
      </x:c>
      <x:c r="O461" s="118" t="n">
        <x:v>0</x:v>
      </x:c>
      <x:c r="P461" s="118" t="n">
        <x:v>0</x:v>
      </x:c>
      <x:c r="Q461" s="118" t="n">
        <x:v>3</x:v>
      </x:c>
      <x:c r="R461" s="118" t="n">
        <x:v>1</x:v>
      </x:c>
      <x:c r="S461" s="118" t="n">
        <x:v>0</x:v>
      </x:c>
      <x:c r="T461" s="118" t="n">
        <x:v>0</x:v>
      </x:c>
      <x:c r="U461" s="118" t="n">
        <x:v>0</x:v>
      </x:c>
      <x:c r="V461" s="118" t="n">
        <x:v>1</x:v>
      </x:c>
      <x:c r="W461" s="118" t="n">
        <x:v>0</x:v>
      </x:c>
      <x:c r="X461" s="118" t="n">
        <x:v>2</x:v>
      </x:c>
      <x:c r="Y461" s="118" t="n">
        <x:v>0</x:v>
      </x:c>
      <x:c r="Z461" s="118" t="n">
        <x:v>0</x:v>
      </x:c>
      <x:c r="AA461" s="118" t="n">
        <x:v>0</x:v>
      </x:c>
      <x:c r="AB461" s="118" t="n">
        <x:v>0</x:v>
      </x:c>
      <x:c r="AC461" s="118" t="n">
        <x:v>0</x:v>
      </x:c>
    </x:row>
    <x:row r="462" ht="46" customHeight="1">
      <x:c r="A462" s="117" t="str">
        <x:v>300Ro00000yYvjBIAS</x:v>
      </x:c>
      <x:c r="B462" s="117" t="str">
        <x:v>ProductItem_Asynchronous_on_update_Loaner_Location_Roll_Up</x:v>
      </x:c>
      <x:c r="C462" s="117" t="str">
        <x:v>Yes</x:v>
      </x:c>
      <x:c r="D462" s="119" t="str">
        <x:v>Active v2 (Retrieved XML)</x:v>
      </x:c>
      <x:c r="E462" s="119" t="str">
        <x:v>Location__c IsChanged booleanValue=true | Loaner__c IsNull booleanValue=false</x:v>
      </x:c>
      <x:c r="F462" s="119" t="str">
        <x:v>Loaner__c, ProductItem__c</x:v>
      </x:c>
      <x:c r="G462" s="119" t="str">
        <x:v>Id, Loaner_Location__c, Loaner__c, Location__c</x:v>
      </x:c>
      <x:c r="H462" s="119" t="str"/>
      <x:c r="I462" s="119" t="str"/>
      <x:c r="J462" s="119" t="str"/>
      <x:c r="K462" s="118" t="n">
        <x:v>7</x:v>
      </x:c>
      <x:c r="L462" s="118" t="n">
        <x:v>0</x:v>
      </x:c>
      <x:c r="M462" s="118" t="n">
        <x:v>0</x:v>
      </x:c>
      <x:c r="N462" s="118" t="n">
        <x:v>1</x:v>
      </x:c>
      <x:c r="O462" s="118" t="n">
        <x:v>0</x:v>
      </x:c>
      <x:c r="P462" s="118" t="n">
        <x:v>0</x:v>
      </x:c>
      <x:c r="Q462" s="118" t="n">
        <x:v>2</x:v>
      </x:c>
      <x:c r="R462" s="118" t="n">
        <x:v>1</x:v>
      </x:c>
      <x:c r="S462" s="118" t="n">
        <x:v>0</x:v>
      </x:c>
      <x:c r="T462" s="118" t="n">
        <x:v>0</x:v>
      </x:c>
      <x:c r="U462" s="118" t="n">
        <x:v>0</x:v>
      </x:c>
      <x:c r="V462" s="118" t="n">
        <x:v>1</x:v>
      </x:c>
      <x:c r="W462" s="118" t="n">
        <x:v>0</x:v>
      </x:c>
      <x:c r="X462" s="118" t="n">
        <x:v>1</x:v>
      </x:c>
      <x:c r="Y462" s="118" t="n">
        <x:v>0</x:v>
      </x:c>
      <x:c r="Z462" s="118" t="n">
        <x:v>0</x:v>
      </x:c>
      <x:c r="AA462" s="118" t="n">
        <x:v>0</x:v>
      </x:c>
      <x:c r="AB462" s="118" t="n">
        <x:v>0</x:v>
      </x:c>
      <x:c r="AC462" s="118" t="n">
        <x:v>0</x:v>
      </x:c>
    </x:row>
    <x:row r="463" ht="46" customHeight="1">
      <x:c r="A463" s="117" t="str">
        <x:v>300Ro00000ydLwXIAU</x:v>
      </x:c>
      <x:c r="B463" s="117" t="str">
        <x:v>ProductItem_Asynchronous_on_update_Loaner_Serial_Number_Roll_Up</x:v>
      </x:c>
      <x:c r="C463" s="117" t="str">
        <x:v>Yes</x:v>
      </x:c>
      <x:c r="D463" s="119" t="str">
        <x:v>Active v2 (Retrieved XML)</x:v>
      </x:c>
      <x:c r="E463" s="119" t="str">
        <x:v>Serial_No__c IsChanged booleanValue=true | Loaner__c IsNull booleanValue=false</x:v>
      </x:c>
      <x:c r="F463" s="119" t="str">
        <x:v>Loaner__c, ProductItem__c</x:v>
      </x:c>
      <x:c r="G463" s="119" t="str">
        <x:v>Id, Loaner_Serial__c, Loaner__c, Serial_No__c</x:v>
      </x:c>
      <x:c r="H463" s="119" t="str"/>
      <x:c r="I463" s="119" t="str"/>
      <x:c r="J463" s="119" t="str"/>
      <x:c r="K463" s="118" t="n">
        <x:v>7</x:v>
      </x:c>
      <x:c r="L463" s="118" t="n">
        <x:v>0</x:v>
      </x:c>
      <x:c r="M463" s="118" t="n">
        <x:v>0</x:v>
      </x:c>
      <x:c r="N463" s="118" t="n">
        <x:v>1</x:v>
      </x:c>
      <x:c r="O463" s="118" t="n">
        <x:v>0</x:v>
      </x:c>
      <x:c r="P463" s="118" t="n">
        <x:v>0</x:v>
      </x:c>
      <x:c r="Q463" s="118" t="n">
        <x:v>2</x:v>
      </x:c>
      <x:c r="R463" s="118" t="n">
        <x:v>1</x:v>
      </x:c>
      <x:c r="S463" s="118" t="n">
        <x:v>0</x:v>
      </x:c>
      <x:c r="T463" s="118" t="n">
        <x:v>0</x:v>
      </x:c>
      <x:c r="U463" s="118" t="n">
        <x:v>0</x:v>
      </x:c>
      <x:c r="V463" s="118" t="n">
        <x:v>1</x:v>
      </x:c>
      <x:c r="W463" s="118" t="n">
        <x:v>0</x:v>
      </x:c>
      <x:c r="X463" s="118" t="n">
        <x:v>1</x:v>
      </x:c>
      <x:c r="Y463" s="118" t="n">
        <x:v>0</x:v>
      </x:c>
      <x:c r="Z463" s="118" t="n">
        <x:v>0</x:v>
      </x:c>
      <x:c r="AA463" s="118" t="n">
        <x:v>0</x:v>
      </x:c>
      <x:c r="AB463" s="118" t="n">
        <x:v>0</x:v>
      </x:c>
      <x:c r="AC463" s="118" t="n">
        <x:v>0</x:v>
      </x:c>
    </x:row>
    <x:row r="464" ht="46" customHeight="1">
      <x:c r="A464" s="117" t="str">
        <x:v>300Ro00000ye8ihIAA</x:v>
      </x:c>
      <x:c r="B464" s="117" t="str">
        <x:v>ProductItem_Asynchronous_on_update_Max_Bid_Roll_Up</x:v>
      </x:c>
      <x:c r="C464" s="117" t="str">
        <x:v>Yes</x:v>
      </x:c>
      <x:c r="D464" s="119" t="str">
        <x:v>Active v2 (Retrieved XML)</x:v>
      </x:c>
      <x:c r="E464" s="119" t="str">
        <x:v>Max_Bid__c IsChanged booleanValue=true | Purchasing_Opportunity__c IsNull booleanValue=false</x:v>
      </x:c>
      <x:c r="F464" s="119" t="str">
        <x:v>Opportunity, ProductItem__c</x:v>
      </x:c>
      <x:c r="G464" s="119" t="str">
        <x:v>Id, Max_Bid__c, Purchasing_Opportunity__c</x:v>
      </x:c>
      <x:c r="H464" s="119" t="str"/>
      <x:c r="I464" s="119" t="str"/>
      <x:c r="J464" s="119" t="str"/>
      <x:c r="K464" s="118" t="n">
        <x:v>4</x:v>
      </x:c>
      <x:c r="L464" s="118" t="n">
        <x:v>0</x:v>
      </x:c>
      <x:c r="M464" s="118" t="n">
        <x:v>0</x:v>
      </x:c>
      <x:c r="N464" s="118" t="n">
        <x:v>0</x:v>
      </x:c>
      <x:c r="O464" s="118" t="n">
        <x:v>0</x:v>
      </x:c>
      <x:c r="P464" s="118" t="n">
        <x:v>0</x:v>
      </x:c>
      <x:c r="Q464" s="118" t="n">
        <x:v>0</x:v>
      </x:c>
      <x:c r="R464" s="118" t="n">
        <x:v>0</x:v>
      </x:c>
      <x:c r="S464" s="118" t="n">
        <x:v>0</x:v>
      </x:c>
      <x:c r="T464" s="118" t="n">
        <x:v>0</x:v>
      </x:c>
      <x:c r="U464" s="118" t="n">
        <x:v>0</x:v>
      </x:c>
      <x:c r="V464" s="118" t="n">
        <x:v>1</x:v>
      </x:c>
      <x:c r="W464" s="118" t="n">
        <x:v>0</x:v>
      </x:c>
      <x:c r="X464" s="118" t="n">
        <x:v>1</x:v>
      </x:c>
      <x:c r="Y464" s="118" t="n">
        <x:v>0</x:v>
      </x:c>
      <x:c r="Z464" s="118" t="n">
        <x:v>0</x:v>
      </x:c>
      <x:c r="AA464" s="118" t="n">
        <x:v>0</x:v>
      </x:c>
      <x:c r="AB464" s="118" t="n">
        <x:v>1</x:v>
      </x:c>
      <x:c r="AC464" s="118" t="n">
        <x:v>0</x:v>
      </x:c>
    </x:row>
    <x:row r="465" ht="46" customHeight="1">
      <x:c r="A465" s="117" t="str">
        <x:v>300Ro00000yeuH4IAI</x:v>
      </x:c>
      <x:c r="B465" s="117" t="str">
        <x:v>ProductItem_Asynchronous_on_update_NumberCheckedIn_PO_Roll_Up</x:v>
      </x:c>
      <x:c r="C465" s="117" t="str">
        <x:v>Yes</x:v>
      </x:c>
      <x:c r="D465" s="119" t="str">
        <x:v>Active v1 (Retrieved XML)</x:v>
      </x:c>
      <x:c r="E465" s="119" t="str">
        <x:v>Purchasing_Opportunity__c IsChanged booleanValue=true</x:v>
      </x:c>
      <x:c r="F465" s="119" t="str">
        <x:v>Opportunity, ProductItem__c</x:v>
      </x:c>
      <x:c r="G465" s="119" t="str">
        <x:v>Id, Number_of_Checked_In_Items__c, Purchasing_Opportunity__c</x:v>
      </x:c>
      <x:c r="H465" s="119" t="str"/>
      <x:c r="I465" s="119" t="str"/>
      <x:c r="J465" s="119" t="str"/>
      <x:c r="K465" s="118" t="n">
        <x:v>9</x:v>
      </x:c>
      <x:c r="L465" s="118" t="n">
        <x:v>0</x:v>
      </x:c>
      <x:c r="M465" s="118" t="n">
        <x:v>0</x:v>
      </x:c>
      <x:c r="N465" s="118" t="n">
        <x:v>0</x:v>
      </x:c>
      <x:c r="O465" s="118" t="n">
        <x:v>0</x:v>
      </x:c>
      <x:c r="P465" s="118" t="n">
        <x:v>0</x:v>
      </x:c>
      <x:c r="Q465" s="118" t="n">
        <x:v>2</x:v>
      </x:c>
      <x:c r="R465" s="118" t="n">
        <x:v>0</x:v>
      </x:c>
      <x:c r="S465" s="118" t="n">
        <x:v>0</x:v>
      </x:c>
      <x:c r="T465" s="118" t="n">
        <x:v>0</x:v>
      </x:c>
      <x:c r="U465" s="118" t="n">
        <x:v>0</x:v>
      </x:c>
      <x:c r="V465" s="118" t="n">
        <x:v>2</x:v>
      </x:c>
      <x:c r="W465" s="118" t="n">
        <x:v>0</x:v>
      </x:c>
      <x:c r="X465" s="118" t="n">
        <x:v>2</x:v>
      </x:c>
      <x:c r="Y465" s="118" t="n">
        <x:v>0</x:v>
      </x:c>
      <x:c r="Z465" s="118" t="n">
        <x:v>0</x:v>
      </x:c>
      <x:c r="AA465" s="118" t="n">
        <x:v>0</x:v>
      </x:c>
      <x:c r="AB465" s="118" t="n">
        <x:v>2</x:v>
      </x:c>
      <x:c r="AC465" s="118" t="n">
        <x:v>0</x:v>
      </x:c>
    </x:row>
    <x:row r="466" ht="46" customHeight="1">
      <x:c r="A466" s="117" t="str">
        <x:v>300Ro00000yxeS1IAI</x:v>
      </x:c>
      <x:c r="B466" s="117" t="str">
        <x:v>ProductItem_Asynchronous_on_update_Starting_Bid_Roll_Up</x:v>
      </x:c>
      <x:c r="C466" s="117" t="str">
        <x:v>Yes</x:v>
      </x:c>
      <x:c r="D466" s="119" t="str">
        <x:v>Active v2 (Retrieved XML)</x:v>
      </x:c>
      <x:c r="E466" s="119" t="str">
        <x:v>Starting_Bid__c IsChanged booleanValue=true | Purchasing_Opportunity__c IsNull booleanValue=false</x:v>
      </x:c>
      <x:c r="F466" s="119" t="str">
        <x:v>Opportunity, ProductItem__c</x:v>
      </x:c>
      <x:c r="G466" s="119" t="str">
        <x:v>Id, Purchasing_Opportunity__c, Starting_Bid__c</x:v>
      </x:c>
      <x:c r="H466" s="119" t="str"/>
      <x:c r="I466" s="119" t="str"/>
      <x:c r="J466" s="119" t="str"/>
      <x:c r="K466" s="118" t="n">
        <x:v>4</x:v>
      </x:c>
      <x:c r="L466" s="118" t="n">
        <x:v>0</x:v>
      </x:c>
      <x:c r="M466" s="118" t="n">
        <x:v>0</x:v>
      </x:c>
      <x:c r="N466" s="118" t="n">
        <x:v>0</x:v>
      </x:c>
      <x:c r="O466" s="118" t="n">
        <x:v>0</x:v>
      </x:c>
      <x:c r="P466" s="118" t="n">
        <x:v>0</x:v>
      </x:c>
      <x:c r="Q466" s="118" t="n">
        <x:v>0</x:v>
      </x:c>
      <x:c r="R466" s="118" t="n">
        <x:v>0</x:v>
      </x:c>
      <x:c r="S466" s="118" t="n">
        <x:v>0</x:v>
      </x:c>
      <x:c r="T466" s="118" t="n">
        <x:v>0</x:v>
      </x:c>
      <x:c r="U466" s="118" t="n">
        <x:v>0</x:v>
      </x:c>
      <x:c r="V466" s="118" t="n">
        <x:v>1</x:v>
      </x:c>
      <x:c r="W466" s="118" t="n">
        <x:v>0</x:v>
      </x:c>
      <x:c r="X466" s="118" t="n">
        <x:v>1</x:v>
      </x:c>
      <x:c r="Y466" s="118" t="n">
        <x:v>0</x:v>
      </x:c>
      <x:c r="Z466" s="118" t="n">
        <x:v>0</x:v>
      </x:c>
      <x:c r="AA466" s="118" t="n">
        <x:v>0</x:v>
      </x:c>
      <x:c r="AB466" s="118" t="n">
        <x:v>1</x:v>
      </x:c>
      <x:c r="AC466" s="118" t="n">
        <x:v>0</x:v>
      </x:c>
    </x:row>
    <x:row r="467" ht="46" customHeight="1">
      <x:c r="A467" s="117" t="str">
        <x:v>300Ro00000yS5oeIAC</x:v>
      </x:c>
      <x:c r="B467" s="117" t="str">
        <x:v>ProductItem_Before_delete_Estimated_Sales_Price_Roll_Up</x:v>
      </x:c>
      <x:c r="C467" s="117" t="str">
        <x:v>Yes</x:v>
      </x:c>
      <x:c r="D467" s="119" t="str">
        <x:v>Active v2 (Retrieved XML)</x:v>
      </x:c>
      <x:c r="E467" s="119" t="str"/>
      <x:c r="F467" s="119" t="str">
        <x:v>Opportunity, ProductItem__c</x:v>
      </x:c>
      <x:c r="G467" s="119" t="str">
        <x:v>Estimated_Sales_Price__c, Id, Purchasing_Opportunity__c</x:v>
      </x:c>
      <x:c r="H467" s="119" t="str"/>
      <x:c r="I467" s="119" t="str"/>
      <x:c r="J467" s="119" t="str"/>
      <x:c r="K467" s="118" t="n">
        <x:v>5</x:v>
      </x:c>
      <x:c r="L467" s="118" t="n">
        <x:v>0</x:v>
      </x:c>
      <x:c r="M467" s="118" t="n">
        <x:v>0</x:v>
      </x:c>
      <x:c r="N467" s="118" t="n">
        <x:v>0</x:v>
      </x:c>
      <x:c r="O467" s="118" t="n">
        <x:v>0</x:v>
      </x:c>
      <x:c r="P467" s="118" t="n">
        <x:v>0</x:v>
      </x:c>
      <x:c r="Q467" s="118" t="n">
        <x:v>1</x:v>
      </x:c>
      <x:c r="R467" s="118" t="n">
        <x:v>0</x:v>
      </x:c>
      <x:c r="S467" s="118" t="n">
        <x:v>0</x:v>
      </x:c>
      <x:c r="T467" s="118" t="n">
        <x:v>0</x:v>
      </x:c>
      <x:c r="U467" s="118" t="n">
        <x:v>0</x:v>
      </x:c>
      <x:c r="V467" s="118" t="n">
        <x:v>1</x:v>
      </x:c>
      <x:c r="W467" s="118" t="n">
        <x:v>0</x:v>
      </x:c>
      <x:c r="X467" s="118" t="n">
        <x:v>1</x:v>
      </x:c>
      <x:c r="Y467" s="118" t="n">
        <x:v>0</x:v>
      </x:c>
      <x:c r="Z467" s="118" t="n">
        <x:v>0</x:v>
      </x:c>
      <x:c r="AA467" s="118" t="n">
        <x:v>0</x:v>
      </x:c>
      <x:c r="AB467" s="118" t="n">
        <x:v>1</x:v>
      </x:c>
      <x:c r="AC467" s="118" t="n">
        <x:v>0</x:v>
      </x:c>
    </x:row>
    <x:row r="468" ht="46" customHeight="1">
      <x:c r="A468" s="117" t="str">
        <x:v>300Ro00000yTV5zIAG</x:v>
      </x:c>
      <x:c r="B468" s="117" t="str">
        <x:v>ProductItem_Before_delete_HWO_Total_Cost_Roll_Up</x:v>
      </x:c>
      <x:c r="C468" s="117" t="str">
        <x:v>Yes</x:v>
      </x:c>
      <x:c r="D468" s="119" t="str">
        <x:v>Active v2 (Retrieved XML)</x:v>
      </x:c>
      <x:c r="E468" s="119" t="str"/>
      <x:c r="F468" s="119" t="str">
        <x:v>Harvest_Work_Order__c, ProductItem__c</x:v>
      </x:c>
      <x:c r="G468" s="119" t="str">
        <x:v>HWO_Total_Cost__c, Harvest_Work_Order__c, Id</x:v>
      </x:c>
      <x:c r="H468" s="119" t="str"/>
      <x:c r="I468" s="119" t="str"/>
      <x:c r="J468" s="119" t="str"/>
      <x:c r="K468" s="118" t="n">
        <x:v>5</x:v>
      </x:c>
      <x:c r="L468" s="118" t="n">
        <x:v>0</x:v>
      </x:c>
      <x:c r="M468" s="118" t="n">
        <x:v>0</x:v>
      </x:c>
      <x:c r="N468" s="118" t="n">
        <x:v>0</x:v>
      </x:c>
      <x:c r="O468" s="118" t="n">
        <x:v>0</x:v>
      </x:c>
      <x:c r="P468" s="118" t="n">
        <x:v>0</x:v>
      </x:c>
      <x:c r="Q468" s="118" t="n">
        <x:v>1</x:v>
      </x:c>
      <x:c r="R468" s="118" t="n">
        <x:v>0</x:v>
      </x:c>
      <x:c r="S468" s="118" t="n">
        <x:v>0</x:v>
      </x:c>
      <x:c r="T468" s="118" t="n">
        <x:v>0</x:v>
      </x:c>
      <x:c r="U468" s="118" t="n">
        <x:v>0</x:v>
      </x:c>
      <x:c r="V468" s="118" t="n">
        <x:v>1</x:v>
      </x:c>
      <x:c r="W468" s="118" t="n">
        <x:v>0</x:v>
      </x:c>
      <x:c r="X468" s="118" t="n">
        <x:v>1</x:v>
      </x:c>
      <x:c r="Y468" s="118" t="n">
        <x:v>0</x:v>
      </x:c>
      <x:c r="Z468" s="118" t="n">
        <x:v>0</x:v>
      </x:c>
      <x:c r="AA468" s="118" t="n">
        <x:v>0</x:v>
      </x:c>
      <x:c r="AB468" s="118" t="n">
        <x:v>1</x:v>
      </x:c>
      <x:c r="AC468" s="118" t="n">
        <x:v>0</x:v>
      </x:c>
    </x:row>
    <x:row r="469" ht="46" customHeight="1">
      <x:c r="A469" s="117" t="str">
        <x:v>300Ro00000yTWmnIAG</x:v>
      </x:c>
      <x:c r="B469" s="117" t="str">
        <x:v>ProductItem_Before_delete_HWO_Total_Revenue_Roll_Up</x:v>
      </x:c>
      <x:c r="C469" s="117" t="str">
        <x:v>Yes</x:v>
      </x:c>
      <x:c r="D469" s="119" t="str">
        <x:v>Active v2 (Retrieved XML)</x:v>
      </x:c>
      <x:c r="E469" s="119" t="str">
        <x:v>Harvest_Work_Order__c IsNull booleanValue=false</x:v>
      </x:c>
      <x:c r="F469" s="119" t="str">
        <x:v>Harvest_Work_Order__c, ProductItem__c</x:v>
      </x:c>
      <x:c r="G469" s="119" t="str">
        <x:v>HWO_Total_Revenue__c, Harvest_Work_Order__c, Id</x:v>
      </x:c>
      <x:c r="H469" s="119" t="str"/>
      <x:c r="I469" s="119" t="str"/>
      <x:c r="J469" s="119" t="str"/>
      <x:c r="K469" s="118" t="n">
        <x:v>4</x:v>
      </x:c>
      <x:c r="L469" s="118" t="n">
        <x:v>0</x:v>
      </x:c>
      <x:c r="M469" s="118" t="n">
        <x:v>0</x:v>
      </x:c>
      <x:c r="N469" s="118" t="n">
        <x:v>0</x:v>
      </x:c>
      <x:c r="O469" s="118" t="n">
        <x:v>0</x:v>
      </x:c>
      <x:c r="P469" s="118" t="n">
        <x:v>0</x:v>
      </x:c>
      <x:c r="Q469" s="118" t="n">
        <x:v>0</x:v>
      </x:c>
      <x:c r="R469" s="118" t="n">
        <x:v>0</x:v>
      </x:c>
      <x:c r="S469" s="118" t="n">
        <x:v>0</x:v>
      </x:c>
      <x:c r="T469" s="118" t="n">
        <x:v>0</x:v>
      </x:c>
      <x:c r="U469" s="118" t="n">
        <x:v>0</x:v>
      </x:c>
      <x:c r="V469" s="118" t="n">
        <x:v>1</x:v>
      </x:c>
      <x:c r="W469" s="118" t="n">
        <x:v>0</x:v>
      </x:c>
      <x:c r="X469" s="118" t="n">
        <x:v>1</x:v>
      </x:c>
      <x:c r="Y469" s="118" t="n">
        <x:v>0</x:v>
      </x:c>
      <x:c r="Z469" s="118" t="n">
        <x:v>0</x:v>
      </x:c>
      <x:c r="AA469" s="118" t="n">
        <x:v>0</x:v>
      </x:c>
      <x:c r="AB469" s="118" t="n">
        <x:v>1</x:v>
      </x:c>
      <x:c r="AC469" s="118" t="n">
        <x:v>0</x:v>
      </x:c>
    </x:row>
    <x:row r="470" ht="46" customHeight="1">
      <x:c r="A470" s="117" t="str">
        <x:v>300Ro00000yXXXLIA4</x:v>
      </x:c>
      <x:c r="B470" s="117" t="str">
        <x:v>ProductItem_Before_Delete_Item_Receipt_Amount_Roll_Up</x:v>
      </x:c>
      <x:c r="C470" s="117" t="str">
        <x:v>Yes</x:v>
      </x:c>
      <x:c r="D470" s="119" t="str">
        <x:v>Active v1 (Retrieved XML)</x:v>
      </x:c>
      <x:c r="E470" s="119" t="str"/>
      <x:c r="F470" s="119" t="str">
        <x:v>Item_Receipt__c, ProductItem__c</x:v>
      </x:c>
      <x:c r="G470" s="119" t="str">
        <x:v>Id, Item_Receipt_Amount__c, Item_Receipt__c</x:v>
      </x:c>
      <x:c r="H470" s="119" t="str"/>
      <x:c r="I470" s="119" t="str"/>
      <x:c r="J470" s="119" t="str"/>
      <x:c r="K470" s="118" t="n">
        <x:v>5</x:v>
      </x:c>
      <x:c r="L470" s="118" t="n">
        <x:v>0</x:v>
      </x:c>
      <x:c r="M470" s="118" t="n">
        <x:v>0</x:v>
      </x:c>
      <x:c r="N470" s="118" t="n">
        <x:v>0</x:v>
      </x:c>
      <x:c r="O470" s="118" t="n">
        <x:v>0</x:v>
      </x:c>
      <x:c r="P470" s="118" t="n">
        <x:v>0</x:v>
      </x:c>
      <x:c r="Q470" s="118" t="n">
        <x:v>1</x:v>
      </x:c>
      <x:c r="R470" s="118" t="n">
        <x:v>0</x:v>
      </x:c>
      <x:c r="S470" s="118" t="n">
        <x:v>0</x:v>
      </x:c>
      <x:c r="T470" s="118" t="n">
        <x:v>0</x:v>
      </x:c>
      <x:c r="U470" s="118" t="n">
        <x:v>0</x:v>
      </x:c>
      <x:c r="V470" s="118" t="n">
        <x:v>1</x:v>
      </x:c>
      <x:c r="W470" s="118" t="n">
        <x:v>0</x:v>
      </x:c>
      <x:c r="X470" s="118" t="n">
        <x:v>1</x:v>
      </x:c>
      <x:c r="Y470" s="118" t="n">
        <x:v>0</x:v>
      </x:c>
      <x:c r="Z470" s="118" t="n">
        <x:v>0</x:v>
      </x:c>
      <x:c r="AA470" s="118" t="n">
        <x:v>0</x:v>
      </x:c>
      <x:c r="AB470" s="118" t="n">
        <x:v>1</x:v>
      </x:c>
      <x:c r="AC470" s="118" t="n">
        <x:v>0</x:v>
      </x:c>
    </x:row>
    <x:row r="471" ht="46" customHeight="1">
      <x:c r="A471" s="117" t="str">
        <x:v>300Ro00000zEWo7IAG</x:v>
      </x:c>
      <x:c r="B471" s="117" t="str">
        <x:v>ProductItem_Before_Delete_Loaner_Asset_Number_Roll_Up</x:v>
      </x:c>
      <x:c r="C471" s="117" t="str">
        <x:v>Yes</x:v>
      </x:c>
      <x:c r="D471" s="119" t="str">
        <x:v>Active v1 (Retrieved XML)</x:v>
      </x:c>
      <x:c r="E471" s="119" t="str">
        <x:v>Loaner__c IsNull booleanValue=false</x:v>
      </x:c>
      <x:c r="F471" s="119" t="str">
        <x:v>Loaner__c, ProductItem__c</x:v>
      </x:c>
      <x:c r="G471" s="119" t="str">
        <x:v>Id, Loaner_Asset__c, Loaner__c</x:v>
      </x:c>
      <x:c r="H471" s="119" t="str"/>
      <x:c r="I471" s="119" t="str"/>
      <x:c r="J471" s="119" t="str"/>
      <x:c r="K471" s="118" t="n">
        <x:v>9</x:v>
      </x:c>
      <x:c r="L471" s="118" t="n">
        <x:v>0</x:v>
      </x:c>
      <x:c r="M471" s="118" t="n">
        <x:v>0</x:v>
      </x:c>
      <x:c r="N471" s="118" t="n">
        <x:v>1</x:v>
      </x:c>
      <x:c r="O471" s="118" t="n">
        <x:v>0</x:v>
      </x:c>
      <x:c r="P471" s="118" t="n">
        <x:v>0</x:v>
      </x:c>
      <x:c r="Q471" s="118" t="n">
        <x:v>3</x:v>
      </x:c>
      <x:c r="R471" s="118" t="n">
        <x:v>1</x:v>
      </x:c>
      <x:c r="S471" s="118" t="n">
        <x:v>0</x:v>
      </x:c>
      <x:c r="T471" s="118" t="n">
        <x:v>0</x:v>
      </x:c>
      <x:c r="U471" s="118" t="n">
        <x:v>0</x:v>
      </x:c>
      <x:c r="V471" s="118" t="n">
        <x:v>1</x:v>
      </x:c>
      <x:c r="W471" s="118" t="n">
        <x:v>0</x:v>
      </x:c>
      <x:c r="X471" s="118" t="n">
        <x:v>2</x:v>
      </x:c>
      <x:c r="Y471" s="118" t="n">
        <x:v>0</x:v>
      </x:c>
      <x:c r="Z471" s="118" t="n">
        <x:v>0</x:v>
      </x:c>
      <x:c r="AA471" s="118" t="n">
        <x:v>0</x:v>
      </x:c>
      <x:c r="AB471" s="118" t="n">
        <x:v>0</x:v>
      </x:c>
      <x:c r="AC471" s="118" t="n">
        <x:v>0</x:v>
      </x:c>
    </x:row>
    <x:row r="472" ht="46" customHeight="1">
      <x:c r="A472" s="117" t="str">
        <x:v>300Ro00000yYvjCIAS</x:v>
      </x:c>
      <x:c r="B472" s="117" t="str">
        <x:v>ProductItem_Before_Delete_Loaner_Location_Roll_Up</x:v>
      </x:c>
      <x:c r="C472" s="117" t="str">
        <x:v>Yes</x:v>
      </x:c>
      <x:c r="D472" s="119" t="str">
        <x:v>Active v2 (Retrieved XML)</x:v>
      </x:c>
      <x:c r="E472" s="119" t="str">
        <x:v>Loaner__c IsNull booleanValue=false</x:v>
      </x:c>
      <x:c r="F472" s="119" t="str">
        <x:v>Loaner__c, ProductItem__c</x:v>
      </x:c>
      <x:c r="G472" s="119" t="str">
        <x:v>Id, Loaner_Location__c, Loaner__c</x:v>
      </x:c>
      <x:c r="H472" s="119" t="str"/>
      <x:c r="I472" s="119" t="str"/>
      <x:c r="J472" s="119" t="str"/>
      <x:c r="K472" s="118" t="n">
        <x:v>7</x:v>
      </x:c>
      <x:c r="L472" s="118" t="n">
        <x:v>0</x:v>
      </x:c>
      <x:c r="M472" s="118" t="n">
        <x:v>0</x:v>
      </x:c>
      <x:c r="N472" s="118" t="n">
        <x:v>1</x:v>
      </x:c>
      <x:c r="O472" s="118" t="n">
        <x:v>0</x:v>
      </x:c>
      <x:c r="P472" s="118" t="n">
        <x:v>0</x:v>
      </x:c>
      <x:c r="Q472" s="118" t="n">
        <x:v>2</x:v>
      </x:c>
      <x:c r="R472" s="118" t="n">
        <x:v>1</x:v>
      </x:c>
      <x:c r="S472" s="118" t="n">
        <x:v>0</x:v>
      </x:c>
      <x:c r="T472" s="118" t="n">
        <x:v>0</x:v>
      </x:c>
      <x:c r="U472" s="118" t="n">
        <x:v>0</x:v>
      </x:c>
      <x:c r="V472" s="118" t="n">
        <x:v>1</x:v>
      </x:c>
      <x:c r="W472" s="118" t="n">
        <x:v>0</x:v>
      </x:c>
      <x:c r="X472" s="118" t="n">
        <x:v>1</x:v>
      </x:c>
      <x:c r="Y472" s="118" t="n">
        <x:v>0</x:v>
      </x:c>
      <x:c r="Z472" s="118" t="n">
        <x:v>0</x:v>
      </x:c>
      <x:c r="AA472" s="118" t="n">
        <x:v>0</x:v>
      </x:c>
      <x:c r="AB472" s="118" t="n">
        <x:v>0</x:v>
      </x:c>
      <x:c r="AC472" s="118" t="n">
        <x:v>0</x:v>
      </x:c>
    </x:row>
    <x:row r="473" ht="46" customHeight="1">
      <x:c r="A473" s="117" t="str">
        <x:v>300Ro00000ydLwYIAU</x:v>
      </x:c>
      <x:c r="B473" s="117" t="str">
        <x:v>ProductItem_Before_Delete_Loaner_Serial_Number_Roll_Up</x:v>
      </x:c>
      <x:c r="C473" s="117" t="str">
        <x:v>Yes</x:v>
      </x:c>
      <x:c r="D473" s="119" t="str">
        <x:v>Active v2 (Retrieved XML)</x:v>
      </x:c>
      <x:c r="E473" s="119" t="str">
        <x:v>Loaner__c IsNull booleanValue=false</x:v>
      </x:c>
      <x:c r="F473" s="119" t="str">
        <x:v>Loaner__c, ProductItem__c</x:v>
      </x:c>
      <x:c r="G473" s="119" t="str">
        <x:v>Id, Loaner_Serial__c, Loaner__c</x:v>
      </x:c>
      <x:c r="H473" s="119" t="str"/>
      <x:c r="I473" s="119" t="str"/>
      <x:c r="J473" s="119" t="str"/>
      <x:c r="K473" s="118" t="n">
        <x:v>7</x:v>
      </x:c>
      <x:c r="L473" s="118" t="n">
        <x:v>0</x:v>
      </x:c>
      <x:c r="M473" s="118" t="n">
        <x:v>0</x:v>
      </x:c>
      <x:c r="N473" s="118" t="n">
        <x:v>1</x:v>
      </x:c>
      <x:c r="O473" s="118" t="n">
        <x:v>0</x:v>
      </x:c>
      <x:c r="P473" s="118" t="n">
        <x:v>0</x:v>
      </x:c>
      <x:c r="Q473" s="118" t="n">
        <x:v>2</x:v>
      </x:c>
      <x:c r="R473" s="118" t="n">
        <x:v>1</x:v>
      </x:c>
      <x:c r="S473" s="118" t="n">
        <x:v>0</x:v>
      </x:c>
      <x:c r="T473" s="118" t="n">
        <x:v>0</x:v>
      </x:c>
      <x:c r="U473" s="118" t="n">
        <x:v>0</x:v>
      </x:c>
      <x:c r="V473" s="118" t="n">
        <x:v>1</x:v>
      </x:c>
      <x:c r="W473" s="118" t="n">
        <x:v>0</x:v>
      </x:c>
      <x:c r="X473" s="118" t="n">
        <x:v>1</x:v>
      </x:c>
      <x:c r="Y473" s="118" t="n">
        <x:v>0</x:v>
      </x:c>
      <x:c r="Z473" s="118" t="n">
        <x:v>0</x:v>
      </x:c>
      <x:c r="AA473" s="118" t="n">
        <x:v>0</x:v>
      </x:c>
      <x:c r="AB473" s="118" t="n">
        <x:v>0</x:v>
      </x:c>
      <x:c r="AC473" s="118" t="n">
        <x:v>0</x:v>
      </x:c>
    </x:row>
    <x:row r="474" ht="46" customHeight="1">
      <x:c r="A474" s="117" t="str">
        <x:v>300Ro00000ye8iiIAA</x:v>
      </x:c>
      <x:c r="B474" s="117" t="str">
        <x:v>ProductItem_Before_delete_Max_Bid_Roll_Up</x:v>
      </x:c>
      <x:c r="C474" s="117" t="str">
        <x:v>Yes</x:v>
      </x:c>
      <x:c r="D474" s="119" t="str">
        <x:v>Active v2 (Retrieved XML)</x:v>
      </x:c>
      <x:c r="E474" s="119" t="str">
        <x:v>Purchasing_Opportunity__c IsNull booleanValue=false</x:v>
      </x:c>
      <x:c r="F474" s="119" t="str">
        <x:v>Opportunity, ProductItem__c</x:v>
      </x:c>
      <x:c r="G474" s="119" t="str">
        <x:v>Id, Max_Bid__c, Purchasing_Opportunity__c</x:v>
      </x:c>
      <x:c r="H474" s="119" t="str"/>
      <x:c r="I474" s="119" t="str"/>
      <x:c r="J474" s="119" t="str"/>
      <x:c r="K474" s="118" t="n">
        <x:v>4</x:v>
      </x:c>
      <x:c r="L474" s="118" t="n">
        <x:v>0</x:v>
      </x:c>
      <x:c r="M474" s="118" t="n">
        <x:v>0</x:v>
      </x:c>
      <x:c r="N474" s="118" t="n">
        <x:v>0</x:v>
      </x:c>
      <x:c r="O474" s="118" t="n">
        <x:v>0</x:v>
      </x:c>
      <x:c r="P474" s="118" t="n">
        <x:v>0</x:v>
      </x:c>
      <x:c r="Q474" s="118" t="n">
        <x:v>0</x:v>
      </x:c>
      <x:c r="R474" s="118" t="n">
        <x:v>0</x:v>
      </x:c>
      <x:c r="S474" s="118" t="n">
        <x:v>0</x:v>
      </x:c>
      <x:c r="T474" s="118" t="n">
        <x:v>0</x:v>
      </x:c>
      <x:c r="U474" s="118" t="n">
        <x:v>0</x:v>
      </x:c>
      <x:c r="V474" s="118" t="n">
        <x:v>1</x:v>
      </x:c>
      <x:c r="W474" s="118" t="n">
        <x:v>0</x:v>
      </x:c>
      <x:c r="X474" s="118" t="n">
        <x:v>1</x:v>
      </x:c>
      <x:c r="Y474" s="118" t="n">
        <x:v>0</x:v>
      </x:c>
      <x:c r="Z474" s="118" t="n">
        <x:v>0</x:v>
      </x:c>
      <x:c r="AA474" s="118" t="n">
        <x:v>0</x:v>
      </x:c>
      <x:c r="AB474" s="118" t="n">
        <x:v>1</x:v>
      </x:c>
      <x:c r="AC474" s="118" t="n">
        <x:v>0</x:v>
      </x:c>
    </x:row>
    <x:row r="475" ht="46" customHeight="1">
      <x:c r="A475" s="117" t="str">
        <x:v>300Ro00000yeuH5IAI</x:v>
      </x:c>
      <x:c r="B475" s="117" t="str">
        <x:v>ProductItem_Before_delete_NumberCheckedIn_PO_Roll_Up</x:v>
      </x:c>
      <x:c r="C475" s="117" t="str">
        <x:v>Yes</x:v>
      </x:c>
      <x:c r="D475" s="119" t="str">
        <x:v>Active v1 (Retrieved XML)</x:v>
      </x:c>
      <x:c r="E475" s="119" t="str">
        <x:v>Purchasing_Opportunity__c IsNull booleanValue=false</x:v>
      </x:c>
      <x:c r="F475" s="119" t="str">
        <x:v>Opportunity, ProductItem__c</x:v>
      </x:c>
      <x:c r="G475" s="119" t="str">
        <x:v>Id, Number_of_Checked_In_Items__c, Purchasing_Opportunity__c</x:v>
      </x:c>
      <x:c r="H475" s="119" t="str"/>
      <x:c r="I475" s="119" t="str"/>
      <x:c r="J475" s="119" t="str"/>
      <x:c r="K475" s="118" t="n">
        <x:v>4</x:v>
      </x:c>
      <x:c r="L475" s="118" t="n">
        <x:v>0</x:v>
      </x:c>
      <x:c r="M475" s="118" t="n">
        <x:v>0</x:v>
      </x:c>
      <x:c r="N475" s="118" t="n">
        <x:v>0</x:v>
      </x:c>
      <x:c r="O475" s="118" t="n">
        <x:v>0</x:v>
      </x:c>
      <x:c r="P475" s="118" t="n">
        <x:v>0</x:v>
      </x:c>
      <x:c r="Q475" s="118" t="n">
        <x:v>0</x:v>
      </x:c>
      <x:c r="R475" s="118" t="n">
        <x:v>0</x:v>
      </x:c>
      <x:c r="S475" s="118" t="n">
        <x:v>0</x:v>
      </x:c>
      <x:c r="T475" s="118" t="n">
        <x:v>0</x:v>
      </x:c>
      <x:c r="U475" s="118" t="n">
        <x:v>0</x:v>
      </x:c>
      <x:c r="V475" s="118" t="n">
        <x:v>1</x:v>
      </x:c>
      <x:c r="W475" s="118" t="n">
        <x:v>0</x:v>
      </x:c>
      <x:c r="X475" s="118" t="n">
        <x:v>1</x:v>
      </x:c>
      <x:c r="Y475" s="118" t="n">
        <x:v>0</x:v>
      </x:c>
      <x:c r="Z475" s="118" t="n">
        <x:v>0</x:v>
      </x:c>
      <x:c r="AA475" s="118" t="n">
        <x:v>0</x:v>
      </x:c>
      <x:c r="AB475" s="118" t="n">
        <x:v>1</x:v>
      </x:c>
      <x:c r="AC475" s="118" t="n">
        <x:v>0</x:v>
      </x:c>
    </x:row>
    <x:row r="476" ht="46" customHeight="1">
      <x:c r="A476" s="117" t="str">
        <x:v>300Ro00000yyHEoIAM</x:v>
      </x:c>
      <x:c r="B476" s="117" t="str">
        <x:v>ProductItem_Before_Delete_Pur_Op_Total_Cost_of_Unsold_Assets_Roll_Up</x:v>
      </x:c>
      <x:c r="C476" s="117" t="str">
        <x:v>Yes</x:v>
      </x:c>
      <x:c r="D476" s="119" t="str">
        <x:v>Active v1 (Retrieved XML)</x:v>
      </x:c>
      <x:c r="E476" s="119" t="str">
        <x:v>Purchasing_Opportunity__c IsNull booleanValue=false | sold__c EqualTo booleanValue=false | Cost__c IsNull booleanValue=false</x:v>
      </x:c>
      <x:c r="F476" s="119" t="str">
        <x:v>Opportunity, ProductItem__c</x:v>
      </x:c>
      <x:c r="G476" s="119" t="str">
        <x:v>Cost__c, Id, Purchasing_Opportunity__c, Total_Cost_of_Unsold_Assets__c, sold__c</x:v>
      </x:c>
      <x:c r="H476" s="119" t="str"/>
      <x:c r="I476" s="119" t="str"/>
      <x:c r="J476" s="119" t="str"/>
      <x:c r="K476" s="118" t="n">
        <x:v>5</x:v>
      </x:c>
      <x:c r="L476" s="118" t="n">
        <x:v>0</x:v>
      </x:c>
      <x:c r="M476" s="118" t="n">
        <x:v>0</x:v>
      </x:c>
      <x:c r="N476" s="118" t="n">
        <x:v>0</x:v>
      </x:c>
      <x:c r="O476" s="118" t="n">
        <x:v>0</x:v>
      </x:c>
      <x:c r="P476" s="118" t="n">
        <x:v>0</x:v>
      </x:c>
      <x:c r="Q476" s="118" t="n">
        <x:v>1</x:v>
      </x:c>
      <x:c r="R476" s="118" t="n">
        <x:v>0</x:v>
      </x:c>
      <x:c r="S476" s="118" t="n">
        <x:v>0</x:v>
      </x:c>
      <x:c r="T476" s="118" t="n">
        <x:v>0</x:v>
      </x:c>
      <x:c r="U476" s="118" t="n">
        <x:v>0</x:v>
      </x:c>
      <x:c r="V476" s="118" t="n">
        <x:v>1</x:v>
      </x:c>
      <x:c r="W476" s="118" t="n">
        <x:v>0</x:v>
      </x:c>
      <x:c r="X476" s="118" t="n">
        <x:v>1</x:v>
      </x:c>
      <x:c r="Y476" s="118" t="n">
        <x:v>0</x:v>
      </x:c>
      <x:c r="Z476" s="118" t="n">
        <x:v>0</x:v>
      </x:c>
      <x:c r="AA476" s="118" t="n">
        <x:v>0</x:v>
      </x:c>
      <x:c r="AB476" s="118" t="n">
        <x:v>1</x:v>
      </x:c>
      <x:c r="AC476" s="118" t="n">
        <x:v>0</x:v>
      </x:c>
    </x:row>
    <x:row r="477" ht="46" customHeight="1">
      <x:c r="A477" s="117" t="str">
        <x:v>300Ro00000yyBCZIA2</x:v>
      </x:c>
      <x:c r="B477" s="117" t="str">
        <x:v>ProductItem_Before_Delete_Pur_Op_Total_Cost_Roll_Up</x:v>
      </x:c>
      <x:c r="C477" s="117" t="str">
        <x:v>Yes</x:v>
      </x:c>
      <x:c r="D477" s="119" t="str">
        <x:v>Active v1 (Retrieved XML)</x:v>
      </x:c>
      <x:c r="E477" s="119" t="str">
        <x:v>Purchasing_Opportunity__c IsNull booleanValue=false | Cost__c IsNull booleanValue=false</x:v>
      </x:c>
      <x:c r="F477" s="119" t="str">
        <x:v>Opportunity, ProductItem__c</x:v>
      </x:c>
      <x:c r="G477" s="119" t="str">
        <x:v>Cost__c, Id, Purchasing_Opportunity__c, Total_Cost_of_Assets__c</x:v>
      </x:c>
      <x:c r="H477" s="119" t="str"/>
      <x:c r="I477" s="119" t="str"/>
      <x:c r="J477" s="119" t="str"/>
      <x:c r="K477" s="118" t="n">
        <x:v>5</x:v>
      </x:c>
      <x:c r="L477" s="118" t="n">
        <x:v>0</x:v>
      </x:c>
      <x:c r="M477" s="118" t="n">
        <x:v>0</x:v>
      </x:c>
      <x:c r="N477" s="118" t="n">
        <x:v>0</x:v>
      </x:c>
      <x:c r="O477" s="118" t="n">
        <x:v>0</x:v>
      </x:c>
      <x:c r="P477" s="118" t="n">
        <x:v>0</x:v>
      </x:c>
      <x:c r="Q477" s="118" t="n">
        <x:v>1</x:v>
      </x:c>
      <x:c r="R477" s="118" t="n">
        <x:v>0</x:v>
      </x:c>
      <x:c r="S477" s="118" t="n">
        <x:v>0</x:v>
      </x:c>
      <x:c r="T477" s="118" t="n">
        <x:v>0</x:v>
      </x:c>
      <x:c r="U477" s="118" t="n">
        <x:v>0</x:v>
      </x:c>
      <x:c r="V477" s="118" t="n">
        <x:v>1</x:v>
      </x:c>
      <x:c r="W477" s="118" t="n">
        <x:v>0</x:v>
      </x:c>
      <x:c r="X477" s="118" t="n">
        <x:v>1</x:v>
      </x:c>
      <x:c r="Y477" s="118" t="n">
        <x:v>0</x:v>
      </x:c>
      <x:c r="Z477" s="118" t="n">
        <x:v>0</x:v>
      </x:c>
      <x:c r="AA477" s="118" t="n">
        <x:v>0</x:v>
      </x:c>
      <x:c r="AB477" s="118" t="n">
        <x:v>1</x:v>
      </x:c>
      <x:c r="AC477" s="118" t="n">
        <x:v>0</x:v>
      </x:c>
    </x:row>
    <x:row r="478" ht="46" customHeight="1">
      <x:c r="A478" s="117" t="str">
        <x:v>300Ro00000yzeilIAA</x:v>
      </x:c>
      <x:c r="B478" s="117" t="str">
        <x:v>ProductItem_Before_Delete_Pur_Op_Working_Capital_Usage_Days_Roll_Up</x:v>
      </x:c>
      <x:c r="C478" s="117" t="str">
        <x:v>Yes</x:v>
      </x:c>
      <x:c r="D478" s="119" t="str">
        <x:v>Active v1 (Retrieved XML)</x:v>
      </x:c>
      <x:c r="E478" s="119" t="str">
        <x:v>Purchasing_Opportunity__c IsNull booleanValue=false | Working_Capital_Usage_Days__c IsNull booleanValue=false</x:v>
      </x:c>
      <x:c r="F478" s="119" t="str">
        <x:v>Opportunity, ProductItem__c</x:v>
      </x:c>
      <x:c r="G478" s="119" t="str">
        <x:v>Id, Purchasing_Opportunity__c, Working_Capital_Usage_Days__c</x:v>
      </x:c>
      <x:c r="H478" s="119" t="str"/>
      <x:c r="I478" s="119" t="str"/>
      <x:c r="J478" s="119" t="str"/>
      <x:c r="K478" s="118" t="n">
        <x:v>8</x:v>
      </x:c>
      <x:c r="L478" s="118" t="n">
        <x:v>0</x:v>
      </x:c>
      <x:c r="M478" s="118" t="n">
        <x:v>0</x:v>
      </x:c>
      <x:c r="N478" s="118" t="n">
        <x:v>2</x:v>
      </x:c>
      <x:c r="O478" s="118" t="n">
        <x:v>0</x:v>
      </x:c>
      <x:c r="P478" s="118" t="n">
        <x:v>0</x:v>
      </x:c>
      <x:c r="Q478" s="118" t="n">
        <x:v>2</x:v>
      </x:c>
      <x:c r="R478" s="118" t="n">
        <x:v>1</x:v>
      </x:c>
      <x:c r="S478" s="118" t="n">
        <x:v>0</x:v>
      </x:c>
      <x:c r="T478" s="118" t="n">
        <x:v>0</x:v>
      </x:c>
      <x:c r="U478" s="118" t="n">
        <x:v>0</x:v>
      </x:c>
      <x:c r="V478" s="118" t="n">
        <x:v>1</x:v>
      </x:c>
      <x:c r="W478" s="118" t="n">
        <x:v>0</x:v>
      </x:c>
      <x:c r="X478" s="118" t="n">
        <x:v>1</x:v>
      </x:c>
      <x:c r="Y478" s="118" t="n">
        <x:v>0</x:v>
      </x:c>
      <x:c r="Z478" s="118" t="n">
        <x:v>0</x:v>
      </x:c>
      <x:c r="AA478" s="118" t="n">
        <x:v>0</x:v>
      </x:c>
      <x:c r="AB478" s="118" t="n">
        <x:v>0</x:v>
      </x:c>
      <x:c r="AC478" s="118" t="n">
        <x:v>0</x:v>
      </x:c>
    </x:row>
    <x:row r="479" ht="46" customHeight="1">
      <x:c r="A479" s="117" t="str">
        <x:v>300Ro00000zDVJ0IAO</x:v>
      </x:c>
      <x:c r="B479" s="117" t="str">
        <x:v>ProductItem_Before_delete_Rental_Order_Price_Roll_Up</x:v>
      </x:c>
      <x:c r="C479" s="117" t="str">
        <x:v>Yes</x:v>
      </x:c>
      <x:c r="D479" s="119" t="str">
        <x:v>Active v1 (Retrieved XML)</x:v>
      </x:c>
      <x:c r="E479" s="119" t="str">
        <x:v>Rental_Order__c IsNull booleanValue=false</x:v>
      </x:c>
      <x:c r="F479" s="119" t="str">
        <x:v>ProductItem__c, Rental_Order__c</x:v>
      </x:c>
      <x:c r="G479" s="119" t="str">
        <x:v>Id, Rental_Amount__c, Rental_Order__c</x:v>
      </x:c>
      <x:c r="H479" s="119" t="str"/>
      <x:c r="I479" s="119" t="str"/>
      <x:c r="J479" s="119" t="str"/>
      <x:c r="K479" s="118" t="n">
        <x:v>4</x:v>
      </x:c>
      <x:c r="L479" s="118" t="n">
        <x:v>0</x:v>
      </x:c>
      <x:c r="M479" s="118" t="n">
        <x:v>0</x:v>
      </x:c>
      <x:c r="N479" s="118" t="n">
        <x:v>0</x:v>
      </x:c>
      <x:c r="O479" s="118" t="n">
        <x:v>0</x:v>
      </x:c>
      <x:c r="P479" s="118" t="n">
        <x:v>0</x:v>
      </x:c>
      <x:c r="Q479" s="118" t="n">
        <x:v>0</x:v>
      </x:c>
      <x:c r="R479" s="118" t="n">
        <x:v>0</x:v>
      </x:c>
      <x:c r="S479" s="118" t="n">
        <x:v>0</x:v>
      </x:c>
      <x:c r="T479" s="118" t="n">
        <x:v>0</x:v>
      </x:c>
      <x:c r="U479" s="118" t="n">
        <x:v>0</x:v>
      </x:c>
      <x:c r="V479" s="118" t="n">
        <x:v>1</x:v>
      </x:c>
      <x:c r="W479" s="118" t="n">
        <x:v>0</x:v>
      </x:c>
      <x:c r="X479" s="118" t="n">
        <x:v>1</x:v>
      </x:c>
      <x:c r="Y479" s="118" t="n">
        <x:v>0</x:v>
      </x:c>
      <x:c r="Z479" s="118" t="n">
        <x:v>0</x:v>
      </x:c>
      <x:c r="AA479" s="118" t="n">
        <x:v>0</x:v>
      </x:c>
      <x:c r="AB479" s="118" t="n">
        <x:v>1</x:v>
      </x:c>
      <x:c r="AC479" s="118" t="n">
        <x:v>0</x:v>
      </x:c>
    </x:row>
    <x:row r="480" ht="46" customHeight="1">
      <x:c r="A480" s="117" t="str">
        <x:v>300Ro00000yxeS2IAI</x:v>
      </x:c>
      <x:c r="B480" s="117" t="str">
        <x:v>ProductItem_Before_delete_Starting_Bid_Roll_Up</x:v>
      </x:c>
      <x:c r="C480" s="117" t="str">
        <x:v>Yes</x:v>
      </x:c>
      <x:c r="D480" s="119" t="str">
        <x:v>Active v2 (Retrieved XML)</x:v>
      </x:c>
      <x:c r="E480" s="119" t="str">
        <x:v>Purchasing_Opportunity__c IsNull booleanValue=false</x:v>
      </x:c>
      <x:c r="F480" s="119" t="str">
        <x:v>Opportunity, ProductItem__c</x:v>
      </x:c>
      <x:c r="G480" s="119" t="str">
        <x:v>Id, Purchasing_Opportunity__c, Starting_Bid__c</x:v>
      </x:c>
      <x:c r="H480" s="119" t="str"/>
      <x:c r="I480" s="119" t="str"/>
      <x:c r="J480" s="119" t="str"/>
      <x:c r="K480" s="118" t="n">
        <x:v>4</x:v>
      </x:c>
      <x:c r="L480" s="118" t="n">
        <x:v>0</x:v>
      </x:c>
      <x:c r="M480" s="118" t="n">
        <x:v>0</x:v>
      </x:c>
      <x:c r="N480" s="118" t="n">
        <x:v>0</x:v>
      </x:c>
      <x:c r="O480" s="118" t="n">
        <x:v>0</x:v>
      </x:c>
      <x:c r="P480" s="118" t="n">
        <x:v>0</x:v>
      </x:c>
      <x:c r="Q480" s="118" t="n">
        <x:v>0</x:v>
      </x:c>
      <x:c r="R480" s="118" t="n">
        <x:v>0</x:v>
      </x:c>
      <x:c r="S480" s="118" t="n">
        <x:v>0</x:v>
      </x:c>
      <x:c r="T480" s="118" t="n">
        <x:v>0</x:v>
      </x:c>
      <x:c r="U480" s="118" t="n">
        <x:v>0</x:v>
      </x:c>
      <x:c r="V480" s="118" t="n">
        <x:v>1</x:v>
      </x:c>
      <x:c r="W480" s="118" t="n">
        <x:v>0</x:v>
      </x:c>
      <x:c r="X480" s="118" t="n">
        <x:v>1</x:v>
      </x:c>
      <x:c r="Y480" s="118" t="n">
        <x:v>0</x:v>
      </x:c>
      <x:c r="Z480" s="118" t="n">
        <x:v>0</x:v>
      </x:c>
      <x:c r="AA480" s="118" t="n">
        <x:v>0</x:v>
      </x:c>
      <x:c r="AB480" s="118" t="n">
        <x:v>1</x:v>
      </x:c>
      <x:c r="AC480" s="118" t="n">
        <x:v>0</x:v>
      </x:c>
    </x:row>
    <x:row r="481" ht="46" customHeight="1">
      <x:c r="A481" s="117" t="str">
        <x:v>300Ro00000yyHEpIAM</x:v>
      </x:c>
      <x:c r="B481" s="117" t="str">
        <x:v>ProductItem_on_update_Pur_Op_Total_Cost_of_Unsold_Assets_Roll_Up</x:v>
      </x:c>
      <x:c r="C481" s="117" t="str">
        <x:v>Yes</x:v>
      </x:c>
      <x:c r="D481" s="119" t="str">
        <x:v>Active v2 (Retrieved XML)</x:v>
      </x:c>
      <x:c r="E481" s="119" t="str">
        <x:v>Cost__c IsChanged booleanValue=true | sold__c IsChanged booleanValue=true | Purchasing_Opportunity__c IsChanged booleanValue=true | sold__c EqualTo booleanValue=false</x:v>
      </x:c>
      <x:c r="F481" s="119" t="str">
        <x:v>Opportunity, ProductItem__c</x:v>
      </x:c>
      <x:c r="G481" s="119" t="str">
        <x:v>Cost__c, Id, Purchasing_Opportunity__c, Total_Cost_of_Unsold_Assets__c, sold__c</x:v>
      </x:c>
      <x:c r="H481" s="119" t="str">
        <x:v>BypassTriggerAction</x:v>
      </x:c>
      <x:c r="I481" s="119" t="str"/>
      <x:c r="J481" s="119" t="str"/>
      <x:c r="K481" s="118" t="n">
        <x:v>13</x:v>
      </x:c>
      <x:c r="L481" s="118" t="n">
        <x:v>4</x:v>
      </x:c>
      <x:c r="M481" s="118" t="n">
        <x:v>0</x:v>
      </x:c>
      <x:c r="N481" s="118" t="n">
        <x:v>0</x:v>
      </x:c>
      <x:c r="O481" s="118" t="n">
        <x:v>0</x:v>
      </x:c>
      <x:c r="P481" s="118" t="n">
        <x:v>0</x:v>
      </x:c>
      <x:c r="Q481" s="118" t="n">
        <x:v>2</x:v>
      </x:c>
      <x:c r="R481" s="118" t="n">
        <x:v>0</x:v>
      </x:c>
      <x:c r="S481" s="118" t="n">
        <x:v>0</x:v>
      </x:c>
      <x:c r="T481" s="118" t="n">
        <x:v>0</x:v>
      </x:c>
      <x:c r="U481" s="118" t="n">
        <x:v>0</x:v>
      </x:c>
      <x:c r="V481" s="118" t="n">
        <x:v>2</x:v>
      </x:c>
      <x:c r="W481" s="118" t="n">
        <x:v>0</x:v>
      </x:c>
      <x:c r="X481" s="118" t="n">
        <x:v>2</x:v>
      </x:c>
      <x:c r="Y481" s="118" t="n">
        <x:v>0</x:v>
      </x:c>
      <x:c r="Z481" s="118" t="n">
        <x:v>0</x:v>
      </x:c>
      <x:c r="AA481" s="118" t="n">
        <x:v>0</x:v>
      </x:c>
      <x:c r="AB481" s="118" t="n">
        <x:v>2</x:v>
      </x:c>
      <x:c r="AC481" s="118" t="n">
        <x:v>0</x:v>
      </x:c>
    </x:row>
    <x:row r="482" ht="46" customHeight="1">
      <x:c r="A482" s="117" t="str">
        <x:v>300Ro00000yyBCaIAM</x:v>
      </x:c>
      <x:c r="B482" s="117" t="str">
        <x:v>ProductItem_on_update_Pur_Op_Total_Cost_Roll_Up</x:v>
      </x:c>
      <x:c r="C482" s="117" t="str">
        <x:v>Yes</x:v>
      </x:c>
      <x:c r="D482" s="119" t="str">
        <x:v>Active v1 (Retrieved XML)</x:v>
      </x:c>
      <x:c r="E482" s="119" t="str">
        <x:v>Cost__c IsChanged booleanValue=true | Purchasing_Opportunity__c IsChanged booleanValue=true</x:v>
      </x:c>
      <x:c r="F482" s="119" t="str">
        <x:v>Opportunity, ProductItem__c</x:v>
      </x:c>
      <x:c r="G482" s="119" t="str">
        <x:v>Cost__c, Id, Purchasing_Opportunity__c, Total_Cost_of_Assets__c</x:v>
      </x:c>
      <x:c r="H482" s="119" t="str"/>
      <x:c r="I482" s="119" t="str"/>
      <x:c r="J482" s="119" t="str"/>
      <x:c r="K482" s="118" t="n">
        <x:v>9</x:v>
      </x:c>
      <x:c r="L482" s="118" t="n">
        <x:v>0</x:v>
      </x:c>
      <x:c r="M482" s="118" t="n">
        <x:v>0</x:v>
      </x:c>
      <x:c r="N482" s="118" t="n">
        <x:v>0</x:v>
      </x:c>
      <x:c r="O482" s="118" t="n">
        <x:v>0</x:v>
      </x:c>
      <x:c r="P482" s="118" t="n">
        <x:v>0</x:v>
      </x:c>
      <x:c r="Q482" s="118" t="n">
        <x:v>2</x:v>
      </x:c>
      <x:c r="R482" s="118" t="n">
        <x:v>0</x:v>
      </x:c>
      <x:c r="S482" s="118" t="n">
        <x:v>0</x:v>
      </x:c>
      <x:c r="T482" s="118" t="n">
        <x:v>0</x:v>
      </x:c>
      <x:c r="U482" s="118" t="n">
        <x:v>0</x:v>
      </x:c>
      <x:c r="V482" s="118" t="n">
        <x:v>2</x:v>
      </x:c>
      <x:c r="W482" s="118" t="n">
        <x:v>0</x:v>
      </x:c>
      <x:c r="X482" s="118" t="n">
        <x:v>2</x:v>
      </x:c>
      <x:c r="Y482" s="118" t="n">
        <x:v>0</x:v>
      </x:c>
      <x:c r="Z482" s="118" t="n">
        <x:v>0</x:v>
      </x:c>
      <x:c r="AA482" s="118" t="n">
        <x:v>0</x:v>
      </x:c>
      <x:c r="AB482" s="118" t="n">
        <x:v>2</x:v>
      </x:c>
      <x:c r="AC482" s="118" t="n">
        <x:v>0</x:v>
      </x:c>
    </x:row>
    <x:row r="483" ht="46" customHeight="1">
      <x:c r="A483" s="117" t="str">
        <x:v>300Ro00000yzeimIAA</x:v>
      </x:c>
      <x:c r="B483" s="117" t="str">
        <x:v>ProductItem_on_update_Pur_Op_Working_Capital_Usage_Days_Roll_Up</x:v>
      </x:c>
      <x:c r="C483" s="117" t="str">
        <x:v>Yes</x:v>
      </x:c>
      <x:c r="D483" s="119" t="str">
        <x:v>Active v1 (Retrieved XML)</x:v>
      </x:c>
      <x:c r="E483" s="119" t="str">
        <x:v>Working_Capital_Usage_Days__c IsChanged booleanValue=true | Purchasing_Opportunity__c IsChanged booleanValue=true</x:v>
      </x:c>
      <x:c r="F483" s="119" t="str">
        <x:v>Opportunity, ProductItem__c</x:v>
      </x:c>
      <x:c r="G483" s="119" t="str">
        <x:v>Id, Purchasing_Opportunity__c, Working_Capital_Usage_Days__c</x:v>
      </x:c>
      <x:c r="H483" s="119" t="str"/>
      <x:c r="I483" s="119" t="str"/>
      <x:c r="J483" s="119" t="str"/>
      <x:c r="K483" s="118" t="n">
        <x:v>15</x:v>
      </x:c>
      <x:c r="L483" s="118" t="n">
        <x:v>0</x:v>
      </x:c>
      <x:c r="M483" s="118" t="n">
        <x:v>0</x:v>
      </x:c>
      <x:c r="N483" s="118" t="n">
        <x:v>4</x:v>
      </x:c>
      <x:c r="O483" s="118" t="n">
        <x:v>0</x:v>
      </x:c>
      <x:c r="P483" s="118" t="n">
        <x:v>0</x:v>
      </x:c>
      <x:c r="Q483" s="118" t="n">
        <x:v>4</x:v>
      </x:c>
      <x:c r="R483" s="118" t="n">
        <x:v>2</x:v>
      </x:c>
      <x:c r="S483" s="118" t="n">
        <x:v>0</x:v>
      </x:c>
      <x:c r="T483" s="118" t="n">
        <x:v>0</x:v>
      </x:c>
      <x:c r="U483" s="118" t="n">
        <x:v>0</x:v>
      </x:c>
      <x:c r="V483" s="118" t="n">
        <x:v>2</x:v>
      </x:c>
      <x:c r="W483" s="118" t="n">
        <x:v>0</x:v>
      </x:c>
      <x:c r="X483" s="118" t="n">
        <x:v>2</x:v>
      </x:c>
      <x:c r="Y483" s="118" t="n">
        <x:v>0</x:v>
      </x:c>
      <x:c r="Z483" s="118" t="n">
        <x:v>0</x:v>
      </x:c>
      <x:c r="AA483" s="118" t="n">
        <x:v>0</x:v>
      </x:c>
      <x:c r="AB483" s="118" t="n">
        <x:v>0</x:v>
      </x:c>
      <x:c r="AC483" s="118" t="n">
        <x:v>0</x:v>
      </x:c>
    </x:row>
    <x:row r="484" ht="46" customHeight="1">
      <x:c r="A484" s="117" t="str">
        <x:v>300Ro00000zDVJ1IAO</x:v>
      </x:c>
      <x:c r="B484" s="117" t="str">
        <x:v>ProductItem_on_update_Rental_Order_Price_Roll_Up</x:v>
      </x:c>
      <x:c r="C484" s="117" t="str">
        <x:v>Yes</x:v>
      </x:c>
      <x:c r="D484" s="119" t="str">
        <x:v>Active v1 (Retrieved XML)</x:v>
      </x:c>
      <x:c r="E484" s="119" t="str">
        <x:v>Sales_Price__c IsChanged booleanValue=true | Rental_Order__c IsChanged booleanValue=true</x:v>
      </x:c>
      <x:c r="F484" s="119" t="str">
        <x:v>ProductItem__c, Rental_Order__c</x:v>
      </x:c>
      <x:c r="G484" s="119" t="str">
        <x:v>Id, Rental_Amount__c, Rental_Order__c, Sales_Price__c</x:v>
      </x:c>
      <x:c r="H484" s="119" t="str"/>
      <x:c r="I484" s="119" t="str"/>
      <x:c r="J484" s="119" t="str"/>
      <x:c r="K484" s="118" t="n">
        <x:v>9</x:v>
      </x:c>
      <x:c r="L484" s="118" t="n">
        <x:v>0</x:v>
      </x:c>
      <x:c r="M484" s="118" t="n">
        <x:v>0</x:v>
      </x:c>
      <x:c r="N484" s="118" t="n">
        <x:v>0</x:v>
      </x:c>
      <x:c r="O484" s="118" t="n">
        <x:v>0</x:v>
      </x:c>
      <x:c r="P484" s="118" t="n">
        <x:v>0</x:v>
      </x:c>
      <x:c r="Q484" s="118" t="n">
        <x:v>2</x:v>
      </x:c>
      <x:c r="R484" s="118" t="n">
        <x:v>0</x:v>
      </x:c>
      <x:c r="S484" s="118" t="n">
        <x:v>0</x:v>
      </x:c>
      <x:c r="T484" s="118" t="n">
        <x:v>0</x:v>
      </x:c>
      <x:c r="U484" s="118" t="n">
        <x:v>0</x:v>
      </x:c>
      <x:c r="V484" s="118" t="n">
        <x:v>2</x:v>
      </x:c>
      <x:c r="W484" s="118" t="n">
        <x:v>0</x:v>
      </x:c>
      <x:c r="X484" s="118" t="n">
        <x:v>2</x:v>
      </x:c>
      <x:c r="Y484" s="118" t="n">
        <x:v>0</x:v>
      </x:c>
      <x:c r="Z484" s="118" t="n">
        <x:v>0</x:v>
      </x:c>
      <x:c r="AA484" s="118" t="n">
        <x:v>0</x:v>
      </x:c>
      <x:c r="AB484" s="118" t="n">
        <x:v>2</x:v>
      </x:c>
      <x:c r="AC484" s="118" t="n">
        <x:v>0</x:v>
      </x:c>
    </x:row>
    <x:row r="485" ht="46" customHeight="1">
      <x:c r="A485" s="117" t="str">
        <x:v>3005b000000LJCEAA4</x:v>
      </x:c>
      <x:c r="B485" s="117" t="str">
        <x:v>ProductUpdatesFlow</x:v>
      </x:c>
      <x:c r="C485" s="117" t="str">
        <x:v>Yes</x:v>
      </x:c>
      <x:c r="D485" s="119" t="str">
        <x:v>Active v14 (Retrieved XML)</x:v>
      </x:c>
      <x:c r="E485" s="119" t="str">
        <x:v>Product_Status__c EqualTo stringValue=Validated | Family EqualTo stringValue=Ultrasound Probe | Family EqualTo stringValue=Ultrasound System | IsActive EqualTo booleanValue=true | Product_Status__c IsChanged booleanValue=true | Family EqualTo stringValue=Part | Family Contains stringValue=Endoscopy | Family EqualTo stringValue=BioMed</x:v>
      </x:c>
      <x:c r="F485" s="119" t="str">
        <x:v>PricebookEntry, Product2</x:v>
      </x:c>
      <x:c r="G485" s="119" t="str">
        <x:v>CurrencyIsoCode, Family, GL_Account__c, Id, IsActive, Pricebook2Id, Product2Id, Product_Status__c, RecordType, UnitPrice</x:v>
      </x:c>
      <x:c r="H485" s="119" t="str"/>
      <x:c r="I485" s="119" t="str"/>
      <x:c r="J485" s="119" t="str"/>
      <x:c r="K485" s="118" t="n">
        <x:v>19</x:v>
      </x:c>
      <x:c r="L485" s="118" t="n">
        <x:v>0</x:v>
      </x:c>
      <x:c r="M485" s="118" t="n">
        <x:v>0</x:v>
      </x:c>
      <x:c r="N485" s="118" t="n">
        <x:v>2</x:v>
      </x:c>
      <x:c r="O485" s="118" t="n">
        <x:v>4</x:v>
      </x:c>
      <x:c r="P485" s="118" t="n">
        <x:v>0</x:v>
      </x:c>
      <x:c r="Q485" s="118" t="n">
        <x:v>5</x:v>
      </x:c>
      <x:c r="R485" s="118" t="n">
        <x:v>1</x:v>
      </x:c>
      <x:c r="S485" s="118" t="n">
        <x:v>0</x:v>
      </x:c>
      <x:c r="T485" s="118" t="n">
        <x:v>4</x:v>
      </x:c>
      <x:c r="U485" s="118" t="n">
        <x:v>0</x:v>
      </x:c>
      <x:c r="V485" s="118" t="n">
        <x:v>1</x:v>
      </x:c>
      <x:c r="W485" s="118" t="n">
        <x:v>0</x:v>
      </x:c>
      <x:c r="X485" s="118" t="n">
        <x:v>1</x:v>
      </x:c>
      <x:c r="Y485" s="118" t="n">
        <x:v>0</x:v>
      </x:c>
      <x:c r="Z485" s="118" t="n">
        <x:v>0</x:v>
      </x:c>
      <x:c r="AA485" s="118" t="n">
        <x:v>0</x:v>
      </x:c>
      <x:c r="AB485" s="118" t="n">
        <x:v>0</x:v>
      </x:c>
      <x:c r="AC485" s="118" t="n">
        <x:v>0</x:v>
      </x:c>
    </x:row>
    <x:row r="486" ht="46" customHeight="1">
      <x:c r="A486" s="117" t="str">
        <x:v>300Ro000007doaaIAA</x:v>
      </x:c>
      <x:c r="B486" s="117" t="str">
        <x:v>Project_Expenses_Rollups</x:v>
      </x:c>
      <x:c r="C486" s="117" t="str">
        <x:v>Yes</x:v>
      </x:c>
      <x:c r="D486" s="119" t="str">
        <x:v>Active v1 (Retrieved XML)</x:v>
      </x:c>
      <x:c r="E486" s="119" t="str"/>
      <x:c r="F486" s="119" t="str">
        <x:v>Project_Expense__c, Project__c</x:v>
      </x:c>
      <x:c r="G486" s="119" t="str">
        <x:v>Expense_Amount__c, Id, Project__c</x:v>
      </x:c>
      <x:c r="H486" s="119" t="str"/>
      <x:c r="I486" s="119" t="str"/>
      <x:c r="J486" s="119" t="str"/>
      <x:c r="K486" s="118" t="n">
        <x:v>7</x:v>
      </x:c>
      <x:c r="L486" s="118" t="n">
        <x:v>0</x:v>
      </x:c>
      <x:c r="M486" s="118" t="n">
        <x:v>0</x:v>
      </x:c>
      <x:c r="N486" s="118" t="n">
        <x:v>2</x:v>
      </x:c>
      <x:c r="O486" s="118" t="n">
        <x:v>0</x:v>
      </x:c>
      <x:c r="P486" s="118" t="n">
        <x:v>0</x:v>
      </x:c>
      <x:c r="Q486" s="118" t="n">
        <x:v>1</x:v>
      </x:c>
      <x:c r="R486" s="118" t="n">
        <x:v>1</x:v>
      </x:c>
      <x:c r="S486" s="118" t="n">
        <x:v>0</x:v>
      </x:c>
      <x:c r="T486" s="118" t="n">
        <x:v>0</x:v>
      </x:c>
      <x:c r="U486" s="118" t="n">
        <x:v>0</x:v>
      </x:c>
      <x:c r="V486" s="118" t="n">
        <x:v>1</x:v>
      </x:c>
      <x:c r="W486" s="118" t="n">
        <x:v>0</x:v>
      </x:c>
      <x:c r="X486" s="118" t="n">
        <x:v>1</x:v>
      </x:c>
      <x:c r="Y486" s="118" t="n">
        <x:v>0</x:v>
      </x:c>
      <x:c r="Z486" s="118" t="n">
        <x:v>0</x:v>
      </x:c>
      <x:c r="AA486" s="118" t="n">
        <x:v>0</x:v>
      </x:c>
      <x:c r="AB486" s="118" t="n">
        <x:v>0</x:v>
      </x:c>
      <x:c r="AC486" s="118" t="n">
        <x:v>0</x:v>
      </x:c>
    </x:row>
    <x:row r="487" ht="46" customHeight="1">
      <x:c r="A487" s="117" t="str">
        <x:v>3005b000000LHepAAG</x:v>
      </x:c>
      <x:c r="B487" s="117" t="str">
        <x:v>Project_Flow_to_Calculate_Removal_Shipping_Costs</x:v>
      </x:c>
      <x:c r="C487" s="117" t="str">
        <x:v>No</x:v>
      </x:c>
      <x:c r="D487" s="119" t="str">
        <x:v>Latest inactive v1 (Retrieved XML)</x:v>
      </x:c>
      <x:c r="E487" s="119" t="str"/>
      <x:c r="F487" s="119" t="str">
        <x:v>Project__c</x:v>
      </x:c>
      <x:c r="G487" s="119" t="str">
        <x:v>CurrencyIsoCode, Estimated_Removal_Cost__c, Estimated_Shipping_Cost__c, Final_Asset__c, Final_Asset__r, Initial_Asset__r, Initial_Purchasing_Opportunity__r, Modality__c</x:v>
      </x:c>
      <x:c r="H487" s="119" t="str"/>
      <x:c r="I487" s="119" t="str"/>
      <x:c r="J487" s="119" t="str"/>
      <x:c r="K487" s="118" t="n">
        <x:v>35</x:v>
      </x:c>
      <x:c r="L487" s="118" t="n">
        <x:v>0</x:v>
      </x:c>
      <x:c r="M487" s="118" t="n">
        <x:v>0</x:v>
      </x:c>
      <x:c r="N487" s="118" t="n">
        <x:v>15</x:v>
      </x:c>
      <x:c r="O487" s="118" t="n">
        <x:v>0</x:v>
      </x:c>
      <x:c r="P487" s="118" t="n">
        <x:v>0</x:v>
      </x:c>
      <x:c r="Q487" s="118" t="n">
        <x:v>6</x:v>
      </x:c>
      <x:c r="R487" s="118" t="n">
        <x:v>0</x:v>
      </x:c>
      <x:c r="S487" s="118" t="n">
        <x:v>0</x:v>
      </x:c>
      <x:c r="T487" s="118" t="n">
        <x:v>0</x:v>
      </x:c>
      <x:c r="U487" s="118" t="n">
        <x:v>0</x:v>
      </x:c>
      <x:c r="V487" s="118" t="n">
        <x:v>0</x:v>
      </x:c>
      <x:c r="W487" s="118" t="n">
        <x:v>0</x:v>
      </x:c>
      <x:c r="X487" s="118" t="n">
        <x:v>13</x:v>
      </x:c>
      <x:c r="Y487" s="118" t="n">
        <x:v>0</x:v>
      </x:c>
      <x:c r="Z487" s="118" t="n">
        <x:v>0</x:v>
      </x:c>
      <x:c r="AA487" s="118" t="n">
        <x:v>0</x:v>
      </x:c>
      <x:c r="AB487" s="118" t="n">
        <x:v>0</x:v>
      </x:c>
      <x:c r="AC487" s="118" t="n">
        <x:v>0</x:v>
      </x:c>
    </x:row>
    <x:row r="488" ht="46" customHeight="1">
      <x:c r="A488" s="117" t="str">
        <x:v>300Ro000006dI4tIAE</x:v>
      </x:c>
      <x:c r="B488" s="117" t="str">
        <x:v>Purchasing_Opportunity_Field_Updates_Flow</x:v>
      </x:c>
      <x:c r="C488" s="117" t="str">
        <x:v>Yes</x:v>
      </x:c>
      <x:c r="D488" s="119" t="str">
        <x:v>Active v15 (Retrieved XML)</x:v>
      </x:c>
      <x:c r="E488" s="119" t="str">
        <x:v>CurrencyIsoCode EqualTo stringValue=USD | Opp_Record_Type__c EqualTo stringValue=Purchasing_Opportunity | Number_of_Checked_In_Items__c GreaterThan numberValue=0.0 | Total_Cost_of_Assets__c GreaterThanOrEqualTo numberValue=0.0 | Number_of_Checked_In_Items__c LessThanOrEqualTo numberValue=350.0 | Total_Cost_of_Assets__c IsChanged booleanValue=true | Total_Cost_of_Unsold_Assets__c IsChanged booleanValue=true | Number_of_Checked_In_Items__c IsChanged booleanValue=true</x:v>
      </x:c>
      <x:c r="F488" s="119" t="str">
        <x:v>Opportunity, ProductItem__c, Sourcing_Request_Item__c</x:v>
      </x:c>
      <x:c r="G488" s="119" t="str">
        <x:v>Assets_on_Purchasing_Opp__c, Cost_Moved_to_Fixed_Assets__c, Cost_Sold_on_System_Deals__c, CurrencyIsoCode, Id, Moved_to_Fixed_Assets__c, Number_of_Checked_In_Items__c, Opp_Record_Type__c, Probes_Sold_on_System_Deals__c, Purchasing_Opportunity__c, Sourcing_Request_Count__c, Total_Cost_of_Assets__c, Total_Cost_of_Unsold_Assets__c, Total_Revenue_Generated__c</x:v>
      </x:c>
      <x:c r="H488" s="119" t="str"/>
      <x:c r="I488" s="119" t="str"/>
      <x:c r="J488" s="119" t="str"/>
      <x:c r="K488" s="118" t="n">
        <x:v>17</x:v>
      </x:c>
      <x:c r="L488" s="118" t="n">
        <x:v>0</x:v>
      </x:c>
      <x:c r="M488" s="118" t="n">
        <x:v>0</x:v>
      </x:c>
      <x:c r="N488" s="118" t="n">
        <x:v>5</x:v>
      </x:c>
      <x:c r="O488" s="118" t="n">
        <x:v>0</x:v>
      </x:c>
      <x:c r="P488" s="118" t="n">
        <x:v>0</x:v>
      </x:c>
      <x:c r="Q488" s="118" t="n">
        <x:v>5</x:v>
      </x:c>
      <x:c r="R488" s="118" t="n">
        <x:v>2</x:v>
      </x:c>
      <x:c r="S488" s="118" t="n">
        <x:v>0</x:v>
      </x:c>
      <x:c r="T488" s="118" t="n">
        <x:v>0</x:v>
      </x:c>
      <x:c r="U488" s="118" t="n">
        <x:v>0</x:v>
      </x:c>
      <x:c r="V488" s="118" t="n">
        <x:v>2</x:v>
      </x:c>
      <x:c r="W488" s="118" t="n">
        <x:v>0</x:v>
      </x:c>
      <x:c r="X488" s="118" t="n">
        <x:v>2</x:v>
      </x:c>
      <x:c r="Y488" s="118" t="n">
        <x:v>0</x:v>
      </x:c>
      <x:c r="Z488" s="118" t="n">
        <x:v>0</x:v>
      </x:c>
      <x:c r="AA488" s="118" t="n">
        <x:v>0</x:v>
      </x:c>
      <x:c r="AB488" s="118" t="n">
        <x:v>0</x:v>
      </x:c>
      <x:c r="AC488" s="118" t="n">
        <x:v>0</x:v>
      </x:c>
    </x:row>
    <x:row r="489" ht="46" customHeight="1">
      <x:c r="A489" s="117" t="str">
        <x:v>3004O000000LOr9QAG</x:v>
      </x:c>
      <x:c r="B489" s="117" t="str">
        <x:v>Purchasing_Return_Update_Fields</x:v>
      </x:c>
      <x:c r="C489" s="117" t="str">
        <x:v>No</x:v>
      </x:c>
      <x:c r="D489" s="119" t="str">
        <x:v>Latest inactive v2 (Retrieved XML)</x:v>
      </x:c>
      <x:c r="E489" s="119" t="str"/>
      <x:c r="F489" s="119" t="str">
        <x:v>Purchasing_Return__c</x:v>
      </x:c>
      <x:c r="G489" s="119" t="str">
        <x:v>Id, Ship_to__c, Shipping_City__c, Shipping_Country__c, Shipping_State_Province__c, Shipping_Street__c, Shipping_Zip_Postal_Code__c</x:v>
      </x:c>
      <x:c r="H489" s="119" t="str">
        <x:v>Return_to_Vendor_Create_DB</x:v>
      </x:c>
      <x:c r="I489" s="119" t="str"/>
      <x:c r="J489" s="119" t="str"/>
      <x:c r="K489" s="118" t="n">
        <x:v>8</x:v>
      </x:c>
      <x:c r="L489" s="118" t="n">
        <x:v>1</x:v>
      </x:c>
      <x:c r="M489" s="118" t="n">
        <x:v>0</x:v>
      </x:c>
      <x:c r="N489" s="118" t="n">
        <x:v>2</x:v>
      </x:c>
      <x:c r="O489" s="118" t="n">
        <x:v>0</x:v>
      </x:c>
      <x:c r="P489" s="118" t="n">
        <x:v>0</x:v>
      </x:c>
      <x:c r="Q489" s="118" t="n">
        <x:v>3</x:v>
      </x:c>
      <x:c r="R489" s="118" t="n">
        <x:v>0</x:v>
      </x:c>
      <x:c r="S489" s="118" t="n">
        <x:v>0</x:v>
      </x:c>
      <x:c r="T489" s="118" t="n">
        <x:v>0</x:v>
      </x:c>
      <x:c r="U489" s="118" t="n">
        <x:v>0</x:v>
      </x:c>
      <x:c r="V489" s="118" t="n">
        <x:v>0</x:v>
      </x:c>
      <x:c r="W489" s="118" t="n">
        <x:v>0</x:v>
      </x:c>
      <x:c r="X489" s="118" t="n">
        <x:v>1</x:v>
      </x:c>
      <x:c r="Y489" s="118" t="n">
        <x:v>0</x:v>
      </x:c>
      <x:c r="Z489" s="118" t="n">
        <x:v>0</x:v>
      </x:c>
      <x:c r="AA489" s="118" t="n">
        <x:v>0</x:v>
      </x:c>
      <x:c r="AB489" s="118" t="n">
        <x:v>0</x:v>
      </x:c>
      <x:c r="AC489" s="118" t="n">
        <x:v>1</x:v>
      </x:c>
    </x:row>
    <x:row r="490" ht="46" customHeight="1">
      <x:c r="A490" s="117" t="str">
        <x:v>3005b000000H3hXAAS</x:v>
      </x:c>
      <x:c r="B490" s="117" t="str">
        <x:v>QA_Required_Auto_Update_from_Assets_for_UK</x:v>
      </x:c>
      <x:c r="C490" s="117" t="str">
        <x:v>Yes</x:v>
      </x:c>
      <x:c r="D490" s="119" t="str">
        <x:v>Active v4 (Retrieved XML)</x:v>
      </x:c>
      <x:c r="E490" s="119" t="str">
        <x:v>QA_Required__c EqualTo stringValue=Full QA Required | QA_Required__c EqualTo stringValue=Basic System Test | QA_Required__c IsChanged booleanValue=true | Purchasing_Opportunity__c IsChanged booleanValue=true</x:v>
      </x:c>
      <x:c r="F490" s="119" t="str">
        <x:v>Opportunity, ProductItem__c</x:v>
      </x:c>
      <x:c r="G490" s="119" t="str">
        <x:v>Id, Purchasing_Opportunity__c, QA_Required__c</x:v>
      </x:c>
      <x:c r="H490" s="119" t="str"/>
      <x:c r="I490" s="119" t="str"/>
      <x:c r="J490" s="119" t="str"/>
      <x:c r="K490" s="118" t="n">
        <x:v>8</x:v>
      </x:c>
      <x:c r="L490" s="118" t="n">
        <x:v>0</x:v>
      </x:c>
      <x:c r="M490" s="118" t="n">
        <x:v>0</x:v>
      </x:c>
      <x:c r="N490" s="118" t="n">
        <x:v>1</x:v>
      </x:c>
      <x:c r="O490" s="118" t="n">
        <x:v>0</x:v>
      </x:c>
      <x:c r="P490" s="118" t="n">
        <x:v>0</x:v>
      </x:c>
      <x:c r="Q490" s="118" t="n">
        <x:v>1</x:v>
      </x:c>
      <x:c r="R490" s="118" t="n">
        <x:v>1</x:v>
      </x:c>
      <x:c r="S490" s="118" t="n">
        <x:v>0</x:v>
      </x:c>
      <x:c r="T490" s="118" t="n">
        <x:v>0</x:v>
      </x:c>
      <x:c r="U490" s="118" t="n">
        <x:v>0</x:v>
      </x:c>
      <x:c r="V490" s="118" t="n">
        <x:v>1</x:v>
      </x:c>
      <x:c r="W490" s="118" t="n">
        <x:v>0</x:v>
      </x:c>
      <x:c r="X490" s="118" t="n">
        <x:v>3</x:v>
      </x:c>
      <x:c r="Y490" s="118" t="n">
        <x:v>0</x:v>
      </x:c>
      <x:c r="Z490" s="118" t="n">
        <x:v>0</x:v>
      </x:c>
      <x:c r="AA490" s="118" t="n">
        <x:v>0</x:v>
      </x:c>
      <x:c r="AB490" s="118" t="n">
        <x:v>0</x:v>
      </x:c>
      <x:c r="AC490" s="118" t="n">
        <x:v>0</x:v>
      </x:c>
    </x:row>
    <x:row r="491" ht="46" customHeight="1">
      <x:c r="A491" s="117" t="str">
        <x:v>3005b000000LGwJAAW</x:v>
      </x:c>
      <x:c r="B491" s="117" t="str">
        <x:v>Radiology_Basic_Product_Test_Screen_Flow_UK</x:v>
      </x:c>
      <x:c r="C491" s="117" t="str">
        <x:v>Yes</x:v>
      </x:c>
      <x:c r="D491" s="119" t="str">
        <x:v>Active v11 (Retrieved XML)</x:v>
      </x:c>
      <x:c r="E491" s="119" t="str"/>
      <x:c r="F491" s="119" t="str">
        <x:v>ProductItem__c, ProductTest__c</x:v>
      </x:c>
      <x:c r="G491" s="119" t="str">
        <x:v>Cosmetic_Rating__c, End_Date__c, Functional_Rating__c, Id, Last_4_Characters_of_SN__c, Name, Other_Notes_Cosmetic__c, Other_Notes_Functional__c, Product_Item__c, RecordTypeId, Start_Time__c, System_Software__c, Test_Completed_By__c, Verified_Asset_and_Serial_Numbers_Match__c</x:v>
      </x:c>
      <x:c r="H491" s="119" t="str"/>
      <x:c r="I491" s="119" t="str"/>
      <x:c r="J491" s="119" t="str">
        <x:v>forceContent:fileUpload</x:v>
      </x:c>
      <x:c r="K491" s="118" t="n">
        <x:v>6</x:v>
      </x:c>
      <x:c r="L491" s="118" t="n">
        <x:v>0</x:v>
      </x:c>
      <x:c r="M491" s="118" t="n">
        <x:v>0</x:v>
      </x:c>
      <x:c r="N491" s="118" t="n">
        <x:v>0</x:v>
      </x:c>
      <x:c r="O491" s="118" t="n">
        <x:v>0</x:v>
      </x:c>
      <x:c r="P491" s="118" t="n">
        <x:v>0</x:v>
      </x:c>
      <x:c r="Q491" s="118" t="n">
        <x:v>0</x:v>
      </x:c>
      <x:c r="R491" s="118" t="n">
        <x:v>0</x:v>
      </x:c>
      <x:c r="S491" s="118" t="n">
        <x:v>0</x:v>
      </x:c>
      <x:c r="T491" s="118" t="n">
        <x:v>1</x:v>
      </x:c>
      <x:c r="U491" s="118" t="n">
        <x:v>0</x:v>
      </x:c>
      <x:c r="V491" s="118" t="n">
        <x:v>1</x:v>
      </x:c>
      <x:c r="W491" s="118" t="n">
        <x:v>0</x:v>
      </x:c>
      <x:c r="X491" s="118" t="n">
        <x:v>1</x:v>
      </x:c>
      <x:c r="Y491" s="118" t="n">
        <x:v>2</x:v>
      </x:c>
      <x:c r="Z491" s="118" t="n">
        <x:v>0</x:v>
      </x:c>
      <x:c r="AA491" s="118" t="n">
        <x:v>0</x:v>
      </x:c>
      <x:c r="AB491" s="118" t="n">
        <x:v>0</x:v>
      </x:c>
      <x:c r="AC491" s="118" t="n">
        <x:v>0</x:v>
      </x:c>
    </x:row>
    <x:row r="492" ht="46" customHeight="1">
      <x:c r="A492" s="117" t="str">
        <x:v>3005b000000LHqCAAW</x:v>
      </x:c>
      <x:c r="B492" s="117" t="str">
        <x:v>Re_submit_for_Accounting_Approval</x:v>
      </x:c>
      <x:c r="C492" s="117" t="str">
        <x:v>Yes</x:v>
      </x:c>
      <x:c r="D492" s="119" t="str">
        <x:v>Active v1 (Retrieved XML)</x:v>
      </x:c>
      <x:c r="E492" s="119" t="str"/>
      <x:c r="F492" s="119" t="str"/>
      <x:c r="G492" s="119" t="str"/>
      <x:c r="H492" s="119" t="str">
        <x:v>submit</x:v>
      </x:c>
      <x:c r="I492" s="119" t="str"/>
      <x:c r="J492" s="119" t="str"/>
      <x:c r="K492" s="118" t="n">
        <x:v>3</x:v>
      </x:c>
      <x:c r="L492" s="118" t="n">
        <x:v>1</x:v>
      </x:c>
      <x:c r="M492" s="118" t="n">
        <x:v>0</x:v>
      </x:c>
      <x:c r="N492" s="118" t="n">
        <x:v>0</x:v>
      </x:c>
      <x:c r="O492" s="118" t="n">
        <x:v>0</x:v>
      </x:c>
      <x:c r="P492" s="118" t="n">
        <x:v>0</x:v>
      </x:c>
      <x:c r="Q492" s="118" t="n">
        <x:v>0</x:v>
      </x:c>
      <x:c r="R492" s="118" t="n">
        <x:v>0</x:v>
      </x:c>
      <x:c r="S492" s="118" t="n">
        <x:v>0</x:v>
      </x:c>
      <x:c r="T492" s="118" t="n">
        <x:v>0</x:v>
      </x:c>
      <x:c r="U492" s="118" t="n">
        <x:v>0</x:v>
      </x:c>
      <x:c r="V492" s="118" t="n">
        <x:v>0</x:v>
      </x:c>
      <x:c r="W492" s="118" t="n">
        <x:v>0</x:v>
      </x:c>
      <x:c r="X492" s="118" t="n">
        <x:v>0</x:v>
      </x:c>
      <x:c r="Y492" s="118" t="n">
        <x:v>1</x:v>
      </x:c>
      <x:c r="Z492" s="118" t="n">
        <x:v>0</x:v>
      </x:c>
      <x:c r="AA492" s="118" t="n">
        <x:v>0</x:v>
      </x:c>
      <x:c r="AB492" s="118" t="n">
        <x:v>0</x:v>
      </x:c>
      <x:c r="AC492" s="118" t="n">
        <x:v>0</x:v>
      </x:c>
    </x:row>
    <x:row r="493" ht="46" customHeight="1">
      <x:c r="A493" s="117" t="str">
        <x:v>300Ro00000d8DPqIAM</x:v>
      </x:c>
      <x:c r="B493" s="117" t="str">
        <x:v>Record_Triggered_Account_Prevent_Intacct_Sync_Status_Change</x:v>
      </x:c>
      <x:c r="C493" s="117" t="str">
        <x:v>No</x:v>
      </x:c>
      <x:c r="D493" s="119" t="str">
        <x:v>Latest inactive v1 (Retrieved XML)</x:v>
      </x:c>
      <x:c r="E493" s="119" t="str"/>
      <x:c r="F493" s="119" t="str">
        <x:v>Account, PermissionSetAssignment</x:v>
      </x:c>
      <x:c r="G493" s="119" t="str">
        <x:v>AssigneeId, Intacct_Customer_Sync_Status__c, Intacct_Vendor_Sync_Status__c, PermissionSetId</x:v>
      </x:c>
      <x:c r="H493" s="119" t="str"/>
      <x:c r="I493" s="119" t="str"/>
      <x:c r="J493" s="119" t="str"/>
      <x:c r="K493" s="118" t="n">
        <x:v>4</x:v>
      </x:c>
      <x:c r="L493" s="118" t="n">
        <x:v>0</x:v>
      </x:c>
      <x:c r="M493" s="118" t="n">
        <x:v>0</x:v>
      </x:c>
      <x:c r="N493" s="118" t="n">
        <x:v>0</x:v>
      </x:c>
      <x:c r="O493" s="118" t="n">
        <x:v>0</x:v>
      </x:c>
      <x:c r="P493" s="118" t="n">
        <x:v>1</x:v>
      </x:c>
      <x:c r="Q493" s="118" t="n">
        <x:v>1</x:v>
      </x:c>
      <x:c r="R493" s="118" t="n">
        <x:v>0</x:v>
      </x:c>
      <x:c r="S493" s="118" t="n">
        <x:v>0</x:v>
      </x:c>
      <x:c r="T493" s="118" t="n">
        <x:v>0</x:v>
      </x:c>
      <x:c r="U493" s="118" t="n">
        <x:v>0</x:v>
      </x:c>
      <x:c r="V493" s="118" t="n">
        <x:v>1</x:v>
      </x:c>
      <x:c r="W493" s="118" t="n">
        <x:v>0</x:v>
      </x:c>
      <x:c r="X493" s="118" t="n">
        <x:v>0</x:v>
      </x:c>
      <x:c r="Y493" s="118" t="n">
        <x:v>0</x:v>
      </x:c>
      <x:c r="Z493" s="118" t="n">
        <x:v>0</x:v>
      </x:c>
      <x:c r="AA493" s="118" t="n">
        <x:v>0</x:v>
      </x:c>
      <x:c r="AB493" s="118" t="n">
        <x:v>0</x:v>
      </x:c>
      <x:c r="AC493" s="118" t="n">
        <x:v>0</x:v>
      </x:c>
    </x:row>
    <x:row r="494" ht="46" customHeight="1">
      <x:c r="A494" s="117" t="str">
        <x:v>300Ro00000WbzIIIAZ</x:v>
      </x:c>
      <x:c r="B494" s="117" t="str">
        <x:v>Record_Triggered_Account_Update_Intacct_Customer_Sync_Status</x:v>
      </x:c>
      <x:c r="C494" s="117" t="str">
        <x:v>No</x:v>
      </x:c>
      <x:c r="D494" s="119" t="str">
        <x:v>Latest inactive v1 (Retrieved XML)</x:v>
      </x:c>
      <x:c r="E494" s="119" t="str">
        <x:v>BillingCountryCode IsChanged booleanValue=true | BillingStateCode IsChanged booleanValue=true | BillingCity IsChanged booleanValue=true | BillingStreet IsChanged booleanValue=true | BillingPostalCode IsChanged booleanValue=true | Accounting_Contact_E_mail__c IsChanged booleanValue=true | Payment_Term__c IsChanged booleanValue=true | Credit_Limit__c IsChanged booleanValue=true | Customer_ID__c IsNull booleanValue=false</x:v>
      </x:c>
      <x:c r="F494" s="119" t="str">
        <x:v>Account, Update_Intacct_Sync_Status__e</x:v>
      </x:c>
      <x:c r="G494" s="119" t="str">
        <x:v>Accounting_Contact_E_mail__c, BillingCity, BillingCountryCode, BillingPostalCode, BillingStateCode, BillingStreet, Credit_Limit__c, Customer_ID__c, Field__c, Id, Object__c, Payment_Term__c, Record_Id__c</x:v>
      </x:c>
      <x:c r="H494" s="119" t="str"/>
      <x:c r="I494" s="119" t="str"/>
      <x:c r="J494" s="119" t="str"/>
      <x:c r="K494" s="118" t="n">
        <x:v>2</x:v>
      </x:c>
      <x:c r="L494" s="118" t="n">
        <x:v>0</x:v>
      </x:c>
      <x:c r="M494" s="118" t="n">
        <x:v>0</x:v>
      </x:c>
      <x:c r="N494" s="118" t="n">
        <x:v>0</x:v>
      </x:c>
      <x:c r="O494" s="118" t="n">
        <x:v>0</x:v>
      </x:c>
      <x:c r="P494" s="118" t="n">
        <x:v>0</x:v>
      </x:c>
      <x:c r="Q494" s="118" t="n">
        <x:v>0</x:v>
      </x:c>
      <x:c r="R494" s="118" t="n">
        <x:v>0</x:v>
      </x:c>
      <x:c r="S494" s="118" t="n">
        <x:v>0</x:v>
      </x:c>
      <x:c r="T494" s="118" t="n">
        <x:v>1</x:v>
      </x:c>
      <x:c r="U494" s="118" t="n">
        <x:v>0</x:v>
      </x:c>
      <x:c r="V494" s="118" t="n">
        <x:v>0</x:v>
      </x:c>
      <x:c r="W494" s="118" t="n">
        <x:v>0</x:v>
      </x:c>
      <x:c r="X494" s="118" t="n">
        <x:v>0</x:v>
      </x:c>
      <x:c r="Y494" s="118" t="n">
        <x:v>0</x:v>
      </x:c>
      <x:c r="Z494" s="118" t="n">
        <x:v>0</x:v>
      </x:c>
      <x:c r="AA494" s="118" t="n">
        <x:v>0</x:v>
      </x:c>
      <x:c r="AB494" s="118" t="n">
        <x:v>0</x:v>
      </x:c>
      <x:c r="AC494" s="118" t="n">
        <x:v>0</x:v>
      </x:c>
    </x:row>
    <x:row r="495" ht="46" customHeight="1">
      <x:c r="A495" s="117" t="str">
        <x:v>300Ro00000d8DPrIAM</x:v>
      </x:c>
      <x:c r="B495" s="117" t="str">
        <x:v>Record_Triggered_Account_Update_Intacct_Sync_Status</x:v>
      </x:c>
      <x:c r="C495" s="117" t="str">
        <x:v>No</x:v>
      </x:c>
      <x:c r="D495" s="119" t="str">
        <x:v>Latest inactive v4 (Retrieved XML)</x:v>
      </x:c>
      <x:c r="E495" s="119" t="str">
        <x:v>BillingCountryCode IsChanged booleanValue=true | BillingStateCode IsChanged booleanValue=true | BillingCity IsChanged booleanValue=true | BillingStreet IsChanged booleanValue=true | BillingPostalCode IsChanged booleanValue=true | Accounting_Contact_E_mail__c IsChanged booleanValue=true | Payment_Term__c IsChanged booleanValue=true | Credit_Limit__c IsChanged booleanValue=true | Intacct_Vendor_Sync_Status__c IsChanged booleanValue=true | Intacct_Customer_Sync_Status__c IsChanged booleanValue=true | Customer_ID__c IsNull booleanValue=false</x:v>
      </x:c>
      <x:c r="F495" s="119" t="str">
        <x:v>Account, PermissionSetAssignment</x:v>
      </x:c>
      <x:c r="G495" s="119" t="str">
        <x:v>Accounting_Contact_E_mail__c, AssigneeId, BillingAddress, BillingCity, BillingCountryCode, BillingPostalCode, BillingStateCode, BillingStreet, Credit_Limit__c, Customer_ID__c, Intacct_Customer_Sync_Status__c, Intacct_Vendor_Sync_Status__c, Payment_Term__c, PermissionSetId</x:v>
      </x:c>
      <x:c r="H495" s="119" t="str"/>
      <x:c r="I495" s="119" t="str"/>
      <x:c r="J495" s="119" t="str"/>
      <x:c r="K495" s="118" t="n">
        <x:v>15</x:v>
      </x:c>
      <x:c r="L495" s="118" t="n">
        <x:v>0</x:v>
      </x:c>
      <x:c r="M495" s="118" t="n">
        <x:v>0</x:v>
      </x:c>
      <x:c r="N495" s="118" t="n">
        <x:v>2</x:v>
      </x:c>
      <x:c r="O495" s="118" t="n">
        <x:v>0</x:v>
      </x:c>
      <x:c r="P495" s="118" t="n">
        <x:v>3</x:v>
      </x:c>
      <x:c r="Q495" s="118" t="n">
        <x:v>5</x:v>
      </x:c>
      <x:c r="R495" s="118" t="n">
        <x:v>0</x:v>
      </x:c>
      <x:c r="S495" s="118" t="n">
        <x:v>0</x:v>
      </x:c>
      <x:c r="T495" s="118" t="n">
        <x:v>0</x:v>
      </x:c>
      <x:c r="U495" s="118" t="n">
        <x:v>0</x:v>
      </x:c>
      <x:c r="V495" s="118" t="n">
        <x:v>3</x:v>
      </x:c>
      <x:c r="W495" s="118" t="n">
        <x:v>0</x:v>
      </x:c>
      <x:c r="X495" s="118" t="n">
        <x:v>1</x:v>
      </x:c>
      <x:c r="Y495" s="118" t="n">
        <x:v>0</x:v>
      </x:c>
      <x:c r="Z495" s="118" t="n">
        <x:v>0</x:v>
      </x:c>
      <x:c r="AA495" s="118" t="n">
        <x:v>0</x:v>
      </x:c>
      <x:c r="AB495" s="118" t="n">
        <x:v>0</x:v>
      </x:c>
      <x:c r="AC495" s="118" t="n">
        <x:v>0</x:v>
      </x:c>
    </x:row>
    <x:row r="496" ht="46" customHeight="1">
      <x:c r="A496" s="117" t="str">
        <x:v>300Ro00000dKR41IAG</x:v>
      </x:c>
      <x:c r="B496" s="117" t="str">
        <x:v>Record_Triggered_After_Account_Prevent_Intact_Sync_Status_Change</x:v>
      </x:c>
      <x:c r="C496" s="117" t="str">
        <x:v>Yes</x:v>
      </x:c>
      <x:c r="D496" s="119" t="str">
        <x:v>Active v4 (Retrieved XML)</x:v>
      </x:c>
      <x:c r="E496" s="119" t="str">
        <x:v>BillingCountryCode IsChanged booleanValue=true | BillingStateCode IsChanged booleanValue=true | BillingCity IsChanged booleanValue=true | BillingStreet IsChanged booleanValue=true | BillingPostalCode IsChanged booleanValue=true | Accounting_Contact_E_mail__c IsChanged booleanValue=true | Payment_Term__c IsChanged booleanValue=true | Credit_Limit__c IsChanged booleanValue=true | Intacct_Vendor_Sync_Status__c IsChanged booleanValue=true | Intacct_Customer_Sync_Status__c IsChanged booleanValue=true | Customer_ID__c IsNull booleanValue=false</x:v>
      </x:c>
      <x:c r="F496" s="119" t="str">
        <x:v>Account, PermissionSetAssignment</x:v>
      </x:c>
      <x:c r="G496" s="119" t="str">
        <x:v>Accounting_Contact_E_mail__c, AssigneeId, BillingAddress, BillingCity, BillingCountryCode, BillingPostalCode, BillingStateCode, BillingStreet, Credit_Limit__c, Customer_ID__c, Intacct_Customer_Sync_Status__c, Intacct_Vendor_Sync_Status__c, Payment_Term__c, PermissionSetId</x:v>
      </x:c>
      <x:c r="H496" s="119" t="str">
        <x:v>Account.Workato_Account_Customer</x:v>
      </x:c>
      <x:c r="I496" s="119" t="str"/>
      <x:c r="J496" s="119" t="str"/>
      <x:c r="K496" s="118" t="n">
        <x:v>16</x:v>
      </x:c>
      <x:c r="L496" s="118" t="n">
        <x:v>1</x:v>
      </x:c>
      <x:c r="M496" s="118" t="n">
        <x:v>0</x:v>
      </x:c>
      <x:c r="N496" s="118" t="n">
        <x:v>2</x:v>
      </x:c>
      <x:c r="O496" s="118" t="n">
        <x:v>0</x:v>
      </x:c>
      <x:c r="P496" s="118" t="n">
        <x:v>3</x:v>
      </x:c>
      <x:c r="Q496" s="118" t="n">
        <x:v>5</x:v>
      </x:c>
      <x:c r="R496" s="118" t="n">
        <x:v>0</x:v>
      </x:c>
      <x:c r="S496" s="118" t="n">
        <x:v>0</x:v>
      </x:c>
      <x:c r="T496" s="118" t="n">
        <x:v>0</x:v>
      </x:c>
      <x:c r="U496" s="118" t="n">
        <x:v>0</x:v>
      </x:c>
      <x:c r="V496" s="118" t="n">
        <x:v>3</x:v>
      </x:c>
      <x:c r="W496" s="118" t="n">
        <x:v>0</x:v>
      </x:c>
      <x:c r="X496" s="118" t="n">
        <x:v>1</x:v>
      </x:c>
      <x:c r="Y496" s="118" t="n">
        <x:v>0</x:v>
      </x:c>
      <x:c r="Z496" s="118" t="n">
        <x:v>0</x:v>
      </x:c>
      <x:c r="AA496" s="118" t="n">
        <x:v>0</x:v>
      </x:c>
      <x:c r="AB496" s="118" t="n">
        <x:v>0</x:v>
      </x:c>
      <x:c r="AC496" s="118" t="n">
        <x:v>0</x:v>
      </x:c>
    </x:row>
    <x:row r="497" ht="46" customHeight="1">
      <x:c r="A497" s="117" t="str">
        <x:v>300Ro00000GpZybIAF</x:v>
      </x:c>
      <x:c r="B497" s="117" t="str">
        <x:v>Record_Triggered_After_Address_Update_Related_Lookups</x:v>
      </x:c>
      <x:c r="C497" s="117" t="str">
        <x:v>Yes</x:v>
      </x:c>
      <x:c r="D497" s="119" t="str">
        <x:v>Active v3 (Retrieved XML)</x:v>
      </x:c>
      <x:c r="E497" s="119" t="str"/>
      <x:c r="F497" s="119" t="str">
        <x:v>Address, Opportunity</x:v>
      </x:c>
      <x:c r="G497" s="119" t="str">
        <x:v>AddressType, Carrier_Account__c, City, Country, Id, IsClosed, LocationType, Name__c, PostalCode, Ship_To_Address__c, State, Street</x:v>
      </x:c>
      <x:c r="H497" s="119" t="str"/>
      <x:c r="I497" s="119" t="str"/>
      <x:c r="J497" s="119" t="str"/>
      <x:c r="K497" s="118" t="n">
        <x:v>9</x:v>
      </x:c>
      <x:c r="L497" s="118" t="n">
        <x:v>0</x:v>
      </x:c>
      <x:c r="M497" s="118" t="n">
        <x:v>0</x:v>
      </x:c>
      <x:c r="N497" s="118" t="n">
        <x:v>3</x:v>
      </x:c>
      <x:c r="O497" s="118" t="n">
        <x:v>0</x:v>
      </x:c>
      <x:c r="P497" s="118" t="n">
        <x:v>0</x:v>
      </x:c>
      <x:c r="Q497" s="118" t="n">
        <x:v>1</x:v>
      </x:c>
      <x:c r="R497" s="118" t="n">
        <x:v>1</x:v>
      </x:c>
      <x:c r="S497" s="118" t="n">
        <x:v>0</x:v>
      </x:c>
      <x:c r="T497" s="118" t="n">
        <x:v>0</x:v>
      </x:c>
      <x:c r="U497" s="118" t="n">
        <x:v>0</x:v>
      </x:c>
      <x:c r="V497" s="118" t="n">
        <x:v>1</x:v>
      </x:c>
      <x:c r="W497" s="118" t="n">
        <x:v>0</x:v>
      </x:c>
      <x:c r="X497" s="118" t="n">
        <x:v>2</x:v>
      </x:c>
      <x:c r="Y497" s="118" t="n">
        <x:v>0</x:v>
      </x:c>
      <x:c r="Z497" s="118" t="n">
        <x:v>0</x:v>
      </x:c>
      <x:c r="AA497" s="118" t="n">
        <x:v>0</x:v>
      </x:c>
      <x:c r="AB497" s="118" t="n">
        <x:v>0</x:v>
      </x:c>
      <x:c r="AC497" s="118" t="n">
        <x:v>0</x:v>
      </x:c>
    </x:row>
    <x:row r="498" ht="46" customHeight="1">
      <x:c r="A498" s="117" t="str">
        <x:v>300Ro00000M9akLIAR</x:v>
      </x:c>
      <x:c r="B498" s="117" t="str">
        <x:v>Record_Triggered_After_Debit_Memo</x:v>
      </x:c>
      <x:c r="C498" s="117" t="str">
        <x:v>Yes</x:v>
      </x:c>
      <x:c r="D498" s="119" t="str">
        <x:v>Active v1 (Retrieved XML)</x:v>
      </x:c>
      <x:c r="E498" s="119" t="str"/>
      <x:c r="F498" s="119" t="str">
        <x:v>Debit_Memos__c, Opportunity</x:v>
      </x:c>
      <x:c r="G498" s="119" t="str">
        <x:v>Debit_Memo_Amount__c, GL_Posting_Date__c, Intacct_Debit_Memo_Sync_Status__c, Opportunity__c, Submit_Debit_Memo__c</x:v>
      </x:c>
      <x:c r="H498" s="119" t="str">
        <x:v>Debit_Memos__c.Workato_Debit_Memo_Trigger</x:v>
      </x:c>
      <x:c r="I498" s="119" t="str"/>
      <x:c r="J498" s="119" t="str"/>
      <x:c r="K498" s="118" t="n">
        <x:v>14</x:v>
      </x:c>
      <x:c r="L498" s="118" t="n">
        <x:v>1</x:v>
      </x:c>
      <x:c r="M498" s="118" t="n">
        <x:v>0</x:v>
      </x:c>
      <x:c r="N498" s="118" t="n">
        <x:v>3</x:v>
      </x:c>
      <x:c r="O498" s="118" t="n">
        <x:v>0</x:v>
      </x:c>
      <x:c r="P498" s="118" t="n">
        <x:v>0</x:v>
      </x:c>
      <x:c r="Q498" s="118" t="n">
        <x:v>5</x:v>
      </x:c>
      <x:c r="R498" s="118" t="n">
        <x:v>1</x:v>
      </x:c>
      <x:c r="S498" s="118" t="n">
        <x:v>0</x:v>
      </x:c>
      <x:c r="T498" s="118" t="n">
        <x:v>0</x:v>
      </x:c>
      <x:c r="U498" s="118" t="n">
        <x:v>0</x:v>
      </x:c>
      <x:c r="V498" s="118" t="n">
        <x:v>1</x:v>
      </x:c>
      <x:c r="W498" s="118" t="n">
        <x:v>0</x:v>
      </x:c>
      <x:c r="X498" s="118" t="n">
        <x:v>2</x:v>
      </x:c>
      <x:c r="Y498" s="118" t="n">
        <x:v>0</x:v>
      </x:c>
      <x:c r="Z498" s="118" t="n">
        <x:v>0</x:v>
      </x:c>
      <x:c r="AA498" s="118" t="n">
        <x:v>0</x:v>
      </x:c>
      <x:c r="AB498" s="118" t="n">
        <x:v>0</x:v>
      </x:c>
      <x:c r="AC498" s="118" t="n">
        <x:v>0</x:v>
      </x:c>
    </x:row>
    <x:row r="499" ht="46" customHeight="1">
      <x:c r="A499" s="117" t="str">
        <x:v>300Ro00000LtI8NIAV</x:v>
      </x:c>
      <x:c r="B499" s="117" t="str">
        <x:v>Record_Triggered_After_Inventory_Adjustment</x:v>
      </x:c>
      <x:c r="C499" s="117" t="str">
        <x:v>Yes</x:v>
      </x:c>
      <x:c r="D499" s="119" t="str">
        <x:v>Active v2 (Retrieved XML)</x:v>
      </x:c>
      <x:c r="E499" s="119" t="str"/>
      <x:c r="F499" s="119" t="str">
        <x:v>Inventory_Adjustment__c, ProductItem__c</x:v>
      </x:c>
      <x:c r="G499" s="119" t="str">
        <x:v>Asset_No__c, Intacct_Inv_Adjustment_Sync_Status__c, Inventory_Adjustment_Amount__c, Opportunity__c, Purchasing_Return__c, Purchasing_Return__r</x:v>
      </x:c>
      <x:c r="H499" s="119" t="str">
        <x:v>Inventory_Adjustment__c.Workato_Inventory_Adjustment_Trigger</x:v>
      </x:c>
      <x:c r="I499" s="119" t="str"/>
      <x:c r="J499" s="119" t="str"/>
      <x:c r="K499" s="118" t="n">
        <x:v>12</x:v>
      </x:c>
      <x:c r="L499" s="118" t="n">
        <x:v>1</x:v>
      </x:c>
      <x:c r="M499" s="118" t="n">
        <x:v>0</x:v>
      </x:c>
      <x:c r="N499" s="118" t="n">
        <x:v>3</x:v>
      </x:c>
      <x:c r="O499" s="118" t="n">
        <x:v>0</x:v>
      </x:c>
      <x:c r="P499" s="118" t="n">
        <x:v>0</x:v>
      </x:c>
      <x:c r="Q499" s="118" t="n">
        <x:v>5</x:v>
      </x:c>
      <x:c r="R499" s="118" t="n">
        <x:v>0</x:v>
      </x:c>
      <x:c r="S499" s="118" t="n">
        <x:v>0</x:v>
      </x:c>
      <x:c r="T499" s="118" t="n">
        <x:v>0</x:v>
      </x:c>
      <x:c r="U499" s="118" t="n">
        <x:v>0</x:v>
      </x:c>
      <x:c r="V499" s="118" t="n">
        <x:v>0</x:v>
      </x:c>
      <x:c r="W499" s="118" t="n">
        <x:v>0</x:v>
      </x:c>
      <x:c r="X499" s="118" t="n">
        <x:v>2</x:v>
      </x:c>
      <x:c r="Y499" s="118" t="n">
        <x:v>0</x:v>
      </x:c>
      <x:c r="Z499" s="118" t="n">
        <x:v>0</x:v>
      </x:c>
      <x:c r="AA499" s="118" t="n">
        <x:v>0</x:v>
      </x:c>
      <x:c r="AB499" s="118" t="n">
        <x:v>0</x:v>
      </x:c>
      <x:c r="AC499" s="118" t="n">
        <x:v>0</x:v>
      </x:c>
    </x:row>
    <x:row r="500" ht="46" customHeight="1">
      <x:c r="A500" s="117" t="str">
        <x:v>300Ro00000LtJsOIAV</x:v>
      </x:c>
      <x:c r="B500" s="117" t="str">
        <x:v>Record_Triggered_After_Purchasing_Return</x:v>
      </x:c>
      <x:c r="C500" s="117" t="str">
        <x:v>Yes</x:v>
      </x:c>
      <x:c r="D500" s="119" t="str">
        <x:v>Active v9 (Retrieved XML)</x:v>
      </x:c>
      <x:c r="E500" s="119" t="str">
        <x:v>Intacct_PO_Return_Sync_Status__c NotEqualTo stringValue=Synced</x:v>
      </x:c>
      <x:c r="F500" s="119" t="str">
        <x:v>ProductItem__c, Purchasing_Return__c</x:v>
      </x:c>
      <x:c r="G500" s="119" t="str">
        <x:v>Asset_Numbers__c, Assets__r, Id, Intacct_PO_Return_Sync_Status__c, Location__c, Posting_Date__c, Purchasing_Return_Amount__c, Purchasing_Return__c, Restock_Fees__c, Ship_Date__c, sold__c</x:v>
      </x:c>
      <x:c r="H500" s="119" t="str">
        <x:v>Purchasing_Return__c.Workato_Purchase_Return_Trigger</x:v>
      </x:c>
      <x:c r="I500" s="119" t="str">
        <x:v>Return_to_Vendor_Create_DB</x:v>
      </x:c>
      <x:c r="J500" s="119" t="str"/>
      <x:c r="K500" s="118" t="n">
        <x:v>13</x:v>
      </x:c>
      <x:c r="L500" s="118" t="n">
        <x:v>1</x:v>
      </x:c>
      <x:c r="M500" s="118" t="n">
        <x:v>0</x:v>
      </x:c>
      <x:c r="N500" s="118" t="n">
        <x:v>2</x:v>
      </x:c>
      <x:c r="O500" s="118" t="n">
        <x:v>0</x:v>
      </x:c>
      <x:c r="P500" s="118" t="n">
        <x:v>0</x:v>
      </x:c>
      <x:c r="Q500" s="118" t="n">
        <x:v>3</x:v>
      </x:c>
      <x:c r="R500" s="118" t="n">
        <x:v>0</x:v>
      </x:c>
      <x:c r="S500" s="118" t="n">
        <x:v>0</x:v>
      </x:c>
      <x:c r="T500" s="118" t="n">
        <x:v>0</x:v>
      </x:c>
      <x:c r="U500" s="118" t="n">
        <x:v>0</x:v>
      </x:c>
      <x:c r="V500" s="118" t="n">
        <x:v>1</x:v>
      </x:c>
      <x:c r="W500" s="118" t="n">
        <x:v>0</x:v>
      </x:c>
      <x:c r="X500" s="118" t="n">
        <x:v>2</x:v>
      </x:c>
      <x:c r="Y500" s="118" t="n">
        <x:v>0</x:v>
      </x:c>
      <x:c r="Z500" s="118" t="n">
        <x:v>0</x:v>
      </x:c>
      <x:c r="AA500" s="118" t="n">
        <x:v>1</x:v>
      </x:c>
      <x:c r="AB500" s="118" t="n">
        <x:v>2</x:v>
      </x:c>
      <x:c r="AC500" s="118" t="n">
        <x:v>0</x:v>
      </x:c>
    </x:row>
    <x:row r="501" ht="46" customHeight="1">
      <x:c r="A501" s="117" t="str">
        <x:v>300Ro00000ZiY6fIAF</x:v>
      </x:c>
      <x:c r="B501" s="117" t="str">
        <x:v>Record_Triggered_Location_After_Create_After_Update_Inactive_Changed</x:v>
      </x:c>
      <x:c r="C501" s="117" t="str">
        <x:v>Yes</x:v>
      </x:c>
      <x:c r="D501" s="119" t="str">
        <x:v>Active v1 (Retrieved XML)</x:v>
      </x:c>
      <x:c r="E501" s="119" t="str">
        <x:v>Inactive__c IsChanged booleanValue=true</x:v>
      </x:c>
      <x:c r="F501" s="119" t="str">
        <x:v>Location</x:v>
      </x:c>
      <x:c r="G501" s="119" t="str">
        <x:v>Addresses, Inactive__c</x:v>
      </x:c>
      <x:c r="H501" s="119" t="str"/>
      <x:c r="I501" s="119" t="str"/>
      <x:c r="J501" s="119" t="str"/>
      <x:c r="K501" s="118" t="n">
        <x:v>2</x:v>
      </x:c>
      <x:c r="L501" s="118" t="n">
        <x:v>0</x:v>
      </x:c>
      <x:c r="M501" s="118" t="n">
        <x:v>0</x:v>
      </x:c>
      <x:c r="N501" s="118" t="n">
        <x:v>0</x:v>
      </x:c>
      <x:c r="O501" s="118" t="n">
        <x:v>0</x:v>
      </x:c>
      <x:c r="P501" s="118" t="n">
        <x:v>0</x:v>
      </x:c>
      <x:c r="Q501" s="118" t="n">
        <x:v>0</x:v>
      </x:c>
      <x:c r="R501" s="118" t="n">
        <x:v>0</x:v>
      </x:c>
      <x:c r="S501" s="118" t="n">
        <x:v>0</x:v>
      </x:c>
      <x:c r="T501" s="118" t="n">
        <x:v>0</x:v>
      </x:c>
      <x:c r="U501" s="118" t="n">
        <x:v>0</x:v>
      </x:c>
      <x:c r="V501" s="118" t="n">
        <x:v>0</x:v>
      </x:c>
      <x:c r="W501" s="118" t="n">
        <x:v>0</x:v>
      </x:c>
      <x:c r="X501" s="118" t="n">
        <x:v>1</x:v>
      </x:c>
      <x:c r="Y501" s="118" t="n">
        <x:v>0</x:v>
      </x:c>
      <x:c r="Z501" s="118" t="n">
        <x:v>0</x:v>
      </x:c>
      <x:c r="AA501" s="118" t="n">
        <x:v>0</x:v>
      </x:c>
      <x:c r="AB501" s="118" t="n">
        <x:v>0</x:v>
      </x:c>
      <x:c r="AC501" s="118" t="n">
        <x:v>0</x:v>
      </x:c>
    </x:row>
    <x:row r="502" ht="46" customHeight="1">
      <x:c r="A502" s="117" t="str">
        <x:v>300Ro00000GMXAcIAP</x:v>
      </x:c>
      <x:c r="B502" s="117" t="str">
        <x:v>Record_Triggered_Opportunity_Send_Tracking_Confirmation_for_WooCommerce_Orders</x:v>
      </x:c>
      <x:c r="C502" s="117" t="str">
        <x:v>Yes</x:v>
      </x:c>
      <x:c r="D502" s="119" t="str">
        <x:v>Active v1 (Retrieved XML)</x:v>
      </x:c>
      <x:c r="E502" s="119" t="str">
        <x:v>Order_Id__c IsNull booleanValue=false | Tracking__c IsChanged booleanValue=true | Tracking__c IsNull booleanValue=false | E_mail_for_Shipping_Confirmation__c IsNull booleanValue=false</x:v>
      </x:c>
      <x:c r="F502" s="119" t="str">
        <x:v>Opportunity</x:v>
      </x:c>
      <x:c r="G502" s="119" t="str">
        <x:v>E_mail_for_Shipping_Confirmation__c, Id, Order_Id__c, Tracking__c</x:v>
      </x:c>
      <x:c r="H502" s="119" t="str">
        <x:v>Opportunity.WooCommerce_Order_Shipped</x:v>
      </x:c>
      <x:c r="I502" s="119" t="str"/>
      <x:c r="J502" s="119" t="str"/>
      <x:c r="K502" s="118" t="n">
        <x:v>2</x:v>
      </x:c>
      <x:c r="L502" s="118" t="n">
        <x:v>1</x:v>
      </x:c>
      <x:c r="M502" s="118" t="n">
        <x:v>0</x:v>
      </x:c>
      <x:c r="N502" s="118" t="n">
        <x:v>0</x:v>
      </x:c>
      <x:c r="O502" s="118" t="n">
        <x:v>0</x:v>
      </x:c>
      <x:c r="P502" s="118" t="n">
        <x:v>0</x:v>
      </x:c>
      <x:c r="Q502" s="118" t="n">
        <x:v>0</x:v>
      </x:c>
      <x:c r="R502" s="118" t="n">
        <x:v>0</x:v>
      </x:c>
      <x:c r="S502" s="118" t="n">
        <x:v>0</x:v>
      </x:c>
      <x:c r="T502" s="118" t="n">
        <x:v>0</x:v>
      </x:c>
      <x:c r="U502" s="118" t="n">
        <x:v>0</x:v>
      </x:c>
      <x:c r="V502" s="118" t="n">
        <x:v>0</x:v>
      </x:c>
      <x:c r="W502" s="118" t="n">
        <x:v>0</x:v>
      </x:c>
      <x:c r="X502" s="118" t="n">
        <x:v>0</x:v>
      </x:c>
      <x:c r="Y502" s="118" t="n">
        <x:v>0</x:v>
      </x:c>
      <x:c r="Z502" s="118" t="n">
        <x:v>0</x:v>
      </x:c>
      <x:c r="AA502" s="118" t="n">
        <x:v>0</x:v>
      </x:c>
      <x:c r="AB502" s="118" t="n">
        <x:v>0</x:v>
      </x:c>
      <x:c r="AC502" s="118" t="n">
        <x:v>0</x:v>
      </x:c>
    </x:row>
    <x:row r="503" ht="46" customHeight="1">
      <x:c r="A503" s="117" t="str">
        <x:v>3004O000000LOsqQAG</x:v>
      </x:c>
      <x:c r="B503" s="117" t="str">
        <x:v>Recurring_Billing_Flow</x:v>
      </x:c>
      <x:c r="C503" s="117" t="str">
        <x:v>Yes</x:v>
      </x:c>
      <x:c r="D503" s="119" t="str">
        <x:v>Active v11 (Retrieved XML)</x:v>
      </x:c>
      <x:c r="E503" s="119" t="str">
        <x:v>Next_Charge_Date__c IsNull booleanValue=false | Next_Charge_Date__c GreaterThanOrEqualTo dateValue=2022-06-02</x:v>
      </x:c>
      <x:c r="F503" s="119" t="str">
        <x:v>ChargentOrders__ChargentOrder__c, ChargentOrders__Payment_Request__c, Invoice__c, OpportunityLineItem</x:v>
      </x:c>
      <x:c r="G503" s="119" t="str">
        <x:v>Account__c, Asset_No__c, Asset_is_system__c, Balance_Due__c, Bill_to_Account__c, Billing_City__c, Billing_Country__c, Billing_Postal_Code__c, Billing_State__c, Billing_Street__c, ChargentOrders__Charge_Amount__c, ChargentOrders__ChargentOrder__c, ChargentOrders__Email_Address__c, ChargentOrders__Payment_Method__c, ChargentOrders__Send_Payment_Request_Email__c, ChargentOrders__Subtotal__c, ChargentOrders__Tax__c, Chargent_Order__c, Invoice2__c, Invoice__c, Invoice__r, Loaner__c, Model__c, Next_Charge_Date__c, OpportunityId, Opportunity__c, OwnerId, Part_Number__c, Payment_Due_Date__c, Physical_Location__c, Probo_s_Offer__c, Product2Id, ProductItem__c, Product_Family_TXT__c, Product__c, Purchasing_Approval_Time__c, Purchasing_Approved__c, Quantity, RecordTypeId, Recurring_Charge_Amount__c, Recurring_Frequency__c, Rental_Order__c, Sales_Product__c, Serial_No__c, Ship_to_Account__c, Shipping_City__c, Shipping_Country__c, Shipping_Postal_Code__c, Shipping_State__c, Shipping_Street__c, Supplier_s_Quote__c, UnitPrice, X23100_Sales_Tax_Payable__c</x:v>
      </x:c>
      <x:c r="H503" s="119" t="str"/>
      <x:c r="I503" s="119" t="str"/>
      <x:c r="J503" s="119" t="str"/>
      <x:c r="K503" s="118" t="n">
        <x:v>19</x:v>
      </x:c>
      <x:c r="L503" s="118" t="n">
        <x:v>0</x:v>
      </x:c>
      <x:c r="M503" s="118" t="n">
        <x:v>0</x:v>
      </x:c>
      <x:c r="N503" s="118" t="n">
        <x:v>9</x:v>
      </x:c>
      <x:c r="O503" s="118" t="n">
        <x:v>0</x:v>
      </x:c>
      <x:c r="P503" s="118" t="n">
        <x:v>0</x:v>
      </x:c>
      <x:c r="Q503" s="118" t="n">
        <x:v>3</x:v>
      </x:c>
      <x:c r="R503" s="118" t="n">
        <x:v>1</x:v>
      </x:c>
      <x:c r="S503" s="118" t="n">
        <x:v>0</x:v>
      </x:c>
      <x:c r="T503" s="118" t="n">
        <x:v>4</x:v>
      </x:c>
      <x:c r="U503" s="118" t="n">
        <x:v>0</x:v>
      </x:c>
      <x:c r="V503" s="118" t="n">
        <x:v>1</x:v>
      </x:c>
      <x:c r="W503" s="118" t="n">
        <x:v>0</x:v>
      </x:c>
      <x:c r="X503" s="118" t="n">
        <x:v>0</x:v>
      </x:c>
      <x:c r="Y503" s="118" t="n">
        <x:v>0</x:v>
      </x:c>
      <x:c r="Z503" s="118" t="n">
        <x:v>0</x:v>
      </x:c>
      <x:c r="AA503" s="118" t="n">
        <x:v>0</x:v>
      </x:c>
      <x:c r="AB503" s="118" t="n">
        <x:v>0</x:v>
      </x:c>
      <x:c r="AC503" s="118" t="n">
        <x:v>0</x:v>
      </x:c>
    </x:row>
    <x:row r="504" ht="46" customHeight="1">
      <x:c r="A504" s="117" t="str">
        <x:v>3005b000000PzrOAAS</x:v>
      </x:c>
      <x:c r="B504" s="117" t="str">
        <x:v>Refurb_Part_Request_Field_Updates_Flow</x:v>
      </x:c>
      <x:c r="C504" s="117" t="str">
        <x:v>Yes</x:v>
      </x:c>
      <x:c r="D504" s="119" t="str">
        <x:v>Active v16 (Retrieved XML)</x:v>
      </x:c>
      <x:c r="E504" s="119" t="str"/>
      <x:c r="F504" s="119" t="str">
        <x:v>Opportunity, OpportunityLineItem, PricebookEntry, Pricing_Request__c, ProductItem__c, Refurb_Part_Request__c</x:v>
      </x:c>
      <x:c r="G504" s="119" t="str">
        <x:v>Asset_Assigned__r, Asset_No__c, Core_Exchange_Asset__c, Core_Exchange_Asset__r, CreatedBy, CurrencyIsoCode, Id, Name, OpportunityId, PricebookEntryId, Product2Id, Purchasing_Approved__c, Purchasing_Opportunity__c, Purchasing_Opportunity__r, Quantity, Refurb_Part_Request__c, Refurb_Test__r, Reserved__c, Return_Opportunity__c, Serial_No__c, StageName, Status__c, Sub_Location__c, TotalPrice</x:v>
      </x:c>
      <x:c r="H504" s="119" t="str">
        <x:v>emailSimple</x:v>
      </x:c>
      <x:c r="I504" s="119" t="str"/>
      <x:c r="J504" s="119" t="str"/>
      <x:c r="K504" s="118" t="n">
        <x:v>21</x:v>
      </x:c>
      <x:c r="L504" s="118" t="n">
        <x:v>2</x:v>
      </x:c>
      <x:c r="M504" s="118" t="n">
        <x:v>0</x:v>
      </x:c>
      <x:c r="N504" s="118" t="n">
        <x:v>0</x:v>
      </x:c>
      <x:c r="O504" s="118" t="n">
        <x:v>0</x:v>
      </x:c>
      <x:c r="P504" s="118" t="n">
        <x:v>0</x:v>
      </x:c>
      <x:c r="Q504" s="118" t="n">
        <x:v>8</x:v>
      </x:c>
      <x:c r="R504" s="118" t="n">
        <x:v>0</x:v>
      </x:c>
      <x:c r="S504" s="118" t="n">
        <x:v>0</x:v>
      </x:c>
      <x:c r="T504" s="118" t="n">
        <x:v>1</x:v>
      </x:c>
      <x:c r="U504" s="118" t="n">
        <x:v>0</x:v>
      </x:c>
      <x:c r="V504" s="118" t="n">
        <x:v>5</x:v>
      </x:c>
      <x:c r="W504" s="118" t="n">
        <x:v>0</x:v>
      </x:c>
      <x:c r="X504" s="118" t="n">
        <x:v>4</x:v>
      </x:c>
      <x:c r="Y504" s="118" t="n">
        <x:v>0</x:v>
      </x:c>
      <x:c r="Z504" s="118" t="n">
        <x:v>0</x:v>
      </x:c>
      <x:c r="AA504" s="118" t="n">
        <x:v>0</x:v>
      </x:c>
      <x:c r="AB504" s="118" t="n">
        <x:v>0</x:v>
      </x:c>
      <x:c r="AC504" s="118" t="n">
        <x:v>0</x:v>
      </x:c>
    </x:row>
    <x:row r="505" ht="46" customHeight="1">
      <x:c r="A505" s="117" t="str">
        <x:v>3005b000000PyyOAAS</x:v>
      </x:c>
      <x:c r="B505" s="117" t="str">
        <x:v>Refurb_Test_Asset_Selection_Screen_Flow</x:v>
      </x:c>
      <x:c r="C505" s="117" t="str">
        <x:v>Yes</x:v>
      </x:c>
      <x:c r="D505" s="119" t="str">
        <x:v>Active v18 (Retrieved XML)</x:v>
      </x:c>
      <x:c r="E505" s="119" t="str"/>
      <x:c r="F505" s="119" t="str">
        <x:v>Pricing_Request__c, ProductItem__c, Refurb_Part_Request__c</x:v>
      </x:c>
      <x:c r="G505" s="119" t="str">
        <x:v>Asset_Assigned__c, Check_In_Type__c, Condition__c, CurrencyIsoCode, Id, Outright_Exchange__c, Ownership__c, Product_Name__c, Product_to_Price__c, Refurb_Part_Request__c, Request_Notes__c, Reserved__c, Review_Status__c, Status__c, sold__c</x:v>
      </x:c>
      <x:c r="H505" s="119" t="str">
        <x:v>emailSimple</x:v>
      </x:c>
      <x:c r="I505" s="119" t="str"/>
      <x:c r="J505" s="119" t="str">
        <x:v>flowruntime:datatable, flowruntime:lookup</x:v>
      </x:c>
      <x:c r="K505" s="118" t="n">
        <x:v>16</x:v>
      </x:c>
      <x:c r="L505" s="118" t="n">
        <x:v>2</x:v>
      </x:c>
      <x:c r="M505" s="118" t="n">
        <x:v>0</x:v>
      </x:c>
      <x:c r="N505" s="118" t="n">
        <x:v>2</x:v>
      </x:c>
      <x:c r="O505" s="118" t="n">
        <x:v>0</x:v>
      </x:c>
      <x:c r="P505" s="118" t="n">
        <x:v>0</x:v>
      </x:c>
      <x:c r="Q505" s="118" t="n">
        <x:v>2</x:v>
      </x:c>
      <x:c r="R505" s="118" t="n">
        <x:v>0</x:v>
      </x:c>
      <x:c r="S505" s="118" t="n">
        <x:v>0</x:v>
      </x:c>
      <x:c r="T505" s="118" t="n">
        <x:v>1</x:v>
      </x:c>
      <x:c r="U505" s="118" t="n">
        <x:v>0</x:v>
      </x:c>
      <x:c r="V505" s="118" t="n">
        <x:v>4</x:v>
      </x:c>
      <x:c r="W505" s="118" t="n">
        <x:v>0</x:v>
      </x:c>
      <x:c r="X505" s="118" t="n">
        <x:v>2</x:v>
      </x:c>
      <x:c r="Y505" s="118" t="n">
        <x:v>2</x:v>
      </x:c>
      <x:c r="Z505" s="118" t="n">
        <x:v>0</x:v>
      </x:c>
      <x:c r="AA505" s="118" t="n">
        <x:v>0</x:v>
      </x:c>
      <x:c r="AB505" s="118" t="n">
        <x:v>0</x:v>
      </x:c>
      <x:c r="AC505" s="118" t="n">
        <x:v>0</x:v>
      </x:c>
    </x:row>
    <x:row r="506" ht="46" customHeight="1">
      <x:c r="A506" s="117" t="str">
        <x:v>300Ro00000z7Z2mIAE</x:v>
      </x:c>
      <x:c r="B506" s="117" t="str">
        <x:v>Refurb_Test_Update_After_Save_Change_Owner_to_Engineer_on_Acceptance</x:v>
      </x:c>
      <x:c r="C506" s="117" t="str">
        <x:v>Yes</x:v>
      </x:c>
      <x:c r="D506" s="119" t="str">
        <x:v>Active v1 (Retrieved XML)</x:v>
      </x:c>
      <x:c r="E506" s="119" t="str">
        <x:v>RecordTypeId EqualTo stringValue=012Ro000005oXYzIAM</x:v>
      </x:c>
      <x:c r="F506" s="119" t="str">
        <x:v>Refurb_Test__c</x:v>
      </x:c>
      <x:c r="G506" s="119" t="str">
        <x:v>OwnerId, RecordTypeId, Status__c</x:v>
      </x:c>
      <x:c r="H506" s="119" t="str"/>
      <x:c r="I506" s="119" t="str"/>
      <x:c r="J506" s="119" t="str"/>
      <x:c r="K506" s="118" t="n">
        <x:v>3</x:v>
      </x:c>
      <x:c r="L506" s="118" t="n">
        <x:v>0</x:v>
      </x:c>
      <x:c r="M506" s="118" t="n">
        <x:v>0</x:v>
      </x:c>
      <x:c r="N506" s="118" t="n">
        <x:v>0</x:v>
      </x:c>
      <x:c r="O506" s="118" t="n">
        <x:v>0</x:v>
      </x:c>
      <x:c r="P506" s="118" t="n">
        <x:v>0</x:v>
      </x:c>
      <x:c r="Q506" s="118" t="n">
        <x:v>1</x:v>
      </x:c>
      <x:c r="R506" s="118" t="n">
        <x:v>0</x:v>
      </x:c>
      <x:c r="S506" s="118" t="n">
        <x:v>0</x:v>
      </x:c>
      <x:c r="T506" s="118" t="n">
        <x:v>0</x:v>
      </x:c>
      <x:c r="U506" s="118" t="n">
        <x:v>0</x:v>
      </x:c>
      <x:c r="V506" s="118" t="n">
        <x:v>0</x:v>
      </x:c>
      <x:c r="W506" s="118" t="n">
        <x:v>0</x:v>
      </x:c>
      <x:c r="X506" s="118" t="n">
        <x:v>1</x:v>
      </x:c>
      <x:c r="Y506" s="118" t="n">
        <x:v>0</x:v>
      </x:c>
      <x:c r="Z506" s="118" t="n">
        <x:v>0</x:v>
      </x:c>
      <x:c r="AA506" s="118" t="n">
        <x:v>0</x:v>
      </x:c>
      <x:c r="AB506" s="118" t="n">
        <x:v>0</x:v>
      </x:c>
      <x:c r="AC506" s="118" t="n">
        <x:v>0</x:v>
      </x:c>
    </x:row>
    <x:row r="507" ht="46" customHeight="1">
      <x:c r="A507" s="117" t="str">
        <x:v>3005b000000PzoZAAS</x:v>
      </x:c>
      <x:c r="B507" s="117" t="str">
        <x:v>Refurb_Test_Update_Fields_FLow</x:v>
      </x:c>
      <x:c r="C507" s="117" t="str">
        <x:v>Yes</x:v>
      </x:c>
      <x:c r="D507" s="119" t="str">
        <x:v>Active v10 (Retrieved XML)</x:v>
      </x:c>
      <x:c r="E507" s="119" t="str">
        <x:v>Approval_Status__c EqualTo stringValue=Approved | Approval_Status__c IsChanged booleanValue=true | Painted__c EqualTo booleanValue=true | Blown_Out__c EqualTo booleanValue=true | Status__c IsChanged booleanValue=true | RecordTypeId NotEqualTo stringValue=012Ro000005oXYzIAM</x:v>
      </x:c>
      <x:c r="F507" s="119" t="str">
        <x:v>ProductItem__c, Refurb_Test__c</x:v>
      </x:c>
      <x:c r="G507" s="119" t="str">
        <x:v>Approval_Status__c, Blown_Out_By__c, Blown_Out__c, Id, Moved_to_Completed__c, Moved_to_Painted__c, Moved_to_Rebuilt__c, Moved_to_Torn_Down__c, Painted_By__c, Painted__c, QC_Approval_Date__c, QC_Signature__c, RecordTypeId, Refurb_Asset__r, Status__c, Sub_Location__c</x:v>
      </x:c>
      <x:c r="H507" s="119" t="str"/>
      <x:c r="I507" s="119" t="str"/>
      <x:c r="J507" s="119" t="str"/>
      <x:c r="K507" s="118" t="n">
        <x:v>21</x:v>
      </x:c>
      <x:c r="L507" s="118" t="n">
        <x:v>0</x:v>
      </x:c>
      <x:c r="M507" s="118" t="n">
        <x:v>0</x:v>
      </x:c>
      <x:c r="N507" s="118" t="n">
        <x:v>7</x:v>
      </x:c>
      <x:c r="O507" s="118" t="n">
        <x:v>0</x:v>
      </x:c>
      <x:c r="P507" s="118" t="n">
        <x:v>0</x:v>
      </x:c>
      <x:c r="Q507" s="118" t="n">
        <x:v>4</x:v>
      </x:c>
      <x:c r="R507" s="118" t="n">
        <x:v>0</x:v>
      </x:c>
      <x:c r="S507" s="118" t="n">
        <x:v>0</x:v>
      </x:c>
      <x:c r="T507" s="118" t="n">
        <x:v>0</x:v>
      </x:c>
      <x:c r="U507" s="118" t="n">
        <x:v>0</x:v>
      </x:c>
      <x:c r="V507" s="118" t="n">
        <x:v>1</x:v>
      </x:c>
      <x:c r="W507" s="118" t="n">
        <x:v>0</x:v>
      </x:c>
      <x:c r="X507" s="118" t="n">
        <x:v>8</x:v>
      </x:c>
      <x:c r="Y507" s="118" t="n">
        <x:v>0</x:v>
      </x:c>
      <x:c r="Z507" s="118" t="n">
        <x:v>0</x:v>
      </x:c>
      <x:c r="AA507" s="118" t="n">
        <x:v>0</x:v>
      </x:c>
      <x:c r="AB507" s="118" t="n">
        <x:v>0</x:v>
      </x:c>
      <x:c r="AC507" s="118" t="n">
        <x:v>0</x:v>
      </x:c>
    </x:row>
    <x:row r="508" ht="46" customHeight="1">
      <x:c r="A508" s="117" t="str">
        <x:v>3005b000000PzkmAAC</x:v>
      </x:c>
      <x:c r="B508" s="117" t="str">
        <x:v>Register_System_Lead_with_Mindray_Button_Flow</x:v>
      </x:c>
      <x:c r="C508" s="117" t="str">
        <x:v>Yes</x:v>
      </x:c>
      <x:c r="D508" s="119" t="str">
        <x:v>Active v11 (Retrieved XML)</x:v>
      </x:c>
      <x:c r="E508" s="119" t="str"/>
      <x:c r="F508" s="119" t="str">
        <x:v>Contact, ContentDocumentLink, Opportunity, OpportunityLineItem</x:v>
      </x:c>
      <x:c r="G508" s="119" t="str">
        <x:v>Id, LinkedEntityId, Mindray_Lead_Expiration_Date__c, Mindray_Lead_Registration_Date__c, OpportunityId, Product_Family__c, Product_Name__c, SystemModstamp</x:v>
      </x:c>
      <x:c r="H508" s="119" t="str">
        <x:v>SendBetterEmail, emailSimple</x:v>
      </x:c>
      <x:c r="I508" s="119" t="str"/>
      <x:c r="J508" s="119" t="str">
        <x:v>forceContent:fileUpload</x:v>
      </x:c>
      <x:c r="K508" s="118" t="n">
        <x:v>26</x:v>
      </x:c>
      <x:c r="L508" s="118" t="n">
        <x:v>4</x:v>
      </x:c>
      <x:c r="M508" s="118" t="n">
        <x:v>0</x:v>
      </x:c>
      <x:c r="N508" s="118" t="n">
        <x:v>8</x:v>
      </x:c>
      <x:c r="O508" s="118" t="n">
        <x:v>0</x:v>
      </x:c>
      <x:c r="P508" s="118" t="n">
        <x:v>0</x:v>
      </x:c>
      <x:c r="Q508" s="118" t="n">
        <x:v>4</x:v>
      </x:c>
      <x:c r="R508" s="118" t="n">
        <x:v>2</x:v>
      </x:c>
      <x:c r="S508" s="118" t="n">
        <x:v>0</x:v>
      </x:c>
      <x:c r="T508" s="118" t="n">
        <x:v>0</x:v>
      </x:c>
      <x:c r="U508" s="118" t="n">
        <x:v>0</x:v>
      </x:c>
      <x:c r="V508" s="118" t="n">
        <x:v>4</x:v>
      </x:c>
      <x:c r="W508" s="118" t="n">
        <x:v>0</x:v>
      </x:c>
      <x:c r="X508" s="118" t="n">
        <x:v>1</x:v>
      </x:c>
      <x:c r="Y508" s="118" t="n">
        <x:v>2</x:v>
      </x:c>
      <x:c r="Z508" s="118" t="n">
        <x:v>0</x:v>
      </x:c>
      <x:c r="AA508" s="118" t="n">
        <x:v>0</x:v>
      </x:c>
      <x:c r="AB508" s="118" t="n">
        <x:v>0</x:v>
      </x:c>
      <x:c r="AC508" s="118" t="n">
        <x:v>0</x:v>
      </x:c>
    </x:row>
    <x:row r="509" ht="46" customHeight="1">
      <x:c r="A509" s="117" t="str">
        <x:v>3005b00000113h0AAA</x:v>
      </x:c>
      <x:c r="B509" s="117" t="str">
        <x:v>Rejecting_Credit_Memo_Request_Screen_Flow</x:v>
      </x:c>
      <x:c r="C509" s="117" t="str">
        <x:v>Yes</x:v>
      </x:c>
      <x:c r="D509" s="119" t="str">
        <x:v>Active v3 (Retrieved XML)</x:v>
      </x:c>
      <x:c r="E509" s="119" t="str"/>
      <x:c r="F509" s="119" t="str">
        <x:v>Opportunity, Task</x:v>
      </x:c>
      <x:c r="G509" s="119" t="str">
        <x:v>Id, Status</x:v>
      </x:c>
      <x:c r="H509" s="119" t="str">
        <x:v>emailSimple</x:v>
      </x:c>
      <x:c r="I509" s="119" t="str"/>
      <x:c r="J509" s="119" t="str"/>
      <x:c r="K509" s="118" t="n">
        <x:v>6</x:v>
      </x:c>
      <x:c r="L509" s="118" t="n">
        <x:v>1</x:v>
      </x:c>
      <x:c r="M509" s="118" t="n">
        <x:v>0</x:v>
      </x:c>
      <x:c r="N509" s="118" t="n">
        <x:v>0</x:v>
      </x:c>
      <x:c r="O509" s="118" t="n">
        <x:v>0</x:v>
      </x:c>
      <x:c r="P509" s="118" t="n">
        <x:v>0</x:v>
      </x:c>
      <x:c r="Q509" s="118" t="n">
        <x:v>0</x:v>
      </x:c>
      <x:c r="R509" s="118" t="n">
        <x:v>0</x:v>
      </x:c>
      <x:c r="S509" s="118" t="n">
        <x:v>0</x:v>
      </x:c>
      <x:c r="T509" s="118" t="n">
        <x:v>0</x:v>
      </x:c>
      <x:c r="U509" s="118" t="n">
        <x:v>0</x:v>
      </x:c>
      <x:c r="V509" s="118" t="n">
        <x:v>2</x:v>
      </x:c>
      <x:c r="W509" s="118" t="n">
        <x:v>0</x:v>
      </x:c>
      <x:c r="X509" s="118" t="n">
        <x:v>1</x:v>
      </x:c>
      <x:c r="Y509" s="118" t="n">
        <x:v>1</x:v>
      </x:c>
      <x:c r="Z509" s="118" t="n">
        <x:v>0</x:v>
      </x:c>
      <x:c r="AA509" s="118" t="n">
        <x:v>0</x:v>
      </x:c>
      <x:c r="AB509" s="118" t="n">
        <x:v>0</x:v>
      </x:c>
      <x:c r="AC509" s="118" t="n">
        <x:v>0</x:v>
      </x:c>
    </x:row>
    <x:row r="510" ht="46" customHeight="1">
      <x:c r="A510" s="117" t="str">
        <x:v>3004O000000LOsfQAG</x:v>
      </x:c>
      <x:c r="B510" s="117" t="str">
        <x:v>Rental_Order</x:v>
      </x:c>
      <x:c r="C510" s="117" t="str">
        <x:v>Yes</x:v>
      </x:c>
      <x:c r="D510" s="119" t="str">
        <x:v>Active v9 (Retrieved XML)</x:v>
      </x:c>
      <x:c r="E510" s="119" t="str"/>
      <x:c r="F510" s="119" t="str">
        <x:v>Rental_Order__c</x:v>
      </x:c>
      <x:c r="G510" s="119" t="str">
        <x:v>Attn__c, Bill_to_Account__c, Billing_City__c, Billing_Country__c, Billing_Postal_Code__c, Billing_State__c, Billing_Street__c, Description__c, E_mail_for_Shipping_Confirmation__c, Id, Ship_Type__c, Ship_to_Account__c, Shipping_Account__c, Shipping_City__c, Shipping_Country__c, Shipping_Postal_Code__c, Shipping_State__c, Shipping_Street__c</x:v>
      </x:c>
      <x:c r="H510" s="119" t="str"/>
      <x:c r="I510" s="119" t="str"/>
      <x:c r="J510" s="119" t="str"/>
      <x:c r="K510" s="118" t="n">
        <x:v>2</x:v>
      </x:c>
      <x:c r="L510" s="118" t="n">
        <x:v>0</x:v>
      </x:c>
      <x:c r="M510" s="118" t="n">
        <x:v>0</x:v>
      </x:c>
      <x:c r="N510" s="118" t="n">
        <x:v>0</x:v>
      </x:c>
      <x:c r="O510" s="118" t="n">
        <x:v>0</x:v>
      </x:c>
      <x:c r="P510" s="118" t="n">
        <x:v>0</x:v>
      </x:c>
      <x:c r="Q510" s="118" t="n">
        <x:v>1</x:v>
      </x:c>
      <x:c r="R510" s="118" t="n">
        <x:v>0</x:v>
      </x:c>
      <x:c r="S510" s="118" t="n">
        <x:v>0</x:v>
      </x:c>
      <x:c r="T510" s="118" t="n">
        <x:v>0</x:v>
      </x:c>
      <x:c r="U510" s="118" t="n">
        <x:v>0</x:v>
      </x:c>
      <x:c r="V510" s="118" t="n">
        <x:v>0</x:v>
      </x:c>
      <x:c r="W510" s="118" t="n">
        <x:v>0</x:v>
      </x:c>
      <x:c r="X510" s="118" t="n">
        <x:v>1</x:v>
      </x:c>
      <x:c r="Y510" s="118" t="n">
        <x:v>0</x:v>
      </x:c>
      <x:c r="Z510" s="118" t="n">
        <x:v>0</x:v>
      </x:c>
      <x:c r="AA510" s="118" t="n">
        <x:v>0</x:v>
      </x:c>
      <x:c r="AB510" s="118" t="n">
        <x:v>0</x:v>
      </x:c>
      <x:c r="AC510" s="118" t="n">
        <x:v>0</x:v>
      </x:c>
    </x:row>
    <x:row r="511" ht="46" customHeight="1">
      <x:c r="A511" s="117" t="str">
        <x:v>3004O000000LOsgQAG</x:v>
      </x:c>
      <x:c r="B511" s="117" t="str">
        <x:v>Rental_Orders_create_RMA</x:v>
      </x:c>
      <x:c r="C511" s="117" t="str">
        <x:v>No</x:v>
      </x:c>
      <x:c r="D511" s="119" t="str">
        <x:v>Latest inactive v1 (Retrieved XML)</x:v>
      </x:c>
      <x:c r="E511" s="119" t="str"/>
      <x:c r="F511" s="119" t="str">
        <x:v>ProductItem__c, RMA__c, Rental_Order__c</x:v>
      </x:c>
      <x:c r="G511" s="119" t="str">
        <x:v>Date_Rental_Asset_Shipped__c, Id, Opportunity__c, ProductItem__c, RecordTypeId, Rental_Order__c</x:v>
      </x:c>
      <x:c r="H511" s="119" t="str"/>
      <x:c r="I511" s="119" t="str"/>
      <x:c r="J511" s="119" t="str"/>
      <x:c r="K511" s="118" t="n">
        <x:v>6</x:v>
      </x:c>
      <x:c r="L511" s="118" t="n">
        <x:v>0</x:v>
      </x:c>
      <x:c r="M511" s="118" t="n">
        <x:v>0</x:v>
      </x:c>
      <x:c r="N511" s="118" t="n">
        <x:v>0</x:v>
      </x:c>
      <x:c r="O511" s="118" t="n">
        <x:v>0</x:v>
      </x:c>
      <x:c r="P511" s="118" t="n">
        <x:v>0</x:v>
      </x:c>
      <x:c r="Q511" s="118" t="n">
        <x:v>1</x:v>
      </x:c>
      <x:c r="R511" s="118" t="n">
        <x:v>1</x:v>
      </x:c>
      <x:c r="S511" s="118" t="n">
        <x:v>0</x:v>
      </x:c>
      <x:c r="T511" s="118" t="n">
        <x:v>1</x:v>
      </x:c>
      <x:c r="U511" s="118" t="n">
        <x:v>0</x:v>
      </x:c>
      <x:c r="V511" s="118" t="n">
        <x:v>2</x:v>
      </x:c>
      <x:c r="W511" s="118" t="n">
        <x:v>0</x:v>
      </x:c>
      <x:c r="X511" s="118" t="n">
        <x:v>0</x:v>
      </x:c>
      <x:c r="Y511" s="118" t="n">
        <x:v>0</x:v>
      </x:c>
      <x:c r="Z511" s="118" t="n">
        <x:v>0</x:v>
      </x:c>
      <x:c r="AA511" s="118" t="n">
        <x:v>0</x:v>
      </x:c>
      <x:c r="AB511" s="118" t="n">
        <x:v>0</x:v>
      </x:c>
      <x:c r="AC511" s="118" t="n">
        <x:v>0</x:v>
      </x:c>
    </x:row>
    <x:row r="512" ht="46" customHeight="1">
      <x:c r="A512" s="117" t="str">
        <x:v>3005b000000PzlkAAC</x:v>
      </x:c>
      <x:c r="B512" s="117" t="str">
        <x:v>Rep_Email_Field_Update_Flow</x:v>
      </x:c>
      <x:c r="C512" s="117" t="str">
        <x:v>Yes</x:v>
      </x:c>
      <x:c r="D512" s="119" t="str">
        <x:v>Active v11 (Retrieved XML)</x:v>
      </x:c>
      <x:c r="E512" s="119" t="str">
        <x:v>Rep_Email__c IsNull booleanValue=true | Opp_Record_Type__c Contains stringValue=Sales | Sales_Representative__c IsNull booleanValue=false | Field_Service_Engineer__c IsNull booleanValue=true | Field_Service_Engineer__c EqualTo stringValue=Adam Walter</x:v>
      </x:c>
      <x:c r="F512" s="119" t="str">
        <x:v>Opportunity, User</x:v>
      </x:c>
      <x:c r="G512" s="119" t="str">
        <x:v>Field_Service_Engineer__c, Name, Opp_Record_Type__c, Owner, Rep_Email__c, Sales_Representative__c</x:v>
      </x:c>
      <x:c r="H512" s="119" t="str"/>
      <x:c r="I512" s="119" t="str"/>
      <x:c r="J512" s="119" t="str"/>
      <x:c r="K512" s="118" t="n">
        <x:v>7</x:v>
      </x:c>
      <x:c r="L512" s="118" t="n">
        <x:v>0</x:v>
      </x:c>
      <x:c r="M512" s="118" t="n">
        <x:v>0</x:v>
      </x:c>
      <x:c r="N512" s="118" t="n">
        <x:v>2</x:v>
      </x:c>
      <x:c r="O512" s="118" t="n">
        <x:v>0</x:v>
      </x:c>
      <x:c r="P512" s="118" t="n">
        <x:v>0</x:v>
      </x:c>
      <x:c r="Q512" s="118" t="n">
        <x:v>2</x:v>
      </x:c>
      <x:c r="R512" s="118" t="n">
        <x:v>0</x:v>
      </x:c>
      <x:c r="S512" s="118" t="n">
        <x:v>0</x:v>
      </x:c>
      <x:c r="T512" s="118" t="n">
        <x:v>0</x:v>
      </x:c>
      <x:c r="U512" s="118" t="n">
        <x:v>0</x:v>
      </x:c>
      <x:c r="V512" s="118" t="n">
        <x:v>1</x:v>
      </x:c>
      <x:c r="W512" s="118" t="n">
        <x:v>0</x:v>
      </x:c>
      <x:c r="X512" s="118" t="n">
        <x:v>1</x:v>
      </x:c>
      <x:c r="Y512" s="118" t="n">
        <x:v>0</x:v>
      </x:c>
      <x:c r="Z512" s="118" t="n">
        <x:v>0</x:v>
      </x:c>
      <x:c r="AA512" s="118" t="n">
        <x:v>0</x:v>
      </x:c>
      <x:c r="AB512" s="118" t="n">
        <x:v>0</x:v>
      </x:c>
      <x:c r="AC512" s="118" t="n">
        <x:v>0</x:v>
      </x:c>
    </x:row>
    <x:row r="513" ht="46" customHeight="1">
      <x:c r="A513" s="117" t="str">
        <x:v>3004O000000LOrAQAW</x:v>
      </x:c>
      <x:c r="B513" s="117" t="str">
        <x:v>Return_to_Vendor_Create_DB</x:v>
      </x:c>
      <x:c r="C513" s="117" t="str">
        <x:v>Yes</x:v>
      </x:c>
      <x:c r="D513" s="119" t="str">
        <x:v>Active v6 (Retrieved XML)</x:v>
      </x:c>
      <x:c r="E513" s="119" t="str"/>
      <x:c r="F513" s="119" t="str">
        <x:v>Debit_Memos__c, ProductItem__c, Purchasing_Return__c, RMA__c</x:v>
      </x:c>
      <x:c r="G513" s="119" t="str">
        <x:v>Account__c, Asset_Returned_to_Vendor__c, Debit_Memo_Amount__c, Id, Opportunity__c, Purchasing_Return__c, RecordTypeId</x:v>
      </x:c>
      <x:c r="H513" s="119" t="str"/>
      <x:c r="I513" s="119" t="str"/>
      <x:c r="J513" s="119" t="str"/>
      <x:c r="K513" s="118" t="n">
        <x:v>7</x:v>
      </x:c>
      <x:c r="L513" s="118" t="n">
        <x:v>0</x:v>
      </x:c>
      <x:c r="M513" s="118" t="n">
        <x:v>0</x:v>
      </x:c>
      <x:c r="N513" s="118" t="n">
        <x:v>0</x:v>
      </x:c>
      <x:c r="O513" s="118" t="n">
        <x:v>0</x:v>
      </x:c>
      <x:c r="P513" s="118" t="n">
        <x:v>0</x:v>
      </x:c>
      <x:c r="Q513" s="118" t="n">
        <x:v>1</x:v>
      </x:c>
      <x:c r="R513" s="118" t="n">
        <x:v>1</x:v>
      </x:c>
      <x:c r="S513" s="118" t="n">
        <x:v>0</x:v>
      </x:c>
      <x:c r="T513" s="118" t="n">
        <x:v>2</x:v>
      </x:c>
      <x:c r="U513" s="118" t="n">
        <x:v>0</x:v>
      </x:c>
      <x:c r="V513" s="118" t="n">
        <x:v>2</x:v>
      </x:c>
      <x:c r="W513" s="118" t="n">
        <x:v>0</x:v>
      </x:c>
      <x:c r="X513" s="118" t="n">
        <x:v>0</x:v>
      </x:c>
      <x:c r="Y513" s="118" t="n">
        <x:v>0</x:v>
      </x:c>
      <x:c r="Z513" s="118" t="n">
        <x:v>0</x:v>
      </x:c>
      <x:c r="AA513" s="118" t="n">
        <x:v>0</x:v>
      </x:c>
      <x:c r="AB513" s="118" t="n">
        <x:v>0</x:v>
      </x:c>
      <x:c r="AC513" s="118" t="n">
        <x:v>0</x:v>
      </x:c>
    </x:row>
    <x:row r="514" ht="46" customHeight="1">
      <x:c r="A514" s="117" t="str">
        <x:v>300Ro00000SjMhAIAV</x:v>
      </x:c>
      <x:c r="B514" s="117" t="str">
        <x:v>RMA_Automations</x:v>
      </x:c>
      <x:c r="C514" s="117" t="str">
        <x:v>Yes</x:v>
      </x:c>
      <x:c r="D514" s="119" t="str">
        <x:v>Active v20 (Retrieved XML)</x:v>
      </x:c>
      <x:c r="E514" s="119" t="str"/>
      <x:c r="F514" s="119" t="str">
        <x:v>Account, Invoice_Line_Item__c, ProductItem__c, RMA__c, Vendor_Sourcing__c</x:v>
      </x:c>
      <x:c r="G514" s="119" t="str">
        <x:v>Asset2__c, Cosmetic_Rating__c, Date_RMA_Item_Received__c, Functional_Rating__c, Id, Invoice_Line_Item__c, Invoice_Number__c, Opportunity__c, Opportunity__r, Owner_Entity_Name__c, Part_Return_Condition__c, ProductItem__c, ProductItem__r, RecordTypeId, Return_Asset_to_Vendor__c, Return_to_Account__c, Vendor_Sourcing_on_Opp__c</x:v>
      </x:c>
      <x:c r="H514" s="119" t="str"/>
      <x:c r="I514" s="119" t="str"/>
      <x:c r="J514" s="119" t="str"/>
      <x:c r="K514" s="118" t="n">
        <x:v>18</x:v>
      </x:c>
      <x:c r="L514" s="118" t="n">
        <x:v>0</x:v>
      </x:c>
      <x:c r="M514" s="118" t="n">
        <x:v>0</x:v>
      </x:c>
      <x:c r="N514" s="118" t="n">
        <x:v>3</x:v>
      </x:c>
      <x:c r="O514" s="118" t="n">
        <x:v>0</x:v>
      </x:c>
      <x:c r="P514" s="118" t="n">
        <x:v>0</x:v>
      </x:c>
      <x:c r="Q514" s="118" t="n">
        <x:v>6</x:v>
      </x:c>
      <x:c r="R514" s="118" t="n">
        <x:v>0</x:v>
      </x:c>
      <x:c r="S514" s="118" t="n">
        <x:v>0</x:v>
      </x:c>
      <x:c r="T514" s="118" t="n">
        <x:v>0</x:v>
      </x:c>
      <x:c r="U514" s="118" t="n">
        <x:v>0</x:v>
      </x:c>
      <x:c r="V514" s="118" t="n">
        <x:v>4</x:v>
      </x:c>
      <x:c r="W514" s="118" t="n">
        <x:v>0</x:v>
      </x:c>
      <x:c r="X514" s="118" t="n">
        <x:v>4</x:v>
      </x:c>
      <x:c r="Y514" s="118" t="n">
        <x:v>0</x:v>
      </x:c>
      <x:c r="Z514" s="118" t="n">
        <x:v>0</x:v>
      </x:c>
      <x:c r="AA514" s="118" t="n">
        <x:v>0</x:v>
      </x:c>
      <x:c r="AB514" s="118" t="n">
        <x:v>0</x:v>
      </x:c>
      <x:c r="AC514" s="118" t="n">
        <x:v>0</x:v>
      </x:c>
    </x:row>
    <x:row r="515" ht="46" customHeight="1">
      <x:c r="A515" s="117" t="str">
        <x:v>300Ro00000yzHB6IAM</x:v>
      </x:c>
      <x:c r="B515" s="117" t="str">
        <x:v>RMA_Notify_Engineer_on_Probe_Repair_WO_Creation</x:v>
      </x:c>
      <x:c r="C515" s="117" t="str">
        <x:v>Yes</x:v>
      </x:c>
      <x:c r="D515" s="119" t="str">
        <x:v>Active v1 (Retrieved XML)</x:v>
      </x:c>
      <x:c r="E515" s="119" t="str"/>
      <x:c r="F515" s="119" t="str">
        <x:v>RMA__c</x:v>
      </x:c>
      <x:c r="G515" s="119" t="str">
        <x:v>Id, Name, RMA_Type__c, Work_Order__c, Work_Order__r</x:v>
      </x:c>
      <x:c r="H515" s="119" t="str">
        <x:v>customNotificationAction</x:v>
      </x:c>
      <x:c r="I515" s="119" t="str"/>
      <x:c r="J515" s="119" t="str"/>
      <x:c r="K515" s="118" t="n">
        <x:v>4</x:v>
      </x:c>
      <x:c r="L515" s="118" t="n">
        <x:v>1</x:v>
      </x:c>
      <x:c r="M515" s="118" t="n">
        <x:v>0</x:v>
      </x:c>
      <x:c r="N515" s="118" t="n">
        <x:v>1</x:v>
      </x:c>
      <x:c r="O515" s="118" t="n">
        <x:v>0</x:v>
      </x:c>
      <x:c r="P515" s="118" t="n">
        <x:v>0</x:v>
      </x:c>
      <x:c r="Q515" s="118" t="n">
        <x:v>1</x:v>
      </x:c>
      <x:c r="R515" s="118" t="n">
        <x:v>0</x:v>
      </x:c>
      <x:c r="S515" s="118" t="n">
        <x:v>0</x:v>
      </x:c>
      <x:c r="T515" s="118" t="n">
        <x:v>0</x:v>
      </x:c>
      <x:c r="U515" s="118" t="n">
        <x:v>0</x:v>
      </x:c>
      <x:c r="V515" s="118" t="n">
        <x:v>0</x:v>
      </x:c>
      <x:c r="W515" s="118" t="n">
        <x:v>0</x:v>
      </x:c>
      <x:c r="X515" s="118" t="n">
        <x:v>0</x:v>
      </x:c>
      <x:c r="Y515" s="118" t="n">
        <x:v>0</x:v>
      </x:c>
      <x:c r="Z515" s="118" t="n">
        <x:v>0</x:v>
      </x:c>
      <x:c r="AA515" s="118" t="n">
        <x:v>0</x:v>
      </x:c>
      <x:c r="AB515" s="118" t="n">
        <x:v>0</x:v>
      </x:c>
      <x:c r="AC515" s="118" t="n">
        <x:v>0</x:v>
      </x:c>
    </x:row>
    <x:row r="516" ht="46" customHeight="1">
      <x:c r="A516" s="117" t="str">
        <x:v>300Ro00000pia8wIAA</x:v>
      </x:c>
      <x:c r="B516" s="117" t="str">
        <x:v>RMA_On_Setting_of_Date_Approved_to_Ship_update_Opportunity_Stage_to_Ready_to_Shi</x:v>
      </x:c>
      <x:c r="C516" s="117" t="str">
        <x:v>Yes</x:v>
      </x:c>
      <x:c r="D516" s="119" t="str">
        <x:v>Active v1 (Retrieved XML)</x:v>
      </x:c>
      <x:c r="E516" s="119" t="str">
        <x:v>Date__c IsChanged booleanValue=true | Date__c IsNull booleanValue=false | Opportunity__c IsNull booleanValue=false</x:v>
      </x:c>
      <x:c r="F516" s="119" t="str">
        <x:v>RMA__c</x:v>
      </x:c>
      <x:c r="G516" s="119" t="str">
        <x:v>Date__c, Opportunity__c, Opportunity__r, StageName</x:v>
      </x:c>
      <x:c r="H516" s="119" t="str"/>
      <x:c r="I516" s="119" t="str"/>
      <x:c r="J516" s="119" t="str"/>
      <x:c r="K516" s="118" t="n">
        <x:v>3</x:v>
      </x:c>
      <x:c r="L516" s="118" t="n">
        <x:v>0</x:v>
      </x:c>
      <x:c r="M516" s="118" t="n">
        <x:v>0</x:v>
      </x:c>
      <x:c r="N516" s="118" t="n">
        <x:v>0</x:v>
      </x:c>
      <x:c r="O516" s="118" t="n">
        <x:v>0</x:v>
      </x:c>
      <x:c r="P516" s="118" t="n">
        <x:v>0</x:v>
      </x:c>
      <x:c r="Q516" s="118" t="n">
        <x:v>1</x:v>
      </x:c>
      <x:c r="R516" s="118" t="n">
        <x:v>0</x:v>
      </x:c>
      <x:c r="S516" s="118" t="n">
        <x:v>0</x:v>
      </x:c>
      <x:c r="T516" s="118" t="n">
        <x:v>0</x:v>
      </x:c>
      <x:c r="U516" s="118" t="n">
        <x:v>0</x:v>
      </x:c>
      <x:c r="V516" s="118" t="n">
        <x:v>0</x:v>
      </x:c>
      <x:c r="W516" s="118" t="n">
        <x:v>0</x:v>
      </x:c>
      <x:c r="X516" s="118" t="n">
        <x:v>1</x:v>
      </x:c>
      <x:c r="Y516" s="118" t="n">
        <x:v>0</x:v>
      </x:c>
      <x:c r="Z516" s="118" t="n">
        <x:v>0</x:v>
      </x:c>
      <x:c r="AA516" s="118" t="n">
        <x:v>0</x:v>
      </x:c>
      <x:c r="AB516" s="118" t="n">
        <x:v>0</x:v>
      </x:c>
      <x:c r="AC516" s="118" t="n">
        <x:v>0</x:v>
      </x:c>
    </x:row>
    <x:row r="517" ht="46" customHeight="1">
      <x:c r="A517" s="117" t="str">
        <x:v>300Ro00000jezCXIAY</x:v>
      </x:c>
      <x:c r="B517" s="117" t="str">
        <x:v>RMA_Re_sync_RMA_if_Errored</x:v>
      </x:c>
      <x:c r="C517" s="117" t="str">
        <x:v>Yes</x:v>
      </x:c>
      <x:c r="D517" s="119" t="str">
        <x:v>Active v1 (Retrieved XML)</x:v>
      </x:c>
      <x:c r="E517" s="119" t="str">
        <x:v>Intacct_RMA_Sync_Status__c EqualTo stringValue=Error | Intacct_RMA_Timestamp__c GreaterThan dateTimeValue=2025-10-22T04:00:00.000Z</x:v>
      </x:c>
      <x:c r="F517" s="119" t="str">
        <x:v>ProductItem__c, RMA__c</x:v>
      </x:c>
      <x:c r="G517" s="119" t="str">
        <x:v>Id, Intacct_RMA_Error_Message__c, Intacct_RMA_Sync_Status__c, Intacct_RMA_Timestamp__c, Opportunity_Record_Type__c, Opportunity__r, ProductItem__c</x:v>
      </x:c>
      <x:c r="H517" s="119" t="str"/>
      <x:c r="I517" s="119" t="str"/>
      <x:c r="J517" s="119" t="str"/>
      <x:c r="K517" s="118" t="n">
        <x:v>4</x:v>
      </x:c>
      <x:c r="L517" s="118" t="n">
        <x:v>0</x:v>
      </x:c>
      <x:c r="M517" s="118" t="n">
        <x:v>0</x:v>
      </x:c>
      <x:c r="N517" s="118" t="n">
        <x:v>0</x:v>
      </x:c>
      <x:c r="O517" s="118" t="n">
        <x:v>0</x:v>
      </x:c>
      <x:c r="P517" s="118" t="n">
        <x:v>0</x:v>
      </x:c>
      <x:c r="Q517" s="118" t="n">
        <x:v>1</x:v>
      </x:c>
      <x:c r="R517" s="118" t="n">
        <x:v>0</x:v>
      </x:c>
      <x:c r="S517" s="118" t="n">
        <x:v>0</x:v>
      </x:c>
      <x:c r="T517" s="118" t="n">
        <x:v>0</x:v>
      </x:c>
      <x:c r="U517" s="118" t="n">
        <x:v>0</x:v>
      </x:c>
      <x:c r="V517" s="118" t="n">
        <x:v>0</x:v>
      </x:c>
      <x:c r="W517" s="118" t="n">
        <x:v>0</x:v>
      </x:c>
      <x:c r="X517" s="118" t="n">
        <x:v>2</x:v>
      </x:c>
      <x:c r="Y517" s="118" t="n">
        <x:v>0</x:v>
      </x:c>
      <x:c r="Z517" s="118" t="n">
        <x:v>0</x:v>
      </x:c>
      <x:c r="AA517" s="118" t="n">
        <x:v>0</x:v>
      </x:c>
      <x:c r="AB517" s="118" t="n">
        <x:v>0</x:v>
      </x:c>
      <x:c r="AC517" s="118" t="n">
        <x:v>0</x:v>
      </x:c>
    </x:row>
    <x:row r="518" ht="46" customHeight="1">
      <x:c r="A518" s="117" t="str">
        <x:v>300Ro000007doabIAA</x:v>
      </x:c>
      <x:c r="B518" s="117" t="str">
        <x:v>RMA_Rollups</x:v>
      </x:c>
      <x:c r="C518" s="117" t="str">
        <x:v>Yes</x:v>
      </x:c>
      <x:c r="D518" s="119" t="str">
        <x:v>Active v2 (Retrieved XML)</x:v>
      </x:c>
      <x:c r="E518" s="119" t="str">
        <x:v>RMA__c IsNull booleanValue=false</x:v>
      </x:c>
      <x:c r="F518" s="119" t="str">
        <x:v>Credit_Memo__c, RMA__c</x:v>
      </x:c>
      <x:c r="G518" s="119" t="str">
        <x:v>RMA__c</x:v>
      </x:c>
      <x:c r="H518" s="119" t="str"/>
      <x:c r="I518" s="119" t="str"/>
      <x:c r="J518" s="119" t="str"/>
      <x:c r="K518" s="118" t="n">
        <x:v>4</x:v>
      </x:c>
      <x:c r="L518" s="118" t="n">
        <x:v>0</x:v>
      </x:c>
      <x:c r="M518" s="118" t="n">
        <x:v>0</x:v>
      </x:c>
      <x:c r="N518" s="118" t="n">
        <x:v>1</x:v>
      </x:c>
      <x:c r="O518" s="118" t="n">
        <x:v>0</x:v>
      </x:c>
      <x:c r="P518" s="118" t="n">
        <x:v>0</x:v>
      </x:c>
      <x:c r="Q518" s="118" t="n">
        <x:v>0</x:v>
      </x:c>
      <x:c r="R518" s="118" t="n">
        <x:v>0</x:v>
      </x:c>
      <x:c r="S518" s="118" t="n">
        <x:v>0</x:v>
      </x:c>
      <x:c r="T518" s="118" t="n">
        <x:v>0</x:v>
      </x:c>
      <x:c r="U518" s="118" t="n">
        <x:v>0</x:v>
      </x:c>
      <x:c r="V518" s="118" t="n">
        <x:v>1</x:v>
      </x:c>
      <x:c r="W518" s="118" t="n">
        <x:v>0</x:v>
      </x:c>
      <x:c r="X518" s="118" t="n">
        <x:v>1</x:v>
      </x:c>
      <x:c r="Y518" s="118" t="n">
        <x:v>0</x:v>
      </x:c>
      <x:c r="Z518" s="118" t="n">
        <x:v>0</x:v>
      </x:c>
      <x:c r="AA518" s="118" t="n">
        <x:v>0</x:v>
      </x:c>
      <x:c r="AB518" s="118" t="n">
        <x:v>0</x:v>
      </x:c>
      <x:c r="AC518" s="118" t="n">
        <x:v>0</x:v>
      </x:c>
    </x:row>
    <x:row r="519" ht="46" customHeight="1">
      <x:c r="A519" s="117" t="str">
        <x:v>3005b000000H3voAAC</x:v>
      </x:c>
      <x:c r="B519" s="117" t="str">
        <x:v>Sales_Sheet_Screen_Flow</x:v>
      </x:c>
      <x:c r="C519" s="117" t="str">
        <x:v>Yes</x:v>
      </x:c>
      <x:c r="D519" s="119" t="str">
        <x:v>Active v27 (Retrieved XML)</x:v>
      </x:c>
      <x:c r="E519" s="119" t="str"/>
      <x:c r="F519" s="119" t="str">
        <x:v>ProductItem__c</x:v>
      </x:c>
      <x:c r="G519" s="119" t="str">
        <x:v>Id</x:v>
      </x:c>
      <x:c r="H519" s="119" t="str"/>
      <x:c r="I519" s="119" t="str"/>
      <x:c r="J519" s="119" t="str"/>
      <x:c r="K519" s="118" t="n">
        <x:v>12</x:v>
      </x:c>
      <x:c r="L519" s="118" t="n">
        <x:v>0</x:v>
      </x:c>
      <x:c r="M519" s="118" t="n">
        <x:v>0</x:v>
      </x:c>
      <x:c r="N519" s="118" t="n">
        <x:v>0</x:v>
      </x:c>
      <x:c r="O519" s="118" t="n">
        <x:v>0</x:v>
      </x:c>
      <x:c r="P519" s="118" t="n">
        <x:v>0</x:v>
      </x:c>
      <x:c r="Q519" s="118" t="n">
        <x:v>1</x:v>
      </x:c>
      <x:c r="R519" s="118" t="n">
        <x:v>0</x:v>
      </x:c>
      <x:c r="S519" s="118" t="n">
        <x:v>0</x:v>
      </x:c>
      <x:c r="T519" s="118" t="n">
        <x:v>0</x:v>
      </x:c>
      <x:c r="U519" s="118" t="n">
        <x:v>0</x:v>
      </x:c>
      <x:c r="V519" s="118" t="n">
        <x:v>1</x:v>
      </x:c>
      <x:c r="W519" s="118" t="n">
        <x:v>0</x:v>
      </x:c>
      <x:c r="X519" s="118" t="n">
        <x:v>0</x:v>
      </x:c>
      <x:c r="Y519" s="118" t="n">
        <x:v>9</x:v>
      </x:c>
      <x:c r="Z519" s="118" t="n">
        <x:v>0</x:v>
      </x:c>
      <x:c r="AA519" s="118" t="n">
        <x:v>0</x:v>
      </x:c>
      <x:c r="AB519" s="118" t="n">
        <x:v>0</x:v>
      </x:c>
      <x:c r="AC519" s="118" t="n">
        <x:v>0</x:v>
      </x:c>
    </x:row>
    <x:row r="520" ht="46" customHeight="1">
      <x:c r="A520" s="117" t="str">
        <x:v>3005b000000H4ElAAK</x:v>
      </x:c>
      <x:c r="B520" s="117" t="str">
        <x:v>Salesforce_Case_Notifications</x:v>
      </x:c>
      <x:c r="C520" s="117" t="str">
        <x:v>Yes</x:v>
      </x:c>
      <x:c r="D520" s="119" t="str">
        <x:v>Active v49 (Retrieved XML)</x:v>
      </x:c>
      <x:c r="E520" s="119" t="str">
        <x:v>RecordTypeId EqualTo stringValue=0125b000000LWo1AAG | RecordTypeId EqualTo stringValue=0125b000000LWnmAAG | Repair_Eval_Contact_Email__c IsNull booleanValue=true | Assigned_To__c IsChanged booleanValue=true | Status EqualTo stringValue=Closed | RecordTypeId EqualTo stringValue=012Ro000004sz93IAA</x:v>
      </x:c>
      <x:c r="F520" s="119" t="str">
        <x:v>Case</x:v>
      </x:c>
      <x:c r="G520" s="119" t="str">
        <x:v>Assigned_To__c, Assigned_To__r, CaseNumber, Classification__c, ClosedDate, Comments__c, CreatedBy, CreatedById, CreatedDate, Delegate_E_Mail__c, Delegate_Resource_Assigned__c, Description, Error_Message__c, Id, Link_to_Example__c, Owner, OwnerId, Priority, RecordTypeId, Related_Object__c, Repair_Eval_Contact_Email__c, Status, Subject</x:v>
      </x:c>
      <x:c r="H520" s="119" t="str">
        <x:v>emailSimple</x:v>
      </x:c>
      <x:c r="I520" s="119" t="str"/>
      <x:c r="J520" s="119" t="str"/>
      <x:c r="K520" s="118" t="n">
        <x:v>17</x:v>
      </x:c>
      <x:c r="L520" s="118" t="n">
        <x:v>7</x:v>
      </x:c>
      <x:c r="M520" s="118" t="n">
        <x:v>0</x:v>
      </x:c>
      <x:c r="N520" s="118" t="n">
        <x:v>0</x:v>
      </x:c>
      <x:c r="O520" s="118" t="n">
        <x:v>0</x:v>
      </x:c>
      <x:c r="P520" s="118" t="n">
        <x:v>0</x:v>
      </x:c>
      <x:c r="Q520" s="118" t="n">
        <x:v>7</x:v>
      </x:c>
      <x:c r="R520" s="118" t="n">
        <x:v>0</x:v>
      </x:c>
      <x:c r="S520" s="118" t="n">
        <x:v>0</x:v>
      </x:c>
      <x:c r="T520" s="118" t="n">
        <x:v>0</x:v>
      </x:c>
      <x:c r="U520" s="118" t="n">
        <x:v>0</x:v>
      </x:c>
      <x:c r="V520" s="118" t="n">
        <x:v>0</x:v>
      </x:c>
      <x:c r="W520" s="118" t="n">
        <x:v>0</x:v>
      </x:c>
      <x:c r="X520" s="118" t="n">
        <x:v>2</x:v>
      </x:c>
      <x:c r="Y520" s="118" t="n">
        <x:v>0</x:v>
      </x:c>
      <x:c r="Z520" s="118" t="n">
        <x:v>0</x:v>
      </x:c>
      <x:c r="AA520" s="118" t="n">
        <x:v>0</x:v>
      </x:c>
      <x:c r="AB520" s="118" t="n">
        <x:v>0</x:v>
      </x:c>
      <x:c r="AC520" s="118" t="n">
        <x:v>0</x:v>
      </x:c>
    </x:row>
    <x:row r="521" ht="46" customHeight="1">
      <x:c r="A521" s="117" t="str">
        <x:v>300Ro00000VQapGIAT</x:v>
      </x:c>
      <x:c r="B521" s="117" t="str">
        <x:v>Save_QA_Certificate_as_PDF</x:v>
      </x:c>
      <x:c r="C521" s="117" t="str">
        <x:v>Yes</x:v>
      </x:c>
      <x:c r="D521" s="119" t="str">
        <x:v>Active v1 (Retrieved XML)</x:v>
      </x:c>
      <x:c r="E521" s="119" t="str"/>
      <x:c r="F521" s="119" t="str"/>
      <x:c r="G521" s="119" t="str"/>
      <x:c r="H521" s="119" t="str">
        <x:v>QCRigidCertificatePDFGenerator</x:v>
      </x:c>
      <x:c r="I521" s="119" t="str"/>
      <x:c r="J521" s="119" t="str"/>
      <x:c r="K521" s="118" t="n">
        <x:v>4</x:v>
      </x:c>
      <x:c r="L521" s="118" t="n">
        <x:v>1</x:v>
      </x:c>
      <x:c r="M521" s="118" t="n">
        <x:v>0</x:v>
      </x:c>
      <x:c r="N521" s="118" t="n">
        <x:v>0</x:v>
      </x:c>
      <x:c r="O521" s="118" t="n">
        <x:v>0</x:v>
      </x:c>
      <x:c r="P521" s="118" t="n">
        <x:v>0</x:v>
      </x:c>
      <x:c r="Q521" s="118" t="n">
        <x:v>0</x:v>
      </x:c>
      <x:c r="R521" s="118" t="n">
        <x:v>0</x:v>
      </x:c>
      <x:c r="S521" s="118" t="n">
        <x:v>0</x:v>
      </x:c>
      <x:c r="T521" s="118" t="n">
        <x:v>0</x:v>
      </x:c>
      <x:c r="U521" s="118" t="n">
        <x:v>0</x:v>
      </x:c>
      <x:c r="V521" s="118" t="n">
        <x:v>0</x:v>
      </x:c>
      <x:c r="W521" s="118" t="n">
        <x:v>0</x:v>
      </x:c>
      <x:c r="X521" s="118" t="n">
        <x:v>0</x:v>
      </x:c>
      <x:c r="Y521" s="118" t="n">
        <x:v>2</x:v>
      </x:c>
      <x:c r="Z521" s="118" t="n">
        <x:v>0</x:v>
      </x:c>
      <x:c r="AA521" s="118" t="n">
        <x:v>0</x:v>
      </x:c>
      <x:c r="AB521" s="118" t="n">
        <x:v>0</x:v>
      </x:c>
      <x:c r="AC521" s="118" t="n">
        <x:v>0</x:v>
      </x:c>
    </x:row>
    <x:row r="522" ht="46" customHeight="1">
      <x:c r="A522" s="117" t="str">
        <x:v>300Ro00000REVFmIAP</x:v>
      </x:c>
      <x:c r="B522" s="117" t="str">
        <x:v>Scheduled_Flow_Clean_Up_Historical_Service_Appointments</x:v>
      </x:c>
      <x:c r="C522" s="117" t="str">
        <x:v>Yes</x:v>
      </x:c>
      <x:c r="D522" s="119" t="str">
        <x:v>Active v1 (Retrieved XML)</x:v>
      </x:c>
      <x:c r="E522" s="119" t="str">
        <x:v>Status EqualTo stringValue=Scheduled</x:v>
      </x:c>
      <x:c r="F522" s="119" t="str">
        <x:v>AssignedResource, ServiceAppointment</x:v>
      </x:c>
      <x:c r="G522" s="119" t="str">
        <x:v>Id, SchedStartTime, ServiceAppointmentId, Status</x:v>
      </x:c>
      <x:c r="H522" s="119" t="str"/>
      <x:c r="I522" s="119" t="str"/>
      <x:c r="J522" s="119" t="str"/>
      <x:c r="K522" s="118" t="n">
        <x:v>4</x:v>
      </x:c>
      <x:c r="L522" s="118" t="n">
        <x:v>0</x:v>
      </x:c>
      <x:c r="M522" s="118" t="n">
        <x:v>0</x:v>
      </x:c>
      <x:c r="N522" s="118" t="n">
        <x:v>0</x:v>
      </x:c>
      <x:c r="O522" s="118" t="n">
        <x:v>0</x:v>
      </x:c>
      <x:c r="P522" s="118" t="n">
        <x:v>0</x:v>
      </x:c>
      <x:c r="Q522" s="118" t="n">
        <x:v>1</x:v>
      </x:c>
      <x:c r="R522" s="118" t="n">
        <x:v>0</x:v>
      </x:c>
      <x:c r="S522" s="118" t="n">
        <x:v>0</x:v>
      </x:c>
      <x:c r="T522" s="118" t="n">
        <x:v>0</x:v>
      </x:c>
      <x:c r="U522" s="118" t="n">
        <x:v>1</x:v>
      </x:c>
      <x:c r="V522" s="118" t="n">
        <x:v>0</x:v>
      </x:c>
      <x:c r="W522" s="118" t="n">
        <x:v>0</x:v>
      </x:c>
      <x:c r="X522" s="118" t="n">
        <x:v>1</x:v>
      </x:c>
      <x:c r="Y522" s="118" t="n">
        <x:v>0</x:v>
      </x:c>
      <x:c r="Z522" s="118" t="n">
        <x:v>0</x:v>
      </x:c>
      <x:c r="AA522" s="118" t="n">
        <x:v>0</x:v>
      </x:c>
      <x:c r="AB522" s="118" t="n">
        <x:v>0</x:v>
      </x:c>
      <x:c r="AC522" s="118" t="n">
        <x:v>0</x:v>
      </x:c>
    </x:row>
    <x:row r="523" ht="46" customHeight="1">
      <x:c r="A523" s="117" t="str">
        <x:v>300Ro00000SQVeNIAX</x:v>
      </x:c>
      <x:c r="B523" s="117" t="str">
        <x:v>Scheduled_Update_Earliest_Permitted_Start_Date_to_Show_in_Dispatch_Console_Prope</x:v>
      </x:c>
      <x:c r="C523" s="117" t="str">
        <x:v>Yes</x:v>
      </x:c>
      <x:c r="D523" s="119" t="str">
        <x:v>Active v2 (Retrieved XML)</x:v>
      </x:c>
      <x:c r="E523" s="119" t="str">
        <x:v>Status NotEqualTo stringValue=Completed | Status NotEqualTo stringValue=Canceled | Status NotEqualTo stringValue=Cannot Complete | Status NotEqualTo stringValue=Dispatched</x:v>
      </x:c>
      <x:c r="F523" s="119" t="str">
        <x:v>ServiceAppointment</x:v>
      </x:c>
      <x:c r="G523" s="119" t="str">
        <x:v>DueDate, EarliestStartTime, Status</x:v>
      </x:c>
      <x:c r="H523" s="119" t="str"/>
      <x:c r="I523" s="119" t="str"/>
      <x:c r="J523" s="119" t="str"/>
      <x:c r="K523" s="118" t="n">
        <x:v>4</x:v>
      </x:c>
      <x:c r="L523" s="118" t="n">
        <x:v>0</x:v>
      </x:c>
      <x:c r="M523" s="118" t="n">
        <x:v>0</x:v>
      </x:c>
      <x:c r="N523" s="118" t="n">
        <x:v>0</x:v>
      </x:c>
      <x:c r="O523" s="118" t="n">
        <x:v>0</x:v>
      </x:c>
      <x:c r="P523" s="118" t="n">
        <x:v>0</x:v>
      </x:c>
      <x:c r="Q523" s="118" t="n">
        <x:v>1</x:v>
      </x:c>
      <x:c r="R523" s="118" t="n">
        <x:v>0</x:v>
      </x:c>
      <x:c r="S523" s="118" t="n">
        <x:v>0</x:v>
      </x:c>
      <x:c r="T523" s="118" t="n">
        <x:v>0</x:v>
      </x:c>
      <x:c r="U523" s="118" t="n">
        <x:v>0</x:v>
      </x:c>
      <x:c r="V523" s="118" t="n">
        <x:v>0</x:v>
      </x:c>
      <x:c r="W523" s="118" t="n">
        <x:v>0</x:v>
      </x:c>
      <x:c r="X523" s="118" t="n">
        <x:v>2</x:v>
      </x:c>
      <x:c r="Y523" s="118" t="n">
        <x:v>0</x:v>
      </x:c>
      <x:c r="Z523" s="118" t="n">
        <x:v>0</x:v>
      </x:c>
      <x:c r="AA523" s="118" t="n">
        <x:v>0</x:v>
      </x:c>
      <x:c r="AB523" s="118" t="n">
        <x:v>0</x:v>
      </x:c>
      <x:c r="AC523" s="118" t="n">
        <x:v>0</x:v>
      </x:c>
    </x:row>
    <x:row r="524" ht="46" customHeight="1">
      <x:c r="A524" s="117" t="str">
        <x:v>300Ro00000LtJsPIAV</x:v>
      </x:c>
      <x:c r="B524" s="117" t="str">
        <x:v>Screen_Flow_Add_Purchasing_Return</x:v>
      </x:c>
      <x:c r="C524" s="117" t="str">
        <x:v>Yes</x:v>
      </x:c>
      <x:c r="D524" s="119" t="str">
        <x:v>Active v19 (Tooling metadata)</x:v>
      </x:c>
      <x:c r="E524" s="119" t="str"/>
      <x:c r="F524" s="119" t="str">
        <x:v>Opportunity, ProductItem__c, Purchasing_Return__c, RecordType</x:v>
      </x:c>
      <x:c r="G524" s="119" t="str">
        <x:v>Id, IsActive, Opportunity__c, Purchasing_Opportunity__c, Purchasing_Return__c, SobjectType, sold__c</x:v>
      </x:c>
      <x:c r="H524" s="119" t="str"/>
      <x:c r="I524" s="119" t="str"/>
      <x:c r="J524" s="119" t="str">
        <x:v>c:datatable, flowruntime:datatable</x:v>
      </x:c>
      <x:c r="K524" s="118" t="n">
        <x:v>29</x:v>
      </x:c>
      <x:c r="L524" s="118" t="n">
        <x:v>0</x:v>
      </x:c>
      <x:c r="M524" s="118" t="n">
        <x:v>0</x:v>
      </x:c>
      <x:c r="N524" s="118" t="n">
        <x:v>9</x:v>
      </x:c>
      <x:c r="O524" s="118" t="n">
        <x:v>1</x:v>
      </x:c>
      <x:c r="P524" s="118" t="n">
        <x:v>0</x:v>
      </x:c>
      <x:c r="Q524" s="118" t="n">
        <x:v>3</x:v>
      </x:c>
      <x:c r="R524" s="118" t="n">
        <x:v>4</x:v>
      </x:c>
      <x:c r="S524" s="118" t="n">
        <x:v>0</x:v>
      </x:c>
      <x:c r="T524" s="118" t="n">
        <x:v>1</x:v>
      </x:c>
      <x:c r="U524" s="118" t="n">
        <x:v>0</x:v>
      </x:c>
      <x:c r="V524" s="118" t="n">
        <x:v>3</x:v>
      </x:c>
      <x:c r="W524" s="118" t="n">
        <x:v>0</x:v>
      </x:c>
      <x:c r="X524" s="118" t="n">
        <x:v>4</x:v>
      </x:c>
      <x:c r="Y524" s="118" t="n">
        <x:v>3</x:v>
      </x:c>
      <x:c r="Z524" s="118" t="n">
        <x:v>0</x:v>
      </x:c>
      <x:c r="AA524" s="118" t="n">
        <x:v>0</x:v>
      </x:c>
      <x:c r="AB524" s="118" t="n">
        <x:v>0</x:v>
      </x:c>
      <x:c r="AC524" s="118" t="n">
        <x:v>0</x:v>
      </x:c>
    </x:row>
    <x:row r="525" ht="46" customHeight="1">
      <x:c r="A525" s="117" t="str">
        <x:v>300Ro00000XmLK7IAN</x:v>
      </x:c>
      <x:c r="B525" s="117" t="str">
        <x:v>Screen_Flow_Convert_TSLJ_to_Location_Address</x:v>
      </x:c>
      <x:c r="C525" s="117" t="str">
        <x:v>Yes</x:v>
      </x:c>
      <x:c r="D525" s="119" t="str">
        <x:v>Active v2 (Retrieved XML)</x:v>
      </x:c>
      <x:c r="E525" s="119" t="str"/>
      <x:c r="F525" s="119" t="str">
        <x:v>Address, Location, Tech_Ship_Location_Junction__c</x:v>
      </x:c>
      <x:c r="G525" s="119" t="str">
        <x:v>AddressType, City, CountryCode, Id, LocationType, Name, Name__c, ParentId, PostalCode, StateCode, Street</x:v>
      </x:c>
      <x:c r="H525" s="119" t="str"/>
      <x:c r="I525" s="119" t="str"/>
      <x:c r="J525" s="119" t="str"/>
      <x:c r="K525" s="118" t="n">
        <x:v>10</x:v>
      </x:c>
      <x:c r="L525" s="118" t="n">
        <x:v>0</x:v>
      </x:c>
      <x:c r="M525" s="118" t="n">
        <x:v>0</x:v>
      </x:c>
      <x:c r="N525" s="118" t="n">
        <x:v>0</x:v>
      </x:c>
      <x:c r="O525" s="118" t="n">
        <x:v>0</x:v>
      </x:c>
      <x:c r="P525" s="118" t="n">
        <x:v>0</x:v>
      </x:c>
      <x:c r="Q525" s="118" t="n">
        <x:v>2</x:v>
      </x:c>
      <x:c r="R525" s="118" t="n">
        <x:v>0</x:v>
      </x:c>
      <x:c r="S525" s="118" t="n">
        <x:v>0</x:v>
      </x:c>
      <x:c r="T525" s="118" t="n">
        <x:v>2</x:v>
      </x:c>
      <x:c r="U525" s="118" t="n">
        <x:v>0</x:v>
      </x:c>
      <x:c r="V525" s="118" t="n">
        <x:v>3</x:v>
      </x:c>
      <x:c r="W525" s="118" t="n">
        <x:v>0</x:v>
      </x:c>
      <x:c r="X525" s="118" t="n">
        <x:v>0</x:v>
      </x:c>
      <x:c r="Y525" s="118" t="n">
        <x:v>2</x:v>
      </x:c>
      <x:c r="Z525" s="118" t="n">
        <x:v>0</x:v>
      </x:c>
      <x:c r="AA525" s="118" t="n">
        <x:v>0</x:v>
      </x:c>
      <x:c r="AB525" s="118" t="n">
        <x:v>0</x:v>
      </x:c>
      <x:c r="AC525" s="118" t="n">
        <x:v>0</x:v>
      </x:c>
    </x:row>
    <x:row r="526" ht="46" customHeight="1">
      <x:c r="A526" s="117" t="str">
        <x:v>300Ro00000cwVgkIAE</x:v>
      </x:c>
      <x:c r="B526" s="117" t="str">
        <x:v>Screen_Flow_Create_New_Service_Asset_From_Work_Order</x:v>
      </x:c>
      <x:c r="C526" s="117" t="str">
        <x:v>Yes</x:v>
      </x:c>
      <x:c r="D526" s="119" t="str">
        <x:v>Active v1 (Retrieved XML)</x:v>
      </x:c>
      <x:c r="E526" s="119" t="str"/>
      <x:c r="F526" s="119" t="str">
        <x:v>Asset, WorkOrder</x:v>
      </x:c>
      <x:c r="G526" s="119" t="str">
        <x:v>AccountId, AssetId, CurrencyIsoCode, Id, LocationId, Name, OEM_Serial__c, Product2Id, SerialNumber</x:v>
      </x:c>
      <x:c r="H526" s="119" t="str"/>
      <x:c r="I526" s="119" t="str"/>
      <x:c r="J526" s="119" t="str">
        <x:v>flowruntime:lookup</x:v>
      </x:c>
      <x:c r="K526" s="118" t="n">
        <x:v>6</x:v>
      </x:c>
      <x:c r="L526" s="118" t="n">
        <x:v>0</x:v>
      </x:c>
      <x:c r="M526" s="118" t="n">
        <x:v>0</x:v>
      </x:c>
      <x:c r="N526" s="118" t="n">
        <x:v>0</x:v>
      </x:c>
      <x:c r="O526" s="118" t="n">
        <x:v>0</x:v>
      </x:c>
      <x:c r="P526" s="118" t="n">
        <x:v>0</x:v>
      </x:c>
      <x:c r="Q526" s="118" t="n">
        <x:v>0</x:v>
      </x:c>
      <x:c r="R526" s="118" t="n">
        <x:v>0</x:v>
      </x:c>
      <x:c r="S526" s="118" t="n">
        <x:v>0</x:v>
      </x:c>
      <x:c r="T526" s="118" t="n">
        <x:v>1</x:v>
      </x:c>
      <x:c r="U526" s="118" t="n">
        <x:v>0</x:v>
      </x:c>
      <x:c r="V526" s="118" t="n">
        <x:v>1</x:v>
      </x:c>
      <x:c r="W526" s="118" t="n">
        <x:v>0</x:v>
      </x:c>
      <x:c r="X526" s="118" t="n">
        <x:v>1</x:v>
      </x:c>
      <x:c r="Y526" s="118" t="n">
        <x:v>2</x:v>
      </x:c>
      <x:c r="Z526" s="118" t="n">
        <x:v>0</x:v>
      </x:c>
      <x:c r="AA526" s="118" t="n">
        <x:v>0</x:v>
      </x:c>
      <x:c r="AB526" s="118" t="n">
        <x:v>0</x:v>
      </x:c>
      <x:c r="AC526" s="118" t="n">
        <x:v>0</x:v>
      </x:c>
    </x:row>
    <x:row r="527" ht="46" customHeight="1">
      <x:c r="A527" s="117" t="str">
        <x:v>300Ro00000cwVglIAE</x:v>
      </x:c>
      <x:c r="B527" s="117" t="str">
        <x:v>Screen_Flow_Create_Sales_Asset_from_Service_Asset</x:v>
      </x:c>
      <x:c r="C527" s="117" t="str">
        <x:v>No</x:v>
      </x:c>
      <x:c r="D527" s="119" t="str">
        <x:v>Latest inactive v1 (Retrieved XML)</x:v>
      </x:c>
      <x:c r="E527" s="119" t="str"/>
      <x:c r="F527" s="119" t="str">
        <x:v>Asset, ProductItem__c</x:v>
      </x:c>
      <x:c r="G527" s="119" t="str">
        <x:v>Id, Name, Sales_Asset__c</x:v>
      </x:c>
      <x:c r="H527" s="119" t="str"/>
      <x:c r="I527" s="119" t="str">
        <x:v>Autolaunched_Create_Service_or_Sales_Asset</x:v>
      </x:c>
      <x:c r="J527" s="119" t="str">
        <x:v>flowruntime:lookup</x:v>
      </x:c>
      <x:c r="K527" s="118" t="n">
        <x:v>9</x:v>
      </x:c>
      <x:c r="L527" s="118" t="n">
        <x:v>0</x:v>
      </x:c>
      <x:c r="M527" s="118" t="n">
        <x:v>0</x:v>
      </x:c>
      <x:c r="N527" s="118" t="n">
        <x:v>0</x:v>
      </x:c>
      <x:c r="O527" s="118" t="n">
        <x:v>0</x:v>
      </x:c>
      <x:c r="P527" s="118" t="n">
        <x:v>0</x:v>
      </x:c>
      <x:c r="Q527" s="118" t="n">
        <x:v>1</x:v>
      </x:c>
      <x:c r="R527" s="118" t="n">
        <x:v>0</x:v>
      </x:c>
      <x:c r="S527" s="118" t="n">
        <x:v>0</x:v>
      </x:c>
      <x:c r="T527" s="118" t="n">
        <x:v>0</x:v>
      </x:c>
      <x:c r="U527" s="118" t="n">
        <x:v>0</x:v>
      </x:c>
      <x:c r="V527" s="118" t="n">
        <x:v>2</x:v>
      </x:c>
      <x:c r="W527" s="118" t="n">
        <x:v>0</x:v>
      </x:c>
      <x:c r="X527" s="118" t="n">
        <x:v>1</x:v>
      </x:c>
      <x:c r="Y527" s="118" t="n">
        <x:v>3</x:v>
      </x:c>
      <x:c r="Z527" s="118" t="n">
        <x:v>0</x:v>
      </x:c>
      <x:c r="AA527" s="118" t="n">
        <x:v>1</x:v>
      </x:c>
      <x:c r="AB527" s="118" t="n">
        <x:v>0</x:v>
      </x:c>
      <x:c r="AC527" s="118" t="n">
        <x:v>0</x:v>
      </x:c>
    </x:row>
    <x:row r="528" ht="46" customHeight="1">
      <x:c r="A528" s="117" t="str">
        <x:v>300Ro00000cwVgmIAE</x:v>
      </x:c>
      <x:c r="B528" s="117" t="str">
        <x:v>Screen_Flow_Create_Service_Asset_from_Sales_Asset</x:v>
      </x:c>
      <x:c r="C528" s="117" t="str">
        <x:v>No</x:v>
      </x:c>
      <x:c r="D528" s="119" t="str">
        <x:v>Latest inactive v1 (Retrieved XML)</x:v>
      </x:c>
      <x:c r="E528" s="119" t="str"/>
      <x:c r="F528" s="119" t="str">
        <x:v>ProductItem__c</x:v>
      </x:c>
      <x:c r="G528" s="119" t="str">
        <x:v>Id</x:v>
      </x:c>
      <x:c r="H528" s="119" t="str"/>
      <x:c r="I528" s="119" t="str">
        <x:v>Autolaunched_Create_Service_or_Sales_Asset</x:v>
      </x:c>
      <x:c r="J528" s="119" t="str">
        <x:v>flowruntime:lookup</x:v>
      </x:c>
      <x:c r="K528" s="118" t="n">
        <x:v>7</x:v>
      </x:c>
      <x:c r="L528" s="118" t="n">
        <x:v>0</x:v>
      </x:c>
      <x:c r="M528" s="118" t="n">
        <x:v>0</x:v>
      </x:c>
      <x:c r="N528" s="118" t="n">
        <x:v>0</x:v>
      </x:c>
      <x:c r="O528" s="118" t="n">
        <x:v>0</x:v>
      </x:c>
      <x:c r="P528" s="118" t="n">
        <x:v>0</x:v>
      </x:c>
      <x:c r="Q528" s="118" t="n">
        <x:v>1</x:v>
      </x:c>
      <x:c r="R528" s="118" t="n">
        <x:v>0</x:v>
      </x:c>
      <x:c r="S528" s="118" t="n">
        <x:v>0</x:v>
      </x:c>
      <x:c r="T528" s="118" t="n">
        <x:v>0</x:v>
      </x:c>
      <x:c r="U528" s="118" t="n">
        <x:v>0</x:v>
      </x:c>
      <x:c r="V528" s="118" t="n">
        <x:v>1</x:v>
      </x:c>
      <x:c r="W528" s="118" t="n">
        <x:v>0</x:v>
      </x:c>
      <x:c r="X528" s="118" t="n">
        <x:v>0</x:v>
      </x:c>
      <x:c r="Y528" s="118" t="n">
        <x:v>3</x:v>
      </x:c>
      <x:c r="Z528" s="118" t="n">
        <x:v>0</x:v>
      </x:c>
      <x:c r="AA528" s="118" t="n">
        <x:v>1</x:v>
      </x:c>
      <x:c r="AB528" s="118" t="n">
        <x:v>0</x:v>
      </x:c>
      <x:c r="AC528" s="118" t="n">
        <x:v>0</x:v>
      </x:c>
    </x:row>
    <x:row r="529" ht="46" customHeight="1">
      <x:c r="A529" s="117" t="str">
        <x:v>300Ro00000LtI8OIAV</x:v>
      </x:c>
      <x:c r="B529" s="117" t="str">
        <x:v>Screen_Flow_Scrap_Asset_on_System_Work_Order</x:v>
      </x:c>
      <x:c r="C529" s="117" t="str">
        <x:v>Yes</x:v>
      </x:c>
      <x:c r="D529" s="119" t="str">
        <x:v>Active v1 (Retrieved XML)</x:v>
      </x:c>
      <x:c r="E529" s="119" t="str"/>
      <x:c r="F529" s="119" t="str">
        <x:v>Inventory_Adjustment__c, System_Work_Order__c</x:v>
      </x:c>
      <x:c r="G529" s="119" t="str">
        <x:v>Asset_No__c, Id, Inventory_Adjustment_Amount__c, Inventory_Adjustment__c, Remaining_Cost_Type__c</x:v>
      </x:c>
      <x:c r="H529" s="119" t="str">
        <x:v>c:navigateToRecord, submit</x:v>
      </x:c>
      <x:c r="I529" s="119" t="str"/>
      <x:c r="J529" s="119" t="str"/>
      <x:c r="K529" s="118" t="n">
        <x:v>8</x:v>
      </x:c>
      <x:c r="L529" s="118" t="n">
        <x:v>3</x:v>
      </x:c>
      <x:c r="M529" s="118" t="n">
        <x:v>0</x:v>
      </x:c>
      <x:c r="N529" s="118" t="n">
        <x:v>0</x:v>
      </x:c>
      <x:c r="O529" s="118" t="n">
        <x:v>0</x:v>
      </x:c>
      <x:c r="P529" s="118" t="n">
        <x:v>0</x:v>
      </x:c>
      <x:c r="Q529" s="118" t="n">
        <x:v>1</x:v>
      </x:c>
      <x:c r="R529" s="118" t="n">
        <x:v>0</x:v>
      </x:c>
      <x:c r="S529" s="118" t="n">
        <x:v>0</x:v>
      </x:c>
      <x:c r="T529" s="118" t="n">
        <x:v>1</x:v>
      </x:c>
      <x:c r="U529" s="118" t="n">
        <x:v>0</x:v>
      </x:c>
      <x:c r="V529" s="118" t="n">
        <x:v>1</x:v>
      </x:c>
      <x:c r="W529" s="118" t="n">
        <x:v>0</x:v>
      </x:c>
      <x:c r="X529" s="118" t="n">
        <x:v>1</x:v>
      </x:c>
      <x:c r="Y529" s="118" t="n">
        <x:v>0</x:v>
      </x:c>
      <x:c r="Z529" s="118" t="n">
        <x:v>0</x:v>
      </x:c>
      <x:c r="AA529" s="118" t="n">
        <x:v>0</x:v>
      </x:c>
      <x:c r="AB529" s="118" t="n">
        <x:v>0</x:v>
      </x:c>
      <x:c r="AC529" s="118" t="n">
        <x:v>0</x:v>
      </x:c>
    </x:row>
    <x:row r="530" ht="46" customHeight="1">
      <x:c r="A530" s="117" t="str">
        <x:v>300Ro00000tAYdSIAW</x:v>
      </x:c>
      <x:c r="B530" s="117" t="str">
        <x:v>Screen_Flow_Select_IR_Assets</x:v>
      </x:c>
      <x:c r="C530" s="117" t="str">
        <x:v>Yes</x:v>
      </x:c>
      <x:c r="D530" s="119" t="str">
        <x:v>Active v4 (Retrieved XML)</x:v>
      </x:c>
      <x:c r="E530" s="119" t="str"/>
      <x:c r="F530" s="119" t="str">
        <x:v>ProductItem__c</x:v>
      </x:c>
      <x:c r="G530" s="119" t="str"/>
      <x:c r="H530" s="119" t="str">
        <x:v>FlowJsonToRecords, FlowRecordsToJson</x:v>
      </x:c>
      <x:c r="I530" s="119" t="str"/>
      <x:c r="J530" s="119" t="str">
        <x:v>c:recordTableStateful</x:v>
      </x:c>
      <x:c r="K530" s="118" t="n">
        <x:v>6</x:v>
      </x:c>
      <x:c r="L530" s="118" t="n">
        <x:v>2</x:v>
      </x:c>
      <x:c r="M530" s="118" t="n">
        <x:v>0</x:v>
      </x:c>
      <x:c r="N530" s="118" t="n">
        <x:v>0</x:v>
      </x:c>
      <x:c r="O530" s="118" t="n">
        <x:v>0</x:v>
      </x:c>
      <x:c r="P530" s="118" t="n">
        <x:v>0</x:v>
      </x:c>
      <x:c r="Q530" s="118" t="n">
        <x:v>1</x:v>
      </x:c>
      <x:c r="R530" s="118" t="n">
        <x:v>0</x:v>
      </x:c>
      <x:c r="S530" s="118" t="n">
        <x:v>0</x:v>
      </x:c>
      <x:c r="T530" s="118" t="n">
        <x:v>0</x:v>
      </x:c>
      <x:c r="U530" s="118" t="n">
        <x:v>0</x:v>
      </x:c>
      <x:c r="V530" s="118" t="n">
        <x:v>0</x:v>
      </x:c>
      <x:c r="W530" s="118" t="n">
        <x:v>0</x:v>
      </x:c>
      <x:c r="X530" s="118" t="n">
        <x:v>0</x:v>
      </x:c>
      <x:c r="Y530" s="118" t="n">
        <x:v>2</x:v>
      </x:c>
      <x:c r="Z530" s="118" t="n">
        <x:v>0</x:v>
      </x:c>
      <x:c r="AA530" s="118" t="n">
        <x:v>0</x:v>
      </x:c>
      <x:c r="AB530" s="118" t="n">
        <x:v>0</x:v>
      </x:c>
      <x:c r="AC530" s="118" t="n">
        <x:v>0</x:v>
      </x:c>
    </x:row>
    <x:row r="531" ht="46" customHeight="1">
      <x:c r="A531" s="117" t="str">
        <x:v>300Ro00000ViqyjIAB</x:v>
      </x:c>
      <x:c r="B531" s="117" t="str">
        <x:v>Screen_Flow_Select_Products_to_Invoice_on_Equipment_Storage_Opps</x:v>
      </x:c>
      <x:c r="C531" s="117" t="str">
        <x:v>Yes</x:v>
      </x:c>
      <x:c r="D531" s="119" t="str">
        <x:v>Active v2 (Retrieved XML)</x:v>
      </x:c>
      <x:c r="E531" s="119" t="str"/>
      <x:c r="F531" s="119" t="str">
        <x:v>Invoice_Line_Item__c, Opportunity, OpportunityLineItem</x:v>
      </x:c>
      <x:c r="G531" s="119" t="str">
        <x:v>Billing_Status__c, Id, OpportunityId, Opportunity_Product__c, Rental_Invoice_End_Date__c, Rental_Invoice_Start_Date__c</x:v>
      </x:c>
      <x:c r="H531" s="119" t="str"/>
      <x:c r="I531" s="119" t="str"/>
      <x:c r="J531" s="119" t="str">
        <x:v>c:datatable, flowruntime:datatable</x:v>
      </x:c>
      <x:c r="K531" s="118" t="n">
        <x:v>30</x:v>
      </x:c>
      <x:c r="L531" s="118" t="n">
        <x:v>0</x:v>
      </x:c>
      <x:c r="M531" s="118" t="n">
        <x:v>0</x:v>
      </x:c>
      <x:c r="N531" s="118" t="n">
        <x:v>7</x:v>
      </x:c>
      <x:c r="O531" s="118" t="n">
        <x:v>2</x:v>
      </x:c>
      <x:c r="P531" s="118" t="n">
        <x:v>0</x:v>
      </x:c>
      <x:c r="Q531" s="118" t="n">
        <x:v>5</x:v>
      </x:c>
      <x:c r="R531" s="118" t="n">
        <x:v>2</x:v>
      </x:c>
      <x:c r="S531" s="118" t="n">
        <x:v>0</x:v>
      </x:c>
      <x:c r="T531" s="118" t="n">
        <x:v>0</x:v>
      </x:c>
      <x:c r="U531" s="118" t="n">
        <x:v>0</x:v>
      </x:c>
      <x:c r="V531" s="118" t="n">
        <x:v>3</x:v>
      </x:c>
      <x:c r="W531" s="118" t="n">
        <x:v>0</x:v>
      </x:c>
      <x:c r="X531" s="118" t="n">
        <x:v>4</x:v>
      </x:c>
      <x:c r="Y531" s="118" t="n">
        <x:v>2</x:v>
      </x:c>
      <x:c r="Z531" s="118" t="n">
        <x:v>0</x:v>
      </x:c>
      <x:c r="AA531" s="118" t="n">
        <x:v>0</x:v>
      </x:c>
      <x:c r="AB531" s="118" t="n">
        <x:v>4</x:v>
      </x:c>
      <x:c r="AC531" s="118" t="n">
        <x:v>0</x:v>
      </x:c>
    </x:row>
    <x:row r="532" ht="46" customHeight="1">
      <x:c r="A532" s="117" t="str">
        <x:v>300Ro00000H90tSIAR</x:v>
      </x:c>
      <x:c r="B532" s="117" t="str">
        <x:v>Screen_Flow_Update_Classification_From_SA</x:v>
      </x:c>
      <x:c r="C532" s="117" t="str">
        <x:v>Yes</x:v>
      </x:c>
      <x:c r="D532" s="119" t="str">
        <x:v>Active v1 (Retrieved XML)</x:v>
      </x:c>
      <x:c r="E532" s="119" t="str"/>
      <x:c r="F532" s="119" t="str">
        <x:v>ServiceAppointment, WorkOrder</x:v>
      </x:c>
      <x:c r="G532" s="119" t="str">
        <x:v>Classification__c, Id, Status</x:v>
      </x:c>
      <x:c r="H532" s="119" t="str"/>
      <x:c r="I532" s="119" t="str"/>
      <x:c r="J532" s="119" t="str"/>
      <x:c r="K532" s="118" t="n">
        <x:v>9</x:v>
      </x:c>
      <x:c r="L532" s="118" t="n">
        <x:v>0</x:v>
      </x:c>
      <x:c r="M532" s="118" t="n">
        <x:v>0</x:v>
      </x:c>
      <x:c r="N532" s="118" t="n">
        <x:v>2</x:v>
      </x:c>
      <x:c r="O532" s="118" t="n">
        <x:v>0</x:v>
      </x:c>
      <x:c r="P532" s="118" t="n">
        <x:v>0</x:v>
      </x:c>
      <x:c r="Q532" s="118" t="n">
        <x:v>1</x:v>
      </x:c>
      <x:c r="R532" s="118" t="n">
        <x:v>0</x:v>
      </x:c>
      <x:c r="S532" s="118" t="n">
        <x:v>0</x:v>
      </x:c>
      <x:c r="T532" s="118" t="n">
        <x:v>0</x:v>
      </x:c>
      <x:c r="U532" s="118" t="n">
        <x:v>0</x:v>
      </x:c>
      <x:c r="V532" s="118" t="n">
        <x:v>2</x:v>
      </x:c>
      <x:c r="W532" s="118" t="n">
        <x:v>0</x:v>
      </x:c>
      <x:c r="X532" s="118" t="n">
        <x:v>1</x:v>
      </x:c>
      <x:c r="Y532" s="118" t="n">
        <x:v>2</x:v>
      </x:c>
      <x:c r="Z532" s="118" t="n">
        <x:v>0</x:v>
      </x:c>
      <x:c r="AA532" s="118" t="n">
        <x:v>0</x:v>
      </x:c>
      <x:c r="AB532" s="118" t="n">
        <x:v>0</x:v>
      </x:c>
      <x:c r="AC532" s="118" t="n">
        <x:v>0</x:v>
      </x:c>
    </x:row>
    <x:row r="533" ht="46" customHeight="1">
      <x:c r="A533" s="117" t="str">
        <x:v>300Ro00000GpZycIAF</x:v>
      </x:c>
      <x:c r="B533" s="117" t="str">
        <x:v>Screen_Flow_Update_Shipping_FIelds</x:v>
      </x:c>
      <x:c r="C533" s="117" t="str">
        <x:v>Yes</x:v>
      </x:c>
      <x:c r="D533" s="119" t="str">
        <x:v>Active v2 (Retrieved XML)</x:v>
      </x:c>
      <x:c r="E533" s="119" t="str"/>
      <x:c r="F533" s="119" t="str">
        <x:v>Address, Contact, Opportunity</x:v>
      </x:c>
      <x:c r="G533" s="119" t="str">
        <x:v>Account_ID__c, Attention__c, Id, LocationType, Ship_To_Account__c, Ship_To_Address__c, ShippingCity__c, ShippingCountry__c, ShippingPostalCode__c, ShippingState__c, ShippingStreet__c, Shipping_Account_Number__c, Shipping_Contact_Phone__c, Shipping_Contact__c</x:v>
      </x:c>
      <x:c r="H533" s="119" t="str"/>
      <x:c r="I533" s="119" t="str"/>
      <x:c r="J533" s="119" t="str">
        <x:v>flowruntime:datatable, flowruntime:lookup</x:v>
      </x:c>
      <x:c r="K533" s="118" t="n">
        <x:v>8</x:v>
      </x:c>
      <x:c r="L533" s="118" t="n">
        <x:v>0</x:v>
      </x:c>
      <x:c r="M533" s="118" t="n">
        <x:v>0</x:v>
      </x:c>
      <x:c r="N533" s="118" t="n">
        <x:v>0</x:v>
      </x:c>
      <x:c r="O533" s="118" t="n">
        <x:v>1</x:v>
      </x:c>
      <x:c r="P533" s="118" t="n">
        <x:v>0</x:v>
      </x:c>
      <x:c r="Q533" s="118" t="n">
        <x:v>0</x:v>
      </x:c>
      <x:c r="R533" s="118" t="n">
        <x:v>0</x:v>
      </x:c>
      <x:c r="S533" s="118" t="n">
        <x:v>0</x:v>
      </x:c>
      <x:c r="T533" s="118" t="n">
        <x:v>0</x:v>
      </x:c>
      <x:c r="U533" s="118" t="n">
        <x:v>0</x:v>
      </x:c>
      <x:c r="V533" s="118" t="n">
        <x:v>3</x:v>
      </x:c>
      <x:c r="W533" s="118" t="n">
        <x:v>0</x:v>
      </x:c>
      <x:c r="X533" s="118" t="n">
        <x:v>1</x:v>
      </x:c>
      <x:c r="Y533" s="118" t="n">
        <x:v>2</x:v>
      </x:c>
      <x:c r="Z533" s="118" t="n">
        <x:v>0</x:v>
      </x:c>
      <x:c r="AA533" s="118" t="n">
        <x:v>0</x:v>
      </x:c>
      <x:c r="AB533" s="118" t="n">
        <x:v>0</x:v>
      </x:c>
      <x:c r="AC533" s="118" t="n">
        <x:v>0</x:v>
      </x:c>
    </x:row>
    <x:row r="534" ht="46" customHeight="1">
      <x:c r="A534" s="117" t="str">
        <x:v>300Ro00000U7G8UIAV</x:v>
      </x:c>
      <x:c r="B534" s="117" t="str">
        <x:v>Screen_Work_Order_Asset_Contract_Line_Update</x:v>
      </x:c>
      <x:c r="C534" s="117" t="str">
        <x:v>Yes</x:v>
      </x:c>
      <x:c r="D534" s="119" t="str">
        <x:v>Active v1 (Tooling metadata)</x:v>
      </x:c>
      <x:c r="E534" s="119" t="str"/>
      <x:c r="F534" s="119" t="str">
        <x:v>Asset, ContractLineItem, Progress_Note__c, ServiceAppointment, ServiceContract, WorkOrder, WorkOrderLineItem</x:v>
      </x:c>
      <x:c r="G534" s="119" t="str">
        <x:v>AccountId, AssetId, Contract_Line_Item__c, Contract_Status__c, Id, ParentRecordId, ParentWorkOrderId, ServiceContractId, Service_Contract__c, Status, Warranty_Status__c, WorkOrderId, Work_Order__c</x:v>
      </x:c>
      <x:c r="H534" s="119" t="str"/>
      <x:c r="I534" s="119" t="str"/>
      <x:c r="J534" s="119" t="str">
        <x:v>c:datatable</x:v>
      </x:c>
      <x:c r="K534" s="118" t="n">
        <x:v>39</x:v>
      </x:c>
      <x:c r="L534" s="118" t="n">
        <x:v>0</x:v>
      </x:c>
      <x:c r="M534" s="118" t="n">
        <x:v>0</x:v>
      </x:c>
      <x:c r="N534" s="118" t="n">
        <x:v>7</x:v>
      </x:c>
      <x:c r="O534" s="118" t="n">
        <x:v>0</x:v>
      </x:c>
      <x:c r="P534" s="118" t="n">
        <x:v>0</x:v>
      </x:c>
      <x:c r="Q534" s="118" t="n">
        <x:v>7</x:v>
      </x:c>
      <x:c r="R534" s="118" t="n">
        <x:v>1</x:v>
      </x:c>
      <x:c r="S534" s="118" t="n">
        <x:v>0</x:v>
      </x:c>
      <x:c r="T534" s="118" t="n">
        <x:v>0</x:v>
      </x:c>
      <x:c r="U534" s="118" t="n">
        <x:v>0</x:v>
      </x:c>
      <x:c r="V534" s="118" t="n">
        <x:v>11</x:v>
      </x:c>
      <x:c r="W534" s="118" t="n">
        <x:v>0</x:v>
      </x:c>
      <x:c r="X534" s="118" t="n">
        <x:v>5</x:v>
      </x:c>
      <x:c r="Y534" s="118" t="n">
        <x:v>7</x:v>
      </x:c>
      <x:c r="Z534" s="118" t="n">
        <x:v>0</x:v>
      </x:c>
      <x:c r="AA534" s="118" t="n">
        <x:v>0</x:v>
      </x:c>
      <x:c r="AB534" s="118" t="n">
        <x:v>0</x:v>
      </x:c>
      <x:c r="AC534" s="118" t="n">
        <x:v>0</x:v>
      </x:c>
    </x:row>
    <x:row r="535" ht="46" customHeight="1">
      <x:c r="A535" s="117" t="str">
        <x:v>300Ro00000UfjBLIAZ</x:v>
      </x:c>
      <x:c r="B535" s="117" t="str">
        <x:v>Screen_Work_Order_Create_Tentative_SAs</x:v>
      </x:c>
      <x:c r="C535" s="117" t="str">
        <x:v>Yes</x:v>
      </x:c>
      <x:c r="D535" s="119" t="str">
        <x:v>Active v1 (Retrieved XML)</x:v>
      </x:c>
      <x:c r="E535" s="119" t="str"/>
      <x:c r="F535" s="119" t="str">
        <x:v>AssignedResource, ServiceAppointment, ServiceResource, WorkOrder, WorkType</x:v>
      </x:c>
      <x:c r="G535" s="119" t="str">
        <x:v>Id, IsActive</x:v>
      </x:c>
      <x:c r="H535" s="119" t="str"/>
      <x:c r="I535" s="119" t="str"/>
      <x:c r="J535" s="119" t="str">
        <x:v>c:datatable, flowruntime:lookup</x:v>
      </x:c>
      <x:c r="K535" s="118" t="n">
        <x:v>12</x:v>
      </x:c>
      <x:c r="L535" s="118" t="n">
        <x:v>0</x:v>
      </x:c>
      <x:c r="M535" s="118" t="n">
        <x:v>0</x:v>
      </x:c>
      <x:c r="N535" s="118" t="n">
        <x:v>2</x:v>
      </x:c>
      <x:c r="O535" s="118" t="n">
        <x:v>0</x:v>
      </x:c>
      <x:c r="P535" s="118" t="n">
        <x:v>0</x:v>
      </x:c>
      <x:c r="Q535" s="118" t="n">
        <x:v>0</x:v>
      </x:c>
      <x:c r="R535" s="118" t="n">
        <x:v>2</x:v>
      </x:c>
      <x:c r="S535" s="118" t="n">
        <x:v>0</x:v>
      </x:c>
      <x:c r="T535" s="118" t="n">
        <x:v>2</x:v>
      </x:c>
      <x:c r="U535" s="118" t="n">
        <x:v>0</x:v>
      </x:c>
      <x:c r="V535" s="118" t="n">
        <x:v>3</x:v>
      </x:c>
      <x:c r="W535" s="118" t="n">
        <x:v>0</x:v>
      </x:c>
      <x:c r="X535" s="118" t="n">
        <x:v>0</x:v>
      </x:c>
      <x:c r="Y535" s="118" t="n">
        <x:v>2</x:v>
      </x:c>
      <x:c r="Z535" s="118" t="n">
        <x:v>0</x:v>
      </x:c>
      <x:c r="AA535" s="118" t="n">
        <x:v>0</x:v>
      </x:c>
      <x:c r="AB535" s="118" t="n">
        <x:v>0</x:v>
      </x:c>
      <x:c r="AC535" s="118" t="n">
        <x:v>0</x:v>
      </x:c>
    </x:row>
    <x:row r="536" ht="46" customHeight="1">
      <x:c r="A536" s="117" t="str">
        <x:v>300Ro00000uulooIAA</x:v>
      </x:c>
      <x:c r="B536" s="117" t="str">
        <x:v>Scrub_AvaTax_Exception_Code_from_New_Products</x:v>
      </x:c>
      <x:c r="C536" s="117" t="str">
        <x:v>Yes</x:v>
      </x:c>
      <x:c r="D536" s="119" t="str">
        <x:v>Active v1 (Retrieved XML)</x:v>
      </x:c>
      <x:c r="E536" s="119" t="str"/>
      <x:c r="F536" s="119" t="str">
        <x:v>Product2</x:v>
      </x:c>
      <x:c r="G536" s="119" t="str">
        <x:v>AVA_SFCLOUD__AvaTax_Tax_Code__c</x:v>
      </x:c>
      <x:c r="H536" s="119" t="str"/>
      <x:c r="I536" s="119" t="str"/>
      <x:c r="J536" s="119" t="str"/>
      <x:c r="K536" s="118" t="n">
        <x:v>2</x:v>
      </x:c>
      <x:c r="L536" s="118" t="n">
        <x:v>0</x:v>
      </x:c>
      <x:c r="M536" s="118" t="n">
        <x:v>0</x:v>
      </x:c>
      <x:c r="N536" s="118" t="n">
        <x:v>1</x:v>
      </x:c>
      <x:c r="O536" s="118" t="n">
        <x:v>0</x:v>
      </x:c>
      <x:c r="P536" s="118" t="n">
        <x:v>0</x:v>
      </x:c>
      <x:c r="Q536" s="118" t="n">
        <x:v>0</x:v>
      </x:c>
      <x:c r="R536" s="118" t="n">
        <x:v>0</x:v>
      </x:c>
      <x:c r="S536" s="118" t="n">
        <x:v>0</x:v>
      </x:c>
      <x:c r="T536" s="118" t="n">
        <x:v>0</x:v>
      </x:c>
      <x:c r="U536" s="118" t="n">
        <x:v>0</x:v>
      </x:c>
      <x:c r="V536" s="118" t="n">
        <x:v>0</x:v>
      </x:c>
      <x:c r="W536" s="118" t="n">
        <x:v>0</x:v>
      </x:c>
      <x:c r="X536" s="118" t="n">
        <x:v>0</x:v>
      </x:c>
      <x:c r="Y536" s="118" t="n">
        <x:v>0</x:v>
      </x:c>
      <x:c r="Z536" s="118" t="n">
        <x:v>0</x:v>
      </x:c>
      <x:c r="AA536" s="118" t="n">
        <x:v>0</x:v>
      </x:c>
      <x:c r="AB536" s="118" t="n">
        <x:v>0</x:v>
      </x:c>
      <x:c r="AC536" s="118" t="n">
        <x:v>0</x:v>
      </x:c>
    </x:row>
    <x:row r="537" ht="46" customHeight="1">
      <x:c r="A537" s="117" t="str">
        <x:v>3000B0000008l9tQAA</x:v>
      </x:c>
      <x:c r="B537" s="117" t="str">
        <x:v>Search_Contacts_for_Account_Name_Company</x:v>
      </x:c>
      <x:c r="C537" s="117" t="str">
        <x:v>No</x:v>
      </x:c>
      <x:c r="D537" s="119" t="str">
        <x:v>Latest inactive v1 (Retrieved XML)</x:v>
      </x:c>
      <x:c r="E537" s="119" t="str"/>
      <x:c r="F537" s="119" t="str">
        <x:v>Contact, Lead</x:v>
      </x:c>
      <x:c r="G537" s="119" t="str">
        <x:v>Account_Name__c, Id, OwnerId</x:v>
      </x:c>
      <x:c r="H537" s="119" t="str"/>
      <x:c r="I537" s="119" t="str"/>
      <x:c r="J537" s="119" t="str"/>
      <x:c r="K537" s="118" t="n">
        <x:v>2</x:v>
      </x:c>
      <x:c r="L537" s="118" t="n">
        <x:v>0</x:v>
      </x:c>
      <x:c r="M537" s="118" t="n">
        <x:v>0</x:v>
      </x:c>
      <x:c r="N537" s="118" t="n">
        <x:v>0</x:v>
      </x:c>
      <x:c r="O537" s="118" t="n">
        <x:v>0</x:v>
      </x:c>
      <x:c r="P537" s="118" t="n">
        <x:v>0</x:v>
      </x:c>
      <x:c r="Q537" s="118" t="n">
        <x:v>0</x:v>
      </x:c>
      <x:c r="R537" s="118" t="n">
        <x:v>0</x:v>
      </x:c>
      <x:c r="S537" s="118" t="n">
        <x:v>0</x:v>
      </x:c>
      <x:c r="T537" s="118" t="n">
        <x:v>0</x:v>
      </x:c>
      <x:c r="U537" s="118" t="n">
        <x:v>0</x:v>
      </x:c>
      <x:c r="V537" s="118" t="n">
        <x:v>1</x:v>
      </x:c>
      <x:c r="W537" s="118" t="n">
        <x:v>0</x:v>
      </x:c>
      <x:c r="X537" s="118" t="n">
        <x:v>1</x:v>
      </x:c>
      <x:c r="Y537" s="118" t="n">
        <x:v>0</x:v>
      </x:c>
      <x:c r="Z537" s="118" t="n">
        <x:v>0</x:v>
      </x:c>
      <x:c r="AA537" s="118" t="n">
        <x:v>0</x:v>
      </x:c>
      <x:c r="AB537" s="118" t="n">
        <x:v>0</x:v>
      </x:c>
      <x:c r="AC537" s="118" t="n">
        <x:v>0</x:v>
      </x:c>
    </x:row>
    <x:row r="538" ht="46" customHeight="1">
      <x:c r="A538" s="117" t="str">
        <x:v>3000B0000008l2xQAA</x:v>
      </x:c>
      <x:c r="B538" s="117" t="str">
        <x:v>Search_Contacts_for_New_Lead_Email_Address</x:v>
      </x:c>
      <x:c r="C538" s="117" t="str">
        <x:v>No</x:v>
      </x:c>
      <x:c r="D538" s="119" t="str">
        <x:v>Latest inactive v4 (Retrieved XML)</x:v>
      </x:c>
      <x:c r="E538" s="119" t="str"/>
      <x:c r="F538" s="119" t="str">
        <x:v>Contact, Lead</x:v>
      </x:c>
      <x:c r="G538" s="119" t="str">
        <x:v>Email, Id, OwnerId</x:v>
      </x:c>
      <x:c r="H538" s="119" t="str"/>
      <x:c r="I538" s="119" t="str"/>
      <x:c r="J538" s="119" t="str"/>
      <x:c r="K538" s="118" t="n">
        <x:v>2</x:v>
      </x:c>
      <x:c r="L538" s="118" t="n">
        <x:v>0</x:v>
      </x:c>
      <x:c r="M538" s="118" t="n">
        <x:v>0</x:v>
      </x:c>
      <x:c r="N538" s="118" t="n">
        <x:v>0</x:v>
      </x:c>
      <x:c r="O538" s="118" t="n">
        <x:v>0</x:v>
      </x:c>
      <x:c r="P538" s="118" t="n">
        <x:v>0</x:v>
      </x:c>
      <x:c r="Q538" s="118" t="n">
        <x:v>0</x:v>
      </x:c>
      <x:c r="R538" s="118" t="n">
        <x:v>0</x:v>
      </x:c>
      <x:c r="S538" s="118" t="n">
        <x:v>0</x:v>
      </x:c>
      <x:c r="T538" s="118" t="n">
        <x:v>0</x:v>
      </x:c>
      <x:c r="U538" s="118" t="n">
        <x:v>0</x:v>
      </x:c>
      <x:c r="V538" s="118" t="n">
        <x:v>1</x:v>
      </x:c>
      <x:c r="W538" s="118" t="n">
        <x:v>0</x:v>
      </x:c>
      <x:c r="X538" s="118" t="n">
        <x:v>1</x:v>
      </x:c>
      <x:c r="Y538" s="118" t="n">
        <x:v>0</x:v>
      </x:c>
      <x:c r="Z538" s="118" t="n">
        <x:v>0</x:v>
      </x:c>
      <x:c r="AA538" s="118" t="n">
        <x:v>0</x:v>
      </x:c>
      <x:c r="AB538" s="118" t="n">
        <x:v>0</x:v>
      </x:c>
      <x:c r="AC538" s="118" t="n">
        <x:v>0</x:v>
      </x:c>
    </x:row>
    <x:row r="539" ht="46" customHeight="1">
      <x:c r="A539" s="117" t="str">
        <x:v>3000B0000008l9oQAA</x:v>
      </x:c>
      <x:c r="B539" s="117" t="str">
        <x:v>Search_Contacts_for_Phone_Number</x:v>
      </x:c>
      <x:c r="C539" s="117" t="str">
        <x:v>No</x:v>
      </x:c>
      <x:c r="D539" s="119" t="str">
        <x:v>Latest inactive v1 (Retrieved XML)</x:v>
      </x:c>
      <x:c r="E539" s="119" t="str"/>
      <x:c r="F539" s="119" t="str">
        <x:v>Contact, Lead</x:v>
      </x:c>
      <x:c r="G539" s="119" t="str">
        <x:v>Id, OwnerId, Phone</x:v>
      </x:c>
      <x:c r="H539" s="119" t="str"/>
      <x:c r="I539" s="119" t="str"/>
      <x:c r="J539" s="119" t="str"/>
      <x:c r="K539" s="118" t="n">
        <x:v>2</x:v>
      </x:c>
      <x:c r="L539" s="118" t="n">
        <x:v>0</x:v>
      </x:c>
      <x:c r="M539" s="118" t="n">
        <x:v>0</x:v>
      </x:c>
      <x:c r="N539" s="118" t="n">
        <x:v>0</x:v>
      </x:c>
      <x:c r="O539" s="118" t="n">
        <x:v>0</x:v>
      </x:c>
      <x:c r="P539" s="118" t="n">
        <x:v>0</x:v>
      </x:c>
      <x:c r="Q539" s="118" t="n">
        <x:v>0</x:v>
      </x:c>
      <x:c r="R539" s="118" t="n">
        <x:v>0</x:v>
      </x:c>
      <x:c r="S539" s="118" t="n">
        <x:v>0</x:v>
      </x:c>
      <x:c r="T539" s="118" t="n">
        <x:v>0</x:v>
      </x:c>
      <x:c r="U539" s="118" t="n">
        <x:v>0</x:v>
      </x:c>
      <x:c r="V539" s="118" t="n">
        <x:v>1</x:v>
      </x:c>
      <x:c r="W539" s="118" t="n">
        <x:v>0</x:v>
      </x:c>
      <x:c r="X539" s="118" t="n">
        <x:v>1</x:v>
      </x:c>
      <x:c r="Y539" s="118" t="n">
        <x:v>0</x:v>
      </x:c>
      <x:c r="Z539" s="118" t="n">
        <x:v>0</x:v>
      </x:c>
      <x:c r="AA539" s="118" t="n">
        <x:v>0</x:v>
      </x:c>
      <x:c r="AB539" s="118" t="n">
        <x:v>0</x:v>
      </x:c>
      <x:c r="AC539" s="118" t="n">
        <x:v>0</x:v>
      </x:c>
    </x:row>
    <x:row r="540" ht="46" customHeight="1">
      <x:c r="A540" s="117" t="str">
        <x:v>300Ro00000ugDlfIAE</x:v>
      </x:c>
      <x:c r="B540" s="117" t="str">
        <x:v>SelectRecommendedRepairs</x:v>
      </x:c>
      <x:c r="C540" s="117" t="str">
        <x:v>Yes</x:v>
      </x:c>
      <x:c r="D540" s="119" t="str">
        <x:v>Active v1 (Retrieved XML)</x:v>
      </x:c>
      <x:c r="E540" s="119" t="str"/>
      <x:c r="F540" s="119" t="str">
        <x:v>Evaluation_Natalie__c</x:v>
      </x:c>
      <x:c r="G540" s="119" t="str">
        <x:v>Endoscopy_Recommended_Repairs__c, Endoscopy_Required_Repairs__c, Id</x:v>
      </x:c>
      <x:c r="H540" s="119" t="str"/>
      <x:c r="I540" s="119" t="str"/>
      <x:c r="J540" s="119" t="str">
        <x:v>c:fsc_dualListBox3</x:v>
      </x:c>
      <x:c r="K540" s="118" t="n">
        <x:v>9</x:v>
      </x:c>
      <x:c r="L540" s="118" t="n">
        <x:v>0</x:v>
      </x:c>
      <x:c r="M540" s="118" t="n">
        <x:v>0</x:v>
      </x:c>
      <x:c r="N540" s="118" t="n">
        <x:v>3</x:v>
      </x:c>
      <x:c r="O540" s="118" t="n">
        <x:v>0</x:v>
      </x:c>
      <x:c r="P540" s="118" t="n">
        <x:v>0</x:v>
      </x:c>
      <x:c r="Q540" s="118" t="n">
        <x:v>2</x:v>
      </x:c>
      <x:c r="R540" s="118" t="n">
        <x:v>1</x:v>
      </x:c>
      <x:c r="S540" s="118" t="n">
        <x:v>0</x:v>
      </x:c>
      <x:c r="T540" s="118" t="n">
        <x:v>0</x:v>
      </x:c>
      <x:c r="U540" s="118" t="n">
        <x:v>0</x:v>
      </x:c>
      <x:c r="V540" s="118" t="n">
        <x:v>0</x:v>
      </x:c>
      <x:c r="W540" s="118" t="n">
        <x:v>0</x:v>
      </x:c>
      <x:c r="X540" s="118" t="n">
        <x:v>1</x:v>
      </x:c>
      <x:c r="Y540" s="118" t="n">
        <x:v>1</x:v>
      </x:c>
      <x:c r="Z540" s="118" t="n">
        <x:v>0</x:v>
      </x:c>
      <x:c r="AA540" s="118" t="n">
        <x:v>0</x:v>
      </x:c>
      <x:c r="AB540" s="118" t="n">
        <x:v>0</x:v>
      </x:c>
      <x:c r="AC540" s="118" t="n">
        <x:v>0</x:v>
      </x:c>
    </x:row>
    <x:row r="541" ht="46" customHeight="1">
      <x:c r="A541" s="117" t="str">
        <x:v>300Ro00000kKs8NIAS</x:v>
      </x:c>
      <x:c r="B541" s="117" t="str">
        <x:v>Send_Account_Update_Email</x:v>
      </x:c>
      <x:c r="C541" s="117" t="str">
        <x:v>No</x:v>
      </x:c>
      <x:c r="D541" s="119" t="str">
        <x:v>Latest inactive v1 (Tooling metadata)</x:v>
      </x:c>
      <x:c r="E541" s="119" t="str"/>
      <x:c r="F541" s="119" t="str"/>
      <x:c r="G541" s="119" t="str"/>
      <x:c r="H541" s="119" t="str"/>
      <x:c r="I541" s="119" t="str"/>
      <x:c r="J541" s="119" t="str"/>
      <x:c r="K541" s="118" t="n">
        <x:v>0</x:v>
      </x:c>
      <x:c r="L541" s="118" t="n">
        <x:v>0</x:v>
      </x:c>
      <x:c r="M541" s="118" t="n">
        <x:v>0</x:v>
      </x:c>
      <x:c r="N541" s="118" t="n">
        <x:v>0</x:v>
      </x:c>
      <x:c r="O541" s="118" t="n">
        <x:v>0</x:v>
      </x:c>
      <x:c r="P541" s="118" t="n">
        <x:v>0</x:v>
      </x:c>
      <x:c r="Q541" s="118" t="n">
        <x:v>0</x:v>
      </x:c>
      <x:c r="R541" s="118" t="n">
        <x:v>0</x:v>
      </x:c>
      <x:c r="S541" s="118" t="n">
        <x:v>0</x:v>
      </x:c>
      <x:c r="T541" s="118" t="n">
        <x:v>0</x:v>
      </x:c>
      <x:c r="U541" s="118" t="n">
        <x:v>0</x:v>
      </x:c>
      <x:c r="V541" s="118" t="n">
        <x:v>0</x:v>
      </x:c>
      <x:c r="W541" s="118" t="n">
        <x:v>0</x:v>
      </x:c>
      <x:c r="X541" s="118" t="n">
        <x:v>0</x:v>
      </x:c>
      <x:c r="Y541" s="118" t="n">
        <x:v>0</x:v>
      </x:c>
      <x:c r="Z541" s="118" t="n">
        <x:v>0</x:v>
      </x:c>
      <x:c r="AA541" s="118" t="n">
        <x:v>0</x:v>
      </x:c>
      <x:c r="AB541" s="118" t="n">
        <x:v>0</x:v>
      </x:c>
      <x:c r="AC541" s="118" t="n">
        <x:v>0</x:v>
      </x:c>
    </x:row>
    <x:row r="542" ht="46" customHeight="1">
      <x:c r="A542" s="117" t="str">
        <x:v>3005b000000LJFiAAO</x:v>
      </x:c>
      <x:c r="B542" s="117" t="str">
        <x:v>Send_Better_Email_Testflow</x:v>
      </x:c>
      <x:c r="C542" s="117" t="str">
        <x:v>Yes</x:v>
      </x:c>
      <x:c r="D542" s="119" t="str">
        <x:v>Active v1 (Tooling metadata)</x:v>
      </x:c>
      <x:c r="E542" s="119" t="str"/>
      <x:c r="F542" s="119" t="str">
        <x:v>Attachment, Contact, ContentDocumentLink, EmailTemplate, Lead, User</x:v>
      </x:c>
      <x:c r="G542" s="119" t="str">
        <x:v>Id, LinkedEntityId, Name, Username</x:v>
      </x:c>
      <x:c r="H542" s="119" t="str">
        <x:v>SendBetterEmail, SendBetterEmailBulk, SendBetterEmailBulkRequestSetup</x:v>
      </x:c>
      <x:c r="I542" s="119" t="str">
        <x:v>sendBetterEmail_Test_Create_Test_Templates_if_needed</x:v>
      </x:c>
      <x:c r="J542" s="119" t="str">
        <x:v>flowruntime:email, forceContent:fileUpload</x:v>
      </x:c>
      <x:c r="K542" s="118" t="n">
        <x:v>58</x:v>
      </x:c>
      <x:c r="L542" s="118" t="n">
        <x:v>9</x:v>
      </x:c>
      <x:c r="M542" s="118" t="n">
        <x:v>0</x:v>
      </x:c>
      <x:c r="N542" s="118" t="n">
        <x:v>17</x:v>
      </x:c>
      <x:c r="O542" s="118" t="n">
        <x:v>0</x:v>
      </x:c>
      <x:c r="P542" s="118" t="n">
        <x:v>0</x:v>
      </x:c>
      <x:c r="Q542" s="118" t="n">
        <x:v>8</x:v>
      </x:c>
      <x:c r="R542" s="118" t="n">
        <x:v>3</x:v>
      </x:c>
      <x:c r="S542" s="118" t="n">
        <x:v>0</x:v>
      </x:c>
      <x:c r="T542" s="118" t="n">
        <x:v>0</x:v>
      </x:c>
      <x:c r="U542" s="118" t="n">
        <x:v>0</x:v>
      </x:c>
      <x:c r="V542" s="118" t="n">
        <x:v>5</x:v>
      </x:c>
      <x:c r="W542" s="118" t="n">
        <x:v>0</x:v>
      </x:c>
      <x:c r="X542" s="118" t="n">
        <x:v>0</x:v>
      </x:c>
      <x:c r="Y542" s="118" t="n">
        <x:v>11</x:v>
      </x:c>
      <x:c r="Z542" s="118" t="n">
        <x:v>0</x:v>
      </x:c>
      <x:c r="AA542" s="118" t="n">
        <x:v>4</x:v>
      </x:c>
      <x:c r="AB542" s="118" t="n">
        <x:v>0</x:v>
      </x:c>
      <x:c r="AC542" s="118" t="n">
        <x:v>0</x:v>
      </x:c>
    </x:row>
    <x:row r="543" ht="46" customHeight="1">
      <x:c r="A543" s="117" t="str">
        <x:v>300Ro00000nZYx4IAG</x:v>
      </x:c>
      <x:c r="B543" s="117" t="str">
        <x:v>Send_Credit_Memo_PDF_to_Customer</x:v>
      </x:c>
      <x:c r="C543" s="117" t="str">
        <x:v>Yes</x:v>
      </x:c>
      <x:c r="D543" s="119" t="str">
        <x:v>Active v3 (Retrieved XML)</x:v>
      </x:c>
      <x:c r="E543" s="119" t="str">
        <x:v>CreatedDate GreaterThan dateTimeValue=2026-01-01T05:00:00.000Z | Credit_Memo_Email_Sent__c EqualTo booleanValue=false | Don_t_Send_to_Client__c EqualTo booleanValue=false | Stage__c EqualTo stringValue=Approved</x:v>
      </x:c>
      <x:c r="F543" s="119" t="str">
        <x:v>Credit_Memo__c</x:v>
      </x:c>
      <x:c r="G543" s="119" t="str">
        <x:v>CreatedDate, Credit_Memo_Email_Sent__c, Don_t_Send_to_Client__c, Id, Invoice__r, Stage__c</x:v>
      </x:c>
      <x:c r="H543" s="119" t="str">
        <x:v>SaveCreditMemoPdfFileAction, emailSimple</x:v>
      </x:c>
      <x:c r="I543" s="119" t="str"/>
      <x:c r="J543" s="119" t="str"/>
      <x:c r="K543" s="118" t="n">
        <x:v>4</x:v>
      </x:c>
      <x:c r="L543" s="118" t="n">
        <x:v>2</x:v>
      </x:c>
      <x:c r="M543" s="118" t="n">
        <x:v>0</x:v>
      </x:c>
      <x:c r="N543" s="118" t="n">
        <x:v>0</x:v>
      </x:c>
      <x:c r="O543" s="118" t="n">
        <x:v>0</x:v>
      </x:c>
      <x:c r="P543" s="118" t="n">
        <x:v>0</x:v>
      </x:c>
      <x:c r="Q543" s="118" t="n">
        <x:v>0</x:v>
      </x:c>
      <x:c r="R543" s="118" t="n">
        <x:v>0</x:v>
      </x:c>
      <x:c r="S543" s="118" t="n">
        <x:v>0</x:v>
      </x:c>
      <x:c r="T543" s="118" t="n">
        <x:v>0</x:v>
      </x:c>
      <x:c r="U543" s="118" t="n">
        <x:v>0</x:v>
      </x:c>
      <x:c r="V543" s="118" t="n">
        <x:v>0</x:v>
      </x:c>
      <x:c r="W543" s="118" t="n">
        <x:v>0</x:v>
      </x:c>
      <x:c r="X543" s="118" t="n">
        <x:v>1</x:v>
      </x:c>
      <x:c r="Y543" s="118" t="n">
        <x:v>0</x:v>
      </x:c>
      <x:c r="Z543" s="118" t="n">
        <x:v>0</x:v>
      </x:c>
      <x:c r="AA543" s="118" t="n">
        <x:v>0</x:v>
      </x:c>
      <x:c r="AB543" s="118" t="n">
        <x:v>0</x:v>
      </x:c>
      <x:c r="AC543" s="118" t="n">
        <x:v>0</x:v>
      </x:c>
    </x:row>
    <x:row r="544" ht="46" customHeight="1">
      <x:c r="A544" s="117" t="str">
        <x:v>300Ro00000H8rdKIAR</x:v>
      </x:c>
      <x:c r="B544" s="117" t="str">
        <x:v>Send_Email_For_Automated_Bundling_Failures</x:v>
      </x:c>
      <x:c r="C544" s="117" t="str">
        <x:v>No</x:v>
      </x:c>
      <x:c r="D544" s="119" t="str">
        <x:v>Latest inactive v10 (Tooling metadata)</x:v>
      </x:c>
      <x:c r="E544" s="119" t="str"/>
      <x:c r="F544" s="119" t="str">
        <x:v>FSL__Optimization_Request__c</x:v>
      </x:c>
      <x:c r="G544" s="119" t="str">
        <x:v>CreatedDate, FSL__Status__c, FSL__Type__c</x:v>
      </x:c>
      <x:c r="H544" s="119" t="str">
        <x:v>FSL__ReturnAdminUser, emailSimple</x:v>
      </x:c>
      <x:c r="I544" s="119" t="str"/>
      <x:c r="J544" s="119" t="str"/>
      <x:c r="K544" s="118" t="n">
        <x:v>6</x:v>
      </x:c>
      <x:c r="L544" s="118" t="n">
        <x:v>2</x:v>
      </x:c>
      <x:c r="M544" s="118" t="n">
        <x:v>0</x:v>
      </x:c>
      <x:c r="N544" s="118" t="n">
        <x:v>1</x:v>
      </x:c>
      <x:c r="O544" s="118" t="n">
        <x:v>0</x:v>
      </x:c>
      <x:c r="P544" s="118" t="n">
        <x:v>0</x:v>
      </x:c>
      <x:c r="Q544" s="118" t="n">
        <x:v>1</x:v>
      </x:c>
      <x:c r="R544" s="118" t="n">
        <x:v>0</x:v>
      </x:c>
      <x:c r="S544" s="118" t="n">
        <x:v>0</x:v>
      </x:c>
      <x:c r="T544" s="118" t="n">
        <x:v>0</x:v>
      </x:c>
      <x:c r="U544" s="118" t="n">
        <x:v>0</x:v>
      </x:c>
      <x:c r="V544" s="118" t="n">
        <x:v>1</x:v>
      </x:c>
      <x:c r="W544" s="118" t="n">
        <x:v>0</x:v>
      </x:c>
      <x:c r="X544" s="118" t="n">
        <x:v>0</x:v>
      </x:c>
      <x:c r="Y544" s="118" t="n">
        <x:v>0</x:v>
      </x:c>
      <x:c r="Z544" s="118" t="n">
        <x:v>0</x:v>
      </x:c>
      <x:c r="AA544" s="118" t="n">
        <x:v>0</x:v>
      </x:c>
      <x:c r="AB544" s="118" t="n">
        <x:v>0</x:v>
      </x:c>
      <x:c r="AC544" s="118" t="n">
        <x:v>0</x:v>
      </x:c>
    </x:row>
    <x:row r="545" ht="46" customHeight="1">
      <x:c r="A545" s="117" t="str">
        <x:v>3005b000000H3vUAAS</x:v>
      </x:c>
      <x:c r="B545" s="117" t="str">
        <x:v>Send_email_with_attachment_shipment</x:v>
      </x:c>
      <x:c r="C545" s="117" t="str">
        <x:v>Yes</x:v>
      </x:c>
      <x:c r="D545" s="119" t="str">
        <x:v>Active v11 (Retrieved XML)</x:v>
      </x:c>
      <x:c r="E545" s="119" t="str">
        <x:v>zkmulti__EmailMessage__c Contains stringValue=Customer Repair Evaluation Tool</x:v>
      </x:c>
      <x:c r="F545" s="119" t="str">
        <x:v>zkmulti__MCShipment__c</x:v>
      </x:c>
      <x:c r="G545" s="119" t="str">
        <x:v>Id, RMA_Customer_Eval__r, zkmulti__EmailMessage__c, zkmulti__Tracking_Number__c</x:v>
      </x:c>
      <x:c r="H545" s="119" t="str">
        <x:v>invocableEmailAttachment, invocableEmailAttachmentUK</x:v>
      </x:c>
      <x:c r="I545" s="119" t="str"/>
      <x:c r="J545" s="119" t="str"/>
      <x:c r="K545" s="118" t="n">
        <x:v>4</x:v>
      </x:c>
      <x:c r="L545" s="118" t="n">
        <x:v>2</x:v>
      </x:c>
      <x:c r="M545" s="118" t="n">
        <x:v>0</x:v>
      </x:c>
      <x:c r="N545" s="118" t="n">
        <x:v>0</x:v>
      </x:c>
      <x:c r="O545" s="118" t="n">
        <x:v>0</x:v>
      </x:c>
      <x:c r="P545" s="118" t="n">
        <x:v>0</x:v>
      </x:c>
      <x:c r="Q545" s="118" t="n">
        <x:v>1</x:v>
      </x:c>
      <x:c r="R545" s="118" t="n">
        <x:v>0</x:v>
      </x:c>
      <x:c r="S545" s="118" t="n">
        <x:v>0</x:v>
      </x:c>
      <x:c r="T545" s="118" t="n">
        <x:v>0</x:v>
      </x:c>
      <x:c r="U545" s="118" t="n">
        <x:v>0</x:v>
      </x:c>
      <x:c r="V545" s="118" t="n">
        <x:v>0</x:v>
      </x:c>
      <x:c r="W545" s="118" t="n">
        <x:v>0</x:v>
      </x:c>
      <x:c r="X545" s="118" t="n">
        <x:v>0</x:v>
      </x:c>
      <x:c r="Y545" s="118" t="n">
        <x:v>0</x:v>
      </x:c>
      <x:c r="Z545" s="118" t="n">
        <x:v>0</x:v>
      </x:c>
      <x:c r="AA545" s="118" t="n">
        <x:v>0</x:v>
      </x:c>
      <x:c r="AB545" s="118" t="n">
        <x:v>0</x:v>
      </x:c>
      <x:c r="AC545" s="118" t="n">
        <x:v>0</x:v>
      </x:c>
    </x:row>
    <x:row r="546" ht="46" customHeight="1">
      <x:c r="A546" s="117" t="str">
        <x:v>3005b000000H3XNAA0</x:v>
      </x:c>
      <x:c r="B546" s="117" t="str">
        <x:v>Send_Email_Work_Order_PDF</x:v>
      </x:c>
      <x:c r="C546" s="117" t="str">
        <x:v>Yes</x:v>
      </x:c>
      <x:c r="D546" s="119" t="str">
        <x:v>Active v6 (Retrieved XML)</x:v>
      </x:c>
      <x:c r="E546" s="119" t="str">
        <x:v>Send_Email_with_Form__c EqualTo booleanValue=true</x:v>
      </x:c>
      <x:c r="F546" s="119" t="str">
        <x:v>WorkOrder</x:v>
      </x:c>
      <x:c r="G546" s="119" t="str">
        <x:v>Send_Email_with_Form__c</x:v>
      </x:c>
      <x:c r="H546" s="119" t="str">
        <x:v>EmailWorkOrderPDF</x:v>
      </x:c>
      <x:c r="I546" s="119" t="str"/>
      <x:c r="J546" s="119" t="str"/>
      <x:c r="K546" s="118" t="n">
        <x:v>3</x:v>
      </x:c>
      <x:c r="L546" s="118" t="n">
        <x:v>1</x:v>
      </x:c>
      <x:c r="M546" s="118" t="n">
        <x:v>0</x:v>
      </x:c>
      <x:c r="N546" s="118" t="n">
        <x:v>0</x:v>
      </x:c>
      <x:c r="O546" s="118" t="n">
        <x:v>0</x:v>
      </x:c>
      <x:c r="P546" s="118" t="n">
        <x:v>0</x:v>
      </x:c>
      <x:c r="Q546" s="118" t="n">
        <x:v>0</x:v>
      </x:c>
      <x:c r="R546" s="118" t="n">
        <x:v>0</x:v>
      </x:c>
      <x:c r="S546" s="118" t="n">
        <x:v>0</x:v>
      </x:c>
      <x:c r="T546" s="118" t="n">
        <x:v>0</x:v>
      </x:c>
      <x:c r="U546" s="118" t="n">
        <x:v>0</x:v>
      </x:c>
      <x:c r="V546" s="118" t="n">
        <x:v>0</x:v>
      </x:c>
      <x:c r="W546" s="118" t="n">
        <x:v>0</x:v>
      </x:c>
      <x:c r="X546" s="118" t="n">
        <x:v>1</x:v>
      </x:c>
      <x:c r="Y546" s="118" t="n">
        <x:v>0</x:v>
      </x:c>
      <x:c r="Z546" s="118" t="n">
        <x:v>0</x:v>
      </x:c>
      <x:c r="AA546" s="118" t="n">
        <x:v>0</x:v>
      </x:c>
      <x:c r="AB546" s="118" t="n">
        <x:v>0</x:v>
      </x:c>
      <x:c r="AC546" s="118" t="n">
        <x:v>0</x:v>
      </x:c>
    </x:row>
    <x:row r="547" ht="46" customHeight="1">
      <x:c r="A547" s="117" t="str">
        <x:v>3004O000000Xh6dQAC</x:v>
      </x:c>
      <x:c r="B547" s="117" t="str">
        <x:v>Send_Invoice_PDF_Email</x:v>
      </x:c>
      <x:c r="C547" s="117" t="str">
        <x:v>Yes</x:v>
      </x:c>
      <x:c r="D547" s="119" t="str">
        <x:v>Active v9 (Retrieved XML)</x:v>
      </x:c>
      <x:c r="E547" s="119" t="str"/>
      <x:c r="F547" s="119" t="str">
        <x:v>Invoice__c</x:v>
      </x:c>
      <x:c r="G547" s="119" t="str">
        <x:v>Id, Send_Invoice_Email_to_Customer__c, Send_Invoice_To__c</x:v>
      </x:c>
      <x:c r="H547" s="119" t="str">
        <x:v>SendInvoicePDF</x:v>
      </x:c>
      <x:c r="I547" s="119" t="str"/>
      <x:c r="J547" s="119" t="str">
        <x:v>flowruntime:toggle</x:v>
      </x:c>
      <x:c r="K547" s="118" t="n">
        <x:v>17</x:v>
      </x:c>
      <x:c r="L547" s="118" t="n">
        <x:v>1</x:v>
      </x:c>
      <x:c r="M547" s="118" t="n">
        <x:v>0</x:v>
      </x:c>
      <x:c r="N547" s="118" t="n">
        <x:v>3</x:v>
      </x:c>
      <x:c r="O547" s="118" t="n">
        <x:v>0</x:v>
      </x:c>
      <x:c r="P547" s="118" t="n">
        <x:v>0</x:v>
      </x:c>
      <x:c r="Q547" s="118" t="n">
        <x:v>5</x:v>
      </x:c>
      <x:c r="R547" s="118" t="n">
        <x:v>0</x:v>
      </x:c>
      <x:c r="S547" s="118" t="n">
        <x:v>0</x:v>
      </x:c>
      <x:c r="T547" s="118" t="n">
        <x:v>0</x:v>
      </x:c>
      <x:c r="U547" s="118" t="n">
        <x:v>0</x:v>
      </x:c>
      <x:c r="V547" s="118" t="n">
        <x:v>1</x:v>
      </x:c>
      <x:c r="W547" s="118" t="n">
        <x:v>0</x:v>
      </x:c>
      <x:c r="X547" s="118" t="n">
        <x:v>1</x:v>
      </x:c>
      <x:c r="Y547" s="118" t="n">
        <x:v>5</x:v>
      </x:c>
      <x:c r="Z547" s="118" t="n">
        <x:v>0</x:v>
      </x:c>
      <x:c r="AA547" s="118" t="n">
        <x:v>0</x:v>
      </x:c>
      <x:c r="AB547" s="118" t="n">
        <x:v>0</x:v>
      </x:c>
      <x:c r="AC547" s="118" t="n">
        <x:v>0</x:v>
      </x:c>
    </x:row>
    <x:row r="548" ht="46" customHeight="1">
      <x:c r="A548" s="117" t="str">
        <x:v>3005b000000H3J6AAK</x:v>
      </x:c>
      <x:c r="B548" s="117" t="str">
        <x:v>Send_Invoice_to_Lockstep_Flow</x:v>
      </x:c>
      <x:c r="C548" s="117" t="str">
        <x:v>Yes</x:v>
      </x:c>
      <x:c r="D548" s="119" t="str">
        <x:v>Active v1 (Retrieved XML)</x:v>
      </x:c>
      <x:c r="E548" s="119" t="str"/>
      <x:c r="F548" s="119" t="str"/>
      <x:c r="G548" s="119" t="str"/>
      <x:c r="H548" s="119" t="str">
        <x:v>SendInvoiceToLockstep</x:v>
      </x:c>
      <x:c r="I548" s="119" t="str"/>
      <x:c r="J548" s="119" t="str"/>
      <x:c r="K548" s="118" t="n">
        <x:v>2</x:v>
      </x:c>
      <x:c r="L548" s="118" t="n">
        <x:v>1</x:v>
      </x:c>
      <x:c r="M548" s="118" t="n">
        <x:v>0</x:v>
      </x:c>
      <x:c r="N548" s="118" t="n">
        <x:v>0</x:v>
      </x:c>
      <x:c r="O548" s="118" t="n">
        <x:v>0</x:v>
      </x:c>
      <x:c r="P548" s="118" t="n">
        <x:v>0</x:v>
      </x:c>
      <x:c r="Q548" s="118" t="n">
        <x:v>0</x:v>
      </x:c>
      <x:c r="R548" s="118" t="n">
        <x:v>0</x:v>
      </x:c>
      <x:c r="S548" s="118" t="n">
        <x:v>0</x:v>
      </x:c>
      <x:c r="T548" s="118" t="n">
        <x:v>0</x:v>
      </x:c>
      <x:c r="U548" s="118" t="n">
        <x:v>0</x:v>
      </x:c>
      <x:c r="V548" s="118" t="n">
        <x:v>0</x:v>
      </x:c>
      <x:c r="W548" s="118" t="n">
        <x:v>0</x:v>
      </x:c>
      <x:c r="X548" s="118" t="n">
        <x:v>0</x:v>
      </x:c>
      <x:c r="Y548" s="118" t="n">
        <x:v>0</x:v>
      </x:c>
      <x:c r="Z548" s="118" t="n">
        <x:v>0</x:v>
      </x:c>
      <x:c r="AA548" s="118" t="n">
        <x:v>0</x:v>
      </x:c>
      <x:c r="AB548" s="118" t="n">
        <x:v>0</x:v>
      </x:c>
      <x:c r="AC548" s="118" t="n">
        <x:v>0</x:v>
      </x:c>
    </x:row>
    <x:row r="549" ht="46" customHeight="1">
      <x:c r="A549" s="117" t="str">
        <x:v>300Ro00000UU24nIAD</x:v>
      </x:c>
      <x:c r="B549" s="117" t="str">
        <x:v>Send_Post_Repair_Evaluation_Email</x:v>
      </x:c>
      <x:c r="C549" s="117" t="str">
        <x:v>Yes</x:v>
      </x:c>
      <x:c r="D549" s="119" t="str">
        <x:v>Active v1 (Retrieved XML)</x:v>
      </x:c>
      <x:c r="E549" s="119" t="str">
        <x:v>Post_Repair_Evaluation__c EqualTo booleanValue=true</x:v>
      </x:c>
      <x:c r="F549" s="119" t="str">
        <x:v>Evaluation_Natalie__c, Opportunity, OpportunityContactRole, RMA__c</x:v>
      </x:c>
      <x:c r="G549" s="119" t="str">
        <x:v>Associated_RMA__r, Id, OpportunityId, Post_Repair_Evaluation__c</x:v>
      </x:c>
      <x:c r="H549" s="119" t="str">
        <x:v>EmailPostRepairEvalPDF</x:v>
      </x:c>
      <x:c r="I549" s="119" t="str"/>
      <x:c r="J549" s="119" t="str"/>
      <x:c r="K549" s="118" t="n">
        <x:v>6</x:v>
      </x:c>
      <x:c r="L549" s="118" t="n">
        <x:v>1</x:v>
      </x:c>
      <x:c r="M549" s="118" t="n">
        <x:v>0</x:v>
      </x:c>
      <x:c r="N549" s="118" t="n">
        <x:v>0</x:v>
      </x:c>
      <x:c r="O549" s="118" t="n">
        <x:v>0</x:v>
      </x:c>
      <x:c r="P549" s="118" t="n">
        <x:v>0</x:v>
      </x:c>
      <x:c r="Q549" s="118" t="n">
        <x:v>1</x:v>
      </x:c>
      <x:c r="R549" s="118" t="n">
        <x:v>0</x:v>
      </x:c>
      <x:c r="S549" s="118" t="n">
        <x:v>0</x:v>
      </x:c>
      <x:c r="T549" s="118" t="n">
        <x:v>0</x:v>
      </x:c>
      <x:c r="U549" s="118" t="n">
        <x:v>0</x:v>
      </x:c>
      <x:c r="V549" s="118" t="n">
        <x:v>3</x:v>
      </x:c>
      <x:c r="W549" s="118" t="n">
        <x:v>0</x:v>
      </x:c>
      <x:c r="X549" s="118" t="n">
        <x:v>0</x:v>
      </x:c>
      <x:c r="Y549" s="118" t="n">
        <x:v>0</x:v>
      </x:c>
      <x:c r="Z549" s="118" t="n">
        <x:v>0</x:v>
      </x:c>
      <x:c r="AA549" s="118" t="n">
        <x:v>0</x:v>
      </x:c>
      <x:c r="AB549" s="118" t="n">
        <x:v>0</x:v>
      </x:c>
      <x:c r="AC549" s="118" t="n">
        <x:v>0</x:v>
      </x:c>
    </x:row>
    <x:row r="550" ht="46" customHeight="1">
      <x:c r="A550" s="117" t="str">
        <x:v>300Ro00000kKs8OIAS</x:v>
      </x:c>
      <x:c r="B550" s="117" t="str">
        <x:v>Send_Sobject_Error_Email</x:v>
      </x:c>
      <x:c r="C550" s="117" t="str">
        <x:v>No</x:v>
      </x:c>
      <x:c r="D550" s="119" t="str">
        <x:v>Latest inactive v8 (Tooling metadata)</x:v>
      </x:c>
      <x:c r="E550" s="119" t="str"/>
      <x:c r="F550" s="119" t="str"/>
      <x:c r="G550" s="119" t="str"/>
      <x:c r="H550" s="119" t="str"/>
      <x:c r="I550" s="119" t="str"/>
      <x:c r="J550" s="119" t="str"/>
      <x:c r="K550" s="118" t="n">
        <x:v>0</x:v>
      </x:c>
      <x:c r="L550" s="118" t="n">
        <x:v>0</x:v>
      </x:c>
      <x:c r="M550" s="118" t="n">
        <x:v>0</x:v>
      </x:c>
      <x:c r="N550" s="118" t="n">
        <x:v>0</x:v>
      </x:c>
      <x:c r="O550" s="118" t="n">
        <x:v>0</x:v>
      </x:c>
      <x:c r="P550" s="118" t="n">
        <x:v>0</x:v>
      </x:c>
      <x:c r="Q550" s="118" t="n">
        <x:v>0</x:v>
      </x:c>
      <x:c r="R550" s="118" t="n">
        <x:v>0</x:v>
      </x:c>
      <x:c r="S550" s="118" t="n">
        <x:v>0</x:v>
      </x:c>
      <x:c r="T550" s="118" t="n">
        <x:v>0</x:v>
      </x:c>
      <x:c r="U550" s="118" t="n">
        <x:v>0</x:v>
      </x:c>
      <x:c r="V550" s="118" t="n">
        <x:v>0</x:v>
      </x:c>
      <x:c r="W550" s="118" t="n">
        <x:v>0</x:v>
      </x:c>
      <x:c r="X550" s="118" t="n">
        <x:v>0</x:v>
      </x:c>
      <x:c r="Y550" s="118" t="n">
        <x:v>0</x:v>
      </x:c>
      <x:c r="Z550" s="118" t="n">
        <x:v>0</x:v>
      </x:c>
      <x:c r="AA550" s="118" t="n">
        <x:v>0</x:v>
      </x:c>
      <x:c r="AB550" s="118" t="n">
        <x:v>0</x:v>
      </x:c>
      <x:c r="AC550" s="118" t="n">
        <x:v>0</x:v>
      </x:c>
    </x:row>
    <x:row r="551" ht="46" customHeight="1">
      <x:c r="A551" s="117" t="str">
        <x:v>3005b000000H3qjAAC</x:v>
      </x:c>
      <x:c r="B551" s="117" t="str">
        <x:v>Send_Sourcing_Request_Mass_Email_UK</x:v>
      </x:c>
      <x:c r="C551" s="117" t="str">
        <x:v>Yes</x:v>
      </x:c>
      <x:c r="D551" s="119" t="str">
        <x:v>Active v1 (Retrieved XML)</x:v>
      </x:c>
      <x:c r="E551" s="119" t="str"/>
      <x:c r="F551" s="119" t="str">
        <x:v>Contact, EmailTemplate, ListView, Sourcing_Request_Item__c</x:v>
      </x:c>
      <x:c r="G551" s="119" t="str">
        <x:v>Distribution_List__c, Id, Name</x:v>
      </x:c>
      <x:c r="H551" s="119" t="str">
        <x:v>emailSimple</x:v>
      </x:c>
      <x:c r="I551" s="119" t="str"/>
      <x:c r="J551" s="119" t="str"/>
      <x:c r="K551" s="118" t="n">
        <x:v>8</x:v>
      </x:c>
      <x:c r="L551" s="118" t="n">
        <x:v>1</x:v>
      </x:c>
      <x:c r="M551" s="118" t="n">
        <x:v>0</x:v>
      </x:c>
      <x:c r="N551" s="118" t="n">
        <x:v>1</x:v>
      </x:c>
      <x:c r="O551" s="118" t="n">
        <x:v>0</x:v>
      </x:c>
      <x:c r="P551" s="118" t="n">
        <x:v>0</x:v>
      </x:c>
      <x:c r="Q551" s="118" t="n">
        <x:v>0</x:v>
      </x:c>
      <x:c r="R551" s="118" t="n">
        <x:v>1</x:v>
      </x:c>
      <x:c r="S551" s="118" t="n">
        <x:v>0</x:v>
      </x:c>
      <x:c r="T551" s="118" t="n">
        <x:v>0</x:v>
      </x:c>
      <x:c r="U551" s="118" t="n">
        <x:v>0</x:v>
      </x:c>
      <x:c r="V551" s="118" t="n">
        <x:v>2</x:v>
      </x:c>
      <x:c r="W551" s="118" t="n">
        <x:v>0</x:v>
      </x:c>
      <x:c r="X551" s="118" t="n">
        <x:v>0</x:v>
      </x:c>
      <x:c r="Y551" s="118" t="n">
        <x:v>2</x:v>
      </x:c>
      <x:c r="Z551" s="118" t="n">
        <x:v>0</x:v>
      </x:c>
      <x:c r="AA551" s="118" t="n">
        <x:v>0</x:v>
      </x:c>
      <x:c r="AB551" s="118" t="n">
        <x:v>0</x:v>
      </x:c>
      <x:c r="AC551" s="118" t="n">
        <x:v>0</x:v>
      </x:c>
    </x:row>
    <x:row r="552" ht="46" customHeight="1">
      <x:c r="A552" s="117" t="str">
        <x:v>3005b000000LJFhAAO</x:v>
      </x:c>
      <x:c r="B552" s="117" t="str">
        <x:v>sendBetterEmail_Test_Create_Test_Templates_if_needed</x:v>
      </x:c>
      <x:c r="C552" s="117" t="str">
        <x:v>No</x:v>
      </x:c>
      <x:c r="D552" s="119" t="str">
        <x:v>Latest inactive v1 (Tooling metadata)</x:v>
      </x:c>
      <x:c r="E552" s="119" t="str"/>
      <x:c r="F552" s="119" t="str">
        <x:v>EmailTemplate</x:v>
      </x:c>
      <x:c r="G552" s="119" t="str">
        <x:v>Name</x:v>
      </x:c>
      <x:c r="H552" s="119" t="str"/>
      <x:c r="I552" s="119" t="str"/>
      <x:c r="J552" s="119" t="str"/>
      <x:c r="K552" s="118" t="n">
        <x:v>14</x:v>
      </x:c>
      <x:c r="L552" s="118" t="n">
        <x:v>0</x:v>
      </x:c>
      <x:c r="M552" s="118" t="n">
        <x:v>0</x:v>
      </x:c>
      <x:c r="N552" s="118" t="n">
        <x:v>6</x:v>
      </x:c>
      <x:c r="O552" s="118" t="n">
        <x:v>0</x:v>
      </x:c>
      <x:c r="P552" s="118" t="n">
        <x:v>0</x:v>
      </x:c>
      <x:c r="Q552" s="118" t="n">
        <x:v>1</x:v>
      </x:c>
      <x:c r="R552" s="118" t="n">
        <x:v>1</x:v>
      </x:c>
      <x:c r="S552" s="118" t="n">
        <x:v>0</x:v>
      </x:c>
      <x:c r="T552" s="118" t="n">
        <x:v>2</x:v>
      </x:c>
      <x:c r="U552" s="118" t="n">
        <x:v>0</x:v>
      </x:c>
      <x:c r="V552" s="118" t="n">
        <x:v>1</x:v>
      </x:c>
      <x:c r="W552" s="118" t="n">
        <x:v>0</x:v>
      </x:c>
      <x:c r="X552" s="118" t="n">
        <x:v>0</x:v>
      </x:c>
      <x:c r="Y552" s="118" t="n">
        <x:v>2</x:v>
      </x:c>
      <x:c r="Z552" s="118" t="n">
        <x:v>0</x:v>
      </x:c>
      <x:c r="AA552" s="118" t="n">
        <x:v>0</x:v>
      </x:c>
      <x:c r="AB552" s="118" t="n">
        <x:v>0</x:v>
      </x:c>
      <x:c r="AC552" s="118" t="n">
        <x:v>0</x:v>
      </x:c>
    </x:row>
    <x:row r="553" ht="46" customHeight="1">
      <x:c r="A553" s="117" t="str">
        <x:v>3004O000000LOxPQAW</x:v>
      </x:c>
      <x:c r="B553" s="117" t="str">
        <x:v>Service_Alert_60_Days_til_Exp_Alert</x:v>
      </x:c>
      <x:c r="C553" s="117" t="str">
        <x:v>Yes</x:v>
      </x:c>
      <x:c r="D553" s="119" t="str">
        <x:v>Active v1 (Retrieved XML)</x:v>
      </x:c>
      <x:c r="E553" s="119" t="str">
        <x:v>EndDate IsNull booleanValue=false</x:v>
      </x:c>
      <x:c r="F553" s="119" t="str">
        <x:v>ServiceContract</x:v>
      </x:c>
      <x:c r="G553" s="119" t="str">
        <x:v>EndDate, Id</x:v>
      </x:c>
      <x:c r="H553" s="119" t="str">
        <x:v>ServiceContract.Service_Contract_is_60_Days_from_Expiring</x:v>
      </x:c>
      <x:c r="I553" s="119" t="str"/>
      <x:c r="J553" s="119" t="str"/>
      <x:c r="K553" s="118" t="n">
        <x:v>3</x:v>
      </x:c>
      <x:c r="L553" s="118" t="n">
        <x:v>1</x:v>
      </x:c>
      <x:c r="M553" s="118" t="n">
        <x:v>0</x:v>
      </x:c>
      <x:c r="N553" s="118" t="n">
        <x:v>0</x:v>
      </x:c>
      <x:c r="O553" s="118" t="n">
        <x:v>0</x:v>
      </x:c>
      <x:c r="P553" s="118" t="n">
        <x:v>0</x:v>
      </x:c>
      <x:c r="Q553" s="118" t="n">
        <x:v>1</x:v>
      </x:c>
      <x:c r="R553" s="118" t="n">
        <x:v>0</x:v>
      </x:c>
      <x:c r="S553" s="118" t="n">
        <x:v>0</x:v>
      </x:c>
      <x:c r="T553" s="118" t="n">
        <x:v>0</x:v>
      </x:c>
      <x:c r="U553" s="118" t="n">
        <x:v>0</x:v>
      </x:c>
      <x:c r="V553" s="118" t="n">
        <x:v>0</x:v>
      </x:c>
      <x:c r="W553" s="118" t="n">
        <x:v>0</x:v>
      </x:c>
      <x:c r="X553" s="118" t="n">
        <x:v>0</x:v>
      </x:c>
      <x:c r="Y553" s="118" t="n">
        <x:v>0</x:v>
      </x:c>
      <x:c r="Z553" s="118" t="n">
        <x:v>0</x:v>
      </x:c>
      <x:c r="AA553" s="118" t="n">
        <x:v>0</x:v>
      </x:c>
      <x:c r="AB553" s="118" t="n">
        <x:v>0</x:v>
      </x:c>
      <x:c r="AC553" s="118" t="n">
        <x:v>0</x:v>
      </x:c>
    </x:row>
    <x:row r="554" ht="46" customHeight="1">
      <x:c r="A554" s="117" t="str">
        <x:v>300Ro00000kCmCvIAK</x:v>
      </x:c>
      <x:c r="B554" s="117" t="str">
        <x:v>Service_Appointment_Automations</x:v>
      </x:c>
      <x:c r="C554" s="117" t="str">
        <x:v>Yes</x:v>
      </x:c>
      <x:c r="D554" s="119" t="str">
        <x:v>Active v5 (Retrieved XML)</x:v>
      </x:c>
      <x:c r="E554" s="119" t="str"/>
      <x:c r="F554" s="119" t="str">
        <x:v>ServiceAppointment, WorkOrder</x:v>
      </x:c>
      <x:c r="G554" s="119" t="str">
        <x:v>Id, ParentRecordId, SchedStartTime, Scheduled_Service_Date__c, Status, WorkType</x:v>
      </x:c>
      <x:c r="H554" s="119" t="str"/>
      <x:c r="I554" s="119" t="str"/>
      <x:c r="J554" s="119" t="str"/>
      <x:c r="K554" s="118" t="n">
        <x:v>3</x:v>
      </x:c>
      <x:c r="L554" s="118" t="n">
        <x:v>0</x:v>
      </x:c>
      <x:c r="M554" s="118" t="n">
        <x:v>0</x:v>
      </x:c>
      <x:c r="N554" s="118" t="n">
        <x:v>0</x:v>
      </x:c>
      <x:c r="O554" s="118" t="n">
        <x:v>0</x:v>
      </x:c>
      <x:c r="P554" s="118" t="n">
        <x:v>0</x:v>
      </x:c>
      <x:c r="Q554" s="118" t="n">
        <x:v>1</x:v>
      </x:c>
      <x:c r="R554" s="118" t="n">
        <x:v>0</x:v>
      </x:c>
      <x:c r="S554" s="118" t="n">
        <x:v>0</x:v>
      </x:c>
      <x:c r="T554" s="118" t="n">
        <x:v>0</x:v>
      </x:c>
      <x:c r="U554" s="118" t="n">
        <x:v>0</x:v>
      </x:c>
      <x:c r="V554" s="118" t="n">
        <x:v>0</x:v>
      </x:c>
      <x:c r="W554" s="118" t="n">
        <x:v>0</x:v>
      </x:c>
      <x:c r="X554" s="118" t="n">
        <x:v>1</x:v>
      </x:c>
      <x:c r="Y554" s="118" t="n">
        <x:v>0</x:v>
      </x:c>
      <x:c r="Z554" s="118" t="n">
        <x:v>0</x:v>
      </x:c>
      <x:c r="AA554" s="118" t="n">
        <x:v>0</x:v>
      </x:c>
      <x:c r="AB554" s="118" t="n">
        <x:v>0</x:v>
      </x:c>
      <x:c r="AC554" s="118" t="n">
        <x:v>0</x:v>
      </x:c>
    </x:row>
    <x:row r="555" ht="46" customHeight="1">
      <x:c r="A555" s="117" t="str">
        <x:v>300Ro00000v3vsAIAQ</x:v>
      </x:c>
      <x:c r="B555" s="117" t="str">
        <x:v>Service_Appointment_Calculate_Tech_Support_Response_Time_Business_Minutes</x:v>
      </x:c>
      <x:c r="C555" s="117" t="str">
        <x:v>Yes</x:v>
      </x:c>
      <x:c r="D555" s="119" t="str">
        <x:v>Active v1 (Retrieved XML)</x:v>
      </x:c>
      <x:c r="E555" s="119" t="str">
        <x:v>ActualStartTime IsNull booleanValue=false | ActualStartTime IsChanged booleanValue=true | Appointment_Type__c EqualTo stringValue=Tech Support Call</x:v>
      </x:c>
      <x:c r="F555" s="119" t="str">
        <x:v>ServiceAppointment</x:v>
      </x:c>
      <x:c r="G555" s="119" t="str">
        <x:v>ActualStartTime, Appointment_Type__c, CreatedDate, Tech_Support_Response_Time__c</x:v>
      </x:c>
      <x:c r="H555" s="119" t="str">
        <x:v>BusinessHoursDiffService</x:v>
      </x:c>
      <x:c r="I555" s="119" t="str"/>
      <x:c r="J555" s="119" t="str"/>
      <x:c r="K555" s="118" t="n">
        <x:v>4</x:v>
      </x:c>
      <x:c r="L555" s="118" t="n">
        <x:v>1</x:v>
      </x:c>
      <x:c r="M555" s="118" t="n">
        <x:v>0</x:v>
      </x:c>
      <x:c r="N555" s="118" t="n">
        <x:v>1</x:v>
      </x:c>
      <x:c r="O555" s="118" t="n">
        <x:v>0</x:v>
      </x:c>
      <x:c r="P555" s="118" t="n">
        <x:v>0</x:v>
      </x:c>
      <x:c r="Q555" s="118" t="n">
        <x:v>0</x:v>
      </x:c>
      <x:c r="R555" s="118" t="n">
        <x:v>0</x:v>
      </x:c>
      <x:c r="S555" s="118" t="n">
        <x:v>0</x:v>
      </x:c>
      <x:c r="T555" s="118" t="n">
        <x:v>0</x:v>
      </x:c>
      <x:c r="U555" s="118" t="n">
        <x:v>0</x:v>
      </x:c>
      <x:c r="V555" s="118" t="n">
        <x:v>0</x:v>
      </x:c>
      <x:c r="W555" s="118" t="n">
        <x:v>0</x:v>
      </x:c>
      <x:c r="X555" s="118" t="n">
        <x:v>1</x:v>
      </x:c>
      <x:c r="Y555" s="118" t="n">
        <x:v>0</x:v>
      </x:c>
      <x:c r="Z555" s="118" t="n">
        <x:v>0</x:v>
      </x:c>
      <x:c r="AA555" s="118" t="n">
        <x:v>0</x:v>
      </x:c>
      <x:c r="AB555" s="118" t="n">
        <x:v>0</x:v>
      </x:c>
      <x:c r="AC555" s="118" t="n">
        <x:v>0</x:v>
      </x:c>
    </x:row>
    <x:row r="556" ht="46" customHeight="1">
      <x:c r="A556" s="117" t="str">
        <x:v>300Ro000014GODFIA4</x:v>
      </x:c>
      <x:c r="B556" s="117" t="str">
        <x:v>Service_Appointment_Creation_and_Update_Set_Contract_Line_Item</x:v>
      </x:c>
      <x:c r="C556" s="117" t="str">
        <x:v>Yes</x:v>
      </x:c>
      <x:c r="D556" s="119" t="str">
        <x:v>Active v3 (Retrieved XML)</x:v>
      </x:c>
      <x:c r="E556" s="119" t="str">
        <x:v>RecordTypeId EqualTo stringValue=012Ro000004RBQ6IAO | Contract_Line_Item__c EqualTo</x:v>
      </x:c>
      <x:c r="F556" s="119" t="str">
        <x:v>ContractLineItem, ServiceAppointment, WorkOrder</x:v>
      </x:c>
      <x:c r="G556" s="119" t="str">
        <x:v>Contract_Line_Item__c, Id, ParentRecordId, RecordTypeId</x:v>
      </x:c>
      <x:c r="H556" s="119" t="str"/>
      <x:c r="I556" s="119" t="str"/>
      <x:c r="J556" s="119" t="str"/>
      <x:c r="K556" s="118" t="n">
        <x:v>4</x:v>
      </x:c>
      <x:c r="L556" s="118" t="n">
        <x:v>0</x:v>
      </x:c>
      <x:c r="M556" s="118" t="n">
        <x:v>0</x:v>
      </x:c>
      <x:c r="N556" s="118" t="n">
        <x:v>0</x:v>
      </x:c>
      <x:c r="O556" s="118" t="n">
        <x:v>0</x:v>
      </x:c>
      <x:c r="P556" s="118" t="n">
        <x:v>0</x:v>
      </x:c>
      <x:c r="Q556" s="118" t="n">
        <x:v>0</x:v>
      </x:c>
      <x:c r="R556" s="118" t="n">
        <x:v>0</x:v>
      </x:c>
      <x:c r="S556" s="118" t="n">
        <x:v>0</x:v>
      </x:c>
      <x:c r="T556" s="118" t="n">
        <x:v>0</x:v>
      </x:c>
      <x:c r="U556" s="118" t="n">
        <x:v>0</x:v>
      </x:c>
      <x:c r="V556" s="118" t="n">
        <x:v>2</x:v>
      </x:c>
      <x:c r="W556" s="118" t="n">
        <x:v>0</x:v>
      </x:c>
      <x:c r="X556" s="118" t="n">
        <x:v>1</x:v>
      </x:c>
      <x:c r="Y556" s="118" t="n">
        <x:v>0</x:v>
      </x:c>
      <x:c r="Z556" s="118" t="n">
        <x:v>0</x:v>
      </x:c>
      <x:c r="AA556" s="118" t="n">
        <x:v>0</x:v>
      </x:c>
      <x:c r="AB556" s="118" t="n">
        <x:v>0</x:v>
      </x:c>
      <x:c r="AC556" s="118" t="n">
        <x:v>0</x:v>
      </x:c>
    </x:row>
    <x:row r="557" ht="46" customHeight="1">
      <x:c r="A557" s="117" t="str">
        <x:v>300Ro00000unJZAIA2</x:v>
      </x:c>
      <x:c r="B557" s="117" t="str">
        <x:v>Service_Appointment_Creation_or_Update_Work_Order_Service_Appointments_Counts</x:v>
      </x:c>
      <x:c r="C557" s="117" t="str">
        <x:v>Yes</x:v>
      </x:c>
      <x:c r="D557" s="119" t="str">
        <x:v>Active v1 (Retrieved XML)</x:v>
      </x:c>
      <x:c r="E557" s="119" t="str"/>
      <x:c r="F557" s="119" t="str">
        <x:v>ServiceAppointment, WorkOrder</x:v>
      </x:c>
      <x:c r="G557" s="119" t="str">
        <x:v>Appointment_Type__c, Id, Number_of_Site_Visits__c, Number_of_Tech_Support_Calls__c, ParentRecordId, Recalculate_Service_Appointment_Numbers__c</x:v>
      </x:c>
      <x:c r="H557" s="119" t="str"/>
      <x:c r="I557" s="119" t="str"/>
      <x:c r="J557" s="119" t="str"/>
      <x:c r="K557" s="118" t="n">
        <x:v>14</x:v>
      </x:c>
      <x:c r="L557" s="118" t="n">
        <x:v>0</x:v>
      </x:c>
      <x:c r="M557" s="118" t="n">
        <x:v>0</x:v>
      </x:c>
      <x:c r="N557" s="118" t="n">
        <x:v>2</x:v>
      </x:c>
      <x:c r="O557" s="118" t="n">
        <x:v>4</x:v>
      </x:c>
      <x:c r="P557" s="118" t="n">
        <x:v>0</x:v>
      </x:c>
      <x:c r="Q557" s="118" t="n">
        <x:v>1</x:v>
      </x:c>
      <x:c r="R557" s="118" t="n">
        <x:v>0</x:v>
      </x:c>
      <x:c r="S557" s="118" t="n">
        <x:v>0</x:v>
      </x:c>
      <x:c r="T557" s="118" t="n">
        <x:v>0</x:v>
      </x:c>
      <x:c r="U557" s="118" t="n">
        <x:v>0</x:v>
      </x:c>
      <x:c r="V557" s="118" t="n">
        <x:v>3</x:v>
      </x:c>
      <x:c r="W557" s="118" t="n">
        <x:v>0</x:v>
      </x:c>
      <x:c r="X557" s="118" t="n">
        <x:v>3</x:v>
      </x:c>
      <x:c r="Y557" s="118" t="n">
        <x:v>0</x:v>
      </x:c>
      <x:c r="Z557" s="118" t="n">
        <x:v>0</x:v>
      </x:c>
      <x:c r="AA557" s="118" t="n">
        <x:v>0</x:v>
      </x:c>
      <x:c r="AB557" s="118" t="n">
        <x:v>0</x:v>
      </x:c>
      <x:c r="AC557" s="118" t="n">
        <x:v>0</x:v>
      </x:c>
    </x:row>
    <x:row r="558" ht="46" customHeight="1">
      <x:c r="A558" s="117" t="str">
        <x:v>300Ro00000UfjBKIAZ</x:v>
      </x:c>
      <x:c r="B558" s="117" t="str">
        <x:v>Service_Appointment_Delete_Unneeded_Time_Blocks</x:v>
      </x:c>
      <x:c r="C558" s="117" t="str">
        <x:v>Yes</x:v>
      </x:c>
      <x:c r="D558" s="119" t="str">
        <x:v>Active v1 (Retrieved XML)</x:v>
      </x:c>
      <x:c r="E558" s="119" t="str">
        <x:v>Tentative_SA_Time_Block__c EqualTo booleanValue=true | Status EqualTo stringValue=Dispatched | Status IsChanged booleanValue=true</x:v>
      </x:c>
      <x:c r="F558" s="119" t="str">
        <x:v>ServiceAppointment, WorkOrder</x:v>
      </x:c>
      <x:c r="G558" s="119" t="str">
        <x:v>AppointmentNumber, Id, Internal_Notes__c, ParentRecordId, Status, Tentative_SA_Time_Block__c, Work_Order__r</x:v>
      </x:c>
      <x:c r="H558" s="119" t="str"/>
      <x:c r="I558" s="119" t="str"/>
      <x:c r="J558" s="119" t="str"/>
      <x:c r="K558" s="118" t="n">
        <x:v>7</x:v>
      </x:c>
      <x:c r="L558" s="118" t="n">
        <x:v>0</x:v>
      </x:c>
      <x:c r="M558" s="118" t="n">
        <x:v>0</x:v>
      </x:c>
      <x:c r="N558" s="118" t="n">
        <x:v>1</x:v>
      </x:c>
      <x:c r="O558" s="118" t="n">
        <x:v>0</x:v>
      </x:c>
      <x:c r="P558" s="118" t="n">
        <x:v>0</x:v>
      </x:c>
      <x:c r="Q558" s="118" t="n">
        <x:v>1</x:v>
      </x:c>
      <x:c r="R558" s="118" t="n">
        <x:v>1</x:v>
      </x:c>
      <x:c r="S558" s="118" t="n">
        <x:v>0</x:v>
      </x:c>
      <x:c r="T558" s="118" t="n">
        <x:v>0</x:v>
      </x:c>
      <x:c r="U558" s="118" t="n">
        <x:v>0</x:v>
      </x:c>
      <x:c r="V558" s="118" t="n">
        <x:v>2</x:v>
      </x:c>
      <x:c r="W558" s="118" t="n">
        <x:v>0</x:v>
      </x:c>
      <x:c r="X558" s="118" t="n">
        <x:v>1</x:v>
      </x:c>
      <x:c r="Y558" s="118" t="n">
        <x:v>0</x:v>
      </x:c>
      <x:c r="Z558" s="118" t="n">
        <x:v>0</x:v>
      </x:c>
      <x:c r="AA558" s="118" t="n">
        <x:v>0</x:v>
      </x:c>
      <x:c r="AB558" s="118" t="n">
        <x:v>0</x:v>
      </x:c>
      <x:c r="AC558" s="118" t="n">
        <x:v>0</x:v>
      </x:c>
    </x:row>
    <x:row r="559" ht="46" customHeight="1">
      <x:c r="A559" s="117" t="str">
        <x:v>300Ro00000cnT4jIAE</x:v>
      </x:c>
      <x:c r="B559" s="117" t="str">
        <x:v>Service_Appointment_On_Shipment_Change_Lines_to_Enroute</x:v>
      </x:c>
      <x:c r="C559" s="117" t="str">
        <x:v>Yes</x:v>
      </x:c>
      <x:c r="D559" s="119" t="str">
        <x:v>Active v2 (Retrieved XML)</x:v>
      </x:c>
      <x:c r="E559" s="119" t="str">
        <x:v>Ship_Date__c IsNull booleanValue=false | Tracking_Number__c IsNull booleanValue=false</x:v>
      </x:c>
      <x:c r="F559" s="119" t="str">
        <x:v>ServiceAppointment, WorkOrder</x:v>
      </x:c>
      <x:c r="G559" s="119" t="str">
        <x:v>Id, Line_Type__c, ParentRecordId, Ship_Date__c, Status, Tracking_Number__c, Work_Order_Line_Items__r</x:v>
      </x:c>
      <x:c r="H559" s="119" t="str"/>
      <x:c r="I559" s="119" t="str"/>
      <x:c r="J559" s="119" t="str"/>
      <x:c r="K559" s="118" t="n">
        <x:v>3</x:v>
      </x:c>
      <x:c r="L559" s="118" t="n">
        <x:v>0</x:v>
      </x:c>
      <x:c r="M559" s="118" t="n">
        <x:v>0</x:v>
      </x:c>
      <x:c r="N559" s="118" t="n">
        <x:v>0</x:v>
      </x:c>
      <x:c r="O559" s="118" t="n">
        <x:v>0</x:v>
      </x:c>
      <x:c r="P559" s="118" t="n">
        <x:v>0</x:v>
      </x:c>
      <x:c r="Q559" s="118" t="n">
        <x:v>0</x:v>
      </x:c>
      <x:c r="R559" s="118" t="n">
        <x:v>0</x:v>
      </x:c>
      <x:c r="S559" s="118" t="n">
        <x:v>0</x:v>
      </x:c>
      <x:c r="T559" s="118" t="n">
        <x:v>0</x:v>
      </x:c>
      <x:c r="U559" s="118" t="n">
        <x:v>0</x:v>
      </x:c>
      <x:c r="V559" s="118" t="n">
        <x:v>0</x:v>
      </x:c>
      <x:c r="W559" s="118" t="n">
        <x:v>0</x:v>
      </x:c>
      <x:c r="X559" s="118" t="n">
        <x:v>2</x:v>
      </x:c>
      <x:c r="Y559" s="118" t="n">
        <x:v>0</x:v>
      </x:c>
      <x:c r="Z559" s="118" t="n">
        <x:v>0</x:v>
      </x:c>
      <x:c r="AA559" s="118" t="n">
        <x:v>0</x:v>
      </x:c>
      <x:c r="AB559" s="118" t="n">
        <x:v>0</x:v>
      </x:c>
      <x:c r="AC559" s="118" t="n">
        <x:v>0</x:v>
      </x:c>
    </x:row>
    <x:row r="560" ht="46" customHeight="1">
      <x:c r="A560" s="117" t="str">
        <x:v>300Ro00000cnT4kIAE</x:v>
      </x:c>
      <x:c r="B560" s="117" t="str">
        <x:v>Service_Appointment_On_Update_of_Ship_To_Date_Set_Address</x:v>
      </x:c>
      <x:c r="C560" s="117" t="str">
        <x:v>Yes</x:v>
      </x:c>
      <x:c r="D560" s="119" t="str">
        <x:v>Active v1 (Retrieved XML)</x:v>
      </x:c>
      <x:c r="E560" s="119" t="str">
        <x:v>Ship_to_Address__c IsChanged booleanValue=true</x:v>
      </x:c>
      <x:c r="F560" s="119" t="str">
        <x:v>ServiceAppointment</x:v>
      </x:c>
      <x:c r="G560" s="119" t="str">
        <x:v>City, CountryCode, PostalCode, Ship_to_Address__c, Ship_to_Address__r, Shipping_Address__City__s, Shipping_Address__CountryCode__s, Shipping_Address__PostalCode__s, Shipping_Address__StateCode__s, Shipping_Address__Street__s, StateCode, Work_Order__r</x:v>
      </x:c>
      <x:c r="H560" s="119" t="str"/>
      <x:c r="I560" s="119" t="str"/>
      <x:c r="J560" s="119" t="str"/>
      <x:c r="K560" s="118" t="n">
        <x:v>4</x:v>
      </x:c>
      <x:c r="L560" s="118" t="n">
        <x:v>0</x:v>
      </x:c>
      <x:c r="M560" s="118" t="n">
        <x:v>0</x:v>
      </x:c>
      <x:c r="N560" s="118" t="n">
        <x:v>0</x:v>
      </x:c>
      <x:c r="O560" s="118" t="n">
        <x:v>0</x:v>
      </x:c>
      <x:c r="P560" s="118" t="n">
        <x:v>0</x:v>
      </x:c>
      <x:c r="Q560" s="118" t="n">
        <x:v>1</x:v>
      </x:c>
      <x:c r="R560" s="118" t="n">
        <x:v>0</x:v>
      </x:c>
      <x:c r="S560" s="118" t="n">
        <x:v>0</x:v>
      </x:c>
      <x:c r="T560" s="118" t="n">
        <x:v>0</x:v>
      </x:c>
      <x:c r="U560" s="118" t="n">
        <x:v>0</x:v>
      </x:c>
      <x:c r="V560" s="118" t="n">
        <x:v>0</x:v>
      </x:c>
      <x:c r="W560" s="118" t="n">
        <x:v>0</x:v>
      </x:c>
      <x:c r="X560" s="118" t="n">
        <x:v>2</x:v>
      </x:c>
      <x:c r="Y560" s="118" t="n">
        <x:v>0</x:v>
      </x:c>
      <x:c r="Z560" s="118" t="n">
        <x:v>0</x:v>
      </x:c>
      <x:c r="AA560" s="118" t="n">
        <x:v>0</x:v>
      </x:c>
      <x:c r="AB560" s="118" t="n">
        <x:v>0</x:v>
      </x:c>
      <x:c r="AC560" s="118" t="n">
        <x:v>0</x:v>
      </x:c>
    </x:row>
    <x:row r="561" ht="46" customHeight="1">
      <x:c r="A561" s="117" t="str">
        <x:v>300Ro00000SgtMcIAJ</x:v>
      </x:c>
      <x:c r="B561" s="117" t="str">
        <x:v>Service_Appointment_Status_Set_to_Canceled</x:v>
      </x:c>
      <x:c r="C561" s="117" t="str">
        <x:v>Yes</x:v>
      </x:c>
      <x:c r="D561" s="119" t="str">
        <x:v>Active v1 (Tooling metadata)</x:v>
      </x:c>
      <x:c r="E561" s="119" t="str">
        <x:v>Status EqualTo stringValue=Canceled; booleanValue=; numberValue=; dateValue=; dateTimeValue=; elementReference=</x:v>
      </x:c>
      <x:c r="F561" s="119" t="str">
        <x:v>ServiceAppointment, WorkOrder</x:v>
      </x:c>
      <x:c r="G561" s="119" t="str">
        <x:v>Id, OwnerId, ParentRecordId, Service_Resource__c, Status</x:v>
      </x:c>
      <x:c r="H561" s="119" t="str"/>
      <x:c r="I561" s="119" t="str"/>
      <x:c r="J561" s="119" t="str"/>
      <x:c r="K561" s="118" t="n">
        <x:v>3</x:v>
      </x:c>
      <x:c r="L561" s="118" t="n">
        <x:v>0</x:v>
      </x:c>
      <x:c r="M561" s="118" t="n">
        <x:v>0</x:v>
      </x:c>
      <x:c r="N561" s="118" t="n">
        <x:v>0</x:v>
      </x:c>
      <x:c r="O561" s="118" t="n">
        <x:v>0</x:v>
      </x:c>
      <x:c r="P561" s="118" t="n">
        <x:v>0</x:v>
      </x:c>
      <x:c r="Q561" s="118" t="n">
        <x:v>0</x:v>
      </x:c>
      <x:c r="R561" s="118" t="n">
        <x:v>0</x:v>
      </x:c>
      <x:c r="S561" s="118" t="n">
        <x:v>0</x:v>
      </x:c>
      <x:c r="T561" s="118" t="n">
        <x:v>0</x:v>
      </x:c>
      <x:c r="U561" s="118" t="n">
        <x:v>0</x:v>
      </x:c>
      <x:c r="V561" s="118" t="n">
        <x:v>1</x:v>
      </x:c>
      <x:c r="W561" s="118" t="n">
        <x:v>0</x:v>
      </x:c>
      <x:c r="X561" s="118" t="n">
        <x:v>1</x:v>
      </x:c>
      <x:c r="Y561" s="118" t="n">
        <x:v>0</x:v>
      </x:c>
      <x:c r="Z561" s="118" t="n">
        <x:v>0</x:v>
      </x:c>
      <x:c r="AA561" s="118" t="n">
        <x:v>0</x:v>
      </x:c>
      <x:c r="AB561" s="118" t="n">
        <x:v>0</x:v>
      </x:c>
      <x:c r="AC561" s="118" t="n">
        <x:v>0</x:v>
      </x:c>
    </x:row>
    <x:row r="562" ht="46" customHeight="1">
      <x:c r="A562" s="117" t="str">
        <x:v>300Ro00000SgtMdIAJ</x:v>
      </x:c>
      <x:c r="B562" s="117" t="str">
        <x:v>Service_Appointment_Trigger_If_SA_updated_update_event</x:v>
      </x:c>
      <x:c r="C562" s="117" t="str">
        <x:v>Yes</x:v>
      </x:c>
      <x:c r="D562" s="119" t="str">
        <x:v>Active v1 (Tooling metadata)</x:v>
      </x:c>
      <x:c r="E562" s="119" t="str">
        <x:v>Service_Resource__c IsChanged stringValue=; booleanValue=True; numberValue=; dateValue=; dateTimeValue=; elementReference= | Service_Resource__c IsNull stringValue=; booleanValue=; numberValue=; dateValue=; dateTimeValue=; elementReference= | SchedStartTime IsChanged stringValue=; booleanValue=True; numberValue=; dateValue=; dateTimeValue=; elementReference= | DueDate IsChanged stringValue=; booleanValue=True; numberValue=; dateValue=; dateTimeValue=; elementReference= | ContactId IsChanged stringValue=; booleanValue=True; numberValue=; dateValue=; dateTimeValue=; elementReference= | ParentRecordId IsChanged stringValue=; booleanValue=True; numberValue=; dateValue=; dateTimeValue=; elementReference= | Status NotEqualTo stringValue=Canceled; booleanValue=; numberValue=; dateValue=; dateTimeValue=; elementReference=</x:v>
      </x:c>
      <x:c r="F562" s="119" t="str">
        <x:v>AssignedResource, ContractLineItem, Event, ServiceAppointment, WorkOrder</x:v>
      </x:c>
      <x:c r="G562" s="119" t="str">
        <x:v>ActivityDate, AppointmentNumber, Appointment_Type__c, City, ContactId, Description, DueDate, DurationInMinutes, Id, Location, Owner, OwnerId, ParentRecordId, SchedStartTime, ServiceAppointmentId, Service_Resource__c, StartDateTime, Status, Subject, Type, WhatId, WhoId, Work_Order__r</x:v>
      </x:c>
      <x:c r="H562" s="119" t="str"/>
      <x:c r="I562" s="119" t="str"/>
      <x:c r="J562" s="119" t="str"/>
      <x:c r="K562" s="118" t="n">
        <x:v>7</x:v>
      </x:c>
      <x:c r="L562" s="118" t="n">
        <x:v>0</x:v>
      </x:c>
      <x:c r="M562" s="118" t="n">
        <x:v>0</x:v>
      </x:c>
      <x:c r="N562" s="118" t="n">
        <x:v>0</x:v>
      </x:c>
      <x:c r="O562" s="118" t="n">
        <x:v>0</x:v>
      </x:c>
      <x:c r="P562" s="118" t="n">
        <x:v>0</x:v>
      </x:c>
      <x:c r="Q562" s="118" t="n">
        <x:v>1</x:v>
      </x:c>
      <x:c r="R562" s="118" t="n">
        <x:v>0</x:v>
      </x:c>
      <x:c r="S562" s="118" t="n">
        <x:v>0</x:v>
      </x:c>
      <x:c r="T562" s="118" t="n">
        <x:v>0</x:v>
      </x:c>
      <x:c r="U562" s="118" t="n">
        <x:v>0</x:v>
      </x:c>
      <x:c r="V562" s="118" t="n">
        <x:v>4</x:v>
      </x:c>
      <x:c r="W562" s="118" t="n">
        <x:v>0</x:v>
      </x:c>
      <x:c r="X562" s="118" t="n">
        <x:v>1</x:v>
      </x:c>
      <x:c r="Y562" s="118" t="n">
        <x:v>0</x:v>
      </x:c>
      <x:c r="Z562" s="118" t="n">
        <x:v>0</x:v>
      </x:c>
      <x:c r="AA562" s="118" t="n">
        <x:v>0</x:v>
      </x:c>
      <x:c r="AB562" s="118" t="n">
        <x:v>0</x:v>
      </x:c>
      <x:c r="AC562" s="118" t="n">
        <x:v>0</x:v>
      </x:c>
    </x:row>
    <x:row r="563" ht="46" customHeight="1">
      <x:c r="A563" s="117" t="str">
        <x:v>300Ro00000SgtMeIAJ</x:v>
      </x:c>
      <x:c r="B563" s="117" t="str">
        <x:v>Service_Appointment_Trigger_Send_Email_to_AR_Upon_Dispatch</x:v>
      </x:c>
      <x:c r="C563" s="117" t="str">
        <x:v>Yes</x:v>
      </x:c>
      <x:c r="D563" s="119" t="str">
        <x:v>Active v5 (Retrieved XML)</x:v>
      </x:c>
      <x:c r="E563" s="119" t="str">
        <x:v>Status IsChanged booleanValue=true | Status EqualTo stringValue=Dispatched</x:v>
      </x:c>
      <x:c r="F563" s="119" t="str">
        <x:v>AssignedResource, ContractLineItem, ServiceAppointment</x:v>
      </x:c>
      <x:c r="G563" s="119" t="str">
        <x:v>AppointmentNumber, Appointment_Type__c, Id, SchedStartTime, ServiceAppointmentId, Status, Work_Order__r</x:v>
      </x:c>
      <x:c r="H563" s="119" t="str">
        <x:v>emailSimple</x:v>
      </x:c>
      <x:c r="I563" s="119" t="str"/>
      <x:c r="J563" s="119" t="str"/>
      <x:c r="K563" s="118" t="n">
        <x:v>7</x:v>
      </x:c>
      <x:c r="L563" s="118" t="n">
        <x:v>1</x:v>
      </x:c>
      <x:c r="M563" s="118" t="n">
        <x:v>0</x:v>
      </x:c>
      <x:c r="N563" s="118" t="n">
        <x:v>2</x:v>
      </x:c>
      <x:c r="O563" s="118" t="n">
        <x:v>0</x:v>
      </x:c>
      <x:c r="P563" s="118" t="n">
        <x:v>0</x:v>
      </x:c>
      <x:c r="Q563" s="118" t="n">
        <x:v>1</x:v>
      </x:c>
      <x:c r="R563" s="118" t="n">
        <x:v>0</x:v>
      </x:c>
      <x:c r="S563" s="118" t="n">
        <x:v>0</x:v>
      </x:c>
      <x:c r="T563" s="118" t="n">
        <x:v>0</x:v>
      </x:c>
      <x:c r="U563" s="118" t="n">
        <x:v>0</x:v>
      </x:c>
      <x:c r="V563" s="118" t="n">
        <x:v>2</x:v>
      </x:c>
      <x:c r="W563" s="118" t="n">
        <x:v>0</x:v>
      </x:c>
      <x:c r="X563" s="118" t="n">
        <x:v>0</x:v>
      </x:c>
      <x:c r="Y563" s="118" t="n">
        <x:v>0</x:v>
      </x:c>
      <x:c r="Z563" s="118" t="n">
        <x:v>0</x:v>
      </x:c>
      <x:c r="AA563" s="118" t="n">
        <x:v>0</x:v>
      </x:c>
      <x:c r="AB563" s="118" t="n">
        <x:v>0</x:v>
      </x:c>
      <x:c r="AC563" s="118" t="n">
        <x:v>0</x:v>
      </x:c>
    </x:row>
    <x:row r="564" ht="46" customHeight="1">
      <x:c r="A564" s="117" t="str">
        <x:v>300Ro00000STzUgIAL</x:v>
      </x:c>
      <x:c r="B564" s="117" t="str">
        <x:v>Service_Appointment_Trigger_Update_Gantt_Label</x:v>
      </x:c>
      <x:c r="C564" s="117" t="str">
        <x:v>Yes</x:v>
      </x:c>
      <x:c r="D564" s="119" t="str">
        <x:v>Active v6 (Retrieved XML)</x:v>
      </x:c>
      <x:c r="E564" s="119" t="str">
        <x:v>FSL__GanttLabel__c IsNull booleanValue=true | City IsChanged booleanValue=true | Appointment_Type__c IsChanged booleanValue=true | Appointment_Type__c IsNull booleanValue=false | FSL__GanttIcon__c IsNull booleanValue=true</x:v>
      </x:c>
      <x:c r="F564" s="119" t="str">
        <x:v>ServiceAppointment</x:v>
      </x:c>
      <x:c r="G564" s="119" t="str">
        <x:v>AppointmentNumber, Appointment_Type__c, City, FSL__GanttIcon__c, FSL__GanttLabel__c, Tentative_SA_Time_Block__c, WorkTypeId</x:v>
      </x:c>
      <x:c r="H564" s="119" t="str"/>
      <x:c r="I564" s="119" t="str"/>
      <x:c r="J564" s="119" t="str"/>
      <x:c r="K564" s="118" t="n">
        <x:v>7</x:v>
      </x:c>
      <x:c r="L564" s="118" t="n">
        <x:v>0</x:v>
      </x:c>
      <x:c r="M564" s="118" t="n">
        <x:v>0</x:v>
      </x:c>
      <x:c r="N564" s="118" t="n">
        <x:v>0</x:v>
      </x:c>
      <x:c r="O564" s="118" t="n">
        <x:v>0</x:v>
      </x:c>
      <x:c r="P564" s="118" t="n">
        <x:v>0</x:v>
      </x:c>
      <x:c r="Q564" s="118" t="n">
        <x:v>3</x:v>
      </x:c>
      <x:c r="R564" s="118" t="n">
        <x:v>0</x:v>
      </x:c>
      <x:c r="S564" s="118" t="n">
        <x:v>0</x:v>
      </x:c>
      <x:c r="T564" s="118" t="n">
        <x:v>0</x:v>
      </x:c>
      <x:c r="U564" s="118" t="n">
        <x:v>0</x:v>
      </x:c>
      <x:c r="V564" s="118" t="n">
        <x:v>0</x:v>
      </x:c>
      <x:c r="W564" s="118" t="n">
        <x:v>0</x:v>
      </x:c>
      <x:c r="X564" s="118" t="n">
        <x:v>3</x:v>
      </x:c>
      <x:c r="Y564" s="118" t="n">
        <x:v>0</x:v>
      </x:c>
      <x:c r="Z564" s="118" t="n">
        <x:v>0</x:v>
      </x:c>
      <x:c r="AA564" s="118" t="n">
        <x:v>0</x:v>
      </x:c>
      <x:c r="AB564" s="118" t="n">
        <x:v>0</x:v>
      </x:c>
      <x:c r="AC564" s="118" t="n">
        <x:v>0</x:v>
      </x:c>
    </x:row>
    <x:row r="565" ht="46" customHeight="1">
      <x:c r="A565" s="117" t="str">
        <x:v>300Ro00000RldXrIAJ</x:v>
      </x:c>
      <x:c r="B565" s="117" t="str">
        <x:v>Service_Appointment_Trigger_Update_Offsite_Appointment_Checkbox</x:v>
      </x:c>
      <x:c r="C565" s="117" t="str">
        <x:v>Yes</x:v>
      </x:c>
      <x:c r="D565" s="119" t="str">
        <x:v>Active v1 (Retrieved XML)</x:v>
      </x:c>
      <x:c r="E565" s="119" t="str">
        <x:v>IsOffsiteAppointment EqualTo booleanValue=false | Appointment_Type__c EqualTo stringValue=Tech Support Call</x:v>
      </x:c>
      <x:c r="F565" s="119" t="str">
        <x:v>ServiceAppointment</x:v>
      </x:c>
      <x:c r="G565" s="119" t="str">
        <x:v>Appointment_Type__c, IsOffsiteAppointment</x:v>
      </x:c>
      <x:c r="H565" s="119" t="str"/>
      <x:c r="I565" s="119" t="str"/>
      <x:c r="J565" s="119" t="str"/>
      <x:c r="K565" s="118" t="n">
        <x:v>2</x:v>
      </x:c>
      <x:c r="L565" s="118" t="n">
        <x:v>0</x:v>
      </x:c>
      <x:c r="M565" s="118" t="n">
        <x:v>0</x:v>
      </x:c>
      <x:c r="N565" s="118" t="n">
        <x:v>0</x:v>
      </x:c>
      <x:c r="O565" s="118" t="n">
        <x:v>0</x:v>
      </x:c>
      <x:c r="P565" s="118" t="n">
        <x:v>0</x:v>
      </x:c>
      <x:c r="Q565" s="118" t="n">
        <x:v>0</x:v>
      </x:c>
      <x:c r="R565" s="118" t="n">
        <x:v>0</x:v>
      </x:c>
      <x:c r="S565" s="118" t="n">
        <x:v>0</x:v>
      </x:c>
      <x:c r="T565" s="118" t="n">
        <x:v>0</x:v>
      </x:c>
      <x:c r="U565" s="118" t="n">
        <x:v>0</x:v>
      </x:c>
      <x:c r="V565" s="118" t="n">
        <x:v>0</x:v>
      </x:c>
      <x:c r="W565" s="118" t="n">
        <x:v>0</x:v>
      </x:c>
      <x:c r="X565" s="118" t="n">
        <x:v>1</x:v>
      </x:c>
      <x:c r="Y565" s="118" t="n">
        <x:v>0</x:v>
      </x:c>
      <x:c r="Z565" s="118" t="n">
        <x:v>0</x:v>
      </x:c>
      <x:c r="AA565" s="118" t="n">
        <x:v>0</x:v>
      </x:c>
      <x:c r="AB565" s="118" t="n">
        <x:v>0</x:v>
      </x:c>
      <x:c r="AC565" s="118" t="n">
        <x:v>0</x:v>
      </x:c>
    </x:row>
    <x:row r="566" ht="46" customHeight="1">
      <x:c r="A566" s="117" t="str">
        <x:v>300Ro00000wzNWEIA2</x:v>
      </x:c>
      <x:c r="B566" s="117" t="str">
        <x:v>Service_Appointment_Update_Set_Duration_on_Actual_Start_or_Actual_End_Change</x:v>
      </x:c>
      <x:c r="C566" s="117" t="str">
        <x:v>No</x:v>
      </x:c>
      <x:c r="D566" s="119" t="str">
        <x:v>Latest inactive v1 (Retrieved XML)</x:v>
      </x:c>
      <x:c r="E566" s="119" t="str">
        <x:v>ActualStartTime IsChanged booleanValue=true | ActualEndTime IsChanged booleanValue=true | Country EqualTo stringValue=United Kingdom</x:v>
      </x:c>
      <x:c r="F566" s="119" t="str">
        <x:v>ServiceAppointment</x:v>
      </x:c>
      <x:c r="G566" s="119" t="str">
        <x:v>ActualEndTime, ActualStartTime, Country, Duration</x:v>
      </x:c>
      <x:c r="H566" s="119" t="str"/>
      <x:c r="I566" s="119" t="str"/>
      <x:c r="J566" s="119" t="str"/>
      <x:c r="K566" s="118" t="n">
        <x:v>3</x:v>
      </x:c>
      <x:c r="L566" s="118" t="n">
        <x:v>0</x:v>
      </x:c>
      <x:c r="M566" s="118" t="n">
        <x:v>0</x:v>
      </x:c>
      <x:c r="N566" s="118" t="n">
        <x:v>1</x:v>
      </x:c>
      <x:c r="O566" s="118" t="n">
        <x:v>0</x:v>
      </x:c>
      <x:c r="P566" s="118" t="n">
        <x:v>0</x:v>
      </x:c>
      <x:c r="Q566" s="118" t="n">
        <x:v>0</x:v>
      </x:c>
      <x:c r="R566" s="118" t="n">
        <x:v>0</x:v>
      </x:c>
      <x:c r="S566" s="118" t="n">
        <x:v>0</x:v>
      </x:c>
      <x:c r="T566" s="118" t="n">
        <x:v>0</x:v>
      </x:c>
      <x:c r="U566" s="118" t="n">
        <x:v>0</x:v>
      </x:c>
      <x:c r="V566" s="118" t="n">
        <x:v>0</x:v>
      </x:c>
      <x:c r="W566" s="118" t="n">
        <x:v>0</x:v>
      </x:c>
      <x:c r="X566" s="118" t="n">
        <x:v>1</x:v>
      </x:c>
      <x:c r="Y566" s="118" t="n">
        <x:v>0</x:v>
      </x:c>
      <x:c r="Z566" s="118" t="n">
        <x:v>0</x:v>
      </x:c>
      <x:c r="AA566" s="118" t="n">
        <x:v>0</x:v>
      </x:c>
      <x:c r="AB566" s="118" t="n">
        <x:v>0</x:v>
      </x:c>
      <x:c r="AC566" s="118" t="n">
        <x:v>0</x:v>
      </x:c>
    </x:row>
    <x:row r="567" ht="46" customHeight="1">
      <x:c r="A567" s="117" t="str">
        <x:v>3005b000000H1uvAAC</x:v>
      </x:c>
      <x:c r="B567" s="117" t="str">
        <x:v>Service_Contract_Billing_Flow</x:v>
      </x:c>
      <x:c r="C567" s="117" t="str">
        <x:v>No</x:v>
      </x:c>
      <x:c r="D567" s="119" t="str">
        <x:v>Latest inactive v10 (Retrieved XML)</x:v>
      </x:c>
      <x:c r="E567" s="119" t="str"/>
      <x:c r="F567" s="119" t="str">
        <x:v>ContractLineItem, Invoice__c, Opportunity, OpportunityLineItem, ServiceContract</x:v>
      </x:c>
      <x:c r="G567" s="119" t="str">
        <x:v>AVA_SFCLOUD__Calculate_Tax__c, AccountId, CloseDate, Id, Name, Next_Invoice_Date__c, OpportunityId, Opportunity__c, Physical_Location__c, PricebookEntryId, Product2Id, ProductItem__c, Purchasing_Approved__c, Quantity, RecordTypeId, Sales_Lead_Source__c, Serial_No__c, ServiceContractId, Service_Contract__c, Shipping_FROM_Location__c, Shipping_TO_Location__c, StageName, UnitPrice, Warranty_Length__c</x:v>
      </x:c>
      <x:c r="H567" s="119" t="str"/>
      <x:c r="I567" s="119" t="str"/>
      <x:c r="J567" s="119" t="str"/>
      <x:c r="K567" s="118" t="n">
        <x:v>39</x:v>
      </x:c>
      <x:c r="L567" s="118" t="n">
        <x:v>0</x:v>
      </x:c>
      <x:c r="M567" s="118" t="n">
        <x:v>0</x:v>
      </x:c>
      <x:c r="N567" s="118" t="n">
        <x:v>1</x:v>
      </x:c>
      <x:c r="O567" s="118" t="n">
        <x:v>0</x:v>
      </x:c>
      <x:c r="P567" s="118" t="n">
        <x:v>0</x:v>
      </x:c>
      <x:c r="Q567" s="118" t="n">
        <x:v>6</x:v>
      </x:c>
      <x:c r="R567" s="118" t="n">
        <x:v>1</x:v>
      </x:c>
      <x:c r="S567" s="118" t="n">
        <x:v>0</x:v>
      </x:c>
      <x:c r="T567" s="118" t="n">
        <x:v>15</x:v>
      </x:c>
      <x:c r="U567" s="118" t="n">
        <x:v>0</x:v>
      </x:c>
      <x:c r="V567" s="118" t="n">
        <x:v>2</x:v>
      </x:c>
      <x:c r="W567" s="118" t="n">
        <x:v>0</x:v>
      </x:c>
      <x:c r="X567" s="118" t="n">
        <x:v>13</x:v>
      </x:c>
      <x:c r="Y567" s="118" t="n">
        <x:v>0</x:v>
      </x:c>
      <x:c r="Z567" s="118" t="n">
        <x:v>0</x:v>
      </x:c>
      <x:c r="AA567" s="118" t="n">
        <x:v>0</x:v>
      </x:c>
      <x:c r="AB567" s="118" t="n">
        <x:v>0</x:v>
      </x:c>
      <x:c r="AC567" s="118" t="n">
        <x:v>0</x:v>
      </x:c>
    </x:row>
    <x:row r="568" ht="46" customHeight="1">
      <x:c r="A568" s="117" t="str">
        <x:v>3005b000000H1uwAAC</x:v>
      </x:c>
      <x:c r="B568" s="117" t="str">
        <x:v>Service_Contract_Billing_Scheduling_Flow</x:v>
      </x:c>
      <x:c r="C568" s="117" t="str">
        <x:v>No</x:v>
      </x:c>
      <x:c r="D568" s="119" t="str">
        <x:v>Latest inactive v1 (Retrieved XML)</x:v>
      </x:c>
      <x:c r="E568" s="119" t="str">
        <x:v>Name NotEqualTo stringValue=</x:v>
      </x:c>
      <x:c r="F568" s="119" t="str">
        <x:v>ServiceContract</x:v>
      </x:c>
      <x:c r="G568" s="119" t="str">
        <x:v>Id, Name, Next_Invoice_Date__c</x:v>
      </x:c>
      <x:c r="H568" s="119" t="str"/>
      <x:c r="I568" s="119" t="str">
        <x:v>Service_Contract_Billing_Flow</x:v>
      </x:c>
      <x:c r="J568" s="119" t="str"/>
      <x:c r="K568" s="118" t="n">
        <x:v>3</x:v>
      </x:c>
      <x:c r="L568" s="118" t="n">
        <x:v>0</x:v>
      </x:c>
      <x:c r="M568" s="118" t="n">
        <x:v>0</x:v>
      </x:c>
      <x:c r="N568" s="118" t="n">
        <x:v>0</x:v>
      </x:c>
      <x:c r="O568" s="118" t="n">
        <x:v>0</x:v>
      </x:c>
      <x:c r="P568" s="118" t="n">
        <x:v>0</x:v>
      </x:c>
      <x:c r="Q568" s="118" t="n">
        <x:v>1</x:v>
      </x:c>
      <x:c r="R568" s="118" t="n">
        <x:v>0</x:v>
      </x:c>
      <x:c r="S568" s="118" t="n">
        <x:v>0</x:v>
      </x:c>
      <x:c r="T568" s="118" t="n">
        <x:v>0</x:v>
      </x:c>
      <x:c r="U568" s="118" t="n">
        <x:v>0</x:v>
      </x:c>
      <x:c r="V568" s="118" t="n">
        <x:v>0</x:v>
      </x:c>
      <x:c r="W568" s="118" t="n">
        <x:v>0</x:v>
      </x:c>
      <x:c r="X568" s="118" t="n">
        <x:v>0</x:v>
      </x:c>
      <x:c r="Y568" s="118" t="n">
        <x:v>0</x:v>
      </x:c>
      <x:c r="Z568" s="118" t="n">
        <x:v>0</x:v>
      </x:c>
      <x:c r="AA568" s="118" t="n">
        <x:v>1</x:v>
      </x:c>
      <x:c r="AB568" s="118" t="n">
        <x:v>0</x:v>
      </x:c>
      <x:c r="AC568" s="118" t="n">
        <x:v>0</x:v>
      </x:c>
    </x:row>
    <x:row r="569" ht="46" customHeight="1">
      <x:c r="A569" s="117" t="str">
        <x:v>300Ro00000ra4TLIAY</x:v>
      </x:c>
      <x:c r="B569" s="117" t="str">
        <x:v>Service_Contract_Calculate_Last_Quarter_Uptime</x:v>
      </x:c>
      <x:c r="C569" s="117" t="str">
        <x:v>Yes</x:v>
      </x:c>
      <x:c r="D569" s="119" t="str">
        <x:v>Active v2 (Retrieved XML)</x:v>
      </x:c>
      <x:c r="E569" s="119" t="str"/>
      <x:c r="F569" s="119" t="str">
        <x:v>ContractLineItem, WorkOrder</x:v>
      </x:c>
      <x:c r="G569" s="119" t="str">
        <x:v>Downtime_Start__c, EndDate, Removed_from_Contract__c, ServiceContractId, StartDate</x:v>
      </x:c>
      <x:c r="H569" s="119" t="str">
        <x:v>BusinessHoursDiffService</x:v>
      </x:c>
      <x:c r="I569" s="119" t="str"/>
      <x:c r="J569" s="119" t="str"/>
      <x:c r="K569" s="118" t="n">
        <x:v>13</x:v>
      </x:c>
      <x:c r="L569" s="118" t="n">
        <x:v>1</x:v>
      </x:c>
      <x:c r="M569" s="118" t="n">
        <x:v>0</x:v>
      </x:c>
      <x:c r="N569" s="118" t="n">
        <x:v>3</x:v>
      </x:c>
      <x:c r="O569" s="118" t="n">
        <x:v>0</x:v>
      </x:c>
      <x:c r="P569" s="118" t="n">
        <x:v>0</x:v>
      </x:c>
      <x:c r="Q569" s="118" t="n">
        <x:v>2</x:v>
      </x:c>
      <x:c r="R569" s="118" t="n">
        <x:v>2</x:v>
      </x:c>
      <x:c r="S569" s="118" t="n">
        <x:v>0</x:v>
      </x:c>
      <x:c r="T569" s="118" t="n">
        <x:v>0</x:v>
      </x:c>
      <x:c r="U569" s="118" t="n">
        <x:v>0</x:v>
      </x:c>
      <x:c r="V569" s="118" t="n">
        <x:v>2</x:v>
      </x:c>
      <x:c r="W569" s="118" t="n">
        <x:v>0</x:v>
      </x:c>
      <x:c r="X569" s="118" t="n">
        <x:v>1</x:v>
      </x:c>
      <x:c r="Y569" s="118" t="n">
        <x:v>1</x:v>
      </x:c>
      <x:c r="Z569" s="118" t="n">
        <x:v>0</x:v>
      </x:c>
      <x:c r="AA569" s="118" t="n">
        <x:v>0</x:v>
      </x:c>
      <x:c r="AB569" s="118" t="n">
        <x:v>0</x:v>
      </x:c>
      <x:c r="AC569" s="118" t="n">
        <x:v>0</x:v>
      </x:c>
    </x:row>
    <x:row r="570" ht="46" customHeight="1">
      <x:c r="A570" s="117" t="str">
        <x:v>300Ro00000q8wfGIAQ</x:v>
      </x:c>
      <x:c r="B570" s="117" t="str">
        <x:v>Service_Contract_Calculate_Running_Coverage_Duration_Business_Hours_Screen_Flow</x:v>
      </x:c>
      <x:c r="C570" s="117" t="str">
        <x:v>Yes</x:v>
      </x:c>
      <x:c r="D570" s="119" t="str">
        <x:v>Active v4 (Retrieved XML)</x:v>
      </x:c>
      <x:c r="E570" s="119" t="str"/>
      <x:c r="F570" s="119" t="str">
        <x:v>ContractLineItem</x:v>
      </x:c>
      <x:c r="G570" s="119" t="str">
        <x:v>Removed_from_Contract__c, ServiceContractId</x:v>
      </x:c>
      <x:c r="H570" s="119" t="str">
        <x:v>BusinessHoursDiffService</x:v>
      </x:c>
      <x:c r="I570" s="119" t="str"/>
      <x:c r="J570" s="119" t="str"/>
      <x:c r="K570" s="118" t="n">
        <x:v>8</x:v>
      </x:c>
      <x:c r="L570" s="118" t="n">
        <x:v>1</x:v>
      </x:c>
      <x:c r="M570" s="118" t="n">
        <x:v>0</x:v>
      </x:c>
      <x:c r="N570" s="118" t="n">
        <x:v>2</x:v>
      </x:c>
      <x:c r="O570" s="118" t="n">
        <x:v>0</x:v>
      </x:c>
      <x:c r="P570" s="118" t="n">
        <x:v>0</x:v>
      </x:c>
      <x:c r="Q570" s="118" t="n">
        <x:v>0</x:v>
      </x:c>
      <x:c r="R570" s="118" t="n">
        <x:v>1</x:v>
      </x:c>
      <x:c r="S570" s="118" t="n">
        <x:v>0</x:v>
      </x:c>
      <x:c r="T570" s="118" t="n">
        <x:v>0</x:v>
      </x:c>
      <x:c r="U570" s="118" t="n">
        <x:v>0</x:v>
      </x:c>
      <x:c r="V570" s="118" t="n">
        <x:v>1</x:v>
      </x:c>
      <x:c r="W570" s="118" t="n">
        <x:v>0</x:v>
      </x:c>
      <x:c r="X570" s="118" t="n">
        <x:v>1</x:v>
      </x:c>
      <x:c r="Y570" s="118" t="n">
        <x:v>1</x:v>
      </x:c>
      <x:c r="Z570" s="118" t="n">
        <x:v>0</x:v>
      </x:c>
      <x:c r="AA570" s="118" t="n">
        <x:v>0</x:v>
      </x:c>
      <x:c r="AB570" s="118" t="n">
        <x:v>0</x:v>
      </x:c>
      <x:c r="AC570" s="118" t="n">
        <x:v>0</x:v>
      </x:c>
    </x:row>
    <x:row r="571" ht="46" customHeight="1">
      <x:c r="A571" s="117" t="str">
        <x:v>300Ro00000v4CHtIAM</x:v>
      </x:c>
      <x:c r="B571" s="117" t="str">
        <x:v>Service_Contract_Confirm_Downtimes</x:v>
      </x:c>
      <x:c r="C571" s="117" t="str">
        <x:v>Yes</x:v>
      </x:c>
      <x:c r="D571" s="119" t="str">
        <x:v>Active v2 (Retrieved XML)</x:v>
      </x:c>
      <x:c r="E571" s="119" t="str"/>
      <x:c r="F571" s="119" t="str">
        <x:v>ContractLineItem, ServiceAppointment, WorkOrder</x:v>
      </x:c>
      <x:c r="G571" s="119" t="str">
        <x:v>Contract_Line_Item__c, ParentRecordId, Priority, Removed_from_Contract__c, ServiceContractId, System_Operational__c</x:v>
      </x:c>
      <x:c r="H571" s="119" t="str"/>
      <x:c r="I571" s="119" t="str"/>
      <x:c r="J571" s="119" t="str"/>
      <x:c r="K571" s="118" t="n">
        <x:v>18</x:v>
      </x:c>
      <x:c r="L571" s="118" t="n">
        <x:v>0</x:v>
      </x:c>
      <x:c r="M571" s="118" t="n">
        <x:v>0</x:v>
      </x:c>
      <x:c r="N571" s="118" t="n">
        <x:v>5</x:v>
      </x:c>
      <x:c r="O571" s="118" t="n">
        <x:v>1</x:v>
      </x:c>
      <x:c r="P571" s="118" t="n">
        <x:v>0</x:v>
      </x:c>
      <x:c r="Q571" s="118" t="n">
        <x:v>2</x:v>
      </x:c>
      <x:c r="R571" s="118" t="n">
        <x:v>4</x:v>
      </x:c>
      <x:c r="S571" s="118" t="n">
        <x:v>0</x:v>
      </x:c>
      <x:c r="T571" s="118" t="n">
        <x:v>0</x:v>
      </x:c>
      <x:c r="U571" s="118" t="n">
        <x:v>0</x:v>
      </x:c>
      <x:c r="V571" s="118" t="n">
        <x:v>3</x:v>
      </x:c>
      <x:c r="W571" s="118" t="n">
        <x:v>0</x:v>
      </x:c>
      <x:c r="X571" s="118" t="n">
        <x:v>1</x:v>
      </x:c>
      <x:c r="Y571" s="118" t="n">
        <x:v>1</x:v>
      </x:c>
      <x:c r="Z571" s="118" t="n">
        <x:v>0</x:v>
      </x:c>
      <x:c r="AA571" s="118" t="n">
        <x:v>0</x:v>
      </x:c>
      <x:c r="AB571" s="118" t="n">
        <x:v>0</x:v>
      </x:c>
      <x:c r="AC571" s="118" t="n">
        <x:v>0</x:v>
      </x:c>
    </x:row>
    <x:row r="572" ht="46" customHeight="1">
      <x:c r="A572" s="117" t="str">
        <x:v>300Ro00000wE1KhIAK</x:v>
      </x:c>
      <x:c r="B572" s="117" t="str">
        <x:v>Service_Contract_Create_Contract_Line_Item_Screen_Flow</x:v>
      </x:c>
      <x:c r="C572" s="117" t="str">
        <x:v>Yes</x:v>
      </x:c>
      <x:c r="D572" s="119" t="str">
        <x:v>Active v4 (Retrieved XML)</x:v>
      </x:c>
      <x:c r="E572" s="119" t="str"/>
      <x:c r="F572" s="119" t="str">
        <x:v>Account, ContractLineItem, Entitlement, Pricebook2, PricebookEntry, Product2, RecordType, ServiceAppointment, ServiceContract, WorkOrder, WorkType</x:v>
      </x:c>
      <x:c r="G572" s="119" t="str">
        <x:v>Contact__c, Coverage_Level__c, CurrencyIsoCode, Department__c, Details__c, DeveloperName, EndDate, Engineer_Notes__c, Id, Installation_Date__c, IsActive, IsStandard, Line_Item_Value_After_Discount__c, Location_of_Equipment__c, MIUS_Serial_Number__c, Modality__c, Name, New_Multi_Year__c, New_on_Contract__c, Number_of_PMs__c, Number_of_Probe_Replacements__c, Pricebook2Id, PricebookEntryId, Product2Id, Quantity, ServiceContractId, SobjectType, Special_Terms__c, StartDate, Subcontracted_Through__c, Subcontracted__c, System_Serial_Number__c, Terms__c, Transducer_Serial__c, Transducers__c, UnitPrice</x:v>
      </x:c>
      <x:c r="H572" s="119" t="str"/>
      <x:c r="I572" s="119" t="str"/>
      <x:c r="J572" s="119" t="str">
        <x:v>flowruntime:lookup</x:v>
      </x:c>
      <x:c r="K572" s="118" t="n">
        <x:v>24</x:v>
      </x:c>
      <x:c r="L572" s="118" t="n">
        <x:v>0</x:v>
      </x:c>
      <x:c r="M572" s="118" t="n">
        <x:v>0</x:v>
      </x:c>
      <x:c r="N572" s="118" t="n">
        <x:v>9</x:v>
      </x:c>
      <x:c r="O572" s="118" t="n">
        <x:v>0</x:v>
      </x:c>
      <x:c r="P572" s="118" t="n">
        <x:v>0</x:v>
      </x:c>
      <x:c r="Q572" s="118" t="n">
        <x:v>3</x:v>
      </x:c>
      <x:c r="R572" s="118" t="n">
        <x:v>1</x:v>
      </x:c>
      <x:c r="S572" s="118" t="n">
        <x:v>0</x:v>
      </x:c>
      <x:c r="T572" s="118" t="n">
        <x:v>3</x:v>
      </x:c>
      <x:c r="U572" s="118" t="n">
        <x:v>0</x:v>
      </x:c>
      <x:c r="V572" s="118" t="n">
        <x:v>6</x:v>
      </x:c>
      <x:c r="W572" s="118" t="n">
        <x:v>0</x:v>
      </x:c>
      <x:c r="X572" s="118" t="n">
        <x:v>0</x:v>
      </x:c>
      <x:c r="Y572" s="118" t="n">
        <x:v>1</x:v>
      </x:c>
      <x:c r="Z572" s="118" t="n">
        <x:v>0</x:v>
      </x:c>
      <x:c r="AA572" s="118" t="n">
        <x:v>0</x:v>
      </x:c>
      <x:c r="AB572" s="118" t="n">
        <x:v>0</x:v>
      </x:c>
      <x:c r="AC572" s="118" t="n">
        <x:v>0</x:v>
      </x:c>
    </x:row>
    <x:row r="573" ht="46" customHeight="1">
      <x:c r="A573" s="117" t="str">
        <x:v>300Ro00000wDQ8DIAW</x:v>
      </x:c>
      <x:c r="B573" s="117" t="str">
        <x:v>Service_Contract_Create_Contract_Line_Items_Screen_Flow</x:v>
      </x:c>
      <x:c r="C573" s="117" t="str">
        <x:v>No</x:v>
      </x:c>
      <x:c r="D573" s="119" t="str">
        <x:v>Latest inactive v1 (Retrieved XML)</x:v>
      </x:c>
      <x:c r="E573" s="119" t="str"/>
      <x:c r="F573" s="119" t="str">
        <x:v>Account, ContractLineItem, Entitlement, Pricebook2, PricebookEntry, Product2, RecordType, ServiceAppointment, ServiceContract, WorkOrder, WorkType</x:v>
      </x:c>
      <x:c r="G573" s="119" t="str">
        <x:v>AccountId, CasesPerEntitlement, Contact__c, ContractLineItemId, Coverage_Level__c, CurrencyIsoCode, Department__c, Details__c, DeveloperName, EndDate, Engineer_Notes__c, Id, Installation_Date__c, IsActive, IsPerIncident, IsStandard, Line_Item_Value_After_Discount__c, Location_of_Equipment__c, MIUS_Serial_Number__c, Modality__c, Name, New_Multi_Year__c, New_on_Contract__c, Number_of_PMs__c, Number_of_Probe_Replacements__c, Pricebook2Id, PricebookEntryId, Product2Id, Quantity, RemainingCases, ServiceContractId, SobjectType, Special_Terms__c, StartDate, Subcontracted_Through__c, Subcontracted__c, System_Serial_Number__c, Terms__c, Transducer_Serial__c, Transducers__c, Type, UnitPrice</x:v>
      </x:c>
      <x:c r="H573" s="119" t="str"/>
      <x:c r="I573" s="119" t="str"/>
      <x:c r="J573" s="119" t="str">
        <x:v>flowruntime:lookup</x:v>
      </x:c>
      <x:c r="K573" s="118" t="n">
        <x:v>29</x:v>
      </x:c>
      <x:c r="L573" s="118" t="n">
        <x:v>0</x:v>
      </x:c>
      <x:c r="M573" s="118" t="n">
        <x:v>0</x:v>
      </x:c>
      <x:c r="N573" s="118" t="n">
        <x:v>9</x:v>
      </x:c>
      <x:c r="O573" s="118" t="n">
        <x:v>0</x:v>
      </x:c>
      <x:c r="P573" s="118" t="n">
        <x:v>0</x:v>
      </x:c>
      <x:c r="Q573" s="118" t="n">
        <x:v>6</x:v>
      </x:c>
      <x:c r="R573" s="118" t="n">
        <x:v>1</x:v>
      </x:c>
      <x:c r="S573" s="118" t="n">
        <x:v>0</x:v>
      </x:c>
      <x:c r="T573" s="118" t="n">
        <x:v>5</x:v>
      </x:c>
      <x:c r="U573" s="118" t="n">
        <x:v>0</x:v>
      </x:c>
      <x:c r="V573" s="118" t="n">
        <x:v>6</x:v>
      </x:c>
      <x:c r="W573" s="118" t="n">
        <x:v>0</x:v>
      </x:c>
      <x:c r="X573" s="118" t="n">
        <x:v>0</x:v>
      </x:c>
      <x:c r="Y573" s="118" t="n">
        <x:v>1</x:v>
      </x:c>
      <x:c r="Z573" s="118" t="n">
        <x:v>0</x:v>
      </x:c>
      <x:c r="AA573" s="118" t="n">
        <x:v>0</x:v>
      </x:c>
      <x:c r="AB573" s="118" t="n">
        <x:v>0</x:v>
      </x:c>
      <x:c r="AC573" s="118" t="n">
        <x:v>0</x:v>
      </x:c>
    </x:row>
    <x:row r="574" ht="46" customHeight="1">
      <x:c r="A574" s="117" t="str">
        <x:v>300Ro00000Mkf0LIAR</x:v>
      </x:c>
      <x:c r="B574" s="117" t="str">
        <x:v>Service_Contract_Notification_Flow</x:v>
      </x:c>
      <x:c r="C574" s="117" t="str">
        <x:v>Yes</x:v>
      </x:c>
      <x:c r="D574" s="119" t="str">
        <x:v>Active v3 (Retrieved XML)</x:v>
      </x:c>
      <x:c r="E574" s="119" t="str">
        <x:v>Contract_Status__c EqualTo stringValue=Canceled | Next_Invoice_Date__c IsNull booleanValue=true | RecordTypeId EqualTo stringValue=0124O000000obTmQAI | Created_By_UK__c EqualTo booleanValue=false | Created_by_EU_UK__c EqualTo booleanValue=false</x:v>
      </x:c>
      <x:c r="F574" s="119" t="str">
        <x:v>ServiceContract</x:v>
      </x:c>
      <x:c r="G574" s="119" t="str">
        <x:v>Contract_Canceled__c, Contract_Status__c, Created_By_UK__c, Created_by_EU_UK__c, Id, Name, Next_Invoice_Date__c, RecordTypeId, Status</x:v>
      </x:c>
      <x:c r="H574" s="119" t="str">
        <x:v>emailSimple</x:v>
      </x:c>
      <x:c r="I574" s="119" t="str"/>
      <x:c r="J574" s="119" t="str"/>
      <x:c r="K574" s="118" t="n">
        <x:v>2</x:v>
      </x:c>
      <x:c r="L574" s="118" t="n">
        <x:v>1</x:v>
      </x:c>
      <x:c r="M574" s="118" t="n">
        <x:v>0</x:v>
      </x:c>
      <x:c r="N574" s="118" t="n">
        <x:v>0</x:v>
      </x:c>
      <x:c r="O574" s="118" t="n">
        <x:v>0</x:v>
      </x:c>
      <x:c r="P574" s="118" t="n">
        <x:v>0</x:v>
      </x:c>
      <x:c r="Q574" s="118" t="n">
        <x:v>0</x:v>
      </x:c>
      <x:c r="R574" s="118" t="n">
        <x:v>0</x:v>
      </x:c>
      <x:c r="S574" s="118" t="n">
        <x:v>0</x:v>
      </x:c>
      <x:c r="T574" s="118" t="n">
        <x:v>0</x:v>
      </x:c>
      <x:c r="U574" s="118" t="n">
        <x:v>0</x:v>
      </x:c>
      <x:c r="V574" s="118" t="n">
        <x:v>0</x:v>
      </x:c>
      <x:c r="W574" s="118" t="n">
        <x:v>0</x:v>
      </x:c>
      <x:c r="X574" s="118" t="n">
        <x:v>0</x:v>
      </x:c>
      <x:c r="Y574" s="118" t="n">
        <x:v>0</x:v>
      </x:c>
      <x:c r="Z574" s="118" t="n">
        <x:v>0</x:v>
      </x:c>
      <x:c r="AA574" s="118" t="n">
        <x:v>0</x:v>
      </x:c>
      <x:c r="AB574" s="118" t="n">
        <x:v>0</x:v>
      </x:c>
      <x:c r="AC574" s="118" t="n">
        <x:v>0</x:v>
      </x:c>
    </x:row>
    <x:row r="575" ht="46" customHeight="1">
      <x:c r="A575" s="117" t="str">
        <x:v>300Ro00000Zp8kCIAR</x:v>
      </x:c>
      <x:c r="B575" s="117" t="str">
        <x:v>Service_Contract_Renewal</x:v>
      </x:c>
      <x:c r="C575" s="117" t="str">
        <x:v>Yes</x:v>
      </x:c>
      <x:c r="D575" s="119" t="str">
        <x:v>Active v18 (Retrieved XML)</x:v>
      </x:c>
      <x:c r="E575" s="119" t="str"/>
      <x:c r="F575" s="119" t="str">
        <x:v>ContractLineItem, Entitlement, Opportunity, ServiceAppointment, ServiceContract, WorkOrder</x:v>
      </x:c>
      <x:c r="G575" s="119" t="str">
        <x:v>AccountId, BillingCity, BillingCountry, BillingPostalCode, BillingStreet, Billing_Notes__c, Business_Sector__c, CloseDate, ContactId, Contact_Lookup__c, Contract_Billing__c, Contract_Length__c, Contract_Purchaser__c, Coverage_Level__c, Coverage_Type__c, CurrencyIsoCode, EndDate, Facility__c, Id, Invoice_Amount__c, Modalities__c, Modality__c, Name, Next_Invoice_Date__c, Number_of_PMs__c, Number_of_Probe_Replacements__c, Opportunity__c, Previous_Service_Contract_Type__c, Pricebook2Id, Ready_to_Generate_Work_Orders__c, RecordTypeId, Removed_from_Contract__c, Renewal_Opportunity__c, Sales_Lead_Source_Detail__c, Sales_Lead_Source__c, ServiceContractId, Service_Contract__c, ShippingCity, ShippingCountry, ShippingPostalCode, ShippingStreet, Shipping_FROM_Location__c, StageName, StartDate, Supply_Chain__c, Trust_Group__c, UK_Service_Contract_Type__c, Warranty_Length__c</x:v>
      </x:c>
      <x:c r="H575" s="119" t="str"/>
      <x:c r="I575" s="119" t="str"/>
      <x:c r="J575" s="119" t="str">
        <x:v>flowruntime:datatable, flowruntime:lookup, forceContent:fileUpload</x:v>
      </x:c>
      <x:c r="K575" s="118" t="n">
        <x:v>27</x:v>
      </x:c>
      <x:c r="L575" s="118" t="n">
        <x:v>0</x:v>
      </x:c>
      <x:c r="M575" s="118" t="n">
        <x:v>0</x:v>
      </x:c>
      <x:c r="N575" s="118" t="n">
        <x:v>4</x:v>
      </x:c>
      <x:c r="O575" s="118" t="n">
        <x:v>0</x:v>
      </x:c>
      <x:c r="P575" s="118" t="n">
        <x:v>0</x:v>
      </x:c>
      <x:c r="Q575" s="118" t="n">
        <x:v>1</x:v>
      </x:c>
      <x:c r="R575" s="118" t="n">
        <x:v>1</x:v>
      </x:c>
      <x:c r="S575" s="118" t="n">
        <x:v>0</x:v>
      </x:c>
      <x:c r="T575" s="118" t="n">
        <x:v>3</x:v>
      </x:c>
      <x:c r="U575" s="118" t="n">
        <x:v>0</x:v>
      </x:c>
      <x:c r="V575" s="118" t="n">
        <x:v>3</x:v>
      </x:c>
      <x:c r="W575" s="118" t="n">
        <x:v>0</x:v>
      </x:c>
      <x:c r="X575" s="118" t="n">
        <x:v>5</x:v>
      </x:c>
      <x:c r="Y575" s="118" t="n">
        <x:v>8</x:v>
      </x:c>
      <x:c r="Z575" s="118" t="n">
        <x:v>0</x:v>
      </x:c>
      <x:c r="AA575" s="118" t="n">
        <x:v>0</x:v>
      </x:c>
      <x:c r="AB575" s="118" t="n">
        <x:v>1</x:v>
      </x:c>
      <x:c r="AC575" s="118" t="n">
        <x:v>0</x:v>
      </x:c>
    </x:row>
    <x:row r="576" ht="46" customHeight="1">
      <x:c r="A576" s="117" t="str">
        <x:v>300Ro00000nsEpqIAE</x:v>
      </x:c>
      <x:c r="B576" s="117" t="str">
        <x:v>Service_Contract_Renewal_US1</x:v>
      </x:c>
      <x:c r="C576" s="117" t="str">
        <x:v>Yes</x:v>
      </x:c>
      <x:c r="D576" s="119" t="str">
        <x:v>Active v11 (Retrieved XML)</x:v>
      </x:c>
      <x:c r="E576" s="119" t="str"/>
      <x:c r="F576" s="119" t="str">
        <x:v>ContractLineItem, Entitlement, Opportunity, OpportunityLineItem, RecordType, ServiceAppointment, ServiceContract, WorkOrder, WorkType</x:v>
      </x:c>
      <x:c r="G576" s="119" t="str">
        <x:v>AccountId, Accounting_Email__c, ApprovalStatus, Asset_No__c, BillingCity, BillingCity__c, BillingCountry, BillingCountry__c, BillingPostalCode, BillingPostalCode__c, BillingState, BillingState__c, BillingStreet, BillingStreet__c, CloseDate, ContactId, Contact_Lookup__c, Contract_Billing__c, Contract_Length__c, Contract_Status__c, Coverage_Type__c, CurrencyIsoCode, Date_Removed_from_Contract__c, DeveloperName, EndDate, Field_Service_Engineers__c, Id, Line_Item_Modality__c, Modalities__c, Modality__c, Name, Next_Invoice_Date__c, Number_of_PMs__c, Number_of_Probe_Replacements__c, OpportunityId, Opportunity__c, Pricebook2Id, PricebookEntryId, Product2Id, ProductItem__c, Purchasing_Approved__c, Quantity, Quote_Reference__c, RecordTypeId, Renewal_Opportunity__c, Renewal__c, Renewed_Contract__c, Renewed__c, Sales_Lead_Source_Detail__c, Sales_Lead_Source__c, Serial_No__c, ServiceContractId, Service_Contract_To_Convert__c, ShippingCity, ShippingCity__c, ShippingCountry, ShippingCountry__c, ShippingPostalCode, ShippingPostalCode__c, ShippingState, ShippingState__c, ShippingStreet, ShippingStreet__c, SobjectType, StageName, StartDate, UnitPrice, Warranty_Length__c</x:v>
      </x:c>
      <x:c r="H576" s="119" t="str"/>
      <x:c r="I576" s="119" t="str"/>
      <x:c r="J576" s="119" t="str">
        <x:v>flowruntime:datatable, flowruntime:lookup, forceContent:fileUpload</x:v>
      </x:c>
      <x:c r="K576" s="118" t="n">
        <x:v>45</x:v>
      </x:c>
      <x:c r="L576" s="118" t="n">
        <x:v>0</x:v>
      </x:c>
      <x:c r="M576" s="118" t="n">
        <x:v>0</x:v>
      </x:c>
      <x:c r="N576" s="118" t="n">
        <x:v>13</x:v>
      </x:c>
      <x:c r="O576" s="118" t="n">
        <x:v>0</x:v>
      </x:c>
      <x:c r="P576" s="118" t="n">
        <x:v>0</x:v>
      </x:c>
      <x:c r="Q576" s="118" t="n">
        <x:v>4</x:v>
      </x:c>
      <x:c r="R576" s="118" t="n">
        <x:v>2</x:v>
      </x:c>
      <x:c r="S576" s="118" t="n">
        <x:v>0</x:v>
      </x:c>
      <x:c r="T576" s="118" t="n">
        <x:v>5</x:v>
      </x:c>
      <x:c r="U576" s="118" t="n">
        <x:v>0</x:v>
      </x:c>
      <x:c r="V576" s="118" t="n">
        <x:v>5</x:v>
      </x:c>
      <x:c r="W576" s="118" t="n">
        <x:v>0</x:v>
      </x:c>
      <x:c r="X576" s="118" t="n">
        <x:v>5</x:v>
      </x:c>
      <x:c r="Y576" s="118" t="n">
        <x:v>9</x:v>
      </x:c>
      <x:c r="Z576" s="118" t="n">
        <x:v>0</x:v>
      </x:c>
      <x:c r="AA576" s="118" t="n">
        <x:v>0</x:v>
      </x:c>
      <x:c r="AB576" s="118" t="n">
        <x:v>1</x:v>
      </x:c>
      <x:c r="AC576" s="118" t="n">
        <x:v>0</x:v>
      </x:c>
    </x:row>
    <x:row r="577" ht="46" customHeight="1">
      <x:c r="A577" s="117" t="str">
        <x:v>300Ro00000PFWArIAP</x:v>
      </x:c>
      <x:c r="B577" s="117" t="str">
        <x:v>Service_Contract_Unlock_Flow</x:v>
      </x:c>
      <x:c r="C577" s="117" t="str">
        <x:v>Yes</x:v>
      </x:c>
      <x:c r="D577" s="119" t="str">
        <x:v>Active v1 (Retrieved XML)</x:v>
      </x:c>
      <x:c r="E577" s="119" t="str">
        <x:v>ApprovalStatus EqualTo stringValue=Pending service approval | ApprovalStatus IsChanged booleanValue=true | Created_by_EU_UK__c EqualTo booleanValue=true</x:v>
      </x:c>
      <x:c r="F577" s="119" t="str">
        <x:v>ServiceContract</x:v>
      </x:c>
      <x:c r="G577" s="119" t="str">
        <x:v>ApprovalStatus, Created_by_EU_UK__c, Id</x:v>
      </x:c>
      <x:c r="H577" s="119" t="str">
        <x:v>lockRecord</x:v>
      </x:c>
      <x:c r="I577" s="119" t="str"/>
      <x:c r="J577" s="119" t="str"/>
      <x:c r="K577" s="118" t="n">
        <x:v>3</x:v>
      </x:c>
      <x:c r="L577" s="118" t="n">
        <x:v>1</x:v>
      </x:c>
      <x:c r="M577" s="118" t="n">
        <x:v>0</x:v>
      </x:c>
      <x:c r="N577" s="118" t="n">
        <x:v>0</x:v>
      </x:c>
      <x:c r="O577" s="118" t="n">
        <x:v>0</x:v>
      </x:c>
      <x:c r="P577" s="118" t="n">
        <x:v>0</x:v>
      </x:c>
      <x:c r="Q577" s="118" t="n">
        <x:v>0</x:v>
      </x:c>
      <x:c r="R577" s="118" t="n">
        <x:v>0</x:v>
      </x:c>
      <x:c r="S577" s="118" t="n">
        <x:v>0</x:v>
      </x:c>
      <x:c r="T577" s="118" t="n">
        <x:v>0</x:v>
      </x:c>
      <x:c r="U577" s="118" t="n">
        <x:v>0</x:v>
      </x:c>
      <x:c r="V577" s="118" t="n">
        <x:v>1</x:v>
      </x:c>
      <x:c r="W577" s="118" t="n">
        <x:v>0</x:v>
      </x:c>
      <x:c r="X577" s="118" t="n">
        <x:v>0</x:v>
      </x:c>
      <x:c r="Y577" s="118" t="n">
        <x:v>0</x:v>
      </x:c>
      <x:c r="Z577" s="118" t="n">
        <x:v>0</x:v>
      </x:c>
      <x:c r="AA577" s="118" t="n">
        <x:v>0</x:v>
      </x:c>
      <x:c r="AB577" s="118" t="n">
        <x:v>0</x:v>
      </x:c>
      <x:c r="AC577" s="118" t="n">
        <x:v>0</x:v>
      </x:c>
    </x:row>
    <x:row r="578" ht="46" customHeight="1">
      <x:c r="A578" s="117" t="str">
        <x:v>3005b000000LHjaAAG</x:v>
      </x:c>
      <x:c r="B578" s="117" t="str">
        <x:v>Service_Contract_Updates_Flow</x:v>
      </x:c>
      <x:c r="C578" s="117" t="str">
        <x:v>Yes</x:v>
      </x:c>
      <x:c r="D578" s="119" t="str">
        <x:v>Active v1 (Tooling metadata)</x:v>
      </x:c>
      <x:c r="E578" s="119" t="str"/>
      <x:c r="F578" s="119" t="str">
        <x:v>ServiceContract</x:v>
      </x:c>
      <x:c r="G578" s="119" t="str">
        <x:v>Contract_Canceled__c, Contract_Status__c</x:v>
      </x:c>
      <x:c r="H578" s="119" t="str"/>
      <x:c r="I578" s="119" t="str"/>
      <x:c r="J578" s="119" t="str"/>
      <x:c r="K578" s="118" t="n">
        <x:v>3</x:v>
      </x:c>
      <x:c r="L578" s="118" t="n">
        <x:v>0</x:v>
      </x:c>
      <x:c r="M578" s="118" t="n">
        <x:v>0</x:v>
      </x:c>
      <x:c r="N578" s="118" t="n">
        <x:v>0</x:v>
      </x:c>
      <x:c r="O578" s="118" t="n">
        <x:v>0</x:v>
      </x:c>
      <x:c r="P578" s="118" t="n">
        <x:v>0</x:v>
      </x:c>
      <x:c r="Q578" s="118" t="n">
        <x:v>1</x:v>
      </x:c>
      <x:c r="R578" s="118" t="n">
        <x:v>0</x:v>
      </x:c>
      <x:c r="S578" s="118" t="n">
        <x:v>0</x:v>
      </x:c>
      <x:c r="T578" s="118" t="n">
        <x:v>0</x:v>
      </x:c>
      <x:c r="U578" s="118" t="n">
        <x:v>0</x:v>
      </x:c>
      <x:c r="V578" s="118" t="n">
        <x:v>0</x:v>
      </x:c>
      <x:c r="W578" s="118" t="n">
        <x:v>0</x:v>
      </x:c>
      <x:c r="X578" s="118" t="n">
        <x:v>1</x:v>
      </x:c>
      <x:c r="Y578" s="118" t="n">
        <x:v>0</x:v>
      </x:c>
      <x:c r="Z578" s="118" t="n">
        <x:v>0</x:v>
      </x:c>
      <x:c r="AA578" s="118" t="n">
        <x:v>0</x:v>
      </x:c>
      <x:c r="AB578" s="118" t="n">
        <x:v>0</x:v>
      </x:c>
      <x:c r="AC578" s="118" t="n">
        <x:v>0</x:v>
      </x:c>
    </x:row>
    <x:row r="579" ht="46" customHeight="1">
      <x:c r="A579" s="117" t="str">
        <x:v>3005b000000H3t4AAC</x:v>
      </x:c>
      <x:c r="B579" s="117" t="str">
        <x:v>Service_Contract_Updates_Status_Handler</x:v>
      </x:c>
      <x:c r="C579" s="117" t="str">
        <x:v>Yes</x:v>
      </x:c>
      <x:c r="D579" s="119" t="str">
        <x:v>Active v2 (Retrieved XML)</x:v>
      </x:c>
      <x:c r="E579" s="119" t="str">
        <x:v>Warranty_Status__c NotEqualTo stringValue=Expired | Warranty_Status__c IsNull booleanValue=false | Contract_Status__c NotEqualTo stringValue=Expired | Contract_Status__c IsNull booleanValue=false</x:v>
      </x:c>
      <x:c r="F579" s="119" t="str">
        <x:v>ServiceContract</x:v>
      </x:c>
      <x:c r="G579" s="119" t="str">
        <x:v>Contract_Status__c, EndDate, StartDate, Warranty_End_Date__c, Warranty_Start_Date__c, Warranty_Status__c</x:v>
      </x:c>
      <x:c r="H579" s="119" t="str"/>
      <x:c r="I579" s="119" t="str"/>
      <x:c r="J579" s="119" t="str"/>
      <x:c r="K579" s="118" t="n">
        <x:v>9</x:v>
      </x:c>
      <x:c r="L579" s="118" t="n">
        <x:v>0</x:v>
      </x:c>
      <x:c r="M579" s="118" t="n">
        <x:v>0</x:v>
      </x:c>
      <x:c r="N579" s="118" t="n">
        <x:v>0</x:v>
      </x:c>
      <x:c r="O579" s="118" t="n">
        <x:v>0</x:v>
      </x:c>
      <x:c r="P579" s="118" t="n">
        <x:v>0</x:v>
      </x:c>
      <x:c r="Q579" s="118" t="n">
        <x:v>4</x:v>
      </x:c>
      <x:c r="R579" s="118" t="n">
        <x:v>0</x:v>
      </x:c>
      <x:c r="S579" s="118" t="n">
        <x:v>0</x:v>
      </x:c>
      <x:c r="T579" s="118" t="n">
        <x:v>0</x:v>
      </x:c>
      <x:c r="U579" s="118" t="n">
        <x:v>0</x:v>
      </x:c>
      <x:c r="V579" s="118" t="n">
        <x:v>0</x:v>
      </x:c>
      <x:c r="W579" s="118" t="n">
        <x:v>0</x:v>
      </x:c>
      <x:c r="X579" s="118" t="n">
        <x:v>4</x:v>
      </x:c>
      <x:c r="Y579" s="118" t="n">
        <x:v>0</x:v>
      </x:c>
      <x:c r="Z579" s="118" t="n">
        <x:v>0</x:v>
      </x:c>
      <x:c r="AA579" s="118" t="n">
        <x:v>0</x:v>
      </x:c>
      <x:c r="AB579" s="118" t="n">
        <x:v>0</x:v>
      </x:c>
      <x:c r="AC579" s="118" t="n">
        <x:v>0</x:v>
      </x:c>
    </x:row>
    <x:row r="580" ht="46" customHeight="1">
      <x:c r="A580" s="117" t="str">
        <x:v>3004O000000TiaDQAS</x:v>
      </x:c>
      <x:c r="B580" s="117" t="str">
        <x:v>Service_Work_Order_Part_Name_Lookup</x:v>
      </x:c>
      <x:c r="C580" s="117" t="str">
        <x:v>No</x:v>
      </x:c>
      <x:c r="D580" s="119" t="str">
        <x:v>Latest inactive v15 (Retrieved XML)</x:v>
      </x:c>
      <x:c r="E580" s="119" t="str"/>
      <x:c r="F580" s="119" t="str">
        <x:v>WorkOrderLineItem</x:v>
      </x:c>
      <x:c r="G580" s="119" t="str">
        <x:v>Id, Part_Cost_Calculator__c, Part_Cost__c, Part_Name__c, Part_Used__c, Purchasing_Opportunity__c, Sales_Opp_3__c</x:v>
      </x:c>
      <x:c r="H580" s="119" t="str"/>
      <x:c r="I580" s="119" t="str"/>
      <x:c r="J580" s="119" t="str"/>
      <x:c r="K580" s="118" t="n">
        <x:v>5</x:v>
      </x:c>
      <x:c r="L580" s="118" t="n">
        <x:v>0</x:v>
      </x:c>
      <x:c r="M580" s="118" t="n">
        <x:v>0</x:v>
      </x:c>
      <x:c r="N580" s="118" t="n">
        <x:v>0</x:v>
      </x:c>
      <x:c r="O580" s="118" t="n">
        <x:v>0</x:v>
      </x:c>
      <x:c r="P580" s="118" t="n">
        <x:v>0</x:v>
      </x:c>
      <x:c r="Q580" s="118" t="n">
        <x:v>2</x:v>
      </x:c>
      <x:c r="R580" s="118" t="n">
        <x:v>0</x:v>
      </x:c>
      <x:c r="S580" s="118" t="n">
        <x:v>0</x:v>
      </x:c>
      <x:c r="T580" s="118" t="n">
        <x:v>0</x:v>
      </x:c>
      <x:c r="U580" s="118" t="n">
        <x:v>0</x:v>
      </x:c>
      <x:c r="V580" s="118" t="n">
        <x:v>0</x:v>
      </x:c>
      <x:c r="W580" s="118" t="n">
        <x:v>0</x:v>
      </x:c>
      <x:c r="X580" s="118" t="n">
        <x:v>3</x:v>
      </x:c>
      <x:c r="Y580" s="118" t="n">
        <x:v>0</x:v>
      </x:c>
      <x:c r="Z580" s="118" t="n">
        <x:v>0</x:v>
      </x:c>
      <x:c r="AA580" s="118" t="n">
        <x:v>0</x:v>
      </x:c>
      <x:c r="AB580" s="118" t="n">
        <x:v>0</x:v>
      </x:c>
      <x:c r="AC580" s="118" t="n">
        <x:v>0</x:v>
      </x:c>
    </x:row>
    <x:row r="581" ht="46" customHeight="1">
      <x:c r="A581" s="117" t="str">
        <x:v>300Ro00000n0wvxIAA</x:v>
      </x:c>
      <x:c r="B581" s="117" t="str">
        <x:v>Set_Entity_on_Opportunity_Creation</x:v>
      </x:c>
      <x:c r="C581" s="117" t="str">
        <x:v>Yes</x:v>
      </x:c>
      <x:c r="D581" s="119" t="str">
        <x:v>Active v1 (Retrieved XML)</x:v>
      </x:c>
      <x:c r="E581" s="119" t="str"/>
      <x:c r="F581" s="119" t="str">
        <x:v>Opportunity</x:v>
      </x:c>
      <x:c r="G581" s="119" t="str">
        <x:v>Entity__c</x:v>
      </x:c>
      <x:c r="H581" s="119" t="str"/>
      <x:c r="I581" s="119" t="str"/>
      <x:c r="J581" s="119" t="str"/>
      <x:c r="K581" s="118" t="n">
        <x:v>2</x:v>
      </x:c>
      <x:c r="L581" s="118" t="n">
        <x:v>0</x:v>
      </x:c>
      <x:c r="M581" s="118" t="n">
        <x:v>0</x:v>
      </x:c>
      <x:c r="N581" s="118" t="n">
        <x:v>0</x:v>
      </x:c>
      <x:c r="O581" s="118" t="n">
        <x:v>0</x:v>
      </x:c>
      <x:c r="P581" s="118" t="n">
        <x:v>0</x:v>
      </x:c>
      <x:c r="Q581" s="118" t="n">
        <x:v>0</x:v>
      </x:c>
      <x:c r="R581" s="118" t="n">
        <x:v>0</x:v>
      </x:c>
      <x:c r="S581" s="118" t="n">
        <x:v>0</x:v>
      </x:c>
      <x:c r="T581" s="118" t="n">
        <x:v>0</x:v>
      </x:c>
      <x:c r="U581" s="118" t="n">
        <x:v>0</x:v>
      </x:c>
      <x:c r="V581" s="118" t="n">
        <x:v>0</x:v>
      </x:c>
      <x:c r="W581" s="118" t="n">
        <x:v>0</x:v>
      </x:c>
      <x:c r="X581" s="118" t="n">
        <x:v>1</x:v>
      </x:c>
      <x:c r="Y581" s="118" t="n">
        <x:v>0</x:v>
      </x:c>
      <x:c r="Z581" s="118" t="n">
        <x:v>0</x:v>
      </x:c>
      <x:c r="AA581" s="118" t="n">
        <x:v>0</x:v>
      </x:c>
      <x:c r="AB581" s="118" t="n">
        <x:v>0</x:v>
      </x:c>
      <x:c r="AC581" s="118" t="n">
        <x:v>0</x:v>
      </x:c>
    </x:row>
    <x:row r="582" ht="46" customHeight="1">
      <x:c r="A582" s="117" t="str">
        <x:v>3000B0000004XbHQAU</x:v>
      </x:c>
      <x:c r="B582" s="117" t="str">
        <x:v>set_opportunity_field_to_product_Item</x:v>
      </x:c>
      <x:c r="C582" s="117" t="str">
        <x:v>No</x:v>
      </x:c>
      <x:c r="D582" s="119" t="str">
        <x:v>Latest inactive v5 (Retrieved XML)</x:v>
      </x:c>
      <x:c r="E582" s="119" t="str"/>
      <x:c r="F582" s="119" t="str">
        <x:v>OpportunityLineItem, ProductItem__c</x:v>
      </x:c>
      <x:c r="G582" s="119" t="str">
        <x:v>Account_Name__c, Close_Date__c, Id, Opportunity_Name__c, Ship_Date__c, Stage__c</x:v>
      </x:c>
      <x:c r="H582" s="119" t="str"/>
      <x:c r="I582" s="119" t="str"/>
      <x:c r="J582" s="119" t="str"/>
      <x:c r="K582" s="118" t="n">
        <x:v>3</x:v>
      </x:c>
      <x:c r="L582" s="118" t="n">
        <x:v>0</x:v>
      </x:c>
      <x:c r="M582" s="118" t="n">
        <x:v>0</x:v>
      </x:c>
      <x:c r="N582" s="118" t="n">
        <x:v>1</x:v>
      </x:c>
      <x:c r="O582" s="118" t="n">
        <x:v>0</x:v>
      </x:c>
      <x:c r="P582" s="118" t="n">
        <x:v>0</x:v>
      </x:c>
      <x:c r="Q582" s="118" t="n">
        <x:v>1</x:v>
      </x:c>
      <x:c r="R582" s="118" t="n">
        <x:v>0</x:v>
      </x:c>
      <x:c r="S582" s="118" t="n">
        <x:v>0</x:v>
      </x:c>
      <x:c r="T582" s="118" t="n">
        <x:v>0</x:v>
      </x:c>
      <x:c r="U582" s="118" t="n">
        <x:v>0</x:v>
      </x:c>
      <x:c r="V582" s="118" t="n">
        <x:v>0</x:v>
      </x:c>
      <x:c r="W582" s="118" t="n">
        <x:v>0</x:v>
      </x:c>
      <x:c r="X582" s="118" t="n">
        <x:v>1</x:v>
      </x:c>
      <x:c r="Y582" s="118" t="n">
        <x:v>0</x:v>
      </x:c>
      <x:c r="Z582" s="118" t="n">
        <x:v>0</x:v>
      </x:c>
      <x:c r="AA582" s="118" t="n">
        <x:v>0</x:v>
      </x:c>
      <x:c r="AB582" s="118" t="n">
        <x:v>0</x:v>
      </x:c>
      <x:c r="AC582" s="118" t="n">
        <x:v>0</x:v>
      </x:c>
    </x:row>
    <x:row r="583" ht="46" customHeight="1">
      <x:c r="A583" s="117" t="str">
        <x:v>3005b000000H2LpAAK</x:v>
      </x:c>
      <x:c r="B583" s="117" t="str">
        <x:v>Set_Primary_Contact</x:v>
      </x:c>
      <x:c r="C583" s="117" t="str">
        <x:v>No</x:v>
      </x:c>
      <x:c r="D583" s="119" t="str">
        <x:v>Latest inactive v5 (Retrieved XML)</x:v>
      </x:c>
      <x:c r="E583" s="119" t="str">
        <x:v>Number_of_Contacts__c IsChanged booleanValue=true | Number_of_Contacts__c GreaterThan numberValue=0.0</x:v>
      </x:c>
      <x:c r="F583" s="119" t="str">
        <x:v>Account, Contact</x:v>
      </x:c>
      <x:c r="G583" s="119" t="str">
        <x:v>AccountId, Id, Number_of_Contacts__c</x:v>
      </x:c>
      <x:c r="H583" s="119" t="str"/>
      <x:c r="I583" s="119" t="str"/>
      <x:c r="J583" s="119" t="str"/>
      <x:c r="K583" s="118" t="n">
        <x:v>5</x:v>
      </x:c>
      <x:c r="L583" s="118" t="n">
        <x:v>0</x:v>
      </x:c>
      <x:c r="M583" s="118" t="n">
        <x:v>0</x:v>
      </x:c>
      <x:c r="N583" s="118" t="n">
        <x:v>1</x:v>
      </x:c>
      <x:c r="O583" s="118" t="n">
        <x:v>0</x:v>
      </x:c>
      <x:c r="P583" s="118" t="n">
        <x:v>0</x:v>
      </x:c>
      <x:c r="Q583" s="118" t="n">
        <x:v>0</x:v>
      </x:c>
      <x:c r="R583" s="118" t="n">
        <x:v>1</x:v>
      </x:c>
      <x:c r="S583" s="118" t="n">
        <x:v>0</x:v>
      </x:c>
      <x:c r="T583" s="118" t="n">
        <x:v>0</x:v>
      </x:c>
      <x:c r="U583" s="118" t="n">
        <x:v>0</x:v>
      </x:c>
      <x:c r="V583" s="118" t="n">
        <x:v>1</x:v>
      </x:c>
      <x:c r="W583" s="118" t="n">
        <x:v>0</x:v>
      </x:c>
      <x:c r="X583" s="118" t="n">
        <x:v>1</x:v>
      </x:c>
      <x:c r="Y583" s="118" t="n">
        <x:v>0</x:v>
      </x:c>
      <x:c r="Z583" s="118" t="n">
        <x:v>0</x:v>
      </x:c>
      <x:c r="AA583" s="118" t="n">
        <x:v>0</x:v>
      </x:c>
      <x:c r="AB583" s="118" t="n">
        <x:v>0</x:v>
      </x:c>
      <x:c r="AC583" s="118" t="n">
        <x:v>0</x:v>
      </x:c>
    </x:row>
    <x:row r="584" ht="46" customHeight="1">
      <x:c r="A584" s="117" t="str">
        <x:v>300Ro00000WEzvgIAD</x:v>
      </x:c>
      <x:c r="B584" s="117" t="str">
        <x:v>Set_SA_Duration_for_Ultrasound_Work_Types</x:v>
      </x:c>
      <x:c r="C584" s="117" t="str">
        <x:v>Yes</x:v>
      </x:c>
      <x:c r="D584" s="119" t="str">
        <x:v>Active v6 (Retrieved XML)</x:v>
      </x:c>
      <x:c r="E584" s="119" t="str">
        <x:v>Modality__c EqualTo stringValue=Ultrasound | Shipping_FROM_Location__c EqualTo stringValue=Gloucester, UK | Duration IsNull booleanValue=true</x:v>
      </x:c>
      <x:c r="F584" s="119" t="str">
        <x:v>ServiceAppointment</x:v>
      </x:c>
      <x:c r="G584" s="119" t="str">
        <x:v>Appointment_Type__c, Duration, Modality__c, Shipping_FROM_Location__c</x:v>
      </x:c>
      <x:c r="H584" s="119" t="str"/>
      <x:c r="I584" s="119" t="str"/>
      <x:c r="J584" s="119" t="str"/>
      <x:c r="K584" s="118" t="n">
        <x:v>5</x:v>
      </x:c>
      <x:c r="L584" s="118" t="n">
        <x:v>0</x:v>
      </x:c>
      <x:c r="M584" s="118" t="n">
        <x:v>0</x:v>
      </x:c>
      <x:c r="N584" s="118" t="n">
        <x:v>2</x:v>
      </x:c>
      <x:c r="O584" s="118" t="n">
        <x:v>0</x:v>
      </x:c>
      <x:c r="P584" s="118" t="n">
        <x:v>0</x:v>
      </x:c>
      <x:c r="Q584" s="118" t="n">
        <x:v>1</x:v>
      </x:c>
      <x:c r="R584" s="118" t="n">
        <x:v>0</x:v>
      </x:c>
      <x:c r="S584" s="118" t="n">
        <x:v>0</x:v>
      </x:c>
      <x:c r="T584" s="118" t="n">
        <x:v>0</x:v>
      </x:c>
      <x:c r="U584" s="118" t="n">
        <x:v>0</x:v>
      </x:c>
      <x:c r="V584" s="118" t="n">
        <x:v>0</x:v>
      </x:c>
      <x:c r="W584" s="118" t="n">
        <x:v>0</x:v>
      </x:c>
      <x:c r="X584" s="118" t="n">
        <x:v>1</x:v>
      </x:c>
      <x:c r="Y584" s="118" t="n">
        <x:v>0</x:v>
      </x:c>
      <x:c r="Z584" s="118" t="n">
        <x:v>0</x:v>
      </x:c>
      <x:c r="AA584" s="118" t="n">
        <x:v>0</x:v>
      </x:c>
      <x:c r="AB584" s="118" t="n">
        <x:v>0</x:v>
      </x:c>
      <x:c r="AC584" s="118" t="n">
        <x:v>0</x:v>
      </x:c>
    </x:row>
    <x:row r="585" ht="46" customHeight="1">
      <x:c r="A585" s="117" t="str">
        <x:v>300Ro00000REVFnIAP</x:v>
      </x:c>
      <x:c r="B585" s="117" t="str">
        <x:v>Set_Service_Appointment_on_New_Work_Order_Line_Item</x:v>
      </x:c>
      <x:c r="C585" s="117" t="str">
        <x:v>Yes</x:v>
      </x:c>
      <x:c r="D585" s="119" t="str">
        <x:v>Active v6 (Retrieved XML)</x:v>
      </x:c>
      <x:c r="E585" s="119" t="str"/>
      <x:c r="F585" s="119" t="str">
        <x:v>ServiceAppointment, WorkOrderLineItem</x:v>
      </x:c>
      <x:c r="G585" s="119" t="str">
        <x:v>Appointment_Type__c, ParentRecordId, Service_Appointment__c, WorkOrderId</x:v>
      </x:c>
      <x:c r="H585" s="119" t="str"/>
      <x:c r="I585" s="119" t="str"/>
      <x:c r="J585" s="119" t="str"/>
      <x:c r="K585" s="118" t="n">
        <x:v>3</x:v>
      </x:c>
      <x:c r="L585" s="118" t="n">
        <x:v>0</x:v>
      </x:c>
      <x:c r="M585" s="118" t="n">
        <x:v>0</x:v>
      </x:c>
      <x:c r="N585" s="118" t="n">
        <x:v>0</x:v>
      </x:c>
      <x:c r="O585" s="118" t="n">
        <x:v>0</x:v>
      </x:c>
      <x:c r="P585" s="118" t="n">
        <x:v>0</x:v>
      </x:c>
      <x:c r="Q585" s="118" t="n">
        <x:v>0</x:v>
      </x:c>
      <x:c r="R585" s="118" t="n">
        <x:v>0</x:v>
      </x:c>
      <x:c r="S585" s="118" t="n">
        <x:v>0</x:v>
      </x:c>
      <x:c r="T585" s="118" t="n">
        <x:v>0</x:v>
      </x:c>
      <x:c r="U585" s="118" t="n">
        <x:v>0</x:v>
      </x:c>
      <x:c r="V585" s="118" t="n">
        <x:v>1</x:v>
      </x:c>
      <x:c r="W585" s="118" t="n">
        <x:v>0</x:v>
      </x:c>
      <x:c r="X585" s="118" t="n">
        <x:v>1</x:v>
      </x:c>
      <x:c r="Y585" s="118" t="n">
        <x:v>0</x:v>
      </x:c>
      <x:c r="Z585" s="118" t="n">
        <x:v>0</x:v>
      </x:c>
      <x:c r="AA585" s="118" t="n">
        <x:v>0</x:v>
      </x:c>
      <x:c r="AB585" s="118" t="n">
        <x:v>0</x:v>
      </x:c>
      <x:c r="AC585" s="118" t="n">
        <x:v>0</x:v>
      </x:c>
    </x:row>
    <x:row r="586" ht="46" customHeight="1">
      <x:c r="A586" s="117" t="str">
        <x:v>300Ro00000ghrtiIAA</x:v>
      </x:c>
      <x:c r="B586" s="117" t="str">
        <x:v>Set_Service_Appointment_on_RMA_when_Work_Order_Attached</x:v>
      </x:c>
      <x:c r="C586" s="117" t="str">
        <x:v>Yes</x:v>
      </x:c>
      <x:c r="D586" s="119" t="str">
        <x:v>Active v1 (Retrieved XML)</x:v>
      </x:c>
      <x:c r="E586" s="119" t="str">
        <x:v>Work_Order__c IsNull booleanValue=false | Service_Appointment__c IsNull booleanValue=true</x:v>
      </x:c>
      <x:c r="F586" s="119" t="str">
        <x:v>RMA__c, ServiceAppointment</x:v>
      </x:c>
      <x:c r="G586" s="119" t="str">
        <x:v>ParentRecordId, Service_Appointment__c, Work_Order__c</x:v>
      </x:c>
      <x:c r="H586" s="119" t="str"/>
      <x:c r="I586" s="119" t="str"/>
      <x:c r="J586" s="119" t="str"/>
      <x:c r="K586" s="118" t="n">
        <x:v>4</x:v>
      </x:c>
      <x:c r="L586" s="118" t="n">
        <x:v>0</x:v>
      </x:c>
      <x:c r="M586" s="118" t="n">
        <x:v>0</x:v>
      </x:c>
      <x:c r="N586" s="118" t="n">
        <x:v>0</x:v>
      </x:c>
      <x:c r="O586" s="118" t="n">
        <x:v>0</x:v>
      </x:c>
      <x:c r="P586" s="118" t="n">
        <x:v>0</x:v>
      </x:c>
      <x:c r="Q586" s="118" t="n">
        <x:v>1</x:v>
      </x:c>
      <x:c r="R586" s="118" t="n">
        <x:v>0</x:v>
      </x:c>
      <x:c r="S586" s="118" t="n">
        <x:v>0</x:v>
      </x:c>
      <x:c r="T586" s="118" t="n">
        <x:v>0</x:v>
      </x:c>
      <x:c r="U586" s="118" t="n">
        <x:v>0</x:v>
      </x:c>
      <x:c r="V586" s="118" t="n">
        <x:v>1</x:v>
      </x:c>
      <x:c r="W586" s="118" t="n">
        <x:v>0</x:v>
      </x:c>
      <x:c r="X586" s="118" t="n">
        <x:v>1</x:v>
      </x:c>
      <x:c r="Y586" s="118" t="n">
        <x:v>0</x:v>
      </x:c>
      <x:c r="Z586" s="118" t="n">
        <x:v>0</x:v>
      </x:c>
      <x:c r="AA586" s="118" t="n">
        <x:v>0</x:v>
      </x:c>
      <x:c r="AB586" s="118" t="n">
        <x:v>0</x:v>
      </x:c>
      <x:c r="AC586" s="118" t="n">
        <x:v>0</x:v>
      </x:c>
    </x:row>
    <x:row r="587" ht="46" customHeight="1">
      <x:c r="A587" s="117" t="str">
        <x:v>3004O000000TiZ0QAK</x:v>
      </x:c>
      <x:c r="B587" s="117" t="str">
        <x:v>Set_Ship_Date_from_Shipment_Record</x:v>
      </x:c>
      <x:c r="C587" s="117" t="str">
        <x:v>Yes</x:v>
      </x:c>
      <x:c r="D587" s="119" t="str">
        <x:v>Active v9 (Tooling metadata)</x:v>
      </x:c>
      <x:c r="E587" s="119" t="str"/>
      <x:c r="F587" s="119" t="str">
        <x:v>Loaner__c, Opportunity, zkmulti__MCShipment__c</x:v>
      </x:c>
      <x:c r="G587" s="119" t="str">
        <x:v>Id, Ship_Date_New__c, Ship_Date__c</x:v>
      </x:c>
      <x:c r="H587" s="119" t="str"/>
      <x:c r="I587" s="119" t="str"/>
      <x:c r="J587" s="119" t="str"/>
      <x:c r="K587" s="118" t="n">
        <x:v>28</x:v>
      </x:c>
      <x:c r="L587" s="118" t="n">
        <x:v>0</x:v>
      </x:c>
      <x:c r="M587" s="118" t="n">
        <x:v>0</x:v>
      </x:c>
      <x:c r="N587" s="118" t="n">
        <x:v>8</x:v>
      </x:c>
      <x:c r="O587" s="118" t="n">
        <x:v>0</x:v>
      </x:c>
      <x:c r="P587" s="118" t="n">
        <x:v>0</x:v>
      </x:c>
      <x:c r="Q587" s="118" t="n">
        <x:v>12</x:v>
      </x:c>
      <x:c r="R587" s="118" t="n">
        <x:v>0</x:v>
      </x:c>
      <x:c r="S587" s="118" t="n">
        <x:v>0</x:v>
      </x:c>
      <x:c r="T587" s="118" t="n">
        <x:v>0</x:v>
      </x:c>
      <x:c r="U587" s="118" t="n">
        <x:v>0</x:v>
      </x:c>
      <x:c r="V587" s="118" t="n">
        <x:v>0</x:v>
      </x:c>
      <x:c r="W587" s="118" t="n">
        <x:v>0</x:v>
      </x:c>
      <x:c r="X587" s="118" t="n">
        <x:v>4</x:v>
      </x:c>
      <x:c r="Y587" s="118" t="n">
        <x:v>0</x:v>
      </x:c>
      <x:c r="Z587" s="118" t="n">
        <x:v>0</x:v>
      </x:c>
      <x:c r="AA587" s="118" t="n">
        <x:v>0</x:v>
      </x:c>
      <x:c r="AB587" s="118" t="n">
        <x:v>0</x:v>
      </x:c>
      <x:c r="AC587" s="118" t="n">
        <x:v>4</x:v>
      </x:c>
    </x:row>
    <x:row r="588" ht="46" customHeight="1">
      <x:c r="A588" s="117" t="str">
        <x:v>300Ro00000uhVJiIAM</x:v>
      </x:c>
      <x:c r="B588" s="117" t="str">
        <x:v>Set_Shipping_Account_to_Bill_on_Opp_to_the_Account_s_Default_Shipping_Account</x:v>
      </x:c>
      <x:c r="C588" s="117" t="str">
        <x:v>No</x:v>
      </x:c>
      <x:c r="D588" s="119" t="str">
        <x:v>Latest inactive v1 (Retrieved XML)</x:v>
      </x:c>
      <x:c r="E588" s="119" t="str"/>
      <x:c r="F588" s="119" t="str">
        <x:v>Opportunity</x:v>
      </x:c>
      <x:c r="G588" s="119" t="str">
        <x:v>Account, Shipping_Account_to_Bill__c</x:v>
      </x:c>
      <x:c r="H588" s="119" t="str"/>
      <x:c r="I588" s="119" t="str"/>
      <x:c r="J588" s="119" t="str"/>
      <x:c r="K588" s="118" t="n">
        <x:v>2</x:v>
      </x:c>
      <x:c r="L588" s="118" t="n">
        <x:v>0</x:v>
      </x:c>
      <x:c r="M588" s="118" t="n">
        <x:v>0</x:v>
      </x:c>
      <x:c r="N588" s="118" t="n">
        <x:v>0</x:v>
      </x:c>
      <x:c r="O588" s="118" t="n">
        <x:v>0</x:v>
      </x:c>
      <x:c r="P588" s="118" t="n">
        <x:v>0</x:v>
      </x:c>
      <x:c r="Q588" s="118" t="n">
        <x:v>0</x:v>
      </x:c>
      <x:c r="R588" s="118" t="n">
        <x:v>0</x:v>
      </x:c>
      <x:c r="S588" s="118" t="n">
        <x:v>0</x:v>
      </x:c>
      <x:c r="T588" s="118" t="n">
        <x:v>0</x:v>
      </x:c>
      <x:c r="U588" s="118" t="n">
        <x:v>0</x:v>
      </x:c>
      <x:c r="V588" s="118" t="n">
        <x:v>0</x:v>
      </x:c>
      <x:c r="W588" s="118" t="n">
        <x:v>0</x:v>
      </x:c>
      <x:c r="X588" s="118" t="n">
        <x:v>1</x:v>
      </x:c>
      <x:c r="Y588" s="118" t="n">
        <x:v>0</x:v>
      </x:c>
      <x:c r="Z588" s="118" t="n">
        <x:v>0</x:v>
      </x:c>
      <x:c r="AA588" s="118" t="n">
        <x:v>0</x:v>
      </x:c>
      <x:c r="AB588" s="118" t="n">
        <x:v>0</x:v>
      </x:c>
      <x:c r="AC588" s="118" t="n">
        <x:v>0</x:v>
      </x:c>
    </x:row>
    <x:row r="589" ht="46" customHeight="1">
      <x:c r="A589" s="117" t="str">
        <x:v>3004O000000XhLmQAK</x:v>
      </x:c>
      <x:c r="B589" s="117" t="str">
        <x:v>Set_Task_Ownership_from_Delegate_to_Opp_Owner</x:v>
      </x:c>
      <x:c r="C589" s="117" t="str">
        <x:v>Yes</x:v>
      </x:c>
      <x:c r="D589" s="119" t="str">
        <x:v>Active v1 (Retrieved XML)</x:v>
      </x:c>
      <x:c r="E589" s="119" t="str"/>
      <x:c r="F589" s="119" t="str">
        <x:v>Opportunity, Task</x:v>
      </x:c>
      <x:c r="G589" s="119" t="str">
        <x:v>Id, OwnerId</x:v>
      </x:c>
      <x:c r="H589" s="119" t="str"/>
      <x:c r="I589" s="119" t="str"/>
      <x:c r="J589" s="119" t="str"/>
      <x:c r="K589" s="118" t="n">
        <x:v>3</x:v>
      </x:c>
      <x:c r="L589" s="118" t="n">
        <x:v>0</x:v>
      </x:c>
      <x:c r="M589" s="118" t="n">
        <x:v>0</x:v>
      </x:c>
      <x:c r="N589" s="118" t="n">
        <x:v>0</x:v>
      </x:c>
      <x:c r="O589" s="118" t="n">
        <x:v>0</x:v>
      </x:c>
      <x:c r="P589" s="118" t="n">
        <x:v>0</x:v>
      </x:c>
      <x:c r="Q589" s="118" t="n">
        <x:v>0</x:v>
      </x:c>
      <x:c r="R589" s="118" t="n">
        <x:v>0</x:v>
      </x:c>
      <x:c r="S589" s="118" t="n">
        <x:v>0</x:v>
      </x:c>
      <x:c r="T589" s="118" t="n">
        <x:v>0</x:v>
      </x:c>
      <x:c r="U589" s="118" t="n">
        <x:v>0</x:v>
      </x:c>
      <x:c r="V589" s="118" t="n">
        <x:v>1</x:v>
      </x:c>
      <x:c r="W589" s="118" t="n">
        <x:v>0</x:v>
      </x:c>
      <x:c r="X589" s="118" t="n">
        <x:v>1</x:v>
      </x:c>
      <x:c r="Y589" s="118" t="n">
        <x:v>0</x:v>
      </x:c>
      <x:c r="Z589" s="118" t="n">
        <x:v>0</x:v>
      </x:c>
      <x:c r="AA589" s="118" t="n">
        <x:v>0</x:v>
      </x:c>
      <x:c r="AB589" s="118" t="n">
        <x:v>0</x:v>
      </x:c>
      <x:c r="AC589" s="118" t="n">
        <x:v>0</x:v>
      </x:c>
    </x:row>
    <x:row r="590" ht="46" customHeight="1">
      <x:c r="A590" s="117" t="str">
        <x:v>300Ro00000vFVp9IAG</x:v>
      </x:c>
      <x:c r="B590" s="117" t="str">
        <x:v>Sets_the_FSR_Datestamp_to_Today_when_FSR_Not_Required_or_FSR_Attached_is_Checked</x:v>
      </x:c>
      <x:c r="C590" s="117" t="str">
        <x:v>Yes</x:v>
      </x:c>
      <x:c r="D590" s="119" t="str">
        <x:v>Active v1 (Retrieved XML)</x:v>
      </x:c>
      <x:c r="E590" s="119" t="str">
        <x:v>FSR_Attached__c IsChanged booleanValue=true | FSR_Attached__c EqualTo booleanValue=true | FSR_Not_Required__c IsChanged booleanValue=true | FSR_Not_Required__c EqualTo booleanValue=true</x:v>
      </x:c>
      <x:c r="F590" s="119" t="str">
        <x:v>Opportunity</x:v>
      </x:c>
      <x:c r="G590" s="119" t="str">
        <x:v>FSR_Attached__c, FSR_Datestamp__c, FSR_Not_Required__c</x:v>
      </x:c>
      <x:c r="H590" s="119" t="str"/>
      <x:c r="I590" s="119" t="str"/>
      <x:c r="J590" s="119" t="str"/>
      <x:c r="K590" s="118" t="n">
        <x:v>2</x:v>
      </x:c>
      <x:c r="L590" s="118" t="n">
        <x:v>0</x:v>
      </x:c>
      <x:c r="M590" s="118" t="n">
        <x:v>0</x:v>
      </x:c>
      <x:c r="N590" s="118" t="n">
        <x:v>0</x:v>
      </x:c>
      <x:c r="O590" s="118" t="n">
        <x:v>0</x:v>
      </x:c>
      <x:c r="P590" s="118" t="n">
        <x:v>0</x:v>
      </x:c>
      <x:c r="Q590" s="118" t="n">
        <x:v>0</x:v>
      </x:c>
      <x:c r="R590" s="118" t="n">
        <x:v>0</x:v>
      </x:c>
      <x:c r="S590" s="118" t="n">
        <x:v>0</x:v>
      </x:c>
      <x:c r="T590" s="118" t="n">
        <x:v>0</x:v>
      </x:c>
      <x:c r="U590" s="118" t="n">
        <x:v>0</x:v>
      </x:c>
      <x:c r="V590" s="118" t="n">
        <x:v>0</x:v>
      </x:c>
      <x:c r="W590" s="118" t="n">
        <x:v>0</x:v>
      </x:c>
      <x:c r="X590" s="118" t="n">
        <x:v>1</x:v>
      </x:c>
      <x:c r="Y590" s="118" t="n">
        <x:v>0</x:v>
      </x:c>
      <x:c r="Z590" s="118" t="n">
        <x:v>0</x:v>
      </x:c>
      <x:c r="AA590" s="118" t="n">
        <x:v>0</x:v>
      </x:c>
      <x:c r="AB590" s="118" t="n">
        <x:v>0</x:v>
      </x:c>
      <x:c r="AC590" s="118" t="n">
        <x:v>0</x:v>
      </x:c>
    </x:row>
    <x:row r="591" ht="46" customHeight="1">
      <x:c r="A591" s="117" t="str">
        <x:v>3005b000000LHrFAAW</x:v>
      </x:c>
      <x:c r="B591" s="117" t="str">
        <x:v>Shipping_Product_Price_Qty_on_Op_Update_Flow</x:v>
      </x:c>
      <x:c r="C591" s="117" t="str">
        <x:v>No</x:v>
      </x:c>
      <x:c r="D591" s="119" t="str">
        <x:v>Latest inactive v21 (Retrieved XML)</x:v>
      </x:c>
      <x:c r="E591" s="119" t="str">
        <x:v>Ultrasound_Parts__c IsChanged booleanValue=true | Ultrasound_Probes__c IsChanged booleanValue=true | Ultrasound_Systems__c IsChanged booleanValue=true | Opp_Record_Type__c Contains stringValue=Sales | Opp_Record_Type__c NotEqualTo stringValue=Big Iron Sales Opportunity | Opp_Record_Type__c NotEqualTo stringValue=C-Arm Sales Opportunity | Shipping_Account__c IsNull booleanValue=true | Ship_Type__c IsChanged booleanValue=true | Ultrasound_Probes__c GreaterThan numberValue=0.0 | Ultrasound_Parts__c GreaterThan numberValue=0.0 | Ultrasound_Systems__c GreaterThan numberValue=0.0 | Approval_Status__c NotEqualTo stringValue=Financial approved | StageName NotEqualTo stringValue=Sold but not Shipped | StageName NotEqualTo stringValue=Closed Won | Opp_Record_Type__c NotEqualTo stringValue=Service_Sales_Opportunity | RecordTypeId NotEqualTo stringValue=0124O000000tE5nQAE | Approval_Status__c EqualTo stringValue=Not submitted</x:v>
      </x:c>
      <x:c r="F591" s="119" t="str">
        <x:v>Opportunity, OpportunityLineItem</x:v>
      </x:c>
      <x:c r="G591" s="119" t="str">
        <x:v>Approval_Status__c, Id, New_Mindray_System_Deal__c, Opp_Record_Type__c, OpportunityId, Product_Name__c, Quantity, RecordTypeId, Ship_Type__c, Shipping_Account__c, StageName, Ultrasound_Parts__c, Ultrasound_Probes__c, Ultrasound_Systems__c, UnitPrice</x:v>
      </x:c>
      <x:c r="H591" s="119" t="str"/>
      <x:c r="I591" s="119" t="str"/>
      <x:c r="J591" s="119" t="str"/>
      <x:c r="K591" s="118" t="n">
        <x:v>19</x:v>
      </x:c>
      <x:c r="L591" s="118" t="n">
        <x:v>0</x:v>
      </x:c>
      <x:c r="M591" s="118" t="n">
        <x:v>0</x:v>
      </x:c>
      <x:c r="N591" s="118" t="n">
        <x:v>0</x:v>
      </x:c>
      <x:c r="O591" s="118" t="n">
        <x:v>0</x:v>
      </x:c>
      <x:c r="P591" s="118" t="n">
        <x:v>0</x:v>
      </x:c>
      <x:c r="Q591" s="118" t="n">
        <x:v>4</x:v>
      </x:c>
      <x:c r="R591" s="118" t="n">
        <x:v>0</x:v>
      </x:c>
      <x:c r="S591" s="118" t="n">
        <x:v>0</x:v>
      </x:c>
      <x:c r="T591" s="118" t="n">
        <x:v>0</x:v>
      </x:c>
      <x:c r="U591" s="118" t="n">
        <x:v>0</x:v>
      </x:c>
      <x:c r="V591" s="118" t="n">
        <x:v>1</x:v>
      </x:c>
      <x:c r="W591" s="118" t="n">
        <x:v>0</x:v>
      </x:c>
      <x:c r="X591" s="118" t="n">
        <x:v>13</x:v>
      </x:c>
      <x:c r="Y591" s="118" t="n">
        <x:v>0</x:v>
      </x:c>
      <x:c r="Z591" s="118" t="n">
        <x:v>0</x:v>
      </x:c>
      <x:c r="AA591" s="118" t="n">
        <x:v>0</x:v>
      </x:c>
      <x:c r="AB591" s="118" t="n">
        <x:v>0</x:v>
      </x:c>
      <x:c r="AC591" s="118" t="n">
        <x:v>0</x:v>
      </x:c>
    </x:row>
    <x:row r="592" ht="46" customHeight="1">
      <x:c r="A592" s="117" t="str">
        <x:v>3005b00000113ONAAY</x:v>
      </x:c>
      <x:c r="B592" s="117" t="str">
        <x:v>Smart_Payment_Routing_Flow_Template</x:v>
      </x:c>
      <x:c r="C592" s="117" t="str">
        <x:v>No</x:v>
      </x:c>
      <x:c r="D592" s="119" t="str">
        <x:v>Latest inactive v2 (Tooling metadata)</x:v>
      </x:c>
      <x:c r="E592" s="119" t="str"/>
      <x:c r="F592" s="119" t="str"/>
      <x:c r="G592" s="119" t="str"/>
      <x:c r="H592" s="119" t="str"/>
      <x:c r="I592" s="119" t="str"/>
      <x:c r="J592" s="119" t="str"/>
      <x:c r="K592" s="118" t="n">
        <x:v>4</x:v>
      </x:c>
      <x:c r="L592" s="118" t="n">
        <x:v>0</x:v>
      </x:c>
      <x:c r="M592" s="118" t="n">
        <x:v>0</x:v>
      </x:c>
      <x:c r="N592" s="118" t="n">
        <x:v>2</x:v>
      </x:c>
      <x:c r="O592" s="118" t="n">
        <x:v>0</x:v>
      </x:c>
      <x:c r="P592" s="118" t="n">
        <x:v>0</x:v>
      </x:c>
      <x:c r="Q592" s="118" t="n">
        <x:v>1</x:v>
      </x:c>
      <x:c r="R592" s="118" t="n">
        <x:v>0</x:v>
      </x:c>
      <x:c r="S592" s="118" t="n">
        <x:v>0</x:v>
      </x:c>
      <x:c r="T592" s="118" t="n">
        <x:v>0</x:v>
      </x:c>
      <x:c r="U592" s="118" t="n">
        <x:v>0</x:v>
      </x:c>
      <x:c r="V592" s="118" t="n">
        <x:v>0</x:v>
      </x:c>
      <x:c r="W592" s="118" t="n">
        <x:v>0</x:v>
      </x:c>
      <x:c r="X592" s="118" t="n">
        <x:v>0</x:v>
      </x:c>
      <x:c r="Y592" s="118" t="n">
        <x:v>0</x:v>
      </x:c>
      <x:c r="Z592" s="118" t="n">
        <x:v>0</x:v>
      </x:c>
      <x:c r="AA592" s="118" t="n">
        <x:v>0</x:v>
      </x:c>
      <x:c r="AB592" s="118" t="n">
        <x:v>0</x:v>
      </x:c>
      <x:c r="AC592" s="118" t="n">
        <x:v>0</x:v>
      </x:c>
    </x:row>
    <x:row r="593" ht="46" customHeight="1">
      <x:c r="A593" s="117" t="str">
        <x:v>300Ro00000QFaIkIAL</x:v>
      </x:c>
      <x:c r="B593" s="117" t="str">
        <x:v>Sourcing_Request_Assignment_Flow</x:v>
      </x:c>
      <x:c r="C593" s="117" t="str">
        <x:v>Yes</x:v>
      </x:c>
      <x:c r="D593" s="119" t="str">
        <x:v>Active v5 (Retrieved XML)</x:v>
      </x:c>
      <x:c r="E593" s="119" t="str">
        <x:v>Created_by_UK__c EqualTo booleanValue=false</x:v>
      </x:c>
      <x:c r="F593" s="119" t="str">
        <x:v>Sourcing_Request_Item__c</x:v>
      </x:c>
      <x:c r="G593" s="119" t="str">
        <x:v>Assigned_to__c, Created_by_UK__c, Generic_Item__r, Id, Model__c, Name, Product_Family__c, Product_Name__c, Requesting_Opportunity__r</x:v>
      </x:c>
      <x:c r="H593" s="119" t="str">
        <x:v>emailSimple</x:v>
      </x:c>
      <x:c r="I593" s="119" t="str"/>
      <x:c r="J593" s="119" t="str"/>
      <x:c r="K593" s="118" t="n">
        <x:v>17</x:v>
      </x:c>
      <x:c r="L593" s="118" t="n">
        <x:v>1</x:v>
      </x:c>
      <x:c r="M593" s="118" t="n">
        <x:v>0</x:v>
      </x:c>
      <x:c r="N593" s="118" t="n">
        <x:v>7</x:v>
      </x:c>
      <x:c r="O593" s="118" t="n">
        <x:v>0</x:v>
      </x:c>
      <x:c r="P593" s="118" t="n">
        <x:v>0</x:v>
      </x:c>
      <x:c r="Q593" s="118" t="n">
        <x:v>1</x:v>
      </x:c>
      <x:c r="R593" s="118" t="n">
        <x:v>0</x:v>
      </x:c>
      <x:c r="S593" s="118" t="n">
        <x:v>0</x:v>
      </x:c>
      <x:c r="T593" s="118" t="n">
        <x:v>0</x:v>
      </x:c>
      <x:c r="U593" s="118" t="n">
        <x:v>0</x:v>
      </x:c>
      <x:c r="V593" s="118" t="n">
        <x:v>0</x:v>
      </x:c>
      <x:c r="W593" s="118" t="n">
        <x:v>0</x:v>
      </x:c>
      <x:c r="X593" s="118" t="n">
        <x:v>7</x:v>
      </x:c>
      <x:c r="Y593" s="118" t="n">
        <x:v>0</x:v>
      </x:c>
      <x:c r="Z593" s="118" t="n">
        <x:v>0</x:v>
      </x:c>
      <x:c r="AA593" s="118" t="n">
        <x:v>0</x:v>
      </x:c>
      <x:c r="AB593" s="118" t="n">
        <x:v>0</x:v>
      </x:c>
      <x:c r="AC593" s="118" t="n">
        <x:v>0</x:v>
      </x:c>
    </x:row>
    <x:row r="594" ht="46" customHeight="1">
      <x:c r="A594" s="117" t="str">
        <x:v>300Ro00000J1noaIAB</x:v>
      </x:c>
      <x:c r="B594" s="117" t="str">
        <x:v>Sourcing_Request_Creation_Flow</x:v>
      </x:c>
      <x:c r="C594" s="117" t="str">
        <x:v>No</x:v>
      </x:c>
      <x:c r="D594" s="119" t="str">
        <x:v>Latest inactive v6 (Retrieved XML)</x:v>
      </x:c>
      <x:c r="E594" s="119" t="str"/>
      <x:c r="F594" s="119" t="str">
        <x:v>Sourcing_Request_Item__c</x:v>
      </x:c>
      <x:c r="G594" s="119" t="str">
        <x:v>Additional_Details__c, Condition_Requested__c, CurrencyIsoCode, Max_Budget__c, Model__c, Product_Name__r, Purpose_of_Procurement__c</x:v>
      </x:c>
      <x:c r="H594" s="119" t="str">
        <x:v>emailSimple</x:v>
      </x:c>
      <x:c r="I594" s="119" t="str"/>
      <x:c r="J594" s="119" t="str"/>
      <x:c r="K594" s="118" t="n">
        <x:v>7</x:v>
      </x:c>
      <x:c r="L594" s="118" t="n">
        <x:v>2</x:v>
      </x:c>
      <x:c r="M594" s="118" t="n">
        <x:v>0</x:v>
      </x:c>
      <x:c r="N594" s="118" t="n">
        <x:v>2</x:v>
      </x:c>
      <x:c r="O594" s="118" t="n">
        <x:v>0</x:v>
      </x:c>
      <x:c r="P594" s="118" t="n">
        <x:v>0</x:v>
      </x:c>
      <x:c r="Q594" s="118" t="n">
        <x:v>2</x:v>
      </x:c>
      <x:c r="R594" s="118" t="n">
        <x:v>0</x:v>
      </x:c>
      <x:c r="S594" s="118" t="n">
        <x:v>0</x:v>
      </x:c>
      <x:c r="T594" s="118" t="n">
        <x:v>0</x:v>
      </x:c>
      <x:c r="U594" s="118" t="n">
        <x:v>0</x:v>
      </x:c>
      <x:c r="V594" s="118" t="n">
        <x:v>0</x:v>
      </x:c>
      <x:c r="W594" s="118" t="n">
        <x:v>0</x:v>
      </x:c>
      <x:c r="X594" s="118" t="n">
        <x:v>0</x:v>
      </x:c>
      <x:c r="Y594" s="118" t="n">
        <x:v>0</x:v>
      </x:c>
      <x:c r="Z594" s="118" t="n">
        <x:v>0</x:v>
      </x:c>
      <x:c r="AA594" s="118" t="n">
        <x:v>0</x:v>
      </x:c>
      <x:c r="AB594" s="118" t="n">
        <x:v>0</x:v>
      </x:c>
      <x:c r="AC594" s="118" t="n">
        <x:v>0</x:v>
      </x:c>
    </x:row>
    <x:row r="595" ht="46" customHeight="1">
      <x:c r="A595" s="117" t="str">
        <x:v>3005b000000LJREAA4</x:v>
      </x:c>
      <x:c r="B595" s="117" t="str">
        <x:v>Sourcing_Request_Field_Updates_Flow</x:v>
      </x:c>
      <x:c r="C595" s="117" t="str">
        <x:v>No</x:v>
      </x:c>
      <x:c r="D595" s="119" t="str">
        <x:v>Latest inactive v5 (Retrieved XML)</x:v>
      </x:c>
      <x:c r="E595" s="119" t="str">
        <x:v>Suggested_Asset__c IsNull booleanValue=false | Purchasing_Opportunity__c IsNull booleanValue=false | Assigned_Asset__c IsNull booleanValue=false</x:v>
      </x:c>
      <x:c r="F595" s="119" t="str">
        <x:v>ServiceAppointment, Sourcing_Request_Item__c</x:v>
      </x:c>
      <x:c r="G595" s="119" t="str">
        <x:v>Assigned_Asset__c, CreatedBy, Name, Purchasing_Opportunity__c, Service_Appointment__c, Suggested_Asset__c, Suggested_Asset__r</x:v>
      </x:c>
      <x:c r="H595" s="119" t="str">
        <x:v>emailSimple</x:v>
      </x:c>
      <x:c r="I595" s="119" t="str"/>
      <x:c r="J595" s="119" t="str"/>
      <x:c r="K595" s="118" t="n">
        <x:v>11</x:v>
      </x:c>
      <x:c r="L595" s="118" t="n">
        <x:v>1</x:v>
      </x:c>
      <x:c r="M595" s="118" t="n">
        <x:v>0</x:v>
      </x:c>
      <x:c r="N595" s="118" t="n">
        <x:v>2</x:v>
      </x:c>
      <x:c r="O595" s="118" t="n">
        <x:v>0</x:v>
      </x:c>
      <x:c r="P595" s="118" t="n">
        <x:v>0</x:v>
      </x:c>
      <x:c r="Q595" s="118" t="n">
        <x:v>4</x:v>
      </x:c>
      <x:c r="R595" s="118" t="n">
        <x:v>0</x:v>
      </x:c>
      <x:c r="S595" s="118" t="n">
        <x:v>0</x:v>
      </x:c>
      <x:c r="T595" s="118" t="n">
        <x:v>0</x:v>
      </x:c>
      <x:c r="U595" s="118" t="n">
        <x:v>0</x:v>
      </x:c>
      <x:c r="V595" s="118" t="n">
        <x:v>1</x:v>
      </x:c>
      <x:c r="W595" s="118" t="n">
        <x:v>0</x:v>
      </x:c>
      <x:c r="X595" s="118" t="n">
        <x:v>1</x:v>
      </x:c>
      <x:c r="Y595" s="118" t="n">
        <x:v>0</x:v>
      </x:c>
      <x:c r="Z595" s="118" t="n">
        <x:v>0</x:v>
      </x:c>
      <x:c r="AA595" s="118" t="n">
        <x:v>0</x:v>
      </x:c>
      <x:c r="AB595" s="118" t="n">
        <x:v>1</x:v>
      </x:c>
      <x:c r="AC595" s="118" t="n">
        <x:v>0</x:v>
      </x:c>
    </x:row>
    <x:row r="596" ht="46" customHeight="1">
      <x:c r="A596" s="117" t="str">
        <x:v>3005b000000H3qKAAS</x:v>
      </x:c>
      <x:c r="B596" s="117" t="str">
        <x:v>Sourcing_Request_from_Work_Order</x:v>
      </x:c>
      <x:c r="C596" s="117" t="str">
        <x:v>Yes</x:v>
      </x:c>
      <x:c r="D596" s="119" t="str">
        <x:v>Active v14 (Retrieved XML)</x:v>
      </x:c>
      <x:c r="E596" s="119" t="str"/>
      <x:c r="F596" s="119" t="str">
        <x:v>ProductItem__c, ServiceAppointment, Sourcing_Request_Item__c, WorkOrder</x:v>
      </x:c>
      <x:c r="G596" s="119" t="str">
        <x:v>Appointment_Type__c, Condition_Requested__c, CurrencyIsoCode, Generic_Item__c, Generic_Product__c, Id, Need_By_Date__c, ParentRecordId, Pricing_Request__c, Product_Name__c, Requesting_Opportunity__c, Requesting_Work_Order__c, Service_Appointment__c, Sourcing_Notes__c, Status</x:v>
      </x:c>
      <x:c r="H596" s="119" t="str">
        <x:v>emailSimple</x:v>
      </x:c>
      <x:c r="I596" s="119" t="str"/>
      <x:c r="J596" s="119" t="str">
        <x:v>flowruntime:lookup</x:v>
      </x:c>
      <x:c r="K596" s="118" t="n">
        <x:v>10</x:v>
      </x:c>
      <x:c r="L596" s="118" t="n">
        <x:v>2</x:v>
      </x:c>
      <x:c r="M596" s="118" t="n">
        <x:v>0</x:v>
      </x:c>
      <x:c r="N596" s="118" t="n">
        <x:v>0</x:v>
      </x:c>
      <x:c r="O596" s="118" t="n">
        <x:v>0</x:v>
      </x:c>
      <x:c r="P596" s="118" t="n">
        <x:v>0</x:v>
      </x:c>
      <x:c r="Q596" s="118" t="n">
        <x:v>1</x:v>
      </x:c>
      <x:c r="R596" s="118" t="n">
        <x:v>0</x:v>
      </x:c>
      <x:c r="S596" s="118" t="n">
        <x:v>0</x:v>
      </x:c>
      <x:c r="T596" s="118" t="n">
        <x:v>1</x:v>
      </x:c>
      <x:c r="U596" s="118" t="n">
        <x:v>0</x:v>
      </x:c>
      <x:c r="V596" s="118" t="n">
        <x:v>4</x:v>
      </x:c>
      <x:c r="W596" s="118" t="n">
        <x:v>0</x:v>
      </x:c>
      <x:c r="X596" s="118" t="n">
        <x:v>0</x:v>
      </x:c>
      <x:c r="Y596" s="118" t="n">
        <x:v>1</x:v>
      </x:c>
      <x:c r="Z596" s="118" t="n">
        <x:v>0</x:v>
      </x:c>
      <x:c r="AA596" s="118" t="n">
        <x:v>0</x:v>
      </x:c>
      <x:c r="AB596" s="118" t="n">
        <x:v>0</x:v>
      </x:c>
      <x:c r="AC596" s="118" t="n">
        <x:v>0</x:v>
      </x:c>
    </x:row>
    <x:row r="597" ht="46" customHeight="1">
      <x:c r="A597" s="117" t="str">
        <x:v>3000B0000008kvXQAQ</x:v>
      </x:c>
      <x:c r="B597" s="117" t="str">
        <x:v>Sourcing_Request_Need_By_Date_Change</x:v>
      </x:c>
      <x:c r="C597" s="117" t="str">
        <x:v>Yes</x:v>
      </x:c>
      <x:c r="D597" s="119" t="str">
        <x:v>Active v2 (Retrieved XML)</x:v>
      </x:c>
      <x:c r="E597" s="119" t="str"/>
      <x:c r="F597" s="119" t="str">
        <x:v>Opportunity, Sourcing_Request_Item__c</x:v>
      </x:c>
      <x:c r="G597" s="119" t="str">
        <x:v>Estimated_Ready_Date__c, Id</x:v>
      </x:c>
      <x:c r="H597" s="119" t="str">
        <x:v>Sourcing_Request_Item__c.Sourcing_request_fulfilled</x:v>
      </x:c>
      <x:c r="I597" s="119" t="str"/>
      <x:c r="J597" s="119" t="str"/>
      <x:c r="K597" s="118" t="n">
        <x:v>6</x:v>
      </x:c>
      <x:c r="L597" s="118" t="n">
        <x:v>1</x:v>
      </x:c>
      <x:c r="M597" s="118" t="n">
        <x:v>0</x:v>
      </x:c>
      <x:c r="N597" s="118" t="n">
        <x:v>1</x:v>
      </x:c>
      <x:c r="O597" s="118" t="n">
        <x:v>0</x:v>
      </x:c>
      <x:c r="P597" s="118" t="n">
        <x:v>0</x:v>
      </x:c>
      <x:c r="Q597" s="118" t="n">
        <x:v>3</x:v>
      </x:c>
      <x:c r="R597" s="118" t="n">
        <x:v>0</x:v>
      </x:c>
      <x:c r="S597" s="118" t="n">
        <x:v>0</x:v>
      </x:c>
      <x:c r="T597" s="118" t="n">
        <x:v>0</x:v>
      </x:c>
      <x:c r="U597" s="118" t="n">
        <x:v>0</x:v>
      </x:c>
      <x:c r="V597" s="118" t="n">
        <x:v>0</x:v>
      </x:c>
      <x:c r="W597" s="118" t="n">
        <x:v>0</x:v>
      </x:c>
      <x:c r="X597" s="118" t="n">
        <x:v>1</x:v>
      </x:c>
      <x:c r="Y597" s="118" t="n">
        <x:v>0</x:v>
      </x:c>
      <x:c r="Z597" s="118" t="n">
        <x:v>0</x:v>
      </x:c>
      <x:c r="AA597" s="118" t="n">
        <x:v>0</x:v>
      </x:c>
      <x:c r="AB597" s="118" t="n">
        <x:v>0</x:v>
      </x:c>
      <x:c r="AC597" s="118" t="n">
        <x:v>0</x:v>
      </x:c>
    </x:row>
    <x:row r="598" ht="46" customHeight="1">
      <x:c r="A598" s="117" t="str">
        <x:v>300Ro00000S8u9nIAB</x:v>
      </x:c>
      <x:c r="B598" s="117" t="str">
        <x:v>Sourcing_Request_Notification_Flow_for_Sales_Ops</x:v>
      </x:c>
      <x:c r="C598" s="117" t="str">
        <x:v>Yes</x:v>
      </x:c>
      <x:c r="D598" s="119" t="str">
        <x:v>Active v5 (Retrieved XML)</x:v>
      </x:c>
      <x:c r="E598" s="119" t="str">
        <x:v>CurrencyIsoCode EqualTo stringValue=USD | Assets_on_Purchasing_Opp__c GreaterThan numberValue=0.0 | CreatedDate GreaterThan dateTimeValue=2025-02-22T05:00:00.000Z | Total_Products_on_Purchasing_Opportunity__c LessThan numberValue=15.0</x:v>
      </x:c>
      <x:c r="F598" s="119" t="str">
        <x:v>Opportunity, Sourcing_Request_Item__c, WorkOrder</x:v>
      </x:c>
      <x:c r="G598" s="119" t="str">
        <x:v>Assets_on_Purchasing_Opp__c, CreatedBy, CreatedDate, CurrencyIsoCode, Id, Model__c, Name, Purchasing_Opportunity__r, Requesting_Opportunity__r, Requesting_Work_Order__r, Total_Products_on_Purchasing_Opportunity__c</x:v>
      </x:c>
      <x:c r="H598" s="119" t="str">
        <x:v>emailSimple</x:v>
      </x:c>
      <x:c r="I598" s="119" t="str"/>
      <x:c r="J598" s="119" t="str"/>
      <x:c r="K598" s="118" t="n">
        <x:v>4</x:v>
      </x:c>
      <x:c r="L598" s="118" t="n">
        <x:v>1</x:v>
      </x:c>
      <x:c r="M598" s="118" t="n">
        <x:v>0</x:v>
      </x:c>
      <x:c r="N598" s="118" t="n">
        <x:v>0</x:v>
      </x:c>
      <x:c r="O598" s="118" t="n">
        <x:v>0</x:v>
      </x:c>
      <x:c r="P598" s="118" t="n">
        <x:v>0</x:v>
      </x:c>
      <x:c r="Q598" s="118" t="n">
        <x:v>0</x:v>
      </x:c>
      <x:c r="R598" s="118" t="n">
        <x:v>0</x:v>
      </x:c>
      <x:c r="S598" s="118" t="n">
        <x:v>0</x:v>
      </x:c>
      <x:c r="T598" s="118" t="n">
        <x:v>0</x:v>
      </x:c>
      <x:c r="U598" s="118" t="n">
        <x:v>0</x:v>
      </x:c>
      <x:c r="V598" s="118" t="n">
        <x:v>2</x:v>
      </x:c>
      <x:c r="W598" s="118" t="n">
        <x:v>0</x:v>
      </x:c>
      <x:c r="X598" s="118" t="n">
        <x:v>0</x:v>
      </x:c>
      <x:c r="Y598" s="118" t="n">
        <x:v>0</x:v>
      </x:c>
      <x:c r="Z598" s="118" t="n">
        <x:v>0</x:v>
      </x:c>
      <x:c r="AA598" s="118" t="n">
        <x:v>0</x:v>
      </x:c>
      <x:c r="AB598" s="118" t="n">
        <x:v>0</x:v>
      </x:c>
      <x:c r="AC598" s="118" t="n">
        <x:v>0</x:v>
      </x:c>
    </x:row>
    <x:row r="599" ht="46" customHeight="1">
      <x:c r="A599" s="117" t="str">
        <x:v>3005b000000H3qUAAS</x:v>
      </x:c>
      <x:c r="B599" s="117" t="str">
        <x:v>Sourcing_Request_Notification_for_UK</x:v>
      </x:c>
      <x:c r="C599" s="117" t="str">
        <x:v>No</x:v>
      </x:c>
      <x:c r="D599" s="119" t="str">
        <x:v>Latest inactive v1 (Retrieved XML)</x:v>
      </x:c>
      <x:c r="E599" s="119" t="str"/>
      <x:c r="F599" s="119" t="str">
        <x:v>Sourcing_Request_Item__c</x:v>
      </x:c>
      <x:c r="G599" s="119" t="str">
        <x:v>Created_by_UK__c, Id, Purchasing_Opportunity__c</x:v>
      </x:c>
      <x:c r="H599" s="119" t="str"/>
      <x:c r="I599" s="119" t="str"/>
      <x:c r="J599" s="119" t="str"/>
      <x:c r="K599" s="118" t="n">
        <x:v>2</x:v>
      </x:c>
      <x:c r="L599" s="118" t="n">
        <x:v>0</x:v>
      </x:c>
      <x:c r="M599" s="118" t="n">
        <x:v>0</x:v>
      </x:c>
      <x:c r="N599" s="118" t="n">
        <x:v>0</x:v>
      </x:c>
      <x:c r="O599" s="118" t="n">
        <x:v>0</x:v>
      </x:c>
      <x:c r="P599" s="118" t="n">
        <x:v>0</x:v>
      </x:c>
      <x:c r="Q599" s="118" t="n">
        <x:v>0</x:v>
      </x:c>
      <x:c r="R599" s="118" t="n">
        <x:v>0</x:v>
      </x:c>
      <x:c r="S599" s="118" t="n">
        <x:v>0</x:v>
      </x:c>
      <x:c r="T599" s="118" t="n">
        <x:v>0</x:v>
      </x:c>
      <x:c r="U599" s="118" t="n">
        <x:v>0</x:v>
      </x:c>
      <x:c r="V599" s="118" t="n">
        <x:v>1</x:v>
      </x:c>
      <x:c r="W599" s="118" t="n">
        <x:v>0</x:v>
      </x:c>
      <x:c r="X599" s="118" t="n">
        <x:v>0</x:v>
      </x:c>
      <x:c r="Y599" s="118" t="n">
        <x:v>0</x:v>
      </x:c>
      <x:c r="Z599" s="118" t="n">
        <x:v>0</x:v>
      </x:c>
      <x:c r="AA599" s="118" t="n">
        <x:v>0</x:v>
      </x:c>
      <x:c r="AB599" s="118" t="n">
        <x:v>0</x:v>
      </x:c>
      <x:c r="AC599" s="118" t="n">
        <x:v>0</x:v>
      </x:c>
    </x:row>
    <x:row r="600" ht="46" customHeight="1">
      <x:c r="A600" s="117" t="str">
        <x:v>300Ro00000VLr5vIAD</x:v>
      </x:c>
      <x:c r="B600" s="117" t="str">
        <x:v>SRI_Trigger_Update_Requesting_Opp_WO_SA</x:v>
      </x:c>
      <x:c r="C600" s="117" t="str">
        <x:v>Yes</x:v>
      </x:c>
      <x:c r="D600" s="119" t="str">
        <x:v>Active v1 (Retrieved XML)</x:v>
      </x:c>
      <x:c r="E600" s="119" t="str"/>
      <x:c r="F600" s="119" t="str">
        <x:v>Opportunity, Sourcing_Request_Item__c</x:v>
      </x:c>
      <x:c r="G600" s="119" t="str">
        <x:v>Id, Related_Work_Order__c, Requesting_Opportunity__c, Requesting_Opportunity__r, Requesting_Work_Order__c, Requesting_Work_Order__r, Service_Appointment__c, Service_Appointment__r</x:v>
      </x:c>
      <x:c r="H600" s="119" t="str"/>
      <x:c r="I600" s="119" t="str"/>
      <x:c r="J600" s="119" t="str"/>
      <x:c r="K600" s="118" t="n">
        <x:v>4</x:v>
      </x:c>
      <x:c r="L600" s="118" t="n">
        <x:v>0</x:v>
      </x:c>
      <x:c r="M600" s="118" t="n">
        <x:v>0</x:v>
      </x:c>
      <x:c r="N600" s="118" t="n">
        <x:v>0</x:v>
      </x:c>
      <x:c r="O600" s="118" t="n">
        <x:v>0</x:v>
      </x:c>
      <x:c r="P600" s="118" t="n">
        <x:v>0</x:v>
      </x:c>
      <x:c r="Q600" s="118" t="n">
        <x:v>1</x:v>
      </x:c>
      <x:c r="R600" s="118" t="n">
        <x:v>0</x:v>
      </x:c>
      <x:c r="S600" s="118" t="n">
        <x:v>0</x:v>
      </x:c>
      <x:c r="T600" s="118" t="n">
        <x:v>0</x:v>
      </x:c>
      <x:c r="U600" s="118" t="n">
        <x:v>0</x:v>
      </x:c>
      <x:c r="V600" s="118" t="n">
        <x:v>0</x:v>
      </x:c>
      <x:c r="W600" s="118" t="n">
        <x:v>0</x:v>
      </x:c>
      <x:c r="X600" s="118" t="n">
        <x:v>2</x:v>
      </x:c>
      <x:c r="Y600" s="118" t="n">
        <x:v>0</x:v>
      </x:c>
      <x:c r="Z600" s="118" t="n">
        <x:v>0</x:v>
      </x:c>
      <x:c r="AA600" s="118" t="n">
        <x:v>0</x:v>
      </x:c>
      <x:c r="AB600" s="118" t="n">
        <x:v>0</x:v>
      </x:c>
      <x:c r="AC600" s="118" t="n">
        <x:v>0</x:v>
      </x:c>
    </x:row>
    <x:row r="601" ht="46" customHeight="1">
      <x:c r="A601" s="117" t="str">
        <x:v>300Ro00000Pz0ksIAB</x:v>
      </x:c>
      <x:c r="B601" s="117" t="str">
        <x:v>Static_Fluoro</x:v>
      </x:c>
      <x:c r="C601" s="117" t="str">
        <x:v>Yes</x:v>
      </x:c>
      <x:c r="D601" s="119" t="str">
        <x:v>Active v7 (Retrieved XML)</x:v>
      </x:c>
      <x:c r="E601" s="119" t="str"/>
      <x:c r="F601" s="119" t="str">
        <x:v>ServiceAppointment, WorkOrder</x:v>
      </x:c>
      <x:c r="G601" s="119" t="str">
        <x:v>AEC_Cut_Off_Comments__c, AEC_Cut_Off__c, Additional_Documentation_Reference__c, Alignment_and_Centring_Comments__c, Alignment_and_Centring__c, Alignment_and_Positioning_Comments__c, Alignment_and_Positioning__c, BF_Outputs_Comments__c, BF_Outputs__c, BIOS_Battery_Voltage__c, Bearings_and_Tracks_Comments__c, Bearings_and_Tracks__c, Brakes_and_Locks_Comments__c, Brakes_and_Locks__c, CS_and_HE_Comments__c, C_Arm_Movements_Comments__c, C_Arm_Movements__c, Cables_and_Hanger_Supports_Comments__c, Cables_and_Hanger_Supports__c, Checklist_Output_Formatted_1__c, Checklist_Output_Formatted_2__c, Checklist_Output_Formatted_3__c, Checklist_Output_Formatted_4__c, Checklist_Output_Formatted_5__c, Checklist_Output_Formatted_6__c, Checklist_Output_Formatted__c, Checklist_Type__c, Collimator_Comments__c, Collimator_Function_and_Alignment__c, Contrast_Full_Field_Mode_Comments__c, Contrast_Mag_1__c, Contrast_Mag_2__c, Contrast_Mag_3__c, Contrast_Mag_4__c, Contrast_Reading_Full_Field_Mode__c, Contrast_Reading_Mag_1__c, Contrast_Reading_Mag_2__c, Contrast_Reading_Mag_3__c, Contrast_Reading_Mag_4__c, Cooling_Systems_and_Heat_Exchangers__c, Covers_Secured_Comments__c, Covers_Secured__c, DAP_Accuracy_Comments__c, DAP_Accuracy__c, Detector_Calibration_Comments__c, Detector_Calibration__c, Detector_Drives_and_Sensors_Comments__c, Detector_Drives_and_Sensors__c, Detector_Drop_Sensors_Comments__c, Detector_Drop_Sensors__c, Detector_Uniformity_Comments__c, Detector_Uniformity__c, Direct_Acquisition_Comments__c, Direct_Acquisition__c, Emergency_Stop_Switches_Comments__c, Emergency_Stop_Switches_and_Isolators__c, End_to_End_DICOM_Comments__c, End_to_End_DICOM__c, Error_Logs_Comments__c, Error_Logs__c, Exposure_Index_Comments__c, Exposure_Index__c, Exposure_Indicators_Comments__c, Exposure_Indicators__c, FF_Outputs_Comments__c, FF_Outputs__c, Final_Functional_Checks_Comments__c, Final_Functional_Checks__c, Final_Visual_Checks_Comments__c, Final_Visual_Checks__c, Full_Field_Dose_Comments__c, Full_Field_Dose__c, Generate_Service_Report_HTML__c, Grid_Artifacts_Comments__c, Grid_Artifacts__c, Grid_Assembly_Comments__c, Grid_Assembly__c, HT_Cable_Status_and_Continuity_Comments__c, HT_Cable_Status_and_Continuity__c, Handswitch_and_Foot_Pedals_Comments__c, Handswitch_and_Foot_Pedals__c, Id, Image_Display_Quality_Comments__c, Image_Display_Quality__c, Interconnect_Collision_Detects_Comments__c, Interconnect_Collision_Detects__c, Limit_Switches_Comments__c, Limit_Switches__c, Mag_1_Comments__c, Mag_1__c, Mag_2_Comments__c, Mag_2__c, Mag_3_Comments__c, Mag_3__c, Mag_4_Comments__c, Mag_4__c, Mechanical_Security_Comments__c, Mechanical_Security__c, Mechanical_Visual_Inspection_Comments__c, Mechanical_Visual_Inspection__c, Motorised_Positioning_Comments__c, Motorised_Positioning__c, Mountings_and_Fixings_Comments__c, Mountings_and_Fixings__c, Positioning_Aids_and_Supports_Comments__c, Positioning_Aids_and_Supports__c, Post_Processing_Functions_Comments__c, Post_Processing_Functions__c, Pulsed_Fluoroscopy_Comments__c, Pulsed_Fluoroscopy__c, Resolution_Full_Field_Mode__c, Resolution_Mag_1__c, Resolution_Mag_2__c, Resolution_Mag_3__c, Resolution_Mag_4__c, Resolution_Reading_Full_Field_Mode__c, Resolution_Reading_Mag_1__c, Resolution_Reading_Mag_2__c, Resolution_Reading_Mag_3__c, Resolution_Reading_Mag_4__c, Room_Warning_Lights_Comments__c, Room_Warning_Lights__c, Switches_Pedals_and_Controls_Comments__c, Switches_Pedals_and_Controls__c, System_Earth_Continuity_Comments__c, System_Earth_Continuity__c, Tube_Adjustments_Comments__c, Tube_Adjustments_Performed__c, UI_Clean_Comments__c, UI_Clean_Completed__c, UPS_Battery_Comments__c, UPS_Battery__c, Ventilation_Clean_Comments__c, Ventilation_Clean__c, Virtual_Collimator_Alignment_Comments__c, Virtual_Collimator_Alignment__c, Visual_Inspection_Comments__c, Visual_Inspection__c, Wire_Ropes_and_Pulleys_Comments__c, Wire_Ropes_and_Pulleys__c, X5_Minute_Warning_Comments__c, X5_Minute_Warning__c, mF_Outputs_Comments__c, mF_Outputs__c</x:v>
      </x:c>
      <x:c r="H601" s="119" t="str"/>
      <x:c r="I601" s="119" t="str"/>
      <x:c r="J601" s="119" t="str"/>
      <x:c r="K601" s="118" t="n">
        <x:v>16</x:v>
      </x:c>
      <x:c r="L601" s="118" t="n">
        <x:v>0</x:v>
      </x:c>
      <x:c r="M601" s="118" t="n">
        <x:v>0</x:v>
      </x:c>
      <x:c r="N601" s="118" t="n">
        <x:v>0</x:v>
      </x:c>
      <x:c r="O601" s="118" t="n">
        <x:v>0</x:v>
      </x:c>
      <x:c r="P601" s="118" t="n">
        <x:v>0</x:v>
      </x:c>
      <x:c r="Q601" s="118" t="n">
        <x:v>0</x:v>
      </x:c>
      <x:c r="R601" s="118" t="n">
        <x:v>0</x:v>
      </x:c>
      <x:c r="S601" s="118" t="n">
        <x:v>0</x:v>
      </x:c>
      <x:c r="T601" s="118" t="n">
        <x:v>0</x:v>
      </x:c>
      <x:c r="U601" s="118" t="n">
        <x:v>0</x:v>
      </x:c>
      <x:c r="V601" s="118" t="n">
        <x:v>1</x:v>
      </x:c>
      <x:c r="W601" s="118" t="n">
        <x:v>0</x:v>
      </x:c>
      <x:c r="X601" s="118" t="n">
        <x:v>7</x:v>
      </x:c>
      <x:c r="Y601" s="118" t="n">
        <x:v>7</x:v>
      </x:c>
      <x:c r="Z601" s="118" t="n">
        <x:v>0</x:v>
      </x:c>
      <x:c r="AA601" s="118" t="n">
        <x:v>0</x:v>
      </x:c>
      <x:c r="AB601" s="118" t="n">
        <x:v>0</x:v>
      </x:c>
      <x:c r="AC601" s="118" t="n">
        <x:v>0</x:v>
      </x:c>
    </x:row>
    <x:row r="602" ht="46" customHeight="1">
      <x:c r="A602" s="117" t="str">
        <x:v>300Ro00000Pz0ktIAB</x:v>
      </x:c>
      <x:c r="B602" s="117" t="str">
        <x:v>Static_X_Ray_CR_Checklist</x:v>
      </x:c>
      <x:c r="C602" s="117" t="str">
        <x:v>Yes</x:v>
      </x:c>
      <x:c r="D602" s="119" t="str">
        <x:v>Active v17 (Retrieved XML)</x:v>
      </x:c>
      <x:c r="E602" s="119" t="str"/>
      <x:c r="F602" s="119" t="str">
        <x:v>ContractLineItem, ServiceAppointment, WorkOrder</x:v>
      </x:c>
      <x:c r="G602" s="119" t="str">
        <x:v>AEC_Cut_Off_Comments__c, AEC_Cut_Off__c, AEC_Repeatability_Comments__c, AEC_Repeatability__c, AEC_Tolerance_Comments__c, AEC_Tolerance__c, Additional_Documentation_Reference__c, Alignment_and_Centring_Comments__c, Alignment_and_Centring__c, Alignment_and_Positioning_Comments__c, Alignment_and_Positioning__c, BF_Outputs_Comments__c, BF_Outputs__c, BIOS_Battery_Voltage__c, Bearings_and_Tracks_Comments__c, Bearings_and_Tracks__c, Brakes_and_Locks_Comments__c, Brakes_and_Locks__c, Bucky_Tray_Assembly_Comments__c, Bucky_Tray_Assembly__c, Cables_and_Hanger_Supports_Comments__c, Cables_and_Hanger_Supports__c, Centring_Comments__c, Centring__c, Checklist_Output_Formatted_1__c, Checklist_Output_Formatted_2__c, Checklist_Output_Formatted_3__c, Checklist_Output_Formatted_4__c, Checklist_Output_Formatted_5__c, Checklist_Output_Formatted_6__c, Checklist_Output_Formatted__c, Checklist_Type__c, Collimator_Comments__c, Collimator_Function_and_Alignment__c, Contract_Line_Item__c, Covers_Secured_Comments__c, Covers_Secured__c, DAP_Accuracy_Comments__c, DAP_Accuracy__c, Detector_Drives_and_Sensors_Comments__c, Detector_Drives_and_Sensors__c, Distance_Markers_and_Detents_Comments__c, Distance_Markers_and_Detents__c, Emergency_Stop_Switches_Comments__c, Emergency_Stop_Switches_and_Isolators__c, Error_Logs_Comments__c, Error_Logs__c, Exposure_Indicators_Comments__c, Exposure_Indicators__c, FF_Outputs_Comments__c, FF_Outputs__c, Final_Functional_Checks_Comments__c, Final_Functional_Checks__c, Final_Visual_Checks_Comments__c, Final_Visual_Checks__c, Generate_Service_Report_HTML__c, Grid_Artifacts_Comments__c, Grid_Artifacts__c, Grid_Assembly_Comments__c, Grid_Assembly__c, HT_Cable_Status_and_Continuity_Comments__c, HT_Cable_Status_and_Continuity__c, Handswitch_and_Foot_Pedals_Comments__c, Handswitch_and_Foot_Pedals__c, Id, Interconnect_Collision_Detects_Comments__c, Interconnect_Collision_Detects__c, Limit_Switches_Comments__c, Limit_Switches__c, Mechanical_Security_Comments__c, Mechanical_Security__c, Mechanical_Visual_Inspection_Comments__c, Mechanical_Visual_Inspection__c, Motorised_Positioning_Comments__c, Motorised_Positioning__c, Mountings_and_Fixings_Comments__c, Mountings_and_Fixings__c, Movements_Comments__c, Movements__c, Positioning_Aids_and_Supports_Comments__c, Positioning_Aids_and_Supports__c, Room_Warning_Lights_Comments__c, Room_Warning_Lights__c, Switches_Pedals_and_Controls_Comments__c, Switches_Pedals_and_Controls__c, System_Earth_Continuity_Comments__c, System_Earth_Continuity__c, Tube_Adjustments_Comments__c, Tube_Adjustments_Performed__c, UI_Clean_Comments__c, UI_Clean_Completed__c, Ventilation_Clean_Comments__c, Ventilation_Clean__c, Visual_Inspection_Comments__c, Visual_Inspection__c, Wire_Ropes_and_Pulleys_Comments__c, Wire_Ropes_and_Pulleys__c</x:v>
      </x:c>
      <x:c r="H602" s="119" t="str"/>
      <x:c r="I602" s="119" t="str"/>
      <x:c r="J602" s="119" t="str"/>
      <x:c r="K602" s="118" t="n">
        <x:v>17</x:v>
      </x:c>
      <x:c r="L602" s="118" t="n">
        <x:v>0</x:v>
      </x:c>
      <x:c r="M602" s="118" t="n">
        <x:v>0</x:v>
      </x:c>
      <x:c r="N602" s="118" t="n">
        <x:v>0</x:v>
      </x:c>
      <x:c r="O602" s="118" t="n">
        <x:v>0</x:v>
      </x:c>
      <x:c r="P602" s="118" t="n">
        <x:v>0</x:v>
      </x:c>
      <x:c r="Q602" s="118" t="n">
        <x:v>0</x:v>
      </x:c>
      <x:c r="R602" s="118" t="n">
        <x:v>0</x:v>
      </x:c>
      <x:c r="S602" s="118" t="n">
        <x:v>0</x:v>
      </x:c>
      <x:c r="T602" s="118" t="n">
        <x:v>0</x:v>
      </x:c>
      <x:c r="U602" s="118" t="n">
        <x:v>0</x:v>
      </x:c>
      <x:c r="V602" s="118" t="n">
        <x:v>2</x:v>
      </x:c>
      <x:c r="W602" s="118" t="n">
        <x:v>0</x:v>
      </x:c>
      <x:c r="X602" s="118" t="n">
        <x:v>7</x:v>
      </x:c>
      <x:c r="Y602" s="118" t="n">
        <x:v>7</x:v>
      </x:c>
      <x:c r="Z602" s="118" t="n">
        <x:v>0</x:v>
      </x:c>
      <x:c r="AA602" s="118" t="n">
        <x:v>0</x:v>
      </x:c>
      <x:c r="AB602" s="118" t="n">
        <x:v>0</x:v>
      </x:c>
      <x:c r="AC602" s="118" t="n">
        <x:v>0</x:v>
      </x:c>
    </x:row>
    <x:row r="603" ht="46" customHeight="1">
      <x:c r="A603" s="117" t="str">
        <x:v>300Ro00000Pz0kuIAB</x:v>
      </x:c>
      <x:c r="B603" s="117" t="str">
        <x:v>Statix_X_Ray_DDR_Checklist</x:v>
      </x:c>
      <x:c r="C603" s="117" t="str">
        <x:v>Yes</x:v>
      </x:c>
      <x:c r="D603" s="119" t="str">
        <x:v>Active v9 (Retrieved XML)</x:v>
      </x:c>
      <x:c r="E603" s="119" t="str"/>
      <x:c r="F603" s="119" t="str">
        <x:v>ServiceAppointment, WorkOrder</x:v>
      </x:c>
      <x:c r="G603" s="119" t="str">
        <x:v>AEC_Cut_Off_Comments__c, AEC_Cut_Off__c, AEC_Repeatability_Comments__c, AEC_Repeatability__c, AEC_Tolerance_Comments__c, AEC_Tolerance__c, Additional_Documentation_Reference__c, Alignment_and_Centring_Comments__c, Alignment_and_Centring__c, Alignment_and_Positioning_Comments__c, Alignment_and_Positioning__c, BF_Outputs_Comments__c, BF_Outputs__c, BIOS_Battery_Voltage__c, Bearings_and_Tracks_Comments__c, Bearings_and_Tracks__c, Brakes_and_Locks_Comments__c, Brakes_and_Locks__c, CS_and_HE_Comments__c, Cables_and_Hanger_Supports_Comments__c, Cables_and_Hanger_Supports__c, Checklist_Output_Formatted_1__c, Checklist_Output_Formatted_2__c, Checklist_Output_Formatted_3__c, Checklist_Output_Formatted_4__c, Checklist_Output_Formatted_5__c, Checklist_Output_Formatted_6__c, Checklist_Output_Formatted__c, Checklist_Type__c, Collimator_Comments__c, Collimator_Function_and_Alignment__c, Cooling_Systems_and_Heat_Exchangers__c, Covers_Secured_Comments__c, Covers_Secured__c, DAP_Accuracy_Comments__c, DAP_Accuracy__c, Detector_Calibration_Comments__c, Detector_Calibration__c, Detector_Charging_Comments__c, Detector_Charging__c, Detector_Contrast_Comments__c, Detector_Contrast__c, Detector_Docking_Stations_Comments__c, Detector_Docking_Stations__c, Detector_Drives_and_Sensors_Comments__c, Detector_Drives_and_Sensors__c, Detector_Drop_Sensors_Comments__c, Detector_Drop_Sensors__c, Detector_Resolution_Comments__c, Detector_Resolution__c, Detector_Uniformity_Comments__c, Detector_Uniformity__c, Distance_Markers_and_Detents_Comments__c, Distance_Markers_and_Detents__c, Emergency_Stop_Switches_Comments__c, Emergency_Stop_Switches_and_Isolators__c, End_to_End_DICOM_Comments__c, End_to_End_DICOM__c, Error_Logs_Comments__c, Error_Logs__c, Exposure_Index_Comments__c, Exposure_Index__c, Exposure_Indicators_Comments__c, Exposure_Indicators__c, FF_Outputs_Comments__c, FF_Outputs__c, Final_Functional_Checks_Comments__c, Final_Functional_Checks__c, Final_Visual_Checks_Comments__c, Final_Visual_Checks__c, Generate_Service_Report_HTML__c, Grid_Artifacts_Comments__c, Grid_Artifacts__c, Grid_Assembly_Comments__c, Grid_Assembly__c, HT_Cable_Status_and_Continuity_Comments__c, HT_Cable_Status_and_Continuity__c, Handswitch_and_Foot_Pedals_Comments__c, Handswitch_and_Foot_Pedals__c, Id, Image_Display_Quality_Comments__c, Image_Display_Quality__c, Limit_Switches_Comments__c, Limit_Switches__c, Mechanical_Security_Comments__c, Mechanical_Security__c, Mechanical_Visual_Inspection_Comments__c, Mechanical_Visual_Inspection__c, Motorised_Positioning_Comments__c, Motorised_Positioning__c, Mountings_and_Fixings_Comments__c, Mountings_and_Fixings__c, Movements_Comments__c, Movements__c, Positioning_Aids_and_Supports_Comments__c, Positioning_Aids_and_Supports__c, Post_Processing_Functions_Comments__c, Post_Processing_Functions__c, Room_Warning_Lights_Comments__c, Room_Warning_Lights__c, Switches_Pedals_and_Controls_Comments__c, Switches_Pedals_and_Controls__c, System_Earth_Continuity_Comments__c, System_Earth_Continuity__c, Tube_Adjustments_Comments__c, Tube_Adjustments_Performed__c, UI_Clean_Comments__c, UI_Clean_Completed__c, UPS_Battery_Comments__c, UPS_Battery__c, Ventilation_Clean_Comments__c, Ventilation_Clean__c, Visual_Inspection_Comments__c, Visual_Inspection__c, Wire_Ropes_and_Pulleys_Comments__c, Wire_Ropes_and_Pulleys__c</x:v>
      </x:c>
      <x:c r="H603" s="119" t="str"/>
      <x:c r="I603" s="119" t="str"/>
      <x:c r="J603" s="119" t="str"/>
      <x:c r="K603" s="118" t="n">
        <x:v>16</x:v>
      </x:c>
      <x:c r="L603" s="118" t="n">
        <x:v>0</x:v>
      </x:c>
      <x:c r="M603" s="118" t="n">
        <x:v>0</x:v>
      </x:c>
      <x:c r="N603" s="118" t="n">
        <x:v>0</x:v>
      </x:c>
      <x:c r="O603" s="118" t="n">
        <x:v>0</x:v>
      </x:c>
      <x:c r="P603" s="118" t="n">
        <x:v>0</x:v>
      </x:c>
      <x:c r="Q603" s="118" t="n">
        <x:v>0</x:v>
      </x:c>
      <x:c r="R603" s="118" t="n">
        <x:v>0</x:v>
      </x:c>
      <x:c r="S603" s="118" t="n">
        <x:v>0</x:v>
      </x:c>
      <x:c r="T603" s="118" t="n">
        <x:v>0</x:v>
      </x:c>
      <x:c r="U603" s="118" t="n">
        <x:v>0</x:v>
      </x:c>
      <x:c r="V603" s="118" t="n">
        <x:v>1</x:v>
      </x:c>
      <x:c r="W603" s="118" t="n">
        <x:v>0</x:v>
      </x:c>
      <x:c r="X603" s="118" t="n">
        <x:v>7</x:v>
      </x:c>
      <x:c r="Y603" s="118" t="n">
        <x:v>7</x:v>
      </x:c>
      <x:c r="Z603" s="118" t="n">
        <x:v>0</x:v>
      </x:c>
      <x:c r="AA603" s="118" t="n">
        <x:v>0</x:v>
      </x:c>
      <x:c r="AB603" s="118" t="n">
        <x:v>0</x:v>
      </x:c>
      <x:c r="AC603" s="118" t="n">
        <x:v>0</x:v>
      </x:c>
    </x:row>
    <x:row r="604" ht="46" customHeight="1">
      <x:c r="A604" s="117" t="str">
        <x:v>3005b000000Pzn2AAC</x:v>
      </x:c>
      <x:c r="B604" s="117" t="str">
        <x:v>Submit_Applications_Checklist_Screen_Flow</x:v>
      </x:c>
      <x:c r="C604" s="117" t="str">
        <x:v>Yes</x:v>
      </x:c>
      <x:c r="D604" s="119" t="str">
        <x:v>Active v7 (Retrieved XML)</x:v>
      </x:c>
      <x:c r="E604" s="119" t="str"/>
      <x:c r="F604" s="119" t="str">
        <x:v>Opportunity, ProductItem__c</x:v>
      </x:c>
      <x:c r="G604" s="119" t="str">
        <x:v>Id, Product_Family__c, Sales_Opportunity__c, Submitted_for_Apps_Training__c</x:v>
      </x:c>
      <x:c r="H604" s="119" t="str">
        <x:v>emailSimple</x:v>
      </x:c>
      <x:c r="I604" s="119" t="str"/>
      <x:c r="J604" s="119" t="str"/>
      <x:c r="K604" s="118" t="n">
        <x:v>10</x:v>
      </x:c>
      <x:c r="L604" s="118" t="n">
        <x:v>1</x:v>
      </x:c>
      <x:c r="M604" s="118" t="n">
        <x:v>0</x:v>
      </x:c>
      <x:c r="N604" s="118" t="n">
        <x:v>2</x:v>
      </x:c>
      <x:c r="O604" s="118" t="n">
        <x:v>0</x:v>
      </x:c>
      <x:c r="P604" s="118" t="n">
        <x:v>0</x:v>
      </x:c>
      <x:c r="Q604" s="118" t="n">
        <x:v>0</x:v>
      </x:c>
      <x:c r="R604" s="118" t="n">
        <x:v>1</x:v>
      </x:c>
      <x:c r="S604" s="118" t="n">
        <x:v>0</x:v>
      </x:c>
      <x:c r="T604" s="118" t="n">
        <x:v>0</x:v>
      </x:c>
      <x:c r="U604" s="118" t="n">
        <x:v>0</x:v>
      </x:c>
      <x:c r="V604" s="118" t="n">
        <x:v>3</x:v>
      </x:c>
      <x:c r="W604" s="118" t="n">
        <x:v>0</x:v>
      </x:c>
      <x:c r="X604" s="118" t="n">
        <x:v>1</x:v>
      </x:c>
      <x:c r="Y604" s="118" t="n">
        <x:v>1</x:v>
      </x:c>
      <x:c r="Z604" s="118" t="n">
        <x:v>0</x:v>
      </x:c>
      <x:c r="AA604" s="118" t="n">
        <x:v>0</x:v>
      </x:c>
      <x:c r="AB604" s="118" t="n">
        <x:v>0</x:v>
      </x:c>
      <x:c r="AC604" s="118" t="n">
        <x:v>0</x:v>
      </x:c>
    </x:row>
    <x:row r="605" ht="46" customHeight="1">
      <x:c r="A605" s="117" t="str">
        <x:v>3005b00000113hUAAQ</x:v>
      </x:c>
      <x:c r="B605" s="117" t="str">
        <x:v>Submit_ASL_Vendor_Approval</x:v>
      </x:c>
      <x:c r="C605" s="117" t="str">
        <x:v>Yes</x:v>
      </x:c>
      <x:c r="D605" s="119" t="str">
        <x:v>Active v1 (Retrieved XML)</x:v>
      </x:c>
      <x:c r="E605" s="119" t="str"/>
      <x:c r="F605" s="119" t="str">
        <x:v>Account</x:v>
      </x:c>
      <x:c r="G605" s="119" t="str">
        <x:v>Id</x:v>
      </x:c>
      <x:c r="H605" s="119" t="str">
        <x:v>submit</x:v>
      </x:c>
      <x:c r="I605" s="119" t="str"/>
      <x:c r="J605" s="119" t="str"/>
      <x:c r="K605" s="118" t="n">
        <x:v>3</x:v>
      </x:c>
      <x:c r="L605" s="118" t="n">
        <x:v>1</x:v>
      </x:c>
      <x:c r="M605" s="118" t="n">
        <x:v>0</x:v>
      </x:c>
      <x:c r="N605" s="118" t="n">
        <x:v>0</x:v>
      </x:c>
      <x:c r="O605" s="118" t="n">
        <x:v>0</x:v>
      </x:c>
      <x:c r="P605" s="118" t="n">
        <x:v>0</x:v>
      </x:c>
      <x:c r="Q605" s="118" t="n">
        <x:v>0</x:v>
      </x:c>
      <x:c r="R605" s="118" t="n">
        <x:v>0</x:v>
      </x:c>
      <x:c r="S605" s="118" t="n">
        <x:v>0</x:v>
      </x:c>
      <x:c r="T605" s="118" t="n">
        <x:v>0</x:v>
      </x:c>
      <x:c r="U605" s="118" t="n">
        <x:v>0</x:v>
      </x:c>
      <x:c r="V605" s="118" t="n">
        <x:v>1</x:v>
      </x:c>
      <x:c r="W605" s="118" t="n">
        <x:v>0</x:v>
      </x:c>
      <x:c r="X605" s="118" t="n">
        <x:v>0</x:v>
      </x:c>
      <x:c r="Y605" s="118" t="n">
        <x:v>0</x:v>
      </x:c>
      <x:c r="Z605" s="118" t="n">
        <x:v>0</x:v>
      </x:c>
      <x:c r="AA605" s="118" t="n">
        <x:v>0</x:v>
      </x:c>
      <x:c r="AB605" s="118" t="n">
        <x:v>0</x:v>
      </x:c>
      <x:c r="AC605" s="118" t="n">
        <x:v>0</x:v>
      </x:c>
    </x:row>
    <x:row r="606" ht="46" customHeight="1">
      <x:c r="A606" s="117" t="str">
        <x:v>3005b00000113bMAAQ</x:v>
      </x:c>
      <x:c r="B606" s="117" t="str">
        <x:v>Submit_Credit_Memo_Request_for_Accounting</x:v>
      </x:c>
      <x:c r="C606" s="117" t="str">
        <x:v>Yes</x:v>
      </x:c>
      <x:c r="D606" s="119" t="str">
        <x:v>Active v14 (Tooling metadata)</x:v>
      </x:c>
      <x:c r="E606" s="119" t="str"/>
      <x:c r="F606" s="119" t="str">
        <x:v>ContentDocument, ContentDocumentLink, Opportunity, Task</x:v>
      </x:c>
      <x:c r="G606" s="119" t="str">
        <x:v>ActivityDate, Credit_Memo_Request_Task__c, Description, Id, OwnerId, Priority, ReminderDateTime, Status, Subject, WhatId</x:v>
      </x:c>
      <x:c r="H606" s="119" t="str">
        <x:v>emailSimple</x:v>
      </x:c>
      <x:c r="I606" s="119" t="str"/>
      <x:c r="J606" s="119" t="str">
        <x:v>forceContent:fileUpload</x:v>
      </x:c>
      <x:c r="K606" s="118" t="n">
        <x:v>12</x:v>
      </x:c>
      <x:c r="L606" s="118" t="n">
        <x:v>1</x:v>
      </x:c>
      <x:c r="M606" s="118" t="n">
        <x:v>0</x:v>
      </x:c>
      <x:c r="N606" s="118" t="n">
        <x:v>2</x:v>
      </x:c>
      <x:c r="O606" s="118" t="n">
        <x:v>0</x:v>
      </x:c>
      <x:c r="P606" s="118" t="n">
        <x:v>0</x:v>
      </x:c>
      <x:c r="Q606" s="118" t="n">
        <x:v>1</x:v>
      </x:c>
      <x:c r="R606" s="118" t="n">
        <x:v>1</x:v>
      </x:c>
      <x:c r="S606" s="118" t="n">
        <x:v>0</x:v>
      </x:c>
      <x:c r="T606" s="118" t="n">
        <x:v>2</x:v>
      </x:c>
      <x:c r="U606" s="118" t="n">
        <x:v>0</x:v>
      </x:c>
      <x:c r="V606" s="118" t="n">
        <x:v>2</x:v>
      </x:c>
      <x:c r="W606" s="118" t="n">
        <x:v>0</x:v>
      </x:c>
      <x:c r="X606" s="118" t="n">
        <x:v>1</x:v>
      </x:c>
      <x:c r="Y606" s="118" t="n">
        <x:v>1</x:v>
      </x:c>
      <x:c r="Z606" s="118" t="n">
        <x:v>0</x:v>
      </x:c>
      <x:c r="AA606" s="118" t="n">
        <x:v>0</x:v>
      </x:c>
      <x:c r="AB606" s="118" t="n">
        <x:v>0</x:v>
      </x:c>
      <x:c r="AC606" s="118" t="n">
        <x:v>0</x:v>
      </x:c>
    </x:row>
    <x:row r="607" ht="46" customHeight="1">
      <x:c r="A607" s="117" t="str">
        <x:v>3004O000000HGXlQAO</x:v>
      </x:c>
      <x:c r="B607" s="117" t="str">
        <x:v>Submit_for_Approval</x:v>
      </x:c>
      <x:c r="C607" s="117" t="str">
        <x:v>No</x:v>
      </x:c>
      <x:c r="D607" s="119" t="str">
        <x:v>Latest inactive v1 (Retrieved XML)</x:v>
      </x:c>
      <x:c r="E607" s="119" t="str"/>
      <x:c r="F607" s="119" t="str">
        <x:v>Account</x:v>
      </x:c>
      <x:c r="G607" s="119" t="str"/>
      <x:c r="H607" s="119" t="str">
        <x:v>submit</x:v>
      </x:c>
      <x:c r="I607" s="119" t="str"/>
      <x:c r="J607" s="119" t="str"/>
      <x:c r="K607" s="118" t="n">
        <x:v>2</x:v>
      </x:c>
      <x:c r="L607" s="118" t="n">
        <x:v>1</x:v>
      </x:c>
      <x:c r="M607" s="118" t="n">
        <x:v>0</x:v>
      </x:c>
      <x:c r="N607" s="118" t="n">
        <x:v>0</x:v>
      </x:c>
      <x:c r="O607" s="118" t="n">
        <x:v>0</x:v>
      </x:c>
      <x:c r="P607" s="118" t="n">
        <x:v>0</x:v>
      </x:c>
      <x:c r="Q607" s="118" t="n">
        <x:v>1</x:v>
      </x:c>
      <x:c r="R607" s="118" t="n">
        <x:v>0</x:v>
      </x:c>
      <x:c r="S607" s="118" t="n">
        <x:v>0</x:v>
      </x:c>
      <x:c r="T607" s="118" t="n">
        <x:v>0</x:v>
      </x:c>
      <x:c r="U607" s="118" t="n">
        <x:v>0</x:v>
      </x:c>
      <x:c r="V607" s="118" t="n">
        <x:v>0</x:v>
      </x:c>
      <x:c r="W607" s="118" t="n">
        <x:v>0</x:v>
      </x:c>
      <x:c r="X607" s="118" t="n">
        <x:v>0</x:v>
      </x:c>
      <x:c r="Y607" s="118" t="n">
        <x:v>0</x:v>
      </x:c>
      <x:c r="Z607" s="118" t="n">
        <x:v>0</x:v>
      </x:c>
      <x:c r="AA607" s="118" t="n">
        <x:v>0</x:v>
      </x:c>
      <x:c r="AB607" s="118" t="n">
        <x:v>0</x:v>
      </x:c>
      <x:c r="AC607" s="118" t="n">
        <x:v>0</x:v>
      </x:c>
    </x:row>
    <x:row r="608" ht="46" customHeight="1">
      <x:c r="A608" s="117" t="str">
        <x:v>3004O000000LOsrQAG</x:v>
      </x:c>
      <x:c r="B608" s="117" t="str">
        <x:v>Submit_Invoice_Flow</x:v>
      </x:c>
      <x:c r="C608" s="117" t="str">
        <x:v>Yes</x:v>
      </x:c>
      <x:c r="D608" s="119" t="str">
        <x:v>Active v13 (Retrieved XML)</x:v>
      </x:c>
      <x:c r="E608" s="119" t="str"/>
      <x:c r="F608" s="119" t="str">
        <x:v>ChargentOrders__ChargentOrder__c, ChargentOrders__Payment_Request__c, Invoice__c, Opportunity</x:v>
      </x:c>
      <x:c r="G608" s="119" t="str">
        <x:v>AVA_SFCLOUD__Calculate_Tax__c, ChargentOrders__Charge_Amount__c, ChargentOrders__ChargentOrder__c, ChargentOrders__Email_Address__c, ChargentOrders__Payment_Frequency__c, ChargentOrders__Payment_Method__c, ChargentOrders__Payment_Start_Date__c, ChargentOrders__Payment_Status__c, ChargentOrders__Send_Payment_Request_Email__c, ChargentOrders__Shipping__c, ChargentOrders__Subtotal__c, ChargentOrders__Tax__c, Chargent_Order__c, Down_Payment_Needed__c, Id, Initial_Charge_Amount__c, Invoice__c, Next_Charge_Date__c, Opportunity__c, Payment_Due_Date__c, Recurring_Charge_Amount__c, Remaining_Date_Due__c, X23100_Sales_Tax_Payable__c, of_Times_Recurring__c</x:v>
      </x:c>
      <x:c r="H608" s="119" t="str"/>
      <x:c r="I608" s="119" t="str"/>
      <x:c r="J608" s="119" t="str"/>
      <x:c r="K608" s="118" t="n">
        <x:v>43</x:v>
      </x:c>
      <x:c r="L608" s="118" t="n">
        <x:v>0</x:v>
      </x:c>
      <x:c r="M608" s="118" t="n">
        <x:v>0</x:v>
      </x:c>
      <x:c r="N608" s="118" t="n">
        <x:v>13</x:v>
      </x:c>
      <x:c r="O608" s="118" t="n">
        <x:v>0</x:v>
      </x:c>
      <x:c r="P608" s="118" t="n">
        <x:v>0</x:v>
      </x:c>
      <x:c r="Q608" s="118" t="n">
        <x:v>10</x:v>
      </x:c>
      <x:c r="R608" s="118" t="n">
        <x:v>0</x:v>
      </x:c>
      <x:c r="S608" s="118" t="n">
        <x:v>0</x:v>
      </x:c>
      <x:c r="T608" s="118" t="n">
        <x:v>13</x:v>
      </x:c>
      <x:c r="U608" s="118" t="n">
        <x:v>0</x:v>
      </x:c>
      <x:c r="V608" s="118" t="n">
        <x:v>1</x:v>
      </x:c>
      <x:c r="W608" s="118" t="n">
        <x:v>0</x:v>
      </x:c>
      <x:c r="X608" s="118" t="n">
        <x:v>3</x:v>
      </x:c>
      <x:c r="Y608" s="118" t="n">
        <x:v>2</x:v>
      </x:c>
      <x:c r="Z608" s="118" t="n">
        <x:v>0</x:v>
      </x:c>
      <x:c r="AA608" s="118" t="n">
        <x:v>0</x:v>
      </x:c>
      <x:c r="AB608" s="118" t="n">
        <x:v>0</x:v>
      </x:c>
      <x:c r="AC608" s="118" t="n">
        <x:v>0</x:v>
      </x:c>
    </x:row>
    <x:row r="609" ht="46" customHeight="1">
      <x:c r="A609" s="117" t="str">
        <x:v>3005b000000H426AAC</x:v>
      </x:c>
      <x:c r="B609" s="117" t="str">
        <x:v>Submit_to_UK_Accounting_for_Invoicing</x:v>
      </x:c>
      <x:c r="C609" s="117" t="str">
        <x:v>Yes</x:v>
      </x:c>
      <x:c r="D609" s="119" t="str">
        <x:v>Active v8 (Retrieved XML)</x:v>
      </x:c>
      <x:c r="E609" s="119" t="str"/>
      <x:c r="F609" s="119" t="str">
        <x:v>Opportunity, Task</x:v>
      </x:c>
      <x:c r="G609" s="119" t="str">
        <x:v>ActivityDate, Description, Id, OwnerId, Priority, Pro_Forma_Invoice_Requested__c, Pro_Forma_Requested_By__c, Pro_Forma_Requested_Time_Stamp__c, ReminderDateTime, Status, Subject, WhatId</x:v>
      </x:c>
      <x:c r="H609" s="119" t="str">
        <x:v>emailSimple</x:v>
      </x:c>
      <x:c r="I609" s="119" t="str"/>
      <x:c r="J609" s="119" t="str">
        <x:v>flowruntime:email</x:v>
      </x:c>
      <x:c r="K609" s="118" t="n">
        <x:v>10</x:v>
      </x:c>
      <x:c r="L609" s="118" t="n">
        <x:v>1</x:v>
      </x:c>
      <x:c r="M609" s="118" t="n">
        <x:v>0</x:v>
      </x:c>
      <x:c r="N609" s="118" t="n">
        <x:v>2</x:v>
      </x:c>
      <x:c r="O609" s="118" t="n">
        <x:v>0</x:v>
      </x:c>
      <x:c r="P609" s="118" t="n">
        <x:v>0</x:v>
      </x:c>
      <x:c r="Q609" s="118" t="n">
        <x:v>1</x:v>
      </x:c>
      <x:c r="R609" s="118" t="n">
        <x:v>0</x:v>
      </x:c>
      <x:c r="S609" s="118" t="n">
        <x:v>0</x:v>
      </x:c>
      <x:c r="T609" s="118" t="n">
        <x:v>1</x:v>
      </x:c>
      <x:c r="U609" s="118" t="n">
        <x:v>0</x:v>
      </x:c>
      <x:c r="V609" s="118" t="n">
        <x:v>1</x:v>
      </x:c>
      <x:c r="W609" s="118" t="n">
        <x:v>0</x:v>
      </x:c>
      <x:c r="X609" s="118" t="n">
        <x:v>2</x:v>
      </x:c>
      <x:c r="Y609" s="118" t="n">
        <x:v>1</x:v>
      </x:c>
      <x:c r="Z609" s="118" t="n">
        <x:v>0</x:v>
      </x:c>
      <x:c r="AA609" s="118" t="n">
        <x:v>0</x:v>
      </x:c>
      <x:c r="AB609" s="118" t="n">
        <x:v>0</x:v>
      </x:c>
      <x:c r="AC609" s="118" t="n">
        <x:v>0</x:v>
      </x:c>
    </x:row>
    <x:row r="610" ht="46" customHeight="1">
      <x:c r="A610" s="117" t="str">
        <x:v>3000B0000008l9jQAA</x:v>
      </x:c>
      <x:c r="B610" s="117" t="str">
        <x:v>Swap_Lead_Owner_with_Lead_Owner_Queue</x:v>
      </x:c>
      <x:c r="C610" s="117" t="str">
        <x:v>No</x:v>
      </x:c>
      <x:c r="D610" s="119" t="str">
        <x:v>Latest inactive v14 (Retrieved XML)</x:v>
      </x:c>
      <x:c r="E610" s="119" t="str"/>
      <x:c r="F610" s="119" t="str">
        <x:v>Lead</x:v>
      </x:c>
      <x:c r="G610" s="119" t="str">
        <x:v>Id, OwnerId</x:v>
      </x:c>
      <x:c r="H610" s="119" t="str">
        <x:v>Lead.New_Lead_Assigned</x:v>
      </x:c>
      <x:c r="I610" s="119" t="str"/>
      <x:c r="J610" s="119" t="str"/>
      <x:c r="K610" s="118" t="n">
        <x:v>51</x:v>
      </x:c>
      <x:c r="L610" s="118" t="n">
        <x:v>17</x:v>
      </x:c>
      <x:c r="M610" s="118" t="n">
        <x:v>0</x:v>
      </x:c>
      <x:c r="N610" s="118" t="n">
        <x:v>0</x:v>
      </x:c>
      <x:c r="O610" s="118" t="n">
        <x:v>0</x:v>
      </x:c>
      <x:c r="P610" s="118" t="n">
        <x:v>0</x:v>
      </x:c>
      <x:c r="Q610" s="118" t="n">
        <x:v>17</x:v>
      </x:c>
      <x:c r="R610" s="118" t="n">
        <x:v>0</x:v>
      </x:c>
      <x:c r="S610" s="118" t="n">
        <x:v>0</x:v>
      </x:c>
      <x:c r="T610" s="118" t="n">
        <x:v>0</x:v>
      </x:c>
      <x:c r="U610" s="118" t="n">
        <x:v>0</x:v>
      </x:c>
      <x:c r="V610" s="118" t="n">
        <x:v>0</x:v>
      </x:c>
      <x:c r="W610" s="118" t="n">
        <x:v>0</x:v>
      </x:c>
      <x:c r="X610" s="118" t="n">
        <x:v>17</x:v>
      </x:c>
      <x:c r="Y610" s="118" t="n">
        <x:v>0</x:v>
      </x:c>
      <x:c r="Z610" s="118" t="n">
        <x:v>0</x:v>
      </x:c>
      <x:c r="AA610" s="118" t="n">
        <x:v>0</x:v>
      </x:c>
      <x:c r="AB610" s="118" t="n">
        <x:v>0</x:v>
      </x:c>
      <x:c r="AC610" s="118" t="n">
        <x:v>0</x:v>
      </x:c>
    </x:row>
    <x:row r="611" ht="46" customHeight="1">
      <x:c r="A611" s="117" t="str">
        <x:v>3005b000000H30OAAS</x:v>
      </x:c>
      <x:c r="B611" s="117" t="str">
        <x:v>System_Deal_EA_Approval</x:v>
      </x:c>
      <x:c r="C611" s="117" t="str">
        <x:v>Yes</x:v>
      </x:c>
      <x:c r="D611" s="119" t="str">
        <x:v>Active v3 (Retrieved XML)</x:v>
      </x:c>
      <x:c r="E611" s="119" t="str"/>
      <x:c r="F611" s="119" t="str">
        <x:v>Opportunity</x:v>
      </x:c>
      <x:c r="G611" s="119" t="str">
        <x:v>Id, Trade_In_Details__c, Trade_In__c</x:v>
      </x:c>
      <x:c r="H611" s="119" t="str">
        <x:v>submit</x:v>
      </x:c>
      <x:c r="I611" s="119" t="str"/>
      <x:c r="J611" s="119" t="str"/>
      <x:c r="K611" s="118" t="n">
        <x:v>4</x:v>
      </x:c>
      <x:c r="L611" s="118" t="n">
        <x:v>1</x:v>
      </x:c>
      <x:c r="M611" s="118" t="n">
        <x:v>0</x:v>
      </x:c>
      <x:c r="N611" s="118" t="n">
        <x:v>0</x:v>
      </x:c>
      <x:c r="O611" s="118" t="n">
        <x:v>0</x:v>
      </x:c>
      <x:c r="P611" s="118" t="n">
        <x:v>0</x:v>
      </x:c>
      <x:c r="Q611" s="118" t="n">
        <x:v>0</x:v>
      </x:c>
      <x:c r="R611" s="118" t="n">
        <x:v>0</x:v>
      </x:c>
      <x:c r="S611" s="118" t="n">
        <x:v>0</x:v>
      </x:c>
      <x:c r="T611" s="118" t="n">
        <x:v>0</x:v>
      </x:c>
      <x:c r="U611" s="118" t="n">
        <x:v>0</x:v>
      </x:c>
      <x:c r="V611" s="118" t="n">
        <x:v>0</x:v>
      </x:c>
      <x:c r="W611" s="118" t="n">
        <x:v>0</x:v>
      </x:c>
      <x:c r="X611" s="118" t="n">
        <x:v>1</x:v>
      </x:c>
      <x:c r="Y611" s="118" t="n">
        <x:v>1</x:v>
      </x:c>
      <x:c r="Z611" s="118" t="n">
        <x:v>0</x:v>
      </x:c>
      <x:c r="AA611" s="118" t="n">
        <x:v>0</x:v>
      </x:c>
      <x:c r="AB611" s="118" t="n">
        <x:v>0</x:v>
      </x:c>
      <x:c r="AC611" s="118" t="n">
        <x:v>0</x:v>
      </x:c>
    </x:row>
    <x:row r="612" ht="46" customHeight="1">
      <x:c r="A612" s="117" t="str">
        <x:v>300Ro000009znjeIAA</x:v>
      </x:c>
      <x:c r="B612" s="117" t="str">
        <x:v>System_Rate_Calculator_Screen_Flow</x:v>
      </x:c>
      <x:c r="C612" s="117" t="str">
        <x:v>No</x:v>
      </x:c>
      <x:c r="D612" s="119" t="str">
        <x:v>Latest inactive v15 (Retrieved XML)</x:v>
      </x:c>
      <x:c r="E612" s="119" t="str"/>
      <x:c r="F612" s="119" t="str">
        <x:v>Opportunity, OpportunityLineItem</x:v>
      </x:c>
      <x:c r="G612" s="119" t="str">
        <x:v>Asset_No__c, Id, OpportunityId, PricebookEntryId, Product2Id, ProductItem__c, Quantity, Ship_Type__c, Shipping_Calculated__c, UnitPrice</x:v>
      </x:c>
      <x:c r="H612" s="119" t="str">
        <x:v>emailSimple</x:v>
      </x:c>
      <x:c r="I612" s="119" t="str"/>
      <x:c r="J612" s="119" t="str"/>
      <x:c r="K612" s="118" t="n">
        <x:v>41</x:v>
      </x:c>
      <x:c r="L612" s="118" t="n">
        <x:v>2</x:v>
      </x:c>
      <x:c r="M612" s="118" t="n">
        <x:v>0</x:v>
      </x:c>
      <x:c r="N612" s="118" t="n">
        <x:v>7</x:v>
      </x:c>
      <x:c r="O612" s="118" t="n">
        <x:v>0</x:v>
      </x:c>
      <x:c r="P612" s="118" t="n">
        <x:v>0</x:v>
      </x:c>
      <x:c r="Q612" s="118" t="n">
        <x:v>8</x:v>
      </x:c>
      <x:c r="R612" s="118" t="n">
        <x:v>1</x:v>
      </x:c>
      <x:c r="S612" s="118" t="n">
        <x:v>0</x:v>
      </x:c>
      <x:c r="T612" s="118" t="n">
        <x:v>10</x:v>
      </x:c>
      <x:c r="U612" s="118" t="n">
        <x:v>0</x:v>
      </x:c>
      <x:c r="V612" s="118" t="n">
        <x:v>4</x:v>
      </x:c>
      <x:c r="W612" s="118" t="n">
        <x:v>0</x:v>
      </x:c>
      <x:c r="X612" s="118" t="n">
        <x:v>3</x:v>
      </x:c>
      <x:c r="Y612" s="118" t="n">
        <x:v>5</x:v>
      </x:c>
      <x:c r="Z612" s="118" t="n">
        <x:v>0</x:v>
      </x:c>
      <x:c r="AA612" s="118" t="n">
        <x:v>0</x:v>
      </x:c>
      <x:c r="AB612" s="118" t="n">
        <x:v>0</x:v>
      </x:c>
      <x:c r="AC612" s="118" t="n">
        <x:v>0</x:v>
      </x:c>
    </x:row>
    <x:row r="613" ht="46" customHeight="1">
      <x:c r="A613" s="117" t="str">
        <x:v>300Ro00000BesY8IAJ</x:v>
      </x:c>
      <x:c r="B613" s="117" t="str">
        <x:v>System_Rate_Calculator_Screen_Flow_Rnd_2</x:v>
      </x:c>
      <x:c r="C613" s="117" t="str">
        <x:v>Yes</x:v>
      </x:c>
      <x:c r="D613" s="119" t="str">
        <x:v>Active v29 (Retrieved XML)</x:v>
      </x:c>
      <x:c r="E613" s="119" t="str"/>
      <x:c r="F613" s="119" t="str">
        <x:v>Opportunity, OpportunityLineItem, PricebookEntry</x:v>
      </x:c>
      <x:c r="G613" s="119" t="str">
        <x:v>Asset_No__c, CurrencyIsoCode, Id, IsActive, OpportunityId, PricebookEntryId, Product2Id, ProductItem__c, Quantity, Shipping_Calculated__c, UnitPrice</x:v>
      </x:c>
      <x:c r="H613" s="119" t="str">
        <x:v>NewTask, emailSimple</x:v>
      </x:c>
      <x:c r="I613" s="119" t="str"/>
      <x:c r="J613" s="119" t="str"/>
      <x:c r="K613" s="118" t="n">
        <x:v>68</x:v>
      </x:c>
      <x:c r="L613" s="118" t="n">
        <x:v>5</x:v>
      </x:c>
      <x:c r="M613" s="118" t="n">
        <x:v>0</x:v>
      </x:c>
      <x:c r="N613" s="118" t="n">
        <x:v>15</x:v>
      </x:c>
      <x:c r="O613" s="118" t="n">
        <x:v>0</x:v>
      </x:c>
      <x:c r="P613" s="118" t="n">
        <x:v>0</x:v>
      </x:c>
      <x:c r="Q613" s="118" t="n">
        <x:v>15</x:v>
      </x:c>
      <x:c r="R613" s="118" t="n">
        <x:v>0</x:v>
      </x:c>
      <x:c r="S613" s="118" t="n">
        <x:v>0</x:v>
      </x:c>
      <x:c r="T613" s="118" t="n">
        <x:v>12</x:v>
      </x:c>
      <x:c r="U613" s="118" t="n">
        <x:v>0</x:v>
      </x:c>
      <x:c r="V613" s="118" t="n">
        <x:v>6</x:v>
      </x:c>
      <x:c r="W613" s="118" t="n">
        <x:v>0</x:v>
      </x:c>
      <x:c r="X613" s="118" t="n">
        <x:v>3</x:v>
      </x:c>
      <x:c r="Y613" s="118" t="n">
        <x:v>11</x:v>
      </x:c>
      <x:c r="Z613" s="118" t="n">
        <x:v>0</x:v>
      </x:c>
      <x:c r="AA613" s="118" t="n">
        <x:v>0</x:v>
      </x:c>
      <x:c r="AB613" s="118" t="n">
        <x:v>0</x:v>
      </x:c>
      <x:c r="AC613" s="118" t="n">
        <x:v>0</x:v>
      </x:c>
    </x:row>
    <x:row r="614" ht="46" customHeight="1">
      <x:c r="A614" s="117" t="str">
        <x:v>300Ro00000NynYXIAZ</x:v>
      </x:c>
      <x:c r="B614" s="117" t="str">
        <x:v>TEMP_IR_Product_Creation</x:v>
      </x:c>
      <x:c r="C614" s="117" t="str">
        <x:v>Yes</x:v>
      </x:c>
      <x:c r="D614" s="119" t="str">
        <x:v>Active v10 (Retrieved XML)</x:v>
      </x:c>
      <x:c r="E614" s="119" t="str">
        <x:v>Trigger_Update__c EqualTo booleanValue=true</x:v>
      </x:c>
      <x:c r="F614" s="119" t="str">
        <x:v>IR_Product__c, Item_Receipt__c, OpportunityLineItem, ProductItem__c</x:v>
      </x:c>
      <x:c r="G614" s="119" t="str">
        <x:v>Asset2__c, CurrencyIsoCode, Id, Intacct_Receipt_Sync_Status__c, Item_Receipt_Type__c, Item_Receipt__c, Name, OpportunityId, Opportunity_Product__c, Opportunity__c, Product2Id, Product2__c, Purchasing_Opportunity__c, Quantity__c, Total_Cost__c, Trigger_Update__c</x:v>
      </x:c>
      <x:c r="H614" s="119" t="str"/>
      <x:c r="I614" s="119" t="str"/>
      <x:c r="J614" s="119" t="str"/>
      <x:c r="K614" s="118" t="n">
        <x:v>15</x:v>
      </x:c>
      <x:c r="L614" s="118" t="n">
        <x:v>0</x:v>
      </x:c>
      <x:c r="M614" s="118" t="n">
        <x:v>0</x:v>
      </x:c>
      <x:c r="N614" s="118" t="n">
        <x:v>1</x:v>
      </x:c>
      <x:c r="O614" s="118" t="n">
        <x:v>0</x:v>
      </x:c>
      <x:c r="P614" s="118" t="n">
        <x:v>0</x:v>
      </x:c>
      <x:c r="Q614" s="118" t="n">
        <x:v>2</x:v>
      </x:c>
      <x:c r="R614" s="118" t="n">
        <x:v>3</x:v>
      </x:c>
      <x:c r="S614" s="118" t="n">
        <x:v>0</x:v>
      </x:c>
      <x:c r="T614" s="118" t="n">
        <x:v>2</x:v>
      </x:c>
      <x:c r="U614" s="118" t="n">
        <x:v>1</x:v>
      </x:c>
      <x:c r="V614" s="118" t="n">
        <x:v>4</x:v>
      </x:c>
      <x:c r="W614" s="118" t="n">
        <x:v>0</x:v>
      </x:c>
      <x:c r="X614" s="118" t="n">
        <x:v>1</x:v>
      </x:c>
      <x:c r="Y614" s="118" t="n">
        <x:v>0</x:v>
      </x:c>
      <x:c r="Z614" s="118" t="n">
        <x:v>0</x:v>
      </x:c>
      <x:c r="AA614" s="118" t="n">
        <x:v>0</x:v>
      </x:c>
      <x:c r="AB614" s="118" t="n">
        <x:v>0</x:v>
      </x:c>
      <x:c r="AC614" s="118" t="n">
        <x:v>0</x:v>
      </x:c>
    </x:row>
    <x:row r="615" ht="46" customHeight="1">
      <x:c r="A615" s="117" t="str">
        <x:v>3005b000000LGqzAAG</x:v>
      </x:c>
      <x:c r="B615" s="117" t="str">
        <x:v>Test_Get_Assets</x:v>
      </x:c>
      <x:c r="C615" s="117" t="str">
        <x:v>No</x:v>
      </x:c>
      <x:c r="D615" s="119" t="str">
        <x:v>Latest inactive v18 (Retrieved XML)</x:v>
      </x:c>
      <x:c r="E615" s="119" t="str"/>
      <x:c r="F615" s="119" t="str">
        <x:v>Item_Receipt__c, OpportunityLineItem, ProductItem__c</x:v>
      </x:c>
      <x:c r="G615" s="119" t="str">
        <x:v>Generic_Product__c, Item_Receipt__c, OpportunityId, Opportunity__c, Product_Name__c, Purchasing_Approved__c, Purchasing_Opportunity__c, sold__c</x:v>
      </x:c>
      <x:c r="H615" s="119" t="str"/>
      <x:c r="I615" s="119" t="str"/>
      <x:c r="J615" s="119" t="str">
        <x:v>c:datatable</x:v>
      </x:c>
      <x:c r="K615" s="118" t="n">
        <x:v>11</x:v>
      </x:c>
      <x:c r="L615" s="118" t="n">
        <x:v>0</x:v>
      </x:c>
      <x:c r="M615" s="118" t="n">
        <x:v>0</x:v>
      </x:c>
      <x:c r="N615" s="118" t="n">
        <x:v>3</x:v>
      </x:c>
      <x:c r="O615" s="118" t="n">
        <x:v>0</x:v>
      </x:c>
      <x:c r="P615" s="118" t="n">
        <x:v>0</x:v>
      </x:c>
      <x:c r="Q615" s="118" t="n">
        <x:v>0</x:v>
      </x:c>
      <x:c r="R615" s="118" t="n">
        <x:v>2</x:v>
      </x:c>
      <x:c r="S615" s="118" t="n">
        <x:v>0</x:v>
      </x:c>
      <x:c r="T615" s="118" t="n">
        <x:v>1</x:v>
      </x:c>
      <x:c r="U615" s="118" t="n">
        <x:v>0</x:v>
      </x:c>
      <x:c r="V615" s="118" t="n">
        <x:v>2</x:v>
      </x:c>
      <x:c r="W615" s="118" t="n">
        <x:v>0</x:v>
      </x:c>
      <x:c r="X615" s="118" t="n">
        <x:v>1</x:v>
      </x:c>
      <x:c r="Y615" s="118" t="n">
        <x:v>1</x:v>
      </x:c>
      <x:c r="Z615" s="118" t="n">
        <x:v>0</x:v>
      </x:c>
      <x:c r="AA615" s="118" t="n">
        <x:v>0</x:v>
      </x:c>
      <x:c r="AB615" s="118" t="n">
        <x:v>0</x:v>
      </x:c>
      <x:c r="AC615" s="118" t="n">
        <x:v>0</x:v>
      </x:c>
    </x:row>
    <x:row r="616" ht="46" customHeight="1">
      <x:c r="A616" s="117" t="str">
        <x:v>3005b00000113C7AAI</x:v>
      </x:c>
      <x:c r="B616" s="117" t="str">
        <x:v>TESTING_Lead_Email_Alert</x:v>
      </x:c>
      <x:c r="C616" s="117" t="str">
        <x:v>No</x:v>
      </x:c>
      <x:c r="D616" s="119" t="str">
        <x:v>Latest inactive v3 (Retrieved XML)</x:v>
      </x:c>
      <x:c r="E616" s="119" t="str"/>
      <x:c r="F616" s="119" t="str">
        <x:v>Lead, User</x:v>
      </x:c>
      <x:c r="G616" s="119" t="str">
        <x:v>Address, Business_Unit__c, Country, Country_Field__c, CreatedBy, Created_by_EU_UK__c, CurrencyIsoCode, Id, International_Lead_Assigned_Date_Time__c, LeadSource, Lead_Source_Detail__c, Leads_Queue_ID__c, Midwest_Last_Lead_Assigned__c, Midwest_Leads__c, Non_Probe_Lead_Last_Assigned_Date_Time__c, Northeast_Last_Lead_Assigned__c, Northeast_Leads__c, Other_Last_Lead_Assigned__c, Other_Leads__c, Owned_by_Queue__c, OwnerId, Probe_Lead_Last_Assigned_Date_Time__c, Product_Type__c, RecordTypeId, Southeast_Last_Lead_Assigned__c, Southeast_Leads__c, Southwest_Last_Lead_Assigned__c, Southwest_Leads__c, Status, Tags__c, Territory__c, West_Last_Lead_Assigned__c, West_Leads__c, is_ScanToSalesforce__c, pi__conversion_object_name__c, pi__first_touch_url__c</x:v>
      </x:c>
      <x:c r="H616" s="119" t="str">
        <x:v>Lead.New_Lead_Assigned</x:v>
      </x:c>
      <x:c r="I616" s="119" t="str"/>
      <x:c r="J616" s="119" t="str"/>
      <x:c r="K616" s="118" t="n">
        <x:v>45</x:v>
      </x:c>
      <x:c r="L616" s="118" t="n">
        <x:v>2</x:v>
      </x:c>
      <x:c r="M616" s="118" t="n">
        <x:v>0</x:v>
      </x:c>
      <x:c r="N616" s="118" t="n">
        <x:v>0</x:v>
      </x:c>
      <x:c r="O616" s="118" t="n">
        <x:v>0</x:v>
      </x:c>
      <x:c r="P616" s="118" t="n">
        <x:v>0</x:v>
      </x:c>
      <x:c r="Q616" s="118" t="n">
        <x:v>8</x:v>
      </x:c>
      <x:c r="R616" s="118" t="n">
        <x:v>0</x:v>
      </x:c>
      <x:c r="S616" s="118" t="n">
        <x:v>0</x:v>
      </x:c>
      <x:c r="T616" s="118" t="n">
        <x:v>0</x:v>
      </x:c>
      <x:c r="U616" s="118" t="n">
        <x:v>0</x:v>
      </x:c>
      <x:c r="V616" s="118" t="n">
        <x:v>8</x:v>
      </x:c>
      <x:c r="W616" s="118" t="n">
        <x:v>0</x:v>
      </x:c>
      <x:c r="X616" s="118" t="n">
        <x:v>26</x:v>
      </x:c>
      <x:c r="Y616" s="118" t="n">
        <x:v>0</x:v>
      </x:c>
      <x:c r="Z616" s="118" t="n">
        <x:v>0</x:v>
      </x:c>
      <x:c r="AA616" s="118" t="n">
        <x:v>0</x:v>
      </x:c>
      <x:c r="AB616" s="118" t="n">
        <x:v>0</x:v>
      </x:c>
      <x:c r="AC616" s="118" t="n">
        <x:v>0</x:v>
      </x:c>
    </x:row>
    <x:row r="617" ht="46" customHeight="1">
      <x:c r="A617" s="117" t="str">
        <x:v>300Ro00000ADBG1IAP</x:v>
      </x:c>
      <x:c r="B617" s="117" t="str">
        <x:v>Training_Class_Updates_Flow</x:v>
      </x:c>
      <x:c r="C617" s="117" t="str">
        <x:v>Yes</x:v>
      </x:c>
      <x:c r="D617" s="119" t="str">
        <x:v>Active v4 (Retrieved XML)</x:v>
      </x:c>
      <x:c r="E617" s="119" t="str">
        <x:v>Class_Status__c EqualTo stringValue=Approved | Class_Status__c EqualTo stringValue=Completed | Class_Status__c EqualTo stringValue=Cancelled | Class_Status__c IsChanged booleanValue=true</x:v>
      </x:c>
      <x:c r="F617" s="119" t="str">
        <x:v>Opportunity, Training_Class__c</x:v>
      </x:c>
      <x:c r="G617" s="119" t="str">
        <x:v>Available_Seats__c, Class_End_Date__c, Class_Instructor__c, Class_Location__c, Class_Start_Date__c, Class_Status__c, Class_Type__c, Id, Related_Training_Class__c, StageName, Total_Amount_Billed__c, Training_Class_Name__c, Training_System__r</x:v>
      </x:c>
      <x:c r="H617" s="119" t="str">
        <x:v>emailSimple</x:v>
      </x:c>
      <x:c r="I617" s="119" t="str"/>
      <x:c r="J617" s="119" t="str"/>
      <x:c r="K617" s="118" t="n">
        <x:v>14</x:v>
      </x:c>
      <x:c r="L617" s="118" t="n">
        <x:v>1</x:v>
      </x:c>
      <x:c r="M617" s="118" t="n">
        <x:v>0</x:v>
      </x:c>
      <x:c r="N617" s="118" t="n">
        <x:v>1</x:v>
      </x:c>
      <x:c r="O617" s="118" t="n">
        <x:v>0</x:v>
      </x:c>
      <x:c r="P617" s="118" t="n">
        <x:v>0</x:v>
      </x:c>
      <x:c r="Q617" s="118" t="n">
        <x:v>4</x:v>
      </x:c>
      <x:c r="R617" s="118" t="n">
        <x:v>2</x:v>
      </x:c>
      <x:c r="S617" s="118" t="n">
        <x:v>0</x:v>
      </x:c>
      <x:c r="T617" s="118" t="n">
        <x:v>0</x:v>
      </x:c>
      <x:c r="U617" s="118" t="n">
        <x:v>0</x:v>
      </x:c>
      <x:c r="V617" s="118" t="n">
        <x:v>2</x:v>
      </x:c>
      <x:c r="W617" s="118" t="n">
        <x:v>0</x:v>
      </x:c>
      <x:c r="X617" s="118" t="n">
        <x:v>3</x:v>
      </x:c>
      <x:c r="Y617" s="118" t="n">
        <x:v>0</x:v>
      </x:c>
      <x:c r="Z617" s="118" t="n">
        <x:v>0</x:v>
      </x:c>
      <x:c r="AA617" s="118" t="n">
        <x:v>0</x:v>
      </x:c>
      <x:c r="AB617" s="118" t="n">
        <x:v>0</x:v>
      </x:c>
      <x:c r="AC617" s="118" t="n">
        <x:v>0</x:v>
      </x:c>
    </x:row>
    <x:row r="618" ht="46" customHeight="1">
      <x:c r="A618" s="117" t="str">
        <x:v>300Ro00000iQYcbIAG</x:v>
      </x:c>
      <x:c r="B618" s="117" t="str">
        <x:v>Training_Item_Auotmations</x:v>
      </x:c>
      <x:c r="C618" s="117" t="str">
        <x:v>Yes</x:v>
      </x:c>
      <x:c r="D618" s="119" t="str">
        <x:v>Active v3 (Retrieved XML)</x:v>
      </x:c>
      <x:c r="E618" s="119" t="str"/>
      <x:c r="F618" s="119" t="str">
        <x:v>Training_Item__c</x:v>
      </x:c>
      <x:c r="G618" s="119" t="str">
        <x:v>Approved_By__c, Department__c, Document_Status__c, Published_Date__c, Visibility_Status__c</x:v>
      </x:c>
      <x:c r="H618" s="119" t="str"/>
      <x:c r="I618" s="119" t="str"/>
      <x:c r="J618" s="119" t="str"/>
      <x:c r="K618" s="118" t="n">
        <x:v>6</x:v>
      </x:c>
      <x:c r="L618" s="118" t="n">
        <x:v>0</x:v>
      </x:c>
      <x:c r="M618" s="118" t="n">
        <x:v>0</x:v>
      </x:c>
      <x:c r="N618" s="118" t="n">
        <x:v>0</x:v>
      </x:c>
      <x:c r="O618" s="118" t="n">
        <x:v>0</x:v>
      </x:c>
      <x:c r="P618" s="118" t="n">
        <x:v>0</x:v>
      </x:c>
      <x:c r="Q618" s="118" t="n">
        <x:v>2</x:v>
      </x:c>
      <x:c r="R618" s="118" t="n">
        <x:v>0</x:v>
      </x:c>
      <x:c r="S618" s="118" t="n">
        <x:v>0</x:v>
      </x:c>
      <x:c r="T618" s="118" t="n">
        <x:v>0</x:v>
      </x:c>
      <x:c r="U618" s="118" t="n">
        <x:v>0</x:v>
      </x:c>
      <x:c r="V618" s="118" t="n">
        <x:v>0</x:v>
      </x:c>
      <x:c r="W618" s="118" t="n">
        <x:v>0</x:v>
      </x:c>
      <x:c r="X618" s="118" t="n">
        <x:v>3</x:v>
      </x:c>
      <x:c r="Y618" s="118" t="n">
        <x:v>0</x:v>
      </x:c>
      <x:c r="Z618" s="118" t="n">
        <x:v>0</x:v>
      </x:c>
      <x:c r="AA618" s="118" t="n">
        <x:v>0</x:v>
      </x:c>
      <x:c r="AB618" s="118" t="n">
        <x:v>0</x:v>
      </x:c>
      <x:c r="AC618" s="118" t="n">
        <x:v>0</x:v>
      </x:c>
    </x:row>
    <x:row r="619" ht="46" customHeight="1">
      <x:c r="A619" s="117" t="str">
        <x:v>300Ro00000vlpXjIAI</x:v>
      </x:c>
      <x:c r="B619" s="117" t="str">
        <x:v>Training_Item_Create_Document_Review_Screen_Flow</x:v>
      </x:c>
      <x:c r="C619" s="117" t="str">
        <x:v>Yes</x:v>
      </x:c>
      <x:c r="D619" s="119" t="str">
        <x:v>Active v6 (Retrieved XML)</x:v>
      </x:c>
      <x:c r="E619" s="119" t="str"/>
      <x:c r="F619" s="119" t="str">
        <x:v>Document_Review__c, Training_Item__c, User</x:v>
      </x:c>
      <x:c r="G619" s="119" t="str">
        <x:v>Document_Owner__c, Id, Requested_By__c, Status__c, Submitted_Date__c, Target_Review_Date__c, Training_Item__c</x:v>
      </x:c>
      <x:c r="H619" s="119" t="str">
        <x:v>emailSimple</x:v>
      </x:c>
      <x:c r="I619" s="119" t="str"/>
      <x:c r="J619" s="119" t="str">
        <x:v>flowruntime:lookup</x:v>
      </x:c>
      <x:c r="K619" s="118" t="n">
        <x:v>9</x:v>
      </x:c>
      <x:c r="L619" s="118" t="n">
        <x:v>1</x:v>
      </x:c>
      <x:c r="M619" s="118" t="n">
        <x:v>0</x:v>
      </x:c>
      <x:c r="N619" s="118" t="n">
        <x:v>0</x:v>
      </x:c>
      <x:c r="O619" s="118" t="n">
        <x:v>0</x:v>
      </x:c>
      <x:c r="P619" s="118" t="n">
        <x:v>0</x:v>
      </x:c>
      <x:c r="Q619" s="118" t="n">
        <x:v>1</x:v>
      </x:c>
      <x:c r="R619" s="118" t="n">
        <x:v>0</x:v>
      </x:c>
      <x:c r="S619" s="118" t="n">
        <x:v>0</x:v>
      </x:c>
      <x:c r="T619" s="118" t="n">
        <x:v>1</x:v>
      </x:c>
      <x:c r="U619" s="118" t="n">
        <x:v>0</x:v>
      </x:c>
      <x:c r="V619" s="118" t="n">
        <x:v>3</x:v>
      </x:c>
      <x:c r="W619" s="118" t="n">
        <x:v>0</x:v>
      </x:c>
      <x:c r="X619" s="118" t="n">
        <x:v>0</x:v>
      </x:c>
      <x:c r="Y619" s="118" t="n">
        <x:v>2</x:v>
      </x:c>
      <x:c r="Z619" s="118" t="n">
        <x:v>0</x:v>
      </x:c>
      <x:c r="AA619" s="118" t="n">
        <x:v>0</x:v>
      </x:c>
      <x:c r="AB619" s="118" t="n">
        <x:v>0</x:v>
      </x:c>
      <x:c r="AC619" s="118" t="n">
        <x:v>0</x:v>
      </x:c>
    </x:row>
    <x:row r="620" ht="46" customHeight="1">
      <x:c r="A620" s="117" t="str">
        <x:v>300Ro00000Pz0kvIAB</x:v>
      </x:c>
      <x:c r="B620" s="117" t="str">
        <x:v>Travel_Start_Date_Time</x:v>
      </x:c>
      <x:c r="C620" s="117" t="str">
        <x:v>Yes</x:v>
      </x:c>
      <x:c r="D620" s="119" t="str">
        <x:v>Active v2 (Retrieved XML)</x:v>
      </x:c>
      <x:c r="E620" s="119" t="str"/>
      <x:c r="F620" s="119" t="str">
        <x:v>ServiceAppointment, WorkOrder</x:v>
      </x:c>
      <x:c r="G620" s="119" t="str">
        <x:v>Id, Last_Completed_Work_Step__c, Travel_Start__c, Work_Order__c</x:v>
      </x:c>
      <x:c r="H620" s="119" t="str"/>
      <x:c r="I620" s="119" t="str"/>
      <x:c r="J620" s="119" t="str"/>
      <x:c r="K620" s="118" t="n">
        <x:v>5</x:v>
      </x:c>
      <x:c r="L620" s="118" t="n">
        <x:v>0</x:v>
      </x:c>
      <x:c r="M620" s="118" t="n">
        <x:v>0</x:v>
      </x:c>
      <x:c r="N620" s="118" t="n">
        <x:v>0</x:v>
      </x:c>
      <x:c r="O620" s="118" t="n">
        <x:v>0</x:v>
      </x:c>
      <x:c r="P620" s="118" t="n">
        <x:v>0</x:v>
      </x:c>
      <x:c r="Q620" s="118" t="n">
        <x:v>0</x:v>
      </x:c>
      <x:c r="R620" s="118" t="n">
        <x:v>0</x:v>
      </x:c>
      <x:c r="S620" s="118" t="n">
        <x:v>0</x:v>
      </x:c>
      <x:c r="T620" s="118" t="n">
        <x:v>0</x:v>
      </x:c>
      <x:c r="U620" s="118" t="n">
        <x:v>0</x:v>
      </x:c>
      <x:c r="V620" s="118" t="n">
        <x:v>1</x:v>
      </x:c>
      <x:c r="W620" s="118" t="n">
        <x:v>0</x:v>
      </x:c>
      <x:c r="X620" s="118" t="n">
        <x:v>2</x:v>
      </x:c>
      <x:c r="Y620" s="118" t="n">
        <x:v>1</x:v>
      </x:c>
      <x:c r="Z620" s="118" t="n">
        <x:v>0</x:v>
      </x:c>
      <x:c r="AA620" s="118" t="n">
        <x:v>0</x:v>
      </x:c>
      <x:c r="AB620" s="118" t="n">
        <x:v>0</x:v>
      </x:c>
      <x:c r="AC620" s="118" t="n">
        <x:v>0</x:v>
      </x:c>
    </x:row>
    <x:row r="621" ht="46" customHeight="1">
      <x:c r="A621" s="117" t="str">
        <x:v>3005b000000H3dfAAC</x:v>
      </x:c>
      <x:c r="B621" s="117" t="str">
        <x:v>UK_Create_Removal_Charge_Screenflow</x:v>
      </x:c>
      <x:c r="C621" s="117" t="str">
        <x:v>Yes</x:v>
      </x:c>
      <x:c r="D621" s="119" t="str">
        <x:v>Active v24 (Retrieved XML)</x:v>
      </x:c>
      <x:c r="E621" s="119" t="str"/>
      <x:c r="F621" s="119" t="str">
        <x:v>Opportunity, OpportunityContactRole, OpportunityLineItem, Pricebook2, PricebookEntry, Product2, ProductItem__c, RecordType</x:v>
      </x:c>
      <x:c r="G621" s="119" t="str">
        <x:v>AccountId, Asset_No__c, Check_In_Type__c, CloseDate, Contact_Lookup__c, CurrencyIsoCode, Expected_Removal_date__c, Id, IsActive, IsStandard, Modality__c, Name, OpportunityId, Opportunity_Notes__c, Pricebook2Id, PricebookEntryId, Product2Id, Product2_Name__c, ProductItem__c, Quantity, RecordTypeId, Related_Opportunity__c, Sales_Lead_Source__c, StageName, UnitPrice</x:v>
      </x:c>
      <x:c r="H621" s="119" t="str"/>
      <x:c r="I621" s="119" t="str"/>
      <x:c r="J621" s="119" t="str"/>
      <x:c r="K621" s="118" t="n">
        <x:v>16</x:v>
      </x:c>
      <x:c r="L621" s="118" t="n">
        <x:v>0</x:v>
      </x:c>
      <x:c r="M621" s="118" t="n">
        <x:v>0</x:v>
      </x:c>
      <x:c r="N621" s="118" t="n">
        <x:v>2</x:v>
      </x:c>
      <x:c r="O621" s="118" t="n">
        <x:v>0</x:v>
      </x:c>
      <x:c r="P621" s="118" t="n">
        <x:v>0</x:v>
      </x:c>
      <x:c r="Q621" s="118" t="n">
        <x:v>0</x:v>
      </x:c>
      <x:c r="R621" s="118" t="n">
        <x:v>1</x:v>
      </x:c>
      <x:c r="S621" s="118" t="n">
        <x:v>0</x:v>
      </x:c>
      <x:c r="T621" s="118" t="n">
        <x:v>3</x:v>
      </x:c>
      <x:c r="U621" s="118" t="n">
        <x:v>0</x:v>
      </x:c>
      <x:c r="V621" s="118" t="n">
        <x:v>7</x:v>
      </x:c>
      <x:c r="W621" s="118" t="n">
        <x:v>0</x:v>
      </x:c>
      <x:c r="X621" s="118" t="n">
        <x:v>1</x:v>
      </x:c>
      <x:c r="Y621" s="118" t="n">
        <x:v>1</x:v>
      </x:c>
      <x:c r="Z621" s="118" t="n">
        <x:v>0</x:v>
      </x:c>
      <x:c r="AA621" s="118" t="n">
        <x:v>0</x:v>
      </x:c>
      <x:c r="AB621" s="118" t="n">
        <x:v>0</x:v>
      </x:c>
      <x:c r="AC621" s="118" t="n">
        <x:v>0</x:v>
      </x:c>
    </x:row>
    <x:row r="622" ht="46" customHeight="1">
      <x:c r="A622" s="117" t="str">
        <x:v>300Ro00000IcZnHIAV</x:v>
      </x:c>
      <x:c r="B622" s="117" t="str">
        <x:v>UK_Credit_Notification</x:v>
      </x:c>
      <x:c r="C622" s="117" t="str">
        <x:v>Yes</x:v>
      </x:c>
      <x:c r="D622" s="119" t="str">
        <x:v>Active v4 (Retrieved XML)</x:v>
      </x:c>
      <x:c r="E622" s="119" t="str">
        <x:v>Removed_from_Contract__c IsChanged booleanValue=true | Removed_from_Contract__c EqualTo booleanValue=true | Credit_Value__c GreaterThan numberValue=0.0</x:v>
      </x:c>
      <x:c r="F622" s="119" t="str">
        <x:v>ContractLineItem</x:v>
      </x:c>
      <x:c r="G622" s="119" t="str">
        <x:v>Credit_Value__c, Date_Notified_of_Removal__c, Date_Removed_from_Contract__c, EndDate, Id, Reason_Removed__c, Removed_from_Contract__c, System_Serial_Number__c</x:v>
      </x:c>
      <x:c r="H622" s="119" t="str">
        <x:v>emailSimple</x:v>
      </x:c>
      <x:c r="I622" s="119" t="str"/>
      <x:c r="J622" s="119" t="str"/>
      <x:c r="K622" s="118" t="n">
        <x:v>2</x:v>
      </x:c>
      <x:c r="L622" s="118" t="n">
        <x:v>1</x:v>
      </x:c>
      <x:c r="M622" s="118" t="n">
        <x:v>0</x:v>
      </x:c>
      <x:c r="N622" s="118" t="n">
        <x:v>0</x:v>
      </x:c>
      <x:c r="O622" s="118" t="n">
        <x:v>0</x:v>
      </x:c>
      <x:c r="P622" s="118" t="n">
        <x:v>0</x:v>
      </x:c>
      <x:c r="Q622" s="118" t="n">
        <x:v>0</x:v>
      </x:c>
      <x:c r="R622" s="118" t="n">
        <x:v>0</x:v>
      </x:c>
      <x:c r="S622" s="118" t="n">
        <x:v>0</x:v>
      </x:c>
      <x:c r="T622" s="118" t="n">
        <x:v>0</x:v>
      </x:c>
      <x:c r="U622" s="118" t="n">
        <x:v>0</x:v>
      </x:c>
      <x:c r="V622" s="118" t="n">
        <x:v>0</x:v>
      </x:c>
      <x:c r="W622" s="118" t="n">
        <x:v>0</x:v>
      </x:c>
      <x:c r="X622" s="118" t="n">
        <x:v>0</x:v>
      </x:c>
      <x:c r="Y622" s="118" t="n">
        <x:v>0</x:v>
      </x:c>
      <x:c r="Z622" s="118" t="n">
        <x:v>0</x:v>
      </x:c>
      <x:c r="AA622" s="118" t="n">
        <x:v>0</x:v>
      </x:c>
      <x:c r="AB622" s="118" t="n">
        <x:v>0</x:v>
      </x:c>
      <x:c r="AC622" s="118" t="n">
        <x:v>0</x:v>
      </x:c>
    </x:row>
    <x:row r="623" ht="46" customHeight="1">
      <x:c r="A623" s="117" t="str">
        <x:v>3005b000000LGu8AAG</x:v>
      </x:c>
      <x:c r="B623" s="117" t="str">
        <x:v>UK_Customer_Repair_Received</x:v>
      </x:c>
      <x:c r="C623" s="117" t="str">
        <x:v>Yes</x:v>
      </x:c>
      <x:c r="D623" s="119" t="str">
        <x:v>Active v11 (Retrieved XML)</x:v>
      </x:c>
      <x:c r="E623" s="119" t="str">
        <x:v>Ownership__c EqualTo stringValue=PROBO-UK | Receive_date__c IsNull booleanValue=false | Check_In_Type__c EqualTo stringValue=Customer Repair | Check_In_Type__c EqualTo stringValue=Purchase | Check_In_Type__c EqualTo stringValue=Vet – Purchase | Check_In_Type__c EqualTo stringValue=Vet – Customer Repair | Check_In_Type__c EqualTo stringValue=Warranty Repair</x:v>
      </x:c>
      <x:c r="F623" s="119" t="str">
        <x:v>ProductItem__c, WorkOrder</x:v>
      </x:c>
      <x:c r="G623" s="119" t="str">
        <x:v>Check_In_Type__c, Current_Location__c, Name, Ownership__c, Product_Name__r, Purchasing_Opportunity__r, Receive_date__c, Serial_No__c, Work_Order_ID__c</x:v>
      </x:c>
      <x:c r="H623" s="119" t="str">
        <x:v>emailSimple</x:v>
      </x:c>
      <x:c r="I623" s="119" t="str"/>
      <x:c r="J623" s="119" t="str"/>
      <x:c r="K623" s="118" t="n">
        <x:v>5</x:v>
      </x:c>
      <x:c r="L623" s="118" t="n">
        <x:v>2</x:v>
      </x:c>
      <x:c r="M623" s="118" t="n">
        <x:v>0</x:v>
      </x:c>
      <x:c r="N623" s="118" t="n">
        <x:v>0</x:v>
      </x:c>
      <x:c r="O623" s="118" t="n">
        <x:v>0</x:v>
      </x:c>
      <x:c r="P623" s="118" t="n">
        <x:v>0</x:v>
      </x:c>
      <x:c r="Q623" s="118" t="n">
        <x:v>1</x:v>
      </x:c>
      <x:c r="R623" s="118" t="n">
        <x:v>0</x:v>
      </x:c>
      <x:c r="S623" s="118" t="n">
        <x:v>0</x:v>
      </x:c>
      <x:c r="T623" s="118" t="n">
        <x:v>0</x:v>
      </x:c>
      <x:c r="U623" s="118" t="n">
        <x:v>0</x:v>
      </x:c>
      <x:c r="V623" s="118" t="n">
        <x:v>1</x:v>
      </x:c>
      <x:c r="W623" s="118" t="n">
        <x:v>0</x:v>
      </x:c>
      <x:c r="X623" s="118" t="n">
        <x:v>0</x:v>
      </x:c>
      <x:c r="Y623" s="118" t="n">
        <x:v>0</x:v>
      </x:c>
      <x:c r="Z623" s="118" t="n">
        <x:v>0</x:v>
      </x:c>
      <x:c r="AA623" s="118" t="n">
        <x:v>0</x:v>
      </x:c>
      <x:c r="AB623" s="118" t="n">
        <x:v>0</x:v>
      </x:c>
      <x:c r="AC623" s="118" t="n">
        <x:v>0</x:v>
      </x:c>
    </x:row>
    <x:row r="624" ht="46" customHeight="1">
      <x:c r="A624" s="117" t="str">
        <x:v>3005b000000LH4SAAW</x:v>
      </x:c>
      <x:c r="B624" s="117" t="str">
        <x:v>UK_Notification_for_Parts_Preperation</x:v>
      </x:c>
      <x:c r="C624" s="117" t="str">
        <x:v>No</x:v>
      </x:c>
      <x:c r="D624" s="119" t="str">
        <x:v>Latest inactive v1 (Retrieved XML)</x:v>
      </x:c>
      <x:c r="E624" s="119" t="str">
        <x:v>StageName EqualTo stringValue=Closed Won | Ship_Date__c IsNull booleanValue=false | Tracking__c IsNull booleanValue=false | RecordTypeId EqualTo stringValue=0124O000000tE2oQAE | Ship_Type__c EqualTo stringValue=Engineer Collection</x:v>
      </x:c>
      <x:c r="F624" s="119" t="str">
        <x:v>Opportunity</x:v>
      </x:c>
      <x:c r="G624" s="119" t="str">
        <x:v>Name, Opportunity_Number__c, RecordTypeId, Ship_Date__c, Ship_Type__c, StageName, Tracking__c</x:v>
      </x:c>
      <x:c r="H624" s="119" t="str">
        <x:v>emailSimple</x:v>
      </x:c>
      <x:c r="I624" s="119" t="str"/>
      <x:c r="J624" s="119" t="str"/>
      <x:c r="K624" s="118" t="n">
        <x:v>2</x:v>
      </x:c>
      <x:c r="L624" s="118" t="n">
        <x:v>1</x:v>
      </x:c>
      <x:c r="M624" s="118" t="n">
        <x:v>0</x:v>
      </x:c>
      <x:c r="N624" s="118" t="n">
        <x:v>0</x:v>
      </x:c>
      <x:c r="O624" s="118" t="n">
        <x:v>0</x:v>
      </x:c>
      <x:c r="P624" s="118" t="n">
        <x:v>0</x:v>
      </x:c>
      <x:c r="Q624" s="118" t="n">
        <x:v>0</x:v>
      </x:c>
      <x:c r="R624" s="118" t="n">
        <x:v>0</x:v>
      </x:c>
      <x:c r="S624" s="118" t="n">
        <x:v>0</x:v>
      </x:c>
      <x:c r="T624" s="118" t="n">
        <x:v>0</x:v>
      </x:c>
      <x:c r="U624" s="118" t="n">
        <x:v>0</x:v>
      </x:c>
      <x:c r="V624" s="118" t="n">
        <x:v>0</x:v>
      </x:c>
      <x:c r="W624" s="118" t="n">
        <x:v>0</x:v>
      </x:c>
      <x:c r="X624" s="118" t="n">
        <x:v>0</x:v>
      </x:c>
      <x:c r="Y624" s="118" t="n">
        <x:v>0</x:v>
      </x:c>
      <x:c r="Z624" s="118" t="n">
        <x:v>0</x:v>
      </x:c>
      <x:c r="AA624" s="118" t="n">
        <x:v>0</x:v>
      </x:c>
      <x:c r="AB624" s="118" t="n">
        <x:v>0</x:v>
      </x:c>
      <x:c r="AC624" s="118" t="n">
        <x:v>0</x:v>
      </x:c>
    </x:row>
    <x:row r="625" ht="46" customHeight="1">
      <x:c r="A625" s="117" t="str">
        <x:v>3005b000000LGsbAAG</x:v>
      </x:c>
      <x:c r="B625" s="117" t="str">
        <x:v>UK_Notification_for_Shipping_Ops_to_the_UK</x:v>
      </x:c>
      <x:c r="C625" s="117" t="str">
        <x:v>Yes</x:v>
      </x:c>
      <x:c r="D625" s="119" t="str">
        <x:v>Active v3 (Retrieved XML)</x:v>
      </x:c>
      <x:c r="E625" s="119" t="str">
        <x:v>Account_Name__c EqualTo stringValue="Probo Medical, LTD (UK)" | StageName EqualTo stringValue=Closed Won | Ship_Date__c IsNull booleanValue=false | Tracking__c IsNull booleanValue=false | RecordTypeId EqualTo stringValue=0124O000000tE2oQAE</x:v>
      </x:c>
      <x:c r="F625" s="119" t="str">
        <x:v>Opportunity</x:v>
      </x:c>
      <x:c r="G625" s="119" t="str">
        <x:v>Account_Name__c, Name, Opportunity_Number__c, RecordTypeId, Ship_Date__c, StageName, Tracking__c</x:v>
      </x:c>
      <x:c r="H625" s="119" t="str">
        <x:v>emailSimple</x:v>
      </x:c>
      <x:c r="I625" s="119" t="str"/>
      <x:c r="J625" s="119" t="str"/>
      <x:c r="K625" s="118" t="n">
        <x:v>2</x:v>
      </x:c>
      <x:c r="L625" s="118" t="n">
        <x:v>1</x:v>
      </x:c>
      <x:c r="M625" s="118" t="n">
        <x:v>0</x:v>
      </x:c>
      <x:c r="N625" s="118" t="n">
        <x:v>0</x:v>
      </x:c>
      <x:c r="O625" s="118" t="n">
        <x:v>0</x:v>
      </x:c>
      <x:c r="P625" s="118" t="n">
        <x:v>0</x:v>
      </x:c>
      <x:c r="Q625" s="118" t="n">
        <x:v>0</x:v>
      </x:c>
      <x:c r="R625" s="118" t="n">
        <x:v>0</x:v>
      </x:c>
      <x:c r="S625" s="118" t="n">
        <x:v>0</x:v>
      </x:c>
      <x:c r="T625" s="118" t="n">
        <x:v>0</x:v>
      </x:c>
      <x:c r="U625" s="118" t="n">
        <x:v>0</x:v>
      </x:c>
      <x:c r="V625" s="118" t="n">
        <x:v>0</x:v>
      </x:c>
      <x:c r="W625" s="118" t="n">
        <x:v>0</x:v>
      </x:c>
      <x:c r="X625" s="118" t="n">
        <x:v>0</x:v>
      </x:c>
      <x:c r="Y625" s="118" t="n">
        <x:v>0</x:v>
      </x:c>
      <x:c r="Z625" s="118" t="n">
        <x:v>0</x:v>
      </x:c>
      <x:c r="AA625" s="118" t="n">
        <x:v>0</x:v>
      </x:c>
      <x:c r="AB625" s="118" t="n">
        <x:v>0</x:v>
      </x:c>
      <x:c r="AC625" s="118" t="n">
        <x:v>0</x:v>
      </x:c>
    </x:row>
    <x:row r="626" ht="46" customHeight="1">
      <x:c r="A626" s="117" t="str">
        <x:v>3005b000000H3wXAAS</x:v>
      </x:c>
      <x:c r="B626" s="117" t="str">
        <x:v>UK_Pricing_Request_Notifications</x:v>
      </x:c>
      <x:c r="C626" s="117" t="str">
        <x:v>Yes</x:v>
      </x:c>
      <x:c r="D626" s="119" t="str">
        <x:v>Active v14 (Retrieved XML)</x:v>
      </x:c>
      <x:c r="E626" s="119" t="str">
        <x:v>Price__c IsNull booleanValue=false | CurrencyIsoCode EqualTo stringValue=GBP | CurrencyIsoCode EqualTo stringValue=USD</x:v>
      </x:c>
      <x:c r="F626" s="119" t="str">
        <x:v>Pricing_Request__c</x:v>
      </x:c>
      <x:c r="G626" s="119" t="str">
        <x:v>Condition__c, CreatedBy, CurrencyIsoCode, Id, Name, Outright_Exchange__c, Price__c, Pricing_Notes__c, Product_to_Price__c, Product_to_Price__r, Refurb_Part_Request__c, Refurb_Part_Request__r, Request_Notes__c, Requesting_Opportunity__c, Requesting_Opportunity__r, Requesting_Work_Order__c, Requesting_Work_Order__r</x:v>
      </x:c>
      <x:c r="H626" s="119" t="str">
        <x:v>Pricing_Request__c.Pricing_Request_Fulfilled_Ultrasound, Pricing_Request__c.Pricing_Request_Fulfilled_X_Ray, emailSimple</x:v>
      </x:c>
      <x:c r="I626" s="119" t="str"/>
      <x:c r="J626" s="119" t="str"/>
      <x:c r="K626" s="118" t="n">
        <x:v>12</x:v>
      </x:c>
      <x:c r="L626" s="118" t="n">
        <x:v>5</x:v>
      </x:c>
      <x:c r="M626" s="118" t="n">
        <x:v>0</x:v>
      </x:c>
      <x:c r="N626" s="118" t="n">
        <x:v>3</x:v>
      </x:c>
      <x:c r="O626" s="118" t="n">
        <x:v>0</x:v>
      </x:c>
      <x:c r="P626" s="118" t="n">
        <x:v>0</x:v>
      </x:c>
      <x:c r="Q626" s="118" t="n">
        <x:v>3</x:v>
      </x:c>
      <x:c r="R626" s="118" t="n">
        <x:v>0</x:v>
      </x:c>
      <x:c r="S626" s="118" t="n">
        <x:v>0</x:v>
      </x:c>
      <x:c r="T626" s="118" t="n">
        <x:v>0</x:v>
      </x:c>
      <x:c r="U626" s="118" t="n">
        <x:v>0</x:v>
      </x:c>
      <x:c r="V626" s="118" t="n">
        <x:v>0</x:v>
      </x:c>
      <x:c r="W626" s="118" t="n">
        <x:v>0</x:v>
      </x:c>
      <x:c r="X626" s="118" t="n">
        <x:v>0</x:v>
      </x:c>
      <x:c r="Y626" s="118" t="n">
        <x:v>0</x:v>
      </x:c>
      <x:c r="Z626" s="118" t="n">
        <x:v>0</x:v>
      </x:c>
      <x:c r="AA626" s="118" t="n">
        <x:v>0</x:v>
      </x:c>
      <x:c r="AB626" s="118" t="n">
        <x:v>0</x:v>
      </x:c>
      <x:c r="AC626" s="118" t="n">
        <x:v>0</x:v>
      </x:c>
    </x:row>
    <x:row r="627" ht="46" customHeight="1">
      <x:c r="A627" s="117" t="str">
        <x:v>3005b000000LGuDAAW</x:v>
      </x:c>
      <x:c r="B627" s="117" t="str">
        <x:v>UK_RMA_Item_Received_Alert</x:v>
      </x:c>
      <x:c r="C627" s="117" t="str">
        <x:v>Yes</x:v>
      </x:c>
      <x:c r="D627" s="119" t="str">
        <x:v>Active v8 (Retrieved XML)</x:v>
      </x:c>
      <x:c r="E627" s="119" t="str">
        <x:v>RecordTypeId EqualTo stringValue=012U0000000A9CqIAK | RecordTypeId EqualTo stringValue=012U0000000ADH1IAO | RecordTypeId EqualTo stringValue=0124O0000001xuIQAQ | Date_RMA_Item_Received__c IsNull booleanValue=false</x:v>
      </x:c>
      <x:c r="F627" s="119" t="str">
        <x:v>RMA__c</x:v>
      </x:c>
      <x:c r="G627" s="119" t="str">
        <x:v>Date_RMA_Item_Received__c, Name, ProductItem__r, Product_Name__c, RMA_Item_Serial_Number__c, RecordTypeId</x:v>
      </x:c>
      <x:c r="H627" s="119" t="str">
        <x:v>emailSimple</x:v>
      </x:c>
      <x:c r="I627" s="119" t="str"/>
      <x:c r="J627" s="119" t="str"/>
      <x:c r="K627" s="118" t="n">
        <x:v>3</x:v>
      </x:c>
      <x:c r="L627" s="118" t="n">
        <x:v>1</x:v>
      </x:c>
      <x:c r="M627" s="118" t="n">
        <x:v>0</x:v>
      </x:c>
      <x:c r="N627" s="118" t="n">
        <x:v>0</x:v>
      </x:c>
      <x:c r="O627" s="118" t="n">
        <x:v>0</x:v>
      </x:c>
      <x:c r="P627" s="118" t="n">
        <x:v>0</x:v>
      </x:c>
      <x:c r="Q627" s="118" t="n">
        <x:v>1</x:v>
      </x:c>
      <x:c r="R627" s="118" t="n">
        <x:v>0</x:v>
      </x:c>
      <x:c r="S627" s="118" t="n">
        <x:v>0</x:v>
      </x:c>
      <x:c r="T627" s="118" t="n">
        <x:v>0</x:v>
      </x:c>
      <x:c r="U627" s="118" t="n">
        <x:v>0</x:v>
      </x:c>
      <x:c r="V627" s="118" t="n">
        <x:v>0</x:v>
      </x:c>
      <x:c r="W627" s="118" t="n">
        <x:v>0</x:v>
      </x:c>
      <x:c r="X627" s="118" t="n">
        <x:v>0</x:v>
      </x:c>
      <x:c r="Y627" s="118" t="n">
        <x:v>0</x:v>
      </x:c>
      <x:c r="Z627" s="118" t="n">
        <x:v>0</x:v>
      </x:c>
      <x:c r="AA627" s="118" t="n">
        <x:v>0</x:v>
      </x:c>
      <x:c r="AB627" s="118" t="n">
        <x:v>0</x:v>
      </x:c>
      <x:c r="AC627" s="118" t="n">
        <x:v>0</x:v>
      </x:c>
    </x:row>
    <x:row r="628" ht="46" customHeight="1">
      <x:c r="A628" s="117" t="str">
        <x:v>300Ro00000LuFWXIA3</x:v>
      </x:c>
      <x:c r="B628" s="117" t="str">
        <x:v>UK_Shipping_Timestamp_field_update_flow</x:v>
      </x:c>
      <x:c r="C628" s="117" t="str">
        <x:v>Yes</x:v>
      </x:c>
      <x:c r="D628" s="119" t="str">
        <x:v>Active v5 (Retrieved XML)</x:v>
      </x:c>
      <x:c r="E628" s="119" t="str">
        <x:v>Physical_Location__c Contains stringValue=UK | StageName EqualTo stringValue=Closed Won | Shipping_Criteria_Met__c IsNull booleanValue=true</x:v>
      </x:c>
      <x:c r="F628" s="119" t="str">
        <x:v>Opportunity</x:v>
      </x:c>
      <x:c r="G628" s="119" t="str">
        <x:v>Confirmation_Number__c, Invoice_Paid_Date__c, Payment_Term__c, Physical_Location__c, RecordTypeId, Shipping_Criteria_Met__c, StageName</x:v>
      </x:c>
      <x:c r="H628" s="119" t="str"/>
      <x:c r="I628" s="119" t="str"/>
      <x:c r="J628" s="119" t="str"/>
      <x:c r="K628" s="118" t="n">
        <x:v>5</x:v>
      </x:c>
      <x:c r="L628" s="118" t="n">
        <x:v>0</x:v>
      </x:c>
      <x:c r="M628" s="118" t="n">
        <x:v>0</x:v>
      </x:c>
      <x:c r="N628" s="118" t="n">
        <x:v>0</x:v>
      </x:c>
      <x:c r="O628" s="118" t="n">
        <x:v>0</x:v>
      </x:c>
      <x:c r="P628" s="118" t="n">
        <x:v>0</x:v>
      </x:c>
      <x:c r="Q628" s="118" t="n">
        <x:v>3</x:v>
      </x:c>
      <x:c r="R628" s="118" t="n">
        <x:v>0</x:v>
      </x:c>
      <x:c r="S628" s="118" t="n">
        <x:v>0</x:v>
      </x:c>
      <x:c r="T628" s="118" t="n">
        <x:v>0</x:v>
      </x:c>
      <x:c r="U628" s="118" t="n">
        <x:v>0</x:v>
      </x:c>
      <x:c r="V628" s="118" t="n">
        <x:v>0</x:v>
      </x:c>
      <x:c r="W628" s="118" t="n">
        <x:v>0</x:v>
      </x:c>
      <x:c r="X628" s="118" t="n">
        <x:v>1</x:v>
      </x:c>
      <x:c r="Y628" s="118" t="n">
        <x:v>0</x:v>
      </x:c>
      <x:c r="Z628" s="118" t="n">
        <x:v>0</x:v>
      </x:c>
      <x:c r="AA628" s="118" t="n">
        <x:v>0</x:v>
      </x:c>
      <x:c r="AB628" s="118" t="n">
        <x:v>0</x:v>
      </x:c>
      <x:c r="AC628" s="118" t="n">
        <x:v>0</x:v>
      </x:c>
    </x:row>
    <x:row r="629" ht="46" customHeight="1">
      <x:c r="A629" s="117" t="str">
        <x:v>3005b000000H3qeAAC</x:v>
      </x:c>
      <x:c r="B629" s="117" t="str">
        <x:v>UK_Sourcing_Request_Asset_Fulfilled_Notifications</x:v>
      </x:c>
      <x:c r="C629" s="117" t="str">
        <x:v>Yes</x:v>
      </x:c>
      <x:c r="D629" s="119" t="str">
        <x:v>Active v5 (Retrieved XML)</x:v>
      </x:c>
      <x:c r="E629" s="119" t="str">
        <x:v>Purchasing_Opportunity__c NotEqualTo stringValue= | Created_by_UK__c EqualTo booleanValue=true | Assigned_Asset__c NotEqualTo stringValue=</x:v>
      </x:c>
      <x:c r="F629" s="119" t="str">
        <x:v>Sourcing_Request_Item__c</x:v>
      </x:c>
      <x:c r="G629" s="119" t="str">
        <x:v>Assigned_Asset__c, Created_by_UK__c, Id, Modality__c, Purchasing_Opportunity__c, Requesting_Opportunity__r</x:v>
      </x:c>
      <x:c r="H629" s="119" t="str">
        <x:v>Sourcing_Request_Item__c.Sourcing_Request_Asset_Assigned_UK_Ultrasound, Sourcing_Request_Item__c.Sourcing_Request_Asset_Assigned_UK_X_Ray</x:v>
      </x:c>
      <x:c r="I629" s="119" t="str"/>
      <x:c r="J629" s="119" t="str"/>
      <x:c r="K629" s="118" t="n">
        <x:v>5</x:v>
      </x:c>
      <x:c r="L629" s="118" t="n">
        <x:v>2</x:v>
      </x:c>
      <x:c r="M629" s="118" t="n">
        <x:v>0</x:v>
      </x:c>
      <x:c r="N629" s="118" t="n">
        <x:v>0</x:v>
      </x:c>
      <x:c r="O629" s="118" t="n">
        <x:v>0</x:v>
      </x:c>
      <x:c r="P629" s="118" t="n">
        <x:v>0</x:v>
      </x:c>
      <x:c r="Q629" s="118" t="n">
        <x:v>2</x:v>
      </x:c>
      <x:c r="R629" s="118" t="n">
        <x:v>0</x:v>
      </x:c>
      <x:c r="S629" s="118" t="n">
        <x:v>0</x:v>
      </x:c>
      <x:c r="T629" s="118" t="n">
        <x:v>0</x:v>
      </x:c>
      <x:c r="U629" s="118" t="n">
        <x:v>0</x:v>
      </x:c>
      <x:c r="V629" s="118" t="n">
        <x:v>0</x:v>
      </x:c>
      <x:c r="W629" s="118" t="n">
        <x:v>0</x:v>
      </x:c>
      <x:c r="X629" s="118" t="n">
        <x:v>0</x:v>
      </x:c>
      <x:c r="Y629" s="118" t="n">
        <x:v>0</x:v>
      </x:c>
      <x:c r="Z629" s="118" t="n">
        <x:v>0</x:v>
      </x:c>
      <x:c r="AA629" s="118" t="n">
        <x:v>0</x:v>
      </x:c>
      <x:c r="AB629" s="118" t="n">
        <x:v>0</x:v>
      </x:c>
      <x:c r="AC629" s="118" t="n">
        <x:v>0</x:v>
      </x:c>
    </x:row>
    <x:row r="630" ht="46" customHeight="1">
      <x:c r="A630" s="117" t="str">
        <x:v>3005b000000H3qZAAS</x:v>
      </x:c>
      <x:c r="B630" s="117" t="str">
        <x:v>UK_Sourcing_Request_Notifications</x:v>
      </x:c>
      <x:c r="C630" s="117" t="str">
        <x:v>Yes</x:v>
      </x:c>
      <x:c r="D630" s="119" t="str">
        <x:v>Active v3 (Retrieved XML)</x:v>
      </x:c>
      <x:c r="E630" s="119" t="str">
        <x:v>Purchasing_Opportunity__c NotEqualTo stringValue= | Created_by_UK__c EqualTo booleanValue=true</x:v>
      </x:c>
      <x:c r="F630" s="119" t="str">
        <x:v>Sourcing_Request_Item__c</x:v>
      </x:c>
      <x:c r="G630" s="119" t="str">
        <x:v>Created_by_UK__c, Id, Modality__c, Name, Product_Name__c, Purchasing_Opportunity__c, Requesting_Opportunity__r</x:v>
      </x:c>
      <x:c r="H630" s="119" t="str">
        <x:v>Sourcing_Request_Item__c.Sourcing_Request_Fulfilled_UK_Ultrasound, Sourcing_Request_Item__c.Sourcing_Request_Fulfilled_UK_Xray, emailSimple</x:v>
      </x:c>
      <x:c r="I630" s="119" t="str"/>
      <x:c r="J630" s="119" t="str"/>
      <x:c r="K630" s="118" t="n">
        <x:v>6</x:v>
      </x:c>
      <x:c r="L630" s="118" t="n">
        <x:v>3</x:v>
      </x:c>
      <x:c r="M630" s="118" t="n">
        <x:v>0</x:v>
      </x:c>
      <x:c r="N630" s="118" t="n">
        <x:v>0</x:v>
      </x:c>
      <x:c r="O630" s="118" t="n">
        <x:v>0</x:v>
      </x:c>
      <x:c r="P630" s="118" t="n">
        <x:v>0</x:v>
      </x:c>
      <x:c r="Q630" s="118" t="n">
        <x:v>2</x:v>
      </x:c>
      <x:c r="R630" s="118" t="n">
        <x:v>0</x:v>
      </x:c>
      <x:c r="S630" s="118" t="n">
        <x:v>0</x:v>
      </x:c>
      <x:c r="T630" s="118" t="n">
        <x:v>0</x:v>
      </x:c>
      <x:c r="U630" s="118" t="n">
        <x:v>0</x:v>
      </x:c>
      <x:c r="V630" s="118" t="n">
        <x:v>0</x:v>
      </x:c>
      <x:c r="W630" s="118" t="n">
        <x:v>0</x:v>
      </x:c>
      <x:c r="X630" s="118" t="n">
        <x:v>0</x:v>
      </x:c>
      <x:c r="Y630" s="118" t="n">
        <x:v>0</x:v>
      </x:c>
      <x:c r="Z630" s="118" t="n">
        <x:v>0</x:v>
      </x:c>
      <x:c r="AA630" s="118" t="n">
        <x:v>0</x:v>
      </x:c>
      <x:c r="AB630" s="118" t="n">
        <x:v>0</x:v>
      </x:c>
      <x:c r="AC630" s="118" t="n">
        <x:v>0</x:v>
      </x:c>
    </x:row>
    <x:row r="631" ht="46" customHeight="1">
      <x:c r="A631" s="117" t="str">
        <x:v>300Ro000007mYL9IAM</x:v>
      </x:c>
      <x:c r="B631" s="117" t="str">
        <x:v>UK_Stores_App</x:v>
      </x:c>
      <x:c r="C631" s="117" t="str">
        <x:v>No</x:v>
      </x:c>
      <x:c r="D631" s="119" t="str">
        <x:v>Latest inactive v1 (Retrieved XML)</x:v>
      </x:c>
      <x:c r="E631" s="119" t="str"/>
      <x:c r="F631" s="119" t="str">
        <x:v>ProductItem__c</x:v>
      </x:c>
      <x:c r="G631" s="119" t="str">
        <x:v>Id, Name, Stock_Checked__c</x:v>
      </x:c>
      <x:c r="H631" s="119" t="str"/>
      <x:c r="I631" s="119" t="str">
        <x:v>New_Move_Location_Screen_Flow</x:v>
      </x:c>
      <x:c r="J631" s="119" t="str">
        <x:v>c:fsc_flowButtonBar</x:v>
      </x:c>
      <x:c r="K631" s="118" t="n">
        <x:v>10</x:v>
      </x:c>
      <x:c r="L631" s="118" t="n">
        <x:v>0</x:v>
      </x:c>
      <x:c r="M631" s="118" t="n">
        <x:v>0</x:v>
      </x:c>
      <x:c r="N631" s="118" t="n">
        <x:v>0</x:v>
      </x:c>
      <x:c r="O631" s="118" t="n">
        <x:v>1</x:v>
      </x:c>
      <x:c r="P631" s="118" t="n">
        <x:v>0</x:v>
      </x:c>
      <x:c r="Q631" s="118" t="n">
        <x:v>1</x:v>
      </x:c>
      <x:c r="R631" s="118" t="n">
        <x:v>1</x:v>
      </x:c>
      <x:c r="S631" s="118" t="n">
        <x:v>0</x:v>
      </x:c>
      <x:c r="T631" s="118" t="n">
        <x:v>0</x:v>
      </x:c>
      <x:c r="U631" s="118" t="n">
        <x:v>0</x:v>
      </x:c>
      <x:c r="V631" s="118" t="n">
        <x:v>1</x:v>
      </x:c>
      <x:c r="W631" s="118" t="n">
        <x:v>0</x:v>
      </x:c>
      <x:c r="X631" s="118" t="n">
        <x:v>1</x:v>
      </x:c>
      <x:c r="Y631" s="118" t="n">
        <x:v>3</x:v>
      </x:c>
      <x:c r="Z631" s="118" t="n">
        <x:v>0</x:v>
      </x:c>
      <x:c r="AA631" s="118" t="n">
        <x:v>1</x:v>
      </x:c>
      <x:c r="AB631" s="118" t="n">
        <x:v>0</x:v>
      </x:c>
      <x:c r="AC631" s="118" t="n">
        <x:v>0</x:v>
      </x:c>
    </x:row>
    <x:row r="632" ht="46" customHeight="1">
      <x:c r="A632" s="117" t="str">
        <x:v>3005b000000Pz7BAAS</x:v>
      </x:c>
      <x:c r="B632" s="117" t="str">
        <x:v>UK_Update_Shipping_Address</x:v>
      </x:c>
      <x:c r="C632" s="117" t="str">
        <x:v>Yes</x:v>
      </x:c>
      <x:c r="D632" s="119" t="str">
        <x:v>Active v14 (Retrieved XML)</x:v>
      </x:c>
      <x:c r="E632" s="119" t="str"/>
      <x:c r="F632" s="119" t="str">
        <x:v>ContractLineItem, WorkOrder</x:v>
      </x:c>
      <x:c r="G632" s="119" t="str">
        <x:v>Id, Shipping_City__c, Shipping_Postal_Code__c, Shipping_Street__c</x:v>
      </x:c>
      <x:c r="H632" s="119" t="str"/>
      <x:c r="I632" s="119" t="str"/>
      <x:c r="J632" s="119" t="str">
        <x:v>flowruntime:lookup</x:v>
      </x:c>
      <x:c r="K632" s="118" t="n">
        <x:v>5</x:v>
      </x:c>
      <x:c r="L632" s="118" t="n">
        <x:v>0</x:v>
      </x:c>
      <x:c r="M632" s="118" t="n">
        <x:v>0</x:v>
      </x:c>
      <x:c r="N632" s="118" t="n">
        <x:v>0</x:v>
      </x:c>
      <x:c r="O632" s="118" t="n">
        <x:v>0</x:v>
      </x:c>
      <x:c r="P632" s="118" t="n">
        <x:v>0</x:v>
      </x:c>
      <x:c r="Q632" s="118" t="n">
        <x:v>0</x:v>
      </x:c>
      <x:c r="R632" s="118" t="n">
        <x:v>0</x:v>
      </x:c>
      <x:c r="S632" s="118" t="n">
        <x:v>0</x:v>
      </x:c>
      <x:c r="T632" s="118" t="n">
        <x:v>0</x:v>
      </x:c>
      <x:c r="U632" s="118" t="n">
        <x:v>0</x:v>
      </x:c>
      <x:c r="V632" s="118" t="n">
        <x:v>2</x:v>
      </x:c>
      <x:c r="W632" s="118" t="n">
        <x:v>0</x:v>
      </x:c>
      <x:c r="X632" s="118" t="n">
        <x:v>1</x:v>
      </x:c>
      <x:c r="Y632" s="118" t="n">
        <x:v>1</x:v>
      </x:c>
      <x:c r="Z632" s="118" t="n">
        <x:v>0</x:v>
      </x:c>
      <x:c r="AA632" s="118" t="n">
        <x:v>0</x:v>
      </x:c>
      <x:c r="AB632" s="118" t="n">
        <x:v>0</x:v>
      </x:c>
      <x:c r="AC632" s="118" t="n">
        <x:v>0</x:v>
      </x:c>
    </x:row>
    <x:row r="633" ht="46" customHeight="1">
      <x:c r="A633" s="117" t="str">
        <x:v>3005b000000Pz7GAAS</x:v>
      </x:c>
      <x:c r="B633" s="117" t="str">
        <x:v>UK_Update_Shipping_Address_v2</x:v>
      </x:c>
      <x:c r="C633" s="117" t="str">
        <x:v>No</x:v>
      </x:c>
      <x:c r="D633" s="119" t="str">
        <x:v>Latest inactive v1 (Retrieved XML)</x:v>
      </x:c>
      <x:c r="E633" s="119" t="str"/>
      <x:c r="F633" s="119" t="str">
        <x:v>ContractLineItem, WorkOrder</x:v>
      </x:c>
      <x:c r="G633" s="119" t="str">
        <x:v>Contract_Line_Item__c, Id, Shipping_City__c, Shipping_Postal_Code__c, Shipping_Street__c</x:v>
      </x:c>
      <x:c r="H633" s="119" t="str"/>
      <x:c r="I633" s="119" t="str"/>
      <x:c r="J633" s="119" t="str"/>
      <x:c r="K633" s="118" t="n">
        <x:v>5</x:v>
      </x:c>
      <x:c r="L633" s="118" t="n">
        <x:v>0</x:v>
      </x:c>
      <x:c r="M633" s="118" t="n">
        <x:v>0</x:v>
      </x:c>
      <x:c r="N633" s="118" t="n">
        <x:v>0</x:v>
      </x:c>
      <x:c r="O633" s="118" t="n">
        <x:v>0</x:v>
      </x:c>
      <x:c r="P633" s="118" t="n">
        <x:v>0</x:v>
      </x:c>
      <x:c r="Q633" s="118" t="n">
        <x:v>0</x:v>
      </x:c>
      <x:c r="R633" s="118" t="n">
        <x:v>0</x:v>
      </x:c>
      <x:c r="S633" s="118" t="n">
        <x:v>0</x:v>
      </x:c>
      <x:c r="T633" s="118" t="n">
        <x:v>0</x:v>
      </x:c>
      <x:c r="U633" s="118" t="n">
        <x:v>0</x:v>
      </x:c>
      <x:c r="V633" s="118" t="n">
        <x:v>2</x:v>
      </x:c>
      <x:c r="W633" s="118" t="n">
        <x:v>0</x:v>
      </x:c>
      <x:c r="X633" s="118" t="n">
        <x:v>1</x:v>
      </x:c>
      <x:c r="Y633" s="118" t="n">
        <x:v>1</x:v>
      </x:c>
      <x:c r="Z633" s="118" t="n">
        <x:v>0</x:v>
      </x:c>
      <x:c r="AA633" s="118" t="n">
        <x:v>0</x:v>
      </x:c>
      <x:c r="AB633" s="118" t="n">
        <x:v>0</x:v>
      </x:c>
      <x:c r="AC633" s="118" t="n">
        <x:v>0</x:v>
      </x:c>
    </x:row>
    <x:row r="634" ht="46" customHeight="1">
      <x:c r="A634" s="117" t="str">
        <x:v>300Ro00000lygAzIAI</x:v>
      </x:c>
      <x:c r="B634" s="117" t="str">
        <x:v>UK_VAT_Sales_Tax_Automation</x:v>
      </x:c>
      <x:c r="C634" s="117" t="str">
        <x:v>Yes</x:v>
      </x:c>
      <x:c r="D634" s="119" t="str">
        <x:v>Active v4 (Retrieved XML)</x:v>
      </x:c>
      <x:c r="E634" s="119" t="str">
        <x:v>Entity_Location__c EqualTo stringValue=1400--Probo Medical Ltd. | Intacct_Shipper_Sync_Status__c NotEqualTo stringValue=Synced</x:v>
      </x:c>
      <x:c r="F634" s="119" t="str">
        <x:v>Opportunity</x:v>
      </x:c>
      <x:c r="G634" s="119" t="str">
        <x:v>AVA_SFCLOUD__Sales_Tax__c, Account, Amount, Entity_Location__c, Intacct_Shipper_Sync_Status__c</x:v>
      </x:c>
      <x:c r="H634" s="119" t="str"/>
      <x:c r="I634" s="119" t="str"/>
      <x:c r="J634" s="119" t="str"/>
      <x:c r="K634" s="118" t="n">
        <x:v>4</x:v>
      </x:c>
      <x:c r="L634" s="118" t="n">
        <x:v>0</x:v>
      </x:c>
      <x:c r="M634" s="118" t="n">
        <x:v>0</x:v>
      </x:c>
      <x:c r="N634" s="118" t="n">
        <x:v>0</x:v>
      </x:c>
      <x:c r="O634" s="118" t="n">
        <x:v>0</x:v>
      </x:c>
      <x:c r="P634" s="118" t="n">
        <x:v>0</x:v>
      </x:c>
      <x:c r="Q634" s="118" t="n">
        <x:v>2</x:v>
      </x:c>
      <x:c r="R634" s="118" t="n">
        <x:v>0</x:v>
      </x:c>
      <x:c r="S634" s="118" t="n">
        <x:v>0</x:v>
      </x:c>
      <x:c r="T634" s="118" t="n">
        <x:v>0</x:v>
      </x:c>
      <x:c r="U634" s="118" t="n">
        <x:v>0</x:v>
      </x:c>
      <x:c r="V634" s="118" t="n">
        <x:v>0</x:v>
      </x:c>
      <x:c r="W634" s="118" t="n">
        <x:v>0</x:v>
      </x:c>
      <x:c r="X634" s="118" t="n">
        <x:v>1</x:v>
      </x:c>
      <x:c r="Y634" s="118" t="n">
        <x:v>0</x:v>
      </x:c>
      <x:c r="Z634" s="118" t="n">
        <x:v>0</x:v>
      </x:c>
      <x:c r="AA634" s="118" t="n">
        <x:v>0</x:v>
      </x:c>
      <x:c r="AB634" s="118" t="n">
        <x:v>0</x:v>
      </x:c>
      <x:c r="AC634" s="118" t="n">
        <x:v>0</x:v>
      </x:c>
    </x:row>
    <x:row r="635" ht="46" customHeight="1">
      <x:c r="A635" s="117" t="str">
        <x:v>300Ro00000Pz0kwIAB</x:v>
      </x:c>
      <x:c r="B635" s="117" t="str">
        <x:v>Ultrasound_Checklist</x:v>
      </x:c>
      <x:c r="C635" s="117" t="str">
        <x:v>Yes</x:v>
      </x:c>
      <x:c r="D635" s="119" t="str">
        <x:v>Active v32 (Retrieved XML)</x:v>
      </x:c>
      <x:c r="E635" s="119" t="str"/>
      <x:c r="F635" s="119" t="str">
        <x:v>ContractLineItem, ServiceAppointment, WorkOrder, WorkType</x:v>
      </x:c>
      <x:c r="G635" s="119" t="str">
        <x:v>BIOS_Battery_Voltage__c, Backup_of_User_Configuration_Comments__c, Backup_of_User_Configuration__c, Battery_Performance_Condition_Comments__c, Battery_Performance_and_Condition__c, Castors_and_Brakes_Comments__c, Castors_and_Brakes__c, Checklist_Type__c, Contract_Line_Item__c, Control_Panel_Articulation_Comments__c, Control_Panel_Articulation__c, Control_Panel_Comments__c, Control_Panel__c, DICOM_PACS_2nd_AE_Title__c, DICOM_PACS_2nd_IP_Address__c, DICOM_PACS_2nd_Port_No__c, DICOM_PACS_AE_Title__c, DICOM_PACS_IP_Address__c, DICOM_PACS_Port_No__c, Database_Capacity_Maintenance_Comments__c, Database_Capacity_and_Maintenance__c, Diagnostic_Test_Comments__c, Diagnostic_Test__c, ECG_Leads_Patient_Leakage_Comments__c, ECG_Leads_Patient_Leakage__c, Equipment_Handover_Completed_Comments__c, Equipment_Handover_Completed__c, Error_Logs_Comments__c, Error_Logs__c, Fan_Operation_Comments__c, Fan_Operation__c, Final_Functional_Checks_Comments__c, Final_Functional_Checks__c, Final_Visual_Checks_Comments__c, Final_Visual_Checks__c, Full_System_Functional_Check_Comments__c, Full_System_Functional_Check__c, Generate_Service_Report_HTML__c, HDWR_and_SW_Info__c, Host_Chip_ID__c, Id, Last_Battery_Replacement_Date__c, Local_AE_Title__c, Local_Default_Gateway__c, Local_IP_Address__c, Local_Port_No__c, Local_Subnet_Mask__c, Main_Screen_Touchscreen_Clean_Comments__c, Main_Screen_and_Touchscreen_Clean__c, Mainslead_Visual_Inspection_Comments__c, Mainslead_Visual_Inspection__c, Monitor_Arm_Articulation_Comments__c, Monitor_Arm_Articulation__c, Name, Network_Send_Receive_Test_Study_Comments__c, Network_Send_Receive_Test_Study__c, Peripheral_1_Check__c, Peripheral_1_Comments__c, Peripheral_1_Serial_Number__c, Peripheral_1__c, Peripheral_2_Check__c, Peripheral_2_Comments__c, Peripheral_2_Serial_Number__c, Peripheral_2__c, Power_On_and_Boot_Up_Comments__c, Power_On_and_Boot_Up__c, Pre_Contract_Inspection_Comments__c, Pre_Contract_Inspection_Result__c, Probe_Holders_and_Cable_Hangers_Comments__c, Probe_Holders_and_Cable_Hangers__c, Recommended_Repair__c, Recorded_Serial_Number__c, Service_Key_Expiry_Date__c, Service_Key__c, Service_Network_Settings__c, Service_and_Safety_Test_Labels_Attached__c, Service_and_Safety_Test_Labels_Comments__c, Software_Serial_Number__c, Software__c, System_Back_Up__c, System_Earth_Continuity_Comments__c, System_Earth_Continuity__c, System_Earth_Leakage_Forward_Comments__c, System_Earth_Leakage_Forward__c, System_Earth_Leakage_Reverse_Comments__c, System_Earth_Leakage_Reverse__c, System_Serial_Number__c, System_Type__c, System_YOM__c, Trackerball_Comments__c, Trackerball__c, Transducer_1_Comments__c, Transducer_1_Electrical_Check__c, Transducer_1_Functional_Check__c, Transducer_1_Model__c, Transducer_1_Serial_Number__c, Transducer_2_Comments__c, Transducer_2_Electrical_Check__c, Transducer_2_Functional_Check__c, Transducer_2_Model__c, Transducer_2_Serial_Number__c, Transducer_3_Comments__c, Transducer_3_Electrical_Check__c, Transducer_3_Functional_Check__c, Transducer_3_Model__c, Transducer_3_Serial_Number__c, Transducer_4_Comments__c, Transducer_4_Electrical_Check__c, Transducer_4_Functional_Check__c, Transducer_4_Model__c, Transducer_4_Serial_Number__c, Transducer_5_Comments__c, Transducer_5_Electrical_Check__c, Transducer_5_Functional_Check__c, Transducer_5_Model__c, Transducer_5_Serial_Number__c, Transducer_6_Comments__c, Transducer_6_Electrical_Check__c, Transducer_6_Functional_Check__c, Transducer_6_Model__c, Transducer_6_Serial_Number__c, Ventilation_Clean_Comments__c, Ventilation_Clean__c, Visual_Inspection_Comments__c, Visual_Inspection__c, WIFI_Name__c, WiFi_Password__c, WorkTypeId, Worklist_AE_Title__c, Worklist_IP_Address__c, Worklist_Port_No__c</x:v>
      </x:c>
      <x:c r="H635" s="119" t="str"/>
      <x:c r="I635" s="119" t="str"/>
      <x:c r="J635" s="119" t="str"/>
      <x:c r="K635" s="118" t="n">
        <x:v>28</x:v>
      </x:c>
      <x:c r="L635" s="118" t="n">
        <x:v>0</x:v>
      </x:c>
      <x:c r="M635" s="118" t="n">
        <x:v>0</x:v>
      </x:c>
      <x:c r="N635" s="118" t="n">
        <x:v>2</x:v>
      </x:c>
      <x:c r="O635" s="118" t="n">
        <x:v>0</x:v>
      </x:c>
      <x:c r="P635" s="118" t="n">
        <x:v>0</x:v>
      </x:c>
      <x:c r="Q635" s="118" t="n">
        <x:v>2</x:v>
      </x:c>
      <x:c r="R635" s="118" t="n">
        <x:v>0</x:v>
      </x:c>
      <x:c r="S635" s="118" t="n">
        <x:v>0</x:v>
      </x:c>
      <x:c r="T635" s="118" t="n">
        <x:v>0</x:v>
      </x:c>
      <x:c r="U635" s="118" t="n">
        <x:v>0</x:v>
      </x:c>
      <x:c r="V635" s="118" t="n">
        <x:v>3</x:v>
      </x:c>
      <x:c r="W635" s="118" t="n">
        <x:v>0</x:v>
      </x:c>
      <x:c r="X635" s="118" t="n">
        <x:v>8</x:v>
      </x:c>
      <x:c r="Y635" s="118" t="n">
        <x:v>12</x:v>
      </x:c>
      <x:c r="Z635" s="118" t="n">
        <x:v>0</x:v>
      </x:c>
      <x:c r="AA635" s="118" t="n">
        <x:v>0</x:v>
      </x:c>
      <x:c r="AB635" s="118" t="n">
        <x:v>0</x:v>
      </x:c>
      <x:c r="AC635" s="118" t="n">
        <x:v>0</x:v>
      </x:c>
    </x:row>
    <x:row r="636" ht="46" customHeight="1">
      <x:c r="A636" s="117" t="str">
        <x:v>3004O000000TiVwQAK</x:v>
      </x:c>
      <x:c r="B636" s="117" t="str">
        <x:v>Uncheck_QC_Bump_Checkbox</x:v>
      </x:c>
      <x:c r="C636" s="117" t="str">
        <x:v>No</x:v>
      </x:c>
      <x:c r="D636" s="119" t="str">
        <x:v>Latest inactive v1 (Retrieved XML)</x:v>
      </x:c>
      <x:c r="E636" s="119" t="str"/>
      <x:c r="F636" s="119" t="str">
        <x:v>ProductItem__c</x:v>
      </x:c>
      <x:c r="G636" s="119" t="str">
        <x:v>Id, QC_Bump__c</x:v>
      </x:c>
      <x:c r="H636" s="119" t="str"/>
      <x:c r="I636" s="119" t="str"/>
      <x:c r="J636" s="119" t="str"/>
      <x:c r="K636" s="118" t="n">
        <x:v>2</x:v>
      </x:c>
      <x:c r="L636" s="118" t="n">
        <x:v>0</x:v>
      </x:c>
      <x:c r="M636" s="118" t="n">
        <x:v>0</x:v>
      </x:c>
      <x:c r="N636" s="118" t="n">
        <x:v>0</x:v>
      </x:c>
      <x:c r="O636" s="118" t="n">
        <x:v>0</x:v>
      </x:c>
      <x:c r="P636" s="118" t="n">
        <x:v>0</x:v>
      </x:c>
      <x:c r="Q636" s="118" t="n">
        <x:v>1</x:v>
      </x:c>
      <x:c r="R636" s="118" t="n">
        <x:v>0</x:v>
      </x:c>
      <x:c r="S636" s="118" t="n">
        <x:v>0</x:v>
      </x:c>
      <x:c r="T636" s="118" t="n">
        <x:v>0</x:v>
      </x:c>
      <x:c r="U636" s="118" t="n">
        <x:v>0</x:v>
      </x:c>
      <x:c r="V636" s="118" t="n">
        <x:v>0</x:v>
      </x:c>
      <x:c r="W636" s="118" t="n">
        <x:v>0</x:v>
      </x:c>
      <x:c r="X636" s="118" t="n">
        <x:v>1</x:v>
      </x:c>
      <x:c r="Y636" s="118" t="n">
        <x:v>0</x:v>
      </x:c>
      <x:c r="Z636" s="118" t="n">
        <x:v>0</x:v>
      </x:c>
      <x:c r="AA636" s="118" t="n">
        <x:v>0</x:v>
      </x:c>
      <x:c r="AB636" s="118" t="n">
        <x:v>0</x:v>
      </x:c>
      <x:c r="AC636" s="118" t="n">
        <x:v>0</x:v>
      </x:c>
    </x:row>
    <x:row r="637" ht="46" customHeight="1">
      <x:c r="A637" s="117" t="str">
        <x:v>3005b000000PzH1AAK</x:v>
      </x:c>
      <x:c r="B637" s="117" t="str">
        <x:v>Unreceipted_Invoice_Field_Update_Loop</x:v>
      </x:c>
      <x:c r="C637" s="117" t="str">
        <x:v>Yes</x:v>
      </x:c>
      <x:c r="D637" s="119" t="str">
        <x:v>Active v3 (Retrieved XML)</x:v>
      </x:c>
      <x:c r="E637" s="119" t="str">
        <x:v>RecordTypeId EqualTo stringValue=012U0000000AFnFIAW | Item_Receipts_Amount__c GreaterThan numberValue=0.0 | Item_Receipts_Amount__c IsChanged booleanValue=true</x:v>
      </x:c>
      <x:c r="F637" s="119" t="str">
        <x:v>Opportunity, Unreceipted_Invoice__c</x:v>
      </x:c>
      <x:c r="G637" s="119" t="str">
        <x:v>Id, Invoice_Status__c, Item_Receipt_Delta__c, Item_Receipts_Amount__c, Purchasing_Opportunity__c, RecordTypeId</x:v>
      </x:c>
      <x:c r="H637" s="119" t="str"/>
      <x:c r="I637" s="119" t="str"/>
      <x:c r="J637" s="119" t="str"/>
      <x:c r="K637" s="118" t="n">
        <x:v>7</x:v>
      </x:c>
      <x:c r="L637" s="118" t="n">
        <x:v>0</x:v>
      </x:c>
      <x:c r="M637" s="118" t="n">
        <x:v>0</x:v>
      </x:c>
      <x:c r="N637" s="118" t="n">
        <x:v>0</x:v>
      </x:c>
      <x:c r="O637" s="118" t="n">
        <x:v>0</x:v>
      </x:c>
      <x:c r="P637" s="118" t="n">
        <x:v>0</x:v>
      </x:c>
      <x:c r="Q637" s="118" t="n">
        <x:v>1</x:v>
      </x:c>
      <x:c r="R637" s="118" t="n">
        <x:v>2</x:v>
      </x:c>
      <x:c r="S637" s="118" t="n">
        <x:v>0</x:v>
      </x:c>
      <x:c r="T637" s="118" t="n">
        <x:v>0</x:v>
      </x:c>
      <x:c r="U637" s="118" t="n">
        <x:v>0</x:v>
      </x:c>
      <x:c r="V637" s="118" t="n">
        <x:v>1</x:v>
      </x:c>
      <x:c r="W637" s="118" t="n">
        <x:v>0</x:v>
      </x:c>
      <x:c r="X637" s="118" t="n">
        <x:v>2</x:v>
      </x:c>
      <x:c r="Y637" s="118" t="n">
        <x:v>0</x:v>
      </x:c>
      <x:c r="Z637" s="118" t="n">
        <x:v>0</x:v>
      </x:c>
      <x:c r="AA637" s="118" t="n">
        <x:v>0</x:v>
      </x:c>
      <x:c r="AB637" s="118" t="n">
        <x:v>0</x:v>
      </x:c>
      <x:c r="AC637" s="118" t="n">
        <x:v>0</x:v>
      </x:c>
    </x:row>
    <x:row r="638" ht="46" customHeight="1">
      <x:c r="A638" s="117" t="str">
        <x:v>300Ro00000Pz0kxIAB</x:v>
      </x:c>
      <x:c r="B638" s="117" t="str">
        <x:v>Update_Arrival_Time</x:v>
      </x:c>
      <x:c r="C638" s="117" t="str">
        <x:v>Yes</x:v>
      </x:c>
      <x:c r="D638" s="119" t="str">
        <x:v>Active v2 (Retrieved XML)</x:v>
      </x:c>
      <x:c r="E638" s="119" t="str"/>
      <x:c r="F638" s="119" t="str">
        <x:v>ServiceAppointment, WorkOrder</x:v>
      </x:c>
      <x:c r="G638" s="119" t="str">
        <x:v>ActualStartTime, Id, Last_Completed_Work_Step__c, Work_Order__c</x:v>
      </x:c>
      <x:c r="H638" s="119" t="str"/>
      <x:c r="I638" s="119" t="str"/>
      <x:c r="J638" s="119" t="str"/>
      <x:c r="K638" s="118" t="n">
        <x:v>5</x:v>
      </x:c>
      <x:c r="L638" s="118" t="n">
        <x:v>0</x:v>
      </x:c>
      <x:c r="M638" s="118" t="n">
        <x:v>0</x:v>
      </x:c>
      <x:c r="N638" s="118" t="n">
        <x:v>0</x:v>
      </x:c>
      <x:c r="O638" s="118" t="n">
        <x:v>0</x:v>
      </x:c>
      <x:c r="P638" s="118" t="n">
        <x:v>0</x:v>
      </x:c>
      <x:c r="Q638" s="118" t="n">
        <x:v>0</x:v>
      </x:c>
      <x:c r="R638" s="118" t="n">
        <x:v>0</x:v>
      </x:c>
      <x:c r="S638" s="118" t="n">
        <x:v>0</x:v>
      </x:c>
      <x:c r="T638" s="118" t="n">
        <x:v>0</x:v>
      </x:c>
      <x:c r="U638" s="118" t="n">
        <x:v>0</x:v>
      </x:c>
      <x:c r="V638" s="118" t="n">
        <x:v>1</x:v>
      </x:c>
      <x:c r="W638" s="118" t="n">
        <x:v>0</x:v>
      </x:c>
      <x:c r="X638" s="118" t="n">
        <x:v>2</x:v>
      </x:c>
      <x:c r="Y638" s="118" t="n">
        <x:v>1</x:v>
      </x:c>
      <x:c r="Z638" s="118" t="n">
        <x:v>0</x:v>
      </x:c>
      <x:c r="AA638" s="118" t="n">
        <x:v>0</x:v>
      </x:c>
      <x:c r="AB638" s="118" t="n">
        <x:v>0</x:v>
      </x:c>
      <x:c r="AC638" s="118" t="n">
        <x:v>0</x:v>
      </x:c>
    </x:row>
    <x:row r="639" ht="46" customHeight="1">
      <x:c r="A639" s="117" t="str">
        <x:v>3005b00000113FzAAI</x:v>
      </x:c>
      <x:c r="B639" s="117" t="str">
        <x:v>Update_Asset_to_Finished_Goods_Flow</x:v>
      </x:c>
      <x:c r="C639" s="117" t="str">
        <x:v>Yes</x:v>
      </x:c>
      <x:c r="D639" s="119" t="str">
        <x:v>Active v7 (Retrieved XML)</x:v>
      </x:c>
      <x:c r="E639" s="119" t="str">
        <x:v>Purchasing_Opportunity__c IsNull booleanValue=false</x:v>
      </x:c>
      <x:c r="F639" s="119" t="str">
        <x:v>OpportunityLineItem, ProductItem__c</x:v>
      </x:c>
      <x:c r="G639" s="119" t="str">
        <x:v>Check_In_Type__c, Cost__c, Location__c, OpportunityId, Ownership__c, Product2Id, Product_Family__c, Product_Name__r, Purchasing_Opportunity__c, Purchasing_Opportunity__r, Review_Status__c, Sales_Opportunity__r, Sales_Price__c, Total_Cost_of_Assets_Used_in_Repair__c</x:v>
      </x:c>
      <x:c r="H639" s="119" t="str"/>
      <x:c r="I639" s="119" t="str"/>
      <x:c r="J639" s="119" t="str"/>
      <x:c r="K639" s="118" t="n">
        <x:v>7</x:v>
      </x:c>
      <x:c r="L639" s="118" t="n">
        <x:v>0</x:v>
      </x:c>
      <x:c r="M639" s="118" t="n">
        <x:v>0</x:v>
      </x:c>
      <x:c r="N639" s="118" t="n">
        <x:v>0</x:v>
      </x:c>
      <x:c r="O639" s="118" t="n">
        <x:v>0</x:v>
      </x:c>
      <x:c r="P639" s="118" t="n">
        <x:v>0</x:v>
      </x:c>
      <x:c r="Q639" s="118" t="n">
        <x:v>3</x:v>
      </x:c>
      <x:c r="R639" s="118" t="n">
        <x:v>0</x:v>
      </x:c>
      <x:c r="S639" s="118" t="n">
        <x:v>0</x:v>
      </x:c>
      <x:c r="T639" s="118" t="n">
        <x:v>0</x:v>
      </x:c>
      <x:c r="U639" s="118" t="n">
        <x:v>0</x:v>
      </x:c>
      <x:c r="V639" s="118" t="n">
        <x:v>1</x:v>
      </x:c>
      <x:c r="W639" s="118" t="n">
        <x:v>0</x:v>
      </x:c>
      <x:c r="X639" s="118" t="n">
        <x:v>2</x:v>
      </x:c>
      <x:c r="Y639" s="118" t="n">
        <x:v>0</x:v>
      </x:c>
      <x:c r="Z639" s="118" t="n">
        <x:v>0</x:v>
      </x:c>
      <x:c r="AA639" s="118" t="n">
        <x:v>0</x:v>
      </x:c>
      <x:c r="AB639" s="118" t="n">
        <x:v>0</x:v>
      </x:c>
      <x:c r="AC639" s="118" t="n">
        <x:v>0</x:v>
      </x:c>
    </x:row>
    <x:row r="640" ht="46" customHeight="1">
      <x:c r="A640" s="117" t="str">
        <x:v>300Ro00000kKs8JIAS</x:v>
      </x:c>
      <x:c r="B640" s="117" t="str">
        <x:v>Update_Charge_Amount</x:v>
      </x:c>
      <x:c r="C640" s="117" t="str">
        <x:v>No</x:v>
      </x:c>
      <x:c r="D640" s="119" t="str">
        <x:v>Latest inactive v2 (Tooling metadata)</x:v>
      </x:c>
      <x:c r="E640" s="119" t="str"/>
      <x:c r="F640" s="119" t="str"/>
      <x:c r="G640" s="119" t="str"/>
      <x:c r="H640" s="119" t="str"/>
      <x:c r="I640" s="119" t="str"/>
      <x:c r="J640" s="119" t="str"/>
      <x:c r="K640" s="118" t="n">
        <x:v>0</x:v>
      </x:c>
      <x:c r="L640" s="118" t="n">
        <x:v>0</x:v>
      </x:c>
      <x:c r="M640" s="118" t="n">
        <x:v>0</x:v>
      </x:c>
      <x:c r="N640" s="118" t="n">
        <x:v>0</x:v>
      </x:c>
      <x:c r="O640" s="118" t="n">
        <x:v>0</x:v>
      </x:c>
      <x:c r="P640" s="118" t="n">
        <x:v>0</x:v>
      </x:c>
      <x:c r="Q640" s="118" t="n">
        <x:v>0</x:v>
      </x:c>
      <x:c r="R640" s="118" t="n">
        <x:v>0</x:v>
      </x:c>
      <x:c r="S640" s="118" t="n">
        <x:v>0</x:v>
      </x:c>
      <x:c r="T640" s="118" t="n">
        <x:v>0</x:v>
      </x:c>
      <x:c r="U640" s="118" t="n">
        <x:v>0</x:v>
      </x:c>
      <x:c r="V640" s="118" t="n">
        <x:v>0</x:v>
      </x:c>
      <x:c r="W640" s="118" t="n">
        <x:v>0</x:v>
      </x:c>
      <x:c r="X640" s="118" t="n">
        <x:v>0</x:v>
      </x:c>
      <x:c r="Y640" s="118" t="n">
        <x:v>0</x:v>
      </x:c>
      <x:c r="Z640" s="118" t="n">
        <x:v>0</x:v>
      </x:c>
      <x:c r="AA640" s="118" t="n">
        <x:v>0</x:v>
      </x:c>
      <x:c r="AB640" s="118" t="n">
        <x:v>0</x:v>
      </x:c>
      <x:c r="AC640" s="118" t="n">
        <x:v>0</x:v>
      </x:c>
    </x:row>
    <x:row r="641" ht="46" customHeight="1">
      <x:c r="A641" s="117" t="str">
        <x:v>3004O0000000ZuCQAU</x:v>
      </x:c>
      <x:c r="B641" s="117" t="str">
        <x:v>Update_Chargent_Order</x:v>
      </x:c>
      <x:c r="C641" s="117" t="str">
        <x:v>Yes</x:v>
      </x:c>
      <x:c r="D641" s="119" t="str">
        <x:v>Active v11 (Tooling metadata)</x:v>
      </x:c>
      <x:c r="E641" s="119" t="str"/>
      <x:c r="F641" s="119" t="str">
        <x:v>ChargentOrders__ChargentOrder__c, Invoice__c</x:v>
      </x:c>
      <x:c r="G641" s="119" t="str">
        <x:v>Chargent_Order__c, Id, Opportunity__c</x:v>
      </x:c>
      <x:c r="H641" s="119" t="str"/>
      <x:c r="I641" s="119" t="str"/>
      <x:c r="J641" s="119" t="str"/>
      <x:c r="K641" s="118" t="n">
        <x:v>3</x:v>
      </x:c>
      <x:c r="L641" s="118" t="n">
        <x:v>0</x:v>
      </x:c>
      <x:c r="M641" s="118" t="n">
        <x:v>0</x:v>
      </x:c>
      <x:c r="N641" s="118" t="n">
        <x:v>0</x:v>
      </x:c>
      <x:c r="O641" s="118" t="n">
        <x:v>0</x:v>
      </x:c>
      <x:c r="P641" s="118" t="n">
        <x:v>0</x:v>
      </x:c>
      <x:c r="Q641" s="118" t="n">
        <x:v>1</x:v>
      </x:c>
      <x:c r="R641" s="118" t="n">
        <x:v>0</x:v>
      </x:c>
      <x:c r="S641" s="118" t="n">
        <x:v>0</x:v>
      </x:c>
      <x:c r="T641" s="118" t="n">
        <x:v>0</x:v>
      </x:c>
      <x:c r="U641" s="118" t="n">
        <x:v>0</x:v>
      </x:c>
      <x:c r="V641" s="118" t="n">
        <x:v>0</x:v>
      </x:c>
      <x:c r="W641" s="118" t="n">
        <x:v>0</x:v>
      </x:c>
      <x:c r="X641" s="118" t="n">
        <x:v>2</x:v>
      </x:c>
      <x:c r="Y641" s="118" t="n">
        <x:v>0</x:v>
      </x:c>
      <x:c r="Z641" s="118" t="n">
        <x:v>0</x:v>
      </x:c>
      <x:c r="AA641" s="118" t="n">
        <x:v>0</x:v>
      </x:c>
      <x:c r="AB641" s="118" t="n">
        <x:v>0</x:v>
      </x:c>
      <x:c r="AC641" s="118" t="n">
        <x:v>0</x:v>
      </x:c>
    </x:row>
    <x:row r="642" ht="46" customHeight="1">
      <x:c r="A642" s="117" t="str">
        <x:v>300Ro00000Pz0kzIAB</x:v>
      </x:c>
      <x:c r="B642" s="117" t="str">
        <x:v>Update_comments</x:v>
      </x:c>
      <x:c r="C642" s="117" t="str">
        <x:v>Yes</x:v>
      </x:c>
      <x:c r="D642" s="119" t="str">
        <x:v>Active v192 (Tooling metadata)</x:v>
      </x:c>
      <x:c r="E642" s="119" t="str"/>
      <x:c r="F642" s="119" t="str">
        <x:v>Account, Asset, AssignedResource, Contact, ContractLineItem, Lead, Opportunity, RMA__c, ServiceAppointment, StateTranslation__mdt, WorkOrder, WorkOrderLineItem</x:v>
      </x:c>
      <x:c r="G642" s="119" t="str">
        <x:v>AccountId, ActualEndTime, ActualStartTime, Additional_Engineers__c, Additional_Items_Require_Labor__c, Additional_Items_to_Quote__c, AppointmentNumber, Appointment_Type__c, Asset2__c, AssetId, Billing_Account_Name__c, Billing_Address__City__s, Billing_Address__CountryCode__s, Billing_Address__PostalCode__s, Billing_Address__StateCode__s, Billing_Address__Street__s, Billing_City__c, Billing_Contact_Name__c, Billing_Email__c, Billing_State__c, Billing_Street__c, Billing_Type__c, Billing_Zip_Postal_Code__c, Block_EQ__c, Block_FL__c, Block_SR__c, Comments_on_Additional_Items_to_Quote__c, Completed_or_Cannot_Complete_Status__c, ContactId, Contact_Email__c, Contact_Phone__c, Contract_Line_Item__c, Customer_ID__c, Customer_SR__c, Date_Opportunity_Item_Shipped__c, Date_shipped__c, Description, Dose_Affected__c, Engineer_Core_Serial_Number__c, Engineers_Comments__c, Engineers_Required__c, Error_Code__c, Follow_Up_Visit_Reason__c, Hours_Required_for_Follow_Up_Visit__c, Id, Internal_Notes__c, Ladder_Pre_use_Check_Completed__c, Last_Completed_Work_Step__c, Line_Intent__c, Line_Type__c, Make_Model__c, Name, OEM_Serial__c, Opportunity__c, Other_Notes__c, PO_Number__c, ParentRecordId, Part_Number_FSL_Sourced__c, Part_Used__c, Parts_Required__c, Parts_Table__c, Parts_details__c, PricebookEntryId, Product_Name_FSL_Sourced__c, Quantity, RecordTypeId, Reported_Symptoms__c, Return_Visit_Required__c, Sales_Asset__c, SerialNumber, Serial_FSL_Sourced__c, Serial_Number__c, ServiceAppointmentId, Service_Resource__c, Shipping_Address__City__s, Shipping_Address__CountryCode__s, Shipping_Address__PostalCode__s, Shipping_Address__StateCode__s, Shipping_Address__Street__s, Software_Level__c, Software__c, Solution_Remarks__c, State_Abbreviation__c, State_Name__c, Status, Subject, Symptom_Code__c, System_Operational__c, System_Serial_Number__c, System_YOM__c, UnitPrice, Verified_Symptoms__c, WorkOrderId, WorkTypeId, Work_Order__c</x:v>
      </x:c>
      <x:c r="H642" s="119" t="str"/>
      <x:c r="I642" s="119" t="str">
        <x:v>FSL_Screen_Request_Parts_on_WO</x:v>
      </x:c>
      <x:c r="J642" s="119" t="str"/>
      <x:c r="K642" s="118" t="n">
        <x:v>230</x:v>
      </x:c>
      <x:c r="L642" s="118" t="n">
        <x:v>0</x:v>
      </x:c>
      <x:c r="M642" s="118" t="n">
        <x:v>0</x:v>
      </x:c>
      <x:c r="N642" s="118" t="n">
        <x:v>68</x:v>
      </x:c>
      <x:c r="O642" s="118" t="n">
        <x:v>0</x:v>
      </x:c>
      <x:c r="P642" s="118" t="n">
        <x:v>0</x:v>
      </x:c>
      <x:c r="Q642" s="118" t="n">
        <x:v>60</x:v>
      </x:c>
      <x:c r="R642" s="118" t="n">
        <x:v>10</x:v>
      </x:c>
      <x:c r="S642" s="118" t="n">
        <x:v>0</x:v>
      </x:c>
      <x:c r="T642" s="118" t="n">
        <x:v>6</x:v>
      </x:c>
      <x:c r="U642" s="118" t="n">
        <x:v>2</x:v>
      </x:c>
      <x:c r="V642" s="118" t="n">
        <x:v>30</x:v>
      </x:c>
      <x:c r="W642" s="118" t="n">
        <x:v>0</x:v>
      </x:c>
      <x:c r="X642" s="118" t="n">
        <x:v>27</x:v>
      </x:c>
      <x:c r="Y642" s="118" t="n">
        <x:v>25</x:v>
      </x:c>
      <x:c r="Z642" s="118" t="n">
        <x:v>0</x:v>
      </x:c>
      <x:c r="AA642" s="118" t="n">
        <x:v>1</x:v>
      </x:c>
      <x:c r="AB642" s="118" t="n">
        <x:v>0</x:v>
      </x:c>
      <x:c r="AC642" s="118" t="n">
        <x:v>0</x:v>
      </x:c>
    </x:row>
    <x:row r="643" ht="46" customHeight="1">
      <x:c r="A643" s="117" t="str">
        <x:v>3005b00000113fYAAQ</x:v>
      </x:c>
      <x:c r="B643" s="117" t="str">
        <x:v>Update_Credit_Memo_Amount_with_Line_Items</x:v>
      </x:c>
      <x:c r="C643" s="117" t="str">
        <x:v>Yes</x:v>
      </x:c>
      <x:c r="D643" s="119" t="str">
        <x:v>Active v20 (Retrieved XML)</x:v>
      </x:c>
      <x:c r="E643" s="119" t="str"/>
      <x:c r="F643" s="119" t="str">
        <x:v>Credit_Memo__c, DatedConversionRate, OpportunityLineItem</x:v>
      </x:c>
      <x:c r="G643" s="119" t="str">
        <x:v>Credit_Memo_Amount__c, Credit_Memo__c, Enable_Manual_Cost_Assignment__c, IsoCode, Opportunity, Product2Id, ProductItem__r, StartDate, UnitPrice</x:v>
      </x:c>
      <x:c r="H643" s="119" t="str"/>
      <x:c r="I643" s="119" t="str"/>
      <x:c r="J643" s="119" t="str"/>
      <x:c r="K643" s="118" t="n">
        <x:v>10</x:v>
      </x:c>
      <x:c r="L643" s="118" t="n">
        <x:v>0</x:v>
      </x:c>
      <x:c r="M643" s="118" t="n">
        <x:v>0</x:v>
      </x:c>
      <x:c r="N643" s="118" t="n">
        <x:v>0</x:v>
      </x:c>
      <x:c r="O643" s="118" t="n">
        <x:v>0</x:v>
      </x:c>
      <x:c r="P643" s="118" t="n">
        <x:v>0</x:v>
      </x:c>
      <x:c r="Q643" s="118" t="n">
        <x:v>3</x:v>
      </x:c>
      <x:c r="R643" s="118" t="n">
        <x:v>0</x:v>
      </x:c>
      <x:c r="S643" s="118" t="n">
        <x:v>0</x:v>
      </x:c>
      <x:c r="T643" s="118" t="n">
        <x:v>0</x:v>
      </x:c>
      <x:c r="U643" s="118" t="n">
        <x:v>0</x:v>
      </x:c>
      <x:c r="V643" s="118" t="n">
        <x:v>2</x:v>
      </x:c>
      <x:c r="W643" s="118" t="n">
        <x:v>0</x:v>
      </x:c>
      <x:c r="X643" s="118" t="n">
        <x:v>4</x:v>
      </x:c>
      <x:c r="Y643" s="118" t="n">
        <x:v>0</x:v>
      </x:c>
      <x:c r="Z643" s="118" t="n">
        <x:v>0</x:v>
      </x:c>
      <x:c r="AA643" s="118" t="n">
        <x:v>0</x:v>
      </x:c>
      <x:c r="AB643" s="118" t="n">
        <x:v>0</x:v>
      </x:c>
      <x:c r="AC643" s="118" t="n">
        <x:v>0</x:v>
      </x:c>
    </x:row>
    <x:row r="644" ht="46" customHeight="1">
      <x:c r="A644" s="117" t="str">
        <x:v>300Ro00000n0l9EIAQ</x:v>
      </x:c>
      <x:c r="B644" s="117" t="str">
        <x:v>Update_Currency_when_Entity_is_Changed</x:v>
      </x:c>
      <x:c r="C644" s="117" t="str">
        <x:v>Yes</x:v>
      </x:c>
      <x:c r="D644" s="119" t="str">
        <x:v>Active v2 (Tooling metadata)</x:v>
      </x:c>
      <x:c r="E644" s="119" t="str">
        <x:v>Entity__c IsChanged stringValue=; booleanValue=True; numberValue=; dateValue=; dateTimeValue=; elementReference= | Entity__c IsNull stringValue=; booleanValue=; numberValue=; dateValue=; dateTimeValue=; elementReference=</x:v>
      </x:c>
      <x:c r="F644" s="119" t="str">
        <x:v>Opportunity</x:v>
      </x:c>
      <x:c r="G644" s="119" t="str">
        <x:v>CurrencyIsoCode, Entity__c</x:v>
      </x:c>
      <x:c r="H644" s="119" t="str"/>
      <x:c r="I644" s="119" t="str"/>
      <x:c r="J644" s="119" t="str"/>
      <x:c r="K644" s="118" t="n">
        <x:v>3</x:v>
      </x:c>
      <x:c r="L644" s="118" t="n">
        <x:v>0</x:v>
      </x:c>
      <x:c r="M644" s="118" t="n">
        <x:v>0</x:v>
      </x:c>
      <x:c r="N644" s="118" t="n">
        <x:v>0</x:v>
      </x:c>
      <x:c r="O644" s="118" t="n">
        <x:v>0</x:v>
      </x:c>
      <x:c r="P644" s="118" t="n">
        <x:v>0</x:v>
      </x:c>
      <x:c r="Q644" s="118" t="n">
        <x:v>1</x:v>
      </x:c>
      <x:c r="R644" s="118" t="n">
        <x:v>0</x:v>
      </x:c>
      <x:c r="S644" s="118" t="n">
        <x:v>0</x:v>
      </x:c>
      <x:c r="T644" s="118" t="n">
        <x:v>0</x:v>
      </x:c>
      <x:c r="U644" s="118" t="n">
        <x:v>0</x:v>
      </x:c>
      <x:c r="V644" s="118" t="n">
        <x:v>0</x:v>
      </x:c>
      <x:c r="W644" s="118" t="n">
        <x:v>0</x:v>
      </x:c>
      <x:c r="X644" s="118" t="n">
        <x:v>1</x:v>
      </x:c>
      <x:c r="Y644" s="118" t="n">
        <x:v>0</x:v>
      </x:c>
      <x:c r="Z644" s="118" t="n">
        <x:v>0</x:v>
      </x:c>
      <x:c r="AA644" s="118" t="n">
        <x:v>0</x:v>
      </x:c>
      <x:c r="AB644" s="118" t="n">
        <x:v>0</x:v>
      </x:c>
      <x:c r="AC644" s="118" t="n">
        <x:v>0</x:v>
      </x:c>
    </x:row>
    <x:row r="645" ht="46" customHeight="1">
      <x:c r="A645" s="117" t="str">
        <x:v>300Ro000005ZArIIAW</x:v>
      </x:c>
      <x:c r="B645" s="117" t="str">
        <x:v>Update_Initial_Tech_Support_with_Tech_Completed_Date</x:v>
      </x:c>
      <x:c r="C645" s="117" t="str">
        <x:v>Yes</x:v>
      </x:c>
      <x:c r="D645" s="119" t="str">
        <x:v>Active v1 (Retrieved XML)</x:v>
      </x:c>
      <x:c r="E645" s="119" t="str">
        <x:v>Tech_Support_Completed__c IsNull booleanValue=false | Initial_Tech_Support_Attempt__c IsNull booleanValue=true | Tech_Support_Completed__c IsChanged booleanValue=true</x:v>
      </x:c>
      <x:c r="F645" s="119" t="str">
        <x:v>WorkOrder</x:v>
      </x:c>
      <x:c r="G645" s="119" t="str">
        <x:v>Initial_Tech_Support_Attempt__c, Tech_Support_Completed__c</x:v>
      </x:c>
      <x:c r="H645" s="119" t="str"/>
      <x:c r="I645" s="119" t="str"/>
      <x:c r="J645" s="119" t="str"/>
      <x:c r="K645" s="118" t="n">
        <x:v>2</x:v>
      </x:c>
      <x:c r="L645" s="118" t="n">
        <x:v>0</x:v>
      </x:c>
      <x:c r="M645" s="118" t="n">
        <x:v>0</x:v>
      </x:c>
      <x:c r="N645" s="118" t="n">
        <x:v>1</x:v>
      </x:c>
      <x:c r="O645" s="118" t="n">
        <x:v>0</x:v>
      </x:c>
      <x:c r="P645" s="118" t="n">
        <x:v>0</x:v>
      </x:c>
      <x:c r="Q645" s="118" t="n">
        <x:v>0</x:v>
      </x:c>
      <x:c r="R645" s="118" t="n">
        <x:v>0</x:v>
      </x:c>
      <x:c r="S645" s="118" t="n">
        <x:v>0</x:v>
      </x:c>
      <x:c r="T645" s="118" t="n">
        <x:v>0</x:v>
      </x:c>
      <x:c r="U645" s="118" t="n">
        <x:v>0</x:v>
      </x:c>
      <x:c r="V645" s="118" t="n">
        <x:v>0</x:v>
      </x:c>
      <x:c r="W645" s="118" t="n">
        <x:v>0</x:v>
      </x:c>
      <x:c r="X645" s="118" t="n">
        <x:v>0</x:v>
      </x:c>
      <x:c r="Y645" s="118" t="n">
        <x:v>0</x:v>
      </x:c>
      <x:c r="Z645" s="118" t="n">
        <x:v>0</x:v>
      </x:c>
      <x:c r="AA645" s="118" t="n">
        <x:v>0</x:v>
      </x:c>
      <x:c r="AB645" s="118" t="n">
        <x:v>0</x:v>
      </x:c>
      <x:c r="AC645" s="118" t="n">
        <x:v>0</x:v>
      </x:c>
    </x:row>
    <x:row r="646" ht="46" customHeight="1">
      <x:c r="A646" s="117" t="str">
        <x:v>3004O0000000Zw2QAE</x:v>
      </x:c>
      <x:c r="B646" s="117" t="str">
        <x:v>Update_Invoice_Object</x:v>
      </x:c>
      <x:c r="C646" s="117" t="str">
        <x:v>No</x:v>
      </x:c>
      <x:c r="D646" s="119" t="str">
        <x:v>Latest inactive v1 (Retrieved XML)</x:v>
      </x:c>
      <x:c r="E646" s="119" t="str"/>
      <x:c r="F646" s="119" t="str">
        <x:v>Invoice__c</x:v>
      </x:c>
      <x:c r="G646" s="119" t="str"/>
      <x:c r="H646" s="119" t="str"/>
      <x:c r="I646" s="119" t="str"/>
      <x:c r="J646" s="119" t="str"/>
      <x:c r="K646" s="118" t="n">
        <x:v>1</x:v>
      </x:c>
      <x:c r="L646" s="118" t="n">
        <x:v>0</x:v>
      </x:c>
      <x:c r="M646" s="118" t="n">
        <x:v>0</x:v>
      </x:c>
      <x:c r="N646" s="118" t="n">
        <x:v>1</x:v>
      </x:c>
      <x:c r="O646" s="118" t="n">
        <x:v>0</x:v>
      </x:c>
      <x:c r="P646" s="118" t="n">
        <x:v>0</x:v>
      </x:c>
      <x:c r="Q646" s="118" t="n">
        <x:v>0</x:v>
      </x:c>
      <x:c r="R646" s="118" t="n">
        <x:v>0</x:v>
      </x:c>
      <x:c r="S646" s="118" t="n">
        <x:v>0</x:v>
      </x:c>
      <x:c r="T646" s="118" t="n">
        <x:v>0</x:v>
      </x:c>
      <x:c r="U646" s="118" t="n">
        <x:v>0</x:v>
      </x:c>
      <x:c r="V646" s="118" t="n">
        <x:v>0</x:v>
      </x:c>
      <x:c r="W646" s="118" t="n">
        <x:v>0</x:v>
      </x:c>
      <x:c r="X646" s="118" t="n">
        <x:v>0</x:v>
      </x:c>
      <x:c r="Y646" s="118" t="n">
        <x:v>0</x:v>
      </x:c>
      <x:c r="Z646" s="118" t="n">
        <x:v>0</x:v>
      </x:c>
      <x:c r="AA646" s="118" t="n">
        <x:v>0</x:v>
      </x:c>
      <x:c r="AB646" s="118" t="n">
        <x:v>0</x:v>
      </x:c>
      <x:c r="AC646" s="118" t="n">
        <x:v>0</x:v>
      </x:c>
    </x:row>
    <x:row r="647" ht="46" customHeight="1">
      <x:c r="A647" s="117" t="str">
        <x:v>3004O0000000Zw7QAE</x:v>
      </x:c>
      <x:c r="B647" s="117" t="str">
        <x:v>Update_Invoice_with_Payment_Link</x:v>
      </x:c>
      <x:c r="C647" s="117" t="str">
        <x:v>No</x:v>
      </x:c>
      <x:c r="D647" s="119" t="str">
        <x:v>Latest inactive v1 (Retrieved XML)</x:v>
      </x:c>
      <x:c r="E647" s="119" t="str"/>
      <x:c r="F647" s="119" t="str"/>
      <x:c r="G647" s="119" t="str"/>
      <x:c r="H647" s="119" t="str"/>
      <x:c r="I647" s="119" t="str"/>
      <x:c r="J647" s="119" t="str"/>
      <x:c r="K647" s="118" t="n">
        <x:v>1</x:v>
      </x:c>
      <x:c r="L647" s="118" t="n">
        <x:v>0</x:v>
      </x:c>
      <x:c r="M647" s="118" t="n">
        <x:v>0</x:v>
      </x:c>
      <x:c r="N647" s="118" t="n">
        <x:v>1</x:v>
      </x:c>
      <x:c r="O647" s="118" t="n">
        <x:v>0</x:v>
      </x:c>
      <x:c r="P647" s="118" t="n">
        <x:v>0</x:v>
      </x:c>
      <x:c r="Q647" s="118" t="n">
        <x:v>0</x:v>
      </x:c>
      <x:c r="R647" s="118" t="n">
        <x:v>0</x:v>
      </x:c>
      <x:c r="S647" s="118" t="n">
        <x:v>0</x:v>
      </x:c>
      <x:c r="T647" s="118" t="n">
        <x:v>0</x:v>
      </x:c>
      <x:c r="U647" s="118" t="n">
        <x:v>0</x:v>
      </x:c>
      <x:c r="V647" s="118" t="n">
        <x:v>0</x:v>
      </x:c>
      <x:c r="W647" s="118" t="n">
        <x:v>0</x:v>
      </x:c>
      <x:c r="X647" s="118" t="n">
        <x:v>0</x:v>
      </x:c>
      <x:c r="Y647" s="118" t="n">
        <x:v>0</x:v>
      </x:c>
      <x:c r="Z647" s="118" t="n">
        <x:v>0</x:v>
      </x:c>
      <x:c r="AA647" s="118" t="n">
        <x:v>0</x:v>
      </x:c>
      <x:c r="AB647" s="118" t="n">
        <x:v>0</x:v>
      </x:c>
      <x:c r="AC647" s="118" t="n">
        <x:v>0</x:v>
      </x:c>
    </x:row>
    <x:row r="648" ht="46" customHeight="1">
      <x:c r="A648" s="117" t="str">
        <x:v>3000B000000kEJ5QAM</x:v>
      </x:c>
      <x:c r="B648" s="117" t="str">
        <x:v>Update_Last_Business_Activity</x:v>
      </x:c>
      <x:c r="C648" s="117" t="str">
        <x:v>No</x:v>
      </x:c>
      <x:c r="D648" s="119" t="str">
        <x:v>Latest inactive v4 (Retrieved XML)</x:v>
      </x:c>
      <x:c r="E648" s="119" t="str"/>
      <x:c r="F648" s="119" t="str">
        <x:v>Account, Task</x:v>
      </x:c>
      <x:c r="G648" s="119" t="str">
        <x:v>Id, Most_Recent_Business_Review__c</x:v>
      </x:c>
      <x:c r="H648" s="119" t="str"/>
      <x:c r="I648" s="119" t="str"/>
      <x:c r="J648" s="119" t="str"/>
      <x:c r="K648" s="118" t="n">
        <x:v>3</x:v>
      </x:c>
      <x:c r="L648" s="118" t="n">
        <x:v>0</x:v>
      </x:c>
      <x:c r="M648" s="118" t="n">
        <x:v>0</x:v>
      </x:c>
      <x:c r="N648" s="118" t="n">
        <x:v>1</x:v>
      </x:c>
      <x:c r="O648" s="118" t="n">
        <x:v>0</x:v>
      </x:c>
      <x:c r="P648" s="118" t="n">
        <x:v>0</x:v>
      </x:c>
      <x:c r="Q648" s="118" t="n">
        <x:v>1</x:v>
      </x:c>
      <x:c r="R648" s="118" t="n">
        <x:v>0</x:v>
      </x:c>
      <x:c r="S648" s="118" t="n">
        <x:v>0</x:v>
      </x:c>
      <x:c r="T648" s="118" t="n">
        <x:v>0</x:v>
      </x:c>
      <x:c r="U648" s="118" t="n">
        <x:v>0</x:v>
      </x:c>
      <x:c r="V648" s="118" t="n">
        <x:v>0</x:v>
      </x:c>
      <x:c r="W648" s="118" t="n">
        <x:v>0</x:v>
      </x:c>
      <x:c r="X648" s="118" t="n">
        <x:v>1</x:v>
      </x:c>
      <x:c r="Y648" s="118" t="n">
        <x:v>0</x:v>
      </x:c>
      <x:c r="Z648" s="118" t="n">
        <x:v>0</x:v>
      </x:c>
      <x:c r="AA648" s="118" t="n">
        <x:v>0</x:v>
      </x:c>
      <x:c r="AB648" s="118" t="n">
        <x:v>0</x:v>
      </x:c>
      <x:c r="AC648" s="118" t="n">
        <x:v>0</x:v>
      </x:c>
    </x:row>
    <x:row r="649" ht="46" customHeight="1">
      <x:c r="A649" s="117" t="str">
        <x:v>3000B000000kEJFQA2</x:v>
      </x:c>
      <x:c r="B649" s="117" t="str">
        <x:v>Update_Last_Business_Review</x:v>
      </x:c>
      <x:c r="C649" s="117" t="str">
        <x:v>No</x:v>
      </x:c>
      <x:c r="D649" s="119" t="str">
        <x:v>Latest inactive v1 (Retrieved XML)</x:v>
      </x:c>
      <x:c r="E649" s="119" t="str"/>
      <x:c r="F649" s="119" t="str">
        <x:v>Account, Task</x:v>
      </x:c>
      <x:c r="G649" s="119" t="str">
        <x:v>Id, Last_Business_Review__c</x:v>
      </x:c>
      <x:c r="H649" s="119" t="str"/>
      <x:c r="I649" s="119" t="str"/>
      <x:c r="J649" s="119" t="str"/>
      <x:c r="K649" s="118" t="n">
        <x:v>3</x:v>
      </x:c>
      <x:c r="L649" s="118" t="n">
        <x:v>0</x:v>
      </x:c>
      <x:c r="M649" s="118" t="n">
        <x:v>0</x:v>
      </x:c>
      <x:c r="N649" s="118" t="n">
        <x:v>1</x:v>
      </x:c>
      <x:c r="O649" s="118" t="n">
        <x:v>0</x:v>
      </x:c>
      <x:c r="P649" s="118" t="n">
        <x:v>0</x:v>
      </x:c>
      <x:c r="Q649" s="118" t="n">
        <x:v>1</x:v>
      </x:c>
      <x:c r="R649" s="118" t="n">
        <x:v>0</x:v>
      </x:c>
      <x:c r="S649" s="118" t="n">
        <x:v>0</x:v>
      </x:c>
      <x:c r="T649" s="118" t="n">
        <x:v>0</x:v>
      </x:c>
      <x:c r="U649" s="118" t="n">
        <x:v>0</x:v>
      </x:c>
      <x:c r="V649" s="118" t="n">
        <x:v>0</x:v>
      </x:c>
      <x:c r="W649" s="118" t="n">
        <x:v>0</x:v>
      </x:c>
      <x:c r="X649" s="118" t="n">
        <x:v>1</x:v>
      </x:c>
      <x:c r="Y649" s="118" t="n">
        <x:v>0</x:v>
      </x:c>
      <x:c r="Z649" s="118" t="n">
        <x:v>0</x:v>
      </x:c>
      <x:c r="AA649" s="118" t="n">
        <x:v>0</x:v>
      </x:c>
      <x:c r="AB649" s="118" t="n">
        <x:v>0</x:v>
      </x:c>
      <x:c r="AC649" s="118" t="n">
        <x:v>0</x:v>
      </x:c>
    </x:row>
    <x:row r="650" ht="46" customHeight="1">
      <x:c r="A650" s="117" t="str">
        <x:v>3004O0000000a8mQAA</x:v>
      </x:c>
      <x:c r="B650" s="117" t="str">
        <x:v>Update_Loaner_Asset_Location_when_Shipped</x:v>
      </x:c>
      <x:c r="C650" s="117" t="str">
        <x:v>No</x:v>
      </x:c>
      <x:c r="D650" s="119" t="str">
        <x:v>Latest inactive v1 (Retrieved XML)</x:v>
      </x:c>
      <x:c r="E650" s="119" t="str"/>
      <x:c r="F650" s="119" t="str">
        <x:v>Loaner__c</x:v>
      </x:c>
      <x:c r="G650" s="119" t="str"/>
      <x:c r="H650" s="119" t="str"/>
      <x:c r="I650" s="119" t="str"/>
      <x:c r="J650" s="119" t="str"/>
      <x:c r="K650" s="118" t="n">
        <x:v>1</x:v>
      </x:c>
      <x:c r="L650" s="118" t="n">
        <x:v>0</x:v>
      </x:c>
      <x:c r="M650" s="118" t="n">
        <x:v>0</x:v>
      </x:c>
      <x:c r="N650" s="118" t="n">
        <x:v>0</x:v>
      </x:c>
      <x:c r="O650" s="118" t="n">
        <x:v>0</x:v>
      </x:c>
      <x:c r="P650" s="118" t="n">
        <x:v>0</x:v>
      </x:c>
      <x:c r="Q650" s="118" t="n">
        <x:v>1</x:v>
      </x:c>
      <x:c r="R650" s="118" t="n">
        <x:v>0</x:v>
      </x:c>
      <x:c r="S650" s="118" t="n">
        <x:v>0</x:v>
      </x:c>
      <x:c r="T650" s="118" t="n">
        <x:v>0</x:v>
      </x:c>
      <x:c r="U650" s="118" t="n">
        <x:v>0</x:v>
      </x:c>
      <x:c r="V650" s="118" t="n">
        <x:v>0</x:v>
      </x:c>
      <x:c r="W650" s="118" t="n">
        <x:v>0</x:v>
      </x:c>
      <x:c r="X650" s="118" t="n">
        <x:v>0</x:v>
      </x:c>
      <x:c r="Y650" s="118" t="n">
        <x:v>0</x:v>
      </x:c>
      <x:c r="Z650" s="118" t="n">
        <x:v>0</x:v>
      </x:c>
      <x:c r="AA650" s="118" t="n">
        <x:v>0</x:v>
      </x:c>
      <x:c r="AB650" s="118" t="n">
        <x:v>0</x:v>
      </x:c>
      <x:c r="AC650" s="118" t="n">
        <x:v>0</x:v>
      </x:c>
    </x:row>
    <x:row r="651" ht="46" customHeight="1">
      <x:c r="A651" s="117" t="str">
        <x:v>3004O0000000a8SQAQ</x:v>
      </x:c>
      <x:c r="B651" s="117" t="str">
        <x:v>Update_Loaner_fields_when_Shipment_Created</x:v>
      </x:c>
      <x:c r="C651" s="117" t="str">
        <x:v>No</x:v>
      </x:c>
      <x:c r="D651" s="119" t="str">
        <x:v>Latest inactive v1 (Retrieved XML)</x:v>
      </x:c>
      <x:c r="E651" s="119" t="str"/>
      <x:c r="F651" s="119" t="str"/>
      <x:c r="G651" s="119" t="str"/>
      <x:c r="H651" s="119" t="str"/>
      <x:c r="I651" s="119" t="str"/>
      <x:c r="J651" s="119" t="str"/>
      <x:c r="K651" s="118" t="n">
        <x:v>1</x:v>
      </x:c>
      <x:c r="L651" s="118" t="n">
        <x:v>0</x:v>
      </x:c>
      <x:c r="M651" s="118" t="n">
        <x:v>0</x:v>
      </x:c>
      <x:c r="N651" s="118" t="n">
        <x:v>1</x:v>
      </x:c>
      <x:c r="O651" s="118" t="n">
        <x:v>0</x:v>
      </x:c>
      <x:c r="P651" s="118" t="n">
        <x:v>0</x:v>
      </x:c>
      <x:c r="Q651" s="118" t="n">
        <x:v>0</x:v>
      </x:c>
      <x:c r="R651" s="118" t="n">
        <x:v>0</x:v>
      </x:c>
      <x:c r="S651" s="118" t="n">
        <x:v>0</x:v>
      </x:c>
      <x:c r="T651" s="118" t="n">
        <x:v>0</x:v>
      </x:c>
      <x:c r="U651" s="118" t="n">
        <x:v>0</x:v>
      </x:c>
      <x:c r="V651" s="118" t="n">
        <x:v>0</x:v>
      </x:c>
      <x:c r="W651" s="118" t="n">
        <x:v>0</x:v>
      </x:c>
      <x:c r="X651" s="118" t="n">
        <x:v>0</x:v>
      </x:c>
      <x:c r="Y651" s="118" t="n">
        <x:v>0</x:v>
      </x:c>
      <x:c r="Z651" s="118" t="n">
        <x:v>0</x:v>
      </x:c>
      <x:c r="AA651" s="118" t="n">
        <x:v>0</x:v>
      </x:c>
      <x:c r="AB651" s="118" t="n">
        <x:v>0</x:v>
      </x:c>
      <x:c r="AC651" s="118" t="n">
        <x:v>0</x:v>
      </x:c>
    </x:row>
    <x:row r="652" ht="46" customHeight="1">
      <x:c r="A652" s="117" t="str">
        <x:v>3004O0000000a8XQAQ</x:v>
      </x:c>
      <x:c r="B652" s="117" t="str">
        <x:v>Update_Loaner_when_Shipment_Created</x:v>
      </x:c>
      <x:c r="C652" s="117" t="str">
        <x:v>No</x:v>
      </x:c>
      <x:c r="D652" s="119" t="str">
        <x:v>Latest inactive v1 (Retrieved XML)</x:v>
      </x:c>
      <x:c r="E652" s="119" t="str"/>
      <x:c r="F652" s="119" t="str"/>
      <x:c r="G652" s="119" t="str"/>
      <x:c r="H652" s="119" t="str"/>
      <x:c r="I652" s="119" t="str"/>
      <x:c r="J652" s="119" t="str"/>
      <x:c r="K652" s="118" t="n">
        <x:v>1</x:v>
      </x:c>
      <x:c r="L652" s="118" t="n">
        <x:v>0</x:v>
      </x:c>
      <x:c r="M652" s="118" t="n">
        <x:v>0</x:v>
      </x:c>
      <x:c r="N652" s="118" t="n">
        <x:v>1</x:v>
      </x:c>
      <x:c r="O652" s="118" t="n">
        <x:v>0</x:v>
      </x:c>
      <x:c r="P652" s="118" t="n">
        <x:v>0</x:v>
      </x:c>
      <x:c r="Q652" s="118" t="n">
        <x:v>0</x:v>
      </x:c>
      <x:c r="R652" s="118" t="n">
        <x:v>0</x:v>
      </x:c>
      <x:c r="S652" s="118" t="n">
        <x:v>0</x:v>
      </x:c>
      <x:c r="T652" s="118" t="n">
        <x:v>0</x:v>
      </x:c>
      <x:c r="U652" s="118" t="n">
        <x:v>0</x:v>
      </x:c>
      <x:c r="V652" s="118" t="n">
        <x:v>0</x:v>
      </x:c>
      <x:c r="W652" s="118" t="n">
        <x:v>0</x:v>
      </x:c>
      <x:c r="X652" s="118" t="n">
        <x:v>0</x:v>
      </x:c>
      <x:c r="Y652" s="118" t="n">
        <x:v>0</x:v>
      </x:c>
      <x:c r="Z652" s="118" t="n">
        <x:v>0</x:v>
      </x:c>
      <x:c r="AA652" s="118" t="n">
        <x:v>0</x:v>
      </x:c>
      <x:c r="AB652" s="118" t="n">
        <x:v>0</x:v>
      </x:c>
      <x:c r="AC652" s="118" t="n">
        <x:v>0</x:v>
      </x:c>
    </x:row>
    <x:row r="653" ht="46" customHeight="1">
      <x:c r="A653" s="117" t="str">
        <x:v>3005b000000PyzvAAC</x:v>
      </x:c>
      <x:c r="B653" s="117" t="str">
        <x:v>Update_Move_to_Fixed_Assets_Flow</x:v>
      </x:c>
      <x:c r="C653" s="117" t="str">
        <x:v>Yes</x:v>
      </x:c>
      <x:c r="D653" s="119" t="str">
        <x:v>Active v3 (Retrieved XML)</x:v>
      </x:c>
      <x:c r="E653" s="119" t="str">
        <x:v>Check_In_Type__c Contains stringValue=Rental | Date_Asset_Moved_to_Rental__c IsNull booleanValue=true | Check_In_Type__c Contains stringValue=Demo | Check_In_Type__c Contains stringValue=Loaner | Date_Asset_Moved_to_Loaner__c IsNull booleanValue=true | Check_In_Type__c IsChanged booleanValue=true</x:v>
      </x:c>
      <x:c r="F653" s="119" t="str">
        <x:v>ProductItem__c</x:v>
      </x:c>
      <x:c r="G653" s="119" t="str">
        <x:v>Check_In_Type__c, Date_Asset_Moved_to_Loaner__c, Date_Asset_Moved_to_Rental__c</x:v>
      </x:c>
      <x:c r="H653" s="119" t="str"/>
      <x:c r="I653" s="119" t="str"/>
      <x:c r="J653" s="119" t="str"/>
      <x:c r="K653" s="118" t="n">
        <x:v>5</x:v>
      </x:c>
      <x:c r="L653" s="118" t="n">
        <x:v>0</x:v>
      </x:c>
      <x:c r="M653" s="118" t="n">
        <x:v>0</x:v>
      </x:c>
      <x:c r="N653" s="118" t="n">
        <x:v>1</x:v>
      </x:c>
      <x:c r="O653" s="118" t="n">
        <x:v>0</x:v>
      </x:c>
      <x:c r="P653" s="118" t="n">
        <x:v>0</x:v>
      </x:c>
      <x:c r="Q653" s="118" t="n">
        <x:v>1</x:v>
      </x:c>
      <x:c r="R653" s="118" t="n">
        <x:v>0</x:v>
      </x:c>
      <x:c r="S653" s="118" t="n">
        <x:v>0</x:v>
      </x:c>
      <x:c r="T653" s="118" t="n">
        <x:v>0</x:v>
      </x:c>
      <x:c r="U653" s="118" t="n">
        <x:v>0</x:v>
      </x:c>
      <x:c r="V653" s="118" t="n">
        <x:v>0</x:v>
      </x:c>
      <x:c r="W653" s="118" t="n">
        <x:v>0</x:v>
      </x:c>
      <x:c r="X653" s="118" t="n">
        <x:v>2</x:v>
      </x:c>
      <x:c r="Y653" s="118" t="n">
        <x:v>0</x:v>
      </x:c>
      <x:c r="Z653" s="118" t="n">
        <x:v>0</x:v>
      </x:c>
      <x:c r="AA653" s="118" t="n">
        <x:v>0</x:v>
      </x:c>
      <x:c r="AB653" s="118" t="n">
        <x:v>0</x:v>
      </x:c>
      <x:c r="AC653" s="118" t="n">
        <x:v>0</x:v>
      </x:c>
    </x:row>
    <x:row r="654" ht="46" customHeight="1">
      <x:c r="A654" s="117" t="str">
        <x:v>300Ro00000mqjYXIAY</x:v>
      </x:c>
      <x:c r="B654" s="117" t="str">
        <x:v>Update_Need_Quote_Lines_to_Part_Quoted</x:v>
      </x:c>
      <x:c r="C654" s="117" t="str">
        <x:v>Yes</x:v>
      </x:c>
      <x:c r="D654" s="119" t="str">
        <x:v>Active v21 (Retrieved XML)</x:v>
      </x:c>
      <x:c r="E654" s="119" t="str">
        <x:v>Status IsChanged booleanValue=true | Country EqualTo stringValue=United States</x:v>
      </x:c>
      <x:c r="F654" s="119" t="str">
        <x:v>ServiceAppointment, WorkOrder, WorkOrderLineItem</x:v>
      </x:c>
      <x:c r="G654" s="119" t="str">
        <x:v>Billing_Type__c, Country, CreatedBy, Description, FSL_Opp_Type__c, Id, Opportunity__r, OwnerId, ParentRecordId, Service_Site_Name__c, Status, Subject, Tracking_Number__c, WorkOrderId, WorkOrderNumber, Work_Order_Notes__c</x:v>
      </x:c>
      <x:c r="H654" s="119" t="str">
        <x:v>customNotificationAction, emailSimple</x:v>
      </x:c>
      <x:c r="I654" s="119" t="str"/>
      <x:c r="J654" s="119" t="str"/>
      <x:c r="K654" s="118" t="n">
        <x:v>29</x:v>
      </x:c>
      <x:c r="L654" s="118" t="n">
        <x:v>12</x:v>
      </x:c>
      <x:c r="M654" s="118" t="n">
        <x:v>0</x:v>
      </x:c>
      <x:c r="N654" s="118" t="n">
        <x:v>7</x:v>
      </x:c>
      <x:c r="O654" s="118" t="n">
        <x:v>0</x:v>
      </x:c>
      <x:c r="P654" s="118" t="n">
        <x:v>0</x:v>
      </x:c>
      <x:c r="Q654" s="118" t="n">
        <x:v>5</x:v>
      </x:c>
      <x:c r="R654" s="118" t="n">
        <x:v>1</x:v>
      </x:c>
      <x:c r="S654" s="118" t="n">
        <x:v>0</x:v>
      </x:c>
      <x:c r="T654" s="118" t="n">
        <x:v>0</x:v>
      </x:c>
      <x:c r="U654" s="118" t="n">
        <x:v>0</x:v>
      </x:c>
      <x:c r="V654" s="118" t="n">
        <x:v>2</x:v>
      </x:c>
      <x:c r="W654" s="118" t="n">
        <x:v>0</x:v>
      </x:c>
      <x:c r="X654" s="118" t="n">
        <x:v>1</x:v>
      </x:c>
      <x:c r="Y654" s="118" t="n">
        <x:v>0</x:v>
      </x:c>
      <x:c r="Z654" s="118" t="n">
        <x:v>0</x:v>
      </x:c>
      <x:c r="AA654" s="118" t="n">
        <x:v>0</x:v>
      </x:c>
      <x:c r="AB654" s="118" t="n">
        <x:v>0</x:v>
      </x:c>
      <x:c r="AC654" s="118" t="n">
        <x:v>0</x:v>
      </x:c>
    </x:row>
    <x:row r="655" ht="46" customHeight="1">
      <x:c r="A655" s="117" t="str">
        <x:v>3005b000000Pz8JAAS</x:v>
      </x:c>
      <x:c r="B655" s="117" t="str">
        <x:v>Update_Opportunity_With_Lead_Gen_Info</x:v>
      </x:c>
      <x:c r="C655" s="117" t="str">
        <x:v>Yes</x:v>
      </x:c>
      <x:c r="D655" s="119" t="str">
        <x:v>Active v6 (Retrieved XML)</x:v>
      </x:c>
      <x:c r="E655" s="119" t="str">
        <x:v>StageName EqualTo stringValue=Closed Won | Sales_Lead_Source__c EqualTo stringValue=Lead Gen Team | Ship_Date__c IsNull booleanValue=false | Marketing_Lead_Source__c EqualTo stringValue=Lead Gen Team | StageName EqualTo stringValue=Equipment Rental</x:v>
      </x:c>
      <x:c r="F655" s="119" t="str">
        <x:v>Account, Opportunity</x:v>
      </x:c>
      <x:c r="G655" s="119" t="str">
        <x:v>Account, Date_Lead_Gen_Op_Generated__c, Id, Lead_Gen_Rep__c, Marketing_Lead_Source_Detail__c, Marketing_Lead_Source__c, Sales_Lead_Source_Detail__c, Sales_Lead_Source__c, Ship_Date__c, StageName</x:v>
      </x:c>
      <x:c r="H655" s="119" t="str"/>
      <x:c r="I655" s="119" t="str"/>
      <x:c r="J655" s="119" t="str"/>
      <x:c r="K655" s="118" t="n">
        <x:v>6</x:v>
      </x:c>
      <x:c r="L655" s="118" t="n">
        <x:v>0</x:v>
      </x:c>
      <x:c r="M655" s="118" t="n">
        <x:v>0</x:v>
      </x:c>
      <x:c r="N655" s="118" t="n">
        <x:v>0</x:v>
      </x:c>
      <x:c r="O655" s="118" t="n">
        <x:v>0</x:v>
      </x:c>
      <x:c r="P655" s="118" t="n">
        <x:v>0</x:v>
      </x:c>
      <x:c r="Q655" s="118" t="n">
        <x:v>2</x:v>
      </x:c>
      <x:c r="R655" s="118" t="n">
        <x:v>0</x:v>
      </x:c>
      <x:c r="S655" s="118" t="n">
        <x:v>0</x:v>
      </x:c>
      <x:c r="T655" s="118" t="n">
        <x:v>0</x:v>
      </x:c>
      <x:c r="U655" s="118" t="n">
        <x:v>0</x:v>
      </x:c>
      <x:c r="V655" s="118" t="n">
        <x:v>1</x:v>
      </x:c>
      <x:c r="W655" s="118" t="n">
        <x:v>0</x:v>
      </x:c>
      <x:c r="X655" s="118" t="n">
        <x:v>2</x:v>
      </x:c>
      <x:c r="Y655" s="118" t="n">
        <x:v>0</x:v>
      </x:c>
      <x:c r="Z655" s="118" t="n">
        <x:v>0</x:v>
      </x:c>
      <x:c r="AA655" s="118" t="n">
        <x:v>0</x:v>
      </x:c>
      <x:c r="AB655" s="118" t="n">
        <x:v>0</x:v>
      </x:c>
      <x:c r="AC655" s="118" t="n">
        <x:v>0</x:v>
      </x:c>
    </x:row>
    <x:row r="656" ht="46" customHeight="1">
      <x:c r="A656" s="117" t="str">
        <x:v>3004O0000000ZuGQAU</x:v>
      </x:c>
      <x:c r="B656" s="117" t="str">
        <x:v>Update_Payment_Request</x:v>
      </x:c>
      <x:c r="C656" s="117" t="str">
        <x:v>Yes</x:v>
      </x:c>
      <x:c r="D656" s="119" t="str">
        <x:v>Active v13 (Retrieved XML)</x:v>
      </x:c>
      <x:c r="E656" s="119" t="str"/>
      <x:c r="F656" s="119" t="str">
        <x:v>ChargentOrders__Payment_Request__c, Opportunity</x:v>
      </x:c>
      <x:c r="G656" s="119" t="str">
        <x:v>Customer_Pay_Link__c, Id, Invoice__c, Opportunity__c</x:v>
      </x:c>
      <x:c r="H656" s="119" t="str"/>
      <x:c r="I656" s="119" t="str"/>
      <x:c r="J656" s="119" t="str"/>
      <x:c r="K656" s="118" t="n">
        <x:v>3</x:v>
      </x:c>
      <x:c r="L656" s="118" t="n">
        <x:v>0</x:v>
      </x:c>
      <x:c r="M656" s="118" t="n">
        <x:v>0</x:v>
      </x:c>
      <x:c r="N656" s="118" t="n">
        <x:v>0</x:v>
      </x:c>
      <x:c r="O656" s="118" t="n">
        <x:v>0</x:v>
      </x:c>
      <x:c r="P656" s="118" t="n">
        <x:v>0</x:v>
      </x:c>
      <x:c r="Q656" s="118" t="n">
        <x:v>1</x:v>
      </x:c>
      <x:c r="R656" s="118" t="n">
        <x:v>0</x:v>
      </x:c>
      <x:c r="S656" s="118" t="n">
        <x:v>0</x:v>
      </x:c>
      <x:c r="T656" s="118" t="n">
        <x:v>0</x:v>
      </x:c>
      <x:c r="U656" s="118" t="n">
        <x:v>0</x:v>
      </x:c>
      <x:c r="V656" s="118" t="n">
        <x:v>0</x:v>
      </x:c>
      <x:c r="W656" s="118" t="n">
        <x:v>0</x:v>
      </x:c>
      <x:c r="X656" s="118" t="n">
        <x:v>2</x:v>
      </x:c>
      <x:c r="Y656" s="118" t="n">
        <x:v>0</x:v>
      </x:c>
      <x:c r="Z656" s="118" t="n">
        <x:v>0</x:v>
      </x:c>
      <x:c r="AA656" s="118" t="n">
        <x:v>0</x:v>
      </x:c>
      <x:c r="AB656" s="118" t="n">
        <x:v>0</x:v>
      </x:c>
      <x:c r="AC656" s="118" t="n">
        <x:v>0</x:v>
      </x:c>
    </x:row>
    <x:row r="657" ht="46" customHeight="1">
      <x:c r="A657" s="117" t="str">
        <x:v>3005b000000H1lwAAC</x:v>
      </x:c>
      <x:c r="B657" s="117" t="str">
        <x:v>Update_Physical_Location_on_Products_from_Invoice</x:v>
      </x:c>
      <x:c r="C657" s="117" t="str">
        <x:v>Yes</x:v>
      </x:c>
      <x:c r="D657" s="119" t="str">
        <x:v>Active v3 (Retrieved XML)</x:v>
      </x:c>
      <x:c r="E657" s="119" t="str"/>
      <x:c r="F657" s="119" t="str">
        <x:v>OpportunityLineItem, ProductItem__c</x:v>
      </x:c>
      <x:c r="G657" s="119" t="str">
        <x:v>Invoice2__c</x:v>
      </x:c>
      <x:c r="H657" s="119" t="str"/>
      <x:c r="I657" s="119" t="str"/>
      <x:c r="J657" s="119" t="str"/>
      <x:c r="K657" s="118" t="n">
        <x:v>7</x:v>
      </x:c>
      <x:c r="L657" s="118" t="n">
        <x:v>0</x:v>
      </x:c>
      <x:c r="M657" s="118" t="n">
        <x:v>0</x:v>
      </x:c>
      <x:c r="N657" s="118" t="n">
        <x:v>2</x:v>
      </x:c>
      <x:c r="O657" s="118" t="n">
        <x:v>0</x:v>
      </x:c>
      <x:c r="P657" s="118" t="n">
        <x:v>0</x:v>
      </x:c>
      <x:c r="Q657" s="118" t="n">
        <x:v>1</x:v>
      </x:c>
      <x:c r="R657" s="118" t="n">
        <x:v>1</x:v>
      </x:c>
      <x:c r="S657" s="118" t="n">
        <x:v>0</x:v>
      </x:c>
      <x:c r="T657" s="118" t="n">
        <x:v>0</x:v>
      </x:c>
      <x:c r="U657" s="118" t="n">
        <x:v>0</x:v>
      </x:c>
      <x:c r="V657" s="118" t="n">
        <x:v>1</x:v>
      </x:c>
      <x:c r="W657" s="118" t="n">
        <x:v>0</x:v>
      </x:c>
      <x:c r="X657" s="118" t="n">
        <x:v>1</x:v>
      </x:c>
      <x:c r="Y657" s="118" t="n">
        <x:v>0</x:v>
      </x:c>
      <x:c r="Z657" s="118" t="n">
        <x:v>0</x:v>
      </x:c>
      <x:c r="AA657" s="118" t="n">
        <x:v>0</x:v>
      </x:c>
      <x:c r="AB657" s="118" t="n">
        <x:v>0</x:v>
      </x:c>
      <x:c r="AC657" s="118" t="n">
        <x:v>0</x:v>
      </x:c>
    </x:row>
    <x:row r="658" ht="46" customHeight="1">
      <x:c r="A658" s="117" t="str">
        <x:v>3004O000000LOrBQAW</x:v>
      </x:c>
      <x:c r="B658" s="117" t="str">
        <x:v>Update_PO_Bill</x:v>
      </x:c>
      <x:c r="C658" s="117" t="str">
        <x:v>No</x:v>
      </x:c>
      <x:c r="D658" s="119" t="str">
        <x:v>Latest inactive v2 (Retrieved XML)</x:v>
      </x:c>
      <x:c r="E658" s="119" t="str"/>
      <x:c r="F658" s="119" t="str">
        <x:v>Item_Receipt__c, PO_Bill__c</x:v>
      </x:c>
      <x:c r="G658" s="119" t="str">
        <x:v>Id, Opportunity__c, PO_Bill__c</x:v>
      </x:c>
      <x:c r="H658" s="119" t="str"/>
      <x:c r="I658" s="119" t="str"/>
      <x:c r="J658" s="119" t="str"/>
      <x:c r="K658" s="118" t="n">
        <x:v>3</x:v>
      </x:c>
      <x:c r="L658" s="118" t="n">
        <x:v>0</x:v>
      </x:c>
      <x:c r="M658" s="118" t="n">
        <x:v>0</x:v>
      </x:c>
      <x:c r="N658" s="118" t="n">
        <x:v>0</x:v>
      </x:c>
      <x:c r="O658" s="118" t="n">
        <x:v>0</x:v>
      </x:c>
      <x:c r="P658" s="118" t="n">
        <x:v>0</x:v>
      </x:c>
      <x:c r="Q658" s="118" t="n">
        <x:v>1</x:v>
      </x:c>
      <x:c r="R658" s="118" t="n">
        <x:v>0</x:v>
      </x:c>
      <x:c r="S658" s="118" t="n">
        <x:v>0</x:v>
      </x:c>
      <x:c r="T658" s="118" t="n">
        <x:v>0</x:v>
      </x:c>
      <x:c r="U658" s="118" t="n">
        <x:v>0</x:v>
      </x:c>
      <x:c r="V658" s="118" t="n">
        <x:v>0</x:v>
      </x:c>
      <x:c r="W658" s="118" t="n">
        <x:v>0</x:v>
      </x:c>
      <x:c r="X658" s="118" t="n">
        <x:v>2</x:v>
      </x:c>
      <x:c r="Y658" s="118" t="n">
        <x:v>0</x:v>
      </x:c>
      <x:c r="Z658" s="118" t="n">
        <x:v>0</x:v>
      </x:c>
      <x:c r="AA658" s="118" t="n">
        <x:v>0</x:v>
      </x:c>
      <x:c r="AB658" s="118" t="n">
        <x:v>0</x:v>
      </x:c>
      <x:c r="AC658" s="118" t="n">
        <x:v>0</x:v>
      </x:c>
    </x:row>
    <x:row r="659" ht="46" customHeight="1">
      <x:c r="A659" s="117" t="str">
        <x:v>3004O000000LOrCQAW</x:v>
      </x:c>
      <x:c r="B659" s="117" t="str">
        <x:v>Update_Product_Item_on_Opp_Product</x:v>
      </x:c>
      <x:c r="C659" s="117" t="str">
        <x:v>No</x:v>
      </x:c>
      <x:c r="D659" s="119" t="str">
        <x:v>Latest inactive v2 (Retrieved XML)</x:v>
      </x:c>
      <x:c r="E659" s="119" t="str"/>
      <x:c r="F659" s="119" t="str">
        <x:v>OpportunityLineItem, ProductItem__c</x:v>
      </x:c>
      <x:c r="G659" s="119" t="str">
        <x:v>Id, Opportunity_Record_Type__c, Physical_Location__c</x:v>
      </x:c>
      <x:c r="H659" s="119" t="str"/>
      <x:c r="I659" s="119" t="str"/>
      <x:c r="J659" s="119" t="str"/>
      <x:c r="K659" s="118" t="n">
        <x:v>2</x:v>
      </x:c>
      <x:c r="L659" s="118" t="n">
        <x:v>0</x:v>
      </x:c>
      <x:c r="M659" s="118" t="n">
        <x:v>0</x:v>
      </x:c>
      <x:c r="N659" s="118" t="n">
        <x:v>0</x:v>
      </x:c>
      <x:c r="O659" s="118" t="n">
        <x:v>0</x:v>
      </x:c>
      <x:c r="P659" s="118" t="n">
        <x:v>0</x:v>
      </x:c>
      <x:c r="Q659" s="118" t="n">
        <x:v>1</x:v>
      </x:c>
      <x:c r="R659" s="118" t="n">
        <x:v>0</x:v>
      </x:c>
      <x:c r="S659" s="118" t="n">
        <x:v>0</x:v>
      </x:c>
      <x:c r="T659" s="118" t="n">
        <x:v>0</x:v>
      </x:c>
      <x:c r="U659" s="118" t="n">
        <x:v>0</x:v>
      </x:c>
      <x:c r="V659" s="118" t="n">
        <x:v>0</x:v>
      </x:c>
      <x:c r="W659" s="118" t="n">
        <x:v>0</x:v>
      </x:c>
      <x:c r="X659" s="118" t="n">
        <x:v>1</x:v>
      </x:c>
      <x:c r="Y659" s="118" t="n">
        <x:v>0</x:v>
      </x:c>
      <x:c r="Z659" s="118" t="n">
        <x:v>0</x:v>
      </x:c>
      <x:c r="AA659" s="118" t="n">
        <x:v>0</x:v>
      </x:c>
      <x:c r="AB659" s="118" t="n">
        <x:v>0</x:v>
      </x:c>
      <x:c r="AC659" s="118" t="n">
        <x:v>0</x:v>
      </x:c>
    </x:row>
    <x:row r="660" ht="46" customHeight="1">
      <x:c r="A660" s="117" t="str">
        <x:v>3000B000000kEOyQAM</x:v>
      </x:c>
      <x:c r="B660" s="117" t="str">
        <x:v>Update_Purchasing_Approved</x:v>
      </x:c>
      <x:c r="C660" s="117" t="str">
        <x:v>No</x:v>
      </x:c>
      <x:c r="D660" s="119" t="str">
        <x:v>Latest inactive v5 (Retrieved XML)</x:v>
      </x:c>
      <x:c r="E660" s="119" t="str"/>
      <x:c r="F660" s="119" t="str">
        <x:v>OpportunityLineItem, ProductItem__c</x:v>
      </x:c>
      <x:c r="G660" s="119" t="str">
        <x:v>ProductItem__c, Purchasing_Approved__c</x:v>
      </x:c>
      <x:c r="H660" s="119" t="str"/>
      <x:c r="I660" s="119" t="str"/>
      <x:c r="J660" s="119" t="str"/>
      <x:c r="K660" s="118" t="n">
        <x:v>4</x:v>
      </x:c>
      <x:c r="L660" s="118" t="n">
        <x:v>0</x:v>
      </x:c>
      <x:c r="M660" s="118" t="n">
        <x:v>0</x:v>
      </x:c>
      <x:c r="N660" s="118" t="n">
        <x:v>1</x:v>
      </x:c>
      <x:c r="O660" s="118" t="n">
        <x:v>0</x:v>
      </x:c>
      <x:c r="P660" s="118" t="n">
        <x:v>0</x:v>
      </x:c>
      <x:c r="Q660" s="118" t="n">
        <x:v>2</x:v>
      </x:c>
      <x:c r="R660" s="118" t="n">
        <x:v>0</x:v>
      </x:c>
      <x:c r="S660" s="118" t="n">
        <x:v>0</x:v>
      </x:c>
      <x:c r="T660" s="118" t="n">
        <x:v>0</x:v>
      </x:c>
      <x:c r="U660" s="118" t="n">
        <x:v>0</x:v>
      </x:c>
      <x:c r="V660" s="118" t="n">
        <x:v>0</x:v>
      </x:c>
      <x:c r="W660" s="118" t="n">
        <x:v>0</x:v>
      </x:c>
      <x:c r="X660" s="118" t="n">
        <x:v>1</x:v>
      </x:c>
      <x:c r="Y660" s="118" t="n">
        <x:v>0</x:v>
      </x:c>
      <x:c r="Z660" s="118" t="n">
        <x:v>0</x:v>
      </x:c>
      <x:c r="AA660" s="118" t="n">
        <x:v>0</x:v>
      </x:c>
      <x:c r="AB660" s="118" t="n">
        <x:v>0</x:v>
      </x:c>
      <x:c r="AC660" s="118" t="n">
        <x:v>0</x:v>
      </x:c>
    </x:row>
    <x:row r="661" ht="46" customHeight="1">
      <x:c r="A661" s="117" t="str">
        <x:v>300Ro00000Q53PoIAJ</x:v>
      </x:c>
      <x:c r="B661" s="117" t="str">
        <x:v>Update_SA_Owner_to_Assigned_Resource</x:v>
      </x:c>
      <x:c r="C661" s="117" t="str">
        <x:v>Yes</x:v>
      </x:c>
      <x:c r="D661" s="119" t="str">
        <x:v>Active v7 (Tooling metadata)</x:v>
      </x:c>
      <x:c r="E661" s="119" t="str"/>
      <x:c r="F661" s="119" t="str">
        <x:v>AssignedResource</x:v>
      </x:c>
      <x:c r="G661" s="119" t="str">
        <x:v>OwnerId, ServiceAppointment, ServiceCrewId, ServiceResource, Service_Resource__c</x:v>
      </x:c>
      <x:c r="H661" s="119" t="str"/>
      <x:c r="I661" s="119" t="str"/>
      <x:c r="J661" s="119" t="str"/>
      <x:c r="K661" s="118" t="n">
        <x:v>3</x:v>
      </x:c>
      <x:c r="L661" s="118" t="n">
        <x:v>0</x:v>
      </x:c>
      <x:c r="M661" s="118" t="n">
        <x:v>0</x:v>
      </x:c>
      <x:c r="N661" s="118" t="n">
        <x:v>0</x:v>
      </x:c>
      <x:c r="O661" s="118" t="n">
        <x:v>0</x:v>
      </x:c>
      <x:c r="P661" s="118" t="n">
        <x:v>0</x:v>
      </x:c>
      <x:c r="Q661" s="118" t="n">
        <x:v>1</x:v>
      </x:c>
      <x:c r="R661" s="118" t="n">
        <x:v>0</x:v>
      </x:c>
      <x:c r="S661" s="118" t="n">
        <x:v>0</x:v>
      </x:c>
      <x:c r="T661" s="118" t="n">
        <x:v>0</x:v>
      </x:c>
      <x:c r="U661" s="118" t="n">
        <x:v>0</x:v>
      </x:c>
      <x:c r="V661" s="118" t="n">
        <x:v>0</x:v>
      </x:c>
      <x:c r="W661" s="118" t="n">
        <x:v>0</x:v>
      </x:c>
      <x:c r="X661" s="118" t="n">
        <x:v>1</x:v>
      </x:c>
      <x:c r="Y661" s="118" t="n">
        <x:v>0</x:v>
      </x:c>
      <x:c r="Z661" s="118" t="n">
        <x:v>0</x:v>
      </x:c>
      <x:c r="AA661" s="118" t="n">
        <x:v>0</x:v>
      </x:c>
      <x:c r="AB661" s="118" t="n">
        <x:v>0</x:v>
      </x:c>
      <x:c r="AC661" s="118" t="n">
        <x:v>0</x:v>
      </x:c>
    </x:row>
    <x:row r="662" ht="46" customHeight="1">
      <x:c r="A662" s="117" t="str">
        <x:v>3005b000000LGl6AAG</x:v>
      </x:c>
      <x:c r="B662" s="117" t="str">
        <x:v>Update_Sales_Opportunity_on_Closed_won</x:v>
      </x:c>
      <x:c r="C662" s="117" t="str">
        <x:v>No</x:v>
      </x:c>
      <x:c r="D662" s="119" t="str">
        <x:v>Latest inactive v2 (Retrieved XML)</x:v>
      </x:c>
      <x:c r="E662" s="119" t="str">
        <x:v>RecordTypeId EqualTo stringValue=0124O000000tE2yQAE | RecordTypeId EqualTo stringValue=0124O000000tE33QAE | RecordTypeId EqualTo stringValue=0124O000000tE2oQAE | StageName EqualTo stringValue=Closed Won | Field_Service_Engineer__c IsNull booleanValue=false | Field_Service_Engineer_2__c IsNull booleanValue=false | Field_Service_Engineer_3__c IsNull booleanValue=false | Field_Service_Engineer_4__c IsNull booleanValue=false</x:v>
      </x:c>
      <x:c r="F662" s="119" t="str">
        <x:v>Opportunity</x:v>
      </x:c>
      <x:c r="G662" s="119" t="str">
        <x:v>Field_Service_Engineer_2__c, Field_Service_Engineer_3__c, Field_Service_Engineer_4__c, Field_Service_Engineer__c, RecordTypeId, Ship_Type__c, StageName</x:v>
      </x:c>
      <x:c r="H662" s="119" t="str"/>
      <x:c r="I662" s="119" t="str"/>
      <x:c r="J662" s="119" t="str"/>
      <x:c r="K662" s="118" t="n">
        <x:v>2</x:v>
      </x:c>
      <x:c r="L662" s="118" t="n">
        <x:v>0</x:v>
      </x:c>
      <x:c r="M662" s="118" t="n">
        <x:v>0</x:v>
      </x:c>
      <x:c r="N662" s="118" t="n">
        <x:v>0</x:v>
      </x:c>
      <x:c r="O662" s="118" t="n">
        <x:v>0</x:v>
      </x:c>
      <x:c r="P662" s="118" t="n">
        <x:v>0</x:v>
      </x:c>
      <x:c r="Q662" s="118" t="n">
        <x:v>0</x:v>
      </x:c>
      <x:c r="R662" s="118" t="n">
        <x:v>0</x:v>
      </x:c>
      <x:c r="S662" s="118" t="n">
        <x:v>0</x:v>
      </x:c>
      <x:c r="T662" s="118" t="n">
        <x:v>0</x:v>
      </x:c>
      <x:c r="U662" s="118" t="n">
        <x:v>0</x:v>
      </x:c>
      <x:c r="V662" s="118" t="n">
        <x:v>0</x:v>
      </x:c>
      <x:c r="W662" s="118" t="n">
        <x:v>0</x:v>
      </x:c>
      <x:c r="X662" s="118" t="n">
        <x:v>1</x:v>
      </x:c>
      <x:c r="Y662" s="118" t="n">
        <x:v>0</x:v>
      </x:c>
      <x:c r="Z662" s="118" t="n">
        <x:v>0</x:v>
      </x:c>
      <x:c r="AA662" s="118" t="n">
        <x:v>0</x:v>
      </x:c>
      <x:c r="AB662" s="118" t="n">
        <x:v>0</x:v>
      </x:c>
      <x:c r="AC662" s="118" t="n">
        <x:v>0</x:v>
      </x:c>
    </x:row>
    <x:row r="663" ht="46" customHeight="1">
      <x:c r="A663" s="117" t="str">
        <x:v>300Ro00000Pz0kyIAB</x:v>
      </x:c>
      <x:c r="B663" s="117" t="str">
        <x:v>Update_Service_Appointment_Location</x:v>
      </x:c>
      <x:c r="C663" s="117" t="str">
        <x:v>No</x:v>
      </x:c>
      <x:c r="D663" s="119" t="str">
        <x:v>Latest inactive v1 (Retrieved XML)</x:v>
      </x:c>
      <x:c r="E663" s="119" t="str">
        <x:v>null__NotFound IsNull booleanValue=true</x:v>
      </x:c>
      <x:c r="F663" s="119" t="str">
        <x:v>ServiceAppointment, WorkOrder</x:v>
      </x:c>
      <x:c r="G663" s="119" t="str">
        <x:v>Id, ParentRecordId, null__NotFound</x:v>
      </x:c>
      <x:c r="H663" s="119" t="str"/>
      <x:c r="I663" s="119" t="str"/>
      <x:c r="J663" s="119" t="str"/>
      <x:c r="K663" s="118" t="n">
        <x:v>3</x:v>
      </x:c>
      <x:c r="L663" s="118" t="n">
        <x:v>0</x:v>
      </x:c>
      <x:c r="M663" s="118" t="n">
        <x:v>0</x:v>
      </x:c>
      <x:c r="N663" s="118" t="n">
        <x:v>0</x:v>
      </x:c>
      <x:c r="O663" s="118" t="n">
        <x:v>0</x:v>
      </x:c>
      <x:c r="P663" s="118" t="n">
        <x:v>0</x:v>
      </x:c>
      <x:c r="Q663" s="118" t="n">
        <x:v>0</x:v>
      </x:c>
      <x:c r="R663" s="118" t="n">
        <x:v>0</x:v>
      </x:c>
      <x:c r="S663" s="118" t="n">
        <x:v>0</x:v>
      </x:c>
      <x:c r="T663" s="118" t="n">
        <x:v>0</x:v>
      </x:c>
      <x:c r="U663" s="118" t="n">
        <x:v>0</x:v>
      </x:c>
      <x:c r="V663" s="118" t="n">
        <x:v>1</x:v>
      </x:c>
      <x:c r="W663" s="118" t="n">
        <x:v>0</x:v>
      </x:c>
      <x:c r="X663" s="118" t="n">
        <x:v>1</x:v>
      </x:c>
      <x:c r="Y663" s="118" t="n">
        <x:v>0</x:v>
      </x:c>
      <x:c r="Z663" s="118" t="n">
        <x:v>0</x:v>
      </x:c>
      <x:c r="AA663" s="118" t="n">
        <x:v>0</x:v>
      </x:c>
      <x:c r="AB663" s="118" t="n">
        <x:v>0</x:v>
      </x:c>
      <x:c r="AC663" s="118" t="n">
        <x:v>0</x:v>
      </x:c>
    </x:row>
    <x:row r="664" ht="46" customHeight="1">
      <x:c r="A664" s="117" t="str">
        <x:v>300Ro00000Rgy0IIAR</x:v>
      </x:c>
      <x:c r="B664" s="117" t="str">
        <x:v>Update_Service_Appointment_to_Pending_Quotation</x:v>
      </x:c>
      <x:c r="C664" s="117" t="str">
        <x:v>No</x:v>
      </x:c>
      <x:c r="D664" s="119" t="str">
        <x:v>Latest inactive v1 (Retrieved XML)</x:v>
      </x:c>
      <x:c r="E664" s="119" t="str">
        <x:v>Service_Appointment__c IsNull booleanValue=false</x:v>
      </x:c>
      <x:c r="F664" s="119" t="str">
        <x:v>Pricing_Request__c, ServiceAppointment</x:v>
      </x:c>
      <x:c r="G664" s="119" t="str">
        <x:v>Id, Service_Appointment__c, Status</x:v>
      </x:c>
      <x:c r="H664" s="119" t="str"/>
      <x:c r="I664" s="119" t="str"/>
      <x:c r="J664" s="119" t="str"/>
      <x:c r="K664" s="118" t="n">
        <x:v>2</x:v>
      </x:c>
      <x:c r="L664" s="118" t="n">
        <x:v>0</x:v>
      </x:c>
      <x:c r="M664" s="118" t="n">
        <x:v>0</x:v>
      </x:c>
      <x:c r="N664" s="118" t="n">
        <x:v>0</x:v>
      </x:c>
      <x:c r="O664" s="118" t="n">
        <x:v>0</x:v>
      </x:c>
      <x:c r="P664" s="118" t="n">
        <x:v>0</x:v>
      </x:c>
      <x:c r="Q664" s="118" t="n">
        <x:v>0</x:v>
      </x:c>
      <x:c r="R664" s="118" t="n">
        <x:v>0</x:v>
      </x:c>
      <x:c r="S664" s="118" t="n">
        <x:v>0</x:v>
      </x:c>
      <x:c r="T664" s="118" t="n">
        <x:v>0</x:v>
      </x:c>
      <x:c r="U664" s="118" t="n">
        <x:v>0</x:v>
      </x:c>
      <x:c r="V664" s="118" t="n">
        <x:v>0</x:v>
      </x:c>
      <x:c r="W664" s="118" t="n">
        <x:v>0</x:v>
      </x:c>
      <x:c r="X664" s="118" t="n">
        <x:v>1</x:v>
      </x:c>
      <x:c r="Y664" s="118" t="n">
        <x:v>0</x:v>
      </x:c>
      <x:c r="Z664" s="118" t="n">
        <x:v>0</x:v>
      </x:c>
      <x:c r="AA664" s="118" t="n">
        <x:v>0</x:v>
      </x:c>
      <x:c r="AB664" s="118" t="n">
        <x:v>0</x:v>
      </x:c>
      <x:c r="AC664" s="118" t="n">
        <x:v>0</x:v>
      </x:c>
    </x:row>
    <x:row r="665" ht="46" customHeight="1">
      <x:c r="A665" s="117" t="str">
        <x:v>3005b000000PzI9AAK</x:v>
      </x:c>
      <x:c r="B665" s="117" t="str">
        <x:v>Update_Technician_Ship_Location_on_Work_Order_Creation</x:v>
      </x:c>
      <x:c r="C665" s="117" t="str">
        <x:v>Yes</x:v>
      </x:c>
      <x:c r="D665" s="119" t="str">
        <x:v>Active v4 (Retrieved XML)</x:v>
      </x:c>
      <x:c r="E665" s="119" t="str">
        <x:v>RecordTypeId NotEqualTo stringValue=012Ro000001eDqnIAE | RecordTypeId NotEqualTo stringValue=012Ro000001eDqn</x:v>
      </x:c>
      <x:c r="F665" s="119" t="str">
        <x:v>WorkOrder</x:v>
      </x:c>
      <x:c r="G665" s="119" t="str">
        <x:v>Opportunity__r, RecordTypeId, Ship_to_Account__c, Tech_Ship_Location__c</x:v>
      </x:c>
      <x:c r="H665" s="119" t="str"/>
      <x:c r="I665" s="119" t="str"/>
      <x:c r="J665" s="119" t="str"/>
      <x:c r="K665" s="118" t="n">
        <x:v>3</x:v>
      </x:c>
      <x:c r="L665" s="118" t="n">
        <x:v>0</x:v>
      </x:c>
      <x:c r="M665" s="118" t="n">
        <x:v>0</x:v>
      </x:c>
      <x:c r="N665" s="118" t="n">
        <x:v>0</x:v>
      </x:c>
      <x:c r="O665" s="118" t="n">
        <x:v>0</x:v>
      </x:c>
      <x:c r="P665" s="118" t="n">
        <x:v>0</x:v>
      </x:c>
      <x:c r="Q665" s="118" t="n">
        <x:v>1</x:v>
      </x:c>
      <x:c r="R665" s="118" t="n">
        <x:v>0</x:v>
      </x:c>
      <x:c r="S665" s="118" t="n">
        <x:v>0</x:v>
      </x:c>
      <x:c r="T665" s="118" t="n">
        <x:v>0</x:v>
      </x:c>
      <x:c r="U665" s="118" t="n">
        <x:v>0</x:v>
      </x:c>
      <x:c r="V665" s="118" t="n">
        <x:v>0</x:v>
      </x:c>
      <x:c r="W665" s="118" t="n">
        <x:v>0</x:v>
      </x:c>
      <x:c r="X665" s="118" t="n">
        <x:v>1</x:v>
      </x:c>
      <x:c r="Y665" s="118" t="n">
        <x:v>0</x:v>
      </x:c>
      <x:c r="Z665" s="118" t="n">
        <x:v>0</x:v>
      </x:c>
      <x:c r="AA665" s="118" t="n">
        <x:v>0</x:v>
      </x:c>
      <x:c r="AB665" s="118" t="n">
        <x:v>0</x:v>
      </x:c>
      <x:c r="AC665" s="118" t="n">
        <x:v>0</x:v>
      </x:c>
    </x:row>
    <x:row r="666" ht="46" customHeight="1">
      <x:c r="A666" s="117" t="str">
        <x:v>300Ro00000SQT1YIAX</x:v>
      </x:c>
      <x:c r="B666" s="117" t="str">
        <x:v>Update_the_Intended_Start_Date_if_Earlier_than_Earliest_Start_Date</x:v>
      </x:c>
      <x:c r="C666" s="117" t="str">
        <x:v>Yes</x:v>
      </x:c>
      <x:c r="D666" s="119" t="str">
        <x:v>Active v1 (Retrieved XML)</x:v>
      </x:c>
      <x:c r="E666" s="119" t="str">
        <x:v>EarliestStartTime IsChanged booleanValue=true | EarliestStartTime IsNull booleanValue=false</x:v>
      </x:c>
      <x:c r="F666" s="119" t="str">
        <x:v>ServiceAppointment</x:v>
      </x:c>
      <x:c r="G666" s="119" t="str">
        <x:v>EarliestStartTime, Intended_Start_Date_Time__c</x:v>
      </x:c>
      <x:c r="H666" s="119" t="str"/>
      <x:c r="I666" s="119" t="str"/>
      <x:c r="J666" s="119" t="str"/>
      <x:c r="K666" s="118" t="n">
        <x:v>3</x:v>
      </x:c>
      <x:c r="L666" s="118" t="n">
        <x:v>0</x:v>
      </x:c>
      <x:c r="M666" s="118" t="n">
        <x:v>0</x:v>
      </x:c>
      <x:c r="N666" s="118" t="n">
        <x:v>1</x:v>
      </x:c>
      <x:c r="O666" s="118" t="n">
        <x:v>0</x:v>
      </x:c>
      <x:c r="P666" s="118" t="n">
        <x:v>0</x:v>
      </x:c>
      <x:c r="Q666" s="118" t="n">
        <x:v>1</x:v>
      </x:c>
      <x:c r="R666" s="118" t="n">
        <x:v>0</x:v>
      </x:c>
      <x:c r="S666" s="118" t="n">
        <x:v>0</x:v>
      </x:c>
      <x:c r="T666" s="118" t="n">
        <x:v>0</x:v>
      </x:c>
      <x:c r="U666" s="118" t="n">
        <x:v>0</x:v>
      </x:c>
      <x:c r="V666" s="118" t="n">
        <x:v>0</x:v>
      </x:c>
      <x:c r="W666" s="118" t="n">
        <x:v>0</x:v>
      </x:c>
      <x:c r="X666" s="118" t="n">
        <x:v>0</x:v>
      </x:c>
      <x:c r="Y666" s="118" t="n">
        <x:v>0</x:v>
      </x:c>
      <x:c r="Z666" s="118" t="n">
        <x:v>0</x:v>
      </x:c>
      <x:c r="AA666" s="118" t="n">
        <x:v>0</x:v>
      </x:c>
      <x:c r="AB666" s="118" t="n">
        <x:v>0</x:v>
      </x:c>
      <x:c r="AC666" s="118" t="n">
        <x:v>0</x:v>
      </x:c>
    </x:row>
    <x:row r="667" ht="46" customHeight="1">
      <x:c r="A667" s="117" t="str">
        <x:v>3004O0000000ZvnQAE</x:v>
      </x:c>
      <x:c r="B667" s="117" t="str">
        <x:v>Update_Transaction_Info</x:v>
      </x:c>
      <x:c r="C667" s="117" t="str">
        <x:v>Yes</x:v>
      </x:c>
      <x:c r="D667" s="119" t="str">
        <x:v>Active v1 (Retrieved XML)</x:v>
      </x:c>
      <x:c r="E667" s="119" t="str"/>
      <x:c r="F667" s="119" t="str">
        <x:v>ChargentOrders__Transaction__c</x:v>
      </x:c>
      <x:c r="G667" s="119" t="str">
        <x:v>Id, Invoice__c, Opportunity__c</x:v>
      </x:c>
      <x:c r="H667" s="119" t="str"/>
      <x:c r="I667" s="119" t="str"/>
      <x:c r="J667" s="119" t="str"/>
      <x:c r="K667" s="118" t="n">
        <x:v>2</x:v>
      </x:c>
      <x:c r="L667" s="118" t="n">
        <x:v>0</x:v>
      </x:c>
      <x:c r="M667" s="118" t="n">
        <x:v>0</x:v>
      </x:c>
      <x:c r="N667" s="118" t="n">
        <x:v>0</x:v>
      </x:c>
      <x:c r="O667" s="118" t="n">
        <x:v>0</x:v>
      </x:c>
      <x:c r="P667" s="118" t="n">
        <x:v>0</x:v>
      </x:c>
      <x:c r="Q667" s="118" t="n">
        <x:v>1</x:v>
      </x:c>
      <x:c r="R667" s="118" t="n">
        <x:v>0</x:v>
      </x:c>
      <x:c r="S667" s="118" t="n">
        <x:v>0</x:v>
      </x:c>
      <x:c r="T667" s="118" t="n">
        <x:v>0</x:v>
      </x:c>
      <x:c r="U667" s="118" t="n">
        <x:v>0</x:v>
      </x:c>
      <x:c r="V667" s="118" t="n">
        <x:v>0</x:v>
      </x:c>
      <x:c r="W667" s="118" t="n">
        <x:v>0</x:v>
      </x:c>
      <x:c r="X667" s="118" t="n">
        <x:v>1</x:v>
      </x:c>
      <x:c r="Y667" s="118" t="n">
        <x:v>0</x:v>
      </x:c>
      <x:c r="Z667" s="118" t="n">
        <x:v>0</x:v>
      </x:c>
      <x:c r="AA667" s="118" t="n">
        <x:v>0</x:v>
      </x:c>
      <x:c r="AB667" s="118" t="n">
        <x:v>0</x:v>
      </x:c>
      <x:c r="AC667" s="118" t="n">
        <x:v>0</x:v>
      </x:c>
    </x:row>
    <x:row r="668" ht="46" customHeight="1">
      <x:c r="A668" s="117" t="str">
        <x:v>300Ro00000e7MD2IAM</x:v>
      </x:c>
      <x:c r="B668" s="117" t="str">
        <x:v>Update_US_Billing_Type_on_Edit_of_Service_Appointment</x:v>
      </x:c>
      <x:c r="C668" s="117" t="str">
        <x:v>Yes</x:v>
      </x:c>
      <x:c r="D668" s="119" t="str">
        <x:v>Active v2 (Retrieved XML)</x:v>
      </x:c>
      <x:c r="E668" s="119" t="str">
        <x:v>Type__c IsChanged booleanValue=true | Type__c IsNull booleanValue=false</x:v>
      </x:c>
      <x:c r="F668" s="119" t="str">
        <x:v>ServiceAppointment</x:v>
      </x:c>
      <x:c r="G668" s="119" t="str">
        <x:v>Billing_Type__c, Matched_Contact__c, Related_Account__c, Type__c, US_Billing_Type__c, Work_Order__r</x:v>
      </x:c>
      <x:c r="H668" s="119" t="str"/>
      <x:c r="I668" s="119" t="str"/>
      <x:c r="J668" s="119" t="str"/>
      <x:c r="K668" s="118" t="n">
        <x:v>3</x:v>
      </x:c>
      <x:c r="L668" s="118" t="n">
        <x:v>0</x:v>
      </x:c>
      <x:c r="M668" s="118" t="n">
        <x:v>0</x:v>
      </x:c>
      <x:c r="N668" s="118" t="n">
        <x:v>0</x:v>
      </x:c>
      <x:c r="O668" s="118" t="n">
        <x:v>0</x:v>
      </x:c>
      <x:c r="P668" s="118" t="n">
        <x:v>0</x:v>
      </x:c>
      <x:c r="Q668" s="118" t="n">
        <x:v>0</x:v>
      </x:c>
      <x:c r="R668" s="118" t="n">
        <x:v>0</x:v>
      </x:c>
      <x:c r="S668" s="118" t="n">
        <x:v>0</x:v>
      </x:c>
      <x:c r="T668" s="118" t="n">
        <x:v>0</x:v>
      </x:c>
      <x:c r="U668" s="118" t="n">
        <x:v>0</x:v>
      </x:c>
      <x:c r="V668" s="118" t="n">
        <x:v>0</x:v>
      </x:c>
      <x:c r="W668" s="118" t="n">
        <x:v>0</x:v>
      </x:c>
      <x:c r="X668" s="118" t="n">
        <x:v>2</x:v>
      </x:c>
      <x:c r="Y668" s="118" t="n">
        <x:v>0</x:v>
      </x:c>
      <x:c r="Z668" s="118" t="n">
        <x:v>0</x:v>
      </x:c>
      <x:c r="AA668" s="118" t="n">
        <x:v>0</x:v>
      </x:c>
      <x:c r="AB668" s="118" t="n">
        <x:v>0</x:v>
      </x:c>
      <x:c r="AC668" s="118" t="n">
        <x:v>0</x:v>
      </x:c>
    </x:row>
    <x:row r="669" ht="46" customHeight="1">
      <x:c r="A669" s="117" t="str">
        <x:v>3005b000000LHHMAA4</x:v>
      </x:c>
      <x:c r="B669" s="117" t="str">
        <x:v>UpdateRMAShipDateToReadyToShip</x:v>
      </x:c>
      <x:c r="C669" s="117" t="str">
        <x:v>No</x:v>
      </x:c>
      <x:c r="D669" s="119" t="str">
        <x:v>Latest inactive v11 (Retrieved XML)</x:v>
      </x:c>
      <x:c r="E669" s="119" t="str">
        <x:v>Date__c IsNull booleanValue=false | RecordTypeId EqualTo stringValue=012U0000000A9CqIAK</x:v>
      </x:c>
      <x:c r="F669" s="119" t="str">
        <x:v>Opportunity, RMA__c</x:v>
      </x:c>
      <x:c r="G669" s="119" t="str">
        <x:v>Date__c, Id, Opportunity__c, RecordTypeId, StageName</x:v>
      </x:c>
      <x:c r="H669" s="119" t="str"/>
      <x:c r="I669" s="119" t="str"/>
      <x:c r="J669" s="119" t="str"/>
      <x:c r="K669" s="118" t="n">
        <x:v>4</x:v>
      </x:c>
      <x:c r="L669" s="118" t="n">
        <x:v>0</x:v>
      </x:c>
      <x:c r="M669" s="118" t="n">
        <x:v>0</x:v>
      </x:c>
      <x:c r="N669" s="118" t="n">
        <x:v>0</x:v>
      </x:c>
      <x:c r="O669" s="118" t="n">
        <x:v>0</x:v>
      </x:c>
      <x:c r="P669" s="118" t="n">
        <x:v>0</x:v>
      </x:c>
      <x:c r="Q669" s="118" t="n">
        <x:v>1</x:v>
      </x:c>
      <x:c r="R669" s="118" t="n">
        <x:v>0</x:v>
      </x:c>
      <x:c r="S669" s="118" t="n">
        <x:v>0</x:v>
      </x:c>
      <x:c r="T669" s="118" t="n">
        <x:v>0</x:v>
      </x:c>
      <x:c r="U669" s="118" t="n">
        <x:v>0</x:v>
      </x:c>
      <x:c r="V669" s="118" t="n">
        <x:v>1</x:v>
      </x:c>
      <x:c r="W669" s="118" t="n">
        <x:v>0</x:v>
      </x:c>
      <x:c r="X669" s="118" t="n">
        <x:v>1</x:v>
      </x:c>
      <x:c r="Y669" s="118" t="n">
        <x:v>0</x:v>
      </x:c>
      <x:c r="Z669" s="118" t="n">
        <x:v>0</x:v>
      </x:c>
      <x:c r="AA669" s="118" t="n">
        <x:v>0</x:v>
      </x:c>
      <x:c r="AB669" s="118" t="n">
        <x:v>0</x:v>
      </x:c>
      <x:c r="AC669" s="118" t="n">
        <x:v>0</x:v>
      </x:c>
    </x:row>
    <x:row r="670" ht="46" customHeight="1">
      <x:c r="A670" s="117" t="str">
        <x:v>3004O000000TiZ1QAK</x:v>
      </x:c>
      <x:c r="B670" s="117" t="str">
        <x:v>Upload_Signed_Document</x:v>
      </x:c>
      <x:c r="C670" s="117" t="str">
        <x:v>Yes</x:v>
      </x:c>
      <x:c r="D670" s="119" t="str">
        <x:v>Active v1 (Retrieved XML)</x:v>
      </x:c>
      <x:c r="E670" s="119" t="str"/>
      <x:c r="F670" s="119" t="str">
        <x:v>Opportunity</x:v>
      </x:c>
      <x:c r="G670" s="119" t="str">
        <x:v>Customer_Signed_By__c, Customer_Signed_Date__c, Id, Signature_Type__c</x:v>
      </x:c>
      <x:c r="H670" s="119" t="str"/>
      <x:c r="I670" s="119" t="str"/>
      <x:c r="J670" s="119" t="str">
        <x:v>forceContent:fileUpload</x:v>
      </x:c>
      <x:c r="K670" s="118" t="n">
        <x:v>3</x:v>
      </x:c>
      <x:c r="L670" s="118" t="n">
        <x:v>0</x:v>
      </x:c>
      <x:c r="M670" s="118" t="n">
        <x:v>0</x:v>
      </x:c>
      <x:c r="N670" s="118" t="n">
        <x:v>0</x:v>
      </x:c>
      <x:c r="O670" s="118" t="n">
        <x:v>0</x:v>
      </x:c>
      <x:c r="P670" s="118" t="n">
        <x:v>0</x:v>
      </x:c>
      <x:c r="Q670" s="118" t="n">
        <x:v>0</x:v>
      </x:c>
      <x:c r="R670" s="118" t="n">
        <x:v>0</x:v>
      </x:c>
      <x:c r="S670" s="118" t="n">
        <x:v>0</x:v>
      </x:c>
      <x:c r="T670" s="118" t="n">
        <x:v>0</x:v>
      </x:c>
      <x:c r="U670" s="118" t="n">
        <x:v>0</x:v>
      </x:c>
      <x:c r="V670" s="118" t="n">
        <x:v>0</x:v>
      </x:c>
      <x:c r="W670" s="118" t="n">
        <x:v>0</x:v>
      </x:c>
      <x:c r="X670" s="118" t="n">
        <x:v>1</x:v>
      </x:c>
      <x:c r="Y670" s="118" t="n">
        <x:v>2</x:v>
      </x:c>
      <x:c r="Z670" s="118" t="n">
        <x:v>0</x:v>
      </x:c>
      <x:c r="AA670" s="118" t="n">
        <x:v>0</x:v>
      </x:c>
      <x:c r="AB670" s="118" t="n">
        <x:v>0</x:v>
      </x:c>
      <x:c r="AC670" s="118" t="n">
        <x:v>0</x:v>
      </x:c>
    </x:row>
    <x:row r="671" ht="46" customHeight="1">
      <x:c r="A671" s="117" t="str">
        <x:v>300Ro00000tiIHhIAM</x:v>
      </x:c>
      <x:c r="B671" s="117" t="str">
        <x:v>US_FSL_Ask_to_Re_Generate_FSR</x:v>
      </x:c>
      <x:c r="C671" s="117" t="str">
        <x:v>Yes</x:v>
      </x:c>
      <x:c r="D671" s="119" t="str">
        <x:v>Active v2 (Retrieved XML)</x:v>
      </x:c>
      <x:c r="E671" s="119" t="str">
        <x:v>Ask_to_Re_Generate_FSR__c EqualTo booleanValue=true | Ask_to_Re_Generate_FSR__c IsChanged booleanValue=true</x:v>
      </x:c>
      <x:c r="F671" s="119" t="str">
        <x:v>WorkOrder</x:v>
      </x:c>
      <x:c r="G671" s="119" t="str">
        <x:v>Ask_to_Re_Generate_FSR__c, Status</x:v>
      </x:c>
      <x:c r="H671" s="119" t="str"/>
      <x:c r="I671" s="119" t="str"/>
      <x:c r="J671" s="119" t="str"/>
      <x:c r="K671" s="118" t="n">
        <x:v>2</x:v>
      </x:c>
      <x:c r="L671" s="118" t="n">
        <x:v>0</x:v>
      </x:c>
      <x:c r="M671" s="118" t="n">
        <x:v>0</x:v>
      </x:c>
      <x:c r="N671" s="118" t="n">
        <x:v>1</x:v>
      </x:c>
      <x:c r="O671" s="118" t="n">
        <x:v>0</x:v>
      </x:c>
      <x:c r="P671" s="118" t="n">
        <x:v>0</x:v>
      </x:c>
      <x:c r="Q671" s="118" t="n">
        <x:v>0</x:v>
      </x:c>
      <x:c r="R671" s="118" t="n">
        <x:v>0</x:v>
      </x:c>
      <x:c r="S671" s="118" t="n">
        <x:v>0</x:v>
      </x:c>
      <x:c r="T671" s="118" t="n">
        <x:v>0</x:v>
      </x:c>
      <x:c r="U671" s="118" t="n">
        <x:v>0</x:v>
      </x:c>
      <x:c r="V671" s="118" t="n">
        <x:v>0</x:v>
      </x:c>
      <x:c r="W671" s="118" t="n">
        <x:v>0</x:v>
      </x:c>
      <x:c r="X671" s="118" t="n">
        <x:v>0</x:v>
      </x:c>
      <x:c r="Y671" s="118" t="n">
        <x:v>0</x:v>
      </x:c>
      <x:c r="Z671" s="118" t="n">
        <x:v>0</x:v>
      </x:c>
      <x:c r="AA671" s="118" t="n">
        <x:v>0</x:v>
      </x:c>
      <x:c r="AB671" s="118" t="n">
        <x:v>0</x:v>
      </x:c>
      <x:c r="AC671" s="118" t="n">
        <x:v>0</x:v>
      </x:c>
    </x:row>
    <x:row r="672" ht="46" customHeight="1">
      <x:c r="A672" s="117" t="str">
        <x:v>300Ro00000qgoX9IAI</x:v>
      </x:c>
      <x:c r="B672" s="117" t="str">
        <x:v>US_FSL_Flow_On_OPP_Product_Create_Create_WOLI</x:v>
      </x:c>
      <x:c r="C672" s="117" t="str">
        <x:v>No</x:v>
      </x:c>
      <x:c r="D672" s="119" t="str">
        <x:v>Latest inactive v6 (Retrieved XML)</x:v>
      </x:c>
      <x:c r="E672" s="119" t="str">
        <x:v>Work_Order_Line_Item__c IsNull booleanValue=true | Product_Family__c Contains stringValue=Ship</x:v>
      </x:c>
      <x:c r="F672" s="119" t="str">
        <x:v>OpportunityLineItem</x:v>
      </x:c>
      <x:c r="G672" s="119" t="str">
        <x:v>Id, Opportunity, PricebookEntryId, ProductItem__c, Product_Family__c, Quantity, UnitPrice, Work_Order_Line_Item__c</x:v>
      </x:c>
      <x:c r="H672" s="119" t="str"/>
      <x:c r="I672" s="119" t="str"/>
      <x:c r="J672" s="119" t="str"/>
      <x:c r="K672" s="118" t="n">
        <x:v>6</x:v>
      </x:c>
      <x:c r="L672" s="118" t="n">
        <x:v>0</x:v>
      </x:c>
      <x:c r="M672" s="118" t="n">
        <x:v>0</x:v>
      </x:c>
      <x:c r="N672" s="118" t="n">
        <x:v>1</x:v>
      </x:c>
      <x:c r="O672" s="118" t="n">
        <x:v>0</x:v>
      </x:c>
      <x:c r="P672" s="118" t="n">
        <x:v>0</x:v>
      </x:c>
      <x:c r="Q672" s="118" t="n">
        <x:v>2</x:v>
      </x:c>
      <x:c r="R672" s="118" t="n">
        <x:v>0</x:v>
      </x:c>
      <x:c r="S672" s="118" t="n">
        <x:v>0</x:v>
      </x:c>
      <x:c r="T672" s="118" t="n">
        <x:v>1</x:v>
      </x:c>
      <x:c r="U672" s="118" t="n">
        <x:v>0</x:v>
      </x:c>
      <x:c r="V672" s="118" t="n">
        <x:v>0</x:v>
      </x:c>
      <x:c r="W672" s="118" t="n">
        <x:v>0</x:v>
      </x:c>
      <x:c r="X672" s="118" t="n">
        <x:v>0</x:v>
      </x:c>
      <x:c r="Y672" s="118" t="n">
        <x:v>0</x:v>
      </x:c>
      <x:c r="Z672" s="118" t="n">
        <x:v>0</x:v>
      </x:c>
      <x:c r="AA672" s="118" t="n">
        <x:v>0</x:v>
      </x:c>
      <x:c r="AB672" s="118" t="n">
        <x:v>1</x:v>
      </x:c>
      <x:c r="AC672" s="118" t="n">
        <x:v>0</x:v>
      </x:c>
    </x:row>
    <x:row r="673" ht="46" customHeight="1">
      <x:c r="A673" s="117" t="str">
        <x:v>300Ro00000pbY71IAE</x:v>
      </x:c>
      <x:c r="B673" s="117" t="str">
        <x:v>US_FSL_For_Probe_Parts_Repair_Opp_Upon_FSR_attached_mark_the_work_order_status_a</x:v>
      </x:c>
      <x:c r="C673" s="117" t="str">
        <x:v>Yes</x:v>
      </x:c>
      <x:c r="D673" s="119" t="str">
        <x:v>Active v4 (Retrieved XML)</x:v>
      </x:c>
      <x:c r="E673" s="119" t="str">
        <x:v>FSR_Attached__c IsChanged booleanValue=true | FSR_Attached__c EqualTo booleanValue=true | RecordTypeId EqualTo stringValue=0124O000000tE2yQAE | RecordTypeId EqualTo stringValue=0124O000000tE33QAE | RecordTypeId EqualTo stringValue=0124O000000tE2oQAE | RecordTypeId EqualTo stringValue=0124O000000tE2y | RecordTypeId EqualTo stringValue=0124O000000tE33 | RecordTypeId EqualTo stringValue=0124O000000tE2o | RecordTypeId EqualTo stringValue=0124O000000tE5nQAE | RecordTypeId EqualTo stringValue=0124O000000tE5n</x:v>
      </x:c>
      <x:c r="F673" s="119" t="str">
        <x:v>Opportunity</x:v>
      </x:c>
      <x:c r="G673" s="119" t="str">
        <x:v>FSR_Attached__c, RecordTypeId, Related_Work_Order__c, Related_Work_Order__r, Status</x:v>
      </x:c>
      <x:c r="H673" s="119" t="str"/>
      <x:c r="I673" s="119" t="str"/>
      <x:c r="J673" s="119" t="str"/>
      <x:c r="K673" s="118" t="n">
        <x:v>4</x:v>
      </x:c>
      <x:c r="L673" s="118" t="n">
        <x:v>0</x:v>
      </x:c>
      <x:c r="M673" s="118" t="n">
        <x:v>0</x:v>
      </x:c>
      <x:c r="N673" s="118" t="n">
        <x:v>0</x:v>
      </x:c>
      <x:c r="O673" s="118" t="n">
        <x:v>0</x:v>
      </x:c>
      <x:c r="P673" s="118" t="n">
        <x:v>0</x:v>
      </x:c>
      <x:c r="Q673" s="118" t="n">
        <x:v>2</x:v>
      </x:c>
      <x:c r="R673" s="118" t="n">
        <x:v>0</x:v>
      </x:c>
      <x:c r="S673" s="118" t="n">
        <x:v>0</x:v>
      </x:c>
      <x:c r="T673" s="118" t="n">
        <x:v>0</x:v>
      </x:c>
      <x:c r="U673" s="118" t="n">
        <x:v>0</x:v>
      </x:c>
      <x:c r="V673" s="118" t="n">
        <x:v>0</x:v>
      </x:c>
      <x:c r="W673" s="118" t="n">
        <x:v>0</x:v>
      </x:c>
      <x:c r="X673" s="118" t="n">
        <x:v>1</x:v>
      </x:c>
      <x:c r="Y673" s="118" t="n">
        <x:v>0</x:v>
      </x:c>
      <x:c r="Z673" s="118" t="n">
        <x:v>0</x:v>
      </x:c>
      <x:c r="AA673" s="118" t="n">
        <x:v>0</x:v>
      </x:c>
      <x:c r="AB673" s="118" t="n">
        <x:v>0</x:v>
      </x:c>
      <x:c r="AC673" s="118" t="n">
        <x:v>0</x:v>
      </x:c>
    </x:row>
    <x:row r="674" ht="46" customHeight="1">
      <x:c r="A674" s="117" t="str">
        <x:v>300Ro00000r25wMIAQ</x:v>
      </x:c>
      <x:c r="B674" s="117" t="str">
        <x:v>US_FSL_For_Probe_Parts_Sale_Opp_When_switched_to_pending_approval_change_work_or</x:v>
      </x:c>
      <x:c r="C674" s="117" t="str">
        <x:v>Yes</x:v>
      </x:c>
      <x:c r="D674" s="119" t="str">
        <x:v>Active v3 (Retrieved XML)</x:v>
      </x:c>
      <x:c r="E674" s="119" t="str">
        <x:v>StageName EqualTo stringValue=Pending Approval | StageName IsChanged booleanValue=true | RecordTypeId EqualTo stringValue=0124O000000tE2oQAE</x:v>
      </x:c>
      <x:c r="F674" s="119" t="str">
        <x:v>Opportunity</x:v>
      </x:c>
      <x:c r="G674" s="119" t="str">
        <x:v>RecordTypeId, Related_Work_Order__c, Related_Work_Order__r, StageName, Status</x:v>
      </x:c>
      <x:c r="H674" s="119" t="str"/>
      <x:c r="I674" s="119" t="str"/>
      <x:c r="J674" s="119" t="str"/>
      <x:c r="K674" s="118" t="n">
        <x:v>4</x:v>
      </x:c>
      <x:c r="L674" s="118" t="n">
        <x:v>0</x:v>
      </x:c>
      <x:c r="M674" s="118" t="n">
        <x:v>0</x:v>
      </x:c>
      <x:c r="N674" s="118" t="n">
        <x:v>0</x:v>
      </x:c>
      <x:c r="O674" s="118" t="n">
        <x:v>0</x:v>
      </x:c>
      <x:c r="P674" s="118" t="n">
        <x:v>0</x:v>
      </x:c>
      <x:c r="Q674" s="118" t="n">
        <x:v>2</x:v>
      </x:c>
      <x:c r="R674" s="118" t="n">
        <x:v>0</x:v>
      </x:c>
      <x:c r="S674" s="118" t="n">
        <x:v>0</x:v>
      </x:c>
      <x:c r="T674" s="118" t="n">
        <x:v>0</x:v>
      </x:c>
      <x:c r="U674" s="118" t="n">
        <x:v>0</x:v>
      </x:c>
      <x:c r="V674" s="118" t="n">
        <x:v>0</x:v>
      </x:c>
      <x:c r="W674" s="118" t="n">
        <x:v>0</x:v>
      </x:c>
      <x:c r="X674" s="118" t="n">
        <x:v>1</x:v>
      </x:c>
      <x:c r="Y674" s="118" t="n">
        <x:v>0</x:v>
      </x:c>
      <x:c r="Z674" s="118" t="n">
        <x:v>0</x:v>
      </x:c>
      <x:c r="AA674" s="118" t="n">
        <x:v>0</x:v>
      </x:c>
      <x:c r="AB674" s="118" t="n">
        <x:v>0</x:v>
      </x:c>
      <x:c r="AC674" s="118" t="n">
        <x:v>0</x:v>
      </x:c>
    </x:row>
    <x:row r="675" ht="46" customHeight="1">
      <x:c r="A675" s="117" t="str">
        <x:v>300Ro00000r3NCrIAM</x:v>
      </x:c>
      <x:c r="B675" s="117" t="str">
        <x:v>US_FSL_For_Probe_Repair_Opp_On_Setting_of_Repair_Approved_change_Work_Order_to_R</x:v>
      </x:c>
      <x:c r="C675" s="117" t="str">
        <x:v>Yes</x:v>
      </x:c>
      <x:c r="D675" s="119" t="str">
        <x:v>Active v3 (Retrieved XML)</x:v>
      </x:c>
      <x:c r="E675" s="119" t="str">
        <x:v>StageName EqualTo stringValue=Repair Approved | StageName IsChanged booleanValue=true | RecordTypeId EqualTo stringValue=0124O000000tE2oQAE | RecordTypeId EqualTo stringValue=0124O000000tE2o</x:v>
      </x:c>
      <x:c r="F675" s="119" t="str">
        <x:v>Opportunity</x:v>
      </x:c>
      <x:c r="G675" s="119" t="str">
        <x:v>RecordTypeId, Related_Work_Order__c, Related_Work_Order__r, StageName</x:v>
      </x:c>
      <x:c r="H675" s="119" t="str"/>
      <x:c r="I675" s="119" t="str">
        <x:v>FSL_US_Update_Work_Order_to_Repair_In_Progress</x:v>
      </x:c>
      <x:c r="J675" s="119" t="str"/>
      <x:c r="K675" s="118" t="n">
        <x:v>4</x:v>
      </x:c>
      <x:c r="L675" s="118" t="n">
        <x:v>0</x:v>
      </x:c>
      <x:c r="M675" s="118" t="n">
        <x:v>0</x:v>
      </x:c>
      <x:c r="N675" s="118" t="n">
        <x:v>0</x:v>
      </x:c>
      <x:c r="O675" s="118" t="n">
        <x:v>0</x:v>
      </x:c>
      <x:c r="P675" s="118" t="n">
        <x:v>0</x:v>
      </x:c>
      <x:c r="Q675" s="118" t="n">
        <x:v>2</x:v>
      </x:c>
      <x:c r="R675" s="118" t="n">
        <x:v>0</x:v>
      </x:c>
      <x:c r="S675" s="118" t="n">
        <x:v>0</x:v>
      </x:c>
      <x:c r="T675" s="118" t="n">
        <x:v>0</x:v>
      </x:c>
      <x:c r="U675" s="118" t="n">
        <x:v>0</x:v>
      </x:c>
      <x:c r="V675" s="118" t="n">
        <x:v>0</x:v>
      </x:c>
      <x:c r="W675" s="118" t="n">
        <x:v>0</x:v>
      </x:c>
      <x:c r="X675" s="118" t="n">
        <x:v>0</x:v>
      </x:c>
      <x:c r="Y675" s="118" t="n">
        <x:v>0</x:v>
      </x:c>
      <x:c r="Z675" s="118" t="n">
        <x:v>0</x:v>
      </x:c>
      <x:c r="AA675" s="118" t="n">
        <x:v>1</x:v>
      </x:c>
      <x:c r="AB675" s="118" t="n">
        <x:v>0</x:v>
      </x:c>
      <x:c r="AC675" s="118" t="n">
        <x:v>0</x:v>
      </x:c>
    </x:row>
    <x:row r="676" ht="46" customHeight="1">
      <x:c r="A676" s="117" t="str">
        <x:v>300Ro00000oyq0aIAA</x:v>
      </x:c>
      <x:c r="B676" s="117" t="str">
        <x:v>US_FSL_For_Probe_Sale_Opp_Upon_Close_Won_Update_Work_Order_Status_to_Ready_to_Sh</x:v>
      </x:c>
      <x:c r="C676" s="117" t="str">
        <x:v>Yes</x:v>
      </x:c>
      <x:c r="D676" s="119" t="str">
        <x:v>Active v9 (Retrieved XML)</x:v>
      </x:c>
      <x:c r="E676" s="119" t="str">
        <x:v>StageName EqualTo stringValue=Closed Won | StageName IsChanged booleanValue=true | RecordTypeId EqualTo stringValue=0124O000000tE2yQAE | RecordTypeId EqualTo stringValue=0124O000000tE33QAE | RecordTypeId EqualTo stringValue=0124O000000tE2y | RecordTypeId EqualTo stringValue=0124O000000tE33 | RecordTypeId EqualTo stringValue=0124O000000tE2oQAE | RecordTypeId EqualTo stringValue=0124O000000tE2o</x:v>
      </x:c>
      <x:c r="F676" s="119" t="str">
        <x:v>Opportunity</x:v>
      </x:c>
      <x:c r="G676" s="119" t="str">
        <x:v>RecordTypeId, Related_Work_Order__c, Related_Work_Order__r, StageName, Status</x:v>
      </x:c>
      <x:c r="H676" s="119" t="str"/>
      <x:c r="I676" s="119" t="str"/>
      <x:c r="J676" s="119" t="str"/>
      <x:c r="K676" s="118" t="n">
        <x:v>4</x:v>
      </x:c>
      <x:c r="L676" s="118" t="n">
        <x:v>0</x:v>
      </x:c>
      <x:c r="M676" s="118" t="n">
        <x:v>0</x:v>
      </x:c>
      <x:c r="N676" s="118" t="n">
        <x:v>0</x:v>
      </x:c>
      <x:c r="O676" s="118" t="n">
        <x:v>0</x:v>
      </x:c>
      <x:c r="P676" s="118" t="n">
        <x:v>0</x:v>
      </x:c>
      <x:c r="Q676" s="118" t="n">
        <x:v>2</x:v>
      </x:c>
      <x:c r="R676" s="118" t="n">
        <x:v>0</x:v>
      </x:c>
      <x:c r="S676" s="118" t="n">
        <x:v>0</x:v>
      </x:c>
      <x:c r="T676" s="118" t="n">
        <x:v>0</x:v>
      </x:c>
      <x:c r="U676" s="118" t="n">
        <x:v>0</x:v>
      </x:c>
      <x:c r="V676" s="118" t="n">
        <x:v>0</x:v>
      </x:c>
      <x:c r="W676" s="118" t="n">
        <x:v>0</x:v>
      </x:c>
      <x:c r="X676" s="118" t="n">
        <x:v>1</x:v>
      </x:c>
      <x:c r="Y676" s="118" t="n">
        <x:v>0</x:v>
      </x:c>
      <x:c r="Z676" s="118" t="n">
        <x:v>0</x:v>
      </x:c>
      <x:c r="AA676" s="118" t="n">
        <x:v>0</x:v>
      </x:c>
      <x:c r="AB676" s="118" t="n">
        <x:v>0</x:v>
      </x:c>
      <x:c r="AC676" s="118" t="n">
        <x:v>0</x:v>
      </x:c>
    </x:row>
    <x:row r="677" ht="46" customHeight="1">
      <x:c r="A677" s="117" t="str">
        <x:v>300Ro00000oyrnsIAA</x:v>
      </x:c>
      <x:c r="B677" s="117" t="str">
        <x:v>US_FSL_For_Probe_Sale_Opp_Upon_Tracking_Entered_Update_Work_Order_Status_to_Ship</x:v>
      </x:c>
      <x:c r="C677" s="117" t="str">
        <x:v>Yes</x:v>
      </x:c>
      <x:c r="D677" s="119" t="str">
        <x:v>Active v10 (Retrieved XML)</x:v>
      </x:c>
      <x:c r="E677" s="119" t="str">
        <x:v>Tracking__c IsNull booleanValue=false | Tracking__c IsChanged booleanValue=true | RecordTypeId EqualTo stringValue=0124O000000tE2yQAE | RecordTypeId EqualTo stringValue=0124O000000tE33QAE | RecordTypeId EqualTo stringValue=0124O000000tE2oQAE | RecordTypeId EqualTo stringValue=0124O000000tE2y | RecordTypeId EqualTo stringValue=0124O000000tE33 | RecordTypeId EqualTo stringValue=0124O000000tE2o</x:v>
      </x:c>
      <x:c r="F677" s="119" t="str">
        <x:v>Opportunity, WorkOrderLineItem</x:v>
      </x:c>
      <x:c r="G677" s="119" t="str">
        <x:v>Line_Type__c, Part_Name_D__c, RecordTypeId, Related_Work_Order__c, Related_Work_Order__r, StageName, Status, Tracking__c, WorkOrderId</x:v>
      </x:c>
      <x:c r="H677" s="119" t="str"/>
      <x:c r="I677" s="119" t="str"/>
      <x:c r="J677" s="119" t="str"/>
      <x:c r="K677" s="118" t="n">
        <x:v>9</x:v>
      </x:c>
      <x:c r="L677" s="118" t="n">
        <x:v>0</x:v>
      </x:c>
      <x:c r="M677" s="118" t="n">
        <x:v>0</x:v>
      </x:c>
      <x:c r="N677" s="118" t="n">
        <x:v>0</x:v>
      </x:c>
      <x:c r="O677" s="118" t="n">
        <x:v>0</x:v>
      </x:c>
      <x:c r="P677" s="118" t="n">
        <x:v>0</x:v>
      </x:c>
      <x:c r="Q677" s="118" t="n">
        <x:v>3</x:v>
      </x:c>
      <x:c r="R677" s="118" t="n">
        <x:v>0</x:v>
      </x:c>
      <x:c r="S677" s="118" t="n">
        <x:v>0</x:v>
      </x:c>
      <x:c r="T677" s="118" t="n">
        <x:v>0</x:v>
      </x:c>
      <x:c r="U677" s="118" t="n">
        <x:v>0</x:v>
      </x:c>
      <x:c r="V677" s="118" t="n">
        <x:v>1</x:v>
      </x:c>
      <x:c r="W677" s="118" t="n">
        <x:v>0</x:v>
      </x:c>
      <x:c r="X677" s="118" t="n">
        <x:v>3</x:v>
      </x:c>
      <x:c r="Y677" s="118" t="n">
        <x:v>0</x:v>
      </x:c>
      <x:c r="Z677" s="118" t="n">
        <x:v>0</x:v>
      </x:c>
      <x:c r="AA677" s="118" t="n">
        <x:v>0</x:v>
      </x:c>
      <x:c r="AB677" s="118" t="n">
        <x:v>1</x:v>
      </x:c>
      <x:c r="AC677" s="118" t="n">
        <x:v>0</x:v>
      </x:c>
    </x:row>
    <x:row r="678" ht="46" customHeight="1">
      <x:c r="A678" s="117" t="str">
        <x:v>300Ro00000s3lPuIAI</x:v>
      </x:c>
      <x:c r="B678" s="117" t="str">
        <x:v>US_FSL_On_Addition_of_Related_Work_Order_Transfer_Ownership</x:v>
      </x:c>
      <x:c r="C678" s="117" t="str">
        <x:v>Yes</x:v>
      </x:c>
      <x:c r="D678" s="119" t="str">
        <x:v>Active v2 (Retrieved XML)</x:v>
      </x:c>
      <x:c r="E678" s="119" t="str">
        <x:v>Related_Work_Order__c IsChanged booleanValue=true | Related_Work_Order__c IsNull booleanValue=false</x:v>
      </x:c>
      <x:c r="F678" s="119" t="str">
        <x:v>Opportunity, RMA__c</x:v>
      </x:c>
      <x:c r="G678" s="119" t="str">
        <x:v>Id, Opportunity__c, Related_Work_Order__c, Related_Work_Order__r, StageName, Status, Tracking__c</x:v>
      </x:c>
      <x:c r="H678" s="119" t="str"/>
      <x:c r="I678" s="119" t="str"/>
      <x:c r="J678" s="119" t="str"/>
      <x:c r="K678" s="118" t="n">
        <x:v>8</x:v>
      </x:c>
      <x:c r="L678" s="118" t="n">
        <x:v>0</x:v>
      </x:c>
      <x:c r="M678" s="118" t="n">
        <x:v>0</x:v>
      </x:c>
      <x:c r="N678" s="118" t="n">
        <x:v>0</x:v>
      </x:c>
      <x:c r="O678" s="118" t="n">
        <x:v>0</x:v>
      </x:c>
      <x:c r="P678" s="118" t="n">
        <x:v>0</x:v>
      </x:c>
      <x:c r="Q678" s="118" t="n">
        <x:v>2</x:v>
      </x:c>
      <x:c r="R678" s="118" t="n">
        <x:v>0</x:v>
      </x:c>
      <x:c r="S678" s="118" t="n">
        <x:v>0</x:v>
      </x:c>
      <x:c r="T678" s="118" t="n">
        <x:v>0</x:v>
      </x:c>
      <x:c r="U678" s="118" t="n">
        <x:v>0</x:v>
      </x:c>
      <x:c r="V678" s="118" t="n">
        <x:v>1</x:v>
      </x:c>
      <x:c r="W678" s="118" t="n">
        <x:v>0</x:v>
      </x:c>
      <x:c r="X678" s="118" t="n">
        <x:v>3</x:v>
      </x:c>
      <x:c r="Y678" s="118" t="n">
        <x:v>0</x:v>
      </x:c>
      <x:c r="Z678" s="118" t="n">
        <x:v>0</x:v>
      </x:c>
      <x:c r="AA678" s="118" t="n">
        <x:v>0</x:v>
      </x:c>
      <x:c r="AB678" s="118" t="n">
        <x:v>1</x:v>
      </x:c>
      <x:c r="AC678" s="118" t="n">
        <x:v>0</x:v>
      </x:c>
    </x:row>
    <x:row r="679" ht="46" customHeight="1">
      <x:c r="A679" s="117" t="str">
        <x:v>300Ro00000zMlV0IAK</x:v>
      </x:c>
      <x:c r="B679" s="117" t="str">
        <x:v>US_FSL_On_Close_Lost_Repair_Opp_Set_WOLIs_to_Repair_Canceled</x:v>
      </x:c>
      <x:c r="C679" s="117" t="str">
        <x:v>Yes</x:v>
      </x:c>
      <x:c r="D679" s="119" t="str">
        <x:v>Active v1 (Retrieved XML)</x:v>
      </x:c>
      <x:c r="E679" s="119" t="str">
        <x:v>StageName EqualTo stringValue=Closed Lost | StageName IsChanged booleanValue=true | RecordTypeId EqualTo stringValue=0124O000000tE2oQAE | RecordTypeId EqualTo stringValue=0124O000000tE2o</x:v>
      </x:c>
      <x:c r="F679" s="119" t="str">
        <x:v>Opportunity, WorkOrderLineItem</x:v>
      </x:c>
      <x:c r="G679" s="119" t="str">
        <x:v>Line_Intent__c, RecordTypeId, Related_Work_Order__c, Related_Work_Order__r, StageName, WorkOrderId</x:v>
      </x:c>
      <x:c r="H679" s="119" t="str"/>
      <x:c r="I679" s="119" t="str"/>
      <x:c r="J679" s="119" t="str"/>
      <x:c r="K679" s="118" t="n">
        <x:v>4</x:v>
      </x:c>
      <x:c r="L679" s="118" t="n">
        <x:v>0</x:v>
      </x:c>
      <x:c r="M679" s="118" t="n">
        <x:v>0</x:v>
      </x:c>
      <x:c r="N679" s="118" t="n">
        <x:v>0</x:v>
      </x:c>
      <x:c r="O679" s="118" t="n">
        <x:v>0</x:v>
      </x:c>
      <x:c r="P679" s="118" t="n">
        <x:v>0</x:v>
      </x:c>
      <x:c r="Q679" s="118" t="n">
        <x:v>2</x:v>
      </x:c>
      <x:c r="R679" s="118" t="n">
        <x:v>0</x:v>
      </x:c>
      <x:c r="S679" s="118" t="n">
        <x:v>0</x:v>
      </x:c>
      <x:c r="T679" s="118" t="n">
        <x:v>0</x:v>
      </x:c>
      <x:c r="U679" s="118" t="n">
        <x:v>0</x:v>
      </x:c>
      <x:c r="V679" s="118" t="n">
        <x:v>0</x:v>
      </x:c>
      <x:c r="W679" s="118" t="n">
        <x:v>0</x:v>
      </x:c>
      <x:c r="X679" s="118" t="n">
        <x:v>1</x:v>
      </x:c>
      <x:c r="Y679" s="118" t="n">
        <x:v>0</x:v>
      </x:c>
      <x:c r="Z679" s="118" t="n">
        <x:v>0</x:v>
      </x:c>
      <x:c r="AA679" s="118" t="n">
        <x:v>0</x:v>
      </x:c>
      <x:c r="AB679" s="118" t="n">
        <x:v>0</x:v>
      </x:c>
      <x:c r="AC679" s="118" t="n">
        <x:v>0</x:v>
      </x:c>
    </x:row>
    <x:row r="680" ht="46" customHeight="1">
      <x:c r="A680" s="117" t="str">
        <x:v>300Ro00000td6tuIAA</x:v>
      </x:c>
      <x:c r="B680" s="117" t="str">
        <x:v>US_FSL_On_Creation_of_Loaner_add_Loaner_to_Work_Order</x:v>
      </x:c>
      <x:c r="C680" s="117" t="str">
        <x:v>Yes</x:v>
      </x:c>
      <x:c r="D680" s="119" t="str">
        <x:v>Active v1 (Retrieved XML)</x:v>
      </x:c>
      <x:c r="E680" s="119" t="str">
        <x:v>Repair_Opportunity__c IsNull booleanValue=false</x:v>
      </x:c>
      <x:c r="F680" s="119" t="str">
        <x:v>Loaner__c</x:v>
      </x:c>
      <x:c r="G680" s="119" t="str">
        <x:v>Repair_Opportunity__c, Repair_Opportunity__r, Work_Order__c</x:v>
      </x:c>
      <x:c r="H680" s="119" t="str"/>
      <x:c r="I680" s="119" t="str"/>
      <x:c r="J680" s="119" t="str"/>
      <x:c r="K680" s="118" t="n">
        <x:v>3</x:v>
      </x:c>
      <x:c r="L680" s="118" t="n">
        <x:v>0</x:v>
      </x:c>
      <x:c r="M680" s="118" t="n">
        <x:v>0</x:v>
      </x:c>
      <x:c r="N680" s="118" t="n">
        <x:v>0</x:v>
      </x:c>
      <x:c r="O680" s="118" t="n">
        <x:v>0</x:v>
      </x:c>
      <x:c r="P680" s="118" t="n">
        <x:v>0</x:v>
      </x:c>
      <x:c r="Q680" s="118" t="n">
        <x:v>1</x:v>
      </x:c>
      <x:c r="R680" s="118" t="n">
        <x:v>0</x:v>
      </x:c>
      <x:c r="S680" s="118" t="n">
        <x:v>0</x:v>
      </x:c>
      <x:c r="T680" s="118" t="n">
        <x:v>0</x:v>
      </x:c>
      <x:c r="U680" s="118" t="n">
        <x:v>0</x:v>
      </x:c>
      <x:c r="V680" s="118" t="n">
        <x:v>0</x:v>
      </x:c>
      <x:c r="W680" s="118" t="n">
        <x:v>0</x:v>
      </x:c>
      <x:c r="X680" s="118" t="n">
        <x:v>1</x:v>
      </x:c>
      <x:c r="Y680" s="118" t="n">
        <x:v>0</x:v>
      </x:c>
      <x:c r="Z680" s="118" t="n">
        <x:v>0</x:v>
      </x:c>
      <x:c r="AA680" s="118" t="n">
        <x:v>0</x:v>
      </x:c>
      <x:c r="AB680" s="118" t="n">
        <x:v>0</x:v>
      </x:c>
      <x:c r="AC680" s="118" t="n">
        <x:v>0</x:v>
      </x:c>
    </x:row>
    <x:row r="681" ht="46" customHeight="1">
      <x:c r="A681" s="117" t="str">
        <x:v>300Ro00000wO7esIAC</x:v>
      </x:c>
      <x:c r="B681" s="117" t="str">
        <x:v>US_FSL_On_Creation_of_Service_Appointment_set_Shipping_Address</x:v>
      </x:c>
      <x:c r="C681" s="117" t="str">
        <x:v>Yes</x:v>
      </x:c>
      <x:c r="D681" s="119" t="str">
        <x:v>Active v8 (Retrieved XML)</x:v>
      </x:c>
      <x:c r="E681" s="119" t="str"/>
      <x:c r="F681" s="119" t="str">
        <x:v>ServiceAppointment, StateTranslation__mdt, WorkOrder</x:v>
      </x:c>
      <x:c r="G681" s="119" t="str">
        <x:v>Attn__c, Id, ParentRecordId, Service_Site_Name__c, Ship_to_Address__c, Shipping_Address__City__s, Shipping_Address__CountryCode__s, Shipping_Address__PostalCode__s, Shipping_Address__StateCode__s, Shipping_Address__Street__s, Shipping_Location__c, Shipping_Site_Name__c, State_Name__c, Work_Order__r</x:v>
      </x:c>
      <x:c r="H681" s="119" t="str"/>
      <x:c r="I681" s="119" t="str"/>
      <x:c r="J681" s="119" t="str"/>
      <x:c r="K681" s="118" t="n">
        <x:v>8</x:v>
      </x:c>
      <x:c r="L681" s="118" t="n">
        <x:v>0</x:v>
      </x:c>
      <x:c r="M681" s="118" t="n">
        <x:v>0</x:v>
      </x:c>
      <x:c r="N681" s="118" t="n">
        <x:v>2</x:v>
      </x:c>
      <x:c r="O681" s="118" t="n">
        <x:v>0</x:v>
      </x:c>
      <x:c r="P681" s="118" t="n">
        <x:v>0</x:v>
      </x:c>
      <x:c r="Q681" s="118" t="n">
        <x:v>2</x:v>
      </x:c>
      <x:c r="R681" s="118" t="n">
        <x:v>0</x:v>
      </x:c>
      <x:c r="S681" s="118" t="n">
        <x:v>0</x:v>
      </x:c>
      <x:c r="T681" s="118" t="n">
        <x:v>0</x:v>
      </x:c>
      <x:c r="U681" s="118" t="n">
        <x:v>0</x:v>
      </x:c>
      <x:c r="V681" s="118" t="n">
        <x:v>2</x:v>
      </x:c>
      <x:c r="W681" s="118" t="n">
        <x:v>0</x:v>
      </x:c>
      <x:c r="X681" s="118" t="n">
        <x:v>1</x:v>
      </x:c>
      <x:c r="Y681" s="118" t="n">
        <x:v>0</x:v>
      </x:c>
      <x:c r="Z681" s="118" t="n">
        <x:v>0</x:v>
      </x:c>
      <x:c r="AA681" s="118" t="n">
        <x:v>0</x:v>
      </x:c>
      <x:c r="AB681" s="118" t="n">
        <x:v>0</x:v>
      </x:c>
      <x:c r="AC681" s="118" t="n">
        <x:v>0</x:v>
      </x:c>
    </x:row>
    <x:row r="682" ht="46" customHeight="1">
      <x:c r="A682" s="117" t="str">
        <x:v>300Ro00000ygilRIAQ</x:v>
      </x:c>
      <x:c r="B682" s="117" t="str">
        <x:v>US_FSL_On_Picked_Up_by_Operations_Notify_Engineer</x:v>
      </x:c>
      <x:c r="C682" s="117" t="str">
        <x:v>Yes</x:v>
      </x:c>
      <x:c r="D682" s="119" t="str">
        <x:v>Active v1 (Retrieved XML)</x:v>
      </x:c>
      <x:c r="E682" s="119" t="str">
        <x:v>Picked_Up_by_Operations__c EqualTo booleanValue=true | Picked_Up_by_Operations__c IsChanged booleanValue=true</x:v>
      </x:c>
      <x:c r="F682" s="119" t="str">
        <x:v>WorkOrder</x:v>
      </x:c>
      <x:c r="G682" s="119" t="str">
        <x:v>Id, OwnerId, Picked_Up_by_Operations__c, WorkOrderNumber</x:v>
      </x:c>
      <x:c r="H682" s="119" t="str">
        <x:v>customNotificationAction</x:v>
      </x:c>
      <x:c r="I682" s="119" t="str"/>
      <x:c r="J682" s="119" t="str"/>
      <x:c r="K682" s="118" t="n">
        <x:v>3</x:v>
      </x:c>
      <x:c r="L682" s="118" t="n">
        <x:v>1</x:v>
      </x:c>
      <x:c r="M682" s="118" t="n">
        <x:v>0</x:v>
      </x:c>
      <x:c r="N682" s="118" t="n">
        <x:v>1</x:v>
      </x:c>
      <x:c r="O682" s="118" t="n">
        <x:v>0</x:v>
      </x:c>
      <x:c r="P682" s="118" t="n">
        <x:v>0</x:v>
      </x:c>
      <x:c r="Q682" s="118" t="n">
        <x:v>0</x:v>
      </x:c>
      <x:c r="R682" s="118" t="n">
        <x:v>0</x:v>
      </x:c>
      <x:c r="S682" s="118" t="n">
        <x:v>0</x:v>
      </x:c>
      <x:c r="T682" s="118" t="n">
        <x:v>0</x:v>
      </x:c>
      <x:c r="U682" s="118" t="n">
        <x:v>0</x:v>
      </x:c>
      <x:c r="V682" s="118" t="n">
        <x:v>0</x:v>
      </x:c>
      <x:c r="W682" s="118" t="n">
        <x:v>0</x:v>
      </x:c>
      <x:c r="X682" s="118" t="n">
        <x:v>0</x:v>
      </x:c>
      <x:c r="Y682" s="118" t="n">
        <x:v>0</x:v>
      </x:c>
      <x:c r="Z682" s="118" t="n">
        <x:v>0</x:v>
      </x:c>
      <x:c r="AA682" s="118" t="n">
        <x:v>0</x:v>
      </x:c>
      <x:c r="AB682" s="118" t="n">
        <x:v>0</x:v>
      </x:c>
      <x:c r="AC682" s="118" t="n">
        <x:v>0</x:v>
      </x:c>
    </x:row>
    <x:row r="683" ht="46" customHeight="1">
      <x:c r="A683" s="117" t="str">
        <x:v>300Ro00000tWpisIAC</x:v>
      </x:c>
      <x:c r="B683" s="117" t="str">
        <x:v>US_FSL_On_Ready_to_Ship_for_Opp_Update_WO_to_Confirm_Shipping</x:v>
      </x:c>
      <x:c r="C683" s="117" t="str">
        <x:v>Yes</x:v>
      </x:c>
      <x:c r="D683" s="119" t="str">
        <x:v>Active v1 (Retrieved XML)</x:v>
      </x:c>
      <x:c r="E683" s="119" t="str">
        <x:v>StageName EqualTo stringValue=Ready to Ship | StageName IsChanged booleanValue=true | RecordTypeId EqualTo stringValue=0124O000000tE2oQAE | RecordTypeId EqualTo stringValue=0124O000000tE2o</x:v>
      </x:c>
      <x:c r="F683" s="119" t="str">
        <x:v>Opportunity</x:v>
      </x:c>
      <x:c r="G683" s="119" t="str">
        <x:v>RecordTypeId, Related_Work_Order__c, Related_Work_Order__r, StageName, Status</x:v>
      </x:c>
      <x:c r="H683" s="119" t="str"/>
      <x:c r="I683" s="119" t="str"/>
      <x:c r="J683" s="119" t="str"/>
      <x:c r="K683" s="118" t="n">
        <x:v>4</x:v>
      </x:c>
      <x:c r="L683" s="118" t="n">
        <x:v>0</x:v>
      </x:c>
      <x:c r="M683" s="118" t="n">
        <x:v>0</x:v>
      </x:c>
      <x:c r="N683" s="118" t="n">
        <x:v>0</x:v>
      </x:c>
      <x:c r="O683" s="118" t="n">
        <x:v>0</x:v>
      </x:c>
      <x:c r="P683" s="118" t="n">
        <x:v>0</x:v>
      </x:c>
      <x:c r="Q683" s="118" t="n">
        <x:v>2</x:v>
      </x:c>
      <x:c r="R683" s="118" t="n">
        <x:v>0</x:v>
      </x:c>
      <x:c r="S683" s="118" t="n">
        <x:v>0</x:v>
      </x:c>
      <x:c r="T683" s="118" t="n">
        <x:v>0</x:v>
      </x:c>
      <x:c r="U683" s="118" t="n">
        <x:v>0</x:v>
      </x:c>
      <x:c r="V683" s="118" t="n">
        <x:v>0</x:v>
      </x:c>
      <x:c r="W683" s="118" t="n">
        <x:v>0</x:v>
      </x:c>
      <x:c r="X683" s="118" t="n">
        <x:v>1</x:v>
      </x:c>
      <x:c r="Y683" s="118" t="n">
        <x:v>0</x:v>
      </x:c>
      <x:c r="Z683" s="118" t="n">
        <x:v>0</x:v>
      </x:c>
      <x:c r="AA683" s="118" t="n">
        <x:v>0</x:v>
      </x:c>
      <x:c r="AB683" s="118" t="n">
        <x:v>0</x:v>
      </x:c>
      <x:c r="AC683" s="118" t="n">
        <x:v>0</x:v>
      </x:c>
    </x:row>
    <x:row r="684" ht="46" customHeight="1">
      <x:c r="A684" s="117" t="str">
        <x:v>300Ro00000wwDUvIAM</x:v>
      </x:c>
      <x:c r="B684" s="117" t="str">
        <x:v>US_FSL_On_Repair_Declined_for_Opp_Update_WO_to_Pending_Shipment</x:v>
      </x:c>
      <x:c r="C684" s="117" t="str">
        <x:v>Yes</x:v>
      </x:c>
      <x:c r="D684" s="119" t="str">
        <x:v>Active v1 (Retrieved XML)</x:v>
      </x:c>
      <x:c r="E684" s="119" t="str">
        <x:v>StageName EqualTo stringValue=Repair Declined | StageName IsChanged booleanValue=true | RecordTypeId EqualTo stringValue=0124O000000tE2oQAE | RecordTypeId EqualTo stringValue=0124O000000tE2o</x:v>
      </x:c>
      <x:c r="F684" s="119" t="str">
        <x:v>Opportunity</x:v>
      </x:c>
      <x:c r="G684" s="119" t="str">
        <x:v>RecordTypeId, Related_Work_Order__c, Related_Work_Order__r, StageName, Status</x:v>
      </x:c>
      <x:c r="H684" s="119" t="str"/>
      <x:c r="I684" s="119" t="str"/>
      <x:c r="J684" s="119" t="str"/>
      <x:c r="K684" s="118" t="n">
        <x:v>4</x:v>
      </x:c>
      <x:c r="L684" s="118" t="n">
        <x:v>0</x:v>
      </x:c>
      <x:c r="M684" s="118" t="n">
        <x:v>0</x:v>
      </x:c>
      <x:c r="N684" s="118" t="n">
        <x:v>0</x:v>
      </x:c>
      <x:c r="O684" s="118" t="n">
        <x:v>0</x:v>
      </x:c>
      <x:c r="P684" s="118" t="n">
        <x:v>0</x:v>
      </x:c>
      <x:c r="Q684" s="118" t="n">
        <x:v>2</x:v>
      </x:c>
      <x:c r="R684" s="118" t="n">
        <x:v>0</x:v>
      </x:c>
      <x:c r="S684" s="118" t="n">
        <x:v>0</x:v>
      </x:c>
      <x:c r="T684" s="118" t="n">
        <x:v>0</x:v>
      </x:c>
      <x:c r="U684" s="118" t="n">
        <x:v>0</x:v>
      </x:c>
      <x:c r="V684" s="118" t="n">
        <x:v>0</x:v>
      </x:c>
      <x:c r="W684" s="118" t="n">
        <x:v>0</x:v>
      </x:c>
      <x:c r="X684" s="118" t="n">
        <x:v>1</x:v>
      </x:c>
      <x:c r="Y684" s="118" t="n">
        <x:v>0</x:v>
      </x:c>
      <x:c r="Z684" s="118" t="n">
        <x:v>0</x:v>
      </x:c>
      <x:c r="AA684" s="118" t="n">
        <x:v>0</x:v>
      </x:c>
      <x:c r="AB684" s="118" t="n">
        <x:v>0</x:v>
      </x:c>
      <x:c r="AC684" s="118" t="n">
        <x:v>0</x:v>
      </x:c>
    </x:row>
    <x:row r="685" ht="46" customHeight="1">
      <x:c r="A685" s="117" t="str">
        <x:v>300Ro00000wtiDZIAY</x:v>
      </x:c>
      <x:c r="B685" s="117" t="str">
        <x:v>US_FSL_On_submitting_of_shipping_update_the_work_order_to_pending_shipment</x:v>
      </x:c>
      <x:c r="C685" s="117" t="str">
        <x:v>Yes</x:v>
      </x:c>
      <x:c r="D685" s="119" t="str">
        <x:v>Active v3 (Retrieved XML)</x:v>
      </x:c>
      <x:c r="E685" s="119" t="str">
        <x:v>Submit_to_Shipping__c IsChanged booleanValue=true | Submit_to_Shipping__c EqualTo booleanValue=true</x:v>
      </x:c>
      <x:c r="F685" s="119" t="str">
        <x:v>ProductItem__c, ServiceAppointment, WorkOrder, WorkOrderLineItem</x:v>
      </x:c>
      <x:c r="G685" s="119" t="str">
        <x:v>Check_In_Type__c, Id, Reserved__c, Serial_No__c, Service_Appointment__c, Submit_to_Shipping__c, Work_Order__c, Work_Order__r, sold__c</x:v>
      </x:c>
      <x:c r="H685" s="119" t="str"/>
      <x:c r="I685" s="119" t="str"/>
      <x:c r="J685" s="119" t="str"/>
      <x:c r="K685" s="118" t="n">
        <x:v>10</x:v>
      </x:c>
      <x:c r="L685" s="118" t="n">
        <x:v>0</x:v>
      </x:c>
      <x:c r="M685" s="118" t="n">
        <x:v>0</x:v>
      </x:c>
      <x:c r="N685" s="118" t="n">
        <x:v>1</x:v>
      </x:c>
      <x:c r="O685" s="118" t="n">
        <x:v>0</x:v>
      </x:c>
      <x:c r="P685" s="118" t="n">
        <x:v>0</x:v>
      </x:c>
      <x:c r="Q685" s="118" t="n">
        <x:v>2</x:v>
      </x:c>
      <x:c r="R685" s="118" t="n">
        <x:v>0</x:v>
      </x:c>
      <x:c r="S685" s="118" t="n">
        <x:v>0</x:v>
      </x:c>
      <x:c r="T685" s="118" t="n">
        <x:v>0</x:v>
      </x:c>
      <x:c r="U685" s="118" t="n">
        <x:v>0</x:v>
      </x:c>
      <x:c r="V685" s="118" t="n">
        <x:v>2</x:v>
      </x:c>
      <x:c r="W685" s="118" t="n">
        <x:v>0</x:v>
      </x:c>
      <x:c r="X685" s="118" t="n">
        <x:v>2</x:v>
      </x:c>
      <x:c r="Y685" s="118" t="n">
        <x:v>0</x:v>
      </x:c>
      <x:c r="Z685" s="118" t="n">
        <x:v>0</x:v>
      </x:c>
      <x:c r="AA685" s="118" t="n">
        <x:v>0</x:v>
      </x:c>
      <x:c r="AB685" s="118" t="n">
        <x:v>2</x:v>
      </x:c>
      <x:c r="AC685" s="118" t="n">
        <x:v>0</x:v>
      </x:c>
    </x:row>
    <x:row r="686" ht="46" customHeight="1">
      <x:c r="A686" s="117" t="str">
        <x:v>300Ro00000wthFqIAI</x:v>
      </x:c>
      <x:c r="B686" s="117" t="str">
        <x:v>US_FSL_On_Tracking_Entered_for_Service_Appointment_update_the_work_order_to_Part</x:v>
      </x:c>
      <x:c r="C686" s="117" t="str">
        <x:v>Yes</x:v>
      </x:c>
      <x:c r="D686" s="119" t="str">
        <x:v>Active v3 (Retrieved XML)</x:v>
      </x:c>
      <x:c r="E686" s="119" t="str">
        <x:v>Tracking_Number__c IsChanged booleanValue=true | Tracking_Number__c IsNull booleanValue=false</x:v>
      </x:c>
      <x:c r="F686" s="119" t="str">
        <x:v>ServiceAppointment, WorkOrder</x:v>
      </x:c>
      <x:c r="G686" s="119" t="str">
        <x:v>Id, Ops_Team_Email__c, Tracking_Number__c, Work_Order__c, Work_Order__r</x:v>
      </x:c>
      <x:c r="H686" s="119" t="str">
        <x:v>ServiceAppointment.Send_Shipping_Email_Alert</x:v>
      </x:c>
      <x:c r="I686" s="119" t="str"/>
      <x:c r="J686" s="119" t="str"/>
      <x:c r="K686" s="118" t="n">
        <x:v>6</x:v>
      </x:c>
      <x:c r="L686" s="118" t="n">
        <x:v>1</x:v>
      </x:c>
      <x:c r="M686" s="118" t="n">
        <x:v>0</x:v>
      </x:c>
      <x:c r="N686" s="118" t="n">
        <x:v>1</x:v>
      </x:c>
      <x:c r="O686" s="118" t="n">
        <x:v>0</x:v>
      </x:c>
      <x:c r="P686" s="118" t="n">
        <x:v>0</x:v>
      </x:c>
      <x:c r="Q686" s="118" t="n">
        <x:v>1</x:v>
      </x:c>
      <x:c r="R686" s="118" t="n">
        <x:v>0</x:v>
      </x:c>
      <x:c r="S686" s="118" t="n">
        <x:v>0</x:v>
      </x:c>
      <x:c r="T686" s="118" t="n">
        <x:v>0</x:v>
      </x:c>
      <x:c r="U686" s="118" t="n">
        <x:v>0</x:v>
      </x:c>
      <x:c r="V686" s="118" t="n">
        <x:v>0</x:v>
      </x:c>
      <x:c r="W686" s="118" t="n">
        <x:v>0</x:v>
      </x:c>
      <x:c r="X686" s="118" t="n">
        <x:v>2</x:v>
      </x:c>
      <x:c r="Y686" s="118" t="n">
        <x:v>0</x:v>
      </x:c>
      <x:c r="Z686" s="118" t="n">
        <x:v>0</x:v>
      </x:c>
      <x:c r="AA686" s="118" t="n">
        <x:v>0</x:v>
      </x:c>
      <x:c r="AB686" s="118" t="n">
        <x:v>0</x:v>
      </x:c>
      <x:c r="AC686" s="118" t="n">
        <x:v>0</x:v>
      </x:c>
    </x:row>
    <x:row r="687" ht="46" customHeight="1">
      <x:c r="A687" s="117" t="str">
        <x:v>300Ro00000qqmCHIAY</x:v>
      </x:c>
      <x:c r="B687" s="117" t="str">
        <x:v>US_FSL_On_WO_Field_Update_Update_Opportunity_Fields</x:v>
      </x:c>
      <x:c r="C687" s="117" t="str">
        <x:v>Yes</x:v>
      </x:c>
      <x:c r="D687" s="119" t="str">
        <x:v>Active v8 (Retrieved XML)</x:v>
      </x:c>
      <x:c r="E687" s="119" t="str">
        <x:v>PO_Number__c IsChanged booleanValue=true</x:v>
      </x:c>
      <x:c r="F687" s="119" t="str">
        <x:v>Opportunity, WorkOrder</x:v>
      </x:c>
      <x:c r="G687" s="119" t="str">
        <x:v>Opportunity__c, PO_Number__c, Waiting_for_PO_Number__c</x:v>
      </x:c>
      <x:c r="H687" s="119" t="str"/>
      <x:c r="I687" s="119" t="str"/>
      <x:c r="J687" s="119" t="str"/>
      <x:c r="K687" s="118" t="n">
        <x:v>6</x:v>
      </x:c>
      <x:c r="L687" s="118" t="n">
        <x:v>0</x:v>
      </x:c>
      <x:c r="M687" s="118" t="n">
        <x:v>0</x:v>
      </x:c>
      <x:c r="N687" s="118" t="n">
        <x:v>1</x:v>
      </x:c>
      <x:c r="O687" s="118" t="n">
        <x:v>0</x:v>
      </x:c>
      <x:c r="P687" s="118" t="n">
        <x:v>0</x:v>
      </x:c>
      <x:c r="Q687" s="118" t="n">
        <x:v>2</x:v>
      </x:c>
      <x:c r="R687" s="118" t="n">
        <x:v>0</x:v>
      </x:c>
      <x:c r="S687" s="118" t="n">
        <x:v>0</x:v>
      </x:c>
      <x:c r="T687" s="118" t="n">
        <x:v>0</x:v>
      </x:c>
      <x:c r="U687" s="118" t="n">
        <x:v>0</x:v>
      </x:c>
      <x:c r="V687" s="118" t="n">
        <x:v>0</x:v>
      </x:c>
      <x:c r="W687" s="118" t="n">
        <x:v>0</x:v>
      </x:c>
      <x:c r="X687" s="118" t="n">
        <x:v>2</x:v>
      </x:c>
      <x:c r="Y687" s="118" t="n">
        <x:v>0</x:v>
      </x:c>
      <x:c r="Z687" s="118" t="n">
        <x:v>0</x:v>
      </x:c>
      <x:c r="AA687" s="118" t="n">
        <x:v>0</x:v>
      </x:c>
      <x:c r="AB687" s="118" t="n">
        <x:v>0</x:v>
      </x:c>
      <x:c r="AC687" s="118" t="n">
        <x:v>0</x:v>
      </x:c>
    </x:row>
    <x:row r="688" ht="46" customHeight="1">
      <x:c r="A688" s="117" t="str">
        <x:v>300Ro00000t0qWnIAI</x:v>
      </x:c>
      <x:c r="B688" s="117" t="str">
        <x:v>US_FSL_Picked_Up_By_Checkbox_to_denote_if_it_s_been_picked_up_by_operations</x:v>
      </x:c>
      <x:c r="C688" s="117" t="str">
        <x:v>Yes</x:v>
      </x:c>
      <x:c r="D688" s="119" t="str">
        <x:v>Active v1 (Retrieved XML)</x:v>
      </x:c>
      <x:c r="E688" s="119" t="str">
        <x:v>Picked_Up_by_Operations__c EqualTo booleanValue=true | Picked_Up_by_Operations__c IsChanged booleanValue=true</x:v>
      </x:c>
      <x:c r="F688" s="119" t="str">
        <x:v>WorkOrder</x:v>
      </x:c>
      <x:c r="G688" s="119" t="str">
        <x:v>Picked_Up_By__c, Picked_Up_by_Operations__c</x:v>
      </x:c>
      <x:c r="H688" s="119" t="str"/>
      <x:c r="I688" s="119" t="str"/>
      <x:c r="J688" s="119" t="str"/>
      <x:c r="K688" s="118" t="n">
        <x:v>2</x:v>
      </x:c>
      <x:c r="L688" s="118" t="n">
        <x:v>0</x:v>
      </x:c>
      <x:c r="M688" s="118" t="n">
        <x:v>0</x:v>
      </x:c>
      <x:c r="N688" s="118" t="n">
        <x:v>1</x:v>
      </x:c>
      <x:c r="O688" s="118" t="n">
        <x:v>0</x:v>
      </x:c>
      <x:c r="P688" s="118" t="n">
        <x:v>0</x:v>
      </x:c>
      <x:c r="Q688" s="118" t="n">
        <x:v>0</x:v>
      </x:c>
      <x:c r="R688" s="118" t="n">
        <x:v>0</x:v>
      </x:c>
      <x:c r="S688" s="118" t="n">
        <x:v>0</x:v>
      </x:c>
      <x:c r="T688" s="118" t="n">
        <x:v>0</x:v>
      </x:c>
      <x:c r="U688" s="118" t="n">
        <x:v>0</x:v>
      </x:c>
      <x:c r="V688" s="118" t="n">
        <x:v>0</x:v>
      </x:c>
      <x:c r="W688" s="118" t="n">
        <x:v>0</x:v>
      </x:c>
      <x:c r="X688" s="118" t="n">
        <x:v>0</x:v>
      </x:c>
      <x:c r="Y688" s="118" t="n">
        <x:v>0</x:v>
      </x:c>
      <x:c r="Z688" s="118" t="n">
        <x:v>0</x:v>
      </x:c>
      <x:c r="AA688" s="118" t="n">
        <x:v>0</x:v>
      </x:c>
      <x:c r="AB688" s="118" t="n">
        <x:v>0</x:v>
      </x:c>
      <x:c r="AC688" s="118" t="n">
        <x:v>0</x:v>
      </x:c>
    </x:row>
    <x:row r="689" ht="46" customHeight="1">
      <x:c r="A689" s="117" t="str">
        <x:v>300Ro00000wCQdIIAW</x:v>
      </x:c>
      <x:c r="B689" s="117" t="str">
        <x:v>US_FSL_RMA_Date_Repair_Evaluation_Sent</x:v>
      </x:c>
      <x:c r="C689" s="117" t="str">
        <x:v>Yes</x:v>
      </x:c>
      <x:c r="D689" s="119" t="str">
        <x:v>Active v1 (Retrieved XML)</x:v>
      </x:c>
      <x:c r="E689" s="119" t="str">
        <x:v>Date_Repair_Evaluation_Sent__c IsChanged booleanValue=true | Date_Repair_Evaluation_Sent__c IsNull booleanValue=false</x:v>
      </x:c>
      <x:c r="F689" s="119" t="str">
        <x:v>RMA__c</x:v>
      </x:c>
      <x:c r="G689" s="119" t="str">
        <x:v>Date_Repair_Evaluation_Sent__c, Opportunity__r, Status</x:v>
      </x:c>
      <x:c r="H689" s="119" t="str"/>
      <x:c r="I689" s="119" t="str"/>
      <x:c r="J689" s="119" t="str"/>
      <x:c r="K689" s="118" t="n">
        <x:v>4</x:v>
      </x:c>
      <x:c r="L689" s="118" t="n">
        <x:v>0</x:v>
      </x:c>
      <x:c r="M689" s="118" t="n">
        <x:v>0</x:v>
      </x:c>
      <x:c r="N689" s="118" t="n">
        <x:v>0</x:v>
      </x:c>
      <x:c r="O689" s="118" t="n">
        <x:v>0</x:v>
      </x:c>
      <x:c r="P689" s="118" t="n">
        <x:v>0</x:v>
      </x:c>
      <x:c r="Q689" s="118" t="n">
        <x:v>2</x:v>
      </x:c>
      <x:c r="R689" s="118" t="n">
        <x:v>0</x:v>
      </x:c>
      <x:c r="S689" s="118" t="n">
        <x:v>0</x:v>
      </x:c>
      <x:c r="T689" s="118" t="n">
        <x:v>0</x:v>
      </x:c>
      <x:c r="U689" s="118" t="n">
        <x:v>0</x:v>
      </x:c>
      <x:c r="V689" s="118" t="n">
        <x:v>0</x:v>
      </x:c>
      <x:c r="W689" s="118" t="n">
        <x:v>0</x:v>
      </x:c>
      <x:c r="X689" s="118" t="n">
        <x:v>1</x:v>
      </x:c>
      <x:c r="Y689" s="118" t="n">
        <x:v>0</x:v>
      </x:c>
      <x:c r="Z689" s="118" t="n">
        <x:v>0</x:v>
      </x:c>
      <x:c r="AA689" s="118" t="n">
        <x:v>0</x:v>
      </x:c>
      <x:c r="AB689" s="118" t="n">
        <x:v>0</x:v>
      </x:c>
      <x:c r="AC689" s="118" t="n">
        <x:v>0</x:v>
      </x:c>
    </x:row>
    <x:row r="690" ht="46" customHeight="1">
      <x:c r="A690" s="117" t="str">
        <x:v>300Ro00000pqRhvIAE</x:v>
      </x:c>
      <x:c r="B690" s="117" t="str">
        <x:v>US_FSL_RMA_On_Marking_Cannot_Repair_Update_Work_Order_to_Cannot_Repair</x:v>
      </x:c>
      <x:c r="C690" s="117" t="str">
        <x:v>No</x:v>
      </x:c>
      <x:c r="D690" s="119" t="str">
        <x:v>Latest inactive v1 (Retrieved XML)</x:v>
      </x:c>
      <x:c r="E690" s="119" t="str">
        <x:v>Probe_Deemed_Unrepairable__c IsChanged booleanValue=true | Probe_Deemed_Unrepairable__c EqualTo booleanValue=true</x:v>
      </x:c>
      <x:c r="F690" s="119" t="str">
        <x:v>RMA__c</x:v>
      </x:c>
      <x:c r="G690" s="119" t="str">
        <x:v>Opportunity__r, Probe_Deemed_Unrepairable__c, Status</x:v>
      </x:c>
      <x:c r="H690" s="119" t="str"/>
      <x:c r="I690" s="119" t="str"/>
      <x:c r="J690" s="119" t="str"/>
      <x:c r="K690" s="118" t="n">
        <x:v>4</x:v>
      </x:c>
      <x:c r="L690" s="118" t="n">
        <x:v>0</x:v>
      </x:c>
      <x:c r="M690" s="118" t="n">
        <x:v>0</x:v>
      </x:c>
      <x:c r="N690" s="118" t="n">
        <x:v>0</x:v>
      </x:c>
      <x:c r="O690" s="118" t="n">
        <x:v>0</x:v>
      </x:c>
      <x:c r="P690" s="118" t="n">
        <x:v>0</x:v>
      </x:c>
      <x:c r="Q690" s="118" t="n">
        <x:v>2</x:v>
      </x:c>
      <x:c r="R690" s="118" t="n">
        <x:v>0</x:v>
      </x:c>
      <x:c r="S690" s="118" t="n">
        <x:v>0</x:v>
      </x:c>
      <x:c r="T690" s="118" t="n">
        <x:v>0</x:v>
      </x:c>
      <x:c r="U690" s="118" t="n">
        <x:v>0</x:v>
      </x:c>
      <x:c r="V690" s="118" t="n">
        <x:v>0</x:v>
      </x:c>
      <x:c r="W690" s="118" t="n">
        <x:v>0</x:v>
      </x:c>
      <x:c r="X690" s="118" t="n">
        <x:v>1</x:v>
      </x:c>
      <x:c r="Y690" s="118" t="n">
        <x:v>0</x:v>
      </x:c>
      <x:c r="Z690" s="118" t="n">
        <x:v>0</x:v>
      </x:c>
      <x:c r="AA690" s="118" t="n">
        <x:v>0</x:v>
      </x:c>
      <x:c r="AB690" s="118" t="n">
        <x:v>0</x:v>
      </x:c>
      <x:c r="AC690" s="118" t="n">
        <x:v>0</x:v>
      </x:c>
    </x:row>
    <x:row r="691" ht="46" customHeight="1">
      <x:c r="A691" s="117" t="str">
        <x:v>300Ro00000rCttRIAS</x:v>
      </x:c>
      <x:c r="B691" s="117" t="str">
        <x:v>US_FSL_RMA_On_Probe_Check_In_for_Repair_Set_Date_Checked_In_on_Work_Order</x:v>
      </x:c>
      <x:c r="C691" s="117" t="str">
        <x:v>Yes</x:v>
      </x:c>
      <x:c r="D691" s="119" t="str">
        <x:v>Active v3 (Retrieved XML)</x:v>
      </x:c>
      <x:c r="E691" s="119" t="str">
        <x:v>Date_RMA_Item_Received__c IsChanged booleanValue=true | Date_RMA_Item_Received__c IsNull booleanValue=false | RecordTypeId EqualTo stringValue=012U0000000A9CqIAK | RecordTypeId EqualTo stringValue=012U0000000A9Cq | Customer_Expectation__c EqualTo stringValue=Customer wants Equipment Back | RecordTypeId EqualTo stringValue=0120B000000QxnDQAS | RecordTypeId EqualTo stringValue=0120B000000QxnD</x:v>
      </x:c>
      <x:c r="F691" s="119" t="str">
        <x:v>RMA__c</x:v>
      </x:c>
      <x:c r="G691" s="119" t="str">
        <x:v>Customer_Expectation__c, Date_Probe_Received_for_Repair_Eval__c, Date_RMA_Item_Received__c, Opportunity__r, RecordTypeId, Status</x:v>
      </x:c>
      <x:c r="H691" s="119" t="str"/>
      <x:c r="I691" s="119" t="str"/>
      <x:c r="J691" s="119" t="str"/>
      <x:c r="K691" s="118" t="n">
        <x:v>4</x:v>
      </x:c>
      <x:c r="L691" s="118" t="n">
        <x:v>0</x:v>
      </x:c>
      <x:c r="M691" s="118" t="n">
        <x:v>0</x:v>
      </x:c>
      <x:c r="N691" s="118" t="n">
        <x:v>0</x:v>
      </x:c>
      <x:c r="O691" s="118" t="n">
        <x:v>0</x:v>
      </x:c>
      <x:c r="P691" s="118" t="n">
        <x:v>0</x:v>
      </x:c>
      <x:c r="Q691" s="118" t="n">
        <x:v>2</x:v>
      </x:c>
      <x:c r="R691" s="118" t="n">
        <x:v>0</x:v>
      </x:c>
      <x:c r="S691" s="118" t="n">
        <x:v>0</x:v>
      </x:c>
      <x:c r="T691" s="118" t="n">
        <x:v>0</x:v>
      </x:c>
      <x:c r="U691" s="118" t="n">
        <x:v>0</x:v>
      </x:c>
      <x:c r="V691" s="118" t="n">
        <x:v>0</x:v>
      </x:c>
      <x:c r="W691" s="118" t="n">
        <x:v>0</x:v>
      </x:c>
      <x:c r="X691" s="118" t="n">
        <x:v>1</x:v>
      </x:c>
      <x:c r="Y691" s="118" t="n">
        <x:v>0</x:v>
      </x:c>
      <x:c r="Z691" s="118" t="n">
        <x:v>0</x:v>
      </x:c>
      <x:c r="AA691" s="118" t="n">
        <x:v>0</x:v>
      </x:c>
      <x:c r="AB691" s="118" t="n">
        <x:v>0</x:v>
      </x:c>
      <x:c r="AC691" s="118" t="n">
        <x:v>0</x:v>
      </x:c>
    </x:row>
    <x:row r="692" ht="46" customHeight="1">
      <x:c r="A692" s="117" t="str">
        <x:v>300Ro00000yVe3VIAS</x:v>
      </x:c>
      <x:c r="B692" s="117" t="str">
        <x:v>US_FSL_Site_Address_Populated_but_Not_Shipping_Address</x:v>
      </x:c>
      <x:c r="C692" s="117" t="str">
        <x:v>Yes</x:v>
      </x:c>
      <x:c r="D692" s="119" t="str">
        <x:v>Active v3 (Retrieved XML)</x:v>
      </x:c>
      <x:c r="E692" s="119" t="str">
        <x:v>Street IsChanged booleanValue=true | City IsChanged booleanValue=true | State IsChanged booleanValue=true | PostalCode IsChanged booleanValue=true | Shipping_Address__c IsChanged booleanValue=true | Shipping_City__c IsChanged booleanValue=true | Shipping_State__c IsChanged booleanValue=true | Shipping_Postal_Code__c IsChanged booleanValue=true | Shipping_Street__c IsChanged booleanValue=true | Country EqualTo stringValue=United States | Country EqualTo stringValue=US | Shipping_Street__c IsNull booleanValue=true</x:v>
      </x:c>
      <x:c r="F692" s="119" t="str">
        <x:v>Opportunity, WorkOrder</x:v>
      </x:c>
      <x:c r="G692" s="119" t="str">
        <x:v>City, Country, PostalCode, Service_Site_Name__c, Shipping_Address__c, Shipping_City__c, Shipping_Country__c, Shipping_Postal_Code__c, Shipping_Site_Name__c, Shipping_State__c, Shipping_Street__c, State, Street</x:v>
      </x:c>
      <x:c r="H692" s="119" t="str"/>
      <x:c r="I692" s="119" t="str"/>
      <x:c r="J692" s="119" t="str"/>
      <x:c r="K692" s="118" t="n">
        <x:v>3</x:v>
      </x:c>
      <x:c r="L692" s="118" t="n">
        <x:v>0</x:v>
      </x:c>
      <x:c r="M692" s="118" t="n">
        <x:v>0</x:v>
      </x:c>
      <x:c r="N692" s="118" t="n">
        <x:v>0</x:v>
      </x:c>
      <x:c r="O692" s="118" t="n">
        <x:v>0</x:v>
      </x:c>
      <x:c r="P692" s="118" t="n">
        <x:v>0</x:v>
      </x:c>
      <x:c r="Q692" s="118" t="n">
        <x:v>1</x:v>
      </x:c>
      <x:c r="R692" s="118" t="n">
        <x:v>0</x:v>
      </x:c>
      <x:c r="S692" s="118" t="n">
        <x:v>0</x:v>
      </x:c>
      <x:c r="T692" s="118" t="n">
        <x:v>0</x:v>
      </x:c>
      <x:c r="U692" s="118" t="n">
        <x:v>0</x:v>
      </x:c>
      <x:c r="V692" s="118" t="n">
        <x:v>0</x:v>
      </x:c>
      <x:c r="W692" s="118" t="n">
        <x:v>0</x:v>
      </x:c>
      <x:c r="X692" s="118" t="n">
        <x:v>1</x:v>
      </x:c>
      <x:c r="Y692" s="118" t="n">
        <x:v>0</x:v>
      </x:c>
      <x:c r="Z692" s="118" t="n">
        <x:v>0</x:v>
      </x:c>
      <x:c r="AA692" s="118" t="n">
        <x:v>0</x:v>
      </x:c>
      <x:c r="AB692" s="118" t="n">
        <x:v>0</x:v>
      </x:c>
      <x:c r="AC692" s="118" t="n">
        <x:v>0</x:v>
      </x:c>
    </x:row>
    <x:row r="693" ht="46" customHeight="1">
      <x:c r="A693" s="117" t="str">
        <x:v>300Ro00000r7jgEIAQ</x:v>
      </x:c>
      <x:c r="B693" s="117" t="str">
        <x:v>US_FSL_Trigger_Generate_Checksheet_HTML</x:v>
      </x:c>
      <x:c r="C693" s="117" t="str">
        <x:v>Yes</x:v>
      </x:c>
      <x:c r="D693" s="119" t="str">
        <x:v>Active v9 (Retrieved XML)</x:v>
      </x:c>
      <x:c r="E693" s="119" t="str">
        <x:v>Generate_Service_Report_HTML__c EqualTo booleanValue=true | Generate_Service_Report_HTML__c IsChanged booleanValue=true | Country EqualTo stringValue=United States | Country EqualTo stringValue=US | Country EqualTo stringValue=USA</x:v>
      </x:c>
      <x:c r="F693" s="119" t="str">
        <x:v>Maintenance_Item__c, ServiceAppointment, WorkOrder</x:v>
      </x:c>
      <x:c r="G693" s="119" t="str">
        <x:v>Checklist_Output_HTML_Tables__c, Country, Generate_Service_Report_HTML__c, Id, Make_Model__c, Service_Appointment__c, Type__c, WorkTypeId, Work_Order__c, Work_Order__r</x:v>
      </x:c>
      <x:c r="H693" s="119" t="str"/>
      <x:c r="I693" s="119" t="str"/>
      <x:c r="J693" s="119" t="str"/>
      <x:c r="K693" s="118" t="n">
        <x:v>26</x:v>
      </x:c>
      <x:c r="L693" s="118" t="n">
        <x:v>0</x:v>
      </x:c>
      <x:c r="M693" s="118" t="n">
        <x:v>0</x:v>
      </x:c>
      <x:c r="N693" s="118" t="n">
        <x:v>7</x:v>
      </x:c>
      <x:c r="O693" s="118" t="n">
        <x:v>0</x:v>
      </x:c>
      <x:c r="P693" s="118" t="n">
        <x:v>0</x:v>
      </x:c>
      <x:c r="Q693" s="118" t="n">
        <x:v>1</x:v>
      </x:c>
      <x:c r="R693" s="118" t="n">
        <x:v>3</x:v>
      </x:c>
      <x:c r="S693" s="118" t="n">
        <x:v>0</x:v>
      </x:c>
      <x:c r="T693" s="118" t="n">
        <x:v>0</x:v>
      </x:c>
      <x:c r="U693" s="118" t="n">
        <x:v>0</x:v>
      </x:c>
      <x:c r="V693" s="118" t="n">
        <x:v>10</x:v>
      </x:c>
      <x:c r="W693" s="118" t="n">
        <x:v>0</x:v>
      </x:c>
      <x:c r="X693" s="118" t="n">
        <x:v>4</x:v>
      </x:c>
      <x:c r="Y693" s="118" t="n">
        <x:v>0</x:v>
      </x:c>
      <x:c r="Z693" s="118" t="n">
        <x:v>0</x:v>
      </x:c>
      <x:c r="AA693" s="118" t="n">
        <x:v>0</x:v>
      </x:c>
      <x:c r="AB693" s="118" t="n">
        <x:v>0</x:v>
      </x:c>
      <x:c r="AC693" s="118" t="n">
        <x:v>0</x:v>
      </x:c>
    </x:row>
    <x:row r="694" ht="46" customHeight="1">
      <x:c r="A694" s="117" t="str">
        <x:v>300Ro00000uYiHvIAK</x:v>
      </x:c>
      <x:c r="B694" s="117" t="str">
        <x:v>US_FSL_Trophon_Checklist</x:v>
      </x:c>
      <x:c r="C694" s="117" t="str">
        <x:v>Yes</x:v>
      </x:c>
      <x:c r="D694" s="119" t="str">
        <x:v>Active v8 (Retrieved XML)</x:v>
      </x:c>
      <x:c r="E694" s="119" t="str"/>
      <x:c r="F694" s="119" t="str">
        <x:v>Address, ContractLineItem, Maintenance_Item__c, ServiceAppointment, WorkOrder</x:v>
      </x:c>
      <x:c r="G694" s="119" t="str">
        <x:v>Account_Name_Free_Text__c, Account_Name__c, Block_EQ__c, Block_FL__c, Block_SR__c, Check_Chemical_Leakage__c, Checklist_Output_Formatted_1__c, Checklist_Output_Formatted_2__c, Checklist_Output_Formatted_3__c, Checklist_Output_Formatted_4__c, Checklist_Output_Formatted_5__c, Checklist_Output_Formatted_6__c, Checklist_Output_Formatted__c, Checklist_Output__c, Clean_Waste_Tray_and_Panels__c, Contract_Line_Item__c, Corrective_Action_Required__c, Customer_ID__c, Customer_SR__c, Cycle_Count__c, DICOM_PACS_2nd_AE_Title__c, DICOM_PACS_2nd_IP_Address__c, DICOM_PACS_2nd_Port_No__c, DICOM_PACS_AE_Title__c, DICOM_PACS_IP_Address__c, DICOM_PACS_Port_No__c, Destruct_Fan_Max__c, Destruct_Fan_Min__c, Generate_Service_Report_HTML__c, HDWR_and_SW_Info__c, Host_Chip_ID__c, Id, If_Yes_Please_Describe__c, Inspect_Board_and_Cable__c, Inspect_Chamber_Air_Path__c, Inspect_Chamber_seal_probe_clamp_etc__c, Inspect_Tubing__c, Inspect_chamber_door_lock__c, Local_AE_Title__c, Local_Default_Gateway__c, Local_IP_Address__c, Local_Port_No__c, Local_Subnet_Mask__c, Neb_Fan_Max__c, Neb_Fan_Min__c, Nebulizer_drive_strength__c, Operating_Environment__c, ParentRecordId, Reset_PM_Date__c, Run_disinfection_cycle__c, Self_Test__c, Service_Appointment__c, Service_Key_Expiry_Date__c, Service_Key__c, Service_Network_Settings__c, Software_Serial_Number__c, Software__c, System_Back_Up__c, System_Serial_Number__c, System_Type__c, System_YOM__c, Trophon_Comments__c, Trophon_Dosage__c, Type__c, Verify_Door_and_Handles__c, Verify_Printer_Functionality__c, WIFI_Name__c, WiFi_Password__c, Worklist_AE_Title__c, Worklist_IP_Address__c, Worklist_Port_No__c</x:v>
      </x:c>
      <x:c r="H694" s="119" t="str"/>
      <x:c r="I694" s="119" t="str"/>
      <x:c r="J694" s="119" t="str"/>
      <x:c r="K694" s="118" t="n">
        <x:v>42</x:v>
      </x:c>
      <x:c r="L694" s="118" t="n">
        <x:v>0</x:v>
      </x:c>
      <x:c r="M694" s="118" t="n">
        <x:v>0</x:v>
      </x:c>
      <x:c r="N694" s="118" t="n">
        <x:v>15</x:v>
      </x:c>
      <x:c r="O694" s="118" t="n">
        <x:v>0</x:v>
      </x:c>
      <x:c r="P694" s="118" t="n">
        <x:v>0</x:v>
      </x:c>
      <x:c r="Q694" s="118" t="n">
        <x:v>4</x:v>
      </x:c>
      <x:c r="R694" s="118" t="n">
        <x:v>0</x:v>
      </x:c>
      <x:c r="S694" s="118" t="n">
        <x:v>0</x:v>
      </x:c>
      <x:c r="T694" s="118" t="n">
        <x:v>3</x:v>
      </x:c>
      <x:c r="U694" s="118" t="n">
        <x:v>0</x:v>
      </x:c>
      <x:c r="V694" s="118" t="n">
        <x:v>6</x:v>
      </x:c>
      <x:c r="W694" s="118" t="n">
        <x:v>0</x:v>
      </x:c>
      <x:c r="X694" s="118" t="n">
        <x:v>8</x:v>
      </x:c>
      <x:c r="Y694" s="118" t="n">
        <x:v>5</x:v>
      </x:c>
      <x:c r="Z694" s="118" t="n">
        <x:v>0</x:v>
      </x:c>
      <x:c r="AA694" s="118" t="n">
        <x:v>0</x:v>
      </x:c>
      <x:c r="AB694" s="118" t="n">
        <x:v>0</x:v>
      </x:c>
      <x:c r="AC694" s="118" t="n">
        <x:v>0</x:v>
      </x:c>
    </x:row>
    <x:row r="695" ht="46" customHeight="1">
      <x:c r="A695" s="117" t="str">
        <x:v>300Ro00000noVpCIAU</x:v>
      </x:c>
      <x:c r="B695" s="117" t="str">
        <x:v>US_FSL_Ultrasound_Checklist</x:v>
      </x:c>
      <x:c r="C695" s="117" t="str">
        <x:v>Yes</x:v>
      </x:c>
      <x:c r="D695" s="119" t="str">
        <x:v>Active v78 (Retrieved XML)</x:v>
      </x:c>
      <x:c r="E695" s="119" t="str"/>
      <x:c r="F695" s="119" t="str">
        <x:v>Address, ContractLineItem, Maintenance_Item__c, ServiceAppointment, WorkOrder</x:v>
      </x:c>
      <x:c r="G695" s="119" t="str">
        <x:v>Account_Name_Free_Text__c, Account_Name__c, All_Cords_and_Cables_Intact_No_Frays__c, Backup_Preset_Network_Settings__c, Block_EQ__c, Block_FL__c, Block_SR__c, Check_2D_PW_Color_Incl_Angio_Power__c, Check_3D_4D__c, Check_CW_Doppler__c, Check_Calibrate_Power_Supplies__c, Check_Control_Panel_Keyboard__c, Check_ECG_Cable_Signal__c, Check_Network_Functionality__c, Check_Optimize_Monitor__c, Check_System_Battery__c, Check_Systems_Fans__c, Checked_Basic_Measurements__c, Checklist_Output_Formatted_1__c, Checklist_Output_Formatted_2__c, Checklist_Output_Formatted_3__c, Checklist_Output_Formatted_4__c, Checklist_Output_Formatted_5__c, Checklist_Output_Formatted_6__c, Checklist_Output_Formatted__c, Checklist_Output__c, Clean_System_Monitor_Touch_Panel__c, Clean_Systems_Filters__c, Clean_Trackball__c, Clean_and_Inspect_System_Interior__c, Contract_Line_Item__c, Corrective_Action_Required__c, Customer_ID__c, Customer_SR__c, DICOM_PACS_2nd_AE_Title__c, DICOM_PACS_2nd_IP_Address__c, DICOM_PACS_2nd_Port_No__c, DICOM_PACS_AE_Title__c, DICOM_PACS_IP_Address__c, DICOM_PACS_Port_No__c, Device_Current_A__c, Discuss_Customer_Concerns__c, Display_Image_Quality_Assurance__c, Generate_Service_Report_HTML__c, HDWR_and_SW_Info__c, Hospital_Grade_Plug__c, Host_Chip_ID__c, Id, If_Yes_Please_Describe__c, Inspect_Acc_Periph_Security__c, Line_Voltage_V__c, Local_AE_Title__c, Local_Default_Gateway__c, Local_IP_Address__c, Local_Port_No__c, Local_Subnet_Mask__c, Make_Model__c, Norm_Polarity_Test_P_On_G_Close_A__c, Norm_Polarity_Test_P_On_G_Open_A__c, ParentRecordId, Perform_Hard_Drive_Maintenance__c, Power_Cord_Resistance_m__c, Preliminary_Comments_and_Findings__c, Rev_Polarity_Test_P_On_G_Close_A__c, Rev_Polarity_Test_P_On_G_Open_A__c, Review_Error_Logs_If_Applicable__c, Run_System_Diagnostics_If_Applicable__c, Service_Appointment__c, Service_Key_Expiry_Date__c, Service_Key__c, Service_Network_Settings__c, Software_Serial_Number__c, Software__c, System_Articulations_Monitor_User_Inte__c, System_Back_Up__c, System_Serial_Number__c, System_Type__c, System_YOM__c, Test_Lead_Isolation_A__c, Test_Lead_Isolation_P_F__c, Test_Lead_Leakage_Normal_Condition_A__c, Test_Lead_Leakage_Normal_Condition_PF__c, Transducers_Cleaned_After_Each_Use__c, Type__c, Unit_Inspected_and_Tested_Per_OEM_Servic__c, Verify_Boot_Up_Process__c, Verify_Database__c, Verify_Power_Up__c, Verify_Remote_Diagnostics_If_Applicable__c, WIFI_Name__c, Wheel_Locks_Functional__c, Wheels_Securely_Attached_Rotate_Proper__c, WiFi_Password__c, Work_Order__c, Worklist_AE_Title__c, Worklist_IP_Address__c, Worklist_Port_No__c</x:v>
      </x:c>
      <x:c r="H695" s="119" t="str"/>
      <x:c r="I695" s="119" t="str"/>
      <x:c r="J695" s="119" t="str"/>
      <x:c r="K695" s="118" t="n">
        <x:v>99</x:v>
      </x:c>
      <x:c r="L695" s="118" t="n">
        <x:v>0</x:v>
      </x:c>
      <x:c r="M695" s="118" t="n">
        <x:v>0</x:v>
      </x:c>
      <x:c r="N695" s="118" t="n">
        <x:v>33</x:v>
      </x:c>
      <x:c r="O695" s="118" t="n">
        <x:v>0</x:v>
      </x:c>
      <x:c r="P695" s="118" t="n">
        <x:v>0</x:v>
      </x:c>
      <x:c r="Q695" s="118" t="n">
        <x:v>13</x:v>
      </x:c>
      <x:c r="R695" s="118" t="n">
        <x:v>6</x:v>
      </x:c>
      <x:c r="S695" s="118" t="n">
        <x:v>0</x:v>
      </x:c>
      <x:c r="T695" s="118" t="n">
        <x:v>6</x:v>
      </x:c>
      <x:c r="U695" s="118" t="n">
        <x:v>0</x:v>
      </x:c>
      <x:c r="V695" s="118" t="n">
        <x:v>12</x:v>
      </x:c>
      <x:c r="W695" s="118" t="n">
        <x:v>0</x:v>
      </x:c>
      <x:c r="X695" s="118" t="n">
        <x:v>14</x:v>
      </x:c>
      <x:c r="Y695" s="118" t="n">
        <x:v>14</x:v>
      </x:c>
      <x:c r="Z695" s="118" t="n">
        <x:v>0</x:v>
      </x:c>
      <x:c r="AA695" s="118" t="n">
        <x:v>0</x:v>
      </x:c>
      <x:c r="AB695" s="118" t="n">
        <x:v>0</x:v>
      </x:c>
      <x:c r="AC695" s="118" t="n">
        <x:v>0</x:v>
      </x:c>
    </x:row>
    <x:row r="696" ht="46" customHeight="1">
      <x:c r="A696" s="117" t="str">
        <x:v>300Ro000010n4l8IAA</x:v>
      </x:c>
      <x:c r="B696" s="117" t="str">
        <x:v>US_FSL_Update_Open_SA_Shipping_Address_when_changed_on_WO</x:v>
      </x:c>
      <x:c r="C696" s="117" t="str">
        <x:v>Yes</x:v>
      </x:c>
      <x:c r="D696" s="119" t="str">
        <x:v>Active v2 (Retrieved XML)</x:v>
      </x:c>
      <x:c r="E696" s="119" t="str">
        <x:v>RecordTypeId EqualTo stringValue=012Ro000001eDqnIAE | Shipping_Address__c IsChanged booleanValue=true | Shipping_Street__c IsChanged booleanValue=true | Shipping_City__c IsChanged booleanValue=true | Shipping_State__c IsChanged booleanValue=true | Shipping_Postal_Code__c IsChanged booleanValue=true</x:v>
      </x:c>
      <x:c r="F696" s="119" t="str">
        <x:v>ServiceAppointment, StateTranslation__mdt, WorkOrder</x:v>
      </x:c>
      <x:c r="G696" s="119" t="str">
        <x:v>Country, Id, ParentRecordId, RecordTypeId, Ship_Date__c, Shipping_Address__City__s, Shipping_Address__PostalCode__s, Shipping_Address__StateCode__s, Shipping_Address__Street__s, Shipping_Address__c, Shipping_City__c, Shipping_Postal_Code__c, Shipping_State__c, Shipping_Street__c, State_Name__c, Status</x:v>
      </x:c>
      <x:c r="H696" s="119" t="str"/>
      <x:c r="I696" s="119" t="str"/>
      <x:c r="J696" s="119" t="str"/>
      <x:c r="K696" s="118" t="n">
        <x:v>7</x:v>
      </x:c>
      <x:c r="L696" s="118" t="n">
        <x:v>0</x:v>
      </x:c>
      <x:c r="M696" s="118" t="n">
        <x:v>0</x:v>
      </x:c>
      <x:c r="N696" s="118" t="n">
        <x:v>2</x:v>
      </x:c>
      <x:c r="O696" s="118" t="n">
        <x:v>0</x:v>
      </x:c>
      <x:c r="P696" s="118" t="n">
        <x:v>0</x:v>
      </x:c>
      <x:c r="Q696" s="118" t="n">
        <x:v>2</x:v>
      </x:c>
      <x:c r="R696" s="118" t="n">
        <x:v>0</x:v>
      </x:c>
      <x:c r="S696" s="118" t="n">
        <x:v>0</x:v>
      </x:c>
      <x:c r="T696" s="118" t="n">
        <x:v>0</x:v>
      </x:c>
      <x:c r="U696" s="118" t="n">
        <x:v>0</x:v>
      </x:c>
      <x:c r="V696" s="118" t="n">
        <x:v>1</x:v>
      </x:c>
      <x:c r="W696" s="118" t="n">
        <x:v>0</x:v>
      </x:c>
      <x:c r="X696" s="118" t="n">
        <x:v>1</x:v>
      </x:c>
      <x:c r="Y696" s="118" t="n">
        <x:v>0</x:v>
      </x:c>
      <x:c r="Z696" s="118" t="n">
        <x:v>0</x:v>
      </x:c>
      <x:c r="AA696" s="118" t="n">
        <x:v>0</x:v>
      </x:c>
      <x:c r="AB696" s="118" t="n">
        <x:v>0</x:v>
      </x:c>
      <x:c r="AC696" s="118" t="n">
        <x:v>0</x:v>
      </x:c>
    </x:row>
    <x:row r="697" ht="46" customHeight="1">
      <x:c r="A697" s="117" t="str">
        <x:v>300Ro00000oer8rIAA</x:v>
      </x:c>
      <x:c r="B697" s="117" t="str">
        <x:v>US_Workflow_Update_Labor_Travel_on_Ready_for_Close</x:v>
      </x:c>
      <x:c r="C697" s="117" t="str">
        <x:v>No</x:v>
      </x:c>
      <x:c r="D697" s="119" t="str">
        <x:v>Latest inactive v2 (Retrieved XML)</x:v>
      </x:c>
      <x:c r="E697" s="119" t="str">
        <x:v>Status EqualTo stringValue=Ready for Close | Country EqualTo stringValue=United States</x:v>
      </x:c>
      <x:c r="F697" s="119" t="str">
        <x:v>ServiceAppointment, WorkOrder, WorkOrderLineItem</x:v>
      </x:c>
      <x:c r="G697" s="119" t="str">
        <x:v>Country, Description, Id, Line_Type__c, ParentRecordId, Part_Number_FSL_Sourced__c, Part_Used__c, PricebookEntryId, Product_Name_FSL_Sourced__c, Quantity, Status, WorkOrderId</x:v>
      </x:c>
      <x:c r="H697" s="119" t="str"/>
      <x:c r="I697" s="119" t="str"/>
      <x:c r="J697" s="119" t="str"/>
      <x:c r="K697" s="118" t="n">
        <x:v>14</x:v>
      </x:c>
      <x:c r="L697" s="118" t="n">
        <x:v>0</x:v>
      </x:c>
      <x:c r="M697" s="118" t="n">
        <x:v>0</x:v>
      </x:c>
      <x:c r="N697" s="118" t="n">
        <x:v>2</x:v>
      </x:c>
      <x:c r="O697" s="118" t="n">
        <x:v>0</x:v>
      </x:c>
      <x:c r="P697" s="118" t="n">
        <x:v>0</x:v>
      </x:c>
      <x:c r="Q697" s="118" t="n">
        <x:v>2</x:v>
      </x:c>
      <x:c r="R697" s="118" t="n">
        <x:v>0</x:v>
      </x:c>
      <x:c r="S697" s="118" t="n">
        <x:v>0</x:v>
      </x:c>
      <x:c r="T697" s="118" t="n">
        <x:v>2</x:v>
      </x:c>
      <x:c r="U697" s="118" t="n">
        <x:v>0</x:v>
      </x:c>
      <x:c r="V697" s="118" t="n">
        <x:v>3</x:v>
      </x:c>
      <x:c r="W697" s="118" t="n">
        <x:v>0</x:v>
      </x:c>
      <x:c r="X697" s="118" t="n">
        <x:v>2</x:v>
      </x:c>
      <x:c r="Y697" s="118" t="n">
        <x:v>0</x:v>
      </x:c>
      <x:c r="Z697" s="118" t="n">
        <x:v>0</x:v>
      </x:c>
      <x:c r="AA697" s="118" t="n">
        <x:v>0</x:v>
      </x:c>
      <x:c r="AB697" s="118" t="n">
        <x:v>2</x:v>
      </x:c>
      <x:c r="AC697" s="118" t="n">
        <x:v>0</x:v>
      </x:c>
    </x:row>
    <x:row r="698" ht="46" customHeight="1">
      <x:c r="A698" s="117" t="str">
        <x:v>300Ro00000E8Q6wIAF</x:v>
      </x:c>
      <x:c r="B698" s="117" t="str">
        <x:v>Vendor_Payment_Request_Screen_Flow</x:v>
      </x:c>
      <x:c r="C698" s="117" t="str">
        <x:v>No</x:v>
      </x:c>
      <x:c r="D698" s="119" t="str">
        <x:v>Latest inactive v1 (Retrieved XML)</x:v>
      </x:c>
      <x:c r="E698" s="119" t="str"/>
      <x:c r="F698" s="119" t="str">
        <x:v>Opportunity, Vendor_Payment_Request__c</x:v>
      </x:c>
      <x:c r="G698" s="119" t="str">
        <x:v>Account_Number_IBAN__c, Beneficiary_Address__c, Id, Payment_Amount__c, Payment_Method__c, Payment_Status__c, Purchasing_Opportunity__c, Reference_Memo__c, Routing_Number_SWIFT_Code__c</x:v>
      </x:c>
      <x:c r="H698" s="119" t="str">
        <x:v>emailSimple</x:v>
      </x:c>
      <x:c r="I698" s="119" t="str"/>
      <x:c r="J698" s="119" t="str">
        <x:v>forceContent:fileUpload</x:v>
      </x:c>
      <x:c r="K698" s="118" t="n">
        <x:v>7</x:v>
      </x:c>
      <x:c r="L698" s="118" t="n">
        <x:v>1</x:v>
      </x:c>
      <x:c r="M698" s="118" t="n">
        <x:v>0</x:v>
      </x:c>
      <x:c r="N698" s="118" t="n">
        <x:v>1</x:v>
      </x:c>
      <x:c r="O698" s="118" t="n">
        <x:v>0</x:v>
      </x:c>
      <x:c r="P698" s="118" t="n">
        <x:v>0</x:v>
      </x:c>
      <x:c r="Q698" s="118" t="n">
        <x:v>0</x:v>
      </x:c>
      <x:c r="R698" s="118" t="n">
        <x:v>0</x:v>
      </x:c>
      <x:c r="S698" s="118" t="n">
        <x:v>0</x:v>
      </x:c>
      <x:c r="T698" s="118" t="n">
        <x:v>1</x:v>
      </x:c>
      <x:c r="U698" s="118" t="n">
        <x:v>0</x:v>
      </x:c>
      <x:c r="V698" s="118" t="n">
        <x:v>1</x:v>
      </x:c>
      <x:c r="W698" s="118" t="n">
        <x:v>0</x:v>
      </x:c>
      <x:c r="X698" s="118" t="n">
        <x:v>0</x:v>
      </x:c>
      <x:c r="Y698" s="118" t="n">
        <x:v>2</x:v>
      </x:c>
      <x:c r="Z698" s="118" t="n">
        <x:v>0</x:v>
      </x:c>
      <x:c r="AA698" s="118" t="n">
        <x:v>0</x:v>
      </x:c>
      <x:c r="AB698" s="118" t="n">
        <x:v>0</x:v>
      </x:c>
      <x:c r="AC698" s="118" t="n">
        <x:v>0</x:v>
      </x:c>
    </x:row>
    <x:row r="699" ht="46" customHeight="1">
      <x:c r="A699" s="117" t="str">
        <x:v>3004O0000000a7AQAQ</x:v>
      </x:c>
      <x:c r="B699" s="117" t="str">
        <x:v>Venn_Outbound_Message_New_Account</x:v>
      </x:c>
      <x:c r="C699" s="117" t="str">
        <x:v>No</x:v>
      </x:c>
      <x:c r="D699" s="119" t="str">
        <x:v>Latest inactive v1 (Retrieved XML)</x:v>
      </x:c>
      <x:c r="E699" s="119" t="str"/>
      <x:c r="F699" s="119" t="str">
        <x:v>Account</x:v>
      </x:c>
      <x:c r="G699" s="119" t="str"/>
      <x:c r="H699" s="119" t="str"/>
      <x:c r="I699" s="119" t="str"/>
      <x:c r="J699" s="119" t="str"/>
      <x:c r="K699" s="118" t="n">
        <x:v>1</x:v>
      </x:c>
      <x:c r="L699" s="118" t="n">
        <x:v>0</x:v>
      </x:c>
      <x:c r="M699" s="118" t="n">
        <x:v>0</x:v>
      </x:c>
      <x:c r="N699" s="118" t="n">
        <x:v>0</x:v>
      </x:c>
      <x:c r="O699" s="118" t="n">
        <x:v>0</x:v>
      </x:c>
      <x:c r="P699" s="118" t="n">
        <x:v>0</x:v>
      </x:c>
      <x:c r="Q699" s="118" t="n">
        <x:v>1</x:v>
      </x:c>
      <x:c r="R699" s="118" t="n">
        <x:v>0</x:v>
      </x:c>
      <x:c r="S699" s="118" t="n">
        <x:v>0</x:v>
      </x:c>
      <x:c r="T699" s="118" t="n">
        <x:v>0</x:v>
      </x:c>
      <x:c r="U699" s="118" t="n">
        <x:v>0</x:v>
      </x:c>
      <x:c r="V699" s="118" t="n">
        <x:v>0</x:v>
      </x:c>
      <x:c r="W699" s="118" t="n">
        <x:v>0</x:v>
      </x:c>
      <x:c r="X699" s="118" t="n">
        <x:v>0</x:v>
      </x:c>
      <x:c r="Y699" s="118" t="n">
        <x:v>0</x:v>
      </x:c>
      <x:c r="Z699" s="118" t="n">
        <x:v>0</x:v>
      </x:c>
      <x:c r="AA699" s="118" t="n">
        <x:v>0</x:v>
      </x:c>
      <x:c r="AB699" s="118" t="n">
        <x:v>0</x:v>
      </x:c>
      <x:c r="AC699" s="118" t="n">
        <x:v>0</x:v>
      </x:c>
    </x:row>
    <x:row r="700" ht="46" customHeight="1">
      <x:c r="A700" s="117" t="str">
        <x:v>3005b000000PzyPAAS</x:v>
      </x:c>
      <x:c r="B700" s="117" t="str">
        <x:v>Work_Order_Assignment_and_Alerts_Flow</x:v>
      </x:c>
      <x:c r="C700" s="117" t="str">
        <x:v>Yes</x:v>
      </x:c>
      <x:c r="D700" s="119" t="str">
        <x:v>Active v3 (Retrieved XML)</x:v>
      </x:c>
      <x:c r="E700" s="119" t="str">
        <x:v>CreatedById EqualTo stringValue=0055b00000QJQAvAAP | Status EqualTo stringValue=Closed | Status EqualTo stringValue=Closed - Paid</x:v>
      </x:c>
      <x:c r="F700" s="119" t="str">
        <x:v>WorkOrder</x:v>
      </x:c>
      <x:c r="G700" s="119" t="str">
        <x:v>Account_Name__c, Billable_Contract_Warranty__c, CreatedById, FSE_Email__c, Field_Service_Engineer__c, Filed_Service_Engineer__c, KloudGin_WO__c, OwnerId, Status, WorkOrderNumber, Work_Order_ID__c, Work_Order_Notes__c</x:v>
      </x:c>
      <x:c r="H700" s="119" t="str">
        <x:v>emailSimple</x:v>
      </x:c>
      <x:c r="I700" s="119" t="str"/>
      <x:c r="J700" s="119" t="str"/>
      <x:c r="K700" s="118" t="n">
        <x:v>15</x:v>
      </x:c>
      <x:c r="L700" s="118" t="n">
        <x:v>1</x:v>
      </x:c>
      <x:c r="M700" s="118" t="n">
        <x:v>0</x:v>
      </x:c>
      <x:c r="N700" s="118" t="n">
        <x:v>5</x:v>
      </x:c>
      <x:c r="O700" s="118" t="n">
        <x:v>0</x:v>
      </x:c>
      <x:c r="P700" s="118" t="n">
        <x:v>0</x:v>
      </x:c>
      <x:c r="Q700" s="118" t="n">
        <x:v>2</x:v>
      </x:c>
      <x:c r="R700" s="118" t="n">
        <x:v>0</x:v>
      </x:c>
      <x:c r="S700" s="118" t="n">
        <x:v>0</x:v>
      </x:c>
      <x:c r="T700" s="118" t="n">
        <x:v>0</x:v>
      </x:c>
      <x:c r="U700" s="118" t="n">
        <x:v>0</x:v>
      </x:c>
      <x:c r="V700" s="118" t="n">
        <x:v>0</x:v>
      </x:c>
      <x:c r="W700" s="118" t="n">
        <x:v>0</x:v>
      </x:c>
      <x:c r="X700" s="118" t="n">
        <x:v>6</x:v>
      </x:c>
      <x:c r="Y700" s="118" t="n">
        <x:v>0</x:v>
      </x:c>
      <x:c r="Z700" s="118" t="n">
        <x:v>0</x:v>
      </x:c>
      <x:c r="AA700" s="118" t="n">
        <x:v>0</x:v>
      </x:c>
      <x:c r="AB700" s="118" t="n">
        <x:v>0</x:v>
      </x:c>
      <x:c r="AC700" s="118" t="n">
        <x:v>0</x:v>
      </x:c>
    </x:row>
    <x:row r="701" ht="46" customHeight="1">
      <x:c r="A701" s="117" t="str">
        <x:v>300Ro00000xUsgyIAC</x:v>
      </x:c>
      <x:c r="B701" s="117" t="str">
        <x:v>Work_Order_Asynchronous_on_create_Update_PM_Work_Order_Count_on_Service_Contract</x:v>
      </x:c>
      <x:c r="C701" s="117" t="str">
        <x:v>Yes</x:v>
      </x:c>
      <x:c r="D701" s="119" t="str">
        <x:v>Active v1 (Retrieved XML)</x:v>
      </x:c>
      <x:c r="E701" s="119" t="str">
        <x:v>ServiceContractId IsNull booleanValue=false | RecordTypeId EqualTo stringValue=0125b000000LVpuAAG</x:v>
      </x:c>
      <x:c r="F701" s="119" t="str">
        <x:v>ServiceContract, WorkOrder</x:v>
      </x:c>
      <x:c r="G701" s="119" t="str">
        <x:v>Id, RecordTypeId, ServiceContractId, Total_PM_Work_Orders_on_Contract__c</x:v>
      </x:c>
      <x:c r="H701" s="119" t="str"/>
      <x:c r="I701" s="119" t="str"/>
      <x:c r="J701" s="119" t="str"/>
      <x:c r="K701" s="118" t="n">
        <x:v>4</x:v>
      </x:c>
      <x:c r="L701" s="118" t="n">
        <x:v>0</x:v>
      </x:c>
      <x:c r="M701" s="118" t="n">
        <x:v>0</x:v>
      </x:c>
      <x:c r="N701" s="118" t="n">
        <x:v>0</x:v>
      </x:c>
      <x:c r="O701" s="118" t="n">
        <x:v>0</x:v>
      </x:c>
      <x:c r="P701" s="118" t="n">
        <x:v>0</x:v>
      </x:c>
      <x:c r="Q701" s="118" t="n">
        <x:v>0</x:v>
      </x:c>
      <x:c r="R701" s="118" t="n">
        <x:v>0</x:v>
      </x:c>
      <x:c r="S701" s="118" t="n">
        <x:v>0</x:v>
      </x:c>
      <x:c r="T701" s="118" t="n">
        <x:v>0</x:v>
      </x:c>
      <x:c r="U701" s="118" t="n">
        <x:v>0</x:v>
      </x:c>
      <x:c r="V701" s="118" t="n">
        <x:v>1</x:v>
      </x:c>
      <x:c r="W701" s="118" t="n">
        <x:v>0</x:v>
      </x:c>
      <x:c r="X701" s="118" t="n">
        <x:v>1</x:v>
      </x:c>
      <x:c r="Y701" s="118" t="n">
        <x:v>0</x:v>
      </x:c>
      <x:c r="Z701" s="118" t="n">
        <x:v>0</x:v>
      </x:c>
      <x:c r="AA701" s="118" t="n">
        <x:v>0</x:v>
      </x:c>
      <x:c r="AB701" s="118" t="n">
        <x:v>1</x:v>
      </x:c>
      <x:c r="AC701" s="118" t="n">
        <x:v>0</x:v>
      </x:c>
    </x:row>
    <x:row r="702" ht="46" customHeight="1">
      <x:c r="A702" s="117" t="str">
        <x:v>300Ro00000xUsgzIAC</x:v>
      </x:c>
      <x:c r="B702" s="117" t="str">
        <x:v>Work_Order_Asynchronous_on_delete_Update_PM_Work_Order_Count_on_Service_Contract</x:v>
      </x:c>
      <x:c r="C702" s="117" t="str">
        <x:v>Yes</x:v>
      </x:c>
      <x:c r="D702" s="119" t="str">
        <x:v>Active v1 (Retrieved XML)</x:v>
      </x:c>
      <x:c r="E702" s="119" t="str">
        <x:v>ServiceContractId IsNull booleanValue=false | RecordTypeId EqualTo stringValue=0125b000000LVpuAAG</x:v>
      </x:c>
      <x:c r="F702" s="119" t="str">
        <x:v>ServiceContract, WorkOrder</x:v>
      </x:c>
      <x:c r="G702" s="119" t="str">
        <x:v>Id, RecordTypeId, ServiceContractId, Total_PM_Work_Orders_on_Contract__c</x:v>
      </x:c>
      <x:c r="H702" s="119" t="str"/>
      <x:c r="I702" s="119" t="str"/>
      <x:c r="J702" s="119" t="str"/>
      <x:c r="K702" s="118" t="n">
        <x:v>4</x:v>
      </x:c>
      <x:c r="L702" s="118" t="n">
        <x:v>0</x:v>
      </x:c>
      <x:c r="M702" s="118" t="n">
        <x:v>0</x:v>
      </x:c>
      <x:c r="N702" s="118" t="n">
        <x:v>0</x:v>
      </x:c>
      <x:c r="O702" s="118" t="n">
        <x:v>0</x:v>
      </x:c>
      <x:c r="P702" s="118" t="n">
        <x:v>0</x:v>
      </x:c>
      <x:c r="Q702" s="118" t="n">
        <x:v>0</x:v>
      </x:c>
      <x:c r="R702" s="118" t="n">
        <x:v>0</x:v>
      </x:c>
      <x:c r="S702" s="118" t="n">
        <x:v>0</x:v>
      </x:c>
      <x:c r="T702" s="118" t="n">
        <x:v>0</x:v>
      </x:c>
      <x:c r="U702" s="118" t="n">
        <x:v>0</x:v>
      </x:c>
      <x:c r="V702" s="118" t="n">
        <x:v>1</x:v>
      </x:c>
      <x:c r="W702" s="118" t="n">
        <x:v>0</x:v>
      </x:c>
      <x:c r="X702" s="118" t="n">
        <x:v>1</x:v>
      </x:c>
      <x:c r="Y702" s="118" t="n">
        <x:v>0</x:v>
      </x:c>
      <x:c r="Z702" s="118" t="n">
        <x:v>0</x:v>
      </x:c>
      <x:c r="AA702" s="118" t="n">
        <x:v>0</x:v>
      </x:c>
      <x:c r="AB702" s="118" t="n">
        <x:v>1</x:v>
      </x:c>
      <x:c r="AC702" s="118" t="n">
        <x:v>0</x:v>
      </x:c>
    </x:row>
    <x:row r="703" ht="46" customHeight="1">
      <x:c r="A703" s="117" t="str">
        <x:v>300Ro00000xUsh0IAC</x:v>
      </x:c>
      <x:c r="B703" s="117" t="str">
        <x:v>Work_Order_Asynchronous_on_update_Update_PM_Work_Order_Count_on_Service_Contract</x:v>
      </x:c>
      <x:c r="C703" s="117" t="str">
        <x:v>Yes</x:v>
      </x:c>
      <x:c r="D703" s="119" t="str">
        <x:v>Active v1 (Retrieved XML)</x:v>
      </x:c>
      <x:c r="E703" s="119" t="str">
        <x:v>RecordTypeId IsChanged booleanValue=true | ServiceContractId IsChanged booleanValue=true</x:v>
      </x:c>
      <x:c r="F703" s="119" t="str">
        <x:v>ServiceContract, WorkOrder</x:v>
      </x:c>
      <x:c r="G703" s="119" t="str">
        <x:v>Id, RecordTypeId, ServiceContractId, Total_PM_Work_Orders_on_Contract__c</x:v>
      </x:c>
      <x:c r="H703" s="119" t="str"/>
      <x:c r="I703" s="119" t="str"/>
      <x:c r="J703" s="119" t="str"/>
      <x:c r="K703" s="118" t="n">
        <x:v>9</x:v>
      </x:c>
      <x:c r="L703" s="118" t="n">
        <x:v>0</x:v>
      </x:c>
      <x:c r="M703" s="118" t="n">
        <x:v>0</x:v>
      </x:c>
      <x:c r="N703" s="118" t="n">
        <x:v>0</x:v>
      </x:c>
      <x:c r="O703" s="118" t="n">
        <x:v>0</x:v>
      </x:c>
      <x:c r="P703" s="118" t="n">
        <x:v>0</x:v>
      </x:c>
      <x:c r="Q703" s="118" t="n">
        <x:v>2</x:v>
      </x:c>
      <x:c r="R703" s="118" t="n">
        <x:v>0</x:v>
      </x:c>
      <x:c r="S703" s="118" t="n">
        <x:v>0</x:v>
      </x:c>
      <x:c r="T703" s="118" t="n">
        <x:v>0</x:v>
      </x:c>
      <x:c r="U703" s="118" t="n">
        <x:v>0</x:v>
      </x:c>
      <x:c r="V703" s="118" t="n">
        <x:v>2</x:v>
      </x:c>
      <x:c r="W703" s="118" t="n">
        <x:v>0</x:v>
      </x:c>
      <x:c r="X703" s="118" t="n">
        <x:v>2</x:v>
      </x:c>
      <x:c r="Y703" s="118" t="n">
        <x:v>0</x:v>
      </x:c>
      <x:c r="Z703" s="118" t="n">
        <x:v>0</x:v>
      </x:c>
      <x:c r="AA703" s="118" t="n">
        <x:v>0</x:v>
      </x:c>
      <x:c r="AB703" s="118" t="n">
        <x:v>2</x:v>
      </x:c>
      <x:c r="AC703" s="118" t="n">
        <x:v>0</x:v>
      </x:c>
    </x:row>
    <x:row r="704" ht="46" customHeight="1">
      <x:c r="A704" s="117" t="str">
        <x:v>300Ro00000fvdcyIAA</x:v>
      </x:c>
      <x:c r="B704" s="117" t="str">
        <x:v>Work_Order_Automations</x:v>
      </x:c>
      <x:c r="C704" s="117" t="str">
        <x:v>Yes</x:v>
      </x:c>
      <x:c r="D704" s="119" t="str">
        <x:v>Active v2 (Retrieved XML)</x:v>
      </x:c>
      <x:c r="E704" s="119" t="str"/>
      <x:c r="F704" s="119" t="str">
        <x:v>Opportunity, WorkOrder</x:v>
      </x:c>
      <x:c r="G704" s="119" t="str">
        <x:v>Account, Id, Opportunity__r, Ship_Date__c, Submit_to_Shipping__c</x:v>
      </x:c>
      <x:c r="H704" s="119" t="str"/>
      <x:c r="I704" s="119" t="str"/>
      <x:c r="J704" s="119" t="str"/>
      <x:c r="K704" s="118" t="n">
        <x:v>4</x:v>
      </x:c>
      <x:c r="L704" s="118" t="n">
        <x:v>0</x:v>
      </x:c>
      <x:c r="M704" s="118" t="n">
        <x:v>0</x:v>
      </x:c>
      <x:c r="N704" s="118" t="n">
        <x:v>0</x:v>
      </x:c>
      <x:c r="O704" s="118" t="n">
        <x:v>0</x:v>
      </x:c>
      <x:c r="P704" s="118" t="n">
        <x:v>1</x:v>
      </x:c>
      <x:c r="Q704" s="118" t="n">
        <x:v>1</x:v>
      </x:c>
      <x:c r="R704" s="118" t="n">
        <x:v>0</x:v>
      </x:c>
      <x:c r="S704" s="118" t="n">
        <x:v>0</x:v>
      </x:c>
      <x:c r="T704" s="118" t="n">
        <x:v>0</x:v>
      </x:c>
      <x:c r="U704" s="118" t="n">
        <x:v>0</x:v>
      </x:c>
      <x:c r="V704" s="118" t="n">
        <x:v>1</x:v>
      </x:c>
      <x:c r="W704" s="118" t="n">
        <x:v>0</x:v>
      </x:c>
      <x:c r="X704" s="118" t="n">
        <x:v>0</x:v>
      </x:c>
      <x:c r="Y704" s="118" t="n">
        <x:v>0</x:v>
      </x:c>
      <x:c r="Z704" s="118" t="n">
        <x:v>0</x:v>
      </x:c>
      <x:c r="AA704" s="118" t="n">
        <x:v>0</x:v>
      </x:c>
      <x:c r="AB704" s="118" t="n">
        <x:v>0</x:v>
      </x:c>
      <x:c r="AC704" s="118" t="n">
        <x:v>0</x:v>
      </x:c>
    </x:row>
    <x:row r="705" ht="46" customHeight="1">
      <x:c r="A705" s="117" t="str">
        <x:v>300Ro00000q8PphIAE</x:v>
      </x:c>
      <x:c r="B705" s="117" t="str">
        <x:v>Work_Order_Calculate_Downtime_Business_Hours</x:v>
      </x:c>
      <x:c r="C705" s="117" t="str">
        <x:v>Yes</x:v>
      </x:c>
      <x:c r="D705" s="119" t="str">
        <x:v>Active v1 (Tooling metadata)</x:v>
      </x:c>
      <x:c r="E705" s="119" t="str">
        <x:v>Downtime_Start__c IsNull stringValue=; booleanValue=; numberValue=; dateValue=; dateTimeValue=; elementReference= | Downtime_End__c IsNull stringValue=; booleanValue=; numberValue=; dateValue=; dateTimeValue=; elementReference= | Downtime_Start__c IsChanged stringValue=; booleanValue=True; numberValue=; dateValue=; dateTimeValue=; elementReference= | Downtime_End__c IsChanged stringValue=; booleanValue=True; numberValue=; dateValue=; dateTimeValue=; elementReference=</x:v>
      </x:c>
      <x:c r="F705" s="119" t="str">
        <x:v>WorkOrder</x:v>
      </x:c>
      <x:c r="G705" s="119" t="str">
        <x:v>Downtime_Business_Hours__c, Downtime_End__c, Downtime_Start__c</x:v>
      </x:c>
      <x:c r="H705" s="119" t="str">
        <x:v>BusinessHoursDiffService</x:v>
      </x:c>
      <x:c r="I705" s="119" t="str"/>
      <x:c r="J705" s="119" t="str"/>
      <x:c r="K705" s="118" t="n">
        <x:v>4</x:v>
      </x:c>
      <x:c r="L705" s="118" t="n">
        <x:v>1</x:v>
      </x:c>
      <x:c r="M705" s="118" t="n">
        <x:v>0</x:v>
      </x:c>
      <x:c r="N705" s="118" t="n">
        <x:v>1</x:v>
      </x:c>
      <x:c r="O705" s="118" t="n">
        <x:v>0</x:v>
      </x:c>
      <x:c r="P705" s="118" t="n">
        <x:v>0</x:v>
      </x:c>
      <x:c r="Q705" s="118" t="n">
        <x:v>0</x:v>
      </x:c>
      <x:c r="R705" s="118" t="n">
        <x:v>0</x:v>
      </x:c>
      <x:c r="S705" s="118" t="n">
        <x:v>0</x:v>
      </x:c>
      <x:c r="T705" s="118" t="n">
        <x:v>0</x:v>
      </x:c>
      <x:c r="U705" s="118" t="n">
        <x:v>0</x:v>
      </x:c>
      <x:c r="V705" s="118" t="n">
        <x:v>0</x:v>
      </x:c>
      <x:c r="W705" s="118" t="n">
        <x:v>0</x:v>
      </x:c>
      <x:c r="X705" s="118" t="n">
        <x:v>1</x:v>
      </x:c>
      <x:c r="Y705" s="118" t="n">
        <x:v>0</x:v>
      </x:c>
      <x:c r="Z705" s="118" t="n">
        <x:v>0</x:v>
      </x:c>
      <x:c r="AA705" s="118" t="n">
        <x:v>0</x:v>
      </x:c>
      <x:c r="AB705" s="118" t="n">
        <x:v>0</x:v>
      </x:c>
      <x:c r="AC705" s="118" t="n">
        <x:v>0</x:v>
      </x:c>
    </x:row>
    <x:row r="706" ht="46" customHeight="1">
      <x:c r="A706" s="117" t="str">
        <x:v>300Ro00000qoWekIAE</x:v>
      </x:c>
      <x:c r="B706" s="117" t="str">
        <x:v>Work_Order_Downtime_End_Setter</x:v>
      </x:c>
      <x:c r="C706" s="117" t="str">
        <x:v>Yes</x:v>
      </x:c>
      <x:c r="D706" s="119" t="str">
        <x:v>Active v1 (Retrieved XML)</x:v>
      </x:c>
      <x:c r="E706" s="119" t="str">
        <x:v>System_Operational__c EqualTo stringValue=Yes | System_Operational__c EqualTo stringValue=Partially</x:v>
      </x:c>
      <x:c r="F706" s="119" t="str">
        <x:v>ServiceAppointment, WorkOrder</x:v>
      </x:c>
      <x:c r="G706" s="119" t="str">
        <x:v>ActualEndTime, Downtime_End__c, Id, ParentRecordId, System_Operational__c</x:v>
      </x:c>
      <x:c r="H706" s="119" t="str"/>
      <x:c r="I706" s="119" t="str"/>
      <x:c r="J706" s="119" t="str"/>
      <x:c r="K706" s="118" t="n">
        <x:v>4</x:v>
      </x:c>
      <x:c r="L706" s="118" t="n">
        <x:v>0</x:v>
      </x:c>
      <x:c r="M706" s="118" t="n">
        <x:v>0</x:v>
      </x:c>
      <x:c r="N706" s="118" t="n">
        <x:v>0</x:v>
      </x:c>
      <x:c r="O706" s="118" t="n">
        <x:v>0</x:v>
      </x:c>
      <x:c r="P706" s="118" t="n">
        <x:v>0</x:v>
      </x:c>
      <x:c r="Q706" s="118" t="n">
        <x:v>1</x:v>
      </x:c>
      <x:c r="R706" s="118" t="n">
        <x:v>0</x:v>
      </x:c>
      <x:c r="S706" s="118" t="n">
        <x:v>0</x:v>
      </x:c>
      <x:c r="T706" s="118" t="n">
        <x:v>0</x:v>
      </x:c>
      <x:c r="U706" s="118" t="n">
        <x:v>0</x:v>
      </x:c>
      <x:c r="V706" s="118" t="n">
        <x:v>1</x:v>
      </x:c>
      <x:c r="W706" s="118" t="n">
        <x:v>0</x:v>
      </x:c>
      <x:c r="X706" s="118" t="n">
        <x:v>1</x:v>
      </x:c>
      <x:c r="Y706" s="118" t="n">
        <x:v>0</x:v>
      </x:c>
      <x:c r="Z706" s="118" t="n">
        <x:v>0</x:v>
      </x:c>
      <x:c r="AA706" s="118" t="n">
        <x:v>0</x:v>
      </x:c>
      <x:c r="AB706" s="118" t="n">
        <x:v>0</x:v>
      </x:c>
      <x:c r="AC706" s="118" t="n">
        <x:v>0</x:v>
      </x:c>
    </x:row>
    <x:row r="707" ht="46" customHeight="1">
      <x:c r="A707" s="117" t="str">
        <x:v>300Ro00000qoWelIAE</x:v>
      </x:c>
      <x:c r="B707" s="117" t="str">
        <x:v>Work_Order_Downtime_Start_Setter</x:v>
      </x:c>
      <x:c r="C707" s="117" t="str">
        <x:v>Yes</x:v>
      </x:c>
      <x:c r="D707" s="119" t="str">
        <x:v>Active v1 (Retrieved XML)</x:v>
      </x:c>
      <x:c r="E707" s="119" t="str">
        <x:v>Priority EqualTo stringValue=Critical | Downtime_Start__c IsNull booleanValue=true</x:v>
      </x:c>
      <x:c r="F707" s="119" t="str">
        <x:v>WorkOrder</x:v>
      </x:c>
      <x:c r="G707" s="119" t="str">
        <x:v>Downtime_Start__c, Priority</x:v>
      </x:c>
      <x:c r="H707" s="119" t="str"/>
      <x:c r="I707" s="119" t="str"/>
      <x:c r="J707" s="119" t="str"/>
      <x:c r="K707" s="118" t="n">
        <x:v>2</x:v>
      </x:c>
      <x:c r="L707" s="118" t="n">
        <x:v>0</x:v>
      </x:c>
      <x:c r="M707" s="118" t="n">
        <x:v>0</x:v>
      </x:c>
      <x:c r="N707" s="118" t="n">
        <x:v>0</x:v>
      </x:c>
      <x:c r="O707" s="118" t="n">
        <x:v>0</x:v>
      </x:c>
      <x:c r="P707" s="118" t="n">
        <x:v>0</x:v>
      </x:c>
      <x:c r="Q707" s="118" t="n">
        <x:v>0</x:v>
      </x:c>
      <x:c r="R707" s="118" t="n">
        <x:v>0</x:v>
      </x:c>
      <x:c r="S707" s="118" t="n">
        <x:v>0</x:v>
      </x:c>
      <x:c r="T707" s="118" t="n">
        <x:v>0</x:v>
      </x:c>
      <x:c r="U707" s="118" t="n">
        <x:v>0</x:v>
      </x:c>
      <x:c r="V707" s="118" t="n">
        <x:v>0</x:v>
      </x:c>
      <x:c r="W707" s="118" t="n">
        <x:v>0</x:v>
      </x:c>
      <x:c r="X707" s="118" t="n">
        <x:v>1</x:v>
      </x:c>
      <x:c r="Y707" s="118" t="n">
        <x:v>0</x:v>
      </x:c>
      <x:c r="Z707" s="118" t="n">
        <x:v>0</x:v>
      </x:c>
      <x:c r="AA707" s="118" t="n">
        <x:v>0</x:v>
      </x:c>
      <x:c r="AB707" s="118" t="n">
        <x:v>0</x:v>
      </x:c>
      <x:c r="AC707" s="118" t="n">
        <x:v>0</x:v>
      </x:c>
    </x:row>
    <x:row r="708" ht="46" customHeight="1">
      <x:c r="A708" s="117" t="str">
        <x:v>300Ro00000mpCtCIAU</x:v>
      </x:c>
      <x:c r="B708" s="117" t="str">
        <x:v>Work_Order_FSL_Desktop_Subflow_Create_Chatter_Post</x:v>
      </x:c>
      <x:c r="C708" s="117" t="str">
        <x:v>No</x:v>
      </x:c>
      <x:c r="D708" s="119" t="str">
        <x:v>Latest inactive v1 (Retrieved XML)</x:v>
      </x:c>
      <x:c r="E708" s="119" t="str"/>
      <x:c r="F708" s="119" t="str">
        <x:v>User, WorkOrder</x:v>
      </x:c>
      <x:c r="G708" s="119" t="str">
        <x:v>Id</x:v>
      </x:c>
      <x:c r="H708" s="119" t="str">
        <x:v>chatterPost</x:v>
      </x:c>
      <x:c r="I708" s="119" t="str"/>
      <x:c r="J708" s="119" t="str"/>
      <x:c r="K708" s="118" t="n">
        <x:v>5</x:v>
      </x:c>
      <x:c r="L708" s="118" t="n">
        <x:v>2</x:v>
      </x:c>
      <x:c r="M708" s="118" t="n">
        <x:v>0</x:v>
      </x:c>
      <x:c r="N708" s="118" t="n">
        <x:v>0</x:v>
      </x:c>
      <x:c r="O708" s="118" t="n">
        <x:v>0</x:v>
      </x:c>
      <x:c r="P708" s="118" t="n">
        <x:v>0</x:v>
      </x:c>
      <x:c r="Q708" s="118" t="n">
        <x:v>1</x:v>
      </x:c>
      <x:c r="R708" s="118" t="n">
        <x:v>0</x:v>
      </x:c>
      <x:c r="S708" s="118" t="n">
        <x:v>0</x:v>
      </x:c>
      <x:c r="T708" s="118" t="n">
        <x:v>0</x:v>
      </x:c>
      <x:c r="U708" s="118" t="n">
        <x:v>0</x:v>
      </x:c>
      <x:c r="V708" s="118" t="n">
        <x:v>1</x:v>
      </x:c>
      <x:c r="W708" s="118" t="n">
        <x:v>0</x:v>
      </x:c>
      <x:c r="X708" s="118" t="n">
        <x:v>0</x:v>
      </x:c>
      <x:c r="Y708" s="118" t="n">
        <x:v>0</x:v>
      </x:c>
      <x:c r="Z708" s="118" t="n">
        <x:v>0</x:v>
      </x:c>
      <x:c r="AA708" s="118" t="n">
        <x:v>0</x:v>
      </x:c>
      <x:c r="AB708" s="118" t="n">
        <x:v>0</x:v>
      </x:c>
      <x:c r="AC708" s="118" t="n">
        <x:v>0</x:v>
      </x:c>
    </x:row>
    <x:row r="709" ht="46" customHeight="1">
      <x:c r="A709" s="117" t="str">
        <x:v>300Ro00000e6sEuIAI</x:v>
      </x:c>
      <x:c r="B709" s="117" t="str">
        <x:v>Work_Order_FSL_Mobile_Subflow_Chatter_Post</x:v>
      </x:c>
      <x:c r="C709" s="117" t="str">
        <x:v>Yes</x:v>
      </x:c>
      <x:c r="D709" s="119" t="str">
        <x:v>Active v4 (Retrieved XML)</x:v>
      </x:c>
      <x:c r="E709" s="119" t="str"/>
      <x:c r="F709" s="119" t="str">
        <x:v>WorkOrder</x:v>
      </x:c>
      <x:c r="G709" s="119" t="str">
        <x:v>Id</x:v>
      </x:c>
      <x:c r="H709" s="119" t="str">
        <x:v>chatterPost</x:v>
      </x:c>
      <x:c r="I709" s="119" t="str"/>
      <x:c r="J709" s="119" t="str"/>
      <x:c r="K709" s="118" t="n">
        <x:v>5</x:v>
      </x:c>
      <x:c r="L709" s="118" t="n">
        <x:v>2</x:v>
      </x:c>
      <x:c r="M709" s="118" t="n">
        <x:v>0</x:v>
      </x:c>
      <x:c r="N709" s="118" t="n">
        <x:v>0</x:v>
      </x:c>
      <x:c r="O709" s="118" t="n">
        <x:v>0</x:v>
      </x:c>
      <x:c r="P709" s="118" t="n">
        <x:v>0</x:v>
      </x:c>
      <x:c r="Q709" s="118" t="n">
        <x:v>1</x:v>
      </x:c>
      <x:c r="R709" s="118" t="n">
        <x:v>0</x:v>
      </x:c>
      <x:c r="S709" s="118" t="n">
        <x:v>0</x:v>
      </x:c>
      <x:c r="T709" s="118" t="n">
        <x:v>0</x:v>
      </x:c>
      <x:c r="U709" s="118" t="n">
        <x:v>0</x:v>
      </x:c>
      <x:c r="V709" s="118" t="n">
        <x:v>1</x:v>
      </x:c>
      <x:c r="W709" s="118" t="n">
        <x:v>0</x:v>
      </x:c>
      <x:c r="X709" s="118" t="n">
        <x:v>0</x:v>
      </x:c>
      <x:c r="Y709" s="118" t="n">
        <x:v>0</x:v>
      </x:c>
      <x:c r="Z709" s="118" t="n">
        <x:v>0</x:v>
      </x:c>
      <x:c r="AA709" s="118" t="n">
        <x:v>0</x:v>
      </x:c>
      <x:c r="AB709" s="118" t="n">
        <x:v>0</x:v>
      </x:c>
      <x:c r="AC709" s="118" t="n">
        <x:v>0</x:v>
      </x:c>
    </x:row>
    <x:row r="710" ht="46" customHeight="1">
      <x:c r="A710" s="117" t="str">
        <x:v>300Ro00000lZu2lIAC</x:v>
      </x:c>
      <x:c r="B710" s="117" t="str">
        <x:v>Work_Order_install_Subflow</x:v>
      </x:c>
      <x:c r="C710" s="117" t="str">
        <x:v>Yes</x:v>
      </x:c>
      <x:c r="D710" s="119" t="str">
        <x:v>Active v12 (Retrieved XML)</x:v>
      </x:c>
      <x:c r="E710" s="119" t="str"/>
      <x:c r="F710" s="119" t="str">
        <x:v>Account, Contact, Lead, Opportunity, OpportunityLineItem, ServiceAppointment, User, WorkOrder, WorkOrderLineItem</x:v>
      </x:c>
      <x:c r="G710" s="119" t="str">
        <x:v>Id, OpportunityId, ParentRecordId</x:v>
      </x:c>
      <x:c r="H710" s="119" t="str"/>
      <x:c r="I710" s="119" t="str"/>
      <x:c r="J710" s="119" t="str">
        <x:v>flowruntime:datatable</x:v>
      </x:c>
      <x:c r="K710" s="118" t="n">
        <x:v>16</x:v>
      </x:c>
      <x:c r="L710" s="118" t="n">
        <x:v>0</x:v>
      </x:c>
      <x:c r="M710" s="118" t="n">
        <x:v>0</x:v>
      </x:c>
      <x:c r="N710" s="118" t="n">
        <x:v>5</x:v>
      </x:c>
      <x:c r="O710" s="118" t="n">
        <x:v>0</x:v>
      </x:c>
      <x:c r="P710" s="118" t="n">
        <x:v>0</x:v>
      </x:c>
      <x:c r="Q710" s="118" t="n">
        <x:v>2</x:v>
      </x:c>
      <x:c r="R710" s="118" t="n">
        <x:v>1</x:v>
      </x:c>
      <x:c r="S710" s="118" t="n">
        <x:v>0</x:v>
      </x:c>
      <x:c r="T710" s="118" t="n">
        <x:v>1</x:v>
      </x:c>
      <x:c r="U710" s="118" t="n">
        <x:v>0</x:v>
      </x:c>
      <x:c r="V710" s="118" t="n">
        <x:v>4</x:v>
      </x:c>
      <x:c r="W710" s="118" t="n">
        <x:v>0</x:v>
      </x:c>
      <x:c r="X710" s="118" t="n">
        <x:v>0</x:v>
      </x:c>
      <x:c r="Y710" s="118" t="n">
        <x:v>2</x:v>
      </x:c>
      <x:c r="Z710" s="118" t="n">
        <x:v>0</x:v>
      </x:c>
      <x:c r="AA710" s="118" t="n">
        <x:v>0</x:v>
      </x:c>
      <x:c r="AB710" s="118" t="n">
        <x:v>0</x:v>
      </x:c>
      <x:c r="AC710" s="118" t="n">
        <x:v>0</x:v>
      </x:c>
    </x:row>
    <x:row r="711" ht="46" customHeight="1">
      <x:c r="A711" s="117" t="str">
        <x:v>300Ro00000eZBBPIA4</x:v>
      </x:c>
      <x:c r="B711" s="117" t="str">
        <x:v>Work_Order_Line_Item_Trigger_Update_US_FSL_Related_Lead</x:v>
      </x:c>
      <x:c r="C711" s="117" t="str">
        <x:v>No</x:v>
      </x:c>
      <x:c r="D711" s="119" t="str">
        <x:v>Latest inactive v1 (Retrieved XML)</x:v>
      </x:c>
      <x:c r="E711" s="119" t="str"/>
      <x:c r="F711" s="119" t="str">
        <x:v>Lead, WorkOrder, WorkOrderLineItem</x:v>
      </x:c>
      <x:c r="G711" s="119" t="str">
        <x:v>Id, Lead_Type__c, Line_Type__c, WorkOrderId</x:v>
      </x:c>
      <x:c r="H711" s="119" t="str"/>
      <x:c r="I711" s="119" t="str"/>
      <x:c r="J711" s="119" t="str"/>
      <x:c r="K711" s="118" t="n">
        <x:v>6</x:v>
      </x:c>
      <x:c r="L711" s="118" t="n">
        <x:v>0</x:v>
      </x:c>
      <x:c r="M711" s="118" t="n">
        <x:v>0</x:v>
      </x:c>
      <x:c r="N711" s="118" t="n">
        <x:v>0</x:v>
      </x:c>
      <x:c r="O711" s="118" t="n">
        <x:v>0</x:v>
      </x:c>
      <x:c r="P711" s="118" t="n">
        <x:v>0</x:v>
      </x:c>
      <x:c r="Q711" s="118" t="n">
        <x:v>2</x:v>
      </x:c>
      <x:c r="R711" s="118" t="n">
        <x:v>0</x:v>
      </x:c>
      <x:c r="S711" s="118" t="n">
        <x:v>0</x:v>
      </x:c>
      <x:c r="T711" s="118" t="n">
        <x:v>0</x:v>
      </x:c>
      <x:c r="U711" s="118" t="n">
        <x:v>0</x:v>
      </x:c>
      <x:c r="V711" s="118" t="n">
        <x:v>2</x:v>
      </x:c>
      <x:c r="W711" s="118" t="n">
        <x:v>0</x:v>
      </x:c>
      <x:c r="X711" s="118" t="n">
        <x:v>1</x:v>
      </x:c>
      <x:c r="Y711" s="118" t="n">
        <x:v>0</x:v>
      </x:c>
      <x:c r="Z711" s="118" t="n">
        <x:v>0</x:v>
      </x:c>
      <x:c r="AA711" s="118" t="n">
        <x:v>0</x:v>
      </x:c>
      <x:c r="AB711" s="118" t="n">
        <x:v>0</x:v>
      </x:c>
      <x:c r="AC711" s="118" t="n">
        <x:v>0</x:v>
      </x:c>
    </x:row>
    <x:row r="712" ht="46" customHeight="1">
      <x:c r="A712" s="117" t="str">
        <x:v>3004O000000XhDiQAK</x:v>
      </x:c>
      <x:c r="B712" s="117" t="str">
        <x:v>Work_Order_PDF_Generation</x:v>
      </x:c>
      <x:c r="C712" s="117" t="str">
        <x:v>No</x:v>
      </x:c>
      <x:c r="D712" s="119" t="str">
        <x:v>Latest inactive v1 (Retrieved XML)</x:v>
      </x:c>
      <x:c r="E712" s="119" t="str"/>
      <x:c r="F712" s="119" t="str">
        <x:v>WorkOrder</x:v>
      </x:c>
      <x:c r="G712" s="119" t="str">
        <x:v>Id</x:v>
      </x:c>
      <x:c r="H712" s="119" t="str">
        <x:v>WorkOrderPDFGenerator</x:v>
      </x:c>
      <x:c r="I712" s="119" t="str"/>
      <x:c r="J712" s="119" t="str"/>
      <x:c r="K712" s="118" t="n">
        <x:v>4</x:v>
      </x:c>
      <x:c r="L712" s="118" t="n">
        <x:v>1</x:v>
      </x:c>
      <x:c r="M712" s="118" t="n">
        <x:v>0</x:v>
      </x:c>
      <x:c r="N712" s="118" t="n">
        <x:v>0</x:v>
      </x:c>
      <x:c r="O712" s="118" t="n">
        <x:v>0</x:v>
      </x:c>
      <x:c r="P712" s="118" t="n">
        <x:v>0</x:v>
      </x:c>
      <x:c r="Q712" s="118" t="n">
        <x:v>0</x:v>
      </x:c>
      <x:c r="R712" s="118" t="n">
        <x:v>0</x:v>
      </x:c>
      <x:c r="S712" s="118" t="n">
        <x:v>0</x:v>
      </x:c>
      <x:c r="T712" s="118" t="n">
        <x:v>0</x:v>
      </x:c>
      <x:c r="U712" s="118" t="n">
        <x:v>0</x:v>
      </x:c>
      <x:c r="V712" s="118" t="n">
        <x:v>1</x:v>
      </x:c>
      <x:c r="W712" s="118" t="n">
        <x:v>0</x:v>
      </x:c>
      <x:c r="X712" s="118" t="n">
        <x:v>0</x:v>
      </x:c>
      <x:c r="Y712" s="118" t="n">
        <x:v>1</x:v>
      </x:c>
      <x:c r="Z712" s="118" t="n">
        <x:v>0</x:v>
      </x:c>
      <x:c r="AA712" s="118" t="n">
        <x:v>0</x:v>
      </x:c>
      <x:c r="AB712" s="118" t="n">
        <x:v>0</x:v>
      </x:c>
      <x:c r="AC712" s="118" t="n">
        <x:v>0</x:v>
      </x:c>
    </x:row>
    <x:row r="713" ht="46" customHeight="1">
      <x:c r="A713" s="117" t="str">
        <x:v>300Ro000007doacIAA</x:v>
      </x:c>
      <x:c r="B713" s="117" t="str">
        <x:v>Work_Order_Rollups</x:v>
      </x:c>
      <x:c r="C713" s="117" t="str">
        <x:v>Yes</x:v>
      </x:c>
      <x:c r="D713" s="119" t="str">
        <x:v>Active v8 (Retrieved XML)</x:v>
      </x:c>
      <x:c r="E713" s="119" t="str">
        <x:v>UnitPrice IsChanged booleanValue=true</x:v>
      </x:c>
      <x:c r="F713" s="119" t="str">
        <x:v>ContractLineItem, WorkOrder, WorkOrderLineItem</x:v>
      </x:c>
      <x:c r="G713" s="119" t="str">
        <x:v>Contract_Line_Item__c, Parts_Shipped_on_Contract_Line_Item__c, RecordTypeId, UnitPrice, WorkOrder</x:v>
      </x:c>
      <x:c r="H713" s="119" t="str"/>
      <x:c r="I713" s="119" t="str"/>
      <x:c r="J713" s="119" t="str"/>
      <x:c r="K713" s="118" t="n">
        <x:v>4</x:v>
      </x:c>
      <x:c r="L713" s="118" t="n">
        <x:v>0</x:v>
      </x:c>
      <x:c r="M713" s="118" t="n">
        <x:v>0</x:v>
      </x:c>
      <x:c r="N713" s="118" t="n">
        <x:v>0</x:v>
      </x:c>
      <x:c r="O713" s="118" t="n">
        <x:v>0</x:v>
      </x:c>
      <x:c r="P713" s="118" t="n">
        <x:v>0</x:v>
      </x:c>
      <x:c r="Q713" s="118" t="n">
        <x:v>0</x:v>
      </x:c>
      <x:c r="R713" s="118" t="n">
        <x:v>0</x:v>
      </x:c>
      <x:c r="S713" s="118" t="n">
        <x:v>0</x:v>
      </x:c>
      <x:c r="T713" s="118" t="n">
        <x:v>0</x:v>
      </x:c>
      <x:c r="U713" s="118" t="n">
        <x:v>0</x:v>
      </x:c>
      <x:c r="V713" s="118" t="n">
        <x:v>1</x:v>
      </x:c>
      <x:c r="W713" s="118" t="n">
        <x:v>0</x:v>
      </x:c>
      <x:c r="X713" s="118" t="n">
        <x:v>1</x:v>
      </x:c>
      <x:c r="Y713" s="118" t="n">
        <x:v>0</x:v>
      </x:c>
      <x:c r="Z713" s="118" t="n">
        <x:v>0</x:v>
      </x:c>
      <x:c r="AA713" s="118" t="n">
        <x:v>0</x:v>
      </x:c>
      <x:c r="AB713" s="118" t="n">
        <x:v>1</x:v>
      </x:c>
      <x:c r="AC713" s="118" t="n">
        <x:v>0</x:v>
      </x:c>
    </x:row>
    <x:row r="714" ht="46" customHeight="1">
      <x:c r="A714" s="117" t="str">
        <x:v>300Ro00000pjRMsIAM</x:v>
      </x:c>
      <x:c r="B714" s="117" t="str">
        <x:v>Work_Order_Triggeer_US_FSR_Layout_Assignment</x:v>
      </x:c>
      <x:c r="C714" s="117" t="str">
        <x:v>Yes</x:v>
      </x:c>
      <x:c r="D714" s="119" t="str">
        <x:v>Active v2 (Retrieved XML)</x:v>
      </x:c>
      <x:c r="E714" s="119" t="str">
        <x:v>RecordTypeId EqualTo stringValue=012Ro000001eDqnIAE | ServiceTerritoryId EqualTo stringValue=0HhRo00000014G5KAI | Country EqualTo stringValue=United States | ServiceReportTemplateId IsNull booleanValue=true | WorkTypeId IsNull booleanValue=false</x:v>
      </x:c>
      <x:c r="F714" s="119" t="str">
        <x:v>ServiceReportLayout, WorkOrder</x:v>
      </x:c>
      <x:c r="G714" s="119" t="str">
        <x:v>Country, DeveloperName, RecordTypeId, ServiceReportTemplateId, ServiceTerritoryId, WorkTypeId</x:v>
      </x:c>
      <x:c r="H714" s="119" t="str"/>
      <x:c r="I714" s="119" t="str"/>
      <x:c r="J714" s="119" t="str"/>
      <x:c r="K714" s="118" t="n">
        <x:v>6</x:v>
      </x:c>
      <x:c r="L714" s="118" t="n">
        <x:v>0</x:v>
      </x:c>
      <x:c r="M714" s="118" t="n">
        <x:v>0</x:v>
      </x:c>
      <x:c r="N714" s="118" t="n">
        <x:v>0</x:v>
      </x:c>
      <x:c r="O714" s="118" t="n">
        <x:v>0</x:v>
      </x:c>
      <x:c r="P714" s="118" t="n">
        <x:v>0</x:v>
      </x:c>
      <x:c r="Q714" s="118" t="n">
        <x:v>1</x:v>
      </x:c>
      <x:c r="R714" s="118" t="n">
        <x:v>0</x:v>
      </x:c>
      <x:c r="S714" s="118" t="n">
        <x:v>0</x:v>
      </x:c>
      <x:c r="T714" s="118" t="n">
        <x:v>0</x:v>
      </x:c>
      <x:c r="U714" s="118" t="n">
        <x:v>0</x:v>
      </x:c>
      <x:c r="V714" s="118" t="n">
        <x:v>2</x:v>
      </x:c>
      <x:c r="W714" s="118" t="n">
        <x:v>0</x:v>
      </x:c>
      <x:c r="X714" s="118" t="n">
        <x:v>2</x:v>
      </x:c>
      <x:c r="Y714" s="118" t="n">
        <x:v>0</x:v>
      </x:c>
      <x:c r="Z714" s="118" t="n">
        <x:v>0</x:v>
      </x:c>
      <x:c r="AA714" s="118" t="n">
        <x:v>0</x:v>
      </x:c>
      <x:c r="AB714" s="118" t="n">
        <x:v>0</x:v>
      </x:c>
      <x:c r="AC714" s="118" t="n">
        <x:v>0</x:v>
      </x:c>
    </x:row>
    <x:row r="715" ht="46" customHeight="1">
      <x:c r="A715" s="117" t="str">
        <x:v>300Ro00000U5KZYIA3</x:v>
      </x:c>
      <x:c r="B715" s="117" t="str">
        <x:v>Work_Order_Trigger_QA_Updates</x:v>
      </x:c>
      <x:c r="C715" s="117" t="str">
        <x:v>No</x:v>
      </x:c>
      <x:c r="D715" s="119" t="str">
        <x:v>Latest inactive v1 (Retrieved XML)</x:v>
      </x:c>
      <x:c r="E715" s="119" t="str">
        <x:v>Contract_Line_Item__c IsNull booleanValue=false</x:v>
      </x:c>
      <x:c r="F715" s="119" t="str">
        <x:v>ServiceAppointment, WorkOrder</x:v>
      </x:c>
      <x:c r="G715" s="119" t="str">
        <x:v>Contract_Line_Item__c, Contract_Line_Item__r, DueDate, EarliestStartTime, Id, ParentRecordId, StartDate, Status, WorkTypeId</x:v>
      </x:c>
      <x:c r="H715" s="119" t="str"/>
      <x:c r="I715" s="119" t="str"/>
      <x:c r="J715" s="119" t="str"/>
      <x:c r="K715" s="118" t="n">
        <x:v>8</x:v>
      </x:c>
      <x:c r="L715" s="118" t="n">
        <x:v>0</x:v>
      </x:c>
      <x:c r="M715" s="118" t="n">
        <x:v>0</x:v>
      </x:c>
      <x:c r="N715" s="118" t="n">
        <x:v>0</x:v>
      </x:c>
      <x:c r="O715" s="118" t="n">
        <x:v>0</x:v>
      </x:c>
      <x:c r="P715" s="118" t="n">
        <x:v>0</x:v>
      </x:c>
      <x:c r="Q715" s="118" t="n">
        <x:v>2</x:v>
      </x:c>
      <x:c r="R715" s="118" t="n">
        <x:v>0</x:v>
      </x:c>
      <x:c r="S715" s="118" t="n">
        <x:v>0</x:v>
      </x:c>
      <x:c r="T715" s="118" t="n">
        <x:v>1</x:v>
      </x:c>
      <x:c r="U715" s="118" t="n">
        <x:v>0</x:v>
      </x:c>
      <x:c r="V715" s="118" t="n">
        <x:v>1</x:v>
      </x:c>
      <x:c r="W715" s="118" t="n">
        <x:v>0</x:v>
      </x:c>
      <x:c r="X715" s="118" t="n">
        <x:v>3</x:v>
      </x:c>
      <x:c r="Y715" s="118" t="n">
        <x:v>0</x:v>
      </x:c>
      <x:c r="Z715" s="118" t="n">
        <x:v>0</x:v>
      </x:c>
      <x:c r="AA715" s="118" t="n">
        <x:v>0</x:v>
      </x:c>
      <x:c r="AB715" s="118" t="n">
        <x:v>0</x:v>
      </x:c>
      <x:c r="AC715" s="118" t="n">
        <x:v>0</x:v>
      </x:c>
    </x:row>
    <x:row r="716" ht="46" customHeight="1">
      <x:c r="A716" s="117" t="str">
        <x:v>300Ro00000S8ODBIA3</x:v>
      </x:c>
      <x:c r="B716" s="117" t="str">
        <x:v>Work_Order_Trigger_Update_Cancelled_WO_Related_SAs</x:v>
      </x:c>
      <x:c r="C716" s="117" t="str">
        <x:v>Yes</x:v>
      </x:c>
      <x:c r="D716" s="119" t="str">
        <x:v>Active v4 (Retrieved XML)</x:v>
      </x:c>
      <x:c r="E716" s="119" t="str">
        <x:v>Status EqualTo stringValue=Canceled</x:v>
      </x:c>
      <x:c r="F716" s="119" t="str">
        <x:v>ServiceAppointment, WorkOrder</x:v>
      </x:c>
      <x:c r="G716" s="119" t="str">
        <x:v>Id, Status, Work_Order__c</x:v>
      </x:c>
      <x:c r="H716" s="119" t="str"/>
      <x:c r="I716" s="119" t="str"/>
      <x:c r="J716" s="119" t="str"/>
      <x:c r="K716" s="118" t="n">
        <x:v>6</x:v>
      </x:c>
      <x:c r="L716" s="118" t="n">
        <x:v>0</x:v>
      </x:c>
      <x:c r="M716" s="118" t="n">
        <x:v>0</x:v>
      </x:c>
      <x:c r="N716" s="118" t="n">
        <x:v>1</x:v>
      </x:c>
      <x:c r="O716" s="118" t="n">
        <x:v>0</x:v>
      </x:c>
      <x:c r="P716" s="118" t="n">
        <x:v>0</x:v>
      </x:c>
      <x:c r="Q716" s="118" t="n">
        <x:v>1</x:v>
      </x:c>
      <x:c r="R716" s="118" t="n">
        <x:v>1</x:v>
      </x:c>
      <x:c r="S716" s="118" t="n">
        <x:v>0</x:v>
      </x:c>
      <x:c r="T716" s="118" t="n">
        <x:v>0</x:v>
      </x:c>
      <x:c r="U716" s="118" t="n">
        <x:v>0</x:v>
      </x:c>
      <x:c r="V716" s="118" t="n">
        <x:v>1</x:v>
      </x:c>
      <x:c r="W716" s="118" t="n">
        <x:v>0</x:v>
      </x:c>
      <x:c r="X716" s="118" t="n">
        <x:v>1</x:v>
      </x:c>
      <x:c r="Y716" s="118" t="n">
        <x:v>0</x:v>
      </x:c>
      <x:c r="Z716" s="118" t="n">
        <x:v>0</x:v>
      </x:c>
      <x:c r="AA716" s="118" t="n">
        <x:v>0</x:v>
      </x:c>
      <x:c r="AB716" s="118" t="n">
        <x:v>0</x:v>
      </x:c>
      <x:c r="AC716" s="118" t="n">
        <x:v>0</x:v>
      </x:c>
    </x:row>
    <x:row r="717" ht="46" customHeight="1">
      <x:c r="A717" s="117" t="str">
        <x:v>300Ro00000cnT4lIAE</x:v>
      </x:c>
      <x:c r="B717" s="117" t="str">
        <x:v>Work_Order_Ultrasound_Creation_Automation</x:v>
      </x:c>
      <x:c r="C717" s="117" t="str">
        <x:v>Yes</x:v>
      </x:c>
      <x:c r="D717" s="119" t="str">
        <x:v>Active v1 (Retrieved XML)</x:v>
      </x:c>
      <x:c r="E717" s="119" t="str">
        <x:v>Ultrasound_Global_Action_Automation__c EqualTo booleanValue=true</x:v>
      </x:c>
      <x:c r="F717" s="119" t="str">
        <x:v>ContractLineItem, WorkOrder</x:v>
      </x:c>
      <x:c r="G717" s="119" t="str">
        <x:v>City, Contract_Line_Item__r, Country, Id, PostalCode, StartDate, State, Street, System_Serial_Number__c, Ultrasound_Global_Action_Automation__c</x:v>
      </x:c>
      <x:c r="H717" s="119" t="str"/>
      <x:c r="I717" s="119" t="str"/>
      <x:c r="J717" s="119" t="str"/>
      <x:c r="K717" s="118" t="n">
        <x:v>3</x:v>
      </x:c>
      <x:c r="L717" s="118" t="n">
        <x:v>0</x:v>
      </x:c>
      <x:c r="M717" s="118" t="n">
        <x:v>0</x:v>
      </x:c>
      <x:c r="N717" s="118" t="n">
        <x:v>0</x:v>
      </x:c>
      <x:c r="O717" s="118" t="n">
        <x:v>0</x:v>
      </x:c>
      <x:c r="P717" s="118" t="n">
        <x:v>0</x:v>
      </x:c>
      <x:c r="Q717" s="118" t="n">
        <x:v>0</x:v>
      </x:c>
      <x:c r="R717" s="118" t="n">
        <x:v>0</x:v>
      </x:c>
      <x:c r="S717" s="118" t="n">
        <x:v>0</x:v>
      </x:c>
      <x:c r="T717" s="118" t="n">
        <x:v>0</x:v>
      </x:c>
      <x:c r="U717" s="118" t="n">
        <x:v>0</x:v>
      </x:c>
      <x:c r="V717" s="118" t="n">
        <x:v>1</x:v>
      </x:c>
      <x:c r="W717" s="118" t="n">
        <x:v>0</x:v>
      </x:c>
      <x:c r="X717" s="118" t="n">
        <x:v>1</x:v>
      </x:c>
      <x:c r="Y717" s="118" t="n">
        <x:v>0</x:v>
      </x:c>
      <x:c r="Z717" s="118" t="n">
        <x:v>0</x:v>
      </x:c>
      <x:c r="AA717" s="118" t="n">
        <x:v>0</x:v>
      </x:c>
      <x:c r="AB717" s="118" t="n">
        <x:v>0</x:v>
      </x:c>
      <x:c r="AC717" s="118" t="n">
        <x:v>0</x:v>
      </x:c>
    </x:row>
    <x:row r="718" ht="46" customHeight="1">
      <x:c r="A718" s="117" t="str">
        <x:v>300Ro00000Pz0l0IAB</x:v>
      </x:c>
      <x:c r="B718" s="117" t="str">
        <x:v>Work_Step_Manager</x:v>
      </x:c>
      <x:c r="C718" s="117" t="str">
        <x:v>Yes</x:v>
      </x:c>
      <x:c r="D718" s="119" t="str">
        <x:v>Active v18 (Retrieved XML)</x:v>
      </x:c>
      <x:c r="E718" s="119" t="str"/>
      <x:c r="F718" s="119" t="str">
        <x:v>Address, ServiceAppointment, WorkOrder, WorkStep</x:v>
      </x:c>
      <x:c r="G718" s="119" t="str">
        <x:v>Country, Id, Make_Model__c, Status, WorkOrderId, WorkOrderNumber</x:v>
      </x:c>
      <x:c r="H718" s="119" t="str"/>
      <x:c r="I718" s="119" t="str">
        <x:v>CT_Checklist, C_ARM_Checklist, Cardio_Labs_Checklist, DEXA_Checklist, Dental_Checklist, FSL_CR_Checklist, FSL_Ultrasound_Electrical_Safety_Tests_Checklist, Injector_Checklist, IntraoralChecklist, Iradimed_Infusion_Pump_Checklist, Iradimed_Patient_Monitor_Checklist, MRI_Checklist, Mammography_Checklist, Mobile_X_Ray_Checklist, Static_Fluoro, Static_X_Ray_CR_Checklist, Statix_X_Ray_DDR_Checklist, US_FSL_Trophon_Checklist, US_FSL_Ultrasound_Checklist, Ultrasound_Checklist</x:v>
      </x:c>
      <x:c r="J718" s="119" t="str"/>
      <x:c r="K718" s="118" t="n">
        <x:v>50</x:v>
      </x:c>
      <x:c r="L718" s="118" t="n">
        <x:v>0</x:v>
      </x:c>
      <x:c r="M718" s="118" t="n">
        <x:v>0</x:v>
      </x:c>
      <x:c r="N718" s="118" t="n">
        <x:v>0</x:v>
      </x:c>
      <x:c r="O718" s="118" t="n">
        <x:v>0</x:v>
      </x:c>
      <x:c r="P718" s="118" t="n">
        <x:v>0</x:v>
      </x:c>
      <x:c r="Q718" s="118" t="n">
        <x:v>6</x:v>
      </x:c>
      <x:c r="R718" s="118" t="n">
        <x:v>0</x:v>
      </x:c>
      <x:c r="S718" s="118" t="n">
        <x:v>0</x:v>
      </x:c>
      <x:c r="T718" s="118" t="n">
        <x:v>0</x:v>
      </x:c>
      <x:c r="U718" s="118" t="n">
        <x:v>0</x:v>
      </x:c>
      <x:c r="V718" s="118" t="n">
        <x:v>2</x:v>
      </x:c>
      <x:c r="W718" s="118" t="n">
        <x:v>0</x:v>
      </x:c>
      <x:c r="X718" s="118" t="n">
        <x:v>17</x:v>
      </x:c>
      <x:c r="Y718" s="118" t="n">
        <x:v>4</x:v>
      </x:c>
      <x:c r="Z718" s="118" t="n">
        <x:v>0</x:v>
      </x:c>
      <x:c r="AA718" s="118" t="n">
        <x:v>20</x:v>
      </x:c>
      <x:c r="AB718" s="118" t="n">
        <x:v>0</x:v>
      </x:c>
      <x:c r="AC718" s="118" t="n">
        <x:v>0</x:v>
      </x:c>
    </x:row>
    <x:row r="719" ht="46" customHeight="1">
      <x:c r="A719" s="117" t="str">
        <x:v>300Ro00000xMXeTIAW</x:v>
      </x:c>
      <x:c r="B719" s="117" t="str">
        <x:v>Working_Capital_Usage_Days_Roll_Up</x:v>
      </x:c>
      <x:c r="C719" s="117" t="str">
        <x:v>No</x:v>
      </x:c>
      <x:c r="D719" s="119" t="str">
        <x:v>Latest inactive v1 (Retrieved XML)</x:v>
      </x:c>
      <x:c r="E719" s="119" t="str">
        <x:v>Working_Capital_Usage_Days__c IsChanged booleanValue=true | Purchasing_Opportunity__c IsChanged booleanValue=true</x:v>
      </x:c>
      <x:c r="F719" s="119" t="str">
        <x:v>Opportunity, ProductItem__c</x:v>
      </x:c>
      <x:c r="G719" s="119" t="str">
        <x:v>Id, Purchasing_Opportunity__c, Working_Capital_Usage_Days__c</x:v>
      </x:c>
      <x:c r="H719" s="119" t="str"/>
      <x:c r="I719" s="119" t="str"/>
      <x:c r="J719" s="119" t="str"/>
      <x:c r="K719" s="118" t="n">
        <x:v>12</x:v>
      </x:c>
      <x:c r="L719" s="118" t="n">
        <x:v>0</x:v>
      </x:c>
      <x:c r="M719" s="118" t="n">
        <x:v>0</x:v>
      </x:c>
      <x:c r="N719" s="118" t="n">
        <x:v>4</x:v>
      </x:c>
      <x:c r="O719" s="118" t="n">
        <x:v>0</x:v>
      </x:c>
      <x:c r="P719" s="118" t="n">
        <x:v>0</x:v>
      </x:c>
      <x:c r="Q719" s="118" t="n">
        <x:v>3</x:v>
      </x:c>
      <x:c r="R719" s="118" t="n">
        <x:v>1</x:v>
      </x:c>
      <x:c r="S719" s="118" t="n">
        <x:v>0</x:v>
      </x:c>
      <x:c r="T719" s="118" t="n">
        <x:v>0</x:v>
      </x:c>
      <x:c r="U719" s="118" t="n">
        <x:v>0</x:v>
      </x:c>
      <x:c r="V719" s="118" t="n">
        <x:v>2</x:v>
      </x:c>
      <x:c r="W719" s="118" t="n">
        <x:v>0</x:v>
      </x:c>
      <x:c r="X719" s="118" t="n">
        <x:v>1</x:v>
      </x:c>
      <x:c r="Y719" s="118" t="n">
        <x:v>0</x:v>
      </x:c>
      <x:c r="Z719" s="118" t="n">
        <x:v>0</x:v>
      </x:c>
      <x:c r="AA719" s="118" t="n">
        <x:v>0</x:v>
      </x:c>
      <x:c r="AB719" s="118" t="n">
        <x:v>0</x:v>
      </x:c>
      <x:c r="AC719" s="118" t="n">
        <x:v>0</x:v>
      </x:c>
    </x:row>
    <x:row r="720" ht="46" customHeight="1">
      <x:c r="A720" s="117" t="str">
        <x:v>3004O0000000a5sQAA</x:v>
      </x:c>
      <x:c r="B720" s="117" t="str">
        <x:v>ZENKRAFT_Email_Label_When_Return_Shipment_Created</x:v>
      </x:c>
      <x:c r="C720" s="117" t="str">
        <x:v>Yes</x:v>
      </x:c>
      <x:c r="D720" s="119" t="str">
        <x:v>Active v1 (Retrieved XML)</x:v>
      </x:c>
      <x:c r="E720" s="119" t="str"/>
      <x:c r="F720" s="119" t="str">
        <x:v>zkmulti__MCShipment__c</x:v>
      </x:c>
      <x:c r="G720" s="119" t="str"/>
      <x:c r="H720" s="119" t="str">
        <x:v>zkmulti__InvocableSendLabels</x:v>
      </x:c>
      <x:c r="I720" s="119" t="str"/>
      <x:c r="J720" s="119" t="str"/>
      <x:c r="K720" s="118" t="n">
        <x:v>7</x:v>
      </x:c>
      <x:c r="L720" s="118" t="n">
        <x:v>1</x:v>
      </x:c>
      <x:c r="M720" s="118" t="n">
        <x:v>0</x:v>
      </x:c>
      <x:c r="N720" s="118" t="n">
        <x:v>2</x:v>
      </x:c>
      <x:c r="O720" s="118" t="n">
        <x:v>0</x:v>
      </x:c>
      <x:c r="P720" s="118" t="n">
        <x:v>0</x:v>
      </x:c>
      <x:c r="Q720" s="118" t="n">
        <x:v>3</x:v>
      </x:c>
      <x:c r="R720" s="118" t="n">
        <x:v>0</x:v>
      </x:c>
      <x:c r="S720" s="118" t="n">
        <x:v>0</x:v>
      </x:c>
      <x:c r="T720" s="118" t="n">
        <x:v>0</x:v>
      </x:c>
      <x:c r="U720" s="118" t="n">
        <x:v>0</x:v>
      </x:c>
      <x:c r="V720" s="118" t="n">
        <x:v>0</x:v>
      </x:c>
      <x:c r="W720" s="118" t="n">
        <x:v>0</x:v>
      </x:c>
      <x:c r="X720" s="118" t="n">
        <x:v>0</x:v>
      </x:c>
      <x:c r="Y720" s="118" t="n">
        <x:v>0</x:v>
      </x:c>
      <x:c r="Z720" s="118" t="n">
        <x:v>0</x:v>
      </x:c>
      <x:c r="AA720" s="118" t="n">
        <x:v>0</x:v>
      </x:c>
      <x:c r="AB720" s="118" t="n">
        <x:v>0</x:v>
      </x:c>
      <x:c r="AC720" s="118" t="n">
        <x:v>1</x:v>
      </x:c>
    </x:row>
  </x:sheetData>
  <x:mergeCells>
    <x:mergeCell ref="A1:AC1"/>
    <x:mergeCell ref="A2:AC2"/>
  </x:mergeCells>
  <x:pageMargins left="0.7" right="0.7" top="0.75" bottom="0.75" header="0.3" footer="0.3"/>
  <x:tableParts count="1">
    <x:tablePart xmlns:r="http://schemas.openxmlformats.org/officeDocument/2006/relationships" r:id="R3c387e35b6d04bd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24" hidden="0" customWidth="1"/>
    <x:col min="3" max="3" width="22" hidden="0" customWidth="1"/>
    <x:col min="4" max="4" width="19" hidden="0" customWidth="1"/>
    <x:col min="5" max="5" width="14" hidden="0" customWidth="1"/>
    <x:col min="6" max="6" width="14" hidden="0" customWidth="1"/>
    <x:col min="7" max="7" width="68" hidden="0" customWidth="1"/>
    <x:col min="8" max="8" width="36" hidden="0" customWidth="1"/>
    <x:col min="9" max="9" width="72" hidden="0" customWidth="1"/>
    <x:col min="10" max="10" width="52" hidden="0" customWidth="1"/>
    <x:col min="11" max="11" width="64" hidden="0" customWidth="1"/>
  </x:cols>
  <x:sheetData>
    <x:row r="1" ht="28" customHeight="1">
      <x:c r="A1" s="3" t="str">
        <x:v>Consolidation Plan — Compatible Object/Timing/Event Lanes</x:v>
      </x:c>
      <x:c r="B1" s="3"/>
      <x:c r="C1" s="3"/>
      <x:c r="D1" s="3"/>
      <x:c r="E1" s="3"/>
      <x:c r="F1" s="3"/>
      <x:c r="G1" s="3"/>
      <x:c r="H1" s="3"/>
      <x:c r="I1" s="3"/>
      <x:c r="J1" s="3"/>
      <x:c r="K1" s="3"/>
    </x:row>
    <x:row r="2" ht="34" customHeight="1">
      <x:c r="A2" s="7" t="str">
        <x:v>A safe target is one entry Flow per compatible transaction lane, not one universal Flow per object. Rows combine live Flow density with Apex-trigger overlap.</x:v>
      </x:c>
      <x:c r="B2" s="7"/>
      <x:c r="C2" s="7"/>
      <x:c r="D2" s="7"/>
      <x:c r="E2" s="7"/>
      <x:c r="F2" s="7"/>
      <x:c r="G2" s="7"/>
      <x:c r="H2" s="7"/>
      <x:c r="I2" s="7"/>
      <x:c r="J2" s="7"/>
      <x:c r="K2" s="7"/>
    </x:row>
    <x:row r="4" ht="36" customHeight="1">
      <x:c r="A4" s="114" t="str">
        <x:v>Priority</x:v>
      </x:c>
      <x:c r="B4" s="115" t="str">
        <x:v>Object</x:v>
      </x:c>
      <x:c r="C4" s="115" t="str">
        <x:v>Trigger Timing</x:v>
      </x:c>
      <x:c r="D4" s="115" t="str">
        <x:v>Record Event</x:v>
      </x:c>
      <x:c r="E4" s="115" t="str">
        <x:v>Active Flow Count</x:v>
      </x:c>
      <x:c r="F4" s="115" t="str">
        <x:v>Apex Trigger Count</x:v>
      </x:c>
      <x:c r="G4" s="115" t="str">
        <x:v>Active Flows</x:v>
      </x:c>
      <x:c r="H4" s="115" t="str">
        <x:v>Apex Triggers</x:v>
      </x:c>
      <x:c r="I4" s="115" t="str">
        <x:v>Recommended Target Pattern</x:v>
      </x:c>
      <x:c r="J4" s="115" t="str">
        <x:v>Flow Orchestrator Fit</x:v>
      </x:c>
      <x:c r="K4" s="116" t="str">
        <x:v>Next R&amp;D Step</x:v>
      </x:c>
    </x:row>
    <x:row r="5" ht="72" customHeight="1">
      <x:c r="A5" s="117" t="str">
        <x:v>High</x:v>
      </x:c>
      <x:c r="B5" s="117" t="str">
        <x:v>Opportunity</x:v>
      </x:c>
      <x:c r="C5" s="117" t="str">
        <x:v>RecordAfterSave</x:v>
      </x:c>
      <x:c r="D5" s="117" t="str">
        <x:v>Update</x:v>
      </x:c>
      <x:c r="E5" s="118" t="n">
        <x:v>26</x:v>
      </x:c>
      <x:c r="F5" s="118" t="n">
        <x:v>2</x:v>
      </x:c>
      <x:c r="G5" s="119" t="str">
        <x:v>Alert_AR_for_Opp_Ready_to_Bill, Auto_Create_Post_Repair_Eval_on_Opp, BIPO_Closed_Lost_Notification, Big_Iron_Purchasing_Opportunity_Updates_Alerts, Close_Win_Charge_for_Removal_Op_Automatically, Davis_Medical_Shipping_Email_Alert_Flow, Mark_Closed_Lost_Big_Iron_Assets_as_PAd_and_Sold, On_Entry_of_Confirmation_Number_Send_Prepay_Received_Email, Opportunity_Asynchronous_on_update_Update_Total_Cost_of_Project_POs, Opportunity_Create_Warranty_Service_Contract, Purchasing_Opportunity_Field_Updates_Flow, Record_Triggered_Opportunity_Send_Tracking_Confirmation_for_WooCommerce_Orders, Sets_the_FSR_Datestamp_to_Today_when_FSR_Not_Required_or_FSR_Attached_is_Checked, UK_Notification_for_Shipping_Ops_to_the_UK, UK_Shipping_Timestamp_field_update_flow, US_FSL_For_Probe_Parts_Repair_Opp_Upon_FSR_attached_mark_the_work_order_status_a, US_FSL_For_Probe_Parts_Sale_Opp_When_switched_to_pending_approval_change_work_or, US_FSL_For_Probe_Repair_Opp_On_Setting_of_Repair_Approved_change_Work_Order_to_R, US_FSL_For_Probe_Sale_Opp_Upon_Close_Won_Update_Work_Order_Status_to_Ready_to_Sh, US_FSL_For_Probe_Sale_Opp_Upon_Tracking_Entered_Update_Work_Order_Status_to_Ship, US_FSL_On_Addition_of_Related_Work_Order_Transfer_Ownership, US_FSL_On_Close_Lost_Repair_Opp_Set_WOLIs_to_Repair_Canceled, US_FSL_On_Ready_to_Ship_for_Opp_Update_WO_to_Confirm_Shipping, US_FSL_On_Repair_Declined_for_Opp_Update_WO_to_Pending_Shipment, Update_Currency_when_Entity_is_Changed, Update_Opportunity_With_Lead_Gen_Info</x:v>
      </x:c>
      <x:c r="H5" s="119" t="str">
        <x:v>P_OpportunityTrigger, ProcessTemplateFolder</x:v>
      </x:c>
      <x:c r="I5" s="119" t="str">
        <x:v>One after-save entry Flow per object/event lane; route business domains to autolaunched Subflows and preserve async paths. Trace Apex trigger handlers in the same transaction before selecting the final owner for each rule.</x:v>
      </x:c>
      <x:c r="J5" s="119" t="str">
        <x:v>No for same-transaction consolidation; consider only for long-running, multi-user staged work.</x:v>
      </x:c>
      <x:c r="K5" s="119" t="str">
        <x:v>Build a rule matrix by entry criteria, fields written, downstream actions, order, and error handling; then prototype in a sandbox.</x:v>
      </x:c>
    </x:row>
    <x:row r="6" ht="72" customHeight="1">
      <x:c r="A6" s="117" t="str">
        <x:v>High</x:v>
      </x:c>
      <x:c r="B6" s="117" t="str">
        <x:v>ProductItem__c</x:v>
      </x:c>
      <x:c r="C6" s="117" t="str">
        <x:v>RecordAfterSave</x:v>
      </x:c>
      <x:c r="D6" s="117" t="str">
        <x:v>Update</x:v>
      </x:c>
      <x:c r="E6" s="118" t="n">
        <x:v>20</x:v>
      </x:c>
      <x:c r="F6" s="118" t="n">
        <x:v>2</x:v>
      </x:c>
      <x:c r="G6" s="119" t="str">
        <x:v>Asset_Update_After_Save_Set_Product_Analytics_on_Product_Name_Change, Charge_for_Removal_Update_Flow_for_Big_Iron_Equipment, Coil_RMA_Update_Last_Test_Completed_Date_Flow, Missing_Asset_Checkbox_Notification_on_Asset2, Probe_Loan_ROI_Calculations_FLow, ProductItem_Asynchronous_on_update_Estimated_Sales_Price_Roll_Up, ProductItem_Asynchronous_on_update_HWO_Total_Cost_Roll_Up, ProductItem_Asynchronous_on_update_HWO_Total_Revenue_Roll_Up, ProductItem_Asynchronous_on_update_Item_Receipt_Amount_Roll_Up, ProductItem_Asynchronous_on_update_Loaner_Asset_Number_Roll_Up, ProductItem_Asynchronous_on_update_Loaner_Location_Roll_Up, ProductItem_Asynchronous_on_update_Loaner_Serial_Number_Roll_Up, ProductItem_Asynchronous_on_update_Max_Bid_Roll_Up, ProductItem_Asynchronous_on_update_NumberCheckedIn_PO_Roll_Up, ProductItem_Asynchronous_on_update_Starting_Bid_Roll_Up, ProductItem_on_update_Pur_Op_Total_Cost_Roll_Up, ProductItem_on_update_Pur_Op_Total_Cost_of_Unsold_Assets_Roll_Up, ProductItem_on_update_Pur_Op_Working_Capital_Usage_Days_Roll_Up, ProductItem_on_update_Rental_Order_Price_Roll_Up, QA_Required_Auto_Update_from_Assets_for_UK</x:v>
      </x:c>
      <x:c r="H6" s="119" t="str">
        <x:v>P_ProductItemTrigger, dlrs_ProductItemTrigger</x:v>
      </x:c>
      <x:c r="I6" s="119" t="str">
        <x:v>One after-save entry Flow per object/event lane; route business domains to autolaunched Subflows and preserve async paths. Trace Apex trigger handlers in the same transaction before selecting the final owner for each rule.</x:v>
      </x:c>
      <x:c r="J6" s="119" t="str">
        <x:v>No for same-transaction consolidation; consider only for long-running, multi-user staged work.</x:v>
      </x:c>
      <x:c r="K6" s="119" t="str">
        <x:v>Build a rule matrix by entry criteria, fields written, downstream actions, order, and error handling; then prototype in a sandbox.</x:v>
      </x:c>
    </x:row>
    <x:row r="7" ht="72" customHeight="1">
      <x:c r="A7" s="117" t="str">
        <x:v>High</x:v>
      </x:c>
      <x:c r="B7" s="117" t="str">
        <x:v>WorkOrder</x:v>
      </x:c>
      <x:c r="C7" s="117" t="str">
        <x:v>RecordAfterSave</x:v>
      </x:c>
      <x:c r="D7" s="117" t="str">
        <x:v>Update</x:v>
      </x:c>
      <x:c r="E7" s="118" t="n">
        <x:v>19</x:v>
      </x:c>
      <x:c r="F7" s="118" t="n">
        <x:v>3</x:v>
      </x:c>
      <x:c r="G7" s="119" t="str">
        <x:v>Create_Service_Calendar_Event_from_Work_Order_UK, FSL_US_On_FSR_Attached_Update_Work_Order_to_Completed_WO, FSL_US_On_Submit_to_Shipping_Update_Status_to_Pending_Shipment, FSL_US_On_Tracking_Update_Status_to_Parts_Probe_Shipped, On_Creation_of_Work_Order_Set_Shipping_Account_to_Bill_Customer_Fedex_System, On_Make_Model_or_Serial_Number_Change_Update_the_Opportunity, On_Serial_Number_Change_Update_the_Opportunity, On_Update_Completed_Undo_Update_Needed_Checkbox_and_Reset_Status, On_Update_of_Address_Update_Opportunity_Shipping_if_Needed, On_Update_of_Shipping_Location_on_Work_Order_Update_Location_on_Open_Service_App, PartsReadyForCollectionWorkOrderAlert, US_FSL_On_Picked_Up_by_Operations_Notify_Engineer, US_FSL_On_WO_Field_Update_Update_Opportunity_Fields, US_FSL_Site_Address_Populated_but_Not_Shipping_Address, US_FSL_Update_Open_SA_Shipping_Address_when_changed_on_WO, Update_Need_Quote_Lines_to_Part_Quoted, Work_Order_Assignment_and_Alerts_Flow, Work_Order_Asynchronous_on_update_Update_PM_Work_Order_Count_on_Service_Contract, Work_Order_Trigger_Update_Cancelled_WO_Related_SAs</x:v>
      </x:c>
      <x:c r="H7" s="119" t="str">
        <x:v>P_ServiceWorkOrderTrigger, UKBusinessHours, WorkOrderTrigger</x:v>
      </x:c>
      <x:c r="I7" s="119" t="str">
        <x:v>One after-save entry Flow per object/event lane; route business domains to autolaunched Subflows and preserve async paths. Trace Apex trigger handlers in the same transaction before selecting the final owner for each rule.</x:v>
      </x:c>
      <x:c r="J7" s="119" t="str">
        <x:v>No for same-transaction consolidation; consider only for long-running, multi-user staged work.</x:v>
      </x:c>
      <x:c r="K7" s="119" t="str">
        <x:v>Build a rule matrix by entry criteria, fields written, downstream actions, order, and error handling; then prototype in a sandbox.</x:v>
      </x:c>
    </x:row>
    <x:row r="8" ht="72" customHeight="1">
      <x:c r="A8" s="117" t="str">
        <x:v>High</x:v>
      </x:c>
      <x:c r="B8" s="117" t="str">
        <x:v>ServiceAppointment</x:v>
      </x:c>
      <x:c r="C8" s="117" t="str">
        <x:v>RecordAfterSave</x:v>
      </x:c>
      <x:c r="D8" s="117" t="str">
        <x:v>Update</x:v>
      </x:c>
      <x:c r="E8" s="118" t="n">
        <x:v>18</x:v>
      </x:c>
      <x:c r="F8" s="118" t="n">
        <x:v>0</x:v>
      </x:c>
      <x:c r="G8" s="119" t="str">
        <x:v>Create_Return_Service_Appointment_Upon_Return_Site_Visit_Required, FSL_Engineer_Dispatched_Email_Alert, FSL_Formatted_HTML_Service_Report_Update, FSL_Service_Appointment_Work_Order_Country_Checker, FSL_Set_Service_Report_Layout_ID_on_Checklist_Type_Update, On_SA_Cancellation_Close_all_Open_Sourcing_Requests, PartsReadyForCollectionServiceAppointmentAlert, Service_Appointment_Delete_Unneeded_Time_Blocks, Service_Appointment_On_Shipment_Change_Lines_to_Enroute, Service_Appointment_On_Update_of_Ship_To_Date_Set_Address, Service_Appointment_Status_Set_to_Canceled, Service_Appointment_Trigger_If_SA_updated_update_event, Service_Appointment_Trigger_Send_Email_to_AR_Upon_Dispatch, US_FSL_On_Tracking_Entered_for_Service_Appointment_update_the_work_order_to_Part, US_FSL_On_submitting_of_shipping_update_the_work_order_to_pending_shipment, US_FSL_Trigger_Generate_Checksheet_HTML, Update_US_Billing_Type_on_Edit_of_Service_Appointment, Work_Order_Downtime_End_Setter</x:v>
      </x:c>
      <x:c r="H8" s="119" t="str"/>
      <x:c r="I8" s="119" t="str">
        <x:v>One after-save entry Flow per object/event lane; route business domains to autolaunched Subflows and preserve async paths.</x:v>
      </x:c>
      <x:c r="J8" s="119" t="str">
        <x:v>No for same-transaction consolidation; consider only for long-running, multi-user staged work.</x:v>
      </x:c>
      <x:c r="K8" s="119" t="str">
        <x:v>Build a rule matrix by entry criteria, fields written, downstream actions, order, and error handling; then prototype in a sandbox.</x:v>
      </x:c>
    </x:row>
    <x:row r="9" ht="72" customHeight="1">
      <x:c r="A9" s="117" t="str">
        <x:v>High</x:v>
      </x:c>
      <x:c r="B9" s="117" t="str">
        <x:v>ProductItem__c</x:v>
      </x:c>
      <x:c r="C9" s="117" t="str">
        <x:v>RecordAfterSave</x:v>
      </x:c>
      <x:c r="D9" s="117" t="str">
        <x:v>Create</x:v>
      </x:c>
      <x:c r="E9" s="118" t="n">
        <x:v>15</x:v>
      </x:c>
      <x:c r="F9" s="118" t="n">
        <x:v>2</x:v>
      </x:c>
      <x:c r="G9" s="119" t="str">
        <x:v>Asset_Creation_After_Save_Update_Product_Analytics, ProductItem_Asynchronous_on_create_Estimated_Sales_Price_Roll_Up, ProductItem_Asynchronous_on_create_HWO_Total_Cost_Roll_Up, ProductItem_Asynchronous_on_create_HWO_Total_Revenue_Roll_Up, ProductItem_Asynchronous_on_create_Item_Receipt_Amount_Roll_Up, ProductItem_Asynchronous_on_create_Loaner_Asset_Number_Roll_Up, ProductItem_Asynchronous_on_create_Loaner_Location_Roll_Up, ProductItem_Asynchronous_on_create_Loaner_Serial_Number_Roll_Up, ProductItem_Asynchronous_on_create_Max_Bid_Roll_Up, ProductItem_Asynchronous_on_create_NumberCheckedIn_PO_Roll_Up, ProductItem_Asynchronous_on_create_Pur_Op_Total_Cost_Roll_Up, ProductItem_Asynchronous_on_create_Pur_Op_Total_Cost_of_Unsold_Assets_Roll_Up, ProductItem_Asynchronous_on_create_Pur_Op_Working_Capital_Usage_Days_Roll_Up, ProductItem_Asynchronous_on_create_Rental_Order_Price_Roll_Up, ProductItem_Asynchronous_on_create_Starting_Bid_Roll_Up</x:v>
      </x:c>
      <x:c r="H9" s="119" t="str">
        <x:v>P_ProductItemTrigger, dlrs_ProductItemTrigger</x:v>
      </x:c>
      <x:c r="I9" s="119" t="str">
        <x:v>One after-save entry Flow per object/event lane; route business domains to autolaunched Subflows and preserve async paths. Trace Apex trigger handlers in the same transaction before selecting the final owner for each rule.</x:v>
      </x:c>
      <x:c r="J9" s="119" t="str">
        <x:v>No for same-transaction consolidation; consider only for long-running, multi-user staged work.</x:v>
      </x:c>
      <x:c r="K9" s="119" t="str">
        <x:v>Build a rule matrix by entry criteria, fields written, downstream actions, order, and error handling; then prototype in a sandbox.</x:v>
      </x:c>
    </x:row>
    <x:row r="10" ht="72" customHeight="1">
      <x:c r="A10" s="117" t="str">
        <x:v>High</x:v>
      </x:c>
      <x:c r="B10" s="117" t="str">
        <x:v>ProductItem__c</x:v>
      </x:c>
      <x:c r="C10" s="117" t="str">
        <x:v>RecordBeforeDelete</x:v>
      </x:c>
      <x:c r="D10" s="117" t="str">
        <x:v>Delete</x:v>
      </x:c>
      <x:c r="E10" s="118" t="n">
        <x:v>14</x:v>
      </x:c>
      <x:c r="F10" s="118" t="n">
        <x:v>2</x:v>
      </x:c>
      <x:c r="G10" s="119" t="str">
        <x:v>ProductItem_Before_Delete_Item_Receipt_Amount_Roll_Up, ProductItem_Before_Delete_Loaner_Asset_Number_Roll_Up, ProductItem_Before_Delete_Loaner_Location_Roll_Up, ProductItem_Before_Delete_Loaner_Serial_Number_Roll_Up, ProductItem_Before_Delete_Pur_Op_Total_Cost_Roll_Up, ProductItem_Before_Delete_Pur_Op_Total_Cost_of_Unsold_Assets_Roll_Up, ProductItem_Before_Delete_Pur_Op_Working_Capital_Usage_Days_Roll_Up, ProductItem_Before_delete_Estimated_Sales_Price_Roll_Up, ProductItem_Before_delete_HWO_Total_Cost_Roll_Up, ProductItem_Before_delete_HWO_Total_Revenue_Roll_Up, ProductItem_Before_delete_Max_Bid_Roll_Up, ProductItem_Before_delete_NumberCheckedIn_PO_Roll_Up, ProductItem_Before_delete_Rental_Order_Price_Roll_Up, ProductItem_Before_delete_Starting_Bid_Roll_Up</x:v>
      </x:c>
      <x:c r="H10" s="119" t="str">
        <x:v>P_ProductItemTrigger, dlrs_ProductItemTrigger</x:v>
      </x:c>
      <x:c r="I10" s="119" t="str">
        <x:v>One before-save entry Flow per object/event lane; consolidate field assignments and use Subflows for reusable calculations. Trace Apex trigger handlers in the same transaction before selecting the final owner for each rule.</x:v>
      </x:c>
      <x:c r="J10" s="119" t="str">
        <x:v>No for same-transaction consolidation; consider only for long-running, multi-user staged work.</x:v>
      </x:c>
      <x:c r="K10" s="119" t="str">
        <x:v>Build a rule matrix by entry criteria, fields written, downstream actions, order, and error handling; then prototype in a sandbox.</x:v>
      </x:c>
    </x:row>
    <x:row r="11" ht="72" customHeight="1">
      <x:c r="A11" s="117" t="str">
        <x:v>High</x:v>
      </x:c>
      <x:c r="B11" s="117" t="str">
        <x:v>Opportunity</x:v>
      </x:c>
      <x:c r="C11" s="117" t="str">
        <x:v>RecordAfterSave</x:v>
      </x:c>
      <x:c r="D11" s="117" t="str">
        <x:v>CreateAndUpdate</x:v>
      </x:c>
      <x:c r="E11" s="118" t="n">
        <x:v>10</x:v>
      </x:c>
      <x:c r="F11" s="118" t="n">
        <x:v>2</x:v>
      </x:c>
      <x:c r="G11" s="119" t="str">
        <x:v>Auto_Create_Return_Opportunity_for_Exchange_Purchasing_Ops, AvaTax_Opportunity_Automatic_Tax_Calculation_Flow, Create_Project_on_Big_Iron_Purchasing_Opportunity_Flow, Inter_Company_Transfer_Address_Update_Op, Opportunity_Automations, Opportunity_Creation_and_Update_Set_Intercompany_Transaction_Opportunity_Name, Opportunity_Line_Item_Creation_or_Update_Set_Opportunity_Asset_Summary, Opportunity_Update_FSE_Email_Record_Triggered_Flow, Rep_Email_Field_Update_Flow, Unreceipted_Invoice_Field_Update_Loop</x:v>
      </x:c>
      <x:c r="H11" s="119" t="str">
        <x:v>P_OpportunityTrigger, ProcessTemplateFolder</x:v>
      </x:c>
      <x:c r="I11" s="119" t="str">
        <x:v>One after-save entry Flow per object/event lane; route business domains to autolaunched Subflows and preserve async paths. Trace Apex trigger handlers in the same transaction before selecting the final owner for each rule.</x:v>
      </x:c>
      <x:c r="J11" s="119" t="str">
        <x:v>No for same-transaction consolidation; consider only for long-running, multi-user staged work.</x:v>
      </x:c>
      <x:c r="K11" s="119" t="str">
        <x:v>Build a rule matrix by entry criteria, fields written, downstream actions, order, and error handling; then prototype in a sandbox.</x:v>
      </x:c>
    </x:row>
    <x:row r="12" ht="72" customHeight="1">
      <x:c r="A12" s="117" t="str">
        <x:v>High</x:v>
      </x:c>
      <x:c r="B12" s="117" t="str">
        <x:v>WorkOrder</x:v>
      </x:c>
      <x:c r="C12" s="117" t="str">
        <x:v>RecordAfterSave</x:v>
      </x:c>
      <x:c r="D12" s="117" t="str">
        <x:v>CreateAndUpdate</x:v>
      </x:c>
      <x:c r="E12" s="118" t="n">
        <x:v>10</x:v>
      </x:c>
      <x:c r="F12" s="118" t="n">
        <x:v>3</x:v>
      </x:c>
      <x:c r="G12" s="119" t="str">
        <x:v>Auto_Create_RMAs_from_Work_Orders_for_UK, Contract_Line_Item_Roll_Up_Downtime_Business_Hours, Create_core_exchange_RMAs_from_Service_Fusion, Create_part_requests_from_Service_Fusion, FSL_Set_Service_Report_Layout_ID_on_Work_Orders, FSL_US_On_Update_of_Account_Update_Billing_Address_on_Work_Order, Send_Email_Work_Order_PDF, Work_Order_Automations, Work_Order_Calculate_Downtime_Business_Hours, Work_Order_Downtime_Start_Setter</x:v>
      </x:c>
      <x:c r="H12" s="119" t="str">
        <x:v>P_ServiceWorkOrderTrigger, UKBusinessHours, WorkOrderTrigger</x:v>
      </x:c>
      <x:c r="I12" s="119" t="str">
        <x:v>One after-save entry Flow per object/event lane; route business domains to autolaunched Subflows and preserve async paths. Trace Apex trigger handlers in the same transaction before selecting the final owner for each rule.</x:v>
      </x:c>
      <x:c r="J12" s="119" t="str">
        <x:v>No for same-transaction consolidation; consider only for long-running, multi-user staged work.</x:v>
      </x:c>
      <x:c r="K12" s="119" t="str">
        <x:v>Build a rule matrix by entry criteria, fields written, downstream actions, order, and error handling; then prototype in a sandbox.</x:v>
      </x:c>
    </x:row>
    <x:row r="13" ht="72" customHeight="1">
      <x:c r="A13" s="117" t="str">
        <x:v>High</x:v>
      </x:c>
      <x:c r="B13" s="117" t="str">
        <x:v>Opportunity</x:v>
      </x:c>
      <x:c r="C13" s="117" t="str">
        <x:v>RecordAfterSave</x:v>
      </x:c>
      <x:c r="D13" s="117" t="str">
        <x:v>Create</x:v>
      </x:c>
      <x:c r="E13" s="118" t="n">
        <x:v>8</x:v>
      </x:c>
      <x:c r="F13" s="118" t="n">
        <x:v>2</x:v>
      </x:c>
      <x:c r="G13" s="119" t="str">
        <x:v>AvaTax_Opportunity_New_Update_Entity_Code_IOR_Transport, Cloned_Opportunity_Update_FSR_Attached_and_FSR_Not_Required_to_False, Count_Return_Opportunities_on_a_Related_Opportunity, Create_Project_on_Equipment_Storage_Opportunity_Creation, On_Creation_of_Opportunity_Set_Shipping_Account_to_Bill_Customer_Fedex_System, On_US_FSL_Lead_Conversion_Bring_Work_Order_Over_to_Contact_Account_Opportunity, Opportunity_Asynchronous_on_create_Update_Total_Cost_of_Project_POs, Set_Entity_on_Opportunity_Creation</x:v>
      </x:c>
      <x:c r="H13" s="119" t="str">
        <x:v>P_OpportunityTrigger, ProcessTemplateFolder</x:v>
      </x:c>
      <x:c r="I13" s="119" t="str">
        <x:v>One after-save entry Flow per object/event lane; route business domains to autolaunched Subflows and preserve async paths. Trace Apex trigger handlers in the same transaction before selecting the final owner for each rule.</x:v>
      </x:c>
      <x:c r="J13" s="119" t="str">
        <x:v>No for same-transaction consolidation; consider only for long-running, multi-user staged work.</x:v>
      </x:c>
      <x:c r="K13" s="119" t="str">
        <x:v>Build a rule matrix by entry criteria, fields written, downstream actions, order, and error handling; then prototype in a sandbox.</x:v>
      </x:c>
    </x:row>
    <x:row r="14" ht="72" customHeight="1">
      <x:c r="A14" s="117" t="str">
        <x:v>High</x:v>
      </x:c>
      <x:c r="B14" s="117" t="str">
        <x:v>ProductItem__c</x:v>
      </x:c>
      <x:c r="C14" s="117" t="str">
        <x:v>RecordAfterSave</x:v>
      </x:c>
      <x:c r="D14" s="117" t="str">
        <x:v>CreateAndUpdate</x:v>
      </x:c>
      <x:c r="E14" s="118" t="n">
        <x:v>6</x:v>
      </x:c>
      <x:c r="F14" s="118" t="n">
        <x:v>2</x:v>
      </x:c>
      <x:c r="G14" s="119" t="str">
        <x:v>Add_Product_Record_Type_Name_to_Asset_Record, Asset_Automations, Asset_Check_in_Type, UK_Customer_Repair_Received, Update_Asset_to_Finished_Goods_Flow, Update_Move_to_Fixed_Assets_Flow</x:v>
      </x:c>
      <x:c r="H14" s="119" t="str">
        <x:v>P_ProductItemTrigger, dlrs_ProductItemTrigger</x:v>
      </x:c>
      <x:c r="I14" s="119" t="str">
        <x:v>One after-save entry Flow per object/event lane; route business domains to autolaunched Subflows and preserve async paths. Trace Apex trigger handlers in the same transaction before selecting the final owner for each rule.</x:v>
      </x:c>
      <x:c r="J14" s="119" t="str">
        <x:v>No for same-transaction consolidation; consider only for long-running, multi-user staged work.</x:v>
      </x:c>
      <x:c r="K14" s="119" t="str">
        <x:v>Build a rule matrix by entry criteria, fields written, downstream actions, order, and error handling; then prototype in a sandbox.</x:v>
      </x:c>
    </x:row>
    <x:row r="15" ht="72" customHeight="1">
      <x:c r="A15" s="117" t="str">
        <x:v>High</x:v>
      </x:c>
      <x:c r="B15" s="117" t="str">
        <x:v>RMA__c</x:v>
      </x:c>
      <x:c r="C15" s="117" t="str">
        <x:v>RecordAfterSave</x:v>
      </x:c>
      <x:c r="D15" s="117" t="str">
        <x:v>Update</x:v>
      </x:c>
      <x:c r="E15" s="118" t="n">
        <x:v>5</x:v>
      </x:c>
      <x:c r="F15" s="118" t="n">
        <x:v>2</x:v>
      </x:c>
      <x:c r="G15" s="119" t="str">
        <x:v>Original_Time_Warranty_Loaner_Action_Approved_Update, RMA_Automations, RMA_On_Setting_of_Date_Approved_to_Ship_update_Opportunity_Stage_to_Ready_to_Shi, US_FSL_RMA_Date_Repair_Evaluation_Sent, US_FSL_RMA_On_Probe_Check_In_for_Repair_Set_Date_Checked_In_on_Work_Order</x:v>
      </x:c>
      <x:c r="H15" s="119" t="str">
        <x:v>CreateApprovedRepairs, P_RMATrigger</x:v>
      </x:c>
      <x:c r="I15" s="119" t="str">
        <x:v>One after-save entry Flow per object/event lane; route business domains to autolaunched Subflows and preserve async paths. Trace Apex trigger handlers in the same transaction before selecting the final owner for each rule.</x:v>
      </x:c>
      <x:c r="J15" s="119" t="str">
        <x:v>No for same-transaction consolidation; consider only for long-running, multi-user staged work.</x:v>
      </x:c>
      <x:c r="K15" s="119" t="str">
        <x:v>Build a rule matrix by entry criteria, fields written, downstream actions, order, and error handling; then prototype in a sandbox.</x:v>
      </x:c>
    </x:row>
    <x:row r="16" ht="72" customHeight="1">
      <x:c r="A16" s="117" t="str">
        <x:v>High</x:v>
      </x:c>
      <x:c r="B16" s="117" t="str">
        <x:v>ServiceAppointment</x:v>
      </x:c>
      <x:c r="C16" s="117" t="str">
        <x:v>RecordAfterSave</x:v>
      </x:c>
      <x:c r="D16" s="117" t="str">
        <x:v>CreateAndUpdate</x:v>
      </x:c>
      <x:c r="E16" s="118" t="n">
        <x:v>5</x:v>
      </x:c>
      <x:c r="F16" s="118" t="n">
        <x:v>0</x:v>
      </x:c>
      <x:c r="G16" s="119" t="str">
        <x:v>Auto_Create_RMAs_from_Service_Appointments_for_UK, Service_Appointment_Automations, Service_Appointment_Calculate_Tech_Support_Response_Time_Business_Minutes, Service_Appointment_Creation_or_Update_Work_Order_Service_Appointments_Counts, Set_SA_Duration_for_Ultrasound_Work_Types</x:v>
      </x:c>
      <x:c r="H16" s="119" t="str"/>
      <x:c r="I16" s="119" t="str">
        <x:v>One after-save entry Flow per object/event lane; route business domains to autolaunched Subflows and preserve async paths.</x:v>
      </x:c>
      <x:c r="J16" s="119" t="str">
        <x:v>No for same-transaction consolidation; consider only for long-running, multi-user staged work.</x:v>
      </x:c>
      <x:c r="K16" s="119" t="str">
        <x:v>Build a rule matrix by entry criteria, fields written, downstream actions, order, and error handling; then prototype in a sandbox.</x:v>
      </x:c>
    </x:row>
    <x:row r="17" ht="72" customHeight="1">
      <x:c r="A17" s="117" t="str">
        <x:v>High</x:v>
      </x:c>
      <x:c r="B17" s="117" t="str">
        <x:v>WorkOrder</x:v>
      </x:c>
      <x:c r="C17" s="117" t="str">
        <x:v>RecordAfterSave</x:v>
      </x:c>
      <x:c r="D17" s="117" t="str">
        <x:v>Create</x:v>
      </x:c>
      <x:c r="E17" s="118" t="n">
        <x:v>5</x:v>
      </x:c>
      <x:c r="F17" s="118" t="n">
        <x:v>3</x:v>
      </x:c>
      <x:c r="G17" s="119" t="str">
        <x:v>Follow_Work_Order_Upon_Creation, On_Creation_of_Work_Order_Set_Shipping_Account_to_Bill_Customer_Fedex_System_1, Update_Technician_Ship_Location_on_Work_Order_Creation, Work_Order_Asynchronous_on_create_Update_PM_Work_Order_Count_on_Service_Contract, Work_Order_Ultrasound_Creation_Automation</x:v>
      </x:c>
      <x:c r="H17" s="119" t="str">
        <x:v>P_ServiceWorkOrderTrigger, UKBusinessHours, WorkOrderTrigger</x:v>
      </x:c>
      <x:c r="I17" s="119" t="str">
        <x:v>One after-save entry Flow per object/event lane; route business domains to autolaunched Subflows and preserve async paths. Trace Apex trigger handlers in the same transaction before selecting the final owner for each rule.</x:v>
      </x:c>
      <x:c r="J17" s="119" t="str">
        <x:v>No for same-transaction consolidation; consider only for long-running, multi-user staged work.</x:v>
      </x:c>
      <x:c r="K17" s="119" t="str">
        <x:v>Build a rule matrix by entry criteria, fields written, downstream actions, order, and error handling; then prototype in a sandbox.</x:v>
      </x:c>
    </x:row>
    <x:row r="18" ht="72" customHeight="1">
      <x:c r="A18" s="117" t="str">
        <x:v>High</x:v>
      </x:c>
      <x:c r="B18" s="117" t="str">
        <x:v>Credit_Memo__c</x:v>
      </x:c>
      <x:c r="C18" s="117" t="str">
        <x:v>RecordAfterSave</x:v>
      </x:c>
      <x:c r="D18" s="117" t="str">
        <x:v>CreateAndUpdate</x:v>
      </x:c>
      <x:c r="E18" s="118" t="n">
        <x:v>4</x:v>
      </x:c>
      <x:c r="F18" s="118" t="n">
        <x:v>2</x:v>
      </x:c>
      <x:c r="G18" s="119" t="str">
        <x:v>CM_Set_Initial_Credit_Memo_Amount_from_Lines, Credit_Memo_1, Credit_Memo_Sync_Notification, RMA_Rollups</x:v>
      </x:c>
      <x:c r="H18" s="119" t="str">
        <x:v>CreditMemoTrigger, dlrs_Credit_MemoTrigger</x:v>
      </x:c>
      <x:c r="I18" s="119" t="str">
        <x:v>One after-save entry Flow per object/event lane; route business domains to autolaunched Subflows and preserve async paths. Trace Apex trigger handlers in the same transaction before selecting the final owner for each rule.</x:v>
      </x:c>
      <x:c r="J18" s="119" t="str">
        <x:v>No for same-transaction consolidation; consider only for long-running, multi-user staged work.</x:v>
      </x:c>
      <x:c r="K18" s="119" t="str">
        <x:v>Build a rule matrix by entry criteria, fields written, downstream actions, order, and error handling; then prototype in a sandbox.</x:v>
      </x:c>
    </x:row>
    <x:row r="19" ht="72" customHeight="1">
      <x:c r="A19" s="117" t="str">
        <x:v>High</x:v>
      </x:c>
      <x:c r="B19" s="117" t="str">
        <x:v>OpportunityLineItem</x:v>
      </x:c>
      <x:c r="C19" s="117" t="str">
        <x:v>RecordAfterSave</x:v>
      </x:c>
      <x:c r="D19" s="117" t="str">
        <x:v>Create</x:v>
      </x:c>
      <x:c r="E19" s="118" t="n">
        <x:v>4</x:v>
      </x:c>
      <x:c r="F19" s="118" t="n">
        <x:v>1</x:v>
      </x:c>
      <x:c r="G19" s="119" t="str">
        <x:v>OpportunityLineItem_Async_on_create_Update_Avg_Inventory_Life_on_Opportunity, Opportunity_Line_Item_Creation_or_Update_Tick_Generate_Asset_Summary_Checkbox, Opportunity_Product_Asynchronous_on_create_update_WOLI_with_Opp_Product_if_Appli, Opportunity_Product_Rollups_On_Create</x:v>
      </x:c>
      <x:c r="H19" s="119" t="str">
        <x:v>P_OppLineItemTrigger</x:v>
      </x:c>
      <x:c r="I19" s="119" t="str">
        <x:v>One after-save entry Flow per object/event lane; route business domains to autolaunched Subflows and preserve async paths. Trace Apex trigger handlers in the same transaction before selecting the final owner for each rule.</x:v>
      </x:c>
      <x:c r="J19" s="119" t="str">
        <x:v>No for same-transaction consolidation; consider only for long-running, multi-user staged work.</x:v>
      </x:c>
      <x:c r="K19" s="119" t="str">
        <x:v>Build a rule matrix by entry criteria, fields written, downstream actions, order, and error handling; then prototype in a sandbox.</x:v>
      </x:c>
    </x:row>
    <x:row r="20" ht="72" customHeight="1">
      <x:c r="A20" s="117" t="str">
        <x:v>High</x:v>
      </x:c>
      <x:c r="B20" s="117" t="str">
        <x:v>ServiceAppointment</x:v>
      </x:c>
      <x:c r="C20" s="117" t="str">
        <x:v>RecordAfterSave</x:v>
      </x:c>
      <x:c r="D20" s="117" t="str">
        <x:v>Create</x:v>
      </x:c>
      <x:c r="E20" s="118" t="n">
        <x:v>4</x:v>
      </x:c>
      <x:c r="F20" s="118" t="n">
        <x:v>0</x:v>
      </x:c>
      <x:c r="G20" s="119" t="str">
        <x:v>Add_Coverage_Level_to_Service_Appointment_On_Creation, On_Creation_of_Service_Appointment_Set_Shipping_Account_to_Bill_Customer_Fedex_S, Service_Appointment_Creation_and_Update_Set_Contract_Line_Item, US_FSL_On_Creation_of_Service_Appointment_set_Shipping_Address</x:v>
      </x:c>
      <x:c r="H20" s="119" t="str"/>
      <x:c r="I20" s="119" t="str">
        <x:v>One after-save entry Flow per object/event lane; route business domains to autolaunched Subflows and preserve async paths.</x:v>
      </x:c>
      <x:c r="J20" s="119" t="str">
        <x:v>No for same-transaction consolidation; consider only for long-running, multi-user staged work.</x:v>
      </x:c>
      <x:c r="K20" s="119" t="str">
        <x:v>Build a rule matrix by entry criteria, fields written, downstream actions, order, and error handling; then prototype in a sandbox.</x:v>
      </x:c>
    </x:row>
    <x:row r="21" ht="72" customHeight="1">
      <x:c r="A21" s="117" t="str">
        <x:v>High</x:v>
      </x:c>
      <x:c r="B21" s="117" t="str">
        <x:v>Invoice__c</x:v>
      </x:c>
      <x:c r="C21" s="117" t="str">
        <x:v>RecordAfterSave</x:v>
      </x:c>
      <x:c r="D21" s="117" t="str">
        <x:v>CreateAndUpdate</x:v>
      </x:c>
      <x:c r="E21" s="118" t="n">
        <x:v>3</x:v>
      </x:c>
      <x:c r="F21" s="118" t="n">
        <x:v>2</x:v>
      </x:c>
      <x:c r="G21" s="119" t="str">
        <x:v>Invoice_Automations, Invoice_Rollups, Invoice_Sync_Notification</x:v>
      </x:c>
      <x:c r="H21" s="119" t="str">
        <x:v>P_InvoiceTrigger, dlrs_InvoiceTrigger</x:v>
      </x:c>
      <x:c r="I21" s="119" t="str">
        <x:v>One after-save entry Flow per object/event lane; route business domains to autolaunched Subflows and preserve async paths. Trace Apex trigger handlers in the same transaction before selecting the final owner for each rule.</x:v>
      </x:c>
      <x:c r="J21" s="119" t="str">
        <x:v>No for same-transaction consolidation; consider only for long-running, multi-user staged work.</x:v>
      </x:c>
      <x:c r="K21" s="119" t="str">
        <x:v>Build a rule matrix by entry criteria, fields written, downstream actions, order, and error handling; then prototype in a sandbox.</x:v>
      </x:c>
    </x:row>
    <x:row r="22" ht="72" customHeight="1">
      <x:c r="A22" s="117" t="str">
        <x:v>High</x:v>
      </x:c>
      <x:c r="B22" s="117" t="str">
        <x:v>RMA__c</x:v>
      </x:c>
      <x:c r="C22" s="117" t="str">
        <x:v>RecordAfterSave</x:v>
      </x:c>
      <x:c r="D22" s="117" t="str">
        <x:v>Create</x:v>
      </x:c>
      <x:c r="E22" s="118" t="n">
        <x:v>3</x:v>
      </x:c>
      <x:c r="F22" s="118" t="n">
        <x:v>2</x:v>
      </x:c>
      <x:c r="G22" s="119" t="str">
        <x:v>On_Create_Asynchronous_Update_RMA_with_Related_Work_Order, RMA_Notify_Engineer_on_Probe_Repair_WO_Creation, Set_Service_Appointment_on_RMA_when_Work_Order_Attached</x:v>
      </x:c>
      <x:c r="H22" s="119" t="str">
        <x:v>CreateApprovedRepairs, P_RMATrigger</x:v>
      </x:c>
      <x:c r="I22" s="119" t="str">
        <x:v>One after-save entry Flow per object/event lane; route business domains to autolaunched Subflows and preserve async paths. Trace Apex trigger handlers in the same transaction before selecting the final owner for each rule.</x:v>
      </x:c>
      <x:c r="J22" s="119" t="str">
        <x:v>No for same-transaction consolidation; consider only for long-running, multi-user staged work.</x:v>
      </x:c>
      <x:c r="K22" s="119" t="str">
        <x:v>Build a rule matrix by entry criteria, fields written, downstream actions, order, and error handling; then prototype in a sandbox.</x:v>
      </x:c>
    </x:row>
    <x:row r="23" ht="72" customHeight="1">
      <x:c r="A23" s="117" t="str">
        <x:v>High</x:v>
      </x:c>
      <x:c r="B23" s="117" t="str">
        <x:v>WorkOrder</x:v>
      </x:c>
      <x:c r="C23" s="117" t="str">
        <x:v>RecordBeforeSave</x:v>
      </x:c>
      <x:c r="D23" s="117" t="str">
        <x:v>Update</x:v>
      </x:c>
      <x:c r="E23" s="118" t="n">
        <x:v>3</x:v>
      </x:c>
      <x:c r="F23" s="118" t="n">
        <x:v>3</x:v>
      </x:c>
      <x:c r="G23" s="119" t="str">
        <x:v>US_FSL_Ask_to_Re_Generate_FSR, US_FSL_Picked_Up_By_Checkbox_to_denote_if_it_s_been_picked_up_by_operations, Update_Initial_Tech_Support_with_Tech_Completed_Date</x:v>
      </x:c>
      <x:c r="H23" s="119" t="str">
        <x:v>P_ServiceWorkOrderTrigger, UKBusinessHours, WorkOrderTrigger</x:v>
      </x:c>
      <x:c r="I23" s="119" t="str">
        <x:v>One before-save entry Flow per object/event lane; consolidate field assignments and use Subflows for reusable calculations. Trace Apex trigger handlers in the same transaction before selecting the final owner for each rule.</x:v>
      </x:c>
      <x:c r="J23" s="119" t="str">
        <x:v>No for same-transaction consolidation; consider only for long-running, multi-user staged work.</x:v>
      </x:c>
      <x:c r="K23" s="119" t="str">
        <x:v>Build a rule matrix by entry criteria, fields written, downstream actions, order, and error handling; then prototype in a sandbox.</x:v>
      </x:c>
    </x:row>
    <x:row r="24" ht="72" customHeight="1">
      <x:c r="A24" s="117" t="str">
        <x:v>High</x:v>
      </x:c>
      <x:c r="B24" s="117" t="str">
        <x:v>WorkOrderLineItem</x:v>
      </x:c>
      <x:c r="C24" s="117" t="str">
        <x:v>RecordAfterSave</x:v>
      </x:c>
      <x:c r="D24" s="117" t="str">
        <x:v>Create</x:v>
      </x:c>
      <x:c r="E24" s="118" t="n">
        <x:v>3</x:v>
      </x:c>
      <x:c r="F24" s="118" t="n">
        <x:v>2</x:v>
      </x:c>
      <x:c r="G24" s="119" t="str">
        <x:v>On_Create_Parts_Sales_Value_Rollup, On_New_WOLI_Update_Type_if_Probe_Repair_Opp, Set_Service_Appointment_on_New_Work_Order_Line_Item</x:v>
      </x:c>
      <x:c r="H24" s="119" t="str">
        <x:v>P_WorkOrderLineItemTrigger, WorkOrderLineItemTrigger</x:v>
      </x:c>
      <x:c r="I24" s="119" t="str">
        <x:v>One after-save entry Flow per object/event lane; route business domains to autolaunched Subflows and preserve async paths. Trace Apex trigger handlers in the same transaction before selecting the final owner for each rule.</x:v>
      </x:c>
      <x:c r="J24" s="119" t="str">
        <x:v>No for same-transaction consolidation; consider only for long-running, multi-user staged work.</x:v>
      </x:c>
      <x:c r="K24" s="119" t="str">
        <x:v>Build a rule matrix by entry criteria, fields written, downstream actions, order, and error handling; then prototype in a sandbox.</x:v>
      </x:c>
    </x:row>
    <x:row r="25" ht="72" customHeight="1">
      <x:c r="A25" s="117" t="str">
        <x:v>Medium</x:v>
      </x:c>
      <x:c r="B25" s="117" t="str">
        <x:v>ContractLineItem</x:v>
      </x:c>
      <x:c r="C25" s="117" t="str">
        <x:v>RecordAfterSave</x:v>
      </x:c>
      <x:c r="D25" s="117" t="str">
        <x:v>Update</x:v>
      </x:c>
      <x:c r="E25" s="118" t="n">
        <x:v>3</x:v>
      </x:c>
      <x:c r="F25" s="118" t="n">
        <x:v>0</x:v>
      </x:c>
      <x:c r="G25" s="119" t="str">
        <x:v>Contract_Line_Item_Cancel_Work_Orders_on_Decommissioning, Parts_Pool_10k_Alert_Flow, UK_Credit_Notification</x:v>
      </x:c>
      <x:c r="H25" s="119" t="str"/>
      <x:c r="I25" s="119" t="str">
        <x:v>One after-save entry Flow per object/event lane; route business domains to autolaunched Subflows and preserve async paths.</x:v>
      </x:c>
      <x:c r="J25" s="119" t="str">
        <x:v>No for same-transaction consolidation; consider only for long-running, multi-user staged work.</x:v>
      </x:c>
      <x:c r="K25" s="119" t="str">
        <x:v>Build a rule matrix by entry criteria, fields written, downstream actions, order, and error handling; then prototype in a sandbox.</x:v>
      </x:c>
    </x:row>
    <x:row r="26" ht="72" customHeight="1">
      <x:c r="A26" s="117" t="str">
        <x:v>Medium</x:v>
      </x:c>
      <x:c r="B26" s="117" t="str">
        <x:v>Loaner_Asset__c</x:v>
      </x:c>
      <x:c r="C26" s="117" t="str">
        <x:v>RecordAfterSave</x:v>
      </x:c>
      <x:c r="D26" s="117" t="str">
        <x:v>Create</x:v>
      </x:c>
      <x:c r="E26" s="118" t="n">
        <x:v>3</x:v>
      </x:c>
      <x:c r="F26" s="118" t="n">
        <x:v>1</x:v>
      </x:c>
      <x:c r="G26" s="119" t="str">
        <x:v>Loaner_Asset_Asynchronous_on_create_Loaner_Asset_Roll_Up, Loaner_Asset_Asynchronous_on_create_Loaner_Location_Roll_Up, Loaner_Asset_Asynchronous_on_create_Loaner_Serial_Roll_Up</x:v>
      </x:c>
      <x:c r="H26" s="119" t="str">
        <x:v>LoanerAssetTrigger</x:v>
      </x:c>
      <x:c r="I26" s="119" t="str">
        <x:v>One after-save entry Flow per object/event lane; route business domains to autolaunched Subflows and preserve async paths. Trace Apex trigger handlers in the same transaction before selecting the final owner for each rule.</x:v>
      </x:c>
      <x:c r="J26" s="119" t="str">
        <x:v>No for same-transaction consolidation; consider only for long-running, multi-user staged work.</x:v>
      </x:c>
      <x:c r="K26" s="119" t="str">
        <x:v>Build a rule matrix by entry criteria, fields written, downstream actions, order, and error handling; then prototype in a sandbox.</x:v>
      </x:c>
    </x:row>
    <x:row r="27" ht="72" customHeight="1">
      <x:c r="A27" s="117" t="str">
        <x:v>Medium</x:v>
      </x:c>
      <x:c r="B27" s="117" t="str">
        <x:v>Loaner_Asset__c</x:v>
      </x:c>
      <x:c r="C27" s="117" t="str">
        <x:v>RecordAfterSave</x:v>
      </x:c>
      <x:c r="D27" s="117" t="str">
        <x:v>Update</x:v>
      </x:c>
      <x:c r="E27" s="118" t="n">
        <x:v>3</x:v>
      </x:c>
      <x:c r="F27" s="118" t="n">
        <x:v>1</x:v>
      </x:c>
      <x:c r="G27" s="119" t="str">
        <x:v>Loaner_Asset_Asynchronous_on_update_Loaner_Location_Roll_Up, Loaner_Asset_on_update_Loaner_Asset_Roll_Up, Loaner_Asset_on_update_Loaner_Serial_Roll_Up</x:v>
      </x:c>
      <x:c r="H27" s="119" t="str">
        <x:v>LoanerAssetTrigger</x:v>
      </x:c>
      <x:c r="I27" s="119" t="str">
        <x:v>One after-save entry Flow per object/event lane; route business domains to autolaunched Subflows and preserve async paths. Trace Apex trigger handlers in the same transaction before selecting the final owner for each rule.</x:v>
      </x:c>
      <x:c r="J27" s="119" t="str">
        <x:v>No for same-transaction consolidation; consider only for long-running, multi-user staged work.</x:v>
      </x:c>
      <x:c r="K27" s="119" t="str">
        <x:v>Build a rule matrix by entry criteria, fields written, downstream actions, order, and error handling; then prototype in a sandbox.</x:v>
      </x:c>
    </x:row>
    <x:row r="28" ht="72" customHeight="1">
      <x:c r="A28" s="117" t="str">
        <x:v>Medium</x:v>
      </x:c>
      <x:c r="B28" s="117" t="str">
        <x:v>Loaner_Asset__c</x:v>
      </x:c>
      <x:c r="C28" s="117" t="str">
        <x:v>RecordBeforeDelete</x:v>
      </x:c>
      <x:c r="D28" s="117" t="str">
        <x:v>Delete</x:v>
      </x:c>
      <x:c r="E28" s="118" t="n">
        <x:v>3</x:v>
      </x:c>
      <x:c r="F28" s="118" t="n">
        <x:v>1</x:v>
      </x:c>
      <x:c r="G28" s="119" t="str">
        <x:v>Loaner_Asset_Before_Delete_Loaner_Asset_Roll_Up, Loaner_Asset_Before_Delete_Loaner_Location_Roll_Up, Loaner_Asset_Before_Delete_Loaner_Serial_Roll_Up</x:v>
      </x:c>
      <x:c r="H28" s="119" t="str">
        <x:v>LoanerAssetTrigger</x:v>
      </x:c>
      <x:c r="I28" s="119" t="str">
        <x:v>One before-save entry Flow per object/event lane; consolidate field assignments and use Subflows for reusable calculations. Trace Apex trigger handlers in the same transaction before selecting the final owner for each rule.</x:v>
      </x:c>
      <x:c r="J28" s="119" t="str">
        <x:v>No for same-transaction consolidation; consider only for long-running, multi-user staged work.</x:v>
      </x:c>
      <x:c r="K28" s="119" t="str">
        <x:v>Build a rule matrix by entry criteria, fields written, downstream actions, order, and error handling; then prototype in a sandbox.</x:v>
      </x:c>
    </x:row>
    <x:row r="29" ht="72" customHeight="1">
      <x:c r="A29" s="117" t="str">
        <x:v>Medium</x:v>
      </x:c>
      <x:c r="B29" s="117" t="str">
        <x:v>OpportunityLineItem</x:v>
      </x:c>
      <x:c r="C29" s="117" t="str">
        <x:v>RecordAfterSave</x:v>
      </x:c>
      <x:c r="D29" s="117" t="str">
        <x:v>Update</x:v>
      </x:c>
      <x:c r="E29" s="118" t="n">
        <x:v>3</x:v>
      </x:c>
      <x:c r="F29" s="118" t="n">
        <x:v>1</x:v>
      </x:c>
      <x:c r="G29" s="119" t="str">
        <x:v>OpportunityLineItem_Async_on_update_Update_Avg_Inventory_Life_on_Opportunity, Opportunity_Product_Ansynchronous_on_update_Update_WOLI_with_pricing_quantity, Opportunity_Product_Rollups</x:v>
      </x:c>
      <x:c r="H29" s="119" t="str">
        <x:v>P_OppLineItemTrigger</x:v>
      </x:c>
      <x:c r="I29" s="119" t="str">
        <x:v>One after-save entry Flow per object/event lane; route business domains to autolaunched Subflows and preserve async paths. Trace Apex trigger handlers in the same transaction before selecting the final owner for each rule.</x:v>
      </x:c>
      <x:c r="J29" s="119" t="str">
        <x:v>No for same-transaction consolidation; consider only for long-running, multi-user staged work.</x:v>
      </x:c>
      <x:c r="K29" s="119" t="str">
        <x:v>Build a rule matrix by entry criteria, fields written, downstream actions, order, and error handling; then prototype in a sandbox.</x:v>
      </x:c>
    </x:row>
    <x:row r="30" ht="72" customHeight="1">
      <x:c r="A30" s="117" t="str">
        <x:v>Medium</x:v>
      </x:c>
      <x:c r="B30" s="117" t="str">
        <x:v>OpportunityLineItem</x:v>
      </x:c>
      <x:c r="C30" s="117" t="str">
        <x:v>RecordBeforeDelete</x:v>
      </x:c>
      <x:c r="D30" s="117" t="str">
        <x:v>Delete</x:v>
      </x:c>
      <x:c r="E30" s="118" t="n">
        <x:v>3</x:v>
      </x:c>
      <x:c r="F30" s="118" t="n">
        <x:v>1</x:v>
      </x:c>
      <x:c r="G30" s="119" t="str">
        <x:v>OpportunityLineItem_Before_delete_Update_Avg_Inventory_Life_on_Opportunity, Opportunity_Line_Item_On_Delete_Set_Opportunity_Asset_Summary, Opportunity_Product_On_Delete</x:v>
      </x:c>
      <x:c r="H30" s="119" t="str">
        <x:v>P_OppLineItemTrigger</x:v>
      </x:c>
      <x:c r="I30" s="119" t="str">
        <x:v>One before-save entry Flow per object/event lane; consolidate field assignments and use Subflows for reusable calculations. Trace Apex trigger handlers in the same transaction before selecting the final owner for each rule.</x:v>
      </x:c>
      <x:c r="J30" s="119" t="str">
        <x:v>No for same-transaction consolidation; consider only for long-running, multi-user staged work.</x:v>
      </x:c>
      <x:c r="K30" s="119" t="str">
        <x:v>Build a rule matrix by entry criteria, fields written, downstream actions, order, and error handling; then prototype in a sandbox.</x:v>
      </x:c>
    </x:row>
    <x:row r="31" ht="72" customHeight="1">
      <x:c r="A31" s="117" t="str">
        <x:v>Medium</x:v>
      </x:c>
      <x:c r="B31" s="117" t="str">
        <x:v>Product2</x:v>
      </x:c>
      <x:c r="C31" s="117" t="str">
        <x:v>RecordAfterSave</x:v>
      </x:c>
      <x:c r="D31" s="117" t="str">
        <x:v>Create</x:v>
      </x:c>
      <x:c r="E31" s="118" t="n">
        <x:v>3</x:v>
      </x:c>
      <x:c r="F31" s="118" t="n">
        <x:v>1</x:v>
      </x:c>
      <x:c r="G31" s="119" t="str">
        <x:v>Parts_Validation_Approval_Process_1, Product_Creation_Actions_Flow, Product_On_Creation</x:v>
      </x:c>
      <x:c r="H31" s="119" t="str">
        <x:v>UpdateProductFields</x:v>
      </x:c>
      <x:c r="I31" s="119" t="str">
        <x:v>One after-save entry Flow per object/event lane; route business domains to autolaunched Subflows and preserve async paths. Trace Apex trigger handlers in the same transaction before selecting the final owner for each rule.</x:v>
      </x:c>
      <x:c r="J31" s="119" t="str">
        <x:v>No for same-transaction consolidation; consider only for long-running, multi-user staged work.</x:v>
      </x:c>
      <x:c r="K31" s="119" t="str">
        <x:v>Build a rule matrix by entry criteria, fields written, downstream actions, order, and error handling; then prototype in a sandbox.</x:v>
      </x:c>
    </x:row>
    <x:row r="32" ht="72" customHeight="1">
      <x:c r="A32" s="117" t="str">
        <x:v>Medium</x:v>
      </x:c>
      <x:c r="B32" s="117" t="str">
        <x:v>ServiceAppointment</x:v>
      </x:c>
      <x:c r="C32" s="117" t="str">
        <x:v>Scheduled</x:v>
      </x:c>
      <x:c r="D32" s="117" t="str">
        <x:v>Unspecified event</x:v>
      </x:c>
      <x:c r="E32" s="118" t="n">
        <x:v>3</x:v>
      </x:c>
      <x:c r="F32" s="118" t="n">
        <x:v>0</x:v>
      </x:c>
      <x:c r="G32" s="119" t="str">
        <x:v>Daily_Update_Scheduled_Jobs_for_Today_to_Dispatched, Scheduled_Flow_Clean_Up_Historical_Service_Appointments, Scheduled_Update_Earliest_Permitted_Start_Date_to_Show_in_Dispatch_Console_Prope</x:v>
      </x:c>
      <x:c r="H32" s="119" t="str"/>
      <x:c r="I32" s="119" t="str">
        <x:v>Review trigger semantics first; consolidate only flows with compatible timing and transaction behavior.</x:v>
      </x:c>
      <x:c r="J32" s="119" t="str">
        <x:v>No for same-transaction consolidation; consider only for long-running, multi-user staged work.</x:v>
      </x:c>
      <x:c r="K32" s="119" t="str">
        <x:v>Build a rule matrix by entry criteria, fields written, downstream actions, order, and error handling; then prototype in a sandbox.</x:v>
      </x:c>
    </x:row>
    <x:row r="33" ht="72" customHeight="1">
      <x:c r="A33" s="117" t="str">
        <x:v>Medium</x:v>
      </x:c>
      <x:c r="B33" s="117" t="str">
        <x:v>ServiceContract</x:v>
      </x:c>
      <x:c r="C33" s="117" t="str">
        <x:v>RecordAfterSave</x:v>
      </x:c>
      <x:c r="D33" s="117" t="str">
        <x:v>Update</x:v>
      </x:c>
      <x:c r="E33" s="118" t="n">
        <x:v>3</x:v>
      </x:c>
      <x:c r="F33" s="118" t="n">
        <x:v>1</x:v>
      </x:c>
      <x:c r="G33" s="119" t="str">
        <x:v>Create_Work_Orders_from_Contract_Renewal, Service_Contract_Notification_Flow, Service_Contract_Unlock_Flow</x:v>
      </x:c>
      <x:c r="H33" s="119" t="str">
        <x:v>P_ServiceContractTrigger</x:v>
      </x:c>
      <x:c r="I33" s="119" t="str">
        <x:v>One after-save entry Flow per object/event lane; route business domains to autolaunched Subflows and preserve async paths. Trace Apex trigger handlers in the same transaction before selecting the final owner for each rule.</x:v>
      </x:c>
      <x:c r="J33" s="119" t="str">
        <x:v>No for same-transaction consolidation; consider only for long-running, multi-user staged work.</x:v>
      </x:c>
      <x:c r="K33" s="119" t="str">
        <x:v>Build a rule matrix by entry criteria, fields written, downstream actions, order, and error handling; then prototype in a sandbox.</x:v>
      </x:c>
    </x:row>
    <x:row r="34" ht="72" customHeight="1">
      <x:c r="A34" s="117" t="str">
        <x:v>Medium</x:v>
      </x:c>
      <x:c r="B34" s="117" t="str">
        <x:v>Sourcing_Request_Item__c</x:v>
      </x:c>
      <x:c r="C34" s="117" t="str">
        <x:v>RecordAfterSave</x:v>
      </x:c>
      <x:c r="D34" s="117" t="str">
        <x:v>Update</x:v>
      </x:c>
      <x:c r="E34" s="118" t="n">
        <x:v>3</x:v>
      </x:c>
      <x:c r="F34" s="118" t="n">
        <x:v>0</x:v>
      </x:c>
      <x:c r="G34" s="119" t="str">
        <x:v>Sourcing_Request_Notification_Flow_for_Sales_Ops, UK_Sourcing_Request_Asset_Fulfilled_Notifications, UK_Sourcing_Request_Notifications</x:v>
      </x:c>
      <x:c r="H34" s="119" t="str"/>
      <x:c r="I34" s="119" t="str">
        <x:v>One after-save entry Flow per object/event lane; route business domains to autolaunched Subflows and preserve async paths.</x:v>
      </x:c>
      <x:c r="J34" s="119" t="str">
        <x:v>No for same-transaction consolidation; consider only for long-running, multi-user staged work.</x:v>
      </x:c>
      <x:c r="K34" s="119" t="str">
        <x:v>Build a rule matrix by entry criteria, fields written, downstream actions, order, and error handling; then prototype in a sandbox.</x:v>
      </x:c>
    </x:row>
    <x:row r="35" ht="72" customHeight="1">
      <x:c r="A35" s="117" t="str">
        <x:v>Medium</x:v>
      </x:c>
      <x:c r="B35" s="117" t="str">
        <x:v>zkmulti__MCShipment__c</x:v>
      </x:c>
      <x:c r="C35" s="117" t="str">
        <x:v>RecordAfterSave</x:v>
      </x:c>
      <x:c r="D35" s="117" t="str">
        <x:v>Create</x:v>
      </x:c>
      <x:c r="E35" s="118" t="n">
        <x:v>3</x:v>
      </x:c>
      <x:c r="F35" s="118" t="n">
        <x:v>0</x:v>
      </x:c>
      <x:c r="G35" s="119" t="str">
        <x:v>MCShipment_on_create_Tracking_to_Loaner_Roll_Up, MC_Shipment_on_create_Delivered_Date_Roll_Up, MC_Shipment_on_create_Ship_Date_Roll_Up</x:v>
      </x:c>
      <x:c r="H35" s="119" t="str"/>
      <x:c r="I35" s="119" t="str">
        <x:v>One after-save entry Flow per object/event lane; route business domains to autolaunched Subflows and preserve async paths.</x:v>
      </x:c>
      <x:c r="J35" s="119" t="str">
        <x:v>No for same-transaction consolidation; consider only for long-running, multi-user staged work.</x:v>
      </x:c>
      <x:c r="K35" s="119" t="str">
        <x:v>Build a rule matrix by entry criteria, fields written, downstream actions, order, and error handling; then prototype in a sandbox.</x:v>
      </x:c>
    </x:row>
    <x:row r="36" ht="72" customHeight="1">
      <x:c r="A36" s="117" t="str">
        <x:v>Medium</x:v>
      </x:c>
      <x:c r="B36" s="117" t="str">
        <x:v>zkmulti__MCShipment__c</x:v>
      </x:c>
      <x:c r="C36" s="117" t="str">
        <x:v>RecordAfterSave</x:v>
      </x:c>
      <x:c r="D36" s="117" t="str">
        <x:v>Update</x:v>
      </x:c>
      <x:c r="E36" s="118" t="n">
        <x:v>3</x:v>
      </x:c>
      <x:c r="F36" s="118" t="n">
        <x:v>0</x:v>
      </x:c>
      <x:c r="G36" s="119" t="str">
        <x:v>MCShipment_on_update_Tracking_to_Loaner_Roll_Up, MC_Shipment_on_update_Delivered_Date_Roll_Up, MC_Shipment_on_update_Ship_Date_Roll_Up</x:v>
      </x:c>
      <x:c r="H36" s="119" t="str"/>
      <x:c r="I36" s="119" t="str">
        <x:v>One after-save entry Flow per object/event lane; route business domains to autolaunched Subflows and preserve async paths.</x:v>
      </x:c>
      <x:c r="J36" s="119" t="str">
        <x:v>No for same-transaction consolidation; consider only for long-running, multi-user staged work.</x:v>
      </x:c>
      <x:c r="K36" s="119" t="str">
        <x:v>Build a rule matrix by entry criteria, fields written, downstream actions, order, and error handling; then prototype in a sandbox.</x:v>
      </x:c>
    </x:row>
    <x:row r="37" ht="72" customHeight="1">
      <x:c r="A37" s="117" t="str">
        <x:v>Medium</x:v>
      </x:c>
      <x:c r="B37" s="117" t="str">
        <x:v>zkmulti__MCShipment__c</x:v>
      </x:c>
      <x:c r="C37" s="117" t="str">
        <x:v>RecordBeforeDelete</x:v>
      </x:c>
      <x:c r="D37" s="117" t="str">
        <x:v>Delete</x:v>
      </x:c>
      <x:c r="E37" s="118" t="n">
        <x:v>3</x:v>
      </x:c>
      <x:c r="F37" s="118" t="n">
        <x:v>0</x:v>
      </x:c>
      <x:c r="G37" s="119" t="str">
        <x:v>MCShipment_Before_Delete_Tracking_to_Loaner_Roll_Up, MC_Shipment_Before_Delete_Delivered_Date_Roll_Up, MC_Shipment_Before_Delete_Ship_Date_Roll_Up</x:v>
      </x:c>
      <x:c r="H37" s="119" t="str"/>
      <x:c r="I37" s="119" t="str">
        <x:v>One before-save entry Flow per object/event lane; consolidate field assignments and use Subflows for reusable calculations.</x:v>
      </x:c>
      <x:c r="J37" s="119" t="str">
        <x:v>No for same-transaction consolidation; consider only for long-running, multi-user staged work.</x:v>
      </x:c>
      <x:c r="K37" s="119" t="str">
        <x:v>Build a rule matrix by entry criteria, fields written, downstream actions, order, and error handling; then prototype in a sandbox.</x:v>
      </x:c>
    </x:row>
    <x:row r="38" ht="72" customHeight="1">
      <x:c r="A38" s="117" t="str">
        <x:v>Medium</x:v>
      </x:c>
      <x:c r="B38" s="117" t="str">
        <x:v>AssignedResource</x:v>
      </x:c>
      <x:c r="C38" s="117" t="str">
        <x:v>RecordAfterSave</x:v>
      </x:c>
      <x:c r="D38" s="117" t="str">
        <x:v>CreateAndUpdate</x:v>
      </x:c>
      <x:c r="E38" s="118" t="n">
        <x:v>2</x:v>
      </x:c>
      <x:c r="F38" s="118" t="n">
        <x:v>0</x:v>
      </x:c>
      <x:c r="G38" s="119" t="str">
        <x:v>Assigned_Resource_Create_OR_Update_Service_Event, Update_SA_Owner_to_Assigned_Resource</x:v>
      </x:c>
      <x:c r="H38" s="119" t="str"/>
      <x:c r="I38" s="119" t="str">
        <x:v>One after-save entry Flow per object/event lane; route business domains to autolaunched Subflows and preserve async paths.</x:v>
      </x:c>
      <x:c r="J38" s="119" t="str">
        <x:v>No for same-transaction consolidation; consider only for long-running, multi-user staged work.</x:v>
      </x:c>
      <x:c r="K38" s="119" t="str">
        <x:v>Build a rule matrix by entry criteria, fields written, downstream actions, order, and error handling; then prototype in a sandbox.</x:v>
      </x:c>
    </x:row>
    <x:row r="39" ht="72" customHeight="1">
      <x:c r="A39" s="117" t="str">
        <x:v>Medium</x:v>
      </x:c>
      <x:c r="B39" s="117" t="str">
        <x:v>Case</x:v>
      </x:c>
      <x:c r="C39" s="117" t="str">
        <x:v>RecordAfterSave</x:v>
      </x:c>
      <x:c r="D39" s="117" t="str">
        <x:v>Create</x:v>
      </x:c>
      <x:c r="E39" s="118" t="n">
        <x:v>2</x:v>
      </x:c>
      <x:c r="F39" s="118" t="n">
        <x:v>1</x:v>
      </x:c>
      <x:c r="G39" s="119" t="str">
        <x:v>Case_Creation_Created_by_Entity_and_Initial_Assignment_Record_Triggered_Flow, Case_Online_Repair_Evaluation_Tool</x:v>
      </x:c>
      <x:c r="H39" s="119" t="str">
        <x:v>P_CaseTrigger</x:v>
      </x:c>
      <x:c r="I39" s="119" t="str">
        <x:v>One after-save entry Flow per object/event lane; route business domains to autolaunched Subflows and preserve async paths. Trace Apex trigger handlers in the same transaction before selecting the final owner for each rule.</x:v>
      </x:c>
      <x:c r="J39" s="119" t="str">
        <x:v>No for same-transaction consolidation; consider only for long-running, multi-user staged work.</x:v>
      </x:c>
      <x:c r="K39" s="119" t="str">
        <x:v>Build a rule matrix by entry criteria, fields written, downstream actions, order, and error handling; then prototype in a sandbox.</x:v>
      </x:c>
    </x:row>
    <x:row r="40" ht="72" customHeight="1">
      <x:c r="A40" s="117" t="str">
        <x:v>Medium</x:v>
      </x:c>
      <x:c r="B40" s="117" t="str">
        <x:v>Case</x:v>
      </x:c>
      <x:c r="C40" s="117" t="str">
        <x:v>RecordAfterSave</x:v>
      </x:c>
      <x:c r="D40" s="117" t="str">
        <x:v>CreateAndUpdate</x:v>
      </x:c>
      <x:c r="E40" s="118" t="n">
        <x:v>2</x:v>
      </x:c>
      <x:c r="F40" s="118" t="n">
        <x:v>1</x:v>
      </x:c>
      <x:c r="G40" s="119" t="str">
        <x:v>KloudGin_Case_Created_Email_Notification, Salesforce_Case_Notifications</x:v>
      </x:c>
      <x:c r="H40" s="119" t="str">
        <x:v>P_CaseTrigger</x:v>
      </x:c>
      <x:c r="I40" s="119" t="str">
        <x:v>One after-save entry Flow per object/event lane; route business domains to autolaunched Subflows and preserve async paths. Trace Apex trigger handlers in the same transaction before selecting the final owner for each rule.</x:v>
      </x:c>
      <x:c r="J40" s="119" t="str">
        <x:v>No for same-transaction consolidation; consider only for long-running, multi-user staged work.</x:v>
      </x:c>
      <x:c r="K40" s="119" t="str">
        <x:v>Build a rule matrix by entry criteria, fields written, downstream actions, order, and error handling; then prototype in a sandbox.</x:v>
      </x:c>
    </x:row>
    <x:row r="41" ht="72" customHeight="1">
      <x:c r="A41" s="117" t="str">
        <x:v>Medium</x:v>
      </x:c>
      <x:c r="B41" s="117" t="str">
        <x:v>ContractLineItem</x:v>
      </x:c>
      <x:c r="C41" s="117" t="str">
        <x:v>RecordAfterSave</x:v>
      </x:c>
      <x:c r="D41" s="117" t="str">
        <x:v>CreateAndUpdate</x:v>
      </x:c>
      <x:c r="E41" s="118" t="n">
        <x:v>2</x:v>
      </x:c>
      <x:c r="F41" s="118" t="n">
        <x:v>0</x:v>
      </x:c>
      <x:c r="G41" s="119" t="str">
        <x:v>Contract_Line_Item_Creation_or_Update_Set_Lifecycle_Status, Contract_Line_Item_Trigger_Create_QA_Upon_Save</x:v>
      </x:c>
      <x:c r="H41" s="119" t="str"/>
      <x:c r="I41" s="119" t="str">
        <x:v>One after-save entry Flow per object/event lane; route business domains to autolaunched Subflows and preserve async paths.</x:v>
      </x:c>
      <x:c r="J41" s="119" t="str">
        <x:v>No for same-transaction consolidation; consider only for long-running, multi-user staged work.</x:v>
      </x:c>
      <x:c r="K41" s="119" t="str">
        <x:v>Build a rule matrix by entry criteria, fields written, downstream actions, order, and error handling; then prototype in a sandbox.</x:v>
      </x:c>
    </x:row>
    <x:row r="42" ht="72" customHeight="1">
      <x:c r="A42" s="117" t="str">
        <x:v>Medium</x:v>
      </x:c>
      <x:c r="B42" s="117" t="str">
        <x:v>Credit_Memo__c</x:v>
      </x:c>
      <x:c r="C42" s="117" t="str">
        <x:v>RecordAfterSave</x:v>
      </x:c>
      <x:c r="D42" s="117" t="str">
        <x:v>Update</x:v>
      </x:c>
      <x:c r="E42" s="118" t="n">
        <x:v>2</x:v>
      </x:c>
      <x:c r="F42" s="118" t="n">
        <x:v>2</x:v>
      </x:c>
      <x:c r="G42" s="119" t="str">
        <x:v>Credit_Memo_Sync_Retry, Send_Credit_Memo_PDF_to_Customer</x:v>
      </x:c>
      <x:c r="H42" s="119" t="str">
        <x:v>CreditMemoTrigger, dlrs_Credit_MemoTrigger</x:v>
      </x:c>
      <x:c r="I42" s="119" t="str">
        <x:v>One after-save entry Flow per object/event lane; route business domains to autolaunched Subflows and preserve async paths. Trace Apex trigger handlers in the same transaction before selecting the final owner for each rule.</x:v>
      </x:c>
      <x:c r="J42" s="119" t="str">
        <x:v>No for same-transaction consolidation; consider only for long-running, multi-user staged work.</x:v>
      </x:c>
      <x:c r="K42" s="119" t="str">
        <x:v>Build a rule matrix by entry criteria, fields written, downstream actions, order, and error handling; then prototype in a sandbox.</x:v>
      </x:c>
    </x:row>
    <x:row r="43" ht="72" customHeight="1">
      <x:c r="A43" s="117" t="str">
        <x:v>Medium</x:v>
      </x:c>
      <x:c r="B43" s="117" t="str">
        <x:v>Debit_Memos__c</x:v>
      </x:c>
      <x:c r="C43" s="117" t="str">
        <x:v>RecordAfterSave</x:v>
      </x:c>
      <x:c r="D43" s="117" t="str">
        <x:v>CreateAndUpdate</x:v>
      </x:c>
      <x:c r="E43" s="118" t="n">
        <x:v>2</x:v>
      </x:c>
      <x:c r="F43" s="118" t="n">
        <x:v>0</x:v>
      </x:c>
      <x:c r="G43" s="119" t="str">
        <x:v>Debit_Memos_Rollup, Record_Triggered_After_Debit_Memo</x:v>
      </x:c>
      <x:c r="H43" s="119" t="str"/>
      <x:c r="I43" s="119" t="str">
        <x:v>One after-save entry Flow per object/event lane; route business domains to autolaunched Subflows and preserve async paths.</x:v>
      </x:c>
      <x:c r="J43" s="119" t="str">
        <x:v>No for same-transaction consolidation; consider only for long-running, multi-user staged work.</x:v>
      </x:c>
      <x:c r="K43" s="119" t="str">
        <x:v>Build a rule matrix by entry criteria, fields written, downstream actions, order, and error handling; then prototype in a sandbox.</x:v>
      </x:c>
    </x:row>
    <x:row r="44" ht="72" customHeight="1">
      <x:c r="A44" s="117" t="str">
        <x:v>Medium</x:v>
      </x:c>
      <x:c r="B44" s="117" t="str">
        <x:v>Harvest_Work_Order__c</x:v>
      </x:c>
      <x:c r="C44" s="117" t="str">
        <x:v>RecordAfterSave</x:v>
      </x:c>
      <x:c r="D44" s="117" t="str">
        <x:v>Update</x:v>
      </x:c>
      <x:c r="E44" s="118" t="n">
        <x:v>2</x:v>
      </x:c>
      <x:c r="F44" s="118" t="n">
        <x:v>1</x:v>
      </x:c>
      <x:c r="G44" s="119" t="str">
        <x:v>Auto_Close_SWO_HWO_Scrap_Asset, Harvest_Work_Order_Roll_Up_Flow</x:v>
      </x:c>
      <x:c r="H44" s="119" t="str">
        <x:v>dlrs_Harvest_Work_OrderTrigger</x:v>
      </x:c>
      <x:c r="I44" s="119" t="str">
        <x:v>One after-save entry Flow per object/event lane; route business domains to autolaunched Subflows and preserve async paths. Trace Apex trigger handlers in the same transaction before selecting the final owner for each rule.</x:v>
      </x:c>
      <x:c r="J44" s="119" t="str">
        <x:v>No for same-transaction consolidation; consider only for long-running, multi-user staged work.</x:v>
      </x:c>
      <x:c r="K44" s="119" t="str">
        <x:v>Build a rule matrix by entry criteria, fields written, downstream actions, order, and error handling; then prototype in a sandbox.</x:v>
      </x:c>
    </x:row>
    <x:row r="45" ht="72" customHeight="1">
      <x:c r="A45" s="117" t="str">
        <x:v>Medium</x:v>
      </x:c>
      <x:c r="B45" s="117" t="str">
        <x:v>Harvest_Work_Order__c</x:v>
      </x:c>
      <x:c r="C45" s="117" t="str">
        <x:v>RecordAfterSave</x:v>
      </x:c>
      <x:c r="D45" s="117" t="str">
        <x:v>CreateAndUpdate</x:v>
      </x:c>
      <x:c r="E45" s="118" t="n">
        <x:v>2</x:v>
      </x:c>
      <x:c r="F45" s="118" t="n">
        <x:v>1</x:v>
      </x:c>
      <x:c r="G45" s="119" t="str">
        <x:v>Harvest_Work_Order_Creation_Update_System_Work_Order_With_Harvest_Work_Order, Harvest_Work_Order_to_System_Work_Order</x:v>
      </x:c>
      <x:c r="H45" s="119" t="str">
        <x:v>dlrs_Harvest_Work_OrderTrigger</x:v>
      </x:c>
      <x:c r="I45" s="119" t="str">
        <x:v>One after-save entry Flow per object/event lane; route business domains to autolaunched Subflows and preserve async paths. Trace Apex trigger handlers in the same transaction before selecting the final owner for each rule.</x:v>
      </x:c>
      <x:c r="J45" s="119" t="str">
        <x:v>No for same-transaction consolidation; consider only for long-running, multi-user staged work.</x:v>
      </x:c>
      <x:c r="K45" s="119" t="str">
        <x:v>Build a rule matrix by entry criteria, fields written, downstream actions, order, and error handling; then prototype in a sandbox.</x:v>
      </x:c>
    </x:row>
    <x:row r="46" ht="72" customHeight="1">
      <x:c r="A46" s="117" t="str">
        <x:v>Medium</x:v>
      </x:c>
      <x:c r="B46" s="117" t="str">
        <x:v>Item_Receipt__c</x:v>
      </x:c>
      <x:c r="C46" s="117" t="str">
        <x:v>Scheduled</x:v>
      </x:c>
      <x:c r="D46" s="117" t="str">
        <x:v>Unspecified event</x:v>
      </x:c>
      <x:c r="E46" s="118" t="n">
        <x:v>2</x:v>
      </x:c>
      <x:c r="F46" s="118" t="n">
        <x:v>1</x:v>
      </x:c>
      <x:c r="G46" s="119" t="str">
        <x:v>Item_Receipt_Error_Email_to_Activate_Vendor_for_Item_Receipt, Item_Receipt_Run_Trigger_Update_if_needed_for_Sync</x:v>
      </x:c>
      <x:c r="H46" s="119" t="str">
        <x:v>ItemReceiptTrigger</x:v>
      </x:c>
      <x:c r="I46" s="119" t="str">
        <x:v>Review trigger semantics first; consolidate only flows with compatible timing and transaction behavior. Trace Apex trigger handlers in the same transaction before selecting the final owner for each rule.</x:v>
      </x:c>
      <x:c r="J46" s="119" t="str">
        <x:v>No for same-transaction consolidation; consider only for long-running, multi-user staged work.</x:v>
      </x:c>
      <x:c r="K46" s="119" t="str">
        <x:v>Build a rule matrix by entry criteria, fields written, downstream actions, order, and error handling; then prototype in a sandbox.</x:v>
      </x:c>
    </x:row>
    <x:row r="47" ht="72" customHeight="1">
      <x:c r="A47" s="117" t="str">
        <x:v>Medium</x:v>
      </x:c>
      <x:c r="B47" s="117" t="str">
        <x:v>Lead</x:v>
      </x:c>
      <x:c r="C47" s="117" t="str">
        <x:v>RecordAfterSave</x:v>
      </x:c>
      <x:c r="D47" s="117" t="str">
        <x:v>CreateAndUpdate</x:v>
      </x:c>
      <x:c r="E47" s="118" t="n">
        <x:v>2</x:v>
      </x:c>
      <x:c r="F47" s="118" t="n">
        <x:v>0</x:v>
      </x:c>
      <x:c r="G47" s="119" t="str">
        <x:v>Lead_Assignment_Flow_New_Simpler_Logic, Lead_Product_Type_Ultrasound_System_Rental</x:v>
      </x:c>
      <x:c r="H47" s="119" t="str"/>
      <x:c r="I47" s="119" t="str">
        <x:v>One after-save entry Flow per object/event lane; route business domains to autolaunched Subflows and preserve async paths.</x:v>
      </x:c>
      <x:c r="J47" s="119" t="str">
        <x:v>No for same-transaction consolidation; consider only for long-running, multi-user staged work.</x:v>
      </x:c>
      <x:c r="K47" s="119" t="str">
        <x:v>Build a rule matrix by entry criteria, fields written, downstream actions, order, and error handling; then prototype in a sandbox.</x:v>
      </x:c>
    </x:row>
    <x:row r="48" ht="72" customHeight="1">
      <x:c r="A48" s="117" t="str">
        <x:v>Medium</x:v>
      </x:c>
      <x:c r="B48" s="117" t="str">
        <x:v>Lead</x:v>
      </x:c>
      <x:c r="C48" s="117" t="str">
        <x:v>RecordAfterSave</x:v>
      </x:c>
      <x:c r="D48" s="117" t="str">
        <x:v>Create</x:v>
      </x:c>
      <x:c r="E48" s="118" t="n">
        <x:v>2</x:v>
      </x:c>
      <x:c r="F48" s="118" t="n">
        <x:v>0</x:v>
      </x:c>
      <x:c r="G48" s="119" t="str">
        <x:v>Lead_Gen_Lead_Notification_Flow, Lead_Trigger_Notify_Ultrasound_Team_Upon_Creation</x:v>
      </x:c>
      <x:c r="H48" s="119" t="str"/>
      <x:c r="I48" s="119" t="str">
        <x:v>One after-save entry Flow per object/event lane; route business domains to autolaunched Subflows and preserve async paths.</x:v>
      </x:c>
      <x:c r="J48" s="119" t="str">
        <x:v>No for same-transaction consolidation; consider only for long-running, multi-user staged work.</x:v>
      </x:c>
      <x:c r="K48" s="119" t="str">
        <x:v>Build a rule matrix by entry criteria, fields written, downstream actions, order, and error handling; then prototype in a sandbox.</x:v>
      </x:c>
    </x:row>
    <x:row r="49" ht="72" customHeight="1">
      <x:c r="A49" s="117" t="str">
        <x:v>Medium</x:v>
      </x:c>
      <x:c r="B49" s="117" t="str">
        <x:v>Loaner__c</x:v>
      </x:c>
      <x:c r="C49" s="117" t="str">
        <x:v>RecordAfterSave</x:v>
      </x:c>
      <x:c r="D49" s="117" t="str">
        <x:v>Create</x:v>
      </x:c>
      <x:c r="E49" s="118" t="n">
        <x:v>2</x:v>
      </x:c>
      <x:c r="F49" s="118" t="n">
        <x:v>1</x:v>
      </x:c>
      <x:c r="G49" s="119" t="str">
        <x:v>On_Creation_of_Loaner_Set_Shipping_Account_to_Bill_Customer_Fedex_System, US_FSL_On_Creation_of_Loaner_add_Loaner_to_Work_Order</x:v>
      </x:c>
      <x:c r="H49" s="119" t="str">
        <x:v>LoanerTrigger</x:v>
      </x:c>
      <x:c r="I49" s="119" t="str">
        <x:v>One after-save entry Flow per object/event lane; route business domains to autolaunched Subflows and preserve async paths. Trace Apex trigger handlers in the same transaction before selecting the final owner for each rule.</x:v>
      </x:c>
      <x:c r="J49" s="119" t="str">
        <x:v>No for same-transaction consolidation; consider only for long-running, multi-user staged work.</x:v>
      </x:c>
      <x:c r="K49" s="119" t="str">
        <x:v>Build a rule matrix by entry criteria, fields written, downstream actions, order, and error handling; then prototype in a sandbox.</x:v>
      </x:c>
    </x:row>
    <x:row r="50" ht="72" customHeight="1">
      <x:c r="A50" s="117" t="str">
        <x:v>Medium</x:v>
      </x:c>
      <x:c r="B50" s="117" t="str">
        <x:v>Opportunity</x:v>
      </x:c>
      <x:c r="C50" s="117" t="str">
        <x:v>RecordBeforeSave</x:v>
      </x:c>
      <x:c r="D50" s="117" t="str">
        <x:v>CreateAndUpdate</x:v>
      </x:c>
      <x:c r="E50" s="118" t="n">
        <x:v>2</x:v>
      </x:c>
      <x:c r="F50" s="118" t="n">
        <x:v>2</x:v>
      </x:c>
      <x:c r="G50" s="119" t="str">
        <x:v>AvaTax_Opportunity_Existing_Update_Entity_Use_Code_IOR_Transport, AvaTax_Opportunity_Update_AvaTax_Message_and_Status</x:v>
      </x:c>
      <x:c r="H50" s="119" t="str">
        <x:v>P_OpportunityTrigger, ProcessTemplateFolder</x:v>
      </x:c>
      <x:c r="I50" s="119" t="str">
        <x:v>One before-save entry Flow per object/event lane; consolidate field assignments and use Subflows for reusable calculations. Trace Apex trigger handlers in the same transaction before selecting the final owner for each rule.</x:v>
      </x:c>
      <x:c r="J50" s="119" t="str">
        <x:v>No for same-transaction consolidation; consider only for long-running, multi-user staged work.</x:v>
      </x:c>
      <x:c r="K50" s="119" t="str">
        <x:v>Build a rule matrix by entry criteria, fields written, downstream actions, order, and error handling; then prototype in a sandbox.</x:v>
      </x:c>
    </x:row>
    <x:row r="51" ht="72" customHeight="1">
      <x:c r="A51" s="117" t="str">
        <x:v>Medium</x:v>
      </x:c>
      <x:c r="B51" s="117" t="str">
        <x:v>Opportunity</x:v>
      </x:c>
      <x:c r="C51" s="117" t="str">
        <x:v>RecordBeforeSave</x:v>
      </x:c>
      <x:c r="D51" s="117" t="str">
        <x:v>Update</x:v>
      </x:c>
      <x:c r="E51" s="118" t="n">
        <x:v>2</x:v>
      </x:c>
      <x:c r="F51" s="118" t="n">
        <x:v>2</x:v>
      </x:c>
      <x:c r="G51" s="119" t="str">
        <x:v>If_FSR_Not_Required_FSR_Datestamp_Blank_at_Closed_Won_Set_FSR_Datestamp_to_Today, UK_VAT_Sales_Tax_Automation</x:v>
      </x:c>
      <x:c r="H51" s="119" t="str">
        <x:v>P_OpportunityTrigger, ProcessTemplateFolder</x:v>
      </x:c>
      <x:c r="I51" s="119" t="str">
        <x:v>One before-save entry Flow per object/event lane; consolidate field assignments and use Subflows for reusable calculations. Trace Apex trigger handlers in the same transaction before selecting the final owner for each rule.</x:v>
      </x:c>
      <x:c r="J51" s="119" t="str">
        <x:v>No for same-transaction consolidation; consider only for long-running, multi-user staged work.</x:v>
      </x:c>
      <x:c r="K51" s="119" t="str">
        <x:v>Build a rule matrix by entry criteria, fields written, downstream actions, order, and error handling; then prototype in a sandbox.</x:v>
      </x:c>
    </x:row>
    <x:row r="52" ht="72" customHeight="1">
      <x:c r="A52" s="117" t="str">
        <x:v>Medium</x:v>
      </x:c>
      <x:c r="B52" s="117" t="str">
        <x:v>Opportunity</x:v>
      </x:c>
      <x:c r="C52" s="117" t="str">
        <x:v>Scheduled</x:v>
      </x:c>
      <x:c r="D52" s="117" t="str">
        <x:v>Unspecified event</x:v>
      </x:c>
      <x:c r="E52" s="118" t="n">
        <x:v>2</x:v>
      </x:c>
      <x:c r="F52" s="118" t="n">
        <x:v>2</x:v>
      </x:c>
      <x:c r="G52" s="119" t="str">
        <x:v>Auto_Close_Opps, Opportunity_Resync_System</x:v>
      </x:c>
      <x:c r="H52" s="119" t="str">
        <x:v>P_OpportunityTrigger, ProcessTemplateFolder</x:v>
      </x:c>
      <x:c r="I52" s="119" t="str">
        <x:v>Review trigger semantics first; consolidate only flows with compatible timing and transaction behavior. Trace Apex trigger handlers in the same transaction before selecting the final owner for each rule.</x:v>
      </x:c>
      <x:c r="J52" s="119" t="str">
        <x:v>No for same-transaction consolidation; consider only for long-running, multi-user staged work.</x:v>
      </x:c>
      <x:c r="K52" s="119" t="str">
        <x:v>Build a rule matrix by entry criteria, fields written, downstream actions, order, and error handling; then prototype in a sandbox.</x:v>
      </x:c>
    </x:row>
    <x:row r="53" ht="72" customHeight="1">
      <x:c r="A53" s="117" t="str">
        <x:v>Medium</x:v>
      </x:c>
      <x:c r="B53" s="117" t="str">
        <x:v>OpportunityLineItem</x:v>
      </x:c>
      <x:c r="C53" s="117" t="str">
        <x:v>RecordAfterSave</x:v>
      </x:c>
      <x:c r="D53" s="117" t="str">
        <x:v>CreateAndUpdate</x:v>
      </x:c>
      <x:c r="E53" s="118" t="n">
        <x:v>2</x:v>
      </x:c>
      <x:c r="F53" s="118" t="n">
        <x:v>1</x:v>
      </x:c>
      <x:c r="G53" s="119" t="str">
        <x:v>Opportunity_Product_Updates_Flow, Update_Credit_Memo_Amount_with_Line_Items</x:v>
      </x:c>
      <x:c r="H53" s="119" t="str">
        <x:v>P_OppLineItemTrigger</x:v>
      </x:c>
      <x:c r="I53" s="119" t="str">
        <x:v>One after-save entry Flow per object/event lane; route business domains to autolaunched Subflows and preserve async paths. Trace Apex trigger handlers in the same transaction before selecting the final owner for each rule.</x:v>
      </x:c>
      <x:c r="J53" s="119" t="str">
        <x:v>No for same-transaction consolidation; consider only for long-running, multi-user staged work.</x:v>
      </x:c>
      <x:c r="K53" s="119" t="str">
        <x:v>Build a rule matrix by entry criteria, fields written, downstream actions, order, and error handling; then prototype in a sandbox.</x:v>
      </x:c>
    </x:row>
    <x:row r="54" ht="72" customHeight="1">
      <x:c r="A54" s="117" t="str">
        <x:v>Medium</x:v>
      </x:c>
      <x:c r="B54" s="117" t="str">
        <x:v>Order</x:v>
      </x:c>
      <x:c r="C54" s="117" t="str">
        <x:v>RecordAfterSave</x:v>
      </x:c>
      <x:c r="D54" s="117" t="str">
        <x:v>Create</x:v>
      </x:c>
      <x:c r="E54" s="118" t="n">
        <x:v>2</x:v>
      </x:c>
      <x:c r="F54" s="118" t="n">
        <x:v>0</x:v>
      </x:c>
      <x:c r="G54" s="119" t="str">
        <x:v>AvaTax_Order_New_Update_Entity_Use_Code_IOR_Transport_Flow, AvaTax_Order_Update_Origin_Address_Flow</x:v>
      </x:c>
      <x:c r="H54" s="119" t="str"/>
      <x:c r="I54" s="119" t="str">
        <x:v>One after-save entry Flow per object/event lane; route business domains to autolaunched Subflows and preserve async paths.</x:v>
      </x:c>
      <x:c r="J54" s="119" t="str">
        <x:v>No for same-transaction consolidation; consider only for long-running, multi-user staged work.</x:v>
      </x:c>
      <x:c r="K54" s="119" t="str">
        <x:v>Build a rule matrix by entry criteria, fields written, downstream actions, order, and error handling; then prototype in a sandbox.</x:v>
      </x:c>
    </x:row>
    <x:row r="55" ht="72" customHeight="1">
      <x:c r="A55" s="117" t="str">
        <x:v>Medium</x:v>
      </x:c>
      <x:c r="B55" s="117" t="str">
        <x:v>Order</x:v>
      </x:c>
      <x:c r="C55" s="117" t="str">
        <x:v>RecordBeforeSave</x:v>
      </x:c>
      <x:c r="D55" s="117" t="str">
        <x:v>CreateAndUpdate</x:v>
      </x:c>
      <x:c r="E55" s="118" t="n">
        <x:v>2</x:v>
      </x:c>
      <x:c r="F55" s="118" t="n">
        <x:v>0</x:v>
      </x:c>
      <x:c r="G55" s="119" t="str">
        <x:v>AvaTax_Order_Existing_Update_Entity_Code_IOR_Transport, AvaTax_Order_Update_AvaTax_Message_and_Status</x:v>
      </x:c>
      <x:c r="H55" s="119" t="str"/>
      <x:c r="I55" s="119" t="str">
        <x:v>One before-save entry Flow per object/event lane; consolidate field assignments and use Subflows for reusable calculations.</x:v>
      </x:c>
      <x:c r="J55" s="119" t="str">
        <x:v>No for same-transaction consolidation; consider only for long-running, multi-user staged work.</x:v>
      </x:c>
      <x:c r="K55" s="119" t="str">
        <x:v>Build a rule matrix by entry criteria, fields written, downstream actions, order, and error handling; then prototype in a sandbox.</x:v>
      </x:c>
    </x:row>
    <x:row r="56" ht="72" customHeight="1">
      <x:c r="A56" s="117" t="str">
        <x:v>Medium</x:v>
      </x:c>
      <x:c r="B56" s="117" t="str">
        <x:v>Pricing_Request__c</x:v>
      </x:c>
      <x:c r="C56" s="117" t="str">
        <x:v>RecordAfterSave</x:v>
      </x:c>
      <x:c r="D56" s="117" t="str">
        <x:v>CreateAndUpdate</x:v>
      </x:c>
      <x:c r="E56" s="118" t="n">
        <x:v>2</x:v>
      </x:c>
      <x:c r="F56" s="118" t="n">
        <x:v>0</x:v>
      </x:c>
      <x:c r="G56" s="119" t="str">
        <x:v>Pricing_Request_Trigger_Update_Req_Opp_WO_SA, UK_Pricing_Request_Notifications</x:v>
      </x:c>
      <x:c r="H56" s="119" t="str"/>
      <x:c r="I56" s="119" t="str">
        <x:v>One after-save entry Flow per object/event lane; route business domains to autolaunched Subflows and preserve async paths.</x:v>
      </x:c>
      <x:c r="J56" s="119" t="str">
        <x:v>No for same-transaction consolidation; consider only for long-running, multi-user staged work.</x:v>
      </x:c>
      <x:c r="K56" s="119" t="str">
        <x:v>Build a rule matrix by entry criteria, fields written, downstream actions, order, and error handling; then prototype in a sandbox.</x:v>
      </x:c>
    </x:row>
    <x:row r="57" ht="72" customHeight="1">
      <x:c r="A57" s="117" t="str">
        <x:v>Medium</x:v>
      </x:c>
      <x:c r="B57" s="117" t="str">
        <x:v>Quote</x:v>
      </x:c>
      <x:c r="C57" s="117" t="str">
        <x:v>RecordAfterSave</x:v>
      </x:c>
      <x:c r="D57" s="117" t="str">
        <x:v>Create</x:v>
      </x:c>
      <x:c r="E57" s="118" t="n">
        <x:v>2</x:v>
      </x:c>
      <x:c r="F57" s="118" t="n">
        <x:v>0</x:v>
      </x:c>
      <x:c r="G57" s="119" t="str">
        <x:v>AvaTax_Quote_New_Update_Entity_Code_IOR_Transport_Flow, AvaTax_Quote_Update_Origin_Address_Flow</x:v>
      </x:c>
      <x:c r="H57" s="119" t="str"/>
      <x:c r="I57" s="119" t="str">
        <x:v>One after-save entry Flow per object/event lane; route business domains to autolaunched Subflows and preserve async paths.</x:v>
      </x:c>
      <x:c r="J57" s="119" t="str">
        <x:v>No for same-transaction consolidation; consider only for long-running, multi-user staged work.</x:v>
      </x:c>
      <x:c r="K57" s="119" t="str">
        <x:v>Build a rule matrix by entry criteria, fields written, downstream actions, order, and error handling; then prototype in a sandbox.</x:v>
      </x:c>
    </x:row>
    <x:row r="58" ht="72" customHeight="1">
      <x:c r="A58" s="117" t="str">
        <x:v>Medium</x:v>
      </x:c>
      <x:c r="B58" s="117" t="str">
        <x:v>Quote</x:v>
      </x:c>
      <x:c r="C58" s="117" t="str">
        <x:v>RecordBeforeSave</x:v>
      </x:c>
      <x:c r="D58" s="117" t="str">
        <x:v>CreateAndUpdate</x:v>
      </x:c>
      <x:c r="E58" s="118" t="n">
        <x:v>2</x:v>
      </x:c>
      <x:c r="F58" s="118" t="n">
        <x:v>0</x:v>
      </x:c>
      <x:c r="G58" s="119" t="str">
        <x:v>AvaTax_Quote_Existing_Update_Entity_Code_IOR_Transport, AvaTax_Quote_Update_AvaTax_Message_Flow</x:v>
      </x:c>
      <x:c r="H58" s="119" t="str"/>
      <x:c r="I58" s="119" t="str">
        <x:v>One before-save entry Flow per object/event lane; consolidate field assignments and use Subflows for reusable calculations.</x:v>
      </x:c>
      <x:c r="J58" s="119" t="str">
        <x:v>No for same-transaction consolidation; consider only for long-running, multi-user staged work.</x:v>
      </x:c>
      <x:c r="K58" s="119" t="str">
        <x:v>Build a rule matrix by entry criteria, fields written, downstream actions, order, and error handling; then prototype in a sandbox.</x:v>
      </x:c>
    </x:row>
    <x:row r="59" ht="72" customHeight="1">
      <x:c r="A59" s="117" t="str">
        <x:v>Medium</x:v>
      </x:c>
      <x:c r="B59" s="117" t="str">
        <x:v>RMA__c</x:v>
      </x:c>
      <x:c r="C59" s="117" t="str">
        <x:v>RecordAfterSave</x:v>
      </x:c>
      <x:c r="D59" s="117" t="str">
        <x:v>CreateAndUpdate</x:v>
      </x:c>
      <x:c r="E59" s="118" t="n">
        <x:v>2</x:v>
      </x:c>
      <x:c r="F59" s="118" t="n">
        <x:v>2</x:v>
      </x:c>
      <x:c r="G59" s="119" t="str">
        <x:v>Create_shipment_from_customer_portal, UK_RMA_Item_Received_Alert</x:v>
      </x:c>
      <x:c r="H59" s="119" t="str">
        <x:v>CreateApprovedRepairs, P_RMATrigger</x:v>
      </x:c>
      <x:c r="I59" s="119" t="str">
        <x:v>One after-save entry Flow per object/event lane; route business domains to autolaunched Subflows and preserve async paths. Trace Apex trigger handlers in the same transaction before selecting the final owner for each rule.</x:v>
      </x:c>
      <x:c r="J59" s="119" t="str">
        <x:v>No for same-transaction consolidation; consider only for long-running, multi-user staged work.</x:v>
      </x:c>
      <x:c r="K59" s="119" t="str">
        <x:v>Build a rule matrix by entry criteria, fields written, downstream actions, order, and error handling; then prototype in a sandbox.</x:v>
      </x:c>
    </x:row>
    <x:row r="60" ht="72" customHeight="1">
      <x:c r="A60" s="117" t="str">
        <x:v>Medium</x:v>
      </x:c>
      <x:c r="B60" s="117" t="str">
        <x:v>Refurb_Part_Request__c</x:v>
      </x:c>
      <x:c r="C60" s="117" t="str">
        <x:v>RecordAfterSave</x:v>
      </x:c>
      <x:c r="D60" s="117" t="str">
        <x:v>Update</x:v>
      </x:c>
      <x:c r="E60" s="118" t="n">
        <x:v>2</x:v>
      </x:c>
      <x:c r="F60" s="118" t="n">
        <x:v>0</x:v>
      </x:c>
      <x:c r="G60" s="119" t="str">
        <x:v>Auto_Create_Refurb_System_Repair_from_Refurb_Test, Refurb_Part_Request_Field_Updates_Flow</x:v>
      </x:c>
      <x:c r="H60" s="119" t="str"/>
      <x:c r="I60" s="119" t="str">
        <x:v>One after-save entry Flow per object/event lane; route business domains to autolaunched Subflows and preserve async paths.</x:v>
      </x:c>
      <x:c r="J60" s="119" t="str">
        <x:v>No for same-transaction consolidation; consider only for long-running, multi-user staged work.</x:v>
      </x:c>
      <x:c r="K60" s="119" t="str">
        <x:v>Build a rule matrix by entry criteria, fields written, downstream actions, order, and error handling; then prototype in a sandbox.</x:v>
      </x:c>
    </x:row>
    <x:row r="61" ht="72" customHeight="1">
      <x:c r="A61" s="117" t="str">
        <x:v>Medium</x:v>
      </x:c>
      <x:c r="B61" s="117" t="str">
        <x:v>Refurb_Test__c</x:v>
      </x:c>
      <x:c r="C61" s="117" t="str">
        <x:v>RecordAfterSave</x:v>
      </x:c>
      <x:c r="D61" s="117" t="str">
        <x:v>Update</x:v>
      </x:c>
      <x:c r="E61" s="118" t="n">
        <x:v>2</x:v>
      </x:c>
      <x:c r="F61" s="118" t="n">
        <x:v>0</x:v>
      </x:c>
      <x:c r="G61" s="119" t="str">
        <x:v>Refurb_Test_Update_After_Save_Change_Owner_to_Engineer_on_Acceptance, Refurb_Test_Update_Fields_FLow</x:v>
      </x:c>
      <x:c r="H61" s="119" t="str"/>
      <x:c r="I61" s="119" t="str">
        <x:v>One after-save entry Flow per object/event lane; route business domains to autolaunched Subflows and preserve async paths.</x:v>
      </x:c>
      <x:c r="J61" s="119" t="str">
        <x:v>No for same-transaction consolidation; consider only for long-running, multi-user staged work.</x:v>
      </x:c>
      <x:c r="K61" s="119" t="str">
        <x:v>Build a rule matrix by entry criteria, fields written, downstream actions, order, and error handling; then prototype in a sandbox.</x:v>
      </x:c>
    </x:row>
    <x:row r="62" ht="72" customHeight="1">
      <x:c r="A62" s="117" t="str">
        <x:v>Medium</x:v>
      </x:c>
      <x:c r="B62" s="117" t="str">
        <x:v>ServiceAppointment</x:v>
      </x:c>
      <x:c r="C62" s="117" t="str">
        <x:v>RecordBeforeSave</x:v>
      </x:c>
      <x:c r="D62" s="117" t="str">
        <x:v>Update</x:v>
      </x:c>
      <x:c r="E62" s="118" t="n">
        <x:v>2</x:v>
      </x:c>
      <x:c r="F62" s="118" t="n">
        <x:v>0</x:v>
      </x:c>
      <x:c r="G62" s="119" t="str">
        <x:v>On_Submit_to_Shipping_Update_SA_to_Ready_to_Book, Update_the_Intended_Start_Date_if_Earlier_than_Earliest_Start_Date</x:v>
      </x:c>
      <x:c r="H62" s="119" t="str"/>
      <x:c r="I62" s="119" t="str">
        <x:v>One before-save entry Flow per object/event lane; consolidate field assignments and use Subflows for reusable calculations.</x:v>
      </x:c>
      <x:c r="J62" s="119" t="str">
        <x:v>No for same-transaction consolidation; consider only for long-running, multi-user staged work.</x:v>
      </x:c>
      <x:c r="K62" s="119" t="str">
        <x:v>Build a rule matrix by entry criteria, fields written, downstream actions, order, and error handling; then prototype in a sandbox.</x:v>
      </x:c>
    </x:row>
    <x:row r="63" ht="72" customHeight="1">
      <x:c r="A63" s="117" t="str">
        <x:v>Medium</x:v>
      </x:c>
      <x:c r="B63" s="117" t="str">
        <x:v>ServiceAppointment</x:v>
      </x:c>
      <x:c r="C63" s="117" t="str">
        <x:v>RecordBeforeSave</x:v>
      </x:c>
      <x:c r="D63" s="117" t="str">
        <x:v>CreateAndUpdate</x:v>
      </x:c>
      <x:c r="E63" s="118" t="n">
        <x:v>2</x:v>
      </x:c>
      <x:c r="F63" s="118" t="n">
        <x:v>0</x:v>
      </x:c>
      <x:c r="G63" s="119" t="str">
        <x:v>Service_Appointment_Trigger_Update_Gantt_Label, Service_Appointment_Trigger_Update_Offsite_Appointment_Checkbox</x:v>
      </x:c>
      <x:c r="H63" s="119" t="str"/>
      <x:c r="I63" s="119" t="str">
        <x:v>One before-save entry Flow per object/event lane; consolidate field assignments and use Subflows for reusable calculations.</x:v>
      </x:c>
      <x:c r="J63" s="119" t="str">
        <x:v>No for same-transaction consolidation; consider only for long-running, multi-user staged work.</x:v>
      </x:c>
      <x:c r="K63" s="119" t="str">
        <x:v>Build a rule matrix by entry criteria, fields written, downstream actions, order, and error handling; then prototype in a sandbox.</x:v>
      </x:c>
    </x:row>
    <x:row r="64" ht="72" customHeight="1">
      <x:c r="A64" s="117" t="str">
        <x:v>Medium</x:v>
      </x:c>
      <x:c r="B64" s="117" t="str">
        <x:v>ServiceContract</x:v>
      </x:c>
      <x:c r="C64" s="117" t="str">
        <x:v>Scheduled</x:v>
      </x:c>
      <x:c r="D64" s="117" t="str">
        <x:v>Unspecified event</x:v>
      </x:c>
      <x:c r="E64" s="118" t="n">
        <x:v>2</x:v>
      </x:c>
      <x:c r="F64" s="118" t="n">
        <x:v>1</x:v>
      </x:c>
      <x:c r="G64" s="119" t="str">
        <x:v>Service_Alert_60_Days_til_Exp_Alert, Service_Contract_Updates_Status_Handler</x:v>
      </x:c>
      <x:c r="H64" s="119" t="str">
        <x:v>P_ServiceContractTrigger</x:v>
      </x:c>
      <x:c r="I64" s="119" t="str">
        <x:v>Review trigger semantics first; consolidate only flows with compatible timing and transaction behavior. Trace Apex trigger handlers in the same transaction before selecting the final owner for each rule.</x:v>
      </x:c>
      <x:c r="J64" s="119" t="str">
        <x:v>No for same-transaction consolidation; consider only for long-running, multi-user staged work.</x:v>
      </x:c>
      <x:c r="K64" s="119" t="str">
        <x:v>Build a rule matrix by entry criteria, fields written, downstream actions, order, and error handling; then prototype in a sandbox.</x:v>
      </x:c>
    </x:row>
    <x:row r="65" ht="72" customHeight="1">
      <x:c r="A65" s="117" t="str">
        <x:v>Medium</x:v>
      </x:c>
      <x:c r="B65" s="117" t="str">
        <x:v>Sourcing_Request_Item__c</x:v>
      </x:c>
      <x:c r="C65" s="117" t="str">
        <x:v>RecordAfterSave</x:v>
      </x:c>
      <x:c r="D65" s="117" t="str">
        <x:v>Create</x:v>
      </x:c>
      <x:c r="E65" s="118" t="n">
        <x:v>2</x:v>
      </x:c>
      <x:c r="F65" s="118" t="n">
        <x:v>0</x:v>
      </x:c>
      <x:c r="G65" s="119" t="str">
        <x:v>On_Create_of_SRI_Check_if_SA_status_needs_to_be_updated, Sourcing_Request_Assignment_Flow</x:v>
      </x:c>
      <x:c r="H65" s="119" t="str"/>
      <x:c r="I65" s="119" t="str">
        <x:v>One after-save entry Flow per object/event lane; route business domains to autolaunched Subflows and preserve async paths.</x:v>
      </x:c>
      <x:c r="J65" s="119" t="str">
        <x:v>No for same-transaction consolidation; consider only for long-running, multi-user staged work.</x:v>
      </x:c>
      <x:c r="K65" s="119" t="str">
        <x:v>Build a rule matrix by entry criteria, fields written, downstream actions, order, and error handling; then prototype in a sandbox.</x:v>
      </x:c>
    </x:row>
    <x:row r="66" ht="72" customHeight="1">
      <x:c r="A66" s="117" t="str">
        <x:v>Medium</x:v>
      </x:c>
      <x:c r="B66" s="117" t="str">
        <x:v>zkmulti__MCShipment__c</x:v>
      </x:c>
      <x:c r="C66" s="117" t="str">
        <x:v>RecordAfterSave</x:v>
      </x:c>
      <x:c r="D66" s="117" t="str">
        <x:v>CreateAndUpdate</x:v>
      </x:c>
      <x:c r="E66" s="118" t="n">
        <x:v>2</x:v>
      </x:c>
      <x:c r="F66" s="118" t="n">
        <x:v>0</x:v>
      </x:c>
      <x:c r="G66" s="119" t="str">
        <x:v>MC_Shipment_Rollups, Send_email_with_attachment_shipment</x:v>
      </x:c>
      <x:c r="H66" s="119" t="str"/>
      <x:c r="I66" s="119" t="str">
        <x:v>One after-save entry Flow per object/event lane; route business domains to autolaunched Subflows and preserve async paths.</x:v>
      </x:c>
      <x:c r="J66" s="119" t="str">
        <x:v>No for same-transaction consolidation; consider only for long-running, multi-user staged work.</x:v>
      </x:c>
      <x:c r="K66" s="119" t="str">
        <x:v>Build a rule matrix by entry criteria, fields written, downstream actions, order, and error handling; then prototype in a sandbox.</x:v>
      </x:c>
    </x:row>
    <x:row r="67" ht="72" customHeight="1">
      <x:c r="A67" s="117" t="str">
        <x:v>Medium</x:v>
      </x:c>
      <x:c r="B67" s="117" t="str">
        <x:v>Account</x:v>
      </x:c>
      <x:c r="C67" s="117" t="str">
        <x:v>RecordAfterSave</x:v>
      </x:c>
      <x:c r="D67" s="117" t="str">
        <x:v>Create</x:v>
      </x:c>
      <x:c r="E67" s="118" t="n">
        <x:v>1</x:v>
      </x:c>
      <x:c r="F67" s="118" t="n">
        <x:v>1</x:v>
      </x:c>
      <x:c r="G67" s="119" t="str">
        <x:v>Account_Created_by_EU_UK</x:v>
      </x:c>
      <x:c r="H67" s="119" t="str">
        <x:v>P_AccountTrigger</x:v>
      </x:c>
      <x:c r="I67" s="119" t="str">
        <x:v>One after-save entry Flow per object/event lane; route business domains to autolaunched Subflows and preserve async paths. Trace Apex trigger handlers in the same transaction before selecting the final owner for each rule.</x:v>
      </x:c>
      <x:c r="J67" s="119" t="str">
        <x:v>No for same-transaction consolidation; consider only for long-running, multi-user staged work.</x:v>
      </x:c>
      <x:c r="K67" s="119" t="str">
        <x:v>Build a rule matrix by entry criteria, fields written, downstream actions, order, and error handling; then prototype in a sandbox.</x:v>
      </x:c>
    </x:row>
    <x:row r="68" ht="72" customHeight="1">
      <x:c r="A68" s="117" t="str">
        <x:v>Medium</x:v>
      </x:c>
      <x:c r="B68" s="117" t="str">
        <x:v>Account</x:v>
      </x:c>
      <x:c r="C68" s="117" t="str">
        <x:v>RecordAfterSave</x:v>
      </x:c>
      <x:c r="D68" s="117" t="str">
        <x:v>CreateAndUpdate</x:v>
      </x:c>
      <x:c r="E68" s="118" t="n">
        <x:v>1</x:v>
      </x:c>
      <x:c r="F68" s="118" t="n">
        <x:v>1</x:v>
      </x:c>
      <x:c r="G68" s="119" t="str">
        <x:v>AccountFieldUpdateFlow</x:v>
      </x:c>
      <x:c r="H68" s="119" t="str">
        <x:v>P_AccountTrigger</x:v>
      </x:c>
      <x:c r="I68" s="119" t="str">
        <x:v>One after-save entry Flow per object/event lane; route business domains to autolaunched Subflows and preserve async paths. Trace Apex trigger handlers in the same transaction before selecting the final owner for each rule.</x:v>
      </x:c>
      <x:c r="J68" s="119" t="str">
        <x:v>No for same-transaction consolidation; consider only for long-running, multi-user staged work.</x:v>
      </x:c>
      <x:c r="K68" s="119" t="str">
        <x:v>Build a rule matrix by entry criteria, fields written, downstream actions, order, and error handling; then prototype in a sandbox.</x:v>
      </x:c>
    </x:row>
    <x:row r="69" ht="72" customHeight="1">
      <x:c r="A69" s="117" t="str">
        <x:v>Medium</x:v>
      </x:c>
      <x:c r="B69" s="117" t="str">
        <x:v>Account</x:v>
      </x:c>
      <x:c r="C69" s="117" t="str">
        <x:v>RecordAfterSave</x:v>
      </x:c>
      <x:c r="D69" s="117" t="str">
        <x:v>Update</x:v>
      </x:c>
      <x:c r="E69" s="118" t="n">
        <x:v>1</x:v>
      </x:c>
      <x:c r="F69" s="118" t="n">
        <x:v>1</x:v>
      </x:c>
      <x:c r="G69" s="119" t="str">
        <x:v>Record_Triggered_After_Account_Prevent_Intact_Sync_Status_Change</x:v>
      </x:c>
      <x:c r="H69" s="119" t="str">
        <x:v>P_AccountTrigger</x:v>
      </x:c>
      <x:c r="I69" s="119" t="str">
        <x:v>One after-save entry Flow per object/event lane; route business domains to autolaunched Subflows and preserve async paths. Trace Apex trigger handlers in the same transaction before selecting the final owner for each rule.</x:v>
      </x:c>
      <x:c r="J69" s="119" t="str">
        <x:v>No for same-transaction consolidation; consider only for long-running, multi-user staged work.</x:v>
      </x:c>
      <x:c r="K69" s="119" t="str">
        <x:v>Build a rule matrix by entry criteria, fields written, downstream actions, order, and error handling; then prototype in a sandbox.</x:v>
      </x:c>
    </x:row>
    <x:row r="70" ht="72" customHeight="1">
      <x:c r="A70" s="117" t="str">
        <x:v>Medium</x:v>
      </x:c>
      <x:c r="B70" s="117" t="str">
        <x:v>Account</x:v>
      </x:c>
      <x:c r="C70" s="117" t="str">
        <x:v>RecordBeforeSave</x:v>
      </x:c>
      <x:c r="D70" s="117" t="str">
        <x:v>CreateAndUpdate</x:v>
      </x:c>
      <x:c r="E70" s="118" t="n">
        <x:v>1</x:v>
      </x:c>
      <x:c r="F70" s="118" t="n">
        <x:v>1</x:v>
      </x:c>
      <x:c r="G70" s="119" t="str">
        <x:v>AvaTax_Account_Update_AvaTax_Exemption_Message_Flow</x:v>
      </x:c>
      <x:c r="H70" s="119" t="str">
        <x:v>P_AccountTrigger</x:v>
      </x:c>
      <x:c r="I70" s="119" t="str">
        <x:v>One before-save entry Flow per object/event lane; consolidate field assignments and use Subflows for reusable calculations. Trace Apex trigger handlers in the same transaction before selecting the final owner for each rule.</x:v>
      </x:c>
      <x:c r="J70" s="119" t="str">
        <x:v>No for same-transaction consolidation; consider only for long-running, multi-user staged work.</x:v>
      </x:c>
      <x:c r="K70" s="119" t="str">
        <x:v>Build a rule matrix by entry criteria, fields written, downstream actions, order, and error handling; then prototype in a sandbox.</x:v>
      </x:c>
    </x:row>
    <x:row r="71" ht="72" customHeight="1">
      <x:c r="A71" s="117" t="str">
        <x:v>Medium</x:v>
      </x:c>
      <x:c r="B71" s="117" t="str">
        <x:v>Case</x:v>
      </x:c>
      <x:c r="C71" s="117" t="str">
        <x:v>RecordAfterSave</x:v>
      </x:c>
      <x:c r="D71" s="117" t="str">
        <x:v>Update</x:v>
      </x:c>
      <x:c r="E71" s="118" t="n">
        <x:v>1</x:v>
      </x:c>
      <x:c r="F71" s="118" t="n">
        <x:v>1</x:v>
      </x:c>
      <x:c r="G71" s="119" t="str">
        <x:v>Case_Update_Case_Automations_Record_Triggered_Flow</x:v>
      </x:c>
      <x:c r="H71" s="119" t="str">
        <x:v>P_CaseTrigger</x:v>
      </x:c>
      <x:c r="I71" s="119" t="str">
        <x:v>One after-save entry Flow per object/event lane; route business domains to autolaunched Subflows and preserve async paths. Trace Apex trigger handlers in the same transaction before selecting the final owner for each rule.</x:v>
      </x:c>
      <x:c r="J71" s="119" t="str">
        <x:v>No for same-transaction consolidation; consider only for long-running, multi-user staged work.</x:v>
      </x:c>
      <x:c r="K71" s="119" t="str">
        <x:v>Build a rule matrix by entry criteria, fields written, downstream actions, order, and error handling; then prototype in a sandbox.</x:v>
      </x:c>
    </x:row>
    <x:row r="72" ht="72" customHeight="1">
      <x:c r="A72" s="117" t="str">
        <x:v>Medium</x:v>
      </x:c>
      <x:c r="B72" s="117" t="str">
        <x:v>Commission__c</x:v>
      </x:c>
      <x:c r="C72" s="117" t="str">
        <x:v>RecordAfterSave</x:v>
      </x:c>
      <x:c r="D72" s="117" t="str">
        <x:v>CreateAndUpdate</x:v>
      </x:c>
      <x:c r="E72" s="118" t="n">
        <x:v>1</x:v>
      </x:c>
      <x:c r="F72" s="118" t="n">
        <x:v>1</x:v>
      </x:c>
      <x:c r="G72" s="119" t="str">
        <x:v>Commission_Rollups</x:v>
      </x:c>
      <x:c r="H72" s="119" t="str">
        <x:v>dlrs_CommissionTrigger</x:v>
      </x:c>
      <x:c r="I72" s="119" t="str">
        <x:v>One after-save entry Flow per object/event lane; route business domains to autolaunched Subflows and preserve async paths. Trace Apex trigger handlers in the same transaction before selecting the final owner for each rule.</x:v>
      </x:c>
      <x:c r="J72" s="119" t="str">
        <x:v>No for same-transaction consolidation; consider only for long-running, multi-user staged work.</x:v>
      </x:c>
      <x:c r="K72" s="119" t="str">
        <x:v>Build a rule matrix by entry criteria, fields written, downstream actions, order, and error handling; then prototype in a sandbox.</x:v>
      </x:c>
    </x:row>
    <x:row r="73" ht="72" customHeight="1">
      <x:c r="A73" s="117" t="str">
        <x:v>Medium</x:v>
      </x:c>
      <x:c r="B73" s="117" t="str">
        <x:v>Evaluation_Natalie__c</x:v>
      </x:c>
      <x:c r="C73" s="117" t="str">
        <x:v>RecordAfterSave</x:v>
      </x:c>
      <x:c r="D73" s="117" t="str">
        <x:v>CreateAndUpdate</x:v>
      </x:c>
      <x:c r="E73" s="118" t="n">
        <x:v>1</x:v>
      </x:c>
      <x:c r="F73" s="118" t="n">
        <x:v>1</x:v>
      </x:c>
      <x:c r="G73" s="119" t="str">
        <x:v>Mark_Asmer_Evaluation_Update_Email_Flow</x:v>
      </x:c>
      <x:c r="H73" s="119" t="str">
        <x:v>EvalUpdateFields</x:v>
      </x:c>
      <x:c r="I73" s="119" t="str">
        <x:v>One after-save entry Flow per object/event lane; route business domains to autolaunched Subflows and preserve async paths. Trace Apex trigger handlers in the same transaction before selecting the final owner for each rule.</x:v>
      </x:c>
      <x:c r="J73" s="119" t="str">
        <x:v>No for same-transaction consolidation; consider only for long-running, multi-user staged work.</x:v>
      </x:c>
      <x:c r="K73" s="119" t="str">
        <x:v>Build a rule matrix by entry criteria, fields written, downstream actions, order, and error handling; then prototype in a sandbox.</x:v>
      </x:c>
    </x:row>
    <x:row r="74" ht="72" customHeight="1">
      <x:c r="A74" s="117" t="str">
        <x:v>Medium</x:v>
      </x:c>
      <x:c r="B74" s="117" t="str">
        <x:v>Evaluation_Natalie__c</x:v>
      </x:c>
      <x:c r="C74" s="117" t="str">
        <x:v>RecordAfterSave</x:v>
      </x:c>
      <x:c r="D74" s="117" t="str">
        <x:v>Create</x:v>
      </x:c>
      <x:c r="E74" s="118" t="n">
        <x:v>1</x:v>
      </x:c>
      <x:c r="F74" s="118" t="n">
        <x:v>1</x:v>
      </x:c>
      <x:c r="G74" s="119" t="str">
        <x:v>Send_Post_Repair_Evaluation_Email</x:v>
      </x:c>
      <x:c r="H74" s="119" t="str">
        <x:v>EvalUpdateFields</x:v>
      </x:c>
      <x:c r="I74" s="119" t="str">
        <x:v>One after-save entry Flow per object/event lane; route business domains to autolaunched Subflows and preserve async paths. Trace Apex trigger handlers in the same transaction before selecting the final owner for each rule.</x:v>
      </x:c>
      <x:c r="J74" s="119" t="str">
        <x:v>No for same-transaction consolidation; consider only for long-running, multi-user staged work.</x:v>
      </x:c>
      <x:c r="K74" s="119" t="str">
        <x:v>Build a rule matrix by entry criteria, fields written, downstream actions, order, and error handling; then prototype in a sandbox.</x:v>
      </x:c>
    </x:row>
    <x:row r="75" ht="72" customHeight="1">
      <x:c r="A75" s="117" t="str">
        <x:v>Medium</x:v>
      </x:c>
      <x:c r="B75" s="117" t="str">
        <x:v>Invoice__c</x:v>
      </x:c>
      <x:c r="C75" s="117" t="str">
        <x:v>RecordAfterSave</x:v>
      </x:c>
      <x:c r="D75" s="117" t="str">
        <x:v>Create</x:v>
      </x:c>
      <x:c r="E75" s="118" t="n">
        <x:v>1</x:v>
      </x:c>
      <x:c r="F75" s="118" t="n">
        <x:v>2</x:v>
      </x:c>
      <x:c r="G75" s="119" t="str">
        <x:v>Invoice_Create_Invoice_Line_Items</x:v>
      </x:c>
      <x:c r="H75" s="119" t="str">
        <x:v>P_InvoiceTrigger, dlrs_InvoiceTrigger</x:v>
      </x:c>
      <x:c r="I75" s="119" t="str">
        <x:v>One after-save entry Flow per object/event lane; route business domains to autolaunched Subflows and preserve async paths. Trace Apex trigger handlers in the same transaction before selecting the final owner for each rule.</x:v>
      </x:c>
      <x:c r="J75" s="119" t="str">
        <x:v>No for same-transaction consolidation; consider only for long-running, multi-user staged work.</x:v>
      </x:c>
      <x:c r="K75" s="119" t="str">
        <x:v>Build a rule matrix by entry criteria, fields written, downstream actions, order, and error handling; then prototype in a sandbox.</x:v>
      </x:c>
    </x:row>
    <x:row r="76" ht="72" customHeight="1">
      <x:c r="A76" s="117" t="str">
        <x:v>Medium</x:v>
      </x:c>
      <x:c r="B76" s="117" t="str">
        <x:v>Invoice__c</x:v>
      </x:c>
      <x:c r="C76" s="117" t="str">
        <x:v>RecordAfterSave</x:v>
      </x:c>
      <x:c r="D76" s="117" t="str">
        <x:v>Update</x:v>
      </x:c>
      <x:c r="E76" s="118" t="n">
        <x:v>1</x:v>
      </x:c>
      <x:c r="F76" s="118" t="n">
        <x:v>2</x:v>
      </x:c>
      <x:c r="G76" s="119" t="str">
        <x:v>On_Payment_of_Invoice_Update_Opportunity_to_Invoice_Paid</x:v>
      </x:c>
      <x:c r="H76" s="119" t="str">
        <x:v>P_InvoiceTrigger, dlrs_InvoiceTrigger</x:v>
      </x:c>
      <x:c r="I76" s="119" t="str">
        <x:v>One after-save entry Flow per object/event lane; route business domains to autolaunched Subflows and preserve async paths. Trace Apex trigger handlers in the same transaction before selecting the final owner for each rule.</x:v>
      </x:c>
      <x:c r="J76" s="119" t="str">
        <x:v>No for same-transaction consolidation; consider only for long-running, multi-user staged work.</x:v>
      </x:c>
      <x:c r="K76" s="119" t="str">
        <x:v>Build a rule matrix by entry criteria, fields written, downstream actions, order, and error handling; then prototype in a sandbox.</x:v>
      </x:c>
    </x:row>
    <x:row r="77" ht="72" customHeight="1">
      <x:c r="A77" s="117" t="str">
        <x:v>Medium</x:v>
      </x:c>
      <x:c r="B77" s="117" t="str">
        <x:v>Invoice__c</x:v>
      </x:c>
      <x:c r="C77" s="117" t="str">
        <x:v>Scheduled</x:v>
      </x:c>
      <x:c r="D77" s="117" t="str">
        <x:v>Unspecified event</x:v>
      </x:c>
      <x:c r="E77" s="118" t="n">
        <x:v>1</x:v>
      </x:c>
      <x:c r="F77" s="118" t="n">
        <x:v>2</x:v>
      </x:c>
      <x:c r="G77" s="119" t="str">
        <x:v>Invoice_Re_sync_if_Errored</x:v>
      </x:c>
      <x:c r="H77" s="119" t="str">
        <x:v>P_InvoiceTrigger, dlrs_InvoiceTrigger</x:v>
      </x:c>
      <x:c r="I77" s="119" t="str">
        <x:v>Review trigger semantics first; consolidate only flows with compatible timing and transaction behavior. Trace Apex trigger handlers in the same transaction before selecting the final owner for each rule.</x:v>
      </x:c>
      <x:c r="J77" s="119" t="str">
        <x:v>No for same-transaction consolidation; consider only for long-running, multi-user staged work.</x:v>
      </x:c>
      <x:c r="K77" s="119" t="str">
        <x:v>Build a rule matrix by entry criteria, fields written, downstream actions, order, and error handling; then prototype in a sandbox.</x:v>
      </x:c>
    </x:row>
    <x:row r="78" ht="72" customHeight="1">
      <x:c r="A78" s="117" t="str">
        <x:v>Medium</x:v>
      </x:c>
      <x:c r="B78" s="117" t="str">
        <x:v>Item_Receipt__c</x:v>
      </x:c>
      <x:c r="C78" s="117" t="str">
        <x:v>RecordAfterSave</x:v>
      </x:c>
      <x:c r="D78" s="117" t="str">
        <x:v>CreateAndUpdate</x:v>
      </x:c>
      <x:c r="E78" s="118" t="n">
        <x:v>1</x:v>
      </x:c>
      <x:c r="F78" s="118" t="n">
        <x:v>1</x:v>
      </x:c>
      <x:c r="G78" s="119" t="str">
        <x:v>Item_Receipt_Automations</x:v>
      </x:c>
      <x:c r="H78" s="119" t="str">
        <x:v>ItemReceiptTrigger</x:v>
      </x:c>
      <x:c r="I78" s="119" t="str">
        <x:v>One after-save entry Flow per object/event lane; route business domains to autolaunched Subflows and preserve async paths. Trace Apex trigger handlers in the same transaction before selecting the final owner for each rule.</x:v>
      </x:c>
      <x:c r="J78" s="119" t="str">
        <x:v>No for same-transaction consolidation; consider only for long-running, multi-user staged work.</x:v>
      </x:c>
      <x:c r="K78" s="119" t="str">
        <x:v>Build a rule matrix by entry criteria, fields written, downstream actions, order, and error handling; then prototype in a sandbox.</x:v>
      </x:c>
    </x:row>
    <x:row r="79" ht="72" customHeight="1">
      <x:c r="A79" s="117" t="str">
        <x:v>Medium</x:v>
      </x:c>
      <x:c r="B79" s="117" t="str">
        <x:v>Item_Receipt__c</x:v>
      </x:c>
      <x:c r="C79" s="117" t="str">
        <x:v>RecordAfterSave</x:v>
      </x:c>
      <x:c r="D79" s="117" t="str">
        <x:v>Update</x:v>
      </x:c>
      <x:c r="E79" s="118" t="n">
        <x:v>1</x:v>
      </x:c>
      <x:c r="F79" s="118" t="n">
        <x:v>1</x:v>
      </x:c>
      <x:c r="G79" s="119" t="str">
        <x:v>TEMP_IR_Product_Creation</x:v>
      </x:c>
      <x:c r="H79" s="119" t="str">
        <x:v>ItemReceiptTrigger</x:v>
      </x:c>
      <x:c r="I79" s="119" t="str">
        <x:v>One after-save entry Flow per object/event lane; route business domains to autolaunched Subflows and preserve async paths. Trace Apex trigger handlers in the same transaction before selecting the final owner for each rule.</x:v>
      </x:c>
      <x:c r="J79" s="119" t="str">
        <x:v>No for same-transaction consolidation; consider only for long-running, multi-user staged work.</x:v>
      </x:c>
      <x:c r="K79" s="119" t="str">
        <x:v>Build a rule matrix by entry criteria, fields written, downstream actions, order, and error handling; then prototype in a sandbox.</x:v>
      </x:c>
    </x:row>
    <x:row r="80" ht="72" customHeight="1">
      <x:c r="A80" s="117" t="str">
        <x:v>Medium</x:v>
      </x:c>
      <x:c r="B80" s="117" t="str">
        <x:v>Loaner__c</x:v>
      </x:c>
      <x:c r="C80" s="117" t="str">
        <x:v>RecordAfterSave</x:v>
      </x:c>
      <x:c r="D80" s="117" t="str">
        <x:v>CreateAndUpdate</x:v>
      </x:c>
      <x:c r="E80" s="118" t="n">
        <x:v>1</x:v>
      </x:c>
      <x:c r="F80" s="118" t="n">
        <x:v>1</x:v>
      </x:c>
      <x:c r="G80" s="119" t="str">
        <x:v>Loaner_Object_Updates_and_Alerts</x:v>
      </x:c>
      <x:c r="H80" s="119" t="str">
        <x:v>LoanerTrigger</x:v>
      </x:c>
      <x:c r="I80" s="119" t="str">
        <x:v>One after-save entry Flow per object/event lane; route business domains to autolaunched Subflows and preserve async paths. Trace Apex trigger handlers in the same transaction before selecting the final owner for each rule.</x:v>
      </x:c>
      <x:c r="J80" s="119" t="str">
        <x:v>No for same-transaction consolidation; consider only for long-running, multi-user staged work.</x:v>
      </x:c>
      <x:c r="K80" s="119" t="str">
        <x:v>Build a rule matrix by entry criteria, fields written, downstream actions, order, and error handling; then prototype in a sandbox.</x:v>
      </x:c>
    </x:row>
    <x:row r="81" ht="72" customHeight="1">
      <x:c r="A81" s="117" t="str">
        <x:v>Medium</x:v>
      </x:c>
      <x:c r="B81" s="117" t="str">
        <x:v>Loaner__c</x:v>
      </x:c>
      <x:c r="C81" s="117" t="str">
        <x:v>RecordAfterSave</x:v>
      </x:c>
      <x:c r="D81" s="117" t="str">
        <x:v>Update</x:v>
      </x:c>
      <x:c r="E81" s="118" t="n">
        <x:v>1</x:v>
      </x:c>
      <x:c r="F81" s="118" t="n">
        <x:v>1</x:v>
      </x:c>
      <x:c r="G81" s="119" t="str">
        <x:v>On_Setting_of_Repair_Opportunity_Set_Shipping_Account_to_Bill_Customer_Fedex_Sys</x:v>
      </x:c>
      <x:c r="H81" s="119" t="str">
        <x:v>LoanerTrigger</x:v>
      </x:c>
      <x:c r="I81" s="119" t="str">
        <x:v>One after-save entry Flow per object/event lane; route business domains to autolaunched Subflows and preserve async paths. Trace Apex trigger handlers in the same transaction before selecting the final owner for each rule.</x:v>
      </x:c>
      <x:c r="J81" s="119" t="str">
        <x:v>No for same-transaction consolidation; consider only for long-running, multi-user staged work.</x:v>
      </x:c>
      <x:c r="K81" s="119" t="str">
        <x:v>Build a rule matrix by entry criteria, fields written, downstream actions, order, and error handling; then prototype in a sandbox.</x:v>
      </x:c>
    </x:row>
    <x:row r="82" ht="72" customHeight="1">
      <x:c r="A82" s="117" t="str">
        <x:v>Medium</x:v>
      </x:c>
      <x:c r="B82" s="117" t="str">
        <x:v>Opportunity</x:v>
      </x:c>
      <x:c r="C82" s="117" t="str">
        <x:v>RecordBeforeDelete</x:v>
      </x:c>
      <x:c r="D82" s="117" t="str">
        <x:v>Delete</x:v>
      </x:c>
      <x:c r="E82" s="118" t="n">
        <x:v>1</x:v>
      </x:c>
      <x:c r="F82" s="118" t="n">
        <x:v>2</x:v>
      </x:c>
      <x:c r="G82" s="119" t="str">
        <x:v>Opportunity_Asynchronous_on_delete_Update_Total_Cost_of_Project_POs</x:v>
      </x:c>
      <x:c r="H82" s="119" t="str">
        <x:v>P_OpportunityTrigger, ProcessTemplateFolder</x:v>
      </x:c>
      <x:c r="I82" s="119" t="str">
        <x:v>One before-save entry Flow per object/event lane; consolidate field assignments and use Subflows for reusable calculations. Trace Apex trigger handlers in the same transaction before selecting the final owner for each rule.</x:v>
      </x:c>
      <x:c r="J82" s="119" t="str">
        <x:v>No for same-transaction consolidation; consider only for long-running, multi-user staged work.</x:v>
      </x:c>
      <x:c r="K82" s="119" t="str">
        <x:v>Build a rule matrix by entry criteria, fields written, downstream actions, order, and error handling; then prototype in a sandbox.</x:v>
      </x:c>
    </x:row>
    <x:row r="83" ht="72" customHeight="1">
      <x:c r="A83" s="117" t="str">
        <x:v>Medium</x:v>
      </x:c>
      <x:c r="B83" s="117" t="str">
        <x:v>PO_Bill__c</x:v>
      </x:c>
      <x:c r="C83" s="117" t="str">
        <x:v>RecordAfterSave</x:v>
      </x:c>
      <x:c r="D83" s="117" t="str">
        <x:v>CreateAndUpdate</x:v>
      </x:c>
      <x:c r="E83" s="118" t="n">
        <x:v>1</x:v>
      </x:c>
      <x:c r="F83" s="118" t="n">
        <x:v>1</x:v>
      </x:c>
      <x:c r="G83" s="119" t="str">
        <x:v>PO_Bill_Automations</x:v>
      </x:c>
      <x:c r="H83" s="119" t="str">
        <x:v>POBillTrigger</x:v>
      </x:c>
      <x:c r="I83" s="119" t="str">
        <x:v>One after-save entry Flow per object/event lane; route business domains to autolaunched Subflows and preserve async paths. Trace Apex trigger handlers in the same transaction before selecting the final owner for each rule.</x:v>
      </x:c>
      <x:c r="J83" s="119" t="str">
        <x:v>No for same-transaction consolidation; consider only for long-running, multi-user staged work.</x:v>
      </x:c>
      <x:c r="K83" s="119" t="str">
        <x:v>Build a rule matrix by entry criteria, fields written, downstream actions, order, and error handling; then prototype in a sandbox.</x:v>
      </x:c>
    </x:row>
    <x:row r="84" ht="72" customHeight="1">
      <x:c r="A84" s="117" t="str">
        <x:v>Medium</x:v>
      </x:c>
      <x:c r="B84" s="117" t="str">
        <x:v>PO_Bill__c</x:v>
      </x:c>
      <x:c r="C84" s="117" t="str">
        <x:v>RecordBeforeDelete</x:v>
      </x:c>
      <x:c r="D84" s="117" t="str">
        <x:v>Delete</x:v>
      </x:c>
      <x:c r="E84" s="118" t="n">
        <x:v>1</x:v>
      </x:c>
      <x:c r="F84" s="118" t="n">
        <x:v>1</x:v>
      </x:c>
      <x:c r="G84" s="119" t="str">
        <x:v>PO_Bill_Prevent_Deletion</x:v>
      </x:c>
      <x:c r="H84" s="119" t="str">
        <x:v>POBillTrigger</x:v>
      </x:c>
      <x:c r="I84" s="119" t="str">
        <x:v>One before-save entry Flow per object/event lane; consolidate field assignments and use Subflows for reusable calculations. Trace Apex trigger handlers in the same transaction before selecting the final owner for each rule.</x:v>
      </x:c>
      <x:c r="J84" s="119" t="str">
        <x:v>No for same-transaction consolidation; consider only for long-running, multi-user staged work.</x:v>
      </x:c>
      <x:c r="K84" s="119" t="str">
        <x:v>Build a rule matrix by entry criteria, fields written, downstream actions, order, and error handling; then prototype in a sandbox.</x:v>
      </x:c>
    </x:row>
    <x:row r="85" ht="72" customHeight="1">
      <x:c r="A85" s="117" t="str">
        <x:v>Medium</x:v>
      </x:c>
      <x:c r="B85" s="117" t="str">
        <x:v>PO_Bill__c</x:v>
      </x:c>
      <x:c r="C85" s="117" t="str">
        <x:v>Scheduled</x:v>
      </x:c>
      <x:c r="D85" s="117" t="str">
        <x:v>Unspecified event</x:v>
      </x:c>
      <x:c r="E85" s="118" t="n">
        <x:v>1</x:v>
      </x:c>
      <x:c r="F85" s="118" t="n">
        <x:v>1</x:v>
      </x:c>
      <x:c r="G85" s="119" t="str">
        <x:v>PO_Bill_Resync_if_error_is_received</x:v>
      </x:c>
      <x:c r="H85" s="119" t="str">
        <x:v>POBillTrigger</x:v>
      </x:c>
      <x:c r="I85" s="119" t="str">
        <x:v>Review trigger semantics first; consolidate only flows with compatible timing and transaction behavior. Trace Apex trigger handlers in the same transaction before selecting the final owner for each rule.</x:v>
      </x:c>
      <x:c r="J85" s="119" t="str">
        <x:v>No for same-transaction consolidation; consider only for long-running, multi-user staged work.</x:v>
      </x:c>
      <x:c r="K85" s="119" t="str">
        <x:v>Build a rule matrix by entry criteria, fields written, downstream actions, order, and error handling; then prototype in a sandbox.</x:v>
      </x:c>
    </x:row>
    <x:row r="86" ht="72" customHeight="1">
      <x:c r="A86" s="117" t="str">
        <x:v>Medium</x:v>
      </x:c>
      <x:c r="B86" s="117" t="str">
        <x:v>Product2</x:v>
      </x:c>
      <x:c r="C86" s="117" t="str">
        <x:v>RecordAfterSave</x:v>
      </x:c>
      <x:c r="D86" s="117" t="str">
        <x:v>Update</x:v>
      </x:c>
      <x:c r="E86" s="118" t="n">
        <x:v>1</x:v>
      </x:c>
      <x:c r="F86" s="118" t="n">
        <x:v>1</x:v>
      </x:c>
      <x:c r="G86" s="119" t="str">
        <x:v>ProductUpdatesFlow</x:v>
      </x:c>
      <x:c r="H86" s="119" t="str">
        <x:v>UpdateProductFields</x:v>
      </x:c>
      <x:c r="I86" s="119" t="str">
        <x:v>One after-save entry Flow per object/event lane; route business domains to autolaunched Subflows and preserve async paths. Trace Apex trigger handlers in the same transaction before selecting the final owner for each rule.</x:v>
      </x:c>
      <x:c r="J86" s="119" t="str">
        <x:v>No for same-transaction consolidation; consider only for long-running, multi-user staged work.</x:v>
      </x:c>
      <x:c r="K86" s="119" t="str">
        <x:v>Build a rule matrix by entry criteria, fields written, downstream actions, order, and error handling; then prototype in a sandbox.</x:v>
      </x:c>
    </x:row>
    <x:row r="87" ht="72" customHeight="1">
      <x:c r="A87" s="117" t="str">
        <x:v>Medium</x:v>
      </x:c>
      <x:c r="B87" s="117" t="str">
        <x:v>Product2</x:v>
      </x:c>
      <x:c r="C87" s="117" t="str">
        <x:v>RecordBeforeSave</x:v>
      </x:c>
      <x:c r="D87" s="117" t="str">
        <x:v>Create</x:v>
      </x:c>
      <x:c r="E87" s="118" t="n">
        <x:v>1</x:v>
      </x:c>
      <x:c r="F87" s="118" t="n">
        <x:v>1</x:v>
      </x:c>
      <x:c r="G87" s="119" t="str">
        <x:v>Scrub_AvaTax_Exception_Code_from_New_Products</x:v>
      </x:c>
      <x:c r="H87" s="119" t="str">
        <x:v>UpdateProductFields</x:v>
      </x:c>
      <x:c r="I87" s="119" t="str">
        <x:v>One before-save entry Flow per object/event lane; consolidate field assignments and use Subflows for reusable calculations. Trace Apex trigger handlers in the same transaction before selecting the final owner for each rule.</x:v>
      </x:c>
      <x:c r="J87" s="119" t="str">
        <x:v>No for same-transaction consolidation; consider only for long-running, multi-user staged work.</x:v>
      </x:c>
      <x:c r="K87" s="119" t="str">
        <x:v>Build a rule matrix by entry criteria, fields written, downstream actions, order, and error handling; then prototype in a sandbox.</x:v>
      </x:c>
    </x:row>
    <x:row r="88" ht="72" customHeight="1">
      <x:c r="A88" s="117" t="str">
        <x:v>Medium</x:v>
      </x:c>
      <x:c r="B88" s="117" t="str">
        <x:v>ProductItem__c</x:v>
      </x:c>
      <x:c r="C88" s="117" t="str">
        <x:v>RecordBeforeSave</x:v>
      </x:c>
      <x:c r="D88" s="117" t="str">
        <x:v>Create</x:v>
      </x:c>
      <x:c r="E88" s="118" t="n">
        <x:v>1</x:v>
      </x:c>
      <x:c r="F88" s="118" t="n">
        <x:v>2</x:v>
      </x:c>
      <x:c r="G88" s="119" t="str">
        <x:v>On_Asset_Creation_Set_Currency_to_Purchasing_Opportunity_Currency</x:v>
      </x:c>
      <x:c r="H88" s="119" t="str">
        <x:v>P_ProductItemTrigger, dlrs_ProductItemTrigger</x:v>
      </x:c>
      <x:c r="I88" s="119" t="str">
        <x:v>One before-save entry Flow per object/event lane; consolidate field assignments and use Subflows for reusable calculations. Trace Apex trigger handlers in the same transaction before selecting the final owner for each rule.</x:v>
      </x:c>
      <x:c r="J88" s="119" t="str">
        <x:v>No for same-transaction consolidation; consider only for long-running, multi-user staged work.</x:v>
      </x:c>
      <x:c r="K88" s="119" t="str">
        <x:v>Build a rule matrix by entry criteria, fields written, downstream actions, order, and error handling; then prototype in a sandbox.</x:v>
      </x:c>
    </x:row>
    <x:row r="89" ht="72" customHeight="1">
      <x:c r="A89" s="117" t="str">
        <x:v>Medium</x:v>
      </x:c>
      <x:c r="B89" s="117" t="str">
        <x:v>ProductTest__c</x:v>
      </x:c>
      <x:c r="C89" s="117" t="str">
        <x:v>RecordAfterSave</x:v>
      </x:c>
      <x:c r="D89" s="117" t="str">
        <x:v>CreateAndUpdate</x:v>
      </x:c>
      <x:c r="E89" s="118" t="n">
        <x:v>1</x:v>
      </x:c>
      <x:c r="F89" s="118" t="n">
        <x:v>1</x:v>
      </x:c>
      <x:c r="G89" s="119" t="str">
        <x:v>Final_QC_Passed_Send_Email</x:v>
      </x:c>
      <x:c r="H89" s="119" t="str">
        <x:v>P_ProductTestTrigger</x:v>
      </x:c>
      <x:c r="I89" s="119" t="str">
        <x:v>One after-save entry Flow per object/event lane; route business domains to autolaunched Subflows and preserve async paths. Trace Apex trigger handlers in the same transaction before selecting the final owner for each rule.</x:v>
      </x:c>
      <x:c r="J89" s="119" t="str">
        <x:v>No for same-transaction consolidation; consider only for long-running, multi-user staged work.</x:v>
      </x:c>
      <x:c r="K89" s="119" t="str">
        <x:v>Build a rule matrix by entry criteria, fields written, downstream actions, order, and error handling; then prototype in a sandbox.</x:v>
      </x:c>
    </x:row>
    <x:row r="90" ht="72" customHeight="1">
      <x:c r="A90" s="117" t="str">
        <x:v>Medium</x:v>
      </x:c>
      <x:c r="B90" s="117" t="str">
        <x:v>Project_Expense__c</x:v>
      </x:c>
      <x:c r="C90" s="117" t="str">
        <x:v>RecordAfterSave</x:v>
      </x:c>
      <x:c r="D90" s="117" t="str">
        <x:v>CreateAndUpdate</x:v>
      </x:c>
      <x:c r="E90" s="118" t="n">
        <x:v>1</x:v>
      </x:c>
      <x:c r="F90" s="118" t="n">
        <x:v>1</x:v>
      </x:c>
      <x:c r="G90" s="119" t="str">
        <x:v>Project_Expenses_Rollups</x:v>
      </x:c>
      <x:c r="H90" s="119" t="str">
        <x:v>dlrs_Project_ExpenseTrigger</x:v>
      </x:c>
      <x:c r="I90" s="119" t="str">
        <x:v>One after-save entry Flow per object/event lane; route business domains to autolaunched Subflows and preserve async paths. Trace Apex trigger handlers in the same transaction before selecting the final owner for each rule.</x:v>
      </x:c>
      <x:c r="J90" s="119" t="str">
        <x:v>No for same-transaction consolidation; consider only for long-running, multi-user staged work.</x:v>
      </x:c>
      <x:c r="K90" s="119" t="str">
        <x:v>Build a rule matrix by entry criteria, fields written, downstream actions, order, and error handling; then prototype in a sandbox.</x:v>
      </x:c>
    </x:row>
    <x:row r="91" ht="72" customHeight="1">
      <x:c r="A91" s="117" t="str">
        <x:v>Medium</x:v>
      </x:c>
      <x:c r="B91" s="117" t="str">
        <x:v>Purchasing_Return__c</x:v>
      </x:c>
      <x:c r="C91" s="117" t="str">
        <x:v>RecordAfterSave</x:v>
      </x:c>
      <x:c r="D91" s="117" t="str">
        <x:v>CreateAndUpdate</x:v>
      </x:c>
      <x:c r="E91" s="118" t="n">
        <x:v>1</x:v>
      </x:c>
      <x:c r="F91" s="118" t="n">
        <x:v>1</x:v>
      </x:c>
      <x:c r="G91" s="119" t="str">
        <x:v>Record_Triggered_After_Purchasing_Return</x:v>
      </x:c>
      <x:c r="H91" s="119" t="str">
        <x:v>P_PurchasingReturnTrigger</x:v>
      </x:c>
      <x:c r="I91" s="119" t="str">
        <x:v>One after-save entry Flow per object/event lane; route business domains to autolaunched Subflows and preserve async paths. Trace Apex trigger handlers in the same transaction before selecting the final owner for each rule.</x:v>
      </x:c>
      <x:c r="J91" s="119" t="str">
        <x:v>No for same-transaction consolidation; consider only for long-running, multi-user staged work.</x:v>
      </x:c>
      <x:c r="K91" s="119" t="str">
        <x:v>Build a rule matrix by entry criteria, fields written, downstream actions, order, and error handling; then prototype in a sandbox.</x:v>
      </x:c>
    </x:row>
    <x:row r="92" ht="72" customHeight="1">
      <x:c r="A92" s="117" t="str">
        <x:v>Medium</x:v>
      </x:c>
      <x:c r="B92" s="117" t="str">
        <x:v>RMA__c</x:v>
      </x:c>
      <x:c r="C92" s="117" t="str">
        <x:v>Scheduled</x:v>
      </x:c>
      <x:c r="D92" s="117" t="str">
        <x:v>Unspecified event</x:v>
      </x:c>
      <x:c r="E92" s="118" t="n">
        <x:v>1</x:v>
      </x:c>
      <x:c r="F92" s="118" t="n">
        <x:v>2</x:v>
      </x:c>
      <x:c r="G92" s="119" t="str">
        <x:v>RMA_Re_sync_RMA_if_Errored</x:v>
      </x:c>
      <x:c r="H92" s="119" t="str">
        <x:v>CreateApprovedRepairs, P_RMATrigger</x:v>
      </x:c>
      <x:c r="I92" s="119" t="str">
        <x:v>Review trigger semantics first; consolidate only flows with compatible timing and transaction behavior. Trace Apex trigger handlers in the same transaction before selecting the final owner for each rule.</x:v>
      </x:c>
      <x:c r="J92" s="119" t="str">
        <x:v>No for same-transaction consolidation; consider only for long-running, multi-user staged work.</x:v>
      </x:c>
      <x:c r="K92" s="119" t="str">
        <x:v>Build a rule matrix by entry criteria, fields written, downstream actions, order, and error handling; then prototype in a sandbox.</x:v>
      </x:c>
    </x:row>
    <x:row r="93" ht="72" customHeight="1">
      <x:c r="A93" s="117" t="str">
        <x:v>Medium</x:v>
      </x:c>
      <x:c r="B93" s="117" t="str">
        <x:v>ServiceContract</x:v>
      </x:c>
      <x:c r="C93" s="117" t="str">
        <x:v>RecordAfterSave</x:v>
      </x:c>
      <x:c r="D93" s="117" t="str">
        <x:v>CreateAndUpdate</x:v>
      </x:c>
      <x:c r="E93" s="118" t="n">
        <x:v>1</x:v>
      </x:c>
      <x:c r="F93" s="118" t="n">
        <x:v>1</x:v>
      </x:c>
      <x:c r="G93" s="119" t="str">
        <x:v>Service_Contract_Updates_Flow</x:v>
      </x:c>
      <x:c r="H93" s="119" t="str">
        <x:v>P_ServiceContractTrigger</x:v>
      </x:c>
      <x:c r="I93" s="119" t="str">
        <x:v>One after-save entry Flow per object/event lane; route business domains to autolaunched Subflows and preserve async paths. Trace Apex trigger handlers in the same transaction before selecting the final owner for each rule.</x:v>
      </x:c>
      <x:c r="J93" s="119" t="str">
        <x:v>No for same-transaction consolidation; consider only for long-running, multi-user staged work.</x:v>
      </x:c>
      <x:c r="K93" s="119" t="str">
        <x:v>Build a rule matrix by entry criteria, fields written, downstream actions, order, and error handling; then prototype in a sandbox.</x:v>
      </x:c>
    </x:row>
    <x:row r="94" ht="72" customHeight="1">
      <x:c r="A94" s="117" t="str">
        <x:v>Medium</x:v>
      </x:c>
      <x:c r="B94" s="117" t="str">
        <x:v>WorkOrder</x:v>
      </x:c>
      <x:c r="C94" s="117" t="str">
        <x:v>RecordBeforeDelete</x:v>
      </x:c>
      <x:c r="D94" s="117" t="str">
        <x:v>Delete</x:v>
      </x:c>
      <x:c r="E94" s="118" t="n">
        <x:v>1</x:v>
      </x:c>
      <x:c r="F94" s="118" t="n">
        <x:v>3</x:v>
      </x:c>
      <x:c r="G94" s="119" t="str">
        <x:v>Work_Order_Asynchronous_on_delete_Update_PM_Work_Order_Count_on_Service_Contract</x:v>
      </x:c>
      <x:c r="H94" s="119" t="str">
        <x:v>P_ServiceWorkOrderTrigger, UKBusinessHours, WorkOrderTrigger</x:v>
      </x:c>
      <x:c r="I94" s="119" t="str">
        <x:v>One before-save entry Flow per object/event lane; consolidate field assignments and use Subflows for reusable calculations. Trace Apex trigger handlers in the same transaction before selecting the final owner for each rule.</x:v>
      </x:c>
      <x:c r="J94" s="119" t="str">
        <x:v>No for same-transaction consolidation; consider only for long-running, multi-user staged work.</x:v>
      </x:c>
      <x:c r="K94" s="119" t="str">
        <x:v>Build a rule matrix by entry criteria, fields written, downstream actions, order, and error handling; then prototype in a sandbox.</x:v>
      </x:c>
    </x:row>
    <x:row r="95" ht="72" customHeight="1">
      <x:c r="A95" s="117" t="str">
        <x:v>Medium</x:v>
      </x:c>
      <x:c r="B95" s="117" t="str">
        <x:v>WorkOrder</x:v>
      </x:c>
      <x:c r="C95" s="117" t="str">
        <x:v>RecordBeforeSave</x:v>
      </x:c>
      <x:c r="D95" s="117" t="str">
        <x:v>CreateAndUpdate</x:v>
      </x:c>
      <x:c r="E95" s="118" t="n">
        <x:v>1</x:v>
      </x:c>
      <x:c r="F95" s="118" t="n">
        <x:v>3</x:v>
      </x:c>
      <x:c r="G95" s="119" t="str">
        <x:v>Work_Order_Triggeer_US_FSR_Layout_Assignment</x:v>
      </x:c>
      <x:c r="H95" s="119" t="str">
        <x:v>P_ServiceWorkOrderTrigger, UKBusinessHours, WorkOrderTrigger</x:v>
      </x:c>
      <x:c r="I95" s="119" t="str">
        <x:v>One before-save entry Flow per object/event lane; consolidate field assignments and use Subflows for reusable calculations. Trace Apex trigger handlers in the same transaction before selecting the final owner for each rule.</x:v>
      </x:c>
      <x:c r="J95" s="119" t="str">
        <x:v>No for same-transaction consolidation; consider only for long-running, multi-user staged work.</x:v>
      </x:c>
      <x:c r="K95" s="119" t="str">
        <x:v>Build a rule matrix by entry criteria, fields written, downstream actions, order, and error handling; then prototype in a sandbox.</x:v>
      </x:c>
    </x:row>
    <x:row r="96" ht="72" customHeight="1">
      <x:c r="A96" s="117" t="str">
        <x:v>Medium</x:v>
      </x:c>
      <x:c r="B96" s="117" t="str">
        <x:v>WorkOrderLineItem</x:v>
      </x:c>
      <x:c r="C96" s="117" t="str">
        <x:v>RecordAfterSave</x:v>
      </x:c>
      <x:c r="D96" s="117" t="str">
        <x:v>Update</x:v>
      </x:c>
      <x:c r="E96" s="118" t="n">
        <x:v>1</x:v>
      </x:c>
      <x:c r="F96" s="118" t="n">
        <x:v>2</x:v>
      </x:c>
      <x:c r="G96" s="119" t="str">
        <x:v>Work_Order_Rollups</x:v>
      </x:c>
      <x:c r="H96" s="119" t="str">
        <x:v>P_WorkOrderLineItemTrigger, WorkOrderLineItemTrigger</x:v>
      </x:c>
      <x:c r="I96" s="119" t="str">
        <x:v>One after-save entry Flow per object/event lane; route business domains to autolaunched Subflows and preserve async paths. Trace Apex trigger handlers in the same transaction before selecting the final owner for each rule.</x:v>
      </x:c>
      <x:c r="J96" s="119" t="str">
        <x:v>No for same-transaction consolidation; consider only for long-running, multi-user staged work.</x:v>
      </x:c>
      <x:c r="K96" s="119" t="str">
        <x:v>Build a rule matrix by entry criteria, fields written, downstream actions, order, and error handling; then prototype in a sandbox.</x:v>
      </x:c>
    </x:row>
    <x:row r="97" ht="72" customHeight="1">
      <x:c r="A97" s="117" t="str">
        <x:v>Low</x:v>
      </x:c>
      <x:c r="B97" s="117" t="str">
        <x:v>AVA_SFCLOUD__TaxExemptionCertificate__c</x:v>
      </x:c>
      <x:c r="C97" s="117" t="str">
        <x:v>RecordBeforeSave</x:v>
      </x:c>
      <x:c r="D97" s="117" t="str">
        <x:v>CreateAndUpdate</x:v>
      </x:c>
      <x:c r="E97" s="118" t="n">
        <x:v>1</x:v>
      </x:c>
      <x:c r="F97" s="118" t="n">
        <x:v>0</x:v>
      </x:c>
      <x:c r="G97" s="119" t="str">
        <x:v>AvaTax_Exemption_Certificate_Certificate_Status_Update</x:v>
      </x:c>
      <x:c r="H97" s="119" t="str"/>
      <x:c r="I97" s="119" t="str">
        <x:v>Retain for now; document ownership and reuse Subflows if shared logic emerges.</x:v>
      </x:c>
      <x:c r="J97" s="119" t="str">
        <x:v>No for same-transaction consolidation; consider only for long-running, multi-user staged work.</x:v>
      </x:c>
      <x:c r="K97" s="119" t="str">
        <x:v>Build a rule matrix by entry criteria, fields written, downstream actions, order, and error handling; then prototype in a sandbox.</x:v>
      </x:c>
    </x:row>
    <x:row r="98" ht="72" customHeight="1">
      <x:c r="A98" s="117" t="str">
        <x:v>Low</x:v>
      </x:c>
      <x:c r="B98" s="117" t="str">
        <x:v>Address</x:v>
      </x:c>
      <x:c r="C98" s="117" t="str">
        <x:v>RecordAfterSave</x:v>
      </x:c>
      <x:c r="D98" s="117" t="str">
        <x:v>Update</x:v>
      </x:c>
      <x:c r="E98" s="118" t="n">
        <x:v>1</x:v>
      </x:c>
      <x:c r="F98" s="118" t="n">
        <x:v>0</x:v>
      </x:c>
      <x:c r="G98" s="119" t="str">
        <x:v>Record_Triggered_After_Address_Update_Related_Lookups</x:v>
      </x:c>
      <x:c r="H98" s="119" t="str"/>
      <x:c r="I98" s="119" t="str">
        <x:v>Retain for now; document ownership and reuse Subflows if shared logic emerges.</x:v>
      </x:c>
      <x:c r="J98" s="119" t="str">
        <x:v>No for same-transaction consolidation; consider only for long-running, multi-user staged work.</x:v>
      </x:c>
      <x:c r="K98" s="119" t="str">
        <x:v>Build a rule matrix by entry criteria, fields written, downstream actions, order, and error handling; then prototype in a sandbox.</x:v>
      </x:c>
    </x:row>
    <x:row r="99" ht="72" customHeight="1">
      <x:c r="A99" s="117" t="str">
        <x:v>Low</x:v>
      </x:c>
      <x:c r="B99" s="117" t="str">
        <x:v>AssignedResource</x:v>
      </x:c>
      <x:c r="C99" s="117" t="str">
        <x:v>RecordAfterSave</x:v>
      </x:c>
      <x:c r="D99" s="117" t="str">
        <x:v>Create</x:v>
      </x:c>
      <x:c r="E99" s="118" t="n">
        <x:v>1</x:v>
      </x:c>
      <x:c r="F99" s="118" t="n">
        <x:v>0</x:v>
      </x:c>
      <x:c r="G99" s="119" t="str">
        <x:v>Assigned_Resource_Trigger_Dispatch_Tech_Call</x:v>
      </x:c>
      <x:c r="H99" s="119" t="str"/>
      <x:c r="I99" s="119" t="str">
        <x:v>Retain for now; document ownership and reuse Subflows if shared logic emerges.</x:v>
      </x:c>
      <x:c r="J99" s="119" t="str">
        <x:v>No for same-transaction consolidation; consider only for long-running, multi-user staged work.</x:v>
      </x:c>
      <x:c r="K99" s="119" t="str">
        <x:v>Build a rule matrix by entry criteria, fields written, downstream actions, order, and error handling; then prototype in a sandbox.</x:v>
      </x:c>
    </x:row>
    <x:row r="100" ht="72" customHeight="1">
      <x:c r="A100" s="117" t="str">
        <x:v>Low</x:v>
      </x:c>
      <x:c r="B100" s="117" t="str">
        <x:v>AssignedResource</x:v>
      </x:c>
      <x:c r="C100" s="117" t="str">
        <x:v>RecordAfterSave</x:v>
      </x:c>
      <x:c r="D100" s="117" t="str">
        <x:v>Update</x:v>
      </x:c>
      <x:c r="E100" s="118" t="n">
        <x:v>1</x:v>
      </x:c>
      <x:c r="F100" s="118" t="n">
        <x:v>0</x:v>
      </x:c>
      <x:c r="G100" s="119" t="str">
        <x:v>Assigned_Resource_Trigger_Send_New_Resource_Dispatch_Email</x:v>
      </x:c>
      <x:c r="H100" s="119" t="str"/>
      <x:c r="I100" s="119" t="str">
        <x:v>Retain for now; document ownership and reuse Subflows if shared logic emerges.</x:v>
      </x:c>
      <x:c r="J100" s="119" t="str">
        <x:v>No for same-transaction consolidation; consider only for long-running, multi-user staged work.</x:v>
      </x:c>
      <x:c r="K100" s="119" t="str">
        <x:v>Build a rule matrix by entry criteria, fields written, downstream actions, order, and error handling; then prototype in a sandbox.</x:v>
      </x:c>
    </x:row>
    <x:row r="101" ht="72" customHeight="1">
      <x:c r="A101" s="117" t="str">
        <x:v>Low</x:v>
      </x:c>
      <x:c r="B101" s="117" t="str">
        <x:v>AssignedResource</x:v>
      </x:c>
      <x:c r="C101" s="117" t="str">
        <x:v>RecordBeforeDelete</x:v>
      </x:c>
      <x:c r="D101" s="117" t="str">
        <x:v>Delete</x:v>
      </x:c>
      <x:c r="E101" s="118" t="n">
        <x:v>1</x:v>
      </x:c>
      <x:c r="F101" s="118" t="n">
        <x:v>0</x:v>
      </x:c>
      <x:c r="G101" s="119" t="str">
        <x:v>Assigned_Resource_On_Delete_Find_and_Delete_Related_Event</x:v>
      </x:c>
      <x:c r="H101" s="119" t="str"/>
      <x:c r="I101" s="119" t="str">
        <x:v>Retain for now; document ownership and reuse Subflows if shared logic emerges.</x:v>
      </x:c>
      <x:c r="J101" s="119" t="str">
        <x:v>No for same-transaction consolidation; consider only for long-running, multi-user staged work.</x:v>
      </x:c>
      <x:c r="K101" s="119" t="str">
        <x:v>Build a rule matrix by entry criteria, fields written, downstream actions, order, and error handling; then prototype in a sandbox.</x:v>
      </x:c>
    </x:row>
    <x:row r="102" ht="72" customHeight="1">
      <x:c r="A102" s="117" t="str">
        <x:v>Low</x:v>
      </x:c>
      <x:c r="B102" s="117" t="str">
        <x:v>Change_Request__c</x:v>
      </x:c>
      <x:c r="C102" s="117" t="str">
        <x:v>RecordAfterSave</x:v>
      </x:c>
      <x:c r="D102" s="117" t="str">
        <x:v>Update</x:v>
      </x:c>
      <x:c r="E102" s="118" t="n">
        <x:v>1</x:v>
      </x:c>
      <x:c r="F102" s="118" t="n">
        <x:v>0</x:v>
      </x:c>
      <x:c r="G102" s="119" t="str">
        <x:v>Change_Request_After_Update_Lifecycle_Automations</x:v>
      </x:c>
      <x:c r="H102" s="119" t="str"/>
      <x:c r="I102" s="119" t="str">
        <x:v>Retain for now; document ownership and reuse Subflows if shared logic emerges.</x:v>
      </x:c>
      <x:c r="J102" s="119" t="str">
        <x:v>No for same-transaction consolidation; consider only for long-running, multi-user staged work.</x:v>
      </x:c>
      <x:c r="K102" s="119" t="str">
        <x:v>Build a rule matrix by entry criteria, fields written, downstream actions, order, and error handling; then prototype in a sandbox.</x:v>
      </x:c>
    </x:row>
    <x:row r="103" ht="72" customHeight="1">
      <x:c r="A103" s="117" t="str">
        <x:v>Low</x:v>
      </x:c>
      <x:c r="B103" s="117" t="str">
        <x:v>ChargentOrders__ChargentOrder__c</x:v>
      </x:c>
      <x:c r="C103" s="117" t="str">
        <x:v>Scheduled</x:v>
      </x:c>
      <x:c r="D103" s="117" t="str">
        <x:v>Unspecified event</x:v>
      </x:c>
      <x:c r="E103" s="118" t="n">
        <x:v>1</x:v>
      </x:c>
      <x:c r="F103" s="118" t="n">
        <x:v>0</x:v>
      </x:c>
      <x:c r="G103" s="119" t="str">
        <x:v>Recurring_Billing_Flow</x:v>
      </x:c>
      <x:c r="H103" s="119" t="str"/>
      <x:c r="I103" s="119" t="str">
        <x:v>Retain for now; document ownership and reuse Subflows if shared logic emerges.</x:v>
      </x:c>
      <x:c r="J103" s="119" t="str">
        <x:v>No for same-transaction consolidation; consider only for long-running, multi-user staged work.</x:v>
      </x:c>
      <x:c r="K103" s="119" t="str">
        <x:v>Build a rule matrix by entry criteria, fields written, downstream actions, order, and error handling; then prototype in a sandbox.</x:v>
      </x:c>
    </x:row>
    <x:row r="104" ht="72" customHeight="1">
      <x:c r="A104" s="117" t="str">
        <x:v>Low</x:v>
      </x:c>
      <x:c r="B104" s="117" t="str">
        <x:v>Contact</x:v>
      </x:c>
      <x:c r="C104" s="117" t="str">
        <x:v>RecordAfterSave</x:v>
      </x:c>
      <x:c r="D104" s="117" t="str">
        <x:v>Create</x:v>
      </x:c>
      <x:c r="E104" s="118" t="n">
        <x:v>1</x:v>
      </x:c>
      <x:c r="F104" s="118" t="n">
        <x:v>0</x:v>
      </x:c>
      <x:c r="G104" s="119" t="str">
        <x:v>Contact_Asynchronous_on_create_Update_Account_Number_of_Contacts</x:v>
      </x:c>
      <x:c r="H104" s="119" t="str"/>
      <x:c r="I104" s="119" t="str">
        <x:v>Retain for now; document ownership and reuse Subflows if shared logic emerges.</x:v>
      </x:c>
      <x:c r="J104" s="119" t="str">
        <x:v>No for same-transaction consolidation; consider only for long-running, multi-user staged work.</x:v>
      </x:c>
      <x:c r="K104" s="119" t="str">
        <x:v>Build a rule matrix by entry criteria, fields written, downstream actions, order, and error handling; then prototype in a sandbox.</x:v>
      </x:c>
    </x:row>
    <x:row r="105" ht="72" customHeight="1">
      <x:c r="A105" s="117" t="str">
        <x:v>Low</x:v>
      </x:c>
      <x:c r="B105" s="117" t="str">
        <x:v>Contact</x:v>
      </x:c>
      <x:c r="C105" s="117" t="str">
        <x:v>RecordAfterSave</x:v>
      </x:c>
      <x:c r="D105" s="117" t="str">
        <x:v>Update</x:v>
      </x:c>
      <x:c r="E105" s="118" t="n">
        <x:v>1</x:v>
      </x:c>
      <x:c r="F105" s="118" t="n">
        <x:v>0</x:v>
      </x:c>
      <x:c r="G105" s="119" t="str">
        <x:v>Contact_Asynchronous_on_update_Update_Account_Number_of_Contacts</x:v>
      </x:c>
      <x:c r="H105" s="119" t="str"/>
      <x:c r="I105" s="119" t="str">
        <x:v>Retain for now; document ownership and reuse Subflows if shared logic emerges.</x:v>
      </x:c>
      <x:c r="J105" s="119" t="str">
        <x:v>No for same-transaction consolidation; consider only for long-running, multi-user staged work.</x:v>
      </x:c>
      <x:c r="K105" s="119" t="str">
        <x:v>Build a rule matrix by entry criteria, fields written, downstream actions, order, and error handling; then prototype in a sandbox.</x:v>
      </x:c>
    </x:row>
    <x:row r="106" ht="72" customHeight="1">
      <x:c r="A106" s="117" t="str">
        <x:v>Low</x:v>
      </x:c>
      <x:c r="B106" s="117" t="str">
        <x:v>Contact</x:v>
      </x:c>
      <x:c r="C106" s="117" t="str">
        <x:v>RecordBeforeDelete</x:v>
      </x:c>
      <x:c r="D106" s="117" t="str">
        <x:v>Delete</x:v>
      </x:c>
      <x:c r="E106" s="118" t="n">
        <x:v>1</x:v>
      </x:c>
      <x:c r="F106" s="118" t="n">
        <x:v>0</x:v>
      </x:c>
      <x:c r="G106" s="119" t="str">
        <x:v>Contact_Asynchronous_on_delete_Update_Account_Number_of_Contacts</x:v>
      </x:c>
      <x:c r="H106" s="119" t="str"/>
      <x:c r="I106" s="119" t="str">
        <x:v>Retain for now; document ownership and reuse Subflows if shared logic emerges.</x:v>
      </x:c>
      <x:c r="J106" s="119" t="str">
        <x:v>No for same-transaction consolidation; consider only for long-running, multi-user staged work.</x:v>
      </x:c>
      <x:c r="K106" s="119" t="str">
        <x:v>Build a rule matrix by entry criteria, fields written, downstream actions, order, and error handling; then prototype in a sandbox.</x:v>
      </x:c>
    </x:row>
    <x:row r="107" ht="72" customHeight="1">
      <x:c r="A107" s="117" t="str">
        <x:v>Low</x:v>
      </x:c>
      <x:c r="B107" s="117" t="str">
        <x:v>Credit_Memo_Line_Item__c</x:v>
      </x:c>
      <x:c r="C107" s="117" t="str">
        <x:v>RecordAfterSave</x:v>
      </x:c>
      <x:c r="D107" s="117" t="str">
        <x:v>CreateAndUpdate</x:v>
      </x:c>
      <x:c r="E107" s="118" t="n">
        <x:v>1</x:v>
      </x:c>
      <x:c r="F107" s="118" t="n">
        <x:v>0</x:v>
      </x:c>
      <x:c r="G107" s="119" t="str">
        <x:v>Credit_Memo_Line_Item_On_Update_Sum_Credit_Memo_Total</x:v>
      </x:c>
      <x:c r="H107" s="119" t="str"/>
      <x:c r="I107" s="119" t="str">
        <x:v>Retain for now; document ownership and reuse Subflows if shared logic emerges.</x:v>
      </x:c>
      <x:c r="J107" s="119" t="str">
        <x:v>No for same-transaction consolidation; consider only for long-running, multi-user staged work.</x:v>
      </x:c>
      <x:c r="K107" s="119" t="str">
        <x:v>Build a rule matrix by entry criteria, fields written, downstream actions, order, and error handling; then prototype in a sandbox.</x:v>
      </x:c>
    </x:row>
    <x:row r="108" ht="72" customHeight="1">
      <x:c r="A108" s="117" t="str">
        <x:v>Low</x:v>
      </x:c>
      <x:c r="B108" s="117" t="str">
        <x:v>Document_Review__c</x:v>
      </x:c>
      <x:c r="C108" s="117" t="str">
        <x:v>RecordAfterSave</x:v>
      </x:c>
      <x:c r="D108" s="117" t="str">
        <x:v>CreateAndUpdate</x:v>
      </x:c>
      <x:c r="E108" s="118" t="n">
        <x:v>1</x:v>
      </x:c>
      <x:c r="F108" s="118" t="n">
        <x:v>0</x:v>
      </x:c>
      <x:c r="G108" s="119" t="str">
        <x:v>Document_Review_Status_Automation</x:v>
      </x:c>
      <x:c r="H108" s="119" t="str"/>
      <x:c r="I108" s="119" t="str">
        <x:v>Retain for now; document ownership and reuse Subflows if shared logic emerges.</x:v>
      </x:c>
      <x:c r="J108" s="119" t="str">
        <x:v>No for same-transaction consolidation; consider only for long-running, multi-user staged work.</x:v>
      </x:c>
      <x:c r="K108" s="119" t="str">
        <x:v>Build a rule matrix by entry criteria, fields written, downstream actions, order, and error handling; then prototype in a sandbox.</x:v>
      </x:c>
    </x:row>
    <x:row r="109" ht="72" customHeight="1">
      <x:c r="A109" s="117" t="str">
        <x:v>Low</x:v>
      </x:c>
      <x:c r="B109" s="117" t="str">
        <x:v>Equipment__c</x:v>
      </x:c>
      <x:c r="C109" s="117" t="str">
        <x:v>RecordAfterSave</x:v>
      </x:c>
      <x:c r="D109" s="117" t="str">
        <x:v>CreateAndUpdate</x:v>
      </x:c>
      <x:c r="E109" s="118" t="n">
        <x:v>1</x:v>
      </x:c>
      <x:c r="F109" s="118" t="n">
        <x:v>0</x:v>
      </x:c>
      <x:c r="G109" s="119" t="str">
        <x:v>Calibration_due_soon_30_days_3</x:v>
      </x:c>
      <x:c r="H109" s="119" t="str"/>
      <x:c r="I109" s="119" t="str">
        <x:v>Retain for now; document ownership and reuse Subflows if shared logic emerges.</x:v>
      </x:c>
      <x:c r="J109" s="119" t="str">
        <x:v>No for same-transaction consolidation; consider only for long-running, multi-user staged work.</x:v>
      </x:c>
      <x:c r="K109" s="119" t="str">
        <x:v>Build a rule matrix by entry criteria, fields written, downstream actions, order, and error handling; then prototype in a sandbox.</x:v>
      </x:c>
    </x:row>
    <x:row r="110" ht="72" customHeight="1">
      <x:c r="A110" s="117" t="str">
        <x:v>Low</x:v>
      </x:c>
      <x:c r="B110" s="117" t="str">
        <x:v>IR_Product__c</x:v>
      </x:c>
      <x:c r="C110" s="117" t="str">
        <x:v>RecordAfterSave</x:v>
      </x:c>
      <x:c r="D110" s="117" t="str">
        <x:v>Create</x:v>
      </x:c>
      <x:c r="E110" s="118" t="n">
        <x:v>1</x:v>
      </x:c>
      <x:c r="F110" s="118" t="n">
        <x:v>0</x:v>
      </x:c>
      <x:c r="G110" s="119" t="str">
        <x:v>IR_Product_on_create_Total_IR_Product_Cost_Roll_Up</x:v>
      </x:c>
      <x:c r="H110" s="119" t="str"/>
      <x:c r="I110" s="119" t="str">
        <x:v>Retain for now; document ownership and reuse Subflows if shared logic emerges.</x:v>
      </x:c>
      <x:c r="J110" s="119" t="str">
        <x:v>No for same-transaction consolidation; consider only for long-running, multi-user staged work.</x:v>
      </x:c>
      <x:c r="K110" s="119" t="str">
        <x:v>Build a rule matrix by entry criteria, fields written, downstream actions, order, and error handling; then prototype in a sandbox.</x:v>
      </x:c>
    </x:row>
    <x:row r="111" ht="72" customHeight="1">
      <x:c r="A111" s="117" t="str">
        <x:v>Low</x:v>
      </x:c>
      <x:c r="B111" s="117" t="str">
        <x:v>IR_Product__c</x:v>
      </x:c>
      <x:c r="C111" s="117" t="str">
        <x:v>RecordAfterSave</x:v>
      </x:c>
      <x:c r="D111" s="117" t="str">
        <x:v>Update</x:v>
      </x:c>
      <x:c r="E111" s="118" t="n">
        <x:v>1</x:v>
      </x:c>
      <x:c r="F111" s="118" t="n">
        <x:v>0</x:v>
      </x:c>
      <x:c r="G111" s="119" t="str">
        <x:v>IR_Product_on_update_Total_IR_Product_Cost_Roll_Up</x:v>
      </x:c>
      <x:c r="H111" s="119" t="str"/>
      <x:c r="I111" s="119" t="str">
        <x:v>Retain for now; document ownership and reuse Subflows if shared logic emerges.</x:v>
      </x:c>
      <x:c r="J111" s="119" t="str">
        <x:v>No for same-transaction consolidation; consider only for long-running, multi-user staged work.</x:v>
      </x:c>
      <x:c r="K111" s="119" t="str">
        <x:v>Build a rule matrix by entry criteria, fields written, downstream actions, order, and error handling; then prototype in a sandbox.</x:v>
      </x:c>
    </x:row>
    <x:row r="112" ht="72" customHeight="1">
      <x:c r="A112" s="117" t="str">
        <x:v>Low</x:v>
      </x:c>
      <x:c r="B112" s="117" t="str">
        <x:v>IR_Product__c</x:v>
      </x:c>
      <x:c r="C112" s="117" t="str">
        <x:v>RecordBeforeDelete</x:v>
      </x:c>
      <x:c r="D112" s="117" t="str">
        <x:v>Delete</x:v>
      </x:c>
      <x:c r="E112" s="118" t="n">
        <x:v>1</x:v>
      </x:c>
      <x:c r="F112" s="118" t="n">
        <x:v>0</x:v>
      </x:c>
      <x:c r="G112" s="119" t="str">
        <x:v>IR_Product_Before_Delete_Total_IR_Product_Cost_Roll_Up</x:v>
      </x:c>
      <x:c r="H112" s="119" t="str"/>
      <x:c r="I112" s="119" t="str">
        <x:v>Retain for now; document ownership and reuse Subflows if shared logic emerges.</x:v>
      </x:c>
      <x:c r="J112" s="119" t="str">
        <x:v>No for same-transaction consolidation; consider only for long-running, multi-user staged work.</x:v>
      </x:c>
      <x:c r="K112" s="119" t="str">
        <x:v>Build a rule matrix by entry criteria, fields written, downstream actions, order, and error handling; then prototype in a sandbox.</x:v>
      </x:c>
    </x:row>
    <x:row r="113" ht="72" customHeight="1">
      <x:c r="A113" s="117" t="str">
        <x:v>Low</x:v>
      </x:c>
      <x:c r="B113" s="117" t="str">
        <x:v>Intercompany_Transfer__c</x:v>
      </x:c>
      <x:c r="C113" s="117" t="str">
        <x:v>RecordAfterSave</x:v>
      </x:c>
      <x:c r="D113" s="117" t="str">
        <x:v>Update</x:v>
      </x:c>
      <x:c r="E113" s="118" t="n">
        <x:v>1</x:v>
      </x:c>
      <x:c r="F113" s="118" t="n">
        <x:v>0</x:v>
      </x:c>
      <x:c r="G113" s="119" t="str">
        <x:v>Intercompany_Transfer_Automations</x:v>
      </x:c>
      <x:c r="H113" s="119" t="str"/>
      <x:c r="I113" s="119" t="str">
        <x:v>Retain for now; document ownership and reuse Subflows if shared logic emerges.</x:v>
      </x:c>
      <x:c r="J113" s="119" t="str">
        <x:v>No for same-transaction consolidation; consider only for long-running, multi-user staged work.</x:v>
      </x:c>
      <x:c r="K113" s="119" t="str">
        <x:v>Build a rule matrix by entry criteria, fields written, downstream actions, order, and error handling; then prototype in a sandbox.</x:v>
      </x:c>
    </x:row>
    <x:row r="114" ht="72" customHeight="1">
      <x:c r="A114" s="117" t="str">
        <x:v>Low</x:v>
      </x:c>
      <x:c r="B114" s="117" t="str">
        <x:v>Inventory_Adjustment__c</x:v>
      </x:c>
      <x:c r="C114" s="117" t="str">
        <x:v>RecordAfterSave</x:v>
      </x:c>
      <x:c r="D114" s="117" t="str">
        <x:v>CreateAndUpdate</x:v>
      </x:c>
      <x:c r="E114" s="118" t="n">
        <x:v>1</x:v>
      </x:c>
      <x:c r="F114" s="118" t="n">
        <x:v>0</x:v>
      </x:c>
      <x:c r="G114" s="119" t="str">
        <x:v>Record_Triggered_After_Inventory_Adjustment</x:v>
      </x:c>
      <x:c r="H114" s="119" t="str"/>
      <x:c r="I114" s="119" t="str">
        <x:v>Retain for now; document ownership and reuse Subflows if shared logic emerges.</x:v>
      </x:c>
      <x:c r="J114" s="119" t="str">
        <x:v>No for same-transaction consolidation; consider only for long-running, multi-user staged work.</x:v>
      </x:c>
      <x:c r="K114" s="119" t="str">
        <x:v>Build a rule matrix by entry criteria, fields written, downstream actions, order, and error handling; then prototype in a sandbox.</x:v>
      </x:c>
    </x:row>
    <x:row r="115" ht="72" customHeight="1">
      <x:c r="A115" s="117" t="str">
        <x:v>Low</x:v>
      </x:c>
      <x:c r="B115" s="117" t="str">
        <x:v>Invoice_Line_Item__c</x:v>
      </x:c>
      <x:c r="C115" s="117" t="str">
        <x:v>RecordAfterSave</x:v>
      </x:c>
      <x:c r="D115" s="117" t="str">
        <x:v>CreateAndUpdate</x:v>
      </x:c>
      <x:c r="E115" s="118" t="n">
        <x:v>1</x:v>
      </x:c>
      <x:c r="F115" s="118" t="n">
        <x:v>0</x:v>
      </x:c>
      <x:c r="G115" s="119" t="str">
        <x:v>Invoice_Line_Item_On_Update_Sum_Invoice_Total_Sales_Price</x:v>
      </x:c>
      <x:c r="H115" s="119" t="str"/>
      <x:c r="I115" s="119" t="str">
        <x:v>Retain for now; document ownership and reuse Subflows if shared logic emerges.</x:v>
      </x:c>
      <x:c r="J115" s="119" t="str">
        <x:v>No for same-transaction consolidation; consider only for long-running, multi-user staged work.</x:v>
      </x:c>
      <x:c r="K115" s="119" t="str">
        <x:v>Build a rule matrix by entry criteria, fields written, downstream actions, order, and error handling; then prototype in a sandbox.</x:v>
      </x:c>
    </x:row>
    <x:row r="116" ht="72" customHeight="1">
      <x:c r="A116" s="117" t="str">
        <x:v>Low</x:v>
      </x:c>
      <x:c r="B116" s="117" t="str">
        <x:v>Lead</x:v>
      </x:c>
      <x:c r="C116" s="117" t="str">
        <x:v>RecordAfterSave</x:v>
      </x:c>
      <x:c r="D116" s="117" t="str">
        <x:v>Update</x:v>
      </x:c>
      <x:c r="E116" s="118" t="n">
        <x:v>1</x:v>
      </x:c>
      <x:c r="F116" s="118" t="n">
        <x:v>0</x:v>
      </x:c>
      <x:c r="G116" s="119" t="str">
        <x:v>LeadStatusDateTrackers</x:v>
      </x:c>
      <x:c r="H116" s="119" t="str"/>
      <x:c r="I116" s="119" t="str">
        <x:v>Retain for now; document ownership and reuse Subflows if shared logic emerges.</x:v>
      </x:c>
      <x:c r="J116" s="119" t="str">
        <x:v>No for same-transaction consolidation; consider only for long-running, multi-user staged work.</x:v>
      </x:c>
      <x:c r="K116" s="119" t="str">
        <x:v>Build a rule matrix by entry criteria, fields written, downstream actions, order, and error handling; then prototype in a sandbox.</x:v>
      </x:c>
    </x:row>
    <x:row r="117" ht="72" customHeight="1">
      <x:c r="A117" s="117" t="str">
        <x:v>Low</x:v>
      </x:c>
      <x:c r="B117" s="117" t="str">
        <x:v>Location</x:v>
      </x:c>
      <x:c r="C117" s="117" t="str">
        <x:v>RecordAfterSave</x:v>
      </x:c>
      <x:c r="D117" s="117" t="str">
        <x:v>CreateAndUpdate</x:v>
      </x:c>
      <x:c r="E117" s="118" t="n">
        <x:v>1</x:v>
      </x:c>
      <x:c r="F117" s="118" t="n">
        <x:v>0</x:v>
      </x:c>
      <x:c r="G117" s="119" t="str">
        <x:v>Record_Triggered_Location_After_Create_After_Update_Inactive_Changed</x:v>
      </x:c>
      <x:c r="H117" s="119" t="str"/>
      <x:c r="I117" s="119" t="str">
        <x:v>Retain for now; document ownership and reuse Subflows if shared logic emerges.</x:v>
      </x:c>
      <x:c r="J117" s="119" t="str">
        <x:v>No for same-transaction consolidation; consider only for long-running, multi-user staged work.</x:v>
      </x:c>
      <x:c r="K117" s="119" t="str">
        <x:v>Build a rule matrix by entry criteria, fields written, downstream actions, order, and error handling; then prototype in a sandbox.</x:v>
      </x:c>
    </x:row>
    <x:row r="118" ht="72" customHeight="1">
      <x:c r="A118" s="117" t="str">
        <x:v>Low</x:v>
      </x:c>
      <x:c r="B118" s="117" t="str">
        <x:v>Order</x:v>
      </x:c>
      <x:c r="C118" s="117" t="str">
        <x:v>RecordAfterSave</x:v>
      </x:c>
      <x:c r="D118" s="117" t="str">
        <x:v>CreateAndUpdate</x:v>
      </x:c>
      <x:c r="E118" s="118" t="n">
        <x:v>1</x:v>
      </x:c>
      <x:c r="F118" s="118" t="n">
        <x:v>0</x:v>
      </x:c>
      <x:c r="G118" s="119" t="str">
        <x:v>AvaTax_Order_Automatic_Tax_Calculation_Flow</x:v>
      </x:c>
      <x:c r="H118" s="119" t="str"/>
      <x:c r="I118" s="119" t="str">
        <x:v>Retain for now; document ownership and reuse Subflows if shared logic emerges.</x:v>
      </x:c>
      <x:c r="J118" s="119" t="str">
        <x:v>No for same-transaction consolidation; consider only for long-running, multi-user staged work.</x:v>
      </x:c>
      <x:c r="K118" s="119" t="str">
        <x:v>Build a rule matrix by entry criteria, fields written, downstream actions, order, and error handling; then prototype in a sandbox.</x:v>
      </x:c>
    </x:row>
    <x:row r="119" ht="72" customHeight="1">
      <x:c r="A119" s="117" t="str">
        <x:v>Low</x:v>
      </x:c>
      <x:c r="B119" s="117" t="str">
        <x:v>Pricing_Request_Response__c</x:v>
      </x:c>
      <x:c r="C119" s="117" t="str">
        <x:v>RecordAfterSave</x:v>
      </x:c>
      <x:c r="D119" s="117" t="str">
        <x:v>Create</x:v>
      </x:c>
      <x:c r="E119" s="118" t="n">
        <x:v>1</x:v>
      </x:c>
      <x:c r="F119" s="118" t="n">
        <x:v>0</x:v>
      </x:c>
      <x:c r="G119" s="119" t="str">
        <x:v>Pricing_Request_Response_Notification_Flow</x:v>
      </x:c>
      <x:c r="H119" s="119" t="str"/>
      <x:c r="I119" s="119" t="str">
        <x:v>Retain for now; document ownership and reuse Subflows if shared logic emerges.</x:v>
      </x:c>
      <x:c r="J119" s="119" t="str">
        <x:v>No for same-transaction consolidation; consider only for long-running, multi-user staged work.</x:v>
      </x:c>
      <x:c r="K119" s="119" t="str">
        <x:v>Build a rule matrix by entry criteria, fields written, downstream actions, order, and error handling; then prototype in a sandbox.</x:v>
      </x:c>
    </x:row>
    <x:row r="120" ht="72" customHeight="1">
      <x:c r="A120" s="117" t="str">
        <x:v>Low</x:v>
      </x:c>
      <x:c r="B120" s="117" t="str">
        <x:v>Product_Repair_Line_Item__c</x:v>
      </x:c>
      <x:c r="C120" s="117" t="str">
        <x:v>RecordBeforeDelete</x:v>
      </x:c>
      <x:c r="D120" s="117" t="str">
        <x:v>Delete</x:v>
      </x:c>
      <x:c r="E120" s="118" t="n">
        <x:v>1</x:v>
      </x:c>
      <x:c r="F120" s="118" t="n">
        <x:v>0</x:v>
      </x:c>
      <x:c r="G120" s="119" t="str">
        <x:v>Product_Repair_Line_Item_Deletion</x:v>
      </x:c>
      <x:c r="H120" s="119" t="str"/>
      <x:c r="I120" s="119" t="str">
        <x:v>Retain for now; document ownership and reuse Subflows if shared logic emerges.</x:v>
      </x:c>
      <x:c r="J120" s="119" t="str">
        <x:v>No for same-transaction consolidation; consider only for long-running, multi-user staged work.</x:v>
      </x:c>
      <x:c r="K120" s="119" t="str">
        <x:v>Build a rule matrix by entry criteria, fields written, downstream actions, order, and error handling; then prototype in a sandbox.</x:v>
      </x:c>
    </x:row>
    <x:row r="121" ht="72" customHeight="1">
      <x:c r="A121" s="117" t="str">
        <x:v>Low</x:v>
      </x:c>
      <x:c r="B121" s="117" t="str">
        <x:v>Progress_Note__c</x:v>
      </x:c>
      <x:c r="C121" s="117" t="str">
        <x:v>RecordBeforeSave</x:v>
      </x:c>
      <x:c r="D121" s="117" t="str">
        <x:v>Create</x:v>
      </x:c>
      <x:c r="E121" s="118" t="n">
        <x:v>1</x:v>
      </x:c>
      <x:c r="F121" s="118" t="n">
        <x:v>0</x:v>
      </x:c>
      <x:c r="G121" s="119" t="str">
        <x:v>FSL_Update_Progress_Note_with_Parent_Recorod_Work_Order</x:v>
      </x:c>
      <x:c r="H121" s="119" t="str"/>
      <x:c r="I121" s="119" t="str">
        <x:v>Retain for now; document ownership and reuse Subflows if shared logic emerges.</x:v>
      </x:c>
      <x:c r="J121" s="119" t="str">
        <x:v>No for same-transaction consolidation; consider only for long-running, multi-user staged work.</x:v>
      </x:c>
      <x:c r="K121" s="119" t="str">
        <x:v>Build a rule matrix by entry criteria, fields written, downstream actions, order, and error handling; then prototype in a sandbox.</x:v>
      </x:c>
    </x:row>
    <x:row r="122" ht="72" customHeight="1">
      <x:c r="A122" s="117" t="str">
        <x:v>Low</x:v>
      </x:c>
      <x:c r="B122" s="117" t="str">
        <x:v>Project_Charge_Line_Item__c</x:v>
      </x:c>
      <x:c r="C122" s="117" t="str">
        <x:v>RecordBeforeSave</x:v>
      </x:c>
      <x:c r="D122" s="117" t="str">
        <x:v>Update</x:v>
      </x:c>
      <x:c r="E122" s="118" t="n">
        <x:v>1</x:v>
      </x:c>
      <x:c r="F122" s="118" t="n">
        <x:v>0</x:v>
      </x:c>
      <x:c r="G122" s="119" t="str">
        <x:v>DRP_Update_Project_Charge_Line_Item_Values</x:v>
      </x:c>
      <x:c r="H122" s="119" t="str"/>
      <x:c r="I122" s="119" t="str">
        <x:v>Retain for now; document ownership and reuse Subflows if shared logic emerges.</x:v>
      </x:c>
      <x:c r="J122" s="119" t="str">
        <x:v>No for same-transaction consolidation; consider only for long-running, multi-user staged work.</x:v>
      </x:c>
      <x:c r="K122" s="119" t="str">
        <x:v>Build a rule matrix by entry criteria, fields written, downstream actions, order, and error handling; then prototype in a sandbox.</x:v>
      </x:c>
    </x:row>
    <x:row r="123" ht="72" customHeight="1">
      <x:c r="A123" s="117" t="str">
        <x:v>Low</x:v>
      </x:c>
      <x:c r="B123" s="117" t="str">
        <x:v>Quote</x:v>
      </x:c>
      <x:c r="C123" s="117" t="str">
        <x:v>RecordAfterSave</x:v>
      </x:c>
      <x:c r="D123" s="117" t="str">
        <x:v>CreateAndUpdate</x:v>
      </x:c>
      <x:c r="E123" s="118" t="n">
        <x:v>1</x:v>
      </x:c>
      <x:c r="F123" s="118" t="n">
        <x:v>0</x:v>
      </x:c>
      <x:c r="G123" s="119" t="str">
        <x:v>AvaTax_Quote_Automatic_Tax_Calculation_Flow</x:v>
      </x:c>
      <x:c r="H123" s="119" t="str"/>
      <x:c r="I123" s="119" t="str">
        <x:v>Retain for now; document ownership and reuse Subflows if shared logic emerges.</x:v>
      </x:c>
      <x:c r="J123" s="119" t="str">
        <x:v>No for same-transaction consolidation; consider only for long-running, multi-user staged work.</x:v>
      </x:c>
      <x:c r="K123" s="119" t="str">
        <x:v>Build a rule matrix by entry criteria, fields written, downstream actions, order, and error handling; then prototype in a sandbox.</x:v>
      </x:c>
    </x:row>
    <x:row r="124" ht="72" customHeight="1">
      <x:c r="A124" s="117" t="str">
        <x:v>Low</x:v>
      </x:c>
      <x:c r="B124" s="117" t="str">
        <x:v>Sourcing_Request_Item__c</x:v>
      </x:c>
      <x:c r="C124" s="117" t="str">
        <x:v>RecordAfterSave</x:v>
      </x:c>
      <x:c r="D124" s="117" t="str">
        <x:v>CreateAndUpdate</x:v>
      </x:c>
      <x:c r="E124" s="118" t="n">
        <x:v>1</x:v>
      </x:c>
      <x:c r="F124" s="118" t="n">
        <x:v>0</x:v>
      </x:c>
      <x:c r="G124" s="119" t="str">
        <x:v>SRI_Trigger_Update_Requesting_Opp_WO_SA</x:v>
      </x:c>
      <x:c r="H124" s="119" t="str"/>
      <x:c r="I124" s="119" t="str">
        <x:v>Retain for now; document ownership and reuse Subflows if shared logic emerges.</x:v>
      </x:c>
      <x:c r="J124" s="119" t="str">
        <x:v>No for same-transaction consolidation; consider only for long-running, multi-user staged work.</x:v>
      </x:c>
      <x:c r="K124" s="119" t="str">
        <x:v>Build a rule matrix by entry criteria, fields written, downstream actions, order, and error handling; then prototype in a sandbox.</x:v>
      </x:c>
    </x:row>
    <x:row r="125" ht="72" customHeight="1">
      <x:c r="A125" s="117" t="str">
        <x:v>Low</x:v>
      </x:c>
      <x:c r="B125" s="117" t="str">
        <x:v>Task</x:v>
      </x:c>
      <x:c r="C125" s="117" t="str">
        <x:v>RecordAfterSave</x:v>
      </x:c>
      <x:c r="D125" s="117" t="str">
        <x:v>Update</x:v>
      </x:c>
      <x:c r="E125" s="118" t="n">
        <x:v>1</x:v>
      </x:c>
      <x:c r="F125" s="118" t="n">
        <x:v>0</x:v>
      </x:c>
      <x:c r="G125" s="119" t="str">
        <x:v>Approved_CM_Memo_Alert_Task_Email_Send</x:v>
      </x:c>
      <x:c r="H125" s="119" t="str"/>
      <x:c r="I125" s="119" t="str">
        <x:v>Retain for now; document ownership and reuse Subflows if shared logic emerges.</x:v>
      </x:c>
      <x:c r="J125" s="119" t="str">
        <x:v>No for same-transaction consolidation; consider only for long-running, multi-user staged work.</x:v>
      </x:c>
      <x:c r="K125" s="119" t="str">
        <x:v>Build a rule matrix by entry criteria, fields written, downstream actions, order, and error handling; then prototype in a sandbox.</x:v>
      </x:c>
    </x:row>
    <x:row r="126" ht="72" customHeight="1">
      <x:c r="A126" s="117" t="str">
        <x:v>Low</x:v>
      </x:c>
      <x:c r="B126" s="117" t="str">
        <x:v>Training_Class__c</x:v>
      </x:c>
      <x:c r="C126" s="117" t="str">
        <x:v>RecordAfterSave</x:v>
      </x:c>
      <x:c r="D126" s="117" t="str">
        <x:v>Update</x:v>
      </x:c>
      <x:c r="E126" s="118" t="n">
        <x:v>1</x:v>
      </x:c>
      <x:c r="F126" s="118" t="n">
        <x:v>0</x:v>
      </x:c>
      <x:c r="G126" s="119" t="str">
        <x:v>Training_Class_Updates_Flow</x:v>
      </x:c>
      <x:c r="H126" s="119" t="str"/>
      <x:c r="I126" s="119" t="str">
        <x:v>Retain for now; document ownership and reuse Subflows if shared logic emerges.</x:v>
      </x:c>
      <x:c r="J126" s="119" t="str">
        <x:v>No for same-transaction consolidation; consider only for long-running, multi-user staged work.</x:v>
      </x:c>
      <x:c r="K126" s="119" t="str">
        <x:v>Build a rule matrix by entry criteria, fields written, downstream actions, order, and error handling; then prototype in a sandbox.</x:v>
      </x:c>
    </x:row>
    <x:row r="127" ht="72" customHeight="1">
      <x:c r="A127" s="117" t="str">
        <x:v>Low</x:v>
      </x:c>
      <x:c r="B127" s="117" t="str">
        <x:v>Training_Item__c</x:v>
      </x:c>
      <x:c r="C127" s="117" t="str">
        <x:v>RecordAfterSave</x:v>
      </x:c>
      <x:c r="D127" s="117" t="str">
        <x:v>Update</x:v>
      </x:c>
      <x:c r="E127" s="118" t="n">
        <x:v>1</x:v>
      </x:c>
      <x:c r="F127" s="118" t="n">
        <x:v>0</x:v>
      </x:c>
      <x:c r="G127" s="119" t="str">
        <x:v>Training_Item_Auotmations</x:v>
      </x:c>
      <x:c r="H127" s="119" t="str"/>
      <x:c r="I127" s="119" t="str">
        <x:v>Retain for now; document ownership and reuse Subflows if shared logic emerges.</x:v>
      </x:c>
      <x:c r="J127" s="119" t="str">
        <x:v>No for same-transaction consolidation; consider only for long-running, multi-user staged work.</x:v>
      </x:c>
      <x:c r="K127" s="119" t="str">
        <x:v>Build a rule matrix by entry criteria, fields written, downstream actions, order, and error handling; then prototype in a sandbox.</x:v>
      </x:c>
    </x:row>
    <x:row r="128" ht="72" customHeight="1">
      <x:c r="A128" s="117" t="str">
        <x:v>Low</x:v>
      </x:c>
      <x:c r="B128" s="117" t="str">
        <x:v>User</x:v>
      </x:c>
      <x:c r="C128" s="117" t="str">
        <x:v>Scheduled</x:v>
      </x:c>
      <x:c r="D128" s="117" t="str">
        <x:v>Unspecified event</x:v>
      </x:c>
      <x:c r="E128" s="118" t="n">
        <x:v>1</x:v>
      </x:c>
      <x:c r="F128" s="118" t="n">
        <x:v>0</x:v>
      </x:c>
      <x:c r="G128" s="119" t="str">
        <x:v>Create_Master_Draws</x:v>
      </x:c>
      <x:c r="H128" s="119" t="str"/>
      <x:c r="I128" s="119" t="str">
        <x:v>Retain for now; document ownership and reuse Subflows if shared logic emerges.</x:v>
      </x:c>
      <x:c r="J128" s="119" t="str">
        <x:v>No for same-transaction consolidation; consider only for long-running, multi-user staged work.</x:v>
      </x:c>
      <x:c r="K128" s="119" t="str">
        <x:v>Build a rule matrix by entry criteria, fields written, downstream actions, order, and error handling; then prototype in a sandbox.</x:v>
      </x:c>
    </x:row>
    <x:row r="129" ht="72" customHeight="1">
      <x:c r="A129" s="117" t="str">
        <x:v>Low</x:v>
      </x:c>
      <x:c r="B129" s="117" t="str">
        <x:v>Vendor_Sourcing__c</x:v>
      </x:c>
      <x:c r="C129" s="117" t="str">
        <x:v>RecordAfterSave</x:v>
      </x:c>
      <x:c r="D129" s="117" t="str">
        <x:v>CreateAndUpdate</x:v>
      </x:c>
      <x:c r="E129" s="118" t="n">
        <x:v>1</x:v>
      </x:c>
      <x:c r="F129" s="118" t="n">
        <x:v>0</x:v>
      </x:c>
      <x:c r="G129" s="119" t="str">
        <x:v>On_Vendor_Sourcing_Update_Update_Purchasing_Opportunity_on_Service_Appointment</x:v>
      </x:c>
      <x:c r="H129" s="119" t="str"/>
      <x:c r="I129" s="119" t="str">
        <x:v>Retain for now; document ownership and reuse Subflows if shared logic emerges.</x:v>
      </x:c>
      <x:c r="J129" s="119" t="str">
        <x:v>No for same-transaction consolidation; consider only for long-running, multi-user staged work.</x:v>
      </x:c>
      <x:c r="K129" s="119" t="str">
        <x:v>Build a rule matrix by entry criteria, fields written, downstream actions, order, and error handling; then prototype in a sandbox.</x:v>
      </x:c>
    </x:row>
    <x:row r="130" ht="72" customHeight="1">
      <x:c r="A130" s="117" t="str">
        <x:v>Low</x:v>
      </x:c>
      <x:c r="B130" s="117" t="str">
        <x:v>inov8__PMT_Task__c</x:v>
      </x:c>
      <x:c r="C130" s="117" t="str">
        <x:v>RecordAfterSave</x:v>
      </x:c>
      <x:c r="D130" s="117" t="str">
        <x:v>CreateAndUpdate</x:v>
      </x:c>
      <x:c r="E130" s="118" t="n">
        <x:v>1</x:v>
      </x:c>
      <x:c r="F130" s="118" t="n">
        <x:v>0</x:v>
      </x:c>
      <x:c r="G130" s="119" t="str">
        <x:v>PM_Task_Assigned_E_Mail_Alerts</x:v>
      </x:c>
      <x:c r="H130" s="119" t="str"/>
      <x:c r="I130" s="119" t="str">
        <x:v>Retain for now; document ownership and reuse Subflows if shared logic emerges.</x:v>
      </x:c>
      <x:c r="J130" s="119" t="str">
        <x:v>No for same-transaction consolidation; consider only for long-running, multi-user staged work.</x:v>
      </x:c>
      <x:c r="K130" s="119" t="str">
        <x:v>Build a rule matrix by entry criteria, fields written, downstream actions, order, and error handling; then prototype in a sandbox.</x:v>
      </x:c>
    </x:row>
  </x:sheetData>
  <x:mergeCells>
    <x:mergeCell ref="A1:K1"/>
    <x:mergeCell ref="A2:K2"/>
  </x:mergeCells>
  <x:conditionalFormatting sqref="A5:A130">
    <x:cfRule type="containsText" dxfId="7" priority="1" operator="containsText" text="High"/>
    <x:cfRule type="containsText" dxfId="8" priority="2" operator="containsText" text="Medium"/>
    <x:cfRule type="containsText" dxfId="9" priority="3" operator="containsText" text="Low"/>
  </x:conditionalFormatting>
  <x:pageMargins left="0.7" right="0.7" top="0.75" bottom="0.75" header="0.3" footer="0.3"/>
  <x:tableParts count="1">
    <x:tablePart xmlns:r="http://schemas.openxmlformats.org/officeDocument/2006/relationships" r:id="R83918b84cf8f441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12" hidden="0" customWidth="1"/>
    <x:col min="3" max="3" width="30" hidden="0" customWidth="1"/>
    <x:col min="4" max="4" width="20" hidden="0" customWidth="1"/>
    <x:col min="5" max="5" width="32" hidden="0" customWidth="1"/>
    <x:col min="6" max="6" width="42" hidden="0" customWidth="1"/>
    <x:col min="7" max="7" width="14" hidden="0" customWidth="1"/>
    <x:col min="8" max="8" width="52" hidden="0" customWidth="1"/>
  </x:cols>
  <x:sheetData>
    <x:row r="1" ht="28" customHeight="1">
      <x:c r="A1" s="3" t="str">
        <x:v>Connections — Subflows, Actions, Apex, and Screen Components</x:v>
      </x:c>
      <x:c r="B1" s="3"/>
      <x:c r="C1" s="3"/>
      <x:c r="D1" s="3"/>
      <x:c r="E1" s="3"/>
      <x:c r="F1" s="3"/>
      <x:c r="G1" s="3"/>
      <x:c r="H1" s="3"/>
    </x:row>
    <x:row r="2" ht="34" customHeight="1">
      <x:c r="A2" s="7" t="str">
        <x:v>Direct dependencies extracted from the active runtime design (or latest inactive design). Object reads/writes are separated into Object Map.</x:v>
      </x:c>
      <x:c r="B2" s="7"/>
      <x:c r="C2" s="7"/>
      <x:c r="D2" s="7"/>
      <x:c r="E2" s="7"/>
      <x:c r="F2" s="7"/>
      <x:c r="G2" s="7"/>
      <x:c r="H2" s="7"/>
    </x:row>
    <x:row r="4" ht="36" customHeight="1">
      <x:c r="A4" s="114" t="str">
        <x:v>Source Flow</x:v>
      </x:c>
      <x:c r="B4" s="115" t="str">
        <x:v>Source Active</x:v>
      </x:c>
      <x:c r="C4" s="115" t="str">
        <x:v>Analysis Basis</x:v>
      </x:c>
      <x:c r="D4" s="115" t="str">
        <x:v>Connection Type</x:v>
      </x:c>
      <x:c r="E4" s="115" t="str">
        <x:v>Element</x:v>
      </x:c>
      <x:c r="F4" s="115" t="str">
        <x:v>Target</x:v>
      </x:c>
      <x:c r="G4" s="115" t="str">
        <x:v>Target Found</x:v>
      </x:c>
      <x:c r="H4" s="116" t="str">
        <x:v>Details</x:v>
      </x:c>
    </x:row>
    <x:row r="5" ht="34" customHeight="1">
      <x:c r="A5" s="117" t="str">
        <x:v>Absorb_External_Repair_Screen_Flow</x:v>
      </x:c>
      <x:c r="B5" s="117" t="str">
        <x:v>Yes</x:v>
      </x:c>
      <x:c r="C5" s="119" t="str">
        <x:v>Active v11 (Retrieved XML)</x:v>
      </x:c>
      <x:c r="D5" s="117" t="str">
        <x:v>Screen Component</x:v>
      </x:c>
      <x:c r="E5" s="117" t="str">
        <x:v>Screen</x:v>
      </x:c>
      <x:c r="F5" s="117" t="str">
        <x:v>flowruntime:lookup</x:v>
      </x:c>
      <x:c r="G5" s="117" t="str">
        <x:v>Review</x:v>
      </x:c>
      <x:c r="H5" s="119" t="str">
        <x:v>LWC or Aura extension</x:v>
      </x:c>
    </x:row>
    <x:row r="6" ht="34" customHeight="1">
      <x:c r="A6" s="117" t="str">
        <x:v>Account_Engagement_Bulk_Asset_Copy_Flow</x:v>
      </x:c>
      <x:c r="B6" s="117" t="str">
        <x:v>Yes</x:v>
      </x:c>
      <x:c r="C6" s="119" t="str">
        <x:v>Active v23 (Tooling metadata)</x:v>
      </x:c>
      <x:c r="D6" s="117" t="str">
        <x:v>Apex Action</x:v>
      </x:c>
      <x:c r="E6" s="117" t="str">
        <x:v>Copy_custom_field_in_loop</x:v>
      </x:c>
      <x:c r="F6" s="117" t="str">
        <x:v>pi__CreateCustomField</x:v>
      </x:c>
      <x:c r="G6" s="117" t="str">
        <x:v>Review</x:v>
      </x:c>
      <x:c r="H6" s="119" t="str">
        <x:v>apex | Copy Custom Field in Loop | Automatic</x:v>
      </x:c>
    </x:row>
    <x:row r="7" ht="34" customHeight="1">
      <x:c r="A7" s="117" t="str">
        <x:v>Account_Engagement_Bulk_Asset_Copy_Flow</x:v>
      </x:c>
      <x:c r="B7" s="117" t="str">
        <x:v>Yes</x:v>
      </x:c>
      <x:c r="C7" s="119" t="str">
        <x:v>Active v23 (Tooling metadata)</x:v>
      </x:c>
      <x:c r="D7" s="117" t="str">
        <x:v>Apex Action</x:v>
      </x:c>
      <x:c r="E7" s="117" t="str">
        <x:v>Copy_custom_redirect_in_loop</x:v>
      </x:c>
      <x:c r="F7" s="117" t="str">
        <x:v>pi__CreateCustomRedirect</x:v>
      </x:c>
      <x:c r="G7" s="117" t="str">
        <x:v>Review</x:v>
      </x:c>
      <x:c r="H7" s="119" t="str">
        <x:v>apex | Copy Custom Redirect in Loop | Automatic</x:v>
      </x:c>
    </x:row>
    <x:row r="8" ht="34" customHeight="1">
      <x:c r="A8" s="117" t="str">
        <x:v>Account_Engagement_Bulk_Asset_Copy_Flow</x:v>
      </x:c>
      <x:c r="B8" s="117" t="str">
        <x:v>Yes</x:v>
      </x:c>
      <x:c r="C8" s="119" t="str">
        <x:v>Active v23 (Tooling metadata)</x:v>
      </x:c>
      <x:c r="D8" s="117" t="str">
        <x:v>Apex Action</x:v>
      </x:c>
      <x:c r="E8" s="117" t="str">
        <x:v>Copy_Dynamic_Content</x:v>
      </x:c>
      <x:c r="F8" s="117" t="str">
        <x:v>pi__CreateDynamicContent</x:v>
      </x:c>
      <x:c r="G8" s="117" t="str">
        <x:v>Review</x:v>
      </x:c>
      <x:c r="H8" s="119" t="str">
        <x:v>apex | Copy Dynamic Content in loop | Automatic</x:v>
      </x:c>
    </x:row>
    <x:row r="9" ht="34" customHeight="1">
      <x:c r="A9" s="117" t="str">
        <x:v>Account_Engagement_Bulk_Asset_Copy_Flow</x:v>
      </x:c>
      <x:c r="B9" s="117" t="str">
        <x:v>Yes</x:v>
      </x:c>
      <x:c r="C9" s="119" t="str">
        <x:v>Active v23 (Tooling metadata)</x:v>
      </x:c>
      <x:c r="D9" s="117" t="str">
        <x:v>Apex Action</x:v>
      </x:c>
      <x:c r="E9" s="117" t="str">
        <x:v>Copy_email_template_in_loop</x:v>
      </x:c>
      <x:c r="F9" s="117" t="str">
        <x:v>pi__CreateEmailTemplate</x:v>
      </x:c>
      <x:c r="G9" s="117" t="str">
        <x:v>Review</x:v>
      </x:c>
      <x:c r="H9" s="119" t="str">
        <x:v>apex | Copy email template in loop | Automatic</x:v>
      </x:c>
    </x:row>
    <x:row r="10" ht="34" customHeight="1">
      <x:c r="A10" s="117" t="str">
        <x:v>Account_Engagement_Bulk_Asset_Copy_Flow</x:v>
      </x:c>
      <x:c r="B10" s="117" t="str">
        <x:v>Yes</x:v>
      </x:c>
      <x:c r="C10" s="119" t="str">
        <x:v>Active v23 (Tooling metadata)</x:v>
      </x:c>
      <x:c r="D10" s="117" t="str">
        <x:v>Apex Action</x:v>
      </x:c>
      <x:c r="E10" s="117" t="str">
        <x:v>Copy_Engagement_Studio_Programs_in_loop</x:v>
      </x:c>
      <x:c r="F10" s="117" t="str">
        <x:v>pi__CreateEngagementStudioProgram</x:v>
      </x:c>
      <x:c r="G10" s="117" t="str">
        <x:v>Review</x:v>
      </x:c>
      <x:c r="H10" s="119" t="str">
        <x:v>apex | Copy Engagement Studio Programs in Loop | Automatic</x:v>
      </x:c>
    </x:row>
    <x:row r="11" ht="34" customHeight="1">
      <x:c r="A11" s="117" t="str">
        <x:v>Account_Engagement_Bulk_Asset_Copy_Flow</x:v>
      </x:c>
      <x:c r="B11" s="117" t="str">
        <x:v>Yes</x:v>
      </x:c>
      <x:c r="C11" s="119" t="str">
        <x:v>Active v23 (Tooling metadata)</x:v>
      </x:c>
      <x:c r="D11" s="117" t="str">
        <x:v>Apex Action</x:v>
      </x:c>
      <x:c r="E11" s="117" t="str">
        <x:v>Copy_file_in_loop</x:v>
      </x:c>
      <x:c r="F11" s="117" t="str">
        <x:v>pi__CreateFile</x:v>
      </x:c>
      <x:c r="G11" s="117" t="str">
        <x:v>Review</x:v>
      </x:c>
      <x:c r="H11" s="119" t="str">
        <x:v>apex | Copy File in Loop | Automatic</x:v>
      </x:c>
    </x:row>
    <x:row r="12" ht="34" customHeight="1">
      <x:c r="A12" s="117" t="str">
        <x:v>Account_Engagement_Bulk_Asset_Copy_Flow</x:v>
      </x:c>
      <x:c r="B12" s="117" t="str">
        <x:v>Yes</x:v>
      </x:c>
      <x:c r="C12" s="119" t="str">
        <x:v>Active v23 (Tooling metadata)</x:v>
      </x:c>
      <x:c r="D12" s="117" t="str">
        <x:v>Apex Action</x:v>
      </x:c>
      <x:c r="E12" s="117" t="str">
        <x:v>Copy_Form_in_Loop</x:v>
      </x:c>
      <x:c r="F12" s="117" t="str">
        <x:v>pi__CreateForm</x:v>
      </x:c>
      <x:c r="G12" s="117" t="str">
        <x:v>Review</x:v>
      </x:c>
      <x:c r="H12" s="119" t="str">
        <x:v>apex | Copy Form in Loop | Automatic</x:v>
      </x:c>
    </x:row>
    <x:row r="13" ht="34" customHeight="1">
      <x:c r="A13" s="117" t="str">
        <x:v>Account_Engagement_Bulk_Asset_Copy_Flow</x:v>
      </x:c>
      <x:c r="B13" s="117" t="str">
        <x:v>Yes</x:v>
      </x:c>
      <x:c r="C13" s="119" t="str">
        <x:v>Active v23 (Tooling metadata)</x:v>
      </x:c>
      <x:c r="D13" s="117" t="str">
        <x:v>Apex Action</x:v>
      </x:c>
      <x:c r="E13" s="117" t="str">
        <x:v>Copy_Form_Handler_in_Loop</x:v>
      </x:c>
      <x:c r="F13" s="117" t="str">
        <x:v>pi__CreateFormHandler</x:v>
      </x:c>
      <x:c r="G13" s="117" t="str">
        <x:v>Review</x:v>
      </x:c>
      <x:c r="H13" s="119" t="str">
        <x:v>apex | Copy Form Handler in Loop | Automatic</x:v>
      </x:c>
    </x:row>
    <x:row r="14" ht="34" customHeight="1">
      <x:c r="A14" s="117" t="str">
        <x:v>Account_Engagement_Bulk_Asset_Copy_Flow</x:v>
      </x:c>
      <x:c r="B14" s="117" t="str">
        <x:v>Yes</x:v>
      </x:c>
      <x:c r="C14" s="119" t="str">
        <x:v>Active v23 (Tooling metadata)</x:v>
      </x:c>
      <x:c r="D14" s="117" t="str">
        <x:v>Apex Action</x:v>
      </x:c>
      <x:c r="E14" s="117" t="str">
        <x:v>Copy_Landing_Page_in_Loop</x:v>
      </x:c>
      <x:c r="F14" s="117" t="str">
        <x:v>pi__CreateLandingPage</x:v>
      </x:c>
      <x:c r="G14" s="117" t="str">
        <x:v>Review</x:v>
      </x:c>
      <x:c r="H14" s="119" t="str">
        <x:v>apex | Copy Landing Page in Loop | Automatic</x:v>
      </x:c>
    </x:row>
    <x:row r="15" ht="34" customHeight="1">
      <x:c r="A15" s="117" t="str">
        <x:v>Account_Engagement_Bulk_Asset_Copy_Flow</x:v>
      </x:c>
      <x:c r="B15" s="117" t="str">
        <x:v>Yes</x:v>
      </x:c>
      <x:c r="C15" s="119" t="str">
        <x:v>Active v23 (Tooling metadata)</x:v>
      </x:c>
      <x:c r="D15" s="117" t="str">
        <x:v>Apex Action</x:v>
      </x:c>
      <x:c r="E15" s="117" t="str">
        <x:v>Copy_Layout_Templates_in_loop</x:v>
      </x:c>
      <x:c r="F15" s="117" t="str">
        <x:v>pi__CreateLayoutTemplate</x:v>
      </x:c>
      <x:c r="G15" s="117" t="str">
        <x:v>Review</x:v>
      </x:c>
      <x:c r="H15" s="119" t="str">
        <x:v>apex | Copy Layout Templates in Loop | Automatic</x:v>
      </x:c>
    </x:row>
    <x:row r="16" ht="34" customHeight="1">
      <x:c r="A16" s="117" t="str">
        <x:v>Account_Engagement_Bulk_Asset_Copy_Flow</x:v>
      </x:c>
      <x:c r="B16" s="117" t="str">
        <x:v>Yes</x:v>
      </x:c>
      <x:c r="C16" s="119" t="str">
        <x:v>Active v23 (Tooling metadata)</x:v>
      </x:c>
      <x:c r="D16" s="117" t="str">
        <x:v>Apex Action</x:v>
      </x:c>
      <x:c r="E16" s="117" t="str">
        <x:v>Generate_Flow_Context</x:v>
      </x:c>
      <x:c r="F16" s="117" t="str">
        <x:v>pi__GenerateFlowContext</x:v>
      </x:c>
      <x:c r="G16" s="117" t="str">
        <x:v>Review</x:v>
      </x:c>
      <x:c r="H16" s="119" t="str">
        <x:v>apex | Generate Flow Context | Automatic</x:v>
      </x:c>
    </x:row>
    <x:row r="17" ht="34" customHeight="1">
      <x:c r="A17" s="117" t="str">
        <x:v>Account_Engagement_Bulk_Asset_Copy_Flow</x:v>
      </x:c>
      <x:c r="B17" s="117" t="str">
        <x:v>Yes</x:v>
      </x:c>
      <x:c r="C17" s="119" t="str">
        <x:v>Active v23 (Tooling metadata)</x:v>
      </x:c>
      <x:c r="D17" s="117" t="str">
        <x:v>Apex Action</x:v>
      </x:c>
      <x:c r="E17" s="117" t="str">
        <x:v>Generate_Flow_Context_Sandbox</x:v>
      </x:c>
      <x:c r="F17" s="117" t="str">
        <x:v>pi__GenerateFlowContext</x:v>
      </x:c>
      <x:c r="G17" s="117" t="str">
        <x:v>Review</x:v>
      </x:c>
      <x:c r="H17" s="119" t="str">
        <x:v>apex | Generate Flow Context Sandbox | Automatic</x:v>
      </x:c>
    </x:row>
    <x:row r="18" ht="34" customHeight="1">
      <x:c r="A18" s="117" t="str">
        <x:v>Account_Engagement_Bulk_Asset_Copy_Flow</x:v>
      </x:c>
      <x:c r="B18" s="117" t="str">
        <x:v>Yes</x:v>
      </x:c>
      <x:c r="C18" s="119" t="str">
        <x:v>Active v23 (Tooling metadata)</x:v>
      </x:c>
      <x:c r="D18" s="117" t="str">
        <x:v>Apex Action</x:v>
      </x:c>
      <x:c r="E18" s="117" t="str">
        <x:v>Get_custom_field_in_loop</x:v>
      </x:c>
      <x:c r="F18" s="117" t="str">
        <x:v>pi__GetCustomField</x:v>
      </x:c>
      <x:c r="G18" s="117" t="str">
        <x:v>Review</x:v>
      </x:c>
      <x:c r="H18" s="119" t="str">
        <x:v>apex | Get Custom Field in Loop | Automatic</x:v>
      </x:c>
    </x:row>
    <x:row r="19" ht="34" customHeight="1">
      <x:c r="A19" s="117" t="str">
        <x:v>Account_Engagement_Bulk_Asset_Copy_Flow</x:v>
      </x:c>
      <x:c r="B19" s="117" t="str">
        <x:v>Yes</x:v>
      </x:c>
      <x:c r="C19" s="119" t="str">
        <x:v>Active v23 (Tooling metadata)</x:v>
      </x:c>
      <x:c r="D19" s="117" t="str">
        <x:v>Apex Action</x:v>
      </x:c>
      <x:c r="E19" s="117" t="str">
        <x:v>Get_custom_redirect_in_loop</x:v>
      </x:c>
      <x:c r="F19" s="117" t="str">
        <x:v>pi__GetCustomRedirect</x:v>
      </x:c>
      <x:c r="G19" s="117" t="str">
        <x:v>Review</x:v>
      </x:c>
      <x:c r="H19" s="119" t="str">
        <x:v>apex | Get Custom Redirect in Loop | Automatic</x:v>
      </x:c>
    </x:row>
    <x:row r="20" ht="34" customHeight="1">
      <x:c r="A20" s="117" t="str">
        <x:v>Account_Engagement_Bulk_Asset_Copy_Flow</x:v>
      </x:c>
      <x:c r="B20" s="117" t="str">
        <x:v>Yes</x:v>
      </x:c>
      <x:c r="C20" s="119" t="str">
        <x:v>Active v23 (Tooling metadata)</x:v>
      </x:c>
      <x:c r="D20" s="117" t="str">
        <x:v>Apex Action</x:v>
      </x:c>
      <x:c r="E20" s="117" t="str">
        <x:v>Get_Dynamic_Content_in_Loop</x:v>
      </x:c>
      <x:c r="F20" s="117" t="str">
        <x:v>pi__GetDynamicContent</x:v>
      </x:c>
      <x:c r="G20" s="117" t="str">
        <x:v>Review</x:v>
      </x:c>
      <x:c r="H20" s="119" t="str">
        <x:v>apex | Get Dynamic Content in Loop | Automatic</x:v>
      </x:c>
    </x:row>
    <x:row r="21" ht="34" customHeight="1">
      <x:c r="A21" s="117" t="str">
        <x:v>Account_Engagement_Bulk_Asset_Copy_Flow</x:v>
      </x:c>
      <x:c r="B21" s="117" t="str">
        <x:v>Yes</x:v>
      </x:c>
      <x:c r="C21" s="119" t="str">
        <x:v>Active v23 (Tooling metadata)</x:v>
      </x:c>
      <x:c r="D21" s="117" t="str">
        <x:v>Apex Action</x:v>
      </x:c>
      <x:c r="E21" s="117" t="str">
        <x:v>Get_email_templates_in_loop</x:v>
      </x:c>
      <x:c r="F21" s="117" t="str">
        <x:v>pi__GetEmailTemplate</x:v>
      </x:c>
      <x:c r="G21" s="117" t="str">
        <x:v>Review</x:v>
      </x:c>
      <x:c r="H21" s="119" t="str">
        <x:v>apex | Get Email Template in Loop | Automatic</x:v>
      </x:c>
    </x:row>
    <x:row r="22" ht="34" customHeight="1">
      <x:c r="A22" s="117" t="str">
        <x:v>Account_Engagement_Bulk_Asset_Copy_Flow</x:v>
      </x:c>
      <x:c r="B22" s="117" t="str">
        <x:v>Yes</x:v>
      </x:c>
      <x:c r="C22" s="119" t="str">
        <x:v>Active v23 (Tooling metadata)</x:v>
      </x:c>
      <x:c r="D22" s="117" t="str">
        <x:v>Apex Action</x:v>
      </x:c>
      <x:c r="E22" s="117" t="str">
        <x:v>Get_Engagement_Studio_Programs_in_loop</x:v>
      </x:c>
      <x:c r="F22" s="117" t="str">
        <x:v>pi__GetEngagementStudioProgram</x:v>
      </x:c>
      <x:c r="G22" s="117" t="str">
        <x:v>Review</x:v>
      </x:c>
      <x:c r="H22" s="119" t="str">
        <x:v>apex | Get Engagement Studio Programs in Loop | Automatic</x:v>
      </x:c>
    </x:row>
    <x:row r="23" ht="34" customHeight="1">
      <x:c r="A23" s="117" t="str">
        <x:v>Account_Engagement_Bulk_Asset_Copy_Flow</x:v>
      </x:c>
      <x:c r="B23" s="117" t="str">
        <x:v>Yes</x:v>
      </x:c>
      <x:c r="C23" s="119" t="str">
        <x:v>Active v23 (Tooling metadata)</x:v>
      </x:c>
      <x:c r="D23" s="117" t="str">
        <x:v>Apex Action</x:v>
      </x:c>
      <x:c r="E23" s="117" t="str">
        <x:v>Get_file_in_loop</x:v>
      </x:c>
      <x:c r="F23" s="117" t="str">
        <x:v>pi__GetFile</x:v>
      </x:c>
      <x:c r="G23" s="117" t="str">
        <x:v>Review</x:v>
      </x:c>
      <x:c r="H23" s="119" t="str">
        <x:v>apex | Get File in Loop | Automatic</x:v>
      </x:c>
    </x:row>
    <x:row r="24" ht="34" customHeight="1">
      <x:c r="A24" s="117" t="str">
        <x:v>Account_Engagement_Bulk_Asset_Copy_Flow</x:v>
      </x:c>
      <x:c r="B24" s="117" t="str">
        <x:v>Yes</x:v>
      </x:c>
      <x:c r="C24" s="119" t="str">
        <x:v>Active v23 (Tooling metadata)</x:v>
      </x:c>
      <x:c r="D24" s="117" t="str">
        <x:v>Apex Action</x:v>
      </x:c>
      <x:c r="E24" s="117" t="str">
        <x:v>Get_Form_In_Loop</x:v>
      </x:c>
      <x:c r="F24" s="117" t="str">
        <x:v>pi__GetForm</x:v>
      </x:c>
      <x:c r="G24" s="117" t="str">
        <x:v>Review</x:v>
      </x:c>
      <x:c r="H24" s="119" t="str">
        <x:v>apex | Get Form In Loop | Automatic</x:v>
      </x:c>
    </x:row>
    <x:row r="25" ht="34" customHeight="1">
      <x:c r="A25" s="117" t="str">
        <x:v>Account_Engagement_Bulk_Asset_Copy_Flow</x:v>
      </x:c>
      <x:c r="B25" s="117" t="str">
        <x:v>Yes</x:v>
      </x:c>
      <x:c r="C25" s="119" t="str">
        <x:v>Active v23 (Tooling metadata)</x:v>
      </x:c>
      <x:c r="D25" s="117" t="str">
        <x:v>Apex Action</x:v>
      </x:c>
      <x:c r="E25" s="117" t="str">
        <x:v>Get_Form_Handlers_in_Loop</x:v>
      </x:c>
      <x:c r="F25" s="117" t="str">
        <x:v>pi__GetFormHandler</x:v>
      </x:c>
      <x:c r="G25" s="117" t="str">
        <x:v>Review</x:v>
      </x:c>
      <x:c r="H25" s="119" t="str">
        <x:v>apex | Get Form Handlers in Loop | Automatic</x:v>
      </x:c>
    </x:row>
    <x:row r="26" ht="34" customHeight="1">
      <x:c r="A26" s="117" t="str">
        <x:v>Account_Engagement_Bulk_Asset_Copy_Flow</x:v>
      </x:c>
      <x:c r="B26" s="117" t="str">
        <x:v>Yes</x:v>
      </x:c>
      <x:c r="C26" s="119" t="str">
        <x:v>Active v23 (Tooling metadata)</x:v>
      </x:c>
      <x:c r="D26" s="117" t="str">
        <x:v>Apex Action</x:v>
      </x:c>
      <x:c r="E26" s="117" t="str">
        <x:v>Get_Landing_Pages_in_Loop</x:v>
      </x:c>
      <x:c r="F26" s="117" t="str">
        <x:v>pi__GetLandingPage</x:v>
      </x:c>
      <x:c r="G26" s="117" t="str">
        <x:v>Review</x:v>
      </x:c>
      <x:c r="H26" s="119" t="str">
        <x:v>apex | Get Landing Pages in Loop | Automatic</x:v>
      </x:c>
    </x:row>
    <x:row r="27" ht="34" customHeight="1">
      <x:c r="A27" s="117" t="str">
        <x:v>Account_Engagement_Bulk_Asset_Copy_Flow</x:v>
      </x:c>
      <x:c r="B27" s="117" t="str">
        <x:v>Yes</x:v>
      </x:c>
      <x:c r="C27" s="119" t="str">
        <x:v>Active v23 (Tooling metadata)</x:v>
      </x:c>
      <x:c r="D27" s="117" t="str">
        <x:v>Apex Action</x:v>
      </x:c>
      <x:c r="E27" s="117" t="str">
        <x:v>Get_Layout_Templates_in_loop</x:v>
      </x:c>
      <x:c r="F27" s="117" t="str">
        <x:v>pi__GetLayoutTemplate</x:v>
      </x:c>
      <x:c r="G27" s="117" t="str">
        <x:v>Review</x:v>
      </x:c>
      <x:c r="H27" s="119" t="str">
        <x:v>apex | Get Layout Templates in loop | Automatic</x:v>
      </x:c>
    </x:row>
    <x:row r="28" ht="34" customHeight="1">
      <x:c r="A28" s="117" t="str">
        <x:v>Account_Engagement_Bulk_Asset_Copy_Flow</x:v>
      </x:c>
      <x:c r="B28" s="117" t="str">
        <x:v>Yes</x:v>
      </x:c>
      <x:c r="C28" s="119" t="str">
        <x:v>Active v23 (Tooling metadata)</x:v>
      </x:c>
      <x:c r="D28" s="117" t="str">
        <x:v>Apex Action</x:v>
      </x:c>
      <x:c r="E28" s="117" t="str">
        <x:v>Get_Campaigns</x:v>
      </x:c>
      <x:c r="F28" s="117" t="str">
        <x:v>pi__GetObjectDropdownList</x:v>
      </x:c>
      <x:c r="G28" s="117" t="str">
        <x:v>Review</x:v>
      </x:c>
      <x:c r="H28" s="119" t="str">
        <x:v>apex | Get Campaigns | Automatic</x:v>
      </x:c>
    </x:row>
    <x:row r="29" ht="34" customHeight="1">
      <x:c r="A29" s="117" t="str">
        <x:v>Account_Engagement_Bulk_Asset_Copy_Flow</x:v>
      </x:c>
      <x:c r="B29" s="117" t="str">
        <x:v>Yes</x:v>
      </x:c>
      <x:c r="C29" s="119" t="str">
        <x:v>Active v23 (Tooling metadata)</x:v>
      </x:c>
      <x:c r="D29" s="117" t="str">
        <x:v>Apex Action</x:v>
      </x:c>
      <x:c r="E29" s="117" t="str">
        <x:v>Get_Custom_Fields</x:v>
      </x:c>
      <x:c r="F29" s="117" t="str">
        <x:v>pi__GetObjectDropdownList</x:v>
      </x:c>
      <x:c r="G29" s="117" t="str">
        <x:v>Review</x:v>
      </x:c>
      <x:c r="H29" s="119" t="str">
        <x:v>apex | Get Custom Fields | Automatic</x:v>
      </x:c>
    </x:row>
    <x:row r="30" ht="34" customHeight="1">
      <x:c r="A30" s="117" t="str">
        <x:v>Account_Engagement_Bulk_Asset_Copy_Flow</x:v>
      </x:c>
      <x:c r="B30" s="117" t="str">
        <x:v>Yes</x:v>
      </x:c>
      <x:c r="C30" s="119" t="str">
        <x:v>Active v23 (Tooling metadata)</x:v>
      </x:c>
      <x:c r="D30" s="117" t="str">
        <x:v>Apex Action</x:v>
      </x:c>
      <x:c r="E30" s="117" t="str">
        <x:v>Get_Custom_Redirects</x:v>
      </x:c>
      <x:c r="F30" s="117" t="str">
        <x:v>pi__GetObjectDropdownList</x:v>
      </x:c>
      <x:c r="G30" s="117" t="str">
        <x:v>Review</x:v>
      </x:c>
      <x:c r="H30" s="119" t="str">
        <x:v>apex | Get Custom Redirects | Automatic</x:v>
      </x:c>
    </x:row>
    <x:row r="31" ht="34" customHeight="1">
      <x:c r="A31" s="117" t="str">
        <x:v>Account_Engagement_Bulk_Asset_Copy_Flow</x:v>
      </x:c>
      <x:c r="B31" s="117" t="str">
        <x:v>Yes</x:v>
      </x:c>
      <x:c r="C31" s="119" t="str">
        <x:v>Active v23 (Tooling metadata)</x:v>
      </x:c>
      <x:c r="D31" s="117" t="str">
        <x:v>Apex Action</x:v>
      </x:c>
      <x:c r="E31" s="117" t="str">
        <x:v>Get_Dynamic_Content</x:v>
      </x:c>
      <x:c r="F31" s="117" t="str">
        <x:v>pi__GetObjectDropdownList</x:v>
      </x:c>
      <x:c r="G31" s="117" t="str">
        <x:v>Review</x:v>
      </x:c>
      <x:c r="H31" s="119" t="str">
        <x:v>apex | Get Dynamic Content | Automatic</x:v>
      </x:c>
    </x:row>
    <x:row r="32" ht="34" customHeight="1">
      <x:c r="A32" s="117" t="str">
        <x:v>Account_Engagement_Bulk_Asset_Copy_Flow</x:v>
      </x:c>
      <x:c r="B32" s="117" t="str">
        <x:v>Yes</x:v>
      </x:c>
      <x:c r="C32" s="119" t="str">
        <x:v>Active v23 (Tooling metadata)</x:v>
      </x:c>
      <x:c r="D32" s="117" t="str">
        <x:v>Apex Action</x:v>
      </x:c>
      <x:c r="E32" s="117" t="str">
        <x:v>Get_Email_Templates</x:v>
      </x:c>
      <x:c r="F32" s="117" t="str">
        <x:v>pi__GetObjectDropdownList</x:v>
      </x:c>
      <x:c r="G32" s="117" t="str">
        <x:v>Review</x:v>
      </x:c>
      <x:c r="H32" s="119" t="str">
        <x:v>apex | Get Email Templates | Automatic</x:v>
      </x:c>
    </x:row>
    <x:row r="33" ht="34" customHeight="1">
      <x:c r="A33" s="117" t="str">
        <x:v>Account_Engagement_Bulk_Asset_Copy_Flow</x:v>
      </x:c>
      <x:c r="B33" s="117" t="str">
        <x:v>Yes</x:v>
      </x:c>
      <x:c r="C33" s="119" t="str">
        <x:v>Active v23 (Tooling metadata)</x:v>
      </x:c>
      <x:c r="D33" s="117" t="str">
        <x:v>Apex Action</x:v>
      </x:c>
      <x:c r="E33" s="117" t="str">
        <x:v>Get_Engagement_Studio_Programs</x:v>
      </x:c>
      <x:c r="F33" s="117" t="str">
        <x:v>pi__GetObjectDropdownList</x:v>
      </x:c>
      <x:c r="G33" s="117" t="str">
        <x:v>Review</x:v>
      </x:c>
      <x:c r="H33" s="119" t="str">
        <x:v>apex | Get Engagement Studio Programs | Automatic</x:v>
      </x:c>
    </x:row>
    <x:row r="34" ht="34" customHeight="1">
      <x:c r="A34" s="117" t="str">
        <x:v>Account_Engagement_Bulk_Asset_Copy_Flow</x:v>
      </x:c>
      <x:c r="B34" s="117" t="str">
        <x:v>Yes</x:v>
      </x:c>
      <x:c r="C34" s="119" t="str">
        <x:v>Active v23 (Tooling metadata)</x:v>
      </x:c>
      <x:c r="D34" s="117" t="str">
        <x:v>Apex Action</x:v>
      </x:c>
      <x:c r="E34" s="117" t="str">
        <x:v>Get_Files</x:v>
      </x:c>
      <x:c r="F34" s="117" t="str">
        <x:v>pi__GetObjectDropdownList</x:v>
      </x:c>
      <x:c r="G34" s="117" t="str">
        <x:v>Review</x:v>
      </x:c>
      <x:c r="H34" s="119" t="str">
        <x:v>apex | Get Files | Automatic</x:v>
      </x:c>
    </x:row>
    <x:row r="35" ht="34" customHeight="1">
      <x:c r="A35" s="117" t="str">
        <x:v>Account_Engagement_Bulk_Asset_Copy_Flow</x:v>
      </x:c>
      <x:c r="B35" s="117" t="str">
        <x:v>Yes</x:v>
      </x:c>
      <x:c r="C35" s="119" t="str">
        <x:v>Active v23 (Tooling metadata)</x:v>
      </x:c>
      <x:c r="D35" s="117" t="str">
        <x:v>Apex Action</x:v>
      </x:c>
      <x:c r="E35" s="117" t="str">
        <x:v>Get_Folders</x:v>
      </x:c>
      <x:c r="F35" s="117" t="str">
        <x:v>pi__GetObjectDropdownList</x:v>
      </x:c>
      <x:c r="G35" s="117" t="str">
        <x:v>Review</x:v>
      </x:c>
      <x:c r="H35" s="119" t="str">
        <x:v>apex | Get Folders | Automatic</x:v>
      </x:c>
    </x:row>
    <x:row r="36" ht="34" customHeight="1">
      <x:c r="A36" s="117" t="str">
        <x:v>Account_Engagement_Bulk_Asset_Copy_Flow</x:v>
      </x:c>
      <x:c r="B36" s="117" t="str">
        <x:v>Yes</x:v>
      </x:c>
      <x:c r="C36" s="119" t="str">
        <x:v>Active v23 (Tooling metadata)</x:v>
      </x:c>
      <x:c r="D36" s="117" t="str">
        <x:v>Apex Action</x:v>
      </x:c>
      <x:c r="E36" s="117" t="str">
        <x:v>Get_Form_Handlers</x:v>
      </x:c>
      <x:c r="F36" s="117" t="str">
        <x:v>pi__GetObjectDropdownList</x:v>
      </x:c>
      <x:c r="G36" s="117" t="str">
        <x:v>Review</x:v>
      </x:c>
      <x:c r="H36" s="119" t="str">
        <x:v>apex | Get Form Handlers | Automatic</x:v>
      </x:c>
    </x:row>
    <x:row r="37" ht="34" customHeight="1">
      <x:c r="A37" s="117" t="str">
        <x:v>Account_Engagement_Bulk_Asset_Copy_Flow</x:v>
      </x:c>
      <x:c r="B37" s="117" t="str">
        <x:v>Yes</x:v>
      </x:c>
      <x:c r="C37" s="119" t="str">
        <x:v>Active v23 (Tooling metadata)</x:v>
      </x:c>
      <x:c r="D37" s="117" t="str">
        <x:v>Apex Action</x:v>
      </x:c>
      <x:c r="E37" s="117" t="str">
        <x:v>Get_Forms</x:v>
      </x:c>
      <x:c r="F37" s="117" t="str">
        <x:v>pi__GetObjectDropdownList</x:v>
      </x:c>
      <x:c r="G37" s="117" t="str">
        <x:v>Review</x:v>
      </x:c>
      <x:c r="H37" s="119" t="str">
        <x:v>apex | Get Forms | Automatic</x:v>
      </x:c>
    </x:row>
    <x:row r="38" ht="34" customHeight="1">
      <x:c r="A38" s="117" t="str">
        <x:v>Account_Engagement_Bulk_Asset_Copy_Flow</x:v>
      </x:c>
      <x:c r="B38" s="117" t="str">
        <x:v>Yes</x:v>
      </x:c>
      <x:c r="C38" s="119" t="str">
        <x:v>Active v23 (Tooling metadata)</x:v>
      </x:c>
      <x:c r="D38" s="117" t="str">
        <x:v>Apex Action</x:v>
      </x:c>
      <x:c r="E38" s="117" t="str">
        <x:v>Get_Forms_For_Destination_BU</x:v>
      </x:c>
      <x:c r="F38" s="117" t="str">
        <x:v>pi__GetObjectDropdownList</x:v>
      </x:c>
      <x:c r="G38" s="117" t="str">
        <x:v>Review</x:v>
      </x:c>
      <x:c r="H38" s="119" t="str">
        <x:v>apex | Get Forms For Destination BU | Automatic</x:v>
      </x:c>
    </x:row>
    <x:row r="39" ht="34" customHeight="1">
      <x:c r="A39" s="117" t="str">
        <x:v>Account_Engagement_Bulk_Asset_Copy_Flow</x:v>
      </x:c>
      <x:c r="B39" s="117" t="str">
        <x:v>Yes</x:v>
      </x:c>
      <x:c r="C39" s="119" t="str">
        <x:v>Active v23 (Tooling metadata)</x:v>
      </x:c>
      <x:c r="D39" s="117" t="str">
        <x:v>Apex Action</x:v>
      </x:c>
      <x:c r="E39" s="117" t="str">
        <x:v>Get_Landing_Pages</x:v>
      </x:c>
      <x:c r="F39" s="117" t="str">
        <x:v>pi__GetObjectDropdownList</x:v>
      </x:c>
      <x:c r="G39" s="117" t="str">
        <x:v>Review</x:v>
      </x:c>
      <x:c r="H39" s="119" t="str">
        <x:v>apex | Get Landing Pages | Automatic</x:v>
      </x:c>
    </x:row>
    <x:row r="40" ht="34" customHeight="1">
      <x:c r="A40" s="117" t="str">
        <x:v>Account_Engagement_Bulk_Asset_Copy_Flow</x:v>
      </x:c>
      <x:c r="B40" s="117" t="str">
        <x:v>Yes</x:v>
      </x:c>
      <x:c r="C40" s="119" t="str">
        <x:v>Active v23 (Tooling metadata)</x:v>
      </x:c>
      <x:c r="D40" s="117" t="str">
        <x:v>Apex Action</x:v>
      </x:c>
      <x:c r="E40" s="117" t="str">
        <x:v>Get_Layout_Templates</x:v>
      </x:c>
      <x:c r="F40" s="117" t="str">
        <x:v>pi__GetObjectDropdownList</x:v>
      </x:c>
      <x:c r="G40" s="117" t="str">
        <x:v>Review</x:v>
      </x:c>
      <x:c r="H40" s="119" t="str">
        <x:v>apex | Get Layout Templates | Automatic</x:v>
      </x:c>
    </x:row>
    <x:row r="41" ht="34" customHeight="1">
      <x:c r="A41" s="117" t="str">
        <x:v>Account_Engagement_Bulk_Asset_Copy_Flow</x:v>
      </x:c>
      <x:c r="B41" s="117" t="str">
        <x:v>Yes</x:v>
      </x:c>
      <x:c r="C41" s="119" t="str">
        <x:v>Active v23 (Tooling metadata)</x:v>
      </x:c>
      <x:c r="D41" s="117" t="str">
        <x:v>Apex Action</x:v>
      </x:c>
      <x:c r="E41" s="117" t="str">
        <x:v>Get_Layout_Templates_For_Destination_BU</x:v>
      </x:c>
      <x:c r="F41" s="117" t="str">
        <x:v>pi__GetObjectDropdownList</x:v>
      </x:c>
      <x:c r="G41" s="117" t="str">
        <x:v>Review</x:v>
      </x:c>
      <x:c r="H41" s="119" t="str">
        <x:v>apex | Get Layout Templates For Destination BU | Automatic</x:v>
      </x:c>
    </x:row>
    <x:row r="42" ht="34" customHeight="1">
      <x:c r="A42" s="117" t="str">
        <x:v>Account_Engagement_Bulk_Asset_Copy_Flow</x:v>
      </x:c>
      <x:c r="B42" s="117" t="str">
        <x:v>Yes</x:v>
      </x:c>
      <x:c r="C42" s="119" t="str">
        <x:v>Active v23 (Tooling metadata)</x:v>
      </x:c>
      <x:c r="D42" s="117" t="str">
        <x:v>Apex Action</x:v>
      </x:c>
      <x:c r="E42" s="117" t="str">
        <x:v>Get_Tracker_Domains</x:v>
      </x:c>
      <x:c r="F42" s="117" t="str">
        <x:v>pi__GetObjectDropdownList</x:v>
      </x:c>
      <x:c r="G42" s="117" t="str">
        <x:v>Review</x:v>
      </x:c>
      <x:c r="H42" s="119" t="str">
        <x:v>apex | Get Tracker Domains | Automatic</x:v>
      </x:c>
    </x:row>
    <x:row r="43" ht="34" customHeight="1">
      <x:c r="A43" s="117" t="str">
        <x:v>Account_Engagement_Bulk_Asset_Copy_Flow</x:v>
      </x:c>
      <x:c r="B43" s="117" t="str">
        <x:v>Yes</x:v>
      </x:c>
      <x:c r="C43" s="119" t="str">
        <x:v>Active v23 (Tooling metadata)</x:v>
      </x:c>
      <x:c r="D43" s="117" t="str">
        <x:v>Apex Action</x:v>
      </x:c>
      <x:c r="E43" s="117" t="str">
        <x:v>Get_My_Business_Units</x:v>
      </x:c>
      <x:c r="F43" s="117" t="str">
        <x:v>pi__PardotBusinessUnitQueryActionV2</x:v>
      </x:c>
      <x:c r="G43" s="117" t="str">
        <x:v>Review</x:v>
      </x:c>
      <x:c r="H43" s="119" t="str">
        <x:v>apex | Get Business Units | Automatic</x:v>
      </x:c>
    </x:row>
    <x:row r="44" ht="34" customHeight="1">
      <x:c r="A44" s="117" t="str">
        <x:v>Account_Engagement_Bulk_Asset_Copy_Flow</x:v>
      </x:c>
      <x:c r="B44" s="117" t="str">
        <x:v>Yes</x:v>
      </x:c>
      <x:c r="C44" s="119" t="str">
        <x:v>Active v23 (Tooling metadata)</x:v>
      </x:c>
      <x:c r="D44" s="117" t="str">
        <x:v>Screen Component</x:v>
      </x:c>
      <x:c r="E44" s="117" t="str">
        <x:v>Screen</x:v>
      </x:c>
      <x:c r="F44" s="117" t="str">
        <x:v>flowruntime:choiceLookup</x:v>
      </x:c>
      <x:c r="G44" s="117" t="str">
        <x:v>Review</x:v>
      </x:c>
      <x:c r="H44" s="119" t="str">
        <x:v>LWC or Aura extension</x:v>
      </x:c>
    </x:row>
    <x:row r="45" ht="34" customHeight="1">
      <x:c r="A45" s="117" t="str">
        <x:v>Account_Engagement_Bulk_Asset_Copy_Flow</x:v>
      </x:c>
      <x:c r="B45" s="117" t="str">
        <x:v>Yes</x:v>
      </x:c>
      <x:c r="C45" s="119" t="str">
        <x:v>Active v23 (Tooling metadata)</x:v>
      </x:c>
      <x:c r="D45" s="117" t="str">
        <x:v>Screen Component</x:v>
      </x:c>
      <x:c r="E45" s="117" t="str">
        <x:v>Screen</x:v>
      </x:c>
      <x:c r="F45" s="117" t="str">
        <x:v>pi:combobox</x:v>
      </x:c>
      <x:c r="G45" s="117" t="str">
        <x:v>Review</x:v>
      </x:c>
      <x:c r="H45" s="119" t="str">
        <x:v>LWC or Aura extension</x:v>
      </x:c>
    </x:row>
    <x:row r="46" ht="34" customHeight="1">
      <x:c r="A46" s="117" t="str">
        <x:v>Account_Engagement_Bulk_Asset_Copy_Flow</x:v>
      </x:c>
      <x:c r="B46" s="117" t="str">
        <x:v>Yes</x:v>
      </x:c>
      <x:c r="C46" s="119" t="str">
        <x:v>Active v23 (Tooling metadata)</x:v>
      </x:c>
      <x:c r="D46" s="117" t="str">
        <x:v>Screen Component</x:v>
      </x:c>
      <x:c r="E46" s="117" t="str">
        <x:v>Screen</x:v>
      </x:c>
      <x:c r="F46" s="117" t="str">
        <x:v>pi:previewAssets</x:v>
      </x:c>
      <x:c r="G46" s="117" t="str">
        <x:v>Review</x:v>
      </x:c>
      <x:c r="H46" s="119" t="str">
        <x:v>LWC or Aura extension</x:v>
      </x:c>
    </x:row>
    <x:row r="47" ht="34" customHeight="1">
      <x:c r="A47" s="117" t="str">
        <x:v>Account_Engagement_Bulk_Asset_Copy_Flow</x:v>
      </x:c>
      <x:c r="B47" s="117" t="str">
        <x:v>Yes</x:v>
      </x:c>
      <x:c r="C47" s="119" t="str">
        <x:v>Active v23 (Tooling metadata)</x:v>
      </x:c>
      <x:c r="D47" s="117" t="str">
        <x:v>Screen Component</x:v>
      </x:c>
      <x:c r="E47" s="117" t="str">
        <x:v>Screen</x:v>
      </x:c>
      <x:c r="F47" s="117" t="str">
        <x:v>pi:progressIndicator</x:v>
      </x:c>
      <x:c r="G47" s="117" t="str">
        <x:v>Review</x:v>
      </x:c>
      <x:c r="H47" s="119" t="str">
        <x:v>LWC or Aura extension</x:v>
      </x:c>
    </x:row>
    <x:row r="48" ht="34" customHeight="1">
      <x:c r="A48" s="117" t="str">
        <x:v>Account_Engagement_Bulk_Asset_Copy_Flow</x:v>
      </x:c>
      <x:c r="B48" s="117" t="str">
        <x:v>Yes</x:v>
      </x:c>
      <x:c r="C48" s="119" t="str">
        <x:v>Active v23 (Tooling metadata)</x:v>
      </x:c>
      <x:c r="D48" s="117" t="str">
        <x:v>Screen Component</x:v>
      </x:c>
      <x:c r="E48" s="117" t="str">
        <x:v>Screen</x:v>
      </x:c>
      <x:c r="F48" s="117" t="str">
        <x:v>pi:progressIndicatorSandbox</x:v>
      </x:c>
      <x:c r="G48" s="117" t="str">
        <x:v>Review</x:v>
      </x:c>
      <x:c r="H48" s="119" t="str">
        <x:v>LWC or Aura extension</x:v>
      </x:c>
    </x:row>
    <x:row r="49" ht="34" customHeight="1">
      <x:c r="A49" s="117" t="str">
        <x:v>Account_Engagement_Sandbox_Production_Bulk_Asset_Copy_Flow</x:v>
      </x:c>
      <x:c r="B49" s="117" t="str">
        <x:v>Yes</x:v>
      </x:c>
      <x:c r="C49" s="119" t="str">
        <x:v>Active v25 (Tooling metadata)</x:v>
      </x:c>
      <x:c r="D49" s="117" t="str">
        <x:v>Apex Action</x:v>
      </x:c>
      <x:c r="E49" s="117" t="str">
        <x:v>Get_Account_Engagement_Sandbox_BU_Named_Credentials</x:v>
      </x:c>
      <x:c r="F49" s="117" t="str">
        <x:v>pi__NamedCredentialQueryAction</x:v>
      </x:c>
      <x:c r="G49" s="117" t="str">
        <x:v>Review</x:v>
      </x:c>
      <x:c r="H49" s="119" t="str">
        <x:v>apex | Get Account Engagement Sandbox BU Named Credentials | Automatic</x:v>
      </x:c>
    </x:row>
    <x:row r="50" ht="34" customHeight="1">
      <x:c r="A50" s="117" t="str">
        <x:v>Account_Engagement_Sandbox_Production_Bulk_Asset_Copy_Flow</x:v>
      </x:c>
      <x:c r="B50" s="117" t="str">
        <x:v>Yes</x:v>
      </x:c>
      <x:c r="C50" s="119" t="str">
        <x:v>Active v25 (Tooling metadata)</x:v>
      </x:c>
      <x:c r="D50" s="117" t="str">
        <x:v>Apex Action</x:v>
      </x:c>
      <x:c r="E50" s="117" t="str">
        <x:v>Get_Salesforce_Sandbox_BU_Named_Credentials</x:v>
      </x:c>
      <x:c r="F50" s="117" t="str">
        <x:v>pi__NamedCredentialQueryAction</x:v>
      </x:c>
      <x:c r="G50" s="117" t="str">
        <x:v>Review</x:v>
      </x:c>
      <x:c r="H50" s="119" t="str">
        <x:v>apex | Get Salesforce Sandbox BU Named Credentials | Automatic</x:v>
      </x:c>
    </x:row>
    <x:row r="51" ht="34" customHeight="1">
      <x:c r="A51" s="117" t="str">
        <x:v>Account_Engagement_Sandbox_Production_Bulk_Asset_Copy_Flow</x:v>
      </x:c>
      <x:c r="B51" s="117" t="str">
        <x:v>Yes</x:v>
      </x:c>
      <x:c r="C51" s="119" t="str">
        <x:v>Active v25 (Tooling metadata)</x:v>
      </x:c>
      <x:c r="D51" s="117" t="str">
        <x:v>Apex Action</x:v>
      </x:c>
      <x:c r="E51" s="117" t="str">
        <x:v>Get_Production_Business_Units</x:v>
      </x:c>
      <x:c r="F51" s="117" t="str">
        <x:v>pi__PardotBusinessUnitQueryActionV2</x:v>
      </x:c>
      <x:c r="G51" s="117" t="str">
        <x:v>Review</x:v>
      </x:c>
      <x:c r="H51" s="119" t="str">
        <x:v>apex | Get Production Business Units | Automatic</x:v>
      </x:c>
    </x:row>
    <x:row r="52" ht="34" customHeight="1">
      <x:c r="A52" s="117" t="str">
        <x:v>Account_Engagement_Sandbox_Production_Bulk_Asset_Copy_Flow</x:v>
      </x:c>
      <x:c r="B52" s="117" t="str">
        <x:v>Yes</x:v>
      </x:c>
      <x:c r="C52" s="119" t="str">
        <x:v>Active v25 (Tooling metadata)</x:v>
      </x:c>
      <x:c r="D52" s="117" t="str">
        <x:v>Apex Action</x:v>
      </x:c>
      <x:c r="E52" s="117" t="str">
        <x:v>Get_Sandbox_Business_Units</x:v>
      </x:c>
      <x:c r="F52" s="117" t="str">
        <x:v>pi__PardotBusinessUnitQueryActionV2</x:v>
      </x:c>
      <x:c r="G52" s="117" t="str">
        <x:v>Review</x:v>
      </x:c>
      <x:c r="H52" s="119" t="str">
        <x:v>apex | Get Sandbox Business Units | Automatic</x:v>
      </x:c>
    </x:row>
    <x:row r="53" ht="34" customHeight="1">
      <x:c r="A53" s="117" t="str">
        <x:v>Account_Engagement_Sandbox_Production_Bulk_Asset_Copy_Flow</x:v>
      </x:c>
      <x:c r="B53" s="117" t="str">
        <x:v>Yes</x:v>
      </x:c>
      <x:c r="C53" s="119" t="str">
        <x:v>Active v25 (Tooling metadata)</x:v>
      </x:c>
      <x:c r="D53" s="117" t="str">
        <x:v>Screen Component</x:v>
      </x:c>
      <x:c r="E53" s="117" t="str">
        <x:v>Screen</x:v>
      </x:c>
      <x:c r="F53" s="117" t="str">
        <x:v>flowruntime:choiceLookup</x:v>
      </x:c>
      <x:c r="G53" s="117" t="str">
        <x:v>Review</x:v>
      </x:c>
      <x:c r="H53" s="119" t="str">
        <x:v>LWC or Aura extension</x:v>
      </x:c>
    </x:row>
    <x:row r="54" ht="34" customHeight="1">
      <x:c r="A54" s="117" t="str">
        <x:v>Account_Engagement_Sandbox_Production_Bulk_Asset_Copy_Flow</x:v>
      </x:c>
      <x:c r="B54" s="117" t="str">
        <x:v>Yes</x:v>
      </x:c>
      <x:c r="C54" s="119" t="str">
        <x:v>Active v25 (Tooling metadata)</x:v>
      </x:c>
      <x:c r="D54" s="117" t="str">
        <x:v>Screen Component</x:v>
      </x:c>
      <x:c r="E54" s="117" t="str">
        <x:v>Screen</x:v>
      </x:c>
      <x:c r="F54" s="117" t="str">
        <x:v>pi:progressIndicatorSandbox</x:v>
      </x:c>
      <x:c r="G54" s="117" t="str">
        <x:v>Review</x:v>
      </x:c>
      <x:c r="H54" s="119" t="str">
        <x:v>LWC or Aura extension</x:v>
      </x:c>
    </x:row>
    <x:row r="55" ht="34" customHeight="1">
      <x:c r="A55" s="117" t="str">
        <x:v>Account_Engagement_Sandbox_Production_Bulk_Asset_Copy_Flow</x:v>
      </x:c>
      <x:c r="B55" s="117" t="str">
        <x:v>Yes</x:v>
      </x:c>
      <x:c r="C55" s="119" t="str">
        <x:v>Active v25 (Tooling metadata)</x:v>
      </x:c>
      <x:c r="D55" s="117" t="str">
        <x:v>Subflow</x:v>
      </x:c>
      <x:c r="E55" s="117" t="str">
        <x:v>Base_Asset_Copy_Flow</x:v>
      </x:c>
      <x:c r="F55" s="117" t="str">
        <x:v>pi__Account_Engagement_Bulk_Asset_Copy_Flow</x:v>
      </x:c>
      <x:c r="G55" s="117" t="str">
        <x:v>No</x:v>
      </x:c>
      <x:c r="H55" s="119" t="str">
        <x:v>Base Asset Copy Flow</x:v>
      </x:c>
    </x:row>
    <x:row r="56" ht="34" customHeight="1">
      <x:c r="A56" s="117" t="str">
        <x:v>Activate_Contracts_Access</x:v>
      </x:c>
      <x:c r="B56" s="117" t="str">
        <x:v>No</x:v>
      </x:c>
      <x:c r="C56" s="119" t="str">
        <x:v>Latest inactive v1 (Retrieved XML)</x:v>
      </x:c>
      <x:c r="D56" s="117" t="str">
        <x:v>Built-in Action</x:v>
      </x:c>
      <x:c r="E56" s="117" t="str">
        <x:v>Activate_Employment</x:v>
      </x:c>
      <x:c r="F56" s="117" t="str">
        <x:v>activateSessionPermSet</x:v>
      </x:c>
      <x:c r="G56" s="117" t="str">
        <x:v>Platform</x:v>
      </x:c>
      <x:c r="H56" s="119" t="str">
        <x:v>activateSessionPermSet | Activate Employment Contracts Access</x:v>
      </x:c>
    </x:row>
    <x:row r="57" ht="34" customHeight="1">
      <x:c r="A57" s="117" t="str">
        <x:v>Add_Opportunity_Lines_to_Credit_Memo</x:v>
      </x:c>
      <x:c r="B57" s="117" t="str">
        <x:v>No</x:v>
      </x:c>
      <x:c r="C57" s="119" t="str">
        <x:v>Latest inactive v12 (Retrieved XML)</x:v>
      </x:c>
      <x:c r="D57" s="117" t="str">
        <x:v>Screen Component</x:v>
      </x:c>
      <x:c r="E57" s="117" t="str">
        <x:v>Screen</x:v>
      </x:c>
      <x:c r="F57" s="117" t="str">
        <x:v>c:datatable</x:v>
      </x:c>
      <x:c r="G57" s="117" t="str">
        <x:v>Review</x:v>
      </x:c>
      <x:c r="H57" s="119" t="str">
        <x:v>LWC or Aura extension</x:v>
      </x:c>
    </x:row>
    <x:row r="58" ht="34" customHeight="1">
      <x:c r="A58" s="117" t="str">
        <x:v>Alert_AR_for_Opp_Ready_to_Bill</x:v>
      </x:c>
      <x:c r="B58" s="117" t="str">
        <x:v>Yes</x:v>
      </x:c>
      <x:c r="C58" s="119" t="str">
        <x:v>Active v10 (Tooling metadata)</x:v>
      </x:c>
      <x:c r="D58" s="117" t="str">
        <x:v>Built-in Action</x:v>
      </x:c>
      <x:c r="E58" s="117" t="str">
        <x:v>Alert_AR_Ready_to_Bill</x:v>
      </x:c>
      <x:c r="F58" s="117" t="str">
        <x:v>emailSimple</x:v>
      </x:c>
      <x:c r="G58" s="117" t="str">
        <x:v>Platform</x:v>
      </x:c>
      <x:c r="H58" s="119" t="str">
        <x:v>emailSimple | Alert AR - Ready to Bill | CurrentTransaction</x:v>
      </x:c>
    </x:row>
    <x:row r="59" ht="34" customHeight="1">
      <x:c r="A59" s="117" t="str">
        <x:v>Alert_AR_for_Opp_Ready_to_Bill</x:v>
      </x:c>
      <x:c r="B59" s="117" t="str">
        <x:v>Yes</x:v>
      </x:c>
      <x:c r="C59" s="119" t="str">
        <x:v>Active v10 (Tooling metadata)</x:v>
      </x:c>
      <x:c r="D59" s="117" t="str">
        <x:v>Built-in Action</x:v>
      </x:c>
      <x:c r="E59" s="117" t="str">
        <x:v>Alert_ASG_Invoice_Sent</x:v>
      </x:c>
      <x:c r="F59" s="117" t="str">
        <x:v>emailSimple</x:v>
      </x:c>
      <x:c r="G59" s="117" t="str">
        <x:v>Platform</x:v>
      </x:c>
      <x:c r="H59" s="119" t="str">
        <x:v>emailSimple | Alert ASG - Invoice Sent | CurrentTransaction</x:v>
      </x:c>
    </x:row>
    <x:row r="60" ht="34" customHeight="1">
      <x:c r="A60" s="117" t="str">
        <x:v>Approved_CM_Memo_Alert_Task_Email_Send</x:v>
      </x:c>
      <x:c r="B60" s="117" t="str">
        <x:v>Yes</x:v>
      </x:c>
      <x:c r="C60" s="119" t="str">
        <x:v>Active v2 (Retrieved XML)</x:v>
      </x:c>
      <x:c r="D60" s="117" t="str">
        <x:v>Built-in Action</x:v>
      </x:c>
      <x:c r="E60" s="117" t="str">
        <x:v>Send_Approval_Email</x:v>
      </x:c>
      <x:c r="F60" s="117" t="str">
        <x:v>emailSimple</x:v>
      </x:c>
      <x:c r="G60" s="117" t="str">
        <x:v>Platform</x:v>
      </x:c>
      <x:c r="H60" s="119" t="str">
        <x:v>emailSimple | Send Approval Email | CurrentTransaction</x:v>
      </x:c>
    </x:row>
    <x:row r="61" ht="34" customHeight="1">
      <x:c r="A61" s="117" t="str">
        <x:v>Assign_Lead_Owner</x:v>
      </x:c>
      <x:c r="B61" s="117" t="str">
        <x:v>No</x:v>
      </x:c>
      <x:c r="C61" s="119" t="str">
        <x:v>Latest inactive v4 (Retrieved XML)</x:v>
      </x:c>
      <x:c r="D61" s="117" t="str">
        <x:v>Built-in Action</x:v>
      </x:c>
      <x:c r="E61" s="117" t="str">
        <x:v>myRule_1_A1</x:v>
      </x:c>
      <x:c r="F61" s="117" t="str">
        <x:v>Search_Contacts_for_New_Lead_Email_Address</x:v>
      </x:c>
      <x:c r="G61" s="117" t="str">
        <x:v>Platform</x:v>
      </x:c>
      <x:c r="H61" s="119" t="str">
        <x:v>flow | Search Contacts for Email Address</x:v>
      </x:c>
    </x:row>
    <x:row r="62" ht="34" customHeight="1">
      <x:c r="A62" s="117" t="str">
        <x:v>Assign_Lead_Owner_Account_Name_Company</x:v>
      </x:c>
      <x:c r="B62" s="117" t="str">
        <x:v>No</x:v>
      </x:c>
      <x:c r="C62" s="119" t="str">
        <x:v>Latest inactive v1 (Retrieved XML)</x:v>
      </x:c>
      <x:c r="D62" s="117" t="str">
        <x:v>Built-in Action</x:v>
      </x:c>
      <x:c r="E62" s="117" t="str">
        <x:v>myRule_1_A1</x:v>
      </x:c>
      <x:c r="F62" s="117" t="str">
        <x:v>Search_Contacts_for_Account_Name_Company</x:v>
      </x:c>
      <x:c r="G62" s="117" t="str">
        <x:v>Platform</x:v>
      </x:c>
      <x:c r="H62" s="119" t="str">
        <x:v>flow | Search Contacts for Account Name/Company</x:v>
      </x:c>
    </x:row>
    <x:row r="63" ht="34" customHeight="1">
      <x:c r="A63" s="117" t="str">
        <x:v>Assign_Lead_Owner_Phone</x:v>
      </x:c>
      <x:c r="B63" s="117" t="str">
        <x:v>No</x:v>
      </x:c>
      <x:c r="C63" s="119" t="str">
        <x:v>Latest inactive v1 (Retrieved XML)</x:v>
      </x:c>
      <x:c r="D63" s="117" t="str">
        <x:v>Built-in Action</x:v>
      </x:c>
      <x:c r="E63" s="117" t="str">
        <x:v>myRule_1_A1</x:v>
      </x:c>
      <x:c r="F63" s="117" t="str">
        <x:v>Search_Contacts_for_Phone_Number</x:v>
      </x:c>
      <x:c r="G63" s="117" t="str">
        <x:v>Platform</x:v>
      </x:c>
      <x:c r="H63" s="119" t="str">
        <x:v>flow | Search Contacs for Phone Number</x:v>
      </x:c>
    </x:row>
    <x:row r="64" ht="34" customHeight="1">
      <x:c r="A64" s="117" t="str">
        <x:v>Assigned_Resource_Trigger_Send_New_Resource_Dispatch_Email</x:v>
      </x:c>
      <x:c r="B64" s="117" t="str">
        <x:v>Yes</x:v>
      </x:c>
      <x:c r="C64" s="119" t="str">
        <x:v>Active v2 (Retrieved XML)</x:v>
      </x:c>
      <x:c r="D64" s="117" t="str">
        <x:v>Built-in Action</x:v>
      </x:c>
      <x:c r="E64" s="117" t="str">
        <x:v>Send_Email_to_New_Assignee</x:v>
      </x:c>
      <x:c r="F64" s="117" t="str">
        <x:v>emailSimple</x:v>
      </x:c>
      <x:c r="G64" s="117" t="str">
        <x:v>Platform</x:v>
      </x:c>
      <x:c r="H64" s="119" t="str">
        <x:v>emailSimple | Send Email to New Assignee | CurrentTransaction</x:v>
      </x:c>
    </x:row>
    <x:row r="65" ht="34" customHeight="1">
      <x:c r="A65" s="117" t="str">
        <x:v>Assigned_Resource_Trigger_Send_New_Resource_Dispatch_Email</x:v>
      </x:c>
      <x:c r="B65" s="117" t="str">
        <x:v>Yes</x:v>
      </x:c>
      <x:c r="C65" s="119" t="str">
        <x:v>Active v2 (Retrieved XML)</x:v>
      </x:c>
      <x:c r="D65" s="117" t="str">
        <x:v>Built-in Action</x:v>
      </x:c>
      <x:c r="E65" s="117" t="str">
        <x:v>Send_Email_to_Old_Assignee</x:v>
      </x:c>
      <x:c r="F65" s="117" t="str">
        <x:v>emailSimple</x:v>
      </x:c>
      <x:c r="G65" s="117" t="str">
        <x:v>Platform</x:v>
      </x:c>
      <x:c r="H65" s="119" t="str">
        <x:v>emailSimple | Send Email to Old Assignee | CurrentTransaction</x:v>
      </x:c>
    </x:row>
    <x:row r="66" ht="34" customHeight="1">
      <x:c r="A66" s="117" t="str">
        <x:v>Automated_Collections_Template</x:v>
      </x:c>
      <x:c r="B66" s="117" t="str">
        <x:v>No</x:v>
      </x:c>
      <x:c r="C66" s="119" t="str">
        <x:v>Latest inactive v2 (Tooling metadata)</x:v>
      </x:c>
      <x:c r="D66" s="117" t="str">
        <x:v>Apex Action</x:v>
      </x:c>
      <x:c r="E66" s="117" t="str">
        <x:v>Create_Automated_Collections</x:v>
      </x:c>
      <x:c r="F66" s="117" t="str">
        <x:v>ChargentBase__ACFlowCreate</x:v>
      </x:c>
      <x:c r="G66" s="117" t="str">
        <x:v>Review</x:v>
      </x:c>
      <x:c r="H66" s="119" t="str">
        <x:v>apex | Create Automated Collections | CurrentTransaction</x:v>
      </x:c>
    </x:row>
    <x:row r="67" ht="34" customHeight="1">
      <x:c r="A67" s="117" t="str">
        <x:v>AvaTax_Opportunity_Automatic_Tax_Calculation</x:v>
      </x:c>
      <x:c r="B67" s="117" t="str">
        <x:v>No</x:v>
      </x:c>
      <x:c r="C67" s="119" t="str">
        <x:v>Latest inactive v8 (Tooling metadata)</x:v>
      </x:c>
      <x:c r="D67" s="117" t="str">
        <x:v>Apex Action</x:v>
      </x:c>
      <x:c r="E67" s="117" t="str">
        <x:v>myRule_1_A2</x:v>
      </x:c>
      <x:c r="F67" s="117" t="str">
        <x:v>AVA_SFCLOUD__OpportunityTaxCalculator</x:v>
      </x:c>
      <x:c r="G67" s="117" t="str">
        <x:v>Review</x:v>
      </x:c>
      <x:c r="H67" s="119" t="str">
        <x:v>apex | call OpportunityTaxCalculator | CurrentTransaction</x:v>
      </x:c>
    </x:row>
    <x:row r="68" ht="34" customHeight="1">
      <x:c r="A68" s="117" t="str">
        <x:v>AvaTax_Opportunity_Automatic_Tax_Calculation_Flow</x:v>
      </x:c>
      <x:c r="B68" s="117" t="str">
        <x:v>Yes</x:v>
      </x:c>
      <x:c r="C68" s="119" t="str">
        <x:v>Active v6 (Tooling metadata)</x:v>
      </x:c>
      <x:c r="D68" s="117" t="str">
        <x:v>Apex Action</x:v>
      </x:c>
      <x:c r="E68" s="117" t="str">
        <x:v>all_OpportunityTaxCalculator2</x:v>
      </x:c>
      <x:c r="F68" s="117" t="str">
        <x:v>AVA_SFCLOUD__OpportunityTaxCalculator</x:v>
      </x:c>
      <x:c r="G68" s="117" t="str">
        <x:v>Review</x:v>
      </x:c>
      <x:c r="H68" s="119" t="str">
        <x:v>apex | call OpportunityTaxCalculator | CurrentTransaction</x:v>
      </x:c>
    </x:row>
    <x:row r="69" ht="34" customHeight="1">
      <x:c r="A69" s="117" t="str">
        <x:v>AvaTax_Opportunity_Automatic_Tax_Calculation_Flow</x:v>
      </x:c>
      <x:c r="B69" s="117" t="str">
        <x:v>Yes</x:v>
      </x:c>
      <x:c r="C69" s="119" t="str">
        <x:v>Active v6 (Tooling metadata)</x:v>
      </x:c>
      <x:c r="D69" s="117" t="str">
        <x:v>Apex Action</x:v>
      </x:c>
      <x:c r="E69" s="117" t="str">
        <x:v>myRule_1_A2</x:v>
      </x:c>
      <x:c r="F69" s="117" t="str">
        <x:v>AVA_SFCLOUD__OpportunityTaxCalculator</x:v>
      </x:c>
      <x:c r="G69" s="117" t="str">
        <x:v>Review</x:v>
      </x:c>
      <x:c r="H69" s="119" t="str">
        <x:v>apex | call OpportunityTaxCalculator | CurrentTransaction</x:v>
      </x:c>
    </x:row>
    <x:row r="70" ht="34" customHeight="1">
      <x:c r="A70" s="117" t="str">
        <x:v>AvaTax_Order_Automatic_Tax_Calculation</x:v>
      </x:c>
      <x:c r="B70" s="117" t="str">
        <x:v>No</x:v>
      </x:c>
      <x:c r="C70" s="119" t="str">
        <x:v>Latest inactive v7 (Tooling metadata)</x:v>
      </x:c>
      <x:c r="D70" s="117" t="str">
        <x:v>Apex Action</x:v>
      </x:c>
      <x:c r="E70" s="117" t="str">
        <x:v>myRule_1_A2</x:v>
      </x:c>
      <x:c r="F70" s="117" t="str">
        <x:v>AVA_SFCLOUD__OrderTaxCalculator</x:v>
      </x:c>
      <x:c r="G70" s="117" t="str">
        <x:v>Review</x:v>
      </x:c>
      <x:c r="H70" s="119" t="str">
        <x:v>apex | Call OrderTaxCalculator | CurrentTransaction</x:v>
      </x:c>
    </x:row>
    <x:row r="71" ht="34" customHeight="1">
      <x:c r="A71" s="117" t="str">
        <x:v>AvaTax_Order_Automatic_Tax_Calculation</x:v>
      </x:c>
      <x:c r="B71" s="117" t="str">
        <x:v>No</x:v>
      </x:c>
      <x:c r="C71" s="119" t="str">
        <x:v>Latest inactive v7 (Tooling metadata)</x:v>
      </x:c>
      <x:c r="D71" s="117" t="str">
        <x:v>Apex Action</x:v>
      </x:c>
      <x:c r="E71" s="117" t="str">
        <x:v>myRule_3_A2</x:v>
      </x:c>
      <x:c r="F71" s="117" t="str">
        <x:v>AVA_SFCLOUD__OrderTaxCalculator</x:v>
      </x:c>
      <x:c r="G71" s="117" t="str">
        <x:v>Review</x:v>
      </x:c>
      <x:c r="H71" s="119" t="str">
        <x:v>apex | Call OrderTaxCalculator | CurrentTransaction</x:v>
      </x:c>
    </x:row>
    <x:row r="72" ht="34" customHeight="1">
      <x:c r="A72" s="117" t="str">
        <x:v>AvaTax_Order_Automatic_Tax_Calculation_Flow</x:v>
      </x:c>
      <x:c r="B72" s="117" t="str">
        <x:v>Yes</x:v>
      </x:c>
      <x:c r="C72" s="119" t="str">
        <x:v>Active v6 (Tooling metadata)</x:v>
      </x:c>
      <x:c r="D72" s="117" t="str">
        <x:v>Apex Action</x:v>
      </x:c>
      <x:c r="E72" s="117" t="str">
        <x:v>Call_OrderTaxCalculator</x:v>
      </x:c>
      <x:c r="F72" s="117" t="str">
        <x:v>AVA_SFCLOUD__OrderTaxCalculator</x:v>
      </x:c>
      <x:c r="G72" s="117" t="str">
        <x:v>Review</x:v>
      </x:c>
      <x:c r="H72" s="119" t="str">
        <x:v>apex | Call OrderTaxCalculator | CurrentTransaction</x:v>
      </x:c>
    </x:row>
    <x:row r="73" ht="34" customHeight="1">
      <x:c r="A73" s="117" t="str">
        <x:v>AvaTax_Order_Automatic_Tax_Calculation_Flow</x:v>
      </x:c>
      <x:c r="B73" s="117" t="str">
        <x:v>Yes</x:v>
      </x:c>
      <x:c r="C73" s="119" t="str">
        <x:v>Active v6 (Tooling metadata)</x:v>
      </x:c>
      <x:c r="D73" s="117" t="str">
        <x:v>Apex Action</x:v>
      </x:c>
      <x:c r="E73" s="117" t="str">
        <x:v>Call_OrderTaxCalculator_2</x:v>
      </x:c>
      <x:c r="F73" s="117" t="str">
        <x:v>AVA_SFCLOUD__OrderTaxCalculator</x:v>
      </x:c>
      <x:c r="G73" s="117" t="str">
        <x:v>Review</x:v>
      </x:c>
      <x:c r="H73" s="119" t="str">
        <x:v>apex | Call OrderTaxCalculator | CurrentTransaction</x:v>
      </x:c>
    </x:row>
    <x:row r="74" ht="34" customHeight="1">
      <x:c r="A74" s="117" t="str">
        <x:v>AvaTax_Order_Automatic_Tax_Calculation_Flow</x:v>
      </x:c>
      <x:c r="B74" s="117" t="str">
        <x:v>Yes</x:v>
      </x:c>
      <x:c r="C74" s="119" t="str">
        <x:v>Active v6 (Tooling metadata)</x:v>
      </x:c>
      <x:c r="D74" s="117" t="str">
        <x:v>Apex Action</x:v>
      </x:c>
      <x:c r="E74" s="117" t="str">
        <x:v>Call_OrderTaxCalculator_3</x:v>
      </x:c>
      <x:c r="F74" s="117" t="str">
        <x:v>AVA_SFCLOUD__OrderTaxCalculator</x:v>
      </x:c>
      <x:c r="G74" s="117" t="str">
        <x:v>Review</x:v>
      </x:c>
      <x:c r="H74" s="119" t="str">
        <x:v>apex | Call OrderTaxCalculator | CurrentTransaction</x:v>
      </x:c>
    </x:row>
    <x:row r="75" ht="34" customHeight="1">
      <x:c r="A75" s="117" t="str">
        <x:v>AvaTax_Order_Automatic_Tax_Calculation_Flow</x:v>
      </x:c>
      <x:c r="B75" s="117" t="str">
        <x:v>Yes</x:v>
      </x:c>
      <x:c r="C75" s="119" t="str">
        <x:v>Active v6 (Tooling metadata)</x:v>
      </x:c>
      <x:c r="D75" s="117" t="str">
        <x:v>Apex Action</x:v>
      </x:c>
      <x:c r="E75" s="117" t="str">
        <x:v>myRule_1_A2</x:v>
      </x:c>
      <x:c r="F75" s="117" t="str">
        <x:v>AVA_SFCLOUD__OrderTaxCalculator</x:v>
      </x:c>
      <x:c r="G75" s="117" t="str">
        <x:v>Review</x:v>
      </x:c>
      <x:c r="H75" s="119" t="str">
        <x:v>apex | Call OrderTaxCalculator | CurrentTransaction</x:v>
      </x:c>
    </x:row>
    <x:row r="76" ht="34" customHeight="1">
      <x:c r="A76" s="117" t="str">
        <x:v>AvaTax_Quote_Automatic_Tax_Calculation</x:v>
      </x:c>
      <x:c r="B76" s="117" t="str">
        <x:v>No</x:v>
      </x:c>
      <x:c r="C76" s="119" t="str">
        <x:v>Latest inactive v5 (Tooling metadata)</x:v>
      </x:c>
      <x:c r="D76" s="117" t="str">
        <x:v>Apex Action</x:v>
      </x:c>
      <x:c r="E76" s="117" t="str">
        <x:v>myRule_1_A2</x:v>
      </x:c>
      <x:c r="F76" s="117" t="str">
        <x:v>AVA_SFCLOUD__QuoteTaxCalculator</x:v>
      </x:c>
      <x:c r="G76" s="117" t="str">
        <x:v>Review</x:v>
      </x:c>
      <x:c r="H76" s="119" t="str">
        <x:v>apex | call QuoteTaxCalculator | CurrentTransaction</x:v>
      </x:c>
    </x:row>
    <x:row r="77" ht="34" customHeight="1">
      <x:c r="A77" s="117" t="str">
        <x:v>AvaTax_Quote_Automatic_Tax_Calculation_Flow</x:v>
      </x:c>
      <x:c r="B77" s="117" t="str">
        <x:v>Yes</x:v>
      </x:c>
      <x:c r="C77" s="119" t="str">
        <x:v>Active v6 (Tooling metadata)</x:v>
      </x:c>
      <x:c r="D77" s="117" t="str">
        <x:v>Apex Action</x:v>
      </x:c>
      <x:c r="E77" s="117" t="str">
        <x:v>call_QuoteTaxCalculator</x:v>
      </x:c>
      <x:c r="F77" s="117" t="str">
        <x:v>AVA_SFCLOUD__QuoteTaxCalculator</x:v>
      </x:c>
      <x:c r="G77" s="117" t="str">
        <x:v>Review</x:v>
      </x:c>
      <x:c r="H77" s="119" t="str">
        <x:v>apex | call QuoteTaxCalculator | CurrentTransaction</x:v>
      </x:c>
    </x:row>
    <x:row r="78" ht="34" customHeight="1">
      <x:c r="A78" s="117" t="str">
        <x:v>AvaTax_Quote_Automatic_Tax_Calculation_Flow</x:v>
      </x:c>
      <x:c r="B78" s="117" t="str">
        <x:v>Yes</x:v>
      </x:c>
      <x:c r="C78" s="119" t="str">
        <x:v>Active v6 (Tooling metadata)</x:v>
      </x:c>
      <x:c r="D78" s="117" t="str">
        <x:v>Apex Action</x:v>
      </x:c>
      <x:c r="E78" s="117" t="str">
        <x:v>myRule_1_A2</x:v>
      </x:c>
      <x:c r="F78" s="117" t="str">
        <x:v>AVA_SFCLOUD__QuoteTaxCalculator</x:v>
      </x:c>
      <x:c r="G78" s="117" t="str">
        <x:v>Review</x:v>
      </x:c>
      <x:c r="H78" s="119" t="str">
        <x:v>apex | call QuoteTaxCalculator | CurrentTransaction</x:v>
      </x:c>
    </x:row>
    <x:row r="79" ht="34" customHeight="1">
      <x:c r="A79" s="117" t="str">
        <x:v>Big_Iron_Purchasing_Opportunity_Updates_Alerts</x:v>
      </x:c>
      <x:c r="B79" s="117" t="str">
        <x:v>Yes</x:v>
      </x:c>
      <x:c r="C79" s="119" t="str">
        <x:v>Active v35 (Retrieved XML)</x:v>
      </x:c>
      <x:c r="D79" s="117" t="str">
        <x:v>Built-in Action</x:v>
      </x:c>
      <x:c r="E79" s="117" t="str">
        <x:v>Send_Leon_Email</x:v>
      </x:c>
      <x:c r="F79" s="117" t="str">
        <x:v>Opportunity.Big_Iron_Moved_to_Verbal_Acceptance</x:v>
      </x:c>
      <x:c r="G79" s="117" t="str">
        <x:v>Platform</x:v>
      </x:c>
      <x:c r="H79" s="119" t="str">
        <x:v>emailAlert | Send Leon Email | CurrentTransaction</x:v>
      </x:c>
    </x:row>
    <x:row r="80" ht="34" customHeight="1">
      <x:c r="A80" s="117" t="str">
        <x:v>Big_Iron_Purchasing_Opportunity_Updates_Alerts</x:v>
      </x:c>
      <x:c r="B80" s="117" t="str">
        <x:v>Yes</x:v>
      </x:c>
      <x:c r="C80" s="119" t="str">
        <x:v>Active v35 (Retrieved XML)</x:v>
      </x:c>
      <x:c r="D80" s="117" t="str">
        <x:v>Built-in Action</x:v>
      </x:c>
      <x:c r="E80" s="117" t="str">
        <x:v>Ultrasound_Won_Email</x:v>
      </x:c>
      <x:c r="F80" s="117" t="str">
        <x:v>emailSimple</x:v>
      </x:c>
      <x:c r="G80" s="117" t="str">
        <x:v>Platform</x:v>
      </x:c>
      <x:c r="H80" s="119" t="str">
        <x:v>emailSimple | Send Stephen Email | CurrentTransaction</x:v>
      </x:c>
    </x:row>
    <x:row r="81" ht="34" customHeight="1">
      <x:c r="A81" s="117" t="str">
        <x:v>Big_Iron_Removal_Date_Updated_Notification</x:v>
      </x:c>
      <x:c r="B81" s="117" t="str">
        <x:v>No</x:v>
      </x:c>
      <x:c r="C81" s="119" t="str">
        <x:v>Latest inactive v7 (Retrieved XML)</x:v>
      </x:c>
      <x:c r="D81" s="117" t="str">
        <x:v>Built-in Action</x:v>
      </x:c>
      <x:c r="E81" s="117" t="str">
        <x:v>Email_Seller_of_Removal_Update</x:v>
      </x:c>
      <x:c r="F81" s="117" t="str">
        <x:v>emailSimple</x:v>
      </x:c>
      <x:c r="G81" s="117" t="str">
        <x:v>Platform</x:v>
      </x:c>
      <x:c r="H81" s="119" t="str">
        <x:v>emailSimple | Email Seller of Removal Update | CurrentTransaction</x:v>
      </x:c>
    </x:row>
    <x:row r="82" ht="34" customHeight="1">
      <x:c r="A82" s="117" t="str">
        <x:v>Big_Iron_Stock_Received_Notification</x:v>
      </x:c>
      <x:c r="B82" s="117" t="str">
        <x:v>No</x:v>
      </x:c>
      <x:c r="C82" s="119" t="str">
        <x:v>Latest inactive v11 (Retrieved XML)</x:v>
      </x:c>
      <x:c r="D82" s="117" t="str">
        <x:v>Built-in Action</x:v>
      </x:c>
      <x:c r="E82" s="117" t="str">
        <x:v>BigIronStock_Notification</x:v>
      </x:c>
      <x:c r="F82" s="117" t="str">
        <x:v>emailSimple</x:v>
      </x:c>
      <x:c r="G82" s="117" t="str">
        <x:v>Platform</x:v>
      </x:c>
      <x:c r="H82" s="119" t="str">
        <x:v>emailSimple | BigIronStock Notification | CurrentTransaction</x:v>
      </x:c>
    </x:row>
    <x:row r="83" ht="34" customHeight="1">
      <x:c r="A83" s="117" t="str">
        <x:v>BIPO_Closed_Lost_Notification</x:v>
      </x:c>
      <x:c r="B83" s="117" t="str">
        <x:v>Yes</x:v>
      </x:c>
      <x:c r="C83" s="119" t="str">
        <x:v>Active v6 (Tooling metadata)</x:v>
      </x:c>
      <x:c r="D83" s="117" t="str">
        <x:v>Built-in Action</x:v>
      </x:c>
      <x:c r="E83" s="117" t="str">
        <x:v>Send_Closed_Lost_Email</x:v>
      </x:c>
      <x:c r="F83" s="117" t="str">
        <x:v>emailSimple</x:v>
      </x:c>
      <x:c r="G83" s="117" t="str">
        <x:v>Platform</x:v>
      </x:c>
      <x:c r="H83" s="119" t="str">
        <x:v>emailSimple | Send Closed Lost Email | CurrentTransaction</x:v>
      </x:c>
    </x:row>
    <x:row r="84" ht="34" customHeight="1">
      <x:c r="A84" s="117" t="str">
        <x:v>Calibration_due_soon_30_days</x:v>
      </x:c>
      <x:c r="B84" s="117" t="str">
        <x:v>No</x:v>
      </x:c>
      <x:c r="C84" s="119" t="str">
        <x:v>Latest inactive v1 (Retrieved XML)</x:v>
      </x:c>
      <x:c r="D84" s="117" t="str">
        <x:v>Built-in Action</x:v>
      </x:c>
      <x:c r="E84" s="117" t="str">
        <x:v>Calibration_due_soon</x:v>
      </x:c>
      <x:c r="F84" s="117" t="str">
        <x:v>Equipment__c.Calibration_due_soon</x:v>
      </x:c>
      <x:c r="G84" s="117" t="str">
        <x:v>Platform</x:v>
      </x:c>
      <x:c r="H84" s="119" t="str">
        <x:v>emailAlert | Equipment__c.Calibration_due_soon | CurrentTransaction</x:v>
      </x:c>
    </x:row>
    <x:row r="85" ht="34" customHeight="1">
      <x:c r="A85" s="117" t="str">
        <x:v>Calibration_due_soon_30_days_2</x:v>
      </x:c>
      <x:c r="B85" s="117" t="str">
        <x:v>No</x:v>
      </x:c>
      <x:c r="C85" s="119" t="str">
        <x:v>Latest inactive v1 (Retrieved XML)</x:v>
      </x:c>
      <x:c r="D85" s="117" t="str">
        <x:v>Built-in Action</x:v>
      </x:c>
      <x:c r="E85" s="117" t="str">
        <x:v>Calibration_due_soon</x:v>
      </x:c>
      <x:c r="F85" s="117" t="str">
        <x:v>Equipment__c.Calibration_due_soon</x:v>
      </x:c>
      <x:c r="G85" s="117" t="str">
        <x:v>Platform</x:v>
      </x:c>
      <x:c r="H85" s="119" t="str">
        <x:v>emailAlert | Equipment__c.Calibration_due_soon | CurrentTransaction</x:v>
      </x:c>
    </x:row>
    <x:row r="86" ht="34" customHeight="1">
      <x:c r="A86" s="117" t="str">
        <x:v>Calibration_due_soon_30_days_3</x:v>
      </x:c>
      <x:c r="B86" s="117" t="str">
        <x:v>Yes</x:v>
      </x:c>
      <x:c r="C86" s="119" t="str">
        <x:v>Active v1 (Retrieved XML)</x:v>
      </x:c>
      <x:c r="D86" s="117" t="str">
        <x:v>Built-in Action</x:v>
      </x:c>
      <x:c r="E86" s="117" t="str">
        <x:v>Calibration_due_soon</x:v>
      </x:c>
      <x:c r="F86" s="117" t="str">
        <x:v>Equipment__c.Calibration_due_soon</x:v>
      </x:c>
      <x:c r="G86" s="117" t="str">
        <x:v>Platform</x:v>
      </x:c>
      <x:c r="H86" s="119" t="str">
        <x:v>emailAlert | Equipment__c.Calibration_due_soon | CurrentTransaction</x:v>
      </x:c>
    </x:row>
    <x:row r="87" ht="34" customHeight="1">
      <x:c r="A87" s="117" t="str">
        <x:v>Case_Online_Repair_Evaluation_Tool</x:v>
      </x:c>
      <x:c r="B87" s="117" t="str">
        <x:v>Yes</x:v>
      </x:c>
      <x:c r="C87" s="119" t="str">
        <x:v>Active v13 (Retrieved XML)</x:v>
      </x:c>
      <x:c r="D87" s="117" t="str">
        <x:v>Apex Action</x:v>
      </x:c>
      <x:c r="E87" s="117" t="str">
        <x:v>Email_Quote_PDF</x:v>
      </x:c>
      <x:c r="F87" s="117" t="str">
        <x:v>invocableEmailAttachmentRepairQuote</x:v>
      </x:c>
      <x:c r="G87" s="117" t="str">
        <x:v>Review</x:v>
      </x:c>
      <x:c r="H87" s="119" t="str">
        <x:v>apex | Email Quote PDF | CurrentTransaction</x:v>
      </x:c>
    </x:row>
    <x:row r="88" ht="34" customHeight="1">
      <x:c r="A88" s="117" t="str">
        <x:v>Case_Online_Repair_Evaluation_Tool</x:v>
      </x:c>
      <x:c r="B88" s="117" t="str">
        <x:v>Yes</x:v>
      </x:c>
      <x:c r="C88" s="119" t="str">
        <x:v>Active v13 (Retrieved XML)</x:v>
      </x:c>
      <x:c r="D88" s="117" t="str">
        <x:v>Apex Action</x:v>
      </x:c>
      <x:c r="E88" s="117" t="str">
        <x:v>Email_with_Quote_UK</x:v>
      </x:c>
      <x:c r="F88" s="117" t="str">
        <x:v>invocableEmailAttachmentRepairQuoteUK</x:v>
      </x:c>
      <x:c r="G88" s="117" t="str">
        <x:v>Review</x:v>
      </x:c>
      <x:c r="H88" s="119" t="str">
        <x:v>apex | Email with Quote - UK | CurrentTransaction</x:v>
      </x:c>
    </x:row>
    <x:row r="89" ht="34" customHeight="1">
      <x:c r="A89" s="117" t="str">
        <x:v>Case_PB</x:v>
      </x:c>
      <x:c r="B89" s="117" t="str">
        <x:v>Yes</x:v>
      </x:c>
      <x:c r="C89" s="119" t="str">
        <x:v>Active v23 (Retrieved XML)</x:v>
      </x:c>
      <x:c r="D89" s="117" t="str">
        <x:v>Built-in Action</x:v>
      </x:c>
      <x:c r="E89" s="117" t="str">
        <x:v>myRule_7_A2</x:v>
      </x:c>
      <x:c r="F89" s="117" t="str">
        <x:v>Case.Case_claimed_auto_response_email</x:v>
      </x:c>
      <x:c r="G89" s="117" t="str">
        <x:v>Platform</x:v>
      </x:c>
      <x:c r="H89" s="119" t="str">
        <x:v>emailAlert | Email update that case is claimed | CurrentTransaction</x:v>
      </x:c>
    </x:row>
    <x:row r="90" ht="34" customHeight="1">
      <x:c r="A90" s="117" t="str">
        <x:v>Case_PB</x:v>
      </x:c>
      <x:c r="B90" s="117" t="str">
        <x:v>Yes</x:v>
      </x:c>
      <x:c r="C90" s="119" t="str">
        <x:v>Active v23 (Retrieved XML)</x:v>
      </x:c>
      <x:c r="D90" s="117" t="str">
        <x:v>Built-in Action</x:v>
      </x:c>
      <x:c r="E90" s="117" t="str">
        <x:v>myRule_9_A1</x:v>
      </x:c>
      <x:c r="F90" s="117" t="str">
        <x:v>Case.Send_quote_for_online_repair_tool_0</x:v>
      </x:c>
      <x:c r="G90" s="117" t="str">
        <x:v>Platform</x:v>
      </x:c>
      <x:c r="H90" s="119" t="str">
        <x:v>emailAlert | Email customer about exchange | CurrentTransaction</x:v>
      </x:c>
    </x:row>
    <x:row r="91" ht="34" customHeight="1">
      <x:c r="A91" s="117" t="str">
        <x:v>Case_PB</x:v>
      </x:c>
      <x:c r="B91" s="117" t="str">
        <x:v>Yes</x:v>
      </x:c>
      <x:c r="C91" s="119" t="str">
        <x:v>Active v23 (Retrieved XML)</x:v>
      </x:c>
      <x:c r="D91" s="117" t="str">
        <x:v>Built-in Action</x:v>
      </x:c>
      <x:c r="E91" s="117" t="str">
        <x:v>myRule_11_A1</x:v>
      </x:c>
      <x:c r="F91" s="117" t="str">
        <x:v>Case.Send_quote_for_online_repair_tool_0_UK</x:v>
      </x:c>
      <x:c r="G91" s="117" t="str">
        <x:v>Platform</x:v>
      </x:c>
      <x:c r="H91" s="119" t="str">
        <x:v>emailAlert | Email customer - UK | CurrentTransaction</x:v>
      </x:c>
    </x:row>
    <x:row r="92" ht="34" customHeight="1">
      <x:c r="A92" s="117" t="str">
        <x:v>Case_PB</x:v>
      </x:c>
      <x:c r="B92" s="117" t="str">
        <x:v>Yes</x:v>
      </x:c>
      <x:c r="C92" s="119" t="str">
        <x:v>Active v23 (Retrieved XML)</x:v>
      </x:c>
      <x:c r="D92" s="117" t="str">
        <x:v>Built-in Action</x:v>
      </x:c>
      <x:c r="E92" s="117" t="str">
        <x:v>myRule_1_A2</x:v>
      </x:c>
      <x:c r="F92" s="117" t="str">
        <x:v>customNotificationAction</x:v>
      </x:c>
      <x:c r="G92" s="117" t="str">
        <x:v>Platform</x:v>
      </x:c>
      <x:c r="H92" s="119" t="str">
        <x:v>customNotificationAction | Notify sales request queue | CurrentTransaction</x:v>
      </x:c>
    </x:row>
    <x:row r="93" ht="34" customHeight="1">
      <x:c r="A93" s="117" t="str">
        <x:v>Case_PB</x:v>
      </x:c>
      <x:c r="B93" s="117" t="str">
        <x:v>Yes</x:v>
      </x:c>
      <x:c r="C93" s="119" t="str">
        <x:v>Active v23 (Retrieved XML)</x:v>
      </x:c>
      <x:c r="D93" s="117" t="str">
        <x:v>Built-in Action</x:v>
      </x:c>
      <x:c r="E93" s="117" t="str">
        <x:v>myRule_3_A2</x:v>
      </x:c>
      <x:c r="F93" s="117" t="str">
        <x:v>customNotificationAction</x:v>
      </x:c>
      <x:c r="G93" s="117" t="str">
        <x:v>Platform</x:v>
      </x:c>
      <x:c r="H93" s="119" t="str">
        <x:v>customNotificationAction | Notify FSE requests | CurrentTransaction</x:v>
      </x:c>
    </x:row>
    <x:row r="94" ht="34" customHeight="1">
      <x:c r="A94" s="117" t="str">
        <x:v>Case_PB</x:v>
      </x:c>
      <x:c r="B94" s="117" t="str">
        <x:v>Yes</x:v>
      </x:c>
      <x:c r="C94" s="119" t="str">
        <x:v>Active v23 (Retrieved XML)</x:v>
      </x:c>
      <x:c r="D94" s="117" t="str">
        <x:v>Built-in Action</x:v>
      </x:c>
      <x:c r="E94" s="117" t="str">
        <x:v>myRule_5_A2</x:v>
      </x:c>
      <x:c r="F94" s="117" t="str">
        <x:v>customNotificationAction</x:v>
      </x:c>
      <x:c r="G94" s="117" t="str">
        <x:v>Platform</x:v>
      </x:c>
      <x:c r="H94" s="119" t="str">
        <x:v>customNotificationAction | Notify Dispatch Requests | CurrentTransaction</x:v>
      </x:c>
    </x:row>
    <x:row r="95" ht="34" customHeight="1">
      <x:c r="A95" s="117" t="str">
        <x:v>Change_Contract_Line_Item_Product_UK</x:v>
      </x:c>
      <x:c r="B95" s="117" t="str">
        <x:v>Yes</x:v>
      </x:c>
      <x:c r="C95" s="119" t="str">
        <x:v>Active v9 (Retrieved XML)</x:v>
      </x:c>
      <x:c r="D95" s="117" t="str">
        <x:v>Screen Component</x:v>
      </x:c>
      <x:c r="E95" s="117" t="str">
        <x:v>Screen</x:v>
      </x:c>
      <x:c r="F95" s="117" t="str">
        <x:v>flowruntime:lookup</x:v>
      </x:c>
      <x:c r="G95" s="117" t="str">
        <x:v>Review</x:v>
      </x:c>
      <x:c r="H95" s="119" t="str">
        <x:v>LWC or Aura extension</x:v>
      </x:c>
    </x:row>
    <x:row r="96" ht="34" customHeight="1">
      <x:c r="A96" s="117" t="str">
        <x:v>Change_Request_Screen_Flow_Request_New_Document</x:v>
      </x:c>
      <x:c r="B96" s="117" t="str">
        <x:v>Yes</x:v>
      </x:c>
      <x:c r="C96" s="119" t="str">
        <x:v>Active v2 (Retrieved XML)</x:v>
      </x:c>
      <x:c r="D96" s="117" t="str">
        <x:v>Screen Component</x:v>
      </x:c>
      <x:c r="E96" s="117" t="str">
        <x:v>Screen</x:v>
      </x:c>
      <x:c r="F96" s="117" t="str">
        <x:v>flowruntime:lookup</x:v>
      </x:c>
      <x:c r="G96" s="117" t="str">
        <x:v>Review</x:v>
      </x:c>
      <x:c r="H96" s="119" t="str">
        <x:v>LWC or Aura extension</x:v>
      </x:c>
    </x:row>
    <x:row r="97" ht="34" customHeight="1">
      <x:c r="A97" s="117" t="str">
        <x:v>Cold_Storage_Rig_In_Screen_Flow</x:v>
      </x:c>
      <x:c r="B97" s="117" t="str">
        <x:v>Yes</x:v>
      </x:c>
      <x:c r="C97" s="119" t="str">
        <x:v>Active v3 (Retrieved XML)</x:v>
      </x:c>
      <x:c r="D97" s="117" t="str">
        <x:v>Built-in Action</x:v>
      </x:c>
      <x:c r="E97" s="117" t="str">
        <x:v>SendEmail</x:v>
      </x:c>
      <x:c r="F97" s="117" t="str">
        <x:v>emailSimple</x:v>
      </x:c>
      <x:c r="G97" s="117" t="str">
        <x:v>Platform</x:v>
      </x:c>
      <x:c r="H97" s="119" t="str">
        <x:v>emailSimple | SendEmail | CurrentTransaction</x:v>
      </x:c>
    </x:row>
    <x:row r="98" ht="34" customHeight="1">
      <x:c r="A98" s="117" t="str">
        <x:v>Cold_Storage_Rig_Out_Screen_Flow</x:v>
      </x:c>
      <x:c r="B98" s="117" t="str">
        <x:v>Yes</x:v>
      </x:c>
      <x:c r="C98" s="119" t="str">
        <x:v>Active v9 (Retrieved XML)</x:v>
      </x:c>
      <x:c r="D98" s="117" t="str">
        <x:v>Built-in Action</x:v>
      </x:c>
      <x:c r="E98" s="117" t="str">
        <x:v>SendEmail</x:v>
      </x:c>
      <x:c r="F98" s="117" t="str">
        <x:v>emailSimple</x:v>
      </x:c>
      <x:c r="G98" s="117" t="str">
        <x:v>Platform</x:v>
      </x:c>
      <x:c r="H98" s="119" t="str">
        <x:v>emailSimple | SendEmail | CurrentTransaction</x:v>
      </x:c>
    </x:row>
    <x:row r="99" ht="34" customHeight="1">
      <x:c r="A99" s="117" t="str">
        <x:v>Contact_New_Form_Submission</x:v>
      </x:c>
      <x:c r="B99" s="117" t="str">
        <x:v>No</x:v>
      </x:c>
      <x:c r="C99" s="119" t="str">
        <x:v>Latest inactive v6 (Retrieved XML)</x:v>
      </x:c>
      <x:c r="D99" s="117" t="str">
        <x:v>Built-in Action</x:v>
      </x:c>
      <x:c r="E99" s="117" t="str">
        <x:v>Email_Fail_No_Campaign_Found</x:v>
      </x:c>
      <x:c r="F99" s="117" t="str">
        <x:v>emailSimple</x:v>
      </x:c>
      <x:c r="G99" s="117" t="str">
        <x:v>Platform</x:v>
      </x:c>
      <x:c r="H99" s="119" t="str">
        <x:v>emailSimple | Email Fail - No Campaign Found | CurrentTransaction</x:v>
      </x:c>
    </x:row>
    <x:row r="100" ht="34" customHeight="1">
      <x:c r="A100" s="117" t="str">
        <x:v>Contact_New_Form_Submission</x:v>
      </x:c>
      <x:c r="B100" s="117" t="str">
        <x:v>No</x:v>
      </x:c>
      <x:c r="C100" s="119" t="str">
        <x:v>Latest inactive v6 (Retrieved XML)</x:v>
      </x:c>
      <x:c r="D100" s="117" t="str">
        <x:v>Built-in Action</x:v>
      </x:c>
      <x:c r="E100" s="117" t="str">
        <x:v>Final_Success_Email</x:v>
      </x:c>
      <x:c r="F100" s="117" t="str">
        <x:v>emailSimple</x:v>
      </x:c>
      <x:c r="G100" s="117" t="str">
        <x:v>Platform</x:v>
      </x:c>
      <x:c r="H100" s="119" t="str">
        <x:v>emailSimple | Final Success Email | CurrentTransaction</x:v>
      </x:c>
    </x:row>
    <x:row r="101" ht="34" customHeight="1">
      <x:c r="A101" s="117" t="str">
        <x:v>Contract_Line_Item_Calculate_Running_Coverage_Duration_Business_Hours</x:v>
      </x:c>
      <x:c r="B101" s="117" t="str">
        <x:v>No</x:v>
      </x:c>
      <x:c r="C101" s="119" t="str">
        <x:v>Latest inactive v1 (Retrieved XML)</x:v>
      </x:c>
      <x:c r="D101" s="117" t="str">
        <x:v>Apex Action</x:v>
      </x:c>
      <x:c r="E101" s="117" t="str">
        <x:v>Calculate_Running_Coverage_Duration_Business_Hours</x:v>
      </x:c>
      <x:c r="F101" s="117" t="str">
        <x:v>BusinessHoursDiffService</x:v>
      </x:c>
      <x:c r="G101" s="117" t="str">
        <x:v>Review</x:v>
      </x:c>
      <x:c r="H101" s="119" t="str">
        <x:v>apex | Calculate Running Coverage Duration (Business Hours) | Automatic</x:v>
      </x:c>
    </x:row>
    <x:row r="102" ht="34" customHeight="1">
      <x:c r="A102" s="117" t="str">
        <x:v>Contract_Line_Item_Cancel_Work_Orders_on_Decommissioning</x:v>
      </x:c>
      <x:c r="B102" s="117" t="str">
        <x:v>Yes</x:v>
      </x:c>
      <x:c r="C102" s="119" t="str">
        <x:v>Active v6 (Retrieved XML)</x:v>
      </x:c>
      <x:c r="D102" s="117" t="str">
        <x:v>Built-in Action</x:v>
      </x:c>
      <x:c r="E102" s="117" t="str">
        <x:v>Email_Service_Coordination_Team_With_Canceled_Work_Orders</x:v>
      </x:c>
      <x:c r="F102" s="117" t="str">
        <x:v>emailSimple</x:v>
      </x:c>
      <x:c r="G102" s="117" t="str">
        <x:v>Platform</x:v>
      </x:c>
      <x:c r="H102" s="119" t="str">
        <x:v>emailSimple | Email Service Coordination Team With Canceled Work Orders | CurrentTransaction</x:v>
      </x:c>
    </x:row>
    <x:row r="103" ht="34" customHeight="1">
      <x:c r="A103" s="117" t="str">
        <x:v>Contract_Line_Item_Edit_Multiple_Work_Orders_Screen_Flow</x:v>
      </x:c>
      <x:c r="B103" s="117" t="str">
        <x:v>Yes</x:v>
      </x:c>
      <x:c r="C103" s="119" t="str">
        <x:v>Active v2 (Retrieved XML)</x:v>
      </x:c>
      <x:c r="D103" s="117" t="str">
        <x:v>Screen Component</x:v>
      </x:c>
      <x:c r="E103" s="117" t="str">
        <x:v>Screen</x:v>
      </x:c>
      <x:c r="F103" s="117" t="str">
        <x:v>c:datatable</x:v>
      </x:c>
      <x:c r="G103" s="117" t="str">
        <x:v>Review</x:v>
      </x:c>
      <x:c r="H103" s="119" t="str">
        <x:v>LWC or Aura extension</x:v>
      </x:c>
    </x:row>
    <x:row r="104" ht="34" customHeight="1">
      <x:c r="A104" s="117" t="str">
        <x:v>Convert_PRR_to_Purchasing_Opportunity_Screen_Flow</x:v>
      </x:c>
      <x:c r="B104" s="117" t="str">
        <x:v>Yes</x:v>
      </x:c>
      <x:c r="C104" s="119" t="str">
        <x:v>Active v15 (Retrieved XML)</x:v>
      </x:c>
      <x:c r="D104" s="117" t="str">
        <x:v>Screen Component</x:v>
      </x:c>
      <x:c r="E104" s="117" t="str">
        <x:v>Screen</x:v>
      </x:c>
      <x:c r="F104" s="117" t="str">
        <x:v>flowruntime:image</x:v>
      </x:c>
      <x:c r="G104" s="117" t="str">
        <x:v>Review</x:v>
      </x:c>
      <x:c r="H104" s="119" t="str">
        <x:v>LWC or Aura extension</x:v>
      </x:c>
    </x:row>
    <x:row r="105" ht="34" customHeight="1">
      <x:c r="A105" s="117" t="str">
        <x:v>Convert_PRR_to_Purchasing_Opportunity_Screen_Flow</x:v>
      </x:c>
      <x:c r="B105" s="117" t="str">
        <x:v>Yes</x:v>
      </x:c>
      <x:c r="C105" s="119" t="str">
        <x:v>Active v15 (Retrieved XML)</x:v>
      </x:c>
      <x:c r="D105" s="117" t="str">
        <x:v>Screen Component</x:v>
      </x:c>
      <x:c r="E105" s="117" t="str">
        <x:v>Screen</x:v>
      </x:c>
      <x:c r="F105" s="117" t="str">
        <x:v>flowruntime:lookup</x:v>
      </x:c>
      <x:c r="G105" s="117" t="str">
        <x:v>Review</x:v>
      </x:c>
      <x:c r="H105" s="119" t="str">
        <x:v>LWC or Aura extension</x:v>
      </x:c>
    </x:row>
    <x:row r="106" ht="34" customHeight="1">
      <x:c r="A106" s="117" t="str">
        <x:v>Create_contract_line_items_and_entitlements</x:v>
      </x:c>
      <x:c r="B106" s="117" t="str">
        <x:v>Yes</x:v>
      </x:c>
      <x:c r="C106" s="119" t="str">
        <x:v>Active v11 (Retrieved XML)</x:v>
      </x:c>
      <x:c r="D106" s="117" t="str">
        <x:v>Screen Component</x:v>
      </x:c>
      <x:c r="E106" s="117" t="str">
        <x:v>Screen</x:v>
      </x:c>
      <x:c r="F106" s="117" t="str">
        <x:v>flowruntime:lookup</x:v>
      </x:c>
      <x:c r="G106" s="117" t="str">
        <x:v>Review</x:v>
      </x:c>
      <x:c r="H106" s="119" t="str">
        <x:v>LWC or Aura extension</x:v>
      </x:c>
    </x:row>
    <x:row r="107" ht="34" customHeight="1">
      <x:c r="A107" s="117" t="str">
        <x:v>Create_Contract_Line_Items_Entitlements_and_Work_Orders</x:v>
      </x:c>
      <x:c r="B107" s="117" t="str">
        <x:v>No</x:v>
      </x:c>
      <x:c r="C107" s="119" t="str">
        <x:v>Latest inactive v3 (Retrieved XML)</x:v>
      </x:c>
      <x:c r="D107" s="117" t="str">
        <x:v>Screen Component</x:v>
      </x:c>
      <x:c r="E107" s="117" t="str">
        <x:v>Screen</x:v>
      </x:c>
      <x:c r="F107" s="117" t="str">
        <x:v>flowruntime:lookup</x:v>
      </x:c>
      <x:c r="G107" s="117" t="str">
        <x:v>Review</x:v>
      </x:c>
      <x:c r="H107" s="119" t="str">
        <x:v>LWC or Aura extension</x:v>
      </x:c>
    </x:row>
    <x:row r="108" ht="34" customHeight="1">
      <x:c r="A108" s="117" t="str">
        <x:v>Create_Contract_Line_Items_Entitlements_and_Work_Orders_V4</x:v>
      </x:c>
      <x:c r="B108" s="117" t="str">
        <x:v>Yes</x:v>
      </x:c>
      <x:c r="C108" s="119" t="str">
        <x:v>Active v17 (Tooling metadata)</x:v>
      </x:c>
      <x:c r="D108" s="117" t="str">
        <x:v>Screen Component</x:v>
      </x:c>
      <x:c r="E108" s="117" t="str">
        <x:v>Screen</x:v>
      </x:c>
      <x:c r="F108" s="117" t="str">
        <x:v>flowruntime:lookup</x:v>
      </x:c>
      <x:c r="G108" s="117" t="str">
        <x:v>Review</x:v>
      </x:c>
      <x:c r="H108" s="119" t="str">
        <x:v>LWC or Aura extension</x:v>
      </x:c>
    </x:row>
    <x:row r="109" ht="34" customHeight="1">
      <x:c r="A109" s="117" t="str">
        <x:v>Create_External_Repair_Testing_Opp_from_PO</x:v>
      </x:c>
      <x:c r="B109" s="117" t="str">
        <x:v>Yes</x:v>
      </x:c>
      <x:c r="C109" s="119" t="str">
        <x:v>Active v7 (Retrieved XML)</x:v>
      </x:c>
      <x:c r="D109" s="117" t="str">
        <x:v>Screen Component</x:v>
      </x:c>
      <x:c r="E109" s="117" t="str">
        <x:v>Screen</x:v>
      </x:c>
      <x:c r="F109" s="117" t="str">
        <x:v>flowruntime:image</x:v>
      </x:c>
      <x:c r="G109" s="117" t="str">
        <x:v>Review</x:v>
      </x:c>
      <x:c r="H109" s="119" t="str">
        <x:v>LWC or Aura extension</x:v>
      </x:c>
    </x:row>
    <x:row r="110" ht="34" customHeight="1">
      <x:c r="A110" s="117" t="str">
        <x:v>Create_Field_Service_Work_Order_in_Salesforce</x:v>
      </x:c>
      <x:c r="B110" s="117" t="str">
        <x:v>Yes</x:v>
      </x:c>
      <x:c r="C110" s="119" t="str">
        <x:v>Active v9 (Retrieved XML)</x:v>
      </x:c>
      <x:c r="D110" s="117" t="str">
        <x:v>Built-in Action</x:v>
      </x:c>
      <x:c r="E110" s="117" t="str">
        <x:v>Post_Chatter_Single_Engineer</x:v>
      </x:c>
      <x:c r="F110" s="117" t="str">
        <x:v>chatterPost</x:v>
      </x:c>
      <x:c r="G110" s="117" t="str">
        <x:v>Platform</x:v>
      </x:c>
      <x:c r="H110" s="119" t="str">
        <x:v>chatterPost | Post Chatter - Single Engineer | CurrentTransaction</x:v>
      </x:c>
    </x:row>
    <x:row r="111" ht="34" customHeight="1">
      <x:c r="A111" s="117" t="str">
        <x:v>Create_Field_Service_Work_Order_in_Salesforce</x:v>
      </x:c>
      <x:c r="B111" s="117" t="str">
        <x:v>Yes</x:v>
      </x:c>
      <x:c r="C111" s="119" t="str">
        <x:v>Active v9 (Retrieved XML)</x:v>
      </x:c>
      <x:c r="D111" s="117" t="str">
        <x:v>Built-in Action</x:v>
      </x:c>
      <x:c r="E111" s="117" t="str">
        <x:v>Post_Chatter_to_Each_Crew_Member</x:v>
      </x:c>
      <x:c r="F111" s="117" t="str">
        <x:v>chatterPost</x:v>
      </x:c>
      <x:c r="G111" s="117" t="str">
        <x:v>Platform</x:v>
      </x:c>
      <x:c r="H111" s="119" t="str">
        <x:v>chatterPost | Post Chatter to Each Crew Member | CurrentTransaction</x:v>
      </x:c>
    </x:row>
    <x:row r="112" ht="34" customHeight="1">
      <x:c r="A112" s="117" t="str">
        <x:v>Create_Field_Service_Work_Order_in_Salesforce</x:v>
      </x:c>
      <x:c r="B112" s="117" t="str">
        <x:v>Yes</x:v>
      </x:c>
      <x:c r="C112" s="119" t="str">
        <x:v>Active v9 (Retrieved XML)</x:v>
      </x:c>
      <x:c r="D112" s="117" t="str">
        <x:v>Screen Component</x:v>
      </x:c>
      <x:c r="E112" s="117" t="str">
        <x:v>Screen</x:v>
      </x:c>
      <x:c r="F112" s="117" t="str">
        <x:v>flowruntime:lookup</x:v>
      </x:c>
      <x:c r="G112" s="117" t="str">
        <x:v>Review</x:v>
      </x:c>
      <x:c r="H112" s="119" t="str">
        <x:v>LWC or Aura extension</x:v>
      </x:c>
    </x:row>
    <x:row r="113" ht="34" customHeight="1">
      <x:c r="A113" s="117" t="str">
        <x:v>Create_Field_Service_Work_Order_in_Salesforce</x:v>
      </x:c>
      <x:c r="B113" s="117" t="str">
        <x:v>Yes</x:v>
      </x:c>
      <x:c r="C113" s="119" t="str">
        <x:v>Active v9 (Retrieved XML)</x:v>
      </x:c>
      <x:c r="D113" s="117" t="str">
        <x:v>Subflow</x:v>
      </x:c>
      <x:c r="E113" s="117" t="str">
        <x:v>Trigger_WOLI_Selection_Subflow</x:v>
      </x:c>
      <x:c r="F113" s="117" t="str">
        <x:v>Work_Order_install_Subflow</x:v>
      </x:c>
      <x:c r="G113" s="117" t="str">
        <x:v>Yes</x:v>
      </x:c>
      <x:c r="H113" s="119" t="str">
        <x:v>Trigger WOLI Selection Subflow</x:v>
      </x:c>
    </x:row>
    <x:row r="114" ht="34" customHeight="1">
      <x:c r="A114" s="117" t="str">
        <x:v>Create_FSL_Work_Order_on_SF_Objects</x:v>
      </x:c>
      <x:c r="B114" s="117" t="str">
        <x:v>Yes</x:v>
      </x:c>
      <x:c r="C114" s="119" t="str">
        <x:v>Active v7 (Retrieved XML)</x:v>
      </x:c>
      <x:c r="D114" s="117" t="str">
        <x:v>Built-in Action</x:v>
      </x:c>
      <x:c r="E114" s="117" t="str">
        <x:v>Notification_to_Crew_of_new_Work_Order</x:v>
      </x:c>
      <x:c r="F114" s="117" t="str">
        <x:v>customNotificationAction</x:v>
      </x:c>
      <x:c r="G114" s="117" t="str">
        <x:v>Platform</x:v>
      </x:c>
      <x:c r="H114" s="119" t="str">
        <x:v>customNotificationAction | Notification to Crew of new Work Order | CurrentTransaction</x:v>
      </x:c>
    </x:row>
    <x:row r="115" ht="34" customHeight="1">
      <x:c r="A115" s="117" t="str">
        <x:v>Create_FSL_Work_Order_on_SF_Objects</x:v>
      </x:c>
      <x:c r="B115" s="117" t="str">
        <x:v>Yes</x:v>
      </x:c>
      <x:c r="C115" s="119" t="str">
        <x:v>Active v7 (Retrieved XML)</x:v>
      </x:c>
      <x:c r="D115" s="117" t="str">
        <x:v>Built-in Action</x:v>
      </x:c>
      <x:c r="E115" s="117" t="str">
        <x:v>Notification_to_FE_of_new_Work_Order</x:v>
      </x:c>
      <x:c r="F115" s="117" t="str">
        <x:v>customNotificationAction</x:v>
      </x:c>
      <x:c r="G115" s="117" t="str">
        <x:v>Platform</x:v>
      </x:c>
      <x:c r="H115" s="119" t="str">
        <x:v>customNotificationAction | Notification to FE of new Work Order | CurrentTransaction</x:v>
      </x:c>
    </x:row>
    <x:row r="116" ht="34" customHeight="1">
      <x:c r="A116" s="117" t="str">
        <x:v>Create_FSL_Work_Order_on_SF_Objects</x:v>
      </x:c>
      <x:c r="B116" s="117" t="str">
        <x:v>Yes</x:v>
      </x:c>
      <x:c r="C116" s="119" t="str">
        <x:v>Active v7 (Retrieved XML)</x:v>
      </x:c>
      <x:c r="D116" s="117" t="str">
        <x:v>Screen Component</x:v>
      </x:c>
      <x:c r="E116" s="117" t="str">
        <x:v>Screen</x:v>
      </x:c>
      <x:c r="F116" s="117" t="str">
        <x:v>flowruntime:address</x:v>
      </x:c>
      <x:c r="G116" s="117" t="str">
        <x:v>Review</x:v>
      </x:c>
      <x:c r="H116" s="119" t="str">
        <x:v>LWC or Aura extension</x:v>
      </x:c>
    </x:row>
    <x:row r="117" ht="34" customHeight="1">
      <x:c r="A117" s="117" t="str">
        <x:v>Create_FSL_Work_Order_on_SF_Objects</x:v>
      </x:c>
      <x:c r="B117" s="117" t="str">
        <x:v>Yes</x:v>
      </x:c>
      <x:c r="C117" s="119" t="str">
        <x:v>Active v7 (Retrieved XML)</x:v>
      </x:c>
      <x:c r="D117" s="117" t="str">
        <x:v>Screen Component</x:v>
      </x:c>
      <x:c r="E117" s="117" t="str">
        <x:v>Screen</x:v>
      </x:c>
      <x:c r="F117" s="117" t="str">
        <x:v>flowruntime:datatable</x:v>
      </x:c>
      <x:c r="G117" s="117" t="str">
        <x:v>Review</x:v>
      </x:c>
      <x:c r="H117" s="119" t="str">
        <x:v>LWC or Aura extension</x:v>
      </x:c>
    </x:row>
    <x:row r="118" ht="34" customHeight="1">
      <x:c r="A118" s="117" t="str">
        <x:v>Create_FSL_Work_Order_on_SF_Objects</x:v>
      </x:c>
      <x:c r="B118" s="117" t="str">
        <x:v>Yes</x:v>
      </x:c>
      <x:c r="C118" s="119" t="str">
        <x:v>Active v7 (Retrieved XML)</x:v>
      </x:c>
      <x:c r="D118" s="117" t="str">
        <x:v>Screen Component</x:v>
      </x:c>
      <x:c r="E118" s="117" t="str">
        <x:v>Screen</x:v>
      </x:c>
      <x:c r="F118" s="117" t="str">
        <x:v>flowruntime:lookup</x:v>
      </x:c>
      <x:c r="G118" s="117" t="str">
        <x:v>Review</x:v>
      </x:c>
      <x:c r="H118" s="119" t="str">
        <x:v>LWC or Aura extension</x:v>
      </x:c>
    </x:row>
    <x:row r="119" ht="34" customHeight="1">
      <x:c r="A119" s="117" t="str">
        <x:v>Create_IR_from_Opp</x:v>
      </x:c>
      <x:c r="B119" s="117" t="str">
        <x:v>Yes</x:v>
      </x:c>
      <x:c r="C119" s="119" t="str">
        <x:v>Active v6 (Tooling metadata)</x:v>
      </x:c>
      <x:c r="D119" s="117" t="str">
        <x:v>Apex Action</x:v>
      </x:c>
      <x:c r="E119" s="117" t="str">
        <x:v>Update_Product_Item_Costs_Action_1</x:v>
      </x:c>
      <x:c r="F119" s="117" t="str">
        <x:v>UpdateProductItemCosts</x:v>
      </x:c>
      <x:c r="G119" s="117" t="str">
        <x:v>Review</x:v>
      </x:c>
      <x:c r="H119" s="119" t="str">
        <x:v>apex | Update Product Item Costs Action 1 | Automatic</x:v>
      </x:c>
    </x:row>
    <x:row r="120" ht="34" customHeight="1">
      <x:c r="A120" s="117" t="str">
        <x:v>Create_IR_from_Opp</x:v>
      </x:c>
      <x:c r="B120" s="117" t="str">
        <x:v>Yes</x:v>
      </x:c>
      <x:c r="C120" s="119" t="str">
        <x:v>Active v6 (Tooling metadata)</x:v>
      </x:c>
      <x:c r="D120" s="117" t="str">
        <x:v>Built-in Action</x:v>
      </x:c>
      <x:c r="E120" s="117" t="str">
        <x:v>Send_Accounting_Alert_Email</x:v>
      </x:c>
      <x:c r="F120" s="117" t="str">
        <x:v>emailSimple</x:v>
      </x:c>
      <x:c r="G120" s="117" t="str">
        <x:v>Platform</x:v>
      </x:c>
      <x:c r="H120" s="119" t="str">
        <x:v>emailSimple | Send Accounting Alert Email | CurrentTransaction</x:v>
      </x:c>
    </x:row>
    <x:row r="121" ht="34" customHeight="1">
      <x:c r="A121" s="117" t="str">
        <x:v>Create_IR_from_Opp</x:v>
      </x:c>
      <x:c r="B121" s="117" t="str">
        <x:v>Yes</x:v>
      </x:c>
      <x:c r="C121" s="119" t="str">
        <x:v>Active v6 (Tooling metadata)</x:v>
      </x:c>
      <x:c r="D121" s="117" t="str">
        <x:v>Screen Component</x:v>
      </x:c>
      <x:c r="E121" s="117" t="str">
        <x:v>Screen</x:v>
      </x:c>
      <x:c r="F121" s="117" t="str">
        <x:v>c:datatable</x:v>
      </x:c>
      <x:c r="G121" s="117" t="str">
        <x:v>Review</x:v>
      </x:c>
      <x:c r="H121" s="119" t="str">
        <x:v>LWC or Aura extension</x:v>
      </x:c>
    </x:row>
    <x:row r="122" ht="34" customHeight="1">
      <x:c r="A122" s="117" t="str">
        <x:v>Create_IR_from_Opp</x:v>
      </x:c>
      <x:c r="B122" s="117" t="str">
        <x:v>Yes</x:v>
      </x:c>
      <x:c r="C122" s="119" t="str">
        <x:v>Active v6 (Tooling metadata)</x:v>
      </x:c>
      <x:c r="D122" s="117" t="str">
        <x:v>Subflow</x:v>
      </x:c>
      <x:c r="E122" s="117" t="str">
        <x:v>Select_Assets_Screen</x:v>
      </x:c>
      <x:c r="F122" s="117" t="str">
        <x:v>Screen_Flow_Select_IR_Assets</x:v>
      </x:c>
      <x:c r="G122" s="117" t="str">
        <x:v>Yes</x:v>
      </x:c>
      <x:c r="H122" s="119" t="str">
        <x:v>Select Assets Screen</x:v>
      </x:c>
    </x:row>
    <x:row r="123" ht="34" customHeight="1">
      <x:c r="A123" s="117" t="str">
        <x:v>Create_Item_Receipt_from_Opp</x:v>
      </x:c>
      <x:c r="B123" s="117" t="str">
        <x:v>No</x:v>
      </x:c>
      <x:c r="C123" s="119" t="str">
        <x:v>Latest inactive v50 (Retrieved XML)</x:v>
      </x:c>
      <x:c r="D123" s="117" t="str">
        <x:v>Apex Action</x:v>
      </x:c>
      <x:c r="E123" s="117" t="str">
        <x:v>Update_Product_Item_Costs_Action_1</x:v>
      </x:c>
      <x:c r="F123" s="117" t="str">
        <x:v>UpdateProductItemCosts</x:v>
      </x:c>
      <x:c r="G123" s="117" t="str">
        <x:v>Review</x:v>
      </x:c>
      <x:c r="H123" s="119" t="str">
        <x:v>apex | Update Product Item Costs Action 1 | Automatic</x:v>
      </x:c>
    </x:row>
    <x:row r="124" ht="34" customHeight="1">
      <x:c r="A124" s="117" t="str">
        <x:v>Create_Item_Receipt_from_Opp</x:v>
      </x:c>
      <x:c r="B124" s="117" t="str">
        <x:v>No</x:v>
      </x:c>
      <x:c r="C124" s="119" t="str">
        <x:v>Latest inactive v50 (Retrieved XML)</x:v>
      </x:c>
      <x:c r="D124" s="117" t="str">
        <x:v>Built-in Action</x:v>
      </x:c>
      <x:c r="E124" s="117" t="str">
        <x:v>Send_Accounting_Alert_Email</x:v>
      </x:c>
      <x:c r="F124" s="117" t="str">
        <x:v>emailSimple</x:v>
      </x:c>
      <x:c r="G124" s="117" t="str">
        <x:v>Platform</x:v>
      </x:c>
      <x:c r="H124" s="119" t="str">
        <x:v>emailSimple | Send Accounting Alert Email | CurrentTransaction</x:v>
      </x:c>
    </x:row>
    <x:row r="125" ht="34" customHeight="1">
      <x:c r="A125" s="117" t="str">
        <x:v>Create_Item_Receipt_from_Opp</x:v>
      </x:c>
      <x:c r="B125" s="117" t="str">
        <x:v>No</x:v>
      </x:c>
      <x:c r="C125" s="119" t="str">
        <x:v>Latest inactive v50 (Retrieved XML)</x:v>
      </x:c>
      <x:c r="D125" s="117" t="str">
        <x:v>Screen Component</x:v>
      </x:c>
      <x:c r="E125" s="117" t="str">
        <x:v>Screen</x:v>
      </x:c>
      <x:c r="F125" s="117" t="str">
        <x:v>c:datatable</x:v>
      </x:c>
      <x:c r="G125" s="117" t="str">
        <x:v>Review</x:v>
      </x:c>
      <x:c r="H125" s="119" t="str">
        <x:v>LWC or Aura extension</x:v>
      </x:c>
    </x:row>
    <x:row r="126" ht="34" customHeight="1">
      <x:c r="A126" s="117" t="str">
        <x:v>Create_NEW_Lead_from_Existing_Contact</x:v>
      </x:c>
      <x:c r="B126" s="117" t="str">
        <x:v>Yes</x:v>
      </x:c>
      <x:c r="C126" s="119" t="str">
        <x:v>Active v10 (Retrieved XML)</x:v>
      </x:c>
      <x:c r="D126" s="117" t="str">
        <x:v>Screen Component</x:v>
      </x:c>
      <x:c r="E126" s="117" t="str">
        <x:v>Screen</x:v>
      </x:c>
      <x:c r="F126" s="117" t="str">
        <x:v>flowruntime:email</x:v>
      </x:c>
      <x:c r="G126" s="117" t="str">
        <x:v>Review</x:v>
      </x:c>
      <x:c r="H126" s="119" t="str">
        <x:v>LWC or Aura extension</x:v>
      </x:c>
    </x:row>
    <x:row r="127" ht="34" customHeight="1">
      <x:c r="A127" s="117" t="str">
        <x:v>Create_NEW_Lead_from_Existing_Contact</x:v>
      </x:c>
      <x:c r="B127" s="117" t="str">
        <x:v>Yes</x:v>
      </x:c>
      <x:c r="C127" s="119" t="str">
        <x:v>Active v10 (Retrieved XML)</x:v>
      </x:c>
      <x:c r="D127" s="117" t="str">
        <x:v>Screen Component</x:v>
      </x:c>
      <x:c r="E127" s="117" t="str">
        <x:v>Screen</x:v>
      </x:c>
      <x:c r="F127" s="117" t="str">
        <x:v>flowruntime:phone</x:v>
      </x:c>
      <x:c r="G127" s="117" t="str">
        <x:v>Review</x:v>
      </x:c>
      <x:c r="H127" s="119" t="str">
        <x:v>LWC or Aura extension</x:v>
      </x:c>
    </x:row>
    <x:row r="128" ht="34" customHeight="1">
      <x:c r="A128" s="117" t="str">
        <x:v>Create_New_Service_Contract_from_Opp_UK</x:v>
      </x:c>
      <x:c r="B128" s="117" t="str">
        <x:v>Yes</x:v>
      </x:c>
      <x:c r="C128" s="119" t="str">
        <x:v>Active v27 (Retrieved XML)</x:v>
      </x:c>
      <x:c r="D128" s="117" t="str">
        <x:v>Screen Component</x:v>
      </x:c>
      <x:c r="E128" s="117" t="str">
        <x:v>Screen</x:v>
      </x:c>
      <x:c r="F128" s="117" t="str">
        <x:v>flowruntime:lookup</x:v>
      </x:c>
      <x:c r="G128" s="117" t="str">
        <x:v>Review</x:v>
      </x:c>
      <x:c r="H128" s="119" t="str">
        <x:v>LWC or Aura extension</x:v>
      </x:c>
    </x:row>
    <x:row r="129" ht="34" customHeight="1">
      <x:c r="A129" s="117" t="str">
        <x:v>Create_New_Service_Contract_from_Opp_UK</x:v>
      </x:c>
      <x:c r="B129" s="117" t="str">
        <x:v>Yes</x:v>
      </x:c>
      <x:c r="C129" s="119" t="str">
        <x:v>Active v27 (Retrieved XML)</x:v>
      </x:c>
      <x:c r="D129" s="117" t="str">
        <x:v>Screen Component</x:v>
      </x:c>
      <x:c r="E129" s="117" t="str">
        <x:v>Screen</x:v>
      </x:c>
      <x:c r="F129" s="117" t="str">
        <x:v>forceContent:fileUpload</x:v>
      </x:c>
      <x:c r="G129" s="117" t="str">
        <x:v>Review</x:v>
      </x:c>
      <x:c r="H129" s="119" t="str">
        <x:v>LWC or Aura extension</x:v>
      </x:c>
    </x:row>
    <x:row r="130" ht="34" customHeight="1">
      <x:c r="A130" s="117" t="str">
        <x:v>Create_Pricing_Request_from_Work_Order_Opportunity</x:v>
      </x:c>
      <x:c r="B130" s="117" t="str">
        <x:v>Yes</x:v>
      </x:c>
      <x:c r="C130" s="119" t="str">
        <x:v>Active v6 (Retrieved XML)</x:v>
      </x:c>
      <x:c r="D130" s="117" t="str">
        <x:v>Built-in Action</x:v>
      </x:c>
      <x:c r="E130" s="117" t="str">
        <x:v>Send_E_Mail_to_Max_0</x:v>
      </x:c>
      <x:c r="F130" s="117" t="str">
        <x:v>emailSimple</x:v>
      </x:c>
      <x:c r="G130" s="117" t="str">
        <x:v>Platform</x:v>
      </x:c>
      <x:c r="H130" s="119" t="str">
        <x:v>emailSimple | Send E-Mail to Max | CurrentTransaction</x:v>
      </x:c>
    </x:row>
    <x:row r="131" ht="34" customHeight="1">
      <x:c r="A131" s="117" t="str">
        <x:v>Create_Pricing_Request_from_Work_Order_Opportunity</x:v>
      </x:c>
      <x:c r="B131" s="117" t="str">
        <x:v>Yes</x:v>
      </x:c>
      <x:c r="C131" s="119" t="str">
        <x:v>Active v6 (Retrieved XML)</x:v>
      </x:c>
      <x:c r="D131" s="117" t="str">
        <x:v>Built-in Action</x:v>
      </x:c>
      <x:c r="E131" s="117" t="str">
        <x:v>Send_E_Mail_to_Max_0_0</x:v>
      </x:c>
      <x:c r="F131" s="117" t="str">
        <x:v>emailSimple</x:v>
      </x:c>
      <x:c r="G131" s="117" t="str">
        <x:v>Platform</x:v>
      </x:c>
      <x:c r="H131" s="119" t="str">
        <x:v>emailSimple | Send E-Mail to Max | CurrentTransaction</x:v>
      </x:c>
    </x:row>
    <x:row r="132" ht="34" customHeight="1">
      <x:c r="A132" s="117" t="str">
        <x:v>Create_Pricing_Request_from_Work_Order_Opportunity</x:v>
      </x:c>
      <x:c r="B132" s="117" t="str">
        <x:v>Yes</x:v>
      </x:c>
      <x:c r="C132" s="119" t="str">
        <x:v>Active v6 (Retrieved XML)</x:v>
      </x:c>
      <x:c r="D132" s="117" t="str">
        <x:v>Screen Component</x:v>
      </x:c>
      <x:c r="E132" s="117" t="str">
        <x:v>Screen</x:v>
      </x:c>
      <x:c r="F132" s="117" t="str">
        <x:v>flowruntime:lookup</x:v>
      </x:c>
      <x:c r="G132" s="117" t="str">
        <x:v>Review</x:v>
      </x:c>
      <x:c r="H132" s="119" t="str">
        <x:v>LWC or Aura extension</x:v>
      </x:c>
    </x:row>
    <x:row r="133" ht="34" customHeight="1">
      <x:c r="A133" s="117" t="str">
        <x:v>Create_Purchasing_Opp_from_Vendor_Sourcing_Record</x:v>
      </x:c>
      <x:c r="B133" s="117" t="str">
        <x:v>Yes</x:v>
      </x:c>
      <x:c r="C133" s="119" t="str">
        <x:v>Active v3 (Retrieved XML)</x:v>
      </x:c>
      <x:c r="D133" s="117" t="str">
        <x:v>Built-in Action</x:v>
      </x:c>
      <x:c r="E133" s="117" t="str">
        <x:v>Send_Purchasing_Alert</x:v>
      </x:c>
      <x:c r="F133" s="117" t="str">
        <x:v>Opportunity.Purchasing_Opp_Assigned_Alert</x:v>
      </x:c>
      <x:c r="G133" s="117" t="str">
        <x:v>Platform</x:v>
      </x:c>
      <x:c r="H133" s="119" t="str">
        <x:v>emailAlert | Send Purchasing Alert</x:v>
      </x:c>
    </x:row>
    <x:row r="134" ht="34" customHeight="1">
      <x:c r="A134" s="117" t="str">
        <x:v>Create_Return_Op_from_Purchasing_Op</x:v>
      </x:c>
      <x:c r="B134" s="117" t="str">
        <x:v>Yes</x:v>
      </x:c>
      <x:c r="C134" s="119" t="str">
        <x:v>Active v11 (Retrieved XML)</x:v>
      </x:c>
      <x:c r="D134" s="117" t="str">
        <x:v>Screen Component</x:v>
      </x:c>
      <x:c r="E134" s="117" t="str">
        <x:v>Screen</x:v>
      </x:c>
      <x:c r="F134" s="117" t="str">
        <x:v>c:datatable</x:v>
      </x:c>
      <x:c r="G134" s="117" t="str">
        <x:v>Review</x:v>
      </x:c>
      <x:c r="H134" s="119" t="str">
        <x:v>LWC or Aura extension</x:v>
      </x:c>
    </x:row>
    <x:row r="135" ht="34" customHeight="1">
      <x:c r="A135" s="117" t="str">
        <x:v>Create_Return_Op_from_Purchasing_Op</x:v>
      </x:c>
      <x:c r="B135" s="117" t="str">
        <x:v>Yes</x:v>
      </x:c>
      <x:c r="C135" s="119" t="str">
        <x:v>Active v11 (Retrieved XML)</x:v>
      </x:c>
      <x:c r="D135" s="117" t="str">
        <x:v>Screen Component</x:v>
      </x:c>
      <x:c r="E135" s="117" t="str">
        <x:v>Screen</x:v>
      </x:c>
      <x:c r="F135" s="117" t="str">
        <x:v>flowruntime:image</x:v>
      </x:c>
      <x:c r="G135" s="117" t="str">
        <x:v>Review</x:v>
      </x:c>
      <x:c r="H135" s="119" t="str">
        <x:v>LWC or Aura extension</x:v>
      </x:c>
    </x:row>
    <x:row r="136" ht="34" customHeight="1">
      <x:c r="A136" s="117" t="str">
        <x:v>Create_Return_Service_Appointment_Upon_Return_Site_Visit_Required</x:v>
      </x:c>
      <x:c r="B136" s="117" t="str">
        <x:v>Yes</x:v>
      </x:c>
      <x:c r="C136" s="119" t="str">
        <x:v>Active v39 (Retrieved XML)</x:v>
      </x:c>
      <x:c r="D136" s="117" t="str">
        <x:v>Built-in Action</x:v>
      </x:c>
      <x:c r="E136" s="117" t="str">
        <x:v>Send_Missing_WO_Email</x:v>
      </x:c>
      <x:c r="F136" s="117" t="str">
        <x:v>emailSimple</x:v>
      </x:c>
      <x:c r="G136" s="117" t="str">
        <x:v>Platform</x:v>
      </x:c>
      <x:c r="H136" s="119" t="str">
        <x:v>emailSimple | Send Missing WO Email | CurrentTransaction</x:v>
      </x:c>
    </x:row>
    <x:row r="137" ht="34" customHeight="1">
      <x:c r="A137" s="117" t="str">
        <x:v>Create_RMA_From_Customer_Portal</x:v>
      </x:c>
      <x:c r="B137" s="117" t="str">
        <x:v>No</x:v>
      </x:c>
      <x:c r="C137" s="119" t="str">
        <x:v>Latest inactive v1 (Retrieved XML)</x:v>
      </x:c>
      <x:c r="D137" s="117" t="str">
        <x:v>Screen Component</x:v>
      </x:c>
      <x:c r="E137" s="117" t="str">
        <x:v>Screen</x:v>
      </x:c>
      <x:c r="F137" s="117" t="str">
        <x:v>flowruntime:phone</x:v>
      </x:c>
      <x:c r="G137" s="117" t="str">
        <x:v>Review</x:v>
      </x:c>
      <x:c r="H137" s="119" t="str">
        <x:v>LWC or Aura extension</x:v>
      </x:c>
    </x:row>
    <x:row r="138" ht="34" customHeight="1">
      <x:c r="A138" s="117" t="str">
        <x:v>Create_RMA_from_Work_Order</x:v>
      </x:c>
      <x:c r="B138" s="117" t="str">
        <x:v>Yes</x:v>
      </x:c>
      <x:c r="C138" s="119" t="str">
        <x:v>Active v24 (Tooling metadata)</x:v>
      </x:c>
      <x:c r="D138" s="117" t="str">
        <x:v>Screen Component</x:v>
      </x:c>
      <x:c r="E138" s="117" t="str">
        <x:v>Screen</x:v>
      </x:c>
      <x:c r="F138" s="117" t="str">
        <x:v>flowruntime:lookup</x:v>
      </x:c>
      <x:c r="G138" s="117" t="str">
        <x:v>Review</x:v>
      </x:c>
      <x:c r="H138" s="119" t="str">
        <x:v>LWC or Aura extension</x:v>
      </x:c>
    </x:row>
    <x:row r="139" ht="34" customHeight="1">
      <x:c r="A139" s="117" t="str">
        <x:v>Create_Sales_Opportunities_from_Training_Class</x:v>
      </x:c>
      <x:c r="B139" s="117" t="str">
        <x:v>Yes</x:v>
      </x:c>
      <x:c r="C139" s="119" t="str">
        <x:v>Active v12 (Retrieved XML)</x:v>
      </x:c>
      <x:c r="D139" s="117" t="str">
        <x:v>Screen Component</x:v>
      </x:c>
      <x:c r="E139" s="117" t="str">
        <x:v>Screen</x:v>
      </x:c>
      <x:c r="F139" s="117" t="str">
        <x:v>c:datatable</x:v>
      </x:c>
      <x:c r="G139" s="117" t="str">
        <x:v>Review</x:v>
      </x:c>
      <x:c r="H139" s="119" t="str">
        <x:v>LWC or Aura extension</x:v>
      </x:c>
    </x:row>
    <x:row r="140" ht="34" customHeight="1">
      <x:c r="A140" s="117" t="str">
        <x:v>Create_Service_Calendar_Event_from_Work_Order_UK</x:v>
      </x:c>
      <x:c r="B140" s="117" t="str">
        <x:v>Yes</x:v>
      </x:c>
      <x:c r="C140" s="119" t="str">
        <x:v>Active v23 (Tooling metadata)</x:v>
      </x:c>
      <x:c r="D140" s="117" t="str">
        <x:v>Built-in Action</x:v>
      </x:c>
      <x:c r="E140" s="117" t="str">
        <x:v>EngineerAssignedAll</x:v>
      </x:c>
      <x:c r="F140" s="117" t="str">
        <x:v>Event.UK_Engineer_Assigned_ALL</x:v>
      </x:c>
      <x:c r="G140" s="117" t="str">
        <x:v>Platform</x:v>
      </x:c>
      <x:c r="H140" s="119" t="str">
        <x:v>emailAlert | EngineerAssignedAll | CurrentTransaction</x:v>
      </x:c>
    </x:row>
    <x:row r="141" ht="34" customHeight="1">
      <x:c r="A141" s="117" t="str">
        <x:v>Create_Service_Calendar_Event_from_Work_Order_UK</x:v>
      </x:c>
      <x:c r="B141" s="117" t="str">
        <x:v>Yes</x:v>
      </x:c>
      <x:c r="C141" s="119" t="str">
        <x:v>Active v23 (Tooling metadata)</x:v>
      </x:c>
      <x:c r="D141" s="117" t="str">
        <x:v>Built-in Action</x:v>
      </x:c>
      <x:c r="E141" s="117" t="str">
        <x:v>EngineerAssignedUS</x:v>
      </x:c>
      <x:c r="F141" s="117" t="str">
        <x:v>Event.UK_Engineer_Assigned_US</x:v>
      </x:c>
      <x:c r="G141" s="117" t="str">
        <x:v>Platform</x:v>
      </x:c>
      <x:c r="H141" s="119" t="str">
        <x:v>emailAlert | EngineerAssignedUS | CurrentTransaction</x:v>
      </x:c>
    </x:row>
    <x:row r="142" ht="34" customHeight="1">
      <x:c r="A142" s="117" t="str">
        <x:v>Create_Service_Calendar_Event_from_Work_Order_UK</x:v>
      </x:c>
      <x:c r="B142" s="117" t="str">
        <x:v>Yes</x:v>
      </x:c>
      <x:c r="C142" s="119" t="str">
        <x:v>Active v23 (Tooling metadata)</x:v>
      </x:c>
      <x:c r="D142" s="117" t="str">
        <x:v>Built-in Action</x:v>
      </x:c>
      <x:c r="E142" s="117" t="str">
        <x:v>EngineerAssignedXR</x:v>
      </x:c>
      <x:c r="F142" s="117" t="str">
        <x:v>Event.UK_Engineer_Assigned_XRay</x:v>
      </x:c>
      <x:c r="G142" s="117" t="str">
        <x:v>Platform</x:v>
      </x:c>
      <x:c r="H142" s="119" t="str">
        <x:v>emailAlert | EngineerAssignedXR | CurrentTransaction</x:v>
      </x:c>
    </x:row>
    <x:row r="143" ht="34" customHeight="1">
      <x:c r="A143" s="117" t="str">
        <x:v>Create_shipment_from_customer_portal</x:v>
      </x:c>
      <x:c r="B143" s="117" t="str">
        <x:v>Yes</x:v>
      </x:c>
      <x:c r="C143" s="119" t="str">
        <x:v>Active v19 (Retrieved XML)</x:v>
      </x:c>
      <x:c r="D143" s="117" t="str">
        <x:v>Apex Action</x:v>
      </x:c>
      <x:c r="E143" s="117" t="str">
        <x:v>Autocreate_Shipment</x:v>
      </x:c>
      <x:c r="F143" s="117" t="str">
        <x:v>zkmulti__InvocableShipmentCreate</x:v>
      </x:c>
      <x:c r="G143" s="117" t="str">
        <x:v>Review</x:v>
      </x:c>
      <x:c r="H143" s="119" t="str">
        <x:v>apex | Autocreate Shipment | CurrentTransaction</x:v>
      </x:c>
    </x:row>
    <x:row r="144" ht="34" customHeight="1">
      <x:c r="A144" s="117" t="str">
        <x:v>Create_shipment_from_customer_portal</x:v>
      </x:c>
      <x:c r="B144" s="117" t="str">
        <x:v>Yes</x:v>
      </x:c>
      <x:c r="C144" s="119" t="str">
        <x:v>Active v19 (Retrieved XML)</x:v>
      </x:c>
      <x:c r="D144" s="117" t="str">
        <x:v>Apex Action</x:v>
      </x:c>
      <x:c r="E144" s="117" t="str">
        <x:v>Autocreate_Shipment_0</x:v>
      </x:c>
      <x:c r="F144" s="117" t="str">
        <x:v>zkmulti__InvocableShipmentCreate</x:v>
      </x:c>
      <x:c r="G144" s="117" t="str">
        <x:v>Review</x:v>
      </x:c>
      <x:c r="H144" s="119" t="str">
        <x:v>apex | Autocreate Shipment | CurrentTransaction</x:v>
      </x:c>
    </x:row>
    <x:row r="145" ht="34" customHeight="1">
      <x:c r="A145" s="117" t="str">
        <x:v>Create_shipment_from_customer_portal</x:v>
      </x:c>
      <x:c r="B145" s="117" t="str">
        <x:v>Yes</x:v>
      </x:c>
      <x:c r="C145" s="119" t="str">
        <x:v>Active v19 (Retrieved XML)</x:v>
      </x:c>
      <x:c r="D145" s="117" t="str">
        <x:v>Apex Action</x:v>
      </x:c>
      <x:c r="E145" s="117" t="str">
        <x:v>Autocreate_Shipment_0_0</x:v>
      </x:c>
      <x:c r="F145" s="117" t="str">
        <x:v>zkmulti__InvocableShipmentCreate</x:v>
      </x:c>
      <x:c r="G145" s="117" t="str">
        <x:v>Review</x:v>
      </x:c>
      <x:c r="H145" s="119" t="str">
        <x:v>apex | Autocreate Shipment | CurrentTransaction</x:v>
      </x:c>
    </x:row>
    <x:row r="146" ht="34" customHeight="1">
      <x:c r="A146" s="117" t="str">
        <x:v>Create_shipment_from_customer_portal</x:v>
      </x:c>
      <x:c r="B146" s="117" t="str">
        <x:v>Yes</x:v>
      </x:c>
      <x:c r="C146" s="119" t="str">
        <x:v>Active v19 (Retrieved XML)</x:v>
      </x:c>
      <x:c r="D146" s="117" t="str">
        <x:v>Apex Action</x:v>
      </x:c>
      <x:c r="E146" s="117" t="str">
        <x:v>Autocreate_Shipment_0_0_0</x:v>
      </x:c>
      <x:c r="F146" s="117" t="str">
        <x:v>zkmulti__InvocableShipmentCreate</x:v>
      </x:c>
      <x:c r="G146" s="117" t="str">
        <x:v>Review</x:v>
      </x:c>
      <x:c r="H146" s="119" t="str">
        <x:v>apex | Autocreate Shipment | CurrentTransaction</x:v>
      </x:c>
    </x:row>
    <x:row r="147" ht="34" customHeight="1">
      <x:c r="A147" s="117" t="str">
        <x:v>Create_Sourcing_Request_for_Parts_and_Probes</x:v>
      </x:c>
      <x:c r="B147" s="117" t="str">
        <x:v>No</x:v>
      </x:c>
      <x:c r="C147" s="119" t="str">
        <x:v>Latest inactive v1 (Retrieved XML)</x:v>
      </x:c>
      <x:c r="D147" s="117" t="str">
        <x:v>Built-in Action</x:v>
      </x:c>
      <x:c r="E147" s="117" t="str">
        <x:v>Send_Purchasing_Alert</x:v>
      </x:c>
      <x:c r="F147" s="117" t="str">
        <x:v>Opportunity.Purchasing_Opp_Assigned_Alert</x:v>
      </x:c>
      <x:c r="G147" s="117" t="str">
        <x:v>Platform</x:v>
      </x:c>
      <x:c r="H147" s="119" t="str">
        <x:v>emailAlert | Send Purchasing Alert | CurrentTransaction</x:v>
      </x:c>
    </x:row>
    <x:row r="148" ht="34" customHeight="1">
      <x:c r="A148" s="117" t="str">
        <x:v>Create_Support_Engineer_Site_Visit</x:v>
      </x:c>
      <x:c r="B148" s="117" t="str">
        <x:v>Yes</x:v>
      </x:c>
      <x:c r="C148" s="119" t="str">
        <x:v>Active v5 (Retrieved XML)</x:v>
      </x:c>
      <x:c r="D148" s="117" t="str">
        <x:v>Screen Component</x:v>
      </x:c>
      <x:c r="E148" s="117" t="str">
        <x:v>Screen</x:v>
      </x:c>
      <x:c r="F148" s="117" t="str">
        <x:v>flowruntime:lookup</x:v>
      </x:c>
      <x:c r="G148" s="117" t="str">
        <x:v>Review</x:v>
      </x:c>
      <x:c r="H148" s="119" t="str">
        <x:v>LWC or Aura extension</x:v>
      </x:c>
    </x:row>
    <x:row r="149" ht="34" customHeight="1">
      <x:c r="A149" s="117" t="str">
        <x:v>Create_UK_FSL_Work_Order</x:v>
      </x:c>
      <x:c r="B149" s="117" t="str">
        <x:v>Yes</x:v>
      </x:c>
      <x:c r="C149" s="119" t="str">
        <x:v>Active v15 (Retrieved XML)</x:v>
      </x:c>
      <x:c r="D149" s="117" t="str">
        <x:v>Screen Component</x:v>
      </x:c>
      <x:c r="E149" s="117" t="str">
        <x:v>Screen</x:v>
      </x:c>
      <x:c r="F149" s="117" t="str">
        <x:v>flowruntime:lookup</x:v>
      </x:c>
      <x:c r="G149" s="117" t="str">
        <x:v>Review</x:v>
      </x:c>
      <x:c r="H149" s="119" t="str">
        <x:v>LWC or Aura extension</x:v>
      </x:c>
    </x:row>
    <x:row r="150" ht="34" customHeight="1">
      <x:c r="A150" s="117" t="str">
        <x:v>Create_UK_Warehouse_Request_Teams_Case_Screen_Flow</x:v>
      </x:c>
      <x:c r="B150" s="117" t="str">
        <x:v>Yes</x:v>
      </x:c>
      <x:c r="C150" s="119" t="str">
        <x:v>Active v1 (Retrieved XML)</x:v>
      </x:c>
      <x:c r="D150" s="117" t="str">
        <x:v>Screen Component</x:v>
      </x:c>
      <x:c r="E150" s="117" t="str">
        <x:v>Screen</x:v>
      </x:c>
      <x:c r="F150" s="117" t="str">
        <x:v>flowruntime:lookup</x:v>
      </x:c>
      <x:c r="G150" s="117" t="str">
        <x:v>Review</x:v>
      </x:c>
      <x:c r="H150" s="119" t="str">
        <x:v>LWC or Aura extension</x:v>
      </x:c>
    </x:row>
    <x:row r="151" ht="34" customHeight="1">
      <x:c r="A151" s="117" t="str">
        <x:v>Create_US_FSL_Work_Order</x:v>
      </x:c>
      <x:c r="B151" s="117" t="str">
        <x:v>Yes</x:v>
      </x:c>
      <x:c r="C151" s="119" t="str">
        <x:v>Active v1 (Retrieved XML)</x:v>
      </x:c>
      <x:c r="D151" s="117" t="str">
        <x:v>Screen Component</x:v>
      </x:c>
      <x:c r="E151" s="117" t="str">
        <x:v>Screen</x:v>
      </x:c>
      <x:c r="F151" s="117" t="str">
        <x:v>flowruntime:lookup</x:v>
      </x:c>
      <x:c r="G151" s="117" t="str">
        <x:v>Review</x:v>
      </x:c>
      <x:c r="H151" s="119" t="str">
        <x:v>LWC or Aura extension</x:v>
      </x:c>
    </x:row>
    <x:row r="152" ht="34" customHeight="1">
      <x:c r="A152" s="117" t="str">
        <x:v>Create_US_FSL_Work_Order_From_Service_Asset</x:v>
      </x:c>
      <x:c r="B152" s="117" t="str">
        <x:v>Yes</x:v>
      </x:c>
      <x:c r="C152" s="119" t="str">
        <x:v>Active v1 (Retrieved XML)</x:v>
      </x:c>
      <x:c r="D152" s="117" t="str">
        <x:v>Screen Component</x:v>
      </x:c>
      <x:c r="E152" s="117" t="str">
        <x:v>Screen</x:v>
      </x:c>
      <x:c r="F152" s="117" t="str">
        <x:v>flowruntime:address</x:v>
      </x:c>
      <x:c r="G152" s="117" t="str">
        <x:v>Review</x:v>
      </x:c>
      <x:c r="H152" s="119" t="str">
        <x:v>LWC or Aura extension</x:v>
      </x:c>
    </x:row>
    <x:row r="153" ht="34" customHeight="1">
      <x:c r="A153" s="117" t="str">
        <x:v>Create_US_FSL_Work_Order_From_Service_Asset</x:v>
      </x:c>
      <x:c r="B153" s="117" t="str">
        <x:v>Yes</x:v>
      </x:c>
      <x:c r="C153" s="119" t="str">
        <x:v>Active v1 (Retrieved XML)</x:v>
      </x:c>
      <x:c r="D153" s="117" t="str">
        <x:v>Screen Component</x:v>
      </x:c>
      <x:c r="E153" s="117" t="str">
        <x:v>Screen</x:v>
      </x:c>
      <x:c r="F153" s="117" t="str">
        <x:v>flowruntime:lookup</x:v>
      </x:c>
      <x:c r="G153" s="117" t="str">
        <x:v>Review</x:v>
      </x:c>
      <x:c r="H153" s="119" t="str">
        <x:v>LWC or Aura extension</x:v>
      </x:c>
    </x:row>
    <x:row r="154" ht="34" customHeight="1">
      <x:c r="A154" s="117" t="str">
        <x:v>Create_Warranty</x:v>
      </x:c>
      <x:c r="B154" s="117" t="str">
        <x:v>No</x:v>
      </x:c>
      <x:c r="C154" s="119" t="str">
        <x:v>Latest inactive v1 (Retrieved XML)</x:v>
      </x:c>
      <x:c r="D154" s="117" t="str">
        <x:v>Screen Component</x:v>
      </x:c>
      <x:c r="E154" s="117" t="str">
        <x:v>Screen</x:v>
      </x:c>
      <x:c r="F154" s="117" t="str">
        <x:v>flowruntime:toggle</x:v>
      </x:c>
      <x:c r="G154" s="117" t="str">
        <x:v>Review</x:v>
      </x:c>
      <x:c r="H154" s="119" t="str">
        <x:v>LWC or Aura extension</x:v>
      </x:c>
    </x:row>
    <x:row r="155" ht="34" customHeight="1">
      <x:c r="A155" s="117" t="str">
        <x:v>Create_Work_Order_from_KloudGin_Case</x:v>
      </x:c>
      <x:c r="B155" s="117" t="str">
        <x:v>Yes</x:v>
      </x:c>
      <x:c r="C155" s="119" t="str">
        <x:v>Active v7 (Retrieved XML)</x:v>
      </x:c>
      <x:c r="D155" s="117" t="str">
        <x:v>Screen Component</x:v>
      </x:c>
      <x:c r="E155" s="117" t="str">
        <x:v>Screen</x:v>
      </x:c>
      <x:c r="F155" s="117" t="str">
        <x:v>flowruntime:lookup</x:v>
      </x:c>
      <x:c r="G155" s="117" t="str">
        <x:v>Review</x:v>
      </x:c>
      <x:c r="H155" s="119" t="str">
        <x:v>LWC or Aura extension</x:v>
      </x:c>
    </x:row>
    <x:row r="156" ht="34" customHeight="1">
      <x:c r="A156" s="117" t="str">
        <x:v>Create_Work_Order_from_Service_Asset</x:v>
      </x:c>
      <x:c r="B156" s="117" t="str">
        <x:v>Yes</x:v>
      </x:c>
      <x:c r="C156" s="119" t="str">
        <x:v>Active v7 (Retrieved XML)</x:v>
      </x:c>
      <x:c r="D156" s="117" t="str">
        <x:v>Screen Component</x:v>
      </x:c>
      <x:c r="E156" s="117" t="str">
        <x:v>Screen</x:v>
      </x:c>
      <x:c r="F156" s="117" t="str">
        <x:v>flowruntime:address</x:v>
      </x:c>
      <x:c r="G156" s="117" t="str">
        <x:v>Review</x:v>
      </x:c>
      <x:c r="H156" s="119" t="str">
        <x:v>LWC or Aura extension</x:v>
      </x:c>
    </x:row>
    <x:row r="157" ht="34" customHeight="1">
      <x:c r="A157" s="117" t="str">
        <x:v>CreateRenewalContractFromExistingUK_BETA</x:v>
      </x:c>
      <x:c r="B157" s="117" t="str">
        <x:v>No</x:v>
      </x:c>
      <x:c r="C157" s="119" t="str">
        <x:v>Latest inactive v1 (Retrieved XML)</x:v>
      </x:c>
      <x:c r="D157" s="117" t="str">
        <x:v>Screen Component</x:v>
      </x:c>
      <x:c r="E157" s="117" t="str">
        <x:v>Screen</x:v>
      </x:c>
      <x:c r="F157" s="117" t="str">
        <x:v>flowruntime:datatable</x:v>
      </x:c>
      <x:c r="G157" s="117" t="str">
        <x:v>Review</x:v>
      </x:c>
      <x:c r="H157" s="119" t="str">
        <x:v>LWC or Aura extension</x:v>
      </x:c>
    </x:row>
    <x:row r="158" ht="34" customHeight="1">
      <x:c r="A158" s="117" t="str">
        <x:v>CreateRenewalContractFromExistingUK_BETA</x:v>
      </x:c>
      <x:c r="B158" s="117" t="str">
        <x:v>No</x:v>
      </x:c>
      <x:c r="C158" s="119" t="str">
        <x:v>Latest inactive v1 (Retrieved XML)</x:v>
      </x:c>
      <x:c r="D158" s="117" t="str">
        <x:v>Screen Component</x:v>
      </x:c>
      <x:c r="E158" s="117" t="str">
        <x:v>Screen</x:v>
      </x:c>
      <x:c r="F158" s="117" t="str">
        <x:v>flowruntime:lookup</x:v>
      </x:c>
      <x:c r="G158" s="117" t="str">
        <x:v>Review</x:v>
      </x:c>
      <x:c r="H158" s="119" t="str">
        <x:v>LWC or Aura extension</x:v>
      </x:c>
    </x:row>
    <x:row r="159" ht="34" customHeight="1">
      <x:c r="A159" s="117" t="str">
        <x:v>CreateRenewalContractFromExistingUK_BETA</x:v>
      </x:c>
      <x:c r="B159" s="117" t="str">
        <x:v>No</x:v>
      </x:c>
      <x:c r="C159" s="119" t="str">
        <x:v>Latest inactive v1 (Retrieved XML)</x:v>
      </x:c>
      <x:c r="D159" s="117" t="str">
        <x:v>Screen Component</x:v>
      </x:c>
      <x:c r="E159" s="117" t="str">
        <x:v>Screen</x:v>
      </x:c>
      <x:c r="F159" s="117" t="str">
        <x:v>forceContent:fileUpload</x:v>
      </x:c>
      <x:c r="G159" s="117" t="str">
        <x:v>Review</x:v>
      </x:c>
      <x:c r="H159" s="119" t="str">
        <x:v>LWC or Aura extension</x:v>
      </x:c>
    </x:row>
    <x:row r="160" ht="34" customHeight="1">
      <x:c r="A160" s="117" t="str">
        <x:v>Credit_Approval_Process</x:v>
      </x:c>
      <x:c r="B160" s="117" t="str">
        <x:v>Yes</x:v>
      </x:c>
      <x:c r="C160" s="119" t="str">
        <x:v>Active v2 (Retrieved XML)</x:v>
      </x:c>
      <x:c r="D160" s="117" t="str">
        <x:v>Built-in Action</x:v>
      </x:c>
      <x:c r="E160" s="117" t="str">
        <x:v>Submit_Credit_Application</x:v>
      </x:c>
      <x:c r="F160" s="117" t="str">
        <x:v>submit</x:v>
      </x:c>
      <x:c r="G160" s="117" t="str">
        <x:v>Platform</x:v>
      </x:c>
      <x:c r="H160" s="119" t="str">
        <x:v>submit | Submit Credit Application</x:v>
      </x:c>
    </x:row>
    <x:row r="161" ht="34" customHeight="1">
      <x:c r="A161" s="117" t="str">
        <x:v>Credit_Approval_Process</x:v>
      </x:c>
      <x:c r="B161" s="117" t="str">
        <x:v>Yes</x:v>
      </x:c>
      <x:c r="C161" s="119" t="str">
        <x:v>Active v2 (Retrieved XML)</x:v>
      </x:c>
      <x:c r="D161" s="117" t="str">
        <x:v>Screen Component</x:v>
      </x:c>
      <x:c r="E161" s="117" t="str">
        <x:v>Screen</x:v>
      </x:c>
      <x:c r="F161" s="117" t="str">
        <x:v>forceContent:fileUpload</x:v>
      </x:c>
      <x:c r="G161" s="117" t="str">
        <x:v>Review</x:v>
      </x:c>
      <x:c r="H161" s="119" t="str">
        <x:v>LWC or Aura extension</x:v>
      </x:c>
    </x:row>
    <x:row r="162" ht="34" customHeight="1">
      <x:c r="A162" s="117" t="str">
        <x:v>Credit_Memo</x:v>
      </x:c>
      <x:c r="B162" s="117" t="str">
        <x:v>No</x:v>
      </x:c>
      <x:c r="C162" s="119" t="str">
        <x:v>Latest inactive v17 (Retrieved XML)</x:v>
      </x:c>
      <x:c r="D162" s="117" t="str">
        <x:v>Built-in Action</x:v>
      </x:c>
      <x:c r="E162" s="117" t="str">
        <x:v>myRule_12_A1</x:v>
      </x:c>
      <x:c r="F162" s="117" t="str">
        <x:v>submit</x:v>
      </x:c>
      <x:c r="G162" s="117" t="str">
        <x:v>Platform</x:v>
      </x:c>
      <x:c r="H162" s="119" t="str">
        <x:v>submit | Non-UK Submit for Approval | CurrentTransaction</x:v>
      </x:c>
    </x:row>
    <x:row r="163" ht="34" customHeight="1">
      <x:c r="A163" s="117" t="str">
        <x:v>Credit_Memo</x:v>
      </x:c>
      <x:c r="B163" s="117" t="str">
        <x:v>No</x:v>
      </x:c>
      <x:c r="C163" s="119" t="str">
        <x:v>Latest inactive v17 (Retrieved XML)</x:v>
      </x:c>
      <x:c r="D163" s="117" t="str">
        <x:v>Built-in Action</x:v>
      </x:c>
      <x:c r="E163" s="117" t="str">
        <x:v>myRule_14_A1</x:v>
      </x:c>
      <x:c r="F163" s="117" t="str">
        <x:v>submit</x:v>
      </x:c>
      <x:c r="G163" s="117" t="str">
        <x:v>Platform</x:v>
      </x:c>
      <x:c r="H163" s="119" t="str">
        <x:v>submit | UK Submit for Approval | CurrentTransaction</x:v>
      </x:c>
    </x:row>
    <x:row r="164" ht="34" customHeight="1">
      <x:c r="A164" s="117" t="str">
        <x:v>Credit_Memo_1</x:v>
      </x:c>
      <x:c r="B164" s="117" t="str">
        <x:v>Yes</x:v>
      </x:c>
      <x:c r="C164" s="119" t="str">
        <x:v>Active v5 (Retrieved XML)</x:v>
      </x:c>
      <x:c r="D164" s="117" t="str">
        <x:v>Built-in Action</x:v>
      </x:c>
      <x:c r="E164" s="117" t="str">
        <x:v>Submit_for_Approval</x:v>
      </x:c>
      <x:c r="F164" s="117" t="str">
        <x:v>submit</x:v>
      </x:c>
      <x:c r="G164" s="117" t="str">
        <x:v>Platform</x:v>
      </x:c>
      <x:c r="H164" s="119" t="str">
        <x:v>submit | Submit for Approval | CurrentTransaction</x:v>
      </x:c>
    </x:row>
    <x:row r="165" ht="34" customHeight="1">
      <x:c r="A165" s="117" t="str">
        <x:v>Credit_Memo_Creation_Flow</x:v>
      </x:c>
      <x:c r="B165" s="117" t="str">
        <x:v>Yes</x:v>
      </x:c>
      <x:c r="C165" s="119" t="str">
        <x:v>Active v1 (Tooling metadata)</x:v>
      </x:c>
      <x:c r="D165" s="117" t="str">
        <x:v>Screen Component</x:v>
      </x:c>
      <x:c r="E165" s="117" t="str">
        <x:v>Screen</x:v>
      </x:c>
      <x:c r="F165" s="117" t="str">
        <x:v>flowruntime:lookup</x:v>
      </x:c>
      <x:c r="G165" s="117" t="str">
        <x:v>Review</x:v>
      </x:c>
      <x:c r="H165" s="119" t="str">
        <x:v>LWC or Aura extension</x:v>
      </x:c>
    </x:row>
    <x:row r="166" ht="34" customHeight="1">
      <x:c r="A166" s="117" t="str">
        <x:v>Credit_Memo_Lines_Add_to_Credit_Memo</x:v>
      </x:c>
      <x:c r="B166" s="117" t="str">
        <x:v>Yes</x:v>
      </x:c>
      <x:c r="C166" s="119" t="str">
        <x:v>Active v7 (Retrieved XML)</x:v>
      </x:c>
      <x:c r="D166" s="117" t="str">
        <x:v>Screen Component</x:v>
      </x:c>
      <x:c r="E166" s="117" t="str">
        <x:v>Screen</x:v>
      </x:c>
      <x:c r="F166" s="117" t="str">
        <x:v>c:datatable</x:v>
      </x:c>
      <x:c r="G166" s="117" t="str">
        <x:v>Review</x:v>
      </x:c>
      <x:c r="H166" s="119" t="str">
        <x:v>LWC or Aura extension</x:v>
      </x:c>
    </x:row>
    <x:row r="167" ht="34" customHeight="1">
      <x:c r="A167" s="117" t="str">
        <x:v>Credit_Memo_Sync_Notification</x:v>
      </x:c>
      <x:c r="B167" s="117" t="str">
        <x:v>Yes</x:v>
      </x:c>
      <x:c r="C167" s="119" t="str">
        <x:v>Active v9 (Retrieved XML)</x:v>
      </x:c>
      <x:c r="D167" s="117" t="str">
        <x:v>Apex Action</x:v>
      </x:c>
      <x:c r="E167" s="117" t="str">
        <x:v>Generate_Credit_Memo</x:v>
      </x:c>
      <x:c r="F167" s="117" t="str">
        <x:v>CreditMemoPdfGenerator</x:v>
      </x:c>
      <x:c r="G167" s="117" t="str">
        <x:v>Review</x:v>
      </x:c>
      <x:c r="H167" s="119" t="str">
        <x:v>apex | Generate Credit Memo | CurrentTransaction</x:v>
      </x:c>
    </x:row>
    <x:row r="168" ht="34" customHeight="1">
      <x:c r="A168" s="117" t="str">
        <x:v>Credit_Memo_Sync_Notification</x:v>
      </x:c>
      <x:c r="B168" s="117" t="str">
        <x:v>Yes</x:v>
      </x:c>
      <x:c r="C168" s="119" t="str">
        <x:v>Active v9 (Retrieved XML)</x:v>
      </x:c>
      <x:c r="D168" s="117" t="str">
        <x:v>Apex Action</x:v>
      </x:c>
      <x:c r="E168" s="117" t="str">
        <x:v>AP_Team_Notification_Email</x:v>
      </x:c>
      <x:c r="F168" s="117" t="str">
        <x:v>SendBetterEmail</x:v>
      </x:c>
      <x:c r="G168" s="117" t="str">
        <x:v>Review</x:v>
      </x:c>
      <x:c r="H168" s="119" t="str">
        <x:v>apex | AP Team Notification Email | CurrentTransaction</x:v>
      </x:c>
    </x:row>
    <x:row r="169" ht="34" customHeight="1">
      <x:c r="A169" s="117" t="str">
        <x:v>Credit_Memo_Sync_Notification</x:v>
      </x:c>
      <x:c r="B169" s="117" t="str">
        <x:v>Yes</x:v>
      </x:c>
      <x:c r="C169" s="119" t="str">
        <x:v>Active v9 (Retrieved XML)</x:v>
      </x:c>
      <x:c r="D169" s="117" t="str">
        <x:v>Apex Action</x:v>
      </x:c>
      <x:c r="E169" s="117" t="str">
        <x:v>Interco_AP_Team_Notification_Email</x:v>
      </x:c>
      <x:c r="F169" s="117" t="str">
        <x:v>SendBetterEmail</x:v>
      </x:c>
      <x:c r="G169" s="117" t="str">
        <x:v>Review</x:v>
      </x:c>
      <x:c r="H169" s="119" t="str">
        <x:v>apex | Interco AP Team Notification Email | CurrentTransaction</x:v>
      </x:c>
    </x:row>
    <x:row r="170" ht="34" customHeight="1">
      <x:c r="A170" s="117" t="str">
        <x:v>Datatable_Configuration_Wizard5</x:v>
      </x:c>
      <x:c r="B170" s="117" t="str">
        <x:v>Yes</x:v>
      </x:c>
      <x:c r="C170" s="119" t="str">
        <x:v>Active v1 (Tooling metadata)</x:v>
      </x:c>
      <x:c r="D170" s="117" t="str">
        <x:v>Apex Action</x:v>
      </x:c>
      <x:c r="E170" s="117" t="str">
        <x:v>Decode_Cell_Attribute</x:v>
      </x:c>
      <x:c r="F170" s="117" t="str">
        <x:v>ers_EncodeDecodeURL</x:v>
      </x:c>
      <x:c r="G170" s="117" t="str">
        <x:v>Review</x:v>
      </x:c>
      <x:c r="H170" s="119" t="str">
        <x:v>apex | Decode Cell Attribute | CurrentTransaction</x:v>
      </x:c>
    </x:row>
    <x:row r="171" ht="34" customHeight="1">
      <x:c r="A171" s="117" t="str">
        <x:v>Datatable_Configuration_Wizard5</x:v>
      </x:c>
      <x:c r="B171" s="117" t="str">
        <x:v>Yes</x:v>
      </x:c>
      <x:c r="C171" s="119" t="str">
        <x:v>Active v1 (Tooling metadata)</x:v>
      </x:c>
      <x:c r="D171" s="117" t="str">
        <x:v>Apex Action</x:v>
      </x:c>
      <x:c r="E171" s="117" t="str">
        <x:v>Decode_Other_Attribute</x:v>
      </x:c>
      <x:c r="F171" s="117" t="str">
        <x:v>ers_EncodeDecodeURL</x:v>
      </x:c>
      <x:c r="G171" s="117" t="str">
        <x:v>Review</x:v>
      </x:c>
      <x:c r="H171" s="119" t="str">
        <x:v>apex | Decode Other Attribute | CurrentTransaction</x:v>
      </x:c>
    </x:row>
    <x:row r="172" ht="34" customHeight="1">
      <x:c r="A172" s="117" t="str">
        <x:v>Datatable_Configuration_Wizard5</x:v>
      </x:c>
      <x:c r="B172" s="117" t="str">
        <x:v>Yes</x:v>
      </x:c>
      <x:c r="C172" s="119" t="str">
        <x:v>Active v1 (Tooling metadata)</x:v>
      </x:c>
      <x:c r="D172" s="117" t="str">
        <x:v>Apex Action</x:v>
      </x:c>
      <x:c r="E172" s="117" t="str">
        <x:v>Decode_Type_Attribute</x:v>
      </x:c>
      <x:c r="F172" s="117" t="str">
        <x:v>ers_EncodeDecodeURL</x:v>
      </x:c>
      <x:c r="G172" s="117" t="str">
        <x:v>Review</x:v>
      </x:c>
      <x:c r="H172" s="119" t="str">
        <x:v>apex | Decode Type Attribute | CurrentTransaction</x:v>
      </x:c>
    </x:row>
    <x:row r="173" ht="34" customHeight="1">
      <x:c r="A173" s="117" t="str">
        <x:v>Datatable_Configuration_Wizard5</x:v>
      </x:c>
      <x:c r="B173" s="117" t="str">
        <x:v>Yes</x:v>
      </x:c>
      <x:c r="C173" s="119" t="str">
        <x:v>Active v1 (Tooling metadata)</x:v>
      </x:c>
      <x:c r="D173" s="117" t="str">
        <x:v>Apex Action</x:v>
      </x:c>
      <x:c r="E173" s="117" t="str">
        <x:v>Get_First_xx_Records</x:v>
      </x:c>
      <x:c r="F173" s="117" t="str">
        <x:v>ers_QueryNRecords</x:v>
      </x:c>
      <x:c r="G173" s="117" t="str">
        <x:v>Review</x:v>
      </x:c>
      <x:c r="H173" s="119" t="str">
        <x:v>apex | Get First xx Records | CurrentTransaction</x:v>
      </x:c>
    </x:row>
    <x:row r="174" ht="34" customHeight="1">
      <x:c r="A174" s="117" t="str">
        <x:v>Datatable_Configuration_Wizard5</x:v>
      </x:c>
      <x:c r="B174" s="117" t="str">
        <x:v>Yes</x:v>
      </x:c>
      <x:c r="C174" s="119" t="str">
        <x:v>Active v1 (Tooling metadata)</x:v>
      </x:c>
      <x:c r="D174" s="117" t="str">
        <x:v>Apex Action</x:v>
      </x:c>
      <x:c r="E174" s="117" t="str">
        <x:v>Get_Field_Information_usf</x:v>
      </x:c>
      <x:c r="F174" s="117" t="str">
        <x:v>usf3__GetFieldInformation</x:v>
      </x:c>
      <x:c r="G174" s="117" t="str">
        <x:v>Review</x:v>
      </x:c>
      <x:c r="H174" s="119" t="str">
        <x:v>apex | Get Field Information usf | CurrentTransaction</x:v>
      </x:c>
    </x:row>
    <x:row r="175" ht="34" customHeight="1">
      <x:c r="A175" s="117" t="str">
        <x:v>Datatable_Configuration_Wizard5</x:v>
      </x:c>
      <x:c r="B175" s="117" t="str">
        <x:v>Yes</x:v>
      </x:c>
      <x:c r="C175" s="119" t="str">
        <x:v>Active v1 (Tooling metadata)</x:v>
      </x:c>
      <x:c r="D175" s="117" t="str">
        <x:v>Screen Component</x:v>
      </x:c>
      <x:c r="E175" s="117" t="str">
        <x:v>Screen</x:v>
      </x:c>
      <x:c r="F175" s="117" t="str">
        <x:v>c:datatable</x:v>
      </x:c>
      <x:c r="G175" s="117" t="str">
        <x:v>Review</x:v>
      </x:c>
      <x:c r="H175" s="119" t="str">
        <x:v>LWC or Aura extension</x:v>
      </x:c>
    </x:row>
    <x:row r="176" ht="34" customHeight="1">
      <x:c r="A176" s="117" t="str">
        <x:v>Datatable_Configuration_Wizard5</x:v>
      </x:c>
      <x:c r="B176" s="117" t="str">
        <x:v>Yes</x:v>
      </x:c>
      <x:c r="C176" s="119" t="str">
        <x:v>Active v1 (Tooling metadata)</x:v>
      </x:c>
      <x:c r="D176" s="117" t="str">
        <x:v>Screen Component</x:v>
      </x:c>
      <x:c r="E176" s="117" t="str">
        <x:v>Screen</x:v>
      </x:c>
      <x:c r="F176" s="117" t="str">
        <x:v>c:fsc_dualListBox3</x:v>
      </x:c>
      <x:c r="G176" s="117" t="str">
        <x:v>Review</x:v>
      </x:c>
      <x:c r="H176" s="119" t="str">
        <x:v>LWC or Aura extension</x:v>
      </x:c>
    </x:row>
    <x:row r="177" ht="34" customHeight="1">
      <x:c r="A177" s="117" t="str">
        <x:v>Datatable_Configuration_Wizard5</x:v>
      </x:c>
      <x:c r="B177" s="117" t="str">
        <x:v>Yes</x:v>
      </x:c>
      <x:c r="C177" s="119" t="str">
        <x:v>Active v1 (Tooling metadata)</x:v>
      </x:c>
      <x:c r="D177" s="117" t="str">
        <x:v>Screen Component</x:v>
      </x:c>
      <x:c r="E177" s="117" t="str">
        <x:v>Screen</x:v>
      </x:c>
      <x:c r="F177" s="117" t="str">
        <x:v>c:fsc_flowButtonBar</x:v>
      </x:c>
      <x:c r="G177" s="117" t="str">
        <x:v>Review</x:v>
      </x:c>
      <x:c r="H177" s="119" t="str">
        <x:v>LWC or Aura extension</x:v>
      </x:c>
    </x:row>
    <x:row r="178" ht="34" customHeight="1">
      <x:c r="A178" s="117" t="str">
        <x:v>Datatable_Configuration_Wizard5</x:v>
      </x:c>
      <x:c r="B178" s="117" t="str">
        <x:v>Yes</x:v>
      </x:c>
      <x:c r="C178" s="119" t="str">
        <x:v>Active v1 (Tooling metadata)</x:v>
      </x:c>
      <x:c r="D178" s="117" t="str">
        <x:v>Screen Component</x:v>
      </x:c>
      <x:c r="E178" s="117" t="str">
        <x:v>Screen</x:v>
      </x:c>
      <x:c r="F178" s="117" t="str">
        <x:v>c:fsc_quickChoiceFSC</x:v>
      </x:c>
      <x:c r="G178" s="117" t="str">
        <x:v>Review</x:v>
      </x:c>
      <x:c r="H178" s="119" t="str">
        <x:v>LWC or Aura extension</x:v>
      </x:c>
    </x:row>
    <x:row r="179" ht="34" customHeight="1">
      <x:c r="A179" s="117" t="str">
        <x:v>Datatable_Configuration_Wizard5</x:v>
      </x:c>
      <x:c r="B179" s="117" t="str">
        <x:v>Yes</x:v>
      </x:c>
      <x:c r="C179" s="119" t="str">
        <x:v>Active v1 (Tooling metadata)</x:v>
      </x:c>
      <x:c r="D179" s="117" t="str">
        <x:v>Screen Component</x:v>
      </x:c>
      <x:c r="E179" s="117" t="str">
        <x:v>Screen</x:v>
      </x:c>
      <x:c r="F179" s="117" t="str">
        <x:v>flowruntime:toggle</x:v>
      </x:c>
      <x:c r="G179" s="117" t="str">
        <x:v>Review</x:v>
      </x:c>
      <x:c r="H179" s="119" t="str">
        <x:v>LWC or Aura extension</x:v>
      </x:c>
    </x:row>
    <x:row r="180" ht="34" customHeight="1">
      <x:c r="A180" s="117" t="str">
        <x:v>Dated_Exchange_Rates_Call_XE_API_for_Daily_Rates</x:v>
      </x:c>
      <x:c r="B180" s="117" t="str">
        <x:v>Yes</x:v>
      </x:c>
      <x:c r="C180" s="119" t="str">
        <x:v>Active v3 (Retrieved XML)</x:v>
      </x:c>
      <x:c r="D180" s="117" t="str">
        <x:v>Built-in Action</x:v>
      </x:c>
      <x:c r="E180" s="117" t="str">
        <x:v>Fetch_the_Exchange_Rates_for_today</x:v>
      </x:c>
      <x:c r="F180" s="117" t="str">
        <x:v>CallExchangeRateAPI.GET Exchange Rate(s)</x:v>
      </x:c>
      <x:c r="G180" s="117" t="str">
        <x:v>Platform</x:v>
      </x:c>
      <x:c r="H180" s="119" t="str">
        <x:v>externalService | Fetch the Exchange Rates for today | CurrentTransaction</x:v>
      </x:c>
    </x:row>
    <x:row r="181" ht="34" customHeight="1">
      <x:c r="A181" s="117" t="str">
        <x:v>Davis_Medical_Shipping_Email_Alert_Flow</x:v>
      </x:c>
      <x:c r="B181" s="117" t="str">
        <x:v>Yes</x:v>
      </x:c>
      <x:c r="C181" s="119" t="str">
        <x:v>Active v3 (Retrieved XML)</x:v>
      </x:c>
      <x:c r="D181" s="117" t="str">
        <x:v>Built-in Action</x:v>
      </x:c>
      <x:c r="E181" s="117" t="str">
        <x:v>SendDavisEmail</x:v>
      </x:c>
      <x:c r="F181" s="117" t="str">
        <x:v>emailSimple</x:v>
      </x:c>
      <x:c r="G181" s="117" t="str">
        <x:v>Platform</x:v>
      </x:c>
      <x:c r="H181" s="119" t="str">
        <x:v>emailSimple | SendDavisEmail | CurrentTransaction</x:v>
      </x:c>
    </x:row>
    <x:row r="182" ht="34" customHeight="1">
      <x:c r="A182" s="117" t="str">
        <x:v>Delete_Select_Products_from_Opportunity_Screen_Flow</x:v>
      </x:c>
      <x:c r="B182" s="117" t="str">
        <x:v>Yes</x:v>
      </x:c>
      <x:c r="C182" s="119" t="str">
        <x:v>Active v1 (Retrieved XML)</x:v>
      </x:c>
      <x:c r="D182" s="117" t="str">
        <x:v>Screen Component</x:v>
      </x:c>
      <x:c r="E182" s="117" t="str">
        <x:v>Screen</x:v>
      </x:c>
      <x:c r="F182" s="117" t="str">
        <x:v>flowruntime:datatable</x:v>
      </x:c>
      <x:c r="G182" s="117" t="str">
        <x:v>Review</x:v>
      </x:c>
      <x:c r="H182" s="119" t="str">
        <x:v>LWC or Aura extension</x:v>
      </x:c>
    </x:row>
    <x:row r="183" ht="34" customHeight="1">
      <x:c r="A183" s="117" t="str">
        <x:v>Disaster_Recovery_Project_Raise_Invoice_from_Charges</x:v>
      </x:c>
      <x:c r="B183" s="117" t="str">
        <x:v>Yes</x:v>
      </x:c>
      <x:c r="C183" s="119" t="str">
        <x:v>Active v7 (Retrieved XML)</x:v>
      </x:c>
      <x:c r="D183" s="117" t="str">
        <x:v>Screen Component</x:v>
      </x:c>
      <x:c r="E183" s="117" t="str">
        <x:v>Screen</x:v>
      </x:c>
      <x:c r="F183" s="117" t="str">
        <x:v>flowruntime:datatable</x:v>
      </x:c>
      <x:c r="G183" s="117" t="str">
        <x:v>Review</x:v>
      </x:c>
      <x:c r="H183" s="119" t="str">
        <x:v>LWC or Aura extension</x:v>
      </x:c>
    </x:row>
    <x:row r="184" ht="34" customHeight="1">
      <x:c r="A184" s="117" t="str">
        <x:v>Disaster_Recovery_Project_Raise_Invoice_from_Charges</x:v>
      </x:c>
      <x:c r="B184" s="117" t="str">
        <x:v>Yes</x:v>
      </x:c>
      <x:c r="C184" s="119" t="str">
        <x:v>Active v7 (Retrieved XML)</x:v>
      </x:c>
      <x:c r="D184" s="117" t="str">
        <x:v>Subflow</x:v>
      </x:c>
      <x:c r="E184" s="117" t="str">
        <x:v>Aggregate_Project_Charge_Totals</x:v>
      </x:c>
      <x:c r="F184" s="117" t="str">
        <x:v>DRP_Aggregate_Project_Charge_Totals</x:v>
      </x:c>
      <x:c r="G184" s="117" t="str">
        <x:v>Yes</x:v>
      </x:c>
      <x:c r="H184" s="119" t="str">
        <x:v>Aggregate Project Charge Totals</x:v>
      </x:c>
    </x:row>
    <x:row r="185" ht="34" customHeight="1">
      <x:c r="A185" s="117" t="str">
        <x:v>Document_Review_Change_Control_Form_Screen_Flow</x:v>
      </x:c>
      <x:c r="B185" s="117" t="str">
        <x:v>Yes</x:v>
      </x:c>
      <x:c r="C185" s="119" t="str">
        <x:v>Active v4 (Retrieved XML)</x:v>
      </x:c>
      <x:c r="D185" s="117" t="str">
        <x:v>Screen Component</x:v>
      </x:c>
      <x:c r="E185" s="117" t="str">
        <x:v>Screen</x:v>
      </x:c>
      <x:c r="F185" s="117" t="str">
        <x:v>flowruntime:name</x:v>
      </x:c>
      <x:c r="G185" s="117" t="str">
        <x:v>Review</x:v>
      </x:c>
      <x:c r="H185" s="119" t="str">
        <x:v>LWC or Aura extension</x:v>
      </x:c>
    </x:row>
    <x:row r="186" ht="34" customHeight="1">
      <x:c r="A186" s="117" t="str">
        <x:v>DRP_Create_Project_Charge_Line_Item</x:v>
      </x:c>
      <x:c r="B186" s="117" t="str">
        <x:v>Yes</x:v>
      </x:c>
      <x:c r="C186" s="119" t="str">
        <x:v>Active v3 (Retrieved XML)</x:v>
      </x:c>
      <x:c r="D186" s="117" t="str">
        <x:v>Screen Component</x:v>
      </x:c>
      <x:c r="E186" s="117" t="str">
        <x:v>Screen</x:v>
      </x:c>
      <x:c r="F186" s="117" t="str">
        <x:v>flowruntime:lookup</x:v>
      </x:c>
      <x:c r="G186" s="117" t="str">
        <x:v>Review</x:v>
      </x:c>
      <x:c r="H186" s="119" t="str">
        <x:v>LWC or Aura extension</x:v>
      </x:c>
    </x:row>
    <x:row r="187" ht="34" customHeight="1">
      <x:c r="A187" s="117" t="str">
        <x:v>DRP_Submit_Project_Charges_for_Invoicing</x:v>
      </x:c>
      <x:c r="B187" s="117" t="str">
        <x:v>No</x:v>
      </x:c>
      <x:c r="C187" s="119" t="str">
        <x:v>Latest inactive v1 (Retrieved XML)</x:v>
      </x:c>
      <x:c r="D187" s="117" t="str">
        <x:v>Screen Component</x:v>
      </x:c>
      <x:c r="E187" s="117" t="str">
        <x:v>Screen</x:v>
      </x:c>
      <x:c r="F187" s="117" t="str">
        <x:v>flowruntime:datatable</x:v>
      </x:c>
      <x:c r="G187" s="117" t="str">
        <x:v>Review</x:v>
      </x:c>
      <x:c r="H187" s="119" t="str">
        <x:v>LWC or Aura extension</x:v>
      </x:c>
    </x:row>
    <x:row r="188" ht="34" customHeight="1">
      <x:c r="A188" s="117" t="str">
        <x:v>Final_QC_Passed_Send_Email</x:v>
      </x:c>
      <x:c r="B188" s="117" t="str">
        <x:v>Yes</x:v>
      </x:c>
      <x:c r="C188" s="119" t="str">
        <x:v>Active v3 (Retrieved XML)</x:v>
      </x:c>
      <x:c r="D188" s="117" t="str">
        <x:v>Built-in Action</x:v>
      </x:c>
      <x:c r="E188" s="117" t="str">
        <x:v>Alert_Sales_Opps_QC_Passed</x:v>
      </x:c>
      <x:c r="F188" s="117" t="str">
        <x:v>emailSimple</x:v>
      </x:c>
      <x:c r="G188" s="117" t="str">
        <x:v>Platform</x:v>
      </x:c>
      <x:c r="H188" s="119" t="str">
        <x:v>emailSimple | Alert Sales Opps - QC Passed | CurrentTransaction</x:v>
      </x:c>
    </x:row>
    <x:row r="189" ht="34" customHeight="1">
      <x:c r="A189" s="117" t="str">
        <x:v>Fix_Schedule_Overlaps</x:v>
      </x:c>
      <x:c r="B189" s="117" t="str">
        <x:v>No</x:v>
      </x:c>
      <x:c r="C189" s="119" t="str">
        <x:v>Latest inactive v8 (Tooling metadata)</x:v>
      </x:c>
      <x:c r="D189" s="117" t="str">
        <x:v>Apex Action</x:v>
      </x:c>
      <x:c r="E189" s="117" t="str">
        <x:v>CheckIfOverlapIsToday</x:v>
      </x:c>
      <x:c r="F189" s="117" t="str">
        <x:v>FSL__IsStartTodayAction</x:v>
      </x:c>
      <x:c r="G189" s="117" t="str">
        <x:v>Review</x:v>
      </x:c>
      <x:c r="H189" s="119" t="str">
        <x:v>apex | Check If Overlap Is Today | CurrentTransaction</x:v>
      </x:c>
    </x:row>
    <x:row r="190" ht="34" customHeight="1">
      <x:c r="A190" s="117" t="str">
        <x:v>Fix_Schedule_Overlaps</x:v>
      </x:c>
      <x:c r="B190" s="117" t="str">
        <x:v>No</x:v>
      </x:c>
      <x:c r="C190" s="119" t="str">
        <x:v>Latest inactive v8 (Tooling metadata)</x:v>
      </x:c>
      <x:c r="D190" s="117" t="str">
        <x:v>Apex Action</x:v>
      </x:c>
      <x:c r="E190" s="117" t="str">
        <x:v>RunFixScheduleOverlaps</x:v>
      </x:c>
      <x:c r="F190" s="117" t="str">
        <x:v>FSL__RunFixScheduleOverlaps</x:v>
      </x:c>
      <x:c r="G190" s="117" t="str">
        <x:v>Review</x:v>
      </x:c>
      <x:c r="H190" s="119" t="str">
        <x:v>apex | Fix Schedule Overlaps | CurrentTransaction</x:v>
      </x:c>
    </x:row>
    <x:row r="191" ht="34" customHeight="1">
      <x:c r="A191" s="117" t="str">
        <x:v>FSL_Action_Quick_Quote_2</x:v>
      </x:c>
      <x:c r="B191" s="117" t="str">
        <x:v>Yes</x:v>
      </x:c>
      <x:c r="C191" s="119" t="str">
        <x:v>Active v54 (Retrieved XML)</x:v>
      </x:c>
      <x:c r="D191" s="117" t="str">
        <x:v>Subflow</x:v>
      </x:c>
      <x:c r="E191" s="117" t="str">
        <x:v>Order_Parts_on_Work_Order</x:v>
      </x:c>
      <x:c r="F191" s="117" t="str">
        <x:v>FSL_Screen_Request_Parts_on_WO</x:v>
      </x:c>
      <x:c r="G191" s="117" t="str">
        <x:v>Yes</x:v>
      </x:c>
      <x:c r="H191" s="119" t="str">
        <x:v>Order Parts on Work Order</x:v>
      </x:c>
    </x:row>
    <x:row r="192" ht="34" customHeight="1">
      <x:c r="A192" s="117" t="str">
        <x:v>FSL_App_Upload_Pictures_Screen_Flow</x:v>
      </x:c>
      <x:c r="B192" s="117" t="str">
        <x:v>Yes</x:v>
      </x:c>
      <x:c r="C192" s="119" t="str">
        <x:v>Active v2 (Retrieved XML)</x:v>
      </x:c>
      <x:c r="D192" s="117" t="str">
        <x:v>Screen Component</x:v>
      </x:c>
      <x:c r="E192" s="117" t="str">
        <x:v>Screen</x:v>
      </x:c>
      <x:c r="F192" s="117" t="str">
        <x:v>forceContent:fileUpload</x:v>
      </x:c>
      <x:c r="G192" s="117" t="str">
        <x:v>Review</x:v>
      </x:c>
      <x:c r="H192" s="119" t="str">
        <x:v>LWC or Aura extension</x:v>
      </x:c>
    </x:row>
    <x:row r="193" ht="34" customHeight="1">
      <x:c r="A193" s="117" t="str">
        <x:v>FSL_Close_Out_Service_Appointment_Field_Service_Mobile_Flow</x:v>
      </x:c>
      <x:c r="B193" s="117" t="str">
        <x:v>No</x:v>
      </x:c>
      <x:c r="C193" s="119" t="str">
        <x:v>Latest inactive v4 (Retrieved XML)</x:v>
      </x:c>
      <x:c r="D193" s="117" t="str">
        <x:v>Built-in Action</x:v>
      </x:c>
      <x:c r="E193" s="117" t="str">
        <x:v>Same_Part_Purchase_DOA_Email</x:v>
      </x:c>
      <x:c r="F193" s="117" t="str">
        <x:v>emailSimple</x:v>
      </x:c>
      <x:c r="G193" s="117" t="str">
        <x:v>Platform</x:v>
      </x:c>
      <x:c r="H193" s="119" t="str">
        <x:v>emailSimple | Same Part Purchase DOA Email | CurrentTransaction</x:v>
      </x:c>
    </x:row>
    <x:row r="194" ht="34" customHeight="1">
      <x:c r="A194" s="117" t="str">
        <x:v>FSL_Close_Out_Service_Appointment_Field_Service_Mobile_Flow</x:v>
      </x:c>
      <x:c r="B194" s="117" t="str">
        <x:v>No</x:v>
      </x:c>
      <x:c r="C194" s="119" t="str">
        <x:v>Latest inactive v4 (Retrieved XML)</x:v>
      </x:c>
      <x:c r="D194" s="117" t="str">
        <x:v>Built-in Action</x:v>
      </x:c>
      <x:c r="E194" s="117" t="str">
        <x:v>Send_Can_Anything_Else_Be_Quoted_Email</x:v>
      </x:c>
      <x:c r="F194" s="117" t="str">
        <x:v>emailSimple</x:v>
      </x:c>
      <x:c r="G194" s="117" t="str">
        <x:v>Platform</x:v>
      </x:c>
      <x:c r="H194" s="119" t="str">
        <x:v>emailSimple | Send Can Anything Else Be Quoted Email | CurrentTransaction</x:v>
      </x:c>
    </x:row>
    <x:row r="195" ht="34" customHeight="1">
      <x:c r="A195" s="117" t="str">
        <x:v>FSL_Engineer_Dispatched_Email_Alert</x:v>
      </x:c>
      <x:c r="B195" s="117" t="str">
        <x:v>Yes</x:v>
      </x:c>
      <x:c r="C195" s="119" t="str">
        <x:v>Active v8 (Retrieved XML)</x:v>
      </x:c>
      <x:c r="D195" s="117" t="str">
        <x:v>Built-in Action</x:v>
      </x:c>
      <x:c r="E195" s="117" t="str">
        <x:v>Send_Email_to_Ultrasound_Dispatch_Team</x:v>
      </x:c>
      <x:c r="F195" s="117" t="str">
        <x:v>emailSimple</x:v>
      </x:c>
      <x:c r="G195" s="117" t="str">
        <x:v>Platform</x:v>
      </x:c>
      <x:c r="H195" s="119" t="str">
        <x:v>emailSimple | Send Email to Ultrasound Dispatch Team | CurrentTransaction</x:v>
      </x:c>
    </x:row>
    <x:row r="196" ht="34" customHeight="1">
      <x:c r="A196" s="117" t="str">
        <x:v>FSL_Mobile_Create_Lead_US</x:v>
      </x:c>
      <x:c r="B196" s="117" t="str">
        <x:v>Yes</x:v>
      </x:c>
      <x:c r="C196" s="119" t="str">
        <x:v>Active v34 (Retrieved XML)</x:v>
      </x:c>
      <x:c r="D196" s="117" t="str">
        <x:v>Built-in Action</x:v>
      </x:c>
      <x:c r="E196" s="117" t="str">
        <x:v>Send_Email_to_Lead_Owner</x:v>
      </x:c>
      <x:c r="F196" s="117" t="str">
        <x:v>emailSimple</x:v>
      </x:c>
      <x:c r="G196" s="117" t="str">
        <x:v>Platform</x:v>
      </x:c>
      <x:c r="H196" s="119" t="str">
        <x:v>emailSimple | Send Email to Lead Owner | CurrentTransaction</x:v>
      </x:c>
    </x:row>
    <x:row r="197" ht="34" customHeight="1">
      <x:c r="A197" s="117" t="str">
        <x:v>FSL_Mobile_Create_Lead_US</x:v>
      </x:c>
      <x:c r="B197" s="117" t="str">
        <x:v>Yes</x:v>
      </x:c>
      <x:c r="C197" s="119" t="str">
        <x:v>Active v34 (Retrieved XML)</x:v>
      </x:c>
      <x:c r="D197" s="117" t="str">
        <x:v>Built-in Action</x:v>
      </x:c>
      <x:c r="E197" s="117" t="str">
        <x:v>Send_Email_to_Submitter</x:v>
      </x:c>
      <x:c r="F197" s="117" t="str">
        <x:v>emailSimple</x:v>
      </x:c>
      <x:c r="G197" s="117" t="str">
        <x:v>Platform</x:v>
      </x:c>
      <x:c r="H197" s="119" t="str">
        <x:v>emailSimple | Send Email to Submitter | CurrentTransaction</x:v>
      </x:c>
    </x:row>
    <x:row r="198" ht="34" customHeight="1">
      <x:c r="A198" s="117" t="str">
        <x:v>FSL_Mobile_Create_Lead_US</x:v>
      </x:c>
      <x:c r="B198" s="117" t="str">
        <x:v>Yes</x:v>
      </x:c>
      <x:c r="C198" s="119" t="str">
        <x:v>Active v34 (Retrieved XML)</x:v>
      </x:c>
      <x:c r="D198" s="117" t="str">
        <x:v>Screen Component</x:v>
      </x:c>
      <x:c r="E198" s="117" t="str">
        <x:v>Screen</x:v>
      </x:c>
      <x:c r="F198" s="117" t="str">
        <x:v>forceContent:fileUpload</x:v>
      </x:c>
      <x:c r="G198" s="117" t="str">
        <x:v>Review</x:v>
      </x:c>
      <x:c r="H198" s="119" t="str">
        <x:v>LWC or Aura extension</x:v>
      </x:c>
    </x:row>
    <x:row r="199" ht="34" customHeight="1">
      <x:c r="A199" s="117" t="str">
        <x:v>FSL_Mobile_Create_Lead_US</x:v>
      </x:c>
      <x:c r="B199" s="117" t="str">
        <x:v>Yes</x:v>
      </x:c>
      <x:c r="C199" s="119" t="str">
        <x:v>Active v34 (Retrieved XML)</x:v>
      </x:c>
      <x:c r="D199" s="117" t="str">
        <x:v>Subflow</x:v>
      </x:c>
      <x:c r="E199" s="117" t="str">
        <x:v>Copy_1_of_Request_Parts_for_Work_Order_Install</x:v>
      </x:c>
      <x:c r="F199" s="117" t="str">
        <x:v>FSL_Screen_Request_Parts_on_WO</x:v>
      </x:c>
      <x:c r="G199" s="117" t="str">
        <x:v>Yes</x:v>
      </x:c>
      <x:c r="H199" s="119" t="str">
        <x:v>Copy 1 of Request Parts for Work Order (Install)</x:v>
      </x:c>
    </x:row>
    <x:row r="200" ht="34" customHeight="1">
      <x:c r="A200" s="117" t="str">
        <x:v>FSL_Mobile_Create_Lead_US</x:v>
      </x:c>
      <x:c r="B200" s="117" t="str">
        <x:v>Yes</x:v>
      </x:c>
      <x:c r="C200" s="119" t="str">
        <x:v>Active v34 (Retrieved XML)</x:v>
      </x:c>
      <x:c r="D200" s="117" t="str">
        <x:v>Subflow</x:v>
      </x:c>
      <x:c r="E200" s="117" t="str">
        <x:v>Request_Parts_for_Work_Order</x:v>
      </x:c>
      <x:c r="F200" s="117" t="str">
        <x:v>FSL_Screen_Request_Parts_on_WO</x:v>
      </x:c>
      <x:c r="G200" s="117" t="str">
        <x:v>Yes</x:v>
      </x:c>
      <x:c r="H200" s="119" t="str">
        <x:v>Request Parts for Work Order</x:v>
      </x:c>
    </x:row>
    <x:row r="201" ht="34" customHeight="1">
      <x:c r="A201" s="117" t="str">
        <x:v>FSL_Mobile_Create_Lead_US</x:v>
      </x:c>
      <x:c r="B201" s="117" t="str">
        <x:v>Yes</x:v>
      </x:c>
      <x:c r="C201" s="119" t="str">
        <x:v>Active v34 (Retrieved XML)</x:v>
      </x:c>
      <x:c r="D201" s="117" t="str">
        <x:v>Subflow</x:v>
      </x:c>
      <x:c r="E201" s="117" t="str">
        <x:v>Request_Parts_for_Work_Order_Install</x:v>
      </x:c>
      <x:c r="F201" s="117" t="str">
        <x:v>FSL_Screen_Request_Parts_on_WO</x:v>
      </x:c>
      <x:c r="G201" s="117" t="str">
        <x:v>Yes</x:v>
      </x:c>
      <x:c r="H201" s="119" t="str">
        <x:v>Request Parts for Work Order (Install)</x:v>
      </x:c>
    </x:row>
    <x:row r="202" ht="34" customHeight="1">
      <x:c r="A202" s="117" t="str">
        <x:v>FSL_Mobile_Create_Lead_US</x:v>
      </x:c>
      <x:c r="B202" s="117" t="str">
        <x:v>Yes</x:v>
      </x:c>
      <x:c r="C202" s="119" t="str">
        <x:v>Active v34 (Retrieved XML)</x:v>
      </x:c>
      <x:c r="D202" s="117" t="str">
        <x:v>Subflow</x:v>
      </x:c>
      <x:c r="E202" s="117" t="str">
        <x:v>Copy_1_of_Send_Chatter_Post_to_Amber_Ashley</x:v>
      </x:c>
      <x:c r="F202" s="117" t="str">
        <x:v>Work_Order_FSL_Mobile_Subflow_Chatter_Post</x:v>
      </x:c>
      <x:c r="G202" s="117" t="str">
        <x:v>Yes</x:v>
      </x:c>
      <x:c r="H202" s="119" t="str">
        <x:v>Copy 1 of Send Chatter Post to Amber/Ashley</x:v>
      </x:c>
    </x:row>
    <x:row r="203" ht="34" customHeight="1">
      <x:c r="A203" s="117" t="str">
        <x:v>FSL_Mobile_Create_Lead_US</x:v>
      </x:c>
      <x:c r="B203" s="117" t="str">
        <x:v>Yes</x:v>
      </x:c>
      <x:c r="C203" s="119" t="str">
        <x:v>Active v34 (Retrieved XML)</x:v>
      </x:c>
      <x:c r="D203" s="117" t="str">
        <x:v>Subflow</x:v>
      </x:c>
      <x:c r="E203" s="117" t="str">
        <x:v>Send_Chatter_Post_to_Amber_Ashley</x:v>
      </x:c>
      <x:c r="F203" s="117" t="str">
        <x:v>Work_Order_FSL_Mobile_Subflow_Chatter_Post</x:v>
      </x:c>
      <x:c r="G203" s="117" t="str">
        <x:v>Yes</x:v>
      </x:c>
      <x:c r="H203" s="119" t="str">
        <x:v>Send Chatter Post to Amber/Ashley</x:v>
      </x:c>
    </x:row>
    <x:row r="204" ht="34" customHeight="1">
      <x:c r="A204" s="117" t="str">
        <x:v>FSL_Mobile_Create_Lead_US</x:v>
      </x:c>
      <x:c r="B204" s="117" t="str">
        <x:v>Yes</x:v>
      </x:c>
      <x:c r="C204" s="119" t="str">
        <x:v>Active v34 (Retrieved XML)</x:v>
      </x:c>
      <x:c r="D204" s="117" t="str">
        <x:v>Subflow</x:v>
      </x:c>
      <x:c r="E204" s="117" t="str">
        <x:v>Send_Chatter_Post_to_Amber_Ashley_Install</x:v>
      </x:c>
      <x:c r="F204" s="117" t="str">
        <x:v>Work_Order_FSL_Mobile_Subflow_Chatter_Post</x:v>
      </x:c>
      <x:c r="G204" s="117" t="str">
        <x:v>Yes</x:v>
      </x:c>
      <x:c r="H204" s="119" t="str">
        <x:v>Send Chatter Post to Amber/Ashley (Install)</x:v>
      </x:c>
    </x:row>
    <x:row r="205" ht="34" customHeight="1">
      <x:c r="A205" s="117" t="str">
        <x:v>FSL_Mobile_Service_Appointment_Closeout</x:v>
      </x:c>
      <x:c r="B205" s="117" t="str">
        <x:v>Yes</x:v>
      </x:c>
      <x:c r="C205" s="119" t="str">
        <x:v>Active v1 (Retrieved XML)</x:v>
      </x:c>
      <x:c r="D205" s="117" t="str">
        <x:v>Built-in Action</x:v>
      </x:c>
      <x:c r="E205" s="117" t="str">
        <x:v>Send_Can_Anything_Else_by_Quoted_Email</x:v>
      </x:c>
      <x:c r="F205" s="117" t="str">
        <x:v>emailSimple</x:v>
      </x:c>
      <x:c r="G205" s="117" t="str">
        <x:v>Platform</x:v>
      </x:c>
      <x:c r="H205" s="119" t="str">
        <x:v>emailSimple | Send Can Anything Else by Quoted Email | CurrentTransaction</x:v>
      </x:c>
    </x:row>
    <x:row r="206" ht="34" customHeight="1">
      <x:c r="A206" s="117" t="str">
        <x:v>FSL_Mobile_Service_Appointment_Closeout</x:v>
      </x:c>
      <x:c r="B206" s="117" t="str">
        <x:v>Yes</x:v>
      </x:c>
      <x:c r="C206" s="119" t="str">
        <x:v>Active v1 (Retrieved XML)</x:v>
      </x:c>
      <x:c r="D206" s="117" t="str">
        <x:v>Built-in Action</x:v>
      </x:c>
      <x:c r="E206" s="117" t="str">
        <x:v>Send_Email_to_UK_Dispatch</x:v>
      </x:c>
      <x:c r="F206" s="117" t="str">
        <x:v>emailSimple</x:v>
      </x:c>
      <x:c r="G206" s="117" t="str">
        <x:v>Platform</x:v>
      </x:c>
      <x:c r="H206" s="119" t="str">
        <x:v>emailSimple | Send Email to UK Dispatch | CurrentTransaction</x:v>
      </x:c>
    </x:row>
    <x:row r="207" ht="34" customHeight="1">
      <x:c r="A207" s="117" t="str">
        <x:v>FSL_Mobile_Service_Appointment_Closeout</x:v>
      </x:c>
      <x:c r="B207" s="117" t="str">
        <x:v>Yes</x:v>
      </x:c>
      <x:c r="C207" s="119" t="str">
        <x:v>Active v1 (Retrieved XML)</x:v>
      </x:c>
      <x:c r="D207" s="117" t="str">
        <x:v>Subflow</x:v>
      </x:c>
      <x:c r="E207" s="117" t="str">
        <x:v>Request_Parts_Screenflow_Sub</x:v>
      </x:c>
      <x:c r="F207" s="117" t="str">
        <x:v>FSL_Screen_Request_Parts_on_WO</x:v>
      </x:c>
      <x:c r="G207" s="117" t="str">
        <x:v>Yes</x:v>
      </x:c>
      <x:c r="H207" s="119" t="str">
        <x:v>Request Parts Screenflow Sub</x:v>
      </x:c>
    </x:row>
    <x:row r="208" ht="34" customHeight="1">
      <x:c r="A208" s="117" t="str">
        <x:v>FSL_Parts_Order</x:v>
      </x:c>
      <x:c r="B208" s="117" t="str">
        <x:v>No</x:v>
      </x:c>
      <x:c r="C208" s="119" t="str">
        <x:v>Latest inactive v1 (Retrieved XML)</x:v>
      </x:c>
      <x:c r="D208" s="117" t="str">
        <x:v>Screen Component</x:v>
      </x:c>
      <x:c r="E208" s="117" t="str">
        <x:v>Screen</x:v>
      </x:c>
      <x:c r="F208" s="117" t="str">
        <x:v>flowruntime:address</x:v>
      </x:c>
      <x:c r="G208" s="117" t="str">
        <x:v>Review</x:v>
      </x:c>
      <x:c r="H208" s="119" t="str">
        <x:v>LWC or Aura extension</x:v>
      </x:c>
    </x:row>
    <x:row r="209" ht="34" customHeight="1">
      <x:c r="A209" s="117" t="str">
        <x:v>FSL_Parts_Order</x:v>
      </x:c>
      <x:c r="B209" s="117" t="str">
        <x:v>No</x:v>
      </x:c>
      <x:c r="C209" s="119" t="str">
        <x:v>Latest inactive v1 (Retrieved XML)</x:v>
      </x:c>
      <x:c r="D209" s="117" t="str">
        <x:v>Screen Component</x:v>
      </x:c>
      <x:c r="E209" s="117" t="str">
        <x:v>Screen</x:v>
      </x:c>
      <x:c r="F209" s="117" t="str">
        <x:v>flowruntime:lookup</x:v>
      </x:c>
      <x:c r="G209" s="117" t="str">
        <x:v>Review</x:v>
      </x:c>
      <x:c r="H209" s="119" t="str">
        <x:v>LWC or Aura extension</x:v>
      </x:c>
    </x:row>
    <x:row r="210" ht="34" customHeight="1">
      <x:c r="A210" s="117" t="str">
        <x:v>Generate_Invoice_PDF_Flow</x:v>
      </x:c>
      <x:c r="B210" s="117" t="str">
        <x:v>No</x:v>
      </x:c>
      <x:c r="C210" s="119" t="str">
        <x:v>Latest inactive v1 (Retrieved XML)</x:v>
      </x:c>
      <x:c r="D210" s="117" t="str">
        <x:v>Apex Action</x:v>
      </x:c>
      <x:c r="E210" s="117" t="str">
        <x:v>Generate_PDF</x:v>
      </x:c>
      <x:c r="F210" s="117" t="str">
        <x:v>InvoicePdfGenerator</x:v>
      </x:c>
      <x:c r="G210" s="117" t="str">
        <x:v>Review</x:v>
      </x:c>
      <x:c r="H210" s="119" t="str">
        <x:v>apex | Generate PDF | Automatic</x:v>
      </x:c>
    </x:row>
    <x:row r="211" ht="34" customHeight="1">
      <x:c r="A211" s="117" t="str">
        <x:v>Generate_Mechanical_Services_Work_Order_Screen_Flow</x:v>
      </x:c>
      <x:c r="B211" s="117" t="str">
        <x:v>No</x:v>
      </x:c>
      <x:c r="C211" s="119" t="str">
        <x:v>Latest inactive v1 (Retrieved XML)</x:v>
      </x:c>
      <x:c r="D211" s="117" t="str">
        <x:v>Screen Component</x:v>
      </x:c>
      <x:c r="E211" s="117" t="str">
        <x:v>Screen</x:v>
      </x:c>
      <x:c r="F211" s="117" t="str">
        <x:v>flowruntime:lookup</x:v>
      </x:c>
      <x:c r="G211" s="117" t="str">
        <x:v>Review</x:v>
      </x:c>
      <x:c r="H211" s="119" t="str">
        <x:v>LWC or Aura extension</x:v>
      </x:c>
    </x:row>
    <x:row r="212" ht="34" customHeight="1">
      <x:c r="A212" s="117" t="str">
        <x:v>Harvest_Work_Order_Cost_PA_Screen_Flow</x:v>
      </x:c>
      <x:c r="B212" s="117" t="str">
        <x:v>Yes</x:v>
      </x:c>
      <x:c r="C212" s="119" t="str">
        <x:v>Active v7 (Retrieved XML)</x:v>
      </x:c>
      <x:c r="D212" s="117" t="str">
        <x:v>Screen Component</x:v>
      </x:c>
      <x:c r="E212" s="117" t="str">
        <x:v>Screen</x:v>
      </x:c>
      <x:c r="F212" s="117" t="str">
        <x:v>c:datatable</x:v>
      </x:c>
      <x:c r="G212" s="117" t="str">
        <x:v>Review</x:v>
      </x:c>
      <x:c r="H212" s="119" t="str">
        <x:v>LWC or Aura extension</x:v>
      </x:c>
    </x:row>
    <x:row r="213" ht="34" customHeight="1">
      <x:c r="A213" s="117" t="str">
        <x:v>Invoice_Object</x:v>
      </x:c>
      <x:c r="B213" s="117" t="str">
        <x:v>Yes</x:v>
      </x:c>
      <x:c r="C213" s="119" t="str">
        <x:v>Active v55 (Retrieved XML)</x:v>
      </x:c>
      <x:c r="D213" s="117" t="str">
        <x:v>Built-in Action</x:v>
      </x:c>
      <x:c r="E213" s="117" t="str">
        <x:v>myRule_15_A1</x:v>
      </x:c>
      <x:c r="F213" s="117" t="str">
        <x:v>Create_Commission</x:v>
      </x:c>
      <x:c r="G213" s="117" t="str">
        <x:v>Platform</x:v>
      </x:c>
      <x:c r="H213" s="119" t="str">
        <x:v>flow | Create Commission | CurrentTransaction</x:v>
      </x:c>
    </x:row>
    <x:row r="214" ht="34" customHeight="1">
      <x:c r="A214" s="117" t="str">
        <x:v>Invoice_Submission_Flow_V2</x:v>
      </x:c>
      <x:c r="B214" s="117" t="str">
        <x:v>Yes</x:v>
      </x:c>
      <x:c r="C214" s="119" t="str">
        <x:v>Active v37 (Retrieved XML)</x:v>
      </x:c>
      <x:c r="D214" s="117" t="str">
        <x:v>Subflow</x:v>
      </x:c>
      <x:c r="E214" s="117" t="str">
        <x:v>Send_invoice_PDF_email</x:v>
      </x:c>
      <x:c r="F214" s="117" t="str">
        <x:v>Send_Invoice_PDF_Email</x:v>
      </x:c>
      <x:c r="G214" s="117" t="str">
        <x:v>Yes</x:v>
      </x:c>
      <x:c r="H214" s="119" t="str">
        <x:v>Send invoice PDF email</x:v>
      </x:c>
    </x:row>
    <x:row r="215" ht="34" customHeight="1">
      <x:c r="A215" s="117" t="str">
        <x:v>Invoice_Sync_Notification</x:v>
      </x:c>
      <x:c r="B215" s="117" t="str">
        <x:v>Yes</x:v>
      </x:c>
      <x:c r="C215" s="119" t="str">
        <x:v>Active v12 (Retrieved XML)</x:v>
      </x:c>
      <x:c r="D215" s="117" t="str">
        <x:v>Apex Action</x:v>
      </x:c>
      <x:c r="E215" s="117" t="str">
        <x:v>Generate_Invoice</x:v>
      </x:c>
      <x:c r="F215" s="117" t="str">
        <x:v>InvoicePdfGenerator</x:v>
      </x:c>
      <x:c r="G215" s="117" t="str">
        <x:v>Review</x:v>
      </x:c>
      <x:c r="H215" s="119" t="str">
        <x:v>apex | Generate Invoice | CurrentTransaction</x:v>
      </x:c>
    </x:row>
    <x:row r="216" ht="34" customHeight="1">
      <x:c r="A216" s="117" t="str">
        <x:v>Invoice_Sync_Notification</x:v>
      </x:c>
      <x:c r="B216" s="117" t="str">
        <x:v>Yes</x:v>
      </x:c>
      <x:c r="C216" s="119" t="str">
        <x:v>Active v12 (Retrieved XML)</x:v>
      </x:c>
      <x:c r="D216" s="117" t="str">
        <x:v>Apex Action</x:v>
      </x:c>
      <x:c r="E216" s="117" t="str">
        <x:v>Interco_AP_Team_Notification</x:v>
      </x:c>
      <x:c r="F216" s="117" t="str">
        <x:v>SendBetterEmail</x:v>
      </x:c>
      <x:c r="G216" s="117" t="str">
        <x:v>Review</x:v>
      </x:c>
      <x:c r="H216" s="119" t="str">
        <x:v>apex | Interco AP Team Notification | CurrentTransaction</x:v>
      </x:c>
    </x:row>
    <x:row r="217" ht="34" customHeight="1">
      <x:c r="A217" s="117" t="str">
        <x:v>Invoice_Updates_and_Alerts_Flow</x:v>
      </x:c>
      <x:c r="B217" s="117" t="str">
        <x:v>No</x:v>
      </x:c>
      <x:c r="C217" s="119" t="str">
        <x:v>Latest inactive v1 (Retrieved XML)</x:v>
      </x:c>
      <x:c r="D217" s="117" t="str">
        <x:v>Built-in Action</x:v>
      </x:c>
      <x:c r="E217" s="117" t="str">
        <x:v>Send_Ben_an_Email</x:v>
      </x:c>
      <x:c r="F217" s="117" t="str">
        <x:v>emailSimple</x:v>
      </x:c>
      <x:c r="G217" s="117" t="str">
        <x:v>Platform</x:v>
      </x:c>
      <x:c r="H217" s="119" t="str">
        <x:v>emailSimple | Send Ben an Email | CurrentTransaction</x:v>
      </x:c>
    </x:row>
    <x:row r="218" ht="34" customHeight="1">
      <x:c r="A218" s="117" t="str">
        <x:v>Item_Receipt_Error_Email_to_Activate_Vendor_for_Item_Receipt</x:v>
      </x:c>
      <x:c r="B218" s="117" t="str">
        <x:v>Yes</x:v>
      </x:c>
      <x:c r="C218" s="119" t="str">
        <x:v>Active v3 (Retrieved XML)</x:v>
      </x:c>
      <x:c r="D218" s="117" t="str">
        <x:v>Built-in Action</x:v>
      </x:c>
      <x:c r="E218" s="117" t="str">
        <x:v>VendorNeedsActivation</x:v>
      </x:c>
      <x:c r="F218" s="117" t="str">
        <x:v>emailSimple</x:v>
      </x:c>
      <x:c r="G218" s="117" t="str">
        <x:v>Platform</x:v>
      </x:c>
      <x:c r="H218" s="119" t="str">
        <x:v>emailSimple | Send Email to Lori for Error | CurrentTransaction</x:v>
      </x:c>
    </x:row>
    <x:row r="219" ht="34" customHeight="1">
      <x:c r="A219" s="117" t="str">
        <x:v>Item_Receipt_Run_Trigger_Update_if_needed_for_Sync</x:v>
      </x:c>
      <x:c r="B219" s="117" t="str">
        <x:v>Yes</x:v>
      </x:c>
      <x:c r="C219" s="119" t="str">
        <x:v>Active v8 (Retrieved XML)</x:v>
      </x:c>
      <x:c r="D219" s="117" t="str">
        <x:v>Built-in Action</x:v>
      </x:c>
      <x:c r="E219" s="117" t="str">
        <x:v>Send_email_of_Items_Missing_GL_Accounts</x:v>
      </x:c>
      <x:c r="F219" s="117" t="str">
        <x:v>emailSimple</x:v>
      </x:c>
      <x:c r="G219" s="117" t="str">
        <x:v>Platform</x:v>
      </x:c>
      <x:c r="H219" s="119" t="str">
        <x:v>emailSimple | Send email of Items Missing GL Accounts | CurrentTransaction</x:v>
      </x:c>
    </x:row>
    <x:row r="220" ht="34" customHeight="1">
      <x:c r="A220" s="117" t="str">
        <x:v>KloudGin_Case_Created_Email_Notification</x:v>
      </x:c>
      <x:c r="B220" s="117" t="str">
        <x:v>Yes</x:v>
      </x:c>
      <x:c r="C220" s="119" t="str">
        <x:v>Active v28 (Retrieved XML)</x:v>
      </x:c>
      <x:c r="D220" s="117" t="str">
        <x:v>Built-in Action</x:v>
      </x:c>
      <x:c r="E220" s="117" t="str">
        <x:v>SendCaseEmailNotification</x:v>
      </x:c>
      <x:c r="F220" s="117" t="str">
        <x:v>emailSimple</x:v>
      </x:c>
      <x:c r="G220" s="117" t="str">
        <x:v>Platform</x:v>
      </x:c>
      <x:c r="H220" s="119" t="str">
        <x:v>emailSimple | SendCaseEmailNotification | CurrentTransaction</x:v>
      </x:c>
    </x:row>
    <x:row r="221" ht="34" customHeight="1">
      <x:c r="A221" s="117" t="str">
        <x:v>KloudGin_Case_Created_Email_Notification</x:v>
      </x:c>
      <x:c r="B221" s="117" t="str">
        <x:v>Yes</x:v>
      </x:c>
      <x:c r="C221" s="119" t="str">
        <x:v>Active v28 (Retrieved XML)</x:v>
      </x:c>
      <x:c r="D221" s="117" t="str">
        <x:v>Built-in Action</x:v>
      </x:c>
      <x:c r="E221" s="117" t="str">
        <x:v>SendCoilCaseEmailNotification</x:v>
      </x:c>
      <x:c r="F221" s="117" t="str">
        <x:v>emailSimple</x:v>
      </x:c>
      <x:c r="G221" s="117" t="str">
        <x:v>Platform</x:v>
      </x:c>
      <x:c r="H221" s="119" t="str">
        <x:v>emailSimple | SendCoilCaseEmailNotification | CurrentTransaction</x:v>
      </x:c>
    </x:row>
    <x:row r="222" ht="34" customHeight="1">
      <x:c r="A222" s="117" t="str">
        <x:v>KloudGin_Case_Created_Email_Notification</x:v>
      </x:c>
      <x:c r="B222" s="117" t="str">
        <x:v>Yes</x:v>
      </x:c>
      <x:c r="C222" s="119" t="str">
        <x:v>Active v28 (Retrieved XML)</x:v>
      </x:c>
      <x:c r="D222" s="117" t="str">
        <x:v>Built-in Action</x:v>
      </x:c>
      <x:c r="E222" s="117" t="str">
        <x:v>SendCaseAlert</x:v>
      </x:c>
      <x:c r="F222" s="117" t="str">
        <x:v>high_priority_case</x:v>
      </x:c>
      <x:c r="G222" s="117" t="str">
        <x:v>Platform</x:v>
      </x:c>
      <x:c r="H222" s="119" t="str">
        <x:v>sendNotification | SendCaseAlert | CurrentTransaction</x:v>
      </x:c>
    </x:row>
    <x:row r="223" ht="34" customHeight="1">
      <x:c r="A223" s="117" t="str">
        <x:v>Lead_Assignment_Flow</x:v>
      </x:c>
      <x:c r="B223" s="117" t="str">
        <x:v>No</x:v>
      </x:c>
      <x:c r="C223" s="119" t="str">
        <x:v>Latest inactive v38 (Retrieved XML)</x:v>
      </x:c>
      <x:c r="D223" s="117" t="str">
        <x:v>Built-in Action</x:v>
      </x:c>
      <x:c r="E223" s="117" t="str">
        <x:v>CopySend_New_Lead_Assigned_Email</x:v>
      </x:c>
      <x:c r="F223" s="117" t="str">
        <x:v>Lead.New_Lead_Assigned</x:v>
      </x:c>
      <x:c r="G223" s="117" t="str">
        <x:v>Platform</x:v>
      </x:c>
      <x:c r="H223" s="119" t="str">
        <x:v>emailAlert | Send New Lead Assigned Email | CurrentTransaction</x:v>
      </x:c>
    </x:row>
    <x:row r="224" ht="34" customHeight="1">
      <x:c r="A224" s="117" t="str">
        <x:v>Lead_Assignment_Flow</x:v>
      </x:c>
      <x:c r="B224" s="117" t="str">
        <x:v>No</x:v>
      </x:c>
      <x:c r="C224" s="119" t="str">
        <x:v>Latest inactive v38 (Retrieved XML)</x:v>
      </x:c>
      <x:c r="D224" s="117" t="str">
        <x:v>Built-in Action</x:v>
      </x:c>
      <x:c r="E224" s="117" t="str">
        <x:v>Send_New_Lead_Assigned_Email</x:v>
      </x:c>
      <x:c r="F224" s="117" t="str">
        <x:v>Lead.New_Lead_Assigned</x:v>
      </x:c>
      <x:c r="G224" s="117" t="str">
        <x:v>Platform</x:v>
      </x:c>
      <x:c r="H224" s="119" t="str">
        <x:v>emailAlert | Send New Lead Assigned Email | CurrentTransaction</x:v>
      </x:c>
    </x:row>
    <x:row r="225" ht="34" customHeight="1">
      <x:c r="A225" s="117" t="str">
        <x:v>Lead_Assignment_Flow_New_Simpler_Logic</x:v>
      </x:c>
      <x:c r="B225" s="117" t="str">
        <x:v>Yes</x:v>
      </x:c>
      <x:c r="C225" s="119" t="str">
        <x:v>Active v8 (Retrieved XML)</x:v>
      </x:c>
      <x:c r="D225" s="117" t="str">
        <x:v>Built-in Action</x:v>
      </x:c>
      <x:c r="E225" s="117" t="str">
        <x:v>CopySend_New_Lead_Assigned_Email</x:v>
      </x:c>
      <x:c r="F225" s="117" t="str">
        <x:v>Lead.New_Lead_Assigned</x:v>
      </x:c>
      <x:c r="G225" s="117" t="str">
        <x:v>Platform</x:v>
      </x:c>
      <x:c r="H225" s="119" t="str">
        <x:v>emailAlert | Send New Lead Assigned Email | CurrentTransaction</x:v>
      </x:c>
    </x:row>
    <x:row r="226" ht="34" customHeight="1">
      <x:c r="A226" s="117" t="str">
        <x:v>Lead_Assignment_Flow_New_Simpler_Logic</x:v>
      </x:c>
      <x:c r="B226" s="117" t="str">
        <x:v>Yes</x:v>
      </x:c>
      <x:c r="C226" s="119" t="str">
        <x:v>Active v8 (Retrieved XML)</x:v>
      </x:c>
      <x:c r="D226" s="117" t="str">
        <x:v>Built-in Action</x:v>
      </x:c>
      <x:c r="E226" s="117" t="str">
        <x:v>Send_New_Lead_Assigned_Email</x:v>
      </x:c>
      <x:c r="F226" s="117" t="str">
        <x:v>Lead.New_Lead_Assigned</x:v>
      </x:c>
      <x:c r="G226" s="117" t="str">
        <x:v>Platform</x:v>
      </x:c>
      <x:c r="H226" s="119" t="str">
        <x:v>emailAlert | Send New Lead Assigned Email | CurrentTransaction</x:v>
      </x:c>
    </x:row>
    <x:row r="227" ht="34" customHeight="1">
      <x:c r="A227" s="117" t="str">
        <x:v>Lead_Check_for_existing</x:v>
      </x:c>
      <x:c r="B227" s="117" t="str">
        <x:v>Yes</x:v>
      </x:c>
      <x:c r="C227" s="119" t="str">
        <x:v>Active v1 (Retrieved XML)</x:v>
      </x:c>
      <x:c r="D227" s="117" t="str">
        <x:v>Built-in Action</x:v>
      </x:c>
      <x:c r="E227" s="117" t="str">
        <x:v>myRule_5_A1</x:v>
      </x:c>
      <x:c r="F227" s="117" t="str">
        <x:v>Lead_Check_for_existing_Account_Account_Name</x:v>
      </x:c>
      <x:c r="G227" s="117" t="str">
        <x:v>Platform</x:v>
      </x:c>
      <x:c r="H227" s="119" t="str">
        <x:v>flow | Launch Account Check</x:v>
      </x:c>
    </x:row>
    <x:row r="228" ht="34" customHeight="1">
      <x:c r="A228" s="117" t="str">
        <x:v>Lead_Check_for_existing</x:v>
      </x:c>
      <x:c r="B228" s="117" t="str">
        <x:v>Yes</x:v>
      </x:c>
      <x:c r="C228" s="119" t="str">
        <x:v>Active v1 (Retrieved XML)</x:v>
      </x:c>
      <x:c r="D228" s="117" t="str">
        <x:v>Built-in Action</x:v>
      </x:c>
      <x:c r="E228" s="117" t="str">
        <x:v>myRule_1_A1</x:v>
      </x:c>
      <x:c r="F228" s="117" t="str">
        <x:v>Lead_Check_for_existing_contact_Email</x:v>
      </x:c>
      <x:c r="G228" s="117" t="str">
        <x:v>Platform</x:v>
      </x:c>
      <x:c r="H228" s="119" t="str">
        <x:v>flow | Launch Email Check</x:v>
      </x:c>
    </x:row>
    <x:row r="229" ht="34" customHeight="1">
      <x:c r="A229" s="117" t="str">
        <x:v>Lead_Check_for_existing</x:v>
      </x:c>
      <x:c r="B229" s="117" t="str">
        <x:v>Yes</x:v>
      </x:c>
      <x:c r="C229" s="119" t="str">
        <x:v>Active v1 (Retrieved XML)</x:v>
      </x:c>
      <x:c r="D229" s="117" t="str">
        <x:v>Built-in Action</x:v>
      </x:c>
      <x:c r="E229" s="117" t="str">
        <x:v>myRule_3_A1</x:v>
      </x:c>
      <x:c r="F229" s="117" t="str">
        <x:v>Lead_Check_for_existing_contact_Phone</x:v>
      </x:c>
      <x:c r="G229" s="117" t="str">
        <x:v>Platform</x:v>
      </x:c>
      <x:c r="H229" s="119" t="str">
        <x:v>flow | Launch Phone Check</x:v>
      </x:c>
    </x:row>
    <x:row r="230" ht="34" customHeight="1">
      <x:c r="A230" s="117" t="str">
        <x:v>Lead_Check_for_existing_contact_Email</x:v>
      </x:c>
      <x:c r="B230" s="117" t="str">
        <x:v>Yes</x:v>
      </x:c>
      <x:c r="C230" s="119" t="str">
        <x:v>Active v3 (Retrieved XML)</x:v>
      </x:c>
      <x:c r="D230" s="117" t="str">
        <x:v>Subflow</x:v>
      </x:c>
      <x:c r="E230" s="117" t="str">
        <x:v>Launch_Account_Check</x:v>
      </x:c>
      <x:c r="F230" s="117" t="str">
        <x:v>Lead_Check_for_existing_Account_Account_Name</x:v>
      </x:c>
      <x:c r="G230" s="117" t="str">
        <x:v>Yes</x:v>
      </x:c>
      <x:c r="H230" s="119" t="str">
        <x:v>Launch Account Check</x:v>
      </x:c>
    </x:row>
    <x:row r="231" ht="34" customHeight="1">
      <x:c r="A231" s="117" t="str">
        <x:v>Lead_Check_for_existing_contact_Email</x:v>
      </x:c>
      <x:c r="B231" s="117" t="str">
        <x:v>Yes</x:v>
      </x:c>
      <x:c r="C231" s="119" t="str">
        <x:v>Active v3 (Retrieved XML)</x:v>
      </x:c>
      <x:c r="D231" s="117" t="str">
        <x:v>Subflow</x:v>
      </x:c>
      <x:c r="E231" s="117" t="str">
        <x:v>Launch_Phone_Check</x:v>
      </x:c>
      <x:c r="F231" s="117" t="str">
        <x:v>Lead_Check_for_existing_contact_Phone</x:v>
      </x:c>
      <x:c r="G231" s="117" t="str">
        <x:v>Yes</x:v>
      </x:c>
      <x:c r="H231" s="119" t="str">
        <x:v>Launch Phone Check</x:v>
      </x:c>
    </x:row>
    <x:row r="232" ht="34" customHeight="1">
      <x:c r="A232" s="117" t="str">
        <x:v>Lead_Check_for_existing_contact_Phone</x:v>
      </x:c>
      <x:c r="B232" s="117" t="str">
        <x:v>Yes</x:v>
      </x:c>
      <x:c r="C232" s="119" t="str">
        <x:v>Active v3 (Retrieved XML)</x:v>
      </x:c>
      <x:c r="D232" s="117" t="str">
        <x:v>Subflow</x:v>
      </x:c>
      <x:c r="E232" s="117" t="str">
        <x:v>Launch_Account_Check</x:v>
      </x:c>
      <x:c r="F232" s="117" t="str">
        <x:v>Lead_Check_for_existing_Account_Account_Name</x:v>
      </x:c>
      <x:c r="G232" s="117" t="str">
        <x:v>Yes</x:v>
      </x:c>
      <x:c r="H232" s="119" t="str">
        <x:v>Launch Account Check</x:v>
      </x:c>
    </x:row>
    <x:row r="233" ht="34" customHeight="1">
      <x:c r="A233" s="117" t="str">
        <x:v>Lead_Gen_Lead_Notification_Flow</x:v>
      </x:c>
      <x:c r="B233" s="117" t="str">
        <x:v>Yes</x:v>
      </x:c>
      <x:c r="C233" s="119" t="str">
        <x:v>Active v4 (Retrieved XML)</x:v>
      </x:c>
      <x:c r="D233" s="117" t="str">
        <x:v>Built-in Action</x:v>
      </x:c>
      <x:c r="E233" s="117" t="str">
        <x:v>SendEmail</x:v>
      </x:c>
      <x:c r="F233" s="117" t="str">
        <x:v>emailSimple</x:v>
      </x:c>
      <x:c r="G233" s="117" t="str">
        <x:v>Platform</x:v>
      </x:c>
      <x:c r="H233" s="119" t="str">
        <x:v>emailSimple | SendEmail | CurrentTransaction</x:v>
      </x:c>
    </x:row>
    <x:row r="234" ht="34" customHeight="1">
      <x:c r="A234" s="117" t="str">
        <x:v>Lead_Trigger_Notify_Ultrasound_Team_Upon_Creation</x:v>
      </x:c>
      <x:c r="B234" s="117" t="str">
        <x:v>Yes</x:v>
      </x:c>
      <x:c r="C234" s="119" t="str">
        <x:v>Active v4 (Retrieved XML)</x:v>
      </x:c>
      <x:c r="D234" s="117" t="str">
        <x:v>Built-in Action</x:v>
      </x:c>
      <x:c r="E234" s="117" t="str">
        <x:v>Send_basic_lead_email_to_US_Team</x:v>
      </x:c>
      <x:c r="F234" s="117" t="str">
        <x:v>emailSimple</x:v>
      </x:c>
      <x:c r="G234" s="117" t="str">
        <x:v>Platform</x:v>
      </x:c>
      <x:c r="H234" s="119" t="str">
        <x:v>emailSimple | Send basic lead email to US Team | CurrentTransaction</x:v>
      </x:c>
    </x:row>
    <x:row r="235" ht="34" customHeight="1">
      <x:c r="A235" s="117" t="str">
        <x:v>Lead_Trigger_Notify_Ultrasound_Team_Upon_Creation</x:v>
      </x:c>
      <x:c r="B235" s="117" t="str">
        <x:v>Yes</x:v>
      </x:c>
      <x:c r="C235" s="119" t="str">
        <x:v>Active v4 (Retrieved XML)</x:v>
      </x:c>
      <x:c r="D235" s="117" t="str">
        <x:v>Built-in Action</x:v>
      </x:c>
      <x:c r="E235" s="117" t="str">
        <x:v>Send_Part_Sale_Notification</x:v>
      </x:c>
      <x:c r="F235" s="117" t="str">
        <x:v>emailSimple</x:v>
      </x:c>
      <x:c r="G235" s="117" t="str">
        <x:v>Platform</x:v>
      </x:c>
      <x:c r="H235" s="119" t="str">
        <x:v>emailSimple | Send Part Sale Notification | CurrentTransaction</x:v>
      </x:c>
    </x:row>
    <x:row r="236" ht="34" customHeight="1">
      <x:c r="A236" s="117" t="str">
        <x:v>Lead_Trigger_Notify_Ultrasound_Team_Upon_Creation</x:v>
      </x:c>
      <x:c r="B236" s="117" t="str">
        <x:v>Yes</x:v>
      </x:c>
      <x:c r="C236" s="119" t="str">
        <x:v>Active v4 (Retrieved XML)</x:v>
      </x:c>
      <x:c r="D236" s="117" t="str">
        <x:v>Built-in Action</x:v>
      </x:c>
      <x:c r="E236" s="117" t="str">
        <x:v>Send_Probe_Repair_Email</x:v>
      </x:c>
      <x:c r="F236" s="117" t="str">
        <x:v>emailSimple</x:v>
      </x:c>
      <x:c r="G236" s="117" t="str">
        <x:v>Platform</x:v>
      </x:c>
      <x:c r="H236" s="119" t="str">
        <x:v>emailSimple | Send Probe Repair Email | CurrentTransaction</x:v>
      </x:c>
    </x:row>
    <x:row r="237" ht="34" customHeight="1">
      <x:c r="A237" s="117" t="str">
        <x:v>Lead_Trigger_Notify_Ultrasound_Team_Upon_Creation</x:v>
      </x:c>
      <x:c r="B237" s="117" t="str">
        <x:v>Yes</x:v>
      </x:c>
      <x:c r="C237" s="119" t="str">
        <x:v>Active v4 (Retrieved XML)</x:v>
      </x:c>
      <x:c r="D237" s="117" t="str">
        <x:v>Built-in Action</x:v>
      </x:c>
      <x:c r="E237" s="117" t="str">
        <x:v>Send_Probe_Sale_Notification</x:v>
      </x:c>
      <x:c r="F237" s="117" t="str">
        <x:v>emailSimple</x:v>
      </x:c>
      <x:c r="G237" s="117" t="str">
        <x:v>Platform</x:v>
      </x:c>
      <x:c r="H237" s="119" t="str">
        <x:v>emailSimple | Send Probe Sale Notification | CurrentTransaction</x:v>
      </x:c>
    </x:row>
    <x:row r="238" ht="34" customHeight="1">
      <x:c r="A238" s="117" t="str">
        <x:v>Lead_Trigger_Notify_Ultrasound_Team_Upon_Creation</x:v>
      </x:c>
      <x:c r="B238" s="117" t="str">
        <x:v>Yes</x:v>
      </x:c>
      <x:c r="C238" s="119" t="str">
        <x:v>Active v4 (Retrieved XML)</x:v>
      </x:c>
      <x:c r="D238" s="117" t="str">
        <x:v>Built-in Action</x:v>
      </x:c>
      <x:c r="E238" s="117" t="str">
        <x:v>Send_System_Depot_Repair_Email</x:v>
      </x:c>
      <x:c r="F238" s="117" t="str">
        <x:v>emailSimple</x:v>
      </x:c>
      <x:c r="G238" s="117" t="str">
        <x:v>Platform</x:v>
      </x:c>
      <x:c r="H238" s="119" t="str">
        <x:v>emailSimple | Send System Depot Repair Email | CurrentTransaction</x:v>
      </x:c>
    </x:row>
    <x:row r="239" ht="34" customHeight="1">
      <x:c r="A239" s="117" t="str">
        <x:v>Manually_Send_Credit_Memo_to_Client</x:v>
      </x:c>
      <x:c r="B239" s="117" t="str">
        <x:v>Yes</x:v>
      </x:c>
      <x:c r="C239" s="119" t="str">
        <x:v>Active v3 (Retrieved XML)</x:v>
      </x:c>
      <x:c r="D239" s="117" t="str">
        <x:v>Apex Action</x:v>
      </x:c>
      <x:c r="E239" s="117" t="str">
        <x:v>Build_Credit_Memo_Attachment</x:v>
      </x:c>
      <x:c r="F239" s="117" t="str">
        <x:v>SaveCreditMemoPdfFileAction</x:v>
      </x:c>
      <x:c r="G239" s="117" t="str">
        <x:v>Review</x:v>
      </x:c>
      <x:c r="H239" s="119" t="str">
        <x:v>apex | Build Credit Memo Attachment | Automatic</x:v>
      </x:c>
    </x:row>
    <x:row r="240" ht="34" customHeight="1">
      <x:c r="A240" s="117" t="str">
        <x:v>Manually_Send_Credit_Memo_to_Client</x:v>
      </x:c>
      <x:c r="B240" s="117" t="str">
        <x:v>Yes</x:v>
      </x:c>
      <x:c r="C240" s="119" t="str">
        <x:v>Active v3 (Retrieved XML)</x:v>
      </x:c>
      <x:c r="D240" s="117" t="str">
        <x:v>Built-in Action</x:v>
      </x:c>
      <x:c r="E240" s="117" t="str">
        <x:v>Send_Credit_Memo_PDF</x:v>
      </x:c>
      <x:c r="F240" s="117" t="str">
        <x:v>emailSimple</x:v>
      </x:c>
      <x:c r="G240" s="117" t="str">
        <x:v>Platform</x:v>
      </x:c>
      <x:c r="H240" s="119" t="str">
        <x:v>emailSimple | Send Credit Memo PDF | CurrentTransaction</x:v>
      </x:c>
    </x:row>
    <x:row r="241" ht="34" customHeight="1">
      <x:c r="A241" s="117" t="str">
        <x:v>Mass_Move_Location_Screen_Flow</x:v>
      </x:c>
      <x:c r="B241" s="117" t="str">
        <x:v>Yes</x:v>
      </x:c>
      <x:c r="C241" s="119" t="str">
        <x:v>Active v5 (Retrieved XML)</x:v>
      </x:c>
      <x:c r="D241" s="117" t="str">
        <x:v>Screen Component</x:v>
      </x:c>
      <x:c r="E241" s="117" t="str">
        <x:v>Screen</x:v>
      </x:c>
      <x:c r="F241" s="117" t="str">
        <x:v>flowruntime:datatable</x:v>
      </x:c>
      <x:c r="G241" s="117" t="str">
        <x:v>Review</x:v>
      </x:c>
      <x:c r="H241" s="119" t="str">
        <x:v>LWC or Aura extension</x:v>
      </x:c>
    </x:row>
    <x:row r="242" ht="34" customHeight="1">
      <x:c r="A242" s="117" t="str">
        <x:v>Missing_Asset_Checkbox_Notification_on_Asset2</x:v>
      </x:c>
      <x:c r="B242" s="117" t="str">
        <x:v>Yes</x:v>
      </x:c>
      <x:c r="C242" s="119" t="str">
        <x:v>Active v2 (Retrieved XML)</x:v>
      </x:c>
      <x:c r="D242" s="117" t="str">
        <x:v>Built-in Action</x:v>
      </x:c>
      <x:c r="E242" s="117" t="str">
        <x:v>SendEmailToOpOwner</x:v>
      </x:c>
      <x:c r="F242" s="117" t="str">
        <x:v>emailSimple</x:v>
      </x:c>
      <x:c r="G242" s="117" t="str">
        <x:v>Platform</x:v>
      </x:c>
      <x:c r="H242" s="119" t="str">
        <x:v>emailSimple | SendEmailToOpOwner | CurrentTransaction</x:v>
      </x:c>
    </x:row>
    <x:row r="243" ht="34" customHeight="1">
      <x:c r="A243" s="117" t="str">
        <x:v>MIUS_Stores_Shipping_Notification</x:v>
      </x:c>
      <x:c r="B243" s="117" t="str">
        <x:v>No</x:v>
      </x:c>
      <x:c r="C243" s="119" t="str">
        <x:v>Latest inactive v1 (Retrieved XML)</x:v>
      </x:c>
      <x:c r="D243" s="117" t="str">
        <x:v>Built-in Action</x:v>
      </x:c>
      <x:c r="E243" s="117" t="str">
        <x:v>myRule_1_A1</x:v>
      </x:c>
      <x:c r="F243" s="117" t="str">
        <x:v>Opportunity.Shipping_Notification_to_MIUS_Stores_and_Stephen</x:v>
      </x:c>
      <x:c r="G243" s="117" t="str">
        <x:v>Platform</x:v>
      </x:c>
      <x:c r="H243" s="119" t="str">
        <x:v>emailAlert | Send Stores and Stephen an E-Mail | CurrentTransaction</x:v>
      </x:c>
    </x:row>
    <x:row r="244" ht="34" customHeight="1">
      <x:c r="A244" s="117" t="str">
        <x:v>New_BIAN</x:v>
      </x:c>
      <x:c r="B244" s="117" t="str">
        <x:v>No</x:v>
      </x:c>
      <x:c r="C244" s="119" t="str">
        <x:v>Latest inactive v2 (Retrieved XML)</x:v>
      </x:c>
      <x:c r="D244" s="117" t="str">
        <x:v>Built-in Action</x:v>
      </x:c>
      <x:c r="E244" s="117" t="str">
        <x:v>RadiologyEmail</x:v>
      </x:c>
      <x:c r="F244" s="117" t="str">
        <x:v>emailSimple</x:v>
      </x:c>
      <x:c r="G244" s="117" t="str">
        <x:v>Platform</x:v>
      </x:c>
      <x:c r="H244" s="119" t="str">
        <x:v>emailSimple | RadiologyEmail | CurrentTransaction</x:v>
      </x:c>
    </x:row>
    <x:row r="245" ht="34" customHeight="1">
      <x:c r="A245" s="117" t="str">
        <x:v>New_BIAN</x:v>
      </x:c>
      <x:c r="B245" s="117" t="str">
        <x:v>No</x:v>
      </x:c>
      <x:c r="C245" s="119" t="str">
        <x:v>Latest inactive v2 (Retrieved XML)</x:v>
      </x:c>
      <x:c r="D245" s="117" t="str">
        <x:v>Built-in Action</x:v>
      </x:c>
      <x:c r="E245" s="117" t="str">
        <x:v>Ultrasound_Email</x:v>
      </x:c>
      <x:c r="F245" s="117" t="str">
        <x:v>emailSimple</x:v>
      </x:c>
      <x:c r="G245" s="117" t="str">
        <x:v>Platform</x:v>
      </x:c>
      <x:c r="H245" s="119" t="str">
        <x:v>emailSimple | Ultrasound Email | CurrentTransaction</x:v>
      </x:c>
    </x:row>
    <x:row r="246" ht="34" customHeight="1">
      <x:c r="A246" s="117" t="str">
        <x:v>New_Move_Location_Screen_Flow</x:v>
      </x:c>
      <x:c r="B246" s="117" t="str">
        <x:v>Yes</x:v>
      </x:c>
      <x:c r="C246" s="119" t="str">
        <x:v>Active v38 (Retrieved XML)</x:v>
      </x:c>
      <x:c r="D246" s="117" t="str">
        <x:v>Screen Component</x:v>
      </x:c>
      <x:c r="E246" s="117" t="str">
        <x:v>Screen</x:v>
      </x:c>
      <x:c r="F246" s="117" t="str">
        <x:v>flowruntime:datatable</x:v>
      </x:c>
      <x:c r="G246" s="117" t="str">
        <x:v>Review</x:v>
      </x:c>
      <x:c r="H246" s="119" t="str">
        <x:v>LWC or Aura extension</x:v>
      </x:c>
    </x:row>
    <x:row r="247" ht="34" customHeight="1">
      <x:c r="A247" s="117" t="str">
        <x:v>New_Move_Location_Screen_Flow</x:v>
      </x:c>
      <x:c r="B247" s="117" t="str">
        <x:v>Yes</x:v>
      </x:c>
      <x:c r="C247" s="119" t="str">
        <x:v>Active v38 (Retrieved XML)</x:v>
      </x:c>
      <x:c r="D247" s="117" t="str">
        <x:v>Screen Component</x:v>
      </x:c>
      <x:c r="E247" s="117" t="str">
        <x:v>Screen</x:v>
      </x:c>
      <x:c r="F247" s="117" t="str">
        <x:v>flowruntime:dependentPicklists</x:v>
      </x:c>
      <x:c r="G247" s="117" t="str">
        <x:v>Review</x:v>
      </x:c>
      <x:c r="H247" s="119" t="str">
        <x:v>LWC or Aura extension</x:v>
      </x:c>
    </x:row>
    <x:row r="248" ht="34" customHeight="1">
      <x:c r="A248" s="117" t="str">
        <x:v>New_Opportunity_for_Existing_Contact_Form_Submissions</x:v>
      </x:c>
      <x:c r="B248" s="117" t="str">
        <x:v>No</x:v>
      </x:c>
      <x:c r="C248" s="119" t="str">
        <x:v>Latest inactive v7 (Retrieved XML)</x:v>
      </x:c>
      <x:c r="D248" s="117" t="str">
        <x:v>Built-in Action</x:v>
      </x:c>
      <x:c r="E248" s="117" t="str">
        <x:v>myRule_1_A2</x:v>
      </x:c>
      <x:c r="F248" s="117" t="str">
        <x:v>Contact.Alert_Owner_of_Pardot_Resubmission_Contact</x:v>
      </x:c>
      <x:c r="G248" s="117" t="str">
        <x:v>Platform</x:v>
      </x:c>
      <x:c r="H248" s="119" t="str">
        <x:v>emailAlert | SendEmailAlert</x:v>
      </x:c>
    </x:row>
    <x:row r="249" ht="34" customHeight="1">
      <x:c r="A249" s="117" t="str">
        <x:v>New_Parts_Opportunity_From_Work_Orker</x:v>
      </x:c>
      <x:c r="B249" s="117" t="str">
        <x:v>Yes</x:v>
      </x:c>
      <x:c r="C249" s="119" t="str">
        <x:v>Active v62 (Retrieved XML)</x:v>
      </x:c>
      <x:c r="D249" s="117" t="str">
        <x:v>Screen Component</x:v>
      </x:c>
      <x:c r="E249" s="117" t="str">
        <x:v>Screen</x:v>
      </x:c>
      <x:c r="F249" s="117" t="str">
        <x:v>flowruntime:actionButtonField</x:v>
      </x:c>
      <x:c r="G249" s="117" t="str">
        <x:v>Review</x:v>
      </x:c>
      <x:c r="H249" s="119" t="str">
        <x:v>LWC or Aura extension</x:v>
      </x:c>
    </x:row>
    <x:row r="250" ht="34" customHeight="1">
      <x:c r="A250" s="117" t="str">
        <x:v>New_Parts_Opportunity_From_Work_Orker</x:v>
      </x:c>
      <x:c r="B250" s="117" t="str">
        <x:v>Yes</x:v>
      </x:c>
      <x:c r="C250" s="119" t="str">
        <x:v>Active v62 (Retrieved XML)</x:v>
      </x:c>
      <x:c r="D250" s="117" t="str">
        <x:v>Screen Component</x:v>
      </x:c>
      <x:c r="E250" s="117" t="str">
        <x:v>Screen</x:v>
      </x:c>
      <x:c r="F250" s="117" t="str">
        <x:v>flowruntime:lookup</x:v>
      </x:c>
      <x:c r="G250" s="117" t="str">
        <x:v>Review</x:v>
      </x:c>
      <x:c r="H250" s="119" t="str">
        <x:v>LWC or Aura extension</x:v>
      </x:c>
    </x:row>
    <x:row r="251" ht="34" customHeight="1">
      <x:c r="A251" s="117" t="str">
        <x:v>Notify_existing_contact_owner_of_email_inquiry_submission</x:v>
      </x:c>
      <x:c r="B251" s="117" t="str">
        <x:v>No</x:v>
      </x:c>
      <x:c r="C251" s="119" t="str">
        <x:v>Latest inactive v8 (Retrieved XML)</x:v>
      </x:c>
      <x:c r="D251" s="117" t="str">
        <x:v>Built-in Action</x:v>
      </x:c>
      <x:c r="E251" s="117" t="str">
        <x:v>myWaitEvent_myWait_myRule_1_event_1_SA1</x:v>
      </x:c>
      <x:c r="F251" s="117" t="str">
        <x:v>Opportunity.Contact_Responded_to_Mass_Email</x:v>
      </x:c>
      <x:c r="G251" s="117" t="str">
        <x:v>Platform</x:v>
      </x:c>
      <x:c r="H251" s="119" t="str">
        <x:v>emailAlert | Email to Marketing</x:v>
      </x:c>
    </x:row>
    <x:row r="252" ht="34" customHeight="1">
      <x:c r="A252" s="117" t="str">
        <x:v>Notify_existing_contact_owner_of_email_inquiry_submission</x:v>
      </x:c>
      <x:c r="B252" s="117" t="str">
        <x:v>No</x:v>
      </x:c>
      <x:c r="C252" s="119" t="str">
        <x:v>Latest inactive v8 (Retrieved XML)</x:v>
      </x:c>
      <x:c r="D252" s="117" t="str">
        <x:v>Built-in Action</x:v>
      </x:c>
      <x:c r="E252" s="117" t="str">
        <x:v>myWaitEvent_myWait_myRule_1_event_0_SA1</x:v>
      </x:c>
      <x:c r="F252" s="117" t="str">
        <x:v>Opportunity.Response_received_by_customer_on_campaign_email</x:v>
      </x:c>
      <x:c r="G252" s="117" t="str">
        <x:v>Platform</x:v>
      </x:c>
      <x:c r="H252" s="119" t="str">
        <x:v>emailAlert | send alert to contact owner</x:v>
      </x:c>
    </x:row>
    <x:row r="253" ht="34" customHeight="1">
      <x:c r="A253" s="117" t="str">
        <x:v>Notify_When_Asset_Goes_from_Good_to_Bad</x:v>
      </x:c>
      <x:c r="B253" s="117" t="str">
        <x:v>No</x:v>
      </x:c>
      <x:c r="C253" s="119" t="str">
        <x:v>Latest inactive v1 (Retrieved XML)</x:v>
      </x:c>
      <x:c r="D253" s="117" t="str">
        <x:v>Built-in Action</x:v>
      </x:c>
      <x:c r="E253" s="117" t="str">
        <x:v>myRule_1_A1</x:v>
      </x:c>
      <x:c r="F253" s="117" t="str">
        <x:v>ProductItem__c.Bad_Asset_with_Cost_Went_from_Good_to_Bad</x:v>
      </x:c>
      <x:c r="G253" s="117" t="str">
        <x:v>Platform</x:v>
      </x:c>
      <x:c r="H253" s="119" t="str">
        <x:v>emailAlert | Email Adam and Jace</x:v>
      </x:c>
    </x:row>
    <x:row r="254" ht="34" customHeight="1">
      <x:c r="A254" s="117" t="str">
        <x:v>Notify_When_Opportunity_Ships_without_Being_Close_Won</x:v>
      </x:c>
      <x:c r="B254" s="117" t="str">
        <x:v>No</x:v>
      </x:c>
      <x:c r="C254" s="119" t="str">
        <x:v>Latest inactive v14 (Retrieved XML)</x:v>
      </x:c>
      <x:c r="D254" s="117" t="str">
        <x:v>Built-in Action</x:v>
      </x:c>
      <x:c r="E254" s="117" t="str">
        <x:v>myRule_1_A1</x:v>
      </x:c>
      <x:c r="F254" s="117" t="str">
        <x:v>Opportunity.Opportunity_Shipped_Without_Being_Closed_Won</x:v>
      </x:c>
      <x:c r="G254" s="117" t="str">
        <x:v>Platform</x:v>
      </x:c>
      <x:c r="H254" s="119" t="str">
        <x:v>emailAlert | Notify Adam</x:v>
      </x:c>
    </x:row>
    <x:row r="255" ht="34" customHeight="1">
      <x:c r="A255" s="117" t="str">
        <x:v>On_Entry_of_Confirmation_Number_Send_Prepay_Received_Email</x:v>
      </x:c>
      <x:c r="B255" s="117" t="str">
        <x:v>Yes</x:v>
      </x:c>
      <x:c r="C255" s="119" t="str">
        <x:v>Active v3 (Retrieved XML)</x:v>
      </x:c>
      <x:c r="D255" s="117" t="str">
        <x:v>Built-in Action</x:v>
      </x:c>
      <x:c r="E255" s="117" t="str">
        <x:v>Send_Prepay_Received_Email</x:v>
      </x:c>
      <x:c r="F255" s="117" t="str">
        <x:v>Opportunity.Prepay_Received</x:v>
      </x:c>
      <x:c r="G255" s="117" t="str">
        <x:v>Platform</x:v>
      </x:c>
      <x:c r="H255" s="119" t="str">
        <x:v>emailAlert | Send Prepay Received Email | CurrentTransaction</x:v>
      </x:c>
    </x:row>
    <x:row r="256" ht="34" customHeight="1">
      <x:c r="A256" s="117" t="str">
        <x:v>On_Entry_of_Confirmation_Number_Send_Prepay_Received_Email</x:v>
      </x:c>
      <x:c r="B256" s="117" t="str">
        <x:v>Yes</x:v>
      </x:c>
      <x:c r="C256" s="119" t="str">
        <x:v>Active v3 (Retrieved XML)</x:v>
      </x:c>
      <x:c r="D256" s="117" t="str">
        <x:v>Built-in Action</x:v>
      </x:c>
      <x:c r="E256" s="117" t="str">
        <x:v>Send_Chatter_to_Work_Order_Owner</x:v>
      </x:c>
      <x:c r="F256" s="117" t="str">
        <x:v>chatterPost</x:v>
      </x:c>
      <x:c r="G256" s="117" t="str">
        <x:v>Platform</x:v>
      </x:c>
      <x:c r="H256" s="119" t="str">
        <x:v>chatterPost | Send Chatter to Work Order Owner | CurrentTransaction</x:v>
      </x:c>
    </x:row>
    <x:row r="257" ht="34" customHeight="1">
      <x:c r="A257" s="117" t="str">
        <x:v>On_Opportunity_Product_Creation_Run_Avg_Inventory_Life_Rollup</x:v>
      </x:c>
      <x:c r="B257" s="117" t="str">
        <x:v>No</x:v>
      </x:c>
      <x:c r="C257" s="119" t="str">
        <x:v>Latest inactive v1 (Retrieved XML)</x:v>
      </x:c>
      <x:c r="D257" s="117" t="str">
        <x:v>Apex Action</x:v>
      </x:c>
      <x:c r="E257" s="117" t="str">
        <x:v>Run_Avg_Inventory_Life_Rollup</x:v>
      </x:c>
      <x:c r="F257" s="117" t="str">
        <x:v>dlrs__RollupActionCalculate</x:v>
      </x:c>
      <x:c r="G257" s="117" t="str">
        <x:v>Review</x:v>
      </x:c>
      <x:c r="H257" s="119" t="str">
        <x:v>apex | Run Avg Inventory Life Rollup | Automatic</x:v>
      </x:c>
    </x:row>
    <x:row r="258" ht="34" customHeight="1">
      <x:c r="A258" s="117" t="str">
        <x:v>On_SA_Cancellation_Close_all_Open_Sourcing_Requests</x:v>
      </x:c>
      <x:c r="B258" s="117" t="str">
        <x:v>Yes</x:v>
      </x:c>
      <x:c r="C258" s="119" t="str">
        <x:v>Active v2 (Retrieved XML)</x:v>
      </x:c>
      <x:c r="D258" s="117" t="str">
        <x:v>Built-in Action</x:v>
      </x:c>
      <x:c r="E258" s="117" t="str">
        <x:v>Send_Email_to_Parts_Mailbox</x:v>
      </x:c>
      <x:c r="F258" s="117" t="str">
        <x:v>emailSimple</x:v>
      </x:c>
      <x:c r="G258" s="117" t="str">
        <x:v>Platform</x:v>
      </x:c>
      <x:c r="H258" s="119" t="str">
        <x:v>emailSimple | Send Email to Parts Mailbox | CurrentTransaction</x:v>
      </x:c>
    </x:row>
    <x:row r="259" ht="34" customHeight="1">
      <x:c r="A259" s="117" t="str">
        <x:v>On_Update_Line_Item_Swap_on_Opp_Updates_Information_on_the_WOLI</x:v>
      </x:c>
      <x:c r="B259" s="117" t="str">
        <x:v>No</x:v>
      </x:c>
      <x:c r="C259" s="119" t="str">
        <x:v>Latest inactive v6 (Retrieved XML)</x:v>
      </x:c>
      <x:c r="D259" s="117" t="str">
        <x:v>Apex Action</x:v>
      </x:c>
      <x:c r="E259" s="117" t="str">
        <x:v>Get_Recently_Deleted_WOLI</x:v>
      </x:c>
      <x:c r="F259" s="117" t="str">
        <x:v>RecentlyDeletedWoliLookupInvocable</x:v>
      </x:c>
      <x:c r="G259" s="117" t="str">
        <x:v>Review</x:v>
      </x:c>
      <x:c r="H259" s="119" t="str">
        <x:v>apex | Get Recently Deleted WOLI | Automatic</x:v>
      </x:c>
    </x:row>
    <x:row r="260" ht="34" customHeight="1">
      <x:c r="A260" s="117" t="str">
        <x:v>On_Work_Order_Creation_Set_Chatter_Follow</x:v>
      </x:c>
      <x:c r="B260" s="117" t="str">
        <x:v>No</x:v>
      </x:c>
      <x:c r="C260" s="119" t="str">
        <x:v>Latest inactive v1 (Retrieved XML)</x:v>
      </x:c>
      <x:c r="D260" s="117" t="str">
        <x:v>Apex Action</x:v>
      </x:c>
      <x:c r="E260" s="117" t="str">
        <x:v>Create_Follow_Record_for_Creator</x:v>
      </x:c>
      <x:c r="F260" s="117" t="str">
        <x:v>FollowRecordAction</x:v>
      </x:c>
      <x:c r="G260" s="117" t="str">
        <x:v>Review</x:v>
      </x:c>
      <x:c r="H260" s="119" t="str">
        <x:v>apex | Create Follow Record for Creator | CurrentTransaction</x:v>
      </x:c>
    </x:row>
    <x:row r="261" ht="34" customHeight="1">
      <x:c r="A261" s="117" t="str">
        <x:v>Opportunity_Asset_Management_Screen_Flow</x:v>
      </x:c>
      <x:c r="B261" s="117" t="str">
        <x:v>Yes</x:v>
      </x:c>
      <x:c r="C261" s="119" t="str">
        <x:v>Active v9 (Retrieved XML)</x:v>
      </x:c>
      <x:c r="D261" s="117" t="str">
        <x:v>Built-in Action</x:v>
      </x:c>
      <x:c r="E261" s="117" t="str">
        <x:v>Open_ID_List_in_a_New_Tab</x:v>
      </x:c>
      <x:c r="F261" s="117" t="str">
        <x:v>c:fsc_openUrl</x:v>
      </x:c>
      <x:c r="G261" s="117" t="str">
        <x:v>Platform</x:v>
      </x:c>
      <x:c r="H261" s="119" t="str">
        <x:v>component | Open ID List in a New Tab | CurrentTransaction</x:v>
      </x:c>
    </x:row>
    <x:row r="262" ht="34" customHeight="1">
      <x:c r="A262" s="117" t="str">
        <x:v>Opportunity_Asset_Management_Screen_Flow</x:v>
      </x:c>
      <x:c r="B262" s="117" t="str">
        <x:v>Yes</x:v>
      </x:c>
      <x:c r="C262" s="119" t="str">
        <x:v>Active v9 (Retrieved XML)</x:v>
      </x:c>
      <x:c r="D262" s="117" t="str">
        <x:v>Screen Component</x:v>
      </x:c>
      <x:c r="E262" s="117" t="str">
        <x:v>Screen</x:v>
      </x:c>
      <x:c r="F262" s="117" t="str">
        <x:v>c:datatable</x:v>
      </x:c>
      <x:c r="G262" s="117" t="str">
        <x:v>Review</x:v>
      </x:c>
      <x:c r="H262" s="119" t="str">
        <x:v>LWC or Aura extension</x:v>
      </x:c>
    </x:row>
    <x:row r="263" ht="34" customHeight="1">
      <x:c r="A263" s="117" t="str">
        <x:v>Opportunity_Asset_Management_Screen_Flow</x:v>
      </x:c>
      <x:c r="B263" s="117" t="str">
        <x:v>Yes</x:v>
      </x:c>
      <x:c r="C263" s="119" t="str">
        <x:v>Active v9 (Retrieved XML)</x:v>
      </x:c>
      <x:c r="D263" s="117" t="str">
        <x:v>Screen Component</x:v>
      </x:c>
      <x:c r="E263" s="117" t="str">
        <x:v>Screen</x:v>
      </x:c>
      <x:c r="F263" s="117" t="str">
        <x:v>flowruntime:datatable</x:v>
      </x:c>
      <x:c r="G263" s="117" t="str">
        <x:v>Review</x:v>
      </x:c>
      <x:c r="H263" s="119" t="str">
        <x:v>LWC or Aura extension</x:v>
      </x:c>
    </x:row>
    <x:row r="264" ht="34" customHeight="1">
      <x:c r="A264" s="117" t="str">
        <x:v>Opportunity_Asset_Mass_Move_Location_Screen_Flow</x:v>
      </x:c>
      <x:c r="B264" s="117" t="str">
        <x:v>No</x:v>
      </x:c>
      <x:c r="C264" s="119" t="str">
        <x:v>Latest inactive v2 (Retrieved XML)</x:v>
      </x:c>
      <x:c r="D264" s="117" t="str">
        <x:v>Screen Component</x:v>
      </x:c>
      <x:c r="E264" s="117" t="str">
        <x:v>Screen</x:v>
      </x:c>
      <x:c r="F264" s="117" t="str">
        <x:v>flowruntime:datatable</x:v>
      </x:c>
      <x:c r="G264" s="117" t="str">
        <x:v>Review</x:v>
      </x:c>
      <x:c r="H264" s="119" t="str">
        <x:v>LWC or Aura extension</x:v>
      </x:c>
    </x:row>
    <x:row r="265" ht="34" customHeight="1">
      <x:c r="A265" s="117" t="str">
        <x:v>Opportunity_Asset_Mass_Move_Location_Screen_Flow</x:v>
      </x:c>
      <x:c r="B265" s="117" t="str">
        <x:v>No</x:v>
      </x:c>
      <x:c r="C265" s="119" t="str">
        <x:v>Latest inactive v2 (Retrieved XML)</x:v>
      </x:c>
      <x:c r="D265" s="117" t="str">
        <x:v>Screen Component</x:v>
      </x:c>
      <x:c r="E265" s="117" t="str">
        <x:v>Screen</x:v>
      </x:c>
      <x:c r="F265" s="117" t="str">
        <x:v>flowruntime:dependentPicklists</x:v>
      </x:c>
      <x:c r="G265" s="117" t="str">
        <x:v>Review</x:v>
      </x:c>
      <x:c r="H265" s="119" t="str">
        <x:v>LWC or Aura extension</x:v>
      </x:c>
    </x:row>
    <x:row r="266" ht="34" customHeight="1">
      <x:c r="A266" s="117" t="str">
        <x:v>Opportunity_Create_Processes</x:v>
      </x:c>
      <x:c r="B266" s="117" t="str">
        <x:v>No</x:v>
      </x:c>
      <x:c r="C266" s="119" t="str">
        <x:v>Latest inactive v4 (Retrieved XML)</x:v>
      </x:c>
      <x:c r="D266" s="117" t="str">
        <x:v>Built-in Action</x:v>
      </x:c>
      <x:c r="E266" s="117" t="str">
        <x:v>myWaitEvent_myWait_myRule_3_event_1_SA1</x:v>
      </x:c>
      <x:c r="F266" s="117" t="str">
        <x:v>Opportunity.Contact_Responded_to_Mass_Email</x:v>
      </x:c>
      <x:c r="G266" s="117" t="str">
        <x:v>Platform</x:v>
      </x:c>
      <x:c r="H266" s="119" t="str">
        <x:v>emailAlert | Email to Marketing | CurrentTransaction</x:v>
      </x:c>
    </x:row>
    <x:row r="267" ht="34" customHeight="1">
      <x:c r="A267" s="117" t="str">
        <x:v>Opportunity_Create_Processes</x:v>
      </x:c>
      <x:c r="B267" s="117" t="str">
        <x:v>No</x:v>
      </x:c>
      <x:c r="C267" s="119" t="str">
        <x:v>Latest inactive v4 (Retrieved XML)</x:v>
      </x:c>
      <x:c r="D267" s="117" t="str">
        <x:v>Built-in Action</x:v>
      </x:c>
      <x:c r="E267" s="117" t="str">
        <x:v>myWaitEvent_myWait_myRule_3_event_0_SA1</x:v>
      </x:c>
      <x:c r="F267" s="117" t="str">
        <x:v>Opportunity.Response_received_by_customer_on_campaign_email</x:v>
      </x:c>
      <x:c r="G267" s="117" t="str">
        <x:v>Platform</x:v>
      </x:c>
      <x:c r="H267" s="119" t="str">
        <x:v>emailAlert | send alert to contact owner | CurrentTransaction</x:v>
      </x:c>
    </x:row>
    <x:row r="268" ht="34" customHeight="1">
      <x:c r="A268" s="117" t="str">
        <x:v>Opportunity_Update_Processes</x:v>
      </x:c>
      <x:c r="B268" s="117" t="str">
        <x:v>Yes</x:v>
      </x:c>
      <x:c r="C268" s="119" t="str">
        <x:v>Active v66 (Retrieved XML)</x:v>
      </x:c>
      <x:c r="D268" s="117" t="str">
        <x:v>Built-in Action</x:v>
      </x:c>
      <x:c r="E268" s="117" t="str">
        <x:v>myRule_4_A1</x:v>
      </x:c>
      <x:c r="F268" s="117" t="str">
        <x:v>Opportunity.Confirmation_Number_Entered_on_Rental_Opps</x:v>
      </x:c>
      <x:c r="G268" s="117" t="str">
        <x:v>Platform</x:v>
      </x:c>
      <x:c r="H268" s="119" t="str">
        <x:v>emailAlert | Confirmation Number Entered on Rental Opps | CurrentTransaction</x:v>
      </x:c>
    </x:row>
    <x:row r="269" ht="34" customHeight="1">
      <x:c r="A269" s="117" t="str">
        <x:v>Opportunity_Update_Processes</x:v>
      </x:c>
      <x:c r="B269" s="117" t="str">
        <x:v>Yes</x:v>
      </x:c>
      <x:c r="C269" s="119" t="str">
        <x:v>Active v66 (Retrieved XML)</x:v>
      </x:c>
      <x:c r="D269" s="117" t="str">
        <x:v>Built-in Action</x:v>
      </x:c>
      <x:c r="E269" s="117" t="str">
        <x:v>myRule_10_A1</x:v>
      </x:c>
      <x:c r="F269" s="117" t="str">
        <x:v>Opportunity.Email_about_Closed_Won_Philips_Opps</x:v>
      </x:c>
      <x:c r="G269" s="117" t="str">
        <x:v>Platform</x:v>
      </x:c>
      <x:c r="H269" s="119" t="str">
        <x:v>emailAlert | Email_about_Closed_Won_Philips_Opps | CurrentTransaction</x:v>
      </x:c>
    </x:row>
    <x:row r="270" ht="34" customHeight="1">
      <x:c r="A270" s="117" t="str">
        <x:v>Opportunity_Update_Processes</x:v>
      </x:c>
      <x:c r="B270" s="117" t="str">
        <x:v>Yes</x:v>
      </x:c>
      <x:c r="C270" s="119" t="str">
        <x:v>Active v66 (Retrieved XML)</x:v>
      </x:c>
      <x:c r="D270" s="117" t="str">
        <x:v>Built-in Action</x:v>
      </x:c>
      <x:c r="E270" s="117" t="str">
        <x:v>myRule_7_A1</x:v>
      </x:c>
      <x:c r="F270" s="117" t="str">
        <x:v>Opportunity.Email_the_Shipping_Form_for_the_Opp</x:v>
      </x:c>
      <x:c r="G270" s="117" t="str">
        <x:v>Platform</x:v>
      </x:c>
      <x:c r="H270" s="119" t="str">
        <x:v>emailAlert | Email Shipping Form | CurrentTransaction</x:v>
      </x:c>
    </x:row>
    <x:row r="271" ht="34" customHeight="1">
      <x:c r="A271" s="117" t="str">
        <x:v>Opportunity_Update_Processes</x:v>
      </x:c>
      <x:c r="B271" s="117" t="str">
        <x:v>Yes</x:v>
      </x:c>
      <x:c r="C271" s="119" t="str">
        <x:v>Active v66 (Retrieved XML)</x:v>
      </x:c>
      <x:c r="D271" s="117" t="str">
        <x:v>Built-in Action</x:v>
      </x:c>
      <x:c r="E271" s="117" t="str">
        <x:v>myRule_1_A1</x:v>
      </x:c>
      <x:c r="F271" s="117" t="str">
        <x:v>Opportunity.Opportunity_Shipped_Without_Being_Closed_Won</x:v>
      </x:c>
      <x:c r="G271" s="117" t="str">
        <x:v>Platform</x:v>
      </x:c>
      <x:c r="H271" s="119" t="str">
        <x:v>emailAlert | Notify Adam | CurrentTransaction</x:v>
      </x:c>
    </x:row>
    <x:row r="272" ht="34" customHeight="1">
      <x:c r="A272" s="117" t="str">
        <x:v>Opportunity_Update_Processes</x:v>
      </x:c>
      <x:c r="B272" s="117" t="str">
        <x:v>Yes</x:v>
      </x:c>
      <x:c r="C272" s="119" t="str">
        <x:v>Active v66 (Retrieved XML)</x:v>
      </x:c>
      <x:c r="D272" s="117" t="str">
        <x:v>Built-in Action</x:v>
      </x:c>
      <x:c r="E272" s="117" t="str">
        <x:v>myRule_18_A1</x:v>
      </x:c>
      <x:c r="F272" s="117" t="str">
        <x:v>Opportunity.PartsSource_Opportunity_Received_Through_EDi</x:v>
      </x:c>
      <x:c r="G272" s="117" t="str">
        <x:v>Platform</x:v>
      </x:c>
      <x:c r="H272" s="119" t="str">
        <x:v>emailAlert | Send Email Alert | CurrentTransaction</x:v>
      </x:c>
    </x:row>
    <x:row r="273" ht="34" customHeight="1">
      <x:c r="A273" s="117" t="str">
        <x:v>Opportunity_Update_Processes</x:v>
      </x:c>
      <x:c r="B273" s="117" t="str">
        <x:v>Yes</x:v>
      </x:c>
      <x:c r="C273" s="119" t="str">
        <x:v>Active v66 (Retrieved XML)</x:v>
      </x:c>
      <x:c r="D273" s="117" t="str">
        <x:v>Built-in Action</x:v>
      </x:c>
      <x:c r="E273" s="117" t="str">
        <x:v>myRule_20_A1</x:v>
      </x:c>
      <x:c r="F273" s="117" t="str">
        <x:v>Opportunity.Probomedical_com_Opportunity_Received_Through_WooCommerce</x:v>
      </x:c>
      <x:c r="G273" s="117" t="str">
        <x:v>Platform</x:v>
      </x:c>
      <x:c r="H273" s="119" t="str">
        <x:v>emailAlert | Send Email Alert | CurrentTransaction</x:v>
      </x:c>
    </x:row>
    <x:row r="274" ht="34" customHeight="1">
      <x:c r="A274" s="117" t="str">
        <x:v>Original_Time_Warranty_Loaner_Action_Approved_Update</x:v>
      </x:c>
      <x:c r="B274" s="117" t="str">
        <x:v>Yes</x:v>
      </x:c>
      <x:c r="C274" s="119" t="str">
        <x:v>Active v13 (Retrieved XML)</x:v>
      </x:c>
      <x:c r="D274" s="117" t="str">
        <x:v>Built-in Action</x:v>
      </x:c>
      <x:c r="E274" s="117" t="str">
        <x:v>FSEEmailAlert</x:v>
      </x:c>
      <x:c r="F274" s="117" t="str">
        <x:v>emailSimple</x:v>
      </x:c>
      <x:c r="G274" s="117" t="str">
        <x:v>Platform</x:v>
      </x:c>
      <x:c r="H274" s="119" t="str">
        <x:v>emailSimple | FSEEmailAlert | CurrentTransaction</x:v>
      </x:c>
    </x:row>
    <x:row r="275" ht="34" customHeight="1">
      <x:c r="A275" s="117" t="str">
        <x:v>Parts_Pool_10k_Alert_Flow</x:v>
      </x:c>
      <x:c r="B275" s="117" t="str">
        <x:v>Yes</x:v>
      </x:c>
      <x:c r="C275" s="119" t="str">
        <x:v>Active v1 (Retrieved XML)</x:v>
      </x:c>
      <x:c r="D275" s="117" t="str">
        <x:v>Built-in Action</x:v>
      </x:c>
      <x:c r="E275" s="117" t="str">
        <x:v>PartsPoolAlert</x:v>
      </x:c>
      <x:c r="F275" s="117" t="str">
        <x:v>ContractLineItem.Parts_Pool_E_Mail_Alert</x:v>
      </x:c>
      <x:c r="G275" s="117" t="str">
        <x:v>Platform</x:v>
      </x:c>
      <x:c r="H275" s="119" t="str">
        <x:v>emailAlert | PartsPoolAlert | CurrentTransaction</x:v>
      </x:c>
    </x:row>
    <x:row r="276" ht="34" customHeight="1">
      <x:c r="A276" s="117" t="str">
        <x:v>Parts_Validation_Approval_Process</x:v>
      </x:c>
      <x:c r="B276" s="117" t="str">
        <x:v>No</x:v>
      </x:c>
      <x:c r="C276" s="119" t="str">
        <x:v>Latest inactive v6 (Retrieved XML)</x:v>
      </x:c>
      <x:c r="D276" s="117" t="str">
        <x:v>Built-in Action</x:v>
      </x:c>
      <x:c r="E276" s="117" t="str">
        <x:v>myRule_1_A1</x:v>
      </x:c>
      <x:c r="F276" s="117" t="str">
        <x:v>submit</x:v>
      </x:c>
      <x:c r="G276" s="117" t="str">
        <x:v>Platform</x:v>
      </x:c>
      <x:c r="H276" s="119" t="str">
        <x:v>submit | Parts Validation Approval | CurrentTransaction</x:v>
      </x:c>
    </x:row>
    <x:row r="277" ht="34" customHeight="1">
      <x:c r="A277" s="117" t="str">
        <x:v>Parts_Validation_Approval_Process_1</x:v>
      </x:c>
      <x:c r="B277" s="117" t="str">
        <x:v>Yes</x:v>
      </x:c>
      <x:c r="C277" s="119" t="str">
        <x:v>Active v4 (Retrieved XML)</x:v>
      </x:c>
      <x:c r="D277" s="117" t="str">
        <x:v>Built-in Action</x:v>
      </x:c>
      <x:c r="E277" s="117" t="str">
        <x:v>myRule_1_A1</x:v>
      </x:c>
      <x:c r="F277" s="117" t="str">
        <x:v>submit</x:v>
      </x:c>
      <x:c r="G277" s="117" t="str">
        <x:v>Platform</x:v>
      </x:c>
      <x:c r="H277" s="119" t="str">
        <x:v>submit | Parts Validation Approval | CurrentTransaction</x:v>
      </x:c>
    </x:row>
    <x:row r="278" ht="34" customHeight="1">
      <x:c r="A278" s="117" t="str">
        <x:v>PartsReadyForCollectionServiceAppointmentAlert</x:v>
      </x:c>
      <x:c r="B278" s="117" t="str">
        <x:v>Yes</x:v>
      </x:c>
      <x:c r="C278" s="119" t="str">
        <x:v>Active v2 (Retrieved XML)</x:v>
      </x:c>
      <x:c r="D278" s="117" t="str">
        <x:v>Built-in Action</x:v>
      </x:c>
      <x:c r="E278" s="117" t="str">
        <x:v>Copy_1_of_AlertEngineerAndJon</x:v>
      </x:c>
      <x:c r="F278" s="117" t="str">
        <x:v>emailSimple</x:v>
      </x:c>
      <x:c r="G278" s="117" t="str">
        <x:v>Platform</x:v>
      </x:c>
      <x:c r="H278" s="119" t="str">
        <x:v>emailSimple | Copy 1 of AlertEngineerAndJon | CurrentTransaction</x:v>
      </x:c>
    </x:row>
    <x:row r="279" ht="34" customHeight="1">
      <x:c r="A279" s="117" t="str">
        <x:v>PartsReadyForCollectionWorkOrderAlert</x:v>
      </x:c>
      <x:c r="B279" s="117" t="str">
        <x:v>Yes</x:v>
      </x:c>
      <x:c r="C279" s="119" t="str">
        <x:v>Active v7 (Retrieved XML)</x:v>
      </x:c>
      <x:c r="D279" s="117" t="str">
        <x:v>Built-in Action</x:v>
      </x:c>
      <x:c r="E279" s="117" t="str">
        <x:v>Copy_1_of_AlertEngineerAndJon</x:v>
      </x:c>
      <x:c r="F279" s="117" t="str">
        <x:v>emailSimple</x:v>
      </x:c>
      <x:c r="G279" s="117" t="str">
        <x:v>Platform</x:v>
      </x:c>
      <x:c r="H279" s="119" t="str">
        <x:v>emailSimple | Copy 1 of AlertEngineerAndJon | CurrentTransaction</x:v>
      </x:c>
    </x:row>
    <x:row r="280" ht="34" customHeight="1">
      <x:c r="A280" s="117" t="str">
        <x:v>PB_Asset2</x:v>
      </x:c>
      <x:c r="B280" s="117" t="str">
        <x:v>No</x:v>
      </x:c>
      <x:c r="C280" s="119" t="str">
        <x:v>Latest inactive v4 (Retrieved XML)</x:v>
      </x:c>
      <x:c r="D280" s="117" t="str">
        <x:v>Built-in Action</x:v>
      </x:c>
      <x:c r="E280" s="117" t="str">
        <x:v>myRule_1_A1</x:v>
      </x:c>
      <x:c r="F280" s="117" t="str">
        <x:v>ProductItem__c.Bad_Asset_with_Cost_Went_from_Good_to_Bad</x:v>
      </x:c>
      <x:c r="G280" s="117" t="str">
        <x:v>Platform</x:v>
      </x:c>
      <x:c r="H280" s="119" t="str">
        <x:v>emailAlert | Email Adam and Jace | CurrentTransaction</x:v>
      </x:c>
    </x:row>
    <x:row r="281" ht="34" customHeight="1">
      <x:c r="A281" s="117" t="str">
        <x:v>PB_Asset2</x:v>
      </x:c>
      <x:c r="B281" s="117" t="str">
        <x:v>No</x:v>
      </x:c>
      <x:c r="C281" s="119" t="str">
        <x:v>Latest inactive v4 (Retrieved XML)</x:v>
      </x:c>
      <x:c r="D281" s="117" t="str">
        <x:v>Built-in Action</x:v>
      </x:c>
      <x:c r="E281" s="117" t="str">
        <x:v>myRule_3_A1</x:v>
      </x:c>
      <x:c r="F281" s="117" t="str">
        <x:v>ProductItem__c.Ebay_Out_of_Flow</x:v>
      </x:c>
      <x:c r="G281" s="117" t="str">
        <x:v>Platform</x:v>
      </x:c>
      <x:c r="H281" s="119" t="str">
        <x:v>emailAlert | Ebay Out of Flow | CurrentTransaction</x:v>
      </x:c>
    </x:row>
    <x:row r="282" ht="34" customHeight="1">
      <x:c r="A282" s="117" t="str">
        <x:v>PB_Asset2</x:v>
      </x:c>
      <x:c r="B282" s="117" t="str">
        <x:v>No</x:v>
      </x:c>
      <x:c r="C282" s="119" t="str">
        <x:v>Latest inactive v4 (Retrieved XML)</x:v>
      </x:c>
      <x:c r="D282" s="117" t="str">
        <x:v>Built-in Action</x:v>
      </x:c>
      <x:c r="E282" s="117" t="str">
        <x:v>myRule_5_A1</x:v>
      </x:c>
      <x:c r="F282" s="117" t="str">
        <x:v>ProductItem__c.Warranty_Expiration_Approaching</x:v>
      </x:c>
      <x:c r="G282" s="117" t="str">
        <x:v>Platform</x:v>
      </x:c>
      <x:c r="H282" s="119" t="str">
        <x:v>emailAlert | Warranty Expiration Approaching | CurrentTransaction</x:v>
      </x:c>
    </x:row>
    <x:row r="283" ht="34" customHeight="1">
      <x:c r="A283" s="117" t="str">
        <x:v>PB_Invoice</x:v>
      </x:c>
      <x:c r="B283" s="117" t="str">
        <x:v>Yes</x:v>
      </x:c>
      <x:c r="C283" s="119" t="str">
        <x:v>Active v21 (Retrieved XML)</x:v>
      </x:c>
      <x:c r="D283" s="117" t="str">
        <x:v>Built-in Action</x:v>
      </x:c>
      <x:c r="E283" s="117" t="str">
        <x:v>myRule_3_A2</x:v>
      </x:c>
      <x:c r="F283" s="117" t="str">
        <x:v>Create_Commission</x:v>
      </x:c>
      <x:c r="G283" s="117" t="str">
        <x:v>Platform</x:v>
      </x:c>
      <x:c r="H283" s="119" t="str">
        <x:v>flow | Create Commission | CurrentTransaction</x:v>
      </x:c>
    </x:row>
    <x:row r="284" ht="34" customHeight="1">
      <x:c r="A284" s="117" t="str">
        <x:v>PB_Invoice</x:v>
      </x:c>
      <x:c r="B284" s="117" t="str">
        <x:v>Yes</x:v>
      </x:c>
      <x:c r="C284" s="119" t="str">
        <x:v>Active v21 (Retrieved XML)</x:v>
      </x:c>
      <x:c r="D284" s="117" t="str">
        <x:v>Built-in Action</x:v>
      </x:c>
      <x:c r="E284" s="117" t="str">
        <x:v>myRule_6_A1</x:v>
      </x:c>
      <x:c r="F284" s="117" t="str">
        <x:v>Update_Physical_Location_on_Products_from_Invoice</x:v>
      </x:c>
      <x:c r="G284" s="117" t="str">
        <x:v>Platform</x:v>
      </x:c>
      <x:c r="H284" s="119" t="str">
        <x:v>flow | Update Physical Location on Assets | CurrentTransaction</x:v>
      </x:c>
    </x:row>
    <x:row r="285" ht="34" customHeight="1">
      <x:c r="A285" s="117" t="str">
        <x:v>PB_Opportunity_Line_Items</x:v>
      </x:c>
      <x:c r="B285" s="117" t="str">
        <x:v>No</x:v>
      </x:c>
      <x:c r="C285" s="119" t="str">
        <x:v>Latest inactive v4 (Retrieved XML)</x:v>
      </x:c>
      <x:c r="D285" s="117" t="str">
        <x:v>Built-in Action</x:v>
      </x:c>
      <x:c r="E285" s="117" t="str">
        <x:v>myRule_1_A1</x:v>
      </x:c>
      <x:c r="F285" s="117" t="str">
        <x:v>Count_Invoice_Products</x:v>
      </x:c>
      <x:c r="G285" s="117" t="str">
        <x:v>Platform</x:v>
      </x:c>
      <x:c r="H285" s="119" t="str">
        <x:v>flow | Update Invoice Product Count | CurrentTransaction</x:v>
      </x:c>
    </x:row>
    <x:row r="286" ht="34" customHeight="1">
      <x:c r="A286" s="117" t="str">
        <x:v>PB_Opportunity_Line_Items</x:v>
      </x:c>
      <x:c r="B286" s="117" t="str">
        <x:v>No</x:v>
      </x:c>
      <x:c r="C286" s="119" t="str">
        <x:v>Latest inactive v4 (Retrieved XML)</x:v>
      </x:c>
      <x:c r="D286" s="117" t="str">
        <x:v>Built-in Action</x:v>
      </x:c>
      <x:c r="E286" s="117" t="str">
        <x:v>myRule_3_A1</x:v>
      </x:c>
      <x:c r="F286" s="117" t="str">
        <x:v>OpportunityLineItem.Pre_Ship_Test_Needed</x:v>
      </x:c>
      <x:c r="G286" s="117" t="str">
        <x:v>Platform</x:v>
      </x:c>
      <x:c r="H286" s="119" t="str">
        <x:v>emailAlert | Pre Ship Test Needed | CurrentTransaction</x:v>
      </x:c>
    </x:row>
    <x:row r="287" ht="34" customHeight="1">
      <x:c r="A287" s="117" t="str">
        <x:v>PB_Product_Repair</x:v>
      </x:c>
      <x:c r="B287" s="117" t="str">
        <x:v>No</x:v>
      </x:c>
      <x:c r="C287" s="119" t="str">
        <x:v>Latest inactive v3 (Retrieved XML)</x:v>
      </x:c>
      <x:c r="D287" s="117" t="str">
        <x:v>Built-in Action</x:v>
      </x:c>
      <x:c r="E287" s="117" t="str">
        <x:v>myRule_3_A1</x:v>
      </x:c>
      <x:c r="F287" s="117" t="str">
        <x:v>Product_Repair__c.Email_tech_if_repair_result_set_to_fail_by_someone_else</x:v>
      </x:c>
      <x:c r="G287" s="117" t="str">
        <x:v>Platform</x:v>
      </x:c>
      <x:c r="H287" s="119" t="str">
        <x:v>emailAlert | Repair result set to fail by someone else | CurrentTransaction</x:v>
      </x:c>
    </x:row>
    <x:row r="288" ht="34" customHeight="1">
      <x:c r="A288" s="117" t="str">
        <x:v>PB_Product_Repair</x:v>
      </x:c>
      <x:c r="B288" s="117" t="str">
        <x:v>No</x:v>
      </x:c>
      <x:c r="C288" s="119" t="str">
        <x:v>Latest inactive v3 (Retrieved XML)</x:v>
      </x:c>
      <x:c r="D288" s="117" t="str">
        <x:v>Built-in Action</x:v>
      </x:c>
      <x:c r="E288" s="117" t="str">
        <x:v>myRule_1_A1</x:v>
      </x:c>
      <x:c r="F288" s="117" t="str">
        <x:v>Product_Repair__c.White_Glove_Probe_Repair_Completed</x:v>
      </x:c>
      <x:c r="G288" s="117" t="str">
        <x:v>Platform</x:v>
      </x:c>
      <x:c r="H288" s="119" t="str">
        <x:v>emailAlert | WG Probe repair completed | CurrentTransaction</x:v>
      </x:c>
    </x:row>
    <x:row r="289" ht="34" customHeight="1">
      <x:c r="A289" s="117" t="str">
        <x:v>PB_Task</x:v>
      </x:c>
      <x:c r="B289" s="117" t="str">
        <x:v>Yes</x:v>
      </x:c>
      <x:c r="C289" s="119" t="str">
        <x:v>Active v1 (Retrieved XML)</x:v>
      </x:c>
      <x:c r="D289" s="117" t="str">
        <x:v>Built-in Action</x:v>
      </x:c>
      <x:c r="E289" s="117" t="str">
        <x:v>myRule_1_A1</x:v>
      </x:c>
      <x:c r="F289" s="117" t="str">
        <x:v>Set_Task_Ownership_from_Delegate_to_Opp_Owner</x:v>
      </x:c>
      <x:c r="G289" s="117" t="str">
        <x:v>Platform</x:v>
      </x:c>
      <x:c r="H289" s="119" t="str">
        <x:v>flow | Change Task Ownership from Delegate | CurrentTransaction</x:v>
      </x:c>
    </x:row>
    <x:row r="290" ht="34" customHeight="1">
      <x:c r="A290" s="117" t="str">
        <x:v>PM_Task_Assigned_E_Mail_Alerts</x:v>
      </x:c>
      <x:c r="B290" s="117" t="str">
        <x:v>Yes</x:v>
      </x:c>
      <x:c r="C290" s="119" t="str">
        <x:v>Active v3 (Retrieved XML)</x:v>
      </x:c>
      <x:c r="D290" s="117" t="str">
        <x:v>Built-in Action</x:v>
      </x:c>
      <x:c r="E290" s="117" t="str">
        <x:v>SendAlert</x:v>
      </x:c>
      <x:c r="F290" s="117" t="str">
        <x:v>emailSimple</x:v>
      </x:c>
      <x:c r="G290" s="117" t="str">
        <x:v>Platform</x:v>
      </x:c>
      <x:c r="H290" s="119" t="str">
        <x:v>emailSimple | SendAlert | CurrentTransaction</x:v>
      </x:c>
    </x:row>
    <x:row r="291" ht="34" customHeight="1">
      <x:c r="A291" s="117" t="str">
        <x:v>PM_Task_Assigned_E_Mail_Alerts</x:v>
      </x:c>
      <x:c r="B291" s="117" t="str">
        <x:v>Yes</x:v>
      </x:c>
      <x:c r="C291" s="119" t="str">
        <x:v>Active v3 (Retrieved XML)</x:v>
      </x:c>
      <x:c r="D291" s="117" t="str">
        <x:v>Built-in Action</x:v>
      </x:c>
      <x:c r="E291" s="117" t="str">
        <x:v>SendAlert_0</x:v>
      </x:c>
      <x:c r="F291" s="117" t="str">
        <x:v>emailSimple</x:v>
      </x:c>
      <x:c r="G291" s="117" t="str">
        <x:v>Platform</x:v>
      </x:c>
      <x:c r="H291" s="119" t="str">
        <x:v>emailSimple | SendAlert | CurrentTransaction</x:v>
      </x:c>
    </x:row>
    <x:row r="292" ht="34" customHeight="1">
      <x:c r="A292" s="117" t="str">
        <x:v>Pricing_Request_Response_Notification_Flow</x:v>
      </x:c>
      <x:c r="B292" s="117" t="str">
        <x:v>Yes</x:v>
      </x:c>
      <x:c r="C292" s="119" t="str">
        <x:v>Active v9 (Retrieved XML)</x:v>
      </x:c>
      <x:c r="D292" s="117" t="str">
        <x:v>Built-in Action</x:v>
      </x:c>
      <x:c r="E292" s="117" t="str">
        <x:v>SendEmail</x:v>
      </x:c>
      <x:c r="F292" s="117" t="str">
        <x:v>emailSimple</x:v>
      </x:c>
      <x:c r="G292" s="117" t="str">
        <x:v>Platform</x:v>
      </x:c>
      <x:c r="H292" s="119" t="str">
        <x:v>emailSimple | SendEmail | CurrentTransaction</x:v>
      </x:c>
    </x:row>
    <x:row r="293" ht="34" customHeight="1">
      <x:c r="A293" s="117" t="str">
        <x:v>Pricing_Request_Response_Notification_Flow</x:v>
      </x:c>
      <x:c r="B293" s="117" t="str">
        <x:v>Yes</x:v>
      </x:c>
      <x:c r="C293" s="119" t="str">
        <x:v>Active v9 (Retrieved XML)</x:v>
      </x:c>
      <x:c r="D293" s="117" t="str">
        <x:v>Built-in Action</x:v>
      </x:c>
      <x:c r="E293" s="117" t="str">
        <x:v>SendScopeEmail</x:v>
      </x:c>
      <x:c r="F293" s="117" t="str">
        <x:v>emailSimple</x:v>
      </x:c>
      <x:c r="G293" s="117" t="str">
        <x:v>Platform</x:v>
      </x:c>
      <x:c r="H293" s="119" t="str">
        <x:v>emailSimple | SendScopeEmail | CurrentTransaction</x:v>
      </x:c>
    </x:row>
    <x:row r="294" ht="34" customHeight="1">
      <x:c r="A294" s="117" t="str">
        <x:v>Probe_Repair_Update_from_RMA</x:v>
      </x:c>
      <x:c r="B294" s="117" t="str">
        <x:v>Yes</x:v>
      </x:c>
      <x:c r="C294" s="119" t="str">
        <x:v>Active v15 (Retrieved XML)</x:v>
      </x:c>
      <x:c r="D294" s="117" t="str">
        <x:v>Built-in Action</x:v>
      </x:c>
      <x:c r="E294" s="117" t="str">
        <x:v>myRule_20_A1</x:v>
      </x:c>
      <x:c r="F294" s="117" t="str">
        <x:v>RMA__c.Auto_Reminder_Email_for_Core_Exchanges</x:v>
      </x:c>
      <x:c r="G294" s="117" t="str">
        <x:v>Platform</x:v>
      </x:c>
      <x:c r="H294" s="119" t="str">
        <x:v>emailAlert | Auto-Reminder Email for Core Exchanges | CurrentTransaction</x:v>
      </x:c>
    </x:row>
    <x:row r="295" ht="34" customHeight="1">
      <x:c r="A295" s="117" t="str">
        <x:v>Probe_Repair_Update_from_RMA</x:v>
      </x:c>
      <x:c r="B295" s="117" t="str">
        <x:v>Yes</x:v>
      </x:c>
      <x:c r="C295" s="119" t="str">
        <x:v>Active v15 (Retrieved XML)</x:v>
      </x:c>
      <x:c r="D295" s="117" t="str">
        <x:v>Built-in Action</x:v>
      </x:c>
      <x:c r="E295" s="117" t="str">
        <x:v>myRule_7_A1</x:v>
      </x:c>
      <x:c r="F295" s="117" t="str">
        <x:v>RMA__c.Check_In_as_Core_Exchange</x:v>
      </x:c>
      <x:c r="G295" s="117" t="str">
        <x:v>Platform</x:v>
      </x:c>
      <x:c r="H295" s="119" t="str">
        <x:v>emailAlert | Email Alert Check In as Core Exchange | CurrentTransaction</x:v>
      </x:c>
    </x:row>
    <x:row r="296" ht="34" customHeight="1">
      <x:c r="A296" s="117" t="str">
        <x:v>Probe_Repair_Update_from_RMA</x:v>
      </x:c>
      <x:c r="B296" s="117" t="str">
        <x:v>Yes</x:v>
      </x:c>
      <x:c r="C296" s="119" t="str">
        <x:v>Active v15 (Retrieved XML)</x:v>
      </x:c>
      <x:c r="D296" s="117" t="str">
        <x:v>Built-in Action</x:v>
      </x:c>
      <x:c r="E296" s="117" t="str">
        <x:v>myRule_42_A1</x:v>
      </x:c>
      <x:c r="F296" s="117" t="str">
        <x:v>RMA__c.Email_when_RMA_approved_to_ship</x:v>
      </x:c>
      <x:c r="G296" s="117" t="str">
        <x:v>Platform</x:v>
      </x:c>
      <x:c r="H296" s="119" t="str">
        <x:v>emailAlert | Email approved to ship | CurrentTransaction</x:v>
      </x:c>
    </x:row>
    <x:row r="297" ht="34" customHeight="1">
      <x:c r="A297" s="117" t="str">
        <x:v>Probe_Repair_Update_from_RMA</x:v>
      </x:c>
      <x:c r="B297" s="117" t="str">
        <x:v>Yes</x:v>
      </x:c>
      <x:c r="C297" s="119" t="str">
        <x:v>Active v15 (Retrieved XML)</x:v>
      </x:c>
      <x:c r="D297" s="117" t="str">
        <x:v>Built-in Action</x:v>
      </x:c>
      <x:c r="E297" s="117" t="str">
        <x:v>myRule_40_A1</x:v>
      </x:c>
      <x:c r="F297" s="117" t="str">
        <x:v>RMA__c.Email_when_RMA_approved_to_ship_endoscopy</x:v>
      </x:c>
      <x:c r="G297" s="117" t="str">
        <x:v>Platform</x:v>
      </x:c>
      <x:c r="H297" s="119" t="str">
        <x:v>emailAlert | Email approved to ship - Endoscopy | CurrentTransaction</x:v>
      </x:c>
    </x:row>
    <x:row r="298" ht="34" customHeight="1">
      <x:c r="A298" s="117" t="str">
        <x:v>Probe_Repair_Update_from_RMA</x:v>
      </x:c>
      <x:c r="B298" s="117" t="str">
        <x:v>Yes</x:v>
      </x:c>
      <x:c r="C298" s="119" t="str">
        <x:v>Active v15 (Retrieved XML)</x:v>
      </x:c>
      <x:c r="D298" s="117" t="str">
        <x:v>Built-in Action</x:v>
      </x:c>
      <x:c r="E298" s="117" t="str">
        <x:v>myRule_24_A1</x:v>
      </x:c>
      <x:c r="F298" s="117" t="str">
        <x:v>RMA__c.Email_when_Rental_RMA_item_is_received</x:v>
      </x:c>
      <x:c r="G298" s="117" t="str">
        <x:v>Platform</x:v>
      </x:c>
      <x:c r="H298" s="119" t="str">
        <x:v>emailAlert | Email when Rental RMA item is received | CurrentTransaction</x:v>
      </x:c>
    </x:row>
    <x:row r="299" ht="34" customHeight="1">
      <x:c r="A299" s="117" t="str">
        <x:v>Probe_Repair_Update_from_RMA</x:v>
      </x:c>
      <x:c r="B299" s="117" t="str">
        <x:v>Yes</x:v>
      </x:c>
      <x:c r="C299" s="119" t="str">
        <x:v>Active v15 (Retrieved XML)</x:v>
      </x:c>
      <x:c r="D299" s="117" t="str">
        <x:v>Built-in Action</x:v>
      </x:c>
      <x:c r="E299" s="117" t="str">
        <x:v>myRule_34_A1</x:v>
      </x:c>
      <x:c r="F299" s="117" t="str">
        <x:v>RMA__c.Email_when_Repair_Evaluation_is_Approved</x:v>
      </x:c>
      <x:c r="G299" s="117" t="str">
        <x:v>Platform</x:v>
      </x:c>
      <x:c r="H299" s="119" t="str">
        <x:v>emailAlert | Email when Repair Evaluation is Approved | CurrentTransaction</x:v>
      </x:c>
    </x:row>
    <x:row r="300" ht="34" customHeight="1">
      <x:c r="A300" s="117" t="str">
        <x:v>Probe_Repair_Update_from_RMA</x:v>
      </x:c>
      <x:c r="B300" s="117" t="str">
        <x:v>Yes</x:v>
      </x:c>
      <x:c r="C300" s="119" t="str">
        <x:v>Active v15 (Retrieved XML)</x:v>
      </x:c>
      <x:c r="D300" s="117" t="str">
        <x:v>Built-in Action</x:v>
      </x:c>
      <x:c r="E300" s="117" t="str">
        <x:v>myRule_36_A1</x:v>
      </x:c>
      <x:c r="F300" s="117" t="str">
        <x:v>RMA__c.Email_when_Repair_Evaluation_is_Approved_Depot</x:v>
      </x:c>
      <x:c r="G300" s="117" t="str">
        <x:v>Platform</x:v>
      </x:c>
      <x:c r="H300" s="119" t="str">
        <x:v>emailAlert | Email when Repair Approved - Depot | CurrentTransaction</x:v>
      </x:c>
    </x:row>
    <x:row r="301" ht="34" customHeight="1">
      <x:c r="A301" s="117" t="str">
        <x:v>Probe_Repair_Update_from_RMA</x:v>
      </x:c>
      <x:c r="B301" s="117" t="str">
        <x:v>Yes</x:v>
      </x:c>
      <x:c r="C301" s="119" t="str">
        <x:v>Active v15 (Retrieved XML)</x:v>
      </x:c>
      <x:c r="D301" s="117" t="str">
        <x:v>Built-in Action</x:v>
      </x:c>
      <x:c r="E301" s="117" t="str">
        <x:v>myRule_32_A1</x:v>
      </x:c>
      <x:c r="F301" s="117" t="str">
        <x:v>RMA__c.Email_when_Repair_Evaluation_is_Send</x:v>
      </x:c>
      <x:c r="G301" s="117" t="str">
        <x:v>Platform</x:v>
      </x:c>
      <x:c r="H301" s="119" t="str">
        <x:v>emailAlert | Email when Repair Evaluation is Send | CurrentTransaction</x:v>
      </x:c>
    </x:row>
    <x:row r="302" ht="34" customHeight="1">
      <x:c r="A302" s="117" t="str">
        <x:v>Probe_Repair_Update_from_RMA</x:v>
      </x:c>
      <x:c r="B302" s="117" t="str">
        <x:v>Yes</x:v>
      </x:c>
      <x:c r="C302" s="119" t="str">
        <x:v>Active v15 (Retrieved XML)</x:v>
      </x:c>
      <x:c r="D302" s="117" t="str">
        <x:v>Built-in Action</x:v>
      </x:c>
      <x:c r="E302" s="117" t="str">
        <x:v>myRule_38_A1</x:v>
      </x:c>
      <x:c r="F302" s="117" t="str">
        <x:v>RMA__c.Email_when_Repair_is_completed</x:v>
      </x:c>
      <x:c r="G302" s="117" t="str">
        <x:v>Platform</x:v>
      </x:c>
      <x:c r="H302" s="119" t="str">
        <x:v>emailAlert | Email when Repair is completed | CurrentTransaction</x:v>
      </x:c>
    </x:row>
    <x:row r="303" ht="34" customHeight="1">
      <x:c r="A303" s="117" t="str">
        <x:v>Probe_Repair_Update_from_RMA</x:v>
      </x:c>
      <x:c r="B303" s="117" t="str">
        <x:v>Yes</x:v>
      </x:c>
      <x:c r="C303" s="119" t="str">
        <x:v>Active v15 (Retrieved XML)</x:v>
      </x:c>
      <x:c r="D303" s="117" t="str">
        <x:v>Built-in Action</x:v>
      </x:c>
      <x:c r="E303" s="117" t="str">
        <x:v>myRule_26_A1</x:v>
      </x:c>
      <x:c r="F303" s="117" t="str">
        <x:v>RMA__c.Loaner_Damage_or_Restock_Fee_Notification</x:v>
      </x:c>
      <x:c r="G303" s="117" t="str">
        <x:v>Platform</x:v>
      </x:c>
      <x:c r="H303" s="119" t="str">
        <x:v>emailAlert | Loaner Damage or Restock Fee Notification | CurrentTransaction</x:v>
      </x:c>
    </x:row>
    <x:row r="304" ht="34" customHeight="1">
      <x:c r="A304" s="117" t="str">
        <x:v>Probe_Repair_Update_from_RMA</x:v>
      </x:c>
      <x:c r="B304" s="117" t="str">
        <x:v>Yes</x:v>
      </x:c>
      <x:c r="C304" s="119" t="str">
        <x:v>Active v15 (Retrieved XML)</x:v>
      </x:c>
      <x:c r="D304" s="117" t="str">
        <x:v>Built-in Action</x:v>
      </x:c>
      <x:c r="E304" s="117" t="str">
        <x:v>myRule_22_A1</x:v>
      </x:c>
      <x:c r="F304" s="117" t="str">
        <x:v>RMA__c.Loaner_Has_Been_Returned</x:v>
      </x:c>
      <x:c r="G304" s="117" t="str">
        <x:v>Platform</x:v>
      </x:c>
      <x:c r="H304" s="119" t="str">
        <x:v>emailAlert | Loaner Has Been Returned | CurrentTransaction</x:v>
      </x:c>
    </x:row>
    <x:row r="305" ht="34" customHeight="1">
      <x:c r="A305" s="117" t="str">
        <x:v>Probe_Repair_Update_from_RMA</x:v>
      </x:c>
      <x:c r="B305" s="117" t="str">
        <x:v>Yes</x:v>
      </x:c>
      <x:c r="C305" s="119" t="str">
        <x:v>Active v15 (Retrieved XML)</x:v>
      </x:c>
      <x:c r="D305" s="117" t="str">
        <x:v>Built-in Action</x:v>
      </x:c>
      <x:c r="E305" s="117" t="str">
        <x:v>myRule_1_A1</x:v>
      </x:c>
      <x:c r="F305" s="117" t="str">
        <x:v>RMA__c.Loaner_returned_in_worse_condition</x:v>
      </x:c>
      <x:c r="G305" s="117" t="str">
        <x:v>Platform</x:v>
      </x:c>
      <x:c r="H305" s="119" t="str">
        <x:v>emailAlert | Email Alert Loaner Returned in Worse Condition | CurrentTransaction</x:v>
      </x:c>
    </x:row>
    <x:row r="306" ht="34" customHeight="1">
      <x:c r="A306" s="117" t="str">
        <x:v>Probe_Repair_Update_from_RMA</x:v>
      </x:c>
      <x:c r="B306" s="117" t="str">
        <x:v>Yes</x:v>
      </x:c>
      <x:c r="C306" s="119" t="str">
        <x:v>Active v15 (Retrieved XML)</x:v>
      </x:c>
      <x:c r="D306" s="117" t="str">
        <x:v>Built-in Action</x:v>
      </x:c>
      <x:c r="E306" s="117" t="str">
        <x:v>myRule_16_A1</x:v>
      </x:c>
      <x:c r="F306" s="117" t="str">
        <x:v>RMA__c.RFS_Warranty_for_Special_Offer</x:v>
      </x:c>
      <x:c r="G306" s="117" t="str">
        <x:v>Platform</x:v>
      </x:c>
      <x:c r="H306" s="119" t="str">
        <x:v>emailAlert | RFS Warranty for Special Offer | CurrentTransaction</x:v>
      </x:c>
    </x:row>
    <x:row r="307" ht="34" customHeight="1">
      <x:c r="A307" s="117" t="str">
        <x:v>Probe_Repair_Update_from_RMA</x:v>
      </x:c>
      <x:c r="B307" s="117" t="str">
        <x:v>Yes</x:v>
      </x:c>
      <x:c r="C307" s="119" t="str">
        <x:v>Active v15 (Retrieved XML)</x:v>
      </x:c>
      <x:c r="D307" s="117" t="str">
        <x:v>Built-in Action</x:v>
      </x:c>
      <x:c r="E307" s="117" t="str">
        <x:v>myRule_30_A1</x:v>
      </x:c>
      <x:c r="F307" s="117" t="str">
        <x:v>RMA__c.RMA_Details</x:v>
      </x:c>
      <x:c r="G307" s="117" t="str">
        <x:v>Platform</x:v>
      </x:c>
      <x:c r="H307" s="119" t="str">
        <x:v>emailAlert | Send RMA Details | CurrentTransaction</x:v>
      </x:c>
    </x:row>
    <x:row r="308" ht="34" customHeight="1">
      <x:c r="A308" s="117" t="str">
        <x:v>Probe_Repair_Update_from_RMA</x:v>
      </x:c>
      <x:c r="B308" s="117" t="str">
        <x:v>Yes</x:v>
      </x:c>
      <x:c r="C308" s="119" t="str">
        <x:v>Active v15 (Retrieved XML)</x:v>
      </x:c>
      <x:c r="D308" s="117" t="str">
        <x:v>Built-in Action</x:v>
      </x:c>
      <x:c r="E308" s="117" t="str">
        <x:v>myRule_47_A1</x:v>
      </x:c>
      <x:c r="F308" s="117" t="str">
        <x:v>RMA__c.RMA_s_that_have_a_type_Return_from_Sale</x:v>
      </x:c>
      <x:c r="G308" s="117" t="str">
        <x:v>Platform</x:v>
      </x:c>
      <x:c r="H308" s="119" t="str">
        <x:v>emailAlert | RMA's that have a type "Return from Sale" | CurrentTransaction</x:v>
      </x:c>
    </x:row>
    <x:row r="309" ht="34" customHeight="1">
      <x:c r="A309" s="117" t="str">
        <x:v>Probe_Repair_Update_from_RMA</x:v>
      </x:c>
      <x:c r="B309" s="117" t="str">
        <x:v>Yes</x:v>
      </x:c>
      <x:c r="C309" s="119" t="str">
        <x:v>Active v15 (Retrieved XML)</x:v>
      </x:c>
      <x:c r="D309" s="117" t="str">
        <x:v>Built-in Action</x:v>
      </x:c>
      <x:c r="E309" s="117" t="str">
        <x:v>myRule_28_A1</x:v>
      </x:c>
      <x:c r="F309" s="117" t="str">
        <x:v>RMA__c.Send_RMA_Details_NEW</x:v>
      </x:c>
      <x:c r="G309" s="117" t="str">
        <x:v>Platform</x:v>
      </x:c>
      <x:c r="H309" s="119" t="str">
        <x:v>emailAlert | Send RMA Detail | CurrentTransaction</x:v>
      </x:c>
    </x:row>
    <x:row r="310" ht="34" customHeight="1">
      <x:c r="A310" s="117" t="str">
        <x:v>Probe_Repair_Update_from_RMA</x:v>
      </x:c>
      <x:c r="B310" s="117" t="str">
        <x:v>Yes</x:v>
      </x:c>
      <x:c r="C310" s="119" t="str">
        <x:v>Active v15 (Retrieved XML)</x:v>
      </x:c>
      <x:c r="D310" s="117" t="str">
        <x:v>Built-in Action</x:v>
      </x:c>
      <x:c r="E310" s="117" t="str">
        <x:v>myRule_10_A1</x:v>
      </x:c>
      <x:c r="F310" s="117" t="str">
        <x:v>RMA__c.Waiting_for_Customer_Probe</x:v>
      </x:c>
      <x:c r="G310" s="117" t="str">
        <x:v>Platform</x:v>
      </x:c>
      <x:c r="H310" s="119" t="str">
        <x:v>emailAlert | Waiting for Customer Probe | CurrentTransaction</x:v>
      </x:c>
    </x:row>
    <x:row r="311" ht="34" customHeight="1">
      <x:c r="A311" s="117" t="str">
        <x:v>Probe_Repair_Update_from_RMA</x:v>
      </x:c>
      <x:c r="B311" s="117" t="str">
        <x:v>Yes</x:v>
      </x:c>
      <x:c r="C311" s="119" t="str">
        <x:v>Active v15 (Retrieved XML)</x:v>
      </x:c>
      <x:c r="D311" s="117" t="str">
        <x:v>Built-in Action</x:v>
      </x:c>
      <x:c r="E311" s="117" t="str">
        <x:v>myRule_12_A1</x:v>
      </x:c>
      <x:c r="F311" s="117" t="str">
        <x:v>RMA__c.Waiting_on_Customer_Approval</x:v>
      </x:c>
      <x:c r="G311" s="117" t="str">
        <x:v>Platform</x:v>
      </x:c>
      <x:c r="H311" s="119" t="str">
        <x:v>emailAlert | Waiting on Customer Approval Email | CurrentTransaction</x:v>
      </x:c>
    </x:row>
    <x:row r="312" ht="34" customHeight="1">
      <x:c r="A312" s="117" t="str">
        <x:v>Probe_Repair_Update_from_RMA</x:v>
      </x:c>
      <x:c r="B312" s="117" t="str">
        <x:v>Yes</x:v>
      </x:c>
      <x:c r="C312" s="119" t="str">
        <x:v>Active v15 (Retrieved XML)</x:v>
      </x:c>
      <x:c r="D312" s="117" t="str">
        <x:v>Built-in Action</x:v>
      </x:c>
      <x:c r="E312" s="117" t="str">
        <x:v>myRule_14_A1</x:v>
      </x:c>
      <x:c r="F312" s="117" t="str">
        <x:v>RMA__c.Waiting_on_Loaner</x:v>
      </x:c>
      <x:c r="G312" s="117" t="str">
        <x:v>Platform</x:v>
      </x:c>
      <x:c r="H312" s="119" t="str">
        <x:v>emailAlert | Waiting on Loaner Email | CurrentTransaction</x:v>
      </x:c>
    </x:row>
    <x:row r="313" ht="34" customHeight="1">
      <x:c r="A313" s="117" t="str">
        <x:v>Probe_Repair_Update_from_RMA</x:v>
      </x:c>
      <x:c r="B313" s="117" t="str">
        <x:v>Yes</x:v>
      </x:c>
      <x:c r="C313" s="119" t="str">
        <x:v>Active v15 (Retrieved XML)</x:v>
      </x:c>
      <x:c r="D313" s="117" t="str">
        <x:v>Built-in Action</x:v>
      </x:c>
      <x:c r="E313" s="117" t="str">
        <x:v>myRule_4_A1</x:v>
      </x:c>
      <x:c r="F313" s="117" t="str">
        <x:v>RMA__c.Warranty_Claim_Action_Required</x:v>
      </x:c>
      <x:c r="G313" s="117" t="str">
        <x:v>Platform</x:v>
      </x:c>
      <x:c r="H313" s="119" t="str">
        <x:v>emailAlert | Email Alert Warranty Claim Action Required | CurrentTransaction</x:v>
      </x:c>
    </x:row>
    <x:row r="314" ht="34" customHeight="1">
      <x:c r="A314" s="117" t="str">
        <x:v>Probe_Repair_Update_from_RMA</x:v>
      </x:c>
      <x:c r="B314" s="117" t="str">
        <x:v>Yes</x:v>
      </x:c>
      <x:c r="C314" s="119" t="str">
        <x:v>Active v15 (Retrieved XML)</x:v>
      </x:c>
      <x:c r="D314" s="117" t="str">
        <x:v>Built-in Action</x:v>
      </x:c>
      <x:c r="E314" s="117" t="str">
        <x:v>myRule_18_A1</x:v>
      </x:c>
      <x:c r="F314" s="117" t="str">
        <x:v>RMA__c.White_Glove_Estimated_Updated_Ship_Date_Changed</x:v>
      </x:c>
      <x:c r="G314" s="117" t="str">
        <x:v>Platform</x:v>
      </x:c>
      <x:c r="H314" s="119" t="str">
        <x:v>emailAlert | White Glove Estimated/Updated Ship Date Changed   Help for this Page | CurrentTransaction</x:v>
      </x:c>
    </x:row>
    <x:row r="315" ht="34" customHeight="1">
      <x:c r="A315" s="117" t="str">
        <x:v>Probe_Repair_Update_from_RMA</x:v>
      </x:c>
      <x:c r="B315" s="117" t="str">
        <x:v>Yes</x:v>
      </x:c>
      <x:c r="C315" s="119" t="str">
        <x:v>Active v15 (Retrieved XML)</x:v>
      </x:c>
      <x:c r="D315" s="117" t="str">
        <x:v>Built-in Action</x:v>
      </x:c>
      <x:c r="E315" s="117" t="str">
        <x:v>myRule_44_A1</x:v>
      </x:c>
      <x:c r="F315" s="117" t="str">
        <x:v>submit</x:v>
      </x:c>
      <x:c r="G315" s="117" t="str">
        <x:v>Platform</x:v>
      </x:c>
      <x:c r="H315" s="119" t="str">
        <x:v>submit | Submit for RMA approval | CurrentTransaction</x:v>
      </x:c>
    </x:row>
    <x:row r="316" ht="34" customHeight="1">
      <x:c r="A316" s="117" t="str">
        <x:v>Product2_All</x:v>
      </x:c>
      <x:c r="B316" s="117" t="str">
        <x:v>No</x:v>
      </x:c>
      <x:c r="C316" s="119" t="str">
        <x:v>Latest inactive v7 (Retrieved XML)</x:v>
      </x:c>
      <x:c r="D316" s="117" t="str">
        <x:v>Built-in Action</x:v>
      </x:c>
      <x:c r="E316" s="117" t="str">
        <x:v>myRule_1_A1</x:v>
      </x:c>
      <x:c r="F316" s="117" t="str">
        <x:v>Create_Generic_Asset2_from_Product2_Id</x:v>
      </x:c>
      <x:c r="G316" s="117" t="str">
        <x:v>Platform</x:v>
      </x:c>
      <x:c r="H316" s="119" t="str">
        <x:v>flow | Generate Generic Asset2</x:v>
      </x:c>
    </x:row>
    <x:row r="317" ht="34" customHeight="1">
      <x:c r="A317" s="117" t="str">
        <x:v>Product_Creation_Actions_Flow</x:v>
      </x:c>
      <x:c r="B317" s="117" t="str">
        <x:v>Yes</x:v>
      </x:c>
      <x:c r="C317" s="119" t="str">
        <x:v>Active v10 (Retrieved XML)</x:v>
      </x:c>
      <x:c r="D317" s="117" t="str">
        <x:v>Built-in Action</x:v>
      </x:c>
      <x:c r="E317" s="117" t="str">
        <x:v>SubmitForApproval</x:v>
      </x:c>
      <x:c r="F317" s="117" t="str">
        <x:v>submit</x:v>
      </x:c>
      <x:c r="G317" s="117" t="str">
        <x:v>Platform</x:v>
      </x:c>
      <x:c r="H317" s="119" t="str">
        <x:v>submit | SubmitForApproval | CurrentTransaction</x:v>
      </x:c>
    </x:row>
    <x:row r="318" ht="34" customHeight="1">
      <x:c r="A318" s="117" t="str">
        <x:v>ProductItem_on_update_Pur_Op_Total_Cost_of_Unsold_Assets_Roll_Up</x:v>
      </x:c>
      <x:c r="B318" s="117" t="str">
        <x:v>Yes</x:v>
      </x:c>
      <x:c r="C318" s="119" t="str">
        <x:v>Active v2 (Retrieved XML)</x:v>
      </x:c>
      <x:c r="D318" s="117" t="str">
        <x:v>Apex Action</x:v>
      </x:c>
      <x:c r="E318" s="117" t="str">
        <x:v>ByPass_Opp_Trigger</x:v>
      </x:c>
      <x:c r="F318" s="117" t="str">
        <x:v>BypassTriggerAction</x:v>
      </x:c>
      <x:c r="G318" s="117" t="str">
        <x:v>Review</x:v>
      </x:c>
      <x:c r="H318" s="119" t="str">
        <x:v>apex | ByPass Opp Trigger | Automatic</x:v>
      </x:c>
    </x:row>
    <x:row r="319" ht="34" customHeight="1">
      <x:c r="A319" s="117" t="str">
        <x:v>ProductItem_on_update_Pur_Op_Total_Cost_of_Unsold_Assets_Roll_Up</x:v>
      </x:c>
      <x:c r="B319" s="117" t="str">
        <x:v>Yes</x:v>
      </x:c>
      <x:c r="C319" s="119" t="str">
        <x:v>Active v2 (Retrieved XML)</x:v>
      </x:c>
      <x:c r="D319" s="117" t="str">
        <x:v>Apex Action</x:v>
      </x:c>
      <x:c r="E319" s="117" t="str">
        <x:v>bypass_Opp_Trigger2</x:v>
      </x:c>
      <x:c r="F319" s="117" t="str">
        <x:v>BypassTriggerAction</x:v>
      </x:c>
      <x:c r="G319" s="117" t="str">
        <x:v>Review</x:v>
      </x:c>
      <x:c r="H319" s="119" t="str">
        <x:v>apex | bypass Opp Trigger2 | Automatic</x:v>
      </x:c>
    </x:row>
    <x:row r="320" ht="34" customHeight="1">
      <x:c r="A320" s="117" t="str">
        <x:v>ProductItem_on_update_Pur_Op_Total_Cost_of_Unsold_Assets_Roll_Up</x:v>
      </x:c>
      <x:c r="B320" s="117" t="str">
        <x:v>Yes</x:v>
      </x:c>
      <x:c r="C320" s="119" t="str">
        <x:v>Active v2 (Retrieved XML)</x:v>
      </x:c>
      <x:c r="D320" s="117" t="str">
        <x:v>Apex Action</x:v>
      </x:c>
      <x:c r="E320" s="117" t="str">
        <x:v>Reset_Opp_Trigger</x:v>
      </x:c>
      <x:c r="F320" s="117" t="str">
        <x:v>BypassTriggerAction</x:v>
      </x:c>
      <x:c r="G320" s="117" t="str">
        <x:v>Review</x:v>
      </x:c>
      <x:c r="H320" s="119" t="str">
        <x:v>apex | Reset Opp Trigger | Automatic</x:v>
      </x:c>
    </x:row>
    <x:row r="321" ht="34" customHeight="1">
      <x:c r="A321" s="117" t="str">
        <x:v>ProductItem_on_update_Pur_Op_Total_Cost_of_Unsold_Assets_Roll_Up</x:v>
      </x:c>
      <x:c r="B321" s="117" t="str">
        <x:v>Yes</x:v>
      </x:c>
      <x:c r="C321" s="119" t="str">
        <x:v>Active v2 (Retrieved XML)</x:v>
      </x:c>
      <x:c r="D321" s="117" t="str">
        <x:v>Apex Action</x:v>
      </x:c>
      <x:c r="E321" s="117" t="str">
        <x:v>Reset_opp_trigger2</x:v>
      </x:c>
      <x:c r="F321" s="117" t="str">
        <x:v>BypassTriggerAction</x:v>
      </x:c>
      <x:c r="G321" s="117" t="str">
        <x:v>Review</x:v>
      </x:c>
      <x:c r="H321" s="119" t="str">
        <x:v>apex | Reset opp trigger2 | Automatic</x:v>
      </x:c>
    </x:row>
    <x:row r="322" ht="34" customHeight="1">
      <x:c r="A322" s="117" t="str">
        <x:v>Purchasing_Return_Update_Fields</x:v>
      </x:c>
      <x:c r="B322" s="117" t="str">
        <x:v>No</x:v>
      </x:c>
      <x:c r="C322" s="119" t="str">
        <x:v>Latest inactive v2 (Retrieved XML)</x:v>
      </x:c>
      <x:c r="D322" s="117" t="str">
        <x:v>Built-in Action</x:v>
      </x:c>
      <x:c r="E322" s="117" t="str">
        <x:v>myWaitEvent_myWait_myRule_1_event_0_SA1</x:v>
      </x:c>
      <x:c r="F322" s="117" t="str">
        <x:v>Return_to_Vendor_Create_DB</x:v>
      </x:c>
      <x:c r="G322" s="117" t="str">
        <x:v>Platform</x:v>
      </x:c>
      <x:c r="H322" s="119" t="str">
        <x:v>flow | Create DB</x:v>
      </x:c>
    </x:row>
    <x:row r="323" ht="34" customHeight="1">
      <x:c r="A323" s="117" t="str">
        <x:v>Radiology_Basic_Product_Test_Screen_Flow_UK</x:v>
      </x:c>
      <x:c r="B323" s="117" t="str">
        <x:v>Yes</x:v>
      </x:c>
      <x:c r="C323" s="119" t="str">
        <x:v>Active v11 (Retrieved XML)</x:v>
      </x:c>
      <x:c r="D323" s="117" t="str">
        <x:v>Screen Component</x:v>
      </x:c>
      <x:c r="E323" s="117" t="str">
        <x:v>Screen</x:v>
      </x:c>
      <x:c r="F323" s="117" t="str">
        <x:v>forceContent:fileUpload</x:v>
      </x:c>
      <x:c r="G323" s="117" t="str">
        <x:v>Review</x:v>
      </x:c>
      <x:c r="H323" s="119" t="str">
        <x:v>LWC or Aura extension</x:v>
      </x:c>
    </x:row>
    <x:row r="324" ht="34" customHeight="1">
      <x:c r="A324" s="117" t="str">
        <x:v>Re_submit_for_Accounting_Approval</x:v>
      </x:c>
      <x:c r="B324" s="117" t="str">
        <x:v>Yes</x:v>
      </x:c>
      <x:c r="C324" s="119" t="str">
        <x:v>Active v1 (Retrieved XML)</x:v>
      </x:c>
      <x:c r="D324" s="117" t="str">
        <x:v>Built-in Action</x:v>
      </x:c>
      <x:c r="E324" s="117" t="str">
        <x:v>Submit_for_Approval</x:v>
      </x:c>
      <x:c r="F324" s="117" t="str">
        <x:v>submit</x:v>
      </x:c>
      <x:c r="G324" s="117" t="str">
        <x:v>Platform</x:v>
      </x:c>
      <x:c r="H324" s="119" t="str">
        <x:v>submit | Submit for Approval | CurrentTransaction</x:v>
      </x:c>
    </x:row>
    <x:row r="325" ht="34" customHeight="1">
      <x:c r="A325" s="117" t="str">
        <x:v>Record_Triggered_After_Account_Prevent_Intact_Sync_Status_Change</x:v>
      </x:c>
      <x:c r="B325" s="117" t="str">
        <x:v>Yes</x:v>
      </x:c>
      <x:c r="C325" s="119" t="str">
        <x:v>Active v4 (Retrieved XML)</x:v>
      </x:c>
      <x:c r="D325" s="117" t="str">
        <x:v>Built-in Action</x:v>
      </x:c>
      <x:c r="E325" s="117" t="str">
        <x:v>Send_Outbound_Message_to_Workato</x:v>
      </x:c>
      <x:c r="F325" s="117" t="str">
        <x:v>Account.Workato_Account_Customer</x:v>
      </x:c>
      <x:c r="G325" s="117" t="str">
        <x:v>Platform</x:v>
      </x:c>
      <x:c r="H325" s="119" t="str">
        <x:v>outboundMessage | Send Outbound Message to Workato | CurrentTransaction</x:v>
      </x:c>
    </x:row>
    <x:row r="326" ht="34" customHeight="1">
      <x:c r="A326" s="117" t="str">
        <x:v>Record_Triggered_After_Debit_Memo</x:v>
      </x:c>
      <x:c r="B326" s="117" t="str">
        <x:v>Yes</x:v>
      </x:c>
      <x:c r="C326" s="119" t="str">
        <x:v>Active v1 (Retrieved XML)</x:v>
      </x:c>
      <x:c r="D326" s="117" t="str">
        <x:v>Built-in Action</x:v>
      </x:c>
      <x:c r="E326" s="117" t="str">
        <x:v>Workato_Debit_Memo_Trigger</x:v>
      </x:c>
      <x:c r="F326" s="117" t="str">
        <x:v>Debit_Memos__c.Workato_Debit_Memo_Trigger</x:v>
      </x:c>
      <x:c r="G326" s="117" t="str">
        <x:v>Platform</x:v>
      </x:c>
      <x:c r="H326" s="119" t="str">
        <x:v>outboundMessage | Workato Debit Memo Trigger | CurrentTransaction</x:v>
      </x:c>
    </x:row>
    <x:row r="327" ht="34" customHeight="1">
      <x:c r="A327" s="117" t="str">
        <x:v>Record_Triggered_After_Inventory_Adjustment</x:v>
      </x:c>
      <x:c r="B327" s="117" t="str">
        <x:v>Yes</x:v>
      </x:c>
      <x:c r="C327" s="119" t="str">
        <x:v>Active v2 (Retrieved XML)</x:v>
      </x:c>
      <x:c r="D327" s="117" t="str">
        <x:v>Built-in Action</x:v>
      </x:c>
      <x:c r="E327" s="117" t="str">
        <x:v>Workato_Inventory_Adjustment_Trigger</x:v>
      </x:c>
      <x:c r="F327" s="117" t="str">
        <x:v>Inventory_Adjustment__c.Workato_Inventory_Adjustment_Trigger</x:v>
      </x:c>
      <x:c r="G327" s="117" t="str">
        <x:v>Platform</x:v>
      </x:c>
      <x:c r="H327" s="119" t="str">
        <x:v>outboundMessage | Workato Inventory Adjustment Trigger | CurrentTransaction</x:v>
      </x:c>
    </x:row>
    <x:row r="328" ht="34" customHeight="1">
      <x:c r="A328" s="117" t="str">
        <x:v>Record_Triggered_After_Purchasing_Return</x:v>
      </x:c>
      <x:c r="B328" s="117" t="str">
        <x:v>Yes</x:v>
      </x:c>
      <x:c r="C328" s="119" t="str">
        <x:v>Active v9 (Retrieved XML)</x:v>
      </x:c>
      <x:c r="D328" s="117" t="str">
        <x:v>Built-in Action</x:v>
      </x:c>
      <x:c r="E328" s="117" t="str">
        <x:v>Workato_Purchase_Return_Trigger</x:v>
      </x:c>
      <x:c r="F328" s="117" t="str">
        <x:v>Purchasing_Return__c.Workato_Purchase_Return_Trigger</x:v>
      </x:c>
      <x:c r="G328" s="117" t="str">
        <x:v>Platform</x:v>
      </x:c>
      <x:c r="H328" s="119" t="str">
        <x:v>outboundMessage | Workato Purchase Return Trigger | CurrentTransaction</x:v>
      </x:c>
    </x:row>
    <x:row r="329" ht="34" customHeight="1">
      <x:c r="A329" s="117" t="str">
        <x:v>Record_Triggered_After_Purchasing_Return</x:v>
      </x:c>
      <x:c r="B329" s="117" t="str">
        <x:v>Yes</x:v>
      </x:c>
      <x:c r="C329" s="119" t="str">
        <x:v>Active v9 (Retrieved XML)</x:v>
      </x:c>
      <x:c r="D329" s="117" t="str">
        <x:v>Subflow</x:v>
      </x:c>
      <x:c r="E329" s="117" t="str">
        <x:v>Create_Debt_Memo</x:v>
      </x:c>
      <x:c r="F329" s="117" t="str">
        <x:v>Return_to_Vendor_Create_DB</x:v>
      </x:c>
      <x:c r="G329" s="117" t="str">
        <x:v>Yes</x:v>
      </x:c>
      <x:c r="H329" s="119" t="str">
        <x:v>Create Debt Memo</x:v>
      </x:c>
    </x:row>
    <x:row r="330" ht="34" customHeight="1">
      <x:c r="A330" s="117" t="str">
        <x:v>Record_Triggered_Opportunity_Send_Tracking_Confirmation_for_WooCommerce_Orders</x:v>
      </x:c>
      <x:c r="B330" s="117" t="str">
        <x:v>Yes</x:v>
      </x:c>
      <x:c r="C330" s="119" t="str">
        <x:v>Active v1 (Retrieved XML)</x:v>
      </x:c>
      <x:c r="D330" s="117" t="str">
        <x:v>Built-in Action</x:v>
      </x:c>
      <x:c r="E330" s="117" t="str">
        <x:v>Send_Tracking_Email_Confirmation</x:v>
      </x:c>
      <x:c r="F330" s="117" t="str">
        <x:v>Opportunity.WooCommerce_Order_Shipped</x:v>
      </x:c>
      <x:c r="G330" s="117" t="str">
        <x:v>Platform</x:v>
      </x:c>
      <x:c r="H330" s="119" t="str">
        <x:v>emailAlert | Send Tracking Email Confirmation | CurrentTransaction</x:v>
      </x:c>
    </x:row>
    <x:row r="331" ht="34" customHeight="1">
      <x:c r="A331" s="117" t="str">
        <x:v>Refurb_Part_Request_Field_Updates_Flow</x:v>
      </x:c>
      <x:c r="B331" s="117" t="str">
        <x:v>Yes</x:v>
      </x:c>
      <x:c r="C331" s="119" t="str">
        <x:v>Active v16 (Retrieved XML)</x:v>
      </x:c>
      <x:c r="D331" s="117" t="str">
        <x:v>Built-in Action</x:v>
      </x:c>
      <x:c r="E331" s="117" t="str">
        <x:v>SendEmailToInventory</x:v>
      </x:c>
      <x:c r="F331" s="117" t="str">
        <x:v>emailSimple</x:v>
      </x:c>
      <x:c r="G331" s="117" t="str">
        <x:v>Platform</x:v>
      </x:c>
      <x:c r="H331" s="119" t="str">
        <x:v>emailSimple | SendEmailToInventory | CurrentTransaction</x:v>
      </x:c>
    </x:row>
    <x:row r="332" ht="34" customHeight="1">
      <x:c r="A332" s="117" t="str">
        <x:v>Refurb_Part_Request_Field_Updates_Flow</x:v>
      </x:c>
      <x:c r="B332" s="117" t="str">
        <x:v>Yes</x:v>
      </x:c>
      <x:c r="C332" s="119" t="str">
        <x:v>Active v16 (Retrieved XML)</x:v>
      </x:c>
      <x:c r="D332" s="117" t="str">
        <x:v>Built-in Action</x:v>
      </x:c>
      <x:c r="E332" s="117" t="str">
        <x:v>SendEmailToInventoryTeam</x:v>
      </x:c>
      <x:c r="F332" s="117" t="str">
        <x:v>emailSimple</x:v>
      </x:c>
      <x:c r="G332" s="117" t="str">
        <x:v>Platform</x:v>
      </x:c>
      <x:c r="H332" s="119" t="str">
        <x:v>emailSimple | SendEmailToInventoryTeam | CurrentTransaction</x:v>
      </x:c>
    </x:row>
    <x:row r="333" ht="34" customHeight="1">
      <x:c r="A333" s="117" t="str">
        <x:v>Refurb_Test_Asset_Selection_Screen_Flow</x:v>
      </x:c>
      <x:c r="B333" s="117" t="str">
        <x:v>Yes</x:v>
      </x:c>
      <x:c r="C333" s="119" t="str">
        <x:v>Active v18 (Retrieved XML)</x:v>
      </x:c>
      <x:c r="D333" s="117" t="str">
        <x:v>Built-in Action</x:v>
      </x:c>
      <x:c r="E333" s="117" t="str">
        <x:v>EmailInventory</x:v>
      </x:c>
      <x:c r="F333" s="117" t="str">
        <x:v>emailSimple</x:v>
      </x:c>
      <x:c r="G333" s="117" t="str">
        <x:v>Platform</x:v>
      </x:c>
      <x:c r="H333" s="119" t="str">
        <x:v>emailSimple | EmailInventory | CurrentTransaction</x:v>
      </x:c>
    </x:row>
    <x:row r="334" ht="34" customHeight="1">
      <x:c r="A334" s="117" t="str">
        <x:v>Refurb_Test_Asset_Selection_Screen_Flow</x:v>
      </x:c>
      <x:c r="B334" s="117" t="str">
        <x:v>Yes</x:v>
      </x:c>
      <x:c r="C334" s="119" t="str">
        <x:v>Active v18 (Retrieved XML)</x:v>
      </x:c>
      <x:c r="D334" s="117" t="str">
        <x:v>Built-in Action</x:v>
      </x:c>
      <x:c r="E334" s="117" t="str">
        <x:v>SendPurchasingOpOwnerPAEmail</x:v>
      </x:c>
      <x:c r="F334" s="117" t="str">
        <x:v>emailSimple</x:v>
      </x:c>
      <x:c r="G334" s="117" t="str">
        <x:v>Platform</x:v>
      </x:c>
      <x:c r="H334" s="119" t="str">
        <x:v>emailSimple | SendPurchasingOpOwnerPAEmail | CurrentTransaction</x:v>
      </x:c>
    </x:row>
    <x:row r="335" ht="34" customHeight="1">
      <x:c r="A335" s="117" t="str">
        <x:v>Refurb_Test_Asset_Selection_Screen_Flow</x:v>
      </x:c>
      <x:c r="B335" s="117" t="str">
        <x:v>Yes</x:v>
      </x:c>
      <x:c r="C335" s="119" t="str">
        <x:v>Active v18 (Retrieved XML)</x:v>
      </x:c>
      <x:c r="D335" s="117" t="str">
        <x:v>Screen Component</x:v>
      </x:c>
      <x:c r="E335" s="117" t="str">
        <x:v>Screen</x:v>
      </x:c>
      <x:c r="F335" s="117" t="str">
        <x:v>flowruntime:datatable</x:v>
      </x:c>
      <x:c r="G335" s="117" t="str">
        <x:v>Review</x:v>
      </x:c>
      <x:c r="H335" s="119" t="str">
        <x:v>LWC or Aura extension</x:v>
      </x:c>
    </x:row>
    <x:row r="336" ht="34" customHeight="1">
      <x:c r="A336" s="117" t="str">
        <x:v>Refurb_Test_Asset_Selection_Screen_Flow</x:v>
      </x:c>
      <x:c r="B336" s="117" t="str">
        <x:v>Yes</x:v>
      </x:c>
      <x:c r="C336" s="119" t="str">
        <x:v>Active v18 (Retrieved XML)</x:v>
      </x:c>
      <x:c r="D336" s="117" t="str">
        <x:v>Screen Component</x:v>
      </x:c>
      <x:c r="E336" s="117" t="str">
        <x:v>Screen</x:v>
      </x:c>
      <x:c r="F336" s="117" t="str">
        <x:v>flowruntime:lookup</x:v>
      </x:c>
      <x:c r="G336" s="117" t="str">
        <x:v>Review</x:v>
      </x:c>
      <x:c r="H336" s="119" t="str">
        <x:v>LWC or Aura extension</x:v>
      </x:c>
    </x:row>
    <x:row r="337" ht="34" customHeight="1">
      <x:c r="A337" s="117" t="str">
        <x:v>Register_System_Lead_with_Mindray_Button_Flow</x:v>
      </x:c>
      <x:c r="B337" s="117" t="str">
        <x:v>Yes</x:v>
      </x:c>
      <x:c r="C337" s="119" t="str">
        <x:v>Active v11 (Retrieved XML)</x:v>
      </x:c>
      <x:c r="D337" s="117" t="str">
        <x:v>Apex Action</x:v>
      </x:c>
      <x:c r="E337" s="117" t="str">
        <x:v>HumanSendEmailWithAttachment</x:v>
      </x:c>
      <x:c r="F337" s="117" t="str">
        <x:v>SendBetterEmail</x:v>
      </x:c>
      <x:c r="G337" s="117" t="str">
        <x:v>Review</x:v>
      </x:c>
      <x:c r="H337" s="119" t="str">
        <x:v>apex | HumanSendEmailWithAttachment | Automatic</x:v>
      </x:c>
    </x:row>
    <x:row r="338" ht="34" customHeight="1">
      <x:c r="A338" s="117" t="str">
        <x:v>Register_System_Lead_with_Mindray_Button_Flow</x:v>
      </x:c>
      <x:c r="B338" s="117" t="str">
        <x:v>Yes</x:v>
      </x:c>
      <x:c r="C338" s="119" t="str">
        <x:v>Active v11 (Retrieved XML)</x:v>
      </x:c>
      <x:c r="D338" s="117" t="str">
        <x:v>Apex Action</x:v>
      </x:c>
      <x:c r="E338" s="117" t="str">
        <x:v>VETSendEmailWithAttachment</x:v>
      </x:c>
      <x:c r="F338" s="117" t="str">
        <x:v>SendBetterEmail</x:v>
      </x:c>
      <x:c r="G338" s="117" t="str">
        <x:v>Review</x:v>
      </x:c>
      <x:c r="H338" s="119" t="str">
        <x:v>apex | VETSendEmailWithAttachment | Automatic</x:v>
      </x:c>
    </x:row>
    <x:row r="339" ht="34" customHeight="1">
      <x:c r="A339" s="117" t="str">
        <x:v>Register_System_Lead_with_Mindray_Button_Flow</x:v>
      </x:c>
      <x:c r="B339" s="117" t="str">
        <x:v>Yes</x:v>
      </x:c>
      <x:c r="C339" s="119" t="str">
        <x:v>Active v11 (Retrieved XML)</x:v>
      </x:c>
      <x:c r="D339" s="117" t="str">
        <x:v>Built-in Action</x:v>
      </x:c>
      <x:c r="E339" s="117" t="str">
        <x:v>HumanSendMindrayEmail</x:v>
      </x:c>
      <x:c r="F339" s="117" t="str">
        <x:v>emailSimple</x:v>
      </x:c>
      <x:c r="G339" s="117" t="str">
        <x:v>Platform</x:v>
      </x:c>
      <x:c r="H339" s="119" t="str">
        <x:v>emailSimple | HumanSendMindrayEmail | CurrentTransaction</x:v>
      </x:c>
    </x:row>
    <x:row r="340" ht="34" customHeight="1">
      <x:c r="A340" s="117" t="str">
        <x:v>Register_System_Lead_with_Mindray_Button_Flow</x:v>
      </x:c>
      <x:c r="B340" s="117" t="str">
        <x:v>Yes</x:v>
      </x:c>
      <x:c r="C340" s="119" t="str">
        <x:v>Active v11 (Retrieved XML)</x:v>
      </x:c>
      <x:c r="D340" s="117" t="str">
        <x:v>Built-in Action</x:v>
      </x:c>
      <x:c r="E340" s="117" t="str">
        <x:v>VETSendMindrayEmail</x:v>
      </x:c>
      <x:c r="F340" s="117" t="str">
        <x:v>emailSimple</x:v>
      </x:c>
      <x:c r="G340" s="117" t="str">
        <x:v>Platform</x:v>
      </x:c>
      <x:c r="H340" s="119" t="str">
        <x:v>emailSimple | VETSendMindrayEmail | CurrentTransaction</x:v>
      </x:c>
    </x:row>
    <x:row r="341" ht="34" customHeight="1">
      <x:c r="A341" s="117" t="str">
        <x:v>Register_System_Lead_with_Mindray_Button_Flow</x:v>
      </x:c>
      <x:c r="B341" s="117" t="str">
        <x:v>Yes</x:v>
      </x:c>
      <x:c r="C341" s="119" t="str">
        <x:v>Active v11 (Retrieved XML)</x:v>
      </x:c>
      <x:c r="D341" s="117" t="str">
        <x:v>Screen Component</x:v>
      </x:c>
      <x:c r="E341" s="117" t="str">
        <x:v>Screen</x:v>
      </x:c>
      <x:c r="F341" s="117" t="str">
        <x:v>forceContent:fileUpload</x:v>
      </x:c>
      <x:c r="G341" s="117" t="str">
        <x:v>Review</x:v>
      </x:c>
      <x:c r="H341" s="119" t="str">
        <x:v>LWC or Aura extension</x:v>
      </x:c>
    </x:row>
    <x:row r="342" ht="34" customHeight="1">
      <x:c r="A342" s="117" t="str">
        <x:v>Rejecting_Credit_Memo_Request_Screen_Flow</x:v>
      </x:c>
      <x:c r="B342" s="117" t="str">
        <x:v>Yes</x:v>
      </x:c>
      <x:c r="C342" s="119" t="str">
        <x:v>Active v3 (Retrieved XML)</x:v>
      </x:c>
      <x:c r="D342" s="117" t="str">
        <x:v>Built-in Action</x:v>
      </x:c>
      <x:c r="E342" s="117" t="str">
        <x:v>Send_Email_Back_to_Creator</x:v>
      </x:c>
      <x:c r="F342" s="117" t="str">
        <x:v>emailSimple</x:v>
      </x:c>
      <x:c r="G342" s="117" t="str">
        <x:v>Platform</x:v>
      </x:c>
      <x:c r="H342" s="119" t="str">
        <x:v>emailSimple | Send Email Back to Creator | CurrentTransaction</x:v>
      </x:c>
    </x:row>
    <x:row r="343" ht="34" customHeight="1">
      <x:c r="A343" s="117" t="str">
        <x:v>RMA_Notify_Engineer_on_Probe_Repair_WO_Creation</x:v>
      </x:c>
      <x:c r="B343" s="117" t="str">
        <x:v>Yes</x:v>
      </x:c>
      <x:c r="C343" s="119" t="str">
        <x:v>Active v1 (Retrieved XML)</x:v>
      </x:c>
      <x:c r="D343" s="117" t="str">
        <x:v>Built-in Action</x:v>
      </x:c>
      <x:c r="E343" s="117" t="str">
        <x:v>Chatter_RMA_Created_Probe_Repair</x:v>
      </x:c>
      <x:c r="F343" s="117" t="str">
        <x:v>customNotificationAction</x:v>
      </x:c>
      <x:c r="G343" s="117" t="str">
        <x:v>Platform</x:v>
      </x:c>
      <x:c r="H343" s="119" t="str">
        <x:v>customNotificationAction | Send RMA Created Mobile Notification | CurrentTransaction</x:v>
      </x:c>
    </x:row>
    <x:row r="344" ht="34" customHeight="1">
      <x:c r="A344" s="117" t="str">
        <x:v>Salesforce_Case_Notifications</x:v>
      </x:c>
      <x:c r="B344" s="117" t="str">
        <x:v>Yes</x:v>
      </x:c>
      <x:c r="C344" s="119" t="str">
        <x:v>Active v49 (Retrieved XML)</x:v>
      </x:c>
      <x:c r="D344" s="117" t="str">
        <x:v>Built-in Action</x:v>
      </x:c>
      <x:c r="E344" s="117" t="str">
        <x:v>CaseClosedAlert</x:v>
      </x:c>
      <x:c r="F344" s="117" t="str">
        <x:v>emailSimple</x:v>
      </x:c>
      <x:c r="G344" s="117" t="str">
        <x:v>Platform</x:v>
      </x:c>
      <x:c r="H344" s="119" t="str">
        <x:v>emailSimple | CaseClosedAlert | CurrentTransaction</x:v>
      </x:c>
    </x:row>
    <x:row r="345" ht="34" customHeight="1">
      <x:c r="A345" s="117" t="str">
        <x:v>Salesforce_Case_Notifications</x:v>
      </x:c>
      <x:c r="B345" s="117" t="str">
        <x:v>Yes</x:v>
      </x:c>
      <x:c r="C345" s="119" t="str">
        <x:v>Active v49 (Retrieved XML)</x:v>
      </x:c>
      <x:c r="D345" s="117" t="str">
        <x:v>Built-in Action</x:v>
      </x:c>
      <x:c r="E345" s="117" t="str">
        <x:v>CaseCreatedAlert</x:v>
      </x:c>
      <x:c r="F345" s="117" t="str">
        <x:v>emailSimple</x:v>
      </x:c>
      <x:c r="G345" s="117" t="str">
        <x:v>Platform</x:v>
      </x:c>
      <x:c r="H345" s="119" t="str">
        <x:v>emailSimple | CaseCreatedAlert | CurrentTransaction</x:v>
      </x:c>
    </x:row>
    <x:row r="346" ht="34" customHeight="1">
      <x:c r="A346" s="117" t="str">
        <x:v>Salesforce_Case_Notifications</x:v>
      </x:c>
      <x:c r="B346" s="117" t="str">
        <x:v>Yes</x:v>
      </x:c>
      <x:c r="C346" s="119" t="str">
        <x:v>Active v49 (Retrieved XML)</x:v>
      </x:c>
      <x:c r="D346" s="117" t="str">
        <x:v>Built-in Action</x:v>
      </x:c>
      <x:c r="E346" s="117" t="str">
        <x:v>Copy_1_of_CaseClosedAlert</x:v>
      </x:c>
      <x:c r="F346" s="117" t="str">
        <x:v>emailSimple</x:v>
      </x:c>
      <x:c r="G346" s="117" t="str">
        <x:v>Platform</x:v>
      </x:c>
      <x:c r="H346" s="119" t="str">
        <x:v>emailSimple | Teams Case Owner CaseClosedAlert | CurrentTransaction</x:v>
      </x:c>
    </x:row>
    <x:row r="347" ht="34" customHeight="1">
      <x:c r="A347" s="117" t="str">
        <x:v>Salesforce_Case_Notifications</x:v>
      </x:c>
      <x:c r="B347" s="117" t="str">
        <x:v>Yes</x:v>
      </x:c>
      <x:c r="C347" s="119" t="str">
        <x:v>Active v49 (Retrieved XML)</x:v>
      </x:c>
      <x:c r="D347" s="117" t="str">
        <x:v>Built-in Action</x:v>
      </x:c>
      <x:c r="E347" s="117" t="str">
        <x:v>Copy_1_of_CaseCreatedAlert</x:v>
      </x:c>
      <x:c r="F347" s="117" t="str">
        <x:v>emailSimple</x:v>
      </x:c>
      <x:c r="G347" s="117" t="str">
        <x:v>Platform</x:v>
      </x:c>
      <x:c r="H347" s="119" t="str">
        <x:v>emailSimple | Copy 1 of CaseCreatedAlert | CurrentTransaction</x:v>
      </x:c>
    </x:row>
    <x:row r="348" ht="34" customHeight="1">
      <x:c r="A348" s="117" t="str">
        <x:v>Salesforce_Case_Notifications</x:v>
      </x:c>
      <x:c r="B348" s="117" t="str">
        <x:v>Yes</x:v>
      </x:c>
      <x:c r="C348" s="119" t="str">
        <x:v>Active v49 (Retrieved XML)</x:v>
      </x:c>
      <x:c r="D348" s="117" t="str">
        <x:v>Built-in Action</x:v>
      </x:c>
      <x:c r="E348" s="117" t="str">
        <x:v>FinanceCaseCreatedAlert</x:v>
      </x:c>
      <x:c r="F348" s="117" t="str">
        <x:v>emailSimple</x:v>
      </x:c>
      <x:c r="G348" s="117" t="str">
        <x:v>Platform</x:v>
      </x:c>
      <x:c r="H348" s="119" t="str">
        <x:v>emailSimple | FinanceCaseCreated | CurrentTransaction</x:v>
      </x:c>
    </x:row>
    <x:row r="349" ht="34" customHeight="1">
      <x:c r="A349" s="117" t="str">
        <x:v>Salesforce_Case_Notifications</x:v>
      </x:c>
      <x:c r="B349" s="117" t="str">
        <x:v>Yes</x:v>
      </x:c>
      <x:c r="C349" s="119" t="str">
        <x:v>Active v49 (Retrieved XML)</x:v>
      </x:c>
      <x:c r="D349" s="117" t="str">
        <x:v>Built-in Action</x:v>
      </x:c>
      <x:c r="E349" s="117" t="str">
        <x:v>SendEmailAlert_0</x:v>
      </x:c>
      <x:c r="F349" s="117" t="str">
        <x:v>emailSimple</x:v>
      </x:c>
      <x:c r="G349" s="117" t="str">
        <x:v>Platform</x:v>
      </x:c>
      <x:c r="H349" s="119" t="str">
        <x:v>emailSimple | SendEmailAlert | CurrentTransaction</x:v>
      </x:c>
    </x:row>
    <x:row r="350" ht="34" customHeight="1">
      <x:c r="A350" s="117" t="str">
        <x:v>Salesforce_Case_Notifications</x:v>
      </x:c>
      <x:c r="B350" s="117" t="str">
        <x:v>Yes</x:v>
      </x:c>
      <x:c r="C350" s="119" t="str">
        <x:v>Active v49 (Retrieved XML)</x:v>
      </x:c>
      <x:c r="D350" s="117" t="str">
        <x:v>Built-in Action</x:v>
      </x:c>
      <x:c r="E350" s="117" t="str">
        <x:v>SendEmailAlert_0_0</x:v>
      </x:c>
      <x:c r="F350" s="117" t="str">
        <x:v>emailSimple</x:v>
      </x:c>
      <x:c r="G350" s="117" t="str">
        <x:v>Platform</x:v>
      </x:c>
      <x:c r="H350" s="119" t="str">
        <x:v>emailSimple | SendEmailAlert | CurrentTransaction</x:v>
      </x:c>
    </x:row>
    <x:row r="351" ht="34" customHeight="1">
      <x:c r="A351" s="117" t="str">
        <x:v>Save_QA_Certificate_as_PDF</x:v>
      </x:c>
      <x:c r="B351" s="117" t="str">
        <x:v>Yes</x:v>
      </x:c>
      <x:c r="C351" s="119" t="str">
        <x:v>Active v1 (Retrieved XML)</x:v>
      </x:c>
      <x:c r="D351" s="117" t="str">
        <x:v>Apex Action</x:v>
      </x:c>
      <x:c r="E351" s="117" t="str">
        <x:v>Generate_and_Save_QCRigid_Certificate_PDF_Action_1</x:v>
      </x:c>
      <x:c r="F351" s="117" t="str">
        <x:v>QCRigidCertificatePDFGenerator</x:v>
      </x:c>
      <x:c r="G351" s="117" t="str">
        <x:v>Review</x:v>
      </x:c>
      <x:c r="H351" s="119" t="str">
        <x:v>apex | Generate and Save QCRigid Certificate PDF Action 1 | Automatic</x:v>
      </x:c>
    </x:row>
    <x:row r="352" ht="34" customHeight="1">
      <x:c r="A352" s="117" t="str">
        <x:v>Screen_Flow_Add_Purchasing_Return</x:v>
      </x:c>
      <x:c r="B352" s="117" t="str">
        <x:v>Yes</x:v>
      </x:c>
      <x:c r="C352" s="119" t="str">
        <x:v>Active v19 (Tooling metadata)</x:v>
      </x:c>
      <x:c r="D352" s="117" t="str">
        <x:v>Screen Component</x:v>
      </x:c>
      <x:c r="E352" s="117" t="str">
        <x:v>Screen</x:v>
      </x:c>
      <x:c r="F352" s="117" t="str">
        <x:v>c:datatable</x:v>
      </x:c>
      <x:c r="G352" s="117" t="str">
        <x:v>Review</x:v>
      </x:c>
      <x:c r="H352" s="119" t="str">
        <x:v>LWC or Aura extension</x:v>
      </x:c>
    </x:row>
    <x:row r="353" ht="34" customHeight="1">
      <x:c r="A353" s="117" t="str">
        <x:v>Screen_Flow_Add_Purchasing_Return</x:v>
      </x:c>
      <x:c r="B353" s="117" t="str">
        <x:v>Yes</x:v>
      </x:c>
      <x:c r="C353" s="119" t="str">
        <x:v>Active v19 (Tooling metadata)</x:v>
      </x:c>
      <x:c r="D353" s="117" t="str">
        <x:v>Screen Component</x:v>
      </x:c>
      <x:c r="E353" s="117" t="str">
        <x:v>Screen</x:v>
      </x:c>
      <x:c r="F353" s="117" t="str">
        <x:v>flowruntime:datatable</x:v>
      </x:c>
      <x:c r="G353" s="117" t="str">
        <x:v>Review</x:v>
      </x:c>
      <x:c r="H353" s="119" t="str">
        <x:v>LWC or Aura extension</x:v>
      </x:c>
    </x:row>
    <x:row r="354" ht="34" customHeight="1">
      <x:c r="A354" s="117" t="str">
        <x:v>Screen_Flow_Create_New_Service_Asset_From_Work_Order</x:v>
      </x:c>
      <x:c r="B354" s="117" t="str">
        <x:v>Yes</x:v>
      </x:c>
      <x:c r="C354" s="119" t="str">
        <x:v>Active v1 (Retrieved XML)</x:v>
      </x:c>
      <x:c r="D354" s="117" t="str">
        <x:v>Screen Component</x:v>
      </x:c>
      <x:c r="E354" s="117" t="str">
        <x:v>Screen</x:v>
      </x:c>
      <x:c r="F354" s="117" t="str">
        <x:v>flowruntime:lookup</x:v>
      </x:c>
      <x:c r="G354" s="117" t="str">
        <x:v>Review</x:v>
      </x:c>
      <x:c r="H354" s="119" t="str">
        <x:v>LWC or Aura extension</x:v>
      </x:c>
    </x:row>
    <x:row r="355" ht="34" customHeight="1">
      <x:c r="A355" s="117" t="str">
        <x:v>Screen_Flow_Create_Sales_Asset_from_Service_Asset</x:v>
      </x:c>
      <x:c r="B355" s="117" t="str">
        <x:v>No</x:v>
      </x:c>
      <x:c r="C355" s="119" t="str">
        <x:v>Latest inactive v1 (Retrieved XML)</x:v>
      </x:c>
      <x:c r="D355" s="117" t="str">
        <x:v>Screen Component</x:v>
      </x:c>
      <x:c r="E355" s="117" t="str">
        <x:v>Screen</x:v>
      </x:c>
      <x:c r="F355" s="117" t="str">
        <x:v>flowruntime:lookup</x:v>
      </x:c>
      <x:c r="G355" s="117" t="str">
        <x:v>Review</x:v>
      </x:c>
      <x:c r="H355" s="119" t="str">
        <x:v>LWC or Aura extension</x:v>
      </x:c>
    </x:row>
    <x:row r="356" ht="34" customHeight="1">
      <x:c r="A356" s="117" t="str">
        <x:v>Screen_Flow_Create_Sales_Asset_from_Service_Asset</x:v>
      </x:c>
      <x:c r="B356" s="117" t="str">
        <x:v>No</x:v>
      </x:c>
      <x:c r="C356" s="119" t="str">
        <x:v>Latest inactive v1 (Retrieved XML)</x:v>
      </x:c>
      <x:c r="D356" s="117" t="str">
        <x:v>Subflow</x:v>
      </x:c>
      <x:c r="E356" s="117" t="str">
        <x:v>Create_Service_Asset_from_Sales_Asset</x:v>
      </x:c>
      <x:c r="F356" s="117" t="str">
        <x:v>Autolaunched_Create_Service_or_Sales_Asset</x:v>
      </x:c>
      <x:c r="G356" s="117" t="str">
        <x:v>Yes</x:v>
      </x:c>
      <x:c r="H356" s="119" t="str">
        <x:v>Create Service Asset from Sales Asset</x:v>
      </x:c>
    </x:row>
    <x:row r="357" ht="34" customHeight="1">
      <x:c r="A357" s="117" t="str">
        <x:v>Screen_Flow_Create_Service_Asset_from_Sales_Asset</x:v>
      </x:c>
      <x:c r="B357" s="117" t="str">
        <x:v>No</x:v>
      </x:c>
      <x:c r="C357" s="119" t="str">
        <x:v>Latest inactive v1 (Retrieved XML)</x:v>
      </x:c>
      <x:c r="D357" s="117" t="str">
        <x:v>Screen Component</x:v>
      </x:c>
      <x:c r="E357" s="117" t="str">
        <x:v>Screen</x:v>
      </x:c>
      <x:c r="F357" s="117" t="str">
        <x:v>flowruntime:lookup</x:v>
      </x:c>
      <x:c r="G357" s="117" t="str">
        <x:v>Review</x:v>
      </x:c>
      <x:c r="H357" s="119" t="str">
        <x:v>LWC or Aura extension</x:v>
      </x:c>
    </x:row>
    <x:row r="358" ht="34" customHeight="1">
      <x:c r="A358" s="117" t="str">
        <x:v>Screen_Flow_Create_Service_Asset_from_Sales_Asset</x:v>
      </x:c>
      <x:c r="B358" s="117" t="str">
        <x:v>No</x:v>
      </x:c>
      <x:c r="C358" s="119" t="str">
        <x:v>Latest inactive v1 (Retrieved XML)</x:v>
      </x:c>
      <x:c r="D358" s="117" t="str">
        <x:v>Subflow</x:v>
      </x:c>
      <x:c r="E358" s="117" t="str">
        <x:v>Create_Service_Asset_from_Sales_Asset</x:v>
      </x:c>
      <x:c r="F358" s="117" t="str">
        <x:v>Autolaunched_Create_Service_or_Sales_Asset</x:v>
      </x:c>
      <x:c r="G358" s="117" t="str">
        <x:v>Yes</x:v>
      </x:c>
      <x:c r="H358" s="119" t="str">
        <x:v>Create Service Asset from Sales Asset</x:v>
      </x:c>
    </x:row>
    <x:row r="359" ht="34" customHeight="1">
      <x:c r="A359" s="117" t="str">
        <x:v>Screen_Flow_Scrap_Asset_on_System_Work_Order</x:v>
      </x:c>
      <x:c r="B359" s="117" t="str">
        <x:v>Yes</x:v>
      </x:c>
      <x:c r="C359" s="119" t="str">
        <x:v>Active v1 (Retrieved XML)</x:v>
      </x:c>
      <x:c r="D359" s="117" t="str">
        <x:v>Built-in Action</x:v>
      </x:c>
      <x:c r="E359" s="117" t="str">
        <x:v>Navigate_to_Inventory_Adjustment</x:v>
      </x:c>
      <x:c r="F359" s="117" t="str">
        <x:v>c:navigateToRecord</x:v>
      </x:c>
      <x:c r="G359" s="117" t="str">
        <x:v>Platform</x:v>
      </x:c>
      <x:c r="H359" s="119" t="str">
        <x:v>component | Navigate to Inventory Adjustment | CurrentTransaction</x:v>
      </x:c>
    </x:row>
    <x:row r="360" ht="34" customHeight="1">
      <x:c r="A360" s="117" t="str">
        <x:v>Screen_Flow_Scrap_Asset_on_System_Work_Order</x:v>
      </x:c>
      <x:c r="B360" s="117" t="str">
        <x:v>Yes</x:v>
      </x:c>
      <x:c r="C360" s="119" t="str">
        <x:v>Active v1 (Retrieved XML)</x:v>
      </x:c>
      <x:c r="D360" s="117" t="str">
        <x:v>Built-in Action</x:v>
      </x:c>
      <x:c r="E360" s="117" t="str">
        <x:v>Navigate_to_System_Work_Order</x:v>
      </x:c>
      <x:c r="F360" s="117" t="str">
        <x:v>c:navigateToRecord</x:v>
      </x:c>
      <x:c r="G360" s="117" t="str">
        <x:v>Platform</x:v>
      </x:c>
      <x:c r="H360" s="119" t="str">
        <x:v>component | Navigate to System Work Order | CurrentTransaction</x:v>
      </x:c>
    </x:row>
    <x:row r="361" ht="34" customHeight="1">
      <x:c r="A361" s="117" t="str">
        <x:v>Screen_Flow_Scrap_Asset_on_System_Work_Order</x:v>
      </x:c>
      <x:c r="B361" s="117" t="str">
        <x:v>Yes</x:v>
      </x:c>
      <x:c r="C361" s="119" t="str">
        <x:v>Active v1 (Retrieved XML)</x:v>
      </x:c>
      <x:c r="D361" s="117" t="str">
        <x:v>Built-in Action</x:v>
      </x:c>
      <x:c r="E361" s="117" t="str">
        <x:v>Submit_for_Approval</x:v>
      </x:c>
      <x:c r="F361" s="117" t="str">
        <x:v>submit</x:v>
      </x:c>
      <x:c r="G361" s="117" t="str">
        <x:v>Platform</x:v>
      </x:c>
      <x:c r="H361" s="119" t="str">
        <x:v>submit | Submit for Approval | CurrentTransaction</x:v>
      </x:c>
    </x:row>
    <x:row r="362" ht="34" customHeight="1">
      <x:c r="A362" s="117" t="str">
        <x:v>Screen_Flow_Select_IR_Assets</x:v>
      </x:c>
      <x:c r="B362" s="117" t="str">
        <x:v>Yes</x:v>
      </x:c>
      <x:c r="C362" s="119" t="str">
        <x:v>Active v4 (Retrieved XML)</x:v>
      </x:c>
      <x:c r="D362" s="117" t="str">
        <x:v>Apex Action</x:v>
      </x:c>
      <x:c r="E362" s="117" t="str">
        <x:v>Convert_JSON_to_Records</x:v>
      </x:c>
      <x:c r="F362" s="117" t="str">
        <x:v>FlowJsonToRecords</x:v>
      </x:c>
      <x:c r="G362" s="117" t="str">
        <x:v>Review</x:v>
      </x:c>
      <x:c r="H362" s="119" t="str">
        <x:v>apex | Convert JSON to Records | Automatic</x:v>
      </x:c>
    </x:row>
    <x:row r="363" ht="34" customHeight="1">
      <x:c r="A363" s="117" t="str">
        <x:v>Screen_Flow_Select_IR_Assets</x:v>
      </x:c>
      <x:c r="B363" s="117" t="str">
        <x:v>Yes</x:v>
      </x:c>
      <x:c r="C363" s="119" t="str">
        <x:v>Active v4 (Retrieved XML)</x:v>
      </x:c>
      <x:c r="D363" s="117" t="str">
        <x:v>Apex Action</x:v>
      </x:c>
      <x:c r="E363" s="117" t="str">
        <x:v>Convert_Records_to_JSON</x:v>
      </x:c>
      <x:c r="F363" s="117" t="str">
        <x:v>FlowRecordsToJson</x:v>
      </x:c>
      <x:c r="G363" s="117" t="str">
        <x:v>Review</x:v>
      </x:c>
      <x:c r="H363" s="119" t="str">
        <x:v>apex | Convert Records to JSON | Automatic</x:v>
      </x:c>
    </x:row>
    <x:row r="364" ht="34" customHeight="1">
      <x:c r="A364" s="117" t="str">
        <x:v>Screen_Flow_Select_IR_Assets</x:v>
      </x:c>
      <x:c r="B364" s="117" t="str">
        <x:v>Yes</x:v>
      </x:c>
      <x:c r="C364" s="119" t="str">
        <x:v>Active v4 (Retrieved XML)</x:v>
      </x:c>
      <x:c r="D364" s="117" t="str">
        <x:v>Screen Component</x:v>
      </x:c>
      <x:c r="E364" s="117" t="str">
        <x:v>Screen</x:v>
      </x:c>
      <x:c r="F364" s="117" t="str">
        <x:v>c:recordTableStateful</x:v>
      </x:c>
      <x:c r="G364" s="117" t="str">
        <x:v>Review</x:v>
      </x:c>
      <x:c r="H364" s="119" t="str">
        <x:v>LWC or Aura extension</x:v>
      </x:c>
    </x:row>
    <x:row r="365" ht="34" customHeight="1">
      <x:c r="A365" s="117" t="str">
        <x:v>Screen_Flow_Select_Products_to_Invoice_on_Equipment_Storage_Opps</x:v>
      </x:c>
      <x:c r="B365" s="117" t="str">
        <x:v>Yes</x:v>
      </x:c>
      <x:c r="C365" s="119" t="str">
        <x:v>Active v2 (Retrieved XML)</x:v>
      </x:c>
      <x:c r="D365" s="117" t="str">
        <x:v>Screen Component</x:v>
      </x:c>
      <x:c r="E365" s="117" t="str">
        <x:v>Screen</x:v>
      </x:c>
      <x:c r="F365" s="117" t="str">
        <x:v>c:datatable</x:v>
      </x:c>
      <x:c r="G365" s="117" t="str">
        <x:v>Review</x:v>
      </x:c>
      <x:c r="H365" s="119" t="str">
        <x:v>LWC or Aura extension</x:v>
      </x:c>
    </x:row>
    <x:row r="366" ht="34" customHeight="1">
      <x:c r="A366" s="117" t="str">
        <x:v>Screen_Flow_Select_Products_to_Invoice_on_Equipment_Storage_Opps</x:v>
      </x:c>
      <x:c r="B366" s="117" t="str">
        <x:v>Yes</x:v>
      </x:c>
      <x:c r="C366" s="119" t="str">
        <x:v>Active v2 (Retrieved XML)</x:v>
      </x:c>
      <x:c r="D366" s="117" t="str">
        <x:v>Screen Component</x:v>
      </x:c>
      <x:c r="E366" s="117" t="str">
        <x:v>Screen</x:v>
      </x:c>
      <x:c r="F366" s="117" t="str">
        <x:v>flowruntime:datatable</x:v>
      </x:c>
      <x:c r="G366" s="117" t="str">
        <x:v>Review</x:v>
      </x:c>
      <x:c r="H366" s="119" t="str">
        <x:v>LWC or Aura extension</x:v>
      </x:c>
    </x:row>
    <x:row r="367" ht="34" customHeight="1">
      <x:c r="A367" s="117" t="str">
        <x:v>Screen_Flow_Update_Shipping_FIelds</x:v>
      </x:c>
      <x:c r="B367" s="117" t="str">
        <x:v>Yes</x:v>
      </x:c>
      <x:c r="C367" s="119" t="str">
        <x:v>Active v2 (Retrieved XML)</x:v>
      </x:c>
      <x:c r="D367" s="117" t="str">
        <x:v>Screen Component</x:v>
      </x:c>
      <x:c r="E367" s="117" t="str">
        <x:v>Screen</x:v>
      </x:c>
      <x:c r="F367" s="117" t="str">
        <x:v>flowruntime:datatable</x:v>
      </x:c>
      <x:c r="G367" s="117" t="str">
        <x:v>Review</x:v>
      </x:c>
      <x:c r="H367" s="119" t="str">
        <x:v>LWC or Aura extension</x:v>
      </x:c>
    </x:row>
    <x:row r="368" ht="34" customHeight="1">
      <x:c r="A368" s="117" t="str">
        <x:v>Screen_Flow_Update_Shipping_FIelds</x:v>
      </x:c>
      <x:c r="B368" s="117" t="str">
        <x:v>Yes</x:v>
      </x:c>
      <x:c r="C368" s="119" t="str">
        <x:v>Active v2 (Retrieved XML)</x:v>
      </x:c>
      <x:c r="D368" s="117" t="str">
        <x:v>Screen Component</x:v>
      </x:c>
      <x:c r="E368" s="117" t="str">
        <x:v>Screen</x:v>
      </x:c>
      <x:c r="F368" s="117" t="str">
        <x:v>flowruntime:lookup</x:v>
      </x:c>
      <x:c r="G368" s="117" t="str">
        <x:v>Review</x:v>
      </x:c>
      <x:c r="H368" s="119" t="str">
        <x:v>LWC or Aura extension</x:v>
      </x:c>
    </x:row>
    <x:row r="369" ht="34" customHeight="1">
      <x:c r="A369" s="117" t="str">
        <x:v>Screen_Work_Order_Asset_Contract_Line_Update</x:v>
      </x:c>
      <x:c r="B369" s="117" t="str">
        <x:v>Yes</x:v>
      </x:c>
      <x:c r="C369" s="119" t="str">
        <x:v>Active v1 (Tooling metadata)</x:v>
      </x:c>
      <x:c r="D369" s="117" t="str">
        <x:v>Screen Component</x:v>
      </x:c>
      <x:c r="E369" s="117" t="str">
        <x:v>Screen</x:v>
      </x:c>
      <x:c r="F369" s="117" t="str">
        <x:v>c:datatable</x:v>
      </x:c>
      <x:c r="G369" s="117" t="str">
        <x:v>Review</x:v>
      </x:c>
      <x:c r="H369" s="119" t="str">
        <x:v>LWC or Aura extension</x:v>
      </x:c>
    </x:row>
    <x:row r="370" ht="34" customHeight="1">
      <x:c r="A370" s="117" t="str">
        <x:v>Screen_Work_Order_Create_Tentative_SAs</x:v>
      </x:c>
      <x:c r="B370" s="117" t="str">
        <x:v>Yes</x:v>
      </x:c>
      <x:c r="C370" s="119" t="str">
        <x:v>Active v1 (Retrieved XML)</x:v>
      </x:c>
      <x:c r="D370" s="117" t="str">
        <x:v>Screen Component</x:v>
      </x:c>
      <x:c r="E370" s="117" t="str">
        <x:v>Screen</x:v>
      </x:c>
      <x:c r="F370" s="117" t="str">
        <x:v>c:datatable</x:v>
      </x:c>
      <x:c r="G370" s="117" t="str">
        <x:v>Review</x:v>
      </x:c>
      <x:c r="H370" s="119" t="str">
        <x:v>LWC or Aura extension</x:v>
      </x:c>
    </x:row>
    <x:row r="371" ht="34" customHeight="1">
      <x:c r="A371" s="117" t="str">
        <x:v>Screen_Work_Order_Create_Tentative_SAs</x:v>
      </x:c>
      <x:c r="B371" s="117" t="str">
        <x:v>Yes</x:v>
      </x:c>
      <x:c r="C371" s="119" t="str">
        <x:v>Active v1 (Retrieved XML)</x:v>
      </x:c>
      <x:c r="D371" s="117" t="str">
        <x:v>Screen Component</x:v>
      </x:c>
      <x:c r="E371" s="117" t="str">
        <x:v>Screen</x:v>
      </x:c>
      <x:c r="F371" s="117" t="str">
        <x:v>flowruntime:lookup</x:v>
      </x:c>
      <x:c r="G371" s="117" t="str">
        <x:v>Review</x:v>
      </x:c>
      <x:c r="H371" s="119" t="str">
        <x:v>LWC or Aura extension</x:v>
      </x:c>
    </x:row>
    <x:row r="372" ht="34" customHeight="1">
      <x:c r="A372" s="117" t="str">
        <x:v>SelectRecommendedRepairs</x:v>
      </x:c>
      <x:c r="B372" s="117" t="str">
        <x:v>Yes</x:v>
      </x:c>
      <x:c r="C372" s="119" t="str">
        <x:v>Active v1 (Retrieved XML)</x:v>
      </x:c>
      <x:c r="D372" s="117" t="str">
        <x:v>Screen Component</x:v>
      </x:c>
      <x:c r="E372" s="117" t="str">
        <x:v>Screen</x:v>
      </x:c>
      <x:c r="F372" s="117" t="str">
        <x:v>c:fsc_dualListBox3</x:v>
      </x:c>
      <x:c r="G372" s="117" t="str">
        <x:v>Review</x:v>
      </x:c>
      <x:c r="H372" s="119" t="str">
        <x:v>LWC or Aura extension</x:v>
      </x:c>
    </x:row>
    <x:row r="373" ht="34" customHeight="1">
      <x:c r="A373" s="117" t="str">
        <x:v>Send_Better_Email_Testflow</x:v>
      </x:c>
      <x:c r="B373" s="117" t="str">
        <x:v>Yes</x:v>
      </x:c>
      <x:c r="C373" s="119" t="str">
        <x:v>Active v1 (Tooling metadata)</x:v>
      </x:c>
      <x:c r="D373" s="117" t="str">
        <x:v>Apex Action</x:v>
      </x:c>
      <x:c r="E373" s="117" t="str">
        <x:v>X1_Simplest_Better_Email</x:v>
      </x:c>
      <x:c r="F373" s="117" t="str">
        <x:v>SendBetterEmail</x:v>
      </x:c>
      <x:c r="G373" s="117" t="str">
        <x:v>Review</x:v>
      </x:c>
      <x:c r="H373" s="119" t="str">
        <x:v>apex | 1. Simplest Better Email | CurrentTransaction</x:v>
      </x:c>
    </x:row>
    <x:row r="374" ht="34" customHeight="1">
      <x:c r="A374" s="117" t="str">
        <x:v>Send_Better_Email_Testflow</x:v>
      </x:c>
      <x:c r="B374" s="117" t="str">
        <x:v>Yes</x:v>
      </x:c>
      <x:c r="C374" s="119" t="str">
        <x:v>Active v1 (Tooling metadata)</x:v>
      </x:c>
      <x:c r="D374" s="117" t="str">
        <x:v>Apex Action</x:v>
      </x:c>
      <x:c r="E374" s="117" t="str">
        <x:v>X2_Simple_Email_with_Address_Collections_Wit_Collections</x:v>
      </x:c>
      <x:c r="F374" s="117" t="str">
        <x:v>SendBetterEmail</x:v>
      </x:c>
      <x:c r="G374" s="117" t="str">
        <x:v>Review</x:v>
      </x:c>
      <x:c r="H374" s="119" t="str">
        <x:v>apex | 2. Simple Email with Address Collections - With Address Collections | CurrentTransaction</x:v>
      </x:c>
    </x:row>
    <x:row r="375" ht="34" customHeight="1">
      <x:c r="A375" s="117" t="str">
        <x:v>Send_Better_Email_Testflow</x:v>
      </x:c>
      <x:c r="B375" s="117" t="str">
        <x:v>Yes</x:v>
      </x:c>
      <x:c r="C375" s="119" t="str">
        <x:v>Active v1 (Tooling metadata)</x:v>
      </x:c>
      <x:c r="D375" s="117" t="str">
        <x:v>Apex Action</x:v>
      </x:c>
      <x:c r="E375" s="117" t="str">
        <x:v>X3_Email_with_Attachments</x:v>
      </x:c>
      <x:c r="F375" s="117" t="str">
        <x:v>SendBetterEmail</x:v>
      </x:c>
      <x:c r="G375" s="117" t="str">
        <x:v>Review</x:v>
      </x:c>
      <x:c r="H375" s="119" t="str">
        <x:v>apex | 3. Email with Attachments | CurrentTransaction</x:v>
      </x:c>
    </x:row>
    <x:row r="376" ht="34" customHeight="1">
      <x:c r="A376" s="117" t="str">
        <x:v>Send_Better_Email_Testflow</x:v>
      </x:c>
      <x:c r="B376" s="117" t="str">
        <x:v>Yes</x:v>
      </x:c>
      <x:c r="C376" s="119" t="str">
        <x:v>Active v1 (Tooling metadata)</x:v>
      </x:c>
      <x:c r="D376" s="117" t="str">
        <x:v>Apex Action</x:v>
      </x:c>
      <x:c r="E376" s="117" t="str">
        <x:v>X4_Email_Using_Template_Action</x:v>
      </x:c>
      <x:c r="F376" s="117" t="str">
        <x:v>SendBetterEmail</x:v>
      </x:c>
      <x:c r="G376" s="117" t="str">
        <x:v>Review</x:v>
      </x:c>
      <x:c r="H376" s="119" t="str">
        <x:v>apex | 4. Email Using Template Action | CurrentTransaction</x:v>
      </x:c>
    </x:row>
    <x:row r="377" ht="34" customHeight="1">
      <x:c r="A377" s="117" t="str">
        <x:v>Send_Better_Email_Testflow</x:v>
      </x:c>
      <x:c r="B377" s="117" t="str">
        <x:v>Yes</x:v>
      </x:c>
      <x:c r="C377" s="119" t="str">
        <x:v>Active v1 (Tooling metadata)</x:v>
      </x:c>
      <x:c r="D377" s="117" t="str">
        <x:v>Apex Action</x:v>
      </x:c>
      <x:c r="E377" s="117" t="str">
        <x:v>X5_Multi_Lingual_Using_Email_Templates_Action</x:v>
      </x:c>
      <x:c r="F377" s="117" t="str">
        <x:v>SendBetterEmail</x:v>
      </x:c>
      <x:c r="G377" s="117" t="str">
        <x:v>Review</x:v>
      </x:c>
      <x:c r="H377" s="119" t="str">
        <x:v>apex | 5. Multi-Lingual Using Email Templates | CurrentTransaction</x:v>
      </x:c>
    </x:row>
    <x:row r="378" ht="34" customHeight="1">
      <x:c r="A378" s="117" t="str">
        <x:v>Send_Better_Email_Testflow</x:v>
      </x:c>
      <x:c r="B378" s="117" t="str">
        <x:v>Yes</x:v>
      </x:c>
      <x:c r="C378" s="119" t="str">
        <x:v>Active v1 (Tooling metadata)</x:v>
      </x:c>
      <x:c r="D378" s="117" t="str">
        <x:v>Apex Action</x:v>
      </x:c>
      <x:c r="E378" s="117" t="str">
        <x:v>X6_Send_Better_Email_Mass</x:v>
      </x:c>
      <x:c r="F378" s="117" t="str">
        <x:v>SendBetterEmail</x:v>
      </x:c>
      <x:c r="G378" s="117" t="str">
        <x:v>Review</x:v>
      </x:c>
      <x:c r="H378" s="119" t="str">
        <x:v>apex | 6. Send Better Email - Mass | CurrentTransaction</x:v>
      </x:c>
    </x:row>
    <x:row r="379" ht="34" customHeight="1">
      <x:c r="A379" s="117" t="str">
        <x:v>Send_Better_Email_Testflow</x:v>
      </x:c>
      <x:c r="B379" s="117" t="str">
        <x:v>Yes</x:v>
      </x:c>
      <x:c r="C379" s="119" t="str">
        <x:v>Active v1 (Tooling metadata)</x:v>
      </x:c>
      <x:c r="D379" s="117" t="str">
        <x:v>Apex Action</x:v>
      </x:c>
      <x:c r="E379" s="117" t="str">
        <x:v>X8_Email_Using_Template_Action</x:v>
      </x:c>
      <x:c r="F379" s="117" t="str">
        <x:v>SendBetterEmail</x:v>
      </x:c>
      <x:c r="G379" s="117" t="str">
        <x:v>Review</x:v>
      </x:c>
      <x:c r="H379" s="119" t="str">
        <x:v>apex | 8. Email Using Template, Recipient, Target, WhatId | CurrentTransaction</x:v>
      </x:c>
    </x:row>
    <x:row r="380" ht="34" customHeight="1">
      <x:c r="A380" s="117" t="str">
        <x:v>Send_Better_Email_Testflow</x:v>
      </x:c>
      <x:c r="B380" s="117" t="str">
        <x:v>Yes</x:v>
      </x:c>
      <x:c r="C380" s="119" t="str">
        <x:v>Active v1 (Tooling metadata)</x:v>
      </x:c>
      <x:c r="D380" s="117" t="str">
        <x:v>Apex Action</x:v>
      </x:c>
      <x:c r="E380" s="117" t="str">
        <x:v>X7_BulkSendBetterEmail_Action</x:v>
      </x:c>
      <x:c r="F380" s="117" t="str">
        <x:v>SendBetterEmailBulk</x:v>
      </x:c>
      <x:c r="G380" s="117" t="str">
        <x:v>Review</x:v>
      </x:c>
      <x:c r="H380" s="119" t="str">
        <x:v>apex | 7. SendBetterEmail Bulk | CurrentTransaction</x:v>
      </x:c>
    </x:row>
    <x:row r="381" ht="34" customHeight="1">
      <x:c r="A381" s="117" t="str">
        <x:v>Send_Better_Email_Testflow</x:v>
      </x:c>
      <x:c r="B381" s="117" t="str">
        <x:v>Yes</x:v>
      </x:c>
      <x:c r="C381" s="119" t="str">
        <x:v>Active v1 (Tooling metadata)</x:v>
      </x:c>
      <x:c r="D381" s="117" t="str">
        <x:v>Apex Action</x:v>
      </x:c>
      <x:c r="E381" s="117" t="str">
        <x:v>Bulk_Request_Setup</x:v>
      </x:c>
      <x:c r="F381" s="117" t="str">
        <x:v>SendBetterEmailBulkRequestSetup</x:v>
      </x:c>
      <x:c r="G381" s="117" t="str">
        <x:v>Review</x:v>
      </x:c>
      <x:c r="H381" s="119" t="str">
        <x:v>apex | Test Request Setup for Bulk | CurrentTransaction</x:v>
      </x:c>
    </x:row>
    <x:row r="382" ht="34" customHeight="1">
      <x:c r="A382" s="117" t="str">
        <x:v>Send_Better_Email_Testflow</x:v>
      </x:c>
      <x:c r="B382" s="117" t="str">
        <x:v>Yes</x:v>
      </x:c>
      <x:c r="C382" s="119" t="str">
        <x:v>Active v1 (Tooling metadata)</x:v>
      </x:c>
      <x:c r="D382" s="117" t="str">
        <x:v>Screen Component</x:v>
      </x:c>
      <x:c r="E382" s="117" t="str">
        <x:v>Screen</x:v>
      </x:c>
      <x:c r="F382" s="117" t="str">
        <x:v>flowruntime:email</x:v>
      </x:c>
      <x:c r="G382" s="117" t="str">
        <x:v>Review</x:v>
      </x:c>
      <x:c r="H382" s="119" t="str">
        <x:v>LWC or Aura extension</x:v>
      </x:c>
    </x:row>
    <x:row r="383" ht="34" customHeight="1">
      <x:c r="A383" s="117" t="str">
        <x:v>Send_Better_Email_Testflow</x:v>
      </x:c>
      <x:c r="B383" s="117" t="str">
        <x:v>Yes</x:v>
      </x:c>
      <x:c r="C383" s="119" t="str">
        <x:v>Active v1 (Tooling metadata)</x:v>
      </x:c>
      <x:c r="D383" s="117" t="str">
        <x:v>Screen Component</x:v>
      </x:c>
      <x:c r="E383" s="117" t="str">
        <x:v>Screen</x:v>
      </x:c>
      <x:c r="F383" s="117" t="str">
        <x:v>forceContent:fileUpload</x:v>
      </x:c>
      <x:c r="G383" s="117" t="str">
        <x:v>Review</x:v>
      </x:c>
      <x:c r="H383" s="119" t="str">
        <x:v>LWC or Aura extension</x:v>
      </x:c>
    </x:row>
    <x:row r="384" ht="34" customHeight="1">
      <x:c r="A384" s="117" t="str">
        <x:v>Send_Better_Email_Testflow</x:v>
      </x:c>
      <x:c r="B384" s="117" t="str">
        <x:v>Yes</x:v>
      </x:c>
      <x:c r="C384" s="119" t="str">
        <x:v>Active v1 (Tooling metadata)</x:v>
      </x:c>
      <x:c r="D384" s="117" t="str">
        <x:v>Subflow</x:v>
      </x:c>
      <x:c r="E384" s="117" t="str">
        <x:v>X4_Create_Test_Templates_if_Needed</x:v>
      </x:c>
      <x:c r="F384" s="117" t="str">
        <x:v>sendBetterEmail_Test_Create_Test_Templates_if_needed</x:v>
      </x:c>
      <x:c r="G384" s="117" t="str">
        <x:v>Yes</x:v>
      </x:c>
      <x:c r="H384" s="119" t="str">
        <x:v>4. Create Test Templates if Needed</x:v>
      </x:c>
    </x:row>
    <x:row r="385" ht="34" customHeight="1">
      <x:c r="A385" s="117" t="str">
        <x:v>Send_Better_Email_Testflow</x:v>
      </x:c>
      <x:c r="B385" s="117" t="str">
        <x:v>Yes</x:v>
      </x:c>
      <x:c r="C385" s="119" t="str">
        <x:v>Active v1 (Tooling metadata)</x:v>
      </x:c>
      <x:c r="D385" s="117" t="str">
        <x:v>Subflow</x:v>
      </x:c>
      <x:c r="E385" s="117" t="str">
        <x:v>X5_Create_Test_Templates_if_Needed</x:v>
      </x:c>
      <x:c r="F385" s="117" t="str">
        <x:v>sendBetterEmail_Test_Create_Test_Templates_if_needed</x:v>
      </x:c>
      <x:c r="G385" s="117" t="str">
        <x:v>Yes</x:v>
      </x:c>
      <x:c r="H385" s="119" t="str">
        <x:v>5. Create Test Templates if Needed</x:v>
      </x:c>
    </x:row>
    <x:row r="386" ht="34" customHeight="1">
      <x:c r="A386" s="117" t="str">
        <x:v>Send_Better_Email_Testflow</x:v>
      </x:c>
      <x:c r="B386" s="117" t="str">
        <x:v>Yes</x:v>
      </x:c>
      <x:c r="C386" s="119" t="str">
        <x:v>Active v1 (Tooling metadata)</x:v>
      </x:c>
      <x:c r="D386" s="117" t="str">
        <x:v>Subflow</x:v>
      </x:c>
      <x:c r="E386" s="117" t="str">
        <x:v>X6_Create_Mass_Email_Test_Templates_If_Needed</x:v>
      </x:c>
      <x:c r="F386" s="117" t="str">
        <x:v>sendBetterEmail_Test_Create_Test_Templates_if_needed</x:v>
      </x:c>
      <x:c r="G386" s="117" t="str">
        <x:v>Yes</x:v>
      </x:c>
      <x:c r="H386" s="119" t="str">
        <x:v>6. Create Mass Email Test Templates If Needed</x:v>
      </x:c>
    </x:row>
    <x:row r="387" ht="34" customHeight="1">
      <x:c r="A387" s="117" t="str">
        <x:v>Send_Better_Email_Testflow</x:v>
      </x:c>
      <x:c r="B387" s="117" t="str">
        <x:v>Yes</x:v>
      </x:c>
      <x:c r="C387" s="119" t="str">
        <x:v>Active v1 (Tooling metadata)</x:v>
      </x:c>
      <x:c r="D387" s="117" t="str">
        <x:v>Subflow</x:v>
      </x:c>
      <x:c r="E387" s="117" t="str">
        <x:v>X8_Create_Test_Templates_if_Needed</x:v>
      </x:c>
      <x:c r="F387" s="117" t="str">
        <x:v>sendBetterEmail_Test_Create_Test_Templates_if_needed</x:v>
      </x:c>
      <x:c r="G387" s="117" t="str">
        <x:v>Yes</x:v>
      </x:c>
      <x:c r="H387" s="119" t="str">
        <x:v>8. Create Test Templates if Needed</x:v>
      </x:c>
    </x:row>
    <x:row r="388" ht="34" customHeight="1">
      <x:c r="A388" s="117" t="str">
        <x:v>Send_Credit_Memo_PDF_to_Customer</x:v>
      </x:c>
      <x:c r="B388" s="117" t="str">
        <x:v>Yes</x:v>
      </x:c>
      <x:c r="C388" s="119" t="str">
        <x:v>Active v3 (Retrieved XML)</x:v>
      </x:c>
      <x:c r="D388" s="117" t="str">
        <x:v>Apex Action</x:v>
      </x:c>
      <x:c r="E388" s="117" t="str">
        <x:v>Build_Credit_Memo_Attachment</x:v>
      </x:c>
      <x:c r="F388" s="117" t="str">
        <x:v>SaveCreditMemoPdfFileAction</x:v>
      </x:c>
      <x:c r="G388" s="117" t="str">
        <x:v>Review</x:v>
      </x:c>
      <x:c r="H388" s="119" t="str">
        <x:v>apex | Build Credit Memo Attachment | Automatic</x:v>
      </x:c>
    </x:row>
    <x:row r="389" ht="34" customHeight="1">
      <x:c r="A389" s="117" t="str">
        <x:v>Send_Credit_Memo_PDF_to_Customer</x:v>
      </x:c>
      <x:c r="B389" s="117" t="str">
        <x:v>Yes</x:v>
      </x:c>
      <x:c r="C389" s="119" t="str">
        <x:v>Active v3 (Retrieved XML)</x:v>
      </x:c>
      <x:c r="D389" s="117" t="str">
        <x:v>Built-in Action</x:v>
      </x:c>
      <x:c r="E389" s="117" t="str">
        <x:v>Send_Credit_Memo_PDF</x:v>
      </x:c>
      <x:c r="F389" s="117" t="str">
        <x:v>emailSimple</x:v>
      </x:c>
      <x:c r="G389" s="117" t="str">
        <x:v>Platform</x:v>
      </x:c>
      <x:c r="H389" s="119" t="str">
        <x:v>emailSimple | Send Credit Memo PDF | CurrentTransaction</x:v>
      </x:c>
    </x:row>
    <x:row r="390" ht="34" customHeight="1">
      <x:c r="A390" s="117" t="str">
        <x:v>Send_Email_For_Automated_Bundling_Failures</x:v>
      </x:c>
      <x:c r="B390" s="117" t="str">
        <x:v>No</x:v>
      </x:c>
      <x:c r="C390" s="119" t="str">
        <x:v>Latest inactive v10 (Tooling metadata)</x:v>
      </x:c>
      <x:c r="D390" s="117" t="str">
        <x:v>Apex Action</x:v>
      </x:c>
      <x:c r="E390" s="117" t="str">
        <x:v>ReturnAdminUserDetails</x:v>
      </x:c>
      <x:c r="F390" s="117" t="str">
        <x:v>FSL__ReturnAdminUser</x:v>
      </x:c>
      <x:c r="G390" s="117" t="str">
        <x:v>Review</x:v>
      </x:c>
      <x:c r="H390" s="119" t="str">
        <x:v>apex | Return Admin User Details | CurrentTransaction</x:v>
      </x:c>
    </x:row>
    <x:row r="391" ht="34" customHeight="1">
      <x:c r="A391" s="117" t="str">
        <x:v>Send_Email_For_Automated_Bundling_Failures</x:v>
      </x:c>
      <x:c r="B391" s="117" t="str">
        <x:v>No</x:v>
      </x:c>
      <x:c r="C391" s="119" t="str">
        <x:v>Latest inactive v10 (Tooling metadata)</x:v>
      </x:c>
      <x:c r="D391" s="117" t="str">
        <x:v>Built-in Action</x:v>
      </x:c>
      <x:c r="E391" s="117" t="str">
        <x:v>SendEmail</x:v>
      </x:c>
      <x:c r="F391" s="117" t="str">
        <x:v>emailSimple</x:v>
      </x:c>
      <x:c r="G391" s="117" t="str">
        <x:v>Platform</x:v>
      </x:c>
      <x:c r="H391" s="119" t="str">
        <x:v>emailSimple | Send Email | CurrentTransaction</x:v>
      </x:c>
    </x:row>
    <x:row r="392" ht="34" customHeight="1">
      <x:c r="A392" s="117" t="str">
        <x:v>Send_email_with_attachment_shipment</x:v>
      </x:c>
      <x:c r="B392" s="117" t="str">
        <x:v>Yes</x:v>
      </x:c>
      <x:c r="C392" s="119" t="str">
        <x:v>Active v11 (Retrieved XML)</x:v>
      </x:c>
      <x:c r="D392" s="117" t="str">
        <x:v>Apex Action</x:v>
      </x:c>
      <x:c r="E392" s="117" t="str">
        <x:v>Email_label</x:v>
      </x:c>
      <x:c r="F392" s="117" t="str">
        <x:v>invocableEmailAttachment</x:v>
      </x:c>
      <x:c r="G392" s="117" t="str">
        <x:v>Review</x:v>
      </x:c>
      <x:c r="H392" s="119" t="str">
        <x:v>apex | Email label | CurrentTransaction</x:v>
      </x:c>
    </x:row>
    <x:row r="393" ht="34" customHeight="1">
      <x:c r="A393" s="117" t="str">
        <x:v>Send_email_with_attachment_shipment</x:v>
      </x:c>
      <x:c r="B393" s="117" t="str">
        <x:v>Yes</x:v>
      </x:c>
      <x:c r="C393" s="119" t="str">
        <x:v>Active v11 (Retrieved XML)</x:v>
      </x:c>
      <x:c r="D393" s="117" t="str">
        <x:v>Apex Action</x:v>
      </x:c>
      <x:c r="E393" s="117" t="str">
        <x:v>UK_email_with_attachments</x:v>
      </x:c>
      <x:c r="F393" s="117" t="str">
        <x:v>invocableEmailAttachmentUK</x:v>
      </x:c>
      <x:c r="G393" s="117" t="str">
        <x:v>Review</x:v>
      </x:c>
      <x:c r="H393" s="119" t="str">
        <x:v>apex | UK email with attachments | CurrentTransaction</x:v>
      </x:c>
    </x:row>
    <x:row r="394" ht="34" customHeight="1">
      <x:c r="A394" s="117" t="str">
        <x:v>Send_Email_Work_Order_PDF</x:v>
      </x:c>
      <x:c r="B394" s="117" t="str">
        <x:v>Yes</x:v>
      </x:c>
      <x:c r="C394" s="119" t="str">
        <x:v>Active v6 (Retrieved XML)</x:v>
      </x:c>
      <x:c r="D394" s="117" t="str">
        <x:v>Apex Action</x:v>
      </x:c>
      <x:c r="E394" s="117" t="str">
        <x:v>SendWOPDFEmail</x:v>
      </x:c>
      <x:c r="F394" s="117" t="str">
        <x:v>EmailWorkOrderPDF</x:v>
      </x:c>
      <x:c r="G394" s="117" t="str">
        <x:v>Review</x:v>
      </x:c>
      <x:c r="H394" s="119" t="str">
        <x:v>apex | SendWOPDFEmail | CurrentTransaction</x:v>
      </x:c>
    </x:row>
    <x:row r="395" ht="34" customHeight="1">
      <x:c r="A395" s="117" t="str">
        <x:v>Send_Invoice_PDF_Email</x:v>
      </x:c>
      <x:c r="B395" s="117" t="str">
        <x:v>Yes</x:v>
      </x:c>
      <x:c r="C395" s="119" t="str">
        <x:v>Active v9 (Retrieved XML)</x:v>
      </x:c>
      <x:c r="D395" s="117" t="str">
        <x:v>Apex Action</x:v>
      </x:c>
      <x:c r="E395" s="117" t="str">
        <x:v>Send_Invoice_PDF_Email</x:v>
      </x:c>
      <x:c r="F395" s="117" t="str">
        <x:v>SendInvoicePDF</x:v>
      </x:c>
      <x:c r="G395" s="117" t="str">
        <x:v>Review</x:v>
      </x:c>
      <x:c r="H395" s="119" t="str">
        <x:v>apex | Send Invoice PDF Email | Automatic</x:v>
      </x:c>
    </x:row>
    <x:row r="396" ht="34" customHeight="1">
      <x:c r="A396" s="117" t="str">
        <x:v>Send_Invoice_PDF_Email</x:v>
      </x:c>
      <x:c r="B396" s="117" t="str">
        <x:v>Yes</x:v>
      </x:c>
      <x:c r="C396" s="119" t="str">
        <x:v>Active v9 (Retrieved XML)</x:v>
      </x:c>
      <x:c r="D396" s="117" t="str">
        <x:v>Screen Component</x:v>
      </x:c>
      <x:c r="E396" s="117" t="str">
        <x:v>Screen</x:v>
      </x:c>
      <x:c r="F396" s="117" t="str">
        <x:v>flowruntime:toggle</x:v>
      </x:c>
      <x:c r="G396" s="117" t="str">
        <x:v>Review</x:v>
      </x:c>
      <x:c r="H396" s="119" t="str">
        <x:v>LWC or Aura extension</x:v>
      </x:c>
    </x:row>
    <x:row r="397" ht="34" customHeight="1">
      <x:c r="A397" s="117" t="str">
        <x:v>Send_Invoice_to_Lockstep_Flow</x:v>
      </x:c>
      <x:c r="B397" s="117" t="str">
        <x:v>Yes</x:v>
      </x:c>
      <x:c r="C397" s="119" t="str">
        <x:v>Active v1 (Retrieved XML)</x:v>
      </x:c>
      <x:c r="D397" s="117" t="str">
        <x:v>Apex Action</x:v>
      </x:c>
      <x:c r="E397" s="117" t="str">
        <x:v>Send_Invoice_to_Lockstep</x:v>
      </x:c>
      <x:c r="F397" s="117" t="str">
        <x:v>SendInvoiceToLockstep</x:v>
      </x:c>
      <x:c r="G397" s="117" t="str">
        <x:v>Review</x:v>
      </x:c>
      <x:c r="H397" s="119" t="str">
        <x:v>apex | Send Invoice to Lockstep | CurrentTransaction</x:v>
      </x:c>
    </x:row>
    <x:row r="398" ht="34" customHeight="1">
      <x:c r="A398" s="117" t="str">
        <x:v>Send_Post_Repair_Evaluation_Email</x:v>
      </x:c>
      <x:c r="B398" s="117" t="str">
        <x:v>Yes</x:v>
      </x:c>
      <x:c r="C398" s="119" t="str">
        <x:v>Active v1 (Retrieved XML)</x:v>
      </x:c>
      <x:c r="D398" s="117" t="str">
        <x:v>Apex Action</x:v>
      </x:c>
      <x:c r="E398" s="117" t="str">
        <x:v>Email_Post_Repair_Eval</x:v>
      </x:c>
      <x:c r="F398" s="117" t="str">
        <x:v>EmailPostRepairEvalPDF</x:v>
      </x:c>
      <x:c r="G398" s="117" t="str">
        <x:v>Review</x:v>
      </x:c>
      <x:c r="H398" s="119" t="str">
        <x:v>apex | Email Post Repair Eval | CurrentTransaction</x:v>
      </x:c>
    </x:row>
    <x:row r="399" ht="34" customHeight="1">
      <x:c r="A399" s="117" t="str">
        <x:v>Send_Sourcing_Request_Mass_Email_UK</x:v>
      </x:c>
      <x:c r="B399" s="117" t="str">
        <x:v>Yes</x:v>
      </x:c>
      <x:c r="C399" s="119" t="str">
        <x:v>Active v1 (Retrieved XML)</x:v>
      </x:c>
      <x:c r="D399" s="117" t="str">
        <x:v>Built-in Action</x:v>
      </x:c>
      <x:c r="E399" s="117" t="str">
        <x:v>Send_Email</x:v>
      </x:c>
      <x:c r="F399" s="117" t="str">
        <x:v>emailSimple</x:v>
      </x:c>
      <x:c r="G399" s="117" t="str">
        <x:v>Platform</x:v>
      </x:c>
      <x:c r="H399" s="119" t="str">
        <x:v>emailSimple | Send Email | CurrentTransaction</x:v>
      </x:c>
    </x:row>
    <x:row r="400" ht="34" customHeight="1">
      <x:c r="A400" s="117" t="str">
        <x:v>Service_Alert_60_Days_til_Exp_Alert</x:v>
      </x:c>
      <x:c r="B400" s="117" t="str">
        <x:v>Yes</x:v>
      </x:c>
      <x:c r="C400" s="119" t="str">
        <x:v>Active v1 (Retrieved XML)</x:v>
      </x:c>
      <x:c r="D400" s="117" t="str">
        <x:v>Built-in Action</x:v>
      </x:c>
      <x:c r="E400" s="117" t="str">
        <x:v>Send_Service_Contract_Email_Alert</x:v>
      </x:c>
      <x:c r="F400" s="117" t="str">
        <x:v>ServiceContract.Service_Contract_is_60_Days_from_Expiring</x:v>
      </x:c>
      <x:c r="G400" s="117" t="str">
        <x:v>Platform</x:v>
      </x:c>
      <x:c r="H400" s="119" t="str">
        <x:v>emailAlert | Send Service Contract Email Alert | CurrentTransaction</x:v>
      </x:c>
    </x:row>
    <x:row r="401" ht="34" customHeight="1">
      <x:c r="A401" s="117" t="str">
        <x:v>Service_Appointment_Calculate_Tech_Support_Response_Time_Business_Minutes</x:v>
      </x:c>
      <x:c r="B401" s="117" t="str">
        <x:v>Yes</x:v>
      </x:c>
      <x:c r="C401" s="119" t="str">
        <x:v>Active v1 (Retrieved XML)</x:v>
      </x:c>
      <x:c r="D401" s="117" t="str">
        <x:v>Apex Action</x:v>
      </x:c>
      <x:c r="E401" s="117" t="str">
        <x:v>Calculate_Tech_Support_Response_Time_Business_Minutes</x:v>
      </x:c>
      <x:c r="F401" s="117" t="str">
        <x:v>BusinessHoursDiffService</x:v>
      </x:c>
      <x:c r="G401" s="117" t="str">
        <x:v>Review</x:v>
      </x:c>
      <x:c r="H401" s="119" t="str">
        <x:v>apex | Calculate Tech Support Response Time (Business Minutes) | Automatic</x:v>
      </x:c>
    </x:row>
    <x:row r="402" ht="34" customHeight="1">
      <x:c r="A402" s="117" t="str">
        <x:v>Service_Appointment_Trigger_Send_Email_to_AR_Upon_Dispatch</x:v>
      </x:c>
      <x:c r="B402" s="117" t="str">
        <x:v>Yes</x:v>
      </x:c>
      <x:c r="C402" s="119" t="str">
        <x:v>Active v5 (Retrieved XML)</x:v>
      </x:c>
      <x:c r="D402" s="117" t="str">
        <x:v>Built-in Action</x:v>
      </x:c>
      <x:c r="E402" s="117" t="str">
        <x:v>Send_Notification_Email</x:v>
      </x:c>
      <x:c r="F402" s="117" t="str">
        <x:v>emailSimple</x:v>
      </x:c>
      <x:c r="G402" s="117" t="str">
        <x:v>Platform</x:v>
      </x:c>
      <x:c r="H402" s="119" t="str">
        <x:v>emailSimple | Send Notification Email | CurrentTransaction</x:v>
      </x:c>
    </x:row>
    <x:row r="403" ht="34" customHeight="1">
      <x:c r="A403" s="117" t="str">
        <x:v>Service_Contract_Billing_Scheduling_Flow</x:v>
      </x:c>
      <x:c r="B403" s="117" t="str">
        <x:v>No</x:v>
      </x:c>
      <x:c r="C403" s="119" t="str">
        <x:v>Latest inactive v1 (Retrieved XML)</x:v>
      </x:c>
      <x:c r="D403" s="117" t="str">
        <x:v>Subflow</x:v>
      </x:c>
      <x:c r="E403" s="117" t="str">
        <x:v>Run_Service_Contract_Billing_Flow</x:v>
      </x:c>
      <x:c r="F403" s="117" t="str">
        <x:v>Service_Contract_Billing_Flow</x:v>
      </x:c>
      <x:c r="G403" s="117" t="str">
        <x:v>Yes</x:v>
      </x:c>
      <x:c r="H403" s="119" t="str">
        <x:v>Run Service Contract Billing Flow</x:v>
      </x:c>
    </x:row>
    <x:row r="404" ht="34" customHeight="1">
      <x:c r="A404" s="117" t="str">
        <x:v>Service_Contract_Calculate_Last_Quarter_Uptime</x:v>
      </x:c>
      <x:c r="B404" s="117" t="str">
        <x:v>Yes</x:v>
      </x:c>
      <x:c r="C404" s="119" t="str">
        <x:v>Active v2 (Retrieved XML)</x:v>
      </x:c>
      <x:c r="D404" s="117" t="str">
        <x:v>Apex Action</x:v>
      </x:c>
      <x:c r="E404" s="117" t="str">
        <x:v>Calculate_Running_Coverage_Duration_Business_Hours</x:v>
      </x:c>
      <x:c r="F404" s="117" t="str">
        <x:v>BusinessHoursDiffService</x:v>
      </x:c>
      <x:c r="G404" s="117" t="str">
        <x:v>Review</x:v>
      </x:c>
      <x:c r="H404" s="119" t="str">
        <x:v>apex | Calculate Running Coverage Duration (Business Hours) | Automatic</x:v>
      </x:c>
    </x:row>
    <x:row r="405" ht="34" customHeight="1">
      <x:c r="A405" s="117" t="str">
        <x:v>Service_Contract_Calculate_Running_Coverage_Duration_Business_Hours_Screen_Flow</x:v>
      </x:c>
      <x:c r="B405" s="117" t="str">
        <x:v>Yes</x:v>
      </x:c>
      <x:c r="C405" s="119" t="str">
        <x:v>Active v4 (Retrieved XML)</x:v>
      </x:c>
      <x:c r="D405" s="117" t="str">
        <x:v>Apex Action</x:v>
      </x:c>
      <x:c r="E405" s="117" t="str">
        <x:v>Calculate_Running_Coverage_Duration_Business_Hours</x:v>
      </x:c>
      <x:c r="F405" s="117" t="str">
        <x:v>BusinessHoursDiffService</x:v>
      </x:c>
      <x:c r="G405" s="117" t="str">
        <x:v>Review</x:v>
      </x:c>
      <x:c r="H405" s="119" t="str">
        <x:v>apex | Calculate Running Coverage Duration (Business Hours) | Automatic</x:v>
      </x:c>
    </x:row>
    <x:row r="406" ht="34" customHeight="1">
      <x:c r="A406" s="117" t="str">
        <x:v>Service_Contract_Create_Contract_Line_Item_Screen_Flow</x:v>
      </x:c>
      <x:c r="B406" s="117" t="str">
        <x:v>Yes</x:v>
      </x:c>
      <x:c r="C406" s="119" t="str">
        <x:v>Active v4 (Retrieved XML)</x:v>
      </x:c>
      <x:c r="D406" s="117" t="str">
        <x:v>Screen Component</x:v>
      </x:c>
      <x:c r="E406" s="117" t="str">
        <x:v>Screen</x:v>
      </x:c>
      <x:c r="F406" s="117" t="str">
        <x:v>flowruntime:lookup</x:v>
      </x:c>
      <x:c r="G406" s="117" t="str">
        <x:v>Review</x:v>
      </x:c>
      <x:c r="H406" s="119" t="str">
        <x:v>LWC or Aura extension</x:v>
      </x:c>
    </x:row>
    <x:row r="407" ht="34" customHeight="1">
      <x:c r="A407" s="117" t="str">
        <x:v>Service_Contract_Create_Contract_Line_Items_Screen_Flow</x:v>
      </x:c>
      <x:c r="B407" s="117" t="str">
        <x:v>No</x:v>
      </x:c>
      <x:c r="C407" s="119" t="str">
        <x:v>Latest inactive v1 (Retrieved XML)</x:v>
      </x:c>
      <x:c r="D407" s="117" t="str">
        <x:v>Screen Component</x:v>
      </x:c>
      <x:c r="E407" s="117" t="str">
        <x:v>Screen</x:v>
      </x:c>
      <x:c r="F407" s="117" t="str">
        <x:v>flowruntime:lookup</x:v>
      </x:c>
      <x:c r="G407" s="117" t="str">
        <x:v>Review</x:v>
      </x:c>
      <x:c r="H407" s="119" t="str">
        <x:v>LWC or Aura extension</x:v>
      </x:c>
    </x:row>
    <x:row r="408" ht="34" customHeight="1">
      <x:c r="A408" s="117" t="str">
        <x:v>Service_Contract_Notification_Flow</x:v>
      </x:c>
      <x:c r="B408" s="117" t="str">
        <x:v>Yes</x:v>
      </x:c>
      <x:c r="C408" s="119" t="str">
        <x:v>Active v3 (Retrieved XML)</x:v>
      </x:c>
      <x:c r="D408" s="117" t="str">
        <x:v>Built-in Action</x:v>
      </x:c>
      <x:c r="E408" s="117" t="str">
        <x:v>SendAPEmail</x:v>
      </x:c>
      <x:c r="F408" s="117" t="str">
        <x:v>emailSimple</x:v>
      </x:c>
      <x:c r="G408" s="117" t="str">
        <x:v>Platform</x:v>
      </x:c>
      <x:c r="H408" s="119" t="str">
        <x:v>emailSimple | SendAPEmail | CurrentTransaction</x:v>
      </x:c>
    </x:row>
    <x:row r="409" ht="34" customHeight="1">
      <x:c r="A409" s="117" t="str">
        <x:v>Service_Contract_Renewal</x:v>
      </x:c>
      <x:c r="B409" s="117" t="str">
        <x:v>Yes</x:v>
      </x:c>
      <x:c r="C409" s="119" t="str">
        <x:v>Active v18 (Retrieved XML)</x:v>
      </x:c>
      <x:c r="D409" s="117" t="str">
        <x:v>Screen Component</x:v>
      </x:c>
      <x:c r="E409" s="117" t="str">
        <x:v>Screen</x:v>
      </x:c>
      <x:c r="F409" s="117" t="str">
        <x:v>flowruntime:datatable</x:v>
      </x:c>
      <x:c r="G409" s="117" t="str">
        <x:v>Review</x:v>
      </x:c>
      <x:c r="H409" s="119" t="str">
        <x:v>LWC or Aura extension</x:v>
      </x:c>
    </x:row>
    <x:row r="410" ht="34" customHeight="1">
      <x:c r="A410" s="117" t="str">
        <x:v>Service_Contract_Renewal</x:v>
      </x:c>
      <x:c r="B410" s="117" t="str">
        <x:v>Yes</x:v>
      </x:c>
      <x:c r="C410" s="119" t="str">
        <x:v>Active v18 (Retrieved XML)</x:v>
      </x:c>
      <x:c r="D410" s="117" t="str">
        <x:v>Screen Component</x:v>
      </x:c>
      <x:c r="E410" s="117" t="str">
        <x:v>Screen</x:v>
      </x:c>
      <x:c r="F410" s="117" t="str">
        <x:v>flowruntime:lookup</x:v>
      </x:c>
      <x:c r="G410" s="117" t="str">
        <x:v>Review</x:v>
      </x:c>
      <x:c r="H410" s="119" t="str">
        <x:v>LWC or Aura extension</x:v>
      </x:c>
    </x:row>
    <x:row r="411" ht="34" customHeight="1">
      <x:c r="A411" s="117" t="str">
        <x:v>Service_Contract_Renewal</x:v>
      </x:c>
      <x:c r="B411" s="117" t="str">
        <x:v>Yes</x:v>
      </x:c>
      <x:c r="C411" s="119" t="str">
        <x:v>Active v18 (Retrieved XML)</x:v>
      </x:c>
      <x:c r="D411" s="117" t="str">
        <x:v>Screen Component</x:v>
      </x:c>
      <x:c r="E411" s="117" t="str">
        <x:v>Screen</x:v>
      </x:c>
      <x:c r="F411" s="117" t="str">
        <x:v>forceContent:fileUpload</x:v>
      </x:c>
      <x:c r="G411" s="117" t="str">
        <x:v>Review</x:v>
      </x:c>
      <x:c r="H411" s="119" t="str">
        <x:v>LWC or Aura extension</x:v>
      </x:c>
    </x:row>
    <x:row r="412" ht="34" customHeight="1">
      <x:c r="A412" s="117" t="str">
        <x:v>Service_Contract_Renewal_US1</x:v>
      </x:c>
      <x:c r="B412" s="117" t="str">
        <x:v>Yes</x:v>
      </x:c>
      <x:c r="C412" s="119" t="str">
        <x:v>Active v11 (Retrieved XML)</x:v>
      </x:c>
      <x:c r="D412" s="117" t="str">
        <x:v>Screen Component</x:v>
      </x:c>
      <x:c r="E412" s="117" t="str">
        <x:v>Screen</x:v>
      </x:c>
      <x:c r="F412" s="117" t="str">
        <x:v>flowruntime:datatable</x:v>
      </x:c>
      <x:c r="G412" s="117" t="str">
        <x:v>Review</x:v>
      </x:c>
      <x:c r="H412" s="119" t="str">
        <x:v>LWC or Aura extension</x:v>
      </x:c>
    </x:row>
    <x:row r="413" ht="34" customHeight="1">
      <x:c r="A413" s="117" t="str">
        <x:v>Service_Contract_Renewal_US1</x:v>
      </x:c>
      <x:c r="B413" s="117" t="str">
        <x:v>Yes</x:v>
      </x:c>
      <x:c r="C413" s="119" t="str">
        <x:v>Active v11 (Retrieved XML)</x:v>
      </x:c>
      <x:c r="D413" s="117" t="str">
        <x:v>Screen Component</x:v>
      </x:c>
      <x:c r="E413" s="117" t="str">
        <x:v>Screen</x:v>
      </x:c>
      <x:c r="F413" s="117" t="str">
        <x:v>flowruntime:lookup</x:v>
      </x:c>
      <x:c r="G413" s="117" t="str">
        <x:v>Review</x:v>
      </x:c>
      <x:c r="H413" s="119" t="str">
        <x:v>LWC or Aura extension</x:v>
      </x:c>
    </x:row>
    <x:row r="414" ht="34" customHeight="1">
      <x:c r="A414" s="117" t="str">
        <x:v>Service_Contract_Renewal_US1</x:v>
      </x:c>
      <x:c r="B414" s="117" t="str">
        <x:v>Yes</x:v>
      </x:c>
      <x:c r="C414" s="119" t="str">
        <x:v>Active v11 (Retrieved XML)</x:v>
      </x:c>
      <x:c r="D414" s="117" t="str">
        <x:v>Screen Component</x:v>
      </x:c>
      <x:c r="E414" s="117" t="str">
        <x:v>Screen</x:v>
      </x:c>
      <x:c r="F414" s="117" t="str">
        <x:v>forceContent:fileUpload</x:v>
      </x:c>
      <x:c r="G414" s="117" t="str">
        <x:v>Review</x:v>
      </x:c>
      <x:c r="H414" s="119" t="str">
        <x:v>LWC or Aura extension</x:v>
      </x:c>
    </x:row>
    <x:row r="415" ht="34" customHeight="1">
      <x:c r="A415" s="117" t="str">
        <x:v>Service_Contract_Unlock_Flow</x:v>
      </x:c>
      <x:c r="B415" s="117" t="str">
        <x:v>Yes</x:v>
      </x:c>
      <x:c r="C415" s="119" t="str">
        <x:v>Active v1 (Retrieved XML)</x:v>
      </x:c>
      <x:c r="D415" s="117" t="str">
        <x:v>Built-in Action</x:v>
      </x:c>
      <x:c r="E415" s="117" t="str">
        <x:v>Lock_Record_Action_1</x:v>
      </x:c>
      <x:c r="F415" s="117" t="str">
        <x:v>lockRecord</x:v>
      </x:c>
      <x:c r="G415" s="117" t="str">
        <x:v>Platform</x:v>
      </x:c>
      <x:c r="H415" s="119" t="str">
        <x:v>lockRecord | Lock Record Action 1 | CurrentTransaction</x:v>
      </x:c>
    </x:row>
    <x:row r="416" ht="34" customHeight="1">
      <x:c r="A416" s="117" t="str">
        <x:v>Sourcing_Request_Assignment_Flow</x:v>
      </x:c>
      <x:c r="B416" s="117" t="str">
        <x:v>Yes</x:v>
      </x:c>
      <x:c r="C416" s="119" t="str">
        <x:v>Active v5 (Retrieved XML)</x:v>
      </x:c>
      <x:c r="D416" s="117" t="str">
        <x:v>Built-in Action</x:v>
      </x:c>
      <x:c r="E416" s="117" t="str">
        <x:v>EmailAssignmentNotification</x:v>
      </x:c>
      <x:c r="F416" s="117" t="str">
        <x:v>emailSimple</x:v>
      </x:c>
      <x:c r="G416" s="117" t="str">
        <x:v>Platform</x:v>
      </x:c>
      <x:c r="H416" s="119" t="str">
        <x:v>emailSimple | EmailAssignmentNotification | CurrentTransaction</x:v>
      </x:c>
    </x:row>
    <x:row r="417" ht="34" customHeight="1">
      <x:c r="A417" s="117" t="str">
        <x:v>Sourcing_Request_Creation_Flow</x:v>
      </x:c>
      <x:c r="B417" s="117" t="str">
        <x:v>No</x:v>
      </x:c>
      <x:c r="C417" s="119" t="str">
        <x:v>Latest inactive v6 (Retrieved XML)</x:v>
      </x:c>
      <x:c r="D417" s="117" t="str">
        <x:v>Built-in Action</x:v>
      </x:c>
      <x:c r="E417" s="117" t="str">
        <x:v>Copy_2_of_Procurement_of_System_Email</x:v>
      </x:c>
      <x:c r="F417" s="117" t="str">
        <x:v>emailSimple</x:v>
      </x:c>
      <x:c r="G417" s="117" t="str">
        <x:v>Platform</x:v>
      </x:c>
      <x:c r="H417" s="119" t="str">
        <x:v>emailSimple | Copy 2 of Procurement of System Email | CurrentTransaction</x:v>
      </x:c>
    </x:row>
    <x:row r="418" ht="34" customHeight="1">
      <x:c r="A418" s="117" t="str">
        <x:v>Sourcing_Request_Creation_Flow</x:v>
      </x:c>
      <x:c r="B418" s="117" t="str">
        <x:v>No</x:v>
      </x:c>
      <x:c r="C418" s="119" t="str">
        <x:v>Latest inactive v6 (Retrieved XML)</x:v>
      </x:c>
      <x:c r="D418" s="117" t="str">
        <x:v>Built-in Action</x:v>
      </x:c>
      <x:c r="E418" s="117" t="str">
        <x:v>Procurement_of_System_Email</x:v>
      </x:c>
      <x:c r="F418" s="117" t="str">
        <x:v>emailSimple</x:v>
      </x:c>
      <x:c r="G418" s="117" t="str">
        <x:v>Platform</x:v>
      </x:c>
      <x:c r="H418" s="119" t="str">
        <x:v>emailSimple | Procurement of System Email | CurrentTransaction</x:v>
      </x:c>
    </x:row>
    <x:row r="419" ht="34" customHeight="1">
      <x:c r="A419" s="117" t="str">
        <x:v>Sourcing_Request_Field_Updates_Flow</x:v>
      </x:c>
      <x:c r="B419" s="117" t="str">
        <x:v>No</x:v>
      </x:c>
      <x:c r="C419" s="119" t="str">
        <x:v>Latest inactive v5 (Retrieved XML)</x:v>
      </x:c>
      <x:c r="D419" s="117" t="str">
        <x:v>Built-in Action</x:v>
      </x:c>
      <x:c r="E419" s="117" t="str">
        <x:v>SendEmail</x:v>
      </x:c>
      <x:c r="F419" s="117" t="str">
        <x:v>emailSimple</x:v>
      </x:c>
      <x:c r="G419" s="117" t="str">
        <x:v>Platform</x:v>
      </x:c>
      <x:c r="H419" s="119" t="str">
        <x:v>emailSimple | SendEmail | CurrentTransaction</x:v>
      </x:c>
    </x:row>
    <x:row r="420" ht="34" customHeight="1">
      <x:c r="A420" s="117" t="str">
        <x:v>Sourcing_Request_from_Work_Order</x:v>
      </x:c>
      <x:c r="B420" s="117" t="str">
        <x:v>Yes</x:v>
      </x:c>
      <x:c r="C420" s="119" t="str">
        <x:v>Active v14 (Retrieved XML)</x:v>
      </x:c>
      <x:c r="D420" s="117" t="str">
        <x:v>Built-in Action</x:v>
      </x:c>
      <x:c r="E420" s="117" t="str">
        <x:v>Send_E_Mail_to_Max_0</x:v>
      </x:c>
      <x:c r="F420" s="117" t="str">
        <x:v>emailSimple</x:v>
      </x:c>
      <x:c r="G420" s="117" t="str">
        <x:v>Platform</x:v>
      </x:c>
      <x:c r="H420" s="119" t="str">
        <x:v>emailSimple | Send E-Mail to Max | CurrentTransaction</x:v>
      </x:c>
    </x:row>
    <x:row r="421" ht="34" customHeight="1">
      <x:c r="A421" s="117" t="str">
        <x:v>Sourcing_Request_from_Work_Order</x:v>
      </x:c>
      <x:c r="B421" s="117" t="str">
        <x:v>Yes</x:v>
      </x:c>
      <x:c r="C421" s="119" t="str">
        <x:v>Active v14 (Retrieved XML)</x:v>
      </x:c>
      <x:c r="D421" s="117" t="str">
        <x:v>Built-in Action</x:v>
      </x:c>
      <x:c r="E421" s="117" t="str">
        <x:v>Send_E_Mail_to_Max_0_0</x:v>
      </x:c>
      <x:c r="F421" s="117" t="str">
        <x:v>emailSimple</x:v>
      </x:c>
      <x:c r="G421" s="117" t="str">
        <x:v>Platform</x:v>
      </x:c>
      <x:c r="H421" s="119" t="str">
        <x:v>emailSimple | Send E-Mail to Max | CurrentTransaction</x:v>
      </x:c>
    </x:row>
    <x:row r="422" ht="34" customHeight="1">
      <x:c r="A422" s="117" t="str">
        <x:v>Sourcing_Request_from_Work_Order</x:v>
      </x:c>
      <x:c r="B422" s="117" t="str">
        <x:v>Yes</x:v>
      </x:c>
      <x:c r="C422" s="119" t="str">
        <x:v>Active v14 (Retrieved XML)</x:v>
      </x:c>
      <x:c r="D422" s="117" t="str">
        <x:v>Screen Component</x:v>
      </x:c>
      <x:c r="E422" s="117" t="str">
        <x:v>Screen</x:v>
      </x:c>
      <x:c r="F422" s="117" t="str">
        <x:v>flowruntime:lookup</x:v>
      </x:c>
      <x:c r="G422" s="117" t="str">
        <x:v>Review</x:v>
      </x:c>
      <x:c r="H422" s="119" t="str">
        <x:v>LWC or Aura extension</x:v>
      </x:c>
    </x:row>
    <x:row r="423" ht="34" customHeight="1">
      <x:c r="A423" s="117" t="str">
        <x:v>Sourcing_Request_Need_By_Date_Change</x:v>
      </x:c>
      <x:c r="B423" s="117" t="str">
        <x:v>Yes</x:v>
      </x:c>
      <x:c r="C423" s="119" t="str">
        <x:v>Active v2 (Retrieved XML)</x:v>
      </x:c>
      <x:c r="D423" s="117" t="str">
        <x:v>Built-in Action</x:v>
      </x:c>
      <x:c r="E423" s="117" t="str">
        <x:v>myRule_4_A1</x:v>
      </x:c>
      <x:c r="F423" s="117" t="str">
        <x:v>Sourcing_Request_Item__c.Sourcing_request_fulfilled</x:v>
      </x:c>
      <x:c r="G423" s="117" t="str">
        <x:v>Platform</x:v>
      </x:c>
      <x:c r="H423" s="119" t="str">
        <x:v>emailAlert | Notify Eric</x:v>
      </x:c>
    </x:row>
    <x:row r="424" ht="34" customHeight="1">
      <x:c r="A424" s="117" t="str">
        <x:v>Sourcing_Request_Notification_Flow_for_Sales_Ops</x:v>
      </x:c>
      <x:c r="B424" s="117" t="str">
        <x:v>Yes</x:v>
      </x:c>
      <x:c r="C424" s="119" t="str">
        <x:v>Active v5 (Retrieved XML)</x:v>
      </x:c>
      <x:c r="D424" s="117" t="str">
        <x:v>Built-in Action</x:v>
      </x:c>
      <x:c r="E424" s="117" t="str">
        <x:v>SendOwnerEmail</x:v>
      </x:c>
      <x:c r="F424" s="117" t="str">
        <x:v>emailSimple</x:v>
      </x:c>
      <x:c r="G424" s="117" t="str">
        <x:v>Platform</x:v>
      </x:c>
      <x:c r="H424" s="119" t="str">
        <x:v>emailSimple | SendOwnerEmail | CurrentTransaction</x:v>
      </x:c>
    </x:row>
    <x:row r="425" ht="34" customHeight="1">
      <x:c r="A425" s="117" t="str">
        <x:v>Submit_Applications_Checklist_Screen_Flow</x:v>
      </x:c>
      <x:c r="B425" s="117" t="str">
        <x:v>Yes</x:v>
      </x:c>
      <x:c r="C425" s="119" t="str">
        <x:v>Active v7 (Retrieved XML)</x:v>
      </x:c>
      <x:c r="D425" s="117" t="str">
        <x:v>Built-in Action</x:v>
      </x:c>
      <x:c r="E425" s="117" t="str">
        <x:v>AppsChecklistEmailSend</x:v>
      </x:c>
      <x:c r="F425" s="117" t="str">
        <x:v>emailSimple</x:v>
      </x:c>
      <x:c r="G425" s="117" t="str">
        <x:v>Platform</x:v>
      </x:c>
      <x:c r="H425" s="119" t="str">
        <x:v>emailSimple | AppsChecklistEmailSend | CurrentTransaction</x:v>
      </x:c>
    </x:row>
    <x:row r="426" ht="34" customHeight="1">
      <x:c r="A426" s="117" t="str">
        <x:v>Submit_ASL_Vendor_Approval</x:v>
      </x:c>
      <x:c r="B426" s="117" t="str">
        <x:v>Yes</x:v>
      </x:c>
      <x:c r="C426" s="119" t="str">
        <x:v>Active v1 (Retrieved XML)</x:v>
      </x:c>
      <x:c r="D426" s="117" t="str">
        <x:v>Built-in Action</x:v>
      </x:c>
      <x:c r="E426" s="117" t="str">
        <x:v>SubmitForASLApproval</x:v>
      </x:c>
      <x:c r="F426" s="117" t="str">
        <x:v>submit</x:v>
      </x:c>
      <x:c r="G426" s="117" t="str">
        <x:v>Platform</x:v>
      </x:c>
      <x:c r="H426" s="119" t="str">
        <x:v>submit | SubmitForASLApproval | CurrentTransaction</x:v>
      </x:c>
    </x:row>
    <x:row r="427" ht="34" customHeight="1">
      <x:c r="A427" s="117" t="str">
        <x:v>Submit_Credit_Memo_Request_for_Accounting</x:v>
      </x:c>
      <x:c r="B427" s="117" t="str">
        <x:v>Yes</x:v>
      </x:c>
      <x:c r="C427" s="119" t="str">
        <x:v>Active v14 (Tooling metadata)</x:v>
      </x:c>
      <x:c r="D427" s="117" t="str">
        <x:v>Built-in Action</x:v>
      </x:c>
      <x:c r="E427" s="117" t="str">
        <x:v>Send_US_Create_Credit_Memo_Email</x:v>
      </x:c>
      <x:c r="F427" s="117" t="str">
        <x:v>emailSimple</x:v>
      </x:c>
      <x:c r="G427" s="117" t="str">
        <x:v>Platform</x:v>
      </x:c>
      <x:c r="H427" s="119" t="str">
        <x:v>emailSimple | Send US Create Credit Memo Email | CurrentTransaction</x:v>
      </x:c>
    </x:row>
    <x:row r="428" ht="34" customHeight="1">
      <x:c r="A428" s="117" t="str">
        <x:v>Submit_Credit_Memo_Request_for_Accounting</x:v>
      </x:c>
      <x:c r="B428" s="117" t="str">
        <x:v>Yes</x:v>
      </x:c>
      <x:c r="C428" s="119" t="str">
        <x:v>Active v14 (Tooling metadata)</x:v>
      </x:c>
      <x:c r="D428" s="117" t="str">
        <x:v>Screen Component</x:v>
      </x:c>
      <x:c r="E428" s="117" t="str">
        <x:v>Screen</x:v>
      </x:c>
      <x:c r="F428" s="117" t="str">
        <x:v>forceContent:fileUpload</x:v>
      </x:c>
      <x:c r="G428" s="117" t="str">
        <x:v>Review</x:v>
      </x:c>
      <x:c r="H428" s="119" t="str">
        <x:v>LWC or Aura extension</x:v>
      </x:c>
    </x:row>
    <x:row r="429" ht="34" customHeight="1">
      <x:c r="A429" s="117" t="str">
        <x:v>Submit_for_Approval</x:v>
      </x:c>
      <x:c r="B429" s="117" t="str">
        <x:v>No</x:v>
      </x:c>
      <x:c r="C429" s="119" t="str">
        <x:v>Latest inactive v1 (Retrieved XML)</x:v>
      </x:c>
      <x:c r="D429" s="117" t="str">
        <x:v>Built-in Action</x:v>
      </x:c>
      <x:c r="E429" s="117" t="str">
        <x:v>myRule_1_A1</x:v>
      </x:c>
      <x:c r="F429" s="117" t="str">
        <x:v>submit</x:v>
      </x:c>
      <x:c r="G429" s="117" t="str">
        <x:v>Platform</x:v>
      </x:c>
      <x:c r="H429" s="119" t="str">
        <x:v>submit | Account Approval Process</x:v>
      </x:c>
    </x:row>
    <x:row r="430" ht="34" customHeight="1">
      <x:c r="A430" s="117" t="str">
        <x:v>Submit_to_UK_Accounting_for_Invoicing</x:v>
      </x:c>
      <x:c r="B430" s="117" t="str">
        <x:v>Yes</x:v>
      </x:c>
      <x:c r="C430" s="119" t="str">
        <x:v>Active v8 (Retrieved XML)</x:v>
      </x:c>
      <x:c r="D430" s="117" t="str">
        <x:v>Built-in Action</x:v>
      </x:c>
      <x:c r="E430" s="117" t="str">
        <x:v>Send_Amy_Email</x:v>
      </x:c>
      <x:c r="F430" s="117" t="str">
        <x:v>emailSimple</x:v>
      </x:c>
      <x:c r="G430" s="117" t="str">
        <x:v>Platform</x:v>
      </x:c>
      <x:c r="H430" s="119" t="str">
        <x:v>emailSimple | Send Amy Email | CurrentTransaction</x:v>
      </x:c>
    </x:row>
    <x:row r="431" ht="34" customHeight="1">
      <x:c r="A431" s="117" t="str">
        <x:v>Submit_to_UK_Accounting_for_Invoicing</x:v>
      </x:c>
      <x:c r="B431" s="117" t="str">
        <x:v>Yes</x:v>
      </x:c>
      <x:c r="C431" s="119" t="str">
        <x:v>Active v8 (Retrieved XML)</x:v>
      </x:c>
      <x:c r="D431" s="117" t="str">
        <x:v>Screen Component</x:v>
      </x:c>
      <x:c r="E431" s="117" t="str">
        <x:v>Screen</x:v>
      </x:c>
      <x:c r="F431" s="117" t="str">
        <x:v>flowruntime:email</x:v>
      </x:c>
      <x:c r="G431" s="117" t="str">
        <x:v>Review</x:v>
      </x:c>
      <x:c r="H431" s="119" t="str">
        <x:v>LWC or Aura extension</x:v>
      </x:c>
    </x:row>
    <x:row r="432" ht="34" customHeight="1">
      <x:c r="A432" s="117" t="str">
        <x:v>Swap_Lead_Owner_with_Lead_Owner_Queue</x:v>
      </x:c>
      <x:c r="B432" s="117" t="str">
        <x:v>No</x:v>
      </x:c>
      <x:c r="C432" s="119" t="str">
        <x:v>Latest inactive v14 (Retrieved XML)</x:v>
      </x:c>
      <x:c r="D432" s="117" t="str">
        <x:v>Built-in Action</x:v>
      </x:c>
      <x:c r="E432" s="117" t="str">
        <x:v>myRule_11_A2</x:v>
      </x:c>
      <x:c r="F432" s="117" t="str">
        <x:v>Lead.New_Lead_Assigned</x:v>
      </x:c>
      <x:c r="G432" s="117" t="str">
        <x:v>Platform</x:v>
      </x:c>
      <x:c r="H432" s="119" t="str">
        <x:v>emailAlert | EmailGlenn</x:v>
      </x:c>
    </x:row>
    <x:row r="433" ht="34" customHeight="1">
      <x:c r="A433" s="117" t="str">
        <x:v>Swap_Lead_Owner_with_Lead_Owner_Queue</x:v>
      </x:c>
      <x:c r="B433" s="117" t="str">
        <x:v>No</x:v>
      </x:c>
      <x:c r="C433" s="119" t="str">
        <x:v>Latest inactive v14 (Retrieved XML)</x:v>
      </x:c>
      <x:c r="D433" s="117" t="str">
        <x:v>Built-in Action</x:v>
      </x:c>
      <x:c r="E433" s="117" t="str">
        <x:v>myRule_13_A2</x:v>
      </x:c>
      <x:c r="F433" s="117" t="str">
        <x:v>Lead.New_Lead_Assigned</x:v>
      </x:c>
      <x:c r="G433" s="117" t="str">
        <x:v>Platform</x:v>
      </x:c>
      <x:c r="H433" s="119" t="str">
        <x:v>emailAlert | EmailGlenn</x:v>
      </x:c>
    </x:row>
    <x:row r="434" ht="34" customHeight="1">
      <x:c r="A434" s="117" t="str">
        <x:v>Swap_Lead_Owner_with_Lead_Owner_Queue</x:v>
      </x:c>
      <x:c r="B434" s="117" t="str">
        <x:v>No</x:v>
      </x:c>
      <x:c r="C434" s="119" t="str">
        <x:v>Latest inactive v14 (Retrieved XML)</x:v>
      </x:c>
      <x:c r="D434" s="117" t="str">
        <x:v>Built-in Action</x:v>
      </x:c>
      <x:c r="E434" s="117" t="str">
        <x:v>myRule_15_A2</x:v>
      </x:c>
      <x:c r="F434" s="117" t="str">
        <x:v>Lead.New_Lead_Assigned</x:v>
      </x:c>
      <x:c r="G434" s="117" t="str">
        <x:v>Platform</x:v>
      </x:c>
      <x:c r="H434" s="119" t="str">
        <x:v>emailAlert | EmailDavis</x:v>
      </x:c>
    </x:row>
    <x:row r="435" ht="34" customHeight="1">
      <x:c r="A435" s="117" t="str">
        <x:v>Swap_Lead_Owner_with_Lead_Owner_Queue</x:v>
      </x:c>
      <x:c r="B435" s="117" t="str">
        <x:v>No</x:v>
      </x:c>
      <x:c r="C435" s="119" t="str">
        <x:v>Latest inactive v14 (Retrieved XML)</x:v>
      </x:c>
      <x:c r="D435" s="117" t="str">
        <x:v>Built-in Action</x:v>
      </x:c>
      <x:c r="E435" s="117" t="str">
        <x:v>myRule_17_A2</x:v>
      </x:c>
      <x:c r="F435" s="117" t="str">
        <x:v>Lead.New_Lead_Assigned</x:v>
      </x:c>
      <x:c r="G435" s="117" t="str">
        <x:v>Platform</x:v>
      </x:c>
      <x:c r="H435" s="119" t="str">
        <x:v>emailAlert | EmailDB</x:v>
      </x:c>
    </x:row>
    <x:row r="436" ht="34" customHeight="1">
      <x:c r="A436" s="117" t="str">
        <x:v>Swap_Lead_Owner_with_Lead_Owner_Queue</x:v>
      </x:c>
      <x:c r="B436" s="117" t="str">
        <x:v>No</x:v>
      </x:c>
      <x:c r="C436" s="119" t="str">
        <x:v>Latest inactive v14 (Retrieved XML)</x:v>
      </x:c>
      <x:c r="D436" s="117" t="str">
        <x:v>Built-in Action</x:v>
      </x:c>
      <x:c r="E436" s="117" t="str">
        <x:v>myRule_19_A2</x:v>
      </x:c>
      <x:c r="F436" s="117" t="str">
        <x:v>Lead.New_Lead_Assigned</x:v>
      </x:c>
      <x:c r="G436" s="117" t="str">
        <x:v>Platform</x:v>
      </x:c>
      <x:c r="H436" s="119" t="str">
        <x:v>emailAlert | EmailJeff</x:v>
      </x:c>
    </x:row>
    <x:row r="437" ht="34" customHeight="1">
      <x:c r="A437" s="117" t="str">
        <x:v>Swap_Lead_Owner_with_Lead_Owner_Queue</x:v>
      </x:c>
      <x:c r="B437" s="117" t="str">
        <x:v>No</x:v>
      </x:c>
      <x:c r="C437" s="119" t="str">
        <x:v>Latest inactive v14 (Retrieved XML)</x:v>
      </x:c>
      <x:c r="D437" s="117" t="str">
        <x:v>Built-in Action</x:v>
      </x:c>
      <x:c r="E437" s="117" t="str">
        <x:v>myRule_1_A2</x:v>
      </x:c>
      <x:c r="F437" s="117" t="str">
        <x:v>Lead.New_Lead_Assigned</x:v>
      </x:c>
      <x:c r="G437" s="117" t="str">
        <x:v>Platform</x:v>
      </x:c>
      <x:c r="H437" s="119" t="str">
        <x:v>emailAlert | EmailEnrico</x:v>
      </x:c>
    </x:row>
    <x:row r="438" ht="34" customHeight="1">
      <x:c r="A438" s="117" t="str">
        <x:v>Swap_Lead_Owner_with_Lead_Owner_Queue</x:v>
      </x:c>
      <x:c r="B438" s="117" t="str">
        <x:v>No</x:v>
      </x:c>
      <x:c r="C438" s="119" t="str">
        <x:v>Latest inactive v14 (Retrieved XML)</x:v>
      </x:c>
      <x:c r="D438" s="117" t="str">
        <x:v>Built-in Action</x:v>
      </x:c>
      <x:c r="E438" s="117" t="str">
        <x:v>myRule_21_A2</x:v>
      </x:c>
      <x:c r="F438" s="117" t="str">
        <x:v>Lead.New_Lead_Assigned</x:v>
      </x:c>
      <x:c r="G438" s="117" t="str">
        <x:v>Platform</x:v>
      </x:c>
      <x:c r="H438" s="119" t="str">
        <x:v>emailAlert | EmailStacey</x:v>
      </x:c>
    </x:row>
    <x:row r="439" ht="34" customHeight="1">
      <x:c r="A439" s="117" t="str">
        <x:v>Swap_Lead_Owner_with_Lead_Owner_Queue</x:v>
      </x:c>
      <x:c r="B439" s="117" t="str">
        <x:v>No</x:v>
      </x:c>
      <x:c r="C439" s="119" t="str">
        <x:v>Latest inactive v14 (Retrieved XML)</x:v>
      </x:c>
      <x:c r="D439" s="117" t="str">
        <x:v>Built-in Action</x:v>
      </x:c>
      <x:c r="E439" s="117" t="str">
        <x:v>myRule_23_A2</x:v>
      </x:c>
      <x:c r="F439" s="117" t="str">
        <x:v>Lead.New_Lead_Assigned</x:v>
      </x:c>
      <x:c r="G439" s="117" t="str">
        <x:v>Platform</x:v>
      </x:c>
      <x:c r="H439" s="119" t="str">
        <x:v>emailAlert | EmailMark</x:v>
      </x:c>
    </x:row>
    <x:row r="440" ht="34" customHeight="1">
      <x:c r="A440" s="117" t="str">
        <x:v>Swap_Lead_Owner_with_Lead_Owner_Queue</x:v>
      </x:c>
      <x:c r="B440" s="117" t="str">
        <x:v>No</x:v>
      </x:c>
      <x:c r="C440" s="119" t="str">
        <x:v>Latest inactive v14 (Retrieved XML)</x:v>
      </x:c>
      <x:c r="D440" s="117" t="str">
        <x:v>Built-in Action</x:v>
      </x:c>
      <x:c r="E440" s="117" t="str">
        <x:v>myRule_25_A2</x:v>
      </x:c>
      <x:c r="F440" s="117" t="str">
        <x:v>Lead.New_Lead_Assigned</x:v>
      </x:c>
      <x:c r="G440" s="117" t="str">
        <x:v>Platform</x:v>
      </x:c>
      <x:c r="H440" s="119" t="str">
        <x:v>emailAlert | EmailMark</x:v>
      </x:c>
    </x:row>
    <x:row r="441" ht="34" customHeight="1">
      <x:c r="A441" s="117" t="str">
        <x:v>Swap_Lead_Owner_with_Lead_Owner_Queue</x:v>
      </x:c>
      <x:c r="B441" s="117" t="str">
        <x:v>No</x:v>
      </x:c>
      <x:c r="C441" s="119" t="str">
        <x:v>Latest inactive v14 (Retrieved XML)</x:v>
      </x:c>
      <x:c r="D441" s="117" t="str">
        <x:v>Built-in Action</x:v>
      </x:c>
      <x:c r="E441" s="117" t="str">
        <x:v>myRule_27_A2</x:v>
      </x:c>
      <x:c r="F441" s="117" t="str">
        <x:v>Lead.New_Lead_Assigned</x:v>
      </x:c>
      <x:c r="G441" s="117" t="str">
        <x:v>Platform</x:v>
      </x:c>
      <x:c r="H441" s="119" t="str">
        <x:v>emailAlert | Email Scott</x:v>
      </x:c>
    </x:row>
    <x:row r="442" ht="34" customHeight="1">
      <x:c r="A442" s="117" t="str">
        <x:v>Swap_Lead_Owner_with_Lead_Owner_Queue</x:v>
      </x:c>
      <x:c r="B442" s="117" t="str">
        <x:v>No</x:v>
      </x:c>
      <x:c r="C442" s="119" t="str">
        <x:v>Latest inactive v14 (Retrieved XML)</x:v>
      </x:c>
      <x:c r="D442" s="117" t="str">
        <x:v>Built-in Action</x:v>
      </x:c>
      <x:c r="E442" s="117" t="str">
        <x:v>myRule_29_A2</x:v>
      </x:c>
      <x:c r="F442" s="117" t="str">
        <x:v>Lead.New_Lead_Assigned</x:v>
      </x:c>
      <x:c r="G442" s="117" t="str">
        <x:v>Platform</x:v>
      </x:c>
      <x:c r="H442" s="119" t="str">
        <x:v>emailAlert | EmailTim</x:v>
      </x:c>
    </x:row>
    <x:row r="443" ht="34" customHeight="1">
      <x:c r="A443" s="117" t="str">
        <x:v>Swap_Lead_Owner_with_Lead_Owner_Queue</x:v>
      </x:c>
      <x:c r="B443" s="117" t="str">
        <x:v>No</x:v>
      </x:c>
      <x:c r="C443" s="119" t="str">
        <x:v>Latest inactive v14 (Retrieved XML)</x:v>
      </x:c>
      <x:c r="D443" s="117" t="str">
        <x:v>Built-in Action</x:v>
      </x:c>
      <x:c r="E443" s="117" t="str">
        <x:v>myRule_31_A2</x:v>
      </x:c>
      <x:c r="F443" s="117" t="str">
        <x:v>Lead.New_Lead_Assigned</x:v>
      </x:c>
      <x:c r="G443" s="117" t="str">
        <x:v>Platform</x:v>
      </x:c>
      <x:c r="H443" s="119" t="str">
        <x:v>emailAlert | EmailBen</x:v>
      </x:c>
    </x:row>
    <x:row r="444" ht="34" customHeight="1">
      <x:c r="A444" s="117" t="str">
        <x:v>Swap_Lead_Owner_with_Lead_Owner_Queue</x:v>
      </x:c>
      <x:c r="B444" s="117" t="str">
        <x:v>No</x:v>
      </x:c>
      <x:c r="C444" s="119" t="str">
        <x:v>Latest inactive v14 (Retrieved XML)</x:v>
      </x:c>
      <x:c r="D444" s="117" t="str">
        <x:v>Built-in Action</x:v>
      </x:c>
      <x:c r="E444" s="117" t="str">
        <x:v>myRule_33_A2</x:v>
      </x:c>
      <x:c r="F444" s="117" t="str">
        <x:v>Lead.New_Lead_Assigned</x:v>
      </x:c>
      <x:c r="G444" s="117" t="str">
        <x:v>Platform</x:v>
      </x:c>
      <x:c r="H444" s="119" t="str">
        <x:v>emailAlert | EmailJace</x:v>
      </x:c>
    </x:row>
    <x:row r="445" ht="34" customHeight="1">
      <x:c r="A445" s="117" t="str">
        <x:v>Swap_Lead_Owner_with_Lead_Owner_Queue</x:v>
      </x:c>
      <x:c r="B445" s="117" t="str">
        <x:v>No</x:v>
      </x:c>
      <x:c r="C445" s="119" t="str">
        <x:v>Latest inactive v14 (Retrieved XML)</x:v>
      </x:c>
      <x:c r="D445" s="117" t="str">
        <x:v>Built-in Action</x:v>
      </x:c>
      <x:c r="E445" s="117" t="str">
        <x:v>myRule_3_A2</x:v>
      </x:c>
      <x:c r="F445" s="117" t="str">
        <x:v>Lead.New_Lead_Assigned</x:v>
      </x:c>
      <x:c r="G445" s="117" t="str">
        <x:v>Platform</x:v>
      </x:c>
      <x:c r="H445" s="119" t="str">
        <x:v>emailAlert | EmailMark</x:v>
      </x:c>
    </x:row>
    <x:row r="446" ht="34" customHeight="1">
      <x:c r="A446" s="117" t="str">
        <x:v>Swap_Lead_Owner_with_Lead_Owner_Queue</x:v>
      </x:c>
      <x:c r="B446" s="117" t="str">
        <x:v>No</x:v>
      </x:c>
      <x:c r="C446" s="119" t="str">
        <x:v>Latest inactive v14 (Retrieved XML)</x:v>
      </x:c>
      <x:c r="D446" s="117" t="str">
        <x:v>Built-in Action</x:v>
      </x:c>
      <x:c r="E446" s="117" t="str">
        <x:v>myRule_5_A2</x:v>
      </x:c>
      <x:c r="F446" s="117" t="str">
        <x:v>Lead.New_Lead_Assigned</x:v>
      </x:c>
      <x:c r="G446" s="117" t="str">
        <x:v>Platform</x:v>
      </x:c>
      <x:c r="H446" s="119" t="str">
        <x:v>emailAlert | EmailMooney</x:v>
      </x:c>
    </x:row>
    <x:row r="447" ht="34" customHeight="1">
      <x:c r="A447" s="117" t="str">
        <x:v>Swap_Lead_Owner_with_Lead_Owner_Queue</x:v>
      </x:c>
      <x:c r="B447" s="117" t="str">
        <x:v>No</x:v>
      </x:c>
      <x:c r="C447" s="119" t="str">
        <x:v>Latest inactive v14 (Retrieved XML)</x:v>
      </x:c>
      <x:c r="D447" s="117" t="str">
        <x:v>Built-in Action</x:v>
      </x:c>
      <x:c r="E447" s="117" t="str">
        <x:v>myRule_7_A2</x:v>
      </x:c>
      <x:c r="F447" s="117" t="str">
        <x:v>Lead.New_Lead_Assigned</x:v>
      </x:c>
      <x:c r="G447" s="117" t="str">
        <x:v>Platform</x:v>
      </x:c>
      <x:c r="H447" s="119" t="str">
        <x:v>emailAlert | EmailFeldmann</x:v>
      </x:c>
    </x:row>
    <x:row r="448" ht="34" customHeight="1">
      <x:c r="A448" s="117" t="str">
        <x:v>Swap_Lead_Owner_with_Lead_Owner_Queue</x:v>
      </x:c>
      <x:c r="B448" s="117" t="str">
        <x:v>No</x:v>
      </x:c>
      <x:c r="C448" s="119" t="str">
        <x:v>Latest inactive v14 (Retrieved XML)</x:v>
      </x:c>
      <x:c r="D448" s="117" t="str">
        <x:v>Built-in Action</x:v>
      </x:c>
      <x:c r="E448" s="117" t="str">
        <x:v>myRule_9_A2</x:v>
      </x:c>
      <x:c r="F448" s="117" t="str">
        <x:v>Lead.New_Lead_Assigned</x:v>
      </x:c>
      <x:c r="G448" s="117" t="str">
        <x:v>Platform</x:v>
      </x:c>
      <x:c r="H448" s="119" t="str">
        <x:v>emailAlert | EmailHicks</x:v>
      </x:c>
    </x:row>
    <x:row r="449" ht="34" customHeight="1">
      <x:c r="A449" s="117" t="str">
        <x:v>System_Deal_EA_Approval</x:v>
      </x:c>
      <x:c r="B449" s="117" t="str">
        <x:v>Yes</x:v>
      </x:c>
      <x:c r="C449" s="119" t="str">
        <x:v>Active v3 (Retrieved XML)</x:v>
      </x:c>
      <x:c r="D449" s="117" t="str">
        <x:v>Built-in Action</x:v>
      </x:c>
      <x:c r="E449" s="117" t="str">
        <x:v>Submit_Approval</x:v>
      </x:c>
      <x:c r="F449" s="117" t="str">
        <x:v>submit</x:v>
      </x:c>
      <x:c r="G449" s="117" t="str">
        <x:v>Platform</x:v>
      </x:c>
      <x:c r="H449" s="119" t="str">
        <x:v>submit | Submit Approval | CurrentTransaction</x:v>
      </x:c>
    </x:row>
    <x:row r="450" ht="34" customHeight="1">
      <x:c r="A450" s="117" t="str">
        <x:v>System_Rate_Calculator_Screen_Flow</x:v>
      </x:c>
      <x:c r="B450" s="117" t="str">
        <x:v>No</x:v>
      </x:c>
      <x:c r="C450" s="119" t="str">
        <x:v>Latest inactive v15 (Retrieved XML)</x:v>
      </x:c>
      <x:c r="D450" s="117" t="str">
        <x:v>Built-in Action</x:v>
      </x:c>
      <x:c r="E450" s="117" t="str">
        <x:v>SendParcelRequestEmail</x:v>
      </x:c>
      <x:c r="F450" s="117" t="str">
        <x:v>emailSimple</x:v>
      </x:c>
      <x:c r="G450" s="117" t="str">
        <x:v>Platform</x:v>
      </x:c>
      <x:c r="H450" s="119" t="str">
        <x:v>emailSimple | SendParcelRequestEmail | CurrentTransaction</x:v>
      </x:c>
    </x:row>
    <x:row r="451" ht="34" customHeight="1">
      <x:c r="A451" s="117" t="str">
        <x:v>System_Rate_Calculator_Screen_Flow</x:v>
      </x:c>
      <x:c r="B451" s="117" t="str">
        <x:v>No</x:v>
      </x:c>
      <x:c r="C451" s="119" t="str">
        <x:v>Latest inactive v15 (Retrieved XML)</x:v>
      </x:c>
      <x:c r="D451" s="117" t="str">
        <x:v>Built-in Action</x:v>
      </x:c>
      <x:c r="E451" s="117" t="str">
        <x:v>SendRequestEmail</x:v>
      </x:c>
      <x:c r="F451" s="117" t="str">
        <x:v>emailSimple</x:v>
      </x:c>
      <x:c r="G451" s="117" t="str">
        <x:v>Platform</x:v>
      </x:c>
      <x:c r="H451" s="119" t="str">
        <x:v>emailSimple | SendRequestEmail | CurrentTransaction</x:v>
      </x:c>
    </x:row>
    <x:row r="452" ht="34" customHeight="1">
      <x:c r="A452" s="117" t="str">
        <x:v>System_Rate_Calculator_Screen_Flow_Rnd_2</x:v>
      </x:c>
      <x:c r="B452" s="117" t="str">
        <x:v>Yes</x:v>
      </x:c>
      <x:c r="C452" s="119" t="str">
        <x:v>Active v29 (Retrieved XML)</x:v>
      </x:c>
      <x:c r="D452" s="117" t="str">
        <x:v>Built-in Action</x:v>
      </x:c>
      <x:c r="E452" s="117" t="str">
        <x:v>NewJordanTask</x:v>
      </x:c>
      <x:c r="F452" s="117" t="str">
        <x:v>NewTask</x:v>
      </x:c>
      <x:c r="G452" s="117" t="str">
        <x:v>Platform</x:v>
      </x:c>
      <x:c r="H452" s="119" t="str">
        <x:v>quickAction | NewJordanTask | CurrentTransaction</x:v>
      </x:c>
    </x:row>
    <x:row r="453" ht="34" customHeight="1">
      <x:c r="A453" s="117" t="str">
        <x:v>System_Rate_Calculator_Screen_Flow_Rnd_2</x:v>
      </x:c>
      <x:c r="B453" s="117" t="str">
        <x:v>Yes</x:v>
      </x:c>
      <x:c r="C453" s="119" t="str">
        <x:v>Active v29 (Retrieved XML)</x:v>
      </x:c>
      <x:c r="D453" s="117" t="str">
        <x:v>Built-in Action</x:v>
      </x:c>
      <x:c r="E453" s="117" t="str">
        <x:v>Copy_1_of_SendParcelRequestEmail</x:v>
      </x:c>
      <x:c r="F453" s="117" t="str">
        <x:v>emailSimple</x:v>
      </x:c>
      <x:c r="G453" s="117" t="str">
        <x:v>Platform</x:v>
      </x:c>
      <x:c r="H453" s="119" t="str">
        <x:v>emailSimple | Copy 1 of SendParcelRequestEmail | CurrentTransaction</x:v>
      </x:c>
    </x:row>
    <x:row r="454" ht="34" customHeight="1">
      <x:c r="A454" s="117" t="str">
        <x:v>System_Rate_Calculator_Screen_Flow_Rnd_2</x:v>
      </x:c>
      <x:c r="B454" s="117" t="str">
        <x:v>Yes</x:v>
      </x:c>
      <x:c r="C454" s="119" t="str">
        <x:v>Active v29 (Retrieved XML)</x:v>
      </x:c>
      <x:c r="D454" s="117" t="str">
        <x:v>Built-in Action</x:v>
      </x:c>
      <x:c r="E454" s="117" t="str">
        <x:v>Copy_1_of_SendRequestEmail</x:v>
      </x:c>
      <x:c r="F454" s="117" t="str">
        <x:v>emailSimple</x:v>
      </x:c>
      <x:c r="G454" s="117" t="str">
        <x:v>Platform</x:v>
      </x:c>
      <x:c r="H454" s="119" t="str">
        <x:v>emailSimple | Copy 1 of SendRequestEmail | CurrentTransaction</x:v>
      </x:c>
    </x:row>
    <x:row r="455" ht="34" customHeight="1">
      <x:c r="A455" s="117" t="str">
        <x:v>System_Rate_Calculator_Screen_Flow_Rnd_2</x:v>
      </x:c>
      <x:c r="B455" s="117" t="str">
        <x:v>Yes</x:v>
      </x:c>
      <x:c r="C455" s="119" t="str">
        <x:v>Active v29 (Retrieved XML)</x:v>
      </x:c>
      <x:c r="D455" s="117" t="str">
        <x:v>Built-in Action</x:v>
      </x:c>
      <x:c r="E455" s="117" t="str">
        <x:v>SendParcelRequestEmail</x:v>
      </x:c>
      <x:c r="F455" s="117" t="str">
        <x:v>emailSimple</x:v>
      </x:c>
      <x:c r="G455" s="117" t="str">
        <x:v>Platform</x:v>
      </x:c>
      <x:c r="H455" s="119" t="str">
        <x:v>emailSimple | SendParcelRequestEmail | CurrentTransaction</x:v>
      </x:c>
    </x:row>
    <x:row r="456" ht="34" customHeight="1">
      <x:c r="A456" s="117" t="str">
        <x:v>System_Rate_Calculator_Screen_Flow_Rnd_2</x:v>
      </x:c>
      <x:c r="B456" s="117" t="str">
        <x:v>Yes</x:v>
      </x:c>
      <x:c r="C456" s="119" t="str">
        <x:v>Active v29 (Retrieved XML)</x:v>
      </x:c>
      <x:c r="D456" s="117" t="str">
        <x:v>Built-in Action</x:v>
      </x:c>
      <x:c r="E456" s="117" t="str">
        <x:v>SendRequestEmail</x:v>
      </x:c>
      <x:c r="F456" s="117" t="str">
        <x:v>emailSimple</x:v>
      </x:c>
      <x:c r="G456" s="117" t="str">
        <x:v>Platform</x:v>
      </x:c>
      <x:c r="H456" s="119" t="str">
        <x:v>emailSimple | SendRequestEmail | CurrentTransaction</x:v>
      </x:c>
    </x:row>
    <x:row r="457" ht="34" customHeight="1">
      <x:c r="A457" s="117" t="str">
        <x:v>Test_Get_Assets</x:v>
      </x:c>
      <x:c r="B457" s="117" t="str">
        <x:v>No</x:v>
      </x:c>
      <x:c r="C457" s="119" t="str">
        <x:v>Latest inactive v18 (Retrieved XML)</x:v>
      </x:c>
      <x:c r="D457" s="117" t="str">
        <x:v>Screen Component</x:v>
      </x:c>
      <x:c r="E457" s="117" t="str">
        <x:v>Screen</x:v>
      </x:c>
      <x:c r="F457" s="117" t="str">
        <x:v>c:datatable</x:v>
      </x:c>
      <x:c r="G457" s="117" t="str">
        <x:v>Review</x:v>
      </x:c>
      <x:c r="H457" s="119" t="str">
        <x:v>LWC or Aura extension</x:v>
      </x:c>
    </x:row>
    <x:row r="458" ht="34" customHeight="1">
      <x:c r="A458" s="117" t="str">
        <x:v>TESTING_Lead_Email_Alert</x:v>
      </x:c>
      <x:c r="B458" s="117" t="str">
        <x:v>No</x:v>
      </x:c>
      <x:c r="C458" s="119" t="str">
        <x:v>Latest inactive v3 (Retrieved XML)</x:v>
      </x:c>
      <x:c r="D458" s="117" t="str">
        <x:v>Built-in Action</x:v>
      </x:c>
      <x:c r="E458" s="117" t="str">
        <x:v>CopySend_New_Lead_Assigned_Email</x:v>
      </x:c>
      <x:c r="F458" s="117" t="str">
        <x:v>Lead.New_Lead_Assigned</x:v>
      </x:c>
      <x:c r="G458" s="117" t="str">
        <x:v>Platform</x:v>
      </x:c>
      <x:c r="H458" s="119" t="str">
        <x:v>emailAlert | Send New Lead Assigned Email | CurrentTransaction</x:v>
      </x:c>
    </x:row>
    <x:row r="459" ht="34" customHeight="1">
      <x:c r="A459" s="117" t="str">
        <x:v>TESTING_Lead_Email_Alert</x:v>
      </x:c>
      <x:c r="B459" s="117" t="str">
        <x:v>No</x:v>
      </x:c>
      <x:c r="C459" s="119" t="str">
        <x:v>Latest inactive v3 (Retrieved XML)</x:v>
      </x:c>
      <x:c r="D459" s="117" t="str">
        <x:v>Built-in Action</x:v>
      </x:c>
      <x:c r="E459" s="117" t="str">
        <x:v>Send_Email</x:v>
      </x:c>
      <x:c r="F459" s="117" t="str">
        <x:v>Lead.New_Lead_Assigned</x:v>
      </x:c>
      <x:c r="G459" s="117" t="str">
        <x:v>Platform</x:v>
      </x:c>
      <x:c r="H459" s="119" t="str">
        <x:v>emailAlert | Send Email | CurrentTransaction</x:v>
      </x:c>
    </x:row>
    <x:row r="460" ht="34" customHeight="1">
      <x:c r="A460" s="117" t="str">
        <x:v>Training_Class_Updates_Flow</x:v>
      </x:c>
      <x:c r="B460" s="117" t="str">
        <x:v>Yes</x:v>
      </x:c>
      <x:c r="C460" s="119" t="str">
        <x:v>Active v4 (Retrieved XML)</x:v>
      </x:c>
      <x:c r="D460" s="117" t="str">
        <x:v>Built-in Action</x:v>
      </x:c>
      <x:c r="E460" s="117" t="str">
        <x:v>SendEmailAlert</x:v>
      </x:c>
      <x:c r="F460" s="117" t="str">
        <x:v>emailSimple</x:v>
      </x:c>
      <x:c r="G460" s="117" t="str">
        <x:v>Platform</x:v>
      </x:c>
      <x:c r="H460" s="119" t="str">
        <x:v>emailSimple | SendEmailAlert | CurrentTransaction</x:v>
      </x:c>
    </x:row>
    <x:row r="461" ht="34" customHeight="1">
      <x:c r="A461" s="117" t="str">
        <x:v>Training_Item_Create_Document_Review_Screen_Flow</x:v>
      </x:c>
      <x:c r="B461" s="117" t="str">
        <x:v>Yes</x:v>
      </x:c>
      <x:c r="C461" s="119" t="str">
        <x:v>Active v6 (Retrieved XML)</x:v>
      </x:c>
      <x:c r="D461" s="117" t="str">
        <x:v>Built-in Action</x:v>
      </x:c>
      <x:c r="E461" s="117" t="str">
        <x:v>Notify_Document_Owner</x:v>
      </x:c>
      <x:c r="F461" s="117" t="str">
        <x:v>emailSimple</x:v>
      </x:c>
      <x:c r="G461" s="117" t="str">
        <x:v>Platform</x:v>
      </x:c>
      <x:c r="H461" s="119" t="str">
        <x:v>emailSimple | Notify Document Owner | CurrentTransaction</x:v>
      </x:c>
    </x:row>
    <x:row r="462" ht="34" customHeight="1">
      <x:c r="A462" s="117" t="str">
        <x:v>Training_Item_Create_Document_Review_Screen_Flow</x:v>
      </x:c>
      <x:c r="B462" s="117" t="str">
        <x:v>Yes</x:v>
      </x:c>
      <x:c r="C462" s="119" t="str">
        <x:v>Active v6 (Retrieved XML)</x:v>
      </x:c>
      <x:c r="D462" s="117" t="str">
        <x:v>Screen Component</x:v>
      </x:c>
      <x:c r="E462" s="117" t="str">
        <x:v>Screen</x:v>
      </x:c>
      <x:c r="F462" s="117" t="str">
        <x:v>flowruntime:lookup</x:v>
      </x:c>
      <x:c r="G462" s="117" t="str">
        <x:v>Review</x:v>
      </x:c>
      <x:c r="H462" s="119" t="str">
        <x:v>LWC or Aura extension</x:v>
      </x:c>
    </x:row>
    <x:row r="463" ht="34" customHeight="1">
      <x:c r="A463" s="117" t="str">
        <x:v>UK_Credit_Notification</x:v>
      </x:c>
      <x:c r="B463" s="117" t="str">
        <x:v>Yes</x:v>
      </x:c>
      <x:c r="C463" s="119" t="str">
        <x:v>Active v4 (Retrieved XML)</x:v>
      </x:c>
      <x:c r="D463" s="117" t="str">
        <x:v>Built-in Action</x:v>
      </x:c>
      <x:c r="E463" s="117" t="str">
        <x:v>ContractLineItemRequiresCredit</x:v>
      </x:c>
      <x:c r="F463" s="117" t="str">
        <x:v>emailSimple</x:v>
      </x:c>
      <x:c r="G463" s="117" t="str">
        <x:v>Platform</x:v>
      </x:c>
      <x:c r="H463" s="119" t="str">
        <x:v>emailSimple | ContractLineItemRequiresCredit | CurrentTransaction</x:v>
      </x:c>
    </x:row>
    <x:row r="464" ht="34" customHeight="1">
      <x:c r="A464" s="117" t="str">
        <x:v>UK_Customer_Repair_Received</x:v>
      </x:c>
      <x:c r="B464" s="117" t="str">
        <x:v>Yes</x:v>
      </x:c>
      <x:c r="C464" s="119" t="str">
        <x:v>Active v11 (Retrieved XML)</x:v>
      </x:c>
      <x:c r="D464" s="117" t="str">
        <x:v>Built-in Action</x:v>
      </x:c>
      <x:c r="E464" s="117" t="str">
        <x:v>Copy_1_of_AlertKatyJon</x:v>
      </x:c>
      <x:c r="F464" s="117" t="str">
        <x:v>emailSimple</x:v>
      </x:c>
      <x:c r="G464" s="117" t="str">
        <x:v>Platform</x:v>
      </x:c>
      <x:c r="H464" s="119" t="str">
        <x:v>emailSimple | Copy 1 of AlertKatyJon | CurrentTransaction</x:v>
      </x:c>
    </x:row>
    <x:row r="465" ht="34" customHeight="1">
      <x:c r="A465" s="117" t="str">
        <x:v>UK_Customer_Repair_Received</x:v>
      </x:c>
      <x:c r="B465" s="117" t="str">
        <x:v>Yes</x:v>
      </x:c>
      <x:c r="C465" s="119" t="str">
        <x:v>Active v11 (Retrieved XML)</x:v>
      </x:c>
      <x:c r="D465" s="117" t="str">
        <x:v>Built-in Action</x:v>
      </x:c>
      <x:c r="E465" s="117" t="str">
        <x:v>SendWOOwnerEmail</x:v>
      </x:c>
      <x:c r="F465" s="117" t="str">
        <x:v>emailSimple</x:v>
      </x:c>
      <x:c r="G465" s="117" t="str">
        <x:v>Platform</x:v>
      </x:c>
      <x:c r="H465" s="119" t="str">
        <x:v>emailSimple | SendWOOwnerEmail | CurrentTransaction</x:v>
      </x:c>
    </x:row>
    <x:row r="466" ht="34" customHeight="1">
      <x:c r="A466" s="117" t="str">
        <x:v>UK_Notification_for_Parts_Preperation</x:v>
      </x:c>
      <x:c r="B466" s="117" t="str">
        <x:v>No</x:v>
      </x:c>
      <x:c r="C466" s="119" t="str">
        <x:v>Latest inactive v1 (Retrieved XML)</x:v>
      </x:c>
      <x:c r="D466" s="117" t="str">
        <x:v>Built-in Action</x:v>
      </x:c>
      <x:c r="E466" s="117" t="str">
        <x:v>AlertKatyJon</x:v>
      </x:c>
      <x:c r="F466" s="117" t="str">
        <x:v>emailSimple</x:v>
      </x:c>
      <x:c r="G466" s="117" t="str">
        <x:v>Platform</x:v>
      </x:c>
      <x:c r="H466" s="119" t="str">
        <x:v>emailSimple | AlertKatyJon | CurrentTransaction</x:v>
      </x:c>
    </x:row>
    <x:row r="467" ht="34" customHeight="1">
      <x:c r="A467" s="117" t="str">
        <x:v>UK_Notification_for_Shipping_Ops_to_the_UK</x:v>
      </x:c>
      <x:c r="B467" s="117" t="str">
        <x:v>Yes</x:v>
      </x:c>
      <x:c r="C467" s="119" t="str">
        <x:v>Active v3 (Retrieved XML)</x:v>
      </x:c>
      <x:c r="D467" s="117" t="str">
        <x:v>Built-in Action</x:v>
      </x:c>
      <x:c r="E467" s="117" t="str">
        <x:v>AlertKatyJon</x:v>
      </x:c>
      <x:c r="F467" s="117" t="str">
        <x:v>emailSimple</x:v>
      </x:c>
      <x:c r="G467" s="117" t="str">
        <x:v>Platform</x:v>
      </x:c>
      <x:c r="H467" s="119" t="str">
        <x:v>emailSimple | AlertKatyJon | CurrentTransaction</x:v>
      </x:c>
    </x:row>
    <x:row r="468" ht="34" customHeight="1">
      <x:c r="A468" s="117" t="str">
        <x:v>UK_Pricing_Request_Notifications</x:v>
      </x:c>
      <x:c r="B468" s="117" t="str">
        <x:v>Yes</x:v>
      </x:c>
      <x:c r="C468" s="119" t="str">
        <x:v>Active v14 (Retrieved XML)</x:v>
      </x:c>
      <x:c r="D468" s="117" t="str">
        <x:v>Built-in Action</x:v>
      </x:c>
      <x:c r="E468" s="117" t="str">
        <x:v>PricingRequestUltrasound2</x:v>
      </x:c>
      <x:c r="F468" s="117" t="str">
        <x:v>Pricing_Request__c.Pricing_Request_Fulfilled_Ultrasound</x:v>
      </x:c>
      <x:c r="G468" s="117" t="str">
        <x:v>Platform</x:v>
      </x:c>
      <x:c r="H468" s="119" t="str">
        <x:v>emailAlert | PricingRequestUltrasound | CurrentTransaction</x:v>
      </x:c>
    </x:row>
    <x:row r="469" ht="34" customHeight="1">
      <x:c r="A469" s="117" t="str">
        <x:v>UK_Pricing_Request_Notifications</x:v>
      </x:c>
      <x:c r="B469" s="117" t="str">
        <x:v>Yes</x:v>
      </x:c>
      <x:c r="C469" s="119" t="str">
        <x:v>Active v14 (Retrieved XML)</x:v>
      </x:c>
      <x:c r="D469" s="117" t="str">
        <x:v>Built-in Action</x:v>
      </x:c>
      <x:c r="E469" s="117" t="str">
        <x:v>PricingRequestXRay</x:v>
      </x:c>
      <x:c r="F469" s="117" t="str">
        <x:v>Pricing_Request__c.Pricing_Request_Fulfilled_X_Ray</x:v>
      </x:c>
      <x:c r="G469" s="117" t="str">
        <x:v>Platform</x:v>
      </x:c>
      <x:c r="H469" s="119" t="str">
        <x:v>emailAlert | PricingRequestXRay | CurrentTransaction</x:v>
      </x:c>
    </x:row>
    <x:row r="470" ht="34" customHeight="1">
      <x:c r="A470" s="117" t="str">
        <x:v>UK_Pricing_Request_Notifications</x:v>
      </x:c>
      <x:c r="B470" s="117" t="str">
        <x:v>Yes</x:v>
      </x:c>
      <x:c r="C470" s="119" t="str">
        <x:v>Active v14 (Retrieved XML)</x:v>
      </x:c>
      <x:c r="D470" s="117" t="str">
        <x:v>Built-in Action</x:v>
      </x:c>
      <x:c r="E470" s="117" t="str">
        <x:v>AlertPartsWIP</x:v>
      </x:c>
      <x:c r="F470" s="117" t="str">
        <x:v>emailSimple</x:v>
      </x:c>
      <x:c r="G470" s="117" t="str">
        <x:v>Platform</x:v>
      </x:c>
      <x:c r="H470" s="119" t="str">
        <x:v>emailSimple | AlertPartsWIP | CurrentTransaction</x:v>
      </x:c>
    </x:row>
    <x:row r="471" ht="34" customHeight="1">
      <x:c r="A471" s="117" t="str">
        <x:v>UK_Pricing_Request_Notifications</x:v>
      </x:c>
      <x:c r="B471" s="117" t="str">
        <x:v>Yes</x:v>
      </x:c>
      <x:c r="C471" s="119" t="str">
        <x:v>Active v14 (Retrieved XML)</x:v>
      </x:c>
      <x:c r="D471" s="117" t="str">
        <x:v>Built-in Action</x:v>
      </x:c>
      <x:c r="E471" s="117" t="str">
        <x:v>AlertPurchasingTeam</x:v>
      </x:c>
      <x:c r="F471" s="117" t="str">
        <x:v>emailSimple</x:v>
      </x:c>
      <x:c r="G471" s="117" t="str">
        <x:v>Platform</x:v>
      </x:c>
      <x:c r="H471" s="119" t="str">
        <x:v>emailSimple | AlertPurchasingTeam | CurrentTransaction</x:v>
      </x:c>
    </x:row>
    <x:row r="472" ht="34" customHeight="1">
      <x:c r="A472" s="117" t="str">
        <x:v>UK_Pricing_Request_Notifications</x:v>
      </x:c>
      <x:c r="B472" s="117" t="str">
        <x:v>Yes</x:v>
      </x:c>
      <x:c r="C472" s="119" t="str">
        <x:v>Active v14 (Retrieved XML)</x:v>
      </x:c>
      <x:c r="D472" s="117" t="str">
        <x:v>Built-in Action</x:v>
      </x:c>
      <x:c r="E472" s="117" t="str">
        <x:v>Send_Email_to_Created_by_User</x:v>
      </x:c>
      <x:c r="F472" s="117" t="str">
        <x:v>emailSimple</x:v>
      </x:c>
      <x:c r="G472" s="117" t="str">
        <x:v>Platform</x:v>
      </x:c>
      <x:c r="H472" s="119" t="str">
        <x:v>emailSimple | Send Email to Created by User | CurrentTransaction</x:v>
      </x:c>
    </x:row>
    <x:row r="473" ht="34" customHeight="1">
      <x:c r="A473" s="117" t="str">
        <x:v>UK_RMA_Item_Received_Alert</x:v>
      </x:c>
      <x:c r="B473" s="117" t="str">
        <x:v>Yes</x:v>
      </x:c>
      <x:c r="C473" s="119" t="str">
        <x:v>Active v8 (Retrieved XML)</x:v>
      </x:c>
      <x:c r="D473" s="117" t="str">
        <x:v>Built-in Action</x:v>
      </x:c>
      <x:c r="E473" s="117" t="str">
        <x:v>AlertKatyJon</x:v>
      </x:c>
      <x:c r="F473" s="117" t="str">
        <x:v>emailSimple</x:v>
      </x:c>
      <x:c r="G473" s="117" t="str">
        <x:v>Platform</x:v>
      </x:c>
      <x:c r="H473" s="119" t="str">
        <x:v>emailSimple | AlertKatyJon | CurrentTransaction</x:v>
      </x:c>
    </x:row>
    <x:row r="474" ht="34" customHeight="1">
      <x:c r="A474" s="117" t="str">
        <x:v>UK_Sourcing_Request_Asset_Fulfilled_Notifications</x:v>
      </x:c>
      <x:c r="B474" s="117" t="str">
        <x:v>Yes</x:v>
      </x:c>
      <x:c r="C474" s="119" t="str">
        <x:v>Active v5 (Retrieved XML)</x:v>
      </x:c>
      <x:c r="D474" s="117" t="str">
        <x:v>Built-in Action</x:v>
      </x:c>
      <x:c r="E474" s="117" t="str">
        <x:v>AssetAssignedUltrasound</x:v>
      </x:c>
      <x:c r="F474" s="117" t="str">
        <x:v>Sourcing_Request_Item__c.Sourcing_Request_Asset_Assigned_UK_Ultrasound</x:v>
      </x:c>
      <x:c r="G474" s="117" t="str">
        <x:v>Platform</x:v>
      </x:c>
      <x:c r="H474" s="119" t="str">
        <x:v>emailAlert | AssetAssignedUltrasound | CurrentTransaction</x:v>
      </x:c>
    </x:row>
    <x:row r="475" ht="34" customHeight="1">
      <x:c r="A475" s="117" t="str">
        <x:v>UK_Sourcing_Request_Asset_Fulfilled_Notifications</x:v>
      </x:c>
      <x:c r="B475" s="117" t="str">
        <x:v>Yes</x:v>
      </x:c>
      <x:c r="C475" s="119" t="str">
        <x:v>Active v5 (Retrieved XML)</x:v>
      </x:c>
      <x:c r="D475" s="117" t="str">
        <x:v>Built-in Action</x:v>
      </x:c>
      <x:c r="E475" s="117" t="str">
        <x:v>AssetAssignedXRay</x:v>
      </x:c>
      <x:c r="F475" s="117" t="str">
        <x:v>Sourcing_Request_Item__c.Sourcing_Request_Asset_Assigned_UK_X_Ray</x:v>
      </x:c>
      <x:c r="G475" s="117" t="str">
        <x:v>Platform</x:v>
      </x:c>
      <x:c r="H475" s="119" t="str">
        <x:v>emailAlert | AssetAssignedXRay | CurrentTransaction</x:v>
      </x:c>
    </x:row>
    <x:row r="476" ht="34" customHeight="1">
      <x:c r="A476" s="117" t="str">
        <x:v>UK_Sourcing_Request_Notifications</x:v>
      </x:c>
      <x:c r="B476" s="117" t="str">
        <x:v>Yes</x:v>
      </x:c>
      <x:c r="C476" s="119" t="str">
        <x:v>Active v3 (Retrieved XML)</x:v>
      </x:c>
      <x:c r="D476" s="117" t="str">
        <x:v>Built-in Action</x:v>
      </x:c>
      <x:c r="E476" s="117" t="str">
        <x:v>SourcingRequestUltrasound</x:v>
      </x:c>
      <x:c r="F476" s="117" t="str">
        <x:v>Sourcing_Request_Item__c.Sourcing_Request_Fulfilled_UK_Ultrasound</x:v>
      </x:c>
      <x:c r="G476" s="117" t="str">
        <x:v>Platform</x:v>
      </x:c>
      <x:c r="H476" s="119" t="str">
        <x:v>emailAlert | SourcingRequestUltrasound | CurrentTransaction</x:v>
      </x:c>
    </x:row>
    <x:row r="477" ht="34" customHeight="1">
      <x:c r="A477" s="117" t="str">
        <x:v>UK_Sourcing_Request_Notifications</x:v>
      </x:c>
      <x:c r="B477" s="117" t="str">
        <x:v>Yes</x:v>
      </x:c>
      <x:c r="C477" s="119" t="str">
        <x:v>Active v3 (Retrieved XML)</x:v>
      </x:c>
      <x:c r="D477" s="117" t="str">
        <x:v>Built-in Action</x:v>
      </x:c>
      <x:c r="E477" s="117" t="str">
        <x:v>SourcingRequestXRay</x:v>
      </x:c>
      <x:c r="F477" s="117" t="str">
        <x:v>Sourcing_Request_Item__c.Sourcing_Request_Fulfilled_UK_Xray</x:v>
      </x:c>
      <x:c r="G477" s="117" t="str">
        <x:v>Platform</x:v>
      </x:c>
      <x:c r="H477" s="119" t="str">
        <x:v>emailAlert | SourcingRequestXRay | CurrentTransaction</x:v>
      </x:c>
    </x:row>
    <x:row r="478" ht="34" customHeight="1">
      <x:c r="A478" s="117" t="str">
        <x:v>UK_Sourcing_Request_Notifications</x:v>
      </x:c>
      <x:c r="B478" s="117" t="str">
        <x:v>Yes</x:v>
      </x:c>
      <x:c r="C478" s="119" t="str">
        <x:v>Active v3 (Retrieved XML)</x:v>
      </x:c>
      <x:c r="D478" s="117" t="str">
        <x:v>Built-in Action</x:v>
      </x:c>
      <x:c r="E478" s="117" t="str">
        <x:v>TimsEmail</x:v>
      </x:c>
      <x:c r="F478" s="117" t="str">
        <x:v>emailSimple</x:v>
      </x:c>
      <x:c r="G478" s="117" t="str">
        <x:v>Platform</x:v>
      </x:c>
      <x:c r="H478" s="119" t="str">
        <x:v>emailSimple | TimsEmail | CurrentTransaction</x:v>
      </x:c>
    </x:row>
    <x:row r="479" ht="34" customHeight="1">
      <x:c r="A479" s="117" t="str">
        <x:v>UK_Stores_App</x:v>
      </x:c>
      <x:c r="B479" s="117" t="str">
        <x:v>No</x:v>
      </x:c>
      <x:c r="C479" s="119" t="str">
        <x:v>Latest inactive v1 (Retrieved XML)</x:v>
      </x:c>
      <x:c r="D479" s="117" t="str">
        <x:v>Screen Component</x:v>
      </x:c>
      <x:c r="E479" s="117" t="str">
        <x:v>Screen</x:v>
      </x:c>
      <x:c r="F479" s="117" t="str">
        <x:v>c:fsc_flowButtonBar</x:v>
      </x:c>
      <x:c r="G479" s="117" t="str">
        <x:v>Review</x:v>
      </x:c>
      <x:c r="H479" s="119" t="str">
        <x:v>LWC or Aura extension</x:v>
      </x:c>
    </x:row>
    <x:row r="480" ht="34" customHeight="1">
      <x:c r="A480" s="117" t="str">
        <x:v>UK_Stores_App</x:v>
      </x:c>
      <x:c r="B480" s="117" t="str">
        <x:v>No</x:v>
      </x:c>
      <x:c r="C480" s="119" t="str">
        <x:v>Latest inactive v1 (Retrieved XML)</x:v>
      </x:c>
      <x:c r="D480" s="117" t="str">
        <x:v>Subflow</x:v>
      </x:c>
      <x:c r="E480" s="117" t="str">
        <x:v>MoveLocation</x:v>
      </x:c>
      <x:c r="F480" s="117" t="str">
        <x:v>New_Move_Location_Screen_Flow</x:v>
      </x:c>
      <x:c r="G480" s="117" t="str">
        <x:v>Yes</x:v>
      </x:c>
      <x:c r="H480" s="119" t="str">
        <x:v>MoveLocation</x:v>
      </x:c>
    </x:row>
    <x:row r="481" ht="34" customHeight="1">
      <x:c r="A481" s="117" t="str">
        <x:v>UK_Update_Shipping_Address</x:v>
      </x:c>
      <x:c r="B481" s="117" t="str">
        <x:v>Yes</x:v>
      </x:c>
      <x:c r="C481" s="119" t="str">
        <x:v>Active v14 (Retrieved XML)</x:v>
      </x:c>
      <x:c r="D481" s="117" t="str">
        <x:v>Screen Component</x:v>
      </x:c>
      <x:c r="E481" s="117" t="str">
        <x:v>Screen</x:v>
      </x:c>
      <x:c r="F481" s="117" t="str">
        <x:v>flowruntime:lookup</x:v>
      </x:c>
      <x:c r="G481" s="117" t="str">
        <x:v>Review</x:v>
      </x:c>
      <x:c r="H481" s="119" t="str">
        <x:v>LWC or Aura extension</x:v>
      </x:c>
    </x:row>
    <x:row r="482" ht="34" customHeight="1">
      <x:c r="A482" s="117" t="str">
        <x:v>Update_comments</x:v>
      </x:c>
      <x:c r="B482" s="117" t="str">
        <x:v>Yes</x:v>
      </x:c>
      <x:c r="C482" s="119" t="str">
        <x:v>Active v192 (Tooling metadata)</x:v>
      </x:c>
      <x:c r="D482" s="117" t="str">
        <x:v>Subflow</x:v>
      </x:c>
      <x:c r="E482" s="117" t="str">
        <x:v>Request_Parts_Screenflow_Sub</x:v>
      </x:c>
      <x:c r="F482" s="117" t="str">
        <x:v>FSL_Screen_Request_Parts_on_WO</x:v>
      </x:c>
      <x:c r="G482" s="117" t="str">
        <x:v>Yes</x:v>
      </x:c>
      <x:c r="H482" s="119" t="str">
        <x:v>Request Parts Screenflow Sub</x:v>
      </x:c>
    </x:row>
    <x:row r="483" ht="34" customHeight="1">
      <x:c r="A483" s="117" t="str">
        <x:v>Update_Need_Quote_Lines_to_Part_Quoted</x:v>
      </x:c>
      <x:c r="B483" s="117" t="str">
        <x:v>Yes</x:v>
      </x:c>
      <x:c r="C483" s="119" t="str">
        <x:v>Active v21 (Retrieved XML)</x:v>
      </x:c>
      <x:c r="D483" s="117" t="str">
        <x:v>Built-in Action</x:v>
      </x:c>
      <x:c r="E483" s="117" t="str">
        <x:v>Chatter_Completed_Closed</x:v>
      </x:c>
      <x:c r="F483" s="117" t="str">
        <x:v>customNotificationAction</x:v>
      </x:c>
      <x:c r="G483" s="117" t="str">
        <x:v>Platform</x:v>
      </x:c>
      <x:c r="H483" s="119" t="str">
        <x:v>customNotificationAction | Send Completed/Closed Mobile Notification | CurrentTransaction</x:v>
      </x:c>
    </x:row>
    <x:row r="484" ht="34" customHeight="1">
      <x:c r="A484" s="117" t="str">
        <x:v>Update_Need_Quote_Lines_to_Part_Quoted</x:v>
      </x:c>
      <x:c r="B484" s="117" t="str">
        <x:v>Yes</x:v>
      </x:c>
      <x:c r="C484" s="119" t="str">
        <x:v>Active v21 (Retrieved XML)</x:v>
      </x:c>
      <x:c r="D484" s="117" t="str">
        <x:v>Built-in Action</x:v>
      </x:c>
      <x:c r="E484" s="117" t="str">
        <x:v>Chatter_Parts_Probe_Shipped</x:v>
      </x:c>
      <x:c r="F484" s="117" t="str">
        <x:v>customNotificationAction</x:v>
      </x:c>
      <x:c r="G484" s="117" t="str">
        <x:v>Platform</x:v>
      </x:c>
      <x:c r="H484" s="119" t="str">
        <x:v>customNotificationAction | Send Parts/Probe Shipped Mobile Notification | CurrentTransaction</x:v>
      </x:c>
    </x:row>
    <x:row r="485" ht="34" customHeight="1">
      <x:c r="A485" s="117" t="str">
        <x:v>Update_Need_Quote_Lines_to_Part_Quoted</x:v>
      </x:c>
      <x:c r="B485" s="117" t="str">
        <x:v>Yes</x:v>
      </x:c>
      <x:c r="C485" s="119" t="str">
        <x:v>Active v21 (Retrieved XML)</x:v>
      </x:c>
      <x:c r="D485" s="117" t="str">
        <x:v>Built-in Action</x:v>
      </x:c>
      <x:c r="E485" s="117" t="str">
        <x:v>Chatter_Post_Sourcing</x:v>
      </x:c>
      <x:c r="F485" s="117" t="str">
        <x:v>customNotificationAction</x:v>
      </x:c>
      <x:c r="G485" s="117" t="str">
        <x:v>Platform</x:v>
      </x:c>
      <x:c r="H485" s="119" t="str">
        <x:v>customNotificationAction | Send Sourcing Mobile Notification | CurrentTransaction</x:v>
      </x:c>
    </x:row>
    <x:row r="486" ht="34" customHeight="1">
      <x:c r="A486" s="117" t="str">
        <x:v>Update_Need_Quote_Lines_to_Part_Quoted</x:v>
      </x:c>
      <x:c r="B486" s="117" t="str">
        <x:v>Yes</x:v>
      </x:c>
      <x:c r="C486" s="119" t="str">
        <x:v>Active v21 (Retrieved XML)</x:v>
      </x:c>
      <x:c r="D486" s="117" t="str">
        <x:v>Built-in Action</x:v>
      </x:c>
      <x:c r="E486" s="117" t="str">
        <x:v>Chatter_Re_Generate_FSR</x:v>
      </x:c>
      <x:c r="F486" s="117" t="str">
        <x:v>customNotificationAction</x:v>
      </x:c>
      <x:c r="G486" s="117" t="str">
        <x:v>Platform</x:v>
      </x:c>
      <x:c r="H486" s="119" t="str">
        <x:v>customNotificationAction | Send Re-Generate FSR Mobile Notification | CurrentTransaction</x:v>
      </x:c>
    </x:row>
    <x:row r="487" ht="34" customHeight="1">
      <x:c r="A487" s="117" t="str">
        <x:v>Update_Need_Quote_Lines_to_Part_Quoted</x:v>
      </x:c>
      <x:c r="B487" s="117" t="str">
        <x:v>Yes</x:v>
      </x:c>
      <x:c r="C487" s="119" t="str">
        <x:v>Active v21 (Retrieved XML)</x:v>
      </x:c>
      <x:c r="D487" s="117" t="str">
        <x:v>Built-in Action</x:v>
      </x:c>
      <x:c r="E487" s="117" t="str">
        <x:v>Ready_to_Ship_Chatter</x:v>
      </x:c>
      <x:c r="F487" s="117" t="str">
        <x:v>customNotificationAction</x:v>
      </x:c>
      <x:c r="G487" s="117" t="str">
        <x:v>Platform</x:v>
      </x:c>
      <x:c r="H487" s="119" t="str">
        <x:v>customNotificationAction | Send Ready to Ship Mobile Notification | CurrentTransaction</x:v>
      </x:c>
    </x:row>
    <x:row r="488" ht="34" customHeight="1">
      <x:c r="A488" s="117" t="str">
        <x:v>Update_Need_Quote_Lines_to_Part_Quoted</x:v>
      </x:c>
      <x:c r="B488" s="117" t="str">
        <x:v>Yes</x:v>
      </x:c>
      <x:c r="C488" s="119" t="str">
        <x:v>Active v21 (Retrieved XML)</x:v>
      </x:c>
      <x:c r="D488" s="117" t="str">
        <x:v>Built-in Action</x:v>
      </x:c>
      <x:c r="E488" s="117" t="str">
        <x:v>Send_Quote_Attached_Alert_to_Technician_Mobile_App</x:v>
      </x:c>
      <x:c r="F488" s="117" t="str">
        <x:v>customNotificationAction</x:v>
      </x:c>
      <x:c r="G488" s="117" t="str">
        <x:v>Platform</x:v>
      </x:c>
      <x:c r="H488" s="119" t="str">
        <x:v>customNotificationAction | Send Quote Attached Alert to Technician Mobile App | CurrentTransaction</x:v>
      </x:c>
    </x:row>
    <x:row r="489" ht="34" customHeight="1">
      <x:c r="A489" s="117" t="str">
        <x:v>Update_Need_Quote_Lines_to_Part_Quoted</x:v>
      </x:c>
      <x:c r="B489" s="117" t="str">
        <x:v>Yes</x:v>
      </x:c>
      <x:c r="C489" s="119" t="str">
        <x:v>Active v21 (Retrieved XML)</x:v>
      </x:c>
      <x:c r="D489" s="117" t="str">
        <x:v>Built-in Action</x:v>
      </x:c>
      <x:c r="E489" s="117" t="str">
        <x:v>Send_Email_to_Operations_on_Action_Needed</x:v>
      </x:c>
      <x:c r="F489" s="117" t="str">
        <x:v>emailSimple</x:v>
      </x:c>
      <x:c r="G489" s="117" t="str">
        <x:v>Platform</x:v>
      </x:c>
      <x:c r="H489" s="119" t="str">
        <x:v>emailSimple | Send Email to Operations on Action Needed | CurrentTransaction</x:v>
      </x:c>
    </x:row>
    <x:row r="490" ht="34" customHeight="1">
      <x:c r="A490" s="117" t="str">
        <x:v>Update_Need_Quote_Lines_to_Part_Quoted</x:v>
      </x:c>
      <x:c r="B490" s="117" t="str">
        <x:v>Yes</x:v>
      </x:c>
      <x:c r="C490" s="119" t="str">
        <x:v>Active v21 (Retrieved XML)</x:v>
      </x:c>
      <x:c r="D490" s="117" t="str">
        <x:v>Built-in Action</x:v>
      </x:c>
      <x:c r="E490" s="117" t="str">
        <x:v>Send_Exchange_Approved_Email_to_Rachel</x:v>
      </x:c>
      <x:c r="F490" s="117" t="str">
        <x:v>emailSimple</x:v>
      </x:c>
      <x:c r="G490" s="117" t="str">
        <x:v>Platform</x:v>
      </x:c>
      <x:c r="H490" s="119" t="str">
        <x:v>emailSimple | Send Exchange Approved Email to Rachel | CurrentTransaction</x:v>
      </x:c>
    </x:row>
    <x:row r="491" ht="34" customHeight="1">
      <x:c r="A491" s="117" t="str">
        <x:v>Update_Need_Quote_Lines_to_Part_Quoted</x:v>
      </x:c>
      <x:c r="B491" s="117" t="str">
        <x:v>Yes</x:v>
      </x:c>
      <x:c r="C491" s="119" t="str">
        <x:v>Active v21 (Retrieved XML)</x:v>
      </x:c>
      <x:c r="D491" s="117" t="str">
        <x:v>Built-in Action</x:v>
      </x:c>
      <x:c r="E491" s="117" t="str">
        <x:v>Send_Ready_To_Ship_Email</x:v>
      </x:c>
      <x:c r="F491" s="117" t="str">
        <x:v>emailSimple</x:v>
      </x:c>
      <x:c r="G491" s="117" t="str">
        <x:v>Platform</x:v>
      </x:c>
      <x:c r="H491" s="119" t="str">
        <x:v>emailSimple | Send Ready To Ship Email | CurrentTransaction</x:v>
      </x:c>
    </x:row>
    <x:row r="492" ht="34" customHeight="1">
      <x:c r="A492" s="117" t="str">
        <x:v>Update_Need_Quote_Lines_to_Part_Quoted</x:v>
      </x:c>
      <x:c r="B492" s="117" t="str">
        <x:v>Yes</x:v>
      </x:c>
      <x:c r="C492" s="119" t="str">
        <x:v>Active v21 (Retrieved XML)</x:v>
      </x:c>
      <x:c r="D492" s="117" t="str">
        <x:v>Built-in Action</x:v>
      </x:c>
      <x:c r="E492" s="117" t="str">
        <x:v>Send_Repair_Approved_Email_to_Rachel</x:v>
      </x:c>
      <x:c r="F492" s="117" t="str">
        <x:v>emailSimple</x:v>
      </x:c>
      <x:c r="G492" s="117" t="str">
        <x:v>Platform</x:v>
      </x:c>
      <x:c r="H492" s="119" t="str">
        <x:v>emailSimple | Send Repair Approved Email to Rachel | CurrentTransaction</x:v>
      </x:c>
    </x:row>
    <x:row r="493" ht="34" customHeight="1">
      <x:c r="A493" s="117" t="str">
        <x:v>Update_Need_Quote_Lines_to_Part_Quoted</x:v>
      </x:c>
      <x:c r="B493" s="117" t="str">
        <x:v>Yes</x:v>
      </x:c>
      <x:c r="C493" s="119" t="str">
        <x:v>Active v21 (Retrieved XML)</x:v>
      </x:c>
      <x:c r="D493" s="117" t="str">
        <x:v>Built-in Action</x:v>
      </x:c>
      <x:c r="E493" s="117" t="str">
        <x:v>Send_Repair_Declined_Email_to_Rachel</x:v>
      </x:c>
      <x:c r="F493" s="117" t="str">
        <x:v>emailSimple</x:v>
      </x:c>
      <x:c r="G493" s="117" t="str">
        <x:v>Platform</x:v>
      </x:c>
      <x:c r="H493" s="119" t="str">
        <x:v>emailSimple | Send Repair Declined Email to Rachel | CurrentTransaction</x:v>
      </x:c>
    </x:row>
    <x:row r="494" ht="34" customHeight="1">
      <x:c r="A494" s="117" t="str">
        <x:v>Update_Need_Quote_Lines_to_Part_Quoted</x:v>
      </x:c>
      <x:c r="B494" s="117" t="str">
        <x:v>Yes</x:v>
      </x:c>
      <x:c r="C494" s="119" t="str">
        <x:v>Active v21 (Retrieved XML)</x:v>
      </x:c>
      <x:c r="D494" s="117" t="str">
        <x:v>Built-in Action</x:v>
      </x:c>
      <x:c r="E494" s="117" t="str">
        <x:v>Send_Update_Needed_Email</x:v>
      </x:c>
      <x:c r="F494" s="117" t="str">
        <x:v>emailSimple</x:v>
      </x:c>
      <x:c r="G494" s="117" t="str">
        <x:v>Platform</x:v>
      </x:c>
      <x:c r="H494" s="119" t="str">
        <x:v>emailSimple | Send Update Needed Email | CurrentTransaction</x:v>
      </x:c>
    </x:row>
    <x:row r="495" ht="34" customHeight="1">
      <x:c r="A495" s="117" t="str">
        <x:v>Upload_Signed_Document</x:v>
      </x:c>
      <x:c r="B495" s="117" t="str">
        <x:v>Yes</x:v>
      </x:c>
      <x:c r="C495" s="119" t="str">
        <x:v>Active v1 (Retrieved XML)</x:v>
      </x:c>
      <x:c r="D495" s="117" t="str">
        <x:v>Screen Component</x:v>
      </x:c>
      <x:c r="E495" s="117" t="str">
        <x:v>Screen</x:v>
      </x:c>
      <x:c r="F495" s="117" t="str">
        <x:v>forceContent:fileUpload</x:v>
      </x:c>
      <x:c r="G495" s="117" t="str">
        <x:v>Review</x:v>
      </x:c>
      <x:c r="H495" s="119" t="str">
        <x:v>LWC or Aura extension</x:v>
      </x:c>
    </x:row>
    <x:row r="496" ht="34" customHeight="1">
      <x:c r="A496" s="117" t="str">
        <x:v>US_FSL_For_Probe_Repair_Opp_On_Setting_of_Repair_Approved_change_Work_Order_to_R</x:v>
      </x:c>
      <x:c r="B496" s="117" t="str">
        <x:v>Yes</x:v>
      </x:c>
      <x:c r="C496" s="119" t="str">
        <x:v>Active v3 (Retrieved XML)</x:v>
      </x:c>
      <x:c r="D496" s="117" t="str">
        <x:v>Subflow</x:v>
      </x:c>
      <x:c r="E496" s="117" t="str">
        <x:v>FSL_US_Update_Work_Order_to_Repair_In_Progress_Flow_1</x:v>
      </x:c>
      <x:c r="F496" s="117" t="str">
        <x:v>FSL_US_Update_Work_Order_to_Repair_In_Progress</x:v>
      </x:c>
      <x:c r="G496" s="117" t="str">
        <x:v>Yes</x:v>
      </x:c>
      <x:c r="H496" s="119" t="str">
        <x:v>FSL US: Update Work Order to "Repair In-Progress" Flow 1</x:v>
      </x:c>
    </x:row>
    <x:row r="497" ht="34" customHeight="1">
      <x:c r="A497" s="117" t="str">
        <x:v>US_FSL_On_Picked_Up_by_Operations_Notify_Engineer</x:v>
      </x:c>
      <x:c r="B497" s="117" t="str">
        <x:v>Yes</x:v>
      </x:c>
      <x:c r="C497" s="119" t="str">
        <x:v>Active v1 (Retrieved XML)</x:v>
      </x:c>
      <x:c r="D497" s="117" t="str">
        <x:v>Built-in Action</x:v>
      </x:c>
      <x:c r="E497" s="117" t="str">
        <x:v>Send_Picked_Up_Mobile_Notification</x:v>
      </x:c>
      <x:c r="F497" s="117" t="str">
        <x:v>customNotificationAction</x:v>
      </x:c>
      <x:c r="G497" s="117" t="str">
        <x:v>Platform</x:v>
      </x:c>
      <x:c r="H497" s="119" t="str">
        <x:v>customNotificationAction | Send Picked Up Mobile Notification | CurrentTransaction</x:v>
      </x:c>
    </x:row>
    <x:row r="498" ht="34" customHeight="1">
      <x:c r="A498" s="117" t="str">
        <x:v>US_FSL_On_Tracking_Entered_for_Service_Appointment_update_the_work_order_to_Part</x:v>
      </x:c>
      <x:c r="B498" s="117" t="str">
        <x:v>Yes</x:v>
      </x:c>
      <x:c r="C498" s="119" t="str">
        <x:v>Active v3 (Retrieved XML)</x:v>
      </x:c>
      <x:c r="D498" s="117" t="str">
        <x:v>Built-in Action</x:v>
      </x:c>
      <x:c r="E498" s="117" t="str">
        <x:v>Send_Shipping_Form_Email</x:v>
      </x:c>
      <x:c r="F498" s="117" t="str">
        <x:v>ServiceAppointment.Send_Shipping_Email_Alert</x:v>
      </x:c>
      <x:c r="G498" s="117" t="str">
        <x:v>Platform</x:v>
      </x:c>
      <x:c r="H498" s="119" t="str">
        <x:v>emailAlert | Send Shipping Form Email | CurrentTransaction</x:v>
      </x:c>
    </x:row>
    <x:row r="499" ht="34" customHeight="1">
      <x:c r="A499" s="117" t="str">
        <x:v>Vendor_Payment_Request_Screen_Flow</x:v>
      </x:c>
      <x:c r="B499" s="117" t="str">
        <x:v>No</x:v>
      </x:c>
      <x:c r="C499" s="119" t="str">
        <x:v>Latest inactive v1 (Retrieved XML)</x:v>
      </x:c>
      <x:c r="D499" s="117" t="str">
        <x:v>Built-in Action</x:v>
      </x:c>
      <x:c r="E499" s="117" t="str">
        <x:v>SendEmailToAP</x:v>
      </x:c>
      <x:c r="F499" s="117" t="str">
        <x:v>emailSimple</x:v>
      </x:c>
      <x:c r="G499" s="117" t="str">
        <x:v>Platform</x:v>
      </x:c>
      <x:c r="H499" s="119" t="str">
        <x:v>emailSimple | SendEmailToAP | CurrentTransaction</x:v>
      </x:c>
    </x:row>
    <x:row r="500" ht="34" customHeight="1">
      <x:c r="A500" s="117" t="str">
        <x:v>Vendor_Payment_Request_Screen_Flow</x:v>
      </x:c>
      <x:c r="B500" s="117" t="str">
        <x:v>No</x:v>
      </x:c>
      <x:c r="C500" s="119" t="str">
        <x:v>Latest inactive v1 (Retrieved XML)</x:v>
      </x:c>
      <x:c r="D500" s="117" t="str">
        <x:v>Screen Component</x:v>
      </x:c>
      <x:c r="E500" s="117" t="str">
        <x:v>Screen</x:v>
      </x:c>
      <x:c r="F500" s="117" t="str">
        <x:v>forceContent:fileUpload</x:v>
      </x:c>
      <x:c r="G500" s="117" t="str">
        <x:v>Review</x:v>
      </x:c>
      <x:c r="H500" s="119" t="str">
        <x:v>LWC or Aura extension</x:v>
      </x:c>
    </x:row>
    <x:row r="501" ht="34" customHeight="1">
      <x:c r="A501" s="117" t="str">
        <x:v>Work_Order_Assignment_and_Alerts_Flow</x:v>
      </x:c>
      <x:c r="B501" s="117" t="str">
        <x:v>Yes</x:v>
      </x:c>
      <x:c r="C501" s="119" t="str">
        <x:v>Active v3 (Retrieved XML)</x:v>
      </x:c>
      <x:c r="D501" s="117" t="str">
        <x:v>Built-in Action</x:v>
      </x:c>
      <x:c r="E501" s="117" t="str">
        <x:v>SendWorkOrderClosedbyFSEEmail</x:v>
      </x:c>
      <x:c r="F501" s="117" t="str">
        <x:v>emailSimple</x:v>
      </x:c>
      <x:c r="G501" s="117" t="str">
        <x:v>Platform</x:v>
      </x:c>
      <x:c r="H501" s="119" t="str">
        <x:v>emailSimple | SendWorkOrderClosedbyFSEEmail | CurrentTransaction</x:v>
      </x:c>
    </x:row>
    <x:row r="502" ht="34" customHeight="1">
      <x:c r="A502" s="117" t="str">
        <x:v>Work_Order_Calculate_Downtime_Business_Hours</x:v>
      </x:c>
      <x:c r="B502" s="117" t="str">
        <x:v>Yes</x:v>
      </x:c>
      <x:c r="C502" s="119" t="str">
        <x:v>Active v1 (Tooling metadata)</x:v>
      </x:c>
      <x:c r="D502" s="117" t="str">
        <x:v>Apex Action</x:v>
      </x:c>
      <x:c r="E502" s="117" t="str">
        <x:v>Calculate_Downtime_Business_Hours</x:v>
      </x:c>
      <x:c r="F502" s="117" t="str">
        <x:v>BusinessHoursDiffService</x:v>
      </x:c>
      <x:c r="G502" s="117" t="str">
        <x:v>Review</x:v>
      </x:c>
      <x:c r="H502" s="119" t="str">
        <x:v>apex | Calculate Downtime (Business Hours) | Automatic</x:v>
      </x:c>
    </x:row>
    <x:row r="503" ht="34" customHeight="1">
      <x:c r="A503" s="117" t="str">
        <x:v>Work_Order_FSL_Desktop_Subflow_Create_Chatter_Post</x:v>
      </x:c>
      <x:c r="B503" s="117" t="str">
        <x:v>No</x:v>
      </x:c>
      <x:c r="C503" s="119" t="str">
        <x:v>Latest inactive v1 (Retrieved XML)</x:v>
      </x:c>
      <x:c r="D503" s="117" t="str">
        <x:v>Built-in Action</x:v>
      </x:c>
      <x:c r="E503" s="117" t="str">
        <x:v>BreakFix</x:v>
      </x:c>
      <x:c r="F503" s="117" t="str">
        <x:v>chatterPost</x:v>
      </x:c>
      <x:c r="G503" s="117" t="str">
        <x:v>Platform</x:v>
      </x:c>
      <x:c r="H503" s="119" t="str">
        <x:v>chatterPost | Break/Fix | CurrentTransaction</x:v>
      </x:c>
    </x:row>
    <x:row r="504" ht="34" customHeight="1">
      <x:c r="A504" s="117" t="str">
        <x:v>Work_Order_FSL_Desktop_Subflow_Create_Chatter_Post</x:v>
      </x:c>
      <x:c r="B504" s="117" t="str">
        <x:v>No</x:v>
      </x:c>
      <x:c r="C504" s="119" t="str">
        <x:v>Latest inactive v1 (Retrieved XML)</x:v>
      </x:c>
      <x:c r="D504" s="117" t="str">
        <x:v>Built-in Action</x:v>
      </x:c>
      <x:c r="E504" s="117" t="str">
        <x:v>Copy_1_of_Post_to_Chatter_Action_1</x:v>
      </x:c>
      <x:c r="F504" s="117" t="str">
        <x:v>chatterPost</x:v>
      </x:c>
      <x:c r="G504" s="117" t="str">
        <x:v>Platform</x:v>
      </x:c>
      <x:c r="H504" s="119" t="str">
        <x:v>chatterPost | Install | CurrentTransaction</x:v>
      </x:c>
    </x:row>
    <x:row r="505" ht="34" customHeight="1">
      <x:c r="A505" s="117" t="str">
        <x:v>Work_Order_FSL_Mobile_Subflow_Chatter_Post</x:v>
      </x:c>
      <x:c r="B505" s="117" t="str">
        <x:v>Yes</x:v>
      </x:c>
      <x:c r="C505" s="119" t="str">
        <x:v>Active v4 (Retrieved XML)</x:v>
      </x:c>
      <x:c r="D505" s="117" t="str">
        <x:v>Built-in Action</x:v>
      </x:c>
      <x:c r="E505" s="117" t="str">
        <x:v>BreakFix</x:v>
      </x:c>
      <x:c r="F505" s="117" t="str">
        <x:v>chatterPost</x:v>
      </x:c>
      <x:c r="G505" s="117" t="str">
        <x:v>Platform</x:v>
      </x:c>
      <x:c r="H505" s="119" t="str">
        <x:v>chatterPost | Break/Fix | CurrentTransaction</x:v>
      </x:c>
    </x:row>
    <x:row r="506" ht="34" customHeight="1">
      <x:c r="A506" s="117" t="str">
        <x:v>Work_Order_FSL_Mobile_Subflow_Chatter_Post</x:v>
      </x:c>
      <x:c r="B506" s="117" t="str">
        <x:v>Yes</x:v>
      </x:c>
      <x:c r="C506" s="119" t="str">
        <x:v>Active v4 (Retrieved XML)</x:v>
      </x:c>
      <x:c r="D506" s="117" t="str">
        <x:v>Built-in Action</x:v>
      </x:c>
      <x:c r="E506" s="117" t="str">
        <x:v>Copy_1_of_Post_to_Chatter_Action_1</x:v>
      </x:c>
      <x:c r="F506" s="117" t="str">
        <x:v>chatterPost</x:v>
      </x:c>
      <x:c r="G506" s="117" t="str">
        <x:v>Platform</x:v>
      </x:c>
      <x:c r="H506" s="119" t="str">
        <x:v>chatterPost | Install | CurrentTransaction</x:v>
      </x:c>
    </x:row>
    <x:row r="507" ht="34" customHeight="1">
      <x:c r="A507" s="117" t="str">
        <x:v>Work_Order_install_Subflow</x:v>
      </x:c>
      <x:c r="B507" s="117" t="str">
        <x:v>Yes</x:v>
      </x:c>
      <x:c r="C507" s="119" t="str">
        <x:v>Active v12 (Retrieved XML)</x:v>
      </x:c>
      <x:c r="D507" s="117" t="str">
        <x:v>Screen Component</x:v>
      </x:c>
      <x:c r="E507" s="117" t="str">
        <x:v>Screen</x:v>
      </x:c>
      <x:c r="F507" s="117" t="str">
        <x:v>flowruntime:datatable</x:v>
      </x:c>
      <x:c r="G507" s="117" t="str">
        <x:v>Review</x:v>
      </x:c>
      <x:c r="H507" s="119" t="str">
        <x:v>LWC or Aura extension</x:v>
      </x:c>
    </x:row>
    <x:row r="508" ht="34" customHeight="1">
      <x:c r="A508" s="117" t="str">
        <x:v>Work_Order_PDF_Generation</x:v>
      </x:c>
      <x:c r="B508" s="117" t="str">
        <x:v>No</x:v>
      </x:c>
      <x:c r="C508" s="119" t="str">
        <x:v>Latest inactive v1 (Retrieved XML)</x:v>
      </x:c>
      <x:c r="D508" s="117" t="str">
        <x:v>Apex Action</x:v>
      </x:c>
      <x:c r="E508" s="117" t="str">
        <x:v>Generate_and_Associate_PDF</x:v>
      </x:c>
      <x:c r="F508" s="117" t="str">
        <x:v>WorkOrderPDFGenerator</x:v>
      </x:c>
      <x:c r="G508" s="117" t="str">
        <x:v>Review</x:v>
      </x:c>
      <x:c r="H508" s="119" t="str">
        <x:v>apex | Generate and Associate PDF | Automatic</x:v>
      </x:c>
    </x:row>
    <x:row r="509" ht="34" customHeight="1">
      <x:c r="A509" s="117" t="str">
        <x:v>Work_Step_Manager</x:v>
      </x:c>
      <x:c r="B509" s="117" t="str">
        <x:v>Yes</x:v>
      </x:c>
      <x:c r="C509" s="119" t="str">
        <x:v>Active v18 (Retrieved XML)</x:v>
      </x:c>
      <x:c r="D509" s="117" t="str">
        <x:v>Subflow</x:v>
      </x:c>
      <x:c r="E509" s="117" t="str">
        <x:v>CT_Checklist</x:v>
      </x:c>
      <x:c r="F509" s="117" t="str">
        <x:v>CT_Checklist</x:v>
      </x:c>
      <x:c r="G509" s="117" t="str">
        <x:v>Yes</x:v>
      </x:c>
      <x:c r="H509" s="119" t="str">
        <x:v>CT Checklist</x:v>
      </x:c>
    </x:row>
    <x:row r="510" ht="34" customHeight="1">
      <x:c r="A510" s="117" t="str">
        <x:v>Work_Step_Manager</x:v>
      </x:c>
      <x:c r="B510" s="117" t="str">
        <x:v>Yes</x:v>
      </x:c>
      <x:c r="C510" s="119" t="str">
        <x:v>Active v18 (Retrieved XML)</x:v>
      </x:c>
      <x:c r="D510" s="117" t="str">
        <x:v>Subflow</x:v>
      </x:c>
      <x:c r="E510" s="117" t="str">
        <x:v>C_ARM_Checklist</x:v>
      </x:c>
      <x:c r="F510" s="117" t="str">
        <x:v>C_ARM_Checklist</x:v>
      </x:c>
      <x:c r="G510" s="117" t="str">
        <x:v>Yes</x:v>
      </x:c>
      <x:c r="H510" s="119" t="str">
        <x:v>C-ARM Checklist</x:v>
      </x:c>
    </x:row>
    <x:row r="511" ht="34" customHeight="1">
      <x:c r="A511" s="117" t="str">
        <x:v>Work_Step_Manager</x:v>
      </x:c>
      <x:c r="B511" s="117" t="str">
        <x:v>Yes</x:v>
      </x:c>
      <x:c r="C511" s="119" t="str">
        <x:v>Active v18 (Retrieved XML)</x:v>
      </x:c>
      <x:c r="D511" s="117" t="str">
        <x:v>Subflow</x:v>
      </x:c>
      <x:c r="E511" s="117" t="str">
        <x:v>Cardio_Labs_Checklist</x:v>
      </x:c>
      <x:c r="F511" s="117" t="str">
        <x:v>Cardio_Labs_Checklist</x:v>
      </x:c>
      <x:c r="G511" s="117" t="str">
        <x:v>Yes</x:v>
      </x:c>
      <x:c r="H511" s="119" t="str">
        <x:v>Cardio Labs Checklist</x:v>
      </x:c>
    </x:row>
    <x:row r="512" ht="34" customHeight="1">
      <x:c r="A512" s="117" t="str">
        <x:v>Work_Step_Manager</x:v>
      </x:c>
      <x:c r="B512" s="117" t="str">
        <x:v>Yes</x:v>
      </x:c>
      <x:c r="C512" s="119" t="str">
        <x:v>Active v18 (Retrieved XML)</x:v>
      </x:c>
      <x:c r="D512" s="117" t="str">
        <x:v>Subflow</x:v>
      </x:c>
      <x:c r="E512" s="117" t="str">
        <x:v>DEXA_Checklist_Flow</x:v>
      </x:c>
      <x:c r="F512" s="117" t="str">
        <x:v>DEXA_Checklist</x:v>
      </x:c>
      <x:c r="G512" s="117" t="str">
        <x:v>Yes</x:v>
      </x:c>
      <x:c r="H512" s="119" t="str">
        <x:v>DEXA Checklist Flow</x:v>
      </x:c>
    </x:row>
    <x:row r="513" ht="34" customHeight="1">
      <x:c r="A513" s="117" t="str">
        <x:v>Work_Step_Manager</x:v>
      </x:c>
      <x:c r="B513" s="117" t="str">
        <x:v>Yes</x:v>
      </x:c>
      <x:c r="C513" s="119" t="str">
        <x:v>Active v18 (Retrieved XML)</x:v>
      </x:c>
      <x:c r="D513" s="117" t="str">
        <x:v>Subflow</x:v>
      </x:c>
      <x:c r="E513" s="117" t="str">
        <x:v>Dental_Checklist</x:v>
      </x:c>
      <x:c r="F513" s="117" t="str">
        <x:v>Dental_Checklist</x:v>
      </x:c>
      <x:c r="G513" s="117" t="str">
        <x:v>Yes</x:v>
      </x:c>
      <x:c r="H513" s="119" t="str">
        <x:v>Dental Checklist</x:v>
      </x:c>
    </x:row>
    <x:row r="514" ht="34" customHeight="1">
      <x:c r="A514" s="117" t="str">
        <x:v>Work_Step_Manager</x:v>
      </x:c>
      <x:c r="B514" s="117" t="str">
        <x:v>Yes</x:v>
      </x:c>
      <x:c r="C514" s="119" t="str">
        <x:v>Active v18 (Retrieved XML)</x:v>
      </x:c>
      <x:c r="D514" s="117" t="str">
        <x:v>Subflow</x:v>
      </x:c>
      <x:c r="E514" s="117" t="str">
        <x:v>CR_Reader_Checklist_Flow</x:v>
      </x:c>
      <x:c r="F514" s="117" t="str">
        <x:v>FSL_CR_Checklist</x:v>
      </x:c>
      <x:c r="G514" s="117" t="str">
        <x:v>Yes</x:v>
      </x:c>
      <x:c r="H514" s="119" t="str">
        <x:v>CR Reader Checklist Flow</x:v>
      </x:c>
    </x:row>
    <x:row r="515" ht="34" customHeight="1">
      <x:c r="A515" s="117" t="str">
        <x:v>Work_Step_Manager</x:v>
      </x:c>
      <x:c r="B515" s="117" t="str">
        <x:v>Yes</x:v>
      </x:c>
      <x:c r="C515" s="119" t="str">
        <x:v>Active v18 (Retrieved XML)</x:v>
      </x:c>
      <x:c r="D515" s="117" t="str">
        <x:v>Subflow</x:v>
      </x:c>
      <x:c r="E515" s="117" t="str">
        <x:v>Ultrasound_Electrical_Safety_Test_Checklist_Flow</x:v>
      </x:c>
      <x:c r="F515" s="117" t="str">
        <x:v>FSL_Ultrasound_Electrical_Safety_Tests_Checklist</x:v>
      </x:c>
      <x:c r="G515" s="117" t="str">
        <x:v>Yes</x:v>
      </x:c>
      <x:c r="H515" s="119" t="str">
        <x:v>Ultrasound Electrical Safety Test Checklist Flow</x:v>
      </x:c>
    </x:row>
    <x:row r="516" ht="34" customHeight="1">
      <x:c r="A516" s="117" t="str">
        <x:v>Work_Step_Manager</x:v>
      </x:c>
      <x:c r="B516" s="117" t="str">
        <x:v>Yes</x:v>
      </x:c>
      <x:c r="C516" s="119" t="str">
        <x:v>Active v18 (Retrieved XML)</x:v>
      </x:c>
      <x:c r="D516" s="117" t="str">
        <x:v>Subflow</x:v>
      </x:c>
      <x:c r="E516" s="117" t="str">
        <x:v>Injector_Checklist</x:v>
      </x:c>
      <x:c r="F516" s="117" t="str">
        <x:v>Injector_Checklist</x:v>
      </x:c>
      <x:c r="G516" s="117" t="str">
        <x:v>Yes</x:v>
      </x:c>
      <x:c r="H516" s="119" t="str">
        <x:v>Injector Checklist</x:v>
      </x:c>
    </x:row>
    <x:row r="517" ht="34" customHeight="1">
      <x:c r="A517" s="117" t="str">
        <x:v>Work_Step_Manager</x:v>
      </x:c>
      <x:c r="B517" s="117" t="str">
        <x:v>Yes</x:v>
      </x:c>
      <x:c r="C517" s="119" t="str">
        <x:v>Active v18 (Retrieved XML)</x:v>
      </x:c>
      <x:c r="D517" s="117" t="str">
        <x:v>Subflow</x:v>
      </x:c>
      <x:c r="E517" s="117" t="str">
        <x:v>Intraoral_Checklist</x:v>
      </x:c>
      <x:c r="F517" s="117" t="str">
        <x:v>IntraoralChecklist</x:v>
      </x:c>
      <x:c r="G517" s="117" t="str">
        <x:v>Yes</x:v>
      </x:c>
      <x:c r="H517" s="119" t="str">
        <x:v>Intraoral Checklist</x:v>
      </x:c>
    </x:row>
    <x:row r="518" ht="34" customHeight="1">
      <x:c r="A518" s="117" t="str">
        <x:v>Work_Step_Manager</x:v>
      </x:c>
      <x:c r="B518" s="117" t="str">
        <x:v>Yes</x:v>
      </x:c>
      <x:c r="C518" s="119" t="str">
        <x:v>Active v18 (Retrieved XML)</x:v>
      </x:c>
      <x:c r="D518" s="117" t="str">
        <x:v>Subflow</x:v>
      </x:c>
      <x:c r="E518" s="117" t="str">
        <x:v>Iradimed_Infusion_Pump_Checklist</x:v>
      </x:c>
      <x:c r="F518" s="117" t="str">
        <x:v>Iradimed_Infusion_Pump_Checklist</x:v>
      </x:c>
      <x:c r="G518" s="117" t="str">
        <x:v>Yes</x:v>
      </x:c>
      <x:c r="H518" s="119" t="str">
        <x:v>Iradimed Infusion Pump Checklist</x:v>
      </x:c>
    </x:row>
    <x:row r="519" ht="34" customHeight="1">
      <x:c r="A519" s="117" t="str">
        <x:v>Work_Step_Manager</x:v>
      </x:c>
      <x:c r="B519" s="117" t="str">
        <x:v>Yes</x:v>
      </x:c>
      <x:c r="C519" s="119" t="str">
        <x:v>Active v18 (Retrieved XML)</x:v>
      </x:c>
      <x:c r="D519" s="117" t="str">
        <x:v>Subflow</x:v>
      </x:c>
      <x:c r="E519" s="117" t="str">
        <x:v>Iradimed_Patient_Monitor_Checklist</x:v>
      </x:c>
      <x:c r="F519" s="117" t="str">
        <x:v>Iradimed_Patient_Monitor_Checklist</x:v>
      </x:c>
      <x:c r="G519" s="117" t="str">
        <x:v>Yes</x:v>
      </x:c>
      <x:c r="H519" s="119" t="str">
        <x:v>Iradimed Patient Monitor Checklist</x:v>
      </x:c>
    </x:row>
    <x:row r="520" ht="34" customHeight="1">
      <x:c r="A520" s="117" t="str">
        <x:v>Work_Step_Manager</x:v>
      </x:c>
      <x:c r="B520" s="117" t="str">
        <x:v>Yes</x:v>
      </x:c>
      <x:c r="C520" s="119" t="str">
        <x:v>Active v18 (Retrieved XML)</x:v>
      </x:c>
      <x:c r="D520" s="117" t="str">
        <x:v>Subflow</x:v>
      </x:c>
      <x:c r="E520" s="117" t="str">
        <x:v>MRI_Checklist</x:v>
      </x:c>
      <x:c r="F520" s="117" t="str">
        <x:v>MRI_Checklist</x:v>
      </x:c>
      <x:c r="G520" s="117" t="str">
        <x:v>Yes</x:v>
      </x:c>
      <x:c r="H520" s="119" t="str">
        <x:v>MRI Checklist</x:v>
      </x:c>
    </x:row>
    <x:row r="521" ht="34" customHeight="1">
      <x:c r="A521" s="117" t="str">
        <x:v>Work_Step_Manager</x:v>
      </x:c>
      <x:c r="B521" s="117" t="str">
        <x:v>Yes</x:v>
      </x:c>
      <x:c r="C521" s="119" t="str">
        <x:v>Active v18 (Retrieved XML)</x:v>
      </x:c>
      <x:c r="D521" s="117" t="str">
        <x:v>Subflow</x:v>
      </x:c>
      <x:c r="E521" s="117" t="str">
        <x:v>Mammography_Checklist</x:v>
      </x:c>
      <x:c r="F521" s="117" t="str">
        <x:v>Mammography_Checklist</x:v>
      </x:c>
      <x:c r="G521" s="117" t="str">
        <x:v>Yes</x:v>
      </x:c>
      <x:c r="H521" s="119" t="str">
        <x:v>Mammography Checklist</x:v>
      </x:c>
    </x:row>
    <x:row r="522" ht="34" customHeight="1">
      <x:c r="A522" s="117" t="str">
        <x:v>Work_Step_Manager</x:v>
      </x:c>
      <x:c r="B522" s="117" t="str">
        <x:v>Yes</x:v>
      </x:c>
      <x:c r="C522" s="119" t="str">
        <x:v>Active v18 (Retrieved XML)</x:v>
      </x:c>
      <x:c r="D522" s="117" t="str">
        <x:v>Subflow</x:v>
      </x:c>
      <x:c r="E522" s="117" t="str">
        <x:v>Mobile_X_Ray_Checklist</x:v>
      </x:c>
      <x:c r="F522" s="117" t="str">
        <x:v>Mobile_X_Ray_Checklist</x:v>
      </x:c>
      <x:c r="G522" s="117" t="str">
        <x:v>Yes</x:v>
      </x:c>
      <x:c r="H522" s="119" t="str">
        <x:v>Mobile X-Ray Checklist</x:v>
      </x:c>
    </x:row>
    <x:row r="523" ht="34" customHeight="1">
      <x:c r="A523" s="117" t="str">
        <x:v>Work_Step_Manager</x:v>
      </x:c>
      <x:c r="B523" s="117" t="str">
        <x:v>Yes</x:v>
      </x:c>
      <x:c r="C523" s="119" t="str">
        <x:v>Active v18 (Retrieved XML)</x:v>
      </x:c>
      <x:c r="D523" s="117" t="str">
        <x:v>Subflow</x:v>
      </x:c>
      <x:c r="E523" s="117" t="str">
        <x:v>Static_Fluoro_Checklist</x:v>
      </x:c>
      <x:c r="F523" s="117" t="str">
        <x:v>Static_Fluoro</x:v>
      </x:c>
      <x:c r="G523" s="117" t="str">
        <x:v>Yes</x:v>
      </x:c>
      <x:c r="H523" s="119" t="str">
        <x:v>Static Fluoro Checklist</x:v>
      </x:c>
    </x:row>
    <x:row r="524" ht="34" customHeight="1">
      <x:c r="A524" s="117" t="str">
        <x:v>Work_Step_Manager</x:v>
      </x:c>
      <x:c r="B524" s="117" t="str">
        <x:v>Yes</x:v>
      </x:c>
      <x:c r="C524" s="119" t="str">
        <x:v>Active v18 (Retrieved XML)</x:v>
      </x:c>
      <x:c r="D524" s="117" t="str">
        <x:v>Subflow</x:v>
      </x:c>
      <x:c r="E524" s="117" t="str">
        <x:v>Static_X_Ray_CR_Checklist</x:v>
      </x:c>
      <x:c r="F524" s="117" t="str">
        <x:v>Static_X_Ray_CR_Checklist</x:v>
      </x:c>
      <x:c r="G524" s="117" t="str">
        <x:v>Yes</x:v>
      </x:c>
      <x:c r="H524" s="119" t="str">
        <x:v>Static X-Ray CR Checklist</x:v>
      </x:c>
    </x:row>
    <x:row r="525" ht="34" customHeight="1">
      <x:c r="A525" s="117" t="str">
        <x:v>Work_Step_Manager</x:v>
      </x:c>
      <x:c r="B525" s="117" t="str">
        <x:v>Yes</x:v>
      </x:c>
      <x:c r="C525" s="119" t="str">
        <x:v>Active v18 (Retrieved XML)</x:v>
      </x:c>
      <x:c r="D525" s="117" t="str">
        <x:v>Subflow</x:v>
      </x:c>
      <x:c r="E525" s="117" t="str">
        <x:v>Static_X_Ray_DDR_Checklist</x:v>
      </x:c>
      <x:c r="F525" s="117" t="str">
        <x:v>Statix_X_Ray_DDR_Checklist</x:v>
      </x:c>
      <x:c r="G525" s="117" t="str">
        <x:v>Yes</x:v>
      </x:c>
      <x:c r="H525" s="119" t="str">
        <x:v>Static X-Ray DDR Checklist</x:v>
      </x:c>
    </x:row>
    <x:row r="526" ht="34" customHeight="1">
      <x:c r="A526" s="117" t="str">
        <x:v>Work_Step_Manager</x:v>
      </x:c>
      <x:c r="B526" s="117" t="str">
        <x:v>Yes</x:v>
      </x:c>
      <x:c r="C526" s="119" t="str">
        <x:v>Active v18 (Retrieved XML)</x:v>
      </x:c>
      <x:c r="D526" s="117" t="str">
        <x:v>Subflow</x:v>
      </x:c>
      <x:c r="E526" s="117" t="str">
        <x:v>US_FSL_Trophon_Checklist_Flow_1</x:v>
      </x:c>
      <x:c r="F526" s="117" t="str">
        <x:v>US_FSL_Trophon_Checklist</x:v>
      </x:c>
      <x:c r="G526" s="117" t="str">
        <x:v>Yes</x:v>
      </x:c>
      <x:c r="H526" s="119" t="str">
        <x:v>US FSL - Trophon Checklist Flow 1</x:v>
      </x:c>
    </x:row>
    <x:row r="527" ht="34" customHeight="1">
      <x:c r="A527" s="117" t="str">
        <x:v>Work_Step_Manager</x:v>
      </x:c>
      <x:c r="B527" s="117" t="str">
        <x:v>Yes</x:v>
      </x:c>
      <x:c r="C527" s="119" t="str">
        <x:v>Active v18 (Retrieved XML)</x:v>
      </x:c>
      <x:c r="D527" s="117" t="str">
        <x:v>Subflow</x:v>
      </x:c>
      <x:c r="E527" s="117" t="str">
        <x:v>US_FSL_Ultrasound_Checklist_Flow_1</x:v>
      </x:c>
      <x:c r="F527" s="117" t="str">
        <x:v>US_FSL_Ultrasound_Checklist</x:v>
      </x:c>
      <x:c r="G527" s="117" t="str">
        <x:v>Yes</x:v>
      </x:c>
      <x:c r="H527" s="119" t="str">
        <x:v>US FSL - Ultrasound Checklist Flow 1</x:v>
      </x:c>
    </x:row>
    <x:row r="528" ht="34" customHeight="1">
      <x:c r="A528" s="117" t="str">
        <x:v>Work_Step_Manager</x:v>
      </x:c>
      <x:c r="B528" s="117" t="str">
        <x:v>Yes</x:v>
      </x:c>
      <x:c r="C528" s="119" t="str">
        <x:v>Active v18 (Retrieved XML)</x:v>
      </x:c>
      <x:c r="D528" s="117" t="str">
        <x:v>Subflow</x:v>
      </x:c>
      <x:c r="E528" s="117" t="str">
        <x:v>Ultrasound_Checklist_Flow</x:v>
      </x:c>
      <x:c r="F528" s="117" t="str">
        <x:v>Ultrasound_Checklist</x:v>
      </x:c>
      <x:c r="G528" s="117" t="str">
        <x:v>Yes</x:v>
      </x:c>
      <x:c r="H528" s="119" t="str">
        <x:v>Ultrasound Checklist Flow</x:v>
      </x:c>
    </x:row>
    <x:row r="529" ht="34" customHeight="1">
      <x:c r="A529" s="117" t="str">
        <x:v>ZENKRAFT_Email_Label_When_Return_Shipment_Created</x:v>
      </x:c>
      <x:c r="B529" s="117" t="str">
        <x:v>Yes</x:v>
      </x:c>
      <x:c r="C529" s="119" t="str">
        <x:v>Active v1 (Retrieved XML)</x:v>
      </x:c>
      <x:c r="D529" s="117" t="str">
        <x:v>Apex Action</x:v>
      </x:c>
      <x:c r="E529" s="117" t="str">
        <x:v>myWaitEvent_myWait_myRule_1_event_0_SA1</x:v>
      </x:c>
      <x:c r="F529" s="117" t="str">
        <x:v>zkmulti__InvocableSendLabels</x:v>
      </x:c>
      <x:c r="G529" s="117" t="str">
        <x:v>Review</x:v>
      </x:c>
      <x:c r="H529" s="119" t="str">
        <x:v>apex | Email Label</x:v>
      </x:c>
    </x:row>
  </x:sheetData>
  <x:mergeCells>
    <x:mergeCell ref="A1:H1"/>
    <x:mergeCell ref="A2:H2"/>
  </x:mergeCells>
  <x:pageMargins left="0.7" right="0.7" top="0.75" bottom="0.75" header="0.3" footer="0.3"/>
  <x:tableParts count="1">
    <x:tablePart xmlns:r="http://schemas.openxmlformats.org/officeDocument/2006/relationships" r:id="R6f20caddf3104cb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38" hidden="0" customWidth="1"/>
    <x:col min="3" max="3" width="11" hidden="0" customWidth="1"/>
    <x:col min="4" max="4" width="30" hidden="0" customWidth="1"/>
    <x:col min="5" max="5" width="24" hidden="0" customWidth="1"/>
    <x:col min="6" max="6" width="30" hidden="0" customWidth="1"/>
    <x:col min="7" max="7" width="12" hidden="0" customWidth="1"/>
    <x:col min="8" max="8" width="20" hidden="0" customWidth="1"/>
  </x:cols>
  <x:sheetData>
    <x:row r="1" ht="28" customHeight="1">
      <x:c r="A1" s="3" t="str">
        <x:v>Object Map — Flow Read/Write/Trigger Footprint</x:v>
      </x:c>
      <x:c r="B1" s="3"/>
      <x:c r="C1" s="3"/>
      <x:c r="D1" s="3"/>
      <x:c r="E1" s="3"/>
      <x:c r="F1" s="3"/>
      <x:c r="G1" s="3"/>
      <x:c r="H1" s="3"/>
    </x:row>
    <x:row r="2" ht="34" customHeight="1">
      <x:c r="A2" s="7" t="str">
        <x:v>One row per Flow/object relationship. Filter by object to see trigger ownership, reads, writes, creates, deletes, choices, and variable usage.</x:v>
      </x:c>
      <x:c r="B2" s="7"/>
      <x:c r="C2" s="7"/>
      <x:c r="D2" s="7"/>
      <x:c r="E2" s="7"/>
      <x:c r="F2" s="7"/>
      <x:c r="G2" s="7"/>
      <x:c r="H2" s="7"/>
    </x:row>
    <x:row r="4" ht="36" customHeight="1">
      <x:c r="A4" s="114" t="str">
        <x:v>Definition ID</x:v>
      </x:c>
      <x:c r="B4" s="115" t="str">
        <x:v>Flow API Name</x:v>
      </x:c>
      <x:c r="C4" s="115" t="str">
        <x:v>Flow Active</x:v>
      </x:c>
      <x:c r="D4" s="115" t="str">
        <x:v>Analysis Basis</x:v>
      </x:c>
      <x:c r="E4" s="115" t="str">
        <x:v>Object</x:v>
      </x:c>
      <x:c r="F4" s="115" t="str">
        <x:v>Roles</x:v>
      </x:c>
      <x:c r="G4" s="115" t="str">
        <x:v>Start Object</x:v>
      </x:c>
      <x:c r="H4" s="116" t="str">
        <x:v>Process Type</x:v>
      </x:c>
    </x:row>
    <x:row r="5" ht="30" customHeight="1">
      <x:c r="A5" s="117" t="str">
        <x:v>300Ro000007Dq0AIAS</x:v>
      </x:c>
      <x:c r="B5" s="117" t="str">
        <x:v>AvaTax_Opportunity_Automatic_Tax_Calculation_Flow</x:v>
      </x:c>
      <x:c r="C5" s="117" t="str">
        <x:v>Yes</x:v>
      </x:c>
      <x:c r="D5" s="119" t="str">
        <x:v>Active v6 (Tooling metadata)</x:v>
      </x:c>
      <x:c r="E5" s="117" t="str">
        <x:v>AVA_SFCLOUD__AvaTax__c</x:v>
      </x:c>
      <x:c r="F5" s="119" t="str">
        <x:v>Read, Reference</x:v>
      </x:c>
      <x:c r="G5" s="117" t="str">
        <x:v>No</x:v>
      </x:c>
      <x:c r="H5" s="117" t="str">
        <x:v>AutoLaunchedFlow</x:v>
      </x:c>
    </x:row>
    <x:row r="6" ht="30" customHeight="1">
      <x:c r="A6" s="117" t="str">
        <x:v>300Ro000007Dq0BIAS</x:v>
      </x:c>
      <x:c r="B6" s="117" t="str">
        <x:v>AvaTax_Order_Automatic_Tax_Calculation_Flow</x:v>
      </x:c>
      <x:c r="C6" s="117" t="str">
        <x:v>Yes</x:v>
      </x:c>
      <x:c r="D6" s="119" t="str">
        <x:v>Active v6 (Tooling metadata)</x:v>
      </x:c>
      <x:c r="E6" s="117" t="str">
        <x:v>AVA_SFCLOUD__AvaTax__c</x:v>
      </x:c>
      <x:c r="F6" s="119" t="str">
        <x:v>Read, Reference</x:v>
      </x:c>
      <x:c r="G6" s="117" t="str">
        <x:v>No</x:v>
      </x:c>
      <x:c r="H6" s="117" t="str">
        <x:v>AutoLaunchedFlow</x:v>
      </x:c>
    </x:row>
    <x:row r="7" ht="30" customHeight="1">
      <x:c r="A7" s="117" t="str">
        <x:v>300Ro000007Dq0CIAS</x:v>
      </x:c>
      <x:c r="B7" s="117" t="str">
        <x:v>AvaTax_Quote_Automatic_Tax_Calculation_Flow</x:v>
      </x:c>
      <x:c r="C7" s="117" t="str">
        <x:v>Yes</x:v>
      </x:c>
      <x:c r="D7" s="119" t="str">
        <x:v>Active v6 (Tooling metadata)</x:v>
      </x:c>
      <x:c r="E7" s="117" t="str">
        <x:v>AVA_SFCLOUD__AvaTax__c</x:v>
      </x:c>
      <x:c r="F7" s="119" t="str">
        <x:v>Read, Reference</x:v>
      </x:c>
      <x:c r="G7" s="117" t="str">
        <x:v>No</x:v>
      </x:c>
      <x:c r="H7" s="117" t="str">
        <x:v>AutoLaunchedFlow</x:v>
      </x:c>
    </x:row>
    <x:row r="8" ht="30" customHeight="1">
      <x:c r="A8" s="117" t="str">
        <x:v>300Ro000007DpzyIAC</x:v>
      </x:c>
      <x:c r="B8" s="117" t="str">
        <x:v>AvaTax_Exemption_Certificate_Certificate_Status_Update</x:v>
      </x:c>
      <x:c r="C8" s="117" t="str">
        <x:v>Yes</x:v>
      </x:c>
      <x:c r="D8" s="119" t="str">
        <x:v>Active v2 (Tooling metadata)</x:v>
      </x:c>
      <x:c r="E8" s="117" t="str">
        <x:v>AVA_SFCLOUD__TaxExemptionCertificate__c</x:v>
      </x:c>
      <x:c r="F8" s="119" t="str">
        <x:v>Reference, Trigger, Update</x:v>
      </x:c>
      <x:c r="G8" s="117" t="str">
        <x:v>Yes</x:v>
      </x:c>
      <x:c r="H8" s="117" t="str">
        <x:v>AutoLaunchedFlow</x:v>
      </x:c>
    </x:row>
    <x:row r="9" ht="30" customHeight="1">
      <x:c r="A9" s="117" t="str">
        <x:v>3004O000000LOrrQAG</x:v>
      </x:c>
      <x:c r="B9" s="117" t="str">
        <x:v>AvaTax_Exemption_Certificate_Update_Certificate_Status</x:v>
      </x:c>
      <x:c r="C9" s="117" t="str">
        <x:v>No</x:v>
      </x:c>
      <x:c r="D9" s="119" t="str">
        <x:v>Latest inactive v2 (Tooling metadata)</x:v>
      </x:c>
      <x:c r="E9" s="117" t="str">
        <x:v>AVA_SFCLOUD__TaxExemptionCertificate__c</x:v>
      </x:c>
      <x:c r="F9" s="119" t="str">
        <x:v>Reference, Update, Variable</x:v>
      </x:c>
      <x:c r="G9" s="117" t="str">
        <x:v>No</x:v>
      </x:c>
      <x:c r="H9" s="117" t="str">
        <x:v>Workflow</x:v>
      </x:c>
    </x:row>
    <x:row r="10" ht="30" customHeight="1">
      <x:c r="A10" s="117" t="str">
        <x:v>3005b000000H3Y6AAK</x:v>
      </x:c>
      <x:c r="B10" s="117" t="str">
        <x:v>Account_Created_by_EU_UK</x:v>
      </x:c>
      <x:c r="C10" s="117" t="str">
        <x:v>Yes</x:v>
      </x:c>
      <x:c r="D10" s="119" t="str">
        <x:v>Active v5 (Retrieved XML)</x:v>
      </x:c>
      <x:c r="E10" s="117" t="str">
        <x:v>Account</x:v>
      </x:c>
      <x:c r="F10" s="119" t="str">
        <x:v>Reference, Trigger, Update</x:v>
      </x:c>
      <x:c r="G10" s="117" t="str">
        <x:v>Yes</x:v>
      </x:c>
      <x:c r="H10" s="117" t="str">
        <x:v>AutoLaunchedFlow</x:v>
      </x:c>
    </x:row>
    <x:row r="11" ht="30" customHeight="1">
      <x:c r="A11" s="117" t="str">
        <x:v>300Ro000007gsMaIAI</x:v>
      </x:c>
      <x:c r="B11" s="117" t="str">
        <x:v>AccountFieldUpdateFlow</x:v>
      </x:c>
      <x:c r="C11" s="117" t="str">
        <x:v>Yes</x:v>
      </x:c>
      <x:c r="D11" s="119" t="str">
        <x:v>Active v7 (Retrieved XML)</x:v>
      </x:c>
      <x:c r="E11" s="117" t="str">
        <x:v>Account</x:v>
      </x:c>
      <x:c r="F11" s="119" t="str">
        <x:v>Reference, Trigger, Update</x:v>
      </x:c>
      <x:c r="G11" s="117" t="str">
        <x:v>Yes</x:v>
      </x:c>
      <x:c r="H11" s="117" t="str">
        <x:v>AutoLaunchedFlow</x:v>
      </x:c>
    </x:row>
    <x:row r="12" ht="30" customHeight="1">
      <x:c r="A12" s="117" t="str">
        <x:v>300Ro00000H90tRIAR</x:v>
      </x:c>
      <x:c r="B12" s="117" t="str">
        <x:v>Add_Coverage_Level_to_Service_Appointment_On_Creation</x:v>
      </x:c>
      <x:c r="C12" s="117" t="str">
        <x:v>Yes</x:v>
      </x:c>
      <x:c r="D12" s="119" t="str">
        <x:v>Active v28 (Retrieved XML)</x:v>
      </x:c>
      <x:c r="E12" s="117" t="str">
        <x:v>Account</x:v>
      </x:c>
      <x:c r="F12" s="119" t="str">
        <x:v>Read, Reference</x:v>
      </x:c>
      <x:c r="G12" s="117" t="str">
        <x:v>No</x:v>
      </x:c>
      <x:c r="H12" s="117" t="str">
        <x:v>AutoLaunchedFlow</x:v>
      </x:c>
    </x:row>
    <x:row r="13" ht="30" customHeight="1">
      <x:c r="A13" s="117" t="str">
        <x:v>3004O000000LOvJQAW</x:v>
      </x:c>
      <x:c r="B13" s="117" t="str">
        <x:v>Advances</x:v>
      </x:c>
      <x:c r="C13" s="117" t="str">
        <x:v>Yes</x:v>
      </x:c>
      <x:c r="D13" s="119" t="str">
        <x:v>Active v1 (Retrieved XML)</x:v>
      </x:c>
      <x:c r="E13" s="117" t="str">
        <x:v>Account</x:v>
      </x:c>
      <x:c r="F13" s="119" t="str">
        <x:v>Read, Reference</x:v>
      </x:c>
      <x:c r="G13" s="117" t="str">
        <x:v>No</x:v>
      </x:c>
      <x:c r="H13" s="117" t="str">
        <x:v>Flow</x:v>
      </x:c>
    </x:row>
    <x:row r="14" ht="30" customHeight="1">
      <x:c r="A14" s="117" t="str">
        <x:v>3004O000000LOrqQAG</x:v>
      </x:c>
      <x:c r="B14" s="117" t="str">
        <x:v>AvaTax_Account_Update_AvaTax_Exemption_Message</x:v>
      </x:c>
      <x:c r="C14" s="117" t="str">
        <x:v>No</x:v>
      </x:c>
      <x:c r="D14" s="119" t="str">
        <x:v>Latest inactive v2 (Tooling metadata)</x:v>
      </x:c>
      <x:c r="E14" s="117" t="str">
        <x:v>Account</x:v>
      </x:c>
      <x:c r="F14" s="119" t="str">
        <x:v>Reference, Update, Variable</x:v>
      </x:c>
      <x:c r="G14" s="117" t="str">
        <x:v>No</x:v>
      </x:c>
      <x:c r="H14" s="117" t="str">
        <x:v>Workflow</x:v>
      </x:c>
    </x:row>
    <x:row r="15" ht="30" customHeight="1">
      <x:c r="A15" s="117" t="str">
        <x:v>300Ro000007DpzxIAC</x:v>
      </x:c>
      <x:c r="B15" s="117" t="str">
        <x:v>AvaTax_Account_Update_AvaTax_Exemption_Message_Flow</x:v>
      </x:c>
      <x:c r="C15" s="117" t="str">
        <x:v>Yes</x:v>
      </x:c>
      <x:c r="D15" s="119" t="str">
        <x:v>Active v1 (Tooling metadata)</x:v>
      </x:c>
      <x:c r="E15" s="117" t="str">
        <x:v>Account</x:v>
      </x:c>
      <x:c r="F15" s="119" t="str">
        <x:v>Reference, Trigger, Update</x:v>
      </x:c>
      <x:c r="G15" s="117" t="str">
        <x:v>Yes</x:v>
      </x:c>
      <x:c r="H15" s="117" t="str">
        <x:v>AutoLaunchedFlow</x:v>
      </x:c>
    </x:row>
    <x:row r="16" ht="30" customHeight="1">
      <x:c r="A16" s="117" t="str">
        <x:v>300Ro00000yDFegIAG</x:v>
      </x:c>
      <x:c r="B16" s="117" t="str">
        <x:v>Contact_Asynchronous_on_create_Update_Account_Number_of_Contacts</x:v>
      </x:c>
      <x:c r="C16" s="117" t="str">
        <x:v>Yes</x:v>
      </x:c>
      <x:c r="D16" s="119" t="str">
        <x:v>Active v1 (Retrieved XML)</x:v>
      </x:c>
      <x:c r="E16" s="117" t="str">
        <x:v>Account</x:v>
      </x:c>
      <x:c r="F16" s="119" t="str">
        <x:v>Reference, Update</x:v>
      </x:c>
      <x:c r="G16" s="117" t="str">
        <x:v>No</x:v>
      </x:c>
      <x:c r="H16" s="117" t="str">
        <x:v>AutoLaunchedFlow</x:v>
      </x:c>
    </x:row>
    <x:row r="17" ht="30" customHeight="1">
      <x:c r="A17" s="117" t="str">
        <x:v>300Ro00000yDNE4IAO</x:v>
      </x:c>
      <x:c r="B17" s="117" t="str">
        <x:v>Contact_Asynchronous_on_delete_Update_Account_Number_of_Contacts</x:v>
      </x:c>
      <x:c r="C17" s="117" t="str">
        <x:v>Yes</x:v>
      </x:c>
      <x:c r="D17" s="119" t="str">
        <x:v>Active v1 (Retrieved XML)</x:v>
      </x:c>
      <x:c r="E17" s="117" t="str">
        <x:v>Account</x:v>
      </x:c>
      <x:c r="F17" s="119" t="str">
        <x:v>Reference, Update</x:v>
      </x:c>
      <x:c r="G17" s="117" t="str">
        <x:v>No</x:v>
      </x:c>
      <x:c r="H17" s="117" t="str">
        <x:v>AutoLaunchedFlow</x:v>
      </x:c>
    </x:row>
    <x:row r="18" ht="30" customHeight="1">
      <x:c r="A18" s="117" t="str">
        <x:v>300Ro00000yCrZ8IAK</x:v>
      </x:c>
      <x:c r="B18" s="117" t="str">
        <x:v>Contact_Asynchronous_on_update_Update_Account_Number_of_Contacts</x:v>
      </x:c>
      <x:c r="C18" s="117" t="str">
        <x:v>Yes</x:v>
      </x:c>
      <x:c r="D18" s="119" t="str">
        <x:v>Active v1 (Retrieved XML)</x:v>
      </x:c>
      <x:c r="E18" s="117" t="str">
        <x:v>Account</x:v>
      </x:c>
      <x:c r="F18" s="119" t="str">
        <x:v>Reference, Update</x:v>
      </x:c>
      <x:c r="G18" s="117" t="str">
        <x:v>No</x:v>
      </x:c>
      <x:c r="H18" s="117" t="str">
        <x:v>AutoLaunchedFlow</x:v>
      </x:c>
    </x:row>
    <x:row r="19" ht="30" customHeight="1">
      <x:c r="A19" s="117" t="str">
        <x:v>300Ro00000NaN2WIAV</x:v>
      </x:c>
      <x:c r="B19" s="117" t="str">
        <x:v>Create_Credit_Memo_From_Invoice</x:v>
      </x:c>
      <x:c r="C19" s="117" t="str">
        <x:v>Yes</x:v>
      </x:c>
      <x:c r="D19" s="119" t="str">
        <x:v>Active v9 (Retrieved XML)</x:v>
      </x:c>
      <x:c r="E19" s="117" t="str">
        <x:v>Account</x:v>
      </x:c>
      <x:c r="F19" s="119" t="str">
        <x:v>Read, Reference</x:v>
      </x:c>
      <x:c r="G19" s="117" t="str">
        <x:v>No</x:v>
      </x:c>
      <x:c r="H19" s="117" t="str">
        <x:v>Flow</x:v>
      </x:c>
    </x:row>
    <x:row r="20" ht="30" customHeight="1">
      <x:c r="A20" s="117" t="str">
        <x:v>300Ro00000kseeBIAQ</x:v>
      </x:c>
      <x:c r="B20" s="117" t="str">
        <x:v>Create_Field_Service_Work_Order_in_Salesforce</x:v>
      </x:c>
      <x:c r="C20" s="117" t="str">
        <x:v>Yes</x:v>
      </x:c>
      <x:c r="D20" s="119" t="str">
        <x:v>Active v9 (Retrieved XML)</x:v>
      </x:c>
      <x:c r="E20" s="117" t="str">
        <x:v>Account</x:v>
      </x:c>
      <x:c r="F20" s="119" t="str">
        <x:v>Read, Reference, Variable</x:v>
      </x:c>
      <x:c r="G20" s="117" t="str">
        <x:v>No</x:v>
      </x:c>
      <x:c r="H20" s="117" t="str">
        <x:v>Flow</x:v>
      </x:c>
    </x:row>
    <x:row r="21" ht="30" customHeight="1">
      <x:c r="A21" s="117" t="str">
        <x:v>300jR000000BuwaQAC</x:v>
      </x:c>
      <x:c r="B21" s="117" t="str">
        <x:v>Create_FSL_Work_Order_on_SF_Objects</x:v>
      </x:c>
      <x:c r="C21" s="117" t="str">
        <x:v>Yes</x:v>
      </x:c>
      <x:c r="D21" s="119" t="str">
        <x:v>Active v7 (Retrieved XML)</x:v>
      </x:c>
      <x:c r="E21" s="117" t="str">
        <x:v>Account</x:v>
      </x:c>
      <x:c r="F21" s="119" t="str">
        <x:v>Choice Read, Read, Reference</x:v>
      </x:c>
      <x:c r="G21" s="117" t="str">
        <x:v>No</x:v>
      </x:c>
      <x:c r="H21" s="117" t="str">
        <x:v>Flow</x:v>
      </x:c>
    </x:row>
    <x:row r="22" ht="30" customHeight="1">
      <x:c r="A22" s="117" t="str">
        <x:v>3005b000000H3plAAC</x:v>
      </x:c>
      <x:c r="B22" s="117" t="str">
        <x:v>Create_New_Service_Contract_from_Opp_UK</x:v>
      </x:c>
      <x:c r="C22" s="117" t="str">
        <x:v>Yes</x:v>
      </x:c>
      <x:c r="D22" s="119" t="str">
        <x:v>Active v27 (Retrieved XML)</x:v>
      </x:c>
      <x:c r="E22" s="117" t="str">
        <x:v>Account</x:v>
      </x:c>
      <x:c r="F22" s="119" t="str">
        <x:v>Reference, Update</x:v>
      </x:c>
      <x:c r="G22" s="117" t="str">
        <x:v>No</x:v>
      </x:c>
      <x:c r="H22" s="117" t="str">
        <x:v>Flow</x:v>
      </x:c>
    </x:row>
    <x:row r="23" ht="30" customHeight="1">
      <x:c r="A23" s="117" t="str">
        <x:v>3004O0000000ZxZQAU</x:v>
      </x:c>
      <x:c r="B23" s="117" t="str">
        <x:v>Credit_Approval_Process</x:v>
      </x:c>
      <x:c r="C23" s="117" t="str">
        <x:v>Yes</x:v>
      </x:c>
      <x:c r="D23" s="119" t="str">
        <x:v>Active v2 (Retrieved XML)</x:v>
      </x:c>
      <x:c r="E23" s="117" t="str">
        <x:v>Account</x:v>
      </x:c>
      <x:c r="F23" s="119" t="str">
        <x:v>Reference, Update</x:v>
      </x:c>
      <x:c r="G23" s="117" t="str">
        <x:v>No</x:v>
      </x:c>
      <x:c r="H23" s="117" t="str">
        <x:v>Flow</x:v>
      </x:c>
    </x:row>
    <x:row r="24" ht="30" customHeight="1">
      <x:c r="A24" s="117" t="str">
        <x:v>300Ro00000nAkF4IAK</x:v>
      </x:c>
      <x:c r="B24" s="117" t="str">
        <x:v>Fetch_Warranty_Length_on_Account</x:v>
      </x:c>
      <x:c r="C24" s="117" t="str">
        <x:v>Yes</x:v>
      </x:c>
      <x:c r="D24" s="119" t="str">
        <x:v>Active v1 (Retrieved XML)</x:v>
      </x:c>
      <x:c r="E24" s="117" t="str">
        <x:v>Account</x:v>
      </x:c>
      <x:c r="F24" s="119" t="str">
        <x:v>Read, Reference, Variable</x:v>
      </x:c>
      <x:c r="G24" s="117" t="str">
        <x:v>No</x:v>
      </x:c>
      <x:c r="H24" s="117" t="str">
        <x:v>AutoLaunchedFlow</x:v>
      </x:c>
    </x:row>
    <x:row r="25" ht="30" customHeight="1">
      <x:c r="A25" s="117" t="str">
        <x:v>300Ro00000mouhpIAA</x:v>
      </x:c>
      <x:c r="B25" s="117" t="str">
        <x:v>FSL_Action_Quick_Quote_2</x:v>
      </x:c>
      <x:c r="C25" s="117" t="str">
        <x:v>Yes</x:v>
      </x:c>
      <x:c r="D25" s="119" t="str">
        <x:v>Active v54 (Retrieved XML)</x:v>
      </x:c>
      <x:c r="E25" s="117" t="str">
        <x:v>Account</x:v>
      </x:c>
      <x:c r="F25" s="119" t="str">
        <x:v>Choice Read, Read, Reference, Variable</x:v>
      </x:c>
      <x:c r="G25" s="117" t="str">
        <x:v>No</x:v>
      </x:c>
      <x:c r="H25" s="117" t="str">
        <x:v>FieldServiceMobile</x:v>
      </x:c>
    </x:row>
    <x:row r="26" ht="30" customHeight="1">
      <x:c r="A26" s="117" t="str">
        <x:v>300Ro00000ydLuvIAE</x:v>
      </x:c>
      <x:c r="B26" s="117" t="str">
        <x:v>FSL_Close_Out_Service_Appointment_Field_Service_Mobile_Flow</x:v>
      </x:c>
      <x:c r="C26" s="117" t="str">
        <x:v>No</x:v>
      </x:c>
      <x:c r="D26" s="119" t="str">
        <x:v>Latest inactive v4 (Retrieved XML)</x:v>
      </x:c>
      <x:c r="E26" s="117" t="str">
        <x:v>Account</x:v>
      </x:c>
      <x:c r="F26" s="119" t="str">
        <x:v>Variable</x:v>
      </x:c>
      <x:c r="G26" s="117" t="str">
        <x:v>No</x:v>
      </x:c>
      <x:c r="H26" s="117" t="str">
        <x:v>FieldServiceMobile</x:v>
      </x:c>
    </x:row>
    <x:row r="27" ht="30" customHeight="1">
      <x:c r="A27" s="117" t="str">
        <x:v>300Ro00000cnT4mIAE</x:v>
      </x:c>
      <x:c r="B27" s="117" t="str">
        <x:v>FSL_Mobile_Create_Lead_US</x:v>
      </x:c>
      <x:c r="C27" s="117" t="str">
        <x:v>Yes</x:v>
      </x:c>
      <x:c r="D27" s="119" t="str">
        <x:v>Active v34 (Retrieved XML)</x:v>
      </x:c>
      <x:c r="E27" s="117" t="str">
        <x:v>Account</x:v>
      </x:c>
      <x:c r="F27" s="119" t="str">
        <x:v>Read, Reference, Variable</x:v>
      </x:c>
      <x:c r="G27" s="117" t="str">
        <x:v>No</x:v>
      </x:c>
      <x:c r="H27" s="117" t="str">
        <x:v>FieldServiceMobile</x:v>
      </x:c>
    </x:row>
    <x:row r="28" ht="30" customHeight="1">
      <x:c r="A28" s="117" t="str">
        <x:v>300Ro00000qOg6fIAC</x:v>
      </x:c>
      <x:c r="B28" s="117" t="str">
        <x:v>FSL_Mobile_End_Screen_for_FSL_PDF_Generation</x:v>
      </x:c>
      <x:c r="C28" s="117" t="str">
        <x:v>Yes</x:v>
      </x:c>
      <x:c r="D28" s="119" t="str">
        <x:v>Active v15 (Retrieved XML)</x:v>
      </x:c>
      <x:c r="E28" s="117" t="str">
        <x:v>Account</x:v>
      </x:c>
      <x:c r="F28" s="119" t="str">
        <x:v>Read, Reference, Variable</x:v>
      </x:c>
      <x:c r="G28" s="117" t="str">
        <x:v>No</x:v>
      </x:c>
      <x:c r="H28" s="117" t="str">
        <x:v>FieldServiceMobile</x:v>
      </x:c>
    </x:row>
    <x:row r="29" ht="30" customHeight="1">
      <x:c r="A29" s="117" t="str">
        <x:v>300Ro00000pvIVtIAM</x:v>
      </x:c>
      <x:c r="B29" s="117" t="str">
        <x:v>FSL_Mobile_Service_Appointment_Closeout</x:v>
      </x:c>
      <x:c r="C29" s="117" t="str">
        <x:v>Yes</x:v>
      </x:c>
      <x:c r="D29" s="119" t="str">
        <x:v>Active v1 (Retrieved XML)</x:v>
      </x:c>
      <x:c r="E29" s="117" t="str">
        <x:v>Account</x:v>
      </x:c>
      <x:c r="F29" s="119" t="str">
        <x:v>Read, Reference, Variable</x:v>
      </x:c>
      <x:c r="G29" s="117" t="str">
        <x:v>No</x:v>
      </x:c>
      <x:c r="H29" s="117" t="str">
        <x:v>FieldServiceMobile</x:v>
      </x:c>
    </x:row>
    <x:row r="30" ht="30" customHeight="1">
      <x:c r="A30" s="117" t="str">
        <x:v>300Ro00000qOn88IAC</x:v>
      </x:c>
      <x:c r="B30" s="117" t="str">
        <x:v>FSL_Service_Appointment_Work_Order_Country_Checker</x:v>
      </x:c>
      <x:c r="C30" s="117" t="str">
        <x:v>Yes</x:v>
      </x:c>
      <x:c r="D30" s="119" t="str">
        <x:v>Active v2 (Retrieved XML)</x:v>
      </x:c>
      <x:c r="E30" s="117" t="str">
        <x:v>Account</x:v>
      </x:c>
      <x:c r="F30" s="119" t="str">
        <x:v>Read, Reference</x:v>
      </x:c>
      <x:c r="G30" s="117" t="str">
        <x:v>No</x:v>
      </x:c>
      <x:c r="H30" s="117" t="str">
        <x:v>AutoLaunchedFlow</x:v>
      </x:c>
    </x:row>
    <x:row r="31" ht="30" customHeight="1">
      <x:c r="A31" s="117" t="str">
        <x:v>3004O000000LOvOQAW</x:v>
      </x:c>
      <x:c r="B31" s="117" t="str">
        <x:v>Invoice_Submission_Flow_V2</x:v>
      </x:c>
      <x:c r="C31" s="117" t="str">
        <x:v>Yes</x:v>
      </x:c>
      <x:c r="D31" s="119" t="str">
        <x:v>Active v37 (Retrieved XML)</x:v>
      </x:c>
      <x:c r="E31" s="117" t="str">
        <x:v>Account</x:v>
      </x:c>
      <x:c r="F31" s="119" t="str">
        <x:v>Read, Reference</x:v>
      </x:c>
      <x:c r="G31" s="117" t="str">
        <x:v>No</x:v>
      </x:c>
      <x:c r="H31" s="117" t="str">
        <x:v>Flow</x:v>
      </x:c>
    </x:row>
    <x:row r="32" ht="30" customHeight="1">
      <x:c r="A32" s="117" t="str">
        <x:v>3005b000000PzvpAAC</x:v>
      </x:c>
      <x:c r="B32" s="117" t="str">
        <x:v>KloudGin_Case_Created_Email_Notification</x:v>
      </x:c>
      <x:c r="C32" s="117" t="str">
        <x:v>Yes</x:v>
      </x:c>
      <x:c r="D32" s="119" t="str">
        <x:v>Active v28 (Retrieved XML)</x:v>
      </x:c>
      <x:c r="E32" s="117" t="str">
        <x:v>Account</x:v>
      </x:c>
      <x:c r="F32" s="119" t="str">
        <x:v>Read, Reference</x:v>
      </x:c>
      <x:c r="G32" s="117" t="str">
        <x:v>No</x:v>
      </x:c>
      <x:c r="H32" s="117" t="str">
        <x:v>AutoLaunchedFlow</x:v>
      </x:c>
    </x:row>
    <x:row r="33" ht="30" customHeight="1">
      <x:c r="A33" s="117" t="str">
        <x:v>3004O000000Tia9QAC</x:v>
      </x:c>
      <x:c r="B33" s="117" t="str">
        <x:v>Lead_Check_for_existing_Account_Account_Name</x:v>
      </x:c>
      <x:c r="C33" s="117" t="str">
        <x:v>Yes</x:v>
      </x:c>
      <x:c r="D33" s="119" t="str">
        <x:v>Active v2 (Retrieved XML)</x:v>
      </x:c>
      <x:c r="E33" s="117" t="str">
        <x:v>Account</x:v>
      </x:c>
      <x:c r="F33" s="119" t="str">
        <x:v>Read, Reference</x:v>
      </x:c>
      <x:c r="G33" s="117" t="str">
        <x:v>No</x:v>
      </x:c>
      <x:c r="H33" s="117" t="str">
        <x:v>AutoLaunchedFlow</x:v>
      </x:c>
    </x:row>
    <x:row r="34" ht="30" customHeight="1">
      <x:c r="A34" s="117" t="str">
        <x:v>300Ro00000cwVggIAE</x:v>
      </x:c>
      <x:c r="B34" s="117" t="str">
        <x:v>Mobile_Create_Work_Order_From_Account</x:v>
      </x:c>
      <x:c r="C34" s="117" t="str">
        <x:v>Yes</x:v>
      </x:c>
      <x:c r="D34" s="119" t="str">
        <x:v>Active v1 (Retrieved XML)</x:v>
      </x:c>
      <x:c r="E34" s="117" t="str">
        <x:v>Account</x:v>
      </x:c>
      <x:c r="F34" s="119" t="str">
        <x:v>Read, Reference, Variable</x:v>
      </x:c>
      <x:c r="G34" s="117" t="str">
        <x:v>No</x:v>
      </x:c>
      <x:c r="H34" s="117" t="str">
        <x:v>FieldServiceMobile</x:v>
      </x:c>
    </x:row>
    <x:row r="35" ht="30" customHeight="1">
      <x:c r="A35" s="117" t="str">
        <x:v>300Ro00000RkPiDIAV</x:v>
      </x:c>
      <x:c r="B35" s="117" t="str">
        <x:v>MP_Test</x:v>
      </x:c>
      <x:c r="C35" s="117" t="str">
        <x:v>No</x:v>
      </x:c>
      <x:c r="D35" s="119" t="str">
        <x:v>Latest inactive v7 (Retrieved XML)</x:v>
      </x:c>
      <x:c r="E35" s="117" t="str">
        <x:v>Account</x:v>
      </x:c>
      <x:c r="F35" s="119" t="str">
        <x:v>Read, Reference</x:v>
      </x:c>
      <x:c r="G35" s="117" t="str">
        <x:v>No</x:v>
      </x:c>
      <x:c r="H35" s="117" t="str">
        <x:v>AutoLaunchedFlow</x:v>
      </x:c>
    </x:row>
    <x:row r="36" ht="30" customHeight="1">
      <x:c r="A36" s="117" t="str">
        <x:v>3005b000000H3eJAAS</x:v>
      </x:c>
      <x:c r="B36" s="117" t="str">
        <x:v>New_Parts_Opportunity_From_Work_Orker</x:v>
      </x:c>
      <x:c r="C36" s="117" t="str">
        <x:v>Yes</x:v>
      </x:c>
      <x:c r="D36" s="119" t="str">
        <x:v>Active v62 (Retrieved XML)</x:v>
      </x:c>
      <x:c r="E36" s="117" t="str">
        <x:v>Account</x:v>
      </x:c>
      <x:c r="F36" s="119" t="str">
        <x:v>Read, Reference</x:v>
      </x:c>
      <x:c r="G36" s="117" t="str">
        <x:v>No</x:v>
      </x:c>
      <x:c r="H36" s="117" t="str">
        <x:v>Flow</x:v>
      </x:c>
    </x:row>
    <x:row r="37" ht="30" customHeight="1">
      <x:c r="A37" s="117" t="str">
        <x:v>3005b000000H1eMAAS</x:v>
      </x:c>
      <x:c r="B37" s="117" t="str">
        <x:v>Opportunity_Create_Warranty_Service_Contract</x:v>
      </x:c>
      <x:c r="C37" s="117" t="str">
        <x:v>Yes</x:v>
      </x:c>
      <x:c r="D37" s="119" t="str">
        <x:v>Active v16 (Retrieved XML)</x:v>
      </x:c>
      <x:c r="E37" s="117" t="str">
        <x:v>Account</x:v>
      </x:c>
      <x:c r="F37" s="119" t="str">
        <x:v>Reference, Update</x:v>
      </x:c>
      <x:c r="G37" s="117" t="str">
        <x:v>No</x:v>
      </x:c>
      <x:c r="H37" s="117" t="str">
        <x:v>AutoLaunchedFlow</x:v>
      </x:c>
    </x:row>
    <x:row r="38" ht="30" customHeight="1">
      <x:c r="A38" s="117" t="str">
        <x:v>300Ro000007doaYIAQ</x:v>
      </x:c>
      <x:c r="B38" s="117" t="str">
        <x:v>Opportunity_Rollups</x:v>
      </x:c>
      <x:c r="C38" s="117" t="str">
        <x:v>No</x:v>
      </x:c>
      <x:c r="D38" s="119" t="str">
        <x:v>Latest inactive v1 (Retrieved XML)</x:v>
      </x:c>
      <x:c r="E38" s="117" t="str">
        <x:v>Account</x:v>
      </x:c>
      <x:c r="F38" s="119" t="str">
        <x:v>Variable</x:v>
      </x:c>
      <x:c r="G38" s="117" t="str">
        <x:v>No</x:v>
      </x:c>
      <x:c r="H38" s="117" t="str">
        <x:v>AutoLaunchedFlow</x:v>
      </x:c>
    </x:row>
    <x:row r="39" ht="30" customHeight="1">
      <x:c r="A39" s="117" t="str">
        <x:v>300Ro00000WbzIHIAZ</x:v>
      </x:c>
      <x:c r="B39" s="117" t="str">
        <x:v>Platform_Record_Triggered_Update_Intacct_Sync_Status</x:v>
      </x:c>
      <x:c r="C39" s="117" t="str">
        <x:v>No</x:v>
      </x:c>
      <x:c r="D39" s="119" t="str">
        <x:v>Latest inactive v2 (Retrieved XML)</x:v>
      </x:c>
      <x:c r="E39" s="117" t="str">
        <x:v>Account</x:v>
      </x:c>
      <x:c r="F39" s="119" t="str">
        <x:v>Read, Reference, Update</x:v>
      </x:c>
      <x:c r="G39" s="117" t="str">
        <x:v>No</x:v>
      </x:c>
      <x:c r="H39" s="117" t="str">
        <x:v>AutoLaunchedFlow</x:v>
      </x:c>
    </x:row>
    <x:row r="40" ht="30" customHeight="1">
      <x:c r="A40" s="117" t="str">
        <x:v>300Ro00000d8DPqIAM</x:v>
      </x:c>
      <x:c r="B40" s="117" t="str">
        <x:v>Record_Triggered_Account_Prevent_Intacct_Sync_Status_Change</x:v>
      </x:c>
      <x:c r="C40" s="117" t="str">
        <x:v>No</x:v>
      </x:c>
      <x:c r="D40" s="119" t="str">
        <x:v>Latest inactive v1 (Retrieved XML)</x:v>
      </x:c>
      <x:c r="E40" s="117" t="str">
        <x:v>Account</x:v>
      </x:c>
      <x:c r="F40" s="119" t="str">
        <x:v>Reference, Trigger</x:v>
      </x:c>
      <x:c r="G40" s="117" t="str">
        <x:v>Yes</x:v>
      </x:c>
      <x:c r="H40" s="117" t="str">
        <x:v>AutoLaunchedFlow</x:v>
      </x:c>
    </x:row>
    <x:row r="41" ht="30" customHeight="1">
      <x:c r="A41" s="117" t="str">
        <x:v>300Ro00000WbzIIIAZ</x:v>
      </x:c>
      <x:c r="B41" s="117" t="str">
        <x:v>Record_Triggered_Account_Update_Intacct_Customer_Sync_Status</x:v>
      </x:c>
      <x:c r="C41" s="117" t="str">
        <x:v>No</x:v>
      </x:c>
      <x:c r="D41" s="119" t="str">
        <x:v>Latest inactive v1 (Retrieved XML)</x:v>
      </x:c>
      <x:c r="E41" s="117" t="str">
        <x:v>Account</x:v>
      </x:c>
      <x:c r="F41" s="119" t="str">
        <x:v>Reference, Trigger</x:v>
      </x:c>
      <x:c r="G41" s="117" t="str">
        <x:v>Yes</x:v>
      </x:c>
      <x:c r="H41" s="117" t="str">
        <x:v>AutoLaunchedFlow</x:v>
      </x:c>
    </x:row>
    <x:row r="42" ht="30" customHeight="1">
      <x:c r="A42" s="117" t="str">
        <x:v>300Ro00000d8DPrIAM</x:v>
      </x:c>
      <x:c r="B42" s="117" t="str">
        <x:v>Record_Triggered_Account_Update_Intacct_Sync_Status</x:v>
      </x:c>
      <x:c r="C42" s="117" t="str">
        <x:v>No</x:v>
      </x:c>
      <x:c r="D42" s="119" t="str">
        <x:v>Latest inactive v4 (Retrieved XML)</x:v>
      </x:c>
      <x:c r="E42" s="117" t="str">
        <x:v>Account</x:v>
      </x:c>
      <x:c r="F42" s="119" t="str">
        <x:v>Reference, Trigger, Update</x:v>
      </x:c>
      <x:c r="G42" s="117" t="str">
        <x:v>Yes</x:v>
      </x:c>
      <x:c r="H42" s="117" t="str">
        <x:v>AutoLaunchedFlow</x:v>
      </x:c>
    </x:row>
    <x:row r="43" ht="30" customHeight="1">
      <x:c r="A43" s="117" t="str">
        <x:v>300Ro00000dKR41IAG</x:v>
      </x:c>
      <x:c r="B43" s="117" t="str">
        <x:v>Record_Triggered_After_Account_Prevent_Intact_Sync_Status_Change</x:v>
      </x:c>
      <x:c r="C43" s="117" t="str">
        <x:v>Yes</x:v>
      </x:c>
      <x:c r="D43" s="119" t="str">
        <x:v>Active v4 (Retrieved XML)</x:v>
      </x:c>
      <x:c r="E43" s="117" t="str">
        <x:v>Account</x:v>
      </x:c>
      <x:c r="F43" s="119" t="str">
        <x:v>Reference, Trigger, Update</x:v>
      </x:c>
      <x:c r="G43" s="117" t="str">
        <x:v>Yes</x:v>
      </x:c>
      <x:c r="H43" s="117" t="str">
        <x:v>AutoLaunchedFlow</x:v>
      </x:c>
    </x:row>
    <x:row r="44" ht="30" customHeight="1">
      <x:c r="A44" s="117" t="str">
        <x:v>300Ro00000SjMhAIAV</x:v>
      </x:c>
      <x:c r="B44" s="117" t="str">
        <x:v>RMA_Automations</x:v>
      </x:c>
      <x:c r="C44" s="117" t="str">
        <x:v>Yes</x:v>
      </x:c>
      <x:c r="D44" s="119" t="str">
        <x:v>Active v20 (Retrieved XML)</x:v>
      </x:c>
      <x:c r="E44" s="117" t="str">
        <x:v>Account</x:v>
      </x:c>
      <x:c r="F44" s="119" t="str">
        <x:v>Read, Reference</x:v>
      </x:c>
      <x:c r="G44" s="117" t="str">
        <x:v>No</x:v>
      </x:c>
      <x:c r="H44" s="117" t="str">
        <x:v>AutoLaunchedFlow</x:v>
      </x:c>
    </x:row>
    <x:row r="45" ht="30" customHeight="1">
      <x:c r="A45" s="117" t="str">
        <x:v>300Ro00000wE1KhIAK</x:v>
      </x:c>
      <x:c r="B45" s="117" t="str">
        <x:v>Service_Contract_Create_Contract_Line_Item_Screen_Flow</x:v>
      </x:c>
      <x:c r="C45" s="117" t="str">
        <x:v>Yes</x:v>
      </x:c>
      <x:c r="D45" s="119" t="str">
        <x:v>Active v4 (Retrieved XML)</x:v>
      </x:c>
      <x:c r="E45" s="117" t="str">
        <x:v>Account</x:v>
      </x:c>
      <x:c r="F45" s="119" t="str">
        <x:v>Read, Reference</x:v>
      </x:c>
      <x:c r="G45" s="117" t="str">
        <x:v>No</x:v>
      </x:c>
      <x:c r="H45" s="117" t="str">
        <x:v>Flow</x:v>
      </x:c>
    </x:row>
    <x:row r="46" ht="30" customHeight="1">
      <x:c r="A46" s="117" t="str">
        <x:v>300Ro00000wDQ8DIAW</x:v>
      </x:c>
      <x:c r="B46" s="117" t="str">
        <x:v>Service_Contract_Create_Contract_Line_Items_Screen_Flow</x:v>
      </x:c>
      <x:c r="C46" s="117" t="str">
        <x:v>No</x:v>
      </x:c>
      <x:c r="D46" s="119" t="str">
        <x:v>Latest inactive v1 (Retrieved XML)</x:v>
      </x:c>
      <x:c r="E46" s="117" t="str">
        <x:v>Account</x:v>
      </x:c>
      <x:c r="F46" s="119" t="str">
        <x:v>Read, Reference</x:v>
      </x:c>
      <x:c r="G46" s="117" t="str">
        <x:v>No</x:v>
      </x:c>
      <x:c r="H46" s="117" t="str">
        <x:v>Flow</x:v>
      </x:c>
    </x:row>
    <x:row r="47" ht="30" customHeight="1">
      <x:c r="A47" s="117" t="str">
        <x:v>3005b000000H2LpAAK</x:v>
      </x:c>
      <x:c r="B47" s="117" t="str">
        <x:v>Set_Primary_Contact</x:v>
      </x:c>
      <x:c r="C47" s="117" t="str">
        <x:v>No</x:v>
      </x:c>
      <x:c r="D47" s="119" t="str">
        <x:v>Latest inactive v5 (Retrieved XML)</x:v>
      </x:c>
      <x:c r="E47" s="117" t="str">
        <x:v>Account</x:v>
      </x:c>
      <x:c r="F47" s="119" t="str">
        <x:v>Reference, Trigger</x:v>
      </x:c>
      <x:c r="G47" s="117" t="str">
        <x:v>Yes</x:v>
      </x:c>
      <x:c r="H47" s="117" t="str">
        <x:v>AutoLaunchedFlow</x:v>
      </x:c>
    </x:row>
    <x:row r="48" ht="30" customHeight="1">
      <x:c r="A48" s="117" t="str">
        <x:v>3005b00000113hUAAQ</x:v>
      </x:c>
      <x:c r="B48" s="117" t="str">
        <x:v>Submit_ASL_Vendor_Approval</x:v>
      </x:c>
      <x:c r="C48" s="117" t="str">
        <x:v>Yes</x:v>
      </x:c>
      <x:c r="D48" s="119" t="str">
        <x:v>Active v1 (Retrieved XML)</x:v>
      </x:c>
      <x:c r="E48" s="117" t="str">
        <x:v>Account</x:v>
      </x:c>
      <x:c r="F48" s="119" t="str">
        <x:v>Read, Reference</x:v>
      </x:c>
      <x:c r="G48" s="117" t="str">
        <x:v>No</x:v>
      </x:c>
      <x:c r="H48" s="117" t="str">
        <x:v>Flow</x:v>
      </x:c>
    </x:row>
    <x:row r="49" ht="30" customHeight="1">
      <x:c r="A49" s="117" t="str">
        <x:v>3004O000000HGXlQAO</x:v>
      </x:c>
      <x:c r="B49" s="117" t="str">
        <x:v>Submit_for_Approval</x:v>
      </x:c>
      <x:c r="C49" s="117" t="str">
        <x:v>No</x:v>
      </x:c>
      <x:c r="D49" s="119" t="str">
        <x:v>Latest inactive v1 (Retrieved XML)</x:v>
      </x:c>
      <x:c r="E49" s="117" t="str">
        <x:v>Account</x:v>
      </x:c>
      <x:c r="F49" s="119" t="str">
        <x:v>Variable</x:v>
      </x:c>
      <x:c r="G49" s="117" t="str">
        <x:v>No</x:v>
      </x:c>
      <x:c r="H49" s="117" t="str">
        <x:v>Workflow</x:v>
      </x:c>
    </x:row>
    <x:row r="50" ht="30" customHeight="1">
      <x:c r="A50" s="117" t="str">
        <x:v>300Ro00000Pz0kzIAB</x:v>
      </x:c>
      <x:c r="B50" s="117" t="str">
        <x:v>Update_comments</x:v>
      </x:c>
      <x:c r="C50" s="117" t="str">
        <x:v>Yes</x:v>
      </x:c>
      <x:c r="D50" s="119" t="str">
        <x:v>Active v192 (Tooling metadata)</x:v>
      </x:c>
      <x:c r="E50" s="117" t="str">
        <x:v>Account</x:v>
      </x:c>
      <x:c r="F50" s="119" t="str">
        <x:v>Read, Reference, Variable</x:v>
      </x:c>
      <x:c r="G50" s="117" t="str">
        <x:v>No</x:v>
      </x:c>
      <x:c r="H50" s="117" t="str">
        <x:v>FieldServiceMobile</x:v>
      </x:c>
    </x:row>
    <x:row r="51" ht="30" customHeight="1">
      <x:c r="A51" s="117" t="str">
        <x:v>3000B000000kEJ5QAM</x:v>
      </x:c>
      <x:c r="B51" s="117" t="str">
        <x:v>Update_Last_Business_Activity</x:v>
      </x:c>
      <x:c r="C51" s="117" t="str">
        <x:v>No</x:v>
      </x:c>
      <x:c r="D51" s="119" t="str">
        <x:v>Latest inactive v4 (Retrieved XML)</x:v>
      </x:c>
      <x:c r="E51" s="117" t="str">
        <x:v>Account</x:v>
      </x:c>
      <x:c r="F51" s="119" t="str">
        <x:v>Reference, Update</x:v>
      </x:c>
      <x:c r="G51" s="117" t="str">
        <x:v>No</x:v>
      </x:c>
      <x:c r="H51" s="117" t="str">
        <x:v>Workflow</x:v>
      </x:c>
    </x:row>
    <x:row r="52" ht="30" customHeight="1">
      <x:c r="A52" s="117" t="str">
        <x:v>3000B000000kEJFQA2</x:v>
      </x:c>
      <x:c r="B52" s="117" t="str">
        <x:v>Update_Last_Business_Review</x:v>
      </x:c>
      <x:c r="C52" s="117" t="str">
        <x:v>No</x:v>
      </x:c>
      <x:c r="D52" s="119" t="str">
        <x:v>Latest inactive v1 (Retrieved XML)</x:v>
      </x:c>
      <x:c r="E52" s="117" t="str">
        <x:v>Account</x:v>
      </x:c>
      <x:c r="F52" s="119" t="str">
        <x:v>Reference, Update</x:v>
      </x:c>
      <x:c r="G52" s="117" t="str">
        <x:v>No</x:v>
      </x:c>
      <x:c r="H52" s="117" t="str">
        <x:v>Workflow</x:v>
      </x:c>
    </x:row>
    <x:row r="53" ht="30" customHeight="1">
      <x:c r="A53" s="117" t="str">
        <x:v>3005b000000Pz8JAAS</x:v>
      </x:c>
      <x:c r="B53" s="117" t="str">
        <x:v>Update_Opportunity_With_Lead_Gen_Info</x:v>
      </x:c>
      <x:c r="C53" s="117" t="str">
        <x:v>Yes</x:v>
      </x:c>
      <x:c r="D53" s="119" t="str">
        <x:v>Active v6 (Retrieved XML)</x:v>
      </x:c>
      <x:c r="E53" s="117" t="str">
        <x:v>Account</x:v>
      </x:c>
      <x:c r="F53" s="119" t="str">
        <x:v>Read, Reference, Update</x:v>
      </x:c>
      <x:c r="G53" s="117" t="str">
        <x:v>No</x:v>
      </x:c>
      <x:c r="H53" s="117" t="str">
        <x:v>AutoLaunchedFlow</x:v>
      </x:c>
    </x:row>
    <x:row r="54" ht="30" customHeight="1">
      <x:c r="A54" s="117" t="str">
        <x:v>3004O0000000a7AQAQ</x:v>
      </x:c>
      <x:c r="B54" s="117" t="str">
        <x:v>Venn_Outbound_Message_New_Account</x:v>
      </x:c>
      <x:c r="C54" s="117" t="str">
        <x:v>No</x:v>
      </x:c>
      <x:c r="D54" s="119" t="str">
        <x:v>Latest inactive v1 (Retrieved XML)</x:v>
      </x:c>
      <x:c r="E54" s="117" t="str">
        <x:v>Account</x:v>
      </x:c>
      <x:c r="F54" s="119" t="str">
        <x:v>Variable</x:v>
      </x:c>
      <x:c r="G54" s="117" t="str">
        <x:v>No</x:v>
      </x:c>
      <x:c r="H54" s="117" t="str">
        <x:v>Workflow</x:v>
      </x:c>
    </x:row>
    <x:row r="55" ht="30" customHeight="1">
      <x:c r="A55" s="117" t="str">
        <x:v>300Ro00000lZu2lIAC</x:v>
      </x:c>
      <x:c r="B55" s="117" t="str">
        <x:v>Work_Order_install_Subflow</x:v>
      </x:c>
      <x:c r="C55" s="117" t="str">
        <x:v>Yes</x:v>
      </x:c>
      <x:c r="D55" s="119" t="str">
        <x:v>Active v12 (Retrieved XML)</x:v>
      </x:c>
      <x:c r="E55" s="117" t="str">
        <x:v>Account</x:v>
      </x:c>
      <x:c r="F55" s="119" t="str">
        <x:v>Variable</x:v>
      </x:c>
      <x:c r="G55" s="117" t="str">
        <x:v>No</x:v>
      </x:c>
      <x:c r="H55" s="117" t="str">
        <x:v>Flow</x:v>
      </x:c>
    </x:row>
    <x:row r="56" ht="30" customHeight="1">
      <x:c r="A56" s="117" t="str">
        <x:v>300Ro00000tZphfIAC</x:v>
      </x:c>
      <x:c r="B56" s="117" t="str">
        <x:v>DRP_Create_Project_Charge_Line_Item</x:v>
      </x:c>
      <x:c r="C56" s="117" t="str">
        <x:v>Yes</x:v>
      </x:c>
      <x:c r="D56" s="119" t="str">
        <x:v>Active v3 (Retrieved XML)</x:v>
      </x:c>
      <x:c r="E56" s="117" t="str">
        <x:v>Activity_Product_Mapping__mdt</x:v>
      </x:c>
      <x:c r="F56" s="119" t="str">
        <x:v>Read, Reference</x:v>
      </x:c>
      <x:c r="G56" s="117" t="str">
        <x:v>No</x:v>
      </x:c>
      <x:c r="H56" s="117" t="str">
        <x:v>Flow</x:v>
      </x:c>
    </x:row>
    <x:row r="57" ht="30" customHeight="1">
      <x:c r="A57" s="117" t="str">
        <x:v>300Ro00000mouhpIAA</x:v>
      </x:c>
      <x:c r="B57" s="117" t="str">
        <x:v>FSL_Action_Quick_Quote_2</x:v>
      </x:c>
      <x:c r="C57" s="117" t="str">
        <x:v>Yes</x:v>
      </x:c>
      <x:c r="D57" s="119" t="str">
        <x:v>Active v54 (Retrieved XML)</x:v>
      </x:c>
      <x:c r="E57" s="117" t="str">
        <x:v>Address</x:v>
      </x:c>
      <x:c r="F57" s="119" t="str">
        <x:v>Choice Read, Read, Reference, Variable</x:v>
      </x:c>
      <x:c r="G57" s="117" t="str">
        <x:v>No</x:v>
      </x:c>
      <x:c r="H57" s="117" t="str">
        <x:v>FieldServiceMobile</x:v>
      </x:c>
    </x:row>
    <x:row r="58" ht="30" customHeight="1">
      <x:c r="A58" s="117" t="str">
        <x:v>300Ro00000cnT4cIAE</x:v>
      </x:c>
      <x:c r="B58" s="117" t="str">
        <x:v>FSL_Screen_Request_Parts_on_WO</x:v>
      </x:c>
      <x:c r="C58" s="117" t="str">
        <x:v>Yes</x:v>
      </x:c>
      <x:c r="D58" s="119" t="str">
        <x:v>Active v137 (Retrieved XML)</x:v>
      </x:c>
      <x:c r="E58" s="117" t="str">
        <x:v>Address</x:v>
      </x:c>
      <x:c r="F58" s="119" t="str">
        <x:v>Choice Read, Read, Reference, Variable</x:v>
      </x:c>
      <x:c r="G58" s="117" t="str">
        <x:v>No</x:v>
      </x:c>
      <x:c r="H58" s="117" t="str">
        <x:v>FieldServiceMobile</x:v>
      </x:c>
    </x:row>
    <x:row r="59" ht="30" customHeight="1">
      <x:c r="A59" s="117" t="str">
        <x:v>300Ro00000GpZybIAF</x:v>
      </x:c>
      <x:c r="B59" s="117" t="str">
        <x:v>Record_Triggered_After_Address_Update_Related_Lookups</x:v>
      </x:c>
      <x:c r="C59" s="117" t="str">
        <x:v>Yes</x:v>
      </x:c>
      <x:c r="D59" s="119" t="str">
        <x:v>Active v3 (Retrieved XML)</x:v>
      </x:c>
      <x:c r="E59" s="117" t="str">
        <x:v>Address</x:v>
      </x:c>
      <x:c r="F59" s="119" t="str">
        <x:v>Reference, Trigger, Update</x:v>
      </x:c>
      <x:c r="G59" s="117" t="str">
        <x:v>Yes</x:v>
      </x:c>
      <x:c r="H59" s="117" t="str">
        <x:v>AutoLaunchedFlow</x:v>
      </x:c>
    </x:row>
    <x:row r="60" ht="30" customHeight="1">
      <x:c r="A60" s="117" t="str">
        <x:v>300Ro00000XmLK7IAN</x:v>
      </x:c>
      <x:c r="B60" s="117" t="str">
        <x:v>Screen_Flow_Convert_TSLJ_to_Location_Address</x:v>
      </x:c>
      <x:c r="C60" s="117" t="str">
        <x:v>Yes</x:v>
      </x:c>
      <x:c r="D60" s="119" t="str">
        <x:v>Active v2 (Retrieved XML)</x:v>
      </x:c>
      <x:c r="E60" s="117" t="str">
        <x:v>Address</x:v>
      </x:c>
      <x:c r="F60" s="119" t="str">
        <x:v>Create, Read, Reference</x:v>
      </x:c>
      <x:c r="G60" s="117" t="str">
        <x:v>No</x:v>
      </x:c>
      <x:c r="H60" s="117" t="str">
        <x:v>Flow</x:v>
      </x:c>
    </x:row>
    <x:row r="61" ht="30" customHeight="1">
      <x:c r="A61" s="117" t="str">
        <x:v>300Ro00000GpZycIAF</x:v>
      </x:c>
      <x:c r="B61" s="117" t="str">
        <x:v>Screen_Flow_Update_Shipping_FIelds</x:v>
      </x:c>
      <x:c r="C61" s="117" t="str">
        <x:v>Yes</x:v>
      </x:c>
      <x:c r="D61" s="119" t="str">
        <x:v>Active v2 (Retrieved XML)</x:v>
      </x:c>
      <x:c r="E61" s="117" t="str">
        <x:v>Address</x:v>
      </x:c>
      <x:c r="F61" s="119" t="str">
        <x:v>Read, Reference, Variable</x:v>
      </x:c>
      <x:c r="G61" s="117" t="str">
        <x:v>No</x:v>
      </x:c>
      <x:c r="H61" s="117" t="str">
        <x:v>Flow</x:v>
      </x:c>
    </x:row>
    <x:row r="62" ht="30" customHeight="1">
      <x:c r="A62" s="117" t="str">
        <x:v>300Ro00000uYiHvIAK</x:v>
      </x:c>
      <x:c r="B62" s="117" t="str">
        <x:v>US_FSL_Trophon_Checklist</x:v>
      </x:c>
      <x:c r="C62" s="117" t="str">
        <x:v>Yes</x:v>
      </x:c>
      <x:c r="D62" s="119" t="str">
        <x:v>Active v8 (Retrieved XML)</x:v>
      </x:c>
      <x:c r="E62" s="117" t="str">
        <x:v>Address</x:v>
      </x:c>
      <x:c r="F62" s="119" t="str">
        <x:v>Variable</x:v>
      </x:c>
      <x:c r="G62" s="117" t="str">
        <x:v>No</x:v>
      </x:c>
      <x:c r="H62" s="117" t="str">
        <x:v>FieldServiceMobile</x:v>
      </x:c>
    </x:row>
    <x:row r="63" ht="30" customHeight="1">
      <x:c r="A63" s="117" t="str">
        <x:v>300Ro00000noVpCIAU</x:v>
      </x:c>
      <x:c r="B63" s="117" t="str">
        <x:v>US_FSL_Ultrasound_Checklist</x:v>
      </x:c>
      <x:c r="C63" s="117" t="str">
        <x:v>Yes</x:v>
      </x:c>
      <x:c r="D63" s="119" t="str">
        <x:v>Active v78 (Retrieved XML)</x:v>
      </x:c>
      <x:c r="E63" s="117" t="str">
        <x:v>Address</x:v>
      </x:c>
      <x:c r="F63" s="119" t="str">
        <x:v>Variable</x:v>
      </x:c>
      <x:c r="G63" s="117" t="str">
        <x:v>No</x:v>
      </x:c>
      <x:c r="H63" s="117" t="str">
        <x:v>FieldServiceMobile</x:v>
      </x:c>
    </x:row>
    <x:row r="64" ht="30" customHeight="1">
      <x:c r="A64" s="117" t="str">
        <x:v>300Ro00000Pz0l0IAB</x:v>
      </x:c>
      <x:c r="B64" s="117" t="str">
        <x:v>Work_Step_Manager</x:v>
      </x:c>
      <x:c r="C64" s="117" t="str">
        <x:v>Yes</x:v>
      </x:c>
      <x:c r="D64" s="119" t="str">
        <x:v>Active v18 (Retrieved XML)</x:v>
      </x:c>
      <x:c r="E64" s="117" t="str">
        <x:v>Address</x:v>
      </x:c>
      <x:c r="F64" s="119" t="str">
        <x:v>Variable</x:v>
      </x:c>
      <x:c r="G64" s="117" t="str">
        <x:v>No</x:v>
      </x:c>
      <x:c r="H64" s="117" t="str">
        <x:v>FieldServiceMobile</x:v>
      </x:c>
    </x:row>
    <x:row r="65" ht="30" customHeight="1">
      <x:c r="A65" s="117" t="str">
        <x:v>300Ro00000cwVgfIAE</x:v>
      </x:c>
      <x:c r="B65" s="117" t="str">
        <x:v>Autolaunched_Create_Service_or_Sales_Asset</x:v>
      </x:c>
      <x:c r="C65" s="117" t="str">
        <x:v>No</x:v>
      </x:c>
      <x:c r="D65" s="119" t="str">
        <x:v>Latest inactive v1 (Retrieved XML)</x:v>
      </x:c>
      <x:c r="E65" s="117" t="str">
        <x:v>Asset</x:v>
      </x:c>
      <x:c r="F65" s="119" t="str">
        <x:v>Create, Read, Reference</x:v>
      </x:c>
      <x:c r="G65" s="117" t="str">
        <x:v>No</x:v>
      </x:c>
      <x:c r="H65" s="117" t="str">
        <x:v>AutoLaunchedFlow</x:v>
      </x:c>
    </x:row>
    <x:row r="66" ht="30" customHeight="1">
      <x:c r="A66" s="117" t="str">
        <x:v>300Ro00000kseeBIAQ</x:v>
      </x:c>
      <x:c r="B66" s="117" t="str">
        <x:v>Create_Field_Service_Work_Order_in_Salesforce</x:v>
      </x:c>
      <x:c r="C66" s="117" t="str">
        <x:v>Yes</x:v>
      </x:c>
      <x:c r="D66" s="119" t="str">
        <x:v>Active v9 (Retrieved XML)</x:v>
      </x:c>
      <x:c r="E66" s="117" t="str">
        <x:v>Asset</x:v>
      </x:c>
      <x:c r="F66" s="119" t="str">
        <x:v>Read, Reference, Variable</x:v>
      </x:c>
      <x:c r="G66" s="117" t="str">
        <x:v>No</x:v>
      </x:c>
      <x:c r="H66" s="117" t="str">
        <x:v>Flow</x:v>
      </x:c>
    </x:row>
    <x:row r="67" ht="30" customHeight="1">
      <x:c r="A67" s="117" t="str">
        <x:v>300jR000000BuwaQAC</x:v>
      </x:c>
      <x:c r="B67" s="117" t="str">
        <x:v>Create_FSL_Work_Order_on_SF_Objects</x:v>
      </x:c>
      <x:c r="C67" s="117" t="str">
        <x:v>Yes</x:v>
      </x:c>
      <x:c r="D67" s="119" t="str">
        <x:v>Active v7 (Retrieved XML)</x:v>
      </x:c>
      <x:c r="E67" s="117" t="str">
        <x:v>Asset</x:v>
      </x:c>
      <x:c r="F67" s="119" t="str">
        <x:v>Read, Reference</x:v>
      </x:c>
      <x:c r="G67" s="117" t="str">
        <x:v>No</x:v>
      </x:c>
      <x:c r="H67" s="117" t="str">
        <x:v>Flow</x:v>
      </x:c>
    </x:row>
    <x:row r="68" ht="30" customHeight="1">
      <x:c r="A68" s="117" t="str">
        <x:v>300Ro00000cwVgjIAE</x:v>
      </x:c>
      <x:c r="B68" s="117" t="str">
        <x:v>Create_US_FSL_Work_Order_From_Service_Asset</x:v>
      </x:c>
      <x:c r="C68" s="117" t="str">
        <x:v>Yes</x:v>
      </x:c>
      <x:c r="D68" s="119" t="str">
        <x:v>Active v1 (Retrieved XML)</x:v>
      </x:c>
      <x:c r="E68" s="117" t="str">
        <x:v>Asset</x:v>
      </x:c>
      <x:c r="F68" s="119" t="str">
        <x:v>Read, Reference</x:v>
      </x:c>
      <x:c r="G68" s="117" t="str">
        <x:v>No</x:v>
      </x:c>
      <x:c r="H68" s="117" t="str">
        <x:v>Flow</x:v>
      </x:c>
    </x:row>
    <x:row r="69" ht="30" customHeight="1">
      <x:c r="A69" s="117" t="str">
        <x:v>300Ro0000143LOUIA2</x:v>
      </x:c>
      <x:c r="B69" s="117" t="str">
        <x:v>Create_Work_Order_from_Service_Asset</x:v>
      </x:c>
      <x:c r="C69" s="117" t="str">
        <x:v>Yes</x:v>
      </x:c>
      <x:c r="D69" s="119" t="str">
        <x:v>Active v7 (Retrieved XML)</x:v>
      </x:c>
      <x:c r="E69" s="117" t="str">
        <x:v>Asset</x:v>
      </x:c>
      <x:c r="F69" s="119" t="str">
        <x:v>Read, Reference</x:v>
      </x:c>
      <x:c r="G69" s="117" t="str">
        <x:v>No</x:v>
      </x:c>
      <x:c r="H69" s="117" t="str">
        <x:v>Flow</x:v>
      </x:c>
    </x:row>
    <x:row r="70" ht="30" customHeight="1">
      <x:c r="A70" s="117" t="str">
        <x:v>300Ro00000mouhpIAA</x:v>
      </x:c>
      <x:c r="B70" s="117" t="str">
        <x:v>FSL_Action_Quick_Quote_2</x:v>
      </x:c>
      <x:c r="C70" s="117" t="str">
        <x:v>Yes</x:v>
      </x:c>
      <x:c r="D70" s="119" t="str">
        <x:v>Active v54 (Retrieved XML)</x:v>
      </x:c>
      <x:c r="E70" s="117" t="str">
        <x:v>Asset</x:v>
      </x:c>
      <x:c r="F70" s="119" t="str">
        <x:v>Read, Reference, Variable</x:v>
      </x:c>
      <x:c r="G70" s="117" t="str">
        <x:v>No</x:v>
      </x:c>
      <x:c r="H70" s="117" t="str">
        <x:v>FieldServiceMobile</x:v>
      </x:c>
    </x:row>
    <x:row r="71" ht="30" customHeight="1">
      <x:c r="A71" s="117" t="str">
        <x:v>300Ro00000ydLuvIAE</x:v>
      </x:c>
      <x:c r="B71" s="117" t="str">
        <x:v>FSL_Close_Out_Service_Appointment_Field_Service_Mobile_Flow</x:v>
      </x:c>
      <x:c r="C71" s="117" t="str">
        <x:v>No</x:v>
      </x:c>
      <x:c r="D71" s="119" t="str">
        <x:v>Latest inactive v4 (Retrieved XML)</x:v>
      </x:c>
      <x:c r="E71" s="117" t="str">
        <x:v>Asset</x:v>
      </x:c>
      <x:c r="F71" s="119" t="str">
        <x:v>Variable</x:v>
      </x:c>
      <x:c r="G71" s="117" t="str">
        <x:v>No</x:v>
      </x:c>
      <x:c r="H71" s="117" t="str">
        <x:v>FieldServiceMobile</x:v>
      </x:c>
    </x:row>
    <x:row r="72" ht="30" customHeight="1">
      <x:c r="A72" s="117" t="str">
        <x:v>300Ro00000pvIVtIAM</x:v>
      </x:c>
      <x:c r="B72" s="117" t="str">
        <x:v>FSL_Mobile_Service_Appointment_Closeout</x:v>
      </x:c>
      <x:c r="C72" s="117" t="str">
        <x:v>Yes</x:v>
      </x:c>
      <x:c r="D72" s="119" t="str">
        <x:v>Active v1 (Retrieved XML)</x:v>
      </x:c>
      <x:c r="E72" s="117" t="str">
        <x:v>Asset</x:v>
      </x:c>
      <x:c r="F72" s="119" t="str">
        <x:v>Create, Read, Reference, Variable</x:v>
      </x:c>
      <x:c r="G72" s="117" t="str">
        <x:v>No</x:v>
      </x:c>
      <x:c r="H72" s="117" t="str">
        <x:v>FieldServiceMobile</x:v>
      </x:c>
    </x:row>
    <x:row r="73" ht="30" customHeight="1">
      <x:c r="A73" s="117" t="str">
        <x:v>300Ro00000cwVgkIAE</x:v>
      </x:c>
      <x:c r="B73" s="117" t="str">
        <x:v>Screen_Flow_Create_New_Service_Asset_From_Work_Order</x:v>
      </x:c>
      <x:c r="C73" s="117" t="str">
        <x:v>Yes</x:v>
      </x:c>
      <x:c r="D73" s="119" t="str">
        <x:v>Active v1 (Retrieved XML)</x:v>
      </x:c>
      <x:c r="E73" s="117" t="str">
        <x:v>Asset</x:v>
      </x:c>
      <x:c r="F73" s="119" t="str">
        <x:v>Create, Reference</x:v>
      </x:c>
      <x:c r="G73" s="117" t="str">
        <x:v>No</x:v>
      </x:c>
      <x:c r="H73" s="117" t="str">
        <x:v>Flow</x:v>
      </x:c>
    </x:row>
    <x:row r="74" ht="30" customHeight="1">
      <x:c r="A74" s="117" t="str">
        <x:v>300Ro00000cwVglIAE</x:v>
      </x:c>
      <x:c r="B74" s="117" t="str">
        <x:v>Screen_Flow_Create_Sales_Asset_from_Service_Asset</x:v>
      </x:c>
      <x:c r="C74" s="117" t="str">
        <x:v>No</x:v>
      </x:c>
      <x:c r="D74" s="119" t="str">
        <x:v>Latest inactive v1 (Retrieved XML)</x:v>
      </x:c>
      <x:c r="E74" s="117" t="str">
        <x:v>Asset</x:v>
      </x:c>
      <x:c r="F74" s="119" t="str">
        <x:v>Read, Reference, Update</x:v>
      </x:c>
      <x:c r="G74" s="117" t="str">
        <x:v>No</x:v>
      </x:c>
      <x:c r="H74" s="117" t="str">
        <x:v>Flow</x:v>
      </x:c>
    </x:row>
    <x:row r="75" ht="30" customHeight="1">
      <x:c r="A75" s="117" t="str">
        <x:v>300Ro00000U7G8UIAV</x:v>
      </x:c>
      <x:c r="B75" s="117" t="str">
        <x:v>Screen_Work_Order_Asset_Contract_Line_Update</x:v>
      </x:c>
      <x:c r="C75" s="117" t="str">
        <x:v>Yes</x:v>
      </x:c>
      <x:c r="D75" s="119" t="str">
        <x:v>Active v1 (Tooling metadata)</x:v>
      </x:c>
      <x:c r="E75" s="117" t="str">
        <x:v>Asset</x:v>
      </x:c>
      <x:c r="F75" s="119" t="str">
        <x:v>Read, Reference, Variable</x:v>
      </x:c>
      <x:c r="G75" s="117" t="str">
        <x:v>No</x:v>
      </x:c>
      <x:c r="H75" s="117" t="str">
        <x:v>Flow</x:v>
      </x:c>
    </x:row>
    <x:row r="76" ht="30" customHeight="1">
      <x:c r="A76" s="117" t="str">
        <x:v>300Ro00000Pz0kzIAB</x:v>
      </x:c>
      <x:c r="B76" s="117" t="str">
        <x:v>Update_comments</x:v>
      </x:c>
      <x:c r="C76" s="117" t="str">
        <x:v>Yes</x:v>
      </x:c>
      <x:c r="D76" s="119" t="str">
        <x:v>Active v192 (Tooling metadata)</x:v>
      </x:c>
      <x:c r="E76" s="117" t="str">
        <x:v>Asset</x:v>
      </x:c>
      <x:c r="F76" s="119" t="str">
        <x:v>Create, Read, Reference, Variable</x:v>
      </x:c>
      <x:c r="G76" s="117" t="str">
        <x:v>No</x:v>
      </x:c>
      <x:c r="H76" s="117" t="str">
        <x:v>FieldServiceMobile</x:v>
      </x:c>
    </x:row>
    <x:row r="77" ht="30" customHeight="1">
      <x:c r="A77" s="117" t="str">
        <x:v>300Ro00000SgtMZIAZ</x:v>
      </x:c>
      <x:c r="B77" s="117" t="str">
        <x:v>Assigned_Resource_Create_OR_Update_Service_Event</x:v>
      </x:c>
      <x:c r="C77" s="117" t="str">
        <x:v>Yes</x:v>
      </x:c>
      <x:c r="D77" s="119" t="str">
        <x:v>Active v6 (Tooling metadata)</x:v>
      </x:c>
      <x:c r="E77" s="117" t="str">
        <x:v>AssignedResource</x:v>
      </x:c>
      <x:c r="F77" s="119" t="str">
        <x:v>Reference, Trigger</x:v>
      </x:c>
      <x:c r="G77" s="117" t="str">
        <x:v>Yes</x:v>
      </x:c>
      <x:c r="H77" s="117" t="str">
        <x:v>AutoLaunchedFlow</x:v>
      </x:c>
    </x:row>
    <x:row r="78" ht="30" customHeight="1">
      <x:c r="A78" s="117" t="str">
        <x:v>300Ro00000SgtMaIAJ</x:v>
      </x:c>
      <x:c r="B78" s="117" t="str">
        <x:v>Assigned_Resource_On_Delete_Find_and_Delete_Related_Event</x:v>
      </x:c>
      <x:c r="C78" s="117" t="str">
        <x:v>Yes</x:v>
      </x:c>
      <x:c r="D78" s="119" t="str">
        <x:v>Active v2 (Retrieved XML)</x:v>
      </x:c>
      <x:c r="E78" s="117" t="str">
        <x:v>AssignedResource</x:v>
      </x:c>
      <x:c r="F78" s="119" t="str">
        <x:v>Reference, Trigger</x:v>
      </x:c>
      <x:c r="G78" s="117" t="str">
        <x:v>Yes</x:v>
      </x:c>
      <x:c r="H78" s="117" t="str">
        <x:v>AutoLaunchedFlow</x:v>
      </x:c>
    </x:row>
    <x:row r="79" ht="30" customHeight="1">
      <x:c r="A79" s="117" t="str">
        <x:v>300Ro00000SgtMbIAJ</x:v>
      </x:c>
      <x:c r="B79" s="117" t="str">
        <x:v>Assigned_Resource_Trigger_Dispatch_Tech_Call</x:v>
      </x:c>
      <x:c r="C79" s="117" t="str">
        <x:v>Yes</x:v>
      </x:c>
      <x:c r="D79" s="119" t="str">
        <x:v>Active v1 (Retrieved XML)</x:v>
      </x:c>
      <x:c r="E79" s="117" t="str">
        <x:v>AssignedResource</x:v>
      </x:c>
      <x:c r="F79" s="119" t="str">
        <x:v>Reference, Trigger, Update</x:v>
      </x:c>
      <x:c r="G79" s="117" t="str">
        <x:v>Yes</x:v>
      </x:c>
      <x:c r="H79" s="117" t="str">
        <x:v>AutoLaunchedFlow</x:v>
      </x:c>
    </x:row>
    <x:row r="80" ht="30" customHeight="1">
      <x:c r="A80" s="117" t="str">
        <x:v>300Ro00000SxTCLIA3</x:v>
      </x:c>
      <x:c r="B80" s="117" t="str">
        <x:v>Assigned_Resource_Trigger_Send_New_Resource_Dispatch_Email</x:v>
      </x:c>
      <x:c r="C80" s="117" t="str">
        <x:v>Yes</x:v>
      </x:c>
      <x:c r="D80" s="119" t="str">
        <x:v>Active v2 (Retrieved XML)</x:v>
      </x:c>
      <x:c r="E80" s="117" t="str">
        <x:v>AssignedResource</x:v>
      </x:c>
      <x:c r="F80" s="119" t="str">
        <x:v>Reference, Trigger</x:v>
      </x:c>
      <x:c r="G80" s="117" t="str">
        <x:v>Yes</x:v>
      </x:c>
      <x:c r="H80" s="117" t="str">
        <x:v>AutoLaunchedFlow</x:v>
      </x:c>
    </x:row>
    <x:row r="81" ht="30" customHeight="1">
      <x:c r="A81" s="117" t="str">
        <x:v>300Ro00000cnT4bIAE</x:v>
      </x:c>
      <x:c r="B81" s="117" t="str">
        <x:v>Create_and_Dispatch_Service_Appointment_from_FSL_App</x:v>
      </x:c>
      <x:c r="C81" s="117" t="str">
        <x:v>Yes</x:v>
      </x:c>
      <x:c r="D81" s="119" t="str">
        <x:v>Active v1 (Retrieved XML)</x:v>
      </x:c>
      <x:c r="E81" s="117" t="str">
        <x:v>AssignedResource</x:v>
      </x:c>
      <x:c r="F81" s="119" t="str">
        <x:v>Create, Reference</x:v>
      </x:c>
      <x:c r="G81" s="117" t="str">
        <x:v>No</x:v>
      </x:c>
      <x:c r="H81" s="117" t="str">
        <x:v>FieldServiceMobile</x:v>
      </x:c>
    </x:row>
    <x:row r="82" ht="30" customHeight="1">
      <x:c r="A82" s="117" t="str">
        <x:v>300Ro00000kseeBIAQ</x:v>
      </x:c>
      <x:c r="B82" s="117" t="str">
        <x:v>Create_Field_Service_Work_Order_in_Salesforce</x:v>
      </x:c>
      <x:c r="C82" s="117" t="str">
        <x:v>Yes</x:v>
      </x:c>
      <x:c r="D82" s="119" t="str">
        <x:v>Active v9 (Retrieved XML)</x:v>
      </x:c>
      <x:c r="E82" s="117" t="str">
        <x:v>AssignedResource</x:v>
      </x:c>
      <x:c r="F82" s="119" t="str">
        <x:v>Create, Reference</x:v>
      </x:c>
      <x:c r="G82" s="117" t="str">
        <x:v>No</x:v>
      </x:c>
      <x:c r="H82" s="117" t="str">
        <x:v>Flow</x:v>
      </x:c>
    </x:row>
    <x:row r="83" ht="30" customHeight="1">
      <x:c r="A83" s="117" t="str">
        <x:v>300jR000000BuwaQAC</x:v>
      </x:c>
      <x:c r="B83" s="117" t="str">
        <x:v>Create_FSL_Work_Order_on_SF_Objects</x:v>
      </x:c>
      <x:c r="C83" s="117" t="str">
        <x:v>Yes</x:v>
      </x:c>
      <x:c r="D83" s="119" t="str">
        <x:v>Active v7 (Retrieved XML)</x:v>
      </x:c>
      <x:c r="E83" s="117" t="str">
        <x:v>AssignedResource</x:v>
      </x:c>
      <x:c r="F83" s="119" t="str">
        <x:v>Create, Reference</x:v>
      </x:c>
      <x:c r="G83" s="117" t="str">
        <x:v>No</x:v>
      </x:c>
      <x:c r="H83" s="117" t="str">
        <x:v>Flow</x:v>
      </x:c>
    </x:row>
    <x:row r="84" ht="30" customHeight="1">
      <x:c r="A84" s="117" t="str">
        <x:v>300Ro00000H90tTIAR</x:v>
      </x:c>
      <x:c r="B84" s="117" t="str">
        <x:v>Create_Service_Calendar_Event_from_Service_Resource_UK</x:v>
      </x:c>
      <x:c r="C84" s="117" t="str">
        <x:v>No</x:v>
      </x:c>
      <x:c r="D84" s="119" t="str">
        <x:v>Latest inactive v13 (Retrieved XML)</x:v>
      </x:c>
      <x:c r="E84" s="117" t="str">
        <x:v>AssignedResource</x:v>
      </x:c>
      <x:c r="F84" s="119" t="str">
        <x:v>Reference, Trigger</x:v>
      </x:c>
      <x:c r="G84" s="117" t="str">
        <x:v>Yes</x:v>
      </x:c>
      <x:c r="H84" s="117" t="str">
        <x:v>AutoLaunchedFlow</x:v>
      </x:c>
    </x:row>
    <x:row r="85" ht="30" customHeight="1">
      <x:c r="A85" s="117" t="str">
        <x:v>300Ro00000ydLuvIAE</x:v>
      </x:c>
      <x:c r="B85" s="117" t="str">
        <x:v>FSL_Close_Out_Service_Appointment_Field_Service_Mobile_Flow</x:v>
      </x:c>
      <x:c r="C85" s="117" t="str">
        <x:v>No</x:v>
      </x:c>
      <x:c r="D85" s="119" t="str">
        <x:v>Latest inactive v4 (Retrieved XML)</x:v>
      </x:c>
      <x:c r="E85" s="117" t="str">
        <x:v>AssignedResource</x:v>
      </x:c>
      <x:c r="F85" s="119" t="str">
        <x:v>Variable</x:v>
      </x:c>
      <x:c r="G85" s="117" t="str">
        <x:v>No</x:v>
      </x:c>
      <x:c r="H85" s="117" t="str">
        <x:v>FieldServiceMobile</x:v>
      </x:c>
    </x:row>
    <x:row r="86" ht="30" customHeight="1">
      <x:c r="A86" s="117" t="str">
        <x:v>300Ro00000cnT4mIAE</x:v>
      </x:c>
      <x:c r="B86" s="117" t="str">
        <x:v>FSL_Mobile_Create_Lead_US</x:v>
      </x:c>
      <x:c r="C86" s="117" t="str">
        <x:v>Yes</x:v>
      </x:c>
      <x:c r="D86" s="119" t="str">
        <x:v>Active v34 (Retrieved XML)</x:v>
      </x:c>
      <x:c r="E86" s="117" t="str">
        <x:v>AssignedResource</x:v>
      </x:c>
      <x:c r="F86" s="119" t="str">
        <x:v>Create, Reference</x:v>
      </x:c>
      <x:c r="G86" s="117" t="str">
        <x:v>No</x:v>
      </x:c>
      <x:c r="H86" s="117" t="str">
        <x:v>FieldServiceMobile</x:v>
      </x:c>
    </x:row>
    <x:row r="87" ht="30" customHeight="1">
      <x:c r="A87" s="117" t="str">
        <x:v>300Ro00000pvIVtIAM</x:v>
      </x:c>
      <x:c r="B87" s="117" t="str">
        <x:v>FSL_Mobile_Service_Appointment_Closeout</x:v>
      </x:c>
      <x:c r="C87" s="117" t="str">
        <x:v>Yes</x:v>
      </x:c>
      <x:c r="D87" s="119" t="str">
        <x:v>Active v1 (Retrieved XML)</x:v>
      </x:c>
      <x:c r="E87" s="117" t="str">
        <x:v>AssignedResource</x:v>
      </x:c>
      <x:c r="F87" s="119" t="str">
        <x:v>Read, Reference, Variable</x:v>
      </x:c>
      <x:c r="G87" s="117" t="str">
        <x:v>No</x:v>
      </x:c>
      <x:c r="H87" s="117" t="str">
        <x:v>FieldServiceMobile</x:v>
      </x:c>
    </x:row>
    <x:row r="88" ht="30" customHeight="1">
      <x:c r="A88" s="117" t="str">
        <x:v>300Ro00000cnT4cIAE</x:v>
      </x:c>
      <x:c r="B88" s="117" t="str">
        <x:v>FSL_Screen_Request_Parts_on_WO</x:v>
      </x:c>
      <x:c r="C88" s="117" t="str">
        <x:v>Yes</x:v>
      </x:c>
      <x:c r="D88" s="119" t="str">
        <x:v>Active v137 (Retrieved XML)</x:v>
      </x:c>
      <x:c r="E88" s="117" t="str">
        <x:v>AssignedResource</x:v>
      </x:c>
      <x:c r="F88" s="119" t="str">
        <x:v>Read, Reference, Variable</x:v>
      </x:c>
      <x:c r="G88" s="117" t="str">
        <x:v>No</x:v>
      </x:c>
      <x:c r="H88" s="117" t="str">
        <x:v>FieldServiceMobile</x:v>
      </x:c>
    </x:row>
    <x:row r="89" ht="30" customHeight="1">
      <x:c r="A89" s="117" t="str">
        <x:v>300Ro00000QzDmKIAV</x:v>
      </x:c>
      <x:c r="B89" s="117" t="str">
        <x:v>On_Deletion_Remove_Service_Resource_on_SA</x:v>
      </x:c>
      <x:c r="C89" s="117" t="str">
        <x:v>No</x:v>
      </x:c>
      <x:c r="D89" s="119" t="str">
        <x:v>Latest inactive v3 (Retrieved XML)</x:v>
      </x:c>
      <x:c r="E89" s="117" t="str">
        <x:v>AssignedResource</x:v>
      </x:c>
      <x:c r="F89" s="119" t="str">
        <x:v>Reference, Trigger</x:v>
      </x:c>
      <x:c r="G89" s="117" t="str">
        <x:v>Yes</x:v>
      </x:c>
      <x:c r="H89" s="117" t="str">
        <x:v>AutoLaunchedFlow</x:v>
      </x:c>
    </x:row>
    <x:row r="90" ht="30" customHeight="1">
      <x:c r="A90" s="117" t="str">
        <x:v>300Ro00000REVFoIAP</x:v>
      </x:c>
      <x:c r="B90" s="117" t="str">
        <x:v>PartsReadyForCollectionServiceAppointmentAlert</x:v>
      </x:c>
      <x:c r="C90" s="117" t="str">
        <x:v>Yes</x:v>
      </x:c>
      <x:c r="D90" s="119" t="str">
        <x:v>Active v2 (Retrieved XML)</x:v>
      </x:c>
      <x:c r="E90" s="117" t="str">
        <x:v>AssignedResource</x:v>
      </x:c>
      <x:c r="F90" s="119" t="str">
        <x:v>Read, Reference</x:v>
      </x:c>
      <x:c r="G90" s="117" t="str">
        <x:v>No</x:v>
      </x:c>
      <x:c r="H90" s="117" t="str">
        <x:v>AutoLaunchedFlow</x:v>
      </x:c>
    </x:row>
    <x:row r="91" ht="30" customHeight="1">
      <x:c r="A91" s="117" t="str">
        <x:v>300Ro00000REVFmIAP</x:v>
      </x:c>
      <x:c r="B91" s="117" t="str">
        <x:v>Scheduled_Flow_Clean_Up_Historical_Service_Appointments</x:v>
      </x:c>
      <x:c r="C91" s="117" t="str">
        <x:v>Yes</x:v>
      </x:c>
      <x:c r="D91" s="119" t="str">
        <x:v>Active v1 (Retrieved XML)</x:v>
      </x:c>
      <x:c r="E91" s="117" t="str">
        <x:v>AssignedResource</x:v>
      </x:c>
      <x:c r="F91" s="119" t="str">
        <x:v>Delete, Reference</x:v>
      </x:c>
      <x:c r="G91" s="117" t="str">
        <x:v>No</x:v>
      </x:c>
      <x:c r="H91" s="117" t="str">
        <x:v>AutoLaunchedFlow</x:v>
      </x:c>
    </x:row>
    <x:row r="92" ht="30" customHeight="1">
      <x:c r="A92" s="117" t="str">
        <x:v>300Ro00000UfjBLIAZ</x:v>
      </x:c>
      <x:c r="B92" s="117" t="str">
        <x:v>Screen_Work_Order_Create_Tentative_SAs</x:v>
      </x:c>
      <x:c r="C92" s="117" t="str">
        <x:v>Yes</x:v>
      </x:c>
      <x:c r="D92" s="119" t="str">
        <x:v>Active v1 (Retrieved XML)</x:v>
      </x:c>
      <x:c r="E92" s="117" t="str">
        <x:v>AssignedResource</x:v>
      </x:c>
      <x:c r="F92" s="119" t="str">
        <x:v>Variable</x:v>
      </x:c>
      <x:c r="G92" s="117" t="str">
        <x:v>No</x:v>
      </x:c>
      <x:c r="H92" s="117" t="str">
        <x:v>Flow</x:v>
      </x:c>
    </x:row>
    <x:row r="93" ht="30" customHeight="1">
      <x:c r="A93" s="117" t="str">
        <x:v>300Ro00000SgtMdIAJ</x:v>
      </x:c>
      <x:c r="B93" s="117" t="str">
        <x:v>Service_Appointment_Trigger_If_SA_updated_update_event</x:v>
      </x:c>
      <x:c r="C93" s="117" t="str">
        <x:v>Yes</x:v>
      </x:c>
      <x:c r="D93" s="119" t="str">
        <x:v>Active v1 (Tooling metadata)</x:v>
      </x:c>
      <x:c r="E93" s="117" t="str">
        <x:v>AssignedResource</x:v>
      </x:c>
      <x:c r="F93" s="119" t="str">
        <x:v>Read, Reference</x:v>
      </x:c>
      <x:c r="G93" s="117" t="str">
        <x:v>No</x:v>
      </x:c>
      <x:c r="H93" s="117" t="str">
        <x:v>AutoLaunchedFlow</x:v>
      </x:c>
    </x:row>
    <x:row r="94" ht="30" customHeight="1">
      <x:c r="A94" s="117" t="str">
        <x:v>300Ro00000SgtMeIAJ</x:v>
      </x:c>
      <x:c r="B94" s="117" t="str">
        <x:v>Service_Appointment_Trigger_Send_Email_to_AR_Upon_Dispatch</x:v>
      </x:c>
      <x:c r="C94" s="117" t="str">
        <x:v>Yes</x:v>
      </x:c>
      <x:c r="D94" s="119" t="str">
        <x:v>Active v5 (Retrieved XML)</x:v>
      </x:c>
      <x:c r="E94" s="117" t="str">
        <x:v>AssignedResource</x:v>
      </x:c>
      <x:c r="F94" s="119" t="str">
        <x:v>Read, Reference</x:v>
      </x:c>
      <x:c r="G94" s="117" t="str">
        <x:v>No</x:v>
      </x:c>
      <x:c r="H94" s="117" t="str">
        <x:v>AutoLaunchedFlow</x:v>
      </x:c>
    </x:row>
    <x:row r="95" ht="30" customHeight="1">
      <x:c r="A95" s="117" t="str">
        <x:v>300Ro00000Pz0kzIAB</x:v>
      </x:c>
      <x:c r="B95" s="117" t="str">
        <x:v>Update_comments</x:v>
      </x:c>
      <x:c r="C95" s="117" t="str">
        <x:v>Yes</x:v>
      </x:c>
      <x:c r="D95" s="119" t="str">
        <x:v>Active v192 (Tooling metadata)</x:v>
      </x:c>
      <x:c r="E95" s="117" t="str">
        <x:v>AssignedResource</x:v>
      </x:c>
      <x:c r="F95" s="119" t="str">
        <x:v>Read, Reference, Variable</x:v>
      </x:c>
      <x:c r="G95" s="117" t="str">
        <x:v>No</x:v>
      </x:c>
      <x:c r="H95" s="117" t="str">
        <x:v>FieldServiceMobile</x:v>
      </x:c>
    </x:row>
    <x:row r="96" ht="30" customHeight="1">
      <x:c r="A96" s="117" t="str">
        <x:v>300Ro00000Q53PoIAJ</x:v>
      </x:c>
      <x:c r="B96" s="117" t="str">
        <x:v>Update_SA_Owner_to_Assigned_Resource</x:v>
      </x:c>
      <x:c r="C96" s="117" t="str">
        <x:v>Yes</x:v>
      </x:c>
      <x:c r="D96" s="119" t="str">
        <x:v>Active v7 (Tooling metadata)</x:v>
      </x:c>
      <x:c r="E96" s="117" t="str">
        <x:v>AssignedResource</x:v>
      </x:c>
      <x:c r="F96" s="119" t="str">
        <x:v>Reference, Trigger, Update</x:v>
      </x:c>
      <x:c r="G96" s="117" t="str">
        <x:v>Yes</x:v>
      </x:c>
      <x:c r="H96" s="117" t="str">
        <x:v>AutoLaunchedFlow</x:v>
      </x:c>
    </x:row>
    <x:row r="97" ht="30" customHeight="1">
      <x:c r="A97" s="117" t="str">
        <x:v>3005b000000LJFiAAO</x:v>
      </x:c>
      <x:c r="B97" s="117" t="str">
        <x:v>Send_Better_Email_Testflow</x:v>
      </x:c>
      <x:c r="C97" s="117" t="str">
        <x:v>Yes</x:v>
      </x:c>
      <x:c r="D97" s="119" t="str">
        <x:v>Active v1 (Tooling metadata)</x:v>
      </x:c>
      <x:c r="E97" s="117" t="str">
        <x:v>Attachment</x:v>
      </x:c>
      <x:c r="F97" s="119" t="str">
        <x:v>Variable</x:v>
      </x:c>
      <x:c r="G97" s="117" t="str">
        <x:v>No</x:v>
      </x:c>
      <x:c r="H97" s="117" t="str">
        <x:v>Flow</x:v>
      </x:c>
    </x:row>
    <x:row r="98" ht="30" customHeight="1">
      <x:c r="A98" s="117" t="str">
        <x:v>3004O000000XgXxQAK</x:v>
      </x:c>
      <x:c r="B98" s="117" t="str">
        <x:v>Contact_New_Form_Submission</x:v>
      </x:c>
      <x:c r="C98" s="117" t="str">
        <x:v>No</x:v>
      </x:c>
      <x:c r="D98" s="119" t="str">
        <x:v>Latest inactive v6 (Retrieved XML)</x:v>
      </x:c>
      <x:c r="E98" s="117" t="str">
        <x:v>Campaign</x:v>
      </x:c>
      <x:c r="F98" s="119" t="str">
        <x:v>Read, Reference, Variable</x:v>
      </x:c>
      <x:c r="G98" s="117" t="str">
        <x:v>No</x:v>
      </x:c>
      <x:c r="H98" s="117" t="str">
        <x:v>AutoLaunchedFlow</x:v>
      </x:c>
    </x:row>
    <x:row r="99" ht="30" customHeight="1">
      <x:c r="A99" s="117" t="str">
        <x:v>3004O000000XgXxQAK</x:v>
      </x:c>
      <x:c r="B99" s="117" t="str">
        <x:v>Contact_New_Form_Submission</x:v>
      </x:c>
      <x:c r="C99" s="117" t="str">
        <x:v>No</x:v>
      </x:c>
      <x:c r="D99" s="119" t="str">
        <x:v>Latest inactive v6 (Retrieved XML)</x:v>
      </x:c>
      <x:c r="E99" s="117" t="str">
        <x:v>CampaignMember</x:v>
      </x:c>
      <x:c r="F99" s="119" t="str">
        <x:v>Create, Read, Reference, Variable</x:v>
      </x:c>
      <x:c r="G99" s="117" t="str">
        <x:v>No</x:v>
      </x:c>
      <x:c r="H99" s="117" t="str">
        <x:v>AutoLaunchedFlow</x:v>
      </x:c>
    </x:row>
    <x:row r="100" ht="30" customHeight="1">
      <x:c r="A100" s="117" t="str">
        <x:v>300Ro00000OMkxeIAD</x:v>
      </x:c>
      <x:c r="B100" s="117" t="str">
        <x:v>Asset_Check_in_Type</x:v>
      </x:c>
      <x:c r="C100" s="117" t="str">
        <x:v>Yes</x:v>
      </x:c>
      <x:c r="D100" s="119" t="str">
        <x:v>Active v8 (Retrieved XML)</x:v>
      </x:c>
      <x:c r="E100" s="117" t="str">
        <x:v>Capital_Asset_Transfer__c</x:v>
      </x:c>
      <x:c r="F100" s="119" t="str">
        <x:v>Create, Reference</x:v>
      </x:c>
      <x:c r="G100" s="117" t="str">
        <x:v>No</x:v>
      </x:c>
      <x:c r="H100" s="117" t="str">
        <x:v>AutoLaunchedFlow</x:v>
      </x:c>
    </x:row>
    <x:row r="101" ht="30" customHeight="1">
      <x:c r="A101" s="117" t="str">
        <x:v>300Ro00000tqEwyIAE</x:v>
      </x:c>
      <x:c r="B101" s="117" t="str">
        <x:v>Case_Creation_Created_by_Entity_and_Initial_Assignment_Record_Triggered_Flow</x:v>
      </x:c>
      <x:c r="C101" s="117" t="str">
        <x:v>Yes</x:v>
      </x:c>
      <x:c r="D101" s="119" t="str">
        <x:v>Active v2 (Retrieved XML)</x:v>
      </x:c>
      <x:c r="E101" s="117" t="str">
        <x:v>Case</x:v>
      </x:c>
      <x:c r="F101" s="119" t="str">
        <x:v>Reference, Trigger, Update</x:v>
      </x:c>
      <x:c r="G101" s="117" t="str">
        <x:v>Yes</x:v>
      </x:c>
      <x:c r="H101" s="117" t="str">
        <x:v>AutoLaunchedFlow</x:v>
      </x:c>
    </x:row>
    <x:row r="102" ht="30" customHeight="1">
      <x:c r="A102" s="117" t="str">
        <x:v>3005b000000H3sLAAS</x:v>
      </x:c>
      <x:c r="B102" s="117" t="str">
        <x:v>Case_Online_Repair_Evaluation_Tool</x:v>
      </x:c>
      <x:c r="C102" s="117" t="str">
        <x:v>Yes</x:v>
      </x:c>
      <x:c r="D102" s="119" t="str">
        <x:v>Active v13 (Retrieved XML)</x:v>
      </x:c>
      <x:c r="E102" s="117" t="str">
        <x:v>Case</x:v>
      </x:c>
      <x:c r="F102" s="119" t="str">
        <x:v>Reference, Trigger, Update</x:v>
      </x:c>
      <x:c r="G102" s="117" t="str">
        <x:v>Yes</x:v>
      </x:c>
      <x:c r="H102" s="117" t="str">
        <x:v>AutoLaunchedFlow</x:v>
      </x:c>
    </x:row>
    <x:row r="103" ht="30" customHeight="1">
      <x:c r="A103" s="117" t="str">
        <x:v>3004O000000XhC6QAK</x:v>
      </x:c>
      <x:c r="B103" s="117" t="str">
        <x:v>Case_PB</x:v>
      </x:c>
      <x:c r="C103" s="117" t="str">
        <x:v>Yes</x:v>
      </x:c>
      <x:c r="D103" s="119" t="str">
        <x:v>Active v23 (Retrieved XML)</x:v>
      </x:c>
      <x:c r="E103" s="117" t="str">
        <x:v>Case</x:v>
      </x:c>
      <x:c r="F103" s="119" t="str">
        <x:v>Reference, Update, Variable</x:v>
      </x:c>
      <x:c r="G103" s="117" t="str">
        <x:v>No</x:v>
      </x:c>
      <x:c r="H103" s="117" t="str">
        <x:v>Workflow</x:v>
      </x:c>
    </x:row>
    <x:row r="104" ht="30" customHeight="1">
      <x:c r="A104" s="117" t="str">
        <x:v>300Ro00000tqEwzIAE</x:v>
      </x:c>
      <x:c r="B104" s="117" t="str">
        <x:v>Case_Update_Case_Automations_Record_Triggered_Flow</x:v>
      </x:c>
      <x:c r="C104" s="117" t="str">
        <x:v>Yes</x:v>
      </x:c>
      <x:c r="D104" s="119" t="str">
        <x:v>Active v3 (Retrieved XML)</x:v>
      </x:c>
      <x:c r="E104" s="117" t="str">
        <x:v>Case</x:v>
      </x:c>
      <x:c r="F104" s="119" t="str">
        <x:v>Reference, Trigger, Update</x:v>
      </x:c>
      <x:c r="G104" s="117" t="str">
        <x:v>Yes</x:v>
      </x:c>
      <x:c r="H104" s="117" t="str">
        <x:v>AutoLaunchedFlow</x:v>
      </x:c>
    </x:row>
    <x:row r="105" ht="30" customHeight="1">
      <x:c r="A105" s="117" t="str">
        <x:v>3005b000000PzxvAAC</x:v>
      </x:c>
      <x:c r="B105" s="117" t="str">
        <x:v>Create_Opportunity_from_KloudGin_Case</x:v>
      </x:c>
      <x:c r="C105" s="117" t="str">
        <x:v>Yes</x:v>
      </x:c>
      <x:c r="D105" s="119" t="str">
        <x:v>Active v16 (Tooling metadata)</x:v>
      </x:c>
      <x:c r="E105" s="117" t="str">
        <x:v>Case</x:v>
      </x:c>
      <x:c r="F105" s="119" t="str">
        <x:v>Read, Reference, Update, Variable</x:v>
      </x:c>
      <x:c r="G105" s="117" t="str">
        <x:v>No</x:v>
      </x:c>
      <x:c r="H105" s="117" t="str">
        <x:v>Flow</x:v>
      </x:c>
    </x:row>
    <x:row r="106" ht="30" customHeight="1">
      <x:c r="A106" s="117" t="str">
        <x:v>3005b000000H2QLAA0</x:v>
      </x:c>
      <x:c r="B106" s="117" t="str">
        <x:v>Create_part_requests_from_Service_Fusion</x:v>
      </x:c>
      <x:c r="C106" s="117" t="str">
        <x:v>Yes</x:v>
      </x:c>
      <x:c r="D106" s="119" t="str">
        <x:v>Active v21 (Tooling metadata)</x:v>
      </x:c>
      <x:c r="E106" s="117" t="str">
        <x:v>Case</x:v>
      </x:c>
      <x:c r="F106" s="119" t="str">
        <x:v>Create, Reference</x:v>
      </x:c>
      <x:c r="G106" s="117" t="str">
        <x:v>No</x:v>
      </x:c>
      <x:c r="H106" s="117" t="str">
        <x:v>AutoLaunchedFlow</x:v>
      </x:c>
    </x:row>
    <x:row r="107" ht="30" customHeight="1">
      <x:c r="A107" s="117" t="str">
        <x:v>3005b000000H4G3AAK</x:v>
      </x:c>
      <x:c r="B107" s="117" t="str">
        <x:v>Create_SF_Support_Case_V1</x:v>
      </x:c>
      <x:c r="C107" s="117" t="str">
        <x:v>Yes</x:v>
      </x:c>
      <x:c r="D107" s="119" t="str">
        <x:v>Active v30 (Retrieved XML)</x:v>
      </x:c>
      <x:c r="E107" s="117" t="str">
        <x:v>Case</x:v>
      </x:c>
      <x:c r="F107" s="119" t="str">
        <x:v>Create, Read, Reference</x:v>
      </x:c>
      <x:c r="G107" s="117" t="str">
        <x:v>No</x:v>
      </x:c>
      <x:c r="H107" s="117" t="str">
        <x:v>Flow</x:v>
      </x:c>
    </x:row>
    <x:row r="108" ht="30" customHeight="1">
      <x:c r="A108" s="117" t="str">
        <x:v>300Ro000011vzqVIAQ</x:v>
      </x:c>
      <x:c r="B108" s="117" t="str">
        <x:v>Create_UK_Warehouse_Request_Teams_Case_Screen_Flow</x:v>
      </x:c>
      <x:c r="C108" s="117" t="str">
        <x:v>Yes</x:v>
      </x:c>
      <x:c r="D108" s="119" t="str">
        <x:v>Active v1 (Retrieved XML)</x:v>
      </x:c>
      <x:c r="E108" s="117" t="str">
        <x:v>Case</x:v>
      </x:c>
      <x:c r="F108" s="119" t="str">
        <x:v>Create, Reference</x:v>
      </x:c>
      <x:c r="G108" s="117" t="str">
        <x:v>No</x:v>
      </x:c>
      <x:c r="H108" s="117" t="str">
        <x:v>Flow</x:v>
      </x:c>
    </x:row>
    <x:row r="109" ht="30" customHeight="1">
      <x:c r="A109" s="117" t="str">
        <x:v>3005b000000Pzy0AAC</x:v>
      </x:c>
      <x:c r="B109" s="117" t="str">
        <x:v>Create_Work_Order_from_KloudGin_Case</x:v>
      </x:c>
      <x:c r="C109" s="117" t="str">
        <x:v>Yes</x:v>
      </x:c>
      <x:c r="D109" s="119" t="str">
        <x:v>Active v7 (Retrieved XML)</x:v>
      </x:c>
      <x:c r="E109" s="117" t="str">
        <x:v>Case</x:v>
      </x:c>
      <x:c r="F109" s="119" t="str">
        <x:v>Read, Reference, Update, Variable</x:v>
      </x:c>
      <x:c r="G109" s="117" t="str">
        <x:v>No</x:v>
      </x:c>
      <x:c r="H109" s="117" t="str">
        <x:v>Flow</x:v>
      </x:c>
    </x:row>
    <x:row r="110" ht="30" customHeight="1">
      <x:c r="A110" s="117" t="str">
        <x:v>3005b000000PzvpAAC</x:v>
      </x:c>
      <x:c r="B110" s="117" t="str">
        <x:v>KloudGin_Case_Created_Email_Notification</x:v>
      </x:c>
      <x:c r="C110" s="117" t="str">
        <x:v>Yes</x:v>
      </x:c>
      <x:c r="D110" s="119" t="str">
        <x:v>Active v28 (Retrieved XML)</x:v>
      </x:c>
      <x:c r="E110" s="117" t="str">
        <x:v>Case</x:v>
      </x:c>
      <x:c r="F110" s="119" t="str">
        <x:v>Reference, Trigger, Update</x:v>
      </x:c>
      <x:c r="G110" s="117" t="str">
        <x:v>Yes</x:v>
      </x:c>
      <x:c r="H110" s="117" t="str">
        <x:v>AutoLaunchedFlow</x:v>
      </x:c>
    </x:row>
    <x:row r="111" ht="30" customHeight="1">
      <x:c r="A111" s="117" t="str">
        <x:v>3005b000000H4ElAAK</x:v>
      </x:c>
      <x:c r="B111" s="117" t="str">
        <x:v>Salesforce_Case_Notifications</x:v>
      </x:c>
      <x:c r="C111" s="117" t="str">
        <x:v>Yes</x:v>
      </x:c>
      <x:c r="D111" s="119" t="str">
        <x:v>Active v49 (Retrieved XML)</x:v>
      </x:c>
      <x:c r="E111" s="117" t="str">
        <x:v>Case</x:v>
      </x:c>
      <x:c r="F111" s="119" t="str">
        <x:v>Reference, Trigger, Update</x:v>
      </x:c>
      <x:c r="G111" s="117" t="str">
        <x:v>Yes</x:v>
      </x:c>
      <x:c r="H111" s="117" t="str">
        <x:v>AutoLaunchedFlow</x:v>
      </x:c>
    </x:row>
    <x:row r="112" ht="30" customHeight="1">
      <x:c r="A112" s="117" t="str">
        <x:v>300Ro00000vlkEhIAI</x:v>
      </x:c>
      <x:c r="B112" s="117" t="str">
        <x:v>Change_Request_After_Update_Lifecycle_Automations</x:v>
      </x:c>
      <x:c r="C112" s="117" t="str">
        <x:v>Yes</x:v>
      </x:c>
      <x:c r="D112" s="119" t="str">
        <x:v>Active v1 (Retrieved XML)</x:v>
      </x:c>
      <x:c r="E112" s="117" t="str">
        <x:v>Change_Request__c</x:v>
      </x:c>
      <x:c r="F112" s="119" t="str">
        <x:v>Reference, Trigger, Update</x:v>
      </x:c>
      <x:c r="G112" s="117" t="str">
        <x:v>Yes</x:v>
      </x:c>
      <x:c r="H112" s="117" t="str">
        <x:v>AutoLaunchedFlow</x:v>
      </x:c>
    </x:row>
    <x:row r="113" ht="30" customHeight="1">
      <x:c r="A113" s="117" t="str">
        <x:v>300Ro00000tWVtzIAG</x:v>
      </x:c>
      <x:c r="B113" s="117" t="str">
        <x:v>Change_Request_Screen_Flow_Request_New_Document</x:v>
      </x:c>
      <x:c r="C113" s="117" t="str">
        <x:v>Yes</x:v>
      </x:c>
      <x:c r="D113" s="119" t="str">
        <x:v>Active v2 (Retrieved XML)</x:v>
      </x:c>
      <x:c r="E113" s="117" t="str">
        <x:v>Change_Request__c</x:v>
      </x:c>
      <x:c r="F113" s="119" t="str">
        <x:v>Create, Read, Reference</x:v>
      </x:c>
      <x:c r="G113" s="117" t="str">
        <x:v>No</x:v>
      </x:c>
      <x:c r="H113" s="117" t="str">
        <x:v>Flow</x:v>
      </x:c>
    </x:row>
    <x:row r="114" ht="30" customHeight="1">
      <x:c r="A114" s="117" t="str">
        <x:v>3005b000000LGdgAAG</x:v>
      </x:c>
      <x:c r="B114" s="117" t="str">
        <x:v>Automated_Collections_Template</x:v>
      </x:c>
      <x:c r="C114" s="117" t="str">
        <x:v>No</x:v>
      </x:c>
      <x:c r="D114" s="119" t="str">
        <x:v>Latest inactive v2 (Tooling metadata)</x:v>
      </x:c>
      <x:c r="E114" s="117" t="str">
        <x:v>ChargentBase__Gateway__c</x:v>
      </x:c>
      <x:c r="F114" s="119" t="str">
        <x:v>Choice Read, Read, Reference</x:v>
      </x:c>
      <x:c r="G114" s="117" t="str">
        <x:v>No</x:v>
      </x:c>
      <x:c r="H114" s="117" t="str">
        <x:v>Flow</x:v>
      </x:c>
    </x:row>
    <x:row r="115" ht="30" customHeight="1">
      <x:c r="A115" s="117" t="str">
        <x:v>3005b000000LGdgAAG</x:v>
      </x:c>
      <x:c r="B115" s="117" t="str">
        <x:v>Automated_Collections_Template</x:v>
      </x:c>
      <x:c r="C115" s="117" t="str">
        <x:v>No</x:v>
      </x:c>
      <x:c r="D115" s="119" t="str">
        <x:v>Latest inactive v2 (Tooling metadata)</x:v>
      </x:c>
      <x:c r="E115" s="117" t="str">
        <x:v>ChargentOrders__ChargentOrder__c</x:v>
      </x:c>
      <x:c r="F115" s="119" t="str">
        <x:v>Read, Reference, Variable</x:v>
      </x:c>
      <x:c r="G115" s="117" t="str">
        <x:v>No</x:v>
      </x:c>
      <x:c r="H115" s="117" t="str">
        <x:v>Flow</x:v>
      </x:c>
    </x:row>
    <x:row r="116" ht="30" customHeight="1">
      <x:c r="A116" s="117" t="str">
        <x:v>3004O000000LOwWQAW</x:v>
      </x:c>
      <x:c r="B116" s="117" t="str">
        <x:v>Credit_Memo_Creation_Flow</x:v>
      </x:c>
      <x:c r="C116" s="117" t="str">
        <x:v>Yes</x:v>
      </x:c>
      <x:c r="D116" s="119" t="str">
        <x:v>Active v1 (Tooling metadata)</x:v>
      </x:c>
      <x:c r="E116" s="117" t="str">
        <x:v>ChargentOrders__ChargentOrder__c</x:v>
      </x:c>
      <x:c r="F116" s="119" t="str">
        <x:v>Read, Reference, Variable</x:v>
      </x:c>
      <x:c r="G116" s="117" t="str">
        <x:v>No</x:v>
      </x:c>
      <x:c r="H116" s="117" t="str">
        <x:v>Flow</x:v>
      </x:c>
    </x:row>
    <x:row r="117" ht="30" customHeight="1">
      <x:c r="A117" s="117" t="str">
        <x:v>3005b000000H3HjAAK</x:v>
      </x:c>
      <x:c r="B117" s="117" t="str">
        <x:v>Custom_Payment_Flow</x:v>
      </x:c>
      <x:c r="C117" s="117" t="str">
        <x:v>Yes</x:v>
      </x:c>
      <x:c r="D117" s="119" t="str">
        <x:v>Active v15 (Retrieved XML)</x:v>
      </x:c>
      <x:c r="E117" s="117" t="str">
        <x:v>ChargentOrders__ChargentOrder__c</x:v>
      </x:c>
      <x:c r="F117" s="119" t="str">
        <x:v>Read, Reference</x:v>
      </x:c>
      <x:c r="G117" s="117" t="str">
        <x:v>No</x:v>
      </x:c>
      <x:c r="H117" s="117" t="str">
        <x:v>Flow</x:v>
      </x:c>
    </x:row>
    <x:row r="118" ht="30" customHeight="1">
      <x:c r="A118" s="117" t="str">
        <x:v>3004O000000LOvOQAW</x:v>
      </x:c>
      <x:c r="B118" s="117" t="str">
        <x:v>Invoice_Submission_Flow_V2</x:v>
      </x:c>
      <x:c r="C118" s="117" t="str">
        <x:v>Yes</x:v>
      </x:c>
      <x:c r="D118" s="119" t="str">
        <x:v>Active v37 (Retrieved XML)</x:v>
      </x:c>
      <x:c r="E118" s="117" t="str">
        <x:v>ChargentOrders__ChargentOrder__c</x:v>
      </x:c>
      <x:c r="F118" s="119" t="str">
        <x:v>Create, Reference, Update</x:v>
      </x:c>
      <x:c r="G118" s="117" t="str">
        <x:v>No</x:v>
      </x:c>
      <x:c r="H118" s="117" t="str">
        <x:v>Flow</x:v>
      </x:c>
    </x:row>
    <x:row r="119" ht="30" customHeight="1">
      <x:c r="A119" s="117" t="str">
        <x:v>3004O000000LOspQAG</x:v>
      </x:c>
      <x:c r="B119" s="117" t="str">
        <x:v>PB_Transaction</x:v>
      </x:c>
      <x:c r="C119" s="117" t="str">
        <x:v>Yes</x:v>
      </x:c>
      <x:c r="D119" s="119" t="str">
        <x:v>Active v7 (Retrieved XML)</x:v>
      </x:c>
      <x:c r="E119" s="117" t="str">
        <x:v>ChargentOrders__ChargentOrder__c</x:v>
      </x:c>
      <x:c r="F119" s="119" t="str">
        <x:v>Reference, Update</x:v>
      </x:c>
      <x:c r="G119" s="117" t="str">
        <x:v>No</x:v>
      </x:c>
      <x:c r="H119" s="117" t="str">
        <x:v>Workflow</x:v>
      </x:c>
    </x:row>
    <x:row r="120" ht="30" customHeight="1">
      <x:c r="A120" s="117" t="str">
        <x:v>3004O000000LOsqQAG</x:v>
      </x:c>
      <x:c r="B120" s="117" t="str">
        <x:v>Recurring_Billing_Flow</x:v>
      </x:c>
      <x:c r="C120" s="117" t="str">
        <x:v>Yes</x:v>
      </x:c>
      <x:c r="D120" s="119" t="str">
        <x:v>Active v11 (Retrieved XML)</x:v>
      </x:c>
      <x:c r="E120" s="117" t="str">
        <x:v>ChargentOrders__ChargentOrder__c</x:v>
      </x:c>
      <x:c r="F120" s="119" t="str">
        <x:v>Create, Reference, Trigger</x:v>
      </x:c>
      <x:c r="G120" s="117" t="str">
        <x:v>Yes</x:v>
      </x:c>
      <x:c r="H120" s="117" t="str">
        <x:v>AutoLaunchedFlow</x:v>
      </x:c>
    </x:row>
    <x:row r="121" ht="30" customHeight="1">
      <x:c r="A121" s="117" t="str">
        <x:v>3004O000000LOsrQAG</x:v>
      </x:c>
      <x:c r="B121" s="117" t="str">
        <x:v>Submit_Invoice_Flow</x:v>
      </x:c>
      <x:c r="C121" s="117" t="str">
        <x:v>Yes</x:v>
      </x:c>
      <x:c r="D121" s="119" t="str">
        <x:v>Active v13 (Retrieved XML)</x:v>
      </x:c>
      <x:c r="E121" s="117" t="str">
        <x:v>ChargentOrders__ChargentOrder__c</x:v>
      </x:c>
      <x:c r="F121" s="119" t="str">
        <x:v>Create, Reference, Update</x:v>
      </x:c>
      <x:c r="G121" s="117" t="str">
        <x:v>No</x:v>
      </x:c>
      <x:c r="H121" s="117" t="str">
        <x:v>Flow</x:v>
      </x:c>
    </x:row>
    <x:row r="122" ht="30" customHeight="1">
      <x:c r="A122" s="117" t="str">
        <x:v>3004O0000000ZuCQAU</x:v>
      </x:c>
      <x:c r="B122" s="117" t="str">
        <x:v>Update_Chargent_Order</x:v>
      </x:c>
      <x:c r="C122" s="117" t="str">
        <x:v>Yes</x:v>
      </x:c>
      <x:c r="D122" s="119" t="str">
        <x:v>Active v11 (Tooling metadata)</x:v>
      </x:c>
      <x:c r="E122" s="117" t="str">
        <x:v>ChargentOrders__ChargentOrder__c</x:v>
      </x:c>
      <x:c r="F122" s="119" t="str">
        <x:v>Reference, Update, Variable</x:v>
      </x:c>
      <x:c r="G122" s="117" t="str">
        <x:v>No</x:v>
      </x:c>
      <x:c r="H122" s="117" t="str">
        <x:v>Workflow</x:v>
      </x:c>
    </x:row>
    <x:row r="123" ht="30" customHeight="1">
      <x:c r="A123" s="117" t="str">
        <x:v>3005b000000LGdgAAG</x:v>
      </x:c>
      <x:c r="B123" s="117" t="str">
        <x:v>Automated_Collections_Template</x:v>
      </x:c>
      <x:c r="C123" s="117" t="str">
        <x:v>No</x:v>
      </x:c>
      <x:c r="D123" s="119" t="str">
        <x:v>Latest inactive v2 (Tooling metadata)</x:v>
      </x:c>
      <x:c r="E123" s="117" t="str">
        <x:v>ChargentOrders__Chargent_AC_Configuration__c</x:v>
      </x:c>
      <x:c r="F123" s="119" t="str">
        <x:v>Choice Read, Reference</x:v>
      </x:c>
      <x:c r="G123" s="117" t="str">
        <x:v>No</x:v>
      </x:c>
      <x:c r="H123" s="117" t="str">
        <x:v>Flow</x:v>
      </x:c>
    </x:row>
    <x:row r="124" ht="30" customHeight="1">
      <x:c r="A124" s="117" t="str">
        <x:v>3004O000000LOvOQAW</x:v>
      </x:c>
      <x:c r="B124" s="117" t="str">
        <x:v>Invoice_Submission_Flow_V2</x:v>
      </x:c>
      <x:c r="C124" s="117" t="str">
        <x:v>Yes</x:v>
      </x:c>
      <x:c r="D124" s="119" t="str">
        <x:v>Active v37 (Retrieved XML)</x:v>
      </x:c>
      <x:c r="E124" s="117" t="str">
        <x:v>ChargentOrders__Payment_Request__c</x:v>
      </x:c>
      <x:c r="F124" s="119" t="str">
        <x:v>Create, Reference</x:v>
      </x:c>
      <x:c r="G124" s="117" t="str">
        <x:v>No</x:v>
      </x:c>
      <x:c r="H124" s="117" t="str">
        <x:v>Flow</x:v>
      </x:c>
    </x:row>
    <x:row r="125" ht="30" customHeight="1">
      <x:c r="A125" s="117" t="str">
        <x:v>3004O000000LOsoQAG</x:v>
      </x:c>
      <x:c r="B125" s="117" t="str">
        <x:v>PB_Payment_Request</x:v>
      </x:c>
      <x:c r="C125" s="117" t="str">
        <x:v>Yes</x:v>
      </x:c>
      <x:c r="D125" s="119" t="str">
        <x:v>Active v2 (Retrieved XML)</x:v>
      </x:c>
      <x:c r="E125" s="117" t="str">
        <x:v>ChargentOrders__Payment_Request__c</x:v>
      </x:c>
      <x:c r="F125" s="119" t="str">
        <x:v>Variable</x:v>
      </x:c>
      <x:c r="G125" s="117" t="str">
        <x:v>No</x:v>
      </x:c>
      <x:c r="H125" s="117" t="str">
        <x:v>Workflow</x:v>
      </x:c>
    </x:row>
    <x:row r="126" ht="30" customHeight="1">
      <x:c r="A126" s="117" t="str">
        <x:v>3004O000000LOspQAG</x:v>
      </x:c>
      <x:c r="B126" s="117" t="str">
        <x:v>PB_Transaction</x:v>
      </x:c>
      <x:c r="C126" s="117" t="str">
        <x:v>Yes</x:v>
      </x:c>
      <x:c r="D126" s="119" t="str">
        <x:v>Active v7 (Retrieved XML)</x:v>
      </x:c>
      <x:c r="E126" s="117" t="str">
        <x:v>ChargentOrders__Payment_Request__c</x:v>
      </x:c>
      <x:c r="F126" s="119" t="str">
        <x:v>Create, Reference</x:v>
      </x:c>
      <x:c r="G126" s="117" t="str">
        <x:v>No</x:v>
      </x:c>
      <x:c r="H126" s="117" t="str">
        <x:v>Workflow</x:v>
      </x:c>
    </x:row>
    <x:row r="127" ht="30" customHeight="1">
      <x:c r="A127" s="117" t="str">
        <x:v>3004O000000LOsqQAG</x:v>
      </x:c>
      <x:c r="B127" s="117" t="str">
        <x:v>Recurring_Billing_Flow</x:v>
      </x:c>
      <x:c r="C127" s="117" t="str">
        <x:v>Yes</x:v>
      </x:c>
      <x:c r="D127" s="119" t="str">
        <x:v>Active v11 (Retrieved XML)</x:v>
      </x:c>
      <x:c r="E127" s="117" t="str">
        <x:v>ChargentOrders__Payment_Request__c</x:v>
      </x:c>
      <x:c r="F127" s="119" t="str">
        <x:v>Create, Reference</x:v>
      </x:c>
      <x:c r="G127" s="117" t="str">
        <x:v>No</x:v>
      </x:c>
      <x:c r="H127" s="117" t="str">
        <x:v>AutoLaunchedFlow</x:v>
      </x:c>
    </x:row>
    <x:row r="128" ht="30" customHeight="1">
      <x:c r="A128" s="117" t="str">
        <x:v>3004O000000LOsrQAG</x:v>
      </x:c>
      <x:c r="B128" s="117" t="str">
        <x:v>Submit_Invoice_Flow</x:v>
      </x:c>
      <x:c r="C128" s="117" t="str">
        <x:v>Yes</x:v>
      </x:c>
      <x:c r="D128" s="119" t="str">
        <x:v>Active v13 (Retrieved XML)</x:v>
      </x:c>
      <x:c r="E128" s="117" t="str">
        <x:v>ChargentOrders__Payment_Request__c</x:v>
      </x:c>
      <x:c r="F128" s="119" t="str">
        <x:v>Create, Reference</x:v>
      </x:c>
      <x:c r="G128" s="117" t="str">
        <x:v>No</x:v>
      </x:c>
      <x:c r="H128" s="117" t="str">
        <x:v>Flow</x:v>
      </x:c>
    </x:row>
    <x:row r="129" ht="30" customHeight="1">
      <x:c r="A129" s="117" t="str">
        <x:v>3004O0000000ZuGQAU</x:v>
      </x:c>
      <x:c r="B129" s="117" t="str">
        <x:v>Update_Payment_Request</x:v>
      </x:c>
      <x:c r="C129" s="117" t="str">
        <x:v>Yes</x:v>
      </x:c>
      <x:c r="D129" s="119" t="str">
        <x:v>Active v13 (Retrieved XML)</x:v>
      </x:c>
      <x:c r="E129" s="117" t="str">
        <x:v>ChargentOrders__Payment_Request__c</x:v>
      </x:c>
      <x:c r="F129" s="119" t="str">
        <x:v>Reference, Update, Variable</x:v>
      </x:c>
      <x:c r="G129" s="117" t="str">
        <x:v>No</x:v>
      </x:c>
      <x:c r="H129" s="117" t="str">
        <x:v>Workflow</x:v>
      </x:c>
    </x:row>
    <x:row r="130" ht="30" customHeight="1">
      <x:c r="A130" s="117" t="str">
        <x:v>3004O000000LOwWQAW</x:v>
      </x:c>
      <x:c r="B130" s="117" t="str">
        <x:v>Credit_Memo_Creation_Flow</x:v>
      </x:c>
      <x:c r="C130" s="117" t="str">
        <x:v>Yes</x:v>
      </x:c>
      <x:c r="D130" s="119" t="str">
        <x:v>Active v1 (Tooling metadata)</x:v>
      </x:c>
      <x:c r="E130" s="117" t="str">
        <x:v>ChargentOrders__Transaction__c</x:v>
      </x:c>
      <x:c r="F130" s="119" t="str">
        <x:v>Create, Reference</x:v>
      </x:c>
      <x:c r="G130" s="117" t="str">
        <x:v>No</x:v>
      </x:c>
      <x:c r="H130" s="117" t="str">
        <x:v>Flow</x:v>
      </x:c>
    </x:row>
    <x:row r="131" ht="30" customHeight="1">
      <x:c r="A131" s="117" t="str">
        <x:v>3005b000000H3HjAAK</x:v>
      </x:c>
      <x:c r="B131" s="117" t="str">
        <x:v>Custom_Payment_Flow</x:v>
      </x:c>
      <x:c r="C131" s="117" t="str">
        <x:v>Yes</x:v>
      </x:c>
      <x:c r="D131" s="119" t="str">
        <x:v>Active v15 (Retrieved XML)</x:v>
      </x:c>
      <x:c r="E131" s="117" t="str">
        <x:v>ChargentOrders__Transaction__c</x:v>
      </x:c>
      <x:c r="F131" s="119" t="str">
        <x:v>Create, Reference</x:v>
      </x:c>
      <x:c r="G131" s="117" t="str">
        <x:v>No</x:v>
      </x:c>
      <x:c r="H131" s="117" t="str">
        <x:v>Flow</x:v>
      </x:c>
    </x:row>
    <x:row r="132" ht="30" customHeight="1">
      <x:c r="A132" s="117" t="str">
        <x:v>3004O000000LOspQAG</x:v>
      </x:c>
      <x:c r="B132" s="117" t="str">
        <x:v>PB_Transaction</x:v>
      </x:c>
      <x:c r="C132" s="117" t="str">
        <x:v>Yes</x:v>
      </x:c>
      <x:c r="D132" s="119" t="str">
        <x:v>Active v7 (Retrieved XML)</x:v>
      </x:c>
      <x:c r="E132" s="117" t="str">
        <x:v>ChargentOrders__Transaction__c</x:v>
      </x:c>
      <x:c r="F132" s="119" t="str">
        <x:v>Reference, Update, Variable</x:v>
      </x:c>
      <x:c r="G132" s="117" t="str">
        <x:v>No</x:v>
      </x:c>
      <x:c r="H132" s="117" t="str">
        <x:v>Workflow</x:v>
      </x:c>
    </x:row>
    <x:row r="133" ht="30" customHeight="1">
      <x:c r="A133" s="117" t="str">
        <x:v>3004O0000000ZvnQAE</x:v>
      </x:c>
      <x:c r="B133" s="117" t="str">
        <x:v>Update_Transaction_Info</x:v>
      </x:c>
      <x:c r="C133" s="117" t="str">
        <x:v>Yes</x:v>
      </x:c>
      <x:c r="D133" s="119" t="str">
        <x:v>Active v1 (Retrieved XML)</x:v>
      </x:c>
      <x:c r="E133" s="117" t="str">
        <x:v>ChargentOrders__Transaction__c</x:v>
      </x:c>
      <x:c r="F133" s="119" t="str">
        <x:v>Reference, Update, Variable</x:v>
      </x:c>
      <x:c r="G133" s="117" t="str">
        <x:v>No</x:v>
      </x:c>
      <x:c r="H133" s="117" t="str">
        <x:v>Workflow</x:v>
      </x:c>
    </x:row>
    <x:row r="134" ht="30" customHeight="1">
      <x:c r="A134" s="117" t="str">
        <x:v>300Ro0000099RzwIAE</x:v>
      </x:c>
      <x:c r="B134" s="117" t="str">
        <x:v>Create_Sales_Opportunities_from_Training_Class</x:v>
      </x:c>
      <x:c r="C134" s="117" t="str">
        <x:v>Yes</x:v>
      </x:c>
      <x:c r="D134" s="119" t="str">
        <x:v>Active v12 (Retrieved XML)</x:v>
      </x:c>
      <x:c r="E134" s="117" t="str">
        <x:v>Class_Attendee__c</x:v>
      </x:c>
      <x:c r="F134" s="119" t="str">
        <x:v>Read, Reference</x:v>
      </x:c>
      <x:c r="G134" s="117" t="str">
        <x:v>No</x:v>
      </x:c>
      <x:c r="H134" s="117" t="str">
        <x:v>Flow</x:v>
      </x:c>
    </x:row>
    <x:row r="135" ht="30" customHeight="1">
      <x:c r="A135" s="117" t="str">
        <x:v>3004O000000LOsAQAW</x:v>
      </x:c>
      <x:c r="B135" s="117" t="str">
        <x:v>Create_Commission</x:v>
      </x:c>
      <x:c r="C135" s="117" t="str">
        <x:v>Yes</x:v>
      </x:c>
      <x:c r="D135" s="119" t="str">
        <x:v>Active v2 (Retrieved XML)</x:v>
      </x:c>
      <x:c r="E135" s="117" t="str">
        <x:v>Commission_Plan__mdt</x:v>
      </x:c>
      <x:c r="F135" s="119" t="str">
        <x:v>Read, Reference</x:v>
      </x:c>
      <x:c r="G135" s="117" t="str">
        <x:v>No</x:v>
      </x:c>
      <x:c r="H135" s="117" t="str">
        <x:v>AutoLaunchedFlow</x:v>
      </x:c>
    </x:row>
    <x:row r="136" ht="30" customHeight="1">
      <x:c r="A136" s="117" t="str">
        <x:v>300Ro000007doaTIAQ</x:v>
      </x:c>
      <x:c r="B136" s="117" t="str">
        <x:v>Commission_Rollups</x:v>
      </x:c>
      <x:c r="C136" s="117" t="str">
        <x:v>Yes</x:v>
      </x:c>
      <x:c r="D136" s="119" t="str">
        <x:v>Active v2 (Retrieved XML)</x:v>
      </x:c>
      <x:c r="E136" s="117" t="str">
        <x:v>Commission__c</x:v>
      </x:c>
      <x:c r="F136" s="119" t="str">
        <x:v>Read, Reference, Trigger</x:v>
      </x:c>
      <x:c r="G136" s="117" t="str">
        <x:v>Yes</x:v>
      </x:c>
      <x:c r="H136" s="117" t="str">
        <x:v>AutoLaunchedFlow</x:v>
      </x:c>
    </x:row>
    <x:row r="137" ht="30" customHeight="1">
      <x:c r="A137" s="117" t="str">
        <x:v>3004O000000LOsAQAW</x:v>
      </x:c>
      <x:c r="B137" s="117" t="str">
        <x:v>Create_Commission</x:v>
      </x:c>
      <x:c r="C137" s="117" t="str">
        <x:v>Yes</x:v>
      </x:c>
      <x:c r="D137" s="119" t="str">
        <x:v>Active v2 (Retrieved XML)</x:v>
      </x:c>
      <x:c r="E137" s="117" t="str">
        <x:v>Commission__c</x:v>
      </x:c>
      <x:c r="F137" s="119" t="str">
        <x:v>Create, Reference</x:v>
      </x:c>
      <x:c r="G137" s="117" t="str">
        <x:v>No</x:v>
      </x:c>
      <x:c r="H137" s="117" t="str">
        <x:v>AutoLaunchedFlow</x:v>
      </x:c>
    </x:row>
    <x:row r="138" ht="30" customHeight="1">
      <x:c r="A138" s="117" t="str">
        <x:v>300Ro00000yDFegIAG</x:v>
      </x:c>
      <x:c r="B138" s="117" t="str">
        <x:v>Contact_Asynchronous_on_create_Update_Account_Number_of_Contacts</x:v>
      </x:c>
      <x:c r="C138" s="117" t="str">
        <x:v>Yes</x:v>
      </x:c>
      <x:c r="D138" s="119" t="str">
        <x:v>Active v1 (Retrieved XML)</x:v>
      </x:c>
      <x:c r="E138" s="117" t="str">
        <x:v>Contact</x:v>
      </x:c>
      <x:c r="F138" s="119" t="str">
        <x:v>Read, Reference, Trigger</x:v>
      </x:c>
      <x:c r="G138" s="117" t="str">
        <x:v>Yes</x:v>
      </x:c>
      <x:c r="H138" s="117" t="str">
        <x:v>AutoLaunchedFlow</x:v>
      </x:c>
    </x:row>
    <x:row r="139" ht="30" customHeight="1">
      <x:c r="A139" s="117" t="str">
        <x:v>300Ro00000yDNE4IAO</x:v>
      </x:c>
      <x:c r="B139" s="117" t="str">
        <x:v>Contact_Asynchronous_on_delete_Update_Account_Number_of_Contacts</x:v>
      </x:c>
      <x:c r="C139" s="117" t="str">
        <x:v>Yes</x:v>
      </x:c>
      <x:c r="D139" s="119" t="str">
        <x:v>Active v1 (Retrieved XML)</x:v>
      </x:c>
      <x:c r="E139" s="117" t="str">
        <x:v>Contact</x:v>
      </x:c>
      <x:c r="F139" s="119" t="str">
        <x:v>Read, Reference, Trigger</x:v>
      </x:c>
      <x:c r="G139" s="117" t="str">
        <x:v>Yes</x:v>
      </x:c>
      <x:c r="H139" s="117" t="str">
        <x:v>AutoLaunchedFlow</x:v>
      </x:c>
    </x:row>
    <x:row r="140" ht="30" customHeight="1">
      <x:c r="A140" s="117" t="str">
        <x:v>300Ro00000yCrZ8IAK</x:v>
      </x:c>
      <x:c r="B140" s="117" t="str">
        <x:v>Contact_Asynchronous_on_update_Update_Account_Number_of_Contacts</x:v>
      </x:c>
      <x:c r="C140" s="117" t="str">
        <x:v>Yes</x:v>
      </x:c>
      <x:c r="D140" s="119" t="str">
        <x:v>Active v1 (Retrieved XML)</x:v>
      </x:c>
      <x:c r="E140" s="117" t="str">
        <x:v>Contact</x:v>
      </x:c>
      <x:c r="F140" s="119" t="str">
        <x:v>Read, Reference, Trigger</x:v>
      </x:c>
      <x:c r="G140" s="117" t="str">
        <x:v>Yes</x:v>
      </x:c>
      <x:c r="H140" s="117" t="str">
        <x:v>AutoLaunchedFlow</x:v>
      </x:c>
    </x:row>
    <x:row r="141" ht="30" customHeight="1">
      <x:c r="A141" s="117" t="str">
        <x:v>3004O000000XgXwQAK</x:v>
      </x:c>
      <x:c r="B141" s="117" t="str">
        <x:v>Contact_Master</x:v>
      </x:c>
      <x:c r="C141" s="117" t="str">
        <x:v>Yes</x:v>
      </x:c>
      <x:c r="D141" s="119" t="str">
        <x:v>Active v3 (Retrieved XML)</x:v>
      </x:c>
      <x:c r="E141" s="117" t="str">
        <x:v>Contact</x:v>
      </x:c>
      <x:c r="F141" s="119" t="str">
        <x:v>Reference, Update, Variable</x:v>
      </x:c>
      <x:c r="G141" s="117" t="str">
        <x:v>No</x:v>
      </x:c>
      <x:c r="H141" s="117" t="str">
        <x:v>Workflow</x:v>
      </x:c>
    </x:row>
    <x:row r="142" ht="30" customHeight="1">
      <x:c r="A142" s="117" t="str">
        <x:v>3004O000000XgXxQAK</x:v>
      </x:c>
      <x:c r="B142" s="117" t="str">
        <x:v>Contact_New_Form_Submission</x:v>
      </x:c>
      <x:c r="C142" s="117" t="str">
        <x:v>No</x:v>
      </x:c>
      <x:c r="D142" s="119" t="str">
        <x:v>Latest inactive v6 (Retrieved XML)</x:v>
      </x:c>
      <x:c r="E142" s="117" t="str">
        <x:v>Contact</x:v>
      </x:c>
      <x:c r="F142" s="119" t="str">
        <x:v>Variable</x:v>
      </x:c>
      <x:c r="G142" s="117" t="str">
        <x:v>No</x:v>
      </x:c>
      <x:c r="H142" s="117" t="str">
        <x:v>AutoLaunchedFlow</x:v>
      </x:c>
    </x:row>
    <x:row r="143" ht="30" customHeight="1">
      <x:c r="A143" s="117" t="str">
        <x:v>3005b000000H3T6AAK</x:v>
      </x:c>
      <x:c r="B143" s="117" t="str">
        <x:v>Contact_Set_Primary_Contact</x:v>
      </x:c>
      <x:c r="C143" s="117" t="str">
        <x:v>No</x:v>
      </x:c>
      <x:c r="D143" s="119" t="str">
        <x:v>Latest inactive v2 (Retrieved XML)</x:v>
      </x:c>
      <x:c r="E143" s="117" t="str">
        <x:v>Contact</x:v>
      </x:c>
      <x:c r="F143" s="119" t="str">
        <x:v>Reference, Trigger, Update</x:v>
      </x:c>
      <x:c r="G143" s="117" t="str">
        <x:v>Yes</x:v>
      </x:c>
      <x:c r="H143" s="117" t="str">
        <x:v>AutoLaunchedFlow</x:v>
      </x:c>
    </x:row>
    <x:row r="144" ht="30" customHeight="1">
      <x:c r="A144" s="117" t="str">
        <x:v>300Ro00000kseeBIAQ</x:v>
      </x:c>
      <x:c r="B144" s="117" t="str">
        <x:v>Create_Field_Service_Work_Order_in_Salesforce</x:v>
      </x:c>
      <x:c r="C144" s="117" t="str">
        <x:v>Yes</x:v>
      </x:c>
      <x:c r="D144" s="119" t="str">
        <x:v>Active v9 (Retrieved XML)</x:v>
      </x:c>
      <x:c r="E144" s="117" t="str">
        <x:v>Contact</x:v>
      </x:c>
      <x:c r="F144" s="119" t="str">
        <x:v>Read, Reference, Variable</x:v>
      </x:c>
      <x:c r="G144" s="117" t="str">
        <x:v>No</x:v>
      </x:c>
      <x:c r="H144" s="117" t="str">
        <x:v>Flow</x:v>
      </x:c>
    </x:row>
    <x:row r="145" ht="30" customHeight="1">
      <x:c r="A145" s="117" t="str">
        <x:v>3005b000000LHW7AAO</x:v>
      </x:c>
      <x:c r="B145" s="117" t="str">
        <x:v>Create_NEW_Lead_from_Existing_Contact</x:v>
      </x:c>
      <x:c r="C145" s="117" t="str">
        <x:v>Yes</x:v>
      </x:c>
      <x:c r="D145" s="119" t="str">
        <x:v>Active v10 (Retrieved XML)</x:v>
      </x:c>
      <x:c r="E145" s="117" t="str">
        <x:v>Contact</x:v>
      </x:c>
      <x:c r="F145" s="119" t="str">
        <x:v>Read, Reference</x:v>
      </x:c>
      <x:c r="G145" s="117" t="str">
        <x:v>No</x:v>
      </x:c>
      <x:c r="H145" s="117" t="str">
        <x:v>Flow</x:v>
      </x:c>
    </x:row>
    <x:row r="146" ht="30" customHeight="1">
      <x:c r="A146" s="117" t="str">
        <x:v>3005b000000H413AAC</x:v>
      </x:c>
      <x:c r="B146" s="117" t="str">
        <x:v>Create_Service_Calendar_Event_from_Work_Order_UK</x:v>
      </x:c>
      <x:c r="C146" s="117" t="str">
        <x:v>Yes</x:v>
      </x:c>
      <x:c r="D146" s="119" t="str">
        <x:v>Active v23 (Tooling metadata)</x:v>
      </x:c>
      <x:c r="E146" s="117" t="str">
        <x:v>Contact</x:v>
      </x:c>
      <x:c r="F146" s="119" t="str">
        <x:v>Read, Reference, Variable</x:v>
      </x:c>
      <x:c r="G146" s="117" t="str">
        <x:v>No</x:v>
      </x:c>
      <x:c r="H146" s="117" t="str">
        <x:v>AutoLaunchedFlow</x:v>
      </x:c>
    </x:row>
    <x:row r="147" ht="30" customHeight="1">
      <x:c r="A147" s="117" t="str">
        <x:v>3004O0000008mCxQAI</x:v>
      </x:c>
      <x:c r="B147" s="117" t="str">
        <x:v>e2a_Create_an_opportunity_when_e2a_email_attaches_to_existing_contact</x:v>
      </x:c>
      <x:c r="C147" s="117" t="str">
        <x:v>Yes</x:v>
      </x:c>
      <x:c r="D147" s="119" t="str">
        <x:v>Active v7 (Retrieved XML)</x:v>
      </x:c>
      <x:c r="E147" s="117" t="str">
        <x:v>Contact</x:v>
      </x:c>
      <x:c r="F147" s="119" t="str">
        <x:v>Reference, Update</x:v>
      </x:c>
      <x:c r="G147" s="117" t="str">
        <x:v>No</x:v>
      </x:c>
      <x:c r="H147" s="117" t="str">
        <x:v>Workflow</x:v>
      </x:c>
    </x:row>
    <x:row r="148" ht="30" customHeight="1">
      <x:c r="A148" s="117" t="str">
        <x:v>300Ro00000mouhpIAA</x:v>
      </x:c>
      <x:c r="B148" s="117" t="str">
        <x:v>FSL_Action_Quick_Quote_2</x:v>
      </x:c>
      <x:c r="C148" s="117" t="str">
        <x:v>Yes</x:v>
      </x:c>
      <x:c r="D148" s="119" t="str">
        <x:v>Active v54 (Retrieved XML)</x:v>
      </x:c>
      <x:c r="E148" s="117" t="str">
        <x:v>Contact</x:v>
      </x:c>
      <x:c r="F148" s="119" t="str">
        <x:v>Read, Reference, Variable</x:v>
      </x:c>
      <x:c r="G148" s="117" t="str">
        <x:v>No</x:v>
      </x:c>
      <x:c r="H148" s="117" t="str">
        <x:v>FieldServiceMobile</x:v>
      </x:c>
    </x:row>
    <x:row r="149" ht="30" customHeight="1">
      <x:c r="A149" s="117" t="str">
        <x:v>300Ro00000ydLuvIAE</x:v>
      </x:c>
      <x:c r="B149" s="117" t="str">
        <x:v>FSL_Close_Out_Service_Appointment_Field_Service_Mobile_Flow</x:v>
      </x:c>
      <x:c r="C149" s="117" t="str">
        <x:v>No</x:v>
      </x:c>
      <x:c r="D149" s="119" t="str">
        <x:v>Latest inactive v4 (Retrieved XML)</x:v>
      </x:c>
      <x:c r="E149" s="117" t="str">
        <x:v>Contact</x:v>
      </x:c>
      <x:c r="F149" s="119" t="str">
        <x:v>Variable</x:v>
      </x:c>
      <x:c r="G149" s="117" t="str">
        <x:v>No</x:v>
      </x:c>
      <x:c r="H149" s="117" t="str">
        <x:v>FieldServiceMobile</x:v>
      </x:c>
    </x:row>
    <x:row r="150" ht="30" customHeight="1">
      <x:c r="A150" s="117" t="str">
        <x:v>300Ro00000S83DZIAZ</x:v>
      </x:c>
      <x:c r="B150" s="117" t="str">
        <x:v>FSL_Mobile_Create_Lead_Autolaunched</x:v>
      </x:c>
      <x:c r="C150" s="117" t="str">
        <x:v>Yes</x:v>
      </x:c>
      <x:c r="D150" s="119" t="str">
        <x:v>Active v5 (Tooling metadata)</x:v>
      </x:c>
      <x:c r="E150" s="117" t="str">
        <x:v>Contact</x:v>
      </x:c>
      <x:c r="F150" s="119" t="str">
        <x:v>Read, Reference</x:v>
      </x:c>
      <x:c r="G150" s="117" t="str">
        <x:v>No</x:v>
      </x:c>
      <x:c r="H150" s="117" t="str">
        <x:v>FieldServiceMobile</x:v>
      </x:c>
    </x:row>
    <x:row r="151" ht="30" customHeight="1">
      <x:c r="A151" s="117" t="str">
        <x:v>300Ro00000cnT4mIAE</x:v>
      </x:c>
      <x:c r="B151" s="117" t="str">
        <x:v>FSL_Mobile_Create_Lead_US</x:v>
      </x:c>
      <x:c r="C151" s="117" t="str">
        <x:v>Yes</x:v>
      </x:c>
      <x:c r="D151" s="119" t="str">
        <x:v>Active v34 (Retrieved XML)</x:v>
      </x:c>
      <x:c r="E151" s="117" t="str">
        <x:v>Contact</x:v>
      </x:c>
      <x:c r="F151" s="119" t="str">
        <x:v>Read, Reference, Variable</x:v>
      </x:c>
      <x:c r="G151" s="117" t="str">
        <x:v>No</x:v>
      </x:c>
      <x:c r="H151" s="117" t="str">
        <x:v>FieldServiceMobile</x:v>
      </x:c>
    </x:row>
    <x:row r="152" ht="30" customHeight="1">
      <x:c r="A152" s="117" t="str">
        <x:v>300Ro00000pvIVtIAM</x:v>
      </x:c>
      <x:c r="B152" s="117" t="str">
        <x:v>FSL_Mobile_Service_Appointment_Closeout</x:v>
      </x:c>
      <x:c r="C152" s="117" t="str">
        <x:v>Yes</x:v>
      </x:c>
      <x:c r="D152" s="119" t="str">
        <x:v>Active v1 (Retrieved XML)</x:v>
      </x:c>
      <x:c r="E152" s="117" t="str">
        <x:v>Contact</x:v>
      </x:c>
      <x:c r="F152" s="119" t="str">
        <x:v>Read, Reference, Variable</x:v>
      </x:c>
      <x:c r="G152" s="117" t="str">
        <x:v>No</x:v>
      </x:c>
      <x:c r="H152" s="117" t="str">
        <x:v>FieldServiceMobile</x:v>
      </x:c>
    </x:row>
    <x:row r="153" ht="30" customHeight="1">
      <x:c r="A153" s="117" t="str">
        <x:v>3004O000000TiaAQAS</x:v>
      </x:c>
      <x:c r="B153" s="117" t="str">
        <x:v>Lead_Check_for_existing_contact_Email</x:v>
      </x:c>
      <x:c r="C153" s="117" t="str">
        <x:v>Yes</x:v>
      </x:c>
      <x:c r="D153" s="119" t="str">
        <x:v>Active v3 (Retrieved XML)</x:v>
      </x:c>
      <x:c r="E153" s="117" t="str">
        <x:v>Contact</x:v>
      </x:c>
      <x:c r="F153" s="119" t="str">
        <x:v>Read, Reference</x:v>
      </x:c>
      <x:c r="G153" s="117" t="str">
        <x:v>No</x:v>
      </x:c>
      <x:c r="H153" s="117" t="str">
        <x:v>AutoLaunchedFlow</x:v>
      </x:c>
    </x:row>
    <x:row r="154" ht="30" customHeight="1">
      <x:c r="A154" s="117" t="str">
        <x:v>3004O000000TiaBQAS</x:v>
      </x:c>
      <x:c r="B154" s="117" t="str">
        <x:v>Lead_Check_for_existing_contact_Phone</x:v>
      </x:c>
      <x:c r="C154" s="117" t="str">
        <x:v>Yes</x:v>
      </x:c>
      <x:c r="D154" s="119" t="str">
        <x:v>Active v3 (Retrieved XML)</x:v>
      </x:c>
      <x:c r="E154" s="117" t="str">
        <x:v>Contact</x:v>
      </x:c>
      <x:c r="F154" s="119" t="str">
        <x:v>Read, Reference</x:v>
      </x:c>
      <x:c r="G154" s="117" t="str">
        <x:v>No</x:v>
      </x:c>
      <x:c r="H154" s="117" t="str">
        <x:v>AutoLaunchedFlow</x:v>
      </x:c>
    </x:row>
    <x:row r="155" ht="30" customHeight="1">
      <x:c r="A155" s="117" t="str">
        <x:v>3004O0000008mBQQAY</x:v>
      </x:c>
      <x:c r="B155" s="117" t="str">
        <x:v>New_Opportunity_for_Existing_Contact_Form_Submissions</x:v>
      </x:c>
      <x:c r="C155" s="117" t="str">
        <x:v>No</x:v>
      </x:c>
      <x:c r="D155" s="119" t="str">
        <x:v>Latest inactive v7 (Retrieved XML)</x:v>
      </x:c>
      <x:c r="E155" s="117" t="str">
        <x:v>Contact</x:v>
      </x:c>
      <x:c r="F155" s="119" t="str">
        <x:v>Variable</x:v>
      </x:c>
      <x:c r="G155" s="117" t="str">
        <x:v>No</x:v>
      </x:c>
      <x:c r="H155" s="117" t="str">
        <x:v>Workflow</x:v>
      </x:c>
    </x:row>
    <x:row r="156" ht="30" customHeight="1">
      <x:c r="A156" s="117" t="str">
        <x:v>3005b000000PzJCAA0</x:v>
      </x:c>
      <x:c r="B156" s="117" t="str">
        <x:v>Opportunity_Update_Fields_Flow</x:v>
      </x:c>
      <x:c r="C156" s="117" t="str">
        <x:v>No</x:v>
      </x:c>
      <x:c r="D156" s="119" t="str">
        <x:v>Latest inactive v12 (Retrieved XML)</x:v>
      </x:c>
      <x:c r="E156" s="117" t="str">
        <x:v>Contact</x:v>
      </x:c>
      <x:c r="F156" s="119" t="str">
        <x:v>Read, Reference</x:v>
      </x:c>
      <x:c r="G156" s="117" t="str">
        <x:v>No</x:v>
      </x:c>
      <x:c r="H156" s="117" t="str">
        <x:v>AutoLaunchedFlow</x:v>
      </x:c>
    </x:row>
    <x:row r="157" ht="30" customHeight="1">
      <x:c r="A157" s="117" t="str">
        <x:v>300Ro00000REVFoIAP</x:v>
      </x:c>
      <x:c r="B157" s="117" t="str">
        <x:v>PartsReadyForCollectionServiceAppointmentAlert</x:v>
      </x:c>
      <x:c r="C157" s="117" t="str">
        <x:v>Yes</x:v>
      </x:c>
      <x:c r="D157" s="119" t="str">
        <x:v>Active v2 (Retrieved XML)</x:v>
      </x:c>
      <x:c r="E157" s="117" t="str">
        <x:v>Contact</x:v>
      </x:c>
      <x:c r="F157" s="119" t="str">
        <x:v>Variable</x:v>
      </x:c>
      <x:c r="G157" s="117" t="str">
        <x:v>No</x:v>
      </x:c>
      <x:c r="H157" s="117" t="str">
        <x:v>AutoLaunchedFlow</x:v>
      </x:c>
    </x:row>
    <x:row r="158" ht="30" customHeight="1">
      <x:c r="A158" s="117" t="str">
        <x:v>3005b000000LHI0AAO</x:v>
      </x:c>
      <x:c r="B158" s="117" t="str">
        <x:v>PartsReadyForCollectionWorkOrderAlert</x:v>
      </x:c>
      <x:c r="C158" s="117" t="str">
        <x:v>Yes</x:v>
      </x:c>
      <x:c r="D158" s="119" t="str">
        <x:v>Active v7 (Retrieved XML)</x:v>
      </x:c>
      <x:c r="E158" s="117" t="str">
        <x:v>Contact</x:v>
      </x:c>
      <x:c r="F158" s="119" t="str">
        <x:v>Read, Reference, Variable</x:v>
      </x:c>
      <x:c r="G158" s="117" t="str">
        <x:v>No</x:v>
      </x:c>
      <x:c r="H158" s="117" t="str">
        <x:v>AutoLaunchedFlow</x:v>
      </x:c>
    </x:row>
    <x:row r="159" ht="30" customHeight="1">
      <x:c r="A159" s="117" t="str">
        <x:v>3005b000000PzkmAAC</x:v>
      </x:c>
      <x:c r="B159" s="117" t="str">
        <x:v>Register_System_Lead_with_Mindray_Button_Flow</x:v>
      </x:c>
      <x:c r="C159" s="117" t="str">
        <x:v>Yes</x:v>
      </x:c>
      <x:c r="D159" s="119" t="str">
        <x:v>Active v11 (Retrieved XML)</x:v>
      </x:c>
      <x:c r="E159" s="117" t="str">
        <x:v>Contact</x:v>
      </x:c>
      <x:c r="F159" s="119" t="str">
        <x:v>Read, Reference</x:v>
      </x:c>
      <x:c r="G159" s="117" t="str">
        <x:v>No</x:v>
      </x:c>
      <x:c r="H159" s="117" t="str">
        <x:v>Flow</x:v>
      </x:c>
    </x:row>
    <x:row r="160" ht="30" customHeight="1">
      <x:c r="A160" s="117" t="str">
        <x:v>300Ro00000GpZycIAF</x:v>
      </x:c>
      <x:c r="B160" s="117" t="str">
        <x:v>Screen_Flow_Update_Shipping_FIelds</x:v>
      </x:c>
      <x:c r="C160" s="117" t="str">
        <x:v>Yes</x:v>
      </x:c>
      <x:c r="D160" s="119" t="str">
        <x:v>Active v2 (Retrieved XML)</x:v>
      </x:c>
      <x:c r="E160" s="117" t="str">
        <x:v>Contact</x:v>
      </x:c>
      <x:c r="F160" s="119" t="str">
        <x:v>Read, Reference</x:v>
      </x:c>
      <x:c r="G160" s="117" t="str">
        <x:v>No</x:v>
      </x:c>
      <x:c r="H160" s="117" t="str">
        <x:v>Flow</x:v>
      </x:c>
    </x:row>
    <x:row r="161" ht="30" customHeight="1">
      <x:c r="A161" s="117" t="str">
        <x:v>3000B0000008l9tQAA</x:v>
      </x:c>
      <x:c r="B161" s="117" t="str">
        <x:v>Search_Contacts_for_Account_Name_Company</x:v>
      </x:c>
      <x:c r="C161" s="117" t="str">
        <x:v>No</x:v>
      </x:c>
      <x:c r="D161" s="119" t="str">
        <x:v>Latest inactive v1 (Retrieved XML)</x:v>
      </x:c>
      <x:c r="E161" s="117" t="str">
        <x:v>Contact</x:v>
      </x:c>
      <x:c r="F161" s="119" t="str">
        <x:v>Read, Reference</x:v>
      </x:c>
      <x:c r="G161" s="117" t="str">
        <x:v>No</x:v>
      </x:c>
      <x:c r="H161" s="117" t="str">
        <x:v>AutoLaunchedFlow</x:v>
      </x:c>
    </x:row>
    <x:row r="162" ht="30" customHeight="1">
      <x:c r="A162" s="117" t="str">
        <x:v>3000B0000008l2xQAA</x:v>
      </x:c>
      <x:c r="B162" s="117" t="str">
        <x:v>Search_Contacts_for_New_Lead_Email_Address</x:v>
      </x:c>
      <x:c r="C162" s="117" t="str">
        <x:v>No</x:v>
      </x:c>
      <x:c r="D162" s="119" t="str">
        <x:v>Latest inactive v4 (Retrieved XML)</x:v>
      </x:c>
      <x:c r="E162" s="117" t="str">
        <x:v>Contact</x:v>
      </x:c>
      <x:c r="F162" s="119" t="str">
        <x:v>Read, Reference</x:v>
      </x:c>
      <x:c r="G162" s="117" t="str">
        <x:v>No</x:v>
      </x:c>
      <x:c r="H162" s="117" t="str">
        <x:v>AutoLaunchedFlow</x:v>
      </x:c>
    </x:row>
    <x:row r="163" ht="30" customHeight="1">
      <x:c r="A163" s="117" t="str">
        <x:v>3000B0000008l9oQAA</x:v>
      </x:c>
      <x:c r="B163" s="117" t="str">
        <x:v>Search_Contacts_for_Phone_Number</x:v>
      </x:c>
      <x:c r="C163" s="117" t="str">
        <x:v>No</x:v>
      </x:c>
      <x:c r="D163" s="119" t="str">
        <x:v>Latest inactive v1 (Retrieved XML)</x:v>
      </x:c>
      <x:c r="E163" s="117" t="str">
        <x:v>Contact</x:v>
      </x:c>
      <x:c r="F163" s="119" t="str">
        <x:v>Read, Reference</x:v>
      </x:c>
      <x:c r="G163" s="117" t="str">
        <x:v>No</x:v>
      </x:c>
      <x:c r="H163" s="117" t="str">
        <x:v>AutoLaunchedFlow</x:v>
      </x:c>
    </x:row>
    <x:row r="164" ht="30" customHeight="1">
      <x:c r="A164" s="117" t="str">
        <x:v>3005b000000LJFiAAO</x:v>
      </x:c>
      <x:c r="B164" s="117" t="str">
        <x:v>Send_Better_Email_Testflow</x:v>
      </x:c>
      <x:c r="C164" s="117" t="str">
        <x:v>Yes</x:v>
      </x:c>
      <x:c r="D164" s="119" t="str">
        <x:v>Active v1 (Tooling metadata)</x:v>
      </x:c>
      <x:c r="E164" s="117" t="str">
        <x:v>Contact</x:v>
      </x:c>
      <x:c r="F164" s="119" t="str">
        <x:v>Read, Reference, Variable</x:v>
      </x:c>
      <x:c r="G164" s="117" t="str">
        <x:v>No</x:v>
      </x:c>
      <x:c r="H164" s="117" t="str">
        <x:v>Flow</x:v>
      </x:c>
    </x:row>
    <x:row r="165" ht="30" customHeight="1">
      <x:c r="A165" s="117" t="str">
        <x:v>3005b000000H3qjAAC</x:v>
      </x:c>
      <x:c r="B165" s="117" t="str">
        <x:v>Send_Sourcing_Request_Mass_Email_UK</x:v>
      </x:c>
      <x:c r="C165" s="117" t="str">
        <x:v>Yes</x:v>
      </x:c>
      <x:c r="D165" s="119" t="str">
        <x:v>Active v1 (Retrieved XML)</x:v>
      </x:c>
      <x:c r="E165" s="117" t="str">
        <x:v>Contact</x:v>
      </x:c>
      <x:c r="F165" s="119" t="str">
        <x:v>Read, Reference</x:v>
      </x:c>
      <x:c r="G165" s="117" t="str">
        <x:v>No</x:v>
      </x:c>
      <x:c r="H165" s="117" t="str">
        <x:v>Flow</x:v>
      </x:c>
    </x:row>
    <x:row r="166" ht="30" customHeight="1">
      <x:c r="A166" s="117" t="str">
        <x:v>3005b000000H2LpAAK</x:v>
      </x:c>
      <x:c r="B166" s="117" t="str">
        <x:v>Set_Primary_Contact</x:v>
      </x:c>
      <x:c r="C166" s="117" t="str">
        <x:v>No</x:v>
      </x:c>
      <x:c r="D166" s="119" t="str">
        <x:v>Latest inactive v5 (Retrieved XML)</x:v>
      </x:c>
      <x:c r="E166" s="117" t="str">
        <x:v>Contact</x:v>
      </x:c>
      <x:c r="F166" s="119" t="str">
        <x:v>Read, Reference, Variable</x:v>
      </x:c>
      <x:c r="G166" s="117" t="str">
        <x:v>No</x:v>
      </x:c>
      <x:c r="H166" s="117" t="str">
        <x:v>AutoLaunchedFlow</x:v>
      </x:c>
    </x:row>
    <x:row r="167" ht="30" customHeight="1">
      <x:c r="A167" s="117" t="str">
        <x:v>300Ro00000Pz0kzIAB</x:v>
      </x:c>
      <x:c r="B167" s="117" t="str">
        <x:v>Update_comments</x:v>
      </x:c>
      <x:c r="C167" s="117" t="str">
        <x:v>Yes</x:v>
      </x:c>
      <x:c r="D167" s="119" t="str">
        <x:v>Active v192 (Tooling metadata)</x:v>
      </x:c>
      <x:c r="E167" s="117" t="str">
        <x:v>Contact</x:v>
      </x:c>
      <x:c r="F167" s="119" t="str">
        <x:v>Read, Reference, Variable</x:v>
      </x:c>
      <x:c r="G167" s="117" t="str">
        <x:v>No</x:v>
      </x:c>
      <x:c r="H167" s="117" t="str">
        <x:v>FieldServiceMobile</x:v>
      </x:c>
    </x:row>
    <x:row r="168" ht="30" customHeight="1">
      <x:c r="A168" s="117" t="str">
        <x:v>300Ro00000lZu2lIAC</x:v>
      </x:c>
      <x:c r="B168" s="117" t="str">
        <x:v>Work_Order_install_Subflow</x:v>
      </x:c>
      <x:c r="C168" s="117" t="str">
        <x:v>Yes</x:v>
      </x:c>
      <x:c r="D168" s="119" t="str">
        <x:v>Active v12 (Retrieved XML)</x:v>
      </x:c>
      <x:c r="E168" s="117" t="str">
        <x:v>Contact</x:v>
      </x:c>
      <x:c r="F168" s="119" t="str">
        <x:v>Variable</x:v>
      </x:c>
      <x:c r="G168" s="117" t="str">
        <x:v>No</x:v>
      </x:c>
      <x:c r="H168" s="117" t="str">
        <x:v>Flow</x:v>
      </x:c>
    </x:row>
    <x:row r="169" ht="30" customHeight="1">
      <x:c r="A169" s="117" t="str">
        <x:v>3005b000000H3eJAAS</x:v>
      </x:c>
      <x:c r="B169" s="117" t="str">
        <x:v>New_Parts_Opportunity_From_Work_Orker</x:v>
      </x:c>
      <x:c r="C169" s="117" t="str">
        <x:v>Yes</x:v>
      </x:c>
      <x:c r="D169" s="119" t="str">
        <x:v>Active v62 (Retrieved XML)</x:v>
      </x:c>
      <x:c r="E169" s="117" t="str">
        <x:v>ContentDocument</x:v>
      </x:c>
      <x:c r="F169" s="119" t="str">
        <x:v>Read, Reference</x:v>
      </x:c>
      <x:c r="G169" s="117" t="str">
        <x:v>No</x:v>
      </x:c>
      <x:c r="H169" s="117" t="str">
        <x:v>Flow</x:v>
      </x:c>
    </x:row>
    <x:row r="170" ht="30" customHeight="1">
      <x:c r="A170" s="117" t="str">
        <x:v>3005b00000113bMAAQ</x:v>
      </x:c>
      <x:c r="B170" s="117" t="str">
        <x:v>Submit_Credit_Memo_Request_for_Accounting</x:v>
      </x:c>
      <x:c r="C170" s="117" t="str">
        <x:v>Yes</x:v>
      </x:c>
      <x:c r="D170" s="119" t="str">
        <x:v>Active v14 (Tooling metadata)</x:v>
      </x:c>
      <x:c r="E170" s="117" t="str">
        <x:v>ContentDocument</x:v>
      </x:c>
      <x:c r="F170" s="119" t="str">
        <x:v>Read, Reference, Variable</x:v>
      </x:c>
      <x:c r="G170" s="117" t="str">
        <x:v>No</x:v>
      </x:c>
      <x:c r="H170" s="117" t="str">
        <x:v>Flow</x:v>
      </x:c>
    </x:row>
    <x:row r="171" ht="30" customHeight="1">
      <x:c r="A171" s="117" t="str">
        <x:v>300Ro00000KVlAaIAL</x:v>
      </x:c>
      <x:c r="B171" s="117" t="str">
        <x:v>Asset_Has_Files_Automated_Flow</x:v>
      </x:c>
      <x:c r="C171" s="117" t="str">
        <x:v>No</x:v>
      </x:c>
      <x:c r="D171" s="119" t="str">
        <x:v>Latest inactive v5 (Retrieved XML)</x:v>
      </x:c>
      <x:c r="E171" s="117" t="str">
        <x:v>ContentDocumentLink</x:v>
      </x:c>
      <x:c r="F171" s="119" t="str">
        <x:v>Read, Reference</x:v>
      </x:c>
      <x:c r="G171" s="117" t="str">
        <x:v>No</x:v>
      </x:c>
      <x:c r="H171" s="117" t="str">
        <x:v>AutoLaunchedFlow</x:v>
      </x:c>
    </x:row>
    <x:row r="172" ht="30" customHeight="1">
      <x:c r="A172" s="117" t="str">
        <x:v>300Ro00000H0rLzIAJ</x:v>
      </x:c>
      <x:c r="B172" s="117" t="str">
        <x:v>Credit_Memo_Sync_Notification</x:v>
      </x:c>
      <x:c r="C172" s="117" t="str">
        <x:v>Yes</x:v>
      </x:c>
      <x:c r="D172" s="119" t="str">
        <x:v>Active v9 (Retrieved XML)</x:v>
      </x:c>
      <x:c r="E172" s="117" t="str">
        <x:v>ContentDocumentLink</x:v>
      </x:c>
      <x:c r="F172" s="119" t="str">
        <x:v>Read, Reference, Variable</x:v>
      </x:c>
      <x:c r="G172" s="117" t="str">
        <x:v>No</x:v>
      </x:c>
      <x:c r="H172" s="117" t="str">
        <x:v>AutoLaunchedFlow</x:v>
      </x:c>
    </x:row>
    <x:row r="173" ht="30" customHeight="1">
      <x:c r="A173" s="117" t="str">
        <x:v>3005b000000H3uqAAC</x:v>
      </x:c>
      <x:c r="B173" s="117" t="str">
        <x:v>Has_Files_Flow</x:v>
      </x:c>
      <x:c r="C173" s="117" t="str">
        <x:v>No</x:v>
      </x:c>
      <x:c r="D173" s="119" t="str">
        <x:v>Latest inactive v1 (Retrieved XML)</x:v>
      </x:c>
      <x:c r="E173" s="117" t="str">
        <x:v>ContentDocumentLink</x:v>
      </x:c>
      <x:c r="F173" s="119" t="str">
        <x:v>Read, Reference</x:v>
      </x:c>
      <x:c r="G173" s="117" t="str">
        <x:v>No</x:v>
      </x:c>
      <x:c r="H173" s="117" t="str">
        <x:v>AutoLaunchedFlow</x:v>
      </x:c>
    </x:row>
    <x:row r="174" ht="30" customHeight="1">
      <x:c r="A174" s="117" t="str">
        <x:v>300Ro00000FwcE1IAJ</x:v>
      </x:c>
      <x:c r="B174" s="117" t="str">
        <x:v>Invoice_Sync_Notification</x:v>
      </x:c>
      <x:c r="C174" s="117" t="str">
        <x:v>Yes</x:v>
      </x:c>
      <x:c r="D174" s="119" t="str">
        <x:v>Active v12 (Retrieved XML)</x:v>
      </x:c>
      <x:c r="E174" s="117" t="str">
        <x:v>ContentDocumentLink</x:v>
      </x:c>
      <x:c r="F174" s="119" t="str">
        <x:v>Read, Reference, Variable</x:v>
      </x:c>
      <x:c r="G174" s="117" t="str">
        <x:v>No</x:v>
      </x:c>
      <x:c r="H174" s="117" t="str">
        <x:v>AutoLaunchedFlow</x:v>
      </x:c>
    </x:row>
    <x:row r="175" ht="30" customHeight="1">
      <x:c r="A175" s="117" t="str">
        <x:v>3005b000000H3eJAAS</x:v>
      </x:c>
      <x:c r="B175" s="117" t="str">
        <x:v>New_Parts_Opportunity_From_Work_Orker</x:v>
      </x:c>
      <x:c r="C175" s="117" t="str">
        <x:v>Yes</x:v>
      </x:c>
      <x:c r="D175" s="119" t="str">
        <x:v>Active v62 (Retrieved XML)</x:v>
      </x:c>
      <x:c r="E175" s="117" t="str">
        <x:v>ContentDocumentLink</x:v>
      </x:c>
      <x:c r="F175" s="119" t="str">
        <x:v>Read, Reference, Variable</x:v>
      </x:c>
      <x:c r="G175" s="117" t="str">
        <x:v>No</x:v>
      </x:c>
      <x:c r="H175" s="117" t="str">
        <x:v>Flow</x:v>
      </x:c>
    </x:row>
    <x:row r="176" ht="30" customHeight="1">
      <x:c r="A176" s="117" t="str">
        <x:v>3005b000000PzkmAAC</x:v>
      </x:c>
      <x:c r="B176" s="117" t="str">
        <x:v>Register_System_Lead_with_Mindray_Button_Flow</x:v>
      </x:c>
      <x:c r="C176" s="117" t="str">
        <x:v>Yes</x:v>
      </x:c>
      <x:c r="D176" s="119" t="str">
        <x:v>Active v11 (Retrieved XML)</x:v>
      </x:c>
      <x:c r="E176" s="117" t="str">
        <x:v>ContentDocumentLink</x:v>
      </x:c>
      <x:c r="F176" s="119" t="str">
        <x:v>Read, Reference, Variable</x:v>
      </x:c>
      <x:c r="G176" s="117" t="str">
        <x:v>No</x:v>
      </x:c>
      <x:c r="H176" s="117" t="str">
        <x:v>Flow</x:v>
      </x:c>
    </x:row>
    <x:row r="177" ht="30" customHeight="1">
      <x:c r="A177" s="117" t="str">
        <x:v>3005b000000LJFiAAO</x:v>
      </x:c>
      <x:c r="B177" s="117" t="str">
        <x:v>Send_Better_Email_Testflow</x:v>
      </x:c>
      <x:c r="C177" s="117" t="str">
        <x:v>Yes</x:v>
      </x:c>
      <x:c r="D177" s="119" t="str">
        <x:v>Active v1 (Tooling metadata)</x:v>
      </x:c>
      <x:c r="E177" s="117" t="str">
        <x:v>ContentDocumentLink</x:v>
      </x:c>
      <x:c r="F177" s="119" t="str">
        <x:v>Read, Reference, Variable</x:v>
      </x:c>
      <x:c r="G177" s="117" t="str">
        <x:v>No</x:v>
      </x:c>
      <x:c r="H177" s="117" t="str">
        <x:v>Flow</x:v>
      </x:c>
    </x:row>
    <x:row r="178" ht="30" customHeight="1">
      <x:c r="A178" s="117" t="str">
        <x:v>3005b00000113bMAAQ</x:v>
      </x:c>
      <x:c r="B178" s="117" t="str">
        <x:v>Submit_Credit_Memo_Request_for_Accounting</x:v>
      </x:c>
      <x:c r="C178" s="117" t="str">
        <x:v>Yes</x:v>
      </x:c>
      <x:c r="D178" s="119" t="str">
        <x:v>Active v14 (Tooling metadata)</x:v>
      </x:c>
      <x:c r="E178" s="117" t="str">
        <x:v>ContentDocumentLink</x:v>
      </x:c>
      <x:c r="F178" s="119" t="str">
        <x:v>Variable</x:v>
      </x:c>
      <x:c r="G178" s="117" t="str">
        <x:v>No</x:v>
      </x:c>
      <x:c r="H178" s="117" t="str">
        <x:v>Flow</x:v>
      </x:c>
    </x:row>
    <x:row r="179" ht="30" customHeight="1">
      <x:c r="A179" s="117" t="str">
        <x:v>300Ro00000SgtMZIAZ</x:v>
      </x:c>
      <x:c r="B179" s="117" t="str">
        <x:v>Assigned_Resource_Create_OR_Update_Service_Event</x:v>
      </x:c>
      <x:c r="C179" s="117" t="str">
        <x:v>Yes</x:v>
      </x:c>
      <x:c r="D179" s="119" t="str">
        <x:v>Active v6 (Tooling metadata)</x:v>
      </x:c>
      <x:c r="E179" s="117" t="str">
        <x:v>ContractLineItem</x:v>
      </x:c>
      <x:c r="F179" s="119" t="str">
        <x:v>Read, Reference</x:v>
      </x:c>
      <x:c r="G179" s="117" t="str">
        <x:v>No</x:v>
      </x:c>
      <x:c r="H179" s="117" t="str">
        <x:v>AutoLaunchedFlow</x:v>
      </x:c>
    </x:row>
    <x:row r="180" ht="30" customHeight="1">
      <x:c r="A180" s="117" t="str">
        <x:v>3005b000000H42uAAC</x:v>
      </x:c>
      <x:c r="B180" s="117" t="str">
        <x:v>Change_Contract_Line_Item_Product_UK</x:v>
      </x:c>
      <x:c r="C180" s="117" t="str">
        <x:v>Yes</x:v>
      </x:c>
      <x:c r="D180" s="119" t="str">
        <x:v>Active v9 (Retrieved XML)</x:v>
      </x:c>
      <x:c r="E180" s="117" t="str">
        <x:v>ContractLineItem</x:v>
      </x:c>
      <x:c r="F180" s="119" t="str">
        <x:v>Create, Read, Reference</x:v>
      </x:c>
      <x:c r="G180" s="117" t="str">
        <x:v>No</x:v>
      </x:c>
      <x:c r="H180" s="117" t="str">
        <x:v>Flow</x:v>
      </x:c>
    </x:row>
    <x:row r="181" ht="30" customHeight="1">
      <x:c r="A181" s="117" t="str">
        <x:v>300Ro00000q8I1rIAE</x:v>
      </x:c>
      <x:c r="B181" s="117" t="str">
        <x:v>Contract_Line_Item_Calculate_Running_Coverage_Duration_Business_Hours</x:v>
      </x:c>
      <x:c r="C181" s="117" t="str">
        <x:v>No</x:v>
      </x:c>
      <x:c r="D181" s="119" t="str">
        <x:v>Latest inactive v1 (Retrieved XML)</x:v>
      </x:c>
      <x:c r="E181" s="117" t="str">
        <x:v>ContractLineItem</x:v>
      </x:c>
      <x:c r="F181" s="119" t="str">
        <x:v>Read, Reference, Variable</x:v>
      </x:c>
      <x:c r="G181" s="117" t="str">
        <x:v>No</x:v>
      </x:c>
      <x:c r="H181" s="117" t="str">
        <x:v>AutoLaunchedFlow</x:v>
      </x:c>
    </x:row>
    <x:row r="182" ht="30" customHeight="1">
      <x:c r="A182" s="117" t="str">
        <x:v>300Ro000013nZjxIAE</x:v>
      </x:c>
      <x:c r="B182" s="117" t="str">
        <x:v>Contract_Line_Item_Cancel_Work_Orders_on_Decommissioning</x:v>
      </x:c>
      <x:c r="C182" s="117" t="str">
        <x:v>Yes</x:v>
      </x:c>
      <x:c r="D182" s="119" t="str">
        <x:v>Active v6 (Retrieved XML)</x:v>
      </x:c>
      <x:c r="E182" s="117" t="str">
        <x:v>ContractLineItem</x:v>
      </x:c>
      <x:c r="F182" s="119" t="str">
        <x:v>Reference, Trigger</x:v>
      </x:c>
      <x:c r="G182" s="117" t="str">
        <x:v>Yes</x:v>
      </x:c>
      <x:c r="H182" s="117" t="str">
        <x:v>AutoLaunchedFlow</x:v>
      </x:c>
    </x:row>
    <x:row r="183" ht="30" customHeight="1">
      <x:c r="A183" s="117" t="str">
        <x:v>300Ro00000xgwAVIAY</x:v>
      </x:c>
      <x:c r="B183" s="117" t="str">
        <x:v>Contract_Line_Item_Creation_or_Update_Set_Lifecycle_Status</x:v>
      </x:c>
      <x:c r="C183" s="117" t="str">
        <x:v>Yes</x:v>
      </x:c>
      <x:c r="D183" s="119" t="str">
        <x:v>Active v3 (Retrieved XML)</x:v>
      </x:c>
      <x:c r="E183" s="117" t="str">
        <x:v>ContractLineItem</x:v>
      </x:c>
      <x:c r="F183" s="119" t="str">
        <x:v>Reference, Trigger, Update</x:v>
      </x:c>
      <x:c r="G183" s="117" t="str">
        <x:v>Yes</x:v>
      </x:c>
      <x:c r="H183" s="117" t="str">
        <x:v>AutoLaunchedFlow</x:v>
      </x:c>
    </x:row>
    <x:row r="184" ht="30" customHeight="1">
      <x:c r="A184" s="117" t="str">
        <x:v>300Ro00000wU0CTIA0</x:v>
      </x:c>
      <x:c r="B184" s="117" t="str">
        <x:v>Contract_Line_Item_Edit_Multiple_Work_Orders_Screen_Flow</x:v>
      </x:c>
      <x:c r="C184" s="117" t="str">
        <x:v>Yes</x:v>
      </x:c>
      <x:c r="D184" s="119" t="str">
        <x:v>Active v2 (Retrieved XML)</x:v>
      </x:c>
      <x:c r="E184" s="117" t="str">
        <x:v>ContractLineItem</x:v>
      </x:c>
      <x:c r="F184" s="119" t="str">
        <x:v>Read, Reference</x:v>
      </x:c>
      <x:c r="G184" s="117" t="str">
        <x:v>No</x:v>
      </x:c>
      <x:c r="H184" s="117" t="str">
        <x:v>Flow</x:v>
      </x:c>
    </x:row>
    <x:row r="185" ht="30" customHeight="1">
      <x:c r="A185" s="117" t="str">
        <x:v>300Ro00000V6HVlIAN</x:v>
      </x:c>
      <x:c r="B185" s="117" t="str">
        <x:v>Contract_Line_Item_Trigger_Create_QA_Upon_Save</x:v>
      </x:c>
      <x:c r="C185" s="117" t="str">
        <x:v>Yes</x:v>
      </x:c>
      <x:c r="D185" s="119" t="str">
        <x:v>Active v1 (Retrieved XML)</x:v>
      </x:c>
      <x:c r="E185" s="117" t="str">
        <x:v>ContractLineItem</x:v>
      </x:c>
      <x:c r="F185" s="119" t="str">
        <x:v>Reference, Trigger</x:v>
      </x:c>
      <x:c r="G185" s="117" t="str">
        <x:v>Yes</x:v>
      </x:c>
      <x:c r="H185" s="117" t="str">
        <x:v>AutoLaunchedFlow</x:v>
      </x:c>
    </x:row>
    <x:row r="186" ht="30" customHeight="1">
      <x:c r="A186" s="117" t="str">
        <x:v>3005b000000H1utAAC</x:v>
      </x:c>
      <x:c r="B186" s="117" t="str">
        <x:v>Create_contract_line_items_and_entitlements</x:v>
      </x:c>
      <x:c r="C186" s="117" t="str">
        <x:v>Yes</x:v>
      </x:c>
      <x:c r="D186" s="119" t="str">
        <x:v>Active v11 (Retrieved XML)</x:v>
      </x:c>
      <x:c r="E186" s="117" t="str">
        <x:v>ContractLineItem</x:v>
      </x:c>
      <x:c r="F186" s="119" t="str">
        <x:v>Create, Reference, Variable</x:v>
      </x:c>
      <x:c r="G186" s="117" t="str">
        <x:v>No</x:v>
      </x:c>
      <x:c r="H186" s="117" t="str">
        <x:v>Flow</x:v>
      </x:c>
    </x:row>
    <x:row r="187" ht="30" customHeight="1">
      <x:c r="A187" s="117" t="str">
        <x:v>3005b000000H3leAAC</x:v>
      </x:c>
      <x:c r="B187" s="117" t="str">
        <x:v>Create_Contract_Line_Items_Entitlements_and_Work_Orders</x:v>
      </x:c>
      <x:c r="C187" s="117" t="str">
        <x:v>No</x:v>
      </x:c>
      <x:c r="D187" s="119" t="str">
        <x:v>Latest inactive v3 (Retrieved XML)</x:v>
      </x:c>
      <x:c r="E187" s="117" t="str">
        <x:v>ContractLineItem</x:v>
      </x:c>
      <x:c r="F187" s="119" t="str">
        <x:v>Create, Reference, Variable</x:v>
      </x:c>
      <x:c r="G187" s="117" t="str">
        <x:v>No</x:v>
      </x:c>
      <x:c r="H187" s="117" t="str">
        <x:v>Flow</x:v>
      </x:c>
    </x:row>
    <x:row r="188" ht="30" customHeight="1">
      <x:c r="A188" s="117" t="str">
        <x:v>3005b000000H3pgAAC</x:v>
      </x:c>
      <x:c r="B188" s="117" t="str">
        <x:v>Create_Contract_Line_Items_Entitlements_and_Work_Orders_V4</x:v>
      </x:c>
      <x:c r="C188" s="117" t="str">
        <x:v>Yes</x:v>
      </x:c>
      <x:c r="D188" s="119" t="str">
        <x:v>Active v17 (Tooling metadata)</x:v>
      </x:c>
      <x:c r="E188" s="117" t="str">
        <x:v>ContractLineItem</x:v>
      </x:c>
      <x:c r="F188" s="119" t="str">
        <x:v>Create, Reference, Variable</x:v>
      </x:c>
      <x:c r="G188" s="117" t="str">
        <x:v>No</x:v>
      </x:c>
      <x:c r="H188" s="117" t="str">
        <x:v>Flow</x:v>
      </x:c>
    </x:row>
    <x:row r="189" ht="30" customHeight="1">
      <x:c r="A189" s="117" t="str">
        <x:v>300Ro00000kseeBIAQ</x:v>
      </x:c>
      <x:c r="B189" s="117" t="str">
        <x:v>Create_Field_Service_Work_Order_in_Salesforce</x:v>
      </x:c>
      <x:c r="C189" s="117" t="str">
        <x:v>Yes</x:v>
      </x:c>
      <x:c r="D189" s="119" t="str">
        <x:v>Active v9 (Retrieved XML)</x:v>
      </x:c>
      <x:c r="E189" s="117" t="str">
        <x:v>ContractLineItem</x:v>
      </x:c>
      <x:c r="F189" s="119" t="str">
        <x:v>Read, Reference, Variable</x:v>
      </x:c>
      <x:c r="G189" s="117" t="str">
        <x:v>No</x:v>
      </x:c>
      <x:c r="H189" s="117" t="str">
        <x:v>Flow</x:v>
      </x:c>
    </x:row>
    <x:row r="190" ht="30" customHeight="1">
      <x:c r="A190" s="117" t="str">
        <x:v>300jR000000BuwaQAC</x:v>
      </x:c>
      <x:c r="B190" s="117" t="str">
        <x:v>Create_FSL_Work_Order_on_SF_Objects</x:v>
      </x:c>
      <x:c r="C190" s="117" t="str">
        <x:v>Yes</x:v>
      </x:c>
      <x:c r="D190" s="119" t="str">
        <x:v>Active v7 (Retrieved XML)</x:v>
      </x:c>
      <x:c r="E190" s="117" t="str">
        <x:v>ContractLineItem</x:v>
      </x:c>
      <x:c r="F190" s="119" t="str">
        <x:v>Read, Reference</x:v>
      </x:c>
      <x:c r="G190" s="117" t="str">
        <x:v>No</x:v>
      </x:c>
      <x:c r="H190" s="117" t="str">
        <x:v>Flow</x:v>
      </x:c>
    </x:row>
    <x:row r="191" ht="30" customHeight="1">
      <x:c r="A191" s="117" t="str">
        <x:v>300Ro00000H90tTIAR</x:v>
      </x:c>
      <x:c r="B191" s="117" t="str">
        <x:v>Create_Service_Calendar_Event_from_Service_Resource_UK</x:v>
      </x:c>
      <x:c r="C191" s="117" t="str">
        <x:v>No</x:v>
      </x:c>
      <x:c r="D191" s="119" t="str">
        <x:v>Latest inactive v13 (Retrieved XML)</x:v>
      </x:c>
      <x:c r="E191" s="117" t="str">
        <x:v>ContractLineItem</x:v>
      </x:c>
      <x:c r="F191" s="119" t="str">
        <x:v>Read, Reference</x:v>
      </x:c>
      <x:c r="G191" s="117" t="str">
        <x:v>No</x:v>
      </x:c>
      <x:c r="H191" s="117" t="str">
        <x:v>AutoLaunchedFlow</x:v>
      </x:c>
    </x:row>
    <x:row r="192" ht="30" customHeight="1">
      <x:c r="A192" s="117" t="str">
        <x:v>300Ro00000H90tUIAR</x:v>
      </x:c>
      <x:c r="B192" s="117" t="str">
        <x:v>Create_UK_FSL_Work_Order</x:v>
      </x:c>
      <x:c r="C192" s="117" t="str">
        <x:v>Yes</x:v>
      </x:c>
      <x:c r="D192" s="119" t="str">
        <x:v>Active v15 (Retrieved XML)</x:v>
      </x:c>
      <x:c r="E192" s="117" t="str">
        <x:v>ContractLineItem</x:v>
      </x:c>
      <x:c r="F192" s="119" t="str">
        <x:v>Read, Reference</x:v>
      </x:c>
      <x:c r="G192" s="117" t="str">
        <x:v>No</x:v>
      </x:c>
      <x:c r="H192" s="117" t="str">
        <x:v>Flow</x:v>
      </x:c>
    </x:row>
    <x:row r="193" ht="30" customHeight="1">
      <x:c r="A193" s="117" t="str">
        <x:v>300Ro00000cwVgiIAE</x:v>
      </x:c>
      <x:c r="B193" s="117" t="str">
        <x:v>Create_US_FSL_Work_Order</x:v>
      </x:c>
      <x:c r="C193" s="117" t="str">
        <x:v>Yes</x:v>
      </x:c>
      <x:c r="D193" s="119" t="str">
        <x:v>Active v1 (Retrieved XML)</x:v>
      </x:c>
      <x:c r="E193" s="117" t="str">
        <x:v>ContractLineItem</x:v>
      </x:c>
      <x:c r="F193" s="119" t="str">
        <x:v>Read, Reference</x:v>
      </x:c>
      <x:c r="G193" s="117" t="str">
        <x:v>No</x:v>
      </x:c>
      <x:c r="H193" s="117" t="str">
        <x:v>Flow</x:v>
      </x:c>
    </x:row>
    <x:row r="194" ht="30" customHeight="1">
      <x:c r="A194" s="117" t="str">
        <x:v>3005b000000H3dpAAC</x:v>
      </x:c>
      <x:c r="B194" s="117" t="str">
        <x:v>Create_Work_Order_From_Contract_Line_Item</x:v>
      </x:c>
      <x:c r="C194" s="117" t="str">
        <x:v>Yes</x:v>
      </x:c>
      <x:c r="D194" s="119" t="str">
        <x:v>Active v8 (Retrieved XML)</x:v>
      </x:c>
      <x:c r="E194" s="117" t="str">
        <x:v>ContractLineItem</x:v>
      </x:c>
      <x:c r="F194" s="119" t="str">
        <x:v>Read, Reference</x:v>
      </x:c>
      <x:c r="G194" s="117" t="str">
        <x:v>No</x:v>
      </x:c>
      <x:c r="H194" s="117" t="str">
        <x:v>Flow</x:v>
      </x:c>
    </x:row>
    <x:row r="195" ht="30" customHeight="1">
      <x:c r="A195" s="117" t="str">
        <x:v>300Ro00000aDxwqIAC</x:v>
      </x:c>
      <x:c r="B195" s="117" t="str">
        <x:v>Create_Work_Orders_from_Contract_Renewal</x:v>
      </x:c>
      <x:c r="C195" s="117" t="str">
        <x:v>Yes</x:v>
      </x:c>
      <x:c r="D195" s="119" t="str">
        <x:v>Active v10 (Tooling metadata)</x:v>
      </x:c>
      <x:c r="E195" s="117" t="str">
        <x:v>ContractLineItem</x:v>
      </x:c>
      <x:c r="F195" s="119" t="str">
        <x:v>Read, Reference, Variable</x:v>
      </x:c>
      <x:c r="G195" s="117" t="str">
        <x:v>No</x:v>
      </x:c>
      <x:c r="H195" s="117" t="str">
        <x:v>AutoLaunchedFlow</x:v>
      </x:c>
    </x:row>
    <x:row r="196" ht="30" customHeight="1">
      <x:c r="A196" s="117" t="str">
        <x:v>3005b000000LHN0AAO</x:v>
      </x:c>
      <x:c r="B196" s="117" t="str">
        <x:v>CreateRenewalContractFromExistingUK_BETA</x:v>
      </x:c>
      <x:c r="C196" s="117" t="str">
        <x:v>No</x:v>
      </x:c>
      <x:c r="D196" s="119" t="str">
        <x:v>Latest inactive v1 (Retrieved XML)</x:v>
      </x:c>
      <x:c r="E196" s="117" t="str">
        <x:v>ContractLineItem</x:v>
      </x:c>
      <x:c r="F196" s="119" t="str">
        <x:v>Create, Read, Reference, Variable</x:v>
      </x:c>
      <x:c r="G196" s="117" t="str">
        <x:v>No</x:v>
      </x:c>
      <x:c r="H196" s="117" t="str">
        <x:v>Flow</x:v>
      </x:c>
    </x:row>
    <x:row r="197" ht="30" customHeight="1">
      <x:c r="A197" s="117" t="str">
        <x:v>300Ro00000Pz0kfIAB</x:v>
      </x:c>
      <x:c r="B197" s="117" t="str">
        <x:v>CT_Checklist</x:v>
      </x:c>
      <x:c r="C197" s="117" t="str">
        <x:v>Yes</x:v>
      </x:c>
      <x:c r="D197" s="119" t="str">
        <x:v>Active v7 (Retrieved XML)</x:v>
      </x:c>
      <x:c r="E197" s="117" t="str">
        <x:v>ContractLineItem</x:v>
      </x:c>
      <x:c r="F197" s="119" t="str">
        <x:v>Read, Reference</x:v>
      </x:c>
      <x:c r="G197" s="117" t="str">
        <x:v>No</x:v>
      </x:c>
      <x:c r="H197" s="117" t="str">
        <x:v>FieldServiceMobile</x:v>
      </x:c>
    </x:row>
    <x:row r="198" ht="30" customHeight="1">
      <x:c r="A198" s="117" t="str">
        <x:v>300Ro00000ydLuvIAE</x:v>
      </x:c>
      <x:c r="B198" s="117" t="str">
        <x:v>FSL_Close_Out_Service_Appointment_Field_Service_Mobile_Flow</x:v>
      </x:c>
      <x:c r="C198" s="117" t="str">
        <x:v>No</x:v>
      </x:c>
      <x:c r="D198" s="119" t="str">
        <x:v>Latest inactive v4 (Retrieved XML)</x:v>
      </x:c>
      <x:c r="E198" s="117" t="str">
        <x:v>ContractLineItem</x:v>
      </x:c>
      <x:c r="F198" s="119" t="str">
        <x:v>Read, Reference, Update, Variable</x:v>
      </x:c>
      <x:c r="G198" s="117" t="str">
        <x:v>No</x:v>
      </x:c>
      <x:c r="H198" s="117" t="str">
        <x:v>FieldServiceMobile</x:v>
      </x:c>
    </x:row>
    <x:row r="199" ht="30" customHeight="1">
      <x:c r="A199" s="117" t="str">
        <x:v>300Ro00000sJizMIAS</x:v>
      </x:c>
      <x:c r="B199" s="117" t="str">
        <x:v>FSL_CR_Checklist</x:v>
      </x:c>
      <x:c r="C199" s="117" t="str">
        <x:v>Yes</x:v>
      </x:c>
      <x:c r="D199" s="119" t="str">
        <x:v>Active v6 (Retrieved XML)</x:v>
      </x:c>
      <x:c r="E199" s="117" t="str">
        <x:v>ContractLineItem</x:v>
      </x:c>
      <x:c r="F199" s="119" t="str">
        <x:v>Read, Reference, Update</x:v>
      </x:c>
      <x:c r="G199" s="117" t="str">
        <x:v>No</x:v>
      </x:c>
      <x:c r="H199" s="117" t="str">
        <x:v>FieldServiceMobile</x:v>
      </x:c>
    </x:row>
    <x:row r="200" ht="30" customHeight="1">
      <x:c r="A200" s="117" t="str">
        <x:v>300Ro00000vEXZZIA4</x:v>
      </x:c>
      <x:c r="B200" s="117" t="str">
        <x:v>FSL_Field_Service_Mobile_Flow_Nuclear_Medicine_Checklist</x:v>
      </x:c>
      <x:c r="C200" s="117" t="str">
        <x:v>No</x:v>
      </x:c>
      <x:c r="D200" s="119" t="str">
        <x:v>Latest inactive v2 (Retrieved XML)</x:v>
      </x:c>
      <x:c r="E200" s="117" t="str">
        <x:v>ContractLineItem</x:v>
      </x:c>
      <x:c r="F200" s="119" t="str">
        <x:v>Read, Reference</x:v>
      </x:c>
      <x:c r="G200" s="117" t="str">
        <x:v>No</x:v>
      </x:c>
      <x:c r="H200" s="117" t="str">
        <x:v>FieldServiceMobile</x:v>
      </x:c>
    </x:row>
    <x:row r="201" ht="30" customHeight="1">
      <x:c r="A201" s="117" t="str">
        <x:v>300Ro00000pEARxIAO</x:v>
      </x:c>
      <x:c r="B201" s="117" t="str">
        <x:v>FSL_Formatted_HTML_Service_Report_Update</x:v>
      </x:c>
      <x:c r="C201" s="117" t="str">
        <x:v>Yes</x:v>
      </x:c>
      <x:c r="D201" s="119" t="str">
        <x:v>Active v35 (Retrieved XML)</x:v>
      </x:c>
      <x:c r="E201" s="117" t="str">
        <x:v>ContractLineItem</x:v>
      </x:c>
      <x:c r="F201" s="119" t="str">
        <x:v>Read, Reference</x:v>
      </x:c>
      <x:c r="G201" s="117" t="str">
        <x:v>No</x:v>
      </x:c>
      <x:c r="H201" s="117" t="str">
        <x:v>AutoLaunchedFlow</x:v>
      </x:c>
    </x:row>
    <x:row r="202" ht="30" customHeight="1">
      <x:c r="A202" s="117" t="str">
        <x:v>300Ro00000pvIVtIAM</x:v>
      </x:c>
      <x:c r="B202" s="117" t="str">
        <x:v>FSL_Mobile_Service_Appointment_Closeout</x:v>
      </x:c>
      <x:c r="C202" s="117" t="str">
        <x:v>Yes</x:v>
      </x:c>
      <x:c r="D202" s="119" t="str">
        <x:v>Active v1 (Retrieved XML)</x:v>
      </x:c>
      <x:c r="E202" s="117" t="str">
        <x:v>ContractLineItem</x:v>
      </x:c>
      <x:c r="F202" s="119" t="str">
        <x:v>Read, Reference, Update, Variable</x:v>
      </x:c>
      <x:c r="G202" s="117" t="str">
        <x:v>No</x:v>
      </x:c>
      <x:c r="H202" s="117" t="str">
        <x:v>FieldServiceMobile</x:v>
      </x:c>
    </x:row>
    <x:row r="203" ht="30" customHeight="1">
      <x:c r="A203" s="117" t="str">
        <x:v>300Ro000013byfhIAA</x:v>
      </x:c>
      <x:c r="B203" s="117" t="str">
        <x:v>FSL_Ultrasound_Electrical_Safety_Tests_Checklist</x:v>
      </x:c>
      <x:c r="C203" s="117" t="str">
        <x:v>Yes</x:v>
      </x:c>
      <x:c r="D203" s="119" t="str">
        <x:v>Active v2 (Retrieved XML)</x:v>
      </x:c>
      <x:c r="E203" s="117" t="str">
        <x:v>ContractLineItem</x:v>
      </x:c>
      <x:c r="F203" s="119" t="str">
        <x:v>Read, Reference, Update</x:v>
      </x:c>
      <x:c r="G203" s="117" t="str">
        <x:v>No</x:v>
      </x:c>
      <x:c r="H203" s="117" t="str">
        <x:v>FieldServiceMobile</x:v>
      </x:c>
    </x:row>
    <x:row r="204" ht="30" customHeight="1">
      <x:c r="A204" s="117" t="str">
        <x:v>300Ro00000cwVggIAE</x:v>
      </x:c>
      <x:c r="B204" s="117" t="str">
        <x:v>Mobile_Create_Work_Order_From_Account</x:v>
      </x:c>
      <x:c r="C204" s="117" t="str">
        <x:v>Yes</x:v>
      </x:c>
      <x:c r="D204" s="119" t="str">
        <x:v>Active v1 (Retrieved XML)</x:v>
      </x:c>
      <x:c r="E204" s="117" t="str">
        <x:v>ContractLineItem</x:v>
      </x:c>
      <x:c r="F204" s="119" t="str">
        <x:v>Variable</x:v>
      </x:c>
      <x:c r="G204" s="117" t="str">
        <x:v>No</x:v>
      </x:c>
      <x:c r="H204" s="117" t="str">
        <x:v>FieldServiceMobile</x:v>
      </x:c>
    </x:row>
    <x:row r="205" ht="30" customHeight="1">
      <x:c r="A205" s="117" t="str">
        <x:v>300Ro00000cwVghIAE</x:v>
      </x:c>
      <x:c r="B205" s="117" t="str">
        <x:v>Mobile_Create_Work_Order_From_Contract_Line_Item</x:v>
      </x:c>
      <x:c r="C205" s="117" t="str">
        <x:v>Yes</x:v>
      </x:c>
      <x:c r="D205" s="119" t="str">
        <x:v>Active v1 (Retrieved XML)</x:v>
      </x:c>
      <x:c r="E205" s="117" t="str">
        <x:v>ContractLineItem</x:v>
      </x:c>
      <x:c r="F205" s="119" t="str">
        <x:v>Read, Reference, Variable</x:v>
      </x:c>
      <x:c r="G205" s="117" t="str">
        <x:v>No</x:v>
      </x:c>
      <x:c r="H205" s="117" t="str">
        <x:v>FieldServiceMobile</x:v>
      </x:c>
    </x:row>
    <x:row r="206" ht="30" customHeight="1">
      <x:c r="A206" s="117" t="str">
        <x:v>300Ro00000xL7RAIA0</x:v>
      </x:c>
      <x:c r="B206" s="117" t="str">
        <x:v>On_Create_Parts_Sales_Value_Rollup</x:v>
      </x:c>
      <x:c r="C206" s="117" t="str">
        <x:v>Yes</x:v>
      </x:c>
      <x:c r="D206" s="119" t="str">
        <x:v>Active v3 (Retrieved XML)</x:v>
      </x:c>
      <x:c r="E206" s="117" t="str">
        <x:v>ContractLineItem</x:v>
      </x:c>
      <x:c r="F206" s="119" t="str">
        <x:v>Variable</x:v>
      </x:c>
      <x:c r="G206" s="117" t="str">
        <x:v>No</x:v>
      </x:c>
      <x:c r="H206" s="117" t="str">
        <x:v>AutoLaunchedFlow</x:v>
      </x:c>
    </x:row>
    <x:row r="207" ht="30" customHeight="1">
      <x:c r="A207" s="117" t="str">
        <x:v>3005b000000H1eMAAS</x:v>
      </x:c>
      <x:c r="B207" s="117" t="str">
        <x:v>Opportunity_Create_Warranty_Service_Contract</x:v>
      </x:c>
      <x:c r="C207" s="117" t="str">
        <x:v>Yes</x:v>
      </x:c>
      <x:c r="D207" s="119" t="str">
        <x:v>Active v16 (Retrieved XML)</x:v>
      </x:c>
      <x:c r="E207" s="117" t="str">
        <x:v>ContractLineItem</x:v>
      </x:c>
      <x:c r="F207" s="119" t="str">
        <x:v>Variable</x:v>
      </x:c>
      <x:c r="G207" s="117" t="str">
        <x:v>No</x:v>
      </x:c>
      <x:c r="H207" s="117" t="str">
        <x:v>AutoLaunchedFlow</x:v>
      </x:c>
    </x:row>
    <x:row r="208" ht="30" customHeight="1">
      <x:c r="A208" s="117" t="str">
        <x:v>3005b000000H3y9AAC</x:v>
      </x:c>
      <x:c r="B208" s="117" t="str">
        <x:v>Parts_Pool_10k_Alert_Flow</x:v>
      </x:c>
      <x:c r="C208" s="117" t="str">
        <x:v>Yes</x:v>
      </x:c>
      <x:c r="D208" s="119" t="str">
        <x:v>Active v1 (Retrieved XML)</x:v>
      </x:c>
      <x:c r="E208" s="117" t="str">
        <x:v>ContractLineItem</x:v>
      </x:c>
      <x:c r="F208" s="119" t="str">
        <x:v>Reference, Trigger</x:v>
      </x:c>
      <x:c r="G208" s="117" t="str">
        <x:v>Yes</x:v>
      </x:c>
      <x:c r="H208" s="117" t="str">
        <x:v>AutoLaunchedFlow</x:v>
      </x:c>
    </x:row>
    <x:row r="209" ht="30" customHeight="1">
      <x:c r="A209" s="117" t="str">
        <x:v>300Ro00000U7G8UIAV</x:v>
      </x:c>
      <x:c r="B209" s="117" t="str">
        <x:v>Screen_Work_Order_Asset_Contract_Line_Update</x:v>
      </x:c>
      <x:c r="C209" s="117" t="str">
        <x:v>Yes</x:v>
      </x:c>
      <x:c r="D209" s="119" t="str">
        <x:v>Active v1 (Tooling metadata)</x:v>
      </x:c>
      <x:c r="E209" s="117" t="str">
        <x:v>ContractLineItem</x:v>
      </x:c>
      <x:c r="F209" s="119" t="str">
        <x:v>Read, Reference, Variable</x:v>
      </x:c>
      <x:c r="G209" s="117" t="str">
        <x:v>No</x:v>
      </x:c>
      <x:c r="H209" s="117" t="str">
        <x:v>Flow</x:v>
      </x:c>
    </x:row>
    <x:row r="210" ht="30" customHeight="1">
      <x:c r="A210" s="117" t="str">
        <x:v>300Ro000014GODFIA4</x:v>
      </x:c>
      <x:c r="B210" s="117" t="str">
        <x:v>Service_Appointment_Creation_and_Update_Set_Contract_Line_Item</x:v>
      </x:c>
      <x:c r="C210" s="117" t="str">
        <x:v>Yes</x:v>
      </x:c>
      <x:c r="D210" s="119" t="str">
        <x:v>Active v3 (Retrieved XML)</x:v>
      </x:c>
      <x:c r="E210" s="117" t="str">
        <x:v>ContractLineItem</x:v>
      </x:c>
      <x:c r="F210" s="119" t="str">
        <x:v>Read, Reference</x:v>
      </x:c>
      <x:c r="G210" s="117" t="str">
        <x:v>No</x:v>
      </x:c>
      <x:c r="H210" s="117" t="str">
        <x:v>AutoLaunchedFlow</x:v>
      </x:c>
    </x:row>
    <x:row r="211" ht="30" customHeight="1">
      <x:c r="A211" s="117" t="str">
        <x:v>300Ro00000SgtMdIAJ</x:v>
      </x:c>
      <x:c r="B211" s="117" t="str">
        <x:v>Service_Appointment_Trigger_If_SA_updated_update_event</x:v>
      </x:c>
      <x:c r="C211" s="117" t="str">
        <x:v>Yes</x:v>
      </x:c>
      <x:c r="D211" s="119" t="str">
        <x:v>Active v1 (Tooling metadata)</x:v>
      </x:c>
      <x:c r="E211" s="117" t="str">
        <x:v>ContractLineItem</x:v>
      </x:c>
      <x:c r="F211" s="119" t="str">
        <x:v>Read, Reference</x:v>
      </x:c>
      <x:c r="G211" s="117" t="str">
        <x:v>No</x:v>
      </x:c>
      <x:c r="H211" s="117" t="str">
        <x:v>AutoLaunchedFlow</x:v>
      </x:c>
    </x:row>
    <x:row r="212" ht="30" customHeight="1">
      <x:c r="A212" s="117" t="str">
        <x:v>300Ro00000SgtMeIAJ</x:v>
      </x:c>
      <x:c r="B212" s="117" t="str">
        <x:v>Service_Appointment_Trigger_Send_Email_to_AR_Upon_Dispatch</x:v>
      </x:c>
      <x:c r="C212" s="117" t="str">
        <x:v>Yes</x:v>
      </x:c>
      <x:c r="D212" s="119" t="str">
        <x:v>Active v5 (Retrieved XML)</x:v>
      </x:c>
      <x:c r="E212" s="117" t="str">
        <x:v>ContractLineItem</x:v>
      </x:c>
      <x:c r="F212" s="119" t="str">
        <x:v>Read, Reference</x:v>
      </x:c>
      <x:c r="G212" s="117" t="str">
        <x:v>No</x:v>
      </x:c>
      <x:c r="H212" s="117" t="str">
        <x:v>AutoLaunchedFlow</x:v>
      </x:c>
    </x:row>
    <x:row r="213" ht="30" customHeight="1">
      <x:c r="A213" s="117" t="str">
        <x:v>3005b000000H1uvAAC</x:v>
      </x:c>
      <x:c r="B213" s="117" t="str">
        <x:v>Service_Contract_Billing_Flow</x:v>
      </x:c>
      <x:c r="C213" s="117" t="str">
        <x:v>No</x:v>
      </x:c>
      <x:c r="D213" s="119" t="str">
        <x:v>Latest inactive v10 (Retrieved XML)</x:v>
      </x:c>
      <x:c r="E213" s="117" t="str">
        <x:v>ContractLineItem</x:v>
      </x:c>
      <x:c r="F213" s="119" t="str">
        <x:v>Read, Reference</x:v>
      </x:c>
      <x:c r="G213" s="117" t="str">
        <x:v>No</x:v>
      </x:c>
      <x:c r="H213" s="117" t="str">
        <x:v>AutoLaunchedFlow</x:v>
      </x:c>
    </x:row>
    <x:row r="214" ht="30" customHeight="1">
      <x:c r="A214" s="117" t="str">
        <x:v>300Ro00000ra4TLIAY</x:v>
      </x:c>
      <x:c r="B214" s="117" t="str">
        <x:v>Service_Contract_Calculate_Last_Quarter_Uptime</x:v>
      </x:c>
      <x:c r="C214" s="117" t="str">
        <x:v>Yes</x:v>
      </x:c>
      <x:c r="D214" s="119" t="str">
        <x:v>Active v2 (Retrieved XML)</x:v>
      </x:c>
      <x:c r="E214" s="117" t="str">
        <x:v>ContractLineItem</x:v>
      </x:c>
      <x:c r="F214" s="119" t="str">
        <x:v>Read, Reference, Variable</x:v>
      </x:c>
      <x:c r="G214" s="117" t="str">
        <x:v>No</x:v>
      </x:c>
      <x:c r="H214" s="117" t="str">
        <x:v>Flow</x:v>
      </x:c>
    </x:row>
    <x:row r="215" ht="30" customHeight="1">
      <x:c r="A215" s="117" t="str">
        <x:v>300Ro00000q8wfGIAQ</x:v>
      </x:c>
      <x:c r="B215" s="117" t="str">
        <x:v>Service_Contract_Calculate_Running_Coverage_Duration_Business_Hours_Screen_Flow</x:v>
      </x:c>
      <x:c r="C215" s="117" t="str">
        <x:v>Yes</x:v>
      </x:c>
      <x:c r="D215" s="119" t="str">
        <x:v>Active v4 (Retrieved XML)</x:v>
      </x:c>
      <x:c r="E215" s="117" t="str">
        <x:v>ContractLineItem</x:v>
      </x:c>
      <x:c r="F215" s="119" t="str">
        <x:v>Read, Reference, Variable</x:v>
      </x:c>
      <x:c r="G215" s="117" t="str">
        <x:v>No</x:v>
      </x:c>
      <x:c r="H215" s="117" t="str">
        <x:v>Flow</x:v>
      </x:c>
    </x:row>
    <x:row r="216" ht="30" customHeight="1">
      <x:c r="A216" s="117" t="str">
        <x:v>300Ro00000v4CHtIAM</x:v>
      </x:c>
      <x:c r="B216" s="117" t="str">
        <x:v>Service_Contract_Confirm_Downtimes</x:v>
      </x:c>
      <x:c r="C216" s="117" t="str">
        <x:v>Yes</x:v>
      </x:c>
      <x:c r="D216" s="119" t="str">
        <x:v>Active v2 (Retrieved XML)</x:v>
      </x:c>
      <x:c r="E216" s="117" t="str">
        <x:v>ContractLineItem</x:v>
      </x:c>
      <x:c r="F216" s="119" t="str">
        <x:v>Read, Reference, Variable</x:v>
      </x:c>
      <x:c r="G216" s="117" t="str">
        <x:v>No</x:v>
      </x:c>
      <x:c r="H216" s="117" t="str">
        <x:v>Flow</x:v>
      </x:c>
    </x:row>
    <x:row r="217" ht="30" customHeight="1">
      <x:c r="A217" s="117" t="str">
        <x:v>300Ro00000wE1KhIAK</x:v>
      </x:c>
      <x:c r="B217" s="117" t="str">
        <x:v>Service_Contract_Create_Contract_Line_Item_Screen_Flow</x:v>
      </x:c>
      <x:c r="C217" s="117" t="str">
        <x:v>Yes</x:v>
      </x:c>
      <x:c r="D217" s="119" t="str">
        <x:v>Active v4 (Retrieved XML)</x:v>
      </x:c>
      <x:c r="E217" s="117" t="str">
        <x:v>ContractLineItem</x:v>
      </x:c>
      <x:c r="F217" s="119" t="str">
        <x:v>Create, Reference, Variable</x:v>
      </x:c>
      <x:c r="G217" s="117" t="str">
        <x:v>No</x:v>
      </x:c>
      <x:c r="H217" s="117" t="str">
        <x:v>Flow</x:v>
      </x:c>
    </x:row>
    <x:row r="218" ht="30" customHeight="1">
      <x:c r="A218" s="117" t="str">
        <x:v>300Ro00000wDQ8DIAW</x:v>
      </x:c>
      <x:c r="B218" s="117" t="str">
        <x:v>Service_Contract_Create_Contract_Line_Items_Screen_Flow</x:v>
      </x:c>
      <x:c r="C218" s="117" t="str">
        <x:v>No</x:v>
      </x:c>
      <x:c r="D218" s="119" t="str">
        <x:v>Latest inactive v1 (Retrieved XML)</x:v>
      </x:c>
      <x:c r="E218" s="117" t="str">
        <x:v>ContractLineItem</x:v>
      </x:c>
      <x:c r="F218" s="119" t="str">
        <x:v>Create, Reference, Variable</x:v>
      </x:c>
      <x:c r="G218" s="117" t="str">
        <x:v>No</x:v>
      </x:c>
      <x:c r="H218" s="117" t="str">
        <x:v>Flow</x:v>
      </x:c>
    </x:row>
    <x:row r="219" ht="30" customHeight="1">
      <x:c r="A219" s="117" t="str">
        <x:v>300Ro00000Zp8kCIAR</x:v>
      </x:c>
      <x:c r="B219" s="117" t="str">
        <x:v>Service_Contract_Renewal</x:v>
      </x:c>
      <x:c r="C219" s="117" t="str">
        <x:v>Yes</x:v>
      </x:c>
      <x:c r="D219" s="119" t="str">
        <x:v>Active v18 (Retrieved XML)</x:v>
      </x:c>
      <x:c r="E219" s="117" t="str">
        <x:v>ContractLineItem</x:v>
      </x:c>
      <x:c r="F219" s="119" t="str">
        <x:v>Read, Reference, Variable</x:v>
      </x:c>
      <x:c r="G219" s="117" t="str">
        <x:v>No</x:v>
      </x:c>
      <x:c r="H219" s="117" t="str">
        <x:v>Flow</x:v>
      </x:c>
    </x:row>
    <x:row r="220" ht="30" customHeight="1">
      <x:c r="A220" s="117" t="str">
        <x:v>300Ro00000nsEpqIAE</x:v>
      </x:c>
      <x:c r="B220" s="117" t="str">
        <x:v>Service_Contract_Renewal_US1</x:v>
      </x:c>
      <x:c r="C220" s="117" t="str">
        <x:v>Yes</x:v>
      </x:c>
      <x:c r="D220" s="119" t="str">
        <x:v>Active v11 (Retrieved XML)</x:v>
      </x:c>
      <x:c r="E220" s="117" t="str">
        <x:v>ContractLineItem</x:v>
      </x:c>
      <x:c r="F220" s="119" t="str">
        <x:v>Read, Reference, Variable</x:v>
      </x:c>
      <x:c r="G220" s="117" t="str">
        <x:v>No</x:v>
      </x:c>
      <x:c r="H220" s="117" t="str">
        <x:v>Flow</x:v>
      </x:c>
    </x:row>
    <x:row r="221" ht="30" customHeight="1">
      <x:c r="A221" s="117" t="str">
        <x:v>300Ro00000Pz0ktIAB</x:v>
      </x:c>
      <x:c r="B221" s="117" t="str">
        <x:v>Static_X_Ray_CR_Checklist</x:v>
      </x:c>
      <x:c r="C221" s="117" t="str">
        <x:v>Yes</x:v>
      </x:c>
      <x:c r="D221" s="119" t="str">
        <x:v>Active v17 (Retrieved XML)</x:v>
      </x:c>
      <x:c r="E221" s="117" t="str">
        <x:v>ContractLineItem</x:v>
      </x:c>
      <x:c r="F221" s="119" t="str">
        <x:v>Read, Reference</x:v>
      </x:c>
      <x:c r="G221" s="117" t="str">
        <x:v>No</x:v>
      </x:c>
      <x:c r="H221" s="117" t="str">
        <x:v>FieldServiceMobile</x:v>
      </x:c>
    </x:row>
    <x:row r="222" ht="30" customHeight="1">
      <x:c r="A222" s="117" t="str">
        <x:v>300Ro00000IcZnHIAV</x:v>
      </x:c>
      <x:c r="B222" s="117" t="str">
        <x:v>UK_Credit_Notification</x:v>
      </x:c>
      <x:c r="C222" s="117" t="str">
        <x:v>Yes</x:v>
      </x:c>
      <x:c r="D222" s="119" t="str">
        <x:v>Active v4 (Retrieved XML)</x:v>
      </x:c>
      <x:c r="E222" s="117" t="str">
        <x:v>ContractLineItem</x:v>
      </x:c>
      <x:c r="F222" s="119" t="str">
        <x:v>Reference, Trigger</x:v>
      </x:c>
      <x:c r="G222" s="117" t="str">
        <x:v>Yes</x:v>
      </x:c>
      <x:c r="H222" s="117" t="str">
        <x:v>AutoLaunchedFlow</x:v>
      </x:c>
    </x:row>
    <x:row r="223" ht="30" customHeight="1">
      <x:c r="A223" s="117" t="str">
        <x:v>3005b000000Pz7BAAS</x:v>
      </x:c>
      <x:c r="B223" s="117" t="str">
        <x:v>UK_Update_Shipping_Address</x:v>
      </x:c>
      <x:c r="C223" s="117" t="str">
        <x:v>Yes</x:v>
      </x:c>
      <x:c r="D223" s="119" t="str">
        <x:v>Active v14 (Retrieved XML)</x:v>
      </x:c>
      <x:c r="E223" s="117" t="str">
        <x:v>ContractLineItem</x:v>
      </x:c>
      <x:c r="F223" s="119" t="str">
        <x:v>Read, Reference</x:v>
      </x:c>
      <x:c r="G223" s="117" t="str">
        <x:v>No</x:v>
      </x:c>
      <x:c r="H223" s="117" t="str">
        <x:v>Flow</x:v>
      </x:c>
    </x:row>
    <x:row r="224" ht="30" customHeight="1">
      <x:c r="A224" s="117" t="str">
        <x:v>3005b000000Pz7GAAS</x:v>
      </x:c>
      <x:c r="B224" s="117" t="str">
        <x:v>UK_Update_Shipping_Address_v2</x:v>
      </x:c>
      <x:c r="C224" s="117" t="str">
        <x:v>No</x:v>
      </x:c>
      <x:c r="D224" s="119" t="str">
        <x:v>Latest inactive v1 (Retrieved XML)</x:v>
      </x:c>
      <x:c r="E224" s="117" t="str">
        <x:v>ContractLineItem</x:v>
      </x:c>
      <x:c r="F224" s="119" t="str">
        <x:v>Read, Reference</x:v>
      </x:c>
      <x:c r="G224" s="117" t="str">
        <x:v>No</x:v>
      </x:c>
      <x:c r="H224" s="117" t="str">
        <x:v>Flow</x:v>
      </x:c>
    </x:row>
    <x:row r="225" ht="30" customHeight="1">
      <x:c r="A225" s="117" t="str">
        <x:v>300Ro00000Pz0kwIAB</x:v>
      </x:c>
      <x:c r="B225" s="117" t="str">
        <x:v>Ultrasound_Checklist</x:v>
      </x:c>
      <x:c r="C225" s="117" t="str">
        <x:v>Yes</x:v>
      </x:c>
      <x:c r="D225" s="119" t="str">
        <x:v>Active v32 (Retrieved XML)</x:v>
      </x:c>
      <x:c r="E225" s="117" t="str">
        <x:v>ContractLineItem</x:v>
      </x:c>
      <x:c r="F225" s="119" t="str">
        <x:v>Read, Reference, Update</x:v>
      </x:c>
      <x:c r="G225" s="117" t="str">
        <x:v>No</x:v>
      </x:c>
      <x:c r="H225" s="117" t="str">
        <x:v>FieldServiceMobile</x:v>
      </x:c>
    </x:row>
    <x:row r="226" ht="30" customHeight="1">
      <x:c r="A226" s="117" t="str">
        <x:v>300Ro00000Pz0kzIAB</x:v>
      </x:c>
      <x:c r="B226" s="117" t="str">
        <x:v>Update_comments</x:v>
      </x:c>
      <x:c r="C226" s="117" t="str">
        <x:v>Yes</x:v>
      </x:c>
      <x:c r="D226" s="119" t="str">
        <x:v>Active v192 (Tooling metadata)</x:v>
      </x:c>
      <x:c r="E226" s="117" t="str">
        <x:v>ContractLineItem</x:v>
      </x:c>
      <x:c r="F226" s="119" t="str">
        <x:v>Read, Reference, Update, Variable</x:v>
      </x:c>
      <x:c r="G226" s="117" t="str">
        <x:v>No</x:v>
      </x:c>
      <x:c r="H226" s="117" t="str">
        <x:v>FieldServiceMobile</x:v>
      </x:c>
    </x:row>
    <x:row r="227" ht="30" customHeight="1">
      <x:c r="A227" s="117" t="str">
        <x:v>300Ro00000uYiHvIAK</x:v>
      </x:c>
      <x:c r="B227" s="117" t="str">
        <x:v>US_FSL_Trophon_Checklist</x:v>
      </x:c>
      <x:c r="C227" s="117" t="str">
        <x:v>Yes</x:v>
      </x:c>
      <x:c r="D227" s="119" t="str">
        <x:v>Active v8 (Retrieved XML)</x:v>
      </x:c>
      <x:c r="E227" s="117" t="str">
        <x:v>ContractLineItem</x:v>
      </x:c>
      <x:c r="F227" s="119" t="str">
        <x:v>Read, Reference</x:v>
      </x:c>
      <x:c r="G227" s="117" t="str">
        <x:v>No</x:v>
      </x:c>
      <x:c r="H227" s="117" t="str">
        <x:v>FieldServiceMobile</x:v>
      </x:c>
    </x:row>
    <x:row r="228" ht="30" customHeight="1">
      <x:c r="A228" s="117" t="str">
        <x:v>300Ro00000noVpCIAU</x:v>
      </x:c>
      <x:c r="B228" s="117" t="str">
        <x:v>US_FSL_Ultrasound_Checklist</x:v>
      </x:c>
      <x:c r="C228" s="117" t="str">
        <x:v>Yes</x:v>
      </x:c>
      <x:c r="D228" s="119" t="str">
        <x:v>Active v78 (Retrieved XML)</x:v>
      </x:c>
      <x:c r="E228" s="117" t="str">
        <x:v>ContractLineItem</x:v>
      </x:c>
      <x:c r="F228" s="119" t="str">
        <x:v>Read, Reference</x:v>
      </x:c>
      <x:c r="G228" s="117" t="str">
        <x:v>No</x:v>
      </x:c>
      <x:c r="H228" s="117" t="str">
        <x:v>FieldServiceMobile</x:v>
      </x:c>
    </x:row>
    <x:row r="229" ht="30" customHeight="1">
      <x:c r="A229" s="117" t="str">
        <x:v>300Ro000007doacIAA</x:v>
      </x:c>
      <x:c r="B229" s="117" t="str">
        <x:v>Work_Order_Rollups</x:v>
      </x:c>
      <x:c r="C229" s="117" t="str">
        <x:v>Yes</x:v>
      </x:c>
      <x:c r="D229" s="119" t="str">
        <x:v>Active v8 (Retrieved XML)</x:v>
      </x:c>
      <x:c r="E229" s="117" t="str">
        <x:v>ContractLineItem</x:v>
      </x:c>
      <x:c r="F229" s="119" t="str">
        <x:v>Variable</x:v>
      </x:c>
      <x:c r="G229" s="117" t="str">
        <x:v>No</x:v>
      </x:c>
      <x:c r="H229" s="117" t="str">
        <x:v>AutoLaunchedFlow</x:v>
      </x:c>
    </x:row>
    <x:row r="230" ht="30" customHeight="1">
      <x:c r="A230" s="117" t="str">
        <x:v>300Ro00000cnT4lIAE</x:v>
      </x:c>
      <x:c r="B230" s="117" t="str">
        <x:v>Work_Order_Ultrasound_Creation_Automation</x:v>
      </x:c>
      <x:c r="C230" s="117" t="str">
        <x:v>Yes</x:v>
      </x:c>
      <x:c r="D230" s="119" t="str">
        <x:v>Active v1 (Retrieved XML)</x:v>
      </x:c>
      <x:c r="E230" s="117" t="str">
        <x:v>ContractLineItem</x:v>
      </x:c>
      <x:c r="F230" s="119" t="str">
        <x:v>Read, Reference</x:v>
      </x:c>
      <x:c r="G230" s="117" t="str">
        <x:v>No</x:v>
      </x:c>
      <x:c r="H230" s="117" t="str">
        <x:v>AutoLaunchedFlow</x:v>
      </x:c>
    </x:row>
    <x:row r="231" ht="30" customHeight="1">
      <x:c r="A231" s="117" t="str">
        <x:v>300Ro00000JlbyvIAB</x:v>
      </x:c>
      <x:c r="B231" s="117" t="str">
        <x:v>Credit_Memo_Line_Item_On_Update_Sum_Credit_Memo_Total</x:v>
      </x:c>
      <x:c r="C231" s="117" t="str">
        <x:v>Yes</x:v>
      </x:c>
      <x:c r="D231" s="119" t="str">
        <x:v>Active v1 (Retrieved XML)</x:v>
      </x:c>
      <x:c r="E231" s="117" t="str">
        <x:v>Credit_Memo_Line_Item__c</x:v>
      </x:c>
      <x:c r="F231" s="119" t="str">
        <x:v>Read, Reference, Trigger</x:v>
      </x:c>
      <x:c r="G231" s="117" t="str">
        <x:v>Yes</x:v>
      </x:c>
      <x:c r="H231" s="117" t="str">
        <x:v>AutoLaunchedFlow</x:v>
      </x:c>
    </x:row>
    <x:row r="232" ht="30" customHeight="1">
      <x:c r="A232" s="117" t="str">
        <x:v>300Ro00000JlbywIAB</x:v>
      </x:c>
      <x:c r="B232" s="117" t="str">
        <x:v>Credit_Memo_Lines_Add_to_Credit_Memo</x:v>
      </x:c>
      <x:c r="C232" s="117" t="str">
        <x:v>Yes</x:v>
      </x:c>
      <x:c r="D232" s="119" t="str">
        <x:v>Active v7 (Retrieved XML)</x:v>
      </x:c>
      <x:c r="E232" s="117" t="str">
        <x:v>Credit_Memo_Line_Item__c</x:v>
      </x:c>
      <x:c r="F232" s="119" t="str">
        <x:v>Create, Reference, Variable</x:v>
      </x:c>
      <x:c r="G232" s="117" t="str">
        <x:v>No</x:v>
      </x:c>
      <x:c r="H232" s="117" t="str">
        <x:v>Flow</x:v>
      </x:c>
    </x:row>
    <x:row r="233" ht="30" customHeight="1">
      <x:c r="A233" s="117" t="str">
        <x:v>3005b00000113dIAAQ</x:v>
      </x:c>
      <x:c r="B233" s="117" t="str">
        <x:v>Add_Opportunity_Lines_to_Credit_Memo</x:v>
      </x:c>
      <x:c r="C233" s="117" t="str">
        <x:v>No</x:v>
      </x:c>
      <x:c r="D233" s="119" t="str">
        <x:v>Latest inactive v12 (Retrieved XML)</x:v>
      </x:c>
      <x:c r="E233" s="117" t="str">
        <x:v>Credit_Memo__c</x:v>
      </x:c>
      <x:c r="F233" s="119" t="str">
        <x:v>Read, Reference, Update, Variable</x:v>
      </x:c>
      <x:c r="G233" s="117" t="str">
        <x:v>No</x:v>
      </x:c>
      <x:c r="H233" s="117" t="str">
        <x:v>Flow</x:v>
      </x:c>
    </x:row>
    <x:row r="234" ht="30" customHeight="1">
      <x:c r="A234" s="117" t="str">
        <x:v>3005b00000113fZAAQ</x:v>
      </x:c>
      <x:c r="B234" s="117" t="str">
        <x:v>CM_Set_Initial_Credit_Memo_Amount_from_Lines</x:v>
      </x:c>
      <x:c r="C234" s="117" t="str">
        <x:v>Yes</x:v>
      </x:c>
      <x:c r="D234" s="119" t="str">
        <x:v>Active v1 (Retrieved XML)</x:v>
      </x:c>
      <x:c r="E234" s="117" t="str">
        <x:v>Credit_Memo__c</x:v>
      </x:c>
      <x:c r="F234" s="119" t="str">
        <x:v>Reference, Trigger, Variable</x:v>
      </x:c>
      <x:c r="G234" s="117" t="str">
        <x:v>Yes</x:v>
      </x:c>
      <x:c r="H234" s="117" t="str">
        <x:v>AutoLaunchedFlow</x:v>
      </x:c>
    </x:row>
    <x:row r="235" ht="30" customHeight="1">
      <x:c r="A235" s="117" t="str">
        <x:v>300Ro00000NaN2WIAV</x:v>
      </x:c>
      <x:c r="B235" s="117" t="str">
        <x:v>Create_Credit_Memo_From_Invoice</x:v>
      </x:c>
      <x:c r="C235" s="117" t="str">
        <x:v>Yes</x:v>
      </x:c>
      <x:c r="D235" s="119" t="str">
        <x:v>Active v9 (Retrieved XML)</x:v>
      </x:c>
      <x:c r="E235" s="117" t="str">
        <x:v>Credit_Memo__c</x:v>
      </x:c>
      <x:c r="F235" s="119" t="str">
        <x:v>Create, Reference</x:v>
      </x:c>
      <x:c r="G235" s="117" t="str">
        <x:v>No</x:v>
      </x:c>
      <x:c r="H235" s="117" t="str">
        <x:v>Flow</x:v>
      </x:c>
    </x:row>
    <x:row r="236" ht="30" customHeight="1">
      <x:c r="A236" s="117" t="str">
        <x:v>3004O000000LOr7QAG</x:v>
      </x:c>
      <x:c r="B236" s="117" t="str">
        <x:v>Credit_Memo</x:v>
      </x:c>
      <x:c r="C236" s="117" t="str">
        <x:v>No</x:v>
      </x:c>
      <x:c r="D236" s="119" t="str">
        <x:v>Latest inactive v17 (Retrieved XML)</x:v>
      </x:c>
      <x:c r="E236" s="117" t="str">
        <x:v>Credit_Memo__c</x:v>
      </x:c>
      <x:c r="F236" s="119" t="str">
        <x:v>Reference, Update, Variable</x:v>
      </x:c>
      <x:c r="G236" s="117" t="str">
        <x:v>No</x:v>
      </x:c>
      <x:c r="H236" s="117" t="str">
        <x:v>Workflow</x:v>
      </x:c>
    </x:row>
    <x:row r="237" ht="30" customHeight="1">
      <x:c r="A237" s="117" t="str">
        <x:v>3005b00000113moAAA</x:v>
      </x:c>
      <x:c r="B237" s="117" t="str">
        <x:v>Credit_Memo_1</x:v>
      </x:c>
      <x:c r="C237" s="117" t="str">
        <x:v>Yes</x:v>
      </x:c>
      <x:c r="D237" s="119" t="str">
        <x:v>Active v5 (Retrieved XML)</x:v>
      </x:c>
      <x:c r="E237" s="117" t="str">
        <x:v>Credit_Memo__c</x:v>
      </x:c>
      <x:c r="F237" s="119" t="str">
        <x:v>Reference, Trigger, Update</x:v>
      </x:c>
      <x:c r="G237" s="117" t="str">
        <x:v>Yes</x:v>
      </x:c>
      <x:c r="H237" s="117" t="str">
        <x:v>AutoLaunchedFlow</x:v>
      </x:c>
    </x:row>
    <x:row r="238" ht="30" customHeight="1">
      <x:c r="A238" s="117" t="str">
        <x:v>3004O000000LOwWQAW</x:v>
      </x:c>
      <x:c r="B238" s="117" t="str">
        <x:v>Credit_Memo_Creation_Flow</x:v>
      </x:c>
      <x:c r="C238" s="117" t="str">
        <x:v>Yes</x:v>
      </x:c>
      <x:c r="D238" s="119" t="str">
        <x:v>Active v1 (Tooling metadata)</x:v>
      </x:c>
      <x:c r="E238" s="117" t="str">
        <x:v>Credit_Memo__c</x:v>
      </x:c>
      <x:c r="F238" s="119" t="str">
        <x:v>Create, Reference</x:v>
      </x:c>
      <x:c r="G238" s="117" t="str">
        <x:v>No</x:v>
      </x:c>
      <x:c r="H238" s="117" t="str">
        <x:v>Flow</x:v>
      </x:c>
    </x:row>
    <x:row r="239" ht="30" customHeight="1">
      <x:c r="A239" s="117" t="str">
        <x:v>300Ro00000JlbyvIAB</x:v>
      </x:c>
      <x:c r="B239" s="117" t="str">
        <x:v>Credit_Memo_Line_Item_On_Update_Sum_Credit_Memo_Total</x:v>
      </x:c>
      <x:c r="C239" s="117" t="str">
        <x:v>Yes</x:v>
      </x:c>
      <x:c r="D239" s="119" t="str">
        <x:v>Active v1 (Retrieved XML)</x:v>
      </x:c>
      <x:c r="E239" s="117" t="str">
        <x:v>Credit_Memo__c</x:v>
      </x:c>
      <x:c r="F239" s="119" t="str">
        <x:v>Reference, Update</x:v>
      </x:c>
      <x:c r="G239" s="117" t="str">
        <x:v>No</x:v>
      </x:c>
      <x:c r="H239" s="117" t="str">
        <x:v>AutoLaunchedFlow</x:v>
      </x:c>
    </x:row>
    <x:row r="240" ht="30" customHeight="1">
      <x:c r="A240" s="117" t="str">
        <x:v>300Ro00000JlbywIAB</x:v>
      </x:c>
      <x:c r="B240" s="117" t="str">
        <x:v>Credit_Memo_Lines_Add_to_Credit_Memo</x:v>
      </x:c>
      <x:c r="C240" s="117" t="str">
        <x:v>Yes</x:v>
      </x:c>
      <x:c r="D240" s="119" t="str">
        <x:v>Active v7 (Retrieved XML)</x:v>
      </x:c>
      <x:c r="E240" s="117" t="str">
        <x:v>Credit_Memo__c</x:v>
      </x:c>
      <x:c r="F240" s="119" t="str">
        <x:v>Read, Reference, Variable</x:v>
      </x:c>
      <x:c r="G240" s="117" t="str">
        <x:v>No</x:v>
      </x:c>
      <x:c r="H240" s="117" t="str">
        <x:v>Flow</x:v>
      </x:c>
    </x:row>
    <x:row r="241" ht="30" customHeight="1">
      <x:c r="A241" s="117" t="str">
        <x:v>300Ro00000H0rLzIAJ</x:v>
      </x:c>
      <x:c r="B241" s="117" t="str">
        <x:v>Credit_Memo_Sync_Notification</x:v>
      </x:c>
      <x:c r="C241" s="117" t="str">
        <x:v>Yes</x:v>
      </x:c>
      <x:c r="D241" s="119" t="str">
        <x:v>Active v9 (Retrieved XML)</x:v>
      </x:c>
      <x:c r="E241" s="117" t="str">
        <x:v>Credit_Memo__c</x:v>
      </x:c>
      <x:c r="F241" s="119" t="str">
        <x:v>Reference, Trigger</x:v>
      </x:c>
      <x:c r="G241" s="117" t="str">
        <x:v>Yes</x:v>
      </x:c>
      <x:c r="H241" s="117" t="str">
        <x:v>AutoLaunchedFlow</x:v>
      </x:c>
    </x:row>
    <x:row r="242" ht="30" customHeight="1">
      <x:c r="A242" s="117" t="str">
        <x:v>300Ro00000fBX4MIAW</x:v>
      </x:c>
      <x:c r="B242" s="117" t="str">
        <x:v>Credit_Memo_Sync_Retry</x:v>
      </x:c>
      <x:c r="C242" s="117" t="str">
        <x:v>Yes</x:v>
      </x:c>
      <x:c r="D242" s="119" t="str">
        <x:v>Active v2 (Retrieved XML)</x:v>
      </x:c>
      <x:c r="E242" s="117" t="str">
        <x:v>Credit_Memo__c</x:v>
      </x:c>
      <x:c r="F242" s="119" t="str">
        <x:v>Reference, Trigger, Update</x:v>
      </x:c>
      <x:c r="G242" s="117" t="str">
        <x:v>Yes</x:v>
      </x:c>
      <x:c r="H242" s="117" t="str">
        <x:v>AutoLaunchedFlow</x:v>
      </x:c>
    </x:row>
    <x:row r="243" ht="30" customHeight="1">
      <x:c r="A243" s="117" t="str">
        <x:v>300Ro00000ncjmHIAQ</x:v>
      </x:c>
      <x:c r="B243" s="117" t="str">
        <x:v>Manually_Send_Credit_Memo_to_Client</x:v>
      </x:c>
      <x:c r="C243" s="117" t="str">
        <x:v>Yes</x:v>
      </x:c>
      <x:c r="D243" s="119" t="str">
        <x:v>Active v3 (Retrieved XML)</x:v>
      </x:c>
      <x:c r="E243" s="117" t="str">
        <x:v>Credit_Memo__c</x:v>
      </x:c>
      <x:c r="F243" s="119" t="str">
        <x:v>Read, Reference, Update</x:v>
      </x:c>
      <x:c r="G243" s="117" t="str">
        <x:v>No</x:v>
      </x:c>
      <x:c r="H243" s="117" t="str">
        <x:v>Flow</x:v>
      </x:c>
    </x:row>
    <x:row r="244" ht="30" customHeight="1">
      <x:c r="A244" s="117" t="str">
        <x:v>300Ro00000MYUv7IAH</x:v>
      </x:c>
      <x:c r="B244" s="117" t="str">
        <x:v>Prevent_Deletion_Credit_Memo</x:v>
      </x:c>
      <x:c r="C244" s="117" t="str">
        <x:v>No</x:v>
      </x:c>
      <x:c r="D244" s="119" t="str">
        <x:v>Latest inactive v1 (Retrieved XML)</x:v>
      </x:c>
      <x:c r="E244" s="117" t="str">
        <x:v>Credit_Memo__c</x:v>
      </x:c>
      <x:c r="F244" s="119" t="str">
        <x:v>Reference, Trigger</x:v>
      </x:c>
      <x:c r="G244" s="117" t="str">
        <x:v>Yes</x:v>
      </x:c>
      <x:c r="H244" s="117" t="str">
        <x:v>AutoLaunchedFlow</x:v>
      </x:c>
    </x:row>
    <x:row r="245" ht="30" customHeight="1">
      <x:c r="A245" s="117" t="str">
        <x:v>300Ro000007doabIAA</x:v>
      </x:c>
      <x:c r="B245" s="117" t="str">
        <x:v>RMA_Rollups</x:v>
      </x:c>
      <x:c r="C245" s="117" t="str">
        <x:v>Yes</x:v>
      </x:c>
      <x:c r="D245" s="119" t="str">
        <x:v>Active v2 (Retrieved XML)</x:v>
      </x:c>
      <x:c r="E245" s="117" t="str">
        <x:v>Credit_Memo__c</x:v>
      </x:c>
      <x:c r="F245" s="119" t="str">
        <x:v>Read, Reference, Trigger</x:v>
      </x:c>
      <x:c r="G245" s="117" t="str">
        <x:v>Yes</x:v>
      </x:c>
      <x:c r="H245" s="117" t="str">
        <x:v>AutoLaunchedFlow</x:v>
      </x:c>
    </x:row>
    <x:row r="246" ht="30" customHeight="1">
      <x:c r="A246" s="117" t="str">
        <x:v>300Ro00000nZYx4IAG</x:v>
      </x:c>
      <x:c r="B246" s="117" t="str">
        <x:v>Send_Credit_Memo_PDF_to_Customer</x:v>
      </x:c>
      <x:c r="C246" s="117" t="str">
        <x:v>Yes</x:v>
      </x:c>
      <x:c r="D246" s="119" t="str">
        <x:v>Active v3 (Retrieved XML)</x:v>
      </x:c>
      <x:c r="E246" s="117" t="str">
        <x:v>Credit_Memo__c</x:v>
      </x:c>
      <x:c r="F246" s="119" t="str">
        <x:v>Reference, Trigger, Update</x:v>
      </x:c>
      <x:c r="G246" s="117" t="str">
        <x:v>Yes</x:v>
      </x:c>
      <x:c r="H246" s="117" t="str">
        <x:v>AutoLaunchedFlow</x:v>
      </x:c>
    </x:row>
    <x:row r="247" ht="30" customHeight="1">
      <x:c r="A247" s="117" t="str">
        <x:v>3005b00000113fYAAQ</x:v>
      </x:c>
      <x:c r="B247" s="117" t="str">
        <x:v>Update_Credit_Memo_Amount_with_Line_Items</x:v>
      </x:c>
      <x:c r="C247" s="117" t="str">
        <x:v>Yes</x:v>
      </x:c>
      <x:c r="D247" s="119" t="str">
        <x:v>Active v20 (Retrieved XML)</x:v>
      </x:c>
      <x:c r="E247" s="117" t="str">
        <x:v>Credit_Memo__c</x:v>
      </x:c>
      <x:c r="F247" s="119" t="str">
        <x:v>Variable</x:v>
      </x:c>
      <x:c r="G247" s="117" t="str">
        <x:v>No</x:v>
      </x:c>
      <x:c r="H247" s="117" t="str">
        <x:v>AutoLaunchedFlow</x:v>
      </x:c>
    </x:row>
    <x:row r="248" ht="30" customHeight="1">
      <x:c r="A248" s="117" t="str">
        <x:v>300Ro00000PEeQbIAL</x:v>
      </x:c>
      <x:c r="B248" s="117" t="str">
        <x:v>Dated_Exchange_Rates_Call_XE_API_for_Daily_Rates</x:v>
      </x:c>
      <x:c r="C248" s="117" t="str">
        <x:v>Yes</x:v>
      </x:c>
      <x:c r="D248" s="119" t="str">
        <x:v>Active v3 (Retrieved XML)</x:v>
      </x:c>
      <x:c r="E248" s="117" t="str">
        <x:v>CurrencyType</x:v>
      </x:c>
      <x:c r="F248" s="119" t="str">
        <x:v>Read, Reference</x:v>
      </x:c>
      <x:c r="G248" s="117" t="str">
        <x:v>No</x:v>
      </x:c>
      <x:c r="H248" s="117" t="str">
        <x:v>AutoLaunchedFlow</x:v>
      </x:c>
    </x:row>
    <x:row r="249" ht="30" customHeight="1">
      <x:c r="A249" s="117" t="str">
        <x:v>300jR000000BuwaQAC</x:v>
      </x:c>
      <x:c r="B249" s="117" t="str">
        <x:v>Create_FSL_Work_Order_on_SF_Objects</x:v>
      </x:c>
      <x:c r="C249" s="117" t="str">
        <x:v>Yes</x:v>
      </x:c>
      <x:c r="D249" s="119" t="str">
        <x:v>Active v7 (Retrieved XML)</x:v>
      </x:c>
      <x:c r="E249" s="117" t="str">
        <x:v>CustomNotificationType</x:v>
      </x:c>
      <x:c r="F249" s="119" t="str">
        <x:v>Read, Reference</x:v>
      </x:c>
      <x:c r="G249" s="117" t="str">
        <x:v>No</x:v>
      </x:c>
      <x:c r="H249" s="117" t="str">
        <x:v>Flow</x:v>
      </x:c>
    </x:row>
    <x:row r="250" ht="30" customHeight="1">
      <x:c r="A250" s="117" t="str">
        <x:v>300Ro00000PEeQbIAL</x:v>
      </x:c>
      <x:c r="B250" s="117" t="str">
        <x:v>Dated_Exchange_Rates_Call_XE_API_for_Daily_Rates</x:v>
      </x:c>
      <x:c r="C250" s="117" t="str">
        <x:v>Yes</x:v>
      </x:c>
      <x:c r="D250" s="119" t="str">
        <x:v>Active v3 (Retrieved XML)</x:v>
      </x:c>
      <x:c r="E250" s="117" t="str">
        <x:v>DatedConversionRate</x:v>
      </x:c>
      <x:c r="F250" s="119" t="str">
        <x:v>Variable</x:v>
      </x:c>
      <x:c r="G250" s="117" t="str">
        <x:v>No</x:v>
      </x:c>
      <x:c r="H250" s="117" t="str">
        <x:v>AutoLaunchedFlow</x:v>
      </x:c>
    </x:row>
    <x:row r="251" ht="30" customHeight="1">
      <x:c r="A251" s="117" t="str">
        <x:v>3005b00000113fYAAQ</x:v>
      </x:c>
      <x:c r="B251" s="117" t="str">
        <x:v>Update_Credit_Memo_Amount_with_Line_Items</x:v>
      </x:c>
      <x:c r="C251" s="117" t="str">
        <x:v>Yes</x:v>
      </x:c>
      <x:c r="D251" s="119" t="str">
        <x:v>Active v20 (Retrieved XML)</x:v>
      </x:c>
      <x:c r="E251" s="117" t="str">
        <x:v>DatedConversionRate</x:v>
      </x:c>
      <x:c r="F251" s="119" t="str">
        <x:v>Read, Reference</x:v>
      </x:c>
      <x:c r="G251" s="117" t="str">
        <x:v>No</x:v>
      </x:c>
      <x:c r="H251" s="117" t="str">
        <x:v>AutoLaunchedFlow</x:v>
      </x:c>
    </x:row>
    <x:row r="252" ht="30" customHeight="1">
      <x:c r="A252" s="117" t="str">
        <x:v>3004O000000LOr8QAG</x:v>
      </x:c>
      <x:c r="B252" s="117" t="str">
        <x:v>Debit_Memo_Update</x:v>
      </x:c>
      <x:c r="C252" s="117" t="str">
        <x:v>No</x:v>
      </x:c>
      <x:c r="D252" s="119" t="str">
        <x:v>Latest inactive v2 (Retrieved XML)</x:v>
      </x:c>
      <x:c r="E252" s="117" t="str">
        <x:v>Debit_Memos__c</x:v>
      </x:c>
      <x:c r="F252" s="119" t="str">
        <x:v>Reference, Update, Variable</x:v>
      </x:c>
      <x:c r="G252" s="117" t="str">
        <x:v>No</x:v>
      </x:c>
      <x:c r="H252" s="117" t="str">
        <x:v>Workflow</x:v>
      </x:c>
    </x:row>
    <x:row r="253" ht="30" customHeight="1">
      <x:c r="A253" s="117" t="str">
        <x:v>300Ro000007doaUIAQ</x:v>
      </x:c>
      <x:c r="B253" s="117" t="str">
        <x:v>Debit_Memos_Rollup</x:v>
      </x:c>
      <x:c r="C253" s="117" t="str">
        <x:v>Yes</x:v>
      </x:c>
      <x:c r="D253" s="119" t="str">
        <x:v>Active v1 (Retrieved XML)</x:v>
      </x:c>
      <x:c r="E253" s="117" t="str">
        <x:v>Debit_Memos__c</x:v>
      </x:c>
      <x:c r="F253" s="119" t="str">
        <x:v>Read, Reference, Trigger</x:v>
      </x:c>
      <x:c r="G253" s="117" t="str">
        <x:v>Yes</x:v>
      </x:c>
      <x:c r="H253" s="117" t="str">
        <x:v>AutoLaunchedFlow</x:v>
      </x:c>
    </x:row>
    <x:row r="254" ht="30" customHeight="1">
      <x:c r="A254" s="117" t="str">
        <x:v>300Ro00000MYUv8IAH</x:v>
      </x:c>
      <x:c r="B254" s="117" t="str">
        <x:v>Prevent_Deletion_Debit_Memo</x:v>
      </x:c>
      <x:c r="C254" s="117" t="str">
        <x:v>No</x:v>
      </x:c>
      <x:c r="D254" s="119" t="str">
        <x:v>Latest inactive v1 (Retrieved XML)</x:v>
      </x:c>
      <x:c r="E254" s="117" t="str">
        <x:v>Debit_Memos__c</x:v>
      </x:c>
      <x:c r="F254" s="119" t="str">
        <x:v>Reference, Trigger</x:v>
      </x:c>
      <x:c r="G254" s="117" t="str">
        <x:v>Yes</x:v>
      </x:c>
      <x:c r="H254" s="117" t="str">
        <x:v>AutoLaunchedFlow</x:v>
      </x:c>
    </x:row>
    <x:row r="255" ht="30" customHeight="1">
      <x:c r="A255" s="117" t="str">
        <x:v>300Ro00000M9akLIAR</x:v>
      </x:c>
      <x:c r="B255" s="117" t="str">
        <x:v>Record_Triggered_After_Debit_Memo</x:v>
      </x:c>
      <x:c r="C255" s="117" t="str">
        <x:v>Yes</x:v>
      </x:c>
      <x:c r="D255" s="119" t="str">
        <x:v>Active v1 (Retrieved XML)</x:v>
      </x:c>
      <x:c r="E255" s="117" t="str">
        <x:v>Debit_Memos__c</x:v>
      </x:c>
      <x:c r="F255" s="119" t="str">
        <x:v>Read, Reference, Trigger, Update</x:v>
      </x:c>
      <x:c r="G255" s="117" t="str">
        <x:v>Yes</x:v>
      </x:c>
      <x:c r="H255" s="117" t="str">
        <x:v>AutoLaunchedFlow</x:v>
      </x:c>
    </x:row>
    <x:row r="256" ht="30" customHeight="1">
      <x:c r="A256" s="117" t="str">
        <x:v>3004O000000LOrAQAW</x:v>
      </x:c>
      <x:c r="B256" s="117" t="str">
        <x:v>Return_to_Vendor_Create_DB</x:v>
      </x:c>
      <x:c r="C256" s="117" t="str">
        <x:v>Yes</x:v>
      </x:c>
      <x:c r="D256" s="119" t="str">
        <x:v>Active v6 (Retrieved XML)</x:v>
      </x:c>
      <x:c r="E256" s="117" t="str">
        <x:v>Debit_Memos__c</x:v>
      </x:c>
      <x:c r="F256" s="119" t="str">
        <x:v>Create, Reference</x:v>
      </x:c>
      <x:c r="G256" s="117" t="str">
        <x:v>No</x:v>
      </x:c>
      <x:c r="H256" s="117" t="str">
        <x:v>AutoLaunchedFlow</x:v>
      </x:c>
    </x:row>
    <x:row r="257" ht="30" customHeight="1">
      <x:c r="A257" s="117" t="str">
        <x:v>300Ro00000tZphfIAC</x:v>
      </x:c>
      <x:c r="B257" s="117" t="str">
        <x:v>DRP_Create_Project_Charge_Line_Item</x:v>
      </x:c>
      <x:c r="C257" s="117" t="str">
        <x:v>Yes</x:v>
      </x:c>
      <x:c r="D257" s="119" t="str">
        <x:v>Active v3 (Retrieved XML)</x:v>
      </x:c>
      <x:c r="E257" s="117" t="str">
        <x:v>Disaster_Recovery_Billing_Rule__c</x:v>
      </x:c>
      <x:c r="F257" s="119" t="str">
        <x:v>Read, Reference, Variable</x:v>
      </x:c>
      <x:c r="G257" s="117" t="str">
        <x:v>No</x:v>
      </x:c>
      <x:c r="H257" s="117" t="str">
        <x:v>Flow</x:v>
      </x:c>
    </x:row>
    <x:row r="258" ht="30" customHeight="1">
      <x:c r="A258" s="117" t="str">
        <x:v>300Ro00000tZpheIAC</x:v>
      </x:c>
      <x:c r="B258" s="117" t="str">
        <x:v>DRP_Update_Project_Charge_Line_Item_Values</x:v>
      </x:c>
      <x:c r="C258" s="117" t="str">
        <x:v>Yes</x:v>
      </x:c>
      <x:c r="D258" s="119" t="str">
        <x:v>Active v1 (Retrieved XML)</x:v>
      </x:c>
      <x:c r="E258" s="117" t="str">
        <x:v>Disaster_Recovery_Billing_Rule__c</x:v>
      </x:c>
      <x:c r="F258" s="119" t="str">
        <x:v>Read, Reference</x:v>
      </x:c>
      <x:c r="G258" s="117" t="str">
        <x:v>No</x:v>
      </x:c>
      <x:c r="H258" s="117" t="str">
        <x:v>AutoLaunchedFlow</x:v>
      </x:c>
    </x:row>
    <x:row r="259" ht="30" customHeight="1">
      <x:c r="A259" s="117" t="str">
        <x:v>300Ro00000tZphgIAC</x:v>
      </x:c>
      <x:c r="B259" s="117" t="str">
        <x:v>Disaster_Recovery_Project_Raise_Invoice_from_Charges</x:v>
      </x:c>
      <x:c r="C259" s="117" t="str">
        <x:v>Yes</x:v>
      </x:c>
      <x:c r="D259" s="119" t="str">
        <x:v>Active v7 (Retrieved XML)</x:v>
      </x:c>
      <x:c r="E259" s="117" t="str">
        <x:v>Disaster_Recovery_Project__c</x:v>
      </x:c>
      <x:c r="F259" s="119" t="str">
        <x:v>Read, Reference</x:v>
      </x:c>
      <x:c r="G259" s="117" t="str">
        <x:v>No</x:v>
      </x:c>
      <x:c r="H259" s="117" t="str">
        <x:v>Flow</x:v>
      </x:c>
    </x:row>
    <x:row r="260" ht="30" customHeight="1">
      <x:c r="A260" s="117" t="str">
        <x:v>300Ro0000149ADUIA2</x:v>
      </x:c>
      <x:c r="B260" s="117" t="str">
        <x:v>DRP_Submit_Project_Charges_for_Invoicing</x:v>
      </x:c>
      <x:c r="C260" s="117" t="str">
        <x:v>No</x:v>
      </x:c>
      <x:c r="D260" s="119" t="str">
        <x:v>Latest inactive v1 (Retrieved XML)</x:v>
      </x:c>
      <x:c r="E260" s="117" t="str">
        <x:v>Disaster_Recovery_Project__c</x:v>
      </x:c>
      <x:c r="F260" s="119" t="str">
        <x:v>Read, Reference</x:v>
      </x:c>
      <x:c r="G260" s="117" t="str">
        <x:v>No</x:v>
      </x:c>
      <x:c r="H260" s="117" t="str">
        <x:v>Flow</x:v>
      </x:c>
    </x:row>
    <x:row r="261" ht="30" customHeight="1">
      <x:c r="A261" s="117" t="str">
        <x:v>300Ro00000sMu66IAC</x:v>
      </x:c>
      <x:c r="B261" s="117" t="str">
        <x:v>Document_Review_Status_Automation</x:v>
      </x:c>
      <x:c r="C261" s="117" t="str">
        <x:v>Yes</x:v>
      </x:c>
      <x:c r="D261" s="119" t="str">
        <x:v>Active v3 (Retrieved XML)</x:v>
      </x:c>
      <x:c r="E261" s="117" t="str">
        <x:v>Document_Review__c</x:v>
      </x:c>
      <x:c r="F261" s="119" t="str">
        <x:v>Reference, Trigger, Update</x:v>
      </x:c>
      <x:c r="G261" s="117" t="str">
        <x:v>Yes</x:v>
      </x:c>
      <x:c r="H261" s="117" t="str">
        <x:v>AutoLaunchedFlow</x:v>
      </x:c>
    </x:row>
    <x:row r="262" ht="30" customHeight="1">
      <x:c r="A262" s="117" t="str">
        <x:v>300Ro00000vlpXjIAI</x:v>
      </x:c>
      <x:c r="B262" s="117" t="str">
        <x:v>Training_Item_Create_Document_Review_Screen_Flow</x:v>
      </x:c>
      <x:c r="C262" s="117" t="str">
        <x:v>Yes</x:v>
      </x:c>
      <x:c r="D262" s="119" t="str">
        <x:v>Active v6 (Retrieved XML)</x:v>
      </x:c>
      <x:c r="E262" s="117" t="str">
        <x:v>Document_Review__c</x:v>
      </x:c>
      <x:c r="F262" s="119" t="str">
        <x:v>Create, Read, Reference</x:v>
      </x:c>
      <x:c r="G262" s="117" t="str">
        <x:v>No</x:v>
      </x:c>
      <x:c r="H262" s="117" t="str">
        <x:v>Flow</x:v>
      </x:c>
    </x:row>
    <x:row r="263" ht="30" customHeight="1">
      <x:c r="A263" s="117" t="str">
        <x:v>3005b000000LJFiAAO</x:v>
      </x:c>
      <x:c r="B263" s="117" t="str">
        <x:v>Send_Better_Email_Testflow</x:v>
      </x:c>
      <x:c r="C263" s="117" t="str">
        <x:v>Yes</x:v>
      </x:c>
      <x:c r="D263" s="119" t="str">
        <x:v>Active v1 (Tooling metadata)</x:v>
      </x:c>
      <x:c r="E263" s="117" t="str">
        <x:v>EmailTemplate</x:v>
      </x:c>
      <x:c r="F263" s="119" t="str">
        <x:v>Read, Reference</x:v>
      </x:c>
      <x:c r="G263" s="117" t="str">
        <x:v>No</x:v>
      </x:c>
      <x:c r="H263" s="117" t="str">
        <x:v>Flow</x:v>
      </x:c>
    </x:row>
    <x:row r="264" ht="30" customHeight="1">
      <x:c r="A264" s="117" t="str">
        <x:v>3005b000000H3qjAAC</x:v>
      </x:c>
      <x:c r="B264" s="117" t="str">
        <x:v>Send_Sourcing_Request_Mass_Email_UK</x:v>
      </x:c>
      <x:c r="C264" s="117" t="str">
        <x:v>Yes</x:v>
      </x:c>
      <x:c r="D264" s="119" t="str">
        <x:v>Active v1 (Retrieved XML)</x:v>
      </x:c>
      <x:c r="E264" s="117" t="str">
        <x:v>EmailTemplate</x:v>
      </x:c>
      <x:c r="F264" s="119" t="str">
        <x:v>Choice Read, Reference</x:v>
      </x:c>
      <x:c r="G264" s="117" t="str">
        <x:v>No</x:v>
      </x:c>
      <x:c r="H264" s="117" t="str">
        <x:v>Flow</x:v>
      </x:c>
    </x:row>
    <x:row r="265" ht="30" customHeight="1">
      <x:c r="A265" s="117" t="str">
        <x:v>3005b000000LJFhAAO</x:v>
      </x:c>
      <x:c r="B265" s="117" t="str">
        <x:v>sendBetterEmail_Test_Create_Test_Templates_if_needed</x:v>
      </x:c>
      <x:c r="C265" s="117" t="str">
        <x:v>No</x:v>
      </x:c>
      <x:c r="D265" s="119" t="str">
        <x:v>Latest inactive v1 (Tooling metadata)</x:v>
      </x:c>
      <x:c r="E265" s="117" t="str">
        <x:v>EmailTemplate</x:v>
      </x:c>
      <x:c r="F265" s="119" t="str">
        <x:v>Read, Reference, Variable</x:v>
      </x:c>
      <x:c r="G265" s="117" t="str">
        <x:v>No</x:v>
      </x:c>
      <x:c r="H265" s="117" t="str">
        <x:v>Flow</x:v>
      </x:c>
    </x:row>
    <x:row r="266" ht="30" customHeight="1">
      <x:c r="A266" s="117" t="str">
        <x:v>3005b000000H42uAAC</x:v>
      </x:c>
      <x:c r="B266" s="117" t="str">
        <x:v>Change_Contract_Line_Item_Product_UK</x:v>
      </x:c>
      <x:c r="C266" s="117" t="str">
        <x:v>Yes</x:v>
      </x:c>
      <x:c r="D266" s="119" t="str">
        <x:v>Active v9 (Retrieved XML)</x:v>
      </x:c>
      <x:c r="E266" s="117" t="str">
        <x:v>Entitlement</x:v>
      </x:c>
      <x:c r="F266" s="119" t="str">
        <x:v>Read, Reference, Update</x:v>
      </x:c>
      <x:c r="G266" s="117" t="str">
        <x:v>No</x:v>
      </x:c>
      <x:c r="H266" s="117" t="str">
        <x:v>Flow</x:v>
      </x:c>
    </x:row>
    <x:row r="267" ht="30" customHeight="1">
      <x:c r="A267" s="117" t="str">
        <x:v>3005b000000H1utAAC</x:v>
      </x:c>
      <x:c r="B267" s="117" t="str">
        <x:v>Create_contract_line_items_and_entitlements</x:v>
      </x:c>
      <x:c r="C267" s="117" t="str">
        <x:v>Yes</x:v>
      </x:c>
      <x:c r="D267" s="119" t="str">
        <x:v>Active v11 (Retrieved XML)</x:v>
      </x:c>
      <x:c r="E267" s="117" t="str">
        <x:v>Entitlement</x:v>
      </x:c>
      <x:c r="F267" s="119" t="str">
        <x:v>Create, Reference, Variable</x:v>
      </x:c>
      <x:c r="G267" s="117" t="str">
        <x:v>No</x:v>
      </x:c>
      <x:c r="H267" s="117" t="str">
        <x:v>Flow</x:v>
      </x:c>
    </x:row>
    <x:row r="268" ht="30" customHeight="1">
      <x:c r="A268" s="117" t="str">
        <x:v>3005b000000H3leAAC</x:v>
      </x:c>
      <x:c r="B268" s="117" t="str">
        <x:v>Create_Contract_Line_Items_Entitlements_and_Work_Orders</x:v>
      </x:c>
      <x:c r="C268" s="117" t="str">
        <x:v>No</x:v>
      </x:c>
      <x:c r="D268" s="119" t="str">
        <x:v>Latest inactive v3 (Retrieved XML)</x:v>
      </x:c>
      <x:c r="E268" s="117" t="str">
        <x:v>Entitlement</x:v>
      </x:c>
      <x:c r="F268" s="119" t="str">
        <x:v>Create, Reference, Variable</x:v>
      </x:c>
      <x:c r="G268" s="117" t="str">
        <x:v>No</x:v>
      </x:c>
      <x:c r="H268" s="117" t="str">
        <x:v>Flow</x:v>
      </x:c>
    </x:row>
    <x:row r="269" ht="30" customHeight="1">
      <x:c r="A269" s="117" t="str">
        <x:v>3005b000000H3pgAAC</x:v>
      </x:c>
      <x:c r="B269" s="117" t="str">
        <x:v>Create_Contract_Line_Items_Entitlements_and_Work_Orders_V4</x:v>
      </x:c>
      <x:c r="C269" s="117" t="str">
        <x:v>Yes</x:v>
      </x:c>
      <x:c r="D269" s="119" t="str">
        <x:v>Active v17 (Tooling metadata)</x:v>
      </x:c>
      <x:c r="E269" s="117" t="str">
        <x:v>Entitlement</x:v>
      </x:c>
      <x:c r="F269" s="119" t="str">
        <x:v>Create, Reference, Variable</x:v>
      </x:c>
      <x:c r="G269" s="117" t="str">
        <x:v>No</x:v>
      </x:c>
      <x:c r="H269" s="117" t="str">
        <x:v>Flow</x:v>
      </x:c>
    </x:row>
    <x:row r="270" ht="30" customHeight="1">
      <x:c r="A270" s="117" t="str">
        <x:v>3005b000000LHN0AAO</x:v>
      </x:c>
      <x:c r="B270" s="117" t="str">
        <x:v>CreateRenewalContractFromExistingUK_BETA</x:v>
      </x:c>
      <x:c r="C270" s="117" t="str">
        <x:v>No</x:v>
      </x:c>
      <x:c r="D270" s="119" t="str">
        <x:v>Latest inactive v1 (Retrieved XML)</x:v>
      </x:c>
      <x:c r="E270" s="117" t="str">
        <x:v>Entitlement</x:v>
      </x:c>
      <x:c r="F270" s="119" t="str">
        <x:v>Create, Reference, Variable</x:v>
      </x:c>
      <x:c r="G270" s="117" t="str">
        <x:v>No</x:v>
      </x:c>
      <x:c r="H270" s="117" t="str">
        <x:v>Flow</x:v>
      </x:c>
    </x:row>
    <x:row r="271" ht="30" customHeight="1">
      <x:c r="A271" s="117" t="str">
        <x:v>300Ro00000wE1KhIAK</x:v>
      </x:c>
      <x:c r="B271" s="117" t="str">
        <x:v>Service_Contract_Create_Contract_Line_Item_Screen_Flow</x:v>
      </x:c>
      <x:c r="C271" s="117" t="str">
        <x:v>Yes</x:v>
      </x:c>
      <x:c r="D271" s="119" t="str">
        <x:v>Active v4 (Retrieved XML)</x:v>
      </x:c>
      <x:c r="E271" s="117" t="str">
        <x:v>Entitlement</x:v>
      </x:c>
      <x:c r="F271" s="119" t="str">
        <x:v>Variable</x:v>
      </x:c>
      <x:c r="G271" s="117" t="str">
        <x:v>No</x:v>
      </x:c>
      <x:c r="H271" s="117" t="str">
        <x:v>Flow</x:v>
      </x:c>
    </x:row>
    <x:row r="272" ht="30" customHeight="1">
      <x:c r="A272" s="117" t="str">
        <x:v>300Ro00000wDQ8DIAW</x:v>
      </x:c>
      <x:c r="B272" s="117" t="str">
        <x:v>Service_Contract_Create_Contract_Line_Items_Screen_Flow</x:v>
      </x:c>
      <x:c r="C272" s="117" t="str">
        <x:v>No</x:v>
      </x:c>
      <x:c r="D272" s="119" t="str">
        <x:v>Latest inactive v1 (Retrieved XML)</x:v>
      </x:c>
      <x:c r="E272" s="117" t="str">
        <x:v>Entitlement</x:v>
      </x:c>
      <x:c r="F272" s="119" t="str">
        <x:v>Create, Reference, Variable</x:v>
      </x:c>
      <x:c r="G272" s="117" t="str">
        <x:v>No</x:v>
      </x:c>
      <x:c r="H272" s="117" t="str">
        <x:v>Flow</x:v>
      </x:c>
    </x:row>
    <x:row r="273" ht="30" customHeight="1">
      <x:c r="A273" s="117" t="str">
        <x:v>300Ro00000Zp8kCIAR</x:v>
      </x:c>
      <x:c r="B273" s="117" t="str">
        <x:v>Service_Contract_Renewal</x:v>
      </x:c>
      <x:c r="C273" s="117" t="str">
        <x:v>Yes</x:v>
      </x:c>
      <x:c r="D273" s="119" t="str">
        <x:v>Active v18 (Retrieved XML)</x:v>
      </x:c>
      <x:c r="E273" s="117" t="str">
        <x:v>Entitlement</x:v>
      </x:c>
      <x:c r="F273" s="119" t="str">
        <x:v>Variable</x:v>
      </x:c>
      <x:c r="G273" s="117" t="str">
        <x:v>No</x:v>
      </x:c>
      <x:c r="H273" s="117" t="str">
        <x:v>Flow</x:v>
      </x:c>
    </x:row>
    <x:row r="274" ht="30" customHeight="1">
      <x:c r="A274" s="117" t="str">
        <x:v>300Ro00000nsEpqIAE</x:v>
      </x:c>
      <x:c r="B274" s="117" t="str">
        <x:v>Service_Contract_Renewal_US1</x:v>
      </x:c>
      <x:c r="C274" s="117" t="str">
        <x:v>Yes</x:v>
      </x:c>
      <x:c r="D274" s="119" t="str">
        <x:v>Active v11 (Retrieved XML)</x:v>
      </x:c>
      <x:c r="E274" s="117" t="str">
        <x:v>Entitlement</x:v>
      </x:c>
      <x:c r="F274" s="119" t="str">
        <x:v>Variable</x:v>
      </x:c>
      <x:c r="G274" s="117" t="str">
        <x:v>No</x:v>
      </x:c>
      <x:c r="H274" s="117" t="str">
        <x:v>Flow</x:v>
      </x:c>
    </x:row>
    <x:row r="275" ht="30" customHeight="1">
      <x:c r="A275" s="117" t="str">
        <x:v>300Ro00000nBqTjIAK</x:v>
      </x:c>
      <x:c r="B275" s="117" t="str">
        <x:v>Follow_Work_Order_Upon_Creation</x:v>
      </x:c>
      <x:c r="C275" s="117" t="str">
        <x:v>Yes</x:v>
      </x:c>
      <x:c r="D275" s="119" t="str">
        <x:v>Active v1 (Retrieved XML)</x:v>
      </x:c>
      <x:c r="E275" s="117" t="str">
        <x:v>EntitySubscription</x:v>
      </x:c>
      <x:c r="F275" s="119" t="str">
        <x:v>Create, Read, Reference</x:v>
      </x:c>
      <x:c r="G275" s="117" t="str">
        <x:v>No</x:v>
      </x:c>
      <x:c r="H275" s="117" t="str">
        <x:v>AutoLaunchedFlow</x:v>
      </x:c>
    </x:row>
    <x:row r="276" ht="30" customHeight="1">
      <x:c r="A276" s="117" t="str">
        <x:v>300Ro00000hxAaTIAU</x:v>
      </x:c>
      <x:c r="B276" s="117" t="str">
        <x:v>Calibration_due_soon_30_days</x:v>
      </x:c>
      <x:c r="C276" s="117" t="str">
        <x:v>No</x:v>
      </x:c>
      <x:c r="D276" s="119" t="str">
        <x:v>Latest inactive v1 (Retrieved XML)</x:v>
      </x:c>
      <x:c r="E276" s="117" t="str">
        <x:v>Equipment__c</x:v>
      </x:c>
      <x:c r="F276" s="119" t="str">
        <x:v>Reference, Trigger</x:v>
      </x:c>
      <x:c r="G276" s="117" t="str">
        <x:v>Yes</x:v>
      </x:c>
      <x:c r="H276" s="117" t="str">
        <x:v>AutoLaunchedFlow</x:v>
      </x:c>
    </x:row>
    <x:row r="277" ht="30" customHeight="1">
      <x:c r="A277" s="117" t="str">
        <x:v>300Ro00000hx76MIAQ</x:v>
      </x:c>
      <x:c r="B277" s="117" t="str">
        <x:v>Calibration_due_soon_30_days_2</x:v>
      </x:c>
      <x:c r="C277" s="117" t="str">
        <x:v>No</x:v>
      </x:c>
      <x:c r="D277" s="119" t="str">
        <x:v>Latest inactive v1 (Retrieved XML)</x:v>
      </x:c>
      <x:c r="E277" s="117" t="str">
        <x:v>Equipment__c</x:v>
      </x:c>
      <x:c r="F277" s="119" t="str">
        <x:v>Reference, Trigger</x:v>
      </x:c>
      <x:c r="G277" s="117" t="str">
        <x:v>Yes</x:v>
      </x:c>
      <x:c r="H277" s="117" t="str">
        <x:v>AutoLaunchedFlow</x:v>
      </x:c>
    </x:row>
    <x:row r="278" ht="30" customHeight="1">
      <x:c r="A278" s="117" t="str">
        <x:v>300Ro00000hx9ZcIAI</x:v>
      </x:c>
      <x:c r="B278" s="117" t="str">
        <x:v>Calibration_due_soon_30_days_3</x:v>
      </x:c>
      <x:c r="C278" s="117" t="str">
        <x:v>Yes</x:v>
      </x:c>
      <x:c r="D278" s="119" t="str">
        <x:v>Active v1 (Retrieved XML)</x:v>
      </x:c>
      <x:c r="E278" s="117" t="str">
        <x:v>Equipment__c</x:v>
      </x:c>
      <x:c r="F278" s="119" t="str">
        <x:v>Reference, Trigger</x:v>
      </x:c>
      <x:c r="G278" s="117" t="str">
        <x:v>Yes</x:v>
      </x:c>
      <x:c r="H278" s="117" t="str">
        <x:v>AutoLaunchedFlow</x:v>
      </x:c>
    </x:row>
    <x:row r="279" ht="30" customHeight="1">
      <x:c r="A279" s="117" t="str">
        <x:v>300Ro00000UU24mIAD</x:v>
      </x:c>
      <x:c r="B279" s="117" t="str">
        <x:v>Auto_Create_Post_Repair_Eval_on_Opp</x:v>
      </x:c>
      <x:c r="C279" s="117" t="str">
        <x:v>Yes</x:v>
      </x:c>
      <x:c r="D279" s="119" t="str">
        <x:v>Active v1 (Retrieved XML)</x:v>
      </x:c>
      <x:c r="E279" s="117" t="str">
        <x:v>Evaluation_Natalie__c</x:v>
      </x:c>
      <x:c r="F279" s="119" t="str">
        <x:v>Create, Reference</x:v>
      </x:c>
      <x:c r="G279" s="117" t="str">
        <x:v>No</x:v>
      </x:c>
      <x:c r="H279" s="117" t="str">
        <x:v>AutoLaunchedFlow</x:v>
      </x:c>
    </x:row>
    <x:row r="280" ht="30" customHeight="1">
      <x:c r="A280" s="117" t="str">
        <x:v>3005b000000PzFjAAK</x:v>
      </x:c>
      <x:c r="B280" s="117" t="str">
        <x:v>Mark_Asmer_Evaluation_Update_Email_Flow</x:v>
      </x:c>
      <x:c r="C280" s="117" t="str">
        <x:v>Yes</x:v>
      </x:c>
      <x:c r="D280" s="119" t="str">
        <x:v>Active v1 (Retrieved XML)</x:v>
      </x:c>
      <x:c r="E280" s="117" t="str">
        <x:v>Evaluation_Natalie__c</x:v>
      </x:c>
      <x:c r="F280" s="119" t="str">
        <x:v>Reference, Trigger, Update</x:v>
      </x:c>
      <x:c r="G280" s="117" t="str">
        <x:v>Yes</x:v>
      </x:c>
      <x:c r="H280" s="117" t="str">
        <x:v>AutoLaunchedFlow</x:v>
      </x:c>
    </x:row>
    <x:row r="281" ht="30" customHeight="1">
      <x:c r="A281" s="117" t="str">
        <x:v>300Ro00000ugDlfIAE</x:v>
      </x:c>
      <x:c r="B281" s="117" t="str">
        <x:v>SelectRecommendedRepairs</x:v>
      </x:c>
      <x:c r="C281" s="117" t="str">
        <x:v>Yes</x:v>
      </x:c>
      <x:c r="D281" s="119" t="str">
        <x:v>Active v1 (Retrieved XML)</x:v>
      </x:c>
      <x:c r="E281" s="117" t="str">
        <x:v>Evaluation_Natalie__c</x:v>
      </x:c>
      <x:c r="F281" s="119" t="str">
        <x:v>Reference, Update, Variable</x:v>
      </x:c>
      <x:c r="G281" s="117" t="str">
        <x:v>No</x:v>
      </x:c>
      <x:c r="H281" s="117" t="str">
        <x:v>Flow</x:v>
      </x:c>
    </x:row>
    <x:row r="282" ht="30" customHeight="1">
      <x:c r="A282" s="117" t="str">
        <x:v>300Ro00000UU24nIAD</x:v>
      </x:c>
      <x:c r="B282" s="117" t="str">
        <x:v>Send_Post_Repair_Evaluation_Email</x:v>
      </x:c>
      <x:c r="C282" s="117" t="str">
        <x:v>Yes</x:v>
      </x:c>
      <x:c r="D282" s="119" t="str">
        <x:v>Active v1 (Retrieved XML)</x:v>
      </x:c>
      <x:c r="E282" s="117" t="str">
        <x:v>Evaluation_Natalie__c</x:v>
      </x:c>
      <x:c r="F282" s="119" t="str">
        <x:v>Reference, Trigger</x:v>
      </x:c>
      <x:c r="G282" s="117" t="str">
        <x:v>Yes</x:v>
      </x:c>
      <x:c r="H282" s="117" t="str">
        <x:v>AutoLaunchedFlow</x:v>
      </x:c>
    </x:row>
    <x:row r="283" ht="30" customHeight="1">
      <x:c r="A283" s="117" t="str">
        <x:v>300Ro00000SgtMZIAZ</x:v>
      </x:c>
      <x:c r="B283" s="117" t="str">
        <x:v>Assigned_Resource_Create_OR_Update_Service_Event</x:v>
      </x:c>
      <x:c r="C283" s="117" t="str">
        <x:v>Yes</x:v>
      </x:c>
      <x:c r="D283" s="119" t="str">
        <x:v>Active v6 (Tooling metadata)</x:v>
      </x:c>
      <x:c r="E283" s="117" t="str">
        <x:v>Event</x:v>
      </x:c>
      <x:c r="F283" s="119" t="str">
        <x:v>Create, Read, Reference, Update</x:v>
      </x:c>
      <x:c r="G283" s="117" t="str">
        <x:v>No</x:v>
      </x:c>
      <x:c r="H283" s="117" t="str">
        <x:v>AutoLaunchedFlow</x:v>
      </x:c>
    </x:row>
    <x:row r="284" ht="30" customHeight="1">
      <x:c r="A284" s="117" t="str">
        <x:v>300Ro00000SgtMaIAJ</x:v>
      </x:c>
      <x:c r="B284" s="117" t="str">
        <x:v>Assigned_Resource_On_Delete_Find_and_Delete_Related_Event</x:v>
      </x:c>
      <x:c r="C284" s="117" t="str">
        <x:v>Yes</x:v>
      </x:c>
      <x:c r="D284" s="119" t="str">
        <x:v>Active v2 (Retrieved XML)</x:v>
      </x:c>
      <x:c r="E284" s="117" t="str">
        <x:v>Event</x:v>
      </x:c>
      <x:c r="F284" s="119" t="str">
        <x:v>Read, Reference</x:v>
      </x:c>
      <x:c r="G284" s="117" t="str">
        <x:v>No</x:v>
      </x:c>
      <x:c r="H284" s="117" t="str">
        <x:v>AutoLaunchedFlow</x:v>
      </x:c>
    </x:row>
    <x:row r="285" ht="30" customHeight="1">
      <x:c r="A285" s="117" t="str">
        <x:v>300Ro00000H90tTIAR</x:v>
      </x:c>
      <x:c r="B285" s="117" t="str">
        <x:v>Create_Service_Calendar_Event_from_Service_Resource_UK</x:v>
      </x:c>
      <x:c r="C285" s="117" t="str">
        <x:v>No</x:v>
      </x:c>
      <x:c r="D285" s="119" t="str">
        <x:v>Latest inactive v13 (Retrieved XML)</x:v>
      </x:c>
      <x:c r="E285" s="117" t="str">
        <x:v>Event</x:v>
      </x:c>
      <x:c r="F285" s="119" t="str">
        <x:v>Create, Reference</x:v>
      </x:c>
      <x:c r="G285" s="117" t="str">
        <x:v>No</x:v>
      </x:c>
      <x:c r="H285" s="117" t="str">
        <x:v>AutoLaunchedFlow</x:v>
      </x:c>
    </x:row>
    <x:row r="286" ht="30" customHeight="1">
      <x:c r="A286" s="117" t="str">
        <x:v>3005b000000H413AAC</x:v>
      </x:c>
      <x:c r="B286" s="117" t="str">
        <x:v>Create_Service_Calendar_Event_from_Work_Order_UK</x:v>
      </x:c>
      <x:c r="C286" s="117" t="str">
        <x:v>Yes</x:v>
      </x:c>
      <x:c r="D286" s="119" t="str">
        <x:v>Active v23 (Tooling metadata)</x:v>
      </x:c>
      <x:c r="E286" s="117" t="str">
        <x:v>Event</x:v>
      </x:c>
      <x:c r="F286" s="119" t="str">
        <x:v>Create, Reference, Update</x:v>
      </x:c>
      <x:c r="G286" s="117" t="str">
        <x:v>No</x:v>
      </x:c>
      <x:c r="H286" s="117" t="str">
        <x:v>AutoLaunchedFlow</x:v>
      </x:c>
    </x:row>
    <x:row r="287" ht="30" customHeight="1">
      <x:c r="A287" s="117" t="str">
        <x:v>300Ro00000kCnFSIA0</x:v>
      </x:c>
      <x:c r="B287" s="117" t="str">
        <x:v>Delete_Event_Autolaunched_Flow</x:v>
      </x:c>
      <x:c r="C287" s="117" t="str">
        <x:v>No</x:v>
      </x:c>
      <x:c r="D287" s="119" t="str">
        <x:v>Latest inactive v1 (Retrieved XML)</x:v>
      </x:c>
      <x:c r="E287" s="117" t="str">
        <x:v>Event</x:v>
      </x:c>
      <x:c r="F287" s="119" t="str">
        <x:v>Read, Reference</x:v>
      </x:c>
      <x:c r="G287" s="117" t="str">
        <x:v>No</x:v>
      </x:c>
      <x:c r="H287" s="117" t="str">
        <x:v>AutoLaunchedFlow</x:v>
      </x:c>
    </x:row>
    <x:row r="288" ht="30" customHeight="1">
      <x:c r="A288" s="117" t="str">
        <x:v>300Ro00000QzDmKIAV</x:v>
      </x:c>
      <x:c r="B288" s="117" t="str">
        <x:v>On_Deletion_Remove_Service_Resource_on_SA</x:v>
      </x:c>
      <x:c r="C288" s="117" t="str">
        <x:v>No</x:v>
      </x:c>
      <x:c r="D288" s="119" t="str">
        <x:v>Latest inactive v3 (Retrieved XML)</x:v>
      </x:c>
      <x:c r="E288" s="117" t="str">
        <x:v>Event</x:v>
      </x:c>
      <x:c r="F288" s="119" t="str">
        <x:v>Read, Reference</x:v>
      </x:c>
      <x:c r="G288" s="117" t="str">
        <x:v>No</x:v>
      </x:c>
      <x:c r="H288" s="117" t="str">
        <x:v>AutoLaunchedFlow</x:v>
      </x:c>
    </x:row>
    <x:row r="289" ht="30" customHeight="1">
      <x:c r="A289" s="117" t="str">
        <x:v>300Ro00000SgtMdIAJ</x:v>
      </x:c>
      <x:c r="B289" s="117" t="str">
        <x:v>Service_Appointment_Trigger_If_SA_updated_update_event</x:v>
      </x:c>
      <x:c r="C289" s="117" t="str">
        <x:v>Yes</x:v>
      </x:c>
      <x:c r="D289" s="119" t="str">
        <x:v>Active v1 (Tooling metadata)</x:v>
      </x:c>
      <x:c r="E289" s="117" t="str">
        <x:v>Event</x:v>
      </x:c>
      <x:c r="F289" s="119" t="str">
        <x:v>Read, Reference, Update</x:v>
      </x:c>
      <x:c r="G289" s="117" t="str">
        <x:v>No</x:v>
      </x:c>
      <x:c r="H289" s="117" t="str">
        <x:v>AutoLaunchedFlow</x:v>
      </x:c>
    </x:row>
    <x:row r="290" ht="30" customHeight="1">
      <x:c r="A290" s="117" t="str">
        <x:v>300Ro00000SgtMZIAZ</x:v>
      </x:c>
      <x:c r="B290" s="117" t="str">
        <x:v>Assigned_Resource_Create_OR_Update_Service_Event</x:v>
      </x:c>
      <x:c r="C290" s="117" t="str">
        <x:v>Yes</x:v>
      </x:c>
      <x:c r="D290" s="119" t="str">
        <x:v>Active v6 (Tooling metadata)</x:v>
      </x:c>
      <x:c r="E290" s="117" t="str">
        <x:v>EventRelation</x:v>
      </x:c>
      <x:c r="F290" s="119" t="str">
        <x:v>Create, Delete, Read, Reference</x:v>
      </x:c>
      <x:c r="G290" s="117" t="str">
        <x:v>No</x:v>
      </x:c>
      <x:c r="H290" s="117" t="str">
        <x:v>AutoLaunchedFlow</x:v>
      </x:c>
    </x:row>
    <x:row r="291" ht="30" customHeight="1">
      <x:c r="A291" s="117" t="str">
        <x:v>300Ro00000H90tTIAR</x:v>
      </x:c>
      <x:c r="B291" s="117" t="str">
        <x:v>Create_Service_Calendar_Event_from_Service_Resource_UK</x:v>
      </x:c>
      <x:c r="C291" s="117" t="str">
        <x:v>No</x:v>
      </x:c>
      <x:c r="D291" s="119" t="str">
        <x:v>Latest inactive v13 (Retrieved XML)</x:v>
      </x:c>
      <x:c r="E291" s="117" t="str">
        <x:v>EventRelation</x:v>
      </x:c>
      <x:c r="F291" s="119" t="str">
        <x:v>Create, Reference</x:v>
      </x:c>
      <x:c r="G291" s="117" t="str">
        <x:v>No</x:v>
      </x:c>
      <x:c r="H291" s="117" t="str">
        <x:v>AutoLaunchedFlow</x:v>
      </x:c>
    </x:row>
    <x:row r="292" ht="30" customHeight="1">
      <x:c r="A292" s="117" t="str">
        <x:v>3005b000000H413AAC</x:v>
      </x:c>
      <x:c r="B292" s="117" t="str">
        <x:v>Create_Service_Calendar_Event_from_Work_Order_UK</x:v>
      </x:c>
      <x:c r="C292" s="117" t="str">
        <x:v>Yes</x:v>
      </x:c>
      <x:c r="D292" s="119" t="str">
        <x:v>Active v23 (Tooling metadata)</x:v>
      </x:c>
      <x:c r="E292" s="117" t="str">
        <x:v>EventRelation</x:v>
      </x:c>
      <x:c r="F292" s="119" t="str">
        <x:v>Create, Reference, Variable</x:v>
      </x:c>
      <x:c r="G292" s="117" t="str">
        <x:v>No</x:v>
      </x:c>
      <x:c r="H292" s="117" t="str">
        <x:v>AutoLaunchedFlow</x:v>
      </x:c>
    </x:row>
    <x:row r="293" ht="30" customHeight="1">
      <x:c r="A293" s="117" t="str">
        <x:v>300Ro00000H8rdKIAR</x:v>
      </x:c>
      <x:c r="B293" s="117" t="str">
        <x:v>Send_Email_For_Automated_Bundling_Failures</x:v>
      </x:c>
      <x:c r="C293" s="117" t="str">
        <x:v>No</x:v>
      </x:c>
      <x:c r="D293" s="119" t="str">
        <x:v>Latest inactive v10 (Tooling metadata)</x:v>
      </x:c>
      <x:c r="E293" s="117" t="str">
        <x:v>FSL__Optimization_Request__c</x:v>
      </x:c>
      <x:c r="F293" s="119" t="str">
        <x:v>Read, Reference</x:v>
      </x:c>
      <x:c r="G293" s="117" t="str">
        <x:v>No</x:v>
      </x:c>
      <x:c r="H293" s="117" t="str">
        <x:v>AutoLaunchedFlow</x:v>
      </x:c>
    </x:row>
    <x:row r="294" ht="30" customHeight="1">
      <x:c r="A294" s="117" t="str">
        <x:v>300Ro00000H8rdJIAR</x:v>
      </x:c>
      <x:c r="B294" s="117" t="str">
        <x:v>Fix_Schedule_Overlaps</x:v>
      </x:c>
      <x:c r="C294" s="117" t="str">
        <x:v>No</x:v>
      </x:c>
      <x:c r="D294" s="119" t="str">
        <x:v>Latest inactive v8 (Tooling metadata)</x:v>
      </x:c>
      <x:c r="E294" s="117" t="str">
        <x:v>FSL__Scheduling_Policy__c</x:v>
      </x:c>
      <x:c r="F294" s="119" t="str">
        <x:v>Read, Reference</x:v>
      </x:c>
      <x:c r="G294" s="117" t="str">
        <x:v>No</x:v>
      </x:c>
      <x:c r="H294" s="117" t="str">
        <x:v>AutoLaunchedFlow</x:v>
      </x:c>
    </x:row>
    <x:row r="295" ht="30" customHeight="1">
      <x:c r="A295" s="117" t="str">
        <x:v>3005b00000113a9AAA</x:v>
      </x:c>
      <x:c r="B295" s="117" t="str">
        <x:v>Datatable_Configuration_Wizard5</x:v>
      </x:c>
      <x:c r="C295" s="117" t="str">
        <x:v>Yes</x:v>
      </x:c>
      <x:c r="D295" s="119" t="str">
        <x:v>Active v1 (Tooling metadata)</x:v>
      </x:c>
      <x:c r="E295" s="117" t="str">
        <x:v>FlowTableViewDefinition__c</x:v>
      </x:c>
      <x:c r="F295" s="119" t="str">
        <x:v>Read, Reference, Variable</x:v>
      </x:c>
      <x:c r="G295" s="117" t="str">
        <x:v>No</x:v>
      </x:c>
      <x:c r="H295" s="117" t="str">
        <x:v>Flow</x:v>
      </x:c>
    </x:row>
    <x:row r="296" ht="30" customHeight="1">
      <x:c r="A296" s="117" t="str">
        <x:v>3005b000000LGUKAA4</x:v>
      </x:c>
      <x:c r="B296" s="117" t="str">
        <x:v>Auto_Close_SWO_HWO_Scrap_Asset</x:v>
      </x:c>
      <x:c r="C296" s="117" t="str">
        <x:v>Yes</x:v>
      </x:c>
      <x:c r="D296" s="119" t="str">
        <x:v>Active v2 (Retrieved XML)</x:v>
      </x:c>
      <x:c r="E296" s="117" t="str">
        <x:v>Harvest_Work_Order__c</x:v>
      </x:c>
      <x:c r="F296" s="119" t="str">
        <x:v>Reference, Trigger</x:v>
      </x:c>
      <x:c r="G296" s="117" t="str">
        <x:v>Yes</x:v>
      </x:c>
      <x:c r="H296" s="117" t="str">
        <x:v>AutoLaunchedFlow</x:v>
      </x:c>
    </x:row>
    <x:row r="297" ht="30" customHeight="1">
      <x:c r="A297" s="117" t="str">
        <x:v>300Ro00000FzvvKIAR</x:v>
      </x:c>
      <x:c r="B297" s="117" t="str">
        <x:v>Harvest_Work_Order_Cost_PA_Screen_Flow</x:v>
      </x:c>
      <x:c r="C297" s="117" t="str">
        <x:v>Yes</x:v>
      </x:c>
      <x:c r="D297" s="119" t="str">
        <x:v>Active v7 (Retrieved XML)</x:v>
      </x:c>
      <x:c r="E297" s="117" t="str">
        <x:v>Harvest_Work_Order__c</x:v>
      </x:c>
      <x:c r="F297" s="119" t="str">
        <x:v>Read, Reference</x:v>
      </x:c>
      <x:c r="G297" s="117" t="str">
        <x:v>No</x:v>
      </x:c>
      <x:c r="H297" s="117" t="str">
        <x:v>Flow</x:v>
      </x:c>
    </x:row>
    <x:row r="298" ht="30" customHeight="1">
      <x:c r="A298" s="117" t="str">
        <x:v>300Ro00000w4O40IAE</x:v>
      </x:c>
      <x:c r="B298" s="117" t="str">
        <x:v>Harvest_Work_Order_Creation_Update_System_Work_Order_With_Harvest_Work_Order</x:v>
      </x:c>
      <x:c r="C298" s="117" t="str">
        <x:v>Yes</x:v>
      </x:c>
      <x:c r="D298" s="119" t="str">
        <x:v>Active v1 (Retrieved XML)</x:v>
      </x:c>
      <x:c r="E298" s="117" t="str">
        <x:v>Harvest_Work_Order__c</x:v>
      </x:c>
      <x:c r="F298" s="119" t="str">
        <x:v>Reference, Trigger, Update</x:v>
      </x:c>
      <x:c r="G298" s="117" t="str">
        <x:v>Yes</x:v>
      </x:c>
      <x:c r="H298" s="117" t="str">
        <x:v>AutoLaunchedFlow</x:v>
      </x:c>
    </x:row>
    <x:row r="299" ht="30" customHeight="1">
      <x:c r="A299" s="117" t="str">
        <x:v>3005b000000PzCkAAK</x:v>
      </x:c>
      <x:c r="B299" s="117" t="str">
        <x:v>Harvest_Work_Order_Roll_Up_Flow</x:v>
      </x:c>
      <x:c r="C299" s="117" t="str">
        <x:v>Yes</x:v>
      </x:c>
      <x:c r="D299" s="119" t="str">
        <x:v>Active v2 (Retrieved XML)</x:v>
      </x:c>
      <x:c r="E299" s="117" t="str">
        <x:v>Harvest_Work_Order__c</x:v>
      </x:c>
      <x:c r="F299" s="119" t="str">
        <x:v>Reference, Trigger, Update</x:v>
      </x:c>
      <x:c r="G299" s="117" t="str">
        <x:v>Yes</x:v>
      </x:c>
      <x:c r="H299" s="117" t="str">
        <x:v>AutoLaunchedFlow</x:v>
      </x:c>
    </x:row>
    <x:row r="300" ht="30" customHeight="1">
      <x:c r="A300" s="117" t="str">
        <x:v>300Ro000008sFGnIAM</x:v>
      </x:c>
      <x:c r="B300" s="117" t="str">
        <x:v>Harvest_Work_Order_to_System_Work_Order</x:v>
      </x:c>
      <x:c r="C300" s="117" t="str">
        <x:v>Yes</x:v>
      </x:c>
      <x:c r="D300" s="119" t="str">
        <x:v>Active v4 (Retrieved XML)</x:v>
      </x:c>
      <x:c r="E300" s="117" t="str">
        <x:v>Harvest_Work_Order__c</x:v>
      </x:c>
      <x:c r="F300" s="119" t="str">
        <x:v>Read, Reference, Trigger</x:v>
      </x:c>
      <x:c r="G300" s="117" t="str">
        <x:v>Yes</x:v>
      </x:c>
      <x:c r="H300" s="117" t="str">
        <x:v>AutoLaunchedFlow</x:v>
      </x:c>
    </x:row>
    <x:row r="301" ht="30" customHeight="1">
      <x:c r="A301" s="117" t="str">
        <x:v>300Ro000007doaZIAQ</x:v>
      </x:c>
      <x:c r="B301" s="117" t="str">
        <x:v>Product_Item_Rollups</x:v>
      </x:c>
      <x:c r="C301" s="117" t="str">
        <x:v>No</x:v>
      </x:c>
      <x:c r="D301" s="119" t="str">
        <x:v>Latest inactive v2 (Retrieved XML)</x:v>
      </x:c>
      <x:c r="E301" s="117" t="str">
        <x:v>Harvest_Work_Order__c</x:v>
      </x:c>
      <x:c r="F301" s="119" t="str">
        <x:v>Variable</x:v>
      </x:c>
      <x:c r="G301" s="117" t="str">
        <x:v>No</x:v>
      </x:c>
      <x:c r="H301" s="117" t="str">
        <x:v>AutoLaunchedFlow</x:v>
      </x:c>
    </x:row>
    <x:row r="302" ht="30" customHeight="1">
      <x:c r="A302" s="117" t="str">
        <x:v>300Ro00000yTV5xIAG</x:v>
      </x:c>
      <x:c r="B302" s="117" t="str">
        <x:v>ProductItem_Asynchronous_on_create_HWO_Total_Cost_Roll_Up</x:v>
      </x:c>
      <x:c r="C302" s="117" t="str">
        <x:v>Yes</x:v>
      </x:c>
      <x:c r="D302" s="119" t="str">
        <x:v>Active v3 (Retrieved XML)</x:v>
      </x:c>
      <x:c r="E302" s="117" t="str">
        <x:v>Harvest_Work_Order__c</x:v>
      </x:c>
      <x:c r="F302" s="119" t="str">
        <x:v>Reference, Update</x:v>
      </x:c>
      <x:c r="G302" s="117" t="str">
        <x:v>No</x:v>
      </x:c>
      <x:c r="H302" s="117" t="str">
        <x:v>AutoLaunchedFlow</x:v>
      </x:c>
    </x:row>
    <x:row r="303" ht="30" customHeight="1">
      <x:c r="A303" s="117" t="str">
        <x:v>300Ro00000yTWmlIAG</x:v>
      </x:c>
      <x:c r="B303" s="117" t="str">
        <x:v>ProductItem_Asynchronous_on_create_HWO_Total_Revenue_Roll_Up</x:v>
      </x:c>
      <x:c r="C303" s="117" t="str">
        <x:v>Yes</x:v>
      </x:c>
      <x:c r="D303" s="119" t="str">
        <x:v>Active v3 (Retrieved XML)</x:v>
      </x:c>
      <x:c r="E303" s="117" t="str">
        <x:v>Harvest_Work_Order__c</x:v>
      </x:c>
      <x:c r="F303" s="119" t="str">
        <x:v>Reference, Update</x:v>
      </x:c>
      <x:c r="G303" s="117" t="str">
        <x:v>No</x:v>
      </x:c>
      <x:c r="H303" s="117" t="str">
        <x:v>AutoLaunchedFlow</x:v>
      </x:c>
    </x:row>
    <x:row r="304" ht="30" customHeight="1">
      <x:c r="A304" s="117" t="str">
        <x:v>300Ro00000yTV5yIAG</x:v>
      </x:c>
      <x:c r="B304" s="117" t="str">
        <x:v>ProductItem_Asynchronous_on_update_HWO_Total_Cost_Roll_Up</x:v>
      </x:c>
      <x:c r="C304" s="117" t="str">
        <x:v>Yes</x:v>
      </x:c>
      <x:c r="D304" s="119" t="str">
        <x:v>Active v3 (Retrieved XML)</x:v>
      </x:c>
      <x:c r="E304" s="117" t="str">
        <x:v>Harvest_Work_Order__c</x:v>
      </x:c>
      <x:c r="F304" s="119" t="str">
        <x:v>Reference, Update</x:v>
      </x:c>
      <x:c r="G304" s="117" t="str">
        <x:v>No</x:v>
      </x:c>
      <x:c r="H304" s="117" t="str">
        <x:v>AutoLaunchedFlow</x:v>
      </x:c>
    </x:row>
    <x:row r="305" ht="30" customHeight="1">
      <x:c r="A305" s="117" t="str">
        <x:v>300Ro00000yTWmmIAG</x:v>
      </x:c>
      <x:c r="B305" s="117" t="str">
        <x:v>ProductItem_Asynchronous_on_update_HWO_Total_Revenue_Roll_Up</x:v>
      </x:c>
      <x:c r="C305" s="117" t="str">
        <x:v>Yes</x:v>
      </x:c>
      <x:c r="D305" s="119" t="str">
        <x:v>Active v2 (Retrieved XML)</x:v>
      </x:c>
      <x:c r="E305" s="117" t="str">
        <x:v>Harvest_Work_Order__c</x:v>
      </x:c>
      <x:c r="F305" s="119" t="str">
        <x:v>Reference, Update</x:v>
      </x:c>
      <x:c r="G305" s="117" t="str">
        <x:v>No</x:v>
      </x:c>
      <x:c r="H305" s="117" t="str">
        <x:v>AutoLaunchedFlow</x:v>
      </x:c>
    </x:row>
    <x:row r="306" ht="30" customHeight="1">
      <x:c r="A306" s="117" t="str">
        <x:v>300Ro00000yTV5zIAG</x:v>
      </x:c>
      <x:c r="B306" s="117" t="str">
        <x:v>ProductItem_Before_delete_HWO_Total_Cost_Roll_Up</x:v>
      </x:c>
      <x:c r="C306" s="117" t="str">
        <x:v>Yes</x:v>
      </x:c>
      <x:c r="D306" s="119" t="str">
        <x:v>Active v2 (Retrieved XML)</x:v>
      </x:c>
      <x:c r="E306" s="117" t="str">
        <x:v>Harvest_Work_Order__c</x:v>
      </x:c>
      <x:c r="F306" s="119" t="str">
        <x:v>Reference, Update</x:v>
      </x:c>
      <x:c r="G306" s="117" t="str">
        <x:v>No</x:v>
      </x:c>
      <x:c r="H306" s="117" t="str">
        <x:v>AutoLaunchedFlow</x:v>
      </x:c>
    </x:row>
    <x:row r="307" ht="30" customHeight="1">
      <x:c r="A307" s="117" t="str">
        <x:v>300Ro00000yTWmnIAG</x:v>
      </x:c>
      <x:c r="B307" s="117" t="str">
        <x:v>ProductItem_Before_delete_HWO_Total_Revenue_Roll_Up</x:v>
      </x:c>
      <x:c r="C307" s="117" t="str">
        <x:v>Yes</x:v>
      </x:c>
      <x:c r="D307" s="119" t="str">
        <x:v>Active v2 (Retrieved XML)</x:v>
      </x:c>
      <x:c r="E307" s="117" t="str">
        <x:v>Harvest_Work_Order__c</x:v>
      </x:c>
      <x:c r="F307" s="119" t="str">
        <x:v>Reference, Update</x:v>
      </x:c>
      <x:c r="G307" s="117" t="str">
        <x:v>No</x:v>
      </x:c>
      <x:c r="H307" s="117" t="str">
        <x:v>AutoLaunchedFlow</x:v>
      </x:c>
    </x:row>
    <x:row r="308" ht="30" customHeight="1">
      <x:c r="A308" s="117" t="str">
        <x:v>300Ro00000B1rQaIAJ</x:v>
      </x:c>
      <x:c r="B308" s="117" t="str">
        <x:v>Absorb_External_Repair_Screen_Flow</x:v>
      </x:c>
      <x:c r="C308" s="117" t="str">
        <x:v>Yes</x:v>
      </x:c>
      <x:c r="D308" s="119" t="str">
        <x:v>Active v11 (Retrieved XML)</x:v>
      </x:c>
      <x:c r="E308" s="117" t="str">
        <x:v>IR_Product__c</x:v>
      </x:c>
      <x:c r="F308" s="119" t="str">
        <x:v>Create, Reference</x:v>
      </x:c>
      <x:c r="G308" s="117" t="str">
        <x:v>No</x:v>
      </x:c>
      <x:c r="H308" s="117" t="str">
        <x:v>Flow</x:v>
      </x:c>
    </x:row>
    <x:row r="309" ht="30" customHeight="1">
      <x:c r="A309" s="117" t="str">
        <x:v>300Ro00000blHOIIA2</x:v>
      </x:c>
      <x:c r="B309" s="117" t="str">
        <x:v>Create_IR_from_Opp</x:v>
      </x:c>
      <x:c r="C309" s="117" t="str">
        <x:v>Yes</x:v>
      </x:c>
      <x:c r="D309" s="119" t="str">
        <x:v>Active v6 (Tooling metadata)</x:v>
      </x:c>
      <x:c r="E309" s="117" t="str">
        <x:v>IR_Product__c</x:v>
      </x:c>
      <x:c r="F309" s="119" t="str">
        <x:v>Create, Reference, Variable</x:v>
      </x:c>
      <x:c r="G309" s="117" t="str">
        <x:v>No</x:v>
      </x:c>
      <x:c r="H309" s="117" t="str">
        <x:v>Flow</x:v>
      </x:c>
    </x:row>
    <x:row r="310" ht="30" customHeight="1">
      <x:c r="A310" s="117" t="str">
        <x:v>3005b000000LHirAAG</x:v>
      </x:c>
      <x:c r="B310" s="117" t="str">
        <x:v>Create_Item_Receipt_from_Opp</x:v>
      </x:c>
      <x:c r="C310" s="117" t="str">
        <x:v>No</x:v>
      </x:c>
      <x:c r="D310" s="119" t="str">
        <x:v>Latest inactive v50 (Retrieved XML)</x:v>
      </x:c>
      <x:c r="E310" s="117" t="str">
        <x:v>IR_Product__c</x:v>
      </x:c>
      <x:c r="F310" s="119" t="str">
        <x:v>Create, Reference, Variable</x:v>
      </x:c>
      <x:c r="G310" s="117" t="str">
        <x:v>No</x:v>
      </x:c>
      <x:c r="H310" s="117" t="str">
        <x:v>Flow</x:v>
      </x:c>
    </x:row>
    <x:row r="311" ht="30" customHeight="1">
      <x:c r="A311" s="117" t="str">
        <x:v>300Ro00000zKaXGIA0</x:v>
      </x:c>
      <x:c r="B311" s="117" t="str">
        <x:v>IR_Product_Before_Delete_Total_IR_Product_Cost_Roll_Up</x:v>
      </x:c>
      <x:c r="C311" s="117" t="str">
        <x:v>Yes</x:v>
      </x:c>
      <x:c r="D311" s="119" t="str">
        <x:v>Active v1 (Retrieved XML)</x:v>
      </x:c>
      <x:c r="E311" s="117" t="str">
        <x:v>IR_Product__c</x:v>
      </x:c>
      <x:c r="F311" s="119" t="str">
        <x:v>Read, Reference, Trigger</x:v>
      </x:c>
      <x:c r="G311" s="117" t="str">
        <x:v>Yes</x:v>
      </x:c>
      <x:c r="H311" s="117" t="str">
        <x:v>AutoLaunchedFlow</x:v>
      </x:c>
    </x:row>
    <x:row r="312" ht="30" customHeight="1">
      <x:c r="A312" s="117" t="str">
        <x:v>300Ro00000zKaXHIA0</x:v>
      </x:c>
      <x:c r="B312" s="117" t="str">
        <x:v>IR_Product_on_create_Total_IR_Product_Cost_Roll_Up</x:v>
      </x:c>
      <x:c r="C312" s="117" t="str">
        <x:v>Yes</x:v>
      </x:c>
      <x:c r="D312" s="119" t="str">
        <x:v>Active v1 (Retrieved XML)</x:v>
      </x:c>
      <x:c r="E312" s="117" t="str">
        <x:v>IR_Product__c</x:v>
      </x:c>
      <x:c r="F312" s="119" t="str">
        <x:v>Read, Reference, Trigger</x:v>
      </x:c>
      <x:c r="G312" s="117" t="str">
        <x:v>Yes</x:v>
      </x:c>
      <x:c r="H312" s="117" t="str">
        <x:v>AutoLaunchedFlow</x:v>
      </x:c>
    </x:row>
    <x:row r="313" ht="30" customHeight="1">
      <x:c r="A313" s="117" t="str">
        <x:v>300Ro00000zKaXIIA0</x:v>
      </x:c>
      <x:c r="B313" s="117" t="str">
        <x:v>IR_Product_on_update_Total_IR_Product_Cost_Roll_Up</x:v>
      </x:c>
      <x:c r="C313" s="117" t="str">
        <x:v>Yes</x:v>
      </x:c>
      <x:c r="D313" s="119" t="str">
        <x:v>Active v1 (Retrieved XML)</x:v>
      </x:c>
      <x:c r="E313" s="117" t="str">
        <x:v>IR_Product__c</x:v>
      </x:c>
      <x:c r="F313" s="119" t="str">
        <x:v>Read, Reference, Trigger</x:v>
      </x:c>
      <x:c r="G313" s="117" t="str">
        <x:v>Yes</x:v>
      </x:c>
      <x:c r="H313" s="117" t="str">
        <x:v>AutoLaunchedFlow</x:v>
      </x:c>
    </x:row>
    <x:row r="314" ht="30" customHeight="1">
      <x:c r="A314" s="117" t="str">
        <x:v>300Ro00000gqYztIAE</x:v>
      </x:c>
      <x:c r="B314" s="117" t="str">
        <x:v>Item_Receipt_Run_Trigger_Update_if_needed_for_Sync</x:v>
      </x:c>
      <x:c r="C314" s="117" t="str">
        <x:v>Yes</x:v>
      </x:c>
      <x:c r="D314" s="119" t="str">
        <x:v>Active v8 (Retrieved XML)</x:v>
      </x:c>
      <x:c r="E314" s="117" t="str">
        <x:v>IR_Product__c</x:v>
      </x:c>
      <x:c r="F314" s="119" t="str">
        <x:v>Read, Reference</x:v>
      </x:c>
      <x:c r="G314" s="117" t="str">
        <x:v>No</x:v>
      </x:c>
      <x:c r="H314" s="117" t="str">
        <x:v>AutoLaunchedFlow</x:v>
      </x:c>
    </x:row>
    <x:row r="315" ht="30" customHeight="1">
      <x:c r="A315" s="117" t="str">
        <x:v>300Ro00000NynYXIAZ</x:v>
      </x:c>
      <x:c r="B315" s="117" t="str">
        <x:v>TEMP_IR_Product_Creation</x:v>
      </x:c>
      <x:c r="C315" s="117" t="str">
        <x:v>Yes</x:v>
      </x:c>
      <x:c r="D315" s="119" t="str">
        <x:v>Active v10 (Retrieved XML)</x:v>
      </x:c>
      <x:c r="E315" s="117" t="str">
        <x:v>IR_Product__c</x:v>
      </x:c>
      <x:c r="F315" s="119" t="str">
        <x:v>Create, Read, Reference, Variable</x:v>
      </x:c>
      <x:c r="G315" s="117" t="str">
        <x:v>No</x:v>
      </x:c>
      <x:c r="H315" s="117" t="str">
        <x:v>AutoLaunchedFlow</x:v>
      </x:c>
    </x:row>
    <x:row r="316" ht="30" customHeight="1">
      <x:c r="A316" s="117" t="str">
        <x:v>300Ro00000rK6tzIAC</x:v>
      </x:c>
      <x:c r="B316" s="117" t="str">
        <x:v>Intercompany_Transfer_Automations</x:v>
      </x:c>
      <x:c r="C316" s="117" t="str">
        <x:v>Yes</x:v>
      </x:c>
      <x:c r="D316" s="119" t="str">
        <x:v>Active v1 (Retrieved XML)</x:v>
      </x:c>
      <x:c r="E316" s="117" t="str">
        <x:v>Intercompany_Transfer__c</x:v>
      </x:c>
      <x:c r="F316" s="119" t="str">
        <x:v>Reference, Trigger, Update</x:v>
      </x:c>
      <x:c r="G316" s="117" t="str">
        <x:v>Yes</x:v>
      </x:c>
      <x:c r="H316" s="117" t="str">
        <x:v>AutoLaunchedFlow</x:v>
      </x:c>
    </x:row>
    <x:row r="317" ht="30" customHeight="1">
      <x:c r="A317" s="117" t="str">
        <x:v>300Ro00000RkPiDIAV</x:v>
      </x:c>
      <x:c r="B317" s="117" t="str">
        <x:v>MP_Test</x:v>
      </x:c>
      <x:c r="C317" s="117" t="str">
        <x:v>No</x:v>
      </x:c>
      <x:c r="D317" s="119" t="str">
        <x:v>Latest inactive v7 (Retrieved XML)</x:v>
      </x:c>
      <x:c r="E317" s="117" t="str">
        <x:v>Intercompany_Transfer__c</x:v>
      </x:c>
      <x:c r="F317" s="119" t="str">
        <x:v>Reference, Trigger, Update</x:v>
      </x:c>
      <x:c r="G317" s="117" t="str">
        <x:v>Yes</x:v>
      </x:c>
      <x:c r="H317" s="117" t="str">
        <x:v>AutoLaunchedFlow</x:v>
      </x:c>
    </x:row>
    <x:row r="318" ht="30" customHeight="1">
      <x:c r="A318" s="117" t="str">
        <x:v>3004O000000LOscQAG</x:v>
      </x:c>
      <x:c r="B318" s="117" t="str">
        <x:v>Inventory_Adjustment</x:v>
      </x:c>
      <x:c r="C318" s="117" t="str">
        <x:v>No</x:v>
      </x:c>
      <x:c r="D318" s="119" t="str">
        <x:v>Latest inactive v1 (Retrieved XML)</x:v>
      </x:c>
      <x:c r="E318" s="117" t="str">
        <x:v>Inventory_Adjustment__c</x:v>
      </x:c>
      <x:c r="F318" s="119" t="str">
        <x:v>Reference, Update, Variable</x:v>
      </x:c>
      <x:c r="G318" s="117" t="str">
        <x:v>No</x:v>
      </x:c>
      <x:c r="H318" s="117" t="str">
        <x:v>Workflow</x:v>
      </x:c>
    </x:row>
    <x:row r="319" ht="30" customHeight="1">
      <x:c r="A319" s="117" t="str">
        <x:v>300Ro00000MYUv9IAH</x:v>
      </x:c>
      <x:c r="B319" s="117" t="str">
        <x:v>Prevent_Deletion_Inventory_Adjustment</x:v>
      </x:c>
      <x:c r="C319" s="117" t="str">
        <x:v>No</x:v>
      </x:c>
      <x:c r="D319" s="119" t="str">
        <x:v>Latest inactive v1 (Retrieved XML)</x:v>
      </x:c>
      <x:c r="E319" s="117" t="str">
        <x:v>Inventory_Adjustment__c</x:v>
      </x:c>
      <x:c r="F319" s="119" t="str">
        <x:v>Reference, Trigger</x:v>
      </x:c>
      <x:c r="G319" s="117" t="str">
        <x:v>Yes</x:v>
      </x:c>
      <x:c r="H319" s="117" t="str">
        <x:v>AutoLaunchedFlow</x:v>
      </x:c>
    </x:row>
    <x:row r="320" ht="30" customHeight="1">
      <x:c r="A320" s="117" t="str">
        <x:v>300Ro00000LtI8NIAV</x:v>
      </x:c>
      <x:c r="B320" s="117" t="str">
        <x:v>Record_Triggered_After_Inventory_Adjustment</x:v>
      </x:c>
      <x:c r="C320" s="117" t="str">
        <x:v>Yes</x:v>
      </x:c>
      <x:c r="D320" s="119" t="str">
        <x:v>Active v2 (Retrieved XML)</x:v>
      </x:c>
      <x:c r="E320" s="117" t="str">
        <x:v>Inventory_Adjustment__c</x:v>
      </x:c>
      <x:c r="F320" s="119" t="str">
        <x:v>Reference, Trigger, Variable</x:v>
      </x:c>
      <x:c r="G320" s="117" t="str">
        <x:v>Yes</x:v>
      </x:c>
      <x:c r="H320" s="117" t="str">
        <x:v>AutoLaunchedFlow</x:v>
      </x:c>
    </x:row>
    <x:row r="321" ht="30" customHeight="1">
      <x:c r="A321" s="117" t="str">
        <x:v>300Ro00000LtI8OIAV</x:v>
      </x:c>
      <x:c r="B321" s="117" t="str">
        <x:v>Screen_Flow_Scrap_Asset_on_System_Work_Order</x:v>
      </x:c>
      <x:c r="C321" s="117" t="str">
        <x:v>Yes</x:v>
      </x:c>
      <x:c r="D321" s="119" t="str">
        <x:v>Active v1 (Retrieved XML)</x:v>
      </x:c>
      <x:c r="E321" s="117" t="str">
        <x:v>Inventory_Adjustment__c</x:v>
      </x:c>
      <x:c r="F321" s="119" t="str">
        <x:v>Create, Reference</x:v>
      </x:c>
      <x:c r="G321" s="117" t="str">
        <x:v>No</x:v>
      </x:c>
      <x:c r="H321" s="117" t="str">
        <x:v>Flow</x:v>
      </x:c>
    </x:row>
    <x:row r="322" ht="30" customHeight="1">
      <x:c r="A322" s="117" t="str">
        <x:v>300Ro00000tZphgIAC</x:v>
      </x:c>
      <x:c r="B322" s="117" t="str">
        <x:v>Disaster_Recovery_Project_Raise_Invoice_from_Charges</x:v>
      </x:c>
      <x:c r="C322" s="117" t="str">
        <x:v>Yes</x:v>
      </x:c>
      <x:c r="D322" s="119" t="str">
        <x:v>Active v7 (Retrieved XML)</x:v>
      </x:c>
      <x:c r="E322" s="117" t="str">
        <x:v>Invoice_Line_Item__c</x:v>
      </x:c>
      <x:c r="F322" s="119" t="str">
        <x:v>Variable</x:v>
      </x:c>
      <x:c r="G322" s="117" t="str">
        <x:v>No</x:v>
      </x:c>
      <x:c r="H322" s="117" t="str">
        <x:v>Flow</x:v>
      </x:c>
    </x:row>
    <x:row r="323" ht="30" customHeight="1">
      <x:c r="A323" s="117" t="str">
        <x:v>300Ro0000149ADUIA2</x:v>
      </x:c>
      <x:c r="B323" s="117" t="str">
        <x:v>DRP_Submit_Project_Charges_for_Invoicing</x:v>
      </x:c>
      <x:c r="C323" s="117" t="str">
        <x:v>No</x:v>
      </x:c>
      <x:c r="D323" s="119" t="str">
        <x:v>Latest inactive v1 (Retrieved XML)</x:v>
      </x:c>
      <x:c r="E323" s="117" t="str">
        <x:v>Invoice_Line_Item__c</x:v>
      </x:c>
      <x:c r="F323" s="119" t="str">
        <x:v>Variable</x:v>
      </x:c>
      <x:c r="G323" s="117" t="str">
        <x:v>No</x:v>
      </x:c>
      <x:c r="H323" s="117" t="str">
        <x:v>Flow</x:v>
      </x:c>
    </x:row>
    <x:row r="324" ht="30" customHeight="1">
      <x:c r="A324" s="117" t="str">
        <x:v>3005b000000LHdDAAW</x:v>
      </x:c>
      <x:c r="B324" s="117" t="str">
        <x:v>Invoice_Automations</x:v>
      </x:c>
      <x:c r="C324" s="117" t="str">
        <x:v>Yes</x:v>
      </x:c>
      <x:c r="D324" s="119" t="str">
        <x:v>Active v26 (Retrieved XML)</x:v>
      </x:c>
      <x:c r="E324" s="117" t="str">
        <x:v>Invoice_Line_Item__c</x:v>
      </x:c>
      <x:c r="F324" s="119" t="str">
        <x:v>Read, Reference</x:v>
      </x:c>
      <x:c r="G324" s="117" t="str">
        <x:v>No</x:v>
      </x:c>
      <x:c r="H324" s="117" t="str">
        <x:v>AutoLaunchedFlow</x:v>
      </x:c>
    </x:row>
    <x:row r="325" ht="30" customHeight="1">
      <x:c r="A325" s="117" t="str">
        <x:v>300Ro00000VTHYJIA5</x:v>
      </x:c>
      <x:c r="B325" s="117" t="str">
        <x:v>Invoice_Line_Item_On_Update_Sum_Invoice_Total_Sales_Price</x:v>
      </x:c>
      <x:c r="C325" s="117" t="str">
        <x:v>Yes</x:v>
      </x:c>
      <x:c r="D325" s="119" t="str">
        <x:v>Active v3 (Retrieved XML)</x:v>
      </x:c>
      <x:c r="E325" s="117" t="str">
        <x:v>Invoice_Line_Item__c</x:v>
      </x:c>
      <x:c r="F325" s="119" t="str">
        <x:v>Read, Reference, Trigger</x:v>
      </x:c>
      <x:c r="G325" s="117" t="str">
        <x:v>Yes</x:v>
      </x:c>
      <x:c r="H325" s="117" t="str">
        <x:v>AutoLaunchedFlow</x:v>
      </x:c>
    </x:row>
    <x:row r="326" ht="30" customHeight="1">
      <x:c r="A326" s="117" t="str">
        <x:v>300Ro00000SjMhAIAV</x:v>
      </x:c>
      <x:c r="B326" s="117" t="str">
        <x:v>RMA_Automations</x:v>
      </x:c>
      <x:c r="C326" s="117" t="str">
        <x:v>Yes</x:v>
      </x:c>
      <x:c r="D326" s="119" t="str">
        <x:v>Active v20 (Retrieved XML)</x:v>
      </x:c>
      <x:c r="E326" s="117" t="str">
        <x:v>Invoice_Line_Item__c</x:v>
      </x:c>
      <x:c r="F326" s="119" t="str">
        <x:v>Read, Reference</x:v>
      </x:c>
      <x:c r="G326" s="117" t="str">
        <x:v>No</x:v>
      </x:c>
      <x:c r="H326" s="117" t="str">
        <x:v>AutoLaunchedFlow</x:v>
      </x:c>
    </x:row>
    <x:row r="327" ht="30" customHeight="1">
      <x:c r="A327" s="117" t="str">
        <x:v>300Ro00000ViqyjIAB</x:v>
      </x:c>
      <x:c r="B327" s="117" t="str">
        <x:v>Screen_Flow_Select_Products_to_Invoice_on_Equipment_Storage_Opps</x:v>
      </x:c>
      <x:c r="C327" s="117" t="str">
        <x:v>Yes</x:v>
      </x:c>
      <x:c r="D327" s="119" t="str">
        <x:v>Active v2 (Retrieved XML)</x:v>
      </x:c>
      <x:c r="E327" s="117" t="str">
        <x:v>Invoice_Line_Item__c</x:v>
      </x:c>
      <x:c r="F327" s="119" t="str">
        <x:v>Read, Reference, Variable</x:v>
      </x:c>
      <x:c r="G327" s="117" t="str">
        <x:v>No</x:v>
      </x:c>
      <x:c r="H327" s="117" t="str">
        <x:v>Flow</x:v>
      </x:c>
    </x:row>
    <x:row r="328" ht="30" customHeight="1">
      <x:c r="A328" s="117" t="str">
        <x:v>300Ro00000gOxzdIAC</x:v>
      </x:c>
      <x:c r="B328" s="117" t="str">
        <x:v>Convert_Proforma</x:v>
      </x:c>
      <x:c r="C328" s="117" t="str">
        <x:v>Yes</x:v>
      </x:c>
      <x:c r="D328" s="119" t="str">
        <x:v>Active v1 (Retrieved XML)</x:v>
      </x:c>
      <x:c r="E328" s="117" t="str">
        <x:v>Invoice__c</x:v>
      </x:c>
      <x:c r="F328" s="119" t="str">
        <x:v>Variable</x:v>
      </x:c>
      <x:c r="G328" s="117" t="str">
        <x:v>No</x:v>
      </x:c>
      <x:c r="H328" s="117" t="str">
        <x:v>Flow</x:v>
      </x:c>
    </x:row>
    <x:row r="329" ht="30" customHeight="1">
      <x:c r="A329" s="117" t="str">
        <x:v>3005b000000H1m1AAC</x:v>
      </x:c>
      <x:c r="B329" s="117" t="str">
        <x:v>Count_Invoice_Products</x:v>
      </x:c>
      <x:c r="C329" s="117" t="str">
        <x:v>No</x:v>
      </x:c>
      <x:c r="D329" s="119" t="str">
        <x:v>Latest inactive v2 (Retrieved XML)</x:v>
      </x:c>
      <x:c r="E329" s="117" t="str">
        <x:v>Invoice__c</x:v>
      </x:c>
      <x:c r="F329" s="119" t="str">
        <x:v>Reference, Update</x:v>
      </x:c>
      <x:c r="G329" s="117" t="str">
        <x:v>No</x:v>
      </x:c>
      <x:c r="H329" s="117" t="str">
        <x:v>AutoLaunchedFlow</x:v>
      </x:c>
    </x:row>
    <x:row r="330" ht="30" customHeight="1">
      <x:c r="A330" s="117" t="str">
        <x:v>3004O000000LOsAQAW</x:v>
      </x:c>
      <x:c r="B330" s="117" t="str">
        <x:v>Create_Commission</x:v>
      </x:c>
      <x:c r="C330" s="117" t="str">
        <x:v>Yes</x:v>
      </x:c>
      <x:c r="D330" s="119" t="str">
        <x:v>Active v2 (Retrieved XML)</x:v>
      </x:c>
      <x:c r="E330" s="117" t="str">
        <x:v>Invoice__c</x:v>
      </x:c>
      <x:c r="F330" s="119" t="str">
        <x:v>Read, Reference</x:v>
      </x:c>
      <x:c r="G330" s="117" t="str">
        <x:v>No</x:v>
      </x:c>
      <x:c r="H330" s="117" t="str">
        <x:v>AutoLaunchedFlow</x:v>
      </x:c>
    </x:row>
    <x:row r="331" ht="30" customHeight="1">
      <x:c r="A331" s="117" t="str">
        <x:v>300Ro00000NaN2WIAV</x:v>
      </x:c>
      <x:c r="B331" s="117" t="str">
        <x:v>Create_Credit_Memo_From_Invoice</x:v>
      </x:c>
      <x:c r="C331" s="117" t="str">
        <x:v>Yes</x:v>
      </x:c>
      <x:c r="D331" s="119" t="str">
        <x:v>Active v9 (Retrieved XML)</x:v>
      </x:c>
      <x:c r="E331" s="117" t="str">
        <x:v>Invoice__c</x:v>
      </x:c>
      <x:c r="F331" s="119" t="str">
        <x:v>Read, Reference</x:v>
      </x:c>
      <x:c r="G331" s="117" t="str">
        <x:v>No</x:v>
      </x:c>
      <x:c r="H331" s="117" t="str">
        <x:v>Flow</x:v>
      </x:c>
    </x:row>
    <x:row r="332" ht="30" customHeight="1">
      <x:c r="A332" s="117" t="str">
        <x:v>3004O000000LOsbQAG</x:v>
      </x:c>
      <x:c r="B332" s="117" t="str">
        <x:v>Create_Order_and_Order_Products_from_Paid_Invoice</x:v>
      </x:c>
      <x:c r="C332" s="117" t="str">
        <x:v>No</x:v>
      </x:c>
      <x:c r="D332" s="119" t="str">
        <x:v>Latest inactive v20 (Retrieved XML)</x:v>
      </x:c>
      <x:c r="E332" s="117" t="str">
        <x:v>Invoice__c</x:v>
      </x:c>
      <x:c r="F332" s="119" t="str">
        <x:v>Read, Reference</x:v>
      </x:c>
      <x:c r="G332" s="117" t="str">
        <x:v>No</x:v>
      </x:c>
      <x:c r="H332" s="117" t="str">
        <x:v>AutoLaunchedFlow</x:v>
      </x:c>
    </x:row>
    <x:row r="333" ht="30" customHeight="1">
      <x:c r="A333" s="117" t="str">
        <x:v>3004O000000LOr7QAG</x:v>
      </x:c>
      <x:c r="B333" s="117" t="str">
        <x:v>Credit_Memo</x:v>
      </x:c>
      <x:c r="C333" s="117" t="str">
        <x:v>No</x:v>
      </x:c>
      <x:c r="D333" s="119" t="str">
        <x:v>Latest inactive v17 (Retrieved XML)</x:v>
      </x:c>
      <x:c r="E333" s="117" t="str">
        <x:v>Invoice__c</x:v>
      </x:c>
      <x:c r="F333" s="119" t="str">
        <x:v>Reference, Update</x:v>
      </x:c>
      <x:c r="G333" s="117" t="str">
        <x:v>No</x:v>
      </x:c>
      <x:c r="H333" s="117" t="str">
        <x:v>Workflow</x:v>
      </x:c>
    </x:row>
    <x:row r="334" ht="30" customHeight="1">
      <x:c r="A334" s="117" t="str">
        <x:v>3004O000000LOwWQAW</x:v>
      </x:c>
      <x:c r="B334" s="117" t="str">
        <x:v>Credit_Memo_Creation_Flow</x:v>
      </x:c>
      <x:c r="C334" s="117" t="str">
        <x:v>Yes</x:v>
      </x:c>
      <x:c r="D334" s="119" t="str">
        <x:v>Active v1 (Tooling metadata)</x:v>
      </x:c>
      <x:c r="E334" s="117" t="str">
        <x:v>Invoice__c</x:v>
      </x:c>
      <x:c r="F334" s="119" t="str">
        <x:v>Read, Reference</x:v>
      </x:c>
      <x:c r="G334" s="117" t="str">
        <x:v>No</x:v>
      </x:c>
      <x:c r="H334" s="117" t="str">
        <x:v>Flow</x:v>
      </x:c>
    </x:row>
    <x:row r="335" ht="30" customHeight="1">
      <x:c r="A335" s="117" t="str">
        <x:v>300Ro00000JlbywIAB</x:v>
      </x:c>
      <x:c r="B335" s="117" t="str">
        <x:v>Credit_Memo_Lines_Add_to_Credit_Memo</x:v>
      </x:c>
      <x:c r="C335" s="117" t="str">
        <x:v>Yes</x:v>
      </x:c>
      <x:c r="D335" s="119" t="str">
        <x:v>Active v7 (Retrieved XML)</x:v>
      </x:c>
      <x:c r="E335" s="117" t="str">
        <x:v>Invoice__c</x:v>
      </x:c>
      <x:c r="F335" s="119" t="str">
        <x:v>Read, Reference</x:v>
      </x:c>
      <x:c r="G335" s="117" t="str">
        <x:v>No</x:v>
      </x:c>
      <x:c r="H335" s="117" t="str">
        <x:v>Flow</x:v>
      </x:c>
    </x:row>
    <x:row r="336" ht="30" customHeight="1">
      <x:c r="A336" s="117" t="str">
        <x:v>3005b000000H3HjAAK</x:v>
      </x:c>
      <x:c r="B336" s="117" t="str">
        <x:v>Custom_Payment_Flow</x:v>
      </x:c>
      <x:c r="C336" s="117" t="str">
        <x:v>Yes</x:v>
      </x:c>
      <x:c r="D336" s="119" t="str">
        <x:v>Active v15 (Retrieved XML)</x:v>
      </x:c>
      <x:c r="E336" s="117" t="str">
        <x:v>Invoice__c</x:v>
      </x:c>
      <x:c r="F336" s="119" t="str">
        <x:v>Reference, Update</x:v>
      </x:c>
      <x:c r="G336" s="117" t="str">
        <x:v>No</x:v>
      </x:c>
      <x:c r="H336" s="117" t="str">
        <x:v>Flow</x:v>
      </x:c>
    </x:row>
    <x:row r="337" ht="30" customHeight="1">
      <x:c r="A337" s="117" t="str">
        <x:v>3004O000000Xh6cQAC</x:v>
      </x:c>
      <x:c r="B337" s="117" t="str">
        <x:v>Generate_Invoice_PDF_Flow</x:v>
      </x:c>
      <x:c r="C337" s="117" t="str">
        <x:v>No</x:v>
      </x:c>
      <x:c r="D337" s="119" t="str">
        <x:v>Latest inactive v1 (Retrieved XML)</x:v>
      </x:c>
      <x:c r="E337" s="117" t="str">
        <x:v>Invoice__c</x:v>
      </x:c>
      <x:c r="F337" s="119" t="str">
        <x:v>Read, Reference</x:v>
      </x:c>
      <x:c r="G337" s="117" t="str">
        <x:v>No</x:v>
      </x:c>
      <x:c r="H337" s="117" t="str">
        <x:v>Flow</x:v>
      </x:c>
    </x:row>
    <x:row r="338" ht="30" customHeight="1">
      <x:c r="A338" s="117" t="str">
        <x:v>3005b000000LHdDAAW</x:v>
      </x:c>
      <x:c r="B338" s="117" t="str">
        <x:v>Invoice_Automations</x:v>
      </x:c>
      <x:c r="C338" s="117" t="str">
        <x:v>Yes</x:v>
      </x:c>
      <x:c r="D338" s="119" t="str">
        <x:v>Active v26 (Retrieved XML)</x:v>
      </x:c>
      <x:c r="E338" s="117" t="str">
        <x:v>Invoice__c</x:v>
      </x:c>
      <x:c r="F338" s="119" t="str">
        <x:v>Read, Reference, Trigger, Update</x:v>
      </x:c>
      <x:c r="G338" s="117" t="str">
        <x:v>Yes</x:v>
      </x:c>
      <x:c r="H338" s="117" t="str">
        <x:v>AutoLaunchedFlow</x:v>
      </x:c>
    </x:row>
    <x:row r="339" ht="30" customHeight="1">
      <x:c r="A339" s="117" t="str">
        <x:v>300Ro00000VBIe8IAH</x:v>
      </x:c>
      <x:c r="B339" s="117" t="str">
        <x:v>Invoice_Create_Invoice_Line_Items</x:v>
      </x:c>
      <x:c r="C339" s="117" t="str">
        <x:v>Yes</x:v>
      </x:c>
      <x:c r="D339" s="119" t="str">
        <x:v>Active v4 (Retrieved XML)</x:v>
      </x:c>
      <x:c r="E339" s="117" t="str">
        <x:v>Invoice__c</x:v>
      </x:c>
      <x:c r="F339" s="119" t="str">
        <x:v>Reference, Trigger, Update</x:v>
      </x:c>
      <x:c r="G339" s="117" t="str">
        <x:v>Yes</x:v>
      </x:c>
      <x:c r="H339" s="117" t="str">
        <x:v>AutoLaunchedFlow</x:v>
      </x:c>
    </x:row>
    <x:row r="340" ht="30" customHeight="1">
      <x:c r="A340" s="117" t="str">
        <x:v>300Ro00000VTHYJIA5</x:v>
      </x:c>
      <x:c r="B340" s="117" t="str">
        <x:v>Invoice_Line_Item_On_Update_Sum_Invoice_Total_Sales_Price</x:v>
      </x:c>
      <x:c r="C340" s="117" t="str">
        <x:v>Yes</x:v>
      </x:c>
      <x:c r="D340" s="119" t="str">
        <x:v>Active v3 (Retrieved XML)</x:v>
      </x:c>
      <x:c r="E340" s="117" t="str">
        <x:v>Invoice__c</x:v>
      </x:c>
      <x:c r="F340" s="119" t="str">
        <x:v>Reference, Update</x:v>
      </x:c>
      <x:c r="G340" s="117" t="str">
        <x:v>No</x:v>
      </x:c>
      <x:c r="H340" s="117" t="str">
        <x:v>AutoLaunchedFlow</x:v>
      </x:c>
    </x:row>
    <x:row r="341" ht="30" customHeight="1">
      <x:c r="A341" s="117" t="str">
        <x:v>3004O0000000ZuBQAU</x:v>
      </x:c>
      <x:c r="B341" s="117" t="str">
        <x:v>Invoice_Object</x:v>
      </x:c>
      <x:c r="C341" s="117" t="str">
        <x:v>Yes</x:v>
      </x:c>
      <x:c r="D341" s="119" t="str">
        <x:v>Active v55 (Retrieved XML)</x:v>
      </x:c>
      <x:c r="E341" s="117" t="str">
        <x:v>Invoice__c</x:v>
      </x:c>
      <x:c r="F341" s="119" t="str">
        <x:v>Reference, Update, Variable</x:v>
      </x:c>
      <x:c r="G341" s="117" t="str">
        <x:v>No</x:v>
      </x:c>
      <x:c r="H341" s="117" t="str">
        <x:v>Workflow</x:v>
      </x:c>
    </x:row>
    <x:row r="342" ht="30" customHeight="1">
      <x:c r="A342" s="117" t="str">
        <x:v>300Ro00000yWAUkIAO</x:v>
      </x:c>
      <x:c r="B342" s="117" t="str">
        <x:v>Invoice_Re_sync_if_Errored</x:v>
      </x:c>
      <x:c r="C342" s="117" t="str">
        <x:v>Yes</x:v>
      </x:c>
      <x:c r="D342" s="119" t="str">
        <x:v>Active v1 (Retrieved XML)</x:v>
      </x:c>
      <x:c r="E342" s="117" t="str">
        <x:v>Invoice__c</x:v>
      </x:c>
      <x:c r="F342" s="119" t="str">
        <x:v>Reference, Trigger, Update</x:v>
      </x:c>
      <x:c r="G342" s="117" t="str">
        <x:v>Yes</x:v>
      </x:c>
      <x:c r="H342" s="117" t="str">
        <x:v>AutoLaunchedFlow</x:v>
      </x:c>
    </x:row>
    <x:row r="343" ht="30" customHeight="1">
      <x:c r="A343" s="117" t="str">
        <x:v>300Ro000007doaWIAQ</x:v>
      </x:c>
      <x:c r="B343" s="117" t="str">
        <x:v>Invoice_Rollups</x:v>
      </x:c>
      <x:c r="C343" s="117" t="str">
        <x:v>Yes</x:v>
      </x:c>
      <x:c r="D343" s="119" t="str">
        <x:v>Active v2 (Retrieved XML)</x:v>
      </x:c>
      <x:c r="E343" s="117" t="str">
        <x:v>Invoice__c</x:v>
      </x:c>
      <x:c r="F343" s="119" t="str">
        <x:v>Read, Reference, Trigger</x:v>
      </x:c>
      <x:c r="G343" s="117" t="str">
        <x:v>Yes</x:v>
      </x:c>
      <x:c r="H343" s="117" t="str">
        <x:v>AutoLaunchedFlow</x:v>
      </x:c>
    </x:row>
    <x:row r="344" ht="30" customHeight="1">
      <x:c r="A344" s="117" t="str">
        <x:v>3004O000000LOvOQAW</x:v>
      </x:c>
      <x:c r="B344" s="117" t="str">
        <x:v>Invoice_Submission_Flow_V2</x:v>
      </x:c>
      <x:c r="C344" s="117" t="str">
        <x:v>Yes</x:v>
      </x:c>
      <x:c r="D344" s="119" t="str">
        <x:v>Active v37 (Retrieved XML)</x:v>
      </x:c>
      <x:c r="E344" s="117" t="str">
        <x:v>Invoice__c</x:v>
      </x:c>
      <x:c r="F344" s="119" t="str">
        <x:v>Read, Reference, Update</x:v>
      </x:c>
      <x:c r="G344" s="117" t="str">
        <x:v>No</x:v>
      </x:c>
      <x:c r="H344" s="117" t="str">
        <x:v>Flow</x:v>
      </x:c>
    </x:row>
    <x:row r="345" ht="30" customHeight="1">
      <x:c r="A345" s="117" t="str">
        <x:v>300Ro00000FwcE1IAJ</x:v>
      </x:c>
      <x:c r="B345" s="117" t="str">
        <x:v>Invoice_Sync_Notification</x:v>
      </x:c>
      <x:c r="C345" s="117" t="str">
        <x:v>Yes</x:v>
      </x:c>
      <x:c r="D345" s="119" t="str">
        <x:v>Active v12 (Retrieved XML)</x:v>
      </x:c>
      <x:c r="E345" s="117" t="str">
        <x:v>Invoice__c</x:v>
      </x:c>
      <x:c r="F345" s="119" t="str">
        <x:v>Reference, Trigger</x:v>
      </x:c>
      <x:c r="G345" s="117" t="str">
        <x:v>Yes</x:v>
      </x:c>
      <x:c r="H345" s="117" t="str">
        <x:v>AutoLaunchedFlow</x:v>
      </x:c>
    </x:row>
    <x:row r="346" ht="30" customHeight="1">
      <x:c r="A346" s="117" t="str">
        <x:v>3005b000000LHanAAG</x:v>
      </x:c>
      <x:c r="B346" s="117" t="str">
        <x:v>Invoice_Updates_and_Alerts_Flow</x:v>
      </x:c>
      <x:c r="C346" s="117" t="str">
        <x:v>No</x:v>
      </x:c>
      <x:c r="D346" s="119" t="str">
        <x:v>Latest inactive v1 (Retrieved XML)</x:v>
      </x:c>
      <x:c r="E346" s="117" t="str">
        <x:v>Invoice__c</x:v>
      </x:c>
      <x:c r="F346" s="119" t="str">
        <x:v>Reference, Trigger</x:v>
      </x:c>
      <x:c r="G346" s="117" t="str">
        <x:v>Yes</x:v>
      </x:c>
      <x:c r="H346" s="117" t="str">
        <x:v>AutoLaunchedFlow</x:v>
      </x:c>
    </x:row>
    <x:row r="347" ht="30" customHeight="1">
      <x:c r="A347" s="117" t="str">
        <x:v>300Ro00000vEvAWIA0</x:v>
      </x:c>
      <x:c r="B347" s="117" t="str">
        <x:v>On_Payment_of_Invoice_Update_Opportunity_to_Invoice_Paid</x:v>
      </x:c>
      <x:c r="C347" s="117" t="str">
        <x:v>Yes</x:v>
      </x:c>
      <x:c r="D347" s="119" t="str">
        <x:v>Active v3 (Retrieved XML)</x:v>
      </x:c>
      <x:c r="E347" s="117" t="str">
        <x:v>Invoice__c</x:v>
      </x:c>
      <x:c r="F347" s="119" t="str">
        <x:v>Reference, Trigger, Update</x:v>
      </x:c>
      <x:c r="G347" s="117" t="str">
        <x:v>Yes</x:v>
      </x:c>
      <x:c r="H347" s="117" t="str">
        <x:v>AutoLaunchedFlow</x:v>
      </x:c>
    </x:row>
    <x:row r="348" ht="30" customHeight="1">
      <x:c r="A348" s="117" t="str">
        <x:v>3005b000000Pz1DAAS</x:v>
      </x:c>
      <x:c r="B348" s="117" t="str">
        <x:v>Opportunity_Product_Rollups</x:v>
      </x:c>
      <x:c r="C348" s="117" t="str">
        <x:v>Yes</x:v>
      </x:c>
      <x:c r="D348" s="119" t="str">
        <x:v>Active v18 (Retrieved XML)</x:v>
      </x:c>
      <x:c r="E348" s="117" t="str">
        <x:v>Invoice__c</x:v>
      </x:c>
      <x:c r="F348" s="119" t="str">
        <x:v>Variable</x:v>
      </x:c>
      <x:c r="G348" s="117" t="str">
        <x:v>No</x:v>
      </x:c>
      <x:c r="H348" s="117" t="str">
        <x:v>AutoLaunchedFlow</x:v>
      </x:c>
    </x:row>
    <x:row r="349" ht="30" customHeight="1">
      <x:c r="A349" s="117" t="str">
        <x:v>3005b00000113QYAAY</x:v>
      </x:c>
      <x:c r="B349" s="117" t="str">
        <x:v>Opportunity_Product_Rollups_On_Create</x:v>
      </x:c>
      <x:c r="C349" s="117" t="str">
        <x:v>Yes</x:v>
      </x:c>
      <x:c r="D349" s="119" t="str">
        <x:v>Active v4 (Retrieved XML)</x:v>
      </x:c>
      <x:c r="E349" s="117" t="str">
        <x:v>Invoice__c</x:v>
      </x:c>
      <x:c r="F349" s="119" t="str">
        <x:v>Variable</x:v>
      </x:c>
      <x:c r="G349" s="117" t="str">
        <x:v>No</x:v>
      </x:c>
      <x:c r="H349" s="117" t="str">
        <x:v>AutoLaunchedFlow</x:v>
      </x:c>
    </x:row>
    <x:row r="350" ht="30" customHeight="1">
      <x:c r="A350" s="117" t="str">
        <x:v>3004O000000LOvyQAG</x:v>
      </x:c>
      <x:c r="B350" s="117" t="str">
        <x:v>Opportunity_Update_Processes</x:v>
      </x:c>
      <x:c r="C350" s="117" t="str">
        <x:v>Yes</x:v>
      </x:c>
      <x:c r="D350" s="119" t="str">
        <x:v>Active v66 (Retrieved XML)</x:v>
      </x:c>
      <x:c r="E350" s="117" t="str">
        <x:v>Invoice__c</x:v>
      </x:c>
      <x:c r="F350" s="119" t="str">
        <x:v>Reference, Update</x:v>
      </x:c>
      <x:c r="G350" s="117" t="str">
        <x:v>No</x:v>
      </x:c>
      <x:c r="H350" s="117" t="str">
        <x:v>Workflow</x:v>
      </x:c>
    </x:row>
    <x:row r="351" ht="30" customHeight="1">
      <x:c r="A351" s="117" t="str">
        <x:v>3004O000000LOseQAG</x:v>
      </x:c>
      <x:c r="B351" s="117" t="str">
        <x:v>PB_Invoice</x:v>
      </x:c>
      <x:c r="C351" s="117" t="str">
        <x:v>Yes</x:v>
      </x:c>
      <x:c r="D351" s="119" t="str">
        <x:v>Active v21 (Retrieved XML)</x:v>
      </x:c>
      <x:c r="E351" s="117" t="str">
        <x:v>Invoice__c</x:v>
      </x:c>
      <x:c r="F351" s="119" t="str">
        <x:v>Reference, Update, Variable</x:v>
      </x:c>
      <x:c r="G351" s="117" t="str">
        <x:v>No</x:v>
      </x:c>
      <x:c r="H351" s="117" t="str">
        <x:v>Workflow</x:v>
      </x:c>
    </x:row>
    <x:row r="352" ht="30" customHeight="1">
      <x:c r="A352" s="117" t="str">
        <x:v>3004O000000LOsoQAG</x:v>
      </x:c>
      <x:c r="B352" s="117" t="str">
        <x:v>PB_Payment_Request</x:v>
      </x:c>
      <x:c r="C352" s="117" t="str">
        <x:v>Yes</x:v>
      </x:c>
      <x:c r="D352" s="119" t="str">
        <x:v>Active v2 (Retrieved XML)</x:v>
      </x:c>
      <x:c r="E352" s="117" t="str">
        <x:v>Invoice__c</x:v>
      </x:c>
      <x:c r="F352" s="119" t="str">
        <x:v>Create, Reference</x:v>
      </x:c>
      <x:c r="G352" s="117" t="str">
        <x:v>No</x:v>
      </x:c>
      <x:c r="H352" s="117" t="str">
        <x:v>Workflow</x:v>
      </x:c>
    </x:row>
    <x:row r="353" ht="30" customHeight="1">
      <x:c r="A353" s="117" t="str">
        <x:v>3004O000000LOspQAG</x:v>
      </x:c>
      <x:c r="B353" s="117" t="str">
        <x:v>PB_Transaction</x:v>
      </x:c>
      <x:c r="C353" s="117" t="str">
        <x:v>Yes</x:v>
      </x:c>
      <x:c r="D353" s="119" t="str">
        <x:v>Active v7 (Retrieved XML)</x:v>
      </x:c>
      <x:c r="E353" s="117" t="str">
        <x:v>Invoice__c</x:v>
      </x:c>
      <x:c r="F353" s="119" t="str">
        <x:v>Reference, Update</x:v>
      </x:c>
      <x:c r="G353" s="117" t="str">
        <x:v>No</x:v>
      </x:c>
      <x:c r="H353" s="117" t="str">
        <x:v>Workflow</x:v>
      </x:c>
    </x:row>
    <x:row r="354" ht="30" customHeight="1">
      <x:c r="A354" s="117" t="str">
        <x:v>300Ro00000MYUvAIAX</x:v>
      </x:c>
      <x:c r="B354" s="117" t="str">
        <x:v>Prevent_Deletion_Invoice</x:v>
      </x:c>
      <x:c r="C354" s="117" t="str">
        <x:v>No</x:v>
      </x:c>
      <x:c r="D354" s="119" t="str">
        <x:v>Latest inactive v1 (Retrieved XML)</x:v>
      </x:c>
      <x:c r="E354" s="117" t="str">
        <x:v>Invoice__c</x:v>
      </x:c>
      <x:c r="F354" s="119" t="str">
        <x:v>Reference, Trigger</x:v>
      </x:c>
      <x:c r="G354" s="117" t="str">
        <x:v>Yes</x:v>
      </x:c>
      <x:c r="H354" s="117" t="str">
        <x:v>AutoLaunchedFlow</x:v>
      </x:c>
    </x:row>
    <x:row r="355" ht="30" customHeight="1">
      <x:c r="A355" s="117" t="str">
        <x:v>3004O000000LOsqQAG</x:v>
      </x:c>
      <x:c r="B355" s="117" t="str">
        <x:v>Recurring_Billing_Flow</x:v>
      </x:c>
      <x:c r="C355" s="117" t="str">
        <x:v>Yes</x:v>
      </x:c>
      <x:c r="D355" s="119" t="str">
        <x:v>Active v11 (Retrieved XML)</x:v>
      </x:c>
      <x:c r="E355" s="117" t="str">
        <x:v>Invoice__c</x:v>
      </x:c>
      <x:c r="F355" s="119" t="str">
        <x:v>Create, Reference</x:v>
      </x:c>
      <x:c r="G355" s="117" t="str">
        <x:v>No</x:v>
      </x:c>
      <x:c r="H355" s="117" t="str">
        <x:v>AutoLaunchedFlow</x:v>
      </x:c>
    </x:row>
    <x:row r="356" ht="30" customHeight="1">
      <x:c r="A356" s="117" t="str">
        <x:v>3004O000000Xh6dQAC</x:v>
      </x:c>
      <x:c r="B356" s="117" t="str">
        <x:v>Send_Invoice_PDF_Email</x:v>
      </x:c>
      <x:c r="C356" s="117" t="str">
        <x:v>Yes</x:v>
      </x:c>
      <x:c r="D356" s="119" t="str">
        <x:v>Active v9 (Retrieved XML)</x:v>
      </x:c>
      <x:c r="E356" s="117" t="str">
        <x:v>Invoice__c</x:v>
      </x:c>
      <x:c r="F356" s="119" t="str">
        <x:v>Read, Reference, Update</x:v>
      </x:c>
      <x:c r="G356" s="117" t="str">
        <x:v>No</x:v>
      </x:c>
      <x:c r="H356" s="117" t="str">
        <x:v>Flow</x:v>
      </x:c>
    </x:row>
    <x:row r="357" ht="30" customHeight="1">
      <x:c r="A357" s="117" t="str">
        <x:v>3005b000000H1uvAAC</x:v>
      </x:c>
      <x:c r="B357" s="117" t="str">
        <x:v>Service_Contract_Billing_Flow</x:v>
      </x:c>
      <x:c r="C357" s="117" t="str">
        <x:v>No</x:v>
      </x:c>
      <x:c r="D357" s="119" t="str">
        <x:v>Latest inactive v10 (Retrieved XML)</x:v>
      </x:c>
      <x:c r="E357" s="117" t="str">
        <x:v>Invoice__c</x:v>
      </x:c>
      <x:c r="F357" s="119" t="str">
        <x:v>Create, Reference, Update</x:v>
      </x:c>
      <x:c r="G357" s="117" t="str">
        <x:v>No</x:v>
      </x:c>
      <x:c r="H357" s="117" t="str">
        <x:v>AutoLaunchedFlow</x:v>
      </x:c>
    </x:row>
    <x:row r="358" ht="30" customHeight="1">
      <x:c r="A358" s="117" t="str">
        <x:v>3004O000000LOsrQAG</x:v>
      </x:c>
      <x:c r="B358" s="117" t="str">
        <x:v>Submit_Invoice_Flow</x:v>
      </x:c>
      <x:c r="C358" s="117" t="str">
        <x:v>Yes</x:v>
      </x:c>
      <x:c r="D358" s="119" t="str">
        <x:v>Active v13 (Retrieved XML)</x:v>
      </x:c>
      <x:c r="E358" s="117" t="str">
        <x:v>Invoice__c</x:v>
      </x:c>
      <x:c r="F358" s="119" t="str">
        <x:v>Read, Reference, Update</x:v>
      </x:c>
      <x:c r="G358" s="117" t="str">
        <x:v>No</x:v>
      </x:c>
      <x:c r="H358" s="117" t="str">
        <x:v>Flow</x:v>
      </x:c>
    </x:row>
    <x:row r="359" ht="30" customHeight="1">
      <x:c r="A359" s="117" t="str">
        <x:v>3004O0000000ZuCQAU</x:v>
      </x:c>
      <x:c r="B359" s="117" t="str">
        <x:v>Update_Chargent_Order</x:v>
      </x:c>
      <x:c r="C359" s="117" t="str">
        <x:v>Yes</x:v>
      </x:c>
      <x:c r="D359" s="119" t="str">
        <x:v>Active v11 (Tooling metadata)</x:v>
      </x:c>
      <x:c r="E359" s="117" t="str">
        <x:v>Invoice__c</x:v>
      </x:c>
      <x:c r="F359" s="119" t="str">
        <x:v>Reference, Update</x:v>
      </x:c>
      <x:c r="G359" s="117" t="str">
        <x:v>No</x:v>
      </x:c>
      <x:c r="H359" s="117" t="str">
        <x:v>Workflow</x:v>
      </x:c>
    </x:row>
    <x:row r="360" ht="30" customHeight="1">
      <x:c r="A360" s="117" t="str">
        <x:v>3004O0000000Zw2QAE</x:v>
      </x:c>
      <x:c r="B360" s="117" t="str">
        <x:v>Update_Invoice_Object</x:v>
      </x:c>
      <x:c r="C360" s="117" t="str">
        <x:v>No</x:v>
      </x:c>
      <x:c r="D360" s="119" t="str">
        <x:v>Latest inactive v1 (Retrieved XML)</x:v>
      </x:c>
      <x:c r="E360" s="117" t="str">
        <x:v>Invoice__c</x:v>
      </x:c>
      <x:c r="F360" s="119" t="str">
        <x:v>Variable</x:v>
      </x:c>
      <x:c r="G360" s="117" t="str">
        <x:v>No</x:v>
      </x:c>
      <x:c r="H360" s="117" t="str">
        <x:v>Workflow</x:v>
      </x:c>
    </x:row>
    <x:row r="361" ht="30" customHeight="1">
      <x:c r="A361" s="117" t="str">
        <x:v>300Ro00000B1rQaIAJ</x:v>
      </x:c>
      <x:c r="B361" s="117" t="str">
        <x:v>Absorb_External_Repair_Screen_Flow</x:v>
      </x:c>
      <x:c r="C361" s="117" t="str">
        <x:v>Yes</x:v>
      </x:c>
      <x:c r="D361" s="119" t="str">
        <x:v>Active v11 (Retrieved XML)</x:v>
      </x:c>
      <x:c r="E361" s="117" t="str">
        <x:v>Item_Receipt__c</x:v>
      </x:c>
      <x:c r="F361" s="119" t="str">
        <x:v>Create, Reference, Update</x:v>
      </x:c>
      <x:c r="G361" s="117" t="str">
        <x:v>No</x:v>
      </x:c>
      <x:c r="H361" s="117" t="str">
        <x:v>Flow</x:v>
      </x:c>
    </x:row>
    <x:row r="362" ht="30" customHeight="1">
      <x:c r="A362" s="117" t="str">
        <x:v>3005b000000LHrKAAW</x:v>
      </x:c>
      <x:c r="B362" s="117" t="str">
        <x:v>Auto_Create_IR_When_Manually_PA_ing_Asset</x:v>
      </x:c>
      <x:c r="C362" s="117" t="str">
        <x:v>No</x:v>
      </x:c>
      <x:c r="D362" s="119" t="str">
        <x:v>Latest inactive v2 (Retrieved XML)</x:v>
      </x:c>
      <x:c r="E362" s="117" t="str">
        <x:v>Item_Receipt__c</x:v>
      </x:c>
      <x:c r="F362" s="119" t="str">
        <x:v>Create, Reference</x:v>
      </x:c>
      <x:c r="G362" s="117" t="str">
        <x:v>No</x:v>
      </x:c>
      <x:c r="H362" s="117" t="str">
        <x:v>AutoLaunchedFlow</x:v>
      </x:c>
    </x:row>
    <x:row r="363" ht="30" customHeight="1">
      <x:c r="A363" s="117" t="str">
        <x:v>300Ro00000B07T3IAJ</x:v>
      </x:c>
      <x:c r="B363" s="117" t="str">
        <x:v>Create_External_Repair_Testing_Opp_from_PO</x:v>
      </x:c>
      <x:c r="C363" s="117" t="str">
        <x:v>Yes</x:v>
      </x:c>
      <x:c r="D363" s="119" t="str">
        <x:v>Active v7 (Retrieved XML)</x:v>
      </x:c>
      <x:c r="E363" s="117" t="str">
        <x:v>Item_Receipt__c</x:v>
      </x:c>
      <x:c r="F363" s="119" t="str">
        <x:v>Variable</x:v>
      </x:c>
      <x:c r="G363" s="117" t="str">
        <x:v>No</x:v>
      </x:c>
      <x:c r="H363" s="117" t="str">
        <x:v>Flow</x:v>
      </x:c>
    </x:row>
    <x:row r="364" ht="30" customHeight="1">
      <x:c r="A364" s="117" t="str">
        <x:v>300Ro00000blHOIIA2</x:v>
      </x:c>
      <x:c r="B364" s="117" t="str">
        <x:v>Create_IR_from_Opp</x:v>
      </x:c>
      <x:c r="C364" s="117" t="str">
        <x:v>Yes</x:v>
      </x:c>
      <x:c r="D364" s="119" t="str">
        <x:v>Active v6 (Tooling metadata)</x:v>
      </x:c>
      <x:c r="E364" s="117" t="str">
        <x:v>Item_Receipt__c</x:v>
      </x:c>
      <x:c r="F364" s="119" t="str">
        <x:v>Create, Reference, Update, Variable</x:v>
      </x:c>
      <x:c r="G364" s="117" t="str">
        <x:v>No</x:v>
      </x:c>
      <x:c r="H364" s="117" t="str">
        <x:v>Flow</x:v>
      </x:c>
    </x:row>
    <x:row r="365" ht="30" customHeight="1">
      <x:c r="A365" s="117" t="str">
        <x:v>3005b000000LHirAAG</x:v>
      </x:c>
      <x:c r="B365" s="117" t="str">
        <x:v>Create_Item_Receipt_from_Opp</x:v>
      </x:c>
      <x:c r="C365" s="117" t="str">
        <x:v>No</x:v>
      </x:c>
      <x:c r="D365" s="119" t="str">
        <x:v>Latest inactive v50 (Retrieved XML)</x:v>
      </x:c>
      <x:c r="E365" s="117" t="str">
        <x:v>Item_Receipt__c</x:v>
      </x:c>
      <x:c r="F365" s="119" t="str">
        <x:v>Create, Reference, Update, Variable</x:v>
      </x:c>
      <x:c r="G365" s="117" t="str">
        <x:v>No</x:v>
      </x:c>
      <x:c r="H365" s="117" t="str">
        <x:v>Flow</x:v>
      </x:c>
    </x:row>
    <x:row r="366" ht="30" customHeight="1">
      <x:c r="A366" s="117" t="str">
        <x:v>3005b000000PzFtAAK</x:v>
      </x:c>
      <x:c r="B366" s="117" t="str">
        <x:v>Create_Return_Op_from_Purchasing_Op</x:v>
      </x:c>
      <x:c r="C366" s="117" t="str">
        <x:v>Yes</x:v>
      </x:c>
      <x:c r="D366" s="119" t="str">
        <x:v>Active v11 (Retrieved XML)</x:v>
      </x:c>
      <x:c r="E366" s="117" t="str">
        <x:v>Item_Receipt__c</x:v>
      </x:c>
      <x:c r="F366" s="119" t="str">
        <x:v>Variable</x:v>
      </x:c>
      <x:c r="G366" s="117" t="str">
        <x:v>No</x:v>
      </x:c>
      <x:c r="H366" s="117" t="str">
        <x:v>Flow</x:v>
      </x:c>
    </x:row>
    <x:row r="367" ht="30" customHeight="1">
      <x:c r="A367" s="117" t="str">
        <x:v>300Ro00000zKaXGIA0</x:v>
      </x:c>
      <x:c r="B367" s="117" t="str">
        <x:v>IR_Product_Before_Delete_Total_IR_Product_Cost_Roll_Up</x:v>
      </x:c>
      <x:c r="C367" s="117" t="str">
        <x:v>Yes</x:v>
      </x:c>
      <x:c r="D367" s="119" t="str">
        <x:v>Active v1 (Retrieved XML)</x:v>
      </x:c>
      <x:c r="E367" s="117" t="str">
        <x:v>Item_Receipt__c</x:v>
      </x:c>
      <x:c r="F367" s="119" t="str">
        <x:v>Reference, Update</x:v>
      </x:c>
      <x:c r="G367" s="117" t="str">
        <x:v>No</x:v>
      </x:c>
      <x:c r="H367" s="117" t="str">
        <x:v>AutoLaunchedFlow</x:v>
      </x:c>
    </x:row>
    <x:row r="368" ht="30" customHeight="1">
      <x:c r="A368" s="117" t="str">
        <x:v>300Ro00000zKaXHIA0</x:v>
      </x:c>
      <x:c r="B368" s="117" t="str">
        <x:v>IR_Product_on_create_Total_IR_Product_Cost_Roll_Up</x:v>
      </x:c>
      <x:c r="C368" s="117" t="str">
        <x:v>Yes</x:v>
      </x:c>
      <x:c r="D368" s="119" t="str">
        <x:v>Active v1 (Retrieved XML)</x:v>
      </x:c>
      <x:c r="E368" s="117" t="str">
        <x:v>Item_Receipt__c</x:v>
      </x:c>
      <x:c r="F368" s="119" t="str">
        <x:v>Reference, Update</x:v>
      </x:c>
      <x:c r="G368" s="117" t="str">
        <x:v>No</x:v>
      </x:c>
      <x:c r="H368" s="117" t="str">
        <x:v>AutoLaunchedFlow</x:v>
      </x:c>
    </x:row>
    <x:row r="369" ht="30" customHeight="1">
      <x:c r="A369" s="117" t="str">
        <x:v>300Ro00000zKaXIIA0</x:v>
      </x:c>
      <x:c r="B369" s="117" t="str">
        <x:v>IR_Product_on_update_Total_IR_Product_Cost_Roll_Up</x:v>
      </x:c>
      <x:c r="C369" s="117" t="str">
        <x:v>Yes</x:v>
      </x:c>
      <x:c r="D369" s="119" t="str">
        <x:v>Active v1 (Retrieved XML)</x:v>
      </x:c>
      <x:c r="E369" s="117" t="str">
        <x:v>Item_Receipt__c</x:v>
      </x:c>
      <x:c r="F369" s="119" t="str">
        <x:v>Reference, Update</x:v>
      </x:c>
      <x:c r="G369" s="117" t="str">
        <x:v>No</x:v>
      </x:c>
      <x:c r="H369" s="117" t="str">
        <x:v>AutoLaunchedFlow</x:v>
      </x:c>
    </x:row>
    <x:row r="370" ht="30" customHeight="1">
      <x:c r="A370" s="117" t="str">
        <x:v>300Ro00000NXcinIAD</x:v>
      </x:c>
      <x:c r="B370" s="117" t="str">
        <x:v>IR_Submit_to_Accounting</x:v>
      </x:c>
      <x:c r="C370" s="117" t="str">
        <x:v>Yes</x:v>
      </x:c>
      <x:c r="D370" s="119" t="str">
        <x:v>Active v5 (Retrieved XML)</x:v>
      </x:c>
      <x:c r="E370" s="117" t="str">
        <x:v>Item_Receipt__c</x:v>
      </x:c>
      <x:c r="F370" s="119" t="str">
        <x:v>Reference, Update</x:v>
      </x:c>
      <x:c r="G370" s="117" t="str">
        <x:v>No</x:v>
      </x:c>
      <x:c r="H370" s="117" t="str">
        <x:v>Flow</x:v>
      </x:c>
    </x:row>
    <x:row r="371" ht="30" customHeight="1">
      <x:c r="A371" s="117" t="str">
        <x:v>3005b000000LI3kAAG</x:v>
      </x:c>
      <x:c r="B371" s="117" t="str">
        <x:v>Item_Receipt_Automations</x:v>
      </x:c>
      <x:c r="C371" s="117" t="str">
        <x:v>Yes</x:v>
      </x:c>
      <x:c r="D371" s="119" t="str">
        <x:v>Active v6 (Retrieved XML)</x:v>
      </x:c>
      <x:c r="E371" s="117" t="str">
        <x:v>Item_Receipt__c</x:v>
      </x:c>
      <x:c r="F371" s="119" t="str">
        <x:v>Read, Reference, Trigger, Update</x:v>
      </x:c>
      <x:c r="G371" s="117" t="str">
        <x:v>Yes</x:v>
      </x:c>
      <x:c r="H371" s="117" t="str">
        <x:v>AutoLaunchedFlow</x:v>
      </x:c>
    </x:row>
    <x:row r="372" ht="30" customHeight="1">
      <x:c r="A372" s="117" t="str">
        <x:v>300Ro00000qq4bBIAQ</x:v>
      </x:c>
      <x:c r="B372" s="117" t="str">
        <x:v>Item_Receipt_Error_Email_to_Activate_Vendor_for_Item_Receipt</x:v>
      </x:c>
      <x:c r="C372" s="117" t="str">
        <x:v>Yes</x:v>
      </x:c>
      <x:c r="D372" s="119" t="str">
        <x:v>Active v3 (Retrieved XML)</x:v>
      </x:c>
      <x:c r="E372" s="117" t="str">
        <x:v>Item_Receipt__c</x:v>
      </x:c>
      <x:c r="F372" s="119" t="str">
        <x:v>Reference, Trigger</x:v>
      </x:c>
      <x:c r="G372" s="117" t="str">
        <x:v>Yes</x:v>
      </x:c>
      <x:c r="H372" s="117" t="str">
        <x:v>AutoLaunchedFlow</x:v>
      </x:c>
    </x:row>
    <x:row r="373" ht="30" customHeight="1">
      <x:c r="A373" s="117" t="str">
        <x:v>300Ro00000gqYztIAE</x:v>
      </x:c>
      <x:c r="B373" s="117" t="str">
        <x:v>Item_Receipt_Run_Trigger_Update_if_needed_for_Sync</x:v>
      </x:c>
      <x:c r="C373" s="117" t="str">
        <x:v>Yes</x:v>
      </x:c>
      <x:c r="D373" s="119" t="str">
        <x:v>Active v8 (Retrieved XML)</x:v>
      </x:c>
      <x:c r="E373" s="117" t="str">
        <x:v>Item_Receipt__c</x:v>
      </x:c>
      <x:c r="F373" s="119" t="str">
        <x:v>Reference, Trigger, Update</x:v>
      </x:c>
      <x:c r="G373" s="117" t="str">
        <x:v>Yes</x:v>
      </x:c>
      <x:c r="H373" s="117" t="str">
        <x:v>AutoLaunchedFlow</x:v>
      </x:c>
    </x:row>
    <x:row r="374" ht="30" customHeight="1">
      <x:c r="A374" s="117" t="str">
        <x:v>3004O000000XhK0QAK</x:v>
      </x:c>
      <x:c r="B374" s="117" t="str">
        <x:v>PB_Item_Receipt</x:v>
      </x:c>
      <x:c r="C374" s="117" t="str">
        <x:v>Yes</x:v>
      </x:c>
      <x:c r="D374" s="119" t="str">
        <x:v>Active v2 (Retrieved XML)</x:v>
      </x:c>
      <x:c r="E374" s="117" t="str">
        <x:v>Item_Receipt__c</x:v>
      </x:c>
      <x:c r="F374" s="119" t="str">
        <x:v>Reference, Update, Variable</x:v>
      </x:c>
      <x:c r="G374" s="117" t="str">
        <x:v>No</x:v>
      </x:c>
      <x:c r="H374" s="117" t="str">
        <x:v>Workflow</x:v>
      </x:c>
    </x:row>
    <x:row r="375" ht="30" customHeight="1">
      <x:c r="A375" s="117" t="str">
        <x:v>300Ro00000MYUvBIAX</x:v>
      </x:c>
      <x:c r="B375" s="117" t="str">
        <x:v>Prevent_Deletion_Item_Receipt</x:v>
      </x:c>
      <x:c r="C375" s="117" t="str">
        <x:v>No</x:v>
      </x:c>
      <x:c r="D375" s="119" t="str">
        <x:v>Latest inactive v1 (Retrieved XML)</x:v>
      </x:c>
      <x:c r="E375" s="117" t="str">
        <x:v>Item_Receipt__c</x:v>
      </x:c>
      <x:c r="F375" s="119" t="str">
        <x:v>Reference, Trigger</x:v>
      </x:c>
      <x:c r="G375" s="117" t="str">
        <x:v>Yes</x:v>
      </x:c>
      <x:c r="H375" s="117" t="str">
        <x:v>AutoLaunchedFlow</x:v>
      </x:c>
    </x:row>
    <x:row r="376" ht="30" customHeight="1">
      <x:c r="A376" s="117" t="str">
        <x:v>300Ro000007doaZIAQ</x:v>
      </x:c>
      <x:c r="B376" s="117" t="str">
        <x:v>Product_Item_Rollups</x:v>
      </x:c>
      <x:c r="C376" s="117" t="str">
        <x:v>No</x:v>
      </x:c>
      <x:c r="D376" s="119" t="str">
        <x:v>Latest inactive v2 (Retrieved XML)</x:v>
      </x:c>
      <x:c r="E376" s="117" t="str">
        <x:v>Item_Receipt__c</x:v>
      </x:c>
      <x:c r="F376" s="119" t="str">
        <x:v>Variable</x:v>
      </x:c>
      <x:c r="G376" s="117" t="str">
        <x:v>No</x:v>
      </x:c>
      <x:c r="H376" s="117" t="str">
        <x:v>AutoLaunchedFlow</x:v>
      </x:c>
    </x:row>
    <x:row r="377" ht="30" customHeight="1">
      <x:c r="A377" s="117" t="str">
        <x:v>300Ro00000yXXXJIA4</x:v>
      </x:c>
      <x:c r="B377" s="117" t="str">
        <x:v>ProductItem_Asynchronous_on_create_Item_Receipt_Amount_Roll_Up</x:v>
      </x:c>
      <x:c r="C377" s="117" t="str">
        <x:v>Yes</x:v>
      </x:c>
      <x:c r="D377" s="119" t="str">
        <x:v>Active v1 (Retrieved XML)</x:v>
      </x:c>
      <x:c r="E377" s="117" t="str">
        <x:v>Item_Receipt__c</x:v>
      </x:c>
      <x:c r="F377" s="119" t="str">
        <x:v>Reference, Update</x:v>
      </x:c>
      <x:c r="G377" s="117" t="str">
        <x:v>No</x:v>
      </x:c>
      <x:c r="H377" s="117" t="str">
        <x:v>AutoLaunchedFlow</x:v>
      </x:c>
    </x:row>
    <x:row r="378" ht="30" customHeight="1">
      <x:c r="A378" s="117" t="str">
        <x:v>300Ro00000yXXXKIA4</x:v>
      </x:c>
      <x:c r="B378" s="117" t="str">
        <x:v>ProductItem_Asynchronous_on_update_Item_Receipt_Amount_Roll_Up</x:v>
      </x:c>
      <x:c r="C378" s="117" t="str">
        <x:v>Yes</x:v>
      </x:c>
      <x:c r="D378" s="119" t="str">
        <x:v>Active v1 (Retrieved XML)</x:v>
      </x:c>
      <x:c r="E378" s="117" t="str">
        <x:v>Item_Receipt__c</x:v>
      </x:c>
      <x:c r="F378" s="119" t="str">
        <x:v>Reference, Update</x:v>
      </x:c>
      <x:c r="G378" s="117" t="str">
        <x:v>No</x:v>
      </x:c>
      <x:c r="H378" s="117" t="str">
        <x:v>AutoLaunchedFlow</x:v>
      </x:c>
    </x:row>
    <x:row r="379" ht="30" customHeight="1">
      <x:c r="A379" s="117" t="str">
        <x:v>300Ro00000yXXXLIA4</x:v>
      </x:c>
      <x:c r="B379" s="117" t="str">
        <x:v>ProductItem_Before_Delete_Item_Receipt_Amount_Roll_Up</x:v>
      </x:c>
      <x:c r="C379" s="117" t="str">
        <x:v>Yes</x:v>
      </x:c>
      <x:c r="D379" s="119" t="str">
        <x:v>Active v1 (Retrieved XML)</x:v>
      </x:c>
      <x:c r="E379" s="117" t="str">
        <x:v>Item_Receipt__c</x:v>
      </x:c>
      <x:c r="F379" s="119" t="str">
        <x:v>Reference, Update</x:v>
      </x:c>
      <x:c r="G379" s="117" t="str">
        <x:v>No</x:v>
      </x:c>
      <x:c r="H379" s="117" t="str">
        <x:v>AutoLaunchedFlow</x:v>
      </x:c>
    </x:row>
    <x:row r="380" ht="30" customHeight="1">
      <x:c r="A380" s="117" t="str">
        <x:v>300Ro00000NynYXIAZ</x:v>
      </x:c>
      <x:c r="B380" s="117" t="str">
        <x:v>TEMP_IR_Product_Creation</x:v>
      </x:c>
      <x:c r="C380" s="117" t="str">
        <x:v>Yes</x:v>
      </x:c>
      <x:c r="D380" s="119" t="str">
        <x:v>Active v10 (Retrieved XML)</x:v>
      </x:c>
      <x:c r="E380" s="117" t="str">
        <x:v>Item_Receipt__c</x:v>
      </x:c>
      <x:c r="F380" s="119" t="str">
        <x:v>Reference, Trigger, Update, Variable</x:v>
      </x:c>
      <x:c r="G380" s="117" t="str">
        <x:v>Yes</x:v>
      </x:c>
      <x:c r="H380" s="117" t="str">
        <x:v>AutoLaunchedFlow</x:v>
      </x:c>
    </x:row>
    <x:row r="381" ht="30" customHeight="1">
      <x:c r="A381" s="117" t="str">
        <x:v>3005b000000LGqzAAG</x:v>
      </x:c>
      <x:c r="B381" s="117" t="str">
        <x:v>Test_Get_Assets</x:v>
      </x:c>
      <x:c r="C381" s="117" t="str">
        <x:v>No</x:v>
      </x:c>
      <x:c r="D381" s="119" t="str">
        <x:v>Latest inactive v18 (Retrieved XML)</x:v>
      </x:c>
      <x:c r="E381" s="117" t="str">
        <x:v>Item_Receipt__c</x:v>
      </x:c>
      <x:c r="F381" s="119" t="str">
        <x:v>Create, Reference, Variable</x:v>
      </x:c>
      <x:c r="G381" s="117" t="str">
        <x:v>No</x:v>
      </x:c>
      <x:c r="H381" s="117" t="str">
        <x:v>Flow</x:v>
      </x:c>
    </x:row>
    <x:row r="382" ht="30" customHeight="1">
      <x:c r="A382" s="117" t="str">
        <x:v>3004O000000LOrBQAW</x:v>
      </x:c>
      <x:c r="B382" s="117" t="str">
        <x:v>Update_PO_Bill</x:v>
      </x:c>
      <x:c r="C382" s="117" t="str">
        <x:v>No</x:v>
      </x:c>
      <x:c r="D382" s="119" t="str">
        <x:v>Latest inactive v2 (Retrieved XML)</x:v>
      </x:c>
      <x:c r="E382" s="117" t="str">
        <x:v>Item_Receipt__c</x:v>
      </x:c>
      <x:c r="F382" s="119" t="str">
        <x:v>Reference, Update</x:v>
      </x:c>
      <x:c r="G382" s="117" t="str">
        <x:v>No</x:v>
      </x:c>
      <x:c r="H382" s="117" t="str">
        <x:v>Workflow</x:v>
      </x:c>
    </x:row>
    <x:row r="383" ht="30" customHeight="1">
      <x:c r="A383" s="117" t="str">
        <x:v>3000B0000008l32QAA</x:v>
      </x:c>
      <x:c r="B383" s="117" t="str">
        <x:v>Assign_Lead_Owner</x:v>
      </x:c>
      <x:c r="C383" s="117" t="str">
        <x:v>No</x:v>
      </x:c>
      <x:c r="D383" s="119" t="str">
        <x:v>Latest inactive v4 (Retrieved XML)</x:v>
      </x:c>
      <x:c r="E383" s="117" t="str">
        <x:v>Lead</x:v>
      </x:c>
      <x:c r="F383" s="119" t="str">
        <x:v>Variable</x:v>
      </x:c>
      <x:c r="G383" s="117" t="str">
        <x:v>No</x:v>
      </x:c>
      <x:c r="H383" s="117" t="str">
        <x:v>Workflow</x:v>
      </x:c>
    </x:row>
    <x:row r="384" ht="30" customHeight="1">
      <x:c r="A384" s="117" t="str">
        <x:v>3000B0000008lA3QAI</x:v>
      </x:c>
      <x:c r="B384" s="117" t="str">
        <x:v>Assign_Lead_Owner_Account_Name_Company</x:v>
      </x:c>
      <x:c r="C384" s="117" t="str">
        <x:v>No</x:v>
      </x:c>
      <x:c r="D384" s="119" t="str">
        <x:v>Latest inactive v1 (Retrieved XML)</x:v>
      </x:c>
      <x:c r="E384" s="117" t="str">
        <x:v>Lead</x:v>
      </x:c>
      <x:c r="F384" s="119" t="str">
        <x:v>Variable</x:v>
      </x:c>
      <x:c r="G384" s="117" t="str">
        <x:v>No</x:v>
      </x:c>
      <x:c r="H384" s="117" t="str">
        <x:v>Workflow</x:v>
      </x:c>
    </x:row>
    <x:row r="385" ht="30" customHeight="1">
      <x:c r="A385" s="117" t="str">
        <x:v>3000B0000008l9yQAA</x:v>
      </x:c>
      <x:c r="B385" s="117" t="str">
        <x:v>Assign_Lead_Owner_Phone</x:v>
      </x:c>
      <x:c r="C385" s="117" t="str">
        <x:v>No</x:v>
      </x:c>
      <x:c r="D385" s="119" t="str">
        <x:v>Latest inactive v1 (Retrieved XML)</x:v>
      </x:c>
      <x:c r="E385" s="117" t="str">
        <x:v>Lead</x:v>
      </x:c>
      <x:c r="F385" s="119" t="str">
        <x:v>Variable</x:v>
      </x:c>
      <x:c r="G385" s="117" t="str">
        <x:v>No</x:v>
      </x:c>
      <x:c r="H385" s="117" t="str">
        <x:v>Workflow</x:v>
      </x:c>
    </x:row>
    <x:row r="386" ht="30" customHeight="1">
      <x:c r="A386" s="117" t="str">
        <x:v>3005b000000LHW7AAO</x:v>
      </x:c>
      <x:c r="B386" s="117" t="str">
        <x:v>Create_NEW_Lead_from_Existing_Contact</x:v>
      </x:c>
      <x:c r="C386" s="117" t="str">
        <x:v>Yes</x:v>
      </x:c>
      <x:c r="D386" s="119" t="str">
        <x:v>Active v10 (Retrieved XML)</x:v>
      </x:c>
      <x:c r="E386" s="117" t="str">
        <x:v>Lead</x:v>
      </x:c>
      <x:c r="F386" s="119" t="str">
        <x:v>Create, Reference, Update</x:v>
      </x:c>
      <x:c r="G386" s="117" t="str">
        <x:v>No</x:v>
      </x:c>
      <x:c r="H386" s="117" t="str">
        <x:v>Flow</x:v>
      </x:c>
    </x:row>
    <x:row r="387" ht="30" customHeight="1">
      <x:c r="A387" s="117" t="str">
        <x:v>300Ro00000ydLuvIAE</x:v>
      </x:c>
      <x:c r="B387" s="117" t="str">
        <x:v>FSL_Close_Out_Service_Appointment_Field_Service_Mobile_Flow</x:v>
      </x:c>
      <x:c r="C387" s="117" t="str">
        <x:v>No</x:v>
      </x:c>
      <x:c r="D387" s="119" t="str">
        <x:v>Latest inactive v4 (Retrieved XML)</x:v>
      </x:c>
      <x:c r="E387" s="117" t="str">
        <x:v>Lead</x:v>
      </x:c>
      <x:c r="F387" s="119" t="str">
        <x:v>Variable</x:v>
      </x:c>
      <x:c r="G387" s="117" t="str">
        <x:v>No</x:v>
      </x:c>
      <x:c r="H387" s="117" t="str">
        <x:v>FieldServiceMobile</x:v>
      </x:c>
    </x:row>
    <x:row r="388" ht="30" customHeight="1">
      <x:c r="A388" s="117" t="str">
        <x:v>300Ro00000S83DZIAZ</x:v>
      </x:c>
      <x:c r="B388" s="117" t="str">
        <x:v>FSL_Mobile_Create_Lead_Autolaunched</x:v>
      </x:c>
      <x:c r="C388" s="117" t="str">
        <x:v>Yes</x:v>
      </x:c>
      <x:c r="D388" s="119" t="str">
        <x:v>Active v5 (Tooling metadata)</x:v>
      </x:c>
      <x:c r="E388" s="117" t="str">
        <x:v>Lead</x:v>
      </x:c>
      <x:c r="F388" s="119" t="str">
        <x:v>Create, Reference</x:v>
      </x:c>
      <x:c r="G388" s="117" t="str">
        <x:v>No</x:v>
      </x:c>
      <x:c r="H388" s="117" t="str">
        <x:v>FieldServiceMobile</x:v>
      </x:c>
    </x:row>
    <x:row r="389" ht="30" customHeight="1">
      <x:c r="A389" s="117" t="str">
        <x:v>300Ro00000cnT4mIAE</x:v>
      </x:c>
      <x:c r="B389" s="117" t="str">
        <x:v>FSL_Mobile_Create_Lead_US</x:v>
      </x:c>
      <x:c r="C389" s="117" t="str">
        <x:v>Yes</x:v>
      </x:c>
      <x:c r="D389" s="119" t="str">
        <x:v>Active v34 (Retrieved XML)</x:v>
      </x:c>
      <x:c r="E389" s="117" t="str">
        <x:v>Lead</x:v>
      </x:c>
      <x:c r="F389" s="119" t="str">
        <x:v>Create, Read, Reference, Update, Variable</x:v>
      </x:c>
      <x:c r="G389" s="117" t="str">
        <x:v>No</x:v>
      </x:c>
      <x:c r="H389" s="117" t="str">
        <x:v>FieldServiceMobile</x:v>
      </x:c>
    </x:row>
    <x:row r="390" ht="30" customHeight="1">
      <x:c r="A390" s="117" t="str">
        <x:v>300Ro00000pvIVtIAM</x:v>
      </x:c>
      <x:c r="B390" s="117" t="str">
        <x:v>FSL_Mobile_Service_Appointment_Closeout</x:v>
      </x:c>
      <x:c r="C390" s="117" t="str">
        <x:v>Yes</x:v>
      </x:c>
      <x:c r="D390" s="119" t="str">
        <x:v>Active v1 (Retrieved XML)</x:v>
      </x:c>
      <x:c r="E390" s="117" t="str">
        <x:v>Lead</x:v>
      </x:c>
      <x:c r="F390" s="119" t="str">
        <x:v>Variable</x:v>
      </x:c>
      <x:c r="G390" s="117" t="str">
        <x:v>No</x:v>
      </x:c>
      <x:c r="H390" s="117" t="str">
        <x:v>FieldServiceMobile</x:v>
      </x:c>
    </x:row>
    <x:row r="391" ht="30" customHeight="1">
      <x:c r="A391" s="117" t="str">
        <x:v>3005b000000LGhEAAW</x:v>
      </x:c>
      <x:c r="B391" s="117" t="str">
        <x:v>Lead_Assignment_Flow</x:v>
      </x:c>
      <x:c r="C391" s="117" t="str">
        <x:v>No</x:v>
      </x:c>
      <x:c r="D391" s="119" t="str">
        <x:v>Latest inactive v38 (Retrieved XML)</x:v>
      </x:c>
      <x:c r="E391" s="117" t="str">
        <x:v>Lead</x:v>
      </x:c>
      <x:c r="F391" s="119" t="str">
        <x:v>Reference, Trigger, Update</x:v>
      </x:c>
      <x:c r="G391" s="117" t="str">
        <x:v>Yes</x:v>
      </x:c>
      <x:c r="H391" s="117" t="str">
        <x:v>AutoLaunchedFlow</x:v>
      </x:c>
    </x:row>
    <x:row r="392" ht="30" customHeight="1">
      <x:c r="A392" s="117" t="str">
        <x:v>300Ro00000BDLWYIA5</x:v>
      </x:c>
      <x:c r="B392" s="117" t="str">
        <x:v>Lead_Assignment_Flow_New_Simpler_Logic</x:v>
      </x:c>
      <x:c r="C392" s="117" t="str">
        <x:v>Yes</x:v>
      </x:c>
      <x:c r="D392" s="119" t="str">
        <x:v>Active v8 (Retrieved XML)</x:v>
      </x:c>
      <x:c r="E392" s="117" t="str">
        <x:v>Lead</x:v>
      </x:c>
      <x:c r="F392" s="119" t="str">
        <x:v>Reference, Trigger, Update</x:v>
      </x:c>
      <x:c r="G392" s="117" t="str">
        <x:v>Yes</x:v>
      </x:c>
      <x:c r="H392" s="117" t="str">
        <x:v>AutoLaunchedFlow</x:v>
      </x:c>
    </x:row>
    <x:row r="393" ht="30" customHeight="1">
      <x:c r="A393" s="117" t="str">
        <x:v>3004O000000Tia8QAC</x:v>
      </x:c>
      <x:c r="B393" s="117" t="str">
        <x:v>Lead_Check_for_existing</x:v>
      </x:c>
      <x:c r="C393" s="117" t="str">
        <x:v>Yes</x:v>
      </x:c>
      <x:c r="D393" s="119" t="str">
        <x:v>Active v1 (Retrieved XML)</x:v>
      </x:c>
      <x:c r="E393" s="117" t="str">
        <x:v>Lead</x:v>
      </x:c>
      <x:c r="F393" s="119" t="str">
        <x:v>Variable</x:v>
      </x:c>
      <x:c r="G393" s="117" t="str">
        <x:v>No</x:v>
      </x:c>
      <x:c r="H393" s="117" t="str">
        <x:v>Workflow</x:v>
      </x:c>
    </x:row>
    <x:row r="394" ht="30" customHeight="1">
      <x:c r="A394" s="117" t="str">
        <x:v>3004O000000Tia9QAC</x:v>
      </x:c>
      <x:c r="B394" s="117" t="str">
        <x:v>Lead_Check_for_existing_Account_Account_Name</x:v>
      </x:c>
      <x:c r="C394" s="117" t="str">
        <x:v>Yes</x:v>
      </x:c>
      <x:c r="D394" s="119" t="str">
        <x:v>Active v2 (Retrieved XML)</x:v>
      </x:c>
      <x:c r="E394" s="117" t="str">
        <x:v>Lead</x:v>
      </x:c>
      <x:c r="F394" s="119" t="str">
        <x:v>Variable</x:v>
      </x:c>
      <x:c r="G394" s="117" t="str">
        <x:v>No</x:v>
      </x:c>
      <x:c r="H394" s="117" t="str">
        <x:v>AutoLaunchedFlow</x:v>
      </x:c>
    </x:row>
    <x:row r="395" ht="30" customHeight="1">
      <x:c r="A395" s="117" t="str">
        <x:v>3004O000000TiaAQAS</x:v>
      </x:c>
      <x:c r="B395" s="117" t="str">
        <x:v>Lead_Check_for_existing_contact_Email</x:v>
      </x:c>
      <x:c r="C395" s="117" t="str">
        <x:v>Yes</x:v>
      </x:c>
      <x:c r="D395" s="119" t="str">
        <x:v>Active v3 (Retrieved XML)</x:v>
      </x:c>
      <x:c r="E395" s="117" t="str">
        <x:v>Lead</x:v>
      </x:c>
      <x:c r="F395" s="119" t="str">
        <x:v>Variable</x:v>
      </x:c>
      <x:c r="G395" s="117" t="str">
        <x:v>No</x:v>
      </x:c>
      <x:c r="H395" s="117" t="str">
        <x:v>AutoLaunchedFlow</x:v>
      </x:c>
    </x:row>
    <x:row r="396" ht="30" customHeight="1">
      <x:c r="A396" s="117" t="str">
        <x:v>3004O000000TiaBQAS</x:v>
      </x:c>
      <x:c r="B396" s="117" t="str">
        <x:v>Lead_Check_for_existing_contact_Phone</x:v>
      </x:c>
      <x:c r="C396" s="117" t="str">
        <x:v>Yes</x:v>
      </x:c>
      <x:c r="D396" s="119" t="str">
        <x:v>Active v3 (Retrieved XML)</x:v>
      </x:c>
      <x:c r="E396" s="117" t="str">
        <x:v>Lead</x:v>
      </x:c>
      <x:c r="F396" s="119" t="str">
        <x:v>Variable</x:v>
      </x:c>
      <x:c r="G396" s="117" t="str">
        <x:v>No</x:v>
      </x:c>
      <x:c r="H396" s="117" t="str">
        <x:v>AutoLaunchedFlow</x:v>
      </x:c>
    </x:row>
    <x:row r="397" ht="30" customHeight="1">
      <x:c r="A397" s="117" t="str">
        <x:v>300Ro00000SJwEmIAL</x:v>
      </x:c>
      <x:c r="B397" s="117" t="str">
        <x:v>Lead_Gen_Lead_Notification_Flow</x:v>
      </x:c>
      <x:c r="C397" s="117" t="str">
        <x:v>Yes</x:v>
      </x:c>
      <x:c r="D397" s="119" t="str">
        <x:v>Active v4 (Retrieved XML)</x:v>
      </x:c>
      <x:c r="E397" s="117" t="str">
        <x:v>Lead</x:v>
      </x:c>
      <x:c r="F397" s="119" t="str">
        <x:v>Reference, Trigger</x:v>
      </x:c>
      <x:c r="G397" s="117" t="str">
        <x:v>Yes</x:v>
      </x:c>
      <x:c r="H397" s="117" t="str">
        <x:v>AutoLaunchedFlow</x:v>
      </x:c>
    </x:row>
    <x:row r="398" ht="30" customHeight="1">
      <x:c r="A398" s="117" t="str">
        <x:v>300Ro00000qqeLIIAY</x:v>
      </x:c>
      <x:c r="B398" s="117" t="str">
        <x:v>Lead_Product_Type_Ultrasound_System_Rental</x:v>
      </x:c>
      <x:c r="C398" s="117" t="str">
        <x:v>Yes</x:v>
      </x:c>
      <x:c r="D398" s="119" t="str">
        <x:v>Active v2 (Retrieved XML)</x:v>
      </x:c>
      <x:c r="E398" s="117" t="str">
        <x:v>Lead</x:v>
      </x:c>
      <x:c r="F398" s="119" t="str">
        <x:v>Reference, Trigger, Update</x:v>
      </x:c>
      <x:c r="G398" s="117" t="str">
        <x:v>Yes</x:v>
      </x:c>
      <x:c r="H398" s="117" t="str">
        <x:v>AutoLaunchedFlow</x:v>
      </x:c>
    </x:row>
    <x:row r="399" ht="30" customHeight="1">
      <x:c r="A399" s="117" t="str">
        <x:v>300Ro00000e6lWiIAI</x:v>
      </x:c>
      <x:c r="B399" s="117" t="str">
        <x:v>Lead_Trigger_Notify_Ultrasound_Team_Upon_Creation</x:v>
      </x:c>
      <x:c r="C399" s="117" t="str">
        <x:v>Yes</x:v>
      </x:c>
      <x:c r="D399" s="119" t="str">
        <x:v>Active v4 (Retrieved XML)</x:v>
      </x:c>
      <x:c r="E399" s="117" t="str">
        <x:v>Lead</x:v>
      </x:c>
      <x:c r="F399" s="119" t="str">
        <x:v>Reference, Trigger</x:v>
      </x:c>
      <x:c r="G399" s="117" t="str">
        <x:v>Yes</x:v>
      </x:c>
      <x:c r="H399" s="117" t="str">
        <x:v>AutoLaunchedFlow</x:v>
      </x:c>
    </x:row>
    <x:row r="400" ht="30" customHeight="1">
      <x:c r="A400" s="117" t="str">
        <x:v>3005b000000LHS0AAO</x:v>
      </x:c>
      <x:c r="B400" s="117" t="str">
        <x:v>LeadStatusDateTrackers</x:v>
      </x:c>
      <x:c r="C400" s="117" t="str">
        <x:v>Yes</x:v>
      </x:c>
      <x:c r="D400" s="119" t="str">
        <x:v>Active v1 (Retrieved XML)</x:v>
      </x:c>
      <x:c r="E400" s="117" t="str">
        <x:v>Lead</x:v>
      </x:c>
      <x:c r="F400" s="119" t="str">
        <x:v>Reference, Trigger, Update</x:v>
      </x:c>
      <x:c r="G400" s="117" t="str">
        <x:v>Yes</x:v>
      </x:c>
      <x:c r="H400" s="117" t="str">
        <x:v>AutoLaunchedFlow</x:v>
      </x:c>
    </x:row>
    <x:row r="401" ht="30" customHeight="1">
      <x:c r="A401" s="117" t="str">
        <x:v>3000B0000008l3gQAA</x:v>
      </x:c>
      <x:c r="B401" s="117" t="str">
        <x:v>Product_name_from_lead_to_opp</x:v>
      </x:c>
      <x:c r="C401" s="117" t="str">
        <x:v>Yes</x:v>
      </x:c>
      <x:c r="D401" s="119" t="str">
        <x:v>Active v10 (Tooling metadata)</x:v>
      </x:c>
      <x:c r="E401" s="117" t="str">
        <x:v>Lead</x:v>
      </x:c>
      <x:c r="F401" s="119" t="str">
        <x:v>Reference, Update, Variable</x:v>
      </x:c>
      <x:c r="G401" s="117" t="str">
        <x:v>No</x:v>
      </x:c>
      <x:c r="H401" s="117" t="str">
        <x:v>Workflow</x:v>
      </x:c>
    </x:row>
    <x:row r="402" ht="30" customHeight="1">
      <x:c r="A402" s="117" t="str">
        <x:v>3000B0000008l9tQAA</x:v>
      </x:c>
      <x:c r="B402" s="117" t="str">
        <x:v>Search_Contacts_for_Account_Name_Company</x:v>
      </x:c>
      <x:c r="C402" s="117" t="str">
        <x:v>No</x:v>
      </x:c>
      <x:c r="D402" s="119" t="str">
        <x:v>Latest inactive v1 (Retrieved XML)</x:v>
      </x:c>
      <x:c r="E402" s="117" t="str">
        <x:v>Lead</x:v>
      </x:c>
      <x:c r="F402" s="119" t="str">
        <x:v>Reference, Update, Variable</x:v>
      </x:c>
      <x:c r="G402" s="117" t="str">
        <x:v>No</x:v>
      </x:c>
      <x:c r="H402" s="117" t="str">
        <x:v>AutoLaunchedFlow</x:v>
      </x:c>
    </x:row>
    <x:row r="403" ht="30" customHeight="1">
      <x:c r="A403" s="117" t="str">
        <x:v>3000B0000008l2xQAA</x:v>
      </x:c>
      <x:c r="B403" s="117" t="str">
        <x:v>Search_Contacts_for_New_Lead_Email_Address</x:v>
      </x:c>
      <x:c r="C403" s="117" t="str">
        <x:v>No</x:v>
      </x:c>
      <x:c r="D403" s="119" t="str">
        <x:v>Latest inactive v4 (Retrieved XML)</x:v>
      </x:c>
      <x:c r="E403" s="117" t="str">
        <x:v>Lead</x:v>
      </x:c>
      <x:c r="F403" s="119" t="str">
        <x:v>Reference, Update, Variable</x:v>
      </x:c>
      <x:c r="G403" s="117" t="str">
        <x:v>No</x:v>
      </x:c>
      <x:c r="H403" s="117" t="str">
        <x:v>AutoLaunchedFlow</x:v>
      </x:c>
    </x:row>
    <x:row r="404" ht="30" customHeight="1">
      <x:c r="A404" s="117" t="str">
        <x:v>3000B0000008l9oQAA</x:v>
      </x:c>
      <x:c r="B404" s="117" t="str">
        <x:v>Search_Contacts_for_Phone_Number</x:v>
      </x:c>
      <x:c r="C404" s="117" t="str">
        <x:v>No</x:v>
      </x:c>
      <x:c r="D404" s="119" t="str">
        <x:v>Latest inactive v1 (Retrieved XML)</x:v>
      </x:c>
      <x:c r="E404" s="117" t="str">
        <x:v>Lead</x:v>
      </x:c>
      <x:c r="F404" s="119" t="str">
        <x:v>Reference, Update, Variable</x:v>
      </x:c>
      <x:c r="G404" s="117" t="str">
        <x:v>No</x:v>
      </x:c>
      <x:c r="H404" s="117" t="str">
        <x:v>AutoLaunchedFlow</x:v>
      </x:c>
    </x:row>
    <x:row r="405" ht="30" customHeight="1">
      <x:c r="A405" s="117" t="str">
        <x:v>3005b000000LJFiAAO</x:v>
      </x:c>
      <x:c r="B405" s="117" t="str">
        <x:v>Send_Better_Email_Testflow</x:v>
      </x:c>
      <x:c r="C405" s="117" t="str">
        <x:v>Yes</x:v>
      </x:c>
      <x:c r="D405" s="119" t="str">
        <x:v>Active v1 (Tooling metadata)</x:v>
      </x:c>
      <x:c r="E405" s="117" t="str">
        <x:v>Lead</x:v>
      </x:c>
      <x:c r="F405" s="119" t="str">
        <x:v>Variable</x:v>
      </x:c>
      <x:c r="G405" s="117" t="str">
        <x:v>No</x:v>
      </x:c>
      <x:c r="H405" s="117" t="str">
        <x:v>Flow</x:v>
      </x:c>
    </x:row>
    <x:row r="406" ht="30" customHeight="1">
      <x:c r="A406" s="117" t="str">
        <x:v>3000B0000008l9jQAA</x:v>
      </x:c>
      <x:c r="B406" s="117" t="str">
        <x:v>Swap_Lead_Owner_with_Lead_Owner_Queue</x:v>
      </x:c>
      <x:c r="C406" s="117" t="str">
        <x:v>No</x:v>
      </x:c>
      <x:c r="D406" s="119" t="str">
        <x:v>Latest inactive v14 (Retrieved XML)</x:v>
      </x:c>
      <x:c r="E406" s="117" t="str">
        <x:v>Lead</x:v>
      </x:c>
      <x:c r="F406" s="119" t="str">
        <x:v>Reference, Update, Variable</x:v>
      </x:c>
      <x:c r="G406" s="117" t="str">
        <x:v>No</x:v>
      </x:c>
      <x:c r="H406" s="117" t="str">
        <x:v>Workflow</x:v>
      </x:c>
    </x:row>
    <x:row r="407" ht="30" customHeight="1">
      <x:c r="A407" s="117" t="str">
        <x:v>3005b00000113C7AAI</x:v>
      </x:c>
      <x:c r="B407" s="117" t="str">
        <x:v>TESTING_Lead_Email_Alert</x:v>
      </x:c>
      <x:c r="C407" s="117" t="str">
        <x:v>No</x:v>
      </x:c>
      <x:c r="D407" s="119" t="str">
        <x:v>Latest inactive v3 (Retrieved XML)</x:v>
      </x:c>
      <x:c r="E407" s="117" t="str">
        <x:v>Lead</x:v>
      </x:c>
      <x:c r="F407" s="119" t="str">
        <x:v>Reference, Trigger, Update</x:v>
      </x:c>
      <x:c r="G407" s="117" t="str">
        <x:v>Yes</x:v>
      </x:c>
      <x:c r="H407" s="117" t="str">
        <x:v>AutoLaunchedFlow</x:v>
      </x:c>
    </x:row>
    <x:row r="408" ht="30" customHeight="1">
      <x:c r="A408" s="117" t="str">
        <x:v>300Ro00000Pz0kzIAB</x:v>
      </x:c>
      <x:c r="B408" s="117" t="str">
        <x:v>Update_comments</x:v>
      </x:c>
      <x:c r="C408" s="117" t="str">
        <x:v>Yes</x:v>
      </x:c>
      <x:c r="D408" s="119" t="str">
        <x:v>Active v192 (Tooling metadata)</x:v>
      </x:c>
      <x:c r="E408" s="117" t="str">
        <x:v>Lead</x:v>
      </x:c>
      <x:c r="F408" s="119" t="str">
        <x:v>Variable</x:v>
      </x:c>
      <x:c r="G408" s="117" t="str">
        <x:v>No</x:v>
      </x:c>
      <x:c r="H408" s="117" t="str">
        <x:v>FieldServiceMobile</x:v>
      </x:c>
    </x:row>
    <x:row r="409" ht="30" customHeight="1">
      <x:c r="A409" s="117" t="str">
        <x:v>300Ro00000lZu2lIAC</x:v>
      </x:c>
      <x:c r="B409" s="117" t="str">
        <x:v>Work_Order_install_Subflow</x:v>
      </x:c>
      <x:c r="C409" s="117" t="str">
        <x:v>Yes</x:v>
      </x:c>
      <x:c r="D409" s="119" t="str">
        <x:v>Active v12 (Retrieved XML)</x:v>
      </x:c>
      <x:c r="E409" s="117" t="str">
        <x:v>Lead</x:v>
      </x:c>
      <x:c r="F409" s="119" t="str">
        <x:v>Variable</x:v>
      </x:c>
      <x:c r="G409" s="117" t="str">
        <x:v>No</x:v>
      </x:c>
      <x:c r="H409" s="117" t="str">
        <x:v>Flow</x:v>
      </x:c>
    </x:row>
    <x:row r="410" ht="30" customHeight="1">
      <x:c r="A410" s="117" t="str">
        <x:v>300Ro00000eZBBPIA4</x:v>
      </x:c>
      <x:c r="B410" s="117" t="str">
        <x:v>Work_Order_Line_Item_Trigger_Update_US_FSL_Related_Lead</x:v>
      </x:c>
      <x:c r="C410" s="117" t="str">
        <x:v>No</x:v>
      </x:c>
      <x:c r="D410" s="119" t="str">
        <x:v>Latest inactive v1 (Retrieved XML)</x:v>
      </x:c>
      <x:c r="E410" s="117" t="str">
        <x:v>Lead</x:v>
      </x:c>
      <x:c r="F410" s="119" t="str">
        <x:v>Read, Reference, Update</x:v>
      </x:c>
      <x:c r="G410" s="117" t="str">
        <x:v>No</x:v>
      </x:c>
      <x:c r="H410" s="117" t="str">
        <x:v>AutoLaunchedFlow</x:v>
      </x:c>
    </x:row>
    <x:row r="411" ht="30" customHeight="1">
      <x:c r="A411" s="117" t="str">
        <x:v>3005b000000H3qjAAC</x:v>
      </x:c>
      <x:c r="B411" s="117" t="str">
        <x:v>Send_Sourcing_Request_Mass_Email_UK</x:v>
      </x:c>
      <x:c r="C411" s="117" t="str">
        <x:v>Yes</x:v>
      </x:c>
      <x:c r="D411" s="119" t="str">
        <x:v>Active v1 (Retrieved XML)</x:v>
      </x:c>
      <x:c r="E411" s="117" t="str">
        <x:v>ListView</x:v>
      </x:c>
      <x:c r="F411" s="119" t="str">
        <x:v>Choice Read, Reference</x:v>
      </x:c>
      <x:c r="G411" s="117" t="str">
        <x:v>No</x:v>
      </x:c>
      <x:c r="H411" s="117" t="str">
        <x:v>Flow</x:v>
      </x:c>
    </x:row>
    <x:row r="412" ht="30" customHeight="1">
      <x:c r="A412" s="117" t="str">
        <x:v>300Ro00000zJbteIAC</x:v>
      </x:c>
      <x:c r="B412" s="117" t="str">
        <x:v>Loaner_Asset_Asynchronous_on_create_Loaner_Asset_Roll_Up</x:v>
      </x:c>
      <x:c r="C412" s="117" t="str">
        <x:v>Yes</x:v>
      </x:c>
      <x:c r="D412" s="119" t="str">
        <x:v>Active v2 (Retrieved XML)</x:v>
      </x:c>
      <x:c r="E412" s="117" t="str">
        <x:v>Loaner_Asset__c</x:v>
      </x:c>
      <x:c r="F412" s="119" t="str">
        <x:v>Read, Reference, Trigger</x:v>
      </x:c>
      <x:c r="G412" s="117" t="str">
        <x:v>Yes</x:v>
      </x:c>
      <x:c r="H412" s="117" t="str">
        <x:v>AutoLaunchedFlow</x:v>
      </x:c>
    </x:row>
    <x:row r="413" ht="30" customHeight="1">
      <x:c r="A413" s="117" t="str">
        <x:v>300Ro00000zEfplIAC</x:v>
      </x:c>
      <x:c r="B413" s="117" t="str">
        <x:v>Loaner_Asset_Asynchronous_on_create_Loaner_Location_Roll_Up</x:v>
      </x:c>
      <x:c r="C413" s="117" t="str">
        <x:v>Yes</x:v>
      </x:c>
      <x:c r="D413" s="119" t="str">
        <x:v>Active v1 (Retrieved XML)</x:v>
      </x:c>
      <x:c r="E413" s="117" t="str">
        <x:v>Loaner_Asset__c</x:v>
      </x:c>
      <x:c r="F413" s="119" t="str">
        <x:v>Read, Reference, Trigger</x:v>
      </x:c>
      <x:c r="G413" s="117" t="str">
        <x:v>Yes</x:v>
      </x:c>
      <x:c r="H413" s="117" t="str">
        <x:v>AutoLaunchedFlow</x:v>
      </x:c>
    </x:row>
    <x:row r="414" ht="30" customHeight="1">
      <x:c r="A414" s="117" t="str">
        <x:v>300Ro00000zKERvIAO</x:v>
      </x:c>
      <x:c r="B414" s="117" t="str">
        <x:v>Loaner_Asset_Asynchronous_on_create_Loaner_Serial_Roll_Up</x:v>
      </x:c>
      <x:c r="C414" s="117" t="str">
        <x:v>Yes</x:v>
      </x:c>
      <x:c r="D414" s="119" t="str">
        <x:v>Active v1 (Retrieved XML)</x:v>
      </x:c>
      <x:c r="E414" s="117" t="str">
        <x:v>Loaner_Asset__c</x:v>
      </x:c>
      <x:c r="F414" s="119" t="str">
        <x:v>Read, Reference, Trigger</x:v>
      </x:c>
      <x:c r="G414" s="117" t="str">
        <x:v>Yes</x:v>
      </x:c>
      <x:c r="H414" s="117" t="str">
        <x:v>AutoLaunchedFlow</x:v>
      </x:c>
    </x:row>
    <x:row r="415" ht="30" customHeight="1">
      <x:c r="A415" s="117" t="str">
        <x:v>300Ro00000zEfpmIAC</x:v>
      </x:c>
      <x:c r="B415" s="117" t="str">
        <x:v>Loaner_Asset_Asynchronous_on_update_Loaner_Location_Roll_Up</x:v>
      </x:c>
      <x:c r="C415" s="117" t="str">
        <x:v>Yes</x:v>
      </x:c>
      <x:c r="D415" s="119" t="str">
        <x:v>Active v1 (Retrieved XML)</x:v>
      </x:c>
      <x:c r="E415" s="117" t="str">
        <x:v>Loaner_Asset__c</x:v>
      </x:c>
      <x:c r="F415" s="119" t="str">
        <x:v>Read, Reference, Trigger</x:v>
      </x:c>
      <x:c r="G415" s="117" t="str">
        <x:v>Yes</x:v>
      </x:c>
      <x:c r="H415" s="117" t="str">
        <x:v>AutoLaunchedFlow</x:v>
      </x:c>
    </x:row>
    <x:row r="416" ht="30" customHeight="1">
      <x:c r="A416" s="117" t="str">
        <x:v>300Ro00000zJbtfIAC</x:v>
      </x:c>
      <x:c r="B416" s="117" t="str">
        <x:v>Loaner_Asset_Before_Delete_Loaner_Asset_Roll_Up</x:v>
      </x:c>
      <x:c r="C416" s="117" t="str">
        <x:v>Yes</x:v>
      </x:c>
      <x:c r="D416" s="119" t="str">
        <x:v>Active v2 (Retrieved XML)</x:v>
      </x:c>
      <x:c r="E416" s="117" t="str">
        <x:v>Loaner_Asset__c</x:v>
      </x:c>
      <x:c r="F416" s="119" t="str">
        <x:v>Read, Reference, Trigger</x:v>
      </x:c>
      <x:c r="G416" s="117" t="str">
        <x:v>Yes</x:v>
      </x:c>
      <x:c r="H416" s="117" t="str">
        <x:v>AutoLaunchedFlow</x:v>
      </x:c>
    </x:row>
    <x:row r="417" ht="30" customHeight="1">
      <x:c r="A417" s="117" t="str">
        <x:v>300Ro00000zEfpnIAC</x:v>
      </x:c>
      <x:c r="B417" s="117" t="str">
        <x:v>Loaner_Asset_Before_Delete_Loaner_Location_Roll_Up</x:v>
      </x:c>
      <x:c r="C417" s="117" t="str">
        <x:v>Yes</x:v>
      </x:c>
      <x:c r="D417" s="119" t="str">
        <x:v>Active v1 (Retrieved XML)</x:v>
      </x:c>
      <x:c r="E417" s="117" t="str">
        <x:v>Loaner_Asset__c</x:v>
      </x:c>
      <x:c r="F417" s="119" t="str">
        <x:v>Read, Reference, Trigger</x:v>
      </x:c>
      <x:c r="G417" s="117" t="str">
        <x:v>Yes</x:v>
      </x:c>
      <x:c r="H417" s="117" t="str">
        <x:v>AutoLaunchedFlow</x:v>
      </x:c>
    </x:row>
    <x:row r="418" ht="30" customHeight="1">
      <x:c r="A418" s="117" t="str">
        <x:v>300Ro00000zKERwIAO</x:v>
      </x:c>
      <x:c r="B418" s="117" t="str">
        <x:v>Loaner_Asset_Before_Delete_Loaner_Serial_Roll_Up</x:v>
      </x:c>
      <x:c r="C418" s="117" t="str">
        <x:v>Yes</x:v>
      </x:c>
      <x:c r="D418" s="119" t="str">
        <x:v>Active v1 (Retrieved XML)</x:v>
      </x:c>
      <x:c r="E418" s="117" t="str">
        <x:v>Loaner_Asset__c</x:v>
      </x:c>
      <x:c r="F418" s="119" t="str">
        <x:v>Read, Reference, Trigger</x:v>
      </x:c>
      <x:c r="G418" s="117" t="str">
        <x:v>Yes</x:v>
      </x:c>
      <x:c r="H418" s="117" t="str">
        <x:v>AutoLaunchedFlow</x:v>
      </x:c>
    </x:row>
    <x:row r="419" ht="30" customHeight="1">
      <x:c r="A419" s="117" t="str">
        <x:v>300Ro00000zJbtgIAC</x:v>
      </x:c>
      <x:c r="B419" s="117" t="str">
        <x:v>Loaner_Asset_on_update_Loaner_Asset_Roll_Up</x:v>
      </x:c>
      <x:c r="C419" s="117" t="str">
        <x:v>Yes</x:v>
      </x:c>
      <x:c r="D419" s="119" t="str">
        <x:v>Active v2 (Retrieved XML)</x:v>
      </x:c>
      <x:c r="E419" s="117" t="str">
        <x:v>Loaner_Asset__c</x:v>
      </x:c>
      <x:c r="F419" s="119" t="str">
        <x:v>Read, Reference, Trigger</x:v>
      </x:c>
      <x:c r="G419" s="117" t="str">
        <x:v>Yes</x:v>
      </x:c>
      <x:c r="H419" s="117" t="str">
        <x:v>AutoLaunchedFlow</x:v>
      </x:c>
    </x:row>
    <x:row r="420" ht="30" customHeight="1">
      <x:c r="A420" s="117" t="str">
        <x:v>300Ro00000zKERxIAO</x:v>
      </x:c>
      <x:c r="B420" s="117" t="str">
        <x:v>Loaner_Asset_on_update_Loaner_Serial_Roll_Up</x:v>
      </x:c>
      <x:c r="C420" s="117" t="str">
        <x:v>Yes</x:v>
      </x:c>
      <x:c r="D420" s="119" t="str">
        <x:v>Active v1 (Retrieved XML)</x:v>
      </x:c>
      <x:c r="E420" s="117" t="str">
        <x:v>Loaner_Asset__c</x:v>
      </x:c>
      <x:c r="F420" s="119" t="str">
        <x:v>Read, Reference, Trigger</x:v>
      </x:c>
      <x:c r="G420" s="117" t="str">
        <x:v>Yes</x:v>
      </x:c>
      <x:c r="H420" s="117" t="str">
        <x:v>AutoLaunchedFlow</x:v>
      </x:c>
    </x:row>
    <x:row r="421" ht="30" customHeight="1">
      <x:c r="A421" s="117" t="str">
        <x:v>300Ro000007doaWIAQ</x:v>
      </x:c>
      <x:c r="B421" s="117" t="str">
        <x:v>Invoice_Rollups</x:v>
      </x:c>
      <x:c r="C421" s="117" t="str">
        <x:v>Yes</x:v>
      </x:c>
      <x:c r="D421" s="119" t="str">
        <x:v>Active v2 (Retrieved XML)</x:v>
      </x:c>
      <x:c r="E421" s="117" t="str">
        <x:v>Loaner__c</x:v>
      </x:c>
      <x:c r="F421" s="119" t="str">
        <x:v>Variable</x:v>
      </x:c>
      <x:c r="G421" s="117" t="str">
        <x:v>No</x:v>
      </x:c>
      <x:c r="H421" s="117" t="str">
        <x:v>AutoLaunchedFlow</x:v>
      </x:c>
    </x:row>
    <x:row r="422" ht="30" customHeight="1">
      <x:c r="A422" s="117" t="str">
        <x:v>300Ro00000zJbteIAC</x:v>
      </x:c>
      <x:c r="B422" s="117" t="str">
        <x:v>Loaner_Asset_Asynchronous_on_create_Loaner_Asset_Roll_Up</x:v>
      </x:c>
      <x:c r="C422" s="117" t="str">
        <x:v>Yes</x:v>
      </x:c>
      <x:c r="D422" s="119" t="str">
        <x:v>Active v2 (Retrieved XML)</x:v>
      </x:c>
      <x:c r="E422" s="117" t="str">
        <x:v>Loaner__c</x:v>
      </x:c>
      <x:c r="F422" s="119" t="str">
        <x:v>Reference, Update</x:v>
      </x:c>
      <x:c r="G422" s="117" t="str">
        <x:v>No</x:v>
      </x:c>
      <x:c r="H422" s="117" t="str">
        <x:v>AutoLaunchedFlow</x:v>
      </x:c>
    </x:row>
    <x:row r="423" ht="30" customHeight="1">
      <x:c r="A423" s="117" t="str">
        <x:v>300Ro00000zEfplIAC</x:v>
      </x:c>
      <x:c r="B423" s="117" t="str">
        <x:v>Loaner_Asset_Asynchronous_on_create_Loaner_Location_Roll_Up</x:v>
      </x:c>
      <x:c r="C423" s="117" t="str">
        <x:v>Yes</x:v>
      </x:c>
      <x:c r="D423" s="119" t="str">
        <x:v>Active v1 (Retrieved XML)</x:v>
      </x:c>
      <x:c r="E423" s="117" t="str">
        <x:v>Loaner__c</x:v>
      </x:c>
      <x:c r="F423" s="119" t="str">
        <x:v>Reference, Update</x:v>
      </x:c>
      <x:c r="G423" s="117" t="str">
        <x:v>No</x:v>
      </x:c>
      <x:c r="H423" s="117" t="str">
        <x:v>AutoLaunchedFlow</x:v>
      </x:c>
    </x:row>
    <x:row r="424" ht="30" customHeight="1">
      <x:c r="A424" s="117" t="str">
        <x:v>300Ro00000zKERvIAO</x:v>
      </x:c>
      <x:c r="B424" s="117" t="str">
        <x:v>Loaner_Asset_Asynchronous_on_create_Loaner_Serial_Roll_Up</x:v>
      </x:c>
      <x:c r="C424" s="117" t="str">
        <x:v>Yes</x:v>
      </x:c>
      <x:c r="D424" s="119" t="str">
        <x:v>Active v1 (Retrieved XML)</x:v>
      </x:c>
      <x:c r="E424" s="117" t="str">
        <x:v>Loaner__c</x:v>
      </x:c>
      <x:c r="F424" s="119" t="str">
        <x:v>Reference, Update</x:v>
      </x:c>
      <x:c r="G424" s="117" t="str">
        <x:v>No</x:v>
      </x:c>
      <x:c r="H424" s="117" t="str">
        <x:v>AutoLaunchedFlow</x:v>
      </x:c>
    </x:row>
    <x:row r="425" ht="30" customHeight="1">
      <x:c r="A425" s="117" t="str">
        <x:v>300Ro00000zEfpmIAC</x:v>
      </x:c>
      <x:c r="B425" s="117" t="str">
        <x:v>Loaner_Asset_Asynchronous_on_update_Loaner_Location_Roll_Up</x:v>
      </x:c>
      <x:c r="C425" s="117" t="str">
        <x:v>Yes</x:v>
      </x:c>
      <x:c r="D425" s="119" t="str">
        <x:v>Active v1 (Retrieved XML)</x:v>
      </x:c>
      <x:c r="E425" s="117" t="str">
        <x:v>Loaner__c</x:v>
      </x:c>
      <x:c r="F425" s="119" t="str">
        <x:v>Reference, Update</x:v>
      </x:c>
      <x:c r="G425" s="117" t="str">
        <x:v>No</x:v>
      </x:c>
      <x:c r="H425" s="117" t="str">
        <x:v>AutoLaunchedFlow</x:v>
      </x:c>
    </x:row>
    <x:row r="426" ht="30" customHeight="1">
      <x:c r="A426" s="117" t="str">
        <x:v>300Ro00000zJbtfIAC</x:v>
      </x:c>
      <x:c r="B426" s="117" t="str">
        <x:v>Loaner_Asset_Before_Delete_Loaner_Asset_Roll_Up</x:v>
      </x:c>
      <x:c r="C426" s="117" t="str">
        <x:v>Yes</x:v>
      </x:c>
      <x:c r="D426" s="119" t="str">
        <x:v>Active v2 (Retrieved XML)</x:v>
      </x:c>
      <x:c r="E426" s="117" t="str">
        <x:v>Loaner__c</x:v>
      </x:c>
      <x:c r="F426" s="119" t="str">
        <x:v>Reference, Update</x:v>
      </x:c>
      <x:c r="G426" s="117" t="str">
        <x:v>No</x:v>
      </x:c>
      <x:c r="H426" s="117" t="str">
        <x:v>AutoLaunchedFlow</x:v>
      </x:c>
    </x:row>
    <x:row r="427" ht="30" customHeight="1">
      <x:c r="A427" s="117" t="str">
        <x:v>300Ro00000zEfpnIAC</x:v>
      </x:c>
      <x:c r="B427" s="117" t="str">
        <x:v>Loaner_Asset_Before_Delete_Loaner_Location_Roll_Up</x:v>
      </x:c>
      <x:c r="C427" s="117" t="str">
        <x:v>Yes</x:v>
      </x:c>
      <x:c r="D427" s="119" t="str">
        <x:v>Active v1 (Retrieved XML)</x:v>
      </x:c>
      <x:c r="E427" s="117" t="str">
        <x:v>Loaner__c</x:v>
      </x:c>
      <x:c r="F427" s="119" t="str">
        <x:v>Reference, Update</x:v>
      </x:c>
      <x:c r="G427" s="117" t="str">
        <x:v>No</x:v>
      </x:c>
      <x:c r="H427" s="117" t="str">
        <x:v>AutoLaunchedFlow</x:v>
      </x:c>
    </x:row>
    <x:row r="428" ht="30" customHeight="1">
      <x:c r="A428" s="117" t="str">
        <x:v>300Ro00000zKERwIAO</x:v>
      </x:c>
      <x:c r="B428" s="117" t="str">
        <x:v>Loaner_Asset_Before_Delete_Loaner_Serial_Roll_Up</x:v>
      </x:c>
      <x:c r="C428" s="117" t="str">
        <x:v>Yes</x:v>
      </x:c>
      <x:c r="D428" s="119" t="str">
        <x:v>Active v1 (Retrieved XML)</x:v>
      </x:c>
      <x:c r="E428" s="117" t="str">
        <x:v>Loaner__c</x:v>
      </x:c>
      <x:c r="F428" s="119" t="str">
        <x:v>Reference, Update</x:v>
      </x:c>
      <x:c r="G428" s="117" t="str">
        <x:v>No</x:v>
      </x:c>
      <x:c r="H428" s="117" t="str">
        <x:v>AutoLaunchedFlow</x:v>
      </x:c>
    </x:row>
    <x:row r="429" ht="30" customHeight="1">
      <x:c r="A429" s="117" t="str">
        <x:v>300Ro00000zJbtgIAC</x:v>
      </x:c>
      <x:c r="B429" s="117" t="str">
        <x:v>Loaner_Asset_on_update_Loaner_Asset_Roll_Up</x:v>
      </x:c>
      <x:c r="C429" s="117" t="str">
        <x:v>Yes</x:v>
      </x:c>
      <x:c r="D429" s="119" t="str">
        <x:v>Active v2 (Retrieved XML)</x:v>
      </x:c>
      <x:c r="E429" s="117" t="str">
        <x:v>Loaner__c</x:v>
      </x:c>
      <x:c r="F429" s="119" t="str">
        <x:v>Reference, Update</x:v>
      </x:c>
      <x:c r="G429" s="117" t="str">
        <x:v>No</x:v>
      </x:c>
      <x:c r="H429" s="117" t="str">
        <x:v>AutoLaunchedFlow</x:v>
      </x:c>
    </x:row>
    <x:row r="430" ht="30" customHeight="1">
      <x:c r="A430" s="117" t="str">
        <x:v>300Ro00000zKERxIAO</x:v>
      </x:c>
      <x:c r="B430" s="117" t="str">
        <x:v>Loaner_Asset_on_update_Loaner_Serial_Roll_Up</x:v>
      </x:c>
      <x:c r="C430" s="117" t="str">
        <x:v>Yes</x:v>
      </x:c>
      <x:c r="D430" s="119" t="str">
        <x:v>Active v1 (Retrieved XML)</x:v>
      </x:c>
      <x:c r="E430" s="117" t="str">
        <x:v>Loaner__c</x:v>
      </x:c>
      <x:c r="F430" s="119" t="str">
        <x:v>Reference, Update</x:v>
      </x:c>
      <x:c r="G430" s="117" t="str">
        <x:v>No</x:v>
      </x:c>
      <x:c r="H430" s="117" t="str">
        <x:v>AutoLaunchedFlow</x:v>
      </x:c>
    </x:row>
    <x:row r="431" ht="30" customHeight="1">
      <x:c r="A431" s="117" t="str">
        <x:v>3005b000000LHaTAAW</x:v>
      </x:c>
      <x:c r="B431" s="117" t="str">
        <x:v>Loaner_Object_Updates_and_Alerts</x:v>
      </x:c>
      <x:c r="C431" s="117" t="str">
        <x:v>Yes</x:v>
      </x:c>
      <x:c r="D431" s="119" t="str">
        <x:v>Active v10 (Retrieved XML)</x:v>
      </x:c>
      <x:c r="E431" s="117" t="str">
        <x:v>Loaner__c</x:v>
      </x:c>
      <x:c r="F431" s="119" t="str">
        <x:v>Reference, Trigger, Update</x:v>
      </x:c>
      <x:c r="G431" s="117" t="str">
        <x:v>Yes</x:v>
      </x:c>
      <x:c r="H431" s="117" t="str">
        <x:v>AutoLaunchedFlow</x:v>
      </x:c>
    </x:row>
    <x:row r="432" ht="30" customHeight="1">
      <x:c r="A432" s="117" t="str">
        <x:v>300Ro00000zK6USIA0</x:v>
      </x:c>
      <x:c r="B432" s="117" t="str">
        <x:v>MC_Shipment_Before_Delete_Delivered_Date_Roll_Up</x:v>
      </x:c>
      <x:c r="C432" s="117" t="str">
        <x:v>Yes</x:v>
      </x:c>
      <x:c r="D432" s="119" t="str">
        <x:v>Active v1 (Retrieved XML)</x:v>
      </x:c>
      <x:c r="E432" s="117" t="str">
        <x:v>Loaner__c</x:v>
      </x:c>
      <x:c r="F432" s="119" t="str">
        <x:v>Reference, Update</x:v>
      </x:c>
      <x:c r="G432" s="117" t="str">
        <x:v>No</x:v>
      </x:c>
      <x:c r="H432" s="117" t="str">
        <x:v>AutoLaunchedFlow</x:v>
      </x:c>
    </x:row>
    <x:row r="433" ht="30" customHeight="1">
      <x:c r="A433" s="117" t="str">
        <x:v>300Ro00000zKZzNIAW</x:v>
      </x:c>
      <x:c r="B433" s="117" t="str">
        <x:v>MC_Shipment_Before_Delete_Ship_Date_Roll_Up</x:v>
      </x:c>
      <x:c r="C433" s="117" t="str">
        <x:v>Yes</x:v>
      </x:c>
      <x:c r="D433" s="119" t="str">
        <x:v>Active v1 (Retrieved XML)</x:v>
      </x:c>
      <x:c r="E433" s="117" t="str">
        <x:v>Loaner__c</x:v>
      </x:c>
      <x:c r="F433" s="119" t="str">
        <x:v>Reference, Update</x:v>
      </x:c>
      <x:c r="G433" s="117" t="str">
        <x:v>No</x:v>
      </x:c>
      <x:c r="H433" s="117" t="str">
        <x:v>AutoLaunchedFlow</x:v>
      </x:c>
    </x:row>
    <x:row r="434" ht="30" customHeight="1">
      <x:c r="A434" s="117" t="str">
        <x:v>300Ro00000zK6UTIA0</x:v>
      </x:c>
      <x:c r="B434" s="117" t="str">
        <x:v>MC_Shipment_on_create_Delivered_Date_Roll_Up</x:v>
      </x:c>
      <x:c r="C434" s="117" t="str">
        <x:v>Yes</x:v>
      </x:c>
      <x:c r="D434" s="119" t="str">
        <x:v>Active v1 (Retrieved XML)</x:v>
      </x:c>
      <x:c r="E434" s="117" t="str">
        <x:v>Loaner__c</x:v>
      </x:c>
      <x:c r="F434" s="119" t="str">
        <x:v>Reference, Update</x:v>
      </x:c>
      <x:c r="G434" s="117" t="str">
        <x:v>No</x:v>
      </x:c>
      <x:c r="H434" s="117" t="str">
        <x:v>AutoLaunchedFlow</x:v>
      </x:c>
    </x:row>
    <x:row r="435" ht="30" customHeight="1">
      <x:c r="A435" s="117" t="str">
        <x:v>300Ro00000zKZzOIAW</x:v>
      </x:c>
      <x:c r="B435" s="117" t="str">
        <x:v>MC_Shipment_on_create_Ship_Date_Roll_Up</x:v>
      </x:c>
      <x:c r="C435" s="117" t="str">
        <x:v>Yes</x:v>
      </x:c>
      <x:c r="D435" s="119" t="str">
        <x:v>Active v1 (Retrieved XML)</x:v>
      </x:c>
      <x:c r="E435" s="117" t="str">
        <x:v>Loaner__c</x:v>
      </x:c>
      <x:c r="F435" s="119" t="str">
        <x:v>Reference, Update</x:v>
      </x:c>
      <x:c r="G435" s="117" t="str">
        <x:v>No</x:v>
      </x:c>
      <x:c r="H435" s="117" t="str">
        <x:v>AutoLaunchedFlow</x:v>
      </x:c>
    </x:row>
    <x:row r="436" ht="30" customHeight="1">
      <x:c r="A436" s="117" t="str">
        <x:v>300Ro00000zK6UUIA0</x:v>
      </x:c>
      <x:c r="B436" s="117" t="str">
        <x:v>MC_Shipment_on_update_Delivered_Date_Roll_Up</x:v>
      </x:c>
      <x:c r="C436" s="117" t="str">
        <x:v>Yes</x:v>
      </x:c>
      <x:c r="D436" s="119" t="str">
        <x:v>Active v1 (Retrieved XML)</x:v>
      </x:c>
      <x:c r="E436" s="117" t="str">
        <x:v>Loaner__c</x:v>
      </x:c>
      <x:c r="F436" s="119" t="str">
        <x:v>Reference, Update</x:v>
      </x:c>
      <x:c r="G436" s="117" t="str">
        <x:v>No</x:v>
      </x:c>
      <x:c r="H436" s="117" t="str">
        <x:v>AutoLaunchedFlow</x:v>
      </x:c>
    </x:row>
    <x:row r="437" ht="30" customHeight="1">
      <x:c r="A437" s="117" t="str">
        <x:v>300Ro00000zKZzPIAW</x:v>
      </x:c>
      <x:c r="B437" s="117" t="str">
        <x:v>MC_Shipment_on_update_Ship_Date_Roll_Up</x:v>
      </x:c>
      <x:c r="C437" s="117" t="str">
        <x:v>Yes</x:v>
      </x:c>
      <x:c r="D437" s="119" t="str">
        <x:v>Active v1 (Retrieved XML)</x:v>
      </x:c>
      <x:c r="E437" s="117" t="str">
        <x:v>Loaner__c</x:v>
      </x:c>
      <x:c r="F437" s="119" t="str">
        <x:v>Reference, Update</x:v>
      </x:c>
      <x:c r="G437" s="117" t="str">
        <x:v>No</x:v>
      </x:c>
      <x:c r="H437" s="117" t="str">
        <x:v>AutoLaunchedFlow</x:v>
      </x:c>
    </x:row>
    <x:row r="438" ht="30" customHeight="1">
      <x:c r="A438" s="117" t="str">
        <x:v>300Ro000007doaXIAQ</x:v>
      </x:c>
      <x:c r="B438" s="117" t="str">
        <x:v>MC_Shipment_Rollups</x:v>
      </x:c>
      <x:c r="C438" s="117" t="str">
        <x:v>Yes</x:v>
      </x:c>
      <x:c r="D438" s="119" t="str">
        <x:v>Active v2 (Retrieved XML)</x:v>
      </x:c>
      <x:c r="E438" s="117" t="str">
        <x:v>Loaner__c</x:v>
      </x:c>
      <x:c r="F438" s="119" t="str">
        <x:v>Variable</x:v>
      </x:c>
      <x:c r="G438" s="117" t="str">
        <x:v>No</x:v>
      </x:c>
      <x:c r="H438" s="117" t="str">
        <x:v>AutoLaunchedFlow</x:v>
      </x:c>
    </x:row>
    <x:row r="439" ht="30" customHeight="1">
      <x:c r="A439" s="117" t="str">
        <x:v>300Ro00000zKj13IAC</x:v>
      </x:c>
      <x:c r="B439" s="117" t="str">
        <x:v>MCShipment_Before_Delete_Tracking_to_Loaner_Roll_Up</x:v>
      </x:c>
      <x:c r="C439" s="117" t="str">
        <x:v>Yes</x:v>
      </x:c>
      <x:c r="D439" s="119" t="str">
        <x:v>Active v1 (Retrieved XML)</x:v>
      </x:c>
      <x:c r="E439" s="117" t="str">
        <x:v>Loaner__c</x:v>
      </x:c>
      <x:c r="F439" s="119" t="str">
        <x:v>Reference, Update</x:v>
      </x:c>
      <x:c r="G439" s="117" t="str">
        <x:v>No</x:v>
      </x:c>
      <x:c r="H439" s="117" t="str">
        <x:v>AutoLaunchedFlow</x:v>
      </x:c>
    </x:row>
    <x:row r="440" ht="30" customHeight="1">
      <x:c r="A440" s="117" t="str">
        <x:v>300Ro00000zKj14IAC</x:v>
      </x:c>
      <x:c r="B440" s="117" t="str">
        <x:v>MCShipment_on_create_Tracking_to_Loaner_Roll_Up</x:v>
      </x:c>
      <x:c r="C440" s="117" t="str">
        <x:v>Yes</x:v>
      </x:c>
      <x:c r="D440" s="119" t="str">
        <x:v>Active v1 (Retrieved XML)</x:v>
      </x:c>
      <x:c r="E440" s="117" t="str">
        <x:v>Loaner__c</x:v>
      </x:c>
      <x:c r="F440" s="119" t="str">
        <x:v>Reference, Update</x:v>
      </x:c>
      <x:c r="G440" s="117" t="str">
        <x:v>No</x:v>
      </x:c>
      <x:c r="H440" s="117" t="str">
        <x:v>AutoLaunchedFlow</x:v>
      </x:c>
    </x:row>
    <x:row r="441" ht="30" customHeight="1">
      <x:c r="A441" s="117" t="str">
        <x:v>300Ro00000zKj15IAC</x:v>
      </x:c>
      <x:c r="B441" s="117" t="str">
        <x:v>MCShipment_on_update_Tracking_to_Loaner_Roll_Up</x:v>
      </x:c>
      <x:c r="C441" s="117" t="str">
        <x:v>Yes</x:v>
      </x:c>
      <x:c r="D441" s="119" t="str">
        <x:v>Active v1 (Retrieved XML)</x:v>
      </x:c>
      <x:c r="E441" s="117" t="str">
        <x:v>Loaner__c</x:v>
      </x:c>
      <x:c r="F441" s="119" t="str">
        <x:v>Reference, Update</x:v>
      </x:c>
      <x:c r="G441" s="117" t="str">
        <x:v>No</x:v>
      </x:c>
      <x:c r="H441" s="117" t="str">
        <x:v>AutoLaunchedFlow</x:v>
      </x:c>
    </x:row>
    <x:row r="442" ht="30" customHeight="1">
      <x:c r="A442" s="117" t="str">
        <x:v>300Ro00000vmC7nIAE</x:v>
      </x:c>
      <x:c r="B442" s="117" t="str">
        <x:v>On_Creation_of_Loaner_Set_Shipping_Account_to_Bill_Customer_Fedex_System</x:v>
      </x:c>
      <x:c r="C442" s="117" t="str">
        <x:v>Yes</x:v>
      </x:c>
      <x:c r="D442" s="119" t="str">
        <x:v>Active v1 (Retrieved XML)</x:v>
      </x:c>
      <x:c r="E442" s="117" t="str">
        <x:v>Loaner__c</x:v>
      </x:c>
      <x:c r="F442" s="119" t="str">
        <x:v>Reference, Trigger, Update</x:v>
      </x:c>
      <x:c r="G442" s="117" t="str">
        <x:v>Yes</x:v>
      </x:c>
      <x:c r="H442" s="117" t="str">
        <x:v>AutoLaunchedFlow</x:v>
      </x:c>
    </x:row>
    <x:row r="443" ht="30" customHeight="1">
      <x:c r="A443" s="117" t="str">
        <x:v>300Ro00000vm5FvIAI</x:v>
      </x:c>
      <x:c r="B443" s="117" t="str">
        <x:v>On_Setting_of_Repair_Opportunity_Set_Shipping_Account_to_Bill_Customer_Fedex_Sys</x:v>
      </x:c>
      <x:c r="C443" s="117" t="str">
        <x:v>Yes</x:v>
      </x:c>
      <x:c r="D443" s="119" t="str">
        <x:v>Active v1 (Retrieved XML)</x:v>
      </x:c>
      <x:c r="E443" s="117" t="str">
        <x:v>Loaner__c</x:v>
      </x:c>
      <x:c r="F443" s="119" t="str">
        <x:v>Reference, Trigger, Update</x:v>
      </x:c>
      <x:c r="G443" s="117" t="str">
        <x:v>Yes</x:v>
      </x:c>
      <x:c r="H443" s="117" t="str">
        <x:v>AutoLaunchedFlow</x:v>
      </x:c>
    </x:row>
    <x:row r="444" ht="30" customHeight="1">
      <x:c r="A444" s="117" t="str">
        <x:v>300Ro00000726mtIAA</x:v>
      </x:c>
      <x:c r="B444" s="117" t="str">
        <x:v>Probe_Loan_Calculation_Tool</x:v>
      </x:c>
      <x:c r="C444" s="117" t="str">
        <x:v>Yes</x:v>
      </x:c>
      <x:c r="D444" s="119" t="str">
        <x:v>Active v2 (Retrieved XML)</x:v>
      </x:c>
      <x:c r="E444" s="117" t="str">
        <x:v>Loaner__c</x:v>
      </x:c>
      <x:c r="F444" s="119" t="str">
        <x:v>Read, Reference</x:v>
      </x:c>
      <x:c r="G444" s="117" t="str">
        <x:v>No</x:v>
      </x:c>
      <x:c r="H444" s="117" t="str">
        <x:v>Flow</x:v>
      </x:c>
    </x:row>
    <x:row r="445" ht="30" customHeight="1">
      <x:c r="A445" s="117" t="str">
        <x:v>300Ro0000075fUlIAI</x:v>
      </x:c>
      <x:c r="B445" s="117" t="str">
        <x:v>Probe_Loan_ROI_Calculations_FLow</x:v>
      </x:c>
      <x:c r="C445" s="117" t="str">
        <x:v>Yes</x:v>
      </x:c>
      <x:c r="D445" s="119" t="str">
        <x:v>Active v6 (Retrieved XML)</x:v>
      </x:c>
      <x:c r="E445" s="117" t="str">
        <x:v>Loaner__c</x:v>
      </x:c>
      <x:c r="F445" s="119" t="str">
        <x:v>Read, Reference</x:v>
      </x:c>
      <x:c r="G445" s="117" t="str">
        <x:v>No</x:v>
      </x:c>
      <x:c r="H445" s="117" t="str">
        <x:v>AutoLaunchedFlow</x:v>
      </x:c>
    </x:row>
    <x:row r="446" ht="30" customHeight="1">
      <x:c r="A446" s="117" t="str">
        <x:v>300Ro00000zEWo5IAG</x:v>
      </x:c>
      <x:c r="B446" s="117" t="str">
        <x:v>ProductItem_Asynchronous_on_create_Loaner_Asset_Number_Roll_Up</x:v>
      </x:c>
      <x:c r="C446" s="117" t="str">
        <x:v>Yes</x:v>
      </x:c>
      <x:c r="D446" s="119" t="str">
        <x:v>Active v1 (Retrieved XML)</x:v>
      </x:c>
      <x:c r="E446" s="117" t="str">
        <x:v>Loaner__c</x:v>
      </x:c>
      <x:c r="F446" s="119" t="str">
        <x:v>Reference, Update</x:v>
      </x:c>
      <x:c r="G446" s="117" t="str">
        <x:v>No</x:v>
      </x:c>
      <x:c r="H446" s="117" t="str">
        <x:v>AutoLaunchedFlow</x:v>
      </x:c>
    </x:row>
    <x:row r="447" ht="30" customHeight="1">
      <x:c r="A447" s="117" t="str">
        <x:v>300Ro00000yYvjAIAS</x:v>
      </x:c>
      <x:c r="B447" s="117" t="str">
        <x:v>ProductItem_Asynchronous_on_create_Loaner_Location_Roll_Up</x:v>
      </x:c>
      <x:c r="C447" s="117" t="str">
        <x:v>Yes</x:v>
      </x:c>
      <x:c r="D447" s="119" t="str">
        <x:v>Active v2 (Retrieved XML)</x:v>
      </x:c>
      <x:c r="E447" s="117" t="str">
        <x:v>Loaner__c</x:v>
      </x:c>
      <x:c r="F447" s="119" t="str">
        <x:v>Reference, Update</x:v>
      </x:c>
      <x:c r="G447" s="117" t="str">
        <x:v>No</x:v>
      </x:c>
      <x:c r="H447" s="117" t="str">
        <x:v>AutoLaunchedFlow</x:v>
      </x:c>
    </x:row>
    <x:row r="448" ht="30" customHeight="1">
      <x:c r="A448" s="117" t="str">
        <x:v>300Ro00000ydLwWIAU</x:v>
      </x:c>
      <x:c r="B448" s="117" t="str">
        <x:v>ProductItem_Asynchronous_on_create_Loaner_Serial_Number_Roll_Up</x:v>
      </x:c>
      <x:c r="C448" s="117" t="str">
        <x:v>Yes</x:v>
      </x:c>
      <x:c r="D448" s="119" t="str">
        <x:v>Active v2 (Retrieved XML)</x:v>
      </x:c>
      <x:c r="E448" s="117" t="str">
        <x:v>Loaner__c</x:v>
      </x:c>
      <x:c r="F448" s="119" t="str">
        <x:v>Reference, Update</x:v>
      </x:c>
      <x:c r="G448" s="117" t="str">
        <x:v>No</x:v>
      </x:c>
      <x:c r="H448" s="117" t="str">
        <x:v>AutoLaunchedFlow</x:v>
      </x:c>
    </x:row>
    <x:row r="449" ht="30" customHeight="1">
      <x:c r="A449" s="117" t="str">
        <x:v>300Ro00000zEWo6IAG</x:v>
      </x:c>
      <x:c r="B449" s="117" t="str">
        <x:v>ProductItem_Asynchronous_on_update_Loaner_Asset_Number_Roll_Up</x:v>
      </x:c>
      <x:c r="C449" s="117" t="str">
        <x:v>Yes</x:v>
      </x:c>
      <x:c r="D449" s="119" t="str">
        <x:v>Active v1 (Retrieved XML)</x:v>
      </x:c>
      <x:c r="E449" s="117" t="str">
        <x:v>Loaner__c</x:v>
      </x:c>
      <x:c r="F449" s="119" t="str">
        <x:v>Reference, Update</x:v>
      </x:c>
      <x:c r="G449" s="117" t="str">
        <x:v>No</x:v>
      </x:c>
      <x:c r="H449" s="117" t="str">
        <x:v>AutoLaunchedFlow</x:v>
      </x:c>
    </x:row>
    <x:row r="450" ht="30" customHeight="1">
      <x:c r="A450" s="117" t="str">
        <x:v>300Ro00000yYvjBIAS</x:v>
      </x:c>
      <x:c r="B450" s="117" t="str">
        <x:v>ProductItem_Asynchronous_on_update_Loaner_Location_Roll_Up</x:v>
      </x:c>
      <x:c r="C450" s="117" t="str">
        <x:v>Yes</x:v>
      </x:c>
      <x:c r="D450" s="119" t="str">
        <x:v>Active v2 (Retrieved XML)</x:v>
      </x:c>
      <x:c r="E450" s="117" t="str">
        <x:v>Loaner__c</x:v>
      </x:c>
      <x:c r="F450" s="119" t="str">
        <x:v>Reference, Update</x:v>
      </x:c>
      <x:c r="G450" s="117" t="str">
        <x:v>No</x:v>
      </x:c>
      <x:c r="H450" s="117" t="str">
        <x:v>AutoLaunchedFlow</x:v>
      </x:c>
    </x:row>
    <x:row r="451" ht="30" customHeight="1">
      <x:c r="A451" s="117" t="str">
        <x:v>300Ro00000ydLwXIAU</x:v>
      </x:c>
      <x:c r="B451" s="117" t="str">
        <x:v>ProductItem_Asynchronous_on_update_Loaner_Serial_Number_Roll_Up</x:v>
      </x:c>
      <x:c r="C451" s="117" t="str">
        <x:v>Yes</x:v>
      </x:c>
      <x:c r="D451" s="119" t="str">
        <x:v>Active v2 (Retrieved XML)</x:v>
      </x:c>
      <x:c r="E451" s="117" t="str">
        <x:v>Loaner__c</x:v>
      </x:c>
      <x:c r="F451" s="119" t="str">
        <x:v>Reference, Update</x:v>
      </x:c>
      <x:c r="G451" s="117" t="str">
        <x:v>No</x:v>
      </x:c>
      <x:c r="H451" s="117" t="str">
        <x:v>AutoLaunchedFlow</x:v>
      </x:c>
    </x:row>
    <x:row r="452" ht="30" customHeight="1">
      <x:c r="A452" s="117" t="str">
        <x:v>300Ro00000zEWo7IAG</x:v>
      </x:c>
      <x:c r="B452" s="117" t="str">
        <x:v>ProductItem_Before_Delete_Loaner_Asset_Number_Roll_Up</x:v>
      </x:c>
      <x:c r="C452" s="117" t="str">
        <x:v>Yes</x:v>
      </x:c>
      <x:c r="D452" s="119" t="str">
        <x:v>Active v1 (Retrieved XML)</x:v>
      </x:c>
      <x:c r="E452" s="117" t="str">
        <x:v>Loaner__c</x:v>
      </x:c>
      <x:c r="F452" s="119" t="str">
        <x:v>Reference, Update</x:v>
      </x:c>
      <x:c r="G452" s="117" t="str">
        <x:v>No</x:v>
      </x:c>
      <x:c r="H452" s="117" t="str">
        <x:v>AutoLaunchedFlow</x:v>
      </x:c>
    </x:row>
    <x:row r="453" ht="30" customHeight="1">
      <x:c r="A453" s="117" t="str">
        <x:v>300Ro00000yYvjCIAS</x:v>
      </x:c>
      <x:c r="B453" s="117" t="str">
        <x:v>ProductItem_Before_Delete_Loaner_Location_Roll_Up</x:v>
      </x:c>
      <x:c r="C453" s="117" t="str">
        <x:v>Yes</x:v>
      </x:c>
      <x:c r="D453" s="119" t="str">
        <x:v>Active v2 (Retrieved XML)</x:v>
      </x:c>
      <x:c r="E453" s="117" t="str">
        <x:v>Loaner__c</x:v>
      </x:c>
      <x:c r="F453" s="119" t="str">
        <x:v>Reference, Update</x:v>
      </x:c>
      <x:c r="G453" s="117" t="str">
        <x:v>No</x:v>
      </x:c>
      <x:c r="H453" s="117" t="str">
        <x:v>AutoLaunchedFlow</x:v>
      </x:c>
    </x:row>
    <x:row r="454" ht="30" customHeight="1">
      <x:c r="A454" s="117" t="str">
        <x:v>300Ro00000ydLwYIAU</x:v>
      </x:c>
      <x:c r="B454" s="117" t="str">
        <x:v>ProductItem_Before_Delete_Loaner_Serial_Number_Roll_Up</x:v>
      </x:c>
      <x:c r="C454" s="117" t="str">
        <x:v>Yes</x:v>
      </x:c>
      <x:c r="D454" s="119" t="str">
        <x:v>Active v2 (Retrieved XML)</x:v>
      </x:c>
      <x:c r="E454" s="117" t="str">
        <x:v>Loaner__c</x:v>
      </x:c>
      <x:c r="F454" s="119" t="str">
        <x:v>Reference, Update</x:v>
      </x:c>
      <x:c r="G454" s="117" t="str">
        <x:v>No</x:v>
      </x:c>
      <x:c r="H454" s="117" t="str">
        <x:v>AutoLaunchedFlow</x:v>
      </x:c>
    </x:row>
    <x:row r="455" ht="30" customHeight="1">
      <x:c r="A455" s="117" t="str">
        <x:v>3004O000000TiZ0QAK</x:v>
      </x:c>
      <x:c r="B455" s="117" t="str">
        <x:v>Set_Ship_Date_from_Shipment_Record</x:v>
      </x:c>
      <x:c r="C455" s="117" t="str">
        <x:v>Yes</x:v>
      </x:c>
      <x:c r="D455" s="119" t="str">
        <x:v>Active v9 (Tooling metadata)</x:v>
      </x:c>
      <x:c r="E455" s="117" t="str">
        <x:v>Loaner__c</x:v>
      </x:c>
      <x:c r="F455" s="119" t="str">
        <x:v>Reference, Update</x:v>
      </x:c>
      <x:c r="G455" s="117" t="str">
        <x:v>No</x:v>
      </x:c>
      <x:c r="H455" s="117" t="str">
        <x:v>Workflow</x:v>
      </x:c>
    </x:row>
    <x:row r="456" ht="30" customHeight="1">
      <x:c r="A456" s="117" t="str">
        <x:v>3004O0000000a8mQAA</x:v>
      </x:c>
      <x:c r="B456" s="117" t="str">
        <x:v>Update_Loaner_Asset_Location_when_Shipped</x:v>
      </x:c>
      <x:c r="C456" s="117" t="str">
        <x:v>No</x:v>
      </x:c>
      <x:c r="D456" s="119" t="str">
        <x:v>Latest inactive v1 (Retrieved XML)</x:v>
      </x:c>
      <x:c r="E456" s="117" t="str">
        <x:v>Loaner__c</x:v>
      </x:c>
      <x:c r="F456" s="119" t="str">
        <x:v>Variable</x:v>
      </x:c>
      <x:c r="G456" s="117" t="str">
        <x:v>No</x:v>
      </x:c>
      <x:c r="H456" s="117" t="str">
        <x:v>Workflow</x:v>
      </x:c>
    </x:row>
    <x:row r="457" ht="30" customHeight="1">
      <x:c r="A457" s="117" t="str">
        <x:v>300Ro00000td6tuIAA</x:v>
      </x:c>
      <x:c r="B457" s="117" t="str">
        <x:v>US_FSL_On_Creation_of_Loaner_add_Loaner_to_Work_Order</x:v>
      </x:c>
      <x:c r="C457" s="117" t="str">
        <x:v>Yes</x:v>
      </x:c>
      <x:c r="D457" s="119" t="str">
        <x:v>Active v1 (Retrieved XML)</x:v>
      </x:c>
      <x:c r="E457" s="117" t="str">
        <x:v>Loaner__c</x:v>
      </x:c>
      <x:c r="F457" s="119" t="str">
        <x:v>Reference, Trigger, Update</x:v>
      </x:c>
      <x:c r="G457" s="117" t="str">
        <x:v>Yes</x:v>
      </x:c>
      <x:c r="H457" s="117" t="str">
        <x:v>AutoLaunchedFlow</x:v>
      </x:c>
    </x:row>
    <x:row r="458" ht="30" customHeight="1">
      <x:c r="A458" s="117" t="str">
        <x:v>300Ro00000mouhpIAA</x:v>
      </x:c>
      <x:c r="B458" s="117" t="str">
        <x:v>FSL_Action_Quick_Quote_2</x:v>
      </x:c>
      <x:c r="C458" s="117" t="str">
        <x:v>Yes</x:v>
      </x:c>
      <x:c r="D458" s="119" t="str">
        <x:v>Active v54 (Retrieved XML)</x:v>
      </x:c>
      <x:c r="E458" s="117" t="str">
        <x:v>Location</x:v>
      </x:c>
      <x:c r="F458" s="119" t="str">
        <x:v>Read, Reference, Variable</x:v>
      </x:c>
      <x:c r="G458" s="117" t="str">
        <x:v>No</x:v>
      </x:c>
      <x:c r="H458" s="117" t="str">
        <x:v>FieldServiceMobile</x:v>
      </x:c>
    </x:row>
    <x:row r="459" ht="30" customHeight="1">
      <x:c r="A459" s="117" t="str">
        <x:v>300Ro00000cnT4cIAE</x:v>
      </x:c>
      <x:c r="B459" s="117" t="str">
        <x:v>FSL_Screen_Request_Parts_on_WO</x:v>
      </x:c>
      <x:c r="C459" s="117" t="str">
        <x:v>Yes</x:v>
      </x:c>
      <x:c r="D459" s="119" t="str">
        <x:v>Active v137 (Retrieved XML)</x:v>
      </x:c>
      <x:c r="E459" s="117" t="str">
        <x:v>Location</x:v>
      </x:c>
      <x:c r="F459" s="119" t="str">
        <x:v>Read, Reference, Variable</x:v>
      </x:c>
      <x:c r="G459" s="117" t="str">
        <x:v>No</x:v>
      </x:c>
      <x:c r="H459" s="117" t="str">
        <x:v>FieldServiceMobile</x:v>
      </x:c>
    </x:row>
    <x:row r="460" ht="30" customHeight="1">
      <x:c r="A460" s="117" t="str">
        <x:v>300Ro00000ZiY6fIAF</x:v>
      </x:c>
      <x:c r="B460" s="117" t="str">
        <x:v>Record_Triggered_Location_After_Create_After_Update_Inactive_Changed</x:v>
      </x:c>
      <x:c r="C460" s="117" t="str">
        <x:v>Yes</x:v>
      </x:c>
      <x:c r="D460" s="119" t="str">
        <x:v>Active v1 (Retrieved XML)</x:v>
      </x:c>
      <x:c r="E460" s="117" t="str">
        <x:v>Location</x:v>
      </x:c>
      <x:c r="F460" s="119" t="str">
        <x:v>Reference, Trigger, Update</x:v>
      </x:c>
      <x:c r="G460" s="117" t="str">
        <x:v>Yes</x:v>
      </x:c>
      <x:c r="H460" s="117" t="str">
        <x:v>AutoLaunchedFlow</x:v>
      </x:c>
    </x:row>
    <x:row r="461" ht="30" customHeight="1">
      <x:c r="A461" s="117" t="str">
        <x:v>300Ro00000XmLK7IAN</x:v>
      </x:c>
      <x:c r="B461" s="117" t="str">
        <x:v>Screen_Flow_Convert_TSLJ_to_Location_Address</x:v>
      </x:c>
      <x:c r="C461" s="117" t="str">
        <x:v>Yes</x:v>
      </x:c>
      <x:c r="D461" s="119" t="str">
        <x:v>Active v2 (Retrieved XML)</x:v>
      </x:c>
      <x:c r="E461" s="117" t="str">
        <x:v>Location</x:v>
      </x:c>
      <x:c r="F461" s="119" t="str">
        <x:v>Create, Read, Reference</x:v>
      </x:c>
      <x:c r="G461" s="117" t="str">
        <x:v>No</x:v>
      </x:c>
      <x:c r="H461" s="117" t="str">
        <x:v>Flow</x:v>
      </x:c>
    </x:row>
    <x:row r="462" ht="30" customHeight="1">
      <x:c r="A462" s="117" t="str">
        <x:v>300Ro00000vEXZZIA4</x:v>
      </x:c>
      <x:c r="B462" s="117" t="str">
        <x:v>FSL_Field_Service_Mobile_Flow_Nuclear_Medicine_Checklist</x:v>
      </x:c>
      <x:c r="C462" s="117" t="str">
        <x:v>No</x:v>
      </x:c>
      <x:c r="D462" s="119" t="str">
        <x:v>Latest inactive v2 (Retrieved XML)</x:v>
      </x:c>
      <x:c r="E462" s="117" t="str">
        <x:v>Maintenance_Item__c</x:v>
      </x:c>
      <x:c r="F462" s="119" t="str">
        <x:v>Create, Reference, Update, Variable</x:v>
      </x:c>
      <x:c r="G462" s="117" t="str">
        <x:v>No</x:v>
      </x:c>
      <x:c r="H462" s="117" t="str">
        <x:v>FieldServiceMobile</x:v>
      </x:c>
    </x:row>
    <x:row r="463" ht="30" customHeight="1">
      <x:c r="A463" s="117" t="str">
        <x:v>300Ro00000pEARxIAO</x:v>
      </x:c>
      <x:c r="B463" s="117" t="str">
        <x:v>FSL_Formatted_HTML_Service_Report_Update</x:v>
      </x:c>
      <x:c r="C463" s="117" t="str">
        <x:v>Yes</x:v>
      </x:c>
      <x:c r="D463" s="119" t="str">
        <x:v>Active v35 (Retrieved XML)</x:v>
      </x:c>
      <x:c r="E463" s="117" t="str">
        <x:v>Maintenance_Item__c</x:v>
      </x:c>
      <x:c r="F463" s="119" t="str">
        <x:v>Read, Reference</x:v>
      </x:c>
      <x:c r="G463" s="117" t="str">
        <x:v>No</x:v>
      </x:c>
      <x:c r="H463" s="117" t="str">
        <x:v>AutoLaunchedFlow</x:v>
      </x:c>
    </x:row>
    <x:row r="464" ht="30" customHeight="1">
      <x:c r="A464" s="117" t="str">
        <x:v>300Ro00000r7jgEIAQ</x:v>
      </x:c>
      <x:c r="B464" s="117" t="str">
        <x:v>US_FSL_Trigger_Generate_Checksheet_HTML</x:v>
      </x:c>
      <x:c r="C464" s="117" t="str">
        <x:v>Yes</x:v>
      </x:c>
      <x:c r="D464" s="119" t="str">
        <x:v>Active v9 (Retrieved XML)</x:v>
      </x:c>
      <x:c r="E464" s="117" t="str">
        <x:v>Maintenance_Item__c</x:v>
      </x:c>
      <x:c r="F464" s="119" t="str">
        <x:v>Read, Reference</x:v>
      </x:c>
      <x:c r="G464" s="117" t="str">
        <x:v>No</x:v>
      </x:c>
      <x:c r="H464" s="117" t="str">
        <x:v>AutoLaunchedFlow</x:v>
      </x:c>
    </x:row>
    <x:row r="465" ht="30" customHeight="1">
      <x:c r="A465" s="117" t="str">
        <x:v>300Ro00000uYiHvIAK</x:v>
      </x:c>
      <x:c r="B465" s="117" t="str">
        <x:v>US_FSL_Trophon_Checklist</x:v>
      </x:c>
      <x:c r="C465" s="117" t="str">
        <x:v>Yes</x:v>
      </x:c>
      <x:c r="D465" s="119" t="str">
        <x:v>Active v8 (Retrieved XML)</x:v>
      </x:c>
      <x:c r="E465" s="117" t="str">
        <x:v>Maintenance_Item__c</x:v>
      </x:c>
      <x:c r="F465" s="119" t="str">
        <x:v>Read, Reference, Variable</x:v>
      </x:c>
      <x:c r="G465" s="117" t="str">
        <x:v>No</x:v>
      </x:c>
      <x:c r="H465" s="117" t="str">
        <x:v>FieldServiceMobile</x:v>
      </x:c>
    </x:row>
    <x:row r="466" ht="30" customHeight="1">
      <x:c r="A466" s="117" t="str">
        <x:v>300Ro00000noVpCIAU</x:v>
      </x:c>
      <x:c r="B466" s="117" t="str">
        <x:v>US_FSL_Ultrasound_Checklist</x:v>
      </x:c>
      <x:c r="C466" s="117" t="str">
        <x:v>Yes</x:v>
      </x:c>
      <x:c r="D466" s="119" t="str">
        <x:v>Active v78 (Retrieved XML)</x:v>
      </x:c>
      <x:c r="E466" s="117" t="str">
        <x:v>Maintenance_Item__c</x:v>
      </x:c>
      <x:c r="F466" s="119" t="str">
        <x:v>Read, Reference, Variable</x:v>
      </x:c>
      <x:c r="G466" s="117" t="str">
        <x:v>No</x:v>
      </x:c>
      <x:c r="H466" s="117" t="str">
        <x:v>FieldServiceMobile</x:v>
      </x:c>
    </x:row>
    <x:row r="467" ht="30" customHeight="1">
      <x:c r="A467" s="117" t="str">
        <x:v>300Ro000007doaTIAQ</x:v>
      </x:c>
      <x:c r="B467" s="117" t="str">
        <x:v>Commission_Rollups</x:v>
      </x:c>
      <x:c r="C467" s="117" t="str">
        <x:v>Yes</x:v>
      </x:c>
      <x:c r="D467" s="119" t="str">
        <x:v>Active v2 (Retrieved XML)</x:v>
      </x:c>
      <x:c r="E467" s="117" t="str">
        <x:v>Master_Draw__c</x:v>
      </x:c>
      <x:c r="F467" s="119" t="str">
        <x:v>Variable</x:v>
      </x:c>
      <x:c r="G467" s="117" t="str">
        <x:v>No</x:v>
      </x:c>
      <x:c r="H467" s="117" t="str">
        <x:v>AutoLaunchedFlow</x:v>
      </x:c>
    </x:row>
    <x:row r="468" ht="30" customHeight="1">
      <x:c r="A468" s="117" t="str">
        <x:v>3004O000000LOsAQAW</x:v>
      </x:c>
      <x:c r="B468" s="117" t="str">
        <x:v>Create_Commission</x:v>
      </x:c>
      <x:c r="C468" s="117" t="str">
        <x:v>Yes</x:v>
      </x:c>
      <x:c r="D468" s="119" t="str">
        <x:v>Active v2 (Retrieved XML)</x:v>
      </x:c>
      <x:c r="E468" s="117" t="str">
        <x:v>Master_Draw__c</x:v>
      </x:c>
      <x:c r="F468" s="119" t="str">
        <x:v>Read, Reference</x:v>
      </x:c>
      <x:c r="G468" s="117" t="str">
        <x:v>No</x:v>
      </x:c>
      <x:c r="H468" s="117" t="str">
        <x:v>AutoLaunchedFlow</x:v>
      </x:c>
    </x:row>
    <x:row r="469" ht="30" customHeight="1">
      <x:c r="A469" s="117" t="str">
        <x:v>3004O000000LOsBQAW</x:v>
      </x:c>
      <x:c r="B469" s="117" t="str">
        <x:v>Create_Master_Draws</x:v>
      </x:c>
      <x:c r="C469" s="117" t="str">
        <x:v>Yes</x:v>
      </x:c>
      <x:c r="D469" s="119" t="str">
        <x:v>Active v2 (Retrieved XML)</x:v>
      </x:c>
      <x:c r="E469" s="117" t="str">
        <x:v>Master_Draw__c</x:v>
      </x:c>
      <x:c r="F469" s="119" t="str">
        <x:v>Create, Read, Reference</x:v>
      </x:c>
      <x:c r="G469" s="117" t="str">
        <x:v>No</x:v>
      </x:c>
      <x:c r="H469" s="117" t="str">
        <x:v>AutoLaunchedFlow</x:v>
      </x:c>
    </x:row>
    <x:row r="470" ht="30" customHeight="1">
      <x:c r="A470" s="117" t="str">
        <x:v>3005b000000PywrAAC</x:v>
      </x:c>
      <x:c r="B470" s="117" t="str">
        <x:v>Big_Iron_Stock_Received_Notification</x:v>
      </x:c>
      <x:c r="C470" s="117" t="str">
        <x:v>No</x:v>
      </x:c>
      <x:c r="D470" s="119" t="str">
        <x:v>Latest inactive v11 (Retrieved XML)</x:v>
      </x:c>
      <x:c r="E470" s="117" t="str">
        <x:v>Move_Location__c</x:v>
      </x:c>
      <x:c r="F470" s="119" t="str">
        <x:v>Reference, Trigger</x:v>
      </x:c>
      <x:c r="G470" s="117" t="str">
        <x:v>Yes</x:v>
      </x:c>
      <x:c r="H470" s="117" t="str">
        <x:v>AutoLaunchedFlow</x:v>
      </x:c>
    </x:row>
    <x:row r="471" ht="30" customHeight="1">
      <x:c r="A471" s="117" t="str">
        <x:v>300Ro00000qm9iRIAQ</x:v>
      </x:c>
      <x:c r="B471" s="117" t="str">
        <x:v>Mass_Move_Location_Screen_Flow</x:v>
      </x:c>
      <x:c r="C471" s="117" t="str">
        <x:v>Yes</x:v>
      </x:c>
      <x:c r="D471" s="119" t="str">
        <x:v>Active v5 (Retrieved XML)</x:v>
      </x:c>
      <x:c r="E471" s="117" t="str">
        <x:v>Move_Location__c</x:v>
      </x:c>
      <x:c r="F471" s="119" t="str">
        <x:v>Read, Reference, Variable</x:v>
      </x:c>
      <x:c r="G471" s="117" t="str">
        <x:v>No</x:v>
      </x:c>
      <x:c r="H471" s="117" t="str">
        <x:v>Flow</x:v>
      </x:c>
    </x:row>
    <x:row r="472" ht="30" customHeight="1">
      <x:c r="A472" s="117" t="str">
        <x:v>3005b000000H42QAAS</x:v>
      </x:c>
      <x:c r="B472" s="117" t="str">
        <x:v>New_Move_Location_Screen_Flow</x:v>
      </x:c>
      <x:c r="C472" s="117" t="str">
        <x:v>Yes</x:v>
      </x:c>
      <x:c r="D472" s="119" t="str">
        <x:v>Active v38 (Retrieved XML)</x:v>
      </x:c>
      <x:c r="E472" s="117" t="str">
        <x:v>Move_Location__c</x:v>
      </x:c>
      <x:c r="F472" s="119" t="str">
        <x:v>Variable</x:v>
      </x:c>
      <x:c r="G472" s="117" t="str">
        <x:v>No</x:v>
      </x:c>
      <x:c r="H472" s="117" t="str">
        <x:v>Flow</x:v>
      </x:c>
    </x:row>
    <x:row r="473" ht="30" customHeight="1">
      <x:c r="A473" s="117" t="str">
        <x:v>300Ro00000qqKG6IAM</x:v>
      </x:c>
      <x:c r="B473" s="117" t="str">
        <x:v>Opportunity_Asset_Mass_Move_Location_Screen_Flow</x:v>
      </x:c>
      <x:c r="C473" s="117" t="str">
        <x:v>No</x:v>
      </x:c>
      <x:c r="D473" s="119" t="str">
        <x:v>Latest inactive v2 (Retrieved XML)</x:v>
      </x:c>
      <x:c r="E473" s="117" t="str">
        <x:v>Move_Location__c</x:v>
      </x:c>
      <x:c r="F473" s="119" t="str">
        <x:v>Variable</x:v>
      </x:c>
      <x:c r="G473" s="117" t="str">
        <x:v>No</x:v>
      </x:c>
      <x:c r="H473" s="117" t="str">
        <x:v>Flow</x:v>
      </x:c>
    </x:row>
    <x:row r="474" ht="30" customHeight="1">
      <x:c r="A474" s="117" t="str">
        <x:v>3005b000000LHYwAAO</x:v>
      </x:c>
      <x:c r="B474" s="117" t="str">
        <x:v>Original_Time_Warranty_Loaner_Action_Approved_Update</x:v>
      </x:c>
      <x:c r="C474" s="117" t="str">
        <x:v>Yes</x:v>
      </x:c>
      <x:c r="D474" s="119" t="str">
        <x:v>Active v13 (Retrieved XML)</x:v>
      </x:c>
      <x:c r="E474" s="117" t="str">
        <x:v>Non_Conforming_Record__c</x:v>
      </x:c>
      <x:c r="F474" s="119" t="str">
        <x:v>Create, Reference</x:v>
      </x:c>
      <x:c r="G474" s="117" t="str">
        <x:v>No</x:v>
      </x:c>
      <x:c r="H474" s="117" t="str">
        <x:v>AutoLaunchedFlow</x:v>
      </x:c>
    </x:row>
    <x:row r="475" ht="30" customHeight="1">
      <x:c r="A475" s="117" t="str">
        <x:v>300Ro00000B1rQaIAJ</x:v>
      </x:c>
      <x:c r="B475" s="117" t="str">
        <x:v>Absorb_External_Repair_Screen_Flow</x:v>
      </x:c>
      <x:c r="C475" s="117" t="str">
        <x:v>Yes</x:v>
      </x:c>
      <x:c r="D475" s="119" t="str">
        <x:v>Active v11 (Retrieved XML)</x:v>
      </x:c>
      <x:c r="E475" s="117" t="str">
        <x:v>Opportunity</x:v>
      </x:c>
      <x:c r="F475" s="119" t="str">
        <x:v>Read, Reference, Update</x:v>
      </x:c>
      <x:c r="G475" s="117" t="str">
        <x:v>No</x:v>
      </x:c>
      <x:c r="H475" s="117" t="str">
        <x:v>Flow</x:v>
      </x:c>
    </x:row>
    <x:row r="476" ht="30" customHeight="1">
      <x:c r="A476" s="117" t="str">
        <x:v>300Ro000007gsMaIAI</x:v>
      </x:c>
      <x:c r="B476" s="117" t="str">
        <x:v>AccountFieldUpdateFlow</x:v>
      </x:c>
      <x:c r="C476" s="117" t="str">
        <x:v>Yes</x:v>
      </x:c>
      <x:c r="D476" s="119" t="str">
        <x:v>Active v7 (Retrieved XML)</x:v>
      </x:c>
      <x:c r="E476" s="117" t="str">
        <x:v>Opportunity</x:v>
      </x:c>
      <x:c r="F476" s="119" t="str">
        <x:v>Read, Reference</x:v>
      </x:c>
      <x:c r="G476" s="117" t="str">
        <x:v>No</x:v>
      </x:c>
      <x:c r="H476" s="117" t="str">
        <x:v>AutoLaunchedFlow</x:v>
      </x:c>
    </x:row>
    <x:row r="477" ht="30" customHeight="1">
      <x:c r="A477" s="117" t="str">
        <x:v>300Ro00000LmhD9IAJ</x:v>
      </x:c>
      <x:c r="B477" s="117" t="str">
        <x:v>Alert_AR_for_Opp_Ready_to_Bill</x:v>
      </x:c>
      <x:c r="C477" s="117" t="str">
        <x:v>Yes</x:v>
      </x:c>
      <x:c r="D477" s="119" t="str">
        <x:v>Active v10 (Tooling metadata)</x:v>
      </x:c>
      <x:c r="E477" s="117" t="str">
        <x:v>Opportunity</x:v>
      </x:c>
      <x:c r="F477" s="119" t="str">
        <x:v>Reference, Trigger</x:v>
      </x:c>
      <x:c r="G477" s="117" t="str">
        <x:v>Yes</x:v>
      </x:c>
      <x:c r="H477" s="117" t="str">
        <x:v>AutoLaunchedFlow</x:v>
      </x:c>
    </x:row>
    <x:row r="478" ht="30" customHeight="1">
      <x:c r="A478" s="117" t="str">
        <x:v>3005b00000113hFAAQ</x:v>
      </x:c>
      <x:c r="B478" s="117" t="str">
        <x:v>Approved_CM_Memo_Alert_Task_Email_Send</x:v>
      </x:c>
      <x:c r="C478" s="117" t="str">
        <x:v>Yes</x:v>
      </x:c>
      <x:c r="D478" s="119" t="str">
        <x:v>Active v2 (Retrieved XML)</x:v>
      </x:c>
      <x:c r="E478" s="117" t="str">
        <x:v>Opportunity</x:v>
      </x:c>
      <x:c r="F478" s="119" t="str">
        <x:v>Read, Reference</x:v>
      </x:c>
      <x:c r="G478" s="117" t="str">
        <x:v>No</x:v>
      </x:c>
      <x:c r="H478" s="117" t="str">
        <x:v>AutoLaunchedFlow</x:v>
      </x:c>
    </x:row>
    <x:row r="479" ht="30" customHeight="1">
      <x:c r="A479" s="117" t="str">
        <x:v>300Ro00000AQyqpIAD</x:v>
      </x:c>
      <x:c r="B479" s="117" t="str">
        <x:v>Approved_Repair_Update_Opportunity_Stage</x:v>
      </x:c>
      <x:c r="C479" s="117" t="str">
        <x:v>No</x:v>
      </x:c>
      <x:c r="D479" s="119" t="str">
        <x:v>Latest inactive v2 (Retrieved XML)</x:v>
      </x:c>
      <x:c r="E479" s="117" t="str">
        <x:v>Opportunity</x:v>
      </x:c>
      <x:c r="F479" s="119" t="str">
        <x:v>Reference, Update</x:v>
      </x:c>
      <x:c r="G479" s="117" t="str">
        <x:v>No</x:v>
      </x:c>
      <x:c r="H479" s="117" t="str">
        <x:v>AutoLaunchedFlow</x:v>
      </x:c>
    </x:row>
    <x:row r="480" ht="30" customHeight="1">
      <x:c r="A480" s="117" t="str">
        <x:v>3005b000000H3WAAA0</x:v>
      </x:c>
      <x:c r="B480" s="117" t="str">
        <x:v>Auto_Close_Opps</x:v>
      </x:c>
      <x:c r="C480" s="117" t="str">
        <x:v>Yes</x:v>
      </x:c>
      <x:c r="D480" s="119" t="str">
        <x:v>Active v1 (Retrieved XML)</x:v>
      </x:c>
      <x:c r="E480" s="117" t="str">
        <x:v>Opportunity</x:v>
      </x:c>
      <x:c r="F480" s="119" t="str">
        <x:v>Reference, Trigger, Update</x:v>
      </x:c>
      <x:c r="G480" s="117" t="str">
        <x:v>Yes</x:v>
      </x:c>
      <x:c r="H480" s="117" t="str">
        <x:v>AutoLaunchedFlow</x:v>
      </x:c>
    </x:row>
    <x:row r="481" ht="30" customHeight="1">
      <x:c r="A481" s="117" t="str">
        <x:v>300Ro00000UU24mIAD</x:v>
      </x:c>
      <x:c r="B481" s="117" t="str">
        <x:v>Auto_Create_Post_Repair_Eval_on_Opp</x:v>
      </x:c>
      <x:c r="C481" s="117" t="str">
        <x:v>Yes</x:v>
      </x:c>
      <x:c r="D481" s="119" t="str">
        <x:v>Active v1 (Retrieved XML)</x:v>
      </x:c>
      <x:c r="E481" s="117" t="str">
        <x:v>Opportunity</x:v>
      </x:c>
      <x:c r="F481" s="119" t="str">
        <x:v>Reference, Trigger</x:v>
      </x:c>
      <x:c r="G481" s="117" t="str">
        <x:v>Yes</x:v>
      </x:c>
      <x:c r="H481" s="117" t="str">
        <x:v>AutoLaunchedFlow</x:v>
      </x:c>
    </x:row>
    <x:row r="482" ht="30" customHeight="1">
      <x:c r="A482" s="117" t="str">
        <x:v>3005b000000H497AAC</x:v>
      </x:c>
      <x:c r="B482" s="117" t="str">
        <x:v>Auto_Create_Return_Opportunity_for_Exchange_Purchasing_Ops</x:v>
      </x:c>
      <x:c r="C482" s="117" t="str">
        <x:v>Yes</x:v>
      </x:c>
      <x:c r="D482" s="119" t="str">
        <x:v>Active v13 (Retrieved XML)</x:v>
      </x:c>
      <x:c r="E482" s="117" t="str">
        <x:v>Opportunity</x:v>
      </x:c>
      <x:c r="F482" s="119" t="str">
        <x:v>Create, Read, Reference, Trigger, Update</x:v>
      </x:c>
      <x:c r="G482" s="117" t="str">
        <x:v>Yes</x:v>
      </x:c>
      <x:c r="H482" s="117" t="str">
        <x:v>AutoLaunchedFlow</x:v>
      </x:c>
    </x:row>
    <x:row r="483" ht="30" customHeight="1">
      <x:c r="A483" s="117" t="str">
        <x:v>3004O000000LOrsQAG</x:v>
      </x:c>
      <x:c r="B483" s="117" t="str">
        <x:v>AvaTax_Opportunity_Automatic_Tax_Calculation</x:v>
      </x:c>
      <x:c r="C483" s="117" t="str">
        <x:v>No</x:v>
      </x:c>
      <x:c r="D483" s="119" t="str">
        <x:v>Latest inactive v8 (Tooling metadata)</x:v>
      </x:c>
      <x:c r="E483" s="117" t="str">
        <x:v>Opportunity</x:v>
      </x:c>
      <x:c r="F483" s="119" t="str">
        <x:v>Reference, Update, Variable</x:v>
      </x:c>
      <x:c r="G483" s="117" t="str">
        <x:v>No</x:v>
      </x:c>
      <x:c r="H483" s="117" t="str">
        <x:v>Workflow</x:v>
      </x:c>
    </x:row>
    <x:row r="484" ht="30" customHeight="1">
      <x:c r="A484" s="117" t="str">
        <x:v>300Ro000007Dq0AIAS</x:v>
      </x:c>
      <x:c r="B484" s="117" t="str">
        <x:v>AvaTax_Opportunity_Automatic_Tax_Calculation_Flow</x:v>
      </x:c>
      <x:c r="C484" s="117" t="str">
        <x:v>Yes</x:v>
      </x:c>
      <x:c r="D484" s="119" t="str">
        <x:v>Active v6 (Tooling metadata)</x:v>
      </x:c>
      <x:c r="E484" s="117" t="str">
        <x:v>Opportunity</x:v>
      </x:c>
      <x:c r="F484" s="119" t="str">
        <x:v>Reference, Trigger, Update</x:v>
      </x:c>
      <x:c r="G484" s="117" t="str">
        <x:v>Yes</x:v>
      </x:c>
      <x:c r="H484" s="117" t="str">
        <x:v>AutoLaunchedFlow</x:v>
      </x:c>
    </x:row>
    <x:row r="485" ht="30" customHeight="1">
      <x:c r="A485" s="117" t="str">
        <x:v>3004O000000LOrtQAG</x:v>
      </x:c>
      <x:c r="B485" s="117" t="str">
        <x:v>AvaTax_Opportunity_Existing_Update_Entity_Code_IOR</x:v>
      </x:c>
      <x:c r="C485" s="117" t="str">
        <x:v>No</x:v>
      </x:c>
      <x:c r="D485" s="119" t="str">
        <x:v>Latest inactive v4 (Tooling metadata)</x:v>
      </x:c>
      <x:c r="E485" s="117" t="str">
        <x:v>Opportunity</x:v>
      </x:c>
      <x:c r="F485" s="119" t="str">
        <x:v>Reference, Update, Variable</x:v>
      </x:c>
      <x:c r="G485" s="117" t="str">
        <x:v>No</x:v>
      </x:c>
      <x:c r="H485" s="117" t="str">
        <x:v>Workflow</x:v>
      </x:c>
    </x:row>
    <x:row r="486" ht="30" customHeight="1">
      <x:c r="A486" s="117" t="str">
        <x:v>300Ro000007DpzzIAC</x:v>
      </x:c>
      <x:c r="B486" s="117" t="str">
        <x:v>AvaTax_Opportunity_Existing_Update_Entity_Use_Code_IOR_Transport</x:v>
      </x:c>
      <x:c r="C486" s="117" t="str">
        <x:v>Yes</x:v>
      </x:c>
      <x:c r="D486" s="119" t="str">
        <x:v>Active v3 (Tooling metadata)</x:v>
      </x:c>
      <x:c r="E486" s="117" t="str">
        <x:v>Opportunity</x:v>
      </x:c>
      <x:c r="F486" s="119" t="str">
        <x:v>Reference, Trigger, Update</x:v>
      </x:c>
      <x:c r="G486" s="117" t="str">
        <x:v>Yes</x:v>
      </x:c>
      <x:c r="H486" s="117" t="str">
        <x:v>AutoLaunchedFlow</x:v>
      </x:c>
    </x:row>
    <x:row r="487" ht="30" customHeight="1">
      <x:c r="A487" s="117" t="str">
        <x:v>3004O000000LOruQAG</x:v>
      </x:c>
      <x:c r="B487" s="117" t="str">
        <x:v>AvaTax_Opportunity_New_Update_Entity_Code_IOR</x:v>
      </x:c>
      <x:c r="C487" s="117" t="str">
        <x:v>No</x:v>
      </x:c>
      <x:c r="D487" s="119" t="str">
        <x:v>Latest inactive v6 (Tooling metadata)</x:v>
      </x:c>
      <x:c r="E487" s="117" t="str">
        <x:v>Opportunity</x:v>
      </x:c>
      <x:c r="F487" s="119" t="str">
        <x:v>Reference, Update, Variable</x:v>
      </x:c>
      <x:c r="G487" s="117" t="str">
        <x:v>No</x:v>
      </x:c>
      <x:c r="H487" s="117" t="str">
        <x:v>Workflow</x:v>
      </x:c>
    </x:row>
    <x:row r="488" ht="30" customHeight="1">
      <x:c r="A488" s="117" t="str">
        <x:v>300Ro0000124QGrIAM</x:v>
      </x:c>
      <x:c r="B488" s="117" t="str">
        <x:v>AvaTax_Opportunity_New_Update_Entity_Code_IOR_Transport</x:v>
      </x:c>
      <x:c r="C488" s="117" t="str">
        <x:v>Yes</x:v>
      </x:c>
      <x:c r="D488" s="119" t="str">
        <x:v>Active v1 (Tooling metadata)</x:v>
      </x:c>
      <x:c r="E488" s="117" t="str">
        <x:v>Opportunity</x:v>
      </x:c>
      <x:c r="F488" s="119" t="str">
        <x:v>Reference, Trigger, Update</x:v>
      </x:c>
      <x:c r="G488" s="117" t="str">
        <x:v>Yes</x:v>
      </x:c>
      <x:c r="H488" s="117" t="str">
        <x:v>AutoLaunchedFlow</x:v>
      </x:c>
    </x:row>
    <x:row r="489" ht="30" customHeight="1">
      <x:c r="A489" s="117" t="str">
        <x:v>300Ro000007Dq00IAC</x:v>
      </x:c>
      <x:c r="B489" s="117" t="str">
        <x:v>AvaTax_Opportunity_New_Update_Entity_Code_IOR_Transport</x:v>
      </x:c>
      <x:c r="C489" s="117" t="str">
        <x:v>No</x:v>
      </x:c>
      <x:c r="D489" s="119" t="str">
        <x:v>Latest inactive v4 (Tooling metadata)</x:v>
      </x:c>
      <x:c r="E489" s="117" t="str">
        <x:v>Opportunity</x:v>
      </x:c>
      <x:c r="F489" s="119" t="str">
        <x:v>Reference, Trigger, Update</x:v>
      </x:c>
      <x:c r="G489" s="117" t="str">
        <x:v>Yes</x:v>
      </x:c>
      <x:c r="H489" s="117" t="str">
        <x:v>AutoLaunchedFlow</x:v>
      </x:c>
    </x:row>
    <x:row r="490" ht="30" customHeight="1">
      <x:c r="A490" s="117" t="str">
        <x:v>3004O000000LOrwQAG</x:v>
      </x:c>
      <x:c r="B490" s="117" t="str">
        <x:v>AvaTax_Opportunity_Update_AvaTax_Custom_Fields</x:v>
      </x:c>
      <x:c r="C490" s="117" t="str">
        <x:v>No</x:v>
      </x:c>
      <x:c r="D490" s="119" t="str">
        <x:v>Latest inactive v6 (Tooling metadata)</x:v>
      </x:c>
      <x:c r="E490" s="117" t="str">
        <x:v>Opportunity</x:v>
      </x:c>
      <x:c r="F490" s="119" t="str">
        <x:v>Reference, Update, Variable</x:v>
      </x:c>
      <x:c r="G490" s="117" t="str">
        <x:v>No</x:v>
      </x:c>
      <x:c r="H490" s="117" t="str">
        <x:v>Workflow</x:v>
      </x:c>
    </x:row>
    <x:row r="491" ht="30" customHeight="1">
      <x:c r="A491" s="117" t="str">
        <x:v>300Ro000007Dq01IAC</x:v>
      </x:c>
      <x:c r="B491" s="117" t="str">
        <x:v>AvaTax_Opportunity_Update_AvaTax_Message_and_Status</x:v>
      </x:c>
      <x:c r="C491" s="117" t="str">
        <x:v>Yes</x:v>
      </x:c>
      <x:c r="D491" s="119" t="str">
        <x:v>Active v1 (Tooling metadata)</x:v>
      </x:c>
      <x:c r="E491" s="117" t="str">
        <x:v>Opportunity</x:v>
      </x:c>
      <x:c r="F491" s="119" t="str">
        <x:v>Reference, Trigger, Update</x:v>
      </x:c>
      <x:c r="G491" s="117" t="str">
        <x:v>Yes</x:v>
      </x:c>
      <x:c r="H491" s="117" t="str">
        <x:v>AutoLaunchedFlow</x:v>
      </x:c>
    </x:row>
    <x:row r="492" ht="30" customHeight="1">
      <x:c r="A492" s="117" t="str">
        <x:v>3004O000000LOrxQAG</x:v>
      </x:c>
      <x:c r="B492" s="117" t="str">
        <x:v>AvaTax_Opportunity_Update_AvaTax_Message_Status</x:v>
      </x:c>
      <x:c r="C492" s="117" t="str">
        <x:v>No</x:v>
      </x:c>
      <x:c r="D492" s="119" t="str">
        <x:v>Latest inactive v4 (Tooling metadata)</x:v>
      </x:c>
      <x:c r="E492" s="117" t="str">
        <x:v>Opportunity</x:v>
      </x:c>
      <x:c r="F492" s="119" t="str">
        <x:v>Reference, Update, Variable</x:v>
      </x:c>
      <x:c r="G492" s="117" t="str">
        <x:v>No</x:v>
      </x:c>
      <x:c r="H492" s="117" t="str">
        <x:v>Workflow</x:v>
      </x:c>
    </x:row>
    <x:row r="493" ht="30" customHeight="1">
      <x:c r="A493" s="117" t="str">
        <x:v>3005b000000H3goAAC</x:v>
      </x:c>
      <x:c r="B493" s="117" t="str">
        <x:v>Big_Iron_Purchasing_Opportunity_Updates_Alerts</x:v>
      </x:c>
      <x:c r="C493" s="117" t="str">
        <x:v>Yes</x:v>
      </x:c>
      <x:c r="D493" s="119" t="str">
        <x:v>Active v35 (Retrieved XML)</x:v>
      </x:c>
      <x:c r="E493" s="117" t="str">
        <x:v>Opportunity</x:v>
      </x:c>
      <x:c r="F493" s="119" t="str">
        <x:v>Reference, Trigger, Update</x:v>
      </x:c>
      <x:c r="G493" s="117" t="str">
        <x:v>Yes</x:v>
      </x:c>
      <x:c r="H493" s="117" t="str">
        <x:v>AutoLaunchedFlow</x:v>
      </x:c>
    </x:row>
    <x:row r="494" ht="30" customHeight="1">
      <x:c r="A494" s="117" t="str">
        <x:v>300Ro00000RA9XBIA1</x:v>
      </x:c>
      <x:c r="B494" s="117" t="str">
        <x:v>Big_Iron_Removal_Date_Updated_Notification</x:v>
      </x:c>
      <x:c r="C494" s="117" t="str">
        <x:v>No</x:v>
      </x:c>
      <x:c r="D494" s="119" t="str">
        <x:v>Latest inactive v7 (Retrieved XML)</x:v>
      </x:c>
      <x:c r="E494" s="117" t="str">
        <x:v>Opportunity</x:v>
      </x:c>
      <x:c r="F494" s="119" t="str">
        <x:v>Reference, Trigger</x:v>
      </x:c>
      <x:c r="G494" s="117" t="str">
        <x:v>Yes</x:v>
      </x:c>
      <x:c r="H494" s="117" t="str">
        <x:v>AutoLaunchedFlow</x:v>
      </x:c>
    </x:row>
    <x:row r="495" ht="30" customHeight="1">
      <x:c r="A495" s="117" t="str">
        <x:v>300Ro00000EC7AbIAL</x:v>
      </x:c>
      <x:c r="B495" s="117" t="str">
        <x:v>BIPO_Closed_Lost_Notification</x:v>
      </x:c>
      <x:c r="C495" s="117" t="str">
        <x:v>Yes</x:v>
      </x:c>
      <x:c r="D495" s="119" t="str">
        <x:v>Active v6 (Tooling metadata)</x:v>
      </x:c>
      <x:c r="E495" s="117" t="str">
        <x:v>Opportunity</x:v>
      </x:c>
      <x:c r="F495" s="119" t="str">
        <x:v>Read, Reference, Trigger</x:v>
      </x:c>
      <x:c r="G495" s="117" t="str">
        <x:v>Yes</x:v>
      </x:c>
      <x:c r="H495" s="117" t="str">
        <x:v>AutoLaunchedFlow</x:v>
      </x:c>
    </x:row>
    <x:row r="496" ht="30" customHeight="1">
      <x:c r="A496" s="117" t="str">
        <x:v>3005b000000PzsMAAS</x:v>
      </x:c>
      <x:c r="B496" s="117" t="str">
        <x:v>BIPO_Flow</x:v>
      </x:c>
      <x:c r="C496" s="117" t="str">
        <x:v>No</x:v>
      </x:c>
      <x:c r="D496" s="119" t="str">
        <x:v>Latest inactive v1 (Retrieved XML)</x:v>
      </x:c>
      <x:c r="E496" s="117" t="str">
        <x:v>Opportunity</x:v>
      </x:c>
      <x:c r="F496" s="119" t="str">
        <x:v>Reference, Trigger</x:v>
      </x:c>
      <x:c r="G496" s="117" t="str">
        <x:v>Yes</x:v>
      </x:c>
      <x:c r="H496" s="117" t="str">
        <x:v>Orchestrator</x:v>
      </x:c>
    </x:row>
    <x:row r="497" ht="30" customHeight="1">
      <x:c r="A497" s="117" t="str">
        <x:v>3005b00000113a4AAA</x:v>
      </x:c>
      <x:c r="B497" s="117" t="str">
        <x:v>BIPO_Update_Screen_Flow</x:v>
      </x:c>
      <x:c r="C497" s="117" t="str">
        <x:v>Yes</x:v>
      </x:c>
      <x:c r="D497" s="119" t="str">
        <x:v>Active v6 (Tooling metadata)</x:v>
      </x:c>
      <x:c r="E497" s="117" t="str">
        <x:v>Opportunity</x:v>
      </x:c>
      <x:c r="F497" s="119" t="str">
        <x:v>Read, Reference, Update, Variable</x:v>
      </x:c>
      <x:c r="G497" s="117" t="str">
        <x:v>No</x:v>
      </x:c>
      <x:c r="H497" s="117" t="str">
        <x:v>Flow</x:v>
      </x:c>
    </x:row>
    <x:row r="498" ht="30" customHeight="1">
      <x:c r="A498" s="117" t="str">
        <x:v>3004O000000LOstQAG</x:v>
      </x:c>
      <x:c r="B498" s="117" t="str">
        <x:v>Calculate_Sales_Tax_on_Sales_Shipper</x:v>
      </x:c>
      <x:c r="C498" s="117" t="str">
        <x:v>No</x:v>
      </x:c>
      <x:c r="D498" s="119" t="str">
        <x:v>Latest inactive v2 (Retrieved XML)</x:v>
      </x:c>
      <x:c r="E498" s="117" t="str">
        <x:v>Opportunity</x:v>
      </x:c>
      <x:c r="F498" s="119" t="str">
        <x:v>Reference, Update, Variable</x:v>
      </x:c>
      <x:c r="G498" s="117" t="str">
        <x:v>No</x:v>
      </x:c>
      <x:c r="H498" s="117" t="str">
        <x:v>Workflow</x:v>
      </x:c>
    </x:row>
    <x:row r="499" ht="30" customHeight="1">
      <x:c r="A499" s="117" t="str">
        <x:v>3004O000000LOsZQAW</x:v>
      </x:c>
      <x:c r="B499" s="117" t="str">
        <x:v>Calculate_Tax_Automatically_on_Closed_Won</x:v>
      </x:c>
      <x:c r="C499" s="117" t="str">
        <x:v>No</x:v>
      </x:c>
      <x:c r="D499" s="119" t="str">
        <x:v>Latest inactive v3 (Retrieved XML)</x:v>
      </x:c>
      <x:c r="E499" s="117" t="str">
        <x:v>Opportunity</x:v>
      </x:c>
      <x:c r="F499" s="119" t="str">
        <x:v>Reference, Update, Variable</x:v>
      </x:c>
      <x:c r="G499" s="117" t="str">
        <x:v>No</x:v>
      </x:c>
      <x:c r="H499" s="117" t="str">
        <x:v>Workflow</x:v>
      </x:c>
    </x:row>
    <x:row r="500" ht="30" customHeight="1">
      <x:c r="A500" s="117" t="str">
        <x:v>3004O000000LOsaQAG</x:v>
      </x:c>
      <x:c r="B500" s="117" t="str">
        <x:v>Calculate_Tax_when_Opp_Closed_Won</x:v>
      </x:c>
      <x:c r="C500" s="117" t="str">
        <x:v>No</x:v>
      </x:c>
      <x:c r="D500" s="119" t="str">
        <x:v>Latest inactive v1 (Retrieved XML)</x:v>
      </x:c>
      <x:c r="E500" s="117" t="str">
        <x:v>Opportunity</x:v>
      </x:c>
      <x:c r="F500" s="119" t="str">
        <x:v>Variable</x:v>
      </x:c>
      <x:c r="G500" s="117" t="str">
        <x:v>No</x:v>
      </x:c>
      <x:c r="H500" s="117" t="str">
        <x:v>Workflow</x:v>
      </x:c>
    </x:row>
    <x:row r="501" ht="30" customHeight="1">
      <x:c r="A501" s="117" t="str">
        <x:v>3005b000000H3sLAAS</x:v>
      </x:c>
      <x:c r="B501" s="117" t="str">
        <x:v>Case_Online_Repair_Evaluation_Tool</x:v>
      </x:c>
      <x:c r="C501" s="117" t="str">
        <x:v>Yes</x:v>
      </x:c>
      <x:c r="D501" s="119" t="str">
        <x:v>Active v13 (Retrieved XML)</x:v>
      </x:c>
      <x:c r="E501" s="117" t="str">
        <x:v>Opportunity</x:v>
      </x:c>
      <x:c r="F501" s="119" t="str">
        <x:v>Create, Reference</x:v>
      </x:c>
      <x:c r="G501" s="117" t="str">
        <x:v>No</x:v>
      </x:c>
      <x:c r="H501" s="117" t="str">
        <x:v>AutoLaunchedFlow</x:v>
      </x:c>
    </x:row>
    <x:row r="502" ht="30" customHeight="1">
      <x:c r="A502" s="117" t="str">
        <x:v>300Ro00000yA4ZFIA0</x:v>
      </x:c>
      <x:c r="B502" s="117" t="str">
        <x:v>Cloned_Opportunity_Update_FSR_Attached_and_FSR_Not_Required_to_False</x:v>
      </x:c>
      <x:c r="C502" s="117" t="str">
        <x:v>Yes</x:v>
      </x:c>
      <x:c r="D502" s="119" t="str">
        <x:v>Active v1 (Retrieved XML)</x:v>
      </x:c>
      <x:c r="E502" s="117" t="str">
        <x:v>Opportunity</x:v>
      </x:c>
      <x:c r="F502" s="119" t="str">
        <x:v>Reference, Trigger</x:v>
      </x:c>
      <x:c r="G502" s="117" t="str">
        <x:v>Yes</x:v>
      </x:c>
      <x:c r="H502" s="117" t="str">
        <x:v>AutoLaunchedFlow</x:v>
      </x:c>
    </x:row>
    <x:row r="503" ht="30" customHeight="1">
      <x:c r="A503" s="117" t="str">
        <x:v>3005b000000H3h8AAC</x:v>
      </x:c>
      <x:c r="B503" s="117" t="str">
        <x:v>Close_Win_Charge_for_Removal_Op_Automatically</x:v>
      </x:c>
      <x:c r="C503" s="117" t="str">
        <x:v>Yes</x:v>
      </x:c>
      <x:c r="D503" s="119" t="str">
        <x:v>Active v3 (Retrieved XML)</x:v>
      </x:c>
      <x:c r="E503" s="117" t="str">
        <x:v>Opportunity</x:v>
      </x:c>
      <x:c r="F503" s="119" t="str">
        <x:v>Read, Reference, Trigger, Update</x:v>
      </x:c>
      <x:c r="G503" s="117" t="str">
        <x:v>Yes</x:v>
      </x:c>
      <x:c r="H503" s="117" t="str">
        <x:v>AutoLaunchedFlow</x:v>
      </x:c>
    </x:row>
    <x:row r="504" ht="30" customHeight="1">
      <x:c r="A504" s="117" t="str">
        <x:v>300Ro00000OIdl5IAD</x:v>
      </x:c>
      <x:c r="B504" s="117" t="str">
        <x:v>Cold_Storage_Rig_In_Screen_Flow</x:v>
      </x:c>
      <x:c r="C504" s="117" t="str">
        <x:v>Yes</x:v>
      </x:c>
      <x:c r="D504" s="119" t="str">
        <x:v>Active v3 (Retrieved XML)</x:v>
      </x:c>
      <x:c r="E504" s="117" t="str">
        <x:v>Opportunity</x:v>
      </x:c>
      <x:c r="F504" s="119" t="str">
        <x:v>Read, Reference, Update</x:v>
      </x:c>
      <x:c r="G504" s="117" t="str">
        <x:v>No</x:v>
      </x:c>
      <x:c r="H504" s="117" t="str">
        <x:v>Flow</x:v>
      </x:c>
    </x:row>
    <x:row r="505" ht="30" customHeight="1">
      <x:c r="A505" s="117" t="str">
        <x:v>300Ro00000F0LbkIAF</x:v>
      </x:c>
      <x:c r="B505" s="117" t="str">
        <x:v>Cold_Storage_Rig_Out_Screen_Flow</x:v>
      </x:c>
      <x:c r="C505" s="117" t="str">
        <x:v>Yes</x:v>
      </x:c>
      <x:c r="D505" s="119" t="str">
        <x:v>Active v9 (Retrieved XML)</x:v>
      </x:c>
      <x:c r="E505" s="117" t="str">
        <x:v>Opportunity</x:v>
      </x:c>
      <x:c r="F505" s="119" t="str">
        <x:v>Read, Reference, Update</x:v>
      </x:c>
      <x:c r="G505" s="117" t="str">
        <x:v>No</x:v>
      </x:c>
      <x:c r="H505" s="117" t="str">
        <x:v>Flow</x:v>
      </x:c>
    </x:row>
    <x:row r="506" ht="30" customHeight="1">
      <x:c r="A506" s="117" t="str">
        <x:v>3004O000000XgXxQAK</x:v>
      </x:c>
      <x:c r="B506" s="117" t="str">
        <x:v>Contact_New_Form_Submission</x:v>
      </x:c>
      <x:c r="C506" s="117" t="str">
        <x:v>No</x:v>
      </x:c>
      <x:c r="D506" s="119" t="str">
        <x:v>Latest inactive v6 (Retrieved XML)</x:v>
      </x:c>
      <x:c r="E506" s="117" t="str">
        <x:v>Opportunity</x:v>
      </x:c>
      <x:c r="F506" s="119" t="str">
        <x:v>Variable</x:v>
      </x:c>
      <x:c r="G506" s="117" t="str">
        <x:v>No</x:v>
      </x:c>
      <x:c r="H506" s="117" t="str">
        <x:v>AutoLaunchedFlow</x:v>
      </x:c>
    </x:row>
    <x:row r="507" ht="30" customHeight="1">
      <x:c r="A507" s="117" t="str">
        <x:v>3005b000000Pz5oAAC</x:v>
      </x:c>
      <x:c r="B507" s="117" t="str">
        <x:v>Convert_PRR_to_Purchasing_Opportunity_Screen_Flow</x:v>
      </x:c>
      <x:c r="C507" s="117" t="str">
        <x:v>Yes</x:v>
      </x:c>
      <x:c r="D507" s="119" t="str">
        <x:v>Active v15 (Retrieved XML)</x:v>
      </x:c>
      <x:c r="E507" s="117" t="str">
        <x:v>Opportunity</x:v>
      </x:c>
      <x:c r="F507" s="119" t="str">
        <x:v>Create, Reference</x:v>
      </x:c>
      <x:c r="G507" s="117" t="str">
        <x:v>No</x:v>
      </x:c>
      <x:c r="H507" s="117" t="str">
        <x:v>Flow</x:v>
      </x:c>
    </x:row>
    <x:row r="508" ht="30" customHeight="1">
      <x:c r="A508" s="117" t="str">
        <x:v>300Ro00000sOrovIAC</x:v>
      </x:c>
      <x:c r="B508" s="117" t="str">
        <x:v>Count_Return_Opportunities_on_a_Related_Opportunity</x:v>
      </x:c>
      <x:c r="C508" s="117" t="str">
        <x:v>Yes</x:v>
      </x:c>
      <x:c r="D508" s="119" t="str">
        <x:v>Active v1 (Retrieved XML)</x:v>
      </x:c>
      <x:c r="E508" s="117" t="str">
        <x:v>Opportunity</x:v>
      </x:c>
      <x:c r="F508" s="119" t="str">
        <x:v>Read, Reference, Trigger</x:v>
      </x:c>
      <x:c r="G508" s="117" t="str">
        <x:v>Yes</x:v>
      </x:c>
      <x:c r="H508" s="117" t="str">
        <x:v>AutoLaunchedFlow</x:v>
      </x:c>
    </x:row>
    <x:row r="509" ht="30" customHeight="1">
      <x:c r="A509" s="117" t="str">
        <x:v>3005b000000LJjmAAG</x:v>
      </x:c>
      <x:c r="B509" s="117" t="str">
        <x:v>Create_Core_Charge_Opportunity_from_RMA_Screen_Flow</x:v>
      </x:c>
      <x:c r="C509" s="117" t="str">
        <x:v>Yes</x:v>
      </x:c>
      <x:c r="D509" s="119" t="str">
        <x:v>Active v4 (Retrieved XML)</x:v>
      </x:c>
      <x:c r="E509" s="117" t="str">
        <x:v>Opportunity</x:v>
      </x:c>
      <x:c r="F509" s="119" t="str">
        <x:v>Create, Read, Reference</x:v>
      </x:c>
      <x:c r="G509" s="117" t="str">
        <x:v>No</x:v>
      </x:c>
      <x:c r="H509" s="117" t="str">
        <x:v>Flow</x:v>
      </x:c>
    </x:row>
    <x:row r="510" ht="30" customHeight="1">
      <x:c r="A510" s="117" t="str">
        <x:v>300Ro00000NaN2WIAV</x:v>
      </x:c>
      <x:c r="B510" s="117" t="str">
        <x:v>Create_Credit_Memo_From_Invoice</x:v>
      </x:c>
      <x:c r="C510" s="117" t="str">
        <x:v>Yes</x:v>
      </x:c>
      <x:c r="D510" s="119" t="str">
        <x:v>Active v9 (Retrieved XML)</x:v>
      </x:c>
      <x:c r="E510" s="117" t="str">
        <x:v>Opportunity</x:v>
      </x:c>
      <x:c r="F510" s="119" t="str">
        <x:v>Read, Reference</x:v>
      </x:c>
      <x:c r="G510" s="117" t="str">
        <x:v>No</x:v>
      </x:c>
      <x:c r="H510" s="117" t="str">
        <x:v>Flow</x:v>
      </x:c>
    </x:row>
    <x:row r="511" ht="30" customHeight="1">
      <x:c r="A511" s="117" t="str">
        <x:v>300Ro00000B07T3IAJ</x:v>
      </x:c>
      <x:c r="B511" s="117" t="str">
        <x:v>Create_External_Repair_Testing_Opp_from_PO</x:v>
      </x:c>
      <x:c r="C511" s="117" t="str">
        <x:v>Yes</x:v>
      </x:c>
      <x:c r="D511" s="119" t="str">
        <x:v>Active v7 (Retrieved XML)</x:v>
      </x:c>
      <x:c r="E511" s="117" t="str">
        <x:v>Opportunity</x:v>
      </x:c>
      <x:c r="F511" s="119" t="str">
        <x:v>Create, Read, Reference, Update</x:v>
      </x:c>
      <x:c r="G511" s="117" t="str">
        <x:v>No</x:v>
      </x:c>
      <x:c r="H511" s="117" t="str">
        <x:v>Flow</x:v>
      </x:c>
    </x:row>
    <x:row r="512" ht="30" customHeight="1">
      <x:c r="A512" s="117" t="str">
        <x:v>300Ro00000kseeBIAQ</x:v>
      </x:c>
      <x:c r="B512" s="117" t="str">
        <x:v>Create_Field_Service_Work_Order_in_Salesforce</x:v>
      </x:c>
      <x:c r="C512" s="117" t="str">
        <x:v>Yes</x:v>
      </x:c>
      <x:c r="D512" s="119" t="str">
        <x:v>Active v9 (Retrieved XML)</x:v>
      </x:c>
      <x:c r="E512" s="117" t="str">
        <x:v>Opportunity</x:v>
      </x:c>
      <x:c r="F512" s="119" t="str">
        <x:v>Read, Reference, Variable</x:v>
      </x:c>
      <x:c r="G512" s="117" t="str">
        <x:v>No</x:v>
      </x:c>
      <x:c r="H512" s="117" t="str">
        <x:v>Flow</x:v>
      </x:c>
    </x:row>
    <x:row r="513" ht="30" customHeight="1">
      <x:c r="A513" s="117" t="str">
        <x:v>300jR000000BuwaQAC</x:v>
      </x:c>
      <x:c r="B513" s="117" t="str">
        <x:v>Create_FSL_Work_Order_on_SF_Objects</x:v>
      </x:c>
      <x:c r="C513" s="117" t="str">
        <x:v>Yes</x:v>
      </x:c>
      <x:c r="D513" s="119" t="str">
        <x:v>Active v7 (Retrieved XML)</x:v>
      </x:c>
      <x:c r="E513" s="117" t="str">
        <x:v>Opportunity</x:v>
      </x:c>
      <x:c r="F513" s="119" t="str">
        <x:v>Read, Reference</x:v>
      </x:c>
      <x:c r="G513" s="117" t="str">
        <x:v>No</x:v>
      </x:c>
      <x:c r="H513" s="117" t="str">
        <x:v>Flow</x:v>
      </x:c>
    </x:row>
    <x:row r="514" ht="30" customHeight="1">
      <x:c r="A514" s="117" t="str">
        <x:v>300Ro00000blHOIIA2</x:v>
      </x:c>
      <x:c r="B514" s="117" t="str">
        <x:v>Create_IR_from_Opp</x:v>
      </x:c>
      <x:c r="C514" s="117" t="str">
        <x:v>Yes</x:v>
      </x:c>
      <x:c r="D514" s="119" t="str">
        <x:v>Active v6 (Tooling metadata)</x:v>
      </x:c>
      <x:c r="E514" s="117" t="str">
        <x:v>Opportunity</x:v>
      </x:c>
      <x:c r="F514" s="119" t="str">
        <x:v>Read, Reference</x:v>
      </x:c>
      <x:c r="G514" s="117" t="str">
        <x:v>No</x:v>
      </x:c>
      <x:c r="H514" s="117" t="str">
        <x:v>Flow</x:v>
      </x:c>
    </x:row>
    <x:row r="515" ht="30" customHeight="1">
      <x:c r="A515" s="117" t="str">
        <x:v>3005b000000LHirAAG</x:v>
      </x:c>
      <x:c r="B515" s="117" t="str">
        <x:v>Create_Item_Receipt_from_Opp</x:v>
      </x:c>
      <x:c r="C515" s="117" t="str">
        <x:v>No</x:v>
      </x:c>
      <x:c r="D515" s="119" t="str">
        <x:v>Latest inactive v50 (Retrieved XML)</x:v>
      </x:c>
      <x:c r="E515" s="117" t="str">
        <x:v>Opportunity</x:v>
      </x:c>
      <x:c r="F515" s="119" t="str">
        <x:v>Read, Reference</x:v>
      </x:c>
      <x:c r="G515" s="117" t="str">
        <x:v>No</x:v>
      </x:c>
      <x:c r="H515" s="117" t="str">
        <x:v>Flow</x:v>
      </x:c>
    </x:row>
    <x:row r="516" ht="30" customHeight="1">
      <x:c r="A516" s="117" t="str">
        <x:v>3005b000000H1zUAAS</x:v>
      </x:c>
      <x:c r="B516" s="117" t="str">
        <x:v>Create_new_service_contract_from_opp</x:v>
      </x:c>
      <x:c r="C516" s="117" t="str">
        <x:v>Yes</x:v>
      </x:c>
      <x:c r="D516" s="119" t="str">
        <x:v>Active v11 (Retrieved XML)</x:v>
      </x:c>
      <x:c r="E516" s="117" t="str">
        <x:v>Opportunity</x:v>
      </x:c>
      <x:c r="F516" s="119" t="str">
        <x:v>Read, Reference, Update</x:v>
      </x:c>
      <x:c r="G516" s="117" t="str">
        <x:v>No</x:v>
      </x:c>
      <x:c r="H516" s="117" t="str">
        <x:v>Flow</x:v>
      </x:c>
    </x:row>
    <x:row r="517" ht="30" customHeight="1">
      <x:c r="A517" s="117" t="str">
        <x:v>3005b000000H3plAAC</x:v>
      </x:c>
      <x:c r="B517" s="117" t="str">
        <x:v>Create_New_Service_Contract_from_Opp_UK</x:v>
      </x:c>
      <x:c r="C517" s="117" t="str">
        <x:v>Yes</x:v>
      </x:c>
      <x:c r="D517" s="119" t="str">
        <x:v>Active v27 (Retrieved XML)</x:v>
      </x:c>
      <x:c r="E517" s="117" t="str">
        <x:v>Opportunity</x:v>
      </x:c>
      <x:c r="F517" s="119" t="str">
        <x:v>Read, Reference, Variable</x:v>
      </x:c>
      <x:c r="G517" s="117" t="str">
        <x:v>No</x:v>
      </x:c>
      <x:c r="H517" s="117" t="str">
        <x:v>Flow</x:v>
      </x:c>
    </x:row>
    <x:row r="518" ht="30" customHeight="1">
      <x:c r="A518" s="117" t="str">
        <x:v>3005b000000PzxvAAC</x:v>
      </x:c>
      <x:c r="B518" s="117" t="str">
        <x:v>Create_Opportunity_from_KloudGin_Case</x:v>
      </x:c>
      <x:c r="C518" s="117" t="str">
        <x:v>Yes</x:v>
      </x:c>
      <x:c r="D518" s="119" t="str">
        <x:v>Active v16 (Tooling metadata)</x:v>
      </x:c>
      <x:c r="E518" s="117" t="str">
        <x:v>Opportunity</x:v>
      </x:c>
      <x:c r="F518" s="119" t="str">
        <x:v>Create, Reference, Update</x:v>
      </x:c>
      <x:c r="G518" s="117" t="str">
        <x:v>No</x:v>
      </x:c>
      <x:c r="H518" s="117" t="str">
        <x:v>Flow</x:v>
      </x:c>
    </x:row>
    <x:row r="519" ht="30" customHeight="1">
      <x:c r="A519" s="117" t="str">
        <x:v>3004O000000LOsbQAG</x:v>
      </x:c>
      <x:c r="B519" s="117" t="str">
        <x:v>Create_Order_and_Order_Products_from_Paid_Invoice</x:v>
      </x:c>
      <x:c r="C519" s="117" t="str">
        <x:v>No</x:v>
      </x:c>
      <x:c r="D519" s="119" t="str">
        <x:v>Latest inactive v20 (Retrieved XML)</x:v>
      </x:c>
      <x:c r="E519" s="117" t="str">
        <x:v>Opportunity</x:v>
      </x:c>
      <x:c r="F519" s="119" t="str">
        <x:v>Read, Reference</x:v>
      </x:c>
      <x:c r="G519" s="117" t="str">
        <x:v>No</x:v>
      </x:c>
      <x:c r="H519" s="117" t="str">
        <x:v>AutoLaunchedFlow</x:v>
      </x:c>
    </x:row>
    <x:row r="520" ht="30" customHeight="1">
      <x:c r="A520" s="117" t="str">
        <x:v>3005b000000H2QLAA0</x:v>
      </x:c>
      <x:c r="B520" s="117" t="str">
        <x:v>Create_part_requests_from_Service_Fusion</x:v>
      </x:c>
      <x:c r="C520" s="117" t="str">
        <x:v>Yes</x:v>
      </x:c>
      <x:c r="D520" s="119" t="str">
        <x:v>Active v21 (Tooling metadata)</x:v>
      </x:c>
      <x:c r="E520" s="117" t="str">
        <x:v>Opportunity</x:v>
      </x:c>
      <x:c r="F520" s="119" t="str">
        <x:v>Create, Read, Reference, Variable</x:v>
      </x:c>
      <x:c r="G520" s="117" t="str">
        <x:v>No</x:v>
      </x:c>
      <x:c r="H520" s="117" t="str">
        <x:v>AutoLaunchedFlow</x:v>
      </x:c>
    </x:row>
    <x:row r="521" ht="30" customHeight="1">
      <x:c r="A521" s="117" t="str">
        <x:v>3005b000000H3wSAAS</x:v>
      </x:c>
      <x:c r="B521" s="117" t="str">
        <x:v>Create_Pricing_Request_from_Work_Order_Opportunity</x:v>
      </x:c>
      <x:c r="C521" s="117" t="str">
        <x:v>Yes</x:v>
      </x:c>
      <x:c r="D521" s="119" t="str">
        <x:v>Active v6 (Retrieved XML)</x:v>
      </x:c>
      <x:c r="E521" s="117" t="str">
        <x:v>Opportunity</x:v>
      </x:c>
      <x:c r="F521" s="119" t="str">
        <x:v>Read, Reference</x:v>
      </x:c>
      <x:c r="G521" s="117" t="str">
        <x:v>No</x:v>
      </x:c>
      <x:c r="H521" s="117" t="str">
        <x:v>Flow</x:v>
      </x:c>
    </x:row>
    <x:row r="522" ht="30" customHeight="1">
      <x:c r="A522" s="117" t="str">
        <x:v>3005b000000H4GSAA0</x:v>
      </x:c>
      <x:c r="B522" s="117" t="str">
        <x:v>Create_Project_on_Big_Iron_Purchasing_Opportunity_Flow</x:v>
      </x:c>
      <x:c r="C522" s="117" t="str">
        <x:v>Yes</x:v>
      </x:c>
      <x:c r="D522" s="119" t="str">
        <x:v>Active v11 (Retrieved XML)</x:v>
      </x:c>
      <x:c r="E522" s="117" t="str">
        <x:v>Opportunity</x:v>
      </x:c>
      <x:c r="F522" s="119" t="str">
        <x:v>Reference, Trigger, Update</x:v>
      </x:c>
      <x:c r="G522" s="117" t="str">
        <x:v>Yes</x:v>
      </x:c>
      <x:c r="H522" s="117" t="str">
        <x:v>AutoLaunchedFlow</x:v>
      </x:c>
    </x:row>
    <x:row r="523" ht="30" customHeight="1">
      <x:c r="A523" s="117" t="str">
        <x:v>300Ro00000CWp8dIAD</x:v>
      </x:c>
      <x:c r="B523" s="117" t="str">
        <x:v>Create_Project_on_Equipment_Storage_Opportunity_Creation</x:v>
      </x:c>
      <x:c r="C523" s="117" t="str">
        <x:v>Yes</x:v>
      </x:c>
      <x:c r="D523" s="119" t="str">
        <x:v>Active v1 (Retrieved XML)</x:v>
      </x:c>
      <x:c r="E523" s="117" t="str">
        <x:v>Opportunity</x:v>
      </x:c>
      <x:c r="F523" s="119" t="str">
        <x:v>Reference, Trigger, Update</x:v>
      </x:c>
      <x:c r="G523" s="117" t="str">
        <x:v>Yes</x:v>
      </x:c>
      <x:c r="H523" s="117" t="str">
        <x:v>AutoLaunchedFlow</x:v>
      </x:c>
    </x:row>
    <x:row r="524" ht="30" customHeight="1">
      <x:c r="A524" s="117" t="str">
        <x:v>3004O0000004ZtfQAE</x:v>
      </x:c>
      <x:c r="B524" s="117" t="str">
        <x:v>Create_Purchasing_Opp_from_Vendor_Sourcing_Record</x:v>
      </x:c>
      <x:c r="C524" s="117" t="str">
        <x:v>Yes</x:v>
      </x:c>
      <x:c r="D524" s="119" t="str">
        <x:v>Active v3 (Retrieved XML)</x:v>
      </x:c>
      <x:c r="E524" s="117" t="str">
        <x:v>Opportunity</x:v>
      </x:c>
      <x:c r="F524" s="119" t="str">
        <x:v>Reference, Update, Variable</x:v>
      </x:c>
      <x:c r="G524" s="117" t="str">
        <x:v>No</x:v>
      </x:c>
      <x:c r="H524" s="117" t="str">
        <x:v>Flow</x:v>
      </x:c>
    </x:row>
    <x:row r="525" ht="30" customHeight="1">
      <x:c r="A525" s="117" t="str">
        <x:v>300Ro00000BmFOEIA3</x:v>
      </x:c>
      <x:c r="B525" s="117" t="str">
        <x:v>Create_Repair_Opportunity_from_Service_Contract_Flow</x:v>
      </x:c>
      <x:c r="C525" s="117" t="str">
        <x:v>Yes</x:v>
      </x:c>
      <x:c r="D525" s="119" t="str">
        <x:v>Active v10 (Retrieved XML)</x:v>
      </x:c>
      <x:c r="E525" s="117" t="str">
        <x:v>Opportunity</x:v>
      </x:c>
      <x:c r="F525" s="119" t="str">
        <x:v>Create, Reference, Update</x:v>
      </x:c>
      <x:c r="G525" s="117" t="str">
        <x:v>No</x:v>
      </x:c>
      <x:c r="H525" s="117" t="str">
        <x:v>Flow</x:v>
      </x:c>
    </x:row>
    <x:row r="526" ht="30" customHeight="1">
      <x:c r="A526" s="117" t="str">
        <x:v>300Ro00000LVet7IAD</x:v>
      </x:c>
      <x:c r="B526" s="117" t="str">
        <x:v>Create_Restock_Fee_Opportunity_Screen_Flow</x:v>
      </x:c>
      <x:c r="C526" s="117" t="str">
        <x:v>Yes</x:v>
      </x:c>
      <x:c r="D526" s="119" t="str">
        <x:v>Active v2 (Retrieved XML)</x:v>
      </x:c>
      <x:c r="E526" s="117" t="str">
        <x:v>Opportunity</x:v>
      </x:c>
      <x:c r="F526" s="119" t="str">
        <x:v>Create, Read, Reference</x:v>
      </x:c>
      <x:c r="G526" s="117" t="str">
        <x:v>No</x:v>
      </x:c>
      <x:c r="H526" s="117" t="str">
        <x:v>Flow</x:v>
      </x:c>
    </x:row>
    <x:row r="527" ht="30" customHeight="1">
      <x:c r="A527" s="117" t="str">
        <x:v>3005b000000PzFtAAK</x:v>
      </x:c>
      <x:c r="B527" s="117" t="str">
        <x:v>Create_Return_Op_from_Purchasing_Op</x:v>
      </x:c>
      <x:c r="C527" s="117" t="str">
        <x:v>Yes</x:v>
      </x:c>
      <x:c r="D527" s="119" t="str">
        <x:v>Active v11 (Retrieved XML)</x:v>
      </x:c>
      <x:c r="E527" s="117" t="str">
        <x:v>Opportunity</x:v>
      </x:c>
      <x:c r="F527" s="119" t="str">
        <x:v>Create, Read, Reference, Update</x:v>
      </x:c>
      <x:c r="G527" s="117" t="str">
        <x:v>No</x:v>
      </x:c>
      <x:c r="H527" s="117" t="str">
        <x:v>Flow</x:v>
      </x:c>
    </x:row>
    <x:row r="528" ht="30" customHeight="1">
      <x:c r="A528" s="117" t="str">
        <x:v>3005b000000H3uHAAS</x:v>
      </x:c>
      <x:c r="B528" s="117" t="str">
        <x:v>Create_RMA_from_Work_Order</x:v>
      </x:c>
      <x:c r="C528" s="117" t="str">
        <x:v>Yes</x:v>
      </x:c>
      <x:c r="D528" s="119" t="str">
        <x:v>Active v24 (Tooling metadata)</x:v>
      </x:c>
      <x:c r="E528" s="117" t="str">
        <x:v>Opportunity</x:v>
      </x:c>
      <x:c r="F528" s="119" t="str">
        <x:v>Read, Reference</x:v>
      </x:c>
      <x:c r="G528" s="117" t="str">
        <x:v>No</x:v>
      </x:c>
      <x:c r="H528" s="117" t="str">
        <x:v>Flow</x:v>
      </x:c>
    </x:row>
    <x:row r="529" ht="30" customHeight="1">
      <x:c r="A529" s="117" t="str">
        <x:v>300Ro0000099RzwIAE</x:v>
      </x:c>
      <x:c r="B529" s="117" t="str">
        <x:v>Create_Sales_Opportunities_from_Training_Class</x:v>
      </x:c>
      <x:c r="C529" s="117" t="str">
        <x:v>Yes</x:v>
      </x:c>
      <x:c r="D529" s="119" t="str">
        <x:v>Active v12 (Retrieved XML)</x:v>
      </x:c>
      <x:c r="E529" s="117" t="str">
        <x:v>Opportunity</x:v>
      </x:c>
      <x:c r="F529" s="119" t="str">
        <x:v>Variable</x:v>
      </x:c>
      <x:c r="G529" s="117" t="str">
        <x:v>No</x:v>
      </x:c>
      <x:c r="H529" s="117" t="str">
        <x:v>Flow</x:v>
      </x:c>
    </x:row>
    <x:row r="530" ht="30" customHeight="1">
      <x:c r="A530" s="117" t="str">
        <x:v>3005b000000Pz9qAAC</x:v>
      </x:c>
      <x:c r="B530" s="117" t="str">
        <x:v>Create_Shipping_Product_on_US_Lead_Conversion_to_Op</x:v>
      </x:c>
      <x:c r="C530" s="117" t="str">
        <x:v>No</x:v>
      </x:c>
      <x:c r="D530" s="119" t="str">
        <x:v>Latest inactive v3 (Retrieved XML)</x:v>
      </x:c>
      <x:c r="E530" s="117" t="str">
        <x:v>Opportunity</x:v>
      </x:c>
      <x:c r="F530" s="119" t="str">
        <x:v>Reference, Trigger</x:v>
      </x:c>
      <x:c r="G530" s="117" t="str">
        <x:v>Yes</x:v>
      </x:c>
      <x:c r="H530" s="117" t="str">
        <x:v>AutoLaunchedFlow</x:v>
      </x:c>
    </x:row>
    <x:row r="531" ht="30" customHeight="1">
      <x:c r="A531" s="117" t="str">
        <x:v>3005b000000LHrAAAW</x:v>
      </x:c>
      <x:c r="B531" s="117" t="str">
        <x:v>Create_Shipping_Product_on_US_Op_Creation</x:v>
      </x:c>
      <x:c r="C531" s="117" t="str">
        <x:v>No</x:v>
      </x:c>
      <x:c r="D531" s="119" t="str">
        <x:v>Latest inactive v12 (Retrieved XML)</x:v>
      </x:c>
      <x:c r="E531" s="117" t="str">
        <x:v>Opportunity</x:v>
      </x:c>
      <x:c r="F531" s="119" t="str">
        <x:v>Reference, Trigger</x:v>
      </x:c>
      <x:c r="G531" s="117" t="str">
        <x:v>Yes</x:v>
      </x:c>
      <x:c r="H531" s="117" t="str">
        <x:v>AutoLaunchedFlow</x:v>
      </x:c>
    </x:row>
    <x:row r="532" ht="30" customHeight="1">
      <x:c r="A532" s="117" t="str">
        <x:v>3005b000000H3qFAAS</x:v>
      </x:c>
      <x:c r="B532" s="117" t="str">
        <x:v>Create_Sourcing_Request_for_Parts_and_Probes</x:v>
      </x:c>
      <x:c r="C532" s="117" t="str">
        <x:v>No</x:v>
      </x:c>
      <x:c r="D532" s="119" t="str">
        <x:v>Latest inactive v1 (Retrieved XML)</x:v>
      </x:c>
      <x:c r="E532" s="117" t="str">
        <x:v>Opportunity</x:v>
      </x:c>
      <x:c r="F532" s="119" t="str">
        <x:v>Reference, Update, Variable</x:v>
      </x:c>
      <x:c r="G532" s="117" t="str">
        <x:v>No</x:v>
      </x:c>
      <x:c r="H532" s="117" t="str">
        <x:v>Flow</x:v>
      </x:c>
    </x:row>
    <x:row r="533" ht="30" customHeight="1">
      <x:c r="A533" s="117" t="str">
        <x:v>3004O000000XhBDQA0</x:v>
      </x:c>
      <x:c r="B533" s="117" t="str">
        <x:v>Create_Warranty</x:v>
      </x:c>
      <x:c r="C533" s="117" t="str">
        <x:v>No</x:v>
      </x:c>
      <x:c r="D533" s="119" t="str">
        <x:v>Latest inactive v1 (Retrieved XML)</x:v>
      </x:c>
      <x:c r="E533" s="117" t="str">
        <x:v>Opportunity</x:v>
      </x:c>
      <x:c r="F533" s="119" t="str">
        <x:v>Read, Reference</x:v>
      </x:c>
      <x:c r="G533" s="117" t="str">
        <x:v>No</x:v>
      </x:c>
      <x:c r="H533" s="117" t="str">
        <x:v>Flow</x:v>
      </x:c>
    </x:row>
    <x:row r="534" ht="30" customHeight="1">
      <x:c r="A534" s="117" t="str">
        <x:v>3004O000000XhBEQA0</x:v>
      </x:c>
      <x:c r="B534" s="117" t="str">
        <x:v>Create_Warranty_Auto</x:v>
      </x:c>
      <x:c r="C534" s="117" t="str">
        <x:v>No</x:v>
      </x:c>
      <x:c r="D534" s="119" t="str">
        <x:v>Latest inactive v1 (Retrieved XML)</x:v>
      </x:c>
      <x:c r="E534" s="117" t="str">
        <x:v>Opportunity</x:v>
      </x:c>
      <x:c r="F534" s="119" t="str">
        <x:v>Read, Reference, Update</x:v>
      </x:c>
      <x:c r="G534" s="117" t="str">
        <x:v>No</x:v>
      </x:c>
      <x:c r="H534" s="117" t="str">
        <x:v>AutoLaunchedFlow</x:v>
      </x:c>
    </x:row>
    <x:row r="535" ht="30" customHeight="1">
      <x:c r="A535" s="117" t="str">
        <x:v>3004O000000LOr7QAG</x:v>
      </x:c>
      <x:c r="B535" s="117" t="str">
        <x:v>Credit_Memo</x:v>
      </x:c>
      <x:c r="C535" s="117" t="str">
        <x:v>No</x:v>
      </x:c>
      <x:c r="D535" s="119" t="str">
        <x:v>Latest inactive v17 (Retrieved XML)</x:v>
      </x:c>
      <x:c r="E535" s="117" t="str">
        <x:v>Opportunity</x:v>
      </x:c>
      <x:c r="F535" s="119" t="str">
        <x:v>Reference, Update</x:v>
      </x:c>
      <x:c r="G535" s="117" t="str">
        <x:v>No</x:v>
      </x:c>
      <x:c r="H535" s="117" t="str">
        <x:v>Workflow</x:v>
      </x:c>
    </x:row>
    <x:row r="536" ht="30" customHeight="1">
      <x:c r="A536" s="117" t="str">
        <x:v>300Ro00000JlbywIAB</x:v>
      </x:c>
      <x:c r="B536" s="117" t="str">
        <x:v>Credit_Memo_Lines_Add_to_Credit_Memo</x:v>
      </x:c>
      <x:c r="C536" s="117" t="str">
        <x:v>Yes</x:v>
      </x:c>
      <x:c r="D536" s="119" t="str">
        <x:v>Active v7 (Retrieved XML)</x:v>
      </x:c>
      <x:c r="E536" s="117" t="str">
        <x:v>Opportunity</x:v>
      </x:c>
      <x:c r="F536" s="119" t="str">
        <x:v>Read, Reference</x:v>
      </x:c>
      <x:c r="G536" s="117" t="str">
        <x:v>No</x:v>
      </x:c>
      <x:c r="H536" s="117" t="str">
        <x:v>Flow</x:v>
      </x:c>
    </x:row>
    <x:row r="537" ht="30" customHeight="1">
      <x:c r="A537" s="117" t="str">
        <x:v>300Ro000006NPyMIAW</x:v>
      </x:c>
      <x:c r="B537" s="117" t="str">
        <x:v>Davis_Medical_Shipping_Email_Alert_Flow</x:v>
      </x:c>
      <x:c r="C537" s="117" t="str">
        <x:v>Yes</x:v>
      </x:c>
      <x:c r="D537" s="119" t="str">
        <x:v>Active v3 (Retrieved XML)</x:v>
      </x:c>
      <x:c r="E537" s="117" t="str">
        <x:v>Opportunity</x:v>
      </x:c>
      <x:c r="F537" s="119" t="str">
        <x:v>Read, Reference, Trigger</x:v>
      </x:c>
      <x:c r="G537" s="117" t="str">
        <x:v>Yes</x:v>
      </x:c>
      <x:c r="H537" s="117" t="str">
        <x:v>AutoLaunchedFlow</x:v>
      </x:c>
    </x:row>
    <x:row r="538" ht="30" customHeight="1">
      <x:c r="A538" s="117" t="str">
        <x:v>300Ro000007doaUIAQ</x:v>
      </x:c>
      <x:c r="B538" s="117" t="str">
        <x:v>Debit_Memos_Rollup</x:v>
      </x:c>
      <x:c r="C538" s="117" t="str">
        <x:v>Yes</x:v>
      </x:c>
      <x:c r="D538" s="119" t="str">
        <x:v>Active v1 (Retrieved XML)</x:v>
      </x:c>
      <x:c r="E538" s="117" t="str">
        <x:v>Opportunity</x:v>
      </x:c>
      <x:c r="F538" s="119" t="str">
        <x:v>Variable</x:v>
      </x:c>
      <x:c r="G538" s="117" t="str">
        <x:v>No</x:v>
      </x:c>
      <x:c r="H538" s="117" t="str">
        <x:v>AutoLaunchedFlow</x:v>
      </x:c>
    </x:row>
    <x:row r="539" ht="30" customHeight="1">
      <x:c r="A539" s="117" t="str">
        <x:v>300Ro00000tZphgIAC</x:v>
      </x:c>
      <x:c r="B539" s="117" t="str">
        <x:v>Disaster_Recovery_Project_Raise_Invoice_from_Charges</x:v>
      </x:c>
      <x:c r="C539" s="117" t="str">
        <x:v>Yes</x:v>
      </x:c>
      <x:c r="D539" s="119" t="str">
        <x:v>Active v7 (Retrieved XML)</x:v>
      </x:c>
      <x:c r="E539" s="117" t="str">
        <x:v>Opportunity</x:v>
      </x:c>
      <x:c r="F539" s="119" t="str">
        <x:v>Create, Reference, Update</x:v>
      </x:c>
      <x:c r="G539" s="117" t="str">
        <x:v>No</x:v>
      </x:c>
      <x:c r="H539" s="117" t="str">
        <x:v>Flow</x:v>
      </x:c>
    </x:row>
    <x:row r="540" ht="30" customHeight="1">
      <x:c r="A540" s="117" t="str">
        <x:v>3004O000000HGWiQAO</x:v>
      </x:c>
      <x:c r="B540" s="117" t="str">
        <x:v>e2a_Adding_e2a_email_on_Opportunity_record</x:v>
      </x:c>
      <x:c r="C540" s="117" t="str">
        <x:v>No</x:v>
      </x:c>
      <x:c r="D540" s="119" t="str">
        <x:v>Latest inactive v1 (Retrieved XML)</x:v>
      </x:c>
      <x:c r="E540" s="117" t="str">
        <x:v>Opportunity</x:v>
      </x:c>
      <x:c r="F540" s="119" t="str">
        <x:v>Variable</x:v>
      </x:c>
      <x:c r="G540" s="117" t="str">
        <x:v>No</x:v>
      </x:c>
      <x:c r="H540" s="117" t="str">
        <x:v>Workflow</x:v>
      </x:c>
    </x:row>
    <x:row r="541" ht="30" customHeight="1">
      <x:c r="A541" s="117" t="str">
        <x:v>3004O0000008mCxQAI</x:v>
      </x:c>
      <x:c r="B541" s="117" t="str">
        <x:v>e2a_Create_an_opportunity_when_e2a_email_attaches_to_existing_contact</x:v>
      </x:c>
      <x:c r="C541" s="117" t="str">
        <x:v>Yes</x:v>
      </x:c>
      <x:c r="D541" s="119" t="str">
        <x:v>Active v7 (Retrieved XML)</x:v>
      </x:c>
      <x:c r="E541" s="117" t="str">
        <x:v>Opportunity</x:v>
      </x:c>
      <x:c r="F541" s="119" t="str">
        <x:v>Create, Reference</x:v>
      </x:c>
      <x:c r="G541" s="117" t="str">
        <x:v>No</x:v>
      </x:c>
      <x:c r="H541" s="117" t="str">
        <x:v>Workflow</x:v>
      </x:c>
    </x:row>
    <x:row r="542" ht="30" customHeight="1">
      <x:c r="A542" s="117" t="str">
        <x:v>300Ro00000zhGklIAE</x:v>
      </x:c>
      <x:c r="B542" s="117" t="str">
        <x:v>Finalize_Loaner_Turned_Exchange_for_FSL</x:v>
      </x:c>
      <x:c r="C542" s="117" t="str">
        <x:v>Yes</x:v>
      </x:c>
      <x:c r="D542" s="119" t="str">
        <x:v>Active v3 (Retrieved XML)</x:v>
      </x:c>
      <x:c r="E542" s="117" t="str">
        <x:v>Opportunity</x:v>
      </x:c>
      <x:c r="F542" s="119" t="str">
        <x:v>Read, Reference, Update</x:v>
      </x:c>
      <x:c r="G542" s="117" t="str">
        <x:v>No</x:v>
      </x:c>
      <x:c r="H542" s="117" t="str">
        <x:v>Flow</x:v>
      </x:c>
    </x:row>
    <x:row r="543" ht="30" customHeight="1">
      <x:c r="A543" s="117" t="str">
        <x:v>300Ro00000mouhpIAA</x:v>
      </x:c>
      <x:c r="B543" s="117" t="str">
        <x:v>FSL_Action_Quick_Quote_2</x:v>
      </x:c>
      <x:c r="C543" s="117" t="str">
        <x:v>Yes</x:v>
      </x:c>
      <x:c r="D543" s="119" t="str">
        <x:v>Active v54 (Retrieved XML)</x:v>
      </x:c>
      <x:c r="E543" s="117" t="str">
        <x:v>Opportunity</x:v>
      </x:c>
      <x:c r="F543" s="119" t="str">
        <x:v>Choice Read, Read, Reference, Variable</x:v>
      </x:c>
      <x:c r="G543" s="117" t="str">
        <x:v>No</x:v>
      </x:c>
      <x:c r="H543" s="117" t="str">
        <x:v>FieldServiceMobile</x:v>
      </x:c>
    </x:row>
    <x:row r="544" ht="30" customHeight="1">
      <x:c r="A544" s="117" t="str">
        <x:v>300Ro00000ydLuvIAE</x:v>
      </x:c>
      <x:c r="B544" s="117" t="str">
        <x:v>FSL_Close_Out_Service_Appointment_Field_Service_Mobile_Flow</x:v>
      </x:c>
      <x:c r="C544" s="117" t="str">
        <x:v>No</x:v>
      </x:c>
      <x:c r="D544" s="119" t="str">
        <x:v>Latest inactive v4 (Retrieved XML)</x:v>
      </x:c>
      <x:c r="E544" s="117" t="str">
        <x:v>Opportunity</x:v>
      </x:c>
      <x:c r="F544" s="119" t="str">
        <x:v>Variable</x:v>
      </x:c>
      <x:c r="G544" s="117" t="str">
        <x:v>No</x:v>
      </x:c>
      <x:c r="H544" s="117" t="str">
        <x:v>FieldServiceMobile</x:v>
      </x:c>
    </x:row>
    <x:row r="545" ht="30" customHeight="1">
      <x:c r="A545" s="117" t="str">
        <x:v>300Ro00000cnT4mIAE</x:v>
      </x:c>
      <x:c r="B545" s="117" t="str">
        <x:v>FSL_Mobile_Create_Lead_US</x:v>
      </x:c>
      <x:c r="C545" s="117" t="str">
        <x:v>Yes</x:v>
      </x:c>
      <x:c r="D545" s="119" t="str">
        <x:v>Active v34 (Retrieved XML)</x:v>
      </x:c>
      <x:c r="E545" s="117" t="str">
        <x:v>Opportunity</x:v>
      </x:c>
      <x:c r="F545" s="119" t="str">
        <x:v>Read, Reference, Variable</x:v>
      </x:c>
      <x:c r="G545" s="117" t="str">
        <x:v>No</x:v>
      </x:c>
      <x:c r="H545" s="117" t="str">
        <x:v>FieldServiceMobile</x:v>
      </x:c>
    </x:row>
    <x:row r="546" ht="30" customHeight="1">
      <x:c r="A546" s="117" t="str">
        <x:v>300Ro00000pvIVtIAM</x:v>
      </x:c>
      <x:c r="B546" s="117" t="str">
        <x:v>FSL_Mobile_Service_Appointment_Closeout</x:v>
      </x:c>
      <x:c r="C546" s="117" t="str">
        <x:v>Yes</x:v>
      </x:c>
      <x:c r="D546" s="119" t="str">
        <x:v>Active v1 (Retrieved XML)</x:v>
      </x:c>
      <x:c r="E546" s="117" t="str">
        <x:v>Opportunity</x:v>
      </x:c>
      <x:c r="F546" s="119" t="str">
        <x:v>Read, Reference, Variable</x:v>
      </x:c>
      <x:c r="G546" s="117" t="str">
        <x:v>No</x:v>
      </x:c>
      <x:c r="H546" s="117" t="str">
        <x:v>FieldServiceMobile</x:v>
      </x:c>
    </x:row>
    <x:row r="547" ht="30" customHeight="1">
      <x:c r="A547" s="117" t="str">
        <x:v>300Ro00000cnT4cIAE</x:v>
      </x:c>
      <x:c r="B547" s="117" t="str">
        <x:v>FSL_Screen_Request_Parts_on_WO</x:v>
      </x:c>
      <x:c r="C547" s="117" t="str">
        <x:v>Yes</x:v>
      </x:c>
      <x:c r="D547" s="119" t="str">
        <x:v>Active v137 (Retrieved XML)</x:v>
      </x:c>
      <x:c r="E547" s="117" t="str">
        <x:v>Opportunity</x:v>
      </x:c>
      <x:c r="F547" s="119" t="str">
        <x:v>Read, Reference, Variable</x:v>
      </x:c>
      <x:c r="G547" s="117" t="str">
        <x:v>No</x:v>
      </x:c>
      <x:c r="H547" s="117" t="str">
        <x:v>FieldServiceMobile</x:v>
      </x:c>
    </x:row>
    <x:row r="548" ht="30" customHeight="1">
      <x:c r="A548" s="117" t="str">
        <x:v>300Ro00000y33GaIAI</x:v>
      </x:c>
      <x:c r="B548" s="117" t="str">
        <x:v>Generate_Mechanical_Services_Work_Order_Screen_Flow</x:v>
      </x:c>
      <x:c r="C548" s="117" t="str">
        <x:v>No</x:v>
      </x:c>
      <x:c r="D548" s="119" t="str">
        <x:v>Latest inactive v1 (Retrieved XML)</x:v>
      </x:c>
      <x:c r="E548" s="117" t="str">
        <x:v>Opportunity</x:v>
      </x:c>
      <x:c r="F548" s="119" t="str">
        <x:v>Read, Reference</x:v>
      </x:c>
      <x:c r="G548" s="117" t="str">
        <x:v>No</x:v>
      </x:c>
      <x:c r="H548" s="117" t="str">
        <x:v>Flow</x:v>
      </x:c>
    </x:row>
    <x:row r="549" ht="30" customHeight="1">
      <x:c r="A549" s="117" t="str">
        <x:v>300Ro00000wnmN8IAI</x:v>
      </x:c>
      <x:c r="B549" s="117" t="str">
        <x:v>If_FSR_Not_Required_FSR_Datestamp_Blank_at_Closed_Won_Set_FSR_Datestamp_to_Today</x:v>
      </x:c>
      <x:c r="C549" s="117" t="str">
        <x:v>Yes</x:v>
      </x:c>
      <x:c r="D549" s="119" t="str">
        <x:v>Active v1 (Retrieved XML)</x:v>
      </x:c>
      <x:c r="E549" s="117" t="str">
        <x:v>Opportunity</x:v>
      </x:c>
      <x:c r="F549" s="119" t="str">
        <x:v>Reference, Trigger</x:v>
      </x:c>
      <x:c r="G549" s="117" t="str">
        <x:v>Yes</x:v>
      </x:c>
      <x:c r="H549" s="117" t="str">
        <x:v>AutoLaunchedFlow</x:v>
      </x:c>
    </x:row>
    <x:row r="550" ht="30" customHeight="1">
      <x:c r="A550" s="117" t="str">
        <x:v>3005b000000PyxVAAS</x:v>
      </x:c>
      <x:c r="B550" s="117" t="str">
        <x:v>Inter_Company_Transfer_Address_Update_Op</x:v>
      </x:c>
      <x:c r="C550" s="117" t="str">
        <x:v>Yes</x:v>
      </x:c>
      <x:c r="D550" s="119" t="str">
        <x:v>Active v2 (Retrieved XML)</x:v>
      </x:c>
      <x:c r="E550" s="117" t="str">
        <x:v>Opportunity</x:v>
      </x:c>
      <x:c r="F550" s="119" t="str">
        <x:v>Reference, Trigger, Update</x:v>
      </x:c>
      <x:c r="G550" s="117" t="str">
        <x:v>Yes</x:v>
      </x:c>
      <x:c r="H550" s="117" t="str">
        <x:v>AutoLaunchedFlow</x:v>
      </x:c>
    </x:row>
    <x:row r="551" ht="30" customHeight="1">
      <x:c r="A551" s="117" t="str">
        <x:v>3005b000000LHdDAAW</x:v>
      </x:c>
      <x:c r="B551" s="117" t="str">
        <x:v>Invoice_Automations</x:v>
      </x:c>
      <x:c r="C551" s="117" t="str">
        <x:v>Yes</x:v>
      </x:c>
      <x:c r="D551" s="119" t="str">
        <x:v>Active v26 (Retrieved XML)</x:v>
      </x:c>
      <x:c r="E551" s="117" t="str">
        <x:v>Opportunity</x:v>
      </x:c>
      <x:c r="F551" s="119" t="str">
        <x:v>Read, Reference, Update</x:v>
      </x:c>
      <x:c r="G551" s="117" t="str">
        <x:v>No</x:v>
      </x:c>
      <x:c r="H551" s="117" t="str">
        <x:v>AutoLaunchedFlow</x:v>
      </x:c>
    </x:row>
    <x:row r="552" ht="30" customHeight="1">
      <x:c r="A552" s="117" t="str">
        <x:v>3004O0000000ZuBQAU</x:v>
      </x:c>
      <x:c r="B552" s="117" t="str">
        <x:v>Invoice_Object</x:v>
      </x:c>
      <x:c r="C552" s="117" t="str">
        <x:v>Yes</x:v>
      </x:c>
      <x:c r="D552" s="119" t="str">
        <x:v>Active v55 (Retrieved XML)</x:v>
      </x:c>
      <x:c r="E552" s="117" t="str">
        <x:v>Opportunity</x:v>
      </x:c>
      <x:c r="F552" s="119" t="str">
        <x:v>Reference, Update</x:v>
      </x:c>
      <x:c r="G552" s="117" t="str">
        <x:v>No</x:v>
      </x:c>
      <x:c r="H552" s="117" t="str">
        <x:v>Workflow</x:v>
      </x:c>
    </x:row>
    <x:row r="553" ht="30" customHeight="1">
      <x:c r="A553" s="117" t="str">
        <x:v>3004O000000LOvOQAW</x:v>
      </x:c>
      <x:c r="B553" s="117" t="str">
        <x:v>Invoice_Submission_Flow_V2</x:v>
      </x:c>
      <x:c r="C553" s="117" t="str">
        <x:v>Yes</x:v>
      </x:c>
      <x:c r="D553" s="119" t="str">
        <x:v>Active v37 (Retrieved XML)</x:v>
      </x:c>
      <x:c r="E553" s="117" t="str">
        <x:v>Opportunity</x:v>
      </x:c>
      <x:c r="F553" s="119" t="str">
        <x:v>Read, Reference</x:v>
      </x:c>
      <x:c r="G553" s="117" t="str">
        <x:v>No</x:v>
      </x:c>
      <x:c r="H553" s="117" t="str">
        <x:v>Flow</x:v>
      </x:c>
    </x:row>
    <x:row r="554" ht="30" customHeight="1">
      <x:c r="A554" s="117" t="str">
        <x:v>3005b000000LI3kAAG</x:v>
      </x:c>
      <x:c r="B554" s="117" t="str">
        <x:v>Item_Receipt_Automations</x:v>
      </x:c>
      <x:c r="C554" s="117" t="str">
        <x:v>Yes</x:v>
      </x:c>
      <x:c r="D554" s="119" t="str">
        <x:v>Active v6 (Retrieved XML)</x:v>
      </x:c>
      <x:c r="E554" s="117" t="str">
        <x:v>Opportunity</x:v>
      </x:c>
      <x:c r="F554" s="119" t="str">
        <x:v>Variable</x:v>
      </x:c>
      <x:c r="G554" s="117" t="str">
        <x:v>No</x:v>
      </x:c>
      <x:c r="H554" s="117" t="str">
        <x:v>AutoLaunchedFlow</x:v>
      </x:c>
    </x:row>
    <x:row r="555" ht="30" customHeight="1">
      <x:c r="A555" s="117" t="str">
        <x:v>3004O000000LOsdQAG</x:v>
      </x:c>
      <x:c r="B555" s="117" t="str">
        <x:v>Launch_Calculate_Tax_on_Closed_Won</x:v>
      </x:c>
      <x:c r="C555" s="117" t="str">
        <x:v>No</x:v>
      </x:c>
      <x:c r="D555" s="119" t="str">
        <x:v>Latest inactive v1 (Retrieved XML)</x:v>
      </x:c>
      <x:c r="E555" s="117" t="str">
        <x:v>Opportunity</x:v>
      </x:c>
      <x:c r="F555" s="119" t="str">
        <x:v>Variable</x:v>
      </x:c>
      <x:c r="G555" s="117" t="str">
        <x:v>No</x:v>
      </x:c>
      <x:c r="H555" s="117" t="str">
        <x:v>Workflow</x:v>
      </x:c>
    </x:row>
    <x:row r="556" ht="30" customHeight="1">
      <x:c r="A556" s="117" t="str">
        <x:v>3005b000000LHaTAAW</x:v>
      </x:c>
      <x:c r="B556" s="117" t="str">
        <x:v>Loaner_Object_Updates_and_Alerts</x:v>
      </x:c>
      <x:c r="C556" s="117" t="str">
        <x:v>Yes</x:v>
      </x:c>
      <x:c r="D556" s="119" t="str">
        <x:v>Active v10 (Retrieved XML)</x:v>
      </x:c>
      <x:c r="E556" s="117" t="str">
        <x:v>Opportunity</x:v>
      </x:c>
      <x:c r="F556" s="119" t="str">
        <x:v>Read, Reference</x:v>
      </x:c>
      <x:c r="G556" s="117" t="str">
        <x:v>No</x:v>
      </x:c>
      <x:c r="H556" s="117" t="str">
        <x:v>AutoLaunchedFlow</x:v>
      </x:c>
    </x:row>
    <x:row r="557" ht="30" customHeight="1">
      <x:c r="A557" s="117" t="str">
        <x:v>3005b000000H3gKAAS</x:v>
      </x:c>
      <x:c r="B557" s="117" t="str">
        <x:v>Mark_Closed_Lost_Big_Iron_Assets_as_PAd_and_Sold</x:v>
      </x:c>
      <x:c r="C557" s="117" t="str">
        <x:v>Yes</x:v>
      </x:c>
      <x:c r="D557" s="119" t="str">
        <x:v>Active v3 (Retrieved XML)</x:v>
      </x:c>
      <x:c r="E557" s="117" t="str">
        <x:v>Opportunity</x:v>
      </x:c>
      <x:c r="F557" s="119" t="str">
        <x:v>Reference, Trigger</x:v>
      </x:c>
      <x:c r="G557" s="117" t="str">
        <x:v>Yes</x:v>
      </x:c>
      <x:c r="H557" s="117" t="str">
        <x:v>AutoLaunchedFlow</x:v>
      </x:c>
    </x:row>
    <x:row r="558" ht="30" customHeight="1">
      <x:c r="A558" s="117" t="str">
        <x:v>3005b000000H43JAAS</x:v>
      </x:c>
      <x:c r="B558" s="117" t="str">
        <x:v>Missing_Asset_Checkbox_Notification_on_Asset2</x:v>
      </x:c>
      <x:c r="C558" s="117" t="str">
        <x:v>Yes</x:v>
      </x:c>
      <x:c r="D558" s="119" t="str">
        <x:v>Active v2 (Retrieved XML)</x:v>
      </x:c>
      <x:c r="E558" s="117" t="str">
        <x:v>Opportunity</x:v>
      </x:c>
      <x:c r="F558" s="119" t="str">
        <x:v>Read, Reference</x:v>
      </x:c>
      <x:c r="G558" s="117" t="str">
        <x:v>No</x:v>
      </x:c>
      <x:c r="H558" s="117" t="str">
        <x:v>AutoLaunchedFlow</x:v>
      </x:c>
    </x:row>
    <x:row r="559" ht="30" customHeight="1">
      <x:c r="A559" s="117" t="str">
        <x:v>3005b000000H1iiAAC</x:v>
      </x:c>
      <x:c r="B559" s="117" t="str">
        <x:v>MIUS_Stores_Shipping_Notification</x:v>
      </x:c>
      <x:c r="C559" s="117" t="str">
        <x:v>No</x:v>
      </x:c>
      <x:c r="D559" s="119" t="str">
        <x:v>Latest inactive v1 (Retrieved XML)</x:v>
      </x:c>
      <x:c r="E559" s="117" t="str">
        <x:v>Opportunity</x:v>
      </x:c>
      <x:c r="F559" s="119" t="str">
        <x:v>Variable</x:v>
      </x:c>
      <x:c r="G559" s="117" t="str">
        <x:v>No</x:v>
      </x:c>
      <x:c r="H559" s="117" t="str">
        <x:v>Workflow</x:v>
      </x:c>
    </x:row>
    <x:row r="560" ht="30" customHeight="1">
      <x:c r="A560" s="117" t="str">
        <x:v>300Ro00000RkPiDIAV</x:v>
      </x:c>
      <x:c r="B560" s="117" t="str">
        <x:v>MP_Test</x:v>
      </x:c>
      <x:c r="C560" s="117" t="str">
        <x:v>No</x:v>
      </x:c>
      <x:c r="D560" s="119" t="str">
        <x:v>Latest inactive v7 (Retrieved XML)</x:v>
      </x:c>
      <x:c r="E560" s="117" t="str">
        <x:v>Opportunity</x:v>
      </x:c>
      <x:c r="F560" s="119" t="str">
        <x:v>Variable</x:v>
      </x:c>
      <x:c r="G560" s="117" t="str">
        <x:v>No</x:v>
      </x:c>
      <x:c r="H560" s="117" t="str">
        <x:v>AutoLaunchedFlow</x:v>
      </x:c>
    </x:row>
    <x:row r="561" ht="30" customHeight="1">
      <x:c r="A561" s="117" t="str">
        <x:v>3004O0000008mBQQAY</x:v>
      </x:c>
      <x:c r="B561" s="117" t="str">
        <x:v>New_Opportunity_for_Existing_Contact_Form_Submissions</x:v>
      </x:c>
      <x:c r="C561" s="117" t="str">
        <x:v>No</x:v>
      </x:c>
      <x:c r="D561" s="119" t="str">
        <x:v>Latest inactive v7 (Retrieved XML)</x:v>
      </x:c>
      <x:c r="E561" s="117" t="str">
        <x:v>Opportunity</x:v>
      </x:c>
      <x:c r="F561" s="119" t="str">
        <x:v>Create, Reference</x:v>
      </x:c>
      <x:c r="G561" s="117" t="str">
        <x:v>No</x:v>
      </x:c>
      <x:c r="H561" s="117" t="str">
        <x:v>Workflow</x:v>
      </x:c>
    </x:row>
    <x:row r="562" ht="30" customHeight="1">
      <x:c r="A562" s="117" t="str">
        <x:v>3005b000000H3eJAAS</x:v>
      </x:c>
      <x:c r="B562" s="117" t="str">
        <x:v>New_Parts_Opportunity_From_Work_Orker</x:v>
      </x:c>
      <x:c r="C562" s="117" t="str">
        <x:v>Yes</x:v>
      </x:c>
      <x:c r="D562" s="119" t="str">
        <x:v>Active v62 (Retrieved XML)</x:v>
      </x:c>
      <x:c r="E562" s="117" t="str">
        <x:v>Opportunity</x:v>
      </x:c>
      <x:c r="F562" s="119" t="str">
        <x:v>Create, Reference, Update</x:v>
      </x:c>
      <x:c r="G562" s="117" t="str">
        <x:v>No</x:v>
      </x:c>
      <x:c r="H562" s="117" t="str">
        <x:v>Flow</x:v>
      </x:c>
    </x:row>
    <x:row r="563" ht="30" customHeight="1">
      <x:c r="A563" s="117" t="str">
        <x:v>3004O0000008mADQAY</x:v>
      </x:c>
      <x:c r="B563" s="117" t="str">
        <x:v>Notify_existing_contact_owner_of_email_inquiry_submission</x:v>
      </x:c>
      <x:c r="C563" s="117" t="str">
        <x:v>No</x:v>
      </x:c>
      <x:c r="D563" s="119" t="str">
        <x:v>Latest inactive v8 (Retrieved XML)</x:v>
      </x:c>
      <x:c r="E563" s="117" t="str">
        <x:v>Opportunity</x:v>
      </x:c>
      <x:c r="F563" s="119" t="str">
        <x:v>Reference, Update, Variable</x:v>
      </x:c>
      <x:c r="G563" s="117" t="str">
        <x:v>No</x:v>
      </x:c>
      <x:c r="H563" s="117" t="str">
        <x:v>Workflow</x:v>
      </x:c>
    </x:row>
    <x:row r="564" ht="30" customHeight="1">
      <x:c r="A564" s="117" t="str">
        <x:v>3004O000000TiW1QAK</x:v>
      </x:c>
      <x:c r="B564" s="117" t="str">
        <x:v>Notify_When_Opportunity_Ships_without_Being_Close_Won</x:v>
      </x:c>
      <x:c r="C564" s="117" t="str">
        <x:v>No</x:v>
      </x:c>
      <x:c r="D564" s="119" t="str">
        <x:v>Latest inactive v14 (Retrieved XML)</x:v>
      </x:c>
      <x:c r="E564" s="117" t="str">
        <x:v>Opportunity</x:v>
      </x:c>
      <x:c r="F564" s="119" t="str">
        <x:v>Variable</x:v>
      </x:c>
      <x:c r="G564" s="117" t="str">
        <x:v>No</x:v>
      </x:c>
      <x:c r="H564" s="117" t="str">
        <x:v>Workflow</x:v>
      </x:c>
    </x:row>
    <x:row r="565" ht="30" customHeight="1">
      <x:c r="A565" s="117" t="str">
        <x:v>300Ro00000QYP8LIAX</x:v>
      </x:c>
      <x:c r="B565" s="117" t="str">
        <x:v>On_Asset_Creation_Set_Currency_to_Purchasing_Opportunity_Currency</x:v>
      </x:c>
      <x:c r="C565" s="117" t="str">
        <x:v>Yes</x:v>
      </x:c>
      <x:c r="D565" s="119" t="str">
        <x:v>Active v1 (Retrieved XML)</x:v>
      </x:c>
      <x:c r="E565" s="117" t="str">
        <x:v>Opportunity</x:v>
      </x:c>
      <x:c r="F565" s="119" t="str">
        <x:v>Read, Reference</x:v>
      </x:c>
      <x:c r="G565" s="117" t="str">
        <x:v>No</x:v>
      </x:c>
      <x:c r="H565" s="117" t="str">
        <x:v>AutoLaunchedFlow</x:v>
      </x:c>
    </x:row>
    <x:row r="566" ht="30" customHeight="1">
      <x:c r="A566" s="117" t="str">
        <x:v>300Ro00000vmJp8IAE</x:v>
      </x:c>
      <x:c r="B566" s="117" t="str">
        <x:v>On_Creation_of_Opportunity_Set_Shipping_Account_to_Bill_Customer_Fedex_System</x:v>
      </x:c>
      <x:c r="C566" s="117" t="str">
        <x:v>Yes</x:v>
      </x:c>
      <x:c r="D566" s="119" t="str">
        <x:v>Active v1 (Retrieved XML)</x:v>
      </x:c>
      <x:c r="E566" s="117" t="str">
        <x:v>Opportunity</x:v>
      </x:c>
      <x:c r="F566" s="119" t="str">
        <x:v>Reference, Trigger, Update</x:v>
      </x:c>
      <x:c r="G566" s="117" t="str">
        <x:v>Yes</x:v>
      </x:c>
      <x:c r="H566" s="117" t="str">
        <x:v>AutoLaunchedFlow</x:v>
      </x:c>
    </x:row>
    <x:row r="567" ht="30" customHeight="1">
      <x:c r="A567" s="117" t="str">
        <x:v>300Ro00000vL6mQIAS</x:v>
      </x:c>
      <x:c r="B567" s="117" t="str">
        <x:v>On_Entry_of_Confirmation_Number_Send_Prepay_Received_Email</x:v>
      </x:c>
      <x:c r="C567" s="117" t="str">
        <x:v>Yes</x:v>
      </x:c>
      <x:c r="D567" s="119" t="str">
        <x:v>Active v3 (Retrieved XML)</x:v>
      </x:c>
      <x:c r="E567" s="117" t="str">
        <x:v>Opportunity</x:v>
      </x:c>
      <x:c r="F567" s="119" t="str">
        <x:v>Reference, Trigger</x:v>
      </x:c>
      <x:c r="G567" s="117" t="str">
        <x:v>Yes</x:v>
      </x:c>
      <x:c r="H567" s="117" t="str">
        <x:v>AutoLaunchedFlow</x:v>
      </x:c>
    </x:row>
    <x:row r="568" ht="30" customHeight="1">
      <x:c r="A568" s="117" t="str">
        <x:v>300Ro00000vo1ZZIAY</x:v>
      </x:c>
      <x:c r="B568" s="117" t="str">
        <x:v>On_Make_Model_or_Serial_Number_Change_Update_the_Opportunity</x:v>
      </x:c>
      <x:c r="C568" s="117" t="str">
        <x:v>Yes</x:v>
      </x:c>
      <x:c r="D568" s="119" t="str">
        <x:v>Active v2 (Retrieved XML)</x:v>
      </x:c>
      <x:c r="E568" s="117" t="str">
        <x:v>Opportunity</x:v>
      </x:c>
      <x:c r="F568" s="119" t="str">
        <x:v>Variable</x:v>
      </x:c>
      <x:c r="G568" s="117" t="str">
        <x:v>No</x:v>
      </x:c>
      <x:c r="H568" s="117" t="str">
        <x:v>AutoLaunchedFlow</x:v>
      </x:c>
    </x:row>
    <x:row r="569" ht="30" customHeight="1">
      <x:c r="A569" s="117" t="str">
        <x:v>300Ro00000vo6MLIAY</x:v>
      </x:c>
      <x:c r="B569" s="117" t="str">
        <x:v>On_Serial_Number_Change_Update_the_Opportunity</x:v>
      </x:c>
      <x:c r="C569" s="117" t="str">
        <x:v>Yes</x:v>
      </x:c>
      <x:c r="D569" s="119" t="str">
        <x:v>Active v1 (Retrieved XML)</x:v>
      </x:c>
      <x:c r="E569" s="117" t="str">
        <x:v>Opportunity</x:v>
      </x:c>
      <x:c r="F569" s="119" t="str">
        <x:v>Variable</x:v>
      </x:c>
      <x:c r="G569" s="117" t="str">
        <x:v>No</x:v>
      </x:c>
      <x:c r="H569" s="117" t="str">
        <x:v>AutoLaunchedFlow</x:v>
      </x:c>
    </x:row>
    <x:row r="570" ht="30" customHeight="1">
      <x:c r="A570" s="117" t="str">
        <x:v>300Ro00000oEe0pIAC</x:v>
      </x:c>
      <x:c r="B570" s="117" t="str">
        <x:v>On_Update_of_Address_Update_Opportunity_Shipping_if_Needed</x:v>
      </x:c>
      <x:c r="C570" s="117" t="str">
        <x:v>Yes</x:v>
      </x:c>
      <x:c r="D570" s="119" t="str">
        <x:v>Active v19 (Retrieved XML)</x:v>
      </x:c>
      <x:c r="E570" s="117" t="str">
        <x:v>Opportunity</x:v>
      </x:c>
      <x:c r="F570" s="119" t="str">
        <x:v>Read, Reference, Variable</x:v>
      </x:c>
      <x:c r="G570" s="117" t="str">
        <x:v>No</x:v>
      </x:c>
      <x:c r="H570" s="117" t="str">
        <x:v>AutoLaunchedFlow</x:v>
      </x:c>
    </x:row>
    <x:row r="571" ht="30" customHeight="1">
      <x:c r="A571" s="117" t="str">
        <x:v>300Ro00000cnT4dIAE</x:v>
      </x:c>
      <x:c r="B571" s="117" t="str">
        <x:v>On_US_FSL_Lead_Conversion_Bring_Work_Order_Over_to_Contact_Account_Opportunity</x:v>
      </x:c>
      <x:c r="C571" s="117" t="str">
        <x:v>Yes</x:v>
      </x:c>
      <x:c r="D571" s="119" t="str">
        <x:v>Active v22 (Retrieved XML)</x:v>
      </x:c>
      <x:c r="E571" s="117" t="str">
        <x:v>Opportunity</x:v>
      </x:c>
      <x:c r="F571" s="119" t="str">
        <x:v>Read, Reference, Trigger, Update, Variable</x:v>
      </x:c>
      <x:c r="G571" s="117" t="str">
        <x:v>Yes</x:v>
      </x:c>
      <x:c r="H571" s="117" t="str">
        <x:v>AutoLaunchedFlow</x:v>
      </x:c>
    </x:row>
    <x:row r="572" ht="30" customHeight="1">
      <x:c r="A572" s="117" t="str">
        <x:v>300Ro00000rL43hIAC</x:v>
      </x:c>
      <x:c r="B572" s="117" t="str">
        <x:v>Opportunity_Asset_Management_Screen_Flow</x:v>
      </x:c>
      <x:c r="C572" s="117" t="str">
        <x:v>Yes</x:v>
      </x:c>
      <x:c r="D572" s="119" t="str">
        <x:v>Active v9 (Retrieved XML)</x:v>
      </x:c>
      <x:c r="E572" s="117" t="str">
        <x:v>Opportunity</x:v>
      </x:c>
      <x:c r="F572" s="119" t="str">
        <x:v>Variable</x:v>
      </x:c>
      <x:c r="G572" s="117" t="str">
        <x:v>No</x:v>
      </x:c>
      <x:c r="H572" s="117" t="str">
        <x:v>Flow</x:v>
      </x:c>
    </x:row>
    <x:row r="573" ht="30" customHeight="1">
      <x:c r="A573" s="117" t="str">
        <x:v>300Ro00000xUsgvIAC</x:v>
      </x:c>
      <x:c r="B573" s="117" t="str">
        <x:v>Opportunity_Asynchronous_on_create_Update_Total_Cost_of_Project_POs</x:v>
      </x:c>
      <x:c r="C573" s="117" t="str">
        <x:v>Yes</x:v>
      </x:c>
      <x:c r="D573" s="119" t="str">
        <x:v>Active v1 (Retrieved XML)</x:v>
      </x:c>
      <x:c r="E573" s="117" t="str">
        <x:v>Opportunity</x:v>
      </x:c>
      <x:c r="F573" s="119" t="str">
        <x:v>Read, Reference, Trigger</x:v>
      </x:c>
      <x:c r="G573" s="117" t="str">
        <x:v>Yes</x:v>
      </x:c>
      <x:c r="H573" s="117" t="str">
        <x:v>AutoLaunchedFlow</x:v>
      </x:c>
    </x:row>
    <x:row r="574" ht="30" customHeight="1">
      <x:c r="A574" s="117" t="str">
        <x:v>300Ro00000xUsgwIAC</x:v>
      </x:c>
      <x:c r="B574" s="117" t="str">
        <x:v>Opportunity_Asynchronous_on_delete_Update_Total_Cost_of_Project_POs</x:v>
      </x:c>
      <x:c r="C574" s="117" t="str">
        <x:v>Yes</x:v>
      </x:c>
      <x:c r="D574" s="119" t="str">
        <x:v>Active v1 (Retrieved XML)</x:v>
      </x:c>
      <x:c r="E574" s="117" t="str">
        <x:v>Opportunity</x:v>
      </x:c>
      <x:c r="F574" s="119" t="str">
        <x:v>Read, Reference, Trigger</x:v>
      </x:c>
      <x:c r="G574" s="117" t="str">
        <x:v>Yes</x:v>
      </x:c>
      <x:c r="H574" s="117" t="str">
        <x:v>AutoLaunchedFlow</x:v>
      </x:c>
    </x:row>
    <x:row r="575" ht="30" customHeight="1">
      <x:c r="A575" s="117" t="str">
        <x:v>300Ro00000xUsgxIAC</x:v>
      </x:c>
      <x:c r="B575" s="117" t="str">
        <x:v>Opportunity_Asynchronous_on_update_Update_Total_Cost_of_Project_POs</x:v>
      </x:c>
      <x:c r="C575" s="117" t="str">
        <x:v>Yes</x:v>
      </x:c>
      <x:c r="D575" s="119" t="str">
        <x:v>Active v1 (Retrieved XML)</x:v>
      </x:c>
      <x:c r="E575" s="117" t="str">
        <x:v>Opportunity</x:v>
      </x:c>
      <x:c r="F575" s="119" t="str">
        <x:v>Read, Reference, Trigger</x:v>
      </x:c>
      <x:c r="G575" s="117" t="str">
        <x:v>Yes</x:v>
      </x:c>
      <x:c r="H575" s="117" t="str">
        <x:v>AutoLaunchedFlow</x:v>
      </x:c>
    </x:row>
    <x:row r="576" ht="30" customHeight="1">
      <x:c r="A576" s="117" t="str">
        <x:v>300Ro00000fleLpIAI</x:v>
      </x:c>
      <x:c r="B576" s="117" t="str">
        <x:v>Opportunity_Automations</x:v>
      </x:c>
      <x:c r="C576" s="117" t="str">
        <x:v>Yes</x:v>
      </x:c>
      <x:c r="D576" s="119" t="str">
        <x:v>Active v1 (Retrieved XML)</x:v>
      </x:c>
      <x:c r="E576" s="117" t="str">
        <x:v>Opportunity</x:v>
      </x:c>
      <x:c r="F576" s="119" t="str">
        <x:v>Reference, Trigger</x:v>
      </x:c>
      <x:c r="G576" s="117" t="str">
        <x:v>Yes</x:v>
      </x:c>
      <x:c r="H576" s="117" t="str">
        <x:v>AutoLaunchedFlow</x:v>
      </x:c>
    </x:row>
    <x:row r="577" ht="30" customHeight="1">
      <x:c r="A577" s="117" t="str">
        <x:v>3004O000000LOu6QAG</x:v>
      </x:c>
      <x:c r="B577" s="117" t="str">
        <x:v>Opportunity_Calculate_Tax_on_Amount_Change</x:v>
      </x:c>
      <x:c r="C577" s="117" t="str">
        <x:v>No</x:v>
      </x:c>
      <x:c r="D577" s="119" t="str">
        <x:v>Latest inactive v1 (Retrieved XML)</x:v>
      </x:c>
      <x:c r="E577" s="117" t="str">
        <x:v>Opportunity</x:v>
      </x:c>
      <x:c r="F577" s="119" t="str">
        <x:v>Reference, Update, Variable</x:v>
      </x:c>
      <x:c r="G577" s="117" t="str">
        <x:v>No</x:v>
      </x:c>
      <x:c r="H577" s="117" t="str">
        <x:v>Workflow</x:v>
      </x:c>
    </x:row>
    <x:row r="578" ht="30" customHeight="1">
      <x:c r="A578" s="117" t="str">
        <x:v>300Ro00000h8pnpIAA</x:v>
      </x:c>
      <x:c r="B578" s="117" t="str">
        <x:v>Opportunity_Canadian_Entity</x:v>
      </x:c>
      <x:c r="C578" s="117" t="str">
        <x:v>No</x:v>
      </x:c>
      <x:c r="D578" s="119" t="str">
        <x:v>Latest inactive v3 (Retrieved XML)</x:v>
      </x:c>
      <x:c r="E578" s="117" t="str">
        <x:v>Opportunity</x:v>
      </x:c>
      <x:c r="F578" s="119" t="str">
        <x:v>Reference, Trigger, Update</x:v>
      </x:c>
      <x:c r="G578" s="117" t="str">
        <x:v>Yes</x:v>
      </x:c>
      <x:c r="H578" s="117" t="str">
        <x:v>AutoLaunchedFlow</x:v>
      </x:c>
    </x:row>
    <x:row r="579" ht="30" customHeight="1">
      <x:c r="A579" s="117" t="str">
        <x:v>3004O000000LOvxQAG</x:v>
      </x:c>
      <x:c r="B579" s="117" t="str">
        <x:v>Opportunity_Create_Processes</x:v>
      </x:c>
      <x:c r="C579" s="117" t="str">
        <x:v>No</x:v>
      </x:c>
      <x:c r="D579" s="119" t="str">
        <x:v>Latest inactive v4 (Retrieved XML)</x:v>
      </x:c>
      <x:c r="E579" s="117" t="str">
        <x:v>Opportunity</x:v>
      </x:c>
      <x:c r="F579" s="119" t="str">
        <x:v>Reference, Update, Variable</x:v>
      </x:c>
      <x:c r="G579" s="117" t="str">
        <x:v>No</x:v>
      </x:c>
      <x:c r="H579" s="117" t="str">
        <x:v>Workflow</x:v>
      </x:c>
    </x:row>
    <x:row r="580" ht="30" customHeight="1">
      <x:c r="A580" s="117" t="str">
        <x:v>3005b000000H1eMAAS</x:v>
      </x:c>
      <x:c r="B580" s="117" t="str">
        <x:v>Opportunity_Create_Warranty_Service_Contract</x:v>
      </x:c>
      <x:c r="C580" s="117" t="str">
        <x:v>Yes</x:v>
      </x:c>
      <x:c r="D580" s="119" t="str">
        <x:v>Active v16 (Retrieved XML)</x:v>
      </x:c>
      <x:c r="E580" s="117" t="str">
        <x:v>Opportunity</x:v>
      </x:c>
      <x:c r="F580" s="119" t="str">
        <x:v>Reference, Trigger</x:v>
      </x:c>
      <x:c r="G580" s="117" t="str">
        <x:v>Yes</x:v>
      </x:c>
      <x:c r="H580" s="117" t="str">
        <x:v>AutoLaunchedFlow</x:v>
      </x:c>
    </x:row>
    <x:row r="581" ht="30" customHeight="1">
      <x:c r="A581" s="117" t="str">
        <x:v>300Ro00000wIHDtIAO</x:v>
      </x:c>
      <x:c r="B581" s="117" t="str">
        <x:v>Opportunity_Creation_and_Update_Set_Intercompany_Transaction_Opportunity_Name</x:v>
      </x:c>
      <x:c r="C581" s="117" t="str">
        <x:v>Yes</x:v>
      </x:c>
      <x:c r="D581" s="119" t="str">
        <x:v>Active v9 (Retrieved XML)</x:v>
      </x:c>
      <x:c r="E581" s="117" t="str">
        <x:v>Opportunity</x:v>
      </x:c>
      <x:c r="F581" s="119" t="str">
        <x:v>Reference, Trigger, Update</x:v>
      </x:c>
      <x:c r="G581" s="117" t="str">
        <x:v>Yes</x:v>
      </x:c>
      <x:c r="H581" s="117" t="str">
        <x:v>AutoLaunchedFlow</x:v>
      </x:c>
    </x:row>
    <x:row r="582" ht="30" customHeight="1">
      <x:c r="A582" s="117" t="str">
        <x:v>300Ro00000wHiZaIAK</x:v>
      </x:c>
      <x:c r="B582" s="117" t="str">
        <x:v>Opportunity_Line_Item_Creation_or_Update_Set_Opportunity_Asset_Summary</x:v>
      </x:c>
      <x:c r="C582" s="117" t="str">
        <x:v>Yes</x:v>
      </x:c>
      <x:c r="D582" s="119" t="str">
        <x:v>Active v6 (Retrieved XML)</x:v>
      </x:c>
      <x:c r="E582" s="117" t="str">
        <x:v>Opportunity</x:v>
      </x:c>
      <x:c r="F582" s="119" t="str">
        <x:v>Reference, Trigger, Update</x:v>
      </x:c>
      <x:c r="G582" s="117" t="str">
        <x:v>Yes</x:v>
      </x:c>
      <x:c r="H582" s="117" t="str">
        <x:v>AutoLaunchedFlow</x:v>
      </x:c>
    </x:row>
    <x:row r="583" ht="30" customHeight="1">
      <x:c r="A583" s="117" t="str">
        <x:v>3005b000000Pz1DAAS</x:v>
      </x:c>
      <x:c r="B583" s="117" t="str">
        <x:v>Opportunity_Product_Rollups</x:v>
      </x:c>
      <x:c r="C583" s="117" t="str">
        <x:v>Yes</x:v>
      </x:c>
      <x:c r="D583" s="119" t="str">
        <x:v>Active v18 (Retrieved XML)</x:v>
      </x:c>
      <x:c r="E583" s="117" t="str">
        <x:v>Opportunity</x:v>
      </x:c>
      <x:c r="F583" s="119" t="str">
        <x:v>Variable</x:v>
      </x:c>
      <x:c r="G583" s="117" t="str">
        <x:v>No</x:v>
      </x:c>
      <x:c r="H583" s="117" t="str">
        <x:v>AutoLaunchedFlow</x:v>
      </x:c>
    </x:row>
    <x:row r="584" ht="30" customHeight="1">
      <x:c r="A584" s="117" t="str">
        <x:v>3005b00000113QYAAY</x:v>
      </x:c>
      <x:c r="B584" s="117" t="str">
        <x:v>Opportunity_Product_Rollups_On_Create</x:v>
      </x:c>
      <x:c r="C584" s="117" t="str">
        <x:v>Yes</x:v>
      </x:c>
      <x:c r="D584" s="119" t="str">
        <x:v>Active v4 (Retrieved XML)</x:v>
      </x:c>
      <x:c r="E584" s="117" t="str">
        <x:v>Opportunity</x:v>
      </x:c>
      <x:c r="F584" s="119" t="str">
        <x:v>Variable</x:v>
      </x:c>
      <x:c r="G584" s="117" t="str">
        <x:v>No</x:v>
      </x:c>
      <x:c r="H584" s="117" t="str">
        <x:v>AutoLaunchedFlow</x:v>
      </x:c>
    </x:row>
    <x:row r="585" ht="30" customHeight="1">
      <x:c r="A585" s="117" t="str">
        <x:v>300Ro00000ia9zdIAA</x:v>
      </x:c>
      <x:c r="B585" s="117" t="str">
        <x:v>Opportunity_Resync_System</x:v>
      </x:c>
      <x:c r="C585" s="117" t="str">
        <x:v>Yes</x:v>
      </x:c>
      <x:c r="D585" s="119" t="str">
        <x:v>Active v15 (Retrieved XML)</x:v>
      </x:c>
      <x:c r="E585" s="117" t="str">
        <x:v>Opportunity</x:v>
      </x:c>
      <x:c r="F585" s="119" t="str">
        <x:v>Read, Reference, Trigger, Update</x:v>
      </x:c>
      <x:c r="G585" s="117" t="str">
        <x:v>Yes</x:v>
      </x:c>
      <x:c r="H585" s="117" t="str">
        <x:v>AutoLaunchedFlow</x:v>
      </x:c>
    </x:row>
    <x:row r="586" ht="30" customHeight="1">
      <x:c r="A586" s="117" t="str">
        <x:v>300Ro000007doaYIAQ</x:v>
      </x:c>
      <x:c r="B586" s="117" t="str">
        <x:v>Opportunity_Rollups</x:v>
      </x:c>
      <x:c r="C586" s="117" t="str">
        <x:v>No</x:v>
      </x:c>
      <x:c r="D586" s="119" t="str">
        <x:v>Latest inactive v1 (Retrieved XML)</x:v>
      </x:c>
      <x:c r="E586" s="117" t="str">
        <x:v>Opportunity</x:v>
      </x:c>
      <x:c r="F586" s="119" t="str">
        <x:v>Read, Reference, Trigger</x:v>
      </x:c>
      <x:c r="G586" s="117" t="str">
        <x:v>Yes</x:v>
      </x:c>
      <x:c r="H586" s="117" t="str">
        <x:v>AutoLaunchedFlow</x:v>
      </x:c>
    </x:row>
    <x:row r="587" ht="30" customHeight="1">
      <x:c r="A587" s="117" t="str">
        <x:v>3005b000000PzJCAA0</x:v>
      </x:c>
      <x:c r="B587" s="117" t="str">
        <x:v>Opportunity_Update_Fields_Flow</x:v>
      </x:c>
      <x:c r="C587" s="117" t="str">
        <x:v>No</x:v>
      </x:c>
      <x:c r="D587" s="119" t="str">
        <x:v>Latest inactive v12 (Retrieved XML)</x:v>
      </x:c>
      <x:c r="E587" s="117" t="str">
        <x:v>Opportunity</x:v>
      </x:c>
      <x:c r="F587" s="119" t="str">
        <x:v>Reference, Trigger, Update</x:v>
      </x:c>
      <x:c r="G587" s="117" t="str">
        <x:v>Yes</x:v>
      </x:c>
      <x:c r="H587" s="117" t="str">
        <x:v>AutoLaunchedFlow</x:v>
      </x:c>
    </x:row>
    <x:row r="588" ht="30" customHeight="1">
      <x:c r="A588" s="117" t="str">
        <x:v>300Ro00000tF5irIAC</x:v>
      </x:c>
      <x:c r="B588" s="117" t="str">
        <x:v>Opportunity_Update_FSE_Email_Record_Triggered_Flow</x:v>
      </x:c>
      <x:c r="C588" s="117" t="str">
        <x:v>Yes</x:v>
      </x:c>
      <x:c r="D588" s="119" t="str">
        <x:v>Active v2 (Retrieved XML)</x:v>
      </x:c>
      <x:c r="E588" s="117" t="str">
        <x:v>Opportunity</x:v>
      </x:c>
      <x:c r="F588" s="119" t="str">
        <x:v>Reference, Trigger, Update</x:v>
      </x:c>
      <x:c r="G588" s="117" t="str">
        <x:v>Yes</x:v>
      </x:c>
      <x:c r="H588" s="117" t="str">
        <x:v>AutoLaunchedFlow</x:v>
      </x:c>
    </x:row>
    <x:row r="589" ht="30" customHeight="1">
      <x:c r="A589" s="117" t="str">
        <x:v>3004O000000LOvyQAG</x:v>
      </x:c>
      <x:c r="B589" s="117" t="str">
        <x:v>Opportunity_Update_Processes</x:v>
      </x:c>
      <x:c r="C589" s="117" t="str">
        <x:v>Yes</x:v>
      </x:c>
      <x:c r="D589" s="119" t="str">
        <x:v>Active v66 (Retrieved XML)</x:v>
      </x:c>
      <x:c r="E589" s="117" t="str">
        <x:v>Opportunity</x:v>
      </x:c>
      <x:c r="F589" s="119" t="str">
        <x:v>Reference, Update, Variable</x:v>
      </x:c>
      <x:c r="G589" s="117" t="str">
        <x:v>No</x:v>
      </x:c>
      <x:c r="H589" s="117" t="str">
        <x:v>Workflow</x:v>
      </x:c>
    </x:row>
    <x:row r="590" ht="30" customHeight="1">
      <x:c r="A590" s="117" t="str">
        <x:v>300Ro00000xXpjKIAS</x:v>
      </x:c>
      <x:c r="B590" s="117" t="str">
        <x:v>OpportunityLineItem_Async_on_create_Update_Avg_Inventory_Life_on_Opportunity</x:v>
      </x:c>
      <x:c r="C590" s="117" t="str">
        <x:v>Yes</x:v>
      </x:c>
      <x:c r="D590" s="119" t="str">
        <x:v>Active v1 (Retrieved XML)</x:v>
      </x:c>
      <x:c r="E590" s="117" t="str">
        <x:v>Opportunity</x:v>
      </x:c>
      <x:c r="F590" s="119" t="str">
        <x:v>Reference, Update</x:v>
      </x:c>
      <x:c r="G590" s="117" t="str">
        <x:v>No</x:v>
      </x:c>
      <x:c r="H590" s="117" t="str">
        <x:v>AutoLaunchedFlow</x:v>
      </x:c>
    </x:row>
    <x:row r="591" ht="30" customHeight="1">
      <x:c r="A591" s="117" t="str">
        <x:v>300Ro00000xXpjLIAS</x:v>
      </x:c>
      <x:c r="B591" s="117" t="str">
        <x:v>OpportunityLineItem_Async_on_update_Update_Avg_Inventory_Life_on_Opportunity</x:v>
      </x:c>
      <x:c r="C591" s="117" t="str">
        <x:v>Yes</x:v>
      </x:c>
      <x:c r="D591" s="119" t="str">
        <x:v>Active v1 (Retrieved XML)</x:v>
      </x:c>
      <x:c r="E591" s="117" t="str">
        <x:v>Opportunity</x:v>
      </x:c>
      <x:c r="F591" s="119" t="str">
        <x:v>Reference, Update</x:v>
      </x:c>
      <x:c r="G591" s="117" t="str">
        <x:v>No</x:v>
      </x:c>
      <x:c r="H591" s="117" t="str">
        <x:v>AutoLaunchedFlow</x:v>
      </x:c>
    </x:row>
    <x:row r="592" ht="30" customHeight="1">
      <x:c r="A592" s="117" t="str">
        <x:v>300Ro00000xXpjMIAS</x:v>
      </x:c>
      <x:c r="B592" s="117" t="str">
        <x:v>OpportunityLineItem_Before_delete_Update_Avg_Inventory_Life_on_Opportunity</x:v>
      </x:c>
      <x:c r="C592" s="117" t="str">
        <x:v>Yes</x:v>
      </x:c>
      <x:c r="D592" s="119" t="str">
        <x:v>Active v1 (Retrieved XML)</x:v>
      </x:c>
      <x:c r="E592" s="117" t="str">
        <x:v>Opportunity</x:v>
      </x:c>
      <x:c r="F592" s="119" t="str">
        <x:v>Reference, Update</x:v>
      </x:c>
      <x:c r="G592" s="117" t="str">
        <x:v>No</x:v>
      </x:c>
      <x:c r="H592" s="117" t="str">
        <x:v>AutoLaunchedFlow</x:v>
      </x:c>
    </x:row>
    <x:row r="593" ht="30" customHeight="1">
      <x:c r="A593" s="117" t="str">
        <x:v>300Ro00000MYUvCIAX</x:v>
      </x:c>
      <x:c r="B593" s="117" t="str">
        <x:v>Prevent_Deletion_Opportunity</x:v>
      </x:c>
      <x:c r="C593" s="117" t="str">
        <x:v>No</x:v>
      </x:c>
      <x:c r="D593" s="119" t="str">
        <x:v>Latest inactive v1 (Retrieved XML)</x:v>
      </x:c>
      <x:c r="E593" s="117" t="str">
        <x:v>Opportunity</x:v>
      </x:c>
      <x:c r="F593" s="119" t="str">
        <x:v>Reference, Trigger</x:v>
      </x:c>
      <x:c r="G593" s="117" t="str">
        <x:v>Yes</x:v>
      </x:c>
      <x:c r="H593" s="117" t="str">
        <x:v>AutoLaunchedFlow</x:v>
      </x:c>
    </x:row>
    <x:row r="594" ht="30" customHeight="1">
      <x:c r="A594" s="117" t="str">
        <x:v>300Ro00000VLr5uIAD</x:v>
      </x:c>
      <x:c r="B594" s="117" t="str">
        <x:v>Pricing_Request_Trigger_Update_Req_Opp_WO_SA</x:v>
      </x:c>
      <x:c r="C594" s="117" t="str">
        <x:v>Yes</x:v>
      </x:c>
      <x:c r="D594" s="119" t="str">
        <x:v>Active v1 (Retrieved XML)</x:v>
      </x:c>
      <x:c r="E594" s="117" t="str">
        <x:v>Opportunity</x:v>
      </x:c>
      <x:c r="F594" s="119" t="str">
        <x:v>Reference, Update</x:v>
      </x:c>
      <x:c r="G594" s="117" t="str">
        <x:v>No</x:v>
      </x:c>
      <x:c r="H594" s="117" t="str">
        <x:v>AutoLaunchedFlow</x:v>
      </x:c>
    </x:row>
    <x:row r="595" ht="30" customHeight="1">
      <x:c r="A595" s="117" t="str">
        <x:v>3005b000000LHHCAA4</x:v>
      </x:c>
      <x:c r="B595" s="117" t="str">
        <x:v>ProbeRepairOpportunityStageUpdates</x:v>
      </x:c>
      <x:c r="C595" s="117" t="str">
        <x:v>No</x:v>
      </x:c>
      <x:c r="D595" s="119" t="str">
        <x:v>Latest inactive v13 (Retrieved XML)</x:v>
      </x:c>
      <x:c r="E595" s="117" t="str">
        <x:v>Opportunity</x:v>
      </x:c>
      <x:c r="F595" s="119" t="str">
        <x:v>Reference, Trigger, Update</x:v>
      </x:c>
      <x:c r="G595" s="117" t="str">
        <x:v>Yes</x:v>
      </x:c>
      <x:c r="H595" s="117" t="str">
        <x:v>AutoLaunchedFlow</x:v>
      </x:c>
    </x:row>
    <x:row r="596" ht="30" customHeight="1">
      <x:c r="A596" s="117" t="str">
        <x:v>300Ro000007doaZIAQ</x:v>
      </x:c>
      <x:c r="B596" s="117" t="str">
        <x:v>Product_Item_Rollups</x:v>
      </x:c>
      <x:c r="C596" s="117" t="str">
        <x:v>No</x:v>
      </x:c>
      <x:c r="D596" s="119" t="str">
        <x:v>Latest inactive v2 (Retrieved XML)</x:v>
      </x:c>
      <x:c r="E596" s="117" t="str">
        <x:v>Opportunity</x:v>
      </x:c>
      <x:c r="F596" s="119" t="str">
        <x:v>Variable</x:v>
      </x:c>
      <x:c r="G596" s="117" t="str">
        <x:v>No</x:v>
      </x:c>
      <x:c r="H596" s="117" t="str">
        <x:v>AutoLaunchedFlow</x:v>
      </x:c>
    </x:row>
    <x:row r="597" ht="30" customHeight="1">
      <x:c r="A597" s="117" t="str">
        <x:v>3000B0000008l3gQAA</x:v>
      </x:c>
      <x:c r="B597" s="117" t="str">
        <x:v>Product_name_from_lead_to_opp</x:v>
      </x:c>
      <x:c r="C597" s="117" t="str">
        <x:v>Yes</x:v>
      </x:c>
      <x:c r="D597" s="119" t="str">
        <x:v>Active v10 (Tooling metadata)</x:v>
      </x:c>
      <x:c r="E597" s="117" t="str">
        <x:v>Opportunity</x:v>
      </x:c>
      <x:c r="F597" s="119" t="str">
        <x:v>Reference, Update</x:v>
      </x:c>
      <x:c r="G597" s="117" t="str">
        <x:v>No</x:v>
      </x:c>
      <x:c r="H597" s="117" t="str">
        <x:v>Workflow</x:v>
      </x:c>
    </x:row>
    <x:row r="598" ht="30" customHeight="1">
      <x:c r="A598" s="117" t="str">
        <x:v>300Ro00000yRspoIAC</x:v>
      </x:c>
      <x:c r="B598" s="117" t="str">
        <x:v>ProductItem_Asynchronous_on_create_Estimated_Sales_Price_Roll_Up</x:v>
      </x:c>
      <x:c r="C598" s="117" t="str">
        <x:v>Yes</x:v>
      </x:c>
      <x:c r="D598" s="119" t="str">
        <x:v>Active v3 (Retrieved XML)</x:v>
      </x:c>
      <x:c r="E598" s="117" t="str">
        <x:v>Opportunity</x:v>
      </x:c>
      <x:c r="F598" s="119" t="str">
        <x:v>Reference, Update</x:v>
      </x:c>
      <x:c r="G598" s="117" t="str">
        <x:v>No</x:v>
      </x:c>
      <x:c r="H598" s="117" t="str">
        <x:v>AutoLaunchedFlow</x:v>
      </x:c>
    </x:row>
    <x:row r="599" ht="30" customHeight="1">
      <x:c r="A599" s="117" t="str">
        <x:v>300Ro00000ye8igIAA</x:v>
      </x:c>
      <x:c r="B599" s="117" t="str">
        <x:v>ProductItem_Asynchronous_on_create_Max_Bid_Roll_Up</x:v>
      </x:c>
      <x:c r="C599" s="117" t="str">
        <x:v>Yes</x:v>
      </x:c>
      <x:c r="D599" s="119" t="str">
        <x:v>Active v1 (Retrieved XML)</x:v>
      </x:c>
      <x:c r="E599" s="117" t="str">
        <x:v>Opportunity</x:v>
      </x:c>
      <x:c r="F599" s="119" t="str">
        <x:v>Reference, Update</x:v>
      </x:c>
      <x:c r="G599" s="117" t="str">
        <x:v>No</x:v>
      </x:c>
      <x:c r="H599" s="117" t="str">
        <x:v>AutoLaunchedFlow</x:v>
      </x:c>
    </x:row>
    <x:row r="600" ht="30" customHeight="1">
      <x:c r="A600" s="117" t="str">
        <x:v>300Ro00000yeuH3IAI</x:v>
      </x:c>
      <x:c r="B600" s="117" t="str">
        <x:v>ProductItem_Asynchronous_on_create_NumberCheckedIn_PO_Roll_Up</x:v>
      </x:c>
      <x:c r="C600" s="117" t="str">
        <x:v>Yes</x:v>
      </x:c>
      <x:c r="D600" s="119" t="str">
        <x:v>Active v1 (Retrieved XML)</x:v>
      </x:c>
      <x:c r="E600" s="117" t="str">
        <x:v>Opportunity</x:v>
      </x:c>
      <x:c r="F600" s="119" t="str">
        <x:v>Reference, Update</x:v>
      </x:c>
      <x:c r="G600" s="117" t="str">
        <x:v>No</x:v>
      </x:c>
      <x:c r="H600" s="117" t="str">
        <x:v>AutoLaunchedFlow</x:v>
      </x:c>
    </x:row>
    <x:row r="601" ht="30" customHeight="1">
      <x:c r="A601" s="117" t="str">
        <x:v>300Ro00000yyHEnIAM</x:v>
      </x:c>
      <x:c r="B601" s="117" t="str">
        <x:v>ProductItem_Asynchronous_on_create_Pur_Op_Total_Cost_of_Unsold_Assets_Roll_Up</x:v>
      </x:c>
      <x:c r="C601" s="117" t="str">
        <x:v>Yes</x:v>
      </x:c>
      <x:c r="D601" s="119" t="str">
        <x:v>Active v1 (Retrieved XML)</x:v>
      </x:c>
      <x:c r="E601" s="117" t="str">
        <x:v>Opportunity</x:v>
      </x:c>
      <x:c r="F601" s="119" t="str">
        <x:v>Reference, Update</x:v>
      </x:c>
      <x:c r="G601" s="117" t="str">
        <x:v>No</x:v>
      </x:c>
      <x:c r="H601" s="117" t="str">
        <x:v>AutoLaunchedFlow</x:v>
      </x:c>
    </x:row>
    <x:row r="602" ht="30" customHeight="1">
      <x:c r="A602" s="117" t="str">
        <x:v>300Ro00000yyBCYIA2</x:v>
      </x:c>
      <x:c r="B602" s="117" t="str">
        <x:v>ProductItem_Asynchronous_on_create_Pur_Op_Total_Cost_Roll_Up</x:v>
      </x:c>
      <x:c r="C602" s="117" t="str">
        <x:v>Yes</x:v>
      </x:c>
      <x:c r="D602" s="119" t="str">
        <x:v>Active v1 (Retrieved XML)</x:v>
      </x:c>
      <x:c r="E602" s="117" t="str">
        <x:v>Opportunity</x:v>
      </x:c>
      <x:c r="F602" s="119" t="str">
        <x:v>Reference, Update</x:v>
      </x:c>
      <x:c r="G602" s="117" t="str">
        <x:v>No</x:v>
      </x:c>
      <x:c r="H602" s="117" t="str">
        <x:v>AutoLaunchedFlow</x:v>
      </x:c>
    </x:row>
    <x:row r="603" ht="30" customHeight="1">
      <x:c r="A603" s="117" t="str">
        <x:v>300Ro00000yzeikIAA</x:v>
      </x:c>
      <x:c r="B603" s="117" t="str">
        <x:v>ProductItem_Asynchronous_on_create_Pur_Op_Working_Capital_Usage_Days_Roll_Up</x:v>
      </x:c>
      <x:c r="C603" s="117" t="str">
        <x:v>Yes</x:v>
      </x:c>
      <x:c r="D603" s="119" t="str">
        <x:v>Active v1 (Retrieved XML)</x:v>
      </x:c>
      <x:c r="E603" s="117" t="str">
        <x:v>Opportunity</x:v>
      </x:c>
      <x:c r="F603" s="119" t="str">
        <x:v>Reference, Update</x:v>
      </x:c>
      <x:c r="G603" s="117" t="str">
        <x:v>No</x:v>
      </x:c>
      <x:c r="H603" s="117" t="str">
        <x:v>AutoLaunchedFlow</x:v>
      </x:c>
    </x:row>
    <x:row r="604" ht="30" customHeight="1">
      <x:c r="A604" s="117" t="str">
        <x:v>300Ro00000yxeS0IAI</x:v>
      </x:c>
      <x:c r="B604" s="117" t="str">
        <x:v>ProductItem_Asynchronous_on_create_Starting_Bid_Roll_Up</x:v>
      </x:c>
      <x:c r="C604" s="117" t="str">
        <x:v>Yes</x:v>
      </x:c>
      <x:c r="D604" s="119" t="str">
        <x:v>Active v1 (Retrieved XML)</x:v>
      </x:c>
      <x:c r="E604" s="117" t="str">
        <x:v>Opportunity</x:v>
      </x:c>
      <x:c r="F604" s="119" t="str">
        <x:v>Reference, Update</x:v>
      </x:c>
      <x:c r="G604" s="117" t="str">
        <x:v>No</x:v>
      </x:c>
      <x:c r="H604" s="117" t="str">
        <x:v>AutoLaunchedFlow</x:v>
      </x:c>
    </x:row>
    <x:row r="605" ht="30" customHeight="1">
      <x:c r="A605" s="117" t="str">
        <x:v>300Ro00000yT0jdIAC</x:v>
      </x:c>
      <x:c r="B605" s="117" t="str">
        <x:v>ProductItem_Asynchronous_on_update_Estimated_Sales_Price_Roll_Up</x:v>
      </x:c>
      <x:c r="C605" s="117" t="str">
        <x:v>Yes</x:v>
      </x:c>
      <x:c r="D605" s="119" t="str">
        <x:v>Active v1 (Retrieved XML)</x:v>
      </x:c>
      <x:c r="E605" s="117" t="str">
        <x:v>Opportunity</x:v>
      </x:c>
      <x:c r="F605" s="119" t="str">
        <x:v>Reference, Update</x:v>
      </x:c>
      <x:c r="G605" s="117" t="str">
        <x:v>No</x:v>
      </x:c>
      <x:c r="H605" s="117" t="str">
        <x:v>AutoLaunchedFlow</x:v>
      </x:c>
    </x:row>
    <x:row r="606" ht="30" customHeight="1">
      <x:c r="A606" s="117" t="str">
        <x:v>300Ro00000ye8ihIAA</x:v>
      </x:c>
      <x:c r="B606" s="117" t="str">
        <x:v>ProductItem_Asynchronous_on_update_Max_Bid_Roll_Up</x:v>
      </x:c>
      <x:c r="C606" s="117" t="str">
        <x:v>Yes</x:v>
      </x:c>
      <x:c r="D606" s="119" t="str">
        <x:v>Active v2 (Retrieved XML)</x:v>
      </x:c>
      <x:c r="E606" s="117" t="str">
        <x:v>Opportunity</x:v>
      </x:c>
      <x:c r="F606" s="119" t="str">
        <x:v>Reference, Update</x:v>
      </x:c>
      <x:c r="G606" s="117" t="str">
        <x:v>No</x:v>
      </x:c>
      <x:c r="H606" s="117" t="str">
        <x:v>AutoLaunchedFlow</x:v>
      </x:c>
    </x:row>
    <x:row r="607" ht="30" customHeight="1">
      <x:c r="A607" s="117" t="str">
        <x:v>300Ro00000yeuH4IAI</x:v>
      </x:c>
      <x:c r="B607" s="117" t="str">
        <x:v>ProductItem_Asynchronous_on_update_NumberCheckedIn_PO_Roll_Up</x:v>
      </x:c>
      <x:c r="C607" s="117" t="str">
        <x:v>Yes</x:v>
      </x:c>
      <x:c r="D607" s="119" t="str">
        <x:v>Active v1 (Retrieved XML)</x:v>
      </x:c>
      <x:c r="E607" s="117" t="str">
        <x:v>Opportunity</x:v>
      </x:c>
      <x:c r="F607" s="119" t="str">
        <x:v>Reference, Update</x:v>
      </x:c>
      <x:c r="G607" s="117" t="str">
        <x:v>No</x:v>
      </x:c>
      <x:c r="H607" s="117" t="str">
        <x:v>AutoLaunchedFlow</x:v>
      </x:c>
    </x:row>
    <x:row r="608" ht="30" customHeight="1">
      <x:c r="A608" s="117" t="str">
        <x:v>300Ro00000yxeS1IAI</x:v>
      </x:c>
      <x:c r="B608" s="117" t="str">
        <x:v>ProductItem_Asynchronous_on_update_Starting_Bid_Roll_Up</x:v>
      </x:c>
      <x:c r="C608" s="117" t="str">
        <x:v>Yes</x:v>
      </x:c>
      <x:c r="D608" s="119" t="str">
        <x:v>Active v2 (Retrieved XML)</x:v>
      </x:c>
      <x:c r="E608" s="117" t="str">
        <x:v>Opportunity</x:v>
      </x:c>
      <x:c r="F608" s="119" t="str">
        <x:v>Reference, Update</x:v>
      </x:c>
      <x:c r="G608" s="117" t="str">
        <x:v>No</x:v>
      </x:c>
      <x:c r="H608" s="117" t="str">
        <x:v>AutoLaunchedFlow</x:v>
      </x:c>
    </x:row>
    <x:row r="609" ht="30" customHeight="1">
      <x:c r="A609" s="117" t="str">
        <x:v>300Ro00000yS5oeIAC</x:v>
      </x:c>
      <x:c r="B609" s="117" t="str">
        <x:v>ProductItem_Before_delete_Estimated_Sales_Price_Roll_Up</x:v>
      </x:c>
      <x:c r="C609" s="117" t="str">
        <x:v>Yes</x:v>
      </x:c>
      <x:c r="D609" s="119" t="str">
        <x:v>Active v2 (Retrieved XML)</x:v>
      </x:c>
      <x:c r="E609" s="117" t="str">
        <x:v>Opportunity</x:v>
      </x:c>
      <x:c r="F609" s="119" t="str">
        <x:v>Reference, Update</x:v>
      </x:c>
      <x:c r="G609" s="117" t="str">
        <x:v>No</x:v>
      </x:c>
      <x:c r="H609" s="117" t="str">
        <x:v>AutoLaunchedFlow</x:v>
      </x:c>
    </x:row>
    <x:row r="610" ht="30" customHeight="1">
      <x:c r="A610" s="117" t="str">
        <x:v>300Ro00000ye8iiIAA</x:v>
      </x:c>
      <x:c r="B610" s="117" t="str">
        <x:v>ProductItem_Before_delete_Max_Bid_Roll_Up</x:v>
      </x:c>
      <x:c r="C610" s="117" t="str">
        <x:v>Yes</x:v>
      </x:c>
      <x:c r="D610" s="119" t="str">
        <x:v>Active v2 (Retrieved XML)</x:v>
      </x:c>
      <x:c r="E610" s="117" t="str">
        <x:v>Opportunity</x:v>
      </x:c>
      <x:c r="F610" s="119" t="str">
        <x:v>Reference, Update</x:v>
      </x:c>
      <x:c r="G610" s="117" t="str">
        <x:v>No</x:v>
      </x:c>
      <x:c r="H610" s="117" t="str">
        <x:v>AutoLaunchedFlow</x:v>
      </x:c>
    </x:row>
    <x:row r="611" ht="30" customHeight="1">
      <x:c r="A611" s="117" t="str">
        <x:v>300Ro00000yeuH5IAI</x:v>
      </x:c>
      <x:c r="B611" s="117" t="str">
        <x:v>ProductItem_Before_delete_NumberCheckedIn_PO_Roll_Up</x:v>
      </x:c>
      <x:c r="C611" s="117" t="str">
        <x:v>Yes</x:v>
      </x:c>
      <x:c r="D611" s="119" t="str">
        <x:v>Active v1 (Retrieved XML)</x:v>
      </x:c>
      <x:c r="E611" s="117" t="str">
        <x:v>Opportunity</x:v>
      </x:c>
      <x:c r="F611" s="119" t="str">
        <x:v>Reference, Update</x:v>
      </x:c>
      <x:c r="G611" s="117" t="str">
        <x:v>No</x:v>
      </x:c>
      <x:c r="H611" s="117" t="str">
        <x:v>AutoLaunchedFlow</x:v>
      </x:c>
    </x:row>
    <x:row r="612" ht="30" customHeight="1">
      <x:c r="A612" s="117" t="str">
        <x:v>300Ro00000yyHEoIAM</x:v>
      </x:c>
      <x:c r="B612" s="117" t="str">
        <x:v>ProductItem_Before_Delete_Pur_Op_Total_Cost_of_Unsold_Assets_Roll_Up</x:v>
      </x:c>
      <x:c r="C612" s="117" t="str">
        <x:v>Yes</x:v>
      </x:c>
      <x:c r="D612" s="119" t="str">
        <x:v>Active v1 (Retrieved XML)</x:v>
      </x:c>
      <x:c r="E612" s="117" t="str">
        <x:v>Opportunity</x:v>
      </x:c>
      <x:c r="F612" s="119" t="str">
        <x:v>Reference, Update</x:v>
      </x:c>
      <x:c r="G612" s="117" t="str">
        <x:v>No</x:v>
      </x:c>
      <x:c r="H612" s="117" t="str">
        <x:v>AutoLaunchedFlow</x:v>
      </x:c>
    </x:row>
    <x:row r="613" ht="30" customHeight="1">
      <x:c r="A613" s="117" t="str">
        <x:v>300Ro00000yyBCZIA2</x:v>
      </x:c>
      <x:c r="B613" s="117" t="str">
        <x:v>ProductItem_Before_Delete_Pur_Op_Total_Cost_Roll_Up</x:v>
      </x:c>
      <x:c r="C613" s="117" t="str">
        <x:v>Yes</x:v>
      </x:c>
      <x:c r="D613" s="119" t="str">
        <x:v>Active v1 (Retrieved XML)</x:v>
      </x:c>
      <x:c r="E613" s="117" t="str">
        <x:v>Opportunity</x:v>
      </x:c>
      <x:c r="F613" s="119" t="str">
        <x:v>Reference, Update</x:v>
      </x:c>
      <x:c r="G613" s="117" t="str">
        <x:v>No</x:v>
      </x:c>
      <x:c r="H613" s="117" t="str">
        <x:v>AutoLaunchedFlow</x:v>
      </x:c>
    </x:row>
    <x:row r="614" ht="30" customHeight="1">
      <x:c r="A614" s="117" t="str">
        <x:v>300Ro00000yzeilIAA</x:v>
      </x:c>
      <x:c r="B614" s="117" t="str">
        <x:v>ProductItem_Before_Delete_Pur_Op_Working_Capital_Usage_Days_Roll_Up</x:v>
      </x:c>
      <x:c r="C614" s="117" t="str">
        <x:v>Yes</x:v>
      </x:c>
      <x:c r="D614" s="119" t="str">
        <x:v>Active v1 (Retrieved XML)</x:v>
      </x:c>
      <x:c r="E614" s="117" t="str">
        <x:v>Opportunity</x:v>
      </x:c>
      <x:c r="F614" s="119" t="str">
        <x:v>Reference, Update</x:v>
      </x:c>
      <x:c r="G614" s="117" t="str">
        <x:v>No</x:v>
      </x:c>
      <x:c r="H614" s="117" t="str">
        <x:v>AutoLaunchedFlow</x:v>
      </x:c>
    </x:row>
    <x:row r="615" ht="30" customHeight="1">
      <x:c r="A615" s="117" t="str">
        <x:v>300Ro00000yxeS2IAI</x:v>
      </x:c>
      <x:c r="B615" s="117" t="str">
        <x:v>ProductItem_Before_delete_Starting_Bid_Roll_Up</x:v>
      </x:c>
      <x:c r="C615" s="117" t="str">
        <x:v>Yes</x:v>
      </x:c>
      <x:c r="D615" s="119" t="str">
        <x:v>Active v2 (Retrieved XML)</x:v>
      </x:c>
      <x:c r="E615" s="117" t="str">
        <x:v>Opportunity</x:v>
      </x:c>
      <x:c r="F615" s="119" t="str">
        <x:v>Reference, Update</x:v>
      </x:c>
      <x:c r="G615" s="117" t="str">
        <x:v>No</x:v>
      </x:c>
      <x:c r="H615" s="117" t="str">
        <x:v>AutoLaunchedFlow</x:v>
      </x:c>
    </x:row>
    <x:row r="616" ht="30" customHeight="1">
      <x:c r="A616" s="117" t="str">
        <x:v>300Ro00000yyHEpIAM</x:v>
      </x:c>
      <x:c r="B616" s="117" t="str">
        <x:v>ProductItem_on_update_Pur_Op_Total_Cost_of_Unsold_Assets_Roll_Up</x:v>
      </x:c>
      <x:c r="C616" s="117" t="str">
        <x:v>Yes</x:v>
      </x:c>
      <x:c r="D616" s="119" t="str">
        <x:v>Active v2 (Retrieved XML)</x:v>
      </x:c>
      <x:c r="E616" s="117" t="str">
        <x:v>Opportunity</x:v>
      </x:c>
      <x:c r="F616" s="119" t="str">
        <x:v>Reference, Update</x:v>
      </x:c>
      <x:c r="G616" s="117" t="str">
        <x:v>No</x:v>
      </x:c>
      <x:c r="H616" s="117" t="str">
        <x:v>AutoLaunchedFlow</x:v>
      </x:c>
    </x:row>
    <x:row r="617" ht="30" customHeight="1">
      <x:c r="A617" s="117" t="str">
        <x:v>300Ro00000yyBCaIAM</x:v>
      </x:c>
      <x:c r="B617" s="117" t="str">
        <x:v>ProductItem_on_update_Pur_Op_Total_Cost_Roll_Up</x:v>
      </x:c>
      <x:c r="C617" s="117" t="str">
        <x:v>Yes</x:v>
      </x:c>
      <x:c r="D617" s="119" t="str">
        <x:v>Active v1 (Retrieved XML)</x:v>
      </x:c>
      <x:c r="E617" s="117" t="str">
        <x:v>Opportunity</x:v>
      </x:c>
      <x:c r="F617" s="119" t="str">
        <x:v>Reference, Update</x:v>
      </x:c>
      <x:c r="G617" s="117" t="str">
        <x:v>No</x:v>
      </x:c>
      <x:c r="H617" s="117" t="str">
        <x:v>AutoLaunchedFlow</x:v>
      </x:c>
    </x:row>
    <x:row r="618" ht="30" customHeight="1">
      <x:c r="A618" s="117" t="str">
        <x:v>300Ro00000yzeimIAA</x:v>
      </x:c>
      <x:c r="B618" s="117" t="str">
        <x:v>ProductItem_on_update_Pur_Op_Working_Capital_Usage_Days_Roll_Up</x:v>
      </x:c>
      <x:c r="C618" s="117" t="str">
        <x:v>Yes</x:v>
      </x:c>
      <x:c r="D618" s="119" t="str">
        <x:v>Active v1 (Retrieved XML)</x:v>
      </x:c>
      <x:c r="E618" s="117" t="str">
        <x:v>Opportunity</x:v>
      </x:c>
      <x:c r="F618" s="119" t="str">
        <x:v>Reference, Update</x:v>
      </x:c>
      <x:c r="G618" s="117" t="str">
        <x:v>No</x:v>
      </x:c>
      <x:c r="H618" s="117" t="str">
        <x:v>AutoLaunchedFlow</x:v>
      </x:c>
    </x:row>
    <x:row r="619" ht="30" customHeight="1">
      <x:c r="A619" s="117" t="str">
        <x:v>300Ro000006dI4tIAE</x:v>
      </x:c>
      <x:c r="B619" s="117" t="str">
        <x:v>Purchasing_Opportunity_Field_Updates_Flow</x:v>
      </x:c>
      <x:c r="C619" s="117" t="str">
        <x:v>Yes</x:v>
      </x:c>
      <x:c r="D619" s="119" t="str">
        <x:v>Active v15 (Retrieved XML)</x:v>
      </x:c>
      <x:c r="E619" s="117" t="str">
        <x:v>Opportunity</x:v>
      </x:c>
      <x:c r="F619" s="119" t="str">
        <x:v>Reference, Trigger, Update</x:v>
      </x:c>
      <x:c r="G619" s="117" t="str">
        <x:v>Yes</x:v>
      </x:c>
      <x:c r="H619" s="117" t="str">
        <x:v>AutoLaunchedFlow</x:v>
      </x:c>
    </x:row>
    <x:row r="620" ht="30" customHeight="1">
      <x:c r="A620" s="117" t="str">
        <x:v>3005b000000H3hXAAS</x:v>
      </x:c>
      <x:c r="B620" s="117" t="str">
        <x:v>QA_Required_Auto_Update_from_Assets_for_UK</x:v>
      </x:c>
      <x:c r="C620" s="117" t="str">
        <x:v>Yes</x:v>
      </x:c>
      <x:c r="D620" s="119" t="str">
        <x:v>Active v4 (Retrieved XML)</x:v>
      </x:c>
      <x:c r="E620" s="117" t="str">
        <x:v>Opportunity</x:v>
      </x:c>
      <x:c r="F620" s="119" t="str">
        <x:v>Reference, Update</x:v>
      </x:c>
      <x:c r="G620" s="117" t="str">
        <x:v>No</x:v>
      </x:c>
      <x:c r="H620" s="117" t="str">
        <x:v>AutoLaunchedFlow</x:v>
      </x:c>
    </x:row>
    <x:row r="621" ht="30" customHeight="1">
      <x:c r="A621" s="117" t="str">
        <x:v>300Ro00000GpZybIAF</x:v>
      </x:c>
      <x:c r="B621" s="117" t="str">
        <x:v>Record_Triggered_After_Address_Update_Related_Lookups</x:v>
      </x:c>
      <x:c r="C621" s="117" t="str">
        <x:v>Yes</x:v>
      </x:c>
      <x:c r="D621" s="119" t="str">
        <x:v>Active v3 (Retrieved XML)</x:v>
      </x:c>
      <x:c r="E621" s="117" t="str">
        <x:v>Opportunity</x:v>
      </x:c>
      <x:c r="F621" s="119" t="str">
        <x:v>Read, Reference, Variable</x:v>
      </x:c>
      <x:c r="G621" s="117" t="str">
        <x:v>No</x:v>
      </x:c>
      <x:c r="H621" s="117" t="str">
        <x:v>AutoLaunchedFlow</x:v>
      </x:c>
    </x:row>
    <x:row r="622" ht="30" customHeight="1">
      <x:c r="A622" s="117" t="str">
        <x:v>300Ro00000M9akLIAR</x:v>
      </x:c>
      <x:c r="B622" s="117" t="str">
        <x:v>Record_Triggered_After_Debit_Memo</x:v>
      </x:c>
      <x:c r="C622" s="117" t="str">
        <x:v>Yes</x:v>
      </x:c>
      <x:c r="D622" s="119" t="str">
        <x:v>Active v1 (Retrieved XML)</x:v>
      </x:c>
      <x:c r="E622" s="117" t="str">
        <x:v>Opportunity</x:v>
      </x:c>
      <x:c r="F622" s="119" t="str">
        <x:v>Variable</x:v>
      </x:c>
      <x:c r="G622" s="117" t="str">
        <x:v>No</x:v>
      </x:c>
      <x:c r="H622" s="117" t="str">
        <x:v>AutoLaunchedFlow</x:v>
      </x:c>
    </x:row>
    <x:row r="623" ht="30" customHeight="1">
      <x:c r="A623" s="117" t="str">
        <x:v>300Ro00000GMXAcIAP</x:v>
      </x:c>
      <x:c r="B623" s="117" t="str">
        <x:v>Record_Triggered_Opportunity_Send_Tracking_Confirmation_for_WooCommerce_Orders</x:v>
      </x:c>
      <x:c r="C623" s="117" t="str">
        <x:v>Yes</x:v>
      </x:c>
      <x:c r="D623" s="119" t="str">
        <x:v>Active v1 (Retrieved XML)</x:v>
      </x:c>
      <x:c r="E623" s="117" t="str">
        <x:v>Opportunity</x:v>
      </x:c>
      <x:c r="F623" s="119" t="str">
        <x:v>Reference, Trigger</x:v>
      </x:c>
      <x:c r="G623" s="117" t="str">
        <x:v>Yes</x:v>
      </x:c>
      <x:c r="H623" s="117" t="str">
        <x:v>AutoLaunchedFlow</x:v>
      </x:c>
    </x:row>
    <x:row r="624" ht="30" customHeight="1">
      <x:c r="A624" s="117" t="str">
        <x:v>3005b000000PzrOAAS</x:v>
      </x:c>
      <x:c r="B624" s="117" t="str">
        <x:v>Refurb_Part_Request_Field_Updates_Flow</x:v>
      </x:c>
      <x:c r="C624" s="117" t="str">
        <x:v>Yes</x:v>
      </x:c>
      <x:c r="D624" s="119" t="str">
        <x:v>Active v16 (Retrieved XML)</x:v>
      </x:c>
      <x:c r="E624" s="117" t="str">
        <x:v>Opportunity</x:v>
      </x:c>
      <x:c r="F624" s="119" t="str">
        <x:v>Read, Reference, Update</x:v>
      </x:c>
      <x:c r="G624" s="117" t="str">
        <x:v>No</x:v>
      </x:c>
      <x:c r="H624" s="117" t="str">
        <x:v>AutoLaunchedFlow</x:v>
      </x:c>
    </x:row>
    <x:row r="625" ht="30" customHeight="1">
      <x:c r="A625" s="117" t="str">
        <x:v>3005b000000PzkmAAC</x:v>
      </x:c>
      <x:c r="B625" s="117" t="str">
        <x:v>Register_System_Lead_with_Mindray_Button_Flow</x:v>
      </x:c>
      <x:c r="C625" s="117" t="str">
        <x:v>Yes</x:v>
      </x:c>
      <x:c r="D625" s="119" t="str">
        <x:v>Active v11 (Retrieved XML)</x:v>
      </x:c>
      <x:c r="E625" s="117" t="str">
        <x:v>Opportunity</x:v>
      </x:c>
      <x:c r="F625" s="119" t="str">
        <x:v>Read, Reference, Update</x:v>
      </x:c>
      <x:c r="G625" s="117" t="str">
        <x:v>No</x:v>
      </x:c>
      <x:c r="H625" s="117" t="str">
        <x:v>Flow</x:v>
      </x:c>
    </x:row>
    <x:row r="626" ht="30" customHeight="1">
      <x:c r="A626" s="117" t="str">
        <x:v>3005b00000113h0AAA</x:v>
      </x:c>
      <x:c r="B626" s="117" t="str">
        <x:v>Rejecting_Credit_Memo_Request_Screen_Flow</x:v>
      </x:c>
      <x:c r="C626" s="117" t="str">
        <x:v>Yes</x:v>
      </x:c>
      <x:c r="D626" s="119" t="str">
        <x:v>Active v3 (Retrieved XML)</x:v>
      </x:c>
      <x:c r="E626" s="117" t="str">
        <x:v>Opportunity</x:v>
      </x:c>
      <x:c r="F626" s="119" t="str">
        <x:v>Read, Reference</x:v>
      </x:c>
      <x:c r="G626" s="117" t="str">
        <x:v>No</x:v>
      </x:c>
      <x:c r="H626" s="117" t="str">
        <x:v>Flow</x:v>
      </x:c>
    </x:row>
    <x:row r="627" ht="30" customHeight="1">
      <x:c r="A627" s="117" t="str">
        <x:v>3005b000000PzlkAAC</x:v>
      </x:c>
      <x:c r="B627" s="117" t="str">
        <x:v>Rep_Email_Field_Update_Flow</x:v>
      </x:c>
      <x:c r="C627" s="117" t="str">
        <x:v>Yes</x:v>
      </x:c>
      <x:c r="D627" s="119" t="str">
        <x:v>Active v11 (Retrieved XML)</x:v>
      </x:c>
      <x:c r="E627" s="117" t="str">
        <x:v>Opportunity</x:v>
      </x:c>
      <x:c r="F627" s="119" t="str">
        <x:v>Reference, Trigger, Update</x:v>
      </x:c>
      <x:c r="G627" s="117" t="str">
        <x:v>Yes</x:v>
      </x:c>
      <x:c r="H627" s="117" t="str">
        <x:v>AutoLaunchedFlow</x:v>
      </x:c>
    </x:row>
    <x:row r="628" ht="30" customHeight="1">
      <x:c r="A628" s="117" t="str">
        <x:v>300Ro00000LtJsPIAV</x:v>
      </x:c>
      <x:c r="B628" s="117" t="str">
        <x:v>Screen_Flow_Add_Purchasing_Return</x:v>
      </x:c>
      <x:c r="C628" s="117" t="str">
        <x:v>Yes</x:v>
      </x:c>
      <x:c r="D628" s="119" t="str">
        <x:v>Active v19 (Tooling metadata)</x:v>
      </x:c>
      <x:c r="E628" s="117" t="str">
        <x:v>Opportunity</x:v>
      </x:c>
      <x:c r="F628" s="119" t="str">
        <x:v>Read, Reference</x:v>
      </x:c>
      <x:c r="G628" s="117" t="str">
        <x:v>No</x:v>
      </x:c>
      <x:c r="H628" s="117" t="str">
        <x:v>Flow</x:v>
      </x:c>
    </x:row>
    <x:row r="629" ht="30" customHeight="1">
      <x:c r="A629" s="117" t="str">
        <x:v>300Ro00000ViqyjIAB</x:v>
      </x:c>
      <x:c r="B629" s="117" t="str">
        <x:v>Screen_Flow_Select_Products_to_Invoice_on_Equipment_Storage_Opps</x:v>
      </x:c>
      <x:c r="C629" s="117" t="str">
        <x:v>Yes</x:v>
      </x:c>
      <x:c r="D629" s="119" t="str">
        <x:v>Active v2 (Retrieved XML)</x:v>
      </x:c>
      <x:c r="E629" s="117" t="str">
        <x:v>Opportunity</x:v>
      </x:c>
      <x:c r="F629" s="119" t="str">
        <x:v>Read, Reference, Update</x:v>
      </x:c>
      <x:c r="G629" s="117" t="str">
        <x:v>No</x:v>
      </x:c>
      <x:c r="H629" s="117" t="str">
        <x:v>Flow</x:v>
      </x:c>
    </x:row>
    <x:row r="630" ht="30" customHeight="1">
      <x:c r="A630" s="117" t="str">
        <x:v>300Ro00000GpZycIAF</x:v>
      </x:c>
      <x:c r="B630" s="117" t="str">
        <x:v>Screen_Flow_Update_Shipping_FIelds</x:v>
      </x:c>
      <x:c r="C630" s="117" t="str">
        <x:v>Yes</x:v>
      </x:c>
      <x:c r="D630" s="119" t="str">
        <x:v>Active v2 (Retrieved XML)</x:v>
      </x:c>
      <x:c r="E630" s="117" t="str">
        <x:v>Opportunity</x:v>
      </x:c>
      <x:c r="F630" s="119" t="str">
        <x:v>Read, Reference, Update</x:v>
      </x:c>
      <x:c r="G630" s="117" t="str">
        <x:v>No</x:v>
      </x:c>
      <x:c r="H630" s="117" t="str">
        <x:v>Flow</x:v>
      </x:c>
    </x:row>
    <x:row r="631" ht="30" customHeight="1">
      <x:c r="A631" s="117" t="str">
        <x:v>300Ro00000UU24nIAD</x:v>
      </x:c>
      <x:c r="B631" s="117" t="str">
        <x:v>Send_Post_Repair_Evaluation_Email</x:v>
      </x:c>
      <x:c r="C631" s="117" t="str">
        <x:v>Yes</x:v>
      </x:c>
      <x:c r="D631" s="119" t="str">
        <x:v>Active v1 (Retrieved XML)</x:v>
      </x:c>
      <x:c r="E631" s="117" t="str">
        <x:v>Opportunity</x:v>
      </x:c>
      <x:c r="F631" s="119" t="str">
        <x:v>Read, Reference</x:v>
      </x:c>
      <x:c r="G631" s="117" t="str">
        <x:v>No</x:v>
      </x:c>
      <x:c r="H631" s="117" t="str">
        <x:v>AutoLaunchedFlow</x:v>
      </x:c>
    </x:row>
    <x:row r="632" ht="30" customHeight="1">
      <x:c r="A632" s="117" t="str">
        <x:v>3005b000000H1uvAAC</x:v>
      </x:c>
      <x:c r="B632" s="117" t="str">
        <x:v>Service_Contract_Billing_Flow</x:v>
      </x:c>
      <x:c r="C632" s="117" t="str">
        <x:v>No</x:v>
      </x:c>
      <x:c r="D632" s="119" t="str">
        <x:v>Latest inactive v10 (Retrieved XML)</x:v>
      </x:c>
      <x:c r="E632" s="117" t="str">
        <x:v>Opportunity</x:v>
      </x:c>
      <x:c r="F632" s="119" t="str">
        <x:v>Create, Reference</x:v>
      </x:c>
      <x:c r="G632" s="117" t="str">
        <x:v>No</x:v>
      </x:c>
      <x:c r="H632" s="117" t="str">
        <x:v>AutoLaunchedFlow</x:v>
      </x:c>
    </x:row>
    <x:row r="633" ht="30" customHeight="1">
      <x:c r="A633" s="117" t="str">
        <x:v>300Ro00000Zp8kCIAR</x:v>
      </x:c>
      <x:c r="B633" s="117" t="str">
        <x:v>Service_Contract_Renewal</x:v>
      </x:c>
      <x:c r="C633" s="117" t="str">
        <x:v>Yes</x:v>
      </x:c>
      <x:c r="D633" s="119" t="str">
        <x:v>Active v18 (Retrieved XML)</x:v>
      </x:c>
      <x:c r="E633" s="117" t="str">
        <x:v>Opportunity</x:v>
      </x:c>
      <x:c r="F633" s="119" t="str">
        <x:v>Create, Read, Reference, Update</x:v>
      </x:c>
      <x:c r="G633" s="117" t="str">
        <x:v>No</x:v>
      </x:c>
      <x:c r="H633" s="117" t="str">
        <x:v>Flow</x:v>
      </x:c>
    </x:row>
    <x:row r="634" ht="30" customHeight="1">
      <x:c r="A634" s="117" t="str">
        <x:v>300Ro00000nsEpqIAE</x:v>
      </x:c>
      <x:c r="B634" s="117" t="str">
        <x:v>Service_Contract_Renewal_US1</x:v>
      </x:c>
      <x:c r="C634" s="117" t="str">
        <x:v>Yes</x:v>
      </x:c>
      <x:c r="D634" s="119" t="str">
        <x:v>Active v11 (Retrieved XML)</x:v>
      </x:c>
      <x:c r="E634" s="117" t="str">
        <x:v>Opportunity</x:v>
      </x:c>
      <x:c r="F634" s="119" t="str">
        <x:v>Create, Reference, Update</x:v>
      </x:c>
      <x:c r="G634" s="117" t="str">
        <x:v>No</x:v>
      </x:c>
      <x:c r="H634" s="117" t="str">
        <x:v>Flow</x:v>
      </x:c>
    </x:row>
    <x:row r="635" ht="30" customHeight="1">
      <x:c r="A635" s="117" t="str">
        <x:v>300Ro00000n0wvxIAA</x:v>
      </x:c>
      <x:c r="B635" s="117" t="str">
        <x:v>Set_Entity_on_Opportunity_Creation</x:v>
      </x:c>
      <x:c r="C635" s="117" t="str">
        <x:v>Yes</x:v>
      </x:c>
      <x:c r="D635" s="119" t="str">
        <x:v>Active v1 (Retrieved XML)</x:v>
      </x:c>
      <x:c r="E635" s="117" t="str">
        <x:v>Opportunity</x:v>
      </x:c>
      <x:c r="F635" s="119" t="str">
        <x:v>Reference, Trigger, Update</x:v>
      </x:c>
      <x:c r="G635" s="117" t="str">
        <x:v>Yes</x:v>
      </x:c>
      <x:c r="H635" s="117" t="str">
        <x:v>AutoLaunchedFlow</x:v>
      </x:c>
    </x:row>
    <x:row r="636" ht="30" customHeight="1">
      <x:c r="A636" s="117" t="str">
        <x:v>3004O000000TiZ0QAK</x:v>
      </x:c>
      <x:c r="B636" s="117" t="str">
        <x:v>Set_Ship_Date_from_Shipment_Record</x:v>
      </x:c>
      <x:c r="C636" s="117" t="str">
        <x:v>Yes</x:v>
      </x:c>
      <x:c r="D636" s="119" t="str">
        <x:v>Active v9 (Tooling metadata)</x:v>
      </x:c>
      <x:c r="E636" s="117" t="str">
        <x:v>Opportunity</x:v>
      </x:c>
      <x:c r="F636" s="119" t="str">
        <x:v>Reference, Update</x:v>
      </x:c>
      <x:c r="G636" s="117" t="str">
        <x:v>No</x:v>
      </x:c>
      <x:c r="H636" s="117" t="str">
        <x:v>Workflow</x:v>
      </x:c>
    </x:row>
    <x:row r="637" ht="30" customHeight="1">
      <x:c r="A637" s="117" t="str">
        <x:v>300Ro00000uhVJiIAM</x:v>
      </x:c>
      <x:c r="B637" s="117" t="str">
        <x:v>Set_Shipping_Account_to_Bill_on_Opp_to_the_Account_s_Default_Shipping_Account</x:v>
      </x:c>
      <x:c r="C637" s="117" t="str">
        <x:v>No</x:v>
      </x:c>
      <x:c r="D637" s="119" t="str">
        <x:v>Latest inactive v1 (Retrieved XML)</x:v>
      </x:c>
      <x:c r="E637" s="117" t="str">
        <x:v>Opportunity</x:v>
      </x:c>
      <x:c r="F637" s="119" t="str">
        <x:v>Reference, Trigger, Update</x:v>
      </x:c>
      <x:c r="G637" s="117" t="str">
        <x:v>Yes</x:v>
      </x:c>
      <x:c r="H637" s="117" t="str">
        <x:v>AutoLaunchedFlow</x:v>
      </x:c>
    </x:row>
    <x:row r="638" ht="30" customHeight="1">
      <x:c r="A638" s="117" t="str">
        <x:v>3004O000000XhLmQAK</x:v>
      </x:c>
      <x:c r="B638" s="117" t="str">
        <x:v>Set_Task_Ownership_from_Delegate_to_Opp_Owner</x:v>
      </x:c>
      <x:c r="C638" s="117" t="str">
        <x:v>Yes</x:v>
      </x:c>
      <x:c r="D638" s="119" t="str">
        <x:v>Active v1 (Retrieved XML)</x:v>
      </x:c>
      <x:c r="E638" s="117" t="str">
        <x:v>Opportunity</x:v>
      </x:c>
      <x:c r="F638" s="119" t="str">
        <x:v>Read, Reference</x:v>
      </x:c>
      <x:c r="G638" s="117" t="str">
        <x:v>No</x:v>
      </x:c>
      <x:c r="H638" s="117" t="str">
        <x:v>AutoLaunchedFlow</x:v>
      </x:c>
    </x:row>
    <x:row r="639" ht="30" customHeight="1">
      <x:c r="A639" s="117" t="str">
        <x:v>300Ro00000vFVp9IAG</x:v>
      </x:c>
      <x:c r="B639" s="117" t="str">
        <x:v>Sets_the_FSR_Datestamp_to_Today_when_FSR_Not_Required_or_FSR_Attached_is_Checked</x:v>
      </x:c>
      <x:c r="C639" s="117" t="str">
        <x:v>Yes</x:v>
      </x:c>
      <x:c r="D639" s="119" t="str">
        <x:v>Active v1 (Retrieved XML)</x:v>
      </x:c>
      <x:c r="E639" s="117" t="str">
        <x:v>Opportunity</x:v>
      </x:c>
      <x:c r="F639" s="119" t="str">
        <x:v>Reference, Trigger, Update</x:v>
      </x:c>
      <x:c r="G639" s="117" t="str">
        <x:v>Yes</x:v>
      </x:c>
      <x:c r="H639" s="117" t="str">
        <x:v>AutoLaunchedFlow</x:v>
      </x:c>
    </x:row>
    <x:row r="640" ht="30" customHeight="1">
      <x:c r="A640" s="117" t="str">
        <x:v>3005b000000LHrFAAW</x:v>
      </x:c>
      <x:c r="B640" s="117" t="str">
        <x:v>Shipping_Product_Price_Qty_on_Op_Update_Flow</x:v>
      </x:c>
      <x:c r="C640" s="117" t="str">
        <x:v>No</x:v>
      </x:c>
      <x:c r="D640" s="119" t="str">
        <x:v>Latest inactive v21 (Retrieved XML)</x:v>
      </x:c>
      <x:c r="E640" s="117" t="str">
        <x:v>Opportunity</x:v>
      </x:c>
      <x:c r="F640" s="119" t="str">
        <x:v>Reference, Trigger</x:v>
      </x:c>
      <x:c r="G640" s="117" t="str">
        <x:v>Yes</x:v>
      </x:c>
      <x:c r="H640" s="117" t="str">
        <x:v>AutoLaunchedFlow</x:v>
      </x:c>
    </x:row>
    <x:row r="641" ht="30" customHeight="1">
      <x:c r="A641" s="117" t="str">
        <x:v>3000B0000008kvXQAQ</x:v>
      </x:c>
      <x:c r="B641" s="117" t="str">
        <x:v>Sourcing_Request_Need_By_Date_Change</x:v>
      </x:c>
      <x:c r="C641" s="117" t="str">
        <x:v>Yes</x:v>
      </x:c>
      <x:c r="D641" s="119" t="str">
        <x:v>Active v2 (Retrieved XML)</x:v>
      </x:c>
      <x:c r="E641" s="117" t="str">
        <x:v>Opportunity</x:v>
      </x:c>
      <x:c r="F641" s="119" t="str">
        <x:v>Reference, Update</x:v>
      </x:c>
      <x:c r="G641" s="117" t="str">
        <x:v>No</x:v>
      </x:c>
      <x:c r="H641" s="117" t="str">
        <x:v>Workflow</x:v>
      </x:c>
    </x:row>
    <x:row r="642" ht="30" customHeight="1">
      <x:c r="A642" s="117" t="str">
        <x:v>300Ro00000S8u9nIAB</x:v>
      </x:c>
      <x:c r="B642" s="117" t="str">
        <x:v>Sourcing_Request_Notification_Flow_for_Sales_Ops</x:v>
      </x:c>
      <x:c r="C642" s="117" t="str">
        <x:v>Yes</x:v>
      </x:c>
      <x:c r="D642" s="119" t="str">
        <x:v>Active v5 (Retrieved XML)</x:v>
      </x:c>
      <x:c r="E642" s="117" t="str">
        <x:v>Opportunity</x:v>
      </x:c>
      <x:c r="F642" s="119" t="str">
        <x:v>Read, Reference</x:v>
      </x:c>
      <x:c r="G642" s="117" t="str">
        <x:v>No</x:v>
      </x:c>
      <x:c r="H642" s="117" t="str">
        <x:v>AutoLaunchedFlow</x:v>
      </x:c>
    </x:row>
    <x:row r="643" ht="30" customHeight="1">
      <x:c r="A643" s="117" t="str">
        <x:v>300Ro00000VLr5vIAD</x:v>
      </x:c>
      <x:c r="B643" s="117" t="str">
        <x:v>SRI_Trigger_Update_Requesting_Opp_WO_SA</x:v>
      </x:c>
      <x:c r="C643" s="117" t="str">
        <x:v>Yes</x:v>
      </x:c>
      <x:c r="D643" s="119" t="str">
        <x:v>Active v1 (Retrieved XML)</x:v>
      </x:c>
      <x:c r="E643" s="117" t="str">
        <x:v>Opportunity</x:v>
      </x:c>
      <x:c r="F643" s="119" t="str">
        <x:v>Reference, Update</x:v>
      </x:c>
      <x:c r="G643" s="117" t="str">
        <x:v>No</x:v>
      </x:c>
      <x:c r="H643" s="117" t="str">
        <x:v>AutoLaunchedFlow</x:v>
      </x:c>
    </x:row>
    <x:row r="644" ht="30" customHeight="1">
      <x:c r="A644" s="117" t="str">
        <x:v>3005b000000Pzn2AAC</x:v>
      </x:c>
      <x:c r="B644" s="117" t="str">
        <x:v>Submit_Applications_Checklist_Screen_Flow</x:v>
      </x:c>
      <x:c r="C644" s="117" t="str">
        <x:v>Yes</x:v>
      </x:c>
      <x:c r="D644" s="119" t="str">
        <x:v>Active v7 (Retrieved XML)</x:v>
      </x:c>
      <x:c r="E644" s="117" t="str">
        <x:v>Opportunity</x:v>
      </x:c>
      <x:c r="F644" s="119" t="str">
        <x:v>Read, Reference, Update</x:v>
      </x:c>
      <x:c r="G644" s="117" t="str">
        <x:v>No</x:v>
      </x:c>
      <x:c r="H644" s="117" t="str">
        <x:v>Flow</x:v>
      </x:c>
    </x:row>
    <x:row r="645" ht="30" customHeight="1">
      <x:c r="A645" s="117" t="str">
        <x:v>3005b00000113bMAAQ</x:v>
      </x:c>
      <x:c r="B645" s="117" t="str">
        <x:v>Submit_Credit_Memo_Request_for_Accounting</x:v>
      </x:c>
      <x:c r="C645" s="117" t="str">
        <x:v>Yes</x:v>
      </x:c>
      <x:c r="D645" s="119" t="str">
        <x:v>Active v14 (Tooling metadata)</x:v>
      </x:c>
      <x:c r="E645" s="117" t="str">
        <x:v>Opportunity</x:v>
      </x:c>
      <x:c r="F645" s="119" t="str">
        <x:v>Read, Reference</x:v>
      </x:c>
      <x:c r="G645" s="117" t="str">
        <x:v>No</x:v>
      </x:c>
      <x:c r="H645" s="117" t="str">
        <x:v>Flow</x:v>
      </x:c>
    </x:row>
    <x:row r="646" ht="30" customHeight="1">
      <x:c r="A646" s="117" t="str">
        <x:v>3004O000000LOsrQAG</x:v>
      </x:c>
      <x:c r="B646" s="117" t="str">
        <x:v>Submit_Invoice_Flow</x:v>
      </x:c>
      <x:c r="C646" s="117" t="str">
        <x:v>Yes</x:v>
      </x:c>
      <x:c r="D646" s="119" t="str">
        <x:v>Active v13 (Retrieved XML)</x:v>
      </x:c>
      <x:c r="E646" s="117" t="str">
        <x:v>Opportunity</x:v>
      </x:c>
      <x:c r="F646" s="119" t="str">
        <x:v>Reference, Update</x:v>
      </x:c>
      <x:c r="G646" s="117" t="str">
        <x:v>No</x:v>
      </x:c>
      <x:c r="H646" s="117" t="str">
        <x:v>Flow</x:v>
      </x:c>
    </x:row>
    <x:row r="647" ht="30" customHeight="1">
      <x:c r="A647" s="117" t="str">
        <x:v>3005b000000H426AAC</x:v>
      </x:c>
      <x:c r="B647" s="117" t="str">
        <x:v>Submit_to_UK_Accounting_for_Invoicing</x:v>
      </x:c>
      <x:c r="C647" s="117" t="str">
        <x:v>Yes</x:v>
      </x:c>
      <x:c r="D647" s="119" t="str">
        <x:v>Active v8 (Retrieved XML)</x:v>
      </x:c>
      <x:c r="E647" s="117" t="str">
        <x:v>Opportunity</x:v>
      </x:c>
      <x:c r="F647" s="119" t="str">
        <x:v>Read, Reference, Update</x:v>
      </x:c>
      <x:c r="G647" s="117" t="str">
        <x:v>No</x:v>
      </x:c>
      <x:c r="H647" s="117" t="str">
        <x:v>Flow</x:v>
      </x:c>
    </x:row>
    <x:row r="648" ht="30" customHeight="1">
      <x:c r="A648" s="117" t="str">
        <x:v>3005b000000H30OAAS</x:v>
      </x:c>
      <x:c r="B648" s="117" t="str">
        <x:v>System_Deal_EA_Approval</x:v>
      </x:c>
      <x:c r="C648" s="117" t="str">
        <x:v>Yes</x:v>
      </x:c>
      <x:c r="D648" s="119" t="str">
        <x:v>Active v3 (Retrieved XML)</x:v>
      </x:c>
      <x:c r="E648" s="117" t="str">
        <x:v>Opportunity</x:v>
      </x:c>
      <x:c r="F648" s="119" t="str">
        <x:v>Reference, Update</x:v>
      </x:c>
      <x:c r="G648" s="117" t="str">
        <x:v>No</x:v>
      </x:c>
      <x:c r="H648" s="117" t="str">
        <x:v>Flow</x:v>
      </x:c>
    </x:row>
    <x:row r="649" ht="30" customHeight="1">
      <x:c r="A649" s="117" t="str">
        <x:v>300Ro000009znjeIAA</x:v>
      </x:c>
      <x:c r="B649" s="117" t="str">
        <x:v>System_Rate_Calculator_Screen_Flow</x:v>
      </x:c>
      <x:c r="C649" s="117" t="str">
        <x:v>No</x:v>
      </x:c>
      <x:c r="D649" s="119" t="str">
        <x:v>Latest inactive v15 (Retrieved XML)</x:v>
      </x:c>
      <x:c r="E649" s="117" t="str">
        <x:v>Opportunity</x:v>
      </x:c>
      <x:c r="F649" s="119" t="str">
        <x:v>Read, Reference, Update</x:v>
      </x:c>
      <x:c r="G649" s="117" t="str">
        <x:v>No</x:v>
      </x:c>
      <x:c r="H649" s="117" t="str">
        <x:v>Flow</x:v>
      </x:c>
    </x:row>
    <x:row r="650" ht="30" customHeight="1">
      <x:c r="A650" s="117" t="str">
        <x:v>300Ro00000BesY8IAJ</x:v>
      </x:c>
      <x:c r="B650" s="117" t="str">
        <x:v>System_Rate_Calculator_Screen_Flow_Rnd_2</x:v>
      </x:c>
      <x:c r="C650" s="117" t="str">
        <x:v>Yes</x:v>
      </x:c>
      <x:c r="D650" s="119" t="str">
        <x:v>Active v29 (Retrieved XML)</x:v>
      </x:c>
      <x:c r="E650" s="117" t="str">
        <x:v>Opportunity</x:v>
      </x:c>
      <x:c r="F650" s="119" t="str">
        <x:v>Read, Reference, Update</x:v>
      </x:c>
      <x:c r="G650" s="117" t="str">
        <x:v>No</x:v>
      </x:c>
      <x:c r="H650" s="117" t="str">
        <x:v>Flow</x:v>
      </x:c>
    </x:row>
    <x:row r="651" ht="30" customHeight="1">
      <x:c r="A651" s="117" t="str">
        <x:v>300Ro00000ADBG1IAP</x:v>
      </x:c>
      <x:c r="B651" s="117" t="str">
        <x:v>Training_Class_Updates_Flow</x:v>
      </x:c>
      <x:c r="C651" s="117" t="str">
        <x:v>Yes</x:v>
      </x:c>
      <x:c r="D651" s="119" t="str">
        <x:v>Active v4 (Retrieved XML)</x:v>
      </x:c>
      <x:c r="E651" s="117" t="str">
        <x:v>Opportunity</x:v>
      </x:c>
      <x:c r="F651" s="119" t="str">
        <x:v>Read, Reference, Update</x:v>
      </x:c>
      <x:c r="G651" s="117" t="str">
        <x:v>No</x:v>
      </x:c>
      <x:c r="H651" s="117" t="str">
        <x:v>AutoLaunchedFlow</x:v>
      </x:c>
    </x:row>
    <x:row r="652" ht="30" customHeight="1">
      <x:c r="A652" s="117" t="str">
        <x:v>3005b000000H3dfAAC</x:v>
      </x:c>
      <x:c r="B652" s="117" t="str">
        <x:v>UK_Create_Removal_Charge_Screenflow</x:v>
      </x:c>
      <x:c r="C652" s="117" t="str">
        <x:v>Yes</x:v>
      </x:c>
      <x:c r="D652" s="119" t="str">
        <x:v>Active v24 (Retrieved XML)</x:v>
      </x:c>
      <x:c r="E652" s="117" t="str">
        <x:v>Opportunity</x:v>
      </x:c>
      <x:c r="F652" s="119" t="str">
        <x:v>Create, Read, Reference, Update</x:v>
      </x:c>
      <x:c r="G652" s="117" t="str">
        <x:v>No</x:v>
      </x:c>
      <x:c r="H652" s="117" t="str">
        <x:v>Flow</x:v>
      </x:c>
    </x:row>
    <x:row r="653" ht="30" customHeight="1">
      <x:c r="A653" s="117" t="str">
        <x:v>3005b000000LH4SAAW</x:v>
      </x:c>
      <x:c r="B653" s="117" t="str">
        <x:v>UK_Notification_for_Parts_Preperation</x:v>
      </x:c>
      <x:c r="C653" s="117" t="str">
        <x:v>No</x:v>
      </x:c>
      <x:c r="D653" s="119" t="str">
        <x:v>Latest inactive v1 (Retrieved XML)</x:v>
      </x:c>
      <x:c r="E653" s="117" t="str">
        <x:v>Opportunity</x:v>
      </x:c>
      <x:c r="F653" s="119" t="str">
        <x:v>Reference, Trigger</x:v>
      </x:c>
      <x:c r="G653" s="117" t="str">
        <x:v>Yes</x:v>
      </x:c>
      <x:c r="H653" s="117" t="str">
        <x:v>AutoLaunchedFlow</x:v>
      </x:c>
    </x:row>
    <x:row r="654" ht="30" customHeight="1">
      <x:c r="A654" s="117" t="str">
        <x:v>3005b000000LGsbAAG</x:v>
      </x:c>
      <x:c r="B654" s="117" t="str">
        <x:v>UK_Notification_for_Shipping_Ops_to_the_UK</x:v>
      </x:c>
      <x:c r="C654" s="117" t="str">
        <x:v>Yes</x:v>
      </x:c>
      <x:c r="D654" s="119" t="str">
        <x:v>Active v3 (Retrieved XML)</x:v>
      </x:c>
      <x:c r="E654" s="117" t="str">
        <x:v>Opportunity</x:v>
      </x:c>
      <x:c r="F654" s="119" t="str">
        <x:v>Reference, Trigger</x:v>
      </x:c>
      <x:c r="G654" s="117" t="str">
        <x:v>Yes</x:v>
      </x:c>
      <x:c r="H654" s="117" t="str">
        <x:v>AutoLaunchedFlow</x:v>
      </x:c>
    </x:row>
    <x:row r="655" ht="30" customHeight="1">
      <x:c r="A655" s="117" t="str">
        <x:v>300Ro00000LuFWXIA3</x:v>
      </x:c>
      <x:c r="B655" s="117" t="str">
        <x:v>UK_Shipping_Timestamp_field_update_flow</x:v>
      </x:c>
      <x:c r="C655" s="117" t="str">
        <x:v>Yes</x:v>
      </x:c>
      <x:c r="D655" s="119" t="str">
        <x:v>Active v5 (Retrieved XML)</x:v>
      </x:c>
      <x:c r="E655" s="117" t="str">
        <x:v>Opportunity</x:v>
      </x:c>
      <x:c r="F655" s="119" t="str">
        <x:v>Reference, Trigger, Update</x:v>
      </x:c>
      <x:c r="G655" s="117" t="str">
        <x:v>Yes</x:v>
      </x:c>
      <x:c r="H655" s="117" t="str">
        <x:v>AutoLaunchedFlow</x:v>
      </x:c>
    </x:row>
    <x:row r="656" ht="30" customHeight="1">
      <x:c r="A656" s="117" t="str">
        <x:v>300Ro00000lygAzIAI</x:v>
      </x:c>
      <x:c r="B656" s="117" t="str">
        <x:v>UK_VAT_Sales_Tax_Automation</x:v>
      </x:c>
      <x:c r="C656" s="117" t="str">
        <x:v>Yes</x:v>
      </x:c>
      <x:c r="D656" s="119" t="str">
        <x:v>Active v4 (Retrieved XML)</x:v>
      </x:c>
      <x:c r="E656" s="117" t="str">
        <x:v>Opportunity</x:v>
      </x:c>
      <x:c r="F656" s="119" t="str">
        <x:v>Reference, Trigger, Update</x:v>
      </x:c>
      <x:c r="G656" s="117" t="str">
        <x:v>Yes</x:v>
      </x:c>
      <x:c r="H656" s="117" t="str">
        <x:v>AutoLaunchedFlow</x:v>
      </x:c>
    </x:row>
    <x:row r="657" ht="30" customHeight="1">
      <x:c r="A657" s="117" t="str">
        <x:v>3005b000000PzH1AAK</x:v>
      </x:c>
      <x:c r="B657" s="117" t="str">
        <x:v>Unreceipted_Invoice_Field_Update_Loop</x:v>
      </x:c>
      <x:c r="C657" s="117" t="str">
        <x:v>Yes</x:v>
      </x:c>
      <x:c r="D657" s="119" t="str">
        <x:v>Active v3 (Retrieved XML)</x:v>
      </x:c>
      <x:c r="E657" s="117" t="str">
        <x:v>Opportunity</x:v>
      </x:c>
      <x:c r="F657" s="119" t="str">
        <x:v>Reference, Trigger</x:v>
      </x:c>
      <x:c r="G657" s="117" t="str">
        <x:v>Yes</x:v>
      </x:c>
      <x:c r="H657" s="117" t="str">
        <x:v>AutoLaunchedFlow</x:v>
      </x:c>
    </x:row>
    <x:row r="658" ht="30" customHeight="1">
      <x:c r="A658" s="117" t="str">
        <x:v>300Ro00000Pz0kzIAB</x:v>
      </x:c>
      <x:c r="B658" s="117" t="str">
        <x:v>Update_comments</x:v>
      </x:c>
      <x:c r="C658" s="117" t="str">
        <x:v>Yes</x:v>
      </x:c>
      <x:c r="D658" s="119" t="str">
        <x:v>Active v192 (Tooling metadata)</x:v>
      </x:c>
      <x:c r="E658" s="117" t="str">
        <x:v>Opportunity</x:v>
      </x:c>
      <x:c r="F658" s="119" t="str">
        <x:v>Read, Reference, Variable</x:v>
      </x:c>
      <x:c r="G658" s="117" t="str">
        <x:v>No</x:v>
      </x:c>
      <x:c r="H658" s="117" t="str">
        <x:v>FieldServiceMobile</x:v>
      </x:c>
    </x:row>
    <x:row r="659" ht="30" customHeight="1">
      <x:c r="A659" s="117" t="str">
        <x:v>300Ro00000n0l9EIAQ</x:v>
      </x:c>
      <x:c r="B659" s="117" t="str">
        <x:v>Update_Currency_when_Entity_is_Changed</x:v>
      </x:c>
      <x:c r="C659" s="117" t="str">
        <x:v>Yes</x:v>
      </x:c>
      <x:c r="D659" s="119" t="str">
        <x:v>Active v2 (Tooling metadata)</x:v>
      </x:c>
      <x:c r="E659" s="117" t="str">
        <x:v>Opportunity</x:v>
      </x:c>
      <x:c r="F659" s="119" t="str">
        <x:v>Reference, Trigger, Update</x:v>
      </x:c>
      <x:c r="G659" s="117" t="str">
        <x:v>Yes</x:v>
      </x:c>
      <x:c r="H659" s="117" t="str">
        <x:v>AutoLaunchedFlow</x:v>
      </x:c>
    </x:row>
    <x:row r="660" ht="30" customHeight="1">
      <x:c r="A660" s="117" t="str">
        <x:v>3005b000000Pz8JAAS</x:v>
      </x:c>
      <x:c r="B660" s="117" t="str">
        <x:v>Update_Opportunity_With_Lead_Gen_Info</x:v>
      </x:c>
      <x:c r="C660" s="117" t="str">
        <x:v>Yes</x:v>
      </x:c>
      <x:c r="D660" s="119" t="str">
        <x:v>Active v6 (Retrieved XML)</x:v>
      </x:c>
      <x:c r="E660" s="117" t="str">
        <x:v>Opportunity</x:v>
      </x:c>
      <x:c r="F660" s="119" t="str">
        <x:v>Reference, Trigger</x:v>
      </x:c>
      <x:c r="G660" s="117" t="str">
        <x:v>Yes</x:v>
      </x:c>
      <x:c r="H660" s="117" t="str">
        <x:v>AutoLaunchedFlow</x:v>
      </x:c>
    </x:row>
    <x:row r="661" ht="30" customHeight="1">
      <x:c r="A661" s="117" t="str">
        <x:v>3004O0000000ZuGQAU</x:v>
      </x:c>
      <x:c r="B661" s="117" t="str">
        <x:v>Update_Payment_Request</x:v>
      </x:c>
      <x:c r="C661" s="117" t="str">
        <x:v>Yes</x:v>
      </x:c>
      <x:c r="D661" s="119" t="str">
        <x:v>Active v13 (Retrieved XML)</x:v>
      </x:c>
      <x:c r="E661" s="117" t="str">
        <x:v>Opportunity</x:v>
      </x:c>
      <x:c r="F661" s="119" t="str">
        <x:v>Reference, Update</x:v>
      </x:c>
      <x:c r="G661" s="117" t="str">
        <x:v>No</x:v>
      </x:c>
      <x:c r="H661" s="117" t="str">
        <x:v>Workflow</x:v>
      </x:c>
    </x:row>
    <x:row r="662" ht="30" customHeight="1">
      <x:c r="A662" s="117" t="str">
        <x:v>3005b000000LGl6AAG</x:v>
      </x:c>
      <x:c r="B662" s="117" t="str">
        <x:v>Update_Sales_Opportunity_on_Closed_won</x:v>
      </x:c>
      <x:c r="C662" s="117" t="str">
        <x:v>No</x:v>
      </x:c>
      <x:c r="D662" s="119" t="str">
        <x:v>Latest inactive v2 (Retrieved XML)</x:v>
      </x:c>
      <x:c r="E662" s="117" t="str">
        <x:v>Opportunity</x:v>
      </x:c>
      <x:c r="F662" s="119" t="str">
        <x:v>Reference, Trigger, Update</x:v>
      </x:c>
      <x:c r="G662" s="117" t="str">
        <x:v>Yes</x:v>
      </x:c>
      <x:c r="H662" s="117" t="str">
        <x:v>AutoLaunchedFlow</x:v>
      </x:c>
    </x:row>
    <x:row r="663" ht="30" customHeight="1">
      <x:c r="A663" s="117" t="str">
        <x:v>3005b000000LHHMAA4</x:v>
      </x:c>
      <x:c r="B663" s="117" t="str">
        <x:v>UpdateRMAShipDateToReadyToShip</x:v>
      </x:c>
      <x:c r="C663" s="117" t="str">
        <x:v>No</x:v>
      </x:c>
      <x:c r="D663" s="119" t="str">
        <x:v>Latest inactive v11 (Retrieved XML)</x:v>
      </x:c>
      <x:c r="E663" s="117" t="str">
        <x:v>Opportunity</x:v>
      </x:c>
      <x:c r="F663" s="119" t="str">
        <x:v>Read, Reference, Update</x:v>
      </x:c>
      <x:c r="G663" s="117" t="str">
        <x:v>No</x:v>
      </x:c>
      <x:c r="H663" s="117" t="str">
        <x:v>AutoLaunchedFlow</x:v>
      </x:c>
    </x:row>
    <x:row r="664" ht="30" customHeight="1">
      <x:c r="A664" s="117" t="str">
        <x:v>3004O000000TiZ1QAK</x:v>
      </x:c>
      <x:c r="B664" s="117" t="str">
        <x:v>Upload_Signed_Document</x:v>
      </x:c>
      <x:c r="C664" s="117" t="str">
        <x:v>Yes</x:v>
      </x:c>
      <x:c r="D664" s="119" t="str">
        <x:v>Active v1 (Retrieved XML)</x:v>
      </x:c>
      <x:c r="E664" s="117" t="str">
        <x:v>Opportunity</x:v>
      </x:c>
      <x:c r="F664" s="119" t="str">
        <x:v>Reference, Update</x:v>
      </x:c>
      <x:c r="G664" s="117" t="str">
        <x:v>No</x:v>
      </x:c>
      <x:c r="H664" s="117" t="str">
        <x:v>Flow</x:v>
      </x:c>
    </x:row>
    <x:row r="665" ht="30" customHeight="1">
      <x:c r="A665" s="117" t="str">
        <x:v>300Ro00000pbY71IAE</x:v>
      </x:c>
      <x:c r="B665" s="117" t="str">
        <x:v>US_FSL_For_Probe_Parts_Repair_Opp_Upon_FSR_attached_mark_the_work_order_status_a</x:v>
      </x:c>
      <x:c r="C665" s="117" t="str">
        <x:v>Yes</x:v>
      </x:c>
      <x:c r="D665" s="119" t="str">
        <x:v>Active v4 (Retrieved XML)</x:v>
      </x:c>
      <x:c r="E665" s="117" t="str">
        <x:v>Opportunity</x:v>
      </x:c>
      <x:c r="F665" s="119" t="str">
        <x:v>Reference, Trigger, Update</x:v>
      </x:c>
      <x:c r="G665" s="117" t="str">
        <x:v>Yes</x:v>
      </x:c>
      <x:c r="H665" s="117" t="str">
        <x:v>AutoLaunchedFlow</x:v>
      </x:c>
    </x:row>
    <x:row r="666" ht="30" customHeight="1">
      <x:c r="A666" s="117" t="str">
        <x:v>300Ro00000r25wMIAQ</x:v>
      </x:c>
      <x:c r="B666" s="117" t="str">
        <x:v>US_FSL_For_Probe_Parts_Sale_Opp_When_switched_to_pending_approval_change_work_or</x:v>
      </x:c>
      <x:c r="C666" s="117" t="str">
        <x:v>Yes</x:v>
      </x:c>
      <x:c r="D666" s="119" t="str">
        <x:v>Active v3 (Retrieved XML)</x:v>
      </x:c>
      <x:c r="E666" s="117" t="str">
        <x:v>Opportunity</x:v>
      </x:c>
      <x:c r="F666" s="119" t="str">
        <x:v>Reference, Trigger, Update</x:v>
      </x:c>
      <x:c r="G666" s="117" t="str">
        <x:v>Yes</x:v>
      </x:c>
      <x:c r="H666" s="117" t="str">
        <x:v>AutoLaunchedFlow</x:v>
      </x:c>
    </x:row>
    <x:row r="667" ht="30" customHeight="1">
      <x:c r="A667" s="117" t="str">
        <x:v>300Ro00000r3NCrIAM</x:v>
      </x:c>
      <x:c r="B667" s="117" t="str">
        <x:v>US_FSL_For_Probe_Repair_Opp_On_Setting_of_Repair_Approved_change_Work_Order_to_R</x:v>
      </x:c>
      <x:c r="C667" s="117" t="str">
        <x:v>Yes</x:v>
      </x:c>
      <x:c r="D667" s="119" t="str">
        <x:v>Active v3 (Retrieved XML)</x:v>
      </x:c>
      <x:c r="E667" s="117" t="str">
        <x:v>Opportunity</x:v>
      </x:c>
      <x:c r="F667" s="119" t="str">
        <x:v>Reference, Trigger</x:v>
      </x:c>
      <x:c r="G667" s="117" t="str">
        <x:v>Yes</x:v>
      </x:c>
      <x:c r="H667" s="117" t="str">
        <x:v>AutoLaunchedFlow</x:v>
      </x:c>
    </x:row>
    <x:row r="668" ht="30" customHeight="1">
      <x:c r="A668" s="117" t="str">
        <x:v>300Ro00000oyq0aIAA</x:v>
      </x:c>
      <x:c r="B668" s="117" t="str">
        <x:v>US_FSL_For_Probe_Sale_Opp_Upon_Close_Won_Update_Work_Order_Status_to_Ready_to_Sh</x:v>
      </x:c>
      <x:c r="C668" s="117" t="str">
        <x:v>Yes</x:v>
      </x:c>
      <x:c r="D668" s="119" t="str">
        <x:v>Active v9 (Retrieved XML)</x:v>
      </x:c>
      <x:c r="E668" s="117" t="str">
        <x:v>Opportunity</x:v>
      </x:c>
      <x:c r="F668" s="119" t="str">
        <x:v>Reference, Trigger, Update</x:v>
      </x:c>
      <x:c r="G668" s="117" t="str">
        <x:v>Yes</x:v>
      </x:c>
      <x:c r="H668" s="117" t="str">
        <x:v>AutoLaunchedFlow</x:v>
      </x:c>
    </x:row>
    <x:row r="669" ht="30" customHeight="1">
      <x:c r="A669" s="117" t="str">
        <x:v>300Ro00000oyrnsIAA</x:v>
      </x:c>
      <x:c r="B669" s="117" t="str">
        <x:v>US_FSL_For_Probe_Sale_Opp_Upon_Tracking_Entered_Update_Work_Order_Status_to_Ship</x:v>
      </x:c>
      <x:c r="C669" s="117" t="str">
        <x:v>Yes</x:v>
      </x:c>
      <x:c r="D669" s="119" t="str">
        <x:v>Active v10 (Retrieved XML)</x:v>
      </x:c>
      <x:c r="E669" s="117" t="str">
        <x:v>Opportunity</x:v>
      </x:c>
      <x:c r="F669" s="119" t="str">
        <x:v>Reference, Trigger, Update</x:v>
      </x:c>
      <x:c r="G669" s="117" t="str">
        <x:v>Yes</x:v>
      </x:c>
      <x:c r="H669" s="117" t="str">
        <x:v>AutoLaunchedFlow</x:v>
      </x:c>
    </x:row>
    <x:row r="670" ht="30" customHeight="1">
      <x:c r="A670" s="117" t="str">
        <x:v>300Ro00000s3lPuIAI</x:v>
      </x:c>
      <x:c r="B670" s="117" t="str">
        <x:v>US_FSL_On_Addition_of_Related_Work_Order_Transfer_Ownership</x:v>
      </x:c>
      <x:c r="C670" s="117" t="str">
        <x:v>Yes</x:v>
      </x:c>
      <x:c r="D670" s="119" t="str">
        <x:v>Active v2 (Retrieved XML)</x:v>
      </x:c>
      <x:c r="E670" s="117" t="str">
        <x:v>Opportunity</x:v>
      </x:c>
      <x:c r="F670" s="119" t="str">
        <x:v>Reference, Trigger, Update</x:v>
      </x:c>
      <x:c r="G670" s="117" t="str">
        <x:v>Yes</x:v>
      </x:c>
      <x:c r="H670" s="117" t="str">
        <x:v>AutoLaunchedFlow</x:v>
      </x:c>
    </x:row>
    <x:row r="671" ht="30" customHeight="1">
      <x:c r="A671" s="117" t="str">
        <x:v>300Ro00000zMlV0IAK</x:v>
      </x:c>
      <x:c r="B671" s="117" t="str">
        <x:v>US_FSL_On_Close_Lost_Repair_Opp_Set_WOLIs_to_Repair_Canceled</x:v>
      </x:c>
      <x:c r="C671" s="117" t="str">
        <x:v>Yes</x:v>
      </x:c>
      <x:c r="D671" s="119" t="str">
        <x:v>Active v1 (Retrieved XML)</x:v>
      </x:c>
      <x:c r="E671" s="117" t="str">
        <x:v>Opportunity</x:v>
      </x:c>
      <x:c r="F671" s="119" t="str">
        <x:v>Reference, Trigger</x:v>
      </x:c>
      <x:c r="G671" s="117" t="str">
        <x:v>Yes</x:v>
      </x:c>
      <x:c r="H671" s="117" t="str">
        <x:v>AutoLaunchedFlow</x:v>
      </x:c>
    </x:row>
    <x:row r="672" ht="30" customHeight="1">
      <x:c r="A672" s="117" t="str">
        <x:v>300Ro00000tWpisIAC</x:v>
      </x:c>
      <x:c r="B672" s="117" t="str">
        <x:v>US_FSL_On_Ready_to_Ship_for_Opp_Update_WO_to_Confirm_Shipping</x:v>
      </x:c>
      <x:c r="C672" s="117" t="str">
        <x:v>Yes</x:v>
      </x:c>
      <x:c r="D672" s="119" t="str">
        <x:v>Active v1 (Retrieved XML)</x:v>
      </x:c>
      <x:c r="E672" s="117" t="str">
        <x:v>Opportunity</x:v>
      </x:c>
      <x:c r="F672" s="119" t="str">
        <x:v>Reference, Trigger, Update</x:v>
      </x:c>
      <x:c r="G672" s="117" t="str">
        <x:v>Yes</x:v>
      </x:c>
      <x:c r="H672" s="117" t="str">
        <x:v>AutoLaunchedFlow</x:v>
      </x:c>
    </x:row>
    <x:row r="673" ht="30" customHeight="1">
      <x:c r="A673" s="117" t="str">
        <x:v>300Ro00000wwDUvIAM</x:v>
      </x:c>
      <x:c r="B673" s="117" t="str">
        <x:v>US_FSL_On_Repair_Declined_for_Opp_Update_WO_to_Pending_Shipment</x:v>
      </x:c>
      <x:c r="C673" s="117" t="str">
        <x:v>Yes</x:v>
      </x:c>
      <x:c r="D673" s="119" t="str">
        <x:v>Active v1 (Retrieved XML)</x:v>
      </x:c>
      <x:c r="E673" s="117" t="str">
        <x:v>Opportunity</x:v>
      </x:c>
      <x:c r="F673" s="119" t="str">
        <x:v>Reference, Trigger, Update</x:v>
      </x:c>
      <x:c r="G673" s="117" t="str">
        <x:v>Yes</x:v>
      </x:c>
      <x:c r="H673" s="117" t="str">
        <x:v>AutoLaunchedFlow</x:v>
      </x:c>
    </x:row>
    <x:row r="674" ht="30" customHeight="1">
      <x:c r="A674" s="117" t="str">
        <x:v>300Ro00000qqmCHIAY</x:v>
      </x:c>
      <x:c r="B674" s="117" t="str">
        <x:v>US_FSL_On_WO_Field_Update_Update_Opportunity_Fields</x:v>
      </x:c>
      <x:c r="C674" s="117" t="str">
        <x:v>Yes</x:v>
      </x:c>
      <x:c r="D674" s="119" t="str">
        <x:v>Active v8 (Retrieved XML)</x:v>
      </x:c>
      <x:c r="E674" s="117" t="str">
        <x:v>Opportunity</x:v>
      </x:c>
      <x:c r="F674" s="119" t="str">
        <x:v>Variable</x:v>
      </x:c>
      <x:c r="G674" s="117" t="str">
        <x:v>No</x:v>
      </x:c>
      <x:c r="H674" s="117" t="str">
        <x:v>AutoLaunchedFlow</x:v>
      </x:c>
    </x:row>
    <x:row r="675" ht="30" customHeight="1">
      <x:c r="A675" s="117" t="str">
        <x:v>300Ro00000yVe3VIAS</x:v>
      </x:c>
      <x:c r="B675" s="117" t="str">
        <x:v>US_FSL_Site_Address_Populated_but_Not_Shipping_Address</x:v>
      </x:c>
      <x:c r="C675" s="117" t="str">
        <x:v>Yes</x:v>
      </x:c>
      <x:c r="D675" s="119" t="str">
        <x:v>Active v3 (Retrieved XML)</x:v>
      </x:c>
      <x:c r="E675" s="117" t="str">
        <x:v>Opportunity</x:v>
      </x:c>
      <x:c r="F675" s="119" t="str">
        <x:v>Variable</x:v>
      </x:c>
      <x:c r="G675" s="117" t="str">
        <x:v>No</x:v>
      </x:c>
      <x:c r="H675" s="117" t="str">
        <x:v>AutoLaunchedFlow</x:v>
      </x:c>
    </x:row>
    <x:row r="676" ht="30" customHeight="1">
      <x:c r="A676" s="117" t="str">
        <x:v>300Ro00000E8Q6wIAF</x:v>
      </x:c>
      <x:c r="B676" s="117" t="str">
        <x:v>Vendor_Payment_Request_Screen_Flow</x:v>
      </x:c>
      <x:c r="C676" s="117" t="str">
        <x:v>No</x:v>
      </x:c>
      <x:c r="D676" s="119" t="str">
        <x:v>Latest inactive v1 (Retrieved XML)</x:v>
      </x:c>
      <x:c r="E676" s="117" t="str">
        <x:v>Opportunity</x:v>
      </x:c>
      <x:c r="F676" s="119" t="str">
        <x:v>Read, Reference</x:v>
      </x:c>
      <x:c r="G676" s="117" t="str">
        <x:v>No</x:v>
      </x:c>
      <x:c r="H676" s="117" t="str">
        <x:v>Flow</x:v>
      </x:c>
    </x:row>
    <x:row r="677" ht="30" customHeight="1">
      <x:c r="A677" s="117" t="str">
        <x:v>300Ro00000fvdcyIAA</x:v>
      </x:c>
      <x:c r="B677" s="117" t="str">
        <x:v>Work_Order_Automations</x:v>
      </x:c>
      <x:c r="C677" s="117" t="str">
        <x:v>Yes</x:v>
      </x:c>
      <x:c r="D677" s="119" t="str">
        <x:v>Active v2 (Retrieved XML)</x:v>
      </x:c>
      <x:c r="E677" s="117" t="str">
        <x:v>Opportunity</x:v>
      </x:c>
      <x:c r="F677" s="119" t="str">
        <x:v>Read, Reference</x:v>
      </x:c>
      <x:c r="G677" s="117" t="str">
        <x:v>No</x:v>
      </x:c>
      <x:c r="H677" s="117" t="str">
        <x:v>AutoLaunchedFlow</x:v>
      </x:c>
    </x:row>
    <x:row r="678" ht="30" customHeight="1">
      <x:c r="A678" s="117" t="str">
        <x:v>300Ro00000lZu2lIAC</x:v>
      </x:c>
      <x:c r="B678" s="117" t="str">
        <x:v>Work_Order_install_Subflow</x:v>
      </x:c>
      <x:c r="C678" s="117" t="str">
        <x:v>Yes</x:v>
      </x:c>
      <x:c r="D678" s="119" t="str">
        <x:v>Active v12 (Retrieved XML)</x:v>
      </x:c>
      <x:c r="E678" s="117" t="str">
        <x:v>Opportunity</x:v>
      </x:c>
      <x:c r="F678" s="119" t="str">
        <x:v>Read, Reference, Variable</x:v>
      </x:c>
      <x:c r="G678" s="117" t="str">
        <x:v>No</x:v>
      </x:c>
      <x:c r="H678" s="117" t="str">
        <x:v>Flow</x:v>
      </x:c>
    </x:row>
    <x:row r="679" ht="30" customHeight="1">
      <x:c r="A679" s="117" t="str">
        <x:v>300Ro00000xMXeTIAW</x:v>
      </x:c>
      <x:c r="B679" s="117" t="str">
        <x:v>Working_Capital_Usage_Days_Roll_Up</x:v>
      </x:c>
      <x:c r="C679" s="117" t="str">
        <x:v>No</x:v>
      </x:c>
      <x:c r="D679" s="119" t="str">
        <x:v>Latest inactive v1 (Retrieved XML)</x:v>
      </x:c>
      <x:c r="E679" s="117" t="str">
        <x:v>Opportunity</x:v>
      </x:c>
      <x:c r="F679" s="119" t="str">
        <x:v>Read, Reference, Variable</x:v>
      </x:c>
      <x:c r="G679" s="117" t="str">
        <x:v>No</x:v>
      </x:c>
      <x:c r="H679" s="117" t="str">
        <x:v>AutoLaunchedFlow</x:v>
      </x:c>
    </x:row>
    <x:row r="680" ht="30" customHeight="1">
      <x:c r="A680" s="117" t="str">
        <x:v>300Ro00000UU24nIAD</x:v>
      </x:c>
      <x:c r="B680" s="117" t="str">
        <x:v>Send_Post_Repair_Evaluation_Email</x:v>
      </x:c>
      <x:c r="C680" s="117" t="str">
        <x:v>Yes</x:v>
      </x:c>
      <x:c r="D680" s="119" t="str">
        <x:v>Active v1 (Retrieved XML)</x:v>
      </x:c>
      <x:c r="E680" s="117" t="str">
        <x:v>OpportunityContactRole</x:v>
      </x:c>
      <x:c r="F680" s="119" t="str">
        <x:v>Read, Reference</x:v>
      </x:c>
      <x:c r="G680" s="117" t="str">
        <x:v>No</x:v>
      </x:c>
      <x:c r="H680" s="117" t="str">
        <x:v>AutoLaunchedFlow</x:v>
      </x:c>
    </x:row>
    <x:row r="681" ht="30" customHeight="1">
      <x:c r="A681" s="117" t="str">
        <x:v>3005b000000H3dfAAC</x:v>
      </x:c>
      <x:c r="B681" s="117" t="str">
        <x:v>UK_Create_Removal_Charge_Screenflow</x:v>
      </x:c>
      <x:c r="C681" s="117" t="str">
        <x:v>Yes</x:v>
      </x:c>
      <x:c r="D681" s="119" t="str">
        <x:v>Active v24 (Retrieved XML)</x:v>
      </x:c>
      <x:c r="E681" s="117" t="str">
        <x:v>OpportunityContactRole</x:v>
      </x:c>
      <x:c r="F681" s="119" t="str">
        <x:v>Read, Reference, Variable</x:v>
      </x:c>
      <x:c r="G681" s="117" t="str">
        <x:v>No</x:v>
      </x:c>
      <x:c r="H681" s="117" t="str">
        <x:v>Flow</x:v>
      </x:c>
    </x:row>
    <x:row r="682" ht="30" customHeight="1">
      <x:c r="A682" s="117" t="str">
        <x:v>300Ro00000B1rQaIAJ</x:v>
      </x:c>
      <x:c r="B682" s="117" t="str">
        <x:v>Absorb_External_Repair_Screen_Flow</x:v>
      </x:c>
      <x:c r="C682" s="117" t="str">
        <x:v>Yes</x:v>
      </x:c>
      <x:c r="D682" s="119" t="str">
        <x:v>Active v11 (Retrieved XML)</x:v>
      </x:c>
      <x:c r="E682" s="117" t="str">
        <x:v>OpportunityLineItem</x:v>
      </x:c>
      <x:c r="F682" s="119" t="str">
        <x:v>Read, Reference</x:v>
      </x:c>
      <x:c r="G682" s="117" t="str">
        <x:v>No</x:v>
      </x:c>
      <x:c r="H682" s="117" t="str">
        <x:v>Flow</x:v>
      </x:c>
    </x:row>
    <x:row r="683" ht="30" customHeight="1">
      <x:c r="A683" s="117" t="str">
        <x:v>3005b00000113dIAAQ</x:v>
      </x:c>
      <x:c r="B683" s="117" t="str">
        <x:v>Add_Opportunity_Lines_to_Credit_Memo</x:v>
      </x:c>
      <x:c r="C683" s="117" t="str">
        <x:v>No</x:v>
      </x:c>
      <x:c r="D683" s="119" t="str">
        <x:v>Latest inactive v12 (Retrieved XML)</x:v>
      </x:c>
      <x:c r="E683" s="117" t="str">
        <x:v>OpportunityLineItem</x:v>
      </x:c>
      <x:c r="F683" s="119" t="str">
        <x:v>Read, Reference, Variable</x:v>
      </x:c>
      <x:c r="G683" s="117" t="str">
        <x:v>No</x:v>
      </x:c>
      <x:c r="H683" s="117" t="str">
        <x:v>Flow</x:v>
      </x:c>
    </x:row>
    <x:row r="684" ht="30" customHeight="1">
      <x:c r="A684" s="117" t="str">
        <x:v>300Ro000007Dq0AIAS</x:v>
      </x:c>
      <x:c r="B684" s="117" t="str">
        <x:v>AvaTax_Opportunity_Automatic_Tax_Calculation_Flow</x:v>
      </x:c>
      <x:c r="C684" s="117" t="str">
        <x:v>Yes</x:v>
      </x:c>
      <x:c r="D684" s="119" t="str">
        <x:v>Active v6 (Tooling metadata)</x:v>
      </x:c>
      <x:c r="E684" s="117" t="str">
        <x:v>OpportunityLineItem</x:v>
      </x:c>
      <x:c r="F684" s="119" t="str">
        <x:v>Read, Reference</x:v>
      </x:c>
      <x:c r="G684" s="117" t="str">
        <x:v>No</x:v>
      </x:c>
      <x:c r="H684" s="117" t="str">
        <x:v>AutoLaunchedFlow</x:v>
      </x:c>
    </x:row>
    <x:row r="685" ht="30" customHeight="1">
      <x:c r="A685" s="117" t="str">
        <x:v>3004O000000LOrvQAG</x:v>
      </x:c>
      <x:c r="B685" s="117" t="str">
        <x:v>AvaTax_Opportunity_Product_Update_AvaTax_Product_Custom_Fields</x:v>
      </x:c>
      <x:c r="C685" s="117" t="str">
        <x:v>No</x:v>
      </x:c>
      <x:c r="D685" s="119" t="str">
        <x:v>Latest inactive v3 (Tooling metadata)</x:v>
      </x:c>
      <x:c r="E685" s="117" t="str">
        <x:v>OpportunityLineItem</x:v>
      </x:c>
      <x:c r="F685" s="119" t="str">
        <x:v>Reference, Update, Variable</x:v>
      </x:c>
      <x:c r="G685" s="117" t="str">
        <x:v>No</x:v>
      </x:c>
      <x:c r="H685" s="117" t="str">
        <x:v>Workflow</x:v>
      </x:c>
    </x:row>
    <x:row r="686" ht="30" customHeight="1">
      <x:c r="A686" s="117" t="str">
        <x:v>3005b00000113fZAAQ</x:v>
      </x:c>
      <x:c r="B686" s="117" t="str">
        <x:v>CM_Set_Initial_Credit_Memo_Amount_from_Lines</x:v>
      </x:c>
      <x:c r="C686" s="117" t="str">
        <x:v>Yes</x:v>
      </x:c>
      <x:c r="D686" s="119" t="str">
        <x:v>Active v1 (Retrieved XML)</x:v>
      </x:c>
      <x:c r="E686" s="117" t="str">
        <x:v>OpportunityLineItem</x:v>
      </x:c>
      <x:c r="F686" s="119" t="str">
        <x:v>Read, Reference</x:v>
      </x:c>
      <x:c r="G686" s="117" t="str">
        <x:v>No</x:v>
      </x:c>
      <x:c r="H686" s="117" t="str">
        <x:v>AutoLaunchedFlow</x:v>
      </x:c>
    </x:row>
    <x:row r="687" ht="30" customHeight="1">
      <x:c r="A687" s="117" t="str">
        <x:v>3005b000000Pz5oAAC</x:v>
      </x:c>
      <x:c r="B687" s="117" t="str">
        <x:v>Convert_PRR_to_Purchasing_Opportunity_Screen_Flow</x:v>
      </x:c>
      <x:c r="C687" s="117" t="str">
        <x:v>Yes</x:v>
      </x:c>
      <x:c r="D687" s="119" t="str">
        <x:v>Active v15 (Retrieved XML)</x:v>
      </x:c>
      <x:c r="E687" s="117" t="str">
        <x:v>OpportunityLineItem</x:v>
      </x:c>
      <x:c r="F687" s="119" t="str">
        <x:v>Create, Reference</x:v>
      </x:c>
      <x:c r="G687" s="117" t="str">
        <x:v>No</x:v>
      </x:c>
      <x:c r="H687" s="117" t="str">
        <x:v>Flow</x:v>
      </x:c>
    </x:row>
    <x:row r="688" ht="30" customHeight="1">
      <x:c r="A688" s="117" t="str">
        <x:v>3005b000000H1m1AAC</x:v>
      </x:c>
      <x:c r="B688" s="117" t="str">
        <x:v>Count_Invoice_Products</x:v>
      </x:c>
      <x:c r="C688" s="117" t="str">
        <x:v>No</x:v>
      </x:c>
      <x:c r="D688" s="119" t="str">
        <x:v>Latest inactive v2 (Retrieved XML)</x:v>
      </x:c>
      <x:c r="E688" s="117" t="str">
        <x:v>OpportunityLineItem</x:v>
      </x:c>
      <x:c r="F688" s="119" t="str">
        <x:v>Read, Reference, Variable</x:v>
      </x:c>
      <x:c r="G688" s="117" t="str">
        <x:v>No</x:v>
      </x:c>
      <x:c r="H688" s="117" t="str">
        <x:v>AutoLaunchedFlow</x:v>
      </x:c>
    </x:row>
    <x:row r="689" ht="30" customHeight="1">
      <x:c r="A689" s="117" t="str">
        <x:v>3005b000000LJjmAAG</x:v>
      </x:c>
      <x:c r="B689" s="117" t="str">
        <x:v>Create_Core_Charge_Opportunity_from_RMA_Screen_Flow</x:v>
      </x:c>
      <x:c r="C689" s="117" t="str">
        <x:v>Yes</x:v>
      </x:c>
      <x:c r="D689" s="119" t="str">
        <x:v>Active v4 (Retrieved XML)</x:v>
      </x:c>
      <x:c r="E689" s="117" t="str">
        <x:v>OpportunityLineItem</x:v>
      </x:c>
      <x:c r="F689" s="119" t="str">
        <x:v>Create, Reference</x:v>
      </x:c>
      <x:c r="G689" s="117" t="str">
        <x:v>No</x:v>
      </x:c>
      <x:c r="H689" s="117" t="str">
        <x:v>Flow</x:v>
      </x:c>
    </x:row>
    <x:row r="690" ht="30" customHeight="1">
      <x:c r="A690" s="117" t="str">
        <x:v>300Ro00000B07T3IAJ</x:v>
      </x:c>
      <x:c r="B690" s="117" t="str">
        <x:v>Create_External_Repair_Testing_Opp_from_PO</x:v>
      </x:c>
      <x:c r="C690" s="117" t="str">
        <x:v>Yes</x:v>
      </x:c>
      <x:c r="D690" s="119" t="str">
        <x:v>Active v7 (Retrieved XML)</x:v>
      </x:c>
      <x:c r="E690" s="117" t="str">
        <x:v>OpportunityLineItem</x:v>
      </x:c>
      <x:c r="F690" s="119" t="str">
        <x:v>Create, Reference, Variable</x:v>
      </x:c>
      <x:c r="G690" s="117" t="str">
        <x:v>No</x:v>
      </x:c>
      <x:c r="H690" s="117" t="str">
        <x:v>Flow</x:v>
      </x:c>
    </x:row>
    <x:row r="691" ht="30" customHeight="1">
      <x:c r="A691" s="117" t="str">
        <x:v>300Ro00000blHOIIA2</x:v>
      </x:c>
      <x:c r="B691" s="117" t="str">
        <x:v>Create_IR_from_Opp</x:v>
      </x:c>
      <x:c r="C691" s="117" t="str">
        <x:v>Yes</x:v>
      </x:c>
      <x:c r="D691" s="119" t="str">
        <x:v>Active v6 (Tooling metadata)</x:v>
      </x:c>
      <x:c r="E691" s="117" t="str">
        <x:v>OpportunityLineItem</x:v>
      </x:c>
      <x:c r="F691" s="119" t="str">
        <x:v>Read, Reference, Variable</x:v>
      </x:c>
      <x:c r="G691" s="117" t="str">
        <x:v>No</x:v>
      </x:c>
      <x:c r="H691" s="117" t="str">
        <x:v>Flow</x:v>
      </x:c>
    </x:row>
    <x:row r="692" ht="30" customHeight="1">
      <x:c r="A692" s="117" t="str">
        <x:v>3005b000000LHirAAG</x:v>
      </x:c>
      <x:c r="B692" s="117" t="str">
        <x:v>Create_Item_Receipt_from_Opp</x:v>
      </x:c>
      <x:c r="C692" s="117" t="str">
        <x:v>No</x:v>
      </x:c>
      <x:c r="D692" s="119" t="str">
        <x:v>Latest inactive v50 (Retrieved XML)</x:v>
      </x:c>
      <x:c r="E692" s="117" t="str">
        <x:v>OpportunityLineItem</x:v>
      </x:c>
      <x:c r="F692" s="119" t="str">
        <x:v>Read, Reference, Variable</x:v>
      </x:c>
      <x:c r="G692" s="117" t="str">
        <x:v>No</x:v>
      </x:c>
      <x:c r="H692" s="117" t="str">
        <x:v>Flow</x:v>
      </x:c>
    </x:row>
    <x:row r="693" ht="30" customHeight="1">
      <x:c r="A693" s="117" t="str">
        <x:v>3004O000000LOsbQAG</x:v>
      </x:c>
      <x:c r="B693" s="117" t="str">
        <x:v>Create_Order_and_Order_Products_from_Paid_Invoice</x:v>
      </x:c>
      <x:c r="C693" s="117" t="str">
        <x:v>No</x:v>
      </x:c>
      <x:c r="D693" s="119" t="str">
        <x:v>Latest inactive v20 (Retrieved XML)</x:v>
      </x:c>
      <x:c r="E693" s="117" t="str">
        <x:v>OpportunityLineItem</x:v>
      </x:c>
      <x:c r="F693" s="119" t="str">
        <x:v>Read, Reference</x:v>
      </x:c>
      <x:c r="G693" s="117" t="str">
        <x:v>No</x:v>
      </x:c>
      <x:c r="H693" s="117" t="str">
        <x:v>AutoLaunchedFlow</x:v>
      </x:c>
    </x:row>
    <x:row r="694" ht="30" customHeight="1">
      <x:c r="A694" s="117" t="str">
        <x:v>3005b000000H2QLAA0</x:v>
      </x:c>
      <x:c r="B694" s="117" t="str">
        <x:v>Create_part_requests_from_Service_Fusion</x:v>
      </x:c>
      <x:c r="C694" s="117" t="str">
        <x:v>Yes</x:v>
      </x:c>
      <x:c r="D694" s="119" t="str">
        <x:v>Active v21 (Tooling metadata)</x:v>
      </x:c>
      <x:c r="E694" s="117" t="str">
        <x:v>OpportunityLineItem</x:v>
      </x:c>
      <x:c r="F694" s="119" t="str">
        <x:v>Variable</x:v>
      </x:c>
      <x:c r="G694" s="117" t="str">
        <x:v>No</x:v>
      </x:c>
      <x:c r="H694" s="117" t="str">
        <x:v>AutoLaunchedFlow</x:v>
      </x:c>
    </x:row>
    <x:row r="695" ht="30" customHeight="1">
      <x:c r="A695" s="117" t="str">
        <x:v>300Ro00000LVet7IAD</x:v>
      </x:c>
      <x:c r="B695" s="117" t="str">
        <x:v>Create_Restock_Fee_Opportunity_Screen_Flow</x:v>
      </x:c>
      <x:c r="C695" s="117" t="str">
        <x:v>Yes</x:v>
      </x:c>
      <x:c r="D695" s="119" t="str">
        <x:v>Active v2 (Retrieved XML)</x:v>
      </x:c>
      <x:c r="E695" s="117" t="str">
        <x:v>OpportunityLineItem</x:v>
      </x:c>
      <x:c r="F695" s="119" t="str">
        <x:v>Create, Reference</x:v>
      </x:c>
      <x:c r="G695" s="117" t="str">
        <x:v>No</x:v>
      </x:c>
      <x:c r="H695" s="117" t="str">
        <x:v>Flow</x:v>
      </x:c>
    </x:row>
    <x:row r="696" ht="30" customHeight="1">
      <x:c r="A696" s="117" t="str">
        <x:v>3005b000000PzFtAAK</x:v>
      </x:c>
      <x:c r="B696" s="117" t="str">
        <x:v>Create_Return_Op_from_Purchasing_Op</x:v>
      </x:c>
      <x:c r="C696" s="117" t="str">
        <x:v>Yes</x:v>
      </x:c>
      <x:c r="D696" s="119" t="str">
        <x:v>Active v11 (Retrieved XML)</x:v>
      </x:c>
      <x:c r="E696" s="117" t="str">
        <x:v>OpportunityLineItem</x:v>
      </x:c>
      <x:c r="F696" s="119" t="str">
        <x:v>Create, Read, Reference, Variable</x:v>
      </x:c>
      <x:c r="G696" s="117" t="str">
        <x:v>No</x:v>
      </x:c>
      <x:c r="H696" s="117" t="str">
        <x:v>Flow</x:v>
      </x:c>
    </x:row>
    <x:row r="697" ht="30" customHeight="1">
      <x:c r="A697" s="117" t="str">
        <x:v>300Ro0000099RzwIAE</x:v>
      </x:c>
      <x:c r="B697" s="117" t="str">
        <x:v>Create_Sales_Opportunities_from_Training_Class</x:v>
      </x:c>
      <x:c r="C697" s="117" t="str">
        <x:v>Yes</x:v>
      </x:c>
      <x:c r="D697" s="119" t="str">
        <x:v>Active v12 (Retrieved XML)</x:v>
      </x:c>
      <x:c r="E697" s="117" t="str">
        <x:v>OpportunityLineItem</x:v>
      </x:c>
      <x:c r="F697" s="119" t="str">
        <x:v>Variable</x:v>
      </x:c>
      <x:c r="G697" s="117" t="str">
        <x:v>No</x:v>
      </x:c>
      <x:c r="H697" s="117" t="str">
        <x:v>Flow</x:v>
      </x:c>
    </x:row>
    <x:row r="698" ht="30" customHeight="1">
      <x:c r="A698" s="117" t="str">
        <x:v>3005b000000Pz9qAAC</x:v>
      </x:c>
      <x:c r="B698" s="117" t="str">
        <x:v>Create_Shipping_Product_on_US_Lead_Conversion_to_Op</x:v>
      </x:c>
      <x:c r="C698" s="117" t="str">
        <x:v>No</x:v>
      </x:c>
      <x:c r="D698" s="119" t="str">
        <x:v>Latest inactive v3 (Retrieved XML)</x:v>
      </x:c>
      <x:c r="E698" s="117" t="str">
        <x:v>OpportunityLineItem</x:v>
      </x:c>
      <x:c r="F698" s="119" t="str">
        <x:v>Create, Reference</x:v>
      </x:c>
      <x:c r="G698" s="117" t="str">
        <x:v>No</x:v>
      </x:c>
      <x:c r="H698" s="117" t="str">
        <x:v>AutoLaunchedFlow</x:v>
      </x:c>
    </x:row>
    <x:row r="699" ht="30" customHeight="1">
      <x:c r="A699" s="117" t="str">
        <x:v>3005b000000LHrAAAW</x:v>
      </x:c>
      <x:c r="B699" s="117" t="str">
        <x:v>Create_Shipping_Product_on_US_Op_Creation</x:v>
      </x:c>
      <x:c r="C699" s="117" t="str">
        <x:v>No</x:v>
      </x:c>
      <x:c r="D699" s="119" t="str">
        <x:v>Latest inactive v12 (Retrieved XML)</x:v>
      </x:c>
      <x:c r="E699" s="117" t="str">
        <x:v>OpportunityLineItem</x:v>
      </x:c>
      <x:c r="F699" s="119" t="str">
        <x:v>Create, Reference</x:v>
      </x:c>
      <x:c r="G699" s="117" t="str">
        <x:v>No</x:v>
      </x:c>
      <x:c r="H699" s="117" t="str">
        <x:v>AutoLaunchedFlow</x:v>
      </x:c>
    </x:row>
    <x:row r="700" ht="30" customHeight="1">
      <x:c r="A700" s="117" t="str">
        <x:v>3004O000000XhBDQA0</x:v>
      </x:c>
      <x:c r="B700" s="117" t="str">
        <x:v>Create_Warranty</x:v>
      </x:c>
      <x:c r="C700" s="117" t="str">
        <x:v>No</x:v>
      </x:c>
      <x:c r="D700" s="119" t="str">
        <x:v>Latest inactive v1 (Retrieved XML)</x:v>
      </x:c>
      <x:c r="E700" s="117" t="str">
        <x:v>OpportunityLineItem</x:v>
      </x:c>
      <x:c r="F700" s="119" t="str">
        <x:v>Choice Read, Read, Reference</x:v>
      </x:c>
      <x:c r="G700" s="117" t="str">
        <x:v>No</x:v>
      </x:c>
      <x:c r="H700" s="117" t="str">
        <x:v>Flow</x:v>
      </x:c>
    </x:row>
    <x:row r="701" ht="30" customHeight="1">
      <x:c r="A701" s="117" t="str">
        <x:v>3004O000000XhBEQA0</x:v>
      </x:c>
      <x:c r="B701" s="117" t="str">
        <x:v>Create_Warranty_Auto</x:v>
      </x:c>
      <x:c r="C701" s="117" t="str">
        <x:v>No</x:v>
      </x:c>
      <x:c r="D701" s="119" t="str">
        <x:v>Latest inactive v1 (Retrieved XML)</x:v>
      </x:c>
      <x:c r="E701" s="117" t="str">
        <x:v>OpportunityLineItem</x:v>
      </x:c>
      <x:c r="F701" s="119" t="str">
        <x:v>Read, Reference, Variable</x:v>
      </x:c>
      <x:c r="G701" s="117" t="str">
        <x:v>No</x:v>
      </x:c>
      <x:c r="H701" s="117" t="str">
        <x:v>AutoLaunchedFlow</x:v>
      </x:c>
    </x:row>
    <x:row r="702" ht="30" customHeight="1">
      <x:c r="A702" s="117" t="str">
        <x:v>300Ro00000JlbywIAB</x:v>
      </x:c>
      <x:c r="B702" s="117" t="str">
        <x:v>Credit_Memo_Lines_Add_to_Credit_Memo</x:v>
      </x:c>
      <x:c r="C702" s="117" t="str">
        <x:v>Yes</x:v>
      </x:c>
      <x:c r="D702" s="119" t="str">
        <x:v>Active v7 (Retrieved XML)</x:v>
      </x:c>
      <x:c r="E702" s="117" t="str">
        <x:v>OpportunityLineItem</x:v>
      </x:c>
      <x:c r="F702" s="119" t="str">
        <x:v>Read, Reference, Variable</x:v>
      </x:c>
      <x:c r="G702" s="117" t="str">
        <x:v>No</x:v>
      </x:c>
      <x:c r="H702" s="117" t="str">
        <x:v>Flow</x:v>
      </x:c>
    </x:row>
    <x:row r="703" ht="30" customHeight="1">
      <x:c r="A703" s="117" t="str">
        <x:v>3005b000000H3HjAAK</x:v>
      </x:c>
      <x:c r="B703" s="117" t="str">
        <x:v>Custom_Payment_Flow</x:v>
      </x:c>
      <x:c r="C703" s="117" t="str">
        <x:v>Yes</x:v>
      </x:c>
      <x:c r="D703" s="119" t="str">
        <x:v>Active v15 (Retrieved XML)</x:v>
      </x:c>
      <x:c r="E703" s="117" t="str">
        <x:v>OpportunityLineItem</x:v>
      </x:c>
      <x:c r="F703" s="119" t="str">
        <x:v>Create, Reference</x:v>
      </x:c>
      <x:c r="G703" s="117" t="str">
        <x:v>No</x:v>
      </x:c>
      <x:c r="H703" s="117" t="str">
        <x:v>Flow</x:v>
      </x:c>
    </x:row>
    <x:row r="704" ht="30" customHeight="1">
      <x:c r="A704" s="117" t="str">
        <x:v>3005b000000PzHaAAK</x:v>
      </x:c>
      <x:c r="B704" s="117" t="str">
        <x:v>Delete_Select_Products_from_Opportunity_Screen_Flow</x:v>
      </x:c>
      <x:c r="C704" s="117" t="str">
        <x:v>Yes</x:v>
      </x:c>
      <x:c r="D704" s="119" t="str">
        <x:v>Active v1 (Retrieved XML)</x:v>
      </x:c>
      <x:c r="E704" s="117" t="str">
        <x:v>OpportunityLineItem</x:v>
      </x:c>
      <x:c r="F704" s="119" t="str">
        <x:v>Read, Reference</x:v>
      </x:c>
      <x:c r="G704" s="117" t="str">
        <x:v>No</x:v>
      </x:c>
      <x:c r="H704" s="117" t="str">
        <x:v>Flow</x:v>
      </x:c>
    </x:row>
    <x:row r="705" ht="30" customHeight="1">
      <x:c r="A705" s="117" t="str">
        <x:v>300Ro00000tZphgIAC</x:v>
      </x:c>
      <x:c r="B705" s="117" t="str">
        <x:v>Disaster_Recovery_Project_Raise_Invoice_from_Charges</x:v>
      </x:c>
      <x:c r="C705" s="117" t="str">
        <x:v>Yes</x:v>
      </x:c>
      <x:c r="D705" s="119" t="str">
        <x:v>Active v7 (Retrieved XML)</x:v>
      </x:c>
      <x:c r="E705" s="117" t="str">
        <x:v>OpportunityLineItem</x:v>
      </x:c>
      <x:c r="F705" s="119" t="str">
        <x:v>Variable</x:v>
      </x:c>
      <x:c r="G705" s="117" t="str">
        <x:v>No</x:v>
      </x:c>
      <x:c r="H705" s="117" t="str">
        <x:v>Flow</x:v>
      </x:c>
    </x:row>
    <x:row r="706" ht="30" customHeight="1">
      <x:c r="A706" s="117" t="str">
        <x:v>300Ro0000149ADUIA2</x:v>
      </x:c>
      <x:c r="B706" s="117" t="str">
        <x:v>DRP_Submit_Project_Charges_for_Invoicing</x:v>
      </x:c>
      <x:c r="C706" s="117" t="str">
        <x:v>No</x:v>
      </x:c>
      <x:c r="D706" s="119" t="str">
        <x:v>Latest inactive v1 (Retrieved XML)</x:v>
      </x:c>
      <x:c r="E706" s="117" t="str">
        <x:v>OpportunityLineItem</x:v>
      </x:c>
      <x:c r="F706" s="119" t="str">
        <x:v>Variable</x:v>
      </x:c>
      <x:c r="G706" s="117" t="str">
        <x:v>No</x:v>
      </x:c>
      <x:c r="H706" s="117" t="str">
        <x:v>Flow</x:v>
      </x:c>
    </x:row>
    <x:row r="707" ht="30" customHeight="1">
      <x:c r="A707" s="117" t="str">
        <x:v>300Ro00000zhGklIAE</x:v>
      </x:c>
      <x:c r="B707" s="117" t="str">
        <x:v>Finalize_Loaner_Turned_Exchange_for_FSL</x:v>
      </x:c>
      <x:c r="C707" s="117" t="str">
        <x:v>Yes</x:v>
      </x:c>
      <x:c r="D707" s="119" t="str">
        <x:v>Active v3 (Retrieved XML)</x:v>
      </x:c>
      <x:c r="E707" s="117" t="str">
        <x:v>OpportunityLineItem</x:v>
      </x:c>
      <x:c r="F707" s="119" t="str">
        <x:v>Read, Reference</x:v>
      </x:c>
      <x:c r="G707" s="117" t="str">
        <x:v>No</x:v>
      </x:c>
      <x:c r="H707" s="117" t="str">
        <x:v>Flow</x:v>
      </x:c>
    </x:row>
    <x:row r="708" ht="30" customHeight="1">
      <x:c r="A708" s="117" t="str">
        <x:v>300Ro00000cnT4mIAE</x:v>
      </x:c>
      <x:c r="B708" s="117" t="str">
        <x:v>FSL_Mobile_Create_Lead_US</x:v>
      </x:c>
      <x:c r="C708" s="117" t="str">
        <x:v>Yes</x:v>
      </x:c>
      <x:c r="D708" s="119" t="str">
        <x:v>Active v34 (Retrieved XML)</x:v>
      </x:c>
      <x:c r="E708" s="117" t="str">
        <x:v>OpportunityLineItem</x:v>
      </x:c>
      <x:c r="F708" s="119" t="str">
        <x:v>Choice Read, Read, Reference, Variable</x:v>
      </x:c>
      <x:c r="G708" s="117" t="str">
        <x:v>No</x:v>
      </x:c>
      <x:c r="H708" s="117" t="str">
        <x:v>FieldServiceMobile</x:v>
      </x:c>
    </x:row>
    <x:row r="709" ht="30" customHeight="1">
      <x:c r="A709" s="117" t="str">
        <x:v>300Ro00000cnT4cIAE</x:v>
      </x:c>
      <x:c r="B709" s="117" t="str">
        <x:v>FSL_Screen_Request_Parts_on_WO</x:v>
      </x:c>
      <x:c r="C709" s="117" t="str">
        <x:v>Yes</x:v>
      </x:c>
      <x:c r="D709" s="119" t="str">
        <x:v>Active v137 (Retrieved XML)</x:v>
      </x:c>
      <x:c r="E709" s="117" t="str">
        <x:v>OpportunityLineItem</x:v>
      </x:c>
      <x:c r="F709" s="119" t="str">
        <x:v>Choice Read, Reference, Variable</x:v>
      </x:c>
      <x:c r="G709" s="117" t="str">
        <x:v>No</x:v>
      </x:c>
      <x:c r="H709" s="117" t="str">
        <x:v>FieldServiceMobile</x:v>
      </x:c>
    </x:row>
    <x:row r="710" ht="30" customHeight="1">
      <x:c r="A710" s="117" t="str">
        <x:v>3005b000000LHdDAAW</x:v>
      </x:c>
      <x:c r="B710" s="117" t="str">
        <x:v>Invoice_Automations</x:v>
      </x:c>
      <x:c r="C710" s="117" t="str">
        <x:v>Yes</x:v>
      </x:c>
      <x:c r="D710" s="119" t="str">
        <x:v>Active v26 (Retrieved XML)</x:v>
      </x:c>
      <x:c r="E710" s="117" t="str">
        <x:v>OpportunityLineItem</x:v>
      </x:c>
      <x:c r="F710" s="119" t="str">
        <x:v>Read, Reference</x:v>
      </x:c>
      <x:c r="G710" s="117" t="str">
        <x:v>No</x:v>
      </x:c>
      <x:c r="H710" s="117" t="str">
        <x:v>AutoLaunchedFlow</x:v>
      </x:c>
    </x:row>
    <x:row r="711" ht="30" customHeight="1">
      <x:c r="A711" s="117" t="str">
        <x:v>300Ro00000VBIe8IAH</x:v>
      </x:c>
      <x:c r="B711" s="117" t="str">
        <x:v>Invoice_Create_Invoice_Line_Items</x:v>
      </x:c>
      <x:c r="C711" s="117" t="str">
        <x:v>Yes</x:v>
      </x:c>
      <x:c r="D711" s="119" t="str">
        <x:v>Active v4 (Retrieved XML)</x:v>
      </x:c>
      <x:c r="E711" s="117" t="str">
        <x:v>OpportunityLineItem</x:v>
      </x:c>
      <x:c r="F711" s="119" t="str">
        <x:v>Read, Reference, Variable</x:v>
      </x:c>
      <x:c r="G711" s="117" t="str">
        <x:v>No</x:v>
      </x:c>
      <x:c r="H711" s="117" t="str">
        <x:v>AutoLaunchedFlow</x:v>
      </x:c>
    </x:row>
    <x:row r="712" ht="30" customHeight="1">
      <x:c r="A712" s="117" t="str">
        <x:v>3004O0000000ZuBQAU</x:v>
      </x:c>
      <x:c r="B712" s="117" t="str">
        <x:v>Invoice_Object</x:v>
      </x:c>
      <x:c r="C712" s="117" t="str">
        <x:v>Yes</x:v>
      </x:c>
      <x:c r="D712" s="119" t="str">
        <x:v>Active v55 (Retrieved XML)</x:v>
      </x:c>
      <x:c r="E712" s="117" t="str">
        <x:v>OpportunityLineItem</x:v>
      </x:c>
      <x:c r="F712" s="119" t="str">
        <x:v>Reference, Update</x:v>
      </x:c>
      <x:c r="G712" s="117" t="str">
        <x:v>No</x:v>
      </x:c>
      <x:c r="H712" s="117" t="str">
        <x:v>Workflow</x:v>
      </x:c>
    </x:row>
    <x:row r="713" ht="30" customHeight="1">
      <x:c r="A713" s="117" t="str">
        <x:v>3004O000000LOvOQAW</x:v>
      </x:c>
      <x:c r="B713" s="117" t="str">
        <x:v>Invoice_Submission_Flow_V2</x:v>
      </x:c>
      <x:c r="C713" s="117" t="str">
        <x:v>Yes</x:v>
      </x:c>
      <x:c r="D713" s="119" t="str">
        <x:v>Active v37 (Retrieved XML)</x:v>
      </x:c>
      <x:c r="E713" s="117" t="str">
        <x:v>OpportunityLineItem</x:v>
      </x:c>
      <x:c r="F713" s="119" t="str">
        <x:v>Read, Reference, Variable</x:v>
      </x:c>
      <x:c r="G713" s="117" t="str">
        <x:v>No</x:v>
      </x:c>
      <x:c r="H713" s="117" t="str">
        <x:v>Flow</x:v>
      </x:c>
    </x:row>
    <x:row r="714" ht="30" customHeight="1">
      <x:c r="A714" s="117" t="str">
        <x:v>300Ro00000RkPiDIAV</x:v>
      </x:c>
      <x:c r="B714" s="117" t="str">
        <x:v>MP_Test</x:v>
      </x:c>
      <x:c r="C714" s="117" t="str">
        <x:v>No</x:v>
      </x:c>
      <x:c r="D714" s="119" t="str">
        <x:v>Latest inactive v7 (Retrieved XML)</x:v>
      </x:c>
      <x:c r="E714" s="117" t="str">
        <x:v>OpportunityLineItem</x:v>
      </x:c>
      <x:c r="F714" s="119" t="str">
        <x:v>Create, Reference</x:v>
      </x:c>
      <x:c r="G714" s="117" t="str">
        <x:v>No</x:v>
      </x:c>
      <x:c r="H714" s="117" t="str">
        <x:v>AutoLaunchedFlow</x:v>
      </x:c>
    </x:row>
    <x:row r="715" ht="30" customHeight="1">
      <x:c r="A715" s="117" t="str">
        <x:v>300Ro00000t0d06IAA</x:v>
      </x:c>
      <x:c r="B715" s="117" t="str">
        <x:v>On_New_WOLI_Update_Type_if_Probe_Repair_Opp</x:v>
      </x:c>
      <x:c r="C715" s="117" t="str">
        <x:v>Yes</x:v>
      </x:c>
      <x:c r="D715" s="119" t="str">
        <x:v>Active v6 (Retrieved XML)</x:v>
      </x:c>
      <x:c r="E715" s="117" t="str">
        <x:v>OpportunityLineItem</x:v>
      </x:c>
      <x:c r="F715" s="119" t="str">
        <x:v>Variable</x:v>
      </x:c>
      <x:c r="G715" s="117" t="str">
        <x:v>No</x:v>
      </x:c>
      <x:c r="H715" s="117" t="str">
        <x:v>AutoLaunchedFlow</x:v>
      </x:c>
    </x:row>
    <x:row r="716" ht="30" customHeight="1">
      <x:c r="A716" s="117" t="str">
        <x:v>300Ro00000vvGyaIAE</x:v>
      </x:c>
      <x:c r="B716" s="117" t="str">
        <x:v>On_Opportunity_Product_Creation_Run_Avg_Inventory_Life_Rollup</x:v>
      </x:c>
      <x:c r="C716" s="117" t="str">
        <x:v>No</x:v>
      </x:c>
      <x:c r="D716" s="119" t="str">
        <x:v>Latest inactive v1 (Retrieved XML)</x:v>
      </x:c>
      <x:c r="E716" s="117" t="str">
        <x:v>OpportunityLineItem</x:v>
      </x:c>
      <x:c r="F716" s="119" t="str">
        <x:v>Reference, Trigger</x:v>
      </x:c>
      <x:c r="G716" s="117" t="str">
        <x:v>Yes</x:v>
      </x:c>
      <x:c r="H716" s="117" t="str">
        <x:v>AutoLaunchedFlow</x:v>
      </x:c>
    </x:row>
    <x:row r="717" ht="30" customHeight="1">
      <x:c r="A717" s="117" t="str">
        <x:v>300Ro00000cnT4eIAE</x:v>
      </x:c>
      <x:c r="B717" s="117" t="str">
        <x:v>On_Update_Line_Item_Swap_on_Opp_Updates_Information_on_the_WOLI</x:v>
      </x:c>
      <x:c r="C717" s="117" t="str">
        <x:v>No</x:v>
      </x:c>
      <x:c r="D717" s="119" t="str">
        <x:v>Latest inactive v6 (Retrieved XML)</x:v>
      </x:c>
      <x:c r="E717" s="117" t="str">
        <x:v>OpportunityLineItem</x:v>
      </x:c>
      <x:c r="F717" s="119" t="str">
        <x:v>Variable</x:v>
      </x:c>
      <x:c r="G717" s="117" t="str">
        <x:v>No</x:v>
      </x:c>
      <x:c r="H717" s="117" t="str">
        <x:v>AutoLaunchedFlow</x:v>
      </x:c>
    </x:row>
    <x:row r="718" ht="30" customHeight="1">
      <x:c r="A718" s="117" t="str">
        <x:v>300Ro00000cnT4fIAE</x:v>
      </x:c>
      <x:c r="B718" s="117" t="str">
        <x:v>On_Update_Update_Checkbox_on_WOLI</x:v>
      </x:c>
      <x:c r="C718" s="117" t="str">
        <x:v>No</x:v>
      </x:c>
      <x:c r="D718" s="119" t="str">
        <x:v>Latest inactive v1 (Retrieved XML)</x:v>
      </x:c>
      <x:c r="E718" s="117" t="str">
        <x:v>OpportunityLineItem</x:v>
      </x:c>
      <x:c r="F718" s="119" t="str">
        <x:v>Reference, Trigger, Variable</x:v>
      </x:c>
      <x:c r="G718" s="117" t="str">
        <x:v>Yes</x:v>
      </x:c>
      <x:c r="H718" s="117" t="str">
        <x:v>AutoLaunchedFlow</x:v>
      </x:c>
    </x:row>
    <x:row r="719" ht="30" customHeight="1">
      <x:c r="A719" s="117" t="str">
        <x:v>300Ro00000rL43hIAC</x:v>
      </x:c>
      <x:c r="B719" s="117" t="str">
        <x:v>Opportunity_Asset_Management_Screen_Flow</x:v>
      </x:c>
      <x:c r="C719" s="117" t="str">
        <x:v>Yes</x:v>
      </x:c>
      <x:c r="D719" s="119" t="str">
        <x:v>Active v9 (Retrieved XML)</x:v>
      </x:c>
      <x:c r="E719" s="117" t="str">
        <x:v>OpportunityLineItem</x:v>
      </x:c>
      <x:c r="F719" s="119" t="str">
        <x:v>Read, Reference, Variable</x:v>
      </x:c>
      <x:c r="G719" s="117" t="str">
        <x:v>No</x:v>
      </x:c>
      <x:c r="H719" s="117" t="str">
        <x:v>Flow</x:v>
      </x:c>
    </x:row>
    <x:row r="720" ht="30" customHeight="1">
      <x:c r="A720" s="117" t="str">
        <x:v>300Ro00000h8pnpIAA</x:v>
      </x:c>
      <x:c r="B720" s="117" t="str">
        <x:v>Opportunity_Canadian_Entity</x:v>
      </x:c>
      <x:c r="C720" s="117" t="str">
        <x:v>No</x:v>
      </x:c>
      <x:c r="D720" s="119" t="str">
        <x:v>Latest inactive v3 (Retrieved XML)</x:v>
      </x:c>
      <x:c r="E720" s="117" t="str">
        <x:v>OpportunityLineItem</x:v>
      </x:c>
      <x:c r="F720" s="119" t="str">
        <x:v>Create, Read, Reference</x:v>
      </x:c>
      <x:c r="G720" s="117" t="str">
        <x:v>No</x:v>
      </x:c>
      <x:c r="H720" s="117" t="str">
        <x:v>AutoLaunchedFlow</x:v>
      </x:c>
    </x:row>
    <x:row r="721" ht="30" customHeight="1">
      <x:c r="A721" s="117" t="str">
        <x:v>3005b000000H1eMAAS</x:v>
      </x:c>
      <x:c r="B721" s="117" t="str">
        <x:v>Opportunity_Create_Warranty_Service_Contract</x:v>
      </x:c>
      <x:c r="C721" s="117" t="str">
        <x:v>Yes</x:v>
      </x:c>
      <x:c r="D721" s="119" t="str">
        <x:v>Active v16 (Retrieved XML)</x:v>
      </x:c>
      <x:c r="E721" s="117" t="str">
        <x:v>OpportunityLineItem</x:v>
      </x:c>
      <x:c r="F721" s="119" t="str">
        <x:v>Read, Reference, Variable</x:v>
      </x:c>
      <x:c r="G721" s="117" t="str">
        <x:v>No</x:v>
      </x:c>
      <x:c r="H721" s="117" t="str">
        <x:v>AutoLaunchedFlow</x:v>
      </x:c>
    </x:row>
    <x:row r="722" ht="30" customHeight="1">
      <x:c r="A722" s="117" t="str">
        <x:v>300Ro00000wIHDtIAO</x:v>
      </x:c>
      <x:c r="B722" s="117" t="str">
        <x:v>Opportunity_Creation_and_Update_Set_Intercompany_Transaction_Opportunity_Name</x:v>
      </x:c>
      <x:c r="C722" s="117" t="str">
        <x:v>Yes</x:v>
      </x:c>
      <x:c r="D722" s="119" t="str">
        <x:v>Active v9 (Retrieved XML)</x:v>
      </x:c>
      <x:c r="E722" s="117" t="str">
        <x:v>OpportunityLineItem</x:v>
      </x:c>
      <x:c r="F722" s="119" t="str">
        <x:v>Variable</x:v>
      </x:c>
      <x:c r="G722" s="117" t="str">
        <x:v>No</x:v>
      </x:c>
      <x:c r="H722" s="117" t="str">
        <x:v>AutoLaunchedFlow</x:v>
      </x:c>
    </x:row>
    <x:row r="723" ht="30" customHeight="1">
      <x:c r="A723" s="117" t="str">
        <x:v>300Ro00000wHiZaIAK</x:v>
      </x:c>
      <x:c r="B723" s="117" t="str">
        <x:v>Opportunity_Line_Item_Creation_or_Update_Set_Opportunity_Asset_Summary</x:v>
      </x:c>
      <x:c r="C723" s="117" t="str">
        <x:v>Yes</x:v>
      </x:c>
      <x:c r="D723" s="119" t="str">
        <x:v>Active v6 (Retrieved XML)</x:v>
      </x:c>
      <x:c r="E723" s="117" t="str">
        <x:v>OpportunityLineItem</x:v>
      </x:c>
      <x:c r="F723" s="119" t="str">
        <x:v>Read, Reference, Variable</x:v>
      </x:c>
      <x:c r="G723" s="117" t="str">
        <x:v>No</x:v>
      </x:c>
      <x:c r="H723" s="117" t="str">
        <x:v>AutoLaunchedFlow</x:v>
      </x:c>
    </x:row>
    <x:row r="724" ht="30" customHeight="1">
      <x:c r="A724" s="117" t="str">
        <x:v>300Ro000013hrwWIAQ</x:v>
      </x:c>
      <x:c r="B724" s="117" t="str">
        <x:v>Opportunity_Line_Item_Creation_or_Update_Tick_Generate_Asset_Summary_Checkbox</x:v>
      </x:c>
      <x:c r="C724" s="117" t="str">
        <x:v>Yes</x:v>
      </x:c>
      <x:c r="D724" s="119" t="str">
        <x:v>Active v4 (Retrieved XML)</x:v>
      </x:c>
      <x:c r="E724" s="117" t="str">
        <x:v>OpportunityLineItem</x:v>
      </x:c>
      <x:c r="F724" s="119" t="str">
        <x:v>Reference, Trigger, Update, Variable</x:v>
      </x:c>
      <x:c r="G724" s="117" t="str">
        <x:v>Yes</x:v>
      </x:c>
      <x:c r="H724" s="117" t="str">
        <x:v>AutoLaunchedFlow</x:v>
      </x:c>
    </x:row>
    <x:row r="725" ht="30" customHeight="1">
      <x:c r="A725" s="117" t="str">
        <x:v>300Ro00000wLIlNIAW</x:v>
      </x:c>
      <x:c r="B725" s="117" t="str">
        <x:v>Opportunity_Line_Item_On_Delete_Set_Opportunity_Asset_Summary</x:v>
      </x:c>
      <x:c r="C725" s="117" t="str">
        <x:v>Yes</x:v>
      </x:c>
      <x:c r="D725" s="119" t="str">
        <x:v>Active v3 (Retrieved XML)</x:v>
      </x:c>
      <x:c r="E725" s="117" t="str">
        <x:v>OpportunityLineItem</x:v>
      </x:c>
      <x:c r="F725" s="119" t="str">
        <x:v>Read, Reference, Trigger, Update, Variable</x:v>
      </x:c>
      <x:c r="G725" s="117" t="str">
        <x:v>Yes</x:v>
      </x:c>
      <x:c r="H725" s="117" t="str">
        <x:v>AutoLaunchedFlow</x:v>
      </x:c>
    </x:row>
    <x:row r="726" ht="30" customHeight="1">
      <x:c r="A726" s="117" t="str">
        <x:v>300Ro00000pErn3IAC</x:v>
      </x:c>
      <x:c r="B726" s="117" t="str">
        <x:v>Opportunity_Product_Ansynchronous_on_update_Update_WOLI_with_pricing_quantity</x:v>
      </x:c>
      <x:c r="C726" s="117" t="str">
        <x:v>Yes</x:v>
      </x:c>
      <x:c r="D726" s="119" t="str">
        <x:v>Active v2 (Retrieved XML)</x:v>
      </x:c>
      <x:c r="E726" s="117" t="str">
        <x:v>OpportunityLineItem</x:v>
      </x:c>
      <x:c r="F726" s="119" t="str">
        <x:v>Reference, Trigger, Update</x:v>
      </x:c>
      <x:c r="G726" s="117" t="str">
        <x:v>Yes</x:v>
      </x:c>
      <x:c r="H726" s="117" t="str">
        <x:v>AutoLaunchedFlow</x:v>
      </x:c>
    </x:row>
    <x:row r="727" ht="30" customHeight="1">
      <x:c r="A727" s="117" t="str">
        <x:v>300Ro00000cnT4hIAE</x:v>
      </x:c>
      <x:c r="B727" s="117" t="str">
        <x:v>Opportunity_Product_Asynchronous_on_create_update_WOLI_with_Opp_Product_if_Appli</x:v>
      </x:c>
      <x:c r="C727" s="117" t="str">
        <x:v>Yes</x:v>
      </x:c>
      <x:c r="D727" s="119" t="str">
        <x:v>Active v2 (Retrieved XML)</x:v>
      </x:c>
      <x:c r="E727" s="117" t="str">
        <x:v>OpportunityLineItem</x:v>
      </x:c>
      <x:c r="F727" s="119" t="str">
        <x:v>Reference, Trigger, Update</x:v>
      </x:c>
      <x:c r="G727" s="117" t="str">
        <x:v>Yes</x:v>
      </x:c>
      <x:c r="H727" s="117" t="str">
        <x:v>AutoLaunchedFlow</x:v>
      </x:c>
    </x:row>
    <x:row r="728" ht="30" customHeight="1">
      <x:c r="A728" s="117" t="str">
        <x:v>300Ro00000cnT4iIAE</x:v>
      </x:c>
      <x:c r="B728" s="117" t="str">
        <x:v>Opportunity_Product_On_Delete</x:v>
      </x:c>
      <x:c r="C728" s="117" t="str">
        <x:v>Yes</x:v>
      </x:c>
      <x:c r="D728" s="119" t="str">
        <x:v>Active v1 (Retrieved XML)</x:v>
      </x:c>
      <x:c r="E728" s="117" t="str">
        <x:v>OpportunityLineItem</x:v>
      </x:c>
      <x:c r="F728" s="119" t="str">
        <x:v>Reference, Trigger, Variable</x:v>
      </x:c>
      <x:c r="G728" s="117" t="str">
        <x:v>Yes</x:v>
      </x:c>
      <x:c r="H728" s="117" t="str">
        <x:v>AutoLaunchedFlow</x:v>
      </x:c>
    </x:row>
    <x:row r="729" ht="30" customHeight="1">
      <x:c r="A729" s="117" t="str">
        <x:v>3005b000000Pz1DAAS</x:v>
      </x:c>
      <x:c r="B729" s="117" t="str">
        <x:v>Opportunity_Product_Rollups</x:v>
      </x:c>
      <x:c r="C729" s="117" t="str">
        <x:v>Yes</x:v>
      </x:c>
      <x:c r="D729" s="119" t="str">
        <x:v>Active v18 (Retrieved XML)</x:v>
      </x:c>
      <x:c r="E729" s="117" t="str">
        <x:v>OpportunityLineItem</x:v>
      </x:c>
      <x:c r="F729" s="119" t="str">
        <x:v>Read, Reference, Trigger</x:v>
      </x:c>
      <x:c r="G729" s="117" t="str">
        <x:v>Yes</x:v>
      </x:c>
      <x:c r="H729" s="117" t="str">
        <x:v>AutoLaunchedFlow</x:v>
      </x:c>
    </x:row>
    <x:row r="730" ht="30" customHeight="1">
      <x:c r="A730" s="117" t="str">
        <x:v>3005b00000113QYAAY</x:v>
      </x:c>
      <x:c r="B730" s="117" t="str">
        <x:v>Opportunity_Product_Rollups_On_Create</x:v>
      </x:c>
      <x:c r="C730" s="117" t="str">
        <x:v>Yes</x:v>
      </x:c>
      <x:c r="D730" s="119" t="str">
        <x:v>Active v4 (Retrieved XML)</x:v>
      </x:c>
      <x:c r="E730" s="117" t="str">
        <x:v>OpportunityLineItem</x:v>
      </x:c>
      <x:c r="F730" s="119" t="str">
        <x:v>Read, Reference, Trigger, Update</x:v>
      </x:c>
      <x:c r="G730" s="117" t="str">
        <x:v>Yes</x:v>
      </x:c>
      <x:c r="H730" s="117" t="str">
        <x:v>AutoLaunchedFlow</x:v>
      </x:c>
    </x:row>
    <x:row r="731" ht="30" customHeight="1">
      <x:c r="A731" s="117" t="str">
        <x:v>3005b000000LHqlAAG</x:v>
      </x:c>
      <x:c r="B731" s="117" t="str">
        <x:v>Opportunity_Product_Updates_Flow</x:v>
      </x:c>
      <x:c r="C731" s="117" t="str">
        <x:v>Yes</x:v>
      </x:c>
      <x:c r="D731" s="119" t="str">
        <x:v>Active v12 (Tooling metadata)</x:v>
      </x:c>
      <x:c r="E731" s="117" t="str">
        <x:v>OpportunityLineItem</x:v>
      </x:c>
      <x:c r="F731" s="119" t="str">
        <x:v>Reference, Trigger, Update</x:v>
      </x:c>
      <x:c r="G731" s="117" t="str">
        <x:v>Yes</x:v>
      </x:c>
      <x:c r="H731" s="117" t="str">
        <x:v>AutoLaunchedFlow</x:v>
      </x:c>
    </x:row>
    <x:row r="732" ht="30" customHeight="1">
      <x:c r="A732" s="117" t="str">
        <x:v>300Ro00000xXpjKIAS</x:v>
      </x:c>
      <x:c r="B732" s="117" t="str">
        <x:v>OpportunityLineItem_Async_on_create_Update_Avg_Inventory_Life_on_Opportunity</x:v>
      </x:c>
      <x:c r="C732" s="117" t="str">
        <x:v>Yes</x:v>
      </x:c>
      <x:c r="D732" s="119" t="str">
        <x:v>Active v1 (Retrieved XML)</x:v>
      </x:c>
      <x:c r="E732" s="117" t="str">
        <x:v>OpportunityLineItem</x:v>
      </x:c>
      <x:c r="F732" s="119" t="str">
        <x:v>Read, Reference, Trigger</x:v>
      </x:c>
      <x:c r="G732" s="117" t="str">
        <x:v>Yes</x:v>
      </x:c>
      <x:c r="H732" s="117" t="str">
        <x:v>AutoLaunchedFlow</x:v>
      </x:c>
    </x:row>
    <x:row r="733" ht="30" customHeight="1">
      <x:c r="A733" s="117" t="str">
        <x:v>300Ro00000xXpjLIAS</x:v>
      </x:c>
      <x:c r="B733" s="117" t="str">
        <x:v>OpportunityLineItem_Async_on_update_Update_Avg_Inventory_Life_on_Opportunity</x:v>
      </x:c>
      <x:c r="C733" s="117" t="str">
        <x:v>Yes</x:v>
      </x:c>
      <x:c r="D733" s="119" t="str">
        <x:v>Active v1 (Retrieved XML)</x:v>
      </x:c>
      <x:c r="E733" s="117" t="str">
        <x:v>OpportunityLineItem</x:v>
      </x:c>
      <x:c r="F733" s="119" t="str">
        <x:v>Read, Reference, Trigger</x:v>
      </x:c>
      <x:c r="G733" s="117" t="str">
        <x:v>Yes</x:v>
      </x:c>
      <x:c r="H733" s="117" t="str">
        <x:v>AutoLaunchedFlow</x:v>
      </x:c>
    </x:row>
    <x:row r="734" ht="30" customHeight="1">
      <x:c r="A734" s="117" t="str">
        <x:v>300Ro00000xXpjMIAS</x:v>
      </x:c>
      <x:c r="B734" s="117" t="str">
        <x:v>OpportunityLineItem_Before_delete_Update_Avg_Inventory_Life_on_Opportunity</x:v>
      </x:c>
      <x:c r="C734" s="117" t="str">
        <x:v>Yes</x:v>
      </x:c>
      <x:c r="D734" s="119" t="str">
        <x:v>Active v1 (Retrieved XML)</x:v>
      </x:c>
      <x:c r="E734" s="117" t="str">
        <x:v>OpportunityLineItem</x:v>
      </x:c>
      <x:c r="F734" s="119" t="str">
        <x:v>Read, Reference, Trigger</x:v>
      </x:c>
      <x:c r="G734" s="117" t="str">
        <x:v>Yes</x:v>
      </x:c>
      <x:c r="H734" s="117" t="str">
        <x:v>AutoLaunchedFlow</x:v>
      </x:c>
    </x:row>
    <x:row r="735" ht="30" customHeight="1">
      <x:c r="A735" s="117" t="str">
        <x:v>3004O000000LOseQAG</x:v>
      </x:c>
      <x:c r="B735" s="117" t="str">
        <x:v>PB_Invoice</x:v>
      </x:c>
      <x:c r="C735" s="117" t="str">
        <x:v>Yes</x:v>
      </x:c>
      <x:c r="D735" s="119" t="str">
        <x:v>Active v21 (Retrieved XML)</x:v>
      </x:c>
      <x:c r="E735" s="117" t="str">
        <x:v>OpportunityLineItem</x:v>
      </x:c>
      <x:c r="F735" s="119" t="str">
        <x:v>Reference, Update</x:v>
      </x:c>
      <x:c r="G735" s="117" t="str">
        <x:v>No</x:v>
      </x:c>
      <x:c r="H735" s="117" t="str">
        <x:v>Workflow</x:v>
      </x:c>
    </x:row>
    <x:row r="736" ht="30" customHeight="1">
      <x:c r="A736" s="117" t="str">
        <x:v>3004O000000Xh3dQAC</x:v>
      </x:c>
      <x:c r="B736" s="117" t="str">
        <x:v>PB_Opportunity_Line_Items</x:v>
      </x:c>
      <x:c r="C736" s="117" t="str">
        <x:v>No</x:v>
      </x:c>
      <x:c r="D736" s="119" t="str">
        <x:v>Latest inactive v4 (Retrieved XML)</x:v>
      </x:c>
      <x:c r="E736" s="117" t="str">
        <x:v>OpportunityLineItem</x:v>
      </x:c>
      <x:c r="F736" s="119" t="str">
        <x:v>Variable</x:v>
      </x:c>
      <x:c r="G736" s="117" t="str">
        <x:v>No</x:v>
      </x:c>
      <x:c r="H736" s="117" t="str">
        <x:v>Workflow</x:v>
      </x:c>
    </x:row>
    <x:row r="737" ht="30" customHeight="1">
      <x:c r="A737" s="117" t="str">
        <x:v>3004O000000LOsqQAG</x:v>
      </x:c>
      <x:c r="B737" s="117" t="str">
        <x:v>Recurring_Billing_Flow</x:v>
      </x:c>
      <x:c r="C737" s="117" t="str">
        <x:v>Yes</x:v>
      </x:c>
      <x:c r="D737" s="119" t="str">
        <x:v>Active v11 (Retrieved XML)</x:v>
      </x:c>
      <x:c r="E737" s="117" t="str">
        <x:v>OpportunityLineItem</x:v>
      </x:c>
      <x:c r="F737" s="119" t="str">
        <x:v>Create, Read, Reference, Variable</x:v>
      </x:c>
      <x:c r="G737" s="117" t="str">
        <x:v>No</x:v>
      </x:c>
      <x:c r="H737" s="117" t="str">
        <x:v>AutoLaunchedFlow</x:v>
      </x:c>
    </x:row>
    <x:row r="738" ht="30" customHeight="1">
      <x:c r="A738" s="117" t="str">
        <x:v>3005b000000PzrOAAS</x:v>
      </x:c>
      <x:c r="B738" s="117" t="str">
        <x:v>Refurb_Part_Request_Field_Updates_Flow</x:v>
      </x:c>
      <x:c r="C738" s="117" t="str">
        <x:v>Yes</x:v>
      </x:c>
      <x:c r="D738" s="119" t="str">
        <x:v>Active v16 (Retrieved XML)</x:v>
      </x:c>
      <x:c r="E738" s="117" t="str">
        <x:v>OpportunityLineItem</x:v>
      </x:c>
      <x:c r="F738" s="119" t="str">
        <x:v>Create, Reference</x:v>
      </x:c>
      <x:c r="G738" s="117" t="str">
        <x:v>No</x:v>
      </x:c>
      <x:c r="H738" s="117" t="str">
        <x:v>AutoLaunchedFlow</x:v>
      </x:c>
    </x:row>
    <x:row r="739" ht="30" customHeight="1">
      <x:c r="A739" s="117" t="str">
        <x:v>3005b000000PzkmAAC</x:v>
      </x:c>
      <x:c r="B739" s="117" t="str">
        <x:v>Register_System_Lead_with_Mindray_Button_Flow</x:v>
      </x:c>
      <x:c r="C739" s="117" t="str">
        <x:v>Yes</x:v>
      </x:c>
      <x:c r="D739" s="119" t="str">
        <x:v>Active v11 (Retrieved XML)</x:v>
      </x:c>
      <x:c r="E739" s="117" t="str">
        <x:v>OpportunityLineItem</x:v>
      </x:c>
      <x:c r="F739" s="119" t="str">
        <x:v>Read, Reference</x:v>
      </x:c>
      <x:c r="G739" s="117" t="str">
        <x:v>No</x:v>
      </x:c>
      <x:c r="H739" s="117" t="str">
        <x:v>Flow</x:v>
      </x:c>
    </x:row>
    <x:row r="740" ht="30" customHeight="1">
      <x:c r="A740" s="117" t="str">
        <x:v>300Ro00000ViqyjIAB</x:v>
      </x:c>
      <x:c r="B740" s="117" t="str">
        <x:v>Screen_Flow_Select_Products_to_Invoice_on_Equipment_Storage_Opps</x:v>
      </x:c>
      <x:c r="C740" s="117" t="str">
        <x:v>Yes</x:v>
      </x:c>
      <x:c r="D740" s="119" t="str">
        <x:v>Active v2 (Retrieved XML)</x:v>
      </x:c>
      <x:c r="E740" s="117" t="str">
        <x:v>OpportunityLineItem</x:v>
      </x:c>
      <x:c r="F740" s="119" t="str">
        <x:v>Read, Reference, Variable</x:v>
      </x:c>
      <x:c r="G740" s="117" t="str">
        <x:v>No</x:v>
      </x:c>
      <x:c r="H740" s="117" t="str">
        <x:v>Flow</x:v>
      </x:c>
    </x:row>
    <x:row r="741" ht="30" customHeight="1">
      <x:c r="A741" s="117" t="str">
        <x:v>3005b000000H1uvAAC</x:v>
      </x:c>
      <x:c r="B741" s="117" t="str">
        <x:v>Service_Contract_Billing_Flow</x:v>
      </x:c>
      <x:c r="C741" s="117" t="str">
        <x:v>No</x:v>
      </x:c>
      <x:c r="D741" s="119" t="str">
        <x:v>Latest inactive v10 (Retrieved XML)</x:v>
      </x:c>
      <x:c r="E741" s="117" t="str">
        <x:v>OpportunityLineItem</x:v>
      </x:c>
      <x:c r="F741" s="119" t="str">
        <x:v>Create, Reference</x:v>
      </x:c>
      <x:c r="G741" s="117" t="str">
        <x:v>No</x:v>
      </x:c>
      <x:c r="H741" s="117" t="str">
        <x:v>AutoLaunchedFlow</x:v>
      </x:c>
    </x:row>
    <x:row r="742" ht="30" customHeight="1">
      <x:c r="A742" s="117" t="str">
        <x:v>300Ro00000nsEpqIAE</x:v>
      </x:c>
      <x:c r="B742" s="117" t="str">
        <x:v>Service_Contract_Renewal_US1</x:v>
      </x:c>
      <x:c r="C742" s="117" t="str">
        <x:v>Yes</x:v>
      </x:c>
      <x:c r="D742" s="119" t="str">
        <x:v>Active v11 (Retrieved XML)</x:v>
      </x:c>
      <x:c r="E742" s="117" t="str">
        <x:v>OpportunityLineItem</x:v>
      </x:c>
      <x:c r="F742" s="119" t="str">
        <x:v>Create, Reference</x:v>
      </x:c>
      <x:c r="G742" s="117" t="str">
        <x:v>No</x:v>
      </x:c>
      <x:c r="H742" s="117" t="str">
        <x:v>Flow</x:v>
      </x:c>
    </x:row>
    <x:row r="743" ht="30" customHeight="1">
      <x:c r="A743" s="117" t="str">
        <x:v>3000B0000004XbHQAU</x:v>
      </x:c>
      <x:c r="B743" s="117" t="str">
        <x:v>set_opportunity_field_to_product_Item</x:v>
      </x:c>
      <x:c r="C743" s="117" t="str">
        <x:v>No</x:v>
      </x:c>
      <x:c r="D743" s="119" t="str">
        <x:v>Latest inactive v5 (Retrieved XML)</x:v>
      </x:c>
      <x:c r="E743" s="117" t="str">
        <x:v>OpportunityLineItem</x:v>
      </x:c>
      <x:c r="F743" s="119" t="str">
        <x:v>Variable</x:v>
      </x:c>
      <x:c r="G743" s="117" t="str">
        <x:v>No</x:v>
      </x:c>
      <x:c r="H743" s="117" t="str">
        <x:v>Workflow</x:v>
      </x:c>
    </x:row>
    <x:row r="744" ht="30" customHeight="1">
      <x:c r="A744" s="117" t="str">
        <x:v>3005b000000LHrFAAW</x:v>
      </x:c>
      <x:c r="B744" s="117" t="str">
        <x:v>Shipping_Product_Price_Qty_on_Op_Update_Flow</x:v>
      </x:c>
      <x:c r="C744" s="117" t="str">
        <x:v>No</x:v>
      </x:c>
      <x:c r="D744" s="119" t="str">
        <x:v>Latest inactive v21 (Retrieved XML)</x:v>
      </x:c>
      <x:c r="E744" s="117" t="str">
        <x:v>OpportunityLineItem</x:v>
      </x:c>
      <x:c r="F744" s="119" t="str">
        <x:v>Read, Reference, Update</x:v>
      </x:c>
      <x:c r="G744" s="117" t="str">
        <x:v>No</x:v>
      </x:c>
      <x:c r="H744" s="117" t="str">
        <x:v>AutoLaunchedFlow</x:v>
      </x:c>
    </x:row>
    <x:row r="745" ht="30" customHeight="1">
      <x:c r="A745" s="117" t="str">
        <x:v>300Ro000009znjeIAA</x:v>
      </x:c>
      <x:c r="B745" s="117" t="str">
        <x:v>System_Rate_Calculator_Screen_Flow</x:v>
      </x:c>
      <x:c r="C745" s="117" t="str">
        <x:v>No</x:v>
      </x:c>
      <x:c r="D745" s="119" t="str">
        <x:v>Latest inactive v15 (Retrieved XML)</x:v>
      </x:c>
      <x:c r="E745" s="117" t="str">
        <x:v>OpportunityLineItem</x:v>
      </x:c>
      <x:c r="F745" s="119" t="str">
        <x:v>Create, Read, Reference, Update</x:v>
      </x:c>
      <x:c r="G745" s="117" t="str">
        <x:v>No</x:v>
      </x:c>
      <x:c r="H745" s="117" t="str">
        <x:v>Flow</x:v>
      </x:c>
    </x:row>
    <x:row r="746" ht="30" customHeight="1">
      <x:c r="A746" s="117" t="str">
        <x:v>300Ro00000BesY8IAJ</x:v>
      </x:c>
      <x:c r="B746" s="117" t="str">
        <x:v>System_Rate_Calculator_Screen_Flow_Rnd_2</x:v>
      </x:c>
      <x:c r="C746" s="117" t="str">
        <x:v>Yes</x:v>
      </x:c>
      <x:c r="D746" s="119" t="str">
        <x:v>Active v29 (Retrieved XML)</x:v>
      </x:c>
      <x:c r="E746" s="117" t="str">
        <x:v>OpportunityLineItem</x:v>
      </x:c>
      <x:c r="F746" s="119" t="str">
        <x:v>Create, Read, Reference, Update</x:v>
      </x:c>
      <x:c r="G746" s="117" t="str">
        <x:v>No</x:v>
      </x:c>
      <x:c r="H746" s="117" t="str">
        <x:v>Flow</x:v>
      </x:c>
    </x:row>
    <x:row r="747" ht="30" customHeight="1">
      <x:c r="A747" s="117" t="str">
        <x:v>300Ro00000NynYXIAZ</x:v>
      </x:c>
      <x:c r="B747" s="117" t="str">
        <x:v>TEMP_IR_Product_Creation</x:v>
      </x:c>
      <x:c r="C747" s="117" t="str">
        <x:v>Yes</x:v>
      </x:c>
      <x:c r="D747" s="119" t="str">
        <x:v>Active v10 (Retrieved XML)</x:v>
      </x:c>
      <x:c r="E747" s="117" t="str">
        <x:v>OpportunityLineItem</x:v>
      </x:c>
      <x:c r="F747" s="119" t="str">
        <x:v>Read, Reference</x:v>
      </x:c>
      <x:c r="G747" s="117" t="str">
        <x:v>No</x:v>
      </x:c>
      <x:c r="H747" s="117" t="str">
        <x:v>AutoLaunchedFlow</x:v>
      </x:c>
    </x:row>
    <x:row r="748" ht="30" customHeight="1">
      <x:c r="A748" s="117" t="str">
        <x:v>3005b000000LGqzAAG</x:v>
      </x:c>
      <x:c r="B748" s="117" t="str">
        <x:v>Test_Get_Assets</x:v>
      </x:c>
      <x:c r="C748" s="117" t="str">
        <x:v>No</x:v>
      </x:c>
      <x:c r="D748" s="119" t="str">
        <x:v>Latest inactive v18 (Retrieved XML)</x:v>
      </x:c>
      <x:c r="E748" s="117" t="str">
        <x:v>OpportunityLineItem</x:v>
      </x:c>
      <x:c r="F748" s="119" t="str">
        <x:v>Read, Reference, Variable</x:v>
      </x:c>
      <x:c r="G748" s="117" t="str">
        <x:v>No</x:v>
      </x:c>
      <x:c r="H748" s="117" t="str">
        <x:v>Flow</x:v>
      </x:c>
    </x:row>
    <x:row r="749" ht="30" customHeight="1">
      <x:c r="A749" s="117" t="str">
        <x:v>3005b000000H3dfAAC</x:v>
      </x:c>
      <x:c r="B749" s="117" t="str">
        <x:v>UK_Create_Removal_Charge_Screenflow</x:v>
      </x:c>
      <x:c r="C749" s="117" t="str">
        <x:v>Yes</x:v>
      </x:c>
      <x:c r="D749" s="119" t="str">
        <x:v>Active v24 (Retrieved XML)</x:v>
      </x:c>
      <x:c r="E749" s="117" t="str">
        <x:v>OpportunityLineItem</x:v>
      </x:c>
      <x:c r="F749" s="119" t="str">
        <x:v>Create, Reference</x:v>
      </x:c>
      <x:c r="G749" s="117" t="str">
        <x:v>No</x:v>
      </x:c>
      <x:c r="H749" s="117" t="str">
        <x:v>Flow</x:v>
      </x:c>
    </x:row>
    <x:row r="750" ht="30" customHeight="1">
      <x:c r="A750" s="117" t="str">
        <x:v>3005b00000113FzAAI</x:v>
      </x:c>
      <x:c r="B750" s="117" t="str">
        <x:v>Update_Asset_to_Finished_Goods_Flow</x:v>
      </x:c>
      <x:c r="C750" s="117" t="str">
        <x:v>Yes</x:v>
      </x:c>
      <x:c r="D750" s="119" t="str">
        <x:v>Active v7 (Retrieved XML)</x:v>
      </x:c>
      <x:c r="E750" s="117" t="str">
        <x:v>OpportunityLineItem</x:v>
      </x:c>
      <x:c r="F750" s="119" t="str">
        <x:v>Read, Reference</x:v>
      </x:c>
      <x:c r="G750" s="117" t="str">
        <x:v>No</x:v>
      </x:c>
      <x:c r="H750" s="117" t="str">
        <x:v>AutoLaunchedFlow</x:v>
      </x:c>
    </x:row>
    <x:row r="751" ht="30" customHeight="1">
      <x:c r="A751" s="117" t="str">
        <x:v>3005b00000113fYAAQ</x:v>
      </x:c>
      <x:c r="B751" s="117" t="str">
        <x:v>Update_Credit_Memo_Amount_with_Line_Items</x:v>
      </x:c>
      <x:c r="C751" s="117" t="str">
        <x:v>Yes</x:v>
      </x:c>
      <x:c r="D751" s="119" t="str">
        <x:v>Active v20 (Retrieved XML)</x:v>
      </x:c>
      <x:c r="E751" s="117" t="str">
        <x:v>OpportunityLineItem</x:v>
      </x:c>
      <x:c r="F751" s="119" t="str">
        <x:v>Reference, Trigger, Update</x:v>
      </x:c>
      <x:c r="G751" s="117" t="str">
        <x:v>Yes</x:v>
      </x:c>
      <x:c r="H751" s="117" t="str">
        <x:v>AutoLaunchedFlow</x:v>
      </x:c>
    </x:row>
    <x:row r="752" ht="30" customHeight="1">
      <x:c r="A752" s="117" t="str">
        <x:v>3005b000000H1lwAAC</x:v>
      </x:c>
      <x:c r="B752" s="117" t="str">
        <x:v>Update_Physical_Location_on_Products_from_Invoice</x:v>
      </x:c>
      <x:c r="C752" s="117" t="str">
        <x:v>Yes</x:v>
      </x:c>
      <x:c r="D752" s="119" t="str">
        <x:v>Active v3 (Retrieved XML)</x:v>
      </x:c>
      <x:c r="E752" s="117" t="str">
        <x:v>OpportunityLineItem</x:v>
      </x:c>
      <x:c r="F752" s="119" t="str">
        <x:v>Read, Reference</x:v>
      </x:c>
      <x:c r="G752" s="117" t="str">
        <x:v>No</x:v>
      </x:c>
      <x:c r="H752" s="117" t="str">
        <x:v>AutoLaunchedFlow</x:v>
      </x:c>
    </x:row>
    <x:row r="753" ht="30" customHeight="1">
      <x:c r="A753" s="117" t="str">
        <x:v>3004O000000LOrCQAW</x:v>
      </x:c>
      <x:c r="B753" s="117" t="str">
        <x:v>Update_Product_Item_on_Opp_Product</x:v>
      </x:c>
      <x:c r="C753" s="117" t="str">
        <x:v>No</x:v>
      </x:c>
      <x:c r="D753" s="119" t="str">
        <x:v>Latest inactive v2 (Retrieved XML)</x:v>
      </x:c>
      <x:c r="E753" s="117" t="str">
        <x:v>OpportunityLineItem</x:v>
      </x:c>
      <x:c r="F753" s="119" t="str">
        <x:v>Variable</x:v>
      </x:c>
      <x:c r="G753" s="117" t="str">
        <x:v>No</x:v>
      </x:c>
      <x:c r="H753" s="117" t="str">
        <x:v>Workflow</x:v>
      </x:c>
    </x:row>
    <x:row r="754" ht="30" customHeight="1">
      <x:c r="A754" s="117" t="str">
        <x:v>3000B000000kEOyQAM</x:v>
      </x:c>
      <x:c r="B754" s="117" t="str">
        <x:v>Update_Purchasing_Approved</x:v>
      </x:c>
      <x:c r="C754" s="117" t="str">
        <x:v>No</x:v>
      </x:c>
      <x:c r="D754" s="119" t="str">
        <x:v>Latest inactive v5 (Retrieved XML)</x:v>
      </x:c>
      <x:c r="E754" s="117" t="str">
        <x:v>OpportunityLineItem</x:v>
      </x:c>
      <x:c r="F754" s="119" t="str">
        <x:v>Reference, Update</x:v>
      </x:c>
      <x:c r="G754" s="117" t="str">
        <x:v>No</x:v>
      </x:c>
      <x:c r="H754" s="117" t="str">
        <x:v>Workflow</x:v>
      </x:c>
    </x:row>
    <x:row r="755" ht="30" customHeight="1">
      <x:c r="A755" s="117" t="str">
        <x:v>300Ro00000qgoX9IAI</x:v>
      </x:c>
      <x:c r="B755" s="117" t="str">
        <x:v>US_FSL_Flow_On_OPP_Product_Create_Create_WOLI</x:v>
      </x:c>
      <x:c r="C755" s="117" t="str">
        <x:v>No</x:v>
      </x:c>
      <x:c r="D755" s="119" t="str">
        <x:v>Latest inactive v6 (Retrieved XML)</x:v>
      </x:c>
      <x:c r="E755" s="117" t="str">
        <x:v>OpportunityLineItem</x:v>
      </x:c>
      <x:c r="F755" s="119" t="str">
        <x:v>Reference, Trigger</x:v>
      </x:c>
      <x:c r="G755" s="117" t="str">
        <x:v>Yes</x:v>
      </x:c>
      <x:c r="H755" s="117" t="str">
        <x:v>AutoLaunchedFlow</x:v>
      </x:c>
    </x:row>
    <x:row r="756" ht="30" customHeight="1">
      <x:c r="A756" s="117" t="str">
        <x:v>300Ro00000lZu2lIAC</x:v>
      </x:c>
      <x:c r="B756" s="117" t="str">
        <x:v>Work_Order_install_Subflow</x:v>
      </x:c>
      <x:c r="C756" s="117" t="str">
        <x:v>Yes</x:v>
      </x:c>
      <x:c r="D756" s="119" t="str">
        <x:v>Active v12 (Retrieved XML)</x:v>
      </x:c>
      <x:c r="E756" s="117" t="str">
        <x:v>OpportunityLineItem</x:v>
      </x:c>
      <x:c r="F756" s="119" t="str">
        <x:v>Choice Read, Read, Reference, Variable</x:v>
      </x:c>
      <x:c r="G756" s="117" t="str">
        <x:v>No</x:v>
      </x:c>
      <x:c r="H756" s="117" t="str">
        <x:v>Flow</x:v>
      </x:c>
    </x:row>
    <x:row r="757" ht="30" customHeight="1">
      <x:c r="A757" s="117" t="str">
        <x:v>3004O000000LOryQAG</x:v>
      </x:c>
      <x:c r="B757" s="117" t="str">
        <x:v>AvaTax_Order_Automatic_Tax_Calculation</x:v>
      </x:c>
      <x:c r="C757" s="117" t="str">
        <x:v>No</x:v>
      </x:c>
      <x:c r="D757" s="119" t="str">
        <x:v>Latest inactive v7 (Tooling metadata)</x:v>
      </x:c>
      <x:c r="E757" s="117" t="str">
        <x:v>Order</x:v>
      </x:c>
      <x:c r="F757" s="119" t="str">
        <x:v>Reference, Update, Variable</x:v>
      </x:c>
      <x:c r="G757" s="117" t="str">
        <x:v>No</x:v>
      </x:c>
      <x:c r="H757" s="117" t="str">
        <x:v>Workflow</x:v>
      </x:c>
    </x:row>
    <x:row r="758" ht="30" customHeight="1">
      <x:c r="A758" s="117" t="str">
        <x:v>300Ro000007Dq0BIAS</x:v>
      </x:c>
      <x:c r="B758" s="117" t="str">
        <x:v>AvaTax_Order_Automatic_Tax_Calculation_Flow</x:v>
      </x:c>
      <x:c r="C758" s="117" t="str">
        <x:v>Yes</x:v>
      </x:c>
      <x:c r="D758" s="119" t="str">
        <x:v>Active v6 (Tooling metadata)</x:v>
      </x:c>
      <x:c r="E758" s="117" t="str">
        <x:v>Order</x:v>
      </x:c>
      <x:c r="F758" s="119" t="str">
        <x:v>Reference, Trigger, Update</x:v>
      </x:c>
      <x:c r="G758" s="117" t="str">
        <x:v>Yes</x:v>
      </x:c>
      <x:c r="H758" s="117" t="str">
        <x:v>AutoLaunchedFlow</x:v>
      </x:c>
    </x:row>
    <x:row r="759" ht="30" customHeight="1">
      <x:c r="A759" s="117" t="str">
        <x:v>3004O000000LOrzQAG</x:v>
      </x:c>
      <x:c r="B759" s="117" t="str">
        <x:v>AvaTax_Order_Clear_Header_AvaTax_Custom_Fields</x:v>
      </x:c>
      <x:c r="C759" s="117" t="str">
        <x:v>No</x:v>
      </x:c>
      <x:c r="D759" s="119" t="str">
        <x:v>Latest inactive v3 (Tooling metadata)</x:v>
      </x:c>
      <x:c r="E759" s="117" t="str">
        <x:v>Order</x:v>
      </x:c>
      <x:c r="F759" s="119" t="str">
        <x:v>Reference, Update, Variable</x:v>
      </x:c>
      <x:c r="G759" s="117" t="str">
        <x:v>No</x:v>
      </x:c>
      <x:c r="H759" s="117" t="str">
        <x:v>Workflow</x:v>
      </x:c>
    </x:row>
    <x:row r="760" ht="30" customHeight="1">
      <x:c r="A760" s="117" t="str">
        <x:v>3004O000000LOs0QAG</x:v>
      </x:c>
      <x:c r="B760" s="117" t="str">
        <x:v>AvaTax_Order_Copy_Origin_Data</x:v>
      </x:c>
      <x:c r="C760" s="117" t="str">
        <x:v>No</x:v>
      </x:c>
      <x:c r="D760" s="119" t="str">
        <x:v>Latest inactive v2 (Tooling metadata)</x:v>
      </x:c>
      <x:c r="E760" s="117" t="str">
        <x:v>Order</x:v>
      </x:c>
      <x:c r="F760" s="119" t="str">
        <x:v>Reference, Update, Variable</x:v>
      </x:c>
      <x:c r="G760" s="117" t="str">
        <x:v>No</x:v>
      </x:c>
      <x:c r="H760" s="117" t="str">
        <x:v>Workflow</x:v>
      </x:c>
    </x:row>
    <x:row r="761" ht="30" customHeight="1">
      <x:c r="A761" s="117" t="str">
        <x:v>3004O000000LOs1QAG</x:v>
      </x:c>
      <x:c r="B761" s="117" t="str">
        <x:v>AvaTax_Order_Existing_Update_Entity_Code_IOR</x:v>
      </x:c>
      <x:c r="C761" s="117" t="str">
        <x:v>No</x:v>
      </x:c>
      <x:c r="D761" s="119" t="str">
        <x:v>Latest inactive v3 (Tooling metadata)</x:v>
      </x:c>
      <x:c r="E761" s="117" t="str">
        <x:v>Order</x:v>
      </x:c>
      <x:c r="F761" s="119" t="str">
        <x:v>Reference, Update, Variable</x:v>
      </x:c>
      <x:c r="G761" s="117" t="str">
        <x:v>No</x:v>
      </x:c>
      <x:c r="H761" s="117" t="str">
        <x:v>Workflow</x:v>
      </x:c>
    </x:row>
    <x:row r="762" ht="30" customHeight="1">
      <x:c r="A762" s="117" t="str">
        <x:v>300Ro000007Dq02IAC</x:v>
      </x:c>
      <x:c r="B762" s="117" t="str">
        <x:v>AvaTax_Order_Existing_Update_Entity_Code_IOR_Transport</x:v>
      </x:c>
      <x:c r="C762" s="117" t="str">
        <x:v>Yes</x:v>
      </x:c>
      <x:c r="D762" s="119" t="str">
        <x:v>Active v1 (Tooling metadata)</x:v>
      </x:c>
      <x:c r="E762" s="117" t="str">
        <x:v>Order</x:v>
      </x:c>
      <x:c r="F762" s="119" t="str">
        <x:v>Reference, Trigger, Update</x:v>
      </x:c>
      <x:c r="G762" s="117" t="str">
        <x:v>Yes</x:v>
      </x:c>
      <x:c r="H762" s="117" t="str">
        <x:v>AutoLaunchedFlow</x:v>
      </x:c>
    </x:row>
    <x:row r="763" ht="30" customHeight="1">
      <x:c r="A763" s="117" t="str">
        <x:v>3004O000000LOs2QAG</x:v>
      </x:c>
      <x:c r="B763" s="117" t="str">
        <x:v>AvaTax_Order_New_Update_Entity_Use_Code_IOR</x:v>
      </x:c>
      <x:c r="C763" s="117" t="str">
        <x:v>No</x:v>
      </x:c>
      <x:c r="D763" s="119" t="str">
        <x:v>Latest inactive v3 (Tooling metadata)</x:v>
      </x:c>
      <x:c r="E763" s="117" t="str">
        <x:v>Order</x:v>
      </x:c>
      <x:c r="F763" s="119" t="str">
        <x:v>Reference, Update, Variable</x:v>
      </x:c>
      <x:c r="G763" s="117" t="str">
        <x:v>No</x:v>
      </x:c>
      <x:c r="H763" s="117" t="str">
        <x:v>Workflow</x:v>
      </x:c>
    </x:row>
    <x:row r="764" ht="30" customHeight="1">
      <x:c r="A764" s="117" t="str">
        <x:v>300Ro000007Dq03IAC</x:v>
      </x:c>
      <x:c r="B764" s="117" t="str">
        <x:v>AvaTax_Order_New_Update_Entity_Use_Code_IOR_Transport_Flow</x:v>
      </x:c>
      <x:c r="C764" s="117" t="str">
        <x:v>Yes</x:v>
      </x:c>
      <x:c r="D764" s="119" t="str">
        <x:v>Active v3 (Tooling metadata)</x:v>
      </x:c>
      <x:c r="E764" s="117" t="str">
        <x:v>Order</x:v>
      </x:c>
      <x:c r="F764" s="119" t="str">
        <x:v>Reference, Trigger, Update</x:v>
      </x:c>
      <x:c r="G764" s="117" t="str">
        <x:v>Yes</x:v>
      </x:c>
      <x:c r="H764" s="117" t="str">
        <x:v>AutoLaunchedFlow</x:v>
      </x:c>
    </x:row>
    <x:row r="765" ht="30" customHeight="1">
      <x:c r="A765" s="117" t="str">
        <x:v>300Ro000007Dq04IAC</x:v>
      </x:c>
      <x:c r="B765" s="117" t="str">
        <x:v>AvaTax_Order_Update_AvaTax_Message_and_Status</x:v>
      </x:c>
      <x:c r="C765" s="117" t="str">
        <x:v>Yes</x:v>
      </x:c>
      <x:c r="D765" s="119" t="str">
        <x:v>Active v1 (Tooling metadata)</x:v>
      </x:c>
      <x:c r="E765" s="117" t="str">
        <x:v>Order</x:v>
      </x:c>
      <x:c r="F765" s="119" t="str">
        <x:v>Reference, Trigger, Update</x:v>
      </x:c>
      <x:c r="G765" s="117" t="str">
        <x:v>Yes</x:v>
      </x:c>
      <x:c r="H765" s="117" t="str">
        <x:v>AutoLaunchedFlow</x:v>
      </x:c>
    </x:row>
    <x:row r="766" ht="30" customHeight="1">
      <x:c r="A766" s="117" t="str">
        <x:v>3004O000000LOs4QAG</x:v>
      </x:c>
      <x:c r="B766" s="117" t="str">
        <x:v>AvaTax_Order_Update_AvaTax_Message_Status</x:v>
      </x:c>
      <x:c r="C766" s="117" t="str">
        <x:v>No</x:v>
      </x:c>
      <x:c r="D766" s="119" t="str">
        <x:v>Latest inactive v8 (Tooling metadata)</x:v>
      </x:c>
      <x:c r="E766" s="117" t="str">
        <x:v>Order</x:v>
      </x:c>
      <x:c r="F766" s="119" t="str">
        <x:v>Reference, Update, Variable</x:v>
      </x:c>
      <x:c r="G766" s="117" t="str">
        <x:v>No</x:v>
      </x:c>
      <x:c r="H766" s="117" t="str">
        <x:v>Workflow</x:v>
      </x:c>
    </x:row>
    <x:row r="767" ht="30" customHeight="1">
      <x:c r="A767" s="117" t="str">
        <x:v>300Ro000007Dq05IAC</x:v>
      </x:c>
      <x:c r="B767" s="117" t="str">
        <x:v>AvaTax_Order_Update_Origin_Address_Flow</x:v>
      </x:c>
      <x:c r="C767" s="117" t="str">
        <x:v>Yes</x:v>
      </x:c>
      <x:c r="D767" s="119" t="str">
        <x:v>Active v1 (Tooling metadata)</x:v>
      </x:c>
      <x:c r="E767" s="117" t="str">
        <x:v>Order</x:v>
      </x:c>
      <x:c r="F767" s="119" t="str">
        <x:v>Reference, Trigger, Update</x:v>
      </x:c>
      <x:c r="G767" s="117" t="str">
        <x:v>Yes</x:v>
      </x:c>
      <x:c r="H767" s="117" t="str">
        <x:v>AutoLaunchedFlow</x:v>
      </x:c>
    </x:row>
    <x:row r="768" ht="30" customHeight="1">
      <x:c r="A768" s="117" t="str">
        <x:v>3004O000000LOsbQAG</x:v>
      </x:c>
      <x:c r="B768" s="117" t="str">
        <x:v>Create_Order_and_Order_Products_from_Paid_Invoice</x:v>
      </x:c>
      <x:c r="C768" s="117" t="str">
        <x:v>No</x:v>
      </x:c>
      <x:c r="D768" s="119" t="str">
        <x:v>Latest inactive v20 (Retrieved XML)</x:v>
      </x:c>
      <x:c r="E768" s="117" t="str">
        <x:v>Order</x:v>
      </x:c>
      <x:c r="F768" s="119" t="str">
        <x:v>Create, Reference, Update</x:v>
      </x:c>
      <x:c r="G768" s="117" t="str">
        <x:v>No</x:v>
      </x:c>
      <x:c r="H768" s="117" t="str">
        <x:v>AutoLaunchedFlow</x:v>
      </x:c>
    </x:row>
    <x:row r="769" ht="30" customHeight="1">
      <x:c r="A769" s="117" t="str">
        <x:v>3005b000000LHdDAAW</x:v>
      </x:c>
      <x:c r="B769" s="117" t="str">
        <x:v>Invoice_Automations</x:v>
      </x:c>
      <x:c r="C769" s="117" t="str">
        <x:v>Yes</x:v>
      </x:c>
      <x:c r="D769" s="119" t="str">
        <x:v>Active v26 (Retrieved XML)</x:v>
      </x:c>
      <x:c r="E769" s="117" t="str">
        <x:v>Order</x:v>
      </x:c>
      <x:c r="F769" s="119" t="str">
        <x:v>Create, Reference, Update</x:v>
      </x:c>
      <x:c r="G769" s="117" t="str">
        <x:v>No</x:v>
      </x:c>
      <x:c r="H769" s="117" t="str">
        <x:v>AutoLaunchedFlow</x:v>
      </x:c>
    </x:row>
    <x:row r="770" ht="30" customHeight="1">
      <x:c r="A770" s="117" t="str">
        <x:v>300Ro000007Dq0BIAS</x:v>
      </x:c>
      <x:c r="B770" s="117" t="str">
        <x:v>AvaTax_Order_Automatic_Tax_Calculation_Flow</x:v>
      </x:c>
      <x:c r="C770" s="117" t="str">
        <x:v>Yes</x:v>
      </x:c>
      <x:c r="D770" s="119" t="str">
        <x:v>Active v6 (Tooling metadata)</x:v>
      </x:c>
      <x:c r="E770" s="117" t="str">
        <x:v>OrderItem</x:v>
      </x:c>
      <x:c r="F770" s="119" t="str">
        <x:v>Read, Reference</x:v>
      </x:c>
      <x:c r="G770" s="117" t="str">
        <x:v>No</x:v>
      </x:c>
      <x:c r="H770" s="117" t="str">
        <x:v>AutoLaunchedFlow</x:v>
      </x:c>
    </x:row>
    <x:row r="771" ht="30" customHeight="1">
      <x:c r="A771" s="117" t="str">
        <x:v>3004O000000LOs3QAG</x:v>
      </x:c>
      <x:c r="B771" s="117" t="str">
        <x:v>AvaTax_Order_Product_Clear_Product_AvaTax_Custom_Fields</x:v>
      </x:c>
      <x:c r="C771" s="117" t="str">
        <x:v>No</x:v>
      </x:c>
      <x:c r="D771" s="119" t="str">
        <x:v>Latest inactive v2 (Tooling metadata)</x:v>
      </x:c>
      <x:c r="E771" s="117" t="str">
        <x:v>OrderItem</x:v>
      </x:c>
      <x:c r="F771" s="119" t="str">
        <x:v>Reference, Update, Variable</x:v>
      </x:c>
      <x:c r="G771" s="117" t="str">
        <x:v>No</x:v>
      </x:c>
      <x:c r="H771" s="117" t="str">
        <x:v>Workflow</x:v>
      </x:c>
    </x:row>
    <x:row r="772" ht="30" customHeight="1">
      <x:c r="A772" s="117" t="str">
        <x:v>3004O000000LOsbQAG</x:v>
      </x:c>
      <x:c r="B772" s="117" t="str">
        <x:v>Create_Order_and_Order_Products_from_Paid_Invoice</x:v>
      </x:c>
      <x:c r="C772" s="117" t="str">
        <x:v>No</x:v>
      </x:c>
      <x:c r="D772" s="119" t="str">
        <x:v>Latest inactive v20 (Retrieved XML)</x:v>
      </x:c>
      <x:c r="E772" s="117" t="str">
        <x:v>OrderItem</x:v>
      </x:c>
      <x:c r="F772" s="119" t="str">
        <x:v>Variable</x:v>
      </x:c>
      <x:c r="G772" s="117" t="str">
        <x:v>No</x:v>
      </x:c>
      <x:c r="H772" s="117" t="str">
        <x:v>AutoLaunchedFlow</x:v>
      </x:c>
    </x:row>
    <x:row r="773" ht="30" customHeight="1">
      <x:c r="A773" s="117" t="str">
        <x:v>3005b000000LHdDAAW</x:v>
      </x:c>
      <x:c r="B773" s="117" t="str">
        <x:v>Invoice_Automations</x:v>
      </x:c>
      <x:c r="C773" s="117" t="str">
        <x:v>Yes</x:v>
      </x:c>
      <x:c r="D773" s="119" t="str">
        <x:v>Active v26 (Retrieved XML)</x:v>
      </x:c>
      <x:c r="E773" s="117" t="str">
        <x:v>OrderItem</x:v>
      </x:c>
      <x:c r="F773" s="119" t="str">
        <x:v>Variable</x:v>
      </x:c>
      <x:c r="G773" s="117" t="str">
        <x:v>No</x:v>
      </x:c>
      <x:c r="H773" s="117" t="str">
        <x:v>AutoLaunchedFlow</x:v>
      </x:c>
    </x:row>
    <x:row r="774" ht="30" customHeight="1">
      <x:c r="A774" s="117" t="str">
        <x:v>3005b000000LHRgAAO</x:v>
      </x:c>
      <x:c r="B774" s="117" t="str">
        <x:v>PO_Bill_Automations</x:v>
      </x:c>
      <x:c r="C774" s="117" t="str">
        <x:v>Yes</x:v>
      </x:c>
      <x:c r="D774" s="119" t="str">
        <x:v>Active v1 (Tooling metadata)</x:v>
      </x:c>
      <x:c r="E774" s="117" t="str">
        <x:v>PO_Bill__c</x:v>
      </x:c>
      <x:c r="F774" s="119" t="str">
        <x:v>Reference, Trigger, Update</x:v>
      </x:c>
      <x:c r="G774" s="117" t="str">
        <x:v>Yes</x:v>
      </x:c>
      <x:c r="H774" s="117" t="str">
        <x:v>AutoLaunchedFlow</x:v>
      </x:c>
    </x:row>
    <x:row r="775" ht="30" customHeight="1">
      <x:c r="A775" s="117" t="str">
        <x:v>300Ro00000KtsfTIAR</x:v>
      </x:c>
      <x:c r="B775" s="117" t="str">
        <x:v>PO_Bill_Prevent_Deletion</x:v>
      </x:c>
      <x:c r="C775" s="117" t="str">
        <x:v>Yes</x:v>
      </x:c>
      <x:c r="D775" s="119" t="str">
        <x:v>Active v1 (Retrieved XML)</x:v>
      </x:c>
      <x:c r="E775" s="117" t="str">
        <x:v>PO_Bill__c</x:v>
      </x:c>
      <x:c r="F775" s="119" t="str">
        <x:v>Reference, Trigger</x:v>
      </x:c>
      <x:c r="G775" s="117" t="str">
        <x:v>Yes</x:v>
      </x:c>
      <x:c r="H775" s="117" t="str">
        <x:v>AutoLaunchedFlow</x:v>
      </x:c>
    </x:row>
    <x:row r="776" ht="30" customHeight="1">
      <x:c r="A776" s="117" t="str">
        <x:v>300Ro00000k2kfNIAQ</x:v>
      </x:c>
      <x:c r="B776" s="117" t="str">
        <x:v>PO_Bill_Resync_if_error_is_received</x:v>
      </x:c>
      <x:c r="C776" s="117" t="str">
        <x:v>Yes</x:v>
      </x:c>
      <x:c r="D776" s="119" t="str">
        <x:v>Active v2 (Retrieved XML)</x:v>
      </x:c>
      <x:c r="E776" s="117" t="str">
        <x:v>PO_Bill__c</x:v>
      </x:c>
      <x:c r="F776" s="119" t="str">
        <x:v>Reference, Trigger, Update</x:v>
      </x:c>
      <x:c r="G776" s="117" t="str">
        <x:v>Yes</x:v>
      </x:c>
      <x:c r="H776" s="117" t="str">
        <x:v>AutoLaunchedFlow</x:v>
      </x:c>
    </x:row>
    <x:row r="777" ht="30" customHeight="1">
      <x:c r="A777" s="117" t="str">
        <x:v>3004O000000LOrBQAW</x:v>
      </x:c>
      <x:c r="B777" s="117" t="str">
        <x:v>Update_PO_Bill</x:v>
      </x:c>
      <x:c r="C777" s="117" t="str">
        <x:v>No</x:v>
      </x:c>
      <x:c r="D777" s="119" t="str">
        <x:v>Latest inactive v2 (Retrieved XML)</x:v>
      </x:c>
      <x:c r="E777" s="117" t="str">
        <x:v>PO_Bill__c</x:v>
      </x:c>
      <x:c r="F777" s="119" t="str">
        <x:v>Reference, Update, Variable</x:v>
      </x:c>
      <x:c r="G777" s="117" t="str">
        <x:v>No</x:v>
      </x:c>
      <x:c r="H777" s="117" t="str">
        <x:v>Workflow</x:v>
      </x:c>
    </x:row>
    <x:row r="778" ht="30" customHeight="1">
      <x:c r="A778" s="117" t="str">
        <x:v>3005b000000LJ6aAAG</x:v>
      </x:c>
      <x:c r="B778" s="117" t="str">
        <x:v>Account_Engagement_Bulk_Asset_Copy_Flow</x:v>
      </x:c>
      <x:c r="C778" s="117" t="str">
        <x:v>Yes</x:v>
      </x:c>
      <x:c r="D778" s="119" t="str">
        <x:v>Active v23 (Tooling metadata)</x:v>
      </x:c>
      <x:c r="E778" s="117" t="str">
        <x:v>PardotTenant</x:v>
      </x:c>
      <x:c r="F778" s="119" t="str">
        <x:v>Choice Read, Reference</x:v>
      </x:c>
      <x:c r="G778" s="117" t="str">
        <x:v>No</x:v>
      </x:c>
      <x:c r="H778" s="117" t="str">
        <x:v>Flow</x:v>
      </x:c>
    </x:row>
    <x:row r="779" ht="30" customHeight="1">
      <x:c r="A779" s="117" t="str">
        <x:v>300Ro00000d8DPqIAM</x:v>
      </x:c>
      <x:c r="B779" s="117" t="str">
        <x:v>Record_Triggered_Account_Prevent_Intacct_Sync_Status_Change</x:v>
      </x:c>
      <x:c r="C779" s="117" t="str">
        <x:v>No</x:v>
      </x:c>
      <x:c r="D779" s="119" t="str">
        <x:v>Latest inactive v1 (Retrieved XML)</x:v>
      </x:c>
      <x:c r="E779" s="117" t="str">
        <x:v>PermissionSetAssignment</x:v>
      </x:c>
      <x:c r="F779" s="119" t="str">
        <x:v>Read, Reference</x:v>
      </x:c>
      <x:c r="G779" s="117" t="str">
        <x:v>No</x:v>
      </x:c>
      <x:c r="H779" s="117" t="str">
        <x:v>AutoLaunchedFlow</x:v>
      </x:c>
    </x:row>
    <x:row r="780" ht="30" customHeight="1">
      <x:c r="A780" s="117" t="str">
        <x:v>300Ro00000d8DPrIAM</x:v>
      </x:c>
      <x:c r="B780" s="117" t="str">
        <x:v>Record_Triggered_Account_Update_Intacct_Sync_Status</x:v>
      </x:c>
      <x:c r="C780" s="117" t="str">
        <x:v>No</x:v>
      </x:c>
      <x:c r="D780" s="119" t="str">
        <x:v>Latest inactive v4 (Retrieved XML)</x:v>
      </x:c>
      <x:c r="E780" s="117" t="str">
        <x:v>PermissionSetAssignment</x:v>
      </x:c>
      <x:c r="F780" s="119" t="str">
        <x:v>Read, Reference</x:v>
      </x:c>
      <x:c r="G780" s="117" t="str">
        <x:v>No</x:v>
      </x:c>
      <x:c r="H780" s="117" t="str">
        <x:v>AutoLaunchedFlow</x:v>
      </x:c>
    </x:row>
    <x:row r="781" ht="30" customHeight="1">
      <x:c r="A781" s="117" t="str">
        <x:v>300Ro00000dKR41IAG</x:v>
      </x:c>
      <x:c r="B781" s="117" t="str">
        <x:v>Record_Triggered_After_Account_Prevent_Intact_Sync_Status_Change</x:v>
      </x:c>
      <x:c r="C781" s="117" t="str">
        <x:v>Yes</x:v>
      </x:c>
      <x:c r="D781" s="119" t="str">
        <x:v>Active v4 (Retrieved XML)</x:v>
      </x:c>
      <x:c r="E781" s="117" t="str">
        <x:v>PermissionSetAssignment</x:v>
      </x:c>
      <x:c r="F781" s="119" t="str">
        <x:v>Read, Reference</x:v>
      </x:c>
      <x:c r="G781" s="117" t="str">
        <x:v>No</x:v>
      </x:c>
      <x:c r="H781" s="117" t="str">
        <x:v>AutoLaunchedFlow</x:v>
      </x:c>
    </x:row>
    <x:row r="782" ht="30" customHeight="1">
      <x:c r="A782" s="117" t="str">
        <x:v>3005b000000Pz5oAAC</x:v>
      </x:c>
      <x:c r="B782" s="117" t="str">
        <x:v>Convert_PRR_to_Purchasing_Opportunity_Screen_Flow</x:v>
      </x:c>
      <x:c r="C782" s="117" t="str">
        <x:v>Yes</x:v>
      </x:c>
      <x:c r="D782" s="119" t="str">
        <x:v>Active v15 (Retrieved XML)</x:v>
      </x:c>
      <x:c r="E782" s="117" t="str">
        <x:v>Pricebook2</x:v>
      </x:c>
      <x:c r="F782" s="119" t="str">
        <x:v>Read, Reference</x:v>
      </x:c>
      <x:c r="G782" s="117" t="str">
        <x:v>No</x:v>
      </x:c>
      <x:c r="H782" s="117" t="str">
        <x:v>Flow</x:v>
      </x:c>
    </x:row>
    <x:row r="783" ht="30" customHeight="1">
      <x:c r="A783" s="117" t="str">
        <x:v>3005b000000H1utAAC</x:v>
      </x:c>
      <x:c r="B783" s="117" t="str">
        <x:v>Create_contract_line_items_and_entitlements</x:v>
      </x:c>
      <x:c r="C783" s="117" t="str">
        <x:v>Yes</x:v>
      </x:c>
      <x:c r="D783" s="119" t="str">
        <x:v>Active v11 (Retrieved XML)</x:v>
      </x:c>
      <x:c r="E783" s="117" t="str">
        <x:v>Pricebook2</x:v>
      </x:c>
      <x:c r="F783" s="119" t="str">
        <x:v>Read, Reference</x:v>
      </x:c>
      <x:c r="G783" s="117" t="str">
        <x:v>No</x:v>
      </x:c>
      <x:c r="H783" s="117" t="str">
        <x:v>Flow</x:v>
      </x:c>
    </x:row>
    <x:row r="784" ht="30" customHeight="1">
      <x:c r="A784" s="117" t="str">
        <x:v>3005b000000H3leAAC</x:v>
      </x:c>
      <x:c r="B784" s="117" t="str">
        <x:v>Create_Contract_Line_Items_Entitlements_and_Work_Orders</x:v>
      </x:c>
      <x:c r="C784" s="117" t="str">
        <x:v>No</x:v>
      </x:c>
      <x:c r="D784" s="119" t="str">
        <x:v>Latest inactive v3 (Retrieved XML)</x:v>
      </x:c>
      <x:c r="E784" s="117" t="str">
        <x:v>Pricebook2</x:v>
      </x:c>
      <x:c r="F784" s="119" t="str">
        <x:v>Read, Reference</x:v>
      </x:c>
      <x:c r="G784" s="117" t="str">
        <x:v>No</x:v>
      </x:c>
      <x:c r="H784" s="117" t="str">
        <x:v>Flow</x:v>
      </x:c>
    </x:row>
    <x:row r="785" ht="30" customHeight="1">
      <x:c r="A785" s="117" t="str">
        <x:v>3005b000000H3pgAAC</x:v>
      </x:c>
      <x:c r="B785" s="117" t="str">
        <x:v>Create_Contract_Line_Items_Entitlements_and_Work_Orders_V4</x:v>
      </x:c>
      <x:c r="C785" s="117" t="str">
        <x:v>Yes</x:v>
      </x:c>
      <x:c r="D785" s="119" t="str">
        <x:v>Active v17 (Tooling metadata)</x:v>
      </x:c>
      <x:c r="E785" s="117" t="str">
        <x:v>Pricebook2</x:v>
      </x:c>
      <x:c r="F785" s="119" t="str">
        <x:v>Read, Reference</x:v>
      </x:c>
      <x:c r="G785" s="117" t="str">
        <x:v>No</x:v>
      </x:c>
      <x:c r="H785" s="117" t="str">
        <x:v>Flow</x:v>
      </x:c>
    </x:row>
    <x:row r="786" ht="30" customHeight="1">
      <x:c r="A786" s="117" t="str">
        <x:v>3005b000000H1zUAAS</x:v>
      </x:c>
      <x:c r="B786" s="117" t="str">
        <x:v>Create_new_service_contract_from_opp</x:v>
      </x:c>
      <x:c r="C786" s="117" t="str">
        <x:v>Yes</x:v>
      </x:c>
      <x:c r="D786" s="119" t="str">
        <x:v>Active v11 (Retrieved XML)</x:v>
      </x:c>
      <x:c r="E786" s="117" t="str">
        <x:v>Pricebook2</x:v>
      </x:c>
      <x:c r="F786" s="119" t="str">
        <x:v>Read, Reference</x:v>
      </x:c>
      <x:c r="G786" s="117" t="str">
        <x:v>No</x:v>
      </x:c>
      <x:c r="H786" s="117" t="str">
        <x:v>Flow</x:v>
      </x:c>
    </x:row>
    <x:row r="787" ht="30" customHeight="1">
      <x:c r="A787" s="117" t="str">
        <x:v>3005b000000H3plAAC</x:v>
      </x:c>
      <x:c r="B787" s="117" t="str">
        <x:v>Create_New_Service_Contract_from_Opp_UK</x:v>
      </x:c>
      <x:c r="C787" s="117" t="str">
        <x:v>Yes</x:v>
      </x:c>
      <x:c r="D787" s="119" t="str">
        <x:v>Active v27 (Retrieved XML)</x:v>
      </x:c>
      <x:c r="E787" s="117" t="str">
        <x:v>Pricebook2</x:v>
      </x:c>
      <x:c r="F787" s="119" t="str">
        <x:v>Read, Reference</x:v>
      </x:c>
      <x:c r="G787" s="117" t="str">
        <x:v>No</x:v>
      </x:c>
      <x:c r="H787" s="117" t="str">
        <x:v>Flow</x:v>
      </x:c>
    </x:row>
    <x:row r="788" ht="30" customHeight="1">
      <x:c r="A788" s="117" t="str">
        <x:v>3005b000000H2QLAA0</x:v>
      </x:c>
      <x:c r="B788" s="117" t="str">
        <x:v>Create_part_requests_from_Service_Fusion</x:v>
      </x:c>
      <x:c r="C788" s="117" t="str">
        <x:v>Yes</x:v>
      </x:c>
      <x:c r="D788" s="119" t="str">
        <x:v>Active v21 (Tooling metadata)</x:v>
      </x:c>
      <x:c r="E788" s="117" t="str">
        <x:v>Pricebook2</x:v>
      </x:c>
      <x:c r="F788" s="119" t="str">
        <x:v>Read, Reference</x:v>
      </x:c>
      <x:c r="G788" s="117" t="str">
        <x:v>No</x:v>
      </x:c>
      <x:c r="H788" s="117" t="str">
        <x:v>AutoLaunchedFlow</x:v>
      </x:c>
    </x:row>
    <x:row r="789" ht="30" customHeight="1">
      <x:c r="A789" s="117" t="str">
        <x:v>3005b000000LJQkAAO</x:v>
      </x:c>
      <x:c r="B789" s="117" t="str">
        <x:v>Create_Souring_from_Pricing</x:v>
      </x:c>
      <x:c r="C789" s="117" t="str">
        <x:v>Yes</x:v>
      </x:c>
      <x:c r="D789" s="119" t="str">
        <x:v>Active v29 (Retrieved XML)</x:v>
      </x:c>
      <x:c r="E789" s="117" t="str">
        <x:v>Pricebook2</x:v>
      </x:c>
      <x:c r="F789" s="119" t="str">
        <x:v>Read, Reference</x:v>
      </x:c>
      <x:c r="G789" s="117" t="str">
        <x:v>No</x:v>
      </x:c>
      <x:c r="H789" s="117" t="str">
        <x:v>Flow</x:v>
      </x:c>
    </x:row>
    <x:row r="790" ht="30" customHeight="1">
      <x:c r="A790" s="117" t="str">
        <x:v>3005b000000H1eMAAS</x:v>
      </x:c>
      <x:c r="B790" s="117" t="str">
        <x:v>Opportunity_Create_Warranty_Service_Contract</x:v>
      </x:c>
      <x:c r="C790" s="117" t="str">
        <x:v>Yes</x:v>
      </x:c>
      <x:c r="D790" s="119" t="str">
        <x:v>Active v16 (Retrieved XML)</x:v>
      </x:c>
      <x:c r="E790" s="117" t="str">
        <x:v>Pricebook2</x:v>
      </x:c>
      <x:c r="F790" s="119" t="str">
        <x:v>Read, Reference</x:v>
      </x:c>
      <x:c r="G790" s="117" t="str">
        <x:v>No</x:v>
      </x:c>
      <x:c r="H790" s="117" t="str">
        <x:v>AutoLaunchedFlow</x:v>
      </x:c>
    </x:row>
    <x:row r="791" ht="30" customHeight="1">
      <x:c r="A791" s="117" t="str">
        <x:v>300Ro00000wE1KhIAK</x:v>
      </x:c>
      <x:c r="B791" s="117" t="str">
        <x:v>Service_Contract_Create_Contract_Line_Item_Screen_Flow</x:v>
      </x:c>
      <x:c r="C791" s="117" t="str">
        <x:v>Yes</x:v>
      </x:c>
      <x:c r="D791" s="119" t="str">
        <x:v>Active v4 (Retrieved XML)</x:v>
      </x:c>
      <x:c r="E791" s="117" t="str">
        <x:v>Pricebook2</x:v>
      </x:c>
      <x:c r="F791" s="119" t="str">
        <x:v>Read, Reference</x:v>
      </x:c>
      <x:c r="G791" s="117" t="str">
        <x:v>No</x:v>
      </x:c>
      <x:c r="H791" s="117" t="str">
        <x:v>Flow</x:v>
      </x:c>
    </x:row>
    <x:row r="792" ht="30" customHeight="1">
      <x:c r="A792" s="117" t="str">
        <x:v>300Ro00000wDQ8DIAW</x:v>
      </x:c>
      <x:c r="B792" s="117" t="str">
        <x:v>Service_Contract_Create_Contract_Line_Items_Screen_Flow</x:v>
      </x:c>
      <x:c r="C792" s="117" t="str">
        <x:v>No</x:v>
      </x:c>
      <x:c r="D792" s="119" t="str">
        <x:v>Latest inactive v1 (Retrieved XML)</x:v>
      </x:c>
      <x:c r="E792" s="117" t="str">
        <x:v>Pricebook2</x:v>
      </x:c>
      <x:c r="F792" s="119" t="str">
        <x:v>Read, Reference</x:v>
      </x:c>
      <x:c r="G792" s="117" t="str">
        <x:v>No</x:v>
      </x:c>
      <x:c r="H792" s="117" t="str">
        <x:v>Flow</x:v>
      </x:c>
    </x:row>
    <x:row r="793" ht="30" customHeight="1">
      <x:c r="A793" s="117" t="str">
        <x:v>3005b000000H3dfAAC</x:v>
      </x:c>
      <x:c r="B793" s="117" t="str">
        <x:v>UK_Create_Removal_Charge_Screenflow</x:v>
      </x:c>
      <x:c r="C793" s="117" t="str">
        <x:v>Yes</x:v>
      </x:c>
      <x:c r="D793" s="119" t="str">
        <x:v>Active v24 (Retrieved XML)</x:v>
      </x:c>
      <x:c r="E793" s="117" t="str">
        <x:v>Pricebook2</x:v>
      </x:c>
      <x:c r="F793" s="119" t="str">
        <x:v>Read, Reference</x:v>
      </x:c>
      <x:c r="G793" s="117" t="str">
        <x:v>No</x:v>
      </x:c>
      <x:c r="H793" s="117" t="str">
        <x:v>Flow</x:v>
      </x:c>
    </x:row>
    <x:row r="794" ht="30" customHeight="1">
      <x:c r="A794" s="117" t="str">
        <x:v>3005b000000H42uAAC</x:v>
      </x:c>
      <x:c r="B794" s="117" t="str">
        <x:v>Change_Contract_Line_Item_Product_UK</x:v>
      </x:c>
      <x:c r="C794" s="117" t="str">
        <x:v>Yes</x:v>
      </x:c>
      <x:c r="D794" s="119" t="str">
        <x:v>Active v9 (Retrieved XML)</x:v>
      </x:c>
      <x:c r="E794" s="117" t="str">
        <x:v>PricebookEntry</x:v>
      </x:c>
      <x:c r="F794" s="119" t="str">
        <x:v>Read, Reference</x:v>
      </x:c>
      <x:c r="G794" s="117" t="str">
        <x:v>No</x:v>
      </x:c>
      <x:c r="H794" s="117" t="str">
        <x:v>Flow</x:v>
      </x:c>
    </x:row>
    <x:row r="795" ht="30" customHeight="1">
      <x:c r="A795" s="117" t="str">
        <x:v>3005b000000Pz5oAAC</x:v>
      </x:c>
      <x:c r="B795" s="117" t="str">
        <x:v>Convert_PRR_to_Purchasing_Opportunity_Screen_Flow</x:v>
      </x:c>
      <x:c r="C795" s="117" t="str">
        <x:v>Yes</x:v>
      </x:c>
      <x:c r="D795" s="119" t="str">
        <x:v>Active v15 (Retrieved XML)</x:v>
      </x:c>
      <x:c r="E795" s="117" t="str">
        <x:v>PricebookEntry</x:v>
      </x:c>
      <x:c r="F795" s="119" t="str">
        <x:v>Read, Reference</x:v>
      </x:c>
      <x:c r="G795" s="117" t="str">
        <x:v>No</x:v>
      </x:c>
      <x:c r="H795" s="117" t="str">
        <x:v>Flow</x:v>
      </x:c>
    </x:row>
    <x:row r="796" ht="30" customHeight="1">
      <x:c r="A796" s="117" t="str">
        <x:v>3005b000000H1utAAC</x:v>
      </x:c>
      <x:c r="B796" s="117" t="str">
        <x:v>Create_contract_line_items_and_entitlements</x:v>
      </x:c>
      <x:c r="C796" s="117" t="str">
        <x:v>Yes</x:v>
      </x:c>
      <x:c r="D796" s="119" t="str">
        <x:v>Active v11 (Retrieved XML)</x:v>
      </x:c>
      <x:c r="E796" s="117" t="str">
        <x:v>PricebookEntry</x:v>
      </x:c>
      <x:c r="F796" s="119" t="str">
        <x:v>Read, Reference</x:v>
      </x:c>
      <x:c r="G796" s="117" t="str">
        <x:v>No</x:v>
      </x:c>
      <x:c r="H796" s="117" t="str">
        <x:v>Flow</x:v>
      </x:c>
    </x:row>
    <x:row r="797" ht="30" customHeight="1">
      <x:c r="A797" s="117" t="str">
        <x:v>3005b000000H3leAAC</x:v>
      </x:c>
      <x:c r="B797" s="117" t="str">
        <x:v>Create_Contract_Line_Items_Entitlements_and_Work_Orders</x:v>
      </x:c>
      <x:c r="C797" s="117" t="str">
        <x:v>No</x:v>
      </x:c>
      <x:c r="D797" s="119" t="str">
        <x:v>Latest inactive v3 (Retrieved XML)</x:v>
      </x:c>
      <x:c r="E797" s="117" t="str">
        <x:v>PricebookEntry</x:v>
      </x:c>
      <x:c r="F797" s="119" t="str">
        <x:v>Read, Reference</x:v>
      </x:c>
      <x:c r="G797" s="117" t="str">
        <x:v>No</x:v>
      </x:c>
      <x:c r="H797" s="117" t="str">
        <x:v>Flow</x:v>
      </x:c>
    </x:row>
    <x:row r="798" ht="30" customHeight="1">
      <x:c r="A798" s="117" t="str">
        <x:v>3005b000000H3pgAAC</x:v>
      </x:c>
      <x:c r="B798" s="117" t="str">
        <x:v>Create_Contract_Line_Items_Entitlements_and_Work_Orders_V4</x:v>
      </x:c>
      <x:c r="C798" s="117" t="str">
        <x:v>Yes</x:v>
      </x:c>
      <x:c r="D798" s="119" t="str">
        <x:v>Active v17 (Tooling metadata)</x:v>
      </x:c>
      <x:c r="E798" s="117" t="str">
        <x:v>PricebookEntry</x:v>
      </x:c>
      <x:c r="F798" s="119" t="str">
        <x:v>Read, Reference</x:v>
      </x:c>
      <x:c r="G798" s="117" t="str">
        <x:v>No</x:v>
      </x:c>
      <x:c r="H798" s="117" t="str">
        <x:v>Flow</x:v>
      </x:c>
    </x:row>
    <x:row r="799" ht="30" customHeight="1">
      <x:c r="A799" s="117" t="str">
        <x:v>300Ro00000B07T3IAJ</x:v>
      </x:c>
      <x:c r="B799" s="117" t="str">
        <x:v>Create_External_Repair_Testing_Opp_from_PO</x:v>
      </x:c>
      <x:c r="C799" s="117" t="str">
        <x:v>Yes</x:v>
      </x:c>
      <x:c r="D799" s="119" t="str">
        <x:v>Active v7 (Retrieved XML)</x:v>
      </x:c>
      <x:c r="E799" s="117" t="str">
        <x:v>PricebookEntry</x:v>
      </x:c>
      <x:c r="F799" s="119" t="str">
        <x:v>Read, Reference</x:v>
      </x:c>
      <x:c r="G799" s="117" t="str">
        <x:v>No</x:v>
      </x:c>
      <x:c r="H799" s="117" t="str">
        <x:v>Flow</x:v>
      </x:c>
    </x:row>
    <x:row r="800" ht="30" customHeight="1">
      <x:c r="A800" s="117" t="str">
        <x:v>3005b000000H2QLAA0</x:v>
      </x:c>
      <x:c r="B800" s="117" t="str">
        <x:v>Create_part_requests_from_Service_Fusion</x:v>
      </x:c>
      <x:c r="C800" s="117" t="str">
        <x:v>Yes</x:v>
      </x:c>
      <x:c r="D800" s="119" t="str">
        <x:v>Active v21 (Tooling metadata)</x:v>
      </x:c>
      <x:c r="E800" s="117" t="str">
        <x:v>PricebookEntry</x:v>
      </x:c>
      <x:c r="F800" s="119" t="str">
        <x:v>Read, Reference</x:v>
      </x:c>
      <x:c r="G800" s="117" t="str">
        <x:v>No</x:v>
      </x:c>
      <x:c r="H800" s="117" t="str">
        <x:v>AutoLaunchedFlow</x:v>
      </x:c>
    </x:row>
    <x:row r="801" ht="30" customHeight="1">
      <x:c r="A801" s="117" t="str">
        <x:v>3005b000000PzFtAAK</x:v>
      </x:c>
      <x:c r="B801" s="117" t="str">
        <x:v>Create_Return_Op_from_Purchasing_Op</x:v>
      </x:c>
      <x:c r="C801" s="117" t="str">
        <x:v>Yes</x:v>
      </x:c>
      <x:c r="D801" s="119" t="str">
        <x:v>Active v11 (Retrieved XML)</x:v>
      </x:c>
      <x:c r="E801" s="117" t="str">
        <x:v>PricebookEntry</x:v>
      </x:c>
      <x:c r="F801" s="119" t="str">
        <x:v>Read, Reference</x:v>
      </x:c>
      <x:c r="G801" s="117" t="str">
        <x:v>No</x:v>
      </x:c>
      <x:c r="H801" s="117" t="str">
        <x:v>Flow</x:v>
      </x:c>
    </x:row>
    <x:row r="802" ht="30" customHeight="1">
      <x:c r="A802" s="117" t="str">
        <x:v>3005b000000Pz9qAAC</x:v>
      </x:c>
      <x:c r="B802" s="117" t="str">
        <x:v>Create_Shipping_Product_on_US_Lead_Conversion_to_Op</x:v>
      </x:c>
      <x:c r="C802" s="117" t="str">
        <x:v>No</x:v>
      </x:c>
      <x:c r="D802" s="119" t="str">
        <x:v>Latest inactive v3 (Retrieved XML)</x:v>
      </x:c>
      <x:c r="E802" s="117" t="str">
        <x:v>PricebookEntry</x:v>
      </x:c>
      <x:c r="F802" s="119" t="str">
        <x:v>Read, Reference</x:v>
      </x:c>
      <x:c r="G802" s="117" t="str">
        <x:v>No</x:v>
      </x:c>
      <x:c r="H802" s="117" t="str">
        <x:v>AutoLaunchedFlow</x:v>
      </x:c>
    </x:row>
    <x:row r="803" ht="30" customHeight="1">
      <x:c r="A803" s="117" t="str">
        <x:v>3005b000000LHrAAAW</x:v>
      </x:c>
      <x:c r="B803" s="117" t="str">
        <x:v>Create_Shipping_Product_on_US_Op_Creation</x:v>
      </x:c>
      <x:c r="C803" s="117" t="str">
        <x:v>No</x:v>
      </x:c>
      <x:c r="D803" s="119" t="str">
        <x:v>Latest inactive v12 (Retrieved XML)</x:v>
      </x:c>
      <x:c r="E803" s="117" t="str">
        <x:v>PricebookEntry</x:v>
      </x:c>
      <x:c r="F803" s="119" t="str">
        <x:v>Read, Reference</x:v>
      </x:c>
      <x:c r="G803" s="117" t="str">
        <x:v>No</x:v>
      </x:c>
      <x:c r="H803" s="117" t="str">
        <x:v>AutoLaunchedFlow</x:v>
      </x:c>
    </x:row>
    <x:row r="804" ht="30" customHeight="1">
      <x:c r="A804" s="117" t="str">
        <x:v>3005b000000LJQkAAO</x:v>
      </x:c>
      <x:c r="B804" s="117" t="str">
        <x:v>Create_Souring_from_Pricing</x:v>
      </x:c>
      <x:c r="C804" s="117" t="str">
        <x:v>Yes</x:v>
      </x:c>
      <x:c r="D804" s="119" t="str">
        <x:v>Active v29 (Retrieved XML)</x:v>
      </x:c>
      <x:c r="E804" s="117" t="str">
        <x:v>PricebookEntry</x:v>
      </x:c>
      <x:c r="F804" s="119" t="str">
        <x:v>Read, Reference</x:v>
      </x:c>
      <x:c r="G804" s="117" t="str">
        <x:v>No</x:v>
      </x:c>
      <x:c r="H804" s="117" t="str">
        <x:v>Flow</x:v>
      </x:c>
    </x:row>
    <x:row r="805" ht="30" customHeight="1">
      <x:c r="A805" s="117" t="str">
        <x:v>300Ro00000tZphgIAC</x:v>
      </x:c>
      <x:c r="B805" s="117" t="str">
        <x:v>Disaster_Recovery_Project_Raise_Invoice_from_Charges</x:v>
      </x:c>
      <x:c r="C805" s="117" t="str">
        <x:v>Yes</x:v>
      </x:c>
      <x:c r="D805" s="119" t="str">
        <x:v>Active v7 (Retrieved XML)</x:v>
      </x:c>
      <x:c r="E805" s="117" t="str">
        <x:v>PricebookEntry</x:v>
      </x:c>
      <x:c r="F805" s="119" t="str">
        <x:v>Read, Reference</x:v>
      </x:c>
      <x:c r="G805" s="117" t="str">
        <x:v>No</x:v>
      </x:c>
      <x:c r="H805" s="117" t="str">
        <x:v>Flow</x:v>
      </x:c>
    </x:row>
    <x:row r="806" ht="30" customHeight="1">
      <x:c r="A806" s="117" t="str">
        <x:v>300Ro00000cnT4nIAE</x:v>
      </x:c>
      <x:c r="B806" s="117" t="str">
        <x:v>FSL_Parts_Order</x:v>
      </x:c>
      <x:c r="C806" s="117" t="str">
        <x:v>No</x:v>
      </x:c>
      <x:c r="D806" s="119" t="str">
        <x:v>Latest inactive v1 (Retrieved XML)</x:v>
      </x:c>
      <x:c r="E806" s="117" t="str">
        <x:v>PricebookEntry</x:v>
      </x:c>
      <x:c r="F806" s="119" t="str">
        <x:v>Read, Reference, Variable</x:v>
      </x:c>
      <x:c r="G806" s="117" t="str">
        <x:v>No</x:v>
      </x:c>
      <x:c r="H806" s="117" t="str">
        <x:v>Flow</x:v>
      </x:c>
    </x:row>
    <x:row r="807" ht="30" customHeight="1">
      <x:c r="A807" s="117" t="str">
        <x:v>300Ro00000RkPiDIAV</x:v>
      </x:c>
      <x:c r="B807" s="117" t="str">
        <x:v>MP_Test</x:v>
      </x:c>
      <x:c r="C807" s="117" t="str">
        <x:v>No</x:v>
      </x:c>
      <x:c r="D807" s="119" t="str">
        <x:v>Latest inactive v7 (Retrieved XML)</x:v>
      </x:c>
      <x:c r="E807" s="117" t="str">
        <x:v>PricebookEntry</x:v>
      </x:c>
      <x:c r="F807" s="119" t="str">
        <x:v>Read, Reference</x:v>
      </x:c>
      <x:c r="G807" s="117" t="str">
        <x:v>No</x:v>
      </x:c>
      <x:c r="H807" s="117" t="str">
        <x:v>AutoLaunchedFlow</x:v>
      </x:c>
    </x:row>
    <x:row r="808" ht="30" customHeight="1">
      <x:c r="A808" s="117" t="str">
        <x:v>3005b000000LJCEAA4</x:v>
      </x:c>
      <x:c r="B808" s="117" t="str">
        <x:v>ProductUpdatesFlow</x:v>
      </x:c>
      <x:c r="C808" s="117" t="str">
        <x:v>Yes</x:v>
      </x:c>
      <x:c r="D808" s="119" t="str">
        <x:v>Active v14 (Retrieved XML)</x:v>
      </x:c>
      <x:c r="E808" s="117" t="str">
        <x:v>PricebookEntry</x:v>
      </x:c>
      <x:c r="F808" s="119" t="str">
        <x:v>Create, Read, Reference, Variable</x:v>
      </x:c>
      <x:c r="G808" s="117" t="str">
        <x:v>No</x:v>
      </x:c>
      <x:c r="H808" s="117" t="str">
        <x:v>AutoLaunchedFlow</x:v>
      </x:c>
    </x:row>
    <x:row r="809" ht="30" customHeight="1">
      <x:c r="A809" s="117" t="str">
        <x:v>3005b000000PzrOAAS</x:v>
      </x:c>
      <x:c r="B809" s="117" t="str">
        <x:v>Refurb_Part_Request_Field_Updates_Flow</x:v>
      </x:c>
      <x:c r="C809" s="117" t="str">
        <x:v>Yes</x:v>
      </x:c>
      <x:c r="D809" s="119" t="str">
        <x:v>Active v16 (Retrieved XML)</x:v>
      </x:c>
      <x:c r="E809" s="117" t="str">
        <x:v>PricebookEntry</x:v>
      </x:c>
      <x:c r="F809" s="119" t="str">
        <x:v>Read, Reference</x:v>
      </x:c>
      <x:c r="G809" s="117" t="str">
        <x:v>No</x:v>
      </x:c>
      <x:c r="H809" s="117" t="str">
        <x:v>AutoLaunchedFlow</x:v>
      </x:c>
    </x:row>
    <x:row r="810" ht="30" customHeight="1">
      <x:c r="A810" s="117" t="str">
        <x:v>300Ro00000wE1KhIAK</x:v>
      </x:c>
      <x:c r="B810" s="117" t="str">
        <x:v>Service_Contract_Create_Contract_Line_Item_Screen_Flow</x:v>
      </x:c>
      <x:c r="C810" s="117" t="str">
        <x:v>Yes</x:v>
      </x:c>
      <x:c r="D810" s="119" t="str">
        <x:v>Active v4 (Retrieved XML)</x:v>
      </x:c>
      <x:c r="E810" s="117" t="str">
        <x:v>PricebookEntry</x:v>
      </x:c>
      <x:c r="F810" s="119" t="str">
        <x:v>Read, Reference</x:v>
      </x:c>
      <x:c r="G810" s="117" t="str">
        <x:v>No</x:v>
      </x:c>
      <x:c r="H810" s="117" t="str">
        <x:v>Flow</x:v>
      </x:c>
    </x:row>
    <x:row r="811" ht="30" customHeight="1">
      <x:c r="A811" s="117" t="str">
        <x:v>300Ro00000wDQ8DIAW</x:v>
      </x:c>
      <x:c r="B811" s="117" t="str">
        <x:v>Service_Contract_Create_Contract_Line_Items_Screen_Flow</x:v>
      </x:c>
      <x:c r="C811" s="117" t="str">
        <x:v>No</x:v>
      </x:c>
      <x:c r="D811" s="119" t="str">
        <x:v>Latest inactive v1 (Retrieved XML)</x:v>
      </x:c>
      <x:c r="E811" s="117" t="str">
        <x:v>PricebookEntry</x:v>
      </x:c>
      <x:c r="F811" s="119" t="str">
        <x:v>Read, Reference</x:v>
      </x:c>
      <x:c r="G811" s="117" t="str">
        <x:v>No</x:v>
      </x:c>
      <x:c r="H811" s="117" t="str">
        <x:v>Flow</x:v>
      </x:c>
    </x:row>
    <x:row r="812" ht="30" customHeight="1">
      <x:c r="A812" s="117" t="str">
        <x:v>300Ro00000BesY8IAJ</x:v>
      </x:c>
      <x:c r="B812" s="117" t="str">
        <x:v>System_Rate_Calculator_Screen_Flow_Rnd_2</x:v>
      </x:c>
      <x:c r="C812" s="117" t="str">
        <x:v>Yes</x:v>
      </x:c>
      <x:c r="D812" s="119" t="str">
        <x:v>Active v29 (Retrieved XML)</x:v>
      </x:c>
      <x:c r="E812" s="117" t="str">
        <x:v>PricebookEntry</x:v>
      </x:c>
      <x:c r="F812" s="119" t="str">
        <x:v>Read, Reference</x:v>
      </x:c>
      <x:c r="G812" s="117" t="str">
        <x:v>No</x:v>
      </x:c>
      <x:c r="H812" s="117" t="str">
        <x:v>Flow</x:v>
      </x:c>
    </x:row>
    <x:row r="813" ht="30" customHeight="1">
      <x:c r="A813" s="117" t="str">
        <x:v>3005b000000H3dfAAC</x:v>
      </x:c>
      <x:c r="B813" s="117" t="str">
        <x:v>UK_Create_Removal_Charge_Screenflow</x:v>
      </x:c>
      <x:c r="C813" s="117" t="str">
        <x:v>Yes</x:v>
      </x:c>
      <x:c r="D813" s="119" t="str">
        <x:v>Active v24 (Retrieved XML)</x:v>
      </x:c>
      <x:c r="E813" s="117" t="str">
        <x:v>PricebookEntry</x:v>
      </x:c>
      <x:c r="F813" s="119" t="str">
        <x:v>Read, Reference</x:v>
      </x:c>
      <x:c r="G813" s="117" t="str">
        <x:v>No</x:v>
      </x:c>
      <x:c r="H813" s="117" t="str">
        <x:v>Flow</x:v>
      </x:c>
    </x:row>
    <x:row r="814" ht="30" customHeight="1">
      <x:c r="A814" s="117" t="str">
        <x:v>3005b000000Pz5oAAC</x:v>
      </x:c>
      <x:c r="B814" s="117" t="str">
        <x:v>Convert_PRR_to_Purchasing_Opportunity_Screen_Flow</x:v>
      </x:c>
      <x:c r="C814" s="117" t="str">
        <x:v>Yes</x:v>
      </x:c>
      <x:c r="D814" s="119" t="str">
        <x:v>Active v15 (Retrieved XML)</x:v>
      </x:c>
      <x:c r="E814" s="117" t="str">
        <x:v>Pricing_Request_Response__c</x:v>
      </x:c>
      <x:c r="F814" s="119" t="str">
        <x:v>Read, Reference</x:v>
      </x:c>
      <x:c r="G814" s="117" t="str">
        <x:v>No</x:v>
      </x:c>
      <x:c r="H814" s="117" t="str">
        <x:v>Flow</x:v>
      </x:c>
    </x:row>
    <x:row r="815" ht="30" customHeight="1">
      <x:c r="A815" s="117" t="str">
        <x:v>3005b000000Pz5KAAS</x:v>
      </x:c>
      <x:c r="B815" s="117" t="str">
        <x:v>Pricing_Request_Response_Notification_Flow</x:v>
      </x:c>
      <x:c r="C815" s="117" t="str">
        <x:v>Yes</x:v>
      </x:c>
      <x:c r="D815" s="119" t="str">
        <x:v>Active v9 (Retrieved XML)</x:v>
      </x:c>
      <x:c r="E815" s="117" t="str">
        <x:v>Pricing_Request_Response__c</x:v>
      </x:c>
      <x:c r="F815" s="119" t="str">
        <x:v>Reference, Trigger</x:v>
      </x:c>
      <x:c r="G815" s="117" t="str">
        <x:v>Yes</x:v>
      </x:c>
      <x:c r="H815" s="117" t="str">
        <x:v>AutoLaunchedFlow</x:v>
      </x:c>
    </x:row>
    <x:row r="816" ht="30" customHeight="1">
      <x:c r="A816" s="117" t="str">
        <x:v>3005b000000H3wSAAS</x:v>
      </x:c>
      <x:c r="B816" s="117" t="str">
        <x:v>Create_Pricing_Request_from_Work_Order_Opportunity</x:v>
      </x:c>
      <x:c r="C816" s="117" t="str">
        <x:v>Yes</x:v>
      </x:c>
      <x:c r="D816" s="119" t="str">
        <x:v>Active v6 (Retrieved XML)</x:v>
      </x:c>
      <x:c r="E816" s="117" t="str">
        <x:v>Pricing_Request__c</x:v>
      </x:c>
      <x:c r="F816" s="119" t="str">
        <x:v>Create, Read, Reference</x:v>
      </x:c>
      <x:c r="G816" s="117" t="str">
        <x:v>No</x:v>
      </x:c>
      <x:c r="H816" s="117" t="str">
        <x:v>Flow</x:v>
      </x:c>
    </x:row>
    <x:row r="817" ht="30" customHeight="1">
      <x:c r="A817" s="117" t="str">
        <x:v>3005b000000LJQkAAO</x:v>
      </x:c>
      <x:c r="B817" s="117" t="str">
        <x:v>Create_Souring_from_Pricing</x:v>
      </x:c>
      <x:c r="C817" s="117" t="str">
        <x:v>Yes</x:v>
      </x:c>
      <x:c r="D817" s="119" t="str">
        <x:v>Active v29 (Retrieved XML)</x:v>
      </x:c>
      <x:c r="E817" s="117" t="str">
        <x:v>Pricing_Request__c</x:v>
      </x:c>
      <x:c r="F817" s="119" t="str">
        <x:v>Read, Reference, Variable</x:v>
      </x:c>
      <x:c r="G817" s="117" t="str">
        <x:v>No</x:v>
      </x:c>
      <x:c r="H817" s="117" t="str">
        <x:v>Flow</x:v>
      </x:c>
    </x:row>
    <x:row r="818" ht="30" customHeight="1">
      <x:c r="A818" s="117" t="str">
        <x:v>300Ro00000REVFjIAP</x:v>
      </x:c>
      <x:c r="B818" s="117" t="str">
        <x:v>On_Create_of_SRI_Check_if_SA_status_needs_to_be_updated</x:v>
      </x:c>
      <x:c r="C818" s="117" t="str">
        <x:v>Yes</x:v>
      </x:c>
      <x:c r="D818" s="119" t="str">
        <x:v>Active v1 (Retrieved XML)</x:v>
      </x:c>
      <x:c r="E818" s="117" t="str">
        <x:v>Pricing_Request__c</x:v>
      </x:c>
      <x:c r="F818" s="119" t="str">
        <x:v>Read, Reference</x:v>
      </x:c>
      <x:c r="G818" s="117" t="str">
        <x:v>No</x:v>
      </x:c>
      <x:c r="H818" s="117" t="str">
        <x:v>AutoLaunchedFlow</x:v>
      </x:c>
    </x:row>
    <x:row r="819" ht="30" customHeight="1">
      <x:c r="A819" s="117" t="str">
        <x:v>300Ro00000REVFkIAP</x:v>
      </x:c>
      <x:c r="B819" s="117" t="str">
        <x:v>On_Setting_of_Price_Update_Service_Appointment_to_Pending_Customer_Authorization</x:v>
      </x:c>
      <x:c r="C819" s="117" t="str">
        <x:v>No</x:v>
      </x:c>
      <x:c r="D819" s="119" t="str">
        <x:v>Latest inactive v1 (Retrieved XML)</x:v>
      </x:c>
      <x:c r="E819" s="117" t="str">
        <x:v>Pricing_Request__c</x:v>
      </x:c>
      <x:c r="F819" s="119" t="str">
        <x:v>Read, Reference, Trigger</x:v>
      </x:c>
      <x:c r="G819" s="117" t="str">
        <x:v>Yes</x:v>
      </x:c>
      <x:c r="H819" s="117" t="str">
        <x:v>AutoLaunchedFlow</x:v>
      </x:c>
    </x:row>
    <x:row r="820" ht="30" customHeight="1">
      <x:c r="A820" s="117" t="str">
        <x:v>300Ro00000VLr5uIAD</x:v>
      </x:c>
      <x:c r="B820" s="117" t="str">
        <x:v>Pricing_Request_Trigger_Update_Req_Opp_WO_SA</x:v>
      </x:c>
      <x:c r="C820" s="117" t="str">
        <x:v>Yes</x:v>
      </x:c>
      <x:c r="D820" s="119" t="str">
        <x:v>Active v1 (Retrieved XML)</x:v>
      </x:c>
      <x:c r="E820" s="117" t="str">
        <x:v>Pricing_Request__c</x:v>
      </x:c>
      <x:c r="F820" s="119" t="str">
        <x:v>Reference, Trigger</x:v>
      </x:c>
      <x:c r="G820" s="117" t="str">
        <x:v>Yes</x:v>
      </x:c>
      <x:c r="H820" s="117" t="str">
        <x:v>AutoLaunchedFlow</x:v>
      </x:c>
    </x:row>
    <x:row r="821" ht="30" customHeight="1">
      <x:c r="A821" s="117" t="str">
        <x:v>3005b000000PzrOAAS</x:v>
      </x:c>
      <x:c r="B821" s="117" t="str">
        <x:v>Refurb_Part_Request_Field_Updates_Flow</x:v>
      </x:c>
      <x:c r="C821" s="117" t="str">
        <x:v>Yes</x:v>
      </x:c>
      <x:c r="D821" s="119" t="str">
        <x:v>Active v16 (Retrieved XML)</x:v>
      </x:c>
      <x:c r="E821" s="117" t="str">
        <x:v>Pricing_Request__c</x:v>
      </x:c>
      <x:c r="F821" s="119" t="str">
        <x:v>Read, Reference</x:v>
      </x:c>
      <x:c r="G821" s="117" t="str">
        <x:v>No</x:v>
      </x:c>
      <x:c r="H821" s="117" t="str">
        <x:v>AutoLaunchedFlow</x:v>
      </x:c>
    </x:row>
    <x:row r="822" ht="30" customHeight="1">
      <x:c r="A822" s="117" t="str">
        <x:v>3005b000000PyyOAAS</x:v>
      </x:c>
      <x:c r="B822" s="117" t="str">
        <x:v>Refurb_Test_Asset_Selection_Screen_Flow</x:v>
      </x:c>
      <x:c r="C822" s="117" t="str">
        <x:v>Yes</x:v>
      </x:c>
      <x:c r="D822" s="119" t="str">
        <x:v>Active v18 (Retrieved XML)</x:v>
      </x:c>
      <x:c r="E822" s="117" t="str">
        <x:v>Pricing_Request__c</x:v>
      </x:c>
      <x:c r="F822" s="119" t="str">
        <x:v>Create, Reference</x:v>
      </x:c>
      <x:c r="G822" s="117" t="str">
        <x:v>No</x:v>
      </x:c>
      <x:c r="H822" s="117" t="str">
        <x:v>Flow</x:v>
      </x:c>
    </x:row>
    <x:row r="823" ht="30" customHeight="1">
      <x:c r="A823" s="117" t="str">
        <x:v>3005b000000H3wXAAS</x:v>
      </x:c>
      <x:c r="B823" s="117" t="str">
        <x:v>UK_Pricing_Request_Notifications</x:v>
      </x:c>
      <x:c r="C823" s="117" t="str">
        <x:v>Yes</x:v>
      </x:c>
      <x:c r="D823" s="119" t="str">
        <x:v>Active v14 (Retrieved XML)</x:v>
      </x:c>
      <x:c r="E823" s="117" t="str">
        <x:v>Pricing_Request__c</x:v>
      </x:c>
      <x:c r="F823" s="119" t="str">
        <x:v>Reference, Trigger</x:v>
      </x:c>
      <x:c r="G823" s="117" t="str">
        <x:v>Yes</x:v>
      </x:c>
      <x:c r="H823" s="117" t="str">
        <x:v>AutoLaunchedFlow</x:v>
      </x:c>
    </x:row>
    <x:row r="824" ht="30" customHeight="1">
      <x:c r="A824" s="117" t="str">
        <x:v>300Ro00000Rgy0IIAR</x:v>
      </x:c>
      <x:c r="B824" s="117" t="str">
        <x:v>Update_Service_Appointment_to_Pending_Quotation</x:v>
      </x:c>
      <x:c r="C824" s="117" t="str">
        <x:v>No</x:v>
      </x:c>
      <x:c r="D824" s="119" t="str">
        <x:v>Latest inactive v1 (Retrieved XML)</x:v>
      </x:c>
      <x:c r="E824" s="117" t="str">
        <x:v>Pricing_Request__c</x:v>
      </x:c>
      <x:c r="F824" s="119" t="str">
        <x:v>Reference, Trigger</x:v>
      </x:c>
      <x:c r="G824" s="117" t="str">
        <x:v>Yes</x:v>
      </x:c>
      <x:c r="H824" s="117" t="str">
        <x:v>AutoLaunchedFlow</x:v>
      </x:c>
    </x:row>
    <x:row r="825" ht="30" customHeight="1">
      <x:c r="A825" s="117" t="str">
        <x:v>300Ro00000z1ut3IAA</x:v>
      </x:c>
      <x:c r="B825" s="117" t="str">
        <x:v>Asset_Creation_After_Save_Update_Product_Name</x:v>
      </x:c>
      <x:c r="C825" s="117" t="str">
        <x:v>No</x:v>
      </x:c>
      <x:c r="D825" s="119" t="str">
        <x:v>Latest inactive v1 (Retrieved XML)</x:v>
      </x:c>
      <x:c r="E825" s="117" t="str">
        <x:v>Product2</x:v>
      </x:c>
      <x:c r="F825" s="119" t="str">
        <x:v>Read, Reference</x:v>
      </x:c>
      <x:c r="G825" s="117" t="str">
        <x:v>No</x:v>
      </x:c>
      <x:c r="H825" s="117" t="str">
        <x:v>AutoLaunchedFlow</x:v>
      </x:c>
    </x:row>
    <x:row r="826" ht="30" customHeight="1">
      <x:c r="A826" s="117" t="str">
        <x:v>3005b000000H421AAC</x:v>
      </x:c>
      <x:c r="B826" s="117" t="str">
        <x:v>Charge_for_Removal_Update_Flow_for_Big_Iron_Equipment</x:v>
      </x:c>
      <x:c r="C826" s="117" t="str">
        <x:v>Yes</x:v>
      </x:c>
      <x:c r="D826" s="119" t="str">
        <x:v>Active v2 (Retrieved XML)</x:v>
      </x:c>
      <x:c r="E826" s="117" t="str">
        <x:v>Product2</x:v>
      </x:c>
      <x:c r="F826" s="119" t="str">
        <x:v>Read, Reference</x:v>
      </x:c>
      <x:c r="G826" s="117" t="str">
        <x:v>No</x:v>
      </x:c>
      <x:c r="H826" s="117" t="str">
        <x:v>AutoLaunchedFlow</x:v>
      </x:c>
    </x:row>
    <x:row r="827" ht="30" customHeight="1">
      <x:c r="A827" s="117" t="str">
        <x:v>3005b000000Pz5oAAC</x:v>
      </x:c>
      <x:c r="B827" s="117" t="str">
        <x:v>Convert_PRR_to_Purchasing_Opportunity_Screen_Flow</x:v>
      </x:c>
      <x:c r="C827" s="117" t="str">
        <x:v>Yes</x:v>
      </x:c>
      <x:c r="D827" s="119" t="str">
        <x:v>Active v15 (Retrieved XML)</x:v>
      </x:c>
      <x:c r="E827" s="117" t="str">
        <x:v>Product2</x:v>
      </x:c>
      <x:c r="F827" s="119" t="str">
        <x:v>Read, Reference</x:v>
      </x:c>
      <x:c r="G827" s="117" t="str">
        <x:v>No</x:v>
      </x:c>
      <x:c r="H827" s="117" t="str">
        <x:v>Flow</x:v>
      </x:c>
    </x:row>
    <x:row r="828" ht="30" customHeight="1">
      <x:c r="A828" s="117" t="str">
        <x:v>3005b000000H1utAAC</x:v>
      </x:c>
      <x:c r="B828" s="117" t="str">
        <x:v>Create_contract_line_items_and_entitlements</x:v>
      </x:c>
      <x:c r="C828" s="117" t="str">
        <x:v>Yes</x:v>
      </x:c>
      <x:c r="D828" s="119" t="str">
        <x:v>Active v11 (Retrieved XML)</x:v>
      </x:c>
      <x:c r="E828" s="117" t="str">
        <x:v>Product2</x:v>
      </x:c>
      <x:c r="F828" s="119" t="str">
        <x:v>Variable</x:v>
      </x:c>
      <x:c r="G828" s="117" t="str">
        <x:v>No</x:v>
      </x:c>
      <x:c r="H828" s="117" t="str">
        <x:v>Flow</x:v>
      </x:c>
    </x:row>
    <x:row r="829" ht="30" customHeight="1">
      <x:c r="A829" s="117" t="str">
        <x:v>3005b000000H3leAAC</x:v>
      </x:c>
      <x:c r="B829" s="117" t="str">
        <x:v>Create_Contract_Line_Items_Entitlements_and_Work_Orders</x:v>
      </x:c>
      <x:c r="C829" s="117" t="str">
        <x:v>No</x:v>
      </x:c>
      <x:c r="D829" s="119" t="str">
        <x:v>Latest inactive v3 (Retrieved XML)</x:v>
      </x:c>
      <x:c r="E829" s="117" t="str">
        <x:v>Product2</x:v>
      </x:c>
      <x:c r="F829" s="119" t="str">
        <x:v>Variable</x:v>
      </x:c>
      <x:c r="G829" s="117" t="str">
        <x:v>No</x:v>
      </x:c>
      <x:c r="H829" s="117" t="str">
        <x:v>Flow</x:v>
      </x:c>
    </x:row>
    <x:row r="830" ht="30" customHeight="1">
      <x:c r="A830" s="117" t="str">
        <x:v>3005b000000H3pgAAC</x:v>
      </x:c>
      <x:c r="B830" s="117" t="str">
        <x:v>Create_Contract_Line_Items_Entitlements_and_Work_Orders_V4</x:v>
      </x:c>
      <x:c r="C830" s="117" t="str">
        <x:v>Yes</x:v>
      </x:c>
      <x:c r="D830" s="119" t="str">
        <x:v>Active v17 (Tooling metadata)</x:v>
      </x:c>
      <x:c r="E830" s="117" t="str">
        <x:v>Product2</x:v>
      </x:c>
      <x:c r="F830" s="119" t="str">
        <x:v>Variable</x:v>
      </x:c>
      <x:c r="G830" s="117" t="str">
        <x:v>No</x:v>
      </x:c>
      <x:c r="H830" s="117" t="str">
        <x:v>Flow</x:v>
      </x:c>
    </x:row>
    <x:row r="831" ht="30" customHeight="1">
      <x:c r="A831" s="117" t="str">
        <x:v>3004O000000LNr1QAG</x:v>
      </x:c>
      <x:c r="B831" s="117" t="str">
        <x:v>Create_Generic_Asset2_from_Product2_Id</x:v>
      </x:c>
      <x:c r="C831" s="117" t="str">
        <x:v>No</x:v>
      </x:c>
      <x:c r="D831" s="119" t="str">
        <x:v>Latest inactive v7 (Retrieved XML)</x:v>
      </x:c>
      <x:c r="E831" s="117" t="str">
        <x:v>Product2</x:v>
      </x:c>
      <x:c r="F831" s="119" t="str">
        <x:v>Read, Reference</x:v>
      </x:c>
      <x:c r="G831" s="117" t="str">
        <x:v>No</x:v>
      </x:c>
      <x:c r="H831" s="117" t="str">
        <x:v>AutoLaunchedFlow</x:v>
      </x:c>
    </x:row>
    <x:row r="832" ht="30" customHeight="1">
      <x:c r="A832" s="117" t="str">
        <x:v>300Ro00000blHOIIA2</x:v>
      </x:c>
      <x:c r="B832" s="117" t="str">
        <x:v>Create_IR_from_Opp</x:v>
      </x:c>
      <x:c r="C832" s="117" t="str">
        <x:v>Yes</x:v>
      </x:c>
      <x:c r="D832" s="119" t="str">
        <x:v>Active v6 (Tooling metadata)</x:v>
      </x:c>
      <x:c r="E832" s="117" t="str">
        <x:v>Product2</x:v>
      </x:c>
      <x:c r="F832" s="119" t="str">
        <x:v>Variable</x:v>
      </x:c>
      <x:c r="G832" s="117" t="str">
        <x:v>No</x:v>
      </x:c>
      <x:c r="H832" s="117" t="str">
        <x:v>Flow</x:v>
      </x:c>
    </x:row>
    <x:row r="833" ht="30" customHeight="1">
      <x:c r="A833" s="117" t="str">
        <x:v>3005b000000LHirAAG</x:v>
      </x:c>
      <x:c r="B833" s="117" t="str">
        <x:v>Create_Item_Receipt_from_Opp</x:v>
      </x:c>
      <x:c r="C833" s="117" t="str">
        <x:v>No</x:v>
      </x:c>
      <x:c r="D833" s="119" t="str">
        <x:v>Latest inactive v50 (Retrieved XML)</x:v>
      </x:c>
      <x:c r="E833" s="117" t="str">
        <x:v>Product2</x:v>
      </x:c>
      <x:c r="F833" s="119" t="str">
        <x:v>Variable</x:v>
      </x:c>
      <x:c r="G833" s="117" t="str">
        <x:v>No</x:v>
      </x:c>
      <x:c r="H833" s="117" t="str">
        <x:v>Flow</x:v>
      </x:c>
    </x:row>
    <x:row r="834" ht="30" customHeight="1">
      <x:c r="A834" s="117" t="str">
        <x:v>300Ro00000tZphfIAC</x:v>
      </x:c>
      <x:c r="B834" s="117" t="str">
        <x:v>DRP_Create_Project_Charge_Line_Item</x:v>
      </x:c>
      <x:c r="C834" s="117" t="str">
        <x:v>Yes</x:v>
      </x:c>
      <x:c r="D834" s="119" t="str">
        <x:v>Active v3 (Retrieved XML)</x:v>
      </x:c>
      <x:c r="E834" s="117" t="str">
        <x:v>Product2</x:v>
      </x:c>
      <x:c r="F834" s="119" t="str">
        <x:v>Read, Reference</x:v>
      </x:c>
      <x:c r="G834" s="117" t="str">
        <x:v>No</x:v>
      </x:c>
      <x:c r="H834" s="117" t="str">
        <x:v>Flow</x:v>
      </x:c>
    </x:row>
    <x:row r="835" ht="30" customHeight="1">
      <x:c r="A835" s="117" t="str">
        <x:v>3004O0000000a9zQAA</x:v>
      </x:c>
      <x:c r="B835" s="117" t="str">
        <x:v>Parts_Validation_Approval_Process</x:v>
      </x:c>
      <x:c r="C835" s="117" t="str">
        <x:v>No</x:v>
      </x:c>
      <x:c r="D835" s="119" t="str">
        <x:v>Latest inactive v6 (Retrieved XML)</x:v>
      </x:c>
      <x:c r="E835" s="117" t="str">
        <x:v>Product2</x:v>
      </x:c>
      <x:c r="F835" s="119" t="str">
        <x:v>Variable</x:v>
      </x:c>
      <x:c r="G835" s="117" t="str">
        <x:v>No</x:v>
      </x:c>
      <x:c r="H835" s="117" t="str">
        <x:v>Workflow</x:v>
      </x:c>
    </x:row>
    <x:row r="836" ht="30" customHeight="1">
      <x:c r="A836" s="117" t="str">
        <x:v>300Ro00000BfBE6IAN</x:v>
      </x:c>
      <x:c r="B836" s="117" t="str">
        <x:v>Parts_Validation_Approval_Process_1</x:v>
      </x:c>
      <x:c r="C836" s="117" t="str">
        <x:v>Yes</x:v>
      </x:c>
      <x:c r="D836" s="119" t="str">
        <x:v>Active v4 (Retrieved XML)</x:v>
      </x:c>
      <x:c r="E836" s="117" t="str">
        <x:v>Product2</x:v>
      </x:c>
      <x:c r="F836" s="119" t="str">
        <x:v>Reference, Trigger</x:v>
      </x:c>
      <x:c r="G836" s="117" t="str">
        <x:v>Yes</x:v>
      </x:c>
      <x:c r="H836" s="117" t="str">
        <x:v>AutoLaunchedFlow</x:v>
      </x:c>
    </x:row>
    <x:row r="837" ht="30" customHeight="1">
      <x:c r="A837" s="117" t="str">
        <x:v>3004O000000LNqwQAG</x:v>
      </x:c>
      <x:c r="B837" s="117" t="str">
        <x:v>Product2_All</x:v>
      </x:c>
      <x:c r="C837" s="117" t="str">
        <x:v>No</x:v>
      </x:c>
      <x:c r="D837" s="119" t="str">
        <x:v>Latest inactive v7 (Retrieved XML)</x:v>
      </x:c>
      <x:c r="E837" s="117" t="str">
        <x:v>Product2</x:v>
      </x:c>
      <x:c r="F837" s="119" t="str">
        <x:v>Variable</x:v>
      </x:c>
      <x:c r="G837" s="117" t="str">
        <x:v>No</x:v>
      </x:c>
      <x:c r="H837" s="117" t="str">
        <x:v>Workflow</x:v>
      </x:c>
    </x:row>
    <x:row r="838" ht="30" customHeight="1">
      <x:c r="A838" s="117" t="str">
        <x:v>3005b000000LJC9AAO</x:v>
      </x:c>
      <x:c r="B838" s="117" t="str">
        <x:v>Product_Creation_Actions_Flow</x:v>
      </x:c>
      <x:c r="C838" s="117" t="str">
        <x:v>Yes</x:v>
      </x:c>
      <x:c r="D838" s="119" t="str">
        <x:v>Active v10 (Retrieved XML)</x:v>
      </x:c>
      <x:c r="E838" s="117" t="str">
        <x:v>Product2</x:v>
      </x:c>
      <x:c r="F838" s="119" t="str">
        <x:v>Reference, Trigger</x:v>
      </x:c>
      <x:c r="G838" s="117" t="str">
        <x:v>Yes</x:v>
      </x:c>
      <x:c r="H838" s="117" t="str">
        <x:v>AutoLaunchedFlow</x:v>
      </x:c>
    </x:row>
    <x:row r="839" ht="30" customHeight="1">
      <x:c r="A839" s="117" t="str">
        <x:v>300Ro000010uR0GIAU</x:v>
      </x:c>
      <x:c r="B839" s="117" t="str">
        <x:v>Product_On_Creation</x:v>
      </x:c>
      <x:c r="C839" s="117" t="str">
        <x:v>Yes</x:v>
      </x:c>
      <x:c r="D839" s="119" t="str">
        <x:v>Active v2 (Retrieved XML)</x:v>
      </x:c>
      <x:c r="E839" s="117" t="str">
        <x:v>Product2</x:v>
      </x:c>
      <x:c r="F839" s="119" t="str">
        <x:v>Reference, Trigger, Update</x:v>
      </x:c>
      <x:c r="G839" s="117" t="str">
        <x:v>Yes</x:v>
      </x:c>
      <x:c r="H839" s="117" t="str">
        <x:v>AutoLaunchedFlow</x:v>
      </x:c>
    </x:row>
    <x:row r="840" ht="30" customHeight="1">
      <x:c r="A840" s="117" t="str">
        <x:v>300Ro00000xFMPfIAO</x:v>
      </x:c>
      <x:c r="B840" s="117" t="str">
        <x:v>Product_Scheduled_Build_Missing_Product_Analytics_Records</x:v>
      </x:c>
      <x:c r="C840" s="117" t="str">
        <x:v>No</x:v>
      </x:c>
      <x:c r="D840" s="119" t="str">
        <x:v>Latest inactive v1 (Retrieved XML)</x:v>
      </x:c>
      <x:c r="E840" s="117" t="str">
        <x:v>Product2</x:v>
      </x:c>
      <x:c r="F840" s="119" t="str">
        <x:v>Read, Reference</x:v>
      </x:c>
      <x:c r="G840" s="117" t="str">
        <x:v>No</x:v>
      </x:c>
      <x:c r="H840" s="117" t="str">
        <x:v>AutoLaunchedFlow</x:v>
      </x:c>
    </x:row>
    <x:row r="841" ht="30" customHeight="1">
      <x:c r="A841" s="117" t="str">
        <x:v>3005b000000LJCEAA4</x:v>
      </x:c>
      <x:c r="B841" s="117" t="str">
        <x:v>ProductUpdatesFlow</x:v>
      </x:c>
      <x:c r="C841" s="117" t="str">
        <x:v>Yes</x:v>
      </x:c>
      <x:c r="D841" s="119" t="str">
        <x:v>Active v14 (Retrieved XML)</x:v>
      </x:c>
      <x:c r="E841" s="117" t="str">
        <x:v>Product2</x:v>
      </x:c>
      <x:c r="F841" s="119" t="str">
        <x:v>Reference, Trigger, Update</x:v>
      </x:c>
      <x:c r="G841" s="117" t="str">
        <x:v>Yes</x:v>
      </x:c>
      <x:c r="H841" s="117" t="str">
        <x:v>AutoLaunchedFlow</x:v>
      </x:c>
    </x:row>
    <x:row r="842" ht="30" customHeight="1">
      <x:c r="A842" s="117" t="str">
        <x:v>300Ro00000uulooIAA</x:v>
      </x:c>
      <x:c r="B842" s="117" t="str">
        <x:v>Scrub_AvaTax_Exception_Code_from_New_Products</x:v>
      </x:c>
      <x:c r="C842" s="117" t="str">
        <x:v>Yes</x:v>
      </x:c>
      <x:c r="D842" s="119" t="str">
        <x:v>Active v1 (Retrieved XML)</x:v>
      </x:c>
      <x:c r="E842" s="117" t="str">
        <x:v>Product2</x:v>
      </x:c>
      <x:c r="F842" s="119" t="str">
        <x:v>Reference, Trigger</x:v>
      </x:c>
      <x:c r="G842" s="117" t="str">
        <x:v>Yes</x:v>
      </x:c>
      <x:c r="H842" s="117" t="str">
        <x:v>AutoLaunchedFlow</x:v>
      </x:c>
    </x:row>
    <x:row r="843" ht="30" customHeight="1">
      <x:c r="A843" s="117" t="str">
        <x:v>300Ro00000wE1KhIAK</x:v>
      </x:c>
      <x:c r="B843" s="117" t="str">
        <x:v>Service_Contract_Create_Contract_Line_Item_Screen_Flow</x:v>
      </x:c>
      <x:c r="C843" s="117" t="str">
        <x:v>Yes</x:v>
      </x:c>
      <x:c r="D843" s="119" t="str">
        <x:v>Active v4 (Retrieved XML)</x:v>
      </x:c>
      <x:c r="E843" s="117" t="str">
        <x:v>Product2</x:v>
      </x:c>
      <x:c r="F843" s="119" t="str">
        <x:v>Variable</x:v>
      </x:c>
      <x:c r="G843" s="117" t="str">
        <x:v>No</x:v>
      </x:c>
      <x:c r="H843" s="117" t="str">
        <x:v>Flow</x:v>
      </x:c>
    </x:row>
    <x:row r="844" ht="30" customHeight="1">
      <x:c r="A844" s="117" t="str">
        <x:v>300Ro00000wDQ8DIAW</x:v>
      </x:c>
      <x:c r="B844" s="117" t="str">
        <x:v>Service_Contract_Create_Contract_Line_Items_Screen_Flow</x:v>
      </x:c>
      <x:c r="C844" s="117" t="str">
        <x:v>No</x:v>
      </x:c>
      <x:c r="D844" s="119" t="str">
        <x:v>Latest inactive v1 (Retrieved XML)</x:v>
      </x:c>
      <x:c r="E844" s="117" t="str">
        <x:v>Product2</x:v>
      </x:c>
      <x:c r="F844" s="119" t="str">
        <x:v>Variable</x:v>
      </x:c>
      <x:c r="G844" s="117" t="str">
        <x:v>No</x:v>
      </x:c>
      <x:c r="H844" s="117" t="str">
        <x:v>Flow</x:v>
      </x:c>
    </x:row>
    <x:row r="845" ht="30" customHeight="1">
      <x:c r="A845" s="117" t="str">
        <x:v>3005b000000H3dfAAC</x:v>
      </x:c>
      <x:c r="B845" s="117" t="str">
        <x:v>UK_Create_Removal_Charge_Screenflow</x:v>
      </x:c>
      <x:c r="C845" s="117" t="str">
        <x:v>Yes</x:v>
      </x:c>
      <x:c r="D845" s="119" t="str">
        <x:v>Active v24 (Retrieved XML)</x:v>
      </x:c>
      <x:c r="E845" s="117" t="str">
        <x:v>Product2</x:v>
      </x:c>
      <x:c r="F845" s="119" t="str">
        <x:v>Read, Reference</x:v>
      </x:c>
      <x:c r="G845" s="117" t="str">
        <x:v>No</x:v>
      </x:c>
      <x:c r="H845" s="117" t="str">
        <x:v>Flow</x:v>
      </x:c>
    </x:row>
    <x:row r="846" ht="30" customHeight="1">
      <x:c r="A846" s="117" t="str">
        <x:v>300Ro00000B1rQaIAJ</x:v>
      </x:c>
      <x:c r="B846" s="117" t="str">
        <x:v>Absorb_External_Repair_Screen_Flow</x:v>
      </x:c>
      <x:c r="C846" s="117" t="str">
        <x:v>Yes</x:v>
      </x:c>
      <x:c r="D846" s="119" t="str">
        <x:v>Active v11 (Retrieved XML)</x:v>
      </x:c>
      <x:c r="E846" s="117" t="str">
        <x:v>ProductItem__c</x:v>
      </x:c>
      <x:c r="F846" s="119" t="str">
        <x:v>Create, Reference, Update</x:v>
      </x:c>
      <x:c r="G846" s="117" t="str">
        <x:v>No</x:v>
      </x:c>
      <x:c r="H846" s="117" t="str">
        <x:v>Flow</x:v>
      </x:c>
    </x:row>
    <x:row r="847" ht="30" customHeight="1">
      <x:c r="A847" s="117" t="str">
        <x:v>300Ro00000sB6FuIAK</x:v>
      </x:c>
      <x:c r="B847" s="117" t="str">
        <x:v>Add_Product_Record_Type_Name_to_Asset_Record</x:v>
      </x:c>
      <x:c r="C847" s="117" t="str">
        <x:v>Yes</x:v>
      </x:c>
      <x:c r="D847" s="119" t="str">
        <x:v>Active v1 (Retrieved XML)</x:v>
      </x:c>
      <x:c r="E847" s="117" t="str">
        <x:v>ProductItem__c</x:v>
      </x:c>
      <x:c r="F847" s="119" t="str">
        <x:v>Reference, Trigger, Update</x:v>
      </x:c>
      <x:c r="G847" s="117" t="str">
        <x:v>Yes</x:v>
      </x:c>
      <x:c r="H847" s="117" t="str">
        <x:v>AutoLaunchedFlow</x:v>
      </x:c>
    </x:row>
    <x:row r="848" ht="30" customHeight="1">
      <x:c r="A848" s="117" t="str">
        <x:v>300Ro00000cQpMBIA0</x:v>
      </x:c>
      <x:c r="B848" s="117" t="str">
        <x:v>Asset_Automations</x:v>
      </x:c>
      <x:c r="C848" s="117" t="str">
        <x:v>Yes</x:v>
      </x:c>
      <x:c r="D848" s="119" t="str">
        <x:v>Active v5 (Retrieved XML)</x:v>
      </x:c>
      <x:c r="E848" s="117" t="str">
        <x:v>ProductItem__c</x:v>
      </x:c>
      <x:c r="F848" s="119" t="str">
        <x:v>Reference, Trigger, Update, Variable</x:v>
      </x:c>
      <x:c r="G848" s="117" t="str">
        <x:v>Yes</x:v>
      </x:c>
      <x:c r="H848" s="117" t="str">
        <x:v>AutoLaunchedFlow</x:v>
      </x:c>
    </x:row>
    <x:row r="849" ht="30" customHeight="1">
      <x:c r="A849" s="117" t="str">
        <x:v>300Ro00000OMkxeIAD</x:v>
      </x:c>
      <x:c r="B849" s="117" t="str">
        <x:v>Asset_Check_in_Type</x:v>
      </x:c>
      <x:c r="C849" s="117" t="str">
        <x:v>Yes</x:v>
      </x:c>
      <x:c r="D849" s="119" t="str">
        <x:v>Active v8 (Retrieved XML)</x:v>
      </x:c>
      <x:c r="E849" s="117" t="str">
        <x:v>ProductItem__c</x:v>
      </x:c>
      <x:c r="F849" s="119" t="str">
        <x:v>Reference, Trigger, Update</x:v>
      </x:c>
      <x:c r="G849" s="117" t="str">
        <x:v>Yes</x:v>
      </x:c>
      <x:c r="H849" s="117" t="str">
        <x:v>AutoLaunchedFlow</x:v>
      </x:c>
    </x:row>
    <x:row r="850" ht="30" customHeight="1">
      <x:c r="A850" s="117" t="str">
        <x:v>300Ro00000xhuucIAA</x:v>
      </x:c>
      <x:c r="B850" s="117" t="str">
        <x:v>Asset_Creation_After_Save_Update_Product_Analytics</x:v>
      </x:c>
      <x:c r="C850" s="117" t="str">
        <x:v>Yes</x:v>
      </x:c>
      <x:c r="D850" s="119" t="str">
        <x:v>Active v2 (Retrieved XML)</x:v>
      </x:c>
      <x:c r="E850" s="117" t="str">
        <x:v>ProductItem__c</x:v>
      </x:c>
      <x:c r="F850" s="119" t="str">
        <x:v>Reference, Trigger, Update</x:v>
      </x:c>
      <x:c r="G850" s="117" t="str">
        <x:v>Yes</x:v>
      </x:c>
      <x:c r="H850" s="117" t="str">
        <x:v>AutoLaunchedFlow</x:v>
      </x:c>
    </x:row>
    <x:row r="851" ht="30" customHeight="1">
      <x:c r="A851" s="117" t="str">
        <x:v>300Ro00000z1ut3IAA</x:v>
      </x:c>
      <x:c r="B851" s="117" t="str">
        <x:v>Asset_Creation_After_Save_Update_Product_Name</x:v>
      </x:c>
      <x:c r="C851" s="117" t="str">
        <x:v>No</x:v>
      </x:c>
      <x:c r="D851" s="119" t="str">
        <x:v>Latest inactive v1 (Retrieved XML)</x:v>
      </x:c>
      <x:c r="E851" s="117" t="str">
        <x:v>ProductItem__c</x:v>
      </x:c>
      <x:c r="F851" s="119" t="str">
        <x:v>Reference, Trigger, Update</x:v>
      </x:c>
      <x:c r="G851" s="117" t="str">
        <x:v>Yes</x:v>
      </x:c>
      <x:c r="H851" s="117" t="str">
        <x:v>AutoLaunchedFlow</x:v>
      </x:c>
    </x:row>
    <x:row r="852" ht="30" customHeight="1">
      <x:c r="A852" s="117" t="str">
        <x:v>300Ro00000xEy5aIAC</x:v>
      </x:c>
      <x:c r="B852" s="117" t="str">
        <x:v>Asset_Creation_Before_Save_Update_Product_Analytics</x:v>
      </x:c>
      <x:c r="C852" s="117" t="str">
        <x:v>No</x:v>
      </x:c>
      <x:c r="D852" s="119" t="str">
        <x:v>Latest inactive v1 (Retrieved XML)</x:v>
      </x:c>
      <x:c r="E852" s="117" t="str">
        <x:v>ProductItem__c</x:v>
      </x:c>
      <x:c r="F852" s="119" t="str">
        <x:v>Reference, Trigger, Update</x:v>
      </x:c>
      <x:c r="G852" s="117" t="str">
        <x:v>Yes</x:v>
      </x:c>
      <x:c r="H852" s="117" t="str">
        <x:v>AutoLaunchedFlow</x:v>
      </x:c>
    </x:row>
    <x:row r="853" ht="30" customHeight="1">
      <x:c r="A853" s="117" t="str">
        <x:v>300Ro00000KVlAaIAL</x:v>
      </x:c>
      <x:c r="B853" s="117" t="str">
        <x:v>Asset_Has_Files_Automated_Flow</x:v>
      </x:c>
      <x:c r="C853" s="117" t="str">
        <x:v>No</x:v>
      </x:c>
      <x:c r="D853" s="119" t="str">
        <x:v>Latest inactive v5 (Retrieved XML)</x:v>
      </x:c>
      <x:c r="E853" s="117" t="str">
        <x:v>ProductItem__c</x:v>
      </x:c>
      <x:c r="F853" s="119" t="str">
        <x:v>Reference, Trigger, Update</x:v>
      </x:c>
      <x:c r="G853" s="117" t="str">
        <x:v>Yes</x:v>
      </x:c>
      <x:c r="H853" s="117" t="str">
        <x:v>AutoLaunchedFlow</x:v>
      </x:c>
    </x:row>
    <x:row r="854" ht="30" customHeight="1">
      <x:c r="A854" s="117" t="str">
        <x:v>300Ro00000xFCRyIAO</x:v>
      </x:c>
      <x:c r="B854" s="117" t="str">
        <x:v>Asset_Update_After_Save_Set_Product_Analytics_on_Product_Name_Change</x:v>
      </x:c>
      <x:c r="C854" s="117" t="str">
        <x:v>Yes</x:v>
      </x:c>
      <x:c r="D854" s="119" t="str">
        <x:v>Active v2 (Retrieved XML)</x:v>
      </x:c>
      <x:c r="E854" s="117" t="str">
        <x:v>ProductItem__c</x:v>
      </x:c>
      <x:c r="F854" s="119" t="str">
        <x:v>Reference, Trigger, Update</x:v>
      </x:c>
      <x:c r="G854" s="117" t="str">
        <x:v>Yes</x:v>
      </x:c>
      <x:c r="H854" s="117" t="str">
        <x:v>AutoLaunchedFlow</x:v>
      </x:c>
    </x:row>
    <x:row r="855" ht="30" customHeight="1">
      <x:c r="A855" s="117" t="str">
        <x:v>3005b000000LGUKAA4</x:v>
      </x:c>
      <x:c r="B855" s="117" t="str">
        <x:v>Auto_Close_SWO_HWO_Scrap_Asset</x:v>
      </x:c>
      <x:c r="C855" s="117" t="str">
        <x:v>Yes</x:v>
      </x:c>
      <x:c r="D855" s="119" t="str">
        <x:v>Active v2 (Retrieved XML)</x:v>
      </x:c>
      <x:c r="E855" s="117" t="str">
        <x:v>ProductItem__c</x:v>
      </x:c>
      <x:c r="F855" s="119" t="str">
        <x:v>Read, Reference, Update</x:v>
      </x:c>
      <x:c r="G855" s="117" t="str">
        <x:v>No</x:v>
      </x:c>
      <x:c r="H855" s="117" t="str">
        <x:v>AutoLaunchedFlow</x:v>
      </x:c>
    </x:row>
    <x:row r="856" ht="30" customHeight="1">
      <x:c r="A856" s="117" t="str">
        <x:v>3005b000000LHrKAAW</x:v>
      </x:c>
      <x:c r="B856" s="117" t="str">
        <x:v>Auto_Create_IR_When_Manually_PA_ing_Asset</x:v>
      </x:c>
      <x:c r="C856" s="117" t="str">
        <x:v>No</x:v>
      </x:c>
      <x:c r="D856" s="119" t="str">
        <x:v>Latest inactive v2 (Retrieved XML)</x:v>
      </x:c>
      <x:c r="E856" s="117" t="str">
        <x:v>ProductItem__c</x:v>
      </x:c>
      <x:c r="F856" s="119" t="str">
        <x:v>Reference, Trigger, Update</x:v>
      </x:c>
      <x:c r="G856" s="117" t="str">
        <x:v>Yes</x:v>
      </x:c>
      <x:c r="H856" s="117" t="str">
        <x:v>AutoLaunchedFlow</x:v>
      </x:c>
    </x:row>
    <x:row r="857" ht="30" customHeight="1">
      <x:c r="A857" s="117" t="str">
        <x:v>3005b000000PzoUAAS</x:v>
      </x:c>
      <x:c r="B857" s="117" t="str">
        <x:v>Auto_Create_Refurb_System_Repair_from_Refurb_Test</x:v>
      </x:c>
      <x:c r="C857" s="117" t="str">
        <x:v>Yes</x:v>
      </x:c>
      <x:c r="D857" s="119" t="str">
        <x:v>Active v2 (Tooling metadata)</x:v>
      </x:c>
      <x:c r="E857" s="117" t="str">
        <x:v>ProductItem__c</x:v>
      </x:c>
      <x:c r="F857" s="119" t="str">
        <x:v>Read, Reference</x:v>
      </x:c>
      <x:c r="G857" s="117" t="str">
        <x:v>No</x:v>
      </x:c>
      <x:c r="H857" s="117" t="str">
        <x:v>AutoLaunchedFlow</x:v>
      </x:c>
    </x:row>
    <x:row r="858" ht="30" customHeight="1">
      <x:c r="A858" s="117" t="str">
        <x:v>300Ro00000cwVgfIAE</x:v>
      </x:c>
      <x:c r="B858" s="117" t="str">
        <x:v>Autolaunched_Create_Service_or_Sales_Asset</x:v>
      </x:c>
      <x:c r="C858" s="117" t="str">
        <x:v>No</x:v>
      </x:c>
      <x:c r="D858" s="119" t="str">
        <x:v>Latest inactive v1 (Retrieved XML)</x:v>
      </x:c>
      <x:c r="E858" s="117" t="str">
        <x:v>ProductItem__c</x:v>
      </x:c>
      <x:c r="F858" s="119" t="str">
        <x:v>Create, Read, Reference</x:v>
      </x:c>
      <x:c r="G858" s="117" t="str">
        <x:v>No</x:v>
      </x:c>
      <x:c r="H858" s="117" t="str">
        <x:v>AutoLaunchedFlow</x:v>
      </x:c>
    </x:row>
    <x:row r="859" ht="30" customHeight="1">
      <x:c r="A859" s="117" t="str">
        <x:v>300Ro00000RA9XBIA1</x:v>
      </x:c>
      <x:c r="B859" s="117" t="str">
        <x:v>Big_Iron_Removal_Date_Updated_Notification</x:v>
      </x:c>
      <x:c r="C859" s="117" t="str">
        <x:v>No</x:v>
      </x:c>
      <x:c r="D859" s="119" t="str">
        <x:v>Latest inactive v7 (Retrieved XML)</x:v>
      </x:c>
      <x:c r="E859" s="117" t="str">
        <x:v>ProductItem__c</x:v>
      </x:c>
      <x:c r="F859" s="119" t="str">
        <x:v>Read, Reference</x:v>
      </x:c>
      <x:c r="G859" s="117" t="str">
        <x:v>No</x:v>
      </x:c>
      <x:c r="H859" s="117" t="str">
        <x:v>AutoLaunchedFlow</x:v>
      </x:c>
    </x:row>
    <x:row r="860" ht="30" customHeight="1">
      <x:c r="A860" s="117" t="str">
        <x:v>3005b000000H421AAC</x:v>
      </x:c>
      <x:c r="B860" s="117" t="str">
        <x:v>Charge_for_Removal_Update_Flow_for_Big_Iron_Equipment</x:v>
      </x:c>
      <x:c r="C860" s="117" t="str">
        <x:v>Yes</x:v>
      </x:c>
      <x:c r="D860" s="119" t="str">
        <x:v>Active v2 (Retrieved XML)</x:v>
      </x:c>
      <x:c r="E860" s="117" t="str">
        <x:v>ProductItem__c</x:v>
      </x:c>
      <x:c r="F860" s="119" t="str">
        <x:v>Reference, Trigger, Update</x:v>
      </x:c>
      <x:c r="G860" s="117" t="str">
        <x:v>Yes</x:v>
      </x:c>
      <x:c r="H860" s="117" t="str">
        <x:v>AutoLaunchedFlow</x:v>
      </x:c>
    </x:row>
    <x:row r="861" ht="30" customHeight="1">
      <x:c r="A861" s="117" t="str">
        <x:v>3005b000000Pzl1AAC</x:v>
      </x:c>
      <x:c r="B861" s="117" t="str">
        <x:v>Coil_RMA_Update_Last_Test_Completed_Date_Flow</x:v>
      </x:c>
      <x:c r="C861" s="117" t="str">
        <x:v>Yes</x:v>
      </x:c>
      <x:c r="D861" s="119" t="str">
        <x:v>Active v2 (Retrieved XML)</x:v>
      </x:c>
      <x:c r="E861" s="117" t="str">
        <x:v>ProductItem__c</x:v>
      </x:c>
      <x:c r="F861" s="119" t="str">
        <x:v>Reference, Trigger</x:v>
      </x:c>
      <x:c r="G861" s="117" t="str">
        <x:v>Yes</x:v>
      </x:c>
      <x:c r="H861" s="117" t="str">
        <x:v>AutoLaunchedFlow</x:v>
      </x:c>
    </x:row>
    <x:row r="862" ht="30" customHeight="1">
      <x:c r="A862" s="117" t="str">
        <x:v>3005b000000Pz5oAAC</x:v>
      </x:c>
      <x:c r="B862" s="117" t="str">
        <x:v>Convert_PRR_to_Purchasing_Opportunity_Screen_Flow</x:v>
      </x:c>
      <x:c r="C862" s="117" t="str">
        <x:v>Yes</x:v>
      </x:c>
      <x:c r="D862" s="119" t="str">
        <x:v>Active v15 (Retrieved XML)</x:v>
      </x:c>
      <x:c r="E862" s="117" t="str">
        <x:v>ProductItem__c</x:v>
      </x:c>
      <x:c r="F862" s="119" t="str">
        <x:v>Read, Reference</x:v>
      </x:c>
      <x:c r="G862" s="117" t="str">
        <x:v>No</x:v>
      </x:c>
      <x:c r="H862" s="117" t="str">
        <x:v>Flow</x:v>
      </x:c>
    </x:row>
    <x:row r="863" ht="30" customHeight="1">
      <x:c r="A863" s="117" t="str">
        <x:v>300Ro00000B07T3IAJ</x:v>
      </x:c>
      <x:c r="B863" s="117" t="str">
        <x:v>Create_External_Repair_Testing_Opp_from_PO</x:v>
      </x:c>
      <x:c r="C863" s="117" t="str">
        <x:v>Yes</x:v>
      </x:c>
      <x:c r="D863" s="119" t="str">
        <x:v>Active v7 (Retrieved XML)</x:v>
      </x:c>
      <x:c r="E863" s="117" t="str">
        <x:v>ProductItem__c</x:v>
      </x:c>
      <x:c r="F863" s="119" t="str">
        <x:v>Read, Reference, Variable</x:v>
      </x:c>
      <x:c r="G863" s="117" t="str">
        <x:v>No</x:v>
      </x:c>
      <x:c r="H863" s="117" t="str">
        <x:v>Flow</x:v>
      </x:c>
    </x:row>
    <x:row r="864" ht="30" customHeight="1">
      <x:c r="A864" s="117" t="str">
        <x:v>300Ro00000kseeBIAQ</x:v>
      </x:c>
      <x:c r="B864" s="117" t="str">
        <x:v>Create_Field_Service_Work_Order_in_Salesforce</x:v>
      </x:c>
      <x:c r="C864" s="117" t="str">
        <x:v>Yes</x:v>
      </x:c>
      <x:c r="D864" s="119" t="str">
        <x:v>Active v9 (Retrieved XML)</x:v>
      </x:c>
      <x:c r="E864" s="117" t="str">
        <x:v>ProductItem__c</x:v>
      </x:c>
      <x:c r="F864" s="119" t="str">
        <x:v>Read, Reference, Variable</x:v>
      </x:c>
      <x:c r="G864" s="117" t="str">
        <x:v>No</x:v>
      </x:c>
      <x:c r="H864" s="117" t="str">
        <x:v>Flow</x:v>
      </x:c>
    </x:row>
    <x:row r="865" ht="30" customHeight="1">
      <x:c r="A865" s="117" t="str">
        <x:v>3004O000000LNr1QAG</x:v>
      </x:c>
      <x:c r="B865" s="117" t="str">
        <x:v>Create_Generic_Asset2_from_Product2_Id</x:v>
      </x:c>
      <x:c r="C865" s="117" t="str">
        <x:v>No</x:v>
      </x:c>
      <x:c r="D865" s="119" t="str">
        <x:v>Latest inactive v7 (Retrieved XML)</x:v>
      </x:c>
      <x:c r="E865" s="117" t="str">
        <x:v>ProductItem__c</x:v>
      </x:c>
      <x:c r="F865" s="119" t="str">
        <x:v>Variable</x:v>
      </x:c>
      <x:c r="G865" s="117" t="str">
        <x:v>No</x:v>
      </x:c>
      <x:c r="H865" s="117" t="str">
        <x:v>AutoLaunchedFlow</x:v>
      </x:c>
    </x:row>
    <x:row r="866" ht="30" customHeight="1">
      <x:c r="A866" s="117" t="str">
        <x:v>300Ro00000blHOIIA2</x:v>
      </x:c>
      <x:c r="B866" s="117" t="str">
        <x:v>Create_IR_from_Opp</x:v>
      </x:c>
      <x:c r="C866" s="117" t="str">
        <x:v>Yes</x:v>
      </x:c>
      <x:c r="D866" s="119" t="str">
        <x:v>Active v6 (Tooling metadata)</x:v>
      </x:c>
      <x:c r="E866" s="117" t="str">
        <x:v>ProductItem__c</x:v>
      </x:c>
      <x:c r="F866" s="119" t="str">
        <x:v>Read, Reference, Variable</x:v>
      </x:c>
      <x:c r="G866" s="117" t="str">
        <x:v>No</x:v>
      </x:c>
      <x:c r="H866" s="117" t="str">
        <x:v>Flow</x:v>
      </x:c>
    </x:row>
    <x:row r="867" ht="30" customHeight="1">
      <x:c r="A867" s="117" t="str">
        <x:v>3005b000000LHirAAG</x:v>
      </x:c>
      <x:c r="B867" s="117" t="str">
        <x:v>Create_Item_Receipt_from_Opp</x:v>
      </x:c>
      <x:c r="C867" s="117" t="str">
        <x:v>No</x:v>
      </x:c>
      <x:c r="D867" s="119" t="str">
        <x:v>Latest inactive v50 (Retrieved XML)</x:v>
      </x:c>
      <x:c r="E867" s="117" t="str">
        <x:v>ProductItem__c</x:v>
      </x:c>
      <x:c r="F867" s="119" t="str">
        <x:v>Read, Reference, Variable</x:v>
      </x:c>
      <x:c r="G867" s="117" t="str">
        <x:v>No</x:v>
      </x:c>
      <x:c r="H867" s="117" t="str">
        <x:v>Flow</x:v>
      </x:c>
    </x:row>
    <x:row r="868" ht="30" customHeight="1">
      <x:c r="A868" s="117" t="str">
        <x:v>3005b000000H2QLAA0</x:v>
      </x:c>
      <x:c r="B868" s="117" t="str">
        <x:v>Create_part_requests_from_Service_Fusion</x:v>
      </x:c>
      <x:c r="C868" s="117" t="str">
        <x:v>Yes</x:v>
      </x:c>
      <x:c r="D868" s="119" t="str">
        <x:v>Active v21 (Tooling metadata)</x:v>
      </x:c>
      <x:c r="E868" s="117" t="str">
        <x:v>ProductItem__c</x:v>
      </x:c>
      <x:c r="F868" s="119" t="str">
        <x:v>Read, Reference</x:v>
      </x:c>
      <x:c r="G868" s="117" t="str">
        <x:v>No</x:v>
      </x:c>
      <x:c r="H868" s="117" t="str">
        <x:v>AutoLaunchedFlow</x:v>
      </x:c>
    </x:row>
    <x:row r="869" ht="30" customHeight="1">
      <x:c r="A869" s="117" t="str">
        <x:v>3005b000000H3wSAAS</x:v>
      </x:c>
      <x:c r="B869" s="117" t="str">
        <x:v>Create_Pricing_Request_from_Work_Order_Opportunity</x:v>
      </x:c>
      <x:c r="C869" s="117" t="str">
        <x:v>Yes</x:v>
      </x:c>
      <x:c r="D869" s="119" t="str">
        <x:v>Active v6 (Retrieved XML)</x:v>
      </x:c>
      <x:c r="E869" s="117" t="str">
        <x:v>ProductItem__c</x:v>
      </x:c>
      <x:c r="F869" s="119" t="str">
        <x:v>Read, Reference</x:v>
      </x:c>
      <x:c r="G869" s="117" t="str">
        <x:v>No</x:v>
      </x:c>
      <x:c r="H869" s="117" t="str">
        <x:v>Flow</x:v>
      </x:c>
    </x:row>
    <x:row r="870" ht="30" customHeight="1">
      <x:c r="A870" s="117" t="str">
        <x:v>3005b000000H4GSAA0</x:v>
      </x:c>
      <x:c r="B870" s="117" t="str">
        <x:v>Create_Project_on_Big_Iron_Purchasing_Opportunity_Flow</x:v>
      </x:c>
      <x:c r="C870" s="117" t="str">
        <x:v>Yes</x:v>
      </x:c>
      <x:c r="D870" s="119" t="str">
        <x:v>Active v11 (Retrieved XML)</x:v>
      </x:c>
      <x:c r="E870" s="117" t="str">
        <x:v>ProductItem__c</x:v>
      </x:c>
      <x:c r="F870" s="119" t="str">
        <x:v>Read, Reference, Update</x:v>
      </x:c>
      <x:c r="G870" s="117" t="str">
        <x:v>No</x:v>
      </x:c>
      <x:c r="H870" s="117" t="str">
        <x:v>AutoLaunchedFlow</x:v>
      </x:c>
    </x:row>
    <x:row r="871" ht="30" customHeight="1">
      <x:c r="A871" s="117" t="str">
        <x:v>3005b000000PzFtAAK</x:v>
      </x:c>
      <x:c r="B871" s="117" t="str">
        <x:v>Create_Return_Op_from_Purchasing_Op</x:v>
      </x:c>
      <x:c r="C871" s="117" t="str">
        <x:v>Yes</x:v>
      </x:c>
      <x:c r="D871" s="119" t="str">
        <x:v>Active v11 (Retrieved XML)</x:v>
      </x:c>
      <x:c r="E871" s="117" t="str">
        <x:v>ProductItem__c</x:v>
      </x:c>
      <x:c r="F871" s="119" t="str">
        <x:v>Read, Reference, Variable</x:v>
      </x:c>
      <x:c r="G871" s="117" t="str">
        <x:v>No</x:v>
      </x:c>
      <x:c r="H871" s="117" t="str">
        <x:v>Flow</x:v>
      </x:c>
    </x:row>
    <x:row r="872" ht="30" customHeight="1">
      <x:c r="A872" s="117" t="str">
        <x:v>3005b000000H3uHAAS</x:v>
      </x:c>
      <x:c r="B872" s="117" t="str">
        <x:v>Create_RMA_from_Work_Order</x:v>
      </x:c>
      <x:c r="C872" s="117" t="str">
        <x:v>Yes</x:v>
      </x:c>
      <x:c r="D872" s="119" t="str">
        <x:v>Active v24 (Tooling metadata)</x:v>
      </x:c>
      <x:c r="E872" s="117" t="str">
        <x:v>ProductItem__c</x:v>
      </x:c>
      <x:c r="F872" s="119" t="str">
        <x:v>Read, Reference</x:v>
      </x:c>
      <x:c r="G872" s="117" t="str">
        <x:v>No</x:v>
      </x:c>
      <x:c r="H872" s="117" t="str">
        <x:v>Flow</x:v>
      </x:c>
    </x:row>
    <x:row r="873" ht="30" customHeight="1">
      <x:c r="A873" s="117" t="str">
        <x:v>300Ro000011vzqVIAQ</x:v>
      </x:c>
      <x:c r="B873" s="117" t="str">
        <x:v>Create_UK_Warehouse_Request_Teams_Case_Screen_Flow</x:v>
      </x:c>
      <x:c r="C873" s="117" t="str">
        <x:v>Yes</x:v>
      </x:c>
      <x:c r="D873" s="119" t="str">
        <x:v>Active v1 (Retrieved XML)</x:v>
      </x:c>
      <x:c r="E873" s="117" t="str">
        <x:v>ProductItem__c</x:v>
      </x:c>
      <x:c r="F873" s="119" t="str">
        <x:v>Read, Reference</x:v>
      </x:c>
      <x:c r="G873" s="117" t="str">
        <x:v>No</x:v>
      </x:c>
      <x:c r="H873" s="117" t="str">
        <x:v>Flow</x:v>
      </x:c>
    </x:row>
    <x:row r="874" ht="30" customHeight="1">
      <x:c r="A874" s="117" t="str">
        <x:v>300Ro00000ydLuvIAE</x:v>
      </x:c>
      <x:c r="B874" s="117" t="str">
        <x:v>FSL_Close_Out_Service_Appointment_Field_Service_Mobile_Flow</x:v>
      </x:c>
      <x:c r="C874" s="117" t="str">
        <x:v>No</x:v>
      </x:c>
      <x:c r="D874" s="119" t="str">
        <x:v>Latest inactive v4 (Retrieved XML)</x:v>
      </x:c>
      <x:c r="E874" s="117" t="str">
        <x:v>ProductItem__c</x:v>
      </x:c>
      <x:c r="F874" s="119" t="str">
        <x:v>Read, Reference, Variable</x:v>
      </x:c>
      <x:c r="G874" s="117" t="str">
        <x:v>No</x:v>
      </x:c>
      <x:c r="H874" s="117" t="str">
        <x:v>FieldServiceMobile</x:v>
      </x:c>
    </x:row>
    <x:row r="875" ht="30" customHeight="1">
      <x:c r="A875" s="117" t="str">
        <x:v>300Ro00000srgJqIAI</x:v>
      </x:c>
      <x:c r="B875" s="117" t="str">
        <x:v>FSL_Service_Appointment_Collect_Assets</x:v>
      </x:c>
      <x:c r="C875" s="117" t="str">
        <x:v>Yes</x:v>
      </x:c>
      <x:c r="D875" s="119" t="str">
        <x:v>Active v19 (Retrieved XML)</x:v>
      </x:c>
      <x:c r="E875" s="117" t="str">
        <x:v>ProductItem__c</x:v>
      </x:c>
      <x:c r="F875" s="119" t="str">
        <x:v>Variable</x:v>
      </x:c>
      <x:c r="G875" s="117" t="str">
        <x:v>No</x:v>
      </x:c>
      <x:c r="H875" s="117" t="str">
        <x:v>FieldServiceMobile</x:v>
      </x:c>
    </x:row>
    <x:row r="876" ht="30" customHeight="1">
      <x:c r="A876" s="117" t="str">
        <x:v>300Ro00000phiq4IAA</x:v>
      </x:c>
      <x:c r="B876" s="117" t="str">
        <x:v>FSL_US_On_Submit_to_Shipping_Update_Status_to_Pending_Shipment</x:v>
      </x:c>
      <x:c r="C876" s="117" t="str">
        <x:v>Yes</x:v>
      </x:c>
      <x:c r="D876" s="119" t="str">
        <x:v>Active v3 (Retrieved XML)</x:v>
      </x:c>
      <x:c r="E876" s="117" t="str">
        <x:v>ProductItem__c</x:v>
      </x:c>
      <x:c r="F876" s="119" t="str">
        <x:v>Read, Reference</x:v>
      </x:c>
      <x:c r="G876" s="117" t="str">
        <x:v>No</x:v>
      </x:c>
      <x:c r="H876" s="117" t="str">
        <x:v>AutoLaunchedFlow</x:v>
      </x:c>
    </x:row>
    <x:row r="877" ht="30" customHeight="1">
      <x:c r="A877" s="117" t="str">
        <x:v>300Ro00000y33GaIAI</x:v>
      </x:c>
      <x:c r="B877" s="117" t="str">
        <x:v>Generate_Mechanical_Services_Work_Order_Screen_Flow</x:v>
      </x:c>
      <x:c r="C877" s="117" t="str">
        <x:v>No</x:v>
      </x:c>
      <x:c r="D877" s="119" t="str">
        <x:v>Latest inactive v1 (Retrieved XML)</x:v>
      </x:c>
      <x:c r="E877" s="117" t="str">
        <x:v>ProductItem__c</x:v>
      </x:c>
      <x:c r="F877" s="119" t="str">
        <x:v>Read, Reference, Variable</x:v>
      </x:c>
      <x:c r="G877" s="117" t="str">
        <x:v>No</x:v>
      </x:c>
      <x:c r="H877" s="117" t="str">
        <x:v>Flow</x:v>
      </x:c>
    </x:row>
    <x:row r="878" ht="30" customHeight="1">
      <x:c r="A878" s="117" t="str">
        <x:v>300Ro00000FzvvKIAR</x:v>
      </x:c>
      <x:c r="B878" s="117" t="str">
        <x:v>Harvest_Work_Order_Cost_PA_Screen_Flow</x:v>
      </x:c>
      <x:c r="C878" s="117" t="str">
        <x:v>Yes</x:v>
      </x:c>
      <x:c r="D878" s="119" t="str">
        <x:v>Active v7 (Retrieved XML)</x:v>
      </x:c>
      <x:c r="E878" s="117" t="str">
        <x:v>ProductItem__c</x:v>
      </x:c>
      <x:c r="F878" s="119" t="str">
        <x:v>Read, Reference, Variable</x:v>
      </x:c>
      <x:c r="G878" s="117" t="str">
        <x:v>No</x:v>
      </x:c>
      <x:c r="H878" s="117" t="str">
        <x:v>Flow</x:v>
      </x:c>
    </x:row>
    <x:row r="879" ht="30" customHeight="1">
      <x:c r="A879" s="117" t="str">
        <x:v>3005b000000PzCkAAK</x:v>
      </x:c>
      <x:c r="B879" s="117" t="str">
        <x:v>Harvest_Work_Order_Roll_Up_Flow</x:v>
      </x:c>
      <x:c r="C879" s="117" t="str">
        <x:v>Yes</x:v>
      </x:c>
      <x:c r="D879" s="119" t="str">
        <x:v>Active v2 (Retrieved XML)</x:v>
      </x:c>
      <x:c r="E879" s="117" t="str">
        <x:v>ProductItem__c</x:v>
      </x:c>
      <x:c r="F879" s="119" t="str">
        <x:v>Read, Reference, Variable</x:v>
      </x:c>
      <x:c r="G879" s="117" t="str">
        <x:v>No</x:v>
      </x:c>
      <x:c r="H879" s="117" t="str">
        <x:v>AutoLaunchedFlow</x:v>
      </x:c>
    </x:row>
    <x:row r="880" ht="30" customHeight="1">
      <x:c r="A880" s="117" t="str">
        <x:v>3005b000000H3uqAAC</x:v>
      </x:c>
      <x:c r="B880" s="117" t="str">
        <x:v>Has_Files_Flow</x:v>
      </x:c>
      <x:c r="C880" s="117" t="str">
        <x:v>No</x:v>
      </x:c>
      <x:c r="D880" s="119" t="str">
        <x:v>Latest inactive v1 (Retrieved XML)</x:v>
      </x:c>
      <x:c r="E880" s="117" t="str">
        <x:v>ProductItem__c</x:v>
      </x:c>
      <x:c r="F880" s="119" t="str">
        <x:v>Reference, Trigger, Update</x:v>
      </x:c>
      <x:c r="G880" s="117" t="str">
        <x:v>Yes</x:v>
      </x:c>
      <x:c r="H880" s="117" t="str">
        <x:v>AutoLaunchedFlow</x:v>
      </x:c>
    </x:row>
    <x:row r="881" ht="30" customHeight="1">
      <x:c r="A881" s="117" t="str">
        <x:v>3004O000000LOscQAG</x:v>
      </x:c>
      <x:c r="B881" s="117" t="str">
        <x:v>Inventory_Adjustment</x:v>
      </x:c>
      <x:c r="C881" s="117" t="str">
        <x:v>No</x:v>
      </x:c>
      <x:c r="D881" s="119" t="str">
        <x:v>Latest inactive v1 (Retrieved XML)</x:v>
      </x:c>
      <x:c r="E881" s="117" t="str">
        <x:v>ProductItem__c</x:v>
      </x:c>
      <x:c r="F881" s="119" t="str">
        <x:v>Reference, Update</x:v>
      </x:c>
      <x:c r="G881" s="117" t="str">
        <x:v>No</x:v>
      </x:c>
      <x:c r="H881" s="117" t="str">
        <x:v>Workflow</x:v>
      </x:c>
    </x:row>
    <x:row r="882" ht="30" customHeight="1">
      <x:c r="A882" s="117" t="str">
        <x:v>300Ro000008sBV0IAM</x:v>
      </x:c>
      <x:c r="B882" s="117" t="str">
        <x:v>Invoice_to_Harvest_Work_Order_Rollups</x:v>
      </x:c>
      <x:c r="C882" s="117" t="str">
        <x:v>No</x:v>
      </x:c>
      <x:c r="D882" s="119" t="str">
        <x:v>Latest inactive v2 (Retrieved XML)</x:v>
      </x:c>
      <x:c r="E882" s="117" t="str">
        <x:v>ProductItem__c</x:v>
      </x:c>
      <x:c r="F882" s="119" t="str">
        <x:v>Read, Reference, Trigger</x:v>
      </x:c>
      <x:c r="G882" s="117" t="str">
        <x:v>Yes</x:v>
      </x:c>
      <x:c r="H882" s="117" t="str">
        <x:v>AutoLaunchedFlow</x:v>
      </x:c>
    </x:row>
    <x:row r="883" ht="30" customHeight="1">
      <x:c r="A883" s="117" t="str">
        <x:v>3005b000000LI3kAAG</x:v>
      </x:c>
      <x:c r="B883" s="117" t="str">
        <x:v>Item_Receipt_Automations</x:v>
      </x:c>
      <x:c r="C883" s="117" t="str">
        <x:v>Yes</x:v>
      </x:c>
      <x:c r="D883" s="119" t="str">
        <x:v>Active v6 (Retrieved XML)</x:v>
      </x:c>
      <x:c r="E883" s="117" t="str">
        <x:v>ProductItem__c</x:v>
      </x:c>
      <x:c r="F883" s="119" t="str">
        <x:v>Read, Reference</x:v>
      </x:c>
      <x:c r="G883" s="117" t="str">
        <x:v>No</x:v>
      </x:c>
      <x:c r="H883" s="117" t="str">
        <x:v>AutoLaunchedFlow</x:v>
      </x:c>
    </x:row>
    <x:row r="884" ht="30" customHeight="1">
      <x:c r="A884" s="117" t="str">
        <x:v>3000B000000kEPIQA2</x:v>
      </x:c>
      <x:c r="B884" s="117" t="str">
        <x:v>Location_to_Scrap</x:v>
      </x:c>
      <x:c r="C884" s="117" t="str">
        <x:v>No</x:v>
      </x:c>
      <x:c r="D884" s="119" t="str">
        <x:v>Latest inactive v1 (Retrieved XML)</x:v>
      </x:c>
      <x:c r="E884" s="117" t="str">
        <x:v>ProductItem__c</x:v>
      </x:c>
      <x:c r="F884" s="119" t="str">
        <x:v>Reference, Update, Variable</x:v>
      </x:c>
      <x:c r="G884" s="117" t="str">
        <x:v>No</x:v>
      </x:c>
      <x:c r="H884" s="117" t="str">
        <x:v>Workflow</x:v>
      </x:c>
    </x:row>
    <x:row r="885" ht="30" customHeight="1">
      <x:c r="A885" s="117" t="str">
        <x:v>3005b000000H3gKAAS</x:v>
      </x:c>
      <x:c r="B885" s="117" t="str">
        <x:v>Mark_Closed_Lost_Big_Iron_Assets_as_PAd_and_Sold</x:v>
      </x:c>
      <x:c r="C885" s="117" t="str">
        <x:v>Yes</x:v>
      </x:c>
      <x:c r="D885" s="119" t="str">
        <x:v>Active v3 (Retrieved XML)</x:v>
      </x:c>
      <x:c r="E885" s="117" t="str">
        <x:v>ProductItem__c</x:v>
      </x:c>
      <x:c r="F885" s="119" t="str">
        <x:v>Read, Reference, Update</x:v>
      </x:c>
      <x:c r="G885" s="117" t="str">
        <x:v>No</x:v>
      </x:c>
      <x:c r="H885" s="117" t="str">
        <x:v>AutoLaunchedFlow</x:v>
      </x:c>
    </x:row>
    <x:row r="886" ht="30" customHeight="1">
      <x:c r="A886" s="117" t="str">
        <x:v>300Ro00000qm9iRIAQ</x:v>
      </x:c>
      <x:c r="B886" s="117" t="str">
        <x:v>Mass_Move_Location_Screen_Flow</x:v>
      </x:c>
      <x:c r="C886" s="117" t="str">
        <x:v>Yes</x:v>
      </x:c>
      <x:c r="D886" s="119" t="str">
        <x:v>Active v5 (Retrieved XML)</x:v>
      </x:c>
      <x:c r="E886" s="117" t="str">
        <x:v>ProductItem__c</x:v>
      </x:c>
      <x:c r="F886" s="119" t="str">
        <x:v>Read, Reference, Variable</x:v>
      </x:c>
      <x:c r="G886" s="117" t="str">
        <x:v>No</x:v>
      </x:c>
      <x:c r="H886" s="117" t="str">
        <x:v>Flow</x:v>
      </x:c>
    </x:row>
    <x:row r="887" ht="30" customHeight="1">
      <x:c r="A887" s="117" t="str">
        <x:v>3005b000000H43JAAS</x:v>
      </x:c>
      <x:c r="B887" s="117" t="str">
        <x:v>Missing_Asset_Checkbox_Notification_on_Asset2</x:v>
      </x:c>
      <x:c r="C887" s="117" t="str">
        <x:v>Yes</x:v>
      </x:c>
      <x:c r="D887" s="119" t="str">
        <x:v>Active v2 (Retrieved XML)</x:v>
      </x:c>
      <x:c r="E887" s="117" t="str">
        <x:v>ProductItem__c</x:v>
      </x:c>
      <x:c r="F887" s="119" t="str">
        <x:v>Reference, Trigger</x:v>
      </x:c>
      <x:c r="G887" s="117" t="str">
        <x:v>Yes</x:v>
      </x:c>
      <x:c r="H887" s="117" t="str">
        <x:v>AutoLaunchedFlow</x:v>
      </x:c>
    </x:row>
    <x:row r="888" ht="30" customHeight="1">
      <x:c r="A888" s="117" t="str">
        <x:v>300Ro00000RkPiDIAV</x:v>
      </x:c>
      <x:c r="B888" s="117" t="str">
        <x:v>MP_Test</x:v>
      </x:c>
      <x:c r="C888" s="117" t="str">
        <x:v>No</x:v>
      </x:c>
      <x:c r="D888" s="119" t="str">
        <x:v>Latest inactive v7 (Retrieved XML)</x:v>
      </x:c>
      <x:c r="E888" s="117" t="str">
        <x:v>ProductItem__c</x:v>
      </x:c>
      <x:c r="F888" s="119" t="str">
        <x:v>Variable</x:v>
      </x:c>
      <x:c r="G888" s="117" t="str">
        <x:v>No</x:v>
      </x:c>
      <x:c r="H888" s="117" t="str">
        <x:v>AutoLaunchedFlow</x:v>
      </x:c>
    </x:row>
    <x:row r="889" ht="30" customHeight="1">
      <x:c r="A889" s="117" t="str">
        <x:v>3005b000000LJX2AAO</x:v>
      </x:c>
      <x:c r="B889" s="117" t="str">
        <x:v>New_BIAN</x:v>
      </x:c>
      <x:c r="C889" s="117" t="str">
        <x:v>No</x:v>
      </x:c>
      <x:c r="D889" s="119" t="str">
        <x:v>Latest inactive v2 (Retrieved XML)</x:v>
      </x:c>
      <x:c r="E889" s="117" t="str">
        <x:v>ProductItem__c</x:v>
      </x:c>
      <x:c r="F889" s="119" t="str">
        <x:v>Read, Reference, Trigger</x:v>
      </x:c>
      <x:c r="G889" s="117" t="str">
        <x:v>Yes</x:v>
      </x:c>
      <x:c r="H889" s="117" t="str">
        <x:v>AutoLaunchedFlow</x:v>
      </x:c>
    </x:row>
    <x:row r="890" ht="30" customHeight="1">
      <x:c r="A890" s="117" t="str">
        <x:v>3005b000000H42QAAS</x:v>
      </x:c>
      <x:c r="B890" s="117" t="str">
        <x:v>New_Move_Location_Screen_Flow</x:v>
      </x:c>
      <x:c r="C890" s="117" t="str">
        <x:v>Yes</x:v>
      </x:c>
      <x:c r="D890" s="119" t="str">
        <x:v>Active v38 (Retrieved XML)</x:v>
      </x:c>
      <x:c r="E890" s="117" t="str">
        <x:v>ProductItem__c</x:v>
      </x:c>
      <x:c r="F890" s="119" t="str">
        <x:v>Read, Reference, Variable</x:v>
      </x:c>
      <x:c r="G890" s="117" t="str">
        <x:v>No</x:v>
      </x:c>
      <x:c r="H890" s="117" t="str">
        <x:v>Flow</x:v>
      </x:c>
    </x:row>
    <x:row r="891" ht="30" customHeight="1">
      <x:c r="A891" s="117" t="str">
        <x:v>3004O000000TiVcQAK</x:v>
      </x:c>
      <x:c r="B891" s="117" t="str">
        <x:v>Notify_When_Asset_Goes_from_Good_to_Bad</x:v>
      </x:c>
      <x:c r="C891" s="117" t="str">
        <x:v>No</x:v>
      </x:c>
      <x:c r="D891" s="119" t="str">
        <x:v>Latest inactive v1 (Retrieved XML)</x:v>
      </x:c>
      <x:c r="E891" s="117" t="str">
        <x:v>ProductItem__c</x:v>
      </x:c>
      <x:c r="F891" s="119" t="str">
        <x:v>Variable</x:v>
      </x:c>
      <x:c r="G891" s="117" t="str">
        <x:v>No</x:v>
      </x:c>
      <x:c r="H891" s="117" t="str">
        <x:v>Workflow</x:v>
      </x:c>
    </x:row>
    <x:row r="892" ht="30" customHeight="1">
      <x:c r="A892" s="117" t="str">
        <x:v>300Ro00000QYP8LIAX</x:v>
      </x:c>
      <x:c r="B892" s="117" t="str">
        <x:v>On_Asset_Creation_Set_Currency_to_Purchasing_Opportunity_Currency</x:v>
      </x:c>
      <x:c r="C892" s="117" t="str">
        <x:v>Yes</x:v>
      </x:c>
      <x:c r="D892" s="119" t="str">
        <x:v>Active v1 (Retrieved XML)</x:v>
      </x:c>
      <x:c r="E892" s="117" t="str">
        <x:v>ProductItem__c</x:v>
      </x:c>
      <x:c r="F892" s="119" t="str">
        <x:v>Reference, Trigger</x:v>
      </x:c>
      <x:c r="G892" s="117" t="str">
        <x:v>Yes</x:v>
      </x:c>
      <x:c r="H892" s="117" t="str">
        <x:v>AutoLaunchedFlow</x:v>
      </x:c>
    </x:row>
    <x:row r="893" ht="30" customHeight="1">
      <x:c r="A893" s="117" t="str">
        <x:v>3005b00000113mFAAQ</x:v>
      </x:c>
      <x:c r="B893" s="117" t="str">
        <x:v>Operations_Sheet_Screen_Flow</x:v>
      </x:c>
      <x:c r="C893" s="117" t="str">
        <x:v>Yes</x:v>
      </x:c>
      <x:c r="D893" s="119" t="str">
        <x:v>Active v15 (Retrieved XML)</x:v>
      </x:c>
      <x:c r="E893" s="117" t="str">
        <x:v>ProductItem__c</x:v>
      </x:c>
      <x:c r="F893" s="119" t="str">
        <x:v>Read, Reference</x:v>
      </x:c>
      <x:c r="G893" s="117" t="str">
        <x:v>No</x:v>
      </x:c>
      <x:c r="H893" s="117" t="str">
        <x:v>Flow</x:v>
      </x:c>
    </x:row>
    <x:row r="894" ht="30" customHeight="1">
      <x:c r="A894" s="117" t="str">
        <x:v>300Ro00000rL43hIAC</x:v>
      </x:c>
      <x:c r="B894" s="117" t="str">
        <x:v>Opportunity_Asset_Management_Screen_Flow</x:v>
      </x:c>
      <x:c r="C894" s="117" t="str">
        <x:v>Yes</x:v>
      </x:c>
      <x:c r="D894" s="119" t="str">
        <x:v>Active v9 (Retrieved XML)</x:v>
      </x:c>
      <x:c r="E894" s="117" t="str">
        <x:v>ProductItem__c</x:v>
      </x:c>
      <x:c r="F894" s="119" t="str">
        <x:v>Read, Reference, Variable</x:v>
      </x:c>
      <x:c r="G894" s="117" t="str">
        <x:v>No</x:v>
      </x:c>
      <x:c r="H894" s="117" t="str">
        <x:v>Flow</x:v>
      </x:c>
    </x:row>
    <x:row r="895" ht="30" customHeight="1">
      <x:c r="A895" s="117" t="str">
        <x:v>300Ro00000qqKG6IAM</x:v>
      </x:c>
      <x:c r="B895" s="117" t="str">
        <x:v>Opportunity_Asset_Mass_Move_Location_Screen_Flow</x:v>
      </x:c>
      <x:c r="C895" s="117" t="str">
        <x:v>No</x:v>
      </x:c>
      <x:c r="D895" s="119" t="str">
        <x:v>Latest inactive v2 (Retrieved XML)</x:v>
      </x:c>
      <x:c r="E895" s="117" t="str">
        <x:v>ProductItem__c</x:v>
      </x:c>
      <x:c r="F895" s="119" t="str">
        <x:v>Read, Reference, Variable</x:v>
      </x:c>
      <x:c r="G895" s="117" t="str">
        <x:v>No</x:v>
      </x:c>
      <x:c r="H895" s="117" t="str">
        <x:v>Flow</x:v>
      </x:c>
    </x:row>
    <x:row r="896" ht="30" customHeight="1">
      <x:c r="A896" s="117" t="str">
        <x:v>3004O000000Xh3YQAS</x:v>
      </x:c>
      <x:c r="B896" s="117" t="str">
        <x:v>PB_Asset2</x:v>
      </x:c>
      <x:c r="C896" s="117" t="str">
        <x:v>No</x:v>
      </x:c>
      <x:c r="D896" s="119" t="str">
        <x:v>Latest inactive v4 (Retrieved XML)</x:v>
      </x:c>
      <x:c r="E896" s="117" t="str">
        <x:v>ProductItem__c</x:v>
      </x:c>
      <x:c r="F896" s="119" t="str">
        <x:v>Variable</x:v>
      </x:c>
      <x:c r="G896" s="117" t="str">
        <x:v>No</x:v>
      </x:c>
      <x:c r="H896" s="117" t="str">
        <x:v>Workflow</x:v>
      </x:c>
    </x:row>
    <x:row r="897" ht="30" customHeight="1">
      <x:c r="A897" s="117" t="str">
        <x:v>3005b000000H2TKAA0</x:v>
      </x:c>
      <x:c r="B897" s="117" t="str">
        <x:v>PB_Work_Order_Line_Item</x:v>
      </x:c>
      <x:c r="C897" s="117" t="str">
        <x:v>No</x:v>
      </x:c>
      <x:c r="D897" s="119" t="str">
        <x:v>Latest inactive v1 (Retrieved XML)</x:v>
      </x:c>
      <x:c r="E897" s="117" t="str">
        <x:v>ProductItem__c</x:v>
      </x:c>
      <x:c r="F897" s="119" t="str">
        <x:v>Reference, Update</x:v>
      </x:c>
      <x:c r="G897" s="117" t="str">
        <x:v>No</x:v>
      </x:c>
      <x:c r="H897" s="117" t="str">
        <x:v>Workflow</x:v>
      </x:c>
    </x:row>
    <x:row r="898" ht="30" customHeight="1">
      <x:c r="A898" s="117" t="str">
        <x:v>300Ro00000726mtIAA</x:v>
      </x:c>
      <x:c r="B898" s="117" t="str">
        <x:v>Probe_Loan_Calculation_Tool</x:v>
      </x:c>
      <x:c r="C898" s="117" t="str">
        <x:v>Yes</x:v>
      </x:c>
      <x:c r="D898" s="119" t="str">
        <x:v>Active v2 (Retrieved XML)</x:v>
      </x:c>
      <x:c r="E898" s="117" t="str">
        <x:v>ProductItem__c</x:v>
      </x:c>
      <x:c r="F898" s="119" t="str">
        <x:v>Read, Reference</x:v>
      </x:c>
      <x:c r="G898" s="117" t="str">
        <x:v>No</x:v>
      </x:c>
      <x:c r="H898" s="117" t="str">
        <x:v>Flow</x:v>
      </x:c>
    </x:row>
    <x:row r="899" ht="30" customHeight="1">
      <x:c r="A899" s="117" t="str">
        <x:v>300Ro0000075fUlIAI</x:v>
      </x:c>
      <x:c r="B899" s="117" t="str">
        <x:v>Probe_Loan_ROI_Calculations_FLow</x:v>
      </x:c>
      <x:c r="C899" s="117" t="str">
        <x:v>Yes</x:v>
      </x:c>
      <x:c r="D899" s="119" t="str">
        <x:v>Active v6 (Retrieved XML)</x:v>
      </x:c>
      <x:c r="E899" s="117" t="str">
        <x:v>ProductItem__c</x:v>
      </x:c>
      <x:c r="F899" s="119" t="str">
        <x:v>Reference, Trigger, Update</x:v>
      </x:c>
      <x:c r="G899" s="117" t="str">
        <x:v>Yes</x:v>
      </x:c>
      <x:c r="H899" s="117" t="str">
        <x:v>AutoLaunchedFlow</x:v>
      </x:c>
    </x:row>
    <x:row r="900" ht="30" customHeight="1">
      <x:c r="A900" s="117" t="str">
        <x:v>300Ro000007doaZIAQ</x:v>
      </x:c>
      <x:c r="B900" s="117" t="str">
        <x:v>Product_Item_Rollups</x:v>
      </x:c>
      <x:c r="C900" s="117" t="str">
        <x:v>No</x:v>
      </x:c>
      <x:c r="D900" s="119" t="str">
        <x:v>Latest inactive v2 (Retrieved XML)</x:v>
      </x:c>
      <x:c r="E900" s="117" t="str">
        <x:v>ProductItem__c</x:v>
      </x:c>
      <x:c r="F900" s="119" t="str">
        <x:v>Read, Reference, Trigger</x:v>
      </x:c>
      <x:c r="G900" s="117" t="str">
        <x:v>Yes</x:v>
      </x:c>
      <x:c r="H900" s="117" t="str">
        <x:v>AutoLaunchedFlow</x:v>
      </x:c>
    </x:row>
    <x:row r="901" ht="30" customHeight="1">
      <x:c r="A901" s="117" t="str">
        <x:v>300Ro000010uR0GIAU</x:v>
      </x:c>
      <x:c r="B901" s="117" t="str">
        <x:v>Product_On_Creation</x:v>
      </x:c>
      <x:c r="C901" s="117" t="str">
        <x:v>Yes</x:v>
      </x:c>
      <x:c r="D901" s="119" t="str">
        <x:v>Active v2 (Retrieved XML)</x:v>
      </x:c>
      <x:c r="E901" s="117" t="str">
        <x:v>ProductItem__c</x:v>
      </x:c>
      <x:c r="F901" s="119" t="str">
        <x:v>Variable</x:v>
      </x:c>
      <x:c r="G901" s="117" t="str">
        <x:v>No</x:v>
      </x:c>
      <x:c r="H901" s="117" t="str">
        <x:v>AutoLaunchedFlow</x:v>
      </x:c>
    </x:row>
    <x:row r="902" ht="30" customHeight="1">
      <x:c r="A902" s="117" t="str">
        <x:v>300Ro00000yRspoIAC</x:v>
      </x:c>
      <x:c r="B902" s="117" t="str">
        <x:v>ProductItem_Asynchronous_on_create_Estimated_Sales_Price_Roll_Up</x:v>
      </x:c>
      <x:c r="C902" s="117" t="str">
        <x:v>Yes</x:v>
      </x:c>
      <x:c r="D902" s="119" t="str">
        <x:v>Active v3 (Retrieved XML)</x:v>
      </x:c>
      <x:c r="E902" s="117" t="str">
        <x:v>ProductItem__c</x:v>
      </x:c>
      <x:c r="F902" s="119" t="str">
        <x:v>Read, Reference, Trigger</x:v>
      </x:c>
      <x:c r="G902" s="117" t="str">
        <x:v>Yes</x:v>
      </x:c>
      <x:c r="H902" s="117" t="str">
        <x:v>AutoLaunchedFlow</x:v>
      </x:c>
    </x:row>
    <x:row r="903" ht="30" customHeight="1">
      <x:c r="A903" s="117" t="str">
        <x:v>300Ro00000yTV5xIAG</x:v>
      </x:c>
      <x:c r="B903" s="117" t="str">
        <x:v>ProductItem_Asynchronous_on_create_HWO_Total_Cost_Roll_Up</x:v>
      </x:c>
      <x:c r="C903" s="117" t="str">
        <x:v>Yes</x:v>
      </x:c>
      <x:c r="D903" s="119" t="str">
        <x:v>Active v3 (Retrieved XML)</x:v>
      </x:c>
      <x:c r="E903" s="117" t="str">
        <x:v>ProductItem__c</x:v>
      </x:c>
      <x:c r="F903" s="119" t="str">
        <x:v>Read, Reference, Trigger</x:v>
      </x:c>
      <x:c r="G903" s="117" t="str">
        <x:v>Yes</x:v>
      </x:c>
      <x:c r="H903" s="117" t="str">
        <x:v>AutoLaunchedFlow</x:v>
      </x:c>
    </x:row>
    <x:row r="904" ht="30" customHeight="1">
      <x:c r="A904" s="117" t="str">
        <x:v>300Ro00000yTWmlIAG</x:v>
      </x:c>
      <x:c r="B904" s="117" t="str">
        <x:v>ProductItem_Asynchronous_on_create_HWO_Total_Revenue_Roll_Up</x:v>
      </x:c>
      <x:c r="C904" s="117" t="str">
        <x:v>Yes</x:v>
      </x:c>
      <x:c r="D904" s="119" t="str">
        <x:v>Active v3 (Retrieved XML)</x:v>
      </x:c>
      <x:c r="E904" s="117" t="str">
        <x:v>ProductItem__c</x:v>
      </x:c>
      <x:c r="F904" s="119" t="str">
        <x:v>Read, Reference, Trigger</x:v>
      </x:c>
      <x:c r="G904" s="117" t="str">
        <x:v>Yes</x:v>
      </x:c>
      <x:c r="H904" s="117" t="str">
        <x:v>AutoLaunchedFlow</x:v>
      </x:c>
    </x:row>
    <x:row r="905" ht="30" customHeight="1">
      <x:c r="A905" s="117" t="str">
        <x:v>300Ro00000yXXXJIA4</x:v>
      </x:c>
      <x:c r="B905" s="117" t="str">
        <x:v>ProductItem_Asynchronous_on_create_Item_Receipt_Amount_Roll_Up</x:v>
      </x:c>
      <x:c r="C905" s="117" t="str">
        <x:v>Yes</x:v>
      </x:c>
      <x:c r="D905" s="119" t="str">
        <x:v>Active v1 (Retrieved XML)</x:v>
      </x:c>
      <x:c r="E905" s="117" t="str">
        <x:v>ProductItem__c</x:v>
      </x:c>
      <x:c r="F905" s="119" t="str">
        <x:v>Read, Reference, Trigger</x:v>
      </x:c>
      <x:c r="G905" s="117" t="str">
        <x:v>Yes</x:v>
      </x:c>
      <x:c r="H905" s="117" t="str">
        <x:v>AutoLaunchedFlow</x:v>
      </x:c>
    </x:row>
    <x:row r="906" ht="30" customHeight="1">
      <x:c r="A906" s="117" t="str">
        <x:v>300Ro00000zEWo5IAG</x:v>
      </x:c>
      <x:c r="B906" s="117" t="str">
        <x:v>ProductItem_Asynchronous_on_create_Loaner_Asset_Number_Roll_Up</x:v>
      </x:c>
      <x:c r="C906" s="117" t="str">
        <x:v>Yes</x:v>
      </x:c>
      <x:c r="D906" s="119" t="str">
        <x:v>Active v1 (Retrieved XML)</x:v>
      </x:c>
      <x:c r="E906" s="117" t="str">
        <x:v>ProductItem__c</x:v>
      </x:c>
      <x:c r="F906" s="119" t="str">
        <x:v>Read, Reference, Trigger</x:v>
      </x:c>
      <x:c r="G906" s="117" t="str">
        <x:v>Yes</x:v>
      </x:c>
      <x:c r="H906" s="117" t="str">
        <x:v>AutoLaunchedFlow</x:v>
      </x:c>
    </x:row>
    <x:row r="907" ht="30" customHeight="1">
      <x:c r="A907" s="117" t="str">
        <x:v>300Ro00000yYvjAIAS</x:v>
      </x:c>
      <x:c r="B907" s="117" t="str">
        <x:v>ProductItem_Asynchronous_on_create_Loaner_Location_Roll_Up</x:v>
      </x:c>
      <x:c r="C907" s="117" t="str">
        <x:v>Yes</x:v>
      </x:c>
      <x:c r="D907" s="119" t="str">
        <x:v>Active v2 (Retrieved XML)</x:v>
      </x:c>
      <x:c r="E907" s="117" t="str">
        <x:v>ProductItem__c</x:v>
      </x:c>
      <x:c r="F907" s="119" t="str">
        <x:v>Read, Reference, Trigger</x:v>
      </x:c>
      <x:c r="G907" s="117" t="str">
        <x:v>Yes</x:v>
      </x:c>
      <x:c r="H907" s="117" t="str">
        <x:v>AutoLaunchedFlow</x:v>
      </x:c>
    </x:row>
    <x:row r="908" ht="30" customHeight="1">
      <x:c r="A908" s="117" t="str">
        <x:v>300Ro00000ydLwWIAU</x:v>
      </x:c>
      <x:c r="B908" s="117" t="str">
        <x:v>ProductItem_Asynchronous_on_create_Loaner_Serial_Number_Roll_Up</x:v>
      </x:c>
      <x:c r="C908" s="117" t="str">
        <x:v>Yes</x:v>
      </x:c>
      <x:c r="D908" s="119" t="str">
        <x:v>Active v2 (Retrieved XML)</x:v>
      </x:c>
      <x:c r="E908" s="117" t="str">
        <x:v>ProductItem__c</x:v>
      </x:c>
      <x:c r="F908" s="119" t="str">
        <x:v>Read, Reference, Trigger</x:v>
      </x:c>
      <x:c r="G908" s="117" t="str">
        <x:v>Yes</x:v>
      </x:c>
      <x:c r="H908" s="117" t="str">
        <x:v>AutoLaunchedFlow</x:v>
      </x:c>
    </x:row>
    <x:row r="909" ht="30" customHeight="1">
      <x:c r="A909" s="117" t="str">
        <x:v>300Ro00000ye8igIAA</x:v>
      </x:c>
      <x:c r="B909" s="117" t="str">
        <x:v>ProductItem_Asynchronous_on_create_Max_Bid_Roll_Up</x:v>
      </x:c>
      <x:c r="C909" s="117" t="str">
        <x:v>Yes</x:v>
      </x:c>
      <x:c r="D909" s="119" t="str">
        <x:v>Active v1 (Retrieved XML)</x:v>
      </x:c>
      <x:c r="E909" s="117" t="str">
        <x:v>ProductItem__c</x:v>
      </x:c>
      <x:c r="F909" s="119" t="str">
        <x:v>Read, Reference, Trigger</x:v>
      </x:c>
      <x:c r="G909" s="117" t="str">
        <x:v>Yes</x:v>
      </x:c>
      <x:c r="H909" s="117" t="str">
        <x:v>AutoLaunchedFlow</x:v>
      </x:c>
    </x:row>
    <x:row r="910" ht="30" customHeight="1">
      <x:c r="A910" s="117" t="str">
        <x:v>300Ro00000yeuH3IAI</x:v>
      </x:c>
      <x:c r="B910" s="117" t="str">
        <x:v>ProductItem_Asynchronous_on_create_NumberCheckedIn_PO_Roll_Up</x:v>
      </x:c>
      <x:c r="C910" s="117" t="str">
        <x:v>Yes</x:v>
      </x:c>
      <x:c r="D910" s="119" t="str">
        <x:v>Active v1 (Retrieved XML)</x:v>
      </x:c>
      <x:c r="E910" s="117" t="str">
        <x:v>ProductItem__c</x:v>
      </x:c>
      <x:c r="F910" s="119" t="str">
        <x:v>Read, Reference, Trigger</x:v>
      </x:c>
      <x:c r="G910" s="117" t="str">
        <x:v>Yes</x:v>
      </x:c>
      <x:c r="H910" s="117" t="str">
        <x:v>AutoLaunchedFlow</x:v>
      </x:c>
    </x:row>
    <x:row r="911" ht="30" customHeight="1">
      <x:c r="A911" s="117" t="str">
        <x:v>300Ro00000yyHEnIAM</x:v>
      </x:c>
      <x:c r="B911" s="117" t="str">
        <x:v>ProductItem_Asynchronous_on_create_Pur_Op_Total_Cost_of_Unsold_Assets_Roll_Up</x:v>
      </x:c>
      <x:c r="C911" s="117" t="str">
        <x:v>Yes</x:v>
      </x:c>
      <x:c r="D911" s="119" t="str">
        <x:v>Active v1 (Retrieved XML)</x:v>
      </x:c>
      <x:c r="E911" s="117" t="str">
        <x:v>ProductItem__c</x:v>
      </x:c>
      <x:c r="F911" s="119" t="str">
        <x:v>Read, Reference, Trigger</x:v>
      </x:c>
      <x:c r="G911" s="117" t="str">
        <x:v>Yes</x:v>
      </x:c>
      <x:c r="H911" s="117" t="str">
        <x:v>AutoLaunchedFlow</x:v>
      </x:c>
    </x:row>
    <x:row r="912" ht="30" customHeight="1">
      <x:c r="A912" s="117" t="str">
        <x:v>300Ro00000yyBCYIA2</x:v>
      </x:c>
      <x:c r="B912" s="117" t="str">
        <x:v>ProductItem_Asynchronous_on_create_Pur_Op_Total_Cost_Roll_Up</x:v>
      </x:c>
      <x:c r="C912" s="117" t="str">
        <x:v>Yes</x:v>
      </x:c>
      <x:c r="D912" s="119" t="str">
        <x:v>Active v1 (Retrieved XML)</x:v>
      </x:c>
      <x:c r="E912" s="117" t="str">
        <x:v>ProductItem__c</x:v>
      </x:c>
      <x:c r="F912" s="119" t="str">
        <x:v>Read, Reference, Trigger</x:v>
      </x:c>
      <x:c r="G912" s="117" t="str">
        <x:v>Yes</x:v>
      </x:c>
      <x:c r="H912" s="117" t="str">
        <x:v>AutoLaunchedFlow</x:v>
      </x:c>
    </x:row>
    <x:row r="913" ht="30" customHeight="1">
      <x:c r="A913" s="117" t="str">
        <x:v>300Ro00000yzeikIAA</x:v>
      </x:c>
      <x:c r="B913" s="117" t="str">
        <x:v>ProductItem_Asynchronous_on_create_Pur_Op_Working_Capital_Usage_Days_Roll_Up</x:v>
      </x:c>
      <x:c r="C913" s="117" t="str">
        <x:v>Yes</x:v>
      </x:c>
      <x:c r="D913" s="119" t="str">
        <x:v>Active v1 (Retrieved XML)</x:v>
      </x:c>
      <x:c r="E913" s="117" t="str">
        <x:v>ProductItem__c</x:v>
      </x:c>
      <x:c r="F913" s="119" t="str">
        <x:v>Read, Reference, Trigger</x:v>
      </x:c>
      <x:c r="G913" s="117" t="str">
        <x:v>Yes</x:v>
      </x:c>
      <x:c r="H913" s="117" t="str">
        <x:v>AutoLaunchedFlow</x:v>
      </x:c>
    </x:row>
    <x:row r="914" ht="30" customHeight="1">
      <x:c r="A914" s="117" t="str">
        <x:v>300Ro00000zDVIzIAO</x:v>
      </x:c>
      <x:c r="B914" s="117" t="str">
        <x:v>ProductItem_Asynchronous_on_create_Rental_Order_Price_Roll_Up</x:v>
      </x:c>
      <x:c r="C914" s="117" t="str">
        <x:v>Yes</x:v>
      </x:c>
      <x:c r="D914" s="119" t="str">
        <x:v>Active v1 (Retrieved XML)</x:v>
      </x:c>
      <x:c r="E914" s="117" t="str">
        <x:v>ProductItem__c</x:v>
      </x:c>
      <x:c r="F914" s="119" t="str">
        <x:v>Read, Reference, Trigger</x:v>
      </x:c>
      <x:c r="G914" s="117" t="str">
        <x:v>Yes</x:v>
      </x:c>
      <x:c r="H914" s="117" t="str">
        <x:v>AutoLaunchedFlow</x:v>
      </x:c>
    </x:row>
    <x:row r="915" ht="30" customHeight="1">
      <x:c r="A915" s="117" t="str">
        <x:v>300Ro00000yxeS0IAI</x:v>
      </x:c>
      <x:c r="B915" s="117" t="str">
        <x:v>ProductItem_Asynchronous_on_create_Starting_Bid_Roll_Up</x:v>
      </x:c>
      <x:c r="C915" s="117" t="str">
        <x:v>Yes</x:v>
      </x:c>
      <x:c r="D915" s="119" t="str">
        <x:v>Active v1 (Retrieved XML)</x:v>
      </x:c>
      <x:c r="E915" s="117" t="str">
        <x:v>ProductItem__c</x:v>
      </x:c>
      <x:c r="F915" s="119" t="str">
        <x:v>Read, Reference, Trigger</x:v>
      </x:c>
      <x:c r="G915" s="117" t="str">
        <x:v>Yes</x:v>
      </x:c>
      <x:c r="H915" s="117" t="str">
        <x:v>AutoLaunchedFlow</x:v>
      </x:c>
    </x:row>
    <x:row r="916" ht="30" customHeight="1">
      <x:c r="A916" s="117" t="str">
        <x:v>300Ro00000yT0jdIAC</x:v>
      </x:c>
      <x:c r="B916" s="117" t="str">
        <x:v>ProductItem_Asynchronous_on_update_Estimated_Sales_Price_Roll_Up</x:v>
      </x:c>
      <x:c r="C916" s="117" t="str">
        <x:v>Yes</x:v>
      </x:c>
      <x:c r="D916" s="119" t="str">
        <x:v>Active v1 (Retrieved XML)</x:v>
      </x:c>
      <x:c r="E916" s="117" t="str">
        <x:v>ProductItem__c</x:v>
      </x:c>
      <x:c r="F916" s="119" t="str">
        <x:v>Read, Reference, Trigger</x:v>
      </x:c>
      <x:c r="G916" s="117" t="str">
        <x:v>Yes</x:v>
      </x:c>
      <x:c r="H916" s="117" t="str">
        <x:v>AutoLaunchedFlow</x:v>
      </x:c>
    </x:row>
    <x:row r="917" ht="30" customHeight="1">
      <x:c r="A917" s="117" t="str">
        <x:v>300Ro00000yTV5yIAG</x:v>
      </x:c>
      <x:c r="B917" s="117" t="str">
        <x:v>ProductItem_Asynchronous_on_update_HWO_Total_Cost_Roll_Up</x:v>
      </x:c>
      <x:c r="C917" s="117" t="str">
        <x:v>Yes</x:v>
      </x:c>
      <x:c r="D917" s="119" t="str">
        <x:v>Active v3 (Retrieved XML)</x:v>
      </x:c>
      <x:c r="E917" s="117" t="str">
        <x:v>ProductItem__c</x:v>
      </x:c>
      <x:c r="F917" s="119" t="str">
        <x:v>Read, Reference, Trigger</x:v>
      </x:c>
      <x:c r="G917" s="117" t="str">
        <x:v>Yes</x:v>
      </x:c>
      <x:c r="H917" s="117" t="str">
        <x:v>AutoLaunchedFlow</x:v>
      </x:c>
    </x:row>
    <x:row r="918" ht="30" customHeight="1">
      <x:c r="A918" s="117" t="str">
        <x:v>300Ro00000yTWmmIAG</x:v>
      </x:c>
      <x:c r="B918" s="117" t="str">
        <x:v>ProductItem_Asynchronous_on_update_HWO_Total_Revenue_Roll_Up</x:v>
      </x:c>
      <x:c r="C918" s="117" t="str">
        <x:v>Yes</x:v>
      </x:c>
      <x:c r="D918" s="119" t="str">
        <x:v>Active v2 (Retrieved XML)</x:v>
      </x:c>
      <x:c r="E918" s="117" t="str">
        <x:v>ProductItem__c</x:v>
      </x:c>
      <x:c r="F918" s="119" t="str">
        <x:v>Read, Reference, Trigger</x:v>
      </x:c>
      <x:c r="G918" s="117" t="str">
        <x:v>Yes</x:v>
      </x:c>
      <x:c r="H918" s="117" t="str">
        <x:v>AutoLaunchedFlow</x:v>
      </x:c>
    </x:row>
    <x:row r="919" ht="30" customHeight="1">
      <x:c r="A919" s="117" t="str">
        <x:v>300Ro00000yXXXKIA4</x:v>
      </x:c>
      <x:c r="B919" s="117" t="str">
        <x:v>ProductItem_Asynchronous_on_update_Item_Receipt_Amount_Roll_Up</x:v>
      </x:c>
      <x:c r="C919" s="117" t="str">
        <x:v>Yes</x:v>
      </x:c>
      <x:c r="D919" s="119" t="str">
        <x:v>Active v1 (Retrieved XML)</x:v>
      </x:c>
      <x:c r="E919" s="117" t="str">
        <x:v>ProductItem__c</x:v>
      </x:c>
      <x:c r="F919" s="119" t="str">
        <x:v>Read, Reference, Trigger</x:v>
      </x:c>
      <x:c r="G919" s="117" t="str">
        <x:v>Yes</x:v>
      </x:c>
      <x:c r="H919" s="117" t="str">
        <x:v>AutoLaunchedFlow</x:v>
      </x:c>
    </x:row>
    <x:row r="920" ht="30" customHeight="1">
      <x:c r="A920" s="117" t="str">
        <x:v>300Ro00000zEWo6IAG</x:v>
      </x:c>
      <x:c r="B920" s="117" t="str">
        <x:v>ProductItem_Asynchronous_on_update_Loaner_Asset_Number_Roll_Up</x:v>
      </x:c>
      <x:c r="C920" s="117" t="str">
        <x:v>Yes</x:v>
      </x:c>
      <x:c r="D920" s="119" t="str">
        <x:v>Active v1 (Retrieved XML)</x:v>
      </x:c>
      <x:c r="E920" s="117" t="str">
        <x:v>ProductItem__c</x:v>
      </x:c>
      <x:c r="F920" s="119" t="str">
        <x:v>Read, Reference, Trigger</x:v>
      </x:c>
      <x:c r="G920" s="117" t="str">
        <x:v>Yes</x:v>
      </x:c>
      <x:c r="H920" s="117" t="str">
        <x:v>AutoLaunchedFlow</x:v>
      </x:c>
    </x:row>
    <x:row r="921" ht="30" customHeight="1">
      <x:c r="A921" s="117" t="str">
        <x:v>300Ro00000yYvjBIAS</x:v>
      </x:c>
      <x:c r="B921" s="117" t="str">
        <x:v>ProductItem_Asynchronous_on_update_Loaner_Location_Roll_Up</x:v>
      </x:c>
      <x:c r="C921" s="117" t="str">
        <x:v>Yes</x:v>
      </x:c>
      <x:c r="D921" s="119" t="str">
        <x:v>Active v2 (Retrieved XML)</x:v>
      </x:c>
      <x:c r="E921" s="117" t="str">
        <x:v>ProductItem__c</x:v>
      </x:c>
      <x:c r="F921" s="119" t="str">
        <x:v>Read, Reference, Trigger</x:v>
      </x:c>
      <x:c r="G921" s="117" t="str">
        <x:v>Yes</x:v>
      </x:c>
      <x:c r="H921" s="117" t="str">
        <x:v>AutoLaunchedFlow</x:v>
      </x:c>
    </x:row>
    <x:row r="922" ht="30" customHeight="1">
      <x:c r="A922" s="117" t="str">
        <x:v>300Ro00000ydLwXIAU</x:v>
      </x:c>
      <x:c r="B922" s="117" t="str">
        <x:v>ProductItem_Asynchronous_on_update_Loaner_Serial_Number_Roll_Up</x:v>
      </x:c>
      <x:c r="C922" s="117" t="str">
        <x:v>Yes</x:v>
      </x:c>
      <x:c r="D922" s="119" t="str">
        <x:v>Active v2 (Retrieved XML)</x:v>
      </x:c>
      <x:c r="E922" s="117" t="str">
        <x:v>ProductItem__c</x:v>
      </x:c>
      <x:c r="F922" s="119" t="str">
        <x:v>Read, Reference, Trigger</x:v>
      </x:c>
      <x:c r="G922" s="117" t="str">
        <x:v>Yes</x:v>
      </x:c>
      <x:c r="H922" s="117" t="str">
        <x:v>AutoLaunchedFlow</x:v>
      </x:c>
    </x:row>
    <x:row r="923" ht="30" customHeight="1">
      <x:c r="A923" s="117" t="str">
        <x:v>300Ro00000ye8ihIAA</x:v>
      </x:c>
      <x:c r="B923" s="117" t="str">
        <x:v>ProductItem_Asynchronous_on_update_Max_Bid_Roll_Up</x:v>
      </x:c>
      <x:c r="C923" s="117" t="str">
        <x:v>Yes</x:v>
      </x:c>
      <x:c r="D923" s="119" t="str">
        <x:v>Active v2 (Retrieved XML)</x:v>
      </x:c>
      <x:c r="E923" s="117" t="str">
        <x:v>ProductItem__c</x:v>
      </x:c>
      <x:c r="F923" s="119" t="str">
        <x:v>Read, Reference, Trigger</x:v>
      </x:c>
      <x:c r="G923" s="117" t="str">
        <x:v>Yes</x:v>
      </x:c>
      <x:c r="H923" s="117" t="str">
        <x:v>AutoLaunchedFlow</x:v>
      </x:c>
    </x:row>
    <x:row r="924" ht="30" customHeight="1">
      <x:c r="A924" s="117" t="str">
        <x:v>300Ro00000yeuH4IAI</x:v>
      </x:c>
      <x:c r="B924" s="117" t="str">
        <x:v>ProductItem_Asynchronous_on_update_NumberCheckedIn_PO_Roll_Up</x:v>
      </x:c>
      <x:c r="C924" s="117" t="str">
        <x:v>Yes</x:v>
      </x:c>
      <x:c r="D924" s="119" t="str">
        <x:v>Active v1 (Retrieved XML)</x:v>
      </x:c>
      <x:c r="E924" s="117" t="str">
        <x:v>ProductItem__c</x:v>
      </x:c>
      <x:c r="F924" s="119" t="str">
        <x:v>Read, Reference, Trigger</x:v>
      </x:c>
      <x:c r="G924" s="117" t="str">
        <x:v>Yes</x:v>
      </x:c>
      <x:c r="H924" s="117" t="str">
        <x:v>AutoLaunchedFlow</x:v>
      </x:c>
    </x:row>
    <x:row r="925" ht="30" customHeight="1">
      <x:c r="A925" s="117" t="str">
        <x:v>300Ro00000yxeS1IAI</x:v>
      </x:c>
      <x:c r="B925" s="117" t="str">
        <x:v>ProductItem_Asynchronous_on_update_Starting_Bid_Roll_Up</x:v>
      </x:c>
      <x:c r="C925" s="117" t="str">
        <x:v>Yes</x:v>
      </x:c>
      <x:c r="D925" s="119" t="str">
        <x:v>Active v2 (Retrieved XML)</x:v>
      </x:c>
      <x:c r="E925" s="117" t="str">
        <x:v>ProductItem__c</x:v>
      </x:c>
      <x:c r="F925" s="119" t="str">
        <x:v>Read, Reference, Trigger</x:v>
      </x:c>
      <x:c r="G925" s="117" t="str">
        <x:v>Yes</x:v>
      </x:c>
      <x:c r="H925" s="117" t="str">
        <x:v>AutoLaunchedFlow</x:v>
      </x:c>
    </x:row>
    <x:row r="926" ht="30" customHeight="1">
      <x:c r="A926" s="117" t="str">
        <x:v>300Ro00000yS5oeIAC</x:v>
      </x:c>
      <x:c r="B926" s="117" t="str">
        <x:v>ProductItem_Before_delete_Estimated_Sales_Price_Roll_Up</x:v>
      </x:c>
      <x:c r="C926" s="117" t="str">
        <x:v>Yes</x:v>
      </x:c>
      <x:c r="D926" s="119" t="str">
        <x:v>Active v2 (Retrieved XML)</x:v>
      </x:c>
      <x:c r="E926" s="117" t="str">
        <x:v>ProductItem__c</x:v>
      </x:c>
      <x:c r="F926" s="119" t="str">
        <x:v>Read, Reference, Trigger</x:v>
      </x:c>
      <x:c r="G926" s="117" t="str">
        <x:v>Yes</x:v>
      </x:c>
      <x:c r="H926" s="117" t="str">
        <x:v>AutoLaunchedFlow</x:v>
      </x:c>
    </x:row>
    <x:row r="927" ht="30" customHeight="1">
      <x:c r="A927" s="117" t="str">
        <x:v>300Ro00000yTV5zIAG</x:v>
      </x:c>
      <x:c r="B927" s="117" t="str">
        <x:v>ProductItem_Before_delete_HWO_Total_Cost_Roll_Up</x:v>
      </x:c>
      <x:c r="C927" s="117" t="str">
        <x:v>Yes</x:v>
      </x:c>
      <x:c r="D927" s="119" t="str">
        <x:v>Active v2 (Retrieved XML)</x:v>
      </x:c>
      <x:c r="E927" s="117" t="str">
        <x:v>ProductItem__c</x:v>
      </x:c>
      <x:c r="F927" s="119" t="str">
        <x:v>Read, Reference, Trigger</x:v>
      </x:c>
      <x:c r="G927" s="117" t="str">
        <x:v>Yes</x:v>
      </x:c>
      <x:c r="H927" s="117" t="str">
        <x:v>AutoLaunchedFlow</x:v>
      </x:c>
    </x:row>
    <x:row r="928" ht="30" customHeight="1">
      <x:c r="A928" s="117" t="str">
        <x:v>300Ro00000yTWmnIAG</x:v>
      </x:c>
      <x:c r="B928" s="117" t="str">
        <x:v>ProductItem_Before_delete_HWO_Total_Revenue_Roll_Up</x:v>
      </x:c>
      <x:c r="C928" s="117" t="str">
        <x:v>Yes</x:v>
      </x:c>
      <x:c r="D928" s="119" t="str">
        <x:v>Active v2 (Retrieved XML)</x:v>
      </x:c>
      <x:c r="E928" s="117" t="str">
        <x:v>ProductItem__c</x:v>
      </x:c>
      <x:c r="F928" s="119" t="str">
        <x:v>Read, Reference, Trigger</x:v>
      </x:c>
      <x:c r="G928" s="117" t="str">
        <x:v>Yes</x:v>
      </x:c>
      <x:c r="H928" s="117" t="str">
        <x:v>AutoLaunchedFlow</x:v>
      </x:c>
    </x:row>
    <x:row r="929" ht="30" customHeight="1">
      <x:c r="A929" s="117" t="str">
        <x:v>300Ro00000yXXXLIA4</x:v>
      </x:c>
      <x:c r="B929" s="117" t="str">
        <x:v>ProductItem_Before_Delete_Item_Receipt_Amount_Roll_Up</x:v>
      </x:c>
      <x:c r="C929" s="117" t="str">
        <x:v>Yes</x:v>
      </x:c>
      <x:c r="D929" s="119" t="str">
        <x:v>Active v1 (Retrieved XML)</x:v>
      </x:c>
      <x:c r="E929" s="117" t="str">
        <x:v>ProductItem__c</x:v>
      </x:c>
      <x:c r="F929" s="119" t="str">
        <x:v>Read, Reference, Trigger</x:v>
      </x:c>
      <x:c r="G929" s="117" t="str">
        <x:v>Yes</x:v>
      </x:c>
      <x:c r="H929" s="117" t="str">
        <x:v>AutoLaunchedFlow</x:v>
      </x:c>
    </x:row>
    <x:row r="930" ht="30" customHeight="1">
      <x:c r="A930" s="117" t="str">
        <x:v>300Ro00000zEWo7IAG</x:v>
      </x:c>
      <x:c r="B930" s="117" t="str">
        <x:v>ProductItem_Before_Delete_Loaner_Asset_Number_Roll_Up</x:v>
      </x:c>
      <x:c r="C930" s="117" t="str">
        <x:v>Yes</x:v>
      </x:c>
      <x:c r="D930" s="119" t="str">
        <x:v>Active v1 (Retrieved XML)</x:v>
      </x:c>
      <x:c r="E930" s="117" t="str">
        <x:v>ProductItem__c</x:v>
      </x:c>
      <x:c r="F930" s="119" t="str">
        <x:v>Read, Reference, Trigger</x:v>
      </x:c>
      <x:c r="G930" s="117" t="str">
        <x:v>Yes</x:v>
      </x:c>
      <x:c r="H930" s="117" t="str">
        <x:v>AutoLaunchedFlow</x:v>
      </x:c>
    </x:row>
    <x:row r="931" ht="30" customHeight="1">
      <x:c r="A931" s="117" t="str">
        <x:v>300Ro00000yYvjCIAS</x:v>
      </x:c>
      <x:c r="B931" s="117" t="str">
        <x:v>ProductItem_Before_Delete_Loaner_Location_Roll_Up</x:v>
      </x:c>
      <x:c r="C931" s="117" t="str">
        <x:v>Yes</x:v>
      </x:c>
      <x:c r="D931" s="119" t="str">
        <x:v>Active v2 (Retrieved XML)</x:v>
      </x:c>
      <x:c r="E931" s="117" t="str">
        <x:v>ProductItem__c</x:v>
      </x:c>
      <x:c r="F931" s="119" t="str">
        <x:v>Read, Reference, Trigger</x:v>
      </x:c>
      <x:c r="G931" s="117" t="str">
        <x:v>Yes</x:v>
      </x:c>
      <x:c r="H931" s="117" t="str">
        <x:v>AutoLaunchedFlow</x:v>
      </x:c>
    </x:row>
    <x:row r="932" ht="30" customHeight="1">
      <x:c r="A932" s="117" t="str">
        <x:v>300Ro00000ydLwYIAU</x:v>
      </x:c>
      <x:c r="B932" s="117" t="str">
        <x:v>ProductItem_Before_Delete_Loaner_Serial_Number_Roll_Up</x:v>
      </x:c>
      <x:c r="C932" s="117" t="str">
        <x:v>Yes</x:v>
      </x:c>
      <x:c r="D932" s="119" t="str">
        <x:v>Active v2 (Retrieved XML)</x:v>
      </x:c>
      <x:c r="E932" s="117" t="str">
        <x:v>ProductItem__c</x:v>
      </x:c>
      <x:c r="F932" s="119" t="str">
        <x:v>Read, Reference, Trigger</x:v>
      </x:c>
      <x:c r="G932" s="117" t="str">
        <x:v>Yes</x:v>
      </x:c>
      <x:c r="H932" s="117" t="str">
        <x:v>AutoLaunchedFlow</x:v>
      </x:c>
    </x:row>
    <x:row r="933" ht="30" customHeight="1">
      <x:c r="A933" s="117" t="str">
        <x:v>300Ro00000ye8iiIAA</x:v>
      </x:c>
      <x:c r="B933" s="117" t="str">
        <x:v>ProductItem_Before_delete_Max_Bid_Roll_Up</x:v>
      </x:c>
      <x:c r="C933" s="117" t="str">
        <x:v>Yes</x:v>
      </x:c>
      <x:c r="D933" s="119" t="str">
        <x:v>Active v2 (Retrieved XML)</x:v>
      </x:c>
      <x:c r="E933" s="117" t="str">
        <x:v>ProductItem__c</x:v>
      </x:c>
      <x:c r="F933" s="119" t="str">
        <x:v>Read, Reference, Trigger</x:v>
      </x:c>
      <x:c r="G933" s="117" t="str">
        <x:v>Yes</x:v>
      </x:c>
      <x:c r="H933" s="117" t="str">
        <x:v>AutoLaunchedFlow</x:v>
      </x:c>
    </x:row>
    <x:row r="934" ht="30" customHeight="1">
      <x:c r="A934" s="117" t="str">
        <x:v>300Ro00000yeuH5IAI</x:v>
      </x:c>
      <x:c r="B934" s="117" t="str">
        <x:v>ProductItem_Before_delete_NumberCheckedIn_PO_Roll_Up</x:v>
      </x:c>
      <x:c r="C934" s="117" t="str">
        <x:v>Yes</x:v>
      </x:c>
      <x:c r="D934" s="119" t="str">
        <x:v>Active v1 (Retrieved XML)</x:v>
      </x:c>
      <x:c r="E934" s="117" t="str">
        <x:v>ProductItem__c</x:v>
      </x:c>
      <x:c r="F934" s="119" t="str">
        <x:v>Read, Reference, Trigger</x:v>
      </x:c>
      <x:c r="G934" s="117" t="str">
        <x:v>Yes</x:v>
      </x:c>
      <x:c r="H934" s="117" t="str">
        <x:v>AutoLaunchedFlow</x:v>
      </x:c>
    </x:row>
    <x:row r="935" ht="30" customHeight="1">
      <x:c r="A935" s="117" t="str">
        <x:v>300Ro00000yyHEoIAM</x:v>
      </x:c>
      <x:c r="B935" s="117" t="str">
        <x:v>ProductItem_Before_Delete_Pur_Op_Total_Cost_of_Unsold_Assets_Roll_Up</x:v>
      </x:c>
      <x:c r="C935" s="117" t="str">
        <x:v>Yes</x:v>
      </x:c>
      <x:c r="D935" s="119" t="str">
        <x:v>Active v1 (Retrieved XML)</x:v>
      </x:c>
      <x:c r="E935" s="117" t="str">
        <x:v>ProductItem__c</x:v>
      </x:c>
      <x:c r="F935" s="119" t="str">
        <x:v>Read, Reference, Trigger</x:v>
      </x:c>
      <x:c r="G935" s="117" t="str">
        <x:v>Yes</x:v>
      </x:c>
      <x:c r="H935" s="117" t="str">
        <x:v>AutoLaunchedFlow</x:v>
      </x:c>
    </x:row>
    <x:row r="936" ht="30" customHeight="1">
      <x:c r="A936" s="117" t="str">
        <x:v>300Ro00000yyBCZIA2</x:v>
      </x:c>
      <x:c r="B936" s="117" t="str">
        <x:v>ProductItem_Before_Delete_Pur_Op_Total_Cost_Roll_Up</x:v>
      </x:c>
      <x:c r="C936" s="117" t="str">
        <x:v>Yes</x:v>
      </x:c>
      <x:c r="D936" s="119" t="str">
        <x:v>Active v1 (Retrieved XML)</x:v>
      </x:c>
      <x:c r="E936" s="117" t="str">
        <x:v>ProductItem__c</x:v>
      </x:c>
      <x:c r="F936" s="119" t="str">
        <x:v>Read, Reference, Trigger</x:v>
      </x:c>
      <x:c r="G936" s="117" t="str">
        <x:v>Yes</x:v>
      </x:c>
      <x:c r="H936" s="117" t="str">
        <x:v>AutoLaunchedFlow</x:v>
      </x:c>
    </x:row>
    <x:row r="937" ht="30" customHeight="1">
      <x:c r="A937" s="117" t="str">
        <x:v>300Ro00000yzeilIAA</x:v>
      </x:c>
      <x:c r="B937" s="117" t="str">
        <x:v>ProductItem_Before_Delete_Pur_Op_Working_Capital_Usage_Days_Roll_Up</x:v>
      </x:c>
      <x:c r="C937" s="117" t="str">
        <x:v>Yes</x:v>
      </x:c>
      <x:c r="D937" s="119" t="str">
        <x:v>Active v1 (Retrieved XML)</x:v>
      </x:c>
      <x:c r="E937" s="117" t="str">
        <x:v>ProductItem__c</x:v>
      </x:c>
      <x:c r="F937" s="119" t="str">
        <x:v>Read, Reference, Trigger</x:v>
      </x:c>
      <x:c r="G937" s="117" t="str">
        <x:v>Yes</x:v>
      </x:c>
      <x:c r="H937" s="117" t="str">
        <x:v>AutoLaunchedFlow</x:v>
      </x:c>
    </x:row>
    <x:row r="938" ht="30" customHeight="1">
      <x:c r="A938" s="117" t="str">
        <x:v>300Ro00000zDVJ0IAO</x:v>
      </x:c>
      <x:c r="B938" s="117" t="str">
        <x:v>ProductItem_Before_delete_Rental_Order_Price_Roll_Up</x:v>
      </x:c>
      <x:c r="C938" s="117" t="str">
        <x:v>Yes</x:v>
      </x:c>
      <x:c r="D938" s="119" t="str">
        <x:v>Active v1 (Retrieved XML)</x:v>
      </x:c>
      <x:c r="E938" s="117" t="str">
        <x:v>ProductItem__c</x:v>
      </x:c>
      <x:c r="F938" s="119" t="str">
        <x:v>Read, Reference, Trigger</x:v>
      </x:c>
      <x:c r="G938" s="117" t="str">
        <x:v>Yes</x:v>
      </x:c>
      <x:c r="H938" s="117" t="str">
        <x:v>AutoLaunchedFlow</x:v>
      </x:c>
    </x:row>
    <x:row r="939" ht="30" customHeight="1">
      <x:c r="A939" s="117" t="str">
        <x:v>300Ro00000yxeS2IAI</x:v>
      </x:c>
      <x:c r="B939" s="117" t="str">
        <x:v>ProductItem_Before_delete_Starting_Bid_Roll_Up</x:v>
      </x:c>
      <x:c r="C939" s="117" t="str">
        <x:v>Yes</x:v>
      </x:c>
      <x:c r="D939" s="119" t="str">
        <x:v>Active v2 (Retrieved XML)</x:v>
      </x:c>
      <x:c r="E939" s="117" t="str">
        <x:v>ProductItem__c</x:v>
      </x:c>
      <x:c r="F939" s="119" t="str">
        <x:v>Read, Reference, Trigger</x:v>
      </x:c>
      <x:c r="G939" s="117" t="str">
        <x:v>Yes</x:v>
      </x:c>
      <x:c r="H939" s="117" t="str">
        <x:v>AutoLaunchedFlow</x:v>
      </x:c>
    </x:row>
    <x:row r="940" ht="30" customHeight="1">
      <x:c r="A940" s="117" t="str">
        <x:v>300Ro00000yyHEpIAM</x:v>
      </x:c>
      <x:c r="B940" s="117" t="str">
        <x:v>ProductItem_on_update_Pur_Op_Total_Cost_of_Unsold_Assets_Roll_Up</x:v>
      </x:c>
      <x:c r="C940" s="117" t="str">
        <x:v>Yes</x:v>
      </x:c>
      <x:c r="D940" s="119" t="str">
        <x:v>Active v2 (Retrieved XML)</x:v>
      </x:c>
      <x:c r="E940" s="117" t="str">
        <x:v>ProductItem__c</x:v>
      </x:c>
      <x:c r="F940" s="119" t="str">
        <x:v>Read, Reference, Trigger</x:v>
      </x:c>
      <x:c r="G940" s="117" t="str">
        <x:v>Yes</x:v>
      </x:c>
      <x:c r="H940" s="117" t="str">
        <x:v>AutoLaunchedFlow</x:v>
      </x:c>
    </x:row>
    <x:row r="941" ht="30" customHeight="1">
      <x:c r="A941" s="117" t="str">
        <x:v>300Ro00000yyBCaIAM</x:v>
      </x:c>
      <x:c r="B941" s="117" t="str">
        <x:v>ProductItem_on_update_Pur_Op_Total_Cost_Roll_Up</x:v>
      </x:c>
      <x:c r="C941" s="117" t="str">
        <x:v>Yes</x:v>
      </x:c>
      <x:c r="D941" s="119" t="str">
        <x:v>Active v1 (Retrieved XML)</x:v>
      </x:c>
      <x:c r="E941" s="117" t="str">
        <x:v>ProductItem__c</x:v>
      </x:c>
      <x:c r="F941" s="119" t="str">
        <x:v>Read, Reference, Trigger</x:v>
      </x:c>
      <x:c r="G941" s="117" t="str">
        <x:v>Yes</x:v>
      </x:c>
      <x:c r="H941" s="117" t="str">
        <x:v>AutoLaunchedFlow</x:v>
      </x:c>
    </x:row>
    <x:row r="942" ht="30" customHeight="1">
      <x:c r="A942" s="117" t="str">
        <x:v>300Ro00000yzeimIAA</x:v>
      </x:c>
      <x:c r="B942" s="117" t="str">
        <x:v>ProductItem_on_update_Pur_Op_Working_Capital_Usage_Days_Roll_Up</x:v>
      </x:c>
      <x:c r="C942" s="117" t="str">
        <x:v>Yes</x:v>
      </x:c>
      <x:c r="D942" s="119" t="str">
        <x:v>Active v1 (Retrieved XML)</x:v>
      </x:c>
      <x:c r="E942" s="117" t="str">
        <x:v>ProductItem__c</x:v>
      </x:c>
      <x:c r="F942" s="119" t="str">
        <x:v>Read, Reference, Trigger</x:v>
      </x:c>
      <x:c r="G942" s="117" t="str">
        <x:v>Yes</x:v>
      </x:c>
      <x:c r="H942" s="117" t="str">
        <x:v>AutoLaunchedFlow</x:v>
      </x:c>
    </x:row>
    <x:row r="943" ht="30" customHeight="1">
      <x:c r="A943" s="117" t="str">
        <x:v>300Ro00000zDVJ1IAO</x:v>
      </x:c>
      <x:c r="B943" s="117" t="str">
        <x:v>ProductItem_on_update_Rental_Order_Price_Roll_Up</x:v>
      </x:c>
      <x:c r="C943" s="117" t="str">
        <x:v>Yes</x:v>
      </x:c>
      <x:c r="D943" s="119" t="str">
        <x:v>Active v1 (Retrieved XML)</x:v>
      </x:c>
      <x:c r="E943" s="117" t="str">
        <x:v>ProductItem__c</x:v>
      </x:c>
      <x:c r="F943" s="119" t="str">
        <x:v>Read, Reference, Trigger</x:v>
      </x:c>
      <x:c r="G943" s="117" t="str">
        <x:v>Yes</x:v>
      </x:c>
      <x:c r="H943" s="117" t="str">
        <x:v>AutoLaunchedFlow</x:v>
      </x:c>
    </x:row>
    <x:row r="944" ht="30" customHeight="1">
      <x:c r="A944" s="117" t="str">
        <x:v>300Ro000006dI4tIAE</x:v>
      </x:c>
      <x:c r="B944" s="117" t="str">
        <x:v>Purchasing_Opportunity_Field_Updates_Flow</x:v>
      </x:c>
      <x:c r="C944" s="117" t="str">
        <x:v>Yes</x:v>
      </x:c>
      <x:c r="D944" s="119" t="str">
        <x:v>Active v15 (Retrieved XML)</x:v>
      </x:c>
      <x:c r="E944" s="117" t="str">
        <x:v>ProductItem__c</x:v>
      </x:c>
      <x:c r="F944" s="119" t="str">
        <x:v>Read, Reference</x:v>
      </x:c>
      <x:c r="G944" s="117" t="str">
        <x:v>No</x:v>
      </x:c>
      <x:c r="H944" s="117" t="str">
        <x:v>AutoLaunchedFlow</x:v>
      </x:c>
    </x:row>
    <x:row r="945" ht="30" customHeight="1">
      <x:c r="A945" s="117" t="str">
        <x:v>3005b000000H3hXAAS</x:v>
      </x:c>
      <x:c r="B945" s="117" t="str">
        <x:v>QA_Required_Auto_Update_from_Assets_for_UK</x:v>
      </x:c>
      <x:c r="C945" s="117" t="str">
        <x:v>Yes</x:v>
      </x:c>
      <x:c r="D945" s="119" t="str">
        <x:v>Active v4 (Retrieved XML)</x:v>
      </x:c>
      <x:c r="E945" s="117" t="str">
        <x:v>ProductItem__c</x:v>
      </x:c>
      <x:c r="F945" s="119" t="str">
        <x:v>Read, Reference, Trigger</x:v>
      </x:c>
      <x:c r="G945" s="117" t="str">
        <x:v>Yes</x:v>
      </x:c>
      <x:c r="H945" s="117" t="str">
        <x:v>AutoLaunchedFlow</x:v>
      </x:c>
    </x:row>
    <x:row r="946" ht="30" customHeight="1">
      <x:c r="A946" s="117" t="str">
        <x:v>3005b000000LGwJAAW</x:v>
      </x:c>
      <x:c r="B946" s="117" t="str">
        <x:v>Radiology_Basic_Product_Test_Screen_Flow_UK</x:v>
      </x:c>
      <x:c r="C946" s="117" t="str">
        <x:v>Yes</x:v>
      </x:c>
      <x:c r="D946" s="119" t="str">
        <x:v>Active v11 (Retrieved XML)</x:v>
      </x:c>
      <x:c r="E946" s="117" t="str">
        <x:v>ProductItem__c</x:v>
      </x:c>
      <x:c r="F946" s="119" t="str">
        <x:v>Read, Reference</x:v>
      </x:c>
      <x:c r="G946" s="117" t="str">
        <x:v>No</x:v>
      </x:c>
      <x:c r="H946" s="117" t="str">
        <x:v>Flow</x:v>
      </x:c>
    </x:row>
    <x:row r="947" ht="30" customHeight="1">
      <x:c r="A947" s="117" t="str">
        <x:v>300Ro00000LtI8NIAV</x:v>
      </x:c>
      <x:c r="B947" s="117" t="str">
        <x:v>Record_Triggered_After_Inventory_Adjustment</x:v>
      </x:c>
      <x:c r="C947" s="117" t="str">
        <x:v>Yes</x:v>
      </x:c>
      <x:c r="D947" s="119" t="str">
        <x:v>Active v2 (Retrieved XML)</x:v>
      </x:c>
      <x:c r="E947" s="117" t="str">
        <x:v>ProductItem__c</x:v>
      </x:c>
      <x:c r="F947" s="119" t="str">
        <x:v>Variable</x:v>
      </x:c>
      <x:c r="G947" s="117" t="str">
        <x:v>No</x:v>
      </x:c>
      <x:c r="H947" s="117" t="str">
        <x:v>AutoLaunchedFlow</x:v>
      </x:c>
    </x:row>
    <x:row r="948" ht="30" customHeight="1">
      <x:c r="A948" s="117" t="str">
        <x:v>300Ro00000LtJsOIAV</x:v>
      </x:c>
      <x:c r="B948" s="117" t="str">
        <x:v>Record_Triggered_After_Purchasing_Return</x:v>
      </x:c>
      <x:c r="C948" s="117" t="str">
        <x:v>Yes</x:v>
      </x:c>
      <x:c r="D948" s="119" t="str">
        <x:v>Active v9 (Retrieved XML)</x:v>
      </x:c>
      <x:c r="E948" s="117" t="str">
        <x:v>ProductItem__c</x:v>
      </x:c>
      <x:c r="F948" s="119" t="str">
        <x:v>Read, Reference</x:v>
      </x:c>
      <x:c r="G948" s="117" t="str">
        <x:v>No</x:v>
      </x:c>
      <x:c r="H948" s="117" t="str">
        <x:v>AutoLaunchedFlow</x:v>
      </x:c>
    </x:row>
    <x:row r="949" ht="30" customHeight="1">
      <x:c r="A949" s="117" t="str">
        <x:v>3005b000000PzrOAAS</x:v>
      </x:c>
      <x:c r="B949" s="117" t="str">
        <x:v>Refurb_Part_Request_Field_Updates_Flow</x:v>
      </x:c>
      <x:c r="C949" s="117" t="str">
        <x:v>Yes</x:v>
      </x:c>
      <x:c r="D949" s="119" t="str">
        <x:v>Active v16 (Retrieved XML)</x:v>
      </x:c>
      <x:c r="E949" s="117" t="str">
        <x:v>ProductItem__c</x:v>
      </x:c>
      <x:c r="F949" s="119" t="str">
        <x:v>Read, Reference, Update</x:v>
      </x:c>
      <x:c r="G949" s="117" t="str">
        <x:v>No</x:v>
      </x:c>
      <x:c r="H949" s="117" t="str">
        <x:v>AutoLaunchedFlow</x:v>
      </x:c>
    </x:row>
    <x:row r="950" ht="30" customHeight="1">
      <x:c r="A950" s="117" t="str">
        <x:v>3005b000000PyyOAAS</x:v>
      </x:c>
      <x:c r="B950" s="117" t="str">
        <x:v>Refurb_Test_Asset_Selection_Screen_Flow</x:v>
      </x:c>
      <x:c r="C950" s="117" t="str">
        <x:v>Yes</x:v>
      </x:c>
      <x:c r="D950" s="119" t="str">
        <x:v>Active v18 (Retrieved XML)</x:v>
      </x:c>
      <x:c r="E950" s="117" t="str">
        <x:v>ProductItem__c</x:v>
      </x:c>
      <x:c r="F950" s="119" t="str">
        <x:v>Read, Reference</x:v>
      </x:c>
      <x:c r="G950" s="117" t="str">
        <x:v>No</x:v>
      </x:c>
      <x:c r="H950" s="117" t="str">
        <x:v>Flow</x:v>
      </x:c>
    </x:row>
    <x:row r="951" ht="30" customHeight="1">
      <x:c r="A951" s="117" t="str">
        <x:v>3005b000000PzoZAAS</x:v>
      </x:c>
      <x:c r="B951" s="117" t="str">
        <x:v>Refurb_Test_Update_Fields_FLow</x:v>
      </x:c>
      <x:c r="C951" s="117" t="str">
        <x:v>Yes</x:v>
      </x:c>
      <x:c r="D951" s="119" t="str">
        <x:v>Active v10 (Retrieved XML)</x:v>
      </x:c>
      <x:c r="E951" s="117" t="str">
        <x:v>ProductItem__c</x:v>
      </x:c>
      <x:c r="F951" s="119" t="str">
        <x:v>Read, Reference, Update</x:v>
      </x:c>
      <x:c r="G951" s="117" t="str">
        <x:v>No</x:v>
      </x:c>
      <x:c r="H951" s="117" t="str">
        <x:v>AutoLaunchedFlow</x:v>
      </x:c>
    </x:row>
    <x:row r="952" ht="30" customHeight="1">
      <x:c r="A952" s="117" t="str">
        <x:v>3004O000000LOsgQAG</x:v>
      </x:c>
      <x:c r="B952" s="117" t="str">
        <x:v>Rental_Orders_create_RMA</x:v>
      </x:c>
      <x:c r="C952" s="117" t="str">
        <x:v>No</x:v>
      </x:c>
      <x:c r="D952" s="119" t="str">
        <x:v>Latest inactive v1 (Retrieved XML)</x:v>
      </x:c>
      <x:c r="E952" s="117" t="str">
        <x:v>ProductItem__c</x:v>
      </x:c>
      <x:c r="F952" s="119" t="str">
        <x:v>Read, Reference</x:v>
      </x:c>
      <x:c r="G952" s="117" t="str">
        <x:v>No</x:v>
      </x:c>
      <x:c r="H952" s="117" t="str">
        <x:v>AutoLaunchedFlow</x:v>
      </x:c>
    </x:row>
    <x:row r="953" ht="30" customHeight="1">
      <x:c r="A953" s="117" t="str">
        <x:v>3004O000000LOrAQAW</x:v>
      </x:c>
      <x:c r="B953" s="117" t="str">
        <x:v>Return_to_Vendor_Create_DB</x:v>
      </x:c>
      <x:c r="C953" s="117" t="str">
        <x:v>Yes</x:v>
      </x:c>
      <x:c r="D953" s="119" t="str">
        <x:v>Active v6 (Retrieved XML)</x:v>
      </x:c>
      <x:c r="E953" s="117" t="str">
        <x:v>ProductItem__c</x:v>
      </x:c>
      <x:c r="F953" s="119" t="str">
        <x:v>Read, Reference</x:v>
      </x:c>
      <x:c r="G953" s="117" t="str">
        <x:v>No</x:v>
      </x:c>
      <x:c r="H953" s="117" t="str">
        <x:v>AutoLaunchedFlow</x:v>
      </x:c>
    </x:row>
    <x:row r="954" ht="30" customHeight="1">
      <x:c r="A954" s="117" t="str">
        <x:v>300Ro00000SjMhAIAV</x:v>
      </x:c>
      <x:c r="B954" s="117" t="str">
        <x:v>RMA_Automations</x:v>
      </x:c>
      <x:c r="C954" s="117" t="str">
        <x:v>Yes</x:v>
      </x:c>
      <x:c r="D954" s="119" t="str">
        <x:v>Active v20 (Retrieved XML)</x:v>
      </x:c>
      <x:c r="E954" s="117" t="str">
        <x:v>ProductItem__c</x:v>
      </x:c>
      <x:c r="F954" s="119" t="str">
        <x:v>Read, Reference, Update</x:v>
      </x:c>
      <x:c r="G954" s="117" t="str">
        <x:v>No</x:v>
      </x:c>
      <x:c r="H954" s="117" t="str">
        <x:v>AutoLaunchedFlow</x:v>
      </x:c>
    </x:row>
    <x:row r="955" ht="30" customHeight="1">
      <x:c r="A955" s="117" t="str">
        <x:v>300Ro00000jezCXIAY</x:v>
      </x:c>
      <x:c r="B955" s="117" t="str">
        <x:v>RMA_Re_sync_RMA_if_Errored</x:v>
      </x:c>
      <x:c r="C955" s="117" t="str">
        <x:v>Yes</x:v>
      </x:c>
      <x:c r="D955" s="119" t="str">
        <x:v>Active v1 (Retrieved XML)</x:v>
      </x:c>
      <x:c r="E955" s="117" t="str">
        <x:v>ProductItem__c</x:v>
      </x:c>
      <x:c r="F955" s="119" t="str">
        <x:v>Reference, Update</x:v>
      </x:c>
      <x:c r="G955" s="117" t="str">
        <x:v>No</x:v>
      </x:c>
      <x:c r="H955" s="117" t="str">
        <x:v>AutoLaunchedFlow</x:v>
      </x:c>
    </x:row>
    <x:row r="956" ht="30" customHeight="1">
      <x:c r="A956" s="117" t="str">
        <x:v>3005b000000H3voAAC</x:v>
      </x:c>
      <x:c r="B956" s="117" t="str">
        <x:v>Sales_Sheet_Screen_Flow</x:v>
      </x:c>
      <x:c r="C956" s="117" t="str">
        <x:v>Yes</x:v>
      </x:c>
      <x:c r="D956" s="119" t="str">
        <x:v>Active v27 (Retrieved XML)</x:v>
      </x:c>
      <x:c r="E956" s="117" t="str">
        <x:v>ProductItem__c</x:v>
      </x:c>
      <x:c r="F956" s="119" t="str">
        <x:v>Read, Reference</x:v>
      </x:c>
      <x:c r="G956" s="117" t="str">
        <x:v>No</x:v>
      </x:c>
      <x:c r="H956" s="117" t="str">
        <x:v>Flow</x:v>
      </x:c>
    </x:row>
    <x:row r="957" ht="30" customHeight="1">
      <x:c r="A957" s="117" t="str">
        <x:v>300Ro00000LtJsPIAV</x:v>
      </x:c>
      <x:c r="B957" s="117" t="str">
        <x:v>Screen_Flow_Add_Purchasing_Return</x:v>
      </x:c>
      <x:c r="C957" s="117" t="str">
        <x:v>Yes</x:v>
      </x:c>
      <x:c r="D957" s="119" t="str">
        <x:v>Active v19 (Tooling metadata)</x:v>
      </x:c>
      <x:c r="E957" s="117" t="str">
        <x:v>ProductItem__c</x:v>
      </x:c>
      <x:c r="F957" s="119" t="str">
        <x:v>Read, Reference, Variable</x:v>
      </x:c>
      <x:c r="G957" s="117" t="str">
        <x:v>No</x:v>
      </x:c>
      <x:c r="H957" s="117" t="str">
        <x:v>Flow</x:v>
      </x:c>
    </x:row>
    <x:row r="958" ht="30" customHeight="1">
      <x:c r="A958" s="117" t="str">
        <x:v>300Ro00000cwVglIAE</x:v>
      </x:c>
      <x:c r="B958" s="117" t="str">
        <x:v>Screen_Flow_Create_Sales_Asset_from_Service_Asset</x:v>
      </x:c>
      <x:c r="C958" s="117" t="str">
        <x:v>No</x:v>
      </x:c>
      <x:c r="D958" s="119" t="str">
        <x:v>Latest inactive v1 (Retrieved XML)</x:v>
      </x:c>
      <x:c r="E958" s="117" t="str">
        <x:v>ProductItem__c</x:v>
      </x:c>
      <x:c r="F958" s="119" t="str">
        <x:v>Read, Reference</x:v>
      </x:c>
      <x:c r="G958" s="117" t="str">
        <x:v>No</x:v>
      </x:c>
      <x:c r="H958" s="117" t="str">
        <x:v>Flow</x:v>
      </x:c>
    </x:row>
    <x:row r="959" ht="30" customHeight="1">
      <x:c r="A959" s="117" t="str">
        <x:v>300Ro00000cwVgmIAE</x:v>
      </x:c>
      <x:c r="B959" s="117" t="str">
        <x:v>Screen_Flow_Create_Service_Asset_from_Sales_Asset</x:v>
      </x:c>
      <x:c r="C959" s="117" t="str">
        <x:v>No</x:v>
      </x:c>
      <x:c r="D959" s="119" t="str">
        <x:v>Latest inactive v1 (Retrieved XML)</x:v>
      </x:c>
      <x:c r="E959" s="117" t="str">
        <x:v>ProductItem__c</x:v>
      </x:c>
      <x:c r="F959" s="119" t="str">
        <x:v>Read, Reference</x:v>
      </x:c>
      <x:c r="G959" s="117" t="str">
        <x:v>No</x:v>
      </x:c>
      <x:c r="H959" s="117" t="str">
        <x:v>Flow</x:v>
      </x:c>
    </x:row>
    <x:row r="960" ht="30" customHeight="1">
      <x:c r="A960" s="117" t="str">
        <x:v>300Ro00000tAYdSIAW</x:v>
      </x:c>
      <x:c r="B960" s="117" t="str">
        <x:v>Screen_Flow_Select_IR_Assets</x:v>
      </x:c>
      <x:c r="C960" s="117" t="str">
        <x:v>Yes</x:v>
      </x:c>
      <x:c r="D960" s="119" t="str">
        <x:v>Active v4 (Retrieved XML)</x:v>
      </x:c>
      <x:c r="E960" s="117" t="str">
        <x:v>ProductItem__c</x:v>
      </x:c>
      <x:c r="F960" s="119" t="str">
        <x:v>Variable</x:v>
      </x:c>
      <x:c r="G960" s="117" t="str">
        <x:v>No</x:v>
      </x:c>
      <x:c r="H960" s="117" t="str">
        <x:v>Flow</x:v>
      </x:c>
    </x:row>
    <x:row r="961" ht="30" customHeight="1">
      <x:c r="A961" s="117" t="str">
        <x:v>3000B0000004XbHQAU</x:v>
      </x:c>
      <x:c r="B961" s="117" t="str">
        <x:v>set_opportunity_field_to_product_Item</x:v>
      </x:c>
      <x:c r="C961" s="117" t="str">
        <x:v>No</x:v>
      </x:c>
      <x:c r="D961" s="119" t="str">
        <x:v>Latest inactive v5 (Retrieved XML)</x:v>
      </x:c>
      <x:c r="E961" s="117" t="str">
        <x:v>ProductItem__c</x:v>
      </x:c>
      <x:c r="F961" s="119" t="str">
        <x:v>Reference, Update</x:v>
      </x:c>
      <x:c r="G961" s="117" t="str">
        <x:v>No</x:v>
      </x:c>
      <x:c r="H961" s="117" t="str">
        <x:v>Workflow</x:v>
      </x:c>
    </x:row>
    <x:row r="962" ht="30" customHeight="1">
      <x:c r="A962" s="117" t="str">
        <x:v>3005b000000H3qKAAS</x:v>
      </x:c>
      <x:c r="B962" s="117" t="str">
        <x:v>Sourcing_Request_from_Work_Order</x:v>
      </x:c>
      <x:c r="C962" s="117" t="str">
        <x:v>Yes</x:v>
      </x:c>
      <x:c r="D962" s="119" t="str">
        <x:v>Active v14 (Retrieved XML)</x:v>
      </x:c>
      <x:c r="E962" s="117" t="str">
        <x:v>ProductItem__c</x:v>
      </x:c>
      <x:c r="F962" s="119" t="str">
        <x:v>Read, Reference</x:v>
      </x:c>
      <x:c r="G962" s="117" t="str">
        <x:v>No</x:v>
      </x:c>
      <x:c r="H962" s="117" t="str">
        <x:v>Flow</x:v>
      </x:c>
    </x:row>
    <x:row r="963" ht="30" customHeight="1">
      <x:c r="A963" s="117" t="str">
        <x:v>3005b000000Pzn2AAC</x:v>
      </x:c>
      <x:c r="B963" s="117" t="str">
        <x:v>Submit_Applications_Checklist_Screen_Flow</x:v>
      </x:c>
      <x:c r="C963" s="117" t="str">
        <x:v>Yes</x:v>
      </x:c>
      <x:c r="D963" s="119" t="str">
        <x:v>Active v7 (Retrieved XML)</x:v>
      </x:c>
      <x:c r="E963" s="117" t="str">
        <x:v>ProductItem__c</x:v>
      </x:c>
      <x:c r="F963" s="119" t="str">
        <x:v>Read, Reference</x:v>
      </x:c>
      <x:c r="G963" s="117" t="str">
        <x:v>No</x:v>
      </x:c>
      <x:c r="H963" s="117" t="str">
        <x:v>Flow</x:v>
      </x:c>
    </x:row>
    <x:row r="964" ht="30" customHeight="1">
      <x:c r="A964" s="117" t="str">
        <x:v>300Ro00000NynYXIAZ</x:v>
      </x:c>
      <x:c r="B964" s="117" t="str">
        <x:v>TEMP_IR_Product_Creation</x:v>
      </x:c>
      <x:c r="C964" s="117" t="str">
        <x:v>Yes</x:v>
      </x:c>
      <x:c r="D964" s="119" t="str">
        <x:v>Active v10 (Retrieved XML)</x:v>
      </x:c>
      <x:c r="E964" s="117" t="str">
        <x:v>ProductItem__c</x:v>
      </x:c>
      <x:c r="F964" s="119" t="str">
        <x:v>Read, Reference</x:v>
      </x:c>
      <x:c r="G964" s="117" t="str">
        <x:v>No</x:v>
      </x:c>
      <x:c r="H964" s="117" t="str">
        <x:v>AutoLaunchedFlow</x:v>
      </x:c>
    </x:row>
    <x:row r="965" ht="30" customHeight="1">
      <x:c r="A965" s="117" t="str">
        <x:v>3005b000000LGqzAAG</x:v>
      </x:c>
      <x:c r="B965" s="117" t="str">
        <x:v>Test_Get_Assets</x:v>
      </x:c>
      <x:c r="C965" s="117" t="str">
        <x:v>No</x:v>
      </x:c>
      <x:c r="D965" s="119" t="str">
        <x:v>Latest inactive v18 (Retrieved XML)</x:v>
      </x:c>
      <x:c r="E965" s="117" t="str">
        <x:v>ProductItem__c</x:v>
      </x:c>
      <x:c r="F965" s="119" t="str">
        <x:v>Read, Reference, Variable</x:v>
      </x:c>
      <x:c r="G965" s="117" t="str">
        <x:v>No</x:v>
      </x:c>
      <x:c r="H965" s="117" t="str">
        <x:v>Flow</x:v>
      </x:c>
    </x:row>
    <x:row r="966" ht="30" customHeight="1">
      <x:c r="A966" s="117" t="str">
        <x:v>3005b000000H3dfAAC</x:v>
      </x:c>
      <x:c r="B966" s="117" t="str">
        <x:v>UK_Create_Removal_Charge_Screenflow</x:v>
      </x:c>
      <x:c r="C966" s="117" t="str">
        <x:v>Yes</x:v>
      </x:c>
      <x:c r="D966" s="119" t="str">
        <x:v>Active v24 (Retrieved XML)</x:v>
      </x:c>
      <x:c r="E966" s="117" t="str">
        <x:v>ProductItem__c</x:v>
      </x:c>
      <x:c r="F966" s="119" t="str">
        <x:v>Read, Reference</x:v>
      </x:c>
      <x:c r="G966" s="117" t="str">
        <x:v>No</x:v>
      </x:c>
      <x:c r="H966" s="117" t="str">
        <x:v>Flow</x:v>
      </x:c>
    </x:row>
    <x:row r="967" ht="30" customHeight="1">
      <x:c r="A967" s="117" t="str">
        <x:v>3005b000000LGu8AAG</x:v>
      </x:c>
      <x:c r="B967" s="117" t="str">
        <x:v>UK_Customer_Repair_Received</x:v>
      </x:c>
      <x:c r="C967" s="117" t="str">
        <x:v>Yes</x:v>
      </x:c>
      <x:c r="D967" s="119" t="str">
        <x:v>Active v11 (Retrieved XML)</x:v>
      </x:c>
      <x:c r="E967" s="117" t="str">
        <x:v>ProductItem__c</x:v>
      </x:c>
      <x:c r="F967" s="119" t="str">
        <x:v>Reference, Trigger</x:v>
      </x:c>
      <x:c r="G967" s="117" t="str">
        <x:v>Yes</x:v>
      </x:c>
      <x:c r="H967" s="117" t="str">
        <x:v>AutoLaunchedFlow</x:v>
      </x:c>
    </x:row>
    <x:row r="968" ht="30" customHeight="1">
      <x:c r="A968" s="117" t="str">
        <x:v>300Ro000007mYL9IAM</x:v>
      </x:c>
      <x:c r="B968" s="117" t="str">
        <x:v>UK_Stores_App</x:v>
      </x:c>
      <x:c r="C968" s="117" t="str">
        <x:v>No</x:v>
      </x:c>
      <x:c r="D968" s="119" t="str">
        <x:v>Latest inactive v1 (Retrieved XML)</x:v>
      </x:c>
      <x:c r="E968" s="117" t="str">
        <x:v>ProductItem__c</x:v>
      </x:c>
      <x:c r="F968" s="119" t="str">
        <x:v>Read, Reference, Update, Variable</x:v>
      </x:c>
      <x:c r="G968" s="117" t="str">
        <x:v>No</x:v>
      </x:c>
      <x:c r="H968" s="117" t="str">
        <x:v>Flow</x:v>
      </x:c>
    </x:row>
    <x:row r="969" ht="30" customHeight="1">
      <x:c r="A969" s="117" t="str">
        <x:v>3004O000000TiVwQAK</x:v>
      </x:c>
      <x:c r="B969" s="117" t="str">
        <x:v>Uncheck_QC_Bump_Checkbox</x:v>
      </x:c>
      <x:c r="C969" s="117" t="str">
        <x:v>No</x:v>
      </x:c>
      <x:c r="D969" s="119" t="str">
        <x:v>Latest inactive v1 (Retrieved XML)</x:v>
      </x:c>
      <x:c r="E969" s="117" t="str">
        <x:v>ProductItem__c</x:v>
      </x:c>
      <x:c r="F969" s="119" t="str">
        <x:v>Reference, Update, Variable</x:v>
      </x:c>
      <x:c r="G969" s="117" t="str">
        <x:v>No</x:v>
      </x:c>
      <x:c r="H969" s="117" t="str">
        <x:v>Workflow</x:v>
      </x:c>
    </x:row>
    <x:row r="970" ht="30" customHeight="1">
      <x:c r="A970" s="117" t="str">
        <x:v>3005b00000113FzAAI</x:v>
      </x:c>
      <x:c r="B970" s="117" t="str">
        <x:v>Update_Asset_to_Finished_Goods_Flow</x:v>
      </x:c>
      <x:c r="C970" s="117" t="str">
        <x:v>Yes</x:v>
      </x:c>
      <x:c r="D970" s="119" t="str">
        <x:v>Active v7 (Retrieved XML)</x:v>
      </x:c>
      <x:c r="E970" s="117" t="str">
        <x:v>ProductItem__c</x:v>
      </x:c>
      <x:c r="F970" s="119" t="str">
        <x:v>Reference, Trigger, Update</x:v>
      </x:c>
      <x:c r="G970" s="117" t="str">
        <x:v>Yes</x:v>
      </x:c>
      <x:c r="H970" s="117" t="str">
        <x:v>AutoLaunchedFlow</x:v>
      </x:c>
    </x:row>
    <x:row r="971" ht="30" customHeight="1">
      <x:c r="A971" s="117" t="str">
        <x:v>3005b000000PyzvAAC</x:v>
      </x:c>
      <x:c r="B971" s="117" t="str">
        <x:v>Update_Move_to_Fixed_Assets_Flow</x:v>
      </x:c>
      <x:c r="C971" s="117" t="str">
        <x:v>Yes</x:v>
      </x:c>
      <x:c r="D971" s="119" t="str">
        <x:v>Active v3 (Retrieved XML)</x:v>
      </x:c>
      <x:c r="E971" s="117" t="str">
        <x:v>ProductItem__c</x:v>
      </x:c>
      <x:c r="F971" s="119" t="str">
        <x:v>Reference, Trigger, Update</x:v>
      </x:c>
      <x:c r="G971" s="117" t="str">
        <x:v>Yes</x:v>
      </x:c>
      <x:c r="H971" s="117" t="str">
        <x:v>AutoLaunchedFlow</x:v>
      </x:c>
    </x:row>
    <x:row r="972" ht="30" customHeight="1">
      <x:c r="A972" s="117" t="str">
        <x:v>3005b000000H1lwAAC</x:v>
      </x:c>
      <x:c r="B972" s="117" t="str">
        <x:v>Update_Physical_Location_on_Products_from_Invoice</x:v>
      </x:c>
      <x:c r="C972" s="117" t="str">
        <x:v>Yes</x:v>
      </x:c>
      <x:c r="D972" s="119" t="str">
        <x:v>Active v3 (Retrieved XML)</x:v>
      </x:c>
      <x:c r="E972" s="117" t="str">
        <x:v>ProductItem__c</x:v>
      </x:c>
      <x:c r="F972" s="119" t="str">
        <x:v>Variable</x:v>
      </x:c>
      <x:c r="G972" s="117" t="str">
        <x:v>No</x:v>
      </x:c>
      <x:c r="H972" s="117" t="str">
        <x:v>AutoLaunchedFlow</x:v>
      </x:c>
    </x:row>
    <x:row r="973" ht="30" customHeight="1">
      <x:c r="A973" s="117" t="str">
        <x:v>3004O000000LOrCQAW</x:v>
      </x:c>
      <x:c r="B973" s="117" t="str">
        <x:v>Update_Product_Item_on_Opp_Product</x:v>
      </x:c>
      <x:c r="C973" s="117" t="str">
        <x:v>No</x:v>
      </x:c>
      <x:c r="D973" s="119" t="str">
        <x:v>Latest inactive v2 (Retrieved XML)</x:v>
      </x:c>
      <x:c r="E973" s="117" t="str">
        <x:v>ProductItem__c</x:v>
      </x:c>
      <x:c r="F973" s="119" t="str">
        <x:v>Reference, Update</x:v>
      </x:c>
      <x:c r="G973" s="117" t="str">
        <x:v>No</x:v>
      </x:c>
      <x:c r="H973" s="117" t="str">
        <x:v>Workflow</x:v>
      </x:c>
    </x:row>
    <x:row r="974" ht="30" customHeight="1">
      <x:c r="A974" s="117" t="str">
        <x:v>3000B000000kEOyQAM</x:v>
      </x:c>
      <x:c r="B974" s="117" t="str">
        <x:v>Update_Purchasing_Approved</x:v>
      </x:c>
      <x:c r="C974" s="117" t="str">
        <x:v>No</x:v>
      </x:c>
      <x:c r="D974" s="119" t="str">
        <x:v>Latest inactive v5 (Retrieved XML)</x:v>
      </x:c>
      <x:c r="E974" s="117" t="str">
        <x:v>ProductItem__c</x:v>
      </x:c>
      <x:c r="F974" s="119" t="str">
        <x:v>Variable</x:v>
      </x:c>
      <x:c r="G974" s="117" t="str">
        <x:v>No</x:v>
      </x:c>
      <x:c r="H974" s="117" t="str">
        <x:v>Workflow</x:v>
      </x:c>
    </x:row>
    <x:row r="975" ht="30" customHeight="1">
      <x:c r="A975" s="117" t="str">
        <x:v>300Ro00000wtiDZIAY</x:v>
      </x:c>
      <x:c r="B975" s="117" t="str">
        <x:v>US_FSL_On_submitting_of_shipping_update_the_work_order_to_pending_shipment</x:v>
      </x:c>
      <x:c r="C975" s="117" t="str">
        <x:v>Yes</x:v>
      </x:c>
      <x:c r="D975" s="119" t="str">
        <x:v>Active v3 (Retrieved XML)</x:v>
      </x:c>
      <x:c r="E975" s="117" t="str">
        <x:v>ProductItem__c</x:v>
      </x:c>
      <x:c r="F975" s="119" t="str">
        <x:v>Read, Reference</x:v>
      </x:c>
      <x:c r="G975" s="117" t="str">
        <x:v>No</x:v>
      </x:c>
      <x:c r="H975" s="117" t="str">
        <x:v>AutoLaunchedFlow</x:v>
      </x:c>
    </x:row>
    <x:row r="976" ht="30" customHeight="1">
      <x:c r="A976" s="117" t="str">
        <x:v>300Ro00000xMXeTIAW</x:v>
      </x:c>
      <x:c r="B976" s="117" t="str">
        <x:v>Working_Capital_Usage_Days_Roll_Up</x:v>
      </x:c>
      <x:c r="C976" s="117" t="str">
        <x:v>No</x:v>
      </x:c>
      <x:c r="D976" s="119" t="str">
        <x:v>Latest inactive v1 (Retrieved XML)</x:v>
      </x:c>
      <x:c r="E976" s="117" t="str">
        <x:v>ProductItem__c</x:v>
      </x:c>
      <x:c r="F976" s="119" t="str">
        <x:v>Read, Reference, Trigger, Variable</x:v>
      </x:c>
      <x:c r="G976" s="117" t="str">
        <x:v>Yes</x:v>
      </x:c>
      <x:c r="H976" s="117" t="str">
        <x:v>AutoLaunchedFlow</x:v>
      </x:c>
    </x:row>
    <x:row r="977" ht="30" customHeight="1">
      <x:c r="A977" s="117" t="str">
        <x:v>300Ro00000ugDleIAE</x:v>
      </x:c>
      <x:c r="B977" s="117" t="str">
        <x:v>Final_QC_Passed_Send_Email</x:v>
      </x:c>
      <x:c r="C977" s="117" t="str">
        <x:v>Yes</x:v>
      </x:c>
      <x:c r="D977" s="119" t="str">
        <x:v>Active v3 (Retrieved XML)</x:v>
      </x:c>
      <x:c r="E977" s="117" t="str">
        <x:v>ProductTest__c</x:v>
      </x:c>
      <x:c r="F977" s="119" t="str">
        <x:v>Reference, Trigger</x:v>
      </x:c>
      <x:c r="G977" s="117" t="str">
        <x:v>Yes</x:v>
      </x:c>
      <x:c r="H977" s="117" t="str">
        <x:v>AutoLaunchedFlow</x:v>
      </x:c>
    </x:row>
    <x:row r="978" ht="30" customHeight="1">
      <x:c r="A978" s="117" t="str">
        <x:v>3005b000000LGwJAAW</x:v>
      </x:c>
      <x:c r="B978" s="117" t="str">
        <x:v>Radiology_Basic_Product_Test_Screen_Flow_UK</x:v>
      </x:c>
      <x:c r="C978" s="117" t="str">
        <x:v>Yes</x:v>
      </x:c>
      <x:c r="D978" s="119" t="str">
        <x:v>Active v11 (Retrieved XML)</x:v>
      </x:c>
      <x:c r="E978" s="117" t="str">
        <x:v>ProductTest__c</x:v>
      </x:c>
      <x:c r="F978" s="119" t="str">
        <x:v>Create, Reference</x:v>
      </x:c>
      <x:c r="G978" s="117" t="str">
        <x:v>No</x:v>
      </x:c>
      <x:c r="H978" s="117" t="str">
        <x:v>Flow</x:v>
      </x:c>
    </x:row>
    <x:row r="979" ht="30" customHeight="1">
      <x:c r="A979" s="117" t="str">
        <x:v>300Ro00000xhuucIAA</x:v>
      </x:c>
      <x:c r="B979" s="117" t="str">
        <x:v>Asset_Creation_After_Save_Update_Product_Analytics</x:v>
      </x:c>
      <x:c r="C979" s="117" t="str">
        <x:v>Yes</x:v>
      </x:c>
      <x:c r="D979" s="119" t="str">
        <x:v>Active v2 (Retrieved XML)</x:v>
      </x:c>
      <x:c r="E979" s="117" t="str">
        <x:v>Product_Analytics__c</x:v>
      </x:c>
      <x:c r="F979" s="119" t="str">
        <x:v>Read, Reference</x:v>
      </x:c>
      <x:c r="G979" s="117" t="str">
        <x:v>No</x:v>
      </x:c>
      <x:c r="H979" s="117" t="str">
        <x:v>AutoLaunchedFlow</x:v>
      </x:c>
    </x:row>
    <x:row r="980" ht="30" customHeight="1">
      <x:c r="A980" s="117" t="str">
        <x:v>300Ro00000xEy5aIAC</x:v>
      </x:c>
      <x:c r="B980" s="117" t="str">
        <x:v>Asset_Creation_Before_Save_Update_Product_Analytics</x:v>
      </x:c>
      <x:c r="C980" s="117" t="str">
        <x:v>No</x:v>
      </x:c>
      <x:c r="D980" s="119" t="str">
        <x:v>Latest inactive v1 (Retrieved XML)</x:v>
      </x:c>
      <x:c r="E980" s="117" t="str">
        <x:v>Product_Analytics__c</x:v>
      </x:c>
      <x:c r="F980" s="119" t="str">
        <x:v>Read, Reference</x:v>
      </x:c>
      <x:c r="G980" s="117" t="str">
        <x:v>No</x:v>
      </x:c>
      <x:c r="H980" s="117" t="str">
        <x:v>AutoLaunchedFlow</x:v>
      </x:c>
    </x:row>
    <x:row r="981" ht="30" customHeight="1">
      <x:c r="A981" s="117" t="str">
        <x:v>300Ro00000xFCRyIAO</x:v>
      </x:c>
      <x:c r="B981" s="117" t="str">
        <x:v>Asset_Update_After_Save_Set_Product_Analytics_on_Product_Name_Change</x:v>
      </x:c>
      <x:c r="C981" s="117" t="str">
        <x:v>Yes</x:v>
      </x:c>
      <x:c r="D981" s="119" t="str">
        <x:v>Active v2 (Retrieved XML)</x:v>
      </x:c>
      <x:c r="E981" s="117" t="str">
        <x:v>Product_Analytics__c</x:v>
      </x:c>
      <x:c r="F981" s="119" t="str">
        <x:v>Read, Reference</x:v>
      </x:c>
      <x:c r="G981" s="117" t="str">
        <x:v>No</x:v>
      </x:c>
      <x:c r="H981" s="117" t="str">
        <x:v>AutoLaunchedFlow</x:v>
      </x:c>
    </x:row>
    <x:row r="982" ht="30" customHeight="1">
      <x:c r="A982" s="117" t="str">
        <x:v>3004O000000LNr1QAG</x:v>
      </x:c>
      <x:c r="B982" s="117" t="str">
        <x:v>Create_Generic_Asset2_from_Product2_Id</x:v>
      </x:c>
      <x:c r="C982" s="117" t="str">
        <x:v>No</x:v>
      </x:c>
      <x:c r="D982" s="119" t="str">
        <x:v>Latest inactive v7 (Retrieved XML)</x:v>
      </x:c>
      <x:c r="E982" s="117" t="str">
        <x:v>Product_Analytics__c</x:v>
      </x:c>
      <x:c r="F982" s="119" t="str">
        <x:v>Create, Read, Reference</x:v>
      </x:c>
      <x:c r="G982" s="117" t="str">
        <x:v>No</x:v>
      </x:c>
      <x:c r="H982" s="117" t="str">
        <x:v>AutoLaunchedFlow</x:v>
      </x:c>
    </x:row>
    <x:row r="983" ht="30" customHeight="1">
      <x:c r="A983" s="117" t="str">
        <x:v>300Ro000010uR0GIAU</x:v>
      </x:c>
      <x:c r="B983" s="117" t="str">
        <x:v>Product_On_Creation</x:v>
      </x:c>
      <x:c r="C983" s="117" t="str">
        <x:v>Yes</x:v>
      </x:c>
      <x:c r="D983" s="119" t="str">
        <x:v>Active v2 (Retrieved XML)</x:v>
      </x:c>
      <x:c r="E983" s="117" t="str">
        <x:v>Product_Analytics__c</x:v>
      </x:c>
      <x:c r="F983" s="119" t="str">
        <x:v>Create, Read, Reference</x:v>
      </x:c>
      <x:c r="G983" s="117" t="str">
        <x:v>No</x:v>
      </x:c>
      <x:c r="H983" s="117" t="str">
        <x:v>AutoLaunchedFlow</x:v>
      </x:c>
    </x:row>
    <x:row r="984" ht="30" customHeight="1">
      <x:c r="A984" s="117" t="str">
        <x:v>300Ro00000xFMPfIAO</x:v>
      </x:c>
      <x:c r="B984" s="117" t="str">
        <x:v>Product_Scheduled_Build_Missing_Product_Analytics_Records</x:v>
      </x:c>
      <x:c r="C984" s="117" t="str">
        <x:v>No</x:v>
      </x:c>
      <x:c r="D984" s="119" t="str">
        <x:v>Latest inactive v1 (Retrieved XML)</x:v>
      </x:c>
      <x:c r="E984" s="117" t="str">
        <x:v>Product_Analytics__c</x:v>
      </x:c>
      <x:c r="F984" s="119" t="str">
        <x:v>Read, Reference, Variable</x:v>
      </x:c>
      <x:c r="G984" s="117" t="str">
        <x:v>No</x:v>
      </x:c>
      <x:c r="H984" s="117" t="str">
        <x:v>AutoLaunchedFlow</x:v>
      </x:c>
    </x:row>
    <x:row r="985" ht="30" customHeight="1">
      <x:c r="A985" s="117" t="str">
        <x:v>300Ro00000degLSIAY</x:v>
      </x:c>
      <x:c r="B985" s="117" t="str">
        <x:v>Product_Repair_Line_Item_Deletion</x:v>
      </x:c>
      <x:c r="C985" s="117" t="str">
        <x:v>Yes</x:v>
      </x:c>
      <x:c r="D985" s="119" t="str">
        <x:v>Active v1 (Retrieved XML)</x:v>
      </x:c>
      <x:c r="E985" s="117" t="str">
        <x:v>Product_Repair_Line_Item__c</x:v>
      </x:c>
      <x:c r="F985" s="119" t="str">
        <x:v>Reference, Trigger, Update</x:v>
      </x:c>
      <x:c r="G985" s="117" t="str">
        <x:v>Yes</x:v>
      </x:c>
      <x:c r="H985" s="117" t="str">
        <x:v>AutoLaunchedFlow</x:v>
      </x:c>
    </x:row>
    <x:row r="986" ht="30" customHeight="1">
      <x:c r="A986" s="117" t="str">
        <x:v>300Ro00000B1rQaIAJ</x:v>
      </x:c>
      <x:c r="B986" s="117" t="str">
        <x:v>Absorb_External_Repair_Screen_Flow</x:v>
      </x:c>
      <x:c r="C986" s="117" t="str">
        <x:v>Yes</x:v>
      </x:c>
      <x:c r="D986" s="119" t="str">
        <x:v>Active v11 (Retrieved XML)</x:v>
      </x:c>
      <x:c r="E986" s="117" t="str">
        <x:v>Product_Repair__c</x:v>
      </x:c>
      <x:c r="F986" s="119" t="str">
        <x:v>Create, Reference</x:v>
      </x:c>
      <x:c r="G986" s="117" t="str">
        <x:v>No</x:v>
      </x:c>
      <x:c r="H986" s="117" t="str">
        <x:v>Flow</x:v>
      </x:c>
    </x:row>
    <x:row r="987" ht="30" customHeight="1">
      <x:c r="A987" s="117" t="str">
        <x:v>3005b000000PzoUAAS</x:v>
      </x:c>
      <x:c r="B987" s="117" t="str">
        <x:v>Auto_Create_Refurb_System_Repair_from_Refurb_Test</x:v>
      </x:c>
      <x:c r="C987" s="117" t="str">
        <x:v>Yes</x:v>
      </x:c>
      <x:c r="D987" s="119" t="str">
        <x:v>Active v2 (Tooling metadata)</x:v>
      </x:c>
      <x:c r="E987" s="117" t="str">
        <x:v>Product_Repair__c</x:v>
      </x:c>
      <x:c r="F987" s="119" t="str">
        <x:v>Create, Reference</x:v>
      </x:c>
      <x:c r="G987" s="117" t="str">
        <x:v>No</x:v>
      </x:c>
      <x:c r="H987" s="117" t="str">
        <x:v>AutoLaunchedFlow</x:v>
      </x:c>
    </x:row>
    <x:row r="988" ht="30" customHeight="1">
      <x:c r="A988" s="117" t="str">
        <x:v>3004O000000Xh55QAC</x:v>
      </x:c>
      <x:c r="B988" s="117" t="str">
        <x:v>PB_Product_Repair</x:v>
      </x:c>
      <x:c r="C988" s="117" t="str">
        <x:v>No</x:v>
      </x:c>
      <x:c r="D988" s="119" t="str">
        <x:v>Latest inactive v3 (Retrieved XML)</x:v>
      </x:c>
      <x:c r="E988" s="117" t="str">
        <x:v>Product_Repair__c</x:v>
      </x:c>
      <x:c r="F988" s="119" t="str">
        <x:v>Variable</x:v>
      </x:c>
      <x:c r="G988" s="117" t="str">
        <x:v>No</x:v>
      </x:c>
      <x:c r="H988" s="117" t="str">
        <x:v>Workflow</x:v>
      </x:c>
    </x:row>
    <x:row r="989" ht="30" customHeight="1">
      <x:c r="A989" s="117" t="str">
        <x:v>300Ro00000XP4yIIAT</x:v>
      </x:c>
      <x:c r="B989" s="117" t="str">
        <x:v>FSL_Update_Progress_Note_with_Parent_Recorod_Work_Order</x:v>
      </x:c>
      <x:c r="C989" s="117" t="str">
        <x:v>Yes</x:v>
      </x:c>
      <x:c r="D989" s="119" t="str">
        <x:v>Active v1 (Retrieved XML)</x:v>
      </x:c>
      <x:c r="E989" s="117" t="str">
        <x:v>Progress_Note__c</x:v>
      </x:c>
      <x:c r="F989" s="119" t="str">
        <x:v>Reference, Trigger</x:v>
      </x:c>
      <x:c r="G989" s="117" t="str">
        <x:v>Yes</x:v>
      </x:c>
      <x:c r="H989" s="117" t="str">
        <x:v>AutoLaunchedFlow</x:v>
      </x:c>
    </x:row>
    <x:row r="990" ht="30" customHeight="1">
      <x:c r="A990" s="117" t="str">
        <x:v>300Ro00000U7G8UIAV</x:v>
      </x:c>
      <x:c r="B990" s="117" t="str">
        <x:v>Screen_Work_Order_Asset_Contract_Line_Update</x:v>
      </x:c>
      <x:c r="C990" s="117" t="str">
        <x:v>Yes</x:v>
      </x:c>
      <x:c r="D990" s="119" t="str">
        <x:v>Active v1 (Tooling metadata)</x:v>
      </x:c>
      <x:c r="E990" s="117" t="str">
        <x:v>Progress_Note__c</x:v>
      </x:c>
      <x:c r="F990" s="119" t="str">
        <x:v>Read, Reference, Update</x:v>
      </x:c>
      <x:c r="G990" s="117" t="str">
        <x:v>No</x:v>
      </x:c>
      <x:c r="H990" s="117" t="str">
        <x:v>Flow</x:v>
      </x:c>
    </x:row>
    <x:row r="991" ht="30" customHeight="1">
      <x:c r="A991" s="117" t="str">
        <x:v>300Ro00000tZphfIAC</x:v>
      </x:c>
      <x:c r="B991" s="117" t="str">
        <x:v>DRP_Create_Project_Charge_Line_Item</x:v>
      </x:c>
      <x:c r="C991" s="117" t="str">
        <x:v>Yes</x:v>
      </x:c>
      <x:c r="D991" s="119" t="str">
        <x:v>Active v3 (Retrieved XML)</x:v>
      </x:c>
      <x:c r="E991" s="117" t="str">
        <x:v>Project_Charge_Line_Item__c</x:v>
      </x:c>
      <x:c r="F991" s="119" t="str">
        <x:v>Variable</x:v>
      </x:c>
      <x:c r="G991" s="117" t="str">
        <x:v>No</x:v>
      </x:c>
      <x:c r="H991" s="117" t="str">
        <x:v>Flow</x:v>
      </x:c>
    </x:row>
    <x:row r="992" ht="30" customHeight="1">
      <x:c r="A992" s="117" t="str">
        <x:v>300Ro00000tZphdIAC</x:v>
      </x:c>
      <x:c r="B992" s="117" t="str">
        <x:v>DRP_Override_Project_Charge_Line_Item_Revenue</x:v>
      </x:c>
      <x:c r="C992" s="117" t="str">
        <x:v>Yes</x:v>
      </x:c>
      <x:c r="D992" s="119" t="str">
        <x:v>Active v1 (Retrieved XML)</x:v>
      </x:c>
      <x:c r="E992" s="117" t="str">
        <x:v>Project_Charge_Line_Item__c</x:v>
      </x:c>
      <x:c r="F992" s="119" t="str">
        <x:v>Read, Reference, Update</x:v>
      </x:c>
      <x:c r="G992" s="117" t="str">
        <x:v>No</x:v>
      </x:c>
      <x:c r="H992" s="117" t="str">
        <x:v>Flow</x:v>
      </x:c>
    </x:row>
    <x:row r="993" ht="30" customHeight="1">
      <x:c r="A993" s="117" t="str">
        <x:v>300Ro00000tZpheIAC</x:v>
      </x:c>
      <x:c r="B993" s="117" t="str">
        <x:v>DRP_Update_Project_Charge_Line_Item_Values</x:v>
      </x:c>
      <x:c r="C993" s="117" t="str">
        <x:v>Yes</x:v>
      </x:c>
      <x:c r="D993" s="119" t="str">
        <x:v>Active v1 (Retrieved XML)</x:v>
      </x:c>
      <x:c r="E993" s="117" t="str">
        <x:v>Project_Charge_Line_Item__c</x:v>
      </x:c>
      <x:c r="F993" s="119" t="str">
        <x:v>Reference, Trigger</x:v>
      </x:c>
      <x:c r="G993" s="117" t="str">
        <x:v>Yes</x:v>
      </x:c>
      <x:c r="H993" s="117" t="str">
        <x:v>AutoLaunchedFlow</x:v>
      </x:c>
    </x:row>
    <x:row r="994" ht="30" customHeight="1">
      <x:c r="A994" s="117" t="str">
        <x:v>300Ro00000tZphgIAC</x:v>
      </x:c>
      <x:c r="B994" s="117" t="str">
        <x:v>Disaster_Recovery_Project_Raise_Invoice_from_Charges</x:v>
      </x:c>
      <x:c r="C994" s="117" t="str">
        <x:v>Yes</x:v>
      </x:c>
      <x:c r="D994" s="119" t="str">
        <x:v>Active v7 (Retrieved XML)</x:v>
      </x:c>
      <x:c r="E994" s="117" t="str">
        <x:v>Project_Charge__c</x:v>
      </x:c>
      <x:c r="F994" s="119" t="str">
        <x:v>Read, Reference, Variable</x:v>
      </x:c>
      <x:c r="G994" s="117" t="str">
        <x:v>No</x:v>
      </x:c>
      <x:c r="H994" s="117" t="str">
        <x:v>Flow</x:v>
      </x:c>
    </x:row>
    <x:row r="995" ht="30" customHeight="1">
      <x:c r="A995" s="117" t="str">
        <x:v>300Ro000013yaGHIAY</x:v>
      </x:c>
      <x:c r="B995" s="117" t="str">
        <x:v>DRP_Aggregate_Project_Charge_Totals</x:v>
      </x:c>
      <x:c r="C995" s="117" t="str">
        <x:v>Yes</x:v>
      </x:c>
      <x:c r="D995" s="119" t="str">
        <x:v>Active v2 (Retrieved XML)</x:v>
      </x:c>
      <x:c r="E995" s="117" t="str">
        <x:v>Project_Charge__c</x:v>
      </x:c>
      <x:c r="F995" s="119" t="str">
        <x:v>Variable</x:v>
      </x:c>
      <x:c r="G995" s="117" t="str">
        <x:v>No</x:v>
      </x:c>
      <x:c r="H995" s="117" t="str">
        <x:v>AutoLaunchedFlow</x:v>
      </x:c>
    </x:row>
    <x:row r="996" ht="30" customHeight="1">
      <x:c r="A996" s="117" t="str">
        <x:v>300Ro000013yjzLIAQ</x:v>
      </x:c>
      <x:c r="B996" s="117" t="str">
        <x:v>DRP_Create_Opportunity_and_Invoice_Records</x:v>
      </x:c>
      <x:c r="C996" s="117" t="str">
        <x:v>No</x:v>
      </x:c>
      <x:c r="D996" s="119" t="str">
        <x:v>Latest inactive v1 (Retrieved XML)</x:v>
      </x:c>
      <x:c r="E996" s="117" t="str">
        <x:v>Project_Charge__c</x:v>
      </x:c>
      <x:c r="F996" s="119" t="str">
        <x:v>Variable</x:v>
      </x:c>
      <x:c r="G996" s="117" t="str">
        <x:v>No</x:v>
      </x:c>
      <x:c r="H996" s="117" t="str">
        <x:v>AutoLaunchedFlow</x:v>
      </x:c>
    </x:row>
    <x:row r="997" ht="30" customHeight="1">
      <x:c r="A997" s="117" t="str">
        <x:v>300Ro00000tZphfIAC</x:v>
      </x:c>
      <x:c r="B997" s="117" t="str">
        <x:v>DRP_Create_Project_Charge_Line_Item</x:v>
      </x:c>
      <x:c r="C997" s="117" t="str">
        <x:v>Yes</x:v>
      </x:c>
      <x:c r="D997" s="119" t="str">
        <x:v>Active v3 (Retrieved XML)</x:v>
      </x:c>
      <x:c r="E997" s="117" t="str">
        <x:v>Project_Charge__c</x:v>
      </x:c>
      <x:c r="F997" s="119" t="str">
        <x:v>Read, Reference</x:v>
      </x:c>
      <x:c r="G997" s="117" t="str">
        <x:v>No</x:v>
      </x:c>
      <x:c r="H997" s="117" t="str">
        <x:v>Flow</x:v>
      </x:c>
    </x:row>
    <x:row r="998" ht="30" customHeight="1">
      <x:c r="A998" s="117" t="str">
        <x:v>300Ro0000149ADUIA2</x:v>
      </x:c>
      <x:c r="B998" s="117" t="str">
        <x:v>DRP_Submit_Project_Charges_for_Invoicing</x:v>
      </x:c>
      <x:c r="C998" s="117" t="str">
        <x:v>No</x:v>
      </x:c>
      <x:c r="D998" s="119" t="str">
        <x:v>Latest inactive v1 (Retrieved XML)</x:v>
      </x:c>
      <x:c r="E998" s="117" t="str">
        <x:v>Project_Charge__c</x:v>
      </x:c>
      <x:c r="F998" s="119" t="str">
        <x:v>Read, Reference, Variable</x:v>
      </x:c>
      <x:c r="G998" s="117" t="str">
        <x:v>No</x:v>
      </x:c>
      <x:c r="H998" s="117" t="str">
        <x:v>Flow</x:v>
      </x:c>
    </x:row>
    <x:row r="999" ht="30" customHeight="1">
      <x:c r="A999" s="117" t="str">
        <x:v>300Ro000007doaaIAA</x:v>
      </x:c>
      <x:c r="B999" s="117" t="str">
        <x:v>Project_Expenses_Rollups</x:v>
      </x:c>
      <x:c r="C999" s="117" t="str">
        <x:v>Yes</x:v>
      </x:c>
      <x:c r="D999" s="119" t="str">
        <x:v>Active v1 (Retrieved XML)</x:v>
      </x:c>
      <x:c r="E999" s="117" t="str">
        <x:v>Project_Expense__c</x:v>
      </x:c>
      <x:c r="F999" s="119" t="str">
        <x:v>Read, Reference, Trigger</x:v>
      </x:c>
      <x:c r="G999" s="117" t="str">
        <x:v>Yes</x:v>
      </x:c>
      <x:c r="H999" s="117" t="str">
        <x:v>AutoLaunchedFlow</x:v>
      </x:c>
    </x:row>
    <x:row r="1000" ht="30" customHeight="1">
      <x:c r="A1000" s="117" t="str">
        <x:v>3005b000000H4GSAA0</x:v>
      </x:c>
      <x:c r="B1000" s="117" t="str">
        <x:v>Create_Project_on_Big_Iron_Purchasing_Opportunity_Flow</x:v>
      </x:c>
      <x:c r="C1000" s="117" t="str">
        <x:v>Yes</x:v>
      </x:c>
      <x:c r="D1000" s="119" t="str">
        <x:v>Active v11 (Retrieved XML)</x:v>
      </x:c>
      <x:c r="E1000" s="117" t="str">
        <x:v>Project__c</x:v>
      </x:c>
      <x:c r="F1000" s="119" t="str">
        <x:v>Create, Read, Reference, Update</x:v>
      </x:c>
      <x:c r="G1000" s="117" t="str">
        <x:v>No</x:v>
      </x:c>
      <x:c r="H1000" s="117" t="str">
        <x:v>AutoLaunchedFlow</x:v>
      </x:c>
    </x:row>
    <x:row r="1001" ht="30" customHeight="1">
      <x:c r="A1001" s="117" t="str">
        <x:v>300Ro00000CWp8dIAD</x:v>
      </x:c>
      <x:c r="B1001" s="117" t="str">
        <x:v>Create_Project_on_Equipment_Storage_Opportunity_Creation</x:v>
      </x:c>
      <x:c r="C1001" s="117" t="str">
        <x:v>Yes</x:v>
      </x:c>
      <x:c r="D1001" s="119" t="str">
        <x:v>Active v1 (Retrieved XML)</x:v>
      </x:c>
      <x:c r="E1001" s="117" t="str">
        <x:v>Project__c</x:v>
      </x:c>
      <x:c r="F1001" s="119" t="str">
        <x:v>Create, Reference</x:v>
      </x:c>
      <x:c r="G1001" s="117" t="str">
        <x:v>No</x:v>
      </x:c>
      <x:c r="H1001" s="117" t="str">
        <x:v>AutoLaunchedFlow</x:v>
      </x:c>
    </x:row>
    <x:row r="1002" ht="30" customHeight="1">
      <x:c r="A1002" s="117" t="str">
        <x:v>300Ro00000xUsgvIAC</x:v>
      </x:c>
      <x:c r="B1002" s="117" t="str">
        <x:v>Opportunity_Asynchronous_on_create_Update_Total_Cost_of_Project_POs</x:v>
      </x:c>
      <x:c r="C1002" s="117" t="str">
        <x:v>Yes</x:v>
      </x:c>
      <x:c r="D1002" s="119" t="str">
        <x:v>Active v1 (Retrieved XML)</x:v>
      </x:c>
      <x:c r="E1002" s="117" t="str">
        <x:v>Project__c</x:v>
      </x:c>
      <x:c r="F1002" s="119" t="str">
        <x:v>Reference, Update</x:v>
      </x:c>
      <x:c r="G1002" s="117" t="str">
        <x:v>No</x:v>
      </x:c>
      <x:c r="H1002" s="117" t="str">
        <x:v>AutoLaunchedFlow</x:v>
      </x:c>
    </x:row>
    <x:row r="1003" ht="30" customHeight="1">
      <x:c r="A1003" s="117" t="str">
        <x:v>300Ro00000xUsgwIAC</x:v>
      </x:c>
      <x:c r="B1003" s="117" t="str">
        <x:v>Opportunity_Asynchronous_on_delete_Update_Total_Cost_of_Project_POs</x:v>
      </x:c>
      <x:c r="C1003" s="117" t="str">
        <x:v>Yes</x:v>
      </x:c>
      <x:c r="D1003" s="119" t="str">
        <x:v>Active v1 (Retrieved XML)</x:v>
      </x:c>
      <x:c r="E1003" s="117" t="str">
        <x:v>Project__c</x:v>
      </x:c>
      <x:c r="F1003" s="119" t="str">
        <x:v>Reference, Update</x:v>
      </x:c>
      <x:c r="G1003" s="117" t="str">
        <x:v>No</x:v>
      </x:c>
      <x:c r="H1003" s="117" t="str">
        <x:v>AutoLaunchedFlow</x:v>
      </x:c>
    </x:row>
    <x:row r="1004" ht="30" customHeight="1">
      <x:c r="A1004" s="117" t="str">
        <x:v>300Ro00000xUsgxIAC</x:v>
      </x:c>
      <x:c r="B1004" s="117" t="str">
        <x:v>Opportunity_Asynchronous_on_update_Update_Total_Cost_of_Project_POs</x:v>
      </x:c>
      <x:c r="C1004" s="117" t="str">
        <x:v>Yes</x:v>
      </x:c>
      <x:c r="D1004" s="119" t="str">
        <x:v>Active v1 (Retrieved XML)</x:v>
      </x:c>
      <x:c r="E1004" s="117" t="str">
        <x:v>Project__c</x:v>
      </x:c>
      <x:c r="F1004" s="119" t="str">
        <x:v>Reference, Update</x:v>
      </x:c>
      <x:c r="G1004" s="117" t="str">
        <x:v>No</x:v>
      </x:c>
      <x:c r="H1004" s="117" t="str">
        <x:v>AutoLaunchedFlow</x:v>
      </x:c>
    </x:row>
    <x:row r="1005" ht="30" customHeight="1">
      <x:c r="A1005" s="117" t="str">
        <x:v>300Ro000007doaYIAQ</x:v>
      </x:c>
      <x:c r="B1005" s="117" t="str">
        <x:v>Opportunity_Rollups</x:v>
      </x:c>
      <x:c r="C1005" s="117" t="str">
        <x:v>No</x:v>
      </x:c>
      <x:c r="D1005" s="119" t="str">
        <x:v>Latest inactive v1 (Retrieved XML)</x:v>
      </x:c>
      <x:c r="E1005" s="117" t="str">
        <x:v>Project__c</x:v>
      </x:c>
      <x:c r="F1005" s="119" t="str">
        <x:v>Variable</x:v>
      </x:c>
      <x:c r="G1005" s="117" t="str">
        <x:v>No</x:v>
      </x:c>
      <x:c r="H1005" s="117" t="str">
        <x:v>AutoLaunchedFlow</x:v>
      </x:c>
    </x:row>
    <x:row r="1006" ht="30" customHeight="1">
      <x:c r="A1006" s="117" t="str">
        <x:v>300Ro000007doaaIAA</x:v>
      </x:c>
      <x:c r="B1006" s="117" t="str">
        <x:v>Project_Expenses_Rollups</x:v>
      </x:c>
      <x:c r="C1006" s="117" t="str">
        <x:v>Yes</x:v>
      </x:c>
      <x:c r="D1006" s="119" t="str">
        <x:v>Active v1 (Retrieved XML)</x:v>
      </x:c>
      <x:c r="E1006" s="117" t="str">
        <x:v>Project__c</x:v>
      </x:c>
      <x:c r="F1006" s="119" t="str">
        <x:v>Variable</x:v>
      </x:c>
      <x:c r="G1006" s="117" t="str">
        <x:v>No</x:v>
      </x:c>
      <x:c r="H1006" s="117" t="str">
        <x:v>AutoLaunchedFlow</x:v>
      </x:c>
    </x:row>
    <x:row r="1007" ht="30" customHeight="1">
      <x:c r="A1007" s="117" t="str">
        <x:v>3005b000000LHepAAG</x:v>
      </x:c>
      <x:c r="B1007" s="117" t="str">
        <x:v>Project_Flow_to_Calculate_Removal_Shipping_Costs</x:v>
      </x:c>
      <x:c r="C1007" s="117" t="str">
        <x:v>No</x:v>
      </x:c>
      <x:c r="D1007" s="119" t="str">
        <x:v>Latest inactive v1 (Retrieved XML)</x:v>
      </x:c>
      <x:c r="E1007" s="117" t="str">
        <x:v>Project__c</x:v>
      </x:c>
      <x:c r="F1007" s="119" t="str">
        <x:v>Reference, Trigger, Update</x:v>
      </x:c>
      <x:c r="G1007" s="117" t="str">
        <x:v>Yes</x:v>
      </x:c>
      <x:c r="H1007" s="117" t="str">
        <x:v>AutoLaunchedFlow</x:v>
      </x:c>
    </x:row>
    <x:row r="1008" ht="30" customHeight="1">
      <x:c r="A1008" s="117" t="str">
        <x:v>300Ro00000MYUvDIAX</x:v>
      </x:c>
      <x:c r="B1008" s="117" t="str">
        <x:v>Prevent_Deletion_Purchasing_Return</x:v>
      </x:c>
      <x:c r="C1008" s="117" t="str">
        <x:v>No</x:v>
      </x:c>
      <x:c r="D1008" s="119" t="str">
        <x:v>Latest inactive v1 (Retrieved XML)</x:v>
      </x:c>
      <x:c r="E1008" s="117" t="str">
        <x:v>Purchasing_Return__c</x:v>
      </x:c>
      <x:c r="F1008" s="119" t="str">
        <x:v>Reference, Trigger</x:v>
      </x:c>
      <x:c r="G1008" s="117" t="str">
        <x:v>Yes</x:v>
      </x:c>
      <x:c r="H1008" s="117" t="str">
        <x:v>AutoLaunchedFlow</x:v>
      </x:c>
    </x:row>
    <x:row r="1009" ht="30" customHeight="1">
      <x:c r="A1009" s="117" t="str">
        <x:v>3004O000000LOr9QAG</x:v>
      </x:c>
      <x:c r="B1009" s="117" t="str">
        <x:v>Purchasing_Return_Update_Fields</x:v>
      </x:c>
      <x:c r="C1009" s="117" t="str">
        <x:v>No</x:v>
      </x:c>
      <x:c r="D1009" s="119" t="str">
        <x:v>Latest inactive v2 (Retrieved XML)</x:v>
      </x:c>
      <x:c r="E1009" s="117" t="str">
        <x:v>Purchasing_Return__c</x:v>
      </x:c>
      <x:c r="F1009" s="119" t="str">
        <x:v>Reference, Update, Variable</x:v>
      </x:c>
      <x:c r="G1009" s="117" t="str">
        <x:v>No</x:v>
      </x:c>
      <x:c r="H1009" s="117" t="str">
        <x:v>Workflow</x:v>
      </x:c>
    </x:row>
    <x:row r="1010" ht="30" customHeight="1">
      <x:c r="A1010" s="117" t="str">
        <x:v>300Ro00000LtJsOIAV</x:v>
      </x:c>
      <x:c r="B1010" s="117" t="str">
        <x:v>Record_Triggered_After_Purchasing_Return</x:v>
      </x:c>
      <x:c r="C1010" s="117" t="str">
        <x:v>Yes</x:v>
      </x:c>
      <x:c r="D1010" s="119" t="str">
        <x:v>Active v9 (Retrieved XML)</x:v>
      </x:c>
      <x:c r="E1010" s="117" t="str">
        <x:v>Purchasing_Return__c</x:v>
      </x:c>
      <x:c r="F1010" s="119" t="str">
        <x:v>Reference, Trigger, Update</x:v>
      </x:c>
      <x:c r="G1010" s="117" t="str">
        <x:v>Yes</x:v>
      </x:c>
      <x:c r="H1010" s="117" t="str">
        <x:v>AutoLaunchedFlow</x:v>
      </x:c>
    </x:row>
    <x:row r="1011" ht="30" customHeight="1">
      <x:c r="A1011" s="117" t="str">
        <x:v>3004O000000LOrAQAW</x:v>
      </x:c>
      <x:c r="B1011" s="117" t="str">
        <x:v>Return_to_Vendor_Create_DB</x:v>
      </x:c>
      <x:c r="C1011" s="117" t="str">
        <x:v>Yes</x:v>
      </x:c>
      <x:c r="D1011" s="119" t="str">
        <x:v>Active v6 (Retrieved XML)</x:v>
      </x:c>
      <x:c r="E1011" s="117" t="str">
        <x:v>Purchasing_Return__c</x:v>
      </x:c>
      <x:c r="F1011" s="119" t="str">
        <x:v>Read, Reference</x:v>
      </x:c>
      <x:c r="G1011" s="117" t="str">
        <x:v>No</x:v>
      </x:c>
      <x:c r="H1011" s="117" t="str">
        <x:v>AutoLaunchedFlow</x:v>
      </x:c>
    </x:row>
    <x:row r="1012" ht="30" customHeight="1">
      <x:c r="A1012" s="117" t="str">
        <x:v>300Ro00000LtJsPIAV</x:v>
      </x:c>
      <x:c r="B1012" s="117" t="str">
        <x:v>Screen_Flow_Add_Purchasing_Return</x:v>
      </x:c>
      <x:c r="C1012" s="117" t="str">
        <x:v>Yes</x:v>
      </x:c>
      <x:c r="D1012" s="119" t="str">
        <x:v>Active v19 (Tooling metadata)</x:v>
      </x:c>
      <x:c r="E1012" s="117" t="str">
        <x:v>Purchasing_Return__c</x:v>
      </x:c>
      <x:c r="F1012" s="119" t="str">
        <x:v>Read, Reference, Variable</x:v>
      </x:c>
      <x:c r="G1012" s="117" t="str">
        <x:v>No</x:v>
      </x:c>
      <x:c r="H1012" s="117" t="str">
        <x:v>Flow</x:v>
      </x:c>
    </x:row>
    <x:row r="1013" ht="30" customHeight="1">
      <x:c r="A1013" s="117" t="str">
        <x:v>3004O000000LOs5QAG</x:v>
      </x:c>
      <x:c r="B1013" s="117" t="str">
        <x:v>AvaTax_Quote_Automatic_Tax_Calculation</x:v>
      </x:c>
      <x:c r="C1013" s="117" t="str">
        <x:v>No</x:v>
      </x:c>
      <x:c r="D1013" s="119" t="str">
        <x:v>Latest inactive v5 (Tooling metadata)</x:v>
      </x:c>
      <x:c r="E1013" s="117" t="str">
        <x:v>Quote</x:v>
      </x:c>
      <x:c r="F1013" s="119" t="str">
        <x:v>Reference, Update, Variable</x:v>
      </x:c>
      <x:c r="G1013" s="117" t="str">
        <x:v>No</x:v>
      </x:c>
      <x:c r="H1013" s="117" t="str">
        <x:v>Workflow</x:v>
      </x:c>
    </x:row>
    <x:row r="1014" ht="30" customHeight="1">
      <x:c r="A1014" s="117" t="str">
        <x:v>300Ro000007Dq0CIAS</x:v>
      </x:c>
      <x:c r="B1014" s="117" t="str">
        <x:v>AvaTax_Quote_Automatic_Tax_Calculation_Flow</x:v>
      </x:c>
      <x:c r="C1014" s="117" t="str">
        <x:v>Yes</x:v>
      </x:c>
      <x:c r="D1014" s="119" t="str">
        <x:v>Active v6 (Tooling metadata)</x:v>
      </x:c>
      <x:c r="E1014" s="117" t="str">
        <x:v>Quote</x:v>
      </x:c>
      <x:c r="F1014" s="119" t="str">
        <x:v>Reference, Trigger, Update</x:v>
      </x:c>
      <x:c r="G1014" s="117" t="str">
        <x:v>Yes</x:v>
      </x:c>
      <x:c r="H1014" s="117" t="str">
        <x:v>AutoLaunchedFlow</x:v>
      </x:c>
    </x:row>
    <x:row r="1015" ht="30" customHeight="1">
      <x:c r="A1015" s="117" t="str">
        <x:v>3004O000000LOs6QAG</x:v>
      </x:c>
      <x:c r="B1015" s="117" t="str">
        <x:v>AvaTax_Quote_Existing_Update_Entity_Code_IOR</x:v>
      </x:c>
      <x:c r="C1015" s="117" t="str">
        <x:v>No</x:v>
      </x:c>
      <x:c r="D1015" s="119" t="str">
        <x:v>Latest inactive v4 (Tooling metadata)</x:v>
      </x:c>
      <x:c r="E1015" s="117" t="str">
        <x:v>Quote</x:v>
      </x:c>
      <x:c r="F1015" s="119" t="str">
        <x:v>Reference, Update, Variable</x:v>
      </x:c>
      <x:c r="G1015" s="117" t="str">
        <x:v>No</x:v>
      </x:c>
      <x:c r="H1015" s="117" t="str">
        <x:v>Workflow</x:v>
      </x:c>
    </x:row>
    <x:row r="1016" ht="30" customHeight="1">
      <x:c r="A1016" s="117" t="str">
        <x:v>300Ro000007Dq06IAC</x:v>
      </x:c>
      <x:c r="B1016" s="117" t="str">
        <x:v>AvaTax_Quote_Existing_Update_Entity_Code_IOR_Transport</x:v>
      </x:c>
      <x:c r="C1016" s="117" t="str">
        <x:v>Yes</x:v>
      </x:c>
      <x:c r="D1016" s="119" t="str">
        <x:v>Active v1 (Tooling metadata)</x:v>
      </x:c>
      <x:c r="E1016" s="117" t="str">
        <x:v>Quote</x:v>
      </x:c>
      <x:c r="F1016" s="119" t="str">
        <x:v>Reference, Trigger, Update</x:v>
      </x:c>
      <x:c r="G1016" s="117" t="str">
        <x:v>Yes</x:v>
      </x:c>
      <x:c r="H1016" s="117" t="str">
        <x:v>AutoLaunchedFlow</x:v>
      </x:c>
    </x:row>
    <x:row r="1017" ht="30" customHeight="1">
      <x:c r="A1017" s="117" t="str">
        <x:v>3004O000000LOs7QAG</x:v>
      </x:c>
      <x:c r="B1017" s="117" t="str">
        <x:v>AvaTax_Quote_New_Update_Entity_Code_IOR</x:v>
      </x:c>
      <x:c r="C1017" s="117" t="str">
        <x:v>No</x:v>
      </x:c>
      <x:c r="D1017" s="119" t="str">
        <x:v>Latest inactive v3 (Tooling metadata)</x:v>
      </x:c>
      <x:c r="E1017" s="117" t="str">
        <x:v>Quote</x:v>
      </x:c>
      <x:c r="F1017" s="119" t="str">
        <x:v>Reference, Update, Variable</x:v>
      </x:c>
      <x:c r="G1017" s="117" t="str">
        <x:v>No</x:v>
      </x:c>
      <x:c r="H1017" s="117" t="str">
        <x:v>Workflow</x:v>
      </x:c>
    </x:row>
    <x:row r="1018" ht="30" customHeight="1">
      <x:c r="A1018" s="117" t="str">
        <x:v>300Ro000007Dq07IAC</x:v>
      </x:c>
      <x:c r="B1018" s="117" t="str">
        <x:v>AvaTax_Quote_New_Update_Entity_Code_IOR_Transport_Flow</x:v>
      </x:c>
      <x:c r="C1018" s="117" t="str">
        <x:v>Yes</x:v>
      </x:c>
      <x:c r="D1018" s="119" t="str">
        <x:v>Active v3 (Tooling metadata)</x:v>
      </x:c>
      <x:c r="E1018" s="117" t="str">
        <x:v>Quote</x:v>
      </x:c>
      <x:c r="F1018" s="119" t="str">
        <x:v>Reference, Trigger, Update</x:v>
      </x:c>
      <x:c r="G1018" s="117" t="str">
        <x:v>Yes</x:v>
      </x:c>
      <x:c r="H1018" s="117" t="str">
        <x:v>AutoLaunchedFlow</x:v>
      </x:c>
    </x:row>
    <x:row r="1019" ht="30" customHeight="1">
      <x:c r="A1019" s="117" t="str">
        <x:v>3004O000000LOs8QAG</x:v>
      </x:c>
      <x:c r="B1019" s="117" t="str">
        <x:v>AvaTax_Quote_Update_AvaTax_Message</x:v>
      </x:c>
      <x:c r="C1019" s="117" t="str">
        <x:v>No</x:v>
      </x:c>
      <x:c r="D1019" s="119" t="str">
        <x:v>Latest inactive v4 (Tooling metadata)</x:v>
      </x:c>
      <x:c r="E1019" s="117" t="str">
        <x:v>Quote</x:v>
      </x:c>
      <x:c r="F1019" s="119" t="str">
        <x:v>Reference, Update, Variable</x:v>
      </x:c>
      <x:c r="G1019" s="117" t="str">
        <x:v>No</x:v>
      </x:c>
      <x:c r="H1019" s="117" t="str">
        <x:v>Workflow</x:v>
      </x:c>
    </x:row>
    <x:row r="1020" ht="30" customHeight="1">
      <x:c r="A1020" s="117" t="str">
        <x:v>300Ro000007Dq08IAC</x:v>
      </x:c>
      <x:c r="B1020" s="117" t="str">
        <x:v>AvaTax_Quote_Update_AvaTax_Message_Flow</x:v>
      </x:c>
      <x:c r="C1020" s="117" t="str">
        <x:v>Yes</x:v>
      </x:c>
      <x:c r="D1020" s="119" t="str">
        <x:v>Active v1 (Tooling metadata)</x:v>
      </x:c>
      <x:c r="E1020" s="117" t="str">
        <x:v>Quote</x:v>
      </x:c>
      <x:c r="F1020" s="119" t="str">
        <x:v>Reference, Trigger, Update</x:v>
      </x:c>
      <x:c r="G1020" s="117" t="str">
        <x:v>Yes</x:v>
      </x:c>
      <x:c r="H1020" s="117" t="str">
        <x:v>AutoLaunchedFlow</x:v>
      </x:c>
    </x:row>
    <x:row r="1021" ht="30" customHeight="1">
      <x:c r="A1021" s="117" t="str">
        <x:v>3004O000000LOs9QAG</x:v>
      </x:c>
      <x:c r="B1021" s="117" t="str">
        <x:v>AvaTax_Quote_Update_Origin_Address</x:v>
      </x:c>
      <x:c r="C1021" s="117" t="str">
        <x:v>No</x:v>
      </x:c>
      <x:c r="D1021" s="119" t="str">
        <x:v>Latest inactive v2 (Tooling metadata)</x:v>
      </x:c>
      <x:c r="E1021" s="117" t="str">
        <x:v>Quote</x:v>
      </x:c>
      <x:c r="F1021" s="119" t="str">
        <x:v>Reference, Update, Variable</x:v>
      </x:c>
      <x:c r="G1021" s="117" t="str">
        <x:v>No</x:v>
      </x:c>
      <x:c r="H1021" s="117" t="str">
        <x:v>Workflow</x:v>
      </x:c>
    </x:row>
    <x:row r="1022" ht="30" customHeight="1">
      <x:c r="A1022" s="117" t="str">
        <x:v>300Ro000007Dq09IAC</x:v>
      </x:c>
      <x:c r="B1022" s="117" t="str">
        <x:v>AvaTax_Quote_Update_Origin_Address_Flow</x:v>
      </x:c>
      <x:c r="C1022" s="117" t="str">
        <x:v>Yes</x:v>
      </x:c>
      <x:c r="D1022" s="119" t="str">
        <x:v>Active v2 (Tooling metadata)</x:v>
      </x:c>
      <x:c r="E1022" s="117" t="str">
        <x:v>Quote</x:v>
      </x:c>
      <x:c r="F1022" s="119" t="str">
        <x:v>Reference, Trigger, Update</x:v>
      </x:c>
      <x:c r="G1022" s="117" t="str">
        <x:v>Yes</x:v>
      </x:c>
      <x:c r="H1022" s="117" t="str">
        <x:v>AutoLaunchedFlow</x:v>
      </x:c>
    </x:row>
    <x:row r="1023" ht="30" customHeight="1">
      <x:c r="A1023" s="117" t="str">
        <x:v>300Ro000007Dq0CIAS</x:v>
      </x:c>
      <x:c r="B1023" s="117" t="str">
        <x:v>AvaTax_Quote_Automatic_Tax_Calculation_Flow</x:v>
      </x:c>
      <x:c r="C1023" s="117" t="str">
        <x:v>Yes</x:v>
      </x:c>
      <x:c r="D1023" s="119" t="str">
        <x:v>Active v6 (Tooling metadata)</x:v>
      </x:c>
      <x:c r="E1023" s="117" t="str">
        <x:v>QuoteLineItem</x:v>
      </x:c>
      <x:c r="F1023" s="119" t="str">
        <x:v>Read, Reference</x:v>
      </x:c>
      <x:c r="G1023" s="117" t="str">
        <x:v>No</x:v>
      </x:c>
      <x:c r="H1023" s="117" t="str">
        <x:v>AutoLaunchedFlow</x:v>
      </x:c>
    </x:row>
    <x:row r="1024" ht="30" customHeight="1">
      <x:c r="A1024" s="117" t="str">
        <x:v>300Ro00000B1rQaIAJ</x:v>
      </x:c>
      <x:c r="B1024" s="117" t="str">
        <x:v>Absorb_External_Repair_Screen_Flow</x:v>
      </x:c>
      <x:c r="C1024" s="117" t="str">
        <x:v>Yes</x:v>
      </x:c>
      <x:c r="D1024" s="119" t="str">
        <x:v>Active v11 (Retrieved XML)</x:v>
      </x:c>
      <x:c r="E1024" s="117" t="str">
        <x:v>RMA__c</x:v>
      </x:c>
      <x:c r="F1024" s="119" t="str">
        <x:v>Read, Reference</x:v>
      </x:c>
      <x:c r="G1024" s="117" t="str">
        <x:v>No</x:v>
      </x:c>
      <x:c r="H1024" s="117" t="str">
        <x:v>Flow</x:v>
      </x:c>
    </x:row>
    <x:row r="1025" ht="30" customHeight="1">
      <x:c r="A1025" s="117" t="str">
        <x:v>300Ro00000AQyqpIAD</x:v>
      </x:c>
      <x:c r="B1025" s="117" t="str">
        <x:v>Approved_Repair_Update_Opportunity_Stage</x:v>
      </x:c>
      <x:c r="C1025" s="117" t="str">
        <x:v>No</x:v>
      </x:c>
      <x:c r="D1025" s="119" t="str">
        <x:v>Latest inactive v2 (Retrieved XML)</x:v>
      </x:c>
      <x:c r="E1025" s="117" t="str">
        <x:v>RMA__c</x:v>
      </x:c>
      <x:c r="F1025" s="119" t="str">
        <x:v>Reference, Trigger</x:v>
      </x:c>
      <x:c r="G1025" s="117" t="str">
        <x:v>Yes</x:v>
      </x:c>
      <x:c r="H1025" s="117" t="str">
        <x:v>AutoLaunchedFlow</x:v>
      </x:c>
    </x:row>
    <x:row r="1026" ht="30" customHeight="1">
      <x:c r="A1026" s="117" t="str">
        <x:v>300Ro00000UU24mIAD</x:v>
      </x:c>
      <x:c r="B1026" s="117" t="str">
        <x:v>Auto_Create_Post_Repair_Eval_on_Opp</x:v>
      </x:c>
      <x:c r="C1026" s="117" t="str">
        <x:v>Yes</x:v>
      </x:c>
      <x:c r="D1026" s="119" t="str">
        <x:v>Active v1 (Retrieved XML)</x:v>
      </x:c>
      <x:c r="E1026" s="117" t="str">
        <x:v>RMA__c</x:v>
      </x:c>
      <x:c r="F1026" s="119" t="str">
        <x:v>Read, Reference</x:v>
      </x:c>
      <x:c r="G1026" s="117" t="str">
        <x:v>No</x:v>
      </x:c>
      <x:c r="H1026" s="117" t="str">
        <x:v>AutoLaunchedFlow</x:v>
      </x:c>
    </x:row>
    <x:row r="1027" ht="30" customHeight="1">
      <x:c r="A1027" s="117" t="str">
        <x:v>300Ro00000REVFiIAP</x:v>
      </x:c>
      <x:c r="B1027" s="117" t="str">
        <x:v>Auto_Create_RMAs_from_Service_Appointments_for_UK</x:v>
      </x:c>
      <x:c r="C1027" s="117" t="str">
        <x:v>Yes</x:v>
      </x:c>
      <x:c r="D1027" s="119" t="str">
        <x:v>Active v7 (Retrieved XML)</x:v>
      </x:c>
      <x:c r="E1027" s="117" t="str">
        <x:v>RMA__c</x:v>
      </x:c>
      <x:c r="F1027" s="119" t="str">
        <x:v>Create, Reference</x:v>
      </x:c>
      <x:c r="G1027" s="117" t="str">
        <x:v>No</x:v>
      </x:c>
      <x:c r="H1027" s="117" t="str">
        <x:v>AutoLaunchedFlow</x:v>
      </x:c>
    </x:row>
    <x:row r="1028" ht="30" customHeight="1">
      <x:c r="A1028" s="117" t="str">
        <x:v>3005b000000LGuSAAW</x:v>
      </x:c>
      <x:c r="B1028" s="117" t="str">
        <x:v>Auto_Create_RMAs_from_Work_Orders_for_UK</x:v>
      </x:c>
      <x:c r="C1028" s="117" t="str">
        <x:v>Yes</x:v>
      </x:c>
      <x:c r="D1028" s="119" t="str">
        <x:v>Active v11 (Retrieved XML)</x:v>
      </x:c>
      <x:c r="E1028" s="117" t="str">
        <x:v>RMA__c</x:v>
      </x:c>
      <x:c r="F1028" s="119" t="str">
        <x:v>Create, Reference</x:v>
      </x:c>
      <x:c r="G1028" s="117" t="str">
        <x:v>No</x:v>
      </x:c>
      <x:c r="H1028" s="117" t="str">
        <x:v>AutoLaunchedFlow</x:v>
      </x:c>
    </x:row>
    <x:row r="1029" ht="30" customHeight="1">
      <x:c r="A1029" s="117" t="str">
        <x:v>3005b000000H3sLAAS</x:v>
      </x:c>
      <x:c r="B1029" s="117" t="str">
        <x:v>Case_Online_Repair_Evaluation_Tool</x:v>
      </x:c>
      <x:c r="C1029" s="117" t="str">
        <x:v>Yes</x:v>
      </x:c>
      <x:c r="D1029" s="119" t="str">
        <x:v>Active v13 (Retrieved XML)</x:v>
      </x:c>
      <x:c r="E1029" s="117" t="str">
        <x:v>RMA__c</x:v>
      </x:c>
      <x:c r="F1029" s="119" t="str">
        <x:v>Reference, Update</x:v>
      </x:c>
      <x:c r="G1029" s="117" t="str">
        <x:v>No</x:v>
      </x:c>
      <x:c r="H1029" s="117" t="str">
        <x:v>AutoLaunchedFlow</x:v>
      </x:c>
    </x:row>
    <x:row r="1030" ht="30" customHeight="1">
      <x:c r="A1030" s="117" t="str">
        <x:v>3005b000000Pzl1AAC</x:v>
      </x:c>
      <x:c r="B1030" s="117" t="str">
        <x:v>Coil_RMA_Update_Last_Test_Completed_Date_Flow</x:v>
      </x:c>
      <x:c r="C1030" s="117" t="str">
        <x:v>Yes</x:v>
      </x:c>
      <x:c r="D1030" s="119" t="str">
        <x:v>Active v2 (Retrieved XML)</x:v>
      </x:c>
      <x:c r="E1030" s="117" t="str">
        <x:v>RMA__c</x:v>
      </x:c>
      <x:c r="F1030" s="119" t="str">
        <x:v>Read, Reference, Update</x:v>
      </x:c>
      <x:c r="G1030" s="117" t="str">
        <x:v>No</x:v>
      </x:c>
      <x:c r="H1030" s="117" t="str">
        <x:v>AutoLaunchedFlow</x:v>
      </x:c>
    </x:row>
    <x:row r="1031" ht="30" customHeight="1">
      <x:c r="A1031" s="117" t="str">
        <x:v>300Ro00000F0LbkIAF</x:v>
      </x:c>
      <x:c r="B1031" s="117" t="str">
        <x:v>Cold_Storage_Rig_Out_Screen_Flow</x:v>
      </x:c>
      <x:c r="C1031" s="117" t="str">
        <x:v>Yes</x:v>
      </x:c>
      <x:c r="D1031" s="119" t="str">
        <x:v>Active v9 (Retrieved XML)</x:v>
      </x:c>
      <x:c r="E1031" s="117" t="str">
        <x:v>RMA__c</x:v>
      </x:c>
      <x:c r="F1031" s="119" t="str">
        <x:v>Reference, Update</x:v>
      </x:c>
      <x:c r="G1031" s="117" t="str">
        <x:v>No</x:v>
      </x:c>
      <x:c r="H1031" s="117" t="str">
        <x:v>Flow</x:v>
      </x:c>
    </x:row>
    <x:row r="1032" ht="30" customHeight="1">
      <x:c r="A1032" s="117" t="str">
        <x:v>3005b000000LJjmAAG</x:v>
      </x:c>
      <x:c r="B1032" s="117" t="str">
        <x:v>Create_Core_Charge_Opportunity_from_RMA_Screen_Flow</x:v>
      </x:c>
      <x:c r="C1032" s="117" t="str">
        <x:v>Yes</x:v>
      </x:c>
      <x:c r="D1032" s="119" t="str">
        <x:v>Active v4 (Retrieved XML)</x:v>
      </x:c>
      <x:c r="E1032" s="117" t="str">
        <x:v>RMA__c</x:v>
      </x:c>
      <x:c r="F1032" s="119" t="str">
        <x:v>Read, Reference, Update</x:v>
      </x:c>
      <x:c r="G1032" s="117" t="str">
        <x:v>No</x:v>
      </x:c>
      <x:c r="H1032" s="117" t="str">
        <x:v>Flow</x:v>
      </x:c>
    </x:row>
    <x:row r="1033" ht="30" customHeight="1">
      <x:c r="A1033" s="117" t="str">
        <x:v>3005b000000H2SbAAK</x:v>
      </x:c>
      <x:c r="B1033" s="117" t="str">
        <x:v>Create_core_exchange_RMAs_from_Service_Fusion</x:v>
      </x:c>
      <x:c r="C1033" s="117" t="str">
        <x:v>Yes</x:v>
      </x:c>
      <x:c r="D1033" s="119" t="str">
        <x:v>Active v3 (Retrieved XML)</x:v>
      </x:c>
      <x:c r="E1033" s="117" t="str">
        <x:v>RMA__c</x:v>
      </x:c>
      <x:c r="F1033" s="119" t="str">
        <x:v>Variable</x:v>
      </x:c>
      <x:c r="G1033" s="117" t="str">
        <x:v>No</x:v>
      </x:c>
      <x:c r="H1033" s="117" t="str">
        <x:v>AutoLaunchedFlow</x:v>
      </x:c>
    </x:row>
    <x:row r="1034" ht="30" customHeight="1">
      <x:c r="A1034" s="117" t="str">
        <x:v>300Ro00000BmFOEIA3</x:v>
      </x:c>
      <x:c r="B1034" s="117" t="str">
        <x:v>Create_Repair_Opportunity_from_Service_Contract_Flow</x:v>
      </x:c>
      <x:c r="C1034" s="117" t="str">
        <x:v>Yes</x:v>
      </x:c>
      <x:c r="D1034" s="119" t="str">
        <x:v>Active v10 (Retrieved XML)</x:v>
      </x:c>
      <x:c r="E1034" s="117" t="str">
        <x:v>RMA__c</x:v>
      </x:c>
      <x:c r="F1034" s="119" t="str">
        <x:v>Read, Reference, Update</x:v>
      </x:c>
      <x:c r="G1034" s="117" t="str">
        <x:v>No</x:v>
      </x:c>
      <x:c r="H1034" s="117" t="str">
        <x:v>Flow</x:v>
      </x:c>
    </x:row>
    <x:row r="1035" ht="30" customHeight="1">
      <x:c r="A1035" s="117" t="str">
        <x:v>300Ro00000LVet7IAD</x:v>
      </x:c>
      <x:c r="B1035" s="117" t="str">
        <x:v>Create_Restock_Fee_Opportunity_Screen_Flow</x:v>
      </x:c>
      <x:c r="C1035" s="117" t="str">
        <x:v>Yes</x:v>
      </x:c>
      <x:c r="D1035" s="119" t="str">
        <x:v>Active v2 (Retrieved XML)</x:v>
      </x:c>
      <x:c r="E1035" s="117" t="str">
        <x:v>RMA__c</x:v>
      </x:c>
      <x:c r="F1035" s="119" t="str">
        <x:v>Read, Reference, Update</x:v>
      </x:c>
      <x:c r="G1035" s="117" t="str">
        <x:v>No</x:v>
      </x:c>
      <x:c r="H1035" s="117" t="str">
        <x:v>Flow</x:v>
      </x:c>
    </x:row>
    <x:row r="1036" ht="30" customHeight="1">
      <x:c r="A1036" s="117" t="str">
        <x:v>3005b000000H1muAAC</x:v>
      </x:c>
      <x:c r="B1036" s="117" t="str">
        <x:v>Create_RMA_From_Customer_Portal</x:v>
      </x:c>
      <x:c r="C1036" s="117" t="str">
        <x:v>No</x:v>
      </x:c>
      <x:c r="D1036" s="119" t="str">
        <x:v>Latest inactive v1 (Retrieved XML)</x:v>
      </x:c>
      <x:c r="E1036" s="117" t="str">
        <x:v>RMA__c</x:v>
      </x:c>
      <x:c r="F1036" s="119" t="str">
        <x:v>Create, Reference</x:v>
      </x:c>
      <x:c r="G1036" s="117" t="str">
        <x:v>No</x:v>
      </x:c>
      <x:c r="H1036" s="117" t="str">
        <x:v>Flow</x:v>
      </x:c>
    </x:row>
    <x:row r="1037" ht="30" customHeight="1">
      <x:c r="A1037" s="117" t="str">
        <x:v>3005b000000H3uHAAS</x:v>
      </x:c>
      <x:c r="B1037" s="117" t="str">
        <x:v>Create_RMA_from_Work_Order</x:v>
      </x:c>
      <x:c r="C1037" s="117" t="str">
        <x:v>Yes</x:v>
      </x:c>
      <x:c r="D1037" s="119" t="str">
        <x:v>Active v24 (Tooling metadata)</x:v>
      </x:c>
      <x:c r="E1037" s="117" t="str">
        <x:v>RMA__c</x:v>
      </x:c>
      <x:c r="F1037" s="119" t="str">
        <x:v>Create, Reference, Update</x:v>
      </x:c>
      <x:c r="G1037" s="117" t="str">
        <x:v>No</x:v>
      </x:c>
      <x:c r="H1037" s="117" t="str">
        <x:v>Flow</x:v>
      </x:c>
    </x:row>
    <x:row r="1038" ht="30" customHeight="1">
      <x:c r="A1038" s="117" t="str">
        <x:v>3005b000000H3rmAAC</x:v>
      </x:c>
      <x:c r="B1038" s="117" t="str">
        <x:v>Create_shipment_from_customer_portal</x:v>
      </x:c>
      <x:c r="C1038" s="117" t="str">
        <x:v>Yes</x:v>
      </x:c>
      <x:c r="D1038" s="119" t="str">
        <x:v>Active v19 (Retrieved XML)</x:v>
      </x:c>
      <x:c r="E1038" s="117" t="str">
        <x:v>RMA__c</x:v>
      </x:c>
      <x:c r="F1038" s="119" t="str">
        <x:v>Reference, Trigger</x:v>
      </x:c>
      <x:c r="G1038" s="117" t="str">
        <x:v>Yes</x:v>
      </x:c>
      <x:c r="H1038" s="117" t="str">
        <x:v>AutoLaunchedFlow</x:v>
      </x:c>
    </x:row>
    <x:row r="1039" ht="30" customHeight="1">
      <x:c r="A1039" s="117" t="str">
        <x:v>3004O000000XhBFQA0</x:v>
      </x:c>
      <x:c r="B1039" s="117" t="str">
        <x:v>Create_Warranty_Claim</x:v>
      </x:c>
      <x:c r="C1039" s="117" t="str">
        <x:v>No</x:v>
      </x:c>
      <x:c r="D1039" s="119" t="str">
        <x:v>Latest inactive v1 (Retrieved XML)</x:v>
      </x:c>
      <x:c r="E1039" s="117" t="str">
        <x:v>RMA__c</x:v>
      </x:c>
      <x:c r="F1039" s="119" t="str">
        <x:v>Create, Reference</x:v>
      </x:c>
      <x:c r="G1039" s="117" t="str">
        <x:v>No</x:v>
      </x:c>
      <x:c r="H1039" s="117" t="str">
        <x:v>Flow</x:v>
      </x:c>
    </x:row>
    <x:row r="1040" ht="30" customHeight="1">
      <x:c r="A1040" s="117" t="str">
        <x:v>3004O000000LOr7QAG</x:v>
      </x:c>
      <x:c r="B1040" s="117" t="str">
        <x:v>Credit_Memo</x:v>
      </x:c>
      <x:c r="C1040" s="117" t="str">
        <x:v>No</x:v>
      </x:c>
      <x:c r="D1040" s="119" t="str">
        <x:v>Latest inactive v17 (Retrieved XML)</x:v>
      </x:c>
      <x:c r="E1040" s="117" t="str">
        <x:v>RMA__c</x:v>
      </x:c>
      <x:c r="F1040" s="119" t="str">
        <x:v>Reference, Update</x:v>
      </x:c>
      <x:c r="G1040" s="117" t="str">
        <x:v>No</x:v>
      </x:c>
      <x:c r="H1040" s="117" t="str">
        <x:v>Workflow</x:v>
      </x:c>
    </x:row>
    <x:row r="1041" ht="30" customHeight="1">
      <x:c r="A1041" s="117" t="str">
        <x:v>300Ro00000JlbywIAB</x:v>
      </x:c>
      <x:c r="B1041" s="117" t="str">
        <x:v>Credit_Memo_Lines_Add_to_Credit_Memo</x:v>
      </x:c>
      <x:c r="C1041" s="117" t="str">
        <x:v>Yes</x:v>
      </x:c>
      <x:c r="D1041" s="119" t="str">
        <x:v>Active v7 (Retrieved XML)</x:v>
      </x:c>
      <x:c r="E1041" s="117" t="str">
        <x:v>RMA__c</x:v>
      </x:c>
      <x:c r="F1041" s="119" t="str">
        <x:v>Read, Reference</x:v>
      </x:c>
      <x:c r="G1041" s="117" t="str">
        <x:v>No</x:v>
      </x:c>
      <x:c r="H1041" s="117" t="str">
        <x:v>Flow</x:v>
      </x:c>
    </x:row>
    <x:row r="1042" ht="30" customHeight="1">
      <x:c r="A1042" s="117" t="str">
        <x:v>300Ro00000ydLuvIAE</x:v>
      </x:c>
      <x:c r="B1042" s="117" t="str">
        <x:v>FSL_Close_Out_Service_Appointment_Field_Service_Mobile_Flow</x:v>
      </x:c>
      <x:c r="C1042" s="117" t="str">
        <x:v>No</x:v>
      </x:c>
      <x:c r="D1042" s="119" t="str">
        <x:v>Latest inactive v4 (Retrieved XML)</x:v>
      </x:c>
      <x:c r="E1042" s="117" t="str">
        <x:v>RMA__c</x:v>
      </x:c>
      <x:c r="F1042" s="119" t="str">
        <x:v>Choice Read, Read, Reference, Variable</x:v>
      </x:c>
      <x:c r="G1042" s="117" t="str">
        <x:v>No</x:v>
      </x:c>
      <x:c r="H1042" s="117" t="str">
        <x:v>FieldServiceMobile</x:v>
      </x:c>
    </x:row>
    <x:row r="1043" ht="30" customHeight="1">
      <x:c r="A1043" s="117" t="str">
        <x:v>300Ro00000pvIVtIAM</x:v>
      </x:c>
      <x:c r="B1043" s="117" t="str">
        <x:v>FSL_Mobile_Service_Appointment_Closeout</x:v>
      </x:c>
      <x:c r="C1043" s="117" t="str">
        <x:v>Yes</x:v>
      </x:c>
      <x:c r="D1043" s="119" t="str">
        <x:v>Active v1 (Retrieved XML)</x:v>
      </x:c>
      <x:c r="E1043" s="117" t="str">
        <x:v>RMA__c</x:v>
      </x:c>
      <x:c r="F1043" s="119" t="str">
        <x:v>Choice Read, Read, Reference, Update, Variable</x:v>
      </x:c>
      <x:c r="G1043" s="117" t="str">
        <x:v>No</x:v>
      </x:c>
      <x:c r="H1043" s="117" t="str">
        <x:v>FieldServiceMobile</x:v>
      </x:c>
    </x:row>
    <x:row r="1044" ht="30" customHeight="1">
      <x:c r="A1044" s="117" t="str">
        <x:v>300Ro00000nuqvmIAA</x:v>
      </x:c>
      <x:c r="B1044" s="117" t="str">
        <x:v>On_Create_Asynchronous_Update_RMA_with_Related_Work_Order</x:v>
      </x:c>
      <x:c r="C1044" s="117" t="str">
        <x:v>Yes</x:v>
      </x:c>
      <x:c r="D1044" s="119" t="str">
        <x:v>Active v2 (Retrieved XML)</x:v>
      </x:c>
      <x:c r="E1044" s="117" t="str">
        <x:v>RMA__c</x:v>
      </x:c>
      <x:c r="F1044" s="119" t="str">
        <x:v>Reference, Trigger, Update</x:v>
      </x:c>
      <x:c r="G1044" s="117" t="str">
        <x:v>Yes</x:v>
      </x:c>
      <x:c r="H1044" s="117" t="str">
        <x:v>AutoLaunchedFlow</x:v>
      </x:c>
    </x:row>
    <x:row r="1045" ht="30" customHeight="1">
      <x:c r="A1045" s="117" t="str">
        <x:v>300Ro00000ialvCIAQ</x:v>
      </x:c>
      <x:c r="B1045" s="117" t="str">
        <x:v>On_Create_Update_Opp_Record_Type_Name_on_RMA_Asset</x:v>
      </x:c>
      <x:c r="C1045" s="117" t="str">
        <x:v>No</x:v>
      </x:c>
      <x:c r="D1045" s="119" t="str">
        <x:v>Latest inactive v1 (Retrieved XML)</x:v>
      </x:c>
      <x:c r="E1045" s="117" t="str">
        <x:v>RMA__c</x:v>
      </x:c>
      <x:c r="F1045" s="119" t="str">
        <x:v>Reference, Trigger, Update</x:v>
      </x:c>
      <x:c r="G1045" s="117" t="str">
        <x:v>Yes</x:v>
      </x:c>
      <x:c r="H1045" s="117" t="str">
        <x:v>AutoLaunchedFlow</x:v>
      </x:c>
    </x:row>
    <x:row r="1046" ht="30" customHeight="1">
      <x:c r="A1046" s="117" t="str">
        <x:v>3005b000000LHYwAAO</x:v>
      </x:c>
      <x:c r="B1046" s="117" t="str">
        <x:v>Original_Time_Warranty_Loaner_Action_Approved_Update</x:v>
      </x:c>
      <x:c r="C1046" s="117" t="str">
        <x:v>Yes</x:v>
      </x:c>
      <x:c r="D1046" s="119" t="str">
        <x:v>Active v13 (Retrieved XML)</x:v>
      </x:c>
      <x:c r="E1046" s="117" t="str">
        <x:v>RMA__c</x:v>
      </x:c>
      <x:c r="F1046" s="119" t="str">
        <x:v>Reference, Trigger, Update</x:v>
      </x:c>
      <x:c r="G1046" s="117" t="str">
        <x:v>Yes</x:v>
      </x:c>
      <x:c r="H1046" s="117" t="str">
        <x:v>AutoLaunchedFlow</x:v>
      </x:c>
    </x:row>
    <x:row r="1047" ht="30" customHeight="1">
      <x:c r="A1047" s="117" t="str">
        <x:v>300Ro00000MYUvEIAX</x:v>
      </x:c>
      <x:c r="B1047" s="117" t="str">
        <x:v>Prevent_Deletion_RMA</x:v>
      </x:c>
      <x:c r="C1047" s="117" t="str">
        <x:v>No</x:v>
      </x:c>
      <x:c r="D1047" s="119" t="str">
        <x:v>Latest inactive v1 (Retrieved XML)</x:v>
      </x:c>
      <x:c r="E1047" s="117" t="str">
        <x:v>RMA__c</x:v>
      </x:c>
      <x:c r="F1047" s="119" t="str">
        <x:v>Reference, Trigger</x:v>
      </x:c>
      <x:c r="G1047" s="117" t="str">
        <x:v>Yes</x:v>
      </x:c>
      <x:c r="H1047" s="117" t="str">
        <x:v>AutoLaunchedFlow</x:v>
      </x:c>
    </x:row>
    <x:row r="1048" ht="30" customHeight="1">
      <x:c r="A1048" s="117" t="str">
        <x:v>3004O0000000aB7QAI</x:v>
      </x:c>
      <x:c r="B1048" s="117" t="str">
        <x:v>Probe_Repair_Update_from_RMA</x:v>
      </x:c>
      <x:c r="C1048" s="117" t="str">
        <x:v>Yes</x:v>
      </x:c>
      <x:c r="D1048" s="119" t="str">
        <x:v>Active v15 (Retrieved XML)</x:v>
      </x:c>
      <x:c r="E1048" s="117" t="str">
        <x:v>RMA__c</x:v>
      </x:c>
      <x:c r="F1048" s="119" t="str">
        <x:v>Variable</x:v>
      </x:c>
      <x:c r="G1048" s="117" t="str">
        <x:v>No</x:v>
      </x:c>
      <x:c r="H1048" s="117" t="str">
        <x:v>Workflow</x:v>
      </x:c>
    </x:row>
    <x:row r="1049" ht="30" customHeight="1">
      <x:c r="A1049" s="117" t="str">
        <x:v>3005b000000LHHCAA4</x:v>
      </x:c>
      <x:c r="B1049" s="117" t="str">
        <x:v>ProbeRepairOpportunityStageUpdates</x:v>
      </x:c>
      <x:c r="C1049" s="117" t="str">
        <x:v>No</x:v>
      </x:c>
      <x:c r="D1049" s="119" t="str">
        <x:v>Latest inactive v13 (Retrieved XML)</x:v>
      </x:c>
      <x:c r="E1049" s="117" t="str">
        <x:v>RMA__c</x:v>
      </x:c>
      <x:c r="F1049" s="119" t="str">
        <x:v>Read, Reference</x:v>
      </x:c>
      <x:c r="G1049" s="117" t="str">
        <x:v>No</x:v>
      </x:c>
      <x:c r="H1049" s="117" t="str">
        <x:v>AutoLaunchedFlow</x:v>
      </x:c>
    </x:row>
    <x:row r="1050" ht="30" customHeight="1">
      <x:c r="A1050" s="117" t="str">
        <x:v>3004O000000LOsgQAG</x:v>
      </x:c>
      <x:c r="B1050" s="117" t="str">
        <x:v>Rental_Orders_create_RMA</x:v>
      </x:c>
      <x:c r="C1050" s="117" t="str">
        <x:v>No</x:v>
      </x:c>
      <x:c r="D1050" s="119" t="str">
        <x:v>Latest inactive v1 (Retrieved XML)</x:v>
      </x:c>
      <x:c r="E1050" s="117" t="str">
        <x:v>RMA__c</x:v>
      </x:c>
      <x:c r="F1050" s="119" t="str">
        <x:v>Create, Reference</x:v>
      </x:c>
      <x:c r="G1050" s="117" t="str">
        <x:v>No</x:v>
      </x:c>
      <x:c r="H1050" s="117" t="str">
        <x:v>AutoLaunchedFlow</x:v>
      </x:c>
    </x:row>
    <x:row r="1051" ht="30" customHeight="1">
      <x:c r="A1051" s="117" t="str">
        <x:v>3004O000000LOrAQAW</x:v>
      </x:c>
      <x:c r="B1051" s="117" t="str">
        <x:v>Return_to_Vendor_Create_DB</x:v>
      </x:c>
      <x:c r="C1051" s="117" t="str">
        <x:v>Yes</x:v>
      </x:c>
      <x:c r="D1051" s="119" t="str">
        <x:v>Active v6 (Retrieved XML)</x:v>
      </x:c>
      <x:c r="E1051" s="117" t="str">
        <x:v>RMA__c</x:v>
      </x:c>
      <x:c r="F1051" s="119" t="str">
        <x:v>Create, Reference</x:v>
      </x:c>
      <x:c r="G1051" s="117" t="str">
        <x:v>No</x:v>
      </x:c>
      <x:c r="H1051" s="117" t="str">
        <x:v>AutoLaunchedFlow</x:v>
      </x:c>
    </x:row>
    <x:row r="1052" ht="30" customHeight="1">
      <x:c r="A1052" s="117" t="str">
        <x:v>300Ro00000SjMhAIAV</x:v>
      </x:c>
      <x:c r="B1052" s="117" t="str">
        <x:v>RMA_Automations</x:v>
      </x:c>
      <x:c r="C1052" s="117" t="str">
        <x:v>Yes</x:v>
      </x:c>
      <x:c r="D1052" s="119" t="str">
        <x:v>Active v20 (Retrieved XML)</x:v>
      </x:c>
      <x:c r="E1052" s="117" t="str">
        <x:v>RMA__c</x:v>
      </x:c>
      <x:c r="F1052" s="119" t="str">
        <x:v>Reference, Trigger, Update</x:v>
      </x:c>
      <x:c r="G1052" s="117" t="str">
        <x:v>Yes</x:v>
      </x:c>
      <x:c r="H1052" s="117" t="str">
        <x:v>AutoLaunchedFlow</x:v>
      </x:c>
    </x:row>
    <x:row r="1053" ht="30" customHeight="1">
      <x:c r="A1053" s="117" t="str">
        <x:v>300Ro00000yzHB6IAM</x:v>
      </x:c>
      <x:c r="B1053" s="117" t="str">
        <x:v>RMA_Notify_Engineer_on_Probe_Repair_WO_Creation</x:v>
      </x:c>
      <x:c r="C1053" s="117" t="str">
        <x:v>Yes</x:v>
      </x:c>
      <x:c r="D1053" s="119" t="str">
        <x:v>Active v1 (Retrieved XML)</x:v>
      </x:c>
      <x:c r="E1053" s="117" t="str">
        <x:v>RMA__c</x:v>
      </x:c>
      <x:c r="F1053" s="119" t="str">
        <x:v>Reference, Trigger</x:v>
      </x:c>
      <x:c r="G1053" s="117" t="str">
        <x:v>Yes</x:v>
      </x:c>
      <x:c r="H1053" s="117" t="str">
        <x:v>AutoLaunchedFlow</x:v>
      </x:c>
    </x:row>
    <x:row r="1054" ht="30" customHeight="1">
      <x:c r="A1054" s="117" t="str">
        <x:v>300Ro00000pia8wIAA</x:v>
      </x:c>
      <x:c r="B1054" s="117" t="str">
        <x:v>RMA_On_Setting_of_Date_Approved_to_Ship_update_Opportunity_Stage_to_Ready_to_Shi</x:v>
      </x:c>
      <x:c r="C1054" s="117" t="str">
        <x:v>Yes</x:v>
      </x:c>
      <x:c r="D1054" s="119" t="str">
        <x:v>Active v1 (Retrieved XML)</x:v>
      </x:c>
      <x:c r="E1054" s="117" t="str">
        <x:v>RMA__c</x:v>
      </x:c>
      <x:c r="F1054" s="119" t="str">
        <x:v>Reference, Trigger, Update</x:v>
      </x:c>
      <x:c r="G1054" s="117" t="str">
        <x:v>Yes</x:v>
      </x:c>
      <x:c r="H1054" s="117" t="str">
        <x:v>AutoLaunchedFlow</x:v>
      </x:c>
    </x:row>
    <x:row r="1055" ht="30" customHeight="1">
      <x:c r="A1055" s="117" t="str">
        <x:v>300Ro00000jezCXIAY</x:v>
      </x:c>
      <x:c r="B1055" s="117" t="str">
        <x:v>RMA_Re_sync_RMA_if_Errored</x:v>
      </x:c>
      <x:c r="C1055" s="117" t="str">
        <x:v>Yes</x:v>
      </x:c>
      <x:c r="D1055" s="119" t="str">
        <x:v>Active v1 (Retrieved XML)</x:v>
      </x:c>
      <x:c r="E1055" s="117" t="str">
        <x:v>RMA__c</x:v>
      </x:c>
      <x:c r="F1055" s="119" t="str">
        <x:v>Reference, Trigger, Update</x:v>
      </x:c>
      <x:c r="G1055" s="117" t="str">
        <x:v>Yes</x:v>
      </x:c>
      <x:c r="H1055" s="117" t="str">
        <x:v>AutoLaunchedFlow</x:v>
      </x:c>
    </x:row>
    <x:row r="1056" ht="30" customHeight="1">
      <x:c r="A1056" s="117" t="str">
        <x:v>300Ro000007doabIAA</x:v>
      </x:c>
      <x:c r="B1056" s="117" t="str">
        <x:v>RMA_Rollups</x:v>
      </x:c>
      <x:c r="C1056" s="117" t="str">
        <x:v>Yes</x:v>
      </x:c>
      <x:c r="D1056" s="119" t="str">
        <x:v>Active v2 (Retrieved XML)</x:v>
      </x:c>
      <x:c r="E1056" s="117" t="str">
        <x:v>RMA__c</x:v>
      </x:c>
      <x:c r="F1056" s="119" t="str">
        <x:v>Variable</x:v>
      </x:c>
      <x:c r="G1056" s="117" t="str">
        <x:v>No</x:v>
      </x:c>
      <x:c r="H1056" s="117" t="str">
        <x:v>AutoLaunchedFlow</x:v>
      </x:c>
    </x:row>
    <x:row r="1057" ht="30" customHeight="1">
      <x:c r="A1057" s="117" t="str">
        <x:v>300Ro00000UU24nIAD</x:v>
      </x:c>
      <x:c r="B1057" s="117" t="str">
        <x:v>Send_Post_Repair_Evaluation_Email</x:v>
      </x:c>
      <x:c r="C1057" s="117" t="str">
        <x:v>Yes</x:v>
      </x:c>
      <x:c r="D1057" s="119" t="str">
        <x:v>Active v1 (Retrieved XML)</x:v>
      </x:c>
      <x:c r="E1057" s="117" t="str">
        <x:v>RMA__c</x:v>
      </x:c>
      <x:c r="F1057" s="119" t="str">
        <x:v>Read, Reference</x:v>
      </x:c>
      <x:c r="G1057" s="117" t="str">
        <x:v>No</x:v>
      </x:c>
      <x:c r="H1057" s="117" t="str">
        <x:v>AutoLaunchedFlow</x:v>
      </x:c>
    </x:row>
    <x:row r="1058" ht="30" customHeight="1">
      <x:c r="A1058" s="117" t="str">
        <x:v>300Ro00000ghrtiIAA</x:v>
      </x:c>
      <x:c r="B1058" s="117" t="str">
        <x:v>Set_Service_Appointment_on_RMA_when_Work_Order_Attached</x:v>
      </x:c>
      <x:c r="C1058" s="117" t="str">
        <x:v>Yes</x:v>
      </x:c>
      <x:c r="D1058" s="119" t="str">
        <x:v>Active v1 (Retrieved XML)</x:v>
      </x:c>
      <x:c r="E1058" s="117" t="str">
        <x:v>RMA__c</x:v>
      </x:c>
      <x:c r="F1058" s="119" t="str">
        <x:v>Reference, Trigger, Update</x:v>
      </x:c>
      <x:c r="G1058" s="117" t="str">
        <x:v>Yes</x:v>
      </x:c>
      <x:c r="H1058" s="117" t="str">
        <x:v>AutoLaunchedFlow</x:v>
      </x:c>
    </x:row>
    <x:row r="1059" ht="30" customHeight="1">
      <x:c r="A1059" s="117" t="str">
        <x:v>3005b000000LGuDAAW</x:v>
      </x:c>
      <x:c r="B1059" s="117" t="str">
        <x:v>UK_RMA_Item_Received_Alert</x:v>
      </x:c>
      <x:c r="C1059" s="117" t="str">
        <x:v>Yes</x:v>
      </x:c>
      <x:c r="D1059" s="119" t="str">
        <x:v>Active v8 (Retrieved XML)</x:v>
      </x:c>
      <x:c r="E1059" s="117" t="str">
        <x:v>RMA__c</x:v>
      </x:c>
      <x:c r="F1059" s="119" t="str">
        <x:v>Reference, Trigger</x:v>
      </x:c>
      <x:c r="G1059" s="117" t="str">
        <x:v>Yes</x:v>
      </x:c>
      <x:c r="H1059" s="117" t="str">
        <x:v>AutoLaunchedFlow</x:v>
      </x:c>
    </x:row>
    <x:row r="1060" ht="30" customHeight="1">
      <x:c r="A1060" s="117" t="str">
        <x:v>300Ro00000Pz0kzIAB</x:v>
      </x:c>
      <x:c r="B1060" s="117" t="str">
        <x:v>Update_comments</x:v>
      </x:c>
      <x:c r="C1060" s="117" t="str">
        <x:v>Yes</x:v>
      </x:c>
      <x:c r="D1060" s="119" t="str">
        <x:v>Active v192 (Tooling metadata)</x:v>
      </x:c>
      <x:c r="E1060" s="117" t="str">
        <x:v>RMA__c</x:v>
      </x:c>
      <x:c r="F1060" s="119" t="str">
        <x:v>Choice Read, Read, Reference, Update, Variable</x:v>
      </x:c>
      <x:c r="G1060" s="117" t="str">
        <x:v>No</x:v>
      </x:c>
      <x:c r="H1060" s="117" t="str">
        <x:v>FieldServiceMobile</x:v>
      </x:c>
    </x:row>
    <x:row r="1061" ht="30" customHeight="1">
      <x:c r="A1061" s="117" t="str">
        <x:v>3005b000000LHHMAA4</x:v>
      </x:c>
      <x:c r="B1061" s="117" t="str">
        <x:v>UpdateRMAShipDateToReadyToShip</x:v>
      </x:c>
      <x:c r="C1061" s="117" t="str">
        <x:v>No</x:v>
      </x:c>
      <x:c r="D1061" s="119" t="str">
        <x:v>Latest inactive v11 (Retrieved XML)</x:v>
      </x:c>
      <x:c r="E1061" s="117" t="str">
        <x:v>RMA__c</x:v>
      </x:c>
      <x:c r="F1061" s="119" t="str">
        <x:v>Reference, Trigger</x:v>
      </x:c>
      <x:c r="G1061" s="117" t="str">
        <x:v>Yes</x:v>
      </x:c>
      <x:c r="H1061" s="117" t="str">
        <x:v>AutoLaunchedFlow</x:v>
      </x:c>
    </x:row>
    <x:row r="1062" ht="30" customHeight="1">
      <x:c r="A1062" s="117" t="str">
        <x:v>300Ro00000s3lPuIAI</x:v>
      </x:c>
      <x:c r="B1062" s="117" t="str">
        <x:v>US_FSL_On_Addition_of_Related_Work_Order_Transfer_Ownership</x:v>
      </x:c>
      <x:c r="C1062" s="117" t="str">
        <x:v>Yes</x:v>
      </x:c>
      <x:c r="D1062" s="119" t="str">
        <x:v>Active v2 (Retrieved XML)</x:v>
      </x:c>
      <x:c r="E1062" s="117" t="str">
        <x:v>RMA__c</x:v>
      </x:c>
      <x:c r="F1062" s="119" t="str">
        <x:v>Read, Reference</x:v>
      </x:c>
      <x:c r="G1062" s="117" t="str">
        <x:v>No</x:v>
      </x:c>
      <x:c r="H1062" s="117" t="str">
        <x:v>AutoLaunchedFlow</x:v>
      </x:c>
    </x:row>
    <x:row r="1063" ht="30" customHeight="1">
      <x:c r="A1063" s="117" t="str">
        <x:v>300Ro00000wCQdIIAW</x:v>
      </x:c>
      <x:c r="B1063" s="117" t="str">
        <x:v>US_FSL_RMA_Date_Repair_Evaluation_Sent</x:v>
      </x:c>
      <x:c r="C1063" s="117" t="str">
        <x:v>Yes</x:v>
      </x:c>
      <x:c r="D1063" s="119" t="str">
        <x:v>Active v1 (Retrieved XML)</x:v>
      </x:c>
      <x:c r="E1063" s="117" t="str">
        <x:v>RMA__c</x:v>
      </x:c>
      <x:c r="F1063" s="119" t="str">
        <x:v>Reference, Trigger, Update</x:v>
      </x:c>
      <x:c r="G1063" s="117" t="str">
        <x:v>Yes</x:v>
      </x:c>
      <x:c r="H1063" s="117" t="str">
        <x:v>AutoLaunchedFlow</x:v>
      </x:c>
    </x:row>
    <x:row r="1064" ht="30" customHeight="1">
      <x:c r="A1064" s="117" t="str">
        <x:v>300Ro00000pqRhvIAE</x:v>
      </x:c>
      <x:c r="B1064" s="117" t="str">
        <x:v>US_FSL_RMA_On_Marking_Cannot_Repair_Update_Work_Order_to_Cannot_Repair</x:v>
      </x:c>
      <x:c r="C1064" s="117" t="str">
        <x:v>No</x:v>
      </x:c>
      <x:c r="D1064" s="119" t="str">
        <x:v>Latest inactive v1 (Retrieved XML)</x:v>
      </x:c>
      <x:c r="E1064" s="117" t="str">
        <x:v>RMA__c</x:v>
      </x:c>
      <x:c r="F1064" s="119" t="str">
        <x:v>Reference, Trigger, Update</x:v>
      </x:c>
      <x:c r="G1064" s="117" t="str">
        <x:v>Yes</x:v>
      </x:c>
      <x:c r="H1064" s="117" t="str">
        <x:v>AutoLaunchedFlow</x:v>
      </x:c>
    </x:row>
    <x:row r="1065" ht="30" customHeight="1">
      <x:c r="A1065" s="117" t="str">
        <x:v>300Ro00000rCttRIAS</x:v>
      </x:c>
      <x:c r="B1065" s="117" t="str">
        <x:v>US_FSL_RMA_On_Probe_Check_In_for_Repair_Set_Date_Checked_In_on_Work_Order</x:v>
      </x:c>
      <x:c r="C1065" s="117" t="str">
        <x:v>Yes</x:v>
      </x:c>
      <x:c r="D1065" s="119" t="str">
        <x:v>Active v3 (Retrieved XML)</x:v>
      </x:c>
      <x:c r="E1065" s="117" t="str">
        <x:v>RMA__c</x:v>
      </x:c>
      <x:c r="F1065" s="119" t="str">
        <x:v>Reference, Trigger, Update</x:v>
      </x:c>
      <x:c r="G1065" s="117" t="str">
        <x:v>Yes</x:v>
      </x:c>
      <x:c r="H1065" s="117" t="str">
        <x:v>AutoLaunchedFlow</x:v>
      </x:c>
    </x:row>
    <x:row r="1066" ht="30" customHeight="1">
      <x:c r="A1066" s="117" t="str">
        <x:v>3005b000000H3sLAAS</x:v>
      </x:c>
      <x:c r="B1066" s="117" t="str">
        <x:v>Case_Online_Repair_Evaluation_Tool</x:v>
      </x:c>
      <x:c r="C1066" s="117" t="str">
        <x:v>Yes</x:v>
      </x:c>
      <x:c r="D1066" s="119" t="str">
        <x:v>Active v13 (Retrieved XML)</x:v>
      </x:c>
      <x:c r="E1066" s="117" t="str">
        <x:v>RecordType</x:v>
      </x:c>
      <x:c r="F1066" s="119" t="str">
        <x:v>Read, Reference</x:v>
      </x:c>
      <x:c r="G1066" s="117" t="str">
        <x:v>No</x:v>
      </x:c>
      <x:c r="H1066" s="117" t="str">
        <x:v>AutoLaunchedFlow</x:v>
      </x:c>
    </x:row>
    <x:row r="1067" ht="30" customHeight="1">
      <x:c r="A1067" s="117" t="str">
        <x:v>3005b000000H1utAAC</x:v>
      </x:c>
      <x:c r="B1067" s="117" t="str">
        <x:v>Create_contract_line_items_and_entitlements</x:v>
      </x:c>
      <x:c r="C1067" s="117" t="str">
        <x:v>Yes</x:v>
      </x:c>
      <x:c r="D1067" s="119" t="str">
        <x:v>Active v11 (Retrieved XML)</x:v>
      </x:c>
      <x:c r="E1067" s="117" t="str">
        <x:v>RecordType</x:v>
      </x:c>
      <x:c r="F1067" s="119" t="str">
        <x:v>Read, Reference</x:v>
      </x:c>
      <x:c r="G1067" s="117" t="str">
        <x:v>No</x:v>
      </x:c>
      <x:c r="H1067" s="117" t="str">
        <x:v>Flow</x:v>
      </x:c>
    </x:row>
    <x:row r="1068" ht="30" customHeight="1">
      <x:c r="A1068" s="117" t="str">
        <x:v>3005b000000H3leAAC</x:v>
      </x:c>
      <x:c r="B1068" s="117" t="str">
        <x:v>Create_Contract_Line_Items_Entitlements_and_Work_Orders</x:v>
      </x:c>
      <x:c r="C1068" s="117" t="str">
        <x:v>No</x:v>
      </x:c>
      <x:c r="D1068" s="119" t="str">
        <x:v>Latest inactive v3 (Retrieved XML)</x:v>
      </x:c>
      <x:c r="E1068" s="117" t="str">
        <x:v>RecordType</x:v>
      </x:c>
      <x:c r="F1068" s="119" t="str">
        <x:v>Read, Reference</x:v>
      </x:c>
      <x:c r="G1068" s="117" t="str">
        <x:v>No</x:v>
      </x:c>
      <x:c r="H1068" s="117" t="str">
        <x:v>Flow</x:v>
      </x:c>
    </x:row>
    <x:row r="1069" ht="30" customHeight="1">
      <x:c r="A1069" s="117" t="str">
        <x:v>3005b000000H3pgAAC</x:v>
      </x:c>
      <x:c r="B1069" s="117" t="str">
        <x:v>Create_Contract_Line_Items_Entitlements_and_Work_Orders_V4</x:v>
      </x:c>
      <x:c r="C1069" s="117" t="str">
        <x:v>Yes</x:v>
      </x:c>
      <x:c r="D1069" s="119" t="str">
        <x:v>Active v17 (Tooling metadata)</x:v>
      </x:c>
      <x:c r="E1069" s="117" t="str">
        <x:v>RecordType</x:v>
      </x:c>
      <x:c r="F1069" s="119" t="str">
        <x:v>Read, Reference</x:v>
      </x:c>
      <x:c r="G1069" s="117" t="str">
        <x:v>No</x:v>
      </x:c>
      <x:c r="H1069" s="117" t="str">
        <x:v>Flow</x:v>
      </x:c>
    </x:row>
    <x:row r="1070" ht="30" customHeight="1">
      <x:c r="A1070" s="117" t="str">
        <x:v>300jR000000BuwaQAC</x:v>
      </x:c>
      <x:c r="B1070" s="117" t="str">
        <x:v>Create_FSL_Work_Order_on_SF_Objects</x:v>
      </x:c>
      <x:c r="C1070" s="117" t="str">
        <x:v>Yes</x:v>
      </x:c>
      <x:c r="D1070" s="119" t="str">
        <x:v>Active v7 (Retrieved XML)</x:v>
      </x:c>
      <x:c r="E1070" s="117" t="str">
        <x:v>RecordType</x:v>
      </x:c>
      <x:c r="F1070" s="119" t="str">
        <x:v>Read, Reference</x:v>
      </x:c>
      <x:c r="G1070" s="117" t="str">
        <x:v>No</x:v>
      </x:c>
      <x:c r="H1070" s="117" t="str">
        <x:v>Flow</x:v>
      </x:c>
    </x:row>
    <x:row r="1071" ht="30" customHeight="1">
      <x:c r="A1071" s="117" t="str">
        <x:v>3004O000000LNr1QAG</x:v>
      </x:c>
      <x:c r="B1071" s="117" t="str">
        <x:v>Create_Generic_Asset2_from_Product2_Id</x:v>
      </x:c>
      <x:c r="C1071" s="117" t="str">
        <x:v>No</x:v>
      </x:c>
      <x:c r="D1071" s="119" t="str">
        <x:v>Latest inactive v7 (Retrieved XML)</x:v>
      </x:c>
      <x:c r="E1071" s="117" t="str">
        <x:v>RecordType</x:v>
      </x:c>
      <x:c r="F1071" s="119" t="str">
        <x:v>Read, Reference</x:v>
      </x:c>
      <x:c r="G1071" s="117" t="str">
        <x:v>No</x:v>
      </x:c>
      <x:c r="H1071" s="117" t="str">
        <x:v>AutoLaunchedFlow</x:v>
      </x:c>
    </x:row>
    <x:row r="1072" ht="30" customHeight="1">
      <x:c r="A1072" s="117" t="str">
        <x:v>3005b000000H1zUAAS</x:v>
      </x:c>
      <x:c r="B1072" s="117" t="str">
        <x:v>Create_new_service_contract_from_opp</x:v>
      </x:c>
      <x:c r="C1072" s="117" t="str">
        <x:v>Yes</x:v>
      </x:c>
      <x:c r="D1072" s="119" t="str">
        <x:v>Active v11 (Retrieved XML)</x:v>
      </x:c>
      <x:c r="E1072" s="117" t="str">
        <x:v>RecordType</x:v>
      </x:c>
      <x:c r="F1072" s="119" t="str">
        <x:v>Read, Reference</x:v>
      </x:c>
      <x:c r="G1072" s="117" t="str">
        <x:v>No</x:v>
      </x:c>
      <x:c r="H1072" s="117" t="str">
        <x:v>Flow</x:v>
      </x:c>
    </x:row>
    <x:row r="1073" ht="30" customHeight="1">
      <x:c r="A1073" s="117" t="str">
        <x:v>3005b000000H3plAAC</x:v>
      </x:c>
      <x:c r="B1073" s="117" t="str">
        <x:v>Create_New_Service_Contract_from_Opp_UK</x:v>
      </x:c>
      <x:c r="C1073" s="117" t="str">
        <x:v>Yes</x:v>
      </x:c>
      <x:c r="D1073" s="119" t="str">
        <x:v>Active v27 (Retrieved XML)</x:v>
      </x:c>
      <x:c r="E1073" s="117" t="str">
        <x:v>RecordType</x:v>
      </x:c>
      <x:c r="F1073" s="119" t="str">
        <x:v>Read, Reference</x:v>
      </x:c>
      <x:c r="G1073" s="117" t="str">
        <x:v>No</x:v>
      </x:c>
      <x:c r="H1073" s="117" t="str">
        <x:v>Flow</x:v>
      </x:c>
    </x:row>
    <x:row r="1074" ht="30" customHeight="1">
      <x:c r="A1074" s="117" t="str">
        <x:v>3005b000000PzxvAAC</x:v>
      </x:c>
      <x:c r="B1074" s="117" t="str">
        <x:v>Create_Opportunity_from_KloudGin_Case</x:v>
      </x:c>
      <x:c r="C1074" s="117" t="str">
        <x:v>Yes</x:v>
      </x:c>
      <x:c r="D1074" s="119" t="str">
        <x:v>Active v16 (Tooling metadata)</x:v>
      </x:c>
      <x:c r="E1074" s="117" t="str">
        <x:v>RecordType</x:v>
      </x:c>
      <x:c r="F1074" s="119" t="str">
        <x:v>Choice Read, Read, Reference</x:v>
      </x:c>
      <x:c r="G1074" s="117" t="str">
        <x:v>No</x:v>
      </x:c>
      <x:c r="H1074" s="117" t="str">
        <x:v>Flow</x:v>
      </x:c>
    </x:row>
    <x:row r="1075" ht="30" customHeight="1">
      <x:c r="A1075" s="117" t="str">
        <x:v>3004O0000004ZtfQAE</x:v>
      </x:c>
      <x:c r="B1075" s="117" t="str">
        <x:v>Create_Purchasing_Opp_from_Vendor_Sourcing_Record</x:v>
      </x:c>
      <x:c r="C1075" s="117" t="str">
        <x:v>Yes</x:v>
      </x:c>
      <x:c r="D1075" s="119" t="str">
        <x:v>Active v3 (Retrieved XML)</x:v>
      </x:c>
      <x:c r="E1075" s="117" t="str">
        <x:v>RecordType</x:v>
      </x:c>
      <x:c r="F1075" s="119" t="str">
        <x:v>Read, Reference, Variable</x:v>
      </x:c>
      <x:c r="G1075" s="117" t="str">
        <x:v>No</x:v>
      </x:c>
      <x:c r="H1075" s="117" t="str">
        <x:v>Flow</x:v>
      </x:c>
    </x:row>
    <x:row r="1076" ht="30" customHeight="1">
      <x:c r="A1076" s="117" t="str">
        <x:v>3005b000000H3uHAAS</x:v>
      </x:c>
      <x:c r="B1076" s="117" t="str">
        <x:v>Create_RMA_from_Work_Order</x:v>
      </x:c>
      <x:c r="C1076" s="117" t="str">
        <x:v>Yes</x:v>
      </x:c>
      <x:c r="D1076" s="119" t="str">
        <x:v>Active v24 (Tooling metadata)</x:v>
      </x:c>
      <x:c r="E1076" s="117" t="str">
        <x:v>RecordType</x:v>
      </x:c>
      <x:c r="F1076" s="119" t="str">
        <x:v>Choice Read, Reference</x:v>
      </x:c>
      <x:c r="G1076" s="117" t="str">
        <x:v>No</x:v>
      </x:c>
      <x:c r="H1076" s="117" t="str">
        <x:v>Flow</x:v>
      </x:c>
    </x:row>
    <x:row r="1077" ht="30" customHeight="1">
      <x:c r="A1077" s="117" t="str">
        <x:v>3005b000000H3qFAAS</x:v>
      </x:c>
      <x:c r="B1077" s="117" t="str">
        <x:v>Create_Sourcing_Request_for_Parts_and_Probes</x:v>
      </x:c>
      <x:c r="C1077" s="117" t="str">
        <x:v>No</x:v>
      </x:c>
      <x:c r="D1077" s="119" t="str">
        <x:v>Latest inactive v1 (Retrieved XML)</x:v>
      </x:c>
      <x:c r="E1077" s="117" t="str">
        <x:v>RecordType</x:v>
      </x:c>
      <x:c r="F1077" s="119" t="str">
        <x:v>Read, Reference, Variable</x:v>
      </x:c>
      <x:c r="G1077" s="117" t="str">
        <x:v>No</x:v>
      </x:c>
      <x:c r="H1077" s="117" t="str">
        <x:v>Flow</x:v>
      </x:c>
    </x:row>
    <x:row r="1078" ht="30" customHeight="1">
      <x:c r="A1078" s="117" t="str">
        <x:v>3004O000000XhBFQA0</x:v>
      </x:c>
      <x:c r="B1078" s="117" t="str">
        <x:v>Create_Warranty_Claim</x:v>
      </x:c>
      <x:c r="C1078" s="117" t="str">
        <x:v>No</x:v>
      </x:c>
      <x:c r="D1078" s="119" t="str">
        <x:v>Latest inactive v1 (Retrieved XML)</x:v>
      </x:c>
      <x:c r="E1078" s="117" t="str">
        <x:v>RecordType</x:v>
      </x:c>
      <x:c r="F1078" s="119" t="str">
        <x:v>Choice Read, Reference</x:v>
      </x:c>
      <x:c r="G1078" s="117" t="str">
        <x:v>No</x:v>
      </x:c>
      <x:c r="H1078" s="117" t="str">
        <x:v>Flow</x:v>
      </x:c>
    </x:row>
    <x:row r="1079" ht="30" customHeight="1">
      <x:c r="A1079" s="117" t="str">
        <x:v>3005b000000H3dpAAC</x:v>
      </x:c>
      <x:c r="B1079" s="117" t="str">
        <x:v>Create_Work_Order_From_Contract_Line_Item</x:v>
      </x:c>
      <x:c r="C1079" s="117" t="str">
        <x:v>Yes</x:v>
      </x:c>
      <x:c r="D1079" s="119" t="str">
        <x:v>Active v8 (Retrieved XML)</x:v>
      </x:c>
      <x:c r="E1079" s="117" t="str">
        <x:v>RecordType</x:v>
      </x:c>
      <x:c r="F1079" s="119" t="str">
        <x:v>Choice Read, Read, Reference</x:v>
      </x:c>
      <x:c r="G1079" s="117" t="str">
        <x:v>No</x:v>
      </x:c>
      <x:c r="H1079" s="117" t="str">
        <x:v>Flow</x:v>
      </x:c>
    </x:row>
    <x:row r="1080" ht="30" customHeight="1">
      <x:c r="A1080" s="117" t="str">
        <x:v>3005b000000Pzy0AAC</x:v>
      </x:c>
      <x:c r="B1080" s="117" t="str">
        <x:v>Create_Work_Order_from_KloudGin_Case</x:v>
      </x:c>
      <x:c r="C1080" s="117" t="str">
        <x:v>Yes</x:v>
      </x:c>
      <x:c r="D1080" s="119" t="str">
        <x:v>Active v7 (Retrieved XML)</x:v>
      </x:c>
      <x:c r="E1080" s="117" t="str">
        <x:v>RecordType</x:v>
      </x:c>
      <x:c r="F1080" s="119" t="str">
        <x:v>Choice Read, Read, Reference</x:v>
      </x:c>
      <x:c r="G1080" s="117" t="str">
        <x:v>No</x:v>
      </x:c>
      <x:c r="H1080" s="117" t="str">
        <x:v>Flow</x:v>
      </x:c>
    </x:row>
    <x:row r="1081" ht="30" customHeight="1">
      <x:c r="A1081" s="117" t="str">
        <x:v>300Ro0000143LOUIA2</x:v>
      </x:c>
      <x:c r="B1081" s="117" t="str">
        <x:v>Create_Work_Order_from_Service_Asset</x:v>
      </x:c>
      <x:c r="C1081" s="117" t="str">
        <x:v>Yes</x:v>
      </x:c>
      <x:c r="D1081" s="119" t="str">
        <x:v>Active v7 (Retrieved XML)</x:v>
      </x:c>
      <x:c r="E1081" s="117" t="str">
        <x:v>RecordType</x:v>
      </x:c>
      <x:c r="F1081" s="119" t="str">
        <x:v>Choice Read, Reference</x:v>
      </x:c>
      <x:c r="G1081" s="117" t="str">
        <x:v>No</x:v>
      </x:c>
      <x:c r="H1081" s="117" t="str">
        <x:v>Flow</x:v>
      </x:c>
    </x:row>
    <x:row r="1082" ht="30" customHeight="1">
      <x:c r="A1082" s="117" t="str">
        <x:v>300Ro00000tZphfIAC</x:v>
      </x:c>
      <x:c r="B1082" s="117" t="str">
        <x:v>DRP_Create_Project_Charge_Line_Item</x:v>
      </x:c>
      <x:c r="C1082" s="117" t="str">
        <x:v>Yes</x:v>
      </x:c>
      <x:c r="D1082" s="119" t="str">
        <x:v>Active v3 (Retrieved XML)</x:v>
      </x:c>
      <x:c r="E1082" s="117" t="str">
        <x:v>RecordType</x:v>
      </x:c>
      <x:c r="F1082" s="119" t="str">
        <x:v>Read, Reference, Variable</x:v>
      </x:c>
      <x:c r="G1082" s="117" t="str">
        <x:v>No</x:v>
      </x:c>
      <x:c r="H1082" s="117" t="str">
        <x:v>Flow</x:v>
      </x:c>
    </x:row>
    <x:row r="1083" ht="30" customHeight="1">
      <x:c r="A1083" s="117" t="str">
        <x:v>300Ro00000ydLuvIAE</x:v>
      </x:c>
      <x:c r="B1083" s="117" t="str">
        <x:v>FSL_Close_Out_Service_Appointment_Field_Service_Mobile_Flow</x:v>
      </x:c>
      <x:c r="C1083" s="117" t="str">
        <x:v>No</x:v>
      </x:c>
      <x:c r="D1083" s="119" t="str">
        <x:v>Latest inactive v4 (Retrieved XML)</x:v>
      </x:c>
      <x:c r="E1083" s="117" t="str">
        <x:v>RecordType</x:v>
      </x:c>
      <x:c r="F1083" s="119" t="str">
        <x:v>Read, Reference</x:v>
      </x:c>
      <x:c r="G1083" s="117" t="str">
        <x:v>No</x:v>
      </x:c>
      <x:c r="H1083" s="117" t="str">
        <x:v>FieldServiceMobile</x:v>
      </x:c>
    </x:row>
    <x:row r="1084" ht="30" customHeight="1">
      <x:c r="A1084" s="117" t="str">
        <x:v>300Ro00000vEXZZIA4</x:v>
      </x:c>
      <x:c r="B1084" s="117" t="str">
        <x:v>FSL_Field_Service_Mobile_Flow_Nuclear_Medicine_Checklist</x:v>
      </x:c>
      <x:c r="C1084" s="117" t="str">
        <x:v>No</x:v>
      </x:c>
      <x:c r="D1084" s="119" t="str">
        <x:v>Latest inactive v2 (Retrieved XML)</x:v>
      </x:c>
      <x:c r="E1084" s="117" t="str">
        <x:v>RecordType</x:v>
      </x:c>
      <x:c r="F1084" s="119" t="str">
        <x:v>Read, Reference, Variable</x:v>
      </x:c>
      <x:c r="G1084" s="117" t="str">
        <x:v>No</x:v>
      </x:c>
      <x:c r="H1084" s="117" t="str">
        <x:v>FieldServiceMobile</x:v>
      </x:c>
    </x:row>
    <x:row r="1085" ht="30" customHeight="1">
      <x:c r="A1085" s="117" t="str">
        <x:v>300Ro00000y33GaIAI</x:v>
      </x:c>
      <x:c r="B1085" s="117" t="str">
        <x:v>Generate_Mechanical_Services_Work_Order_Screen_Flow</x:v>
      </x:c>
      <x:c r="C1085" s="117" t="str">
        <x:v>No</x:v>
      </x:c>
      <x:c r="D1085" s="119" t="str">
        <x:v>Latest inactive v1 (Retrieved XML)</x:v>
      </x:c>
      <x:c r="E1085" s="117" t="str">
        <x:v>RecordType</x:v>
      </x:c>
      <x:c r="F1085" s="119" t="str">
        <x:v>Read, Reference</x:v>
      </x:c>
      <x:c r="G1085" s="117" t="str">
        <x:v>No</x:v>
      </x:c>
      <x:c r="H1085" s="117" t="str">
        <x:v>Flow</x:v>
      </x:c>
    </x:row>
    <x:row r="1086" ht="30" customHeight="1">
      <x:c r="A1086" s="117" t="str">
        <x:v>300Ro00000RkPiDIAV</x:v>
      </x:c>
      <x:c r="B1086" s="117" t="str">
        <x:v>MP_Test</x:v>
      </x:c>
      <x:c r="C1086" s="117" t="str">
        <x:v>No</x:v>
      </x:c>
      <x:c r="D1086" s="119" t="str">
        <x:v>Latest inactive v7 (Retrieved XML)</x:v>
      </x:c>
      <x:c r="E1086" s="117" t="str">
        <x:v>RecordType</x:v>
      </x:c>
      <x:c r="F1086" s="119" t="str">
        <x:v>Read, Reference</x:v>
      </x:c>
      <x:c r="G1086" s="117" t="str">
        <x:v>No</x:v>
      </x:c>
      <x:c r="H1086" s="117" t="str">
        <x:v>AutoLaunchedFlow</x:v>
      </x:c>
    </x:row>
    <x:row r="1087" ht="30" customHeight="1">
      <x:c r="A1087" s="117" t="str">
        <x:v>3005b000000H3duAAC</x:v>
      </x:c>
      <x:c r="B1087" s="117" t="str">
        <x:v>New_Child_Work_Order_from_Work_Order</x:v>
      </x:c>
      <x:c r="C1087" s="117" t="str">
        <x:v>Yes</x:v>
      </x:c>
      <x:c r="D1087" s="119" t="str">
        <x:v>Active v7 (Retrieved XML)</x:v>
      </x:c>
      <x:c r="E1087" s="117" t="str">
        <x:v>RecordType</x:v>
      </x:c>
      <x:c r="F1087" s="119" t="str">
        <x:v>Choice Read, Reference</x:v>
      </x:c>
      <x:c r="G1087" s="117" t="str">
        <x:v>No</x:v>
      </x:c>
      <x:c r="H1087" s="117" t="str">
        <x:v>Flow</x:v>
      </x:c>
    </x:row>
    <x:row r="1088" ht="30" customHeight="1">
      <x:c r="A1088" s="117" t="str">
        <x:v>3005b000000H3eJAAS</x:v>
      </x:c>
      <x:c r="B1088" s="117" t="str">
        <x:v>New_Parts_Opportunity_From_Work_Orker</x:v>
      </x:c>
      <x:c r="C1088" s="117" t="str">
        <x:v>Yes</x:v>
      </x:c>
      <x:c r="D1088" s="119" t="str">
        <x:v>Active v62 (Retrieved XML)</x:v>
      </x:c>
      <x:c r="E1088" s="117" t="str">
        <x:v>RecordType</x:v>
      </x:c>
      <x:c r="F1088" s="119" t="str">
        <x:v>Choice Read, Reference</x:v>
      </x:c>
      <x:c r="G1088" s="117" t="str">
        <x:v>No</x:v>
      </x:c>
      <x:c r="H1088" s="117" t="str">
        <x:v>Flow</x:v>
      </x:c>
    </x:row>
    <x:row r="1089" ht="30" customHeight="1">
      <x:c r="A1089" s="117" t="str">
        <x:v>300Ro00000rL43hIAC</x:v>
      </x:c>
      <x:c r="B1089" s="117" t="str">
        <x:v>Opportunity_Asset_Management_Screen_Flow</x:v>
      </x:c>
      <x:c r="C1089" s="117" t="str">
        <x:v>Yes</x:v>
      </x:c>
      <x:c r="D1089" s="119" t="str">
        <x:v>Active v9 (Retrieved XML)</x:v>
      </x:c>
      <x:c r="E1089" s="117" t="str">
        <x:v>RecordType</x:v>
      </x:c>
      <x:c r="F1089" s="119" t="str">
        <x:v>Read, Reference</x:v>
      </x:c>
      <x:c r="G1089" s="117" t="str">
        <x:v>No</x:v>
      </x:c>
      <x:c r="H1089" s="117" t="str">
        <x:v>Flow</x:v>
      </x:c>
    </x:row>
    <x:row r="1090" ht="30" customHeight="1">
      <x:c r="A1090" s="117" t="str">
        <x:v>300Ro000010uR0GIAU</x:v>
      </x:c>
      <x:c r="B1090" s="117" t="str">
        <x:v>Product_On_Creation</x:v>
      </x:c>
      <x:c r="C1090" s="117" t="str">
        <x:v>Yes</x:v>
      </x:c>
      <x:c r="D1090" s="119" t="str">
        <x:v>Active v2 (Retrieved XML)</x:v>
      </x:c>
      <x:c r="E1090" s="117" t="str">
        <x:v>RecordType</x:v>
      </x:c>
      <x:c r="F1090" s="119" t="str">
        <x:v>Read, Reference</x:v>
      </x:c>
      <x:c r="G1090" s="117" t="str">
        <x:v>No</x:v>
      </x:c>
      <x:c r="H1090" s="117" t="str">
        <x:v>AutoLaunchedFlow</x:v>
      </x:c>
    </x:row>
    <x:row r="1091" ht="30" customHeight="1">
      <x:c r="A1091" s="117" t="str">
        <x:v>300Ro00000LtJsPIAV</x:v>
      </x:c>
      <x:c r="B1091" s="117" t="str">
        <x:v>Screen_Flow_Add_Purchasing_Return</x:v>
      </x:c>
      <x:c r="C1091" s="117" t="str">
        <x:v>Yes</x:v>
      </x:c>
      <x:c r="D1091" s="119" t="str">
        <x:v>Active v19 (Tooling metadata)</x:v>
      </x:c>
      <x:c r="E1091" s="117" t="str">
        <x:v>RecordType</x:v>
      </x:c>
      <x:c r="F1091" s="119" t="str">
        <x:v>Choice Read, Reference</x:v>
      </x:c>
      <x:c r="G1091" s="117" t="str">
        <x:v>No</x:v>
      </x:c>
      <x:c r="H1091" s="117" t="str">
        <x:v>Flow</x:v>
      </x:c>
    </x:row>
    <x:row r="1092" ht="30" customHeight="1">
      <x:c r="A1092" s="117" t="str">
        <x:v>300Ro00000wE1KhIAK</x:v>
      </x:c>
      <x:c r="B1092" s="117" t="str">
        <x:v>Service_Contract_Create_Contract_Line_Item_Screen_Flow</x:v>
      </x:c>
      <x:c r="C1092" s="117" t="str">
        <x:v>Yes</x:v>
      </x:c>
      <x:c r="D1092" s="119" t="str">
        <x:v>Active v4 (Retrieved XML)</x:v>
      </x:c>
      <x:c r="E1092" s="117" t="str">
        <x:v>RecordType</x:v>
      </x:c>
      <x:c r="F1092" s="119" t="str">
        <x:v>Read, Reference</x:v>
      </x:c>
      <x:c r="G1092" s="117" t="str">
        <x:v>No</x:v>
      </x:c>
      <x:c r="H1092" s="117" t="str">
        <x:v>Flow</x:v>
      </x:c>
    </x:row>
    <x:row r="1093" ht="30" customHeight="1">
      <x:c r="A1093" s="117" t="str">
        <x:v>300Ro00000wDQ8DIAW</x:v>
      </x:c>
      <x:c r="B1093" s="117" t="str">
        <x:v>Service_Contract_Create_Contract_Line_Items_Screen_Flow</x:v>
      </x:c>
      <x:c r="C1093" s="117" t="str">
        <x:v>No</x:v>
      </x:c>
      <x:c r="D1093" s="119" t="str">
        <x:v>Latest inactive v1 (Retrieved XML)</x:v>
      </x:c>
      <x:c r="E1093" s="117" t="str">
        <x:v>RecordType</x:v>
      </x:c>
      <x:c r="F1093" s="119" t="str">
        <x:v>Read, Reference</x:v>
      </x:c>
      <x:c r="G1093" s="117" t="str">
        <x:v>No</x:v>
      </x:c>
      <x:c r="H1093" s="117" t="str">
        <x:v>Flow</x:v>
      </x:c>
    </x:row>
    <x:row r="1094" ht="30" customHeight="1">
      <x:c r="A1094" s="117" t="str">
        <x:v>300Ro00000nsEpqIAE</x:v>
      </x:c>
      <x:c r="B1094" s="117" t="str">
        <x:v>Service_Contract_Renewal_US1</x:v>
      </x:c>
      <x:c r="C1094" s="117" t="str">
        <x:v>Yes</x:v>
      </x:c>
      <x:c r="D1094" s="119" t="str">
        <x:v>Active v11 (Retrieved XML)</x:v>
      </x:c>
      <x:c r="E1094" s="117" t="str">
        <x:v>RecordType</x:v>
      </x:c>
      <x:c r="F1094" s="119" t="str">
        <x:v>Read, Reference</x:v>
      </x:c>
      <x:c r="G1094" s="117" t="str">
        <x:v>No</x:v>
      </x:c>
      <x:c r="H1094" s="117" t="str">
        <x:v>Flow</x:v>
      </x:c>
    </x:row>
    <x:row r="1095" ht="30" customHeight="1">
      <x:c r="A1095" s="117" t="str">
        <x:v>3005b000000H3dfAAC</x:v>
      </x:c>
      <x:c r="B1095" s="117" t="str">
        <x:v>UK_Create_Removal_Charge_Screenflow</x:v>
      </x:c>
      <x:c r="C1095" s="117" t="str">
        <x:v>Yes</x:v>
      </x:c>
      <x:c r="D1095" s="119" t="str">
        <x:v>Active v24 (Retrieved XML)</x:v>
      </x:c>
      <x:c r="E1095" s="117" t="str">
        <x:v>RecordType</x:v>
      </x:c>
      <x:c r="F1095" s="119" t="str">
        <x:v>Read, Reference</x:v>
      </x:c>
      <x:c r="G1095" s="117" t="str">
        <x:v>No</x:v>
      </x:c>
      <x:c r="H1095" s="117" t="str">
        <x:v>Flow</x:v>
      </x:c>
    </x:row>
    <x:row r="1096" ht="30" customHeight="1">
      <x:c r="A1096" s="117" t="str">
        <x:v>3005b000000PzoUAAS</x:v>
      </x:c>
      <x:c r="B1096" s="117" t="str">
        <x:v>Auto_Create_Refurb_System_Repair_from_Refurb_Test</x:v>
      </x:c>
      <x:c r="C1096" s="117" t="str">
        <x:v>Yes</x:v>
      </x:c>
      <x:c r="D1096" s="119" t="str">
        <x:v>Active v2 (Tooling metadata)</x:v>
      </x:c>
      <x:c r="E1096" s="117" t="str">
        <x:v>Refurb_Part_Request__c</x:v>
      </x:c>
      <x:c r="F1096" s="119" t="str">
        <x:v>Reference, Trigger</x:v>
      </x:c>
      <x:c r="G1096" s="117" t="str">
        <x:v>Yes</x:v>
      </x:c>
      <x:c r="H1096" s="117" t="str">
        <x:v>AutoLaunchedFlow</x:v>
      </x:c>
    </x:row>
    <x:row r="1097" ht="30" customHeight="1">
      <x:c r="A1097" s="117" t="str">
        <x:v>3005b000000PzrOAAS</x:v>
      </x:c>
      <x:c r="B1097" s="117" t="str">
        <x:v>Refurb_Part_Request_Field_Updates_Flow</x:v>
      </x:c>
      <x:c r="C1097" s="117" t="str">
        <x:v>Yes</x:v>
      </x:c>
      <x:c r="D1097" s="119" t="str">
        <x:v>Active v16 (Retrieved XML)</x:v>
      </x:c>
      <x:c r="E1097" s="117" t="str">
        <x:v>Refurb_Part_Request__c</x:v>
      </x:c>
      <x:c r="F1097" s="119" t="str">
        <x:v>Reference, Trigger, Update</x:v>
      </x:c>
      <x:c r="G1097" s="117" t="str">
        <x:v>Yes</x:v>
      </x:c>
      <x:c r="H1097" s="117" t="str">
        <x:v>AutoLaunchedFlow</x:v>
      </x:c>
    </x:row>
    <x:row r="1098" ht="30" customHeight="1">
      <x:c r="A1098" s="117" t="str">
        <x:v>3005b000000PyyOAAS</x:v>
      </x:c>
      <x:c r="B1098" s="117" t="str">
        <x:v>Refurb_Test_Asset_Selection_Screen_Flow</x:v>
      </x:c>
      <x:c r="C1098" s="117" t="str">
        <x:v>Yes</x:v>
      </x:c>
      <x:c r="D1098" s="119" t="str">
        <x:v>Active v18 (Retrieved XML)</x:v>
      </x:c>
      <x:c r="E1098" s="117" t="str">
        <x:v>Refurb_Part_Request__c</x:v>
      </x:c>
      <x:c r="F1098" s="119" t="str">
        <x:v>Read, Reference, Update</x:v>
      </x:c>
      <x:c r="G1098" s="117" t="str">
        <x:v>No</x:v>
      </x:c>
      <x:c r="H1098" s="117" t="str">
        <x:v>Flow</x:v>
      </x:c>
    </x:row>
    <x:row r="1099" ht="30" customHeight="1">
      <x:c r="A1099" s="117" t="str">
        <x:v>300Ro00000z7Z2mIAE</x:v>
      </x:c>
      <x:c r="B1099" s="117" t="str">
        <x:v>Refurb_Test_Update_After_Save_Change_Owner_to_Engineer_on_Acceptance</x:v>
      </x:c>
      <x:c r="C1099" s="117" t="str">
        <x:v>Yes</x:v>
      </x:c>
      <x:c r="D1099" s="119" t="str">
        <x:v>Active v1 (Retrieved XML)</x:v>
      </x:c>
      <x:c r="E1099" s="117" t="str">
        <x:v>Refurb_Test__c</x:v>
      </x:c>
      <x:c r="F1099" s="119" t="str">
        <x:v>Reference, Trigger, Update</x:v>
      </x:c>
      <x:c r="G1099" s="117" t="str">
        <x:v>Yes</x:v>
      </x:c>
      <x:c r="H1099" s="117" t="str">
        <x:v>AutoLaunchedFlow</x:v>
      </x:c>
    </x:row>
    <x:row r="1100" ht="30" customHeight="1">
      <x:c r="A1100" s="117" t="str">
        <x:v>3005b000000PzoZAAS</x:v>
      </x:c>
      <x:c r="B1100" s="117" t="str">
        <x:v>Refurb_Test_Update_Fields_FLow</x:v>
      </x:c>
      <x:c r="C1100" s="117" t="str">
        <x:v>Yes</x:v>
      </x:c>
      <x:c r="D1100" s="119" t="str">
        <x:v>Active v10 (Retrieved XML)</x:v>
      </x:c>
      <x:c r="E1100" s="117" t="str">
        <x:v>Refurb_Test__c</x:v>
      </x:c>
      <x:c r="F1100" s="119" t="str">
        <x:v>Reference, Trigger, Update</x:v>
      </x:c>
      <x:c r="G1100" s="117" t="str">
        <x:v>Yes</x:v>
      </x:c>
      <x:c r="H1100" s="117" t="str">
        <x:v>AutoLaunchedFlow</x:v>
      </x:c>
    </x:row>
    <x:row r="1101" ht="30" customHeight="1">
      <x:c r="A1101" s="117" t="str">
        <x:v>300Ro000007doaZIAQ</x:v>
      </x:c>
      <x:c r="B1101" s="117" t="str">
        <x:v>Product_Item_Rollups</x:v>
      </x:c>
      <x:c r="C1101" s="117" t="str">
        <x:v>No</x:v>
      </x:c>
      <x:c r="D1101" s="119" t="str">
        <x:v>Latest inactive v2 (Retrieved XML)</x:v>
      </x:c>
      <x:c r="E1101" s="117" t="str">
        <x:v>Rental_Order__c</x:v>
      </x:c>
      <x:c r="F1101" s="119" t="str">
        <x:v>Variable</x:v>
      </x:c>
      <x:c r="G1101" s="117" t="str">
        <x:v>No</x:v>
      </x:c>
      <x:c r="H1101" s="117" t="str">
        <x:v>AutoLaunchedFlow</x:v>
      </x:c>
    </x:row>
    <x:row r="1102" ht="30" customHeight="1">
      <x:c r="A1102" s="117" t="str">
        <x:v>300Ro00000zDVIzIAO</x:v>
      </x:c>
      <x:c r="B1102" s="117" t="str">
        <x:v>ProductItem_Asynchronous_on_create_Rental_Order_Price_Roll_Up</x:v>
      </x:c>
      <x:c r="C1102" s="117" t="str">
        <x:v>Yes</x:v>
      </x:c>
      <x:c r="D1102" s="119" t="str">
        <x:v>Active v1 (Retrieved XML)</x:v>
      </x:c>
      <x:c r="E1102" s="117" t="str">
        <x:v>Rental_Order__c</x:v>
      </x:c>
      <x:c r="F1102" s="119" t="str">
        <x:v>Reference, Update</x:v>
      </x:c>
      <x:c r="G1102" s="117" t="str">
        <x:v>No</x:v>
      </x:c>
      <x:c r="H1102" s="117" t="str">
        <x:v>AutoLaunchedFlow</x:v>
      </x:c>
    </x:row>
    <x:row r="1103" ht="30" customHeight="1">
      <x:c r="A1103" s="117" t="str">
        <x:v>300Ro00000zDVJ0IAO</x:v>
      </x:c>
      <x:c r="B1103" s="117" t="str">
        <x:v>ProductItem_Before_delete_Rental_Order_Price_Roll_Up</x:v>
      </x:c>
      <x:c r="C1103" s="117" t="str">
        <x:v>Yes</x:v>
      </x:c>
      <x:c r="D1103" s="119" t="str">
        <x:v>Active v1 (Retrieved XML)</x:v>
      </x:c>
      <x:c r="E1103" s="117" t="str">
        <x:v>Rental_Order__c</x:v>
      </x:c>
      <x:c r="F1103" s="119" t="str">
        <x:v>Reference, Update</x:v>
      </x:c>
      <x:c r="G1103" s="117" t="str">
        <x:v>No</x:v>
      </x:c>
      <x:c r="H1103" s="117" t="str">
        <x:v>AutoLaunchedFlow</x:v>
      </x:c>
    </x:row>
    <x:row r="1104" ht="30" customHeight="1">
      <x:c r="A1104" s="117" t="str">
        <x:v>300Ro00000zDVJ1IAO</x:v>
      </x:c>
      <x:c r="B1104" s="117" t="str">
        <x:v>ProductItem_on_update_Rental_Order_Price_Roll_Up</x:v>
      </x:c>
      <x:c r="C1104" s="117" t="str">
        <x:v>Yes</x:v>
      </x:c>
      <x:c r="D1104" s="119" t="str">
        <x:v>Active v1 (Retrieved XML)</x:v>
      </x:c>
      <x:c r="E1104" s="117" t="str">
        <x:v>Rental_Order__c</x:v>
      </x:c>
      <x:c r="F1104" s="119" t="str">
        <x:v>Reference, Update</x:v>
      </x:c>
      <x:c r="G1104" s="117" t="str">
        <x:v>No</x:v>
      </x:c>
      <x:c r="H1104" s="117" t="str">
        <x:v>AutoLaunchedFlow</x:v>
      </x:c>
    </x:row>
    <x:row r="1105" ht="30" customHeight="1">
      <x:c r="A1105" s="117" t="str">
        <x:v>3004O000000LOsfQAG</x:v>
      </x:c>
      <x:c r="B1105" s="117" t="str">
        <x:v>Rental_Order</x:v>
      </x:c>
      <x:c r="C1105" s="117" t="str">
        <x:v>Yes</x:v>
      </x:c>
      <x:c r="D1105" s="119" t="str">
        <x:v>Active v9 (Retrieved XML)</x:v>
      </x:c>
      <x:c r="E1105" s="117" t="str">
        <x:v>Rental_Order__c</x:v>
      </x:c>
      <x:c r="F1105" s="119" t="str">
        <x:v>Reference, Update, Variable</x:v>
      </x:c>
      <x:c r="G1105" s="117" t="str">
        <x:v>No</x:v>
      </x:c>
      <x:c r="H1105" s="117" t="str">
        <x:v>Workflow</x:v>
      </x:c>
    </x:row>
    <x:row r="1106" ht="30" customHeight="1">
      <x:c r="A1106" s="117" t="str">
        <x:v>3004O000000LOsgQAG</x:v>
      </x:c>
      <x:c r="B1106" s="117" t="str">
        <x:v>Rental_Orders_create_RMA</x:v>
      </x:c>
      <x:c r="C1106" s="117" t="str">
        <x:v>No</x:v>
      </x:c>
      <x:c r="D1106" s="119" t="str">
        <x:v>Latest inactive v1 (Retrieved XML)</x:v>
      </x:c>
      <x:c r="E1106" s="117" t="str">
        <x:v>Rental_Order__c</x:v>
      </x:c>
      <x:c r="F1106" s="119" t="str">
        <x:v>Read, Reference</x:v>
      </x:c>
      <x:c r="G1106" s="117" t="str">
        <x:v>No</x:v>
      </x:c>
      <x:c r="H1106" s="117" t="str">
        <x:v>AutoLaunchedFlow</x:v>
      </x:c>
    </x:row>
    <x:row r="1107" ht="30" customHeight="1">
      <x:c r="A1107" s="117" t="str">
        <x:v>300Ro00000H90tRIAR</x:v>
      </x:c>
      <x:c r="B1107" s="117" t="str">
        <x:v>Add_Coverage_Level_to_Service_Appointment_On_Creation</x:v>
      </x:c>
      <x:c r="C1107" s="117" t="str">
        <x:v>Yes</x:v>
      </x:c>
      <x:c r="D1107" s="119" t="str">
        <x:v>Active v28 (Retrieved XML)</x:v>
      </x:c>
      <x:c r="E1107" s="117" t="str">
        <x:v>ServiceAppointment</x:v>
      </x:c>
      <x:c r="F1107" s="119" t="str">
        <x:v>Reference, Trigger, Variable</x:v>
      </x:c>
      <x:c r="G1107" s="117" t="str">
        <x:v>Yes</x:v>
      </x:c>
      <x:c r="H1107" s="117" t="str">
        <x:v>AutoLaunchedFlow</x:v>
      </x:c>
    </x:row>
    <x:row r="1108" ht="30" customHeight="1">
      <x:c r="A1108" s="117" t="str">
        <x:v>300Ro00000SgtMZIAZ</x:v>
      </x:c>
      <x:c r="B1108" s="117" t="str">
        <x:v>Assigned_Resource_Create_OR_Update_Service_Event</x:v>
      </x:c>
      <x:c r="C1108" s="117" t="str">
        <x:v>Yes</x:v>
      </x:c>
      <x:c r="D1108" s="119" t="str">
        <x:v>Active v6 (Tooling metadata)</x:v>
      </x:c>
      <x:c r="E1108" s="117" t="str">
        <x:v>ServiceAppointment</x:v>
      </x:c>
      <x:c r="F1108" s="119" t="str">
        <x:v>Reference, Update</x:v>
      </x:c>
      <x:c r="G1108" s="117" t="str">
        <x:v>No</x:v>
      </x:c>
      <x:c r="H1108" s="117" t="str">
        <x:v>AutoLaunchedFlow</x:v>
      </x:c>
    </x:row>
    <x:row r="1109" ht="30" customHeight="1">
      <x:c r="A1109" s="117" t="str">
        <x:v>300Ro00000REVFiIAP</x:v>
      </x:c>
      <x:c r="B1109" s="117" t="str">
        <x:v>Auto_Create_RMAs_from_Service_Appointments_for_UK</x:v>
      </x:c>
      <x:c r="C1109" s="117" t="str">
        <x:v>Yes</x:v>
      </x:c>
      <x:c r="D1109" s="119" t="str">
        <x:v>Active v7 (Retrieved XML)</x:v>
      </x:c>
      <x:c r="E1109" s="117" t="str">
        <x:v>ServiceAppointment</x:v>
      </x:c>
      <x:c r="F1109" s="119" t="str">
        <x:v>Reference, Trigger</x:v>
      </x:c>
      <x:c r="G1109" s="117" t="str">
        <x:v>Yes</x:v>
      </x:c>
      <x:c r="H1109" s="117" t="str">
        <x:v>AutoLaunchedFlow</x:v>
      </x:c>
    </x:row>
    <x:row r="1110" ht="30" customHeight="1">
      <x:c r="A1110" s="117" t="str">
        <x:v>300Ro00000Pz0kgIAB</x:v>
      </x:c>
      <x:c r="B1110" s="117" t="str">
        <x:v>C_ARM_Checklist</x:v>
      </x:c>
      <x:c r="C1110" s="117" t="str">
        <x:v>Yes</x:v>
      </x:c>
      <x:c r="D1110" s="119" t="str">
        <x:v>Active v32 (Retrieved XML)</x:v>
      </x:c>
      <x:c r="E1110" s="117" t="str">
        <x:v>ServiceAppointment</x:v>
      </x:c>
      <x:c r="F1110" s="119" t="str">
        <x:v>Read, Reference, Update</x:v>
      </x:c>
      <x:c r="G1110" s="117" t="str">
        <x:v>No</x:v>
      </x:c>
      <x:c r="H1110" s="117" t="str">
        <x:v>FieldServiceMobile</x:v>
      </x:c>
    </x:row>
    <x:row r="1111" ht="30" customHeight="1">
      <x:c r="A1111" s="117" t="str">
        <x:v>300Ro00000Pz0khIAB</x:v>
      </x:c>
      <x:c r="B1111" s="117" t="str">
        <x:v>Cardio_Labs_Checklist</x:v>
      </x:c>
      <x:c r="C1111" s="117" t="str">
        <x:v>Yes</x:v>
      </x:c>
      <x:c r="D1111" s="119" t="str">
        <x:v>Active v8 (Retrieved XML)</x:v>
      </x:c>
      <x:c r="E1111" s="117" t="str">
        <x:v>ServiceAppointment</x:v>
      </x:c>
      <x:c r="F1111" s="119" t="str">
        <x:v>Read, Reference, Update</x:v>
      </x:c>
      <x:c r="G1111" s="117" t="str">
        <x:v>No</x:v>
      </x:c>
      <x:c r="H1111" s="117" t="str">
        <x:v>FieldServiceMobile</x:v>
      </x:c>
    </x:row>
    <x:row r="1112" ht="30" customHeight="1">
      <x:c r="A1112" s="117" t="str">
        <x:v>300Ro00000V6HVlIAN</x:v>
      </x:c>
      <x:c r="B1112" s="117" t="str">
        <x:v>Contract_Line_Item_Trigger_Create_QA_Upon_Save</x:v>
      </x:c>
      <x:c r="C1112" s="117" t="str">
        <x:v>Yes</x:v>
      </x:c>
      <x:c r="D1112" s="119" t="str">
        <x:v>Active v1 (Retrieved XML)</x:v>
      </x:c>
      <x:c r="E1112" s="117" t="str">
        <x:v>ServiceAppointment</x:v>
      </x:c>
      <x:c r="F1112" s="119" t="str">
        <x:v>Create, Reference</x:v>
      </x:c>
      <x:c r="G1112" s="117" t="str">
        <x:v>No</x:v>
      </x:c>
      <x:c r="H1112" s="117" t="str">
        <x:v>AutoLaunchedFlow</x:v>
      </x:c>
    </x:row>
    <x:row r="1113" ht="30" customHeight="1">
      <x:c r="A1113" s="117" t="str">
        <x:v>300Ro00000cnT4bIAE</x:v>
      </x:c>
      <x:c r="B1113" s="117" t="str">
        <x:v>Create_and_Dispatch_Service_Appointment_from_FSL_App</x:v>
      </x:c>
      <x:c r="C1113" s="117" t="str">
        <x:v>Yes</x:v>
      </x:c>
      <x:c r="D1113" s="119" t="str">
        <x:v>Active v1 (Retrieved XML)</x:v>
      </x:c>
      <x:c r="E1113" s="117" t="str">
        <x:v>ServiceAppointment</x:v>
      </x:c>
      <x:c r="F1113" s="119" t="str">
        <x:v>Create, Reference, Update</x:v>
      </x:c>
      <x:c r="G1113" s="117" t="str">
        <x:v>No</x:v>
      </x:c>
      <x:c r="H1113" s="117" t="str">
        <x:v>FieldServiceMobile</x:v>
      </x:c>
    </x:row>
    <x:row r="1114" ht="30" customHeight="1">
      <x:c r="A1114" s="117" t="str">
        <x:v>3005b000000H3pgAAC</x:v>
      </x:c>
      <x:c r="B1114" s="117" t="str">
        <x:v>Create_Contract_Line_Items_Entitlements_and_Work_Orders_V4</x:v>
      </x:c>
      <x:c r="C1114" s="117" t="str">
        <x:v>Yes</x:v>
      </x:c>
      <x:c r="D1114" s="119" t="str">
        <x:v>Active v17 (Tooling metadata)</x:v>
      </x:c>
      <x:c r="E1114" s="117" t="str">
        <x:v>ServiceAppointment</x:v>
      </x:c>
      <x:c r="F1114" s="119" t="str">
        <x:v>Variable</x:v>
      </x:c>
      <x:c r="G1114" s="117" t="str">
        <x:v>No</x:v>
      </x:c>
      <x:c r="H1114" s="117" t="str">
        <x:v>Flow</x:v>
      </x:c>
    </x:row>
    <x:row r="1115" ht="30" customHeight="1">
      <x:c r="A1115" s="117" t="str">
        <x:v>300Ro00000kseeBIAQ</x:v>
      </x:c>
      <x:c r="B1115" s="117" t="str">
        <x:v>Create_Field_Service_Work_Order_in_Salesforce</x:v>
      </x:c>
      <x:c r="C1115" s="117" t="str">
        <x:v>Yes</x:v>
      </x:c>
      <x:c r="D1115" s="119" t="str">
        <x:v>Active v9 (Retrieved XML)</x:v>
      </x:c>
      <x:c r="E1115" s="117" t="str">
        <x:v>ServiceAppointment</x:v>
      </x:c>
      <x:c r="F1115" s="119" t="str">
        <x:v>Create, Reference, Variable</x:v>
      </x:c>
      <x:c r="G1115" s="117" t="str">
        <x:v>No</x:v>
      </x:c>
      <x:c r="H1115" s="117" t="str">
        <x:v>Flow</x:v>
      </x:c>
    </x:row>
    <x:row r="1116" ht="30" customHeight="1">
      <x:c r="A1116" s="117" t="str">
        <x:v>300jR000000BuwaQAC</x:v>
      </x:c>
      <x:c r="B1116" s="117" t="str">
        <x:v>Create_FSL_Work_Order_on_SF_Objects</x:v>
      </x:c>
      <x:c r="C1116" s="117" t="str">
        <x:v>Yes</x:v>
      </x:c>
      <x:c r="D1116" s="119" t="str">
        <x:v>Active v7 (Retrieved XML)</x:v>
      </x:c>
      <x:c r="E1116" s="117" t="str">
        <x:v>ServiceAppointment</x:v>
      </x:c>
      <x:c r="F1116" s="119" t="str">
        <x:v>Create, Reference, Update</x:v>
      </x:c>
      <x:c r="G1116" s="117" t="str">
        <x:v>No</x:v>
      </x:c>
      <x:c r="H1116" s="117" t="str">
        <x:v>Flow</x:v>
      </x:c>
    </x:row>
    <x:row r="1117" ht="30" customHeight="1">
      <x:c r="A1117" s="117" t="str">
        <x:v>3005b000000H3wSAAS</x:v>
      </x:c>
      <x:c r="B1117" s="117" t="str">
        <x:v>Create_Pricing_Request_from_Work_Order_Opportunity</x:v>
      </x:c>
      <x:c r="C1117" s="117" t="str">
        <x:v>Yes</x:v>
      </x:c>
      <x:c r="D1117" s="119" t="str">
        <x:v>Active v6 (Retrieved XML)</x:v>
      </x:c>
      <x:c r="E1117" s="117" t="str">
        <x:v>ServiceAppointment</x:v>
      </x:c>
      <x:c r="F1117" s="119" t="str">
        <x:v>Read, Reference, Variable</x:v>
      </x:c>
      <x:c r="G1117" s="117" t="str">
        <x:v>No</x:v>
      </x:c>
      <x:c r="H1117" s="117" t="str">
        <x:v>Flow</x:v>
      </x:c>
    </x:row>
    <x:row r="1118" ht="30" customHeight="1">
      <x:c r="A1118" s="117" t="str">
        <x:v>300Ro00000QRpykIAD</x:v>
      </x:c>
      <x:c r="B1118" s="117" t="str">
        <x:v>Create_Return_Service_Appointment_Upon_Return_Site_Visit_Required</x:v>
      </x:c>
      <x:c r="C1118" s="117" t="str">
        <x:v>Yes</x:v>
      </x:c>
      <x:c r="D1118" s="119" t="str">
        <x:v>Active v39 (Retrieved XML)</x:v>
      </x:c>
      <x:c r="E1118" s="117" t="str">
        <x:v>ServiceAppointment</x:v>
      </x:c>
      <x:c r="F1118" s="119" t="str">
        <x:v>Create, Reference, Trigger, Update</x:v>
      </x:c>
      <x:c r="G1118" s="117" t="str">
        <x:v>Yes</x:v>
      </x:c>
      <x:c r="H1118" s="117" t="str">
        <x:v>AutoLaunchedFlow</x:v>
      </x:c>
    </x:row>
    <x:row r="1119" ht="30" customHeight="1">
      <x:c r="A1119" s="117" t="str">
        <x:v>300Ro00000Pz0kiIAB</x:v>
      </x:c>
      <x:c r="B1119" s="117" t="str">
        <x:v>Create_SA_after_generating_Service_Appointment_return_visit</x:v>
      </x:c>
      <x:c r="C1119" s="117" t="str">
        <x:v>No</x:v>
      </x:c>
      <x:c r="D1119" s="119" t="str">
        <x:v>Latest inactive v2 (Retrieved XML)</x:v>
      </x:c>
      <x:c r="E1119" s="117" t="str">
        <x:v>ServiceAppointment</x:v>
      </x:c>
      <x:c r="F1119" s="119" t="str">
        <x:v>Create, Reference, Trigger</x:v>
      </x:c>
      <x:c r="G1119" s="117" t="str">
        <x:v>Yes</x:v>
      </x:c>
      <x:c r="H1119" s="117" t="str">
        <x:v>AutoLaunchedFlow</x:v>
      </x:c>
    </x:row>
    <x:row r="1120" ht="30" customHeight="1">
      <x:c r="A1120" s="117" t="str">
        <x:v>300Ro00000H90tTIAR</x:v>
      </x:c>
      <x:c r="B1120" s="117" t="str">
        <x:v>Create_Service_Calendar_Event_from_Service_Resource_UK</x:v>
      </x:c>
      <x:c r="C1120" s="117" t="str">
        <x:v>No</x:v>
      </x:c>
      <x:c r="D1120" s="119" t="str">
        <x:v>Latest inactive v13 (Retrieved XML)</x:v>
      </x:c>
      <x:c r="E1120" s="117" t="str">
        <x:v>ServiceAppointment</x:v>
      </x:c>
      <x:c r="F1120" s="119" t="str">
        <x:v>Reference, Update</x:v>
      </x:c>
      <x:c r="G1120" s="117" t="str">
        <x:v>No</x:v>
      </x:c>
      <x:c r="H1120" s="117" t="str">
        <x:v>AutoLaunchedFlow</x:v>
      </x:c>
    </x:row>
    <x:row r="1121" ht="30" customHeight="1">
      <x:c r="A1121" s="117" t="str">
        <x:v>3005b000000LJQkAAO</x:v>
      </x:c>
      <x:c r="B1121" s="117" t="str">
        <x:v>Create_Souring_from_Pricing</x:v>
      </x:c>
      <x:c r="C1121" s="117" t="str">
        <x:v>Yes</x:v>
      </x:c>
      <x:c r="D1121" s="119" t="str">
        <x:v>Active v29 (Retrieved XML)</x:v>
      </x:c>
      <x:c r="E1121" s="117" t="str">
        <x:v>ServiceAppointment</x:v>
      </x:c>
      <x:c r="F1121" s="119" t="str">
        <x:v>Reference, Update</x:v>
      </x:c>
      <x:c r="G1121" s="117" t="str">
        <x:v>No</x:v>
      </x:c>
      <x:c r="H1121" s="117" t="str">
        <x:v>Flow</x:v>
      </x:c>
    </x:row>
    <x:row r="1122" ht="30" customHeight="1">
      <x:c r="A1122" s="117" t="str">
        <x:v>300Ro00000UxU46IAF</x:v>
      </x:c>
      <x:c r="B1122" s="117" t="str">
        <x:v>Create_Support_Engineer_Site_Visit</x:v>
      </x:c>
      <x:c r="C1122" s="117" t="str">
        <x:v>Yes</x:v>
      </x:c>
      <x:c r="D1122" s="119" t="str">
        <x:v>Active v5 (Retrieved XML)</x:v>
      </x:c>
      <x:c r="E1122" s="117" t="str">
        <x:v>ServiceAppointment</x:v>
      </x:c>
      <x:c r="F1122" s="119" t="str">
        <x:v>Read, Reference, Variable</x:v>
      </x:c>
      <x:c r="G1122" s="117" t="str">
        <x:v>No</x:v>
      </x:c>
      <x:c r="H1122" s="117" t="str">
        <x:v>Flow</x:v>
      </x:c>
    </x:row>
    <x:row r="1123" ht="30" customHeight="1">
      <x:c r="A1123" s="117" t="str">
        <x:v>300Ro00000H90tUIAR</x:v>
      </x:c>
      <x:c r="B1123" s="117" t="str">
        <x:v>Create_UK_FSL_Work_Order</x:v>
      </x:c>
      <x:c r="C1123" s="117" t="str">
        <x:v>Yes</x:v>
      </x:c>
      <x:c r="D1123" s="119" t="str">
        <x:v>Active v15 (Retrieved XML)</x:v>
      </x:c>
      <x:c r="E1123" s="117" t="str">
        <x:v>ServiceAppointment</x:v>
      </x:c>
      <x:c r="F1123" s="119" t="str">
        <x:v>Create, Read, Reference</x:v>
      </x:c>
      <x:c r="G1123" s="117" t="str">
        <x:v>No</x:v>
      </x:c>
      <x:c r="H1123" s="117" t="str">
        <x:v>Flow</x:v>
      </x:c>
    </x:row>
    <x:row r="1124" ht="30" customHeight="1">
      <x:c r="A1124" s="117" t="str">
        <x:v>300Ro00000cwVgiIAE</x:v>
      </x:c>
      <x:c r="B1124" s="117" t="str">
        <x:v>Create_US_FSL_Work_Order</x:v>
      </x:c>
      <x:c r="C1124" s="117" t="str">
        <x:v>Yes</x:v>
      </x:c>
      <x:c r="D1124" s="119" t="str">
        <x:v>Active v1 (Retrieved XML)</x:v>
      </x:c>
      <x:c r="E1124" s="117" t="str">
        <x:v>ServiceAppointment</x:v>
      </x:c>
      <x:c r="F1124" s="119" t="str">
        <x:v>Create, Reference</x:v>
      </x:c>
      <x:c r="G1124" s="117" t="str">
        <x:v>No</x:v>
      </x:c>
      <x:c r="H1124" s="117" t="str">
        <x:v>Flow</x:v>
      </x:c>
    </x:row>
    <x:row r="1125" ht="30" customHeight="1">
      <x:c r="A1125" s="117" t="str">
        <x:v>300Ro00000cwVgjIAE</x:v>
      </x:c>
      <x:c r="B1125" s="117" t="str">
        <x:v>Create_US_FSL_Work_Order_From_Service_Asset</x:v>
      </x:c>
      <x:c r="C1125" s="117" t="str">
        <x:v>Yes</x:v>
      </x:c>
      <x:c r="D1125" s="119" t="str">
        <x:v>Active v1 (Retrieved XML)</x:v>
      </x:c>
      <x:c r="E1125" s="117" t="str">
        <x:v>ServiceAppointment</x:v>
      </x:c>
      <x:c r="F1125" s="119" t="str">
        <x:v>Create, Reference</x:v>
      </x:c>
      <x:c r="G1125" s="117" t="str">
        <x:v>No</x:v>
      </x:c>
      <x:c r="H1125" s="117" t="str">
        <x:v>Flow</x:v>
      </x:c>
    </x:row>
    <x:row r="1126" ht="30" customHeight="1">
      <x:c r="A1126" s="117" t="str">
        <x:v>300Ro00000aDxwqIAC</x:v>
      </x:c>
      <x:c r="B1126" s="117" t="str">
        <x:v>Create_Work_Orders_from_Contract_Renewal</x:v>
      </x:c>
      <x:c r="C1126" s="117" t="str">
        <x:v>Yes</x:v>
      </x:c>
      <x:c r="D1126" s="119" t="str">
        <x:v>Active v10 (Tooling metadata)</x:v>
      </x:c>
      <x:c r="E1126" s="117" t="str">
        <x:v>ServiceAppointment</x:v>
      </x:c>
      <x:c r="F1126" s="119" t="str">
        <x:v>Variable</x:v>
      </x:c>
      <x:c r="G1126" s="117" t="str">
        <x:v>No</x:v>
      </x:c>
      <x:c r="H1126" s="117" t="str">
        <x:v>AutoLaunchedFlow</x:v>
      </x:c>
    </x:row>
    <x:row r="1127" ht="30" customHeight="1">
      <x:c r="A1127" s="117" t="str">
        <x:v>300Ro00000Pz0kfIAB</x:v>
      </x:c>
      <x:c r="B1127" s="117" t="str">
        <x:v>CT_Checklist</x:v>
      </x:c>
      <x:c r="C1127" s="117" t="str">
        <x:v>Yes</x:v>
      </x:c>
      <x:c r="D1127" s="119" t="str">
        <x:v>Active v7 (Retrieved XML)</x:v>
      </x:c>
      <x:c r="E1127" s="117" t="str">
        <x:v>ServiceAppointment</x:v>
      </x:c>
      <x:c r="F1127" s="119" t="str">
        <x:v>Read, Reference, Update</x:v>
      </x:c>
      <x:c r="G1127" s="117" t="str">
        <x:v>No</x:v>
      </x:c>
      <x:c r="H1127" s="117" t="str">
        <x:v>FieldServiceMobile</x:v>
      </x:c>
    </x:row>
    <x:row r="1128" ht="30" customHeight="1">
      <x:c r="A1128" s="117" t="str">
        <x:v>300Ro00000VTASAIA5</x:v>
      </x:c>
      <x:c r="B1128" s="117" t="str">
        <x:v>Daily_Update_Scheduled_Jobs_for_Today_to_Dispatched</x:v>
      </x:c>
      <x:c r="C1128" s="117" t="str">
        <x:v>Yes</x:v>
      </x:c>
      <x:c r="D1128" s="119" t="str">
        <x:v>Active v1 (Retrieved XML)</x:v>
      </x:c>
      <x:c r="E1128" s="117" t="str">
        <x:v>ServiceAppointment</x:v>
      </x:c>
      <x:c r="F1128" s="119" t="str">
        <x:v>Reference, Trigger, Update</x:v>
      </x:c>
      <x:c r="G1128" s="117" t="str">
        <x:v>Yes</x:v>
      </x:c>
      <x:c r="H1128" s="117" t="str">
        <x:v>AutoLaunchedFlow</x:v>
      </x:c>
    </x:row>
    <x:row r="1129" ht="30" customHeight="1">
      <x:c r="A1129" s="117" t="str">
        <x:v>300Ro00000Pz0kkIAB</x:v>
      </x:c>
      <x:c r="B1129" s="117" t="str">
        <x:v>Dental_Checklist</x:v>
      </x:c>
      <x:c r="C1129" s="117" t="str">
        <x:v>Yes</x:v>
      </x:c>
      <x:c r="D1129" s="119" t="str">
        <x:v>Active v8 (Retrieved XML)</x:v>
      </x:c>
      <x:c r="E1129" s="117" t="str">
        <x:v>ServiceAppointment</x:v>
      </x:c>
      <x:c r="F1129" s="119" t="str">
        <x:v>Read, Reference, Update</x:v>
      </x:c>
      <x:c r="G1129" s="117" t="str">
        <x:v>No</x:v>
      </x:c>
      <x:c r="H1129" s="117" t="str">
        <x:v>FieldServiceMobile</x:v>
      </x:c>
    </x:row>
    <x:row r="1130" ht="30" customHeight="1">
      <x:c r="A1130" s="117" t="str">
        <x:v>300Ro00000Pz0kjIAB</x:v>
      </x:c>
      <x:c r="B1130" s="117" t="str">
        <x:v>DEXA_Checklist</x:v>
      </x:c>
      <x:c r="C1130" s="117" t="str">
        <x:v>Yes</x:v>
      </x:c>
      <x:c r="D1130" s="119" t="str">
        <x:v>Active v6 (Retrieved XML)</x:v>
      </x:c>
      <x:c r="E1130" s="117" t="str">
        <x:v>ServiceAppointment</x:v>
      </x:c>
      <x:c r="F1130" s="119" t="str">
        <x:v>Read, Reference, Update</x:v>
      </x:c>
      <x:c r="G1130" s="117" t="str">
        <x:v>No</x:v>
      </x:c>
      <x:c r="H1130" s="117" t="str">
        <x:v>FieldServiceMobile</x:v>
      </x:c>
    </x:row>
    <x:row r="1131" ht="30" customHeight="1">
      <x:c r="A1131" s="117" t="str">
        <x:v>300Ro00000QRjbbIAD</x:v>
      </x:c>
      <x:c r="B1131" s="117" t="str">
        <x:v>FSL_App_Upload_Pictures_Screen_Flow</x:v>
      </x:c>
      <x:c r="C1131" s="117" t="str">
        <x:v>Yes</x:v>
      </x:c>
      <x:c r="D1131" s="119" t="str">
        <x:v>Active v2 (Retrieved XML)</x:v>
      </x:c>
      <x:c r="E1131" s="117" t="str">
        <x:v>ServiceAppointment</x:v>
      </x:c>
      <x:c r="F1131" s="119" t="str">
        <x:v>Read, Reference</x:v>
      </x:c>
      <x:c r="G1131" s="117" t="str">
        <x:v>No</x:v>
      </x:c>
      <x:c r="H1131" s="117" t="str">
        <x:v>FieldServiceMobile</x:v>
      </x:c>
    </x:row>
    <x:row r="1132" ht="30" customHeight="1">
      <x:c r="A1132" s="117" t="str">
        <x:v>300Ro00000ydLuvIAE</x:v>
      </x:c>
      <x:c r="B1132" s="117" t="str">
        <x:v>FSL_Close_Out_Service_Appointment_Field_Service_Mobile_Flow</x:v>
      </x:c>
      <x:c r="C1132" s="117" t="str">
        <x:v>No</x:v>
      </x:c>
      <x:c r="D1132" s="119" t="str">
        <x:v>Latest inactive v4 (Retrieved XML)</x:v>
      </x:c>
      <x:c r="E1132" s="117" t="str">
        <x:v>ServiceAppointment</x:v>
      </x:c>
      <x:c r="F1132" s="119" t="str">
        <x:v>Read, Reference, Update, Variable</x:v>
      </x:c>
      <x:c r="G1132" s="117" t="str">
        <x:v>No</x:v>
      </x:c>
      <x:c r="H1132" s="117" t="str">
        <x:v>FieldServiceMobile</x:v>
      </x:c>
    </x:row>
    <x:row r="1133" ht="30" customHeight="1">
      <x:c r="A1133" s="117" t="str">
        <x:v>300Ro00000sJizMIAS</x:v>
      </x:c>
      <x:c r="B1133" s="117" t="str">
        <x:v>FSL_CR_Checklist</x:v>
      </x:c>
      <x:c r="C1133" s="117" t="str">
        <x:v>Yes</x:v>
      </x:c>
      <x:c r="D1133" s="119" t="str">
        <x:v>Active v6 (Retrieved XML)</x:v>
      </x:c>
      <x:c r="E1133" s="117" t="str">
        <x:v>ServiceAppointment</x:v>
      </x:c>
      <x:c r="F1133" s="119" t="str">
        <x:v>Read, Reference, Update</x:v>
      </x:c>
      <x:c r="G1133" s="117" t="str">
        <x:v>No</x:v>
      </x:c>
      <x:c r="H1133" s="117" t="str">
        <x:v>FieldServiceMobile</x:v>
      </x:c>
    </x:row>
    <x:row r="1134" ht="30" customHeight="1">
      <x:c r="A1134" s="117" t="str">
        <x:v>300Ro00000XP224IAD</x:v>
      </x:c>
      <x:c r="B1134" s="117" t="str">
        <x:v>FSL_Engineer_Dispatched_Email_Alert</x:v>
      </x:c>
      <x:c r="C1134" s="117" t="str">
        <x:v>Yes</x:v>
      </x:c>
      <x:c r="D1134" s="119" t="str">
        <x:v>Active v8 (Retrieved XML)</x:v>
      </x:c>
      <x:c r="E1134" s="117" t="str">
        <x:v>ServiceAppointment</x:v>
      </x:c>
      <x:c r="F1134" s="119" t="str">
        <x:v>Reference, Trigger</x:v>
      </x:c>
      <x:c r="G1134" s="117" t="str">
        <x:v>Yes</x:v>
      </x:c>
      <x:c r="H1134" s="117" t="str">
        <x:v>AutoLaunchedFlow</x:v>
      </x:c>
    </x:row>
    <x:row r="1135" ht="30" customHeight="1">
      <x:c r="A1135" s="117" t="str">
        <x:v>300Ro00000vEXZZIA4</x:v>
      </x:c>
      <x:c r="B1135" s="117" t="str">
        <x:v>FSL_Field_Service_Mobile_Flow_Nuclear_Medicine_Checklist</x:v>
      </x:c>
      <x:c r="C1135" s="117" t="str">
        <x:v>No</x:v>
      </x:c>
      <x:c r="D1135" s="119" t="str">
        <x:v>Latest inactive v2 (Retrieved XML)</x:v>
      </x:c>
      <x:c r="E1135" s="117" t="str">
        <x:v>ServiceAppointment</x:v>
      </x:c>
      <x:c r="F1135" s="119" t="str">
        <x:v>Read, Reference, Update</x:v>
      </x:c>
      <x:c r="G1135" s="117" t="str">
        <x:v>No</x:v>
      </x:c>
      <x:c r="H1135" s="117" t="str">
        <x:v>FieldServiceMobile</x:v>
      </x:c>
    </x:row>
    <x:row r="1136" ht="30" customHeight="1">
      <x:c r="A1136" s="117" t="str">
        <x:v>300Ro00000pEARxIAO</x:v>
      </x:c>
      <x:c r="B1136" s="117" t="str">
        <x:v>FSL_Formatted_HTML_Service_Report_Update</x:v>
      </x:c>
      <x:c r="C1136" s="117" t="str">
        <x:v>Yes</x:v>
      </x:c>
      <x:c r="D1136" s="119" t="str">
        <x:v>Active v35 (Retrieved XML)</x:v>
      </x:c>
      <x:c r="E1136" s="117" t="str">
        <x:v>ServiceAppointment</x:v>
      </x:c>
      <x:c r="F1136" s="119" t="str">
        <x:v>Reference, Trigger, Update</x:v>
      </x:c>
      <x:c r="G1136" s="117" t="str">
        <x:v>Yes</x:v>
      </x:c>
      <x:c r="H1136" s="117" t="str">
        <x:v>AutoLaunchedFlow</x:v>
      </x:c>
    </x:row>
    <x:row r="1137" ht="30" customHeight="1">
      <x:c r="A1137" s="117" t="str">
        <x:v>300Ro00000mjG6bIAE</x:v>
      </x:c>
      <x:c r="B1137" s="117" t="str">
        <x:v>FSL_Formatted_Service_Report_Update</x:v>
      </x:c>
      <x:c r="C1137" s="117" t="str">
        <x:v>No</x:v>
      </x:c>
      <x:c r="D1137" s="119" t="str">
        <x:v>Latest inactive v51 (Retrieved XML)</x:v>
      </x:c>
      <x:c r="E1137" s="117" t="str">
        <x:v>ServiceAppointment</x:v>
      </x:c>
      <x:c r="F1137" s="119" t="str">
        <x:v>Reference, Trigger, Update</x:v>
      </x:c>
      <x:c r="G1137" s="117" t="str">
        <x:v>Yes</x:v>
      </x:c>
      <x:c r="H1137" s="117" t="str">
        <x:v>AutoLaunchedFlow</x:v>
      </x:c>
    </x:row>
    <x:row r="1138" ht="30" customHeight="1">
      <x:c r="A1138" s="117" t="str">
        <x:v>300Ro00000S83DZIAZ</x:v>
      </x:c>
      <x:c r="B1138" s="117" t="str">
        <x:v>FSL_Mobile_Create_Lead_Autolaunched</x:v>
      </x:c>
      <x:c r="C1138" s="117" t="str">
        <x:v>Yes</x:v>
      </x:c>
      <x:c r="D1138" s="119" t="str">
        <x:v>Active v5 (Tooling metadata)</x:v>
      </x:c>
      <x:c r="E1138" s="117" t="str">
        <x:v>ServiceAppointment</x:v>
      </x:c>
      <x:c r="F1138" s="119" t="str">
        <x:v>Read, Reference</x:v>
      </x:c>
      <x:c r="G1138" s="117" t="str">
        <x:v>No</x:v>
      </x:c>
      <x:c r="H1138" s="117" t="str">
        <x:v>FieldServiceMobile</x:v>
      </x:c>
    </x:row>
    <x:row r="1139" ht="30" customHeight="1">
      <x:c r="A1139" s="117" t="str">
        <x:v>300Ro00000cnT4mIAE</x:v>
      </x:c>
      <x:c r="B1139" s="117" t="str">
        <x:v>FSL_Mobile_Create_Lead_US</x:v>
      </x:c>
      <x:c r="C1139" s="117" t="str">
        <x:v>Yes</x:v>
      </x:c>
      <x:c r="D1139" s="119" t="str">
        <x:v>Active v34 (Retrieved XML)</x:v>
      </x:c>
      <x:c r="E1139" s="117" t="str">
        <x:v>ServiceAppointment</x:v>
      </x:c>
      <x:c r="F1139" s="119" t="str">
        <x:v>Choice Read, Create, Read, Reference, Variable</x:v>
      </x:c>
      <x:c r="G1139" s="117" t="str">
        <x:v>No</x:v>
      </x:c>
      <x:c r="H1139" s="117" t="str">
        <x:v>FieldServiceMobile</x:v>
      </x:c>
    </x:row>
    <x:row r="1140" ht="30" customHeight="1">
      <x:c r="A1140" s="117" t="str">
        <x:v>300Ro00000qOg6fIAC</x:v>
      </x:c>
      <x:c r="B1140" s="117" t="str">
        <x:v>FSL_Mobile_End_Screen_for_FSL_PDF_Generation</x:v>
      </x:c>
      <x:c r="C1140" s="117" t="str">
        <x:v>Yes</x:v>
      </x:c>
      <x:c r="D1140" s="119" t="str">
        <x:v>Active v15 (Retrieved XML)</x:v>
      </x:c>
      <x:c r="E1140" s="117" t="str">
        <x:v>ServiceAppointment</x:v>
      </x:c>
      <x:c r="F1140" s="119" t="str">
        <x:v>Read, Reference, Variable</x:v>
      </x:c>
      <x:c r="G1140" s="117" t="str">
        <x:v>No</x:v>
      </x:c>
      <x:c r="H1140" s="117" t="str">
        <x:v>FieldServiceMobile</x:v>
      </x:c>
    </x:row>
    <x:row r="1141" ht="30" customHeight="1">
      <x:c r="A1141" s="117" t="str">
        <x:v>300Ro00000pvIVtIAM</x:v>
      </x:c>
      <x:c r="B1141" s="117" t="str">
        <x:v>FSL_Mobile_Service_Appointment_Closeout</x:v>
      </x:c>
      <x:c r="C1141" s="117" t="str">
        <x:v>Yes</x:v>
      </x:c>
      <x:c r="D1141" s="119" t="str">
        <x:v>Active v1 (Retrieved XML)</x:v>
      </x:c>
      <x:c r="E1141" s="117" t="str">
        <x:v>ServiceAppointment</x:v>
      </x:c>
      <x:c r="F1141" s="119" t="str">
        <x:v>Read, Reference, Update, Variable</x:v>
      </x:c>
      <x:c r="G1141" s="117" t="str">
        <x:v>No</x:v>
      </x:c>
      <x:c r="H1141" s="117" t="str">
        <x:v>FieldServiceMobile</x:v>
      </x:c>
    </x:row>
    <x:row r="1142" ht="30" customHeight="1">
      <x:c r="A1142" s="117" t="str">
        <x:v>300Ro00000cnT4nIAE</x:v>
      </x:c>
      <x:c r="B1142" s="117" t="str">
        <x:v>FSL_Parts_Order</x:v>
      </x:c>
      <x:c r="C1142" s="117" t="str">
        <x:v>No</x:v>
      </x:c>
      <x:c r="D1142" s="119" t="str">
        <x:v>Latest inactive v1 (Retrieved XML)</x:v>
      </x:c>
      <x:c r="E1142" s="117" t="str">
        <x:v>ServiceAppointment</x:v>
      </x:c>
      <x:c r="F1142" s="119" t="str">
        <x:v>Read, Reference</x:v>
      </x:c>
      <x:c r="G1142" s="117" t="str">
        <x:v>No</x:v>
      </x:c>
      <x:c r="H1142" s="117" t="str">
        <x:v>Flow</x:v>
      </x:c>
    </x:row>
    <x:row r="1143" ht="30" customHeight="1">
      <x:c r="A1143" s="117" t="str">
        <x:v>300Ro00000SQcUYIA1</x:v>
      </x:c>
      <x:c r="B1143" s="117" t="str">
        <x:v>FSL_Screen_Flow_Update_Checksheet_Output_After_It_s_Been_Generated</x:v>
      </x:c>
      <x:c r="C1143" s="117" t="str">
        <x:v>Yes</x:v>
      </x:c>
      <x:c r="D1143" s="119" t="str">
        <x:v>Active v5 (Tooling metadata)</x:v>
      </x:c>
      <x:c r="E1143" s="117" t="str">
        <x:v>ServiceAppointment</x:v>
      </x:c>
      <x:c r="F1143" s="119" t="str">
        <x:v>Read, Reference, Update</x:v>
      </x:c>
      <x:c r="G1143" s="117" t="str">
        <x:v>No</x:v>
      </x:c>
      <x:c r="H1143" s="117" t="str">
        <x:v>FieldServiceMobile</x:v>
      </x:c>
    </x:row>
    <x:row r="1144" ht="30" customHeight="1">
      <x:c r="A1144" s="117" t="str">
        <x:v>300Ro00000cnT4cIAE</x:v>
      </x:c>
      <x:c r="B1144" s="117" t="str">
        <x:v>FSL_Screen_Request_Parts_on_WO</x:v>
      </x:c>
      <x:c r="C1144" s="117" t="str">
        <x:v>Yes</x:v>
      </x:c>
      <x:c r="D1144" s="119" t="str">
        <x:v>Active v137 (Retrieved XML)</x:v>
      </x:c>
      <x:c r="E1144" s="117" t="str">
        <x:v>ServiceAppointment</x:v>
      </x:c>
      <x:c r="F1144" s="119" t="str">
        <x:v>Read, Reference, Variable</x:v>
      </x:c>
      <x:c r="G1144" s="117" t="str">
        <x:v>No</x:v>
      </x:c>
      <x:c r="H1144" s="117" t="str">
        <x:v>FieldServiceMobile</x:v>
      </x:c>
    </x:row>
    <x:row r="1145" ht="30" customHeight="1">
      <x:c r="A1145" s="117" t="str">
        <x:v>300Ro00000SLPtAIAX</x:v>
      </x:c>
      <x:c r="B1145" s="117" t="str">
        <x:v>FSL_Screen_SA_Closeout_on_Desktop</x:v>
      </x:c>
      <x:c r="C1145" s="117" t="str">
        <x:v>Yes</x:v>
      </x:c>
      <x:c r="D1145" s="119" t="str">
        <x:v>Active v18 (Retrieved XML)</x:v>
      </x:c>
      <x:c r="E1145" s="117" t="str">
        <x:v>ServiceAppointment</x:v>
      </x:c>
      <x:c r="F1145" s="119" t="str">
        <x:v>Read, Reference, Update</x:v>
      </x:c>
      <x:c r="G1145" s="117" t="str">
        <x:v>No</x:v>
      </x:c>
      <x:c r="H1145" s="117" t="str">
        <x:v>Flow</x:v>
      </x:c>
    </x:row>
    <x:row r="1146" ht="30" customHeight="1">
      <x:c r="A1146" s="117" t="str">
        <x:v>300Ro00000srgJqIAI</x:v>
      </x:c>
      <x:c r="B1146" s="117" t="str">
        <x:v>FSL_Service_Appointment_Collect_Assets</x:v>
      </x:c>
      <x:c r="C1146" s="117" t="str">
        <x:v>Yes</x:v>
      </x:c>
      <x:c r="D1146" s="119" t="str">
        <x:v>Active v19 (Retrieved XML)</x:v>
      </x:c>
      <x:c r="E1146" s="117" t="str">
        <x:v>ServiceAppointment</x:v>
      </x:c>
      <x:c r="F1146" s="119" t="str">
        <x:v>Read, Reference, Update, Variable</x:v>
      </x:c>
      <x:c r="G1146" s="117" t="str">
        <x:v>No</x:v>
      </x:c>
      <x:c r="H1146" s="117" t="str">
        <x:v>FieldServiceMobile</x:v>
      </x:c>
    </x:row>
    <x:row r="1147" ht="30" customHeight="1">
      <x:c r="A1147" s="117" t="str">
        <x:v>300Ro00000qOn88IAC</x:v>
      </x:c>
      <x:c r="B1147" s="117" t="str">
        <x:v>FSL_Service_Appointment_Work_Order_Country_Checker</x:v>
      </x:c>
      <x:c r="C1147" s="117" t="str">
        <x:v>Yes</x:v>
      </x:c>
      <x:c r="D1147" s="119" t="str">
        <x:v>Active v2 (Retrieved XML)</x:v>
      </x:c>
      <x:c r="E1147" s="117" t="str">
        <x:v>ServiceAppointment</x:v>
      </x:c>
      <x:c r="F1147" s="119" t="str">
        <x:v>Reference, Trigger</x:v>
      </x:c>
      <x:c r="G1147" s="117" t="str">
        <x:v>Yes</x:v>
      </x:c>
      <x:c r="H1147" s="117" t="str">
        <x:v>AutoLaunchedFlow</x:v>
      </x:c>
    </x:row>
    <x:row r="1148" ht="30" customHeight="1">
      <x:c r="A1148" s="117" t="str">
        <x:v>300Ro00000otBqsIAE</x:v>
      </x:c>
      <x:c r="B1148" s="117" t="str">
        <x:v>FSL_Set_Service_Report_Layout_ID_on_Checklist_Type_Update</x:v>
      </x:c>
      <x:c r="C1148" s="117" t="str">
        <x:v>Yes</x:v>
      </x:c>
      <x:c r="D1148" s="119" t="str">
        <x:v>Active v16 (Retrieved XML)</x:v>
      </x:c>
      <x:c r="E1148" s="117" t="str">
        <x:v>ServiceAppointment</x:v>
      </x:c>
      <x:c r="F1148" s="119" t="str">
        <x:v>Reference, Trigger, Update</x:v>
      </x:c>
      <x:c r="G1148" s="117" t="str">
        <x:v>Yes</x:v>
      </x:c>
      <x:c r="H1148" s="117" t="str">
        <x:v>AutoLaunchedFlow</x:v>
      </x:c>
    </x:row>
    <x:row r="1149" ht="30" customHeight="1">
      <x:c r="A1149" s="117" t="str">
        <x:v>300Ro000013byfhIAA</x:v>
      </x:c>
      <x:c r="B1149" s="117" t="str">
        <x:v>FSL_Ultrasound_Electrical_Safety_Tests_Checklist</x:v>
      </x:c>
      <x:c r="C1149" s="117" t="str">
        <x:v>Yes</x:v>
      </x:c>
      <x:c r="D1149" s="119" t="str">
        <x:v>Active v2 (Retrieved XML)</x:v>
      </x:c>
      <x:c r="E1149" s="117" t="str">
        <x:v>ServiceAppointment</x:v>
      </x:c>
      <x:c r="F1149" s="119" t="str">
        <x:v>Read, Reference, Update</x:v>
      </x:c>
      <x:c r="G1149" s="117" t="str">
        <x:v>No</x:v>
      </x:c>
      <x:c r="H1149" s="117" t="str">
        <x:v>FieldServiceMobile</x:v>
      </x:c>
    </x:row>
    <x:row r="1150" ht="30" customHeight="1">
      <x:c r="A1150" s="117" t="str">
        <x:v>300Ro00000XP4yIIAT</x:v>
      </x:c>
      <x:c r="B1150" s="117" t="str">
        <x:v>FSL_Update_Progress_Note_with_Parent_Recorod_Work_Order</x:v>
      </x:c>
      <x:c r="C1150" s="117" t="str">
        <x:v>Yes</x:v>
      </x:c>
      <x:c r="D1150" s="119" t="str">
        <x:v>Active v1 (Retrieved XML)</x:v>
      </x:c>
      <x:c r="E1150" s="117" t="str">
        <x:v>ServiceAppointment</x:v>
      </x:c>
      <x:c r="F1150" s="119" t="str">
        <x:v>Read, Reference</x:v>
      </x:c>
      <x:c r="G1150" s="117" t="str">
        <x:v>No</x:v>
      </x:c>
      <x:c r="H1150" s="117" t="str">
        <x:v>AutoLaunchedFlow</x:v>
      </x:c>
    </x:row>
    <x:row r="1151" ht="30" customHeight="1">
      <x:c r="A1151" s="117" t="str">
        <x:v>300Ro00000y33GaIAI</x:v>
      </x:c>
      <x:c r="B1151" s="117" t="str">
        <x:v>Generate_Mechanical_Services_Work_Order_Screen_Flow</x:v>
      </x:c>
      <x:c r="C1151" s="117" t="str">
        <x:v>No</x:v>
      </x:c>
      <x:c r="D1151" s="119" t="str">
        <x:v>Latest inactive v1 (Retrieved XML)</x:v>
      </x:c>
      <x:c r="E1151" s="117" t="str">
        <x:v>ServiceAppointment</x:v>
      </x:c>
      <x:c r="F1151" s="119" t="str">
        <x:v>Create, Reference, Variable</x:v>
      </x:c>
      <x:c r="G1151" s="117" t="str">
        <x:v>No</x:v>
      </x:c>
      <x:c r="H1151" s="117" t="str">
        <x:v>Flow</x:v>
      </x:c>
    </x:row>
    <x:row r="1152" ht="30" customHeight="1">
      <x:c r="A1152" s="117" t="str">
        <x:v>300Ro00000Pz0klIAB</x:v>
      </x:c>
      <x:c r="B1152" s="117" t="str">
        <x:v>Injector_Checklist</x:v>
      </x:c>
      <x:c r="C1152" s="117" t="str">
        <x:v>Yes</x:v>
      </x:c>
      <x:c r="D1152" s="119" t="str">
        <x:v>Active v4 (Tooling metadata)</x:v>
      </x:c>
      <x:c r="E1152" s="117" t="str">
        <x:v>ServiceAppointment</x:v>
      </x:c>
      <x:c r="F1152" s="119" t="str">
        <x:v>Read, Reference, Update</x:v>
      </x:c>
      <x:c r="G1152" s="117" t="str">
        <x:v>No</x:v>
      </x:c>
      <x:c r="H1152" s="117" t="str">
        <x:v>FieldServiceMobile</x:v>
      </x:c>
    </x:row>
    <x:row r="1153" ht="30" customHeight="1">
      <x:c r="A1153" s="117" t="str">
        <x:v>300Ro00000Pz0kmIAB</x:v>
      </x:c>
      <x:c r="B1153" s="117" t="str">
        <x:v>IntraoralChecklist</x:v>
      </x:c>
      <x:c r="C1153" s="117" t="str">
        <x:v>Yes</x:v>
      </x:c>
      <x:c r="D1153" s="119" t="str">
        <x:v>Active v6 (Retrieved XML)</x:v>
      </x:c>
      <x:c r="E1153" s="117" t="str">
        <x:v>ServiceAppointment</x:v>
      </x:c>
      <x:c r="F1153" s="119" t="str">
        <x:v>Read, Reference, Update</x:v>
      </x:c>
      <x:c r="G1153" s="117" t="str">
        <x:v>No</x:v>
      </x:c>
      <x:c r="H1153" s="117" t="str">
        <x:v>FieldServiceMobile</x:v>
      </x:c>
    </x:row>
    <x:row r="1154" ht="30" customHeight="1">
      <x:c r="A1154" s="117" t="str">
        <x:v>300Ro00000Pz0knIAB</x:v>
      </x:c>
      <x:c r="B1154" s="117" t="str">
        <x:v>Iradimed_Infusion_Pump_Checklist</x:v>
      </x:c>
      <x:c r="C1154" s="117" t="str">
        <x:v>Yes</x:v>
      </x:c>
      <x:c r="D1154" s="119" t="str">
        <x:v>Active v4 (Retrieved XML)</x:v>
      </x:c>
      <x:c r="E1154" s="117" t="str">
        <x:v>ServiceAppointment</x:v>
      </x:c>
      <x:c r="F1154" s="119" t="str">
        <x:v>Read, Reference, Update</x:v>
      </x:c>
      <x:c r="G1154" s="117" t="str">
        <x:v>No</x:v>
      </x:c>
      <x:c r="H1154" s="117" t="str">
        <x:v>FieldServiceMobile</x:v>
      </x:c>
    </x:row>
    <x:row r="1155" ht="30" customHeight="1">
      <x:c r="A1155" s="117" t="str">
        <x:v>300Ro00000Pz0koIAB</x:v>
      </x:c>
      <x:c r="B1155" s="117" t="str">
        <x:v>Iradimed_Patient_Monitor_Checklist</x:v>
      </x:c>
      <x:c r="C1155" s="117" t="str">
        <x:v>Yes</x:v>
      </x:c>
      <x:c r="D1155" s="119" t="str">
        <x:v>Active v4 (Retrieved XML)</x:v>
      </x:c>
      <x:c r="E1155" s="117" t="str">
        <x:v>ServiceAppointment</x:v>
      </x:c>
      <x:c r="F1155" s="119" t="str">
        <x:v>Read, Reference, Update</x:v>
      </x:c>
      <x:c r="G1155" s="117" t="str">
        <x:v>No</x:v>
      </x:c>
      <x:c r="H1155" s="117" t="str">
        <x:v>FieldServiceMobile</x:v>
      </x:c>
    </x:row>
    <x:row r="1156" ht="30" customHeight="1">
      <x:c r="A1156" s="117" t="str">
        <x:v>300Ro00000e6lWiIAI</x:v>
      </x:c>
      <x:c r="B1156" s="117" t="str">
        <x:v>Lead_Trigger_Notify_Ultrasound_Team_Upon_Creation</x:v>
      </x:c>
      <x:c r="C1156" s="117" t="str">
        <x:v>Yes</x:v>
      </x:c>
      <x:c r="D1156" s="119" t="str">
        <x:v>Active v4 (Retrieved XML)</x:v>
      </x:c>
      <x:c r="E1156" s="117" t="str">
        <x:v>ServiceAppointment</x:v>
      </x:c>
      <x:c r="F1156" s="119" t="str">
        <x:v>Read, Reference</x:v>
      </x:c>
      <x:c r="G1156" s="117" t="str">
        <x:v>No</x:v>
      </x:c>
      <x:c r="H1156" s="117" t="str">
        <x:v>AutoLaunchedFlow</x:v>
      </x:c>
    </x:row>
    <x:row r="1157" ht="30" customHeight="1">
      <x:c r="A1157" s="117" t="str">
        <x:v>300Ro00000Pz0kqIAB</x:v>
      </x:c>
      <x:c r="B1157" s="117" t="str">
        <x:v>Mammography_Checklist</x:v>
      </x:c>
      <x:c r="C1157" s="117" t="str">
        <x:v>Yes</x:v>
      </x:c>
      <x:c r="D1157" s="119" t="str">
        <x:v>Active v10 (Retrieved XML)</x:v>
      </x:c>
      <x:c r="E1157" s="117" t="str">
        <x:v>ServiceAppointment</x:v>
      </x:c>
      <x:c r="F1157" s="119" t="str">
        <x:v>Read, Reference, Update</x:v>
      </x:c>
      <x:c r="G1157" s="117" t="str">
        <x:v>No</x:v>
      </x:c>
      <x:c r="H1157" s="117" t="str">
        <x:v>FieldServiceMobile</x:v>
      </x:c>
    </x:row>
    <x:row r="1158" ht="30" customHeight="1">
      <x:c r="A1158" s="117" t="str">
        <x:v>300Ro00000Pz0krIAB</x:v>
      </x:c>
      <x:c r="B1158" s="117" t="str">
        <x:v>Mobile_X_Ray_Checklist</x:v>
      </x:c>
      <x:c r="C1158" s="117" t="str">
        <x:v>Yes</x:v>
      </x:c>
      <x:c r="D1158" s="119" t="str">
        <x:v>Active v12 (Retrieved XML)</x:v>
      </x:c>
      <x:c r="E1158" s="117" t="str">
        <x:v>ServiceAppointment</x:v>
      </x:c>
      <x:c r="F1158" s="119" t="str">
        <x:v>Read, Reference, Update</x:v>
      </x:c>
      <x:c r="G1158" s="117" t="str">
        <x:v>No</x:v>
      </x:c>
      <x:c r="H1158" s="117" t="str">
        <x:v>FieldServiceMobile</x:v>
      </x:c>
    </x:row>
    <x:row r="1159" ht="30" customHeight="1">
      <x:c r="A1159" s="117" t="str">
        <x:v>300Ro00000Pz0kpIAB</x:v>
      </x:c>
      <x:c r="B1159" s="117" t="str">
        <x:v>MRI_Checklist</x:v>
      </x:c>
      <x:c r="C1159" s="117" t="str">
        <x:v>Yes</x:v>
      </x:c>
      <x:c r="D1159" s="119" t="str">
        <x:v>Active v3 (Tooling metadata)</x:v>
      </x:c>
      <x:c r="E1159" s="117" t="str">
        <x:v>ServiceAppointment</x:v>
      </x:c>
      <x:c r="F1159" s="119" t="str">
        <x:v>Reference, Update</x:v>
      </x:c>
      <x:c r="G1159" s="117" t="str">
        <x:v>No</x:v>
      </x:c>
      <x:c r="H1159" s="117" t="str">
        <x:v>FieldServiceMobile</x:v>
      </x:c>
    </x:row>
    <x:row r="1160" ht="30" customHeight="1">
      <x:c r="A1160" s="117" t="str">
        <x:v>3005b000000H3eJAAS</x:v>
      </x:c>
      <x:c r="B1160" s="117" t="str">
        <x:v>New_Parts_Opportunity_From_Work_Orker</x:v>
      </x:c>
      <x:c r="C1160" s="117" t="str">
        <x:v>Yes</x:v>
      </x:c>
      <x:c r="D1160" s="119" t="str">
        <x:v>Active v62 (Retrieved XML)</x:v>
      </x:c>
      <x:c r="E1160" s="117" t="str">
        <x:v>ServiceAppointment</x:v>
      </x:c>
      <x:c r="F1160" s="119" t="str">
        <x:v>Read, Reference, Variable</x:v>
      </x:c>
      <x:c r="G1160" s="117" t="str">
        <x:v>No</x:v>
      </x:c>
      <x:c r="H1160" s="117" t="str">
        <x:v>Flow</x:v>
      </x:c>
    </x:row>
    <x:row r="1161" ht="30" customHeight="1">
      <x:c r="A1161" s="117" t="str">
        <x:v>300Ro00000REVFjIAP</x:v>
      </x:c>
      <x:c r="B1161" s="117" t="str">
        <x:v>On_Create_of_SRI_Check_if_SA_status_needs_to_be_updated</x:v>
      </x:c>
      <x:c r="C1161" s="117" t="str">
        <x:v>Yes</x:v>
      </x:c>
      <x:c r="D1161" s="119" t="str">
        <x:v>Active v1 (Retrieved XML)</x:v>
      </x:c>
      <x:c r="E1161" s="117" t="str">
        <x:v>ServiceAppointment</x:v>
      </x:c>
      <x:c r="F1161" s="119" t="str">
        <x:v>Variable</x:v>
      </x:c>
      <x:c r="G1161" s="117" t="str">
        <x:v>No</x:v>
      </x:c>
      <x:c r="H1161" s="117" t="str">
        <x:v>AutoLaunchedFlow</x:v>
      </x:c>
    </x:row>
    <x:row r="1162" ht="30" customHeight="1">
      <x:c r="A1162" s="117" t="str">
        <x:v>300Ro00000vmQvUIAU</x:v>
      </x:c>
      <x:c r="B1162" s="117" t="str">
        <x:v>On_Creation_of_Service_Appointment_Set_Shipping_Account_to_Bill_Customer_Fedex_S</x:v>
      </x:c>
      <x:c r="C1162" s="117" t="str">
        <x:v>Yes</x:v>
      </x:c>
      <x:c r="D1162" s="119" t="str">
        <x:v>Active v1 (Retrieved XML)</x:v>
      </x:c>
      <x:c r="E1162" s="117" t="str">
        <x:v>ServiceAppointment</x:v>
      </x:c>
      <x:c r="F1162" s="119" t="str">
        <x:v>Reference, Trigger, Update</x:v>
      </x:c>
      <x:c r="G1162" s="117" t="str">
        <x:v>Yes</x:v>
      </x:c>
      <x:c r="H1162" s="117" t="str">
        <x:v>AutoLaunchedFlow</x:v>
      </x:c>
    </x:row>
    <x:row r="1163" ht="30" customHeight="1">
      <x:c r="A1163" s="117" t="str">
        <x:v>300Ro00000t0d06IAA</x:v>
      </x:c>
      <x:c r="B1163" s="117" t="str">
        <x:v>On_New_WOLI_Update_Type_if_Probe_Repair_Opp</x:v>
      </x:c>
      <x:c r="C1163" s="117" t="str">
        <x:v>Yes</x:v>
      </x:c>
      <x:c r="D1163" s="119" t="str">
        <x:v>Active v6 (Retrieved XML)</x:v>
      </x:c>
      <x:c r="E1163" s="117" t="str">
        <x:v>ServiceAppointment</x:v>
      </x:c>
      <x:c r="F1163" s="119" t="str">
        <x:v>Variable</x:v>
      </x:c>
      <x:c r="G1163" s="117" t="str">
        <x:v>No</x:v>
      </x:c>
      <x:c r="H1163" s="117" t="str">
        <x:v>AutoLaunchedFlow</x:v>
      </x:c>
    </x:row>
    <x:row r="1164" ht="30" customHeight="1">
      <x:c r="A1164" s="117" t="str">
        <x:v>300Ro00000VTizyIAD</x:v>
      </x:c>
      <x:c r="B1164" s="117" t="str">
        <x:v>On_SA_Cancellation_Close_all_Open_Sourcing_Requests</x:v>
      </x:c>
      <x:c r="C1164" s="117" t="str">
        <x:v>Yes</x:v>
      </x:c>
      <x:c r="D1164" s="119" t="str">
        <x:v>Active v2 (Retrieved XML)</x:v>
      </x:c>
      <x:c r="E1164" s="117" t="str">
        <x:v>ServiceAppointment</x:v>
      </x:c>
      <x:c r="F1164" s="119" t="str">
        <x:v>Reference, Trigger</x:v>
      </x:c>
      <x:c r="G1164" s="117" t="str">
        <x:v>Yes</x:v>
      </x:c>
      <x:c r="H1164" s="117" t="str">
        <x:v>AutoLaunchedFlow</x:v>
      </x:c>
    </x:row>
    <x:row r="1165" ht="30" customHeight="1">
      <x:c r="A1165" s="117" t="str">
        <x:v>300Ro00000oFvSfIAK</x:v>
      </x:c>
      <x:c r="B1165" s="117" t="str">
        <x:v>On_Service_Appointment_Enable_Zenkraft_Shipping_Label_Creation</x:v>
      </x:c>
      <x:c r="C1165" s="117" t="str">
        <x:v>No</x:v>
      </x:c>
      <x:c r="D1165" s="119" t="str">
        <x:v>Latest inactive v1 (Retrieved XML)</x:v>
      </x:c>
      <x:c r="E1165" s="117" t="str">
        <x:v>ServiceAppointment</x:v>
      </x:c>
      <x:c r="F1165" s="119" t="str">
        <x:v>Read, Reference</x:v>
      </x:c>
      <x:c r="G1165" s="117" t="str">
        <x:v>No</x:v>
      </x:c>
      <x:c r="H1165" s="117" t="str">
        <x:v>Flow</x:v>
      </x:c>
    </x:row>
    <x:row r="1166" ht="30" customHeight="1">
      <x:c r="A1166" s="117" t="str">
        <x:v>300Ro00000REVFkIAP</x:v>
      </x:c>
      <x:c r="B1166" s="117" t="str">
        <x:v>On_Setting_of_Price_Update_Service_Appointment_to_Pending_Customer_Authorization</x:v>
      </x:c>
      <x:c r="C1166" s="117" t="str">
        <x:v>No</x:v>
      </x:c>
      <x:c r="D1166" s="119" t="str">
        <x:v>Latest inactive v1 (Retrieved XML)</x:v>
      </x:c>
      <x:c r="E1166" s="117" t="str">
        <x:v>ServiceAppointment</x:v>
      </x:c>
      <x:c r="F1166" s="119" t="str">
        <x:v>Variable</x:v>
      </x:c>
      <x:c r="G1166" s="117" t="str">
        <x:v>No</x:v>
      </x:c>
      <x:c r="H1166" s="117" t="str">
        <x:v>AutoLaunchedFlow</x:v>
      </x:c>
    </x:row>
    <x:row r="1167" ht="30" customHeight="1">
      <x:c r="A1167" s="117" t="str">
        <x:v>300Ro00000REVFlIAP</x:v>
      </x:c>
      <x:c r="B1167" s="117" t="str">
        <x:v>On_Submit_to_Shipping_Update_SA_to_Ready_to_Book</x:v>
      </x:c>
      <x:c r="C1167" s="117" t="str">
        <x:v>Yes</x:v>
      </x:c>
      <x:c r="D1167" s="119" t="str">
        <x:v>Active v1 (Retrieved XML)</x:v>
      </x:c>
      <x:c r="E1167" s="117" t="str">
        <x:v>ServiceAppointment</x:v>
      </x:c>
      <x:c r="F1167" s="119" t="str">
        <x:v>Reference, Trigger</x:v>
      </x:c>
      <x:c r="G1167" s="117" t="str">
        <x:v>Yes</x:v>
      </x:c>
      <x:c r="H1167" s="117" t="str">
        <x:v>AutoLaunchedFlow</x:v>
      </x:c>
    </x:row>
    <x:row r="1168" ht="30" customHeight="1">
      <x:c r="A1168" s="117" t="str">
        <x:v>300Ro00000cnT4eIAE</x:v>
      </x:c>
      <x:c r="B1168" s="117" t="str">
        <x:v>On_Update_Line_Item_Swap_on_Opp_Updates_Information_on_the_WOLI</x:v>
      </x:c>
      <x:c r="C1168" s="117" t="str">
        <x:v>No</x:v>
      </x:c>
      <x:c r="D1168" s="119" t="str">
        <x:v>Latest inactive v6 (Retrieved XML)</x:v>
      </x:c>
      <x:c r="E1168" s="117" t="str">
        <x:v>ServiceAppointment</x:v>
      </x:c>
      <x:c r="F1168" s="119" t="str">
        <x:v>Variable</x:v>
      </x:c>
      <x:c r="G1168" s="117" t="str">
        <x:v>No</x:v>
      </x:c>
      <x:c r="H1168" s="117" t="str">
        <x:v>AutoLaunchedFlow</x:v>
      </x:c>
    </x:row>
    <x:row r="1169" ht="30" customHeight="1">
      <x:c r="A1169" s="117" t="str">
        <x:v>300Ro00000cnT4fIAE</x:v>
      </x:c>
      <x:c r="B1169" s="117" t="str">
        <x:v>On_Update_Update_Checkbox_on_WOLI</x:v>
      </x:c>
      <x:c r="C1169" s="117" t="str">
        <x:v>No</x:v>
      </x:c>
      <x:c r="D1169" s="119" t="str">
        <x:v>Latest inactive v1 (Retrieved XML)</x:v>
      </x:c>
      <x:c r="E1169" s="117" t="str">
        <x:v>ServiceAppointment</x:v>
      </x:c>
      <x:c r="F1169" s="119" t="str">
        <x:v>Variable</x:v>
      </x:c>
      <x:c r="G1169" s="117" t="str">
        <x:v>No</x:v>
      </x:c>
      <x:c r="H1169" s="117" t="str">
        <x:v>AutoLaunchedFlow</x:v>
      </x:c>
    </x:row>
    <x:row r="1170" ht="30" customHeight="1">
      <x:c r="A1170" s="117" t="str">
        <x:v>300Ro00000cnT4dIAE</x:v>
      </x:c>
      <x:c r="B1170" s="117" t="str">
        <x:v>On_US_FSL_Lead_Conversion_Bring_Work_Order_Over_to_Contact_Account_Opportunity</x:v>
      </x:c>
      <x:c r="C1170" s="117" t="str">
        <x:v>Yes</x:v>
      </x:c>
      <x:c r="D1170" s="119" t="str">
        <x:v>Active v22 (Retrieved XML)</x:v>
      </x:c>
      <x:c r="E1170" s="117" t="str">
        <x:v>ServiceAppointment</x:v>
      </x:c>
      <x:c r="F1170" s="119" t="str">
        <x:v>Reference, Update</x:v>
      </x:c>
      <x:c r="G1170" s="117" t="str">
        <x:v>No</x:v>
      </x:c>
      <x:c r="H1170" s="117" t="str">
        <x:v>AutoLaunchedFlow</x:v>
      </x:c>
    </x:row>
    <x:row r="1171" ht="30" customHeight="1">
      <x:c r="A1171" s="117" t="str">
        <x:v>300Ro00000cnT4iIAE</x:v>
      </x:c>
      <x:c r="B1171" s="117" t="str">
        <x:v>Opportunity_Product_On_Delete</x:v>
      </x:c>
      <x:c r="C1171" s="117" t="str">
        <x:v>Yes</x:v>
      </x:c>
      <x:c r="D1171" s="119" t="str">
        <x:v>Active v1 (Retrieved XML)</x:v>
      </x:c>
      <x:c r="E1171" s="117" t="str">
        <x:v>ServiceAppointment</x:v>
      </x:c>
      <x:c r="F1171" s="119" t="str">
        <x:v>Variable</x:v>
      </x:c>
      <x:c r="G1171" s="117" t="str">
        <x:v>No</x:v>
      </x:c>
      <x:c r="H1171" s="117" t="str">
        <x:v>AutoLaunchedFlow</x:v>
      </x:c>
    </x:row>
    <x:row r="1172" ht="30" customHeight="1">
      <x:c r="A1172" s="117" t="str">
        <x:v>300Ro00000REVFoIAP</x:v>
      </x:c>
      <x:c r="B1172" s="117" t="str">
        <x:v>PartsReadyForCollectionServiceAppointmentAlert</x:v>
      </x:c>
      <x:c r="C1172" s="117" t="str">
        <x:v>Yes</x:v>
      </x:c>
      <x:c r="D1172" s="119" t="str">
        <x:v>Active v2 (Retrieved XML)</x:v>
      </x:c>
      <x:c r="E1172" s="117" t="str">
        <x:v>ServiceAppointment</x:v>
      </x:c>
      <x:c r="F1172" s="119" t="str">
        <x:v>Reference, Trigger</x:v>
      </x:c>
      <x:c r="G1172" s="117" t="str">
        <x:v>Yes</x:v>
      </x:c>
      <x:c r="H1172" s="117" t="str">
        <x:v>AutoLaunchedFlow</x:v>
      </x:c>
    </x:row>
    <x:row r="1173" ht="30" customHeight="1">
      <x:c r="A1173" s="117" t="str">
        <x:v>300Ro00000REVFmIAP</x:v>
      </x:c>
      <x:c r="B1173" s="117" t="str">
        <x:v>Scheduled_Flow_Clean_Up_Historical_Service_Appointments</x:v>
      </x:c>
      <x:c r="C1173" s="117" t="str">
        <x:v>Yes</x:v>
      </x:c>
      <x:c r="D1173" s="119" t="str">
        <x:v>Active v1 (Retrieved XML)</x:v>
      </x:c>
      <x:c r="E1173" s="117" t="str">
        <x:v>ServiceAppointment</x:v>
      </x:c>
      <x:c r="F1173" s="119" t="str">
        <x:v>Reference, Trigger, Update</x:v>
      </x:c>
      <x:c r="G1173" s="117" t="str">
        <x:v>Yes</x:v>
      </x:c>
      <x:c r="H1173" s="117" t="str">
        <x:v>AutoLaunchedFlow</x:v>
      </x:c>
    </x:row>
    <x:row r="1174" ht="30" customHeight="1">
      <x:c r="A1174" s="117" t="str">
        <x:v>300Ro00000SQVeNIAX</x:v>
      </x:c>
      <x:c r="B1174" s="117" t="str">
        <x:v>Scheduled_Update_Earliest_Permitted_Start_Date_to_Show_in_Dispatch_Console_Prope</x:v>
      </x:c>
      <x:c r="C1174" s="117" t="str">
        <x:v>Yes</x:v>
      </x:c>
      <x:c r="D1174" s="119" t="str">
        <x:v>Active v2 (Retrieved XML)</x:v>
      </x:c>
      <x:c r="E1174" s="117" t="str">
        <x:v>ServiceAppointment</x:v>
      </x:c>
      <x:c r="F1174" s="119" t="str">
        <x:v>Reference, Trigger, Update</x:v>
      </x:c>
      <x:c r="G1174" s="117" t="str">
        <x:v>Yes</x:v>
      </x:c>
      <x:c r="H1174" s="117" t="str">
        <x:v>AutoLaunchedFlow</x:v>
      </x:c>
    </x:row>
    <x:row r="1175" ht="30" customHeight="1">
      <x:c r="A1175" s="117" t="str">
        <x:v>300Ro00000H90tSIAR</x:v>
      </x:c>
      <x:c r="B1175" s="117" t="str">
        <x:v>Screen_Flow_Update_Classification_From_SA</x:v>
      </x:c>
      <x:c r="C1175" s="117" t="str">
        <x:v>Yes</x:v>
      </x:c>
      <x:c r="D1175" s="119" t="str">
        <x:v>Active v1 (Retrieved XML)</x:v>
      </x:c>
      <x:c r="E1175" s="117" t="str">
        <x:v>ServiceAppointment</x:v>
      </x:c>
      <x:c r="F1175" s="119" t="str">
        <x:v>Read, Reference</x:v>
      </x:c>
      <x:c r="G1175" s="117" t="str">
        <x:v>No</x:v>
      </x:c>
      <x:c r="H1175" s="117" t="str">
        <x:v>Flow</x:v>
      </x:c>
    </x:row>
    <x:row r="1176" ht="30" customHeight="1">
      <x:c r="A1176" s="117" t="str">
        <x:v>300Ro00000U7G8UIAV</x:v>
      </x:c>
      <x:c r="B1176" s="117" t="str">
        <x:v>Screen_Work_Order_Asset_Contract_Line_Update</x:v>
      </x:c>
      <x:c r="C1176" s="117" t="str">
        <x:v>Yes</x:v>
      </x:c>
      <x:c r="D1176" s="119" t="str">
        <x:v>Active v1 (Tooling metadata)</x:v>
      </x:c>
      <x:c r="E1176" s="117" t="str">
        <x:v>ServiceAppointment</x:v>
      </x:c>
      <x:c r="F1176" s="119" t="str">
        <x:v>Read, Reference, Variable</x:v>
      </x:c>
      <x:c r="G1176" s="117" t="str">
        <x:v>No</x:v>
      </x:c>
      <x:c r="H1176" s="117" t="str">
        <x:v>Flow</x:v>
      </x:c>
    </x:row>
    <x:row r="1177" ht="30" customHeight="1">
      <x:c r="A1177" s="117" t="str">
        <x:v>300Ro00000UfjBLIAZ</x:v>
      </x:c>
      <x:c r="B1177" s="117" t="str">
        <x:v>Screen_Work_Order_Create_Tentative_SAs</x:v>
      </x:c>
      <x:c r="C1177" s="117" t="str">
        <x:v>Yes</x:v>
      </x:c>
      <x:c r="D1177" s="119" t="str">
        <x:v>Active v1 (Retrieved XML)</x:v>
      </x:c>
      <x:c r="E1177" s="117" t="str">
        <x:v>ServiceAppointment</x:v>
      </x:c>
      <x:c r="F1177" s="119" t="str">
        <x:v>Variable</x:v>
      </x:c>
      <x:c r="G1177" s="117" t="str">
        <x:v>No</x:v>
      </x:c>
      <x:c r="H1177" s="117" t="str">
        <x:v>Flow</x:v>
      </x:c>
    </x:row>
    <x:row r="1178" ht="30" customHeight="1">
      <x:c r="A1178" s="117" t="str">
        <x:v>300Ro00000kCmCvIAK</x:v>
      </x:c>
      <x:c r="B1178" s="117" t="str">
        <x:v>Service_Appointment_Automations</x:v>
      </x:c>
      <x:c r="C1178" s="117" t="str">
        <x:v>Yes</x:v>
      </x:c>
      <x:c r="D1178" s="119" t="str">
        <x:v>Active v5 (Retrieved XML)</x:v>
      </x:c>
      <x:c r="E1178" s="117" t="str">
        <x:v>ServiceAppointment</x:v>
      </x:c>
      <x:c r="F1178" s="119" t="str">
        <x:v>Reference, Trigger</x:v>
      </x:c>
      <x:c r="G1178" s="117" t="str">
        <x:v>Yes</x:v>
      </x:c>
      <x:c r="H1178" s="117" t="str">
        <x:v>AutoLaunchedFlow</x:v>
      </x:c>
    </x:row>
    <x:row r="1179" ht="30" customHeight="1">
      <x:c r="A1179" s="117" t="str">
        <x:v>300Ro00000v3vsAIAQ</x:v>
      </x:c>
      <x:c r="B1179" s="117" t="str">
        <x:v>Service_Appointment_Calculate_Tech_Support_Response_Time_Business_Minutes</x:v>
      </x:c>
      <x:c r="C1179" s="117" t="str">
        <x:v>Yes</x:v>
      </x:c>
      <x:c r="D1179" s="119" t="str">
        <x:v>Active v1 (Retrieved XML)</x:v>
      </x:c>
      <x:c r="E1179" s="117" t="str">
        <x:v>ServiceAppointment</x:v>
      </x:c>
      <x:c r="F1179" s="119" t="str">
        <x:v>Reference, Trigger, Update</x:v>
      </x:c>
      <x:c r="G1179" s="117" t="str">
        <x:v>Yes</x:v>
      </x:c>
      <x:c r="H1179" s="117" t="str">
        <x:v>AutoLaunchedFlow</x:v>
      </x:c>
    </x:row>
    <x:row r="1180" ht="30" customHeight="1">
      <x:c r="A1180" s="117" t="str">
        <x:v>300Ro000014GODFIA4</x:v>
      </x:c>
      <x:c r="B1180" s="117" t="str">
        <x:v>Service_Appointment_Creation_and_Update_Set_Contract_Line_Item</x:v>
      </x:c>
      <x:c r="C1180" s="117" t="str">
        <x:v>Yes</x:v>
      </x:c>
      <x:c r="D1180" s="119" t="str">
        <x:v>Active v3 (Retrieved XML)</x:v>
      </x:c>
      <x:c r="E1180" s="117" t="str">
        <x:v>ServiceAppointment</x:v>
      </x:c>
      <x:c r="F1180" s="119" t="str">
        <x:v>Reference, Trigger, Update</x:v>
      </x:c>
      <x:c r="G1180" s="117" t="str">
        <x:v>Yes</x:v>
      </x:c>
      <x:c r="H1180" s="117" t="str">
        <x:v>AutoLaunchedFlow</x:v>
      </x:c>
    </x:row>
    <x:row r="1181" ht="30" customHeight="1">
      <x:c r="A1181" s="117" t="str">
        <x:v>300Ro00000unJZAIA2</x:v>
      </x:c>
      <x:c r="B1181" s="117" t="str">
        <x:v>Service_Appointment_Creation_or_Update_Work_Order_Service_Appointments_Counts</x:v>
      </x:c>
      <x:c r="C1181" s="117" t="str">
        <x:v>Yes</x:v>
      </x:c>
      <x:c r="D1181" s="119" t="str">
        <x:v>Active v1 (Retrieved XML)</x:v>
      </x:c>
      <x:c r="E1181" s="117" t="str">
        <x:v>ServiceAppointment</x:v>
      </x:c>
      <x:c r="F1181" s="119" t="str">
        <x:v>Read, Reference, Trigger, Update, Variable</x:v>
      </x:c>
      <x:c r="G1181" s="117" t="str">
        <x:v>Yes</x:v>
      </x:c>
      <x:c r="H1181" s="117" t="str">
        <x:v>AutoLaunchedFlow</x:v>
      </x:c>
    </x:row>
    <x:row r="1182" ht="30" customHeight="1">
      <x:c r="A1182" s="117" t="str">
        <x:v>300Ro00000UfjBKIAZ</x:v>
      </x:c>
      <x:c r="B1182" s="117" t="str">
        <x:v>Service_Appointment_Delete_Unneeded_Time_Blocks</x:v>
      </x:c>
      <x:c r="C1182" s="117" t="str">
        <x:v>Yes</x:v>
      </x:c>
      <x:c r="D1182" s="119" t="str">
        <x:v>Active v1 (Retrieved XML)</x:v>
      </x:c>
      <x:c r="E1182" s="117" t="str">
        <x:v>ServiceAppointment</x:v>
      </x:c>
      <x:c r="F1182" s="119" t="str">
        <x:v>Read, Reference, Trigger, Variable</x:v>
      </x:c>
      <x:c r="G1182" s="117" t="str">
        <x:v>Yes</x:v>
      </x:c>
      <x:c r="H1182" s="117" t="str">
        <x:v>AutoLaunchedFlow</x:v>
      </x:c>
    </x:row>
    <x:row r="1183" ht="30" customHeight="1">
      <x:c r="A1183" s="117" t="str">
        <x:v>300Ro00000cnT4jIAE</x:v>
      </x:c>
      <x:c r="B1183" s="117" t="str">
        <x:v>Service_Appointment_On_Shipment_Change_Lines_to_Enroute</x:v>
      </x:c>
      <x:c r="C1183" s="117" t="str">
        <x:v>Yes</x:v>
      </x:c>
      <x:c r="D1183" s="119" t="str">
        <x:v>Active v2 (Retrieved XML)</x:v>
      </x:c>
      <x:c r="E1183" s="117" t="str">
        <x:v>ServiceAppointment</x:v>
      </x:c>
      <x:c r="F1183" s="119" t="str">
        <x:v>Reference, Trigger, Update</x:v>
      </x:c>
      <x:c r="G1183" s="117" t="str">
        <x:v>Yes</x:v>
      </x:c>
      <x:c r="H1183" s="117" t="str">
        <x:v>AutoLaunchedFlow</x:v>
      </x:c>
    </x:row>
    <x:row r="1184" ht="30" customHeight="1">
      <x:c r="A1184" s="117" t="str">
        <x:v>300Ro00000cnT4kIAE</x:v>
      </x:c>
      <x:c r="B1184" s="117" t="str">
        <x:v>Service_Appointment_On_Update_of_Ship_To_Date_Set_Address</x:v>
      </x:c>
      <x:c r="C1184" s="117" t="str">
        <x:v>Yes</x:v>
      </x:c>
      <x:c r="D1184" s="119" t="str">
        <x:v>Active v1 (Retrieved XML)</x:v>
      </x:c>
      <x:c r="E1184" s="117" t="str">
        <x:v>ServiceAppointment</x:v>
      </x:c>
      <x:c r="F1184" s="119" t="str">
        <x:v>Reference, Trigger, Update</x:v>
      </x:c>
      <x:c r="G1184" s="117" t="str">
        <x:v>Yes</x:v>
      </x:c>
      <x:c r="H1184" s="117" t="str">
        <x:v>AutoLaunchedFlow</x:v>
      </x:c>
    </x:row>
    <x:row r="1185" ht="30" customHeight="1">
      <x:c r="A1185" s="117" t="str">
        <x:v>300Ro00000SgtMcIAJ</x:v>
      </x:c>
      <x:c r="B1185" s="117" t="str">
        <x:v>Service_Appointment_Status_Set_to_Canceled</x:v>
      </x:c>
      <x:c r="C1185" s="117" t="str">
        <x:v>Yes</x:v>
      </x:c>
      <x:c r="D1185" s="119" t="str">
        <x:v>Active v1 (Tooling metadata)</x:v>
      </x:c>
      <x:c r="E1185" s="117" t="str">
        <x:v>ServiceAppointment</x:v>
      </x:c>
      <x:c r="F1185" s="119" t="str">
        <x:v>Reference, Trigger, Update</x:v>
      </x:c>
      <x:c r="G1185" s="117" t="str">
        <x:v>Yes</x:v>
      </x:c>
      <x:c r="H1185" s="117" t="str">
        <x:v>AutoLaunchedFlow</x:v>
      </x:c>
    </x:row>
    <x:row r="1186" ht="30" customHeight="1">
      <x:c r="A1186" s="117" t="str">
        <x:v>300Ro00000SgtMdIAJ</x:v>
      </x:c>
      <x:c r="B1186" s="117" t="str">
        <x:v>Service_Appointment_Trigger_If_SA_updated_update_event</x:v>
      </x:c>
      <x:c r="C1186" s="117" t="str">
        <x:v>Yes</x:v>
      </x:c>
      <x:c r="D1186" s="119" t="str">
        <x:v>Active v1 (Tooling metadata)</x:v>
      </x:c>
      <x:c r="E1186" s="117" t="str">
        <x:v>ServiceAppointment</x:v>
      </x:c>
      <x:c r="F1186" s="119" t="str">
        <x:v>Reference, Trigger</x:v>
      </x:c>
      <x:c r="G1186" s="117" t="str">
        <x:v>Yes</x:v>
      </x:c>
      <x:c r="H1186" s="117" t="str">
        <x:v>AutoLaunchedFlow</x:v>
      </x:c>
    </x:row>
    <x:row r="1187" ht="30" customHeight="1">
      <x:c r="A1187" s="117" t="str">
        <x:v>300Ro00000SgtMeIAJ</x:v>
      </x:c>
      <x:c r="B1187" s="117" t="str">
        <x:v>Service_Appointment_Trigger_Send_Email_to_AR_Upon_Dispatch</x:v>
      </x:c>
      <x:c r="C1187" s="117" t="str">
        <x:v>Yes</x:v>
      </x:c>
      <x:c r="D1187" s="119" t="str">
        <x:v>Active v5 (Retrieved XML)</x:v>
      </x:c>
      <x:c r="E1187" s="117" t="str">
        <x:v>ServiceAppointment</x:v>
      </x:c>
      <x:c r="F1187" s="119" t="str">
        <x:v>Reference, Trigger</x:v>
      </x:c>
      <x:c r="G1187" s="117" t="str">
        <x:v>Yes</x:v>
      </x:c>
      <x:c r="H1187" s="117" t="str">
        <x:v>AutoLaunchedFlow</x:v>
      </x:c>
    </x:row>
    <x:row r="1188" ht="30" customHeight="1">
      <x:c r="A1188" s="117" t="str">
        <x:v>300Ro00000STzUgIAL</x:v>
      </x:c>
      <x:c r="B1188" s="117" t="str">
        <x:v>Service_Appointment_Trigger_Update_Gantt_Label</x:v>
      </x:c>
      <x:c r="C1188" s="117" t="str">
        <x:v>Yes</x:v>
      </x:c>
      <x:c r="D1188" s="119" t="str">
        <x:v>Active v6 (Retrieved XML)</x:v>
      </x:c>
      <x:c r="E1188" s="117" t="str">
        <x:v>ServiceAppointment</x:v>
      </x:c>
      <x:c r="F1188" s="119" t="str">
        <x:v>Reference, Trigger, Update</x:v>
      </x:c>
      <x:c r="G1188" s="117" t="str">
        <x:v>Yes</x:v>
      </x:c>
      <x:c r="H1188" s="117" t="str">
        <x:v>AutoLaunchedFlow</x:v>
      </x:c>
    </x:row>
    <x:row r="1189" ht="30" customHeight="1">
      <x:c r="A1189" s="117" t="str">
        <x:v>300Ro00000RldXrIAJ</x:v>
      </x:c>
      <x:c r="B1189" s="117" t="str">
        <x:v>Service_Appointment_Trigger_Update_Offsite_Appointment_Checkbox</x:v>
      </x:c>
      <x:c r="C1189" s="117" t="str">
        <x:v>Yes</x:v>
      </x:c>
      <x:c r="D1189" s="119" t="str">
        <x:v>Active v1 (Retrieved XML)</x:v>
      </x:c>
      <x:c r="E1189" s="117" t="str">
        <x:v>ServiceAppointment</x:v>
      </x:c>
      <x:c r="F1189" s="119" t="str">
        <x:v>Reference, Trigger, Update</x:v>
      </x:c>
      <x:c r="G1189" s="117" t="str">
        <x:v>Yes</x:v>
      </x:c>
      <x:c r="H1189" s="117" t="str">
        <x:v>AutoLaunchedFlow</x:v>
      </x:c>
    </x:row>
    <x:row r="1190" ht="30" customHeight="1">
      <x:c r="A1190" s="117" t="str">
        <x:v>300Ro00000wzNWEIA2</x:v>
      </x:c>
      <x:c r="B1190" s="117" t="str">
        <x:v>Service_Appointment_Update_Set_Duration_on_Actual_Start_or_Actual_End_Change</x:v>
      </x:c>
      <x:c r="C1190" s="117" t="str">
        <x:v>No</x:v>
      </x:c>
      <x:c r="D1190" s="119" t="str">
        <x:v>Latest inactive v1 (Retrieved XML)</x:v>
      </x:c>
      <x:c r="E1190" s="117" t="str">
        <x:v>ServiceAppointment</x:v>
      </x:c>
      <x:c r="F1190" s="119" t="str">
        <x:v>Reference, Trigger, Update</x:v>
      </x:c>
      <x:c r="G1190" s="117" t="str">
        <x:v>Yes</x:v>
      </x:c>
      <x:c r="H1190" s="117" t="str">
        <x:v>AutoLaunchedFlow</x:v>
      </x:c>
    </x:row>
    <x:row r="1191" ht="30" customHeight="1">
      <x:c r="A1191" s="117" t="str">
        <x:v>300Ro00000v4CHtIAM</x:v>
      </x:c>
      <x:c r="B1191" s="117" t="str">
        <x:v>Service_Contract_Confirm_Downtimes</x:v>
      </x:c>
      <x:c r="C1191" s="117" t="str">
        <x:v>Yes</x:v>
      </x:c>
      <x:c r="D1191" s="119" t="str">
        <x:v>Active v2 (Retrieved XML)</x:v>
      </x:c>
      <x:c r="E1191" s="117" t="str">
        <x:v>ServiceAppointment</x:v>
      </x:c>
      <x:c r="F1191" s="119" t="str">
        <x:v>Read, Reference, Variable</x:v>
      </x:c>
      <x:c r="G1191" s="117" t="str">
        <x:v>No</x:v>
      </x:c>
      <x:c r="H1191" s="117" t="str">
        <x:v>Flow</x:v>
      </x:c>
    </x:row>
    <x:row r="1192" ht="30" customHeight="1">
      <x:c r="A1192" s="117" t="str">
        <x:v>300Ro00000wE1KhIAK</x:v>
      </x:c>
      <x:c r="B1192" s="117" t="str">
        <x:v>Service_Contract_Create_Contract_Line_Item_Screen_Flow</x:v>
      </x:c>
      <x:c r="C1192" s="117" t="str">
        <x:v>Yes</x:v>
      </x:c>
      <x:c r="D1192" s="119" t="str">
        <x:v>Active v4 (Retrieved XML)</x:v>
      </x:c>
      <x:c r="E1192" s="117" t="str">
        <x:v>ServiceAppointment</x:v>
      </x:c>
      <x:c r="F1192" s="119" t="str">
        <x:v>Variable</x:v>
      </x:c>
      <x:c r="G1192" s="117" t="str">
        <x:v>No</x:v>
      </x:c>
      <x:c r="H1192" s="117" t="str">
        <x:v>Flow</x:v>
      </x:c>
    </x:row>
    <x:row r="1193" ht="30" customHeight="1">
      <x:c r="A1193" s="117" t="str">
        <x:v>300Ro00000wDQ8DIAW</x:v>
      </x:c>
      <x:c r="B1193" s="117" t="str">
        <x:v>Service_Contract_Create_Contract_Line_Items_Screen_Flow</x:v>
      </x:c>
      <x:c r="C1193" s="117" t="str">
        <x:v>No</x:v>
      </x:c>
      <x:c r="D1193" s="119" t="str">
        <x:v>Latest inactive v1 (Retrieved XML)</x:v>
      </x:c>
      <x:c r="E1193" s="117" t="str">
        <x:v>ServiceAppointment</x:v>
      </x:c>
      <x:c r="F1193" s="119" t="str">
        <x:v>Variable</x:v>
      </x:c>
      <x:c r="G1193" s="117" t="str">
        <x:v>No</x:v>
      </x:c>
      <x:c r="H1193" s="117" t="str">
        <x:v>Flow</x:v>
      </x:c>
    </x:row>
    <x:row r="1194" ht="30" customHeight="1">
      <x:c r="A1194" s="117" t="str">
        <x:v>300Ro00000Zp8kCIAR</x:v>
      </x:c>
      <x:c r="B1194" s="117" t="str">
        <x:v>Service_Contract_Renewal</x:v>
      </x:c>
      <x:c r="C1194" s="117" t="str">
        <x:v>Yes</x:v>
      </x:c>
      <x:c r="D1194" s="119" t="str">
        <x:v>Active v18 (Retrieved XML)</x:v>
      </x:c>
      <x:c r="E1194" s="117" t="str">
        <x:v>ServiceAppointment</x:v>
      </x:c>
      <x:c r="F1194" s="119" t="str">
        <x:v>Variable</x:v>
      </x:c>
      <x:c r="G1194" s="117" t="str">
        <x:v>No</x:v>
      </x:c>
      <x:c r="H1194" s="117" t="str">
        <x:v>Flow</x:v>
      </x:c>
    </x:row>
    <x:row r="1195" ht="30" customHeight="1">
      <x:c r="A1195" s="117" t="str">
        <x:v>300Ro00000nsEpqIAE</x:v>
      </x:c>
      <x:c r="B1195" s="117" t="str">
        <x:v>Service_Contract_Renewal_US1</x:v>
      </x:c>
      <x:c r="C1195" s="117" t="str">
        <x:v>Yes</x:v>
      </x:c>
      <x:c r="D1195" s="119" t="str">
        <x:v>Active v11 (Retrieved XML)</x:v>
      </x:c>
      <x:c r="E1195" s="117" t="str">
        <x:v>ServiceAppointment</x:v>
      </x:c>
      <x:c r="F1195" s="119" t="str">
        <x:v>Variable</x:v>
      </x:c>
      <x:c r="G1195" s="117" t="str">
        <x:v>No</x:v>
      </x:c>
      <x:c r="H1195" s="117" t="str">
        <x:v>Flow</x:v>
      </x:c>
    </x:row>
    <x:row r="1196" ht="30" customHeight="1">
      <x:c r="A1196" s="117" t="str">
        <x:v>300Ro00000WEzvgIAD</x:v>
      </x:c>
      <x:c r="B1196" s="117" t="str">
        <x:v>Set_SA_Duration_for_Ultrasound_Work_Types</x:v>
      </x:c>
      <x:c r="C1196" s="117" t="str">
        <x:v>Yes</x:v>
      </x:c>
      <x:c r="D1196" s="119" t="str">
        <x:v>Active v6 (Retrieved XML)</x:v>
      </x:c>
      <x:c r="E1196" s="117" t="str">
        <x:v>ServiceAppointment</x:v>
      </x:c>
      <x:c r="F1196" s="119" t="str">
        <x:v>Reference, Trigger, Update</x:v>
      </x:c>
      <x:c r="G1196" s="117" t="str">
        <x:v>Yes</x:v>
      </x:c>
      <x:c r="H1196" s="117" t="str">
        <x:v>AutoLaunchedFlow</x:v>
      </x:c>
    </x:row>
    <x:row r="1197" ht="30" customHeight="1">
      <x:c r="A1197" s="117" t="str">
        <x:v>300Ro00000REVFnIAP</x:v>
      </x:c>
      <x:c r="B1197" s="117" t="str">
        <x:v>Set_Service_Appointment_on_New_Work_Order_Line_Item</x:v>
      </x:c>
      <x:c r="C1197" s="117" t="str">
        <x:v>Yes</x:v>
      </x:c>
      <x:c r="D1197" s="119" t="str">
        <x:v>Active v6 (Retrieved XML)</x:v>
      </x:c>
      <x:c r="E1197" s="117" t="str">
        <x:v>ServiceAppointment</x:v>
      </x:c>
      <x:c r="F1197" s="119" t="str">
        <x:v>Read, Reference, Variable</x:v>
      </x:c>
      <x:c r="G1197" s="117" t="str">
        <x:v>No</x:v>
      </x:c>
      <x:c r="H1197" s="117" t="str">
        <x:v>AutoLaunchedFlow</x:v>
      </x:c>
    </x:row>
    <x:row r="1198" ht="30" customHeight="1">
      <x:c r="A1198" s="117" t="str">
        <x:v>300Ro00000ghrtiIAA</x:v>
      </x:c>
      <x:c r="B1198" s="117" t="str">
        <x:v>Set_Service_Appointment_on_RMA_when_Work_Order_Attached</x:v>
      </x:c>
      <x:c r="C1198" s="117" t="str">
        <x:v>Yes</x:v>
      </x:c>
      <x:c r="D1198" s="119" t="str">
        <x:v>Active v1 (Retrieved XML)</x:v>
      </x:c>
      <x:c r="E1198" s="117" t="str">
        <x:v>ServiceAppointment</x:v>
      </x:c>
      <x:c r="F1198" s="119" t="str">
        <x:v>Read, Reference</x:v>
      </x:c>
      <x:c r="G1198" s="117" t="str">
        <x:v>No</x:v>
      </x:c>
      <x:c r="H1198" s="117" t="str">
        <x:v>AutoLaunchedFlow</x:v>
      </x:c>
    </x:row>
    <x:row r="1199" ht="30" customHeight="1">
      <x:c r="A1199" s="117" t="str">
        <x:v>3005b000000LJREAA4</x:v>
      </x:c>
      <x:c r="B1199" s="117" t="str">
        <x:v>Sourcing_Request_Field_Updates_Flow</x:v>
      </x:c>
      <x:c r="C1199" s="117" t="str">
        <x:v>No</x:v>
      </x:c>
      <x:c r="D1199" s="119" t="str">
        <x:v>Latest inactive v5 (Retrieved XML)</x:v>
      </x:c>
      <x:c r="E1199" s="117" t="str">
        <x:v>ServiceAppointment</x:v>
      </x:c>
      <x:c r="F1199" s="119" t="str">
        <x:v>Variable</x:v>
      </x:c>
      <x:c r="G1199" s="117" t="str">
        <x:v>No</x:v>
      </x:c>
      <x:c r="H1199" s="117" t="str">
        <x:v>AutoLaunchedFlow</x:v>
      </x:c>
    </x:row>
    <x:row r="1200" ht="30" customHeight="1">
      <x:c r="A1200" s="117" t="str">
        <x:v>3005b000000H3qKAAS</x:v>
      </x:c>
      <x:c r="B1200" s="117" t="str">
        <x:v>Sourcing_Request_from_Work_Order</x:v>
      </x:c>
      <x:c r="C1200" s="117" t="str">
        <x:v>Yes</x:v>
      </x:c>
      <x:c r="D1200" s="119" t="str">
        <x:v>Active v14 (Retrieved XML)</x:v>
      </x:c>
      <x:c r="E1200" s="117" t="str">
        <x:v>ServiceAppointment</x:v>
      </x:c>
      <x:c r="F1200" s="119" t="str">
        <x:v>Read, Reference, Variable</x:v>
      </x:c>
      <x:c r="G1200" s="117" t="str">
        <x:v>No</x:v>
      </x:c>
      <x:c r="H1200" s="117" t="str">
        <x:v>Flow</x:v>
      </x:c>
    </x:row>
    <x:row r="1201" ht="30" customHeight="1">
      <x:c r="A1201" s="117" t="str">
        <x:v>300Ro00000Pz0ksIAB</x:v>
      </x:c>
      <x:c r="B1201" s="117" t="str">
        <x:v>Static_Fluoro</x:v>
      </x:c>
      <x:c r="C1201" s="117" t="str">
        <x:v>Yes</x:v>
      </x:c>
      <x:c r="D1201" s="119" t="str">
        <x:v>Active v7 (Retrieved XML)</x:v>
      </x:c>
      <x:c r="E1201" s="117" t="str">
        <x:v>ServiceAppointment</x:v>
      </x:c>
      <x:c r="F1201" s="119" t="str">
        <x:v>Read, Reference, Update</x:v>
      </x:c>
      <x:c r="G1201" s="117" t="str">
        <x:v>No</x:v>
      </x:c>
      <x:c r="H1201" s="117" t="str">
        <x:v>FieldServiceMobile</x:v>
      </x:c>
    </x:row>
    <x:row r="1202" ht="30" customHeight="1">
      <x:c r="A1202" s="117" t="str">
        <x:v>300Ro00000Pz0ktIAB</x:v>
      </x:c>
      <x:c r="B1202" s="117" t="str">
        <x:v>Static_X_Ray_CR_Checklist</x:v>
      </x:c>
      <x:c r="C1202" s="117" t="str">
        <x:v>Yes</x:v>
      </x:c>
      <x:c r="D1202" s="119" t="str">
        <x:v>Active v17 (Retrieved XML)</x:v>
      </x:c>
      <x:c r="E1202" s="117" t="str">
        <x:v>ServiceAppointment</x:v>
      </x:c>
      <x:c r="F1202" s="119" t="str">
        <x:v>Read, Reference, Update</x:v>
      </x:c>
      <x:c r="G1202" s="117" t="str">
        <x:v>No</x:v>
      </x:c>
      <x:c r="H1202" s="117" t="str">
        <x:v>FieldServiceMobile</x:v>
      </x:c>
    </x:row>
    <x:row r="1203" ht="30" customHeight="1">
      <x:c r="A1203" s="117" t="str">
        <x:v>300Ro00000Pz0kuIAB</x:v>
      </x:c>
      <x:c r="B1203" s="117" t="str">
        <x:v>Statix_X_Ray_DDR_Checklist</x:v>
      </x:c>
      <x:c r="C1203" s="117" t="str">
        <x:v>Yes</x:v>
      </x:c>
      <x:c r="D1203" s="119" t="str">
        <x:v>Active v9 (Retrieved XML)</x:v>
      </x:c>
      <x:c r="E1203" s="117" t="str">
        <x:v>ServiceAppointment</x:v>
      </x:c>
      <x:c r="F1203" s="119" t="str">
        <x:v>Read, Reference, Update</x:v>
      </x:c>
      <x:c r="G1203" s="117" t="str">
        <x:v>No</x:v>
      </x:c>
      <x:c r="H1203" s="117" t="str">
        <x:v>FieldServiceMobile</x:v>
      </x:c>
    </x:row>
    <x:row r="1204" ht="30" customHeight="1">
      <x:c r="A1204" s="117" t="str">
        <x:v>300Ro00000Pz0kvIAB</x:v>
      </x:c>
      <x:c r="B1204" s="117" t="str">
        <x:v>Travel_Start_Date_Time</x:v>
      </x:c>
      <x:c r="C1204" s="117" t="str">
        <x:v>Yes</x:v>
      </x:c>
      <x:c r="D1204" s="119" t="str">
        <x:v>Active v2 (Retrieved XML)</x:v>
      </x:c>
      <x:c r="E1204" s="117" t="str">
        <x:v>ServiceAppointment</x:v>
      </x:c>
      <x:c r="F1204" s="119" t="str">
        <x:v>Read, Reference, Update</x:v>
      </x:c>
      <x:c r="G1204" s="117" t="str">
        <x:v>No</x:v>
      </x:c>
      <x:c r="H1204" s="117" t="str">
        <x:v>FieldServiceMobile</x:v>
      </x:c>
    </x:row>
    <x:row r="1205" ht="30" customHeight="1">
      <x:c r="A1205" s="117" t="str">
        <x:v>300Ro00000Pz0kwIAB</x:v>
      </x:c>
      <x:c r="B1205" s="117" t="str">
        <x:v>Ultrasound_Checklist</x:v>
      </x:c>
      <x:c r="C1205" s="117" t="str">
        <x:v>Yes</x:v>
      </x:c>
      <x:c r="D1205" s="119" t="str">
        <x:v>Active v32 (Retrieved XML)</x:v>
      </x:c>
      <x:c r="E1205" s="117" t="str">
        <x:v>ServiceAppointment</x:v>
      </x:c>
      <x:c r="F1205" s="119" t="str">
        <x:v>Read, Reference, Update</x:v>
      </x:c>
      <x:c r="G1205" s="117" t="str">
        <x:v>No</x:v>
      </x:c>
      <x:c r="H1205" s="117" t="str">
        <x:v>FieldServiceMobile</x:v>
      </x:c>
    </x:row>
    <x:row r="1206" ht="30" customHeight="1">
      <x:c r="A1206" s="117" t="str">
        <x:v>300Ro00000Pz0kxIAB</x:v>
      </x:c>
      <x:c r="B1206" s="117" t="str">
        <x:v>Update_Arrival_Time</x:v>
      </x:c>
      <x:c r="C1206" s="117" t="str">
        <x:v>Yes</x:v>
      </x:c>
      <x:c r="D1206" s="119" t="str">
        <x:v>Active v2 (Retrieved XML)</x:v>
      </x:c>
      <x:c r="E1206" s="117" t="str">
        <x:v>ServiceAppointment</x:v>
      </x:c>
      <x:c r="F1206" s="119" t="str">
        <x:v>Read, Reference, Update</x:v>
      </x:c>
      <x:c r="G1206" s="117" t="str">
        <x:v>No</x:v>
      </x:c>
      <x:c r="H1206" s="117" t="str">
        <x:v>FieldServiceMobile</x:v>
      </x:c>
    </x:row>
    <x:row r="1207" ht="30" customHeight="1">
      <x:c r="A1207" s="117" t="str">
        <x:v>300Ro00000Pz0kzIAB</x:v>
      </x:c>
      <x:c r="B1207" s="117" t="str">
        <x:v>Update_comments</x:v>
      </x:c>
      <x:c r="C1207" s="117" t="str">
        <x:v>Yes</x:v>
      </x:c>
      <x:c r="D1207" s="119" t="str">
        <x:v>Active v192 (Tooling metadata)</x:v>
      </x:c>
      <x:c r="E1207" s="117" t="str">
        <x:v>ServiceAppointment</x:v>
      </x:c>
      <x:c r="F1207" s="119" t="str">
        <x:v>Read, Reference, Update, Variable</x:v>
      </x:c>
      <x:c r="G1207" s="117" t="str">
        <x:v>No</x:v>
      </x:c>
      <x:c r="H1207" s="117" t="str">
        <x:v>FieldServiceMobile</x:v>
      </x:c>
    </x:row>
    <x:row r="1208" ht="30" customHeight="1">
      <x:c r="A1208" s="117" t="str">
        <x:v>300Ro00000mqjYXIAY</x:v>
      </x:c>
      <x:c r="B1208" s="117" t="str">
        <x:v>Update_Need_Quote_Lines_to_Part_Quoted</x:v>
      </x:c>
      <x:c r="C1208" s="117" t="str">
        <x:v>Yes</x:v>
      </x:c>
      <x:c r="D1208" s="119" t="str">
        <x:v>Active v21 (Retrieved XML)</x:v>
      </x:c>
      <x:c r="E1208" s="117" t="str">
        <x:v>ServiceAppointment</x:v>
      </x:c>
      <x:c r="F1208" s="119" t="str">
        <x:v>Read, Reference</x:v>
      </x:c>
      <x:c r="G1208" s="117" t="str">
        <x:v>No</x:v>
      </x:c>
      <x:c r="H1208" s="117" t="str">
        <x:v>AutoLaunchedFlow</x:v>
      </x:c>
    </x:row>
    <x:row r="1209" ht="30" customHeight="1">
      <x:c r="A1209" s="117" t="str">
        <x:v>300Ro00000Pz0kyIAB</x:v>
      </x:c>
      <x:c r="B1209" s="117" t="str">
        <x:v>Update_Service_Appointment_Location</x:v>
      </x:c>
      <x:c r="C1209" s="117" t="str">
        <x:v>No</x:v>
      </x:c>
      <x:c r="D1209" s="119" t="str">
        <x:v>Latest inactive v1 (Retrieved XML)</x:v>
      </x:c>
      <x:c r="E1209" s="117" t="str">
        <x:v>ServiceAppointment</x:v>
      </x:c>
      <x:c r="F1209" s="119" t="str">
        <x:v>Reference, Trigger, Update</x:v>
      </x:c>
      <x:c r="G1209" s="117" t="str">
        <x:v>Yes</x:v>
      </x:c>
      <x:c r="H1209" s="117" t="str">
        <x:v>AutoLaunchedFlow</x:v>
      </x:c>
    </x:row>
    <x:row r="1210" ht="30" customHeight="1">
      <x:c r="A1210" s="117" t="str">
        <x:v>300Ro00000Rgy0IIAR</x:v>
      </x:c>
      <x:c r="B1210" s="117" t="str">
        <x:v>Update_Service_Appointment_to_Pending_Quotation</x:v>
      </x:c>
      <x:c r="C1210" s="117" t="str">
        <x:v>No</x:v>
      </x:c>
      <x:c r="D1210" s="119" t="str">
        <x:v>Latest inactive v1 (Retrieved XML)</x:v>
      </x:c>
      <x:c r="E1210" s="117" t="str">
        <x:v>ServiceAppointment</x:v>
      </x:c>
      <x:c r="F1210" s="119" t="str">
        <x:v>Reference, Update</x:v>
      </x:c>
      <x:c r="G1210" s="117" t="str">
        <x:v>No</x:v>
      </x:c>
      <x:c r="H1210" s="117" t="str">
        <x:v>AutoLaunchedFlow</x:v>
      </x:c>
    </x:row>
    <x:row r="1211" ht="30" customHeight="1">
      <x:c r="A1211" s="117" t="str">
        <x:v>300Ro00000SQT1YIAX</x:v>
      </x:c>
      <x:c r="B1211" s="117" t="str">
        <x:v>Update_the_Intended_Start_Date_if_Earlier_than_Earliest_Start_Date</x:v>
      </x:c>
      <x:c r="C1211" s="117" t="str">
        <x:v>Yes</x:v>
      </x:c>
      <x:c r="D1211" s="119" t="str">
        <x:v>Active v1 (Retrieved XML)</x:v>
      </x:c>
      <x:c r="E1211" s="117" t="str">
        <x:v>ServiceAppointment</x:v>
      </x:c>
      <x:c r="F1211" s="119" t="str">
        <x:v>Reference, Trigger</x:v>
      </x:c>
      <x:c r="G1211" s="117" t="str">
        <x:v>Yes</x:v>
      </x:c>
      <x:c r="H1211" s="117" t="str">
        <x:v>AutoLaunchedFlow</x:v>
      </x:c>
    </x:row>
    <x:row r="1212" ht="30" customHeight="1">
      <x:c r="A1212" s="117" t="str">
        <x:v>300Ro00000e7MD2IAM</x:v>
      </x:c>
      <x:c r="B1212" s="117" t="str">
        <x:v>Update_US_Billing_Type_on_Edit_of_Service_Appointment</x:v>
      </x:c>
      <x:c r="C1212" s="117" t="str">
        <x:v>Yes</x:v>
      </x:c>
      <x:c r="D1212" s="119" t="str">
        <x:v>Active v2 (Retrieved XML)</x:v>
      </x:c>
      <x:c r="E1212" s="117" t="str">
        <x:v>ServiceAppointment</x:v>
      </x:c>
      <x:c r="F1212" s="119" t="str">
        <x:v>Reference, Trigger, Update</x:v>
      </x:c>
      <x:c r="G1212" s="117" t="str">
        <x:v>Yes</x:v>
      </x:c>
      <x:c r="H1212" s="117" t="str">
        <x:v>AutoLaunchedFlow</x:v>
      </x:c>
    </x:row>
    <x:row r="1213" ht="30" customHeight="1">
      <x:c r="A1213" s="117" t="str">
        <x:v>300Ro00000wO7esIAC</x:v>
      </x:c>
      <x:c r="B1213" s="117" t="str">
        <x:v>US_FSL_On_Creation_of_Service_Appointment_set_Shipping_Address</x:v>
      </x:c>
      <x:c r="C1213" s="117" t="str">
        <x:v>Yes</x:v>
      </x:c>
      <x:c r="D1213" s="119" t="str">
        <x:v>Active v8 (Retrieved XML)</x:v>
      </x:c>
      <x:c r="E1213" s="117" t="str">
        <x:v>ServiceAppointment</x:v>
      </x:c>
      <x:c r="F1213" s="119" t="str">
        <x:v>Reference, Trigger, Update</x:v>
      </x:c>
      <x:c r="G1213" s="117" t="str">
        <x:v>Yes</x:v>
      </x:c>
      <x:c r="H1213" s="117" t="str">
        <x:v>AutoLaunchedFlow</x:v>
      </x:c>
    </x:row>
    <x:row r="1214" ht="30" customHeight="1">
      <x:c r="A1214" s="117" t="str">
        <x:v>300Ro00000wtiDZIAY</x:v>
      </x:c>
      <x:c r="B1214" s="117" t="str">
        <x:v>US_FSL_On_submitting_of_shipping_update_the_work_order_to_pending_shipment</x:v>
      </x:c>
      <x:c r="C1214" s="117" t="str">
        <x:v>Yes</x:v>
      </x:c>
      <x:c r="D1214" s="119" t="str">
        <x:v>Active v3 (Retrieved XML)</x:v>
      </x:c>
      <x:c r="E1214" s="117" t="str">
        <x:v>ServiceAppointment</x:v>
      </x:c>
      <x:c r="F1214" s="119" t="str">
        <x:v>Reference, Trigger</x:v>
      </x:c>
      <x:c r="G1214" s="117" t="str">
        <x:v>Yes</x:v>
      </x:c>
      <x:c r="H1214" s="117" t="str">
        <x:v>AutoLaunchedFlow</x:v>
      </x:c>
    </x:row>
    <x:row r="1215" ht="30" customHeight="1">
      <x:c r="A1215" s="117" t="str">
        <x:v>300Ro00000wthFqIAI</x:v>
      </x:c>
      <x:c r="B1215" s="117" t="str">
        <x:v>US_FSL_On_Tracking_Entered_for_Service_Appointment_update_the_work_order_to_Part</x:v>
      </x:c>
      <x:c r="C1215" s="117" t="str">
        <x:v>Yes</x:v>
      </x:c>
      <x:c r="D1215" s="119" t="str">
        <x:v>Active v3 (Retrieved XML)</x:v>
      </x:c>
      <x:c r="E1215" s="117" t="str">
        <x:v>ServiceAppointment</x:v>
      </x:c>
      <x:c r="F1215" s="119" t="str">
        <x:v>Reference, Trigger, Update</x:v>
      </x:c>
      <x:c r="G1215" s="117" t="str">
        <x:v>Yes</x:v>
      </x:c>
      <x:c r="H1215" s="117" t="str">
        <x:v>AutoLaunchedFlow</x:v>
      </x:c>
    </x:row>
    <x:row r="1216" ht="30" customHeight="1">
      <x:c r="A1216" s="117" t="str">
        <x:v>300Ro00000r7jgEIAQ</x:v>
      </x:c>
      <x:c r="B1216" s="117" t="str">
        <x:v>US_FSL_Trigger_Generate_Checksheet_HTML</x:v>
      </x:c>
      <x:c r="C1216" s="117" t="str">
        <x:v>Yes</x:v>
      </x:c>
      <x:c r="D1216" s="119" t="str">
        <x:v>Active v9 (Retrieved XML)</x:v>
      </x:c>
      <x:c r="E1216" s="117" t="str">
        <x:v>ServiceAppointment</x:v>
      </x:c>
      <x:c r="F1216" s="119" t="str">
        <x:v>Read, Reference, Trigger, Update</x:v>
      </x:c>
      <x:c r="G1216" s="117" t="str">
        <x:v>Yes</x:v>
      </x:c>
      <x:c r="H1216" s="117" t="str">
        <x:v>AutoLaunchedFlow</x:v>
      </x:c>
    </x:row>
    <x:row r="1217" ht="30" customHeight="1">
      <x:c r="A1217" s="117" t="str">
        <x:v>300Ro00000uYiHvIAK</x:v>
      </x:c>
      <x:c r="B1217" s="117" t="str">
        <x:v>US_FSL_Trophon_Checklist</x:v>
      </x:c>
      <x:c r="C1217" s="117" t="str">
        <x:v>Yes</x:v>
      </x:c>
      <x:c r="D1217" s="119" t="str">
        <x:v>Active v8 (Retrieved XML)</x:v>
      </x:c>
      <x:c r="E1217" s="117" t="str">
        <x:v>ServiceAppointment</x:v>
      </x:c>
      <x:c r="F1217" s="119" t="str">
        <x:v>Read, Reference, Update, Variable</x:v>
      </x:c>
      <x:c r="G1217" s="117" t="str">
        <x:v>No</x:v>
      </x:c>
      <x:c r="H1217" s="117" t="str">
        <x:v>FieldServiceMobile</x:v>
      </x:c>
    </x:row>
    <x:row r="1218" ht="30" customHeight="1">
      <x:c r="A1218" s="117" t="str">
        <x:v>300Ro00000noVpCIAU</x:v>
      </x:c>
      <x:c r="B1218" s="117" t="str">
        <x:v>US_FSL_Ultrasound_Checklist</x:v>
      </x:c>
      <x:c r="C1218" s="117" t="str">
        <x:v>Yes</x:v>
      </x:c>
      <x:c r="D1218" s="119" t="str">
        <x:v>Active v78 (Retrieved XML)</x:v>
      </x:c>
      <x:c r="E1218" s="117" t="str">
        <x:v>ServiceAppointment</x:v>
      </x:c>
      <x:c r="F1218" s="119" t="str">
        <x:v>Read, Reference, Update, Variable</x:v>
      </x:c>
      <x:c r="G1218" s="117" t="str">
        <x:v>No</x:v>
      </x:c>
      <x:c r="H1218" s="117" t="str">
        <x:v>FieldServiceMobile</x:v>
      </x:c>
    </x:row>
    <x:row r="1219" ht="30" customHeight="1">
      <x:c r="A1219" s="117" t="str">
        <x:v>300Ro000010n4l8IAA</x:v>
      </x:c>
      <x:c r="B1219" s="117" t="str">
        <x:v>US_FSL_Update_Open_SA_Shipping_Address_when_changed_on_WO</x:v>
      </x:c>
      <x:c r="C1219" s="117" t="str">
        <x:v>Yes</x:v>
      </x:c>
      <x:c r="D1219" s="119" t="str">
        <x:v>Active v2 (Retrieved XML)</x:v>
      </x:c>
      <x:c r="E1219" s="117" t="str">
        <x:v>ServiceAppointment</x:v>
      </x:c>
      <x:c r="F1219" s="119" t="str">
        <x:v>Reference, Update</x:v>
      </x:c>
      <x:c r="G1219" s="117" t="str">
        <x:v>No</x:v>
      </x:c>
      <x:c r="H1219" s="117" t="str">
        <x:v>AutoLaunchedFlow</x:v>
      </x:c>
    </x:row>
    <x:row r="1220" ht="30" customHeight="1">
      <x:c r="A1220" s="117" t="str">
        <x:v>300Ro00000oer8rIAA</x:v>
      </x:c>
      <x:c r="B1220" s="117" t="str">
        <x:v>US_Workflow_Update_Labor_Travel_on_Ready_for_Close</x:v>
      </x:c>
      <x:c r="C1220" s="117" t="str">
        <x:v>No</x:v>
      </x:c>
      <x:c r="D1220" s="119" t="str">
        <x:v>Latest inactive v2 (Retrieved XML)</x:v>
      </x:c>
      <x:c r="E1220" s="117" t="str">
        <x:v>ServiceAppointment</x:v>
      </x:c>
      <x:c r="F1220" s="119" t="str">
        <x:v>Read, Reference</x:v>
      </x:c>
      <x:c r="G1220" s="117" t="str">
        <x:v>No</x:v>
      </x:c>
      <x:c r="H1220" s="117" t="str">
        <x:v>AutoLaunchedFlow</x:v>
      </x:c>
    </x:row>
    <x:row r="1221" ht="30" customHeight="1">
      <x:c r="A1221" s="117" t="str">
        <x:v>300Ro00000qoWekIAE</x:v>
      </x:c>
      <x:c r="B1221" s="117" t="str">
        <x:v>Work_Order_Downtime_End_Setter</x:v>
      </x:c>
      <x:c r="C1221" s="117" t="str">
        <x:v>Yes</x:v>
      </x:c>
      <x:c r="D1221" s="119" t="str">
        <x:v>Active v1 (Retrieved XML)</x:v>
      </x:c>
      <x:c r="E1221" s="117" t="str">
        <x:v>ServiceAppointment</x:v>
      </x:c>
      <x:c r="F1221" s="119" t="str">
        <x:v>Reference, Trigger</x:v>
      </x:c>
      <x:c r="G1221" s="117" t="str">
        <x:v>Yes</x:v>
      </x:c>
      <x:c r="H1221" s="117" t="str">
        <x:v>AutoLaunchedFlow</x:v>
      </x:c>
    </x:row>
    <x:row r="1222" ht="30" customHeight="1">
      <x:c r="A1222" s="117" t="str">
        <x:v>300Ro00000lZu2lIAC</x:v>
      </x:c>
      <x:c r="B1222" s="117" t="str">
        <x:v>Work_Order_install_Subflow</x:v>
      </x:c>
      <x:c r="C1222" s="117" t="str">
        <x:v>Yes</x:v>
      </x:c>
      <x:c r="D1222" s="119" t="str">
        <x:v>Active v12 (Retrieved XML)</x:v>
      </x:c>
      <x:c r="E1222" s="117" t="str">
        <x:v>ServiceAppointment</x:v>
      </x:c>
      <x:c r="F1222" s="119" t="str">
        <x:v>Choice Read, Read, Reference, Variable</x:v>
      </x:c>
      <x:c r="G1222" s="117" t="str">
        <x:v>No</x:v>
      </x:c>
      <x:c r="H1222" s="117" t="str">
        <x:v>Flow</x:v>
      </x:c>
    </x:row>
    <x:row r="1223" ht="30" customHeight="1">
      <x:c r="A1223" s="117" t="str">
        <x:v>300Ro00000U5KZYIA3</x:v>
      </x:c>
      <x:c r="B1223" s="117" t="str">
        <x:v>Work_Order_Trigger_QA_Updates</x:v>
      </x:c>
      <x:c r="C1223" s="117" t="str">
        <x:v>No</x:v>
      </x:c>
      <x:c r="D1223" s="119" t="str">
        <x:v>Latest inactive v1 (Retrieved XML)</x:v>
      </x:c>
      <x:c r="E1223" s="117" t="str">
        <x:v>ServiceAppointment</x:v>
      </x:c>
      <x:c r="F1223" s="119" t="str">
        <x:v>Create, Read, Reference</x:v>
      </x:c>
      <x:c r="G1223" s="117" t="str">
        <x:v>No</x:v>
      </x:c>
      <x:c r="H1223" s="117" t="str">
        <x:v>AutoLaunchedFlow</x:v>
      </x:c>
    </x:row>
    <x:row r="1224" ht="30" customHeight="1">
      <x:c r="A1224" s="117" t="str">
        <x:v>300Ro00000S8ODBIA3</x:v>
      </x:c>
      <x:c r="B1224" s="117" t="str">
        <x:v>Work_Order_Trigger_Update_Cancelled_WO_Related_SAs</x:v>
      </x:c>
      <x:c r="C1224" s="117" t="str">
        <x:v>Yes</x:v>
      </x:c>
      <x:c r="D1224" s="119" t="str">
        <x:v>Active v4 (Retrieved XML)</x:v>
      </x:c>
      <x:c r="E1224" s="117" t="str">
        <x:v>ServiceAppointment</x:v>
      </x:c>
      <x:c r="F1224" s="119" t="str">
        <x:v>Read, Reference, Variable</x:v>
      </x:c>
      <x:c r="G1224" s="117" t="str">
        <x:v>No</x:v>
      </x:c>
      <x:c r="H1224" s="117" t="str">
        <x:v>AutoLaunchedFlow</x:v>
      </x:c>
    </x:row>
    <x:row r="1225" ht="30" customHeight="1">
      <x:c r="A1225" s="117" t="str">
        <x:v>300Ro00000Pz0l0IAB</x:v>
      </x:c>
      <x:c r="B1225" s="117" t="str">
        <x:v>Work_Step_Manager</x:v>
      </x:c>
      <x:c r="C1225" s="117" t="str">
        <x:v>Yes</x:v>
      </x:c>
      <x:c r="D1225" s="119" t="str">
        <x:v>Active v18 (Retrieved XML)</x:v>
      </x:c>
      <x:c r="E1225" s="117" t="str">
        <x:v>ServiceAppointment</x:v>
      </x:c>
      <x:c r="F1225" s="119" t="str">
        <x:v>Read, Reference, Variable</x:v>
      </x:c>
      <x:c r="G1225" s="117" t="str">
        <x:v>No</x:v>
      </x:c>
      <x:c r="H1225" s="117" t="str">
        <x:v>FieldServiceMobile</x:v>
      </x:c>
    </x:row>
    <x:row r="1226" ht="30" customHeight="1">
      <x:c r="A1226" s="117" t="str">
        <x:v>3005b000000H1utAAC</x:v>
      </x:c>
      <x:c r="B1226" s="117" t="str">
        <x:v>Create_contract_line_items_and_entitlements</x:v>
      </x:c>
      <x:c r="C1226" s="117" t="str">
        <x:v>Yes</x:v>
      </x:c>
      <x:c r="D1226" s="119" t="str">
        <x:v>Active v11 (Retrieved XML)</x:v>
      </x:c>
      <x:c r="E1226" s="117" t="str">
        <x:v>ServiceContract</x:v>
      </x:c>
      <x:c r="F1226" s="119" t="str">
        <x:v>Read, Reference</x:v>
      </x:c>
      <x:c r="G1226" s="117" t="str">
        <x:v>No</x:v>
      </x:c>
      <x:c r="H1226" s="117" t="str">
        <x:v>Flow</x:v>
      </x:c>
    </x:row>
    <x:row r="1227" ht="30" customHeight="1">
      <x:c r="A1227" s="117" t="str">
        <x:v>3005b000000H3leAAC</x:v>
      </x:c>
      <x:c r="B1227" s="117" t="str">
        <x:v>Create_Contract_Line_Items_Entitlements_and_Work_Orders</x:v>
      </x:c>
      <x:c r="C1227" s="117" t="str">
        <x:v>No</x:v>
      </x:c>
      <x:c r="D1227" s="119" t="str">
        <x:v>Latest inactive v3 (Retrieved XML)</x:v>
      </x:c>
      <x:c r="E1227" s="117" t="str">
        <x:v>ServiceContract</x:v>
      </x:c>
      <x:c r="F1227" s="119" t="str">
        <x:v>Read, Reference</x:v>
      </x:c>
      <x:c r="G1227" s="117" t="str">
        <x:v>No</x:v>
      </x:c>
      <x:c r="H1227" s="117" t="str">
        <x:v>Flow</x:v>
      </x:c>
    </x:row>
    <x:row r="1228" ht="30" customHeight="1">
      <x:c r="A1228" s="117" t="str">
        <x:v>3005b000000H3pgAAC</x:v>
      </x:c>
      <x:c r="B1228" s="117" t="str">
        <x:v>Create_Contract_Line_Items_Entitlements_and_Work_Orders_V4</x:v>
      </x:c>
      <x:c r="C1228" s="117" t="str">
        <x:v>Yes</x:v>
      </x:c>
      <x:c r="D1228" s="119" t="str">
        <x:v>Active v17 (Tooling metadata)</x:v>
      </x:c>
      <x:c r="E1228" s="117" t="str">
        <x:v>ServiceContract</x:v>
      </x:c>
      <x:c r="F1228" s="119" t="str">
        <x:v>Read, Reference</x:v>
      </x:c>
      <x:c r="G1228" s="117" t="str">
        <x:v>No</x:v>
      </x:c>
      <x:c r="H1228" s="117" t="str">
        <x:v>Flow</x:v>
      </x:c>
    </x:row>
    <x:row r="1229" ht="30" customHeight="1">
      <x:c r="A1229" s="117" t="str">
        <x:v>300Ro00000kseeBIAQ</x:v>
      </x:c>
      <x:c r="B1229" s="117" t="str">
        <x:v>Create_Field_Service_Work_Order_in_Salesforce</x:v>
      </x:c>
      <x:c r="C1229" s="117" t="str">
        <x:v>Yes</x:v>
      </x:c>
      <x:c r="D1229" s="119" t="str">
        <x:v>Active v9 (Retrieved XML)</x:v>
      </x:c>
      <x:c r="E1229" s="117" t="str">
        <x:v>ServiceContract</x:v>
      </x:c>
      <x:c r="F1229" s="119" t="str">
        <x:v>Read, Reference, Variable</x:v>
      </x:c>
      <x:c r="G1229" s="117" t="str">
        <x:v>No</x:v>
      </x:c>
      <x:c r="H1229" s="117" t="str">
        <x:v>Flow</x:v>
      </x:c>
    </x:row>
    <x:row r="1230" ht="30" customHeight="1">
      <x:c r="A1230" s="117" t="str">
        <x:v>300jR000000BuwaQAC</x:v>
      </x:c>
      <x:c r="B1230" s="117" t="str">
        <x:v>Create_FSL_Work_Order_on_SF_Objects</x:v>
      </x:c>
      <x:c r="C1230" s="117" t="str">
        <x:v>Yes</x:v>
      </x:c>
      <x:c r="D1230" s="119" t="str">
        <x:v>Active v7 (Retrieved XML)</x:v>
      </x:c>
      <x:c r="E1230" s="117" t="str">
        <x:v>ServiceContract</x:v>
      </x:c>
      <x:c r="F1230" s="119" t="str">
        <x:v>Read, Reference</x:v>
      </x:c>
      <x:c r="G1230" s="117" t="str">
        <x:v>No</x:v>
      </x:c>
      <x:c r="H1230" s="117" t="str">
        <x:v>Flow</x:v>
      </x:c>
    </x:row>
    <x:row r="1231" ht="30" customHeight="1">
      <x:c r="A1231" s="117" t="str">
        <x:v>3005b000000H1zUAAS</x:v>
      </x:c>
      <x:c r="B1231" s="117" t="str">
        <x:v>Create_new_service_contract_from_opp</x:v>
      </x:c>
      <x:c r="C1231" s="117" t="str">
        <x:v>Yes</x:v>
      </x:c>
      <x:c r="D1231" s="119" t="str">
        <x:v>Active v11 (Retrieved XML)</x:v>
      </x:c>
      <x:c r="E1231" s="117" t="str">
        <x:v>ServiceContract</x:v>
      </x:c>
      <x:c r="F1231" s="119" t="str">
        <x:v>Create, Reference, Variable</x:v>
      </x:c>
      <x:c r="G1231" s="117" t="str">
        <x:v>No</x:v>
      </x:c>
      <x:c r="H1231" s="117" t="str">
        <x:v>Flow</x:v>
      </x:c>
    </x:row>
    <x:row r="1232" ht="30" customHeight="1">
      <x:c r="A1232" s="117" t="str">
        <x:v>3005b000000H3plAAC</x:v>
      </x:c>
      <x:c r="B1232" s="117" t="str">
        <x:v>Create_New_Service_Contract_from_Opp_UK</x:v>
      </x:c>
      <x:c r="C1232" s="117" t="str">
        <x:v>Yes</x:v>
      </x:c>
      <x:c r="D1232" s="119" t="str">
        <x:v>Active v27 (Retrieved XML)</x:v>
      </x:c>
      <x:c r="E1232" s="117" t="str">
        <x:v>ServiceContract</x:v>
      </x:c>
      <x:c r="F1232" s="119" t="str">
        <x:v>Create, Reference, Variable</x:v>
      </x:c>
      <x:c r="G1232" s="117" t="str">
        <x:v>No</x:v>
      </x:c>
      <x:c r="H1232" s="117" t="str">
        <x:v>Flow</x:v>
      </x:c>
    </x:row>
    <x:row r="1233" ht="30" customHeight="1">
      <x:c r="A1233" s="117" t="str">
        <x:v>300Ro00000BmFOEIA3</x:v>
      </x:c>
      <x:c r="B1233" s="117" t="str">
        <x:v>Create_Repair_Opportunity_from_Service_Contract_Flow</x:v>
      </x:c>
      <x:c r="C1233" s="117" t="str">
        <x:v>Yes</x:v>
      </x:c>
      <x:c r="D1233" s="119" t="str">
        <x:v>Active v10 (Retrieved XML)</x:v>
      </x:c>
      <x:c r="E1233" s="117" t="str">
        <x:v>ServiceContract</x:v>
      </x:c>
      <x:c r="F1233" s="119" t="str">
        <x:v>Read, Reference</x:v>
      </x:c>
      <x:c r="G1233" s="117" t="str">
        <x:v>No</x:v>
      </x:c>
      <x:c r="H1233" s="117" t="str">
        <x:v>Flow</x:v>
      </x:c>
    </x:row>
    <x:row r="1234" ht="30" customHeight="1">
      <x:c r="A1234" s="117" t="str">
        <x:v>300Ro00000aDxwqIAC</x:v>
      </x:c>
      <x:c r="B1234" s="117" t="str">
        <x:v>Create_Work_Orders_from_Contract_Renewal</x:v>
      </x:c>
      <x:c r="C1234" s="117" t="str">
        <x:v>Yes</x:v>
      </x:c>
      <x:c r="D1234" s="119" t="str">
        <x:v>Active v10 (Tooling metadata)</x:v>
      </x:c>
      <x:c r="E1234" s="117" t="str">
        <x:v>ServiceContract</x:v>
      </x:c>
      <x:c r="F1234" s="119" t="str">
        <x:v>Reference, Trigger</x:v>
      </x:c>
      <x:c r="G1234" s="117" t="str">
        <x:v>Yes</x:v>
      </x:c>
      <x:c r="H1234" s="117" t="str">
        <x:v>AutoLaunchedFlow</x:v>
      </x:c>
    </x:row>
    <x:row r="1235" ht="30" customHeight="1">
      <x:c r="A1235" s="117" t="str">
        <x:v>3005b000000LHN0AAO</x:v>
      </x:c>
      <x:c r="B1235" s="117" t="str">
        <x:v>CreateRenewalContractFromExistingUK_BETA</x:v>
      </x:c>
      <x:c r="C1235" s="117" t="str">
        <x:v>No</x:v>
      </x:c>
      <x:c r="D1235" s="119" t="str">
        <x:v>Latest inactive v1 (Retrieved XML)</x:v>
      </x:c>
      <x:c r="E1235" s="117" t="str">
        <x:v>ServiceContract</x:v>
      </x:c>
      <x:c r="F1235" s="119" t="str">
        <x:v>Create, Read, Reference</x:v>
      </x:c>
      <x:c r="G1235" s="117" t="str">
        <x:v>No</x:v>
      </x:c>
      <x:c r="H1235" s="117" t="str">
        <x:v>Flow</x:v>
      </x:c>
    </x:row>
    <x:row r="1236" ht="30" customHeight="1">
      <x:c r="A1236" s="117" t="str">
        <x:v>300Ro00000cwVggIAE</x:v>
      </x:c>
      <x:c r="B1236" s="117" t="str">
        <x:v>Mobile_Create_Work_Order_From_Account</x:v>
      </x:c>
      <x:c r="C1236" s="117" t="str">
        <x:v>Yes</x:v>
      </x:c>
      <x:c r="D1236" s="119" t="str">
        <x:v>Active v1 (Retrieved XML)</x:v>
      </x:c>
      <x:c r="E1236" s="117" t="str">
        <x:v>ServiceContract</x:v>
      </x:c>
      <x:c r="F1236" s="119" t="str">
        <x:v>Variable</x:v>
      </x:c>
      <x:c r="G1236" s="117" t="str">
        <x:v>No</x:v>
      </x:c>
      <x:c r="H1236" s="117" t="str">
        <x:v>FieldServiceMobile</x:v>
      </x:c>
    </x:row>
    <x:row r="1237" ht="30" customHeight="1">
      <x:c r="A1237" s="117" t="str">
        <x:v>300Ro00000cwVghIAE</x:v>
      </x:c>
      <x:c r="B1237" s="117" t="str">
        <x:v>Mobile_Create_Work_Order_From_Contract_Line_Item</x:v>
      </x:c>
      <x:c r="C1237" s="117" t="str">
        <x:v>Yes</x:v>
      </x:c>
      <x:c r="D1237" s="119" t="str">
        <x:v>Active v1 (Retrieved XML)</x:v>
      </x:c>
      <x:c r="E1237" s="117" t="str">
        <x:v>ServiceContract</x:v>
      </x:c>
      <x:c r="F1237" s="119" t="str">
        <x:v>Read, Reference, Variable</x:v>
      </x:c>
      <x:c r="G1237" s="117" t="str">
        <x:v>No</x:v>
      </x:c>
      <x:c r="H1237" s="117" t="str">
        <x:v>FieldServiceMobile</x:v>
      </x:c>
    </x:row>
    <x:row r="1238" ht="30" customHeight="1">
      <x:c r="A1238" s="117" t="str">
        <x:v>300Ro00000cnT4dIAE</x:v>
      </x:c>
      <x:c r="B1238" s="117" t="str">
        <x:v>On_US_FSL_Lead_Conversion_Bring_Work_Order_Over_to_Contact_Account_Opportunity</x:v>
      </x:c>
      <x:c r="C1238" s="117" t="str">
        <x:v>Yes</x:v>
      </x:c>
      <x:c r="D1238" s="119" t="str">
        <x:v>Active v22 (Retrieved XML)</x:v>
      </x:c>
      <x:c r="E1238" s="117" t="str">
        <x:v>ServiceContract</x:v>
      </x:c>
      <x:c r="F1238" s="119" t="str">
        <x:v>Read, Reference, Variable</x:v>
      </x:c>
      <x:c r="G1238" s="117" t="str">
        <x:v>No</x:v>
      </x:c>
      <x:c r="H1238" s="117" t="str">
        <x:v>AutoLaunchedFlow</x:v>
      </x:c>
    </x:row>
    <x:row r="1239" ht="30" customHeight="1">
      <x:c r="A1239" s="117" t="str">
        <x:v>3005b000000H1eMAAS</x:v>
      </x:c>
      <x:c r="B1239" s="117" t="str">
        <x:v>Opportunity_Create_Warranty_Service_Contract</x:v>
      </x:c>
      <x:c r="C1239" s="117" t="str">
        <x:v>Yes</x:v>
      </x:c>
      <x:c r="D1239" s="119" t="str">
        <x:v>Active v16 (Retrieved XML)</x:v>
      </x:c>
      <x:c r="E1239" s="117" t="str">
        <x:v>ServiceContract</x:v>
      </x:c>
      <x:c r="F1239" s="119" t="str">
        <x:v>Create, Reference, Variable</x:v>
      </x:c>
      <x:c r="G1239" s="117" t="str">
        <x:v>No</x:v>
      </x:c>
      <x:c r="H1239" s="117" t="str">
        <x:v>AutoLaunchedFlow</x:v>
      </x:c>
    </x:row>
    <x:row r="1240" ht="30" customHeight="1">
      <x:c r="A1240" s="117" t="str">
        <x:v>3005b000000H1uuAAC</x:v>
      </x:c>
      <x:c r="B1240" s="117" t="str">
        <x:v>PB_Service_Contract</x:v>
      </x:c>
      <x:c r="C1240" s="117" t="str">
        <x:v>No</x:v>
      </x:c>
      <x:c r="D1240" s="119" t="str">
        <x:v>Latest inactive v3 (Retrieved XML)</x:v>
      </x:c>
      <x:c r="E1240" s="117" t="str">
        <x:v>ServiceContract</x:v>
      </x:c>
      <x:c r="F1240" s="119" t="str">
        <x:v>Reference, Update, Variable</x:v>
      </x:c>
      <x:c r="G1240" s="117" t="str">
        <x:v>No</x:v>
      </x:c>
      <x:c r="H1240" s="117" t="str">
        <x:v>Workflow</x:v>
      </x:c>
    </x:row>
    <x:row r="1241" ht="30" customHeight="1">
      <x:c r="A1241" s="117" t="str">
        <x:v>300Ro00000U7G8UIAV</x:v>
      </x:c>
      <x:c r="B1241" s="117" t="str">
        <x:v>Screen_Work_Order_Asset_Contract_Line_Update</x:v>
      </x:c>
      <x:c r="C1241" s="117" t="str">
        <x:v>Yes</x:v>
      </x:c>
      <x:c r="D1241" s="119" t="str">
        <x:v>Active v1 (Tooling metadata)</x:v>
      </x:c>
      <x:c r="E1241" s="117" t="str">
        <x:v>ServiceContract</x:v>
      </x:c>
      <x:c r="F1241" s="119" t="str">
        <x:v>Read, Reference, Variable</x:v>
      </x:c>
      <x:c r="G1241" s="117" t="str">
        <x:v>No</x:v>
      </x:c>
      <x:c r="H1241" s="117" t="str">
        <x:v>Flow</x:v>
      </x:c>
    </x:row>
    <x:row r="1242" ht="30" customHeight="1">
      <x:c r="A1242" s="117" t="str">
        <x:v>3004O000000LOxPQAW</x:v>
      </x:c>
      <x:c r="B1242" s="117" t="str">
        <x:v>Service_Alert_60_Days_til_Exp_Alert</x:v>
      </x:c>
      <x:c r="C1242" s="117" t="str">
        <x:v>Yes</x:v>
      </x:c>
      <x:c r="D1242" s="119" t="str">
        <x:v>Active v1 (Retrieved XML)</x:v>
      </x:c>
      <x:c r="E1242" s="117" t="str">
        <x:v>ServiceContract</x:v>
      </x:c>
      <x:c r="F1242" s="119" t="str">
        <x:v>Reference, Trigger</x:v>
      </x:c>
      <x:c r="G1242" s="117" t="str">
        <x:v>Yes</x:v>
      </x:c>
      <x:c r="H1242" s="117" t="str">
        <x:v>AutoLaunchedFlow</x:v>
      </x:c>
    </x:row>
    <x:row r="1243" ht="30" customHeight="1">
      <x:c r="A1243" s="117" t="str">
        <x:v>3005b000000H1uvAAC</x:v>
      </x:c>
      <x:c r="B1243" s="117" t="str">
        <x:v>Service_Contract_Billing_Flow</x:v>
      </x:c>
      <x:c r="C1243" s="117" t="str">
        <x:v>No</x:v>
      </x:c>
      <x:c r="D1243" s="119" t="str">
        <x:v>Latest inactive v10 (Retrieved XML)</x:v>
      </x:c>
      <x:c r="E1243" s="117" t="str">
        <x:v>ServiceContract</x:v>
      </x:c>
      <x:c r="F1243" s="119" t="str">
        <x:v>Read, Reference, Update</x:v>
      </x:c>
      <x:c r="G1243" s="117" t="str">
        <x:v>No</x:v>
      </x:c>
      <x:c r="H1243" s="117" t="str">
        <x:v>AutoLaunchedFlow</x:v>
      </x:c>
    </x:row>
    <x:row r="1244" ht="30" customHeight="1">
      <x:c r="A1244" s="117" t="str">
        <x:v>3005b000000H1uwAAC</x:v>
      </x:c>
      <x:c r="B1244" s="117" t="str">
        <x:v>Service_Contract_Billing_Scheduling_Flow</x:v>
      </x:c>
      <x:c r="C1244" s="117" t="str">
        <x:v>No</x:v>
      </x:c>
      <x:c r="D1244" s="119" t="str">
        <x:v>Latest inactive v1 (Retrieved XML)</x:v>
      </x:c>
      <x:c r="E1244" s="117" t="str">
        <x:v>ServiceContract</x:v>
      </x:c>
      <x:c r="F1244" s="119" t="str">
        <x:v>Reference, Trigger</x:v>
      </x:c>
      <x:c r="G1244" s="117" t="str">
        <x:v>Yes</x:v>
      </x:c>
      <x:c r="H1244" s="117" t="str">
        <x:v>AutoLaunchedFlow</x:v>
      </x:c>
    </x:row>
    <x:row r="1245" ht="30" customHeight="1">
      <x:c r="A1245" s="117" t="str">
        <x:v>300Ro00000wE1KhIAK</x:v>
      </x:c>
      <x:c r="B1245" s="117" t="str">
        <x:v>Service_Contract_Create_Contract_Line_Item_Screen_Flow</x:v>
      </x:c>
      <x:c r="C1245" s="117" t="str">
        <x:v>Yes</x:v>
      </x:c>
      <x:c r="D1245" s="119" t="str">
        <x:v>Active v4 (Retrieved XML)</x:v>
      </x:c>
      <x:c r="E1245" s="117" t="str">
        <x:v>ServiceContract</x:v>
      </x:c>
      <x:c r="F1245" s="119" t="str">
        <x:v>Read, Reference</x:v>
      </x:c>
      <x:c r="G1245" s="117" t="str">
        <x:v>No</x:v>
      </x:c>
      <x:c r="H1245" s="117" t="str">
        <x:v>Flow</x:v>
      </x:c>
    </x:row>
    <x:row r="1246" ht="30" customHeight="1">
      <x:c r="A1246" s="117" t="str">
        <x:v>300Ro00000wDQ8DIAW</x:v>
      </x:c>
      <x:c r="B1246" s="117" t="str">
        <x:v>Service_Contract_Create_Contract_Line_Items_Screen_Flow</x:v>
      </x:c>
      <x:c r="C1246" s="117" t="str">
        <x:v>No</x:v>
      </x:c>
      <x:c r="D1246" s="119" t="str">
        <x:v>Latest inactive v1 (Retrieved XML)</x:v>
      </x:c>
      <x:c r="E1246" s="117" t="str">
        <x:v>ServiceContract</x:v>
      </x:c>
      <x:c r="F1246" s="119" t="str">
        <x:v>Read, Reference</x:v>
      </x:c>
      <x:c r="G1246" s="117" t="str">
        <x:v>No</x:v>
      </x:c>
      <x:c r="H1246" s="117" t="str">
        <x:v>Flow</x:v>
      </x:c>
    </x:row>
    <x:row r="1247" ht="30" customHeight="1">
      <x:c r="A1247" s="117" t="str">
        <x:v>300Ro00000Mkf0LIAR</x:v>
      </x:c>
      <x:c r="B1247" s="117" t="str">
        <x:v>Service_Contract_Notification_Flow</x:v>
      </x:c>
      <x:c r="C1247" s="117" t="str">
        <x:v>Yes</x:v>
      </x:c>
      <x:c r="D1247" s="119" t="str">
        <x:v>Active v3 (Retrieved XML)</x:v>
      </x:c>
      <x:c r="E1247" s="117" t="str">
        <x:v>ServiceContract</x:v>
      </x:c>
      <x:c r="F1247" s="119" t="str">
        <x:v>Reference, Trigger</x:v>
      </x:c>
      <x:c r="G1247" s="117" t="str">
        <x:v>Yes</x:v>
      </x:c>
      <x:c r="H1247" s="117" t="str">
        <x:v>AutoLaunchedFlow</x:v>
      </x:c>
    </x:row>
    <x:row r="1248" ht="30" customHeight="1">
      <x:c r="A1248" s="117" t="str">
        <x:v>300Ro00000Zp8kCIAR</x:v>
      </x:c>
      <x:c r="B1248" s="117" t="str">
        <x:v>Service_Contract_Renewal</x:v>
      </x:c>
      <x:c r="C1248" s="117" t="str">
        <x:v>Yes</x:v>
      </x:c>
      <x:c r="D1248" s="119" t="str">
        <x:v>Active v18 (Retrieved XML)</x:v>
      </x:c>
      <x:c r="E1248" s="117" t="str">
        <x:v>ServiceContract</x:v>
      </x:c>
      <x:c r="F1248" s="119" t="str">
        <x:v>Create, Reference, Update, Variable</x:v>
      </x:c>
      <x:c r="G1248" s="117" t="str">
        <x:v>No</x:v>
      </x:c>
      <x:c r="H1248" s="117" t="str">
        <x:v>Flow</x:v>
      </x:c>
    </x:row>
    <x:row r="1249" ht="30" customHeight="1">
      <x:c r="A1249" s="117" t="str">
        <x:v>300Ro00000nsEpqIAE</x:v>
      </x:c>
      <x:c r="B1249" s="117" t="str">
        <x:v>Service_Contract_Renewal_US1</x:v>
      </x:c>
      <x:c r="C1249" s="117" t="str">
        <x:v>Yes</x:v>
      </x:c>
      <x:c r="D1249" s="119" t="str">
        <x:v>Active v11 (Retrieved XML)</x:v>
      </x:c>
      <x:c r="E1249" s="117" t="str">
        <x:v>ServiceContract</x:v>
      </x:c>
      <x:c r="F1249" s="119" t="str">
        <x:v>Create, Read, Reference, Update, Variable</x:v>
      </x:c>
      <x:c r="G1249" s="117" t="str">
        <x:v>No</x:v>
      </x:c>
      <x:c r="H1249" s="117" t="str">
        <x:v>Flow</x:v>
      </x:c>
    </x:row>
    <x:row r="1250" ht="30" customHeight="1">
      <x:c r="A1250" s="117" t="str">
        <x:v>300Ro00000PFWArIAP</x:v>
      </x:c>
      <x:c r="B1250" s="117" t="str">
        <x:v>Service_Contract_Unlock_Flow</x:v>
      </x:c>
      <x:c r="C1250" s="117" t="str">
        <x:v>Yes</x:v>
      </x:c>
      <x:c r="D1250" s="119" t="str">
        <x:v>Active v1 (Retrieved XML)</x:v>
      </x:c>
      <x:c r="E1250" s="117" t="str">
        <x:v>ServiceContract</x:v>
      </x:c>
      <x:c r="F1250" s="119" t="str">
        <x:v>Read, Reference, Trigger</x:v>
      </x:c>
      <x:c r="G1250" s="117" t="str">
        <x:v>Yes</x:v>
      </x:c>
      <x:c r="H1250" s="117" t="str">
        <x:v>AutoLaunchedFlow</x:v>
      </x:c>
    </x:row>
    <x:row r="1251" ht="30" customHeight="1">
      <x:c r="A1251" s="117" t="str">
        <x:v>3005b000000LHjaAAG</x:v>
      </x:c>
      <x:c r="B1251" s="117" t="str">
        <x:v>Service_Contract_Updates_Flow</x:v>
      </x:c>
      <x:c r="C1251" s="117" t="str">
        <x:v>Yes</x:v>
      </x:c>
      <x:c r="D1251" s="119" t="str">
        <x:v>Active v1 (Tooling metadata)</x:v>
      </x:c>
      <x:c r="E1251" s="117" t="str">
        <x:v>ServiceContract</x:v>
      </x:c>
      <x:c r="F1251" s="119" t="str">
        <x:v>Reference, Trigger, Update</x:v>
      </x:c>
      <x:c r="G1251" s="117" t="str">
        <x:v>Yes</x:v>
      </x:c>
      <x:c r="H1251" s="117" t="str">
        <x:v>AutoLaunchedFlow</x:v>
      </x:c>
    </x:row>
    <x:row r="1252" ht="30" customHeight="1">
      <x:c r="A1252" s="117" t="str">
        <x:v>3005b000000H3t4AAC</x:v>
      </x:c>
      <x:c r="B1252" s="117" t="str">
        <x:v>Service_Contract_Updates_Status_Handler</x:v>
      </x:c>
      <x:c r="C1252" s="117" t="str">
        <x:v>Yes</x:v>
      </x:c>
      <x:c r="D1252" s="119" t="str">
        <x:v>Active v2 (Retrieved XML)</x:v>
      </x:c>
      <x:c r="E1252" s="117" t="str">
        <x:v>ServiceContract</x:v>
      </x:c>
      <x:c r="F1252" s="119" t="str">
        <x:v>Reference, Trigger, Update</x:v>
      </x:c>
      <x:c r="G1252" s="117" t="str">
        <x:v>Yes</x:v>
      </x:c>
      <x:c r="H1252" s="117" t="str">
        <x:v>AutoLaunchedFlow</x:v>
      </x:c>
    </x:row>
    <x:row r="1253" ht="30" customHeight="1">
      <x:c r="A1253" s="117" t="str">
        <x:v>300Ro00000xUsgyIAC</x:v>
      </x:c>
      <x:c r="B1253" s="117" t="str">
        <x:v>Work_Order_Asynchronous_on_create_Update_PM_Work_Order_Count_on_Service_Contract</x:v>
      </x:c>
      <x:c r="C1253" s="117" t="str">
        <x:v>Yes</x:v>
      </x:c>
      <x:c r="D1253" s="119" t="str">
        <x:v>Active v1 (Retrieved XML)</x:v>
      </x:c>
      <x:c r="E1253" s="117" t="str">
        <x:v>ServiceContract</x:v>
      </x:c>
      <x:c r="F1253" s="119" t="str">
        <x:v>Reference, Update</x:v>
      </x:c>
      <x:c r="G1253" s="117" t="str">
        <x:v>No</x:v>
      </x:c>
      <x:c r="H1253" s="117" t="str">
        <x:v>AutoLaunchedFlow</x:v>
      </x:c>
    </x:row>
    <x:row r="1254" ht="30" customHeight="1">
      <x:c r="A1254" s="117" t="str">
        <x:v>300Ro00000xUsgzIAC</x:v>
      </x:c>
      <x:c r="B1254" s="117" t="str">
        <x:v>Work_Order_Asynchronous_on_delete_Update_PM_Work_Order_Count_on_Service_Contract</x:v>
      </x:c>
      <x:c r="C1254" s="117" t="str">
        <x:v>Yes</x:v>
      </x:c>
      <x:c r="D1254" s="119" t="str">
        <x:v>Active v1 (Retrieved XML)</x:v>
      </x:c>
      <x:c r="E1254" s="117" t="str">
        <x:v>ServiceContract</x:v>
      </x:c>
      <x:c r="F1254" s="119" t="str">
        <x:v>Reference, Update</x:v>
      </x:c>
      <x:c r="G1254" s="117" t="str">
        <x:v>No</x:v>
      </x:c>
      <x:c r="H1254" s="117" t="str">
        <x:v>AutoLaunchedFlow</x:v>
      </x:c>
    </x:row>
    <x:row r="1255" ht="30" customHeight="1">
      <x:c r="A1255" s="117" t="str">
        <x:v>300Ro00000xUsh0IAC</x:v>
      </x:c>
      <x:c r="B1255" s="117" t="str">
        <x:v>Work_Order_Asynchronous_on_update_Update_PM_Work_Order_Count_on_Service_Contract</x:v>
      </x:c>
      <x:c r="C1255" s="117" t="str">
        <x:v>Yes</x:v>
      </x:c>
      <x:c r="D1255" s="119" t="str">
        <x:v>Active v1 (Retrieved XML)</x:v>
      </x:c>
      <x:c r="E1255" s="117" t="str">
        <x:v>ServiceContract</x:v>
      </x:c>
      <x:c r="F1255" s="119" t="str">
        <x:v>Reference, Update</x:v>
      </x:c>
      <x:c r="G1255" s="117" t="str">
        <x:v>No</x:v>
      </x:c>
      <x:c r="H1255" s="117" t="str">
        <x:v>AutoLaunchedFlow</x:v>
      </x:c>
    </x:row>
    <x:row r="1256" ht="30" customHeight="1">
      <x:c r="A1256" s="117" t="str">
        <x:v>300Ro00000kseeBIAQ</x:v>
      </x:c>
      <x:c r="B1256" s="117" t="str">
        <x:v>Create_Field_Service_Work_Order_in_Salesforce</x:v>
      </x:c>
      <x:c r="C1256" s="117" t="str">
        <x:v>Yes</x:v>
      </x:c>
      <x:c r="D1256" s="119" t="str">
        <x:v>Active v9 (Retrieved XML)</x:v>
      </x:c>
      <x:c r="E1256" s="117" t="str">
        <x:v>ServiceCrewMember</x:v>
      </x:c>
      <x:c r="F1256" s="119" t="str">
        <x:v>Read, Reference</x:v>
      </x:c>
      <x:c r="G1256" s="117" t="str">
        <x:v>No</x:v>
      </x:c>
      <x:c r="H1256" s="117" t="str">
        <x:v>Flow</x:v>
      </x:c>
    </x:row>
    <x:row r="1257" ht="30" customHeight="1">
      <x:c r="A1257" s="117" t="str">
        <x:v>300jR000000BuwaQAC</x:v>
      </x:c>
      <x:c r="B1257" s="117" t="str">
        <x:v>Create_FSL_Work_Order_on_SF_Objects</x:v>
      </x:c>
      <x:c r="C1257" s="117" t="str">
        <x:v>Yes</x:v>
      </x:c>
      <x:c r="D1257" s="119" t="str">
        <x:v>Active v7 (Retrieved XML)</x:v>
      </x:c>
      <x:c r="E1257" s="117" t="str">
        <x:v>ServiceCrewMember</x:v>
      </x:c>
      <x:c r="F1257" s="119" t="str">
        <x:v>Read, Reference</x:v>
      </x:c>
      <x:c r="G1257" s="117" t="str">
        <x:v>No</x:v>
      </x:c>
      <x:c r="H1257" s="117" t="str">
        <x:v>Flow</x:v>
      </x:c>
    </x:row>
    <x:row r="1258" ht="30" customHeight="1">
      <x:c r="A1258" s="117" t="str">
        <x:v>300jR000000BuwaQAC</x:v>
      </x:c>
      <x:c r="B1258" s="117" t="str">
        <x:v>Create_FSL_Work_Order_on_SF_Objects</x:v>
      </x:c>
      <x:c r="C1258" s="117" t="str">
        <x:v>Yes</x:v>
      </x:c>
      <x:c r="D1258" s="119" t="str">
        <x:v>Active v7 (Retrieved XML)</x:v>
      </x:c>
      <x:c r="E1258" s="117" t="str">
        <x:v>ServiceReportLayout</x:v>
      </x:c>
      <x:c r="F1258" s="119" t="str">
        <x:v>Read, Reference</x:v>
      </x:c>
      <x:c r="G1258" s="117" t="str">
        <x:v>No</x:v>
      </x:c>
      <x:c r="H1258" s="117" t="str">
        <x:v>Flow</x:v>
      </x:c>
    </x:row>
    <x:row r="1259" ht="30" customHeight="1">
      <x:c r="A1259" s="117" t="str">
        <x:v>300Ro00000otBqsIAE</x:v>
      </x:c>
      <x:c r="B1259" s="117" t="str">
        <x:v>FSL_Set_Service_Report_Layout_ID_on_Checklist_Type_Update</x:v>
      </x:c>
      <x:c r="C1259" s="117" t="str">
        <x:v>Yes</x:v>
      </x:c>
      <x:c r="D1259" s="119" t="str">
        <x:v>Active v16 (Retrieved XML)</x:v>
      </x:c>
      <x:c r="E1259" s="117" t="str">
        <x:v>ServiceReportLayout</x:v>
      </x:c>
      <x:c r="F1259" s="119" t="str">
        <x:v>Read, Reference</x:v>
      </x:c>
      <x:c r="G1259" s="117" t="str">
        <x:v>No</x:v>
      </x:c>
      <x:c r="H1259" s="117" t="str">
        <x:v>AutoLaunchedFlow</x:v>
      </x:c>
    </x:row>
    <x:row r="1260" ht="30" customHeight="1">
      <x:c r="A1260" s="117" t="str">
        <x:v>300Ro00000n2BUtIAM</x:v>
      </x:c>
      <x:c r="B1260" s="117" t="str">
        <x:v>FSL_Set_Service_Report_Layout_ID_on_Work_Orders</x:v>
      </x:c>
      <x:c r="C1260" s="117" t="str">
        <x:v>Yes</x:v>
      </x:c>
      <x:c r="D1260" s="119" t="str">
        <x:v>Active v7 (Tooling metadata)</x:v>
      </x:c>
      <x:c r="E1260" s="117" t="str">
        <x:v>ServiceReportLayout</x:v>
      </x:c>
      <x:c r="F1260" s="119" t="str">
        <x:v>Read, Reference</x:v>
      </x:c>
      <x:c r="G1260" s="117" t="str">
        <x:v>No</x:v>
      </x:c>
      <x:c r="H1260" s="117" t="str">
        <x:v>AutoLaunchedFlow</x:v>
      </x:c>
    </x:row>
    <x:row r="1261" ht="30" customHeight="1">
      <x:c r="A1261" s="117" t="str">
        <x:v>300Ro00000pjRMsIAM</x:v>
      </x:c>
      <x:c r="B1261" s="117" t="str">
        <x:v>Work_Order_Triggeer_US_FSR_Layout_Assignment</x:v>
      </x:c>
      <x:c r="C1261" s="117" t="str">
        <x:v>Yes</x:v>
      </x:c>
      <x:c r="D1261" s="119" t="str">
        <x:v>Active v2 (Retrieved XML)</x:v>
      </x:c>
      <x:c r="E1261" s="117" t="str">
        <x:v>ServiceReportLayout</x:v>
      </x:c>
      <x:c r="F1261" s="119" t="str">
        <x:v>Read, Reference</x:v>
      </x:c>
      <x:c r="G1261" s="117" t="str">
        <x:v>No</x:v>
      </x:c>
      <x:c r="H1261" s="117" t="str">
        <x:v>AutoLaunchedFlow</x:v>
      </x:c>
    </x:row>
    <x:row r="1262" ht="30" customHeight="1">
      <x:c r="A1262" s="117" t="str">
        <x:v>300Ro00000cnT4bIAE</x:v>
      </x:c>
      <x:c r="B1262" s="117" t="str">
        <x:v>Create_and_Dispatch_Service_Appointment_from_FSL_App</x:v>
      </x:c>
      <x:c r="C1262" s="117" t="str">
        <x:v>Yes</x:v>
      </x:c>
      <x:c r="D1262" s="119" t="str">
        <x:v>Active v1 (Retrieved XML)</x:v>
      </x:c>
      <x:c r="E1262" s="117" t="str">
        <x:v>ServiceResource</x:v>
      </x:c>
      <x:c r="F1262" s="119" t="str">
        <x:v>Read, Reference, Variable</x:v>
      </x:c>
      <x:c r="G1262" s="117" t="str">
        <x:v>No</x:v>
      </x:c>
      <x:c r="H1262" s="117" t="str">
        <x:v>FieldServiceMobile</x:v>
      </x:c>
    </x:row>
    <x:row r="1263" ht="30" customHeight="1">
      <x:c r="A1263" s="117" t="str">
        <x:v>300Ro00000kseeBIAQ</x:v>
      </x:c>
      <x:c r="B1263" s="117" t="str">
        <x:v>Create_Field_Service_Work_Order_in_Salesforce</x:v>
      </x:c>
      <x:c r="C1263" s="117" t="str">
        <x:v>Yes</x:v>
      </x:c>
      <x:c r="D1263" s="119" t="str">
        <x:v>Active v9 (Retrieved XML)</x:v>
      </x:c>
      <x:c r="E1263" s="117" t="str">
        <x:v>ServiceResource</x:v>
      </x:c>
      <x:c r="F1263" s="119" t="str">
        <x:v>Choice Read, Read, Reference</x:v>
      </x:c>
      <x:c r="G1263" s="117" t="str">
        <x:v>No</x:v>
      </x:c>
      <x:c r="H1263" s="117" t="str">
        <x:v>Flow</x:v>
      </x:c>
    </x:row>
    <x:row r="1264" ht="30" customHeight="1">
      <x:c r="A1264" s="117" t="str">
        <x:v>300jR000000BuwaQAC</x:v>
      </x:c>
      <x:c r="B1264" s="117" t="str">
        <x:v>Create_FSL_Work_Order_on_SF_Objects</x:v>
      </x:c>
      <x:c r="C1264" s="117" t="str">
        <x:v>Yes</x:v>
      </x:c>
      <x:c r="D1264" s="119" t="str">
        <x:v>Active v7 (Retrieved XML)</x:v>
      </x:c>
      <x:c r="E1264" s="117" t="str">
        <x:v>ServiceResource</x:v>
      </x:c>
      <x:c r="F1264" s="119" t="str">
        <x:v>Read, Reference, Variable</x:v>
      </x:c>
      <x:c r="G1264" s="117" t="str">
        <x:v>No</x:v>
      </x:c>
      <x:c r="H1264" s="117" t="str">
        <x:v>Flow</x:v>
      </x:c>
    </x:row>
    <x:row r="1265" ht="30" customHeight="1">
      <x:c r="A1265" s="117" t="str">
        <x:v>300Ro00000mouhpIAA</x:v>
      </x:c>
      <x:c r="B1265" s="117" t="str">
        <x:v>FSL_Action_Quick_Quote_2</x:v>
      </x:c>
      <x:c r="C1265" s="117" t="str">
        <x:v>Yes</x:v>
      </x:c>
      <x:c r="D1265" s="119" t="str">
        <x:v>Active v54 (Retrieved XML)</x:v>
      </x:c>
      <x:c r="E1265" s="117" t="str">
        <x:v>ServiceResource</x:v>
      </x:c>
      <x:c r="F1265" s="119" t="str">
        <x:v>Read, Reference, Variable</x:v>
      </x:c>
      <x:c r="G1265" s="117" t="str">
        <x:v>No</x:v>
      </x:c>
      <x:c r="H1265" s="117" t="str">
        <x:v>FieldServiceMobile</x:v>
      </x:c>
    </x:row>
    <x:row r="1266" ht="30" customHeight="1">
      <x:c r="A1266" s="117" t="str">
        <x:v>300Ro00000cnT4mIAE</x:v>
      </x:c>
      <x:c r="B1266" s="117" t="str">
        <x:v>FSL_Mobile_Create_Lead_US</x:v>
      </x:c>
      <x:c r="C1266" s="117" t="str">
        <x:v>Yes</x:v>
      </x:c>
      <x:c r="D1266" s="119" t="str">
        <x:v>Active v34 (Retrieved XML)</x:v>
      </x:c>
      <x:c r="E1266" s="117" t="str">
        <x:v>ServiceResource</x:v>
      </x:c>
      <x:c r="F1266" s="119" t="str">
        <x:v>Read, Reference</x:v>
      </x:c>
      <x:c r="G1266" s="117" t="str">
        <x:v>No</x:v>
      </x:c>
      <x:c r="H1266" s="117" t="str">
        <x:v>FieldServiceMobile</x:v>
      </x:c>
    </x:row>
    <x:row r="1267" ht="30" customHeight="1">
      <x:c r="A1267" s="117" t="str">
        <x:v>300Ro00000cnT4nIAE</x:v>
      </x:c>
      <x:c r="B1267" s="117" t="str">
        <x:v>FSL_Parts_Order</x:v>
      </x:c>
      <x:c r="C1267" s="117" t="str">
        <x:v>No</x:v>
      </x:c>
      <x:c r="D1267" s="119" t="str">
        <x:v>Latest inactive v1 (Retrieved XML)</x:v>
      </x:c>
      <x:c r="E1267" s="117" t="str">
        <x:v>ServiceResource</x:v>
      </x:c>
      <x:c r="F1267" s="119" t="str">
        <x:v>Read, Reference</x:v>
      </x:c>
      <x:c r="G1267" s="117" t="str">
        <x:v>No</x:v>
      </x:c>
      <x:c r="H1267" s="117" t="str">
        <x:v>Flow</x:v>
      </x:c>
    </x:row>
    <x:row r="1268" ht="30" customHeight="1">
      <x:c r="A1268" s="117" t="str">
        <x:v>300Ro00000cnT4cIAE</x:v>
      </x:c>
      <x:c r="B1268" s="117" t="str">
        <x:v>FSL_Screen_Request_Parts_on_WO</x:v>
      </x:c>
      <x:c r="C1268" s="117" t="str">
        <x:v>Yes</x:v>
      </x:c>
      <x:c r="D1268" s="119" t="str">
        <x:v>Active v137 (Retrieved XML)</x:v>
      </x:c>
      <x:c r="E1268" s="117" t="str">
        <x:v>ServiceResource</x:v>
      </x:c>
      <x:c r="F1268" s="119" t="str">
        <x:v>Read, Reference, Variable</x:v>
      </x:c>
      <x:c r="G1268" s="117" t="str">
        <x:v>No</x:v>
      </x:c>
      <x:c r="H1268" s="117" t="str">
        <x:v>FieldServiceMobile</x:v>
      </x:c>
    </x:row>
    <x:row r="1269" ht="30" customHeight="1">
      <x:c r="A1269" s="117" t="str">
        <x:v>300Ro00000UfjBLIAZ</x:v>
      </x:c>
      <x:c r="B1269" s="117" t="str">
        <x:v>Screen_Work_Order_Create_Tentative_SAs</x:v>
      </x:c>
      <x:c r="C1269" s="117" t="str">
        <x:v>Yes</x:v>
      </x:c>
      <x:c r="D1269" s="119" t="str">
        <x:v>Active v1 (Retrieved XML)</x:v>
      </x:c>
      <x:c r="E1269" s="117" t="str">
        <x:v>ServiceResource</x:v>
      </x:c>
      <x:c r="F1269" s="119" t="str">
        <x:v>Read, Reference</x:v>
      </x:c>
      <x:c r="G1269" s="117" t="str">
        <x:v>No</x:v>
      </x:c>
      <x:c r="H1269" s="117" t="str">
        <x:v>Flow</x:v>
      </x:c>
    </x:row>
    <x:row r="1270" ht="30" customHeight="1">
      <x:c r="A1270" s="117" t="str">
        <x:v>300Ro00000kseeBIAQ</x:v>
      </x:c>
      <x:c r="B1270" s="117" t="str">
        <x:v>Create_Field_Service_Work_Order_in_Salesforce</x:v>
      </x:c>
      <x:c r="C1270" s="117" t="str">
        <x:v>Yes</x:v>
      </x:c>
      <x:c r="D1270" s="119" t="str">
        <x:v>Active v9 (Retrieved XML)</x:v>
      </x:c>
      <x:c r="E1270" s="117" t="str">
        <x:v>ServiceResourceSkill</x:v>
      </x:c>
      <x:c r="F1270" s="119" t="str">
        <x:v>Read, Reference</x:v>
      </x:c>
      <x:c r="G1270" s="117" t="str">
        <x:v>No</x:v>
      </x:c>
      <x:c r="H1270" s="117" t="str">
        <x:v>Flow</x:v>
      </x:c>
    </x:row>
    <x:row r="1271" ht="30" customHeight="1">
      <x:c r="A1271" s="117" t="str">
        <x:v>300jR000000BuwaQAC</x:v>
      </x:c>
      <x:c r="B1271" s="117" t="str">
        <x:v>Create_FSL_Work_Order_on_SF_Objects</x:v>
      </x:c>
      <x:c r="C1271" s="117" t="str">
        <x:v>Yes</x:v>
      </x:c>
      <x:c r="D1271" s="119" t="str">
        <x:v>Active v7 (Retrieved XML)</x:v>
      </x:c>
      <x:c r="E1271" s="117" t="str">
        <x:v>ServiceTerritory</x:v>
      </x:c>
      <x:c r="F1271" s="119" t="str">
        <x:v>Read, Reference</x:v>
      </x:c>
      <x:c r="G1271" s="117" t="str">
        <x:v>No</x:v>
      </x:c>
      <x:c r="H1271" s="117" t="str">
        <x:v>Flow</x:v>
      </x:c>
    </x:row>
    <x:row r="1272" ht="30" customHeight="1">
      <x:c r="A1272" s="117" t="str">
        <x:v>300Ro00000kseeBIAQ</x:v>
      </x:c>
      <x:c r="B1272" s="117" t="str">
        <x:v>Create_Field_Service_Work_Order_in_Salesforce</x:v>
      </x:c>
      <x:c r="C1272" s="117" t="str">
        <x:v>Yes</x:v>
      </x:c>
      <x:c r="D1272" s="119" t="str">
        <x:v>Active v9 (Retrieved XML)</x:v>
      </x:c>
      <x:c r="E1272" s="117" t="str">
        <x:v>ServiceTerritoryMember</x:v>
      </x:c>
      <x:c r="F1272" s="119" t="str">
        <x:v>Choice Read, Read, Reference</x:v>
      </x:c>
      <x:c r="G1272" s="117" t="str">
        <x:v>No</x:v>
      </x:c>
      <x:c r="H1272" s="117" t="str">
        <x:v>Flow</x:v>
      </x:c>
    </x:row>
    <x:row r="1273" ht="30" customHeight="1">
      <x:c r="A1273" s="117" t="str">
        <x:v>300jR000000BuwaQAC</x:v>
      </x:c>
      <x:c r="B1273" s="117" t="str">
        <x:v>Create_FSL_Work_Order_on_SF_Objects</x:v>
      </x:c>
      <x:c r="C1273" s="117" t="str">
        <x:v>Yes</x:v>
      </x:c>
      <x:c r="D1273" s="119" t="str">
        <x:v>Active v7 (Retrieved XML)</x:v>
      </x:c>
      <x:c r="E1273" s="117" t="str">
        <x:v>ServiceTerritoryMember</x:v>
      </x:c>
      <x:c r="F1273" s="119" t="str">
        <x:v>Read, Reference</x:v>
      </x:c>
      <x:c r="G1273" s="117" t="str">
        <x:v>No</x:v>
      </x:c>
      <x:c r="H1273" s="117" t="str">
        <x:v>Flow</x:v>
      </x:c>
    </x:row>
    <x:row r="1274" ht="30" customHeight="1">
      <x:c r="A1274" s="117" t="str">
        <x:v>300Ro00000kseeBIAQ</x:v>
      </x:c>
      <x:c r="B1274" s="117" t="str">
        <x:v>Create_Field_Service_Work_Order_in_Salesforce</x:v>
      </x:c>
      <x:c r="C1274" s="117" t="str">
        <x:v>Yes</x:v>
      </x:c>
      <x:c r="D1274" s="119" t="str">
        <x:v>Active v9 (Retrieved XML)</x:v>
      </x:c>
      <x:c r="E1274" s="117" t="str">
        <x:v>Skill</x:v>
      </x:c>
      <x:c r="F1274" s="119" t="str">
        <x:v>Choice Read, Reference, Variable</x:v>
      </x:c>
      <x:c r="G1274" s="117" t="str">
        <x:v>No</x:v>
      </x:c>
      <x:c r="H1274" s="117" t="str">
        <x:v>Flow</x:v>
      </x:c>
    </x:row>
    <x:row r="1275" ht="30" customHeight="1">
      <x:c r="A1275" s="117" t="str">
        <x:v>3005b000000H3wSAAS</x:v>
      </x:c>
      <x:c r="B1275" s="117" t="str">
        <x:v>Create_Pricing_Request_from_Work_Order_Opportunity</x:v>
      </x:c>
      <x:c r="C1275" s="117" t="str">
        <x:v>Yes</x:v>
      </x:c>
      <x:c r="D1275" s="119" t="str">
        <x:v>Active v6 (Retrieved XML)</x:v>
      </x:c>
      <x:c r="E1275" s="117" t="str">
        <x:v>Sourcing_Request_Item__c</x:v>
      </x:c>
      <x:c r="F1275" s="119" t="str">
        <x:v>Variable</x:v>
      </x:c>
      <x:c r="G1275" s="117" t="str">
        <x:v>No</x:v>
      </x:c>
      <x:c r="H1275" s="117" t="str">
        <x:v>Flow</x:v>
      </x:c>
    </x:row>
    <x:row r="1276" ht="30" customHeight="1">
      <x:c r="A1276" s="117" t="str">
        <x:v>3005b000000LJQkAAO</x:v>
      </x:c>
      <x:c r="B1276" s="117" t="str">
        <x:v>Create_Souring_from_Pricing</x:v>
      </x:c>
      <x:c r="C1276" s="117" t="str">
        <x:v>Yes</x:v>
      </x:c>
      <x:c r="D1276" s="119" t="str">
        <x:v>Active v29 (Retrieved XML)</x:v>
      </x:c>
      <x:c r="E1276" s="117" t="str">
        <x:v>Sourcing_Request_Item__c</x:v>
      </x:c>
      <x:c r="F1276" s="119" t="str">
        <x:v>Create, Read, Reference</x:v>
      </x:c>
      <x:c r="G1276" s="117" t="str">
        <x:v>No</x:v>
      </x:c>
      <x:c r="H1276" s="117" t="str">
        <x:v>Flow</x:v>
      </x:c>
    </x:row>
    <x:row r="1277" ht="30" customHeight="1">
      <x:c r="A1277" s="117" t="str">
        <x:v>300Ro00000REVFjIAP</x:v>
      </x:c>
      <x:c r="B1277" s="117" t="str">
        <x:v>On_Create_of_SRI_Check_if_SA_status_needs_to_be_updated</x:v>
      </x:c>
      <x:c r="C1277" s="117" t="str">
        <x:v>Yes</x:v>
      </x:c>
      <x:c r="D1277" s="119" t="str">
        <x:v>Active v1 (Retrieved XML)</x:v>
      </x:c>
      <x:c r="E1277" s="117" t="str">
        <x:v>Sourcing_Request_Item__c</x:v>
      </x:c>
      <x:c r="F1277" s="119" t="str">
        <x:v>Reference, Trigger</x:v>
      </x:c>
      <x:c r="G1277" s="117" t="str">
        <x:v>Yes</x:v>
      </x:c>
      <x:c r="H1277" s="117" t="str">
        <x:v>AutoLaunchedFlow</x:v>
      </x:c>
    </x:row>
    <x:row r="1278" ht="30" customHeight="1">
      <x:c r="A1278" s="117" t="str">
        <x:v>300Ro00000VTizyIAD</x:v>
      </x:c>
      <x:c r="B1278" s="117" t="str">
        <x:v>On_SA_Cancellation_Close_all_Open_Sourcing_Requests</x:v>
      </x:c>
      <x:c r="C1278" s="117" t="str">
        <x:v>Yes</x:v>
      </x:c>
      <x:c r="D1278" s="119" t="str">
        <x:v>Active v2 (Retrieved XML)</x:v>
      </x:c>
      <x:c r="E1278" s="117" t="str">
        <x:v>Sourcing_Request_Item__c</x:v>
      </x:c>
      <x:c r="F1278" s="119" t="str">
        <x:v>Read, Reference</x:v>
      </x:c>
      <x:c r="G1278" s="117" t="str">
        <x:v>No</x:v>
      </x:c>
      <x:c r="H1278" s="117" t="str">
        <x:v>AutoLaunchedFlow</x:v>
      </x:c>
    </x:row>
    <x:row r="1279" ht="30" customHeight="1">
      <x:c r="A1279" s="117" t="str">
        <x:v>300Ro000006dI4tIAE</x:v>
      </x:c>
      <x:c r="B1279" s="117" t="str">
        <x:v>Purchasing_Opportunity_Field_Updates_Flow</x:v>
      </x:c>
      <x:c r="C1279" s="117" t="str">
        <x:v>Yes</x:v>
      </x:c>
      <x:c r="D1279" s="119" t="str">
        <x:v>Active v15 (Retrieved XML)</x:v>
      </x:c>
      <x:c r="E1279" s="117" t="str">
        <x:v>Sourcing_Request_Item__c</x:v>
      </x:c>
      <x:c r="F1279" s="119" t="str">
        <x:v>Read, Reference, Update, Variable</x:v>
      </x:c>
      <x:c r="G1279" s="117" t="str">
        <x:v>No</x:v>
      </x:c>
      <x:c r="H1279" s="117" t="str">
        <x:v>AutoLaunchedFlow</x:v>
      </x:c>
    </x:row>
    <x:row r="1280" ht="30" customHeight="1">
      <x:c r="A1280" s="117" t="str">
        <x:v>3005b000000H3qjAAC</x:v>
      </x:c>
      <x:c r="B1280" s="117" t="str">
        <x:v>Send_Sourcing_Request_Mass_Email_UK</x:v>
      </x:c>
      <x:c r="C1280" s="117" t="str">
        <x:v>Yes</x:v>
      </x:c>
      <x:c r="D1280" s="119" t="str">
        <x:v>Active v1 (Retrieved XML)</x:v>
      </x:c>
      <x:c r="E1280" s="117" t="str">
        <x:v>Sourcing_Request_Item__c</x:v>
      </x:c>
      <x:c r="F1280" s="119" t="str">
        <x:v>Read, Reference</x:v>
      </x:c>
      <x:c r="G1280" s="117" t="str">
        <x:v>No</x:v>
      </x:c>
      <x:c r="H1280" s="117" t="str">
        <x:v>Flow</x:v>
      </x:c>
    </x:row>
    <x:row r="1281" ht="30" customHeight="1">
      <x:c r="A1281" s="117" t="str">
        <x:v>300Ro00000QFaIkIAL</x:v>
      </x:c>
      <x:c r="B1281" s="117" t="str">
        <x:v>Sourcing_Request_Assignment_Flow</x:v>
      </x:c>
      <x:c r="C1281" s="117" t="str">
        <x:v>Yes</x:v>
      </x:c>
      <x:c r="D1281" s="119" t="str">
        <x:v>Active v5 (Retrieved XML)</x:v>
      </x:c>
      <x:c r="E1281" s="117" t="str">
        <x:v>Sourcing_Request_Item__c</x:v>
      </x:c>
      <x:c r="F1281" s="119" t="str">
        <x:v>Reference, Trigger, Update</x:v>
      </x:c>
      <x:c r="G1281" s="117" t="str">
        <x:v>Yes</x:v>
      </x:c>
      <x:c r="H1281" s="117" t="str">
        <x:v>AutoLaunchedFlow</x:v>
      </x:c>
    </x:row>
    <x:row r="1282" ht="30" customHeight="1">
      <x:c r="A1282" s="117" t="str">
        <x:v>300Ro00000J1noaIAB</x:v>
      </x:c>
      <x:c r="B1282" s="117" t="str">
        <x:v>Sourcing_Request_Creation_Flow</x:v>
      </x:c>
      <x:c r="C1282" s="117" t="str">
        <x:v>No</x:v>
      </x:c>
      <x:c r="D1282" s="119" t="str">
        <x:v>Latest inactive v6 (Retrieved XML)</x:v>
      </x:c>
      <x:c r="E1282" s="117" t="str">
        <x:v>Sourcing_Request_Item__c</x:v>
      </x:c>
      <x:c r="F1282" s="119" t="str">
        <x:v>Reference, Trigger</x:v>
      </x:c>
      <x:c r="G1282" s="117" t="str">
        <x:v>Yes</x:v>
      </x:c>
      <x:c r="H1282" s="117" t="str">
        <x:v>AutoLaunchedFlow</x:v>
      </x:c>
    </x:row>
    <x:row r="1283" ht="30" customHeight="1">
      <x:c r="A1283" s="117" t="str">
        <x:v>3005b000000LJREAA4</x:v>
      </x:c>
      <x:c r="B1283" s="117" t="str">
        <x:v>Sourcing_Request_Field_Updates_Flow</x:v>
      </x:c>
      <x:c r="C1283" s="117" t="str">
        <x:v>No</x:v>
      </x:c>
      <x:c r="D1283" s="119" t="str">
        <x:v>Latest inactive v5 (Retrieved XML)</x:v>
      </x:c>
      <x:c r="E1283" s="117" t="str">
        <x:v>Sourcing_Request_Item__c</x:v>
      </x:c>
      <x:c r="F1283" s="119" t="str">
        <x:v>Read, Reference, Trigger</x:v>
      </x:c>
      <x:c r="G1283" s="117" t="str">
        <x:v>Yes</x:v>
      </x:c>
      <x:c r="H1283" s="117" t="str">
        <x:v>AutoLaunchedFlow</x:v>
      </x:c>
    </x:row>
    <x:row r="1284" ht="30" customHeight="1">
      <x:c r="A1284" s="117" t="str">
        <x:v>3005b000000H3qKAAS</x:v>
      </x:c>
      <x:c r="B1284" s="117" t="str">
        <x:v>Sourcing_Request_from_Work_Order</x:v>
      </x:c>
      <x:c r="C1284" s="117" t="str">
        <x:v>Yes</x:v>
      </x:c>
      <x:c r="D1284" s="119" t="str">
        <x:v>Active v14 (Retrieved XML)</x:v>
      </x:c>
      <x:c r="E1284" s="117" t="str">
        <x:v>Sourcing_Request_Item__c</x:v>
      </x:c>
      <x:c r="F1284" s="119" t="str">
        <x:v>Create, Read, Reference, Variable</x:v>
      </x:c>
      <x:c r="G1284" s="117" t="str">
        <x:v>No</x:v>
      </x:c>
      <x:c r="H1284" s="117" t="str">
        <x:v>Flow</x:v>
      </x:c>
    </x:row>
    <x:row r="1285" ht="30" customHeight="1">
      <x:c r="A1285" s="117" t="str">
        <x:v>3000B0000008kvXQAQ</x:v>
      </x:c>
      <x:c r="B1285" s="117" t="str">
        <x:v>Sourcing_Request_Need_By_Date_Change</x:v>
      </x:c>
      <x:c r="C1285" s="117" t="str">
        <x:v>Yes</x:v>
      </x:c>
      <x:c r="D1285" s="119" t="str">
        <x:v>Active v2 (Retrieved XML)</x:v>
      </x:c>
      <x:c r="E1285" s="117" t="str">
        <x:v>Sourcing_Request_Item__c</x:v>
      </x:c>
      <x:c r="F1285" s="119" t="str">
        <x:v>Variable</x:v>
      </x:c>
      <x:c r="G1285" s="117" t="str">
        <x:v>No</x:v>
      </x:c>
      <x:c r="H1285" s="117" t="str">
        <x:v>Workflow</x:v>
      </x:c>
    </x:row>
    <x:row r="1286" ht="30" customHeight="1">
      <x:c r="A1286" s="117" t="str">
        <x:v>300Ro00000S8u9nIAB</x:v>
      </x:c>
      <x:c r="B1286" s="117" t="str">
        <x:v>Sourcing_Request_Notification_Flow_for_Sales_Ops</x:v>
      </x:c>
      <x:c r="C1286" s="117" t="str">
        <x:v>Yes</x:v>
      </x:c>
      <x:c r="D1286" s="119" t="str">
        <x:v>Active v5 (Retrieved XML)</x:v>
      </x:c>
      <x:c r="E1286" s="117" t="str">
        <x:v>Sourcing_Request_Item__c</x:v>
      </x:c>
      <x:c r="F1286" s="119" t="str">
        <x:v>Reference, Trigger</x:v>
      </x:c>
      <x:c r="G1286" s="117" t="str">
        <x:v>Yes</x:v>
      </x:c>
      <x:c r="H1286" s="117" t="str">
        <x:v>AutoLaunchedFlow</x:v>
      </x:c>
    </x:row>
    <x:row r="1287" ht="30" customHeight="1">
      <x:c r="A1287" s="117" t="str">
        <x:v>3005b000000H3qUAAS</x:v>
      </x:c>
      <x:c r="B1287" s="117" t="str">
        <x:v>Sourcing_Request_Notification_for_UK</x:v>
      </x:c>
      <x:c r="C1287" s="117" t="str">
        <x:v>No</x:v>
      </x:c>
      <x:c r="D1287" s="119" t="str">
        <x:v>Latest inactive v1 (Retrieved XML)</x:v>
      </x:c>
      <x:c r="E1287" s="117" t="str">
        <x:v>Sourcing_Request_Item__c</x:v>
      </x:c>
      <x:c r="F1287" s="119" t="str">
        <x:v>Read, Reference</x:v>
      </x:c>
      <x:c r="G1287" s="117" t="str">
        <x:v>No</x:v>
      </x:c>
      <x:c r="H1287" s="117" t="str">
        <x:v>AutoLaunchedFlow</x:v>
      </x:c>
    </x:row>
    <x:row r="1288" ht="30" customHeight="1">
      <x:c r="A1288" s="117" t="str">
        <x:v>300Ro00000VLr5vIAD</x:v>
      </x:c>
      <x:c r="B1288" s="117" t="str">
        <x:v>SRI_Trigger_Update_Requesting_Opp_WO_SA</x:v>
      </x:c>
      <x:c r="C1288" s="117" t="str">
        <x:v>Yes</x:v>
      </x:c>
      <x:c r="D1288" s="119" t="str">
        <x:v>Active v1 (Retrieved XML)</x:v>
      </x:c>
      <x:c r="E1288" s="117" t="str">
        <x:v>Sourcing_Request_Item__c</x:v>
      </x:c>
      <x:c r="F1288" s="119" t="str">
        <x:v>Reference, Trigger</x:v>
      </x:c>
      <x:c r="G1288" s="117" t="str">
        <x:v>Yes</x:v>
      </x:c>
      <x:c r="H1288" s="117" t="str">
        <x:v>AutoLaunchedFlow</x:v>
      </x:c>
    </x:row>
    <x:row r="1289" ht="30" customHeight="1">
      <x:c r="A1289" s="117" t="str">
        <x:v>3005b000000H3qeAAC</x:v>
      </x:c>
      <x:c r="B1289" s="117" t="str">
        <x:v>UK_Sourcing_Request_Asset_Fulfilled_Notifications</x:v>
      </x:c>
      <x:c r="C1289" s="117" t="str">
        <x:v>Yes</x:v>
      </x:c>
      <x:c r="D1289" s="119" t="str">
        <x:v>Active v5 (Retrieved XML)</x:v>
      </x:c>
      <x:c r="E1289" s="117" t="str">
        <x:v>Sourcing_Request_Item__c</x:v>
      </x:c>
      <x:c r="F1289" s="119" t="str">
        <x:v>Reference, Trigger</x:v>
      </x:c>
      <x:c r="G1289" s="117" t="str">
        <x:v>Yes</x:v>
      </x:c>
      <x:c r="H1289" s="117" t="str">
        <x:v>AutoLaunchedFlow</x:v>
      </x:c>
    </x:row>
    <x:row r="1290" ht="30" customHeight="1">
      <x:c r="A1290" s="117" t="str">
        <x:v>3005b000000H3qZAAS</x:v>
      </x:c>
      <x:c r="B1290" s="117" t="str">
        <x:v>UK_Sourcing_Request_Notifications</x:v>
      </x:c>
      <x:c r="C1290" s="117" t="str">
        <x:v>Yes</x:v>
      </x:c>
      <x:c r="D1290" s="119" t="str">
        <x:v>Active v3 (Retrieved XML)</x:v>
      </x:c>
      <x:c r="E1290" s="117" t="str">
        <x:v>Sourcing_Request_Item__c</x:v>
      </x:c>
      <x:c r="F1290" s="119" t="str">
        <x:v>Reference, Trigger</x:v>
      </x:c>
      <x:c r="G1290" s="117" t="str">
        <x:v>Yes</x:v>
      </x:c>
      <x:c r="H1290" s="117" t="str">
        <x:v>AutoLaunchedFlow</x:v>
      </x:c>
    </x:row>
    <x:row r="1291" ht="30" customHeight="1">
      <x:c r="A1291" s="117" t="str">
        <x:v>300Ro00000H90tRIAR</x:v>
      </x:c>
      <x:c r="B1291" s="117" t="str">
        <x:v>Add_Coverage_Level_to_Service_Appointment_On_Creation</x:v>
      </x:c>
      <x:c r="C1291" s="117" t="str">
        <x:v>Yes</x:v>
      </x:c>
      <x:c r="D1291" s="119" t="str">
        <x:v>Active v28 (Retrieved XML)</x:v>
      </x:c>
      <x:c r="E1291" s="117" t="str">
        <x:v>StateTranslation__mdt</x:v>
      </x:c>
      <x:c r="F1291" s="119" t="str">
        <x:v>Read, Reference</x:v>
      </x:c>
      <x:c r="G1291" s="117" t="str">
        <x:v>No</x:v>
      </x:c>
      <x:c r="H1291" s="117" t="str">
        <x:v>AutoLaunchedFlow</x:v>
      </x:c>
    </x:row>
    <x:row r="1292" ht="30" customHeight="1">
      <x:c r="A1292" s="117" t="str">
        <x:v>300Ro00000mouhpIAA</x:v>
      </x:c>
      <x:c r="B1292" s="117" t="str">
        <x:v>FSL_Action_Quick_Quote_2</x:v>
      </x:c>
      <x:c r="C1292" s="117" t="str">
        <x:v>Yes</x:v>
      </x:c>
      <x:c r="D1292" s="119" t="str">
        <x:v>Active v54 (Retrieved XML)</x:v>
      </x:c>
      <x:c r="E1292" s="117" t="str">
        <x:v>StateTranslation__mdt</x:v>
      </x:c>
      <x:c r="F1292" s="119" t="str">
        <x:v>Read, Reference</x:v>
      </x:c>
      <x:c r="G1292" s="117" t="str">
        <x:v>No</x:v>
      </x:c>
      <x:c r="H1292" s="117" t="str">
        <x:v>FieldServiceMobile</x:v>
      </x:c>
    </x:row>
    <x:row r="1293" ht="30" customHeight="1">
      <x:c r="A1293" s="117" t="str">
        <x:v>300Ro00000cnT4mIAE</x:v>
      </x:c>
      <x:c r="B1293" s="117" t="str">
        <x:v>FSL_Mobile_Create_Lead_US</x:v>
      </x:c>
      <x:c r="C1293" s="117" t="str">
        <x:v>Yes</x:v>
      </x:c>
      <x:c r="D1293" s="119" t="str">
        <x:v>Active v34 (Retrieved XML)</x:v>
      </x:c>
      <x:c r="E1293" s="117" t="str">
        <x:v>StateTranslation__mdt</x:v>
      </x:c>
      <x:c r="F1293" s="119" t="str">
        <x:v>Read, Reference</x:v>
      </x:c>
      <x:c r="G1293" s="117" t="str">
        <x:v>No</x:v>
      </x:c>
      <x:c r="H1293" s="117" t="str">
        <x:v>FieldServiceMobile</x:v>
      </x:c>
    </x:row>
    <x:row r="1294" ht="30" customHeight="1">
      <x:c r="A1294" s="117" t="str">
        <x:v>300Ro00000qOg6fIAC</x:v>
      </x:c>
      <x:c r="B1294" s="117" t="str">
        <x:v>FSL_Mobile_End_Screen_for_FSL_PDF_Generation</x:v>
      </x:c>
      <x:c r="C1294" s="117" t="str">
        <x:v>Yes</x:v>
      </x:c>
      <x:c r="D1294" s="119" t="str">
        <x:v>Active v15 (Retrieved XML)</x:v>
      </x:c>
      <x:c r="E1294" s="117" t="str">
        <x:v>StateTranslation__mdt</x:v>
      </x:c>
      <x:c r="F1294" s="119" t="str">
        <x:v>Read, Reference</x:v>
      </x:c>
      <x:c r="G1294" s="117" t="str">
        <x:v>No</x:v>
      </x:c>
      <x:c r="H1294" s="117" t="str">
        <x:v>FieldServiceMobile</x:v>
      </x:c>
    </x:row>
    <x:row r="1295" ht="30" customHeight="1">
      <x:c r="A1295" s="117" t="str">
        <x:v>300Ro00000pvIVtIAM</x:v>
      </x:c>
      <x:c r="B1295" s="117" t="str">
        <x:v>FSL_Mobile_Service_Appointment_Closeout</x:v>
      </x:c>
      <x:c r="C1295" s="117" t="str">
        <x:v>Yes</x:v>
      </x:c>
      <x:c r="D1295" s="119" t="str">
        <x:v>Active v1 (Retrieved XML)</x:v>
      </x:c>
      <x:c r="E1295" s="117" t="str">
        <x:v>StateTranslation__mdt</x:v>
      </x:c>
      <x:c r="F1295" s="119" t="str">
        <x:v>Read, Reference</x:v>
      </x:c>
      <x:c r="G1295" s="117" t="str">
        <x:v>No</x:v>
      </x:c>
      <x:c r="H1295" s="117" t="str">
        <x:v>FieldServiceMobile</x:v>
      </x:c>
    </x:row>
    <x:row r="1296" ht="30" customHeight="1">
      <x:c r="A1296" s="117" t="str">
        <x:v>300Ro00000cnT4cIAE</x:v>
      </x:c>
      <x:c r="B1296" s="117" t="str">
        <x:v>FSL_Screen_Request_Parts_on_WO</x:v>
      </x:c>
      <x:c r="C1296" s="117" t="str">
        <x:v>Yes</x:v>
      </x:c>
      <x:c r="D1296" s="119" t="str">
        <x:v>Active v137 (Retrieved XML)</x:v>
      </x:c>
      <x:c r="E1296" s="117" t="str">
        <x:v>StateTranslation__mdt</x:v>
      </x:c>
      <x:c r="F1296" s="119" t="str">
        <x:v>Read, Reference, Variable</x:v>
      </x:c>
      <x:c r="G1296" s="117" t="str">
        <x:v>No</x:v>
      </x:c>
      <x:c r="H1296" s="117" t="str">
        <x:v>FieldServiceMobile</x:v>
      </x:c>
    </x:row>
    <x:row r="1297" ht="30" customHeight="1">
      <x:c r="A1297" s="117" t="str">
        <x:v>3005b000000LHdDAAW</x:v>
      </x:c>
      <x:c r="B1297" s="117" t="str">
        <x:v>Invoice_Automations</x:v>
      </x:c>
      <x:c r="C1297" s="117" t="str">
        <x:v>Yes</x:v>
      </x:c>
      <x:c r="D1297" s="119" t="str">
        <x:v>Active v26 (Retrieved XML)</x:v>
      </x:c>
      <x:c r="E1297" s="117" t="str">
        <x:v>StateTranslation__mdt</x:v>
      </x:c>
      <x:c r="F1297" s="119" t="str">
        <x:v>Read, Reference</x:v>
      </x:c>
      <x:c r="G1297" s="117" t="str">
        <x:v>No</x:v>
      </x:c>
      <x:c r="H1297" s="117" t="str">
        <x:v>AutoLaunchedFlow</x:v>
      </x:c>
    </x:row>
    <x:row r="1298" ht="30" customHeight="1">
      <x:c r="A1298" s="117" t="str">
        <x:v>3005b000000H1eMAAS</x:v>
      </x:c>
      <x:c r="B1298" s="117" t="str">
        <x:v>Opportunity_Create_Warranty_Service_Contract</x:v>
      </x:c>
      <x:c r="C1298" s="117" t="str">
        <x:v>Yes</x:v>
      </x:c>
      <x:c r="D1298" s="119" t="str">
        <x:v>Active v16 (Retrieved XML)</x:v>
      </x:c>
      <x:c r="E1298" s="117" t="str">
        <x:v>StateTranslation__mdt</x:v>
      </x:c>
      <x:c r="F1298" s="119" t="str">
        <x:v>Read, Reference</x:v>
      </x:c>
      <x:c r="G1298" s="117" t="str">
        <x:v>No</x:v>
      </x:c>
      <x:c r="H1298" s="117" t="str">
        <x:v>AutoLaunchedFlow</x:v>
      </x:c>
    </x:row>
    <x:row r="1299" ht="30" customHeight="1">
      <x:c r="A1299" s="117" t="str">
        <x:v>300Ro00000Pz0kzIAB</x:v>
      </x:c>
      <x:c r="B1299" s="117" t="str">
        <x:v>Update_comments</x:v>
      </x:c>
      <x:c r="C1299" s="117" t="str">
        <x:v>Yes</x:v>
      </x:c>
      <x:c r="D1299" s="119" t="str">
        <x:v>Active v192 (Tooling metadata)</x:v>
      </x:c>
      <x:c r="E1299" s="117" t="str">
        <x:v>StateTranslation__mdt</x:v>
      </x:c>
      <x:c r="F1299" s="119" t="str">
        <x:v>Read, Reference</x:v>
      </x:c>
      <x:c r="G1299" s="117" t="str">
        <x:v>No</x:v>
      </x:c>
      <x:c r="H1299" s="117" t="str">
        <x:v>FieldServiceMobile</x:v>
      </x:c>
    </x:row>
    <x:row r="1300" ht="30" customHeight="1">
      <x:c r="A1300" s="117" t="str">
        <x:v>300Ro00000wO7esIAC</x:v>
      </x:c>
      <x:c r="B1300" s="117" t="str">
        <x:v>US_FSL_On_Creation_of_Service_Appointment_set_Shipping_Address</x:v>
      </x:c>
      <x:c r="C1300" s="117" t="str">
        <x:v>Yes</x:v>
      </x:c>
      <x:c r="D1300" s="119" t="str">
        <x:v>Active v8 (Retrieved XML)</x:v>
      </x:c>
      <x:c r="E1300" s="117" t="str">
        <x:v>StateTranslation__mdt</x:v>
      </x:c>
      <x:c r="F1300" s="119" t="str">
        <x:v>Read, Reference</x:v>
      </x:c>
      <x:c r="G1300" s="117" t="str">
        <x:v>No</x:v>
      </x:c>
      <x:c r="H1300" s="117" t="str">
        <x:v>AutoLaunchedFlow</x:v>
      </x:c>
    </x:row>
    <x:row r="1301" ht="30" customHeight="1">
      <x:c r="A1301" s="117" t="str">
        <x:v>300Ro000010n4l8IAA</x:v>
      </x:c>
      <x:c r="B1301" s="117" t="str">
        <x:v>US_FSL_Update_Open_SA_Shipping_Address_when_changed_on_WO</x:v>
      </x:c>
      <x:c r="C1301" s="117" t="str">
        <x:v>Yes</x:v>
      </x:c>
      <x:c r="D1301" s="119" t="str">
        <x:v>Active v2 (Retrieved XML)</x:v>
      </x:c>
      <x:c r="E1301" s="117" t="str">
        <x:v>StateTranslation__mdt</x:v>
      </x:c>
      <x:c r="F1301" s="119" t="str">
        <x:v>Read, Reference</x:v>
      </x:c>
      <x:c r="G1301" s="117" t="str">
        <x:v>No</x:v>
      </x:c>
      <x:c r="H1301" s="117" t="str">
        <x:v>AutoLaunchedFlow</x:v>
      </x:c>
    </x:row>
    <x:row r="1302" ht="30" customHeight="1">
      <x:c r="A1302" s="117" t="str">
        <x:v>3005b000000LGUKAA4</x:v>
      </x:c>
      <x:c r="B1302" s="117" t="str">
        <x:v>Auto_Close_SWO_HWO_Scrap_Asset</x:v>
      </x:c>
      <x:c r="C1302" s="117" t="str">
        <x:v>Yes</x:v>
      </x:c>
      <x:c r="D1302" s="119" t="str">
        <x:v>Active v2 (Retrieved XML)</x:v>
      </x:c>
      <x:c r="E1302" s="117" t="str">
        <x:v>System_Work_Order__c</x:v>
      </x:c>
      <x:c r="F1302" s="119" t="str">
        <x:v>Read, Reference, Update</x:v>
      </x:c>
      <x:c r="G1302" s="117" t="str">
        <x:v>No</x:v>
      </x:c>
      <x:c r="H1302" s="117" t="str">
        <x:v>AutoLaunchedFlow</x:v>
      </x:c>
    </x:row>
    <x:row r="1303" ht="30" customHeight="1">
      <x:c r="A1303" s="117" t="str">
        <x:v>300Ro00000FzvvKIAR</x:v>
      </x:c>
      <x:c r="B1303" s="117" t="str">
        <x:v>Harvest_Work_Order_Cost_PA_Screen_Flow</x:v>
      </x:c>
      <x:c r="C1303" s="117" t="str">
        <x:v>Yes</x:v>
      </x:c>
      <x:c r="D1303" s="119" t="str">
        <x:v>Active v7 (Retrieved XML)</x:v>
      </x:c>
      <x:c r="E1303" s="117" t="str">
        <x:v>System_Work_Order__c</x:v>
      </x:c>
      <x:c r="F1303" s="119" t="str">
        <x:v>Read, Reference</x:v>
      </x:c>
      <x:c r="G1303" s="117" t="str">
        <x:v>No</x:v>
      </x:c>
      <x:c r="H1303" s="117" t="str">
        <x:v>Flow</x:v>
      </x:c>
    </x:row>
    <x:row r="1304" ht="30" customHeight="1">
      <x:c r="A1304" s="117" t="str">
        <x:v>300Ro000008sFGnIAM</x:v>
      </x:c>
      <x:c r="B1304" s="117" t="str">
        <x:v>Harvest_Work_Order_to_System_Work_Order</x:v>
      </x:c>
      <x:c r="C1304" s="117" t="str">
        <x:v>Yes</x:v>
      </x:c>
      <x:c r="D1304" s="119" t="str">
        <x:v>Active v4 (Retrieved XML)</x:v>
      </x:c>
      <x:c r="E1304" s="117" t="str">
        <x:v>System_Work_Order__c</x:v>
      </x:c>
      <x:c r="F1304" s="119" t="str">
        <x:v>Variable</x:v>
      </x:c>
      <x:c r="G1304" s="117" t="str">
        <x:v>No</x:v>
      </x:c>
      <x:c r="H1304" s="117" t="str">
        <x:v>AutoLaunchedFlow</x:v>
      </x:c>
    </x:row>
    <x:row r="1305" ht="30" customHeight="1">
      <x:c r="A1305" s="117" t="str">
        <x:v>300Ro00000LtI8OIAV</x:v>
      </x:c>
      <x:c r="B1305" s="117" t="str">
        <x:v>Screen_Flow_Scrap_Asset_on_System_Work_Order</x:v>
      </x:c>
      <x:c r="C1305" s="117" t="str">
        <x:v>Yes</x:v>
      </x:c>
      <x:c r="D1305" s="119" t="str">
        <x:v>Active v1 (Retrieved XML)</x:v>
      </x:c>
      <x:c r="E1305" s="117" t="str">
        <x:v>System_Work_Order__c</x:v>
      </x:c>
      <x:c r="F1305" s="119" t="str">
        <x:v>Read, Reference, Update</x:v>
      </x:c>
      <x:c r="G1305" s="117" t="str">
        <x:v>No</x:v>
      </x:c>
      <x:c r="H1305" s="117" t="str">
        <x:v>Flow</x:v>
      </x:c>
    </x:row>
    <x:row r="1306" ht="30" customHeight="1">
      <x:c r="A1306" s="117" t="str">
        <x:v>3005b00000113hFAAQ</x:v>
      </x:c>
      <x:c r="B1306" s="117" t="str">
        <x:v>Approved_CM_Memo_Alert_Task_Email_Send</x:v>
      </x:c>
      <x:c r="C1306" s="117" t="str">
        <x:v>Yes</x:v>
      </x:c>
      <x:c r="D1306" s="119" t="str">
        <x:v>Active v2 (Retrieved XML)</x:v>
      </x:c>
      <x:c r="E1306" s="117" t="str">
        <x:v>Task</x:v>
      </x:c>
      <x:c r="F1306" s="119" t="str">
        <x:v>Reference, Trigger</x:v>
      </x:c>
      <x:c r="G1306" s="117" t="str">
        <x:v>Yes</x:v>
      </x:c>
      <x:c r="H1306" s="117" t="str">
        <x:v>AutoLaunchedFlow</x:v>
      </x:c>
    </x:row>
    <x:row r="1307" ht="30" customHeight="1">
      <x:c r="A1307" s="117" t="str">
        <x:v>3004O000000XhLhQAK</x:v>
      </x:c>
      <x:c r="B1307" s="117" t="str">
        <x:v>PB_Task</x:v>
      </x:c>
      <x:c r="C1307" s="117" t="str">
        <x:v>Yes</x:v>
      </x:c>
      <x:c r="D1307" s="119" t="str">
        <x:v>Active v1 (Retrieved XML)</x:v>
      </x:c>
      <x:c r="E1307" s="117" t="str">
        <x:v>Task</x:v>
      </x:c>
      <x:c r="F1307" s="119" t="str">
        <x:v>Variable</x:v>
      </x:c>
      <x:c r="G1307" s="117" t="str">
        <x:v>No</x:v>
      </x:c>
      <x:c r="H1307" s="117" t="str">
        <x:v>Workflow</x:v>
      </x:c>
    </x:row>
    <x:row r="1308" ht="30" customHeight="1">
      <x:c r="A1308" s="117" t="str">
        <x:v>3005b00000113h0AAA</x:v>
      </x:c>
      <x:c r="B1308" s="117" t="str">
        <x:v>Rejecting_Credit_Memo_Request_Screen_Flow</x:v>
      </x:c>
      <x:c r="C1308" s="117" t="str">
        <x:v>Yes</x:v>
      </x:c>
      <x:c r="D1308" s="119" t="str">
        <x:v>Active v3 (Retrieved XML)</x:v>
      </x:c>
      <x:c r="E1308" s="117" t="str">
        <x:v>Task</x:v>
      </x:c>
      <x:c r="F1308" s="119" t="str">
        <x:v>Read, Reference, Update</x:v>
      </x:c>
      <x:c r="G1308" s="117" t="str">
        <x:v>No</x:v>
      </x:c>
      <x:c r="H1308" s="117" t="str">
        <x:v>Flow</x:v>
      </x:c>
    </x:row>
    <x:row r="1309" ht="30" customHeight="1">
      <x:c r="A1309" s="117" t="str">
        <x:v>3004O000000XhLmQAK</x:v>
      </x:c>
      <x:c r="B1309" s="117" t="str">
        <x:v>Set_Task_Ownership_from_Delegate_to_Opp_Owner</x:v>
      </x:c>
      <x:c r="C1309" s="117" t="str">
        <x:v>Yes</x:v>
      </x:c>
      <x:c r="D1309" s="119" t="str">
        <x:v>Active v1 (Retrieved XML)</x:v>
      </x:c>
      <x:c r="E1309" s="117" t="str">
        <x:v>Task</x:v>
      </x:c>
      <x:c r="F1309" s="119" t="str">
        <x:v>Reference, Update</x:v>
      </x:c>
      <x:c r="G1309" s="117" t="str">
        <x:v>No</x:v>
      </x:c>
      <x:c r="H1309" s="117" t="str">
        <x:v>AutoLaunchedFlow</x:v>
      </x:c>
    </x:row>
    <x:row r="1310" ht="30" customHeight="1">
      <x:c r="A1310" s="117" t="str">
        <x:v>3005b00000113bMAAQ</x:v>
      </x:c>
      <x:c r="B1310" s="117" t="str">
        <x:v>Submit_Credit_Memo_Request_for_Accounting</x:v>
      </x:c>
      <x:c r="C1310" s="117" t="str">
        <x:v>Yes</x:v>
      </x:c>
      <x:c r="D1310" s="119" t="str">
        <x:v>Active v14 (Tooling metadata)</x:v>
      </x:c>
      <x:c r="E1310" s="117" t="str">
        <x:v>Task</x:v>
      </x:c>
      <x:c r="F1310" s="119" t="str">
        <x:v>Create, Reference</x:v>
      </x:c>
      <x:c r="G1310" s="117" t="str">
        <x:v>No</x:v>
      </x:c>
      <x:c r="H1310" s="117" t="str">
        <x:v>Flow</x:v>
      </x:c>
    </x:row>
    <x:row r="1311" ht="30" customHeight="1">
      <x:c r="A1311" s="117" t="str">
        <x:v>3005b000000H426AAC</x:v>
      </x:c>
      <x:c r="B1311" s="117" t="str">
        <x:v>Submit_to_UK_Accounting_for_Invoicing</x:v>
      </x:c>
      <x:c r="C1311" s="117" t="str">
        <x:v>Yes</x:v>
      </x:c>
      <x:c r="D1311" s="119" t="str">
        <x:v>Active v8 (Retrieved XML)</x:v>
      </x:c>
      <x:c r="E1311" s="117" t="str">
        <x:v>Task</x:v>
      </x:c>
      <x:c r="F1311" s="119" t="str">
        <x:v>Create, Reference</x:v>
      </x:c>
      <x:c r="G1311" s="117" t="str">
        <x:v>No</x:v>
      </x:c>
      <x:c r="H1311" s="117" t="str">
        <x:v>Flow</x:v>
      </x:c>
    </x:row>
    <x:row r="1312" ht="30" customHeight="1">
      <x:c r="A1312" s="117" t="str">
        <x:v>3000B000000kEJ5QAM</x:v>
      </x:c>
      <x:c r="B1312" s="117" t="str">
        <x:v>Update_Last_Business_Activity</x:v>
      </x:c>
      <x:c r="C1312" s="117" t="str">
        <x:v>No</x:v>
      </x:c>
      <x:c r="D1312" s="119" t="str">
        <x:v>Latest inactive v4 (Retrieved XML)</x:v>
      </x:c>
      <x:c r="E1312" s="117" t="str">
        <x:v>Task</x:v>
      </x:c>
      <x:c r="F1312" s="119" t="str">
        <x:v>Variable</x:v>
      </x:c>
      <x:c r="G1312" s="117" t="str">
        <x:v>No</x:v>
      </x:c>
      <x:c r="H1312" s="117" t="str">
        <x:v>Workflow</x:v>
      </x:c>
    </x:row>
    <x:row r="1313" ht="30" customHeight="1">
      <x:c r="A1313" s="117" t="str">
        <x:v>3000B000000kEJFQA2</x:v>
      </x:c>
      <x:c r="B1313" s="117" t="str">
        <x:v>Update_Last_Business_Review</x:v>
      </x:c>
      <x:c r="C1313" s="117" t="str">
        <x:v>No</x:v>
      </x:c>
      <x:c r="D1313" s="119" t="str">
        <x:v>Latest inactive v1 (Retrieved XML)</x:v>
      </x:c>
      <x:c r="E1313" s="117" t="str">
        <x:v>Task</x:v>
      </x:c>
      <x:c r="F1313" s="119" t="str">
        <x:v>Variable</x:v>
      </x:c>
      <x:c r="G1313" s="117" t="str">
        <x:v>No</x:v>
      </x:c>
      <x:c r="H1313" s="117" t="str">
        <x:v>Workflow</x:v>
      </x:c>
    </x:row>
    <x:row r="1314" ht="30" customHeight="1">
      <x:c r="A1314" s="117" t="str">
        <x:v>300Ro00000XmLK7IAN</x:v>
      </x:c>
      <x:c r="B1314" s="117" t="str">
        <x:v>Screen_Flow_Convert_TSLJ_to_Location_Address</x:v>
      </x:c>
      <x:c r="C1314" s="117" t="str">
        <x:v>Yes</x:v>
      </x:c>
      <x:c r="D1314" s="119" t="str">
        <x:v>Active v2 (Retrieved XML)</x:v>
      </x:c>
      <x:c r="E1314" s="117" t="str">
        <x:v>Tech_Ship_Location_Junction__c</x:v>
      </x:c>
      <x:c r="F1314" s="119" t="str">
        <x:v>Read, Reference</x:v>
      </x:c>
      <x:c r="G1314" s="117" t="str">
        <x:v>No</x:v>
      </x:c>
      <x:c r="H1314" s="117" t="str">
        <x:v>Flow</x:v>
      </x:c>
    </x:row>
    <x:row r="1315" ht="30" customHeight="1">
      <x:c r="A1315" s="117" t="str">
        <x:v>300Ro00000ADBG1IAP</x:v>
      </x:c>
      <x:c r="B1315" s="117" t="str">
        <x:v>Training_Class_Updates_Flow</x:v>
      </x:c>
      <x:c r="C1315" s="117" t="str">
        <x:v>Yes</x:v>
      </x:c>
      <x:c r="D1315" s="119" t="str">
        <x:v>Active v4 (Retrieved XML)</x:v>
      </x:c>
      <x:c r="E1315" s="117" t="str">
        <x:v>Training_Class__c</x:v>
      </x:c>
      <x:c r="F1315" s="119" t="str">
        <x:v>Reference, Trigger, Update</x:v>
      </x:c>
      <x:c r="G1315" s="117" t="str">
        <x:v>Yes</x:v>
      </x:c>
      <x:c r="H1315" s="117" t="str">
        <x:v>AutoLaunchedFlow</x:v>
      </x:c>
    </x:row>
    <x:row r="1316" ht="30" customHeight="1">
      <x:c r="A1316" s="117" t="str">
        <x:v>300Ro00000tWVtzIAG</x:v>
      </x:c>
      <x:c r="B1316" s="117" t="str">
        <x:v>Change_Request_Screen_Flow_Request_New_Document</x:v>
      </x:c>
      <x:c r="C1316" s="117" t="str">
        <x:v>Yes</x:v>
      </x:c>
      <x:c r="D1316" s="119" t="str">
        <x:v>Active v2 (Retrieved XML)</x:v>
      </x:c>
      <x:c r="E1316" s="117" t="str">
        <x:v>Training_Item__c</x:v>
      </x:c>
      <x:c r="F1316" s="119" t="str">
        <x:v>Read, Reference</x:v>
      </x:c>
      <x:c r="G1316" s="117" t="str">
        <x:v>No</x:v>
      </x:c>
      <x:c r="H1316" s="117" t="str">
        <x:v>Flow</x:v>
      </x:c>
    </x:row>
    <x:row r="1317" ht="30" customHeight="1">
      <x:c r="A1317" s="117" t="str">
        <x:v>300Ro00000iQYcbIAG</x:v>
      </x:c>
      <x:c r="B1317" s="117" t="str">
        <x:v>Training_Item_Auotmations</x:v>
      </x:c>
      <x:c r="C1317" s="117" t="str">
        <x:v>Yes</x:v>
      </x:c>
      <x:c r="D1317" s="119" t="str">
        <x:v>Active v3 (Retrieved XML)</x:v>
      </x:c>
      <x:c r="E1317" s="117" t="str">
        <x:v>Training_Item__c</x:v>
      </x:c>
      <x:c r="F1317" s="119" t="str">
        <x:v>Reference, Trigger, Update</x:v>
      </x:c>
      <x:c r="G1317" s="117" t="str">
        <x:v>Yes</x:v>
      </x:c>
      <x:c r="H1317" s="117" t="str">
        <x:v>AutoLaunchedFlow</x:v>
      </x:c>
    </x:row>
    <x:row r="1318" ht="30" customHeight="1">
      <x:c r="A1318" s="117" t="str">
        <x:v>300Ro00000vlpXjIAI</x:v>
      </x:c>
      <x:c r="B1318" s="117" t="str">
        <x:v>Training_Item_Create_Document_Review_Screen_Flow</x:v>
      </x:c>
      <x:c r="C1318" s="117" t="str">
        <x:v>Yes</x:v>
      </x:c>
      <x:c r="D1318" s="119" t="str">
        <x:v>Active v6 (Retrieved XML)</x:v>
      </x:c>
      <x:c r="E1318" s="117" t="str">
        <x:v>Training_Item__c</x:v>
      </x:c>
      <x:c r="F1318" s="119" t="str">
        <x:v>Read, Reference</x:v>
      </x:c>
      <x:c r="G1318" s="117" t="str">
        <x:v>No</x:v>
      </x:c>
      <x:c r="H1318" s="117" t="str">
        <x:v>Flow</x:v>
      </x:c>
    </x:row>
    <x:row r="1319" ht="30" customHeight="1">
      <x:c r="A1319" s="117" t="str">
        <x:v>3005b000000PzH1AAK</x:v>
      </x:c>
      <x:c r="B1319" s="117" t="str">
        <x:v>Unreceipted_Invoice_Field_Update_Loop</x:v>
      </x:c>
      <x:c r="C1319" s="117" t="str">
        <x:v>Yes</x:v>
      </x:c>
      <x:c r="D1319" s="119" t="str">
        <x:v>Active v3 (Retrieved XML)</x:v>
      </x:c>
      <x:c r="E1319" s="117" t="str">
        <x:v>Unreceipted_Invoice__c</x:v>
      </x:c>
      <x:c r="F1319" s="119" t="str">
        <x:v>Read, Reference, Update</x:v>
      </x:c>
      <x:c r="G1319" s="117" t="str">
        <x:v>No</x:v>
      </x:c>
      <x:c r="H1319" s="117" t="str">
        <x:v>AutoLaunchedFlow</x:v>
      </x:c>
    </x:row>
    <x:row r="1320" ht="30" customHeight="1">
      <x:c r="A1320" s="117" t="str">
        <x:v>300Ro00000WbzIHIAZ</x:v>
      </x:c>
      <x:c r="B1320" s="117" t="str">
        <x:v>Platform_Record_Triggered_Update_Intacct_Sync_Status</x:v>
      </x:c>
      <x:c r="C1320" s="117" t="str">
        <x:v>No</x:v>
      </x:c>
      <x:c r="D1320" s="119" t="str">
        <x:v>Latest inactive v2 (Retrieved XML)</x:v>
      </x:c>
      <x:c r="E1320" s="117" t="str">
        <x:v>Update_Intacct_Sync_Status__e</x:v>
      </x:c>
      <x:c r="F1320" s="119" t="str">
        <x:v>Reference, Trigger</x:v>
      </x:c>
      <x:c r="G1320" s="117" t="str">
        <x:v>Yes</x:v>
      </x:c>
      <x:c r="H1320" s="117" t="str">
        <x:v>AutoLaunchedFlow</x:v>
      </x:c>
    </x:row>
    <x:row r="1321" ht="30" customHeight="1">
      <x:c r="A1321" s="117" t="str">
        <x:v>300Ro00000WbzIIIAZ</x:v>
      </x:c>
      <x:c r="B1321" s="117" t="str">
        <x:v>Record_Triggered_Account_Update_Intacct_Customer_Sync_Status</x:v>
      </x:c>
      <x:c r="C1321" s="117" t="str">
        <x:v>No</x:v>
      </x:c>
      <x:c r="D1321" s="119" t="str">
        <x:v>Latest inactive v1 (Retrieved XML)</x:v>
      </x:c>
      <x:c r="E1321" s="117" t="str">
        <x:v>Update_Intacct_Sync_Status__e</x:v>
      </x:c>
      <x:c r="F1321" s="119" t="str">
        <x:v>Create, Reference</x:v>
      </x:c>
      <x:c r="G1321" s="117" t="str">
        <x:v>No</x:v>
      </x:c>
      <x:c r="H1321" s="117" t="str">
        <x:v>AutoLaunchedFlow</x:v>
      </x:c>
    </x:row>
    <x:row r="1322" ht="30" customHeight="1">
      <x:c r="A1322" s="117" t="str">
        <x:v>3005b000000H3sLAAS</x:v>
      </x:c>
      <x:c r="B1322" s="117" t="str">
        <x:v>Case_Online_Repair_Evaluation_Tool</x:v>
      </x:c>
      <x:c r="C1322" s="117" t="str">
        <x:v>Yes</x:v>
      </x:c>
      <x:c r="D1322" s="119" t="str">
        <x:v>Active v13 (Retrieved XML)</x:v>
      </x:c>
      <x:c r="E1322" s="117" t="str">
        <x:v>User</x:v>
      </x:c>
      <x:c r="F1322" s="119" t="str">
        <x:v>Read, Reference</x:v>
      </x:c>
      <x:c r="G1322" s="117" t="str">
        <x:v>No</x:v>
      </x:c>
      <x:c r="H1322" s="117" t="str">
        <x:v>AutoLaunchedFlow</x:v>
      </x:c>
    </x:row>
    <x:row r="1323" ht="30" customHeight="1">
      <x:c r="A1323" s="117" t="str">
        <x:v>300jR000000BuwaQAC</x:v>
      </x:c>
      <x:c r="B1323" s="117" t="str">
        <x:v>Create_FSL_Work_Order_on_SF_Objects</x:v>
      </x:c>
      <x:c r="C1323" s="117" t="str">
        <x:v>Yes</x:v>
      </x:c>
      <x:c r="D1323" s="119" t="str">
        <x:v>Active v7 (Retrieved XML)</x:v>
      </x:c>
      <x:c r="E1323" s="117" t="str">
        <x:v>User</x:v>
      </x:c>
      <x:c r="F1323" s="119" t="str">
        <x:v>Variable</x:v>
      </x:c>
      <x:c r="G1323" s="117" t="str">
        <x:v>No</x:v>
      </x:c>
      <x:c r="H1323" s="117" t="str">
        <x:v>Flow</x:v>
      </x:c>
    </x:row>
    <x:row r="1324" ht="30" customHeight="1">
      <x:c r="A1324" s="117" t="str">
        <x:v>3004O000000LOsBQAW</x:v>
      </x:c>
      <x:c r="B1324" s="117" t="str">
        <x:v>Create_Master_Draws</x:v>
      </x:c>
      <x:c r="C1324" s="117" t="str">
        <x:v>Yes</x:v>
      </x:c>
      <x:c r="D1324" s="119" t="str">
        <x:v>Active v2 (Retrieved XML)</x:v>
      </x:c>
      <x:c r="E1324" s="117" t="str">
        <x:v>User</x:v>
      </x:c>
      <x:c r="F1324" s="119" t="str">
        <x:v>Reference, Trigger</x:v>
      </x:c>
      <x:c r="G1324" s="117" t="str">
        <x:v>Yes</x:v>
      </x:c>
      <x:c r="H1324" s="117" t="str">
        <x:v>AutoLaunchedFlow</x:v>
      </x:c>
    </x:row>
    <x:row r="1325" ht="30" customHeight="1">
      <x:c r="A1325" s="117" t="str">
        <x:v>3004O0000004ZtfQAE</x:v>
      </x:c>
      <x:c r="B1325" s="117" t="str">
        <x:v>Create_Purchasing_Opp_from_Vendor_Sourcing_Record</x:v>
      </x:c>
      <x:c r="C1325" s="117" t="str">
        <x:v>Yes</x:v>
      </x:c>
      <x:c r="D1325" s="119" t="str">
        <x:v>Active v3 (Retrieved XML)</x:v>
      </x:c>
      <x:c r="E1325" s="117" t="str">
        <x:v>User</x:v>
      </x:c>
      <x:c r="F1325" s="119" t="str">
        <x:v>Read, Reference</x:v>
      </x:c>
      <x:c r="G1325" s="117" t="str">
        <x:v>No</x:v>
      </x:c>
      <x:c r="H1325" s="117" t="str">
        <x:v>Flow</x:v>
      </x:c>
    </x:row>
    <x:row r="1326" ht="30" customHeight="1">
      <x:c r="A1326" s="117" t="str">
        <x:v>3005b000000H3qFAAS</x:v>
      </x:c>
      <x:c r="B1326" s="117" t="str">
        <x:v>Create_Sourcing_Request_for_Parts_and_Probes</x:v>
      </x:c>
      <x:c r="C1326" s="117" t="str">
        <x:v>No</x:v>
      </x:c>
      <x:c r="D1326" s="119" t="str">
        <x:v>Latest inactive v1 (Retrieved XML)</x:v>
      </x:c>
      <x:c r="E1326" s="117" t="str">
        <x:v>User</x:v>
      </x:c>
      <x:c r="F1326" s="119" t="str">
        <x:v>Read, Reference</x:v>
      </x:c>
      <x:c r="G1326" s="117" t="str">
        <x:v>No</x:v>
      </x:c>
      <x:c r="H1326" s="117" t="str">
        <x:v>Flow</x:v>
      </x:c>
    </x:row>
    <x:row r="1327" ht="30" customHeight="1">
      <x:c r="A1327" s="117" t="str">
        <x:v>300Ro00000cnT4mIAE</x:v>
      </x:c>
      <x:c r="B1327" s="117" t="str">
        <x:v>FSL_Mobile_Create_Lead_US</x:v>
      </x:c>
      <x:c r="C1327" s="117" t="str">
        <x:v>Yes</x:v>
      </x:c>
      <x:c r="D1327" s="119" t="str">
        <x:v>Active v34 (Retrieved XML)</x:v>
      </x:c>
      <x:c r="E1327" s="117" t="str">
        <x:v>User</x:v>
      </x:c>
      <x:c r="F1327" s="119" t="str">
        <x:v>Read, Reference, Variable</x:v>
      </x:c>
      <x:c r="G1327" s="117" t="str">
        <x:v>No</x:v>
      </x:c>
      <x:c r="H1327" s="117" t="str">
        <x:v>FieldServiceMobile</x:v>
      </x:c>
    </x:row>
    <x:row r="1328" ht="30" customHeight="1">
      <x:c r="A1328" s="117" t="str">
        <x:v>3005b000000LGhEAAW</x:v>
      </x:c>
      <x:c r="B1328" s="117" t="str">
        <x:v>Lead_Assignment_Flow</x:v>
      </x:c>
      <x:c r="C1328" s="117" t="str">
        <x:v>No</x:v>
      </x:c>
      <x:c r="D1328" s="119" t="str">
        <x:v>Latest inactive v38 (Retrieved XML)</x:v>
      </x:c>
      <x:c r="E1328" s="117" t="str">
        <x:v>User</x:v>
      </x:c>
      <x:c r="F1328" s="119" t="str">
        <x:v>Read, Reference, Update</x:v>
      </x:c>
      <x:c r="G1328" s="117" t="str">
        <x:v>No</x:v>
      </x:c>
      <x:c r="H1328" s="117" t="str">
        <x:v>AutoLaunchedFlow</x:v>
      </x:c>
    </x:row>
    <x:row r="1329" ht="30" customHeight="1">
      <x:c r="A1329" s="117" t="str">
        <x:v>300Ro00000BDLWYIA5</x:v>
      </x:c>
      <x:c r="B1329" s="117" t="str">
        <x:v>Lead_Assignment_Flow_New_Simpler_Logic</x:v>
      </x:c>
      <x:c r="C1329" s="117" t="str">
        <x:v>Yes</x:v>
      </x:c>
      <x:c r="D1329" s="119" t="str">
        <x:v>Active v8 (Retrieved XML)</x:v>
      </x:c>
      <x:c r="E1329" s="117" t="str">
        <x:v>User</x:v>
      </x:c>
      <x:c r="F1329" s="119" t="str">
        <x:v>Read, Reference, Update</x:v>
      </x:c>
      <x:c r="G1329" s="117" t="str">
        <x:v>No</x:v>
      </x:c>
      <x:c r="H1329" s="117" t="str">
        <x:v>AutoLaunchedFlow</x:v>
      </x:c>
    </x:row>
    <x:row r="1330" ht="30" customHeight="1">
      <x:c r="A1330" s="117" t="str">
        <x:v>300Ro00000tF5irIAC</x:v>
      </x:c>
      <x:c r="B1330" s="117" t="str">
        <x:v>Opportunity_Update_FSE_Email_Record_Triggered_Flow</x:v>
      </x:c>
      <x:c r="C1330" s="117" t="str">
        <x:v>Yes</x:v>
      </x:c>
      <x:c r="D1330" s="119" t="str">
        <x:v>Active v2 (Retrieved XML)</x:v>
      </x:c>
      <x:c r="E1330" s="117" t="str">
        <x:v>User</x:v>
      </x:c>
      <x:c r="F1330" s="119" t="str">
        <x:v>Read, Reference</x:v>
      </x:c>
      <x:c r="G1330" s="117" t="str">
        <x:v>No</x:v>
      </x:c>
      <x:c r="H1330" s="117" t="str">
        <x:v>AutoLaunchedFlow</x:v>
      </x:c>
    </x:row>
    <x:row r="1331" ht="30" customHeight="1">
      <x:c r="A1331" s="117" t="str">
        <x:v>3005b000000PzlkAAC</x:v>
      </x:c>
      <x:c r="B1331" s="117" t="str">
        <x:v>Rep_Email_Field_Update_Flow</x:v>
      </x:c>
      <x:c r="C1331" s="117" t="str">
        <x:v>Yes</x:v>
      </x:c>
      <x:c r="D1331" s="119" t="str">
        <x:v>Active v11 (Retrieved XML)</x:v>
      </x:c>
      <x:c r="E1331" s="117" t="str">
        <x:v>User</x:v>
      </x:c>
      <x:c r="F1331" s="119" t="str">
        <x:v>Read, Reference</x:v>
      </x:c>
      <x:c r="G1331" s="117" t="str">
        <x:v>No</x:v>
      </x:c>
      <x:c r="H1331" s="117" t="str">
        <x:v>AutoLaunchedFlow</x:v>
      </x:c>
    </x:row>
    <x:row r="1332" ht="30" customHeight="1">
      <x:c r="A1332" s="117" t="str">
        <x:v>3005b000000LJFiAAO</x:v>
      </x:c>
      <x:c r="B1332" s="117" t="str">
        <x:v>Send_Better_Email_Testflow</x:v>
      </x:c>
      <x:c r="C1332" s="117" t="str">
        <x:v>Yes</x:v>
      </x:c>
      <x:c r="D1332" s="119" t="str">
        <x:v>Active v1 (Tooling metadata)</x:v>
      </x:c>
      <x:c r="E1332" s="117" t="str">
        <x:v>User</x:v>
      </x:c>
      <x:c r="F1332" s="119" t="str">
        <x:v>Read, Reference, Variable</x:v>
      </x:c>
      <x:c r="G1332" s="117" t="str">
        <x:v>No</x:v>
      </x:c>
      <x:c r="H1332" s="117" t="str">
        <x:v>Flow</x:v>
      </x:c>
    </x:row>
    <x:row r="1333" ht="30" customHeight="1">
      <x:c r="A1333" s="117" t="str">
        <x:v>3005b00000113C7AAI</x:v>
      </x:c>
      <x:c r="B1333" s="117" t="str">
        <x:v>TESTING_Lead_Email_Alert</x:v>
      </x:c>
      <x:c r="C1333" s="117" t="str">
        <x:v>No</x:v>
      </x:c>
      <x:c r="D1333" s="119" t="str">
        <x:v>Latest inactive v3 (Retrieved XML)</x:v>
      </x:c>
      <x:c r="E1333" s="117" t="str">
        <x:v>User</x:v>
      </x:c>
      <x:c r="F1333" s="119" t="str">
        <x:v>Read, Reference, Update</x:v>
      </x:c>
      <x:c r="G1333" s="117" t="str">
        <x:v>No</x:v>
      </x:c>
      <x:c r="H1333" s="117" t="str">
        <x:v>AutoLaunchedFlow</x:v>
      </x:c>
    </x:row>
    <x:row r="1334" ht="30" customHeight="1">
      <x:c r="A1334" s="117" t="str">
        <x:v>300Ro00000vlpXjIAI</x:v>
      </x:c>
      <x:c r="B1334" s="117" t="str">
        <x:v>Training_Item_Create_Document_Review_Screen_Flow</x:v>
      </x:c>
      <x:c r="C1334" s="117" t="str">
        <x:v>Yes</x:v>
      </x:c>
      <x:c r="D1334" s="119" t="str">
        <x:v>Active v6 (Retrieved XML)</x:v>
      </x:c>
      <x:c r="E1334" s="117" t="str">
        <x:v>User</x:v>
      </x:c>
      <x:c r="F1334" s="119" t="str">
        <x:v>Read, Reference</x:v>
      </x:c>
      <x:c r="G1334" s="117" t="str">
        <x:v>No</x:v>
      </x:c>
      <x:c r="H1334" s="117" t="str">
        <x:v>Flow</x:v>
      </x:c>
    </x:row>
    <x:row r="1335" ht="30" customHeight="1">
      <x:c r="A1335" s="117" t="str">
        <x:v>300Ro00000mpCtCIAU</x:v>
      </x:c>
      <x:c r="B1335" s="117" t="str">
        <x:v>Work_Order_FSL_Desktop_Subflow_Create_Chatter_Post</x:v>
      </x:c>
      <x:c r="C1335" s="117" t="str">
        <x:v>No</x:v>
      </x:c>
      <x:c r="D1335" s="119" t="str">
        <x:v>Latest inactive v1 (Retrieved XML)</x:v>
      </x:c>
      <x:c r="E1335" s="117" t="str">
        <x:v>User</x:v>
      </x:c>
      <x:c r="F1335" s="119" t="str">
        <x:v>Variable</x:v>
      </x:c>
      <x:c r="G1335" s="117" t="str">
        <x:v>No</x:v>
      </x:c>
      <x:c r="H1335" s="117" t="str">
        <x:v>Flow</x:v>
      </x:c>
    </x:row>
    <x:row r="1336" ht="30" customHeight="1">
      <x:c r="A1336" s="117" t="str">
        <x:v>300Ro00000lZu2lIAC</x:v>
      </x:c>
      <x:c r="B1336" s="117" t="str">
        <x:v>Work_Order_install_Subflow</x:v>
      </x:c>
      <x:c r="C1336" s="117" t="str">
        <x:v>Yes</x:v>
      </x:c>
      <x:c r="D1336" s="119" t="str">
        <x:v>Active v12 (Retrieved XML)</x:v>
      </x:c>
      <x:c r="E1336" s="117" t="str">
        <x:v>User</x:v>
      </x:c>
      <x:c r="F1336" s="119" t="str">
        <x:v>Variable</x:v>
      </x:c>
      <x:c r="G1336" s="117" t="str">
        <x:v>No</x:v>
      </x:c>
      <x:c r="H1336" s="117" t="str">
        <x:v>Flow</x:v>
      </x:c>
    </x:row>
    <x:row r="1337" ht="30" customHeight="1">
      <x:c r="A1337" s="117" t="str">
        <x:v>300Ro00000cwVgjIAE</x:v>
      </x:c>
      <x:c r="B1337" s="117" t="str">
        <x:v>Create_US_FSL_Work_Order_From_Service_Asset</x:v>
      </x:c>
      <x:c r="C1337" s="117" t="str">
        <x:v>Yes</x:v>
      </x:c>
      <x:c r="D1337" s="119" t="str">
        <x:v>Active v1 (Retrieved XML)</x:v>
      </x:c>
      <x:c r="E1337" s="117" t="str">
        <x:v>UserRole</x:v>
      </x:c>
      <x:c r="F1337" s="119" t="str">
        <x:v>Read, Reference</x:v>
      </x:c>
      <x:c r="G1337" s="117" t="str">
        <x:v>No</x:v>
      </x:c>
      <x:c r="H1337" s="117" t="str">
        <x:v>Flow</x:v>
      </x:c>
    </x:row>
    <x:row r="1338" ht="30" customHeight="1">
      <x:c r="A1338" s="117" t="str">
        <x:v>300Ro00000E8Q6wIAF</x:v>
      </x:c>
      <x:c r="B1338" s="117" t="str">
        <x:v>Vendor_Payment_Request_Screen_Flow</x:v>
      </x:c>
      <x:c r="C1338" s="117" t="str">
        <x:v>No</x:v>
      </x:c>
      <x:c r="D1338" s="119" t="str">
        <x:v>Latest inactive v1 (Retrieved XML)</x:v>
      </x:c>
      <x:c r="E1338" s="117" t="str">
        <x:v>Vendor_Payment_Request__c</x:v>
      </x:c>
      <x:c r="F1338" s="119" t="str">
        <x:v>Create, Reference</x:v>
      </x:c>
      <x:c r="G1338" s="117" t="str">
        <x:v>No</x:v>
      </x:c>
      <x:c r="H1338" s="117" t="str">
        <x:v>Flow</x:v>
      </x:c>
    </x:row>
    <x:row r="1339" ht="30" customHeight="1">
      <x:c r="A1339" s="117" t="str">
        <x:v>3004O0000004ZtfQAE</x:v>
      </x:c>
      <x:c r="B1339" s="117" t="str">
        <x:v>Create_Purchasing_Opp_from_Vendor_Sourcing_Record</x:v>
      </x:c>
      <x:c r="C1339" s="117" t="str">
        <x:v>Yes</x:v>
      </x:c>
      <x:c r="D1339" s="119" t="str">
        <x:v>Active v3 (Retrieved XML)</x:v>
      </x:c>
      <x:c r="E1339" s="117" t="str">
        <x:v>Vendor_Sourcing__c</x:v>
      </x:c>
      <x:c r="F1339" s="119" t="str">
        <x:v>Choice Read, Read, Reference, Update, Variable</x:v>
      </x:c>
      <x:c r="G1339" s="117" t="str">
        <x:v>No</x:v>
      </x:c>
      <x:c r="H1339" s="117" t="str">
        <x:v>Flow</x:v>
      </x:c>
    </x:row>
    <x:row r="1340" ht="30" customHeight="1">
      <x:c r="A1340" s="117" t="str">
        <x:v>3005b000000H3qFAAS</x:v>
      </x:c>
      <x:c r="B1340" s="117" t="str">
        <x:v>Create_Sourcing_Request_for_Parts_and_Probes</x:v>
      </x:c>
      <x:c r="C1340" s="117" t="str">
        <x:v>No</x:v>
      </x:c>
      <x:c r="D1340" s="119" t="str">
        <x:v>Latest inactive v1 (Retrieved XML)</x:v>
      </x:c>
      <x:c r="E1340" s="117" t="str">
        <x:v>Vendor_Sourcing__c</x:v>
      </x:c>
      <x:c r="F1340" s="119" t="str">
        <x:v>Choice Read, Read, Reference, Update, Variable</x:v>
      </x:c>
      <x:c r="G1340" s="117" t="str">
        <x:v>No</x:v>
      </x:c>
      <x:c r="H1340" s="117" t="str">
        <x:v>Flow</x:v>
      </x:c>
    </x:row>
    <x:row r="1341" ht="30" customHeight="1">
      <x:c r="A1341" s="117" t="str">
        <x:v>300Ro00000iqyyLIAQ</x:v>
      </x:c>
      <x:c r="B1341" s="117" t="str">
        <x:v>On_Vendor_Sourcing_Update_Update_Purchasing_Opportunity_on_Service_Appointment</x:v>
      </x:c>
      <x:c r="C1341" s="117" t="str">
        <x:v>Yes</x:v>
      </x:c>
      <x:c r="D1341" s="119" t="str">
        <x:v>Active v1 (Retrieved XML)</x:v>
      </x:c>
      <x:c r="E1341" s="117" t="str">
        <x:v>Vendor_Sourcing__c</x:v>
      </x:c>
      <x:c r="F1341" s="119" t="str">
        <x:v>Reference, Trigger, Update</x:v>
      </x:c>
      <x:c r="G1341" s="117" t="str">
        <x:v>Yes</x:v>
      </x:c>
      <x:c r="H1341" s="117" t="str">
        <x:v>AutoLaunchedFlow</x:v>
      </x:c>
    </x:row>
    <x:row r="1342" ht="30" customHeight="1">
      <x:c r="A1342" s="117" t="str">
        <x:v>300Ro00000SjMhAIAV</x:v>
      </x:c>
      <x:c r="B1342" s="117" t="str">
        <x:v>RMA_Automations</x:v>
      </x:c>
      <x:c r="C1342" s="117" t="str">
        <x:v>Yes</x:v>
      </x:c>
      <x:c r="D1342" s="119" t="str">
        <x:v>Active v20 (Retrieved XML)</x:v>
      </x:c>
      <x:c r="E1342" s="117" t="str">
        <x:v>Vendor_Sourcing__c</x:v>
      </x:c>
      <x:c r="F1342" s="119" t="str">
        <x:v>Read, Reference</x:v>
      </x:c>
      <x:c r="G1342" s="117" t="str">
        <x:v>No</x:v>
      </x:c>
      <x:c r="H1342" s="117" t="str">
        <x:v>AutoLaunchedFlow</x:v>
      </x:c>
    </x:row>
    <x:row r="1343" ht="30" customHeight="1">
      <x:c r="A1343" s="117" t="str">
        <x:v>3004O000000XhBFQA0</x:v>
      </x:c>
      <x:c r="B1343" s="117" t="str">
        <x:v>Create_Warranty_Claim</x:v>
      </x:c>
      <x:c r="C1343" s="117" t="str">
        <x:v>No</x:v>
      </x:c>
      <x:c r="D1343" s="119" t="str">
        <x:v>Latest inactive v1 (Retrieved XML)</x:v>
      </x:c>
      <x:c r="E1343" s="117" t="str">
        <x:v>Warranty_Claim__c</x:v>
      </x:c>
      <x:c r="F1343" s="119" t="str">
        <x:v>Create, Reference</x:v>
      </x:c>
      <x:c r="G1343" s="117" t="str">
        <x:v>No</x:v>
      </x:c>
      <x:c r="H1343" s="117" t="str">
        <x:v>Flow</x:v>
      </x:c>
    </x:row>
    <x:row r="1344" ht="30" customHeight="1">
      <x:c r="A1344" s="117" t="str">
        <x:v>3004O000000XhBDQA0</x:v>
      </x:c>
      <x:c r="B1344" s="117" t="str">
        <x:v>Create_Warranty</x:v>
      </x:c>
      <x:c r="C1344" s="117" t="str">
        <x:v>No</x:v>
      </x:c>
      <x:c r="D1344" s="119" t="str">
        <x:v>Latest inactive v1 (Retrieved XML)</x:v>
      </x:c>
      <x:c r="E1344" s="117" t="str">
        <x:v>Warranty_Products__c</x:v>
      </x:c>
      <x:c r="F1344" s="119" t="str">
        <x:v>Variable</x:v>
      </x:c>
      <x:c r="G1344" s="117" t="str">
        <x:v>No</x:v>
      </x:c>
      <x:c r="H1344" s="117" t="str">
        <x:v>Flow</x:v>
      </x:c>
    </x:row>
    <x:row r="1345" ht="30" customHeight="1">
      <x:c r="A1345" s="117" t="str">
        <x:v>3004O000000XhBEQA0</x:v>
      </x:c>
      <x:c r="B1345" s="117" t="str">
        <x:v>Create_Warranty_Auto</x:v>
      </x:c>
      <x:c r="C1345" s="117" t="str">
        <x:v>No</x:v>
      </x:c>
      <x:c r="D1345" s="119" t="str">
        <x:v>Latest inactive v1 (Retrieved XML)</x:v>
      </x:c>
      <x:c r="E1345" s="117" t="str">
        <x:v>Warranty_Products__c</x:v>
      </x:c>
      <x:c r="F1345" s="119" t="str">
        <x:v>Variable</x:v>
      </x:c>
      <x:c r="G1345" s="117" t="str">
        <x:v>No</x:v>
      </x:c>
      <x:c r="H1345" s="117" t="str">
        <x:v>AutoLaunchedFlow</x:v>
      </x:c>
    </x:row>
    <x:row r="1346" ht="30" customHeight="1">
      <x:c r="A1346" s="117" t="str">
        <x:v>3004O000000XhBFQA0</x:v>
      </x:c>
      <x:c r="B1346" s="117" t="str">
        <x:v>Create_Warranty_Claim</x:v>
      </x:c>
      <x:c r="C1346" s="117" t="str">
        <x:v>No</x:v>
      </x:c>
      <x:c r="D1346" s="119" t="str">
        <x:v>Latest inactive v1 (Retrieved XML)</x:v>
      </x:c>
      <x:c r="E1346" s="117" t="str">
        <x:v>Warranty_Products__c</x:v>
      </x:c>
      <x:c r="F1346" s="119" t="str">
        <x:v>Choice Read, Read, Reference</x:v>
      </x:c>
      <x:c r="G1346" s="117" t="str">
        <x:v>No</x:v>
      </x:c>
      <x:c r="H1346" s="117" t="str">
        <x:v>Flow</x:v>
      </x:c>
    </x:row>
    <x:row r="1347" ht="30" customHeight="1">
      <x:c r="A1347" s="117" t="str">
        <x:v>3004O000000XhBDQA0</x:v>
      </x:c>
      <x:c r="B1347" s="117" t="str">
        <x:v>Create_Warranty</x:v>
      </x:c>
      <x:c r="C1347" s="117" t="str">
        <x:v>No</x:v>
      </x:c>
      <x:c r="D1347" s="119" t="str">
        <x:v>Latest inactive v1 (Retrieved XML)</x:v>
      </x:c>
      <x:c r="E1347" s="117" t="str">
        <x:v>Warranty__c</x:v>
      </x:c>
      <x:c r="F1347" s="119" t="str">
        <x:v>Create, Read, Reference</x:v>
      </x:c>
      <x:c r="G1347" s="117" t="str">
        <x:v>No</x:v>
      </x:c>
      <x:c r="H1347" s="117" t="str">
        <x:v>Flow</x:v>
      </x:c>
    </x:row>
    <x:row r="1348" ht="30" customHeight="1">
      <x:c r="A1348" s="117" t="str">
        <x:v>3004O000000XhBEQA0</x:v>
      </x:c>
      <x:c r="B1348" s="117" t="str">
        <x:v>Create_Warranty_Auto</x:v>
      </x:c>
      <x:c r="C1348" s="117" t="str">
        <x:v>No</x:v>
      </x:c>
      <x:c r="D1348" s="119" t="str">
        <x:v>Latest inactive v1 (Retrieved XML)</x:v>
      </x:c>
      <x:c r="E1348" s="117" t="str">
        <x:v>Warranty__c</x:v>
      </x:c>
      <x:c r="F1348" s="119" t="str">
        <x:v>Create, Read, Reference</x:v>
      </x:c>
      <x:c r="G1348" s="117" t="str">
        <x:v>No</x:v>
      </x:c>
      <x:c r="H1348" s="117" t="str">
        <x:v>AutoLaunchedFlow</x:v>
      </x:c>
    </x:row>
    <x:row r="1349" ht="30" customHeight="1">
      <x:c r="A1349" s="117" t="str">
        <x:v>3004O000000XhBFQA0</x:v>
      </x:c>
      <x:c r="B1349" s="117" t="str">
        <x:v>Create_Warranty_Claim</x:v>
      </x:c>
      <x:c r="C1349" s="117" t="str">
        <x:v>No</x:v>
      </x:c>
      <x:c r="D1349" s="119" t="str">
        <x:v>Latest inactive v1 (Retrieved XML)</x:v>
      </x:c>
      <x:c r="E1349" s="117" t="str">
        <x:v>Warranty__c</x:v>
      </x:c>
      <x:c r="F1349" s="119" t="str">
        <x:v>Read, Reference</x:v>
      </x:c>
      <x:c r="G1349" s="117" t="str">
        <x:v>No</x:v>
      </x:c>
      <x:c r="H1349" s="117" t="str">
        <x:v>Flow</x:v>
      </x:c>
    </x:row>
    <x:row r="1350" ht="30" customHeight="1">
      <x:c r="A1350" s="117" t="str">
        <x:v>300Ro00000H90tRIAR</x:v>
      </x:c>
      <x:c r="B1350" s="117" t="str">
        <x:v>Add_Coverage_Level_to_Service_Appointment_On_Creation</x:v>
      </x:c>
      <x:c r="C1350" s="117" t="str">
        <x:v>Yes</x:v>
      </x:c>
      <x:c r="D1350" s="119" t="str">
        <x:v>Active v28 (Retrieved XML)</x:v>
      </x:c>
      <x:c r="E1350" s="117" t="str">
        <x:v>WorkOrder</x:v>
      </x:c>
      <x:c r="F1350" s="119" t="str">
        <x:v>Read, Reference, Variable</x:v>
      </x:c>
      <x:c r="G1350" s="117" t="str">
        <x:v>No</x:v>
      </x:c>
      <x:c r="H1350" s="117" t="str">
        <x:v>AutoLaunchedFlow</x:v>
      </x:c>
    </x:row>
    <x:row r="1351" ht="30" customHeight="1">
      <x:c r="A1351" s="117" t="str">
        <x:v>300Ro00000SgtMZIAZ</x:v>
      </x:c>
      <x:c r="B1351" s="117" t="str">
        <x:v>Assigned_Resource_Create_OR_Update_Service_Event</x:v>
      </x:c>
      <x:c r="C1351" s="117" t="str">
        <x:v>Yes</x:v>
      </x:c>
      <x:c r="D1351" s="119" t="str">
        <x:v>Active v6 (Tooling metadata)</x:v>
      </x:c>
      <x:c r="E1351" s="117" t="str">
        <x:v>WorkOrder</x:v>
      </x:c>
      <x:c r="F1351" s="119" t="str">
        <x:v>Read, Reference</x:v>
      </x:c>
      <x:c r="G1351" s="117" t="str">
        <x:v>No</x:v>
      </x:c>
      <x:c r="H1351" s="117" t="str">
        <x:v>AutoLaunchedFlow</x:v>
      </x:c>
    </x:row>
    <x:row r="1352" ht="30" customHeight="1">
      <x:c r="A1352" s="117" t="str">
        <x:v>3005b000000LGuSAAW</x:v>
      </x:c>
      <x:c r="B1352" s="117" t="str">
        <x:v>Auto_Create_RMAs_from_Work_Orders_for_UK</x:v>
      </x:c>
      <x:c r="C1352" s="117" t="str">
        <x:v>Yes</x:v>
      </x:c>
      <x:c r="D1352" s="119" t="str">
        <x:v>Active v11 (Retrieved XML)</x:v>
      </x:c>
      <x:c r="E1352" s="117" t="str">
        <x:v>WorkOrder</x:v>
      </x:c>
      <x:c r="F1352" s="119" t="str">
        <x:v>Reference, Trigger</x:v>
      </x:c>
      <x:c r="G1352" s="117" t="str">
        <x:v>Yes</x:v>
      </x:c>
      <x:c r="H1352" s="117" t="str">
        <x:v>AutoLaunchedFlow</x:v>
      </x:c>
    </x:row>
    <x:row r="1353" ht="30" customHeight="1">
      <x:c r="A1353" s="117" t="str">
        <x:v>300Ro00000Pz0kgIAB</x:v>
      </x:c>
      <x:c r="B1353" s="117" t="str">
        <x:v>C_ARM_Checklist</x:v>
      </x:c>
      <x:c r="C1353" s="117" t="str">
        <x:v>Yes</x:v>
      </x:c>
      <x:c r="D1353" s="119" t="str">
        <x:v>Active v32 (Retrieved XML)</x:v>
      </x:c>
      <x:c r="E1353" s="117" t="str">
        <x:v>WorkOrder</x:v>
      </x:c>
      <x:c r="F1353" s="119" t="str">
        <x:v>Variable</x:v>
      </x:c>
      <x:c r="G1353" s="117" t="str">
        <x:v>No</x:v>
      </x:c>
      <x:c r="H1353" s="117" t="str">
        <x:v>FieldServiceMobile</x:v>
      </x:c>
    </x:row>
    <x:row r="1354" ht="30" customHeight="1">
      <x:c r="A1354" s="117" t="str">
        <x:v>300Ro00000Pz0khIAB</x:v>
      </x:c>
      <x:c r="B1354" s="117" t="str">
        <x:v>Cardio_Labs_Checklist</x:v>
      </x:c>
      <x:c r="C1354" s="117" t="str">
        <x:v>Yes</x:v>
      </x:c>
      <x:c r="D1354" s="119" t="str">
        <x:v>Active v8 (Retrieved XML)</x:v>
      </x:c>
      <x:c r="E1354" s="117" t="str">
        <x:v>WorkOrder</x:v>
      </x:c>
      <x:c r="F1354" s="119" t="str">
        <x:v>Variable</x:v>
      </x:c>
      <x:c r="G1354" s="117" t="str">
        <x:v>No</x:v>
      </x:c>
      <x:c r="H1354" s="117" t="str">
        <x:v>FieldServiceMobile</x:v>
      </x:c>
    </x:row>
    <x:row r="1355" ht="30" customHeight="1">
      <x:c r="A1355" s="117" t="str">
        <x:v>3005b000000H42uAAC</x:v>
      </x:c>
      <x:c r="B1355" s="117" t="str">
        <x:v>Change_Contract_Line_Item_Product_UK</x:v>
      </x:c>
      <x:c r="C1355" s="117" t="str">
        <x:v>Yes</x:v>
      </x:c>
      <x:c r="D1355" s="119" t="str">
        <x:v>Active v9 (Retrieved XML)</x:v>
      </x:c>
      <x:c r="E1355" s="117" t="str">
        <x:v>WorkOrder</x:v>
      </x:c>
      <x:c r="F1355" s="119" t="str">
        <x:v>Read, Reference, Update</x:v>
      </x:c>
      <x:c r="G1355" s="117" t="str">
        <x:v>No</x:v>
      </x:c>
      <x:c r="H1355" s="117" t="str">
        <x:v>Flow</x:v>
      </x:c>
    </x:row>
    <x:row r="1356" ht="30" customHeight="1">
      <x:c r="A1356" s="117" t="str">
        <x:v>300Ro000013nZjxIAE</x:v>
      </x:c>
      <x:c r="B1356" s="117" t="str">
        <x:v>Contract_Line_Item_Cancel_Work_Orders_on_Decommissioning</x:v>
      </x:c>
      <x:c r="C1356" s="117" t="str">
        <x:v>Yes</x:v>
      </x:c>
      <x:c r="D1356" s="119" t="str">
        <x:v>Active v6 (Retrieved XML)</x:v>
      </x:c>
      <x:c r="E1356" s="117" t="str">
        <x:v>WorkOrder</x:v>
      </x:c>
      <x:c r="F1356" s="119" t="str">
        <x:v>Read, Reference, Variable</x:v>
      </x:c>
      <x:c r="G1356" s="117" t="str">
        <x:v>No</x:v>
      </x:c>
      <x:c r="H1356" s="117" t="str">
        <x:v>AutoLaunchedFlow</x:v>
      </x:c>
    </x:row>
    <x:row r="1357" ht="30" customHeight="1">
      <x:c r="A1357" s="117" t="str">
        <x:v>300Ro00000wU0CTIA0</x:v>
      </x:c>
      <x:c r="B1357" s="117" t="str">
        <x:v>Contract_Line_Item_Edit_Multiple_Work_Orders_Screen_Flow</x:v>
      </x:c>
      <x:c r="C1357" s="117" t="str">
        <x:v>Yes</x:v>
      </x:c>
      <x:c r="D1357" s="119" t="str">
        <x:v>Active v2 (Retrieved XML)</x:v>
      </x:c>
      <x:c r="E1357" s="117" t="str">
        <x:v>WorkOrder</x:v>
      </x:c>
      <x:c r="F1357" s="119" t="str">
        <x:v>Read, Reference, Variable</x:v>
      </x:c>
      <x:c r="G1357" s="117" t="str">
        <x:v>No</x:v>
      </x:c>
      <x:c r="H1357" s="117" t="str">
        <x:v>Flow</x:v>
      </x:c>
    </x:row>
    <x:row r="1358" ht="30" customHeight="1">
      <x:c r="A1358" s="117" t="str">
        <x:v>300Ro00000qEJBNIA4</x:v>
      </x:c>
      <x:c r="B1358" s="117" t="str">
        <x:v>Contract_Line_Item_Roll_Up_Downtime_Business_Hours</x:v>
      </x:c>
      <x:c r="C1358" s="117" t="str">
        <x:v>Yes</x:v>
      </x:c>
      <x:c r="D1358" s="119" t="str">
        <x:v>Active v2 (Retrieved XML)</x:v>
      </x:c>
      <x:c r="E1358" s="117" t="str">
        <x:v>WorkOrder</x:v>
      </x:c>
      <x:c r="F1358" s="119" t="str">
        <x:v>Read, Reference, Trigger, Update</x:v>
      </x:c>
      <x:c r="G1358" s="117" t="str">
        <x:v>Yes</x:v>
      </x:c>
      <x:c r="H1358" s="117" t="str">
        <x:v>AutoLaunchedFlow</x:v>
      </x:c>
    </x:row>
    <x:row r="1359" ht="30" customHeight="1">
      <x:c r="A1359" s="117" t="str">
        <x:v>300Ro00000V6HVlIAN</x:v>
      </x:c>
      <x:c r="B1359" s="117" t="str">
        <x:v>Contract_Line_Item_Trigger_Create_QA_Upon_Save</x:v>
      </x:c>
      <x:c r="C1359" s="117" t="str">
        <x:v>Yes</x:v>
      </x:c>
      <x:c r="D1359" s="119" t="str">
        <x:v>Active v1 (Retrieved XML)</x:v>
      </x:c>
      <x:c r="E1359" s="117" t="str">
        <x:v>WorkOrder</x:v>
      </x:c>
      <x:c r="F1359" s="119" t="str">
        <x:v>Create, Reference</x:v>
      </x:c>
      <x:c r="G1359" s="117" t="str">
        <x:v>No</x:v>
      </x:c>
      <x:c r="H1359" s="117" t="str">
        <x:v>AutoLaunchedFlow</x:v>
      </x:c>
    </x:row>
    <x:row r="1360" ht="30" customHeight="1">
      <x:c r="A1360" s="117" t="str">
        <x:v>300Ro00000cnT4bIAE</x:v>
      </x:c>
      <x:c r="B1360" s="117" t="str">
        <x:v>Create_and_Dispatch_Service_Appointment_from_FSL_App</x:v>
      </x:c>
      <x:c r="C1360" s="117" t="str">
        <x:v>Yes</x:v>
      </x:c>
      <x:c r="D1360" s="119" t="str">
        <x:v>Active v1 (Retrieved XML)</x:v>
      </x:c>
      <x:c r="E1360" s="117" t="str">
        <x:v>WorkOrder</x:v>
      </x:c>
      <x:c r="F1360" s="119" t="str">
        <x:v>Variable</x:v>
      </x:c>
      <x:c r="G1360" s="117" t="str">
        <x:v>No</x:v>
      </x:c>
      <x:c r="H1360" s="117" t="str">
        <x:v>FieldServiceMobile</x:v>
      </x:c>
    </x:row>
    <x:row r="1361" ht="30" customHeight="1">
      <x:c r="A1361" s="117" t="str">
        <x:v>3005b000000H1utAAC</x:v>
      </x:c>
      <x:c r="B1361" s="117" t="str">
        <x:v>Create_contract_line_items_and_entitlements</x:v>
      </x:c>
      <x:c r="C1361" s="117" t="str">
        <x:v>Yes</x:v>
      </x:c>
      <x:c r="D1361" s="119" t="str">
        <x:v>Active v11 (Retrieved XML)</x:v>
      </x:c>
      <x:c r="E1361" s="117" t="str">
        <x:v>WorkOrder</x:v>
      </x:c>
      <x:c r="F1361" s="119" t="str">
        <x:v>Variable</x:v>
      </x:c>
      <x:c r="G1361" s="117" t="str">
        <x:v>No</x:v>
      </x:c>
      <x:c r="H1361" s="117" t="str">
        <x:v>Flow</x:v>
      </x:c>
    </x:row>
    <x:row r="1362" ht="30" customHeight="1">
      <x:c r="A1362" s="117" t="str">
        <x:v>3005b000000H3leAAC</x:v>
      </x:c>
      <x:c r="B1362" s="117" t="str">
        <x:v>Create_Contract_Line_Items_Entitlements_and_Work_Orders</x:v>
      </x:c>
      <x:c r="C1362" s="117" t="str">
        <x:v>No</x:v>
      </x:c>
      <x:c r="D1362" s="119" t="str">
        <x:v>Latest inactive v3 (Retrieved XML)</x:v>
      </x:c>
      <x:c r="E1362" s="117" t="str">
        <x:v>WorkOrder</x:v>
      </x:c>
      <x:c r="F1362" s="119" t="str">
        <x:v>Variable</x:v>
      </x:c>
      <x:c r="G1362" s="117" t="str">
        <x:v>No</x:v>
      </x:c>
      <x:c r="H1362" s="117" t="str">
        <x:v>Flow</x:v>
      </x:c>
    </x:row>
    <x:row r="1363" ht="30" customHeight="1">
      <x:c r="A1363" s="117" t="str">
        <x:v>3005b000000H3pgAAC</x:v>
      </x:c>
      <x:c r="B1363" s="117" t="str">
        <x:v>Create_Contract_Line_Items_Entitlements_and_Work_Orders_V4</x:v>
      </x:c>
      <x:c r="C1363" s="117" t="str">
        <x:v>Yes</x:v>
      </x:c>
      <x:c r="D1363" s="119" t="str">
        <x:v>Active v17 (Tooling metadata)</x:v>
      </x:c>
      <x:c r="E1363" s="117" t="str">
        <x:v>WorkOrder</x:v>
      </x:c>
      <x:c r="F1363" s="119" t="str">
        <x:v>Variable</x:v>
      </x:c>
      <x:c r="G1363" s="117" t="str">
        <x:v>No</x:v>
      </x:c>
      <x:c r="H1363" s="117" t="str">
        <x:v>Flow</x:v>
      </x:c>
    </x:row>
    <x:row r="1364" ht="30" customHeight="1">
      <x:c r="A1364" s="117" t="str">
        <x:v>3005b000000H2SbAAK</x:v>
      </x:c>
      <x:c r="B1364" s="117" t="str">
        <x:v>Create_core_exchange_RMAs_from_Service_Fusion</x:v>
      </x:c>
      <x:c r="C1364" s="117" t="str">
        <x:v>Yes</x:v>
      </x:c>
      <x:c r="D1364" s="119" t="str">
        <x:v>Active v3 (Retrieved XML)</x:v>
      </x:c>
      <x:c r="E1364" s="117" t="str">
        <x:v>WorkOrder</x:v>
      </x:c>
      <x:c r="F1364" s="119" t="str">
        <x:v>Reference, Trigger</x:v>
      </x:c>
      <x:c r="G1364" s="117" t="str">
        <x:v>Yes</x:v>
      </x:c>
      <x:c r="H1364" s="117" t="str">
        <x:v>AutoLaunchedFlow</x:v>
      </x:c>
    </x:row>
    <x:row r="1365" ht="30" customHeight="1">
      <x:c r="A1365" s="117" t="str">
        <x:v>300Ro00000kseeBIAQ</x:v>
      </x:c>
      <x:c r="B1365" s="117" t="str">
        <x:v>Create_Field_Service_Work_Order_in_Salesforce</x:v>
      </x:c>
      <x:c r="C1365" s="117" t="str">
        <x:v>Yes</x:v>
      </x:c>
      <x:c r="D1365" s="119" t="str">
        <x:v>Active v9 (Retrieved XML)</x:v>
      </x:c>
      <x:c r="E1365" s="117" t="str">
        <x:v>WorkOrder</x:v>
      </x:c>
      <x:c r="F1365" s="119" t="str">
        <x:v>Create, Reference, Variable</x:v>
      </x:c>
      <x:c r="G1365" s="117" t="str">
        <x:v>No</x:v>
      </x:c>
      <x:c r="H1365" s="117" t="str">
        <x:v>Flow</x:v>
      </x:c>
    </x:row>
    <x:row r="1366" ht="30" customHeight="1">
      <x:c r="A1366" s="117" t="str">
        <x:v>300jR000000BuwaQAC</x:v>
      </x:c>
      <x:c r="B1366" s="117" t="str">
        <x:v>Create_FSL_Work_Order_on_SF_Objects</x:v>
      </x:c>
      <x:c r="C1366" s="117" t="str">
        <x:v>Yes</x:v>
      </x:c>
      <x:c r="D1366" s="119" t="str">
        <x:v>Active v7 (Retrieved XML)</x:v>
      </x:c>
      <x:c r="E1366" s="117" t="str">
        <x:v>WorkOrder</x:v>
      </x:c>
      <x:c r="F1366" s="119" t="str">
        <x:v>Create, Reference</x:v>
      </x:c>
      <x:c r="G1366" s="117" t="str">
        <x:v>No</x:v>
      </x:c>
      <x:c r="H1366" s="117" t="str">
        <x:v>Flow</x:v>
      </x:c>
    </x:row>
    <x:row r="1367" ht="30" customHeight="1">
      <x:c r="A1367" s="117" t="str">
        <x:v>3005b000000H2QLAA0</x:v>
      </x:c>
      <x:c r="B1367" s="117" t="str">
        <x:v>Create_part_requests_from_Service_Fusion</x:v>
      </x:c>
      <x:c r="C1367" s="117" t="str">
        <x:v>Yes</x:v>
      </x:c>
      <x:c r="D1367" s="119" t="str">
        <x:v>Active v21 (Tooling metadata)</x:v>
      </x:c>
      <x:c r="E1367" s="117" t="str">
        <x:v>WorkOrder</x:v>
      </x:c>
      <x:c r="F1367" s="119" t="str">
        <x:v>Create, Read, Reference, Trigger, Variable</x:v>
      </x:c>
      <x:c r="G1367" s="117" t="str">
        <x:v>Yes</x:v>
      </x:c>
      <x:c r="H1367" s="117" t="str">
        <x:v>AutoLaunchedFlow</x:v>
      </x:c>
    </x:row>
    <x:row r="1368" ht="30" customHeight="1">
      <x:c r="A1368" s="117" t="str">
        <x:v>3005b000000H3wSAAS</x:v>
      </x:c>
      <x:c r="B1368" s="117" t="str">
        <x:v>Create_Pricing_Request_from_Work_Order_Opportunity</x:v>
      </x:c>
      <x:c r="C1368" s="117" t="str">
        <x:v>Yes</x:v>
      </x:c>
      <x:c r="D1368" s="119" t="str">
        <x:v>Active v6 (Retrieved XML)</x:v>
      </x:c>
      <x:c r="E1368" s="117" t="str">
        <x:v>WorkOrder</x:v>
      </x:c>
      <x:c r="F1368" s="119" t="str">
        <x:v>Read, Reference</x:v>
      </x:c>
      <x:c r="G1368" s="117" t="str">
        <x:v>No</x:v>
      </x:c>
      <x:c r="H1368" s="117" t="str">
        <x:v>Flow</x:v>
      </x:c>
    </x:row>
    <x:row r="1369" ht="30" customHeight="1">
      <x:c r="A1369" s="117" t="str">
        <x:v>300Ro00000BmFOEIA3</x:v>
      </x:c>
      <x:c r="B1369" s="117" t="str">
        <x:v>Create_Repair_Opportunity_from_Service_Contract_Flow</x:v>
      </x:c>
      <x:c r="C1369" s="117" t="str">
        <x:v>Yes</x:v>
      </x:c>
      <x:c r="D1369" s="119" t="str">
        <x:v>Active v10 (Retrieved XML)</x:v>
      </x:c>
      <x:c r="E1369" s="117" t="str">
        <x:v>WorkOrder</x:v>
      </x:c>
      <x:c r="F1369" s="119" t="str">
        <x:v>Create, Reference</x:v>
      </x:c>
      <x:c r="G1369" s="117" t="str">
        <x:v>No</x:v>
      </x:c>
      <x:c r="H1369" s="117" t="str">
        <x:v>Flow</x:v>
      </x:c>
    </x:row>
    <x:row r="1370" ht="30" customHeight="1">
      <x:c r="A1370" s="117" t="str">
        <x:v>300Ro00000QRpykIAD</x:v>
      </x:c>
      <x:c r="B1370" s="117" t="str">
        <x:v>Create_Return_Service_Appointment_Upon_Return_Site_Visit_Required</x:v>
      </x:c>
      <x:c r="C1370" s="117" t="str">
        <x:v>Yes</x:v>
      </x:c>
      <x:c r="D1370" s="119" t="str">
        <x:v>Active v39 (Retrieved XML)</x:v>
      </x:c>
      <x:c r="E1370" s="117" t="str">
        <x:v>WorkOrder</x:v>
      </x:c>
      <x:c r="F1370" s="119" t="str">
        <x:v>Read, Reference, Variable</x:v>
      </x:c>
      <x:c r="G1370" s="117" t="str">
        <x:v>No</x:v>
      </x:c>
      <x:c r="H1370" s="117" t="str">
        <x:v>AutoLaunchedFlow</x:v>
      </x:c>
    </x:row>
    <x:row r="1371" ht="30" customHeight="1">
      <x:c r="A1371" s="117" t="str">
        <x:v>3005b000000H3uHAAS</x:v>
      </x:c>
      <x:c r="B1371" s="117" t="str">
        <x:v>Create_RMA_from_Work_Order</x:v>
      </x:c>
      <x:c r="C1371" s="117" t="str">
        <x:v>Yes</x:v>
      </x:c>
      <x:c r="D1371" s="119" t="str">
        <x:v>Active v24 (Tooling metadata)</x:v>
      </x:c>
      <x:c r="E1371" s="117" t="str">
        <x:v>WorkOrder</x:v>
      </x:c>
      <x:c r="F1371" s="119" t="str">
        <x:v>Read, Reference</x:v>
      </x:c>
      <x:c r="G1371" s="117" t="str">
        <x:v>No</x:v>
      </x:c>
      <x:c r="H1371" s="117" t="str">
        <x:v>Flow</x:v>
      </x:c>
    </x:row>
    <x:row r="1372" ht="30" customHeight="1">
      <x:c r="A1372" s="117" t="str">
        <x:v>300Ro00000H90tTIAR</x:v>
      </x:c>
      <x:c r="B1372" s="117" t="str">
        <x:v>Create_Service_Calendar_Event_from_Service_Resource_UK</x:v>
      </x:c>
      <x:c r="C1372" s="117" t="str">
        <x:v>No</x:v>
      </x:c>
      <x:c r="D1372" s="119" t="str">
        <x:v>Latest inactive v13 (Retrieved XML)</x:v>
      </x:c>
      <x:c r="E1372" s="117" t="str">
        <x:v>WorkOrder</x:v>
      </x:c>
      <x:c r="F1372" s="119" t="str">
        <x:v>Read, Reference</x:v>
      </x:c>
      <x:c r="G1372" s="117" t="str">
        <x:v>No</x:v>
      </x:c>
      <x:c r="H1372" s="117" t="str">
        <x:v>AutoLaunchedFlow</x:v>
      </x:c>
    </x:row>
    <x:row r="1373" ht="30" customHeight="1">
      <x:c r="A1373" s="117" t="str">
        <x:v>3005b000000H413AAC</x:v>
      </x:c>
      <x:c r="B1373" s="117" t="str">
        <x:v>Create_Service_Calendar_Event_from_Work_Order_UK</x:v>
      </x:c>
      <x:c r="C1373" s="117" t="str">
        <x:v>Yes</x:v>
      </x:c>
      <x:c r="D1373" s="119" t="str">
        <x:v>Active v23 (Tooling metadata)</x:v>
      </x:c>
      <x:c r="E1373" s="117" t="str">
        <x:v>WorkOrder</x:v>
      </x:c>
      <x:c r="F1373" s="119" t="str">
        <x:v>Reference, Trigger</x:v>
      </x:c>
      <x:c r="G1373" s="117" t="str">
        <x:v>Yes</x:v>
      </x:c>
      <x:c r="H1373" s="117" t="str">
        <x:v>AutoLaunchedFlow</x:v>
      </x:c>
    </x:row>
    <x:row r="1374" ht="30" customHeight="1">
      <x:c r="A1374" s="117" t="str">
        <x:v>300Ro00000H90tUIAR</x:v>
      </x:c>
      <x:c r="B1374" s="117" t="str">
        <x:v>Create_UK_FSL_Work_Order</x:v>
      </x:c>
      <x:c r="C1374" s="117" t="str">
        <x:v>Yes</x:v>
      </x:c>
      <x:c r="D1374" s="119" t="str">
        <x:v>Active v15 (Retrieved XML)</x:v>
      </x:c>
      <x:c r="E1374" s="117" t="str">
        <x:v>WorkOrder</x:v>
      </x:c>
      <x:c r="F1374" s="119" t="str">
        <x:v>Create, Read, Reference, Variable</x:v>
      </x:c>
      <x:c r="G1374" s="117" t="str">
        <x:v>No</x:v>
      </x:c>
      <x:c r="H1374" s="117" t="str">
        <x:v>Flow</x:v>
      </x:c>
    </x:row>
    <x:row r="1375" ht="30" customHeight="1">
      <x:c r="A1375" s="117" t="str">
        <x:v>300Ro00000cwVgiIAE</x:v>
      </x:c>
      <x:c r="B1375" s="117" t="str">
        <x:v>Create_US_FSL_Work_Order</x:v>
      </x:c>
      <x:c r="C1375" s="117" t="str">
        <x:v>Yes</x:v>
      </x:c>
      <x:c r="D1375" s="119" t="str">
        <x:v>Active v1 (Retrieved XML)</x:v>
      </x:c>
      <x:c r="E1375" s="117" t="str">
        <x:v>WorkOrder</x:v>
      </x:c>
      <x:c r="F1375" s="119" t="str">
        <x:v>Create, Read, Reference, Variable</x:v>
      </x:c>
      <x:c r="G1375" s="117" t="str">
        <x:v>No</x:v>
      </x:c>
      <x:c r="H1375" s="117" t="str">
        <x:v>Flow</x:v>
      </x:c>
    </x:row>
    <x:row r="1376" ht="30" customHeight="1">
      <x:c r="A1376" s="117" t="str">
        <x:v>300Ro00000cwVgjIAE</x:v>
      </x:c>
      <x:c r="B1376" s="117" t="str">
        <x:v>Create_US_FSL_Work_Order_From_Service_Asset</x:v>
      </x:c>
      <x:c r="C1376" s="117" t="str">
        <x:v>Yes</x:v>
      </x:c>
      <x:c r="D1376" s="119" t="str">
        <x:v>Active v1 (Retrieved XML)</x:v>
      </x:c>
      <x:c r="E1376" s="117" t="str">
        <x:v>WorkOrder</x:v>
      </x:c>
      <x:c r="F1376" s="119" t="str">
        <x:v>Create, Read, Reference, Variable</x:v>
      </x:c>
      <x:c r="G1376" s="117" t="str">
        <x:v>No</x:v>
      </x:c>
      <x:c r="H1376" s="117" t="str">
        <x:v>Flow</x:v>
      </x:c>
    </x:row>
    <x:row r="1377" ht="30" customHeight="1">
      <x:c r="A1377" s="117" t="str">
        <x:v>3005b000000H3dpAAC</x:v>
      </x:c>
      <x:c r="B1377" s="117" t="str">
        <x:v>Create_Work_Order_From_Contract_Line_Item</x:v>
      </x:c>
      <x:c r="C1377" s="117" t="str">
        <x:v>Yes</x:v>
      </x:c>
      <x:c r="D1377" s="119" t="str">
        <x:v>Active v8 (Retrieved XML)</x:v>
      </x:c>
      <x:c r="E1377" s="117" t="str">
        <x:v>WorkOrder</x:v>
      </x:c>
      <x:c r="F1377" s="119" t="str">
        <x:v>Create, Reference</x:v>
      </x:c>
      <x:c r="G1377" s="117" t="str">
        <x:v>No</x:v>
      </x:c>
      <x:c r="H1377" s="117" t="str">
        <x:v>Flow</x:v>
      </x:c>
    </x:row>
    <x:row r="1378" ht="30" customHeight="1">
      <x:c r="A1378" s="117" t="str">
        <x:v>3005b000000Pzy0AAC</x:v>
      </x:c>
      <x:c r="B1378" s="117" t="str">
        <x:v>Create_Work_Order_from_KloudGin_Case</x:v>
      </x:c>
      <x:c r="C1378" s="117" t="str">
        <x:v>Yes</x:v>
      </x:c>
      <x:c r="D1378" s="119" t="str">
        <x:v>Active v7 (Retrieved XML)</x:v>
      </x:c>
      <x:c r="E1378" s="117" t="str">
        <x:v>WorkOrder</x:v>
      </x:c>
      <x:c r="F1378" s="119" t="str">
        <x:v>Create, Reference</x:v>
      </x:c>
      <x:c r="G1378" s="117" t="str">
        <x:v>No</x:v>
      </x:c>
      <x:c r="H1378" s="117" t="str">
        <x:v>Flow</x:v>
      </x:c>
    </x:row>
    <x:row r="1379" ht="30" customHeight="1">
      <x:c r="A1379" s="117" t="str">
        <x:v>300Ro0000143LOUIA2</x:v>
      </x:c>
      <x:c r="B1379" s="117" t="str">
        <x:v>Create_Work_Order_from_Service_Asset</x:v>
      </x:c>
      <x:c r="C1379" s="117" t="str">
        <x:v>Yes</x:v>
      </x:c>
      <x:c r="D1379" s="119" t="str">
        <x:v>Active v7 (Retrieved XML)</x:v>
      </x:c>
      <x:c r="E1379" s="117" t="str">
        <x:v>WorkOrder</x:v>
      </x:c>
      <x:c r="F1379" s="119" t="str">
        <x:v>Read, Reference, Variable</x:v>
      </x:c>
      <x:c r="G1379" s="117" t="str">
        <x:v>No</x:v>
      </x:c>
      <x:c r="H1379" s="117" t="str">
        <x:v>Flow</x:v>
      </x:c>
    </x:row>
    <x:row r="1380" ht="30" customHeight="1">
      <x:c r="A1380" s="117" t="str">
        <x:v>300Ro00000aDxwqIAC</x:v>
      </x:c>
      <x:c r="B1380" s="117" t="str">
        <x:v>Create_Work_Orders_from_Contract_Renewal</x:v>
      </x:c>
      <x:c r="C1380" s="117" t="str">
        <x:v>Yes</x:v>
      </x:c>
      <x:c r="D1380" s="119" t="str">
        <x:v>Active v10 (Tooling metadata)</x:v>
      </x:c>
      <x:c r="E1380" s="117" t="str">
        <x:v>WorkOrder</x:v>
      </x:c>
      <x:c r="F1380" s="119" t="str">
        <x:v>Variable</x:v>
      </x:c>
      <x:c r="G1380" s="117" t="str">
        <x:v>No</x:v>
      </x:c>
      <x:c r="H1380" s="117" t="str">
        <x:v>AutoLaunchedFlow</x:v>
      </x:c>
    </x:row>
    <x:row r="1381" ht="30" customHeight="1">
      <x:c r="A1381" s="117" t="str">
        <x:v>3005b000000LHN0AAO</x:v>
      </x:c>
      <x:c r="B1381" s="117" t="str">
        <x:v>CreateRenewalContractFromExistingUK_BETA</x:v>
      </x:c>
      <x:c r="C1381" s="117" t="str">
        <x:v>No</x:v>
      </x:c>
      <x:c r="D1381" s="119" t="str">
        <x:v>Latest inactive v1 (Retrieved XML)</x:v>
      </x:c>
      <x:c r="E1381" s="117" t="str">
        <x:v>WorkOrder</x:v>
      </x:c>
      <x:c r="F1381" s="119" t="str">
        <x:v>Variable</x:v>
      </x:c>
      <x:c r="G1381" s="117" t="str">
        <x:v>No</x:v>
      </x:c>
      <x:c r="H1381" s="117" t="str">
        <x:v>Flow</x:v>
      </x:c>
    </x:row>
    <x:row r="1382" ht="30" customHeight="1">
      <x:c r="A1382" s="117" t="str">
        <x:v>300Ro00000Pz0kfIAB</x:v>
      </x:c>
      <x:c r="B1382" s="117" t="str">
        <x:v>CT_Checklist</x:v>
      </x:c>
      <x:c r="C1382" s="117" t="str">
        <x:v>Yes</x:v>
      </x:c>
      <x:c r="D1382" s="119" t="str">
        <x:v>Active v7 (Retrieved XML)</x:v>
      </x:c>
      <x:c r="E1382" s="117" t="str">
        <x:v>WorkOrder</x:v>
      </x:c>
      <x:c r="F1382" s="119" t="str">
        <x:v>Variable</x:v>
      </x:c>
      <x:c r="G1382" s="117" t="str">
        <x:v>No</x:v>
      </x:c>
      <x:c r="H1382" s="117" t="str">
        <x:v>FieldServiceMobile</x:v>
      </x:c>
    </x:row>
    <x:row r="1383" ht="30" customHeight="1">
      <x:c r="A1383" s="117" t="str">
        <x:v>300Ro00000Pz0kkIAB</x:v>
      </x:c>
      <x:c r="B1383" s="117" t="str">
        <x:v>Dental_Checklist</x:v>
      </x:c>
      <x:c r="C1383" s="117" t="str">
        <x:v>Yes</x:v>
      </x:c>
      <x:c r="D1383" s="119" t="str">
        <x:v>Active v8 (Retrieved XML)</x:v>
      </x:c>
      <x:c r="E1383" s="117" t="str">
        <x:v>WorkOrder</x:v>
      </x:c>
      <x:c r="F1383" s="119" t="str">
        <x:v>Variable</x:v>
      </x:c>
      <x:c r="G1383" s="117" t="str">
        <x:v>No</x:v>
      </x:c>
      <x:c r="H1383" s="117" t="str">
        <x:v>FieldServiceMobile</x:v>
      </x:c>
    </x:row>
    <x:row r="1384" ht="30" customHeight="1">
      <x:c r="A1384" s="117" t="str">
        <x:v>300Ro00000Pz0kjIAB</x:v>
      </x:c>
      <x:c r="B1384" s="117" t="str">
        <x:v>DEXA_Checklist</x:v>
      </x:c>
      <x:c r="C1384" s="117" t="str">
        <x:v>Yes</x:v>
      </x:c>
      <x:c r="D1384" s="119" t="str">
        <x:v>Active v6 (Retrieved XML)</x:v>
      </x:c>
      <x:c r="E1384" s="117" t="str">
        <x:v>WorkOrder</x:v>
      </x:c>
      <x:c r="F1384" s="119" t="str">
        <x:v>Variable</x:v>
      </x:c>
      <x:c r="G1384" s="117" t="str">
        <x:v>No</x:v>
      </x:c>
      <x:c r="H1384" s="117" t="str">
        <x:v>FieldServiceMobile</x:v>
      </x:c>
    </x:row>
    <x:row r="1385" ht="30" customHeight="1">
      <x:c r="A1385" s="117" t="str">
        <x:v>300Ro00000nBqTjIAK</x:v>
      </x:c>
      <x:c r="B1385" s="117" t="str">
        <x:v>Follow_Work_Order_Upon_Creation</x:v>
      </x:c>
      <x:c r="C1385" s="117" t="str">
        <x:v>Yes</x:v>
      </x:c>
      <x:c r="D1385" s="119" t="str">
        <x:v>Active v1 (Retrieved XML)</x:v>
      </x:c>
      <x:c r="E1385" s="117" t="str">
        <x:v>WorkOrder</x:v>
      </x:c>
      <x:c r="F1385" s="119" t="str">
        <x:v>Reference, Trigger</x:v>
      </x:c>
      <x:c r="G1385" s="117" t="str">
        <x:v>Yes</x:v>
      </x:c>
      <x:c r="H1385" s="117" t="str">
        <x:v>AutoLaunchedFlow</x:v>
      </x:c>
    </x:row>
    <x:row r="1386" ht="30" customHeight="1">
      <x:c r="A1386" s="117" t="str">
        <x:v>300Ro00000mouhpIAA</x:v>
      </x:c>
      <x:c r="B1386" s="117" t="str">
        <x:v>FSL_Action_Quick_Quote_2</x:v>
      </x:c>
      <x:c r="C1386" s="117" t="str">
        <x:v>Yes</x:v>
      </x:c>
      <x:c r="D1386" s="119" t="str">
        <x:v>Active v54 (Retrieved XML)</x:v>
      </x:c>
      <x:c r="E1386" s="117" t="str">
        <x:v>WorkOrder</x:v>
      </x:c>
      <x:c r="F1386" s="119" t="str">
        <x:v>Choice Read, Create, Read, Reference, Variable</x:v>
      </x:c>
      <x:c r="G1386" s="117" t="str">
        <x:v>No</x:v>
      </x:c>
      <x:c r="H1386" s="117" t="str">
        <x:v>FieldServiceMobile</x:v>
      </x:c>
    </x:row>
    <x:row r="1387" ht="30" customHeight="1">
      <x:c r="A1387" s="117" t="str">
        <x:v>300Ro00000QRjbbIAD</x:v>
      </x:c>
      <x:c r="B1387" s="117" t="str">
        <x:v>FSL_App_Upload_Pictures_Screen_Flow</x:v>
      </x:c>
      <x:c r="C1387" s="117" t="str">
        <x:v>Yes</x:v>
      </x:c>
      <x:c r="D1387" s="119" t="str">
        <x:v>Active v2 (Retrieved XML)</x:v>
      </x:c>
      <x:c r="E1387" s="117" t="str">
        <x:v>WorkOrder</x:v>
      </x:c>
      <x:c r="F1387" s="119" t="str">
        <x:v>Reference, Update</x:v>
      </x:c>
      <x:c r="G1387" s="117" t="str">
        <x:v>No</x:v>
      </x:c>
      <x:c r="H1387" s="117" t="str">
        <x:v>FieldServiceMobile</x:v>
      </x:c>
    </x:row>
    <x:row r="1388" ht="30" customHeight="1">
      <x:c r="A1388" s="117" t="str">
        <x:v>300Ro00000ydLuvIAE</x:v>
      </x:c>
      <x:c r="B1388" s="117" t="str">
        <x:v>FSL_Close_Out_Service_Appointment_Field_Service_Mobile_Flow</x:v>
      </x:c>
      <x:c r="C1388" s="117" t="str">
        <x:v>No</x:v>
      </x:c>
      <x:c r="D1388" s="119" t="str">
        <x:v>Latest inactive v4 (Retrieved XML)</x:v>
      </x:c>
      <x:c r="E1388" s="117" t="str">
        <x:v>WorkOrder</x:v>
      </x:c>
      <x:c r="F1388" s="119" t="str">
        <x:v>Read, Reference, Update, Variable</x:v>
      </x:c>
      <x:c r="G1388" s="117" t="str">
        <x:v>No</x:v>
      </x:c>
      <x:c r="H1388" s="117" t="str">
        <x:v>FieldServiceMobile</x:v>
      </x:c>
    </x:row>
    <x:row r="1389" ht="30" customHeight="1">
      <x:c r="A1389" s="117" t="str">
        <x:v>300Ro00000sJizMIAS</x:v>
      </x:c>
      <x:c r="B1389" s="117" t="str">
        <x:v>FSL_CR_Checklist</x:v>
      </x:c>
      <x:c r="C1389" s="117" t="str">
        <x:v>Yes</x:v>
      </x:c>
      <x:c r="D1389" s="119" t="str">
        <x:v>Active v6 (Retrieved XML)</x:v>
      </x:c>
      <x:c r="E1389" s="117" t="str">
        <x:v>WorkOrder</x:v>
      </x:c>
      <x:c r="F1389" s="119" t="str">
        <x:v>Variable</x:v>
      </x:c>
      <x:c r="G1389" s="117" t="str">
        <x:v>No</x:v>
      </x:c>
      <x:c r="H1389" s="117" t="str">
        <x:v>FieldServiceMobile</x:v>
      </x:c>
    </x:row>
    <x:row r="1390" ht="30" customHeight="1">
      <x:c r="A1390" s="117" t="str">
        <x:v>300Ro00000vEXZZIA4</x:v>
      </x:c>
      <x:c r="B1390" s="117" t="str">
        <x:v>FSL_Field_Service_Mobile_Flow_Nuclear_Medicine_Checklist</x:v>
      </x:c>
      <x:c r="C1390" s="117" t="str">
        <x:v>No</x:v>
      </x:c>
      <x:c r="D1390" s="119" t="str">
        <x:v>Latest inactive v2 (Retrieved XML)</x:v>
      </x:c>
      <x:c r="E1390" s="117" t="str">
        <x:v>WorkOrder</x:v>
      </x:c>
      <x:c r="F1390" s="119" t="str">
        <x:v>Variable</x:v>
      </x:c>
      <x:c r="G1390" s="117" t="str">
        <x:v>No</x:v>
      </x:c>
      <x:c r="H1390" s="117" t="str">
        <x:v>FieldServiceMobile</x:v>
      </x:c>
    </x:row>
    <x:row r="1391" ht="30" customHeight="1">
      <x:c r="A1391" s="117" t="str">
        <x:v>300Ro00000cnT4mIAE</x:v>
      </x:c>
      <x:c r="B1391" s="117" t="str">
        <x:v>FSL_Mobile_Create_Lead_US</x:v>
      </x:c>
      <x:c r="C1391" s="117" t="str">
        <x:v>Yes</x:v>
      </x:c>
      <x:c r="D1391" s="119" t="str">
        <x:v>Active v34 (Retrieved XML)</x:v>
      </x:c>
      <x:c r="E1391" s="117" t="str">
        <x:v>WorkOrder</x:v>
      </x:c>
      <x:c r="F1391" s="119" t="str">
        <x:v>Choice Read, Create, Read, Reference, Update, Variable</x:v>
      </x:c>
      <x:c r="G1391" s="117" t="str">
        <x:v>No</x:v>
      </x:c>
      <x:c r="H1391" s="117" t="str">
        <x:v>FieldServiceMobile</x:v>
      </x:c>
    </x:row>
    <x:row r="1392" ht="30" customHeight="1">
      <x:c r="A1392" s="117" t="str">
        <x:v>300Ro00000qOg6fIAC</x:v>
      </x:c>
      <x:c r="B1392" s="117" t="str">
        <x:v>FSL_Mobile_End_Screen_for_FSL_PDF_Generation</x:v>
      </x:c>
      <x:c r="C1392" s="117" t="str">
        <x:v>Yes</x:v>
      </x:c>
      <x:c r="D1392" s="119" t="str">
        <x:v>Active v15 (Retrieved XML)</x:v>
      </x:c>
      <x:c r="E1392" s="117" t="str">
        <x:v>WorkOrder</x:v>
      </x:c>
      <x:c r="F1392" s="119" t="str">
        <x:v>Read, Reference, Variable</x:v>
      </x:c>
      <x:c r="G1392" s="117" t="str">
        <x:v>No</x:v>
      </x:c>
      <x:c r="H1392" s="117" t="str">
        <x:v>FieldServiceMobile</x:v>
      </x:c>
    </x:row>
    <x:row r="1393" ht="30" customHeight="1">
      <x:c r="A1393" s="117" t="str">
        <x:v>300Ro00000pvIVtIAM</x:v>
      </x:c>
      <x:c r="B1393" s="117" t="str">
        <x:v>FSL_Mobile_Service_Appointment_Closeout</x:v>
      </x:c>
      <x:c r="C1393" s="117" t="str">
        <x:v>Yes</x:v>
      </x:c>
      <x:c r="D1393" s="119" t="str">
        <x:v>Active v1 (Retrieved XML)</x:v>
      </x:c>
      <x:c r="E1393" s="117" t="str">
        <x:v>WorkOrder</x:v>
      </x:c>
      <x:c r="F1393" s="119" t="str">
        <x:v>Read, Reference, Update, Variable</x:v>
      </x:c>
      <x:c r="G1393" s="117" t="str">
        <x:v>No</x:v>
      </x:c>
      <x:c r="H1393" s="117" t="str">
        <x:v>FieldServiceMobile</x:v>
      </x:c>
    </x:row>
    <x:row r="1394" ht="30" customHeight="1">
      <x:c r="A1394" s="117" t="str">
        <x:v>300Ro00000cnT4nIAE</x:v>
      </x:c>
      <x:c r="B1394" s="117" t="str">
        <x:v>FSL_Parts_Order</x:v>
      </x:c>
      <x:c r="C1394" s="117" t="str">
        <x:v>No</x:v>
      </x:c>
      <x:c r="D1394" s="119" t="str">
        <x:v>Latest inactive v1 (Retrieved XML)</x:v>
      </x:c>
      <x:c r="E1394" s="117" t="str">
        <x:v>WorkOrder</x:v>
      </x:c>
      <x:c r="F1394" s="119" t="str">
        <x:v>Read, Reference</x:v>
      </x:c>
      <x:c r="G1394" s="117" t="str">
        <x:v>No</x:v>
      </x:c>
      <x:c r="H1394" s="117" t="str">
        <x:v>Flow</x:v>
      </x:c>
    </x:row>
    <x:row r="1395" ht="30" customHeight="1">
      <x:c r="A1395" s="117" t="str">
        <x:v>300Ro00000cnT4cIAE</x:v>
      </x:c>
      <x:c r="B1395" s="117" t="str">
        <x:v>FSL_Screen_Request_Parts_on_WO</x:v>
      </x:c>
      <x:c r="C1395" s="117" t="str">
        <x:v>Yes</x:v>
      </x:c>
      <x:c r="D1395" s="119" t="str">
        <x:v>Active v137 (Retrieved XML)</x:v>
      </x:c>
      <x:c r="E1395" s="117" t="str">
        <x:v>WorkOrder</x:v>
      </x:c>
      <x:c r="F1395" s="119" t="str">
        <x:v>Read, Reference, Update, Variable</x:v>
      </x:c>
      <x:c r="G1395" s="117" t="str">
        <x:v>No</x:v>
      </x:c>
      <x:c r="H1395" s="117" t="str">
        <x:v>FieldServiceMobile</x:v>
      </x:c>
    </x:row>
    <x:row r="1396" ht="30" customHeight="1">
      <x:c r="A1396" s="117" t="str">
        <x:v>300Ro00000SLPtAIAX</x:v>
      </x:c>
      <x:c r="B1396" s="117" t="str">
        <x:v>FSL_Screen_SA_Closeout_on_Desktop</x:v>
      </x:c>
      <x:c r="C1396" s="117" t="str">
        <x:v>Yes</x:v>
      </x:c>
      <x:c r="D1396" s="119" t="str">
        <x:v>Active v18 (Retrieved XML)</x:v>
      </x:c>
      <x:c r="E1396" s="117" t="str">
        <x:v>WorkOrder</x:v>
      </x:c>
      <x:c r="F1396" s="119" t="str">
        <x:v>Reference, Update</x:v>
      </x:c>
      <x:c r="G1396" s="117" t="str">
        <x:v>No</x:v>
      </x:c>
      <x:c r="H1396" s="117" t="str">
        <x:v>Flow</x:v>
      </x:c>
    </x:row>
    <x:row r="1397" ht="30" customHeight="1">
      <x:c r="A1397" s="117" t="str">
        <x:v>300Ro00000qOn88IAC</x:v>
      </x:c>
      <x:c r="B1397" s="117" t="str">
        <x:v>FSL_Service_Appointment_Work_Order_Country_Checker</x:v>
      </x:c>
      <x:c r="C1397" s="117" t="str">
        <x:v>Yes</x:v>
      </x:c>
      <x:c r="D1397" s="119" t="str">
        <x:v>Active v2 (Retrieved XML)</x:v>
      </x:c>
      <x:c r="E1397" s="117" t="str">
        <x:v>WorkOrder</x:v>
      </x:c>
      <x:c r="F1397" s="119" t="str">
        <x:v>Read, Reference, Update</x:v>
      </x:c>
      <x:c r="G1397" s="117" t="str">
        <x:v>No</x:v>
      </x:c>
      <x:c r="H1397" s="117" t="str">
        <x:v>AutoLaunchedFlow</x:v>
      </x:c>
    </x:row>
    <x:row r="1398" ht="30" customHeight="1">
      <x:c r="A1398" s="117" t="str">
        <x:v>300Ro00000n2BUtIAM</x:v>
      </x:c>
      <x:c r="B1398" s="117" t="str">
        <x:v>FSL_Set_Service_Report_Layout_ID_on_Work_Orders</x:v>
      </x:c>
      <x:c r="C1398" s="117" t="str">
        <x:v>Yes</x:v>
      </x:c>
      <x:c r="D1398" s="119" t="str">
        <x:v>Active v7 (Tooling metadata)</x:v>
      </x:c>
      <x:c r="E1398" s="117" t="str">
        <x:v>WorkOrder</x:v>
      </x:c>
      <x:c r="F1398" s="119" t="str">
        <x:v>Reference, Trigger, Update</x:v>
      </x:c>
      <x:c r="G1398" s="117" t="str">
        <x:v>Yes</x:v>
      </x:c>
      <x:c r="H1398" s="117" t="str">
        <x:v>AutoLaunchedFlow</x:v>
      </x:c>
    </x:row>
    <x:row r="1399" ht="30" customHeight="1">
      <x:c r="A1399" s="117" t="str">
        <x:v>300Ro000013byfhIAA</x:v>
      </x:c>
      <x:c r="B1399" s="117" t="str">
        <x:v>FSL_Ultrasound_Electrical_Safety_Tests_Checklist</x:v>
      </x:c>
      <x:c r="C1399" s="117" t="str">
        <x:v>Yes</x:v>
      </x:c>
      <x:c r="D1399" s="119" t="str">
        <x:v>Active v2 (Retrieved XML)</x:v>
      </x:c>
      <x:c r="E1399" s="117" t="str">
        <x:v>WorkOrder</x:v>
      </x:c>
      <x:c r="F1399" s="119" t="str">
        <x:v>Variable</x:v>
      </x:c>
      <x:c r="G1399" s="117" t="str">
        <x:v>No</x:v>
      </x:c>
      <x:c r="H1399" s="117" t="str">
        <x:v>FieldServiceMobile</x:v>
      </x:c>
    </x:row>
    <x:row r="1400" ht="30" customHeight="1">
      <x:c r="A1400" s="117" t="str">
        <x:v>300Ro00000qcb76IAA</x:v>
      </x:c>
      <x:c r="B1400" s="117" t="str">
        <x:v>FSL_US_On_FSR_Attached_Update_Work_Order_to_Completed_WO</x:v>
      </x:c>
      <x:c r="C1400" s="117" t="str">
        <x:v>Yes</x:v>
      </x:c>
      <x:c r="D1400" s="119" t="str">
        <x:v>Active v1 (Retrieved XML)</x:v>
      </x:c>
      <x:c r="E1400" s="117" t="str">
        <x:v>WorkOrder</x:v>
      </x:c>
      <x:c r="F1400" s="119" t="str">
        <x:v>Reference, Trigger, Update</x:v>
      </x:c>
      <x:c r="G1400" s="117" t="str">
        <x:v>Yes</x:v>
      </x:c>
      <x:c r="H1400" s="117" t="str">
        <x:v>AutoLaunchedFlow</x:v>
      </x:c>
    </x:row>
    <x:row r="1401" ht="30" customHeight="1">
      <x:c r="A1401" s="117" t="str">
        <x:v>300Ro00000phiq4IAA</x:v>
      </x:c>
      <x:c r="B1401" s="117" t="str">
        <x:v>FSL_US_On_Submit_to_Shipping_Update_Status_to_Pending_Shipment</x:v>
      </x:c>
      <x:c r="C1401" s="117" t="str">
        <x:v>Yes</x:v>
      </x:c>
      <x:c r="D1401" s="119" t="str">
        <x:v>Active v3 (Retrieved XML)</x:v>
      </x:c>
      <x:c r="E1401" s="117" t="str">
        <x:v>WorkOrder</x:v>
      </x:c>
      <x:c r="F1401" s="119" t="str">
        <x:v>Reference, Trigger, Update</x:v>
      </x:c>
      <x:c r="G1401" s="117" t="str">
        <x:v>Yes</x:v>
      </x:c>
      <x:c r="H1401" s="117" t="str">
        <x:v>AutoLaunchedFlow</x:v>
      </x:c>
    </x:row>
    <x:row r="1402" ht="30" customHeight="1">
      <x:c r="A1402" s="117" t="str">
        <x:v>300Ro00000pheJSIAY</x:v>
      </x:c>
      <x:c r="B1402" s="117" t="str">
        <x:v>FSL_US_On_Tracking_Update_Status_to_Parts_Probe_Shipped</x:v>
      </x:c>
      <x:c r="C1402" s="117" t="str">
        <x:v>Yes</x:v>
      </x:c>
      <x:c r="D1402" s="119" t="str">
        <x:v>Active v2 (Retrieved XML)</x:v>
      </x:c>
      <x:c r="E1402" s="117" t="str">
        <x:v>WorkOrder</x:v>
      </x:c>
      <x:c r="F1402" s="119" t="str">
        <x:v>Reference, Trigger, Update</x:v>
      </x:c>
      <x:c r="G1402" s="117" t="str">
        <x:v>Yes</x:v>
      </x:c>
      <x:c r="H1402" s="117" t="str">
        <x:v>AutoLaunchedFlow</x:v>
      </x:c>
    </x:row>
    <x:row r="1403" ht="30" customHeight="1">
      <x:c r="A1403" s="117" t="str">
        <x:v>300Ro00000skL5dIAE</x:v>
      </x:c>
      <x:c r="B1403" s="117" t="str">
        <x:v>FSL_US_On_Update_of_Account_Update_Billing_Address_on_Work_Order</x:v>
      </x:c>
      <x:c r="C1403" s="117" t="str">
        <x:v>Yes</x:v>
      </x:c>
      <x:c r="D1403" s="119" t="str">
        <x:v>Active v2 (Retrieved XML)</x:v>
      </x:c>
      <x:c r="E1403" s="117" t="str">
        <x:v>WorkOrder</x:v>
      </x:c>
      <x:c r="F1403" s="119" t="str">
        <x:v>Reference, Trigger, Update</x:v>
      </x:c>
      <x:c r="G1403" s="117" t="str">
        <x:v>Yes</x:v>
      </x:c>
      <x:c r="H1403" s="117" t="str">
        <x:v>AutoLaunchedFlow</x:v>
      </x:c>
    </x:row>
    <x:row r="1404" ht="30" customHeight="1">
      <x:c r="A1404" s="117" t="str">
        <x:v>300Ro00000tD805IAC</x:v>
      </x:c>
      <x:c r="B1404" s="117" t="str">
        <x:v>FSL_US_Update_Work_Order_to_Repair_In_Progress</x:v>
      </x:c>
      <x:c r="C1404" s="117" t="str">
        <x:v>Yes</x:v>
      </x:c>
      <x:c r="D1404" s="119" t="str">
        <x:v>Active v1 (Retrieved XML)</x:v>
      </x:c>
      <x:c r="E1404" s="117" t="str">
        <x:v>WorkOrder</x:v>
      </x:c>
      <x:c r="F1404" s="119" t="str">
        <x:v>Reference, Update</x:v>
      </x:c>
      <x:c r="G1404" s="117" t="str">
        <x:v>No</x:v>
      </x:c>
      <x:c r="H1404" s="117" t="str">
        <x:v>AutoLaunchedFlow</x:v>
      </x:c>
    </x:row>
    <x:row r="1405" ht="30" customHeight="1">
      <x:c r="A1405" s="117" t="str">
        <x:v>300Ro00000y33GaIAI</x:v>
      </x:c>
      <x:c r="B1405" s="117" t="str">
        <x:v>Generate_Mechanical_Services_Work_Order_Screen_Flow</x:v>
      </x:c>
      <x:c r="C1405" s="117" t="str">
        <x:v>No</x:v>
      </x:c>
      <x:c r="D1405" s="119" t="str">
        <x:v>Latest inactive v1 (Retrieved XML)</x:v>
      </x:c>
      <x:c r="E1405" s="117" t="str">
        <x:v>WorkOrder</x:v>
      </x:c>
      <x:c r="F1405" s="119" t="str">
        <x:v>Create, Reference</x:v>
      </x:c>
      <x:c r="G1405" s="117" t="str">
        <x:v>No</x:v>
      </x:c>
      <x:c r="H1405" s="117" t="str">
        <x:v>Flow</x:v>
      </x:c>
    </x:row>
    <x:row r="1406" ht="30" customHeight="1">
      <x:c r="A1406" s="117" t="str">
        <x:v>300Ro00000Pz0klIAB</x:v>
      </x:c>
      <x:c r="B1406" s="117" t="str">
        <x:v>Injector_Checklist</x:v>
      </x:c>
      <x:c r="C1406" s="117" t="str">
        <x:v>Yes</x:v>
      </x:c>
      <x:c r="D1406" s="119" t="str">
        <x:v>Active v4 (Tooling metadata)</x:v>
      </x:c>
      <x:c r="E1406" s="117" t="str">
        <x:v>WorkOrder</x:v>
      </x:c>
      <x:c r="F1406" s="119" t="str">
        <x:v>Variable</x:v>
      </x:c>
      <x:c r="G1406" s="117" t="str">
        <x:v>No</x:v>
      </x:c>
      <x:c r="H1406" s="117" t="str">
        <x:v>FieldServiceMobile</x:v>
      </x:c>
    </x:row>
    <x:row r="1407" ht="30" customHeight="1">
      <x:c r="A1407" s="117" t="str">
        <x:v>300Ro00000Pz0kmIAB</x:v>
      </x:c>
      <x:c r="B1407" s="117" t="str">
        <x:v>IntraoralChecklist</x:v>
      </x:c>
      <x:c r="C1407" s="117" t="str">
        <x:v>Yes</x:v>
      </x:c>
      <x:c r="D1407" s="119" t="str">
        <x:v>Active v6 (Retrieved XML)</x:v>
      </x:c>
      <x:c r="E1407" s="117" t="str">
        <x:v>WorkOrder</x:v>
      </x:c>
      <x:c r="F1407" s="119" t="str">
        <x:v>Variable</x:v>
      </x:c>
      <x:c r="G1407" s="117" t="str">
        <x:v>No</x:v>
      </x:c>
      <x:c r="H1407" s="117" t="str">
        <x:v>FieldServiceMobile</x:v>
      </x:c>
    </x:row>
    <x:row r="1408" ht="30" customHeight="1">
      <x:c r="A1408" s="117" t="str">
        <x:v>300Ro00000Pz0knIAB</x:v>
      </x:c>
      <x:c r="B1408" s="117" t="str">
        <x:v>Iradimed_Infusion_Pump_Checklist</x:v>
      </x:c>
      <x:c r="C1408" s="117" t="str">
        <x:v>Yes</x:v>
      </x:c>
      <x:c r="D1408" s="119" t="str">
        <x:v>Active v4 (Retrieved XML)</x:v>
      </x:c>
      <x:c r="E1408" s="117" t="str">
        <x:v>WorkOrder</x:v>
      </x:c>
      <x:c r="F1408" s="119" t="str">
        <x:v>Variable</x:v>
      </x:c>
      <x:c r="G1408" s="117" t="str">
        <x:v>No</x:v>
      </x:c>
      <x:c r="H1408" s="117" t="str">
        <x:v>FieldServiceMobile</x:v>
      </x:c>
    </x:row>
    <x:row r="1409" ht="30" customHeight="1">
      <x:c r="A1409" s="117" t="str">
        <x:v>300Ro00000Pz0koIAB</x:v>
      </x:c>
      <x:c r="B1409" s="117" t="str">
        <x:v>Iradimed_Patient_Monitor_Checklist</x:v>
      </x:c>
      <x:c r="C1409" s="117" t="str">
        <x:v>Yes</x:v>
      </x:c>
      <x:c r="D1409" s="119" t="str">
        <x:v>Active v4 (Retrieved XML)</x:v>
      </x:c>
      <x:c r="E1409" s="117" t="str">
        <x:v>WorkOrder</x:v>
      </x:c>
      <x:c r="F1409" s="119" t="str">
        <x:v>Variable</x:v>
      </x:c>
      <x:c r="G1409" s="117" t="str">
        <x:v>No</x:v>
      </x:c>
      <x:c r="H1409" s="117" t="str">
        <x:v>FieldServiceMobile</x:v>
      </x:c>
    </x:row>
    <x:row r="1410" ht="30" customHeight="1">
      <x:c r="A1410" s="117" t="str">
        <x:v>300Ro00000e6lWiIAI</x:v>
      </x:c>
      <x:c r="B1410" s="117" t="str">
        <x:v>Lead_Trigger_Notify_Ultrasound_Team_Upon_Creation</x:v>
      </x:c>
      <x:c r="C1410" s="117" t="str">
        <x:v>Yes</x:v>
      </x:c>
      <x:c r="D1410" s="119" t="str">
        <x:v>Active v4 (Retrieved XML)</x:v>
      </x:c>
      <x:c r="E1410" s="117" t="str">
        <x:v>WorkOrder</x:v>
      </x:c>
      <x:c r="F1410" s="119" t="str">
        <x:v>Read, Reference</x:v>
      </x:c>
      <x:c r="G1410" s="117" t="str">
        <x:v>No</x:v>
      </x:c>
      <x:c r="H1410" s="117" t="str">
        <x:v>AutoLaunchedFlow</x:v>
      </x:c>
    </x:row>
    <x:row r="1411" ht="30" customHeight="1">
      <x:c r="A1411" s="117" t="str">
        <x:v>300Ro00000Pz0kqIAB</x:v>
      </x:c>
      <x:c r="B1411" s="117" t="str">
        <x:v>Mammography_Checklist</x:v>
      </x:c>
      <x:c r="C1411" s="117" t="str">
        <x:v>Yes</x:v>
      </x:c>
      <x:c r="D1411" s="119" t="str">
        <x:v>Active v10 (Retrieved XML)</x:v>
      </x:c>
      <x:c r="E1411" s="117" t="str">
        <x:v>WorkOrder</x:v>
      </x:c>
      <x:c r="F1411" s="119" t="str">
        <x:v>Variable</x:v>
      </x:c>
      <x:c r="G1411" s="117" t="str">
        <x:v>No</x:v>
      </x:c>
      <x:c r="H1411" s="117" t="str">
        <x:v>FieldServiceMobile</x:v>
      </x:c>
    </x:row>
    <x:row r="1412" ht="30" customHeight="1">
      <x:c r="A1412" s="117" t="str">
        <x:v>300Ro00000cwVggIAE</x:v>
      </x:c>
      <x:c r="B1412" s="117" t="str">
        <x:v>Mobile_Create_Work_Order_From_Account</x:v>
      </x:c>
      <x:c r="C1412" s="117" t="str">
        <x:v>Yes</x:v>
      </x:c>
      <x:c r="D1412" s="119" t="str">
        <x:v>Active v1 (Retrieved XML)</x:v>
      </x:c>
      <x:c r="E1412" s="117" t="str">
        <x:v>WorkOrder</x:v>
      </x:c>
      <x:c r="F1412" s="119" t="str">
        <x:v>Create, Reference, Variable</x:v>
      </x:c>
      <x:c r="G1412" s="117" t="str">
        <x:v>No</x:v>
      </x:c>
      <x:c r="H1412" s="117" t="str">
        <x:v>FieldServiceMobile</x:v>
      </x:c>
    </x:row>
    <x:row r="1413" ht="30" customHeight="1">
      <x:c r="A1413" s="117" t="str">
        <x:v>300Ro00000cwVghIAE</x:v>
      </x:c>
      <x:c r="B1413" s="117" t="str">
        <x:v>Mobile_Create_Work_Order_From_Contract_Line_Item</x:v>
      </x:c>
      <x:c r="C1413" s="117" t="str">
        <x:v>Yes</x:v>
      </x:c>
      <x:c r="D1413" s="119" t="str">
        <x:v>Active v1 (Retrieved XML)</x:v>
      </x:c>
      <x:c r="E1413" s="117" t="str">
        <x:v>WorkOrder</x:v>
      </x:c>
      <x:c r="F1413" s="119" t="str">
        <x:v>Create, Reference</x:v>
      </x:c>
      <x:c r="G1413" s="117" t="str">
        <x:v>No</x:v>
      </x:c>
      <x:c r="H1413" s="117" t="str">
        <x:v>FieldServiceMobile</x:v>
      </x:c>
    </x:row>
    <x:row r="1414" ht="30" customHeight="1">
      <x:c r="A1414" s="117" t="str">
        <x:v>300Ro00000Pz0krIAB</x:v>
      </x:c>
      <x:c r="B1414" s="117" t="str">
        <x:v>Mobile_X_Ray_Checklist</x:v>
      </x:c>
      <x:c r="C1414" s="117" t="str">
        <x:v>Yes</x:v>
      </x:c>
      <x:c r="D1414" s="119" t="str">
        <x:v>Active v12 (Retrieved XML)</x:v>
      </x:c>
      <x:c r="E1414" s="117" t="str">
        <x:v>WorkOrder</x:v>
      </x:c>
      <x:c r="F1414" s="119" t="str">
        <x:v>Variable</x:v>
      </x:c>
      <x:c r="G1414" s="117" t="str">
        <x:v>No</x:v>
      </x:c>
      <x:c r="H1414" s="117" t="str">
        <x:v>FieldServiceMobile</x:v>
      </x:c>
    </x:row>
    <x:row r="1415" ht="30" customHeight="1">
      <x:c r="A1415" s="117" t="str">
        <x:v>300Ro00000Pz0kpIAB</x:v>
      </x:c>
      <x:c r="B1415" s="117" t="str">
        <x:v>MRI_Checklist</x:v>
      </x:c>
      <x:c r="C1415" s="117" t="str">
        <x:v>Yes</x:v>
      </x:c>
      <x:c r="D1415" s="119" t="str">
        <x:v>Active v3 (Tooling metadata)</x:v>
      </x:c>
      <x:c r="E1415" s="117" t="str">
        <x:v>WorkOrder</x:v>
      </x:c>
      <x:c r="F1415" s="119" t="str">
        <x:v>Variable</x:v>
      </x:c>
      <x:c r="G1415" s="117" t="str">
        <x:v>No</x:v>
      </x:c>
      <x:c r="H1415" s="117" t="str">
        <x:v>FieldServiceMobile</x:v>
      </x:c>
    </x:row>
    <x:row r="1416" ht="30" customHeight="1">
      <x:c r="A1416" s="117" t="str">
        <x:v>3005b000000H3duAAC</x:v>
      </x:c>
      <x:c r="B1416" s="117" t="str">
        <x:v>New_Child_Work_Order_from_Work_Order</x:v>
      </x:c>
      <x:c r="C1416" s="117" t="str">
        <x:v>Yes</x:v>
      </x:c>
      <x:c r="D1416" s="119" t="str">
        <x:v>Active v7 (Retrieved XML)</x:v>
      </x:c>
      <x:c r="E1416" s="117" t="str">
        <x:v>WorkOrder</x:v>
      </x:c>
      <x:c r="F1416" s="119" t="str">
        <x:v>Create, Read, Reference</x:v>
      </x:c>
      <x:c r="G1416" s="117" t="str">
        <x:v>No</x:v>
      </x:c>
      <x:c r="H1416" s="117" t="str">
        <x:v>Flow</x:v>
      </x:c>
    </x:row>
    <x:row r="1417" ht="30" customHeight="1">
      <x:c r="A1417" s="117" t="str">
        <x:v>3005b000000H3eJAAS</x:v>
      </x:c>
      <x:c r="B1417" s="117" t="str">
        <x:v>New_Parts_Opportunity_From_Work_Orker</x:v>
      </x:c>
      <x:c r="C1417" s="117" t="str">
        <x:v>Yes</x:v>
      </x:c>
      <x:c r="D1417" s="119" t="str">
        <x:v>Active v62 (Retrieved XML)</x:v>
      </x:c>
      <x:c r="E1417" s="117" t="str">
        <x:v>WorkOrder</x:v>
      </x:c>
      <x:c r="F1417" s="119" t="str">
        <x:v>Read, Reference, Update, Variable</x:v>
      </x:c>
      <x:c r="G1417" s="117" t="str">
        <x:v>No</x:v>
      </x:c>
      <x:c r="H1417" s="117" t="str">
        <x:v>Flow</x:v>
      </x:c>
    </x:row>
    <x:row r="1418" ht="30" customHeight="1">
      <x:c r="A1418" s="117" t="str">
        <x:v>300Ro00000xL7RAIA0</x:v>
      </x:c>
      <x:c r="B1418" s="117" t="str">
        <x:v>On_Create_Parts_Sales_Value_Rollup</x:v>
      </x:c>
      <x:c r="C1418" s="117" t="str">
        <x:v>Yes</x:v>
      </x:c>
      <x:c r="D1418" s="119" t="str">
        <x:v>Active v3 (Retrieved XML)</x:v>
      </x:c>
      <x:c r="E1418" s="117" t="str">
        <x:v>WorkOrder</x:v>
      </x:c>
      <x:c r="F1418" s="119" t="str">
        <x:v>Read, Reference</x:v>
      </x:c>
      <x:c r="G1418" s="117" t="str">
        <x:v>No</x:v>
      </x:c>
      <x:c r="H1418" s="117" t="str">
        <x:v>AutoLaunchedFlow</x:v>
      </x:c>
    </x:row>
    <x:row r="1419" ht="30" customHeight="1">
      <x:c r="A1419" s="117" t="str">
        <x:v>300Ro00000vmUXdIAM</x:v>
      </x:c>
      <x:c r="B1419" s="117" t="str">
        <x:v>On_Creation_of_Work_Order_Set_Shipping_Account_to_Bill_Customer_Fedex_System</x:v>
      </x:c>
      <x:c r="C1419" s="117" t="str">
        <x:v>Yes</x:v>
      </x:c>
      <x:c r="D1419" s="119" t="str">
        <x:v>Active v1 (Retrieved XML)</x:v>
      </x:c>
      <x:c r="E1419" s="117" t="str">
        <x:v>WorkOrder</x:v>
      </x:c>
      <x:c r="F1419" s="119" t="str">
        <x:v>Reference, Trigger, Update</x:v>
      </x:c>
      <x:c r="G1419" s="117" t="str">
        <x:v>Yes</x:v>
      </x:c>
      <x:c r="H1419" s="117" t="str">
        <x:v>AutoLaunchedFlow</x:v>
      </x:c>
    </x:row>
    <x:row r="1420" ht="30" customHeight="1">
      <x:c r="A1420" s="117" t="str">
        <x:v>300Ro00000vmMtSIAU</x:v>
      </x:c>
      <x:c r="B1420" s="117" t="str">
        <x:v>On_Creation_of_Work_Order_Set_Shipping_Account_to_Bill_Customer_Fedex_System_1</x:v>
      </x:c>
      <x:c r="C1420" s="117" t="str">
        <x:v>Yes</x:v>
      </x:c>
      <x:c r="D1420" s="119" t="str">
        <x:v>Active v1 (Retrieved XML)</x:v>
      </x:c>
      <x:c r="E1420" s="117" t="str">
        <x:v>WorkOrder</x:v>
      </x:c>
      <x:c r="F1420" s="119" t="str">
        <x:v>Reference, Trigger, Update</x:v>
      </x:c>
      <x:c r="G1420" s="117" t="str">
        <x:v>Yes</x:v>
      </x:c>
      <x:c r="H1420" s="117" t="str">
        <x:v>AutoLaunchedFlow</x:v>
      </x:c>
    </x:row>
    <x:row r="1421" ht="30" customHeight="1">
      <x:c r="A1421" s="117" t="str">
        <x:v>300Ro00000vo1ZZIAY</x:v>
      </x:c>
      <x:c r="B1421" s="117" t="str">
        <x:v>On_Make_Model_or_Serial_Number_Change_Update_the_Opportunity</x:v>
      </x:c>
      <x:c r="C1421" s="117" t="str">
        <x:v>Yes</x:v>
      </x:c>
      <x:c r="D1421" s="119" t="str">
        <x:v>Active v2 (Retrieved XML)</x:v>
      </x:c>
      <x:c r="E1421" s="117" t="str">
        <x:v>WorkOrder</x:v>
      </x:c>
      <x:c r="F1421" s="119" t="str">
        <x:v>Reference, Trigger</x:v>
      </x:c>
      <x:c r="G1421" s="117" t="str">
        <x:v>Yes</x:v>
      </x:c>
      <x:c r="H1421" s="117" t="str">
        <x:v>AutoLaunchedFlow</x:v>
      </x:c>
    </x:row>
    <x:row r="1422" ht="30" customHeight="1">
      <x:c r="A1422" s="117" t="str">
        <x:v>300Ro00000vo6MLIAY</x:v>
      </x:c>
      <x:c r="B1422" s="117" t="str">
        <x:v>On_Serial_Number_Change_Update_the_Opportunity</x:v>
      </x:c>
      <x:c r="C1422" s="117" t="str">
        <x:v>Yes</x:v>
      </x:c>
      <x:c r="D1422" s="119" t="str">
        <x:v>Active v1 (Retrieved XML)</x:v>
      </x:c>
      <x:c r="E1422" s="117" t="str">
        <x:v>WorkOrder</x:v>
      </x:c>
      <x:c r="F1422" s="119" t="str">
        <x:v>Reference, Trigger</x:v>
      </x:c>
      <x:c r="G1422" s="117" t="str">
        <x:v>Yes</x:v>
      </x:c>
      <x:c r="H1422" s="117" t="str">
        <x:v>AutoLaunchedFlow</x:v>
      </x:c>
    </x:row>
    <x:row r="1423" ht="30" customHeight="1">
      <x:c r="A1423" s="117" t="str">
        <x:v>300Ro00000vx4WjIAI</x:v>
      </x:c>
      <x:c r="B1423" s="117" t="str">
        <x:v>On_Update_Completed_Undo_Update_Needed_Checkbox_and_Reset_Status</x:v>
      </x:c>
      <x:c r="C1423" s="117" t="str">
        <x:v>Yes</x:v>
      </x:c>
      <x:c r="D1423" s="119" t="str">
        <x:v>Active v2 (Retrieved XML)</x:v>
      </x:c>
      <x:c r="E1423" s="117" t="str">
        <x:v>WorkOrder</x:v>
      </x:c>
      <x:c r="F1423" s="119" t="str">
        <x:v>Reference, Trigger, Update</x:v>
      </x:c>
      <x:c r="G1423" s="117" t="str">
        <x:v>Yes</x:v>
      </x:c>
      <x:c r="H1423" s="117" t="str">
        <x:v>AutoLaunchedFlow</x:v>
      </x:c>
    </x:row>
    <x:row r="1424" ht="30" customHeight="1">
      <x:c r="A1424" s="117" t="str">
        <x:v>300Ro00000oEe0pIAC</x:v>
      </x:c>
      <x:c r="B1424" s="117" t="str">
        <x:v>On_Update_of_Address_Update_Opportunity_Shipping_if_Needed</x:v>
      </x:c>
      <x:c r="C1424" s="117" t="str">
        <x:v>Yes</x:v>
      </x:c>
      <x:c r="D1424" s="119" t="str">
        <x:v>Active v19 (Retrieved XML)</x:v>
      </x:c>
      <x:c r="E1424" s="117" t="str">
        <x:v>WorkOrder</x:v>
      </x:c>
      <x:c r="F1424" s="119" t="str">
        <x:v>Reference, Trigger</x:v>
      </x:c>
      <x:c r="G1424" s="117" t="str">
        <x:v>Yes</x:v>
      </x:c>
      <x:c r="H1424" s="117" t="str">
        <x:v>AutoLaunchedFlow</x:v>
      </x:c>
    </x:row>
    <x:row r="1425" ht="30" customHeight="1">
      <x:c r="A1425" s="117" t="str">
        <x:v>300Ro00000cnT4gIAE</x:v>
      </x:c>
      <x:c r="B1425" s="117" t="str">
        <x:v>On_Update_of_Shipping_Location_on_Work_Order_Update_Location_on_Open_Service_App</x:v>
      </x:c>
      <x:c r="C1425" s="117" t="str">
        <x:v>Yes</x:v>
      </x:c>
      <x:c r="D1425" s="119" t="str">
        <x:v>Active v7 (Retrieved XML)</x:v>
      </x:c>
      <x:c r="E1425" s="117" t="str">
        <x:v>WorkOrder</x:v>
      </x:c>
      <x:c r="F1425" s="119" t="str">
        <x:v>Reference, Trigger, Update</x:v>
      </x:c>
      <x:c r="G1425" s="117" t="str">
        <x:v>Yes</x:v>
      </x:c>
      <x:c r="H1425" s="117" t="str">
        <x:v>AutoLaunchedFlow</x:v>
      </x:c>
    </x:row>
    <x:row r="1426" ht="30" customHeight="1">
      <x:c r="A1426" s="117" t="str">
        <x:v>300Ro00000cnT4dIAE</x:v>
      </x:c>
      <x:c r="B1426" s="117" t="str">
        <x:v>On_US_FSL_Lead_Conversion_Bring_Work_Order_Over_to_Contact_Account_Opportunity</x:v>
      </x:c>
      <x:c r="C1426" s="117" t="str">
        <x:v>Yes</x:v>
      </x:c>
      <x:c r="D1426" s="119" t="str">
        <x:v>Active v22 (Retrieved XML)</x:v>
      </x:c>
      <x:c r="E1426" s="117" t="str">
        <x:v>WorkOrder</x:v>
      </x:c>
      <x:c r="F1426" s="119" t="str">
        <x:v>Read, Reference</x:v>
      </x:c>
      <x:c r="G1426" s="117" t="str">
        <x:v>No</x:v>
      </x:c>
      <x:c r="H1426" s="117" t="str">
        <x:v>AutoLaunchedFlow</x:v>
      </x:c>
    </x:row>
    <x:row r="1427" ht="30" customHeight="1">
      <x:c r="A1427" s="117" t="str">
        <x:v>300Ro00000cnT4oIAE</x:v>
      </x:c>
      <x:c r="B1427" s="117" t="str">
        <x:v>On_Work_Order_Creation_Set_Chatter_Follow</x:v>
      </x:c>
      <x:c r="C1427" s="117" t="str">
        <x:v>No</x:v>
      </x:c>
      <x:c r="D1427" s="119" t="str">
        <x:v>Latest inactive v1 (Retrieved XML)</x:v>
      </x:c>
      <x:c r="E1427" s="117" t="str">
        <x:v>WorkOrder</x:v>
      </x:c>
      <x:c r="F1427" s="119" t="str">
        <x:v>Reference, Trigger</x:v>
      </x:c>
      <x:c r="G1427" s="117" t="str">
        <x:v>Yes</x:v>
      </x:c>
      <x:c r="H1427" s="117" t="str">
        <x:v>AutoLaunchedFlow</x:v>
      </x:c>
    </x:row>
    <x:row r="1428" ht="30" customHeight="1">
      <x:c r="A1428" s="117" t="str">
        <x:v>3005b000000LHI0AAO</x:v>
      </x:c>
      <x:c r="B1428" s="117" t="str">
        <x:v>PartsReadyForCollectionWorkOrderAlert</x:v>
      </x:c>
      <x:c r="C1428" s="117" t="str">
        <x:v>Yes</x:v>
      </x:c>
      <x:c r="D1428" s="119" t="str">
        <x:v>Active v7 (Retrieved XML)</x:v>
      </x:c>
      <x:c r="E1428" s="117" t="str">
        <x:v>WorkOrder</x:v>
      </x:c>
      <x:c r="F1428" s="119" t="str">
        <x:v>Reference, Trigger</x:v>
      </x:c>
      <x:c r="G1428" s="117" t="str">
        <x:v>Yes</x:v>
      </x:c>
      <x:c r="H1428" s="117" t="str">
        <x:v>AutoLaunchedFlow</x:v>
      </x:c>
    </x:row>
    <x:row r="1429" ht="30" customHeight="1">
      <x:c r="A1429" s="117" t="str">
        <x:v>300Ro00000cwVgkIAE</x:v>
      </x:c>
      <x:c r="B1429" s="117" t="str">
        <x:v>Screen_Flow_Create_New_Service_Asset_From_Work_Order</x:v>
      </x:c>
      <x:c r="C1429" s="117" t="str">
        <x:v>Yes</x:v>
      </x:c>
      <x:c r="D1429" s="119" t="str">
        <x:v>Active v1 (Retrieved XML)</x:v>
      </x:c>
      <x:c r="E1429" s="117" t="str">
        <x:v>WorkOrder</x:v>
      </x:c>
      <x:c r="F1429" s="119" t="str">
        <x:v>Read, Reference, Update</x:v>
      </x:c>
      <x:c r="G1429" s="117" t="str">
        <x:v>No</x:v>
      </x:c>
      <x:c r="H1429" s="117" t="str">
        <x:v>Flow</x:v>
      </x:c>
    </x:row>
    <x:row r="1430" ht="30" customHeight="1">
      <x:c r="A1430" s="117" t="str">
        <x:v>300Ro00000H90tSIAR</x:v>
      </x:c>
      <x:c r="B1430" s="117" t="str">
        <x:v>Screen_Flow_Update_Classification_From_SA</x:v>
      </x:c>
      <x:c r="C1430" s="117" t="str">
        <x:v>Yes</x:v>
      </x:c>
      <x:c r="D1430" s="119" t="str">
        <x:v>Active v1 (Retrieved XML)</x:v>
      </x:c>
      <x:c r="E1430" s="117" t="str">
        <x:v>WorkOrder</x:v>
      </x:c>
      <x:c r="F1430" s="119" t="str">
        <x:v>Read, Reference, Update</x:v>
      </x:c>
      <x:c r="G1430" s="117" t="str">
        <x:v>No</x:v>
      </x:c>
      <x:c r="H1430" s="117" t="str">
        <x:v>Flow</x:v>
      </x:c>
    </x:row>
    <x:row r="1431" ht="30" customHeight="1">
      <x:c r="A1431" s="117" t="str">
        <x:v>300Ro00000U7G8UIAV</x:v>
      </x:c>
      <x:c r="B1431" s="117" t="str">
        <x:v>Screen_Work_Order_Asset_Contract_Line_Update</x:v>
      </x:c>
      <x:c r="C1431" s="117" t="str">
        <x:v>Yes</x:v>
      </x:c>
      <x:c r="D1431" s="119" t="str">
        <x:v>Active v1 (Tooling metadata)</x:v>
      </x:c>
      <x:c r="E1431" s="117" t="str">
        <x:v>WorkOrder</x:v>
      </x:c>
      <x:c r="F1431" s="119" t="str">
        <x:v>Read, Reference, Update, Variable</x:v>
      </x:c>
      <x:c r="G1431" s="117" t="str">
        <x:v>No</x:v>
      </x:c>
      <x:c r="H1431" s="117" t="str">
        <x:v>Flow</x:v>
      </x:c>
    </x:row>
    <x:row r="1432" ht="30" customHeight="1">
      <x:c r="A1432" s="117" t="str">
        <x:v>300Ro00000UfjBLIAZ</x:v>
      </x:c>
      <x:c r="B1432" s="117" t="str">
        <x:v>Screen_Work_Order_Create_Tentative_SAs</x:v>
      </x:c>
      <x:c r="C1432" s="117" t="str">
        <x:v>Yes</x:v>
      </x:c>
      <x:c r="D1432" s="119" t="str">
        <x:v>Active v1 (Retrieved XML)</x:v>
      </x:c>
      <x:c r="E1432" s="117" t="str">
        <x:v>WorkOrder</x:v>
      </x:c>
      <x:c r="F1432" s="119" t="str">
        <x:v>Read, Reference</x:v>
      </x:c>
      <x:c r="G1432" s="117" t="str">
        <x:v>No</x:v>
      </x:c>
      <x:c r="H1432" s="117" t="str">
        <x:v>Flow</x:v>
      </x:c>
    </x:row>
    <x:row r="1433" ht="30" customHeight="1">
      <x:c r="A1433" s="117" t="str">
        <x:v>3005b000000H3XNAA0</x:v>
      </x:c>
      <x:c r="B1433" s="117" t="str">
        <x:v>Send_Email_Work_Order_PDF</x:v>
      </x:c>
      <x:c r="C1433" s="117" t="str">
        <x:v>Yes</x:v>
      </x:c>
      <x:c r="D1433" s="119" t="str">
        <x:v>Active v6 (Retrieved XML)</x:v>
      </x:c>
      <x:c r="E1433" s="117" t="str">
        <x:v>WorkOrder</x:v>
      </x:c>
      <x:c r="F1433" s="119" t="str">
        <x:v>Reference, Trigger, Update</x:v>
      </x:c>
      <x:c r="G1433" s="117" t="str">
        <x:v>Yes</x:v>
      </x:c>
      <x:c r="H1433" s="117" t="str">
        <x:v>AutoLaunchedFlow</x:v>
      </x:c>
    </x:row>
    <x:row r="1434" ht="30" customHeight="1">
      <x:c r="A1434" s="117" t="str">
        <x:v>300Ro00000kCmCvIAK</x:v>
      </x:c>
      <x:c r="B1434" s="117" t="str">
        <x:v>Service_Appointment_Automations</x:v>
      </x:c>
      <x:c r="C1434" s="117" t="str">
        <x:v>Yes</x:v>
      </x:c>
      <x:c r="D1434" s="119" t="str">
        <x:v>Active v5 (Retrieved XML)</x:v>
      </x:c>
      <x:c r="E1434" s="117" t="str">
        <x:v>WorkOrder</x:v>
      </x:c>
      <x:c r="F1434" s="119" t="str">
        <x:v>Reference, Update</x:v>
      </x:c>
      <x:c r="G1434" s="117" t="str">
        <x:v>No</x:v>
      </x:c>
      <x:c r="H1434" s="117" t="str">
        <x:v>AutoLaunchedFlow</x:v>
      </x:c>
    </x:row>
    <x:row r="1435" ht="30" customHeight="1">
      <x:c r="A1435" s="117" t="str">
        <x:v>300Ro000014GODFIA4</x:v>
      </x:c>
      <x:c r="B1435" s="117" t="str">
        <x:v>Service_Appointment_Creation_and_Update_Set_Contract_Line_Item</x:v>
      </x:c>
      <x:c r="C1435" s="117" t="str">
        <x:v>Yes</x:v>
      </x:c>
      <x:c r="D1435" s="119" t="str">
        <x:v>Active v3 (Retrieved XML)</x:v>
      </x:c>
      <x:c r="E1435" s="117" t="str">
        <x:v>WorkOrder</x:v>
      </x:c>
      <x:c r="F1435" s="119" t="str">
        <x:v>Read, Reference</x:v>
      </x:c>
      <x:c r="G1435" s="117" t="str">
        <x:v>No</x:v>
      </x:c>
      <x:c r="H1435" s="117" t="str">
        <x:v>AutoLaunchedFlow</x:v>
      </x:c>
    </x:row>
    <x:row r="1436" ht="30" customHeight="1">
      <x:c r="A1436" s="117" t="str">
        <x:v>300Ro00000unJZAIA2</x:v>
      </x:c>
      <x:c r="B1436" s="117" t="str">
        <x:v>Service_Appointment_Creation_or_Update_Work_Order_Service_Appointments_Counts</x:v>
      </x:c>
      <x:c r="C1436" s="117" t="str">
        <x:v>Yes</x:v>
      </x:c>
      <x:c r="D1436" s="119" t="str">
        <x:v>Active v1 (Retrieved XML)</x:v>
      </x:c>
      <x:c r="E1436" s="117" t="str">
        <x:v>WorkOrder</x:v>
      </x:c>
      <x:c r="F1436" s="119" t="str">
        <x:v>Read, Reference, Update</x:v>
      </x:c>
      <x:c r="G1436" s="117" t="str">
        <x:v>No</x:v>
      </x:c>
      <x:c r="H1436" s="117" t="str">
        <x:v>AutoLaunchedFlow</x:v>
      </x:c>
    </x:row>
    <x:row r="1437" ht="30" customHeight="1">
      <x:c r="A1437" s="117" t="str">
        <x:v>300Ro00000UfjBKIAZ</x:v>
      </x:c>
      <x:c r="B1437" s="117" t="str">
        <x:v>Service_Appointment_Delete_Unneeded_Time_Blocks</x:v>
      </x:c>
      <x:c r="C1437" s="117" t="str">
        <x:v>Yes</x:v>
      </x:c>
      <x:c r="D1437" s="119" t="str">
        <x:v>Active v1 (Retrieved XML)</x:v>
      </x:c>
      <x:c r="E1437" s="117" t="str">
        <x:v>WorkOrder</x:v>
      </x:c>
      <x:c r="F1437" s="119" t="str">
        <x:v>Read, Reference</x:v>
      </x:c>
      <x:c r="G1437" s="117" t="str">
        <x:v>No</x:v>
      </x:c>
      <x:c r="H1437" s="117" t="str">
        <x:v>AutoLaunchedFlow</x:v>
      </x:c>
    </x:row>
    <x:row r="1438" ht="30" customHeight="1">
      <x:c r="A1438" s="117" t="str">
        <x:v>300Ro00000cnT4jIAE</x:v>
      </x:c>
      <x:c r="B1438" s="117" t="str">
        <x:v>Service_Appointment_On_Shipment_Change_Lines_to_Enroute</x:v>
      </x:c>
      <x:c r="C1438" s="117" t="str">
        <x:v>Yes</x:v>
      </x:c>
      <x:c r="D1438" s="119" t="str">
        <x:v>Active v2 (Retrieved XML)</x:v>
      </x:c>
      <x:c r="E1438" s="117" t="str">
        <x:v>WorkOrder</x:v>
      </x:c>
      <x:c r="F1438" s="119" t="str">
        <x:v>Reference, Update</x:v>
      </x:c>
      <x:c r="G1438" s="117" t="str">
        <x:v>No</x:v>
      </x:c>
      <x:c r="H1438" s="117" t="str">
        <x:v>AutoLaunchedFlow</x:v>
      </x:c>
    </x:row>
    <x:row r="1439" ht="30" customHeight="1">
      <x:c r="A1439" s="117" t="str">
        <x:v>300Ro00000SgtMcIAJ</x:v>
      </x:c>
      <x:c r="B1439" s="117" t="str">
        <x:v>Service_Appointment_Status_Set_to_Canceled</x:v>
      </x:c>
      <x:c r="C1439" s="117" t="str">
        <x:v>Yes</x:v>
      </x:c>
      <x:c r="D1439" s="119" t="str">
        <x:v>Active v1 (Tooling metadata)</x:v>
      </x:c>
      <x:c r="E1439" s="117" t="str">
        <x:v>WorkOrder</x:v>
      </x:c>
      <x:c r="F1439" s="119" t="str">
        <x:v>Read, Reference</x:v>
      </x:c>
      <x:c r="G1439" s="117" t="str">
        <x:v>No</x:v>
      </x:c>
      <x:c r="H1439" s="117" t="str">
        <x:v>AutoLaunchedFlow</x:v>
      </x:c>
    </x:row>
    <x:row r="1440" ht="30" customHeight="1">
      <x:c r="A1440" s="117" t="str">
        <x:v>300Ro00000SgtMdIAJ</x:v>
      </x:c>
      <x:c r="B1440" s="117" t="str">
        <x:v>Service_Appointment_Trigger_If_SA_updated_update_event</x:v>
      </x:c>
      <x:c r="C1440" s="117" t="str">
        <x:v>Yes</x:v>
      </x:c>
      <x:c r="D1440" s="119" t="str">
        <x:v>Active v1 (Tooling metadata)</x:v>
      </x:c>
      <x:c r="E1440" s="117" t="str">
        <x:v>WorkOrder</x:v>
      </x:c>
      <x:c r="F1440" s="119" t="str">
        <x:v>Read, Reference</x:v>
      </x:c>
      <x:c r="G1440" s="117" t="str">
        <x:v>No</x:v>
      </x:c>
      <x:c r="H1440" s="117" t="str">
        <x:v>AutoLaunchedFlow</x:v>
      </x:c>
    </x:row>
    <x:row r="1441" ht="30" customHeight="1">
      <x:c r="A1441" s="117" t="str">
        <x:v>300Ro00000ra4TLIAY</x:v>
      </x:c>
      <x:c r="B1441" s="117" t="str">
        <x:v>Service_Contract_Calculate_Last_Quarter_Uptime</x:v>
      </x:c>
      <x:c r="C1441" s="117" t="str">
        <x:v>Yes</x:v>
      </x:c>
      <x:c r="D1441" s="119" t="str">
        <x:v>Active v2 (Retrieved XML)</x:v>
      </x:c>
      <x:c r="E1441" s="117" t="str">
        <x:v>WorkOrder</x:v>
      </x:c>
      <x:c r="F1441" s="119" t="str">
        <x:v>Read, Reference</x:v>
      </x:c>
      <x:c r="G1441" s="117" t="str">
        <x:v>No</x:v>
      </x:c>
      <x:c r="H1441" s="117" t="str">
        <x:v>Flow</x:v>
      </x:c>
    </x:row>
    <x:row r="1442" ht="30" customHeight="1">
      <x:c r="A1442" s="117" t="str">
        <x:v>300Ro00000v4CHtIAM</x:v>
      </x:c>
      <x:c r="B1442" s="117" t="str">
        <x:v>Service_Contract_Confirm_Downtimes</x:v>
      </x:c>
      <x:c r="C1442" s="117" t="str">
        <x:v>Yes</x:v>
      </x:c>
      <x:c r="D1442" s="119" t="str">
        <x:v>Active v2 (Retrieved XML)</x:v>
      </x:c>
      <x:c r="E1442" s="117" t="str">
        <x:v>WorkOrder</x:v>
      </x:c>
      <x:c r="F1442" s="119" t="str">
        <x:v>Read, Reference, Variable</x:v>
      </x:c>
      <x:c r="G1442" s="117" t="str">
        <x:v>No</x:v>
      </x:c>
      <x:c r="H1442" s="117" t="str">
        <x:v>Flow</x:v>
      </x:c>
    </x:row>
    <x:row r="1443" ht="30" customHeight="1">
      <x:c r="A1443" s="117" t="str">
        <x:v>300Ro00000wE1KhIAK</x:v>
      </x:c>
      <x:c r="B1443" s="117" t="str">
        <x:v>Service_Contract_Create_Contract_Line_Item_Screen_Flow</x:v>
      </x:c>
      <x:c r="C1443" s="117" t="str">
        <x:v>Yes</x:v>
      </x:c>
      <x:c r="D1443" s="119" t="str">
        <x:v>Active v4 (Retrieved XML)</x:v>
      </x:c>
      <x:c r="E1443" s="117" t="str">
        <x:v>WorkOrder</x:v>
      </x:c>
      <x:c r="F1443" s="119" t="str">
        <x:v>Variable</x:v>
      </x:c>
      <x:c r="G1443" s="117" t="str">
        <x:v>No</x:v>
      </x:c>
      <x:c r="H1443" s="117" t="str">
        <x:v>Flow</x:v>
      </x:c>
    </x:row>
    <x:row r="1444" ht="30" customHeight="1">
      <x:c r="A1444" s="117" t="str">
        <x:v>300Ro00000wDQ8DIAW</x:v>
      </x:c>
      <x:c r="B1444" s="117" t="str">
        <x:v>Service_Contract_Create_Contract_Line_Items_Screen_Flow</x:v>
      </x:c>
      <x:c r="C1444" s="117" t="str">
        <x:v>No</x:v>
      </x:c>
      <x:c r="D1444" s="119" t="str">
        <x:v>Latest inactive v1 (Retrieved XML)</x:v>
      </x:c>
      <x:c r="E1444" s="117" t="str">
        <x:v>WorkOrder</x:v>
      </x:c>
      <x:c r="F1444" s="119" t="str">
        <x:v>Variable</x:v>
      </x:c>
      <x:c r="G1444" s="117" t="str">
        <x:v>No</x:v>
      </x:c>
      <x:c r="H1444" s="117" t="str">
        <x:v>Flow</x:v>
      </x:c>
    </x:row>
    <x:row r="1445" ht="30" customHeight="1">
      <x:c r="A1445" s="117" t="str">
        <x:v>300Ro00000Zp8kCIAR</x:v>
      </x:c>
      <x:c r="B1445" s="117" t="str">
        <x:v>Service_Contract_Renewal</x:v>
      </x:c>
      <x:c r="C1445" s="117" t="str">
        <x:v>Yes</x:v>
      </x:c>
      <x:c r="D1445" s="119" t="str">
        <x:v>Active v18 (Retrieved XML)</x:v>
      </x:c>
      <x:c r="E1445" s="117" t="str">
        <x:v>WorkOrder</x:v>
      </x:c>
      <x:c r="F1445" s="119" t="str">
        <x:v>Variable</x:v>
      </x:c>
      <x:c r="G1445" s="117" t="str">
        <x:v>No</x:v>
      </x:c>
      <x:c r="H1445" s="117" t="str">
        <x:v>Flow</x:v>
      </x:c>
    </x:row>
    <x:row r="1446" ht="30" customHeight="1">
      <x:c r="A1446" s="117" t="str">
        <x:v>300Ro00000nsEpqIAE</x:v>
      </x:c>
      <x:c r="B1446" s="117" t="str">
        <x:v>Service_Contract_Renewal_US1</x:v>
      </x:c>
      <x:c r="C1446" s="117" t="str">
        <x:v>Yes</x:v>
      </x:c>
      <x:c r="D1446" s="119" t="str">
        <x:v>Active v11 (Retrieved XML)</x:v>
      </x:c>
      <x:c r="E1446" s="117" t="str">
        <x:v>WorkOrder</x:v>
      </x:c>
      <x:c r="F1446" s="119" t="str">
        <x:v>Variable</x:v>
      </x:c>
      <x:c r="G1446" s="117" t="str">
        <x:v>No</x:v>
      </x:c>
      <x:c r="H1446" s="117" t="str">
        <x:v>Flow</x:v>
      </x:c>
    </x:row>
    <x:row r="1447" ht="30" customHeight="1">
      <x:c r="A1447" s="117" t="str">
        <x:v>3005b000000H3qKAAS</x:v>
      </x:c>
      <x:c r="B1447" s="117" t="str">
        <x:v>Sourcing_Request_from_Work_Order</x:v>
      </x:c>
      <x:c r="C1447" s="117" t="str">
        <x:v>Yes</x:v>
      </x:c>
      <x:c r="D1447" s="119" t="str">
        <x:v>Active v14 (Retrieved XML)</x:v>
      </x:c>
      <x:c r="E1447" s="117" t="str">
        <x:v>WorkOrder</x:v>
      </x:c>
      <x:c r="F1447" s="119" t="str">
        <x:v>Read, Reference</x:v>
      </x:c>
      <x:c r="G1447" s="117" t="str">
        <x:v>No</x:v>
      </x:c>
      <x:c r="H1447" s="117" t="str">
        <x:v>Flow</x:v>
      </x:c>
    </x:row>
    <x:row r="1448" ht="30" customHeight="1">
      <x:c r="A1448" s="117" t="str">
        <x:v>300Ro00000S8u9nIAB</x:v>
      </x:c>
      <x:c r="B1448" s="117" t="str">
        <x:v>Sourcing_Request_Notification_Flow_for_Sales_Ops</x:v>
      </x:c>
      <x:c r="C1448" s="117" t="str">
        <x:v>Yes</x:v>
      </x:c>
      <x:c r="D1448" s="119" t="str">
        <x:v>Active v5 (Retrieved XML)</x:v>
      </x:c>
      <x:c r="E1448" s="117" t="str">
        <x:v>WorkOrder</x:v>
      </x:c>
      <x:c r="F1448" s="119" t="str">
        <x:v>Read, Reference</x:v>
      </x:c>
      <x:c r="G1448" s="117" t="str">
        <x:v>No</x:v>
      </x:c>
      <x:c r="H1448" s="117" t="str">
        <x:v>AutoLaunchedFlow</x:v>
      </x:c>
    </x:row>
    <x:row r="1449" ht="30" customHeight="1">
      <x:c r="A1449" s="117" t="str">
        <x:v>300Ro00000Pz0ksIAB</x:v>
      </x:c>
      <x:c r="B1449" s="117" t="str">
        <x:v>Static_Fluoro</x:v>
      </x:c>
      <x:c r="C1449" s="117" t="str">
        <x:v>Yes</x:v>
      </x:c>
      <x:c r="D1449" s="119" t="str">
        <x:v>Active v7 (Retrieved XML)</x:v>
      </x:c>
      <x:c r="E1449" s="117" t="str">
        <x:v>WorkOrder</x:v>
      </x:c>
      <x:c r="F1449" s="119" t="str">
        <x:v>Variable</x:v>
      </x:c>
      <x:c r="G1449" s="117" t="str">
        <x:v>No</x:v>
      </x:c>
      <x:c r="H1449" s="117" t="str">
        <x:v>FieldServiceMobile</x:v>
      </x:c>
    </x:row>
    <x:row r="1450" ht="30" customHeight="1">
      <x:c r="A1450" s="117" t="str">
        <x:v>300Ro00000Pz0ktIAB</x:v>
      </x:c>
      <x:c r="B1450" s="117" t="str">
        <x:v>Static_X_Ray_CR_Checklist</x:v>
      </x:c>
      <x:c r="C1450" s="117" t="str">
        <x:v>Yes</x:v>
      </x:c>
      <x:c r="D1450" s="119" t="str">
        <x:v>Active v17 (Retrieved XML)</x:v>
      </x:c>
      <x:c r="E1450" s="117" t="str">
        <x:v>WorkOrder</x:v>
      </x:c>
      <x:c r="F1450" s="119" t="str">
        <x:v>Variable</x:v>
      </x:c>
      <x:c r="G1450" s="117" t="str">
        <x:v>No</x:v>
      </x:c>
      <x:c r="H1450" s="117" t="str">
        <x:v>FieldServiceMobile</x:v>
      </x:c>
    </x:row>
    <x:row r="1451" ht="30" customHeight="1">
      <x:c r="A1451" s="117" t="str">
        <x:v>300Ro00000Pz0kuIAB</x:v>
      </x:c>
      <x:c r="B1451" s="117" t="str">
        <x:v>Statix_X_Ray_DDR_Checklist</x:v>
      </x:c>
      <x:c r="C1451" s="117" t="str">
        <x:v>Yes</x:v>
      </x:c>
      <x:c r="D1451" s="119" t="str">
        <x:v>Active v9 (Retrieved XML)</x:v>
      </x:c>
      <x:c r="E1451" s="117" t="str">
        <x:v>WorkOrder</x:v>
      </x:c>
      <x:c r="F1451" s="119" t="str">
        <x:v>Variable</x:v>
      </x:c>
      <x:c r="G1451" s="117" t="str">
        <x:v>No</x:v>
      </x:c>
      <x:c r="H1451" s="117" t="str">
        <x:v>FieldServiceMobile</x:v>
      </x:c>
    </x:row>
    <x:row r="1452" ht="30" customHeight="1">
      <x:c r="A1452" s="117" t="str">
        <x:v>300Ro00000Pz0kvIAB</x:v>
      </x:c>
      <x:c r="B1452" s="117" t="str">
        <x:v>Travel_Start_Date_Time</x:v>
      </x:c>
      <x:c r="C1452" s="117" t="str">
        <x:v>Yes</x:v>
      </x:c>
      <x:c r="D1452" s="119" t="str">
        <x:v>Active v2 (Retrieved XML)</x:v>
      </x:c>
      <x:c r="E1452" s="117" t="str">
        <x:v>WorkOrder</x:v>
      </x:c>
      <x:c r="F1452" s="119" t="str">
        <x:v>Reference, Update</x:v>
      </x:c>
      <x:c r="G1452" s="117" t="str">
        <x:v>No</x:v>
      </x:c>
      <x:c r="H1452" s="117" t="str">
        <x:v>FieldServiceMobile</x:v>
      </x:c>
    </x:row>
    <x:row r="1453" ht="30" customHeight="1">
      <x:c r="A1453" s="117" t="str">
        <x:v>3005b000000LGu8AAG</x:v>
      </x:c>
      <x:c r="B1453" s="117" t="str">
        <x:v>UK_Customer_Repair_Received</x:v>
      </x:c>
      <x:c r="C1453" s="117" t="str">
        <x:v>Yes</x:v>
      </x:c>
      <x:c r="D1453" s="119" t="str">
        <x:v>Active v11 (Retrieved XML)</x:v>
      </x:c>
      <x:c r="E1453" s="117" t="str">
        <x:v>WorkOrder</x:v>
      </x:c>
      <x:c r="F1453" s="119" t="str">
        <x:v>Read, Reference</x:v>
      </x:c>
      <x:c r="G1453" s="117" t="str">
        <x:v>No</x:v>
      </x:c>
      <x:c r="H1453" s="117" t="str">
        <x:v>AutoLaunchedFlow</x:v>
      </x:c>
    </x:row>
    <x:row r="1454" ht="30" customHeight="1">
      <x:c r="A1454" s="117" t="str">
        <x:v>3005b000000Pz7BAAS</x:v>
      </x:c>
      <x:c r="B1454" s="117" t="str">
        <x:v>UK_Update_Shipping_Address</x:v>
      </x:c>
      <x:c r="C1454" s="117" t="str">
        <x:v>Yes</x:v>
      </x:c>
      <x:c r="D1454" s="119" t="str">
        <x:v>Active v14 (Retrieved XML)</x:v>
      </x:c>
      <x:c r="E1454" s="117" t="str">
        <x:v>WorkOrder</x:v>
      </x:c>
      <x:c r="F1454" s="119" t="str">
        <x:v>Read, Reference, Update</x:v>
      </x:c>
      <x:c r="G1454" s="117" t="str">
        <x:v>No</x:v>
      </x:c>
      <x:c r="H1454" s="117" t="str">
        <x:v>Flow</x:v>
      </x:c>
    </x:row>
    <x:row r="1455" ht="30" customHeight="1">
      <x:c r="A1455" s="117" t="str">
        <x:v>3005b000000Pz7GAAS</x:v>
      </x:c>
      <x:c r="B1455" s="117" t="str">
        <x:v>UK_Update_Shipping_Address_v2</x:v>
      </x:c>
      <x:c r="C1455" s="117" t="str">
        <x:v>No</x:v>
      </x:c>
      <x:c r="D1455" s="119" t="str">
        <x:v>Latest inactive v1 (Retrieved XML)</x:v>
      </x:c>
      <x:c r="E1455" s="117" t="str">
        <x:v>WorkOrder</x:v>
      </x:c>
      <x:c r="F1455" s="119" t="str">
        <x:v>Read, Reference, Update</x:v>
      </x:c>
      <x:c r="G1455" s="117" t="str">
        <x:v>No</x:v>
      </x:c>
      <x:c r="H1455" s="117" t="str">
        <x:v>Flow</x:v>
      </x:c>
    </x:row>
    <x:row r="1456" ht="30" customHeight="1">
      <x:c r="A1456" s="117" t="str">
        <x:v>300Ro00000Pz0kwIAB</x:v>
      </x:c>
      <x:c r="B1456" s="117" t="str">
        <x:v>Ultrasound_Checklist</x:v>
      </x:c>
      <x:c r="C1456" s="117" t="str">
        <x:v>Yes</x:v>
      </x:c>
      <x:c r="D1456" s="119" t="str">
        <x:v>Active v32 (Retrieved XML)</x:v>
      </x:c>
      <x:c r="E1456" s="117" t="str">
        <x:v>WorkOrder</x:v>
      </x:c>
      <x:c r="F1456" s="119" t="str">
        <x:v>Variable</x:v>
      </x:c>
      <x:c r="G1456" s="117" t="str">
        <x:v>No</x:v>
      </x:c>
      <x:c r="H1456" s="117" t="str">
        <x:v>FieldServiceMobile</x:v>
      </x:c>
    </x:row>
    <x:row r="1457" ht="30" customHeight="1">
      <x:c r="A1457" s="117" t="str">
        <x:v>300Ro00000Pz0kxIAB</x:v>
      </x:c>
      <x:c r="B1457" s="117" t="str">
        <x:v>Update_Arrival_Time</x:v>
      </x:c>
      <x:c r="C1457" s="117" t="str">
        <x:v>Yes</x:v>
      </x:c>
      <x:c r="D1457" s="119" t="str">
        <x:v>Active v2 (Retrieved XML)</x:v>
      </x:c>
      <x:c r="E1457" s="117" t="str">
        <x:v>WorkOrder</x:v>
      </x:c>
      <x:c r="F1457" s="119" t="str">
        <x:v>Reference, Update</x:v>
      </x:c>
      <x:c r="G1457" s="117" t="str">
        <x:v>No</x:v>
      </x:c>
      <x:c r="H1457" s="117" t="str">
        <x:v>FieldServiceMobile</x:v>
      </x:c>
    </x:row>
    <x:row r="1458" ht="30" customHeight="1">
      <x:c r="A1458" s="117" t="str">
        <x:v>300Ro00000Pz0kzIAB</x:v>
      </x:c>
      <x:c r="B1458" s="117" t="str">
        <x:v>Update_comments</x:v>
      </x:c>
      <x:c r="C1458" s="117" t="str">
        <x:v>Yes</x:v>
      </x:c>
      <x:c r="D1458" s="119" t="str">
        <x:v>Active v192 (Tooling metadata)</x:v>
      </x:c>
      <x:c r="E1458" s="117" t="str">
        <x:v>WorkOrder</x:v>
      </x:c>
      <x:c r="F1458" s="119" t="str">
        <x:v>Read, Reference, Update, Variable</x:v>
      </x:c>
      <x:c r="G1458" s="117" t="str">
        <x:v>No</x:v>
      </x:c>
      <x:c r="H1458" s="117" t="str">
        <x:v>FieldServiceMobile</x:v>
      </x:c>
    </x:row>
    <x:row r="1459" ht="30" customHeight="1">
      <x:c r="A1459" s="117" t="str">
        <x:v>300Ro000005ZArIIAW</x:v>
      </x:c>
      <x:c r="B1459" s="117" t="str">
        <x:v>Update_Initial_Tech_Support_with_Tech_Completed_Date</x:v>
      </x:c>
      <x:c r="C1459" s="117" t="str">
        <x:v>Yes</x:v>
      </x:c>
      <x:c r="D1459" s="119" t="str">
        <x:v>Active v1 (Retrieved XML)</x:v>
      </x:c>
      <x:c r="E1459" s="117" t="str">
        <x:v>WorkOrder</x:v>
      </x:c>
      <x:c r="F1459" s="119" t="str">
        <x:v>Reference, Trigger</x:v>
      </x:c>
      <x:c r="G1459" s="117" t="str">
        <x:v>Yes</x:v>
      </x:c>
      <x:c r="H1459" s="117" t="str">
        <x:v>AutoLaunchedFlow</x:v>
      </x:c>
    </x:row>
    <x:row r="1460" ht="30" customHeight="1">
      <x:c r="A1460" s="117" t="str">
        <x:v>300Ro00000mqjYXIAY</x:v>
      </x:c>
      <x:c r="B1460" s="117" t="str">
        <x:v>Update_Need_Quote_Lines_to_Part_Quoted</x:v>
      </x:c>
      <x:c r="C1460" s="117" t="str">
        <x:v>Yes</x:v>
      </x:c>
      <x:c r="D1460" s="119" t="str">
        <x:v>Active v21 (Retrieved XML)</x:v>
      </x:c>
      <x:c r="E1460" s="117" t="str">
        <x:v>WorkOrder</x:v>
      </x:c>
      <x:c r="F1460" s="119" t="str">
        <x:v>Reference, Trigger</x:v>
      </x:c>
      <x:c r="G1460" s="117" t="str">
        <x:v>Yes</x:v>
      </x:c>
      <x:c r="H1460" s="117" t="str">
        <x:v>AutoLaunchedFlow</x:v>
      </x:c>
    </x:row>
    <x:row r="1461" ht="30" customHeight="1">
      <x:c r="A1461" s="117" t="str">
        <x:v>300Ro00000Pz0kyIAB</x:v>
      </x:c>
      <x:c r="B1461" s="117" t="str">
        <x:v>Update_Service_Appointment_Location</x:v>
      </x:c>
      <x:c r="C1461" s="117" t="str">
        <x:v>No</x:v>
      </x:c>
      <x:c r="D1461" s="119" t="str">
        <x:v>Latest inactive v1 (Retrieved XML)</x:v>
      </x:c>
      <x:c r="E1461" s="117" t="str">
        <x:v>WorkOrder</x:v>
      </x:c>
      <x:c r="F1461" s="119" t="str">
        <x:v>Read, Reference</x:v>
      </x:c>
      <x:c r="G1461" s="117" t="str">
        <x:v>No</x:v>
      </x:c>
      <x:c r="H1461" s="117" t="str">
        <x:v>AutoLaunchedFlow</x:v>
      </x:c>
    </x:row>
    <x:row r="1462" ht="30" customHeight="1">
      <x:c r="A1462" s="117" t="str">
        <x:v>3005b000000PzI9AAK</x:v>
      </x:c>
      <x:c r="B1462" s="117" t="str">
        <x:v>Update_Technician_Ship_Location_on_Work_Order_Creation</x:v>
      </x:c>
      <x:c r="C1462" s="117" t="str">
        <x:v>Yes</x:v>
      </x:c>
      <x:c r="D1462" s="119" t="str">
        <x:v>Active v4 (Retrieved XML)</x:v>
      </x:c>
      <x:c r="E1462" s="117" t="str">
        <x:v>WorkOrder</x:v>
      </x:c>
      <x:c r="F1462" s="119" t="str">
        <x:v>Reference, Trigger, Update</x:v>
      </x:c>
      <x:c r="G1462" s="117" t="str">
        <x:v>Yes</x:v>
      </x:c>
      <x:c r="H1462" s="117" t="str">
        <x:v>AutoLaunchedFlow</x:v>
      </x:c>
    </x:row>
    <x:row r="1463" ht="30" customHeight="1">
      <x:c r="A1463" s="117" t="str">
        <x:v>300Ro00000tiIHhIAM</x:v>
      </x:c>
      <x:c r="B1463" s="117" t="str">
        <x:v>US_FSL_Ask_to_Re_Generate_FSR</x:v>
      </x:c>
      <x:c r="C1463" s="117" t="str">
        <x:v>Yes</x:v>
      </x:c>
      <x:c r="D1463" s="119" t="str">
        <x:v>Active v2 (Retrieved XML)</x:v>
      </x:c>
      <x:c r="E1463" s="117" t="str">
        <x:v>WorkOrder</x:v>
      </x:c>
      <x:c r="F1463" s="119" t="str">
        <x:v>Reference, Trigger</x:v>
      </x:c>
      <x:c r="G1463" s="117" t="str">
        <x:v>Yes</x:v>
      </x:c>
      <x:c r="H1463" s="117" t="str">
        <x:v>AutoLaunchedFlow</x:v>
      </x:c>
    </x:row>
    <x:row r="1464" ht="30" customHeight="1">
      <x:c r="A1464" s="117" t="str">
        <x:v>300Ro00000wO7esIAC</x:v>
      </x:c>
      <x:c r="B1464" s="117" t="str">
        <x:v>US_FSL_On_Creation_of_Service_Appointment_set_Shipping_Address</x:v>
      </x:c>
      <x:c r="C1464" s="117" t="str">
        <x:v>Yes</x:v>
      </x:c>
      <x:c r="D1464" s="119" t="str">
        <x:v>Active v8 (Retrieved XML)</x:v>
      </x:c>
      <x:c r="E1464" s="117" t="str">
        <x:v>WorkOrder</x:v>
      </x:c>
      <x:c r="F1464" s="119" t="str">
        <x:v>Read, Reference</x:v>
      </x:c>
      <x:c r="G1464" s="117" t="str">
        <x:v>No</x:v>
      </x:c>
      <x:c r="H1464" s="117" t="str">
        <x:v>AutoLaunchedFlow</x:v>
      </x:c>
    </x:row>
    <x:row r="1465" ht="30" customHeight="1">
      <x:c r="A1465" s="117" t="str">
        <x:v>300Ro00000ygilRIAQ</x:v>
      </x:c>
      <x:c r="B1465" s="117" t="str">
        <x:v>US_FSL_On_Picked_Up_by_Operations_Notify_Engineer</x:v>
      </x:c>
      <x:c r="C1465" s="117" t="str">
        <x:v>Yes</x:v>
      </x:c>
      <x:c r="D1465" s="119" t="str">
        <x:v>Active v1 (Retrieved XML)</x:v>
      </x:c>
      <x:c r="E1465" s="117" t="str">
        <x:v>WorkOrder</x:v>
      </x:c>
      <x:c r="F1465" s="119" t="str">
        <x:v>Reference, Trigger</x:v>
      </x:c>
      <x:c r="G1465" s="117" t="str">
        <x:v>Yes</x:v>
      </x:c>
      <x:c r="H1465" s="117" t="str">
        <x:v>AutoLaunchedFlow</x:v>
      </x:c>
    </x:row>
    <x:row r="1466" ht="30" customHeight="1">
      <x:c r="A1466" s="117" t="str">
        <x:v>300Ro00000wtiDZIAY</x:v>
      </x:c>
      <x:c r="B1466" s="117" t="str">
        <x:v>US_FSL_On_submitting_of_shipping_update_the_work_order_to_pending_shipment</x:v>
      </x:c>
      <x:c r="C1466" s="117" t="str">
        <x:v>Yes</x:v>
      </x:c>
      <x:c r="D1466" s="119" t="str">
        <x:v>Active v3 (Retrieved XML)</x:v>
      </x:c>
      <x:c r="E1466" s="117" t="str">
        <x:v>WorkOrder</x:v>
      </x:c>
      <x:c r="F1466" s="119" t="str">
        <x:v>Variable</x:v>
      </x:c>
      <x:c r="G1466" s="117" t="str">
        <x:v>No</x:v>
      </x:c>
      <x:c r="H1466" s="117" t="str">
        <x:v>AutoLaunchedFlow</x:v>
      </x:c>
    </x:row>
    <x:row r="1467" ht="30" customHeight="1">
      <x:c r="A1467" s="117" t="str">
        <x:v>300Ro00000wthFqIAI</x:v>
      </x:c>
      <x:c r="B1467" s="117" t="str">
        <x:v>US_FSL_On_Tracking_Entered_for_Service_Appointment_update_the_work_order_to_Part</x:v>
      </x:c>
      <x:c r="C1467" s="117" t="str">
        <x:v>Yes</x:v>
      </x:c>
      <x:c r="D1467" s="119" t="str">
        <x:v>Active v3 (Retrieved XML)</x:v>
      </x:c>
      <x:c r="E1467" s="117" t="str">
        <x:v>WorkOrder</x:v>
      </x:c>
      <x:c r="F1467" s="119" t="str">
        <x:v>Variable</x:v>
      </x:c>
      <x:c r="G1467" s="117" t="str">
        <x:v>No</x:v>
      </x:c>
      <x:c r="H1467" s="117" t="str">
        <x:v>AutoLaunchedFlow</x:v>
      </x:c>
    </x:row>
    <x:row r="1468" ht="30" customHeight="1">
      <x:c r="A1468" s="117" t="str">
        <x:v>300Ro00000qqmCHIAY</x:v>
      </x:c>
      <x:c r="B1468" s="117" t="str">
        <x:v>US_FSL_On_WO_Field_Update_Update_Opportunity_Fields</x:v>
      </x:c>
      <x:c r="C1468" s="117" t="str">
        <x:v>Yes</x:v>
      </x:c>
      <x:c r="D1468" s="119" t="str">
        <x:v>Active v8 (Retrieved XML)</x:v>
      </x:c>
      <x:c r="E1468" s="117" t="str">
        <x:v>WorkOrder</x:v>
      </x:c>
      <x:c r="F1468" s="119" t="str">
        <x:v>Reference, Trigger, Update</x:v>
      </x:c>
      <x:c r="G1468" s="117" t="str">
        <x:v>Yes</x:v>
      </x:c>
      <x:c r="H1468" s="117" t="str">
        <x:v>AutoLaunchedFlow</x:v>
      </x:c>
    </x:row>
    <x:row r="1469" ht="30" customHeight="1">
      <x:c r="A1469" s="117" t="str">
        <x:v>300Ro00000t0qWnIAI</x:v>
      </x:c>
      <x:c r="B1469" s="117" t="str">
        <x:v>US_FSL_Picked_Up_By_Checkbox_to_denote_if_it_s_been_picked_up_by_operations</x:v>
      </x:c>
      <x:c r="C1469" s="117" t="str">
        <x:v>Yes</x:v>
      </x:c>
      <x:c r="D1469" s="119" t="str">
        <x:v>Active v1 (Retrieved XML)</x:v>
      </x:c>
      <x:c r="E1469" s="117" t="str">
        <x:v>WorkOrder</x:v>
      </x:c>
      <x:c r="F1469" s="119" t="str">
        <x:v>Reference, Trigger</x:v>
      </x:c>
      <x:c r="G1469" s="117" t="str">
        <x:v>Yes</x:v>
      </x:c>
      <x:c r="H1469" s="117" t="str">
        <x:v>AutoLaunchedFlow</x:v>
      </x:c>
    </x:row>
    <x:row r="1470" ht="30" customHeight="1">
      <x:c r="A1470" s="117" t="str">
        <x:v>300Ro00000yVe3VIAS</x:v>
      </x:c>
      <x:c r="B1470" s="117" t="str">
        <x:v>US_FSL_Site_Address_Populated_but_Not_Shipping_Address</x:v>
      </x:c>
      <x:c r="C1470" s="117" t="str">
        <x:v>Yes</x:v>
      </x:c>
      <x:c r="D1470" s="119" t="str">
        <x:v>Active v3 (Retrieved XML)</x:v>
      </x:c>
      <x:c r="E1470" s="117" t="str">
        <x:v>WorkOrder</x:v>
      </x:c>
      <x:c r="F1470" s="119" t="str">
        <x:v>Reference, Trigger, Update</x:v>
      </x:c>
      <x:c r="G1470" s="117" t="str">
        <x:v>Yes</x:v>
      </x:c>
      <x:c r="H1470" s="117" t="str">
        <x:v>AutoLaunchedFlow</x:v>
      </x:c>
    </x:row>
    <x:row r="1471" ht="30" customHeight="1">
      <x:c r="A1471" s="117" t="str">
        <x:v>300Ro00000r7jgEIAQ</x:v>
      </x:c>
      <x:c r="B1471" s="117" t="str">
        <x:v>US_FSL_Trigger_Generate_Checksheet_HTML</x:v>
      </x:c>
      <x:c r="C1471" s="117" t="str">
        <x:v>Yes</x:v>
      </x:c>
      <x:c r="D1471" s="119" t="str">
        <x:v>Active v9 (Retrieved XML)</x:v>
      </x:c>
      <x:c r="E1471" s="117" t="str">
        <x:v>WorkOrder</x:v>
      </x:c>
      <x:c r="F1471" s="119" t="str">
        <x:v>Read, Reference</x:v>
      </x:c>
      <x:c r="G1471" s="117" t="str">
        <x:v>No</x:v>
      </x:c>
      <x:c r="H1471" s="117" t="str">
        <x:v>AutoLaunchedFlow</x:v>
      </x:c>
    </x:row>
    <x:row r="1472" ht="30" customHeight="1">
      <x:c r="A1472" s="117" t="str">
        <x:v>300Ro00000uYiHvIAK</x:v>
      </x:c>
      <x:c r="B1472" s="117" t="str">
        <x:v>US_FSL_Trophon_Checklist</x:v>
      </x:c>
      <x:c r="C1472" s="117" t="str">
        <x:v>Yes</x:v>
      </x:c>
      <x:c r="D1472" s="119" t="str">
        <x:v>Active v8 (Retrieved XML)</x:v>
      </x:c>
      <x:c r="E1472" s="117" t="str">
        <x:v>WorkOrder</x:v>
      </x:c>
      <x:c r="F1472" s="119" t="str">
        <x:v>Read, Reference, Update, Variable</x:v>
      </x:c>
      <x:c r="G1472" s="117" t="str">
        <x:v>No</x:v>
      </x:c>
      <x:c r="H1472" s="117" t="str">
        <x:v>FieldServiceMobile</x:v>
      </x:c>
    </x:row>
    <x:row r="1473" ht="30" customHeight="1">
      <x:c r="A1473" s="117" t="str">
        <x:v>300Ro00000noVpCIAU</x:v>
      </x:c>
      <x:c r="B1473" s="117" t="str">
        <x:v>US_FSL_Ultrasound_Checklist</x:v>
      </x:c>
      <x:c r="C1473" s="117" t="str">
        <x:v>Yes</x:v>
      </x:c>
      <x:c r="D1473" s="119" t="str">
        <x:v>Active v78 (Retrieved XML)</x:v>
      </x:c>
      <x:c r="E1473" s="117" t="str">
        <x:v>WorkOrder</x:v>
      </x:c>
      <x:c r="F1473" s="119" t="str">
        <x:v>Read, Reference, Update, Variable</x:v>
      </x:c>
      <x:c r="G1473" s="117" t="str">
        <x:v>No</x:v>
      </x:c>
      <x:c r="H1473" s="117" t="str">
        <x:v>FieldServiceMobile</x:v>
      </x:c>
    </x:row>
    <x:row r="1474" ht="30" customHeight="1">
      <x:c r="A1474" s="117" t="str">
        <x:v>300Ro000010n4l8IAA</x:v>
      </x:c>
      <x:c r="B1474" s="117" t="str">
        <x:v>US_FSL_Update_Open_SA_Shipping_Address_when_changed_on_WO</x:v>
      </x:c>
      <x:c r="C1474" s="117" t="str">
        <x:v>Yes</x:v>
      </x:c>
      <x:c r="D1474" s="119" t="str">
        <x:v>Active v2 (Retrieved XML)</x:v>
      </x:c>
      <x:c r="E1474" s="117" t="str">
        <x:v>WorkOrder</x:v>
      </x:c>
      <x:c r="F1474" s="119" t="str">
        <x:v>Reference, Trigger</x:v>
      </x:c>
      <x:c r="G1474" s="117" t="str">
        <x:v>Yes</x:v>
      </x:c>
      <x:c r="H1474" s="117" t="str">
        <x:v>AutoLaunchedFlow</x:v>
      </x:c>
    </x:row>
    <x:row r="1475" ht="30" customHeight="1">
      <x:c r="A1475" s="117" t="str">
        <x:v>300Ro00000oer8rIAA</x:v>
      </x:c>
      <x:c r="B1475" s="117" t="str">
        <x:v>US_Workflow_Update_Labor_Travel_on_Ready_for_Close</x:v>
      </x:c>
      <x:c r="C1475" s="117" t="str">
        <x:v>No</x:v>
      </x:c>
      <x:c r="D1475" s="119" t="str">
        <x:v>Latest inactive v2 (Retrieved XML)</x:v>
      </x:c>
      <x:c r="E1475" s="117" t="str">
        <x:v>WorkOrder</x:v>
      </x:c>
      <x:c r="F1475" s="119" t="str">
        <x:v>Reference, Trigger</x:v>
      </x:c>
      <x:c r="G1475" s="117" t="str">
        <x:v>Yes</x:v>
      </x:c>
      <x:c r="H1475" s="117" t="str">
        <x:v>AutoLaunchedFlow</x:v>
      </x:c>
    </x:row>
    <x:row r="1476" ht="30" customHeight="1">
      <x:c r="A1476" s="117" t="str">
        <x:v>3005b000000PzyPAAS</x:v>
      </x:c>
      <x:c r="B1476" s="117" t="str">
        <x:v>Work_Order_Assignment_and_Alerts_Flow</x:v>
      </x:c>
      <x:c r="C1476" s="117" t="str">
        <x:v>Yes</x:v>
      </x:c>
      <x:c r="D1476" s="119" t="str">
        <x:v>Active v3 (Retrieved XML)</x:v>
      </x:c>
      <x:c r="E1476" s="117" t="str">
        <x:v>WorkOrder</x:v>
      </x:c>
      <x:c r="F1476" s="119" t="str">
        <x:v>Reference, Trigger, Update</x:v>
      </x:c>
      <x:c r="G1476" s="117" t="str">
        <x:v>Yes</x:v>
      </x:c>
      <x:c r="H1476" s="117" t="str">
        <x:v>AutoLaunchedFlow</x:v>
      </x:c>
    </x:row>
    <x:row r="1477" ht="30" customHeight="1">
      <x:c r="A1477" s="117" t="str">
        <x:v>300Ro00000xUsgyIAC</x:v>
      </x:c>
      <x:c r="B1477" s="117" t="str">
        <x:v>Work_Order_Asynchronous_on_create_Update_PM_Work_Order_Count_on_Service_Contract</x:v>
      </x:c>
      <x:c r="C1477" s="117" t="str">
        <x:v>Yes</x:v>
      </x:c>
      <x:c r="D1477" s="119" t="str">
        <x:v>Active v1 (Retrieved XML)</x:v>
      </x:c>
      <x:c r="E1477" s="117" t="str">
        <x:v>WorkOrder</x:v>
      </x:c>
      <x:c r="F1477" s="119" t="str">
        <x:v>Read, Reference, Trigger</x:v>
      </x:c>
      <x:c r="G1477" s="117" t="str">
        <x:v>Yes</x:v>
      </x:c>
      <x:c r="H1477" s="117" t="str">
        <x:v>AutoLaunchedFlow</x:v>
      </x:c>
    </x:row>
    <x:row r="1478" ht="30" customHeight="1">
      <x:c r="A1478" s="117" t="str">
        <x:v>300Ro00000xUsgzIAC</x:v>
      </x:c>
      <x:c r="B1478" s="117" t="str">
        <x:v>Work_Order_Asynchronous_on_delete_Update_PM_Work_Order_Count_on_Service_Contract</x:v>
      </x:c>
      <x:c r="C1478" s="117" t="str">
        <x:v>Yes</x:v>
      </x:c>
      <x:c r="D1478" s="119" t="str">
        <x:v>Active v1 (Retrieved XML)</x:v>
      </x:c>
      <x:c r="E1478" s="117" t="str">
        <x:v>WorkOrder</x:v>
      </x:c>
      <x:c r="F1478" s="119" t="str">
        <x:v>Read, Reference, Trigger</x:v>
      </x:c>
      <x:c r="G1478" s="117" t="str">
        <x:v>Yes</x:v>
      </x:c>
      <x:c r="H1478" s="117" t="str">
        <x:v>AutoLaunchedFlow</x:v>
      </x:c>
    </x:row>
    <x:row r="1479" ht="30" customHeight="1">
      <x:c r="A1479" s="117" t="str">
        <x:v>300Ro00000xUsh0IAC</x:v>
      </x:c>
      <x:c r="B1479" s="117" t="str">
        <x:v>Work_Order_Asynchronous_on_update_Update_PM_Work_Order_Count_on_Service_Contract</x:v>
      </x:c>
      <x:c r="C1479" s="117" t="str">
        <x:v>Yes</x:v>
      </x:c>
      <x:c r="D1479" s="119" t="str">
        <x:v>Active v1 (Retrieved XML)</x:v>
      </x:c>
      <x:c r="E1479" s="117" t="str">
        <x:v>WorkOrder</x:v>
      </x:c>
      <x:c r="F1479" s="119" t="str">
        <x:v>Read, Reference, Trigger</x:v>
      </x:c>
      <x:c r="G1479" s="117" t="str">
        <x:v>Yes</x:v>
      </x:c>
      <x:c r="H1479" s="117" t="str">
        <x:v>AutoLaunchedFlow</x:v>
      </x:c>
    </x:row>
    <x:row r="1480" ht="30" customHeight="1">
      <x:c r="A1480" s="117" t="str">
        <x:v>300Ro00000fvdcyIAA</x:v>
      </x:c>
      <x:c r="B1480" s="117" t="str">
        <x:v>Work_Order_Automations</x:v>
      </x:c>
      <x:c r="C1480" s="117" t="str">
        <x:v>Yes</x:v>
      </x:c>
      <x:c r="D1480" s="119" t="str">
        <x:v>Active v2 (Retrieved XML)</x:v>
      </x:c>
      <x:c r="E1480" s="117" t="str">
        <x:v>WorkOrder</x:v>
      </x:c>
      <x:c r="F1480" s="119" t="str">
        <x:v>Reference, Trigger</x:v>
      </x:c>
      <x:c r="G1480" s="117" t="str">
        <x:v>Yes</x:v>
      </x:c>
      <x:c r="H1480" s="117" t="str">
        <x:v>AutoLaunchedFlow</x:v>
      </x:c>
    </x:row>
    <x:row r="1481" ht="30" customHeight="1">
      <x:c r="A1481" s="117" t="str">
        <x:v>300Ro00000q8PphIAE</x:v>
      </x:c>
      <x:c r="B1481" s="117" t="str">
        <x:v>Work_Order_Calculate_Downtime_Business_Hours</x:v>
      </x:c>
      <x:c r="C1481" s="117" t="str">
        <x:v>Yes</x:v>
      </x:c>
      <x:c r="D1481" s="119" t="str">
        <x:v>Active v1 (Tooling metadata)</x:v>
      </x:c>
      <x:c r="E1481" s="117" t="str">
        <x:v>WorkOrder</x:v>
      </x:c>
      <x:c r="F1481" s="119" t="str">
        <x:v>Reference, Trigger, Update</x:v>
      </x:c>
      <x:c r="G1481" s="117" t="str">
        <x:v>Yes</x:v>
      </x:c>
      <x:c r="H1481" s="117" t="str">
        <x:v>AutoLaunchedFlow</x:v>
      </x:c>
    </x:row>
    <x:row r="1482" ht="30" customHeight="1">
      <x:c r="A1482" s="117" t="str">
        <x:v>300Ro00000qoWekIAE</x:v>
      </x:c>
      <x:c r="B1482" s="117" t="str">
        <x:v>Work_Order_Downtime_End_Setter</x:v>
      </x:c>
      <x:c r="C1482" s="117" t="str">
        <x:v>Yes</x:v>
      </x:c>
      <x:c r="D1482" s="119" t="str">
        <x:v>Active v1 (Retrieved XML)</x:v>
      </x:c>
      <x:c r="E1482" s="117" t="str">
        <x:v>WorkOrder</x:v>
      </x:c>
      <x:c r="F1482" s="119" t="str">
        <x:v>Read, Reference, Update</x:v>
      </x:c>
      <x:c r="G1482" s="117" t="str">
        <x:v>No</x:v>
      </x:c>
      <x:c r="H1482" s="117" t="str">
        <x:v>AutoLaunchedFlow</x:v>
      </x:c>
    </x:row>
    <x:row r="1483" ht="30" customHeight="1">
      <x:c r="A1483" s="117" t="str">
        <x:v>300Ro00000qoWelIAE</x:v>
      </x:c>
      <x:c r="B1483" s="117" t="str">
        <x:v>Work_Order_Downtime_Start_Setter</x:v>
      </x:c>
      <x:c r="C1483" s="117" t="str">
        <x:v>Yes</x:v>
      </x:c>
      <x:c r="D1483" s="119" t="str">
        <x:v>Active v1 (Retrieved XML)</x:v>
      </x:c>
      <x:c r="E1483" s="117" t="str">
        <x:v>WorkOrder</x:v>
      </x:c>
      <x:c r="F1483" s="119" t="str">
        <x:v>Reference, Trigger, Update</x:v>
      </x:c>
      <x:c r="G1483" s="117" t="str">
        <x:v>Yes</x:v>
      </x:c>
      <x:c r="H1483" s="117" t="str">
        <x:v>AutoLaunchedFlow</x:v>
      </x:c>
    </x:row>
    <x:row r="1484" ht="30" customHeight="1">
      <x:c r="A1484" s="117" t="str">
        <x:v>300Ro00000mpCtCIAU</x:v>
      </x:c>
      <x:c r="B1484" s="117" t="str">
        <x:v>Work_Order_FSL_Desktop_Subflow_Create_Chatter_Post</x:v>
      </x:c>
      <x:c r="C1484" s="117" t="str">
        <x:v>No</x:v>
      </x:c>
      <x:c r="D1484" s="119" t="str">
        <x:v>Latest inactive v1 (Retrieved XML)</x:v>
      </x:c>
      <x:c r="E1484" s="117" t="str">
        <x:v>WorkOrder</x:v>
      </x:c>
      <x:c r="F1484" s="119" t="str">
        <x:v>Read, Reference, Variable</x:v>
      </x:c>
      <x:c r="G1484" s="117" t="str">
        <x:v>No</x:v>
      </x:c>
      <x:c r="H1484" s="117" t="str">
        <x:v>Flow</x:v>
      </x:c>
    </x:row>
    <x:row r="1485" ht="30" customHeight="1">
      <x:c r="A1485" s="117" t="str">
        <x:v>300Ro00000e6sEuIAI</x:v>
      </x:c>
      <x:c r="B1485" s="117" t="str">
        <x:v>Work_Order_FSL_Mobile_Subflow_Chatter_Post</x:v>
      </x:c>
      <x:c r="C1485" s="117" t="str">
        <x:v>Yes</x:v>
      </x:c>
      <x:c r="D1485" s="119" t="str">
        <x:v>Active v4 (Retrieved XML)</x:v>
      </x:c>
      <x:c r="E1485" s="117" t="str">
        <x:v>WorkOrder</x:v>
      </x:c>
      <x:c r="F1485" s="119" t="str">
        <x:v>Read, Reference, Variable</x:v>
      </x:c>
      <x:c r="G1485" s="117" t="str">
        <x:v>No</x:v>
      </x:c>
      <x:c r="H1485" s="117" t="str">
        <x:v>FieldServiceMobile</x:v>
      </x:c>
    </x:row>
    <x:row r="1486" ht="30" customHeight="1">
      <x:c r="A1486" s="117" t="str">
        <x:v>300Ro00000lZu2lIAC</x:v>
      </x:c>
      <x:c r="B1486" s="117" t="str">
        <x:v>Work_Order_install_Subflow</x:v>
      </x:c>
      <x:c r="C1486" s="117" t="str">
        <x:v>Yes</x:v>
      </x:c>
      <x:c r="D1486" s="119" t="str">
        <x:v>Active v12 (Retrieved XML)</x:v>
      </x:c>
      <x:c r="E1486" s="117" t="str">
        <x:v>WorkOrder</x:v>
      </x:c>
      <x:c r="F1486" s="119" t="str">
        <x:v>Choice Read, Read, Reference, Variable</x:v>
      </x:c>
      <x:c r="G1486" s="117" t="str">
        <x:v>No</x:v>
      </x:c>
      <x:c r="H1486" s="117" t="str">
        <x:v>Flow</x:v>
      </x:c>
    </x:row>
    <x:row r="1487" ht="30" customHeight="1">
      <x:c r="A1487" s="117" t="str">
        <x:v>300Ro00000eZBBPIA4</x:v>
      </x:c>
      <x:c r="B1487" s="117" t="str">
        <x:v>Work_Order_Line_Item_Trigger_Update_US_FSL_Related_Lead</x:v>
      </x:c>
      <x:c r="C1487" s="117" t="str">
        <x:v>No</x:v>
      </x:c>
      <x:c r="D1487" s="119" t="str">
        <x:v>Latest inactive v1 (Retrieved XML)</x:v>
      </x:c>
      <x:c r="E1487" s="117" t="str">
        <x:v>WorkOrder</x:v>
      </x:c>
      <x:c r="F1487" s="119" t="str">
        <x:v>Read, Reference</x:v>
      </x:c>
      <x:c r="G1487" s="117" t="str">
        <x:v>No</x:v>
      </x:c>
      <x:c r="H1487" s="117" t="str">
        <x:v>AutoLaunchedFlow</x:v>
      </x:c>
    </x:row>
    <x:row r="1488" ht="30" customHeight="1">
      <x:c r="A1488" s="117" t="str">
        <x:v>3004O000000XhDiQAK</x:v>
      </x:c>
      <x:c r="B1488" s="117" t="str">
        <x:v>Work_Order_PDF_Generation</x:v>
      </x:c>
      <x:c r="C1488" s="117" t="str">
        <x:v>No</x:v>
      </x:c>
      <x:c r="D1488" s="119" t="str">
        <x:v>Latest inactive v1 (Retrieved XML)</x:v>
      </x:c>
      <x:c r="E1488" s="117" t="str">
        <x:v>WorkOrder</x:v>
      </x:c>
      <x:c r="F1488" s="119" t="str">
        <x:v>Read, Reference</x:v>
      </x:c>
      <x:c r="G1488" s="117" t="str">
        <x:v>No</x:v>
      </x:c>
      <x:c r="H1488" s="117" t="str">
        <x:v>Flow</x:v>
      </x:c>
    </x:row>
    <x:row r="1489" ht="30" customHeight="1">
      <x:c r="A1489" s="117" t="str">
        <x:v>300Ro000007doacIAA</x:v>
      </x:c>
      <x:c r="B1489" s="117" t="str">
        <x:v>Work_Order_Rollups</x:v>
      </x:c>
      <x:c r="C1489" s="117" t="str">
        <x:v>Yes</x:v>
      </x:c>
      <x:c r="D1489" s="119" t="str">
        <x:v>Active v8 (Retrieved XML)</x:v>
      </x:c>
      <x:c r="E1489" s="117" t="str">
        <x:v>WorkOrder</x:v>
      </x:c>
      <x:c r="F1489" s="119" t="str">
        <x:v>Read, Reference</x:v>
      </x:c>
      <x:c r="G1489" s="117" t="str">
        <x:v>No</x:v>
      </x:c>
      <x:c r="H1489" s="117" t="str">
        <x:v>AutoLaunchedFlow</x:v>
      </x:c>
    </x:row>
    <x:row r="1490" ht="30" customHeight="1">
      <x:c r="A1490" s="117" t="str">
        <x:v>300Ro00000pjRMsIAM</x:v>
      </x:c>
      <x:c r="B1490" s="117" t="str">
        <x:v>Work_Order_Triggeer_US_FSR_Layout_Assignment</x:v>
      </x:c>
      <x:c r="C1490" s="117" t="str">
        <x:v>Yes</x:v>
      </x:c>
      <x:c r="D1490" s="119" t="str">
        <x:v>Active v2 (Retrieved XML)</x:v>
      </x:c>
      <x:c r="E1490" s="117" t="str">
        <x:v>WorkOrder</x:v>
      </x:c>
      <x:c r="F1490" s="119" t="str">
        <x:v>Reference, Trigger, Update</x:v>
      </x:c>
      <x:c r="G1490" s="117" t="str">
        <x:v>Yes</x:v>
      </x:c>
      <x:c r="H1490" s="117" t="str">
        <x:v>AutoLaunchedFlow</x:v>
      </x:c>
    </x:row>
    <x:row r="1491" ht="30" customHeight="1">
      <x:c r="A1491" s="117" t="str">
        <x:v>300Ro00000U5KZYIA3</x:v>
      </x:c>
      <x:c r="B1491" s="117" t="str">
        <x:v>Work_Order_Trigger_QA_Updates</x:v>
      </x:c>
      <x:c r="C1491" s="117" t="str">
        <x:v>No</x:v>
      </x:c>
      <x:c r="D1491" s="119" t="str">
        <x:v>Latest inactive v1 (Retrieved XML)</x:v>
      </x:c>
      <x:c r="E1491" s="117" t="str">
        <x:v>WorkOrder</x:v>
      </x:c>
      <x:c r="F1491" s="119" t="str">
        <x:v>Reference, Trigger, Update</x:v>
      </x:c>
      <x:c r="G1491" s="117" t="str">
        <x:v>Yes</x:v>
      </x:c>
      <x:c r="H1491" s="117" t="str">
        <x:v>AutoLaunchedFlow</x:v>
      </x:c>
    </x:row>
    <x:row r="1492" ht="30" customHeight="1">
      <x:c r="A1492" s="117" t="str">
        <x:v>300Ro00000S8ODBIA3</x:v>
      </x:c>
      <x:c r="B1492" s="117" t="str">
        <x:v>Work_Order_Trigger_Update_Cancelled_WO_Related_SAs</x:v>
      </x:c>
      <x:c r="C1492" s="117" t="str">
        <x:v>Yes</x:v>
      </x:c>
      <x:c r="D1492" s="119" t="str">
        <x:v>Active v4 (Retrieved XML)</x:v>
      </x:c>
      <x:c r="E1492" s="117" t="str">
        <x:v>WorkOrder</x:v>
      </x:c>
      <x:c r="F1492" s="119" t="str">
        <x:v>Reference, Trigger</x:v>
      </x:c>
      <x:c r="G1492" s="117" t="str">
        <x:v>Yes</x:v>
      </x:c>
      <x:c r="H1492" s="117" t="str">
        <x:v>AutoLaunchedFlow</x:v>
      </x:c>
    </x:row>
    <x:row r="1493" ht="30" customHeight="1">
      <x:c r="A1493" s="117" t="str">
        <x:v>300Ro00000cnT4lIAE</x:v>
      </x:c>
      <x:c r="B1493" s="117" t="str">
        <x:v>Work_Order_Ultrasound_Creation_Automation</x:v>
      </x:c>
      <x:c r="C1493" s="117" t="str">
        <x:v>Yes</x:v>
      </x:c>
      <x:c r="D1493" s="119" t="str">
        <x:v>Active v1 (Retrieved XML)</x:v>
      </x:c>
      <x:c r="E1493" s="117" t="str">
        <x:v>WorkOrder</x:v>
      </x:c>
      <x:c r="F1493" s="119" t="str">
        <x:v>Reference, Trigger, Update</x:v>
      </x:c>
      <x:c r="G1493" s="117" t="str">
        <x:v>Yes</x:v>
      </x:c>
      <x:c r="H1493" s="117" t="str">
        <x:v>AutoLaunchedFlow</x:v>
      </x:c>
    </x:row>
    <x:row r="1494" ht="30" customHeight="1">
      <x:c r="A1494" s="117" t="str">
        <x:v>300Ro00000Pz0l0IAB</x:v>
      </x:c>
      <x:c r="B1494" s="117" t="str">
        <x:v>Work_Step_Manager</x:v>
      </x:c>
      <x:c r="C1494" s="117" t="str">
        <x:v>Yes</x:v>
      </x:c>
      <x:c r="D1494" s="119" t="str">
        <x:v>Active v18 (Retrieved XML)</x:v>
      </x:c>
      <x:c r="E1494" s="117" t="str">
        <x:v>WorkOrder</x:v>
      </x:c>
      <x:c r="F1494" s="119" t="str">
        <x:v>Read, Reference, Update, Variable</x:v>
      </x:c>
      <x:c r="G1494" s="117" t="str">
        <x:v>No</x:v>
      </x:c>
      <x:c r="H1494" s="117" t="str">
        <x:v>FieldServiceMobile</x:v>
      </x:c>
    </x:row>
    <x:row r="1495" ht="30" customHeight="1">
      <x:c r="A1495" s="117" t="str">
        <x:v>300Ro00000vx4WjIAI</x:v>
      </x:c>
      <x:c r="B1495" s="117" t="str">
        <x:v>On_Update_Completed_Undo_Update_Needed_Checkbox_and_Reset_Status</x:v>
      </x:c>
      <x:c r="C1495" s="117" t="str">
        <x:v>Yes</x:v>
      </x:c>
      <x:c r="D1495" s="119" t="str">
        <x:v>Active v2 (Retrieved XML)</x:v>
      </x:c>
      <x:c r="E1495" s="117" t="str">
        <x:v>WorkOrderHistory</x:v>
      </x:c>
      <x:c r="F1495" s="119" t="str">
        <x:v>Read, Reference</x:v>
      </x:c>
      <x:c r="G1495" s="117" t="str">
        <x:v>No</x:v>
      </x:c>
      <x:c r="H1495" s="117" t="str">
        <x:v>AutoLaunchedFlow</x:v>
      </x:c>
    </x:row>
    <x:row r="1496" ht="30" customHeight="1">
      <x:c r="A1496" s="117" t="str">
        <x:v>300Ro00000REVFiIAP</x:v>
      </x:c>
      <x:c r="B1496" s="117" t="str">
        <x:v>Auto_Create_RMAs_from_Service_Appointments_for_UK</x:v>
      </x:c>
      <x:c r="C1496" s="117" t="str">
        <x:v>Yes</x:v>
      </x:c>
      <x:c r="D1496" s="119" t="str">
        <x:v>Active v7 (Retrieved XML)</x:v>
      </x:c>
      <x:c r="E1496" s="117" t="str">
        <x:v>WorkOrderLineItem</x:v>
      </x:c>
      <x:c r="F1496" s="119" t="str">
        <x:v>Read, Reference, Variable</x:v>
      </x:c>
      <x:c r="G1496" s="117" t="str">
        <x:v>No</x:v>
      </x:c>
      <x:c r="H1496" s="117" t="str">
        <x:v>AutoLaunchedFlow</x:v>
      </x:c>
    </x:row>
    <x:row r="1497" ht="30" customHeight="1">
      <x:c r="A1497" s="117" t="str">
        <x:v>3005b000000LGuSAAW</x:v>
      </x:c>
      <x:c r="B1497" s="117" t="str">
        <x:v>Auto_Create_RMAs_from_Work_Orders_for_UK</x:v>
      </x:c>
      <x:c r="C1497" s="117" t="str">
        <x:v>Yes</x:v>
      </x:c>
      <x:c r="D1497" s="119" t="str">
        <x:v>Active v11 (Retrieved XML)</x:v>
      </x:c>
      <x:c r="E1497" s="117" t="str">
        <x:v>WorkOrderLineItem</x:v>
      </x:c>
      <x:c r="F1497" s="119" t="str">
        <x:v>Read, Reference, Variable</x:v>
      </x:c>
      <x:c r="G1497" s="117" t="str">
        <x:v>No</x:v>
      </x:c>
      <x:c r="H1497" s="117" t="str">
        <x:v>AutoLaunchedFlow</x:v>
      </x:c>
    </x:row>
    <x:row r="1498" ht="30" customHeight="1">
      <x:c r="A1498" s="117" t="str">
        <x:v>3005b000000H2QLAA0</x:v>
      </x:c>
      <x:c r="B1498" s="117" t="str">
        <x:v>Create_part_requests_from_Service_Fusion</x:v>
      </x:c>
      <x:c r="C1498" s="117" t="str">
        <x:v>Yes</x:v>
      </x:c>
      <x:c r="D1498" s="119" t="str">
        <x:v>Active v21 (Tooling metadata)</x:v>
      </x:c>
      <x:c r="E1498" s="117" t="str">
        <x:v>WorkOrderLineItem</x:v>
      </x:c>
      <x:c r="F1498" s="119" t="str">
        <x:v>Variable</x:v>
      </x:c>
      <x:c r="G1498" s="117" t="str">
        <x:v>No</x:v>
      </x:c>
      <x:c r="H1498" s="117" t="str">
        <x:v>AutoLaunchedFlow</x:v>
      </x:c>
    </x:row>
    <x:row r="1499" ht="30" customHeight="1">
      <x:c r="A1499" s="117" t="str">
        <x:v>300Ro00000ydLuvIAE</x:v>
      </x:c>
      <x:c r="B1499" s="117" t="str">
        <x:v>FSL_Close_Out_Service_Appointment_Field_Service_Mobile_Flow</x:v>
      </x:c>
      <x:c r="C1499" s="117" t="str">
        <x:v>No</x:v>
      </x:c>
      <x:c r="D1499" s="119" t="str">
        <x:v>Latest inactive v4 (Retrieved XML)</x:v>
      </x:c>
      <x:c r="E1499" s="117" t="str">
        <x:v>WorkOrderLineItem</x:v>
      </x:c>
      <x:c r="F1499" s="119" t="str">
        <x:v>Choice Read, Read, Reference, Variable</x:v>
      </x:c>
      <x:c r="G1499" s="117" t="str">
        <x:v>No</x:v>
      </x:c>
      <x:c r="H1499" s="117" t="str">
        <x:v>FieldServiceMobile</x:v>
      </x:c>
    </x:row>
    <x:row r="1500" ht="30" customHeight="1">
      <x:c r="A1500" s="117" t="str">
        <x:v>300Ro00000cnT4mIAE</x:v>
      </x:c>
      <x:c r="B1500" s="117" t="str">
        <x:v>FSL_Mobile_Create_Lead_US</x:v>
      </x:c>
      <x:c r="C1500" s="117" t="str">
        <x:v>Yes</x:v>
      </x:c>
      <x:c r="D1500" s="119" t="str">
        <x:v>Active v34 (Retrieved XML)</x:v>
      </x:c>
      <x:c r="E1500" s="117" t="str">
        <x:v>WorkOrderLineItem</x:v>
      </x:c>
      <x:c r="F1500" s="119" t="str">
        <x:v>Read, Reference, Variable</x:v>
      </x:c>
      <x:c r="G1500" s="117" t="str">
        <x:v>No</x:v>
      </x:c>
      <x:c r="H1500" s="117" t="str">
        <x:v>FieldServiceMobile</x:v>
      </x:c>
    </x:row>
    <x:row r="1501" ht="30" customHeight="1">
      <x:c r="A1501" s="117" t="str">
        <x:v>300Ro00000pvIVtIAM</x:v>
      </x:c>
      <x:c r="B1501" s="117" t="str">
        <x:v>FSL_Mobile_Service_Appointment_Closeout</x:v>
      </x:c>
      <x:c r="C1501" s="117" t="str">
        <x:v>Yes</x:v>
      </x:c>
      <x:c r="D1501" s="119" t="str">
        <x:v>Active v1 (Retrieved XML)</x:v>
      </x:c>
      <x:c r="E1501" s="117" t="str">
        <x:v>WorkOrderLineItem</x:v>
      </x:c>
      <x:c r="F1501" s="119" t="str">
        <x:v>Choice Read, Create, Read, Reference, Variable</x:v>
      </x:c>
      <x:c r="G1501" s="117" t="str">
        <x:v>No</x:v>
      </x:c>
      <x:c r="H1501" s="117" t="str">
        <x:v>FieldServiceMobile</x:v>
      </x:c>
    </x:row>
    <x:row r="1502" ht="30" customHeight="1">
      <x:c r="A1502" s="117" t="str">
        <x:v>300Ro00000cnT4nIAE</x:v>
      </x:c>
      <x:c r="B1502" s="117" t="str">
        <x:v>FSL_Parts_Order</x:v>
      </x:c>
      <x:c r="C1502" s="117" t="str">
        <x:v>No</x:v>
      </x:c>
      <x:c r="D1502" s="119" t="str">
        <x:v>Latest inactive v1 (Retrieved XML)</x:v>
      </x:c>
      <x:c r="E1502" s="117" t="str">
        <x:v>WorkOrderLineItem</x:v>
      </x:c>
      <x:c r="F1502" s="119" t="str">
        <x:v>Variable</x:v>
      </x:c>
      <x:c r="G1502" s="117" t="str">
        <x:v>No</x:v>
      </x:c>
      <x:c r="H1502" s="117" t="str">
        <x:v>Flow</x:v>
      </x:c>
    </x:row>
    <x:row r="1503" ht="30" customHeight="1">
      <x:c r="A1503" s="117" t="str">
        <x:v>300Ro00000cnT4cIAE</x:v>
      </x:c>
      <x:c r="B1503" s="117" t="str">
        <x:v>FSL_Screen_Request_Parts_on_WO</x:v>
      </x:c>
      <x:c r="C1503" s="117" t="str">
        <x:v>Yes</x:v>
      </x:c>
      <x:c r="D1503" s="119" t="str">
        <x:v>Active v137 (Retrieved XML)</x:v>
      </x:c>
      <x:c r="E1503" s="117" t="str">
        <x:v>WorkOrderLineItem</x:v>
      </x:c>
      <x:c r="F1503" s="119" t="str">
        <x:v>Read, Reference, Variable</x:v>
      </x:c>
      <x:c r="G1503" s="117" t="str">
        <x:v>No</x:v>
      </x:c>
      <x:c r="H1503" s="117" t="str">
        <x:v>FieldServiceMobile</x:v>
      </x:c>
    </x:row>
    <x:row r="1504" ht="30" customHeight="1">
      <x:c r="A1504" s="117" t="str">
        <x:v>300Ro00000srgJqIAI</x:v>
      </x:c>
      <x:c r="B1504" s="117" t="str">
        <x:v>FSL_Service_Appointment_Collect_Assets</x:v>
      </x:c>
      <x:c r="C1504" s="117" t="str">
        <x:v>Yes</x:v>
      </x:c>
      <x:c r="D1504" s="119" t="str">
        <x:v>Active v19 (Retrieved XML)</x:v>
      </x:c>
      <x:c r="E1504" s="117" t="str">
        <x:v>WorkOrderLineItem</x:v>
      </x:c>
      <x:c r="F1504" s="119" t="str">
        <x:v>Read, Reference, Variable</x:v>
      </x:c>
      <x:c r="G1504" s="117" t="str">
        <x:v>No</x:v>
      </x:c>
      <x:c r="H1504" s="117" t="str">
        <x:v>FieldServiceMobile</x:v>
      </x:c>
    </x:row>
    <x:row r="1505" ht="30" customHeight="1">
      <x:c r="A1505" s="117" t="str">
        <x:v>300Ro00000phiq4IAA</x:v>
      </x:c>
      <x:c r="B1505" s="117" t="str">
        <x:v>FSL_US_On_Submit_to_Shipping_Update_Status_to_Pending_Shipment</x:v>
      </x:c>
      <x:c r="C1505" s="117" t="str">
        <x:v>Yes</x:v>
      </x:c>
      <x:c r="D1505" s="119" t="str">
        <x:v>Active v3 (Retrieved XML)</x:v>
      </x:c>
      <x:c r="E1505" s="117" t="str">
        <x:v>WorkOrderLineItem</x:v>
      </x:c>
      <x:c r="F1505" s="119" t="str">
        <x:v>Read, Reference</x:v>
      </x:c>
      <x:c r="G1505" s="117" t="str">
        <x:v>No</x:v>
      </x:c>
      <x:c r="H1505" s="117" t="str">
        <x:v>AutoLaunchedFlow</x:v>
      </x:c>
    </x:row>
    <x:row r="1506" ht="30" customHeight="1">
      <x:c r="A1506" s="117" t="str">
        <x:v>300Ro00000pheJSIAY</x:v>
      </x:c>
      <x:c r="B1506" s="117" t="str">
        <x:v>FSL_US_On_Tracking_Update_Status_to_Parts_Probe_Shipped</x:v>
      </x:c>
      <x:c r="C1506" s="117" t="str">
        <x:v>Yes</x:v>
      </x:c>
      <x:c r="D1506" s="119" t="str">
        <x:v>Active v2 (Retrieved XML)</x:v>
      </x:c>
      <x:c r="E1506" s="117" t="str">
        <x:v>WorkOrderLineItem</x:v>
      </x:c>
      <x:c r="F1506" s="119" t="str">
        <x:v>Read, Reference</x:v>
      </x:c>
      <x:c r="G1506" s="117" t="str">
        <x:v>No</x:v>
      </x:c>
      <x:c r="H1506" s="117" t="str">
        <x:v>AutoLaunchedFlow</x:v>
      </x:c>
    </x:row>
    <x:row r="1507" ht="30" customHeight="1">
      <x:c r="A1507" s="117" t="str">
        <x:v>3005b000000H3eJAAS</x:v>
      </x:c>
      <x:c r="B1507" s="117" t="str">
        <x:v>New_Parts_Opportunity_From_Work_Orker</x:v>
      </x:c>
      <x:c r="C1507" s="117" t="str">
        <x:v>Yes</x:v>
      </x:c>
      <x:c r="D1507" s="119" t="str">
        <x:v>Active v62 (Retrieved XML)</x:v>
      </x:c>
      <x:c r="E1507" s="117" t="str">
        <x:v>WorkOrderLineItem</x:v>
      </x:c>
      <x:c r="F1507" s="119" t="str">
        <x:v>Read, Reference</x:v>
      </x:c>
      <x:c r="G1507" s="117" t="str">
        <x:v>No</x:v>
      </x:c>
      <x:c r="H1507" s="117" t="str">
        <x:v>Flow</x:v>
      </x:c>
    </x:row>
    <x:row r="1508" ht="30" customHeight="1">
      <x:c r="A1508" s="117" t="str">
        <x:v>300Ro00000xL7RAIA0</x:v>
      </x:c>
      <x:c r="B1508" s="117" t="str">
        <x:v>On_Create_Parts_Sales_Value_Rollup</x:v>
      </x:c>
      <x:c r="C1508" s="117" t="str">
        <x:v>Yes</x:v>
      </x:c>
      <x:c r="D1508" s="119" t="str">
        <x:v>Active v3 (Retrieved XML)</x:v>
      </x:c>
      <x:c r="E1508" s="117" t="str">
        <x:v>WorkOrderLineItem</x:v>
      </x:c>
      <x:c r="F1508" s="119" t="str">
        <x:v>Reference, Trigger, Update</x:v>
      </x:c>
      <x:c r="G1508" s="117" t="str">
        <x:v>Yes</x:v>
      </x:c>
      <x:c r="H1508" s="117" t="str">
        <x:v>AutoLaunchedFlow</x:v>
      </x:c>
    </x:row>
    <x:row r="1509" ht="30" customHeight="1">
      <x:c r="A1509" s="117" t="str">
        <x:v>300Ro00000t0d06IAA</x:v>
      </x:c>
      <x:c r="B1509" s="117" t="str">
        <x:v>On_New_WOLI_Update_Type_if_Probe_Repair_Opp</x:v>
      </x:c>
      <x:c r="C1509" s="117" t="str">
        <x:v>Yes</x:v>
      </x:c>
      <x:c r="D1509" s="119" t="str">
        <x:v>Active v6 (Retrieved XML)</x:v>
      </x:c>
      <x:c r="E1509" s="117" t="str">
        <x:v>WorkOrderLineItem</x:v>
      </x:c>
      <x:c r="F1509" s="119" t="str">
        <x:v>Reference, Trigger, Update</x:v>
      </x:c>
      <x:c r="G1509" s="117" t="str">
        <x:v>Yes</x:v>
      </x:c>
      <x:c r="H1509" s="117" t="str">
        <x:v>AutoLaunchedFlow</x:v>
      </x:c>
    </x:row>
    <x:row r="1510" ht="30" customHeight="1">
      <x:c r="A1510" s="117" t="str">
        <x:v>300Ro00000cnT4eIAE</x:v>
      </x:c>
      <x:c r="B1510" s="117" t="str">
        <x:v>On_Update_Line_Item_Swap_on_Opp_Updates_Information_on_the_WOLI</x:v>
      </x:c>
      <x:c r="C1510" s="117" t="str">
        <x:v>No</x:v>
      </x:c>
      <x:c r="D1510" s="119" t="str">
        <x:v>Latest inactive v6 (Retrieved XML)</x:v>
      </x:c>
      <x:c r="E1510" s="117" t="str">
        <x:v>WorkOrderLineItem</x:v>
      </x:c>
      <x:c r="F1510" s="119" t="str">
        <x:v>Reference, Trigger, Update</x:v>
      </x:c>
      <x:c r="G1510" s="117" t="str">
        <x:v>Yes</x:v>
      </x:c>
      <x:c r="H1510" s="117" t="str">
        <x:v>AutoLaunchedFlow</x:v>
      </x:c>
    </x:row>
    <x:row r="1511" ht="30" customHeight="1">
      <x:c r="A1511" s="117" t="str">
        <x:v>300Ro00000cnT4fIAE</x:v>
      </x:c>
      <x:c r="B1511" s="117" t="str">
        <x:v>On_Update_Update_Checkbox_on_WOLI</x:v>
      </x:c>
      <x:c r="C1511" s="117" t="str">
        <x:v>No</x:v>
      </x:c>
      <x:c r="D1511" s="119" t="str">
        <x:v>Latest inactive v1 (Retrieved XML)</x:v>
      </x:c>
      <x:c r="E1511" s="117" t="str">
        <x:v>WorkOrderLineItem</x:v>
      </x:c>
      <x:c r="F1511" s="119" t="str">
        <x:v>Reference, Update, Variable</x:v>
      </x:c>
      <x:c r="G1511" s="117" t="str">
        <x:v>No</x:v>
      </x:c>
      <x:c r="H1511" s="117" t="str">
        <x:v>AutoLaunchedFlow</x:v>
      </x:c>
    </x:row>
    <x:row r="1512" ht="30" customHeight="1">
      <x:c r="A1512" s="117" t="str">
        <x:v>300Ro00000cnT4dIAE</x:v>
      </x:c>
      <x:c r="B1512" s="117" t="str">
        <x:v>On_US_FSL_Lead_Conversion_Bring_Work_Order_Over_to_Contact_Account_Opportunity</x:v>
      </x:c>
      <x:c r="C1512" s="117" t="str">
        <x:v>Yes</x:v>
      </x:c>
      <x:c r="D1512" s="119" t="str">
        <x:v>Active v22 (Retrieved XML)</x:v>
      </x:c>
      <x:c r="E1512" s="117" t="str">
        <x:v>WorkOrderLineItem</x:v>
      </x:c>
      <x:c r="F1512" s="119" t="str">
        <x:v>Read, Reference</x:v>
      </x:c>
      <x:c r="G1512" s="117" t="str">
        <x:v>No</x:v>
      </x:c>
      <x:c r="H1512" s="117" t="str">
        <x:v>AutoLaunchedFlow</x:v>
      </x:c>
    </x:row>
    <x:row r="1513" ht="30" customHeight="1">
      <x:c r="A1513" s="117" t="str">
        <x:v>300Ro00000pTM4dIAG</x:v>
      </x:c>
      <x:c r="B1513" s="117" t="str">
        <x:v>On_Work_Order_Line_Item_Edit_Update_Unit_Price_Quantity</x:v>
      </x:c>
      <x:c r="C1513" s="117" t="str">
        <x:v>No</x:v>
      </x:c>
      <x:c r="D1513" s="119" t="str">
        <x:v>Latest inactive v2 (Retrieved XML)</x:v>
      </x:c>
      <x:c r="E1513" s="117" t="str">
        <x:v>WorkOrderLineItem</x:v>
      </x:c>
      <x:c r="F1513" s="119" t="str">
        <x:v>Reference, Trigger, Update</x:v>
      </x:c>
      <x:c r="G1513" s="117" t="str">
        <x:v>Yes</x:v>
      </x:c>
      <x:c r="H1513" s="117" t="str">
        <x:v>AutoLaunchedFlow</x:v>
      </x:c>
    </x:row>
    <x:row r="1514" ht="30" customHeight="1">
      <x:c r="A1514" s="117" t="str">
        <x:v>300Ro00000cnT4iIAE</x:v>
      </x:c>
      <x:c r="B1514" s="117" t="str">
        <x:v>Opportunity_Product_On_Delete</x:v>
      </x:c>
      <x:c r="C1514" s="117" t="str">
        <x:v>Yes</x:v>
      </x:c>
      <x:c r="D1514" s="119" t="str">
        <x:v>Active v1 (Retrieved XML)</x:v>
      </x:c>
      <x:c r="E1514" s="117" t="str">
        <x:v>WorkOrderLineItem</x:v>
      </x:c>
      <x:c r="F1514" s="119" t="str">
        <x:v>Reference, Update, Variable</x:v>
      </x:c>
      <x:c r="G1514" s="117" t="str">
        <x:v>No</x:v>
      </x:c>
      <x:c r="H1514" s="117" t="str">
        <x:v>AutoLaunchedFlow</x:v>
      </x:c>
    </x:row>
    <x:row r="1515" ht="30" customHeight="1">
      <x:c r="A1515" s="117" t="str">
        <x:v>3005b000000H2TKAA0</x:v>
      </x:c>
      <x:c r="B1515" s="117" t="str">
        <x:v>PB_Work_Order_Line_Item</x:v>
      </x:c>
      <x:c r="C1515" s="117" t="str">
        <x:v>No</x:v>
      </x:c>
      <x:c r="D1515" s="119" t="str">
        <x:v>Latest inactive v1 (Retrieved XML)</x:v>
      </x:c>
      <x:c r="E1515" s="117" t="str">
        <x:v>WorkOrderLineItem</x:v>
      </x:c>
      <x:c r="F1515" s="119" t="str">
        <x:v>Variable</x:v>
      </x:c>
      <x:c r="G1515" s="117" t="str">
        <x:v>No</x:v>
      </x:c>
      <x:c r="H1515" s="117" t="str">
        <x:v>Workflow</x:v>
      </x:c>
    </x:row>
    <x:row r="1516" ht="30" customHeight="1">
      <x:c r="A1516" s="117" t="str">
        <x:v>300Ro00000U7G8UIAV</x:v>
      </x:c>
      <x:c r="B1516" s="117" t="str">
        <x:v>Screen_Work_Order_Asset_Contract_Line_Update</x:v>
      </x:c>
      <x:c r="C1516" s="117" t="str">
        <x:v>Yes</x:v>
      </x:c>
      <x:c r="D1516" s="119" t="str">
        <x:v>Active v1 (Tooling metadata)</x:v>
      </x:c>
      <x:c r="E1516" s="117" t="str">
        <x:v>WorkOrderLineItem</x:v>
      </x:c>
      <x:c r="F1516" s="119" t="str">
        <x:v>Read, Reference, Update</x:v>
      </x:c>
      <x:c r="G1516" s="117" t="str">
        <x:v>No</x:v>
      </x:c>
      <x:c r="H1516" s="117" t="str">
        <x:v>Flow</x:v>
      </x:c>
    </x:row>
    <x:row r="1517" ht="30" customHeight="1">
      <x:c r="A1517" s="117" t="str">
        <x:v>3004O000000TiaDQAS</x:v>
      </x:c>
      <x:c r="B1517" s="117" t="str">
        <x:v>Service_Work_Order_Part_Name_Lookup</x:v>
      </x:c>
      <x:c r="C1517" s="117" t="str">
        <x:v>No</x:v>
      </x:c>
      <x:c r="D1517" s="119" t="str">
        <x:v>Latest inactive v15 (Retrieved XML)</x:v>
      </x:c>
      <x:c r="E1517" s="117" t="str">
        <x:v>WorkOrderLineItem</x:v>
      </x:c>
      <x:c r="F1517" s="119" t="str">
        <x:v>Reference, Update, Variable</x:v>
      </x:c>
      <x:c r="G1517" s="117" t="str">
        <x:v>No</x:v>
      </x:c>
      <x:c r="H1517" s="117" t="str">
        <x:v>Workflow</x:v>
      </x:c>
    </x:row>
    <x:row r="1518" ht="30" customHeight="1">
      <x:c r="A1518" s="117" t="str">
        <x:v>300Ro00000REVFnIAP</x:v>
      </x:c>
      <x:c r="B1518" s="117" t="str">
        <x:v>Set_Service_Appointment_on_New_Work_Order_Line_Item</x:v>
      </x:c>
      <x:c r="C1518" s="117" t="str">
        <x:v>Yes</x:v>
      </x:c>
      <x:c r="D1518" s="119" t="str">
        <x:v>Active v6 (Retrieved XML)</x:v>
      </x:c>
      <x:c r="E1518" s="117" t="str">
        <x:v>WorkOrderLineItem</x:v>
      </x:c>
      <x:c r="F1518" s="119" t="str">
        <x:v>Reference, Trigger, Update</x:v>
      </x:c>
      <x:c r="G1518" s="117" t="str">
        <x:v>Yes</x:v>
      </x:c>
      <x:c r="H1518" s="117" t="str">
        <x:v>AutoLaunchedFlow</x:v>
      </x:c>
    </x:row>
    <x:row r="1519" ht="30" customHeight="1">
      <x:c r="A1519" s="117" t="str">
        <x:v>300Ro00000Pz0kzIAB</x:v>
      </x:c>
      <x:c r="B1519" s="117" t="str">
        <x:v>Update_comments</x:v>
      </x:c>
      <x:c r="C1519" s="117" t="str">
        <x:v>Yes</x:v>
      </x:c>
      <x:c r="D1519" s="119" t="str">
        <x:v>Active v192 (Tooling metadata)</x:v>
      </x:c>
      <x:c r="E1519" s="117" t="str">
        <x:v>WorkOrderLineItem</x:v>
      </x:c>
      <x:c r="F1519" s="119" t="str">
        <x:v>Choice Read, Create, Read, Reference, Update, Variable</x:v>
      </x:c>
      <x:c r="G1519" s="117" t="str">
        <x:v>No</x:v>
      </x:c>
      <x:c r="H1519" s="117" t="str">
        <x:v>FieldServiceMobile</x:v>
      </x:c>
    </x:row>
    <x:row r="1520" ht="30" customHeight="1">
      <x:c r="A1520" s="117" t="str">
        <x:v>300Ro00000mqjYXIAY</x:v>
      </x:c>
      <x:c r="B1520" s="117" t="str">
        <x:v>Update_Need_Quote_Lines_to_Part_Quoted</x:v>
      </x:c>
      <x:c r="C1520" s="117" t="str">
        <x:v>Yes</x:v>
      </x:c>
      <x:c r="D1520" s="119" t="str">
        <x:v>Active v21 (Retrieved XML)</x:v>
      </x:c>
      <x:c r="E1520" s="117" t="str">
        <x:v>WorkOrderLineItem</x:v>
      </x:c>
      <x:c r="F1520" s="119" t="str">
        <x:v>Read, Reference, Variable</x:v>
      </x:c>
      <x:c r="G1520" s="117" t="str">
        <x:v>No</x:v>
      </x:c>
      <x:c r="H1520" s="117" t="str">
        <x:v>AutoLaunchedFlow</x:v>
      </x:c>
    </x:row>
    <x:row r="1521" ht="30" customHeight="1">
      <x:c r="A1521" s="117" t="str">
        <x:v>300Ro00000oyrnsIAA</x:v>
      </x:c>
      <x:c r="B1521" s="117" t="str">
        <x:v>US_FSL_For_Probe_Sale_Opp_Upon_Tracking_Entered_Update_Work_Order_Status_to_Ship</x:v>
      </x:c>
      <x:c r="C1521" s="117" t="str">
        <x:v>Yes</x:v>
      </x:c>
      <x:c r="D1521" s="119" t="str">
        <x:v>Active v10 (Retrieved XML)</x:v>
      </x:c>
      <x:c r="E1521" s="117" t="str">
        <x:v>WorkOrderLineItem</x:v>
      </x:c>
      <x:c r="F1521" s="119" t="str">
        <x:v>Read, Reference</x:v>
      </x:c>
      <x:c r="G1521" s="117" t="str">
        <x:v>No</x:v>
      </x:c>
      <x:c r="H1521" s="117" t="str">
        <x:v>AutoLaunchedFlow</x:v>
      </x:c>
    </x:row>
    <x:row r="1522" ht="30" customHeight="1">
      <x:c r="A1522" s="117" t="str">
        <x:v>300Ro00000zMlV0IAK</x:v>
      </x:c>
      <x:c r="B1522" s="117" t="str">
        <x:v>US_FSL_On_Close_Lost_Repair_Opp_Set_WOLIs_to_Repair_Canceled</x:v>
      </x:c>
      <x:c r="C1522" s="117" t="str">
        <x:v>Yes</x:v>
      </x:c>
      <x:c r="D1522" s="119" t="str">
        <x:v>Active v1 (Retrieved XML)</x:v>
      </x:c>
      <x:c r="E1522" s="117" t="str">
        <x:v>WorkOrderLineItem</x:v>
      </x:c>
      <x:c r="F1522" s="119" t="str">
        <x:v>Reference, Update</x:v>
      </x:c>
      <x:c r="G1522" s="117" t="str">
        <x:v>No</x:v>
      </x:c>
      <x:c r="H1522" s="117" t="str">
        <x:v>AutoLaunchedFlow</x:v>
      </x:c>
    </x:row>
    <x:row r="1523" ht="30" customHeight="1">
      <x:c r="A1523" s="117" t="str">
        <x:v>300Ro00000wtiDZIAY</x:v>
      </x:c>
      <x:c r="B1523" s="117" t="str">
        <x:v>US_FSL_On_submitting_of_shipping_update_the_work_order_to_pending_shipment</x:v>
      </x:c>
      <x:c r="C1523" s="117" t="str">
        <x:v>Yes</x:v>
      </x:c>
      <x:c r="D1523" s="119" t="str">
        <x:v>Active v3 (Retrieved XML)</x:v>
      </x:c>
      <x:c r="E1523" s="117" t="str">
        <x:v>WorkOrderLineItem</x:v>
      </x:c>
      <x:c r="F1523" s="119" t="str">
        <x:v>Read, Reference</x:v>
      </x:c>
      <x:c r="G1523" s="117" t="str">
        <x:v>No</x:v>
      </x:c>
      <x:c r="H1523" s="117" t="str">
        <x:v>AutoLaunchedFlow</x:v>
      </x:c>
    </x:row>
    <x:row r="1524" ht="30" customHeight="1">
      <x:c r="A1524" s="117" t="str">
        <x:v>300Ro00000oer8rIAA</x:v>
      </x:c>
      <x:c r="B1524" s="117" t="str">
        <x:v>US_Workflow_Update_Labor_Travel_on_Ready_for_Close</x:v>
      </x:c>
      <x:c r="C1524" s="117" t="str">
        <x:v>No</x:v>
      </x:c>
      <x:c r="D1524" s="119" t="str">
        <x:v>Latest inactive v2 (Retrieved XML)</x:v>
      </x:c>
      <x:c r="E1524" s="117" t="str">
        <x:v>WorkOrderLineItem</x:v>
      </x:c>
      <x:c r="F1524" s="119" t="str">
        <x:v>Create, Read, Reference, Variable</x:v>
      </x:c>
      <x:c r="G1524" s="117" t="str">
        <x:v>No</x:v>
      </x:c>
      <x:c r="H1524" s="117" t="str">
        <x:v>AutoLaunchedFlow</x:v>
      </x:c>
    </x:row>
    <x:row r="1525" ht="30" customHeight="1">
      <x:c r="A1525" s="117" t="str">
        <x:v>300Ro00000lZu2lIAC</x:v>
      </x:c>
      <x:c r="B1525" s="117" t="str">
        <x:v>Work_Order_install_Subflow</x:v>
      </x:c>
      <x:c r="C1525" s="117" t="str">
        <x:v>Yes</x:v>
      </x:c>
      <x:c r="D1525" s="119" t="str">
        <x:v>Active v12 (Retrieved XML)</x:v>
      </x:c>
      <x:c r="E1525" s="117" t="str">
        <x:v>WorkOrderLineItem</x:v>
      </x:c>
      <x:c r="F1525" s="119" t="str">
        <x:v>Variable</x:v>
      </x:c>
      <x:c r="G1525" s="117" t="str">
        <x:v>No</x:v>
      </x:c>
      <x:c r="H1525" s="117" t="str">
        <x:v>Flow</x:v>
      </x:c>
    </x:row>
    <x:row r="1526" ht="30" customHeight="1">
      <x:c r="A1526" s="117" t="str">
        <x:v>300Ro00000eZBBPIA4</x:v>
      </x:c>
      <x:c r="B1526" s="117" t="str">
        <x:v>Work_Order_Line_Item_Trigger_Update_US_FSL_Related_Lead</x:v>
      </x:c>
      <x:c r="C1526" s="117" t="str">
        <x:v>No</x:v>
      </x:c>
      <x:c r="D1526" s="119" t="str">
        <x:v>Latest inactive v1 (Retrieved XML)</x:v>
      </x:c>
      <x:c r="E1526" s="117" t="str">
        <x:v>WorkOrderLineItem</x:v>
      </x:c>
      <x:c r="F1526" s="119" t="str">
        <x:v>Reference, Trigger</x:v>
      </x:c>
      <x:c r="G1526" s="117" t="str">
        <x:v>Yes</x:v>
      </x:c>
      <x:c r="H1526" s="117" t="str">
        <x:v>AutoLaunchedFlow</x:v>
      </x:c>
    </x:row>
    <x:row r="1527" ht="30" customHeight="1">
      <x:c r="A1527" s="117" t="str">
        <x:v>300Ro000007doacIAA</x:v>
      </x:c>
      <x:c r="B1527" s="117" t="str">
        <x:v>Work_Order_Rollups</x:v>
      </x:c>
      <x:c r="C1527" s="117" t="str">
        <x:v>Yes</x:v>
      </x:c>
      <x:c r="D1527" s="119" t="str">
        <x:v>Active v8 (Retrieved XML)</x:v>
      </x:c>
      <x:c r="E1527" s="117" t="str">
        <x:v>WorkOrderLineItem</x:v>
      </x:c>
      <x:c r="F1527" s="119" t="str">
        <x:v>Reference, Trigger, Update</x:v>
      </x:c>
      <x:c r="G1527" s="117" t="str">
        <x:v>Yes</x:v>
      </x:c>
      <x:c r="H1527" s="117" t="str">
        <x:v>AutoLaunchedFlow</x:v>
      </x:c>
    </x:row>
    <x:row r="1528" ht="30" customHeight="1">
      <x:c r="A1528" s="117" t="str">
        <x:v>300Ro00000Pz0l0IAB</x:v>
      </x:c>
      <x:c r="B1528" s="117" t="str">
        <x:v>Work_Step_Manager</x:v>
      </x:c>
      <x:c r="C1528" s="117" t="str">
        <x:v>Yes</x:v>
      </x:c>
      <x:c r="D1528" s="119" t="str">
        <x:v>Active v18 (Retrieved XML)</x:v>
      </x:c>
      <x:c r="E1528" s="117" t="str">
        <x:v>WorkStep</x:v>
      </x:c>
      <x:c r="F1528" s="119" t="str">
        <x:v>Reference, Update</x:v>
      </x:c>
      <x:c r="G1528" s="117" t="str">
        <x:v>No</x:v>
      </x:c>
      <x:c r="H1528" s="117" t="str">
        <x:v>FieldServiceMobile</x:v>
      </x:c>
    </x:row>
    <x:row r="1529" ht="30" customHeight="1">
      <x:c r="A1529" s="117" t="str">
        <x:v>300Ro00000Pz0kgIAB</x:v>
      </x:c>
      <x:c r="B1529" s="117" t="str">
        <x:v>C_ARM_Checklist</x:v>
      </x:c>
      <x:c r="C1529" s="117" t="str">
        <x:v>Yes</x:v>
      </x:c>
      <x:c r="D1529" s="119" t="str">
        <x:v>Active v32 (Retrieved XML)</x:v>
      </x:c>
      <x:c r="E1529" s="117" t="str">
        <x:v>WorkType</x:v>
      </x:c>
      <x:c r="F1529" s="119" t="str">
        <x:v>Read, Reference</x:v>
      </x:c>
      <x:c r="G1529" s="117" t="str">
        <x:v>No</x:v>
      </x:c>
      <x:c r="H1529" s="117" t="str">
        <x:v>FieldServiceMobile</x:v>
      </x:c>
    </x:row>
    <x:row r="1530" ht="30" customHeight="1">
      <x:c r="A1530" s="117" t="str">
        <x:v>300Ro00000V6HVlIAN</x:v>
      </x:c>
      <x:c r="B1530" s="117" t="str">
        <x:v>Contract_Line_Item_Trigger_Create_QA_Upon_Save</x:v>
      </x:c>
      <x:c r="C1530" s="117" t="str">
        <x:v>Yes</x:v>
      </x:c>
      <x:c r="D1530" s="119" t="str">
        <x:v>Active v1 (Retrieved XML)</x:v>
      </x:c>
      <x:c r="E1530" s="117" t="str">
        <x:v>WorkType</x:v>
      </x:c>
      <x:c r="F1530" s="119" t="str">
        <x:v>Read, Reference</x:v>
      </x:c>
      <x:c r="G1530" s="117" t="str">
        <x:v>No</x:v>
      </x:c>
      <x:c r="H1530" s="117" t="str">
        <x:v>AutoLaunchedFlow</x:v>
      </x:c>
    </x:row>
    <x:row r="1531" ht="30" customHeight="1">
      <x:c r="A1531" s="117" t="str">
        <x:v>300Ro00000kseeBIAQ</x:v>
      </x:c>
      <x:c r="B1531" s="117" t="str">
        <x:v>Create_Field_Service_Work_Order_in_Salesforce</x:v>
      </x:c>
      <x:c r="C1531" s="117" t="str">
        <x:v>Yes</x:v>
      </x:c>
      <x:c r="D1531" s="119" t="str">
        <x:v>Active v9 (Retrieved XML)</x:v>
      </x:c>
      <x:c r="E1531" s="117" t="str">
        <x:v>WorkType</x:v>
      </x:c>
      <x:c r="F1531" s="119" t="str">
        <x:v>Choice Read, Reference</x:v>
      </x:c>
      <x:c r="G1531" s="117" t="str">
        <x:v>No</x:v>
      </x:c>
      <x:c r="H1531" s="117" t="str">
        <x:v>Flow</x:v>
      </x:c>
    </x:row>
    <x:row r="1532" ht="30" customHeight="1">
      <x:c r="A1532" s="117" t="str">
        <x:v>300jR000000BuwaQAC</x:v>
      </x:c>
      <x:c r="B1532" s="117" t="str">
        <x:v>Create_FSL_Work_Order_on_SF_Objects</x:v>
      </x:c>
      <x:c r="C1532" s="117" t="str">
        <x:v>Yes</x:v>
      </x:c>
      <x:c r="D1532" s="119" t="str">
        <x:v>Active v7 (Retrieved XML)</x:v>
      </x:c>
      <x:c r="E1532" s="117" t="str">
        <x:v>WorkType</x:v>
      </x:c>
      <x:c r="F1532" s="119" t="str">
        <x:v>Choice Read, Reference</x:v>
      </x:c>
      <x:c r="G1532" s="117" t="str">
        <x:v>No</x:v>
      </x:c>
      <x:c r="H1532" s="117" t="str">
        <x:v>Flow</x:v>
      </x:c>
    </x:row>
    <x:row r="1533" ht="30" customHeight="1">
      <x:c r="A1533" s="117" t="str">
        <x:v>300Ro00000n2BUtIAM</x:v>
      </x:c>
      <x:c r="B1533" s="117" t="str">
        <x:v>FSL_Set_Service_Report_Layout_ID_on_Work_Orders</x:v>
      </x:c>
      <x:c r="C1533" s="117" t="str">
        <x:v>Yes</x:v>
      </x:c>
      <x:c r="D1533" s="119" t="str">
        <x:v>Active v7 (Tooling metadata)</x:v>
      </x:c>
      <x:c r="E1533" s="117" t="str">
        <x:v>WorkType</x:v>
      </x:c>
      <x:c r="F1533" s="119" t="str">
        <x:v>Read, Reference</x:v>
      </x:c>
      <x:c r="G1533" s="117" t="str">
        <x:v>No</x:v>
      </x:c>
      <x:c r="H1533" s="117" t="str">
        <x:v>AutoLaunchedFlow</x:v>
      </x:c>
    </x:row>
    <x:row r="1534" ht="30" customHeight="1">
      <x:c r="A1534" s="117" t="str">
        <x:v>300Ro000013byfhIAA</x:v>
      </x:c>
      <x:c r="B1534" s="117" t="str">
        <x:v>FSL_Ultrasound_Electrical_Safety_Tests_Checklist</x:v>
      </x:c>
      <x:c r="C1534" s="117" t="str">
        <x:v>Yes</x:v>
      </x:c>
      <x:c r="D1534" s="119" t="str">
        <x:v>Active v2 (Retrieved XML)</x:v>
      </x:c>
      <x:c r="E1534" s="117" t="str">
        <x:v>WorkType</x:v>
      </x:c>
      <x:c r="F1534" s="119" t="str">
        <x:v>Read, Reference</x:v>
      </x:c>
      <x:c r="G1534" s="117" t="str">
        <x:v>No</x:v>
      </x:c>
      <x:c r="H1534" s="117" t="str">
        <x:v>FieldServiceMobile</x:v>
      </x:c>
    </x:row>
    <x:row r="1535" ht="30" customHeight="1">
      <x:c r="A1535" s="117" t="str">
        <x:v>300Ro00000cwVggIAE</x:v>
      </x:c>
      <x:c r="B1535" s="117" t="str">
        <x:v>Mobile_Create_Work_Order_From_Account</x:v>
      </x:c>
      <x:c r="C1535" s="117" t="str">
        <x:v>Yes</x:v>
      </x:c>
      <x:c r="D1535" s="119" t="str">
        <x:v>Active v1 (Retrieved XML)</x:v>
      </x:c>
      <x:c r="E1535" s="117" t="str">
        <x:v>WorkType</x:v>
      </x:c>
      <x:c r="F1535" s="119" t="str">
        <x:v>Choice Read, Reference</x:v>
      </x:c>
      <x:c r="G1535" s="117" t="str">
        <x:v>No</x:v>
      </x:c>
      <x:c r="H1535" s="117" t="str">
        <x:v>FieldServiceMobile</x:v>
      </x:c>
    </x:row>
    <x:row r="1536" ht="30" customHeight="1">
      <x:c r="A1536" s="117" t="str">
        <x:v>300Ro00000cwVghIAE</x:v>
      </x:c>
      <x:c r="B1536" s="117" t="str">
        <x:v>Mobile_Create_Work_Order_From_Contract_Line_Item</x:v>
      </x:c>
      <x:c r="C1536" s="117" t="str">
        <x:v>Yes</x:v>
      </x:c>
      <x:c r="D1536" s="119" t="str">
        <x:v>Active v1 (Retrieved XML)</x:v>
      </x:c>
      <x:c r="E1536" s="117" t="str">
        <x:v>WorkType</x:v>
      </x:c>
      <x:c r="F1536" s="119" t="str">
        <x:v>Choice Read, Reference</x:v>
      </x:c>
      <x:c r="G1536" s="117" t="str">
        <x:v>No</x:v>
      </x:c>
      <x:c r="H1536" s="117" t="str">
        <x:v>FieldServiceMobile</x:v>
      </x:c>
    </x:row>
    <x:row r="1537" ht="30" customHeight="1">
      <x:c r="A1537" s="117" t="str">
        <x:v>300Ro00000UfjBLIAZ</x:v>
      </x:c>
      <x:c r="B1537" s="117" t="str">
        <x:v>Screen_Work_Order_Create_Tentative_SAs</x:v>
      </x:c>
      <x:c r="C1537" s="117" t="str">
        <x:v>Yes</x:v>
      </x:c>
      <x:c r="D1537" s="119" t="str">
        <x:v>Active v1 (Retrieved XML)</x:v>
      </x:c>
      <x:c r="E1537" s="117" t="str">
        <x:v>WorkType</x:v>
      </x:c>
      <x:c r="F1537" s="119" t="str">
        <x:v>Read, Reference</x:v>
      </x:c>
      <x:c r="G1537" s="117" t="str">
        <x:v>No</x:v>
      </x:c>
      <x:c r="H1537" s="117" t="str">
        <x:v>Flow</x:v>
      </x:c>
    </x:row>
    <x:row r="1538" ht="30" customHeight="1">
      <x:c r="A1538" s="117" t="str">
        <x:v>300Ro00000wE1KhIAK</x:v>
      </x:c>
      <x:c r="B1538" s="117" t="str">
        <x:v>Service_Contract_Create_Contract_Line_Item_Screen_Flow</x:v>
      </x:c>
      <x:c r="C1538" s="117" t="str">
        <x:v>Yes</x:v>
      </x:c>
      <x:c r="D1538" s="119" t="str">
        <x:v>Active v4 (Retrieved XML)</x:v>
      </x:c>
      <x:c r="E1538" s="117" t="str">
        <x:v>WorkType</x:v>
      </x:c>
      <x:c r="F1538" s="119" t="str">
        <x:v>Read, Reference</x:v>
      </x:c>
      <x:c r="G1538" s="117" t="str">
        <x:v>No</x:v>
      </x:c>
      <x:c r="H1538" s="117" t="str">
        <x:v>Flow</x:v>
      </x:c>
    </x:row>
    <x:row r="1539" ht="30" customHeight="1">
      <x:c r="A1539" s="117" t="str">
        <x:v>300Ro00000wDQ8DIAW</x:v>
      </x:c>
      <x:c r="B1539" s="117" t="str">
        <x:v>Service_Contract_Create_Contract_Line_Items_Screen_Flow</x:v>
      </x:c>
      <x:c r="C1539" s="117" t="str">
        <x:v>No</x:v>
      </x:c>
      <x:c r="D1539" s="119" t="str">
        <x:v>Latest inactive v1 (Retrieved XML)</x:v>
      </x:c>
      <x:c r="E1539" s="117" t="str">
        <x:v>WorkType</x:v>
      </x:c>
      <x:c r="F1539" s="119" t="str">
        <x:v>Read, Reference</x:v>
      </x:c>
      <x:c r="G1539" s="117" t="str">
        <x:v>No</x:v>
      </x:c>
      <x:c r="H1539" s="117" t="str">
        <x:v>Flow</x:v>
      </x:c>
    </x:row>
    <x:row r="1540" ht="30" customHeight="1">
      <x:c r="A1540" s="117" t="str">
        <x:v>300Ro00000nsEpqIAE</x:v>
      </x:c>
      <x:c r="B1540" s="117" t="str">
        <x:v>Service_Contract_Renewal_US1</x:v>
      </x:c>
      <x:c r="C1540" s="117" t="str">
        <x:v>Yes</x:v>
      </x:c>
      <x:c r="D1540" s="119" t="str">
        <x:v>Active v11 (Retrieved XML)</x:v>
      </x:c>
      <x:c r="E1540" s="117" t="str">
        <x:v>WorkType</x:v>
      </x:c>
      <x:c r="F1540" s="119" t="str">
        <x:v>Read, Reference</x:v>
      </x:c>
      <x:c r="G1540" s="117" t="str">
        <x:v>No</x:v>
      </x:c>
      <x:c r="H1540" s="117" t="str">
        <x:v>Flow</x:v>
      </x:c>
    </x:row>
    <x:row r="1541" ht="30" customHeight="1">
      <x:c r="A1541" s="117" t="str">
        <x:v>300Ro00000Pz0kwIAB</x:v>
      </x:c>
      <x:c r="B1541" s="117" t="str">
        <x:v>Ultrasound_Checklist</x:v>
      </x:c>
      <x:c r="C1541" s="117" t="str">
        <x:v>Yes</x:v>
      </x:c>
      <x:c r="D1541" s="119" t="str">
        <x:v>Active v32 (Retrieved XML)</x:v>
      </x:c>
      <x:c r="E1541" s="117" t="str">
        <x:v>WorkType</x:v>
      </x:c>
      <x:c r="F1541" s="119" t="str">
        <x:v>Read, Reference</x:v>
      </x:c>
      <x:c r="G1541" s="117" t="str">
        <x:v>No</x:v>
      </x:c>
      <x:c r="H1541" s="117" t="str">
        <x:v>FieldServiceMobile</x:v>
      </x:c>
    </x:row>
    <x:row r="1542" ht="30" customHeight="1">
      <x:c r="A1542" s="117" t="str">
        <x:v>300Ro00000y33GaIAI</x:v>
      </x:c>
      <x:c r="B1542" s="117" t="str">
        <x:v>Generate_Mechanical_Services_Work_Order_Screen_Flow</x:v>
      </x:c>
      <x:c r="C1542" s="117" t="str">
        <x:v>No</x:v>
      </x:c>
      <x:c r="D1542" s="119" t="str">
        <x:v>Latest inactive v1 (Retrieved XML)</x:v>
      </x:c>
      <x:c r="E1542" s="117" t="str">
        <x:v>Work_Order_Asset__c</x:v>
      </x:c>
      <x:c r="F1542" s="119" t="str">
        <x:v>Variable</x:v>
      </x:c>
      <x:c r="G1542" s="117" t="str">
        <x:v>No</x:v>
      </x:c>
      <x:c r="H1542" s="117" t="str">
        <x:v>Flow</x:v>
      </x:c>
    </x:row>
    <x:row r="1543" ht="30" customHeight="1">
      <x:c r="A1543" s="117" t="str">
        <x:v>3005b000000H4EgAAK</x:v>
      </x:c>
      <x:c r="B1543" s="117" t="str">
        <x:v>PM_Task_Assigned_E_Mail_Alerts</x:v>
      </x:c>
      <x:c r="C1543" s="117" t="str">
        <x:v>Yes</x:v>
      </x:c>
      <x:c r="D1543" s="119" t="str">
        <x:v>Active v3 (Retrieved XML)</x:v>
      </x:c>
      <x:c r="E1543" s="117" t="str">
        <x:v>inov8__PMT_Task__c</x:v>
      </x:c>
      <x:c r="F1543" s="119" t="str">
        <x:v>Reference, Trigger</x:v>
      </x:c>
      <x:c r="G1543" s="117" t="str">
        <x:v>Yes</x:v>
      </x:c>
      <x:c r="H1543" s="117" t="str">
        <x:v>AutoLaunchedFlow</x:v>
      </x:c>
    </x:row>
    <x:row r="1544" ht="30" customHeight="1">
      <x:c r="A1544" s="117" t="str">
        <x:v>3004O000000HGWiQAO</x:v>
      </x:c>
      <x:c r="B1544" s="117" t="str">
        <x:v>e2a_Adding_e2a_email_on_Opportunity_record</x:v>
      </x:c>
      <x:c r="C1544" s="117" t="str">
        <x:v>No</x:v>
      </x:c>
      <x:c r="D1544" s="119" t="str">
        <x:v>Latest inactive v1 (Retrieved XML)</x:v>
      </x:c>
      <x:c r="E1544" s="117" t="str">
        <x:v>ortoo_e2a__EmailMessage__c</x:v>
      </x:c>
      <x:c r="F1544" s="119" t="str">
        <x:v>Reference, Update</x:v>
      </x:c>
      <x:c r="G1544" s="117" t="str">
        <x:v>No</x:v>
      </x:c>
      <x:c r="H1544" s="117" t="str">
        <x:v>Workflow</x:v>
      </x:c>
    </x:row>
    <x:row r="1545" ht="30" customHeight="1">
      <x:c r="A1545" s="117" t="str">
        <x:v>3004O0000008mCxQAI</x:v>
      </x:c>
      <x:c r="B1545" s="117" t="str">
        <x:v>e2a_Create_an_opportunity_when_e2a_email_attaches_to_existing_contact</x:v>
      </x:c>
      <x:c r="C1545" s="117" t="str">
        <x:v>Yes</x:v>
      </x:c>
      <x:c r="D1545" s="119" t="str">
        <x:v>Active v7 (Retrieved XML)</x:v>
      </x:c>
      <x:c r="E1545" s="117" t="str">
        <x:v>ortoo_e2a__EmailMessage__c</x:v>
      </x:c>
      <x:c r="F1545" s="119" t="str">
        <x:v>Variable</x:v>
      </x:c>
      <x:c r="G1545" s="117" t="str">
        <x:v>No</x:v>
      </x:c>
      <x:c r="H1545" s="117" t="str">
        <x:v>Workflow</x:v>
      </x:c>
    </x:row>
    <x:row r="1546" ht="30" customHeight="1">
      <x:c r="A1546" s="117" t="str">
        <x:v>300Ro00000zK6USIA0</x:v>
      </x:c>
      <x:c r="B1546" s="117" t="str">
        <x:v>MC_Shipment_Before_Delete_Delivered_Date_Roll_Up</x:v>
      </x:c>
      <x:c r="C1546" s="117" t="str">
        <x:v>Yes</x:v>
      </x:c>
      <x:c r="D1546" s="119" t="str">
        <x:v>Active v1 (Retrieved XML)</x:v>
      </x:c>
      <x:c r="E1546" s="117" t="str">
        <x:v>zkmulti__MCShipment__c</x:v>
      </x:c>
      <x:c r="F1546" s="119" t="str">
        <x:v>Read, Reference, Trigger</x:v>
      </x:c>
      <x:c r="G1546" s="117" t="str">
        <x:v>Yes</x:v>
      </x:c>
      <x:c r="H1546" s="117" t="str">
        <x:v>AutoLaunchedFlow</x:v>
      </x:c>
    </x:row>
    <x:row r="1547" ht="30" customHeight="1">
      <x:c r="A1547" s="117" t="str">
        <x:v>300Ro00000zKZzNIAW</x:v>
      </x:c>
      <x:c r="B1547" s="117" t="str">
        <x:v>MC_Shipment_Before_Delete_Ship_Date_Roll_Up</x:v>
      </x:c>
      <x:c r="C1547" s="117" t="str">
        <x:v>Yes</x:v>
      </x:c>
      <x:c r="D1547" s="119" t="str">
        <x:v>Active v1 (Retrieved XML)</x:v>
      </x:c>
      <x:c r="E1547" s="117" t="str">
        <x:v>zkmulti__MCShipment__c</x:v>
      </x:c>
      <x:c r="F1547" s="119" t="str">
        <x:v>Read, Reference, Trigger</x:v>
      </x:c>
      <x:c r="G1547" s="117" t="str">
        <x:v>Yes</x:v>
      </x:c>
      <x:c r="H1547" s="117" t="str">
        <x:v>AutoLaunchedFlow</x:v>
      </x:c>
    </x:row>
    <x:row r="1548" ht="30" customHeight="1">
      <x:c r="A1548" s="117" t="str">
        <x:v>300Ro00000zK6UTIA0</x:v>
      </x:c>
      <x:c r="B1548" s="117" t="str">
        <x:v>MC_Shipment_on_create_Delivered_Date_Roll_Up</x:v>
      </x:c>
      <x:c r="C1548" s="117" t="str">
        <x:v>Yes</x:v>
      </x:c>
      <x:c r="D1548" s="119" t="str">
        <x:v>Active v1 (Retrieved XML)</x:v>
      </x:c>
      <x:c r="E1548" s="117" t="str">
        <x:v>zkmulti__MCShipment__c</x:v>
      </x:c>
      <x:c r="F1548" s="119" t="str">
        <x:v>Read, Reference, Trigger</x:v>
      </x:c>
      <x:c r="G1548" s="117" t="str">
        <x:v>Yes</x:v>
      </x:c>
      <x:c r="H1548" s="117" t="str">
        <x:v>AutoLaunchedFlow</x:v>
      </x:c>
    </x:row>
    <x:row r="1549" ht="30" customHeight="1">
      <x:c r="A1549" s="117" t="str">
        <x:v>300Ro00000zKZzOIAW</x:v>
      </x:c>
      <x:c r="B1549" s="117" t="str">
        <x:v>MC_Shipment_on_create_Ship_Date_Roll_Up</x:v>
      </x:c>
      <x:c r="C1549" s="117" t="str">
        <x:v>Yes</x:v>
      </x:c>
      <x:c r="D1549" s="119" t="str">
        <x:v>Active v1 (Retrieved XML)</x:v>
      </x:c>
      <x:c r="E1549" s="117" t="str">
        <x:v>zkmulti__MCShipment__c</x:v>
      </x:c>
      <x:c r="F1549" s="119" t="str">
        <x:v>Read, Reference, Trigger</x:v>
      </x:c>
      <x:c r="G1549" s="117" t="str">
        <x:v>Yes</x:v>
      </x:c>
      <x:c r="H1549" s="117" t="str">
        <x:v>AutoLaunchedFlow</x:v>
      </x:c>
    </x:row>
    <x:row r="1550" ht="30" customHeight="1">
      <x:c r="A1550" s="117" t="str">
        <x:v>300Ro00000zK6UUIA0</x:v>
      </x:c>
      <x:c r="B1550" s="117" t="str">
        <x:v>MC_Shipment_on_update_Delivered_Date_Roll_Up</x:v>
      </x:c>
      <x:c r="C1550" s="117" t="str">
        <x:v>Yes</x:v>
      </x:c>
      <x:c r="D1550" s="119" t="str">
        <x:v>Active v1 (Retrieved XML)</x:v>
      </x:c>
      <x:c r="E1550" s="117" t="str">
        <x:v>zkmulti__MCShipment__c</x:v>
      </x:c>
      <x:c r="F1550" s="119" t="str">
        <x:v>Read, Reference, Trigger</x:v>
      </x:c>
      <x:c r="G1550" s="117" t="str">
        <x:v>Yes</x:v>
      </x:c>
      <x:c r="H1550" s="117" t="str">
        <x:v>AutoLaunchedFlow</x:v>
      </x:c>
    </x:row>
    <x:row r="1551" ht="30" customHeight="1">
      <x:c r="A1551" s="117" t="str">
        <x:v>300Ro00000zKZzPIAW</x:v>
      </x:c>
      <x:c r="B1551" s="117" t="str">
        <x:v>MC_Shipment_on_update_Ship_Date_Roll_Up</x:v>
      </x:c>
      <x:c r="C1551" s="117" t="str">
        <x:v>Yes</x:v>
      </x:c>
      <x:c r="D1551" s="119" t="str">
        <x:v>Active v1 (Retrieved XML)</x:v>
      </x:c>
      <x:c r="E1551" s="117" t="str">
        <x:v>zkmulti__MCShipment__c</x:v>
      </x:c>
      <x:c r="F1551" s="119" t="str">
        <x:v>Read, Reference, Trigger</x:v>
      </x:c>
      <x:c r="G1551" s="117" t="str">
        <x:v>Yes</x:v>
      </x:c>
      <x:c r="H1551" s="117" t="str">
        <x:v>AutoLaunchedFlow</x:v>
      </x:c>
    </x:row>
    <x:row r="1552" ht="30" customHeight="1">
      <x:c r="A1552" s="117" t="str">
        <x:v>300Ro000007doaXIAQ</x:v>
      </x:c>
      <x:c r="B1552" s="117" t="str">
        <x:v>MC_Shipment_Rollups</x:v>
      </x:c>
      <x:c r="C1552" s="117" t="str">
        <x:v>Yes</x:v>
      </x:c>
      <x:c r="D1552" s="119" t="str">
        <x:v>Active v2 (Retrieved XML)</x:v>
      </x:c>
      <x:c r="E1552" s="117" t="str">
        <x:v>zkmulti__MCShipment__c</x:v>
      </x:c>
      <x:c r="F1552" s="119" t="str">
        <x:v>Read, Reference, Trigger</x:v>
      </x:c>
      <x:c r="G1552" s="117" t="str">
        <x:v>Yes</x:v>
      </x:c>
      <x:c r="H1552" s="117" t="str">
        <x:v>AutoLaunchedFlow</x:v>
      </x:c>
    </x:row>
    <x:row r="1553" ht="30" customHeight="1">
      <x:c r="A1553" s="117" t="str">
        <x:v>300Ro00000zKj13IAC</x:v>
      </x:c>
      <x:c r="B1553" s="117" t="str">
        <x:v>MCShipment_Before_Delete_Tracking_to_Loaner_Roll_Up</x:v>
      </x:c>
      <x:c r="C1553" s="117" t="str">
        <x:v>Yes</x:v>
      </x:c>
      <x:c r="D1553" s="119" t="str">
        <x:v>Active v1 (Retrieved XML)</x:v>
      </x:c>
      <x:c r="E1553" s="117" t="str">
        <x:v>zkmulti__MCShipment__c</x:v>
      </x:c>
      <x:c r="F1553" s="119" t="str">
        <x:v>Read, Reference, Trigger</x:v>
      </x:c>
      <x:c r="G1553" s="117" t="str">
        <x:v>Yes</x:v>
      </x:c>
      <x:c r="H1553" s="117" t="str">
        <x:v>AutoLaunchedFlow</x:v>
      </x:c>
    </x:row>
    <x:row r="1554" ht="30" customHeight="1">
      <x:c r="A1554" s="117" t="str">
        <x:v>300Ro00000zKj14IAC</x:v>
      </x:c>
      <x:c r="B1554" s="117" t="str">
        <x:v>MCShipment_on_create_Tracking_to_Loaner_Roll_Up</x:v>
      </x:c>
      <x:c r="C1554" s="117" t="str">
        <x:v>Yes</x:v>
      </x:c>
      <x:c r="D1554" s="119" t="str">
        <x:v>Active v1 (Retrieved XML)</x:v>
      </x:c>
      <x:c r="E1554" s="117" t="str">
        <x:v>zkmulti__MCShipment__c</x:v>
      </x:c>
      <x:c r="F1554" s="119" t="str">
        <x:v>Read, Reference, Trigger</x:v>
      </x:c>
      <x:c r="G1554" s="117" t="str">
        <x:v>Yes</x:v>
      </x:c>
      <x:c r="H1554" s="117" t="str">
        <x:v>AutoLaunchedFlow</x:v>
      </x:c>
    </x:row>
    <x:row r="1555" ht="30" customHeight="1">
      <x:c r="A1555" s="117" t="str">
        <x:v>300Ro00000zKj15IAC</x:v>
      </x:c>
      <x:c r="B1555" s="117" t="str">
        <x:v>MCShipment_on_update_Tracking_to_Loaner_Roll_Up</x:v>
      </x:c>
      <x:c r="C1555" s="117" t="str">
        <x:v>Yes</x:v>
      </x:c>
      <x:c r="D1555" s="119" t="str">
        <x:v>Active v1 (Retrieved XML)</x:v>
      </x:c>
      <x:c r="E1555" s="117" t="str">
        <x:v>zkmulti__MCShipment__c</x:v>
      </x:c>
      <x:c r="F1555" s="119" t="str">
        <x:v>Read, Reference, Trigger</x:v>
      </x:c>
      <x:c r="G1555" s="117" t="str">
        <x:v>Yes</x:v>
      </x:c>
      <x:c r="H1555" s="117" t="str">
        <x:v>AutoLaunchedFlow</x:v>
      </x:c>
    </x:row>
    <x:row r="1556" ht="30" customHeight="1">
      <x:c r="A1556" s="117" t="str">
        <x:v>300Ro00000oFvSfIAK</x:v>
      </x:c>
      <x:c r="B1556" s="117" t="str">
        <x:v>On_Service_Appointment_Enable_Zenkraft_Shipping_Label_Creation</x:v>
      </x:c>
      <x:c r="C1556" s="117" t="str">
        <x:v>No</x:v>
      </x:c>
      <x:c r="D1556" s="119" t="str">
        <x:v>Latest inactive v1 (Retrieved XML)</x:v>
      </x:c>
      <x:c r="E1556" s="117" t="str">
        <x:v>zkmulti__MCShipment__c</x:v>
      </x:c>
      <x:c r="F1556" s="119" t="str">
        <x:v>Variable</x:v>
      </x:c>
      <x:c r="G1556" s="117" t="str">
        <x:v>No</x:v>
      </x:c>
      <x:c r="H1556" s="117" t="str">
        <x:v>Flow</x:v>
      </x:c>
    </x:row>
    <x:row r="1557" ht="30" customHeight="1">
      <x:c r="A1557" s="117" t="str">
        <x:v>3005b000000H3vUAAS</x:v>
      </x:c>
      <x:c r="B1557" s="117" t="str">
        <x:v>Send_email_with_attachment_shipment</x:v>
      </x:c>
      <x:c r="C1557" s="117" t="str">
        <x:v>Yes</x:v>
      </x:c>
      <x:c r="D1557" s="119" t="str">
        <x:v>Active v11 (Retrieved XML)</x:v>
      </x:c>
      <x:c r="E1557" s="117" t="str">
        <x:v>zkmulti__MCShipment__c</x:v>
      </x:c>
      <x:c r="F1557" s="119" t="str">
        <x:v>Reference, Trigger</x:v>
      </x:c>
      <x:c r="G1557" s="117" t="str">
        <x:v>Yes</x:v>
      </x:c>
      <x:c r="H1557" s="117" t="str">
        <x:v>AutoLaunchedFlow</x:v>
      </x:c>
    </x:row>
    <x:row r="1558" ht="30" customHeight="1">
      <x:c r="A1558" s="117" t="str">
        <x:v>3004O000000TiZ0QAK</x:v>
      </x:c>
      <x:c r="B1558" s="117" t="str">
        <x:v>Set_Ship_Date_from_Shipment_Record</x:v>
      </x:c>
      <x:c r="C1558" s="117" t="str">
        <x:v>Yes</x:v>
      </x:c>
      <x:c r="D1558" s="119" t="str">
        <x:v>Active v9 (Tooling metadata)</x:v>
      </x:c>
      <x:c r="E1558" s="117" t="str">
        <x:v>zkmulti__MCShipment__c</x:v>
      </x:c>
      <x:c r="F1558" s="119" t="str">
        <x:v>Variable</x:v>
      </x:c>
      <x:c r="G1558" s="117" t="str">
        <x:v>No</x:v>
      </x:c>
      <x:c r="H1558" s="117" t="str">
        <x:v>Workflow</x:v>
      </x:c>
    </x:row>
    <x:row r="1559" ht="30" customHeight="1">
      <x:c r="A1559" s="117" t="str">
        <x:v>3004O0000000a5sQAA</x:v>
      </x:c>
      <x:c r="B1559" s="117" t="str">
        <x:v>ZENKRAFT_Email_Label_When_Return_Shipment_Created</x:v>
      </x:c>
      <x:c r="C1559" s="117" t="str">
        <x:v>Yes</x:v>
      </x:c>
      <x:c r="D1559" s="119" t="str">
        <x:v>Active v1 (Retrieved XML)</x:v>
      </x:c>
      <x:c r="E1559" s="117" t="str">
        <x:v>zkmulti__MCShipment__c</x:v>
      </x:c>
      <x:c r="F1559" s="119" t="str">
        <x:v>Variable</x:v>
      </x:c>
      <x:c r="G1559" s="117" t="str">
        <x:v>No</x:v>
      </x:c>
      <x:c r="H1559" s="117" t="str">
        <x:v>Workflow</x:v>
      </x:c>
    </x:row>
  </x:sheetData>
  <x:mergeCells>
    <x:mergeCell ref="A1:H1"/>
    <x:mergeCell ref="A2:H2"/>
  </x:mergeCells>
  <x:pageMargins left="0.7" right="0.7" top="0.75" bottom="0.75" header="0.3" footer="0.3"/>
  <x:tableParts count="1">
    <x:tablePart xmlns:r="http://schemas.openxmlformats.org/officeDocument/2006/relationships" r:id="R836d2ca36f144c2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36" hidden="0" customWidth="1"/>
    <x:col min="3" max="3" width="42" hidden="0" customWidth="1"/>
    <x:col min="4" max="4" width="24" hidden="0" customWidth="1"/>
    <x:col min="5" max="5" width="42" hidden="0" customWidth="1"/>
    <x:col min="6" max="6" width="20" hidden="0" customWidth="1"/>
    <x:col min="7" max="7" width="16" hidden="0" customWidth="1"/>
    <x:col min="8" max="8" width="55" hidden="0" customWidth="1"/>
    <x:col min="9" max="9" width="42" hidden="0" customWidth="1"/>
    <x:col min="10" max="10" width="55" hidden="0" customWidth="1"/>
  </x:cols>
  <x:sheetData>
    <x:row r="1" ht="28" customHeight="1">
      <x:c r="A1" s="3" t="str">
        <x:v>Code Inventory — Apex, Triggers, LWC, and Aura</x:v>
      </x:c>
      <x:c r="B1" s="3"/>
      <x:c r="C1" s="3"/>
      <x:c r="D1" s="3"/>
      <x:c r="E1" s="3"/>
      <x:c r="F1" s="3"/>
      <x:c r="G1" s="3"/>
      <x:c r="H1" s="3"/>
      <x:c r="I1" s="3"/>
      <x:c r="J1" s="3"/>
    </x:row>
    <x:row r="2" ht="34" customHeight="1">
      <x:c r="A2" s="7" t="str">
        <x:v>Retrieved code inventory with exact trigger targets, Invocable Apex markers, Flow-screen exposure, direct Flow references, Apex imports, and object-schema references.</x:v>
      </x:c>
      <x:c r="B2" s="7"/>
      <x:c r="C2" s="7"/>
      <x:c r="D2" s="7"/>
      <x:c r="E2" s="7"/>
      <x:c r="F2" s="7"/>
      <x:c r="G2" s="7"/>
      <x:c r="H2" s="7"/>
      <x:c r="I2" s="7"/>
      <x:c r="J2" s="7"/>
    </x:row>
    <x:row r="4" ht="36" customHeight="1">
      <x:c r="A4" s="114" t="str">
        <x:v>Component Type</x:v>
      </x:c>
      <x:c r="B4" s="115" t="str">
        <x:v>Component</x:v>
      </x:c>
      <x:c r="C4" s="115" t="str">
        <x:v>Status / Exposure</x:v>
      </x:c>
      <x:c r="D4" s="115" t="str">
        <x:v>Primary Object</x:v>
      </x:c>
      <x:c r="E4" s="115" t="str">
        <x:v>Events / Targets</x:v>
      </x:c>
      <x:c r="F4" s="115" t="str">
        <x:v>Invocable / Flow Screen</x:v>
      </x:c>
      <x:c r="G4" s="115" t="str">
        <x:v>Direct Flow References</x:v>
      </x:c>
      <x:c r="H4" s="115" t="str">
        <x:v>Referenced Flows</x:v>
      </x:c>
      <x:c r="I4" s="115" t="str">
        <x:v>Referenced Apex</x:v>
      </x:c>
      <x:c r="J4" s="116" t="str">
        <x:v>Objects Referenced</x:v>
      </x:c>
    </x:row>
    <x:row r="5" ht="46" customHeight="1">
      <x:c r="A5" s="117" t="str">
        <x:v>Apex Trigger</x:v>
      </x:c>
      <x:c r="B5" s="117" t="str">
        <x:v>ContentDocumentLinkTrigger</x:v>
      </x:c>
      <x:c r="C5" s="119" t="str">
        <x:v>Active</x:v>
      </x:c>
      <x:c r="D5" s="117" t="str">
        <x:v>ContentDocumentLink</x:v>
      </x:c>
      <x:c r="E5" s="119" t="str">
        <x:v>after insert</x:v>
      </x:c>
      <x:c r="F5" s="117" t="str">
        <x:v>N/A</x:v>
      </x:c>
      <x:c r="G5" s="118" t="n">
        <x:v>0</x:v>
      </x:c>
      <x:c r="H5" s="119" t="str"/>
      <x:c r="I5" s="119" t="str"/>
      <x:c r="J5" s="119" t="str">
        <x:v>ContentDocumentLink</x:v>
      </x:c>
    </x:row>
    <x:row r="6" ht="46" customHeight="1">
      <x:c r="A6" s="117" t="str">
        <x:v>Apex Trigger</x:v>
      </x:c>
      <x:c r="B6" s="117" t="str">
        <x:v>CreateApprovedRepairs</x:v>
      </x:c>
      <x:c r="C6" s="119" t="str">
        <x:v>Active</x:v>
      </x:c>
      <x:c r="D6" s="117" t="str">
        <x:v>RMA__c</x:v>
      </x:c>
      <x:c r="E6" s="119" t="str">
        <x:v>before insert, before update, after update</x:v>
      </x:c>
      <x:c r="F6" s="117" t="str">
        <x:v>N/A</x:v>
      </x:c>
      <x:c r="G6" s="118" t="n">
        <x:v>11</x:v>
      </x:c>
      <x:c r="H6" s="119" t="str">
        <x:v>Create_shipment_from_customer_portal, On_Create_Asynchronous_Update_RMA_with_Related_Work_Order, Original_Time_Warranty_Loaner_Action_Approved_Update, RMA_Automations, RMA_Notify_Engineer_on_Probe_Repair_WO_Creation, RMA_On_Setting_of_Date_Approved_to_Ship_update_Opportunity_Stage_to_Ready_to_Shi, RMA_Re_sync_RMA_if_Errored, Set_Service_Appointment_on_RMA_when_Work_Order_Attached, UK_RMA_Item_Received_Alert, US_FSL_RMA_Date_Repair_Evaluation_Sent, US_FSL_RMA_On_Probe_Check_In_for_Repair_Set_Date_Checked_In_on_Work_Order</x:v>
      </x:c>
      <x:c r="I6" s="119" t="str"/>
      <x:c r="J6" s="119" t="str">
        <x:v>RMA__c</x:v>
      </x:c>
    </x:row>
    <x:row r="7" ht="46" customHeight="1">
      <x:c r="A7" s="117" t="str">
        <x:v>Apex Trigger</x:v>
      </x:c>
      <x:c r="B7" s="117" t="str">
        <x:v>CreditMemoTrigger</x:v>
      </x:c>
      <x:c r="C7" s="119" t="str">
        <x:v>Active</x:v>
      </x:c>
      <x:c r="D7" s="117" t="str">
        <x:v>Credit_Memo__c</x:v>
      </x:c>
      <x:c r="E7" s="119" t="str">
        <x:v>before update</x:v>
      </x:c>
      <x:c r="F7" s="117" t="str">
        <x:v>N/A</x:v>
      </x:c>
      <x:c r="G7" s="118" t="n">
        <x:v>6</x:v>
      </x:c>
      <x:c r="H7" s="119" t="str">
        <x:v>CM_Set_Initial_Credit_Memo_Amount_from_Lines, Credit_Memo_1, Credit_Memo_Sync_Notification, Credit_Memo_Sync_Retry, RMA_Rollups, Send_Credit_Memo_PDF_to_Customer</x:v>
      </x:c>
      <x:c r="I7" s="119" t="str"/>
      <x:c r="J7" s="119" t="str">
        <x:v>Credit_Memo__c</x:v>
      </x:c>
    </x:row>
    <x:row r="8" ht="46" customHeight="1">
      <x:c r="A8" s="117" t="str">
        <x:v>Apex Trigger</x:v>
      </x:c>
      <x:c r="B8" s="117" t="str">
        <x:v>dlrs_CommissionTrigger</x:v>
      </x:c>
      <x:c r="C8" s="119" t="str">
        <x:v>Active</x:v>
      </x:c>
      <x:c r="D8" s="117" t="str">
        <x:v>Commission__c</x:v>
      </x:c>
      <x:c r="E8" s="119" t="str">
        <x:v>before delete, before insert, before update, after delete, after insert, after undelete, after update</x:v>
      </x:c>
      <x:c r="F8" s="117" t="str">
        <x:v>N/A</x:v>
      </x:c>
      <x:c r="G8" s="118" t="n">
        <x:v>1</x:v>
      </x:c>
      <x:c r="H8" s="119" t="str">
        <x:v>Commission_Rollups</x:v>
      </x:c>
      <x:c r="I8" s="119" t="str"/>
      <x:c r="J8" s="119" t="str">
        <x:v>Commission__c</x:v>
      </x:c>
    </x:row>
    <x:row r="9" ht="46" customHeight="1">
      <x:c r="A9" s="117" t="str">
        <x:v>Apex Trigger</x:v>
      </x:c>
      <x:c r="B9" s="117" t="str">
        <x:v>dlrs_Credit_MemoTrigger</x:v>
      </x:c>
      <x:c r="C9" s="119" t="str">
        <x:v>Active</x:v>
      </x:c>
      <x:c r="D9" s="117" t="str">
        <x:v>Credit_Memo__c</x:v>
      </x:c>
      <x:c r="E9" s="119" t="str">
        <x:v>before delete, before insert, before update, after delete, after insert, after undelete, after update</x:v>
      </x:c>
      <x:c r="F9" s="117" t="str">
        <x:v>N/A</x:v>
      </x:c>
      <x:c r="G9" s="118" t="n">
        <x:v>6</x:v>
      </x:c>
      <x:c r="H9" s="119" t="str">
        <x:v>CM_Set_Initial_Credit_Memo_Amount_from_Lines, Credit_Memo_1, Credit_Memo_Sync_Notification, Credit_Memo_Sync_Retry, RMA_Rollups, Send_Credit_Memo_PDF_to_Customer</x:v>
      </x:c>
      <x:c r="I9" s="119" t="str"/>
      <x:c r="J9" s="119" t="str">
        <x:v>Credit_Memo__c</x:v>
      </x:c>
    </x:row>
    <x:row r="10" ht="46" customHeight="1">
      <x:c r="A10" s="117" t="str">
        <x:v>Apex Trigger</x:v>
      </x:c>
      <x:c r="B10" s="117" t="str">
        <x:v>dlrs_Harvest_Work_OrderTrigger</x:v>
      </x:c>
      <x:c r="C10" s="119" t="str">
        <x:v>Active</x:v>
      </x:c>
      <x:c r="D10" s="117" t="str">
        <x:v>Harvest_Work_Order__c</x:v>
      </x:c>
      <x:c r="E10" s="119" t="str">
        <x:v>before delete, before insert, before update, after delete, after insert, after undelete, after update</x:v>
      </x:c>
      <x:c r="F10" s="117" t="str">
        <x:v>N/A</x:v>
      </x:c>
      <x:c r="G10" s="118" t="n">
        <x:v>4</x:v>
      </x:c>
      <x:c r="H10" s="119" t="str">
        <x:v>Auto_Close_SWO_HWO_Scrap_Asset, Harvest_Work_Order_Creation_Update_System_Work_Order_With_Harvest_Work_Order, Harvest_Work_Order_Roll_Up_Flow, Harvest_Work_Order_to_System_Work_Order</x:v>
      </x:c>
      <x:c r="I10" s="119" t="str"/>
      <x:c r="J10" s="119" t="str">
        <x:v>Harvest_Work_Order__c</x:v>
      </x:c>
    </x:row>
    <x:row r="11" ht="46" customHeight="1">
      <x:c r="A11" s="117" t="str">
        <x:v>Apex Trigger</x:v>
      </x:c>
      <x:c r="B11" s="117" t="str">
        <x:v>dlrs_InvoiceTrigger</x:v>
      </x:c>
      <x:c r="C11" s="119" t="str">
        <x:v>Active</x:v>
      </x:c>
      <x:c r="D11" s="117" t="str">
        <x:v>Invoice__c</x:v>
      </x:c>
      <x:c r="E11" s="119" t="str">
        <x:v>before delete, before insert, before update, after delete, after insert, after undelete, after update</x:v>
      </x:c>
      <x:c r="F11" s="117" t="str">
        <x:v>N/A</x:v>
      </x:c>
      <x:c r="G11" s="118" t="n">
        <x:v>6</x:v>
      </x:c>
      <x:c r="H11" s="119" t="str">
        <x:v>Invoice_Automations, Invoice_Create_Invoice_Line_Items, Invoice_Re_sync_if_Errored, Invoice_Rollups, Invoice_Sync_Notification, On_Payment_of_Invoice_Update_Opportunity_to_Invoice_Paid</x:v>
      </x:c>
      <x:c r="I11" s="119" t="str"/>
      <x:c r="J11" s="119" t="str">
        <x:v>Invoice__c</x:v>
      </x:c>
    </x:row>
    <x:row r="12" ht="46" customHeight="1">
      <x:c r="A12" s="117" t="str">
        <x:v>Apex Trigger</x:v>
      </x:c>
      <x:c r="B12" s="117" t="str">
        <x:v>dlrs_ProductItemTrigger</x:v>
      </x:c>
      <x:c r="C12" s="119" t="str">
        <x:v>Active</x:v>
      </x:c>
      <x:c r="D12" s="117" t="str">
        <x:v>ProductItem__c</x:v>
      </x:c>
      <x:c r="E12" s="119" t="str">
        <x:v>before delete, before insert, before update, after delete, after insert, after undelete, after update</x:v>
      </x:c>
      <x:c r="F12" s="117" t="str">
        <x:v>N/A</x:v>
      </x:c>
      <x:c r="G12" s="118" t="n">
        <x:v>56</x:v>
      </x:c>
      <x:c r="H12" s="119" t="str">
        <x:v>Add_Product_Record_Type_Name_to_Asset_Record, Asset_Automations, Asset_Check_in_Type, Asset_Creation_After_Save_Update_Product_Analytics, Asset_Update_After_Save_Set_Product_Analytics_on_Product_Name_Change, Charge_for_Removal_Update_Flow_for_Big_Iron_Equipment, Coil_RMA_Update_Last_Test_Completed_Date_Flow, Missing_Asset_Checkbox_Notification_on_Asset2, On_Asset_Creation_Set_Currency_to_Purchasing_Opportunity_Currency, Probe_Loan_ROI_Calculations_FLow, ProductItem_Asynchronous_on_create_Estimated_Sales_Price_Roll_Up, ProductItem_Asynchronous_on_create_HWO_Total_Cost_Roll_Up, ProductItem_Asynchronous_on_create_HWO_Total_Revenue_Roll_Up, ProductItem_Asynchronous_on_create_Item_Receipt_Amount_Roll_Up, ProductItem_Asynchronous_on_create_Loaner_Asset_Number_Roll_Up, ProductItem_Asynchronous_on_create_Loaner_Location_Roll_Up, ProductItem_Asynchronous_on_create_Loaner_Serial_Number_Roll_Up, ProductItem_Asynchronous_on_create_Max_Bid_Roll_Up, ProductItem_Asynchronous_on_create_NumberCheckedIn_PO_Roll_Up, ProductItem_Asynchronous_on_create_Pur_Op_Total_Cost_Roll_Up, ProductItem_Asynchronous_on_create_Pur_Op_Total_Cost_of_Unsold_Assets_Roll_Up, ProductItem_Asynchronous_on_create_Pur_Op_Working_Capital_Usage_Days_Roll_Up, ProductItem_Asynchronous_on_create_Rental_Order_Price_Roll_Up, ProductItem_Asynchronous_on_create_Starting_Bid_Roll_Up, ProductItem_Asynchronous_on_update_Estimated_Sales_Price_Roll_Up, ProductItem_Asynchronous_on_update_HWO_Total_Cost_Roll_Up, ProductItem_Asynchronous_on_update_HWO_Total_Revenue_Roll_Up, ProductItem_Asynchronous_on_update_Item_Receipt_Amount_Roll_Up, ProductItem_Asynchronous_on_update_Loaner_Asset_Number_Roll_Up, ProductItem_Asynchronous_on_update_Loaner_Location_Roll_Up, ProductItem_Asynchronous_on_update_Loaner_Serial_Number_Roll_Up, ProductItem_Asynchronous_on_update_Max_Bid_Roll_Up, ProductItem_Asynchronous_on_update_NumberCheckedIn_PO_Roll_Up, ProductItem_Asynchronous_on_update_Starting_Bid_Roll_Up, ProductItem_Before_Delete_Item_Receipt_Amount_Roll_Up, ProductItem_Before_Delete_Loaner_Asset_Number_Roll_Up, ProductItem_Before_Delete_Loaner_Location_Roll_Up, ProductItem_Before_Delete_Loaner_Serial_Number_Roll_Up, ProductItem_Before_Delete_Pur_Op_Total_Cost_Roll_Up, ProductItem_Before_Delete_Pur_Op_Total_Cost_of_Unsold_Assets_Roll_Up, ProductItem_Before_Delete_Pur_Op_Working_Capital_Usage_Days_Roll_Up, ProductItem_Before_delete_Estimated_Sales_Price_Roll_Up, ProductItem_Before_delete_HWO_Total_Cost_Roll_Up, ProductItem_Before_delete_HWO_Total_Revenue_Roll_Up, ProductItem_Before_delete_Max_Bid_Roll_Up, ProductItem_Before_delete_NumberCheckedIn_PO_Roll_Up, ProductItem_Before_delete_Rental_Order_Price_Roll_Up, ProductItem_Before_delete_Starting_Bid_Roll_Up, ProductItem_on_update_Pur_Op_Total_Cost_Roll_Up, ProductItem_on_update_Pur_Op_Total_Cost_of_Unsold_Assets_Roll_Up, ProductItem_on_update_Pur_Op_Working_Capital_Usage_Days_Roll_Up, ProductItem_on_update_Rental_Order_Price_Roll_Up, QA_Required_Auto_Update_from_Assets_for_UK, UK_Customer_Repair_Received, Update_Asset_to_Finished_Goods_Flow, Update_Move_to_Fixed_Assets_Flow</x:v>
      </x:c>
      <x:c r="I12" s="119" t="str"/>
      <x:c r="J12" s="119" t="str">
        <x:v>ProductItem__c</x:v>
      </x:c>
    </x:row>
    <x:row r="13" ht="46" customHeight="1">
      <x:c r="A13" s="117" t="str">
        <x:v>Apex Trigger</x:v>
      </x:c>
      <x:c r="B13" s="117" t="str">
        <x:v>dlrs_Project_ExpenseTrigger</x:v>
      </x:c>
      <x:c r="C13" s="119" t="str">
        <x:v>Active</x:v>
      </x:c>
      <x:c r="D13" s="117" t="str">
        <x:v>Project_Expense__c</x:v>
      </x:c>
      <x:c r="E13" s="119" t="str">
        <x:v>before delete, before insert, before update, after delete, after insert, after undelete, after update</x:v>
      </x:c>
      <x:c r="F13" s="117" t="str">
        <x:v>N/A</x:v>
      </x:c>
      <x:c r="G13" s="118" t="n">
        <x:v>1</x:v>
      </x:c>
      <x:c r="H13" s="119" t="str">
        <x:v>Project_Expenses_Rollups</x:v>
      </x:c>
      <x:c r="I13" s="119" t="str"/>
      <x:c r="J13" s="119" t="str">
        <x:v>Project_Expense__c</x:v>
      </x:c>
    </x:row>
    <x:row r="14" ht="46" customHeight="1">
      <x:c r="A14" s="117" t="str">
        <x:v>Apex Trigger</x:v>
      </x:c>
      <x:c r="B14" s="117" t="str">
        <x:v>EvalUpdateFields</x:v>
      </x:c>
      <x:c r="C14" s="119" t="str">
        <x:v>Active</x:v>
      </x:c>
      <x:c r="D14" s="117" t="str">
        <x:v>Evaluation_Natalie__c</x:v>
      </x:c>
      <x:c r="E14" s="119" t="str">
        <x:v>before insert, before update</x:v>
      </x:c>
      <x:c r="F14" s="117" t="str">
        <x:v>N/A</x:v>
      </x:c>
      <x:c r="G14" s="118" t="n">
        <x:v>2</x:v>
      </x:c>
      <x:c r="H14" s="119" t="str">
        <x:v>Mark_Asmer_Evaluation_Update_Email_Flow, Send_Post_Repair_Evaluation_Email</x:v>
      </x:c>
      <x:c r="I14" s="119" t="str"/>
      <x:c r="J14" s="119" t="str">
        <x:v>Evaluation_Natalie__c</x:v>
      </x:c>
    </x:row>
    <x:row r="15" ht="46" customHeight="1">
      <x:c r="A15" s="117" t="str">
        <x:v>Apex Trigger</x:v>
      </x:c>
      <x:c r="B15" s="117" t="str">
        <x:v>HarvestParts</x:v>
      </x:c>
      <x:c r="C15" s="119" t="str">
        <x:v>Inactive</x:v>
      </x:c>
      <x:c r="D15" s="117" t="str">
        <x:v>Product_Repair__c</x:v>
      </x:c>
      <x:c r="E15" s="119" t="str">
        <x:v>after insert, after update</x:v>
      </x:c>
      <x:c r="F15" s="117" t="str">
        <x:v>N/A</x:v>
      </x:c>
      <x:c r="G15" s="118" t="n">
        <x:v>0</x:v>
      </x:c>
      <x:c r="H15" s="119" t="str"/>
      <x:c r="I15" s="119" t="str"/>
      <x:c r="J15" s="119" t="str">
        <x:v>Product_Repair__c</x:v>
      </x:c>
    </x:row>
    <x:row r="16" ht="46" customHeight="1">
      <x:c r="A16" s="117" t="str">
        <x:v>Apex Trigger</x:v>
      </x:c>
      <x:c r="B16" s="117" t="str">
        <x:v>ItemReceiptTrigger</x:v>
      </x:c>
      <x:c r="C16" s="119" t="str">
        <x:v>Active</x:v>
      </x:c>
      <x:c r="D16" s="117" t="str">
        <x:v>Item_Receipt__c</x:v>
      </x:c>
      <x:c r="E16" s="119" t="str">
        <x:v>before update</x:v>
      </x:c>
      <x:c r="F16" s="117" t="str">
        <x:v>N/A</x:v>
      </x:c>
      <x:c r="G16" s="118" t="n">
        <x:v>4</x:v>
      </x:c>
      <x:c r="H16" s="119" t="str">
        <x:v>Item_Receipt_Automations, Item_Receipt_Error_Email_to_Activate_Vendor_for_Item_Receipt, Item_Receipt_Run_Trigger_Update_if_needed_for_Sync, TEMP_IR_Product_Creation</x:v>
      </x:c>
      <x:c r="I16" s="119" t="str"/>
      <x:c r="J16" s="119" t="str">
        <x:v>Item_Receipt__c</x:v>
      </x:c>
    </x:row>
    <x:row r="17" ht="46" customHeight="1">
      <x:c r="A17" s="117" t="str">
        <x:v>Apex Trigger</x:v>
      </x:c>
      <x:c r="B17" s="117" t="str">
        <x:v>LoanerAssetTrigger</x:v>
      </x:c>
      <x:c r="C17" s="119" t="str">
        <x:v>Active</x:v>
      </x:c>
      <x:c r="D17" s="117" t="str">
        <x:v>Loaner_Asset__c</x:v>
      </x:c>
      <x:c r="E17" s="119" t="str">
        <x:v>before insert, before update, after insert, after update</x:v>
      </x:c>
      <x:c r="F17" s="117" t="str">
        <x:v>N/A</x:v>
      </x:c>
      <x:c r="G17" s="118" t="n">
        <x:v>9</x:v>
      </x:c>
      <x:c r="H17" s="119" t="str">
        <x:v>Loaner_Asset_Asynchronous_on_create_Loaner_Asset_Roll_Up, Loaner_Asset_Asynchronous_on_create_Loaner_Location_Roll_Up, Loaner_Asset_Asynchronous_on_create_Loaner_Serial_Roll_Up, Loaner_Asset_Asynchronous_on_update_Loaner_Location_Roll_Up, Loaner_Asset_Before_Delete_Loaner_Asset_Roll_Up, Loaner_Asset_Before_Delete_Loaner_Location_Roll_Up, Loaner_Asset_Before_Delete_Loaner_Serial_Roll_Up, Loaner_Asset_on_update_Loaner_Asset_Roll_Up, Loaner_Asset_on_update_Loaner_Serial_Roll_Up</x:v>
      </x:c>
      <x:c r="I17" s="119" t="str"/>
      <x:c r="J17" s="119" t="str">
        <x:v>Loaner_Asset__c</x:v>
      </x:c>
    </x:row>
    <x:row r="18" ht="46" customHeight="1">
      <x:c r="A18" s="117" t="str">
        <x:v>Apex Trigger</x:v>
      </x:c>
      <x:c r="B18" s="117" t="str">
        <x:v>LoanerTrigger</x:v>
      </x:c>
      <x:c r="C18" s="119" t="str">
        <x:v>Active</x:v>
      </x:c>
      <x:c r="D18" s="117" t="str">
        <x:v>Loaner__c</x:v>
      </x:c>
      <x:c r="E18" s="119" t="str">
        <x:v>before insert, before update</x:v>
      </x:c>
      <x:c r="F18" s="117" t="str">
        <x:v>N/A</x:v>
      </x:c>
      <x:c r="G18" s="118" t="n">
        <x:v>4</x:v>
      </x:c>
      <x:c r="H18" s="119" t="str">
        <x:v>Loaner_Object_Updates_and_Alerts, On_Creation_of_Loaner_Set_Shipping_Account_to_Bill_Customer_Fedex_System, On_Setting_of_Repair_Opportunity_Set_Shipping_Account_to_Bill_Customer_Fedex_Sys, US_FSL_On_Creation_of_Loaner_add_Loaner_to_Work_Order</x:v>
      </x:c>
      <x:c r="I18" s="119" t="str"/>
      <x:c r="J18" s="119" t="str">
        <x:v>Loaner__c</x:v>
      </x:c>
    </x:row>
    <x:row r="19" ht="46" customHeight="1">
      <x:c r="A19" s="117" t="str">
        <x:v>Apex Trigger</x:v>
      </x:c>
      <x:c r="B19" s="117" t="str">
        <x:v>MoveLocationUpdate</x:v>
      </x:c>
      <x:c r="C19" s="119" t="str">
        <x:v>Active</x:v>
      </x:c>
      <x:c r="D19" s="117" t="str">
        <x:v>Move_Location__c</x:v>
      </x:c>
      <x:c r="E19" s="119" t="str">
        <x:v>after insert, after update</x:v>
      </x:c>
      <x:c r="F19" s="117" t="str">
        <x:v>N/A</x:v>
      </x:c>
      <x:c r="G19" s="118" t="n">
        <x:v>0</x:v>
      </x:c>
      <x:c r="H19" s="119" t="str"/>
      <x:c r="I19" s="119" t="str"/>
      <x:c r="J19" s="119" t="str">
        <x:v>Move_Location__c</x:v>
      </x:c>
    </x:row>
    <x:row r="20" ht="46" customHeight="1">
      <x:c r="A20" s="117" t="str">
        <x:v>Apex Trigger</x:v>
      </x:c>
      <x:c r="B20" s="117" t="str">
        <x:v>P_AccountTrigger</x:v>
      </x:c>
      <x:c r="C20" s="119" t="str">
        <x:v>Active</x:v>
      </x:c>
      <x:c r="D20" s="117" t="str">
        <x:v>Account</x:v>
      </x:c>
      <x:c r="E20" s="119" t="str">
        <x:v>before update, before delete</x:v>
      </x:c>
      <x:c r="F20" s="117" t="str">
        <x:v>N/A</x:v>
      </x:c>
      <x:c r="G20" s="118" t="n">
        <x:v>4</x:v>
      </x:c>
      <x:c r="H20" s="119" t="str">
        <x:v>AccountFieldUpdateFlow, Account_Created_by_EU_UK, AvaTax_Account_Update_AvaTax_Exemption_Message_Flow, Record_Triggered_After_Account_Prevent_Intact_Sync_Status_Change</x:v>
      </x:c>
      <x:c r="I20" s="119" t="str"/>
      <x:c r="J20" s="119" t="str">
        <x:v>Account</x:v>
      </x:c>
    </x:row>
    <x:row r="21" ht="46" customHeight="1">
      <x:c r="A21" s="117" t="str">
        <x:v>Apex Trigger</x:v>
      </x:c>
      <x:c r="B21" s="117" t="str">
        <x:v>P_CaseTrigger</x:v>
      </x:c>
      <x:c r="C21" s="119" t="str">
        <x:v>Active</x:v>
      </x:c>
      <x:c r="D21" s="117" t="str">
        <x:v>Case</x:v>
      </x:c>
      <x:c r="E21" s="119" t="str">
        <x:v>before insert</x:v>
      </x:c>
      <x:c r="F21" s="117" t="str">
        <x:v>N/A</x:v>
      </x:c>
      <x:c r="G21" s="118" t="n">
        <x:v>5</x:v>
      </x:c>
      <x:c r="H21" s="119" t="str">
        <x:v>Case_Creation_Created_by_Entity_and_Initial_Assignment_Record_Triggered_Flow, Case_Online_Repair_Evaluation_Tool, Case_Update_Case_Automations_Record_Triggered_Flow, KloudGin_Case_Created_Email_Notification, Salesforce_Case_Notifications</x:v>
      </x:c>
      <x:c r="I21" s="119" t="str"/>
      <x:c r="J21" s="119" t="str">
        <x:v>Case</x:v>
      </x:c>
    </x:row>
    <x:row r="22" ht="46" customHeight="1">
      <x:c r="A22" s="117" t="str">
        <x:v>Apex Trigger</x:v>
      </x:c>
      <x:c r="B22" s="117" t="str">
        <x:v>P_ClassicNoteTrigger</x:v>
      </x:c>
      <x:c r="C22" s="119" t="str">
        <x:v>Active</x:v>
      </x:c>
      <x:c r="D22" s="117" t="str">
        <x:v>Note</x:v>
      </x:c>
      <x:c r="E22" s="119" t="str">
        <x:v>after insert</x:v>
      </x:c>
      <x:c r="F22" s="117" t="str">
        <x:v>N/A</x:v>
      </x:c>
      <x:c r="G22" s="118" t="n">
        <x:v>0</x:v>
      </x:c>
      <x:c r="H22" s="119" t="str"/>
      <x:c r="I22" s="119" t="str"/>
      <x:c r="J22" s="119" t="str">
        <x:v>Note</x:v>
      </x:c>
    </x:row>
    <x:row r="23" ht="46" customHeight="1">
      <x:c r="A23" s="117" t="str">
        <x:v>Apex Trigger</x:v>
      </x:c>
      <x:c r="B23" s="117" t="str">
        <x:v>P_InvoiceTrigger</x:v>
      </x:c>
      <x:c r="C23" s="119" t="str">
        <x:v>Active</x:v>
      </x:c>
      <x:c r="D23" s="117" t="str">
        <x:v>Invoice__c</x:v>
      </x:c>
      <x:c r="E23" s="119" t="str">
        <x:v>before insert, before update, before delete</x:v>
      </x:c>
      <x:c r="F23" s="117" t="str">
        <x:v>N/A</x:v>
      </x:c>
      <x:c r="G23" s="118" t="n">
        <x:v>6</x:v>
      </x:c>
      <x:c r="H23" s="119" t="str">
        <x:v>Invoice_Automations, Invoice_Create_Invoice_Line_Items, Invoice_Re_sync_if_Errored, Invoice_Rollups, Invoice_Sync_Notification, On_Payment_of_Invoice_Update_Opportunity_to_Invoice_Paid</x:v>
      </x:c>
      <x:c r="I23" s="119" t="str"/>
      <x:c r="J23" s="119" t="str">
        <x:v>Invoice__c</x:v>
      </x:c>
    </x:row>
    <x:row r="24" ht="46" customHeight="1">
      <x:c r="A24" s="117" t="str">
        <x:v>Apex Trigger</x:v>
      </x:c>
      <x:c r="B24" s="117" t="str">
        <x:v>P_OppLineItemTrigger</x:v>
      </x:c>
      <x:c r="C24" s="119" t="str">
        <x:v>Active</x:v>
      </x:c>
      <x:c r="D24" s="117" t="str">
        <x:v>OpportunityLineItem</x:v>
      </x:c>
      <x:c r="E24" s="119" t="str">
        <x:v>before insert, after insert, before update, after update, before delete, after delete</x:v>
      </x:c>
      <x:c r="F24" s="117" t="str">
        <x:v>N/A</x:v>
      </x:c>
      <x:c r="G24" s="118" t="n">
        <x:v>12</x:v>
      </x:c>
      <x:c r="H24" s="119" t="str">
        <x:v>OpportunityLineItem_Async_on_create_Update_Avg_Inventory_Life_on_Opportunity, OpportunityLineItem_Async_on_update_Update_Avg_Inventory_Life_on_Opportunity, OpportunityLineItem_Before_delete_Update_Avg_Inventory_Life_on_Opportunity, Opportunity_Line_Item_Creation_or_Update_Tick_Generate_Asset_Summary_Checkbox, Opportunity_Line_Item_On_Delete_Set_Opportunity_Asset_Summary, Opportunity_Product_Ansynchronous_on_update_Update_WOLI_with_pricing_quantity, Opportunity_Product_Asynchronous_on_create_update_WOLI_with_Opp_Product_if_Appli, Opportunity_Product_On_Delete, Opportunity_Product_Rollups, Opportunity_Product_Rollups_On_Create, Opportunity_Product_Updates_Flow, Update_Credit_Memo_Amount_with_Line_Items</x:v>
      </x:c>
      <x:c r="I24" s="119" t="str"/>
      <x:c r="J24" s="119" t="str">
        <x:v>OpportunityLineItem</x:v>
      </x:c>
    </x:row>
    <x:row r="25" ht="46" customHeight="1">
      <x:c r="A25" s="117" t="str">
        <x:v>Apex Trigger</x:v>
      </x:c>
      <x:c r="B25" s="117" t="str">
        <x:v>P_OpportunityTrigger</x:v>
      </x:c>
      <x:c r="C25" s="119" t="str">
        <x:v>Active</x:v>
      </x:c>
      <x:c r="D25" s="117" t="str">
        <x:v>Opportunity</x:v>
      </x:c>
      <x:c r="E25" s="119" t="str">
        <x:v>before insert, after insert, before update, after update, before delete</x:v>
      </x:c>
      <x:c r="F25" s="117" t="str">
        <x:v>N/A</x:v>
      </x:c>
      <x:c r="G25" s="118" t="n">
        <x:v>51</x:v>
      </x:c>
      <x:c r="H25" s="119" t="str">
        <x:v>Alert_AR_for_Opp_Ready_to_Bill, Auto_Close_Opps, Auto_Create_Post_Repair_Eval_on_Opp, Auto_Create_Return_Opportunity_for_Exchange_Purchasing_Ops, AvaTax_Opportunity_Automatic_Tax_Calculation_Flow, AvaTax_Opportunity_Existing_Update_Entity_Use_Code_IOR_Transport, AvaTax_Opportunity_New_Update_Entity_Code_IOR_Transport, AvaTax_Opportunity_Update_AvaTax_Message_and_Status, BIPO_Closed_Lost_Notification, Big_Iron_Purchasing_Opportunity_Updates_Alerts, Cloned_Opportunity_Update_FSR_Attached_and_FSR_Not_Required_to_False, Close_Win_Charge_for_Removal_Op_Automatically, Count_Return_Opportunities_on_a_Related_Opportunity, Create_Project_on_Big_Iron_Purchasing_Opportunity_Flow, Create_Project_on_Equipment_Storage_Opportunity_Creation, Davis_Medical_Shipping_Email_Alert_Flow, If_FSR_Not_Required_FSR_Datestamp_Blank_at_Closed_Won_Set_FSR_Datestamp_to_Today, Inter_Company_Transfer_Address_Update_Op, Mark_Closed_Lost_Big_Iron_Assets_as_PAd_and_Sold, On_Creation_of_Opportunity_Set_Shipping_Account_to_Bill_Customer_Fedex_System, On_Entry_of_Confirmation_Number_Send_Prepay_Received_Email, On_US_FSL_Lead_Conversion_Bring_Work_Order_Over_to_Contact_Account_Opportunity, Opportunity_Asynchronous_on_create_Update_Total_Cost_of_Project_POs, Opportunity_Asynchronous_on_delete_Update_Total_Cost_of_Project_POs, Opportunity_Asynchronous_on_update_Update_Total_Cost_of_Project_POs, Opportunity_Automations, Opportunity_Create_Warranty_Service_Contract, Opportunity_Creation_and_Update_Set_Intercompany_Transaction_Opportunity_Name, Opportunity_Line_Item_Creation_or_Update_Set_Opportunity_Asset_Summary, Opportunity_Resync_System, Opportunity_Update_FSE_Email_Record_Triggered_Flow, Purchasing_Opportunity_Field_Updates_Flow, Record_Triggered_Opportunity_Send_Tracking_Confirmation_for_WooCommerce_Orders, Rep_Email_Field_Update_Flow, Set_Entity_on_Opportunity_Creation, Sets_the_FSR_Datestamp_to_Today_when_FSR_Not_Required_or_FSR_Attached_is_Checked, UK_Notification_for_Shipping_Ops_to_the_UK, UK_Shipping_Timestamp_field_update_flow, UK_VAT_Sales_Tax_Automation, US_FSL_For_Probe_Parts_Repair_Opp_Upon_FSR_attached_mark_the_work_order_status_a, US_FSL_For_Probe_Parts_Sale_Opp_When_switched_to_pending_approval_change_work_or, US_FSL_For_Probe_Repair_Opp_On_Setting_of_Repair_Approved_change_Work_Order_to_R, US_FSL_For_Probe_Sale_Opp_Upon_Close_Won_Update_Work_Order_Status_to_Ready_to_Sh, US_FSL_For_Probe_Sale_Opp_Upon_Tracking_Entered_Update_Work_Order_Status_to_Ship, US_FSL_On_Addition_of_Related_Work_Order_Transfer_Ownership, US_FSL_On_Close_Lost_Repair_Opp_Set_WOLIs_to_Repair_Canceled, US_FSL_On_Ready_to_Ship_for_Opp_Update_WO_to_Confirm_Shipping, US_FSL_On_Repair_Declined_for_Opp_Update_WO_to_Pending_Shipment, Unreceipted_Invoice_Field_Update_Loop, Update_Currency_when_Entity_is_Changed, Update_Opportunity_With_Lead_Gen_Info</x:v>
      </x:c>
      <x:c r="I25" s="119" t="str"/>
      <x:c r="J25" s="119" t="str">
        <x:v>Opportunity</x:v>
      </x:c>
    </x:row>
    <x:row r="26" ht="46" customHeight="1">
      <x:c r="A26" s="117" t="str">
        <x:v>Apex Trigger</x:v>
      </x:c>
      <x:c r="B26" s="117" t="str">
        <x:v>P_ProductAnalyticsTrigger</x:v>
      </x:c>
      <x:c r="C26" s="119" t="str">
        <x:v>Active</x:v>
      </x:c>
      <x:c r="D26" s="117" t="str">
        <x:v>Product_Analytics__c</x:v>
      </x:c>
      <x:c r="E26" s="119" t="str">
        <x:v>before delete</x:v>
      </x:c>
      <x:c r="F26" s="117" t="str">
        <x:v>N/A</x:v>
      </x:c>
      <x:c r="G26" s="118" t="n">
        <x:v>0</x:v>
      </x:c>
      <x:c r="H26" s="119" t="str"/>
      <x:c r="I26" s="119" t="str"/>
      <x:c r="J26" s="119" t="str">
        <x:v>Product_Analytics__c</x:v>
      </x:c>
    </x:row>
    <x:row r="27" ht="46" customHeight="1">
      <x:c r="A27" s="117" t="str">
        <x:v>Apex Trigger</x:v>
      </x:c>
      <x:c r="B27" s="117" t="str">
        <x:v>P_ProductItemTrigger</x:v>
      </x:c>
      <x:c r="C27" s="119" t="str">
        <x:v>Active</x:v>
      </x:c>
      <x:c r="D27" s="117" t="str">
        <x:v>ProductItem__c</x:v>
      </x:c>
      <x:c r="E27" s="119" t="str">
        <x:v>before insert, after insert, before update, after update, before delete</x:v>
      </x:c>
      <x:c r="F27" s="117" t="str">
        <x:v>N/A</x:v>
      </x:c>
      <x:c r="G27" s="118" t="n">
        <x:v>56</x:v>
      </x:c>
      <x:c r="H27" s="119" t="str">
        <x:v>Add_Product_Record_Type_Name_to_Asset_Record, Asset_Automations, Asset_Check_in_Type, Asset_Creation_After_Save_Update_Product_Analytics, Asset_Update_After_Save_Set_Product_Analytics_on_Product_Name_Change, Charge_for_Removal_Update_Flow_for_Big_Iron_Equipment, Coil_RMA_Update_Last_Test_Completed_Date_Flow, Missing_Asset_Checkbox_Notification_on_Asset2, On_Asset_Creation_Set_Currency_to_Purchasing_Opportunity_Currency, Probe_Loan_ROI_Calculations_FLow, ProductItem_Asynchronous_on_create_Estimated_Sales_Price_Roll_Up, ProductItem_Asynchronous_on_create_HWO_Total_Cost_Roll_Up, ProductItem_Asynchronous_on_create_HWO_Total_Revenue_Roll_Up, ProductItem_Asynchronous_on_create_Item_Receipt_Amount_Roll_Up, ProductItem_Asynchronous_on_create_Loaner_Asset_Number_Roll_Up, ProductItem_Asynchronous_on_create_Loaner_Location_Roll_Up, ProductItem_Asynchronous_on_create_Loaner_Serial_Number_Roll_Up, ProductItem_Asynchronous_on_create_Max_Bid_Roll_Up, ProductItem_Asynchronous_on_create_NumberCheckedIn_PO_Roll_Up, ProductItem_Asynchronous_on_create_Pur_Op_Total_Cost_Roll_Up, ProductItem_Asynchronous_on_create_Pur_Op_Total_Cost_of_Unsold_Assets_Roll_Up, ProductItem_Asynchronous_on_create_Pur_Op_Working_Capital_Usage_Days_Roll_Up, ProductItem_Asynchronous_on_create_Rental_Order_Price_Roll_Up, ProductItem_Asynchronous_on_create_Starting_Bid_Roll_Up, ProductItem_Asynchronous_on_update_Estimated_Sales_Price_Roll_Up, ProductItem_Asynchronous_on_update_HWO_Total_Cost_Roll_Up, ProductItem_Asynchronous_on_update_HWO_Total_Revenue_Roll_Up, ProductItem_Asynchronous_on_update_Item_Receipt_Amount_Roll_Up, ProductItem_Asynchronous_on_update_Loaner_Asset_Number_Roll_Up, ProductItem_Asynchronous_on_update_Loaner_Location_Roll_Up, ProductItem_Asynchronous_on_update_Loaner_Serial_Number_Roll_Up, ProductItem_Asynchronous_on_update_Max_Bid_Roll_Up, ProductItem_Asynchronous_on_update_NumberCheckedIn_PO_Roll_Up, ProductItem_Asynchronous_on_update_Starting_Bid_Roll_Up, ProductItem_Before_Delete_Item_Receipt_Amount_Roll_Up, ProductItem_Before_Delete_Loaner_Asset_Number_Roll_Up, ProductItem_Before_Delete_Loaner_Location_Roll_Up, ProductItem_Before_Delete_Loaner_Serial_Number_Roll_Up, ProductItem_Before_Delete_Pur_Op_Total_Cost_Roll_Up, ProductItem_Before_Delete_Pur_Op_Total_Cost_of_Unsold_Assets_Roll_Up, ProductItem_Before_Delete_Pur_Op_Working_Capital_Usage_Days_Roll_Up, ProductItem_Before_delete_Estimated_Sales_Price_Roll_Up, ProductItem_Before_delete_HWO_Total_Cost_Roll_Up, ProductItem_Before_delete_HWO_Total_Revenue_Roll_Up, ProductItem_Before_delete_Max_Bid_Roll_Up, ProductItem_Before_delete_NumberCheckedIn_PO_Roll_Up, ProductItem_Before_delete_Rental_Order_Price_Roll_Up, ProductItem_Before_delete_Starting_Bid_Roll_Up, ProductItem_on_update_Pur_Op_Total_Cost_Roll_Up, ProductItem_on_update_Pur_Op_Total_Cost_of_Unsold_Assets_Roll_Up, ProductItem_on_update_Pur_Op_Working_Capital_Usage_Days_Roll_Up, ProductItem_on_update_Rental_Order_Price_Roll_Up, QA_Required_Auto_Update_from_Assets_for_UK, UK_Customer_Repair_Received, Update_Asset_to_Finished_Goods_Flow, Update_Move_to_Fixed_Assets_Flow</x:v>
      </x:c>
      <x:c r="I27" s="119" t="str"/>
      <x:c r="J27" s="119" t="str">
        <x:v>ProductItem__c</x:v>
      </x:c>
    </x:row>
    <x:row r="28" ht="46" customHeight="1">
      <x:c r="A28" s="117" t="str">
        <x:v>Apex Trigger</x:v>
      </x:c>
      <x:c r="B28" s="117" t="str">
        <x:v>P_ProductRepairTrigger</x:v>
      </x:c>
      <x:c r="C28" s="119" t="str">
        <x:v>Active</x:v>
      </x:c>
      <x:c r="D28" s="117" t="str">
        <x:v>Product_Repair__c</x:v>
      </x:c>
      <x:c r="E28" s="119" t="str">
        <x:v>before insert, after insert, before update, after update, before delete</x:v>
      </x:c>
      <x:c r="F28" s="117" t="str">
        <x:v>N/A</x:v>
      </x:c>
      <x:c r="G28" s="118" t="n">
        <x:v>0</x:v>
      </x:c>
      <x:c r="H28" s="119" t="str"/>
      <x:c r="I28" s="119" t="str"/>
      <x:c r="J28" s="119" t="str">
        <x:v>Product_Repair__c</x:v>
      </x:c>
    </x:row>
    <x:row r="29" ht="46" customHeight="1">
      <x:c r="A29" s="117" t="str">
        <x:v>Apex Trigger</x:v>
      </x:c>
      <x:c r="B29" s="117" t="str">
        <x:v>P_ProductRepairTrigger2</x:v>
      </x:c>
      <x:c r="C29" s="119" t="str">
        <x:v>Active</x:v>
      </x:c>
      <x:c r="D29" s="117" t="str">
        <x:v>Product_Repair__c</x:v>
      </x:c>
      <x:c r="E29" s="119" t="str">
        <x:v>before insert, before update, after update</x:v>
      </x:c>
      <x:c r="F29" s="117" t="str">
        <x:v>N/A</x:v>
      </x:c>
      <x:c r="G29" s="118" t="n">
        <x:v>0</x:v>
      </x:c>
      <x:c r="H29" s="119" t="str"/>
      <x:c r="I29" s="119" t="str"/>
      <x:c r="J29" s="119" t="str">
        <x:v>Product_Repair__c</x:v>
      </x:c>
    </x:row>
    <x:row r="30" ht="46" customHeight="1">
      <x:c r="A30" s="117" t="str">
        <x:v>Apex Trigger</x:v>
      </x:c>
      <x:c r="B30" s="117" t="str">
        <x:v>P_ProductTestTrigger</x:v>
      </x:c>
      <x:c r="C30" s="119" t="str">
        <x:v>Active</x:v>
      </x:c>
      <x:c r="D30" s="117" t="str">
        <x:v>ProductTest__c</x:v>
      </x:c>
      <x:c r="E30" s="119" t="str">
        <x:v>before insert, before update, after insert, after update, before delete</x:v>
      </x:c>
      <x:c r="F30" s="117" t="str">
        <x:v>N/A</x:v>
      </x:c>
      <x:c r="G30" s="118" t="n">
        <x:v>1</x:v>
      </x:c>
      <x:c r="H30" s="119" t="str">
        <x:v>Final_QC_Passed_Send_Email</x:v>
      </x:c>
      <x:c r="I30" s="119" t="str"/>
      <x:c r="J30" s="119" t="str">
        <x:v>ProductTest__c</x:v>
      </x:c>
    </x:row>
    <x:row r="31" ht="46" customHeight="1">
      <x:c r="A31" s="117" t="str">
        <x:v>Apex Trigger</x:v>
      </x:c>
      <x:c r="B31" s="117" t="str">
        <x:v>P_PurchasingReturnTrigger</x:v>
      </x:c>
      <x:c r="C31" s="119" t="str">
        <x:v>Active</x:v>
      </x:c>
      <x:c r="D31" s="117" t="str">
        <x:v>Purchasing_Return__c</x:v>
      </x:c>
      <x:c r="E31" s="119" t="str">
        <x:v>before update, before delete</x:v>
      </x:c>
      <x:c r="F31" s="117" t="str">
        <x:v>N/A</x:v>
      </x:c>
      <x:c r="G31" s="118" t="n">
        <x:v>1</x:v>
      </x:c>
      <x:c r="H31" s="119" t="str">
        <x:v>Record_Triggered_After_Purchasing_Return</x:v>
      </x:c>
      <x:c r="I31" s="119" t="str"/>
      <x:c r="J31" s="119" t="str">
        <x:v>Purchasing_Return__c</x:v>
      </x:c>
    </x:row>
    <x:row r="32" ht="46" customHeight="1">
      <x:c r="A32" s="117" t="str">
        <x:v>Apex Trigger</x:v>
      </x:c>
      <x:c r="B32" s="117" t="str">
        <x:v>P_RMATrigger</x:v>
      </x:c>
      <x:c r="C32" s="119" t="str">
        <x:v>Active</x:v>
      </x:c>
      <x:c r="D32" s="117" t="str">
        <x:v>RMA__c</x:v>
      </x:c>
      <x:c r="E32" s="119" t="str">
        <x:v>before update, after insert, after update, before delete</x:v>
      </x:c>
      <x:c r="F32" s="117" t="str">
        <x:v>N/A</x:v>
      </x:c>
      <x:c r="G32" s="118" t="n">
        <x:v>11</x:v>
      </x:c>
      <x:c r="H32" s="119" t="str">
        <x:v>Create_shipment_from_customer_portal, On_Create_Asynchronous_Update_RMA_with_Related_Work_Order, Original_Time_Warranty_Loaner_Action_Approved_Update, RMA_Automations, RMA_Notify_Engineer_on_Probe_Repair_WO_Creation, RMA_On_Setting_of_Date_Approved_to_Ship_update_Opportunity_Stage_to_Ready_to_Shi, RMA_Re_sync_RMA_if_Errored, Set_Service_Appointment_on_RMA_when_Work_Order_Attached, UK_RMA_Item_Received_Alert, US_FSL_RMA_Date_Repair_Evaluation_Sent, US_FSL_RMA_On_Probe_Check_In_for_Repair_Set_Date_Checked_In_on_Work_Order</x:v>
      </x:c>
      <x:c r="I32" s="119" t="str"/>
      <x:c r="J32" s="119" t="str">
        <x:v>RMA__c</x:v>
      </x:c>
    </x:row>
    <x:row r="33" ht="46" customHeight="1">
      <x:c r="A33" s="117" t="str">
        <x:v>Apex Trigger</x:v>
      </x:c>
      <x:c r="B33" s="117" t="str">
        <x:v>P_ServiceContractTrigger</x:v>
      </x:c>
      <x:c r="C33" s="119" t="str">
        <x:v>Active</x:v>
      </x:c>
      <x:c r="D33" s="117" t="str">
        <x:v>ServiceContract</x:v>
      </x:c>
      <x:c r="E33" s="119" t="str">
        <x:v>before insert, before update</x:v>
      </x:c>
      <x:c r="F33" s="117" t="str">
        <x:v>N/A</x:v>
      </x:c>
      <x:c r="G33" s="118" t="n">
        <x:v>6</x:v>
      </x:c>
      <x:c r="H33" s="119" t="str">
        <x:v>Create_Work_Orders_from_Contract_Renewal, Service_Alert_60_Days_til_Exp_Alert, Service_Contract_Notification_Flow, Service_Contract_Unlock_Flow, Service_Contract_Updates_Flow, Service_Contract_Updates_Status_Handler</x:v>
      </x:c>
      <x:c r="I33" s="119" t="str"/>
      <x:c r="J33" s="119" t="str">
        <x:v>ServiceContract</x:v>
      </x:c>
    </x:row>
    <x:row r="34" ht="46" customHeight="1">
      <x:c r="A34" s="117" t="str">
        <x:v>Apex Trigger</x:v>
      </x:c>
      <x:c r="B34" s="117" t="str">
        <x:v>P_ServiceWorkOrderTrigger</x:v>
      </x:c>
      <x:c r="C34" s="119" t="str">
        <x:v>Active</x:v>
      </x:c>
      <x:c r="D34" s="117" t="str">
        <x:v>WorkOrder</x:v>
      </x:c>
      <x:c r="E34" s="119" t="str">
        <x:v>before insert, before update, after update</x:v>
      </x:c>
      <x:c r="F34" s="117" t="str">
        <x:v>N/A</x:v>
      </x:c>
      <x:c r="G34" s="118" t="n">
        <x:v>39</x:v>
      </x:c>
      <x:c r="H34" s="119" t="str">
        <x:v>Auto_Create_RMAs_from_Work_Orders_for_UK, Contract_Line_Item_Roll_Up_Downtime_Business_Hours, Create_Service_Calendar_Event_from_Work_Order_UK, Create_core_exchange_RMAs_from_Service_Fusion, Create_part_requests_from_Service_Fusion, FSL_Set_Service_Report_Layout_ID_on_Work_Orders, FSL_US_On_FSR_Attached_Update_Work_Order_to_Completed_WO, FSL_US_On_Submit_to_Shipping_Update_Status_to_Pending_Shipment, FSL_US_On_Tracking_Update_Status_to_Parts_Probe_Shipped, FSL_US_On_Update_of_Account_Update_Billing_Address_on_Work_Order, Follow_Work_Order_Upon_Creation, On_Creation_of_Work_Order_Set_Shipping_Account_to_Bill_Customer_Fedex_System, On_Creation_of_Work_Order_Set_Shipping_Account_to_Bill_Customer_Fedex_System_1, On_Make_Model_or_Serial_Number_Change_Update_the_Opportunity, On_Serial_Number_Change_Update_the_Opportunity, On_Update_Completed_Undo_Update_Needed_Checkbox_and_Reset_Status, On_Update_of_Address_Update_Opportunity_Shipping_if_Needed, On_Update_of_Shipping_Location_on_Work_Order_Update_Location_on_Open_Service_App, PartsReadyForCollectionWorkOrderAlert, Send_Email_Work_Order_PDF, US_FSL_Ask_to_Re_Generate_FSR, US_FSL_On_Picked_Up_by_Operations_Notify_Engineer, US_FSL_On_WO_Field_Update_Update_Opportunity_Fields, US_FSL_Picked_Up_By_Checkbox_to_denote_if_it_s_been_picked_up_by_operations, US_FSL_Site_Address_Populated_but_Not_Shipping_Address, US_FSL_Update_Open_SA_Shipping_Address_when_changed_on_WO, Update_Initial_Tech_Support_with_Tech_Completed_Date, Update_Need_Quote_Lines_to_Part_Quoted, Update_Technician_Ship_Location_on_Work_Order_Creation, Work_Order_Assignment_and_Alerts_Flow, Work_Order_Asynchronous_on_create_Update_PM_Work_Order_Count_on_Service_Contract, Work_Order_Asynchronous_on_delete_Update_PM_Work_Order_Count_on_Service_Contract, Work_Order_Asynchronous_on_update_Update_PM_Work_Order_Count_on_Service_Contract, Work_Order_Automations, Work_Order_Calculate_Downtime_Business_Hours, Work_Order_Downtime_Start_Setter, Work_Order_Triggeer_US_FSR_Layout_Assignment, Work_Order_Trigger_Update_Cancelled_WO_Related_SAs, Work_Order_Ultrasound_Creation_Automation</x:v>
      </x:c>
      <x:c r="I34" s="119" t="str"/>
      <x:c r="J34" s="119" t="str">
        <x:v>WorkOrder</x:v>
      </x:c>
    </x:row>
    <x:row r="35" ht="46" customHeight="1">
      <x:c r="A35" s="117" t="str">
        <x:v>Apex Trigger</x:v>
      </x:c>
      <x:c r="B35" s="117" t="str">
        <x:v>P_SystemWorkOrderTrigger</x:v>
      </x:c>
      <x:c r="C35" s="119" t="str">
        <x:v>Active</x:v>
      </x:c>
      <x:c r="D35" s="117" t="str">
        <x:v>System_Work_Order__c</x:v>
      </x:c>
      <x:c r="E35" s="119" t="str">
        <x:v>before update</x:v>
      </x:c>
      <x:c r="F35" s="117" t="str">
        <x:v>N/A</x:v>
      </x:c>
      <x:c r="G35" s="118" t="n">
        <x:v>0</x:v>
      </x:c>
      <x:c r="H35" s="119" t="str"/>
      <x:c r="I35" s="119" t="str"/>
      <x:c r="J35" s="119" t="str">
        <x:v>System_Work_Order__c</x:v>
      </x:c>
    </x:row>
    <x:row r="36" ht="46" customHeight="1">
      <x:c r="A36" s="117" t="str">
        <x:v>Apex Trigger</x:v>
      </x:c>
      <x:c r="B36" s="117" t="str">
        <x:v>P_WorkOrderLineItemTrigger</x:v>
      </x:c>
      <x:c r="C36" s="119" t="str">
        <x:v>Active</x:v>
      </x:c>
      <x:c r="D36" s="117" t="str">
        <x:v>WorkOrderLineItem</x:v>
      </x:c>
      <x:c r="E36" s="119" t="str">
        <x:v>after insert, after update, before delete</x:v>
      </x:c>
      <x:c r="F36" s="117" t="str">
        <x:v>N/A</x:v>
      </x:c>
      <x:c r="G36" s="118" t="n">
        <x:v>4</x:v>
      </x:c>
      <x:c r="H36" s="119" t="str">
        <x:v>On_Create_Parts_Sales_Value_Rollup, On_New_WOLI_Update_Type_if_Probe_Repair_Opp, Set_Service_Appointment_on_New_Work_Order_Line_Item, Work_Order_Rollups</x:v>
      </x:c>
      <x:c r="I36" s="119" t="str"/>
      <x:c r="J36" s="119" t="str">
        <x:v>WorkOrderLineItem</x:v>
      </x:c>
    </x:row>
    <x:row r="37" ht="46" customHeight="1">
      <x:c r="A37" s="117" t="str">
        <x:v>Apex Trigger</x:v>
      </x:c>
      <x:c r="B37" s="117" t="str">
        <x:v>POBillTrigger</x:v>
      </x:c>
      <x:c r="C37" s="119" t="str">
        <x:v>Active</x:v>
      </x:c>
      <x:c r="D37" s="117" t="str">
        <x:v>PO_Bill__c</x:v>
      </x:c>
      <x:c r="E37" s="119" t="str">
        <x:v>before update</x:v>
      </x:c>
      <x:c r="F37" s="117" t="str">
        <x:v>N/A</x:v>
      </x:c>
      <x:c r="G37" s="118" t="n">
        <x:v>3</x:v>
      </x:c>
      <x:c r="H37" s="119" t="str">
        <x:v>PO_Bill_Automations, PO_Bill_Prevent_Deletion, PO_Bill_Resync_if_error_is_received</x:v>
      </x:c>
      <x:c r="I37" s="119" t="str"/>
      <x:c r="J37" s="119" t="str">
        <x:v>PO_Bill__c</x:v>
      </x:c>
    </x:row>
    <x:row r="38" ht="46" customHeight="1">
      <x:c r="A38" s="117" t="str">
        <x:v>Apex Trigger</x:v>
      </x:c>
      <x:c r="B38" s="117" t="str">
        <x:v>ProcessTemplateFolder</x:v>
      </x:c>
      <x:c r="C38" s="119" t="str">
        <x:v>Active</x:v>
      </x:c>
      <x:c r="D38" s="117" t="str">
        <x:v>Opportunity</x:v>
      </x:c>
      <x:c r="E38" s="119" t="str">
        <x:v>after insert</x:v>
      </x:c>
      <x:c r="F38" s="117" t="str">
        <x:v>N/A</x:v>
      </x:c>
      <x:c r="G38" s="118" t="n">
        <x:v>51</x:v>
      </x:c>
      <x:c r="H38" s="119" t="str">
        <x:v>Alert_AR_for_Opp_Ready_to_Bill, Auto_Close_Opps, Auto_Create_Post_Repair_Eval_on_Opp, Auto_Create_Return_Opportunity_for_Exchange_Purchasing_Ops, AvaTax_Opportunity_Automatic_Tax_Calculation_Flow, AvaTax_Opportunity_Existing_Update_Entity_Use_Code_IOR_Transport, AvaTax_Opportunity_New_Update_Entity_Code_IOR_Transport, AvaTax_Opportunity_Update_AvaTax_Message_and_Status, BIPO_Closed_Lost_Notification, Big_Iron_Purchasing_Opportunity_Updates_Alerts, Cloned_Opportunity_Update_FSR_Attached_and_FSR_Not_Required_to_False, Close_Win_Charge_for_Removal_Op_Automatically, Count_Return_Opportunities_on_a_Related_Opportunity, Create_Project_on_Big_Iron_Purchasing_Opportunity_Flow, Create_Project_on_Equipment_Storage_Opportunity_Creation, Davis_Medical_Shipping_Email_Alert_Flow, If_FSR_Not_Required_FSR_Datestamp_Blank_at_Closed_Won_Set_FSR_Datestamp_to_Today, Inter_Company_Transfer_Address_Update_Op, Mark_Closed_Lost_Big_Iron_Assets_as_PAd_and_Sold, On_Creation_of_Opportunity_Set_Shipping_Account_to_Bill_Customer_Fedex_System, On_Entry_of_Confirmation_Number_Send_Prepay_Received_Email, On_US_FSL_Lead_Conversion_Bring_Work_Order_Over_to_Contact_Account_Opportunity, Opportunity_Asynchronous_on_create_Update_Total_Cost_of_Project_POs, Opportunity_Asynchronous_on_delete_Update_Total_Cost_of_Project_POs, Opportunity_Asynchronous_on_update_Update_Total_Cost_of_Project_POs, Opportunity_Automations, Opportunity_Create_Warranty_Service_Contract, Opportunity_Creation_and_Update_Set_Intercompany_Transaction_Opportunity_Name, Opportunity_Line_Item_Creation_or_Update_Set_Opportunity_Asset_Summary, Opportunity_Resync_System, Opportunity_Update_FSE_Email_Record_Triggered_Flow, Purchasing_Opportunity_Field_Updates_Flow, Record_Triggered_Opportunity_Send_Tracking_Confirmation_for_WooCommerce_Orders, Rep_Email_Field_Update_Flow, Set_Entity_on_Opportunity_Creation, Sets_the_FSR_Datestamp_to_Today_when_FSR_Not_Required_or_FSR_Attached_is_Checked, UK_Notification_for_Shipping_Ops_to_the_UK, UK_Shipping_Timestamp_field_update_flow, UK_VAT_Sales_Tax_Automation, US_FSL_For_Probe_Parts_Repair_Opp_Upon_FSR_attached_mark_the_work_order_status_a, US_FSL_For_Probe_Parts_Sale_Opp_When_switched_to_pending_approval_change_work_or, US_FSL_For_Probe_Repair_Opp_On_Setting_of_Repair_Approved_change_Work_Order_to_R, US_FSL_For_Probe_Sale_Opp_Upon_Close_Won_Update_Work_Order_Status_to_Ready_to_Sh, US_FSL_For_Probe_Sale_Opp_Upon_Tracking_Entered_Update_Work_Order_Status_to_Ship, US_FSL_On_Addition_of_Related_Work_Order_Transfer_Ownership, US_FSL_On_Close_Lost_Repair_Opp_Set_WOLIs_to_Repair_Canceled, US_FSL_On_Ready_to_Ship_for_Opp_Update_WO_to_Confirm_Shipping, US_FSL_On_Repair_Declined_for_Opp_Update_WO_to_Pending_Shipment, Unreceipted_Invoice_Field_Update_Loop, Update_Currency_when_Entity_is_Changed, Update_Opportunity_With_Lead_Gen_Info</x:v>
      </x:c>
      <x:c r="I38" s="119" t="str"/>
      <x:c r="J38" s="119" t="str">
        <x:v>Opportunity</x:v>
      </x:c>
    </x:row>
    <x:row r="39" ht="46" customHeight="1">
      <x:c r="A39" s="117" t="str">
        <x:v>Apex Trigger</x:v>
      </x:c>
      <x:c r="B39" s="117" t="str">
        <x:v>RatingsUpdate</x:v>
      </x:c>
      <x:c r="C39" s="119" t="str">
        <x:v>Active</x:v>
      </x:c>
      <x:c r="D39" s="117" t="str">
        <x:v>Ratings__c</x:v>
      </x:c>
      <x:c r="E39" s="119" t="str">
        <x:v>after insert, after update</x:v>
      </x:c>
      <x:c r="F39" s="117" t="str">
        <x:v>N/A</x:v>
      </x:c>
      <x:c r="G39" s="118" t="n">
        <x:v>0</x:v>
      </x:c>
      <x:c r="H39" s="119" t="str"/>
      <x:c r="I39" s="119" t="str"/>
      <x:c r="J39" s="119" t="str">
        <x:v>Ratings__c</x:v>
      </x:c>
    </x:row>
    <x:row r="40" ht="46" customHeight="1">
      <x:c r="A40" s="117" t="str">
        <x:v>Apex Trigger</x:v>
      </x:c>
      <x:c r="B40" s="117" t="str">
        <x:v>ReviewStatusUpdate</x:v>
      </x:c>
      <x:c r="C40" s="119" t="str">
        <x:v>Active</x:v>
      </x:c>
      <x:c r="D40" s="117" t="str">
        <x:v>Review_Status__c</x:v>
      </x:c>
      <x:c r="E40" s="119" t="str">
        <x:v>after insert, after update</x:v>
      </x:c>
      <x:c r="F40" s="117" t="str">
        <x:v>N/A</x:v>
      </x:c>
      <x:c r="G40" s="118" t="n">
        <x:v>0</x:v>
      </x:c>
      <x:c r="H40" s="119" t="str"/>
      <x:c r="I40" s="119" t="str"/>
      <x:c r="J40" s="119" t="str">
        <x:v>Review_Status__c</x:v>
      </x:c>
    </x:row>
    <x:row r="41" ht="46" customHeight="1">
      <x:c r="A41" s="117" t="str">
        <x:v>Apex Trigger</x:v>
      </x:c>
      <x:c r="B41" s="117" t="str">
        <x:v>ServiceReportTrigger</x:v>
      </x:c>
      <x:c r="C41" s="119" t="str">
        <x:v>Active</x:v>
      </x:c>
      <x:c r="D41" s="117" t="str">
        <x:v>ServiceReport</x:v>
      </x:c>
      <x:c r="E41" s="119" t="str">
        <x:v>before insert, after insert, after update</x:v>
      </x:c>
      <x:c r="F41" s="117" t="str">
        <x:v>N/A</x:v>
      </x:c>
      <x:c r="G41" s="118" t="n">
        <x:v>0</x:v>
      </x:c>
      <x:c r="H41" s="119" t="str"/>
      <x:c r="I41" s="119" t="str"/>
      <x:c r="J41" s="119" t="str">
        <x:v>ServiceReport</x:v>
      </x:c>
    </x:row>
    <x:row r="42" ht="46" customHeight="1">
      <x:c r="A42" s="117" t="str">
        <x:v>Apex Trigger</x:v>
      </x:c>
      <x:c r="B42" s="117" t="str">
        <x:v>UKBusinessHours</x:v>
      </x:c>
      <x:c r="C42" s="119" t="str">
        <x:v>Inactive</x:v>
      </x:c>
      <x:c r="D42" s="117" t="str">
        <x:v>WorkOrder</x:v>
      </x:c>
      <x:c r="E42" s="119" t="str">
        <x:v>before update</x:v>
      </x:c>
      <x:c r="F42" s="117" t="str">
        <x:v>N/A</x:v>
      </x:c>
      <x:c r="G42" s="118" t="n">
        <x:v>39</x:v>
      </x:c>
      <x:c r="H42" s="119" t="str">
        <x:v>Auto_Create_RMAs_from_Work_Orders_for_UK, Contract_Line_Item_Roll_Up_Downtime_Business_Hours, Create_Service_Calendar_Event_from_Work_Order_UK, Create_core_exchange_RMAs_from_Service_Fusion, Create_part_requests_from_Service_Fusion, FSL_Set_Service_Report_Layout_ID_on_Work_Orders, FSL_US_On_FSR_Attached_Update_Work_Order_to_Completed_WO, FSL_US_On_Submit_to_Shipping_Update_Status_to_Pending_Shipment, FSL_US_On_Tracking_Update_Status_to_Parts_Probe_Shipped, FSL_US_On_Update_of_Account_Update_Billing_Address_on_Work_Order, Follow_Work_Order_Upon_Creation, On_Creation_of_Work_Order_Set_Shipping_Account_to_Bill_Customer_Fedex_System, On_Creation_of_Work_Order_Set_Shipping_Account_to_Bill_Customer_Fedex_System_1, On_Make_Model_or_Serial_Number_Change_Update_the_Opportunity, On_Serial_Number_Change_Update_the_Opportunity, On_Update_Completed_Undo_Update_Needed_Checkbox_and_Reset_Status, On_Update_of_Address_Update_Opportunity_Shipping_if_Needed, On_Update_of_Shipping_Location_on_Work_Order_Update_Location_on_Open_Service_App, PartsReadyForCollectionWorkOrderAlert, Send_Email_Work_Order_PDF, US_FSL_Ask_to_Re_Generate_FSR, US_FSL_On_Picked_Up_by_Operations_Notify_Engineer, US_FSL_On_WO_Field_Update_Update_Opportunity_Fields, US_FSL_Picked_Up_By_Checkbox_to_denote_if_it_s_been_picked_up_by_operations, US_FSL_Site_Address_Populated_but_Not_Shipping_Address, US_FSL_Update_Open_SA_Shipping_Address_when_changed_on_WO, Update_Initial_Tech_Support_with_Tech_Completed_Date, Update_Need_Quote_Lines_to_Part_Quoted, Update_Technician_Ship_Location_on_Work_Order_Creation, Work_Order_Assignment_and_Alerts_Flow, Work_Order_Asynchronous_on_create_Update_PM_Work_Order_Count_on_Service_Contract, Work_Order_Asynchronous_on_delete_Update_PM_Work_Order_Count_on_Service_Contract, Work_Order_Asynchronous_on_update_Update_PM_Work_Order_Count_on_Service_Contract, Work_Order_Automations, Work_Order_Calculate_Downtime_Business_Hours, Work_Order_Downtime_Start_Setter, Work_Order_Triggeer_US_FSR_Layout_Assignment, Work_Order_Trigger_Update_Cancelled_WO_Related_SAs, Work_Order_Ultrasound_Creation_Automation</x:v>
      </x:c>
      <x:c r="I42" s="119" t="str"/>
      <x:c r="J42" s="119" t="str">
        <x:v>WorkOrder</x:v>
      </x:c>
    </x:row>
    <x:row r="43" ht="46" customHeight="1">
      <x:c r="A43" s="117" t="str">
        <x:v>Apex Trigger</x:v>
      </x:c>
      <x:c r="B43" s="117" t="str">
        <x:v>UpdateActionPlanStatus</x:v>
      </x:c>
      <x:c r="C43" s="119" t="str">
        <x:v>Active</x:v>
      </x:c>
      <x:c r="D43" s="117" t="str">
        <x:v>CAPA_Action_Plan__c</x:v>
      </x:c>
      <x:c r="E43" s="119" t="str">
        <x:v>after insert, after update</x:v>
      </x:c>
      <x:c r="F43" s="117" t="str">
        <x:v>N/A</x:v>
      </x:c>
      <x:c r="G43" s="118" t="n">
        <x:v>0</x:v>
      </x:c>
      <x:c r="H43" s="119" t="str"/>
      <x:c r="I43" s="119" t="str"/>
      <x:c r="J43" s="119" t="str">
        <x:v>CAPA_Action_Plan__c</x:v>
      </x:c>
    </x:row>
    <x:row r="44" ht="46" customHeight="1">
      <x:c r="A44" s="117" t="str">
        <x:v>Apex Trigger</x:v>
      </x:c>
      <x:c r="B44" s="117" t="str">
        <x:v>UpdateProductFields</x:v>
      </x:c>
      <x:c r="C44" s="119" t="str">
        <x:v>Active</x:v>
      </x:c>
      <x:c r="D44" s="117" t="str">
        <x:v>Product2</x:v>
      </x:c>
      <x:c r="E44" s="119" t="str">
        <x:v>before update</x:v>
      </x:c>
      <x:c r="F44" s="117" t="str">
        <x:v>N/A</x:v>
      </x:c>
      <x:c r="G44" s="118" t="n">
        <x:v>5</x:v>
      </x:c>
      <x:c r="H44" s="119" t="str">
        <x:v>Parts_Validation_Approval_Process_1, ProductUpdatesFlow, Product_Creation_Actions_Flow, Product_On_Creation, Scrub_AvaTax_Exception_Code_from_New_Products</x:v>
      </x:c>
      <x:c r="I44" s="119" t="str"/>
      <x:c r="J44" s="119" t="str">
        <x:v>Product2</x:v>
      </x:c>
    </x:row>
    <x:row r="45" ht="46" customHeight="1">
      <x:c r="A45" s="117" t="str">
        <x:v>Apex Trigger</x:v>
      </x:c>
      <x:c r="B45" s="117" t="str">
        <x:v>updateProductRepairTrigger</x:v>
      </x:c>
      <x:c r="C45" s="119" t="str">
        <x:v>Inactive</x:v>
      </x:c>
      <x:c r="D45" s="117" t="str">
        <x:v>Product_Repair__c</x:v>
      </x:c>
      <x:c r="E45" s="119" t="str">
        <x:v>before insert, after insert, before update, after update</x:v>
      </x:c>
      <x:c r="F45" s="117" t="str">
        <x:v>N/A</x:v>
      </x:c>
      <x:c r="G45" s="118" t="n">
        <x:v>0</x:v>
      </x:c>
      <x:c r="H45" s="119" t="str"/>
      <x:c r="I45" s="119" t="str"/>
      <x:c r="J45" s="119" t="str">
        <x:v>Product_Repair__c</x:v>
      </x:c>
    </x:row>
    <x:row r="46" ht="46" customHeight="1">
      <x:c r="A46" s="117" t="str">
        <x:v>Apex Trigger</x:v>
      </x:c>
      <x:c r="B46" s="117" t="str">
        <x:v>UpdateQuestions</x:v>
      </x:c>
      <x:c r="C46" s="119" t="str">
        <x:v>Active</x:v>
      </x:c>
      <x:c r="D46" s="117" t="str">
        <x:v>Document_Trained_Person__c</x:v>
      </x:c>
      <x:c r="E46" s="119" t="str">
        <x:v>before insert, before update</x:v>
      </x:c>
      <x:c r="F46" s="117" t="str">
        <x:v>N/A</x:v>
      </x:c>
      <x:c r="G46" s="118" t="n">
        <x:v>0</x:v>
      </x:c>
      <x:c r="H46" s="119" t="str"/>
      <x:c r="I46" s="119" t="str"/>
      <x:c r="J46" s="119" t="str">
        <x:v>Document_Trained_Person__c</x:v>
      </x:c>
    </x:row>
    <x:row r="47" ht="46" customHeight="1">
      <x:c r="A47" s="117" t="str">
        <x:v>Apex Trigger</x:v>
      </x:c>
      <x:c r="B47" s="117" t="str">
        <x:v>WorkOrderLineItemTrigger</x:v>
      </x:c>
      <x:c r="C47" s="119" t="str">
        <x:v>Active</x:v>
      </x:c>
      <x:c r="D47" s="117" t="str">
        <x:v>WorkOrderLineItem</x:v>
      </x:c>
      <x:c r="E47" s="119" t="str">
        <x:v>after insert, after update, after delete, after undelete</x:v>
      </x:c>
      <x:c r="F47" s="117" t="str">
        <x:v>N/A</x:v>
      </x:c>
      <x:c r="G47" s="118" t="n">
        <x:v>4</x:v>
      </x:c>
      <x:c r="H47" s="119" t="str">
        <x:v>On_Create_Parts_Sales_Value_Rollup, On_New_WOLI_Update_Type_if_Probe_Repair_Opp, Set_Service_Appointment_on_New_Work_Order_Line_Item, Work_Order_Rollups</x:v>
      </x:c>
      <x:c r="I47" s="119" t="str"/>
      <x:c r="J47" s="119" t="str">
        <x:v>WorkOrderLineItem</x:v>
      </x:c>
    </x:row>
    <x:row r="48" ht="46" customHeight="1">
      <x:c r="A48" s="117" t="str">
        <x:v>Apex Trigger</x:v>
      </x:c>
      <x:c r="B48" s="117" t="str">
        <x:v>WorkOrderTrigger</x:v>
      </x:c>
      <x:c r="C48" s="119" t="str">
        <x:v>Active</x:v>
      </x:c>
      <x:c r="D48" s="117" t="str">
        <x:v>WorkOrder</x:v>
      </x:c>
      <x:c r="E48" s="119" t="str">
        <x:v>before insert, before update</x:v>
      </x:c>
      <x:c r="F48" s="117" t="str">
        <x:v>N/A</x:v>
      </x:c>
      <x:c r="G48" s="118" t="n">
        <x:v>39</x:v>
      </x:c>
      <x:c r="H48" s="119" t="str">
        <x:v>Auto_Create_RMAs_from_Work_Orders_for_UK, Contract_Line_Item_Roll_Up_Downtime_Business_Hours, Create_Service_Calendar_Event_from_Work_Order_UK, Create_core_exchange_RMAs_from_Service_Fusion, Create_part_requests_from_Service_Fusion, FSL_Set_Service_Report_Layout_ID_on_Work_Orders, FSL_US_On_FSR_Attached_Update_Work_Order_to_Completed_WO, FSL_US_On_Submit_to_Shipping_Update_Status_to_Pending_Shipment, FSL_US_On_Tracking_Update_Status_to_Parts_Probe_Shipped, FSL_US_On_Update_of_Account_Update_Billing_Address_on_Work_Order, Follow_Work_Order_Upon_Creation, On_Creation_of_Work_Order_Set_Shipping_Account_to_Bill_Customer_Fedex_System, On_Creation_of_Work_Order_Set_Shipping_Account_to_Bill_Customer_Fedex_System_1, On_Make_Model_or_Serial_Number_Change_Update_the_Opportunity, On_Serial_Number_Change_Update_the_Opportunity, On_Update_Completed_Undo_Update_Needed_Checkbox_and_Reset_Status, On_Update_of_Address_Update_Opportunity_Shipping_if_Needed, On_Update_of_Shipping_Location_on_Work_Order_Update_Location_on_Open_Service_App, PartsReadyForCollectionWorkOrderAlert, Send_Email_Work_Order_PDF, US_FSL_Ask_to_Re_Generate_FSR, US_FSL_On_Picked_Up_by_Operations_Notify_Engineer, US_FSL_On_WO_Field_Update_Update_Opportunity_Fields, US_FSL_Picked_Up_By_Checkbox_to_denote_if_it_s_been_picked_up_by_operations, US_FSL_Site_Address_Populated_but_Not_Shipping_Address, US_FSL_Update_Open_SA_Shipping_Address_when_changed_on_WO, Update_Initial_Tech_Support_with_Tech_Completed_Date, Update_Need_Quote_Lines_to_Part_Quoted, Update_Technician_Ship_Location_on_Work_Order_Creation, Work_Order_Assignment_and_Alerts_Flow, Work_Order_Asynchronous_on_create_Update_PM_Work_Order_Count_on_Service_Contract, Work_Order_Asynchronous_on_delete_Update_PM_Work_Order_Count_on_Service_Contract, Work_Order_Asynchronous_on_update_Update_PM_Work_Order_Count_on_Service_Contract, Work_Order_Automations, Work_Order_Calculate_Downtime_Business_Hours, Work_Order_Downtime_Start_Setter, Work_Order_Triggeer_US_FSR_Layout_Assignment, Work_Order_Trigger_Update_Cancelled_WO_Related_SAs, Work_Order_Ultrasound_Creation_Automation</x:v>
      </x:c>
      <x:c r="I48" s="119" t="str"/>
      <x:c r="J48" s="119" t="str">
        <x:v>WorkOrder</x:v>
      </x:c>
    </x:row>
    <x:row r="49" ht="46" customHeight="1">
      <x:c r="A49" s="117" t="str">
        <x:v>Apex Trigger</x:v>
      </x:c>
      <x:c r="B49" s="117" t="str">
        <x:v>WorkOrderUpdate</x:v>
      </x:c>
      <x:c r="C49" s="119" t="str">
        <x:v>Active</x:v>
      </x:c>
      <x:c r="D49" s="117" t="str">
        <x:v>Work_Order__c</x:v>
      </x:c>
      <x:c r="E49" s="119" t="str">
        <x:v>before insert, after insert, before update, after update</x:v>
      </x:c>
      <x:c r="F49" s="117" t="str">
        <x:v>N/A</x:v>
      </x:c>
      <x:c r="G49" s="118" t="n">
        <x:v>0</x:v>
      </x:c>
      <x:c r="H49" s="119" t="str"/>
      <x:c r="I49" s="119" t="str"/>
      <x:c r="J49" s="119" t="str">
        <x:v>Work_Order__c</x:v>
      </x:c>
    </x:row>
    <x:row r="50" ht="46" customHeight="1">
      <x:c r="A50" s="117" t="str">
        <x:v>Apex Class</x:v>
      </x:c>
      <x:c r="B50" s="117" t="str">
        <x:v>AddAssetServices</x:v>
      </x:c>
      <x:c r="C50" s="119" t="str">
        <x:v>Aura Enabled</x:v>
      </x:c>
      <x:c r="D50" s="117" t="str"/>
      <x:c r="E50" s="119" t="str"/>
      <x:c r="F50" s="117" t="str">
        <x:v>No</x:v>
      </x:c>
      <x:c r="G50" s="118" t="n">
        <x:v>0</x:v>
      </x:c>
      <x:c r="H50" s="119" t="str"/>
      <x:c r="I50" s="119" t="str"/>
      <x:c r="J50" s="119" t="str">
        <x:v>Harvest_Work_Order__c, Product2, ProductItem__c, Product_Analytics__c, RecordType, System_Work_Order__c, User</x:v>
      </x:c>
    </x:row>
    <x:row r="51" ht="46" customHeight="1">
      <x:c r="A51" s="117" t="str">
        <x:v>Apex Class</x:v>
      </x:c>
      <x:c r="B51" s="117" t="str">
        <x:v>AddAssetServicesTest</x:v>
      </x:c>
      <x:c r="C51" s="119" t="str">
        <x:v>Internal / other</x:v>
      </x:c>
      <x:c r="D51" s="117" t="str"/>
      <x:c r="E51" s="119" t="str"/>
      <x:c r="F51" s="117" t="str">
        <x:v>No</x:v>
      </x:c>
      <x:c r="G51" s="118" t="n">
        <x:v>0</x:v>
      </x:c>
      <x:c r="H51" s="119" t="str"/>
      <x:c r="I51" s="119" t="str"/>
      <x:c r="J51" s="119" t="str">
        <x:v>Account, Asset, Harvest_Work_Order__c, Order, Product2, ProductItem__c, System_Work_Order__c</x:v>
      </x:c>
    </x:row>
    <x:row r="52" ht="46" customHeight="1">
      <x:c r="A52" s="117" t="str">
        <x:v>Apex Class</x:v>
      </x:c>
      <x:c r="B52" s="117" t="str">
        <x:v>AddIRProductServices</x:v>
      </x:c>
      <x:c r="C52" s="119" t="str">
        <x:v>Aura Enabled</x:v>
      </x:c>
      <x:c r="D52" s="117" t="str"/>
      <x:c r="E52" s="119" t="str"/>
      <x:c r="F52" s="117" t="str">
        <x:v>No</x:v>
      </x:c>
      <x:c r="G52" s="118" t="n">
        <x:v>0</x:v>
      </x:c>
      <x:c r="H52" s="119" t="str"/>
      <x:c r="I52" s="119" t="str"/>
      <x:c r="J52" s="119" t="str">
        <x:v>IR_Product__c, Product_Repair_Line_Item__c, Product_Repair__c</x:v>
      </x:c>
    </x:row>
    <x:row r="53" ht="46" customHeight="1">
      <x:c r="A53" s="117" t="str">
        <x:v>Apex Class</x:v>
      </x:c>
      <x:c r="B53" s="117" t="str">
        <x:v>AddIRProductServicesTest</x:v>
      </x:c>
      <x:c r="C53" s="119" t="str">
        <x:v>Internal / other</x:v>
      </x:c>
      <x:c r="D53" s="117" t="str"/>
      <x:c r="E53" s="119" t="str"/>
      <x:c r="F53" s="117" t="str">
        <x:v>No</x:v>
      </x:c>
      <x:c r="G53" s="118" t="n">
        <x:v>0</x:v>
      </x:c>
      <x:c r="H53" s="119" t="str"/>
      <x:c r="I53" s="119" t="str"/>
      <x:c r="J53" s="119" t="str">
        <x:v>Account, IR_Product__c, Item_Receipt__c, Opportunity, Product2, ProductItem__c, Product_Repair_Line_Item__c, Product_Repair__c</x:v>
      </x:c>
    </x:row>
    <x:row r="54" ht="46" customHeight="1">
      <x:c r="A54" s="117" t="str">
        <x:v>Apex Class</x:v>
      </x:c>
      <x:c r="B54" s="117" t="str">
        <x:v>addproduct</x:v>
      </x:c>
      <x:c r="C54" s="119" t="str">
        <x:v>Internal / other</x:v>
      </x:c>
      <x:c r="D54" s="117" t="str"/>
      <x:c r="E54" s="119" t="str"/>
      <x:c r="F54" s="117" t="str">
        <x:v>No</x:v>
      </x:c>
      <x:c r="G54" s="118" t="n">
        <x:v>0</x:v>
      </x:c>
      <x:c r="H54" s="119" t="str"/>
      <x:c r="I54" s="119" t="str"/>
      <x:c r="J54" s="119" t="str">
        <x:v>Asset, Location, Opportunity, OpportunityLineItem, Pricebook2, PricebookEntry, Product2, ProductItem__c, Quote, RecordType</x:v>
      </x:c>
    </x:row>
    <x:row r="55" ht="46" customHeight="1">
      <x:c r="A55" s="117" t="str">
        <x:v>Apex Class</x:v>
      </x:c>
      <x:c r="B55" s="117" t="str">
        <x:v>AddProductPortal</x:v>
      </x:c>
      <x:c r="C55" s="119" t="str">
        <x:v>Internal / other</x:v>
      </x:c>
      <x:c r="D55" s="117" t="str"/>
      <x:c r="E55" s="119" t="str"/>
      <x:c r="F55" s="117" t="str">
        <x:v>No</x:v>
      </x:c>
      <x:c r="G55" s="118" t="n">
        <x:v>0</x:v>
      </x:c>
      <x:c r="H55" s="119" t="str"/>
      <x:c r="I55" s="119" t="str"/>
      <x:c r="J55" s="119" t="str">
        <x:v>Location, Opportunity, OpportunityLineItem, ProductItem__c, Quote</x:v>
      </x:c>
    </x:row>
    <x:row r="56" ht="46" customHeight="1">
      <x:c r="A56" s="117" t="str">
        <x:v>Apex Class</x:v>
      </x:c>
      <x:c r="B56" s="117" t="str">
        <x:v>AddProductPortalTestClass</x:v>
      </x:c>
      <x:c r="C56" s="119" t="str">
        <x:v>Internal / other</x:v>
      </x:c>
      <x:c r="D56" s="117" t="str"/>
      <x:c r="E56" s="119" t="str"/>
      <x:c r="F56" s="117" t="str">
        <x:v>No</x:v>
      </x:c>
      <x:c r="G56" s="118" t="n">
        <x:v>0</x:v>
      </x:c>
      <x:c r="H56" s="119" t="str"/>
      <x:c r="I56" s="119" t="str"/>
      <x:c r="J56" s="119" t="str">
        <x:v>Account, Asset, Opportunity, OpportunityLineItem, PricebookEntry, Product2, ProductItem__c</x:v>
      </x:c>
    </x:row>
    <x:row r="57" ht="46" customHeight="1">
      <x:c r="A57" s="117" t="str">
        <x:v>Apex Class</x:v>
      </x:c>
      <x:c r="B57" s="117" t="str">
        <x:v>AddProductServices</x:v>
      </x:c>
      <x:c r="C57" s="119" t="str">
        <x:v>Aura Enabled</x:v>
      </x:c>
      <x:c r="D57" s="117" t="str"/>
      <x:c r="E57" s="119" t="str"/>
      <x:c r="F57" s="117" t="str">
        <x:v>No</x:v>
      </x:c>
      <x:c r="G57" s="118" t="n">
        <x:v>0</x:v>
      </x:c>
      <x:c r="H57" s="119" t="str"/>
      <x:c r="I57" s="119" t="str"/>
      <x:c r="J57" s="119" t="str">
        <x:v>Account, Loaner__c, Opportunity, Order, PricebookEntry, Product2, ProductItem__c, RecordType, Rental_Order__c, ServiceContract, User, WorkOrder</x:v>
      </x:c>
    </x:row>
    <x:row r="58" ht="46" customHeight="1">
      <x:c r="A58" s="117" t="str">
        <x:v>Apex Class</x:v>
      </x:c>
      <x:c r="B58" s="117" t="str">
        <x:v>AddProductServicesTest</x:v>
      </x:c>
      <x:c r="C58" s="119" t="str">
        <x:v>Internal / other</x:v>
      </x:c>
      <x:c r="D58" s="117" t="str"/>
      <x:c r="E58" s="119" t="str"/>
      <x:c r="F58" s="117" t="str">
        <x:v>No</x:v>
      </x:c>
      <x:c r="G58" s="118" t="n">
        <x:v>0</x:v>
      </x:c>
      <x:c r="H58" s="119" t="str"/>
      <x:c r="I58" s="119" t="str"/>
      <x:c r="J58" s="119" t="str">
        <x:v>Account, Loaner__c, Opportunity, OpportunityLineItem, Order, Product2, ProductItem__c, Rental_Order__c, ServiceContract, WorkOrder</x:v>
      </x:c>
    </x:row>
    <x:row r="59" ht="46" customHeight="1">
      <x:c r="A59" s="117" t="str">
        <x:v>Apex Class</x:v>
      </x:c>
      <x:c r="B59" s="117" t="str">
        <x:v>AddProductTestClass</x:v>
      </x:c>
      <x:c r="C59" s="119" t="str">
        <x:v>Internal / other</x:v>
      </x:c>
      <x:c r="D59" s="117" t="str"/>
      <x:c r="E59" s="119" t="str"/>
      <x:c r="F59" s="117" t="str">
        <x:v>No</x:v>
      </x:c>
      <x:c r="G59" s="118" t="n">
        <x:v>0</x:v>
      </x:c>
      <x:c r="H59" s="119" t="str"/>
      <x:c r="I59" s="119" t="str"/>
      <x:c r="J59" s="119" t="str">
        <x:v>Account, Asset, Opportunity, OpportunityLineItem, PricebookEntry, Product2, ProductItem__c</x:v>
      </x:c>
    </x:row>
    <x:row r="60" ht="46" customHeight="1">
      <x:c r="A60" s="117" t="str">
        <x:v>Apex Class</x:v>
      </x:c>
      <x:c r="B60" s="117" t="str">
        <x:v>AssignPermissionSet</x:v>
      </x:c>
      <x:c r="C60" s="119" t="str">
        <x:v>Internal / other</x:v>
      </x:c>
      <x:c r="D60" s="117" t="str"/>
      <x:c r="E60" s="119" t="str"/>
      <x:c r="F60" s="117" t="str">
        <x:v>No</x:v>
      </x:c>
      <x:c r="G60" s="118" t="n">
        <x:v>0</x:v>
      </x:c>
      <x:c r="H60" s="119" t="str"/>
      <x:c r="I60" s="119" t="str"/>
      <x:c r="J60" s="119" t="str">
        <x:v>PermissionSetAssignment</x:v>
      </x:c>
    </x:row>
    <x:row r="61" ht="46" customHeight="1">
      <x:c r="A61" s="117" t="str">
        <x:v>Apex Class</x:v>
      </x:c>
      <x:c r="B61" s="117" t="str">
        <x:v>AssignPermissionSetTest</x:v>
      </x:c>
      <x:c r="C61" s="119" t="str">
        <x:v>Internal / other</x:v>
      </x:c>
      <x:c r="D61" s="117" t="str"/>
      <x:c r="E61" s="119" t="str"/>
      <x:c r="F61" s="117" t="str">
        <x:v>No</x:v>
      </x:c>
      <x:c r="G61" s="118" t="n">
        <x:v>0</x:v>
      </x:c>
      <x:c r="H61" s="119" t="str"/>
      <x:c r="I61" s="119" t="str"/>
      <x:c r="J61" s="119" t="str">
        <x:v>PermissionSetAssignment</x:v>
      </x:c>
    </x:row>
    <x:row r="62" ht="46" customHeight="1">
      <x:c r="A62" s="117" t="str">
        <x:v>Apex Class</x:v>
      </x:c>
      <x:c r="B62" s="117" t="str">
        <x:v>BarcodeGeneratorExtension</x:v>
      </x:c>
      <x:c r="C62" s="119" t="str">
        <x:v>Internal / other</x:v>
      </x:c>
      <x:c r="D62" s="117" t="str"/>
      <x:c r="E62" s="119" t="str"/>
      <x:c r="F62" s="117" t="str">
        <x:v>No</x:v>
      </x:c>
      <x:c r="G62" s="118" t="n">
        <x:v>0</x:v>
      </x:c>
      <x:c r="H62" s="119" t="str"/>
      <x:c r="I62" s="119" t="str"/>
      <x:c r="J62" s="119" t="str">
        <x:v>Harvest_Work_Order__c, ProductItem__c</x:v>
      </x:c>
    </x:row>
    <x:row r="63" ht="46" customHeight="1">
      <x:c r="A63" s="117" t="str">
        <x:v>Apex Class</x:v>
      </x:c>
      <x:c r="B63" s="117" t="str">
        <x:v>BarcodeGeneratorExtensionTest</x:v>
      </x:c>
      <x:c r="C63" s="119" t="str">
        <x:v>Internal / other</x:v>
      </x:c>
      <x:c r="D63" s="117" t="str"/>
      <x:c r="E63" s="119" t="str"/>
      <x:c r="F63" s="117" t="str">
        <x:v>No</x:v>
      </x:c>
      <x:c r="G63" s="118" t="n">
        <x:v>0</x:v>
      </x:c>
      <x:c r="H63" s="119" t="str"/>
      <x:c r="I63" s="119" t="str"/>
      <x:c r="J63" s="119" t="str">
        <x:v>Product2, ProductItem__c</x:v>
      </x:c>
    </x:row>
    <x:row r="64" ht="46" customHeight="1">
      <x:c r="A64" s="117" t="str">
        <x:v>Apex Class</x:v>
      </x:c>
      <x:c r="B64" s="117" t="str">
        <x:v>BarcodeGeneratorExtensionTestUK</x:v>
      </x:c>
      <x:c r="C64" s="119" t="str">
        <x:v>Internal / other</x:v>
      </x:c>
      <x:c r="D64" s="117" t="str"/>
      <x:c r="E64" s="119" t="str"/>
      <x:c r="F64" s="117" t="str">
        <x:v>No</x:v>
      </x:c>
      <x:c r="G64" s="118" t="n">
        <x:v>0</x:v>
      </x:c>
      <x:c r="H64" s="119" t="str"/>
      <x:c r="I64" s="119" t="str"/>
      <x:c r="J64" s="119" t="str">
        <x:v>Product2, ProductItem__c</x:v>
      </x:c>
    </x:row>
    <x:row r="65" ht="46" customHeight="1">
      <x:c r="A65" s="117" t="str">
        <x:v>Apex Class</x:v>
      </x:c>
      <x:c r="B65" s="117" t="str">
        <x:v>BarcodeGeneratorExtensionUK</x:v>
      </x:c>
      <x:c r="C65" s="119" t="str">
        <x:v>Internal / other</x:v>
      </x:c>
      <x:c r="D65" s="117" t="str"/>
      <x:c r="E65" s="119" t="str"/>
      <x:c r="F65" s="117" t="str">
        <x:v>No</x:v>
      </x:c>
      <x:c r="G65" s="118" t="n">
        <x:v>0</x:v>
      </x:c>
      <x:c r="H65" s="119" t="str"/>
      <x:c r="I65" s="119" t="str"/>
      <x:c r="J65" s="119" t="str">
        <x:v>Harvest_Work_Order__c, ProductItem__c</x:v>
      </x:c>
    </x:row>
    <x:row r="66" ht="46" customHeight="1">
      <x:c r="A66" s="117" t="str">
        <x:v>Apex Class</x:v>
      </x:c>
      <x:c r="B66" s="117" t="str">
        <x:v>BeforeUpdateOpportunityTest</x:v>
      </x:c>
      <x:c r="C66" s="119" t="str">
        <x:v>Internal / other</x:v>
      </x:c>
      <x:c r="D66" s="117" t="str"/>
      <x:c r="E66" s="119" t="str"/>
      <x:c r="F66" s="117" t="str">
        <x:v>No</x:v>
      </x:c>
      <x:c r="G66" s="118" t="n">
        <x:v>0</x:v>
      </x:c>
      <x:c r="H66" s="119" t="str"/>
      <x:c r="I66" s="119" t="str"/>
      <x:c r="J66" s="119" t="str">
        <x:v>Account, Asset, Opportunity, OpportunityLineItem, PricebookEntry, Product2, ProductItem__c, Quote</x:v>
      </x:c>
    </x:row>
    <x:row r="67" ht="46" customHeight="1">
      <x:c r="A67" s="117" t="str">
        <x:v>Apex Class</x:v>
      </x:c>
      <x:c r="B67" s="117" t="str">
        <x:v>BusinessHoursDiffService</x:v>
      </x:c>
      <x:c r="C67" s="119" t="str">
        <x:v>Invocable</x:v>
      </x:c>
      <x:c r="D67" s="117" t="str"/>
      <x:c r="E67" s="119" t="str"/>
      <x:c r="F67" s="117" t="str">
        <x:v>Yes</x:v>
      </x:c>
      <x:c r="G67" s="118" t="n">
        <x:v>5</x:v>
      </x:c>
      <x:c r="H67" s="119" t="str">
        <x:v>Contract_Line_Item_Calculate_Running_Coverage_Duration_Business_Hours, Service_Appointment_Calculate_Tech_Support_Response_Time_Business_Minutes, Service_Contract_Calculate_Last_Quarter_Uptime, Service_Contract_Calculate_Running_Coverage_Duration_Business_Hours_Screen_Flow, Work_Order_Calculate_Downtime_Business_Hours</x:v>
      </x:c>
      <x:c r="I67" s="119" t="str"/>
      <x:c r="J67" s="119" t="str"/>
    </x:row>
    <x:row r="68" ht="46" customHeight="1">
      <x:c r="A68" s="117" t="str">
        <x:v>Apex Class</x:v>
      </x:c>
      <x:c r="B68" s="117" t="str">
        <x:v>BusinessHoursDiffServiceTest</x:v>
      </x:c>
      <x:c r="C68" s="119" t="str">
        <x:v>Internal / other</x:v>
      </x:c>
      <x:c r="D68" s="117" t="str"/>
      <x:c r="E68" s="119" t="str"/>
      <x:c r="F68" s="117" t="str">
        <x:v>No</x:v>
      </x:c>
      <x:c r="G68" s="118" t="n">
        <x:v>0</x:v>
      </x:c>
      <x:c r="H68" s="119" t="str"/>
      <x:c r="I68" s="119" t="str"/>
      <x:c r="J68" s="119" t="str"/>
    </x:row>
    <x:row r="69" ht="46" customHeight="1">
      <x:c r="A69" s="117" t="str">
        <x:v>Apex Class</x:v>
      </x:c>
      <x:c r="B69" s="117" t="str">
        <x:v>BypassTriggerAction</x:v>
      </x:c>
      <x:c r="C69" s="119" t="str">
        <x:v>Invocable</x:v>
      </x:c>
      <x:c r="D69" s="117" t="str"/>
      <x:c r="E69" s="119" t="str"/>
      <x:c r="F69" s="117" t="str">
        <x:v>Yes</x:v>
      </x:c>
      <x:c r="G69" s="118" t="n">
        <x:v>1</x:v>
      </x:c>
      <x:c r="H69" s="119" t="str">
        <x:v>ProductItem_on_update_Pur_Op_Total_Cost_of_Unsold_Assets_Roll_Up</x:v>
      </x:c>
      <x:c r="I69" s="119" t="str"/>
      <x:c r="J69" s="119" t="str">
        <x:v>Opportunity, ProductItem__c, RMA__c</x:v>
      </x:c>
    </x:row>
    <x:row r="70" ht="46" customHeight="1">
      <x:c r="A70" s="117" t="str">
        <x:v>Apex Class</x:v>
      </x:c>
      <x:c r="B70" s="117" t="str">
        <x:v>BypassTriggerActionTest</x:v>
      </x:c>
      <x:c r="C70" s="119" t="str">
        <x:v>Internal / other</x:v>
      </x:c>
      <x:c r="D70" s="117" t="str"/>
      <x:c r="E70" s="119" t="str"/>
      <x:c r="F70" s="117" t="str">
        <x:v>No</x:v>
      </x:c>
      <x:c r="G70" s="118" t="n">
        <x:v>0</x:v>
      </x:c>
      <x:c r="H70" s="119" t="str"/>
      <x:c r="I70" s="119" t="str"/>
      <x:c r="J70" s="119" t="str">
        <x:v>Opportunity, ProductItem__c, RMA__c</x:v>
      </x:c>
    </x:row>
    <x:row r="71" ht="46" customHeight="1">
      <x:c r="A71" s="117" t="str">
        <x:v>Apex Class</x:v>
      </x:c>
      <x:c r="B71" s="117" t="str">
        <x:v>cAuthURIForEval</x:v>
      </x:c>
      <x:c r="C71" s="119" t="str">
        <x:v>Internal / other</x:v>
      </x:c>
      <x:c r="D71" s="117" t="str"/>
      <x:c r="E71" s="119" t="str"/>
      <x:c r="F71" s="117" t="str">
        <x:v>No</x:v>
      </x:c>
      <x:c r="G71" s="118" t="n">
        <x:v>0</x:v>
      </x:c>
      <x:c r="H71" s="119" t="str"/>
      <x:c r="I71" s="119" t="str"/>
      <x:c r="J71" s="119" t="str"/>
    </x:row>
    <x:row r="72" ht="46" customHeight="1">
      <x:c r="A72" s="117" t="str">
        <x:v>Apex Class</x:v>
      </x:c>
      <x:c r="B72" s="117" t="str">
        <x:v>cGoogleAppAuthenticationWithSalesforce</x:v>
      </x:c>
      <x:c r="C72" s="119" t="str">
        <x:v>Internal / other</x:v>
      </x:c>
      <x:c r="D72" s="117" t="str"/>
      <x:c r="E72" s="119" t="str"/>
      <x:c r="F72" s="117" t="str">
        <x:v>No</x:v>
      </x:c>
      <x:c r="G72" s="118" t="n">
        <x:v>0</x:v>
      </x:c>
      <x:c r="H72" s="119" t="str"/>
      <x:c r="I72" s="119" t="str"/>
      <x:c r="J72" s="119" t="str">
        <x:v>Account, Evaluation_Natalie__c, Loaner__c, ProductItem__c, ProductTest__c, RMA__c, User</x:v>
      </x:c>
    </x:row>
    <x:row r="73" ht="46" customHeight="1">
      <x:c r="A73" s="117" t="str">
        <x:v>Apex Class</x:v>
      </x:c>
      <x:c r="B73" s="117" t="str">
        <x:v>ChangePasswordController</x:v>
      </x:c>
      <x:c r="C73" s="119" t="str">
        <x:v>Internal / other</x:v>
      </x:c>
      <x:c r="D73" s="117" t="str"/>
      <x:c r="E73" s="119" t="str"/>
      <x:c r="F73" s="117" t="str">
        <x:v>No</x:v>
      </x:c>
      <x:c r="G73" s="118" t="n">
        <x:v>0</x:v>
      </x:c>
      <x:c r="H73" s="119" t="str"/>
      <x:c r="I73" s="119" t="str"/>
      <x:c r="J73" s="119" t="str"/>
    </x:row>
    <x:row r="74" ht="46" customHeight="1">
      <x:c r="A74" s="117" t="str">
        <x:v>Apex Class</x:v>
      </x:c>
      <x:c r="B74" s="117" t="str">
        <x:v>ChangePasswordControllerTest</x:v>
      </x:c>
      <x:c r="C74" s="119" t="str">
        <x:v>Internal / other</x:v>
      </x:c>
      <x:c r="D74" s="117" t="str"/>
      <x:c r="E74" s="119" t="str"/>
      <x:c r="F74" s="117" t="str">
        <x:v>No</x:v>
      </x:c>
      <x:c r="G74" s="118" t="n">
        <x:v>0</x:v>
      </x:c>
      <x:c r="H74" s="119" t="str"/>
      <x:c r="I74" s="119" t="str"/>
      <x:c r="J74" s="119" t="str"/>
    </x:row>
    <x:row r="75" ht="46" customHeight="1">
      <x:c r="A75" s="117" t="str">
        <x:v>Apex Class</x:v>
      </x:c>
      <x:c r="B75" s="117" t="str">
        <x:v>cloudx_cms__SS_CarouselController</x:v>
      </x:c>
      <x:c r="C75" s="119" t="str">
        <x:v>Aura Enabled</x:v>
      </x:c>
      <x:c r="D75" s="117" t="str"/>
      <x:c r="E75" s="119" t="str"/>
      <x:c r="F75" s="117" t="str">
        <x:v>No</x:v>
      </x:c>
      <x:c r="G75" s="118" t="n">
        <x:v>0</x:v>
      </x:c>
      <x:c r="H75" s="119" t="str"/>
      <x:c r="I75" s="119" t="str"/>
      <x:c r="J75" s="119" t="str">
        <x:v>RecordType</x:v>
      </x:c>
    </x:row>
    <x:row r="76" ht="46" customHeight="1">
      <x:c r="A76" s="117" t="str">
        <x:v>Apex Class</x:v>
      </x:c>
      <x:c r="B76" s="117" t="str">
        <x:v>cloudx_cms__SS_CarouselControllerTest</x:v>
      </x:c>
      <x:c r="C76" s="119" t="str">
        <x:v>Internal / other</x:v>
      </x:c>
      <x:c r="D76" s="117" t="str"/>
      <x:c r="E76" s="119" t="str"/>
      <x:c r="F76" s="117" t="str">
        <x:v>No</x:v>
      </x:c>
      <x:c r="G76" s="118" t="n">
        <x:v>0</x:v>
      </x:c>
      <x:c r="H76" s="119" t="str"/>
      <x:c r="I76" s="119" t="str"/>
      <x:c r="J76" s="119" t="str"/>
    </x:row>
    <x:row r="77" ht="46" customHeight="1">
      <x:c r="A77" s="117" t="str">
        <x:v>Apex Class</x:v>
      </x:c>
      <x:c r="B77" s="117" t="str">
        <x:v>cloudx_cms__SS_CarouselSlideDTO</x:v>
      </x:c>
      <x:c r="C77" s="119" t="str">
        <x:v>Aura Enabled</x:v>
      </x:c>
      <x:c r="D77" s="117" t="str"/>
      <x:c r="E77" s="119" t="str"/>
      <x:c r="F77" s="117" t="str">
        <x:v>No</x:v>
      </x:c>
      <x:c r="G77" s="118" t="n">
        <x:v>0</x:v>
      </x:c>
      <x:c r="H77" s="119" t="str"/>
      <x:c r="I77" s="119" t="str"/>
      <x:c r="J77" s="119" t="str">
        <x:v>RecordType</x:v>
      </x:c>
    </x:row>
    <x:row r="78" ht="46" customHeight="1">
      <x:c r="A78" s="117" t="str">
        <x:v>Apex Class</x:v>
      </x:c>
      <x:c r="B78" s="117" t="str">
        <x:v>CommunitiesLandingController</x:v>
      </x:c>
      <x:c r="C78" s="119" t="str">
        <x:v>Internal / other</x:v>
      </x:c>
      <x:c r="D78" s="117" t="str"/>
      <x:c r="E78" s="119" t="str"/>
      <x:c r="F78" s="117" t="str">
        <x:v>No</x:v>
      </x:c>
      <x:c r="G78" s="118" t="n">
        <x:v>0</x:v>
      </x:c>
      <x:c r="H78" s="119" t="str"/>
      <x:c r="I78" s="119" t="str"/>
      <x:c r="J78" s="119" t="str"/>
    </x:row>
    <x:row r="79" ht="46" customHeight="1">
      <x:c r="A79" s="117" t="str">
        <x:v>Apex Class</x:v>
      </x:c>
      <x:c r="B79" s="117" t="str">
        <x:v>CommunitiesLandingControllerTest</x:v>
      </x:c>
      <x:c r="C79" s="119" t="str">
        <x:v>Internal / other</x:v>
      </x:c>
      <x:c r="D79" s="117" t="str"/>
      <x:c r="E79" s="119" t="str"/>
      <x:c r="F79" s="117" t="str">
        <x:v>No</x:v>
      </x:c>
      <x:c r="G79" s="118" t="n">
        <x:v>0</x:v>
      </x:c>
      <x:c r="H79" s="119" t="str"/>
      <x:c r="I79" s="119" t="str"/>
      <x:c r="J79" s="119" t="str"/>
    </x:row>
    <x:row r="80" ht="46" customHeight="1">
      <x:c r="A80" s="117" t="str">
        <x:v>Apex Class</x:v>
      </x:c>
      <x:c r="B80" s="117" t="str">
        <x:v>CommunitiesLoginController</x:v>
      </x:c>
      <x:c r="C80" s="119" t="str">
        <x:v>Internal / other</x:v>
      </x:c>
      <x:c r="D80" s="117" t="str"/>
      <x:c r="E80" s="119" t="str"/>
      <x:c r="F80" s="117" t="str">
        <x:v>No</x:v>
      </x:c>
      <x:c r="G80" s="118" t="n">
        <x:v>0</x:v>
      </x:c>
      <x:c r="H80" s="119" t="str"/>
      <x:c r="I80" s="119" t="str"/>
      <x:c r="J80" s="119" t="str"/>
    </x:row>
    <x:row r="81" ht="46" customHeight="1">
      <x:c r="A81" s="117" t="str">
        <x:v>Apex Class</x:v>
      </x:c>
      <x:c r="B81" s="117" t="str">
        <x:v>CommunitiesLoginControllerTest</x:v>
      </x:c>
      <x:c r="C81" s="119" t="str">
        <x:v>Internal / other</x:v>
      </x:c>
      <x:c r="D81" s="117" t="str"/>
      <x:c r="E81" s="119" t="str"/>
      <x:c r="F81" s="117" t="str">
        <x:v>No</x:v>
      </x:c>
      <x:c r="G81" s="118" t="n">
        <x:v>0</x:v>
      </x:c>
      <x:c r="H81" s="119" t="str"/>
      <x:c r="I81" s="119" t="str"/>
      <x:c r="J81" s="119" t="str"/>
    </x:row>
    <x:row r="82" ht="46" customHeight="1">
      <x:c r="A82" s="117" t="str">
        <x:v>Apex Class</x:v>
      </x:c>
      <x:c r="B82" s="117" t="str">
        <x:v>CommunitiesSelfRegConfirmController</x:v>
      </x:c>
      <x:c r="C82" s="119" t="str">
        <x:v>Internal / other</x:v>
      </x:c>
      <x:c r="D82" s="117" t="str"/>
      <x:c r="E82" s="119" t="str"/>
      <x:c r="F82" s="117" t="str">
        <x:v>No</x:v>
      </x:c>
      <x:c r="G82" s="118" t="n">
        <x:v>0</x:v>
      </x:c>
      <x:c r="H82" s="119" t="str"/>
      <x:c r="I82" s="119" t="str"/>
      <x:c r="J82" s="119" t="str"/>
    </x:row>
    <x:row r="83" ht="46" customHeight="1">
      <x:c r="A83" s="117" t="str">
        <x:v>Apex Class</x:v>
      </x:c>
      <x:c r="B83" s="117" t="str">
        <x:v>CommunitiesSelfRegConfirmControllerTest</x:v>
      </x:c>
      <x:c r="C83" s="119" t="str">
        <x:v>Internal / other</x:v>
      </x:c>
      <x:c r="D83" s="117" t="str"/>
      <x:c r="E83" s="119" t="str"/>
      <x:c r="F83" s="117" t="str">
        <x:v>No</x:v>
      </x:c>
      <x:c r="G83" s="118" t="n">
        <x:v>0</x:v>
      </x:c>
      <x:c r="H83" s="119" t="str"/>
      <x:c r="I83" s="119" t="str"/>
      <x:c r="J83" s="119" t="str"/>
    </x:row>
    <x:row r="84" ht="46" customHeight="1">
      <x:c r="A84" s="117" t="str">
        <x:v>Apex Class</x:v>
      </x:c>
      <x:c r="B84" s="117" t="str">
        <x:v>CommunitiesSelfRegController</x:v>
      </x:c>
      <x:c r="C84" s="119" t="str">
        <x:v>Internal / other</x:v>
      </x:c>
      <x:c r="D84" s="117" t="str"/>
      <x:c r="E84" s="119" t="str"/>
      <x:c r="F84" s="117" t="str">
        <x:v>No</x:v>
      </x:c>
      <x:c r="G84" s="118" t="n">
        <x:v>0</x:v>
      </x:c>
      <x:c r="H84" s="119" t="str"/>
      <x:c r="I84" s="119" t="str"/>
      <x:c r="J84" s="119" t="str">
        <x:v>User</x:v>
      </x:c>
    </x:row>
    <x:row r="85" ht="46" customHeight="1">
      <x:c r="A85" s="117" t="str">
        <x:v>Apex Class</x:v>
      </x:c>
      <x:c r="B85" s="117" t="str">
        <x:v>CommunitiesSelfRegControllerTest</x:v>
      </x:c>
      <x:c r="C85" s="119" t="str">
        <x:v>Internal / other</x:v>
      </x:c>
      <x:c r="D85" s="117" t="str"/>
      <x:c r="E85" s="119" t="str"/>
      <x:c r="F85" s="117" t="str">
        <x:v>No</x:v>
      </x:c>
      <x:c r="G85" s="118" t="n">
        <x:v>0</x:v>
      </x:c>
      <x:c r="H85" s="119" t="str"/>
      <x:c r="I85" s="119" t="str"/>
      <x:c r="J85" s="119" t="str"/>
    </x:row>
    <x:row r="86" ht="46" customHeight="1">
      <x:c r="A86" s="117" t="str">
        <x:v>Apex Class</x:v>
      </x:c>
      <x:c r="B86" s="117" t="str">
        <x:v>ContentDocumentLinkToWorkOrderSync</x:v>
      </x:c>
      <x:c r="C86" s="119" t="str">
        <x:v>Internal / other</x:v>
      </x:c>
      <x:c r="D86" s="117" t="str"/>
      <x:c r="E86" s="119" t="str"/>
      <x:c r="F86" s="117" t="str">
        <x:v>No</x:v>
      </x:c>
      <x:c r="G86" s="118" t="n">
        <x:v>0</x:v>
      </x:c>
      <x:c r="H86" s="119" t="str"/>
      <x:c r="I86" s="119" t="str"/>
      <x:c r="J86" s="119" t="str">
        <x:v>ContentDocument, ContentDocumentLink, Opportunity, Order, ServiceAppointment, WorkOrder, WorkType</x:v>
      </x:c>
    </x:row>
    <x:row r="87" ht="46" customHeight="1">
      <x:c r="A87" s="117" t="str">
        <x:v>Apex Class</x:v>
      </x:c>
      <x:c r="B87" s="117" t="str">
        <x:v>ContentDocumentLinkToWorkOrderSync_Test</x:v>
      </x:c>
      <x:c r="C87" s="119" t="str">
        <x:v>Internal / other</x:v>
      </x:c>
      <x:c r="D87" s="117" t="str"/>
      <x:c r="E87" s="119" t="str"/>
      <x:c r="F87" s="117" t="str">
        <x:v>No</x:v>
      </x:c>
      <x:c r="G87" s="118" t="n">
        <x:v>0</x:v>
      </x:c>
      <x:c r="H87" s="119" t="str"/>
      <x:c r="I87" s="119" t="str"/>
      <x:c r="J87" s="119" t="str">
        <x:v>ContentDocument, ContentDocumentLink, Opportunity, Order, ServiceAppointment, WorkOrder</x:v>
      </x:c>
    </x:row>
    <x:row r="88" ht="46" customHeight="1">
      <x:c r="A88" s="117" t="str">
        <x:v>Apex Class</x:v>
      </x:c>
      <x:c r="B88" s="117" t="str">
        <x:v>CreateApprovedRepairsHandler</x:v>
      </x:c>
      <x:c r="C88" s="119" t="str">
        <x:v>Internal / other</x:v>
      </x:c>
      <x:c r="D88" s="117" t="str"/>
      <x:c r="E88" s="119" t="str"/>
      <x:c r="F88" s="117" t="str">
        <x:v>No</x:v>
      </x:c>
      <x:c r="G88" s="118" t="n">
        <x:v>0</x:v>
      </x:c>
      <x:c r="H88" s="119" t="str"/>
      <x:c r="I88" s="119" t="str"/>
      <x:c r="J88" s="119" t="str">
        <x:v>ProductItem__c, RMA__c</x:v>
      </x:c>
    </x:row>
    <x:row r="89" ht="46" customHeight="1">
      <x:c r="A89" s="117" t="str">
        <x:v>Apex Class</x:v>
      </x:c>
      <x:c r="B89" s="117" t="str">
        <x:v>CreateApprovedRepairsTestClass</x:v>
      </x:c>
      <x:c r="C89" s="119" t="str">
        <x:v>Internal / other</x:v>
      </x:c>
      <x:c r="D89" s="117" t="str"/>
      <x:c r="E89" s="119" t="str"/>
      <x:c r="F89" s="117" t="str">
        <x:v>No</x:v>
      </x:c>
      <x:c r="G89" s="118" t="n">
        <x:v>0</x:v>
      </x:c>
      <x:c r="H89" s="119" t="str"/>
      <x:c r="I89" s="119" t="str"/>
      <x:c r="J89" s="119" t="str">
        <x:v>Product2, ProductItem__c, RMA__c</x:v>
      </x:c>
    </x:row>
    <x:row r="90" ht="46" customHeight="1">
      <x:c r="A90" s="117" t="str">
        <x:v>Apex Class</x:v>
      </x:c>
      <x:c r="B90" s="117" t="str">
        <x:v>CreateRepairRMAFromCase</x:v>
      </x:c>
      <x:c r="C90" s="119" t="str">
        <x:v>Internal / other</x:v>
      </x:c>
      <x:c r="D90" s="117" t="str"/>
      <x:c r="E90" s="119" t="str"/>
      <x:c r="F90" s="117" t="str">
        <x:v>No</x:v>
      </x:c>
      <x:c r="G90" s="118" t="n">
        <x:v>0</x:v>
      </x:c>
      <x:c r="H90" s="119" t="str"/>
      <x:c r="I90" s="119" t="str"/>
      <x:c r="J90" s="119" t="str">
        <x:v>Case, Lead, Opportunity, RMA__c, User</x:v>
      </x:c>
    </x:row>
    <x:row r="91" ht="46" customHeight="1">
      <x:c r="A91" s="117" t="str">
        <x:v>Apex Class</x:v>
      </x:c>
      <x:c r="B91" s="117" t="str">
        <x:v>CreateRepairRMAFromCaseTest</x:v>
      </x:c>
      <x:c r="C91" s="119" t="str">
        <x:v>Internal / other</x:v>
      </x:c>
      <x:c r="D91" s="117" t="str"/>
      <x:c r="E91" s="119" t="str"/>
      <x:c r="F91" s="117" t="str">
        <x:v>No</x:v>
      </x:c>
      <x:c r="G91" s="118" t="n">
        <x:v>0</x:v>
      </x:c>
      <x:c r="H91" s="119" t="str"/>
      <x:c r="I91" s="119" t="str"/>
      <x:c r="J91" s="119" t="str">
        <x:v>Attachment, Case, RMA__c, zkmulti__MCShipment__c</x:v>
      </x:c>
    </x:row>
    <x:row r="92" ht="46" customHeight="1">
      <x:c r="A92" s="117" t="str">
        <x:v>Apex Class</x:v>
      </x:c>
      <x:c r="B92" s="117" t="str">
        <x:v>CreditMemoOppProducts</x:v>
      </x:c>
      <x:c r="C92" s="119" t="str">
        <x:v>Internal / other</x:v>
      </x:c>
      <x:c r="D92" s="117" t="str"/>
      <x:c r="E92" s="119" t="str"/>
      <x:c r="F92" s="117" t="str">
        <x:v>No</x:v>
      </x:c>
      <x:c r="G92" s="118" t="n">
        <x:v>0</x:v>
      </x:c>
      <x:c r="H92" s="119" t="str"/>
      <x:c r="I92" s="119" t="str"/>
      <x:c r="J92" s="119" t="str">
        <x:v>Credit_Memo_Line_Item__c, Credit_Memo__c</x:v>
      </x:c>
    </x:row>
    <x:row r="93" ht="46" customHeight="1">
      <x:c r="A93" s="117" t="str">
        <x:v>Apex Class</x:v>
      </x:c>
      <x:c r="B93" s="117" t="str">
        <x:v>CreditMemoPdfGenerator</x:v>
      </x:c>
      <x:c r="C93" s="119" t="str">
        <x:v>Invocable</x:v>
      </x:c>
      <x:c r="D93" s="117" t="str"/>
      <x:c r="E93" s="119" t="str"/>
      <x:c r="F93" s="117" t="str">
        <x:v>Yes</x:v>
      </x:c>
      <x:c r="G93" s="118" t="n">
        <x:v>1</x:v>
      </x:c>
      <x:c r="H93" s="119" t="str">
        <x:v>Credit_Memo_Sync_Notification</x:v>
      </x:c>
      <x:c r="I93" s="119" t="str"/>
      <x:c r="J93" s="119" t="str">
        <x:v>ContentDocument, ContentDocumentLink, Credit_Memo__c, User</x:v>
      </x:c>
    </x:row>
    <x:row r="94" ht="46" customHeight="1">
      <x:c r="A94" s="117" t="str">
        <x:v>Apex Class</x:v>
      </x:c>
      <x:c r="B94" s="117" t="str">
        <x:v>CreditMemoTriggerTest</x:v>
      </x:c>
      <x:c r="C94" s="119" t="str">
        <x:v>Internal / other</x:v>
      </x:c>
      <x:c r="D94" s="117" t="str"/>
      <x:c r="E94" s="119" t="str"/>
      <x:c r="F94" s="117" t="str">
        <x:v>No</x:v>
      </x:c>
      <x:c r="G94" s="118" t="n">
        <x:v>0</x:v>
      </x:c>
      <x:c r="H94" s="119" t="str"/>
      <x:c r="I94" s="119" t="str"/>
      <x:c r="J94" s="119" t="str">
        <x:v>Credit_Memo__c</x:v>
      </x:c>
    </x:row>
    <x:row r="95" ht="46" customHeight="1">
      <x:c r="A95" s="117" t="str">
        <x:v>Apex Class</x:v>
      </x:c>
      <x:c r="B95" s="117" t="str">
        <x:v>CustomSearchController</x:v>
      </x:c>
      <x:c r="C95" s="119" t="str">
        <x:v>Internal / other</x:v>
      </x:c>
      <x:c r="D95" s="117" t="str"/>
      <x:c r="E95" s="119" t="str"/>
      <x:c r="F95" s="117" t="str">
        <x:v>No</x:v>
      </x:c>
      <x:c r="G95" s="118" t="n">
        <x:v>0</x:v>
      </x:c>
      <x:c r="H95" s="119" t="str"/>
      <x:c r="I95" s="119" t="str"/>
      <x:c r="J95" s="119" t="str">
        <x:v>ProductItem__c</x:v>
      </x:c>
    </x:row>
    <x:row r="96" ht="46" customHeight="1">
      <x:c r="A96" s="117" t="str">
        <x:v>Apex Class</x:v>
      </x:c>
      <x:c r="B96" s="117" t="str">
        <x:v>CustomSearchControllerTest</x:v>
      </x:c>
      <x:c r="C96" s="119" t="str">
        <x:v>Internal / other</x:v>
      </x:c>
      <x:c r="D96" s="117" t="str"/>
      <x:c r="E96" s="119" t="str"/>
      <x:c r="F96" s="117" t="str">
        <x:v>No</x:v>
      </x:c>
      <x:c r="G96" s="118" t="n">
        <x:v>0</x:v>
      </x:c>
      <x:c r="H96" s="119" t="str"/>
      <x:c r="I96" s="119" t="str"/>
      <x:c r="J96" s="119" t="str">
        <x:v>Product2, ProductItem__c</x:v>
      </x:c>
    </x:row>
    <x:row r="97" ht="46" customHeight="1">
      <x:c r="A97" s="117" t="str">
        <x:v>Apex Class</x:v>
      </x:c>
      <x:c r="B97" s="117" t="str">
        <x:v>CustomShippingFormDetailsSACtrl</x:v>
      </x:c>
      <x:c r="C97" s="119" t="str">
        <x:v>Internal / other</x:v>
      </x:c>
      <x:c r="D97" s="117" t="str"/>
      <x:c r="E97" s="119" t="str"/>
      <x:c r="F97" s="117" t="str">
        <x:v>No</x:v>
      </x:c>
      <x:c r="G97" s="118" t="n">
        <x:v>0</x:v>
      </x:c>
      <x:c r="H97" s="119" t="str"/>
      <x:c r="I97" s="119" t="str"/>
      <x:c r="J97" s="119" t="str">
        <x:v>Order, ProductItem__c, RMA__c, ServiceAppointment, WorkOrderLineItem</x:v>
      </x:c>
    </x:row>
    <x:row r="98" ht="46" customHeight="1">
      <x:c r="A98" s="117" t="str">
        <x:v>Apex Class</x:v>
      </x:c>
      <x:c r="B98" s="117" t="str">
        <x:v>CustomShippingFormDetailsSACtrlTest</x:v>
      </x:c>
      <x:c r="C98" s="119" t="str">
        <x:v>Internal / other</x:v>
      </x:c>
      <x:c r="D98" s="117" t="str"/>
      <x:c r="E98" s="119" t="str"/>
      <x:c r="F98" s="117" t="str">
        <x:v>No</x:v>
      </x:c>
      <x:c r="G98" s="118" t="n">
        <x:v>0</x:v>
      </x:c>
      <x:c r="H98" s="119" t="str"/>
      <x:c r="I98" s="119" t="str"/>
      <x:c r="J98" s="119" t="str">
        <x:v>Asset, Order, ServiceAppointment, WorkOrder, WorkOrderLineItem</x:v>
      </x:c>
    </x:row>
    <x:row r="99" ht="46" customHeight="1">
      <x:c r="A99" s="117" t="str">
        <x:v>Apex Class</x:v>
      </x:c>
      <x:c r="B99" s="117" t="str">
        <x:v>CustomShippingFormDetailsWOCtrl</x:v>
      </x:c>
      <x:c r="C99" s="119" t="str">
        <x:v>Internal / other</x:v>
      </x:c>
      <x:c r="D99" s="117" t="str"/>
      <x:c r="E99" s="119" t="str"/>
      <x:c r="F99" s="117" t="str">
        <x:v>No</x:v>
      </x:c>
      <x:c r="G99" s="118" t="n">
        <x:v>0</x:v>
      </x:c>
      <x:c r="H99" s="119" t="str"/>
      <x:c r="I99" s="119" t="str"/>
      <x:c r="J99" s="119" t="str">
        <x:v>ProductItem__c, RMA__c, WorkOrderLineItem</x:v>
      </x:c>
    </x:row>
    <x:row r="100" ht="46" customHeight="1">
      <x:c r="A100" s="117" t="str">
        <x:v>Apex Class</x:v>
      </x:c>
      <x:c r="B100" s="117" t="str">
        <x:v>CustomShippingFormDetCmpCtrl</x:v>
      </x:c>
      <x:c r="C100" s="119" t="str">
        <x:v>Internal / other</x:v>
      </x:c>
      <x:c r="D100" s="117" t="str"/>
      <x:c r="E100" s="119" t="str"/>
      <x:c r="F100" s="117" t="str">
        <x:v>No</x:v>
      </x:c>
      <x:c r="G100" s="118" t="n">
        <x:v>0</x:v>
      </x:c>
      <x:c r="H100" s="119" t="str"/>
      <x:c r="I100" s="119" t="str"/>
      <x:c r="J100" s="119" t="str">
        <x:v>OpportunityLineItem, ProductItem__c, RMA__c</x:v>
      </x:c>
    </x:row>
    <x:row r="101" ht="46" customHeight="1">
      <x:c r="A101" s="117" t="str">
        <x:v>Apex Class</x:v>
      </x:c>
      <x:c r="B101" s="117" t="str">
        <x:v>CustomShippingFormDetCmpCtrlTest</x:v>
      </x:c>
      <x:c r="C101" s="119" t="str">
        <x:v>Internal / other</x:v>
      </x:c>
      <x:c r="D101" s="117" t="str"/>
      <x:c r="E101" s="119" t="str"/>
      <x:c r="F101" s="117" t="str">
        <x:v>No</x:v>
      </x:c>
      <x:c r="G101" s="118" t="n">
        <x:v>0</x:v>
      </x:c>
      <x:c r="H101" s="119" t="str"/>
      <x:c r="I101" s="119" t="str"/>
      <x:c r="J101" s="119" t="str">
        <x:v>Opportunity, OpportunityLineItem, PricebookEntry, Product2, ProductItem__c, RMA__c, WorkOrder, WorkOrderLineItem</x:v>
      </x:c>
    </x:row>
    <x:row r="102" ht="46" customHeight="1">
      <x:c r="A102" s="117" t="str">
        <x:v>Apex Class</x:v>
      </x:c>
      <x:c r="B102" s="117" t="str">
        <x:v>DatabaseService</x:v>
      </x:c>
      <x:c r="C102" s="119" t="str">
        <x:v>Internal / other</x:v>
      </x:c>
      <x:c r="D102" s="117" t="str"/>
      <x:c r="E102" s="119" t="str"/>
      <x:c r="F102" s="117" t="str">
        <x:v>No</x:v>
      </x:c>
      <x:c r="G102" s="118" t="n">
        <x:v>0</x:v>
      </x:c>
      <x:c r="H102" s="119" t="str"/>
      <x:c r="I102" s="119" t="str"/>
      <x:c r="J102" s="119" t="str"/>
    </x:row>
    <x:row r="103" ht="46" customHeight="1">
      <x:c r="A103" s="117" t="str">
        <x:v>Apex Class</x:v>
      </x:c>
      <x:c r="B103" s="117" t="str">
        <x:v>DatabaseServiceTest</x:v>
      </x:c>
      <x:c r="C103" s="119" t="str">
        <x:v>Internal / other</x:v>
      </x:c>
      <x:c r="D103" s="117" t="str"/>
      <x:c r="E103" s="119" t="str"/>
      <x:c r="F103" s="117" t="str">
        <x:v>No</x:v>
      </x:c>
      <x:c r="G103" s="118" t="n">
        <x:v>0</x:v>
      </x:c>
      <x:c r="H103" s="119" t="str"/>
      <x:c r="I103" s="119" t="str"/>
      <x:c r="J103" s="119" t="str">
        <x:v>Account</x:v>
      </x:c>
    </x:row>
    <x:row r="104" ht="46" customHeight="1">
      <x:c r="A104" s="117" t="str">
        <x:v>Apex Class</x:v>
      </x:c>
      <x:c r="B104" s="117" t="str">
        <x:v>DataTableServices</x:v>
      </x:c>
      <x:c r="C104" s="119" t="str">
        <x:v>Aura Enabled</x:v>
      </x:c>
      <x:c r="D104" s="117" t="str"/>
      <x:c r="E104" s="119" t="str"/>
      <x:c r="F104" s="117" t="str">
        <x:v>No</x:v>
      </x:c>
      <x:c r="G104" s="118" t="n">
        <x:v>0</x:v>
      </x:c>
      <x:c r="H104" s="119" t="str"/>
      <x:c r="I104" s="119" t="str"/>
      <x:c r="J104" s="119" t="str"/>
    </x:row>
    <x:row r="105" ht="46" customHeight="1">
      <x:c r="A105" s="117" t="str">
        <x:v>Apex Class</x:v>
      </x:c>
      <x:c r="B105" s="117" t="str">
        <x:v>DataTableServicesTest</x:v>
      </x:c>
      <x:c r="C105" s="119" t="str">
        <x:v>Internal / other</x:v>
      </x:c>
      <x:c r="D105" s="117" t="str"/>
      <x:c r="E105" s="119" t="str"/>
      <x:c r="F105" s="117" t="str">
        <x:v>No</x:v>
      </x:c>
      <x:c r="G105" s="118" t="n">
        <x:v>0</x:v>
      </x:c>
      <x:c r="H105" s="119" t="str"/>
      <x:c r="I105" s="119" t="str"/>
      <x:c r="J105" s="119" t="str">
        <x:v>Account, Opportunity, Product2, ProductItem__c</x:v>
      </x:c>
    </x:row>
    <x:row r="106" ht="46" customHeight="1">
      <x:c r="A106" s="117" t="str">
        <x:v>Apex Class</x:v>
      </x:c>
      <x:c r="B106" s="117" t="str">
        <x:v>Delegate_ObjUntils</x:v>
      </x:c>
      <x:c r="C106" s="119" t="str">
        <x:v>Internal / other</x:v>
      </x:c>
      <x:c r="D106" s="117" t="str"/>
      <x:c r="E106" s="119" t="str"/>
      <x:c r="F106" s="117" t="str">
        <x:v>No</x:v>
      </x:c>
      <x:c r="G106" s="118" t="n">
        <x:v>0</x:v>
      </x:c>
      <x:c r="H106" s="119" t="str"/>
      <x:c r="I106" s="119" t="str"/>
      <x:c r="J106" s="119" t="str"/>
    </x:row>
    <x:row r="107" ht="46" customHeight="1">
      <x:c r="A107" s="117" t="str">
        <x:v>Apex Class</x:v>
      </x:c>
      <x:c r="B107" s="117" t="str">
        <x:v>dlrs_CommissionTest</x:v>
      </x:c>
      <x:c r="C107" s="119" t="str">
        <x:v>Internal / other</x:v>
      </x:c>
      <x:c r="D107" s="117" t="str"/>
      <x:c r="E107" s="119" t="str"/>
      <x:c r="F107" s="117" t="str">
        <x:v>No</x:v>
      </x:c>
      <x:c r="G107" s="118" t="n">
        <x:v>0</x:v>
      </x:c>
      <x:c r="H107" s="119" t="str"/>
      <x:c r="I107" s="119" t="str"/>
      <x:c r="J107" s="119" t="str">
        <x:v>Commission__c</x:v>
      </x:c>
    </x:row>
    <x:row r="108" ht="46" customHeight="1">
      <x:c r="A108" s="117" t="str">
        <x:v>Apex Class</x:v>
      </x:c>
      <x:c r="B108" s="117" t="str">
        <x:v>dlrs_Credit_MemoTest</x:v>
      </x:c>
      <x:c r="C108" s="119" t="str">
        <x:v>Internal / other</x:v>
      </x:c>
      <x:c r="D108" s="117" t="str"/>
      <x:c r="E108" s="119" t="str"/>
      <x:c r="F108" s="117" t="str">
        <x:v>No</x:v>
      </x:c>
      <x:c r="G108" s="118" t="n">
        <x:v>0</x:v>
      </x:c>
      <x:c r="H108" s="119" t="str"/>
      <x:c r="I108" s="119" t="str"/>
      <x:c r="J108" s="119" t="str">
        <x:v>Credit_Memo__c</x:v>
      </x:c>
    </x:row>
    <x:row r="109" ht="46" customHeight="1">
      <x:c r="A109" s="117" t="str">
        <x:v>Apex Class</x:v>
      </x:c>
      <x:c r="B109" s="117" t="str">
        <x:v>dlrs_Harvest_Work_OrderTest</x:v>
      </x:c>
      <x:c r="C109" s="119" t="str">
        <x:v>Internal / other</x:v>
      </x:c>
      <x:c r="D109" s="117" t="str"/>
      <x:c r="E109" s="119" t="str"/>
      <x:c r="F109" s="117" t="str">
        <x:v>No</x:v>
      </x:c>
      <x:c r="G109" s="118" t="n">
        <x:v>0</x:v>
      </x:c>
      <x:c r="H109" s="119" t="str"/>
      <x:c r="I109" s="119" t="str"/>
      <x:c r="J109" s="119" t="str">
        <x:v>Harvest_Work_Order__c</x:v>
      </x:c>
    </x:row>
    <x:row r="110" ht="46" customHeight="1">
      <x:c r="A110" s="117" t="str">
        <x:v>Apex Class</x:v>
      </x:c>
      <x:c r="B110" s="117" t="str">
        <x:v>dlrs_InvoiceTest</x:v>
      </x:c>
      <x:c r="C110" s="119" t="str">
        <x:v>Internal / other</x:v>
      </x:c>
      <x:c r="D110" s="117" t="str"/>
      <x:c r="E110" s="119" t="str"/>
      <x:c r="F110" s="117" t="str">
        <x:v>No</x:v>
      </x:c>
      <x:c r="G110" s="118" t="n">
        <x:v>0</x:v>
      </x:c>
      <x:c r="H110" s="119" t="str"/>
      <x:c r="I110" s="119" t="str"/>
      <x:c r="J110" s="119" t="str">
        <x:v>Invoice__c</x:v>
      </x:c>
    </x:row>
    <x:row r="111" ht="46" customHeight="1">
      <x:c r="A111" s="117" t="str">
        <x:v>Apex Class</x:v>
      </x:c>
      <x:c r="B111" s="117" t="str">
        <x:v>dlrs_ProductItemTest</x:v>
      </x:c>
      <x:c r="C111" s="119" t="str">
        <x:v>Internal / other</x:v>
      </x:c>
      <x:c r="D111" s="117" t="str"/>
      <x:c r="E111" s="119" t="str"/>
      <x:c r="F111" s="117" t="str">
        <x:v>No</x:v>
      </x:c>
      <x:c r="G111" s="118" t="n">
        <x:v>0</x:v>
      </x:c>
      <x:c r="H111" s="119" t="str"/>
      <x:c r="I111" s="119" t="str"/>
      <x:c r="J111" s="119" t="str">
        <x:v>ProductItem__c</x:v>
      </x:c>
    </x:row>
    <x:row r="112" ht="46" customHeight="1">
      <x:c r="A112" s="117" t="str">
        <x:v>Apex Class</x:v>
      </x:c>
      <x:c r="B112" s="117" t="str">
        <x:v>dlrs_Project_ExpenseTest</x:v>
      </x:c>
      <x:c r="C112" s="119" t="str">
        <x:v>Internal / other</x:v>
      </x:c>
      <x:c r="D112" s="117" t="str"/>
      <x:c r="E112" s="119" t="str"/>
      <x:c r="F112" s="117" t="str">
        <x:v>No</x:v>
      </x:c>
      <x:c r="G112" s="118" t="n">
        <x:v>0</x:v>
      </x:c>
      <x:c r="H112" s="119" t="str"/>
      <x:c r="I112" s="119" t="str"/>
      <x:c r="J112" s="119" t="str">
        <x:v>Project_Expense__c</x:v>
      </x:c>
    </x:row>
    <x:row r="113" ht="46" customHeight="1">
      <x:c r="A113" s="117" t="str">
        <x:v>Apex Class</x:v>
      </x:c>
      <x:c r="B113" s="117" t="str">
        <x:v>DocTrained</x:v>
      </x:c>
      <x:c r="C113" s="119" t="str">
        <x:v>Internal / other</x:v>
      </x:c>
      <x:c r="D113" s="117" t="str"/>
      <x:c r="E113" s="119" t="str"/>
      <x:c r="F113" s="117" t="str">
        <x:v>No</x:v>
      </x:c>
      <x:c r="G113" s="118" t="n">
        <x:v>0</x:v>
      </x:c>
      <x:c r="H113" s="119" t="str"/>
      <x:c r="I113" s="119" t="str"/>
      <x:c r="J113" s="119" t="str">
        <x:v>Training_Item__c</x:v>
      </x:c>
    </x:row>
    <x:row r="114" ht="46" customHeight="1">
      <x:c r="A114" s="117" t="str">
        <x:v>Apex Class</x:v>
      </x:c>
      <x:c r="B114" s="117" t="str">
        <x:v>DocTrainedTestClass</x:v>
      </x:c>
      <x:c r="C114" s="119" t="str">
        <x:v>Internal / other</x:v>
      </x:c>
      <x:c r="D114" s="117" t="str"/>
      <x:c r="E114" s="119" t="str"/>
      <x:c r="F114" s="117" t="str">
        <x:v>No</x:v>
      </x:c>
      <x:c r="G114" s="118" t="n">
        <x:v>0</x:v>
      </x:c>
      <x:c r="H114" s="119" t="str"/>
      <x:c r="I114" s="119" t="str"/>
      <x:c r="J114" s="119" t="str">
        <x:v>Training_Item__c</x:v>
      </x:c>
    </x:row>
    <x:row r="115" ht="46" customHeight="1">
      <x:c r="A115" s="117" t="str">
        <x:v>Apex Class</x:v>
      </x:c>
      <x:c r="B115" s="117" t="str">
        <x:v>EmailPostRepairEvalPDF</x:v>
      </x:c>
      <x:c r="C115" s="119" t="str">
        <x:v>Invocable</x:v>
      </x:c>
      <x:c r="D115" s="117" t="str"/>
      <x:c r="E115" s="119" t="str"/>
      <x:c r="F115" s="117" t="str">
        <x:v>Yes</x:v>
      </x:c>
      <x:c r="G115" s="118" t="n">
        <x:v>1</x:v>
      </x:c>
      <x:c r="H115" s="119" t="str">
        <x:v>Send_Post_Repair_Evaluation_Email</x:v>
      </x:c>
      <x:c r="I115" s="119" t="str"/>
      <x:c r="J115" s="119" t="str">
        <x:v>Address, Evaluation_Natalie__c</x:v>
      </x:c>
    </x:row>
    <x:row r="116" ht="46" customHeight="1">
      <x:c r="A116" s="117" t="str">
        <x:v>Apex Class</x:v>
      </x:c>
      <x:c r="B116" s="117" t="str">
        <x:v>EmailWorkOrderPDF</x:v>
      </x:c>
      <x:c r="C116" s="119" t="str">
        <x:v>Invocable</x:v>
      </x:c>
      <x:c r="D116" s="117" t="str"/>
      <x:c r="E116" s="119" t="str"/>
      <x:c r="F116" s="117" t="str">
        <x:v>Yes</x:v>
      </x:c>
      <x:c r="G116" s="118" t="n">
        <x:v>1</x:v>
      </x:c>
      <x:c r="H116" s="119" t="str">
        <x:v>Send_Email_Work_Order_PDF</x:v>
      </x:c>
      <x:c r="I116" s="119" t="str"/>
      <x:c r="J116" s="119" t="str">
        <x:v>Account, RecordType, WorkOrder</x:v>
      </x:c>
    </x:row>
    <x:row r="117" ht="46" customHeight="1">
      <x:c r="A117" s="117" t="str">
        <x:v>Apex Class</x:v>
      </x:c>
      <x:c r="B117" s="117" t="str">
        <x:v>EvaluationNat</x:v>
      </x:c>
      <x:c r="C117" s="119" t="str">
        <x:v>Internal / other</x:v>
      </x:c>
      <x:c r="D117" s="117" t="str"/>
      <x:c r="E117" s="119" t="str"/>
      <x:c r="F117" s="117" t="str">
        <x:v>No</x:v>
      </x:c>
      <x:c r="G117" s="118" t="n">
        <x:v>0</x:v>
      </x:c>
      <x:c r="H117" s="119" t="str"/>
      <x:c r="I117" s="119" t="str"/>
      <x:c r="J117" s="119" t="str">
        <x:v>Attachment, Evaluation_Natalie__c, ProductTest__c, RMA__c</x:v>
      </x:c>
    </x:row>
    <x:row r="118" ht="46" customHeight="1">
      <x:c r="A118" s="117" t="str">
        <x:v>Apex Class</x:v>
      </x:c>
      <x:c r="B118" s="117" t="str">
        <x:v>EvaluationNatTestClass</x:v>
      </x:c>
      <x:c r="C118" s="119" t="str">
        <x:v>Internal / other</x:v>
      </x:c>
      <x:c r="D118" s="117" t="str"/>
      <x:c r="E118" s="119" t="str"/>
      <x:c r="F118" s="117" t="str">
        <x:v>No</x:v>
      </x:c>
      <x:c r="G118" s="118" t="n">
        <x:v>0</x:v>
      </x:c>
      <x:c r="H118" s="119" t="str"/>
      <x:c r="I118" s="119" t="str"/>
      <x:c r="J118" s="119" t="str">
        <x:v>Account, Evaluation_Natalie__c, Loaner__c, Opportunity, OpportunityLineItem, Pricebook2, PricebookEntry, Product2, ProductItem__c, ProductTest__c, Product_Repair__c, RMA__c</x:v>
      </x:c>
    </x:row>
    <x:row r="119" ht="46" customHeight="1">
      <x:c r="A119" s="117" t="str">
        <x:v>Apex Class</x:v>
      </x:c>
      <x:c r="B119" s="117" t="str">
        <x:v>EvalUpdateFieldsHandler</x:v>
      </x:c>
      <x:c r="C119" s="119" t="str">
        <x:v>Internal / other</x:v>
      </x:c>
      <x:c r="D119" s="117" t="str"/>
      <x:c r="E119" s="119" t="str"/>
      <x:c r="F119" s="117" t="str">
        <x:v>No</x:v>
      </x:c>
      <x:c r="G119" s="118" t="n">
        <x:v>0</x:v>
      </x:c>
      <x:c r="H119" s="119" t="str"/>
      <x:c r="I119" s="119" t="str"/>
      <x:c r="J119" s="119" t="str">
        <x:v>Evaluation_Natalie__c, Loaner_Asset__c, Loaner__c, Opportunity, OpportunityLineItem, Product2, ProductItem__c, Product_Repair__c, RMA__c, RecordType</x:v>
      </x:c>
    </x:row>
    <x:row r="120" ht="46" customHeight="1">
      <x:c r="A120" s="117" t="str">
        <x:v>Apex Class</x:v>
      </x:c>
      <x:c r="B120" s="117" t="str">
        <x:v>EvalUpdateFieldsTest</x:v>
      </x:c>
      <x:c r="C120" s="119" t="str">
        <x:v>Internal / other</x:v>
      </x:c>
      <x:c r="D120" s="117" t="str"/>
      <x:c r="E120" s="119" t="str"/>
      <x:c r="F120" s="117" t="str">
        <x:v>No</x:v>
      </x:c>
      <x:c r="G120" s="118" t="n">
        <x:v>0</x:v>
      </x:c>
      <x:c r="H120" s="119" t="str"/>
      <x:c r="I120" s="119" t="str"/>
      <x:c r="J120" s="119" t="str">
        <x:v>Evaluation_Natalie__c, Opportunity, OpportunityLineItem, Pricebook2, PricebookEntry, Product2, ProductItem__c, RMA__c, User</x:v>
      </x:c>
    </x:row>
    <x:row r="121" ht="46" customHeight="1">
      <x:c r="A121" s="117" t="str">
        <x:v>Apex Class</x:v>
      </x:c>
      <x:c r="B121" s="117" t="str">
        <x:v>FieldServiceReportController</x:v>
      </x:c>
      <x:c r="C121" s="119" t="str">
        <x:v>Internal / other</x:v>
      </x:c>
      <x:c r="D121" s="117" t="str"/>
      <x:c r="E121" s="119" t="str"/>
      <x:c r="F121" s="117" t="str">
        <x:v>No</x:v>
      </x:c>
      <x:c r="G121" s="118" t="n">
        <x:v>0</x:v>
      </x:c>
      <x:c r="H121" s="119" t="str"/>
      <x:c r="I121" s="119" t="str"/>
      <x:c r="J121" s="119" t="str">
        <x:v>Case, Contact, ContentDocumentLink, Maintenance_Item__c, Order, RecordType, ServiceAppointment, WorkOrder, WorkOrderLineItem, WorkType</x:v>
      </x:c>
    </x:row>
    <x:row r="122" ht="46" customHeight="1">
      <x:c r="A122" s="117" t="str">
        <x:v>Apex Class</x:v>
      </x:c>
      <x:c r="B122" s="117" t="str">
        <x:v>FieldServiceReportControllerTest</x:v>
      </x:c>
      <x:c r="C122" s="119" t="str">
        <x:v>Internal / other</x:v>
      </x:c>
      <x:c r="D122" s="117" t="str"/>
      <x:c r="E122" s="119" t="str"/>
      <x:c r="F122" s="117" t="str">
        <x:v>No</x:v>
      </x:c>
      <x:c r="G122" s="118" t="n">
        <x:v>0</x:v>
      </x:c>
      <x:c r="H122" s="119" t="str"/>
      <x:c r="I122" s="119" t="str"/>
      <x:c r="J122" s="119" t="str">
        <x:v>Account, Contact, Maintenance_Item__c, Order, PricebookEntry, Product2, ServiceAppointment, WorkOrder, WorkOrderLineItem</x:v>
      </x:c>
    </x:row>
    <x:row r="123" ht="46" customHeight="1">
      <x:c r="A123" s="117" t="str">
        <x:v>Apex Class</x:v>
      </x:c>
      <x:c r="B123" s="117" t="str">
        <x:v>FlexQCReportController2</x:v>
      </x:c>
      <x:c r="C123" s="119" t="str">
        <x:v>Internal / other</x:v>
      </x:c>
      <x:c r="D123" s="117" t="str"/>
      <x:c r="E123" s="119" t="str"/>
      <x:c r="F123" s="117" t="str">
        <x:v>No</x:v>
      </x:c>
      <x:c r="G123" s="118" t="n">
        <x:v>0</x:v>
      </x:c>
      <x:c r="H123" s="119" t="str"/>
      <x:c r="I123" s="119" t="str"/>
      <x:c r="J123" s="119" t="str">
        <x:v>ContentDocumentLink, ProductTest__c</x:v>
      </x:c>
    </x:row>
    <x:row r="124" ht="46" customHeight="1">
      <x:c r="A124" s="117" t="str">
        <x:v>Apex Class</x:v>
      </x:c>
      <x:c r="B124" s="117" t="str">
        <x:v>FlexQCReportController2_Test</x:v>
      </x:c>
      <x:c r="C124" s="119" t="str">
        <x:v>Internal / other</x:v>
      </x:c>
      <x:c r="D124" s="117" t="str"/>
      <x:c r="E124" s="119" t="str"/>
      <x:c r="F124" s="117" t="str">
        <x:v>No</x:v>
      </x:c>
      <x:c r="G124" s="118" t="n">
        <x:v>0</x:v>
      </x:c>
      <x:c r="H124" s="119" t="str"/>
      <x:c r="I124" s="119" t="str"/>
      <x:c r="J124" s="119" t="str">
        <x:v>ProductTest__c</x:v>
      </x:c>
    </x:row>
    <x:row r="125" ht="46" customHeight="1">
      <x:c r="A125" s="117" t="str">
        <x:v>Apex Class</x:v>
      </x:c>
      <x:c r="B125" s="117" t="str">
        <x:v>FlowJsonToRecords</x:v>
      </x:c>
      <x:c r="C125" s="119" t="str">
        <x:v>Invocable</x:v>
      </x:c>
      <x:c r="D125" s="117" t="str"/>
      <x:c r="E125" s="119" t="str"/>
      <x:c r="F125" s="117" t="str">
        <x:v>Yes</x:v>
      </x:c>
      <x:c r="G125" s="118" t="n">
        <x:v>1</x:v>
      </x:c>
      <x:c r="H125" s="119" t="str">
        <x:v>Screen_Flow_Select_IR_Assets</x:v>
      </x:c>
      <x:c r="I125" s="119" t="str"/>
      <x:c r="J125" s="119" t="str"/>
    </x:row>
    <x:row r="126" ht="46" customHeight="1">
      <x:c r="A126" s="117" t="str">
        <x:v>Apex Class</x:v>
      </x:c>
      <x:c r="B126" s="117" t="str">
        <x:v>FlowJsonToRecordsTest</x:v>
      </x:c>
      <x:c r="C126" s="119" t="str">
        <x:v>Internal / other</x:v>
      </x:c>
      <x:c r="D126" s="117" t="str"/>
      <x:c r="E126" s="119" t="str"/>
      <x:c r="F126" s="117" t="str">
        <x:v>No</x:v>
      </x:c>
      <x:c r="G126" s="118" t="n">
        <x:v>0</x:v>
      </x:c>
      <x:c r="H126" s="119" t="str"/>
      <x:c r="I126" s="119" t="str"/>
      <x:c r="J126" s="119" t="str">
        <x:v>Account</x:v>
      </x:c>
    </x:row>
    <x:row r="127" ht="46" customHeight="1">
      <x:c r="A127" s="117" t="str">
        <x:v>Apex Class</x:v>
      </x:c>
      <x:c r="B127" s="117" t="str">
        <x:v>FlowRecordsToJson</x:v>
      </x:c>
      <x:c r="C127" s="119" t="str">
        <x:v>Invocable</x:v>
      </x:c>
      <x:c r="D127" s="117" t="str"/>
      <x:c r="E127" s="119" t="str"/>
      <x:c r="F127" s="117" t="str">
        <x:v>Yes</x:v>
      </x:c>
      <x:c r="G127" s="118" t="n">
        <x:v>1</x:v>
      </x:c>
      <x:c r="H127" s="119" t="str">
        <x:v>Screen_Flow_Select_IR_Assets</x:v>
      </x:c>
      <x:c r="I127" s="119" t="str"/>
      <x:c r="J127" s="119" t="str"/>
    </x:row>
    <x:row r="128" ht="46" customHeight="1">
      <x:c r="A128" s="117" t="str">
        <x:v>Apex Class</x:v>
      </x:c>
      <x:c r="B128" s="117" t="str">
        <x:v>FlowRecordsToJsonTest</x:v>
      </x:c>
      <x:c r="C128" s="119" t="str">
        <x:v>Internal / other</x:v>
      </x:c>
      <x:c r="D128" s="117" t="str"/>
      <x:c r="E128" s="119" t="str"/>
      <x:c r="F128" s="117" t="str">
        <x:v>No</x:v>
      </x:c>
      <x:c r="G128" s="118" t="n">
        <x:v>0</x:v>
      </x:c>
      <x:c r="H128" s="119" t="str"/>
      <x:c r="I128" s="119" t="str"/>
      <x:c r="J128" s="119" t="str">
        <x:v>Account, Contact</x:v>
      </x:c>
    </x:row>
    <x:row r="129" ht="46" customHeight="1">
      <x:c r="A129" s="117" t="str">
        <x:v>Apex Class</x:v>
      </x:c>
      <x:c r="B129" s="117" t="str">
        <x:v>FollowRecordAction</x:v>
      </x:c>
      <x:c r="C129" s="119" t="str">
        <x:v>Invocable</x:v>
      </x:c>
      <x:c r="D129" s="117" t="str"/>
      <x:c r="E129" s="119" t="str"/>
      <x:c r="F129" s="117" t="str">
        <x:v>Yes</x:v>
      </x:c>
      <x:c r="G129" s="118" t="n">
        <x:v>1</x:v>
      </x:c>
      <x:c r="H129" s="119" t="str">
        <x:v>On_Work_Order_Creation_Set_Chatter_Follow</x:v>
      </x:c>
      <x:c r="I129" s="119" t="str"/>
      <x:c r="J129" s="119" t="str">
        <x:v>EntitySubscription</x:v>
      </x:c>
    </x:row>
    <x:row r="130" ht="46" customHeight="1">
      <x:c r="A130" s="117" t="str">
        <x:v>Apex Class</x:v>
      </x:c>
      <x:c r="B130" s="117" t="str">
        <x:v>FollowRecordActionTest</x:v>
      </x:c>
      <x:c r="C130" s="119" t="str">
        <x:v>Internal / other</x:v>
      </x:c>
      <x:c r="D130" s="117" t="str"/>
      <x:c r="E130" s="119" t="str"/>
      <x:c r="F130" s="117" t="str">
        <x:v>No</x:v>
      </x:c>
      <x:c r="G130" s="118" t="n">
        <x:v>0</x:v>
      </x:c>
      <x:c r="H130" s="119" t="str"/>
      <x:c r="I130" s="119" t="str"/>
      <x:c r="J130" s="119" t="str">
        <x:v>EntitySubscription</x:v>
      </x:c>
    </x:row>
    <x:row r="131" ht="46" customHeight="1">
      <x:c r="A131" s="117" t="str">
        <x:v>Apex Class</x:v>
      </x:c>
      <x:c r="B131" s="117" t="str">
        <x:v>ForgotPasswordController</x:v>
      </x:c>
      <x:c r="C131" s="119" t="str">
        <x:v>Internal / other</x:v>
      </x:c>
      <x:c r="D131" s="117" t="str"/>
      <x:c r="E131" s="119" t="str"/>
      <x:c r="F131" s="117" t="str">
        <x:v>No</x:v>
      </x:c>
      <x:c r="G131" s="118" t="n">
        <x:v>0</x:v>
      </x:c>
      <x:c r="H131" s="119" t="str"/>
      <x:c r="I131" s="119" t="str"/>
      <x:c r="J131" s="119" t="str"/>
    </x:row>
    <x:row r="132" ht="46" customHeight="1">
      <x:c r="A132" s="117" t="str">
        <x:v>Apex Class</x:v>
      </x:c>
      <x:c r="B132" s="117" t="str">
        <x:v>ForgotPasswordControllerTest</x:v>
      </x:c>
      <x:c r="C132" s="119" t="str">
        <x:v>Internal / other</x:v>
      </x:c>
      <x:c r="D132" s="117" t="str"/>
      <x:c r="E132" s="119" t="str"/>
      <x:c r="F132" s="117" t="str">
        <x:v>No</x:v>
      </x:c>
      <x:c r="G132" s="118" t="n">
        <x:v>0</x:v>
      </x:c>
      <x:c r="H132" s="119" t="str"/>
      <x:c r="I132" s="119" t="str"/>
      <x:c r="J132" s="119" t="str"/>
    </x:row>
    <x:row r="133" ht="46" customHeight="1">
      <x:c r="A133" s="117" t="str">
        <x:v>Apex Class</x:v>
      </x:c>
      <x:c r="B133" s="117" t="str">
        <x:v>FslTechnicianOnlineController</x:v>
      </x:c>
      <x:c r="C133" s="119" t="str">
        <x:v>Aura Enabled</x:v>
      </x:c>
      <x:c r="D133" s="117" t="str"/>
      <x:c r="E133" s="119" t="str"/>
      <x:c r="F133" s="117" t="str">
        <x:v>No</x:v>
      </x:c>
      <x:c r="G133" s="118" t="n">
        <x:v>0</x:v>
      </x:c>
      <x:c r="H133" s="119" t="str"/>
      <x:c r="I133" s="119" t="str"/>
      <x:c r="J133" s="119" t="str">
        <x:v>Account, Address, AssignedResource, Contact, ContentDocument, ContentDocumentLink, Loaner__c, Location, Opportunity, Order, Product2, Quote, RMA__c, RecordType, ServiceAppointment, ServiceCrewMember, ServiceResource, ServiceTerritoryMember, StateTranslation__mdt, User, WorkOrder, WorkOrderLineItem, WorkType</x:v>
      </x:c>
    </x:row>
    <x:row r="134" ht="46" customHeight="1">
      <x:c r="A134" s="117" t="str">
        <x:v>Apex Class</x:v>
      </x:c>
      <x:c r="B134" s="117" t="str">
        <x:v>FslTechnicianOnlineController_Test</x:v>
      </x:c>
      <x:c r="C134" s="119" t="str">
        <x:v>Internal / other</x:v>
      </x:c>
      <x:c r="D134" s="117" t="str"/>
      <x:c r="E134" s="119" t="str"/>
      <x:c r="F134" s="117" t="str">
        <x:v>No</x:v>
      </x:c>
      <x:c r="G134" s="118" t="n">
        <x:v>0</x:v>
      </x:c>
      <x:c r="H134" s="119" t="str"/>
      <x:c r="I134" s="119" t="str"/>
      <x:c r="J134" s="119" t="str">
        <x:v>Account, Address, AssignedResource, Attachment, Contact, ContentDocument, ContentDocumentLink, Location, Opportunity, Order, Quote, RMA__c, ServiceAppointment, ServiceResource, ServiceTerritory, ServiceTerritoryMember, StateTranslation__mdt, User, WorkOrder, WorkOrderLineItem</x:v>
      </x:c>
    </x:row>
    <x:row r="135" ht="46" customHeight="1">
      <x:c r="A135" s="117" t="str">
        <x:v>Apex Class</x:v>
      </x:c>
      <x:c r="B135" s="117" t="str">
        <x:v>GenarateBarcode</x:v>
      </x:c>
      <x:c r="C135" s="119" t="str">
        <x:v>Internal / other</x:v>
      </x:c>
      <x:c r="D135" s="117" t="str"/>
      <x:c r="E135" s="119" t="str"/>
      <x:c r="F135" s="117" t="str">
        <x:v>No</x:v>
      </x:c>
      <x:c r="G135" s="118" t="n">
        <x:v>0</x:v>
      </x:c>
      <x:c r="H135" s="119" t="str"/>
      <x:c r="I135" s="119" t="str"/>
      <x:c r="J135" s="119" t="str">
        <x:v>ProductItem__c</x:v>
      </x:c>
    </x:row>
    <x:row r="136" ht="46" customHeight="1">
      <x:c r="A136" s="117" t="str">
        <x:v>Apex Class</x:v>
      </x:c>
      <x:c r="B136" s="117" t="str">
        <x:v>GenarateBarcode2</x:v>
      </x:c>
      <x:c r="C136" s="119" t="str">
        <x:v>Internal / other</x:v>
      </x:c>
      <x:c r="D136" s="117" t="str"/>
      <x:c r="E136" s="119" t="str"/>
      <x:c r="F136" s="117" t="str">
        <x:v>No</x:v>
      </x:c>
      <x:c r="G136" s="118" t="n">
        <x:v>0</x:v>
      </x:c>
      <x:c r="H136" s="119" t="str"/>
      <x:c r="I136" s="119" t="str"/>
      <x:c r="J136" s="119" t="str">
        <x:v>Asset, ProductItem__c</x:v>
      </x:c>
    </x:row>
    <x:row r="137" ht="46" customHeight="1">
      <x:c r="A137" s="117" t="str">
        <x:v>Apex Class</x:v>
      </x:c>
      <x:c r="B137" s="117" t="str">
        <x:v>GenarateBarcodeTestClass</x:v>
      </x:c>
      <x:c r="C137" s="119" t="str">
        <x:v>Internal / other</x:v>
      </x:c>
      <x:c r="D137" s="117" t="str"/>
      <x:c r="E137" s="119" t="str"/>
      <x:c r="F137" s="117" t="str">
        <x:v>No</x:v>
      </x:c>
      <x:c r="G137" s="118" t="n">
        <x:v>0</x:v>
      </x:c>
      <x:c r="H137" s="119" t="str"/>
      <x:c r="I137" s="119" t="str"/>
      <x:c r="J137" s="119" t="str">
        <x:v>Product2, ProductItem__c</x:v>
      </x:c>
    </x:row>
    <x:row r="138" ht="46" customHeight="1">
      <x:c r="A138" s="117" t="str">
        <x:v>Apex Class</x:v>
      </x:c>
      <x:c r="B138" s="117" t="str">
        <x:v>GenarateQRcode</x:v>
      </x:c>
      <x:c r="C138" s="119" t="str">
        <x:v>Internal / other</x:v>
      </x:c>
      <x:c r="D138" s="117" t="str"/>
      <x:c r="E138" s="119" t="str"/>
      <x:c r="F138" s="117" t="str">
        <x:v>No</x:v>
      </x:c>
      <x:c r="G138" s="118" t="n">
        <x:v>0</x:v>
      </x:c>
      <x:c r="H138" s="119" t="str"/>
      <x:c r="I138" s="119" t="str"/>
      <x:c r="J138" s="119" t="str">
        <x:v>ProductItem__c</x:v>
      </x:c>
    </x:row>
    <x:row r="139" ht="46" customHeight="1">
      <x:c r="A139" s="117" t="str">
        <x:v>Apex Class</x:v>
      </x:c>
      <x:c r="B139" s="117" t="str">
        <x:v>GH_CodeUtils</x:v>
      </x:c>
      <x:c r="C139" s="119" t="str">
        <x:v>Internal / other</x:v>
      </x:c>
      <x:c r="D139" s="117" t="str"/>
      <x:c r="E139" s="119" t="str"/>
      <x:c r="F139" s="117" t="str">
        <x:v>No</x:v>
      </x:c>
      <x:c r="G139" s="118" t="n">
        <x:v>0</x:v>
      </x:c>
      <x:c r="H139" s="119" t="str"/>
      <x:c r="I139" s="119" t="str"/>
      <x:c r="J139" s="119" t="str"/>
    </x:row>
    <x:row r="140" ht="46" customHeight="1">
      <x:c r="A140" s="117" t="str">
        <x:v>Apex Class</x:v>
      </x:c>
      <x:c r="B140" s="117" t="str">
        <x:v>GH_CodeUtils_Test</x:v>
      </x:c>
      <x:c r="C140" s="119" t="str">
        <x:v>Internal / other</x:v>
      </x:c>
      <x:c r="D140" s="117" t="str"/>
      <x:c r="E140" s="119" t="str"/>
      <x:c r="F140" s="117" t="str">
        <x:v>No</x:v>
      </x:c>
      <x:c r="G140" s="118" t="n">
        <x:v>0</x:v>
      </x:c>
      <x:c r="H140" s="119" t="str"/>
      <x:c r="I140" s="119" t="str"/>
      <x:c r="J140" s="119" t="str"/>
    </x:row>
    <x:row r="141" ht="46" customHeight="1">
      <x:c r="A141" s="117" t="str">
        <x:v>Apex Class</x:v>
      </x:c>
      <x:c r="B141" s="117" t="str">
        <x:v>GH_Logger</x:v>
      </x:c>
      <x:c r="C141" s="119" t="str">
        <x:v>Internal / other</x:v>
      </x:c>
      <x:c r="D141" s="117" t="str"/>
      <x:c r="E141" s="119" t="str"/>
      <x:c r="F141" s="117" t="str">
        <x:v>No</x:v>
      </x:c>
      <x:c r="G141" s="118" t="n">
        <x:v>0</x:v>
      </x:c>
      <x:c r="H141" s="119" t="str"/>
      <x:c r="I141" s="119" t="str"/>
      <x:c r="J141" s="119" t="str"/>
    </x:row>
    <x:row r="142" ht="46" customHeight="1">
      <x:c r="A142" s="117" t="str">
        <x:v>Apex Class</x:v>
      </x:c>
      <x:c r="B142" s="117" t="str">
        <x:v>GH_Logger_Test</x:v>
      </x:c>
      <x:c r="C142" s="119" t="str">
        <x:v>Internal / other</x:v>
      </x:c>
      <x:c r="D142" s="117" t="str"/>
      <x:c r="E142" s="119" t="str"/>
      <x:c r="F142" s="117" t="str">
        <x:v>No</x:v>
      </x:c>
      <x:c r="G142" s="118" t="n">
        <x:v>0</x:v>
      </x:c>
      <x:c r="H142" s="119" t="str"/>
      <x:c r="I142" s="119" t="str"/>
      <x:c r="J142" s="119" t="str"/>
    </x:row>
    <x:row r="143" ht="46" customHeight="1">
      <x:c r="A143" s="117" t="str">
        <x:v>Apex Class</x:v>
      </x:c>
      <x:c r="B143" s="117" t="str">
        <x:v>GH_SandboxSetup</x:v>
      </x:c>
      <x:c r="C143" s="119" t="str">
        <x:v>Internal / other</x:v>
      </x:c>
      <x:c r="D143" s="117" t="str"/>
      <x:c r="E143" s="119" t="str"/>
      <x:c r="F143" s="117" t="str">
        <x:v>No</x:v>
      </x:c>
      <x:c r="G143" s="118" t="n">
        <x:v>0</x:v>
      </x:c>
      <x:c r="H143" s="119" t="str"/>
      <x:c r="I143" s="119" t="str"/>
      <x:c r="J143" s="119" t="str">
        <x:v>User</x:v>
      </x:c>
    </x:row>
    <x:row r="144" ht="46" customHeight="1">
      <x:c r="A144" s="117" t="str">
        <x:v>Apex Class</x:v>
      </x:c>
      <x:c r="B144" s="117" t="str">
        <x:v>GH_SandboxSetupTest</x:v>
      </x:c>
      <x:c r="C144" s="119" t="str">
        <x:v>Internal / other</x:v>
      </x:c>
      <x:c r="D144" s="117" t="str"/>
      <x:c r="E144" s="119" t="str"/>
      <x:c r="F144" s="117" t="str">
        <x:v>No</x:v>
      </x:c>
      <x:c r="G144" s="118" t="n">
        <x:v>0</x:v>
      </x:c>
      <x:c r="H144" s="119" t="str"/>
      <x:c r="I144" s="119" t="str"/>
      <x:c r="J144" s="119" t="str">
        <x:v>Account</x:v>
      </x:c>
    </x:row>
    <x:row r="145" ht="46" customHeight="1">
      <x:c r="A145" s="117" t="str">
        <x:v>Apex Class</x:v>
      </x:c>
      <x:c r="B145" s="117" t="str">
        <x:v>GH_TriggerHandlerBase</x:v>
      </x:c>
      <x:c r="C145" s="119" t="str">
        <x:v>Internal / other</x:v>
      </x:c>
      <x:c r="D145" s="117" t="str"/>
      <x:c r="E145" s="119" t="str"/>
      <x:c r="F145" s="117" t="str">
        <x:v>No</x:v>
      </x:c>
      <x:c r="G145" s="118" t="n">
        <x:v>0</x:v>
      </x:c>
      <x:c r="H145" s="119" t="str"/>
      <x:c r="I145" s="119" t="str"/>
      <x:c r="J145" s="119" t="str"/>
    </x:row>
    <x:row r="146" ht="46" customHeight="1">
      <x:c r="A146" s="117" t="str">
        <x:v>Apex Class</x:v>
      </x:c>
      <x:c r="B146" s="117" t="str">
        <x:v>GH_TriggerHandlerBase_Test</x:v>
      </x:c>
      <x:c r="C146" s="119" t="str">
        <x:v>Internal / other</x:v>
      </x:c>
      <x:c r="D146" s="117" t="str"/>
      <x:c r="E146" s="119" t="str"/>
      <x:c r="F146" s="117" t="str">
        <x:v>No</x:v>
      </x:c>
      <x:c r="G146" s="118" t="n">
        <x:v>0</x:v>
      </x:c>
      <x:c r="H146" s="119" t="str"/>
      <x:c r="I146" s="119" t="str"/>
      <x:c r="J146" s="119" t="str"/>
    </x:row>
    <x:row r="147" ht="46" customHeight="1">
      <x:c r="A147" s="117" t="str">
        <x:v>Apex Class</x:v>
      </x:c>
      <x:c r="B147" s="117" t="str">
        <x:v>GoogleAuthTestClass</x:v>
      </x:c>
      <x:c r="C147" s="119" t="str">
        <x:v>Internal / other</x:v>
      </x:c>
      <x:c r="D147" s="117" t="str"/>
      <x:c r="E147" s="119" t="str"/>
      <x:c r="F147" s="117" t="str">
        <x:v>No</x:v>
      </x:c>
      <x:c r="G147" s="118" t="n">
        <x:v>0</x:v>
      </x:c>
      <x:c r="H147" s="119" t="str"/>
      <x:c r="I147" s="119" t="str"/>
      <x:c r="J147" s="119" t="str">
        <x:v>Account, Evaluation_Natalie__c, OpportunityLineItem, Pricebook2, PricebookEntry, Product2, ProductItem__c, ProductTest__c, RMA__c, RecordType</x:v>
      </x:c>
    </x:row>
    <x:row r="148" ht="46" customHeight="1">
      <x:c r="A148" s="117" t="str">
        <x:v>Apex Class</x:v>
      </x:c>
      <x:c r="B148" s="117" t="str">
        <x:v>invocableEmailAttachment</x:v>
      </x:c>
      <x:c r="C148" s="119" t="str">
        <x:v>Invocable</x:v>
      </x:c>
      <x:c r="D148" s="117" t="str"/>
      <x:c r="E148" s="119" t="str"/>
      <x:c r="F148" s="117" t="str">
        <x:v>Yes</x:v>
      </x:c>
      <x:c r="G148" s="118" t="n">
        <x:v>1</x:v>
      </x:c>
      <x:c r="H148" s="119" t="str">
        <x:v>Send_email_with_attachment_shipment</x:v>
      </x:c>
      <x:c r="I148" s="119" t="str"/>
      <x:c r="J148" s="119" t="str">
        <x:v>Address, Attachment, ContentDocument, ContentDocumentLink</x:v>
      </x:c>
    </x:row>
    <x:row r="149" ht="46" customHeight="1">
      <x:c r="A149" s="117" t="str">
        <x:v>Apex Class</x:v>
      </x:c>
      <x:c r="B149" s="117" t="str">
        <x:v>invocableEmailAttachmentRepairQuote</x:v>
      </x:c>
      <x:c r="C149" s="119" t="str">
        <x:v>Invocable</x:v>
      </x:c>
      <x:c r="D149" s="117" t="str"/>
      <x:c r="E149" s="119" t="str"/>
      <x:c r="F149" s="117" t="str">
        <x:v>Yes</x:v>
      </x:c>
      <x:c r="G149" s="118" t="n">
        <x:v>1</x:v>
      </x:c>
      <x:c r="H149" s="119" t="str">
        <x:v>Case_Online_Repair_Evaluation_Tool</x:v>
      </x:c>
      <x:c r="I149" s="119" t="str"/>
      <x:c r="J149" s="119" t="str">
        <x:v>Address, Attachment, Quote</x:v>
      </x:c>
    </x:row>
    <x:row r="150" ht="46" customHeight="1">
      <x:c r="A150" s="117" t="str">
        <x:v>Apex Class</x:v>
      </x:c>
      <x:c r="B150" s="117" t="str">
        <x:v>invocableEmailAttachmentRepairQuoteUK</x:v>
      </x:c>
      <x:c r="C150" s="119" t="str">
        <x:v>Invocable</x:v>
      </x:c>
      <x:c r="D150" s="117" t="str"/>
      <x:c r="E150" s="119" t="str"/>
      <x:c r="F150" s="117" t="str">
        <x:v>Yes</x:v>
      </x:c>
      <x:c r="G150" s="118" t="n">
        <x:v>1</x:v>
      </x:c>
      <x:c r="H150" s="119" t="str">
        <x:v>Case_Online_Repair_Evaluation_Tool</x:v>
      </x:c>
      <x:c r="I150" s="119" t="str"/>
      <x:c r="J150" s="119" t="str">
        <x:v>Address, Attachment, Quote</x:v>
      </x:c>
    </x:row>
    <x:row r="151" ht="46" customHeight="1">
      <x:c r="A151" s="117" t="str">
        <x:v>Apex Class</x:v>
      </x:c>
      <x:c r="B151" s="117" t="str">
        <x:v>invocableEmailAttachmentUK</x:v>
      </x:c>
      <x:c r="C151" s="119" t="str">
        <x:v>Invocable</x:v>
      </x:c>
      <x:c r="D151" s="117" t="str"/>
      <x:c r="E151" s="119" t="str"/>
      <x:c r="F151" s="117" t="str">
        <x:v>Yes</x:v>
      </x:c>
      <x:c r="G151" s="118" t="n">
        <x:v>1</x:v>
      </x:c>
      <x:c r="H151" s="119" t="str">
        <x:v>Send_email_with_attachment_shipment</x:v>
      </x:c>
      <x:c r="I151" s="119" t="str"/>
      <x:c r="J151" s="119" t="str">
        <x:v>Address, Attachment, ContentDocument, ContentDocumentLink</x:v>
      </x:c>
    </x:row>
    <x:row r="152" ht="46" customHeight="1">
      <x:c r="A152" s="117" t="str">
        <x:v>Apex Class</x:v>
      </x:c>
      <x:c r="B152" s="117" t="str">
        <x:v>InvoiceLineItems</x:v>
      </x:c>
      <x:c r="C152" s="119" t="str">
        <x:v>Internal / other</x:v>
      </x:c>
      <x:c r="D152" s="117" t="str"/>
      <x:c r="E152" s="119" t="str"/>
      <x:c r="F152" s="117" t="str">
        <x:v>No</x:v>
      </x:c>
      <x:c r="G152" s="118" t="n">
        <x:v>0</x:v>
      </x:c>
      <x:c r="H152" s="119" t="str"/>
      <x:c r="I152" s="119" t="str"/>
      <x:c r="J152" s="119" t="str">
        <x:v>Invoice_Line_Item__c, Invoice__c</x:v>
      </x:c>
    </x:row>
    <x:row r="153" ht="46" customHeight="1">
      <x:c r="A153" s="117" t="str">
        <x:v>Apex Class</x:v>
      </x:c>
      <x:c r="B153" s="117" t="str">
        <x:v>InvoiceOppProducts</x:v>
      </x:c>
      <x:c r="C153" s="119" t="str">
        <x:v>Internal / other</x:v>
      </x:c>
      <x:c r="D153" s="117" t="str"/>
      <x:c r="E153" s="119" t="str"/>
      <x:c r="F153" s="117" t="str">
        <x:v>No</x:v>
      </x:c>
      <x:c r="G153" s="118" t="n">
        <x:v>0</x:v>
      </x:c>
      <x:c r="H153" s="119" t="str"/>
      <x:c r="I153" s="119" t="str"/>
      <x:c r="J153" s="119" t="str">
        <x:v>Account, Address, Invoice__c, OpportunityLineItem</x:v>
      </x:c>
    </x:row>
    <x:row r="154" ht="46" customHeight="1">
      <x:c r="A154" s="117" t="str">
        <x:v>Apex Class</x:v>
      </x:c>
      <x:c r="B154" s="117" t="str">
        <x:v>InvoicePdfGenerator</x:v>
      </x:c>
      <x:c r="C154" s="119" t="str">
        <x:v>Invocable</x:v>
      </x:c>
      <x:c r="D154" s="117" t="str"/>
      <x:c r="E154" s="119" t="str"/>
      <x:c r="F154" s="117" t="str">
        <x:v>Yes</x:v>
      </x:c>
      <x:c r="G154" s="118" t="n">
        <x:v>2</x:v>
      </x:c>
      <x:c r="H154" s="119" t="str">
        <x:v>Generate_Invoice_PDF_Flow, Invoice_Sync_Notification</x:v>
      </x:c>
      <x:c r="I154" s="119" t="str"/>
      <x:c r="J154" s="119" t="str">
        <x:v>ContentDocument, ContentDocumentLink, Invoice__c, User</x:v>
      </x:c>
    </x:row>
    <x:row r="155" ht="46" customHeight="1">
      <x:c r="A155" s="117" t="str">
        <x:v>Apex Class</x:v>
      </x:c>
      <x:c r="B155" s="117" t="str">
        <x:v>ItemReceiptLineItemServices</x:v>
      </x:c>
      <x:c r="C155" s="119" t="str">
        <x:v>Aura Enabled</x:v>
      </x:c>
      <x:c r="D155" s="117" t="str"/>
      <x:c r="E155" s="119" t="str"/>
      <x:c r="F155" s="117" t="str">
        <x:v>No</x:v>
      </x:c>
      <x:c r="G155" s="118" t="n">
        <x:v>0</x:v>
      </x:c>
      <x:c r="H155" s="119" t="str"/>
      <x:c r="I155" s="119" t="str"/>
      <x:c r="J155" s="119" t="str">
        <x:v>Item_Receipt__c, Opportunity, OpportunityLineItem, Product2, ProductItem__c</x:v>
      </x:c>
    </x:row>
    <x:row r="156" ht="46" customHeight="1">
      <x:c r="A156" s="117" t="str">
        <x:v>Apex Class</x:v>
      </x:c>
      <x:c r="B156" s="117" t="str">
        <x:v>ItemReceiptLineItemServicesTest</x:v>
      </x:c>
      <x:c r="C156" s="119" t="str">
        <x:v>Internal / other</x:v>
      </x:c>
      <x:c r="D156" s="117" t="str"/>
      <x:c r="E156" s="119" t="str"/>
      <x:c r="F156" s="117" t="str">
        <x:v>No</x:v>
      </x:c>
      <x:c r="G156" s="118" t="n">
        <x:v>0</x:v>
      </x:c>
      <x:c r="H156" s="119" t="str"/>
      <x:c r="I156" s="119" t="str"/>
      <x:c r="J156" s="119" t="str">
        <x:v>Account, Asset, Item_Receipt__c, Opportunity, OpportunityLineItem, Product2, ProductItem__c</x:v>
      </x:c>
    </x:row>
    <x:row r="157" ht="46" customHeight="1">
      <x:c r="A157" s="117" t="str">
        <x:v>Apex Class</x:v>
      </x:c>
      <x:c r="B157" s="117" t="str">
        <x:v>ItemReceiptTriggerTest</x:v>
      </x:c>
      <x:c r="C157" s="119" t="str">
        <x:v>Internal / other</x:v>
      </x:c>
      <x:c r="D157" s="117" t="str"/>
      <x:c r="E157" s="119" t="str"/>
      <x:c r="F157" s="117" t="str">
        <x:v>No</x:v>
      </x:c>
      <x:c r="G157" s="118" t="n">
        <x:v>0</x:v>
      </x:c>
      <x:c r="H157" s="119" t="str"/>
      <x:c r="I157" s="119" t="str"/>
      <x:c r="J157" s="119" t="str">
        <x:v>Account, Contact, Item_Receipt__c, Opportunity, Quote</x:v>
      </x:c>
    </x:row>
    <x:row r="158" ht="46" customHeight="1">
      <x:c r="A158" s="117" t="str">
        <x:v>Apex Class</x:v>
      </x:c>
      <x:c r="B158" s="117" t="str">
        <x:v>LeadConversionController</x:v>
      </x:c>
      <x:c r="C158" s="119" t="str">
        <x:v>Aura Enabled</x:v>
      </x:c>
      <x:c r="D158" s="117" t="str"/>
      <x:c r="E158" s="119" t="str"/>
      <x:c r="F158" s="117" t="str">
        <x:v>No</x:v>
      </x:c>
      <x:c r="G158" s="118" t="n">
        <x:v>0</x:v>
      </x:c>
      <x:c r="H158" s="119" t="str"/>
      <x:c r="I158" s="119" t="str"/>
      <x:c r="J158" s="119" t="str">
        <x:v>Account, Contact, Lead, Opportunity, RecordType, ServiceContract, User</x:v>
      </x:c>
    </x:row>
    <x:row r="159" ht="46" customHeight="1">
      <x:c r="A159" s="117" t="str">
        <x:v>Apex Class</x:v>
      </x:c>
      <x:c r="B159" s="117" t="str">
        <x:v>LeadConversionController_NoAssert_Test</x:v>
      </x:c>
      <x:c r="C159" s="119" t="str">
        <x:v>Internal / other</x:v>
      </x:c>
      <x:c r="D159" s="117" t="str"/>
      <x:c r="E159" s="119" t="str"/>
      <x:c r="F159" s="117" t="str">
        <x:v>No</x:v>
      </x:c>
      <x:c r="G159" s="118" t="n">
        <x:v>0</x:v>
      </x:c>
      <x:c r="H159" s="119" t="str"/>
      <x:c r="I159" s="119" t="str"/>
      <x:c r="J159" s="119" t="str">
        <x:v>Account, Contact, Lead, Opportunity, RecordType</x:v>
      </x:c>
    </x:row>
    <x:row r="160" ht="46" customHeight="1">
      <x:c r="A160" s="117" t="str">
        <x:v>Apex Class</x:v>
      </x:c>
      <x:c r="B160" s="117" t="str">
        <x:v>LoanerAssetTriggerHandler</x:v>
      </x:c>
      <x:c r="C160" s="119" t="str">
        <x:v>Internal / other</x:v>
      </x:c>
      <x:c r="D160" s="117" t="str"/>
      <x:c r="E160" s="119" t="str"/>
      <x:c r="F160" s="117" t="str">
        <x:v>No</x:v>
      </x:c>
      <x:c r="G160" s="118" t="n">
        <x:v>0</x:v>
      </x:c>
      <x:c r="H160" s="119" t="str"/>
      <x:c r="I160" s="119" t="str"/>
      <x:c r="J160" s="119" t="str">
        <x:v>Loaner_Asset__c, Loaner__c, ProductItem__c</x:v>
      </x:c>
    </x:row>
    <x:row r="161" ht="46" customHeight="1">
      <x:c r="A161" s="117" t="str">
        <x:v>Apex Class</x:v>
      </x:c>
      <x:c r="B161" s="117" t="str">
        <x:v>LoanerAssetTriggerHandlerTest</x:v>
      </x:c>
      <x:c r="C161" s="119" t="str">
        <x:v>Internal / other</x:v>
      </x:c>
      <x:c r="D161" s="117" t="str"/>
      <x:c r="E161" s="119" t="str"/>
      <x:c r="F161" s="117" t="str">
        <x:v>No</x:v>
      </x:c>
      <x:c r="G161" s="118" t="n">
        <x:v>0</x:v>
      </x:c>
      <x:c r="H161" s="119" t="str"/>
      <x:c r="I161" s="119" t="str"/>
      <x:c r="J161" s="119" t="str">
        <x:v>Account, Asset, Loaner_Asset__c, Loaner__c, Opportunity, Product2, ProductItem__c, RMA__c</x:v>
      </x:c>
    </x:row>
    <x:row r="162" ht="46" customHeight="1">
      <x:c r="A162" s="117" t="str">
        <x:v>Apex Class</x:v>
      </x:c>
      <x:c r="B162" s="117" t="str">
        <x:v>LoanerLineItemServices</x:v>
      </x:c>
      <x:c r="C162" s="119" t="str">
        <x:v>Aura Enabled</x:v>
      </x:c>
      <x:c r="D162" s="117" t="str"/>
      <x:c r="E162" s="119" t="str"/>
      <x:c r="F162" s="117" t="str">
        <x:v>No</x:v>
      </x:c>
      <x:c r="G162" s="118" t="n">
        <x:v>0</x:v>
      </x:c>
      <x:c r="H162" s="119" t="str"/>
      <x:c r="I162" s="119" t="str"/>
      <x:c r="J162" s="119" t="str">
        <x:v>Loaner_Asset__c, Loaner__c, Opportunity, ProductItem__c</x:v>
      </x:c>
    </x:row>
    <x:row r="163" ht="46" customHeight="1">
      <x:c r="A163" s="117" t="str">
        <x:v>Apex Class</x:v>
      </x:c>
      <x:c r="B163" s="117" t="str">
        <x:v>LoanerLineItemServicesTest</x:v>
      </x:c>
      <x:c r="C163" s="119" t="str">
        <x:v>Internal / other</x:v>
      </x:c>
      <x:c r="D163" s="117" t="str"/>
      <x:c r="E163" s="119" t="str"/>
      <x:c r="F163" s="117" t="str">
        <x:v>No</x:v>
      </x:c>
      <x:c r="G163" s="118" t="n">
        <x:v>0</x:v>
      </x:c>
      <x:c r="H163" s="119" t="str"/>
      <x:c r="I163" s="119" t="str"/>
      <x:c r="J163" s="119" t="str">
        <x:v>Account, Asset, Loaner_Asset__c, Loaner__c, Opportunity, Product2, ProductItem__c</x:v>
      </x:c>
    </x:row>
    <x:row r="164" ht="46" customHeight="1">
      <x:c r="A164" s="117" t="str">
        <x:v>Apex Class</x:v>
      </x:c>
      <x:c r="B164" s="117" t="str">
        <x:v>LoanerTriggerHandler</x:v>
      </x:c>
      <x:c r="C164" s="119" t="str">
        <x:v>Internal / other</x:v>
      </x:c>
      <x:c r="D164" s="117" t="str"/>
      <x:c r="E164" s="119" t="str"/>
      <x:c r="F164" s="117" t="str">
        <x:v>No</x:v>
      </x:c>
      <x:c r="G164" s="118" t="n">
        <x:v>0</x:v>
      </x:c>
      <x:c r="H164" s="119" t="str"/>
      <x:c r="I164" s="119" t="str"/>
      <x:c r="J164" s="119" t="str">
        <x:v>Asset, Loaner_Asset__c, Loaner__c, Move_Location__c, Opportunity, OpportunityLineItem, ProductItem__c, RMA__c, RecordType, User</x:v>
      </x:c>
    </x:row>
    <x:row r="165" ht="46" customHeight="1">
      <x:c r="A165" s="117" t="str">
        <x:v>Apex Class</x:v>
      </x:c>
      <x:c r="B165" s="117" t="str">
        <x:v>MassBarcodeController</x:v>
      </x:c>
      <x:c r="C165" s="119" t="str">
        <x:v>Internal / other</x:v>
      </x:c>
      <x:c r="D165" s="117" t="str"/>
      <x:c r="E165" s="119" t="str"/>
      <x:c r="F165" s="117" t="str">
        <x:v>No</x:v>
      </x:c>
      <x:c r="G165" s="118" t="n">
        <x:v>0</x:v>
      </x:c>
      <x:c r="H165" s="119" t="str"/>
      <x:c r="I165" s="119" t="str"/>
      <x:c r="J165" s="119" t="str">
        <x:v>Asset, ProductItem__c</x:v>
      </x:c>
    </x:row>
    <x:row r="166" ht="46" customHeight="1">
      <x:c r="A166" s="117" t="str">
        <x:v>Apex Class</x:v>
      </x:c>
      <x:c r="B166" s="117" t="str">
        <x:v>MassBarcodeControllerTest</x:v>
      </x:c>
      <x:c r="C166" s="119" t="str">
        <x:v>Internal / other</x:v>
      </x:c>
      <x:c r="D166" s="117" t="str"/>
      <x:c r="E166" s="119" t="str"/>
      <x:c r="F166" s="117" t="str">
        <x:v>No</x:v>
      </x:c>
      <x:c r="G166" s="118" t="n">
        <x:v>0</x:v>
      </x:c>
      <x:c r="H166" s="119" t="str"/>
      <x:c r="I166" s="119" t="str"/>
      <x:c r="J166" s="119" t="str">
        <x:v>ProductItem__c</x:v>
      </x:c>
    </x:row>
    <x:row r="167" ht="46" customHeight="1">
      <x:c r="A167" s="117" t="str">
        <x:v>Apex Class</x:v>
      </x:c>
      <x:c r="B167" s="117" t="str">
        <x:v>MassDeleteOLITest</x:v>
      </x:c>
      <x:c r="C167" s="119" t="str">
        <x:v>Internal / other</x:v>
      </x:c>
      <x:c r="D167" s="117" t="str"/>
      <x:c r="E167" s="119" t="str"/>
      <x:c r="F167" s="117" t="str">
        <x:v>No</x:v>
      </x:c>
      <x:c r="G167" s="118" t="n">
        <x:v>0</x:v>
      </x:c>
      <x:c r="H167" s="119" t="str"/>
      <x:c r="I167" s="119" t="str"/>
      <x:c r="J167" s="119" t="str">
        <x:v>Account, Opportunity, OpportunityLineItem, PricebookEntry, Product2, ProductItem__c</x:v>
      </x:c>
    </x:row>
    <x:row r="168" ht="46" customHeight="1">
      <x:c r="A168" s="117" t="str">
        <x:v>Apex Class</x:v>
      </x:c>
      <x:c r="B168" s="117" t="str">
        <x:v>MassUpdater</x:v>
      </x:c>
      <x:c r="C168" s="119" t="str">
        <x:v>Internal / other</x:v>
      </x:c>
      <x:c r="D168" s="117" t="str"/>
      <x:c r="E168" s="119" t="str"/>
      <x:c r="F168" s="117" t="str">
        <x:v>No</x:v>
      </x:c>
      <x:c r="G168" s="118" t="n">
        <x:v>0</x:v>
      </x:c>
      <x:c r="H168" s="119" t="str"/>
      <x:c r="I168" s="119" t="str"/>
      <x:c r="J168" s="119" t="str"/>
    </x:row>
    <x:row r="169" ht="46" customHeight="1">
      <x:c r="A169" s="117" t="str">
        <x:v>Apex Class</x:v>
      </x:c>
      <x:c r="B169" s="117" t="str">
        <x:v>MassUpdateSimpleController</x:v>
      </x:c>
      <x:c r="C169" s="119" t="str">
        <x:v>Internal / other</x:v>
      </x:c>
      <x:c r="D169" s="117" t="str"/>
      <x:c r="E169" s="119" t="str"/>
      <x:c r="F169" s="117" t="str">
        <x:v>No</x:v>
      </x:c>
      <x:c r="G169" s="118" t="n">
        <x:v>0</x:v>
      </x:c>
      <x:c r="H169" s="119" t="str"/>
      <x:c r="I169" s="119" t="str"/>
      <x:c r="J169" s="119" t="str"/>
    </x:row>
    <x:row r="170" ht="46" customHeight="1">
      <x:c r="A170" s="117" t="str">
        <x:v>Apex Class</x:v>
      </x:c>
      <x:c r="B170" s="117" t="str">
        <x:v>MassUpdateSimpleControllerTest</x:v>
      </x:c>
      <x:c r="C170" s="119" t="str">
        <x:v>Internal / other</x:v>
      </x:c>
      <x:c r="D170" s="117" t="str"/>
      <x:c r="E170" s="119" t="str"/>
      <x:c r="F170" s="117" t="str">
        <x:v>No</x:v>
      </x:c>
      <x:c r="G170" s="118" t="n">
        <x:v>0</x:v>
      </x:c>
      <x:c r="H170" s="119" t="str"/>
      <x:c r="I170" s="119" t="str"/>
      <x:c r="J170" s="119" t="str">
        <x:v>Opportunity, User</x:v>
      </x:c>
    </x:row>
    <x:row r="171" ht="46" customHeight="1">
      <x:c r="A171" s="117" t="str">
        <x:v>Apex Class</x:v>
      </x:c>
      <x:c r="B171" s="117" t="str">
        <x:v>MicrobatchSelfRegController</x:v>
      </x:c>
      <x:c r="C171" s="119" t="str">
        <x:v>Internal / other</x:v>
      </x:c>
      <x:c r="D171" s="117" t="str"/>
      <x:c r="E171" s="119" t="str"/>
      <x:c r="F171" s="117" t="str">
        <x:v>No</x:v>
      </x:c>
      <x:c r="G171" s="118" t="n">
        <x:v>0</x:v>
      </x:c>
      <x:c r="H171" s="119" t="str"/>
      <x:c r="I171" s="119" t="str"/>
      <x:c r="J171" s="119" t="str">
        <x:v>Account, Contact, User</x:v>
      </x:c>
    </x:row>
    <x:row r="172" ht="46" customHeight="1">
      <x:c r="A172" s="117" t="str">
        <x:v>Apex Class</x:v>
      </x:c>
      <x:c r="B172" s="117" t="str">
        <x:v>MicrobatchSelfRegControllerTest</x:v>
      </x:c>
      <x:c r="C172" s="119" t="str">
        <x:v>Internal / other</x:v>
      </x:c>
      <x:c r="D172" s="117" t="str"/>
      <x:c r="E172" s="119" t="str"/>
      <x:c r="F172" s="117" t="str">
        <x:v>No</x:v>
      </x:c>
      <x:c r="G172" s="118" t="n">
        <x:v>0</x:v>
      </x:c>
      <x:c r="H172" s="119" t="str"/>
      <x:c r="I172" s="119" t="str"/>
      <x:c r="J172" s="119" t="str"/>
    </x:row>
    <x:row r="173" ht="46" customHeight="1">
      <x:c r="A173" s="117" t="str">
        <x:v>Apex Class</x:v>
      </x:c>
      <x:c r="B173" s="117" t="str">
        <x:v>MoveLocation</x:v>
      </x:c>
      <x:c r="C173" s="119" t="str">
        <x:v>Internal / other</x:v>
      </x:c>
      <x:c r="D173" s="117" t="str"/>
      <x:c r="E173" s="119" t="str"/>
      <x:c r="F173" s="117" t="str">
        <x:v>No</x:v>
      </x:c>
      <x:c r="G173" s="118" t="n">
        <x:v>0</x:v>
      </x:c>
      <x:c r="H173" s="119" t="str"/>
      <x:c r="I173" s="119" t="str"/>
      <x:c r="J173" s="119" t="str">
        <x:v>Location, Move_Location__c, ProductItem__c</x:v>
      </x:c>
    </x:row>
    <x:row r="174" ht="46" customHeight="1">
      <x:c r="A174" s="117" t="str">
        <x:v>Apex Class</x:v>
      </x:c>
      <x:c r="B174" s="117" t="str">
        <x:v>MoveLocationTestClass</x:v>
      </x:c>
      <x:c r="C174" s="119" t="str">
        <x:v>Internal / other</x:v>
      </x:c>
      <x:c r="D174" s="117" t="str"/>
      <x:c r="E174" s="119" t="str"/>
      <x:c r="F174" s="117" t="str">
        <x:v>No</x:v>
      </x:c>
      <x:c r="G174" s="118" t="n">
        <x:v>0</x:v>
      </x:c>
      <x:c r="H174" s="119" t="str"/>
      <x:c r="I174" s="119" t="str"/>
      <x:c r="J174" s="119" t="str">
        <x:v>Account, Move_Location__c, Product2, ProductItem__c</x:v>
      </x:c>
    </x:row>
    <x:row r="175" ht="46" customHeight="1">
      <x:c r="A175" s="117" t="str">
        <x:v>Apex Class</x:v>
      </x:c>
      <x:c r="B175" s="117" t="str">
        <x:v>MoveLocationUpdateTest</x:v>
      </x:c>
      <x:c r="C175" s="119" t="str">
        <x:v>Internal / other</x:v>
      </x:c>
      <x:c r="D175" s="117" t="str"/>
      <x:c r="E175" s="119" t="str"/>
      <x:c r="F175" s="117" t="str">
        <x:v>No</x:v>
      </x:c>
      <x:c r="G175" s="118" t="n">
        <x:v>0</x:v>
      </x:c>
      <x:c r="H175" s="119" t="str"/>
      <x:c r="I175" s="119" t="str"/>
      <x:c r="J175" s="119" t="str">
        <x:v>Account, Move_Location__c, Product2, ProductItem__c</x:v>
      </x:c>
    </x:row>
    <x:row r="176" ht="46" customHeight="1">
      <x:c r="A176" s="117" t="str">
        <x:v>Apex Class</x:v>
      </x:c>
      <x:c r="B176" s="117" t="str">
        <x:v>MyProfilePageController</x:v>
      </x:c>
      <x:c r="C176" s="119" t="str">
        <x:v>Internal / other</x:v>
      </x:c>
      <x:c r="D176" s="117" t="str"/>
      <x:c r="E176" s="119" t="str"/>
      <x:c r="F176" s="117" t="str">
        <x:v>No</x:v>
      </x:c>
      <x:c r="G176" s="118" t="n">
        <x:v>0</x:v>
      </x:c>
      <x:c r="H176" s="119" t="str"/>
      <x:c r="I176" s="119" t="str"/>
      <x:c r="J176" s="119" t="str">
        <x:v>Contact, User</x:v>
      </x:c>
    </x:row>
    <x:row r="177" ht="46" customHeight="1">
      <x:c r="A177" s="117" t="str">
        <x:v>Apex Class</x:v>
      </x:c>
      <x:c r="B177" s="117" t="str">
        <x:v>MyProfilePageControllerTest</x:v>
      </x:c>
      <x:c r="C177" s="119" t="str">
        <x:v>Internal / other</x:v>
      </x:c>
      <x:c r="D177" s="117" t="str"/>
      <x:c r="E177" s="119" t="str"/>
      <x:c r="F177" s="117" t="str">
        <x:v>No</x:v>
      </x:c>
      <x:c r="G177" s="118" t="n">
        <x:v>0</x:v>
      </x:c>
      <x:c r="H177" s="119" t="str"/>
      <x:c r="I177" s="119" t="str"/>
      <x:c r="J177" s="119" t="str">
        <x:v>Contact, User</x:v>
      </x:c>
    </x:row>
    <x:row r="178" ht="46" customHeight="1">
      <x:c r="A178" s="117" t="str">
        <x:v>Apex Class</x:v>
      </x:c>
      <x:c r="B178" s="117" t="str">
        <x:v>NewLoanerOpp</x:v>
      </x:c>
      <x:c r="C178" s="119" t="str">
        <x:v>Internal / other</x:v>
      </x:c>
      <x:c r="D178" s="117" t="str"/>
      <x:c r="E178" s="119" t="str"/>
      <x:c r="F178" s="117" t="str">
        <x:v>No</x:v>
      </x:c>
      <x:c r="G178" s="118" t="n">
        <x:v>0</x:v>
      </x:c>
      <x:c r="H178" s="119" t="str"/>
      <x:c r="I178" s="119" t="str"/>
      <x:c r="J178" s="119" t="str">
        <x:v>Account, Opportunity, OpportunityLineItem, ProductItem__c, Quote, RecordType</x:v>
      </x:c>
    </x:row>
    <x:row r="179" ht="46" customHeight="1">
      <x:c r="A179" s="117" t="str">
        <x:v>Apex Class</x:v>
      </x:c>
      <x:c r="B179" s="117" t="str">
        <x:v>NewLoanerTest</x:v>
      </x:c>
      <x:c r="C179" s="119" t="str">
        <x:v>Internal / other</x:v>
      </x:c>
      <x:c r="D179" s="117" t="str"/>
      <x:c r="E179" s="119" t="str"/>
      <x:c r="F179" s="117" t="str">
        <x:v>No</x:v>
      </x:c>
      <x:c r="G179" s="118" t="n">
        <x:v>0</x:v>
      </x:c>
      <x:c r="H179" s="119" t="str"/>
      <x:c r="I179" s="119" t="str"/>
      <x:c r="J179" s="119" t="str">
        <x:v>Account, Opportunity, OpportunityLineItem, PricebookEntry, Product2, ProductItem__c, Quote</x:v>
      </x:c>
    </x:row>
    <x:row r="180" ht="46" customHeight="1">
      <x:c r="A180" s="117" t="str">
        <x:v>Apex Class</x:v>
      </x:c>
      <x:c r="B180" s="117" t="str">
        <x:v>NewOppLightningStandardCtrl</x:v>
      </x:c>
      <x:c r="C180" s="119" t="str">
        <x:v>Internal / other</x:v>
      </x:c>
      <x:c r="D180" s="117" t="str"/>
      <x:c r="E180" s="119" t="str"/>
      <x:c r="F180" s="117" t="str">
        <x:v>No</x:v>
      </x:c>
      <x:c r="G180" s="118" t="n">
        <x:v>0</x:v>
      </x:c>
      <x:c r="H180" s="119" t="str"/>
      <x:c r="I180" s="119" t="str"/>
      <x:c r="J180" s="119" t="str">
        <x:v>Account, Contact, Opportunity, Quote, RecordType</x:v>
      </x:c>
    </x:row>
    <x:row r="181" ht="46" customHeight="1">
      <x:c r="A181" s="117" t="str">
        <x:v>Apex Class</x:v>
      </x:c>
      <x:c r="B181" s="117" t="str">
        <x:v>NewOppLightningStandardCtrlTest</x:v>
      </x:c>
      <x:c r="C181" s="119" t="str">
        <x:v>Internal / other</x:v>
      </x:c>
      <x:c r="D181" s="117" t="str"/>
      <x:c r="E181" s="119" t="str"/>
      <x:c r="F181" s="117" t="str">
        <x:v>No</x:v>
      </x:c>
      <x:c r="G181" s="118" t="n">
        <x:v>0</x:v>
      </x:c>
      <x:c r="H181" s="119" t="str"/>
      <x:c r="I181" s="119" t="str"/>
      <x:c r="J181" s="119" t="str">
        <x:v>Account, Contact, Opportunity, OpportunityLineItem, PricebookEntry, Product2, ProductItem__c</x:v>
      </x:c>
    </x:row>
    <x:row r="182" ht="46" customHeight="1">
      <x:c r="A182" s="117" t="str">
        <x:v>Apex Class</x:v>
      </x:c>
      <x:c r="B182" s="117" t="str">
        <x:v>NewOppStandardCtrl</x:v>
      </x:c>
      <x:c r="C182" s="119" t="str">
        <x:v>Internal / other</x:v>
      </x:c>
      <x:c r="D182" s="117" t="str"/>
      <x:c r="E182" s="119" t="str"/>
      <x:c r="F182" s="117" t="str">
        <x:v>No</x:v>
      </x:c>
      <x:c r="G182" s="118" t="n">
        <x:v>0</x:v>
      </x:c>
      <x:c r="H182" s="119" t="str"/>
      <x:c r="I182" s="119" t="str"/>
      <x:c r="J182" s="119" t="str">
        <x:v>Account, Contact, Opportunity, Quote, RecordType</x:v>
      </x:c>
    </x:row>
    <x:row r="183" ht="46" customHeight="1">
      <x:c r="A183" s="117" t="str">
        <x:v>Apex Class</x:v>
      </x:c>
      <x:c r="B183" s="117" t="str">
        <x:v>NewOppTest</x:v>
      </x:c>
      <x:c r="C183" s="119" t="str">
        <x:v>Internal / other</x:v>
      </x:c>
      <x:c r="D183" s="117" t="str"/>
      <x:c r="E183" s="119" t="str"/>
      <x:c r="F183" s="117" t="str">
        <x:v>No</x:v>
      </x:c>
      <x:c r="G183" s="118" t="n">
        <x:v>0</x:v>
      </x:c>
      <x:c r="H183" s="119" t="str"/>
      <x:c r="I183" s="119" t="str"/>
      <x:c r="J183" s="119" t="str">
        <x:v>Account, Contact, Opportunity, OpportunityLineItem, PricebookEntry, Product2, ProductItem__c</x:v>
      </x:c>
    </x:row>
    <x:row r="184" ht="46" customHeight="1">
      <x:c r="A184" s="117" t="str">
        <x:v>Apex Class</x:v>
      </x:c>
      <x:c r="B184" s="117" t="str">
        <x:v>NewRentalOpp</x:v>
      </x:c>
      <x:c r="C184" s="119" t="str">
        <x:v>Internal / other</x:v>
      </x:c>
      <x:c r="D184" s="117" t="str"/>
      <x:c r="E184" s="119" t="str"/>
      <x:c r="F184" s="117" t="str">
        <x:v>No</x:v>
      </x:c>
      <x:c r="G184" s="118" t="n">
        <x:v>0</x:v>
      </x:c>
      <x:c r="H184" s="119" t="str"/>
      <x:c r="I184" s="119" t="str"/>
      <x:c r="J184" s="119" t="str">
        <x:v>Account, Opportunity, OpportunityLineItem, ProductItem__c, Quote</x:v>
      </x:c>
    </x:row>
    <x:row r="185" ht="46" customHeight="1">
      <x:c r="A185" s="117" t="str">
        <x:v>Apex Class</x:v>
      </x:c>
      <x:c r="B185" s="117" t="str">
        <x:v>NewRentalOppTest</x:v>
      </x:c>
      <x:c r="C185" s="119" t="str">
        <x:v>Internal / other</x:v>
      </x:c>
      <x:c r="D185" s="117" t="str"/>
      <x:c r="E185" s="119" t="str"/>
      <x:c r="F185" s="117" t="str">
        <x:v>No</x:v>
      </x:c>
      <x:c r="G185" s="118" t="n">
        <x:v>0</x:v>
      </x:c>
      <x:c r="H185" s="119" t="str"/>
      <x:c r="I185" s="119" t="str"/>
      <x:c r="J185" s="119" t="str">
        <x:v>Account, Opportunity, OpportunityLineItem, PricebookEntry, Product2, ProductItem__c, Quote</x:v>
      </x:c>
    </x:row>
    <x:row r="186" ht="46" customHeight="1">
      <x:c r="A186" s="117" t="str">
        <x:v>Apex Class</x:v>
      </x:c>
      <x:c r="B186" s="117" t="str">
        <x:v>NewRMA</x:v>
      </x:c>
      <x:c r="C186" s="119" t="str">
        <x:v>Internal / other</x:v>
      </x:c>
      <x:c r="D186" s="117" t="str"/>
      <x:c r="E186" s="119" t="str"/>
      <x:c r="F186" s="117" t="str">
        <x:v>No</x:v>
      </x:c>
      <x:c r="G186" s="118" t="n">
        <x:v>0</x:v>
      </x:c>
      <x:c r="H186" s="119" t="str"/>
      <x:c r="I186" s="119" t="str"/>
      <x:c r="J186" s="119" t="str">
        <x:v>Opportunity, Order, RMA__c, RecordType, ServiceContract, WorkOrder</x:v>
      </x:c>
    </x:row>
    <x:row r="187" ht="46" customHeight="1">
      <x:c r="A187" s="117" t="str">
        <x:v>Apex Class</x:v>
      </x:c>
      <x:c r="B187" s="117" t="str">
        <x:v>NewRMATest</x:v>
      </x:c>
      <x:c r="C187" s="119" t="str">
        <x:v>Internal / other</x:v>
      </x:c>
      <x:c r="D187" s="117" t="str"/>
      <x:c r="E187" s="119" t="str"/>
      <x:c r="F187" s="117" t="str">
        <x:v>No</x:v>
      </x:c>
      <x:c r="G187" s="118" t="n">
        <x:v>0</x:v>
      </x:c>
      <x:c r="H187" s="119" t="str"/>
      <x:c r="I187" s="119" t="str"/>
      <x:c r="J187" s="119" t="str">
        <x:v>Account, Contact, Opportunity, ServiceContract, WorkOrder</x:v>
      </x:c>
    </x:row>
    <x:row r="188" ht="46" customHeight="1">
      <x:c r="A188" s="117" t="str">
        <x:v>Apex Class</x:v>
      </x:c>
      <x:c r="B188" s="117" t="str">
        <x:v>NewStandardWorkOrder</x:v>
      </x:c>
      <x:c r="C188" s="119" t="str">
        <x:v>Internal / other</x:v>
      </x:c>
      <x:c r="D188" s="117" t="str"/>
      <x:c r="E188" s="119" t="str"/>
      <x:c r="F188" s="117" t="str">
        <x:v>No</x:v>
      </x:c>
      <x:c r="G188" s="118" t="n">
        <x:v>0</x:v>
      </x:c>
      <x:c r="H188" s="119" t="str"/>
      <x:c r="I188" s="119" t="str"/>
      <x:c r="J188" s="119" t="str">
        <x:v>Opportunity, Order, RMA__c, RecordType, ServiceContract, WorkOrder</x:v>
      </x:c>
    </x:row>
    <x:row r="189" ht="46" customHeight="1">
      <x:c r="A189" s="117" t="str">
        <x:v>Apex Class</x:v>
      </x:c>
      <x:c r="B189" s="117" t="str">
        <x:v>NewStandardWorkOrderTest</x:v>
      </x:c>
      <x:c r="C189" s="119" t="str">
        <x:v>Internal / other</x:v>
      </x:c>
      <x:c r="D189" s="117" t="str"/>
      <x:c r="E189" s="119" t="str"/>
      <x:c r="F189" s="117" t="str">
        <x:v>No</x:v>
      </x:c>
      <x:c r="G189" s="118" t="n">
        <x:v>0</x:v>
      </x:c>
      <x:c r="H189" s="119" t="str"/>
      <x:c r="I189" s="119" t="str"/>
      <x:c r="J189" s="119" t="str">
        <x:v>Account, Contact, Opportunity, OpportunityLineItem, PricebookEntry, Product2, ProductItem__c, RMA__c, ServiceContract, WorkOrder</x:v>
      </x:c>
    </x:row>
    <x:row r="190" ht="46" customHeight="1">
      <x:c r="A190" s="117" t="str">
        <x:v>Apex Class</x:v>
      </x:c>
      <x:c r="B190" s="117" t="str">
        <x:v>NewWarrantyOpp</x:v>
      </x:c>
      <x:c r="C190" s="119" t="str">
        <x:v>Internal / other</x:v>
      </x:c>
      <x:c r="D190" s="117" t="str"/>
      <x:c r="E190" s="119" t="str"/>
      <x:c r="F190" s="117" t="str">
        <x:v>No</x:v>
      </x:c>
      <x:c r="G190" s="118" t="n">
        <x:v>0</x:v>
      </x:c>
      <x:c r="H190" s="119" t="str"/>
      <x:c r="I190" s="119" t="str"/>
      <x:c r="J190" s="119" t="str">
        <x:v>Account, Opportunity, OpportunityLineItem, ProductItem__c, Quote, RecordType</x:v>
      </x:c>
    </x:row>
    <x:row r="191" ht="46" customHeight="1">
      <x:c r="A191" s="117" t="str">
        <x:v>Apex Class</x:v>
      </x:c>
      <x:c r="B191" s="117" t="str">
        <x:v>NewWarrantyTest</x:v>
      </x:c>
      <x:c r="C191" s="119" t="str">
        <x:v>Internal / other</x:v>
      </x:c>
      <x:c r="D191" s="117" t="str"/>
      <x:c r="E191" s="119" t="str"/>
      <x:c r="F191" s="117" t="str">
        <x:v>No</x:v>
      </x:c>
      <x:c r="G191" s="118" t="n">
        <x:v>0</x:v>
      </x:c>
      <x:c r="H191" s="119" t="str"/>
      <x:c r="I191" s="119" t="str"/>
      <x:c r="J191" s="119" t="str">
        <x:v>Account, Opportunity, OpportunityLineItem, PricebookEntry, Product2, ProductItem__c, Quote</x:v>
      </x:c>
    </x:row>
    <x:row r="192" ht="46" customHeight="1">
      <x:c r="A192" s="117" t="str">
        <x:v>Apex Class</x:v>
      </x:c>
      <x:c r="B192" s="117" t="str">
        <x:v>NoWorkingDays</x:v>
      </x:c>
      <x:c r="C192" s="119" t="str">
        <x:v>Internal / other</x:v>
      </x:c>
      <x:c r="D192" s="117" t="str"/>
      <x:c r="E192" s="119" t="str"/>
      <x:c r="F192" s="117" t="str">
        <x:v>No</x:v>
      </x:c>
      <x:c r="G192" s="118" t="n">
        <x:v>0</x:v>
      </x:c>
      <x:c r="H192" s="119" t="str"/>
      <x:c r="I192" s="119" t="str"/>
      <x:c r="J192" s="119" t="str"/>
    </x:row>
    <x:row r="193" ht="46" customHeight="1">
      <x:c r="A193" s="117" t="str">
        <x:v>Apex Class</x:v>
      </x:c>
      <x:c r="B193" s="117" t="str">
        <x:v>NoWorkingDays_TestClass</x:v>
      </x:c>
      <x:c r="C193" s="119" t="str">
        <x:v>Internal / other</x:v>
      </x:c>
      <x:c r="D193" s="117" t="str"/>
      <x:c r="E193" s="119" t="str"/>
      <x:c r="F193" s="117" t="str">
        <x:v>No</x:v>
      </x:c>
      <x:c r="G193" s="118" t="n">
        <x:v>0</x:v>
      </x:c>
      <x:c r="H193" s="119" t="str"/>
      <x:c r="I193" s="119" t="str"/>
      <x:c r="J193" s="119" t="str"/>
    </x:row>
    <x:row r="194" ht="46" customHeight="1">
      <x:c r="A194" s="117" t="str">
        <x:v>Apex Class</x:v>
      </x:c>
      <x:c r="B194" s="117" t="str">
        <x:v>OLIController</x:v>
      </x:c>
      <x:c r="C194" s="119" t="str">
        <x:v>Internal / other</x:v>
      </x:c>
      <x:c r="D194" s="117" t="str"/>
      <x:c r="E194" s="119" t="str"/>
      <x:c r="F194" s="117" t="str">
        <x:v>No</x:v>
      </x:c>
      <x:c r="G194" s="118" t="n">
        <x:v>0</x:v>
      </x:c>
      <x:c r="H194" s="119" t="str"/>
      <x:c r="I194" s="119" t="str"/>
      <x:c r="J194" s="119" t="str">
        <x:v>Opportunity, OpportunityLineItem</x:v>
      </x:c>
    </x:row>
    <x:row r="195" ht="46" customHeight="1">
      <x:c r="A195" s="117" t="str">
        <x:v>Apex Class</x:v>
      </x:c>
      <x:c r="B195" s="117" t="str">
        <x:v>OneTimeCalcExistingLastRepairDates</x:v>
      </x:c>
      <x:c r="C195" s="119" t="str">
        <x:v>Internal / other</x:v>
      </x:c>
      <x:c r="D195" s="117" t="str"/>
      <x:c r="E195" s="119" t="str"/>
      <x:c r="F195" s="117" t="str">
        <x:v>No</x:v>
      </x:c>
      <x:c r="G195" s="118" t="n">
        <x:v>0</x:v>
      </x:c>
      <x:c r="H195" s="119" t="str"/>
      <x:c r="I195" s="119" t="str"/>
      <x:c r="J195" s="119" t="str">
        <x:v>ProductItem__c, Product_Repair__c</x:v>
      </x:c>
    </x:row>
    <x:row r="196" ht="46" customHeight="1">
      <x:c r="A196" s="117" t="str">
        <x:v>Apex Class</x:v>
      </x:c>
      <x:c r="B196" s="117" t="str">
        <x:v>OneTimeCalcExistingLastRepairDateTest</x:v>
      </x:c>
      <x:c r="C196" s="119" t="str">
        <x:v>Internal / other</x:v>
      </x:c>
      <x:c r="D196" s="117" t="str"/>
      <x:c r="E196" s="119" t="str"/>
      <x:c r="F196" s="117" t="str">
        <x:v>No</x:v>
      </x:c>
      <x:c r="G196" s="118" t="n">
        <x:v>0</x:v>
      </x:c>
      <x:c r="H196" s="119" t="str"/>
      <x:c r="I196" s="119" t="str"/>
      <x:c r="J196" s="119" t="str">
        <x:v>Product2, ProductItem__c, Product_Repair__c, RecordType</x:v>
      </x:c>
    </x:row>
    <x:row r="197" ht="46" customHeight="1">
      <x:c r="A197" s="117" t="str">
        <x:v>Apex Class</x:v>
      </x:c>
      <x:c r="B197" s="117" t="str">
        <x:v>OppCreateProcessTest</x:v>
      </x:c>
      <x:c r="C197" s="119" t="str">
        <x:v>Internal / other</x:v>
      </x:c>
      <x:c r="D197" s="117" t="str"/>
      <x:c r="E197" s="119" t="str"/>
      <x:c r="F197" s="117" t="str">
        <x:v>No</x:v>
      </x:c>
      <x:c r="G197" s="118" t="n">
        <x:v>0</x:v>
      </x:c>
      <x:c r="H197" s="119" t="str"/>
      <x:c r="I197" s="119" t="str"/>
      <x:c r="J197" s="119" t="str">
        <x:v>Account, Contact, Lead, Opportunity, User</x:v>
      </x:c>
    </x:row>
    <x:row r="198" ht="46" customHeight="1">
      <x:c r="A198" s="117" t="str">
        <x:v>Apex Class</x:v>
      </x:c>
      <x:c r="B198" s="117" t="str">
        <x:v>OpportunityLineItemServices</x:v>
      </x:c>
      <x:c r="C198" s="119" t="str">
        <x:v>Aura Enabled</x:v>
      </x:c>
      <x:c r="D198" s="117" t="str"/>
      <x:c r="E198" s="119" t="str"/>
      <x:c r="F198" s="117" t="str">
        <x:v>No</x:v>
      </x:c>
      <x:c r="G198" s="118" t="n">
        <x:v>0</x:v>
      </x:c>
      <x:c r="H198" s="119" t="str"/>
      <x:c r="I198" s="119" t="str"/>
      <x:c r="J198" s="119" t="str">
        <x:v>Opportunity, OpportunityLineItem, Pricebook2, PricebookEntry, Product2, ProductItem__c, RecordType</x:v>
      </x:c>
    </x:row>
    <x:row r="199" ht="46" customHeight="1">
      <x:c r="A199" s="117" t="str">
        <x:v>Apex Class</x:v>
      </x:c>
      <x:c r="B199" s="117" t="str">
        <x:v>OpportunityLineItemServicesTest</x:v>
      </x:c>
      <x:c r="C199" s="119" t="str">
        <x:v>Internal / other</x:v>
      </x:c>
      <x:c r="D199" s="117" t="str"/>
      <x:c r="E199" s="119" t="str"/>
      <x:c r="F199" s="117" t="str">
        <x:v>No</x:v>
      </x:c>
      <x:c r="G199" s="118" t="n">
        <x:v>0</x:v>
      </x:c>
      <x:c r="H199" s="119" t="str"/>
      <x:c r="I199" s="119" t="str"/>
      <x:c r="J199" s="119" t="str">
        <x:v>Account, Opportunity, OpportunityLineItem, Product2, ProductItem__c</x:v>
      </x:c>
    </x:row>
    <x:row r="200" ht="46" customHeight="1">
      <x:c r="A200" s="117" t="str">
        <x:v>Apex Class</x:v>
      </x:c>
      <x:c r="B200" s="117" t="str">
        <x:v>OpportunityShippingCheckList</x:v>
      </x:c>
      <x:c r="C200" s="119" t="str">
        <x:v>Internal / other</x:v>
      </x:c>
      <x:c r="D200" s="117" t="str"/>
      <x:c r="E200" s="119" t="str"/>
      <x:c r="F200" s="117" t="str">
        <x:v>No</x:v>
      </x:c>
      <x:c r="G200" s="118" t="n">
        <x:v>0</x:v>
      </x:c>
      <x:c r="H200" s="119" t="str"/>
      <x:c r="I200" s="119" t="str"/>
      <x:c r="J200" s="119" t="str">
        <x:v>Opportunity, OpportunityLineItem, ProductItem__c</x:v>
      </x:c>
    </x:row>
    <x:row r="201" ht="46" customHeight="1">
      <x:c r="A201" s="117" t="str">
        <x:v>Apex Class</x:v>
      </x:c>
      <x:c r="B201" s="117" t="str">
        <x:v>OpportunityShippingCheckListTest</x:v>
      </x:c>
      <x:c r="C201" s="119" t="str">
        <x:v>Internal / other</x:v>
      </x:c>
      <x:c r="D201" s="117" t="str"/>
      <x:c r="E201" s="119" t="str"/>
      <x:c r="F201" s="117" t="str">
        <x:v>No</x:v>
      </x:c>
      <x:c r="G201" s="118" t="n">
        <x:v>0</x:v>
      </x:c>
      <x:c r="H201" s="119" t="str"/>
      <x:c r="I201" s="119" t="str"/>
      <x:c r="J201" s="119" t="str">
        <x:v>Account, Opportunity, OpportunityLineItem, PricebookEntry</x:v>
      </x:c>
    </x:row>
    <x:row r="202" ht="46" customHeight="1">
      <x:c r="A202" s="117" t="str">
        <x:v>Apex Class</x:v>
      </x:c>
      <x:c r="B202" s="117" t="str">
        <x:v>OpportunityStageControler</x:v>
      </x:c>
      <x:c r="C202" s="119" t="str">
        <x:v>Internal / other</x:v>
      </x:c>
      <x:c r="D202" s="117" t="str"/>
      <x:c r="E202" s="119" t="str"/>
      <x:c r="F202" s="117" t="str">
        <x:v>No</x:v>
      </x:c>
      <x:c r="G202" s="118" t="n">
        <x:v>0</x:v>
      </x:c>
      <x:c r="H202" s="119" t="str"/>
      <x:c r="I202" s="119" t="str"/>
      <x:c r="J202" s="119" t="str">
        <x:v>Opportunity, OpportunityLineItem</x:v>
      </x:c>
    </x:row>
    <x:row r="203" ht="46" customHeight="1">
      <x:c r="A203" s="117" t="str">
        <x:v>Apex Class</x:v>
      </x:c>
      <x:c r="B203" s="117" t="str">
        <x:v>OpportunityStageControlerTestClass</x:v>
      </x:c>
      <x:c r="C203" s="119" t="str">
        <x:v>Internal / other</x:v>
      </x:c>
      <x:c r="D203" s="117" t="str"/>
      <x:c r="E203" s="119" t="str"/>
      <x:c r="F203" s="117" t="str">
        <x:v>No</x:v>
      </x:c>
      <x:c r="G203" s="118" t="n">
        <x:v>0</x:v>
      </x:c>
      <x:c r="H203" s="119" t="str"/>
      <x:c r="I203" s="119" t="str"/>
      <x:c r="J203" s="119" t="str">
        <x:v>Account, Opportunity, OpportunityLineItem, PricebookEntry, Product2, ProductItem__c</x:v>
      </x:c>
    </x:row>
    <x:row r="204" ht="46" customHeight="1">
      <x:c r="A204" s="117" t="str">
        <x:v>Apex Class</x:v>
      </x:c>
      <x:c r="B204" s="117" t="str">
        <x:v>P_AccountTriggerHandler</x:v>
      </x:c>
      <x:c r="C204" s="119" t="str">
        <x:v>Internal / other</x:v>
      </x:c>
      <x:c r="D204" s="117" t="str"/>
      <x:c r="E204" s="119" t="str"/>
      <x:c r="F204" s="117" t="str">
        <x:v>No</x:v>
      </x:c>
      <x:c r="G204" s="118" t="n">
        <x:v>0</x:v>
      </x:c>
      <x:c r="H204" s="119" t="str"/>
      <x:c r="I204" s="119" t="str"/>
      <x:c r="J204" s="119" t="str">
        <x:v>Account</x:v>
      </x:c>
    </x:row>
    <x:row r="205" ht="46" customHeight="1">
      <x:c r="A205" s="117" t="str">
        <x:v>Apex Class</x:v>
      </x:c>
      <x:c r="B205" s="117" t="str">
        <x:v>P_AccountTriggerHandlerTest</x:v>
      </x:c>
      <x:c r="C205" s="119" t="str">
        <x:v>Internal / other</x:v>
      </x:c>
      <x:c r="D205" s="117" t="str"/>
      <x:c r="E205" s="119" t="str"/>
      <x:c r="F205" s="117" t="str">
        <x:v>No</x:v>
      </x:c>
      <x:c r="G205" s="118" t="n">
        <x:v>0</x:v>
      </x:c>
      <x:c r="H205" s="119" t="str"/>
      <x:c r="I205" s="119" t="str"/>
      <x:c r="J205" s="119" t="str">
        <x:v>Account</x:v>
      </x:c>
    </x:row>
    <x:row r="206" ht="46" customHeight="1">
      <x:c r="A206" s="117" t="str">
        <x:v>Apex Class</x:v>
      </x:c>
      <x:c r="B206" s="117" t="str">
        <x:v>P_CaseTriggerHandler</x:v>
      </x:c>
      <x:c r="C206" s="119" t="str">
        <x:v>Internal / other</x:v>
      </x:c>
      <x:c r="D206" s="117" t="str"/>
      <x:c r="E206" s="119" t="str"/>
      <x:c r="F206" s="117" t="str">
        <x:v>No</x:v>
      </x:c>
      <x:c r="G206" s="118" t="n">
        <x:v>0</x:v>
      </x:c>
      <x:c r="H206" s="119" t="str"/>
      <x:c r="I206" s="119" t="str"/>
      <x:c r="J206" s="119" t="str">
        <x:v>Case, Contact, Product2</x:v>
      </x:c>
    </x:row>
    <x:row r="207" ht="46" customHeight="1">
      <x:c r="A207" s="117" t="str">
        <x:v>Apex Class</x:v>
      </x:c>
      <x:c r="B207" s="117" t="str">
        <x:v>P_CaseTriggerHandlerTest</x:v>
      </x:c>
      <x:c r="C207" s="119" t="str">
        <x:v>Internal / other</x:v>
      </x:c>
      <x:c r="D207" s="117" t="str"/>
      <x:c r="E207" s="119" t="str"/>
      <x:c r="F207" s="117" t="str">
        <x:v>No</x:v>
      </x:c>
      <x:c r="G207" s="118" t="n">
        <x:v>0</x:v>
      </x:c>
      <x:c r="H207" s="119" t="str"/>
      <x:c r="I207" s="119" t="str"/>
      <x:c r="J207" s="119" t="str">
        <x:v>Case, Contact, Product2, User</x:v>
      </x:c>
    </x:row>
    <x:row r="208" ht="46" customHeight="1">
      <x:c r="A208" s="117" t="str">
        <x:v>Apex Class</x:v>
      </x:c>
      <x:c r="B208" s="117" t="str">
        <x:v>P_ClassicNoteTriggerHandler</x:v>
      </x:c>
      <x:c r="C208" s="119" t="str">
        <x:v>Internal / other</x:v>
      </x:c>
      <x:c r="D208" s="117" t="str"/>
      <x:c r="E208" s="119" t="str"/>
      <x:c r="F208" s="117" t="str">
        <x:v>No</x:v>
      </x:c>
      <x:c r="G208" s="118" t="n">
        <x:v>0</x:v>
      </x:c>
      <x:c r="H208" s="119" t="str"/>
      <x:c r="I208" s="119" t="str"/>
      <x:c r="J208" s="119" t="str">
        <x:v>Opportunity</x:v>
      </x:c>
    </x:row>
    <x:row r="209" ht="46" customHeight="1">
      <x:c r="A209" s="117" t="str">
        <x:v>Apex Class</x:v>
      </x:c>
      <x:c r="B209" s="117" t="str">
        <x:v>P_ClassicNoteTriggerTest</x:v>
      </x:c>
      <x:c r="C209" s="119" t="str">
        <x:v>Internal / other</x:v>
      </x:c>
      <x:c r="D209" s="117" t="str"/>
      <x:c r="E209" s="119" t="str"/>
      <x:c r="F209" s="117" t="str">
        <x:v>No</x:v>
      </x:c>
      <x:c r="G209" s="118" t="n">
        <x:v>0</x:v>
      </x:c>
      <x:c r="H209" s="119" t="str"/>
      <x:c r="I209" s="119" t="str"/>
      <x:c r="J209" s="119" t="str">
        <x:v>Account, Opportunity</x:v>
      </x:c>
    </x:row>
    <x:row r="210" ht="46" customHeight="1">
      <x:c r="A210" s="117" t="str">
        <x:v>Apex Class</x:v>
      </x:c>
      <x:c r="B210" s="117" t="str">
        <x:v>P_CreditMemoActions</x:v>
      </x:c>
      <x:c r="C210" s="119" t="str">
        <x:v>Internal / other</x:v>
      </x:c>
      <x:c r="D210" s="117" t="str"/>
      <x:c r="E210" s="119" t="str"/>
      <x:c r="F210" s="117" t="str">
        <x:v>No</x:v>
      </x:c>
      <x:c r="G210" s="118" t="n">
        <x:v>0</x:v>
      </x:c>
      <x:c r="H210" s="119" t="str"/>
      <x:c r="I210" s="119" t="str"/>
      <x:c r="J210" s="119" t="str">
        <x:v>Credit_Memo__c</x:v>
      </x:c>
    </x:row>
    <x:row r="211" ht="46" customHeight="1">
      <x:c r="A211" s="117" t="str">
        <x:v>Apex Class</x:v>
      </x:c>
      <x:c r="B211" s="117" t="str">
        <x:v>P_InvoiceTriggerHandler</x:v>
      </x:c>
      <x:c r="C211" s="119" t="str">
        <x:v>Internal / other</x:v>
      </x:c>
      <x:c r="D211" s="117" t="str"/>
      <x:c r="E211" s="119" t="str"/>
      <x:c r="F211" s="117" t="str">
        <x:v>No</x:v>
      </x:c>
      <x:c r="G211" s="118" t="n">
        <x:v>0</x:v>
      </x:c>
      <x:c r="H211" s="119" t="str"/>
      <x:c r="I211" s="119" t="str"/>
      <x:c r="J211" s="119" t="str">
        <x:v>Account, Contact, Invoice__c, Opportunity</x:v>
      </x:c>
    </x:row>
    <x:row r="212" ht="46" customHeight="1">
      <x:c r="A212" s="117" t="str">
        <x:v>Apex Class</x:v>
      </x:c>
      <x:c r="B212" s="117" t="str">
        <x:v>P_InvoiceTriggerHandlerTest</x:v>
      </x:c>
      <x:c r="C212" s="119" t="str">
        <x:v>Internal / other</x:v>
      </x:c>
      <x:c r="D212" s="117" t="str"/>
      <x:c r="E212" s="119" t="str"/>
      <x:c r="F212" s="117" t="str">
        <x:v>No</x:v>
      </x:c>
      <x:c r="G212" s="118" t="n">
        <x:v>0</x:v>
      </x:c>
      <x:c r="H212" s="119" t="str"/>
      <x:c r="I212" s="119" t="str"/>
      <x:c r="J212" s="119" t="str">
        <x:v>Account, Contact, Invoice__c, Opportunity, PermissionSetAssignment</x:v>
      </x:c>
    </x:row>
    <x:row r="213" ht="46" customHeight="1">
      <x:c r="A213" s="117" t="str">
        <x:v>Apex Class</x:v>
      </x:c>
      <x:c r="B213" s="117" t="str">
        <x:v>P_ItemReceiptActions</x:v>
      </x:c>
      <x:c r="C213" s="119" t="str">
        <x:v>Internal / other</x:v>
      </x:c>
      <x:c r="D213" s="117" t="str"/>
      <x:c r="E213" s="119" t="str"/>
      <x:c r="F213" s="117" t="str">
        <x:v>No</x:v>
      </x:c>
      <x:c r="G213" s="118" t="n">
        <x:v>0</x:v>
      </x:c>
      <x:c r="H213" s="119" t="str"/>
      <x:c r="I213" s="119" t="str"/>
      <x:c r="J213" s="119" t="str">
        <x:v>Item_Receipt__c</x:v>
      </x:c>
    </x:row>
    <x:row r="214" ht="46" customHeight="1">
      <x:c r="A214" s="117" t="str">
        <x:v>Apex Class</x:v>
      </x:c>
      <x:c r="B214" s="117" t="str">
        <x:v>P_OppLineItemDeleteHandler</x:v>
      </x:c>
      <x:c r="C214" s="119" t="str">
        <x:v>Internal / other</x:v>
      </x:c>
      <x:c r="D214" s="117" t="str"/>
      <x:c r="E214" s="119" t="str"/>
      <x:c r="F214" s="117" t="str">
        <x:v>No</x:v>
      </x:c>
      <x:c r="G214" s="118" t="n">
        <x:v>0</x:v>
      </x:c>
      <x:c r="H214" s="119" t="str"/>
      <x:c r="I214" s="119" t="str"/>
      <x:c r="J214" s="119" t="str">
        <x:v>Invoice__c, Opportunity, OpportunityLineItem, ProductItem__c</x:v>
      </x:c>
    </x:row>
    <x:row r="215" ht="46" customHeight="1">
      <x:c r="A215" s="117" t="str">
        <x:v>Apex Class</x:v>
      </x:c>
      <x:c r="B215" s="117" t="str">
        <x:v>P_OppLineItemTriggerHandler</x:v>
      </x:c>
      <x:c r="C215" s="119" t="str">
        <x:v>Internal / other</x:v>
      </x:c>
      <x:c r="D215" s="117" t="str"/>
      <x:c r="E215" s="119" t="str"/>
      <x:c r="F215" s="117" t="str">
        <x:v>No</x:v>
      </x:c>
      <x:c r="G215" s="118" t="n">
        <x:v>0</x:v>
      </x:c>
      <x:c r="H215" s="119" t="str"/>
      <x:c r="I215" s="119" t="str"/>
      <x:c r="J215" s="119" t="str">
        <x:v>Asset, Opportunity, OpportunityLineItem, ProductItem__c, RMA__c, RecordType, User</x:v>
      </x:c>
    </x:row>
    <x:row r="216" ht="46" customHeight="1">
      <x:c r="A216" s="117" t="str">
        <x:v>Apex Class</x:v>
      </x:c>
      <x:c r="B216" s="117" t="str">
        <x:v>P_OpportunityTriggerHandler</x:v>
      </x:c>
      <x:c r="C216" s="119" t="str">
        <x:v>Internal / other</x:v>
      </x:c>
      <x:c r="D216" s="117" t="str"/>
      <x:c r="E216" s="119" t="str"/>
      <x:c r="F216" s="117" t="str">
        <x:v>No</x:v>
      </x:c>
      <x:c r="G216" s="118" t="n">
        <x:v>0</x:v>
      </x:c>
      <x:c r="H216" s="119" t="str"/>
      <x:c r="I216" s="119" t="str"/>
      <x:c r="J216" s="119" t="str">
        <x:v>Account, Address, Asset, Lead, Location, Move_Location__c, Opportunity, OpportunityContactRole, OpportunityLineItem, ProductItem__c, RMA__c, RecordType, Sourcing_Request_Item__c, Tech_Ship_Location_Junction__c, User</x:v>
      </x:c>
    </x:row>
    <x:row r="217" ht="46" customHeight="1">
      <x:c r="A217" s="117" t="str">
        <x:v>Apex Class</x:v>
      </x:c>
      <x:c r="B217" s="117" t="str">
        <x:v>P_OpportunityTriggerHandler2</x:v>
      </x:c>
      <x:c r="C217" s="119" t="str">
        <x:v>Internal / other</x:v>
      </x:c>
      <x:c r="D217" s="117" t="str"/>
      <x:c r="E217" s="119" t="str"/>
      <x:c r="F217" s="117" t="str">
        <x:v>No</x:v>
      </x:c>
      <x:c r="G217" s="118" t="n">
        <x:v>0</x:v>
      </x:c>
      <x:c r="H217" s="119" t="str"/>
      <x:c r="I217" s="119" t="str"/>
      <x:c r="J217" s="119" t="str">
        <x:v>Contact, Lead, Opportunity</x:v>
      </x:c>
    </x:row>
    <x:row r="218" ht="46" customHeight="1">
      <x:c r="A218" s="117" t="str">
        <x:v>Apex Class</x:v>
      </x:c>
      <x:c r="B218" s="117" t="str">
        <x:v>P_OpportunityTriggerHandlerTest</x:v>
      </x:c>
      <x:c r="C218" s="119" t="str">
        <x:v>Internal / other</x:v>
      </x:c>
      <x:c r="D218" s="117" t="str"/>
      <x:c r="E218" s="119" t="str"/>
      <x:c r="F218" s="117" t="str">
        <x:v>No</x:v>
      </x:c>
      <x:c r="G218" s="118" t="n">
        <x:v>0</x:v>
      </x:c>
      <x:c r="H218" s="119" t="str"/>
      <x:c r="I218" s="119" t="str"/>
      <x:c r="J218" s="119" t="str">
        <x:v>Account, Address, Contact, Location, Opportunity, OpportunityLineItem, PricebookEntry, Product2, ProductItem__c, Quote, RMA__c, Tech_Ship_Location_Junction__c, User</x:v>
      </x:c>
    </x:row>
    <x:row r="219" ht="46" customHeight="1">
      <x:c r="A219" s="117" t="str">
        <x:v>Apex Class</x:v>
      </x:c>
      <x:c r="B219" s="117" t="str">
        <x:v>P_ProductAnalyticsTriggerTest</x:v>
      </x:c>
      <x:c r="C219" s="119" t="str">
        <x:v>Internal / other</x:v>
      </x:c>
      <x:c r="D219" s="117" t="str"/>
      <x:c r="E219" s="119" t="str"/>
      <x:c r="F219" s="117" t="str">
        <x:v>No</x:v>
      </x:c>
      <x:c r="G219" s="118" t="n">
        <x:v>0</x:v>
      </x:c>
      <x:c r="H219" s="119" t="str"/>
      <x:c r="I219" s="119" t="str"/>
      <x:c r="J219" s="119" t="str">
        <x:v>Product2, ProductItem__c, Product_Analytics__c</x:v>
      </x:c>
    </x:row>
    <x:row r="220" ht="46" customHeight="1">
      <x:c r="A220" s="117" t="str">
        <x:v>Apex Class</x:v>
      </x:c>
      <x:c r="B220" s="117" t="str">
        <x:v>P_ProductItemDeleteHandler</x:v>
      </x:c>
      <x:c r="C220" s="119" t="str">
        <x:v>Internal / other</x:v>
      </x:c>
      <x:c r="D220" s="117" t="str"/>
      <x:c r="E220" s="119" t="str"/>
      <x:c r="F220" s="117" t="str">
        <x:v>No</x:v>
      </x:c>
      <x:c r="G220" s="118" t="n">
        <x:v>0</x:v>
      </x:c>
      <x:c r="H220" s="119" t="str"/>
      <x:c r="I220" s="119" t="str"/>
      <x:c r="J220" s="119" t="str">
        <x:v>ProductItem__c</x:v>
      </x:c>
    </x:row>
    <x:row r="221" ht="46" customHeight="1">
      <x:c r="A221" s="117" t="str">
        <x:v>Apex Class</x:v>
      </x:c>
      <x:c r="B221" s="117" t="str">
        <x:v>P_ProductItemTriggerHandler</x:v>
      </x:c>
      <x:c r="C221" s="119" t="str">
        <x:v>Internal / other</x:v>
      </x:c>
      <x:c r="D221" s="117" t="str"/>
      <x:c r="E221" s="119" t="str"/>
      <x:c r="F221" s="117" t="str">
        <x:v>No</x:v>
      </x:c>
      <x:c r="G221" s="118" t="n">
        <x:v>0</x:v>
      </x:c>
      <x:c r="H221" s="119" t="str"/>
      <x:c r="I221" s="119" t="str"/>
      <x:c r="J221" s="119" t="str">
        <x:v>Opportunity, OpportunityLineItem, Product2, ProductItem__c, Product_Analytics__c, RecordType, User</x:v>
      </x:c>
    </x:row>
    <x:row r="222" ht="46" customHeight="1">
      <x:c r="A222" s="117" t="str">
        <x:v>Apex Class</x:v>
      </x:c>
      <x:c r="B222" s="117" t="str">
        <x:v>P_ProductItemTriggerHandlerTest</x:v>
      </x:c>
      <x:c r="C222" s="119" t="str">
        <x:v>Internal / other</x:v>
      </x:c>
      <x:c r="D222" s="117" t="str"/>
      <x:c r="E222" s="119" t="str"/>
      <x:c r="F222" s="117" t="str">
        <x:v>No</x:v>
      </x:c>
      <x:c r="G222" s="118" t="n">
        <x:v>0</x:v>
      </x:c>
      <x:c r="H222" s="119" t="str"/>
      <x:c r="I222" s="119" t="str"/>
      <x:c r="J222" s="119" t="str">
        <x:v>Account, Opportunity, OpportunityLineItem, PricebookEntry, Product2, ProductItem__c, ProductTest__c, Product_Repair__c, RecordType</x:v>
      </x:c>
    </x:row>
    <x:row r="223" ht="46" customHeight="1">
      <x:c r="A223" s="117" t="str">
        <x:v>Apex Class</x:v>
      </x:c>
      <x:c r="B223" s="117" t="str">
        <x:v>P_ProductRepairTrigger2Handler</x:v>
      </x:c>
      <x:c r="C223" s="119" t="str">
        <x:v>Internal / other</x:v>
      </x:c>
      <x:c r="D223" s="117" t="str"/>
      <x:c r="E223" s="119" t="str"/>
      <x:c r="F223" s="117" t="str">
        <x:v>No</x:v>
      </x:c>
      <x:c r="G223" s="118" t="n">
        <x:v>0</x:v>
      </x:c>
      <x:c r="H223" s="119" t="str"/>
      <x:c r="I223" s="119" t="str"/>
      <x:c r="J223" s="119" t="str">
        <x:v>Product_Repair__c</x:v>
      </x:c>
    </x:row>
    <x:row r="224" ht="46" customHeight="1">
      <x:c r="A224" s="117" t="str">
        <x:v>Apex Class</x:v>
      </x:c>
      <x:c r="B224" s="117" t="str">
        <x:v>P_ProductRepairTrigger2HandlerTest</x:v>
      </x:c>
      <x:c r="C224" s="119" t="str">
        <x:v>Internal / other</x:v>
      </x:c>
      <x:c r="D224" s="117" t="str"/>
      <x:c r="E224" s="119" t="str"/>
      <x:c r="F224" s="117" t="str">
        <x:v>No</x:v>
      </x:c>
      <x:c r="G224" s="118" t="n">
        <x:v>0</x:v>
      </x:c>
      <x:c r="H224" s="119" t="str"/>
      <x:c r="I224" s="119" t="str"/>
      <x:c r="J224" s="119" t="str">
        <x:v>Product2, ProductItem__c, Product_Repair__c, User</x:v>
      </x:c>
    </x:row>
    <x:row r="225" ht="46" customHeight="1">
      <x:c r="A225" s="117" t="str">
        <x:v>Apex Class</x:v>
      </x:c>
      <x:c r="B225" s="117" t="str">
        <x:v>P_ProductRepairTriggerHandler</x:v>
      </x:c>
      <x:c r="C225" s="119" t="str">
        <x:v>Internal / other</x:v>
      </x:c>
      <x:c r="D225" s="117" t="str"/>
      <x:c r="E225" s="119" t="str"/>
      <x:c r="F225" s="117" t="str">
        <x:v>No</x:v>
      </x:c>
      <x:c r="G225" s="118" t="n">
        <x:v>0</x:v>
      </x:c>
      <x:c r="H225" s="119" t="str"/>
      <x:c r="I225" s="119" t="str"/>
      <x:c r="J225" s="119" t="str">
        <x:v>Lead, Move_Location__c, OpportunityLineItem, Order, Product2, ProductItem__c, ProductTest__c, Product_Repair__c, RMA__c, RecordType, User, WorkOrder</x:v>
      </x:c>
    </x:row>
    <x:row r="226" ht="46" customHeight="1">
      <x:c r="A226" s="117" t="str">
        <x:v>Apex Class</x:v>
      </x:c>
      <x:c r="B226" s="117" t="str">
        <x:v>P_ProductRepairTriggerHandlerTest</x:v>
      </x:c>
      <x:c r="C226" s="119" t="str">
        <x:v>Internal / other</x:v>
      </x:c>
      <x:c r="D226" s="117" t="str"/>
      <x:c r="E226" s="119" t="str"/>
      <x:c r="F226" s="117" t="str">
        <x:v>No</x:v>
      </x:c>
      <x:c r="G226" s="118" t="n">
        <x:v>0</x:v>
      </x:c>
      <x:c r="H226" s="119" t="str"/>
      <x:c r="I226" s="119" t="str"/>
      <x:c r="J226" s="119" t="str">
        <x:v>Product2, ProductItem__c, ProductTest__c, Product_Repair__c, RMA__c, RecordType, User</x:v>
      </x:c>
    </x:row>
    <x:row r="227" ht="46" customHeight="1">
      <x:c r="A227" s="117" t="str">
        <x:v>Apex Class</x:v>
      </x:c>
      <x:c r="B227" s="117" t="str">
        <x:v>P_ProductTestTriggerHandler</x:v>
      </x:c>
      <x:c r="C227" s="119" t="str">
        <x:v>Internal / other</x:v>
      </x:c>
      <x:c r="D227" s="117" t="str"/>
      <x:c r="E227" s="119" t="str"/>
      <x:c r="F227" s="117" t="str">
        <x:v>No</x:v>
      </x:c>
      <x:c r="G227" s="118" t="n">
        <x:v>0</x:v>
      </x:c>
      <x:c r="H227" s="119" t="str"/>
      <x:c r="I227" s="119" t="str"/>
      <x:c r="J227" s="119" t="str">
        <x:v>Order, Product2, ProductItem__c, ProductTest__c, Product_Repair__c, RMA__c, RecordType</x:v>
      </x:c>
    </x:row>
    <x:row r="228" ht="46" customHeight="1">
      <x:c r="A228" s="117" t="str">
        <x:v>Apex Class</x:v>
      </x:c>
      <x:c r="B228" s="117" t="str">
        <x:v>P_PurchasingReturnTriggerHandler</x:v>
      </x:c>
      <x:c r="C228" s="119" t="str">
        <x:v>Internal / other</x:v>
      </x:c>
      <x:c r="D228" s="117" t="str"/>
      <x:c r="E228" s="119" t="str"/>
      <x:c r="F228" s="117" t="str">
        <x:v>No</x:v>
      </x:c>
      <x:c r="G228" s="118" t="n">
        <x:v>0</x:v>
      </x:c>
      <x:c r="H228" s="119" t="str"/>
      <x:c r="I228" s="119" t="str"/>
      <x:c r="J228" s="119" t="str">
        <x:v>Purchasing_Return__c</x:v>
      </x:c>
    </x:row>
    <x:row r="229" ht="46" customHeight="1">
      <x:c r="A229" s="117" t="str">
        <x:v>Apex Class</x:v>
      </x:c>
      <x:c r="B229" s="117" t="str">
        <x:v>P_PurchasingReturnTriggerHandlerTest</x:v>
      </x:c>
      <x:c r="C229" s="119" t="str">
        <x:v>Internal / other</x:v>
      </x:c>
      <x:c r="D229" s="117" t="str"/>
      <x:c r="E229" s="119" t="str"/>
      <x:c r="F229" s="117" t="str">
        <x:v>No</x:v>
      </x:c>
      <x:c r="G229" s="118" t="n">
        <x:v>0</x:v>
      </x:c>
      <x:c r="H229" s="119" t="str"/>
      <x:c r="I229" s="119" t="str"/>
      <x:c r="J229" s="119" t="str">
        <x:v>Account, Opportunity, PermissionSetAssignment, Purchasing_Return__c, RecordType</x:v>
      </x:c>
    </x:row>
    <x:row r="230" ht="46" customHeight="1">
      <x:c r="A230" s="117" t="str">
        <x:v>Apex Class</x:v>
      </x:c>
      <x:c r="B230" s="117" t="str">
        <x:v>P_RMADeleteHandler</x:v>
      </x:c>
      <x:c r="C230" s="119" t="str">
        <x:v>Internal / other</x:v>
      </x:c>
      <x:c r="D230" s="117" t="str"/>
      <x:c r="E230" s="119" t="str"/>
      <x:c r="F230" s="117" t="str">
        <x:v>No</x:v>
      </x:c>
      <x:c r="G230" s="118" t="n">
        <x:v>0</x:v>
      </x:c>
      <x:c r="H230" s="119" t="str"/>
      <x:c r="I230" s="119" t="str"/>
      <x:c r="J230" s="119" t="str">
        <x:v>RMA__c</x:v>
      </x:c>
    </x:row>
    <x:row r="231" ht="46" customHeight="1">
      <x:c r="A231" s="117" t="str">
        <x:v>Apex Class</x:v>
      </x:c>
      <x:c r="B231" s="117" t="str">
        <x:v>P_RMATriggerHandler</x:v>
      </x:c>
      <x:c r="C231" s="119" t="str">
        <x:v>Internal / other</x:v>
      </x:c>
      <x:c r="D231" s="117" t="str"/>
      <x:c r="E231" s="119" t="str"/>
      <x:c r="F231" s="117" t="str">
        <x:v>No</x:v>
      </x:c>
      <x:c r="G231" s="118" t="n">
        <x:v>0</x:v>
      </x:c>
      <x:c r="H231" s="119" t="str"/>
      <x:c r="I231" s="119" t="str"/>
      <x:c r="J231" s="119" t="str">
        <x:v>Account, Asset, Contact, Credit_Memo_Line_Item__c, Credit_Memo__c, Invoice__c, Loaner__c, Opportunity, OpportunityContactRole, OpportunityLineItem, Order, PricebookEntry, ProductItem__c, Product_Repair__c, RMA__c, RecordType, ServiceContract, User</x:v>
      </x:c>
    </x:row>
    <x:row r="232" ht="46" customHeight="1">
      <x:c r="A232" s="117" t="str">
        <x:v>Apex Class</x:v>
      </x:c>
      <x:c r="B232" s="117" t="str">
        <x:v>P_RMATriggerHandlerTest</x:v>
      </x:c>
      <x:c r="C232" s="119" t="str">
        <x:v>Internal / other</x:v>
      </x:c>
      <x:c r="D232" s="117" t="str"/>
      <x:c r="E232" s="119" t="str"/>
      <x:c r="F232" s="117" t="str">
        <x:v>No</x:v>
      </x:c>
      <x:c r="G232" s="118" t="n">
        <x:v>0</x:v>
      </x:c>
      <x:c r="H232" s="119" t="str"/>
      <x:c r="I232" s="119" t="str"/>
      <x:c r="J232" s="119" t="str">
        <x:v>Account, Opportunity, OpportunityLineItem, Order, Product2, ProductItem__c, Product_Repair__c, RMA__c, User</x:v>
      </x:c>
    </x:row>
    <x:row r="233" ht="46" customHeight="1">
      <x:c r="A233" s="117" t="str">
        <x:v>Apex Class</x:v>
      </x:c>
      <x:c r="B233" s="117" t="str">
        <x:v>P_RMATriggerHandlerTest2</x:v>
      </x:c>
      <x:c r="C233" s="119" t="str">
        <x:v>Internal / other</x:v>
      </x:c>
      <x:c r="D233" s="117" t="str"/>
      <x:c r="E233" s="119" t="str"/>
      <x:c r="F233" s="117" t="str">
        <x:v>No</x:v>
      </x:c>
      <x:c r="G233" s="118" t="n">
        <x:v>0</x:v>
      </x:c>
      <x:c r="H233" s="119" t="str"/>
      <x:c r="I233" s="119" t="str"/>
      <x:c r="J233" s="119" t="str">
        <x:v>Account, Contact, Opportunity, Order, Product2, ProductItem__c, RMA__c, User</x:v>
      </x:c>
    </x:row>
    <x:row r="234" ht="46" customHeight="1">
      <x:c r="A234" s="117" t="str">
        <x:v>Apex Class</x:v>
      </x:c>
      <x:c r="B234" s="117" t="str">
        <x:v>P_ServiceContractTriggerHandler</x:v>
      </x:c>
      <x:c r="C234" s="119" t="str">
        <x:v>Internal / other</x:v>
      </x:c>
      <x:c r="D234" s="117" t="str"/>
      <x:c r="E234" s="119" t="str"/>
      <x:c r="F234" s="117" t="str">
        <x:v>No</x:v>
      </x:c>
      <x:c r="G234" s="118" t="n">
        <x:v>0</x:v>
      </x:c>
      <x:c r="H234" s="119" t="str"/>
      <x:c r="I234" s="119" t="str"/>
      <x:c r="J234" s="119" t="str">
        <x:v>Account, Contact, Opportunity, ServiceContract</x:v>
      </x:c>
    </x:row>
    <x:row r="235" ht="46" customHeight="1">
      <x:c r="A235" s="117" t="str">
        <x:v>Apex Class</x:v>
      </x:c>
      <x:c r="B235" s="117" t="str">
        <x:v>P_ServiceContractTriggerHandlerTest</x:v>
      </x:c>
      <x:c r="C235" s="119" t="str">
        <x:v>Internal / other</x:v>
      </x:c>
      <x:c r="D235" s="117" t="str"/>
      <x:c r="E235" s="119" t="str"/>
      <x:c r="F235" s="117" t="str">
        <x:v>No</x:v>
      </x:c>
      <x:c r="G235" s="118" t="n">
        <x:v>0</x:v>
      </x:c>
      <x:c r="H235" s="119" t="str"/>
      <x:c r="I235" s="119" t="str"/>
      <x:c r="J235" s="119" t="str">
        <x:v>Account, Opportunity, ServiceContract</x:v>
      </x:c>
    </x:row>
    <x:row r="236" ht="46" customHeight="1">
      <x:c r="A236" s="117" t="str">
        <x:v>Apex Class</x:v>
      </x:c>
      <x:c r="B236" s="117" t="str">
        <x:v>P_ServiceWorkOrderTriggerHandler</x:v>
      </x:c>
      <x:c r="C236" s="119" t="str">
        <x:v>Internal / other</x:v>
      </x:c>
      <x:c r="D236" s="117" t="str"/>
      <x:c r="E236" s="119" t="str"/>
      <x:c r="F236" s="117" t="str">
        <x:v>No</x:v>
      </x:c>
      <x:c r="G236" s="118" t="n">
        <x:v>0</x:v>
      </x:c>
      <x:c r="H236" s="119" t="str"/>
      <x:c r="I236" s="119" t="str"/>
      <x:c r="J236" s="119" t="str">
        <x:v>Account, ContractLineItem, Move_Location__c, Opportunity, ProductItem__c, RMA__c, RecordType, ServiceContract, User, WorkOrder, WorkOrderLineItem</x:v>
      </x:c>
    </x:row>
    <x:row r="237" ht="46" customHeight="1">
      <x:c r="A237" s="117" t="str">
        <x:v>Apex Class</x:v>
      </x:c>
      <x:c r="B237" s="117" t="str">
        <x:v>P_ServiceWorkOrderTriggerTest</x:v>
      </x:c>
      <x:c r="C237" s="119" t="str">
        <x:v>Internal / other</x:v>
      </x:c>
      <x:c r="D237" s="117" t="str"/>
      <x:c r="E237" s="119" t="str"/>
      <x:c r="F237" s="117" t="str">
        <x:v>No</x:v>
      </x:c>
      <x:c r="G237" s="118" t="n">
        <x:v>0</x:v>
      </x:c>
      <x:c r="H237" s="119" t="str"/>
      <x:c r="I237" s="119" t="str"/>
      <x:c r="J237" s="119" t="str">
        <x:v>Account, Product2, ProductItem__c, ServiceContract, WorkOrder, WorkOrderLineItem</x:v>
      </x:c>
    </x:row>
    <x:row r="238" ht="46" customHeight="1">
      <x:c r="A238" s="117" t="str">
        <x:v>Apex Class</x:v>
      </x:c>
      <x:c r="B238" s="117" t="str">
        <x:v>P_SystemWorkOrderTriggerHandler</x:v>
      </x:c>
      <x:c r="C238" s="119" t="str">
        <x:v>Internal / other</x:v>
      </x:c>
      <x:c r="D238" s="117" t="str"/>
      <x:c r="E238" s="119" t="str"/>
      <x:c r="F238" s="117" t="str">
        <x:v>No</x:v>
      </x:c>
      <x:c r="G238" s="118" t="n">
        <x:v>0</x:v>
      </x:c>
      <x:c r="H238" s="119" t="str"/>
      <x:c r="I238" s="119" t="str"/>
      <x:c r="J238" s="119" t="str">
        <x:v>Asset, Harvest_Work_Order__c, Order, ProductItem__c, System_Work_Order__c</x:v>
      </x:c>
    </x:row>
    <x:row r="239" ht="46" customHeight="1">
      <x:c r="A239" s="117" t="str">
        <x:v>Apex Class</x:v>
      </x:c>
      <x:c r="B239" s="117" t="str">
        <x:v>P_SystemWorkOrderTriggerHandlerTest</x:v>
      </x:c>
      <x:c r="C239" s="119" t="str">
        <x:v>Internal / other</x:v>
      </x:c>
      <x:c r="D239" s="117" t="str"/>
      <x:c r="E239" s="119" t="str"/>
      <x:c r="F239" s="117" t="str">
        <x:v>No</x:v>
      </x:c>
      <x:c r="G239" s="118" t="n">
        <x:v>0</x:v>
      </x:c>
      <x:c r="H239" s="119" t="str"/>
      <x:c r="I239" s="119" t="str"/>
      <x:c r="J239" s="119" t="str">
        <x:v>Harvest_Work_Order__c, Order, Product2, ProductItem__c, System_Work_Order__c</x:v>
      </x:c>
    </x:row>
    <x:row r="240" ht="46" customHeight="1">
      <x:c r="A240" s="117" t="str">
        <x:v>Apex Class</x:v>
      </x:c>
      <x:c r="B240" s="117" t="str">
        <x:v>P_TestDeleteHandler</x:v>
      </x:c>
      <x:c r="C240" s="119" t="str">
        <x:v>Internal / other</x:v>
      </x:c>
      <x:c r="D240" s="117" t="str"/>
      <x:c r="E240" s="119" t="str"/>
      <x:c r="F240" s="117" t="str">
        <x:v>No</x:v>
      </x:c>
      <x:c r="G240" s="118" t="n">
        <x:v>0</x:v>
      </x:c>
      <x:c r="H240" s="119" t="str"/>
      <x:c r="I240" s="119" t="str"/>
      <x:c r="J240" s="119" t="str">
        <x:v>ProductTest__c</x:v>
      </x:c>
    </x:row>
    <x:row r="241" ht="46" customHeight="1">
      <x:c r="A241" s="117" t="str">
        <x:v>Apex Class</x:v>
      </x:c>
      <x:c r="B241" s="117" t="str">
        <x:v>PandaDocService</x:v>
      </x:c>
      <x:c r="C241" s="119" t="str">
        <x:v>Internal / other</x:v>
      </x:c>
      <x:c r="D241" s="117" t="str"/>
      <x:c r="E241" s="119" t="str"/>
      <x:c r="F241" s="117" t="str">
        <x:v>No</x:v>
      </x:c>
      <x:c r="G241" s="118" t="n">
        <x:v>0</x:v>
      </x:c>
      <x:c r="H241" s="119" t="str"/>
      <x:c r="I241" s="119" t="str"/>
      <x:c r="J241" s="119" t="str">
        <x:v>Opportunity</x:v>
      </x:c>
    </x:row>
    <x:row r="242" ht="46" customHeight="1">
      <x:c r="A242" s="117" t="str">
        <x:v>Apex Class</x:v>
      </x:c>
      <x:c r="B242" s="117" t="str">
        <x:v>PandaDocServiceTest</x:v>
      </x:c>
      <x:c r="C242" s="119" t="str">
        <x:v>Internal / other</x:v>
      </x:c>
      <x:c r="D242" s="117" t="str"/>
      <x:c r="E242" s="119" t="str"/>
      <x:c r="F242" s="117" t="str">
        <x:v>No</x:v>
      </x:c>
      <x:c r="G242" s="118" t="n">
        <x:v>0</x:v>
      </x:c>
      <x:c r="H242" s="119" t="str"/>
      <x:c r="I242" s="119" t="str"/>
      <x:c r="J242" s="119" t="str">
        <x:v>Account, Opportunity</x:v>
      </x:c>
    </x:row>
    <x:row r="243" ht="46" customHeight="1">
      <x:c r="A243" s="117" t="str">
        <x:v>Apex Class</x:v>
      </x:c>
      <x:c r="B243" s="117" t="str">
        <x:v>PartsBarcodeExtension</x:v>
      </x:c>
      <x:c r="C243" s="119" t="str">
        <x:v>Internal / other</x:v>
      </x:c>
      <x:c r="D243" s="117" t="str"/>
      <x:c r="E243" s="119" t="str"/>
      <x:c r="F243" s="117" t="str">
        <x:v>No</x:v>
      </x:c>
      <x:c r="G243" s="118" t="n">
        <x:v>0</x:v>
      </x:c>
      <x:c r="H243" s="119" t="str"/>
      <x:c r="I243" s="119" t="str"/>
      <x:c r="J243" s="119" t="str">
        <x:v>Harvest_Work_Order__c, ProductItem__c</x:v>
      </x:c>
    </x:row>
    <x:row r="244" ht="46" customHeight="1">
      <x:c r="A244" s="117" t="str">
        <x:v>Apex Class</x:v>
      </x:c>
      <x:c r="B244" s="117" t="str">
        <x:v>PartsBarcodeExtensionTest</x:v>
      </x:c>
      <x:c r="C244" s="119" t="str">
        <x:v>Internal / other</x:v>
      </x:c>
      <x:c r="D244" s="117" t="str"/>
      <x:c r="E244" s="119" t="str"/>
      <x:c r="F244" s="117" t="str">
        <x:v>No</x:v>
      </x:c>
      <x:c r="G244" s="118" t="n">
        <x:v>0</x:v>
      </x:c>
      <x:c r="H244" s="119" t="str"/>
      <x:c r="I244" s="119" t="str"/>
      <x:c r="J244" s="119" t="str">
        <x:v>Harvest_Work_Order__c, Order, Product2, ProductItem__c, System_Work_Order__c</x:v>
      </x:c>
    </x:row>
    <x:row r="245" ht="46" customHeight="1">
      <x:c r="A245" s="117" t="str">
        <x:v>Apex Class</x:v>
      </x:c>
      <x:c r="B245" s="117" t="str">
        <x:v>PartsBarcodeExtensionTestUK</x:v>
      </x:c>
      <x:c r="C245" s="119" t="str">
        <x:v>Internal / other</x:v>
      </x:c>
      <x:c r="D245" s="117" t="str"/>
      <x:c r="E245" s="119" t="str"/>
      <x:c r="F245" s="117" t="str">
        <x:v>No</x:v>
      </x:c>
      <x:c r="G245" s="118" t="n">
        <x:v>0</x:v>
      </x:c>
      <x:c r="H245" s="119" t="str"/>
      <x:c r="I245" s="119" t="str"/>
      <x:c r="J245" s="119" t="str">
        <x:v>Harvest_Work_Order__c, Order, Product2, ProductItem__c, System_Work_Order__c</x:v>
      </x:c>
    </x:row>
    <x:row r="246" ht="46" customHeight="1">
      <x:c r="A246" s="117" t="str">
        <x:v>Apex Class</x:v>
      </x:c>
      <x:c r="B246" s="117" t="str">
        <x:v>PartsBarcodeExtensionUK</x:v>
      </x:c>
      <x:c r="C246" s="119" t="str">
        <x:v>Internal / other</x:v>
      </x:c>
      <x:c r="D246" s="117" t="str"/>
      <x:c r="E246" s="119" t="str"/>
      <x:c r="F246" s="117" t="str">
        <x:v>No</x:v>
      </x:c>
      <x:c r="G246" s="118" t="n">
        <x:v>0</x:v>
      </x:c>
      <x:c r="H246" s="119" t="str"/>
      <x:c r="I246" s="119" t="str"/>
      <x:c r="J246" s="119" t="str">
        <x:v>Harvest_Work_Order__c, ProductItem__c</x:v>
      </x:c>
    </x:row>
    <x:row r="247" ht="46" customHeight="1">
      <x:c r="A247" s="117" t="str">
        <x:v>Apex Class</x:v>
      </x:c>
      <x:c r="B247" s="117" t="str">
        <x:v>PB_Asset_Tests</x:v>
      </x:c>
      <x:c r="C247" s="119" t="str">
        <x:v>Internal / other</x:v>
      </x:c>
      <x:c r="D247" s="117" t="str"/>
      <x:c r="E247" s="119" t="str"/>
      <x:c r="F247" s="117" t="str">
        <x:v>No</x:v>
      </x:c>
      <x:c r="G247" s="118" t="n">
        <x:v>0</x:v>
      </x:c>
      <x:c r="H247" s="119" t="str"/>
      <x:c r="I247" s="119" t="str"/>
      <x:c r="J247" s="119" t="str">
        <x:v>Account, Opportunity, Product2, ProductItem__c, User</x:v>
      </x:c>
    </x:row>
    <x:row r="248" ht="46" customHeight="1">
      <x:c r="A248" s="117" t="str">
        <x:v>Apex Class</x:v>
      </x:c>
      <x:c r="B248" s="117" t="str">
        <x:v>PB_OpportunityItemTests</x:v>
      </x:c>
      <x:c r="C248" s="119" t="str">
        <x:v>Internal / other</x:v>
      </x:c>
      <x:c r="D248" s="117" t="str"/>
      <x:c r="E248" s="119" t="str"/>
      <x:c r="F248" s="117" t="str">
        <x:v>No</x:v>
      </x:c>
      <x:c r="G248" s="118" t="n">
        <x:v>0</x:v>
      </x:c>
      <x:c r="H248" s="119" t="str"/>
      <x:c r="I248" s="119" t="str"/>
      <x:c r="J248" s="119" t="str">
        <x:v>Account, Opportunity, OpportunityLineItem, PricebookEntry, Product2, ProductItem__c, User</x:v>
      </x:c>
    </x:row>
    <x:row r="249" ht="46" customHeight="1">
      <x:c r="A249" s="117" t="str">
        <x:v>Apex Class</x:v>
      </x:c>
      <x:c r="B249" s="117" t="str">
        <x:v>PB_OpportunityTests</x:v>
      </x:c>
      <x:c r="C249" s="119" t="str">
        <x:v>Internal / other</x:v>
      </x:c>
      <x:c r="D249" s="117" t="str"/>
      <x:c r="E249" s="119" t="str"/>
      <x:c r="F249" s="117" t="str">
        <x:v>No</x:v>
      </x:c>
      <x:c r="G249" s="118" t="n">
        <x:v>0</x:v>
      </x:c>
      <x:c r="H249" s="119" t="str"/>
      <x:c r="I249" s="119" t="str"/>
      <x:c r="J249" s="119" t="str">
        <x:v>Account, Opportunity, OpportunityLineItem, PricebookEntry, Product2, ProductItem__c, RMA__c, Sourcing_Request_Item__c</x:v>
      </x:c>
    </x:row>
    <x:row r="250" ht="46" customHeight="1">
      <x:c r="A250" s="117" t="str">
        <x:v>Apex Class</x:v>
      </x:c>
      <x:c r="B250" s="117" t="str">
        <x:v>POBillActions</x:v>
      </x:c>
      <x:c r="C250" s="119" t="str">
        <x:v>Internal / other</x:v>
      </x:c>
      <x:c r="D250" s="117" t="str"/>
      <x:c r="E250" s="119" t="str"/>
      <x:c r="F250" s="117" t="str">
        <x:v>No</x:v>
      </x:c>
      <x:c r="G250" s="118" t="n">
        <x:v>0</x:v>
      </x:c>
      <x:c r="H250" s="119" t="str"/>
      <x:c r="I250" s="119" t="str"/>
      <x:c r="J250" s="119" t="str">
        <x:v>PO_Bill__c</x:v>
      </x:c>
    </x:row>
    <x:row r="251" ht="46" customHeight="1">
      <x:c r="A251" s="117" t="str">
        <x:v>Apex Class</x:v>
      </x:c>
      <x:c r="B251" s="117" t="str">
        <x:v>POBillLineItemServices</x:v>
      </x:c>
      <x:c r="C251" s="119" t="str">
        <x:v>Aura Enabled</x:v>
      </x:c>
      <x:c r="D251" s="117" t="str"/>
      <x:c r="E251" s="119" t="str"/>
      <x:c r="F251" s="117" t="str">
        <x:v>No</x:v>
      </x:c>
      <x:c r="G251" s="118" t="n">
        <x:v>0</x:v>
      </x:c>
      <x:c r="H251" s="119" t="str"/>
      <x:c r="I251" s="119" t="str"/>
      <x:c r="J251" s="119" t="str">
        <x:v>Account, Opportunity, PO_Bill__c, ProductItem__c</x:v>
      </x:c>
    </x:row>
    <x:row r="252" ht="46" customHeight="1">
      <x:c r="A252" s="117" t="str">
        <x:v>Apex Class</x:v>
      </x:c>
      <x:c r="B252" s="117" t="str">
        <x:v>POBillLineItemServicesTest</x:v>
      </x:c>
      <x:c r="C252" s="119" t="str">
        <x:v>Internal / other</x:v>
      </x:c>
      <x:c r="D252" s="117" t="str"/>
      <x:c r="E252" s="119" t="str"/>
      <x:c r="F252" s="117" t="str">
        <x:v>No</x:v>
      </x:c>
      <x:c r="G252" s="118" t="n">
        <x:v>0</x:v>
      </x:c>
      <x:c r="H252" s="119" t="str"/>
      <x:c r="I252" s="119" t="str"/>
      <x:c r="J252" s="119" t="str">
        <x:v>Account, Item_Receipt__c, Opportunity, PO_Bill__c, Product2, ProductItem__c</x:v>
      </x:c>
    </x:row>
    <x:row r="253" ht="46" customHeight="1">
      <x:c r="A253" s="117" t="str">
        <x:v>Apex Class</x:v>
      </x:c>
      <x:c r="B253" s="117" t="str">
        <x:v>PopulateAddressTest</x:v>
      </x:c>
      <x:c r="C253" s="119" t="str">
        <x:v>Internal / other</x:v>
      </x:c>
      <x:c r="D253" s="117" t="str"/>
      <x:c r="E253" s="119" t="str"/>
      <x:c r="F253" s="117" t="str">
        <x:v>No</x:v>
      </x:c>
      <x:c r="G253" s="118" t="n">
        <x:v>0</x:v>
      </x:c>
      <x:c r="H253" s="119" t="str"/>
      <x:c r="I253" s="119" t="str"/>
      <x:c r="J253" s="119" t="str">
        <x:v>Account, Opportunity</x:v>
      </x:c>
    </x:row>
    <x:row r="254" ht="46" customHeight="1">
      <x:c r="A254" s="117" t="str">
        <x:v>Apex Class</x:v>
      </x:c>
      <x:c r="B254" s="117" t="str">
        <x:v>POTriggerTest</x:v>
      </x:c>
      <x:c r="C254" s="119" t="str">
        <x:v>Internal / other</x:v>
      </x:c>
      <x:c r="D254" s="117" t="str"/>
      <x:c r="E254" s="119" t="str"/>
      <x:c r="F254" s="117" t="str">
        <x:v>No</x:v>
      </x:c>
      <x:c r="G254" s="118" t="n">
        <x:v>0</x:v>
      </x:c>
      <x:c r="H254" s="119" t="str"/>
      <x:c r="I254" s="119" t="str"/>
      <x:c r="J254" s="119" t="str">
        <x:v>PO_Bill__c</x:v>
      </x:c>
    </x:row>
    <x:row r="255" ht="46" customHeight="1">
      <x:c r="A255" s="117" t="str">
        <x:v>Apex Class</x:v>
      </x:c>
      <x:c r="B255" s="117" t="str">
        <x:v>ProboCommonUtils</x:v>
      </x:c>
      <x:c r="C255" s="119" t="str">
        <x:v>Internal / other</x:v>
      </x:c>
      <x:c r="D255" s="117" t="str"/>
      <x:c r="E255" s="119" t="str"/>
      <x:c r="F255" s="117" t="str">
        <x:v>No</x:v>
      </x:c>
      <x:c r="G255" s="118" t="n">
        <x:v>0</x:v>
      </x:c>
      <x:c r="H255" s="119" t="str"/>
      <x:c r="I255" s="119" t="str"/>
      <x:c r="J255" s="119" t="str">
        <x:v>Contact, Pricebook2, PricebookEntry, RecordType, User</x:v>
      </x:c>
    </x:row>
    <x:row r="256" ht="46" customHeight="1">
      <x:c r="A256" s="117" t="str">
        <x:v>Apex Class</x:v>
      </x:c>
      <x:c r="B256" s="117" t="str">
        <x:v>ProboCommonUtilsTest</x:v>
      </x:c>
      <x:c r="C256" s="119" t="str">
        <x:v>Internal / other</x:v>
      </x:c>
      <x:c r="D256" s="117" t="str"/>
      <x:c r="E256" s="119" t="str"/>
      <x:c r="F256" s="117" t="str">
        <x:v>No</x:v>
      </x:c>
      <x:c r="G256" s="118" t="n">
        <x:v>0</x:v>
      </x:c>
      <x:c r="H256" s="119" t="str"/>
      <x:c r="I256" s="119" t="str"/>
      <x:c r="J256" s="119" t="str">
        <x:v>Account, Opportunity, RecordType, User</x:v>
      </x:c>
    </x:row>
    <x:row r="257" ht="46" customHeight="1">
      <x:c r="A257" s="117" t="str">
        <x:v>Apex Class</x:v>
      </x:c>
      <x:c r="B257" s="117" t="str">
        <x:v>ProboConstants</x:v>
      </x:c>
      <x:c r="C257" s="119" t="str">
        <x:v>Internal / other</x:v>
      </x:c>
      <x:c r="D257" s="117" t="str"/>
      <x:c r="E257" s="119" t="str"/>
      <x:c r="F257" s="117" t="str">
        <x:v>No</x:v>
      </x:c>
      <x:c r="G257" s="118" t="n">
        <x:v>0</x:v>
      </x:c>
      <x:c r="H257" s="119" t="str"/>
      <x:c r="I257" s="119" t="str"/>
      <x:c r="J257" s="119" t="str"/>
    </x:row>
    <x:row r="258" ht="46" customHeight="1">
      <x:c r="A258" s="117" t="str">
        <x:v>Apex Class</x:v>
      </x:c>
      <x:c r="B258" s="117" t="str">
        <x:v>ProboConstantsTest</x:v>
      </x:c>
      <x:c r="C258" s="119" t="str">
        <x:v>Internal / other</x:v>
      </x:c>
      <x:c r="D258" s="117" t="str"/>
      <x:c r="E258" s="119" t="str"/>
      <x:c r="F258" s="117" t="str">
        <x:v>No</x:v>
      </x:c>
      <x:c r="G258" s="118" t="n">
        <x:v>0</x:v>
      </x:c>
      <x:c r="H258" s="119" t="str"/>
      <x:c r="I258" s="119" t="str"/>
      <x:c r="J258" s="119" t="str">
        <x:v>Order</x:v>
      </x:c>
    </x:row>
    <x:row r="259" ht="46" customHeight="1">
      <x:c r="A259" s="117" t="str">
        <x:v>Apex Class</x:v>
      </x:c>
      <x:c r="B259" s="117" t="str">
        <x:v>ProboFSRController</x:v>
      </x:c>
      <x:c r="C259" s="119" t="str">
        <x:v>Internal / other</x:v>
      </x:c>
      <x:c r="D259" s="117" t="str"/>
      <x:c r="E259" s="119" t="str"/>
      <x:c r="F259" s="117" t="str">
        <x:v>No</x:v>
      </x:c>
      <x:c r="G259" s="118" t="n">
        <x:v>0</x:v>
      </x:c>
      <x:c r="H259" s="119" t="str"/>
      <x:c r="I259" s="119" t="str"/>
      <x:c r="J259" s="119" t="str">
        <x:v>Asset, Contact, Lead, Order, ServiceAppointment, WorkOrder, WorkOrderLineItem, WorkType</x:v>
      </x:c>
    </x:row>
    <x:row r="260" ht="46" customHeight="1">
      <x:c r="A260" s="117" t="str">
        <x:v>Apex Class</x:v>
      </x:c>
      <x:c r="B260" s="117" t="str">
        <x:v>ProboFSRControllerTest</x:v>
      </x:c>
      <x:c r="C260" s="119" t="str">
        <x:v>Internal / other</x:v>
      </x:c>
      <x:c r="D260" s="117" t="str"/>
      <x:c r="E260" s="119" t="str"/>
      <x:c r="F260" s="117" t="str">
        <x:v>No</x:v>
      </x:c>
      <x:c r="G260" s="118" t="n">
        <x:v>0</x:v>
      </x:c>
      <x:c r="H260" s="119" t="str"/>
      <x:c r="I260" s="119" t="str"/>
      <x:c r="J260" s="119" t="str">
        <x:v>Account, Asset, Contact, WorkOrder, WorkType</x:v>
      </x:c>
    </x:row>
    <x:row r="261" ht="46" customHeight="1">
      <x:c r="A261" s="117" t="str">
        <x:v>Apex Class</x:v>
      </x:c>
      <x:c r="B261" s="117" t="str">
        <x:v>ProductTest</x:v>
      </x:c>
      <x:c r="C261" s="119" t="str">
        <x:v>Aura Enabled</x:v>
      </x:c>
      <x:c r="D261" s="117" t="str"/>
      <x:c r="E261" s="119" t="str"/>
      <x:c r="F261" s="117" t="str">
        <x:v>No</x:v>
      </x:c>
      <x:c r="G261" s="118" t="n">
        <x:v>0</x:v>
      </x:c>
      <x:c r="H261" s="119" t="str"/>
      <x:c r="I261" s="119" t="str"/>
      <x:c r="J261" s="119" t="str">
        <x:v>Product2, ProductItem__c, ProductTest__c, Product_Repair__c, RecordType</x:v>
      </x:c>
    </x:row>
    <x:row r="262" ht="46" customHeight="1">
      <x:c r="A262" s="117" t="str">
        <x:v>Apex Class</x:v>
      </x:c>
      <x:c r="B262" s="117" t="str">
        <x:v>ProductTestImageUploadController</x:v>
      </x:c>
      <x:c r="C262" s="119" t="str">
        <x:v>Internal / other</x:v>
      </x:c>
      <x:c r="D262" s="117" t="str"/>
      <x:c r="E262" s="119" t="str"/>
      <x:c r="F262" s="117" t="str">
        <x:v>No</x:v>
      </x:c>
      <x:c r="G262" s="118" t="n">
        <x:v>0</x:v>
      </x:c>
      <x:c r="H262" s="119" t="str"/>
      <x:c r="I262" s="119" t="str"/>
      <x:c r="J262" s="119" t="str">
        <x:v>ContentDocument, ContentDocumentLink, ProductTest__c</x:v>
      </x:c>
    </x:row>
    <x:row r="263" ht="46" customHeight="1">
      <x:c r="A263" s="117" t="str">
        <x:v>Apex Class</x:v>
      </x:c>
      <x:c r="B263" s="117" t="str">
        <x:v>ProductTestImageUploadController_Test</x:v>
      </x:c>
      <x:c r="C263" s="119" t="str">
        <x:v>Internal / other</x:v>
      </x:c>
      <x:c r="D263" s="117" t="str"/>
      <x:c r="E263" s="119" t="str"/>
      <x:c r="F263" s="117" t="str">
        <x:v>No</x:v>
      </x:c>
      <x:c r="G263" s="118" t="n">
        <x:v>0</x:v>
      </x:c>
      <x:c r="H263" s="119" t="str"/>
      <x:c r="I263" s="119" t="str"/>
      <x:c r="J263" s="119" t="str">
        <x:v>ContentDocumentLink, ProductTest__c</x:v>
      </x:c>
    </x:row>
    <x:row r="264" ht="46" customHeight="1">
      <x:c r="A264" s="117" t="str">
        <x:v>Apex Class</x:v>
      </x:c>
      <x:c r="B264" s="117" t="str">
        <x:v>ProductTestLogicTestClass</x:v>
      </x:c>
      <x:c r="C264" s="119" t="str">
        <x:v>Internal / other</x:v>
      </x:c>
      <x:c r="D264" s="117" t="str"/>
      <x:c r="E264" s="119" t="str"/>
      <x:c r="F264" s="117" t="str">
        <x:v>No</x:v>
      </x:c>
      <x:c r="G264" s="118" t="n">
        <x:v>0</x:v>
      </x:c>
      <x:c r="H264" s="119" t="str"/>
      <x:c r="I264" s="119" t="str"/>
      <x:c r="J264" s="119" t="str">
        <x:v>Case, Product2, ProductItem__c, ProductTest__c, Product_Repair__c</x:v>
      </x:c>
    </x:row>
    <x:row r="265" ht="46" customHeight="1">
      <x:c r="A265" s="117" t="str">
        <x:v>Apex Class</x:v>
      </x:c>
      <x:c r="B265" s="117" t="str">
        <x:v>ProductTestTestClass</x:v>
      </x:c>
      <x:c r="C265" s="119" t="str">
        <x:v>Internal / other</x:v>
      </x:c>
      <x:c r="D265" s="117" t="str"/>
      <x:c r="E265" s="119" t="str"/>
      <x:c r="F265" s="117" t="str">
        <x:v>No</x:v>
      </x:c>
      <x:c r="G265" s="118" t="n">
        <x:v>0</x:v>
      </x:c>
      <x:c r="H265" s="119" t="str"/>
      <x:c r="I265" s="119" t="str"/>
      <x:c r="J265" s="119" t="str">
        <x:v>Account, Case, Opportunity, Order, PricebookEntry, Product2, ProductItem__c, ProductTest__c, Product_Repair__c, RMA__c, RecordType</x:v>
      </x:c>
    </x:row>
    <x:row r="266" ht="46" customHeight="1">
      <x:c r="A266" s="117" t="str">
        <x:v>Apex Class</x:v>
      </x:c>
      <x:c r="B266" s="117" t="str">
        <x:v>PurchasingReturnLineItemServices</x:v>
      </x:c>
      <x:c r="C266" s="119" t="str">
        <x:v>Aura Enabled</x:v>
      </x:c>
      <x:c r="D266" s="117" t="str"/>
      <x:c r="E266" s="119" t="str"/>
      <x:c r="F266" s="117" t="str">
        <x:v>No</x:v>
      </x:c>
      <x:c r="G266" s="118" t="n">
        <x:v>0</x:v>
      </x:c>
      <x:c r="H266" s="119" t="str"/>
      <x:c r="I266" s="119" t="str"/>
      <x:c r="J266" s="119" t="str">
        <x:v>Account, Opportunity, ProductItem__c, Purchasing_Return__c</x:v>
      </x:c>
    </x:row>
    <x:row r="267" ht="46" customHeight="1">
      <x:c r="A267" s="117" t="str">
        <x:v>Apex Class</x:v>
      </x:c>
      <x:c r="B267" s="117" t="str">
        <x:v>PurchasingReturnLineItemServicesTest</x:v>
      </x:c>
      <x:c r="C267" s="119" t="str">
        <x:v>Internal / other</x:v>
      </x:c>
      <x:c r="D267" s="117" t="str"/>
      <x:c r="E267" s="119" t="str"/>
      <x:c r="F267" s="117" t="str">
        <x:v>No</x:v>
      </x:c>
      <x:c r="G267" s="118" t="n">
        <x:v>0</x:v>
      </x:c>
      <x:c r="H267" s="119" t="str"/>
      <x:c r="I267" s="119" t="str"/>
      <x:c r="J267" s="119" t="str">
        <x:v>Account, Asset, Opportunity, Product2, ProductItem__c, Purchasing_Return__c</x:v>
      </x:c>
    </x:row>
    <x:row r="268" ht="46" customHeight="1">
      <x:c r="A268" s="117" t="str">
        <x:v>Apex Class</x:v>
      </x:c>
      <x:c r="B268" s="117" t="str">
        <x:v>QCRigidCertificatePDFGenerator</x:v>
      </x:c>
      <x:c r="C268" s="119" t="str">
        <x:v>Invocable</x:v>
      </x:c>
      <x:c r="D268" s="117" t="str"/>
      <x:c r="E268" s="119" t="str"/>
      <x:c r="F268" s="117" t="str">
        <x:v>Yes</x:v>
      </x:c>
      <x:c r="G268" s="118" t="n">
        <x:v>1</x:v>
      </x:c>
      <x:c r="H268" s="119" t="str">
        <x:v>Save_QA_Certificate_as_PDF</x:v>
      </x:c>
      <x:c r="I268" s="119" t="str"/>
      <x:c r="J268" s="119" t="str">
        <x:v>ContentDocument, ContentDocumentLink, ProductTest__c</x:v>
      </x:c>
    </x:row>
    <x:row r="269" ht="46" customHeight="1">
      <x:c r="A269" s="117" t="str">
        <x:v>Apex Class</x:v>
      </x:c>
      <x:c r="B269" s="117" t="str">
        <x:v>QCRigidCertificatePDFGenerator_Test</x:v>
      </x:c>
      <x:c r="C269" s="119" t="str">
        <x:v>Internal / other</x:v>
      </x:c>
      <x:c r="D269" s="117" t="str"/>
      <x:c r="E269" s="119" t="str"/>
      <x:c r="F269" s="117" t="str">
        <x:v>No</x:v>
      </x:c>
      <x:c r="G269" s="118" t="n">
        <x:v>0</x:v>
      </x:c>
      <x:c r="H269" s="119" t="str"/>
      <x:c r="I269" s="119" t="str"/>
      <x:c r="J269" s="119" t="str">
        <x:v>ProductTest__c</x:v>
      </x:c>
    </x:row>
    <x:row r="270" ht="46" customHeight="1">
      <x:c r="A270" s="117" t="str">
        <x:v>Apex Class</x:v>
      </x:c>
      <x:c r="B270" s="117" t="str">
        <x:v>Ratings</x:v>
      </x:c>
      <x:c r="C270" s="119" t="str">
        <x:v>Internal / other</x:v>
      </x:c>
      <x:c r="D270" s="117" t="str"/>
      <x:c r="E270" s="119" t="str"/>
      <x:c r="F270" s="117" t="str">
        <x:v>No</x:v>
      </x:c>
      <x:c r="G270" s="118" t="n">
        <x:v>0</x:v>
      </x:c>
      <x:c r="H270" s="119" t="str"/>
      <x:c r="I270" s="119" t="str"/>
      <x:c r="J270" s="119" t="str">
        <x:v>ProductItem__c, User</x:v>
      </x:c>
    </x:row>
    <x:row r="271" ht="46" customHeight="1">
      <x:c r="A271" s="117" t="str">
        <x:v>Apex Class</x:v>
      </x:c>
      <x:c r="B271" s="117" t="str">
        <x:v>RatingsTest</x:v>
      </x:c>
      <x:c r="C271" s="119" t="str">
        <x:v>Internal / other</x:v>
      </x:c>
      <x:c r="D271" s="117" t="str"/>
      <x:c r="E271" s="119" t="str"/>
      <x:c r="F271" s="117" t="str">
        <x:v>No</x:v>
      </x:c>
      <x:c r="G271" s="118" t="n">
        <x:v>0</x:v>
      </x:c>
      <x:c r="H271" s="119" t="str"/>
      <x:c r="I271" s="119" t="str"/>
      <x:c r="J271" s="119" t="str">
        <x:v>ProductItem__c</x:v>
      </x:c>
    </x:row>
    <x:row r="272" ht="46" customHeight="1">
      <x:c r="A272" s="117" t="str">
        <x:v>Apex Class</x:v>
      </x:c>
      <x:c r="B272" s="117" t="str">
        <x:v>RatingsUpdateTest</x:v>
      </x:c>
      <x:c r="C272" s="119" t="str">
        <x:v>Internal / other</x:v>
      </x:c>
      <x:c r="D272" s="117" t="str"/>
      <x:c r="E272" s="119" t="str"/>
      <x:c r="F272" s="117" t="str">
        <x:v>No</x:v>
      </x:c>
      <x:c r="G272" s="118" t="n">
        <x:v>0</x:v>
      </x:c>
      <x:c r="H272" s="119" t="str"/>
      <x:c r="I272" s="119" t="str"/>
      <x:c r="J272" s="119" t="str">
        <x:v>Product2, ProductItem__c</x:v>
      </x:c>
    </x:row>
    <x:row r="273" ht="46" customHeight="1">
      <x:c r="A273" s="117" t="str">
        <x:v>Apex Class</x:v>
      </x:c>
      <x:c r="B273" s="117" t="str">
        <x:v>RecentlyDeletedWoliLookupInvocable</x:v>
      </x:c>
      <x:c r="C273" s="119" t="str">
        <x:v>Invocable</x:v>
      </x:c>
      <x:c r="D273" s="117" t="str"/>
      <x:c r="E273" s="119" t="str"/>
      <x:c r="F273" s="117" t="str">
        <x:v>Yes</x:v>
      </x:c>
      <x:c r="G273" s="118" t="n">
        <x:v>1</x:v>
      </x:c>
      <x:c r="H273" s="119" t="str">
        <x:v>On_Update_Line_Item_Swap_on_Opp_Updates_Information_on_the_WOLI</x:v>
      </x:c>
      <x:c r="I273" s="119" t="str"/>
      <x:c r="J273" s="119" t="str">
        <x:v>Order, WorkOrderLineItem</x:v>
      </x:c>
    </x:row>
    <x:row r="274" ht="46" customHeight="1">
      <x:c r="A274" s="117" t="str">
        <x:v>Apex Class</x:v>
      </x:c>
      <x:c r="B274" s="117" t="str">
        <x:v>RecentlyDeletedWoliLookupInvocable_Test</x:v>
      </x:c>
      <x:c r="C274" s="119" t="str">
        <x:v>Internal / other</x:v>
      </x:c>
      <x:c r="D274" s="117" t="str"/>
      <x:c r="E274" s="119" t="str"/>
      <x:c r="F274" s="117" t="str">
        <x:v>No</x:v>
      </x:c>
      <x:c r="G274" s="118" t="n">
        <x:v>0</x:v>
      </x:c>
      <x:c r="H274" s="119" t="str"/>
      <x:c r="I274" s="119" t="str"/>
      <x:c r="J274" s="119" t="str">
        <x:v>Order, PricebookEntry, WorkOrder, WorkOrderLineItem</x:v>
      </x:c>
    </x:row>
    <x:row r="275" ht="46" customHeight="1">
      <x:c r="A275" s="117" t="str">
        <x:v>Apex Class</x:v>
      </x:c>
      <x:c r="B275" s="117" t="str">
        <x:v>RecordTypeUtility</x:v>
      </x:c>
      <x:c r="C275" s="119" t="str">
        <x:v>Aura Enabled</x:v>
      </x:c>
      <x:c r="D275" s="117" t="str"/>
      <x:c r="E275" s="119" t="str"/>
      <x:c r="F275" s="117" t="str">
        <x:v>No</x:v>
      </x:c>
      <x:c r="G275" s="118" t="n">
        <x:v>0</x:v>
      </x:c>
      <x:c r="H275" s="119" t="str"/>
      <x:c r="I275" s="119" t="str"/>
      <x:c r="J275" s="119" t="str">
        <x:v>RecordType</x:v>
      </x:c>
    </x:row>
    <x:row r="276" ht="46" customHeight="1">
      <x:c r="A276" s="117" t="str">
        <x:v>Apex Class</x:v>
      </x:c>
      <x:c r="B276" s="117" t="str">
        <x:v>RecordTypeUtilityTest</x:v>
      </x:c>
      <x:c r="C276" s="119" t="str">
        <x:v>Internal / other</x:v>
      </x:c>
      <x:c r="D276" s="117" t="str"/>
      <x:c r="E276" s="119" t="str"/>
      <x:c r="F276" s="117" t="str">
        <x:v>No</x:v>
      </x:c>
      <x:c r="G276" s="118" t="n">
        <x:v>0</x:v>
      </x:c>
      <x:c r="H276" s="119" t="str"/>
      <x:c r="I276" s="119" t="str"/>
      <x:c r="J276" s="119" t="str">
        <x:v>Opportunity, RecordType</x:v>
      </x:c>
    </x:row>
    <x:row r="277" ht="46" customHeight="1">
      <x:c r="A277" s="117" t="str">
        <x:v>Apex Class</x:v>
      </x:c>
      <x:c r="B277" s="117" t="str">
        <x:v>RentalOrderLineItemServices</x:v>
      </x:c>
      <x:c r="C277" s="119" t="str">
        <x:v>Aura Enabled</x:v>
      </x:c>
      <x:c r="D277" s="117" t="str"/>
      <x:c r="E277" s="119" t="str"/>
      <x:c r="F277" s="117" t="str">
        <x:v>No</x:v>
      </x:c>
      <x:c r="G277" s="118" t="n">
        <x:v>0</x:v>
      </x:c>
      <x:c r="H277" s="119" t="str"/>
      <x:c r="I277" s="119" t="str"/>
      <x:c r="J277" s="119" t="str">
        <x:v>Opportunity, Order, ProductItem__c, Rental_Order__c</x:v>
      </x:c>
    </x:row>
    <x:row r="278" ht="46" customHeight="1">
      <x:c r="A278" s="117" t="str">
        <x:v>Apex Class</x:v>
      </x:c>
      <x:c r="B278" s="117" t="str">
        <x:v>RentalOrderLineItemServicesTest</x:v>
      </x:c>
      <x:c r="C278" s="119" t="str">
        <x:v>Internal / other</x:v>
      </x:c>
      <x:c r="D278" s="117" t="str"/>
      <x:c r="E278" s="119" t="str"/>
      <x:c r="F278" s="117" t="str">
        <x:v>No</x:v>
      </x:c>
      <x:c r="G278" s="118" t="n">
        <x:v>0</x:v>
      </x:c>
      <x:c r="H278" s="119" t="str"/>
      <x:c r="I278" s="119" t="str"/>
      <x:c r="J278" s="119" t="str">
        <x:v>Account, Asset, Opportunity, OpportunityLineItem, Product2, ProductItem__c, Rental_Order__c</x:v>
      </x:c>
    </x:row>
    <x:row r="279" ht="46" customHeight="1">
      <x:c r="A279" s="117" t="str">
        <x:v>Apex Class</x:v>
      </x:c>
      <x:c r="B279" s="117" t="str">
        <x:v>RepairLists</x:v>
      </x:c>
      <x:c r="C279" s="119" t="str">
        <x:v>Internal / other</x:v>
      </x:c>
      <x:c r="D279" s="117" t="str"/>
      <x:c r="E279" s="119" t="str"/>
      <x:c r="F279" s="117" t="str">
        <x:v>No</x:v>
      </x:c>
      <x:c r="G279" s="118" t="n">
        <x:v>0</x:v>
      </x:c>
      <x:c r="H279" s="119" t="str"/>
      <x:c r="I279" s="119" t="str"/>
      <x:c r="J279" s="119" t="str"/>
    </x:row>
    <x:row r="280" ht="46" customHeight="1">
      <x:c r="A280" s="117" t="str">
        <x:v>Apex Class</x:v>
      </x:c>
      <x:c r="B280" s="117" t="str">
        <x:v>ReviewStatus</x:v>
      </x:c>
      <x:c r="C280" s="119" t="str">
        <x:v>Internal / other</x:v>
      </x:c>
      <x:c r="D280" s="117" t="str"/>
      <x:c r="E280" s="119" t="str"/>
      <x:c r="F280" s="117" t="str">
        <x:v>No</x:v>
      </x:c>
      <x:c r="G280" s="118" t="n">
        <x:v>0</x:v>
      </x:c>
      <x:c r="H280" s="119" t="str"/>
      <x:c r="I280" s="119" t="str"/>
      <x:c r="J280" s="119" t="str">
        <x:v>ProductItem__c</x:v>
      </x:c>
    </x:row>
    <x:row r="281" ht="46" customHeight="1">
      <x:c r="A281" s="117" t="str">
        <x:v>Apex Class</x:v>
      </x:c>
      <x:c r="B281" s="117" t="str">
        <x:v>ReviewStatusTestClass</x:v>
      </x:c>
      <x:c r="C281" s="119" t="str">
        <x:v>Internal / other</x:v>
      </x:c>
      <x:c r="D281" s="117" t="str"/>
      <x:c r="E281" s="119" t="str"/>
      <x:c r="F281" s="117" t="str">
        <x:v>No</x:v>
      </x:c>
      <x:c r="G281" s="118" t="n">
        <x:v>0</x:v>
      </x:c>
      <x:c r="H281" s="119" t="str"/>
      <x:c r="I281" s="119" t="str"/>
      <x:c r="J281" s="119" t="str">
        <x:v>Account, Product2, ProductItem__c</x:v>
      </x:c>
    </x:row>
    <x:row r="282" ht="46" customHeight="1">
      <x:c r="A282" s="117" t="str">
        <x:v>Apex Class</x:v>
      </x:c>
      <x:c r="B282" s="117" t="str">
        <x:v>ReviewStatusUpdateTest</x:v>
      </x:c>
      <x:c r="C282" s="119" t="str">
        <x:v>Internal / other</x:v>
      </x:c>
      <x:c r="D282" s="117" t="str"/>
      <x:c r="E282" s="119" t="str"/>
      <x:c r="F282" s="117" t="str">
        <x:v>No</x:v>
      </x:c>
      <x:c r="G282" s="118" t="n">
        <x:v>0</x:v>
      </x:c>
      <x:c r="H282" s="119" t="str"/>
      <x:c r="I282" s="119" t="str"/>
      <x:c r="J282" s="119" t="str">
        <x:v>Product2, ProductItem__c</x:v>
      </x:c>
    </x:row>
    <x:row r="283" ht="46" customHeight="1">
      <x:c r="A283" s="117" t="str">
        <x:v>Apex Class</x:v>
      </x:c>
      <x:c r="B283" s="117" t="str">
        <x:v>RigidQCReportController</x:v>
      </x:c>
      <x:c r="C283" s="119" t="str">
        <x:v>Internal / other</x:v>
      </x:c>
      <x:c r="D283" s="117" t="str"/>
      <x:c r="E283" s="119" t="str"/>
      <x:c r="F283" s="117" t="str">
        <x:v>No</x:v>
      </x:c>
      <x:c r="G283" s="118" t="n">
        <x:v>0</x:v>
      </x:c>
      <x:c r="H283" s="119" t="str"/>
      <x:c r="I283" s="119" t="str"/>
      <x:c r="J283" s="119" t="str">
        <x:v>ProductTest__c</x:v>
      </x:c>
    </x:row>
    <x:row r="284" ht="46" customHeight="1">
      <x:c r="A284" s="117" t="str">
        <x:v>Apex Class</x:v>
      </x:c>
      <x:c r="B284" s="117" t="str">
        <x:v>RigidQCReportControllerTest</x:v>
      </x:c>
      <x:c r="C284" s="119" t="str">
        <x:v>Internal / other</x:v>
      </x:c>
      <x:c r="D284" s="117" t="str"/>
      <x:c r="E284" s="119" t="str"/>
      <x:c r="F284" s="117" t="str">
        <x:v>No</x:v>
      </x:c>
      <x:c r="G284" s="118" t="n">
        <x:v>0</x:v>
      </x:c>
      <x:c r="H284" s="119" t="str"/>
      <x:c r="I284" s="119" t="str"/>
      <x:c r="J284" s="119" t="str">
        <x:v>ProductTest__c</x:v>
      </x:c>
    </x:row>
    <x:row r="285" ht="46" customHeight="1">
      <x:c r="A285" s="117" t="str">
        <x:v>Apex Class</x:v>
      </x:c>
      <x:c r="B285" s="117" t="str">
        <x:v>RigidRepairEvalController_Test</x:v>
      </x:c>
      <x:c r="C285" s="119" t="str">
        <x:v>Internal / other</x:v>
      </x:c>
      <x:c r="D285" s="117" t="str"/>
      <x:c r="E285" s="119" t="str"/>
      <x:c r="F285" s="117" t="str">
        <x:v>No</x:v>
      </x:c>
      <x:c r="G285" s="118" t="n">
        <x:v>0</x:v>
      </x:c>
      <x:c r="H285" s="119" t="str"/>
      <x:c r="I285" s="119" t="str"/>
      <x:c r="J285" s="119" t="str">
        <x:v>ProductTest__c</x:v>
      </x:c>
    </x:row>
    <x:row r="286" ht="46" customHeight="1">
      <x:c r="A286" s="117" t="str">
        <x:v>Apex Class</x:v>
      </x:c>
      <x:c r="B286" s="117" t="str">
        <x:v>RigidWorkRequestController</x:v>
      </x:c>
      <x:c r="C286" s="119" t="str">
        <x:v>Internal / other</x:v>
      </x:c>
      <x:c r="D286" s="117" t="str"/>
      <x:c r="E286" s="119" t="str"/>
      <x:c r="F286" s="117" t="str">
        <x:v>No</x:v>
      </x:c>
      <x:c r="G286" s="118" t="n">
        <x:v>0</x:v>
      </x:c>
      <x:c r="H286" s="119" t="str"/>
      <x:c r="I286" s="119" t="str"/>
      <x:c r="J286" s="119" t="str">
        <x:v>ProductTest__c</x:v>
      </x:c>
    </x:row>
    <x:row r="287" ht="46" customHeight="1">
      <x:c r="A287" s="117" t="str">
        <x:v>Apex Class</x:v>
      </x:c>
      <x:c r="B287" s="117" t="str">
        <x:v>RMAHelper</x:v>
      </x:c>
      <x:c r="C287" s="119" t="str">
        <x:v>Internal / other</x:v>
      </x:c>
      <x:c r="D287" s="117" t="str"/>
      <x:c r="E287" s="119" t="str"/>
      <x:c r="F287" s="117" t="str">
        <x:v>No</x:v>
      </x:c>
      <x:c r="G287" s="118" t="n">
        <x:v>0</x:v>
      </x:c>
      <x:c r="H287" s="119" t="str"/>
      <x:c r="I287" s="119" t="str"/>
      <x:c r="J287" s="119" t="str">
        <x:v>Opportunity, RMA__c</x:v>
      </x:c>
    </x:row>
    <x:row r="288" ht="46" customHeight="1">
      <x:c r="A288" s="117" t="str">
        <x:v>Apex Class</x:v>
      </x:c>
      <x:c r="B288" s="117" t="str">
        <x:v>RMAHelperTest</x:v>
      </x:c>
      <x:c r="C288" s="119" t="str">
        <x:v>Internal / other</x:v>
      </x:c>
      <x:c r="D288" s="117" t="str"/>
      <x:c r="E288" s="119" t="str"/>
      <x:c r="F288" s="117" t="str">
        <x:v>No</x:v>
      </x:c>
      <x:c r="G288" s="118" t="n">
        <x:v>0</x:v>
      </x:c>
      <x:c r="H288" s="119" t="str"/>
      <x:c r="I288" s="119" t="str"/>
      <x:c r="J288" s="119" t="str">
        <x:v>Opportunity, Pricebook2, Product2, ProductItem__c, RMA__c</x:v>
      </x:c>
    </x:row>
    <x:row r="289" ht="46" customHeight="1">
      <x:c r="A289" s="117" t="str">
        <x:v>Apex Class</x:v>
      </x:c>
      <x:c r="B289" s="117" t="str">
        <x:v>RMAList</x:v>
      </x:c>
      <x:c r="C289" s="119" t="str">
        <x:v>Internal / other</x:v>
      </x:c>
      <x:c r="D289" s="117" t="str"/>
      <x:c r="E289" s="119" t="str"/>
      <x:c r="F289" s="117" t="str">
        <x:v>No</x:v>
      </x:c>
      <x:c r="G289" s="118" t="n">
        <x:v>0</x:v>
      </x:c>
      <x:c r="H289" s="119" t="str"/>
      <x:c r="I289" s="119" t="str"/>
      <x:c r="J289" s="119" t="str">
        <x:v>Account, ProductItem__c, RMA__c</x:v>
      </x:c>
    </x:row>
    <x:row r="290" ht="46" customHeight="1">
      <x:c r="A290" s="117" t="str">
        <x:v>Apex Class</x:v>
      </x:c>
      <x:c r="B290" s="117" t="str">
        <x:v>RMAListTest</x:v>
      </x:c>
      <x:c r="C290" s="119" t="str">
        <x:v>Internal / other</x:v>
      </x:c>
      <x:c r="D290" s="117" t="str"/>
      <x:c r="E290" s="119" t="str"/>
      <x:c r="F290" s="117" t="str">
        <x:v>No</x:v>
      </x:c>
      <x:c r="G290" s="118" t="n">
        <x:v>0</x:v>
      </x:c>
      <x:c r="H290" s="119" t="str"/>
      <x:c r="I290" s="119" t="str"/>
      <x:c r="J290" s="119" t="str">
        <x:v>Account, Opportunity, Product2, ProductItem__c, RMA__c, User</x:v>
      </x:c>
    </x:row>
    <x:row r="291" ht="46" customHeight="1">
      <x:c r="A291" s="117" t="str">
        <x:v>Apex Class</x:v>
      </x:c>
      <x:c r="B291" s="117" t="str">
        <x:v>RmaUpdate_TestClass</x:v>
      </x:c>
      <x:c r="C291" s="119" t="str">
        <x:v>Internal / other</x:v>
      </x:c>
      <x:c r="D291" s="117" t="str"/>
      <x:c r="E291" s="119" t="str"/>
      <x:c r="F291" s="117" t="str">
        <x:v>No</x:v>
      </x:c>
      <x:c r="G291" s="118" t="n">
        <x:v>0</x:v>
      </x:c>
      <x:c r="H291" s="119" t="str"/>
      <x:c r="I291" s="119" t="str"/>
      <x:c r="J291" s="119" t="str">
        <x:v>Opportunity, Pricebook2, Product2, ProductItem__c, RMA__c</x:v>
      </x:c>
    </x:row>
    <x:row r="292" ht="46" customHeight="1">
      <x:c r="A292" s="117" t="str">
        <x:v>Apex Class</x:v>
      </x:c>
      <x:c r="B292" s="117" t="str">
        <x:v>SaveCreditMemoPdfFileAction</x:v>
      </x:c>
      <x:c r="C292" s="119" t="str">
        <x:v>Invocable</x:v>
      </x:c>
      <x:c r="D292" s="117" t="str"/>
      <x:c r="E292" s="119" t="str"/>
      <x:c r="F292" s="117" t="str">
        <x:v>Yes</x:v>
      </x:c>
      <x:c r="G292" s="118" t="n">
        <x:v>2</x:v>
      </x:c>
      <x:c r="H292" s="119" t="str">
        <x:v>Manually_Send_Credit_Memo_to_Client, Send_Credit_Memo_PDF_to_Customer</x:v>
      </x:c>
      <x:c r="I292" s="119" t="str"/>
      <x:c r="J292" s="119" t="str">
        <x:v>Account, Credit_Memo__c, Invoice__c</x:v>
      </x:c>
    </x:row>
    <x:row r="293" ht="46" customHeight="1">
      <x:c r="A293" s="117" t="str">
        <x:v>Apex Class</x:v>
      </x:c>
      <x:c r="B293" s="117" t="str">
        <x:v>SaveCreditMemoPdfFileActionTest</x:v>
      </x:c>
      <x:c r="C293" s="119" t="str">
        <x:v>Internal / other</x:v>
      </x:c>
      <x:c r="D293" s="117" t="str"/>
      <x:c r="E293" s="119" t="str"/>
      <x:c r="F293" s="117" t="str">
        <x:v>No</x:v>
      </x:c>
      <x:c r="G293" s="118" t="n">
        <x:v>0</x:v>
      </x:c>
      <x:c r="H293" s="119" t="str"/>
      <x:c r="I293" s="119" t="str"/>
      <x:c r="J293" s="119" t="str">
        <x:v>Credit_Memo__c, Invoice__c</x:v>
      </x:c>
    </x:row>
    <x:row r="294" ht="46" customHeight="1">
      <x:c r="A294" s="117" t="str">
        <x:v>Apex Class</x:v>
      </x:c>
      <x:c r="B294" s="117" t="str">
        <x:v>SaveFlexQCPDFController</x:v>
      </x:c>
      <x:c r="C294" s="119" t="str">
        <x:v>Internal / other</x:v>
      </x:c>
      <x:c r="D294" s="117" t="str"/>
      <x:c r="E294" s="119" t="str"/>
      <x:c r="F294" s="117" t="str">
        <x:v>No</x:v>
      </x:c>
      <x:c r="G294" s="118" t="n">
        <x:v>0</x:v>
      </x:c>
      <x:c r="H294" s="119" t="str"/>
      <x:c r="I294" s="119" t="str"/>
      <x:c r="J294" s="119" t="str">
        <x:v>ContentDocumentLink, ProductTest__c</x:v>
      </x:c>
    </x:row>
    <x:row r="295" ht="46" customHeight="1">
      <x:c r="A295" s="117" t="str">
        <x:v>Apex Class</x:v>
      </x:c>
      <x:c r="B295" s="117" t="str">
        <x:v>SaveFlexQCPDFController_Test</x:v>
      </x:c>
      <x:c r="C295" s="119" t="str">
        <x:v>Internal / other</x:v>
      </x:c>
      <x:c r="D295" s="117" t="str"/>
      <x:c r="E295" s="119" t="str"/>
      <x:c r="F295" s="117" t="str">
        <x:v>No</x:v>
      </x:c>
      <x:c r="G295" s="118" t="n">
        <x:v>0</x:v>
      </x:c>
      <x:c r="H295" s="119" t="str"/>
      <x:c r="I295" s="119" t="str"/>
      <x:c r="J295" s="119" t="str">
        <x:v>ProductTest__c</x:v>
      </x:c>
    </x:row>
    <x:row r="296" ht="46" customHeight="1">
      <x:c r="A296" s="117" t="str">
        <x:v>Apex Class</x:v>
      </x:c>
      <x:c r="B296" s="117" t="str">
        <x:v>SaveRepairEvalPDFController</x:v>
      </x:c>
      <x:c r="C296" s="119" t="str">
        <x:v>Internal / other</x:v>
      </x:c>
      <x:c r="D296" s="117" t="str"/>
      <x:c r="E296" s="119" t="str"/>
      <x:c r="F296" s="117" t="str">
        <x:v>No</x:v>
      </x:c>
      <x:c r="G296" s="118" t="n">
        <x:v>0</x:v>
      </x:c>
      <x:c r="H296" s="119" t="str"/>
      <x:c r="I296" s="119" t="str"/>
      <x:c r="J296" s="119" t="str">
        <x:v>ContentDocumentLink, ProductTest__c</x:v>
      </x:c>
    </x:row>
    <x:row r="297" ht="46" customHeight="1">
      <x:c r="A297" s="117" t="str">
        <x:v>Apex Class</x:v>
      </x:c>
      <x:c r="B297" s="117" t="str">
        <x:v>SaveRepairEvalPDFController_Test</x:v>
      </x:c>
      <x:c r="C297" s="119" t="str">
        <x:v>Internal / other</x:v>
      </x:c>
      <x:c r="D297" s="117" t="str"/>
      <x:c r="E297" s="119" t="str"/>
      <x:c r="F297" s="117" t="str">
        <x:v>No</x:v>
      </x:c>
      <x:c r="G297" s="118" t="n">
        <x:v>0</x:v>
      </x:c>
      <x:c r="H297" s="119" t="str"/>
      <x:c r="I297" s="119" t="str"/>
      <x:c r="J297" s="119" t="str">
        <x:v>ProductTest__c</x:v>
      </x:c>
    </x:row>
    <x:row r="298" ht="46" customHeight="1">
      <x:c r="A298" s="117" t="str">
        <x:v>Apex Class</x:v>
      </x:c>
      <x:c r="B298" s="117" t="str">
        <x:v>SaveRigidQCPDFController</x:v>
      </x:c>
      <x:c r="C298" s="119" t="str">
        <x:v>Internal / other</x:v>
      </x:c>
      <x:c r="D298" s="117" t="str"/>
      <x:c r="E298" s="119" t="str"/>
      <x:c r="F298" s="117" t="str">
        <x:v>No</x:v>
      </x:c>
      <x:c r="G298" s="118" t="n">
        <x:v>0</x:v>
      </x:c>
      <x:c r="H298" s="119" t="str"/>
      <x:c r="I298" s="119" t="str"/>
      <x:c r="J298" s="119" t="str">
        <x:v>ContentDocumentLink, ProductTest__c</x:v>
      </x:c>
    </x:row>
    <x:row r="299" ht="46" customHeight="1">
      <x:c r="A299" s="117" t="str">
        <x:v>Apex Class</x:v>
      </x:c>
      <x:c r="B299" s="117" t="str">
        <x:v>SaveRigidQCPDFController_Test</x:v>
      </x:c>
      <x:c r="C299" s="119" t="str">
        <x:v>Internal / other</x:v>
      </x:c>
      <x:c r="D299" s="117" t="str"/>
      <x:c r="E299" s="119" t="str"/>
      <x:c r="F299" s="117" t="str">
        <x:v>No</x:v>
      </x:c>
      <x:c r="G299" s="118" t="n">
        <x:v>0</x:v>
      </x:c>
      <x:c r="H299" s="119" t="str"/>
      <x:c r="I299" s="119" t="str"/>
      <x:c r="J299" s="119" t="str">
        <x:v>ProductTest__c</x:v>
      </x:c>
    </x:row>
    <x:row r="300" ht="46" customHeight="1">
      <x:c r="A300" s="117" t="str">
        <x:v>Apex Class</x:v>
      </x:c>
      <x:c r="B300" s="117" t="str">
        <x:v>SaveRigidRepairEvalController_Test</x:v>
      </x:c>
      <x:c r="C300" s="119" t="str">
        <x:v>Internal / other</x:v>
      </x:c>
      <x:c r="D300" s="117" t="str"/>
      <x:c r="E300" s="119" t="str"/>
      <x:c r="F300" s="117" t="str">
        <x:v>No</x:v>
      </x:c>
      <x:c r="G300" s="118" t="n">
        <x:v>0</x:v>
      </x:c>
      <x:c r="H300" s="119" t="str"/>
      <x:c r="I300" s="119" t="str"/>
      <x:c r="J300" s="119" t="str">
        <x:v>ProductTest__c</x:v>
      </x:c>
    </x:row>
    <x:row r="301" ht="46" customHeight="1">
      <x:c r="A301" s="117" t="str">
        <x:v>Apex Class</x:v>
      </x:c>
      <x:c r="B301" s="117" t="str">
        <x:v>SaveRigidRepairEvalPDFController</x:v>
      </x:c>
      <x:c r="C301" s="119" t="str">
        <x:v>Internal / other</x:v>
      </x:c>
      <x:c r="D301" s="117" t="str"/>
      <x:c r="E301" s="119" t="str"/>
      <x:c r="F301" s="117" t="str">
        <x:v>No</x:v>
      </x:c>
      <x:c r="G301" s="118" t="n">
        <x:v>0</x:v>
      </x:c>
      <x:c r="H301" s="119" t="str"/>
      <x:c r="I301" s="119" t="str"/>
      <x:c r="J301" s="119" t="str">
        <x:v>ContentDocumentLink, ProductTest__c</x:v>
      </x:c>
    </x:row>
    <x:row r="302" ht="46" customHeight="1">
      <x:c r="A302" s="117" t="str">
        <x:v>Apex Class</x:v>
      </x:c>
      <x:c r="B302" s="117" t="str">
        <x:v>SaveWorkRequestPDFController</x:v>
      </x:c>
      <x:c r="C302" s="119" t="str">
        <x:v>Internal / other</x:v>
      </x:c>
      <x:c r="D302" s="117" t="str"/>
      <x:c r="E302" s="119" t="str"/>
      <x:c r="F302" s="117" t="str">
        <x:v>No</x:v>
      </x:c>
      <x:c r="G302" s="118" t="n">
        <x:v>0</x:v>
      </x:c>
      <x:c r="H302" s="119" t="str"/>
      <x:c r="I302" s="119" t="str"/>
      <x:c r="J302" s="119" t="str">
        <x:v>ContentDocumentLink, ProductTest__c</x:v>
      </x:c>
    </x:row>
    <x:row r="303" ht="46" customHeight="1">
      <x:c r="A303" s="117" t="str">
        <x:v>Apex Class</x:v>
      </x:c>
      <x:c r="B303" s="117" t="str">
        <x:v>SaveWorkRequestPDFController_Test</x:v>
      </x:c>
      <x:c r="C303" s="119" t="str">
        <x:v>Internal / other</x:v>
      </x:c>
      <x:c r="D303" s="117" t="str"/>
      <x:c r="E303" s="119" t="str"/>
      <x:c r="F303" s="117" t="str">
        <x:v>No</x:v>
      </x:c>
      <x:c r="G303" s="118" t="n">
        <x:v>0</x:v>
      </x:c>
      <x:c r="H303" s="119" t="str"/>
      <x:c r="I303" s="119" t="str"/>
      <x:c r="J303" s="119" t="str">
        <x:v>ProductTest__c</x:v>
      </x:c>
    </x:row>
    <x:row r="304" ht="46" customHeight="1">
      <x:c r="A304" s="117" t="str">
        <x:v>Apex Class</x:v>
      </x:c>
      <x:c r="B304" s="117" t="str">
        <x:v>SchedulableEmailSendOnTaskDueDate</x:v>
      </x:c>
      <x:c r="C304" s="119" t="str">
        <x:v>Internal / other</x:v>
      </x:c>
      <x:c r="D304" s="117" t="str"/>
      <x:c r="E304" s="119" t="str"/>
      <x:c r="F304" s="117" t="str">
        <x:v>No</x:v>
      </x:c>
      <x:c r="G304" s="118" t="n">
        <x:v>0</x:v>
      </x:c>
      <x:c r="H304" s="119" t="str"/>
      <x:c r="I304" s="119" t="str"/>
      <x:c r="J304" s="119" t="str">
        <x:v>EmailTemplate, Task</x:v>
      </x:c>
    </x:row>
    <x:row r="305" ht="46" customHeight="1">
      <x:c r="A305" s="117" t="str">
        <x:v>Apex Class</x:v>
      </x:c>
      <x:c r="B305" s="117" t="str">
        <x:v>SchedulableEmailSendOnTaskDueDateTest</x:v>
      </x:c>
      <x:c r="C305" s="119" t="str">
        <x:v>Internal / other</x:v>
      </x:c>
      <x:c r="D305" s="117" t="str"/>
      <x:c r="E305" s="119" t="str"/>
      <x:c r="F305" s="117" t="str">
        <x:v>No</x:v>
      </x:c>
      <x:c r="G305" s="118" t="n">
        <x:v>0</x:v>
      </x:c>
      <x:c r="H305" s="119" t="str"/>
      <x:c r="I305" s="119" t="str"/>
      <x:c r="J305" s="119" t="str">
        <x:v>Task</x:v>
      </x:c>
    </x:row>
    <x:row r="306" ht="46" customHeight="1">
      <x:c r="A306" s="117" t="str">
        <x:v>Apex Class</x:v>
      </x:c>
      <x:c r="B306" s="117" t="str">
        <x:v>SendInvoicePDF</x:v>
      </x:c>
      <x:c r="C306" s="119" t="str">
        <x:v>Invocable</x:v>
      </x:c>
      <x:c r="D306" s="117" t="str"/>
      <x:c r="E306" s="119" t="str"/>
      <x:c r="F306" s="117" t="str">
        <x:v>Yes</x:v>
      </x:c>
      <x:c r="G306" s="118" t="n">
        <x:v>1</x:v>
      </x:c>
      <x:c r="H306" s="119" t="str">
        <x:v>Send_Invoice_PDF_Email</x:v>
      </x:c>
      <x:c r="I306" s="119" t="str"/>
      <x:c r="J306" s="119" t="str">
        <x:v>Address, Attachment, ContentDocumentLink, EmailTemplate</x:v>
      </x:c>
    </x:row>
    <x:row r="307" ht="46" customHeight="1">
      <x:c r="A307" s="117" t="str">
        <x:v>Apex Class</x:v>
      </x:c>
      <x:c r="B307" s="117" t="str">
        <x:v>SendInvoicePDF_Test</x:v>
      </x:c>
      <x:c r="C307" s="119" t="str">
        <x:v>Internal / other</x:v>
      </x:c>
      <x:c r="D307" s="117" t="str"/>
      <x:c r="E307" s="119" t="str"/>
      <x:c r="F307" s="117" t="str">
        <x:v>No</x:v>
      </x:c>
      <x:c r="G307" s="118" t="n">
        <x:v>0</x:v>
      </x:c>
      <x:c r="H307" s="119" t="str"/>
      <x:c r="I307" s="119" t="str"/>
      <x:c r="J307" s="119" t="str">
        <x:v>Account, ContentDocumentLink, Opportunity</x:v>
      </x:c>
    </x:row>
    <x:row r="308" ht="46" customHeight="1">
      <x:c r="A308" s="117" t="str">
        <x:v>Apex Class</x:v>
      </x:c>
      <x:c r="B308" s="117" t="str">
        <x:v>SendInvoicePDFTestClass</x:v>
      </x:c>
      <x:c r="C308" s="119" t="str">
        <x:v>Internal / other</x:v>
      </x:c>
      <x:c r="D308" s="117" t="str"/>
      <x:c r="E308" s="119" t="str"/>
      <x:c r="F308" s="117" t="str">
        <x:v>No</x:v>
      </x:c>
      <x:c r="G308" s="118" t="n">
        <x:v>0</x:v>
      </x:c>
      <x:c r="H308" s="119" t="str"/>
      <x:c r="I308" s="119" t="str"/>
      <x:c r="J308" s="119" t="str">
        <x:v>Credit_Memo__c, Invoice_Line_Item__c, Invoice__c, Opportunity, OpportunityLineItem</x:v>
      </x:c>
    </x:row>
    <x:row r="309" ht="46" customHeight="1">
      <x:c r="A309" s="117" t="str">
        <x:v>Apex Class</x:v>
      </x:c>
      <x:c r="B309" s="117" t="str">
        <x:v>SendInvoiceToLockstep</x:v>
      </x:c>
      <x:c r="C309" s="119" t="str">
        <x:v>Invocable</x:v>
      </x:c>
      <x:c r="D309" s="117" t="str"/>
      <x:c r="E309" s="119" t="str"/>
      <x:c r="F309" s="117" t="str">
        <x:v>Yes</x:v>
      </x:c>
      <x:c r="G309" s="118" t="n">
        <x:v>1</x:v>
      </x:c>
      <x:c r="H309" s="119" t="str">
        <x:v>Send_Invoice_to_Lockstep_Flow</x:v>
      </x:c>
      <x:c r="I309" s="119" t="str"/>
      <x:c r="J309" s="119" t="str">
        <x:v>Address, ContentDocumentLink, EmailTemplate, Invoice__c, Opportunity</x:v>
      </x:c>
    </x:row>
    <x:row r="310" ht="46" customHeight="1">
      <x:c r="A310" s="117" t="str">
        <x:v>Apex Class</x:v>
      </x:c>
      <x:c r="B310" s="117" t="str">
        <x:v>SendInvoiceToLockstepTestClass</x:v>
      </x:c>
      <x:c r="C310" s="119" t="str">
        <x:v>Internal / other</x:v>
      </x:c>
      <x:c r="D310" s="117" t="str"/>
      <x:c r="E310" s="119" t="str"/>
      <x:c r="F310" s="117" t="str">
        <x:v>No</x:v>
      </x:c>
      <x:c r="G310" s="118" t="n">
        <x:v>0</x:v>
      </x:c>
      <x:c r="H310" s="119" t="str"/>
      <x:c r="I310" s="119" t="str"/>
      <x:c r="J310" s="119" t="str">
        <x:v>Credit_Memo__c, Invoice__c, Opportunity, OpportunityLineItem</x:v>
      </x:c>
    </x:row>
    <x:row r="311" ht="46" customHeight="1">
      <x:c r="A311" s="117" t="str">
        <x:v>Apex Class</x:v>
      </x:c>
      <x:c r="B311" s="117" t="str">
        <x:v>ServiceContractInvoiceLineItems</x:v>
      </x:c>
      <x:c r="C311" s="119" t="str">
        <x:v>Internal / other</x:v>
      </x:c>
      <x:c r="D311" s="117" t="str"/>
      <x:c r="E311" s="119" t="str"/>
      <x:c r="F311" s="117" t="str">
        <x:v>No</x:v>
      </x:c>
      <x:c r="G311" s="118" t="n">
        <x:v>0</x:v>
      </x:c>
      <x:c r="H311" s="119" t="str"/>
      <x:c r="I311" s="119" t="str"/>
      <x:c r="J311" s="119" t="str">
        <x:v>ContractLineItem, Invoice__c, Opportunity, OpportunityLineItem</x:v>
      </x:c>
    </x:row>
    <x:row r="312" ht="46" customHeight="1">
      <x:c r="A312" s="117" t="str">
        <x:v>Apex Class</x:v>
      </x:c>
      <x:c r="B312" s="117" t="str">
        <x:v>ServiceReportHtml</x:v>
      </x:c>
      <x:c r="C312" s="119" t="str">
        <x:v>Aura Enabled</x:v>
      </x:c>
      <x:c r="D312" s="117" t="str"/>
      <x:c r="E312" s="119" t="str"/>
      <x:c r="F312" s="117" t="str">
        <x:v>No</x:v>
      </x:c>
      <x:c r="G312" s="118" t="n">
        <x:v>0</x:v>
      </x:c>
      <x:c r="H312" s="119" t="str"/>
      <x:c r="I312" s="119" t="str"/>
      <x:c r="J312" s="119" t="str">
        <x:v>Account, Address, Contact, Lead, Maintenance_Item__c, Order, ServiceAppointment, WorkOrder, WorkOrderLineItem, WorkType</x:v>
      </x:c>
    </x:row>
    <x:row r="313" ht="46" customHeight="1">
      <x:c r="A313" s="117" t="str">
        <x:v>Apex Class</x:v>
      </x:c>
      <x:c r="B313" s="117" t="str">
        <x:v>ServiceReportHtmlTest</x:v>
      </x:c>
      <x:c r="C313" s="119" t="str">
        <x:v>Internal / other</x:v>
      </x:c>
      <x:c r="D313" s="117" t="str"/>
      <x:c r="E313" s="119" t="str"/>
      <x:c r="F313" s="117" t="str">
        <x:v>No</x:v>
      </x:c>
      <x:c r="G313" s="118" t="n">
        <x:v>0</x:v>
      </x:c>
      <x:c r="H313" s="119" t="str"/>
      <x:c r="I313" s="119" t="str"/>
      <x:c r="J313" s="119" t="str">
        <x:v>ContentDocumentLink, PricebookEntry, Product2, WorkOrder, WorkOrderLineItem, WorkType</x:v>
      </x:c>
    </x:row>
    <x:row r="314" ht="46" customHeight="1">
      <x:c r="A314" s="117" t="str">
        <x:v>Apex Class</x:v>
      </x:c>
      <x:c r="B314" s="117" t="str">
        <x:v>ServiceSignatureController</x:v>
      </x:c>
      <x:c r="C314" s="119" t="str">
        <x:v>Aura Enabled</x:v>
      </x:c>
      <x:c r="D314" s="117" t="str"/>
      <x:c r="E314" s="119" t="str"/>
      <x:c r="F314" s="117" t="str">
        <x:v>No</x:v>
      </x:c>
      <x:c r="G314" s="118" t="n">
        <x:v>0</x:v>
      </x:c>
      <x:c r="H314" s="119" t="str"/>
      <x:c r="I314" s="119" t="str"/>
      <x:c r="J314" s="119" t="str">
        <x:v>Account, Address, Asset, Attachment, Order, Product2, ServiceResource, WorkOrder, WorkType</x:v>
      </x:c>
    </x:row>
    <x:row r="315" ht="46" customHeight="1">
      <x:c r="A315" s="117" t="str">
        <x:v>Apex Class</x:v>
      </x:c>
      <x:c r="B315" s="117" t="str">
        <x:v>ServiceSignatureControllerTest</x:v>
      </x:c>
      <x:c r="C315" s="119" t="str">
        <x:v>Internal / other</x:v>
      </x:c>
      <x:c r="D315" s="117" t="str"/>
      <x:c r="E315" s="119" t="str"/>
      <x:c r="F315" s="117" t="str">
        <x:v>No</x:v>
      </x:c>
      <x:c r="G315" s="118" t="n">
        <x:v>0</x:v>
      </x:c>
      <x:c r="H315" s="119" t="str"/>
      <x:c r="I315" s="119" t="str"/>
      <x:c r="J315" s="119" t="str">
        <x:v>Account, Attachment, ContentDocumentLink, Order, ServiceResource, User, WorkOrder, WorkType</x:v>
      </x:c>
    </x:row>
    <x:row r="316" ht="46" customHeight="1">
      <x:c r="A316" s="117" t="str">
        <x:v>Apex Class</x:v>
      </x:c>
      <x:c r="B316" s="117" t="str">
        <x:v>setCustomModifyDate</x:v>
      </x:c>
      <x:c r="C316" s="119" t="str">
        <x:v>Internal / other</x:v>
      </x:c>
      <x:c r="D316" s="117" t="str"/>
      <x:c r="E316" s="119" t="str"/>
      <x:c r="F316" s="117" t="str">
        <x:v>No</x:v>
      </x:c>
      <x:c r="G316" s="118" t="n">
        <x:v>0</x:v>
      </x:c>
      <x:c r="H316" s="119" t="str"/>
      <x:c r="I316" s="119" t="str"/>
      <x:c r="J316" s="119" t="str">
        <x:v>ProductItem__c</x:v>
      </x:c>
    </x:row>
    <x:row r="317" ht="46" customHeight="1">
      <x:c r="A317" s="117" t="str">
        <x:v>Apex Class</x:v>
      </x:c>
      <x:c r="B317" s="117" t="str">
        <x:v>setCustomModifyDateTestClass</x:v>
      </x:c>
      <x:c r="C317" s="119" t="str">
        <x:v>Internal / other</x:v>
      </x:c>
      <x:c r="D317" s="117" t="str"/>
      <x:c r="E317" s="119" t="str"/>
      <x:c r="F317" s="117" t="str">
        <x:v>No</x:v>
      </x:c>
      <x:c r="G317" s="118" t="n">
        <x:v>0</x:v>
      </x:c>
      <x:c r="H317" s="119" t="str"/>
      <x:c r="I317" s="119" t="str"/>
      <x:c r="J317" s="119" t="str">
        <x:v>Account, Product2, ProductItem__c</x:v>
      </x:c>
    </x:row>
    <x:row r="318" ht="46" customHeight="1">
      <x:c r="A318" s="117" t="str">
        <x:v>Apex Class</x:v>
      </x:c>
      <x:c r="B318" s="117" t="str">
        <x:v>SiteLoginController</x:v>
      </x:c>
      <x:c r="C318" s="119" t="str">
        <x:v>Internal / other</x:v>
      </x:c>
      <x:c r="D318" s="117" t="str"/>
      <x:c r="E318" s="119" t="str"/>
      <x:c r="F318" s="117" t="str">
        <x:v>No</x:v>
      </x:c>
      <x:c r="G318" s="118" t="n">
        <x:v>0</x:v>
      </x:c>
      <x:c r="H318" s="119" t="str"/>
      <x:c r="I318" s="119" t="str"/>
      <x:c r="J318" s="119" t="str"/>
    </x:row>
    <x:row r="319" ht="46" customHeight="1">
      <x:c r="A319" s="117" t="str">
        <x:v>Apex Class</x:v>
      </x:c>
      <x:c r="B319" s="117" t="str">
        <x:v>SiteLoginControllerTest</x:v>
      </x:c>
      <x:c r="C319" s="119" t="str">
        <x:v>Internal / other</x:v>
      </x:c>
      <x:c r="D319" s="117" t="str"/>
      <x:c r="E319" s="119" t="str"/>
      <x:c r="F319" s="117" t="str">
        <x:v>No</x:v>
      </x:c>
      <x:c r="G319" s="118" t="n">
        <x:v>0</x:v>
      </x:c>
      <x:c r="H319" s="119" t="str"/>
      <x:c r="I319" s="119" t="str"/>
      <x:c r="J319" s="119" t="str"/>
    </x:row>
    <x:row r="320" ht="46" customHeight="1">
      <x:c r="A320" s="117" t="str">
        <x:v>Apex Class</x:v>
      </x:c>
      <x:c r="B320" s="117" t="str">
        <x:v>SiteRegisterController</x:v>
      </x:c>
      <x:c r="C320" s="119" t="str">
        <x:v>Internal / other</x:v>
      </x:c>
      <x:c r="D320" s="117" t="str"/>
      <x:c r="E320" s="119" t="str"/>
      <x:c r="F320" s="117" t="str">
        <x:v>No</x:v>
      </x:c>
      <x:c r="G320" s="118" t="n">
        <x:v>0</x:v>
      </x:c>
      <x:c r="H320" s="119" t="str"/>
      <x:c r="I320" s="119" t="str"/>
      <x:c r="J320" s="119" t="str">
        <x:v>User</x:v>
      </x:c>
    </x:row>
    <x:row r="321" ht="46" customHeight="1">
      <x:c r="A321" s="117" t="str">
        <x:v>Apex Class</x:v>
      </x:c>
      <x:c r="B321" s="117" t="str">
        <x:v>SiteRegisterControllerTest</x:v>
      </x:c>
      <x:c r="C321" s="119" t="str">
        <x:v>Internal / other</x:v>
      </x:c>
      <x:c r="D321" s="117" t="str"/>
      <x:c r="E321" s="119" t="str"/>
      <x:c r="F321" s="117" t="str">
        <x:v>No</x:v>
      </x:c>
      <x:c r="G321" s="118" t="n">
        <x:v>0</x:v>
      </x:c>
      <x:c r="H321" s="119" t="str"/>
      <x:c r="I321" s="119" t="str"/>
      <x:c r="J321" s="119" t="str"/>
    </x:row>
    <x:row r="322" ht="46" customHeight="1">
      <x:c r="A322" s="117" t="str">
        <x:v>Apex Class</x:v>
      </x:c>
      <x:c r="B322" s="117" t="str">
        <x:v>SourcingRequest</x:v>
      </x:c>
      <x:c r="C322" s="119" t="str">
        <x:v>Internal / other</x:v>
      </x:c>
      <x:c r="D322" s="117" t="str"/>
      <x:c r="E322" s="119" t="str"/>
      <x:c r="F322" s="117" t="str">
        <x:v>No</x:v>
      </x:c>
      <x:c r="G322" s="118" t="n">
        <x:v>0</x:v>
      </x:c>
      <x:c r="H322" s="119" t="str"/>
      <x:c r="I322" s="119" t="str"/>
      <x:c r="J322" s="119" t="str">
        <x:v>Opportunity, OpportunityLineItem, ProductItem__c, Sourcing_Request_Item__c</x:v>
      </x:c>
    </x:row>
    <x:row r="323" ht="46" customHeight="1">
      <x:c r="A323" s="117" t="str">
        <x:v>Apex Class</x:v>
      </x:c>
      <x:c r="B323" s="117" t="str">
        <x:v>SourcingRequestTest</x:v>
      </x:c>
      <x:c r="C323" s="119" t="str">
        <x:v>Internal / other</x:v>
      </x:c>
      <x:c r="D323" s="117" t="str"/>
      <x:c r="E323" s="119" t="str"/>
      <x:c r="F323" s="117" t="str">
        <x:v>No</x:v>
      </x:c>
      <x:c r="G323" s="118" t="n">
        <x:v>0</x:v>
      </x:c>
      <x:c r="H323" s="119" t="str"/>
      <x:c r="I323" s="119" t="str"/>
      <x:c r="J323" s="119" t="str">
        <x:v>Account, Opportunity, OpportunityLineItem, PricebookEntry, Product2, ProductItem__c, Quote</x:v>
      </x:c>
    </x:row>
    <x:row r="324" ht="46" customHeight="1">
      <x:c r="A324" s="117" t="str">
        <x:v>Apex Class</x:v>
      </x:c>
      <x:c r="B324" s="117" t="str">
        <x:v>TemporaryTests</x:v>
      </x:c>
      <x:c r="C324" s="119" t="str">
        <x:v>Internal / other</x:v>
      </x:c>
      <x:c r="D324" s="117" t="str"/>
      <x:c r="E324" s="119" t="str"/>
      <x:c r="F324" s="117" t="str">
        <x:v>No</x:v>
      </x:c>
      <x:c r="G324" s="118" t="n">
        <x:v>0</x:v>
      </x:c>
      <x:c r="H324" s="119" t="str"/>
      <x:c r="I324" s="119" t="str"/>
      <x:c r="J324" s="119" t="str">
        <x:v>Account, Opportunity, OpportunityLineItem, Pricebook2, PricebookEntry, Product2, ProductItem__c, ProductTest__c, Product_Repair__c, RMA__c, RecordType, User</x:v>
      </x:c>
    </x:row>
    <x:row r="325" ht="46" customHeight="1">
      <x:c r="A325" s="117" t="str">
        <x:v>Apex Class</x:v>
      </x:c>
      <x:c r="B325" s="117" t="str">
        <x:v>Test_XFPTemplateTriggers</x:v>
      </x:c>
      <x:c r="C325" s="119" t="str">
        <x:v>Internal / other</x:v>
      </x:c>
      <x:c r="D325" s="117" t="str"/>
      <x:c r="E325" s="119" t="str"/>
      <x:c r="F325" s="117" t="str">
        <x:v>No</x:v>
      </x:c>
      <x:c r="G325" s="118" t="n">
        <x:v>0</x:v>
      </x:c>
      <x:c r="H325" s="119" t="str"/>
      <x:c r="I325" s="119" t="str"/>
      <x:c r="J325" s="119" t="str"/>
    </x:row>
    <x:row r="326" ht="46" customHeight="1">
      <x:c r="A326" s="117" t="str">
        <x:v>Apex Class</x:v>
      </x:c>
      <x:c r="B326" s="117" t="str">
        <x:v>TestBusiness_Opps</x:v>
      </x:c>
      <x:c r="C326" s="119" t="str">
        <x:v>Internal / other</x:v>
      </x:c>
      <x:c r="D326" s="117" t="str"/>
      <x:c r="E326" s="119" t="str"/>
      <x:c r="F326" s="117" t="str">
        <x:v>No</x:v>
      </x:c>
      <x:c r="G326" s="118" t="n">
        <x:v>0</x:v>
      </x:c>
      <x:c r="H326" s="119" t="str"/>
      <x:c r="I326" s="119" t="str"/>
      <x:c r="J326" s="119" t="str">
        <x:v>Account, Asset, Case, Contact, Opportunity, OpportunityLineItem, Order, Product2, ProductItem__c, Quote, RMA__c, RecordType, User</x:v>
      </x:c>
    </x:row>
    <x:row r="327" ht="46" customHeight="1">
      <x:c r="A327" s="117" t="str">
        <x:v>Apex Class</x:v>
      </x:c>
      <x:c r="B327" s="117" t="str">
        <x:v>TestDataFactory</x:v>
      </x:c>
      <x:c r="C327" s="119" t="str">
        <x:v>Internal / other</x:v>
      </x:c>
      <x:c r="D327" s="117" t="str"/>
      <x:c r="E327" s="119" t="str"/>
      <x:c r="F327" s="117" t="str">
        <x:v>No</x:v>
      </x:c>
      <x:c r="G327" s="118" t="n">
        <x:v>0</x:v>
      </x:c>
      <x:c r="H327" s="119" t="str"/>
      <x:c r="I327" s="119" t="str"/>
      <x:c r="J327" s="119" t="str">
        <x:v>Account, Contact, Evaluation_Natalie__c, Opportunity, OpportunityContactRole, OpportunityLineItem, PricebookEntry, Product2, ProductItem__c, ProductTest__c, Product_Analytics__c, Product_Repair__c, RMA__c, RecordType, User</x:v>
      </x:c>
    </x:row>
    <x:row r="328" ht="46" customHeight="1">
      <x:c r="A328" s="117" t="str">
        <x:v>Apex Class</x:v>
      </x:c>
      <x:c r="B328" s="117" t="str">
        <x:v>TestDataFactoryTest</x:v>
      </x:c>
      <x:c r="C328" s="119" t="str">
        <x:v>Internal / other</x:v>
      </x:c>
      <x:c r="D328" s="117" t="str"/>
      <x:c r="E328" s="119" t="str"/>
      <x:c r="F328" s="117" t="str">
        <x:v>No</x:v>
      </x:c>
      <x:c r="G328" s="118" t="n">
        <x:v>0</x:v>
      </x:c>
      <x:c r="H328" s="119" t="str"/>
      <x:c r="I328" s="119" t="str"/>
      <x:c r="J328" s="119" t="str">
        <x:v>Account, Evaluation_Natalie__c, Opportunity, OpportunityLineItem, Order, PricebookEntry, Product2, ProductItem__c, ProductTest__c, Product_Repair__c, RMA__c, User</x:v>
      </x:c>
    </x:row>
    <x:row r="329" ht="46" customHeight="1">
      <x:c r="A329" s="117" t="str">
        <x:v>Apex Class</x:v>
      </x:c>
      <x:c r="B329" s="117" t="str">
        <x:v>TestInvoiceOppProductClass</x:v>
      </x:c>
      <x:c r="C329" s="119" t="str">
        <x:v>Internal / other</x:v>
      </x:c>
      <x:c r="D329" s="117" t="str"/>
      <x:c r="E329" s="119" t="str"/>
      <x:c r="F329" s="117" t="str">
        <x:v>No</x:v>
      </x:c>
      <x:c r="G329" s="118" t="n">
        <x:v>0</x:v>
      </x:c>
      <x:c r="H329" s="119" t="str"/>
      <x:c r="I329" s="119" t="str"/>
      <x:c r="J329" s="119" t="str">
        <x:v>Invoice__c</x:v>
      </x:c>
    </x:row>
    <x:row r="330" ht="46" customHeight="1">
      <x:c r="A330" s="117" t="str">
        <x:v>Apex Class</x:v>
      </x:c>
      <x:c r="B330" s="117" t="str">
        <x:v>TestInvoiceServiceContractClass</x:v>
      </x:c>
      <x:c r="C330" s="119" t="str">
        <x:v>Internal / other</x:v>
      </x:c>
      <x:c r="D330" s="117" t="str"/>
      <x:c r="E330" s="119" t="str"/>
      <x:c r="F330" s="117" t="str">
        <x:v>No</x:v>
      </x:c>
      <x:c r="G330" s="118" t="n">
        <x:v>0</x:v>
      </x:c>
      <x:c r="H330" s="119" t="str"/>
      <x:c r="I330" s="119" t="str"/>
      <x:c r="J330" s="119" t="str">
        <x:v>Account, ContractLineItem, Invoice__c, Opportunity, ServiceContract</x:v>
      </x:c>
    </x:row>
    <x:row r="331" ht="46" customHeight="1">
      <x:c r="A331" s="117" t="str">
        <x:v>Apex Class</x:v>
      </x:c>
      <x:c r="B331" s="117" t="str">
        <x:v>TestNameTriggerTestClass</x:v>
      </x:c>
      <x:c r="C331" s="119" t="str">
        <x:v>Internal / other</x:v>
      </x:c>
      <x:c r="D331" s="117" t="str"/>
      <x:c r="E331" s="119" t="str"/>
      <x:c r="F331" s="117" t="str">
        <x:v>No</x:v>
      </x:c>
      <x:c r="G331" s="118" t="n">
        <x:v>0</x:v>
      </x:c>
      <x:c r="H331" s="119" t="str"/>
      <x:c r="I331" s="119" t="str"/>
      <x:c r="J331" s="119" t="str">
        <x:v>Case, Product2, ProductItem__c, ProductTest__c, Product_Repair__c, RMA__c</x:v>
      </x:c>
    </x:row>
    <x:row r="332" ht="46" customHeight="1">
      <x:c r="A332" s="117" t="str">
        <x:v>Apex Class</x:v>
      </x:c>
      <x:c r="B332" s="117" t="str">
        <x:v>TestpreventDeleteClosedOwn</x:v>
      </x:c>
      <x:c r="C332" s="119" t="str">
        <x:v>Internal / other</x:v>
      </x:c>
      <x:c r="D332" s="117" t="str"/>
      <x:c r="E332" s="119" t="str"/>
      <x:c r="F332" s="117" t="str">
        <x:v>No</x:v>
      </x:c>
      <x:c r="G332" s="118" t="n">
        <x:v>0</x:v>
      </x:c>
      <x:c r="H332" s="119" t="str"/>
      <x:c r="I332" s="119" t="str"/>
      <x:c r="J332" s="119" t="str">
        <x:v>Account, Opportunity</x:v>
      </x:c>
    </x:row>
    <x:row r="333" ht="46" customHeight="1">
      <x:c r="A333" s="117" t="str">
        <x:v>Apex Class</x:v>
      </x:c>
      <x:c r="B333" s="117" t="str">
        <x:v>UKBusinessHoursTest</x:v>
      </x:c>
      <x:c r="C333" s="119" t="str">
        <x:v>Internal / other</x:v>
      </x:c>
      <x:c r="D333" s="117" t="str"/>
      <x:c r="E333" s="119" t="str"/>
      <x:c r="F333" s="117" t="str">
        <x:v>No</x:v>
      </x:c>
      <x:c r="G333" s="118" t="n">
        <x:v>0</x:v>
      </x:c>
      <x:c r="H333" s="119" t="str"/>
      <x:c r="I333" s="119" t="str"/>
      <x:c r="J333" s="119" t="str">
        <x:v>ServiceContract, WorkOrder</x:v>
      </x:c>
    </x:row>
    <x:row r="334" ht="46" customHeight="1">
      <x:c r="A334" s="117" t="str">
        <x:v>Apex Class</x:v>
      </x:c>
      <x:c r="B334" s="117" t="str">
        <x:v>UpdateAccountBatch</x:v>
      </x:c>
      <x:c r="C334" s="119" t="str">
        <x:v>Internal / other</x:v>
      </x:c>
      <x:c r="D334" s="117" t="str"/>
      <x:c r="E334" s="119" t="str"/>
      <x:c r="F334" s="117" t="str">
        <x:v>No</x:v>
      </x:c>
      <x:c r="G334" s="118" t="n">
        <x:v>0</x:v>
      </x:c>
      <x:c r="H334" s="119" t="str"/>
      <x:c r="I334" s="119" t="str"/>
      <x:c r="J334" s="119" t="str">
        <x:v>Account, Event, Opportunity, OpportunityLineItem, RecordType, Task</x:v>
      </x:c>
    </x:row>
    <x:row r="335" ht="46" customHeight="1">
      <x:c r="A335" s="117" t="str">
        <x:v>Apex Class</x:v>
      </x:c>
      <x:c r="B335" s="117" t="str">
        <x:v>UpdateAccountBatchTestClass</x:v>
      </x:c>
      <x:c r="C335" s="119" t="str">
        <x:v>Internal / other</x:v>
      </x:c>
      <x:c r="D335" s="117" t="str"/>
      <x:c r="E335" s="119" t="str"/>
      <x:c r="F335" s="117" t="str">
        <x:v>No</x:v>
      </x:c>
      <x:c r="G335" s="118" t="n">
        <x:v>0</x:v>
      </x:c>
      <x:c r="H335" s="119" t="str"/>
      <x:c r="I335" s="119" t="str"/>
      <x:c r="J335" s="119" t="str">
        <x:v>Account, Opportunity, OpportunityLineItem, PricebookEntry, Product2, ProductItem__c, User</x:v>
      </x:c>
    </x:row>
    <x:row r="336" ht="46" customHeight="1">
      <x:c r="A336" s="117" t="str">
        <x:v>Apex Class</x:v>
      </x:c>
      <x:c r="B336" s="117" t="str">
        <x:v>UpdateActionPlanStatusTest</x:v>
      </x:c>
      <x:c r="C336" s="119" t="str">
        <x:v>Internal / other</x:v>
      </x:c>
      <x:c r="D336" s="117" t="str"/>
      <x:c r="E336" s="119" t="str"/>
      <x:c r="F336" s="117" t="str">
        <x:v>No</x:v>
      </x:c>
      <x:c r="G336" s="118" t="n">
        <x:v>0</x:v>
      </x:c>
      <x:c r="H336" s="119" t="str"/>
      <x:c r="I336" s="119" t="str"/>
      <x:c r="J336" s="119" t="str"/>
    </x:row>
    <x:row r="337" ht="46" customHeight="1">
      <x:c r="A337" s="117" t="str">
        <x:v>Apex Class</x:v>
      </x:c>
      <x:c r="B337" s="117" t="str">
        <x:v>UpdateOpportunityFieldsTestClass</x:v>
      </x:c>
      <x:c r="C337" s="119" t="str">
        <x:v>Internal / other</x:v>
      </x:c>
      <x:c r="D337" s="117" t="str"/>
      <x:c r="E337" s="119" t="str"/>
      <x:c r="F337" s="117" t="str">
        <x:v>No</x:v>
      </x:c>
      <x:c r="G337" s="118" t="n">
        <x:v>0</x:v>
      </x:c>
      <x:c r="H337" s="119" t="str"/>
      <x:c r="I337" s="119" t="str"/>
      <x:c r="J337" s="119" t="str">
        <x:v>Account, OpportunityLineItem, Pricebook2, PricebookEntry, Product2, ProductItem__c, RecordType</x:v>
      </x:c>
    </x:row>
    <x:row r="338" ht="46" customHeight="1">
      <x:c r="A338" s="117" t="str">
        <x:v>Apex Class</x:v>
      </x:c>
      <x:c r="B338" s="117" t="str">
        <x:v>UpdateOpportunityTest</x:v>
      </x:c>
      <x:c r="C338" s="119" t="str">
        <x:v>Internal / other</x:v>
      </x:c>
      <x:c r="D338" s="117" t="str"/>
      <x:c r="E338" s="119" t="str"/>
      <x:c r="F338" s="117" t="str">
        <x:v>No</x:v>
      </x:c>
      <x:c r="G338" s="118" t="n">
        <x:v>0</x:v>
      </x:c>
      <x:c r="H338" s="119" t="str"/>
      <x:c r="I338" s="119" t="str"/>
      <x:c r="J338" s="119" t="str">
        <x:v>Account, Invoice__c, Opportunity, OpportunityLineItem, PricebookEntry, Product2, ProductItem__c, User</x:v>
      </x:c>
    </x:row>
    <x:row r="339" ht="46" customHeight="1">
      <x:c r="A339" s="117" t="str">
        <x:v>Apex Class</x:v>
      </x:c>
      <x:c r="B339" s="117" t="str">
        <x:v>UpdateProductFieldBatch</x:v>
      </x:c>
      <x:c r="C339" s="119" t="str">
        <x:v>Internal / other</x:v>
      </x:c>
      <x:c r="D339" s="117" t="str"/>
      <x:c r="E339" s="119" t="str"/>
      <x:c r="F339" s="117" t="str">
        <x:v>No</x:v>
      </x:c>
      <x:c r="G339" s="118" t="n">
        <x:v>0</x:v>
      </x:c>
      <x:c r="H339" s="119" t="str"/>
      <x:c r="I339" s="119" t="str"/>
      <x:c r="J339" s="119" t="str">
        <x:v>Opportunity, OpportunityLineItem, Product2, ProductItem__c, Quote, RecordType</x:v>
      </x:c>
    </x:row>
    <x:row r="340" ht="46" customHeight="1">
      <x:c r="A340" s="117" t="str">
        <x:v>Apex Class</x:v>
      </x:c>
      <x:c r="B340" s="117" t="str">
        <x:v>UpdateProductFieldBatchTest</x:v>
      </x:c>
      <x:c r="C340" s="119" t="str">
        <x:v>Internal / other</x:v>
      </x:c>
      <x:c r="D340" s="117" t="str"/>
      <x:c r="E340" s="119" t="str"/>
      <x:c r="F340" s="117" t="str">
        <x:v>No</x:v>
      </x:c>
      <x:c r="G340" s="118" t="n">
        <x:v>0</x:v>
      </x:c>
      <x:c r="H340" s="119" t="str"/>
      <x:c r="I340" s="119" t="str"/>
      <x:c r="J340" s="119" t="str">
        <x:v>Account, Opportunity, OpportunityLineItem, Pricebook2, PricebookEntry, Product2, ProductItem__c, User</x:v>
      </x:c>
    </x:row>
    <x:row r="341" ht="46" customHeight="1">
      <x:c r="A341" s="117" t="str">
        <x:v>Apex Class</x:v>
      </x:c>
      <x:c r="B341" s="117" t="str">
        <x:v>UpdateProductFieldMonthlyBatch</x:v>
      </x:c>
      <x:c r="C341" s="119" t="str">
        <x:v>Internal / other</x:v>
      </x:c>
      <x:c r="D341" s="117" t="str"/>
      <x:c r="E341" s="119" t="str"/>
      <x:c r="F341" s="117" t="str">
        <x:v>No</x:v>
      </x:c>
      <x:c r="G341" s="118" t="n">
        <x:v>0</x:v>
      </x:c>
      <x:c r="H341" s="119" t="str"/>
      <x:c r="I341" s="119" t="str"/>
      <x:c r="J341" s="119" t="str">
        <x:v>Opportunity, OpportunityLineItem, Product2, Quote, RecordType</x:v>
      </x:c>
    </x:row>
    <x:row r="342" ht="46" customHeight="1">
      <x:c r="A342" s="117" t="str">
        <x:v>Apex Class</x:v>
      </x:c>
      <x:c r="B342" s="117" t="str">
        <x:v>UpdateProductFieldMonthlyBatchTestClass</x:v>
      </x:c>
      <x:c r="C342" s="119" t="str">
        <x:v>Internal / other</x:v>
      </x:c>
      <x:c r="D342" s="117" t="str"/>
      <x:c r="E342" s="119" t="str"/>
      <x:c r="F342" s="117" t="str">
        <x:v>No</x:v>
      </x:c>
      <x:c r="G342" s="118" t="n">
        <x:v>0</x:v>
      </x:c>
      <x:c r="H342" s="119" t="str"/>
      <x:c r="I342" s="119" t="str"/>
      <x:c r="J342" s="119" t="str">
        <x:v>Account, Opportunity, OpportunityLineItem, Pricebook2, PricebookEntry, Product2, ProductItem__c, Product_Repair__c, RecordType, User</x:v>
      </x:c>
    </x:row>
    <x:row r="343" ht="46" customHeight="1">
      <x:c r="A343" s="117" t="str">
        <x:v>Apex Class</x:v>
      </x:c>
      <x:c r="B343" s="117" t="str">
        <x:v>UpdateProductFieldOtherBatch</x:v>
      </x:c>
      <x:c r="C343" s="119" t="str">
        <x:v>Internal / other</x:v>
      </x:c>
      <x:c r="D343" s="117" t="str"/>
      <x:c r="E343" s="119" t="str"/>
      <x:c r="F343" s="117" t="str">
        <x:v>No</x:v>
      </x:c>
      <x:c r="G343" s="118" t="n">
        <x:v>0</x:v>
      </x:c>
      <x:c r="H343" s="119" t="str"/>
      <x:c r="I343" s="119" t="str"/>
      <x:c r="J343" s="119" t="str">
        <x:v>Opportunity, OpportunityLineItem, Product2, Quote, RecordType</x:v>
      </x:c>
    </x:row>
    <x:row r="344" ht="46" customHeight="1">
      <x:c r="A344" s="117" t="str">
        <x:v>Apex Class</x:v>
      </x:c>
      <x:c r="B344" s="117" t="str">
        <x:v>UpdateProductFieldOtherBatchTestClass</x:v>
      </x:c>
      <x:c r="C344" s="119" t="str">
        <x:v>Internal / other</x:v>
      </x:c>
      <x:c r="D344" s="117" t="str"/>
      <x:c r="E344" s="119" t="str"/>
      <x:c r="F344" s="117" t="str">
        <x:v>No</x:v>
      </x:c>
      <x:c r="G344" s="118" t="n">
        <x:v>0</x:v>
      </x:c>
      <x:c r="H344" s="119" t="str"/>
      <x:c r="I344" s="119" t="str"/>
      <x:c r="J344" s="119" t="str">
        <x:v>Opportunity, OpportunityLineItem, PricebookEntry, Product2, ProductItem__c, User</x:v>
      </x:c>
    </x:row>
    <x:row r="345" ht="46" customHeight="1">
      <x:c r="A345" s="117" t="str">
        <x:v>Apex Class</x:v>
      </x:c>
      <x:c r="B345" s="117" t="str">
        <x:v>UpdateProductItemCosts</x:v>
      </x:c>
      <x:c r="C345" s="119" t="str">
        <x:v>Invocable</x:v>
      </x:c>
      <x:c r="D345" s="117" t="str"/>
      <x:c r="E345" s="119" t="str"/>
      <x:c r="F345" s="117" t="str">
        <x:v>Yes</x:v>
      </x:c>
      <x:c r="G345" s="118" t="n">
        <x:v>2</x:v>
      </x:c>
      <x:c r="H345" s="119" t="str">
        <x:v>Create_IR_from_Opp, Create_Item_Receipt_from_Opp</x:v>
      </x:c>
      <x:c r="I345" s="119" t="str"/>
      <x:c r="J345" s="119" t="str">
        <x:v>Opportunity, OpportunityLineItem, ProductItem__c</x:v>
      </x:c>
    </x:row>
    <x:row r="346" ht="46" customHeight="1">
      <x:c r="A346" s="117" t="str">
        <x:v>Apex Class</x:v>
      </x:c>
      <x:c r="B346" s="117" t="str">
        <x:v>UpdateProductItemCostsTest</x:v>
      </x:c>
      <x:c r="C346" s="119" t="str">
        <x:v>Internal / other</x:v>
      </x:c>
      <x:c r="D346" s="117" t="str"/>
      <x:c r="E346" s="119" t="str"/>
      <x:c r="F346" s="117" t="str">
        <x:v>No</x:v>
      </x:c>
      <x:c r="G346" s="118" t="n">
        <x:v>0</x:v>
      </x:c>
      <x:c r="H346" s="119" t="str"/>
      <x:c r="I346" s="119" t="str"/>
      <x:c r="J346" s="119" t="str">
        <x:v>Opportunity, OpportunityLineItem, Pricebook2, PricebookEntry, Product2, ProductItem__c</x:v>
      </x:c>
    </x:row>
    <x:row r="347" ht="46" customHeight="1">
      <x:c r="A347" s="117" t="str">
        <x:v>Apex Class</x:v>
      </x:c>
      <x:c r="B347" s="117" t="str">
        <x:v>updateProductRepairTriggerTestClass</x:v>
      </x:c>
      <x:c r="C347" s="119" t="str">
        <x:v>Internal / other</x:v>
      </x:c>
      <x:c r="D347" s="117" t="str"/>
      <x:c r="E347" s="119" t="str"/>
      <x:c r="F347" s="117" t="str">
        <x:v>No</x:v>
      </x:c>
      <x:c r="G347" s="118" t="n">
        <x:v>0</x:v>
      </x:c>
      <x:c r="H347" s="119" t="str"/>
      <x:c r="I347" s="119" t="str"/>
      <x:c r="J347" s="119" t="str"/>
    </x:row>
    <x:row r="348" ht="46" customHeight="1">
      <x:c r="A348" s="117" t="str">
        <x:v>Apex Class</x:v>
      </x:c>
      <x:c r="B348" s="117" t="str">
        <x:v>updateRMA_test</x:v>
      </x:c>
      <x:c r="C348" s="119" t="str">
        <x:v>Internal / other</x:v>
      </x:c>
      <x:c r="D348" s="117" t="str"/>
      <x:c r="E348" s="119" t="str"/>
      <x:c r="F348" s="117" t="str">
        <x:v>No</x:v>
      </x:c>
      <x:c r="G348" s="118" t="n">
        <x:v>0</x:v>
      </x:c>
      <x:c r="H348" s="119" t="str"/>
      <x:c r="I348" s="119" t="str"/>
      <x:c r="J348" s="119" t="str">
        <x:v>Account, Opportunity, OpportunityLineItem, PricebookEntry, Product2, ProductItem__c, Product_Repair__c, RMA__c, User</x:v>
      </x:c>
    </x:row>
    <x:row r="349" ht="46" customHeight="1">
      <x:c r="A349" s="117" t="str">
        <x:v>Apex Class</x:v>
      </x:c>
      <x:c r="B349" s="117" t="str">
        <x:v>UpdateRMABatch</x:v>
      </x:c>
      <x:c r="C349" s="119" t="str">
        <x:v>Internal / other</x:v>
      </x:c>
      <x:c r="D349" s="117" t="str"/>
      <x:c r="E349" s="119" t="str"/>
      <x:c r="F349" s="117" t="str">
        <x:v>No</x:v>
      </x:c>
      <x:c r="G349" s="118" t="n">
        <x:v>0</x:v>
      </x:c>
      <x:c r="H349" s="119" t="str"/>
      <x:c r="I349" s="119" t="str"/>
      <x:c r="J349" s="119" t="str">
        <x:v>RMA__c</x:v>
      </x:c>
    </x:row>
    <x:row r="350" ht="46" customHeight="1">
      <x:c r="A350" s="117" t="str">
        <x:v>Apex Class</x:v>
      </x:c>
      <x:c r="B350" s="117" t="str">
        <x:v>UpdateRMABatchTest</x:v>
      </x:c>
      <x:c r="C350" s="119" t="str">
        <x:v>Internal / other</x:v>
      </x:c>
      <x:c r="D350" s="117" t="str"/>
      <x:c r="E350" s="119" t="str"/>
      <x:c r="F350" s="117" t="str">
        <x:v>No</x:v>
      </x:c>
      <x:c r="G350" s="118" t="n">
        <x:v>0</x:v>
      </x:c>
      <x:c r="H350" s="119" t="str"/>
      <x:c r="I350" s="119" t="str"/>
      <x:c r="J350" s="119" t="str">
        <x:v>Account, RMA__c</x:v>
      </x:c>
    </x:row>
    <x:row r="351" ht="46" customHeight="1">
      <x:c r="A351" s="117" t="str">
        <x:v>Apex Class</x:v>
      </x:c>
      <x:c r="B351" s="117" t="str">
        <x:v>UserHasAccess</x:v>
      </x:c>
      <x:c r="C351" s="119" t="str">
        <x:v>Aura Enabled</x:v>
      </x:c>
      <x:c r="D351" s="117" t="str"/>
      <x:c r="E351" s="119" t="str"/>
      <x:c r="F351" s="117" t="str">
        <x:v>No</x:v>
      </x:c>
      <x:c r="G351" s="118" t="n">
        <x:v>0</x:v>
      </x:c>
      <x:c r="H351" s="119" t="str"/>
      <x:c r="I351" s="119" t="str"/>
      <x:c r="J351" s="119" t="str">
        <x:v>PermissionSetAssignment</x:v>
      </x:c>
    </x:row>
    <x:row r="352" ht="46" customHeight="1">
      <x:c r="A352" s="117" t="str">
        <x:v>Apex Class</x:v>
      </x:c>
      <x:c r="B352" s="117" t="str">
        <x:v>UserHasAccessTest</x:v>
      </x:c>
      <x:c r="C352" s="119" t="str">
        <x:v>Internal / other</x:v>
      </x:c>
      <x:c r="D352" s="117" t="str"/>
      <x:c r="E352" s="119" t="str"/>
      <x:c r="F352" s="117" t="str">
        <x:v>No</x:v>
      </x:c>
      <x:c r="G352" s="118" t="n">
        <x:v>0</x:v>
      </x:c>
      <x:c r="H352" s="119" t="str"/>
      <x:c r="I352" s="119" t="str"/>
      <x:c r="J352" s="119" t="str">
        <x:v>Account, Opportunity, PermissionSetAssignment, User</x:v>
      </x:c>
    </x:row>
    <x:row r="353" ht="46" customHeight="1">
      <x:c r="A353" s="117" t="str">
        <x:v>Apex Class</x:v>
      </x:c>
      <x:c r="B353" s="117" t="str">
        <x:v>UserUtilities</x:v>
      </x:c>
      <x:c r="C353" s="119" t="str">
        <x:v>Internal / other</x:v>
      </x:c>
      <x:c r="D353" s="117" t="str"/>
      <x:c r="E353" s="119" t="str"/>
      <x:c r="F353" s="117" t="str">
        <x:v>No</x:v>
      </x:c>
      <x:c r="G353" s="118" t="n">
        <x:v>0</x:v>
      </x:c>
      <x:c r="H353" s="119" t="str"/>
      <x:c r="I353" s="119" t="str"/>
      <x:c r="J353" s="119" t="str">
        <x:v>User</x:v>
      </x:c>
    </x:row>
    <x:row r="354" ht="46" customHeight="1">
      <x:c r="A354" s="117" t="str">
        <x:v>Apex Class</x:v>
      </x:c>
      <x:c r="B354" s="117" t="str">
        <x:v>Validator_Class</x:v>
      </x:c>
      <x:c r="C354" s="119" t="str">
        <x:v>Internal / other</x:v>
      </x:c>
      <x:c r="D354" s="117" t="str"/>
      <x:c r="E354" s="119" t="str"/>
      <x:c r="F354" s="117" t="str">
        <x:v>No</x:v>
      </x:c>
      <x:c r="G354" s="118" t="n">
        <x:v>0</x:v>
      </x:c>
      <x:c r="H354" s="119" t="str"/>
      <x:c r="I354" s="119" t="str"/>
      <x:c r="J354" s="119" t="str"/>
    </x:row>
    <x:row r="355" ht="46" customHeight="1">
      <x:c r="A355" s="117" t="str">
        <x:v>Apex Class</x:v>
      </x:c>
      <x:c r="B355" s="117" t="str">
        <x:v>Validator_ClassTest</x:v>
      </x:c>
      <x:c r="C355" s="119" t="str">
        <x:v>Internal / other</x:v>
      </x:c>
      <x:c r="D355" s="117" t="str"/>
      <x:c r="E355" s="119" t="str"/>
      <x:c r="F355" s="117" t="str">
        <x:v>No</x:v>
      </x:c>
      <x:c r="G355" s="118" t="n">
        <x:v>0</x:v>
      </x:c>
      <x:c r="H355" s="119" t="str"/>
      <x:c r="I355" s="119" t="str"/>
      <x:c r="J355" s="119" t="str"/>
    </x:row>
    <x:row r="356" ht="46" customHeight="1">
      <x:c r="A356" s="117" t="str">
        <x:v>Apex Class</x:v>
      </x:c>
      <x:c r="B356" s="117" t="str">
        <x:v>ViewBarcodeExtension</x:v>
      </x:c>
      <x:c r="C356" s="119" t="str">
        <x:v>Internal / other</x:v>
      </x:c>
      <x:c r="D356" s="117" t="str"/>
      <x:c r="E356" s="119" t="str"/>
      <x:c r="F356" s="117" t="str">
        <x:v>No</x:v>
      </x:c>
      <x:c r="G356" s="118" t="n">
        <x:v>0</x:v>
      </x:c>
      <x:c r="H356" s="119" t="str"/>
      <x:c r="I356" s="119" t="str"/>
      <x:c r="J356" s="119" t="str">
        <x:v>Harvest_Work_Order__c, ProductItem__c</x:v>
      </x:c>
    </x:row>
    <x:row r="357" ht="46" customHeight="1">
      <x:c r="A357" s="117" t="str">
        <x:v>Apex Class</x:v>
      </x:c>
      <x:c r="B357" s="117" t="str">
        <x:v>ViewBarcodeExtensionTest</x:v>
      </x:c>
      <x:c r="C357" s="119" t="str">
        <x:v>Internal / other</x:v>
      </x:c>
      <x:c r="D357" s="117" t="str"/>
      <x:c r="E357" s="119" t="str"/>
      <x:c r="F357" s="117" t="str">
        <x:v>No</x:v>
      </x:c>
      <x:c r="G357" s="118" t="n">
        <x:v>0</x:v>
      </x:c>
      <x:c r="H357" s="119" t="str"/>
      <x:c r="I357" s="119" t="str"/>
      <x:c r="J357" s="119" t="str">
        <x:v>Harvest_Work_Order__c, Order, Product2, ProductItem__c, System_Work_Order__c</x:v>
      </x:c>
    </x:row>
    <x:row r="358" ht="46" customHeight="1">
      <x:c r="A358" s="117" t="str">
        <x:v>Apex Class</x:v>
      </x:c>
      <x:c r="B358" s="117" t="str">
        <x:v>WorkOrderEntryMerge</x:v>
      </x:c>
      <x:c r="C358" s="119" t="str">
        <x:v>Internal / other</x:v>
      </x:c>
      <x:c r="D358" s="117" t="str"/>
      <x:c r="E358" s="119" t="str"/>
      <x:c r="F358" s="117" t="str">
        <x:v>No</x:v>
      </x:c>
      <x:c r="G358" s="118" t="n">
        <x:v>0</x:v>
      </x:c>
      <x:c r="H358" s="119" t="str"/>
      <x:c r="I358" s="119" t="str"/>
      <x:c r="J358" s="119" t="str">
        <x:v>Address, RMA__c, WorkOrder</x:v>
      </x:c>
    </x:row>
    <x:row r="359" ht="46" customHeight="1">
      <x:c r="A359" s="117" t="str">
        <x:v>Apex Class</x:v>
      </x:c>
      <x:c r="B359" s="117" t="str">
        <x:v>WorkOrderEntryMergeTest</x:v>
      </x:c>
      <x:c r="C359" s="119" t="str">
        <x:v>Internal / other</x:v>
      </x:c>
      <x:c r="D359" s="117" t="str"/>
      <x:c r="E359" s="119" t="str"/>
      <x:c r="F359" s="117" t="str">
        <x:v>No</x:v>
      </x:c>
      <x:c r="G359" s="118" t="n">
        <x:v>0</x:v>
      </x:c>
      <x:c r="H359" s="119" t="str"/>
      <x:c r="I359" s="119" t="str"/>
      <x:c r="J359" s="119" t="str">
        <x:v>WorkOrder</x:v>
      </x:c>
    </x:row>
    <x:row r="360" ht="46" customHeight="1">
      <x:c r="A360" s="117" t="str">
        <x:v>Apex Class</x:v>
      </x:c>
      <x:c r="B360" s="117" t="str">
        <x:v>WorkOrderGenerationExtensionV2</x:v>
      </x:c>
      <x:c r="C360" s="119" t="str">
        <x:v>Internal / other</x:v>
      </x:c>
      <x:c r="D360" s="117" t="str"/>
      <x:c r="E360" s="119" t="str"/>
      <x:c r="F360" s="117" t="str">
        <x:v>No</x:v>
      </x:c>
      <x:c r="G360" s="118" t="n">
        <x:v>0</x:v>
      </x:c>
      <x:c r="H360" s="119" t="str"/>
      <x:c r="I360" s="119" t="str"/>
      <x:c r="J360" s="119" t="str">
        <x:v>Account, Address, Attachment, Opportunity, Order, ProductItem__c, ServiceContract, WorkOrder</x:v>
      </x:c>
    </x:row>
    <x:row r="361" ht="46" customHeight="1">
      <x:c r="A361" s="117" t="str">
        <x:v>Apex Class</x:v>
      </x:c>
      <x:c r="B361" s="117" t="str">
        <x:v>WorkOrderGenerationExtensionV2Test</x:v>
      </x:c>
      <x:c r="C361" s="119" t="str">
        <x:v>Internal / other</x:v>
      </x:c>
      <x:c r="D361" s="117" t="str"/>
      <x:c r="E361" s="119" t="str"/>
      <x:c r="F361" s="117" t="str">
        <x:v>No</x:v>
      </x:c>
      <x:c r="G361" s="118" t="n">
        <x:v>0</x:v>
      </x:c>
      <x:c r="H361" s="119" t="str"/>
      <x:c r="I361" s="119" t="str"/>
      <x:c r="J361" s="119" t="str">
        <x:v>Account, Opportunity, ProductItem__c, ServiceContract, WorkOrder</x:v>
      </x:c>
    </x:row>
    <x:row r="362" ht="46" customHeight="1">
      <x:c r="A362" s="117" t="str">
        <x:v>Apex Class</x:v>
      </x:c>
      <x:c r="B362" s="117" t="str">
        <x:v>WorkOrderHelper</x:v>
      </x:c>
      <x:c r="C362" s="119" t="str">
        <x:v>Internal / other</x:v>
      </x:c>
      <x:c r="D362" s="117" t="str"/>
      <x:c r="E362" s="119" t="str"/>
      <x:c r="F362" s="117" t="str">
        <x:v>No</x:v>
      </x:c>
      <x:c r="G362" s="118" t="n">
        <x:v>0</x:v>
      </x:c>
      <x:c r="H362" s="119" t="str"/>
      <x:c r="I362" s="119" t="str"/>
      <x:c r="J362" s="119" t="str">
        <x:v>Opportunity, OpportunityLineItem, ProductItem__c, Product_Repair__c, RecordType</x:v>
      </x:c>
    </x:row>
    <x:row r="363" ht="46" customHeight="1">
      <x:c r="A363" s="117" t="str">
        <x:v>Apex Class</x:v>
      </x:c>
      <x:c r="B363" s="117" t="str">
        <x:v>WorkOrderLineItemRollupHandler</x:v>
      </x:c>
      <x:c r="C363" s="119" t="str">
        <x:v>Internal / other</x:v>
      </x:c>
      <x:c r="D363" s="117" t="str"/>
      <x:c r="E363" s="119" t="str"/>
      <x:c r="F363" s="117" t="str">
        <x:v>No</x:v>
      </x:c>
      <x:c r="G363" s="118" t="n">
        <x:v>0</x:v>
      </x:c>
      <x:c r="H363" s="119" t="str"/>
      <x:c r="I363" s="119" t="str"/>
      <x:c r="J363" s="119" t="str">
        <x:v>Order, RecordType, ServiceAppointment, WorkOrder, WorkOrderLineItem</x:v>
      </x:c>
    </x:row>
    <x:row r="364" ht="46" customHeight="1">
      <x:c r="A364" s="117" t="str">
        <x:v>Apex Class</x:v>
      </x:c>
      <x:c r="B364" s="117" t="str">
        <x:v>WorkOrderLineItemRollupHandler_Test</x:v>
      </x:c>
      <x:c r="C364" s="119" t="str">
        <x:v>Internal / other</x:v>
      </x:c>
      <x:c r="D364" s="117" t="str"/>
      <x:c r="E364" s="119" t="str"/>
      <x:c r="F364" s="117" t="str">
        <x:v>No</x:v>
      </x:c>
      <x:c r="G364" s="118" t="n">
        <x:v>0</x:v>
      </x:c>
      <x:c r="H364" s="119" t="str"/>
      <x:c r="I364" s="119" t="str"/>
      <x:c r="J364" s="119" t="str">
        <x:v>Order, PricebookEntry, RecordType, WorkOrder, WorkOrderLineItem</x:v>
      </x:c>
    </x:row>
    <x:row r="365" ht="46" customHeight="1">
      <x:c r="A365" s="117" t="str">
        <x:v>Apex Class</x:v>
      </x:c>
      <x:c r="B365" s="117" t="str">
        <x:v>WorkOrderLineItemServices</x:v>
      </x:c>
      <x:c r="C365" s="119" t="str">
        <x:v>Aura Enabled</x:v>
      </x:c>
      <x:c r="D365" s="117" t="str"/>
      <x:c r="E365" s="119" t="str"/>
      <x:c r="F365" s="117" t="str">
        <x:v>No</x:v>
      </x:c>
      <x:c r="G365" s="118" t="n">
        <x:v>0</x:v>
      </x:c>
      <x:c r="H365" s="119" t="str"/>
      <x:c r="I365" s="119" t="str"/>
      <x:c r="J365" s="119" t="str">
        <x:v>Opportunity, OpportunityLineItem, Order, Pricebook2, PricebookEntry, Product2, ProductItem__c, RecordType, WorkOrder, WorkOrderLineItem</x:v>
      </x:c>
    </x:row>
    <x:row r="366" ht="46" customHeight="1">
      <x:c r="A366" s="117" t="str">
        <x:v>Apex Class</x:v>
      </x:c>
      <x:c r="B366" s="117" t="str">
        <x:v>WorkOrderLineItemServicesTest</x:v>
      </x:c>
      <x:c r="C366" s="119" t="str">
        <x:v>Internal / other</x:v>
      </x:c>
      <x:c r="D366" s="117" t="str"/>
      <x:c r="E366" s="119" t="str"/>
      <x:c r="F366" s="117" t="str">
        <x:v>No</x:v>
      </x:c>
      <x:c r="G366" s="118" t="n">
        <x:v>0</x:v>
      </x:c>
      <x:c r="H366" s="119" t="str"/>
      <x:c r="I366" s="119" t="str"/>
      <x:c r="J366" s="119" t="str">
        <x:v>Account, Opportunity, Order, PricebookEntry, Product2, ProductItem__c, ServiceContract, WorkOrder, WorkOrderLineItem</x:v>
      </x:c>
    </x:row>
    <x:row r="367" ht="46" customHeight="1">
      <x:c r="A367" s="117" t="str">
        <x:v>Apex Class</x:v>
      </x:c>
      <x:c r="B367" s="117" t="str">
        <x:v>WorkOrderOpportunityProductSync</x:v>
      </x:c>
      <x:c r="C367" s="119" t="str">
        <x:v>Internal / other</x:v>
      </x:c>
      <x:c r="D367" s="117" t="str"/>
      <x:c r="E367" s="119" t="str"/>
      <x:c r="F367" s="117" t="str">
        <x:v>No</x:v>
      </x:c>
      <x:c r="G367" s="118" t="n">
        <x:v>0</x:v>
      </x:c>
      <x:c r="H367" s="119" t="str"/>
      <x:c r="I367" s="119" t="str"/>
      <x:c r="J367" s="119" t="str">
        <x:v>Opportunity, OpportunityLineItem, Order, PricebookEntry, Product2, ProductItem__c, RecordType, WorkOrder, WorkOrderLineItem</x:v>
      </x:c>
    </x:row>
    <x:row r="368" ht="46" customHeight="1">
      <x:c r="A368" s="117" t="str">
        <x:v>Apex Class</x:v>
      </x:c>
      <x:c r="B368" s="117" t="str">
        <x:v>WorkOrderOpportunityProductSync_Test</x:v>
      </x:c>
      <x:c r="C368" s="119" t="str">
        <x:v>Internal / other</x:v>
      </x:c>
      <x:c r="D368" s="117" t="str"/>
      <x:c r="E368" s="119" t="str"/>
      <x:c r="F368" s="117" t="str">
        <x:v>No</x:v>
      </x:c>
      <x:c r="G368" s="118" t="n">
        <x:v>0</x:v>
      </x:c>
      <x:c r="H368" s="119" t="str"/>
      <x:c r="I368" s="119" t="str"/>
      <x:c r="J368" s="119" t="str">
        <x:v>Opportunity, OpportunityLineItem, PricebookEntry, Product2, ProductItem__c, RecordType, WorkOrderLineItem</x:v>
      </x:c>
    </x:row>
    <x:row r="369" ht="46" customHeight="1">
      <x:c r="A369" s="117" t="str">
        <x:v>Apex Class</x:v>
      </x:c>
      <x:c r="B369" s="117" t="str">
        <x:v>WorkOrderPDFGenerator</x:v>
      </x:c>
      <x:c r="C369" s="119" t="str">
        <x:v>Invocable</x:v>
      </x:c>
      <x:c r="D369" s="117" t="str"/>
      <x:c r="E369" s="119" t="str"/>
      <x:c r="F369" s="117" t="str">
        <x:v>Yes</x:v>
      </x:c>
      <x:c r="G369" s="118" t="n">
        <x:v>1</x:v>
      </x:c>
      <x:c r="H369" s="119" t="str">
        <x:v>Work_Order_PDF_Generation</x:v>
      </x:c>
      <x:c r="I369" s="119" t="str"/>
      <x:c r="J369" s="119" t="str">
        <x:v>ContentDocument, ContentDocumentLink, User, WorkOrder</x:v>
      </x:c>
    </x:row>
    <x:row r="370" ht="46" customHeight="1">
      <x:c r="A370" s="117" t="str">
        <x:v>Apex Class</x:v>
      </x:c>
      <x:c r="B370" s="117" t="str">
        <x:v>WorkOrderProgressNotesController</x:v>
      </x:c>
      <x:c r="C370" s="119" t="str">
        <x:v>Internal / other</x:v>
      </x:c>
      <x:c r="D370" s="117" t="str"/>
      <x:c r="E370" s="119" t="str"/>
      <x:c r="F370" s="117" t="str">
        <x:v>No</x:v>
      </x:c>
      <x:c r="G370" s="118" t="n">
        <x:v>0</x:v>
      </x:c>
      <x:c r="H370" s="119" t="str"/>
      <x:c r="I370" s="119" t="str"/>
      <x:c r="J370" s="119" t="str">
        <x:v>Progress_Note__c, WorkOrder</x:v>
      </x:c>
    </x:row>
    <x:row r="371" ht="46" customHeight="1">
      <x:c r="A371" s="117" t="str">
        <x:v>Apex Class</x:v>
      </x:c>
      <x:c r="B371" s="117" t="str">
        <x:v>WorkOrderProgressNotesControllerTest</x:v>
      </x:c>
      <x:c r="C371" s="119" t="str">
        <x:v>Internal / other</x:v>
      </x:c>
      <x:c r="D371" s="117" t="str"/>
      <x:c r="E371" s="119" t="str"/>
      <x:c r="F371" s="117" t="str">
        <x:v>No</x:v>
      </x:c>
      <x:c r="G371" s="118" t="n">
        <x:v>0</x:v>
      </x:c>
      <x:c r="H371" s="119" t="str"/>
      <x:c r="I371" s="119" t="str"/>
      <x:c r="J371" s="119" t="str">
        <x:v>Order, Progress_Note__c, User, WorkOrder</x:v>
      </x:c>
    </x:row>
    <x:row r="372" ht="46" customHeight="1">
      <x:c r="A372" s="117" t="str">
        <x:v>Apex Class</x:v>
      </x:c>
      <x:c r="B372" s="117" t="str">
        <x:v>WorkOrderShippingCheckList</x:v>
      </x:c>
      <x:c r="C372" s="119" t="str">
        <x:v>Internal / other</x:v>
      </x:c>
      <x:c r="D372" s="117" t="str"/>
      <x:c r="E372" s="119" t="str"/>
      <x:c r="F372" s="117" t="str">
        <x:v>No</x:v>
      </x:c>
      <x:c r="G372" s="118" t="n">
        <x:v>0</x:v>
      </x:c>
      <x:c r="H372" s="119" t="str"/>
      <x:c r="I372" s="119" t="str"/>
      <x:c r="J372" s="119" t="str">
        <x:v>Account, Opportunity, RecordType, WorkOrder, WorkOrderLineItem</x:v>
      </x:c>
    </x:row>
    <x:row r="373" ht="46" customHeight="1">
      <x:c r="A373" s="117" t="str">
        <x:v>Apex Class</x:v>
      </x:c>
      <x:c r="B373" s="117" t="str">
        <x:v>WorkOrderShippingCheckListTest</x:v>
      </x:c>
      <x:c r="C373" s="119" t="str">
        <x:v>Internal / other</x:v>
      </x:c>
      <x:c r="D373" s="117" t="str"/>
      <x:c r="E373" s="119" t="str"/>
      <x:c r="F373" s="117" t="str">
        <x:v>No</x:v>
      </x:c>
      <x:c r="G373" s="118" t="n">
        <x:v>0</x:v>
      </x:c>
      <x:c r="H373" s="119" t="str"/>
      <x:c r="I373" s="119" t="str"/>
      <x:c r="J373" s="119" t="str">
        <x:v>Account, Opportunity, PricebookEntry, ProductItem__c, WorkOrder, WorkOrderLineItem</x:v>
      </x:c>
    </x:row>
    <x:row r="374" ht="46" customHeight="1">
      <x:c r="A374" s="117" t="str">
        <x:v>Apex Class</x:v>
      </x:c>
      <x:c r="B374" s="117" t="str">
        <x:v>WorkOrderTestClass</x:v>
      </x:c>
      <x:c r="C374" s="119" t="str">
        <x:v>Internal / other</x:v>
      </x:c>
      <x:c r="D374" s="117" t="str"/>
      <x:c r="E374" s="119" t="str"/>
      <x:c r="F374" s="117" t="str">
        <x:v>No</x:v>
      </x:c>
      <x:c r="G374" s="118" t="n">
        <x:v>0</x:v>
      </x:c>
      <x:c r="H374" s="119" t="str"/>
      <x:c r="I374" s="119" t="str"/>
      <x:c r="J374" s="119" t="str">
        <x:v>Opportunity, OpportunityLineItem, PricebookEntry, Product2, ProductItem__c, User</x:v>
      </x:c>
    </x:row>
    <x:row r="375" ht="46" customHeight="1">
      <x:c r="A375" s="117" t="str">
        <x:v>Apex Class</x:v>
      </x:c>
      <x:c r="B375" s="117" t="str">
        <x:v>WorkOrderTriggerHandler</x:v>
      </x:c>
      <x:c r="C375" s="119" t="str">
        <x:v>Internal / other</x:v>
      </x:c>
      <x:c r="D375" s="117" t="str"/>
      <x:c r="E375" s="119" t="str"/>
      <x:c r="F375" s="117" t="str">
        <x:v>No</x:v>
      </x:c>
      <x:c r="G375" s="118" t="n">
        <x:v>0</x:v>
      </x:c>
      <x:c r="H375" s="119" t="str"/>
      <x:c r="I375" s="119" t="str"/>
      <x:c r="J375" s="119" t="str">
        <x:v>Order, ProductItem__c, Product_Repair__c, RMA__c, RecordType</x:v>
      </x:c>
    </x:row>
    <x:row r="376" ht="46" customHeight="1">
      <x:c r="A376" s="117" t="str">
        <x:v>Apex Class</x:v>
      </x:c>
      <x:c r="B376" s="117" t="str">
        <x:v>WorkOrderTriggerHelper</x:v>
      </x:c>
      <x:c r="C376" s="119" t="str">
        <x:v>Internal / other</x:v>
      </x:c>
      <x:c r="D376" s="117" t="str"/>
      <x:c r="E376" s="119" t="str"/>
      <x:c r="F376" s="117" t="str">
        <x:v>No</x:v>
      </x:c>
      <x:c r="G376" s="118" t="n">
        <x:v>0</x:v>
      </x:c>
      <x:c r="H376" s="119" t="str"/>
      <x:c r="I376" s="119" t="str"/>
      <x:c r="J376" s="119" t="str">
        <x:v>WorkOrder</x:v>
      </x:c>
    </x:row>
    <x:row r="377" ht="46" customHeight="1">
      <x:c r="A377" s="117" t="str">
        <x:v>Apex Class</x:v>
      </x:c>
      <x:c r="B377" s="117" t="str">
        <x:v>WorkOrderTriggerHelperTest</x:v>
      </x:c>
      <x:c r="C377" s="119" t="str">
        <x:v>Internal / other</x:v>
      </x:c>
      <x:c r="D377" s="117" t="str"/>
      <x:c r="E377" s="119" t="str"/>
      <x:c r="F377" s="117" t="str">
        <x:v>No</x:v>
      </x:c>
      <x:c r="G377" s="118" t="n">
        <x:v>0</x:v>
      </x:c>
      <x:c r="H377" s="119" t="str"/>
      <x:c r="I377" s="119" t="str"/>
      <x:c r="J377" s="119" t="str">
        <x:v>RecordType, WorkOrder</x:v>
      </x:c>
    </x:row>
    <x:row r="378" ht="46" customHeight="1">
      <x:c r="A378" s="117" t="str">
        <x:v>Apex Class</x:v>
      </x:c>
      <x:c r="B378" s="117" t="str">
        <x:v>WorkOrderUpdateTestClass</x:v>
      </x:c>
      <x:c r="C378" s="119" t="str">
        <x:v>Internal / other</x:v>
      </x:c>
      <x:c r="D378" s="117" t="str"/>
      <x:c r="E378" s="119" t="str"/>
      <x:c r="F378" s="117" t="str">
        <x:v>No</x:v>
      </x:c>
      <x:c r="G378" s="118" t="n">
        <x:v>0</x:v>
      </x:c>
      <x:c r="H378" s="119" t="str"/>
      <x:c r="I378" s="119" t="str"/>
      <x:c r="J378" s="119" t="str">
        <x:v>Order, Product2, ProductItem__c, Product_Repair__c, User</x:v>
      </x:c>
    </x:row>
    <x:row r="379" ht="46" customHeight="1">
      <x:c r="A379" s="117" t="str">
        <x:v>Apex Class</x:v>
      </x:c>
      <x:c r="B379" s="117" t="str">
        <x:v>WorkRequestController</x:v>
      </x:c>
      <x:c r="C379" s="119" t="str">
        <x:v>Internal / other</x:v>
      </x:c>
      <x:c r="D379" s="117" t="str"/>
      <x:c r="E379" s="119" t="str"/>
      <x:c r="F379" s="117" t="str">
        <x:v>No</x:v>
      </x:c>
      <x:c r="G379" s="118" t="n">
        <x:v>0</x:v>
      </x:c>
      <x:c r="H379" s="119" t="str"/>
      <x:c r="I379" s="119" t="str"/>
      <x:c r="J379" s="119" t="str">
        <x:v>ProductTest__c, RecordType</x:v>
      </x:c>
    </x:row>
    <x:row r="380" ht="46" customHeight="1">
      <x:c r="A380" s="117" t="str">
        <x:v>Apex Class</x:v>
      </x:c>
      <x:c r="B380" s="117" t="str">
        <x:v>WorkRequestController_Test</x:v>
      </x:c>
      <x:c r="C380" s="119" t="str">
        <x:v>Internal / other</x:v>
      </x:c>
      <x:c r="D380" s="117" t="str"/>
      <x:c r="E380" s="119" t="str"/>
      <x:c r="F380" s="117" t="str">
        <x:v>No</x:v>
      </x:c>
      <x:c r="G380" s="118" t="n">
        <x:v>0</x:v>
      </x:c>
      <x:c r="H380" s="119" t="str"/>
      <x:c r="I380" s="119" t="str"/>
      <x:c r="J380" s="119" t="str">
        <x:v>ProductTest__c, RecordType</x:v>
      </x:c>
    </x:row>
    <x:row r="381" ht="46" customHeight="1">
      <x:c r="A381" s="117" t="str">
        <x:v>LWC</x:v>
      </x:c>
      <x:c r="B381" s="117" t="str">
        <x:v>addAssetMainLwc</x:v>
      </x:c>
      <x:c r="C381" s="119" t="str"/>
      <x:c r="D381" s="117" t="str"/>
      <x:c r="E381" s="119" t="str"/>
      <x:c r="F381" s="117" t="str">
        <x:v>No</x:v>
      </x:c>
      <x:c r="G381" s="118" t="n">
        <x:v>0</x:v>
      </x:c>
      <x:c r="H381" s="119" t="str"/>
      <x:c r="I381" s="119" t="str"/>
      <x:c r="J381" s="119" t="str"/>
    </x:row>
    <x:row r="382" ht="46" customHeight="1">
      <x:c r="A382" s="117" t="str">
        <x:v>LWC</x:v>
      </x:c>
      <x:c r="B382" s="117" t="str">
        <x:v>addAssetSearchLwc</x:v>
      </x:c>
      <x:c r="C382" s="119" t="str"/>
      <x:c r="D382" s="117" t="str"/>
      <x:c r="E382" s="119" t="str"/>
      <x:c r="F382" s="117" t="str">
        <x:v>No</x:v>
      </x:c>
      <x:c r="G382" s="118" t="n">
        <x:v>0</x:v>
      </x:c>
      <x:c r="H382" s="119" t="str"/>
      <x:c r="I382" s="119" t="str">
        <x:v>AddAssetServices, UserHasAccess</x:v>
      </x:c>
      <x:c r="J382" s="119" t="str">
        <x:v>ProductItem__c</x:v>
      </x:c>
    </x:row>
    <x:row r="383" ht="46" customHeight="1">
      <x:c r="A383" s="117" t="str">
        <x:v>LWC</x:v>
      </x:c>
      <x:c r="B383" s="117" t="str">
        <x:v>addAssetSelectionsLwc</x:v>
      </x:c>
      <x:c r="C383" s="119" t="str"/>
      <x:c r="D383" s="117" t="str"/>
      <x:c r="E383" s="119" t="str"/>
      <x:c r="F383" s="117" t="str">
        <x:v>No</x:v>
      </x:c>
      <x:c r="G383" s="118" t="n">
        <x:v>0</x:v>
      </x:c>
      <x:c r="H383" s="119" t="str"/>
      <x:c r="I383" s="119" t="str"/>
      <x:c r="J383" s="119" t="str">
        <x:v>ProductItem__c</x:v>
      </x:c>
    </x:row>
    <x:row r="384" ht="46" customHeight="1">
      <x:c r="A384" s="117" t="str">
        <x:v>LWC</x:v>
      </x:c>
      <x:c r="B384" s="117" t="str">
        <x:v>addItemReceiptProductSearchLwc</x:v>
      </x:c>
      <x:c r="C384" s="119" t="str"/>
      <x:c r="D384" s="117" t="str"/>
      <x:c r="E384" s="119" t="str"/>
      <x:c r="F384" s="117" t="str">
        <x:v>No</x:v>
      </x:c>
      <x:c r="G384" s="118" t="n">
        <x:v>0</x:v>
      </x:c>
      <x:c r="H384" s="119" t="str"/>
      <x:c r="I384" s="119" t="str">
        <x:v>AddIRProductServices, UserHasAccess</x:v>
      </x:c>
      <x:c r="J384" s="119" t="str"/>
    </x:row>
    <x:row r="385" ht="46" customHeight="1">
      <x:c r="A385" s="117" t="str">
        <x:v>LWC</x:v>
      </x:c>
      <x:c r="B385" s="117" t="str">
        <x:v>addItemReceiptProductSelectionsLwc</x:v>
      </x:c>
      <x:c r="C385" s="119" t="str"/>
      <x:c r="D385" s="117" t="str"/>
      <x:c r="E385" s="119" t="str"/>
      <x:c r="F385" s="117" t="str">
        <x:v>No</x:v>
      </x:c>
      <x:c r="G385" s="118" t="n">
        <x:v>0</x:v>
      </x:c>
      <x:c r="H385" s="119" t="str"/>
      <x:c r="I385" s="119" t="str"/>
      <x:c r="J385" s="119" t="str"/>
    </x:row>
    <x:row r="386" ht="46" customHeight="1">
      <x:c r="A386" s="117" t="str">
        <x:v>LWC</x:v>
      </x:c>
      <x:c r="B386" s="117" t="str">
        <x:v>addProductLwc</x:v>
      </x:c>
      <x:c r="C386" s="119" t="str">
        <x:v>lightning__AppPage, lightning__RecordPage</x:v>
      </x:c>
      <x:c r="D386" s="117" t="str"/>
      <x:c r="E386" s="119" t="str">
        <x:v>lightning__AppPage, lightning__RecordPage</x:v>
      </x:c>
      <x:c r="F386" s="117" t="str">
        <x:v>No</x:v>
      </x:c>
      <x:c r="G386" s="118" t="n">
        <x:v>0</x:v>
      </x:c>
      <x:c r="H386" s="119" t="str"/>
      <x:c r="I386" s="119" t="str">
        <x:v>DataTableServices, OpportunityLineItemServices, UserHasAccess</x:v>
      </x:c>
      <x:c r="J386" s="119" t="str">
        <x:v>ProductItem__c</x:v>
      </x:c>
    </x:row>
    <x:row r="387" ht="46" customHeight="1">
      <x:c r="A387" s="117" t="str">
        <x:v>LWC</x:v>
      </x:c>
      <x:c r="B387" s="117" t="str">
        <x:v>addProductMainLwc</x:v>
      </x:c>
      <x:c r="C387" s="119" t="str">
        <x:v>lightning__RecordPage</x:v>
      </x:c>
      <x:c r="D387" s="117" t="str"/>
      <x:c r="E387" s="119" t="str">
        <x:v>lightning__RecordPage</x:v>
      </x:c>
      <x:c r="F387" s="117" t="str">
        <x:v>No</x:v>
      </x:c>
      <x:c r="G387" s="118" t="n">
        <x:v>0</x:v>
      </x:c>
      <x:c r="H387" s="119" t="str"/>
      <x:c r="I387" s="119" t="str"/>
      <x:c r="J387" s="119" t="str"/>
    </x:row>
    <x:row r="388" ht="46" customHeight="1">
      <x:c r="A388" s="117" t="str">
        <x:v>LWC</x:v>
      </x:c>
      <x:c r="B388" s="117" t="str">
        <x:v>addProductSearchLwc</x:v>
      </x:c>
      <x:c r="C388" s="119" t="str">
        <x:v>lightning__RecordPage</x:v>
      </x:c>
      <x:c r="D388" s="117" t="str"/>
      <x:c r="E388" s="119" t="str">
        <x:v>lightning__RecordPage</x:v>
      </x:c>
      <x:c r="F388" s="117" t="str">
        <x:v>No</x:v>
      </x:c>
      <x:c r="G388" s="118" t="n">
        <x:v>0</x:v>
      </x:c>
      <x:c r="H388" s="119" t="str"/>
      <x:c r="I388" s="119" t="str">
        <x:v>AddProductServices, DataTableServices, LoanerLineItemServices, OpportunityLineItemServices, RentalOrderLineItemServices, UserHasAccess, WorkOrderLineItemServices</x:v>
      </x:c>
      <x:c r="J388" s="119" t="str">
        <x:v>ProductItem__c, User</x:v>
      </x:c>
    </x:row>
    <x:row r="389" ht="46" customHeight="1">
      <x:c r="A389" s="117" t="str">
        <x:v>LWC</x:v>
      </x:c>
      <x:c r="B389" s="117" t="str">
        <x:v>addProductSelectionsLwc</x:v>
      </x:c>
      <x:c r="C389" s="119" t="str">
        <x:v>lightning__RecordPage</x:v>
      </x:c>
      <x:c r="D389" s="117" t="str"/>
      <x:c r="E389" s="119" t="str">
        <x:v>lightning__RecordPage</x:v>
      </x:c>
      <x:c r="F389" s="117" t="str">
        <x:v>No</x:v>
      </x:c>
      <x:c r="G389" s="118" t="n">
        <x:v>0</x:v>
      </x:c>
      <x:c r="H389" s="119" t="str"/>
      <x:c r="I389" s="119" t="str"/>
      <x:c r="J389" s="119" t="str"/>
    </x:row>
    <x:row r="390" ht="46" customHeight="1">
      <x:c r="A390" s="117" t="str">
        <x:v>LWC</x:v>
      </x:c>
      <x:c r="B390" s="117" t="str">
        <x:v>addProductWarningLwc</x:v>
      </x:c>
      <x:c r="C390" s="119" t="str">
        <x:v>lightning__AppPage, lightning__RecordPage</x:v>
      </x:c>
      <x:c r="D390" s="117" t="str"/>
      <x:c r="E390" s="119" t="str">
        <x:v>lightning__AppPage, lightning__RecordPage</x:v>
      </x:c>
      <x:c r="F390" s="117" t="str">
        <x:v>No</x:v>
      </x:c>
      <x:c r="G390" s="118" t="n">
        <x:v>0</x:v>
      </x:c>
      <x:c r="H390" s="119" t="str"/>
      <x:c r="I390" s="119" t="str"/>
      <x:c r="J390" s="119" t="str"/>
    </x:row>
    <x:row r="391" ht="46" customHeight="1">
      <x:c r="A391" s="117" t="str">
        <x:v>LWC</x:v>
      </x:c>
      <x:c r="B391" s="117" t="str">
        <x:v>captureServiceSignatures</x:v>
      </x:c>
      <x:c r="C391" s="119" t="str">
        <x:v>lightning__RecordAction</x:v>
      </x:c>
      <x:c r="D391" s="117" t="str"/>
      <x:c r="E391" s="119" t="str">
        <x:v>lightning__RecordAction</x:v>
      </x:c>
      <x:c r="F391" s="117" t="str">
        <x:v>No</x:v>
      </x:c>
      <x:c r="G391" s="118" t="n">
        <x:v>0</x:v>
      </x:c>
      <x:c r="H391" s="119" t="str"/>
      <x:c r="I391" s="119" t="str">
        <x:v>ServiceReportHtml, ServiceSignatureController</x:v>
      </x:c>
      <x:c r="J391" s="119" t="str"/>
    </x:row>
    <x:row r="392" ht="46" customHeight="1">
      <x:c r="A392" s="117" t="str">
        <x:v>LWC</x:v>
      </x:c>
      <x:c r="B392" s="117" t="str">
        <x:v>existingLineItemLwc</x:v>
      </x:c>
      <x:c r="C392" s="119" t="str"/>
      <x:c r="D392" s="117" t="str"/>
      <x:c r="E392" s="119" t="str"/>
      <x:c r="F392" s="117" t="str">
        <x:v>No</x:v>
      </x:c>
      <x:c r="G392" s="118" t="n">
        <x:v>0</x:v>
      </x:c>
      <x:c r="H392" s="119" t="str"/>
      <x:c r="I392" s="119" t="str">
        <x:v>AddProductServices, ItemReceiptLineItemServices, POBillLineItemServices, PurchasingReturnLineItemServices, ServiceContractLineItemServices</x:v>
      </x:c>
      <x:c r="J392" s="119" t="str"/>
    </x:row>
    <x:row r="393" ht="46" customHeight="1">
      <x:c r="A393" s="117" t="str">
        <x:v>LWC</x:v>
      </x:c>
      <x:c r="B393" s="117" t="str">
        <x:v>fileUploadPlus</x:v>
      </x:c>
      <x:c r="C393" s="119" t="str">
        <x:v>lightning__RecordAction</x:v>
      </x:c>
      <x:c r="D393" s="117" t="str"/>
      <x:c r="E393" s="119" t="str">
        <x:v>lightning__RecordAction</x:v>
      </x:c>
      <x:c r="F393" s="117" t="str">
        <x:v>No</x:v>
      </x:c>
      <x:c r="G393" s="118" t="n">
        <x:v>0</x:v>
      </x:c>
      <x:c r="H393" s="119" t="str"/>
      <x:c r="I393" s="119" t="str"/>
      <x:c r="J393" s="119" t="str">
        <x:v>ContentDocument, ContentDocumentLink, ContentVersion</x:v>
      </x:c>
    </x:row>
    <x:row r="394" ht="46" customHeight="1">
      <x:c r="A394" s="117" t="str">
        <x:v>LWC</x:v>
      </x:c>
      <x:c r="B394" s="117" t="str">
        <x:v>fslEditModal</x:v>
      </x:c>
      <x:c r="C394" s="119" t="str"/>
      <x:c r="D394" s="117" t="str"/>
      <x:c r="E394" s="119" t="str"/>
      <x:c r="F394" s="117" t="str">
        <x:v>No</x:v>
      </x:c>
      <x:c r="G394" s="118" t="n">
        <x:v>0</x:v>
      </x:c>
      <x:c r="H394" s="119" t="str"/>
      <x:c r="I394" s="119" t="str"/>
      <x:c r="J394" s="119" t="str"/>
    </x:row>
    <x:row r="395" ht="46" customHeight="1">
      <x:c r="A395" s="117" t="str">
        <x:v>LWC</x:v>
      </x:c>
      <x:c r="B395" s="117" t="str">
        <x:v>fslHello</x:v>
      </x:c>
      <x:c r="C395" s="119" t="str">
        <x:v>lightning__AppPage, lightning__GlobalAction, lightning__HomePage, lightning__RecordPage, lightning__Tab</x:v>
      </x:c>
      <x:c r="D395" s="117" t="str"/>
      <x:c r="E395" s="119" t="str">
        <x:v>lightning__AppPage, lightning__GlobalAction, lightning__HomePage, lightning__RecordPage, lightning__Tab</x:v>
      </x:c>
      <x:c r="F395" s="117" t="str">
        <x:v>No</x:v>
      </x:c>
      <x:c r="G395" s="118" t="n">
        <x:v>0</x:v>
      </x:c>
      <x:c r="H395" s="119" t="str"/>
      <x:c r="I395" s="119" t="str">
        <x:v>FslTechnicianOnlineController</x:v>
      </x:c>
      <x:c r="J395" s="119" t="str"/>
    </x:row>
    <x:row r="396" ht="46" customHeight="1">
      <x:c r="A396" s="117" t="str">
        <x:v>LWC</x:v>
      </x:c>
      <x:c r="B396" s="117" t="str">
        <x:v>fslQuickQuoteGlobalAction</x:v>
      </x:c>
      <x:c r="C396" s="119" t="str">
        <x:v>lightning__GlobalAction, lightning__Tab</x:v>
      </x:c>
      <x:c r="D396" s="117" t="str"/>
      <x:c r="E396" s="119" t="str">
        <x:v>lightning__GlobalAction, lightning__Tab</x:v>
      </x:c>
      <x:c r="F396" s="117" t="str">
        <x:v>No</x:v>
      </x:c>
      <x:c r="G396" s="118" t="n">
        <x:v>0</x:v>
      </x:c>
      <x:c r="H396" s="119" t="str"/>
      <x:c r="I396" s="119" t="str"/>
      <x:c r="J396" s="119" t="str"/>
    </x:row>
    <x:row r="397" ht="46" customHeight="1">
      <x:c r="A397" s="117" t="str">
        <x:v>LWC</x:v>
      </x:c>
      <x:c r="B397" s="117" t="str">
        <x:v>fslWorkOrderCard</x:v>
      </x:c>
      <x:c r="C397" s="119" t="str"/>
      <x:c r="D397" s="117" t="str"/>
      <x:c r="E397" s="119" t="str"/>
      <x:c r="F397" s="117" t="str">
        <x:v>No</x:v>
      </x:c>
      <x:c r="G397" s="118" t="n">
        <x:v>0</x:v>
      </x:c>
      <x:c r="H397" s="119" t="str"/>
      <x:c r="I397" s="119" t="str"/>
      <x:c r="J397" s="119" t="str"/>
    </x:row>
    <x:row r="398" ht="46" customHeight="1">
      <x:c r="A398" s="117" t="str">
        <x:v>LWC</x:v>
      </x:c>
      <x:c r="B398" s="117" t="str">
        <x:v>itemReceiptProductPaginatorLwc</x:v>
      </x:c>
      <x:c r="C398" s="119" t="str"/>
      <x:c r="D398" s="117" t="str"/>
      <x:c r="E398" s="119" t="str"/>
      <x:c r="F398" s="117" t="str">
        <x:v>No</x:v>
      </x:c>
      <x:c r="G398" s="118" t="n">
        <x:v>0</x:v>
      </x:c>
      <x:c r="H398" s="119" t="str"/>
      <x:c r="I398" s="119" t="str"/>
      <x:c r="J398" s="119" t="str"/>
    </x:row>
    <x:row r="399" ht="46" customHeight="1">
      <x:c r="A399" s="117" t="str">
        <x:v>LWC</x:v>
      </x:c>
      <x:c r="B399" s="117" t="str">
        <x:v>itemReceiptSelectionLwc</x:v>
      </x:c>
      <x:c r="C399" s="119" t="str">
        <x:v>lightning__RecordPage</x:v>
      </x:c>
      <x:c r="D399" s="117" t="str"/>
      <x:c r="E399" s="119" t="str">
        <x:v>lightning__RecordPage</x:v>
      </x:c>
      <x:c r="F399" s="117" t="str">
        <x:v>No</x:v>
      </x:c>
      <x:c r="G399" s="118" t="n">
        <x:v>0</x:v>
      </x:c>
      <x:c r="H399" s="119" t="str"/>
      <x:c r="I399" s="119" t="str">
        <x:v>DataTableServices, ItemReceiptLineItemServices</x:v>
      </x:c>
      <x:c r="J399" s="119" t="str"/>
    </x:row>
    <x:row r="400" ht="46" customHeight="1">
      <x:c r="A400" s="117" t="str">
        <x:v>LWC</x:v>
      </x:c>
      <x:c r="B400" s="117" t="str">
        <x:v>leadSmartConvert</x:v>
      </x:c>
      <x:c r="C400" s="119" t="str">
        <x:v>lightning__RecordPage</x:v>
      </x:c>
      <x:c r="D400" s="117" t="str"/>
      <x:c r="E400" s="119" t="str">
        <x:v>lightning__RecordPage</x:v>
      </x:c>
      <x:c r="F400" s="117" t="str">
        <x:v>No</x:v>
      </x:c>
      <x:c r="G400" s="118" t="n">
        <x:v>0</x:v>
      </x:c>
      <x:c r="H400" s="119" t="str"/>
      <x:c r="I400" s="119" t="str">
        <x:v>LeadConversionController</x:v>
      </x:c>
      <x:c r="J400" s="119" t="str">
        <x:v>Account, Contact, Lead, Opportunity</x:v>
      </x:c>
    </x:row>
    <x:row r="401" ht="46" customHeight="1">
      <x:c r="A401" s="117" t="str">
        <x:v>LWC</x:v>
      </x:c>
      <x:c r="B401" s="117" t="str">
        <x:v>oliModalLwc</x:v>
      </x:c>
      <x:c r="C401" s="119" t="str">
        <x:v>lightning__AppPage, lightning__RecordPage</x:v>
      </x:c>
      <x:c r="D401" s="117" t="str"/>
      <x:c r="E401" s="119" t="str">
        <x:v>lightning__AppPage, lightning__RecordPage</x:v>
      </x:c>
      <x:c r="F401" s="117" t="str">
        <x:v>No</x:v>
      </x:c>
      <x:c r="G401" s="118" t="n">
        <x:v>0</x:v>
      </x:c>
      <x:c r="H401" s="119" t="str"/>
      <x:c r="I401" s="119" t="str"/>
      <x:c r="J401" s="119" t="str"/>
    </x:row>
    <x:row r="402" ht="46" customHeight="1">
      <x:c r="A402" s="117" t="str">
        <x:v>LWC</x:v>
      </x:c>
      <x:c r="B402" s="117" t="str">
        <x:v>oliPaginatorLwc</x:v>
      </x:c>
      <x:c r="C402" s="119" t="str">
        <x:v>lightning__AppPage, lightning__RecordPage</x:v>
      </x:c>
      <x:c r="D402" s="117" t="str"/>
      <x:c r="E402" s="119" t="str">
        <x:v>lightning__AppPage, lightning__RecordPage</x:v>
      </x:c>
      <x:c r="F402" s="117" t="str">
        <x:v>No</x:v>
      </x:c>
      <x:c r="G402" s="118" t="n">
        <x:v>0</x:v>
      </x:c>
      <x:c r="H402" s="119" t="str"/>
      <x:c r="I402" s="119" t="str"/>
      <x:c r="J402" s="119" t="str"/>
    </x:row>
    <x:row r="403" ht="46" customHeight="1">
      <x:c r="A403" s="117" t="str">
        <x:v>LWC</x:v>
      </x:c>
      <x:c r="B403" s="117" t="str">
        <x:v>oliPopoverLwc</x:v>
      </x:c>
      <x:c r="C403" s="119" t="str">
        <x:v>lightning__AppPage, lightning__RecordPage</x:v>
      </x:c>
      <x:c r="D403" s="117" t="str"/>
      <x:c r="E403" s="119" t="str">
        <x:v>lightning__AppPage, lightning__RecordPage</x:v>
      </x:c>
      <x:c r="F403" s="117" t="str">
        <x:v>No</x:v>
      </x:c>
      <x:c r="G403" s="118" t="n">
        <x:v>0</x:v>
      </x:c>
      <x:c r="H403" s="119" t="str"/>
      <x:c r="I403" s="119" t="str">
        <x:v>DataTableServices</x:v>
      </x:c>
      <x:c r="J403" s="119" t="str"/>
    </x:row>
    <x:row r="404" ht="46" customHeight="1">
      <x:c r="A404" s="117" t="str">
        <x:v>LWC</x:v>
      </x:c>
      <x:c r="B404" s="117" t="str">
        <x:v>oliSelectionLwc</x:v>
      </x:c>
      <x:c r="C404" s="119" t="str">
        <x:v>lightning__AppPage, lightning__RecordPage</x:v>
      </x:c>
      <x:c r="D404" s="117" t="str"/>
      <x:c r="E404" s="119" t="str">
        <x:v>lightning__AppPage, lightning__RecordPage</x:v>
      </x:c>
      <x:c r="F404" s="117" t="str">
        <x:v>No</x:v>
      </x:c>
      <x:c r="G404" s="118" t="n">
        <x:v>0</x:v>
      </x:c>
      <x:c r="H404" s="119" t="str"/>
      <x:c r="I404" s="119" t="str">
        <x:v>DataTableServices, OpportunityLineItemServices</x:v>
      </x:c>
      <x:c r="J404" s="119" t="str"/>
    </x:row>
    <x:row r="405" ht="46" customHeight="1">
      <x:c r="A405" s="117" t="str">
        <x:v>LWC</x:v>
      </x:c>
      <x:c r="B405" s="117" t="str">
        <x:v>oliSelectionNewLwc</x:v>
      </x:c>
      <x:c r="C405" s="119" t="str">
        <x:v>lightning__RecordPage</x:v>
      </x:c>
      <x:c r="D405" s="117" t="str"/>
      <x:c r="E405" s="119" t="str">
        <x:v>lightning__RecordPage</x:v>
      </x:c>
      <x:c r="F405" s="117" t="str">
        <x:v>No</x:v>
      </x:c>
      <x:c r="G405" s="118" t="n">
        <x:v>0</x:v>
      </x:c>
      <x:c r="H405" s="119" t="str"/>
      <x:c r="I405" s="119" t="str">
        <x:v>AddProductServices, DataTableServices</x:v>
      </x:c>
      <x:c r="J405" s="119" t="str"/>
    </x:row>
    <x:row r="406" ht="46" customHeight="1">
      <x:c r="A406" s="117" t="str">
        <x:v>LWC</x:v>
      </x:c>
      <x:c r="B406" s="117" t="str">
        <x:v>prliSelectionLwc</x:v>
      </x:c>
      <x:c r="C406" s="119" t="str"/>
      <x:c r="D406" s="117" t="str"/>
      <x:c r="E406" s="119" t="str"/>
      <x:c r="F406" s="117" t="str">
        <x:v>No</x:v>
      </x:c>
      <x:c r="G406" s="118" t="n">
        <x:v>0</x:v>
      </x:c>
      <x:c r="H406" s="119" t="str"/>
      <x:c r="I406" s="119" t="str">
        <x:v>AddIRProductServices, DataTableServices</x:v>
      </x:c>
      <x:c r="J406" s="119" t="str"/>
    </x:row>
    <x:row r="407" ht="46" customHeight="1">
      <x:c r="A407" s="117" t="str">
        <x:v>LWC</x:v>
      </x:c>
      <x:c r="B407" s="117" t="str">
        <x:v>recordSelectionLwc</x:v>
      </x:c>
      <x:c r="C407" s="119" t="str">
        <x:v>lightning__RecordPage</x:v>
      </x:c>
      <x:c r="D407" s="117" t="str"/>
      <x:c r="E407" s="119" t="str">
        <x:v>lightning__RecordPage</x:v>
      </x:c>
      <x:c r="F407" s="117" t="str">
        <x:v>No</x:v>
      </x:c>
      <x:c r="G407" s="118" t="n">
        <x:v>0</x:v>
      </x:c>
      <x:c r="H407" s="119" t="str"/>
      <x:c r="I407" s="119" t="str">
        <x:v>DataTableServices</x:v>
      </x:c>
      <x:c r="J407" s="119" t="str"/>
    </x:row>
    <x:row r="408" ht="46" customHeight="1">
      <x:c r="A408" s="117" t="str">
        <x:v>LWC</x:v>
      </x:c>
      <x:c r="B408" s="117" t="str">
        <x:v>recordTableBase</x:v>
      </x:c>
      <x:c r="C408" s="119" t="str"/>
      <x:c r="D408" s="117" t="str"/>
      <x:c r="E408" s="119" t="str"/>
      <x:c r="F408" s="117" t="str">
        <x:v>No</x:v>
      </x:c>
      <x:c r="G408" s="118" t="n">
        <x:v>0</x:v>
      </x:c>
      <x:c r="H408" s="119" t="str"/>
      <x:c r="I408" s="119" t="str"/>
      <x:c r="J408" s="119" t="str"/>
    </x:row>
    <x:row r="409" ht="46" customHeight="1">
      <x:c r="A409" s="117" t="str">
        <x:v>LWC</x:v>
      </x:c>
      <x:c r="B409" s="117" t="str">
        <x:v>recordTableStateful</x:v>
      </x:c>
      <x:c r="C409" s="119" t="str">
        <x:v>lightning__FlowScreen</x:v>
      </x:c>
      <x:c r="D409" s="117" t="str"/>
      <x:c r="E409" s="119" t="str">
        <x:v>lightning__FlowScreen</x:v>
      </x:c>
      <x:c r="F409" s="117" t="str">
        <x:v>Yes</x:v>
      </x:c>
      <x:c r="G409" s="118" t="n">
        <x:v>1</x:v>
      </x:c>
      <x:c r="H409" s="119" t="str">
        <x:v>Screen_Flow_Select_IR_Assets</x:v>
      </x:c>
      <x:c r="I409" s="119" t="str"/>
      <x:c r="J409" s="119" t="str"/>
    </x:row>
    <x:row r="410" ht="46" customHeight="1">
      <x:c r="A410" s="117" t="str">
        <x:v>LWC</x:v>
      </x:c>
      <x:c r="B410" s="117" t="str">
        <x:v>recordTypeSelectionLwc</x:v>
      </x:c>
      <x:c r="C410" s="119" t="str">
        <x:v>lightning__RecordPage</x:v>
      </x:c>
      <x:c r="D410" s="117" t="str"/>
      <x:c r="E410" s="119" t="str">
        <x:v>lightning__RecordPage</x:v>
      </x:c>
      <x:c r="F410" s="117" t="str">
        <x:v>No</x:v>
      </x:c>
      <x:c r="G410" s="118" t="n">
        <x:v>0</x:v>
      </x:c>
      <x:c r="H410" s="119" t="str"/>
      <x:c r="I410" s="119" t="str">
        <x:v>RecordTypeUtility</x:v>
      </x:c>
      <x:c r="J410" s="119" t="str"/>
    </x:row>
    <x:row r="411" ht="46" customHeight="1">
      <x:c r="A411" s="117" t="str">
        <x:v>LWC</x:v>
      </x:c>
      <x:c r="B411" s="117" t="str">
        <x:v>searchServiceAppointments</x:v>
      </x:c>
      <x:c r="C411" s="119" t="str">
        <x:v>lightning__HomePage, lightning__RecordPage</x:v>
      </x:c>
      <x:c r="D411" s="117" t="str"/>
      <x:c r="E411" s="119" t="str">
        <x:v>lightning__HomePage, lightning__RecordPage</x:v>
      </x:c>
      <x:c r="F411" s="117" t="str">
        <x:v>No</x:v>
      </x:c>
      <x:c r="G411" s="118" t="n">
        <x:v>0</x:v>
      </x:c>
      <x:c r="H411" s="119" t="str"/>
      <x:c r="I411" s="119" t="str"/>
      <x:c r="J411" s="119" t="str"/>
    </x:row>
    <x:row r="412" ht="46" customHeight="1">
      <x:c r="A412" s="117" t="str">
        <x:v>LWC</x:v>
      </x:c>
      <x:c r="B412" s="117" t="str">
        <x:v>signaturePad</x:v>
      </x:c>
      <x:c r="C412" s="119" t="str"/>
      <x:c r="D412" s="117" t="str"/>
      <x:c r="E412" s="119" t="str"/>
      <x:c r="F412" s="117" t="str">
        <x:v>No</x:v>
      </x:c>
      <x:c r="G412" s="118" t="n">
        <x:v>0</x:v>
      </x:c>
      <x:c r="H412" s="119" t="str"/>
      <x:c r="I412" s="119" t="str"/>
      <x:c r="J412" s="119" t="str"/>
    </x:row>
    <x:row r="413" ht="46" customHeight="1">
      <x:c r="A413" s="117" t="str">
        <x:v>LWC</x:v>
      </x:c>
      <x:c r="B413" s="117" t="str">
        <x:v>swapItemReceiptProductSelectionsLwc</x:v>
      </x:c>
      <x:c r="C413" s="119" t="str"/>
      <x:c r="D413" s="117" t="str"/>
      <x:c r="E413" s="119" t="str"/>
      <x:c r="F413" s="117" t="str">
        <x:v>No</x:v>
      </x:c>
      <x:c r="G413" s="118" t="n">
        <x:v>0</x:v>
      </x:c>
      <x:c r="H413" s="119" t="str"/>
      <x:c r="I413" s="119" t="str"/>
      <x:c r="J413" s="119" t="str"/>
    </x:row>
    <x:row r="414" ht="46" customHeight="1">
      <x:c r="A414" s="117" t="str">
        <x:v>LWC</x:v>
      </x:c>
      <x:c r="B414" s="117" t="str">
        <x:v>swapProductSelectionsLwc</x:v>
      </x:c>
      <x:c r="C414" s="119" t="str"/>
      <x:c r="D414" s="117" t="str"/>
      <x:c r="E414" s="119" t="str"/>
      <x:c r="F414" s="117" t="str">
        <x:v>No</x:v>
      </x:c>
      <x:c r="G414" s="118" t="n">
        <x:v>0</x:v>
      </x:c>
      <x:c r="H414" s="119" t="str"/>
      <x:c r="I414" s="119" t="str"/>
      <x:c r="J414" s="119" t="str"/>
    </x:row>
    <x:row r="415" ht="46" customHeight="1">
      <x:c r="A415" s="117" t="str">
        <x:v>LWC</x:v>
      </x:c>
      <x:c r="B415" s="117" t="str">
        <x:v>utilitiesLwc</x:v>
      </x:c>
      <x:c r="C415" s="119" t="str"/>
      <x:c r="D415" s="117" t="str"/>
      <x:c r="E415" s="119" t="str"/>
      <x:c r="F415" s="117" t="str">
        <x:v>No</x:v>
      </x:c>
      <x:c r="G415" s="118" t="n">
        <x:v>0</x:v>
      </x:c>
      <x:c r="H415" s="119" t="str"/>
      <x:c r="I415" s="119" t="str"/>
      <x:c r="J415" s="119" t="str"/>
    </x:row>
    <x:row r="416" ht="46" customHeight="1">
      <x:c r="A416" s="117" t="str">
        <x:v>Aura</x:v>
      </x:c>
      <x:c r="B416" s="117" t="str">
        <x:v>addAsset</x:v>
      </x:c>
      <x:c r="C416" s="119" t="str">
        <x:v>Aura bundle</x:v>
      </x:c>
      <x:c r="D416" s="117" t="str"/>
      <x:c r="E416" s="119" t="str"/>
      <x:c r="F416" s="117" t="str">
        <x:v>No</x:v>
      </x:c>
      <x:c r="G416" s="118" t="n">
        <x:v>0</x:v>
      </x:c>
      <x:c r="H416" s="119" t="str"/>
      <x:c r="I416" s="119" t="str"/>
      <x:c r="J416" s="119" t="str"/>
    </x:row>
    <x:row r="417" ht="46" customHeight="1">
      <x:c r="A417" s="117" t="str">
        <x:v>Aura</x:v>
      </x:c>
      <x:c r="B417" s="117" t="str">
        <x:v>addAssetComponent</x:v>
      </x:c>
      <x:c r="C417" s="119" t="str">
        <x:v>Aura bundle</x:v>
      </x:c>
      <x:c r="D417" s="117" t="str"/>
      <x:c r="E417" s="119" t="str"/>
      <x:c r="F417" s="117" t="str">
        <x:v>No</x:v>
      </x:c>
      <x:c r="G417" s="118" t="n">
        <x:v>0</x:v>
      </x:c>
      <x:c r="H417" s="119" t="str"/>
      <x:c r="I417" s="119" t="str"/>
      <x:c r="J417" s="119" t="str"/>
    </x:row>
    <x:row r="418" ht="46" customHeight="1">
      <x:c r="A418" s="117" t="str">
        <x:v>Aura</x:v>
      </x:c>
      <x:c r="B418" s="117" t="str">
        <x:v>addIRProduct</x:v>
      </x:c>
      <x:c r="C418" s="119" t="str">
        <x:v>Aura bundle</x:v>
      </x:c>
      <x:c r="D418" s="117" t="str"/>
      <x:c r="E418" s="119" t="str"/>
      <x:c r="F418" s="117" t="str">
        <x:v>No</x:v>
      </x:c>
      <x:c r="G418" s="118" t="n">
        <x:v>0</x:v>
      </x:c>
      <x:c r="H418" s="119" t="str"/>
      <x:c r="I418" s="119" t="str"/>
      <x:c r="J418" s="119" t="str"/>
    </x:row>
    <x:row r="419" ht="46" customHeight="1">
      <x:c r="A419" s="117" t="str">
        <x:v>Aura</x:v>
      </x:c>
      <x:c r="B419" s="117" t="str">
        <x:v>addIRProductComponent</x:v>
      </x:c>
      <x:c r="C419" s="119" t="str">
        <x:v>Aura bundle</x:v>
      </x:c>
      <x:c r="D419" s="117" t="str"/>
      <x:c r="E419" s="119" t="str"/>
      <x:c r="F419" s="117" t="str">
        <x:v>No</x:v>
      </x:c>
      <x:c r="G419" s="118" t="n">
        <x:v>0</x:v>
      </x:c>
      <x:c r="H419" s="119" t="str"/>
      <x:c r="I419" s="119" t="str"/>
      <x:c r="J419" s="119" t="str"/>
    </x:row>
    <x:row r="420" ht="46" customHeight="1">
      <x:c r="A420" s="117" t="str">
        <x:v>Aura</x:v>
      </x:c>
      <x:c r="B420" s="117" t="str">
        <x:v>addProduct</x:v>
      </x:c>
      <x:c r="C420" s="119" t="str">
        <x:v>Aura bundle</x:v>
      </x:c>
      <x:c r="D420" s="117" t="str"/>
      <x:c r="E420" s="119" t="str"/>
      <x:c r="F420" s="117" t="str">
        <x:v>No</x:v>
      </x:c>
      <x:c r="G420" s="118" t="n">
        <x:v>0</x:v>
      </x:c>
      <x:c r="H420" s="119" t="str"/>
      <x:c r="I420" s="119" t="str"/>
      <x:c r="J420" s="119" t="str"/>
    </x:row>
    <x:row r="421" ht="46" customHeight="1">
      <x:c r="A421" s="117" t="str">
        <x:v>Aura</x:v>
      </x:c>
      <x:c r="B421" s="117" t="str">
        <x:v>addProductComponent</x:v>
      </x:c>
      <x:c r="C421" s="119" t="str">
        <x:v>Aura bundle</x:v>
      </x:c>
      <x:c r="D421" s="117" t="str"/>
      <x:c r="E421" s="119" t="str"/>
      <x:c r="F421" s="117" t="str">
        <x:v>No</x:v>
      </x:c>
      <x:c r="G421" s="118" t="n">
        <x:v>0</x:v>
      </x:c>
      <x:c r="H421" s="119" t="str"/>
      <x:c r="I421" s="119" t="str"/>
      <x:c r="J421" s="119" t="str"/>
    </x:row>
    <x:row r="422" ht="46" customHeight="1">
      <x:c r="A422" s="117" t="str">
        <x:v>Aura</x:v>
      </x:c>
      <x:c r="B422" s="117" t="str">
        <x:v>addProductComponentNew</x:v>
      </x:c>
      <x:c r="C422" s="119" t="str">
        <x:v>Aura bundle</x:v>
      </x:c>
      <x:c r="D422" s="117" t="str"/>
      <x:c r="E422" s="119" t="str"/>
      <x:c r="F422" s="117" t="str">
        <x:v>No</x:v>
      </x:c>
      <x:c r="G422" s="118" t="n">
        <x:v>0</x:v>
      </x:c>
      <x:c r="H422" s="119" t="str"/>
      <x:c r="I422" s="119" t="str"/>
      <x:c r="J422" s="119" t="str"/>
    </x:row>
    <x:row r="423" ht="46" customHeight="1">
      <x:c r="A423" s="117" t="str">
        <x:v>Aura</x:v>
      </x:c>
      <x:c r="B423" s="117" t="str">
        <x:v>addProductNew</x:v>
      </x:c>
      <x:c r="C423" s="119" t="str">
        <x:v>Aura bundle</x:v>
      </x:c>
      <x:c r="D423" s="117" t="str"/>
      <x:c r="E423" s="119" t="str"/>
      <x:c r="F423" s="117" t="str">
        <x:v>No</x:v>
      </x:c>
      <x:c r="G423" s="118" t="n">
        <x:v>0</x:v>
      </x:c>
      <x:c r="H423" s="119" t="str"/>
      <x:c r="I423" s="119" t="str"/>
      <x:c r="J423" s="119" t="str"/>
    </x:row>
    <x:row r="424" ht="46" customHeight="1">
      <x:c r="A424" s="117" t="str">
        <x:v>Aura</x:v>
      </x:c>
      <x:c r="B424" s="117" t="str">
        <x:v>CreditMemoPDFDisplay</x:v>
      </x:c>
      <x:c r="C424" s="119" t="str">
        <x:v>Aura bundle</x:v>
      </x:c>
      <x:c r="D424" s="117" t="str"/>
      <x:c r="E424" s="119" t="str"/>
      <x:c r="F424" s="117" t="str">
        <x:v>No</x:v>
      </x:c>
      <x:c r="G424" s="118" t="n">
        <x:v>0</x:v>
      </x:c>
      <x:c r="H424" s="119" t="str"/>
      <x:c r="I424" s="119" t="str"/>
      <x:c r="J424" s="119" t="str"/>
    </x:row>
    <x:row r="425" ht="46" customHeight="1">
      <x:c r="A425" s="117" t="str">
        <x:v>Aura</x:v>
      </x:c>
      <x:c r="B425" s="117" t="str">
        <x:v>CreditMemoPDFDisplayUK</x:v>
      </x:c>
      <x:c r="C425" s="119" t="str">
        <x:v>Aura bundle</x:v>
      </x:c>
      <x:c r="D425" s="117" t="str"/>
      <x:c r="E425" s="119" t="str"/>
      <x:c r="F425" s="117" t="str">
        <x:v>No</x:v>
      </x:c>
      <x:c r="G425" s="118" t="n">
        <x:v>0</x:v>
      </x:c>
      <x:c r="H425" s="119" t="str"/>
      <x:c r="I425" s="119" t="str"/>
      <x:c r="J425" s="119" t="str"/>
    </x:row>
    <x:row r="426" ht="46" customHeight="1">
      <x:c r="A426" s="117" t="str">
        <x:v>Aura</x:v>
      </x:c>
      <x:c r="B426" s="117" t="str">
        <x:v>defaultTokens</x:v>
      </x:c>
      <x:c r="C426" s="119" t="str">
        <x:v>Aura bundle</x:v>
      </x:c>
      <x:c r="D426" s="117" t="str"/>
      <x:c r="E426" s="119" t="str"/>
      <x:c r="F426" s="117" t="str">
        <x:v>No</x:v>
      </x:c>
      <x:c r="G426" s="118" t="n">
        <x:v>0</x:v>
      </x:c>
      <x:c r="H426" s="119" t="str"/>
      <x:c r="I426" s="119" t="str"/>
      <x:c r="J426" s="119" t="str"/>
    </x:row>
    <x:row r="427" ht="46" customHeight="1">
      <x:c r="A427" s="117" t="str">
        <x:v>Aura</x:v>
      </x:c>
      <x:c r="B427" s="117" t="str">
        <x:v>FieldServiceReportPDFDisplay</x:v>
      </x:c>
      <x:c r="C427" s="119" t="str">
        <x:v>Aura bundle</x:v>
      </x:c>
      <x:c r="D427" s="117" t="str"/>
      <x:c r="E427" s="119" t="str"/>
      <x:c r="F427" s="117" t="str">
        <x:v>No</x:v>
      </x:c>
      <x:c r="G427" s="118" t="n">
        <x:v>0</x:v>
      </x:c>
      <x:c r="H427" s="119" t="str"/>
      <x:c r="I427" s="119" t="str"/>
      <x:c r="J427" s="119" t="str"/>
    </x:row>
    <x:row r="428" ht="46" customHeight="1">
      <x:c r="A428" s="117" t="str">
        <x:v>Aura</x:v>
      </x:c>
      <x:c r="B428" s="117" t="str">
        <x:v>InvoicePDFDisplayUK</x:v>
      </x:c>
      <x:c r="C428" s="119" t="str">
        <x:v>Aura bundle</x:v>
      </x:c>
      <x:c r="D428" s="117" t="str"/>
      <x:c r="E428" s="119" t="str"/>
      <x:c r="F428" s="117" t="str">
        <x:v>No</x:v>
      </x:c>
      <x:c r="G428" s="118" t="n">
        <x:v>0</x:v>
      </x:c>
      <x:c r="H428" s="119" t="str"/>
      <x:c r="I428" s="119" t="str"/>
      <x:c r="J428" s="119" t="str"/>
    </x:row>
    <x:row r="429" ht="46" customHeight="1">
      <x:c r="A429" s="117" t="str">
        <x:v>Aura</x:v>
      </x:c>
      <x:c r="B429" s="117" t="str">
        <x:v>InvoicePDFDisplayUKProForma</x:v>
      </x:c>
      <x:c r="C429" s="119" t="str">
        <x:v>Aura bundle</x:v>
      </x:c>
      <x:c r="D429" s="117" t="str"/>
      <x:c r="E429" s="119" t="str"/>
      <x:c r="F429" s="117" t="str">
        <x:v>No</x:v>
      </x:c>
      <x:c r="G429" s="118" t="n">
        <x:v>0</x:v>
      </x:c>
      <x:c r="H429" s="119" t="str"/>
      <x:c r="I429" s="119" t="str"/>
      <x:c r="J429" s="119" t="str"/>
    </x:row>
    <x:row r="430" ht="46" customHeight="1">
      <x:c r="A430" s="117" t="str">
        <x:v>Aura</x:v>
      </x:c>
      <x:c r="B430" s="117" t="str">
        <x:v>InvoicePDFDisplayUKRental</x:v>
      </x:c>
      <x:c r="C430" s="119" t="str">
        <x:v>Aura bundle</x:v>
      </x:c>
      <x:c r="D430" s="117" t="str"/>
      <x:c r="E430" s="119" t="str"/>
      <x:c r="F430" s="117" t="str">
        <x:v>No</x:v>
      </x:c>
      <x:c r="G430" s="118" t="n">
        <x:v>0</x:v>
      </x:c>
      <x:c r="H430" s="119" t="str"/>
      <x:c r="I430" s="119" t="str"/>
      <x:c r="J430" s="119" t="str"/>
    </x:row>
    <x:row r="431" ht="46" customHeight="1">
      <x:c r="A431" s="117" t="str">
        <x:v>Aura</x:v>
      </x:c>
      <x:c r="B431" s="117" t="str">
        <x:v>InvoiePDFDisplay</x:v>
      </x:c>
      <x:c r="C431" s="119" t="str">
        <x:v>Aura bundle</x:v>
      </x:c>
      <x:c r="D431" s="117" t="str"/>
      <x:c r="E431" s="119" t="str"/>
      <x:c r="F431" s="117" t="str">
        <x:v>No</x:v>
      </x:c>
      <x:c r="G431" s="118" t="n">
        <x:v>0</x:v>
      </x:c>
      <x:c r="H431" s="119" t="str"/>
      <x:c r="I431" s="119" t="str"/>
      <x:c r="J431" s="119" t="str"/>
    </x:row>
    <x:row r="432" ht="46" customHeight="1">
      <x:c r="A432" s="117" t="str">
        <x:v>Aura</x:v>
      </x:c>
      <x:c r="B432" s="117" t="str">
        <x:v>navigateToRecord</x:v>
      </x:c>
      <x:c r="C432" s="119" t="str">
        <x:v>Aura bundle</x:v>
      </x:c>
      <x:c r="D432" s="117" t="str"/>
      <x:c r="E432" s="119" t="str"/>
      <x:c r="F432" s="117" t="str">
        <x:v>No</x:v>
      </x:c>
      <x:c r="G432" s="118" t="n">
        <x:v>0</x:v>
      </x:c>
      <x:c r="H432" s="119" t="str"/>
      <x:c r="I432" s="119" t="str"/>
      <x:c r="J432" s="119" t="str"/>
    </x:row>
    <x:row r="433" ht="46" customHeight="1">
      <x:c r="A433" s="117" t="str">
        <x:v>Aura</x:v>
      </x:c>
      <x:c r="B433" s="117" t="str">
        <x:v>overrideProductTest</x:v>
      </x:c>
      <x:c r="C433" s="119" t="str">
        <x:v>Aura bundle</x:v>
      </x:c>
      <x:c r="D433" s="117" t="str"/>
      <x:c r="E433" s="119" t="str"/>
      <x:c r="F433" s="117" t="str">
        <x:v>No</x:v>
      </x:c>
      <x:c r="G433" s="118" t="n">
        <x:v>0</x:v>
      </x:c>
      <x:c r="H433" s="119" t="str"/>
      <x:c r="I433" s="119" t="str">
        <x:v>ProductTest</x:v>
      </x:c>
      <x:c r="J433" s="119" t="str"/>
    </x:row>
    <x:row r="434" ht="46" customHeight="1">
      <x:c r="A434" s="117" t="str">
        <x:v>Aura</x:v>
      </x:c>
      <x:c r="B434" s="117" t="str">
        <x:v>PPMSRF_pdfDisplay</x:v>
      </x:c>
      <x:c r="C434" s="119" t="str">
        <x:v>Aura bundle</x:v>
      </x:c>
      <x:c r="D434" s="117" t="str"/>
      <x:c r="E434" s="119" t="str"/>
      <x:c r="F434" s="117" t="str">
        <x:v>No</x:v>
      </x:c>
      <x:c r="G434" s="118" t="n">
        <x:v>0</x:v>
      </x:c>
      <x:c r="H434" s="119" t="str"/>
      <x:c r="I434" s="119" t="str"/>
      <x:c r="J434" s="119" t="str"/>
    </x:row>
    <x:row r="435" ht="46" customHeight="1">
      <x:c r="A435" s="117" t="str">
        <x:v>Aura</x:v>
      </x:c>
      <x:c r="B435" s="117" t="str">
        <x:v>PreventativeMaintenancePDFDisplay</x:v>
      </x:c>
      <x:c r="C435" s="119" t="str">
        <x:v>Aura bundle</x:v>
      </x:c>
      <x:c r="D435" s="117" t="str"/>
      <x:c r="E435" s="119" t="str"/>
      <x:c r="F435" s="117" t="str">
        <x:v>No</x:v>
      </x:c>
      <x:c r="G435" s="118" t="n">
        <x:v>0</x:v>
      </x:c>
      <x:c r="H435" s="119" t="str"/>
      <x:c r="I435" s="119" t="str"/>
      <x:c r="J435" s="119" t="str"/>
    </x:row>
    <x:row r="436" ht="46" customHeight="1">
      <x:c r="A436" s="117" t="str">
        <x:v>Aura</x:v>
      </x:c>
      <x:c r="B436" s="117" t="str">
        <x:v>ServiceContractInvoiceDisplay</x:v>
      </x:c>
      <x:c r="C436" s="119" t="str">
        <x:v>Aura bundle</x:v>
      </x:c>
      <x:c r="D436" s="117" t="str"/>
      <x:c r="E436" s="119" t="str"/>
      <x:c r="F436" s="117" t="str">
        <x:v>No</x:v>
      </x:c>
      <x:c r="G436" s="118" t="n">
        <x:v>0</x:v>
      </x:c>
      <x:c r="H436" s="119" t="str"/>
      <x:c r="I436" s="119" t="str"/>
      <x:c r="J436" s="119" t="str"/>
    </x:row>
    <x:row r="437" ht="46" customHeight="1">
      <x:c r="A437" s="117" t="str">
        <x:v>Aura</x:v>
      </x:c>
      <x:c r="B437" s="117" t="str">
        <x:v>ServiceReportFormPDFDisplay</x:v>
      </x:c>
      <x:c r="C437" s="119" t="str">
        <x:v>Aura bundle</x:v>
      </x:c>
      <x:c r="D437" s="117" t="str"/>
      <x:c r="E437" s="119" t="str"/>
      <x:c r="F437" s="117" t="str">
        <x:v>No</x:v>
      </x:c>
      <x:c r="G437" s="118" t="n">
        <x:v>0</x:v>
      </x:c>
      <x:c r="H437" s="119" t="str"/>
      <x:c r="I437" s="119" t="str"/>
      <x:c r="J437" s="119" t="str"/>
    </x:row>
    <x:row r="438" ht="46" customHeight="1">
      <x:c r="A438" s="117" t="str">
        <x:v>Aura</x:v>
      </x:c>
      <x:c r="B438" s="117" t="str">
        <x:v>SS_cmsCarousel</x:v>
      </x:c>
      <x:c r="C438" s="119" t="str">
        <x:v>Aura bundle</x:v>
      </x:c>
      <x:c r="D438" s="117" t="str"/>
      <x:c r="E438" s="119" t="str"/>
      <x:c r="F438" s="117" t="str">
        <x:v>No</x:v>
      </x:c>
      <x:c r="G438" s="118" t="n">
        <x:v>0</x:v>
      </x:c>
      <x:c r="H438" s="119" t="str"/>
      <x:c r="I438" s="119" t="str"/>
      <x:c r="J438" s="119" t="str"/>
    </x:row>
    <x:row r="439" ht="46" customHeight="1">
      <x:c r="A439" s="117" t="str">
        <x:v>Aura</x:v>
      </x:c>
      <x:c r="B439" s="117" t="str">
        <x:v>SS_cmsCarouselDataProvider</x:v>
      </x:c>
      <x:c r="C439" s="119" t="str">
        <x:v>Aura bundle</x:v>
      </x:c>
      <x:c r="D439" s="117" t="str"/>
      <x:c r="E439" s="119" t="str"/>
      <x:c r="F439" s="117" t="str">
        <x:v>No</x:v>
      </x:c>
      <x:c r="G439" s="118" t="n">
        <x:v>0</x:v>
      </x:c>
      <x:c r="H439" s="119" t="str"/>
      <x:c r="I439" s="119" t="str">
        <x:v>cloudx_cms.SS_CarouselController</x:v>
      </x:c>
      <x:c r="J439" s="119" t="str"/>
    </x:row>
    <x:row r="440" ht="46" customHeight="1">
      <x:c r="A440" s="117" t="str">
        <x:v>Aura</x:v>
      </x:c>
      <x:c r="B440" s="117" t="str">
        <x:v>SS_cmsCarouselSlide</x:v>
      </x:c>
      <x:c r="C440" s="119" t="str">
        <x:v>Aura bundle</x:v>
      </x:c>
      <x:c r="D440" s="117" t="str"/>
      <x:c r="E440" s="119" t="str"/>
      <x:c r="F440" s="117" t="str">
        <x:v>No</x:v>
      </x:c>
      <x:c r="G440" s="118" t="n">
        <x:v>0</x:v>
      </x:c>
      <x:c r="H440" s="119" t="str"/>
      <x:c r="I440" s="119" t="str"/>
      <x:c r="J440" s="119" t="str"/>
    </x:row>
    <x:row r="441" ht="46" customHeight="1">
      <x:c r="A441" s="117" t="str">
        <x:v>Aura</x:v>
      </x:c>
      <x:c r="B441" s="117" t="str">
        <x:v>SS_uiAbstractList</x:v>
      </x:c>
      <x:c r="C441" s="119" t="str">
        <x:v>Aura bundle</x:v>
      </x:c>
      <x:c r="D441" s="117" t="str"/>
      <x:c r="E441" s="119" t="str"/>
      <x:c r="F441" s="117" t="str">
        <x:v>No</x:v>
      </x:c>
      <x:c r="G441" s="118" t="n">
        <x:v>0</x:v>
      </x:c>
      <x:c r="H441" s="119" t="str"/>
      <x:c r="I441" s="119" t="str"/>
      <x:c r="J441" s="119" t="str"/>
    </x:row>
    <x:row r="442" ht="46" customHeight="1">
      <x:c r="A442" s="117" t="str">
        <x:v>Aura</x:v>
      </x:c>
      <x:c r="B442" s="117" t="str">
        <x:v>SS_uiBaseBanner</x:v>
      </x:c>
      <x:c r="C442" s="119" t="str">
        <x:v>Aura bundle</x:v>
      </x:c>
      <x:c r="D442" s="117" t="str"/>
      <x:c r="E442" s="119" t="str"/>
      <x:c r="F442" s="117" t="str">
        <x:v>No</x:v>
      </x:c>
      <x:c r="G442" s="118" t="n">
        <x:v>0</x:v>
      </x:c>
      <x:c r="H442" s="119" t="str"/>
      <x:c r="I442" s="119" t="str"/>
      <x:c r="J442" s="119" t="str"/>
    </x:row>
    <x:row r="443" ht="46" customHeight="1">
      <x:c r="A443" s="117" t="str">
        <x:v>Aura</x:v>
      </x:c>
      <x:c r="B443" s="117" t="str">
        <x:v>SS_uiBaseCarouselSlide</x:v>
      </x:c>
      <x:c r="C443" s="119" t="str">
        <x:v>Aura bundle</x:v>
      </x:c>
      <x:c r="D443" s="117" t="str"/>
      <x:c r="E443" s="119" t="str"/>
      <x:c r="F443" s="117" t="str">
        <x:v>No</x:v>
      </x:c>
      <x:c r="G443" s="118" t="n">
        <x:v>0</x:v>
      </x:c>
      <x:c r="H443" s="119" t="str"/>
      <x:c r="I443" s="119" t="str"/>
      <x:c r="J443" s="119" t="str"/>
    </x:row>
    <x:row r="444" ht="46" customHeight="1">
      <x:c r="A444" s="117" t="str">
        <x:v>Aura</x:v>
      </x:c>
      <x:c r="B444" s="117" t="str">
        <x:v>SS_uiCarousel</x:v>
      </x:c>
      <x:c r="C444" s="119" t="str">
        <x:v>Aura bundle</x:v>
      </x:c>
      <x:c r="D444" s="117" t="str"/>
      <x:c r="E444" s="119" t="str"/>
      <x:c r="F444" s="117" t="str">
        <x:v>No</x:v>
      </x:c>
      <x:c r="G444" s="118" t="n">
        <x:v>0</x:v>
      </x:c>
      <x:c r="H444" s="119" t="str"/>
      <x:c r="I444" s="119" t="str"/>
      <x:c r="J444" s="119" t="str"/>
    </x:row>
    <x:row r="445" ht="46" customHeight="1">
      <x:c r="A445" s="117" t="str">
        <x:v>Aura</x:v>
      </x:c>
      <x:c r="B445" s="117" t="str">
        <x:v>SS_uiDataChangedEvent</x:v>
      </x:c>
      <x:c r="C445" s="119" t="str">
        <x:v>Aura bundle</x:v>
      </x:c>
      <x:c r="D445" s="117" t="str"/>
      <x:c r="E445" s="119" t="str"/>
      <x:c r="F445" s="117" t="str">
        <x:v>No</x:v>
      </x:c>
      <x:c r="G445" s="118" t="n">
        <x:v>0</x:v>
      </x:c>
      <x:c r="H445" s="119" t="str"/>
      <x:c r="I445" s="119" t="str"/>
      <x:c r="J445" s="119" t="str"/>
    </x:row>
    <x:row r="446" ht="46" customHeight="1">
      <x:c r="A446" s="117" t="str">
        <x:v>Aura</x:v>
      </x:c>
      <x:c r="B446" s="117" t="str">
        <x:v>SS_uiDataProvideEvent</x:v>
      </x:c>
      <x:c r="C446" s="119" t="str">
        <x:v>Aura bundle</x:v>
      </x:c>
      <x:c r="D446" s="117" t="str"/>
      <x:c r="E446" s="119" t="str"/>
      <x:c r="F446" s="117" t="str">
        <x:v>No</x:v>
      </x:c>
      <x:c r="G446" s="118" t="n">
        <x:v>0</x:v>
      </x:c>
      <x:c r="H446" s="119" t="str"/>
      <x:c r="I446" s="119" t="str"/>
      <x:c r="J446" s="119" t="str"/>
    </x:row>
    <x:row r="447" ht="46" customHeight="1">
      <x:c r="A447" s="117" t="str">
        <x:v>Aura</x:v>
      </x:c>
      <x:c r="B447" s="117" t="str">
        <x:v>SS_uiDataProvider</x:v>
      </x:c>
      <x:c r="C447" s="119" t="str">
        <x:v>Aura bundle</x:v>
      </x:c>
      <x:c r="D447" s="117" t="str"/>
      <x:c r="E447" s="119" t="str"/>
      <x:c r="F447" s="117" t="str">
        <x:v>No</x:v>
      </x:c>
      <x:c r="G447" s="118" t="n">
        <x:v>0</x:v>
      </x:c>
      <x:c r="H447" s="119" t="str"/>
      <x:c r="I447" s="119" t="str"/>
      <x:c r="J447" s="119" t="str"/>
    </x:row>
    <x:row r="448" ht="46" customHeight="1">
      <x:c r="A448" s="117" t="str">
        <x:v>Aura</x:v>
      </x:c>
      <x:c r="B448" s="117" t="str">
        <x:v>SS_uiImageBanner</x:v>
      </x:c>
      <x:c r="C448" s="119" t="str">
        <x:v>Aura bundle</x:v>
      </x:c>
      <x:c r="D448" s="117" t="str"/>
      <x:c r="E448" s="119" t="str"/>
      <x:c r="F448" s="117" t="str">
        <x:v>No</x:v>
      </x:c>
      <x:c r="G448" s="118" t="n">
        <x:v>0</x:v>
      </x:c>
      <x:c r="H448" s="119" t="str"/>
      <x:c r="I448" s="119" t="str"/>
      <x:c r="J448" s="119" t="str"/>
    </x:row>
    <x:row r="449" ht="46" customHeight="1">
      <x:c r="A449" s="117" t="str">
        <x:v>Aura</x:v>
      </x:c>
      <x:c r="B449" s="117" t="str">
        <x:v>SS_uiJSONDataProvider</x:v>
      </x:c>
      <x:c r="C449" s="119" t="str">
        <x:v>Aura bundle</x:v>
      </x:c>
      <x:c r="D449" s="117" t="str"/>
      <x:c r="E449" s="119" t="str"/>
      <x:c r="F449" s="117" t="str">
        <x:v>No</x:v>
      </x:c>
      <x:c r="G449" s="118" t="n">
        <x:v>0</x:v>
      </x:c>
      <x:c r="H449" s="119" t="str"/>
      <x:c r="I449" s="119" t="str"/>
      <x:c r="J449" s="119" t="str"/>
    </x:row>
    <x:row r="450" ht="46" customHeight="1">
      <x:c r="A450" s="117" t="str">
        <x:v>Aura</x:v>
      </x:c>
      <x:c r="B450" s="117" t="str">
        <x:v>SS_uiVideoBanner</x:v>
      </x:c>
      <x:c r="C450" s="119" t="str">
        <x:v>Aura bundle</x:v>
      </x:c>
      <x:c r="D450" s="117" t="str"/>
      <x:c r="E450" s="119" t="str"/>
      <x:c r="F450" s="117" t="str">
        <x:v>No</x:v>
      </x:c>
      <x:c r="G450" s="118" t="n">
        <x:v>0</x:v>
      </x:c>
      <x:c r="H450" s="119" t="str"/>
      <x:c r="I450" s="119" t="str"/>
      <x:c r="J450" s="119" t="str"/>
    </x:row>
    <x:row r="451" ht="46" customHeight="1">
      <x:c r="A451" s="117" t="str">
        <x:v>Aura</x:v>
      </x:c>
      <x:c r="B451" s="117" t="str">
        <x:v>Test</x:v>
      </x:c>
      <x:c r="C451" s="119" t="str">
        <x:v>Aura bundle</x:v>
      </x:c>
      <x:c r="D451" s="117" t="str"/>
      <x:c r="E451" s="119" t="str"/>
      <x:c r="F451" s="117" t="str">
        <x:v>No</x:v>
      </x:c>
      <x:c r="G451" s="118" t="n">
        <x:v>0</x:v>
      </x:c>
      <x:c r="H451" s="119" t="str"/>
      <x:c r="I451" s="119" t="str"/>
      <x:c r="J451" s="119" t="str"/>
    </x:row>
    <x:row r="452" ht="46" customHeight="1">
      <x:c r="A452" s="117" t="str">
        <x:v>Aura</x:v>
      </x:c>
      <x:c r="B452" s="117" t="str">
        <x:v>workOrderProductHost</x:v>
      </x:c>
      <x:c r="C452" s="119" t="str">
        <x:v>Aura bundle</x:v>
      </x:c>
      <x:c r="D452" s="117" t="str"/>
      <x:c r="E452" s="119" t="str"/>
      <x:c r="F452" s="117" t="str">
        <x:v>No</x:v>
      </x:c>
      <x:c r="G452" s="118" t="n">
        <x:v>0</x:v>
      </x:c>
      <x:c r="H452" s="119" t="str"/>
      <x:c r="I452" s="119" t="str">
        <x:v>WorkOrderLineItemServices</x:v>
      </x:c>
      <x:c r="J452" s="119" t="str"/>
    </x:row>
  </x:sheetData>
  <x:mergeCells>
    <x:mergeCell ref="A1:J1"/>
    <x:mergeCell ref="A2:J2"/>
  </x:mergeCells>
  <x:pageMargins left="0.7" right="0.7" top="0.75" bottom="0.75" header="0.3" footer="0.3"/>
  <x:tableParts count="1">
    <x:tablePart xmlns:r="http://schemas.openxmlformats.org/officeDocument/2006/relationships" r:id="R5995dd5fa08d49b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6" hidden="0" customWidth="1"/>
    <x:col min="4" max="4" width="60" hidden="0" customWidth="1"/>
    <x:col min="5" max="5" width="12" hidden="0" customWidth="1"/>
    <x:col min="6" max="6" width="58" hidden="0" customWidth="1"/>
    <x:col min="7" max="7" width="68" hidden="0" customWidth="1"/>
  </x:cols>
  <x:sheetData>
    <x:row r="1" ht="28" customHeight="1">
      <x:c r="A1" s="3" t="str">
        <x:v>Code Overlap — High-Confidence Flow/Apex/LWC Boundaries</x:v>
      </x:c>
      <x:c r="B1" s="3"/>
      <x:c r="C1" s="3"/>
      <x:c r="D1" s="3"/>
      <x:c r="E1" s="3"/>
      <x:c r="F1" s="3"/>
      <x:c r="G1" s="3"/>
    </x:row>
    <x:row r="2" ht="34" customHeight="1">
      <x:c r="A2" s="7" t="str">
        <x:v>High-confidence overlaps only: Apex triggers sharing object transactions, direct Flow-to-Apex calls, and Flow-screen component usage.</x:v>
      </x:c>
      <x:c r="B2" s="7"/>
      <x:c r="C2" s="7"/>
      <x:c r="D2" s="7"/>
      <x:c r="E2" s="7"/>
      <x:c r="F2" s="7"/>
      <x:c r="G2" s="7"/>
    </x:row>
    <x:row r="4" ht="36" customHeight="1">
      <x:c r="A4" s="114" t="str">
        <x:v>Overlap Type</x:v>
      </x:c>
      <x:c r="B4" s="115" t="str">
        <x:v>Object / Target</x:v>
      </x:c>
      <x:c r="C4" s="115" t="str">
        <x:v>Code Component</x:v>
      </x:c>
      <x:c r="D4" s="115" t="str">
        <x:v>Flow</x:v>
      </x:c>
      <x:c r="E4" s="115" t="str">
        <x:v>Confidence</x:v>
      </x:c>
      <x:c r="F4" s="115" t="str">
        <x:v>Risk</x:v>
      </x:c>
      <x:c r="G4" s="116" t="str">
        <x:v>Recommendation</x:v>
      </x:c>
    </x:row>
    <x:row r="5" ht="58" customHeight="1">
      <x:c r="A5" s="117" t="str">
        <x:v>Apex Trigger + Record-Triggered Flows</x:v>
      </x:c>
      <x:c r="B5" s="117" t="str">
        <x:v>Account</x:v>
      </x:c>
      <x:c r="C5" s="117" t="str">
        <x:v>P_AccountTrigger</x:v>
      </x:c>
      <x:c r="D5" s="119" t="str">
        <x:v>AccountFieldUpdateFlow, Account_Created_by_EU_UK, AvaTax_Account_Update_AvaTax_Exemption_Message_Flow, Record_Triggered_After_Account_Prevent_Intact_Sync_Status_Change</x:v>
      </x:c>
      <x:c r="E5" s="117" t="str">
        <x:v>High</x:v>
      </x:c>
      <x:c r="F5" s="119" t="str">
        <x:v>Multiple automation engines share the same object transaction.</x:v>
      </x:c>
      <x:c r="G5" s="119" t="str">
        <x:v>Trace trigger handler and active Flow order together; assign one owner per business rule before consolidating.</x:v>
      </x:c>
    </x:row>
    <x:row r="6" ht="58" customHeight="1">
      <x:c r="A6" s="117" t="str">
        <x:v>Apex Trigger + Record-Triggered Flows</x:v>
      </x:c>
      <x:c r="B6" s="117" t="str">
        <x:v>Case</x:v>
      </x:c>
      <x:c r="C6" s="117" t="str">
        <x:v>P_CaseTrigger</x:v>
      </x:c>
      <x:c r="D6" s="119" t="str">
        <x:v>Case_Creation_Created_by_Entity_and_Initial_Assignment_Record_Triggered_Flow, Case_Online_Repair_Evaluation_Tool, Case_Update_Case_Automations_Record_Triggered_Flow, KloudGin_Case_Created_Email_Notification, Salesforce_Case_Notifications</x:v>
      </x:c>
      <x:c r="E6" s="117" t="str">
        <x:v>High</x:v>
      </x:c>
      <x:c r="F6" s="119" t="str">
        <x:v>Multiple automation engines share the same object transaction.</x:v>
      </x:c>
      <x:c r="G6" s="119" t="str">
        <x:v>Trace trigger handler and active Flow order together; assign one owner per business rule before consolidating.</x:v>
      </x:c>
    </x:row>
    <x:row r="7" ht="58" customHeight="1">
      <x:c r="A7" s="117" t="str">
        <x:v>Apex Trigger + Record-Triggered Flows</x:v>
      </x:c>
      <x:c r="B7" s="117" t="str">
        <x:v>Commission__c</x:v>
      </x:c>
      <x:c r="C7" s="117" t="str">
        <x:v>dlrs_CommissionTrigger</x:v>
      </x:c>
      <x:c r="D7" s="119" t="str">
        <x:v>Commission_Rollups</x:v>
      </x:c>
      <x:c r="E7" s="117" t="str">
        <x:v>High</x:v>
      </x:c>
      <x:c r="F7" s="119" t="str">
        <x:v>Multiple automation engines share the same object transaction.</x:v>
      </x:c>
      <x:c r="G7" s="119" t="str">
        <x:v>Trace trigger handler and active Flow order together; assign one owner per business rule before consolidating.</x:v>
      </x:c>
    </x:row>
    <x:row r="8" ht="58" customHeight="1">
      <x:c r="A8" s="117" t="str">
        <x:v>Apex Trigger + Record-Triggered Flows</x:v>
      </x:c>
      <x:c r="B8" s="117" t="str">
        <x:v>Credit_Memo__c</x:v>
      </x:c>
      <x:c r="C8" s="117" t="str">
        <x:v>CreditMemoTrigger</x:v>
      </x:c>
      <x:c r="D8" s="119" t="str">
        <x:v>CM_Set_Initial_Credit_Memo_Amount_from_Lines, Credit_Memo_1, Credit_Memo_Sync_Notification, Credit_Memo_Sync_Retry, RMA_Rollups, Send_Credit_Memo_PDF_to_Customer</x:v>
      </x:c>
      <x:c r="E8" s="117" t="str">
        <x:v>High</x:v>
      </x:c>
      <x:c r="F8" s="119" t="str">
        <x:v>Multiple automation engines share the same object transaction.</x:v>
      </x:c>
      <x:c r="G8" s="119" t="str">
        <x:v>Trace trigger handler and active Flow order together; assign one owner per business rule before consolidating.</x:v>
      </x:c>
    </x:row>
    <x:row r="9" ht="58" customHeight="1">
      <x:c r="A9" s="117" t="str">
        <x:v>Apex Trigger + Record-Triggered Flows</x:v>
      </x:c>
      <x:c r="B9" s="117" t="str">
        <x:v>Credit_Memo__c</x:v>
      </x:c>
      <x:c r="C9" s="117" t="str">
        <x:v>dlrs_Credit_MemoTrigger</x:v>
      </x:c>
      <x:c r="D9" s="119" t="str">
        <x:v>CM_Set_Initial_Credit_Memo_Amount_from_Lines, Credit_Memo_1, Credit_Memo_Sync_Notification, Credit_Memo_Sync_Retry, RMA_Rollups, Send_Credit_Memo_PDF_to_Customer</x:v>
      </x:c>
      <x:c r="E9" s="117" t="str">
        <x:v>High</x:v>
      </x:c>
      <x:c r="F9" s="119" t="str">
        <x:v>Multiple automation engines share the same object transaction.</x:v>
      </x:c>
      <x:c r="G9" s="119" t="str">
        <x:v>Trace trigger handler and active Flow order together; assign one owner per business rule before consolidating.</x:v>
      </x:c>
    </x:row>
    <x:row r="10" ht="58" customHeight="1">
      <x:c r="A10" s="117" t="str">
        <x:v>Apex Trigger + Record-Triggered Flows</x:v>
      </x:c>
      <x:c r="B10" s="117" t="str">
        <x:v>Evaluation_Natalie__c</x:v>
      </x:c>
      <x:c r="C10" s="117" t="str">
        <x:v>EvalUpdateFields</x:v>
      </x:c>
      <x:c r="D10" s="119" t="str">
        <x:v>Mark_Asmer_Evaluation_Update_Email_Flow, Send_Post_Repair_Evaluation_Email</x:v>
      </x:c>
      <x:c r="E10" s="117" t="str">
        <x:v>High</x:v>
      </x:c>
      <x:c r="F10" s="119" t="str">
        <x:v>Multiple automation engines share the same object transaction.</x:v>
      </x:c>
      <x:c r="G10" s="119" t="str">
        <x:v>Trace trigger handler and active Flow order together; assign one owner per business rule before consolidating.</x:v>
      </x:c>
    </x:row>
    <x:row r="11" ht="58" customHeight="1">
      <x:c r="A11" s="117" t="str">
        <x:v>Apex Trigger + Record-Triggered Flows</x:v>
      </x:c>
      <x:c r="B11" s="117" t="str">
        <x:v>Harvest_Work_Order__c</x:v>
      </x:c>
      <x:c r="C11" s="117" t="str">
        <x:v>dlrs_Harvest_Work_OrderTrigger</x:v>
      </x:c>
      <x:c r="D11" s="119" t="str">
        <x:v>Auto_Close_SWO_HWO_Scrap_Asset, Harvest_Work_Order_Creation_Update_System_Work_Order_With_Harvest_Work_Order, Harvest_Work_Order_Roll_Up_Flow, Harvest_Work_Order_to_System_Work_Order</x:v>
      </x:c>
      <x:c r="E11" s="117" t="str">
        <x:v>High</x:v>
      </x:c>
      <x:c r="F11" s="119" t="str">
        <x:v>Multiple automation engines share the same object transaction.</x:v>
      </x:c>
      <x:c r="G11" s="119" t="str">
        <x:v>Trace trigger handler and active Flow order together; assign one owner per business rule before consolidating.</x:v>
      </x:c>
    </x:row>
    <x:row r="12" ht="58" customHeight="1">
      <x:c r="A12" s="117" t="str">
        <x:v>Apex Trigger + Record-Triggered Flows</x:v>
      </x:c>
      <x:c r="B12" s="117" t="str">
        <x:v>Invoice__c</x:v>
      </x:c>
      <x:c r="C12" s="117" t="str">
        <x:v>P_InvoiceTrigger</x:v>
      </x:c>
      <x:c r="D12" s="119" t="str">
        <x:v>Invoice_Automations, Invoice_Create_Invoice_Line_Items, Invoice_Re_sync_if_Errored, Invoice_Rollups, Invoice_Sync_Notification, On_Payment_of_Invoice_Update_Opportunity_to_Invoice_Paid</x:v>
      </x:c>
      <x:c r="E12" s="117" t="str">
        <x:v>High</x:v>
      </x:c>
      <x:c r="F12" s="119" t="str">
        <x:v>Multiple automation engines share the same object transaction.</x:v>
      </x:c>
      <x:c r="G12" s="119" t="str">
        <x:v>Trace trigger handler and active Flow order together; assign one owner per business rule before consolidating.</x:v>
      </x:c>
    </x:row>
    <x:row r="13" ht="58" customHeight="1">
      <x:c r="A13" s="117" t="str">
        <x:v>Apex Trigger + Record-Triggered Flows</x:v>
      </x:c>
      <x:c r="B13" s="117" t="str">
        <x:v>Invoice__c</x:v>
      </x:c>
      <x:c r="C13" s="117" t="str">
        <x:v>dlrs_InvoiceTrigger</x:v>
      </x:c>
      <x:c r="D13" s="119" t="str">
        <x:v>Invoice_Automations, Invoice_Create_Invoice_Line_Items, Invoice_Re_sync_if_Errored, Invoice_Rollups, Invoice_Sync_Notification, On_Payment_of_Invoice_Update_Opportunity_to_Invoice_Paid</x:v>
      </x:c>
      <x:c r="E13" s="117" t="str">
        <x:v>High</x:v>
      </x:c>
      <x:c r="F13" s="119" t="str">
        <x:v>Multiple automation engines share the same object transaction.</x:v>
      </x:c>
      <x:c r="G13" s="119" t="str">
        <x:v>Trace trigger handler and active Flow order together; assign one owner per business rule before consolidating.</x:v>
      </x:c>
    </x:row>
    <x:row r="14" ht="58" customHeight="1">
      <x:c r="A14" s="117" t="str">
        <x:v>Apex Trigger + Record-Triggered Flows</x:v>
      </x:c>
      <x:c r="B14" s="117" t="str">
        <x:v>Item_Receipt__c</x:v>
      </x:c>
      <x:c r="C14" s="117" t="str">
        <x:v>ItemReceiptTrigger</x:v>
      </x:c>
      <x:c r="D14" s="119" t="str">
        <x:v>Item_Receipt_Automations, Item_Receipt_Error_Email_to_Activate_Vendor_for_Item_Receipt, Item_Receipt_Run_Trigger_Update_if_needed_for_Sync, TEMP_IR_Product_Creation</x:v>
      </x:c>
      <x:c r="E14" s="117" t="str">
        <x:v>High</x:v>
      </x:c>
      <x:c r="F14" s="119" t="str">
        <x:v>Multiple automation engines share the same object transaction.</x:v>
      </x:c>
      <x:c r="G14" s="119" t="str">
        <x:v>Trace trigger handler and active Flow order together; assign one owner per business rule before consolidating.</x:v>
      </x:c>
    </x:row>
    <x:row r="15" ht="58" customHeight="1">
      <x:c r="A15" s="117" t="str">
        <x:v>Apex Trigger + Record-Triggered Flows</x:v>
      </x:c>
      <x:c r="B15" s="117" t="str">
        <x:v>Loaner_Asset__c</x:v>
      </x:c>
      <x:c r="C15" s="117" t="str">
        <x:v>LoanerAssetTrigger</x:v>
      </x:c>
      <x:c r="D15" s="119" t="str">
        <x:v>Loaner_Asset_Asynchronous_on_create_Loaner_Asset_Roll_Up, Loaner_Asset_Asynchronous_on_create_Loaner_Location_Roll_Up, Loaner_Asset_Asynchronous_on_create_Loaner_Serial_Roll_Up, Loaner_Asset_Asynchronous_on_update_Loaner_Location_Roll_Up, Loaner_Asset_Before_Delete_Loaner_Asset_Roll_Up, Loaner_Asset_Before_Delete_Loaner_Location_Roll_Up, Loaner_Asset_Before_Delete_Loaner_Serial_Roll_Up, Loaner_Asset_on_update_Loaner_Asset_Roll_Up, Loaner_Asset_on_update_Loaner_Serial_Roll_Up</x:v>
      </x:c>
      <x:c r="E15" s="117" t="str">
        <x:v>High</x:v>
      </x:c>
      <x:c r="F15" s="119" t="str">
        <x:v>Multiple automation engines share the same object transaction.</x:v>
      </x:c>
      <x:c r="G15" s="119" t="str">
        <x:v>Trace trigger handler and active Flow order together; assign one owner per business rule before consolidating.</x:v>
      </x:c>
    </x:row>
    <x:row r="16" ht="58" customHeight="1">
      <x:c r="A16" s="117" t="str">
        <x:v>Apex Trigger + Record-Triggered Flows</x:v>
      </x:c>
      <x:c r="B16" s="117" t="str">
        <x:v>Loaner__c</x:v>
      </x:c>
      <x:c r="C16" s="117" t="str">
        <x:v>LoanerTrigger</x:v>
      </x:c>
      <x:c r="D16" s="119" t="str">
        <x:v>Loaner_Object_Updates_and_Alerts, On_Creation_of_Loaner_Set_Shipping_Account_to_Bill_Customer_Fedex_System, On_Setting_of_Repair_Opportunity_Set_Shipping_Account_to_Bill_Customer_Fedex_Sys, US_FSL_On_Creation_of_Loaner_add_Loaner_to_Work_Order</x:v>
      </x:c>
      <x:c r="E16" s="117" t="str">
        <x:v>High</x:v>
      </x:c>
      <x:c r="F16" s="119" t="str">
        <x:v>Multiple automation engines share the same object transaction.</x:v>
      </x:c>
      <x:c r="G16" s="119" t="str">
        <x:v>Trace trigger handler and active Flow order together; assign one owner per business rule before consolidating.</x:v>
      </x:c>
    </x:row>
    <x:row r="17" ht="58" customHeight="1">
      <x:c r="A17" s="117" t="str">
        <x:v>Apex Trigger + Record-Triggered Flows</x:v>
      </x:c>
      <x:c r="B17" s="117" t="str">
        <x:v>Opportunity</x:v>
      </x:c>
      <x:c r="C17" s="117" t="str">
        <x:v>P_OpportunityTrigger</x:v>
      </x:c>
      <x:c r="D17" s="119" t="str">
        <x:v>Alert_AR_for_Opp_Ready_to_Bill, Auto_Close_Opps, Auto_Create_Post_Repair_Eval_on_Opp, Auto_Create_Return_Opportunity_for_Exchange_Purchasing_Ops, AvaTax_Opportunity_Automatic_Tax_Calculation_Flow, AvaTax_Opportunity_Existing_Update_Entity_Use_Code_IOR_Transport, AvaTax_Opportunity_New_Update_Entity_Code_IOR_Transport, AvaTax_Opportunity_Update_AvaTax_Message_and_Status, BIPO_Closed_Lost_Notification, Big_Iron_Purchasing_Opportunity_Updates_Alerts, Cloned_Opportunity_Update_FSR_Attached_and_FSR_Not_Required_to_False, Close_Win_Charge_for_Removal_Op_Automatically, Count_Return_Opportunities_on_a_Related_Opportunity, Create_Project_on_Big_Iron_Purchasing_Opportunity_Flow, Create_Project_on_Equipment_Storage_Opportunity_Creation, Davis_Medical_Shipping_Email_Alert_Flow, If_FSR_Not_Required_FSR_Datestamp_Blank_at_Closed_Won_Set_FSR_Datestamp_to_Today, Inter_Company_Transfer_Address_Update_Op, Mark_Closed_Lost_Big_Iron_Assets_as_PAd_and_Sold, On_Creation_of_Opportunity_Set_Shipping_Account_to_Bill_Customer_Fedex_System, On_Entry_of_Confirmation_Number_Send_Prepay_Received_Email, On_US_FSL_Lead_Conversion_Bring_Work_Order_Over_to_Contact_Account_Opportunity, Opportunity_Asynchronous_on_create_Update_Total_Cost_of_Project_POs, Opportunity_Asynchronous_on_delete_Update_Total_Cost_of_Project_POs, Opportunity_Asynchronous_on_update_Update_Total_Cost_of_Project_POs, Opportunity_Automations, Opportunity_Create_Warranty_Service_Contract, Opportunity_Creation_and_Update_Set_Intercompany_Transaction_Opportunity_Name, Opportunity_Line_Item_Creation_or_Update_Set_Opportunity_Asset_Summary, Opportunity_Resync_System, Opportunity_Update_FSE_Email_Record_Triggered_Flow, Purchasing_Opportunity_Field_Updates_Flow, Record_Triggered_Opportunity_Send_Tracking_Confirmation_for_WooCommerce_Orders, Rep_Email_Field_Update_Flow, Set_Entity_on_Opportunity_Creation, Sets_the_FSR_Datestamp_to_Today_when_FSR_Not_Required_or_FSR_Attached_is_Checked, UK_Notification_for_Shipping_Ops_to_the_UK, UK_Shipping_Timestamp_field_update_flow, UK_VAT_Sales_Tax_Automation, US_FSL_For_Probe_Parts_Repair_Opp_Upon_FSR_attached_mark_the_work_order_status_a, US_FSL_For_Probe_Parts_Sale_Opp_When_switched_to_pending_approval_change_work_or, US_FSL_For_Probe_Repair_Opp_On_Setting_of_Repair_Approved_change_Work_Order_to_R, US_FSL_For_Probe_Sale_Opp_Upon_Close_Won_Update_Work_Order_Status_to_Ready_to_Sh, US_FSL_For_Probe_Sale_Opp_Upon_Tracking_Entered_Update_Work_Order_Status_to_Ship, US_FSL_On_Addition_of_Related_Work_Order_Transfer_Ownership, US_FSL_On_Close_Lost_Repair_Opp_Set_WOLIs_to_Repair_Canceled, US_FSL_On_Ready_to_Ship_for_Opp_Update_WO_to_Confirm_Shipping, US_FSL_On_Repair_Declined_for_Opp_Update_WO_to_Pending_Shipment, Unreceipted_Invoice_Field_Update_Loop, Update_Currency_when_Entity_is_Changed, Update_Opportunity_With_Lead_Gen_Info</x:v>
      </x:c>
      <x:c r="E17" s="117" t="str">
        <x:v>High</x:v>
      </x:c>
      <x:c r="F17" s="119" t="str">
        <x:v>Multiple automation engines share the same object transaction.</x:v>
      </x:c>
      <x:c r="G17" s="119" t="str">
        <x:v>Trace trigger handler and active Flow order together; assign one owner per business rule before consolidating.</x:v>
      </x:c>
    </x:row>
    <x:row r="18" ht="58" customHeight="1">
      <x:c r="A18" s="117" t="str">
        <x:v>Apex Trigger + Record-Triggered Flows</x:v>
      </x:c>
      <x:c r="B18" s="117" t="str">
        <x:v>Opportunity</x:v>
      </x:c>
      <x:c r="C18" s="117" t="str">
        <x:v>ProcessTemplateFolder</x:v>
      </x:c>
      <x:c r="D18" s="119" t="str">
        <x:v>Alert_AR_for_Opp_Ready_to_Bill, Auto_Close_Opps, Auto_Create_Post_Repair_Eval_on_Opp, Auto_Create_Return_Opportunity_for_Exchange_Purchasing_Ops, AvaTax_Opportunity_Automatic_Tax_Calculation_Flow, AvaTax_Opportunity_Existing_Update_Entity_Use_Code_IOR_Transport, AvaTax_Opportunity_New_Update_Entity_Code_IOR_Transport, AvaTax_Opportunity_Update_AvaTax_Message_and_Status, BIPO_Closed_Lost_Notification, Big_Iron_Purchasing_Opportunity_Updates_Alerts, Cloned_Opportunity_Update_FSR_Attached_and_FSR_Not_Required_to_False, Close_Win_Charge_for_Removal_Op_Automatically, Count_Return_Opportunities_on_a_Related_Opportunity, Create_Project_on_Big_Iron_Purchasing_Opportunity_Flow, Create_Project_on_Equipment_Storage_Opportunity_Creation, Davis_Medical_Shipping_Email_Alert_Flow, If_FSR_Not_Required_FSR_Datestamp_Blank_at_Closed_Won_Set_FSR_Datestamp_to_Today, Inter_Company_Transfer_Address_Update_Op, Mark_Closed_Lost_Big_Iron_Assets_as_PAd_and_Sold, On_Creation_of_Opportunity_Set_Shipping_Account_to_Bill_Customer_Fedex_System, On_Entry_of_Confirmation_Number_Send_Prepay_Received_Email, On_US_FSL_Lead_Conversion_Bring_Work_Order_Over_to_Contact_Account_Opportunity, Opportunity_Asynchronous_on_create_Update_Total_Cost_of_Project_POs, Opportunity_Asynchronous_on_delete_Update_Total_Cost_of_Project_POs, Opportunity_Asynchronous_on_update_Update_Total_Cost_of_Project_POs, Opportunity_Automations, Opportunity_Create_Warranty_Service_Contract, Opportunity_Creation_and_Update_Set_Intercompany_Transaction_Opportunity_Name, Opportunity_Line_Item_Creation_or_Update_Set_Opportunity_Asset_Summary, Opportunity_Resync_System, Opportunity_Update_FSE_Email_Record_Triggered_Flow, Purchasing_Opportunity_Field_Updates_Flow, Record_Triggered_Opportunity_Send_Tracking_Confirmation_for_WooCommerce_Orders, Rep_Email_Field_Update_Flow, Set_Entity_on_Opportunity_Creation, Sets_the_FSR_Datestamp_to_Today_when_FSR_Not_Required_or_FSR_Attached_is_Checked, UK_Notification_for_Shipping_Ops_to_the_UK, UK_Shipping_Timestamp_field_update_flow, UK_VAT_Sales_Tax_Automation, US_FSL_For_Probe_Parts_Repair_Opp_Upon_FSR_attached_mark_the_work_order_status_a, US_FSL_For_Probe_Parts_Sale_Opp_When_switched_to_pending_approval_change_work_or, US_FSL_For_Probe_Repair_Opp_On_Setting_of_Repair_Approved_change_Work_Order_to_R, US_FSL_For_Probe_Sale_Opp_Upon_Close_Won_Update_Work_Order_Status_to_Ready_to_Sh, US_FSL_For_Probe_Sale_Opp_Upon_Tracking_Entered_Update_Work_Order_Status_to_Ship, US_FSL_On_Addition_of_Related_Work_Order_Transfer_Ownership, US_FSL_On_Close_Lost_Repair_Opp_Set_WOLIs_to_Repair_Canceled, US_FSL_On_Ready_to_Ship_for_Opp_Update_WO_to_Confirm_Shipping, US_FSL_On_Repair_Declined_for_Opp_Update_WO_to_Pending_Shipment, Unreceipted_Invoice_Field_Update_Loop, Update_Currency_when_Entity_is_Changed, Update_Opportunity_With_Lead_Gen_Info</x:v>
      </x:c>
      <x:c r="E18" s="117" t="str">
        <x:v>High</x:v>
      </x:c>
      <x:c r="F18" s="119" t="str">
        <x:v>Multiple automation engines share the same object transaction.</x:v>
      </x:c>
      <x:c r="G18" s="119" t="str">
        <x:v>Trace trigger handler and active Flow order together; assign one owner per business rule before consolidating.</x:v>
      </x:c>
    </x:row>
    <x:row r="19" ht="58" customHeight="1">
      <x:c r="A19" s="117" t="str">
        <x:v>Apex Trigger + Record-Triggered Flows</x:v>
      </x:c>
      <x:c r="B19" s="117" t="str">
        <x:v>OpportunityLineItem</x:v>
      </x:c>
      <x:c r="C19" s="117" t="str">
        <x:v>P_OppLineItemTrigger</x:v>
      </x:c>
      <x:c r="D19" s="119" t="str">
        <x:v>OpportunityLineItem_Async_on_create_Update_Avg_Inventory_Life_on_Opportunity, OpportunityLineItem_Async_on_update_Update_Avg_Inventory_Life_on_Opportunity, OpportunityLineItem_Before_delete_Update_Avg_Inventory_Life_on_Opportunity, Opportunity_Line_Item_Creation_or_Update_Tick_Generate_Asset_Summary_Checkbox, Opportunity_Line_Item_On_Delete_Set_Opportunity_Asset_Summary, Opportunity_Product_Ansynchronous_on_update_Update_WOLI_with_pricing_quantity, Opportunity_Product_Asynchronous_on_create_update_WOLI_with_Opp_Product_if_Appli, Opportunity_Product_On_Delete, Opportunity_Product_Rollups, Opportunity_Product_Rollups_On_Create, Opportunity_Product_Updates_Flow, Update_Credit_Memo_Amount_with_Line_Items</x:v>
      </x:c>
      <x:c r="E19" s="117" t="str">
        <x:v>High</x:v>
      </x:c>
      <x:c r="F19" s="119" t="str">
        <x:v>Multiple automation engines share the same object transaction.</x:v>
      </x:c>
      <x:c r="G19" s="119" t="str">
        <x:v>Trace trigger handler and active Flow order together; assign one owner per business rule before consolidating.</x:v>
      </x:c>
    </x:row>
    <x:row r="20" ht="58" customHeight="1">
      <x:c r="A20" s="117" t="str">
        <x:v>Apex Trigger + Record-Triggered Flows</x:v>
      </x:c>
      <x:c r="B20" s="117" t="str">
        <x:v>PO_Bill__c</x:v>
      </x:c>
      <x:c r="C20" s="117" t="str">
        <x:v>POBillTrigger</x:v>
      </x:c>
      <x:c r="D20" s="119" t="str">
        <x:v>PO_Bill_Automations, PO_Bill_Prevent_Deletion, PO_Bill_Resync_if_error_is_received</x:v>
      </x:c>
      <x:c r="E20" s="117" t="str">
        <x:v>High</x:v>
      </x:c>
      <x:c r="F20" s="119" t="str">
        <x:v>Multiple automation engines share the same object transaction.</x:v>
      </x:c>
      <x:c r="G20" s="119" t="str">
        <x:v>Trace trigger handler and active Flow order together; assign one owner per business rule before consolidating.</x:v>
      </x:c>
    </x:row>
    <x:row r="21" ht="58" customHeight="1">
      <x:c r="A21" s="117" t="str">
        <x:v>Apex Trigger + Record-Triggered Flows</x:v>
      </x:c>
      <x:c r="B21" s="117" t="str">
        <x:v>Product2</x:v>
      </x:c>
      <x:c r="C21" s="117" t="str">
        <x:v>UpdateProductFields</x:v>
      </x:c>
      <x:c r="D21" s="119" t="str">
        <x:v>Parts_Validation_Approval_Process_1, ProductUpdatesFlow, Product_Creation_Actions_Flow, Product_On_Creation, Scrub_AvaTax_Exception_Code_from_New_Products</x:v>
      </x:c>
      <x:c r="E21" s="117" t="str">
        <x:v>High</x:v>
      </x:c>
      <x:c r="F21" s="119" t="str">
        <x:v>Multiple automation engines share the same object transaction.</x:v>
      </x:c>
      <x:c r="G21" s="119" t="str">
        <x:v>Trace trigger handler and active Flow order together; assign one owner per business rule before consolidating.</x:v>
      </x:c>
    </x:row>
    <x:row r="22" ht="58" customHeight="1">
      <x:c r="A22" s="117" t="str">
        <x:v>Apex Trigger + Record-Triggered Flows</x:v>
      </x:c>
      <x:c r="B22" s="117" t="str">
        <x:v>ProductItem__c</x:v>
      </x:c>
      <x:c r="C22" s="117" t="str">
        <x:v>P_ProductItemTrigger</x:v>
      </x:c>
      <x:c r="D22" s="119" t="str">
        <x:v>Add_Product_Record_Type_Name_to_Asset_Record, Asset_Automations, Asset_Check_in_Type, Asset_Creation_After_Save_Update_Product_Analytics, Asset_Update_After_Save_Set_Product_Analytics_on_Product_Name_Change, Charge_for_Removal_Update_Flow_for_Big_Iron_Equipment, Coil_RMA_Update_Last_Test_Completed_Date_Flow, Missing_Asset_Checkbox_Notification_on_Asset2, On_Asset_Creation_Set_Currency_to_Purchasing_Opportunity_Currency, Probe_Loan_ROI_Calculations_FLow, ProductItem_Asynchronous_on_create_Estimated_Sales_Price_Roll_Up, ProductItem_Asynchronous_on_create_HWO_Total_Cost_Roll_Up, ProductItem_Asynchronous_on_create_HWO_Total_Revenue_Roll_Up, ProductItem_Asynchronous_on_create_Item_Receipt_Amount_Roll_Up, ProductItem_Asynchronous_on_create_Loaner_Asset_Number_Roll_Up, ProductItem_Asynchronous_on_create_Loaner_Location_Roll_Up, ProductItem_Asynchronous_on_create_Loaner_Serial_Number_Roll_Up, ProductItem_Asynchronous_on_create_Max_Bid_Roll_Up, ProductItem_Asynchronous_on_create_NumberCheckedIn_PO_Roll_Up, ProductItem_Asynchronous_on_create_Pur_Op_Total_Cost_Roll_Up, ProductItem_Asynchronous_on_create_Pur_Op_Total_Cost_of_Unsold_Assets_Roll_Up, ProductItem_Asynchronous_on_create_Pur_Op_Working_Capital_Usage_Days_Roll_Up, ProductItem_Asynchronous_on_create_Rental_Order_Price_Roll_Up, ProductItem_Asynchronous_on_create_Starting_Bid_Roll_Up, ProductItem_Asynchronous_on_update_Estimated_Sales_Price_Roll_Up, ProductItem_Asynchronous_on_update_HWO_Total_Cost_Roll_Up, ProductItem_Asynchronous_on_update_HWO_Total_Revenue_Roll_Up, ProductItem_Asynchronous_on_update_Item_Receipt_Amount_Roll_Up, ProductItem_Asynchronous_on_update_Loaner_Asset_Number_Roll_Up, ProductItem_Asynchronous_on_update_Loaner_Location_Roll_Up, ProductItem_Asynchronous_on_update_Loaner_Serial_Number_Roll_Up, ProductItem_Asynchronous_on_update_Max_Bid_Roll_Up, ProductItem_Asynchronous_on_update_NumberCheckedIn_PO_Roll_Up, ProductItem_Asynchronous_on_update_Starting_Bid_Roll_Up, ProductItem_Before_Delete_Item_Receipt_Amount_Roll_Up, ProductItem_Before_Delete_Loaner_Asset_Number_Roll_Up, ProductItem_Before_Delete_Loaner_Location_Roll_Up, ProductItem_Before_Delete_Loaner_Serial_Number_Roll_Up, ProductItem_Before_Delete_Pur_Op_Total_Cost_Roll_Up, ProductItem_Before_Delete_Pur_Op_Total_Cost_of_Unsold_Assets_Roll_Up, ProductItem_Before_Delete_Pur_Op_Working_Capital_Usage_Days_Roll_Up, ProductItem_Before_delete_Estimated_Sales_Price_Roll_Up, ProductItem_Before_delete_HWO_Total_Cost_Roll_Up, ProductItem_Before_delete_HWO_Total_Revenue_Roll_Up, ProductItem_Before_delete_Max_Bid_Roll_Up, ProductItem_Before_delete_NumberCheckedIn_PO_Roll_Up, ProductItem_Before_delete_Rental_Order_Price_Roll_Up, ProductItem_Before_delete_Starting_Bid_Roll_Up, ProductItem_on_update_Pur_Op_Total_Cost_Roll_Up, ProductItem_on_update_Pur_Op_Total_Cost_of_Unsold_Assets_Roll_Up, ProductItem_on_update_Pur_Op_Working_Capital_Usage_Days_Roll_Up, ProductItem_on_update_Rental_Order_Price_Roll_Up, QA_Required_Auto_Update_from_Assets_for_UK, UK_Customer_Repair_Received, Update_Asset_to_Finished_Goods_Flow, Update_Move_to_Fixed_Assets_Flow</x:v>
      </x:c>
      <x:c r="E22" s="117" t="str">
        <x:v>High</x:v>
      </x:c>
      <x:c r="F22" s="119" t="str">
        <x:v>Multiple automation engines share the same object transaction.</x:v>
      </x:c>
      <x:c r="G22" s="119" t="str">
        <x:v>Trace trigger handler and active Flow order together; assign one owner per business rule before consolidating.</x:v>
      </x:c>
    </x:row>
    <x:row r="23" ht="58" customHeight="1">
      <x:c r="A23" s="117" t="str">
        <x:v>Apex Trigger + Record-Triggered Flows</x:v>
      </x:c>
      <x:c r="B23" s="117" t="str">
        <x:v>ProductItem__c</x:v>
      </x:c>
      <x:c r="C23" s="117" t="str">
        <x:v>dlrs_ProductItemTrigger</x:v>
      </x:c>
      <x:c r="D23" s="119" t="str">
        <x:v>Add_Product_Record_Type_Name_to_Asset_Record, Asset_Automations, Asset_Check_in_Type, Asset_Creation_After_Save_Update_Product_Analytics, Asset_Update_After_Save_Set_Product_Analytics_on_Product_Name_Change, Charge_for_Removal_Update_Flow_for_Big_Iron_Equipment, Coil_RMA_Update_Last_Test_Completed_Date_Flow, Missing_Asset_Checkbox_Notification_on_Asset2, On_Asset_Creation_Set_Currency_to_Purchasing_Opportunity_Currency, Probe_Loan_ROI_Calculations_FLow, ProductItem_Asynchronous_on_create_Estimated_Sales_Price_Roll_Up, ProductItem_Asynchronous_on_create_HWO_Total_Cost_Roll_Up, ProductItem_Asynchronous_on_create_HWO_Total_Revenue_Roll_Up, ProductItem_Asynchronous_on_create_Item_Receipt_Amount_Roll_Up, ProductItem_Asynchronous_on_create_Loaner_Asset_Number_Roll_Up, ProductItem_Asynchronous_on_create_Loaner_Location_Roll_Up, ProductItem_Asynchronous_on_create_Loaner_Serial_Number_Roll_Up, ProductItem_Asynchronous_on_create_Max_Bid_Roll_Up, ProductItem_Asynchronous_on_create_NumberCheckedIn_PO_Roll_Up, ProductItem_Asynchronous_on_create_Pur_Op_Total_Cost_Roll_Up, ProductItem_Asynchronous_on_create_Pur_Op_Total_Cost_of_Unsold_Assets_Roll_Up, ProductItem_Asynchronous_on_create_Pur_Op_Working_Capital_Usage_Days_Roll_Up, ProductItem_Asynchronous_on_create_Rental_Order_Price_Roll_Up, ProductItem_Asynchronous_on_create_Starting_Bid_Roll_Up, ProductItem_Asynchronous_on_update_Estimated_Sales_Price_Roll_Up, ProductItem_Asynchronous_on_update_HWO_Total_Cost_Roll_Up, ProductItem_Asynchronous_on_update_HWO_Total_Revenue_Roll_Up, ProductItem_Asynchronous_on_update_Item_Receipt_Amount_Roll_Up, ProductItem_Asynchronous_on_update_Loaner_Asset_Number_Roll_Up, ProductItem_Asynchronous_on_update_Loaner_Location_Roll_Up, ProductItem_Asynchronous_on_update_Loaner_Serial_Number_Roll_Up, ProductItem_Asynchronous_on_update_Max_Bid_Roll_Up, ProductItem_Asynchronous_on_update_NumberCheckedIn_PO_Roll_Up, ProductItem_Asynchronous_on_update_Starting_Bid_Roll_Up, ProductItem_Before_Delete_Item_Receipt_Amount_Roll_Up, ProductItem_Before_Delete_Loaner_Asset_Number_Roll_Up, ProductItem_Before_Delete_Loaner_Location_Roll_Up, ProductItem_Before_Delete_Loaner_Serial_Number_Roll_Up, ProductItem_Before_Delete_Pur_Op_Total_Cost_Roll_Up, ProductItem_Before_Delete_Pur_Op_Total_Cost_of_Unsold_Assets_Roll_Up, ProductItem_Before_Delete_Pur_Op_Working_Capital_Usage_Days_Roll_Up, ProductItem_Before_delete_Estimated_Sales_Price_Roll_Up, ProductItem_Before_delete_HWO_Total_Cost_Roll_Up, ProductItem_Before_delete_HWO_Total_Revenue_Roll_Up, ProductItem_Before_delete_Max_Bid_Roll_Up, ProductItem_Before_delete_NumberCheckedIn_PO_Roll_Up, ProductItem_Before_delete_Rental_Order_Price_Roll_Up, ProductItem_Before_delete_Starting_Bid_Roll_Up, ProductItem_on_update_Pur_Op_Total_Cost_Roll_Up, ProductItem_on_update_Pur_Op_Total_Cost_of_Unsold_Assets_Roll_Up, ProductItem_on_update_Pur_Op_Working_Capital_Usage_Days_Roll_Up, ProductItem_on_update_Rental_Order_Price_Roll_Up, QA_Required_Auto_Update_from_Assets_for_UK, UK_Customer_Repair_Received, Update_Asset_to_Finished_Goods_Flow, Update_Move_to_Fixed_Assets_Flow</x:v>
      </x:c>
      <x:c r="E23" s="117" t="str">
        <x:v>High</x:v>
      </x:c>
      <x:c r="F23" s="119" t="str">
        <x:v>Multiple automation engines share the same object transaction.</x:v>
      </x:c>
      <x:c r="G23" s="119" t="str">
        <x:v>Trace trigger handler and active Flow order together; assign one owner per business rule before consolidating.</x:v>
      </x:c>
    </x:row>
    <x:row r="24" ht="58" customHeight="1">
      <x:c r="A24" s="117" t="str">
        <x:v>Apex Trigger + Record-Triggered Flows</x:v>
      </x:c>
      <x:c r="B24" s="117" t="str">
        <x:v>ProductTest__c</x:v>
      </x:c>
      <x:c r="C24" s="117" t="str">
        <x:v>P_ProductTestTrigger</x:v>
      </x:c>
      <x:c r="D24" s="119" t="str">
        <x:v>Final_QC_Passed_Send_Email</x:v>
      </x:c>
      <x:c r="E24" s="117" t="str">
        <x:v>High</x:v>
      </x:c>
      <x:c r="F24" s="119" t="str">
        <x:v>Multiple automation engines share the same object transaction.</x:v>
      </x:c>
      <x:c r="G24" s="119" t="str">
        <x:v>Trace trigger handler and active Flow order together; assign one owner per business rule before consolidating.</x:v>
      </x:c>
    </x:row>
    <x:row r="25" ht="58" customHeight="1">
      <x:c r="A25" s="117" t="str">
        <x:v>Apex Trigger + Record-Triggered Flows</x:v>
      </x:c>
      <x:c r="B25" s="117" t="str">
        <x:v>Project_Expense__c</x:v>
      </x:c>
      <x:c r="C25" s="117" t="str">
        <x:v>dlrs_Project_ExpenseTrigger</x:v>
      </x:c>
      <x:c r="D25" s="119" t="str">
        <x:v>Project_Expenses_Rollups</x:v>
      </x:c>
      <x:c r="E25" s="117" t="str">
        <x:v>High</x:v>
      </x:c>
      <x:c r="F25" s="119" t="str">
        <x:v>Multiple automation engines share the same object transaction.</x:v>
      </x:c>
      <x:c r="G25" s="119" t="str">
        <x:v>Trace trigger handler and active Flow order together; assign one owner per business rule before consolidating.</x:v>
      </x:c>
    </x:row>
    <x:row r="26" ht="58" customHeight="1">
      <x:c r="A26" s="117" t="str">
        <x:v>Apex Trigger + Record-Triggered Flows</x:v>
      </x:c>
      <x:c r="B26" s="117" t="str">
        <x:v>Purchasing_Return__c</x:v>
      </x:c>
      <x:c r="C26" s="117" t="str">
        <x:v>P_PurchasingReturnTrigger</x:v>
      </x:c>
      <x:c r="D26" s="119" t="str">
        <x:v>Record_Triggered_After_Purchasing_Return</x:v>
      </x:c>
      <x:c r="E26" s="117" t="str">
        <x:v>High</x:v>
      </x:c>
      <x:c r="F26" s="119" t="str">
        <x:v>Multiple automation engines share the same object transaction.</x:v>
      </x:c>
      <x:c r="G26" s="119" t="str">
        <x:v>Trace trigger handler and active Flow order together; assign one owner per business rule before consolidating.</x:v>
      </x:c>
    </x:row>
    <x:row r="27" ht="58" customHeight="1">
      <x:c r="A27" s="117" t="str">
        <x:v>Apex Trigger + Record-Triggered Flows</x:v>
      </x:c>
      <x:c r="B27" s="117" t="str">
        <x:v>RMA__c</x:v>
      </x:c>
      <x:c r="C27" s="117" t="str">
        <x:v>CreateApprovedRepairs</x:v>
      </x:c>
      <x:c r="D27" s="119" t="str">
        <x:v>Create_shipment_from_customer_portal, On_Create_Asynchronous_Update_RMA_with_Related_Work_Order, Original_Time_Warranty_Loaner_Action_Approved_Update, RMA_Automations, RMA_Notify_Engineer_on_Probe_Repair_WO_Creation, RMA_On_Setting_of_Date_Approved_to_Ship_update_Opportunity_Stage_to_Ready_to_Shi, RMA_Re_sync_RMA_if_Errored, Set_Service_Appointment_on_RMA_when_Work_Order_Attached, UK_RMA_Item_Received_Alert, US_FSL_RMA_Date_Repair_Evaluation_Sent, US_FSL_RMA_On_Probe_Check_In_for_Repair_Set_Date_Checked_In_on_Work_Order</x:v>
      </x:c>
      <x:c r="E27" s="117" t="str">
        <x:v>High</x:v>
      </x:c>
      <x:c r="F27" s="119" t="str">
        <x:v>Multiple automation engines share the same object transaction.</x:v>
      </x:c>
      <x:c r="G27" s="119" t="str">
        <x:v>Trace trigger handler and active Flow order together; assign one owner per business rule before consolidating.</x:v>
      </x:c>
    </x:row>
    <x:row r="28" ht="58" customHeight="1">
      <x:c r="A28" s="117" t="str">
        <x:v>Apex Trigger + Record-Triggered Flows</x:v>
      </x:c>
      <x:c r="B28" s="117" t="str">
        <x:v>RMA__c</x:v>
      </x:c>
      <x:c r="C28" s="117" t="str">
        <x:v>P_RMATrigger</x:v>
      </x:c>
      <x:c r="D28" s="119" t="str">
        <x:v>Create_shipment_from_customer_portal, On_Create_Asynchronous_Update_RMA_with_Related_Work_Order, Original_Time_Warranty_Loaner_Action_Approved_Update, RMA_Automations, RMA_Notify_Engineer_on_Probe_Repair_WO_Creation, RMA_On_Setting_of_Date_Approved_to_Ship_update_Opportunity_Stage_to_Ready_to_Shi, RMA_Re_sync_RMA_if_Errored, Set_Service_Appointment_on_RMA_when_Work_Order_Attached, UK_RMA_Item_Received_Alert, US_FSL_RMA_Date_Repair_Evaluation_Sent, US_FSL_RMA_On_Probe_Check_In_for_Repair_Set_Date_Checked_In_on_Work_Order</x:v>
      </x:c>
      <x:c r="E28" s="117" t="str">
        <x:v>High</x:v>
      </x:c>
      <x:c r="F28" s="119" t="str">
        <x:v>Multiple automation engines share the same object transaction.</x:v>
      </x:c>
      <x:c r="G28" s="119" t="str">
        <x:v>Trace trigger handler and active Flow order together; assign one owner per business rule before consolidating.</x:v>
      </x:c>
    </x:row>
    <x:row r="29" ht="58" customHeight="1">
      <x:c r="A29" s="117" t="str">
        <x:v>Apex Trigger + Record-Triggered Flows</x:v>
      </x:c>
      <x:c r="B29" s="117" t="str">
        <x:v>ServiceContract</x:v>
      </x:c>
      <x:c r="C29" s="117" t="str">
        <x:v>P_ServiceContractTrigger</x:v>
      </x:c>
      <x:c r="D29" s="119" t="str">
        <x:v>Create_Work_Orders_from_Contract_Renewal, Service_Alert_60_Days_til_Exp_Alert, Service_Contract_Notification_Flow, Service_Contract_Unlock_Flow, Service_Contract_Updates_Flow, Service_Contract_Updates_Status_Handler</x:v>
      </x:c>
      <x:c r="E29" s="117" t="str">
        <x:v>High</x:v>
      </x:c>
      <x:c r="F29" s="119" t="str">
        <x:v>Multiple automation engines share the same object transaction.</x:v>
      </x:c>
      <x:c r="G29" s="119" t="str">
        <x:v>Trace trigger handler and active Flow order together; assign one owner per business rule before consolidating.</x:v>
      </x:c>
    </x:row>
    <x:row r="30" ht="58" customHeight="1">
      <x:c r="A30" s="117" t="str">
        <x:v>Apex Trigger + Record-Triggered Flows</x:v>
      </x:c>
      <x:c r="B30" s="117" t="str">
        <x:v>WorkOrder</x:v>
      </x:c>
      <x:c r="C30" s="117" t="str">
        <x:v>P_ServiceWorkOrderTrigger</x:v>
      </x:c>
      <x:c r="D30" s="119" t="str">
        <x:v>Auto_Create_RMAs_from_Work_Orders_for_UK, Contract_Line_Item_Roll_Up_Downtime_Business_Hours, Create_Service_Calendar_Event_from_Work_Order_UK, Create_core_exchange_RMAs_from_Service_Fusion, Create_part_requests_from_Service_Fusion, FSL_Set_Service_Report_Layout_ID_on_Work_Orders, FSL_US_On_FSR_Attached_Update_Work_Order_to_Completed_WO, FSL_US_On_Submit_to_Shipping_Update_Status_to_Pending_Shipment, FSL_US_On_Tracking_Update_Status_to_Parts_Probe_Shipped, FSL_US_On_Update_of_Account_Update_Billing_Address_on_Work_Order, Follow_Work_Order_Upon_Creation, On_Creation_of_Work_Order_Set_Shipping_Account_to_Bill_Customer_Fedex_System, On_Creation_of_Work_Order_Set_Shipping_Account_to_Bill_Customer_Fedex_System_1, On_Make_Model_or_Serial_Number_Change_Update_the_Opportunity, On_Serial_Number_Change_Update_the_Opportunity, On_Update_Completed_Undo_Update_Needed_Checkbox_and_Reset_Status, On_Update_of_Address_Update_Opportunity_Shipping_if_Needed, On_Update_of_Shipping_Location_on_Work_Order_Update_Location_on_Open_Service_App, PartsReadyForCollectionWorkOrderAlert, Send_Email_Work_Order_PDF, US_FSL_Ask_to_Re_Generate_FSR, US_FSL_On_Picked_Up_by_Operations_Notify_Engineer, US_FSL_On_WO_Field_Update_Update_Opportunity_Fields, US_FSL_Picked_Up_By_Checkbox_to_denote_if_it_s_been_picked_up_by_operations, US_FSL_Site_Address_Populated_but_Not_Shipping_Address, US_FSL_Update_Open_SA_Shipping_Address_when_changed_on_WO, Update_Initial_Tech_Support_with_Tech_Completed_Date, Update_Need_Quote_Lines_to_Part_Quoted, Update_Technician_Ship_Location_on_Work_Order_Creation, Work_Order_Assignment_and_Alerts_Flow, Work_Order_Asynchronous_on_create_Update_PM_Work_Order_Count_on_Service_Contract, Work_Order_Asynchronous_on_delete_Update_PM_Work_Order_Count_on_Service_Contract, Work_Order_Asynchronous_on_update_Update_PM_Work_Order_Count_on_Service_Contract, Work_Order_Automations, Work_Order_Calculate_Downtime_Business_Hours, Work_Order_Downtime_Start_Setter, Work_Order_Triggeer_US_FSR_Layout_Assignment, Work_Order_Trigger_Update_Cancelled_WO_Related_SAs, Work_Order_Ultrasound_Creation_Automation</x:v>
      </x:c>
      <x:c r="E30" s="117" t="str">
        <x:v>High</x:v>
      </x:c>
      <x:c r="F30" s="119" t="str">
        <x:v>Multiple automation engines share the same object transaction.</x:v>
      </x:c>
      <x:c r="G30" s="119" t="str">
        <x:v>Trace trigger handler and active Flow order together; assign one owner per business rule before consolidating.</x:v>
      </x:c>
    </x:row>
    <x:row r="31" ht="58" customHeight="1">
      <x:c r="A31" s="117" t="str">
        <x:v>Apex Trigger + Record-Triggered Flows</x:v>
      </x:c>
      <x:c r="B31" s="117" t="str">
        <x:v>WorkOrder</x:v>
      </x:c>
      <x:c r="C31" s="117" t="str">
        <x:v>UKBusinessHours</x:v>
      </x:c>
      <x:c r="D31" s="119" t="str">
        <x:v>Auto_Create_RMAs_from_Work_Orders_for_UK, Contract_Line_Item_Roll_Up_Downtime_Business_Hours, Create_Service_Calendar_Event_from_Work_Order_UK, Create_core_exchange_RMAs_from_Service_Fusion, Create_part_requests_from_Service_Fusion, FSL_Set_Service_Report_Layout_ID_on_Work_Orders, FSL_US_On_FSR_Attached_Update_Work_Order_to_Completed_WO, FSL_US_On_Submit_to_Shipping_Update_Status_to_Pending_Shipment, FSL_US_On_Tracking_Update_Status_to_Parts_Probe_Shipped, FSL_US_On_Update_of_Account_Update_Billing_Address_on_Work_Order, Follow_Work_Order_Upon_Creation, On_Creation_of_Work_Order_Set_Shipping_Account_to_Bill_Customer_Fedex_System, On_Creation_of_Work_Order_Set_Shipping_Account_to_Bill_Customer_Fedex_System_1, On_Make_Model_or_Serial_Number_Change_Update_the_Opportunity, On_Serial_Number_Change_Update_the_Opportunity, On_Update_Completed_Undo_Update_Needed_Checkbox_and_Reset_Status, On_Update_of_Address_Update_Opportunity_Shipping_if_Needed, On_Update_of_Shipping_Location_on_Work_Order_Update_Location_on_Open_Service_App, PartsReadyForCollectionWorkOrderAlert, Send_Email_Work_Order_PDF, US_FSL_Ask_to_Re_Generate_FSR, US_FSL_On_Picked_Up_by_Operations_Notify_Engineer, US_FSL_On_WO_Field_Update_Update_Opportunity_Fields, US_FSL_Picked_Up_By_Checkbox_to_denote_if_it_s_been_picked_up_by_operations, US_FSL_Site_Address_Populated_but_Not_Shipping_Address, US_FSL_Update_Open_SA_Shipping_Address_when_changed_on_WO, Update_Initial_Tech_Support_with_Tech_Completed_Date, Update_Need_Quote_Lines_to_Part_Quoted, Update_Technician_Ship_Location_on_Work_Order_Creation, Work_Order_Assignment_and_Alerts_Flow, Work_Order_Asynchronous_on_create_Update_PM_Work_Order_Count_on_Service_Contract, Work_Order_Asynchronous_on_delete_Update_PM_Work_Order_Count_on_Service_Contract, Work_Order_Asynchronous_on_update_Update_PM_Work_Order_Count_on_Service_Contract, Work_Order_Automations, Work_Order_Calculate_Downtime_Business_Hours, Work_Order_Downtime_Start_Setter, Work_Order_Triggeer_US_FSR_Layout_Assignment, Work_Order_Trigger_Update_Cancelled_WO_Related_SAs, Work_Order_Ultrasound_Creation_Automation</x:v>
      </x:c>
      <x:c r="E31" s="117" t="str">
        <x:v>High</x:v>
      </x:c>
      <x:c r="F31" s="119" t="str">
        <x:v>Multiple automation engines share the same object transaction.</x:v>
      </x:c>
      <x:c r="G31" s="119" t="str">
        <x:v>Trace trigger handler and active Flow order together; assign one owner per business rule before consolidating.</x:v>
      </x:c>
    </x:row>
    <x:row r="32" ht="58" customHeight="1">
      <x:c r="A32" s="117" t="str">
        <x:v>Apex Trigger + Record-Triggered Flows</x:v>
      </x:c>
      <x:c r="B32" s="117" t="str">
        <x:v>WorkOrder</x:v>
      </x:c>
      <x:c r="C32" s="117" t="str">
        <x:v>WorkOrderTrigger</x:v>
      </x:c>
      <x:c r="D32" s="119" t="str">
        <x:v>Auto_Create_RMAs_from_Work_Orders_for_UK, Contract_Line_Item_Roll_Up_Downtime_Business_Hours, Create_Service_Calendar_Event_from_Work_Order_UK, Create_core_exchange_RMAs_from_Service_Fusion, Create_part_requests_from_Service_Fusion, FSL_Set_Service_Report_Layout_ID_on_Work_Orders, FSL_US_On_FSR_Attached_Update_Work_Order_to_Completed_WO, FSL_US_On_Submit_to_Shipping_Update_Status_to_Pending_Shipment, FSL_US_On_Tracking_Update_Status_to_Parts_Probe_Shipped, FSL_US_On_Update_of_Account_Update_Billing_Address_on_Work_Order, Follow_Work_Order_Upon_Creation, On_Creation_of_Work_Order_Set_Shipping_Account_to_Bill_Customer_Fedex_System, On_Creation_of_Work_Order_Set_Shipping_Account_to_Bill_Customer_Fedex_System_1, On_Make_Model_or_Serial_Number_Change_Update_the_Opportunity, On_Serial_Number_Change_Update_the_Opportunity, On_Update_Completed_Undo_Update_Needed_Checkbox_and_Reset_Status, On_Update_of_Address_Update_Opportunity_Shipping_if_Needed, On_Update_of_Shipping_Location_on_Work_Order_Update_Location_on_Open_Service_App, PartsReadyForCollectionWorkOrderAlert, Send_Email_Work_Order_PDF, US_FSL_Ask_to_Re_Generate_FSR, US_FSL_On_Picked_Up_by_Operations_Notify_Engineer, US_FSL_On_WO_Field_Update_Update_Opportunity_Fields, US_FSL_Picked_Up_By_Checkbox_to_denote_if_it_s_been_picked_up_by_operations, US_FSL_Site_Address_Populated_but_Not_Shipping_Address, US_FSL_Update_Open_SA_Shipping_Address_when_changed_on_WO, Update_Initial_Tech_Support_with_Tech_Completed_Date, Update_Need_Quote_Lines_to_Part_Quoted, Update_Technician_Ship_Location_on_Work_Order_Creation, Work_Order_Assignment_and_Alerts_Flow, Work_Order_Asynchronous_on_create_Update_PM_Work_Order_Count_on_Service_Contract, Work_Order_Asynchronous_on_delete_Update_PM_Work_Order_Count_on_Service_Contract, Work_Order_Asynchronous_on_update_Update_PM_Work_Order_Count_on_Service_Contract, Work_Order_Automations, Work_Order_Calculate_Downtime_Business_Hours, Work_Order_Downtime_Start_Setter, Work_Order_Triggeer_US_FSR_Layout_Assignment, Work_Order_Trigger_Update_Cancelled_WO_Related_SAs, Work_Order_Ultrasound_Creation_Automation</x:v>
      </x:c>
      <x:c r="E32" s="117" t="str">
        <x:v>High</x:v>
      </x:c>
      <x:c r="F32" s="119" t="str">
        <x:v>Multiple automation engines share the same object transaction.</x:v>
      </x:c>
      <x:c r="G32" s="119" t="str">
        <x:v>Trace trigger handler and active Flow order together; assign one owner per business rule before consolidating.</x:v>
      </x:c>
    </x:row>
    <x:row r="33" ht="58" customHeight="1">
      <x:c r="A33" s="117" t="str">
        <x:v>Apex Trigger + Record-Triggered Flows</x:v>
      </x:c>
      <x:c r="B33" s="117" t="str">
        <x:v>WorkOrderLineItem</x:v>
      </x:c>
      <x:c r="C33" s="117" t="str">
        <x:v>P_WorkOrderLineItemTrigger</x:v>
      </x:c>
      <x:c r="D33" s="119" t="str">
        <x:v>On_Create_Parts_Sales_Value_Rollup, On_New_WOLI_Update_Type_if_Probe_Repair_Opp, Set_Service_Appointment_on_New_Work_Order_Line_Item, Work_Order_Rollups</x:v>
      </x:c>
      <x:c r="E33" s="117" t="str">
        <x:v>High</x:v>
      </x:c>
      <x:c r="F33" s="119" t="str">
        <x:v>Multiple automation engines share the same object transaction.</x:v>
      </x:c>
      <x:c r="G33" s="119" t="str">
        <x:v>Trace trigger handler and active Flow order together; assign one owner per business rule before consolidating.</x:v>
      </x:c>
    </x:row>
    <x:row r="34" ht="58" customHeight="1">
      <x:c r="A34" s="117" t="str">
        <x:v>Apex Trigger + Record-Triggered Flows</x:v>
      </x:c>
      <x:c r="B34" s="117" t="str">
        <x:v>WorkOrderLineItem</x:v>
      </x:c>
      <x:c r="C34" s="117" t="str">
        <x:v>WorkOrderLineItemTrigger</x:v>
      </x:c>
      <x:c r="D34" s="119" t="str">
        <x:v>On_Create_Parts_Sales_Value_Rollup, On_New_WOLI_Update_Type_if_Probe_Repair_Opp, Set_Service_Appointment_on_New_Work_Order_Line_Item, Work_Order_Rollups</x:v>
      </x:c>
      <x:c r="E34" s="117" t="str">
        <x:v>High</x:v>
      </x:c>
      <x:c r="F34" s="119" t="str">
        <x:v>Multiple automation engines share the same object transaction.</x:v>
      </x:c>
      <x:c r="G34" s="119" t="str">
        <x:v>Trace trigger handler and active Flow order together; assign one owner per business rule before consolidating.</x:v>
      </x:c>
    </x:row>
    <x:row r="35" ht="58" customHeight="1">
      <x:c r="A35" s="117" t="str">
        <x:v>Flow Invokes Apex</x:v>
      </x:c>
      <x:c r="B35" s="117" t="str"/>
      <x:c r="C35" s="117" t="str">
        <x:v>BusinessHoursDiffService</x:v>
      </x:c>
      <x:c r="D35" s="119" t="str">
        <x:v>Contract_Line_Item_Calculate_Running_Coverage_Duration_Business_Hours</x:v>
      </x:c>
      <x:c r="E35" s="117" t="str">
        <x:v>High</x:v>
      </x:c>
      <x:c r="F35" s="119" t="str">
        <x:v>Flow behavior depends on coded action and its bulk/error semantics.</x:v>
      </x:c>
      <x:c r="G35" s="119" t="str">
        <x:v>Keep as Apex when logic is computational, integration-heavy, or bulk-sensitive; document inputs/outputs before refactor.</x:v>
      </x:c>
    </x:row>
    <x:row r="36" ht="58" customHeight="1">
      <x:c r="A36" s="117" t="str">
        <x:v>Flow Invokes Apex</x:v>
      </x:c>
      <x:c r="B36" s="117" t="str"/>
      <x:c r="C36" s="117" t="str">
        <x:v>BusinessHoursDiffService</x:v>
      </x:c>
      <x:c r="D36" s="119" t="str">
        <x:v>Service_Appointment_Calculate_Tech_Support_Response_Time_Business_Minutes</x:v>
      </x:c>
      <x:c r="E36" s="117" t="str">
        <x:v>High</x:v>
      </x:c>
      <x:c r="F36" s="119" t="str">
        <x:v>Flow behavior depends on coded action and its bulk/error semantics.</x:v>
      </x:c>
      <x:c r="G36" s="119" t="str">
        <x:v>Keep as Apex when logic is computational, integration-heavy, or bulk-sensitive; document inputs/outputs before refactor.</x:v>
      </x:c>
    </x:row>
    <x:row r="37" ht="58" customHeight="1">
      <x:c r="A37" s="117" t="str">
        <x:v>Flow Invokes Apex</x:v>
      </x:c>
      <x:c r="B37" s="117" t="str"/>
      <x:c r="C37" s="117" t="str">
        <x:v>BusinessHoursDiffService</x:v>
      </x:c>
      <x:c r="D37" s="119" t="str">
        <x:v>Service_Contract_Calculate_Last_Quarter_Uptime</x:v>
      </x:c>
      <x:c r="E37" s="117" t="str">
        <x:v>High</x:v>
      </x:c>
      <x:c r="F37" s="119" t="str">
        <x:v>Flow behavior depends on coded action and its bulk/error semantics.</x:v>
      </x:c>
      <x:c r="G37" s="119" t="str">
        <x:v>Keep as Apex when logic is computational, integration-heavy, or bulk-sensitive; document inputs/outputs before refactor.</x:v>
      </x:c>
    </x:row>
    <x:row r="38" ht="58" customHeight="1">
      <x:c r="A38" s="117" t="str">
        <x:v>Flow Invokes Apex</x:v>
      </x:c>
      <x:c r="B38" s="117" t="str"/>
      <x:c r="C38" s="117" t="str">
        <x:v>BusinessHoursDiffService</x:v>
      </x:c>
      <x:c r="D38" s="119" t="str">
        <x:v>Service_Contract_Calculate_Running_Coverage_Duration_Business_Hours_Screen_Flow</x:v>
      </x:c>
      <x:c r="E38" s="117" t="str">
        <x:v>High</x:v>
      </x:c>
      <x:c r="F38" s="119" t="str">
        <x:v>Flow behavior depends on coded action and its bulk/error semantics.</x:v>
      </x:c>
      <x:c r="G38" s="119" t="str">
        <x:v>Keep as Apex when logic is computational, integration-heavy, or bulk-sensitive; document inputs/outputs before refactor.</x:v>
      </x:c>
    </x:row>
    <x:row r="39" ht="58" customHeight="1">
      <x:c r="A39" s="117" t="str">
        <x:v>Flow Invokes Apex</x:v>
      </x:c>
      <x:c r="B39" s="117" t="str"/>
      <x:c r="C39" s="117" t="str">
        <x:v>BusinessHoursDiffService</x:v>
      </x:c>
      <x:c r="D39" s="119" t="str">
        <x:v>Work_Order_Calculate_Downtime_Business_Hours</x:v>
      </x:c>
      <x:c r="E39" s="117" t="str">
        <x:v>High</x:v>
      </x:c>
      <x:c r="F39" s="119" t="str">
        <x:v>Flow behavior depends on coded action and its bulk/error semantics.</x:v>
      </x:c>
      <x:c r="G39" s="119" t="str">
        <x:v>Keep as Apex when logic is computational, integration-heavy, or bulk-sensitive; document inputs/outputs before refactor.</x:v>
      </x:c>
    </x:row>
    <x:row r="40" ht="58" customHeight="1">
      <x:c r="A40" s="117" t="str">
        <x:v>Flow Invokes Apex</x:v>
      </x:c>
      <x:c r="B40" s="117" t="str"/>
      <x:c r="C40" s="117" t="str">
        <x:v>BypassTriggerAction</x:v>
      </x:c>
      <x:c r="D40" s="119" t="str">
        <x:v>ProductItem_on_update_Pur_Op_Total_Cost_of_Unsold_Assets_Roll_Up</x:v>
      </x:c>
      <x:c r="E40" s="117" t="str">
        <x:v>High</x:v>
      </x:c>
      <x:c r="F40" s="119" t="str">
        <x:v>Flow behavior depends on coded action and its bulk/error semantics.</x:v>
      </x:c>
      <x:c r="G40" s="119" t="str">
        <x:v>Keep as Apex when logic is computational, integration-heavy, or bulk-sensitive; document inputs/outputs before refactor.</x:v>
      </x:c>
    </x:row>
    <x:row r="41" ht="58" customHeight="1">
      <x:c r="A41" s="117" t="str">
        <x:v>Flow Invokes Apex</x:v>
      </x:c>
      <x:c r="B41" s="117" t="str"/>
      <x:c r="C41" s="117" t="str">
        <x:v>CreditMemoPdfGenerator</x:v>
      </x:c>
      <x:c r="D41" s="119" t="str">
        <x:v>Credit_Memo_Sync_Notification</x:v>
      </x:c>
      <x:c r="E41" s="117" t="str">
        <x:v>High</x:v>
      </x:c>
      <x:c r="F41" s="119" t="str">
        <x:v>Flow behavior depends on coded action and its bulk/error semantics.</x:v>
      </x:c>
      <x:c r="G41" s="119" t="str">
        <x:v>Keep as Apex when logic is computational, integration-heavy, or bulk-sensitive; document inputs/outputs before refactor.</x:v>
      </x:c>
    </x:row>
    <x:row r="42" ht="58" customHeight="1">
      <x:c r="A42" s="117" t="str">
        <x:v>Flow Invokes Apex</x:v>
      </x:c>
      <x:c r="B42" s="117" t="str"/>
      <x:c r="C42" s="117" t="str">
        <x:v>EmailPostRepairEvalPDF</x:v>
      </x:c>
      <x:c r="D42" s="119" t="str">
        <x:v>Send_Post_Repair_Evaluation_Email</x:v>
      </x:c>
      <x:c r="E42" s="117" t="str">
        <x:v>High</x:v>
      </x:c>
      <x:c r="F42" s="119" t="str">
        <x:v>Flow behavior depends on coded action and its bulk/error semantics.</x:v>
      </x:c>
      <x:c r="G42" s="119" t="str">
        <x:v>Keep as Apex when logic is computational, integration-heavy, or bulk-sensitive; document inputs/outputs before refactor.</x:v>
      </x:c>
    </x:row>
    <x:row r="43" ht="58" customHeight="1">
      <x:c r="A43" s="117" t="str">
        <x:v>Flow Invokes Apex</x:v>
      </x:c>
      <x:c r="B43" s="117" t="str"/>
      <x:c r="C43" s="117" t="str">
        <x:v>EmailWorkOrderPDF</x:v>
      </x:c>
      <x:c r="D43" s="119" t="str">
        <x:v>Send_Email_Work_Order_PDF</x:v>
      </x:c>
      <x:c r="E43" s="117" t="str">
        <x:v>High</x:v>
      </x:c>
      <x:c r="F43" s="119" t="str">
        <x:v>Flow behavior depends on coded action and its bulk/error semantics.</x:v>
      </x:c>
      <x:c r="G43" s="119" t="str">
        <x:v>Keep as Apex when logic is computational, integration-heavy, or bulk-sensitive; document inputs/outputs before refactor.</x:v>
      </x:c>
    </x:row>
    <x:row r="44" ht="58" customHeight="1">
      <x:c r="A44" s="117" t="str">
        <x:v>Flow Invokes Apex</x:v>
      </x:c>
      <x:c r="B44" s="117" t="str"/>
      <x:c r="C44" s="117" t="str">
        <x:v>FlowJsonToRecords</x:v>
      </x:c>
      <x:c r="D44" s="119" t="str">
        <x:v>Screen_Flow_Select_IR_Assets</x:v>
      </x:c>
      <x:c r="E44" s="117" t="str">
        <x:v>High</x:v>
      </x:c>
      <x:c r="F44" s="119" t="str">
        <x:v>Flow behavior depends on coded action and its bulk/error semantics.</x:v>
      </x:c>
      <x:c r="G44" s="119" t="str">
        <x:v>Keep as Apex when logic is computational, integration-heavy, or bulk-sensitive; document inputs/outputs before refactor.</x:v>
      </x:c>
    </x:row>
    <x:row r="45" ht="58" customHeight="1">
      <x:c r="A45" s="117" t="str">
        <x:v>Flow Invokes Apex</x:v>
      </x:c>
      <x:c r="B45" s="117" t="str"/>
      <x:c r="C45" s="117" t="str">
        <x:v>FlowRecordsToJson</x:v>
      </x:c>
      <x:c r="D45" s="119" t="str">
        <x:v>Screen_Flow_Select_IR_Assets</x:v>
      </x:c>
      <x:c r="E45" s="117" t="str">
        <x:v>High</x:v>
      </x:c>
      <x:c r="F45" s="119" t="str">
        <x:v>Flow behavior depends on coded action and its bulk/error semantics.</x:v>
      </x:c>
      <x:c r="G45" s="119" t="str">
        <x:v>Keep as Apex when logic is computational, integration-heavy, or bulk-sensitive; document inputs/outputs before refactor.</x:v>
      </x:c>
    </x:row>
    <x:row r="46" ht="58" customHeight="1">
      <x:c r="A46" s="117" t="str">
        <x:v>Flow Invokes Apex</x:v>
      </x:c>
      <x:c r="B46" s="117" t="str"/>
      <x:c r="C46" s="117" t="str">
        <x:v>FollowRecordAction</x:v>
      </x:c>
      <x:c r="D46" s="119" t="str">
        <x:v>On_Work_Order_Creation_Set_Chatter_Follow</x:v>
      </x:c>
      <x:c r="E46" s="117" t="str">
        <x:v>High</x:v>
      </x:c>
      <x:c r="F46" s="119" t="str">
        <x:v>Flow behavior depends on coded action and its bulk/error semantics.</x:v>
      </x:c>
      <x:c r="G46" s="119" t="str">
        <x:v>Keep as Apex when logic is computational, integration-heavy, or bulk-sensitive; document inputs/outputs before refactor.</x:v>
      </x:c>
    </x:row>
    <x:row r="47" ht="58" customHeight="1">
      <x:c r="A47" s="117" t="str">
        <x:v>Flow Invokes Apex</x:v>
      </x:c>
      <x:c r="B47" s="117" t="str"/>
      <x:c r="C47" s="117" t="str">
        <x:v>InvoicePdfGenerator</x:v>
      </x:c>
      <x:c r="D47" s="119" t="str">
        <x:v>Generate_Invoice_PDF_Flow</x:v>
      </x:c>
      <x:c r="E47" s="117" t="str">
        <x:v>High</x:v>
      </x:c>
      <x:c r="F47" s="119" t="str">
        <x:v>Flow behavior depends on coded action and its bulk/error semantics.</x:v>
      </x:c>
      <x:c r="G47" s="119" t="str">
        <x:v>Keep as Apex when logic is computational, integration-heavy, or bulk-sensitive; document inputs/outputs before refactor.</x:v>
      </x:c>
    </x:row>
    <x:row r="48" ht="58" customHeight="1">
      <x:c r="A48" s="117" t="str">
        <x:v>Flow Invokes Apex</x:v>
      </x:c>
      <x:c r="B48" s="117" t="str"/>
      <x:c r="C48" s="117" t="str">
        <x:v>InvoicePdfGenerator</x:v>
      </x:c>
      <x:c r="D48" s="119" t="str">
        <x:v>Invoice_Sync_Notification</x:v>
      </x:c>
      <x:c r="E48" s="117" t="str">
        <x:v>High</x:v>
      </x:c>
      <x:c r="F48" s="119" t="str">
        <x:v>Flow behavior depends on coded action and its bulk/error semantics.</x:v>
      </x:c>
      <x:c r="G48" s="119" t="str">
        <x:v>Keep as Apex when logic is computational, integration-heavy, or bulk-sensitive; document inputs/outputs before refactor.</x:v>
      </x:c>
    </x:row>
    <x:row r="49" ht="58" customHeight="1">
      <x:c r="A49" s="117" t="str">
        <x:v>Flow Invokes Apex</x:v>
      </x:c>
      <x:c r="B49" s="117" t="str"/>
      <x:c r="C49" s="117" t="str">
        <x:v>QCRigidCertificatePDFGenerator</x:v>
      </x:c>
      <x:c r="D49" s="119" t="str">
        <x:v>Save_QA_Certificate_as_PDF</x:v>
      </x:c>
      <x:c r="E49" s="117" t="str">
        <x:v>High</x:v>
      </x:c>
      <x:c r="F49" s="119" t="str">
        <x:v>Flow behavior depends on coded action and its bulk/error semantics.</x:v>
      </x:c>
      <x:c r="G49" s="119" t="str">
        <x:v>Keep as Apex when logic is computational, integration-heavy, or bulk-sensitive; document inputs/outputs before refactor.</x:v>
      </x:c>
    </x:row>
    <x:row r="50" ht="58" customHeight="1">
      <x:c r="A50" s="117" t="str">
        <x:v>Flow Invokes Apex</x:v>
      </x:c>
      <x:c r="B50" s="117" t="str"/>
      <x:c r="C50" s="117" t="str">
        <x:v>RecentlyDeletedWoliLookupInvocable</x:v>
      </x:c>
      <x:c r="D50" s="119" t="str">
        <x:v>On_Update_Line_Item_Swap_on_Opp_Updates_Information_on_the_WOLI</x:v>
      </x:c>
      <x:c r="E50" s="117" t="str">
        <x:v>High</x:v>
      </x:c>
      <x:c r="F50" s="119" t="str">
        <x:v>Flow behavior depends on coded action and its bulk/error semantics.</x:v>
      </x:c>
      <x:c r="G50" s="119" t="str">
        <x:v>Keep as Apex when logic is computational, integration-heavy, or bulk-sensitive; document inputs/outputs before refactor.</x:v>
      </x:c>
    </x:row>
    <x:row r="51" ht="58" customHeight="1">
      <x:c r="A51" s="117" t="str">
        <x:v>Flow Invokes Apex</x:v>
      </x:c>
      <x:c r="B51" s="117" t="str"/>
      <x:c r="C51" s="117" t="str">
        <x:v>SaveCreditMemoPdfFileAction</x:v>
      </x:c>
      <x:c r="D51" s="119" t="str">
        <x:v>Manually_Send_Credit_Memo_to_Client</x:v>
      </x:c>
      <x:c r="E51" s="117" t="str">
        <x:v>High</x:v>
      </x:c>
      <x:c r="F51" s="119" t="str">
        <x:v>Flow behavior depends on coded action and its bulk/error semantics.</x:v>
      </x:c>
      <x:c r="G51" s="119" t="str">
        <x:v>Keep as Apex when logic is computational, integration-heavy, or bulk-sensitive; document inputs/outputs before refactor.</x:v>
      </x:c>
    </x:row>
    <x:row r="52" ht="58" customHeight="1">
      <x:c r="A52" s="117" t="str">
        <x:v>Flow Invokes Apex</x:v>
      </x:c>
      <x:c r="B52" s="117" t="str"/>
      <x:c r="C52" s="117" t="str">
        <x:v>SaveCreditMemoPdfFileAction</x:v>
      </x:c>
      <x:c r="D52" s="119" t="str">
        <x:v>Send_Credit_Memo_PDF_to_Customer</x:v>
      </x:c>
      <x:c r="E52" s="117" t="str">
        <x:v>High</x:v>
      </x:c>
      <x:c r="F52" s="119" t="str">
        <x:v>Flow behavior depends on coded action and its bulk/error semantics.</x:v>
      </x:c>
      <x:c r="G52" s="119" t="str">
        <x:v>Keep as Apex when logic is computational, integration-heavy, or bulk-sensitive; document inputs/outputs before refactor.</x:v>
      </x:c>
    </x:row>
    <x:row r="53" ht="58" customHeight="1">
      <x:c r="A53" s="117" t="str">
        <x:v>Flow Invokes Apex</x:v>
      </x:c>
      <x:c r="B53" s="117" t="str"/>
      <x:c r="C53" s="117" t="str">
        <x:v>SendInvoicePDF</x:v>
      </x:c>
      <x:c r="D53" s="119" t="str">
        <x:v>Send_Invoice_PDF_Email</x:v>
      </x:c>
      <x:c r="E53" s="117" t="str">
        <x:v>High</x:v>
      </x:c>
      <x:c r="F53" s="119" t="str">
        <x:v>Flow behavior depends on coded action and its bulk/error semantics.</x:v>
      </x:c>
      <x:c r="G53" s="119" t="str">
        <x:v>Keep as Apex when logic is computational, integration-heavy, or bulk-sensitive; document inputs/outputs before refactor.</x:v>
      </x:c>
    </x:row>
    <x:row r="54" ht="58" customHeight="1">
      <x:c r="A54" s="117" t="str">
        <x:v>Flow Invokes Apex</x:v>
      </x:c>
      <x:c r="B54" s="117" t="str"/>
      <x:c r="C54" s="117" t="str">
        <x:v>SendInvoiceToLockstep</x:v>
      </x:c>
      <x:c r="D54" s="119" t="str">
        <x:v>Send_Invoice_to_Lockstep_Flow</x:v>
      </x:c>
      <x:c r="E54" s="117" t="str">
        <x:v>High</x:v>
      </x:c>
      <x:c r="F54" s="119" t="str">
        <x:v>Flow behavior depends on coded action and its bulk/error semantics.</x:v>
      </x:c>
      <x:c r="G54" s="119" t="str">
        <x:v>Keep as Apex when logic is computational, integration-heavy, or bulk-sensitive; document inputs/outputs before refactor.</x:v>
      </x:c>
    </x:row>
    <x:row r="55" ht="58" customHeight="1">
      <x:c r="A55" s="117" t="str">
        <x:v>Flow Invokes Apex</x:v>
      </x:c>
      <x:c r="B55" s="117" t="str"/>
      <x:c r="C55" s="117" t="str">
        <x:v>UpdateProductItemCosts</x:v>
      </x:c>
      <x:c r="D55" s="119" t="str">
        <x:v>Create_IR_from_Opp</x:v>
      </x:c>
      <x:c r="E55" s="117" t="str">
        <x:v>High</x:v>
      </x:c>
      <x:c r="F55" s="119" t="str">
        <x:v>Flow behavior depends on coded action and its bulk/error semantics.</x:v>
      </x:c>
      <x:c r="G55" s="119" t="str">
        <x:v>Keep as Apex when logic is computational, integration-heavy, or bulk-sensitive; document inputs/outputs before refactor.</x:v>
      </x:c>
    </x:row>
    <x:row r="56" ht="58" customHeight="1">
      <x:c r="A56" s="117" t="str">
        <x:v>Flow Invokes Apex</x:v>
      </x:c>
      <x:c r="B56" s="117" t="str"/>
      <x:c r="C56" s="117" t="str">
        <x:v>UpdateProductItemCosts</x:v>
      </x:c>
      <x:c r="D56" s="119" t="str">
        <x:v>Create_Item_Receipt_from_Opp</x:v>
      </x:c>
      <x:c r="E56" s="117" t="str">
        <x:v>High</x:v>
      </x:c>
      <x:c r="F56" s="119" t="str">
        <x:v>Flow behavior depends on coded action and its bulk/error semantics.</x:v>
      </x:c>
      <x:c r="G56" s="119" t="str">
        <x:v>Keep as Apex when logic is computational, integration-heavy, or bulk-sensitive; document inputs/outputs before refactor.</x:v>
      </x:c>
    </x:row>
    <x:row r="57" ht="58" customHeight="1">
      <x:c r="A57" s="117" t="str">
        <x:v>Flow Invokes Apex</x:v>
      </x:c>
      <x:c r="B57" s="117" t="str"/>
      <x:c r="C57" s="117" t="str">
        <x:v>WorkOrderPDFGenerator</x:v>
      </x:c>
      <x:c r="D57" s="119" t="str">
        <x:v>Work_Order_PDF_Generation</x:v>
      </x:c>
      <x:c r="E57" s="117" t="str">
        <x:v>High</x:v>
      </x:c>
      <x:c r="F57" s="119" t="str">
        <x:v>Flow behavior depends on coded action and its bulk/error semantics.</x:v>
      </x:c>
      <x:c r="G57" s="119" t="str">
        <x:v>Keep as Apex when logic is computational, integration-heavy, or bulk-sensitive; document inputs/outputs before refactor.</x:v>
      </x:c>
    </x:row>
    <x:row r="58" ht="58" customHeight="1">
      <x:c r="A58" s="117" t="str">
        <x:v>Flow Invokes Apex</x:v>
      </x:c>
      <x:c r="B58" s="117" t="str"/>
      <x:c r="C58" s="117" t="str">
        <x:v>invocableEmailAttachment</x:v>
      </x:c>
      <x:c r="D58" s="119" t="str">
        <x:v>Send_email_with_attachment_shipment</x:v>
      </x:c>
      <x:c r="E58" s="117" t="str">
        <x:v>High</x:v>
      </x:c>
      <x:c r="F58" s="119" t="str">
        <x:v>Flow behavior depends on coded action and its bulk/error semantics.</x:v>
      </x:c>
      <x:c r="G58" s="119" t="str">
        <x:v>Keep as Apex when logic is computational, integration-heavy, or bulk-sensitive; document inputs/outputs before refactor.</x:v>
      </x:c>
    </x:row>
    <x:row r="59" ht="58" customHeight="1">
      <x:c r="A59" s="117" t="str">
        <x:v>Flow Invokes Apex</x:v>
      </x:c>
      <x:c r="B59" s="117" t="str"/>
      <x:c r="C59" s="117" t="str">
        <x:v>invocableEmailAttachmentRepairQuote</x:v>
      </x:c>
      <x:c r="D59" s="119" t="str">
        <x:v>Case_Online_Repair_Evaluation_Tool</x:v>
      </x:c>
      <x:c r="E59" s="117" t="str">
        <x:v>High</x:v>
      </x:c>
      <x:c r="F59" s="119" t="str">
        <x:v>Flow behavior depends on coded action and its bulk/error semantics.</x:v>
      </x:c>
      <x:c r="G59" s="119" t="str">
        <x:v>Keep as Apex when logic is computational, integration-heavy, or bulk-sensitive; document inputs/outputs before refactor.</x:v>
      </x:c>
    </x:row>
    <x:row r="60" ht="58" customHeight="1">
      <x:c r="A60" s="117" t="str">
        <x:v>Flow Invokes Apex</x:v>
      </x:c>
      <x:c r="B60" s="117" t="str"/>
      <x:c r="C60" s="117" t="str">
        <x:v>invocableEmailAttachmentRepairQuoteUK</x:v>
      </x:c>
      <x:c r="D60" s="119" t="str">
        <x:v>Case_Online_Repair_Evaluation_Tool</x:v>
      </x:c>
      <x:c r="E60" s="117" t="str">
        <x:v>High</x:v>
      </x:c>
      <x:c r="F60" s="119" t="str">
        <x:v>Flow behavior depends on coded action and its bulk/error semantics.</x:v>
      </x:c>
      <x:c r="G60" s="119" t="str">
        <x:v>Keep as Apex when logic is computational, integration-heavy, or bulk-sensitive; document inputs/outputs before refactor.</x:v>
      </x:c>
    </x:row>
    <x:row r="61" ht="58" customHeight="1">
      <x:c r="A61" s="117" t="str">
        <x:v>Flow Invokes Apex</x:v>
      </x:c>
      <x:c r="B61" s="117" t="str"/>
      <x:c r="C61" s="117" t="str">
        <x:v>invocableEmailAttachmentUK</x:v>
      </x:c>
      <x:c r="D61" s="119" t="str">
        <x:v>Send_email_with_attachment_shipment</x:v>
      </x:c>
      <x:c r="E61" s="117" t="str">
        <x:v>High</x:v>
      </x:c>
      <x:c r="F61" s="119" t="str">
        <x:v>Flow behavior depends on coded action and its bulk/error semantics.</x:v>
      </x:c>
      <x:c r="G61" s="119" t="str">
        <x:v>Keep as Apex when logic is computational, integration-heavy, or bulk-sensitive; document inputs/outputs before refactor.</x:v>
      </x:c>
    </x:row>
    <x:row r="62" ht="58" customHeight="1">
      <x:c r="A62" s="117" t="str">
        <x:v>Flow Screen Uses LWC</x:v>
      </x:c>
      <x:c r="B62" s="117" t="str"/>
      <x:c r="C62" s="117" t="str">
        <x:v>recordTableStateful</x:v>
      </x:c>
      <x:c r="D62" s="119" t="str">
        <x:v>Screen_Flow_Select_IR_Assets</x:v>
      </x:c>
      <x:c r="E62" s="117" t="str">
        <x:v>High</x:v>
      </x:c>
      <x:c r="F62" s="119" t="str">
        <x:v>Screen Flow contract depends on LWC public properties and Apex imports.</x:v>
      </x:c>
      <x:c r="G62" s="119" t="str">
        <x:v>Preserve component API and regression-test screen inputs/outputs before combining flows.</x:v>
      </x:c>
    </x:row>
  </x:sheetData>
  <x:mergeCells>
    <x:mergeCell ref="A1:G1"/>
    <x:mergeCell ref="A2:G2"/>
  </x:mergeCells>
  <x:conditionalFormatting sqref="E5:E62">
    <x:cfRule type="containsText" dxfId="10" priority="1" operator="containsText" text="High"/>
  </x:conditionalFormatting>
  <x:pageMargins left="0.7" right="0.7" top="0.75" bottom="0.75" header="0.3" footer="0.3"/>
  <x:tableParts count="1">
    <x:tablePart xmlns:r="http://schemas.openxmlformats.org/officeDocument/2006/relationships" r:id="Ra259dbeacf2a48d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60" hidden="0" customWidth="1"/>
    <x:col min="3" max="3" width="72" hidden="0" customWidth="1"/>
  </x:cols>
  <x:sheetData>
    <x:row r="1" ht="28" customHeight="1">
      <x:c r="A1" s="3" t="str">
        <x:v>Method, Definitions, and Safe Refactor Sequence</x:v>
      </x:c>
      <x:c r="B1" s="3"/>
      <x:c r="C1" s="3"/>
      <x:c r="D1" s="3"/>
      <x:c r="E1" s="3"/>
      <x:c r="F1" s="3"/>
      <x:c r="G1" s="3"/>
      <x:c r="H1" s="3"/>
    </x:row>
    <x:row r="2" ht="34" customHeight="1">
      <x:c r="A2" s="7" t="str">
        <x:v>Source scope, interpretation rules, limitations, and recommended next-stage execution gates.</x:v>
      </x:c>
      <x:c r="B2" s="7"/>
      <x:c r="C2" s="7"/>
      <x:c r="D2" s="7"/>
      <x:c r="E2" s="7"/>
      <x:c r="F2" s="7"/>
      <x:c r="G2" s="7"/>
      <x:c r="H2" s="7"/>
    </x:row>
    <x:row r="4">
      <x:c r="A4" s="124" t="str">
        <x:v>Topic</x:v>
      </x:c>
      <x:c r="B4" s="124" t="str">
        <x:v>Evidence / Rule</x:v>
      </x:c>
      <x:c r="C4" s="124" t="str">
        <x:v>Interpretation</x:v>
      </x:c>
    </x:row>
    <x:row r="5" ht="54" customHeight="1">
      <x:c r="A5" s="125" t="str">
        <x:v>Source org</x:v>
      </x:c>
      <x:c r="B5" s="126" t="str">
        <x:v>Probo Medical production — Org ID 00DU0000000LaKoMAK</x:v>
      </x:c>
      <x:c r="C5" s="127" t="str">
        <x:v>Verified through a read-only Organization query.</x:v>
      </x:c>
    </x:row>
    <x:row r="6" ht="54" customHeight="1">
      <x:c r="A6" s="128" t="str">
        <x:v>Flow definitions</x:v>
      </x:c>
      <x:c r="B6" s="129" t="str">
        <x:v>716</x:v>
      </x:c>
      <x:c r="C6" s="130" t="str">
        <x:v>Tooling API FlowDefinition query; ActiveVersionId is the authoritative runtime indicator.</x:v>
      </x:c>
    </x:row>
    <x:row r="7" ht="54" customHeight="1">
      <x:c r="A7" s="128" t="str">
        <x:v>Flow versions</x:v>
      </x:c>
      <x:c r="B7" s="129" t="str">
        <x:v>3,645</x:v>
      </x:c>
      <x:c r="C7" s="130" t="str">
        <x:v>Tooling API Flow query with status, process type, API version, ownership, dates, run mode, and trigger order.</x:v>
      </x:c>
    </x:row>
    <x:row r="8" ht="54" customHeight="1">
      <x:c r="A8" s="128" t="str">
        <x:v>Flow metadata</x:v>
      </x:c>
      <x:c r="B8" s="129" t="str">
        <x:v>656 XML + 61 Tooling metadata gap records</x:v>
      </x:c>
      <x:c r="C8" s="130" t="str">
        <x:v>The 61 direct Tooling fetches cover missing source files and duplicate API-name ambiguity.</x:v>
      </x:c>
    </x:row>
    <x:row r="9" ht="54" customHeight="1">
      <x:c r="A9" s="128" t="str">
        <x:v>Active/latest differences</x:v>
      </x:c>
      <x:c r="B9" s="129" t="str">
        <x:v>33</x:v>
      </x:c>
      <x:c r="C9" s="130" t="str">
        <x:v>Each running active version was fetched separately so the analysis does not substitute a newer draft.</x:v>
      </x:c>
    </x:row>
    <x:row r="10" ht="54" customHeight="1">
      <x:c r="A10" s="128" t="str">
        <x:v>Code scope</x:v>
      </x:c>
      <x:c r="B10" s="129" t="str">
        <x:v>331 Apex classes; 45 triggers; 35 LWC bundles; 37 Aura bundles</x:v>
      </x:c>
      <x:c r="C10" s="130" t="str">
        <x:v>Retrieved read-only through Metadata API.</x:v>
      </x:c>
    </x:row>
    <x:row r="11" ht="54" customHeight="1">
      <x:c r="A11" s="128" t="str">
        <x:v>Current Orchestrator</x:v>
      </x:c>
      <x:c r="B11" s="129" t="str">
        <x:v>BIPO_Flow, inactive</x:v>
      </x:c>
      <x:c r="C11" s="130" t="str">
        <x:v>The org contains one Orchestrator definition; it is not currently active.</x:v>
      </x:c>
    </x:row>
    <x:row r="12" ht="54" customHeight="1">
      <x:c r="A12" s="128" t="str">
        <x:v>Consolidation rule</x:v>
      </x:c>
      <x:c r="B12" s="129" t="str">
        <x:v>Group by object + timing + record event</x:v>
      </x:c>
      <x:c r="C12" s="130" t="str">
        <x:v>Before-save, after-save, delete, scheduled, and screen logic should not be collapsed blindly.</x:v>
      </x:c>
    </x:row>
    <x:row r="13" ht="54" customHeight="1">
      <x:c r="A13" s="128" t="str">
        <x:v>Apex overlap</x:v>
      </x:c>
      <x:c r="B13" s="129" t="str">
        <x:v>Exact trigger-object and direct Invocable Apex links are high confidence</x:v>
      </x:c>
      <x:c r="C13" s="130" t="str">
        <x:v>Static class object references are retained in Code Inventory as discovery evidence, not proof of duplicate business logic.</x:v>
      </x:c>
    </x:row>
    <x:row r="14" ht="54" customHeight="1">
      <x:c r="A14" s="128" t="str">
        <x:v>LWC/Aura overlap</x:v>
      </x:c>
      <x:c r="B14" s="129" t="str">
        <x:v>Direct screen extension references are high confidence</x:v>
      </x:c>
      <x:c r="C14" s="130" t="str">
        <x:v>Preserve public properties, Apex imports, navigation behavior, and error contracts.</x:v>
      </x:c>
    </x:row>
    <x:row r="15" ht="54" customHeight="1">
      <x:c r="A15" s="128" t="str">
        <x:v>Orchestrator guidance</x:v>
      </x:c>
      <x:c r="B15" s="129" t="str">
        <x:v>Use for long-running multi-user stages</x:v>
      </x:c>
      <x:c r="C15" s="130" t="str">
        <x:v>Use entry Flows and Subflows for same-transaction object automation.</x:v>
      </x:c>
    </x:row>
    <x:row r="16" ht="54" customHeight="1">
      <x:c r="A16" s="128" t="str">
        <x:v>Recommended sequence</x:v>
      </x:c>
      <x:c r="B16" s="129" t="str">
        <x:v>1) rule matrix; 2) target entry/subflow design; 3) sandbox prototype; 4) bulk/recursion tests; 5) controlled migration</x:v>
      </x:c>
      <x:c r="C16" s="130" t="str">
        <x:v>Deactivate old paths only after equivalent behavior and rollback evidence are proven.</x:v>
      </x:c>
    </x:row>
    <x:row r="17" ht="54" customHeight="1">
      <x:c r="A17" s="128" t="str">
        <x:v>Explicit exclusions</x:v>
      </x:c>
      <x:c r="B17" s="129" t="str">
        <x:v>No Flow/code edits, activation changes, deployment, test execution, or production refactor</x:v>
      </x:c>
      <x:c r="C17" s="130" t="str">
        <x:v>This workbook is analysis and planning only.</x:v>
      </x:c>
    </x:row>
    <x:row r="18" ht="54" customHeight="1">
      <x:c r="A18" s="131" t="str">
        <x:v>Salesforce Flow Setup</x:v>
      </x:c>
      <x:c r="B18" s="132" t="str">
        <x:v>https://probomedical.lightning.force.com/lightning/setup/Flows/home</x:v>
      </x:c>
      <x:c r="C18" s="133" t="str">
        <x:v>Administrator navigation source.</x:v>
      </x:c>
    </x:row>
  </x:sheetData>
  <x:mergeCells>
    <x:mergeCell ref="A1:H1"/>
    <x:mergeCell ref="A2:H2"/>
  </x:mergeCells>
  <x:pageMargins left="0.7" right="0.7" top="0.75" bottom="0.75" header="0.3" footer="0.3"/>
</x:worksheet>
</file>